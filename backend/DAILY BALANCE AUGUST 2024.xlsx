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8160" windowHeight="15620" tabRatio="600" firstSheet="0" activeTab="0" autoFilterDateGrouping="1"/>
  </bookViews>
  <sheets>
    <sheet name="MOMO,AIRTEL,CARDS" sheetId="1" state="visible" r:id="rId1"/>
    <sheet name="EXPENSES" sheetId="2" state="visible" r:id="rId2"/>
    <sheet name="METER" sheetId="3" state="visible" r:id="rId3"/>
    <sheet name="BALANCING" sheetId="4" state="visible" r:id="rId4"/>
    <sheet name="P and 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m/d/yy;@"/>
    <numFmt numFmtId="165" formatCode="_(* #,##0.000_);_(* \(#,##0.000\);_(* &quot;-&quot;??_);_(@_)"/>
    <numFmt numFmtId="166" formatCode="_(* #,##0_);_(* \(#,##0\);_(* &quot;-&quot;??_);_(@_)"/>
    <numFmt numFmtId="167" formatCode="_(* #,##0.0_);_(* \(#,##0.0\);_(* &quot;-&quot;??_);_(@_)"/>
    <numFmt numFmtId="168" formatCode="[$-409]d\-mmm\-yy;@"/>
    <numFmt numFmtId="169" formatCode="_(* #,##0.000_);_(* \(#,##0.000\);_(* &quot;-&quot;???_);_(@_)"/>
    <numFmt numFmtId="170" formatCode="[$-409]d\-mmm;@"/>
    <numFmt numFmtId="171" formatCode="mm/dd/yy;@"/>
    <numFmt numFmtId="172" formatCode="[$-409]dd\-mmm\-yy;@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9"/>
      <scheme val="minor"/>
    </font>
  </fonts>
  <fills count="2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3" fontId="1" fillId="0" borderId="0"/>
  </cellStyleXfs>
  <cellXfs count="175">
    <xf numFmtId="0" fontId="0" fillId="0" borderId="0" pivotButton="0" quotePrefix="0" xfId="0"/>
    <xf numFmtId="43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10" borderId="0" pivotButton="0" quotePrefix="0" xfId="0"/>
    <xf numFmtId="0" fontId="3" fillId="0" borderId="6" pivotButton="0" quotePrefix="0" xfId="0"/>
    <xf numFmtId="0" fontId="2" fillId="2" borderId="6" pivotButton="0" quotePrefix="0" xfId="0"/>
    <xf numFmtId="165" fontId="2" fillId="2" borderId="6" pivotButton="0" quotePrefix="0" xfId="1"/>
    <xf numFmtId="0" fontId="2" fillId="10" borderId="0" applyAlignment="1" pivotButton="0" quotePrefix="0" xfId="0">
      <alignment horizontal="center" vertical="center" textRotation="180"/>
    </xf>
    <xf numFmtId="0" fontId="2" fillId="11" borderId="0" pivotButton="0" quotePrefix="0" xfId="0"/>
    <xf numFmtId="166" fontId="2" fillId="11" borderId="0" pivotButton="0" quotePrefix="0" xfId="1"/>
    <xf numFmtId="0" fontId="0" fillId="11" borderId="0" pivotButton="0" quotePrefix="0" xfId="0"/>
    <xf numFmtId="165" fontId="2" fillId="11" borderId="1" pivotButton="0" quotePrefix="0" xfId="1"/>
    <xf numFmtId="165" fontId="2" fillId="11" borderId="2" pivotButton="0" quotePrefix="0" xfId="1"/>
    <xf numFmtId="165" fontId="2" fillId="10" borderId="0" pivotButton="0" quotePrefix="0" xfId="1"/>
    <xf numFmtId="165" fontId="2" fillId="11" borderId="4" pivotButton="0" quotePrefix="0" xfId="1"/>
    <xf numFmtId="165" fontId="2" fillId="11" borderId="0" pivotButton="0" quotePrefix="0" xfId="1"/>
    <xf numFmtId="0" fontId="2" fillId="10" borderId="0" applyAlignment="1" pivotButton="0" quotePrefix="0" xfId="0">
      <alignment vertical="center" textRotation="180"/>
    </xf>
    <xf numFmtId="165" fontId="3" fillId="0" borderId="0" pivotButton="0" quotePrefix="0" xfId="1"/>
    <xf numFmtId="166" fontId="2" fillId="10" borderId="0" pivotButton="0" quotePrefix="0" xfId="1"/>
    <xf numFmtId="166" fontId="3" fillId="0" borderId="0" pivotButton="0" quotePrefix="0" xfId="1"/>
    <xf numFmtId="0" fontId="2" fillId="5" borderId="0" pivotButton="0" quotePrefix="0" xfId="0"/>
    <xf numFmtId="166" fontId="2" fillId="5" borderId="0" pivotButton="0" quotePrefix="0" xfId="1"/>
    <xf numFmtId="0" fontId="2" fillId="9" borderId="0" pivotButton="0" quotePrefix="0" xfId="0"/>
    <xf numFmtId="166" fontId="2" fillId="9" borderId="0" pivotButton="0" quotePrefix="0" xfId="1"/>
    <xf numFmtId="0" fontId="2" fillId="8" borderId="0" pivotButton="0" quotePrefix="0" xfId="0"/>
    <xf numFmtId="166" fontId="2" fillId="8" borderId="0" pivotButton="0" quotePrefix="0" xfId="1"/>
    <xf numFmtId="0" fontId="2" fillId="6" borderId="0" pivotButton="0" quotePrefix="0" xfId="0"/>
    <xf numFmtId="166" fontId="2" fillId="6" borderId="0" pivotButton="0" quotePrefix="0" xfId="1"/>
    <xf numFmtId="0" fontId="2" fillId="7" borderId="0" pivotButton="0" quotePrefix="0" xfId="0"/>
    <xf numFmtId="166" fontId="2" fillId="7" borderId="0" pivotButton="0" quotePrefix="0" xfId="1"/>
    <xf numFmtId="167" fontId="3" fillId="0" borderId="0" pivotButton="0" quotePrefix="0" xfId="1"/>
    <xf numFmtId="0" fontId="3" fillId="12" borderId="0" pivotButton="0" quotePrefix="0" xfId="0"/>
    <xf numFmtId="165" fontId="3" fillId="12" borderId="0" pivotButton="0" quotePrefix="0" xfId="1"/>
    <xf numFmtId="0" fontId="2" fillId="12" borderId="0" pivotButton="0" quotePrefix="0" xfId="0"/>
    <xf numFmtId="165" fontId="2" fillId="12" borderId="0" pivotButton="0" quotePrefix="0" xfId="1"/>
    <xf numFmtId="0" fontId="2" fillId="3" borderId="7" pivotButton="0" quotePrefix="0" xfId="0"/>
    <xf numFmtId="166" fontId="2" fillId="3" borderId="7" pivotButton="0" quotePrefix="0" xfId="1"/>
    <xf numFmtId="166" fontId="2" fillId="5" borderId="7" pivotButton="0" quotePrefix="0" xfId="1"/>
    <xf numFmtId="166" fontId="2" fillId="10" borderId="7" pivotButton="0" quotePrefix="0" xfId="1"/>
    <xf numFmtId="0" fontId="0" fillId="2" borderId="8" pivotButton="0" quotePrefix="0" xfId="0"/>
    <xf numFmtId="166" fontId="2" fillId="12" borderId="0" pivotButton="0" quotePrefix="0" xfId="1"/>
    <xf numFmtId="0" fontId="3" fillId="11" borderId="1" pivotButton="0" quotePrefix="0" xfId="0"/>
    <xf numFmtId="165" fontId="3" fillId="11" borderId="1" pivotButton="0" quotePrefix="0" xfId="1"/>
    <xf numFmtId="165" fontId="3" fillId="11" borderId="2" pivotButton="0" quotePrefix="0" xfId="1"/>
    <xf numFmtId="0" fontId="3" fillId="11" borderId="0" pivotButton="0" quotePrefix="0" xfId="0"/>
    <xf numFmtId="165" fontId="3" fillId="11" borderId="0" pivotButton="0" quotePrefix="0" xfId="1"/>
    <xf numFmtId="165" fontId="3" fillId="11" borderId="4" pivotButton="0" quotePrefix="0" xfId="1"/>
    <xf numFmtId="0" fontId="4" fillId="4" borderId="0" pivotButton="0" quotePrefix="0" xfId="0"/>
    <xf numFmtId="164" fontId="4" fillId="4" borderId="0" pivotButton="0" quotePrefix="0" xfId="0"/>
    <xf numFmtId="166" fontId="0" fillId="0" borderId="0" pivotButton="0" quotePrefix="0" xfId="1"/>
    <xf numFmtId="166" fontId="4" fillId="2" borderId="0" pivotButton="0" quotePrefix="0" xfId="1"/>
    <xf numFmtId="0" fontId="4" fillId="10" borderId="0" pivotButton="0" quotePrefix="0" xfId="0"/>
    <xf numFmtId="166" fontId="4" fillId="10" borderId="0" pivotButton="0" quotePrefix="0" xfId="1"/>
    <xf numFmtId="0" fontId="4" fillId="11" borderId="0" applyAlignment="1" pivotButton="0" quotePrefix="0" xfId="0">
      <alignment horizontal="center" vertical="center" textRotation="180"/>
    </xf>
    <xf numFmtId="166" fontId="0" fillId="11" borderId="0" pivotButton="0" quotePrefix="0" xfId="1"/>
    <xf numFmtId="166" fontId="1" fillId="11" borderId="0" pivotButton="0" quotePrefix="0" xfId="1"/>
    <xf numFmtId="166" fontId="4" fillId="11" borderId="0" pivotButton="0" quotePrefix="0" xfId="1"/>
    <xf numFmtId="0" fontId="4" fillId="9" borderId="0" applyAlignment="1" pivotButton="0" quotePrefix="0" xfId="0">
      <alignment horizontal="center" textRotation="180"/>
    </xf>
    <xf numFmtId="0" fontId="4" fillId="9" borderId="0" pivotButton="0" quotePrefix="0" xfId="0"/>
    <xf numFmtId="166" fontId="4" fillId="9" borderId="0" pivotButton="0" quotePrefix="0" xfId="1"/>
    <xf numFmtId="0" fontId="0" fillId="0" borderId="0" applyAlignment="1" pivotButton="0" quotePrefix="0" xfId="0">
      <alignment horizontal="left"/>
    </xf>
    <xf numFmtId="0" fontId="4" fillId="8" borderId="0" pivotButton="0" quotePrefix="0" xfId="0"/>
    <xf numFmtId="166" fontId="4" fillId="8" borderId="0" pivotButton="0" quotePrefix="0" xfId="1"/>
    <xf numFmtId="0" fontId="4" fillId="3" borderId="0" pivotButton="0" quotePrefix="0" xfId="0"/>
    <xf numFmtId="166" fontId="4" fillId="3" borderId="0" pivotButton="0" quotePrefix="0" xfId="1"/>
    <xf numFmtId="0" fontId="4" fillId="11" borderId="0" pivotButton="0" quotePrefix="0" xfId="0"/>
    <xf numFmtId="0" fontId="4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1"/>
    <xf numFmtId="166" fontId="5" fillId="0" borderId="0" pivotButton="0" quotePrefix="0" xfId="0"/>
    <xf numFmtId="166" fontId="2" fillId="0" borderId="0" pivotButton="0" quotePrefix="0" xfId="0"/>
    <xf numFmtId="0" fontId="2" fillId="11" borderId="0" applyAlignment="1" pivotButton="0" quotePrefix="0" xfId="0">
      <alignment horizontal="center" textRotation="180"/>
    </xf>
    <xf numFmtId="0" fontId="2" fillId="11" borderId="0" applyAlignment="1" pivotButton="0" quotePrefix="0" xfId="0">
      <alignment horizontal="left"/>
    </xf>
    <xf numFmtId="0" fontId="2" fillId="13" borderId="0" pivotButton="0" quotePrefix="0" xfId="0"/>
    <xf numFmtId="0" fontId="3" fillId="13" borderId="0" pivotButton="0" quotePrefix="0" xfId="0"/>
    <xf numFmtId="166" fontId="3" fillId="13" borderId="0" pivotButton="0" quotePrefix="0" xfId="1"/>
    <xf numFmtId="166" fontId="4" fillId="14" borderId="7" pivotButton="0" quotePrefix="0" xfId="1"/>
    <xf numFmtId="166" fontId="0" fillId="0" borderId="0" pivotButton="0" quotePrefix="0" xfId="0"/>
    <xf numFmtId="43" fontId="0" fillId="0" borderId="0" pivotButton="0" quotePrefix="0" xfId="1"/>
    <xf numFmtId="165" fontId="0" fillId="0" borderId="0" pivotButton="0" quotePrefix="0" xfId="1"/>
    <xf numFmtId="0" fontId="2" fillId="5" borderId="7" applyAlignment="1" pivotButton="0" quotePrefix="0" xfId="0">
      <alignment horizontal="center" vertical="center" indent="1"/>
    </xf>
    <xf numFmtId="0" fontId="2" fillId="10" borderId="7" applyAlignment="1" pivotButton="0" quotePrefix="0" xfId="0">
      <alignment horizontal="left" vertical="top"/>
    </xf>
    <xf numFmtId="166" fontId="3" fillId="7" borderId="0" pivotButton="0" quotePrefix="0" xfId="1"/>
    <xf numFmtId="168" fontId="0" fillId="0" borderId="0" pivotButton="0" quotePrefix="0" xfId="0"/>
    <xf numFmtId="165" fontId="0" fillId="0" borderId="0" pivotButton="0" quotePrefix="0" xfId="0"/>
    <xf numFmtId="165" fontId="0" fillId="11" borderId="0" pivotButton="0" quotePrefix="0" xfId="0"/>
    <xf numFmtId="166" fontId="2" fillId="3" borderId="9" pivotButton="0" quotePrefix="0" xfId="1"/>
    <xf numFmtId="166" fontId="2" fillId="5" borderId="9" pivotButton="0" quotePrefix="0" xfId="1"/>
    <xf numFmtId="0" fontId="2" fillId="3" borderId="0" pivotButton="0" quotePrefix="0" xfId="0"/>
    <xf numFmtId="166" fontId="3" fillId="3" borderId="0" pivotButton="0" quotePrefix="0" xfId="1"/>
    <xf numFmtId="166" fontId="2" fillId="3" borderId="0" pivotButton="0" quotePrefix="0" xfId="1"/>
    <xf numFmtId="168" fontId="4" fillId="3" borderId="0" pivotButton="0" quotePrefix="0" xfId="0"/>
    <xf numFmtId="166" fontId="4" fillId="3" borderId="0" pivotButton="0" quotePrefix="0" xfId="0"/>
    <xf numFmtId="166" fontId="0" fillId="3" borderId="0" pivotButton="0" quotePrefix="0" xfId="1"/>
    <xf numFmtId="166" fontId="2" fillId="3" borderId="0" pivotButton="0" quotePrefix="0" xfId="0"/>
    <xf numFmtId="166" fontId="2" fillId="4" borderId="7" pivotButton="0" quotePrefix="0" xfId="1"/>
    <xf numFmtId="168" fontId="0" fillId="15" borderId="0" pivotButton="0" quotePrefix="0" xfId="0"/>
    <xf numFmtId="166" fontId="2" fillId="5" borderId="10" pivotButton="0" quotePrefix="0" xfId="1"/>
    <xf numFmtId="166" fontId="0" fillId="16" borderId="0" pivotButton="0" quotePrefix="0" xfId="1"/>
    <xf numFmtId="168" fontId="0" fillId="17" borderId="0" pivotButton="0" quotePrefix="0" xfId="0"/>
    <xf numFmtId="0" fontId="0" fillId="17" borderId="0" pivotButton="0" quotePrefix="0" xfId="0"/>
    <xf numFmtId="166" fontId="0" fillId="17" borderId="0" pivotButton="0" quotePrefix="0" xfId="0"/>
    <xf numFmtId="166" fontId="4" fillId="17" borderId="0" pivotButton="0" quotePrefix="0" xfId="1"/>
    <xf numFmtId="166" fontId="2" fillId="3" borderId="10" pivotButton="0" quotePrefix="0" xfId="1"/>
    <xf numFmtId="169" fontId="0" fillId="0" borderId="0" pivotButton="0" quotePrefix="0" xfId="0"/>
    <xf numFmtId="166" fontId="0" fillId="3" borderId="0" pivotButton="0" quotePrefix="0" xfId="0"/>
    <xf numFmtId="165" fontId="3" fillId="3" borderId="0" pivotButton="0" quotePrefix="0" xfId="1"/>
    <xf numFmtId="166" fontId="0" fillId="2" borderId="0" pivotButton="0" quotePrefix="0" xfId="0"/>
    <xf numFmtId="166" fontId="0" fillId="11" borderId="0" pivotButton="0" quotePrefix="0" xfId="0"/>
    <xf numFmtId="168" fontId="0" fillId="18" borderId="0" pivotButton="0" quotePrefix="0" xfId="0"/>
    <xf numFmtId="170" fontId="0" fillId="0" borderId="0" pivotButton="0" quotePrefix="0" xfId="0"/>
    <xf numFmtId="165" fontId="0" fillId="4" borderId="0" pivotButton="0" quotePrefix="0" xfId="0"/>
    <xf numFmtId="0" fontId="0" fillId="4" borderId="0" pivotButton="0" quotePrefix="0" xfId="0"/>
    <xf numFmtId="166" fontId="0" fillId="4" borderId="0" pivotButton="0" quotePrefix="0" xfId="0"/>
    <xf numFmtId="165" fontId="3" fillId="4" borderId="0" pivotButton="0" quotePrefix="0" xfId="1"/>
    <xf numFmtId="166" fontId="3" fillId="4" borderId="0" pivotButton="0" quotePrefix="0" xfId="1"/>
    <xf numFmtId="166" fontId="4" fillId="11" borderId="0" pivotButton="0" quotePrefix="0" xfId="0"/>
    <xf numFmtId="166" fontId="2" fillId="4" borderId="0" pivotButton="0" quotePrefix="0" xfId="1"/>
    <xf numFmtId="166" fontId="1" fillId="8" borderId="0" pivotButton="0" quotePrefix="0" xfId="1"/>
    <xf numFmtId="170" fontId="0" fillId="19" borderId="0" pivotButton="0" quotePrefix="0" xfId="0"/>
    <xf numFmtId="170" fontId="4" fillId="20" borderId="0" pivotButton="0" quotePrefix="0" xfId="0"/>
    <xf numFmtId="0" fontId="4" fillId="20" borderId="0" pivotButton="0" quotePrefix="0" xfId="0"/>
    <xf numFmtId="165" fontId="4" fillId="20" borderId="0" pivotButton="0" quotePrefix="0" xfId="0"/>
    <xf numFmtId="166" fontId="4" fillId="20" borderId="0" pivotButton="0" quotePrefix="0" xfId="0"/>
    <xf numFmtId="170" fontId="0" fillId="10" borderId="0" pivotButton="0" quotePrefix="0" xfId="0"/>
    <xf numFmtId="0" fontId="0" fillId="20" borderId="0" pivotButton="0" quotePrefix="0" xfId="0"/>
    <xf numFmtId="170" fontId="0" fillId="3" borderId="0" pivotButton="0" quotePrefix="0" xfId="0"/>
    <xf numFmtId="16" fontId="0" fillId="0" borderId="0" pivotButton="0" quotePrefix="0" xfId="0"/>
    <xf numFmtId="166" fontId="0" fillId="20" borderId="0" pivotButton="0" quotePrefix="0" xfId="0"/>
    <xf numFmtId="170" fontId="0" fillId="20" borderId="0" pivotButton="0" quotePrefix="0" xfId="0"/>
    <xf numFmtId="43" fontId="0" fillId="11" borderId="0" pivotButton="0" quotePrefix="0" xfId="1"/>
    <xf numFmtId="170" fontId="0" fillId="4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6" fontId="0" fillId="20" borderId="0" pivotButton="0" quotePrefix="0" xfId="1"/>
    <xf numFmtId="166" fontId="4" fillId="20" borderId="0" pivotButton="0" quotePrefix="0" xfId="1"/>
    <xf numFmtId="43" fontId="0" fillId="20" borderId="0" pivotButton="0" quotePrefix="0" xfId="0"/>
    <xf numFmtId="166" fontId="1" fillId="20" borderId="0" pivotButton="0" quotePrefix="0" xfId="1"/>
    <xf numFmtId="166" fontId="2" fillId="20" borderId="0" pivotButton="0" quotePrefix="0" xfId="0"/>
    <xf numFmtId="43" fontId="4" fillId="20" borderId="0" pivotButton="0" quotePrefix="0" xfId="0"/>
    <xf numFmtId="0" fontId="0" fillId="2" borderId="0" pivotButton="0" quotePrefix="0" xfId="0"/>
    <xf numFmtId="0" fontId="0" fillId="21" borderId="0" pivotButton="0" quotePrefix="0" xfId="0"/>
    <xf numFmtId="0" fontId="0" fillId="22" borderId="0" pivotButton="0" quotePrefix="0" xfId="0"/>
    <xf numFmtId="166" fontId="0" fillId="22" borderId="0" pivotButton="0" quotePrefix="0" xfId="0"/>
    <xf numFmtId="0" fontId="0" fillId="23" borderId="0" pivotButton="0" quotePrefix="0" xfId="0"/>
    <xf numFmtId="170" fontId="0" fillId="2" borderId="0" pivotButton="0" quotePrefix="0" xfId="0"/>
    <xf numFmtId="166" fontId="0" fillId="2" borderId="0" pivotButton="0" quotePrefix="0" xfId="1"/>
    <xf numFmtId="43" fontId="0" fillId="2" borderId="0" pivotButton="0" quotePrefix="0" xfId="0"/>
    <xf numFmtId="166" fontId="1" fillId="2" borderId="0" pivotButton="0" quotePrefix="0" xfId="1"/>
    <xf numFmtId="166" fontId="4" fillId="2" borderId="0" pivotButton="0" quotePrefix="0" xfId="0"/>
    <xf numFmtId="166" fontId="2" fillId="2" borderId="0" pivotButton="0" quotePrefix="0" xfId="0"/>
    <xf numFmtId="0" fontId="2" fillId="10" borderId="11" applyAlignment="1" pivotButton="0" quotePrefix="0" xfId="0">
      <alignment horizontal="center" vertical="center" textRotation="180"/>
    </xf>
    <xf numFmtId="0" fontId="0" fillId="0" borderId="3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 textRotation="180"/>
    </xf>
    <xf numFmtId="0" fontId="2" fillId="3" borderId="0" applyAlignment="1" pivotButton="0" quotePrefix="0" xfId="0">
      <alignment horizontal="center" vertical="center" textRotation="180"/>
    </xf>
    <xf numFmtId="0" fontId="2" fillId="8" borderId="0" applyAlignment="1" pivotButton="0" quotePrefix="0" xfId="0">
      <alignment horizontal="left"/>
    </xf>
    <xf numFmtId="0" fontId="2" fillId="5" borderId="0" applyAlignment="1" pivotButton="0" quotePrefix="0" xfId="0">
      <alignment horizontal="center" vertical="center" textRotation="180"/>
    </xf>
    <xf numFmtId="0" fontId="2" fillId="10" borderId="0" applyAlignment="1" pivotButton="0" quotePrefix="0" xfId="0">
      <alignment horizontal="center" vertical="center" textRotation="180"/>
    </xf>
    <xf numFmtId="0" fontId="2" fillId="6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textRotation="180"/>
    </xf>
    <xf numFmtId="0" fontId="2" fillId="9" borderId="0" applyAlignment="1" pivotButton="0" quotePrefix="0" xfId="0">
      <alignment horizontal="center" textRotation="180"/>
    </xf>
    <xf numFmtId="0" fontId="4" fillId="10" borderId="0" applyAlignment="1" pivotButton="0" quotePrefix="0" xfId="0">
      <alignment horizontal="center" vertical="center" textRotation="180"/>
    </xf>
    <xf numFmtId="0" fontId="4" fillId="2" borderId="0" applyAlignment="1" pivotButton="0" quotePrefix="0" xfId="0">
      <alignment horizontal="center" vertical="center" textRotation="180"/>
    </xf>
    <xf numFmtId="0" fontId="4" fillId="3" borderId="0" applyAlignment="1" pivotButton="0" quotePrefix="0" xfId="0">
      <alignment horizontal="center" vertical="center" textRotation="180"/>
    </xf>
    <xf numFmtId="0" fontId="4" fillId="8" borderId="0" applyAlignment="1" pivotButton="0" quotePrefix="0" xfId="0">
      <alignment horizontal="center" vertical="center" textRotation="180"/>
    </xf>
    <xf numFmtId="166" fontId="4" fillId="11" borderId="0" applyAlignment="1" pivotButton="0" quotePrefix="0" xfId="0">
      <alignment horizontal="center" vertical="center" textRotation="180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OE21"/>
  <sheetViews>
    <sheetView tabSelected="1" zoomScaleNormal="210" workbookViewId="0">
      <pane xSplit="1" ySplit="3" topLeftCell="ANV4" activePane="bottomRight" state="frozen"/>
      <selection pane="topRight" activeCell="D1" sqref="D1"/>
      <selection pane="bottomLeft" activeCell="A4" sqref="A4"/>
      <selection pane="bottomRight" activeCell="AOF18" sqref="AOF18"/>
    </sheetView>
  </sheetViews>
  <sheetFormatPr baseColWidth="10" defaultColWidth="8.83203125" defaultRowHeight="15"/>
  <cols>
    <col width="11.1640625" customWidth="1" style="160" min="1" max="1"/>
    <col width="12.1640625" customWidth="1" style="160" min="2" max="2"/>
    <col width="9.6640625" customWidth="1" style="160" min="3" max="3"/>
    <col width="9.1640625" bestFit="1" customWidth="1" style="160" min="4" max="9"/>
    <col width="9.83203125" bestFit="1" customWidth="1" style="160" min="10" max="10"/>
    <col width="9.6640625" customWidth="1" style="160" min="11" max="17"/>
    <col width="9.1640625" bestFit="1" customWidth="1" style="160" min="18" max="30"/>
    <col width="9.1640625" customWidth="1" style="160" min="31" max="32"/>
    <col width="16" customWidth="1" style="160" min="33" max="33"/>
    <col width="12.1640625" bestFit="1" customWidth="1" style="160" min="34" max="44"/>
    <col width="10.83203125" bestFit="1" customWidth="1" style="160" min="45" max="45"/>
    <col width="12.1640625" bestFit="1" customWidth="1" style="160" min="46" max="59"/>
    <col width="10.83203125" bestFit="1" customWidth="1" style="160" min="60" max="61"/>
    <col width="12.1640625" bestFit="1" customWidth="1" style="160" min="62" max="63"/>
    <col width="11.83203125" bestFit="1" customWidth="1" style="160" min="64" max="64"/>
    <col width="12.1640625" bestFit="1" customWidth="1" style="160" min="65" max="73"/>
    <col width="10.83203125" bestFit="1" customWidth="1" style="160" min="74" max="75"/>
    <col width="12.1640625" bestFit="1" customWidth="1" style="160" min="76" max="81"/>
    <col width="10.83203125" bestFit="1" customWidth="1" style="160" min="82" max="82"/>
    <col width="12.1640625" bestFit="1" customWidth="1" style="160" min="83" max="83"/>
    <col width="10.83203125" bestFit="1" customWidth="1" style="160" min="84" max="84"/>
    <col width="12.1640625" bestFit="1" customWidth="1" style="160" min="85" max="86"/>
    <col width="10.83203125" bestFit="1" customWidth="1" style="160" min="87" max="87"/>
    <col width="12.1640625" bestFit="1" customWidth="1" style="160" min="88" max="94"/>
    <col width="10.83203125" bestFit="1" customWidth="1" style="160" min="95" max="95"/>
    <col width="10.83203125" customWidth="1" style="160" min="96" max="96"/>
    <col width="12.1640625" bestFit="1" customWidth="1" style="160" min="97" max="103"/>
    <col width="10.83203125" bestFit="1" customWidth="1" style="160" min="104" max="104"/>
    <col width="12.1640625" bestFit="1" customWidth="1" style="160" min="105" max="105"/>
    <col width="10.1640625" customWidth="1" style="160" min="106" max="106"/>
    <col width="10" customWidth="1" style="160" min="107" max="107"/>
    <col width="12.1640625" bestFit="1" customWidth="1" style="160" min="108" max="108"/>
    <col width="10.5" customWidth="1" style="160" min="109" max="109"/>
    <col width="10.6640625" customWidth="1" style="160" min="110" max="110"/>
    <col width="12.1640625" bestFit="1" customWidth="1" style="160" min="111" max="111"/>
    <col width="10.6640625" customWidth="1" style="160" min="112" max="112"/>
    <col width="10" customWidth="1" style="160" min="113" max="113"/>
    <col width="11.1640625" customWidth="1" style="160" min="114" max="114"/>
    <col width="11" customWidth="1" style="160" min="115" max="115"/>
    <col width="11.5" customWidth="1" style="160" min="116" max="116"/>
    <col width="10" customWidth="1" style="160" min="117" max="117"/>
    <col width="11.1640625" customWidth="1" style="160" min="118" max="118"/>
    <col width="10.83203125" customWidth="1" style="160" min="119" max="119"/>
    <col width="10.5" customWidth="1" style="160" min="120" max="120"/>
    <col width="10.83203125" customWidth="1" style="160" min="121" max="121"/>
    <col width="11.6640625" customWidth="1" style="160" min="122" max="122"/>
    <col width="11.5" customWidth="1" style="160" min="123" max="124"/>
    <col width="10.5" customWidth="1" style="160" min="125" max="126"/>
    <col width="14.5" bestFit="1" customWidth="1" style="160" min="127" max="127"/>
    <col width="12.1640625" bestFit="1" customWidth="1" style="160" min="128" max="129"/>
    <col width="10.83203125" bestFit="1" customWidth="1" style="160" min="130" max="131"/>
    <col width="12.1640625" bestFit="1" customWidth="1" style="160" min="132" max="133"/>
    <col width="10.83203125" bestFit="1" customWidth="1" style="160" min="134" max="134"/>
    <col width="12.1640625" bestFit="1" customWidth="1" style="160" min="135" max="140"/>
    <col width="13.1640625" bestFit="1" customWidth="1" style="160" min="141" max="157"/>
    <col width="12.1640625" bestFit="1" customWidth="1" style="160" min="158" max="158"/>
    <col width="11.1640625" customWidth="1" style="160" min="159" max="159"/>
    <col width="12.1640625" bestFit="1" customWidth="1" style="160" min="160" max="164"/>
    <col width="10.83203125" bestFit="1" customWidth="1" style="160" min="165" max="165"/>
    <col width="12.1640625" bestFit="1" customWidth="1" style="160" min="166" max="174"/>
    <col width="10.83203125" bestFit="1" customWidth="1" style="160" min="175" max="175"/>
    <col width="12.1640625" bestFit="1" customWidth="1" style="160" min="176" max="188"/>
    <col width="10.83203125" bestFit="1" customWidth="1" style="160" min="189" max="189"/>
    <col width="12.1640625" bestFit="1" customWidth="1" style="160" min="190" max="190"/>
    <col width="13.5" customWidth="1" style="160" min="191" max="191"/>
    <col width="12.1640625" bestFit="1" customWidth="1" style="160" min="192" max="194"/>
    <col width="10.83203125" bestFit="1" customWidth="1" style="160" min="195" max="196"/>
    <col width="12.1640625" bestFit="1" customWidth="1" style="160" min="197" max="204"/>
    <col width="10.83203125" bestFit="1" customWidth="1" style="160" min="205" max="205"/>
    <col width="12.1640625" bestFit="1" customWidth="1" style="160" min="206" max="212"/>
    <col width="10.83203125" bestFit="1" customWidth="1" style="160" min="213" max="213"/>
    <col width="12.1640625" bestFit="1" customWidth="1" style="160" min="214" max="215"/>
    <col width="10.83203125" bestFit="1" customWidth="1" style="160" min="216" max="217"/>
    <col width="12.1640625" bestFit="1" customWidth="1" style="160" min="218" max="218"/>
    <col width="9" bestFit="1" customWidth="1" style="160" min="219" max="220"/>
    <col width="12.5" customWidth="1" style="160" min="221" max="221"/>
    <col width="12.1640625" bestFit="1" customWidth="1" style="160" min="222" max="241"/>
    <col width="10.83203125" bestFit="1" customWidth="1" style="160" min="242" max="242"/>
    <col width="12.1640625" bestFit="1" customWidth="1" style="160" min="243" max="247"/>
    <col width="10.83203125" bestFit="1" customWidth="1" style="160" min="248" max="248"/>
    <col width="12.1640625" bestFit="1" customWidth="1" style="160" min="249" max="251"/>
    <col width="10.83203125" bestFit="1" customWidth="1" style="160" min="252" max="252"/>
    <col width="11.1640625" customWidth="1" style="160" min="253" max="253"/>
    <col width="12.1640625" bestFit="1" customWidth="1" style="160" min="254" max="255"/>
    <col width="10.83203125" bestFit="1" customWidth="1" style="160" min="256" max="256"/>
    <col width="12.1640625" bestFit="1" customWidth="1" style="160" min="257" max="261"/>
    <col width="10.83203125" bestFit="1" customWidth="1" style="160" min="262" max="262"/>
    <col width="12.1640625" bestFit="1" customWidth="1" style="160" min="263" max="277"/>
    <col width="10.83203125" bestFit="1" customWidth="1" style="160" min="278" max="278"/>
    <col width="12.1640625" bestFit="1" customWidth="1" style="160" min="279" max="283"/>
    <col width="12.1640625" customWidth="1" style="160" min="284" max="284"/>
    <col width="12.1640625" bestFit="1" customWidth="1" style="160" min="285" max="286"/>
    <col width="10.83203125" bestFit="1" customWidth="1" style="160" min="287" max="287"/>
    <col width="12.1640625" bestFit="1" customWidth="1" style="160" min="288" max="295"/>
    <col width="10.83203125" bestFit="1" customWidth="1" style="160" min="296" max="296"/>
    <col width="12.1640625" bestFit="1" customWidth="1" style="160" min="297" max="315"/>
    <col width="11.33203125" customWidth="1" style="160" min="316" max="316"/>
    <col width="12.1640625" bestFit="1" customWidth="1" style="160" min="317" max="318"/>
    <col width="10.83203125" bestFit="1" customWidth="1" style="160" min="319" max="319"/>
    <col width="12.1640625" bestFit="1" customWidth="1" style="160" min="320" max="324"/>
    <col width="10.83203125" bestFit="1" customWidth="1" style="160" min="325" max="325"/>
    <col width="12.1640625" bestFit="1" customWidth="1" style="160" min="326" max="343"/>
    <col width="12.5" bestFit="1" customWidth="1" style="160" min="344" max="346"/>
    <col width="11.83203125" customWidth="1" style="160" min="347" max="347"/>
    <col width="12.5" bestFit="1" customWidth="1" style="160" min="348" max="367"/>
    <col width="11.1640625" bestFit="1" customWidth="1" style="160" min="368" max="368"/>
    <col width="12.1640625" bestFit="1" customWidth="1" style="160" min="369" max="378"/>
    <col width="11.1640625" customWidth="1" style="160" min="379" max="379"/>
    <col width="12.1640625" bestFit="1" customWidth="1" style="160" min="380" max="403"/>
    <col width="10.83203125" bestFit="1" customWidth="1" style="160" min="404" max="404"/>
    <col width="12.1640625" bestFit="1" customWidth="1" style="160" min="405" max="406"/>
    <col width="10.83203125" bestFit="1" customWidth="1" style="160" min="407" max="407"/>
    <col width="12.1640625" bestFit="1" customWidth="1" style="160" min="408" max="410"/>
    <col width="11.33203125" customWidth="1" style="160" min="411" max="411"/>
    <col width="12.1640625" bestFit="1" customWidth="1" style="160" min="412" max="424"/>
    <col width="10.83203125" bestFit="1" customWidth="1" style="160" min="425" max="425"/>
    <col width="12.1640625" bestFit="1" customWidth="1" style="160" min="426" max="427"/>
    <col width="10.83203125" bestFit="1" customWidth="1" style="160" min="428" max="428"/>
    <col width="12.1640625" bestFit="1" customWidth="1" style="160" min="429" max="431"/>
    <col width="10.83203125" bestFit="1" customWidth="1" style="160" min="432" max="432"/>
    <col width="12.1640625" bestFit="1" customWidth="1" style="160" min="433" max="433"/>
    <col width="10.83203125" bestFit="1" customWidth="1" style="160" min="434" max="434"/>
    <col width="12.1640625" bestFit="1" customWidth="1" style="160" min="435" max="435"/>
    <col width="10.83203125" bestFit="1" customWidth="1" style="160" min="436" max="436"/>
    <col width="12.1640625" bestFit="1" customWidth="1" style="160" min="437" max="437"/>
    <col width="10.83203125" bestFit="1" customWidth="1" style="160" min="438" max="439"/>
    <col width="12.1640625" bestFit="1" customWidth="1" style="160" min="440" max="441"/>
    <col width="10.6640625" customWidth="1" style="160" min="442" max="442"/>
    <col width="12.1640625" bestFit="1" customWidth="1" style="160" min="443" max="443"/>
    <col width="10.83203125" bestFit="1" customWidth="1" style="160" min="444" max="444"/>
    <col width="12.1640625" bestFit="1" customWidth="1" style="160" min="445" max="451"/>
    <col width="10.83203125" bestFit="1" customWidth="1" style="160" min="452" max="452"/>
    <col width="12.1640625" bestFit="1" customWidth="1" style="160" min="453" max="461"/>
    <col width="10.83203125" bestFit="1" customWidth="1" style="160" min="462" max="463"/>
    <col width="12.1640625" bestFit="1" customWidth="1" style="160" min="464" max="465"/>
    <col width="10.83203125" bestFit="1" customWidth="1" style="160" min="466" max="466"/>
    <col width="12.1640625" bestFit="1" customWidth="1" style="160" min="467" max="473"/>
    <col width="11.33203125" customWidth="1" style="160" min="474" max="474"/>
    <col width="12.1640625" bestFit="1" customWidth="1" style="160" min="475" max="478"/>
    <col width="10.83203125" bestFit="1" customWidth="1" style="160" min="479" max="479"/>
    <col width="12.1640625" bestFit="1" customWidth="1" style="160" min="480" max="483"/>
    <col width="10.83203125" bestFit="1" customWidth="1" style="160" min="484" max="484"/>
    <col width="12.1640625" bestFit="1" customWidth="1" style="160" min="485" max="494"/>
    <col width="10.83203125" bestFit="1" customWidth="1" style="160" min="495" max="495"/>
    <col width="12.1640625" bestFit="1" customWidth="1" style="160" min="496" max="504"/>
    <col width="11" customWidth="1" style="160" min="505" max="505"/>
    <col width="10.83203125" bestFit="1" customWidth="1" style="160" min="506" max="506"/>
    <col width="12.1640625" bestFit="1" customWidth="1" style="160" min="507" max="530"/>
    <col width="10.83203125" bestFit="1" customWidth="1" style="160" min="531" max="531"/>
    <col width="12.1640625" bestFit="1" customWidth="1" style="160" min="532" max="534"/>
    <col width="10.83203125" bestFit="1" customWidth="1" style="160" min="535" max="535"/>
    <col width="12.1640625" bestFit="1" customWidth="1" style="160" min="536" max="536"/>
    <col width="11.5" customWidth="1" style="160" min="537" max="537"/>
    <col width="10.83203125" bestFit="1" customWidth="1" style="160" min="538" max="538"/>
    <col width="12.1640625" bestFit="1" customWidth="1" style="160" min="539" max="543"/>
    <col width="10.83203125" bestFit="1" customWidth="1" style="160" min="544" max="544"/>
    <col width="12.1640625" bestFit="1" customWidth="1" style="160" min="545" max="565"/>
    <col width="10.83203125" bestFit="1" customWidth="1" style="160" min="566" max="567"/>
    <col width="12.1640625" bestFit="1" customWidth="1" style="160" min="568" max="568"/>
    <col width="11.5" customWidth="1" style="160" min="569" max="569"/>
    <col width="12.1640625" bestFit="1" customWidth="1" style="160" min="570" max="575"/>
    <col width="10.83203125" bestFit="1" customWidth="1" style="160" min="576" max="576"/>
    <col width="12.1640625" bestFit="1" customWidth="1" style="160" min="577" max="585"/>
    <col width="10.83203125" bestFit="1" customWidth="1" style="160" min="586" max="586"/>
    <col width="12.1640625" bestFit="1" customWidth="1" style="160" min="587" max="587"/>
    <col width="10.83203125" bestFit="1" customWidth="1" style="160" min="588" max="588"/>
    <col width="12.1640625" bestFit="1" customWidth="1" style="160" min="589" max="597"/>
    <col width="10.5" customWidth="1" style="160" min="598" max="598"/>
    <col width="12.1640625" bestFit="1" customWidth="1" style="160" min="599" max="599"/>
    <col width="10.83203125" bestFit="1" customWidth="1" style="160" min="600" max="600"/>
    <col width="12.1640625" bestFit="1" customWidth="1" style="160" min="601" max="606"/>
    <col width="10.83203125" bestFit="1" customWidth="1" style="160" min="607" max="607"/>
    <col width="12.1640625" bestFit="1" customWidth="1" style="160" min="608" max="609"/>
    <col width="10.83203125" bestFit="1" customWidth="1" style="160" min="610" max="610"/>
    <col width="12.1640625" bestFit="1" customWidth="1" style="160" min="611" max="613"/>
    <col width="10.83203125" bestFit="1" customWidth="1" style="160" min="614" max="615"/>
    <col width="10.83203125" bestFit="1" customWidth="1" style="160" min="617" max="617"/>
    <col width="12.1640625" bestFit="1" customWidth="1" style="160" min="618" max="629"/>
    <col width="11" customWidth="1" style="160" min="630" max="630"/>
    <col width="12.1640625" bestFit="1" customWidth="1" style="160" min="631" max="651"/>
    <col width="10.83203125" bestFit="1" customWidth="1" style="160" min="652" max="652"/>
    <col width="12.1640625" bestFit="1" customWidth="1" style="160" min="653" max="659"/>
    <col width="10.83203125" bestFit="1" customWidth="1" style="160" min="660" max="660"/>
    <col width="10.83203125" customWidth="1" style="160" min="661" max="661"/>
    <col width="12.1640625" bestFit="1" customWidth="1" style="160" min="662" max="664"/>
    <col width="10.83203125" bestFit="1" customWidth="1" style="160" min="665" max="665"/>
    <col width="12.1640625" bestFit="1" customWidth="1" style="160" min="666" max="668"/>
    <col width="10.83203125" bestFit="1" customWidth="1" style="160" min="669" max="669"/>
    <col width="12.1640625" bestFit="1" customWidth="1" style="160" min="670" max="692"/>
    <col width="11.5" customWidth="1" style="160" min="693" max="693"/>
    <col width="12.1640625" bestFit="1" customWidth="1" style="160" min="694" max="700"/>
    <col width="10.83203125" bestFit="1" customWidth="1" style="160" min="701" max="701"/>
    <col width="12.1640625" bestFit="1" customWidth="1" style="160" min="702" max="702"/>
    <col width="10.83203125" bestFit="1" customWidth="1" style="160" min="703" max="704"/>
    <col width="12.1640625" bestFit="1" customWidth="1" style="160" min="705" max="723"/>
    <col width="11" customWidth="1" style="160" min="724" max="724"/>
    <col width="12.1640625" bestFit="1" customWidth="1" style="160" min="725" max="726"/>
    <col width="10.83203125" bestFit="1" customWidth="1" style="160" min="727" max="727"/>
    <col width="12.1640625" bestFit="1" customWidth="1" style="160" min="728" max="730"/>
    <col width="10.83203125" bestFit="1" customWidth="1" style="160" min="731" max="731"/>
    <col width="12.1640625" bestFit="1" customWidth="1" style="160" min="732" max="755"/>
    <col width="14.1640625" customWidth="1" style="160" min="756" max="756"/>
    <col width="10.83203125" bestFit="1" customWidth="1" style="160" min="757" max="757"/>
    <col width="12.1640625" bestFit="1" customWidth="1" style="160" min="758" max="766"/>
    <col width="13.5" bestFit="1" customWidth="1" style="160" min="767" max="776"/>
    <col width="12" bestFit="1" customWidth="1" style="160" min="777" max="777"/>
    <col width="13.5" bestFit="1" customWidth="1" style="160" min="778" max="781"/>
    <col width="12" bestFit="1" customWidth="1" style="160" min="782" max="782"/>
    <col width="13.5" bestFit="1" customWidth="1" style="160" min="783" max="787"/>
    <col width="14.1640625" customWidth="1" style="160" min="788" max="788"/>
    <col width="13.5" bestFit="1" customWidth="1" style="160" min="789" max="795"/>
    <col width="12.33203125" bestFit="1" customWidth="1" style="160" min="796" max="815"/>
    <col width="10.83203125" bestFit="1" customWidth="1" style="160" min="816" max="816"/>
    <col width="12.33203125" bestFit="1" customWidth="1" style="160" min="817" max="818"/>
    <col width="12" customWidth="1" style="160" min="819" max="819"/>
    <col width="12.33203125" bestFit="1" customWidth="1" style="160" min="820" max="824"/>
    <col width="10.83203125" bestFit="1" customWidth="1" style="160" min="825" max="826"/>
    <col width="12.33203125" bestFit="1" customWidth="1" style="160" min="827" max="845"/>
    <col width="10.83203125" bestFit="1" customWidth="1" style="160" min="846" max="847"/>
    <col width="12.33203125" bestFit="1" customWidth="1" style="160" min="848" max="850"/>
    <col width="11.6640625" customWidth="1" style="160" min="851" max="851"/>
    <col width="12.33203125" bestFit="1" customWidth="1" style="160" min="852" max="857"/>
    <col width="10.83203125" bestFit="1" customWidth="1" style="160" min="858" max="858"/>
    <col width="9.83203125" bestFit="1" customWidth="1" style="160" min="859" max="859"/>
    <col width="10.6640625" customWidth="1" style="160" min="882" max="882"/>
    <col width="11.1640625" customWidth="1" style="160" min="914" max="914"/>
    <col width="10.83203125" customWidth="1" style="160" min="946" max="946"/>
    <col width="11.5" customWidth="1" style="160" min="975" max="975"/>
    <col width="11.1640625" customWidth="1" style="160" min="1007" max="1007"/>
    <col width="11.83203125" customWidth="1" style="160" min="1038" max="1038"/>
  </cols>
  <sheetData>
    <row r="3">
      <c r="A3" s="2" t="inlineStr">
        <is>
          <t>ITEMS</t>
        </is>
      </c>
      <c r="B3" s="3" t="n">
        <v>44204</v>
      </c>
      <c r="C3" s="3" t="n">
        <v>44965</v>
      </c>
      <c r="D3" s="3" t="n">
        <v>44993</v>
      </c>
      <c r="E3" s="3" t="n">
        <v>45024</v>
      </c>
      <c r="F3" s="3" t="n">
        <v>45054</v>
      </c>
      <c r="G3" s="3" t="n">
        <v>45085</v>
      </c>
      <c r="H3" s="3" t="n">
        <v>45115</v>
      </c>
      <c r="I3" s="3" t="n">
        <v>45146</v>
      </c>
      <c r="J3" s="3" t="n">
        <v>45177</v>
      </c>
      <c r="K3" s="3" t="n">
        <v>45207</v>
      </c>
      <c r="L3" s="3" t="n">
        <v>45238</v>
      </c>
      <c r="M3" s="3" t="n">
        <v>45268</v>
      </c>
      <c r="N3" s="3" t="inlineStr">
        <is>
          <t>13/8/23</t>
        </is>
      </c>
      <c r="O3" s="3" t="inlineStr">
        <is>
          <t>14/8/23</t>
        </is>
      </c>
      <c r="P3" s="3" t="inlineStr">
        <is>
          <t>15/8/23</t>
        </is>
      </c>
      <c r="Q3" s="3" t="inlineStr">
        <is>
          <t>16/8/23</t>
        </is>
      </c>
      <c r="R3" s="3" t="inlineStr">
        <is>
          <t>17/8/23</t>
        </is>
      </c>
      <c r="S3" s="3" t="inlineStr">
        <is>
          <t>18/8/23</t>
        </is>
      </c>
      <c r="T3" s="3" t="inlineStr">
        <is>
          <t>19/8/23</t>
        </is>
      </c>
      <c r="U3" s="3" t="inlineStr">
        <is>
          <t>20/8/23</t>
        </is>
      </c>
      <c r="V3" s="3" t="inlineStr">
        <is>
          <t>21/8/23</t>
        </is>
      </c>
      <c r="W3" s="3" t="inlineStr">
        <is>
          <t>22/8/23</t>
        </is>
      </c>
      <c r="X3" s="3" t="inlineStr">
        <is>
          <t>23/8/23</t>
        </is>
      </c>
      <c r="Y3" s="3" t="inlineStr">
        <is>
          <t>24/8/23</t>
        </is>
      </c>
      <c r="Z3" s="3" t="inlineStr">
        <is>
          <t>25/8/23</t>
        </is>
      </c>
      <c r="AA3" s="3" t="inlineStr">
        <is>
          <t>26/8/23</t>
        </is>
      </c>
      <c r="AB3" s="3" t="inlineStr">
        <is>
          <t>27/8/23</t>
        </is>
      </c>
      <c r="AC3" s="3" t="inlineStr">
        <is>
          <t>28/8/23</t>
        </is>
      </c>
      <c r="AD3" s="3" t="inlineStr">
        <is>
          <t>29/8/23</t>
        </is>
      </c>
      <c r="AE3" s="3" t="inlineStr">
        <is>
          <t>30/8/23</t>
        </is>
      </c>
      <c r="AF3" s="3" t="inlineStr">
        <is>
          <t>31/8/23</t>
        </is>
      </c>
      <c r="AG3" s="2" t="inlineStr">
        <is>
          <t>MONTHLY TOTAL</t>
        </is>
      </c>
      <c r="AH3" s="88" t="n">
        <v>45170</v>
      </c>
      <c r="AI3" s="88">
        <f>AH3+1</f>
        <v/>
      </c>
      <c r="AJ3" s="88">
        <f>AI3+1</f>
        <v/>
      </c>
      <c r="AK3" s="88">
        <f>AJ3+1</f>
        <v/>
      </c>
      <c r="AL3" s="88">
        <f>AK3+1</f>
        <v/>
      </c>
      <c r="AM3" s="88">
        <f>AL3+1</f>
        <v/>
      </c>
      <c r="AN3" s="88">
        <f>AM3+1</f>
        <v/>
      </c>
      <c r="AO3" s="88">
        <f>AN3+1</f>
        <v/>
      </c>
      <c r="AP3" s="88">
        <f>AO3+1</f>
        <v/>
      </c>
      <c r="AQ3" s="88">
        <f>AP3+1</f>
        <v/>
      </c>
      <c r="AR3" s="88">
        <f>AQ3+1</f>
        <v/>
      </c>
      <c r="AS3" s="88">
        <f>AR3+1</f>
        <v/>
      </c>
      <c r="AT3" s="88">
        <f>AS3+1</f>
        <v/>
      </c>
      <c r="AU3" s="88">
        <f>AT3+1</f>
        <v/>
      </c>
      <c r="AV3" s="88">
        <f>AU3+1</f>
        <v/>
      </c>
      <c r="AW3" s="88">
        <f>AV3+1</f>
        <v/>
      </c>
      <c r="AX3" s="88">
        <f>AW3+1</f>
        <v/>
      </c>
      <c r="AY3" s="88">
        <f>AX3+1</f>
        <v/>
      </c>
      <c r="AZ3" s="88">
        <f>AY3+1</f>
        <v/>
      </c>
      <c r="BA3" s="88">
        <f>AZ3+1</f>
        <v/>
      </c>
      <c r="BB3" s="88">
        <f>BA3+1</f>
        <v/>
      </c>
      <c r="BC3" s="88">
        <f>BB3+1</f>
        <v/>
      </c>
      <c r="BD3" s="88">
        <f>BC3+1</f>
        <v/>
      </c>
      <c r="BE3" s="88">
        <f>BD3+1</f>
        <v/>
      </c>
      <c r="BF3" s="88">
        <f>BE3+1</f>
        <v/>
      </c>
      <c r="BG3" s="88">
        <f>BF3+1</f>
        <v/>
      </c>
      <c r="BH3" s="88">
        <f>BG3+1</f>
        <v/>
      </c>
      <c r="BI3" s="88">
        <f>BH3+1</f>
        <v/>
      </c>
      <c r="BJ3" s="88">
        <f>BI3+1</f>
        <v/>
      </c>
      <c r="BK3" s="88">
        <f>BJ3+1</f>
        <v/>
      </c>
      <c r="BL3" s="88" t="inlineStr">
        <is>
          <t>Monthly Total</t>
        </is>
      </c>
      <c r="BM3" s="88">
        <f>AH3+30</f>
        <v/>
      </c>
      <c r="BN3" s="88">
        <f>AI3+30</f>
        <v/>
      </c>
      <c r="BO3" s="88">
        <f>AJ3+30</f>
        <v/>
      </c>
      <c r="BP3" s="88">
        <f>AK3+30</f>
        <v/>
      </c>
      <c r="BQ3" s="88">
        <f>AL3+30</f>
        <v/>
      </c>
      <c r="BR3" s="88">
        <f>AM3+30</f>
        <v/>
      </c>
      <c r="BS3" s="88">
        <f>AN3+30</f>
        <v/>
      </c>
      <c r="BT3" s="88">
        <f>AO3+30</f>
        <v/>
      </c>
      <c r="BU3" s="88">
        <f>AP3+30</f>
        <v/>
      </c>
      <c r="BV3" s="88">
        <f>AQ3+30</f>
        <v/>
      </c>
      <c r="BW3" s="88">
        <f>AR3+30</f>
        <v/>
      </c>
      <c r="BX3" s="88">
        <f>AS3+30</f>
        <v/>
      </c>
      <c r="BY3" s="88">
        <f>AT3+30</f>
        <v/>
      </c>
      <c r="BZ3" s="88">
        <f>AU3+30</f>
        <v/>
      </c>
      <c r="CA3" s="88">
        <f>AV3+30</f>
        <v/>
      </c>
      <c r="CB3" s="88">
        <f>AW3+30</f>
        <v/>
      </c>
      <c r="CC3" s="88">
        <f>AX3+30</f>
        <v/>
      </c>
      <c r="CD3" s="88">
        <f>AY3+30</f>
        <v/>
      </c>
      <c r="CE3" s="88">
        <f>AZ3+30</f>
        <v/>
      </c>
      <c r="CF3" s="88">
        <f>BA3+30</f>
        <v/>
      </c>
      <c r="CG3" s="88">
        <f>BB3+30</f>
        <v/>
      </c>
      <c r="CH3" s="88">
        <f>BC3+30</f>
        <v/>
      </c>
      <c r="CI3" s="88">
        <f>BD3+30</f>
        <v/>
      </c>
      <c r="CJ3" s="88">
        <f>BE3+30</f>
        <v/>
      </c>
      <c r="CK3" s="88">
        <f>BF3+30</f>
        <v/>
      </c>
      <c r="CL3" s="88">
        <f>BG3+30</f>
        <v/>
      </c>
      <c r="CM3" s="88">
        <f>BH3+30</f>
        <v/>
      </c>
      <c r="CN3" s="88">
        <f>BI3+30</f>
        <v/>
      </c>
      <c r="CO3" s="88">
        <f>BJ3+30</f>
        <v/>
      </c>
      <c r="CP3" s="88">
        <f>BK3+30</f>
        <v/>
      </c>
      <c r="CQ3" s="88">
        <f>BM3+30</f>
        <v/>
      </c>
      <c r="CR3" t="inlineStr">
        <is>
          <t>Monthly total</t>
        </is>
      </c>
      <c r="CS3" s="88">
        <f>BN3+30</f>
        <v/>
      </c>
      <c r="CT3" s="88">
        <f>BO3+30</f>
        <v/>
      </c>
      <c r="CU3" s="88">
        <f>BP3+30</f>
        <v/>
      </c>
      <c r="CV3" s="88">
        <f>BQ3+30</f>
        <v/>
      </c>
      <c r="CW3" s="88">
        <f>BR3+30</f>
        <v/>
      </c>
      <c r="CX3" s="88">
        <f>BS3+30</f>
        <v/>
      </c>
      <c r="CY3" s="88">
        <f>BT3+30</f>
        <v/>
      </c>
      <c r="CZ3" s="88">
        <f>BU3+30</f>
        <v/>
      </c>
      <c r="DA3" s="88">
        <f>BV3+30</f>
        <v/>
      </c>
      <c r="DB3" s="88">
        <f>BW3+30</f>
        <v/>
      </c>
      <c r="DC3" s="88">
        <f>BX3+30</f>
        <v/>
      </c>
      <c r="DD3" s="88">
        <f>BY3+30</f>
        <v/>
      </c>
      <c r="DE3" s="88">
        <f>BZ3+30</f>
        <v/>
      </c>
      <c r="DF3" s="88">
        <f>CA3+30</f>
        <v/>
      </c>
      <c r="DG3" s="88">
        <f>CB3+30</f>
        <v/>
      </c>
      <c r="DH3" s="88">
        <f>CC3+30</f>
        <v/>
      </c>
      <c r="DI3" s="88">
        <f>CD3+30</f>
        <v/>
      </c>
      <c r="DJ3" s="88">
        <f>CE3+30</f>
        <v/>
      </c>
      <c r="DK3" s="88">
        <f>CF3+30</f>
        <v/>
      </c>
      <c r="DL3" s="88">
        <f>CG3+30</f>
        <v/>
      </c>
      <c r="DM3" s="88">
        <f>CH3+30</f>
        <v/>
      </c>
      <c r="DN3" s="88">
        <f>CI3+30</f>
        <v/>
      </c>
      <c r="DO3" s="88">
        <f>CJ3+30</f>
        <v/>
      </c>
      <c r="DP3" s="88">
        <f>CK3+30</f>
        <v/>
      </c>
      <c r="DQ3" s="88">
        <f>CL3+30</f>
        <v/>
      </c>
      <c r="DR3" s="88">
        <f>CM3+30</f>
        <v/>
      </c>
      <c r="DS3" s="88">
        <f>CN3+30</f>
        <v/>
      </c>
      <c r="DT3" s="88">
        <f>CO3+30</f>
        <v/>
      </c>
      <c r="DU3" s="88">
        <f>CP3+30</f>
        <v/>
      </c>
      <c r="DV3" s="88">
        <f>CQ3+30</f>
        <v/>
      </c>
      <c r="DW3" t="inlineStr">
        <is>
          <t>MONTHLY TOTAL</t>
        </is>
      </c>
      <c r="DX3" s="115" t="n">
        <v>45261</v>
      </c>
      <c r="DY3" s="115">
        <f>DX3+1</f>
        <v/>
      </c>
      <c r="DZ3" s="115">
        <f>DY3+1</f>
        <v/>
      </c>
      <c r="EA3" s="115">
        <f>DZ3+1</f>
        <v/>
      </c>
      <c r="EB3" s="115">
        <f>EA3+1</f>
        <v/>
      </c>
      <c r="EC3" s="115">
        <f>EB3+1</f>
        <v/>
      </c>
      <c r="ED3" s="115">
        <f>EC3+1</f>
        <v/>
      </c>
      <c r="EE3" s="115">
        <f>ED3+1</f>
        <v/>
      </c>
      <c r="EF3" s="115">
        <f>EE3+1</f>
        <v/>
      </c>
      <c r="EG3" s="115">
        <f>EF3+1</f>
        <v/>
      </c>
      <c r="EH3" s="115">
        <f>EG3+1</f>
        <v/>
      </c>
      <c r="EI3" s="115">
        <f>EH3+1</f>
        <v/>
      </c>
      <c r="EJ3" s="115">
        <f>EI3+1</f>
        <v/>
      </c>
      <c r="EK3" s="115">
        <f>EJ3+1</f>
        <v/>
      </c>
      <c r="EL3" s="115">
        <f>EK3+1</f>
        <v/>
      </c>
      <c r="EM3" s="115">
        <f>EL3+1</f>
        <v/>
      </c>
      <c r="EN3" s="115">
        <f>EM3+1</f>
        <v/>
      </c>
      <c r="EO3" s="115">
        <f>EN3+1</f>
        <v/>
      </c>
      <c r="EP3" s="115">
        <f>EO3+1</f>
        <v/>
      </c>
      <c r="EQ3" s="115">
        <f>EP3+1</f>
        <v/>
      </c>
      <c r="ER3" s="115">
        <f>EQ3+1</f>
        <v/>
      </c>
      <c r="ES3" s="115">
        <f>ER3+1</f>
        <v/>
      </c>
      <c r="ET3" s="115">
        <f>ES3+1</f>
        <v/>
      </c>
      <c r="EU3" s="115">
        <f>ET3+1</f>
        <v/>
      </c>
      <c r="EV3" s="115">
        <f>EU3+1</f>
        <v/>
      </c>
      <c r="EW3" s="115">
        <f>EV3+1</f>
        <v/>
      </c>
      <c r="EX3" s="115">
        <f>EW3+1</f>
        <v/>
      </c>
      <c r="EY3" s="115">
        <f>EX3+1</f>
        <v/>
      </c>
      <c r="EZ3" s="115">
        <f>EY3+1</f>
        <v/>
      </c>
      <c r="FA3" s="115">
        <f>EZ3+1</f>
        <v/>
      </c>
      <c r="FB3" s="115">
        <f>FA3+1</f>
        <v/>
      </c>
      <c r="FC3" s="125" t="inlineStr">
        <is>
          <t>MONTHLY TOTAL</t>
        </is>
      </c>
      <c r="FD3" s="115">
        <f>FB3+1</f>
        <v/>
      </c>
      <c r="FE3" s="115">
        <f>FD3+1</f>
        <v/>
      </c>
      <c r="FF3" s="115">
        <f>FE3+1</f>
        <v/>
      </c>
      <c r="FG3" s="115">
        <f>FF3+1</f>
        <v/>
      </c>
      <c r="FH3" s="115">
        <f>FG3+1</f>
        <v/>
      </c>
      <c r="FI3" s="115">
        <f>FH3+1</f>
        <v/>
      </c>
      <c r="FJ3" s="115">
        <f>FI3+1</f>
        <v/>
      </c>
      <c r="FK3" s="115">
        <f>FJ3+1</f>
        <v/>
      </c>
      <c r="FL3" s="115">
        <f>FK3+1</f>
        <v/>
      </c>
      <c r="FM3" s="115">
        <f>FL3+1</f>
        <v/>
      </c>
      <c r="FN3" s="115">
        <f>FM3+1</f>
        <v/>
      </c>
      <c r="FO3" s="115">
        <f>FN3+1</f>
        <v/>
      </c>
      <c r="FP3" s="115">
        <f>FO3+1</f>
        <v/>
      </c>
      <c r="FQ3" s="115">
        <f>FP3+1</f>
        <v/>
      </c>
      <c r="FR3" s="115">
        <f>FQ3+1</f>
        <v/>
      </c>
      <c r="FS3" s="115">
        <f>FR3+1</f>
        <v/>
      </c>
      <c r="FT3" s="115">
        <f>FS3+1</f>
        <v/>
      </c>
      <c r="FU3" s="115">
        <f>FT3+1</f>
        <v/>
      </c>
      <c r="FV3" s="115">
        <f>FU3+1</f>
        <v/>
      </c>
      <c r="FW3" s="115">
        <f>FV3+1</f>
        <v/>
      </c>
      <c r="FX3" s="115">
        <f>FW3+1</f>
        <v/>
      </c>
      <c r="FY3" s="115">
        <f>FX3+1</f>
        <v/>
      </c>
      <c r="FZ3" s="115">
        <f>FY3+1</f>
        <v/>
      </c>
      <c r="GA3" s="115">
        <f>FZ3+1</f>
        <v/>
      </c>
      <c r="GB3" s="115">
        <f>GA3+1</f>
        <v/>
      </c>
      <c r="GC3" s="115">
        <f>GB3+1</f>
        <v/>
      </c>
      <c r="GD3" s="115">
        <f>GC3+1</f>
        <v/>
      </c>
      <c r="GE3" s="115">
        <f>GD3+1</f>
        <v/>
      </c>
      <c r="GF3" s="115">
        <f>GE3+1</f>
        <v/>
      </c>
      <c r="GG3" s="115">
        <f>GF3+1</f>
        <v/>
      </c>
      <c r="GH3" s="115">
        <f>GG3+1</f>
        <v/>
      </c>
      <c r="GI3" s="125" t="inlineStr">
        <is>
          <t>MONTHLY TOTAL</t>
        </is>
      </c>
      <c r="GJ3" s="115">
        <f>GH3+1</f>
        <v/>
      </c>
      <c r="GK3" s="115">
        <f>GJ3+1</f>
        <v/>
      </c>
      <c r="GL3" s="115">
        <f>GK3+1</f>
        <v/>
      </c>
      <c r="GM3" s="115">
        <f>GL3+1</f>
        <v/>
      </c>
      <c r="GN3" s="115">
        <f>GM3+1</f>
        <v/>
      </c>
      <c r="GO3" s="115">
        <f>GN3+1</f>
        <v/>
      </c>
      <c r="GP3" s="115">
        <f>GO3+1</f>
        <v/>
      </c>
      <c r="GQ3" s="115">
        <f>GP3+1</f>
        <v/>
      </c>
      <c r="GR3" s="115">
        <f>GQ3+1</f>
        <v/>
      </c>
      <c r="GS3" s="115">
        <f>GR3+1</f>
        <v/>
      </c>
      <c r="GT3" s="115">
        <f>GS3+1</f>
        <v/>
      </c>
      <c r="GU3" s="115">
        <f>GT3+1</f>
        <v/>
      </c>
      <c r="GV3" s="115">
        <f>GU3+1</f>
        <v/>
      </c>
      <c r="GW3" s="115">
        <f>GV3+1</f>
        <v/>
      </c>
      <c r="GX3" s="115">
        <f>GW3+1</f>
        <v/>
      </c>
      <c r="GY3" s="115">
        <f>GX3+1</f>
        <v/>
      </c>
      <c r="GZ3" s="115">
        <f>GY3+1</f>
        <v/>
      </c>
      <c r="HA3" s="115">
        <f>GZ3+1</f>
        <v/>
      </c>
      <c r="HB3" s="115">
        <f>HA3+1</f>
        <v/>
      </c>
      <c r="HC3" s="115">
        <f>HB3+1</f>
        <v/>
      </c>
      <c r="HD3" s="115">
        <f>HC3+1</f>
        <v/>
      </c>
      <c r="HE3" s="115">
        <f>HD3+1</f>
        <v/>
      </c>
      <c r="HF3" s="115">
        <f>HE3+1</f>
        <v/>
      </c>
      <c r="HG3" s="115">
        <f>HF3+1</f>
        <v/>
      </c>
      <c r="HH3" s="115">
        <f>HG3+1</f>
        <v/>
      </c>
      <c r="HI3" s="115">
        <f>HH3+1</f>
        <v/>
      </c>
      <c r="HJ3" s="115">
        <f>HI3+1</f>
        <v/>
      </c>
      <c r="HK3" s="132" t="n">
        <v>45350</v>
      </c>
      <c r="HL3" s="132" t="n">
        <v>45351</v>
      </c>
      <c r="HM3" s="125" t="inlineStr">
        <is>
          <t>MONTHLY TOTAL</t>
        </is>
      </c>
      <c r="HN3" s="115">
        <f>HL3+1</f>
        <v/>
      </c>
      <c r="HO3" s="115">
        <f>HN3+1</f>
        <v/>
      </c>
      <c r="HP3" s="115">
        <f>HO3+1</f>
        <v/>
      </c>
      <c r="HQ3" s="115">
        <f>HP3+1</f>
        <v/>
      </c>
      <c r="HR3" s="115">
        <f>HQ3+1</f>
        <v/>
      </c>
      <c r="HS3" s="115">
        <f>HR3+1</f>
        <v/>
      </c>
      <c r="HT3" s="115">
        <f>HS3+1</f>
        <v/>
      </c>
      <c r="HU3" s="115">
        <f>HT3+1</f>
        <v/>
      </c>
      <c r="HV3" s="115">
        <f>HU3+1</f>
        <v/>
      </c>
      <c r="HW3" s="115">
        <f>HV3+1</f>
        <v/>
      </c>
      <c r="HX3" s="115">
        <f>HW3+1</f>
        <v/>
      </c>
      <c r="HY3" s="115">
        <f>HX3+1</f>
        <v/>
      </c>
      <c r="HZ3" s="115">
        <f>HY3+1</f>
        <v/>
      </c>
      <c r="IA3" s="115">
        <f>HZ3+1</f>
        <v/>
      </c>
      <c r="IB3" s="115">
        <f>IA3+1</f>
        <v/>
      </c>
      <c r="IC3" s="115">
        <f>IB3+1</f>
        <v/>
      </c>
      <c r="ID3" s="115">
        <f>IC3+1</f>
        <v/>
      </c>
      <c r="IE3" s="115">
        <f>ID3+1</f>
        <v/>
      </c>
      <c r="IF3" s="115">
        <f>IE3+1</f>
        <v/>
      </c>
      <c r="IG3" s="115">
        <f>IF3+1</f>
        <v/>
      </c>
      <c r="IH3" s="115">
        <f>IG3+1</f>
        <v/>
      </c>
      <c r="II3" s="115">
        <f>IH3+1</f>
        <v/>
      </c>
      <c r="IJ3" s="115">
        <f>II3+1</f>
        <v/>
      </c>
      <c r="IK3" s="115">
        <f>IJ3+1</f>
        <v/>
      </c>
      <c r="IL3" s="115">
        <f>IK3+1</f>
        <v/>
      </c>
      <c r="IM3" s="115">
        <f>IL3+1</f>
        <v/>
      </c>
      <c r="IN3" s="115">
        <f>IM3+1</f>
        <v/>
      </c>
      <c r="IO3" s="115">
        <f>IN3+1</f>
        <v/>
      </c>
      <c r="IP3" s="115">
        <f>IO3+1</f>
        <v/>
      </c>
      <c r="IQ3" s="115">
        <f>IP3+1</f>
        <v/>
      </c>
      <c r="IR3" s="115">
        <f>IQ3+1</f>
        <v/>
      </c>
      <c r="IS3" s="130" t="inlineStr">
        <is>
          <t>monthly total</t>
        </is>
      </c>
      <c r="IT3" s="115" t="n">
        <v>45383</v>
      </c>
      <c r="IU3" s="115">
        <f>IT3+1</f>
        <v/>
      </c>
      <c r="IV3" s="115">
        <f>IU3+1</f>
        <v/>
      </c>
      <c r="IW3" s="115">
        <f>IV3+1</f>
        <v/>
      </c>
      <c r="IX3" s="115">
        <f>IW3+1</f>
        <v/>
      </c>
      <c r="IY3" s="115">
        <f>IX3+1</f>
        <v/>
      </c>
      <c r="IZ3" s="115">
        <f>IY3+1</f>
        <v/>
      </c>
      <c r="JA3" s="115">
        <f>IZ3+1</f>
        <v/>
      </c>
      <c r="JB3" s="115">
        <f>JA3+1</f>
        <v/>
      </c>
      <c r="JC3" s="115">
        <f>JB3+1</f>
        <v/>
      </c>
      <c r="JD3" s="115">
        <f>JC3+1</f>
        <v/>
      </c>
      <c r="JE3" s="115">
        <f>JD3+1</f>
        <v/>
      </c>
      <c r="JF3" s="115">
        <f>JE3+1</f>
        <v/>
      </c>
      <c r="JG3" s="115">
        <f>JF3+1</f>
        <v/>
      </c>
      <c r="JH3" s="115">
        <f>JG3+1</f>
        <v/>
      </c>
      <c r="JI3" s="115">
        <f>JH3+1</f>
        <v/>
      </c>
      <c r="JJ3" s="115">
        <f>JI3+1</f>
        <v/>
      </c>
      <c r="JK3" s="115">
        <f>JJ3+1</f>
        <v/>
      </c>
      <c r="JL3" s="115">
        <f>JK3+1</f>
        <v/>
      </c>
      <c r="JM3" s="115">
        <f>JL3+1</f>
        <v/>
      </c>
      <c r="JN3" s="115">
        <f>JM3+1</f>
        <v/>
      </c>
      <c r="JO3" s="115">
        <f>JN3+1</f>
        <v/>
      </c>
      <c r="JP3" s="115">
        <f>JO3+1</f>
        <v/>
      </c>
      <c r="JQ3" s="115">
        <f>JP3+1</f>
        <v/>
      </c>
      <c r="JR3" s="115">
        <f>JQ3+1</f>
        <v/>
      </c>
      <c r="JS3" s="115">
        <f>JR3+1</f>
        <v/>
      </c>
      <c r="JT3" s="115">
        <f>JS3+1</f>
        <v/>
      </c>
      <c r="JU3" s="115">
        <f>JT3+1</f>
        <v/>
      </c>
      <c r="JV3" s="115">
        <f>JU3+1</f>
        <v/>
      </c>
      <c r="JW3" s="115">
        <f>JV3+1</f>
        <v/>
      </c>
      <c r="JX3" s="130" t="inlineStr">
        <is>
          <t>total</t>
        </is>
      </c>
      <c r="JY3" s="115" t="n">
        <v>45413</v>
      </c>
      <c r="JZ3" s="115">
        <f>JY3+1</f>
        <v/>
      </c>
      <c r="KA3" s="115">
        <f>JZ3+1</f>
        <v/>
      </c>
      <c r="KB3" s="115">
        <f>KA3+1</f>
        <v/>
      </c>
      <c r="KC3" s="115">
        <f>KB3+1</f>
        <v/>
      </c>
      <c r="KD3" s="115">
        <f>KC3+1</f>
        <v/>
      </c>
      <c r="KE3" s="115">
        <f>KD3+1</f>
        <v/>
      </c>
      <c r="KF3" s="115">
        <f>KE3+1</f>
        <v/>
      </c>
      <c r="KG3" s="115">
        <f>KF3+1</f>
        <v/>
      </c>
      <c r="KH3" s="115">
        <f>KG3+1</f>
        <v/>
      </c>
      <c r="KI3" s="115">
        <f>KH3+1</f>
        <v/>
      </c>
      <c r="KJ3" s="115">
        <f>KI3+1</f>
        <v/>
      </c>
      <c r="KK3" s="115">
        <f>KJ3+1</f>
        <v/>
      </c>
      <c r="KL3" s="115">
        <f>KK3+1</f>
        <v/>
      </c>
      <c r="KM3" s="115">
        <f>KL3+1</f>
        <v/>
      </c>
      <c r="KN3" s="115">
        <f>KM3+1</f>
        <v/>
      </c>
      <c r="KO3" s="115">
        <f>KN3+1</f>
        <v/>
      </c>
      <c r="KP3" s="115">
        <f>KO3+1</f>
        <v/>
      </c>
      <c r="KQ3" s="115">
        <f>KP3+1</f>
        <v/>
      </c>
      <c r="KR3" s="115">
        <f>KQ3+1</f>
        <v/>
      </c>
      <c r="KS3" s="115">
        <f>KR3+1</f>
        <v/>
      </c>
      <c r="KT3" s="115">
        <f>KS3+1</f>
        <v/>
      </c>
      <c r="KU3" s="115">
        <f>KT3+1</f>
        <v/>
      </c>
      <c r="KV3" s="115">
        <f>KU3+1</f>
        <v/>
      </c>
      <c r="KW3" s="115">
        <f>KV3+1</f>
        <v/>
      </c>
      <c r="KX3" s="115">
        <f>KW3+1</f>
        <v/>
      </c>
      <c r="KY3" s="115">
        <f>KX3+1</f>
        <v/>
      </c>
      <c r="KZ3" s="115">
        <f>KY3+1</f>
        <v/>
      </c>
      <c r="LA3" s="115">
        <f>KZ3+1</f>
        <v/>
      </c>
      <c r="LB3" s="115">
        <f>LA3+1</f>
        <v/>
      </c>
      <c r="LC3" s="115">
        <f>LB3+1</f>
        <v/>
      </c>
      <c r="LD3" s="134" t="inlineStr">
        <is>
          <t>total</t>
        </is>
      </c>
      <c r="LE3" t="inlineStr">
        <is>
          <t>1st -june</t>
        </is>
      </c>
      <c r="LF3" t="inlineStr">
        <is>
          <t>2nd -june</t>
        </is>
      </c>
      <c r="LG3" t="inlineStr">
        <is>
          <t>3rd -june</t>
        </is>
      </c>
      <c r="LH3" t="inlineStr">
        <is>
          <t>4th -june</t>
        </is>
      </c>
      <c r="LI3" t="inlineStr">
        <is>
          <t>5th -june</t>
        </is>
      </c>
      <c r="LJ3" t="inlineStr">
        <is>
          <t>6th -june</t>
        </is>
      </c>
      <c r="LK3" t="inlineStr">
        <is>
          <t>7th -june</t>
        </is>
      </c>
      <c r="LL3" t="inlineStr">
        <is>
          <t>8th -june</t>
        </is>
      </c>
      <c r="LM3" t="inlineStr">
        <is>
          <t>9th -june</t>
        </is>
      </c>
      <c r="LN3" t="inlineStr">
        <is>
          <t>10th -june</t>
        </is>
      </c>
      <c r="LO3" t="inlineStr">
        <is>
          <t>11th -june</t>
        </is>
      </c>
      <c r="LP3" t="inlineStr">
        <is>
          <t>12th -june</t>
        </is>
      </c>
      <c r="LQ3" t="inlineStr">
        <is>
          <t>13th -june</t>
        </is>
      </c>
      <c r="LR3" t="inlineStr">
        <is>
          <t>14th -june</t>
        </is>
      </c>
      <c r="LS3" t="inlineStr">
        <is>
          <t>15th -june</t>
        </is>
      </c>
      <c r="LT3" t="inlineStr">
        <is>
          <t>16th -june</t>
        </is>
      </c>
      <c r="LU3" t="inlineStr">
        <is>
          <t>17th -june</t>
        </is>
      </c>
      <c r="LV3" t="inlineStr">
        <is>
          <t>18th -june</t>
        </is>
      </c>
      <c r="LW3" t="inlineStr">
        <is>
          <t>19th -june</t>
        </is>
      </c>
      <c r="LX3" t="inlineStr">
        <is>
          <t>20th -june</t>
        </is>
      </c>
      <c r="LY3" t="inlineStr">
        <is>
          <t>21st -june</t>
        </is>
      </c>
      <c r="LZ3" t="inlineStr">
        <is>
          <t>22nd -june</t>
        </is>
      </c>
      <c r="MA3" t="inlineStr">
        <is>
          <t>23rd -june</t>
        </is>
      </c>
      <c r="MB3" t="inlineStr">
        <is>
          <t>24th -june</t>
        </is>
      </c>
      <c r="MC3" t="inlineStr">
        <is>
          <t>25th -june</t>
        </is>
      </c>
      <c r="MD3" t="inlineStr">
        <is>
          <t>26th -june</t>
        </is>
      </c>
      <c r="ME3" t="inlineStr">
        <is>
          <t>27th -june</t>
        </is>
      </c>
      <c r="MF3" t="inlineStr">
        <is>
          <t>28th -june</t>
        </is>
      </c>
      <c r="MG3" t="inlineStr">
        <is>
          <t>29th -june</t>
        </is>
      </c>
      <c r="MH3" t="inlineStr">
        <is>
          <t>30th -june</t>
        </is>
      </c>
      <c r="MI3" s="134" t="inlineStr">
        <is>
          <t>total</t>
        </is>
      </c>
      <c r="MJ3" t="inlineStr">
        <is>
          <t>1st july</t>
        </is>
      </c>
      <c r="MK3" t="inlineStr">
        <is>
          <t>2nd july</t>
        </is>
      </c>
      <c r="ML3" t="inlineStr">
        <is>
          <t>3rd july</t>
        </is>
      </c>
      <c r="MM3" t="inlineStr">
        <is>
          <t>4th july</t>
        </is>
      </c>
      <c r="MN3" t="inlineStr">
        <is>
          <t>5th july</t>
        </is>
      </c>
      <c r="MO3" t="inlineStr">
        <is>
          <t>6th july</t>
        </is>
      </c>
      <c r="MP3" t="inlineStr">
        <is>
          <t>7th july</t>
        </is>
      </c>
      <c r="MQ3" t="inlineStr">
        <is>
          <t>8th july</t>
        </is>
      </c>
      <c r="MR3" t="inlineStr">
        <is>
          <t>9th july</t>
        </is>
      </c>
      <c r="MS3" t="inlineStr">
        <is>
          <t>10th july</t>
        </is>
      </c>
      <c r="MT3" t="inlineStr">
        <is>
          <t>11th july</t>
        </is>
      </c>
      <c r="MU3" t="inlineStr">
        <is>
          <t>12th july</t>
        </is>
      </c>
      <c r="MV3" t="inlineStr">
        <is>
          <t>13th july</t>
        </is>
      </c>
      <c r="MW3" t="inlineStr">
        <is>
          <t>14th july</t>
        </is>
      </c>
      <c r="MX3" t="inlineStr">
        <is>
          <t>15th july</t>
        </is>
      </c>
      <c r="MY3" t="inlineStr">
        <is>
          <t>16th july</t>
        </is>
      </c>
      <c r="MZ3" t="inlineStr">
        <is>
          <t>17th july</t>
        </is>
      </c>
      <c r="NA3" t="inlineStr">
        <is>
          <t>18th july</t>
        </is>
      </c>
      <c r="NB3" t="inlineStr">
        <is>
          <t>19th july</t>
        </is>
      </c>
      <c r="NC3" t="inlineStr">
        <is>
          <t>20th july</t>
        </is>
      </c>
      <c r="ND3" t="inlineStr">
        <is>
          <t>21st july</t>
        </is>
      </c>
      <c r="NE3" t="inlineStr">
        <is>
          <t>22nd july</t>
        </is>
      </c>
      <c r="NF3" t="inlineStr">
        <is>
          <t>23rd july</t>
        </is>
      </c>
      <c r="NG3" t="inlineStr">
        <is>
          <t>24th july</t>
        </is>
      </c>
      <c r="NH3" t="inlineStr">
        <is>
          <t>25th july</t>
        </is>
      </c>
      <c r="NI3" t="inlineStr">
        <is>
          <t>26th july</t>
        </is>
      </c>
      <c r="NJ3" t="inlineStr">
        <is>
          <t>27th july</t>
        </is>
      </c>
      <c r="NK3" t="inlineStr">
        <is>
          <t>28th july</t>
        </is>
      </c>
      <c r="NL3" t="inlineStr">
        <is>
          <t>29th july</t>
        </is>
      </c>
      <c r="NM3" t="inlineStr">
        <is>
          <t>30th july</t>
        </is>
      </c>
      <c r="NN3" t="inlineStr">
        <is>
          <t>31st july</t>
        </is>
      </c>
      <c r="NO3" s="134" t="inlineStr">
        <is>
          <t>total</t>
        </is>
      </c>
      <c r="NP3" t="inlineStr">
        <is>
          <t>1st august</t>
        </is>
      </c>
      <c r="NQ3" t="inlineStr">
        <is>
          <t>2nd august</t>
        </is>
      </c>
      <c r="NR3" t="inlineStr">
        <is>
          <t>3rd august</t>
        </is>
      </c>
      <c r="NS3" t="inlineStr">
        <is>
          <t>4th august</t>
        </is>
      </c>
      <c r="NT3" t="inlineStr">
        <is>
          <t>5th august</t>
        </is>
      </c>
      <c r="NU3" t="inlineStr">
        <is>
          <t>6th august</t>
        </is>
      </c>
      <c r="NV3" t="inlineStr">
        <is>
          <t>7th august</t>
        </is>
      </c>
      <c r="NW3" t="inlineStr">
        <is>
          <t>8th august</t>
        </is>
      </c>
      <c r="NX3" t="inlineStr">
        <is>
          <t>9th august</t>
        </is>
      </c>
      <c r="NY3" t="inlineStr">
        <is>
          <t>10th august</t>
        </is>
      </c>
      <c r="NZ3" t="inlineStr">
        <is>
          <t>11th august</t>
        </is>
      </c>
      <c r="OA3" t="inlineStr">
        <is>
          <t>12th august</t>
        </is>
      </c>
      <c r="OB3" t="inlineStr">
        <is>
          <t>13th august</t>
        </is>
      </c>
      <c r="OC3" t="inlineStr">
        <is>
          <t>14th august</t>
        </is>
      </c>
      <c r="OD3" t="inlineStr">
        <is>
          <t>15th august</t>
        </is>
      </c>
      <c r="OE3" t="inlineStr">
        <is>
          <t>16th august</t>
        </is>
      </c>
      <c r="OF3" t="inlineStr">
        <is>
          <t>17th august</t>
        </is>
      </c>
      <c r="OG3" t="inlineStr">
        <is>
          <t>18th august</t>
        </is>
      </c>
      <c r="OH3" t="inlineStr">
        <is>
          <t>19th august</t>
        </is>
      </c>
      <c r="OI3" t="inlineStr">
        <is>
          <t>20th august</t>
        </is>
      </c>
      <c r="OJ3" t="inlineStr">
        <is>
          <t>21st august</t>
        </is>
      </c>
      <c r="OK3" t="inlineStr">
        <is>
          <t>22nd august</t>
        </is>
      </c>
      <c r="OL3" t="inlineStr">
        <is>
          <t>23rd august</t>
        </is>
      </c>
      <c r="OM3" t="inlineStr">
        <is>
          <t>24th august</t>
        </is>
      </c>
      <c r="ON3" t="inlineStr">
        <is>
          <t>25th august</t>
        </is>
      </c>
      <c r="OO3" t="inlineStr">
        <is>
          <t>26th august</t>
        </is>
      </c>
      <c r="OP3" t="inlineStr">
        <is>
          <t>27th august</t>
        </is>
      </c>
      <c r="OQ3" t="inlineStr">
        <is>
          <t>28th august</t>
        </is>
      </c>
      <c r="OR3" t="inlineStr">
        <is>
          <t>29th august</t>
        </is>
      </c>
      <c r="OS3" t="inlineStr">
        <is>
          <t>30th august</t>
        </is>
      </c>
      <c r="OT3" t="inlineStr">
        <is>
          <t>31st august</t>
        </is>
      </c>
      <c r="OU3" s="134" t="inlineStr">
        <is>
          <t>total</t>
        </is>
      </c>
      <c r="OV3" t="inlineStr">
        <is>
          <t>1st sep</t>
        </is>
      </c>
      <c r="OW3" t="inlineStr">
        <is>
          <t>2nd sep</t>
        </is>
      </c>
      <c r="OX3" t="inlineStr">
        <is>
          <t>3rd sep</t>
        </is>
      </c>
      <c r="OY3" t="inlineStr">
        <is>
          <t>4th sep</t>
        </is>
      </c>
      <c r="OZ3" t="inlineStr">
        <is>
          <t>5th sep</t>
        </is>
      </c>
      <c r="PA3" t="inlineStr">
        <is>
          <t>6th sep</t>
        </is>
      </c>
      <c r="PB3" t="inlineStr">
        <is>
          <t>7th sep</t>
        </is>
      </c>
      <c r="PC3" t="inlineStr">
        <is>
          <t>8th sep</t>
        </is>
      </c>
      <c r="PD3" t="inlineStr">
        <is>
          <t>9th sep</t>
        </is>
      </c>
      <c r="PE3" t="inlineStr">
        <is>
          <t>10th sep</t>
        </is>
      </c>
      <c r="PF3" t="inlineStr">
        <is>
          <t>11th sep</t>
        </is>
      </c>
      <c r="PG3" t="inlineStr">
        <is>
          <t>12th sep</t>
        </is>
      </c>
      <c r="PH3" t="inlineStr">
        <is>
          <t>13th sep</t>
        </is>
      </c>
      <c r="PI3" t="inlineStr">
        <is>
          <t>14th sep</t>
        </is>
      </c>
      <c r="PJ3" t="inlineStr">
        <is>
          <t>15th sep</t>
        </is>
      </c>
      <c r="PK3" t="inlineStr">
        <is>
          <t>16th sep</t>
        </is>
      </c>
      <c r="PL3" t="inlineStr">
        <is>
          <t>17th sep</t>
        </is>
      </c>
      <c r="PM3" t="inlineStr">
        <is>
          <t>18th sep</t>
        </is>
      </c>
      <c r="PN3" t="inlineStr">
        <is>
          <t>19th sep</t>
        </is>
      </c>
      <c r="PO3" t="inlineStr">
        <is>
          <t>20th sep</t>
        </is>
      </c>
      <c r="PP3" t="inlineStr">
        <is>
          <t>21st sep</t>
        </is>
      </c>
      <c r="PQ3" t="inlineStr">
        <is>
          <t>22nd sep</t>
        </is>
      </c>
      <c r="PR3" t="inlineStr">
        <is>
          <t>23rd sep</t>
        </is>
      </c>
      <c r="PS3" t="inlineStr">
        <is>
          <t>24th sep</t>
        </is>
      </c>
      <c r="PT3" t="inlineStr">
        <is>
          <t>25th sep</t>
        </is>
      </c>
      <c r="PU3" t="inlineStr">
        <is>
          <t>26th sep</t>
        </is>
      </c>
      <c r="PV3" t="inlineStr">
        <is>
          <t>27th sep</t>
        </is>
      </c>
      <c r="PW3" t="inlineStr">
        <is>
          <t>28th sep</t>
        </is>
      </c>
      <c r="PX3" t="inlineStr">
        <is>
          <t>29th sep</t>
        </is>
      </c>
      <c r="PY3" t="inlineStr">
        <is>
          <t>30th sep</t>
        </is>
      </c>
      <c r="PZ3" s="134" t="inlineStr">
        <is>
          <t>total</t>
        </is>
      </c>
      <c r="QA3" t="inlineStr">
        <is>
          <t>1st oct-24</t>
        </is>
      </c>
      <c r="QB3" t="inlineStr">
        <is>
          <t>2nd oct-24</t>
        </is>
      </c>
      <c r="QC3" t="inlineStr">
        <is>
          <t>3rd oct-24</t>
        </is>
      </c>
      <c r="QD3" t="inlineStr">
        <is>
          <t>4th oct-24</t>
        </is>
      </c>
      <c r="QE3" t="inlineStr">
        <is>
          <t>5th oct-24</t>
        </is>
      </c>
      <c r="QF3" t="inlineStr">
        <is>
          <t>6th oct-24</t>
        </is>
      </c>
      <c r="QG3" t="inlineStr">
        <is>
          <t>7th oct-24</t>
        </is>
      </c>
      <c r="QH3" t="inlineStr">
        <is>
          <t>8th oct-24</t>
        </is>
      </c>
      <c r="QI3" t="inlineStr">
        <is>
          <t>9th oct-24</t>
        </is>
      </c>
      <c r="QJ3" t="inlineStr">
        <is>
          <t>10th oct-24</t>
        </is>
      </c>
      <c r="QK3" t="inlineStr">
        <is>
          <t>11th oct-24</t>
        </is>
      </c>
      <c r="QL3" t="inlineStr">
        <is>
          <t>12th oct-24</t>
        </is>
      </c>
      <c r="QM3" t="inlineStr">
        <is>
          <t>13th oct-24</t>
        </is>
      </c>
      <c r="QN3" t="inlineStr">
        <is>
          <t>14th oct-24</t>
        </is>
      </c>
      <c r="QO3" t="inlineStr">
        <is>
          <t>15th oct-24</t>
        </is>
      </c>
      <c r="QP3" t="inlineStr">
        <is>
          <t>16th oct-24</t>
        </is>
      </c>
      <c r="QQ3" t="inlineStr">
        <is>
          <t>17th oct-24</t>
        </is>
      </c>
      <c r="QR3" t="inlineStr">
        <is>
          <t>18th oct-24</t>
        </is>
      </c>
      <c r="QS3" t="inlineStr">
        <is>
          <t>19th oct-24</t>
        </is>
      </c>
      <c r="QT3" t="inlineStr">
        <is>
          <t>20th oct-24</t>
        </is>
      </c>
      <c r="QU3" t="inlineStr">
        <is>
          <t>21st oct-24</t>
        </is>
      </c>
      <c r="QV3" t="inlineStr">
        <is>
          <t>22nd oct-24</t>
        </is>
      </c>
      <c r="QW3" t="inlineStr">
        <is>
          <t>23rd oct-24</t>
        </is>
      </c>
      <c r="QX3" t="inlineStr">
        <is>
          <t>24th oct-24</t>
        </is>
      </c>
      <c r="QY3" t="inlineStr">
        <is>
          <t>25th oct-24</t>
        </is>
      </c>
      <c r="QZ3" t="inlineStr">
        <is>
          <t>26th oct-24</t>
        </is>
      </c>
      <c r="RA3" t="inlineStr">
        <is>
          <t>27th oct-24</t>
        </is>
      </c>
      <c r="RB3" t="inlineStr">
        <is>
          <t>28th oct-24</t>
        </is>
      </c>
      <c r="RC3" t="inlineStr">
        <is>
          <t>29th oct-24</t>
        </is>
      </c>
      <c r="RD3" t="inlineStr">
        <is>
          <t>30th oct-24</t>
        </is>
      </c>
      <c r="RE3" t="inlineStr">
        <is>
          <t>31st oct-24</t>
        </is>
      </c>
      <c r="RF3" s="134" t="inlineStr">
        <is>
          <t>total</t>
        </is>
      </c>
      <c r="RG3" t="inlineStr">
        <is>
          <t>1st nov-2024</t>
        </is>
      </c>
      <c r="RH3" t="inlineStr">
        <is>
          <t>2nd nov-2024</t>
        </is>
      </c>
      <c r="RI3" t="inlineStr">
        <is>
          <t>3rd nov-2024</t>
        </is>
      </c>
      <c r="RJ3" t="inlineStr">
        <is>
          <t>4th nov-2024</t>
        </is>
      </c>
      <c r="RK3" t="inlineStr">
        <is>
          <t>5th nov-2024</t>
        </is>
      </c>
      <c r="RL3" t="inlineStr">
        <is>
          <t>6th nov-2024</t>
        </is>
      </c>
      <c r="RM3" t="inlineStr">
        <is>
          <t>7th nov-2024</t>
        </is>
      </c>
      <c r="RN3" t="inlineStr">
        <is>
          <t>8th nov-2024</t>
        </is>
      </c>
      <c r="RO3" t="inlineStr">
        <is>
          <t>9th nov-2024</t>
        </is>
      </c>
      <c r="RP3" t="inlineStr">
        <is>
          <t>10th nov-2024</t>
        </is>
      </c>
      <c r="RQ3" t="inlineStr">
        <is>
          <t>11th nov-2024</t>
        </is>
      </c>
      <c r="RR3" t="inlineStr">
        <is>
          <t>12th nov-2024</t>
        </is>
      </c>
      <c r="RS3" t="inlineStr">
        <is>
          <t>13th nov-2024</t>
        </is>
      </c>
      <c r="RT3" t="inlineStr">
        <is>
          <t>14th nov-2024</t>
        </is>
      </c>
      <c r="RU3" t="inlineStr">
        <is>
          <t>15th nov-2024</t>
        </is>
      </c>
      <c r="RV3" t="inlineStr">
        <is>
          <t>16th nov-2024</t>
        </is>
      </c>
      <c r="RW3" t="inlineStr">
        <is>
          <t>17th nov-2024</t>
        </is>
      </c>
      <c r="RX3" t="inlineStr">
        <is>
          <t>18th nov-2024</t>
        </is>
      </c>
      <c r="RY3" t="inlineStr">
        <is>
          <t>19th nov-2024</t>
        </is>
      </c>
      <c r="RZ3" t="inlineStr">
        <is>
          <t>20th nov-2024</t>
        </is>
      </c>
      <c r="SA3" t="inlineStr">
        <is>
          <t>21st nov-2024</t>
        </is>
      </c>
      <c r="SB3" t="inlineStr">
        <is>
          <t>22nd nov-2024</t>
        </is>
      </c>
      <c r="SC3" t="inlineStr">
        <is>
          <t>23rd nov-2024</t>
        </is>
      </c>
      <c r="SD3" t="inlineStr">
        <is>
          <t>24th nov-2024</t>
        </is>
      </c>
      <c r="SE3" t="inlineStr">
        <is>
          <t>25th nov-2024</t>
        </is>
      </c>
      <c r="SF3" t="inlineStr">
        <is>
          <t>26th nov-2024</t>
        </is>
      </c>
      <c r="SG3" t="inlineStr">
        <is>
          <t>27th nov-2024</t>
        </is>
      </c>
      <c r="SH3" t="inlineStr">
        <is>
          <t>28th nov-2024</t>
        </is>
      </c>
      <c r="SI3" t="inlineStr">
        <is>
          <t>29th nov-2024</t>
        </is>
      </c>
      <c r="SJ3" t="inlineStr">
        <is>
          <t>30th nov-2024</t>
        </is>
      </c>
      <c r="SK3" s="134" t="inlineStr">
        <is>
          <t>total</t>
        </is>
      </c>
      <c r="SL3" t="inlineStr">
        <is>
          <t>1st dec-2024</t>
        </is>
      </c>
      <c r="SM3" t="inlineStr">
        <is>
          <t>2nd dec-2024</t>
        </is>
      </c>
      <c r="SN3" t="inlineStr">
        <is>
          <t>3rd dec-2024</t>
        </is>
      </c>
      <c r="SO3" t="inlineStr">
        <is>
          <t>4th dec-2024</t>
        </is>
      </c>
      <c r="SP3" t="inlineStr">
        <is>
          <t>5th dec-2024</t>
        </is>
      </c>
      <c r="SQ3" t="inlineStr">
        <is>
          <t>6th dec-2024</t>
        </is>
      </c>
      <c r="SR3" t="inlineStr">
        <is>
          <t>7th dec-2024</t>
        </is>
      </c>
      <c r="SS3" t="inlineStr">
        <is>
          <t>8th dec-2024</t>
        </is>
      </c>
      <c r="ST3" t="inlineStr">
        <is>
          <t>9th dec-2024</t>
        </is>
      </c>
      <c r="SU3" t="inlineStr">
        <is>
          <t>10th dec-2024</t>
        </is>
      </c>
      <c r="SV3" t="inlineStr">
        <is>
          <t>11th dec-2024</t>
        </is>
      </c>
      <c r="SW3" t="inlineStr">
        <is>
          <t>12th dec-2024</t>
        </is>
      </c>
      <c r="SX3" t="inlineStr">
        <is>
          <t>13th dec-2024</t>
        </is>
      </c>
      <c r="SY3" t="inlineStr">
        <is>
          <t>14th dec-2024</t>
        </is>
      </c>
      <c r="SZ3" t="inlineStr">
        <is>
          <t>15th dec-2024</t>
        </is>
      </c>
      <c r="TA3" t="inlineStr">
        <is>
          <t>16th dec-2024</t>
        </is>
      </c>
      <c r="TB3" t="inlineStr">
        <is>
          <t>17th dec-2024</t>
        </is>
      </c>
      <c r="TC3" t="inlineStr">
        <is>
          <t>18th dec-2024</t>
        </is>
      </c>
      <c r="TD3" t="inlineStr">
        <is>
          <t>19th dec-2024</t>
        </is>
      </c>
      <c r="TE3" t="inlineStr">
        <is>
          <t>20th dec-2024</t>
        </is>
      </c>
      <c r="TF3" t="inlineStr">
        <is>
          <t>21st dec-2024</t>
        </is>
      </c>
      <c r="TG3" t="inlineStr">
        <is>
          <t>22nd dec-2024</t>
        </is>
      </c>
      <c r="TH3" t="inlineStr">
        <is>
          <t>23rd dec-2024</t>
        </is>
      </c>
      <c r="TI3" t="inlineStr">
        <is>
          <t>24th dec-2024</t>
        </is>
      </c>
      <c r="TJ3" t="inlineStr">
        <is>
          <t>25th dec-2024</t>
        </is>
      </c>
      <c r="TK3" t="inlineStr">
        <is>
          <t>26th dec-2024</t>
        </is>
      </c>
      <c r="TL3" t="inlineStr">
        <is>
          <t>27th dec-2024</t>
        </is>
      </c>
      <c r="TM3" t="inlineStr">
        <is>
          <t>28th dec-2024</t>
        </is>
      </c>
      <c r="TN3" t="inlineStr">
        <is>
          <t>29th dec-2024</t>
        </is>
      </c>
      <c r="TO3" t="inlineStr">
        <is>
          <t>30th dec-2024</t>
        </is>
      </c>
      <c r="TP3" t="inlineStr">
        <is>
          <t>31st dec-2024</t>
        </is>
      </c>
      <c r="TQ3" s="134" t="inlineStr">
        <is>
          <t>total</t>
        </is>
      </c>
      <c r="TR3" t="inlineStr">
        <is>
          <t>1st jan -2025</t>
        </is>
      </c>
      <c r="TS3" t="inlineStr">
        <is>
          <t>2nd jan -2025</t>
        </is>
      </c>
      <c r="TT3" t="inlineStr">
        <is>
          <t>3rd jan -2025</t>
        </is>
      </c>
      <c r="TU3" t="inlineStr">
        <is>
          <t>4th jan -2025</t>
        </is>
      </c>
      <c r="TV3" t="inlineStr">
        <is>
          <t>5th jan -2025</t>
        </is>
      </c>
      <c r="TW3" t="inlineStr">
        <is>
          <t>6th jan -2025</t>
        </is>
      </c>
      <c r="TX3" t="inlineStr">
        <is>
          <t>7th jan -2025</t>
        </is>
      </c>
      <c r="TY3" t="inlineStr">
        <is>
          <t>8th jan -2025</t>
        </is>
      </c>
      <c r="TZ3" t="inlineStr">
        <is>
          <t>9th jan -2025</t>
        </is>
      </c>
      <c r="UA3" t="inlineStr">
        <is>
          <t>10th jan -2025</t>
        </is>
      </c>
      <c r="UB3" t="inlineStr">
        <is>
          <t>11th jan -2025</t>
        </is>
      </c>
      <c r="UC3" t="inlineStr">
        <is>
          <t>12th jan -2025</t>
        </is>
      </c>
      <c r="UD3" t="inlineStr">
        <is>
          <t>13th jan -2025</t>
        </is>
      </c>
      <c r="UE3" t="inlineStr">
        <is>
          <t>14th jan -2025</t>
        </is>
      </c>
      <c r="UF3" t="inlineStr">
        <is>
          <t>15th jan -2025</t>
        </is>
      </c>
      <c r="UG3" t="inlineStr">
        <is>
          <t>16th jan -2025</t>
        </is>
      </c>
      <c r="UH3" t="inlineStr">
        <is>
          <t>17th jan -2025</t>
        </is>
      </c>
      <c r="UI3" t="inlineStr">
        <is>
          <t>18th jan -2025</t>
        </is>
      </c>
      <c r="UJ3" t="inlineStr">
        <is>
          <t>19th jan -2025</t>
        </is>
      </c>
      <c r="UK3" t="inlineStr">
        <is>
          <t>20th jan -2025</t>
        </is>
      </c>
      <c r="UL3" t="inlineStr">
        <is>
          <t>21st jan -2025</t>
        </is>
      </c>
      <c r="UM3" t="inlineStr">
        <is>
          <t>22nd jan -2025</t>
        </is>
      </c>
      <c r="UN3" t="inlineStr">
        <is>
          <t>23rd jan -2025</t>
        </is>
      </c>
      <c r="UO3" t="inlineStr">
        <is>
          <t>24th jan -2025</t>
        </is>
      </c>
      <c r="UP3" t="inlineStr">
        <is>
          <t>25th jan -2025</t>
        </is>
      </c>
      <c r="UQ3" t="inlineStr">
        <is>
          <t>26th jan -2025</t>
        </is>
      </c>
      <c r="UR3" t="inlineStr">
        <is>
          <t>27th jan -2025</t>
        </is>
      </c>
      <c r="US3" t="inlineStr">
        <is>
          <t>28th jan -2025</t>
        </is>
      </c>
      <c r="UT3" t="inlineStr">
        <is>
          <t>29th jan -2025</t>
        </is>
      </c>
      <c r="UU3" t="inlineStr">
        <is>
          <t>30th jan -2025</t>
        </is>
      </c>
      <c r="UV3" t="inlineStr">
        <is>
          <t>31st jan -2025</t>
        </is>
      </c>
      <c r="UW3" s="130" t="inlineStr">
        <is>
          <t>tptal</t>
        </is>
      </c>
      <c r="UX3" t="inlineStr">
        <is>
          <t>1st feb 2025</t>
        </is>
      </c>
      <c r="UY3" t="inlineStr">
        <is>
          <t>2nd feb 2025</t>
        </is>
      </c>
      <c r="UZ3" t="inlineStr">
        <is>
          <t>3rd feb 2025</t>
        </is>
      </c>
      <c r="VA3" t="inlineStr">
        <is>
          <t>4th feb 2025</t>
        </is>
      </c>
      <c r="VB3" t="inlineStr">
        <is>
          <t>5th feb 2025</t>
        </is>
      </c>
      <c r="VC3" t="inlineStr">
        <is>
          <t>6th feb 2025</t>
        </is>
      </c>
      <c r="VD3" t="inlineStr">
        <is>
          <t>7th feb 2025</t>
        </is>
      </c>
      <c r="VE3" t="inlineStr">
        <is>
          <t>8th feb 2025</t>
        </is>
      </c>
      <c r="VF3" t="inlineStr">
        <is>
          <t>9th feb 2025</t>
        </is>
      </c>
      <c r="VG3" t="inlineStr">
        <is>
          <t>10th feb 2025</t>
        </is>
      </c>
      <c r="VH3" t="inlineStr">
        <is>
          <t>11th feb 2025</t>
        </is>
      </c>
      <c r="VI3" t="inlineStr">
        <is>
          <t>12th feb 2025</t>
        </is>
      </c>
      <c r="VJ3" t="inlineStr">
        <is>
          <t>13th feb 2025</t>
        </is>
      </c>
      <c r="VK3" t="inlineStr">
        <is>
          <t>14th feb 2025</t>
        </is>
      </c>
      <c r="VL3" t="inlineStr">
        <is>
          <t>15th feb 2025</t>
        </is>
      </c>
      <c r="VM3" t="inlineStr">
        <is>
          <t>16th feb 2025</t>
        </is>
      </c>
      <c r="VN3" t="inlineStr">
        <is>
          <t>17th feb 2025</t>
        </is>
      </c>
      <c r="VO3" t="inlineStr">
        <is>
          <t>18th feb 2025</t>
        </is>
      </c>
      <c r="VP3" t="inlineStr">
        <is>
          <t>19th feb 2025</t>
        </is>
      </c>
      <c r="VQ3" t="inlineStr">
        <is>
          <t>20th feb 2025</t>
        </is>
      </c>
      <c r="VR3" t="inlineStr">
        <is>
          <t>21st feb 2025</t>
        </is>
      </c>
      <c r="VS3" t="inlineStr">
        <is>
          <t>22nd feb 2025</t>
        </is>
      </c>
      <c r="VT3" t="inlineStr">
        <is>
          <t>23rd feb 2025</t>
        </is>
      </c>
      <c r="VU3" t="inlineStr">
        <is>
          <t>24th feb 2025</t>
        </is>
      </c>
      <c r="VV3" t="inlineStr">
        <is>
          <t>25th feb 2025</t>
        </is>
      </c>
      <c r="VW3" t="inlineStr">
        <is>
          <t>26th feb 2025</t>
        </is>
      </c>
      <c r="VX3" t="inlineStr">
        <is>
          <t>27th feb 2025</t>
        </is>
      </c>
      <c r="VY3" t="inlineStr">
        <is>
          <t>28th feb 2025</t>
        </is>
      </c>
      <c r="VZ3" s="130" t="inlineStr">
        <is>
          <t>Total</t>
        </is>
      </c>
      <c r="WA3" t="inlineStr">
        <is>
          <t>1st mar 2025</t>
        </is>
      </c>
      <c r="WB3" t="inlineStr">
        <is>
          <t>2nd mar 2025</t>
        </is>
      </c>
      <c r="WC3" t="inlineStr">
        <is>
          <t>3rd mar 2025</t>
        </is>
      </c>
      <c r="WD3" t="inlineStr">
        <is>
          <t>4th mar 2025</t>
        </is>
      </c>
      <c r="WE3" t="inlineStr">
        <is>
          <t>5th mar 2025</t>
        </is>
      </c>
      <c r="WF3" t="inlineStr">
        <is>
          <t>6th mar 2025</t>
        </is>
      </c>
      <c r="WG3" t="inlineStr">
        <is>
          <t>7th mar 2025</t>
        </is>
      </c>
      <c r="WH3" t="inlineStr">
        <is>
          <t>8th mar 2025</t>
        </is>
      </c>
      <c r="WI3" t="inlineStr">
        <is>
          <t>9th mar 2025</t>
        </is>
      </c>
      <c r="WJ3" t="inlineStr">
        <is>
          <t>10th mar 2025</t>
        </is>
      </c>
      <c r="WK3" t="inlineStr">
        <is>
          <t>11th mar 2025</t>
        </is>
      </c>
      <c r="WL3" t="inlineStr">
        <is>
          <t>12th mar 2025</t>
        </is>
      </c>
      <c r="WM3" t="inlineStr">
        <is>
          <t>13th mar 2025</t>
        </is>
      </c>
      <c r="WN3" t="inlineStr">
        <is>
          <t>14th mar 2025</t>
        </is>
      </c>
      <c r="WO3" t="inlineStr">
        <is>
          <t>15th mar 2025</t>
        </is>
      </c>
      <c r="WP3" t="inlineStr">
        <is>
          <t>16th mar 2025</t>
        </is>
      </c>
      <c r="WQ3" t="inlineStr">
        <is>
          <t>17th mar 2025</t>
        </is>
      </c>
      <c r="WR3" t="inlineStr">
        <is>
          <t>18th mar 2025</t>
        </is>
      </c>
      <c r="WS3" t="inlineStr">
        <is>
          <t>19th mar 2025</t>
        </is>
      </c>
      <c r="WT3" t="inlineStr">
        <is>
          <t>20th mar 2025</t>
        </is>
      </c>
      <c r="WU3" t="inlineStr">
        <is>
          <t>21st mar 2025</t>
        </is>
      </c>
      <c r="WV3" t="inlineStr">
        <is>
          <t>22nd mar 2025</t>
        </is>
      </c>
      <c r="WW3" t="inlineStr">
        <is>
          <t>23rd mar 2025</t>
        </is>
      </c>
      <c r="WX3" t="inlineStr">
        <is>
          <t>24th mar 2025</t>
        </is>
      </c>
      <c r="WY3" t="inlineStr">
        <is>
          <t>25th mar 2025</t>
        </is>
      </c>
      <c r="WZ3" t="inlineStr">
        <is>
          <t>26th mar 2025</t>
        </is>
      </c>
      <c r="XA3" t="inlineStr">
        <is>
          <t>27th mar 2025</t>
        </is>
      </c>
      <c r="XB3" t="inlineStr">
        <is>
          <t>28th mar 2025</t>
        </is>
      </c>
      <c r="XC3" t="inlineStr">
        <is>
          <t>29th mar 2025</t>
        </is>
      </c>
      <c r="XD3" t="inlineStr">
        <is>
          <t>30th mar 2025</t>
        </is>
      </c>
      <c r="XE3" t="inlineStr">
        <is>
          <t>31st mar 2025</t>
        </is>
      </c>
      <c r="XF3" s="130" t="inlineStr">
        <is>
          <t>T0tal</t>
        </is>
      </c>
      <c r="XG3" t="inlineStr">
        <is>
          <t>1st -apr2025</t>
        </is>
      </c>
      <c r="XH3" t="inlineStr">
        <is>
          <t>2nd -apr2025</t>
        </is>
      </c>
      <c r="XI3" t="inlineStr">
        <is>
          <t>3rd -apr2025</t>
        </is>
      </c>
      <c r="XJ3" t="inlineStr">
        <is>
          <t>4th -apr2025</t>
        </is>
      </c>
      <c r="XK3" t="inlineStr">
        <is>
          <t>5th -apr2025</t>
        </is>
      </c>
      <c r="XL3" t="inlineStr">
        <is>
          <t>6th -apr2025</t>
        </is>
      </c>
      <c r="XM3" t="inlineStr">
        <is>
          <t>7th -apr2025</t>
        </is>
      </c>
      <c r="XN3" t="inlineStr">
        <is>
          <t>8th -apr2025</t>
        </is>
      </c>
      <c r="XO3" t="inlineStr">
        <is>
          <t>9th -apr2025</t>
        </is>
      </c>
      <c r="XP3" t="inlineStr">
        <is>
          <t>10th -apr2025</t>
        </is>
      </c>
      <c r="XQ3" t="inlineStr">
        <is>
          <t>11th -apr2025</t>
        </is>
      </c>
      <c r="XR3" t="inlineStr">
        <is>
          <t>12th -apr2025</t>
        </is>
      </c>
      <c r="XS3" t="inlineStr">
        <is>
          <t>13th -apr2025</t>
        </is>
      </c>
      <c r="XT3" t="inlineStr">
        <is>
          <t>14th -apr2025</t>
        </is>
      </c>
      <c r="XU3" t="inlineStr">
        <is>
          <t>15th -apr2025</t>
        </is>
      </c>
      <c r="XV3" t="inlineStr">
        <is>
          <t>16th -apr2025</t>
        </is>
      </c>
      <c r="XW3" t="inlineStr">
        <is>
          <t>17th -apr2025</t>
        </is>
      </c>
      <c r="XX3" t="inlineStr">
        <is>
          <t>18th -apr2025</t>
        </is>
      </c>
      <c r="XY3" t="inlineStr">
        <is>
          <t>19th -apr2025</t>
        </is>
      </c>
      <c r="XZ3" t="inlineStr">
        <is>
          <t>20th -apr2025</t>
        </is>
      </c>
      <c r="YA3" t="inlineStr">
        <is>
          <t>21st -apr2025</t>
        </is>
      </c>
      <c r="YB3" t="inlineStr">
        <is>
          <t>22nd -apr2025</t>
        </is>
      </c>
      <c r="YC3" t="inlineStr">
        <is>
          <t>23rd -apr2025</t>
        </is>
      </c>
      <c r="YD3" t="inlineStr">
        <is>
          <t>24th -apr2025</t>
        </is>
      </c>
      <c r="YE3" t="inlineStr">
        <is>
          <t>25th -apr2025</t>
        </is>
      </c>
      <c r="YF3" t="inlineStr">
        <is>
          <t>26th -apr2025</t>
        </is>
      </c>
      <c r="YG3" t="inlineStr">
        <is>
          <t>27th -apr2025</t>
        </is>
      </c>
      <c r="YH3" t="inlineStr">
        <is>
          <t>28th -apr2025</t>
        </is>
      </c>
      <c r="YI3" t="inlineStr">
        <is>
          <t>29th -apr2025</t>
        </is>
      </c>
      <c r="YJ3" t="inlineStr">
        <is>
          <t>30th -apr2025</t>
        </is>
      </c>
      <c r="YK3" s="130" t="inlineStr">
        <is>
          <t>T0tal</t>
        </is>
      </c>
      <c r="YL3" t="inlineStr">
        <is>
          <t>1st May-2025</t>
        </is>
      </c>
      <c r="YM3" t="inlineStr">
        <is>
          <t>2nd May-2025</t>
        </is>
      </c>
      <c r="YN3" t="inlineStr">
        <is>
          <t>3rd May-2025</t>
        </is>
      </c>
      <c r="YO3" t="inlineStr">
        <is>
          <t>4th May-2025</t>
        </is>
      </c>
      <c r="YP3" t="inlineStr">
        <is>
          <t>5th May-2025</t>
        </is>
      </c>
      <c r="YQ3" t="inlineStr">
        <is>
          <t>6th May-2025</t>
        </is>
      </c>
      <c r="YR3" t="inlineStr">
        <is>
          <t>7th May-2025</t>
        </is>
      </c>
      <c r="YS3" t="inlineStr">
        <is>
          <t>8th May-2025</t>
        </is>
      </c>
      <c r="YT3" t="inlineStr">
        <is>
          <t>9th May-2025</t>
        </is>
      </c>
      <c r="YU3" t="inlineStr">
        <is>
          <t>10th May-2025</t>
        </is>
      </c>
      <c r="YV3" t="inlineStr">
        <is>
          <t>11th May-2025</t>
        </is>
      </c>
      <c r="YW3" t="inlineStr">
        <is>
          <t>12th May-2025</t>
        </is>
      </c>
      <c r="YX3" t="inlineStr">
        <is>
          <t>13th May-2025</t>
        </is>
      </c>
      <c r="YY3" t="inlineStr">
        <is>
          <t>14th May-2025</t>
        </is>
      </c>
      <c r="YZ3" t="inlineStr">
        <is>
          <t>15th May-2025</t>
        </is>
      </c>
      <c r="ZA3" t="inlineStr">
        <is>
          <t>16th May-2025</t>
        </is>
      </c>
      <c r="ZB3" t="inlineStr">
        <is>
          <t>17th May-2025</t>
        </is>
      </c>
      <c r="ZC3" t="inlineStr">
        <is>
          <t>18th May-2025</t>
        </is>
      </c>
      <c r="ZD3" t="inlineStr">
        <is>
          <t>19th May-2025</t>
        </is>
      </c>
      <c r="ZE3" t="inlineStr">
        <is>
          <t>20th May-2025</t>
        </is>
      </c>
      <c r="ZF3" t="inlineStr">
        <is>
          <t>21st May-2025</t>
        </is>
      </c>
      <c r="ZG3" t="inlineStr">
        <is>
          <t>22nd May-2025</t>
        </is>
      </c>
      <c r="ZH3" t="inlineStr">
        <is>
          <t>23rd May-2025</t>
        </is>
      </c>
      <c r="ZI3" t="inlineStr">
        <is>
          <t>24th May-2025</t>
        </is>
      </c>
      <c r="ZJ3" t="inlineStr">
        <is>
          <t>25th May-2025</t>
        </is>
      </c>
      <c r="ZK3" t="inlineStr">
        <is>
          <t>26th May-2025</t>
        </is>
      </c>
      <c r="ZL3" t="inlineStr">
        <is>
          <t>27th May-2025</t>
        </is>
      </c>
      <c r="ZM3" t="inlineStr">
        <is>
          <t>28th May-2025</t>
        </is>
      </c>
      <c r="ZN3" t="inlineStr">
        <is>
          <t>29th May-2025</t>
        </is>
      </c>
      <c r="ZO3" t="inlineStr">
        <is>
          <t>30th May-2025</t>
        </is>
      </c>
      <c r="ZP3" t="inlineStr">
        <is>
          <t>31st May-2025</t>
        </is>
      </c>
      <c r="ZQ3" s="130" t="inlineStr">
        <is>
          <t>T0tal</t>
        </is>
      </c>
      <c r="ZR3" t="inlineStr">
        <is>
          <t>1st june</t>
        </is>
      </c>
      <c r="ZS3" t="inlineStr">
        <is>
          <t>2nd june</t>
        </is>
      </c>
      <c r="ZT3" t="inlineStr">
        <is>
          <t>3rd june</t>
        </is>
      </c>
      <c r="ZU3" t="inlineStr">
        <is>
          <t>4th june</t>
        </is>
      </c>
      <c r="ZV3" t="inlineStr">
        <is>
          <t>5th june</t>
        </is>
      </c>
      <c r="ZW3" t="inlineStr">
        <is>
          <t>6th june</t>
        </is>
      </c>
      <c r="ZX3" t="inlineStr">
        <is>
          <t>7th june</t>
        </is>
      </c>
      <c r="ZY3" t="inlineStr">
        <is>
          <t>8th june</t>
        </is>
      </c>
      <c r="ZZ3" t="inlineStr">
        <is>
          <t>9th june</t>
        </is>
      </c>
      <c r="AAA3" t="inlineStr">
        <is>
          <t>10th june</t>
        </is>
      </c>
      <c r="AAB3" t="inlineStr">
        <is>
          <t>11th june</t>
        </is>
      </c>
      <c r="AAC3" t="inlineStr">
        <is>
          <t>12th june</t>
        </is>
      </c>
      <c r="AAD3" t="inlineStr">
        <is>
          <t>13th june</t>
        </is>
      </c>
      <c r="AAE3" t="inlineStr">
        <is>
          <t>14th june</t>
        </is>
      </c>
      <c r="AAF3" t="inlineStr">
        <is>
          <t>15th june</t>
        </is>
      </c>
      <c r="AAG3" t="inlineStr">
        <is>
          <t>16th june</t>
        </is>
      </c>
      <c r="AAH3" t="inlineStr">
        <is>
          <t>17th june</t>
        </is>
      </c>
      <c r="AAI3" t="inlineStr">
        <is>
          <t>18th june</t>
        </is>
      </c>
      <c r="AAJ3" t="inlineStr">
        <is>
          <t>19th june</t>
        </is>
      </c>
      <c r="AAK3" t="inlineStr">
        <is>
          <t>20th june</t>
        </is>
      </c>
      <c r="AAL3" t="inlineStr">
        <is>
          <t>21st june</t>
        </is>
      </c>
      <c r="AAM3" t="inlineStr">
        <is>
          <t>22nd june</t>
        </is>
      </c>
      <c r="AAN3" t="inlineStr">
        <is>
          <t>23rd june</t>
        </is>
      </c>
      <c r="AAO3" t="inlineStr">
        <is>
          <t>24th june</t>
        </is>
      </c>
      <c r="AAP3" t="inlineStr">
        <is>
          <t>25th june</t>
        </is>
      </c>
      <c r="AAQ3" t="inlineStr">
        <is>
          <t>26th june</t>
        </is>
      </c>
      <c r="AAR3" t="inlineStr">
        <is>
          <t>27th june</t>
        </is>
      </c>
      <c r="AAS3" t="inlineStr">
        <is>
          <t>28th june</t>
        </is>
      </c>
      <c r="AAT3" t="inlineStr">
        <is>
          <t>29th june</t>
        </is>
      </c>
      <c r="AAU3" t="inlineStr">
        <is>
          <t>30th june</t>
        </is>
      </c>
      <c r="AAV3" s="130" t="inlineStr">
        <is>
          <t>T0tal</t>
        </is>
      </c>
      <c r="AAW3" t="inlineStr">
        <is>
          <t>1st july</t>
        </is>
      </c>
      <c r="AAX3" t="inlineStr">
        <is>
          <t>2nd july</t>
        </is>
      </c>
      <c r="AAY3" t="inlineStr">
        <is>
          <t>3rd july</t>
        </is>
      </c>
      <c r="AAZ3" t="inlineStr">
        <is>
          <t>4th july</t>
        </is>
      </c>
      <c r="ABA3" t="inlineStr">
        <is>
          <t>5th july</t>
        </is>
      </c>
      <c r="ABB3" t="inlineStr">
        <is>
          <t>6th july</t>
        </is>
      </c>
      <c r="ABC3" t="inlineStr">
        <is>
          <t>7th july</t>
        </is>
      </c>
      <c r="ABD3" t="inlineStr">
        <is>
          <t>8th july</t>
        </is>
      </c>
      <c r="ABE3" t="inlineStr">
        <is>
          <t>9th july</t>
        </is>
      </c>
      <c r="ABF3" t="inlineStr">
        <is>
          <t>10th july</t>
        </is>
      </c>
      <c r="ABG3" t="inlineStr">
        <is>
          <t>11th july</t>
        </is>
      </c>
      <c r="ABH3" t="inlineStr">
        <is>
          <t>12th july</t>
        </is>
      </c>
      <c r="ABI3" t="inlineStr">
        <is>
          <t>13th july</t>
        </is>
      </c>
      <c r="ABJ3" t="inlineStr">
        <is>
          <t>14th july</t>
        </is>
      </c>
      <c r="ABK3" t="inlineStr">
        <is>
          <t>15th july</t>
        </is>
      </c>
      <c r="ABL3" t="inlineStr">
        <is>
          <t>16th july</t>
        </is>
      </c>
      <c r="ABM3" t="inlineStr">
        <is>
          <t>17th july</t>
        </is>
      </c>
      <c r="ABN3" t="inlineStr">
        <is>
          <t>18th july</t>
        </is>
      </c>
      <c r="ABO3" t="inlineStr">
        <is>
          <t>19th july</t>
        </is>
      </c>
      <c r="ABP3" t="inlineStr">
        <is>
          <t>20th july</t>
        </is>
      </c>
      <c r="ABQ3" t="inlineStr">
        <is>
          <t>21st july</t>
        </is>
      </c>
      <c r="ABR3" t="inlineStr">
        <is>
          <t>22nd july</t>
        </is>
      </c>
      <c r="ABS3" t="inlineStr">
        <is>
          <t>23rd july</t>
        </is>
      </c>
      <c r="ABT3" t="inlineStr">
        <is>
          <t>24th july</t>
        </is>
      </c>
      <c r="ABU3" t="inlineStr">
        <is>
          <t>25th july</t>
        </is>
      </c>
      <c r="ABV3" t="inlineStr">
        <is>
          <t>26th july</t>
        </is>
      </c>
      <c r="ABW3" t="inlineStr">
        <is>
          <t>27th july</t>
        </is>
      </c>
      <c r="ABX3" t="inlineStr">
        <is>
          <t>28th july</t>
        </is>
      </c>
      <c r="ABY3" t="inlineStr">
        <is>
          <t>29th july</t>
        </is>
      </c>
      <c r="ABZ3" t="inlineStr">
        <is>
          <t>30th july</t>
        </is>
      </c>
      <c r="ACA3" t="inlineStr">
        <is>
          <t>31st july</t>
        </is>
      </c>
      <c r="ACB3" s="130" t="inlineStr">
        <is>
          <t>T0tal</t>
        </is>
      </c>
      <c r="ACC3" t="inlineStr">
        <is>
          <t>1st aug</t>
        </is>
      </c>
      <c r="ACD3" t="inlineStr">
        <is>
          <t>2nd aug</t>
        </is>
      </c>
      <c r="ACE3" t="inlineStr">
        <is>
          <t>3rd aug</t>
        </is>
      </c>
      <c r="ACF3" t="inlineStr">
        <is>
          <t>4th aug</t>
        </is>
      </c>
      <c r="ACG3" t="inlineStr">
        <is>
          <t>5th aug</t>
        </is>
      </c>
      <c r="ACH3" t="inlineStr">
        <is>
          <t>6th aug</t>
        </is>
      </c>
      <c r="ACI3" t="inlineStr">
        <is>
          <t>7th aug</t>
        </is>
      </c>
      <c r="ACJ3" t="inlineStr">
        <is>
          <t>8th aug</t>
        </is>
      </c>
      <c r="ACK3" t="inlineStr">
        <is>
          <t>9th aug</t>
        </is>
      </c>
      <c r="ACL3" t="inlineStr">
        <is>
          <t>10th aug</t>
        </is>
      </c>
      <c r="ACM3" t="inlineStr">
        <is>
          <t>11th aug</t>
        </is>
      </c>
      <c r="ACN3" t="inlineStr">
        <is>
          <t>12th aug</t>
        </is>
      </c>
      <c r="ACO3" t="inlineStr">
        <is>
          <t>13th aug</t>
        </is>
      </c>
      <c r="ACP3" t="inlineStr">
        <is>
          <t>14th aug</t>
        </is>
      </c>
      <c r="ACQ3" t="inlineStr">
        <is>
          <t>15th aug</t>
        </is>
      </c>
      <c r="ACR3" t="inlineStr">
        <is>
          <t>16th aug</t>
        </is>
      </c>
      <c r="ACS3" t="inlineStr">
        <is>
          <t>17th aug</t>
        </is>
      </c>
      <c r="ACT3" t="inlineStr">
        <is>
          <t>18th aug</t>
        </is>
      </c>
      <c r="ACU3" t="inlineStr">
        <is>
          <t>19th aug</t>
        </is>
      </c>
      <c r="ACV3" t="inlineStr">
        <is>
          <t>20th aug</t>
        </is>
      </c>
      <c r="ACW3" t="inlineStr">
        <is>
          <t>21st aug</t>
        </is>
      </c>
      <c r="ACX3" t="inlineStr">
        <is>
          <t>22nd aug</t>
        </is>
      </c>
      <c r="ACY3" t="inlineStr">
        <is>
          <t>23rd aug</t>
        </is>
      </c>
      <c r="ACZ3" t="inlineStr">
        <is>
          <t>24th aug</t>
        </is>
      </c>
      <c r="ADA3" t="inlineStr">
        <is>
          <t>25th aug</t>
        </is>
      </c>
      <c r="ADB3" t="inlineStr">
        <is>
          <t>26th aug</t>
        </is>
      </c>
      <c r="ADC3" t="inlineStr">
        <is>
          <t>27th aug</t>
        </is>
      </c>
      <c r="ADD3" t="inlineStr">
        <is>
          <t>28th aug</t>
        </is>
      </c>
      <c r="ADE3" t="inlineStr">
        <is>
          <t>29th aug</t>
        </is>
      </c>
      <c r="ADF3" t="inlineStr">
        <is>
          <t>30th aug</t>
        </is>
      </c>
      <c r="ADG3" t="inlineStr">
        <is>
          <t>31st aug</t>
        </is>
      </c>
      <c r="ADH3" s="130" t="n"/>
      <c r="ADI3" t="inlineStr">
        <is>
          <t>1st -sep25</t>
        </is>
      </c>
      <c r="ADJ3" t="inlineStr">
        <is>
          <t>2nd -sep25</t>
        </is>
      </c>
      <c r="ADK3" t="inlineStr">
        <is>
          <t>3rd -sep25</t>
        </is>
      </c>
      <c r="ADL3" t="inlineStr">
        <is>
          <t>4th -sep25</t>
        </is>
      </c>
      <c r="ADM3" t="inlineStr">
        <is>
          <t>5th -sep25</t>
        </is>
      </c>
      <c r="ADN3" t="inlineStr">
        <is>
          <t>6th -sep25</t>
        </is>
      </c>
      <c r="ADO3" t="inlineStr">
        <is>
          <t>7th -sep25</t>
        </is>
      </c>
      <c r="ADP3" t="inlineStr">
        <is>
          <t>8th -sep25</t>
        </is>
      </c>
      <c r="ADQ3" t="inlineStr">
        <is>
          <t>9th -sep25</t>
        </is>
      </c>
      <c r="ADR3" t="inlineStr">
        <is>
          <t>10th -sep25</t>
        </is>
      </c>
      <c r="ADS3" t="inlineStr">
        <is>
          <t>11th -sep25</t>
        </is>
      </c>
      <c r="ADT3" t="inlineStr">
        <is>
          <t>12th -sep25</t>
        </is>
      </c>
      <c r="ADU3" t="inlineStr">
        <is>
          <t>13th -sep25</t>
        </is>
      </c>
      <c r="ADV3" t="inlineStr">
        <is>
          <t>14th -sep25</t>
        </is>
      </c>
      <c r="ADW3" t="inlineStr">
        <is>
          <t>15th -sep25</t>
        </is>
      </c>
      <c r="ADX3" t="inlineStr">
        <is>
          <t>16th -sep25</t>
        </is>
      </c>
      <c r="ADY3" t="inlineStr">
        <is>
          <t>17th -sep25</t>
        </is>
      </c>
      <c r="ADZ3" t="inlineStr">
        <is>
          <t>18th -sep25</t>
        </is>
      </c>
      <c r="AEA3" t="inlineStr">
        <is>
          <t>19th -sep25</t>
        </is>
      </c>
      <c r="AEB3" t="inlineStr">
        <is>
          <t>20th -sep25</t>
        </is>
      </c>
      <c r="AEC3" t="inlineStr">
        <is>
          <t>21st -sep25</t>
        </is>
      </c>
      <c r="AED3" t="inlineStr">
        <is>
          <t>22nd -sep25</t>
        </is>
      </c>
      <c r="AEE3" t="inlineStr">
        <is>
          <t>23rd -sep25</t>
        </is>
      </c>
      <c r="AEF3" t="inlineStr">
        <is>
          <t>24th -sep25</t>
        </is>
      </c>
      <c r="AEG3" t="inlineStr">
        <is>
          <t>25th -sep25</t>
        </is>
      </c>
      <c r="AEH3" t="inlineStr">
        <is>
          <t>26th -sep25</t>
        </is>
      </c>
      <c r="AEI3" t="inlineStr">
        <is>
          <t>27th -sep25</t>
        </is>
      </c>
      <c r="AEJ3" t="inlineStr">
        <is>
          <t>28th -sep25</t>
        </is>
      </c>
      <c r="AEK3" t="inlineStr">
        <is>
          <t>29th -sep25</t>
        </is>
      </c>
      <c r="AEL3" t="inlineStr">
        <is>
          <t>30th -sep25</t>
        </is>
      </c>
      <c r="AEM3" s="130" t="inlineStr">
        <is>
          <t>Total</t>
        </is>
      </c>
      <c r="AEN3" t="inlineStr">
        <is>
          <t>1st -oct25</t>
        </is>
      </c>
      <c r="AEO3" t="inlineStr">
        <is>
          <t>2nd -oct25</t>
        </is>
      </c>
      <c r="AEP3" t="inlineStr">
        <is>
          <t>3rd -oct25</t>
        </is>
      </c>
      <c r="AEQ3" t="inlineStr">
        <is>
          <t>4th -oct25</t>
        </is>
      </c>
      <c r="AER3" t="inlineStr">
        <is>
          <t>5th -oct25</t>
        </is>
      </c>
      <c r="AES3" t="inlineStr">
        <is>
          <t>6th -oct25</t>
        </is>
      </c>
      <c r="AET3" t="inlineStr">
        <is>
          <t>7th -oct25</t>
        </is>
      </c>
      <c r="AEU3" t="inlineStr">
        <is>
          <t>8th -oct25</t>
        </is>
      </c>
      <c r="AEV3" t="inlineStr">
        <is>
          <t>9th -oct25</t>
        </is>
      </c>
      <c r="AEW3" t="inlineStr">
        <is>
          <t>10th -oct25</t>
        </is>
      </c>
      <c r="AEX3" t="inlineStr">
        <is>
          <t>11th -oct25</t>
        </is>
      </c>
      <c r="AEY3" t="inlineStr">
        <is>
          <t>12th -oct25</t>
        </is>
      </c>
      <c r="AEZ3" t="inlineStr">
        <is>
          <t>13th -oct25</t>
        </is>
      </c>
      <c r="AFA3" t="inlineStr">
        <is>
          <t>14th -oct25</t>
        </is>
      </c>
      <c r="AFB3" t="inlineStr">
        <is>
          <t>15th -oct25</t>
        </is>
      </c>
      <c r="AFC3" t="inlineStr">
        <is>
          <t>16th -oct25</t>
        </is>
      </c>
      <c r="AFD3" t="inlineStr">
        <is>
          <t>17th -oct25</t>
        </is>
      </c>
      <c r="AFE3" t="inlineStr">
        <is>
          <t>18th -oct25</t>
        </is>
      </c>
      <c r="AFF3" t="inlineStr">
        <is>
          <t>19th -oct25</t>
        </is>
      </c>
      <c r="AFG3" t="inlineStr">
        <is>
          <t>20th -oct25</t>
        </is>
      </c>
      <c r="AFH3" t="inlineStr">
        <is>
          <t>21st -oct25</t>
        </is>
      </c>
      <c r="AFI3" t="inlineStr">
        <is>
          <t>22nd -oct25</t>
        </is>
      </c>
      <c r="AFJ3" t="inlineStr">
        <is>
          <t>23rd -oct25</t>
        </is>
      </c>
      <c r="AFK3" t="inlineStr">
        <is>
          <t>24th -oct25</t>
        </is>
      </c>
      <c r="AFL3" t="inlineStr">
        <is>
          <t>25th -oct25</t>
        </is>
      </c>
      <c r="AFM3" t="inlineStr">
        <is>
          <t>26th -oct25</t>
        </is>
      </c>
      <c r="AFN3" t="inlineStr">
        <is>
          <t>27th -oct25</t>
        </is>
      </c>
      <c r="AFO3" t="inlineStr">
        <is>
          <t>28th -oct25</t>
        </is>
      </c>
      <c r="AFP3" t="inlineStr">
        <is>
          <t>29th -oct25</t>
        </is>
      </c>
      <c r="AFQ3" t="inlineStr">
        <is>
          <t>30th -oct25</t>
        </is>
      </c>
      <c r="AFR3" t="inlineStr">
        <is>
          <t>31st -oct25</t>
        </is>
      </c>
      <c r="AFS3" s="130" t="inlineStr">
        <is>
          <t>total</t>
        </is>
      </c>
      <c r="AFT3" t="inlineStr">
        <is>
          <t>1st -nov25</t>
        </is>
      </c>
      <c r="AFU3" t="inlineStr">
        <is>
          <t>2nd -nov25</t>
        </is>
      </c>
      <c r="AFV3" t="inlineStr">
        <is>
          <t>3rd -nov25</t>
        </is>
      </c>
      <c r="AFW3" t="inlineStr">
        <is>
          <t>4th -nov25</t>
        </is>
      </c>
      <c r="AFX3" t="inlineStr">
        <is>
          <t>5th -nov25</t>
        </is>
      </c>
      <c r="AFY3" t="inlineStr">
        <is>
          <t>6th -nov25</t>
        </is>
      </c>
      <c r="AFZ3" t="inlineStr">
        <is>
          <t>7th -nov25</t>
        </is>
      </c>
      <c r="AGA3" t="inlineStr">
        <is>
          <t>8th -nov25</t>
        </is>
      </c>
      <c r="AGB3" t="inlineStr">
        <is>
          <t>9th -nov25</t>
        </is>
      </c>
      <c r="AGC3" t="inlineStr">
        <is>
          <t>10th -nov25</t>
        </is>
      </c>
      <c r="AGD3" t="inlineStr">
        <is>
          <t>11th -nov25</t>
        </is>
      </c>
      <c r="AGE3" t="inlineStr">
        <is>
          <t>12th -nov25</t>
        </is>
      </c>
      <c r="AGF3" t="inlineStr">
        <is>
          <t>13th -nov25</t>
        </is>
      </c>
      <c r="AGG3" t="inlineStr">
        <is>
          <t>14th -nov25</t>
        </is>
      </c>
      <c r="AGH3" t="inlineStr">
        <is>
          <t>15th -nov25</t>
        </is>
      </c>
      <c r="AGI3" t="inlineStr">
        <is>
          <t>16th -nov25</t>
        </is>
      </c>
      <c r="AGJ3" t="inlineStr">
        <is>
          <t>17th -nov25</t>
        </is>
      </c>
      <c r="AGK3" t="inlineStr">
        <is>
          <t>18th -nov25</t>
        </is>
      </c>
      <c r="AGL3" t="inlineStr">
        <is>
          <t>19th -nov25</t>
        </is>
      </c>
      <c r="AGM3" t="inlineStr">
        <is>
          <t>20th -nov25</t>
        </is>
      </c>
      <c r="AGN3" t="inlineStr">
        <is>
          <t>21st -nov25</t>
        </is>
      </c>
      <c r="AGO3" t="inlineStr">
        <is>
          <t>22nd -nov25</t>
        </is>
      </c>
      <c r="AGP3" t="inlineStr">
        <is>
          <t>23rd -nov25</t>
        </is>
      </c>
      <c r="AGQ3" t="inlineStr">
        <is>
          <t>24th -nov25</t>
        </is>
      </c>
      <c r="AGR3" t="inlineStr">
        <is>
          <t>25th -nov25</t>
        </is>
      </c>
      <c r="AGS3" t="inlineStr">
        <is>
          <t>26th -nov25</t>
        </is>
      </c>
      <c r="AGT3" t="inlineStr">
        <is>
          <t>27th -nov25</t>
        </is>
      </c>
      <c r="AGU3" t="inlineStr">
        <is>
          <t>28th -nov25</t>
        </is>
      </c>
      <c r="AGV3" t="inlineStr">
        <is>
          <t>29th -nov25</t>
        </is>
      </c>
      <c r="AGW3" t="inlineStr">
        <is>
          <t>30th -nov25</t>
        </is>
      </c>
      <c r="AGX3" s="130" t="inlineStr">
        <is>
          <t>total</t>
        </is>
      </c>
      <c r="AGY3" t="inlineStr">
        <is>
          <t>1st -dec25</t>
        </is>
      </c>
      <c r="AGZ3" t="inlineStr">
        <is>
          <t>2nd -dec25</t>
        </is>
      </c>
      <c r="AHA3" t="inlineStr">
        <is>
          <t>3rd -dec25</t>
        </is>
      </c>
      <c r="AHB3" t="inlineStr">
        <is>
          <t>4th -dec25</t>
        </is>
      </c>
      <c r="AHC3" t="inlineStr">
        <is>
          <t>5th -dec25</t>
        </is>
      </c>
      <c r="AHD3" t="inlineStr">
        <is>
          <t>6th -dec25</t>
        </is>
      </c>
      <c r="AHE3" t="inlineStr">
        <is>
          <t>7th -dec25</t>
        </is>
      </c>
      <c r="AHF3" t="inlineStr">
        <is>
          <t>8th -dec25</t>
        </is>
      </c>
      <c r="AHG3" t="inlineStr">
        <is>
          <t>9th -dec25</t>
        </is>
      </c>
      <c r="AHH3" t="inlineStr">
        <is>
          <t>10th -dec25</t>
        </is>
      </c>
      <c r="AHI3" t="inlineStr">
        <is>
          <t>11th -dec25</t>
        </is>
      </c>
      <c r="AHJ3" t="inlineStr">
        <is>
          <t>12th -dec25</t>
        </is>
      </c>
      <c r="AHK3" t="inlineStr">
        <is>
          <t>13th -dec25</t>
        </is>
      </c>
      <c r="AHL3" t="inlineStr">
        <is>
          <t>14th -dec25</t>
        </is>
      </c>
      <c r="AHM3" t="inlineStr">
        <is>
          <t>15th -dec25</t>
        </is>
      </c>
      <c r="AHN3" t="inlineStr">
        <is>
          <t>16th -dec25</t>
        </is>
      </c>
      <c r="AHO3" t="inlineStr">
        <is>
          <t>17th -dec25</t>
        </is>
      </c>
      <c r="AHP3" t="inlineStr">
        <is>
          <t>18th -dec25</t>
        </is>
      </c>
      <c r="AHQ3" t="inlineStr">
        <is>
          <t>19th -dec25</t>
        </is>
      </c>
      <c r="AHR3" t="inlineStr">
        <is>
          <t>20th -dec25</t>
        </is>
      </c>
      <c r="AHS3" t="inlineStr">
        <is>
          <t>21st -dec25</t>
        </is>
      </c>
      <c r="AHT3" t="inlineStr">
        <is>
          <t>22nd -dec25</t>
        </is>
      </c>
      <c r="AHU3" t="inlineStr">
        <is>
          <t>23rd -dec25</t>
        </is>
      </c>
      <c r="AHV3" t="inlineStr">
        <is>
          <t>24th -dec25</t>
        </is>
      </c>
      <c r="AHW3" t="inlineStr">
        <is>
          <t>25th -dec25</t>
        </is>
      </c>
      <c r="AHX3" t="inlineStr">
        <is>
          <t>26th -dec25</t>
        </is>
      </c>
      <c r="AHY3" t="inlineStr">
        <is>
          <t>27th -dec25</t>
        </is>
      </c>
      <c r="AHZ3" t="inlineStr">
        <is>
          <t>28th -dec25</t>
        </is>
      </c>
      <c r="AIA3" t="inlineStr">
        <is>
          <t>29th -dec25</t>
        </is>
      </c>
      <c r="AIB3" t="inlineStr">
        <is>
          <t>30th -dec25</t>
        </is>
      </c>
      <c r="AIC3" t="inlineStr">
        <is>
          <t>31st -dec25</t>
        </is>
      </c>
      <c r="AID3" s="130" t="inlineStr">
        <is>
          <t>total</t>
        </is>
      </c>
      <c r="AIE3" t="inlineStr">
        <is>
          <t>1st -jan26</t>
        </is>
      </c>
      <c r="AIF3" t="inlineStr">
        <is>
          <t>2nd -jan26</t>
        </is>
      </c>
      <c r="AIG3" t="inlineStr">
        <is>
          <t>3rd -jan26</t>
        </is>
      </c>
      <c r="AIH3" t="inlineStr">
        <is>
          <t>4th -jan26</t>
        </is>
      </c>
      <c r="AII3" t="inlineStr">
        <is>
          <t>5th -jan26</t>
        </is>
      </c>
      <c r="AIJ3" t="inlineStr">
        <is>
          <t>6th -jan26</t>
        </is>
      </c>
      <c r="AIK3" t="inlineStr">
        <is>
          <t>7th -jan26</t>
        </is>
      </c>
      <c r="AIL3" t="inlineStr">
        <is>
          <t>8th -jan26</t>
        </is>
      </c>
      <c r="AIM3" t="inlineStr">
        <is>
          <t>9th -jan26</t>
        </is>
      </c>
      <c r="AIN3" t="inlineStr">
        <is>
          <t>10th -jan26</t>
        </is>
      </c>
      <c r="AIO3" t="inlineStr">
        <is>
          <t>11th -jan26</t>
        </is>
      </c>
      <c r="AIP3" t="inlineStr">
        <is>
          <t>12th -jan26</t>
        </is>
      </c>
      <c r="AIQ3" t="inlineStr">
        <is>
          <t>13th -jan26</t>
        </is>
      </c>
      <c r="AIR3" t="inlineStr">
        <is>
          <t>14th -jan26</t>
        </is>
      </c>
      <c r="AIS3" t="inlineStr">
        <is>
          <t>15th -jan26</t>
        </is>
      </c>
      <c r="AIT3" t="inlineStr">
        <is>
          <t>16th -jan26</t>
        </is>
      </c>
      <c r="AIU3" t="inlineStr">
        <is>
          <t>17th -jan26</t>
        </is>
      </c>
      <c r="AIV3" t="inlineStr">
        <is>
          <t>18th -jan26</t>
        </is>
      </c>
      <c r="AIW3" t="inlineStr">
        <is>
          <t>19th -jan26</t>
        </is>
      </c>
      <c r="AIX3" t="inlineStr">
        <is>
          <t>20th -jan26</t>
        </is>
      </c>
      <c r="AIY3" t="inlineStr">
        <is>
          <t>21st -jan26</t>
        </is>
      </c>
      <c r="AIZ3" t="inlineStr">
        <is>
          <t>22nd -jan26</t>
        </is>
      </c>
      <c r="AJA3" t="inlineStr">
        <is>
          <t>23rd -jan26</t>
        </is>
      </c>
      <c r="AJB3" t="inlineStr">
        <is>
          <t>24th -jan26</t>
        </is>
      </c>
      <c r="AJC3" t="inlineStr">
        <is>
          <t>25th -jan26</t>
        </is>
      </c>
      <c r="AJD3" t="inlineStr">
        <is>
          <t>26th -jan26</t>
        </is>
      </c>
      <c r="AJE3" t="inlineStr">
        <is>
          <t>27th -jan26</t>
        </is>
      </c>
      <c r="AJF3" t="inlineStr">
        <is>
          <t>28th -jan26</t>
        </is>
      </c>
      <c r="AJG3" t="inlineStr">
        <is>
          <t>29th -jan26</t>
        </is>
      </c>
      <c r="AJH3" t="inlineStr">
        <is>
          <t>30th -jan26</t>
        </is>
      </c>
      <c r="AJI3" t="inlineStr">
        <is>
          <t>31st -jan26</t>
        </is>
      </c>
      <c r="AJJ3" s="130" t="inlineStr">
        <is>
          <t>total</t>
        </is>
      </c>
      <c r="AJK3" t="inlineStr">
        <is>
          <t>1st -feb2026</t>
        </is>
      </c>
      <c r="AJL3" t="inlineStr">
        <is>
          <t>2nd -feb2026</t>
        </is>
      </c>
      <c r="AJM3" t="inlineStr">
        <is>
          <t>3rd -feb2026</t>
        </is>
      </c>
      <c r="AJN3" t="inlineStr">
        <is>
          <t>4th -feb2026</t>
        </is>
      </c>
      <c r="AJO3" t="inlineStr">
        <is>
          <t>5th -feb2026</t>
        </is>
      </c>
      <c r="AJP3" t="inlineStr">
        <is>
          <t>6th -feb2026</t>
        </is>
      </c>
      <c r="AJQ3" t="inlineStr">
        <is>
          <t>7th -feb2026</t>
        </is>
      </c>
      <c r="AJR3" t="inlineStr">
        <is>
          <t>8th -feb2026</t>
        </is>
      </c>
      <c r="AJS3" t="inlineStr">
        <is>
          <t>9th -feb2026</t>
        </is>
      </c>
      <c r="AJT3" t="inlineStr">
        <is>
          <t>10th -feb2026</t>
        </is>
      </c>
      <c r="AJU3" t="inlineStr">
        <is>
          <t>11th -feb2026</t>
        </is>
      </c>
      <c r="AJV3" t="inlineStr">
        <is>
          <t>12th -feb2026</t>
        </is>
      </c>
      <c r="AJW3" t="inlineStr">
        <is>
          <t>13th -feb2026</t>
        </is>
      </c>
      <c r="AJX3" t="inlineStr">
        <is>
          <t>14th -feb2026</t>
        </is>
      </c>
      <c r="AJY3" t="inlineStr">
        <is>
          <t>15th -feb2026</t>
        </is>
      </c>
      <c r="AJZ3" t="inlineStr">
        <is>
          <t>16th -feb2026</t>
        </is>
      </c>
      <c r="AKA3" t="inlineStr">
        <is>
          <t>17th -feb2026</t>
        </is>
      </c>
      <c r="AKB3" t="inlineStr">
        <is>
          <t>18th -feb2026</t>
        </is>
      </c>
      <c r="AKC3" t="inlineStr">
        <is>
          <t>19th -feb2026</t>
        </is>
      </c>
      <c r="AKD3" t="inlineStr">
        <is>
          <t>20th -feb2026</t>
        </is>
      </c>
      <c r="AKE3" t="inlineStr">
        <is>
          <t>21st -feb2026</t>
        </is>
      </c>
      <c r="AKF3" t="inlineStr">
        <is>
          <t>22nd -feb2026</t>
        </is>
      </c>
      <c r="AKG3" t="inlineStr">
        <is>
          <t>23rd -feb2026</t>
        </is>
      </c>
      <c r="AKH3" t="inlineStr">
        <is>
          <t>24th -feb2026</t>
        </is>
      </c>
      <c r="AKI3" t="inlineStr">
        <is>
          <t>25th -feb2026</t>
        </is>
      </c>
      <c r="AKJ3" t="inlineStr">
        <is>
          <t>26th -feb2026</t>
        </is>
      </c>
      <c r="AKK3" t="inlineStr">
        <is>
          <t>27th -feb2026</t>
        </is>
      </c>
      <c r="AKL3" t="inlineStr">
        <is>
          <t>28th -feb2026</t>
        </is>
      </c>
      <c r="AKM3" s="130" t="inlineStr">
        <is>
          <t>total</t>
        </is>
      </c>
      <c r="AKN3" t="inlineStr">
        <is>
          <t>1st -mar2026</t>
        </is>
      </c>
      <c r="AKO3" t="inlineStr">
        <is>
          <t>2nd -mar2026</t>
        </is>
      </c>
      <c r="AKP3" t="inlineStr">
        <is>
          <t>3rd -mar2026</t>
        </is>
      </c>
      <c r="AKQ3" t="inlineStr">
        <is>
          <t>4th -mar2026</t>
        </is>
      </c>
      <c r="AKR3" t="inlineStr">
        <is>
          <t>5th -mar2026</t>
        </is>
      </c>
      <c r="AKS3" t="inlineStr">
        <is>
          <t>6th -mar2026</t>
        </is>
      </c>
      <c r="AKT3" t="inlineStr">
        <is>
          <t>7th -mar2026</t>
        </is>
      </c>
      <c r="AKU3" t="inlineStr">
        <is>
          <t>8th -mar2026</t>
        </is>
      </c>
      <c r="AKV3" t="inlineStr">
        <is>
          <t>9th -mar2026</t>
        </is>
      </c>
      <c r="AKW3" t="inlineStr">
        <is>
          <t>10th -mar2026</t>
        </is>
      </c>
      <c r="AKX3" t="inlineStr">
        <is>
          <t>11th -mar2026</t>
        </is>
      </c>
      <c r="AKY3" t="inlineStr">
        <is>
          <t>12th -mar2026</t>
        </is>
      </c>
      <c r="AKZ3" t="inlineStr">
        <is>
          <t>13th -mar2026</t>
        </is>
      </c>
      <c r="ALA3" t="inlineStr">
        <is>
          <t>14th -mar2026</t>
        </is>
      </c>
      <c r="ALB3" t="inlineStr">
        <is>
          <t>15th -mar2026</t>
        </is>
      </c>
      <c r="ALC3" t="inlineStr">
        <is>
          <t>16th -mar2026</t>
        </is>
      </c>
      <c r="ALD3" t="inlineStr">
        <is>
          <t>17th -mar2026</t>
        </is>
      </c>
      <c r="ALE3" t="inlineStr">
        <is>
          <t>18th -mar2026</t>
        </is>
      </c>
      <c r="ALF3" t="inlineStr">
        <is>
          <t>19th -mar2026</t>
        </is>
      </c>
      <c r="ALG3" t="inlineStr">
        <is>
          <t>20th -mar2026</t>
        </is>
      </c>
      <c r="ALH3" t="inlineStr">
        <is>
          <t>21st -mar2026</t>
        </is>
      </c>
      <c r="ALI3" t="inlineStr">
        <is>
          <t>22nd -mar2026</t>
        </is>
      </c>
      <c r="ALJ3" t="inlineStr">
        <is>
          <t>23rd -mar2026</t>
        </is>
      </c>
      <c r="ALK3" t="inlineStr">
        <is>
          <t>24th -mar2026</t>
        </is>
      </c>
      <c r="ALL3" t="inlineStr">
        <is>
          <t>25th -mar2026</t>
        </is>
      </c>
      <c r="ALM3" t="inlineStr">
        <is>
          <t>26th -mar2026</t>
        </is>
      </c>
      <c r="ALN3" t="inlineStr">
        <is>
          <t>27th -mar2026</t>
        </is>
      </c>
      <c r="ALO3" t="inlineStr">
        <is>
          <t>28th -mar2026</t>
        </is>
      </c>
      <c r="ALP3" t="inlineStr">
        <is>
          <t>29th -mar2026</t>
        </is>
      </c>
      <c r="ALQ3" t="inlineStr">
        <is>
          <t>30th -mar2026</t>
        </is>
      </c>
      <c r="ALR3" t="inlineStr">
        <is>
          <t>31st -mar2026</t>
        </is>
      </c>
      <c r="ALS3" s="130" t="inlineStr">
        <is>
          <t>total</t>
        </is>
      </c>
      <c r="ALT3" t="inlineStr">
        <is>
          <t>1st apr2026</t>
        </is>
      </c>
      <c r="ALU3" t="inlineStr">
        <is>
          <t>2nd apr2026</t>
        </is>
      </c>
      <c r="ALV3" t="inlineStr">
        <is>
          <t>3rd apr2026</t>
        </is>
      </c>
      <c r="ALW3" t="inlineStr">
        <is>
          <t>4th apr2026</t>
        </is>
      </c>
      <c r="ALX3" t="inlineStr">
        <is>
          <t>5th apr2026</t>
        </is>
      </c>
      <c r="ALY3" t="inlineStr">
        <is>
          <t>6th apr2026</t>
        </is>
      </c>
      <c r="ALZ3" t="inlineStr">
        <is>
          <t>7th apr2026</t>
        </is>
      </c>
      <c r="AMA3" t="inlineStr">
        <is>
          <t>8th apr2026</t>
        </is>
      </c>
      <c r="AMB3" t="inlineStr">
        <is>
          <t>9th apr2026</t>
        </is>
      </c>
      <c r="AMC3" t="inlineStr">
        <is>
          <t>10th apr2026</t>
        </is>
      </c>
      <c r="AMD3" t="inlineStr">
        <is>
          <t>11th apr2026</t>
        </is>
      </c>
      <c r="AME3" t="inlineStr">
        <is>
          <t>12th apr2026</t>
        </is>
      </c>
      <c r="AMF3" t="inlineStr">
        <is>
          <t>13th apr2026</t>
        </is>
      </c>
      <c r="AMG3" t="inlineStr">
        <is>
          <t>14th apr2026</t>
        </is>
      </c>
      <c r="AMH3" t="inlineStr">
        <is>
          <t>15th apr2026</t>
        </is>
      </c>
      <c r="AMI3" t="inlineStr">
        <is>
          <t>16th apr2026</t>
        </is>
      </c>
      <c r="AMJ3" t="inlineStr">
        <is>
          <t>17th apr2026</t>
        </is>
      </c>
      <c r="AMK3" t="inlineStr">
        <is>
          <t>18th apr2026</t>
        </is>
      </c>
      <c r="AML3" t="inlineStr">
        <is>
          <t>19th apr2026</t>
        </is>
      </c>
      <c r="AMM3" t="inlineStr">
        <is>
          <t>20th apr2026</t>
        </is>
      </c>
      <c r="AMN3" t="inlineStr">
        <is>
          <t>21st apr2026</t>
        </is>
      </c>
      <c r="AMO3" t="inlineStr">
        <is>
          <t>22nd apr2026</t>
        </is>
      </c>
      <c r="AMP3" t="inlineStr">
        <is>
          <t>23rd apr2026</t>
        </is>
      </c>
      <c r="AMQ3" t="inlineStr">
        <is>
          <t>24th apr2026</t>
        </is>
      </c>
      <c r="AMR3" t="inlineStr">
        <is>
          <t>25th apr2026</t>
        </is>
      </c>
      <c r="AMS3" t="inlineStr">
        <is>
          <t>26th apr2026</t>
        </is>
      </c>
      <c r="AMT3" t="inlineStr">
        <is>
          <t>27th apr2026</t>
        </is>
      </c>
      <c r="AMU3" t="inlineStr">
        <is>
          <t>28th apr2026</t>
        </is>
      </c>
      <c r="AMV3" t="inlineStr">
        <is>
          <t>29th apr2026</t>
        </is>
      </c>
      <c r="AMW3" t="inlineStr">
        <is>
          <t>30th apr2026</t>
        </is>
      </c>
      <c r="AMX3" s="130" t="inlineStr">
        <is>
          <t>total</t>
        </is>
      </c>
      <c r="AMY3" t="inlineStr">
        <is>
          <t>1st -may2026</t>
        </is>
      </c>
      <c r="AMZ3" t="inlineStr">
        <is>
          <t>2nd -may2026</t>
        </is>
      </c>
      <c r="ANA3" t="inlineStr">
        <is>
          <t>3rd -may2026</t>
        </is>
      </c>
      <c r="ANB3" t="inlineStr">
        <is>
          <t>4th -may2026</t>
        </is>
      </c>
      <c r="ANC3" t="inlineStr">
        <is>
          <t>5th -may2026</t>
        </is>
      </c>
      <c r="AND3" t="inlineStr">
        <is>
          <t>6th -may2026</t>
        </is>
      </c>
      <c r="ANE3" t="inlineStr">
        <is>
          <t>7th -may2026</t>
        </is>
      </c>
      <c r="ANF3" t="inlineStr">
        <is>
          <t>8th -may2026</t>
        </is>
      </c>
      <c r="ANG3" t="inlineStr">
        <is>
          <t>9th -may2026</t>
        </is>
      </c>
      <c r="ANH3" t="inlineStr">
        <is>
          <t>10th -may2026</t>
        </is>
      </c>
      <c r="ANI3" t="inlineStr">
        <is>
          <t>11th -may2026</t>
        </is>
      </c>
      <c r="ANJ3" t="inlineStr">
        <is>
          <t>12th -may2026</t>
        </is>
      </c>
      <c r="ANK3" t="inlineStr">
        <is>
          <t>13th -may2026</t>
        </is>
      </c>
      <c r="ANL3" t="inlineStr">
        <is>
          <t>14th -may2026</t>
        </is>
      </c>
      <c r="ANM3" t="inlineStr">
        <is>
          <t>15th -may2026</t>
        </is>
      </c>
      <c r="ANN3" t="inlineStr">
        <is>
          <t>16th -may2026</t>
        </is>
      </c>
      <c r="ANO3" t="inlineStr">
        <is>
          <t>17th -may2026</t>
        </is>
      </c>
      <c r="ANP3" t="inlineStr">
        <is>
          <t>18th -may2026</t>
        </is>
      </c>
      <c r="ANQ3" t="inlineStr">
        <is>
          <t>19th -may2026</t>
        </is>
      </c>
      <c r="ANR3" t="inlineStr">
        <is>
          <t>20th -may2026</t>
        </is>
      </c>
      <c r="ANS3" t="inlineStr">
        <is>
          <t>21st -may2026</t>
        </is>
      </c>
      <c r="ANT3" t="inlineStr">
        <is>
          <t>22nd -may2026</t>
        </is>
      </c>
      <c r="ANU3" t="inlineStr">
        <is>
          <t>23rd -may2026</t>
        </is>
      </c>
      <c r="ANV3" t="inlineStr">
        <is>
          <t>24th -may2026</t>
        </is>
      </c>
      <c r="ANW3" t="inlineStr">
        <is>
          <t>25th -may2026</t>
        </is>
      </c>
      <c r="ANX3" t="inlineStr">
        <is>
          <t>26th -may2026</t>
        </is>
      </c>
      <c r="ANY3" t="inlineStr">
        <is>
          <t>27th -may2026</t>
        </is>
      </c>
      <c r="ANZ3" t="inlineStr">
        <is>
          <t>28th -may2026</t>
        </is>
      </c>
      <c r="AOA3" t="inlineStr">
        <is>
          <t>29th -may2026</t>
        </is>
      </c>
      <c r="AOB3" t="inlineStr">
        <is>
          <t>30th -may2026</t>
        </is>
      </c>
      <c r="AOC3" t="inlineStr">
        <is>
          <t>10th -June2026</t>
        </is>
      </c>
      <c r="AOD3" t="inlineStr">
        <is>
          <t>26th -August2026</t>
        </is>
      </c>
    </row>
    <row r="4">
      <c r="A4" s="38" t="inlineStr">
        <is>
          <t>MOMOPAY</t>
        </is>
      </c>
      <c r="B4" s="39" t="n">
        <v>1656008</v>
      </c>
      <c r="C4" s="39" t="n">
        <v>1896485</v>
      </c>
      <c r="D4" s="39" t="n">
        <v>1900500</v>
      </c>
      <c r="E4" s="39" t="n">
        <v>1307000</v>
      </c>
      <c r="F4" s="39" t="n">
        <v>1320600</v>
      </c>
      <c r="G4" s="39" t="n">
        <v>1245000</v>
      </c>
      <c r="H4" s="39" t="n">
        <v>1337725</v>
      </c>
      <c r="I4" s="39" t="n">
        <v>931700</v>
      </c>
      <c r="J4" s="39" t="n">
        <v>1315000</v>
      </c>
      <c r="K4" s="39" t="n">
        <v>1250500</v>
      </c>
      <c r="L4" s="39" t="n">
        <v>911563</v>
      </c>
      <c r="M4" s="39" t="n">
        <v>1656000</v>
      </c>
      <c r="N4" s="39" t="n">
        <v>842000</v>
      </c>
      <c r="O4" s="39" t="n">
        <v>667000</v>
      </c>
      <c r="P4" s="39" t="n">
        <v>1099000</v>
      </c>
      <c r="Q4" s="39" t="n">
        <v>802000</v>
      </c>
      <c r="R4" s="39" t="n">
        <v>1051000</v>
      </c>
      <c r="S4" s="39" t="n">
        <v>1177000</v>
      </c>
      <c r="T4" s="39" t="n">
        <v>766000</v>
      </c>
      <c r="U4" s="39" t="n">
        <v>610500</v>
      </c>
      <c r="V4" s="39" t="n">
        <v>2100000</v>
      </c>
      <c r="W4" s="39" t="n">
        <v>1108000</v>
      </c>
      <c r="X4" s="39" t="n">
        <v>2044000</v>
      </c>
      <c r="Y4" s="39" t="n">
        <v>2241654</v>
      </c>
      <c r="Z4" s="39" t="n">
        <v>1168000</v>
      </c>
      <c r="AA4" s="39" t="n">
        <v>1201200</v>
      </c>
      <c r="AB4" s="39" t="n">
        <v>771400</v>
      </c>
      <c r="AC4" s="39" t="n">
        <v>645000</v>
      </c>
      <c r="AD4" s="39" t="n">
        <v>491000</v>
      </c>
      <c r="AE4" s="39" t="n">
        <v>731000</v>
      </c>
      <c r="AF4" s="39" t="n">
        <v>1242000</v>
      </c>
      <c r="AG4" s="100">
        <f>SUM(B4:AF4)</f>
        <v/>
      </c>
      <c r="AH4" s="91" t="n">
        <v>608500</v>
      </c>
      <c r="AI4" s="91" t="n">
        <v>834000</v>
      </c>
      <c r="AJ4" s="91" t="n">
        <v>1216886</v>
      </c>
      <c r="AK4" s="91" t="n">
        <v>2198000</v>
      </c>
      <c r="AL4" s="91" t="n">
        <v>1906595</v>
      </c>
      <c r="AM4" s="91" t="n">
        <v>1435300</v>
      </c>
      <c r="AN4" s="91" t="n">
        <v>1208000</v>
      </c>
      <c r="AO4" s="91" t="n">
        <v>2029000</v>
      </c>
      <c r="AP4" s="91" t="n">
        <v>1333600</v>
      </c>
      <c r="AQ4" s="91" t="n">
        <v>1128600</v>
      </c>
      <c r="AR4" s="91" t="n">
        <v>1288100</v>
      </c>
      <c r="AS4" s="91" t="n">
        <v>671000</v>
      </c>
      <c r="AT4" s="91" t="n">
        <v>869000</v>
      </c>
      <c r="AU4" s="91" t="n">
        <v>1012400</v>
      </c>
      <c r="AV4" s="91" t="n">
        <v>1722800</v>
      </c>
      <c r="AW4" s="91" t="n">
        <v>1033000</v>
      </c>
      <c r="AX4" s="91" t="n">
        <v>480000</v>
      </c>
      <c r="AY4" s="91" t="n">
        <v>1244000</v>
      </c>
      <c r="AZ4" s="91" t="n">
        <v>2092000</v>
      </c>
      <c r="BA4" s="91" t="n">
        <v>692000</v>
      </c>
      <c r="BB4" s="91" t="n">
        <v>1152500</v>
      </c>
      <c r="BC4" s="91" t="n">
        <v>1122300</v>
      </c>
      <c r="BD4" s="91" t="n">
        <v>1436500</v>
      </c>
      <c r="BE4" s="91" t="n">
        <v>1322100</v>
      </c>
      <c r="BF4" s="91" t="n">
        <v>1458000</v>
      </c>
      <c r="BG4" s="91" t="n">
        <v>854800</v>
      </c>
      <c r="BH4" s="91" t="n">
        <v>782000</v>
      </c>
      <c r="BI4" s="91" t="n">
        <v>684560</v>
      </c>
      <c r="BJ4" s="91" t="n">
        <v>1953463</v>
      </c>
      <c r="BK4" s="91" t="n">
        <v>1323600</v>
      </c>
      <c r="BL4" s="82">
        <f>SUM(AH4:BK4)</f>
        <v/>
      </c>
      <c r="BM4" s="108" t="n">
        <v>1047000</v>
      </c>
      <c r="BN4" s="108" t="n">
        <v>1627000</v>
      </c>
      <c r="BO4" s="108" t="n">
        <v>1751000</v>
      </c>
      <c r="BP4" s="108" t="n">
        <v>1141000</v>
      </c>
      <c r="BQ4" s="108" t="n">
        <v>511000</v>
      </c>
      <c r="BR4" s="108" t="n">
        <v>1372312</v>
      </c>
      <c r="BS4" s="108" t="n">
        <v>1370000</v>
      </c>
      <c r="BT4" s="108" t="n">
        <v>158000</v>
      </c>
      <c r="BU4" s="108" t="n">
        <v>974700</v>
      </c>
      <c r="BV4" s="108" t="n">
        <v>951750</v>
      </c>
      <c r="BW4" s="108" t="n">
        <v>832000</v>
      </c>
      <c r="BX4" s="108" t="n">
        <v>973000</v>
      </c>
      <c r="BY4" s="108" t="n">
        <v>1484500</v>
      </c>
      <c r="BZ4" s="108" t="n">
        <v>2322000</v>
      </c>
      <c r="CA4" s="108" t="n">
        <v>1078000</v>
      </c>
      <c r="CB4" s="108" t="n">
        <v>1190000</v>
      </c>
      <c r="CC4" s="108" t="n">
        <v>847000</v>
      </c>
      <c r="CD4" s="108" t="n">
        <v>383000</v>
      </c>
      <c r="CE4" s="108" t="n">
        <v>1761170</v>
      </c>
      <c r="CF4" s="108" t="n">
        <v>723000</v>
      </c>
      <c r="CG4" s="108" t="n">
        <v>1178980</v>
      </c>
      <c r="CH4" s="108" t="n">
        <v>1037000</v>
      </c>
      <c r="CI4" s="108" t="n">
        <v>766500</v>
      </c>
      <c r="CJ4" s="108" t="n">
        <v>1736000</v>
      </c>
      <c r="CK4" s="108" t="n">
        <v>917000</v>
      </c>
      <c r="CL4" s="108" t="n">
        <v>1370000</v>
      </c>
      <c r="CM4" s="108" t="n">
        <v>1496000</v>
      </c>
      <c r="CN4" s="108" t="n">
        <v>1106000</v>
      </c>
      <c r="CO4" s="108" t="n">
        <v>1061552</v>
      </c>
      <c r="CP4" s="108" t="n">
        <v>1350421</v>
      </c>
      <c r="CQ4" s="108" t="n">
        <v>803000</v>
      </c>
      <c r="CR4" s="82">
        <f>SUM(BM4:CQ4)</f>
        <v/>
      </c>
      <c r="CS4" s="95" t="n">
        <v>2575000</v>
      </c>
      <c r="CT4" s="95" t="n">
        <v>1032512</v>
      </c>
      <c r="CU4" s="95" t="n">
        <v>1549453</v>
      </c>
      <c r="CV4" s="95" t="n">
        <v>1163078</v>
      </c>
      <c r="CW4" s="95" t="n">
        <v>1572000</v>
      </c>
      <c r="CX4" s="95" t="n">
        <v>1357500</v>
      </c>
      <c r="CY4" s="95" t="n">
        <v>1145000</v>
      </c>
      <c r="CZ4" s="95" t="n">
        <v>711000</v>
      </c>
      <c r="DA4" s="95" t="n">
        <v>630000</v>
      </c>
      <c r="DB4" s="95" t="n">
        <v>1686000</v>
      </c>
      <c r="DC4" s="95" t="n">
        <v>842000</v>
      </c>
      <c r="DD4" s="95" t="n">
        <v>565969</v>
      </c>
      <c r="DE4" s="95" t="n">
        <v>1019000</v>
      </c>
      <c r="DF4" s="95" t="n">
        <v>1122842</v>
      </c>
      <c r="DG4" s="95" t="n">
        <v>1012000</v>
      </c>
      <c r="DH4" s="95" t="n">
        <v>773000</v>
      </c>
      <c r="DI4" s="95" t="n">
        <v>1700200</v>
      </c>
      <c r="DJ4" s="95" t="n">
        <v>1580000</v>
      </c>
      <c r="DK4" s="95" t="n">
        <v>684000</v>
      </c>
      <c r="DL4" s="95" t="n">
        <v>1780218</v>
      </c>
      <c r="DM4" s="95" t="n">
        <v>1258000</v>
      </c>
      <c r="DN4" s="95" t="n">
        <v>1173082</v>
      </c>
      <c r="DO4" s="95" t="n">
        <v>1887050</v>
      </c>
      <c r="DP4" s="95" t="n">
        <v>1415000</v>
      </c>
      <c r="DQ4" s="95" t="n">
        <v>2460200</v>
      </c>
      <c r="DR4" s="95" t="n">
        <v>1009258</v>
      </c>
      <c r="DS4" s="95" t="n">
        <v>2444200</v>
      </c>
      <c r="DT4" s="95" t="n">
        <v>1119653</v>
      </c>
      <c r="DU4" s="95" t="n">
        <v>1084650</v>
      </c>
      <c r="DV4" s="95" t="n">
        <v>1015000</v>
      </c>
      <c r="DW4" s="82">
        <f>SUM(CS4:DV4)</f>
        <v/>
      </c>
      <c r="DX4" s="95" t="n">
        <v>894200</v>
      </c>
      <c r="DY4" s="95" t="n">
        <v>1658286</v>
      </c>
      <c r="DZ4" s="95" t="n">
        <v>708900</v>
      </c>
      <c r="EA4" s="95" t="n">
        <v>610000</v>
      </c>
      <c r="EB4" s="95" t="n">
        <v>1304500</v>
      </c>
      <c r="EC4" s="95" t="n">
        <v>1055000</v>
      </c>
      <c r="ED4" s="95" t="n">
        <v>811000</v>
      </c>
      <c r="EE4" s="95" t="n">
        <v>1426100</v>
      </c>
      <c r="EF4" s="95" t="n">
        <v>1220000</v>
      </c>
      <c r="EG4" s="95" t="n">
        <v>1530000</v>
      </c>
      <c r="EH4" s="95" t="n">
        <v>1299000</v>
      </c>
      <c r="EI4" s="95" t="n">
        <v>1527610</v>
      </c>
      <c r="EJ4" s="95" t="n">
        <v>1136000</v>
      </c>
      <c r="EK4" s="95" t="n">
        <v>850000</v>
      </c>
      <c r="EL4" s="95" t="n">
        <v>1403011</v>
      </c>
      <c r="EM4" s="95" t="n">
        <v>1591859</v>
      </c>
      <c r="EN4" s="95" t="n">
        <v>1323950</v>
      </c>
      <c r="EO4" s="95" t="n">
        <v>2499000</v>
      </c>
      <c r="EP4" s="95" t="n">
        <v>1147000</v>
      </c>
      <c r="EQ4" s="95" t="n">
        <v>632400</v>
      </c>
      <c r="ER4" s="95" t="n">
        <v>1138000</v>
      </c>
      <c r="ES4" s="95" t="n">
        <v>1527865</v>
      </c>
      <c r="ET4" s="95" t="n">
        <v>1924000</v>
      </c>
      <c r="EU4" s="95" t="n">
        <v>1501128</v>
      </c>
      <c r="EV4" s="95" t="n">
        <v>1240000</v>
      </c>
      <c r="EW4" s="95" t="n">
        <v>1299000</v>
      </c>
      <c r="EX4" s="95" t="n">
        <v>851000</v>
      </c>
      <c r="EY4" s="95" t="n">
        <v>1338078</v>
      </c>
      <c r="EZ4" s="95" t="n">
        <v>1748500</v>
      </c>
      <c r="FA4" s="95" t="n">
        <v>1992021</v>
      </c>
      <c r="FB4" s="95" t="n">
        <v>1585000</v>
      </c>
      <c r="FC4" s="128">
        <f>SUM(DX4:FB4)</f>
        <v/>
      </c>
      <c r="FD4" s="95" t="n">
        <v>1823895</v>
      </c>
      <c r="FE4" s="95" t="n">
        <v>1199000</v>
      </c>
      <c r="FF4" s="95" t="n">
        <v>1462000</v>
      </c>
      <c r="FG4" s="95" t="n">
        <v>600000</v>
      </c>
      <c r="FH4" s="95" t="n">
        <v>445000</v>
      </c>
      <c r="FI4" s="95" t="n">
        <v>733000</v>
      </c>
      <c r="FJ4" s="95" t="n">
        <v>1637000</v>
      </c>
      <c r="FK4" s="95" t="n">
        <v>1143500</v>
      </c>
      <c r="FL4" s="95" t="n">
        <v>967000</v>
      </c>
      <c r="FM4" s="95" t="n">
        <v>1801689</v>
      </c>
      <c r="FN4" s="95" t="n">
        <v>1132600</v>
      </c>
      <c r="FO4" s="95" t="n">
        <v>949000</v>
      </c>
      <c r="FP4" s="95" t="n">
        <v>1347000</v>
      </c>
      <c r="FQ4" s="95" t="n">
        <v>2005000</v>
      </c>
      <c r="FR4" s="95" t="n">
        <v>1237000</v>
      </c>
      <c r="FS4" s="95" t="n">
        <v>902000</v>
      </c>
      <c r="FT4" s="95" t="n">
        <v>1289000</v>
      </c>
      <c r="FU4" s="95" t="n">
        <v>1318000</v>
      </c>
      <c r="FV4" s="95" t="n">
        <v>665000</v>
      </c>
      <c r="FW4" s="95" t="n">
        <v>1365500</v>
      </c>
      <c r="FX4" s="95" t="n">
        <v>1156979</v>
      </c>
      <c r="FY4" s="95" t="n">
        <v>895000</v>
      </c>
      <c r="FZ4" s="95" t="n">
        <v>1785682</v>
      </c>
      <c r="GA4" s="95" t="n">
        <v>719000</v>
      </c>
      <c r="GB4" s="95" t="n">
        <v>1006000</v>
      </c>
      <c r="GC4" s="95" t="n">
        <v>1835092</v>
      </c>
      <c r="GD4" s="95" t="n">
        <v>1320000</v>
      </c>
      <c r="GE4" s="95" t="n">
        <v>2044500</v>
      </c>
      <c r="GF4" s="95" t="n">
        <v>1124000</v>
      </c>
      <c r="GG4" s="95" t="n">
        <v>736000</v>
      </c>
      <c r="GH4" s="95" t="n">
        <v>2328000</v>
      </c>
      <c r="GI4" s="82">
        <f>SUM(FD4:GH4)</f>
        <v/>
      </c>
      <c r="GJ4" s="95" t="n">
        <v>642000</v>
      </c>
      <c r="GK4" s="95" t="n">
        <v>774000</v>
      </c>
      <c r="GL4" s="95" t="n">
        <v>1126300</v>
      </c>
      <c r="GM4" s="95" t="n">
        <v>555000</v>
      </c>
      <c r="GN4" s="95" t="n">
        <v>1010000</v>
      </c>
      <c r="GO4" s="95" t="n">
        <v>1627300</v>
      </c>
      <c r="GP4" s="95" t="n">
        <v>1329000</v>
      </c>
      <c r="GQ4" s="95" t="n">
        <v>1568000</v>
      </c>
      <c r="GR4" s="95" t="n">
        <v>1248000</v>
      </c>
      <c r="GS4" s="95" t="n">
        <v>1427000</v>
      </c>
      <c r="GT4" s="95" t="n">
        <v>986912</v>
      </c>
      <c r="GU4" s="95" t="n">
        <v>643000</v>
      </c>
      <c r="GV4" s="95" t="n">
        <v>1649922</v>
      </c>
      <c r="GW4" s="95" t="n">
        <v>706000</v>
      </c>
      <c r="GX4" s="95" t="n">
        <v>804608</v>
      </c>
      <c r="GY4" s="95" t="n">
        <v>1237000</v>
      </c>
      <c r="GZ4" s="95" t="n">
        <v>2156432</v>
      </c>
      <c r="HA4" s="95" t="n">
        <v>1381061</v>
      </c>
      <c r="HB4" s="95" t="n">
        <v>1128000</v>
      </c>
      <c r="HC4" s="95" t="n">
        <v>1363000</v>
      </c>
      <c r="HD4" s="95" t="n">
        <v>830000</v>
      </c>
      <c r="HE4" s="95" t="n">
        <v>840000</v>
      </c>
      <c r="HF4" s="95" t="n">
        <v>2185450</v>
      </c>
      <c r="HG4" s="95" t="n">
        <v>576000</v>
      </c>
      <c r="HH4" s="95" t="n">
        <v>557000</v>
      </c>
      <c r="HI4" s="95" t="n">
        <v>468000</v>
      </c>
      <c r="HJ4" s="95" t="n">
        <v>789000</v>
      </c>
      <c r="HK4" s="95" t="n">
        <v>1208817</v>
      </c>
      <c r="HL4" s="95" t="n">
        <v>426000</v>
      </c>
      <c r="HM4" s="133">
        <f>SUM(GJ4:HL4)</f>
        <v/>
      </c>
      <c r="HN4" s="95" t="n">
        <v>880000</v>
      </c>
      <c r="HO4" s="95" t="n">
        <v>1598000</v>
      </c>
      <c r="HP4" s="95" t="n">
        <v>1206000</v>
      </c>
      <c r="HQ4" s="95" t="n">
        <v>1775232</v>
      </c>
      <c r="HR4" s="95" t="n">
        <v>1131700</v>
      </c>
      <c r="HS4" s="95" t="n">
        <v>1820000</v>
      </c>
      <c r="HT4" s="95" t="n">
        <v>2131900</v>
      </c>
      <c r="HU4" s="95" t="n">
        <v>1653900</v>
      </c>
      <c r="HV4" s="95" t="n">
        <v>713000</v>
      </c>
      <c r="HW4" s="95" t="n">
        <v>870000</v>
      </c>
      <c r="HX4" s="95" t="n">
        <v>1099000</v>
      </c>
      <c r="HY4" s="95" t="n">
        <v>1089000</v>
      </c>
      <c r="HZ4" s="95" t="n">
        <v>2110432</v>
      </c>
      <c r="IA4" s="95" t="n">
        <v>942000</v>
      </c>
      <c r="IB4" s="95" t="n">
        <v>1376000</v>
      </c>
      <c r="IC4" s="95" t="n">
        <v>1829300</v>
      </c>
      <c r="ID4" s="95" t="n">
        <v>576200</v>
      </c>
      <c r="IE4" s="95" t="n">
        <v>1260680</v>
      </c>
      <c r="IF4" s="95" t="n">
        <v>608000</v>
      </c>
      <c r="IG4" s="95" t="n">
        <v>1719836</v>
      </c>
      <c r="IH4" s="95" t="n">
        <v>677000</v>
      </c>
      <c r="II4" s="95" t="n">
        <v>1651000</v>
      </c>
      <c r="IJ4" s="95" t="n">
        <v>1404620</v>
      </c>
      <c r="IK4" s="95" t="n">
        <v>783000</v>
      </c>
      <c r="IL4" s="95" t="n">
        <v>1419000</v>
      </c>
      <c r="IM4" s="95" t="n">
        <v>1167700</v>
      </c>
      <c r="IN4" s="95" t="n">
        <v>665400</v>
      </c>
      <c r="IO4" s="95" t="n">
        <v>1703022</v>
      </c>
      <c r="IP4" s="95" t="n">
        <v>1386003</v>
      </c>
      <c r="IQ4" s="95" t="n">
        <v>508000</v>
      </c>
      <c r="IR4" s="95" t="n">
        <v>807025</v>
      </c>
      <c r="IS4" s="133">
        <f>SUM(HN4:IR4)</f>
        <v/>
      </c>
      <c r="IT4" s="95" t="n">
        <v>223000</v>
      </c>
      <c r="IU4" s="95" t="n">
        <v>2000169</v>
      </c>
      <c r="IV4" s="95" t="n">
        <v>496000</v>
      </c>
      <c r="IW4" s="95" t="n">
        <v>785343</v>
      </c>
      <c r="IX4" s="95" t="n">
        <v>1149000</v>
      </c>
      <c r="IY4" s="95" t="n">
        <v>870000</v>
      </c>
      <c r="IZ4" s="95" t="n">
        <v>1485000</v>
      </c>
      <c r="JA4" s="95" t="n">
        <v>2238052</v>
      </c>
      <c r="JB4" s="95" t="n">
        <v>697851</v>
      </c>
      <c r="JC4" s="95" t="n">
        <v>673000</v>
      </c>
      <c r="JD4" s="95" t="n">
        <v>1672000</v>
      </c>
      <c r="JE4" s="95" t="n">
        <v>2524583</v>
      </c>
      <c r="JF4" s="95" t="n">
        <v>1073000</v>
      </c>
      <c r="JG4" t="n">
        <v>725000</v>
      </c>
      <c r="JH4" s="95" t="n">
        <v>1193000</v>
      </c>
      <c r="JI4" s="95" t="n">
        <v>837000</v>
      </c>
      <c r="JJ4" s="95" t="n">
        <v>717000</v>
      </c>
      <c r="JK4" s="95" t="n">
        <v>1095000</v>
      </c>
      <c r="JL4" s="95" t="n">
        <v>1084500</v>
      </c>
      <c r="JM4" s="95" t="n">
        <v>685000</v>
      </c>
      <c r="JN4" s="95" t="n">
        <v>1076968</v>
      </c>
      <c r="JO4" s="95" t="n">
        <v>832700</v>
      </c>
      <c r="JP4" s="95" t="n">
        <v>704000</v>
      </c>
      <c r="JQ4" s="95" t="n">
        <v>399000</v>
      </c>
      <c r="JR4" s="95" t="n">
        <v>999950</v>
      </c>
      <c r="JS4" s="95" t="n">
        <v>1296000</v>
      </c>
      <c r="JT4" s="95" t="n">
        <v>2398500</v>
      </c>
      <c r="JU4" s="95" t="n">
        <v>1230000</v>
      </c>
      <c r="JV4" s="95" t="n">
        <v>1666500</v>
      </c>
      <c r="JW4" s="95" t="n">
        <v>877000</v>
      </c>
      <c r="JX4" s="133">
        <f>SUM(IT4:JW4)</f>
        <v/>
      </c>
      <c r="JY4" s="95" t="n">
        <v>1235700</v>
      </c>
      <c r="JZ4" s="95" t="n">
        <v>790000</v>
      </c>
      <c r="KA4" s="95" t="n">
        <v>870000</v>
      </c>
      <c r="KB4" s="95" t="n">
        <v>709000</v>
      </c>
      <c r="KC4" s="95" t="n">
        <v>1210112</v>
      </c>
      <c r="KD4" s="95" t="n">
        <v>1168000</v>
      </c>
      <c r="KE4" s="95" t="n">
        <v>1510500</v>
      </c>
      <c r="KF4" s="95" t="n">
        <v>1061750</v>
      </c>
      <c r="KG4" s="95" t="n">
        <v>1311900</v>
      </c>
      <c r="KH4" s="95" t="n">
        <v>554000</v>
      </c>
      <c r="KI4" s="95" t="n">
        <v>788000</v>
      </c>
      <c r="KJ4" s="95" t="n">
        <v>919000</v>
      </c>
      <c r="KK4" s="95" t="n">
        <v>2611400</v>
      </c>
      <c r="KL4" s="95" t="n">
        <v>878000</v>
      </c>
      <c r="KM4" s="95" t="n">
        <v>1270500</v>
      </c>
      <c r="KN4" s="95" t="n">
        <v>1827542</v>
      </c>
      <c r="KO4" s="95" t="n">
        <v>420000</v>
      </c>
      <c r="KP4" s="95" t="n">
        <v>1465000</v>
      </c>
      <c r="KQ4" s="95" t="n">
        <v>513500</v>
      </c>
      <c r="KR4" s="95" t="n">
        <v>953000</v>
      </c>
      <c r="KS4" s="95" t="n">
        <v>2302050</v>
      </c>
      <c r="KT4" s="95" t="n">
        <v>817000</v>
      </c>
      <c r="KU4" s="95" t="n">
        <v>799000</v>
      </c>
      <c r="KV4" s="95" t="n">
        <v>1117900</v>
      </c>
      <c r="KW4" s="95" t="n">
        <v>1078000</v>
      </c>
      <c r="KX4" s="95" t="n">
        <v>1481038</v>
      </c>
      <c r="KY4" s="95" t="n">
        <v>1311000</v>
      </c>
      <c r="KZ4" s="95" t="n">
        <v>1513500</v>
      </c>
      <c r="LA4" s="95" t="n">
        <v>1107250</v>
      </c>
      <c r="LB4" s="95" t="n">
        <v>540000</v>
      </c>
      <c r="LC4" s="95" t="n">
        <v>2368000</v>
      </c>
      <c r="LD4" s="133">
        <f>SUM(JY4:LC4)</f>
        <v/>
      </c>
      <c r="LE4" s="95" t="n">
        <v>1837864</v>
      </c>
      <c r="LF4" s="95" t="n">
        <v>1156000</v>
      </c>
      <c r="LG4" s="95" t="n">
        <v>927000</v>
      </c>
      <c r="LH4" s="95" t="n">
        <v>1204000</v>
      </c>
      <c r="LI4" s="95" t="n">
        <v>1366500</v>
      </c>
      <c r="LJ4" s="95" t="n">
        <v>592500</v>
      </c>
      <c r="LK4" s="95" t="n">
        <v>1462000</v>
      </c>
      <c r="LL4" s="95" t="n">
        <v>1097931</v>
      </c>
      <c r="LM4" s="95" t="n">
        <v>790000</v>
      </c>
      <c r="LN4" s="95" t="n">
        <v>911000</v>
      </c>
      <c r="LO4" s="95" t="n">
        <v>724000</v>
      </c>
      <c r="LP4" s="95" t="n">
        <v>1050042</v>
      </c>
      <c r="LQ4" s="95" t="n">
        <v>1363000</v>
      </c>
      <c r="LR4" s="95" t="n">
        <v>1145300</v>
      </c>
      <c r="LS4" s="95" t="n">
        <v>1831000</v>
      </c>
      <c r="LT4" s="95" t="n">
        <v>1249000</v>
      </c>
      <c r="LU4" s="95" t="n">
        <v>1374000</v>
      </c>
      <c r="LV4" s="95" t="n">
        <v>1502250</v>
      </c>
      <c r="LW4" s="95" t="n">
        <v>1583500</v>
      </c>
      <c r="LX4" s="95" t="n">
        <v>1275000</v>
      </c>
      <c r="LY4" s="95" t="n">
        <v>1700014</v>
      </c>
      <c r="LZ4" s="95" t="n">
        <v>589450</v>
      </c>
      <c r="MA4" s="95" t="n">
        <v>1317000</v>
      </c>
      <c r="MB4" s="95" t="n">
        <v>546000</v>
      </c>
      <c r="MC4" s="95" t="n">
        <v>708750</v>
      </c>
      <c r="MD4" s="95" t="n">
        <v>1398198</v>
      </c>
      <c r="ME4" s="95" t="n">
        <v>697142</v>
      </c>
      <c r="MF4" s="95" t="n">
        <v>2145500</v>
      </c>
      <c r="MG4" s="95" t="n">
        <v>938500</v>
      </c>
      <c r="MH4" s="95" t="n">
        <v>960045</v>
      </c>
      <c r="MI4" s="133">
        <f>SUM(LD4:MH4)</f>
        <v/>
      </c>
      <c r="MJ4" s="95" t="n">
        <v>1090164</v>
      </c>
      <c r="MK4" s="95" t="n">
        <v>1156500</v>
      </c>
      <c r="ML4" s="95" t="n">
        <v>593900</v>
      </c>
      <c r="MM4" s="95" t="n">
        <v>860900</v>
      </c>
      <c r="MN4" s="95" t="n">
        <v>818000</v>
      </c>
      <c r="MO4" s="95" t="n">
        <v>994000</v>
      </c>
      <c r="MP4" s="95" t="n">
        <v>801000</v>
      </c>
      <c r="MQ4" s="95" t="n">
        <v>904000</v>
      </c>
      <c r="MR4" s="95" t="n">
        <v>596000</v>
      </c>
      <c r="MS4" s="95" t="n">
        <v>1277378</v>
      </c>
      <c r="MT4" s="95" t="n">
        <v>1370468</v>
      </c>
      <c r="MU4" s="95" t="n">
        <v>1847344</v>
      </c>
      <c r="MV4" s="95" t="n">
        <v>952450</v>
      </c>
      <c r="MW4" s="95" t="n">
        <v>1058000</v>
      </c>
      <c r="MX4" s="95" t="n">
        <v>970000</v>
      </c>
      <c r="MY4" s="95" t="n">
        <v>1527000</v>
      </c>
      <c r="MZ4" s="95" t="n">
        <v>1187800</v>
      </c>
      <c r="NA4" s="95" t="n">
        <v>1215025</v>
      </c>
      <c r="NB4" s="95" t="n">
        <v>1618998</v>
      </c>
      <c r="NC4" s="95" t="n">
        <v>1332000</v>
      </c>
      <c r="ND4" s="95" t="n">
        <v>869500</v>
      </c>
      <c r="NE4" s="95" t="n">
        <v>1747960</v>
      </c>
      <c r="NF4" s="95" t="n">
        <v>721000</v>
      </c>
      <c r="NG4" s="95" t="n">
        <v>1173000</v>
      </c>
      <c r="NH4" s="95" t="n">
        <v>1137000</v>
      </c>
      <c r="NI4" s="95" t="n">
        <v>913886</v>
      </c>
      <c r="NJ4" s="95" t="n">
        <v>1064000</v>
      </c>
      <c r="NK4" s="95" t="n">
        <v>459000</v>
      </c>
      <c r="NL4" s="95" t="n">
        <v>815000</v>
      </c>
      <c r="NM4" s="95" t="n">
        <v>1519688</v>
      </c>
      <c r="NN4" s="95" t="n">
        <v>914000</v>
      </c>
      <c r="NO4" s="133">
        <f>SUM(MJ4:NN4)</f>
        <v/>
      </c>
      <c r="NP4" s="95" t="n">
        <v>573000</v>
      </c>
      <c r="NQ4" s="95" t="n">
        <v>1917456</v>
      </c>
      <c r="NR4" s="95" t="n">
        <v>1123504</v>
      </c>
      <c r="NS4" s="95" t="n">
        <v>1260200</v>
      </c>
      <c r="NT4" s="95" t="n">
        <v>710500</v>
      </c>
      <c r="NU4" s="95" t="n">
        <v>1030000</v>
      </c>
      <c r="NV4" s="95" t="n">
        <v>985650</v>
      </c>
      <c r="NW4" s="95" t="n">
        <v>744000</v>
      </c>
      <c r="NX4" s="95" t="n">
        <v>772900</v>
      </c>
      <c r="NY4" s="95" t="n">
        <v>462000</v>
      </c>
      <c r="NZ4" s="95" t="n">
        <v>452000</v>
      </c>
      <c r="OA4" s="95" t="n">
        <v>557000</v>
      </c>
      <c r="OB4" s="95" t="n">
        <v>1035830</v>
      </c>
      <c r="OC4" s="95" t="n">
        <v>1547000</v>
      </c>
      <c r="OD4" s="95" t="n">
        <v>1918400</v>
      </c>
      <c r="OE4" s="95" t="n">
        <v>2252000</v>
      </c>
      <c r="OF4" s="95" t="n">
        <v>1551900</v>
      </c>
      <c r="OG4" s="95" t="n">
        <v>677000</v>
      </c>
      <c r="OH4" s="95" t="n">
        <v>982200</v>
      </c>
      <c r="OI4" s="95" t="n">
        <v>1115000</v>
      </c>
      <c r="OJ4" s="95" t="n">
        <v>986000</v>
      </c>
      <c r="OK4" s="95" t="n">
        <v>924000</v>
      </c>
      <c r="OL4" s="95" t="n">
        <v>342000</v>
      </c>
      <c r="OM4" s="95" t="n">
        <v>1314000</v>
      </c>
      <c r="ON4" s="95" t="n">
        <v>490000</v>
      </c>
      <c r="OO4" s="95" t="n">
        <v>1405094</v>
      </c>
      <c r="OP4" s="95" t="n">
        <v>1147003</v>
      </c>
      <c r="OQ4" s="95" t="n">
        <v>696412</v>
      </c>
      <c r="OR4" s="95" t="n">
        <v>1178398</v>
      </c>
      <c r="OS4" s="95" t="n">
        <v>1292000</v>
      </c>
      <c r="OT4" s="95" t="n">
        <v>1059000</v>
      </c>
      <c r="OU4" s="133">
        <f>SUM(NP4:OT4)</f>
        <v/>
      </c>
      <c r="OV4" s="95" t="n">
        <v>1082000</v>
      </c>
      <c r="OW4" s="95" t="n">
        <v>1121495</v>
      </c>
      <c r="OX4" s="95" t="n">
        <v>1266980</v>
      </c>
      <c r="OY4" s="95" t="n">
        <v>770000</v>
      </c>
      <c r="OZ4" s="95" t="n">
        <v>968000</v>
      </c>
      <c r="PA4" s="95" t="n">
        <v>1111000</v>
      </c>
      <c r="PB4" s="95" t="n">
        <v>862500</v>
      </c>
      <c r="PC4" s="95" t="n">
        <v>1625000</v>
      </c>
      <c r="PD4" s="95" t="n">
        <v>788200</v>
      </c>
      <c r="PE4" s="95" t="n">
        <v>718000</v>
      </c>
      <c r="PF4" s="95" t="n">
        <v>1261000</v>
      </c>
      <c r="PG4" s="95" t="n">
        <v>1345000</v>
      </c>
      <c r="PH4" s="95" t="n">
        <v>1730538</v>
      </c>
      <c r="PI4" s="95" t="n">
        <v>892000</v>
      </c>
      <c r="PJ4" s="95" t="n">
        <v>734900</v>
      </c>
      <c r="PK4" s="95" t="n">
        <v>1055132</v>
      </c>
      <c r="PL4" s="95" t="n">
        <v>355000</v>
      </c>
      <c r="PM4" s="95" t="n">
        <v>1257500</v>
      </c>
      <c r="PN4" s="95" t="n">
        <v>1540200</v>
      </c>
      <c r="PO4" s="95" t="n">
        <v>2783148</v>
      </c>
      <c r="PP4" s="95" t="n">
        <v>812000</v>
      </c>
      <c r="PQ4" s="95" t="n">
        <v>542014</v>
      </c>
      <c r="PR4" s="95" t="n">
        <v>695000</v>
      </c>
      <c r="PS4" s="95" t="n">
        <v>724000</v>
      </c>
      <c r="PT4" s="95" t="n">
        <v>659980</v>
      </c>
      <c r="PU4" s="95" t="n">
        <v>1191000</v>
      </c>
      <c r="PV4" s="95" t="n">
        <v>799000</v>
      </c>
      <c r="PW4" s="95" t="n">
        <v>843500</v>
      </c>
      <c r="PX4" s="95" t="n">
        <v>590000</v>
      </c>
      <c r="PY4" s="95" t="n">
        <v>736000</v>
      </c>
      <c r="PZ4" s="133">
        <f>SUM(OV4:PY4)</f>
        <v/>
      </c>
      <c r="QA4" s="95" t="n">
        <v>768000</v>
      </c>
      <c r="QB4" s="95" t="n">
        <v>320000</v>
      </c>
      <c r="QC4" s="95" t="n">
        <v>907100</v>
      </c>
      <c r="QD4" s="95" t="n">
        <v>469000</v>
      </c>
      <c r="QE4" s="95" t="n">
        <v>1572150</v>
      </c>
      <c r="QF4" s="95" t="n">
        <v>798000</v>
      </c>
      <c r="QG4" s="95" t="n">
        <v>1112000</v>
      </c>
      <c r="QH4" s="95" t="n">
        <v>578980</v>
      </c>
      <c r="QI4" s="95" t="n">
        <v>836100</v>
      </c>
      <c r="QJ4" s="95" t="n">
        <v>624000</v>
      </c>
      <c r="QK4" s="95" t="n">
        <v>857550</v>
      </c>
      <c r="QL4" s="95" t="n">
        <v>909000</v>
      </c>
      <c r="QM4" s="95" t="n">
        <v>1440902</v>
      </c>
      <c r="QN4" s="95" t="n">
        <v>1675400</v>
      </c>
      <c r="QO4" s="95" t="n">
        <v>971700</v>
      </c>
      <c r="QP4" s="95" t="n">
        <v>1343500</v>
      </c>
      <c r="QQ4" s="95" t="n">
        <v>1050850</v>
      </c>
      <c r="QR4" s="95" t="n">
        <v>1140450</v>
      </c>
      <c r="QS4" s="95" t="n">
        <v>1231500</v>
      </c>
      <c r="QT4" s="95" t="n">
        <v>380000</v>
      </c>
      <c r="QU4" s="95" t="n">
        <v>753400</v>
      </c>
      <c r="QV4" s="95" t="n">
        <v>842100</v>
      </c>
      <c r="QW4" s="95" t="n">
        <v>485000</v>
      </c>
      <c r="QX4" s="95" t="n">
        <v>402960</v>
      </c>
      <c r="QY4" s="95" t="n">
        <v>2106000</v>
      </c>
      <c r="QZ4" s="95" t="n">
        <v>1477000</v>
      </c>
      <c r="RA4" s="95" t="n">
        <v>267000</v>
      </c>
      <c r="RB4" s="95" t="n">
        <v>1260000</v>
      </c>
      <c r="RC4" s="95" t="n">
        <v>596188</v>
      </c>
      <c r="RD4" s="95" t="n">
        <v>790000</v>
      </c>
      <c r="RE4" s="95" t="n">
        <v>953500</v>
      </c>
      <c r="RF4" s="133">
        <f>SUM(QA4:RE4)</f>
        <v/>
      </c>
      <c r="RG4" s="82" t="n">
        <v>888000</v>
      </c>
      <c r="RH4" s="95" t="n">
        <v>1097000</v>
      </c>
      <c r="RI4" s="95" t="n">
        <v>658000</v>
      </c>
      <c r="RJ4" s="95" t="n">
        <v>837017</v>
      </c>
      <c r="RK4" s="95" t="n">
        <v>809985</v>
      </c>
      <c r="RL4" s="95" t="n">
        <v>1352780</v>
      </c>
      <c r="RM4" s="95" t="n">
        <v>758000</v>
      </c>
      <c r="RN4" s="95" t="n">
        <v>1177000</v>
      </c>
      <c r="RO4" s="95" t="n">
        <v>1104000</v>
      </c>
      <c r="RP4" s="95" t="n">
        <v>646752</v>
      </c>
      <c r="RQ4" s="95" t="n">
        <v>620000</v>
      </c>
      <c r="RR4" s="95" t="n">
        <v>2178000</v>
      </c>
      <c r="RS4" s="95" t="n">
        <v>1079599</v>
      </c>
      <c r="RT4" s="95" t="n">
        <v>410000</v>
      </c>
      <c r="RU4" s="95" t="n">
        <v>458000</v>
      </c>
      <c r="RV4" s="95" t="n">
        <v>521000</v>
      </c>
      <c r="RW4" s="95" t="n">
        <v>882000</v>
      </c>
      <c r="RX4" s="95" t="n">
        <v>734000</v>
      </c>
      <c r="RY4" s="95" t="n">
        <v>934000</v>
      </c>
      <c r="RZ4" s="95" t="n">
        <v>1192000</v>
      </c>
      <c r="SA4" s="95" t="n">
        <v>837842</v>
      </c>
      <c r="SB4" s="95" t="n">
        <v>840000</v>
      </c>
      <c r="SC4" s="95" t="n">
        <v>588000</v>
      </c>
      <c r="SD4" s="95" t="n">
        <v>450000</v>
      </c>
      <c r="SE4" s="95" t="n">
        <v>1165800</v>
      </c>
      <c r="SF4" s="95" t="n">
        <v>834333</v>
      </c>
      <c r="SG4" s="95" t="n">
        <v>2060000</v>
      </c>
      <c r="SH4" s="95" t="n">
        <v>925380</v>
      </c>
      <c r="SI4" s="95" t="n">
        <v>1140000</v>
      </c>
      <c r="SJ4" s="95" t="n">
        <v>1205000</v>
      </c>
      <c r="SK4" s="133">
        <f>SUM(RG4:SJ4)</f>
        <v/>
      </c>
      <c r="SL4" s="95" t="n">
        <v>408900</v>
      </c>
      <c r="SM4" s="95" t="n">
        <v>820000</v>
      </c>
      <c r="SN4" s="95" t="n">
        <v>1275400</v>
      </c>
      <c r="SO4" s="95" t="n">
        <v>1181500</v>
      </c>
      <c r="SP4" s="95" t="n">
        <v>1570850</v>
      </c>
      <c r="SQ4" s="95" t="n">
        <v>803500</v>
      </c>
      <c r="SR4" s="95" t="n">
        <v>1469000</v>
      </c>
      <c r="SS4" s="95" t="n">
        <v>1278802</v>
      </c>
      <c r="ST4" s="95" t="n">
        <v>1370000</v>
      </c>
      <c r="SU4" s="95" t="n">
        <v>1715128</v>
      </c>
      <c r="SV4" s="95" t="n">
        <v>1590000</v>
      </c>
      <c r="SW4" s="95" t="n">
        <v>822800</v>
      </c>
      <c r="SX4" s="95" t="n">
        <v>2290090</v>
      </c>
      <c r="SY4" s="95" t="n">
        <v>1148109</v>
      </c>
      <c r="SZ4" s="95" t="n">
        <v>956000</v>
      </c>
      <c r="TA4" s="95" t="n">
        <v>1747890</v>
      </c>
      <c r="TB4" s="95" t="n">
        <v>2034950</v>
      </c>
      <c r="TC4" s="95" t="n">
        <v>601000</v>
      </c>
      <c r="TD4" s="95" t="n">
        <v>1859222</v>
      </c>
      <c r="TE4" s="95" t="n">
        <v>1181429</v>
      </c>
      <c r="TF4" s="95" t="n">
        <v>1247000</v>
      </c>
      <c r="TG4" s="95" t="n">
        <v>3046264</v>
      </c>
      <c r="TH4" s="95" t="n">
        <v>1196000</v>
      </c>
      <c r="TI4" s="95" t="n">
        <v>572000</v>
      </c>
      <c r="TJ4" s="95" t="n">
        <v>779559</v>
      </c>
      <c r="TK4" s="95" t="n">
        <v>671000</v>
      </c>
      <c r="TL4" s="95" t="n">
        <v>1661352</v>
      </c>
      <c r="TM4" s="95" t="n">
        <v>618000</v>
      </c>
      <c r="TN4" s="95" t="n">
        <v>1313500</v>
      </c>
      <c r="TO4" s="95" t="n">
        <v>643000</v>
      </c>
      <c r="TP4" s="95" t="n">
        <v>1383000</v>
      </c>
      <c r="TQ4" s="133">
        <f>SUM(SL4:TP4)</f>
        <v/>
      </c>
      <c r="TR4" s="95" t="n">
        <v>641000</v>
      </c>
      <c r="TS4" s="95" t="n">
        <v>847000</v>
      </c>
      <c r="TT4" s="95" t="n">
        <v>755000</v>
      </c>
      <c r="TU4" s="95" t="n">
        <v>1901000</v>
      </c>
      <c r="TV4" s="95" t="n">
        <v>1267800</v>
      </c>
      <c r="TW4" s="95" t="n">
        <v>1721000</v>
      </c>
      <c r="TX4" s="95" t="n">
        <v>840000</v>
      </c>
      <c r="TY4" s="95" t="n">
        <v>1630000</v>
      </c>
      <c r="TZ4" s="95" t="n">
        <v>902000</v>
      </c>
      <c r="UA4" s="95" t="n">
        <v>2456590</v>
      </c>
      <c r="UB4" s="95" t="n">
        <v>538000</v>
      </c>
      <c r="UC4" s="95" t="n">
        <v>1376000</v>
      </c>
      <c r="UD4" s="95" t="n">
        <v>1391700</v>
      </c>
      <c r="UE4" s="95" t="n">
        <v>1799600</v>
      </c>
      <c r="UF4" s="95" t="n">
        <v>2289000</v>
      </c>
      <c r="UG4" s="95" t="n">
        <v>1722500</v>
      </c>
      <c r="UH4" s="95" t="n">
        <v>1480000</v>
      </c>
      <c r="UI4" s="95" t="n">
        <v>1904000</v>
      </c>
      <c r="UJ4" s="95" t="n">
        <v>1559000</v>
      </c>
      <c r="UK4" s="95" t="n">
        <v>1093000</v>
      </c>
      <c r="UL4" s="95" t="n">
        <v>1025063</v>
      </c>
      <c r="UM4" s="95" t="n">
        <v>774500</v>
      </c>
      <c r="UN4" s="95" t="n">
        <v>1146000</v>
      </c>
      <c r="UO4" s="95" t="n">
        <v>1679000</v>
      </c>
      <c r="UP4" s="95" t="n">
        <v>1427000</v>
      </c>
      <c r="UQ4" s="95" t="n">
        <v>851000</v>
      </c>
      <c r="UR4" s="95" t="n">
        <v>1651000</v>
      </c>
      <c r="US4" s="95" t="n">
        <v>1429000</v>
      </c>
      <c r="UT4" s="95" t="n">
        <v>781000</v>
      </c>
      <c r="UU4" s="95" t="n">
        <v>368000</v>
      </c>
      <c r="UV4" s="95" t="n">
        <v>1191000</v>
      </c>
      <c r="UW4" s="133">
        <f>SUM(TR4:UV4)</f>
        <v/>
      </c>
      <c r="UX4" s="95" t="n">
        <v>796000</v>
      </c>
      <c r="UY4" s="95" t="n">
        <v>866000</v>
      </c>
      <c r="UZ4" s="95" t="n">
        <v>2355260</v>
      </c>
      <c r="VA4" s="95" t="n">
        <v>905000</v>
      </c>
      <c r="VB4" s="95" t="n">
        <v>1027000</v>
      </c>
      <c r="VC4" s="95" t="n">
        <v>1294000</v>
      </c>
      <c r="VD4" s="95" t="n">
        <v>826500</v>
      </c>
      <c r="VE4" s="95" t="n">
        <v>2025000</v>
      </c>
      <c r="VF4" s="95" t="n">
        <v>226000</v>
      </c>
      <c r="VG4" s="95" t="n">
        <v>1033000</v>
      </c>
      <c r="VH4" s="95" t="n">
        <v>462000</v>
      </c>
      <c r="VI4" s="95" t="n">
        <v>950000</v>
      </c>
      <c r="VJ4" s="95" t="n">
        <v>884000</v>
      </c>
      <c r="VK4" s="95" t="n">
        <v>864000</v>
      </c>
      <c r="VL4" s="95" t="n">
        <v>1089000</v>
      </c>
      <c r="VM4" s="95" t="n">
        <v>1230520</v>
      </c>
      <c r="VN4" s="95" t="n">
        <v>562000</v>
      </c>
      <c r="VO4" s="95" t="n">
        <v>384000</v>
      </c>
      <c r="VP4" s="95" t="n">
        <v>910000</v>
      </c>
      <c r="VQ4" s="95" t="n">
        <v>1249106</v>
      </c>
      <c r="VR4" s="95" t="n">
        <v>1495000</v>
      </c>
      <c r="VS4" s="95" t="n">
        <v>1860000</v>
      </c>
      <c r="VT4" s="95" t="n">
        <v>1260500</v>
      </c>
      <c r="VU4" s="95" t="n">
        <v>1965332</v>
      </c>
      <c r="VV4" s="95" t="n">
        <v>1037000</v>
      </c>
      <c r="VW4" s="95" t="n">
        <v>1880000</v>
      </c>
      <c r="VX4" s="95" t="n">
        <v>1884000</v>
      </c>
      <c r="VY4" s="95" t="n">
        <v>1250000</v>
      </c>
      <c r="VZ4" s="133">
        <f>SUM(UX4:VY4)</f>
        <v/>
      </c>
      <c r="WA4" s="95" t="n">
        <v>1608652</v>
      </c>
      <c r="WB4" s="95" t="n">
        <v>917000</v>
      </c>
      <c r="WC4" s="95" t="n">
        <v>911500</v>
      </c>
      <c r="WD4" s="95" t="n">
        <v>840000</v>
      </c>
      <c r="WE4" s="95" t="n">
        <v>967200</v>
      </c>
      <c r="WF4" s="95" t="n">
        <v>1130000</v>
      </c>
      <c r="WG4" s="95" t="n">
        <v>729000</v>
      </c>
      <c r="WH4" s="95" t="n">
        <v>382000</v>
      </c>
      <c r="WI4" s="95" t="n">
        <v>484000</v>
      </c>
      <c r="WJ4" s="95" t="n">
        <v>841000</v>
      </c>
      <c r="WK4" s="95" t="n">
        <v>1610000</v>
      </c>
      <c r="WL4" s="95" t="n">
        <v>511000</v>
      </c>
      <c r="WM4" s="95" t="n">
        <v>611500</v>
      </c>
      <c r="WN4" s="95" t="n">
        <v>1051000</v>
      </c>
      <c r="WO4" s="95" t="n">
        <v>1661050</v>
      </c>
      <c r="WP4" s="95" t="n">
        <v>885000</v>
      </c>
      <c r="WQ4" s="95" t="n">
        <v>104000</v>
      </c>
      <c r="WR4" s="95" t="n">
        <v>0</v>
      </c>
      <c r="WS4" s="95" t="n">
        <v>478705</v>
      </c>
      <c r="WT4" s="95" t="n">
        <v>560000</v>
      </c>
      <c r="WU4" s="95" t="n">
        <v>578000</v>
      </c>
      <c r="WV4" s="95" t="n">
        <v>1439000</v>
      </c>
      <c r="WW4" s="95" t="n">
        <v>922000</v>
      </c>
      <c r="WX4" s="95" t="n">
        <v>2004000</v>
      </c>
      <c r="WY4" s="95" t="n">
        <v>355000</v>
      </c>
      <c r="WZ4" s="95" t="n">
        <v>1618000</v>
      </c>
      <c r="XA4" s="95" t="n">
        <v>1428800</v>
      </c>
      <c r="XB4" s="95" t="n">
        <v>1293474</v>
      </c>
      <c r="XC4" s="95" t="n">
        <v>653000</v>
      </c>
      <c r="XD4" s="95" t="n">
        <v>2462000</v>
      </c>
      <c r="XE4" s="95" t="n">
        <v>1386000</v>
      </c>
      <c r="XF4" s="133">
        <f>SUM(WA4:XE4)</f>
        <v/>
      </c>
      <c r="XG4" s="95" t="n">
        <v>1520000</v>
      </c>
      <c r="XH4" s="95" t="n">
        <v>1163890</v>
      </c>
      <c r="XI4" s="95" t="n">
        <v>2025000</v>
      </c>
      <c r="XJ4" s="95" t="n">
        <v>997000</v>
      </c>
      <c r="XK4" s="95" t="n">
        <v>1226585</v>
      </c>
      <c r="XL4" s="95" t="n">
        <v>646000</v>
      </c>
      <c r="XM4" s="95" t="n">
        <v>1453965</v>
      </c>
      <c r="XN4" s="95" t="n">
        <v>727200</v>
      </c>
      <c r="XO4" s="95" t="n">
        <v>548850</v>
      </c>
      <c r="XP4" s="95" t="n">
        <v>758000</v>
      </c>
      <c r="XQ4" s="95" t="n">
        <v>707000</v>
      </c>
      <c r="XR4" s="95" t="n">
        <v>1865954</v>
      </c>
      <c r="XS4" s="95" t="n">
        <v>745000</v>
      </c>
      <c r="XT4" s="95" t="n">
        <v>1457850</v>
      </c>
      <c r="XU4" s="95" t="n">
        <v>1290000</v>
      </c>
      <c r="XV4" s="95" t="n">
        <v>1035000</v>
      </c>
      <c r="XW4" s="95" t="n">
        <v>1092000</v>
      </c>
      <c r="XX4" s="95" t="n">
        <v>530000</v>
      </c>
      <c r="XY4" s="95" t="n">
        <v>625030</v>
      </c>
      <c r="XZ4" s="95" t="n">
        <v>350000</v>
      </c>
      <c r="YA4" s="95" t="n">
        <v>986000</v>
      </c>
      <c r="YB4" s="95" t="n">
        <v>996000</v>
      </c>
      <c r="YC4" s="95" t="n">
        <v>1942000</v>
      </c>
      <c r="YD4" s="95" t="n">
        <v>532000</v>
      </c>
      <c r="YE4" s="95" t="n">
        <v>921000</v>
      </c>
      <c r="YF4" s="95" t="n">
        <v>770000</v>
      </c>
      <c r="YG4" s="95" t="n">
        <v>686000</v>
      </c>
      <c r="YH4" s="95" t="n">
        <v>373000</v>
      </c>
      <c r="YI4" s="95" t="n">
        <v>1210266</v>
      </c>
      <c r="YJ4" s="95" t="n">
        <v>358000</v>
      </c>
      <c r="YK4" s="133">
        <f>SUM(XF4:YJ4)</f>
        <v/>
      </c>
      <c r="YL4" s="95" t="n">
        <v>2827000</v>
      </c>
      <c r="YM4" s="95" t="n">
        <v>1098256</v>
      </c>
      <c r="YN4" s="95" t="n">
        <v>937000</v>
      </c>
      <c r="YO4" s="95" t="n">
        <v>864500</v>
      </c>
      <c r="YP4" s="95" t="n">
        <v>1315000</v>
      </c>
      <c r="YQ4" s="95" t="n">
        <v>1103000</v>
      </c>
      <c r="YR4" s="95" t="n">
        <v>1169676</v>
      </c>
      <c r="YS4" s="95" t="n">
        <v>736500</v>
      </c>
      <c r="YT4" s="95" t="n">
        <v>982000</v>
      </c>
      <c r="YU4" s="95" t="n">
        <v>1235832</v>
      </c>
      <c r="YV4" s="95" t="n">
        <v>1252000</v>
      </c>
      <c r="YW4" s="95" t="n">
        <v>840450</v>
      </c>
      <c r="YX4" s="95" t="n">
        <v>824000</v>
      </c>
      <c r="YY4" s="95" t="n">
        <v>733500</v>
      </c>
      <c r="YZ4" s="95" t="n">
        <v>1793000</v>
      </c>
      <c r="ZA4" s="95" t="n">
        <v>1392000</v>
      </c>
      <c r="ZB4" s="95" t="n">
        <v>642000</v>
      </c>
      <c r="ZC4" s="95" t="n">
        <v>881000</v>
      </c>
      <c r="ZD4" s="95" t="n">
        <v>1561000</v>
      </c>
      <c r="ZE4" s="95" t="n">
        <v>470000</v>
      </c>
      <c r="ZF4" s="95" t="n">
        <v>1294700</v>
      </c>
      <c r="ZG4" s="95" t="n">
        <v>1474750</v>
      </c>
      <c r="ZH4" s="95" t="n">
        <v>1068000</v>
      </c>
      <c r="ZI4" s="95" t="n">
        <v>1325000</v>
      </c>
      <c r="ZJ4" s="95" t="n">
        <v>806500</v>
      </c>
      <c r="ZK4" s="95" t="n">
        <v>1456719</v>
      </c>
      <c r="ZL4" s="95" t="n">
        <v>2515000</v>
      </c>
      <c r="ZM4" s="95" t="n">
        <v>1405000</v>
      </c>
      <c r="ZN4" s="95" t="n">
        <v>662500</v>
      </c>
      <c r="ZO4" s="95" t="n">
        <v>842500</v>
      </c>
      <c r="ZP4" s="95" t="n">
        <v>806000</v>
      </c>
      <c r="ZQ4" s="133">
        <f>SUM(YL4:ZP4)</f>
        <v/>
      </c>
      <c r="ZR4" s="95" t="n">
        <v>1700000</v>
      </c>
      <c r="ZS4" s="95" t="n">
        <v>1007000</v>
      </c>
      <c r="ZT4" s="95" t="n">
        <v>1258000</v>
      </c>
      <c r="ZU4" s="95" t="n">
        <v>2037740</v>
      </c>
      <c r="ZV4" s="95" t="n">
        <v>1400000</v>
      </c>
      <c r="ZW4" s="95" t="n">
        <v>1558046</v>
      </c>
      <c r="ZX4" s="95" t="n">
        <v>1067950</v>
      </c>
      <c r="ZY4" s="95" t="n">
        <v>874500</v>
      </c>
      <c r="ZZ4" s="95" t="n">
        <v>1500000</v>
      </c>
      <c r="AAA4" s="95" t="n">
        <v>820000</v>
      </c>
      <c r="AAB4" s="95" t="n">
        <v>557000</v>
      </c>
      <c r="AAC4" s="95" t="n">
        <v>1795000</v>
      </c>
      <c r="AAD4" s="95" t="n">
        <v>1264000</v>
      </c>
      <c r="AAE4" s="95" t="n">
        <v>1283816</v>
      </c>
      <c r="AAF4" s="95" t="n">
        <v>846472</v>
      </c>
      <c r="AAG4" s="95" t="n">
        <v>862700</v>
      </c>
      <c r="AAH4" s="95" t="n">
        <v>1286000</v>
      </c>
      <c r="AAI4" s="95" t="n">
        <v>1083832</v>
      </c>
      <c r="AAJ4" s="95" t="n">
        <v>1737482</v>
      </c>
      <c r="AAK4" s="95" t="n">
        <v>1940600</v>
      </c>
      <c r="AAL4" s="95" t="n">
        <v>856880</v>
      </c>
      <c r="AAM4" s="95" t="n">
        <v>1585000</v>
      </c>
      <c r="AAN4" s="95" t="n">
        <v>1065000</v>
      </c>
      <c r="AAO4" s="95" t="n">
        <v>1299500</v>
      </c>
      <c r="AAP4" s="95" t="n">
        <v>902509</v>
      </c>
      <c r="AAQ4" s="95" t="n">
        <v>1707000</v>
      </c>
      <c r="AAR4" s="95" t="n">
        <v>1340000</v>
      </c>
      <c r="AAS4" s="95" t="n">
        <v>1388500</v>
      </c>
      <c r="AAT4" s="95" t="n">
        <v>904000</v>
      </c>
      <c r="AAU4" s="95" t="n">
        <v>1704000</v>
      </c>
      <c r="AAV4" s="133">
        <f>SUM(ZR4:AAU4)</f>
        <v/>
      </c>
      <c r="AAW4" s="95" t="n">
        <v>989000</v>
      </c>
      <c r="AAX4" s="95" t="n">
        <v>475000</v>
      </c>
      <c r="AAY4" s="95" t="n">
        <v>878000</v>
      </c>
      <c r="AAZ4" s="95" t="n">
        <v>1711000</v>
      </c>
      <c r="ABA4" s="95" t="n">
        <v>1003500</v>
      </c>
      <c r="ABB4" s="95" t="n">
        <v>1699500</v>
      </c>
      <c r="ABC4" s="95" t="n">
        <v>540200</v>
      </c>
      <c r="ABD4" s="95" t="n">
        <v>1891997</v>
      </c>
      <c r="ABE4" s="95" t="n">
        <v>643000</v>
      </c>
      <c r="ABF4" s="95" t="n">
        <v>1083542</v>
      </c>
      <c r="ABG4" s="95" t="n">
        <v>2508235</v>
      </c>
      <c r="ABH4" s="95" t="n">
        <v>930000</v>
      </c>
      <c r="ABI4" s="95" t="n">
        <v>1800000</v>
      </c>
      <c r="ABJ4" s="95" t="n">
        <v>1536831</v>
      </c>
      <c r="ABK4" s="95" t="n">
        <v>928000</v>
      </c>
      <c r="ABL4" s="95" t="n">
        <v>655000</v>
      </c>
      <c r="ABM4" s="95" t="n">
        <v>2021000</v>
      </c>
      <c r="ABN4" s="95" t="n">
        <v>1669800</v>
      </c>
      <c r="ABO4" s="95" t="n">
        <v>1325000</v>
      </c>
      <c r="ABP4" s="95" t="n">
        <v>1076200</v>
      </c>
      <c r="ABQ4" s="95" t="n">
        <v>1162626</v>
      </c>
      <c r="ABR4" s="95" t="n">
        <v>1196500</v>
      </c>
      <c r="ABS4" s="95" t="n">
        <v>1151404</v>
      </c>
      <c r="ABT4" s="95" t="n">
        <v>952009</v>
      </c>
      <c r="ABU4" s="95" t="n">
        <v>930000</v>
      </c>
      <c r="ABV4" s="95" t="n">
        <v>1084000</v>
      </c>
      <c r="ABW4" s="95" t="n">
        <v>650000</v>
      </c>
      <c r="ABX4" s="95" t="n">
        <v>1264000</v>
      </c>
      <c r="ABY4" s="95" t="n">
        <v>838500</v>
      </c>
      <c r="ABZ4" s="95" t="n">
        <v>1313000</v>
      </c>
      <c r="ACA4" s="95" t="n">
        <v>1996500</v>
      </c>
      <c r="ACB4" s="133">
        <f>SUM(AAX4:ACA4)</f>
        <v/>
      </c>
      <c r="ACC4" s="95" t="n">
        <v>913000</v>
      </c>
      <c r="ACD4" s="95" t="n">
        <v>2157364</v>
      </c>
      <c r="ACE4" s="95" t="n">
        <v>1061000</v>
      </c>
      <c r="ACF4" s="95" t="n">
        <v>2929500</v>
      </c>
      <c r="ACG4" s="95" t="n">
        <v>872000</v>
      </c>
      <c r="ACH4" s="95" t="n">
        <v>1941000</v>
      </c>
      <c r="ACI4" s="95" t="n">
        <v>2588547</v>
      </c>
      <c r="ACJ4" s="95" t="n">
        <v>1466250</v>
      </c>
      <c r="ACK4" s="95" t="n">
        <v>1385000</v>
      </c>
      <c r="ACL4" s="95" t="n">
        <v>540000</v>
      </c>
      <c r="ACM4" s="95" t="n">
        <v>1318000</v>
      </c>
      <c r="ACN4" s="95" t="n">
        <v>1194500</v>
      </c>
      <c r="ACO4" s="95" t="n">
        <v>916153</v>
      </c>
      <c r="ACP4" s="95" t="n">
        <v>966076</v>
      </c>
      <c r="ACQ4" s="95" t="n">
        <v>841000</v>
      </c>
      <c r="ACR4" s="95" t="n">
        <v>1688600</v>
      </c>
      <c r="ACS4" s="95" t="n">
        <v>1151000</v>
      </c>
      <c r="ACT4" s="95" t="n">
        <v>1667535</v>
      </c>
      <c r="ACU4" s="95" t="n">
        <v>819000</v>
      </c>
      <c r="ACV4" s="95" t="n">
        <v>967190</v>
      </c>
      <c r="ACW4" s="95" t="n">
        <v>710190</v>
      </c>
      <c r="ACX4" s="95" t="n">
        <v>2732000</v>
      </c>
      <c r="ACY4" s="95" t="n">
        <v>770333</v>
      </c>
      <c r="ACZ4" s="95" t="n">
        <v>1530500</v>
      </c>
      <c r="ADA4" s="95" t="n">
        <v>1464731</v>
      </c>
      <c r="ADB4" s="95" t="n">
        <v>751200</v>
      </c>
      <c r="ADC4" s="95" t="n">
        <v>815000</v>
      </c>
      <c r="ADD4" s="95" t="n">
        <v>473000</v>
      </c>
      <c r="ADE4" s="95" t="n">
        <v>939000</v>
      </c>
      <c r="ADF4" s="95" t="n">
        <v>1066000</v>
      </c>
      <c r="ADG4" s="95" t="n">
        <v>478000</v>
      </c>
      <c r="ADH4" s="133">
        <f>SUM(ACC4:ADG4)</f>
        <v/>
      </c>
      <c r="ADI4" s="95" t="n">
        <v>1126000</v>
      </c>
      <c r="ADJ4" s="95" t="n">
        <v>1642601</v>
      </c>
      <c r="ADK4" s="95" t="n">
        <v>1538000</v>
      </c>
      <c r="ADL4" s="95" t="n">
        <v>1410746</v>
      </c>
      <c r="ADM4" s="95" t="n">
        <v>1099000</v>
      </c>
      <c r="ADN4" s="95" t="n">
        <v>1186000</v>
      </c>
      <c r="ADO4" s="95" t="n">
        <v>1107800</v>
      </c>
      <c r="ADP4" s="95" t="n">
        <v>742000</v>
      </c>
      <c r="ADQ4" s="95" t="n">
        <v>1020000</v>
      </c>
      <c r="ADR4" s="95" t="n">
        <v>920580</v>
      </c>
      <c r="ADS4" s="95" t="n">
        <v>1103095</v>
      </c>
      <c r="ADT4" s="95" t="n">
        <v>2227109</v>
      </c>
      <c r="ADU4" s="95" t="n">
        <v>962000</v>
      </c>
      <c r="ADV4" s="95" t="n">
        <v>1262000</v>
      </c>
      <c r="ADW4" s="95" t="n">
        <v>882500</v>
      </c>
      <c r="ADX4" s="95" t="n">
        <v>511000</v>
      </c>
      <c r="ADY4" s="95" t="n">
        <v>946060</v>
      </c>
      <c r="ADZ4" s="95" t="n">
        <v>1408400</v>
      </c>
      <c r="AEA4" s="95" t="n">
        <v>1323000</v>
      </c>
      <c r="AEB4" s="95" t="n">
        <v>968000</v>
      </c>
      <c r="AEC4" s="95" t="n">
        <v>1361000</v>
      </c>
      <c r="AED4" s="95" t="n">
        <v>935000</v>
      </c>
      <c r="AEE4" s="95" t="n">
        <v>1044000</v>
      </c>
      <c r="AEF4" s="95" t="n">
        <v>1372000</v>
      </c>
      <c r="AEG4" s="95" t="n">
        <v>1276000</v>
      </c>
      <c r="AEH4" s="95" t="n">
        <v>1004000</v>
      </c>
      <c r="AEI4" s="95" t="n">
        <v>1901000</v>
      </c>
      <c r="AEJ4" s="95" t="n">
        <v>992000</v>
      </c>
      <c r="AEK4" s="95" t="n">
        <v>632000</v>
      </c>
      <c r="AEL4" s="95" t="n">
        <v>1646000</v>
      </c>
      <c r="AEM4" s="133">
        <f>SUM(ADI4:AEL4)</f>
        <v/>
      </c>
      <c r="AEN4" s="95" t="n">
        <v>935893</v>
      </c>
      <c r="AEO4" s="95" t="n">
        <v>890000</v>
      </c>
      <c r="AEP4" s="95" t="n">
        <v>1040040</v>
      </c>
      <c r="AEQ4" s="95" t="n">
        <v>2119000</v>
      </c>
      <c r="AER4" s="95" t="n">
        <v>1027103</v>
      </c>
      <c r="AES4" s="95" t="n">
        <v>944500</v>
      </c>
      <c r="AET4" s="95" t="n">
        <v>703000</v>
      </c>
      <c r="AEU4" s="95" t="n">
        <v>2110142</v>
      </c>
      <c r="AEV4" s="95" t="n">
        <v>1684900</v>
      </c>
      <c r="AEW4" s="95" t="n">
        <v>2658489</v>
      </c>
      <c r="AEX4" s="95" t="n">
        <v>1535000</v>
      </c>
      <c r="AEY4" s="95" t="n">
        <v>1361788</v>
      </c>
      <c r="AEZ4" s="95" t="n">
        <v>2107984</v>
      </c>
      <c r="AFA4" s="95" t="n">
        <v>354000</v>
      </c>
      <c r="AFB4" s="95" t="n">
        <v>657142</v>
      </c>
      <c r="AFC4" s="95" t="n">
        <v>761000</v>
      </c>
      <c r="AFD4" s="95" t="n">
        <v>730024</v>
      </c>
      <c r="AFE4" s="95" t="n">
        <v>889000</v>
      </c>
      <c r="AFF4" s="95" t="n">
        <v>849000</v>
      </c>
      <c r="AFG4" s="95" t="n">
        <v>625000</v>
      </c>
      <c r="AFH4" s="95" t="n">
        <v>1102000</v>
      </c>
      <c r="AFI4" s="95" t="n">
        <v>1283000</v>
      </c>
      <c r="AFJ4" s="95" t="n">
        <v>1236827</v>
      </c>
      <c r="AFK4" s="95" t="n">
        <v>974000</v>
      </c>
      <c r="AFL4" s="95" t="n">
        <v>1400000</v>
      </c>
      <c r="AFM4" s="95" t="n">
        <v>2008974</v>
      </c>
      <c r="AFN4" s="95" t="n">
        <v>886330</v>
      </c>
      <c r="AFO4" s="95" t="n">
        <v>415000</v>
      </c>
      <c r="AFP4" s="95" t="n">
        <v>630725</v>
      </c>
      <c r="AFQ4" s="95" t="n">
        <v>2195000</v>
      </c>
      <c r="AFR4" s="95" t="n">
        <v>1531000</v>
      </c>
      <c r="AFS4" s="133">
        <f>SUM(AEN4:AFR4)</f>
        <v/>
      </c>
      <c r="AFT4" s="95" t="n">
        <v>599500</v>
      </c>
      <c r="AFU4" s="95" t="n">
        <v>1221000</v>
      </c>
      <c r="AFV4" s="95" t="n">
        <v>1785000</v>
      </c>
      <c r="AFW4" s="95" t="n">
        <v>515000</v>
      </c>
      <c r="AFX4" s="95" t="n">
        <v>1283490</v>
      </c>
      <c r="AFY4" s="95" t="n">
        <v>1077000</v>
      </c>
      <c r="AFZ4" s="95" t="n">
        <v>866000</v>
      </c>
      <c r="AGE4" t="n">
        <v>60000</v>
      </c>
      <c r="AGN4" t="n">
        <v>130000</v>
      </c>
      <c r="AGX4" s="133">
        <f>SUM(AFT4:AGW4)</f>
        <v/>
      </c>
      <c r="AID4" s="133">
        <f>SUM(AGZ4:AIC4)</f>
        <v/>
      </c>
      <c r="AJJ4" s="133">
        <f>SUM(AIF4:AJI4)</f>
        <v/>
      </c>
      <c r="AKM4" s="133">
        <f>SUM(AJI4:AKL4)</f>
        <v/>
      </c>
      <c r="ALS4" s="133">
        <f>SUM(AKO4:ALR4)</f>
        <v/>
      </c>
      <c r="AMX4" s="133">
        <f>SUM(ALT4:AMW4)</f>
        <v/>
      </c>
    </row>
    <row r="5">
      <c r="A5" s="38" t="inlineStr">
        <is>
          <t>AIRTEL</t>
        </is>
      </c>
      <c r="B5" s="39" t="n">
        <v>2169300</v>
      </c>
      <c r="C5" s="39" t="n">
        <v>1204500</v>
      </c>
      <c r="D5" s="39" t="n">
        <v>2185500</v>
      </c>
      <c r="E5" s="39" t="n">
        <v>1573000</v>
      </c>
      <c r="F5" s="39" t="n">
        <v>1008600</v>
      </c>
      <c r="G5" s="39" t="n">
        <v>2899500</v>
      </c>
      <c r="H5" s="39" t="n">
        <v>1116000</v>
      </c>
      <c r="I5" s="39" t="n">
        <v>2236800</v>
      </c>
      <c r="J5" s="39" t="n">
        <v>3300500</v>
      </c>
      <c r="K5" s="39" t="n">
        <v>1593000</v>
      </c>
      <c r="L5" s="39" t="n">
        <v>1335000</v>
      </c>
      <c r="M5" s="39" t="n">
        <v>1260000</v>
      </c>
      <c r="N5" s="39" t="n">
        <v>1038000</v>
      </c>
      <c r="O5" s="39" t="n">
        <v>1021000</v>
      </c>
      <c r="P5" s="39" t="n">
        <v>1538000</v>
      </c>
      <c r="Q5" s="39" t="n">
        <v>582600</v>
      </c>
      <c r="R5" s="39" t="n">
        <v>1396000</v>
      </c>
      <c r="S5" s="39" t="n">
        <v>959000</v>
      </c>
      <c r="T5" s="39" t="n">
        <v>815000</v>
      </c>
      <c r="U5" s="39" t="n">
        <v>1463300</v>
      </c>
      <c r="V5" s="39" t="n">
        <v>1017000</v>
      </c>
      <c r="W5" s="39" t="n">
        <v>790000</v>
      </c>
      <c r="X5" s="39" t="n">
        <v>1052300</v>
      </c>
      <c r="Y5" s="39" t="n">
        <v>1261000</v>
      </c>
      <c r="Z5" s="39" t="n">
        <v>1507800</v>
      </c>
      <c r="AA5" s="39" t="n">
        <v>1014100</v>
      </c>
      <c r="AB5" s="39" t="n">
        <v>1187000</v>
      </c>
      <c r="AC5" s="39" t="n">
        <v>518000</v>
      </c>
      <c r="AD5" s="39" t="n">
        <v>2516000</v>
      </c>
      <c r="AE5" s="39" t="n">
        <v>979000</v>
      </c>
      <c r="AF5" s="39" t="n">
        <v>758000</v>
      </c>
      <c r="AG5" s="100">
        <f>SUM(B5:AF5)</f>
        <v/>
      </c>
      <c r="AH5" s="91" t="n">
        <v>1437000</v>
      </c>
      <c r="AI5" s="91" t="n">
        <v>1046100</v>
      </c>
      <c r="AJ5" s="91" t="n">
        <v>1065000</v>
      </c>
      <c r="AK5" s="91" t="n">
        <v>1675000</v>
      </c>
      <c r="AL5" s="91" t="n">
        <v>1615462</v>
      </c>
      <c r="AM5" s="91" t="n">
        <v>604000</v>
      </c>
      <c r="AN5" s="91" t="n">
        <v>1560238</v>
      </c>
      <c r="AO5" s="91" t="n">
        <v>2003764</v>
      </c>
      <c r="AP5" s="91" t="n">
        <v>867500</v>
      </c>
      <c r="AQ5" s="91" t="n">
        <v>1468000</v>
      </c>
      <c r="AR5" s="91" t="n">
        <v>523400</v>
      </c>
      <c r="AS5" s="91" t="n">
        <v>875000</v>
      </c>
      <c r="AT5" s="91" t="n">
        <v>755900</v>
      </c>
      <c r="AU5" s="91" t="n">
        <v>780000</v>
      </c>
      <c r="AV5" s="91" t="n">
        <v>1337500</v>
      </c>
      <c r="AW5" s="91" t="n">
        <v>1193000</v>
      </c>
      <c r="AX5" s="91" t="n">
        <v>1332000</v>
      </c>
      <c r="AY5" s="91" t="n">
        <v>1432800</v>
      </c>
      <c r="AZ5" s="91" t="n">
        <v>672000</v>
      </c>
      <c r="BA5" s="91" t="n">
        <v>1271300</v>
      </c>
      <c r="BB5" s="91" t="n">
        <v>386700</v>
      </c>
      <c r="BC5" s="91" t="n">
        <v>940740</v>
      </c>
      <c r="BD5" s="91" t="n">
        <v>1522010</v>
      </c>
      <c r="BE5" s="91" t="n">
        <v>540100</v>
      </c>
      <c r="BF5" s="91" t="n">
        <v>904000</v>
      </c>
      <c r="BG5" s="91" t="n">
        <v>2004900</v>
      </c>
      <c r="BH5" s="91" t="n">
        <v>892000</v>
      </c>
      <c r="BI5" s="91" t="n">
        <v>902000</v>
      </c>
      <c r="BJ5" s="91" t="n">
        <v>732000</v>
      </c>
      <c r="BK5" s="91" t="n">
        <v>921000</v>
      </c>
      <c r="BL5" s="82">
        <f>SUM(AH5:BK5)</f>
        <v/>
      </c>
      <c r="BM5" s="108" t="n">
        <v>293000</v>
      </c>
      <c r="BN5" s="108" t="n">
        <v>778000</v>
      </c>
      <c r="BO5" s="108" t="n">
        <v>421900</v>
      </c>
      <c r="BP5" s="108" t="n">
        <v>1368000</v>
      </c>
      <c r="BQ5" s="108" t="n">
        <v>1064560</v>
      </c>
      <c r="BR5" s="108" t="n">
        <v>1124000</v>
      </c>
      <c r="BS5" s="108" t="n">
        <v>1139000</v>
      </c>
      <c r="BT5" s="108" t="n">
        <v>1305800</v>
      </c>
      <c r="BU5" s="108" t="n">
        <v>1657500</v>
      </c>
      <c r="BV5" s="108" t="n">
        <v>828500</v>
      </c>
      <c r="BW5" s="108" t="n">
        <v>306950</v>
      </c>
      <c r="BX5" s="108" t="n">
        <v>947000</v>
      </c>
      <c r="BY5" s="108" t="n">
        <v>639000</v>
      </c>
      <c r="BZ5" s="108" t="n">
        <v>939000</v>
      </c>
      <c r="CA5" s="108" t="n">
        <v>661500</v>
      </c>
      <c r="CB5" s="108" t="n">
        <v>1073000</v>
      </c>
      <c r="CC5" s="108" t="n">
        <v>1259500</v>
      </c>
      <c r="CD5" s="108" t="n">
        <v>314000</v>
      </c>
      <c r="CE5" s="108" t="n">
        <v>860500</v>
      </c>
      <c r="CF5" s="108" t="n">
        <v>712000</v>
      </c>
      <c r="CG5" s="108" t="n">
        <v>1014754</v>
      </c>
      <c r="CH5" s="108" t="n">
        <v>601000</v>
      </c>
      <c r="CI5" s="108" t="n">
        <v>924500</v>
      </c>
      <c r="CJ5" s="108" t="n">
        <v>480000</v>
      </c>
      <c r="CK5" s="108" t="n">
        <v>1637500</v>
      </c>
      <c r="CL5" s="108" t="n">
        <v>1332000</v>
      </c>
      <c r="CM5" s="108" t="n">
        <v>1067900</v>
      </c>
      <c r="CN5" s="108" t="n">
        <v>1758000</v>
      </c>
      <c r="CO5" s="108" t="n">
        <v>507950</v>
      </c>
      <c r="CP5" s="108" t="n">
        <v>1675700</v>
      </c>
      <c r="CQ5" s="108" t="n">
        <v>922000</v>
      </c>
      <c r="CR5" s="82">
        <f>SUM(BM5:CQ5)</f>
        <v/>
      </c>
      <c r="CS5" s="95" t="n">
        <v>1279000</v>
      </c>
      <c r="CT5" s="95" t="n">
        <v>1380000</v>
      </c>
      <c r="CU5" s="95" t="n">
        <v>1038000</v>
      </c>
      <c r="CV5" s="95" t="n">
        <v>1588010</v>
      </c>
      <c r="CW5" s="95" t="n">
        <v>622053</v>
      </c>
      <c r="CX5" s="95" t="n">
        <v>1828800</v>
      </c>
      <c r="CY5" s="95" t="n">
        <v>1008122</v>
      </c>
      <c r="CZ5" s="95" t="n">
        <v>838000</v>
      </c>
      <c r="DA5" s="95" t="n">
        <v>1369500</v>
      </c>
      <c r="DB5" s="95" t="n">
        <v>972073</v>
      </c>
      <c r="DC5" s="95" t="n">
        <v>694000</v>
      </c>
      <c r="DD5" s="95" t="n">
        <v>1175500</v>
      </c>
      <c r="DE5" s="95" t="n">
        <v>1133695</v>
      </c>
      <c r="DF5" s="95" t="n">
        <v>1438390</v>
      </c>
      <c r="DG5" s="95" t="n">
        <v>1093000</v>
      </c>
      <c r="DH5" s="95" t="n">
        <v>612100</v>
      </c>
      <c r="DI5" s="95" t="n">
        <v>2553150</v>
      </c>
      <c r="DJ5" s="95" t="n">
        <v>497100</v>
      </c>
      <c r="DK5" s="95" t="n">
        <v>969000</v>
      </c>
      <c r="DL5" s="95" t="n">
        <v>1626490</v>
      </c>
      <c r="DM5" s="95" t="n">
        <v>1000900</v>
      </c>
      <c r="DN5" s="95" t="n">
        <v>903500</v>
      </c>
      <c r="DO5" s="95" t="n">
        <v>953000</v>
      </c>
      <c r="DP5" s="95" t="n">
        <v>679000</v>
      </c>
      <c r="DQ5" s="95" t="n">
        <v>1415100</v>
      </c>
      <c r="DR5" s="95" t="n">
        <v>819500</v>
      </c>
      <c r="DS5" s="95" t="n">
        <v>981500</v>
      </c>
      <c r="DT5" s="95" t="n">
        <v>2126000</v>
      </c>
      <c r="DU5" s="95" t="n">
        <v>514000</v>
      </c>
      <c r="DV5" s="95" t="n">
        <v>1322000</v>
      </c>
      <c r="DW5" s="82">
        <f>SUM(CS5:DV5)</f>
        <v/>
      </c>
      <c r="DX5" s="95" t="n">
        <v>1631000</v>
      </c>
      <c r="DY5" s="95" t="n">
        <v>898000</v>
      </c>
      <c r="DZ5" s="95" t="n">
        <v>352000</v>
      </c>
      <c r="EA5" s="95" t="n">
        <v>370500</v>
      </c>
      <c r="EB5" s="95" t="n">
        <v>1413000</v>
      </c>
      <c r="EC5" s="95" t="n">
        <v>724000</v>
      </c>
      <c r="ED5" s="95" t="n">
        <v>914000</v>
      </c>
      <c r="EE5" s="95" t="n">
        <v>1747780</v>
      </c>
      <c r="EF5" s="95" t="n">
        <v>1047000</v>
      </c>
      <c r="EG5" s="95" t="n">
        <v>1539400</v>
      </c>
      <c r="EH5" s="95" t="n">
        <v>1161000</v>
      </c>
      <c r="EI5" s="95" t="n">
        <v>1748000</v>
      </c>
      <c r="EJ5" s="95" t="n">
        <v>2177962</v>
      </c>
      <c r="EK5" s="95" t="n">
        <v>1605850</v>
      </c>
      <c r="EL5" s="95" t="n">
        <v>961000</v>
      </c>
      <c r="EM5" s="95" t="n">
        <v>1564000</v>
      </c>
      <c r="EN5" s="95" t="n">
        <v>684000</v>
      </c>
      <c r="EO5" s="95" t="n">
        <v>1224900</v>
      </c>
      <c r="EP5" s="95" t="n">
        <v>803000</v>
      </c>
      <c r="EQ5" s="95" t="n">
        <v>1502000</v>
      </c>
      <c r="ER5" s="95" t="n">
        <v>2153000</v>
      </c>
      <c r="ES5" s="95" t="n">
        <v>1266500</v>
      </c>
      <c r="ET5" s="95" t="n">
        <v>2187000</v>
      </c>
      <c r="EU5" s="95" t="n">
        <v>717112</v>
      </c>
      <c r="EV5" s="95" t="n">
        <v>1548038</v>
      </c>
      <c r="EW5" s="95" t="n">
        <v>1201000</v>
      </c>
      <c r="EX5" s="95" t="n">
        <v>1383205</v>
      </c>
      <c r="EY5" s="95" t="n">
        <v>1702500</v>
      </c>
      <c r="EZ5" s="95" t="n">
        <v>1892700</v>
      </c>
      <c r="FA5" s="95" t="n">
        <v>1325000</v>
      </c>
      <c r="FB5" s="95" t="n">
        <v>789540</v>
      </c>
      <c r="FC5" s="128">
        <f>SUM(DX5:FB5)</f>
        <v/>
      </c>
      <c r="FD5" s="95" t="n">
        <v>626333</v>
      </c>
      <c r="FE5" s="95" t="n">
        <v>439000</v>
      </c>
      <c r="FF5" s="95" t="n">
        <v>532000</v>
      </c>
      <c r="FG5" s="95" t="n">
        <v>1204900</v>
      </c>
      <c r="FH5" s="95" t="n">
        <v>2003124</v>
      </c>
      <c r="FI5" s="95" t="n">
        <v>518000</v>
      </c>
      <c r="FJ5" s="95" t="n">
        <v>955000</v>
      </c>
      <c r="FK5" s="95" t="n">
        <v>789000</v>
      </c>
      <c r="FL5" s="95" t="n">
        <v>1582000</v>
      </c>
      <c r="FM5" s="95" t="n">
        <v>275000</v>
      </c>
      <c r="FN5" s="95" t="n">
        <v>1662000</v>
      </c>
      <c r="FO5" s="95" t="n">
        <v>1093044</v>
      </c>
      <c r="FP5" s="95" t="n">
        <v>974000</v>
      </c>
      <c r="FQ5" s="95" t="n">
        <v>1022000</v>
      </c>
      <c r="FR5" s="95" t="n">
        <v>1178674</v>
      </c>
      <c r="FS5" s="95" t="n">
        <v>650000</v>
      </c>
      <c r="FT5" s="95" t="n">
        <v>1880000</v>
      </c>
      <c r="FU5" s="95" t="n">
        <v>1582000</v>
      </c>
      <c r="FV5" s="95" t="n">
        <v>1813000</v>
      </c>
      <c r="FW5" s="95" t="n">
        <v>884000</v>
      </c>
      <c r="FX5" s="95" t="n">
        <v>853000</v>
      </c>
      <c r="FY5" s="95" t="n">
        <v>662000</v>
      </c>
      <c r="FZ5" s="95" t="n">
        <v>569000</v>
      </c>
      <c r="GA5" s="95" t="n">
        <v>1526170</v>
      </c>
      <c r="GB5" s="95" t="n">
        <v>1524000</v>
      </c>
      <c r="GC5" s="95" t="n">
        <v>2441200</v>
      </c>
      <c r="GD5" s="95" t="n">
        <v>947000</v>
      </c>
      <c r="GE5" s="95" t="n">
        <v>1374000</v>
      </c>
      <c r="GF5" s="95" t="n">
        <v>1462000</v>
      </c>
      <c r="GG5" s="95" t="n">
        <v>785000</v>
      </c>
      <c r="GH5" s="95" t="n">
        <v>1781000</v>
      </c>
      <c r="GI5" s="82">
        <f>SUM(FD5:GH5)</f>
        <v/>
      </c>
      <c r="GJ5" s="95" t="n">
        <v>1640000</v>
      </c>
      <c r="GK5" s="95" t="n">
        <v>1490000</v>
      </c>
      <c r="GL5" s="95" t="n">
        <v>1449034</v>
      </c>
      <c r="GM5" s="95" t="n">
        <v>453000</v>
      </c>
      <c r="GN5" s="95" t="n">
        <v>932000</v>
      </c>
      <c r="GO5" s="95" t="n">
        <v>800000</v>
      </c>
      <c r="GP5" s="95" t="n">
        <v>1696000</v>
      </c>
      <c r="GQ5" s="95" t="n">
        <v>957000</v>
      </c>
      <c r="GR5" s="95" t="n">
        <v>1689000</v>
      </c>
      <c r="GS5" s="95" t="n">
        <v>1344500</v>
      </c>
      <c r="GT5" s="95" t="n">
        <v>1077000</v>
      </c>
      <c r="GU5" s="95" t="n">
        <v>1599000</v>
      </c>
      <c r="GV5" s="95" t="n">
        <v>1359300</v>
      </c>
      <c r="GW5" s="95" t="n">
        <v>823703</v>
      </c>
      <c r="GX5" s="95" t="n">
        <v>1075000</v>
      </c>
      <c r="GY5" s="95" t="n">
        <v>1126972</v>
      </c>
      <c r="GZ5" s="95" t="n">
        <v>967602</v>
      </c>
      <c r="HA5" s="95" t="n">
        <v>814900</v>
      </c>
      <c r="HB5" s="95" t="n">
        <v>695000</v>
      </c>
      <c r="HC5" s="95" t="n">
        <v>1540390</v>
      </c>
      <c r="HD5" s="95" t="n">
        <v>1150200</v>
      </c>
      <c r="HE5" s="95" t="n">
        <v>715000</v>
      </c>
      <c r="HF5" s="95" t="n">
        <v>991160</v>
      </c>
      <c r="HG5" s="95" t="n">
        <v>1064000</v>
      </c>
      <c r="HH5" s="95" t="n">
        <v>771000</v>
      </c>
      <c r="HI5" s="95" t="n">
        <v>834000</v>
      </c>
      <c r="HJ5" s="95" t="n">
        <v>1032000</v>
      </c>
      <c r="HK5" s="95" t="n">
        <v>1441808</v>
      </c>
      <c r="HL5" s="95" t="n">
        <v>1368946</v>
      </c>
      <c r="HM5" s="133">
        <f>SUM(GJ5:HL5)</f>
        <v/>
      </c>
      <c r="HN5" s="95" t="n">
        <v>1175000</v>
      </c>
      <c r="HO5" s="95" t="n">
        <v>1055000</v>
      </c>
      <c r="HP5" s="95" t="n">
        <v>1062000</v>
      </c>
      <c r="HQ5" s="95" t="n">
        <v>1519000</v>
      </c>
      <c r="HR5" s="95" t="n">
        <v>1896823</v>
      </c>
      <c r="HS5" s="95" t="n">
        <v>805900</v>
      </c>
      <c r="HT5" s="95" t="n">
        <v>1278160</v>
      </c>
      <c r="HU5" s="95" t="n">
        <v>1486160</v>
      </c>
      <c r="HV5" s="95" t="n">
        <v>1685000</v>
      </c>
      <c r="HW5" s="95" t="n">
        <v>1362000</v>
      </c>
      <c r="HX5" s="95" t="n">
        <v>1367000</v>
      </c>
      <c r="HY5" s="95" t="n">
        <v>1354000</v>
      </c>
      <c r="HZ5" s="95" t="n">
        <v>610000</v>
      </c>
      <c r="IA5" s="95" t="n">
        <v>1363500</v>
      </c>
      <c r="IB5" s="95" t="n">
        <v>3145400</v>
      </c>
      <c r="IC5" s="95" t="n">
        <v>828000</v>
      </c>
      <c r="ID5" s="95" t="n">
        <v>1249650</v>
      </c>
      <c r="IE5" s="95" t="n">
        <v>882000</v>
      </c>
      <c r="IF5" s="95" t="n">
        <v>1695000</v>
      </c>
      <c r="IG5" s="95" t="n">
        <v>924000</v>
      </c>
      <c r="IH5" s="95" t="n">
        <v>470400</v>
      </c>
      <c r="II5" s="95" t="n">
        <v>1703000</v>
      </c>
      <c r="IJ5" s="95" t="n">
        <v>1364500</v>
      </c>
      <c r="IK5" s="95" t="n">
        <v>1592250</v>
      </c>
      <c r="IL5" s="95" t="n">
        <v>1259400</v>
      </c>
      <c r="IM5" s="95" t="n">
        <v>1312500</v>
      </c>
      <c r="IN5" s="95" t="n">
        <v>932700</v>
      </c>
      <c r="IO5" s="95" t="n">
        <v>2296900</v>
      </c>
      <c r="IP5" s="95" t="n">
        <v>816000</v>
      </c>
      <c r="IQ5" s="95" t="n">
        <v>1421500</v>
      </c>
      <c r="IR5" s="95" t="n">
        <v>588400</v>
      </c>
      <c r="IS5" s="133">
        <f>SUM(HN5:IR5)</f>
        <v/>
      </c>
      <c r="IT5" s="95" t="n">
        <v>1128000</v>
      </c>
      <c r="IU5" s="95" t="n">
        <v>1561182</v>
      </c>
      <c r="IV5" s="95" t="n">
        <v>785400</v>
      </c>
      <c r="IW5" s="95" t="n">
        <v>1354000</v>
      </c>
      <c r="IX5" s="95" t="n">
        <v>1117000</v>
      </c>
      <c r="IY5" s="95" t="n">
        <v>1191500</v>
      </c>
      <c r="IZ5" s="95" t="n">
        <v>953000</v>
      </c>
      <c r="JA5" s="95" t="n">
        <v>797500</v>
      </c>
      <c r="JB5" s="95" t="n">
        <v>1702000</v>
      </c>
      <c r="JC5" s="95" t="n">
        <v>1038000</v>
      </c>
      <c r="JD5" s="95" t="n">
        <v>1434000</v>
      </c>
      <c r="JE5" s="95" t="n">
        <v>1106900</v>
      </c>
      <c r="JF5" s="95" t="n">
        <v>2077500</v>
      </c>
      <c r="JG5" s="95" t="n">
        <v>1378500</v>
      </c>
      <c r="JH5" s="95" t="n">
        <v>983000</v>
      </c>
      <c r="JI5" s="95" t="n">
        <v>1536780</v>
      </c>
      <c r="JJ5" s="95" t="n">
        <v>1079000</v>
      </c>
      <c r="JK5" s="95" t="n">
        <v>641000</v>
      </c>
      <c r="JL5" s="95" t="n">
        <v>2637636</v>
      </c>
      <c r="JM5" s="95" t="n">
        <v>1292500</v>
      </c>
      <c r="JN5" s="95" t="n">
        <v>1081000</v>
      </c>
      <c r="JO5" s="95" t="n">
        <v>2728500</v>
      </c>
      <c r="JP5" s="95" t="n">
        <v>1455080</v>
      </c>
      <c r="JQ5" s="95" t="n">
        <v>2339531</v>
      </c>
      <c r="JR5" s="95" t="n">
        <v>465000</v>
      </c>
      <c r="JS5" s="95" t="n">
        <v>1207000</v>
      </c>
      <c r="JT5" s="95" t="n">
        <v>2168000</v>
      </c>
      <c r="JU5" s="95" t="n">
        <v>811500</v>
      </c>
      <c r="JV5" s="95" t="n">
        <v>1463085</v>
      </c>
      <c r="JW5" s="95" t="n">
        <v>1701000</v>
      </c>
      <c r="JX5" s="133">
        <f>SUM(IT5:JW5)</f>
        <v/>
      </c>
      <c r="JY5" s="95" t="n">
        <v>1371000</v>
      </c>
      <c r="JZ5" s="95" t="n">
        <v>1212900</v>
      </c>
      <c r="KA5" s="95" t="n">
        <v>1798700</v>
      </c>
      <c r="KB5" s="95" t="n">
        <v>1761460</v>
      </c>
      <c r="KC5" s="95" t="n">
        <v>1253744</v>
      </c>
      <c r="KD5" s="95" t="n">
        <v>2674320</v>
      </c>
      <c r="KE5" s="95" t="n">
        <v>3076340</v>
      </c>
      <c r="KF5" s="95" t="n">
        <v>1821680</v>
      </c>
      <c r="KG5" s="95" t="n">
        <v>2480880</v>
      </c>
      <c r="KH5" s="95" t="n">
        <v>3013300</v>
      </c>
      <c r="KI5" s="95" t="n">
        <v>2133730</v>
      </c>
      <c r="KJ5" s="95" t="n">
        <v>830000</v>
      </c>
      <c r="KK5" s="95" t="n">
        <v>2986700</v>
      </c>
      <c r="KL5" s="95" t="n">
        <v>2926900</v>
      </c>
      <c r="KM5" s="95" t="n">
        <v>1457000</v>
      </c>
      <c r="KN5" s="95" t="n">
        <v>3459050</v>
      </c>
      <c r="KO5" s="95" t="n">
        <v>2108730</v>
      </c>
      <c r="KP5" s="95" t="n">
        <v>2337500</v>
      </c>
      <c r="KQ5" s="95" t="n">
        <v>1024000</v>
      </c>
      <c r="KR5" s="95" t="n">
        <v>2445590</v>
      </c>
      <c r="KS5" s="95" t="n">
        <v>2456370</v>
      </c>
      <c r="KT5" s="95" t="n">
        <v>2496500</v>
      </c>
      <c r="KU5" s="95" t="n">
        <v>2019000</v>
      </c>
      <c r="KV5" s="95" t="n">
        <v>2412200</v>
      </c>
      <c r="KW5" s="95" t="n">
        <v>2207880</v>
      </c>
      <c r="KX5" s="95" t="n">
        <v>1173000</v>
      </c>
      <c r="KY5" s="95" t="n">
        <v>3002660</v>
      </c>
      <c r="KZ5" s="95" t="n">
        <v>3333000</v>
      </c>
      <c r="LA5" s="95" t="n">
        <v>2541000</v>
      </c>
      <c r="LB5" s="95" t="n">
        <v>5008500</v>
      </c>
      <c r="LC5" s="95" t="n">
        <v>1319950</v>
      </c>
      <c r="LD5" s="133">
        <f>SUM(JY5:LC5)</f>
        <v/>
      </c>
      <c r="LE5" s="95" t="n">
        <v>3509660</v>
      </c>
      <c r="LF5" s="95" t="n">
        <v>1950100</v>
      </c>
      <c r="LG5" s="95" t="n">
        <v>2454000</v>
      </c>
      <c r="LH5" s="95" t="n">
        <v>2263350</v>
      </c>
      <c r="LI5" s="95" t="n">
        <v>1815450</v>
      </c>
      <c r="LJ5" s="95" t="n">
        <v>3072850</v>
      </c>
      <c r="LK5" s="95" t="n">
        <v>2489700</v>
      </c>
      <c r="LL5" s="95" t="n">
        <v>3426000</v>
      </c>
      <c r="LM5" s="95" t="n">
        <v>854000</v>
      </c>
      <c r="LN5" s="95" t="n">
        <v>2294000</v>
      </c>
      <c r="LO5" s="95" t="n">
        <v>4265268</v>
      </c>
      <c r="LP5" s="95" t="n">
        <v>1658740</v>
      </c>
      <c r="LQ5" s="95" t="n">
        <v>2202000</v>
      </c>
      <c r="LR5" s="95" t="n">
        <v>2962213</v>
      </c>
      <c r="LS5" s="95" t="n">
        <v>2793343</v>
      </c>
      <c r="LT5" s="95" t="n">
        <v>888200</v>
      </c>
      <c r="LU5" s="95" t="n">
        <v>1877900</v>
      </c>
      <c r="LV5" s="95" t="n">
        <v>2867000</v>
      </c>
      <c r="LW5" s="95" t="n">
        <v>2999209</v>
      </c>
      <c r="LX5" s="95" t="n">
        <v>2113000</v>
      </c>
      <c r="LY5" s="95" t="n">
        <v>3588000</v>
      </c>
      <c r="LZ5" s="95" t="n">
        <v>2049000</v>
      </c>
      <c r="MA5" s="95" t="n">
        <v>514000</v>
      </c>
      <c r="MB5" s="95" t="n">
        <v>3290450</v>
      </c>
      <c r="MC5" s="95" t="n">
        <v>1602350</v>
      </c>
      <c r="MD5" s="95" t="n">
        <v>2205740</v>
      </c>
      <c r="ME5" s="95" t="n">
        <v>1228000</v>
      </c>
      <c r="MF5" s="95" t="n">
        <v>3280836</v>
      </c>
      <c r="MG5" s="95" t="n">
        <v>1326000</v>
      </c>
      <c r="MH5" s="95" t="n">
        <v>2044500</v>
      </c>
      <c r="MI5" s="133">
        <f>SUM(LD5:MH5)</f>
        <v/>
      </c>
      <c r="MJ5" s="95" t="n">
        <v>2181100</v>
      </c>
      <c r="MK5" s="95" t="n">
        <v>1937000</v>
      </c>
      <c r="ML5" s="95" t="n">
        <v>2369000</v>
      </c>
      <c r="MM5" s="95" t="n">
        <v>1965000</v>
      </c>
      <c r="MN5" s="95" t="n">
        <v>3602000</v>
      </c>
      <c r="MO5" s="95" t="n">
        <v>1638900</v>
      </c>
      <c r="MP5" s="95" t="n">
        <v>1732500</v>
      </c>
      <c r="MQ5" s="95" t="n">
        <v>3546370</v>
      </c>
      <c r="MR5" s="95" t="n">
        <v>2896501</v>
      </c>
      <c r="MS5" s="95" t="n">
        <v>1682000</v>
      </c>
      <c r="MT5" s="95" t="n">
        <v>3423000</v>
      </c>
      <c r="MU5" s="95" t="n">
        <v>3320000</v>
      </c>
      <c r="MV5" s="95" t="n">
        <v>2853000</v>
      </c>
      <c r="MW5" s="95" t="n">
        <v>1558000</v>
      </c>
      <c r="MX5" s="95" t="n">
        <v>2680100</v>
      </c>
      <c r="MY5" s="95" t="n">
        <v>2541000</v>
      </c>
      <c r="MZ5" s="95" t="n">
        <v>1547700</v>
      </c>
      <c r="NA5" s="95" t="n">
        <v>2616018</v>
      </c>
      <c r="NB5" s="95" t="n">
        <v>1513117</v>
      </c>
      <c r="NC5" s="95" t="n">
        <v>1290000</v>
      </c>
      <c r="ND5" s="95" t="n">
        <v>960320</v>
      </c>
      <c r="NE5" s="95" t="n">
        <v>1776600</v>
      </c>
      <c r="NF5" s="95" t="n">
        <v>2696000</v>
      </c>
      <c r="NG5" s="95" t="n">
        <v>1796000</v>
      </c>
      <c r="NH5" s="95" t="n">
        <v>2729300</v>
      </c>
      <c r="NI5" s="95" t="n">
        <v>3264100</v>
      </c>
      <c r="NJ5" s="95" t="n">
        <v>1277000</v>
      </c>
      <c r="NK5" s="95" t="n">
        <v>1236000</v>
      </c>
      <c r="NL5" s="95" t="n">
        <v>2005000</v>
      </c>
      <c r="NM5" s="95" t="n">
        <v>2110300</v>
      </c>
      <c r="NN5" s="95" t="n">
        <v>1924000</v>
      </c>
      <c r="NO5" s="133">
        <f>SUM(MJ5:NN5)</f>
        <v/>
      </c>
      <c r="NP5" s="95" t="n">
        <v>2068500</v>
      </c>
      <c r="NQ5" s="95" t="n">
        <v>2502000</v>
      </c>
      <c r="NR5" s="95" t="n">
        <v>3647892</v>
      </c>
      <c r="NS5" s="95" t="n">
        <v>1743500</v>
      </c>
      <c r="NT5" s="95" t="n">
        <v>2372800</v>
      </c>
      <c r="NU5" s="95" t="n">
        <v>3323409</v>
      </c>
      <c r="NV5" s="95" t="n">
        <v>2913000</v>
      </c>
      <c r="NW5" s="95" t="n">
        <v>3078500</v>
      </c>
      <c r="NX5" s="95" t="n">
        <v>2473000</v>
      </c>
      <c r="NY5" s="95" t="n">
        <v>1880700</v>
      </c>
      <c r="NZ5" s="95" t="n">
        <v>1440904</v>
      </c>
      <c r="OA5" s="95" t="n">
        <v>1790000</v>
      </c>
      <c r="OB5" s="95" t="n">
        <v>1453000</v>
      </c>
      <c r="OC5" s="95" t="n">
        <v>2304900</v>
      </c>
      <c r="OD5" s="95" t="n">
        <v>962000</v>
      </c>
      <c r="OE5" s="95" t="n">
        <v>2684415</v>
      </c>
      <c r="OF5" s="95" t="n">
        <v>1532500</v>
      </c>
      <c r="OG5" s="95" t="n">
        <v>1156500</v>
      </c>
      <c r="OH5" s="95" t="n">
        <v>1015000</v>
      </c>
      <c r="OI5" s="95" t="n">
        <v>1457000</v>
      </c>
      <c r="OJ5" s="95" t="n">
        <v>1379300</v>
      </c>
      <c r="OK5" s="95" t="n">
        <v>1078000</v>
      </c>
      <c r="OL5" s="95" t="n">
        <v>1264500</v>
      </c>
      <c r="OM5" s="95" t="n">
        <v>1287000</v>
      </c>
      <c r="ON5" s="95" t="n">
        <v>329000</v>
      </c>
      <c r="OO5" s="95" t="n">
        <v>1526500</v>
      </c>
      <c r="OP5" s="95" t="n">
        <v>3350963</v>
      </c>
      <c r="OQ5" s="95" t="n">
        <v>889760</v>
      </c>
      <c r="OR5" s="95" t="n">
        <v>1603260</v>
      </c>
      <c r="OS5" s="95" t="n">
        <v>1257010</v>
      </c>
      <c r="OT5" s="95" t="n">
        <v>1341760</v>
      </c>
      <c r="OU5" s="133">
        <f>SUM(NP5:OT5)</f>
        <v/>
      </c>
      <c r="OV5" s="95" t="n">
        <v>947500</v>
      </c>
      <c r="OW5" s="95" t="n">
        <v>1358900</v>
      </c>
      <c r="OX5" s="95" t="n">
        <v>2014100</v>
      </c>
      <c r="OY5" s="95" t="n">
        <v>2974000</v>
      </c>
      <c r="OZ5" s="95" t="n">
        <v>2374500</v>
      </c>
      <c r="PA5" s="95" t="n">
        <v>1228000</v>
      </c>
      <c r="PB5" s="95" t="n">
        <v>1187500</v>
      </c>
      <c r="PC5" s="95" t="n">
        <v>1214000</v>
      </c>
      <c r="PD5" s="95" t="n">
        <v>1520000</v>
      </c>
      <c r="PE5" s="95" t="n">
        <v>2447500</v>
      </c>
      <c r="PF5" s="95" t="n">
        <v>1702300</v>
      </c>
      <c r="PG5" s="95" t="n">
        <v>619500</v>
      </c>
      <c r="PH5" s="95" t="n">
        <v>2894600</v>
      </c>
      <c r="PI5" s="95" t="n">
        <v>829400</v>
      </c>
      <c r="PJ5" s="95" t="n">
        <v>1721500</v>
      </c>
      <c r="PK5" s="95" t="n">
        <v>1283000</v>
      </c>
      <c r="PL5" s="95" t="n">
        <v>712000</v>
      </c>
      <c r="PM5" s="95" t="n">
        <v>2373000</v>
      </c>
      <c r="PN5" s="95" t="n">
        <v>1161100</v>
      </c>
      <c r="PO5" s="95" t="n">
        <v>740000</v>
      </c>
      <c r="PP5" s="95" t="n">
        <v>422000</v>
      </c>
      <c r="PQ5" s="95" t="n">
        <v>1482000</v>
      </c>
      <c r="PR5" s="95" t="n">
        <v>924500</v>
      </c>
      <c r="PS5" s="95" t="n">
        <v>1501000</v>
      </c>
      <c r="PT5" s="95" t="n">
        <v>852000</v>
      </c>
      <c r="PU5" s="95" t="n">
        <v>1416714</v>
      </c>
      <c r="PV5" s="95" t="n">
        <v>868000</v>
      </c>
      <c r="PW5" s="95" t="n">
        <v>626500</v>
      </c>
      <c r="PX5" s="95" t="n">
        <v>1067675</v>
      </c>
      <c r="PY5" s="95" t="n">
        <v>1623400</v>
      </c>
      <c r="PZ5" s="133">
        <f>SUM(OV5:PY5)</f>
        <v/>
      </c>
      <c r="QA5" s="95" t="n">
        <v>1145000</v>
      </c>
      <c r="QB5" s="95" t="n">
        <v>740000</v>
      </c>
      <c r="QC5" s="95" t="n">
        <v>1339000</v>
      </c>
      <c r="QD5" s="95" t="n">
        <v>1784600</v>
      </c>
      <c r="QE5" s="95" t="n">
        <v>1214000</v>
      </c>
      <c r="QF5" s="95" t="n">
        <v>2010100</v>
      </c>
      <c r="QG5" s="95" t="n">
        <v>1409000</v>
      </c>
      <c r="QH5" s="95" t="n">
        <v>1523000</v>
      </c>
      <c r="QI5" s="95" t="n">
        <v>1283750</v>
      </c>
      <c r="QJ5" s="95" t="n">
        <v>865250</v>
      </c>
      <c r="QK5" s="95" t="n">
        <v>1958900</v>
      </c>
      <c r="QL5" s="95" t="n">
        <v>1147000</v>
      </c>
      <c r="QM5" s="95" t="n">
        <v>1577500</v>
      </c>
      <c r="QN5" s="95" t="n">
        <v>1405000</v>
      </c>
      <c r="QO5" s="95" t="n">
        <v>2060000</v>
      </c>
      <c r="QP5" s="95" t="n">
        <v>636000</v>
      </c>
      <c r="QQ5" s="95" t="n">
        <v>1711000</v>
      </c>
      <c r="QR5" s="95" t="n">
        <v>1315000</v>
      </c>
      <c r="QS5" s="95" t="n">
        <v>4169700</v>
      </c>
      <c r="QT5" s="95" t="n">
        <v>853500</v>
      </c>
      <c r="QU5" s="95" t="n">
        <v>831500</v>
      </c>
      <c r="QV5" s="95" t="n">
        <v>1104500</v>
      </c>
      <c r="QW5" s="95" t="n">
        <v>1050485</v>
      </c>
      <c r="QX5" s="95" t="n">
        <v>939985</v>
      </c>
      <c r="QY5" s="95" t="n">
        <v>1774000</v>
      </c>
      <c r="QZ5" s="95" t="n">
        <v>596000</v>
      </c>
      <c r="RA5" s="95" t="n">
        <v>1093500</v>
      </c>
      <c r="RB5" s="95" t="n">
        <v>1490750</v>
      </c>
      <c r="RC5" s="95" t="n">
        <v>2072300</v>
      </c>
      <c r="RD5" s="95" t="n">
        <v>1685000</v>
      </c>
      <c r="RE5" s="95" t="n">
        <v>2108908</v>
      </c>
      <c r="RF5" s="133">
        <f>SUM(QA5:RE5)</f>
        <v/>
      </c>
      <c r="RG5" s="95" t="n">
        <v>1267000</v>
      </c>
      <c r="RH5" s="95" t="n">
        <v>626648</v>
      </c>
      <c r="RI5" s="95" t="n">
        <v>1975000</v>
      </c>
      <c r="RJ5" s="95" t="n">
        <v>1515380</v>
      </c>
      <c r="RK5" s="95" t="n">
        <v>972785</v>
      </c>
      <c r="RL5" s="95" t="n">
        <v>1026000</v>
      </c>
      <c r="RM5" s="95" t="n">
        <v>1492000</v>
      </c>
      <c r="RN5" s="95" t="n">
        <v>844000</v>
      </c>
      <c r="RO5" s="95" t="n">
        <v>1084000</v>
      </c>
      <c r="RP5" s="95" t="n">
        <v>993500</v>
      </c>
      <c r="RQ5" s="95" t="n">
        <v>1229000</v>
      </c>
      <c r="RR5" s="95" t="n">
        <v>1433285</v>
      </c>
      <c r="RS5" s="95" t="n">
        <v>1174304</v>
      </c>
      <c r="RT5" s="95" t="n">
        <v>1170400</v>
      </c>
      <c r="RU5" s="95" t="n">
        <v>1685500</v>
      </c>
      <c r="RV5" s="95" t="n">
        <v>1750500</v>
      </c>
      <c r="RW5" s="95" t="n">
        <v>1255500</v>
      </c>
      <c r="RX5" s="95" t="n">
        <v>2286285</v>
      </c>
      <c r="RY5" s="95" t="n">
        <v>2582300</v>
      </c>
      <c r="RZ5" s="95" t="n">
        <v>1316500</v>
      </c>
      <c r="SA5" s="95" t="n">
        <v>710500</v>
      </c>
      <c r="SB5" s="95" t="n">
        <v>1230500</v>
      </c>
      <c r="SC5" s="95" t="n">
        <v>1655500</v>
      </c>
      <c r="SD5" s="95" t="n">
        <v>2170740</v>
      </c>
      <c r="SE5" s="95" t="n">
        <v>2753500</v>
      </c>
      <c r="SF5" s="95" t="n">
        <v>1166755</v>
      </c>
      <c r="SG5" s="95" t="n">
        <v>1054800</v>
      </c>
      <c r="SH5" s="95" t="n">
        <v>1045000</v>
      </c>
      <c r="SI5" s="95" t="n">
        <v>1615900</v>
      </c>
      <c r="SJ5" s="95" t="n">
        <v>1176049</v>
      </c>
      <c r="SK5" s="133">
        <f>SUM(RG5:SJ5)</f>
        <v/>
      </c>
      <c r="SL5" s="95" t="n">
        <v>861500</v>
      </c>
      <c r="SM5" s="95" t="n">
        <v>1074355</v>
      </c>
      <c r="SN5" s="95" t="n">
        <v>1597000</v>
      </c>
      <c r="SO5" s="95" t="n">
        <v>1542000</v>
      </c>
      <c r="SP5" s="95" t="n">
        <v>1968868</v>
      </c>
      <c r="SQ5" s="95" t="n">
        <v>1706000</v>
      </c>
      <c r="SR5" s="95" t="n">
        <v>1294000</v>
      </c>
      <c r="SS5" s="95" t="n">
        <v>678000</v>
      </c>
      <c r="ST5" s="95" t="n">
        <v>2844355</v>
      </c>
      <c r="SU5" s="95" t="n">
        <v>1632350</v>
      </c>
      <c r="SV5" s="95" t="n">
        <v>854000</v>
      </c>
      <c r="SW5" s="95" t="n">
        <v>1259000</v>
      </c>
      <c r="SX5" s="95" t="n">
        <v>2575000</v>
      </c>
      <c r="SY5" s="95" t="n">
        <v>829000</v>
      </c>
      <c r="SZ5" s="95" t="n">
        <v>2259840</v>
      </c>
      <c r="TA5" s="95" t="n">
        <v>1790355</v>
      </c>
      <c r="TB5" s="95" t="n">
        <v>1891560</v>
      </c>
      <c r="TC5" s="95" t="n">
        <v>2340000</v>
      </c>
      <c r="TD5" s="95" t="n">
        <v>2092230</v>
      </c>
      <c r="TE5" s="95" t="n">
        <v>1170000</v>
      </c>
      <c r="TF5" s="95" t="n">
        <v>1300500</v>
      </c>
      <c r="TG5" s="95" t="n">
        <v>1575033</v>
      </c>
      <c r="TH5" s="95" t="n">
        <v>982355</v>
      </c>
      <c r="TI5" s="95" t="n">
        <v>2000000</v>
      </c>
      <c r="TJ5" s="95" t="n">
        <v>1085000</v>
      </c>
      <c r="TK5" s="95" t="n">
        <v>947000</v>
      </c>
      <c r="TL5" s="95" t="n">
        <v>1260500</v>
      </c>
      <c r="TM5" s="95" t="n">
        <v>1830000</v>
      </c>
      <c r="TN5" s="95" t="n">
        <v>1073000</v>
      </c>
      <c r="TO5" s="95" t="n">
        <v>708000</v>
      </c>
      <c r="TP5" s="95" t="n">
        <v>1759910</v>
      </c>
      <c r="TQ5" s="133">
        <f>SUM(SL5:TP5)</f>
        <v/>
      </c>
      <c r="TR5" s="95" t="n">
        <v>353474</v>
      </c>
      <c r="TS5" s="95" t="n">
        <v>1026000</v>
      </c>
      <c r="TT5" s="95" t="n">
        <v>1354000</v>
      </c>
      <c r="TU5" s="95" t="n">
        <v>707560</v>
      </c>
      <c r="TV5" s="95" t="n">
        <v>1308000</v>
      </c>
      <c r="TW5" s="95" t="n">
        <v>845355</v>
      </c>
      <c r="TX5" s="95" t="n">
        <v>776000</v>
      </c>
      <c r="TY5" s="95" t="n">
        <v>1414500</v>
      </c>
      <c r="TZ5" s="95" t="n">
        <v>1806000</v>
      </c>
      <c r="UA5" s="95" t="n">
        <v>2354000</v>
      </c>
      <c r="UB5" s="95" t="n">
        <v>1835000</v>
      </c>
      <c r="UC5" s="95" t="n">
        <v>747000</v>
      </c>
      <c r="UD5" s="95" t="n">
        <v>960000</v>
      </c>
      <c r="UE5" s="95" t="n">
        <v>1686061</v>
      </c>
      <c r="UF5" s="95" t="n">
        <v>1732500</v>
      </c>
      <c r="UG5" s="95" t="n">
        <v>1172000</v>
      </c>
      <c r="UH5" s="95" t="n">
        <v>1116700</v>
      </c>
      <c r="UI5" s="95" t="n">
        <v>1748000</v>
      </c>
      <c r="UJ5" s="95" t="n">
        <v>950000</v>
      </c>
      <c r="UK5" s="95" t="n">
        <v>1577355</v>
      </c>
      <c r="UL5" s="95" t="n">
        <v>1413000</v>
      </c>
      <c r="UM5" s="95" t="n">
        <v>1553000</v>
      </c>
      <c r="UN5" s="95" t="n">
        <v>1473000</v>
      </c>
      <c r="UO5" s="95" t="n">
        <v>1733058</v>
      </c>
      <c r="UP5" s="95" t="n">
        <v>1290800</v>
      </c>
      <c r="UQ5" s="95" t="n">
        <v>1771500</v>
      </c>
      <c r="UR5" s="95" t="n">
        <v>912655</v>
      </c>
      <c r="US5" s="95" t="n">
        <v>1415000</v>
      </c>
      <c r="UT5" s="95" t="n">
        <v>598000</v>
      </c>
      <c r="UU5" s="95" t="n">
        <v>975000</v>
      </c>
      <c r="UV5" s="95" t="n">
        <v>1190241</v>
      </c>
      <c r="UW5" s="133">
        <f>SUM(TR5:UV5)</f>
        <v/>
      </c>
      <c r="UX5" s="95" t="n">
        <v>2338275</v>
      </c>
      <c r="UY5" s="95" t="n">
        <v>1534000</v>
      </c>
      <c r="UZ5" s="95" t="n">
        <v>774000</v>
      </c>
      <c r="VA5" s="95" t="n">
        <v>3229000</v>
      </c>
      <c r="VB5" s="95" t="n">
        <v>1496900</v>
      </c>
      <c r="VC5" s="95" t="n">
        <v>1212000</v>
      </c>
      <c r="VD5" s="95" t="n">
        <v>446900</v>
      </c>
      <c r="VE5" s="95" t="n">
        <v>1182000</v>
      </c>
      <c r="VF5" s="95" t="n">
        <v>1342000</v>
      </c>
      <c r="VG5" s="95" t="n">
        <v>1559500</v>
      </c>
      <c r="VH5" s="95" t="n">
        <v>2429000</v>
      </c>
      <c r="VI5" s="95" t="n">
        <v>1141500</v>
      </c>
      <c r="VJ5" s="95" t="n">
        <v>1779852</v>
      </c>
      <c r="VK5" s="95" t="n">
        <v>1360350</v>
      </c>
      <c r="VL5" s="95" t="n">
        <v>1431900</v>
      </c>
      <c r="VM5" s="95" t="n">
        <v>2328000</v>
      </c>
      <c r="VN5" s="95" t="n">
        <v>694384</v>
      </c>
      <c r="VO5" s="95" t="n">
        <v>1181490</v>
      </c>
      <c r="VP5" s="95" t="n">
        <v>779970</v>
      </c>
      <c r="VQ5" s="95" t="n">
        <v>2053000</v>
      </c>
      <c r="VR5" s="95" t="n">
        <v>1687000</v>
      </c>
      <c r="VS5" s="95" t="n">
        <v>1416000</v>
      </c>
      <c r="VT5" s="95" t="n">
        <v>998096</v>
      </c>
      <c r="VU5" s="95" t="n">
        <v>979000</v>
      </c>
      <c r="VV5" s="95" t="n">
        <v>2288200</v>
      </c>
      <c r="VW5" s="95" t="n">
        <v>1209000</v>
      </c>
      <c r="VX5" s="95" t="n">
        <v>1479710</v>
      </c>
      <c r="VY5" s="95" t="n">
        <v>1340000</v>
      </c>
      <c r="VZ5" s="133">
        <f>SUM(UX5:VY5)</f>
        <v/>
      </c>
      <c r="WA5" s="95" t="n">
        <v>1793000</v>
      </c>
      <c r="WB5" s="95" t="n">
        <v>767800</v>
      </c>
      <c r="WC5" s="95" t="n">
        <v>1308417</v>
      </c>
      <c r="WD5" s="95" t="n">
        <v>1200000</v>
      </c>
      <c r="WE5" s="95" t="n">
        <v>1136000</v>
      </c>
      <c r="WF5" s="95" t="n">
        <v>879000</v>
      </c>
      <c r="WG5" s="95" t="n">
        <v>1398000</v>
      </c>
      <c r="WH5" s="95" t="n">
        <v>1195710</v>
      </c>
      <c r="WI5" s="95" t="n">
        <v>882000</v>
      </c>
      <c r="WJ5" s="95" t="n">
        <v>1475000</v>
      </c>
      <c r="WK5" s="95" t="n">
        <v>1826000</v>
      </c>
      <c r="WL5" s="95" t="n">
        <v>957500</v>
      </c>
      <c r="WM5" s="95" t="n">
        <v>1655000</v>
      </c>
      <c r="WN5" s="95" t="n">
        <v>545000</v>
      </c>
      <c r="WO5" s="95" t="n">
        <v>1730000</v>
      </c>
      <c r="WP5" s="95" t="n">
        <v>966700</v>
      </c>
      <c r="WQ5" s="95" t="n">
        <v>998000</v>
      </c>
      <c r="WR5" s="95" t="n">
        <v>0</v>
      </c>
      <c r="WS5" s="95" t="n">
        <v>773500</v>
      </c>
      <c r="WT5" s="95" t="n">
        <v>1114962</v>
      </c>
      <c r="WU5" s="95" t="n">
        <v>1188000</v>
      </c>
      <c r="WV5" s="95" t="n">
        <v>2092000</v>
      </c>
      <c r="WW5" s="95" t="n">
        <v>1486000</v>
      </c>
      <c r="WX5" s="95" t="n">
        <v>1547000</v>
      </c>
      <c r="WY5" s="95" t="n">
        <v>2942000</v>
      </c>
      <c r="WZ5" s="95" t="n">
        <v>837000</v>
      </c>
      <c r="XA5" s="95" t="n">
        <v>2102000</v>
      </c>
      <c r="XB5" s="95" t="n">
        <v>1461000</v>
      </c>
      <c r="XC5" s="95" t="n">
        <v>1935500</v>
      </c>
      <c r="XD5" s="95" t="n">
        <v>907000</v>
      </c>
      <c r="XE5" s="95" t="n">
        <v>2456059</v>
      </c>
      <c r="XF5" s="133">
        <f>SUM(WA5:XE5)</f>
        <v/>
      </c>
      <c r="XG5" s="95" t="n">
        <v>1335500</v>
      </c>
      <c r="XH5" s="95" t="n">
        <v>1223000</v>
      </c>
      <c r="XI5" s="95" t="n">
        <v>1796400</v>
      </c>
      <c r="XJ5" s="95" t="n">
        <v>1669620</v>
      </c>
      <c r="XK5" s="95" t="n">
        <v>987000</v>
      </c>
      <c r="XL5" s="95" t="n">
        <v>2099520</v>
      </c>
      <c r="XM5" s="95" t="n">
        <v>1922587</v>
      </c>
      <c r="XN5" s="95" t="n">
        <v>1718200</v>
      </c>
      <c r="XO5" s="95" t="n">
        <v>1281540</v>
      </c>
      <c r="XP5" s="95" t="n">
        <v>1406800</v>
      </c>
      <c r="XQ5" s="95" t="n">
        <v>3226734</v>
      </c>
      <c r="XR5" s="95" t="n">
        <v>1601743</v>
      </c>
      <c r="XS5" s="95" t="n">
        <v>1498000</v>
      </c>
      <c r="XT5" s="95" t="n">
        <v>1722000</v>
      </c>
      <c r="XU5" s="95" t="n">
        <v>2090826</v>
      </c>
      <c r="XV5" s="95" t="n">
        <v>1640550</v>
      </c>
      <c r="XW5" s="95" t="n">
        <v>1180000</v>
      </c>
      <c r="XX5" s="95" t="n">
        <v>2219900</v>
      </c>
      <c r="XY5" s="95" t="n">
        <v>2042700</v>
      </c>
      <c r="XZ5" s="95" t="n">
        <v>1665000</v>
      </c>
      <c r="YA5" s="95" t="n">
        <v>1651000</v>
      </c>
      <c r="YB5" s="95" t="n">
        <v>847500</v>
      </c>
      <c r="YC5" s="95" t="n">
        <v>946000</v>
      </c>
      <c r="YD5" s="95" t="n">
        <v>1965000</v>
      </c>
      <c r="YE5" s="95" t="n">
        <v>3158207</v>
      </c>
      <c r="YF5" s="95" t="n">
        <v>1514000</v>
      </c>
      <c r="YG5" s="95" t="n">
        <v>1588000</v>
      </c>
      <c r="YH5" s="95" t="n">
        <v>1262000</v>
      </c>
      <c r="YI5" s="95" t="n">
        <v>677500</v>
      </c>
      <c r="YJ5" s="95" t="n">
        <v>939000</v>
      </c>
      <c r="YK5" s="133">
        <f>SUM(XF5:YJ5)</f>
        <v/>
      </c>
      <c r="YL5" s="95" t="n">
        <v>1639500</v>
      </c>
      <c r="YM5" s="95" t="n">
        <v>2209500</v>
      </c>
      <c r="YN5" s="95" t="n">
        <v>1083000</v>
      </c>
      <c r="YO5" s="95" t="n">
        <v>618600</v>
      </c>
      <c r="YP5" s="95" t="n">
        <v>1447000</v>
      </c>
      <c r="YQ5" s="95" t="n">
        <v>902000</v>
      </c>
      <c r="YR5" s="95" t="n">
        <v>820000</v>
      </c>
      <c r="YS5" s="95" t="n">
        <v>300000</v>
      </c>
      <c r="YT5" s="95" t="n">
        <v>1322222</v>
      </c>
      <c r="YU5" s="95" t="n">
        <v>1256000</v>
      </c>
      <c r="YV5" s="95" t="n">
        <v>1026000</v>
      </c>
      <c r="YW5" s="95" t="n">
        <v>1207000</v>
      </c>
      <c r="YX5" s="95" t="n">
        <v>1634100</v>
      </c>
      <c r="YY5" s="95" t="n">
        <v>1019000</v>
      </c>
      <c r="YZ5" s="95" t="n">
        <v>955000</v>
      </c>
      <c r="ZA5" s="95" t="n">
        <v>1267179</v>
      </c>
      <c r="ZB5" s="95" t="n">
        <v>1449000</v>
      </c>
      <c r="ZC5" s="95" t="n">
        <v>1049800</v>
      </c>
      <c r="ZD5" s="95" t="n">
        <v>956000</v>
      </c>
      <c r="ZE5" s="95" t="n">
        <v>1937059</v>
      </c>
      <c r="ZF5" s="95" t="n">
        <v>1925000</v>
      </c>
      <c r="ZG5" s="95" t="n">
        <v>1302000</v>
      </c>
      <c r="ZH5" s="95" t="n">
        <v>1800000</v>
      </c>
      <c r="ZI5" s="95" t="n">
        <v>1537000</v>
      </c>
      <c r="ZJ5" s="95" t="n">
        <v>1018000</v>
      </c>
      <c r="ZK5" s="95" t="n">
        <v>2519750</v>
      </c>
      <c r="ZL5" s="95" t="n">
        <v>1507000</v>
      </c>
      <c r="ZM5" s="95" t="n">
        <v>1362500</v>
      </c>
      <c r="ZN5" s="95" t="n">
        <v>2789000</v>
      </c>
      <c r="ZO5" s="95" t="n">
        <v>1091000</v>
      </c>
      <c r="ZP5" s="95" t="n">
        <v>1843000</v>
      </c>
      <c r="ZQ5" s="133">
        <f>SUM(YL5:ZP5)</f>
        <v/>
      </c>
      <c r="ZR5" s="95" t="n">
        <v>1001000</v>
      </c>
      <c r="ZS5" s="95" t="n">
        <v>2577500</v>
      </c>
      <c r="ZT5" s="95" t="n">
        <v>1070000</v>
      </c>
      <c r="ZU5" s="95" t="n">
        <v>1873000</v>
      </c>
      <c r="ZV5" s="95" t="n">
        <v>1305000</v>
      </c>
      <c r="ZW5" s="95" t="n">
        <v>865000</v>
      </c>
      <c r="ZX5" s="95" t="n">
        <v>1109126</v>
      </c>
      <c r="ZY5" s="95" t="n">
        <v>896000</v>
      </c>
      <c r="ZZ5" s="95" t="n">
        <v>577000</v>
      </c>
      <c r="AAA5" s="95" t="n">
        <v>760000</v>
      </c>
      <c r="AAB5" s="95" t="n">
        <v>570500</v>
      </c>
      <c r="AAC5" s="95" t="n">
        <v>986000</v>
      </c>
      <c r="AAD5" s="95" t="n">
        <v>1238910</v>
      </c>
      <c r="AAE5" s="95" t="n">
        <v>1803000</v>
      </c>
      <c r="AAF5" s="95" t="n">
        <v>1769000</v>
      </c>
      <c r="AAG5" s="95" t="n">
        <v>1166331</v>
      </c>
      <c r="AAH5" s="95" t="n">
        <v>1083000</v>
      </c>
      <c r="AAI5" s="95" t="n">
        <v>1913000</v>
      </c>
      <c r="AAJ5" s="95" t="n">
        <v>1152500</v>
      </c>
      <c r="AAK5" s="95" t="n">
        <v>3011624</v>
      </c>
      <c r="AAL5" s="95" t="n">
        <v>1532000</v>
      </c>
      <c r="AAM5" s="95" t="n">
        <v>1725200</v>
      </c>
      <c r="AAN5" s="95" t="n">
        <v>1507000</v>
      </c>
      <c r="AAO5" s="95" t="n">
        <v>1281000</v>
      </c>
      <c r="AAP5" s="95" t="n">
        <v>1384450</v>
      </c>
      <c r="AAQ5" s="95" t="n">
        <v>1794000</v>
      </c>
      <c r="AAR5" s="95" t="n">
        <v>1074000</v>
      </c>
      <c r="AAS5" s="95" t="n">
        <v>2144905</v>
      </c>
      <c r="AAT5" s="95" t="n">
        <v>1223000</v>
      </c>
      <c r="AAU5" s="95" t="n">
        <v>1762500</v>
      </c>
      <c r="AAV5" s="133">
        <f>SUM(ZR5:AAU5)</f>
        <v/>
      </c>
      <c r="AAW5" s="95" t="n">
        <v>2785500</v>
      </c>
      <c r="AAX5" s="95" t="n">
        <v>2495500</v>
      </c>
      <c r="AAY5" s="95" t="n">
        <v>690000</v>
      </c>
      <c r="AAZ5" s="95" t="n">
        <v>1472950</v>
      </c>
      <c r="ABA5" s="95" t="n">
        <v>1637000</v>
      </c>
      <c r="ABB5" s="95" t="n">
        <v>1435620</v>
      </c>
      <c r="ABC5" s="95" t="n">
        <v>522000</v>
      </c>
      <c r="ABD5" s="95" t="n">
        <v>2259300</v>
      </c>
      <c r="ABE5" s="95" t="n">
        <v>1249800</v>
      </c>
      <c r="ABF5" s="95" t="n">
        <v>784800</v>
      </c>
      <c r="ABG5" s="95" t="n">
        <v>1543000</v>
      </c>
      <c r="ABH5" s="95" t="n">
        <v>2222000</v>
      </c>
      <c r="ABI5" s="95" t="n">
        <v>2834100</v>
      </c>
      <c r="ABJ5" s="95" t="n">
        <v>2086000</v>
      </c>
      <c r="ABK5" s="95" t="n">
        <v>2130000</v>
      </c>
      <c r="ABL5" s="95" t="n">
        <v>1464423</v>
      </c>
      <c r="ABM5" s="95" t="n">
        <v>1012000</v>
      </c>
      <c r="ABN5" s="95" t="n">
        <v>2304000</v>
      </c>
      <c r="ABO5" s="95" t="n">
        <v>1219000</v>
      </c>
      <c r="ABP5" s="95" t="n">
        <v>1872000</v>
      </c>
      <c r="ABQ5" s="95" t="n">
        <v>1451756</v>
      </c>
      <c r="ABR5" s="95" t="n">
        <v>1703000</v>
      </c>
      <c r="ABS5" s="95" t="n">
        <v>1161000</v>
      </c>
      <c r="ABT5" s="95" t="n">
        <v>1376919</v>
      </c>
      <c r="ABU5" s="95" t="n">
        <v>3343700</v>
      </c>
      <c r="ABV5" s="95" t="n">
        <v>2548165</v>
      </c>
      <c r="ABW5" s="95" t="n">
        <v>1789000</v>
      </c>
      <c r="ABX5" s="95" t="n">
        <v>2167500</v>
      </c>
      <c r="ABY5" s="95" t="n">
        <v>2920555</v>
      </c>
      <c r="ABZ5" s="95" t="n">
        <v>856000</v>
      </c>
      <c r="ACA5" s="95" t="n">
        <v>1518122</v>
      </c>
      <c r="ACB5" s="133">
        <f>SUM(AAX5:ACA5)</f>
        <v/>
      </c>
      <c r="ACC5" s="95" t="n">
        <v>880000</v>
      </c>
      <c r="ACD5" s="95" t="n">
        <v>2694000</v>
      </c>
      <c r="ACE5" s="95" t="n">
        <v>715000</v>
      </c>
      <c r="ACF5" s="95" t="n">
        <v>1902000</v>
      </c>
      <c r="ACG5" s="95" t="n">
        <v>1794000</v>
      </c>
      <c r="ACH5" s="95" t="n">
        <v>2131000</v>
      </c>
      <c r="ACI5" s="95" t="n">
        <v>1135000</v>
      </c>
      <c r="ACJ5" s="95" t="n">
        <v>1842500</v>
      </c>
      <c r="ACK5" s="95" t="n">
        <v>1679000</v>
      </c>
      <c r="ACL5" s="95" t="n">
        <v>1831500</v>
      </c>
      <c r="ACM5" s="95" t="n">
        <v>1384000</v>
      </c>
      <c r="ACN5" s="95" t="n">
        <v>1030100</v>
      </c>
      <c r="ACO5" s="95" t="n">
        <v>1275000</v>
      </c>
      <c r="ACP5" s="95" t="n">
        <v>1949636</v>
      </c>
      <c r="ACQ5" s="95" t="n">
        <v>1883000</v>
      </c>
      <c r="ACR5" s="95" t="n">
        <v>1315000</v>
      </c>
      <c r="ACS5" s="95" t="n">
        <v>1908831</v>
      </c>
      <c r="ACT5" s="95" t="n">
        <v>965000</v>
      </c>
      <c r="ACU5" s="95" t="n">
        <v>1316000</v>
      </c>
      <c r="ACV5" s="95" t="n">
        <v>1061000</v>
      </c>
      <c r="ACW5" s="95" t="n">
        <v>899500</v>
      </c>
      <c r="ACX5" s="95" t="n">
        <v>1284500</v>
      </c>
      <c r="ACY5" s="95" t="n">
        <v>1039841</v>
      </c>
      <c r="ACZ5" s="95" t="n">
        <v>1944500</v>
      </c>
      <c r="ADA5" s="95" t="n">
        <v>1203400</v>
      </c>
      <c r="ADB5" s="95" t="n">
        <v>190000</v>
      </c>
      <c r="ADC5" s="95" t="n">
        <v>1313810</v>
      </c>
      <c r="ADD5" s="95" t="n">
        <v>1376000</v>
      </c>
      <c r="ADE5" s="95" t="n">
        <v>2718047</v>
      </c>
      <c r="ADF5" s="95" t="n">
        <v>942500</v>
      </c>
      <c r="ADG5" s="95" t="n">
        <v>1488000</v>
      </c>
      <c r="ADH5" s="133">
        <f>SUM(ACC5:ADG5)</f>
        <v/>
      </c>
      <c r="ADI5" s="95" t="n">
        <v>1329841</v>
      </c>
      <c r="ADJ5" s="95" t="n">
        <v>1307000</v>
      </c>
      <c r="ADK5" s="95" t="n">
        <v>965500</v>
      </c>
      <c r="ADL5" s="95" t="n">
        <v>1118000</v>
      </c>
      <c r="ADM5" s="95" t="n">
        <v>1168000</v>
      </c>
      <c r="ADN5" s="95" t="n">
        <v>1031500</v>
      </c>
      <c r="ADO5" s="95" t="n">
        <v>1091000</v>
      </c>
      <c r="ADP5" s="95" t="n">
        <v>1293258</v>
      </c>
      <c r="ADQ5" s="95" t="n">
        <v>2401300</v>
      </c>
      <c r="ADR5" s="95" t="n">
        <v>1708000</v>
      </c>
      <c r="ADS5" s="95" t="n">
        <v>2010800</v>
      </c>
      <c r="ADT5" s="95" t="n">
        <v>2558500</v>
      </c>
      <c r="ADU5" s="95" t="n">
        <v>1596000</v>
      </c>
      <c r="ADV5" s="95" t="n">
        <v>843095</v>
      </c>
      <c r="ADW5" s="95" t="n">
        <v>1831000</v>
      </c>
      <c r="ADX5" s="95" t="n">
        <v>1046000</v>
      </c>
      <c r="ADY5" s="95" t="n">
        <v>1386000</v>
      </c>
      <c r="ADZ5" s="95" t="n">
        <v>1149500</v>
      </c>
      <c r="AEA5" s="95" t="n">
        <v>1362500</v>
      </c>
      <c r="AEB5" s="95" t="n">
        <v>1764900</v>
      </c>
      <c r="AEC5" s="95" t="n">
        <v>1399000</v>
      </c>
      <c r="AED5" s="95" t="n">
        <v>1269500</v>
      </c>
      <c r="AEE5" s="95" t="n">
        <v>1351000</v>
      </c>
      <c r="AEF5" s="95" t="n">
        <v>775000</v>
      </c>
      <c r="AEG5" s="95" t="n">
        <v>596000</v>
      </c>
      <c r="AEH5" s="95" t="n">
        <v>1415000</v>
      </c>
      <c r="AEI5" s="95" t="n">
        <v>1336000</v>
      </c>
      <c r="AEJ5" s="95" t="n">
        <v>613500</v>
      </c>
      <c r="AEK5" s="95" t="n">
        <v>1426595</v>
      </c>
      <c r="AEL5" s="95" t="n">
        <v>3026000</v>
      </c>
      <c r="AEM5" s="133">
        <f>SUM(ADI5:AEL5)</f>
        <v/>
      </c>
      <c r="AEN5" s="95" t="n">
        <v>1106700</v>
      </c>
      <c r="AEO5" s="95" t="n">
        <v>1305000</v>
      </c>
      <c r="AEP5" s="95" t="n">
        <v>1132000</v>
      </c>
      <c r="AEQ5" s="95" t="n">
        <v>1816506</v>
      </c>
      <c r="AER5" s="95" t="n">
        <v>1511595</v>
      </c>
      <c r="AES5" s="95" t="n">
        <v>456000</v>
      </c>
      <c r="AET5" s="95" t="n">
        <v>868000</v>
      </c>
      <c r="AEU5" s="95" t="n">
        <v>1516000</v>
      </c>
      <c r="AEV5" s="95" t="n">
        <v>2305000</v>
      </c>
      <c r="AEW5" s="95" t="n">
        <v>1115000</v>
      </c>
      <c r="AEX5" s="95" t="n">
        <v>1866609</v>
      </c>
      <c r="AEY5" s="95" t="n">
        <v>1938632</v>
      </c>
      <c r="AEZ5" s="95" t="n">
        <v>1668000</v>
      </c>
      <c r="AFA5" s="95" t="n">
        <v>2289500</v>
      </c>
      <c r="AFB5" s="95" t="n">
        <v>1227000</v>
      </c>
      <c r="AFC5" s="95" t="n">
        <v>1079000</v>
      </c>
      <c r="AFD5" s="95" t="n">
        <v>1200500</v>
      </c>
      <c r="AFE5" s="95" t="n">
        <v>1198100</v>
      </c>
      <c r="AFF5" s="95" t="n">
        <v>1668000</v>
      </c>
      <c r="AFG5" s="95" t="n">
        <v>1181000</v>
      </c>
      <c r="AFH5" s="95" t="n">
        <v>1140000</v>
      </c>
      <c r="AFI5" s="95" t="n">
        <v>1120000</v>
      </c>
      <c r="AFJ5" s="95" t="n">
        <v>1875206</v>
      </c>
      <c r="AFK5" s="95" t="n">
        <v>1968848</v>
      </c>
      <c r="AFL5" s="95" t="n">
        <v>2085000</v>
      </c>
      <c r="AFM5" s="95" t="n">
        <v>1869600</v>
      </c>
      <c r="AFN5" s="95" t="n">
        <v>979000</v>
      </c>
      <c r="AFO5" s="95" t="n">
        <v>760000</v>
      </c>
      <c r="AFP5" s="95" t="n">
        <v>1840500</v>
      </c>
      <c r="AFQ5" s="95" t="n">
        <v>2492800</v>
      </c>
      <c r="AFR5" s="95" t="n">
        <v>1472000</v>
      </c>
      <c r="AFS5" s="133">
        <f>SUM(AEN5:AFR5)</f>
        <v/>
      </c>
      <c r="AFT5" s="95" t="n">
        <v>2164800</v>
      </c>
      <c r="AFU5" s="95" t="n">
        <v>2186435</v>
      </c>
      <c r="AFV5" s="95" t="n">
        <v>838600</v>
      </c>
      <c r="AFW5" s="95" t="n">
        <v>1976800</v>
      </c>
      <c r="AFX5" s="95" t="n">
        <v>2283800</v>
      </c>
      <c r="AFY5" s="95" t="n">
        <v>2140255</v>
      </c>
      <c r="AFZ5" s="95" t="n">
        <v>662000</v>
      </c>
      <c r="AGA5" s="95" t="n">
        <v>30000</v>
      </c>
      <c r="AGF5" t="n">
        <v>0</v>
      </c>
      <c r="AGX5" s="133">
        <f>SUM(AFT5:AGW5)</f>
        <v/>
      </c>
      <c r="AID5" s="133">
        <f>SUM(AGZ5:AIC5)</f>
        <v/>
      </c>
      <c r="AJJ5" s="133">
        <f>SUM(AIF5:AJI5)</f>
        <v/>
      </c>
      <c r="AKM5" s="133">
        <f>SUM(AJI5:AKL5)</f>
        <v/>
      </c>
      <c r="ALS5" s="133">
        <f>SUM(AKO5:ALR5)</f>
        <v/>
      </c>
      <c r="AMC5" t="n">
        <v>10000</v>
      </c>
      <c r="AMX5" s="133">
        <f>SUM(ALT5:AMW5)</f>
        <v/>
      </c>
      <c r="ANS5" t="n">
        <v>284000</v>
      </c>
      <c r="ANT5" t="n">
        <v>753500</v>
      </c>
      <c r="ANU5" t="n">
        <v>856000</v>
      </c>
      <c r="ANV5" t="n">
        <v>742300</v>
      </c>
      <c r="ANW5" t="n">
        <v>2482975</v>
      </c>
      <c r="ANX5" t="n">
        <v>3207095</v>
      </c>
      <c r="ANY5" t="n">
        <v>474400</v>
      </c>
      <c r="ANZ5" t="n">
        <v>1656250</v>
      </c>
      <c r="AOA5" t="n">
        <v>1653800</v>
      </c>
      <c r="AOB5" t="n">
        <v>2389033</v>
      </c>
      <c r="AOC5" t="n">
        <v>1055808</v>
      </c>
      <c r="AOD5" t="n">
        <v>1055808</v>
      </c>
    </row>
    <row r="6">
      <c r="A6" s="85" t="inlineStr">
        <is>
          <t>VISA CARD</t>
        </is>
      </c>
      <c r="B6" s="40" t="n">
        <v>710000</v>
      </c>
      <c r="C6" s="40" t="n">
        <v>330000</v>
      </c>
      <c r="D6" s="40" t="n">
        <v>55000</v>
      </c>
      <c r="E6" s="40" t="n">
        <v>1316400</v>
      </c>
      <c r="F6" s="40" t="n">
        <v>1692230</v>
      </c>
      <c r="G6" s="40" t="n">
        <v>1004268</v>
      </c>
      <c r="H6" s="40" t="n">
        <v>372000</v>
      </c>
      <c r="I6" s="40" t="n">
        <v>472250</v>
      </c>
      <c r="J6" s="40" t="n">
        <v>490000</v>
      </c>
      <c r="K6" s="40" t="n">
        <v>771000</v>
      </c>
      <c r="L6" s="40" t="n">
        <v>2024588</v>
      </c>
      <c r="M6" s="40" t="n">
        <v>440000</v>
      </c>
      <c r="N6" s="40" t="n">
        <v>913865</v>
      </c>
      <c r="O6" s="40" t="n">
        <v>585000</v>
      </c>
      <c r="P6" s="40" t="n">
        <v>170000</v>
      </c>
      <c r="Q6" s="40" t="n">
        <v>887317</v>
      </c>
      <c r="R6" s="40" t="n">
        <v>164000</v>
      </c>
      <c r="S6" s="40" t="n">
        <v>641000</v>
      </c>
      <c r="T6" s="40">
        <f>837500+(563500)</f>
        <v/>
      </c>
      <c r="U6" s="40" t="n">
        <v>260000</v>
      </c>
      <c r="V6" s="40" t="n">
        <v>492000</v>
      </c>
      <c r="W6" s="40" t="n">
        <v>360000</v>
      </c>
      <c r="X6" s="40" t="n">
        <v>1266321</v>
      </c>
      <c r="Y6" s="40" t="n">
        <v>835700</v>
      </c>
      <c r="Z6" s="40" t="n">
        <v>1106385</v>
      </c>
      <c r="AA6" s="40" t="n">
        <v>488300</v>
      </c>
      <c r="AB6" s="40" t="n">
        <v>1433857</v>
      </c>
      <c r="AC6" s="40" t="n">
        <v>575000</v>
      </c>
      <c r="AD6" s="40" t="n">
        <v>623000</v>
      </c>
      <c r="AE6" s="40" t="n">
        <v>1086000</v>
      </c>
      <c r="AF6" s="40" t="n">
        <v>415000</v>
      </c>
      <c r="AG6" s="100">
        <f>SUM(B6:AF6)</f>
        <v/>
      </c>
      <c r="AH6" s="92" t="n">
        <v>897366</v>
      </c>
      <c r="AI6" s="92" t="n">
        <v>886028</v>
      </c>
      <c r="AJ6" s="92" t="n">
        <v>830500</v>
      </c>
      <c r="AK6" s="92" t="n">
        <v>555941</v>
      </c>
      <c r="AL6" s="92" t="n">
        <v>518000</v>
      </c>
      <c r="AM6" s="92" t="n">
        <v>312000</v>
      </c>
      <c r="AN6" s="92" t="n">
        <v>494503</v>
      </c>
      <c r="AO6" s="92" t="n">
        <v>575746</v>
      </c>
      <c r="AP6" s="92" t="n">
        <v>455000</v>
      </c>
      <c r="AQ6" s="92" t="n">
        <v>634000</v>
      </c>
      <c r="AR6" s="92" t="n">
        <v>415822</v>
      </c>
      <c r="AS6" s="92" t="n">
        <v>400600</v>
      </c>
      <c r="AT6" s="92" t="n">
        <v>1052000</v>
      </c>
      <c r="AU6" s="92" t="n">
        <v>886500</v>
      </c>
      <c r="AV6">
        <f>190000+170000</f>
        <v/>
      </c>
      <c r="AW6" s="102" t="n">
        <v>470200</v>
      </c>
      <c r="AX6" s="102" t="n">
        <v>520000</v>
      </c>
      <c r="AY6" s="102" t="n">
        <v>426000</v>
      </c>
      <c r="AZ6" s="102" t="n">
        <v>260000</v>
      </c>
      <c r="BA6" s="102" t="n">
        <v>257000</v>
      </c>
      <c r="BB6" s="102" t="n">
        <v>465000</v>
      </c>
      <c r="BC6" s="102" t="n">
        <v>522000</v>
      </c>
      <c r="BD6" s="102" t="n">
        <v>300900</v>
      </c>
      <c r="BE6" s="102" t="n">
        <v>549042</v>
      </c>
      <c r="BF6" s="102" t="n">
        <v>425958</v>
      </c>
      <c r="BG6" s="102" t="n">
        <v>728000</v>
      </c>
      <c r="BH6" s="102" t="n">
        <v>895800</v>
      </c>
      <c r="BI6" s="102" t="n">
        <v>771833</v>
      </c>
      <c r="BJ6" s="102" t="n">
        <v>60000</v>
      </c>
      <c r="BK6" s="102" t="n">
        <v>726071</v>
      </c>
      <c r="BL6" s="82">
        <f>SUM(AH6:BK6)</f>
        <v/>
      </c>
      <c r="BM6" s="24" t="n">
        <v>595500</v>
      </c>
      <c r="BN6" s="24" t="n">
        <v>396500</v>
      </c>
      <c r="BO6" s="24" t="n">
        <v>702558</v>
      </c>
      <c r="BP6" s="24" t="n">
        <v>310000</v>
      </c>
      <c r="BQ6" s="24" t="n">
        <v>695663</v>
      </c>
      <c r="BR6" s="24" t="n">
        <v>894000</v>
      </c>
      <c r="BS6" s="24" t="n">
        <v>366000</v>
      </c>
      <c r="BT6" s="24" t="n">
        <v>740500</v>
      </c>
      <c r="BU6" s="24" t="n">
        <v>728950</v>
      </c>
      <c r="BV6" s="24" t="n">
        <v>641000</v>
      </c>
      <c r="BW6" s="24" t="n">
        <v>600600</v>
      </c>
      <c r="BX6" s="24" t="n">
        <v>1840000</v>
      </c>
      <c r="BY6" s="24" t="n">
        <v>1052574</v>
      </c>
      <c r="BZ6" s="24" t="n">
        <v>197800</v>
      </c>
      <c r="CA6" s="24" t="n">
        <v>668000</v>
      </c>
      <c r="CB6" s="24" t="n">
        <v>418000</v>
      </c>
      <c r="CC6" s="24" t="n">
        <v>459000</v>
      </c>
      <c r="CD6" s="24" t="n">
        <v>434000</v>
      </c>
      <c r="CE6" s="24" t="n">
        <v>470565</v>
      </c>
      <c r="CF6" s="24" t="n">
        <v>820124</v>
      </c>
      <c r="CG6" s="24" t="n">
        <v>422000</v>
      </c>
      <c r="CH6" s="24" t="n">
        <v>588000</v>
      </c>
      <c r="CI6" s="24" t="n">
        <v>203500</v>
      </c>
      <c r="CJ6" s="24" t="n">
        <v>898400</v>
      </c>
      <c r="CK6" s="24" t="n">
        <v>320000</v>
      </c>
      <c r="CL6" s="24" t="n">
        <v>871900</v>
      </c>
      <c r="CM6" s="24" t="n">
        <v>445000</v>
      </c>
      <c r="CN6" s="24" t="n">
        <v>577200</v>
      </c>
      <c r="CO6" s="24" t="n">
        <v>522000</v>
      </c>
      <c r="CP6" s="24" t="n">
        <v>527000</v>
      </c>
      <c r="CQ6" s="24" t="n">
        <v>540400</v>
      </c>
      <c r="CR6" s="82">
        <f>SUM(BM6:CQ6)</f>
        <v/>
      </c>
      <c r="CS6" s="24" t="n">
        <v>17500</v>
      </c>
      <c r="CT6" s="24" t="n">
        <v>436500</v>
      </c>
      <c r="CU6" s="24" t="n">
        <v>130000</v>
      </c>
      <c r="CV6" s="24" t="n">
        <v>315000</v>
      </c>
      <c r="CW6" s="24" t="n">
        <v>911800</v>
      </c>
      <c r="CX6" s="24" t="n">
        <v>588696</v>
      </c>
      <c r="CY6" s="24" t="n">
        <v>160500</v>
      </c>
      <c r="CZ6" s="24" t="n">
        <v>224500</v>
      </c>
      <c r="DA6" s="24" t="n">
        <v>183000</v>
      </c>
      <c r="DB6" s="24" t="n">
        <v>293000</v>
      </c>
      <c r="DC6" s="24" t="n">
        <v>235000</v>
      </c>
      <c r="DD6" s="24" t="n">
        <v>427000</v>
      </c>
      <c r="DE6" s="24" t="n">
        <v>443000</v>
      </c>
      <c r="DF6" s="24" t="n">
        <v>1057612</v>
      </c>
      <c r="DG6" s="24" t="n">
        <v>120000</v>
      </c>
      <c r="DH6" s="24" t="n">
        <v>592800</v>
      </c>
      <c r="DI6" s="24" t="n">
        <v>193000</v>
      </c>
      <c r="DJ6" s="24" t="n">
        <v>263000</v>
      </c>
      <c r="DK6" s="24" t="n">
        <v>399500</v>
      </c>
      <c r="DL6" s="24" t="n">
        <v>669370</v>
      </c>
      <c r="DN6" s="24" t="n">
        <v>180000</v>
      </c>
      <c r="DO6" s="24" t="n">
        <v>946000</v>
      </c>
      <c r="DP6" s="24" t="n">
        <v>140000</v>
      </c>
      <c r="DQ6" s="24" t="n">
        <v>649500</v>
      </c>
      <c r="DR6" s="24" t="n">
        <v>160000</v>
      </c>
      <c r="DS6" s="24" t="n">
        <v>30000</v>
      </c>
      <c r="DT6" s="24" t="n">
        <v>0</v>
      </c>
      <c r="DU6" s="24" t="n">
        <v>100000</v>
      </c>
      <c r="DV6" s="24" t="n">
        <v>182000</v>
      </c>
      <c r="DW6" s="82">
        <f>SUM(CS6:DV6)</f>
        <v/>
      </c>
      <c r="DX6" s="24" t="n">
        <v>899800</v>
      </c>
      <c r="DY6" s="24" t="n">
        <v>123500</v>
      </c>
      <c r="DZ6" s="24" t="n">
        <v>237000</v>
      </c>
      <c r="EA6" s="24" t="n">
        <v>571000</v>
      </c>
      <c r="EB6" s="24" t="n">
        <v>46000</v>
      </c>
      <c r="EC6" s="24" t="n">
        <v>110000</v>
      </c>
      <c r="ED6" s="24" t="n">
        <v>9500</v>
      </c>
      <c r="EE6" s="24" t="n">
        <v>56000</v>
      </c>
      <c r="EF6" s="24" t="n">
        <v>999600</v>
      </c>
      <c r="EG6" s="24" t="n">
        <v>510900</v>
      </c>
      <c r="EH6" s="24" t="n">
        <v>892013</v>
      </c>
      <c r="EI6" s="24" t="n">
        <v>785000</v>
      </c>
      <c r="EJ6" s="24" t="n">
        <v>470000</v>
      </c>
      <c r="EK6" s="24" t="n">
        <v>254000</v>
      </c>
      <c r="EL6" s="24" t="n">
        <v>1184911</v>
      </c>
      <c r="EM6" s="24" t="n">
        <v>430300</v>
      </c>
      <c r="EN6" s="24" t="n">
        <v>1065500</v>
      </c>
      <c r="EO6" s="24" t="n">
        <v>689000</v>
      </c>
      <c r="EP6" s="24" t="n">
        <v>668849</v>
      </c>
      <c r="EQ6" s="24" t="n">
        <v>689800</v>
      </c>
      <c r="ER6" s="24" t="n">
        <v>1842300</v>
      </c>
      <c r="ES6" s="24" t="n">
        <v>643800</v>
      </c>
      <c r="ET6" s="24" t="n">
        <v>311042</v>
      </c>
      <c r="EU6" s="24" t="n">
        <v>823000</v>
      </c>
      <c r="EV6" s="24" t="n">
        <v>1224751</v>
      </c>
      <c r="EW6" s="24" t="n">
        <v>10000</v>
      </c>
      <c r="EX6" s="24" t="n">
        <v>190500</v>
      </c>
      <c r="EY6" s="24" t="n">
        <v>1169700</v>
      </c>
      <c r="EZ6" s="24" t="n">
        <v>933150</v>
      </c>
      <c r="FA6" s="24" t="n">
        <v>451000</v>
      </c>
      <c r="FB6" s="24" t="n">
        <v>96000</v>
      </c>
      <c r="FC6" s="128">
        <f>SUM(DX6:FB6)</f>
        <v/>
      </c>
      <c r="FD6" s="24" t="n">
        <v>498300</v>
      </c>
      <c r="FE6" s="24" t="n">
        <v>444600</v>
      </c>
      <c r="FF6" s="24" t="n">
        <v>150000</v>
      </c>
      <c r="FG6" s="24" t="n">
        <v>710061</v>
      </c>
      <c r="FH6" s="24" t="n">
        <v>130000</v>
      </c>
      <c r="FI6" s="24" t="n">
        <v>233500</v>
      </c>
      <c r="FJ6" s="24" t="n">
        <v>247200</v>
      </c>
      <c r="FK6" s="24" t="n">
        <v>737988</v>
      </c>
      <c r="FL6" s="24" t="n">
        <v>415000</v>
      </c>
      <c r="FM6" s="24" t="n">
        <v>110000</v>
      </c>
      <c r="FO6" s="24" t="n">
        <v>535900</v>
      </c>
      <c r="FP6" s="24" t="n">
        <v>849633</v>
      </c>
      <c r="FQ6" s="24" t="n">
        <v>313400</v>
      </c>
      <c r="FR6" s="24" t="n">
        <v>811443</v>
      </c>
      <c r="FS6" s="24" t="n">
        <v>309500</v>
      </c>
      <c r="FT6" s="24" t="n">
        <v>752500</v>
      </c>
      <c r="FU6" s="24" t="n">
        <v>286500</v>
      </c>
      <c r="FV6" s="24" t="n">
        <v>205000</v>
      </c>
      <c r="FW6" s="24" t="n">
        <v>416000</v>
      </c>
      <c r="FX6" s="24" t="n">
        <v>1159300</v>
      </c>
      <c r="FY6" s="24" t="n">
        <v>1955500</v>
      </c>
      <c r="GA6" s="24" t="n">
        <v>394372</v>
      </c>
      <c r="GB6" s="24" t="n">
        <v>565000</v>
      </c>
      <c r="GC6" s="24" t="n">
        <v>716900</v>
      </c>
      <c r="GD6" s="24" t="n">
        <v>476500</v>
      </c>
      <c r="GE6" s="24" t="n">
        <v>560000</v>
      </c>
      <c r="GF6" s="24" t="n">
        <v>516929</v>
      </c>
      <c r="GG6" s="24" t="n">
        <v>410000</v>
      </c>
      <c r="GH6" s="24" t="n">
        <v>404500</v>
      </c>
      <c r="GI6" s="82">
        <f>SUM(FD6:GH6)</f>
        <v/>
      </c>
      <c r="GJ6" s="24" t="n">
        <v>30000</v>
      </c>
      <c r="GK6" s="24" t="n">
        <v>421000</v>
      </c>
      <c r="GL6" s="24" t="n">
        <v>674553</v>
      </c>
      <c r="GM6" s="24" t="n">
        <v>546964</v>
      </c>
      <c r="GN6" s="24" t="n">
        <v>576500</v>
      </c>
      <c r="GO6" s="24" t="n">
        <v>1559030</v>
      </c>
      <c r="GP6" s="24" t="n">
        <v>100000</v>
      </c>
      <c r="GQ6" s="24" t="n">
        <v>655500</v>
      </c>
      <c r="GR6" s="24" t="n">
        <v>229000</v>
      </c>
      <c r="GS6" s="24" t="n">
        <v>202000</v>
      </c>
      <c r="GT6" s="24" t="n">
        <v>135500</v>
      </c>
      <c r="GU6" s="24" t="n">
        <v>687592</v>
      </c>
      <c r="GV6" s="24" t="n">
        <v>0</v>
      </c>
      <c r="GW6" s="24" t="n">
        <v>80000</v>
      </c>
      <c r="GX6" s="24" t="n">
        <v>495000</v>
      </c>
      <c r="GY6" s="24" t="n">
        <v>200000</v>
      </c>
      <c r="GZ6" s="24" t="n">
        <v>710000</v>
      </c>
      <c r="HA6" s="24" t="n">
        <v>150000</v>
      </c>
      <c r="HB6" s="24" t="n">
        <v>173000</v>
      </c>
      <c r="HC6" s="24" t="n">
        <v>60000</v>
      </c>
      <c r="HD6" s="24" t="n">
        <v>512000</v>
      </c>
      <c r="HE6" s="24" t="n">
        <v>0</v>
      </c>
      <c r="HF6" s="24" t="n">
        <v>1030000</v>
      </c>
      <c r="HG6" s="24" t="n">
        <v>700000</v>
      </c>
      <c r="HH6" s="24" t="n">
        <v>482000</v>
      </c>
      <c r="HI6" s="24" t="n">
        <v>405500</v>
      </c>
      <c r="HJ6" s="24" t="n">
        <v>345000</v>
      </c>
      <c r="HK6" s="24" t="n">
        <v>540500</v>
      </c>
      <c r="HL6" s="24" t="n">
        <v>215500</v>
      </c>
      <c r="HM6" s="133">
        <f>SUM(GJ6:HL6)</f>
        <v/>
      </c>
      <c r="HN6" s="24" t="n">
        <v>595236</v>
      </c>
      <c r="HO6" s="24" t="n">
        <v>1229495</v>
      </c>
      <c r="HP6" s="24" t="n">
        <v>241000</v>
      </c>
      <c r="HQ6" s="24" t="n">
        <v>935000</v>
      </c>
      <c r="HR6" s="24" t="n">
        <v>427500</v>
      </c>
      <c r="HS6" s="24" t="n">
        <v>485900</v>
      </c>
      <c r="HT6" s="24" t="n">
        <v>508856</v>
      </c>
      <c r="HU6" s="24" t="n">
        <v>270000</v>
      </c>
      <c r="HV6" s="24" t="n">
        <v>82500</v>
      </c>
      <c r="HW6" s="24" t="n">
        <v>150000</v>
      </c>
      <c r="HY6" s="24" t="n">
        <v>0</v>
      </c>
      <c r="IA6" s="24" t="n">
        <v>0</v>
      </c>
      <c r="ID6" t="n">
        <v>217000</v>
      </c>
      <c r="IE6" t="n">
        <v>181000</v>
      </c>
      <c r="IF6" t="n">
        <v>147400</v>
      </c>
      <c r="IH6" t="n">
        <v>500000</v>
      </c>
      <c r="II6" t="n">
        <v>180000</v>
      </c>
      <c r="IJ6" t="n">
        <v>1014861</v>
      </c>
      <c r="IK6" t="n">
        <v>39000</v>
      </c>
      <c r="IL6" t="n">
        <v>1102000</v>
      </c>
      <c r="IM6" t="n">
        <v>225500</v>
      </c>
      <c r="IN6" t="n">
        <v>289200</v>
      </c>
      <c r="IO6" t="n">
        <v>50000</v>
      </c>
      <c r="IS6" s="133">
        <f>SUM(HN6:IR6)</f>
        <v/>
      </c>
      <c r="IX6" t="n">
        <v>195200</v>
      </c>
      <c r="IY6" t="n">
        <v>316100</v>
      </c>
      <c r="IZ6" t="n">
        <v>830000</v>
      </c>
      <c r="JA6" t="n">
        <v>212500</v>
      </c>
      <c r="JB6" t="n">
        <v>131800</v>
      </c>
      <c r="JC6" t="n">
        <v>672710</v>
      </c>
      <c r="JD6" t="n">
        <v>512051</v>
      </c>
      <c r="JE6" t="n">
        <v>0</v>
      </c>
      <c r="JF6" t="n">
        <v>456000</v>
      </c>
      <c r="JG6" t="n">
        <v>270000</v>
      </c>
      <c r="JH6" t="n">
        <v>150000</v>
      </c>
      <c r="JI6" t="n">
        <v>311000</v>
      </c>
      <c r="JJ6" t="n">
        <v>15400</v>
      </c>
      <c r="JK6" t="n">
        <v>446400</v>
      </c>
      <c r="JL6" t="n">
        <v>30000</v>
      </c>
      <c r="JM6" t="n">
        <v>130000</v>
      </c>
      <c r="JN6" t="n">
        <v>270000</v>
      </c>
      <c r="JO6" t="n">
        <v>425000</v>
      </c>
      <c r="JP6" t="n">
        <v>230000</v>
      </c>
      <c r="JQ6" t="n">
        <v>250000</v>
      </c>
      <c r="JR6" t="n">
        <v>350000</v>
      </c>
      <c r="JS6" t="n">
        <v>105000</v>
      </c>
      <c r="JT6" t="n">
        <v>1214791</v>
      </c>
      <c r="JU6" t="n">
        <v>1471648</v>
      </c>
      <c r="JV6" t="n">
        <v>622165</v>
      </c>
      <c r="JW6" t="n">
        <v>130000</v>
      </c>
      <c r="JX6" s="133">
        <f>SUM(IT6:JW6)</f>
        <v/>
      </c>
      <c r="JY6" t="n">
        <v>755000</v>
      </c>
      <c r="JZ6" t="n">
        <v>373000</v>
      </c>
      <c r="KA6" t="n">
        <v>390000</v>
      </c>
      <c r="KB6" t="n">
        <v>870656</v>
      </c>
      <c r="KC6" t="n">
        <v>570000</v>
      </c>
      <c r="KD6" t="n">
        <v>70000</v>
      </c>
      <c r="KE6" t="n">
        <v>485000</v>
      </c>
      <c r="KF6" t="n">
        <v>360000</v>
      </c>
      <c r="KG6" t="n">
        <v>450000</v>
      </c>
      <c r="KH6" t="n">
        <v>799117</v>
      </c>
      <c r="KI6" t="n">
        <v>930000</v>
      </c>
      <c r="KJ6" t="n">
        <v>600000</v>
      </c>
      <c r="KK6" t="n">
        <v>90000</v>
      </c>
      <c r="KL6" t="n">
        <v>993800</v>
      </c>
      <c r="KN6" t="n">
        <v>687500</v>
      </c>
      <c r="KO6" t="n">
        <v>389146</v>
      </c>
      <c r="KP6" t="n">
        <v>1128300</v>
      </c>
      <c r="KQ6" t="n">
        <v>1103556</v>
      </c>
      <c r="KR6" t="n">
        <v>300000</v>
      </c>
      <c r="KS6" t="n">
        <v>966000</v>
      </c>
      <c r="KT6" t="n">
        <v>330000</v>
      </c>
      <c r="KU6" t="n">
        <v>497000</v>
      </c>
      <c r="KV6" t="n">
        <v>220000</v>
      </c>
      <c r="KW6" t="n">
        <v>360000</v>
      </c>
      <c r="KX6" t="n">
        <v>678200</v>
      </c>
      <c r="KY6" t="n">
        <v>731000</v>
      </c>
      <c r="KZ6" t="n">
        <v>50000</v>
      </c>
      <c r="LA6" t="n">
        <v>399500</v>
      </c>
      <c r="LB6" t="n">
        <v>414000</v>
      </c>
      <c r="LC6" t="n">
        <v>1090000</v>
      </c>
      <c r="LD6" s="133">
        <f>SUM(JY6:LC6)</f>
        <v/>
      </c>
      <c r="LE6" t="n">
        <v>921600</v>
      </c>
      <c r="LF6" t="n">
        <v>365000</v>
      </c>
      <c r="LG6" t="n">
        <v>554000</v>
      </c>
      <c r="LH6" t="n">
        <v>1308465</v>
      </c>
      <c r="LI6" t="n">
        <v>285000</v>
      </c>
      <c r="LJ6" t="n">
        <v>122000</v>
      </c>
      <c r="LK6" t="n">
        <v>1396128</v>
      </c>
      <c r="LL6" t="n">
        <v>494500</v>
      </c>
      <c r="LM6" t="n">
        <v>451500</v>
      </c>
      <c r="LN6" t="n">
        <v>740000</v>
      </c>
      <c r="LO6" t="n">
        <v>880000</v>
      </c>
      <c r="LP6" t="n">
        <v>852000</v>
      </c>
      <c r="LQ6" t="n">
        <v>140000</v>
      </c>
      <c r="LR6" t="n">
        <v>248000</v>
      </c>
      <c r="LS6" t="n">
        <v>330000</v>
      </c>
      <c r="LT6" t="n">
        <v>607000</v>
      </c>
      <c r="LU6" t="n">
        <v>500785</v>
      </c>
      <c r="LV6" t="n">
        <v>1053000</v>
      </c>
      <c r="LW6" t="n">
        <v>876000</v>
      </c>
      <c r="LX6" t="n">
        <v>577000</v>
      </c>
      <c r="LY6" t="n">
        <v>1220000</v>
      </c>
      <c r="LZ6" t="n">
        <v>836000</v>
      </c>
      <c r="MA6" t="n">
        <v>472994</v>
      </c>
      <c r="MB6" t="n">
        <v>570900</v>
      </c>
      <c r="MC6" t="n">
        <v>692700</v>
      </c>
      <c r="MD6" t="n">
        <v>585877</v>
      </c>
      <c r="ME6" t="n">
        <v>154000</v>
      </c>
      <c r="MF6" t="n">
        <v>250000</v>
      </c>
      <c r="MG6" t="n">
        <v>441400</v>
      </c>
      <c r="MH6" t="n">
        <v>360000</v>
      </c>
      <c r="MI6" s="133">
        <f>SUM(LD6:MH6)</f>
        <v/>
      </c>
      <c r="MJ6" t="n">
        <v>1381874</v>
      </c>
      <c r="MK6" t="n">
        <v>901000</v>
      </c>
      <c r="ML6" t="n">
        <v>355000</v>
      </c>
      <c r="MM6" t="n">
        <v>245000</v>
      </c>
      <c r="MN6" t="n">
        <v>612000</v>
      </c>
      <c r="MO6" t="n">
        <v>630967</v>
      </c>
      <c r="MP6" t="n">
        <v>875000</v>
      </c>
      <c r="MQ6" t="n">
        <v>218000</v>
      </c>
      <c r="MR6" t="n">
        <v>195000</v>
      </c>
      <c r="MS6" t="n">
        <v>416500</v>
      </c>
      <c r="MT6" t="n">
        <v>660000</v>
      </c>
      <c r="MU6" t="n">
        <v>395000</v>
      </c>
      <c r="MV6" t="n">
        <v>1202153</v>
      </c>
      <c r="MW6" t="n">
        <v>308000</v>
      </c>
      <c r="MX6" t="n">
        <v>245000</v>
      </c>
      <c r="MY6" t="n">
        <v>428000</v>
      </c>
      <c r="MZ6" t="n">
        <v>310000</v>
      </c>
      <c r="NA6" t="n">
        <v>375000</v>
      </c>
      <c r="NB6" t="n">
        <v>435500</v>
      </c>
      <c r="NC6" t="n">
        <v>220000</v>
      </c>
      <c r="ND6" t="n">
        <v>1334000</v>
      </c>
      <c r="NE6" t="n">
        <v>450000</v>
      </c>
      <c r="NF6" t="n">
        <v>683156</v>
      </c>
      <c r="NG6" t="n">
        <v>200000</v>
      </c>
      <c r="NH6" t="n">
        <v>295032</v>
      </c>
      <c r="NI6" t="n">
        <v>679152</v>
      </c>
      <c r="NJ6" t="n">
        <v>865604</v>
      </c>
      <c r="NK6" t="n">
        <v>688000</v>
      </c>
      <c r="NL6" t="n">
        <v>711000</v>
      </c>
      <c r="NM6" t="n">
        <v>305000</v>
      </c>
      <c r="NN6" t="n">
        <v>601000</v>
      </c>
      <c r="NO6" s="133">
        <f>SUM(MJ6:NN6)</f>
        <v/>
      </c>
      <c r="NP6" t="n">
        <v>597000</v>
      </c>
      <c r="NQ6" t="n">
        <v>385000</v>
      </c>
      <c r="NR6" t="n">
        <v>872000</v>
      </c>
      <c r="NS6" t="n">
        <v>1037332</v>
      </c>
      <c r="NT6" t="n">
        <v>950000</v>
      </c>
      <c r="NU6" t="n">
        <v>420000</v>
      </c>
      <c r="NV6" t="n">
        <v>107000</v>
      </c>
      <c r="NW6" t="n">
        <v>558000</v>
      </c>
      <c r="NX6" t="n">
        <v>1105956</v>
      </c>
      <c r="NY6" t="n">
        <v>1068000</v>
      </c>
      <c r="NZ6" t="n">
        <v>566616</v>
      </c>
      <c r="OA6" t="n">
        <v>1150000</v>
      </c>
      <c r="OB6" t="n">
        <v>33500</v>
      </c>
      <c r="OC6" t="n">
        <v>70000</v>
      </c>
      <c r="OD6" t="n">
        <v>165500</v>
      </c>
      <c r="OE6" t="n">
        <v>444400</v>
      </c>
      <c r="OF6" t="n">
        <v>1043024</v>
      </c>
      <c r="OG6" t="n">
        <v>196000</v>
      </c>
      <c r="OH6" t="n">
        <v>340000</v>
      </c>
      <c r="OI6" t="n">
        <v>100000</v>
      </c>
      <c r="OJ6" t="n">
        <v>439823</v>
      </c>
      <c r="OK6" t="n">
        <v>440000</v>
      </c>
      <c r="OL6" t="n">
        <v>342000</v>
      </c>
      <c r="OM6" t="n">
        <v>319000</v>
      </c>
      <c r="ON6" t="n">
        <v>105000</v>
      </c>
      <c r="OO6" t="n">
        <v>575000</v>
      </c>
      <c r="OP6" t="n">
        <v>240000</v>
      </c>
      <c r="OQ6" t="n">
        <v>71900</v>
      </c>
      <c r="OR6" t="n">
        <v>625000</v>
      </c>
      <c r="OS6" t="n">
        <v>593800</v>
      </c>
      <c r="OT6" t="n">
        <v>776277</v>
      </c>
      <c r="OU6" s="133">
        <f>SUM(NP6:OT6)</f>
        <v/>
      </c>
      <c r="OV6" t="n">
        <v>648791</v>
      </c>
      <c r="OW6" t="n">
        <v>570700</v>
      </c>
      <c r="OX6" t="n">
        <v>533500</v>
      </c>
      <c r="OY6" t="n">
        <v>520000</v>
      </c>
      <c r="OZ6" t="n">
        <v>515000</v>
      </c>
      <c r="PA6" t="n">
        <v>1129576</v>
      </c>
      <c r="PB6" t="n">
        <v>170000</v>
      </c>
      <c r="PC6" t="n">
        <v>206000</v>
      </c>
      <c r="PD6" t="n">
        <v>750000</v>
      </c>
      <c r="PE6" t="n">
        <v>215000</v>
      </c>
      <c r="PF6" t="n">
        <v>252415</v>
      </c>
      <c r="PG6" t="n">
        <v>206900</v>
      </c>
      <c r="PH6" t="n">
        <v>497500</v>
      </c>
      <c r="PI6" t="n">
        <v>125000</v>
      </c>
      <c r="PJ6" t="n">
        <v>463000</v>
      </c>
      <c r="PK6" t="n">
        <v>132000</v>
      </c>
      <c r="PL6" t="n">
        <v>831000</v>
      </c>
      <c r="PM6" t="n">
        <v>473162</v>
      </c>
      <c r="PN6" t="n">
        <v>57000</v>
      </c>
      <c r="PO6" t="n">
        <v>331500</v>
      </c>
      <c r="PP6" t="n">
        <v>320000</v>
      </c>
      <c r="PQ6" t="n">
        <v>281750</v>
      </c>
      <c r="PR6" t="n">
        <v>389000</v>
      </c>
      <c r="PS6" t="n">
        <v>476900</v>
      </c>
      <c r="PT6" t="n">
        <v>50000</v>
      </c>
      <c r="PU6" t="n">
        <v>275000</v>
      </c>
      <c r="PV6" t="n">
        <v>385900</v>
      </c>
      <c r="PW6" t="n">
        <v>714596</v>
      </c>
      <c r="PX6" t="n">
        <v>738800</v>
      </c>
      <c r="PY6" t="n">
        <v>399000</v>
      </c>
      <c r="PZ6" s="133">
        <f>SUM(OV6:PY6)</f>
        <v/>
      </c>
      <c r="QA6" t="n">
        <v>240000</v>
      </c>
      <c r="QB6" t="n">
        <v>450000</v>
      </c>
      <c r="QC6" t="n">
        <v>350000</v>
      </c>
      <c r="QD6" t="n">
        <v>562950</v>
      </c>
      <c r="QE6" t="n">
        <v>335000</v>
      </c>
      <c r="QF6" t="n">
        <v>235000</v>
      </c>
      <c r="QG6" t="n">
        <v>760000</v>
      </c>
      <c r="QH6" t="n">
        <v>488000</v>
      </c>
      <c r="QI6" t="n">
        <v>200000</v>
      </c>
      <c r="QJ6" t="n">
        <v>300000</v>
      </c>
      <c r="QK6" t="n">
        <v>674909</v>
      </c>
      <c r="QL6" t="n">
        <v>282000</v>
      </c>
      <c r="QM6" t="n">
        <v>465700</v>
      </c>
      <c r="QN6" t="n">
        <v>470000</v>
      </c>
      <c r="QO6" t="n">
        <v>325000</v>
      </c>
      <c r="QP6" t="n">
        <v>330000</v>
      </c>
      <c r="QQ6" t="n">
        <v>271000</v>
      </c>
      <c r="QR6" t="n">
        <v>637550</v>
      </c>
      <c r="QS6" t="n">
        <v>343900</v>
      </c>
      <c r="QT6" t="n">
        <v>484000</v>
      </c>
      <c r="QU6" t="n">
        <v>356000</v>
      </c>
      <c r="QV6" t="n">
        <v>314000</v>
      </c>
      <c r="QW6" t="n">
        <v>430000</v>
      </c>
      <c r="QX6" t="n">
        <v>610000</v>
      </c>
      <c r="QY6" t="n">
        <v>400000</v>
      </c>
      <c r="QZ6" t="n">
        <v>410000</v>
      </c>
      <c r="RA6" t="n">
        <v>266000</v>
      </c>
      <c r="RB6" t="n">
        <v>480000</v>
      </c>
      <c r="RC6" t="n">
        <v>799500</v>
      </c>
      <c r="RD6" t="n">
        <v>170000</v>
      </c>
      <c r="RE6" t="n">
        <v>220000</v>
      </c>
      <c r="RF6" s="133">
        <f>SUM(QA6:RE6)</f>
        <v/>
      </c>
      <c r="RG6" t="n">
        <v>824890</v>
      </c>
      <c r="RH6" t="n">
        <v>70000</v>
      </c>
      <c r="RI6" t="n">
        <v>45000</v>
      </c>
      <c r="RJ6" t="n">
        <v>665000</v>
      </c>
      <c r="RK6" t="n">
        <v>0</v>
      </c>
      <c r="RL6" t="n">
        <v>235000</v>
      </c>
      <c r="RM6" t="n">
        <v>126000</v>
      </c>
      <c r="RN6" t="n">
        <v>207000</v>
      </c>
      <c r="RO6" t="n">
        <v>25000</v>
      </c>
      <c r="RP6" t="n">
        <v>276000</v>
      </c>
      <c r="RQ6" t="n">
        <v>638711</v>
      </c>
      <c r="RR6" t="n">
        <v>150000</v>
      </c>
      <c r="RS6" t="n">
        <v>1243466</v>
      </c>
      <c r="RT6" t="n">
        <v>200000</v>
      </c>
      <c r="RU6" t="n">
        <v>380000</v>
      </c>
      <c r="RV6" t="n">
        <v>310000</v>
      </c>
      <c r="RW6" t="n">
        <v>625742</v>
      </c>
      <c r="RX6" t="n">
        <v>881400</v>
      </c>
      <c r="RY6" t="n">
        <v>1161000</v>
      </c>
      <c r="RZ6" t="n">
        <v>200000</v>
      </c>
      <c r="SA6" t="n">
        <v>55000</v>
      </c>
      <c r="SB6" t="n">
        <v>758802</v>
      </c>
      <c r="SC6" t="n">
        <v>79500</v>
      </c>
      <c r="SD6" t="n">
        <v>176000</v>
      </c>
      <c r="SE6" t="n">
        <v>767000</v>
      </c>
      <c r="SF6" t="n">
        <v>424500</v>
      </c>
      <c r="SG6" t="n">
        <v>275500</v>
      </c>
      <c r="SH6" t="n">
        <v>313000</v>
      </c>
      <c r="SI6" t="n">
        <v>360000</v>
      </c>
      <c r="SJ6" t="n">
        <v>552496</v>
      </c>
      <c r="SK6" s="133">
        <f>SUM(RG6:SJ6)</f>
        <v/>
      </c>
      <c r="SL6" t="n">
        <v>320000</v>
      </c>
      <c r="SM6" t="n">
        <v>510000</v>
      </c>
      <c r="SN6" t="n">
        <v>230000</v>
      </c>
      <c r="SO6" t="n">
        <v>325000</v>
      </c>
      <c r="SP6" t="n">
        <v>120000</v>
      </c>
      <c r="SQ6" t="n">
        <v>385000</v>
      </c>
      <c r="SR6" t="n">
        <v>80000</v>
      </c>
      <c r="SS6" t="n">
        <v>210000</v>
      </c>
      <c r="ST6" t="n">
        <v>697150</v>
      </c>
      <c r="SU6" t="n">
        <v>270000</v>
      </c>
      <c r="SV6" t="n">
        <v>1065000</v>
      </c>
      <c r="SW6" t="n">
        <v>315000</v>
      </c>
      <c r="SX6" t="n">
        <v>723000</v>
      </c>
      <c r="SY6" t="n">
        <v>219000</v>
      </c>
      <c r="SZ6" t="n">
        <v>110000</v>
      </c>
      <c r="TA6" t="n">
        <v>172000</v>
      </c>
      <c r="TB6" t="n">
        <v>148000</v>
      </c>
      <c r="TC6" t="n">
        <v>289000</v>
      </c>
      <c r="TD6" t="n">
        <v>546663</v>
      </c>
      <c r="TE6" t="n">
        <v>270000</v>
      </c>
      <c r="TF6" t="n">
        <v>450000</v>
      </c>
      <c r="TG6" t="n">
        <v>285000</v>
      </c>
      <c r="TH6" t="n">
        <v>320000</v>
      </c>
      <c r="TI6" t="n">
        <v>194500</v>
      </c>
      <c r="TJ6" t="n">
        <v>612000</v>
      </c>
      <c r="TK6" t="n">
        <v>330000</v>
      </c>
      <c r="TL6" t="n">
        <v>961400</v>
      </c>
      <c r="TM6" t="n">
        <v>932500</v>
      </c>
      <c r="TN6" t="n">
        <v>253000</v>
      </c>
      <c r="TO6" t="n">
        <v>461500</v>
      </c>
      <c r="TP6" t="n">
        <v>280000</v>
      </c>
      <c r="TQ6" s="133">
        <f>SUM(SL6:TP6)</f>
        <v/>
      </c>
      <c r="TR6" t="n">
        <v>1005085</v>
      </c>
      <c r="TS6" t="n">
        <v>191000</v>
      </c>
      <c r="TT6" t="n">
        <v>45500</v>
      </c>
      <c r="TU6" t="n">
        <v>450000</v>
      </c>
      <c r="TV6" t="n">
        <v>324500</v>
      </c>
      <c r="TW6" t="n">
        <v>190000</v>
      </c>
      <c r="TX6" t="n">
        <v>574371</v>
      </c>
      <c r="TY6" t="n">
        <v>670978</v>
      </c>
      <c r="TZ6" t="n">
        <v>330000</v>
      </c>
      <c r="UA6" t="n">
        <v>400000</v>
      </c>
      <c r="UB6" t="n">
        <v>448900</v>
      </c>
      <c r="UC6" t="n">
        <v>170000</v>
      </c>
      <c r="UD6" t="n">
        <v>120000</v>
      </c>
      <c r="UE6" t="n">
        <v>486011</v>
      </c>
      <c r="UF6" t="n">
        <v>250000</v>
      </c>
      <c r="UG6" t="n">
        <v>448864</v>
      </c>
      <c r="UH6" t="n">
        <v>625000</v>
      </c>
      <c r="UI6" t="n">
        <v>743314</v>
      </c>
      <c r="UJ6" t="n">
        <v>350000</v>
      </c>
      <c r="UK6" t="n">
        <v>725000</v>
      </c>
      <c r="UL6" t="n">
        <v>315524</v>
      </c>
      <c r="UM6" t="n">
        <v>700000</v>
      </c>
      <c r="UN6" t="n">
        <v>550000</v>
      </c>
      <c r="UO6" t="n">
        <v>611000</v>
      </c>
      <c r="UP6" t="n">
        <v>525000</v>
      </c>
      <c r="UQ6" t="n">
        <v>1040000</v>
      </c>
      <c r="UR6" t="n">
        <v>380000</v>
      </c>
      <c r="US6" t="n">
        <v>187000</v>
      </c>
      <c r="UT6" t="n">
        <v>112000</v>
      </c>
      <c r="UU6" t="n">
        <v>120000</v>
      </c>
      <c r="UV6" t="n">
        <v>410000</v>
      </c>
      <c r="UW6" s="133">
        <f>SUM(TR6:UV6)</f>
        <v/>
      </c>
      <c r="UX6" t="n">
        <v>228000</v>
      </c>
      <c r="UY6" t="n">
        <v>520000</v>
      </c>
      <c r="UZ6" t="n">
        <v>310000</v>
      </c>
      <c r="VA6" t="n">
        <v>167000</v>
      </c>
      <c r="VB6" t="n">
        <v>263766</v>
      </c>
      <c r="VC6" t="n">
        <v>603000</v>
      </c>
      <c r="VD6" t="n">
        <v>470000</v>
      </c>
      <c r="VE6" t="n">
        <v>390500</v>
      </c>
      <c r="VF6" t="n">
        <v>288500</v>
      </c>
      <c r="VG6" t="n">
        <v>211000</v>
      </c>
      <c r="VH6" t="n">
        <v>858500</v>
      </c>
      <c r="VI6" t="n">
        <v>430000</v>
      </c>
      <c r="VJ6" t="n">
        <v>9500</v>
      </c>
      <c r="VK6" t="n">
        <v>433500</v>
      </c>
      <c r="VL6" t="n">
        <v>195000</v>
      </c>
      <c r="VM6" t="n">
        <v>177000</v>
      </c>
      <c r="VN6" t="n">
        <v>779200</v>
      </c>
      <c r="VO6" t="n">
        <v>301500</v>
      </c>
      <c r="VP6" t="n">
        <v>120000</v>
      </c>
      <c r="VQ6" t="n">
        <v>20000</v>
      </c>
      <c r="VR6" t="n">
        <v>378500</v>
      </c>
      <c r="VS6" t="n">
        <v>175300</v>
      </c>
      <c r="VT6" t="n">
        <v>245000</v>
      </c>
      <c r="VU6" t="n">
        <v>221000</v>
      </c>
      <c r="VV6" t="n">
        <v>159101</v>
      </c>
      <c r="VW6" t="n">
        <v>338500</v>
      </c>
      <c r="VX6" t="n">
        <v>354000</v>
      </c>
      <c r="VY6" t="n">
        <v>354000</v>
      </c>
      <c r="VZ6" s="133">
        <f>SUM(UX6:VY6)</f>
        <v/>
      </c>
      <c r="WA6" t="n">
        <v>143000</v>
      </c>
      <c r="WB6" t="n">
        <v>563955</v>
      </c>
      <c r="WC6" t="n">
        <v>300000</v>
      </c>
      <c r="WD6" t="n">
        <v>1452456</v>
      </c>
      <c r="WE6" t="n">
        <v>173000</v>
      </c>
      <c r="WF6" t="n">
        <v>214000</v>
      </c>
      <c r="WG6" t="n">
        <v>561000</v>
      </c>
      <c r="WH6" t="n">
        <v>400000</v>
      </c>
      <c r="WI6" t="n">
        <v>384000</v>
      </c>
      <c r="WJ6" t="n">
        <v>260000</v>
      </c>
      <c r="WK6" t="n">
        <v>150000</v>
      </c>
      <c r="WL6" t="n">
        <v>526000</v>
      </c>
      <c r="WM6" t="n">
        <v>240000</v>
      </c>
      <c r="WN6" t="n">
        <v>615000</v>
      </c>
      <c r="WO6" t="n">
        <v>500000</v>
      </c>
      <c r="WP6" t="n">
        <v>239000</v>
      </c>
      <c r="WQ6" t="n">
        <v>10000</v>
      </c>
      <c r="WR6" t="n">
        <v>1078795</v>
      </c>
      <c r="WS6" t="n">
        <v>250000</v>
      </c>
      <c r="WT6" t="n">
        <v>50000</v>
      </c>
      <c r="WU6" t="n">
        <v>205000</v>
      </c>
      <c r="WV6" t="n">
        <v>522036</v>
      </c>
      <c r="WW6" t="n">
        <v>450000</v>
      </c>
      <c r="WX6" t="n">
        <v>316000</v>
      </c>
      <c r="WY6" t="n">
        <v>405000</v>
      </c>
      <c r="WZ6" t="n">
        <v>230000</v>
      </c>
      <c r="XA6" t="n">
        <v>1320000</v>
      </c>
      <c r="XB6" t="n">
        <v>658863</v>
      </c>
      <c r="XC6" t="n">
        <v>476441</v>
      </c>
      <c r="XD6" t="n">
        <v>182000</v>
      </c>
      <c r="XE6" t="n">
        <v>140000</v>
      </c>
      <c r="XF6" s="133">
        <f>SUM(WA6:XE6)</f>
        <v/>
      </c>
      <c r="XG6" t="n">
        <v>395000</v>
      </c>
      <c r="XH6" t="n">
        <v>122000</v>
      </c>
      <c r="XI6" t="n">
        <v>500000</v>
      </c>
      <c r="XJ6" t="n">
        <v>232000</v>
      </c>
      <c r="XK6" t="n">
        <v>160000</v>
      </c>
      <c r="XL6" t="n">
        <v>840424</v>
      </c>
      <c r="XM6" t="n">
        <v>461462</v>
      </c>
      <c r="XN6" t="n">
        <v>0</v>
      </c>
      <c r="XO6" t="n">
        <v>88000</v>
      </c>
      <c r="XP6" t="n">
        <v>145000</v>
      </c>
      <c r="XQ6" t="n">
        <v>410000</v>
      </c>
      <c r="XR6" t="n">
        <v>596310</v>
      </c>
      <c r="XS6" t="n">
        <v>307578</v>
      </c>
      <c r="XT6" t="n">
        <v>80000</v>
      </c>
      <c r="XU6" t="n">
        <v>496000</v>
      </c>
      <c r="XV6" t="n">
        <v>150000</v>
      </c>
      <c r="XW6" t="n">
        <v>470000</v>
      </c>
      <c r="XX6" t="n">
        <v>255000</v>
      </c>
      <c r="XY6" t="n">
        <v>400000</v>
      </c>
      <c r="XZ6" t="n">
        <v>303786</v>
      </c>
      <c r="YA6" t="n">
        <v>615000</v>
      </c>
      <c r="YB6" t="n">
        <v>50000</v>
      </c>
      <c r="YC6" t="n">
        <v>160000</v>
      </c>
      <c r="YD6" t="n">
        <v>713728</v>
      </c>
      <c r="YE6" t="n">
        <v>445000</v>
      </c>
      <c r="YF6" t="n">
        <v>1309036</v>
      </c>
      <c r="YG6" t="n">
        <v>618000</v>
      </c>
      <c r="YH6" t="n">
        <v>20000</v>
      </c>
      <c r="YI6" t="n">
        <v>40000</v>
      </c>
      <c r="YJ6" t="n">
        <v>550000</v>
      </c>
      <c r="YK6" s="133">
        <f>SUM(XF6:YJ6)</f>
        <v/>
      </c>
      <c r="YL6" t="n">
        <v>477000</v>
      </c>
      <c r="YM6" t="n">
        <v>584320</v>
      </c>
      <c r="YN6" t="n">
        <v>343000</v>
      </c>
      <c r="YO6" t="n">
        <v>275000</v>
      </c>
      <c r="YP6" t="n">
        <v>120000</v>
      </c>
      <c r="YQ6" t="n">
        <v>417000</v>
      </c>
      <c r="YR6" t="n">
        <v>410000</v>
      </c>
      <c r="YS6" t="n">
        <v>435000</v>
      </c>
      <c r="YT6" t="n">
        <v>150000</v>
      </c>
      <c r="YU6" t="n">
        <v>565000</v>
      </c>
      <c r="YV6" t="n">
        <v>33000</v>
      </c>
      <c r="YW6" t="n">
        <v>212000</v>
      </c>
      <c r="YX6" t="n">
        <v>520000</v>
      </c>
      <c r="YY6" t="n">
        <v>579850</v>
      </c>
      <c r="YZ6" t="n">
        <v>222500</v>
      </c>
      <c r="ZA6" t="n">
        <v>100000</v>
      </c>
      <c r="ZB6" t="n">
        <v>543990</v>
      </c>
      <c r="ZC6" t="n">
        <v>50000</v>
      </c>
      <c r="ZD6" t="n">
        <v>180000</v>
      </c>
      <c r="ZE6" t="n">
        <v>50000</v>
      </c>
      <c r="ZF6" t="n">
        <v>200000</v>
      </c>
      <c r="ZG6" t="n">
        <v>479500</v>
      </c>
      <c r="ZH6" t="n">
        <v>220000</v>
      </c>
      <c r="ZI6" t="n">
        <v>514186</v>
      </c>
      <c r="ZJ6" t="n">
        <v>201500</v>
      </c>
      <c r="ZK6" t="n">
        <v>265000</v>
      </c>
      <c r="ZL6" t="n">
        <v>410000</v>
      </c>
      <c r="ZM6" t="n">
        <v>110000</v>
      </c>
      <c r="ZN6" t="n">
        <v>360000</v>
      </c>
      <c r="ZO6" t="n">
        <v>173000</v>
      </c>
      <c r="ZP6" t="n">
        <v>80000</v>
      </c>
      <c r="ZQ6" s="133">
        <f>SUM(YL6:ZP6)</f>
        <v/>
      </c>
      <c r="ZR6" t="n">
        <v>230000</v>
      </c>
      <c r="ZS6" t="n">
        <v>195000</v>
      </c>
      <c r="ZT6" t="n">
        <v>185000</v>
      </c>
      <c r="ZU6" t="n">
        <v>135000</v>
      </c>
      <c r="ZV6" t="n">
        <v>308449</v>
      </c>
      <c r="ZW6" t="n">
        <v>1201950</v>
      </c>
      <c r="ZX6" t="n">
        <v>120000</v>
      </c>
      <c r="ZY6" t="n">
        <v>405500</v>
      </c>
      <c r="ZZ6" t="n">
        <v>40000</v>
      </c>
      <c r="AAA6" t="n">
        <v>80000</v>
      </c>
      <c r="AAB6" t="n">
        <v>220000</v>
      </c>
      <c r="AAC6" t="n">
        <v>405000</v>
      </c>
      <c r="AAD6" t="n">
        <v>395000</v>
      </c>
      <c r="AAE6" t="n">
        <v>1682500</v>
      </c>
      <c r="AAF6" t="n">
        <v>638146</v>
      </c>
      <c r="AAG6" t="n">
        <v>421822</v>
      </c>
      <c r="AAH6" t="n">
        <v>348000</v>
      </c>
      <c r="AAI6" t="n">
        <v>217000</v>
      </c>
      <c r="AAJ6" t="n">
        <v>200000</v>
      </c>
      <c r="AAK6" t="n">
        <v>220000</v>
      </c>
      <c r="AAL6" t="n">
        <v>838500</v>
      </c>
      <c r="AAM6" t="n">
        <v>513500</v>
      </c>
      <c r="AAN6" t="n">
        <v>260000</v>
      </c>
      <c r="AAO6" t="n">
        <v>0</v>
      </c>
      <c r="AAP6" t="n">
        <v>1171000</v>
      </c>
      <c r="AAQ6" t="n">
        <v>847000</v>
      </c>
      <c r="AAR6" t="n">
        <v>729260</v>
      </c>
      <c r="AAS6" t="n">
        <v>823737</v>
      </c>
      <c r="AAT6" t="n">
        <v>488595</v>
      </c>
      <c r="AAU6" t="n">
        <v>120000</v>
      </c>
      <c r="AAV6" s="133">
        <f>SUM(ZR6:AAU6)</f>
        <v/>
      </c>
      <c r="AAW6" t="n">
        <v>791000</v>
      </c>
      <c r="AAX6" t="n">
        <v>420500</v>
      </c>
      <c r="AAY6" t="n">
        <v>82000</v>
      </c>
      <c r="AAZ6" t="n">
        <v>632242</v>
      </c>
      <c r="ABA6" t="n">
        <v>417000</v>
      </c>
      <c r="ABB6" t="n">
        <v>217500</v>
      </c>
      <c r="ABC6" t="n">
        <v>286000</v>
      </c>
      <c r="ABD6" t="n">
        <v>477000</v>
      </c>
      <c r="ABE6" t="n">
        <v>60000</v>
      </c>
      <c r="ABF6" t="n">
        <v>262600</v>
      </c>
      <c r="ABG6" t="n">
        <v>150000</v>
      </c>
      <c r="ABH6" t="n">
        <v>127000</v>
      </c>
      <c r="ABI6" t="n">
        <v>274400</v>
      </c>
      <c r="ABJ6" t="n">
        <v>129000</v>
      </c>
      <c r="ABK6" t="n">
        <v>20000</v>
      </c>
      <c r="ABL6" t="n">
        <v>335129</v>
      </c>
      <c r="ABM6" t="n">
        <v>98500</v>
      </c>
      <c r="ABN6" t="n">
        <v>36000</v>
      </c>
      <c r="ABO6" t="n">
        <v>491000</v>
      </c>
      <c r="ABP6" t="n">
        <v>388000</v>
      </c>
      <c r="ABQ6" t="n">
        <v>365000</v>
      </c>
      <c r="ABS6" t="n">
        <v>260000</v>
      </c>
      <c r="ABT6" t="n">
        <v>100000</v>
      </c>
      <c r="ABU6" t="n">
        <v>498000</v>
      </c>
      <c r="ABV6" t="n">
        <v>100000</v>
      </c>
      <c r="ABW6" t="n">
        <v>1117000</v>
      </c>
      <c r="ABX6" t="n">
        <v>2250000</v>
      </c>
      <c r="ABY6" t="n">
        <v>10000</v>
      </c>
      <c r="ABZ6" t="n">
        <v>100000</v>
      </c>
      <c r="ACA6" t="n">
        <v>127000</v>
      </c>
      <c r="ACB6" s="133">
        <f>SUM(AAX6:ACA6)</f>
        <v/>
      </c>
      <c r="ACC6" t="n">
        <v>277500</v>
      </c>
      <c r="ACD6" t="n">
        <v>320000</v>
      </c>
      <c r="ACE6" t="n">
        <v>810000</v>
      </c>
      <c r="ACF6" t="n">
        <v>645000</v>
      </c>
      <c r="ACG6" t="n">
        <v>180000</v>
      </c>
      <c r="ACH6" t="n">
        <v>271000</v>
      </c>
      <c r="ACJ6" t="n">
        <v>644642</v>
      </c>
      <c r="ACK6" t="n">
        <v>126000</v>
      </c>
      <c r="ACL6" t="n">
        <v>315169</v>
      </c>
      <c r="ACM6" t="n">
        <v>950000</v>
      </c>
      <c r="ACN6" t="n">
        <v>470000</v>
      </c>
      <c r="ACO6" t="n">
        <v>624378</v>
      </c>
      <c r="ACP6" t="n">
        <v>270000</v>
      </c>
      <c r="ACQ6" t="n">
        <v>491203</v>
      </c>
      <c r="ACR6" t="n">
        <v>643122</v>
      </c>
      <c r="ACS6" t="n">
        <v>345912</v>
      </c>
      <c r="ACT6" t="n">
        <v>929000</v>
      </c>
      <c r="ACU6" t="n">
        <v>28000</v>
      </c>
      <c r="ACV6" t="n">
        <v>163000</v>
      </c>
      <c r="ACW6" t="n">
        <v>850000</v>
      </c>
      <c r="ACX6" t="n">
        <v>210500</v>
      </c>
      <c r="ACY6" t="n">
        <v>586499</v>
      </c>
      <c r="ACZ6" t="n">
        <v>200000</v>
      </c>
      <c r="ADA6" t="n">
        <v>0</v>
      </c>
      <c r="ADB6" t="n">
        <v>1488050</v>
      </c>
      <c r="ADC6" t="n">
        <v>93000</v>
      </c>
      <c r="ADD6" t="n">
        <v>504828</v>
      </c>
      <c r="ADE6" t="n">
        <v>390000</v>
      </c>
      <c r="ADF6" t="n">
        <v>760000</v>
      </c>
      <c r="ADG6" t="n">
        <v>509270</v>
      </c>
      <c r="ADH6" s="133">
        <f>SUM(ACC6:ADG6)</f>
        <v/>
      </c>
      <c r="ADI6" t="n">
        <v>60000</v>
      </c>
      <c r="ADJ6" t="n">
        <v>427501</v>
      </c>
      <c r="ADK6" t="n">
        <v>613000</v>
      </c>
      <c r="ADL6" t="n">
        <v>220095</v>
      </c>
      <c r="ADM6" t="n">
        <v>204000</v>
      </c>
      <c r="ADN6" t="n">
        <v>450000</v>
      </c>
      <c r="ADO6" t="n">
        <v>235000</v>
      </c>
      <c r="ADP6" t="n">
        <v>210000</v>
      </c>
      <c r="ADQ6" t="n">
        <v>166000</v>
      </c>
      <c r="ADR6" t="n">
        <v>848000</v>
      </c>
      <c r="ADS6" t="n">
        <v>360000</v>
      </c>
      <c r="ADT6" t="n">
        <v>456000</v>
      </c>
      <c r="ADU6" t="n">
        <v>411000</v>
      </c>
      <c r="ADV6" t="n">
        <v>70000</v>
      </c>
      <c r="ADW6" t="n">
        <v>402541</v>
      </c>
      <c r="ADX6" t="n">
        <v>631281</v>
      </c>
      <c r="ADY6" t="n">
        <v>350000</v>
      </c>
      <c r="ADZ6" t="n">
        <v>250000</v>
      </c>
      <c r="AEA6" t="n">
        <v>60000</v>
      </c>
      <c r="AEB6" t="n">
        <v>270000</v>
      </c>
      <c r="AEC6" t="n">
        <v>290000</v>
      </c>
      <c r="AED6" t="n">
        <v>270000</v>
      </c>
      <c r="AEE6" t="n">
        <v>100000</v>
      </c>
      <c r="AEF6" t="n">
        <v>50000</v>
      </c>
      <c r="AEG6" t="n">
        <v>150000</v>
      </c>
      <c r="AEH6" t="n">
        <v>455000</v>
      </c>
      <c r="AEI6" t="n">
        <v>448416</v>
      </c>
      <c r="AEJ6" t="n">
        <v>450000</v>
      </c>
      <c r="AEK6" t="n">
        <v>613048</v>
      </c>
      <c r="AEL6" t="n">
        <v>235000</v>
      </c>
      <c r="AEM6" s="133">
        <f>SUM(ADI6:AEL6)</f>
        <v/>
      </c>
      <c r="AEN6" t="n">
        <v>90000</v>
      </c>
      <c r="AEP6" t="n">
        <v>50000</v>
      </c>
      <c r="AEQ6" t="n">
        <v>230000</v>
      </c>
      <c r="AER6" t="n">
        <v>150000</v>
      </c>
      <c r="AES6" t="n">
        <v>550000</v>
      </c>
      <c r="AET6" t="n">
        <v>100000</v>
      </c>
      <c r="AEU6" t="n">
        <v>157000</v>
      </c>
      <c r="AEV6" t="n">
        <v>1172538</v>
      </c>
      <c r="AEW6" t="n">
        <v>20000</v>
      </c>
      <c r="AEX6" t="n">
        <v>165000</v>
      </c>
      <c r="AEZ6" t="n">
        <v>130000</v>
      </c>
      <c r="AFA6" t="n">
        <v>327510</v>
      </c>
      <c r="AFB6" t="n">
        <v>410000</v>
      </c>
      <c r="AFC6" t="n">
        <v>180000</v>
      </c>
      <c r="AFD6" t="n">
        <v>210000</v>
      </c>
      <c r="AFE6" t="n">
        <v>694787</v>
      </c>
      <c r="AFF6" t="n">
        <v>120000</v>
      </c>
      <c r="AFG6" t="n">
        <v>390000</v>
      </c>
      <c r="AFH6" t="n">
        <v>220000</v>
      </c>
      <c r="AFI6" t="n">
        <v>535892</v>
      </c>
      <c r="AFJ6" t="n">
        <v>20000</v>
      </c>
      <c r="AFK6" t="n">
        <v>613558</v>
      </c>
      <c r="AFL6" t="n">
        <v>465000</v>
      </c>
      <c r="AFM6" t="n">
        <v>1141975</v>
      </c>
      <c r="AFN6" t="n">
        <v>252000</v>
      </c>
      <c r="AFO6" t="n">
        <v>300000</v>
      </c>
      <c r="AFP6" t="n">
        <v>550000</v>
      </c>
      <c r="AFQ6" t="n">
        <v>322000</v>
      </c>
      <c r="AFR6" t="n">
        <v>745000</v>
      </c>
      <c r="AFS6" s="133">
        <f>SUM(AEN6:AFR6)</f>
        <v/>
      </c>
      <c r="AFT6" t="n">
        <v>30000</v>
      </c>
      <c r="AFU6" t="n">
        <v>435000</v>
      </c>
      <c r="AFV6" t="n">
        <v>142000</v>
      </c>
      <c r="AFW6" t="n">
        <v>240000</v>
      </c>
      <c r="AFX6" t="n">
        <v>752000</v>
      </c>
      <c r="AFY6" t="n">
        <v>320000</v>
      </c>
      <c r="AFZ6" t="n">
        <v>50000</v>
      </c>
      <c r="AGA6" t="n">
        <v>145000</v>
      </c>
      <c r="AGB6" t="n">
        <v>253700</v>
      </c>
      <c r="AGC6" t="n">
        <v>484490</v>
      </c>
      <c r="AGD6" t="n">
        <v>630000</v>
      </c>
      <c r="AGE6" t="n">
        <v>425000</v>
      </c>
      <c r="AGF6" t="n">
        <v>500000</v>
      </c>
      <c r="AGG6" t="n">
        <v>357227</v>
      </c>
      <c r="AGH6" t="n">
        <v>510000</v>
      </c>
      <c r="AGI6" t="n">
        <v>135490</v>
      </c>
      <c r="AGJ6" t="n">
        <v>864908</v>
      </c>
      <c r="AGK6" t="n">
        <v>131000</v>
      </c>
      <c r="AGL6" t="n">
        <v>30000</v>
      </c>
      <c r="AGM6" t="n">
        <v>110000</v>
      </c>
      <c r="AGN6" t="n">
        <v>753000</v>
      </c>
      <c r="AGO6" t="n">
        <v>210000</v>
      </c>
      <c r="AGP6" t="n">
        <v>379000</v>
      </c>
      <c r="AGQ6" t="n">
        <v>310000</v>
      </c>
      <c r="AGR6" t="n">
        <v>824500</v>
      </c>
      <c r="AGS6" t="n">
        <v>100000</v>
      </c>
      <c r="AGT6" t="n">
        <v>203790</v>
      </c>
      <c r="AGU6" t="n">
        <v>412000</v>
      </c>
      <c r="AGV6" t="n">
        <v>545000</v>
      </c>
      <c r="AGW6" t="n">
        <v>550000</v>
      </c>
      <c r="AGX6" s="133">
        <f>SUM(AFT6:AGW6)</f>
        <v/>
      </c>
      <c r="AGY6" t="n">
        <v>630000</v>
      </c>
      <c r="AHA6" t="n">
        <v>150000</v>
      </c>
      <c r="AHC6" t="n">
        <v>390000</v>
      </c>
      <c r="AHD6" t="n">
        <v>634976</v>
      </c>
      <c r="AHE6" t="n">
        <v>353000</v>
      </c>
      <c r="AHF6" t="n">
        <v>0</v>
      </c>
      <c r="AHG6" t="n">
        <v>225000</v>
      </c>
      <c r="AHH6" t="n">
        <v>1392000</v>
      </c>
      <c r="AHI6" t="n">
        <v>555700</v>
      </c>
      <c r="AHJ6" t="n">
        <v>150000</v>
      </c>
      <c r="AHK6" t="n">
        <v>235000</v>
      </c>
      <c r="AHL6" t="n">
        <v>930000</v>
      </c>
      <c r="AHM6" t="n">
        <v>400000</v>
      </c>
      <c r="AHN6" t="n">
        <v>100000</v>
      </c>
      <c r="AHO6" t="n">
        <v>250000</v>
      </c>
      <c r="AHP6" t="n">
        <v>152945</v>
      </c>
      <c r="AHQ6" t="n">
        <v>775000</v>
      </c>
      <c r="AHR6" t="n">
        <v>555000</v>
      </c>
      <c r="AHS6" t="n">
        <v>829235</v>
      </c>
      <c r="AHT6" t="n">
        <v>500000</v>
      </c>
      <c r="AHU6" t="n">
        <v>120000</v>
      </c>
      <c r="AHV6" s="117" t="n">
        <v>299490</v>
      </c>
      <c r="AHW6" t="n">
        <v>664669</v>
      </c>
      <c r="AHX6" t="n">
        <v>761797</v>
      </c>
      <c r="AHY6" t="n">
        <v>245000</v>
      </c>
      <c r="AHZ6" t="n">
        <v>321109</v>
      </c>
      <c r="AIA6" t="n">
        <v>235000</v>
      </c>
      <c r="AIB6" t="n">
        <v>430000</v>
      </c>
      <c r="AIC6" t="n">
        <v>170000</v>
      </c>
      <c r="AID6" s="133">
        <f>SUM(AGY6:AIC6)</f>
        <v/>
      </c>
      <c r="AIE6" t="n">
        <v>350000</v>
      </c>
      <c r="AIF6" t="n">
        <v>650000</v>
      </c>
      <c r="AIG6" t="n">
        <v>270000</v>
      </c>
      <c r="AIH6" t="n">
        <v>459490</v>
      </c>
      <c r="AII6" t="n">
        <v>865000</v>
      </c>
      <c r="AIJ6" t="n">
        <v>440989</v>
      </c>
      <c r="AIK6" t="n">
        <v>231000</v>
      </c>
      <c r="AIL6" t="n">
        <v>170000</v>
      </c>
      <c r="AIM6" t="n">
        <v>880000</v>
      </c>
      <c r="AIN6" t="n">
        <v>886505</v>
      </c>
      <c r="AIO6" t="n">
        <v>406093</v>
      </c>
      <c r="AIP6" t="n">
        <v>402012</v>
      </c>
      <c r="AIQ6" t="n">
        <v>160000</v>
      </c>
      <c r="AIR6" t="n">
        <v>150000</v>
      </c>
      <c r="AIS6" t="n">
        <v>55000</v>
      </c>
      <c r="AIT6" t="n">
        <v>265000</v>
      </c>
      <c r="AIU6" t="n">
        <v>130000</v>
      </c>
      <c r="AIV6" t="n">
        <v>189000</v>
      </c>
      <c r="AIW6" t="n">
        <v>395000</v>
      </c>
      <c r="AIY6" t="n">
        <v>150000</v>
      </c>
      <c r="AIZ6" t="n">
        <v>555500</v>
      </c>
      <c r="AJA6" t="n">
        <v>210000</v>
      </c>
      <c r="AJB6" t="n">
        <v>508000</v>
      </c>
      <c r="AJC6" t="n">
        <v>330000</v>
      </c>
      <c r="AJD6" t="n">
        <v>170000</v>
      </c>
      <c r="AJE6" t="n">
        <v>430000</v>
      </c>
      <c r="AJF6" t="n">
        <v>200000</v>
      </c>
      <c r="AJG6" t="n">
        <v>410000</v>
      </c>
      <c r="AJH6" t="n">
        <v>800000</v>
      </c>
      <c r="AJI6" t="n">
        <v>273000</v>
      </c>
      <c r="AJJ6" s="133">
        <f>SUM(AIE6:AJI6)</f>
        <v/>
      </c>
      <c r="AJK6" t="n">
        <v>369400</v>
      </c>
      <c r="AJL6" t="n">
        <v>80000</v>
      </c>
      <c r="AJM6" t="n">
        <v>286000</v>
      </c>
      <c r="AJN6" t="n">
        <v>1304077</v>
      </c>
      <c r="AJO6" t="n">
        <v>357716</v>
      </c>
      <c r="AJP6" t="n">
        <v>655000</v>
      </c>
      <c r="AJQ6" t="n">
        <v>346923</v>
      </c>
      <c r="AJR6" t="n">
        <v>200000</v>
      </c>
      <c r="AJS6" t="n">
        <v>354960</v>
      </c>
      <c r="AJT6" t="n">
        <v>80000</v>
      </c>
      <c r="AJU6" t="n">
        <v>275389</v>
      </c>
      <c r="AJV6" t="n">
        <v>80000</v>
      </c>
      <c r="AJW6" t="n">
        <v>150000</v>
      </c>
      <c r="AJX6" t="n">
        <v>515316</v>
      </c>
      <c r="AJY6" t="n">
        <v>438000</v>
      </c>
      <c r="AJZ6" t="n">
        <v>370000</v>
      </c>
      <c r="AKA6" t="n">
        <v>130000</v>
      </c>
      <c r="AKB6" t="n">
        <v>324936</v>
      </c>
      <c r="AKC6" t="n">
        <v>551960</v>
      </c>
      <c r="AKD6" t="n">
        <v>90000</v>
      </c>
      <c r="AKE6" t="n">
        <v>355000</v>
      </c>
      <c r="AKF6" t="n">
        <v>603233</v>
      </c>
      <c r="AKG6" t="n">
        <v>870000</v>
      </c>
      <c r="AKH6" t="n">
        <v>886198</v>
      </c>
      <c r="AKI6" t="n">
        <v>250000</v>
      </c>
      <c r="AKJ6" t="n">
        <v>672000</v>
      </c>
      <c r="AKK6" t="n">
        <v>300000</v>
      </c>
      <c r="AKL6" t="n">
        <v>173000</v>
      </c>
      <c r="AKM6" s="133">
        <f>SUM(AJK6:AKL6)</f>
        <v/>
      </c>
      <c r="AKN6" t="n">
        <v>1014000</v>
      </c>
      <c r="AKO6" t="n">
        <v>90000</v>
      </c>
      <c r="AKP6" t="n">
        <v>350000</v>
      </c>
      <c r="AKQ6" t="n">
        <v>270000</v>
      </c>
      <c r="AKR6" t="n">
        <v>100000</v>
      </c>
      <c r="AKS6" t="n">
        <v>390000</v>
      </c>
      <c r="AKT6" t="n">
        <v>600000</v>
      </c>
      <c r="AKU6" t="n">
        <v>105000</v>
      </c>
      <c r="AKV6" t="n">
        <v>495000</v>
      </c>
      <c r="AKW6" t="n">
        <v>694109</v>
      </c>
      <c r="AKX6" t="n">
        <v>320000</v>
      </c>
      <c r="AKY6" t="n">
        <v>661000</v>
      </c>
      <c r="AKZ6" t="n">
        <v>370000</v>
      </c>
      <c r="ALA6" t="n">
        <v>796980</v>
      </c>
      <c r="ALB6" t="n">
        <v>380000</v>
      </c>
      <c r="ALC6" t="n">
        <v>1454314</v>
      </c>
      <c r="ALD6" t="n">
        <v>201000</v>
      </c>
      <c r="ALF6" t="n">
        <v>1400000</v>
      </c>
      <c r="ALG6" t="n">
        <v>610000</v>
      </c>
      <c r="ALH6" t="n">
        <v>220000</v>
      </c>
      <c r="ALI6" t="n">
        <v>200000</v>
      </c>
      <c r="ALJ6" t="n">
        <v>356490</v>
      </c>
      <c r="ALK6" t="n">
        <v>752000</v>
      </c>
      <c r="ALL6" t="n">
        <v>575000</v>
      </c>
      <c r="ALM6" t="n">
        <v>450000</v>
      </c>
      <c r="ALN6" t="n">
        <v>130000</v>
      </c>
      <c r="ALO6" t="n">
        <v>854486</v>
      </c>
      <c r="ALP6" t="n">
        <v>749081</v>
      </c>
      <c r="ALQ6" t="n">
        <v>150000</v>
      </c>
      <c r="ALR6" t="n">
        <v>100000</v>
      </c>
      <c r="ALS6" s="133">
        <f>SUM(AKN6:ALR6)</f>
        <v/>
      </c>
      <c r="ALT6" t="n">
        <v>880000</v>
      </c>
      <c r="ALU6" t="n">
        <v>290000</v>
      </c>
      <c r="ALV6" t="n">
        <v>626351</v>
      </c>
      <c r="ALW6" t="n">
        <v>205000</v>
      </c>
      <c r="ALX6" t="n">
        <v>288000</v>
      </c>
      <c r="ALY6" t="n">
        <v>813000</v>
      </c>
      <c r="ALZ6" t="n">
        <v>301515</v>
      </c>
      <c r="AMA6" t="n">
        <v>119000</v>
      </c>
      <c r="AMB6" t="n">
        <v>545000</v>
      </c>
      <c r="AMC6" t="n">
        <v>811200</v>
      </c>
      <c r="AMD6" t="n">
        <v>130000</v>
      </c>
      <c r="AME6" t="n">
        <v>50000</v>
      </c>
      <c r="AMF6" t="n">
        <v>350000</v>
      </c>
      <c r="AMG6" t="n">
        <v>474000</v>
      </c>
      <c r="AMH6" t="n">
        <v>480000</v>
      </c>
      <c r="AMI6" t="n">
        <v>260000</v>
      </c>
      <c r="AMJ6" t="n">
        <v>95000</v>
      </c>
      <c r="AMK6" t="n">
        <v>510000</v>
      </c>
      <c r="AML6" t="n">
        <v>545000</v>
      </c>
      <c r="AMM6" t="n">
        <v>390000</v>
      </c>
      <c r="AMN6" t="n">
        <v>1060000</v>
      </c>
      <c r="AMO6" t="n">
        <v>2173700</v>
      </c>
      <c r="AMP6" t="n">
        <v>803534</v>
      </c>
      <c r="AMQ6" t="n">
        <v>1381899</v>
      </c>
      <c r="AMR6" t="n">
        <v>625000</v>
      </c>
      <c r="AMS6" t="n">
        <v>575000</v>
      </c>
      <c r="AMT6" t="n">
        <v>826983</v>
      </c>
      <c r="AMU6" t="n">
        <v>277500</v>
      </c>
      <c r="AMV6" t="n">
        <v>873000</v>
      </c>
      <c r="AMW6" t="n">
        <v>214173</v>
      </c>
      <c r="AMX6" s="133">
        <f>SUM(ALT6:AMW6)</f>
        <v/>
      </c>
      <c r="AMY6" t="n">
        <v>600000</v>
      </c>
      <c r="AMZ6" t="n">
        <v>729850</v>
      </c>
      <c r="ANA6" t="n">
        <v>80000</v>
      </c>
      <c r="ANB6" t="n">
        <v>164000</v>
      </c>
      <c r="ANC6" t="n">
        <v>974859</v>
      </c>
      <c r="AND6" t="n">
        <v>260000</v>
      </c>
      <c r="ANE6" t="n">
        <v>1992000</v>
      </c>
      <c r="ANF6" t="n">
        <v>500000</v>
      </c>
      <c r="ANG6" t="n">
        <v>831816</v>
      </c>
      <c r="ANH6" t="n">
        <v>300000</v>
      </c>
      <c r="ANI6" t="n">
        <v>110000</v>
      </c>
      <c r="ANJ6" t="n">
        <v>979848</v>
      </c>
      <c r="ANK6" t="n">
        <v>600000</v>
      </c>
      <c r="ANL6" t="n">
        <v>358586</v>
      </c>
      <c r="ANM6" t="n">
        <v>842000</v>
      </c>
      <c r="ANN6" t="n">
        <v>532500</v>
      </c>
      <c r="ANO6" t="n">
        <v>530000</v>
      </c>
      <c r="ANP6" t="n">
        <v>300000</v>
      </c>
      <c r="ANQ6" t="n">
        <v>120000</v>
      </c>
      <c r="ANR6" t="n">
        <v>520000</v>
      </c>
      <c r="ANS6" t="n">
        <v>250000</v>
      </c>
      <c r="ANT6" t="n">
        <v>605000</v>
      </c>
      <c r="ANU6" t="n">
        <v>1268689</v>
      </c>
      <c r="ANV6" t="n">
        <v>361648</v>
      </c>
      <c r="ANW6" t="n">
        <v>978000</v>
      </c>
      <c r="ANX6" t="n">
        <v>480000</v>
      </c>
      <c r="ANY6" t="n">
        <v>90000</v>
      </c>
      <c r="ANZ6" t="n">
        <v>430000</v>
      </c>
      <c r="AOA6" t="n">
        <v>959887</v>
      </c>
      <c r="AOB6" t="n">
        <v>498890</v>
      </c>
      <c r="AOC6" t="n">
        <v>585000</v>
      </c>
      <c r="AOD6" t="n">
        <v>585000</v>
      </c>
    </row>
    <row r="7">
      <c r="A7" s="86" t="inlineStr">
        <is>
          <t>RUBIS CARD</t>
        </is>
      </c>
      <c r="B7" s="41">
        <f>699700+730650</f>
        <v/>
      </c>
      <c r="C7" s="41" t="n">
        <v>1207350</v>
      </c>
      <c r="D7" s="41" t="n">
        <v>80750</v>
      </c>
      <c r="E7" s="41" t="n">
        <v>650751</v>
      </c>
      <c r="F7" s="41" t="n">
        <v>301510</v>
      </c>
      <c r="G7" s="41" t="n">
        <v>385500</v>
      </c>
      <c r="H7" s="41" t="n">
        <v>618780</v>
      </c>
      <c r="I7" s="41" t="n">
        <v>100000</v>
      </c>
      <c r="J7" s="41" t="n">
        <v>576500</v>
      </c>
      <c r="K7" s="41" t="n">
        <v>100000</v>
      </c>
      <c r="L7" s="41" t="n">
        <v>1257450</v>
      </c>
      <c r="M7" s="41" t="n">
        <v>246700</v>
      </c>
      <c r="N7" s="41" t="n">
        <v>318030</v>
      </c>
      <c r="O7" s="41" t="n">
        <v>642370</v>
      </c>
      <c r="P7" s="41" t="n">
        <v>1293500</v>
      </c>
      <c r="Q7" s="41" t="n">
        <v>58680</v>
      </c>
      <c r="R7" s="41" t="n">
        <v>2310700</v>
      </c>
      <c r="S7" s="41" t="n">
        <v>336560</v>
      </c>
      <c r="T7" s="41" t="n">
        <v>209250</v>
      </c>
      <c r="U7" s="41" t="n">
        <v>0</v>
      </c>
      <c r="V7" s="41" t="n">
        <v>513640</v>
      </c>
      <c r="W7" s="41" t="n">
        <v>130000</v>
      </c>
      <c r="X7" s="41" t="n">
        <v>1059760</v>
      </c>
      <c r="Y7" s="41" t="n"/>
      <c r="Z7" s="41" t="n">
        <v>588250</v>
      </c>
      <c r="AA7" s="41" t="n">
        <v>286300</v>
      </c>
      <c r="AB7" s="41" t="n">
        <v>214460</v>
      </c>
      <c r="AC7" s="41" t="n">
        <v>903450</v>
      </c>
      <c r="AD7" s="41" t="n">
        <v>383520</v>
      </c>
      <c r="AE7" s="41" t="n">
        <v>32830</v>
      </c>
      <c r="AF7" s="41" t="n">
        <v>990987</v>
      </c>
      <c r="AG7" s="100">
        <f>SUM(B7:AF7)</f>
        <v/>
      </c>
      <c r="AH7" s="13" t="n">
        <v>305658</v>
      </c>
      <c r="AI7" s="13" t="n">
        <v>195500</v>
      </c>
      <c r="AJ7" s="13" t="n">
        <v>905650</v>
      </c>
      <c r="AK7" s="13" t="n">
        <v>367600</v>
      </c>
      <c r="AL7" s="13" t="n">
        <v>178220</v>
      </c>
      <c r="AM7" s="13" t="n">
        <v>312050</v>
      </c>
      <c r="AN7" s="13" t="n">
        <v>560850</v>
      </c>
      <c r="AO7" s="13" t="n">
        <v>234500</v>
      </c>
      <c r="AP7" s="13" t="n">
        <v>823500</v>
      </c>
      <c r="AQ7" s="13" t="n">
        <v>1087050</v>
      </c>
      <c r="AR7" s="13" t="n"/>
      <c r="AU7" t="n">
        <v>792500</v>
      </c>
      <c r="AV7">
        <f>147000+196000</f>
        <v/>
      </c>
      <c r="AW7" t="n">
        <v>367200</v>
      </c>
      <c r="AX7" t="n">
        <v>199000</v>
      </c>
      <c r="AY7" t="n">
        <v>546330</v>
      </c>
      <c r="AZ7" t="n">
        <v>343600</v>
      </c>
      <c r="BB7" t="n">
        <v>536750</v>
      </c>
      <c r="BC7" t="n">
        <v>539000</v>
      </c>
      <c r="BD7" t="n">
        <v>80000</v>
      </c>
      <c r="BE7" t="n">
        <v>288500</v>
      </c>
      <c r="BF7" t="n">
        <v>50000</v>
      </c>
      <c r="BG7" t="n">
        <v>196000</v>
      </c>
      <c r="BH7" t="n">
        <v>223900</v>
      </c>
      <c r="BI7" t="n">
        <v>1085500</v>
      </c>
      <c r="BJ7" t="n">
        <v>891000</v>
      </c>
      <c r="BK7" t="n">
        <v>173250</v>
      </c>
      <c r="BL7">
        <f>SUM(AH7:BK7)</f>
        <v/>
      </c>
      <c r="BM7" t="n">
        <v>237000</v>
      </c>
      <c r="BN7" t="n">
        <v>247500</v>
      </c>
      <c r="BO7" t="n">
        <v>611470</v>
      </c>
      <c r="BQ7" t="n">
        <v>2476000</v>
      </c>
      <c r="BR7" t="n">
        <v>188420</v>
      </c>
      <c r="BS7" t="n">
        <v>978190</v>
      </c>
      <c r="BT7" t="n">
        <v>415090</v>
      </c>
      <c r="BU7" t="n">
        <v>1905750</v>
      </c>
      <c r="BV7" t="n">
        <v>695500</v>
      </c>
      <c r="BW7" t="n">
        <v>819280</v>
      </c>
      <c r="BX7" t="n">
        <v>0</v>
      </c>
      <c r="BY7" t="n">
        <v>690867</v>
      </c>
      <c r="BZ7" t="n">
        <v>869052</v>
      </c>
      <c r="CA7" t="n">
        <v>628000</v>
      </c>
      <c r="CB7" t="n">
        <v>267500</v>
      </c>
      <c r="CC7" t="n">
        <v>386600</v>
      </c>
      <c r="CD7" t="n">
        <v>2213905</v>
      </c>
      <c r="CF7" t="n">
        <v>497700</v>
      </c>
      <c r="CG7" t="n">
        <v>60000</v>
      </c>
      <c r="CH7" t="n">
        <v>110000</v>
      </c>
      <c r="CI7" t="n">
        <v>30000</v>
      </c>
      <c r="CK7" t="n">
        <v>639150</v>
      </c>
      <c r="CL7" t="n">
        <v>150000</v>
      </c>
      <c r="CM7" t="n">
        <v>371250</v>
      </c>
      <c r="CO7" t="n">
        <v>20000</v>
      </c>
      <c r="CP7" t="n">
        <v>30000</v>
      </c>
      <c r="CQ7" t="n">
        <v>297500</v>
      </c>
      <c r="CR7">
        <f>SUM(BM7:CQ7)</f>
        <v/>
      </c>
      <c r="CS7" t="n">
        <v>207800</v>
      </c>
      <c r="CT7" t="n">
        <v>1097890</v>
      </c>
      <c r="CU7" t="n">
        <v>239500</v>
      </c>
      <c r="CV7" t="n">
        <v>309000</v>
      </c>
      <c r="CW7" t="n">
        <v>321750</v>
      </c>
      <c r="CX7" t="n">
        <v>575000</v>
      </c>
      <c r="CY7" t="n">
        <v>1965279</v>
      </c>
      <c r="CZ7" t="n">
        <v>332443</v>
      </c>
      <c r="DA7" t="n">
        <v>1588445</v>
      </c>
      <c r="DB7" t="n">
        <v>411500</v>
      </c>
      <c r="DC7" t="n">
        <v>1272170</v>
      </c>
      <c r="DD7" t="n">
        <v>203000</v>
      </c>
      <c r="DE7" t="n">
        <v>499243</v>
      </c>
      <c r="DF7" t="n">
        <v>587079</v>
      </c>
      <c r="DG7" t="n">
        <v>1108300</v>
      </c>
      <c r="DI7" t="n">
        <v>2337500</v>
      </c>
      <c r="DJ7" t="n">
        <v>658453</v>
      </c>
      <c r="DK7" t="n">
        <v>567000</v>
      </c>
      <c r="DL7" t="n">
        <v>979200</v>
      </c>
      <c r="DM7" t="n">
        <v>424350</v>
      </c>
      <c r="DN7" t="n">
        <v>2125700</v>
      </c>
      <c r="DO7" t="n">
        <v>290250</v>
      </c>
      <c r="DS7" t="n">
        <v>3644800</v>
      </c>
      <c r="DT7" t="n">
        <v>436500</v>
      </c>
      <c r="DV7" t="n">
        <v>509400</v>
      </c>
      <c r="DW7">
        <f>SUM(CS7:DV7)</f>
        <v/>
      </c>
      <c r="DX7" t="n">
        <v>1108003</v>
      </c>
      <c r="DY7" t="n">
        <v>1696000</v>
      </c>
      <c r="DZ7" t="n">
        <v>420000</v>
      </c>
      <c r="EA7" t="n">
        <v>100000</v>
      </c>
      <c r="EC7" t="n">
        <v>650000</v>
      </c>
      <c r="ED7" t="n">
        <v>888900</v>
      </c>
      <c r="EF7" t="n">
        <v>315250</v>
      </c>
      <c r="EG7" t="n">
        <v>103500</v>
      </c>
      <c r="EH7" t="n">
        <v>1035000</v>
      </c>
      <c r="EI7" t="n">
        <v>1548609</v>
      </c>
      <c r="EJ7" t="n">
        <v>647750</v>
      </c>
      <c r="EK7" t="n">
        <v>291000</v>
      </c>
      <c r="EL7" s="83" t="n">
        <v>1843000</v>
      </c>
      <c r="EM7" t="n">
        <v>681000</v>
      </c>
      <c r="EN7" t="n">
        <v>201000</v>
      </c>
      <c r="EO7" t="n">
        <v>160000</v>
      </c>
      <c r="EP7" t="n">
        <v>242500</v>
      </c>
      <c r="EQ7" t="n">
        <v>582000</v>
      </c>
      <c r="ER7" t="n">
        <v>1940000</v>
      </c>
      <c r="ES7" t="n">
        <v>100000</v>
      </c>
      <c r="EV7" t="n">
        <v>102960</v>
      </c>
      <c r="EW7" t="n">
        <v>32000</v>
      </c>
      <c r="FA7" t="n">
        <v>542500</v>
      </c>
      <c r="FB7" t="n">
        <v>339500</v>
      </c>
      <c r="FC7" s="128">
        <f>SUM(DX7:FB7)</f>
        <v/>
      </c>
      <c r="FD7" t="n">
        <v>339400</v>
      </c>
      <c r="FE7" t="n">
        <v>1661900</v>
      </c>
      <c r="FF7" t="n">
        <v>1812500</v>
      </c>
      <c r="FG7" t="n">
        <v>277000</v>
      </c>
      <c r="FI7" t="n">
        <v>1528900</v>
      </c>
      <c r="FJ7" t="n">
        <v>194000</v>
      </c>
      <c r="FK7" t="n">
        <v>194000</v>
      </c>
      <c r="FL7" t="n">
        <v>545362</v>
      </c>
      <c r="FO7" t="n">
        <v>2449250</v>
      </c>
      <c r="FQ7" t="n">
        <v>194000</v>
      </c>
      <c r="FR7" t="n">
        <v>1908250</v>
      </c>
      <c r="FS7" t="n">
        <v>0</v>
      </c>
      <c r="FT7" t="n">
        <v>175000</v>
      </c>
      <c r="FU7" t="n">
        <v>315250</v>
      </c>
      <c r="FW7" t="n">
        <v>100000</v>
      </c>
      <c r="FX7" t="n">
        <v>214750</v>
      </c>
      <c r="FZ7" t="n">
        <v>2677867</v>
      </c>
      <c r="GB7" t="n">
        <v>127000</v>
      </c>
      <c r="GC7" t="n">
        <v>205000</v>
      </c>
      <c r="GD7" t="n">
        <v>1727380</v>
      </c>
      <c r="GF7" t="n">
        <v>318250</v>
      </c>
      <c r="GG7" t="n">
        <v>1600000</v>
      </c>
      <c r="GH7" t="n">
        <v>339500</v>
      </c>
      <c r="GI7" s="83">
        <f>SUM(FD7:GH7)</f>
        <v/>
      </c>
      <c r="GJ7" t="n">
        <v>1635200</v>
      </c>
      <c r="GK7" t="n">
        <v>1623530</v>
      </c>
      <c r="GL7" t="n">
        <v>5290</v>
      </c>
      <c r="GM7" t="n">
        <v>890982</v>
      </c>
      <c r="GN7" t="n">
        <v>1050900</v>
      </c>
      <c r="GO7" t="n">
        <v>582500</v>
      </c>
      <c r="GP7" t="n">
        <v>1996700</v>
      </c>
      <c r="GQ7" t="n">
        <v>528969</v>
      </c>
      <c r="GR7" t="n">
        <v>342307</v>
      </c>
      <c r="GS7" t="n">
        <v>2002500</v>
      </c>
      <c r="GT7" t="n">
        <v>262500</v>
      </c>
      <c r="GU7" t="n">
        <v>324950</v>
      </c>
      <c r="GV7" t="n">
        <v>100000</v>
      </c>
      <c r="GW7" t="n">
        <v>1982400</v>
      </c>
      <c r="GX7" t="n">
        <v>349200</v>
      </c>
      <c r="GY7" t="n">
        <v>291000</v>
      </c>
      <c r="GZ7" t="n">
        <v>720000</v>
      </c>
      <c r="HA7" t="n">
        <v>100000</v>
      </c>
      <c r="HB7" t="n">
        <v>1700500</v>
      </c>
      <c r="HC7" t="n">
        <v>642350</v>
      </c>
      <c r="HD7" t="n">
        <v>258550</v>
      </c>
      <c r="HE7" t="n">
        <v>200000</v>
      </c>
      <c r="HF7" t="n">
        <v>197000</v>
      </c>
      <c r="HG7" t="n">
        <v>2282500</v>
      </c>
      <c r="HI7" t="n">
        <v>955515</v>
      </c>
      <c r="HK7" t="n">
        <v>420500</v>
      </c>
      <c r="HL7" t="n">
        <v>927000</v>
      </c>
      <c r="HM7" s="133">
        <f>SUM(GJ7:HL7)</f>
        <v/>
      </c>
      <c r="HN7" t="n">
        <v>1939453</v>
      </c>
      <c r="HO7" t="n">
        <v>388000</v>
      </c>
      <c r="HP7" t="n">
        <v>1000000</v>
      </c>
      <c r="HQ7" t="n">
        <v>2589326</v>
      </c>
      <c r="HR7" t="n">
        <v>1164150</v>
      </c>
      <c r="HS7" t="n">
        <v>50000</v>
      </c>
      <c r="HT7" t="n">
        <v>366750</v>
      </c>
      <c r="HU7" t="n">
        <v>777864</v>
      </c>
      <c r="HV7" t="n">
        <v>2513650</v>
      </c>
      <c r="HW7" t="n">
        <v>0</v>
      </c>
      <c r="HX7" t="n">
        <v>1290000</v>
      </c>
      <c r="HY7" t="n">
        <v>0</v>
      </c>
      <c r="HZ7" t="n">
        <v>250000</v>
      </c>
      <c r="IA7" t="n">
        <v>1287337</v>
      </c>
      <c r="IB7" t="n">
        <v>452250</v>
      </c>
      <c r="IC7" t="n">
        <v>299000</v>
      </c>
      <c r="ID7" t="n">
        <v>398500</v>
      </c>
      <c r="IE7" t="n">
        <v>1478000</v>
      </c>
      <c r="IF7" t="n">
        <v>1232000</v>
      </c>
      <c r="IG7" t="n">
        <v>399530</v>
      </c>
      <c r="IH7" t="n">
        <v>2235450</v>
      </c>
      <c r="II7" t="n">
        <v>321000</v>
      </c>
      <c r="IJ7" t="n">
        <v>97000</v>
      </c>
      <c r="IK7" t="n">
        <v>0</v>
      </c>
      <c r="IL7" t="n">
        <v>1466000</v>
      </c>
      <c r="IM7" t="n">
        <v>441000</v>
      </c>
      <c r="IN7" t="n">
        <v>224217</v>
      </c>
      <c r="IO7" t="n">
        <v>250000</v>
      </c>
      <c r="IP7" t="n">
        <v>1700000</v>
      </c>
      <c r="IQ7" t="n">
        <v>740000</v>
      </c>
      <c r="IR7" t="n">
        <v>100000</v>
      </c>
      <c r="IS7" s="133">
        <f>SUM(HN7:IR7)</f>
        <v/>
      </c>
      <c r="IT7" t="n">
        <v>1370750</v>
      </c>
      <c r="IU7" t="n">
        <v>2598808</v>
      </c>
      <c r="IV7" t="n">
        <v>280000</v>
      </c>
      <c r="IW7" t="n">
        <v>1728964</v>
      </c>
      <c r="IX7" t="n">
        <v>2065142</v>
      </c>
      <c r="IY7" t="n">
        <v>618807</v>
      </c>
      <c r="IZ7" t="n">
        <v>30000</v>
      </c>
      <c r="JA7" t="n">
        <v>2619750</v>
      </c>
      <c r="JB7" t="n">
        <v>304700</v>
      </c>
      <c r="JC7" t="n">
        <v>200000</v>
      </c>
      <c r="JD7" t="n">
        <v>70000</v>
      </c>
      <c r="JE7" t="n">
        <v>394450</v>
      </c>
      <c r="JF7" t="n">
        <v>3379965</v>
      </c>
      <c r="JG7" t="n">
        <v>314000</v>
      </c>
      <c r="JH7" t="n">
        <v>400000</v>
      </c>
      <c r="JJ7" t="n">
        <v>2287842</v>
      </c>
      <c r="JK7" t="n">
        <v>250000</v>
      </c>
      <c r="JL7" t="n">
        <v>539900</v>
      </c>
      <c r="JO7" t="n">
        <v>3443300</v>
      </c>
      <c r="JP7" t="n">
        <v>274450</v>
      </c>
      <c r="JQ7" t="n">
        <v>138000</v>
      </c>
      <c r="JR7" t="n">
        <v>444000</v>
      </c>
      <c r="JS7" t="n">
        <v>784362</v>
      </c>
      <c r="JV7" t="n">
        <v>1050000</v>
      </c>
      <c r="JW7" t="n">
        <v>294400</v>
      </c>
      <c r="JX7" s="133">
        <f>SUM(IT7:JW7)</f>
        <v/>
      </c>
      <c r="JY7" t="n">
        <v>284720</v>
      </c>
      <c r="JZ7" t="n">
        <v>1495000</v>
      </c>
      <c r="KA7" t="n">
        <v>1295306</v>
      </c>
      <c r="KB7" t="n">
        <v>45000</v>
      </c>
      <c r="KC7" t="n">
        <v>50000</v>
      </c>
      <c r="KD7" t="n">
        <v>429969</v>
      </c>
      <c r="KE7" t="n">
        <v>655662</v>
      </c>
      <c r="KF7" t="n">
        <v>0</v>
      </c>
      <c r="KG7" t="n">
        <v>787344</v>
      </c>
      <c r="KH7" t="n">
        <v>295991</v>
      </c>
      <c r="KI7" t="n">
        <v>244500</v>
      </c>
      <c r="KJ7" t="n">
        <v>0</v>
      </c>
      <c r="KK7" t="n">
        <v>5797650</v>
      </c>
      <c r="KL7" t="n">
        <v>86050</v>
      </c>
      <c r="KM7" t="n">
        <v>714807</v>
      </c>
      <c r="KN7" t="n">
        <v>408769</v>
      </c>
      <c r="KO7" t="n">
        <v>322740</v>
      </c>
      <c r="KP7" t="n">
        <v>11000</v>
      </c>
      <c r="KR7" t="n">
        <v>951357</v>
      </c>
      <c r="KS7" t="n">
        <v>39120</v>
      </c>
      <c r="KT7" t="n">
        <v>1583170</v>
      </c>
      <c r="KU7" t="n">
        <v>900184</v>
      </c>
      <c r="KV7" t="n">
        <v>416970</v>
      </c>
      <c r="KW7" t="n">
        <v>600000</v>
      </c>
      <c r="KX7" t="n">
        <v>65120</v>
      </c>
      <c r="KY7" t="n">
        <v>298240</v>
      </c>
      <c r="KZ7" t="n">
        <v>643266</v>
      </c>
      <c r="LA7" t="n">
        <v>914539</v>
      </c>
      <c r="LB7" t="n">
        <v>505000</v>
      </c>
      <c r="LC7" t="n">
        <v>444350</v>
      </c>
      <c r="LD7" s="133">
        <f>SUM(JY7:LC7)</f>
        <v/>
      </c>
      <c r="LE7" t="n">
        <v>1045950</v>
      </c>
      <c r="LF7" t="n">
        <v>203700</v>
      </c>
      <c r="LG7" t="n">
        <v>753064</v>
      </c>
      <c r="LH7" t="n">
        <v>1217460</v>
      </c>
      <c r="LI7" t="n">
        <v>281620</v>
      </c>
      <c r="LJ7" t="n">
        <v>38800</v>
      </c>
      <c r="LK7" t="n">
        <v>556750</v>
      </c>
      <c r="LL7" t="n">
        <v>541392</v>
      </c>
      <c r="LM7" t="n">
        <v>38800</v>
      </c>
      <c r="LN7" t="n">
        <v>160050</v>
      </c>
      <c r="LO7" t="n">
        <v>742853</v>
      </c>
      <c r="LP7" t="n">
        <v>792050</v>
      </c>
      <c r="LQ7" t="n">
        <v>244997</v>
      </c>
      <c r="LR7" t="n">
        <v>77600</v>
      </c>
      <c r="LS7" t="n">
        <v>581750</v>
      </c>
      <c r="LU7" t="n">
        <v>567262</v>
      </c>
      <c r="LV7" t="n">
        <v>767864</v>
      </c>
      <c r="LW7" t="n">
        <v>38800</v>
      </c>
      <c r="LX7" t="n">
        <v>631125</v>
      </c>
      <c r="LY7" t="n">
        <v>660820</v>
      </c>
      <c r="LZ7" t="n">
        <v>138800</v>
      </c>
      <c r="MA7" t="n">
        <v>90000</v>
      </c>
      <c r="MD7" t="n">
        <v>578862</v>
      </c>
      <c r="ME7" t="n">
        <v>40000</v>
      </c>
      <c r="MF7" t="n">
        <v>454500</v>
      </c>
      <c r="MG7" t="n">
        <v>66500</v>
      </c>
      <c r="MH7" t="n">
        <v>665660</v>
      </c>
      <c r="MI7" s="133">
        <f>SUM(LD7:MH7)</f>
        <v/>
      </c>
      <c r="MJ7" t="n">
        <v>720950</v>
      </c>
      <c r="MK7" t="n">
        <v>533550</v>
      </c>
      <c r="ML7" t="n">
        <v>92900</v>
      </c>
      <c r="MN7" t="n">
        <v>370450</v>
      </c>
      <c r="MO7" t="n">
        <v>40000</v>
      </c>
      <c r="MP7" t="n">
        <v>626682</v>
      </c>
      <c r="MQ7" t="n">
        <v>290950</v>
      </c>
      <c r="MR7" t="n">
        <v>310000</v>
      </c>
      <c r="MS7" t="n">
        <v>273430</v>
      </c>
      <c r="MT7" t="n">
        <v>478000</v>
      </c>
      <c r="MU7" t="n">
        <v>40000</v>
      </c>
      <c r="MV7" t="n">
        <v>559000</v>
      </c>
      <c r="MW7" t="n">
        <v>126000</v>
      </c>
      <c r="MX7" t="n">
        <v>110000</v>
      </c>
      <c r="MY7" t="n">
        <v>330950</v>
      </c>
      <c r="MZ7" t="n">
        <v>90000</v>
      </c>
      <c r="NA7" t="n">
        <v>360725</v>
      </c>
      <c r="NB7" t="n">
        <v>742262</v>
      </c>
      <c r="ND7" t="n">
        <v>440000</v>
      </c>
      <c r="NE7" t="n">
        <v>493750</v>
      </c>
      <c r="NF7" t="n">
        <v>40000</v>
      </c>
      <c r="NH7" t="n">
        <v>20000</v>
      </c>
      <c r="NI7" t="n">
        <v>531502</v>
      </c>
      <c r="NJ7" t="n">
        <v>400000</v>
      </c>
      <c r="NL7" t="n">
        <v>299842</v>
      </c>
      <c r="NM7" t="n">
        <v>20000</v>
      </c>
      <c r="NN7" t="n">
        <v>322338</v>
      </c>
      <c r="NO7" s="133">
        <f>SUM(MJ7:NN7)</f>
        <v/>
      </c>
      <c r="NQ7" t="n">
        <v>686000</v>
      </c>
      <c r="NR7" t="n">
        <v>190000</v>
      </c>
      <c r="NS7" t="n">
        <v>65000</v>
      </c>
      <c r="NU7" t="n">
        <v>340042</v>
      </c>
      <c r="NV7" t="n">
        <v>373250</v>
      </c>
      <c r="NW7" t="n">
        <v>970416</v>
      </c>
      <c r="NX7" t="n">
        <v>537026</v>
      </c>
      <c r="NZ7" t="n">
        <v>209708</v>
      </c>
      <c r="OA7" t="n">
        <v>330000</v>
      </c>
      <c r="OB7" t="n">
        <v>412362</v>
      </c>
      <c r="OC7" t="n">
        <v>106000</v>
      </c>
      <c r="OD7" t="n">
        <v>30000</v>
      </c>
      <c r="OE7" t="n">
        <v>260000</v>
      </c>
      <c r="OF7" t="n">
        <v>100000</v>
      </c>
      <c r="OG7" t="n">
        <v>412322</v>
      </c>
      <c r="OI7" t="n">
        <v>528576</v>
      </c>
      <c r="OJ7" t="n">
        <v>343638</v>
      </c>
      <c r="OK7" t="n">
        <v>480000</v>
      </c>
      <c r="OL7" t="n">
        <v>361283</v>
      </c>
      <c r="ON7" t="n">
        <v>40000</v>
      </c>
      <c r="OO7" t="n">
        <v>1327250</v>
      </c>
      <c r="OP7" t="n">
        <v>78473</v>
      </c>
      <c r="OQ7" t="n">
        <v>806597</v>
      </c>
      <c r="OR7" t="n">
        <v>210000</v>
      </c>
      <c r="OS7" t="n">
        <v>100000</v>
      </c>
      <c r="OT7" t="n">
        <v>3633399</v>
      </c>
      <c r="OU7" s="133">
        <f>SUM(NP7:OT7)</f>
        <v/>
      </c>
      <c r="OW7" t="n">
        <v>2543563</v>
      </c>
      <c r="OX7" t="n">
        <v>247490</v>
      </c>
      <c r="OY7" t="n">
        <v>158000</v>
      </c>
      <c r="OZ7" t="n">
        <v>518499</v>
      </c>
      <c r="PA7" t="n">
        <v>1500118</v>
      </c>
      <c r="PB7">
        <f>1187250+295000</f>
        <v/>
      </c>
      <c r="PC7" t="n">
        <v>629880</v>
      </c>
      <c r="PD7" t="n">
        <v>822399</v>
      </c>
      <c r="PE7" t="n">
        <v>522900</v>
      </c>
      <c r="PF7" t="n">
        <v>899840</v>
      </c>
      <c r="PG7" t="n">
        <v>1124754</v>
      </c>
      <c r="PH7" t="n">
        <v>654980</v>
      </c>
      <c r="PI7" t="n">
        <v>80000</v>
      </c>
      <c r="PJ7" t="n">
        <v>40000</v>
      </c>
      <c r="PK7" t="n">
        <v>926765</v>
      </c>
      <c r="PL7" t="n">
        <v>1141526</v>
      </c>
      <c r="PM7" t="n">
        <v>40000</v>
      </c>
      <c r="PN7" t="n">
        <v>1485700</v>
      </c>
      <c r="PO7" t="n">
        <v>1206446</v>
      </c>
      <c r="PP7" t="n">
        <v>475450</v>
      </c>
      <c r="PQ7" t="n">
        <v>400000</v>
      </c>
      <c r="PR7" t="n">
        <v>300000</v>
      </c>
      <c r="PS7" t="n">
        <v>401195</v>
      </c>
      <c r="PT7" t="n">
        <v>450000</v>
      </c>
      <c r="PU7" t="n">
        <v>120000</v>
      </c>
      <c r="PV7" t="n">
        <v>533278</v>
      </c>
      <c r="PW7" t="n">
        <v>1995975</v>
      </c>
      <c r="PX7" t="n">
        <v>60000</v>
      </c>
      <c r="PY7" t="n">
        <v>1304631</v>
      </c>
      <c r="PZ7" s="133">
        <f>SUM(OV7:PY7)</f>
        <v/>
      </c>
      <c r="QA7" t="n">
        <v>410000</v>
      </c>
      <c r="QB7" t="n">
        <v>715450</v>
      </c>
      <c r="QC7" t="n">
        <v>449960</v>
      </c>
      <c r="QD7" t="n">
        <v>1932110</v>
      </c>
      <c r="QE7" t="n">
        <v>460000</v>
      </c>
      <c r="QF7" t="n">
        <v>60000</v>
      </c>
      <c r="QG7" t="n">
        <v>725450</v>
      </c>
      <c r="QH7" t="n">
        <v>90000</v>
      </c>
      <c r="QI7" t="n">
        <v>433373</v>
      </c>
      <c r="QJ7" t="n">
        <v>537920</v>
      </c>
      <c r="QK7" t="n">
        <v>436000</v>
      </c>
      <c r="QL7" t="n">
        <v>1530677</v>
      </c>
      <c r="QM7" t="n">
        <v>1052887</v>
      </c>
      <c r="QN7" t="n">
        <v>2567539</v>
      </c>
      <c r="QO7" t="n">
        <v>110000</v>
      </c>
      <c r="QP7" t="n">
        <v>2186686</v>
      </c>
      <c r="QQ7" t="n">
        <v>569237</v>
      </c>
      <c r="QR7" t="n">
        <v>1416890</v>
      </c>
      <c r="QS7" t="n">
        <v>989800</v>
      </c>
      <c r="QT7" t="n">
        <v>841812</v>
      </c>
      <c r="QU7" t="n">
        <v>239148</v>
      </c>
      <c r="QV7" t="n">
        <v>363000</v>
      </c>
      <c r="QW7" t="n">
        <v>231980</v>
      </c>
      <c r="QX7" t="n">
        <v>4751544</v>
      </c>
      <c r="QY7" t="n">
        <v>684049</v>
      </c>
      <c r="QZ7" t="n">
        <v>835000</v>
      </c>
      <c r="RA7" t="n">
        <v>308346</v>
      </c>
      <c r="RB7" t="n">
        <v>1244769</v>
      </c>
      <c r="RC7" t="n">
        <v>1543000</v>
      </c>
      <c r="RD7" t="n">
        <v>528346</v>
      </c>
      <c r="RE7" t="n">
        <v>859703</v>
      </c>
      <c r="RF7" s="133">
        <f>SUM(QA7:RE7)</f>
        <v/>
      </c>
      <c r="RG7" t="n">
        <v>140000</v>
      </c>
      <c r="RH7" t="n">
        <v>110000</v>
      </c>
      <c r="RI7" t="n">
        <v>462945</v>
      </c>
      <c r="RJ7" t="n">
        <v>3063297</v>
      </c>
      <c r="RK7" t="n">
        <v>165000</v>
      </c>
      <c r="RL7" t="n">
        <v>256980</v>
      </c>
      <c r="RM7" t="n">
        <v>854148</v>
      </c>
      <c r="RN7" t="n">
        <v>566843</v>
      </c>
      <c r="RO7" t="n">
        <v>794295</v>
      </c>
      <c r="RP7" t="n">
        <v>351380</v>
      </c>
      <c r="RQ7" t="n">
        <v>1224500</v>
      </c>
      <c r="RR7" t="n">
        <v>835300</v>
      </c>
      <c r="RS7" t="n">
        <v>754395</v>
      </c>
      <c r="RT7" t="n">
        <v>1716390</v>
      </c>
      <c r="RU7" t="n">
        <v>1095020</v>
      </c>
      <c r="RV7" t="n">
        <v>1842967</v>
      </c>
      <c r="RW7" t="n">
        <v>1287365</v>
      </c>
      <c r="RX7" t="n">
        <v>645860</v>
      </c>
      <c r="RY7" t="n">
        <v>501228</v>
      </c>
      <c r="RZ7" t="n">
        <v>590000</v>
      </c>
      <c r="SA7" t="n">
        <v>956660</v>
      </c>
      <c r="SB7" t="n">
        <v>197800</v>
      </c>
      <c r="SC7" t="n">
        <v>194100</v>
      </c>
      <c r="SD7" t="n">
        <v>372670</v>
      </c>
      <c r="SE7" t="n">
        <v>457600</v>
      </c>
      <c r="SF7" t="n">
        <v>1062779</v>
      </c>
      <c r="SG7" t="n">
        <v>338000</v>
      </c>
      <c r="SH7" t="n">
        <v>1980900</v>
      </c>
      <c r="SJ7" t="n">
        <v>374764</v>
      </c>
      <c r="SK7" s="133">
        <f>SUM(RG7:SJ7)</f>
        <v/>
      </c>
      <c r="SL7" t="n">
        <v>827000</v>
      </c>
      <c r="SM7" t="n">
        <v>2147199</v>
      </c>
      <c r="SN7" t="n">
        <v>417568</v>
      </c>
      <c r="SO7" t="n">
        <v>1968000</v>
      </c>
      <c r="SP7" t="n">
        <v>250000</v>
      </c>
      <c r="SQ7" t="n">
        <v>60000</v>
      </c>
      <c r="SR7" t="n">
        <v>907600</v>
      </c>
      <c r="SS7" t="n">
        <v>518950</v>
      </c>
      <c r="ST7" t="n">
        <v>1888000</v>
      </c>
      <c r="SU7" t="n">
        <v>60000</v>
      </c>
      <c r="SV7" t="n">
        <v>368510</v>
      </c>
      <c r="SW7" t="n">
        <v>956000</v>
      </c>
      <c r="SX7" t="n">
        <v>409984</v>
      </c>
      <c r="SY7" t="n">
        <v>729050</v>
      </c>
      <c r="SZ7" t="n">
        <v>1108900</v>
      </c>
      <c r="TA7" t="n">
        <v>2410440</v>
      </c>
      <c r="TB7" t="n">
        <v>200000</v>
      </c>
      <c r="TC7" t="n">
        <v>326500</v>
      </c>
      <c r="TD7" t="n">
        <v>1186910</v>
      </c>
      <c r="TE7" t="n">
        <v>60000</v>
      </c>
      <c r="TF7" t="n">
        <v>717000</v>
      </c>
      <c r="TG7" t="n">
        <v>558400</v>
      </c>
      <c r="TH7" t="n">
        <v>760000</v>
      </c>
      <c r="TI7" t="n">
        <v>777940</v>
      </c>
      <c r="TL7" t="n">
        <v>160000</v>
      </c>
      <c r="TM7" t="n">
        <v>199900</v>
      </c>
      <c r="TN7" t="n">
        <v>304500</v>
      </c>
      <c r="TO7" t="n">
        <v>80000</v>
      </c>
      <c r="TP7" t="n">
        <v>0</v>
      </c>
      <c r="TQ7" s="133">
        <f>SUM(SL7:TP7)</f>
        <v/>
      </c>
      <c r="TR7" t="n">
        <v>468950</v>
      </c>
      <c r="TS7" t="n">
        <v>60000</v>
      </c>
      <c r="TT7" t="n">
        <v>300000</v>
      </c>
      <c r="TU7" t="n">
        <v>40000</v>
      </c>
      <c r="TV7" t="n">
        <v>775950</v>
      </c>
      <c r="TW7" t="n">
        <v>523400</v>
      </c>
      <c r="TX7" t="n">
        <v>954000</v>
      </c>
      <c r="TY7" t="n">
        <v>1832950</v>
      </c>
      <c r="TZ7" t="n">
        <v>150000</v>
      </c>
      <c r="UA7" t="n">
        <v>187200</v>
      </c>
      <c r="UB7" t="n">
        <v>90000</v>
      </c>
      <c r="UC7" t="n">
        <v>618520</v>
      </c>
      <c r="UD7" t="n">
        <v>2267950</v>
      </c>
      <c r="UE7" t="n">
        <v>568950</v>
      </c>
      <c r="UF7" t="n">
        <v>100000</v>
      </c>
      <c r="UG7" t="n">
        <v>537970</v>
      </c>
      <c r="UH7" t="n">
        <v>680430</v>
      </c>
      <c r="UI7" t="n">
        <v>175000</v>
      </c>
      <c r="UJ7" t="n">
        <v>328950</v>
      </c>
      <c r="UK7" t="n">
        <v>80000</v>
      </c>
      <c r="UL7" t="n">
        <v>1110000</v>
      </c>
      <c r="UM7" t="n">
        <v>801773</v>
      </c>
      <c r="UN7" t="n">
        <v>517400</v>
      </c>
      <c r="UO7" t="n">
        <v>595000</v>
      </c>
      <c r="UP7" t="n">
        <v>950000</v>
      </c>
      <c r="UQ7" t="n">
        <v>700000</v>
      </c>
      <c r="UR7" t="n">
        <v>2192720</v>
      </c>
      <c r="US7" t="n">
        <v>810000</v>
      </c>
      <c r="UT7" t="n">
        <v>40000</v>
      </c>
      <c r="UU7" t="n">
        <v>1153302</v>
      </c>
      <c r="UV7" t="n">
        <v>60000</v>
      </c>
      <c r="UW7" s="133">
        <f>SUM(TR7:UV7)</f>
        <v/>
      </c>
      <c r="UX7" t="n">
        <v>868950</v>
      </c>
      <c r="UY7" t="n">
        <v>569978</v>
      </c>
      <c r="UZ7" t="n">
        <v>2949203</v>
      </c>
      <c r="VA7" t="n">
        <v>449435</v>
      </c>
      <c r="VB7" t="n">
        <v>813840</v>
      </c>
      <c r="VC7" t="n">
        <v>195000</v>
      </c>
      <c r="VD7" t="n">
        <v>1411762</v>
      </c>
      <c r="VE7" t="n">
        <v>1353000</v>
      </c>
      <c r="VF7" t="n">
        <v>830063</v>
      </c>
      <c r="VG7" t="n">
        <v>860445</v>
      </c>
      <c r="VH7" t="n">
        <v>3250110</v>
      </c>
      <c r="VI7" t="n">
        <v>350120</v>
      </c>
      <c r="VJ7" t="n">
        <v>774344</v>
      </c>
      <c r="VK7" t="n">
        <v>451060</v>
      </c>
      <c r="VL7" t="n">
        <v>455000</v>
      </c>
      <c r="VM7" t="n">
        <v>777000</v>
      </c>
      <c r="VN7" t="n">
        <v>350000</v>
      </c>
      <c r="VO7" t="n">
        <v>269445</v>
      </c>
      <c r="VP7" t="n">
        <v>1776000</v>
      </c>
      <c r="VQ7" t="n">
        <v>368010</v>
      </c>
      <c r="VR7" t="n">
        <v>550000</v>
      </c>
      <c r="VS7" t="n">
        <v>765000</v>
      </c>
      <c r="VT7" t="n">
        <v>795700</v>
      </c>
      <c r="VU7" t="n">
        <v>27060</v>
      </c>
      <c r="VV7" t="n">
        <v>2875605</v>
      </c>
      <c r="VW7" t="n">
        <v>125000</v>
      </c>
      <c r="VX7" t="n">
        <v>2170000</v>
      </c>
      <c r="VY7" t="n">
        <v>70000</v>
      </c>
      <c r="VZ7" s="133">
        <f>SUM(UX7:VY7)</f>
        <v/>
      </c>
      <c r="WA7" t="n">
        <v>632000</v>
      </c>
      <c r="WB7" t="n">
        <v>960250</v>
      </c>
      <c r="WC7" t="n">
        <v>3445412</v>
      </c>
      <c r="WD7" t="n">
        <v>1287292</v>
      </c>
      <c r="WE7" t="n">
        <v>1135960</v>
      </c>
      <c r="WF7" t="n">
        <v>127000</v>
      </c>
      <c r="WG7" t="n">
        <v>755492</v>
      </c>
      <c r="WH7" t="n">
        <v>2182000</v>
      </c>
      <c r="WI7" t="n">
        <v>617778</v>
      </c>
      <c r="WJ7" t="n">
        <v>1300000</v>
      </c>
      <c r="WK7" t="n">
        <v>2208460</v>
      </c>
      <c r="WL7" t="n">
        <v>557500</v>
      </c>
      <c r="WM7" t="n">
        <v>1542883</v>
      </c>
      <c r="WN7" t="n">
        <v>1628000</v>
      </c>
      <c r="WO7" t="n">
        <v>967000</v>
      </c>
      <c r="WP7" t="n">
        <v>801650</v>
      </c>
      <c r="WQ7" t="n">
        <v>1458700</v>
      </c>
      <c r="WR7" t="n">
        <v>90000</v>
      </c>
      <c r="WS7" t="n">
        <v>931970</v>
      </c>
      <c r="WT7" t="n">
        <v>110000</v>
      </c>
      <c r="WU7" t="n">
        <v>2466570</v>
      </c>
      <c r="WV7" t="n">
        <v>355000</v>
      </c>
      <c r="WW7" t="n">
        <v>1188248</v>
      </c>
      <c r="WX7" t="n">
        <v>1045000</v>
      </c>
      <c r="XB7" t="n">
        <v>250000</v>
      </c>
      <c r="XF7" s="133">
        <f>SUM(WA7:XE7)</f>
        <v/>
      </c>
      <c r="XG7" t="n">
        <v>0</v>
      </c>
      <c r="XH7" t="n">
        <v>0</v>
      </c>
      <c r="XI7" t="n">
        <v>0</v>
      </c>
      <c r="XL7" t="n">
        <v>0</v>
      </c>
      <c r="XN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56000</v>
      </c>
      <c r="XW7" t="n">
        <v>200000</v>
      </c>
      <c r="XX7" t="n">
        <v>300000</v>
      </c>
      <c r="XY7" t="n">
        <v>255750</v>
      </c>
      <c r="XZ7" t="n">
        <v>465000</v>
      </c>
      <c r="YA7" t="n">
        <v>190000</v>
      </c>
      <c r="YB7" t="n">
        <v>490972</v>
      </c>
      <c r="YC7" t="n">
        <v>558422</v>
      </c>
      <c r="YD7" t="n">
        <v>398245</v>
      </c>
      <c r="YE7" t="n">
        <v>383000</v>
      </c>
      <c r="YF7" t="n">
        <v>40000</v>
      </c>
      <c r="YH7" t="n">
        <v>479000</v>
      </c>
      <c r="YJ7" t="n">
        <v>566000</v>
      </c>
      <c r="YK7" s="133">
        <f>SUM(XG7:YJ7)</f>
        <v/>
      </c>
      <c r="YL7" t="n">
        <v>1935000</v>
      </c>
      <c r="YM7" t="n">
        <v>326555</v>
      </c>
      <c r="YN7" t="n">
        <v>200000</v>
      </c>
      <c r="YO7" t="n">
        <v>1177000</v>
      </c>
      <c r="YP7" t="n">
        <v>1541000</v>
      </c>
      <c r="YQ7" t="n">
        <v>792412</v>
      </c>
      <c r="YR7" t="n">
        <v>1301060</v>
      </c>
      <c r="YS7" t="n">
        <v>0</v>
      </c>
      <c r="YT7" t="n">
        <v>1495000</v>
      </c>
      <c r="YU7" t="n">
        <v>1037200</v>
      </c>
      <c r="YV7" t="n">
        <v>645200</v>
      </c>
      <c r="YW7" t="n">
        <v>1530988</v>
      </c>
      <c r="YY7" t="n">
        <v>30000</v>
      </c>
      <c r="ZA7" t="n">
        <v>922500</v>
      </c>
      <c r="ZB7" t="n">
        <v>310000</v>
      </c>
      <c r="ZC7" t="n">
        <v>915000</v>
      </c>
      <c r="ZD7" t="n">
        <v>923614</v>
      </c>
      <c r="ZE7" t="n">
        <v>333900</v>
      </c>
      <c r="ZF7" t="n">
        <v>1053000</v>
      </c>
      <c r="ZG7" t="n">
        <v>0</v>
      </c>
      <c r="ZI7" t="n">
        <v>1162900</v>
      </c>
      <c r="ZK7" t="n">
        <v>100000</v>
      </c>
      <c r="ZL7" t="n">
        <v>60000</v>
      </c>
      <c r="ZM7" t="n">
        <v>250000</v>
      </c>
      <c r="ZN7" t="n">
        <v>830096</v>
      </c>
      <c r="ZO7" t="n">
        <v>941268</v>
      </c>
      <c r="ZQ7" s="133">
        <f>SUM(YM7:ZP7)</f>
        <v/>
      </c>
      <c r="ZR7" t="n">
        <v>3040750</v>
      </c>
      <c r="ZS7" t="n">
        <v>930000</v>
      </c>
      <c r="ZT7" t="n">
        <v>426057</v>
      </c>
      <c r="ZU7" t="n">
        <v>265000</v>
      </c>
      <c r="ZV7" t="n">
        <v>1079760</v>
      </c>
      <c r="ZW7" t="n">
        <v>80000</v>
      </c>
      <c r="ZX7" t="n">
        <v>420850</v>
      </c>
      <c r="ZY7" t="n">
        <v>70000</v>
      </c>
      <c r="ZZ7" t="n">
        <v>670000</v>
      </c>
      <c r="AAA7" t="n">
        <v>4301250</v>
      </c>
      <c r="AAB7" t="n">
        <v>2526714</v>
      </c>
      <c r="AAC7" t="n">
        <v>293000</v>
      </c>
      <c r="AAD7" t="n">
        <v>367564</v>
      </c>
      <c r="AAE7" t="n">
        <v>360000</v>
      </c>
      <c r="AAF7" t="n">
        <v>1025000</v>
      </c>
      <c r="AAG7" t="n">
        <v>80000</v>
      </c>
      <c r="AAH7" t="n">
        <v>200000</v>
      </c>
      <c r="AAI7" t="n">
        <v>400000</v>
      </c>
      <c r="AAJ7" t="n">
        <v>1410400</v>
      </c>
      <c r="AAK7" t="n">
        <v>1265900</v>
      </c>
      <c r="AAL7" t="n">
        <v>1804000</v>
      </c>
      <c r="AAM7" t="n">
        <v>406117</v>
      </c>
      <c r="AAN7" t="n">
        <v>287000</v>
      </c>
      <c r="AAO7" t="n">
        <v>250000</v>
      </c>
      <c r="AAP7" t="n">
        <v>110000</v>
      </c>
      <c r="AAS7" t="n">
        <v>873000</v>
      </c>
      <c r="AAV7" s="133">
        <f>SUM(ZR7:AAU7)</f>
        <v/>
      </c>
      <c r="AAW7" t="n">
        <v>68000</v>
      </c>
      <c r="AAX7" t="n">
        <v>160000</v>
      </c>
      <c r="AAY7" t="n">
        <v>867800</v>
      </c>
      <c r="ABA7" t="n">
        <v>2025877</v>
      </c>
      <c r="ABB7" t="n">
        <v>543005</v>
      </c>
      <c r="ABD7" t="n">
        <v>300000</v>
      </c>
      <c r="ABE7" t="n">
        <v>423661</v>
      </c>
      <c r="ABG7" t="n">
        <v>772000</v>
      </c>
      <c r="ABH7" t="n">
        <v>1333000</v>
      </c>
      <c r="ABI7" t="n">
        <v>140000</v>
      </c>
      <c r="ABJ7" t="n">
        <v>0</v>
      </c>
      <c r="ABK7" t="n">
        <v>309051</v>
      </c>
      <c r="ABN7" t="n">
        <v>571402</v>
      </c>
      <c r="ABO7" t="n">
        <v>1270977</v>
      </c>
      <c r="ABP7" t="n">
        <v>159000</v>
      </c>
      <c r="ABQ7" t="n">
        <v>20000</v>
      </c>
      <c r="ABR7" t="n">
        <v>72700</v>
      </c>
      <c r="ABS7" t="n">
        <v>672904</v>
      </c>
      <c r="ABU7" t="n">
        <v>379000</v>
      </c>
      <c r="ABV7" t="n">
        <v>1152500</v>
      </c>
      <c r="ABZ7" t="n">
        <v>111427</v>
      </c>
      <c r="ACB7" s="133">
        <f>SUM(AAX7:ACA7)</f>
        <v/>
      </c>
      <c r="ACC7" t="n">
        <v>314450</v>
      </c>
      <c r="ACD7" t="n">
        <v>1046800</v>
      </c>
      <c r="ACE7" t="n">
        <v>100000</v>
      </c>
      <c r="ACF7" t="n">
        <v>872000</v>
      </c>
      <c r="ACG7" t="n">
        <v>534740</v>
      </c>
      <c r="ACH7" t="n">
        <v>200000</v>
      </c>
      <c r="ACI7" t="n">
        <v>698760</v>
      </c>
      <c r="ACJ7" t="n">
        <v>275593</v>
      </c>
      <c r="ACK7" t="n">
        <v>485000</v>
      </c>
      <c r="ACM7" t="n">
        <v>921510</v>
      </c>
      <c r="ACN7" t="n">
        <v>500000</v>
      </c>
      <c r="ACO7" t="n">
        <v>818450</v>
      </c>
      <c r="ACP7" t="n">
        <v>368750</v>
      </c>
      <c r="ACQ7" t="n">
        <v>70000</v>
      </c>
      <c r="ACR7" t="n">
        <v>837000</v>
      </c>
      <c r="ACS7" t="n">
        <v>1219068</v>
      </c>
      <c r="ACT7" t="n">
        <v>533281</v>
      </c>
      <c r="ACU7" t="n">
        <v>120000</v>
      </c>
      <c r="ACW7" t="n">
        <v>323760</v>
      </c>
      <c r="ACX7" t="n">
        <v>443548</v>
      </c>
      <c r="ACY7" t="n">
        <v>837000</v>
      </c>
      <c r="ADA7" t="n">
        <v>672000</v>
      </c>
      <c r="ADB7" t="n">
        <v>200000</v>
      </c>
      <c r="ADC7" t="n">
        <v>395129</v>
      </c>
      <c r="ADF7" t="n">
        <v>553500</v>
      </c>
      <c r="ADG7" t="n">
        <v>784724</v>
      </c>
      <c r="ADH7" s="133">
        <f>SUM(ACC7:ADG7)</f>
        <v/>
      </c>
      <c r="ADI7" t="n">
        <v>901989</v>
      </c>
      <c r="ADJ7" t="n">
        <v>343000</v>
      </c>
      <c r="ADK7" t="n">
        <v>348750</v>
      </c>
      <c r="ADL7" t="n">
        <v>100000</v>
      </c>
      <c r="ADM7" t="n">
        <v>450760</v>
      </c>
      <c r="ADN7" t="n">
        <v>1010615</v>
      </c>
      <c r="ADO7" t="n">
        <v>562500</v>
      </c>
      <c r="ADP7" t="n">
        <v>801493</v>
      </c>
      <c r="ADQ7" t="n">
        <v>352558</v>
      </c>
      <c r="ADR7" t="n">
        <v>395250</v>
      </c>
      <c r="ADS7" t="n">
        <v>170000</v>
      </c>
      <c r="ADT7" t="n">
        <v>253961</v>
      </c>
      <c r="ADU7" t="n">
        <v>838000</v>
      </c>
      <c r="ADV7" t="n">
        <v>668000</v>
      </c>
      <c r="ADW7" t="n">
        <v>859500</v>
      </c>
      <c r="ADY7" t="n">
        <v>150000</v>
      </c>
      <c r="ADZ7" t="n">
        <v>481824</v>
      </c>
      <c r="AEB7" t="n">
        <v>232500</v>
      </c>
      <c r="AEC7" t="n">
        <v>245300</v>
      </c>
      <c r="AED7" t="n">
        <v>566328</v>
      </c>
      <c r="AEE7" t="n">
        <v>311298</v>
      </c>
      <c r="AEF7" t="n">
        <v>50000</v>
      </c>
      <c r="AEG7" t="n">
        <v>645000</v>
      </c>
      <c r="AEH7" t="n">
        <v>93000</v>
      </c>
      <c r="AEI7" t="n">
        <v>8000</v>
      </c>
      <c r="AEK7" t="n">
        <v>150000</v>
      </c>
      <c r="AEL7" t="n">
        <v>255750</v>
      </c>
      <c r="AEM7" s="133">
        <f>SUM(ADI7:AEL7)</f>
        <v/>
      </c>
      <c r="AEN7" t="n">
        <v>789945</v>
      </c>
      <c r="AEO7" t="n">
        <v>160000</v>
      </c>
      <c r="AEP7" t="n">
        <v>0</v>
      </c>
      <c r="AEQ7" t="n">
        <v>0</v>
      </c>
      <c r="AER7" t="n">
        <v>593938</v>
      </c>
      <c r="AES7" t="n">
        <v>308750</v>
      </c>
      <c r="AEU7" t="n">
        <v>724500</v>
      </c>
      <c r="AEV7" t="n">
        <v>255750</v>
      </c>
      <c r="AEW7" t="n">
        <v>866867</v>
      </c>
      <c r="AEZ7" t="n">
        <v>616000</v>
      </c>
      <c r="AFB7" t="n">
        <v>439480</v>
      </c>
      <c r="AFC7" t="n">
        <v>250000</v>
      </c>
      <c r="AFE7" t="n">
        <v>372000</v>
      </c>
      <c r="AFI7" t="n">
        <v>139500</v>
      </c>
      <c r="AFJ7" t="n">
        <v>93000</v>
      </c>
      <c r="AFK7" t="n">
        <v>180000</v>
      </c>
      <c r="AFL7" t="n">
        <v>150000</v>
      </c>
      <c r="AFN7" t="n">
        <v>139500</v>
      </c>
      <c r="AFQ7" t="n">
        <v>121000</v>
      </c>
      <c r="AFR7" t="n">
        <v>8000</v>
      </c>
      <c r="AFS7" s="133">
        <f>SUM(AEN7:AFR7)</f>
        <v/>
      </c>
      <c r="AFT7" t="n">
        <v>693998</v>
      </c>
      <c r="AFU7" t="n">
        <v>50000</v>
      </c>
      <c r="AFW7" t="n">
        <v>255750</v>
      </c>
      <c r="AFX7" t="n">
        <v>150000</v>
      </c>
      <c r="AFY7" t="n">
        <v>250000</v>
      </c>
      <c r="AFZ7" t="n">
        <v>255750</v>
      </c>
      <c r="AGB7" t="n">
        <v>359199</v>
      </c>
      <c r="AGE7" t="n">
        <v>100000</v>
      </c>
      <c r="AGF7" t="n">
        <v>150000</v>
      </c>
      <c r="AGG7" t="n">
        <v>150000</v>
      </c>
      <c r="AGH7" t="n">
        <v>151538</v>
      </c>
      <c r="AGI7" t="n">
        <v>1349348</v>
      </c>
      <c r="AGJ7" t="n">
        <v>200000</v>
      </c>
      <c r="AGK7" t="n">
        <v>500000</v>
      </c>
      <c r="AGL7" t="n">
        <v>211025</v>
      </c>
      <c r="AGN7" t="n">
        <v>260000</v>
      </c>
      <c r="AGO7" t="n">
        <v>702234</v>
      </c>
      <c r="AGP7" t="n">
        <v>406990</v>
      </c>
      <c r="AGQ7" t="n">
        <v>150917</v>
      </c>
      <c r="AGU7" t="n">
        <v>30000</v>
      </c>
      <c r="AGV7" t="n">
        <v>201000</v>
      </c>
      <c r="AGW7" t="n">
        <v>50000</v>
      </c>
      <c r="AGX7" s="133">
        <f>SUM(AFT7:AGW7)</f>
        <v/>
      </c>
      <c r="AGZ7" t="n">
        <v>634000</v>
      </c>
      <c r="AHA7" t="n">
        <v>220033</v>
      </c>
      <c r="AHB7" t="n">
        <v>445404</v>
      </c>
      <c r="AHC7" t="n">
        <v>672395</v>
      </c>
      <c r="AHE7" t="n">
        <v>847120</v>
      </c>
      <c r="AHH7" t="n">
        <v>250000</v>
      </c>
      <c r="AHJ7" t="n">
        <v>128478</v>
      </c>
      <c r="AHK7" t="n">
        <v>180000</v>
      </c>
      <c r="AHL7" t="n">
        <v>413010</v>
      </c>
      <c r="AHM7" t="n">
        <v>100000</v>
      </c>
      <c r="AHO7" t="n">
        <v>270109</v>
      </c>
      <c r="AHP7" s="147" t="n">
        <v>220000</v>
      </c>
      <c r="AHQ7" t="n">
        <v>114725</v>
      </c>
      <c r="AHS7" t="n">
        <v>100000</v>
      </c>
      <c r="AHX7" t="n">
        <v>100000</v>
      </c>
      <c r="AHY7" t="n">
        <v>140000</v>
      </c>
      <c r="AHZ7" t="n">
        <v>226565</v>
      </c>
      <c r="AIB7" t="n">
        <v>202000</v>
      </c>
      <c r="AID7" s="133">
        <f>SUM(AGY7:AIC7)</f>
        <v/>
      </c>
      <c r="AIF7" t="n">
        <v>155646</v>
      </c>
      <c r="AIH7" t="n">
        <v>364049</v>
      </c>
      <c r="AII7" t="n">
        <v>548000</v>
      </c>
      <c r="AIK7" t="n">
        <v>1482666</v>
      </c>
      <c r="AIL7" t="n">
        <v>835000</v>
      </c>
      <c r="AIM7" t="n">
        <v>157774</v>
      </c>
      <c r="AIN7" t="n">
        <v>1666150</v>
      </c>
      <c r="AIO7" t="n">
        <v>70000</v>
      </c>
      <c r="AIP7" t="n">
        <v>1000100</v>
      </c>
      <c r="AIW7" t="n">
        <v>400000</v>
      </c>
      <c r="AIX7" t="n">
        <v>150000</v>
      </c>
      <c r="AIY7" t="n">
        <v>444147</v>
      </c>
      <c r="AIZ7" t="n">
        <v>199980</v>
      </c>
      <c r="AJB7" t="n">
        <v>16000</v>
      </c>
      <c r="AJE7" t="n">
        <v>84000</v>
      </c>
      <c r="AJF7" t="n">
        <v>1639650</v>
      </c>
      <c r="AJH7" t="n">
        <v>375969</v>
      </c>
      <c r="AJI7" t="n">
        <v>191458</v>
      </c>
      <c r="AJJ7" s="133">
        <f>SUM(AIE7:AJI7)</f>
        <v/>
      </c>
      <c r="AJL7" t="n">
        <v>541930</v>
      </c>
      <c r="AJM7" t="n">
        <v>1024171</v>
      </c>
      <c r="AJN7" t="n">
        <v>252945</v>
      </c>
      <c r="AJO7" t="n">
        <v>99900</v>
      </c>
      <c r="AJQ7" t="n">
        <v>310000</v>
      </c>
      <c r="AJR7" t="n">
        <v>1305485</v>
      </c>
      <c r="AJS7" t="n">
        <v>229950</v>
      </c>
      <c r="AJT7" t="n">
        <v>99980</v>
      </c>
      <c r="AJV7" t="n">
        <v>200000</v>
      </c>
      <c r="AJW7" t="n">
        <v>280000</v>
      </c>
      <c r="AJY7" t="n">
        <v>50000</v>
      </c>
      <c r="AJZ7" t="n">
        <v>326953</v>
      </c>
      <c r="AKA7" t="n">
        <v>60033</v>
      </c>
      <c r="AKB7" t="n">
        <v>99980</v>
      </c>
      <c r="AKD7" t="n">
        <v>1096068</v>
      </c>
      <c r="AKE7" t="n">
        <v>196571</v>
      </c>
      <c r="AKF7" t="n">
        <v>100000</v>
      </c>
      <c r="AKH7" t="n">
        <v>99980</v>
      </c>
      <c r="AKI7" t="n">
        <v>515925</v>
      </c>
      <c r="AKJ7" t="n">
        <v>24000</v>
      </c>
      <c r="AKK7" t="n">
        <v>530000</v>
      </c>
      <c r="AKL7" t="n">
        <v>600000</v>
      </c>
      <c r="AKM7" s="133">
        <f>SUM(AJK7:AKL7)</f>
        <v/>
      </c>
      <c r="AKN7" t="n">
        <v>501971</v>
      </c>
      <c r="AKO7" t="n">
        <v>298868</v>
      </c>
      <c r="AKP7" t="n">
        <v>727755</v>
      </c>
      <c r="AKQ7" t="n">
        <v>219200</v>
      </c>
      <c r="AKR7" t="n">
        <v>196154</v>
      </c>
      <c r="AKS7" t="n">
        <v>549000</v>
      </c>
      <c r="AKT7" t="n">
        <v>2408704</v>
      </c>
      <c r="AKU7" t="n">
        <v>150000</v>
      </c>
      <c r="AKV7" t="n">
        <v>1441074</v>
      </c>
      <c r="AKW7" t="n">
        <v>442205</v>
      </c>
      <c r="AKX7" t="n">
        <v>499103</v>
      </c>
      <c r="AKY7" t="n">
        <v>50000</v>
      </c>
      <c r="ALC7" t="n">
        <v>343747</v>
      </c>
      <c r="ALD7" t="n">
        <v>331994</v>
      </c>
      <c r="ALE7" t="n">
        <v>50000</v>
      </c>
      <c r="ALG7" t="n">
        <v>255000</v>
      </c>
      <c r="ALH7" t="n">
        <v>10000</v>
      </c>
      <c r="ALK7" t="n">
        <v>160000</v>
      </c>
      <c r="ALL7" t="n">
        <v>60000</v>
      </c>
      <c r="ALM7" t="n">
        <v>50000</v>
      </c>
      <c r="ALN7" t="n">
        <v>403000</v>
      </c>
      <c r="ALO7" t="n">
        <v>155000</v>
      </c>
      <c r="ALP7" t="n">
        <v>557005</v>
      </c>
      <c r="ALQ7" t="n">
        <v>782000</v>
      </c>
      <c r="ALR7" t="n">
        <v>554905</v>
      </c>
      <c r="ALS7" s="133">
        <f>SUM(AKN7:ALR7)</f>
        <v/>
      </c>
      <c r="ALT7" t="n">
        <v>342000</v>
      </c>
      <c r="ALU7" t="n">
        <v>50000</v>
      </c>
      <c r="ALW7" t="n">
        <v>81768</v>
      </c>
      <c r="ALX7" t="n">
        <v>0</v>
      </c>
      <c r="ALY7" t="n">
        <v>277748</v>
      </c>
      <c r="ALZ7" t="n">
        <v>501000</v>
      </c>
      <c r="AMA7" t="n">
        <v>1221278</v>
      </c>
      <c r="AMB7" t="n">
        <v>1224362</v>
      </c>
      <c r="AMC7" t="n">
        <v>350000</v>
      </c>
      <c r="AMD7" t="n">
        <v>550000</v>
      </c>
      <c r="AME7" t="n">
        <v>389188</v>
      </c>
      <c r="AMF7" t="n">
        <v>1158740</v>
      </c>
      <c r="AMG7" t="n">
        <v>105000</v>
      </c>
      <c r="AMH7" t="n">
        <v>678891</v>
      </c>
      <c r="AMI7" t="n">
        <v>320050</v>
      </c>
      <c r="AMJ7" t="n">
        <v>400000</v>
      </c>
      <c r="AMK7" t="n">
        <v>90000</v>
      </c>
      <c r="AML7" t="n">
        <v>160000</v>
      </c>
      <c r="AMM7" t="n">
        <v>296945</v>
      </c>
      <c r="AMO7" t="n">
        <v>66000</v>
      </c>
      <c r="AMQ7" t="n">
        <v>290000</v>
      </c>
      <c r="AMS7" t="n">
        <v>500000</v>
      </c>
      <c r="AMT7" t="n">
        <v>200000</v>
      </c>
      <c r="AMU7" t="n">
        <v>183000</v>
      </c>
      <c r="AMW7" t="n">
        <v>100000</v>
      </c>
      <c r="AMX7" s="133">
        <f>SUM(ALT7:AMW7)</f>
        <v/>
      </c>
      <c r="AMY7" t="n">
        <v>368818</v>
      </c>
      <c r="AMZ7" t="n">
        <v>1150879</v>
      </c>
      <c r="ANA7" t="n">
        <v>235027</v>
      </c>
      <c r="ANB7" t="n">
        <v>723136</v>
      </c>
      <c r="ANC7" t="n">
        <v>270000</v>
      </c>
      <c r="AND7" t="n">
        <v>1378020</v>
      </c>
      <c r="ANE7" t="n">
        <v>763990</v>
      </c>
      <c r="ANF7" t="n">
        <v>100000</v>
      </c>
      <c r="ANG7" t="n">
        <v>260000</v>
      </c>
      <c r="ANH7" t="n">
        <v>973830</v>
      </c>
      <c r="ANI7" t="n">
        <v>1232310</v>
      </c>
      <c r="ANJ7" t="n">
        <v>40000</v>
      </c>
      <c r="ANK7" t="n">
        <v>50000</v>
      </c>
      <c r="ANL7" t="n">
        <v>369828</v>
      </c>
      <c r="ANM7" t="n">
        <v>180000</v>
      </c>
      <c r="ANO7" t="n">
        <v>129000</v>
      </c>
      <c r="ANQ7" t="n">
        <v>957000</v>
      </c>
      <c r="ANR7" t="n">
        <v>722207</v>
      </c>
      <c r="ANS7" t="n">
        <v>0</v>
      </c>
      <c r="ANT7" t="n">
        <v>632647</v>
      </c>
      <c r="ANU7" t="n">
        <v>135000</v>
      </c>
      <c r="ANV7" t="n">
        <v>180000</v>
      </c>
      <c r="ANW7" t="n">
        <v>516000</v>
      </c>
      <c r="ANX7" t="n">
        <v>247000</v>
      </c>
      <c r="ANY7" t="n">
        <v>868022</v>
      </c>
      <c r="AOB7" t="n">
        <v>100161</v>
      </c>
      <c r="AOC7" t="n">
        <v>604200</v>
      </c>
      <c r="AOD7" t="n">
        <v>604200</v>
      </c>
    </row>
    <row r="8">
      <c r="A8" s="42" t="inlineStr">
        <is>
          <t>RUBIS APP</t>
        </is>
      </c>
      <c r="B8" s="42" t="n">
        <v>0</v>
      </c>
      <c r="C8" s="42" t="n">
        <v>30000</v>
      </c>
      <c r="D8" s="42" t="n">
        <v>0</v>
      </c>
      <c r="E8" s="42" t="n"/>
      <c r="F8" s="42" t="n"/>
      <c r="G8" s="42" t="n"/>
      <c r="H8" s="42" t="n"/>
      <c r="I8" s="42" t="n">
        <v>50000</v>
      </c>
      <c r="J8" s="42" t="n"/>
      <c r="K8" s="42" t="n"/>
      <c r="L8" s="42" t="n"/>
      <c r="M8" s="42" t="n"/>
      <c r="N8" s="42" t="n"/>
      <c r="O8" s="42" t="n"/>
      <c r="P8" s="42" t="n"/>
      <c r="Q8" s="42" t="n"/>
      <c r="R8" s="42" t="n">
        <v>62000</v>
      </c>
      <c r="S8" s="42" t="n"/>
      <c r="T8" s="42" t="n"/>
      <c r="U8" s="42" t="n">
        <v>0</v>
      </c>
      <c r="V8" s="42" t="n"/>
      <c r="W8" s="42" t="n">
        <v>90000</v>
      </c>
      <c r="X8" s="42" t="n">
        <v>0</v>
      </c>
      <c r="Y8" s="42" t="n"/>
      <c r="Z8" s="42" t="n"/>
      <c r="AA8" s="42" t="n"/>
      <c r="AB8" s="42" t="n"/>
      <c r="AC8" s="42" t="n"/>
      <c r="AD8" s="42" t="n"/>
      <c r="AE8" s="42" t="n"/>
      <c r="AF8" s="42" t="n"/>
      <c r="AG8" s="100">
        <f>SUM(B8:AF8)</f>
        <v/>
      </c>
      <c r="AM8" t="n">
        <v>200000</v>
      </c>
      <c r="BL8" s="82">
        <f>SUM(AH8:BK8)</f>
        <v/>
      </c>
      <c r="CM8" t="n">
        <v>130000</v>
      </c>
      <c r="CR8" s="82">
        <f>SUM(BM8:CQ8)</f>
        <v/>
      </c>
      <c r="CY8" t="n">
        <v>100000</v>
      </c>
      <c r="DA8" t="n">
        <v>205000</v>
      </c>
      <c r="DK8" t="n">
        <v>280000</v>
      </c>
      <c r="DM8" t="n">
        <v>302000</v>
      </c>
      <c r="DO8" t="n">
        <v>126000</v>
      </c>
      <c r="DW8" s="82">
        <f>SUM(CS8:DV8)</f>
        <v/>
      </c>
      <c r="FB8" t="n">
        <v>0</v>
      </c>
      <c r="FC8" s="126" t="n"/>
      <c r="HE8" t="n">
        <v>24000</v>
      </c>
      <c r="HF8" t="n">
        <v>310000</v>
      </c>
      <c r="HG8" t="n">
        <v>0</v>
      </c>
      <c r="HI8" t="n">
        <v>312000</v>
      </c>
      <c r="HL8" t="n">
        <v>384000</v>
      </c>
      <c r="HM8" s="133">
        <f>SUM(GJ8:HL8)</f>
        <v/>
      </c>
      <c r="HN8" t="n">
        <v>0</v>
      </c>
      <c r="HO8" t="n">
        <v>0</v>
      </c>
      <c r="HP8" t="n">
        <v>0</v>
      </c>
      <c r="HS8" t="n">
        <v>312000</v>
      </c>
      <c r="HY8" t="n">
        <v>0</v>
      </c>
      <c r="HZ8" t="n">
        <v>312000</v>
      </c>
      <c r="IE8" t="n">
        <v>385000</v>
      </c>
      <c r="IL8" t="n">
        <v>312000</v>
      </c>
      <c r="IQ8" t="n">
        <v>382000</v>
      </c>
      <c r="IS8" s="133">
        <f>SUM(HN8:IR8)</f>
        <v/>
      </c>
      <c r="IU8" t="n">
        <v>313000</v>
      </c>
      <c r="IY8" t="n">
        <v>312000</v>
      </c>
      <c r="JD8" t="n">
        <v>318000</v>
      </c>
      <c r="JE8" t="n">
        <v>0</v>
      </c>
      <c r="JH8" t="n">
        <v>384000</v>
      </c>
      <c r="JL8" t="n">
        <v>312000</v>
      </c>
      <c r="JO8" t="n">
        <v>312000</v>
      </c>
      <c r="JR8" t="n">
        <v>383000</v>
      </c>
      <c r="JV8" t="n">
        <v>313000</v>
      </c>
      <c r="JX8" s="133">
        <f>SUM(IT8:JW8)</f>
        <v/>
      </c>
      <c r="KA8" t="n">
        <v>312000</v>
      </c>
      <c r="KB8" t="n">
        <v>0</v>
      </c>
      <c r="KE8" t="n">
        <v>383000</v>
      </c>
      <c r="KF8" t="n">
        <v>0</v>
      </c>
      <c r="KL8" t="n">
        <v>312000</v>
      </c>
      <c r="KO8" t="n">
        <v>382000</v>
      </c>
      <c r="KR8" t="n">
        <v>312000</v>
      </c>
      <c r="KU8" t="n">
        <v>17000</v>
      </c>
      <c r="KV8" t="n">
        <v>382000</v>
      </c>
      <c r="KY8" t="n">
        <v>307000</v>
      </c>
      <c r="KZ8" t="n">
        <v>20000</v>
      </c>
      <c r="LB8" t="n">
        <v>332200</v>
      </c>
      <c r="LD8" s="133">
        <f>SUM(JY8:LC8)</f>
        <v/>
      </c>
      <c r="MB8" t="n">
        <v>40000</v>
      </c>
      <c r="MI8" s="133">
        <f>SUM(LD8:MH8)</f>
        <v/>
      </c>
      <c r="NO8" s="133">
        <f>SUM(MJ8:NN8)</f>
        <v/>
      </c>
      <c r="OU8" s="133">
        <f>SUM(NP8:OT8)</f>
        <v/>
      </c>
      <c r="PZ8" s="133">
        <f>SUM(OV8:PY8)</f>
        <v/>
      </c>
      <c r="RF8" s="133" t="n"/>
      <c r="SK8" s="133">
        <f>SUM(RG8:SJ8)</f>
        <v/>
      </c>
      <c r="TQ8" s="133">
        <f>SUM(SL8:TP8)</f>
        <v/>
      </c>
      <c r="WV8" t="n">
        <v>170000</v>
      </c>
      <c r="XF8" s="133">
        <f>SUM(WA8:XE8)</f>
        <v/>
      </c>
      <c r="XK8" t="n">
        <v>6000</v>
      </c>
      <c r="XL8" t="n">
        <v>779000</v>
      </c>
      <c r="XN8" t="n">
        <v>680000</v>
      </c>
      <c r="XO8" t="n">
        <v>669000</v>
      </c>
      <c r="XQ8" t="n">
        <v>240000</v>
      </c>
      <c r="XR8" t="n">
        <v>0</v>
      </c>
      <c r="XS8" t="n">
        <v>0</v>
      </c>
      <c r="XT8" t="n">
        <v>0</v>
      </c>
      <c r="XU8" t="n">
        <v>0</v>
      </c>
      <c r="YK8" s="133">
        <f>SUM(XG8:YJ8)</f>
        <v/>
      </c>
      <c r="YN8">
        <f>510000+900000</f>
        <v/>
      </c>
      <c r="YZ8" t="n">
        <v>400000</v>
      </c>
      <c r="ZQ8" s="133">
        <f>SUM(YM8:ZP8)</f>
        <v/>
      </c>
      <c r="AAV8" s="133">
        <f>SUM(ZR8:AAU8)</f>
        <v/>
      </c>
      <c r="AAW8" t="n">
        <v>0</v>
      </c>
      <c r="ACB8" s="133">
        <f>SUM(AAX8:ACA8)</f>
        <v/>
      </c>
      <c r="ADH8" s="130" t="n"/>
      <c r="AEM8" s="82">
        <f>SUM(ADI8:AEL8)</f>
        <v/>
      </c>
      <c r="AFS8" s="133">
        <f>SUM(AEN8:AFR8)</f>
        <v/>
      </c>
      <c r="AGX8" s="133">
        <f>SUM(AFT8:AGW8)</f>
        <v/>
      </c>
      <c r="AID8" s="133">
        <f>SUM(AGZ8:AIC8)</f>
        <v/>
      </c>
      <c r="AJJ8" s="133">
        <f>SUM(AIF8:AJI8)</f>
        <v/>
      </c>
      <c r="AKM8" s="133">
        <f>SUM(AJI8:AKL8)</f>
        <v/>
      </c>
      <c r="ALS8" s="133">
        <f>SUM(AKO8:ALR8)</f>
        <v/>
      </c>
      <c r="AMX8" s="133">
        <f>SUM(ALT8:AMW8)</f>
        <v/>
      </c>
    </row>
    <row r="9"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  <c r="BC9" s="82" t="n"/>
      <c r="BD9" s="82" t="n"/>
      <c r="BE9" s="82" t="n"/>
      <c r="BF9" s="82" t="n"/>
      <c r="BG9" s="82" t="n"/>
      <c r="BH9" s="82" t="n"/>
      <c r="BI9" s="82" t="n"/>
      <c r="BJ9" s="82" t="n"/>
      <c r="BK9" s="82" t="n"/>
      <c r="BL9" s="82" t="n"/>
      <c r="FC9" s="126" t="n"/>
    </row>
    <row r="10">
      <c r="FC10" s="126" t="n"/>
    </row>
    <row r="11">
      <c r="FC11" s="126" t="n"/>
    </row>
    <row r="12">
      <c r="BU12" t="n">
        <v>10000</v>
      </c>
      <c r="BV12" t="n">
        <v>5290</v>
      </c>
      <c r="BW12">
        <f>BU12*BV12</f>
        <v/>
      </c>
      <c r="FC12" s="126" t="n"/>
    </row>
    <row r="13">
      <c r="BU13" t="n">
        <v>5000</v>
      </c>
      <c r="BV13" t="n">
        <v>4850</v>
      </c>
      <c r="BW13">
        <f>BU13*BV13</f>
        <v/>
      </c>
      <c r="FC13" s="126" t="n"/>
      <c r="ALQ13" s="145" t="n"/>
    </row>
    <row r="14">
      <c r="FC14" s="126" t="n"/>
      <c r="AHP14" t="n">
        <v>2</v>
      </c>
    </row>
    <row r="15">
      <c r="FC15" s="126" t="n"/>
      <c r="ADP15" t="n">
        <v>12904</v>
      </c>
      <c r="ADQ15" t="n">
        <v>4936</v>
      </c>
      <c r="AIJ15" t="inlineStr">
        <is>
          <t>UIU university</t>
        </is>
      </c>
    </row>
    <row r="16">
      <c r="FC16" s="126" t="n"/>
      <c r="ADP16" t="n">
        <v>132</v>
      </c>
      <c r="ADQ16" t="n">
        <v>7968</v>
      </c>
    </row>
    <row r="17">
      <c r="FC17" s="126" t="n"/>
      <c r="ADP17">
        <f>ADP15-ADP16</f>
        <v/>
      </c>
      <c r="ADQ17">
        <f>SUM(ADQ15:ADQ16)</f>
        <v/>
      </c>
    </row>
    <row r="18">
      <c r="FC18" s="126" t="n"/>
      <c r="ADQ18" t="n">
        <v>132</v>
      </c>
    </row>
    <row r="19">
      <c r="FC19" s="126" t="n"/>
      <c r="ADQ19">
        <f>ADQ17-ADQ18</f>
        <v/>
      </c>
    </row>
    <row r="20">
      <c r="FC20" s="126" t="n"/>
      <c r="ADQ20" t="n">
        <v>12800</v>
      </c>
    </row>
    <row r="21">
      <c r="FC21" s="126" t="n"/>
      <c r="ADQ21">
        <f>ADQ20-ADQ19</f>
        <v/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D48"/>
  <sheetViews>
    <sheetView zoomScale="86" zoomScaleNormal="170" workbookViewId="0">
      <pane xSplit="2" ySplit="2" topLeftCell="AMS3" activePane="bottomRight" state="frozen"/>
      <selection pane="topRight" activeCell="C1" sqref="C1"/>
      <selection pane="bottomLeft" activeCell="A3" sqref="A3"/>
      <selection pane="bottomRight" activeCell="AOE6" sqref="AOE6"/>
    </sheetView>
  </sheetViews>
  <sheetFormatPr baseColWidth="10" defaultColWidth="8.83203125" defaultRowHeight="15"/>
  <cols>
    <col width="30.33203125" customWidth="1" style="160" min="2" max="2"/>
    <col width="10.83203125" bestFit="1" customWidth="1" style="160" min="35" max="35"/>
    <col width="9.83203125" bestFit="1" customWidth="1" style="160" min="36" max="36"/>
    <col width="8.83203125" bestFit="1" customWidth="1" style="160" min="37" max="37"/>
    <col width="12.1640625" bestFit="1" customWidth="1" style="160" min="38" max="38"/>
    <col width="8.83203125" bestFit="1" customWidth="1" style="160" min="39" max="39"/>
    <col width="12.1640625" bestFit="1" customWidth="1" style="160" min="40" max="40"/>
    <col width="11.1640625" customWidth="1" style="160" min="41" max="41"/>
    <col width="10.83203125" bestFit="1" customWidth="1" style="160" min="42" max="42"/>
    <col width="8.83203125" bestFit="1" customWidth="1" style="160" min="43" max="44"/>
    <col width="10.83203125" bestFit="1" customWidth="1" style="160" min="45" max="45"/>
    <col width="9.83203125" bestFit="1" customWidth="1" style="160" min="46" max="46"/>
    <col width="11.1640625" customWidth="1" style="160" min="47" max="47"/>
    <col width="9.83203125" bestFit="1" customWidth="1" style="160" min="48" max="49"/>
    <col width="10.83203125" bestFit="1" customWidth="1" style="160" min="50" max="50"/>
    <col width="9.83203125" bestFit="1" customWidth="1" style="160" min="51" max="51"/>
    <col width="10.83203125" bestFit="1" customWidth="1" style="160" min="52" max="52"/>
    <col width="8.83203125" bestFit="1" customWidth="1" style="160" min="53" max="54"/>
    <col width="10.83203125" bestFit="1" customWidth="1" style="160" min="55" max="55"/>
    <col width="9.83203125" bestFit="1" customWidth="1" style="160" min="56" max="56"/>
    <col width="10.83203125" bestFit="1" customWidth="1" style="160" min="57" max="57"/>
    <col width="8.83203125" bestFit="1" customWidth="1" style="160" min="58" max="58"/>
    <col width="9.83203125" bestFit="1" customWidth="1" style="160" min="59" max="59"/>
    <col width="10.83203125" bestFit="1" customWidth="1" style="160" min="60" max="60"/>
    <col width="8.83203125" bestFit="1" customWidth="1" style="160" min="61" max="62"/>
    <col width="10.83203125" bestFit="1" customWidth="1" style="160" min="63" max="63"/>
    <col width="9.83203125" bestFit="1" customWidth="1" style="160" min="64" max="64"/>
    <col width="14.1640625" bestFit="1" customWidth="1" style="160" min="65" max="65"/>
    <col width="9.83203125" bestFit="1" customWidth="1" style="160" min="68" max="68"/>
    <col width="9.6640625" customWidth="1" style="160" min="97" max="97"/>
    <col width="9.83203125" bestFit="1" customWidth="1" style="160" min="100" max="100"/>
    <col width="9.83203125" bestFit="1" customWidth="1" style="160" min="106" max="106"/>
    <col width="11.6640625" customWidth="1" style="160" min="107" max="107"/>
    <col width="10.5" customWidth="1" style="160" min="108" max="108"/>
    <col width="13" customWidth="1" style="160" min="109" max="109"/>
    <col width="10.83203125" customWidth="1" style="160" min="110" max="110"/>
    <col width="11.1640625" customWidth="1" style="160" min="111" max="111"/>
    <col width="10.6640625" customWidth="1" style="160" min="112" max="112"/>
    <col width="11.5" customWidth="1" style="160" min="113" max="113"/>
    <col width="10.5" customWidth="1" style="160" min="114" max="114"/>
    <col width="10.6640625" customWidth="1" style="160" min="115" max="115"/>
    <col width="12.1640625" customWidth="1" style="160" min="116" max="116"/>
    <col width="10.5" customWidth="1" style="160" min="117" max="117"/>
    <col width="12.1640625" customWidth="1" style="160" min="118" max="118"/>
    <col width="10.5" customWidth="1" style="160" min="119" max="119"/>
    <col width="10.83203125" customWidth="1" style="160" min="120" max="120"/>
    <col width="11.1640625" customWidth="1" style="160" min="121" max="121"/>
    <col width="11" customWidth="1" style="160" min="122" max="122"/>
    <col width="10.5" customWidth="1" style="160" min="123" max="123"/>
    <col width="13.5" customWidth="1" style="160" min="124" max="124"/>
    <col width="11.5" customWidth="1" style="160" min="125" max="125"/>
    <col width="10.1640625" customWidth="1" style="160" min="126" max="126"/>
    <col width="10.83203125" customWidth="1" style="160" min="127" max="127"/>
    <col width="12.1640625" customWidth="1" style="160" min="128" max="128"/>
    <col width="11.83203125" customWidth="1" style="160" min="144" max="144"/>
    <col width="10.6640625" customWidth="1" style="160" min="192" max="192"/>
    <col width="10.1640625" customWidth="1" style="160" min="212" max="212"/>
    <col width="10.6640625" customWidth="1" style="160" min="222" max="222"/>
    <col width="10.83203125" customWidth="1" style="160" min="226" max="226"/>
    <col width="10.1640625" customWidth="1" style="160" min="230" max="230"/>
    <col width="10.83203125" customWidth="1" style="160" min="254" max="254"/>
    <col width="10.5" customWidth="1" style="160" min="257" max="257"/>
    <col width="10" customWidth="1" style="160" min="260" max="260"/>
    <col width="9.83203125" customWidth="1" style="160" min="285" max="285"/>
    <col width="10.5" customWidth="1" style="160" min="287" max="288"/>
    <col width="10.1640625" customWidth="1" style="160" min="293" max="293"/>
    <col width="10" customWidth="1" style="160" min="295" max="295"/>
    <col width="10.5" customWidth="1" style="160" min="301" max="301"/>
    <col width="10.83203125" customWidth="1" style="160" min="306" max="306"/>
    <col width="10.1640625" customWidth="1" style="160" min="307" max="307"/>
    <col width="10.33203125" customWidth="1" style="160" min="308" max="308"/>
    <col width="11.83203125" customWidth="1" style="160" min="317" max="317"/>
    <col width="11.5" customWidth="1" style="160" min="320" max="320"/>
    <col width="10.83203125" customWidth="1" style="160" min="321" max="321"/>
    <col width="10.83203125" customWidth="1" style="160" min="331" max="331"/>
    <col width="14.5" customWidth="1" style="160" min="348" max="348"/>
    <col width="10.5" customWidth="1" style="160" min="349" max="349"/>
    <col width="11.5" customWidth="1" style="160" min="365" max="365"/>
    <col width="10.5" customWidth="1" style="160" min="366" max="366"/>
    <col width="10.1640625" customWidth="1" style="160" min="378" max="378"/>
    <col width="12.6640625" customWidth="1" style="160" min="380" max="380"/>
    <col width="11.1640625" customWidth="1" style="160" min="410" max="410"/>
    <col width="11.5" customWidth="1" style="160" min="412" max="412"/>
    <col width="10.83203125" customWidth="1" style="160" min="414" max="414"/>
    <col width="11.1640625" customWidth="1" style="160" min="418" max="418"/>
    <col width="10.5" customWidth="1" style="160" min="421" max="421"/>
    <col width="10.83203125" customWidth="1" style="160" min="422" max="422"/>
    <col width="11" customWidth="1" style="160" min="445" max="445"/>
    <col width="10" customWidth="1" style="160" min="468" max="468"/>
    <col width="12.1640625" customWidth="1" style="160" min="475" max="475"/>
    <col width="12.1640625" customWidth="1" style="160" min="477" max="477"/>
    <col width="10.1640625" customWidth="1" style="160" min="495" max="495"/>
    <col width="10.5" customWidth="1" style="160" min="496" max="496"/>
    <col width="10.5" customWidth="1" style="160" min="500" max="500"/>
    <col width="11.33203125" customWidth="1" style="160" min="507" max="507"/>
    <col width="10.5" customWidth="1" style="160" min="510" max="510"/>
    <col width="11.83203125" customWidth="1" style="160" min="511" max="511"/>
    <col width="10.83203125" customWidth="1" style="160" min="513" max="513"/>
    <col width="11.1640625" customWidth="1" style="160" min="538" max="538"/>
    <col width="11.5" customWidth="1" style="160" min="539" max="539"/>
    <col width="10.6640625" customWidth="1" style="160" min="540" max="540"/>
    <col width="11.83203125" customWidth="1" style="160" min="541" max="541"/>
    <col width="10" customWidth="1" style="160" min="553" max="553"/>
    <col width="11.5" customWidth="1" style="160" min="563" max="563"/>
    <col width="10.1640625" customWidth="1" style="160" min="574" max="574"/>
    <col width="10.5" customWidth="1" style="160" min="603" max="603"/>
    <col width="10" customWidth="1" style="160" min="625" max="625"/>
    <col width="10.1640625" customWidth="1" style="160" min="630" max="630"/>
    <col width="12" customWidth="1" style="160" min="663" max="663"/>
    <col width="10" customWidth="1" style="160" min="665" max="665"/>
    <col width="10" customWidth="1" style="160" min="669" max="669"/>
    <col width="10.5" customWidth="1" style="160" min="698" max="699"/>
    <col width="9.83203125" customWidth="1" style="160" min="705" max="705"/>
    <col width="12.5" customWidth="1" style="160" min="726" max="726"/>
    <col width="9.83203125" customWidth="1" style="160" min="727" max="727"/>
    <col width="10.6640625" customWidth="1" style="160" min="728" max="728"/>
    <col width="12" customWidth="1" style="160" min="758" max="758"/>
    <col width="13.83203125" customWidth="1" style="160" min="790" max="790"/>
    <col width="10.5" customWidth="1" style="160" min="793" max="793"/>
    <col width="11" customWidth="1" style="160" min="815" max="815"/>
    <col width="10.1640625" customWidth="1" style="160" min="854" max="854"/>
    <col width="10.5" customWidth="1" style="160" min="858" max="858"/>
    <col width="10.83203125" customWidth="1" style="160" min="884" max="884"/>
    <col width="10.5" customWidth="1" style="160" min="887" max="887"/>
    <col width="11" customWidth="1" style="160" min="916" max="916"/>
    <col width="10" customWidth="1" style="160" min="923" max="923"/>
    <col width="10.5" customWidth="1" style="160" min="924" max="924"/>
    <col width="11" customWidth="1" style="160" min="929" max="929"/>
    <col width="12.83203125" customWidth="1" style="160" min="948" max="948"/>
    <col width="11.6640625" customWidth="1" style="160" min="952" max="952"/>
    <col width="11.1640625" customWidth="1" style="160" min="977" max="977"/>
    <col width="10.33203125" customWidth="1" style="160" min="978" max="978"/>
    <col width="11.33203125" customWidth="1" style="160" min="981" max="981"/>
    <col width="12" customWidth="1" style="160" min="1012" max="1012"/>
    <col width="12.83203125" customWidth="1" style="160" min="1040" max="1040"/>
    <col width="11.33203125" customWidth="1" style="160" min="1044" max="1044"/>
  </cols>
  <sheetData>
    <row r="1">
      <c r="FD1" s="126" t="n"/>
    </row>
    <row r="2">
      <c r="A2" s="2" t="inlineStr">
        <is>
          <t>ITEMS</t>
        </is>
      </c>
      <c r="B2" s="2" t="inlineStr">
        <is>
          <t>PARTICULARS</t>
        </is>
      </c>
      <c r="C2" s="3" t="n">
        <v>44204</v>
      </c>
      <c r="D2" s="3" t="n">
        <v>44965</v>
      </c>
      <c r="E2" s="3" t="n">
        <v>44993</v>
      </c>
      <c r="F2" s="3" t="n">
        <v>45024</v>
      </c>
      <c r="G2" s="3" t="n">
        <v>45054</v>
      </c>
      <c r="H2" s="3" t="n">
        <v>45085</v>
      </c>
      <c r="I2" s="3" t="n">
        <v>45115</v>
      </c>
      <c r="J2" s="3" t="n">
        <v>45146</v>
      </c>
      <c r="K2" s="3" t="n">
        <v>45177</v>
      </c>
      <c r="L2" s="3" t="n">
        <v>45207</v>
      </c>
      <c r="M2" s="3" t="n">
        <v>45238</v>
      </c>
      <c r="N2" s="3" t="n">
        <v>45268</v>
      </c>
      <c r="O2" s="3" t="inlineStr">
        <is>
          <t>13/8/23</t>
        </is>
      </c>
      <c r="P2" s="3" t="inlineStr">
        <is>
          <t>14/8/23</t>
        </is>
      </c>
      <c r="Q2" s="3" t="inlineStr">
        <is>
          <t>15/8/23</t>
        </is>
      </c>
      <c r="R2" s="3" t="inlineStr">
        <is>
          <t>16/8/23</t>
        </is>
      </c>
      <c r="S2" s="3" t="inlineStr">
        <is>
          <t>17/8/23</t>
        </is>
      </c>
      <c r="T2" s="3" t="inlineStr">
        <is>
          <t>18/8/23</t>
        </is>
      </c>
      <c r="U2" s="3" t="inlineStr">
        <is>
          <t>19/8/23</t>
        </is>
      </c>
      <c r="V2" s="3" t="inlineStr">
        <is>
          <t>20/8/23</t>
        </is>
      </c>
      <c r="W2" s="3" t="inlineStr">
        <is>
          <t>21/8/23</t>
        </is>
      </c>
      <c r="X2" s="3" t="inlineStr">
        <is>
          <t>22/8/23</t>
        </is>
      </c>
      <c r="Y2" s="3" t="inlineStr">
        <is>
          <t>23/8/23</t>
        </is>
      </c>
      <c r="Z2" s="3" t="inlineStr">
        <is>
          <t>24/8/23</t>
        </is>
      </c>
      <c r="AA2" s="3" t="inlineStr">
        <is>
          <t>25/8/23</t>
        </is>
      </c>
      <c r="AB2" s="3" t="inlineStr">
        <is>
          <t>26/8/23</t>
        </is>
      </c>
      <c r="AC2" s="3" t="inlineStr">
        <is>
          <t>27/8/23</t>
        </is>
      </c>
      <c r="AD2" s="3" t="inlineStr">
        <is>
          <t>28/8/23</t>
        </is>
      </c>
      <c r="AE2" s="3" t="inlineStr">
        <is>
          <t>29/8/23</t>
        </is>
      </c>
      <c r="AF2" s="3" t="inlineStr">
        <is>
          <t>30/8/23</t>
        </is>
      </c>
      <c r="AG2" s="3" t="inlineStr">
        <is>
          <t>31/8/23</t>
        </is>
      </c>
      <c r="AH2" s="2" t="inlineStr">
        <is>
          <t>MONTHLY TOTAL</t>
        </is>
      </c>
      <c r="AI2" s="88" t="n">
        <v>45170</v>
      </c>
      <c r="AJ2" s="88">
        <f>AI2+1</f>
        <v/>
      </c>
      <c r="AK2" s="88">
        <f>AJ2+1</f>
        <v/>
      </c>
      <c r="AL2" s="88">
        <f>AK2+1</f>
        <v/>
      </c>
      <c r="AM2" s="88">
        <f>AL2+1</f>
        <v/>
      </c>
      <c r="AN2" s="88">
        <f>AM2+1</f>
        <v/>
      </c>
      <c r="AO2" s="88">
        <f>AN2+1</f>
        <v/>
      </c>
      <c r="AP2" s="88">
        <f>AO2+1</f>
        <v/>
      </c>
      <c r="AQ2" s="88">
        <f>AP2+1</f>
        <v/>
      </c>
      <c r="AR2" s="88">
        <f>AQ2+1</f>
        <v/>
      </c>
      <c r="AS2" s="88">
        <f>AR2+1</f>
        <v/>
      </c>
      <c r="AT2" s="88">
        <f>AS2+1</f>
        <v/>
      </c>
      <c r="AU2" s="88">
        <f>AT2+1</f>
        <v/>
      </c>
      <c r="AV2" s="88">
        <f>AU2+1</f>
        <v/>
      </c>
      <c r="AW2" s="88">
        <f>AV2+1</f>
        <v/>
      </c>
      <c r="AX2" s="88">
        <f>AW2+1</f>
        <v/>
      </c>
      <c r="AY2" s="88">
        <f>AX2+1</f>
        <v/>
      </c>
      <c r="AZ2" s="88">
        <f>AY2+1</f>
        <v/>
      </c>
      <c r="BA2" s="88">
        <f>AZ2+1</f>
        <v/>
      </c>
      <c r="BB2" s="88">
        <f>BA2+1</f>
        <v/>
      </c>
      <c r="BC2" s="88">
        <f>BB2+1</f>
        <v/>
      </c>
      <c r="BD2" s="88">
        <f>BC2+1</f>
        <v/>
      </c>
      <c r="BE2" s="88">
        <f>BD2+1</f>
        <v/>
      </c>
      <c r="BF2" s="88">
        <f>BE2+1</f>
        <v/>
      </c>
      <c r="BG2" s="88">
        <f>BF2+1</f>
        <v/>
      </c>
      <c r="BH2" s="88">
        <f>BG2+1</f>
        <v/>
      </c>
      <c r="BI2" s="88">
        <f>BH2+1</f>
        <v/>
      </c>
      <c r="BJ2" s="88">
        <f>BI2+1</f>
        <v/>
      </c>
      <c r="BK2" s="88">
        <f>BJ2+1</f>
        <v/>
      </c>
      <c r="BL2" s="88">
        <f>BK2+1</f>
        <v/>
      </c>
      <c r="BM2" s="88" t="inlineStr">
        <is>
          <t>Monthly Total</t>
        </is>
      </c>
      <c r="BN2" s="88">
        <f>AI2+30</f>
        <v/>
      </c>
      <c r="BO2" s="88">
        <f>AJ2+30</f>
        <v/>
      </c>
      <c r="BP2" s="88">
        <f>AK2+30</f>
        <v/>
      </c>
      <c r="BQ2" s="88">
        <f>AL2+30</f>
        <v/>
      </c>
      <c r="BR2" s="88">
        <f>AM2+30</f>
        <v/>
      </c>
      <c r="BS2" s="88">
        <f>AN2+30</f>
        <v/>
      </c>
      <c r="BT2" s="88">
        <f>AO2+30</f>
        <v/>
      </c>
      <c r="BU2" s="88">
        <f>AP2+30</f>
        <v/>
      </c>
      <c r="BV2" s="88">
        <f>AQ2+30</f>
        <v/>
      </c>
      <c r="BW2" s="88">
        <f>AR2+30</f>
        <v/>
      </c>
      <c r="BX2" s="88">
        <f>AS2+30</f>
        <v/>
      </c>
      <c r="BY2" s="88">
        <f>AT2+30</f>
        <v/>
      </c>
      <c r="BZ2" s="88">
        <f>AU2+30</f>
        <v/>
      </c>
      <c r="CA2" s="88">
        <f>AV2+30</f>
        <v/>
      </c>
      <c r="CB2" s="88">
        <f>AW2+30</f>
        <v/>
      </c>
      <c r="CC2" s="88">
        <f>AX2+30</f>
        <v/>
      </c>
      <c r="CD2" s="88">
        <f>AY2+30</f>
        <v/>
      </c>
      <c r="CE2" s="88">
        <f>AZ2+30</f>
        <v/>
      </c>
      <c r="CF2" s="88">
        <f>BA2+30</f>
        <v/>
      </c>
      <c r="CG2" s="88">
        <f>BB2+30</f>
        <v/>
      </c>
      <c r="CH2" s="88">
        <f>BC2+30</f>
        <v/>
      </c>
      <c r="CI2" s="88">
        <f>BD2+30</f>
        <v/>
      </c>
      <c r="CJ2" s="88">
        <f>BE2+30</f>
        <v/>
      </c>
      <c r="CK2" s="88">
        <f>BF2+30</f>
        <v/>
      </c>
      <c r="CL2" s="88">
        <f>BG2+30</f>
        <v/>
      </c>
      <c r="CM2" s="88">
        <f>BH2+30</f>
        <v/>
      </c>
      <c r="CN2" s="88">
        <f>BI2+30</f>
        <v/>
      </c>
      <c r="CO2" s="88">
        <f>BJ2+30</f>
        <v/>
      </c>
      <c r="CP2" s="88">
        <f>BK2+30</f>
        <v/>
      </c>
      <c r="CQ2" s="88">
        <f>BL2+30</f>
        <v/>
      </c>
      <c r="CR2" s="88">
        <f>BN2+30</f>
        <v/>
      </c>
      <c r="CS2" t="inlineStr">
        <is>
          <t>Monthly Total</t>
        </is>
      </c>
      <c r="CT2" s="88">
        <f>BO2+30</f>
        <v/>
      </c>
      <c r="CU2" s="88">
        <f>BP2+30</f>
        <v/>
      </c>
      <c r="CV2" s="88">
        <f>BQ2+30</f>
        <v/>
      </c>
      <c r="CW2" s="88">
        <f>BR2+30</f>
        <v/>
      </c>
      <c r="CX2" s="88">
        <f>BS2+30</f>
        <v/>
      </c>
      <c r="CY2" s="88">
        <f>BT2+30</f>
        <v/>
      </c>
      <c r="CZ2" s="88">
        <f>BU2+30</f>
        <v/>
      </c>
      <c r="DA2" s="88">
        <f>BV2+30</f>
        <v/>
      </c>
      <c r="DB2" s="88">
        <f>BW2+30</f>
        <v/>
      </c>
      <c r="DC2" s="88">
        <f>BX2+30</f>
        <v/>
      </c>
      <c r="DD2" s="88">
        <f>BY2+30</f>
        <v/>
      </c>
      <c r="DE2" s="88">
        <f>BZ2+30</f>
        <v/>
      </c>
      <c r="DF2" s="88">
        <f>CA2+30</f>
        <v/>
      </c>
      <c r="DG2" s="88">
        <f>CB2+30</f>
        <v/>
      </c>
      <c r="DH2" s="88">
        <f>CC2+30</f>
        <v/>
      </c>
      <c r="DI2" s="88">
        <f>CD2+30</f>
        <v/>
      </c>
      <c r="DJ2" s="88">
        <f>CE2+30</f>
        <v/>
      </c>
      <c r="DK2" s="88">
        <f>CF2+30</f>
        <v/>
      </c>
      <c r="DL2" s="88">
        <f>CG2+30</f>
        <v/>
      </c>
      <c r="DM2" s="88">
        <f>CH2+30</f>
        <v/>
      </c>
      <c r="DN2" s="88">
        <f>CI2+30</f>
        <v/>
      </c>
      <c r="DO2" s="88">
        <f>CJ2+30</f>
        <v/>
      </c>
      <c r="DP2" s="88">
        <f>CK2+30</f>
        <v/>
      </c>
      <c r="DQ2" s="88">
        <f>CL2+30</f>
        <v/>
      </c>
      <c r="DR2" s="88">
        <f>CM2+30</f>
        <v/>
      </c>
      <c r="DS2" s="88">
        <f>CN2+30</f>
        <v/>
      </c>
      <c r="DT2" s="88">
        <f>CO2+30</f>
        <v/>
      </c>
      <c r="DU2" s="88">
        <f>CP2+30</f>
        <v/>
      </c>
      <c r="DV2" s="88">
        <f>CQ2+30</f>
        <v/>
      </c>
      <c r="DW2" s="88">
        <f>CR2+30</f>
        <v/>
      </c>
      <c r="DX2" t="inlineStr">
        <is>
          <t>MONTHLY TOTAL</t>
        </is>
      </c>
      <c r="DY2" s="115" t="n">
        <v>45261</v>
      </c>
      <c r="DZ2" s="115">
        <f>DY2+1</f>
        <v/>
      </c>
      <c r="EA2" s="115">
        <f>DZ2+1</f>
        <v/>
      </c>
      <c r="EB2" s="115">
        <f>EA2+1</f>
        <v/>
      </c>
      <c r="EC2" s="115">
        <f>EB2+1</f>
        <v/>
      </c>
      <c r="ED2" s="115">
        <f>EC2+1</f>
        <v/>
      </c>
      <c r="EE2" s="115">
        <f>ED2+1</f>
        <v/>
      </c>
      <c r="EF2" s="115">
        <f>EE2+1</f>
        <v/>
      </c>
      <c r="EG2" s="115">
        <f>EF2+1</f>
        <v/>
      </c>
      <c r="EH2" s="115">
        <f>EG2+1</f>
        <v/>
      </c>
      <c r="EI2" s="115">
        <f>EH2+1</f>
        <v/>
      </c>
      <c r="EJ2" s="115">
        <f>EI2+1</f>
        <v/>
      </c>
      <c r="EK2" s="115">
        <f>EJ2+1</f>
        <v/>
      </c>
      <c r="EL2" s="115">
        <f>EK2+1</f>
        <v/>
      </c>
      <c r="EM2" s="115">
        <f>EL2+1</f>
        <v/>
      </c>
      <c r="EN2" s="115">
        <f>EM2+1</f>
        <v/>
      </c>
      <c r="EO2" s="115">
        <f>EN2+1</f>
        <v/>
      </c>
      <c r="EP2" s="115">
        <f>EO2+1</f>
        <v/>
      </c>
      <c r="EQ2" s="115">
        <f>EP2+1</f>
        <v/>
      </c>
      <c r="ER2" s="115">
        <f>EQ2+1</f>
        <v/>
      </c>
      <c r="ES2" s="115">
        <f>ER2+1</f>
        <v/>
      </c>
      <c r="ET2" s="115">
        <f>ES2+1</f>
        <v/>
      </c>
      <c r="EU2" s="115">
        <f>ET2+1</f>
        <v/>
      </c>
      <c r="EV2" s="115">
        <f>EU2+1</f>
        <v/>
      </c>
      <c r="EW2" s="115">
        <f>EV2+1</f>
        <v/>
      </c>
      <c r="EX2" s="115">
        <f>EW2+1</f>
        <v/>
      </c>
      <c r="EY2" s="115">
        <f>EX2+1</f>
        <v/>
      </c>
      <c r="EZ2" s="115">
        <f>EY2+1</f>
        <v/>
      </c>
      <c r="FA2" s="115">
        <f>EZ2+1</f>
        <v/>
      </c>
      <c r="FB2" s="115">
        <f>FA2+1</f>
        <v/>
      </c>
      <c r="FC2" s="115">
        <f>FB2+1</f>
        <v/>
      </c>
      <c r="FD2" s="125" t="inlineStr">
        <is>
          <t>MONTHLY TOTAL</t>
        </is>
      </c>
      <c r="FE2" s="115">
        <f>FC2+1</f>
        <v/>
      </c>
      <c r="FF2" s="115">
        <f>FE2+1</f>
        <v/>
      </c>
      <c r="FG2" s="115">
        <f>FF2+1</f>
        <v/>
      </c>
      <c r="FH2" s="115">
        <f>FG2+1</f>
        <v/>
      </c>
      <c r="FI2" s="115">
        <f>FH2+1</f>
        <v/>
      </c>
      <c r="FJ2" s="115">
        <f>FI2+1</f>
        <v/>
      </c>
      <c r="FK2" s="115">
        <f>FJ2+1</f>
        <v/>
      </c>
      <c r="FL2" s="115">
        <f>FK2+1</f>
        <v/>
      </c>
      <c r="FM2" s="115">
        <f>FL2+1</f>
        <v/>
      </c>
      <c r="FN2" s="115">
        <f>FM2+1</f>
        <v/>
      </c>
      <c r="FO2" s="115">
        <f>FN2+1</f>
        <v/>
      </c>
      <c r="FP2" s="115">
        <f>FO2+1</f>
        <v/>
      </c>
      <c r="FQ2" s="115">
        <f>FP2+1</f>
        <v/>
      </c>
      <c r="FR2" s="115">
        <f>FQ2+1</f>
        <v/>
      </c>
      <c r="FS2" s="115">
        <f>FR2+1</f>
        <v/>
      </c>
      <c r="FT2" s="115">
        <f>FS2+1</f>
        <v/>
      </c>
      <c r="FU2" s="115">
        <f>FT2+1</f>
        <v/>
      </c>
      <c r="FV2" s="115">
        <f>FU2+1</f>
        <v/>
      </c>
      <c r="FW2" s="115">
        <f>FV2+1</f>
        <v/>
      </c>
      <c r="FX2" s="115">
        <f>FW2+1</f>
        <v/>
      </c>
      <c r="FY2" s="115">
        <f>FX2+1</f>
        <v/>
      </c>
      <c r="FZ2" s="115">
        <f>FY2+1</f>
        <v/>
      </c>
      <c r="GA2" s="115">
        <f>FZ2+1</f>
        <v/>
      </c>
      <c r="GB2" s="115">
        <f>GA2+1</f>
        <v/>
      </c>
      <c r="GC2" s="115">
        <f>GB2+1</f>
        <v/>
      </c>
      <c r="GD2" s="115">
        <f>GC2+1</f>
        <v/>
      </c>
      <c r="GE2" s="115">
        <f>GD2+1</f>
        <v/>
      </c>
      <c r="GF2" s="115">
        <f>GE2+1</f>
        <v/>
      </c>
      <c r="GG2" s="115">
        <f>GF2+1</f>
        <v/>
      </c>
      <c r="GH2" s="115">
        <f>GG2+1</f>
        <v/>
      </c>
      <c r="GI2" s="115">
        <f>GH2+1</f>
        <v/>
      </c>
      <c r="GJ2" s="125" t="inlineStr">
        <is>
          <t>MONTHLY TOTAL</t>
        </is>
      </c>
      <c r="GK2" s="115">
        <f>GI2+1</f>
        <v/>
      </c>
      <c r="GL2" s="115">
        <f>GK2+1</f>
        <v/>
      </c>
      <c r="GM2" s="115">
        <f>GL2+1</f>
        <v/>
      </c>
      <c r="GN2" s="115">
        <f>GM2+1</f>
        <v/>
      </c>
      <c r="GO2" s="115">
        <f>GN2+1</f>
        <v/>
      </c>
      <c r="GP2" s="115">
        <f>GO2+1</f>
        <v/>
      </c>
      <c r="GQ2" s="115">
        <f>GP2+1</f>
        <v/>
      </c>
      <c r="GR2" s="115">
        <f>GQ2+1</f>
        <v/>
      </c>
      <c r="GS2" s="115">
        <f>GR2+1</f>
        <v/>
      </c>
      <c r="GT2" s="115">
        <f>GS2+1</f>
        <v/>
      </c>
      <c r="GU2" s="115">
        <f>GT2+1</f>
        <v/>
      </c>
      <c r="GV2" s="115">
        <f>GU2+1</f>
        <v/>
      </c>
      <c r="GW2" s="115">
        <f>GV2+1</f>
        <v/>
      </c>
      <c r="GX2" s="115">
        <f>GW2+1</f>
        <v/>
      </c>
      <c r="GY2" s="115">
        <f>GX2+1</f>
        <v/>
      </c>
      <c r="GZ2" s="115">
        <f>GY2+1</f>
        <v/>
      </c>
      <c r="HA2" s="115">
        <f>GZ2+1</f>
        <v/>
      </c>
      <c r="HB2" s="115">
        <f>HA2+1</f>
        <v/>
      </c>
      <c r="HC2" s="115">
        <f>HB2+1</f>
        <v/>
      </c>
      <c r="HD2" s="115">
        <f>HC2+1</f>
        <v/>
      </c>
      <c r="HE2" s="115">
        <f>HD2+1</f>
        <v/>
      </c>
      <c r="HF2" s="115">
        <f>HE2+1</f>
        <v/>
      </c>
      <c r="HG2" s="115">
        <f>HF2+1</f>
        <v/>
      </c>
      <c r="HH2" s="115">
        <f>HG2+1</f>
        <v/>
      </c>
      <c r="HI2" s="115">
        <f>HH2+1</f>
        <v/>
      </c>
      <c r="HJ2" s="115">
        <f>HI2+1</f>
        <v/>
      </c>
      <c r="HK2" s="115">
        <f>HJ2+1</f>
        <v/>
      </c>
      <c r="HL2" s="115">
        <f>HK2+1</f>
        <v/>
      </c>
      <c r="HM2" s="115">
        <f>HL2+1</f>
        <v/>
      </c>
      <c r="HN2" s="125" t="inlineStr">
        <is>
          <t>MONTHLY TOTAL</t>
        </is>
      </c>
      <c r="HO2" s="115" t="n">
        <v>45352</v>
      </c>
      <c r="HP2" s="115">
        <f>HO2+1</f>
        <v/>
      </c>
      <c r="HQ2" s="115">
        <f>HP2+1</f>
        <v/>
      </c>
      <c r="HR2" s="115">
        <f>HQ2+1</f>
        <v/>
      </c>
      <c r="HS2" s="115">
        <f>HR2+1</f>
        <v/>
      </c>
      <c r="HT2" s="115">
        <f>HS2+1</f>
        <v/>
      </c>
      <c r="HU2" s="115">
        <f>HT2+1</f>
        <v/>
      </c>
      <c r="HV2" s="115">
        <f>HU2+1</f>
        <v/>
      </c>
      <c r="HW2" s="115">
        <f>HV2+1</f>
        <v/>
      </c>
      <c r="HX2" s="115">
        <f>HW2+1</f>
        <v/>
      </c>
      <c r="HY2" s="115">
        <f>HX2+1</f>
        <v/>
      </c>
      <c r="HZ2" s="115">
        <f>HY2+1</f>
        <v/>
      </c>
      <c r="IA2" s="115">
        <f>HZ2+1</f>
        <v/>
      </c>
      <c r="IB2" s="115">
        <f>IA2+1</f>
        <v/>
      </c>
      <c r="IC2" s="115">
        <f>IB2+1</f>
        <v/>
      </c>
      <c r="ID2" s="115">
        <f>IC2+1</f>
        <v/>
      </c>
      <c r="IE2" s="115">
        <f>ID2+1</f>
        <v/>
      </c>
      <c r="IF2" s="115">
        <f>IE2+1</f>
        <v/>
      </c>
      <c r="IG2" s="115">
        <f>IF2+1</f>
        <v/>
      </c>
      <c r="IH2" s="115">
        <f>IG2+1</f>
        <v/>
      </c>
      <c r="II2" s="115">
        <f>IH2+1</f>
        <v/>
      </c>
      <c r="IJ2" s="115">
        <f>II2+1</f>
        <v/>
      </c>
      <c r="IK2" s="115">
        <f>IJ2+1</f>
        <v/>
      </c>
      <c r="IL2" s="115">
        <f>IK2+1</f>
        <v/>
      </c>
      <c r="IM2" s="115">
        <f>IL2+1</f>
        <v/>
      </c>
      <c r="IN2" s="115">
        <f>IM2+1</f>
        <v/>
      </c>
      <c r="IO2" s="115">
        <f>IN2+1</f>
        <v/>
      </c>
      <c r="IP2" s="115">
        <f>IO2+1</f>
        <v/>
      </c>
      <c r="IQ2" s="115">
        <f>IP2+1</f>
        <v/>
      </c>
      <c r="IR2" s="115">
        <f>IQ2+1</f>
        <v/>
      </c>
      <c r="IS2" s="115">
        <f>IR2+1</f>
        <v/>
      </c>
      <c r="IT2" s="130" t="inlineStr">
        <is>
          <t>monthly total</t>
        </is>
      </c>
      <c r="IU2" s="138" t="n">
        <v>45383</v>
      </c>
      <c r="IV2" s="115">
        <f>IU2+1</f>
        <v/>
      </c>
      <c r="IW2" s="115">
        <f>IV2+1</f>
        <v/>
      </c>
      <c r="IX2" s="115">
        <f>IW2+1</f>
        <v/>
      </c>
      <c r="IY2" s="115">
        <f>IX2+1</f>
        <v/>
      </c>
      <c r="IZ2" s="115">
        <f>IY2+1</f>
        <v/>
      </c>
      <c r="JA2" s="115">
        <f>IZ2+1</f>
        <v/>
      </c>
      <c r="JB2" s="115">
        <f>JA2+1</f>
        <v/>
      </c>
      <c r="JC2" s="115">
        <f>JB2+1</f>
        <v/>
      </c>
      <c r="JD2" s="115">
        <f>JC2+1</f>
        <v/>
      </c>
      <c r="JE2" s="115">
        <f>JD2+1</f>
        <v/>
      </c>
      <c r="JF2" s="115">
        <f>JE2+1</f>
        <v/>
      </c>
      <c r="JG2" s="115">
        <f>JF2+1</f>
        <v/>
      </c>
      <c r="JH2" s="115">
        <f>JG2+1</f>
        <v/>
      </c>
      <c r="JI2" s="115">
        <f>JH2+1</f>
        <v/>
      </c>
      <c r="JJ2" s="115">
        <f>JI2+1</f>
        <v/>
      </c>
      <c r="JK2" s="115">
        <f>JJ2+1</f>
        <v/>
      </c>
      <c r="JL2" s="115">
        <f>JK2+1</f>
        <v/>
      </c>
      <c r="JM2" s="115">
        <f>JL2+1</f>
        <v/>
      </c>
      <c r="JN2" s="115">
        <f>JM2+1</f>
        <v/>
      </c>
      <c r="JO2" s="115">
        <f>JN2+1</f>
        <v/>
      </c>
      <c r="JP2" s="115">
        <f>JO2+1</f>
        <v/>
      </c>
      <c r="JQ2" s="115">
        <f>JP2+1</f>
        <v/>
      </c>
      <c r="JR2" s="115">
        <f>JQ2+1</f>
        <v/>
      </c>
      <c r="JS2" s="115">
        <f>JR2+1</f>
        <v/>
      </c>
      <c r="JT2" s="115">
        <f>JS2+1</f>
        <v/>
      </c>
      <c r="JU2" s="115">
        <f>JT2+1</f>
        <v/>
      </c>
      <c r="JV2" s="115">
        <f>JU2+1</f>
        <v/>
      </c>
      <c r="JW2" s="115">
        <f>JV2+1</f>
        <v/>
      </c>
      <c r="JX2" s="115">
        <f>JW2+1</f>
        <v/>
      </c>
      <c r="JY2" s="130" t="inlineStr">
        <is>
          <t>monthly total</t>
        </is>
      </c>
      <c r="JZ2" s="115" t="n">
        <v>45413</v>
      </c>
      <c r="KA2" s="115">
        <f>JZ2+1</f>
        <v/>
      </c>
      <c r="KB2" s="115">
        <f>KA2+1</f>
        <v/>
      </c>
      <c r="KC2" s="115">
        <f>KB2+1</f>
        <v/>
      </c>
      <c r="KD2" s="115">
        <f>KC2+1</f>
        <v/>
      </c>
      <c r="KE2" s="115">
        <f>KD2+1</f>
        <v/>
      </c>
      <c r="KF2" s="115">
        <f>KE2+1</f>
        <v/>
      </c>
      <c r="KG2" s="115">
        <f>KF2+1</f>
        <v/>
      </c>
      <c r="KH2" s="115">
        <f>KG2+1</f>
        <v/>
      </c>
      <c r="KI2" s="115">
        <f>KH2+1</f>
        <v/>
      </c>
      <c r="KJ2" s="115">
        <f>KI2+1</f>
        <v/>
      </c>
      <c r="KK2" s="115">
        <f>KJ2+1</f>
        <v/>
      </c>
      <c r="KL2" s="115">
        <f>KK2+1</f>
        <v/>
      </c>
      <c r="KM2" s="115">
        <f>KL2+1</f>
        <v/>
      </c>
      <c r="KN2" s="115">
        <f>KM2+1</f>
        <v/>
      </c>
      <c r="KO2" s="115">
        <f>KN2+1</f>
        <v/>
      </c>
      <c r="KP2" s="115">
        <f>KO2+1</f>
        <v/>
      </c>
      <c r="KQ2" s="115">
        <f>KP2+1</f>
        <v/>
      </c>
      <c r="KR2" s="115">
        <f>KQ2+1</f>
        <v/>
      </c>
      <c r="KS2" s="115">
        <f>KR2+1</f>
        <v/>
      </c>
      <c r="KT2" s="115">
        <f>KS2+1</f>
        <v/>
      </c>
      <c r="KU2" s="115">
        <f>KT2+1</f>
        <v/>
      </c>
      <c r="KV2" s="115">
        <f>KU2+1</f>
        <v/>
      </c>
      <c r="KW2" s="115">
        <f>KV2+1</f>
        <v/>
      </c>
      <c r="KX2" s="115">
        <f>KW2+1</f>
        <v/>
      </c>
      <c r="KY2" s="115">
        <f>KX2+1</f>
        <v/>
      </c>
      <c r="KZ2" s="115">
        <f>KY2+1</f>
        <v/>
      </c>
      <c r="LA2" s="115">
        <f>KZ2+1</f>
        <v/>
      </c>
      <c r="LB2" s="115">
        <f>LA2+1</f>
        <v/>
      </c>
      <c r="LC2" s="115">
        <f>LB2+1</f>
        <v/>
      </c>
      <c r="LD2" s="115">
        <f>LC2+1</f>
        <v/>
      </c>
      <c r="LE2" s="130" t="inlineStr">
        <is>
          <t>monthly total</t>
        </is>
      </c>
      <c r="LF2" s="115" t="inlineStr">
        <is>
          <t xml:space="preserve">1st - june </t>
        </is>
      </c>
      <c r="LG2" s="115" t="inlineStr">
        <is>
          <t xml:space="preserve">2nd - june </t>
        </is>
      </c>
      <c r="LH2" s="115" t="inlineStr">
        <is>
          <t xml:space="preserve">3rd - june </t>
        </is>
      </c>
      <c r="LI2" s="115" t="inlineStr">
        <is>
          <t xml:space="preserve">4th - june </t>
        </is>
      </c>
      <c r="LJ2" s="115" t="inlineStr">
        <is>
          <t xml:space="preserve">5th - june </t>
        </is>
      </c>
      <c r="LK2" s="115" t="inlineStr">
        <is>
          <t xml:space="preserve">6th - june </t>
        </is>
      </c>
      <c r="LL2" s="115" t="inlineStr">
        <is>
          <t xml:space="preserve">7th - june </t>
        </is>
      </c>
      <c r="LM2" s="115" t="inlineStr">
        <is>
          <t xml:space="preserve">8th - june </t>
        </is>
      </c>
      <c r="LN2" s="115" t="inlineStr">
        <is>
          <t xml:space="preserve">9th - june </t>
        </is>
      </c>
      <c r="LO2" s="115" t="inlineStr">
        <is>
          <t xml:space="preserve">10th - june </t>
        </is>
      </c>
      <c r="LP2" s="115" t="inlineStr">
        <is>
          <t xml:space="preserve">11th - june </t>
        </is>
      </c>
      <c r="LQ2" s="115" t="inlineStr">
        <is>
          <t xml:space="preserve">12th - june </t>
        </is>
      </c>
      <c r="LR2" s="115" t="inlineStr">
        <is>
          <t xml:space="preserve">13th - june </t>
        </is>
      </c>
      <c r="LS2" s="115" t="inlineStr">
        <is>
          <t xml:space="preserve">14th - june </t>
        </is>
      </c>
      <c r="LT2" s="115" t="inlineStr">
        <is>
          <t xml:space="preserve">15th - june </t>
        </is>
      </c>
      <c r="LU2" s="115" t="inlineStr">
        <is>
          <t xml:space="preserve">16th - june </t>
        </is>
      </c>
      <c r="LV2" s="115" t="inlineStr">
        <is>
          <t xml:space="preserve">17th - june </t>
        </is>
      </c>
      <c r="LW2" s="115" t="inlineStr">
        <is>
          <t xml:space="preserve">18th - june </t>
        </is>
      </c>
      <c r="LX2" s="115" t="inlineStr">
        <is>
          <t xml:space="preserve">19th - june </t>
        </is>
      </c>
      <c r="LY2" s="115" t="inlineStr">
        <is>
          <t xml:space="preserve">20th - june </t>
        </is>
      </c>
      <c r="LZ2" s="115" t="inlineStr">
        <is>
          <t xml:space="preserve">21st - june </t>
        </is>
      </c>
      <c r="MA2" s="115" t="inlineStr">
        <is>
          <t xml:space="preserve">22nd - june </t>
        </is>
      </c>
      <c r="MB2" s="115" t="inlineStr">
        <is>
          <t xml:space="preserve">23rd - june </t>
        </is>
      </c>
      <c r="MC2" s="115" t="inlineStr">
        <is>
          <t xml:space="preserve">24th - june </t>
        </is>
      </c>
      <c r="MD2" s="115" t="inlineStr">
        <is>
          <t xml:space="preserve">25th - june </t>
        </is>
      </c>
      <c r="ME2" s="115" t="inlineStr">
        <is>
          <t xml:space="preserve">26th - june </t>
        </is>
      </c>
      <c r="MF2" s="115" t="inlineStr">
        <is>
          <t xml:space="preserve">27th - june </t>
        </is>
      </c>
      <c r="MG2" s="115" t="inlineStr">
        <is>
          <t xml:space="preserve">28th - june </t>
        </is>
      </c>
      <c r="MH2" s="115" t="inlineStr">
        <is>
          <t xml:space="preserve">29th - june </t>
        </is>
      </c>
      <c r="MI2" s="115" t="inlineStr">
        <is>
          <t xml:space="preserve">30th - june </t>
        </is>
      </c>
      <c r="MJ2" s="130" t="inlineStr">
        <is>
          <t>monthly total</t>
        </is>
      </c>
      <c r="MK2" s="115" t="inlineStr">
        <is>
          <t>1st July</t>
        </is>
      </c>
      <c r="ML2" s="115" t="inlineStr">
        <is>
          <t>2nd July</t>
        </is>
      </c>
      <c r="MM2" s="115" t="inlineStr">
        <is>
          <t>3rd July</t>
        </is>
      </c>
      <c r="MN2" s="115" t="inlineStr">
        <is>
          <t>4th July</t>
        </is>
      </c>
      <c r="MO2" s="115" t="inlineStr">
        <is>
          <t>5th July</t>
        </is>
      </c>
      <c r="MP2" s="115" t="inlineStr">
        <is>
          <t>6th July</t>
        </is>
      </c>
      <c r="MQ2" s="115" t="inlineStr">
        <is>
          <t>7th July</t>
        </is>
      </c>
      <c r="MR2" s="115" t="inlineStr">
        <is>
          <t>8th July</t>
        </is>
      </c>
      <c r="MS2" s="115" t="inlineStr">
        <is>
          <t>9th July</t>
        </is>
      </c>
      <c r="MT2" s="115" t="inlineStr">
        <is>
          <t>10th July</t>
        </is>
      </c>
      <c r="MU2" s="115" t="inlineStr">
        <is>
          <t>11th July</t>
        </is>
      </c>
      <c r="MV2" s="115" t="inlineStr">
        <is>
          <t>12th July</t>
        </is>
      </c>
      <c r="MW2" s="115" t="inlineStr">
        <is>
          <t>13th July</t>
        </is>
      </c>
      <c r="MX2" s="115" t="inlineStr">
        <is>
          <t>14th July</t>
        </is>
      </c>
      <c r="MY2" s="115" t="inlineStr">
        <is>
          <t>15th July</t>
        </is>
      </c>
      <c r="MZ2" s="115" t="inlineStr">
        <is>
          <t>16th July</t>
        </is>
      </c>
      <c r="NA2" s="115" t="inlineStr">
        <is>
          <t>17th July</t>
        </is>
      </c>
      <c r="NB2" s="115" t="inlineStr">
        <is>
          <t>18th July</t>
        </is>
      </c>
      <c r="NC2" s="115" t="inlineStr">
        <is>
          <t>19th July</t>
        </is>
      </c>
      <c r="ND2" s="115" t="inlineStr">
        <is>
          <t>20th July</t>
        </is>
      </c>
      <c r="NE2" s="115" t="inlineStr">
        <is>
          <t>21st July</t>
        </is>
      </c>
      <c r="NF2" s="115" t="inlineStr">
        <is>
          <t>22nd July</t>
        </is>
      </c>
      <c r="NG2" s="115" t="inlineStr">
        <is>
          <t>23rd July</t>
        </is>
      </c>
      <c r="NH2" s="115" t="inlineStr">
        <is>
          <t>24th July</t>
        </is>
      </c>
      <c r="NI2" s="115" t="inlineStr">
        <is>
          <t>25th July</t>
        </is>
      </c>
      <c r="NJ2" s="115" t="inlineStr">
        <is>
          <t>26th July</t>
        </is>
      </c>
      <c r="NK2" s="115" t="inlineStr">
        <is>
          <t>27th July</t>
        </is>
      </c>
      <c r="NL2" s="115" t="inlineStr">
        <is>
          <t>28th July</t>
        </is>
      </c>
      <c r="NM2" s="115" t="inlineStr">
        <is>
          <t>29th July</t>
        </is>
      </c>
      <c r="NN2" s="115" t="inlineStr">
        <is>
          <t>30th July</t>
        </is>
      </c>
      <c r="NO2" s="115" t="inlineStr">
        <is>
          <t>31st July</t>
        </is>
      </c>
      <c r="NP2" s="130" t="inlineStr">
        <is>
          <t>monthly total</t>
        </is>
      </c>
      <c r="NQ2" s="115" t="inlineStr">
        <is>
          <t>1st aug</t>
        </is>
      </c>
      <c r="NR2" s="115" t="inlineStr">
        <is>
          <t>2nd aug</t>
        </is>
      </c>
      <c r="NS2" s="115" t="inlineStr">
        <is>
          <t>3rd aug</t>
        </is>
      </c>
      <c r="NT2" s="115" t="inlineStr">
        <is>
          <t>4th aug</t>
        </is>
      </c>
      <c r="NU2" s="115" t="inlineStr">
        <is>
          <t>5th aug</t>
        </is>
      </c>
      <c r="NV2" s="115" t="inlineStr">
        <is>
          <t>6th aug</t>
        </is>
      </c>
      <c r="NW2" s="115" t="inlineStr">
        <is>
          <t>7th aug</t>
        </is>
      </c>
      <c r="NX2" s="115" t="inlineStr">
        <is>
          <t>8th aug</t>
        </is>
      </c>
      <c r="NY2" s="115" t="inlineStr">
        <is>
          <t>9th aug</t>
        </is>
      </c>
      <c r="NZ2" s="115" t="inlineStr">
        <is>
          <t>10th aug</t>
        </is>
      </c>
      <c r="OA2" s="115" t="inlineStr">
        <is>
          <t>11th aug</t>
        </is>
      </c>
      <c r="OB2" s="115" t="inlineStr">
        <is>
          <t>12th aug</t>
        </is>
      </c>
      <c r="OC2" s="115" t="inlineStr">
        <is>
          <t>13th aug</t>
        </is>
      </c>
      <c r="OD2" s="115" t="inlineStr">
        <is>
          <t>14th aug</t>
        </is>
      </c>
      <c r="OE2" s="115" t="inlineStr">
        <is>
          <t>15th aug</t>
        </is>
      </c>
      <c r="OF2" s="115" t="inlineStr">
        <is>
          <t>16th aug</t>
        </is>
      </c>
      <c r="OG2" s="115" t="inlineStr">
        <is>
          <t>17th aug</t>
        </is>
      </c>
      <c r="OH2" s="115" t="inlineStr">
        <is>
          <t>18th aug</t>
        </is>
      </c>
      <c r="OI2" s="115" t="inlineStr">
        <is>
          <t>19th aug</t>
        </is>
      </c>
      <c r="OJ2" s="115" t="inlineStr">
        <is>
          <t>20th aug</t>
        </is>
      </c>
      <c r="OK2" s="115" t="inlineStr">
        <is>
          <t>21st aug</t>
        </is>
      </c>
      <c r="OL2" s="115" t="inlineStr">
        <is>
          <t>22nd aug</t>
        </is>
      </c>
      <c r="OM2" s="115" t="inlineStr">
        <is>
          <t>23rd aug</t>
        </is>
      </c>
      <c r="ON2" s="115" t="inlineStr">
        <is>
          <t>24th aug</t>
        </is>
      </c>
      <c r="OO2" s="115" t="inlineStr">
        <is>
          <t>25th aug</t>
        </is>
      </c>
      <c r="OP2" s="115" t="inlineStr">
        <is>
          <t>26th aug</t>
        </is>
      </c>
      <c r="OQ2" s="115" t="inlineStr">
        <is>
          <t>27th aug</t>
        </is>
      </c>
      <c r="OR2" s="115" t="inlineStr">
        <is>
          <t>28th aug</t>
        </is>
      </c>
      <c r="OS2" s="115" t="inlineStr">
        <is>
          <t>29th aug</t>
        </is>
      </c>
      <c r="OT2" s="115" t="inlineStr">
        <is>
          <t>30th aug</t>
        </is>
      </c>
      <c r="OU2" s="115" t="inlineStr">
        <is>
          <t>31st aug</t>
        </is>
      </c>
      <c r="OV2" s="130" t="inlineStr">
        <is>
          <t>monthly total</t>
        </is>
      </c>
      <c r="OW2" s="115" t="inlineStr">
        <is>
          <t>1st sep</t>
        </is>
      </c>
      <c r="OX2" s="115" t="inlineStr">
        <is>
          <t>2nd sep</t>
        </is>
      </c>
      <c r="OY2" s="115" t="inlineStr">
        <is>
          <t>3rd sep</t>
        </is>
      </c>
      <c r="OZ2" s="115" t="inlineStr">
        <is>
          <t>4th sep</t>
        </is>
      </c>
      <c r="PA2" s="115" t="inlineStr">
        <is>
          <t>5th sep</t>
        </is>
      </c>
      <c r="PB2" s="115" t="inlineStr">
        <is>
          <t>6th sep</t>
        </is>
      </c>
      <c r="PC2" s="115" t="inlineStr">
        <is>
          <t>7th sep</t>
        </is>
      </c>
      <c r="PD2" s="115" t="inlineStr">
        <is>
          <t>8th sep</t>
        </is>
      </c>
      <c r="PE2" s="115" t="inlineStr">
        <is>
          <t>9th sep</t>
        </is>
      </c>
      <c r="PF2" s="115" t="inlineStr">
        <is>
          <t>10th sep</t>
        </is>
      </c>
      <c r="PG2" s="115" t="inlineStr">
        <is>
          <t>11th sep</t>
        </is>
      </c>
      <c r="PH2" s="115" t="inlineStr">
        <is>
          <t>12th sep</t>
        </is>
      </c>
      <c r="PI2" s="115" t="inlineStr">
        <is>
          <t>13th sep</t>
        </is>
      </c>
      <c r="PJ2" s="115" t="inlineStr">
        <is>
          <t>14th sep</t>
        </is>
      </c>
      <c r="PK2" s="115" t="inlineStr">
        <is>
          <t>15th sep</t>
        </is>
      </c>
      <c r="PL2" s="115" t="inlineStr">
        <is>
          <t>16th sep</t>
        </is>
      </c>
      <c r="PM2" s="115" t="inlineStr">
        <is>
          <t>17th sep</t>
        </is>
      </c>
      <c r="PN2" s="115" t="inlineStr">
        <is>
          <t>18th sep</t>
        </is>
      </c>
      <c r="PO2" s="115" t="inlineStr">
        <is>
          <t>19th sep</t>
        </is>
      </c>
      <c r="PP2" s="115" t="inlineStr">
        <is>
          <t>20th sep</t>
        </is>
      </c>
      <c r="PQ2" s="115" t="inlineStr">
        <is>
          <t>21st sep</t>
        </is>
      </c>
      <c r="PR2" s="115" t="inlineStr">
        <is>
          <t>22nd sep</t>
        </is>
      </c>
      <c r="PS2" s="115" t="inlineStr">
        <is>
          <t>23rd sep</t>
        </is>
      </c>
      <c r="PT2" s="115" t="inlineStr">
        <is>
          <t>24th sep</t>
        </is>
      </c>
      <c r="PU2" s="115" t="inlineStr">
        <is>
          <t>25th sep</t>
        </is>
      </c>
      <c r="PV2" s="115" t="inlineStr">
        <is>
          <t>26th sep</t>
        </is>
      </c>
      <c r="PW2" s="115" t="inlineStr">
        <is>
          <t>27th sep</t>
        </is>
      </c>
      <c r="PX2" s="115" t="inlineStr">
        <is>
          <t>28th sep</t>
        </is>
      </c>
      <c r="PY2" s="115" t="inlineStr">
        <is>
          <t>29th sep</t>
        </is>
      </c>
      <c r="PZ2" s="115" t="inlineStr">
        <is>
          <t>30th sep</t>
        </is>
      </c>
      <c r="QA2" s="130" t="inlineStr">
        <is>
          <t>monthly total</t>
        </is>
      </c>
      <c r="QB2" s="115" t="inlineStr">
        <is>
          <t>1st oct-24</t>
        </is>
      </c>
      <c r="QC2" s="115" t="inlineStr">
        <is>
          <t>2nd oct-24</t>
        </is>
      </c>
      <c r="QD2" s="115" t="inlineStr">
        <is>
          <t>3rd oct-24</t>
        </is>
      </c>
      <c r="QE2" s="115" t="inlineStr">
        <is>
          <t>4th oct-24</t>
        </is>
      </c>
      <c r="QF2" s="115" t="inlineStr">
        <is>
          <t>5th oct-24</t>
        </is>
      </c>
      <c r="QG2" s="115" t="inlineStr">
        <is>
          <t>6th oct-24</t>
        </is>
      </c>
      <c r="QH2" s="115" t="inlineStr">
        <is>
          <t>7th oct-24</t>
        </is>
      </c>
      <c r="QI2" s="115" t="inlineStr">
        <is>
          <t>8th oct-24</t>
        </is>
      </c>
      <c r="QJ2" s="115" t="inlineStr">
        <is>
          <t>9th oct-24</t>
        </is>
      </c>
      <c r="QK2" s="115" t="inlineStr">
        <is>
          <t>10th oct-24</t>
        </is>
      </c>
      <c r="QL2" s="115" t="inlineStr">
        <is>
          <t>11th oct-24</t>
        </is>
      </c>
      <c r="QM2" s="115" t="inlineStr">
        <is>
          <t>12th oct-24</t>
        </is>
      </c>
      <c r="QN2" s="115" t="inlineStr">
        <is>
          <t>13th oct-24</t>
        </is>
      </c>
      <c r="QO2" s="115" t="inlineStr">
        <is>
          <t>14th oct-24</t>
        </is>
      </c>
      <c r="QP2" s="115" t="inlineStr">
        <is>
          <t>15th oct-24</t>
        </is>
      </c>
      <c r="QQ2" s="115" t="inlineStr">
        <is>
          <t>16th oct-24</t>
        </is>
      </c>
      <c r="QR2" s="115" t="inlineStr">
        <is>
          <t>17th oct-24</t>
        </is>
      </c>
      <c r="QS2" s="115" t="inlineStr">
        <is>
          <t>18th oct-24</t>
        </is>
      </c>
      <c r="QT2" s="115" t="inlineStr">
        <is>
          <t>19th oct-24</t>
        </is>
      </c>
      <c r="QU2" s="115" t="inlineStr">
        <is>
          <t>20th oct-24</t>
        </is>
      </c>
      <c r="QV2" s="115" t="inlineStr">
        <is>
          <t>21st oct-24</t>
        </is>
      </c>
      <c r="QW2" s="115" t="inlineStr">
        <is>
          <t>22nd oct-24</t>
        </is>
      </c>
      <c r="QX2" s="115" t="inlineStr">
        <is>
          <t>23rd oct-24</t>
        </is>
      </c>
      <c r="QY2" s="115" t="inlineStr">
        <is>
          <t>24th oct-24</t>
        </is>
      </c>
      <c r="QZ2" s="115" t="inlineStr">
        <is>
          <t>25th oct-24</t>
        </is>
      </c>
      <c r="RA2" s="115" t="inlineStr">
        <is>
          <t>26th oct-24</t>
        </is>
      </c>
      <c r="RB2" s="115" t="inlineStr">
        <is>
          <t>27th oct-24</t>
        </is>
      </c>
      <c r="RC2" s="115" t="inlineStr">
        <is>
          <t>28th oct-24</t>
        </is>
      </c>
      <c r="RD2" s="115" t="inlineStr">
        <is>
          <t>29th oct-24</t>
        </is>
      </c>
      <c r="RE2" s="115" t="inlineStr">
        <is>
          <t>30th oct-24</t>
        </is>
      </c>
      <c r="RF2" s="115" t="inlineStr">
        <is>
          <t>31st oct-24</t>
        </is>
      </c>
      <c r="RG2" s="130" t="inlineStr">
        <is>
          <t>monthly total</t>
        </is>
      </c>
      <c r="RH2" s="115" t="inlineStr">
        <is>
          <t>1st nov-2024</t>
        </is>
      </c>
      <c r="RI2" s="115" t="inlineStr">
        <is>
          <t>2nd nov-2024</t>
        </is>
      </c>
      <c r="RJ2" s="115" t="inlineStr">
        <is>
          <t>3rd nov-2024</t>
        </is>
      </c>
      <c r="RK2" s="115" t="inlineStr">
        <is>
          <t>4th nov-2024</t>
        </is>
      </c>
      <c r="RL2" s="115" t="inlineStr">
        <is>
          <t>5th nov-2024</t>
        </is>
      </c>
      <c r="RM2" s="115" t="inlineStr">
        <is>
          <t>6th nov-2024</t>
        </is>
      </c>
      <c r="RN2" s="115" t="inlineStr">
        <is>
          <t>7th nov-2024</t>
        </is>
      </c>
      <c r="RO2" s="115" t="inlineStr">
        <is>
          <t>8th nov-2024</t>
        </is>
      </c>
      <c r="RP2" s="115" t="inlineStr">
        <is>
          <t>9th nov-2024</t>
        </is>
      </c>
      <c r="RQ2" s="115" t="inlineStr">
        <is>
          <t>10th nov-2024</t>
        </is>
      </c>
      <c r="RR2" s="115" t="inlineStr">
        <is>
          <t>11th nov-2024</t>
        </is>
      </c>
      <c r="RS2" s="115" t="inlineStr">
        <is>
          <t>12th nov-2024</t>
        </is>
      </c>
      <c r="RT2" s="115" t="inlineStr">
        <is>
          <t>13th nov-2024</t>
        </is>
      </c>
      <c r="RU2" s="115" t="inlineStr">
        <is>
          <t>14th nov-2024</t>
        </is>
      </c>
      <c r="RV2" s="115" t="inlineStr">
        <is>
          <t>15th nov-2024</t>
        </is>
      </c>
      <c r="RW2" s="115" t="inlineStr">
        <is>
          <t>16th nov-2024</t>
        </is>
      </c>
      <c r="RX2" s="115" t="inlineStr">
        <is>
          <t>17th nov-2024</t>
        </is>
      </c>
      <c r="RY2" s="115" t="inlineStr">
        <is>
          <t>18th nov-2024</t>
        </is>
      </c>
      <c r="RZ2" s="115" t="inlineStr">
        <is>
          <t>19th nov-2024</t>
        </is>
      </c>
      <c r="SA2" s="115" t="inlineStr">
        <is>
          <t>20th nov-2024</t>
        </is>
      </c>
      <c r="SB2" s="115" t="inlineStr">
        <is>
          <t>21st nov-2024</t>
        </is>
      </c>
      <c r="SC2" s="115" t="inlineStr">
        <is>
          <t>22nd nov-2024</t>
        </is>
      </c>
      <c r="SD2" s="115" t="inlineStr">
        <is>
          <t>23rd nov-2024</t>
        </is>
      </c>
      <c r="SE2" s="115" t="inlineStr">
        <is>
          <t>24th nov-2024</t>
        </is>
      </c>
      <c r="SF2" s="115" t="inlineStr">
        <is>
          <t>25th nov-2024</t>
        </is>
      </c>
      <c r="SG2" s="115" t="inlineStr">
        <is>
          <t>26th nov-2024</t>
        </is>
      </c>
      <c r="SH2" s="115" t="inlineStr">
        <is>
          <t>27th nov-2024</t>
        </is>
      </c>
      <c r="SI2" s="115" t="inlineStr">
        <is>
          <t>28th nov-2024</t>
        </is>
      </c>
      <c r="SJ2" s="115" t="inlineStr">
        <is>
          <t>29th nov-2024</t>
        </is>
      </c>
      <c r="SK2" s="115" t="inlineStr">
        <is>
          <t>30th nov-2024</t>
        </is>
      </c>
      <c r="SL2" s="115" t="inlineStr">
        <is>
          <t>31st nov-2024</t>
        </is>
      </c>
      <c r="SM2" s="130" t="inlineStr">
        <is>
          <t>monthly total</t>
        </is>
      </c>
      <c r="SN2" s="115" t="inlineStr">
        <is>
          <t>1st dec- 2024</t>
        </is>
      </c>
      <c r="SO2" s="115" t="inlineStr">
        <is>
          <t>2nd dec- 2024</t>
        </is>
      </c>
      <c r="SP2" s="115" t="inlineStr">
        <is>
          <t>3rd dec- 2024</t>
        </is>
      </c>
      <c r="SQ2" s="115" t="inlineStr">
        <is>
          <t>4th dec- 2024</t>
        </is>
      </c>
      <c r="SR2" s="115" t="inlineStr">
        <is>
          <t>5th dec- 2024</t>
        </is>
      </c>
      <c r="SS2" s="115" t="inlineStr">
        <is>
          <t>6th dec- 2024</t>
        </is>
      </c>
      <c r="ST2" s="115" t="inlineStr">
        <is>
          <t>7th dec- 2024</t>
        </is>
      </c>
      <c r="SU2" s="115" t="inlineStr">
        <is>
          <t>8th dec- 2024</t>
        </is>
      </c>
      <c r="SV2" s="115" t="inlineStr">
        <is>
          <t>9th dec- 2024</t>
        </is>
      </c>
      <c r="SW2" s="115" t="inlineStr">
        <is>
          <t>10th dec- 2024</t>
        </is>
      </c>
      <c r="SX2" s="115" t="inlineStr">
        <is>
          <t>11th dec- 2024</t>
        </is>
      </c>
      <c r="SY2" s="115" t="inlineStr">
        <is>
          <t>12th dec- 2024</t>
        </is>
      </c>
      <c r="SZ2" s="115" t="inlineStr">
        <is>
          <t>13th dec- 2024</t>
        </is>
      </c>
      <c r="TA2" s="115" t="inlineStr">
        <is>
          <t>14th dec- 2024</t>
        </is>
      </c>
      <c r="TB2" s="115" t="inlineStr">
        <is>
          <t>15th dec- 2024</t>
        </is>
      </c>
      <c r="TC2" s="115" t="inlineStr">
        <is>
          <t>16th dec- 2024</t>
        </is>
      </c>
      <c r="TD2" s="115" t="inlineStr">
        <is>
          <t>17th dec- 2024</t>
        </is>
      </c>
      <c r="TE2" s="115" t="inlineStr">
        <is>
          <t>18th dec- 2024</t>
        </is>
      </c>
      <c r="TF2" s="115" t="inlineStr">
        <is>
          <t>19th dec- 2024</t>
        </is>
      </c>
      <c r="TG2" s="115" t="inlineStr">
        <is>
          <t>20th dec- 2024</t>
        </is>
      </c>
      <c r="TH2" s="115" t="inlineStr">
        <is>
          <t>21st dec- 2024</t>
        </is>
      </c>
      <c r="TI2" s="115" t="inlineStr">
        <is>
          <t>22nd dec- 2024</t>
        </is>
      </c>
      <c r="TJ2" s="115" t="inlineStr">
        <is>
          <t>23rd dec- 2024</t>
        </is>
      </c>
      <c r="TK2" s="115" t="inlineStr">
        <is>
          <t>24th dec- 2024</t>
        </is>
      </c>
      <c r="TL2" s="115" t="inlineStr">
        <is>
          <t>25th dec- 2024</t>
        </is>
      </c>
      <c r="TM2" s="115" t="inlineStr">
        <is>
          <t>26th dec- 2024</t>
        </is>
      </c>
      <c r="TN2" s="115" t="inlineStr">
        <is>
          <t>27th dec- 2024</t>
        </is>
      </c>
      <c r="TO2" s="115" t="inlineStr">
        <is>
          <t>28th dec- 2024</t>
        </is>
      </c>
      <c r="TP2" s="115" t="inlineStr">
        <is>
          <t>29th dec- 2024</t>
        </is>
      </c>
      <c r="TQ2" s="115" t="inlineStr">
        <is>
          <t>30th dec- 2024</t>
        </is>
      </c>
      <c r="TR2" s="115" t="inlineStr">
        <is>
          <t>31st dec- 2024</t>
        </is>
      </c>
      <c r="TS2" s="130" t="inlineStr">
        <is>
          <t>monthly total</t>
        </is>
      </c>
      <c r="TT2" s="115" t="inlineStr">
        <is>
          <t>1st jan-2025</t>
        </is>
      </c>
      <c r="TU2" s="115" t="inlineStr">
        <is>
          <t>2nd jan-2025</t>
        </is>
      </c>
      <c r="TV2" s="115" t="inlineStr">
        <is>
          <t>3rd jan-2025</t>
        </is>
      </c>
      <c r="TW2" s="115" t="inlineStr">
        <is>
          <t>4th jan-2025</t>
        </is>
      </c>
      <c r="TX2" s="115" t="inlineStr">
        <is>
          <t>5th jan-2025</t>
        </is>
      </c>
      <c r="TY2" s="115" t="inlineStr">
        <is>
          <t>6th jan-2025</t>
        </is>
      </c>
      <c r="TZ2" s="115" t="inlineStr">
        <is>
          <t>7th jan-2025</t>
        </is>
      </c>
      <c r="UA2" s="115" t="inlineStr">
        <is>
          <t>8th jan-2025</t>
        </is>
      </c>
      <c r="UB2" s="115" t="inlineStr">
        <is>
          <t>9th jan-2025</t>
        </is>
      </c>
      <c r="UC2" s="115" t="inlineStr">
        <is>
          <t>10th jan-2025</t>
        </is>
      </c>
      <c r="UD2" s="115" t="inlineStr">
        <is>
          <t>11th jan-2025</t>
        </is>
      </c>
      <c r="UE2" s="115" t="inlineStr">
        <is>
          <t>12th jan-2025</t>
        </is>
      </c>
      <c r="UF2" s="115" t="inlineStr">
        <is>
          <t>13th jan-2025</t>
        </is>
      </c>
      <c r="UG2" s="115" t="inlineStr">
        <is>
          <t>14th jan-2025</t>
        </is>
      </c>
      <c r="UH2" s="115" t="inlineStr">
        <is>
          <t>15th jan-2025</t>
        </is>
      </c>
      <c r="UI2" s="115" t="inlineStr">
        <is>
          <t>16th jan-2025</t>
        </is>
      </c>
      <c r="UJ2" s="115" t="inlineStr">
        <is>
          <t>17th jan-2025</t>
        </is>
      </c>
      <c r="UK2" s="115" t="inlineStr">
        <is>
          <t>18th jan-2025</t>
        </is>
      </c>
      <c r="UL2" s="115" t="inlineStr">
        <is>
          <t>19th jan-2025</t>
        </is>
      </c>
      <c r="UM2" s="115" t="inlineStr">
        <is>
          <t>20th jan-2025</t>
        </is>
      </c>
      <c r="UN2" s="115" t="inlineStr">
        <is>
          <t>21st jan-2025</t>
        </is>
      </c>
      <c r="UO2" s="115" t="inlineStr">
        <is>
          <t>22nd jan-2025</t>
        </is>
      </c>
      <c r="UP2" s="115" t="inlineStr">
        <is>
          <t>23rd jan-2025</t>
        </is>
      </c>
      <c r="UQ2" s="115" t="inlineStr">
        <is>
          <t>24th jan-2025</t>
        </is>
      </c>
      <c r="UR2" s="115" t="inlineStr">
        <is>
          <t>25th jan-2025</t>
        </is>
      </c>
      <c r="US2" s="115" t="inlineStr">
        <is>
          <t>26th jan-2025</t>
        </is>
      </c>
      <c r="UT2" s="115" t="inlineStr">
        <is>
          <t>27th jan-2025</t>
        </is>
      </c>
      <c r="UU2" s="115" t="inlineStr">
        <is>
          <t>28th jan-2025</t>
        </is>
      </c>
      <c r="UV2" s="115" t="inlineStr">
        <is>
          <t>29th jan-2025</t>
        </is>
      </c>
      <c r="UW2" s="115" t="inlineStr">
        <is>
          <t>30th jan-2025</t>
        </is>
      </c>
      <c r="UX2" s="115" t="inlineStr">
        <is>
          <t>31st jan-2025</t>
        </is>
      </c>
      <c r="UY2" s="130" t="inlineStr">
        <is>
          <t>monthly total</t>
        </is>
      </c>
      <c r="UZ2" s="115" t="inlineStr">
        <is>
          <t>1st feb2025</t>
        </is>
      </c>
      <c r="VA2" s="115" t="inlineStr">
        <is>
          <t>2nd feb2025</t>
        </is>
      </c>
      <c r="VB2" s="115" t="inlineStr">
        <is>
          <t>3rd feb2025</t>
        </is>
      </c>
      <c r="VC2" s="115" t="inlineStr">
        <is>
          <t>4th feb2025</t>
        </is>
      </c>
      <c r="VD2" s="115" t="inlineStr">
        <is>
          <t>5th feb2025</t>
        </is>
      </c>
      <c r="VE2" s="115" t="inlineStr">
        <is>
          <t>6th feb2025</t>
        </is>
      </c>
      <c r="VF2" s="115" t="inlineStr">
        <is>
          <t>7th feb2025</t>
        </is>
      </c>
      <c r="VG2" s="115" t="inlineStr">
        <is>
          <t>8th feb2025</t>
        </is>
      </c>
      <c r="VH2" s="115" t="inlineStr">
        <is>
          <t>9th feb2025</t>
        </is>
      </c>
      <c r="VI2" s="115" t="inlineStr">
        <is>
          <t>10th feb2025</t>
        </is>
      </c>
      <c r="VJ2" s="115" t="inlineStr">
        <is>
          <t>11th feb2025</t>
        </is>
      </c>
      <c r="VK2" s="115" t="inlineStr">
        <is>
          <t>12th feb2025</t>
        </is>
      </c>
      <c r="VL2" s="115" t="inlineStr">
        <is>
          <t>13th feb2025</t>
        </is>
      </c>
      <c r="VM2" s="115" t="inlineStr">
        <is>
          <t>14th feb2025</t>
        </is>
      </c>
      <c r="VN2" s="115" t="inlineStr">
        <is>
          <t>15th feb2025</t>
        </is>
      </c>
      <c r="VO2" s="115" t="inlineStr">
        <is>
          <t>16th feb2025</t>
        </is>
      </c>
      <c r="VP2" s="115" t="inlineStr">
        <is>
          <t>17th feb2025</t>
        </is>
      </c>
      <c r="VQ2" s="115" t="inlineStr">
        <is>
          <t>18th feb2025</t>
        </is>
      </c>
      <c r="VR2" s="115" t="inlineStr">
        <is>
          <t>19th feb2025</t>
        </is>
      </c>
      <c r="VS2" s="115" t="inlineStr">
        <is>
          <t>20th feb2025</t>
        </is>
      </c>
      <c r="VT2" s="115" t="inlineStr">
        <is>
          <t>21st feb2025</t>
        </is>
      </c>
      <c r="VU2" s="115" t="inlineStr">
        <is>
          <t>22nd feb2025</t>
        </is>
      </c>
      <c r="VV2" s="115" t="inlineStr">
        <is>
          <t>23rd feb2025</t>
        </is>
      </c>
      <c r="VW2" s="115" t="inlineStr">
        <is>
          <t>24th feb2025</t>
        </is>
      </c>
      <c r="VX2" s="115" t="inlineStr">
        <is>
          <t>25th feb2025</t>
        </is>
      </c>
      <c r="VY2" s="115" t="inlineStr">
        <is>
          <t>26th feb2025</t>
        </is>
      </c>
      <c r="VZ2" s="115" t="inlineStr">
        <is>
          <t>27th feb2025</t>
        </is>
      </c>
      <c r="WA2" s="115" t="inlineStr">
        <is>
          <t>28th feb2025</t>
        </is>
      </c>
      <c r="WB2" s="130" t="inlineStr">
        <is>
          <t>monthly total</t>
        </is>
      </c>
      <c r="WC2" s="115" t="inlineStr">
        <is>
          <t>1st mar 2025</t>
        </is>
      </c>
      <c r="WD2" s="115" t="inlineStr">
        <is>
          <t>2nd mar 2025</t>
        </is>
      </c>
      <c r="WE2" s="115" t="inlineStr">
        <is>
          <t>3rd mar 2025</t>
        </is>
      </c>
      <c r="WF2" s="115" t="inlineStr">
        <is>
          <t>4th mar 2025</t>
        </is>
      </c>
      <c r="WG2" s="115" t="inlineStr">
        <is>
          <t>5th mar 2025</t>
        </is>
      </c>
      <c r="WH2" s="115" t="inlineStr">
        <is>
          <t>6th mar 2025</t>
        </is>
      </c>
      <c r="WI2" s="115" t="inlineStr">
        <is>
          <t>7th mar 2025</t>
        </is>
      </c>
      <c r="WJ2" s="115" t="inlineStr">
        <is>
          <t>8th mar 2025</t>
        </is>
      </c>
      <c r="WK2" s="115" t="inlineStr">
        <is>
          <t>9th mar 2025</t>
        </is>
      </c>
      <c r="WL2" s="115" t="inlineStr">
        <is>
          <t>10th mar 2025</t>
        </is>
      </c>
      <c r="WM2" s="115" t="inlineStr">
        <is>
          <t>11th mar 2025</t>
        </is>
      </c>
      <c r="WN2" s="115" t="inlineStr">
        <is>
          <t>12th mar 2025</t>
        </is>
      </c>
      <c r="WO2" s="115" t="inlineStr">
        <is>
          <t>13th mar 2025</t>
        </is>
      </c>
      <c r="WP2" s="115" t="inlineStr">
        <is>
          <t>14th mar 2025</t>
        </is>
      </c>
      <c r="WQ2" s="115" t="inlineStr">
        <is>
          <t>15th mar 2025</t>
        </is>
      </c>
      <c r="WR2" s="115" t="inlineStr">
        <is>
          <t>16th mar 2025</t>
        </is>
      </c>
      <c r="WS2" s="115" t="inlineStr">
        <is>
          <t>17th mar 2025</t>
        </is>
      </c>
      <c r="WT2" s="115" t="inlineStr">
        <is>
          <t>18th mar 2025</t>
        </is>
      </c>
      <c r="WU2" s="115" t="inlineStr">
        <is>
          <t>19th mar 2025</t>
        </is>
      </c>
      <c r="WV2" s="115" t="inlineStr">
        <is>
          <t>20th mar 2025</t>
        </is>
      </c>
      <c r="WW2" s="115" t="inlineStr">
        <is>
          <t>21st mar 2025</t>
        </is>
      </c>
      <c r="WX2" s="115" t="inlineStr">
        <is>
          <t>22nd mar 2025</t>
        </is>
      </c>
      <c r="WY2" s="115" t="inlineStr">
        <is>
          <t>23rd mar 2025</t>
        </is>
      </c>
      <c r="WZ2" s="115" t="inlineStr">
        <is>
          <t>24th mar 2025</t>
        </is>
      </c>
      <c r="XA2" s="115" t="inlineStr">
        <is>
          <t>25th mar 2025</t>
        </is>
      </c>
      <c r="XB2" s="115" t="inlineStr">
        <is>
          <t>26th mar 2025</t>
        </is>
      </c>
      <c r="XC2" s="115" t="inlineStr">
        <is>
          <t>27th mar 2025</t>
        </is>
      </c>
      <c r="XD2" s="115" t="inlineStr">
        <is>
          <t>28th mar 2025</t>
        </is>
      </c>
      <c r="XE2" s="115" t="inlineStr">
        <is>
          <t>29th mar 2025</t>
        </is>
      </c>
      <c r="XF2" s="115" t="inlineStr">
        <is>
          <t>30th mar 2025</t>
        </is>
      </c>
      <c r="XG2" s="115" t="inlineStr">
        <is>
          <t>31st mar 2025</t>
        </is>
      </c>
      <c r="XH2" s="130" t="inlineStr">
        <is>
          <t>monthly total</t>
        </is>
      </c>
      <c r="XI2" s="115" t="inlineStr">
        <is>
          <t>1st-apr2025</t>
        </is>
      </c>
      <c r="XJ2" s="115" t="inlineStr">
        <is>
          <t>2nd -apr2025</t>
        </is>
      </c>
      <c r="XK2" s="115" t="inlineStr">
        <is>
          <t>3rd -apr2025</t>
        </is>
      </c>
      <c r="XL2" s="115" t="inlineStr">
        <is>
          <t>4th -apr2025</t>
        </is>
      </c>
      <c r="XM2" s="115" t="inlineStr">
        <is>
          <t>5th -apr2025</t>
        </is>
      </c>
      <c r="XN2" s="115" t="inlineStr">
        <is>
          <t>6th -apr2025</t>
        </is>
      </c>
      <c r="XO2" s="115" t="inlineStr">
        <is>
          <t>7th -apr2025</t>
        </is>
      </c>
      <c r="XP2" s="115" t="inlineStr">
        <is>
          <t>8th -apr2025</t>
        </is>
      </c>
      <c r="XQ2" s="115" t="inlineStr">
        <is>
          <t>9th -apr2025</t>
        </is>
      </c>
      <c r="XR2" s="115" t="inlineStr">
        <is>
          <t>10th -apr2025</t>
        </is>
      </c>
      <c r="XS2" s="115" t="inlineStr">
        <is>
          <t>11th -apr2025</t>
        </is>
      </c>
      <c r="XT2" s="115" t="inlineStr">
        <is>
          <t>12th -apr2025</t>
        </is>
      </c>
      <c r="XU2" s="115" t="inlineStr">
        <is>
          <t>13th -apr2025</t>
        </is>
      </c>
      <c r="XV2" s="115" t="inlineStr">
        <is>
          <t>14th -apr2025</t>
        </is>
      </c>
      <c r="XW2" s="115" t="inlineStr">
        <is>
          <t>15th -apr2025</t>
        </is>
      </c>
      <c r="XX2" s="115" t="inlineStr">
        <is>
          <t>16th -apr2025</t>
        </is>
      </c>
      <c r="XY2" s="115" t="inlineStr">
        <is>
          <t>17th -apr2025</t>
        </is>
      </c>
      <c r="XZ2" s="115" t="inlineStr">
        <is>
          <t>18th -apr2025</t>
        </is>
      </c>
      <c r="YA2" s="115" t="inlineStr">
        <is>
          <t>19th -apr2025</t>
        </is>
      </c>
      <c r="YB2" s="115" t="inlineStr">
        <is>
          <t>20th -apr2025</t>
        </is>
      </c>
      <c r="YC2" s="115" t="inlineStr">
        <is>
          <t>21st -apr2025</t>
        </is>
      </c>
      <c r="YD2" s="115" t="inlineStr">
        <is>
          <t>22nd -apr2025</t>
        </is>
      </c>
      <c r="YE2" s="115" t="inlineStr">
        <is>
          <t>23rd -apr2025</t>
        </is>
      </c>
      <c r="YF2" s="115" t="inlineStr">
        <is>
          <t>24th -apr2025</t>
        </is>
      </c>
      <c r="YG2" s="115" t="inlineStr">
        <is>
          <t>25th -apr2025</t>
        </is>
      </c>
      <c r="YH2" s="115" t="inlineStr">
        <is>
          <t>26th -apr2025</t>
        </is>
      </c>
      <c r="YI2" s="115" t="inlineStr">
        <is>
          <t>27th -apr2025</t>
        </is>
      </c>
      <c r="YJ2" s="115" t="inlineStr">
        <is>
          <t>28th -apr2025</t>
        </is>
      </c>
      <c r="YK2" s="115" t="inlineStr">
        <is>
          <t>29th -apr2025</t>
        </is>
      </c>
      <c r="YL2" s="115" t="inlineStr">
        <is>
          <t>30th -apr2025</t>
        </is>
      </c>
      <c r="YM2" s="130" t="inlineStr">
        <is>
          <t>monthly total</t>
        </is>
      </c>
      <c r="YN2" s="115" t="inlineStr">
        <is>
          <t>1st May-2025</t>
        </is>
      </c>
      <c r="YO2" s="115" t="inlineStr">
        <is>
          <t>2nd May-2025</t>
        </is>
      </c>
      <c r="YP2" s="115" t="inlineStr">
        <is>
          <t>3rd May-2025</t>
        </is>
      </c>
      <c r="YQ2" s="115" t="inlineStr">
        <is>
          <t>4th May-2025</t>
        </is>
      </c>
      <c r="YR2" s="115" t="inlineStr">
        <is>
          <t>5th May-2025</t>
        </is>
      </c>
      <c r="YS2" s="115" t="inlineStr">
        <is>
          <t>6th May-2025</t>
        </is>
      </c>
      <c r="YT2" s="115" t="inlineStr">
        <is>
          <t>7th May-2025</t>
        </is>
      </c>
      <c r="YU2" s="115" t="inlineStr">
        <is>
          <t>8th May-2025</t>
        </is>
      </c>
      <c r="YV2" s="115" t="inlineStr">
        <is>
          <t>9th May-2025</t>
        </is>
      </c>
      <c r="YW2" s="115" t="inlineStr">
        <is>
          <t>10th May-2025</t>
        </is>
      </c>
      <c r="YX2" s="115" t="inlineStr">
        <is>
          <t>11th May-2025</t>
        </is>
      </c>
      <c r="YY2" s="115" t="inlineStr">
        <is>
          <t>12th May-2025</t>
        </is>
      </c>
      <c r="YZ2" s="115" t="inlineStr">
        <is>
          <t>13th May-2025</t>
        </is>
      </c>
      <c r="ZA2" s="115" t="inlineStr">
        <is>
          <t>14th May-2025</t>
        </is>
      </c>
      <c r="ZB2" s="115" t="inlineStr">
        <is>
          <t>15th May-2025</t>
        </is>
      </c>
      <c r="ZC2" s="115" t="inlineStr">
        <is>
          <t>16th May-2025</t>
        </is>
      </c>
      <c r="ZD2" s="115" t="inlineStr">
        <is>
          <t>17th May-2025</t>
        </is>
      </c>
      <c r="ZE2" s="115" t="inlineStr">
        <is>
          <t>18th May-2025</t>
        </is>
      </c>
      <c r="ZF2" s="115" t="inlineStr">
        <is>
          <t>19th May-2025</t>
        </is>
      </c>
      <c r="ZG2" s="115" t="inlineStr">
        <is>
          <t>20th May-2025</t>
        </is>
      </c>
      <c r="ZH2" s="115" t="inlineStr">
        <is>
          <t>21st May-2025</t>
        </is>
      </c>
      <c r="ZI2" s="115" t="inlineStr">
        <is>
          <t>22nd May-2025</t>
        </is>
      </c>
      <c r="ZJ2" s="115" t="inlineStr">
        <is>
          <t>23rd May-2025</t>
        </is>
      </c>
      <c r="ZK2" s="115" t="inlineStr">
        <is>
          <t>24th May-2025</t>
        </is>
      </c>
      <c r="ZL2" s="115" t="inlineStr">
        <is>
          <t>25th May-2025</t>
        </is>
      </c>
      <c r="ZM2" s="115" t="inlineStr">
        <is>
          <t>26th May-2025</t>
        </is>
      </c>
      <c r="ZN2" s="115" t="inlineStr">
        <is>
          <t>27th May-2025</t>
        </is>
      </c>
      <c r="ZO2" s="115" t="inlineStr">
        <is>
          <t>28th May-2025</t>
        </is>
      </c>
      <c r="ZP2" s="115" t="inlineStr">
        <is>
          <t>29th May-2025</t>
        </is>
      </c>
      <c r="ZQ2" s="115" t="inlineStr">
        <is>
          <t>30th May-2025</t>
        </is>
      </c>
      <c r="ZR2" s="115" t="inlineStr">
        <is>
          <t>31st May-2025</t>
        </is>
      </c>
      <c r="ZS2" s="130" t="inlineStr">
        <is>
          <t>monthly total</t>
        </is>
      </c>
      <c r="ZT2" s="115" t="inlineStr">
        <is>
          <t>1st june</t>
        </is>
      </c>
      <c r="ZU2" s="115" t="inlineStr">
        <is>
          <t>2nd june</t>
        </is>
      </c>
      <c r="ZV2" s="115" t="inlineStr">
        <is>
          <t>3rd june</t>
        </is>
      </c>
      <c r="ZW2" s="115" t="inlineStr">
        <is>
          <t>4th june</t>
        </is>
      </c>
      <c r="ZX2" s="115" t="inlineStr">
        <is>
          <t>5th june</t>
        </is>
      </c>
      <c r="ZY2" s="115" t="inlineStr">
        <is>
          <t>6th june</t>
        </is>
      </c>
      <c r="ZZ2" s="115" t="inlineStr">
        <is>
          <t>7th june</t>
        </is>
      </c>
      <c r="AAA2" s="115" t="inlineStr">
        <is>
          <t>8th june</t>
        </is>
      </c>
      <c r="AAB2" s="115" t="inlineStr">
        <is>
          <t>9th june</t>
        </is>
      </c>
      <c r="AAC2" s="115" t="inlineStr">
        <is>
          <t>10th june</t>
        </is>
      </c>
      <c r="AAD2" s="115" t="inlineStr">
        <is>
          <t>11th june</t>
        </is>
      </c>
      <c r="AAE2" s="115" t="inlineStr">
        <is>
          <t>12th june</t>
        </is>
      </c>
      <c r="AAF2" s="115" t="inlineStr">
        <is>
          <t>13th june</t>
        </is>
      </c>
      <c r="AAG2" s="115" t="inlineStr">
        <is>
          <t>14th june</t>
        </is>
      </c>
      <c r="AAH2" s="115" t="inlineStr">
        <is>
          <t>15th june</t>
        </is>
      </c>
      <c r="AAI2" s="115" t="inlineStr">
        <is>
          <t>16th june</t>
        </is>
      </c>
      <c r="AAJ2" s="115" t="inlineStr">
        <is>
          <t>17th june</t>
        </is>
      </c>
      <c r="AAK2" s="115" t="inlineStr">
        <is>
          <t>18th june</t>
        </is>
      </c>
      <c r="AAL2" s="115" t="inlineStr">
        <is>
          <t>19th june</t>
        </is>
      </c>
      <c r="AAM2" s="115" t="inlineStr">
        <is>
          <t>20th june</t>
        </is>
      </c>
      <c r="AAN2" s="115" t="inlineStr">
        <is>
          <t>21st june</t>
        </is>
      </c>
      <c r="AAO2" s="115" t="inlineStr">
        <is>
          <t>22nd june</t>
        </is>
      </c>
      <c r="AAP2" s="115" t="inlineStr">
        <is>
          <t>23rd june</t>
        </is>
      </c>
      <c r="AAQ2" s="115" t="inlineStr">
        <is>
          <t>24th june</t>
        </is>
      </c>
      <c r="AAR2" s="115" t="inlineStr">
        <is>
          <t>25th june</t>
        </is>
      </c>
      <c r="AAS2" s="115" t="inlineStr">
        <is>
          <t>26th june</t>
        </is>
      </c>
      <c r="AAT2" s="115" t="inlineStr">
        <is>
          <t>27th june</t>
        </is>
      </c>
      <c r="AAU2" s="115" t="inlineStr">
        <is>
          <t>28th june</t>
        </is>
      </c>
      <c r="AAV2" s="115" t="inlineStr">
        <is>
          <t>29th june</t>
        </is>
      </c>
      <c r="AAW2" s="115" t="inlineStr">
        <is>
          <t>30th june</t>
        </is>
      </c>
      <c r="AAX2" s="130" t="inlineStr">
        <is>
          <t>monthly total</t>
        </is>
      </c>
      <c r="AAY2" s="115" t="inlineStr">
        <is>
          <t>1st july</t>
        </is>
      </c>
      <c r="AAZ2" s="115" t="inlineStr">
        <is>
          <t>2nd july</t>
        </is>
      </c>
      <c r="ABA2" s="115" t="inlineStr">
        <is>
          <t>3rd july</t>
        </is>
      </c>
      <c r="ABB2" s="115" t="inlineStr">
        <is>
          <t>4th july</t>
        </is>
      </c>
      <c r="ABC2" s="115" t="inlineStr">
        <is>
          <t>5th july</t>
        </is>
      </c>
      <c r="ABD2" s="115" t="inlineStr">
        <is>
          <t>6th july</t>
        </is>
      </c>
      <c r="ABE2" s="115" t="inlineStr">
        <is>
          <t>7th july</t>
        </is>
      </c>
      <c r="ABF2" s="115" t="inlineStr">
        <is>
          <t>8th july</t>
        </is>
      </c>
      <c r="ABG2" s="115" t="inlineStr">
        <is>
          <t>9th july</t>
        </is>
      </c>
      <c r="ABH2" s="115" t="inlineStr">
        <is>
          <t>10th july</t>
        </is>
      </c>
      <c r="ABI2" s="115" t="inlineStr">
        <is>
          <t>11th july</t>
        </is>
      </c>
      <c r="ABJ2" s="115" t="inlineStr">
        <is>
          <t>12th july</t>
        </is>
      </c>
      <c r="ABK2" s="115" t="inlineStr">
        <is>
          <t>13th july</t>
        </is>
      </c>
      <c r="ABL2" s="115" t="inlineStr">
        <is>
          <t>14th july</t>
        </is>
      </c>
      <c r="ABM2" s="115" t="inlineStr">
        <is>
          <t>15th july</t>
        </is>
      </c>
      <c r="ABN2" s="115" t="inlineStr">
        <is>
          <t>16th july</t>
        </is>
      </c>
      <c r="ABO2" s="115" t="inlineStr">
        <is>
          <t>17th july</t>
        </is>
      </c>
      <c r="ABP2" s="115" t="inlineStr">
        <is>
          <t>18th july</t>
        </is>
      </c>
      <c r="ABQ2" s="115" t="inlineStr">
        <is>
          <t>19th july</t>
        </is>
      </c>
      <c r="ABR2" s="115" t="inlineStr">
        <is>
          <t>20th july</t>
        </is>
      </c>
      <c r="ABS2" s="115" t="inlineStr">
        <is>
          <t>21st july</t>
        </is>
      </c>
      <c r="ABT2" s="115" t="inlineStr">
        <is>
          <t>22nd july</t>
        </is>
      </c>
      <c r="ABU2" s="115" t="inlineStr">
        <is>
          <t>23rd july</t>
        </is>
      </c>
      <c r="ABV2" s="115" t="inlineStr">
        <is>
          <t>24th july</t>
        </is>
      </c>
      <c r="ABW2" s="115" t="inlineStr">
        <is>
          <t>25th july</t>
        </is>
      </c>
      <c r="ABX2" s="115" t="inlineStr">
        <is>
          <t>26th july</t>
        </is>
      </c>
      <c r="ABY2" s="115" t="inlineStr">
        <is>
          <t>27th july</t>
        </is>
      </c>
      <c r="ABZ2" s="115" t="inlineStr">
        <is>
          <t>28th july</t>
        </is>
      </c>
      <c r="ACA2" s="115" t="inlineStr">
        <is>
          <t>29th july</t>
        </is>
      </c>
      <c r="ACB2" s="115" t="inlineStr">
        <is>
          <t>30th july</t>
        </is>
      </c>
      <c r="ACC2" s="115" t="inlineStr">
        <is>
          <t>31st july</t>
        </is>
      </c>
      <c r="ACD2" s="130" t="inlineStr">
        <is>
          <t>monthly total</t>
        </is>
      </c>
      <c r="ACE2" s="115" t="inlineStr">
        <is>
          <t xml:space="preserve">1st aug </t>
        </is>
      </c>
      <c r="ACF2" s="115" t="inlineStr">
        <is>
          <t xml:space="preserve">2nd aug </t>
        </is>
      </c>
      <c r="ACG2" s="115" t="inlineStr">
        <is>
          <t xml:space="preserve">3rd aug </t>
        </is>
      </c>
      <c r="ACH2" s="115" t="inlineStr">
        <is>
          <t xml:space="preserve">4th aug </t>
        </is>
      </c>
      <c r="ACI2" s="115" t="inlineStr">
        <is>
          <t xml:space="preserve">5th aug </t>
        </is>
      </c>
      <c r="ACJ2" s="115" t="inlineStr">
        <is>
          <t xml:space="preserve">6th aug </t>
        </is>
      </c>
      <c r="ACK2" s="115" t="inlineStr">
        <is>
          <t xml:space="preserve">7th aug </t>
        </is>
      </c>
      <c r="ACL2" s="115" t="inlineStr">
        <is>
          <t xml:space="preserve">8th aug </t>
        </is>
      </c>
      <c r="ACM2" s="115" t="inlineStr">
        <is>
          <t xml:space="preserve">9th aug </t>
        </is>
      </c>
      <c r="ACN2" s="115" t="inlineStr">
        <is>
          <t xml:space="preserve">10th aug </t>
        </is>
      </c>
      <c r="ACO2" s="115" t="inlineStr">
        <is>
          <t xml:space="preserve">11th aug </t>
        </is>
      </c>
      <c r="ACP2" s="115" t="inlineStr">
        <is>
          <t xml:space="preserve">12th aug </t>
        </is>
      </c>
      <c r="ACQ2" s="115" t="inlineStr">
        <is>
          <t xml:space="preserve">13th aug </t>
        </is>
      </c>
      <c r="ACR2" s="115" t="inlineStr">
        <is>
          <t xml:space="preserve">14th aug </t>
        </is>
      </c>
      <c r="ACS2" s="115" t="inlineStr">
        <is>
          <t xml:space="preserve">15th aug </t>
        </is>
      </c>
      <c r="ACT2" s="115" t="inlineStr">
        <is>
          <t xml:space="preserve">16th aug </t>
        </is>
      </c>
      <c r="ACU2" s="115" t="inlineStr">
        <is>
          <t xml:space="preserve">17th aug </t>
        </is>
      </c>
      <c r="ACV2" s="115" t="inlineStr">
        <is>
          <t xml:space="preserve">18th aug </t>
        </is>
      </c>
      <c r="ACW2" s="115" t="inlineStr">
        <is>
          <t xml:space="preserve">19th aug </t>
        </is>
      </c>
      <c r="ACX2" s="115" t="inlineStr">
        <is>
          <t xml:space="preserve">20th aug </t>
        </is>
      </c>
      <c r="ACY2" s="115" t="inlineStr">
        <is>
          <t xml:space="preserve">21st aug </t>
        </is>
      </c>
      <c r="ACZ2" s="115" t="inlineStr">
        <is>
          <t xml:space="preserve">22nd aug </t>
        </is>
      </c>
      <c r="ADA2" s="115" t="inlineStr">
        <is>
          <t xml:space="preserve">23rd aug </t>
        </is>
      </c>
      <c r="ADB2" s="115" t="inlineStr">
        <is>
          <t xml:space="preserve">24th aug </t>
        </is>
      </c>
      <c r="ADC2" s="115" t="inlineStr">
        <is>
          <t xml:space="preserve">25th aug </t>
        </is>
      </c>
      <c r="ADD2" s="115" t="inlineStr">
        <is>
          <t xml:space="preserve">26th aug </t>
        </is>
      </c>
      <c r="ADE2" s="115" t="inlineStr">
        <is>
          <t xml:space="preserve">27th aug </t>
        </is>
      </c>
      <c r="ADF2" s="115" t="inlineStr">
        <is>
          <t xml:space="preserve">28th aug </t>
        </is>
      </c>
      <c r="ADG2" s="115" t="inlineStr">
        <is>
          <t xml:space="preserve">29th aug </t>
        </is>
      </c>
      <c r="ADH2" s="115" t="inlineStr">
        <is>
          <t xml:space="preserve">30th aug </t>
        </is>
      </c>
      <c r="ADI2" s="115" t="inlineStr">
        <is>
          <t xml:space="preserve">31st aug </t>
        </is>
      </c>
      <c r="ADJ2" s="130" t="inlineStr">
        <is>
          <t>monthly total</t>
        </is>
      </c>
      <c r="ADK2" s="115" t="inlineStr">
        <is>
          <t>1st -sep25</t>
        </is>
      </c>
      <c r="ADL2" s="115" t="inlineStr">
        <is>
          <t>2nd -sep25</t>
        </is>
      </c>
      <c r="ADM2" s="115" t="inlineStr">
        <is>
          <t>3rd -sep25</t>
        </is>
      </c>
      <c r="ADN2" s="115" t="inlineStr">
        <is>
          <t>4th -sep25</t>
        </is>
      </c>
      <c r="ADO2" s="115" t="inlineStr">
        <is>
          <t>5th -sep25</t>
        </is>
      </c>
      <c r="ADP2" s="115" t="inlineStr">
        <is>
          <t>6th -sep25</t>
        </is>
      </c>
      <c r="ADQ2" s="115" t="inlineStr">
        <is>
          <t>7th -sep25</t>
        </is>
      </c>
      <c r="ADR2" s="115" t="inlineStr">
        <is>
          <t>8th -sep25</t>
        </is>
      </c>
      <c r="ADS2" s="115" t="inlineStr">
        <is>
          <t>9th -sep25</t>
        </is>
      </c>
      <c r="ADT2" s="115" t="inlineStr">
        <is>
          <t>10th -sep25</t>
        </is>
      </c>
      <c r="ADU2" s="115" t="inlineStr">
        <is>
          <t>11th -sep25</t>
        </is>
      </c>
      <c r="ADV2" s="115" t="inlineStr">
        <is>
          <t>12th -sep25</t>
        </is>
      </c>
      <c r="ADW2" s="115" t="inlineStr">
        <is>
          <t>13th -sep25</t>
        </is>
      </c>
      <c r="ADX2" s="115" t="inlineStr">
        <is>
          <t>14th -sep25</t>
        </is>
      </c>
      <c r="ADY2" s="115" t="inlineStr">
        <is>
          <t>15th -sep25</t>
        </is>
      </c>
      <c r="ADZ2" s="115" t="inlineStr">
        <is>
          <t>16th -sep25</t>
        </is>
      </c>
      <c r="AEA2" s="115" t="inlineStr">
        <is>
          <t>17th -sep25</t>
        </is>
      </c>
      <c r="AEB2" s="115" t="inlineStr">
        <is>
          <t>18th -sep25</t>
        </is>
      </c>
      <c r="AEC2" s="115" t="inlineStr">
        <is>
          <t>19th -sep25</t>
        </is>
      </c>
      <c r="AED2" s="115" t="inlineStr">
        <is>
          <t>20th -sep25</t>
        </is>
      </c>
      <c r="AEE2" s="115" t="inlineStr">
        <is>
          <t>21st -sep25</t>
        </is>
      </c>
      <c r="AEF2" s="115" t="inlineStr">
        <is>
          <t>22nd -sep25</t>
        </is>
      </c>
      <c r="AEG2" s="115" t="inlineStr">
        <is>
          <t>23rd -sep25</t>
        </is>
      </c>
      <c r="AEH2" s="115" t="inlineStr">
        <is>
          <t>24th -sep25</t>
        </is>
      </c>
      <c r="AEI2" s="115" t="inlineStr">
        <is>
          <t>25th -sep25</t>
        </is>
      </c>
      <c r="AEJ2" s="115" t="inlineStr">
        <is>
          <t>26th -sep25</t>
        </is>
      </c>
      <c r="AEK2" s="115" t="inlineStr">
        <is>
          <t>27th -sep25</t>
        </is>
      </c>
      <c r="AEL2" s="115" t="inlineStr">
        <is>
          <t>28th -sep25</t>
        </is>
      </c>
      <c r="AEM2" s="115" t="inlineStr">
        <is>
          <t>29th -sep25</t>
        </is>
      </c>
      <c r="AEN2" s="115" t="inlineStr">
        <is>
          <t>30th -sep25</t>
        </is>
      </c>
      <c r="AEO2" s="130" t="inlineStr">
        <is>
          <t>monthly total</t>
        </is>
      </c>
      <c r="AEP2" s="115" t="inlineStr">
        <is>
          <t>1st -oct25</t>
        </is>
      </c>
      <c r="AEQ2" s="115" t="inlineStr">
        <is>
          <t>2nd -oct25</t>
        </is>
      </c>
      <c r="AER2" s="115" t="inlineStr">
        <is>
          <t>3rd -oct25</t>
        </is>
      </c>
      <c r="AES2" s="115" t="inlineStr">
        <is>
          <t>4th -oct25</t>
        </is>
      </c>
      <c r="AET2" s="115" t="inlineStr">
        <is>
          <t>5th -oct25</t>
        </is>
      </c>
      <c r="AEU2" s="115" t="inlineStr">
        <is>
          <t>6th -oct25</t>
        </is>
      </c>
      <c r="AEV2" s="115" t="inlineStr">
        <is>
          <t>7th -oct25</t>
        </is>
      </c>
      <c r="AEW2" s="115" t="inlineStr">
        <is>
          <t>8th -oct25</t>
        </is>
      </c>
      <c r="AEX2" s="115" t="inlineStr">
        <is>
          <t>9th -oct25</t>
        </is>
      </c>
      <c r="AEY2" s="115" t="inlineStr">
        <is>
          <t>10th -oct25</t>
        </is>
      </c>
      <c r="AEZ2" s="115" t="inlineStr">
        <is>
          <t>11th -oct25</t>
        </is>
      </c>
      <c r="AFA2" s="115" t="inlineStr">
        <is>
          <t>12th -oct25</t>
        </is>
      </c>
      <c r="AFB2" s="115" t="inlineStr">
        <is>
          <t>13th -oct25</t>
        </is>
      </c>
      <c r="AFC2" s="115" t="inlineStr">
        <is>
          <t>14th -oct25</t>
        </is>
      </c>
      <c r="AFD2" s="115" t="inlineStr">
        <is>
          <t>15th -oct25</t>
        </is>
      </c>
      <c r="AFE2" s="115" t="inlineStr">
        <is>
          <t>16th -oct25</t>
        </is>
      </c>
      <c r="AFF2" s="115" t="inlineStr">
        <is>
          <t>17th -oct25</t>
        </is>
      </c>
      <c r="AFG2" s="115" t="inlineStr">
        <is>
          <t>18th -oct25</t>
        </is>
      </c>
      <c r="AFH2" s="115" t="inlineStr">
        <is>
          <t>19th -oct25</t>
        </is>
      </c>
      <c r="AFI2" s="115" t="inlineStr">
        <is>
          <t>20th -oct25</t>
        </is>
      </c>
      <c r="AFJ2" s="115" t="inlineStr">
        <is>
          <t>21st -oct25</t>
        </is>
      </c>
      <c r="AFK2" s="115" t="inlineStr">
        <is>
          <t>22nd -oct25</t>
        </is>
      </c>
      <c r="AFL2" s="115" t="inlineStr">
        <is>
          <t>23rd -oct25</t>
        </is>
      </c>
      <c r="AFM2" s="115" t="inlineStr">
        <is>
          <t>24th -oct25</t>
        </is>
      </c>
      <c r="AFN2" s="115" t="inlineStr">
        <is>
          <t>25th -oct25</t>
        </is>
      </c>
      <c r="AFO2" s="115" t="inlineStr">
        <is>
          <t>26th -oct25</t>
        </is>
      </c>
      <c r="AFP2" s="115" t="inlineStr">
        <is>
          <t>27th -oct25</t>
        </is>
      </c>
      <c r="AFQ2" s="115" t="inlineStr">
        <is>
          <t>28th -oct25</t>
        </is>
      </c>
      <c r="AFR2" s="115" t="inlineStr">
        <is>
          <t>29th -oct25</t>
        </is>
      </c>
      <c r="AFS2" s="115" t="inlineStr">
        <is>
          <t>30th -oct25</t>
        </is>
      </c>
      <c r="AFT2" s="115" t="inlineStr">
        <is>
          <t>31st -oct25</t>
        </is>
      </c>
      <c r="AFU2" s="130" t="inlineStr">
        <is>
          <t>monthly total</t>
        </is>
      </c>
      <c r="AFV2" s="115" t="inlineStr">
        <is>
          <t>1st -nov25</t>
        </is>
      </c>
      <c r="AFW2" s="115" t="inlineStr">
        <is>
          <t>2nd -nov25</t>
        </is>
      </c>
      <c r="AFX2" s="115" t="inlineStr">
        <is>
          <t>3rd -nov25</t>
        </is>
      </c>
      <c r="AFY2" s="115" t="inlineStr">
        <is>
          <t>4th -nov25</t>
        </is>
      </c>
      <c r="AFZ2" s="115" t="inlineStr">
        <is>
          <t>5th -nov25</t>
        </is>
      </c>
      <c r="AGA2" s="115" t="inlineStr">
        <is>
          <t>6th -nov25</t>
        </is>
      </c>
      <c r="AGB2" s="115" t="inlineStr">
        <is>
          <t>7th -nov25</t>
        </is>
      </c>
      <c r="AGC2" s="115" t="inlineStr">
        <is>
          <t>8th -nov25</t>
        </is>
      </c>
      <c r="AGD2" s="115" t="inlineStr">
        <is>
          <t>9th -nov25</t>
        </is>
      </c>
      <c r="AGE2" s="115" t="inlineStr">
        <is>
          <t>10th -nov25</t>
        </is>
      </c>
      <c r="AGF2" s="115" t="inlineStr">
        <is>
          <t>11th -nov25</t>
        </is>
      </c>
      <c r="AGG2" s="115" t="inlineStr">
        <is>
          <t>12th -nov25</t>
        </is>
      </c>
      <c r="AGH2" s="115" t="inlineStr">
        <is>
          <t>13th -nov25</t>
        </is>
      </c>
      <c r="AGI2" s="115" t="inlineStr">
        <is>
          <t>14th -nov25</t>
        </is>
      </c>
      <c r="AGJ2" s="115" t="inlineStr">
        <is>
          <t>15th -nov25</t>
        </is>
      </c>
      <c r="AGK2" s="115" t="inlineStr">
        <is>
          <t>16th -nov25</t>
        </is>
      </c>
      <c r="AGL2" s="115" t="inlineStr">
        <is>
          <t>17th -nov25</t>
        </is>
      </c>
      <c r="AGM2" s="115" t="inlineStr">
        <is>
          <t>18th -nov25</t>
        </is>
      </c>
      <c r="AGN2" s="115" t="inlineStr">
        <is>
          <t>19th -nov25</t>
        </is>
      </c>
      <c r="AGO2" s="115" t="inlineStr">
        <is>
          <t>20th -nov25</t>
        </is>
      </c>
      <c r="AGP2" s="115" t="inlineStr">
        <is>
          <t>21st -nov25</t>
        </is>
      </c>
      <c r="AGQ2" s="115" t="inlineStr">
        <is>
          <t>22nd -nov25</t>
        </is>
      </c>
      <c r="AGR2" s="115" t="inlineStr">
        <is>
          <t>23rd -nov25</t>
        </is>
      </c>
      <c r="AGS2" s="115" t="inlineStr">
        <is>
          <t>24th -nov25</t>
        </is>
      </c>
      <c r="AGT2" s="115" t="inlineStr">
        <is>
          <t>25th -nov25</t>
        </is>
      </c>
      <c r="AGU2" s="115" t="inlineStr">
        <is>
          <t>26th -nov25</t>
        </is>
      </c>
      <c r="AGV2" s="115" t="inlineStr">
        <is>
          <t>27th -nov25</t>
        </is>
      </c>
      <c r="AGW2" s="115" t="inlineStr">
        <is>
          <t>28th -nov25</t>
        </is>
      </c>
      <c r="AGX2" s="115" t="inlineStr">
        <is>
          <t>29th -nov25</t>
        </is>
      </c>
      <c r="AGY2" s="115" t="inlineStr">
        <is>
          <t>30th -nov25</t>
        </is>
      </c>
      <c r="AGZ2" s="134" t="inlineStr">
        <is>
          <t>Total</t>
        </is>
      </c>
      <c r="AHA2" s="115" t="inlineStr">
        <is>
          <t>1st -dce25</t>
        </is>
      </c>
      <c r="AHB2" s="115" t="inlineStr">
        <is>
          <t>2nd -dce25</t>
        </is>
      </c>
      <c r="AHC2" s="115" t="inlineStr">
        <is>
          <t>3rd -dce25</t>
        </is>
      </c>
      <c r="AHD2" s="115" t="inlineStr">
        <is>
          <t>4th -dce25</t>
        </is>
      </c>
      <c r="AHE2" s="115" t="inlineStr">
        <is>
          <t>5th -dce25</t>
        </is>
      </c>
      <c r="AHF2" s="115" t="inlineStr">
        <is>
          <t>6th -dce25</t>
        </is>
      </c>
      <c r="AHG2" s="115" t="inlineStr">
        <is>
          <t>7th -dce25</t>
        </is>
      </c>
      <c r="AHH2" s="115" t="inlineStr">
        <is>
          <t>8th -dce25</t>
        </is>
      </c>
      <c r="AHI2" s="115" t="inlineStr">
        <is>
          <t>9th -dce25</t>
        </is>
      </c>
      <c r="AHJ2" s="115" t="inlineStr">
        <is>
          <t>10th -dce25</t>
        </is>
      </c>
      <c r="AHK2" s="115" t="inlineStr">
        <is>
          <t>11th -dce25</t>
        </is>
      </c>
      <c r="AHL2" s="115" t="inlineStr">
        <is>
          <t>12th -dce25</t>
        </is>
      </c>
      <c r="AHM2" s="115" t="inlineStr">
        <is>
          <t>13th -dce25</t>
        </is>
      </c>
      <c r="AHN2" s="115" t="inlineStr">
        <is>
          <t>14th -dce25</t>
        </is>
      </c>
      <c r="AHO2" s="115" t="inlineStr">
        <is>
          <t>15th -dce25</t>
        </is>
      </c>
      <c r="AHP2" s="115" t="inlineStr">
        <is>
          <t>16th -dce25</t>
        </is>
      </c>
      <c r="AHQ2" s="115" t="inlineStr">
        <is>
          <t>17th -dce25</t>
        </is>
      </c>
      <c r="AHR2" s="115" t="inlineStr">
        <is>
          <t>18th -dce25</t>
        </is>
      </c>
      <c r="AHS2" s="115" t="inlineStr">
        <is>
          <t>19th -dce25</t>
        </is>
      </c>
      <c r="AHT2" s="115" t="inlineStr">
        <is>
          <t>20th -dce25</t>
        </is>
      </c>
      <c r="AHU2" s="115" t="inlineStr">
        <is>
          <t>21st -dce25</t>
        </is>
      </c>
      <c r="AHV2" s="115" t="inlineStr">
        <is>
          <t>22nd -dce25</t>
        </is>
      </c>
      <c r="AHW2" s="115" t="inlineStr">
        <is>
          <t>23rd -dce25</t>
        </is>
      </c>
      <c r="AHX2" s="115" t="inlineStr">
        <is>
          <t>24th -dce25</t>
        </is>
      </c>
      <c r="AHY2" s="115" t="inlineStr">
        <is>
          <t>25th -dce25</t>
        </is>
      </c>
      <c r="AHZ2" s="115" t="inlineStr">
        <is>
          <t>26th -dce25</t>
        </is>
      </c>
      <c r="AIA2" s="115" t="inlineStr">
        <is>
          <t>27th -dce25</t>
        </is>
      </c>
      <c r="AIB2" s="115" t="inlineStr">
        <is>
          <t>28th -dce25</t>
        </is>
      </c>
      <c r="AIC2" s="115" t="inlineStr">
        <is>
          <t>29th -dce25</t>
        </is>
      </c>
      <c r="AID2" s="115" t="inlineStr">
        <is>
          <t>30th -dce25</t>
        </is>
      </c>
      <c r="AIE2" s="115" t="inlineStr">
        <is>
          <t>31st -dce25</t>
        </is>
      </c>
      <c r="AIF2" s="150" t="inlineStr">
        <is>
          <t>total</t>
        </is>
      </c>
      <c r="AIG2" s="115" t="inlineStr">
        <is>
          <t>1st -jan26</t>
        </is>
      </c>
      <c r="AIH2" s="115" t="inlineStr">
        <is>
          <t>2nd -jan26</t>
        </is>
      </c>
      <c r="AII2" s="115" t="inlineStr">
        <is>
          <t>3rd -jan26</t>
        </is>
      </c>
      <c r="AIJ2" s="115" t="inlineStr">
        <is>
          <t>4th -jan26</t>
        </is>
      </c>
      <c r="AIK2" s="115" t="inlineStr">
        <is>
          <t>5th -jan26</t>
        </is>
      </c>
      <c r="AIL2" s="115" t="inlineStr">
        <is>
          <t>6th -jan26</t>
        </is>
      </c>
      <c r="AIM2" s="115" t="inlineStr">
        <is>
          <t>7th -jan26</t>
        </is>
      </c>
      <c r="AIN2" s="115" t="inlineStr">
        <is>
          <t>8th -jan26</t>
        </is>
      </c>
      <c r="AIO2" s="115" t="inlineStr">
        <is>
          <t>9th -jan26</t>
        </is>
      </c>
      <c r="AIP2" s="115" t="inlineStr">
        <is>
          <t>10th -jan26</t>
        </is>
      </c>
      <c r="AIQ2" s="115" t="inlineStr">
        <is>
          <t>11th -jan26</t>
        </is>
      </c>
      <c r="AIR2" s="115" t="inlineStr">
        <is>
          <t>12th -jan26</t>
        </is>
      </c>
      <c r="AIS2" s="115" t="inlineStr">
        <is>
          <t>13th -jan26</t>
        </is>
      </c>
      <c r="AIT2" s="115" t="inlineStr">
        <is>
          <t>14th -jan26</t>
        </is>
      </c>
      <c r="AIU2" s="115" t="inlineStr">
        <is>
          <t>15th -jan26</t>
        </is>
      </c>
      <c r="AIV2" s="115" t="inlineStr">
        <is>
          <t>16th -jan26</t>
        </is>
      </c>
      <c r="AIW2" s="115" t="inlineStr">
        <is>
          <t>17th -jan26</t>
        </is>
      </c>
      <c r="AIX2" s="115" t="inlineStr">
        <is>
          <t>18th -jan26</t>
        </is>
      </c>
      <c r="AIY2" s="115" t="inlineStr">
        <is>
          <t>19th -jan26</t>
        </is>
      </c>
      <c r="AIZ2" s="115" t="inlineStr">
        <is>
          <t>20th -jan26</t>
        </is>
      </c>
      <c r="AJA2" s="115" t="inlineStr">
        <is>
          <t>21st -jan26</t>
        </is>
      </c>
      <c r="AJB2" s="115" t="inlineStr">
        <is>
          <t>22nd -jan26</t>
        </is>
      </c>
      <c r="AJC2" s="115" t="inlineStr">
        <is>
          <t>23rd -jan26</t>
        </is>
      </c>
      <c r="AJD2" s="115" t="inlineStr">
        <is>
          <t>24th -jan26</t>
        </is>
      </c>
      <c r="AJE2" s="115" t="inlineStr">
        <is>
          <t>25th -jan26</t>
        </is>
      </c>
      <c r="AJF2" s="115" t="inlineStr">
        <is>
          <t>26th -jan26</t>
        </is>
      </c>
      <c r="AJG2" s="115" t="inlineStr">
        <is>
          <t>27th -jan26</t>
        </is>
      </c>
      <c r="AJH2" s="115" t="inlineStr">
        <is>
          <t>28th -jan26</t>
        </is>
      </c>
      <c r="AJI2" s="115" t="inlineStr">
        <is>
          <t>29th -jan26</t>
        </is>
      </c>
      <c r="AJJ2" s="115" t="inlineStr">
        <is>
          <t>30th -jan26</t>
        </is>
      </c>
      <c r="AJK2" s="115" t="inlineStr">
        <is>
          <t>31st -jan26</t>
        </is>
      </c>
      <c r="AJL2" s="150" t="inlineStr">
        <is>
          <t>total</t>
        </is>
      </c>
      <c r="AJM2" s="115" t="inlineStr">
        <is>
          <t>1st -feb2026</t>
        </is>
      </c>
      <c r="AJN2" s="115" t="inlineStr">
        <is>
          <t>2nd -feb2026</t>
        </is>
      </c>
      <c r="AJO2" s="115" t="inlineStr">
        <is>
          <t>3rd -feb2026</t>
        </is>
      </c>
      <c r="AJP2" s="115" t="inlineStr">
        <is>
          <t>4th -feb2026</t>
        </is>
      </c>
      <c r="AJQ2" s="115" t="inlineStr">
        <is>
          <t>5th -feb2026</t>
        </is>
      </c>
      <c r="AJR2" s="115" t="inlineStr">
        <is>
          <t>6th -feb2026</t>
        </is>
      </c>
      <c r="AJS2" s="115" t="inlineStr">
        <is>
          <t>7th -feb2026</t>
        </is>
      </c>
      <c r="AJT2" s="115" t="inlineStr">
        <is>
          <t>8th -feb2026</t>
        </is>
      </c>
      <c r="AJU2" s="115" t="inlineStr">
        <is>
          <t>9th -feb2026</t>
        </is>
      </c>
      <c r="AJV2" s="115" t="inlineStr">
        <is>
          <t>10th -feb2026</t>
        </is>
      </c>
      <c r="AJW2" s="115" t="inlineStr">
        <is>
          <t>11th -feb2026</t>
        </is>
      </c>
      <c r="AJX2" s="115" t="inlineStr">
        <is>
          <t>12th -feb2026</t>
        </is>
      </c>
      <c r="AJY2" s="115" t="inlineStr">
        <is>
          <t>13th -feb2026</t>
        </is>
      </c>
      <c r="AJZ2" s="115" t="inlineStr">
        <is>
          <t>14th -feb2026</t>
        </is>
      </c>
      <c r="AKA2" s="115" t="inlineStr">
        <is>
          <t>15th -feb2026</t>
        </is>
      </c>
      <c r="AKB2" s="115" t="inlineStr">
        <is>
          <t>16th -feb2026</t>
        </is>
      </c>
      <c r="AKC2" s="115" t="inlineStr">
        <is>
          <t>17th -feb2026</t>
        </is>
      </c>
      <c r="AKD2" s="115" t="inlineStr">
        <is>
          <t>18th -feb2026</t>
        </is>
      </c>
      <c r="AKE2" s="115" t="inlineStr">
        <is>
          <t>19th -feb2026</t>
        </is>
      </c>
      <c r="AKF2" s="115" t="inlineStr">
        <is>
          <t>20th -feb2026</t>
        </is>
      </c>
      <c r="AKG2" s="115" t="inlineStr">
        <is>
          <t>21st -feb2026</t>
        </is>
      </c>
      <c r="AKH2" s="115" t="inlineStr">
        <is>
          <t>22nd -feb2026</t>
        </is>
      </c>
      <c r="AKI2" s="115" t="inlineStr">
        <is>
          <t>23rd -feb2026</t>
        </is>
      </c>
      <c r="AKJ2" s="115" t="inlineStr">
        <is>
          <t>24th -feb2026</t>
        </is>
      </c>
      <c r="AKK2" s="115" t="inlineStr">
        <is>
          <t>25th -feb2026</t>
        </is>
      </c>
      <c r="AKL2" s="115" t="inlineStr">
        <is>
          <t>26th -feb2026</t>
        </is>
      </c>
      <c r="AKM2" s="115" t="inlineStr">
        <is>
          <t>27th -feb2026</t>
        </is>
      </c>
      <c r="AKN2" s="115" t="inlineStr">
        <is>
          <t>28th -feb2026</t>
        </is>
      </c>
      <c r="AKO2" s="150" t="inlineStr">
        <is>
          <t>total</t>
        </is>
      </c>
      <c r="AKP2" s="115" t="inlineStr">
        <is>
          <t>1st -mar2026</t>
        </is>
      </c>
      <c r="AKQ2" s="115" t="inlineStr">
        <is>
          <t>2nd -mar2026</t>
        </is>
      </c>
      <c r="AKR2" s="115" t="inlineStr">
        <is>
          <t>3rd -mar2026</t>
        </is>
      </c>
      <c r="AKS2" s="115" t="inlineStr">
        <is>
          <t>4th -mar2026</t>
        </is>
      </c>
      <c r="AKT2" s="115" t="inlineStr">
        <is>
          <t>5th -mar2026</t>
        </is>
      </c>
      <c r="AKU2" s="115" t="inlineStr">
        <is>
          <t>6th -mar2026</t>
        </is>
      </c>
      <c r="AKV2" s="115" t="inlineStr">
        <is>
          <t>7th -mar2026</t>
        </is>
      </c>
      <c r="AKW2" s="115" t="inlineStr">
        <is>
          <t>8th -mar2026</t>
        </is>
      </c>
      <c r="AKX2" s="115" t="inlineStr">
        <is>
          <t>9th -mar2026</t>
        </is>
      </c>
      <c r="AKY2" s="115" t="inlineStr">
        <is>
          <t>10th -mar2026</t>
        </is>
      </c>
      <c r="AKZ2" s="115" t="inlineStr">
        <is>
          <t>11th -mar2026</t>
        </is>
      </c>
      <c r="ALA2" s="115" t="inlineStr">
        <is>
          <t>12th -mar2026</t>
        </is>
      </c>
      <c r="ALB2" s="115" t="inlineStr">
        <is>
          <t>13th -mar2026</t>
        </is>
      </c>
      <c r="ALC2" s="115" t="inlineStr">
        <is>
          <t>14th -mar2026</t>
        </is>
      </c>
      <c r="ALD2" s="115" t="inlineStr">
        <is>
          <t>15th -mar2026</t>
        </is>
      </c>
      <c r="ALE2" s="115" t="inlineStr">
        <is>
          <t>16th -mar2026</t>
        </is>
      </c>
      <c r="ALF2" s="115" t="inlineStr">
        <is>
          <t>17th -mar2026</t>
        </is>
      </c>
      <c r="ALG2" s="115" t="inlineStr">
        <is>
          <t>18th -mar2026</t>
        </is>
      </c>
      <c r="ALH2" s="115" t="inlineStr">
        <is>
          <t>19th -mar2026</t>
        </is>
      </c>
      <c r="ALI2" s="115" t="inlineStr">
        <is>
          <t>20th -mar2026</t>
        </is>
      </c>
      <c r="ALJ2" s="115" t="inlineStr">
        <is>
          <t>21st -mar2026</t>
        </is>
      </c>
      <c r="ALK2" s="115" t="inlineStr">
        <is>
          <t>22nd -mar2026</t>
        </is>
      </c>
      <c r="ALL2" s="115" t="inlineStr">
        <is>
          <t>23rd -mar2026</t>
        </is>
      </c>
      <c r="ALM2" s="115" t="inlineStr">
        <is>
          <t>24th -mar2026</t>
        </is>
      </c>
      <c r="ALN2" s="115" t="inlineStr">
        <is>
          <t>25th -mar2026</t>
        </is>
      </c>
      <c r="ALO2" s="115" t="inlineStr">
        <is>
          <t>26th -mar2026</t>
        </is>
      </c>
      <c r="ALP2" s="115" t="inlineStr">
        <is>
          <t>27th -mar2026</t>
        </is>
      </c>
      <c r="ALQ2" s="115" t="inlineStr">
        <is>
          <t>28th -mar2026</t>
        </is>
      </c>
      <c r="ALR2" s="115" t="inlineStr">
        <is>
          <t>29th -mar2026</t>
        </is>
      </c>
      <c r="ALS2" s="115" t="inlineStr">
        <is>
          <t>30th -mar2026</t>
        </is>
      </c>
      <c r="ALT2" s="115" t="inlineStr">
        <is>
          <t>31st -mar2026</t>
        </is>
      </c>
      <c r="ALU2" s="150" t="inlineStr">
        <is>
          <t>total</t>
        </is>
      </c>
      <c r="ALV2" s="115" t="inlineStr">
        <is>
          <t>1st -apr206</t>
        </is>
      </c>
      <c r="ALW2" s="115" t="inlineStr">
        <is>
          <t>2nd -apr206</t>
        </is>
      </c>
      <c r="ALX2" s="115" t="inlineStr">
        <is>
          <t>3rd -apr206</t>
        </is>
      </c>
      <c r="ALY2" s="115" t="inlineStr">
        <is>
          <t>4th -apr206</t>
        </is>
      </c>
      <c r="ALZ2" s="115" t="inlineStr">
        <is>
          <t>5th -apr206</t>
        </is>
      </c>
      <c r="AMA2" s="115" t="inlineStr">
        <is>
          <t>6th -apr206</t>
        </is>
      </c>
      <c r="AMB2" s="115" t="inlineStr">
        <is>
          <t>7th -apr206</t>
        </is>
      </c>
      <c r="AMC2" s="115" t="inlineStr">
        <is>
          <t>8th -apr206</t>
        </is>
      </c>
      <c r="AMD2" s="115" t="inlineStr">
        <is>
          <t>9th -apr206</t>
        </is>
      </c>
      <c r="AME2" s="115" t="inlineStr">
        <is>
          <t>10th -apr206</t>
        </is>
      </c>
      <c r="AMF2" s="115" t="inlineStr">
        <is>
          <t>11th -apr206</t>
        </is>
      </c>
      <c r="AMG2" s="115" t="inlineStr">
        <is>
          <t>12th -apr206</t>
        </is>
      </c>
      <c r="AMH2" s="115" t="inlineStr">
        <is>
          <t>13th -apr206</t>
        </is>
      </c>
      <c r="AMI2" s="115" t="inlineStr">
        <is>
          <t>14th -apr206</t>
        </is>
      </c>
      <c r="AMJ2" s="115" t="inlineStr">
        <is>
          <t>15th -apr206</t>
        </is>
      </c>
      <c r="AMK2" s="115" t="inlineStr">
        <is>
          <t>16th -apr206</t>
        </is>
      </c>
      <c r="AML2" s="115" t="inlineStr">
        <is>
          <t>17th -apr206</t>
        </is>
      </c>
      <c r="AMM2" s="115" t="inlineStr">
        <is>
          <t>18th -apr206</t>
        </is>
      </c>
      <c r="AMN2" s="115" t="inlineStr">
        <is>
          <t>19th -apr206</t>
        </is>
      </c>
      <c r="AMO2" s="115" t="inlineStr">
        <is>
          <t>20th -apr206</t>
        </is>
      </c>
      <c r="AMP2" s="115" t="inlineStr">
        <is>
          <t>21st -apr206</t>
        </is>
      </c>
      <c r="AMQ2" s="115" t="inlineStr">
        <is>
          <t>22nd -apr206</t>
        </is>
      </c>
      <c r="AMR2" s="115" t="inlineStr">
        <is>
          <t>23rd -apr206</t>
        </is>
      </c>
      <c r="AMS2" s="115" t="inlineStr">
        <is>
          <t>24th -apr206</t>
        </is>
      </c>
      <c r="AMT2" s="115" t="inlineStr">
        <is>
          <t>25th -apr206</t>
        </is>
      </c>
      <c r="AMU2" s="115" t="inlineStr">
        <is>
          <t>26th -apr206</t>
        </is>
      </c>
      <c r="AMV2" s="115" t="inlineStr">
        <is>
          <t>27th -apr206</t>
        </is>
      </c>
      <c r="AMW2" s="115" t="inlineStr">
        <is>
          <t>28th -apr206</t>
        </is>
      </c>
      <c r="AMX2" s="115" t="inlineStr">
        <is>
          <t>29th -apr206</t>
        </is>
      </c>
      <c r="AMY2" s="115" t="inlineStr">
        <is>
          <t>30th -apr206</t>
        </is>
      </c>
      <c r="AMZ2" s="150" t="inlineStr">
        <is>
          <t>total</t>
        </is>
      </c>
      <c r="ANA2" s="115" t="inlineStr">
        <is>
          <t>1st May2026</t>
        </is>
      </c>
      <c r="ANB2" s="115" t="inlineStr">
        <is>
          <t>2nd May2026</t>
        </is>
      </c>
      <c r="ANC2" s="115" t="inlineStr">
        <is>
          <t>3rd May2026</t>
        </is>
      </c>
      <c r="AND2" s="115" t="inlineStr">
        <is>
          <t>4th May2026</t>
        </is>
      </c>
      <c r="ANE2" s="115" t="inlineStr">
        <is>
          <t>5th May2026</t>
        </is>
      </c>
      <c r="ANF2" s="115" t="inlineStr">
        <is>
          <t>6th May2026</t>
        </is>
      </c>
      <c r="ANG2" s="115" t="inlineStr">
        <is>
          <t>7th May2026</t>
        </is>
      </c>
      <c r="ANH2" s="115" t="inlineStr">
        <is>
          <t>8th May2026</t>
        </is>
      </c>
      <c r="ANI2" s="115" t="inlineStr">
        <is>
          <t>9th May2026</t>
        </is>
      </c>
      <c r="ANJ2" s="115" t="inlineStr">
        <is>
          <t>10th May2026</t>
        </is>
      </c>
      <c r="ANK2" s="115" t="inlineStr">
        <is>
          <t>11th May2026</t>
        </is>
      </c>
      <c r="ANL2" s="115" t="inlineStr">
        <is>
          <t>12th May2026</t>
        </is>
      </c>
      <c r="ANM2" s="115" t="inlineStr">
        <is>
          <t>13th May2026</t>
        </is>
      </c>
      <c r="ANN2" s="115" t="inlineStr">
        <is>
          <t>14th May2026</t>
        </is>
      </c>
      <c r="ANO2" s="115" t="inlineStr">
        <is>
          <t>15th May2026</t>
        </is>
      </c>
      <c r="ANP2" s="115" t="inlineStr">
        <is>
          <t>16th May2026</t>
        </is>
      </c>
      <c r="ANQ2" s="115" t="inlineStr">
        <is>
          <t>17th May2026</t>
        </is>
      </c>
      <c r="ANR2" s="115" t="inlineStr">
        <is>
          <t>18th May2026</t>
        </is>
      </c>
      <c r="ANS2" s="115" t="inlineStr">
        <is>
          <t>19th May2026</t>
        </is>
      </c>
      <c r="ANT2" s="115" t="inlineStr">
        <is>
          <t>20th May2026</t>
        </is>
      </c>
      <c r="ANU2" s="115" t="inlineStr">
        <is>
          <t>21st May2026</t>
        </is>
      </c>
      <c r="ANV2" s="115" t="inlineStr">
        <is>
          <t>22nd May2026</t>
        </is>
      </c>
      <c r="ANW2" s="115" t="inlineStr">
        <is>
          <t>23rd May2026</t>
        </is>
      </c>
      <c r="ANX2" s="115" t="inlineStr">
        <is>
          <t>24th May2026</t>
        </is>
      </c>
      <c r="ANY2" s="115" t="inlineStr">
        <is>
          <t>25th May2026</t>
        </is>
      </c>
      <c r="ANZ2" s="115" t="inlineStr">
        <is>
          <t>26th May2026</t>
        </is>
      </c>
      <c r="AOA2" s="115" t="inlineStr">
        <is>
          <t>27th May2026</t>
        </is>
      </c>
      <c r="AOB2" s="115" t="inlineStr">
        <is>
          <t>28th May2026</t>
        </is>
      </c>
      <c r="AOC2" s="115" t="inlineStr">
        <is>
          <t>29th May2026</t>
        </is>
      </c>
      <c r="AOD2" s="115" t="inlineStr">
        <is>
          <t>30th May2026</t>
        </is>
      </c>
    </row>
    <row r="3">
      <c r="A3" s="162" t="inlineStr">
        <is>
          <t>EXPENSES</t>
        </is>
      </c>
      <c r="B3" s="5" t="inlineStr">
        <is>
          <t>GARBAGE</t>
        </is>
      </c>
      <c r="C3" s="22" t="n">
        <v>20000</v>
      </c>
      <c r="D3" s="22" t="n"/>
      <c r="E3" s="22" t="n"/>
      <c r="F3" s="22" t="n">
        <v>0</v>
      </c>
      <c r="G3" s="22" t="n"/>
      <c r="H3" s="22" t="n">
        <v>0</v>
      </c>
      <c r="I3" s="22" t="n"/>
      <c r="J3" s="22" t="n"/>
      <c r="K3" s="22" t="n">
        <v>0</v>
      </c>
      <c r="L3" s="22" t="n"/>
      <c r="M3" s="22" t="n"/>
      <c r="N3" s="22" t="n"/>
      <c r="O3" s="22" t="n">
        <v>0</v>
      </c>
      <c r="P3" s="22" t="n"/>
      <c r="Q3" s="22" t="n"/>
      <c r="R3" s="22" t="n"/>
      <c r="S3" s="22" t="n"/>
      <c r="T3" s="22" t="n">
        <v>0</v>
      </c>
      <c r="U3" s="22" t="n"/>
      <c r="V3" s="22" t="n"/>
      <c r="W3" s="22" t="n"/>
      <c r="X3" s="22" t="n">
        <v>20000</v>
      </c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>
        <f>SUM(C3:AG3)</f>
        <v/>
      </c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  <c r="BP3" s="52" t="n">
        <v>20000</v>
      </c>
      <c r="BQ3" s="52" t="n"/>
      <c r="BR3" s="52" t="n"/>
      <c r="BS3" s="52" t="n">
        <v>20000</v>
      </c>
      <c r="BT3" s="52" t="n"/>
      <c r="BU3" s="52" t="n"/>
      <c r="BV3" s="52" t="n"/>
      <c r="BW3" s="52" t="n"/>
      <c r="BX3" s="52" t="n"/>
      <c r="BY3" s="52" t="n"/>
      <c r="BZ3" s="52" t="n"/>
      <c r="CA3" s="52" t="n"/>
      <c r="CB3" s="52" t="n"/>
      <c r="CC3" s="52" t="n"/>
      <c r="CD3" s="52" t="n"/>
      <c r="CE3" s="52" t="n"/>
      <c r="CF3" s="52" t="n"/>
      <c r="CS3" s="110">
        <f>SUM(BN3:CR3)</f>
        <v/>
      </c>
      <c r="CT3" s="52" t="n">
        <v>20000</v>
      </c>
      <c r="CU3" s="52" t="n"/>
      <c r="CV3" s="52" t="n"/>
      <c r="CW3" s="52" t="n"/>
      <c r="CX3" s="52" t="n"/>
      <c r="CY3" s="52" t="n"/>
      <c r="CZ3" s="52" t="n"/>
      <c r="DA3" s="52" t="n"/>
      <c r="DB3" s="52" t="n"/>
      <c r="DC3" s="52" t="n"/>
      <c r="DD3" s="52" t="n"/>
      <c r="DE3" s="52" t="n"/>
      <c r="DF3" s="52" t="n"/>
      <c r="DG3" s="52" t="n"/>
      <c r="DH3" s="52" t="n"/>
      <c r="DI3" s="52" t="n"/>
      <c r="DJ3" s="52" t="n"/>
      <c r="DK3" s="52" t="n"/>
      <c r="DL3" s="52" t="n"/>
      <c r="DM3" s="52" t="n"/>
      <c r="DN3" s="52" t="n"/>
      <c r="DO3" s="52" t="n"/>
      <c r="DP3" s="52" t="n"/>
      <c r="DQ3" s="52" t="n"/>
      <c r="DR3" s="52" t="n"/>
      <c r="DS3" s="52" t="n"/>
      <c r="DT3" s="52" t="n"/>
      <c r="DU3" s="52" t="n"/>
      <c r="DV3" s="52" t="n"/>
      <c r="DW3" s="52" t="n"/>
      <c r="DX3" s="118">
        <f>SUM(CT3:DW3)</f>
        <v/>
      </c>
      <c r="DZ3" t="n">
        <v>20000</v>
      </c>
      <c r="FD3" s="126">
        <f>SUM(DY3:FC3)</f>
        <v/>
      </c>
      <c r="FE3" t="n">
        <v>20000</v>
      </c>
      <c r="GI3" t="n">
        <v>20000</v>
      </c>
      <c r="GJ3" s="130">
        <f>SUM(FE3:GI3)</f>
        <v/>
      </c>
      <c r="HN3" s="130">
        <f>SUM(GK3:HM3)</f>
        <v/>
      </c>
      <c r="HO3" t="n">
        <v>20000</v>
      </c>
      <c r="IS3" t="n">
        <v>20000</v>
      </c>
      <c r="IT3" s="130">
        <f>SUM(HO3:IS3)</f>
        <v/>
      </c>
      <c r="JX3" t="n">
        <v>20000</v>
      </c>
      <c r="JY3" s="130">
        <f>SUM(IU3:JX3)</f>
        <v/>
      </c>
      <c r="LE3" s="130">
        <f>SUM(KA3:LD3)</f>
        <v/>
      </c>
      <c r="LF3" t="n">
        <v>20000</v>
      </c>
      <c r="MJ3" s="130">
        <f>SUM(LF3:MI3)</f>
        <v/>
      </c>
      <c r="MK3" t="n">
        <v>20000</v>
      </c>
      <c r="NP3" s="130">
        <f>SUM(ML3:NO3)</f>
        <v/>
      </c>
      <c r="NQ3" t="n">
        <v>0</v>
      </c>
      <c r="NR3" t="n">
        <v>20000</v>
      </c>
      <c r="OU3" t="n">
        <v>20000</v>
      </c>
      <c r="OV3" s="130">
        <f>SUM(NR3:OU3)</f>
        <v/>
      </c>
      <c r="QA3" s="130">
        <f>SUM(OW3:PZ3)</f>
        <v/>
      </c>
      <c r="QB3" t="n">
        <v>20000</v>
      </c>
      <c r="RG3" s="130">
        <f>SUM(QC3:RF3)</f>
        <v/>
      </c>
      <c r="RI3" t="n">
        <v>20000</v>
      </c>
      <c r="SM3" s="130">
        <f>SUM(RI3:SL3)</f>
        <v/>
      </c>
      <c r="SN3" t="n">
        <v>0</v>
      </c>
      <c r="SQ3" t="n">
        <v>20000</v>
      </c>
      <c r="TS3" s="130">
        <f>SUM(SO3:TR3)</f>
        <v/>
      </c>
      <c r="TU3" t="n">
        <v>20000</v>
      </c>
      <c r="UY3" s="130">
        <f>SUM(TU3:UX3)</f>
        <v/>
      </c>
      <c r="VB3" t="n">
        <v>20000</v>
      </c>
      <c r="WA3" t="n">
        <v>20000</v>
      </c>
      <c r="WB3" s="130">
        <f>SUM(UZ3:WA3)</f>
        <v/>
      </c>
      <c r="XH3" s="130">
        <f>SUM(WF3:XG3)</f>
        <v/>
      </c>
      <c r="XI3" t="n">
        <v>20000</v>
      </c>
      <c r="YL3" t="n">
        <v>20000</v>
      </c>
      <c r="YM3" s="130">
        <f>SUM(XK3:YL3)</f>
        <v/>
      </c>
      <c r="ZR3" t="n">
        <v>20000</v>
      </c>
      <c r="ZS3" s="130">
        <f>SUM(YN3:ZR3)</f>
        <v/>
      </c>
      <c r="AAX3" s="130">
        <f>SUM(ZT3:AAW3)</f>
        <v/>
      </c>
      <c r="AAY3" t="n">
        <v>20000</v>
      </c>
      <c r="ACD3" s="130">
        <f>SUM(AAY3:ACC3)</f>
        <v/>
      </c>
      <c r="ACF3" t="n">
        <v>20000</v>
      </c>
      <c r="ADJ3" s="130">
        <f>SUM(ACE3:ADI3)</f>
        <v/>
      </c>
      <c r="ADK3" t="n">
        <v>20000</v>
      </c>
      <c r="AEO3" s="130">
        <f>SUM(ADK3:AEN3)</f>
        <v/>
      </c>
      <c r="AER3" t="n">
        <v>20000</v>
      </c>
      <c r="AFU3" s="130">
        <f>SUM(AEP3:AFT3)</f>
        <v/>
      </c>
      <c r="AFV3" t="n">
        <v>0</v>
      </c>
      <c r="AFW3" t="n">
        <v>20000</v>
      </c>
      <c r="AGZ3" s="130">
        <f>SUM(AFV3:AGY3)</f>
        <v/>
      </c>
      <c r="AHA3" t="n">
        <v>20000</v>
      </c>
      <c r="AIE3" t="n">
        <v>0</v>
      </c>
      <c r="AIF3" s="145">
        <f>SUM(AHA3:AIE3)</f>
        <v/>
      </c>
      <c r="AJL3" s="145">
        <f>SUM(AIG3:AJK3)</f>
        <v/>
      </c>
      <c r="AJQ3" t="n">
        <v>20000</v>
      </c>
      <c r="AKO3" s="145">
        <f>SUM(AJM3:AKN3)</f>
        <v/>
      </c>
      <c r="AKU3" t="n">
        <v>20000</v>
      </c>
      <c r="ALU3" s="145">
        <f>SUM(AKS3:ALT3)</f>
        <v/>
      </c>
      <c r="AMA3" t="n">
        <v>30000</v>
      </c>
      <c r="AMZ3" s="145">
        <f>SUM(ALV3:AMY3)</f>
        <v/>
      </c>
      <c r="ANB3" t="n">
        <v>30000</v>
      </c>
    </row>
    <row r="4">
      <c r="B4" s="5" t="inlineStr">
        <is>
          <t>LIQUID SOAP</t>
        </is>
      </c>
      <c r="C4" s="22" t="n">
        <v>0</v>
      </c>
      <c r="D4" s="22" t="n"/>
      <c r="E4" s="22" t="n"/>
      <c r="F4" s="22" t="n"/>
      <c r="G4" s="22" t="n">
        <v>3000</v>
      </c>
      <c r="H4" s="22" t="n">
        <v>0</v>
      </c>
      <c r="I4" s="22" t="n"/>
      <c r="J4" s="22" t="n"/>
      <c r="K4" s="22" t="n"/>
      <c r="L4" s="22" t="n"/>
      <c r="M4" s="22" t="n"/>
      <c r="N4" s="22" t="n"/>
      <c r="O4" s="22" t="n">
        <v>0</v>
      </c>
      <c r="P4" s="22" t="n"/>
      <c r="Q4" s="22" t="n"/>
      <c r="R4" s="22" t="n"/>
      <c r="S4" s="22" t="n"/>
      <c r="T4" s="22" t="n"/>
      <c r="U4" s="22" t="n"/>
      <c r="V4" s="22" t="n">
        <v>3000</v>
      </c>
      <c r="W4" s="22" t="n"/>
      <c r="X4" s="22" t="n">
        <v>3000</v>
      </c>
      <c r="Y4" s="22" t="n"/>
      <c r="Z4" s="22" t="n"/>
      <c r="AA4" s="22" t="n"/>
      <c r="AB4" s="22" t="n"/>
      <c r="AC4" s="22" t="n">
        <v>3000</v>
      </c>
      <c r="AD4" s="22" t="n"/>
      <c r="AE4" s="22" t="n">
        <v>20000</v>
      </c>
      <c r="AF4" s="22" t="n"/>
      <c r="AG4" s="22" t="n"/>
      <c r="AH4" s="22">
        <f>SUM(C4:AG4)</f>
        <v/>
      </c>
      <c r="AI4" s="52" t="n"/>
      <c r="AJ4" s="52" t="n"/>
      <c r="AK4" s="52" t="n"/>
      <c r="AL4" s="52" t="n"/>
      <c r="AM4" s="52" t="n">
        <v>3000</v>
      </c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>
        <v>4000</v>
      </c>
      <c r="BG4" s="52" t="n">
        <v>20000</v>
      </c>
      <c r="BH4" s="52" t="n"/>
      <c r="BI4" s="52" t="n"/>
      <c r="BJ4" s="52" t="n"/>
      <c r="BK4" s="52" t="n"/>
      <c r="BL4" s="52" t="n"/>
      <c r="BM4" s="52">
        <f>SUM(AI4:BL4)</f>
        <v/>
      </c>
      <c r="BN4" s="52" t="n"/>
      <c r="BO4" s="52" t="n"/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2" t="n"/>
      <c r="CA4" s="52" t="n"/>
      <c r="CB4" s="52" t="n"/>
      <c r="CC4" s="52" t="n"/>
      <c r="CD4" s="52" t="n"/>
      <c r="CE4" s="52" t="n"/>
      <c r="CF4" s="52" t="n"/>
      <c r="CG4" t="n">
        <v>4000</v>
      </c>
      <c r="CJ4" t="n">
        <v>20000</v>
      </c>
      <c r="CS4" s="110">
        <f>SUM(BN4:CR4)</f>
        <v/>
      </c>
      <c r="CT4" s="52" t="n"/>
      <c r="CU4" s="52" t="n"/>
      <c r="CV4" s="52" t="n"/>
      <c r="CW4" s="52" t="n"/>
      <c r="CX4" s="52" t="n"/>
      <c r="CY4" s="52" t="n"/>
      <c r="CZ4" s="52" t="n"/>
      <c r="DA4" s="52" t="n"/>
      <c r="DB4" s="52" t="n"/>
      <c r="DC4" s="52" t="n"/>
      <c r="DD4" s="52" t="n"/>
      <c r="DE4" s="52" t="n"/>
      <c r="DF4" s="52" t="n"/>
      <c r="DG4" s="52" t="n"/>
      <c r="DH4" s="52" t="n"/>
      <c r="DI4" s="52" t="n"/>
      <c r="DJ4" s="52" t="n"/>
      <c r="DK4" s="52" t="n"/>
      <c r="DL4" s="52" t="n">
        <v>4000</v>
      </c>
      <c r="DM4" s="52" t="n">
        <v>20000</v>
      </c>
      <c r="DN4" s="52" t="n"/>
      <c r="DO4" s="52" t="n"/>
      <c r="DP4" s="52" t="n"/>
      <c r="DQ4" s="52" t="n"/>
      <c r="DR4" s="52" t="n"/>
      <c r="DS4" s="52" t="n"/>
      <c r="DT4" s="52" t="n"/>
      <c r="DU4" s="52" t="n"/>
      <c r="DV4" s="52" t="n"/>
      <c r="DW4" s="52" t="n"/>
      <c r="DX4" s="118">
        <f>SUM(CT4:DW4)</f>
        <v/>
      </c>
      <c r="ET4" t="n">
        <v>0</v>
      </c>
      <c r="EU4" t="n">
        <v>3000</v>
      </c>
      <c r="FD4" s="126">
        <f>SUM(DY4:FC4)</f>
        <v/>
      </c>
      <c r="FP4" t="n">
        <v>4000</v>
      </c>
      <c r="FS4" t="n">
        <v>7000</v>
      </c>
      <c r="GJ4" s="130">
        <f>SUM(FE4:GI4)</f>
        <v/>
      </c>
      <c r="GW4" t="n">
        <v>4000</v>
      </c>
      <c r="GX4" t="n">
        <v>2000</v>
      </c>
      <c r="HA4" t="n">
        <v>4000</v>
      </c>
      <c r="HE4" t="n">
        <v>20000</v>
      </c>
      <c r="HI4" t="n">
        <v>0</v>
      </c>
      <c r="HN4" s="130">
        <f>SUM(GK4:HM4)</f>
        <v/>
      </c>
      <c r="IO4" t="n">
        <v>34500</v>
      </c>
      <c r="IT4" s="130">
        <f>SUM(HO4:IS4)</f>
        <v/>
      </c>
      <c r="JY4" s="130">
        <f>SUM(IU4:JX4)</f>
        <v/>
      </c>
      <c r="KD4" t="n">
        <v>3000</v>
      </c>
      <c r="KG4" t="n">
        <v>25000</v>
      </c>
      <c r="LE4" s="130">
        <f>SUM(KA4:LD4)</f>
        <v/>
      </c>
      <c r="LL4" t="n">
        <v>29500</v>
      </c>
      <c r="MJ4" s="130">
        <f>SUM(LF4:MI4)</f>
        <v/>
      </c>
      <c r="MU4" t="n">
        <v>25000</v>
      </c>
      <c r="NP4" s="130">
        <f>SUM(ML4:NO4)</f>
        <v/>
      </c>
      <c r="OD4" t="n">
        <v>4000</v>
      </c>
      <c r="OE4" t="n">
        <v>25000</v>
      </c>
      <c r="OG4" t="n">
        <v>4000</v>
      </c>
      <c r="OV4" s="130">
        <f>SUM(NR4:OU4)</f>
        <v/>
      </c>
      <c r="PD4" t="n">
        <v>25000</v>
      </c>
      <c r="QA4" s="130">
        <f>SUM(OW4:PZ4)</f>
        <v/>
      </c>
      <c r="QC4" t="n">
        <v>25000</v>
      </c>
      <c r="RF4" t="n">
        <v>25000</v>
      </c>
      <c r="RG4" s="130">
        <f>SUM(QC4:RF4)</f>
        <v/>
      </c>
      <c r="SG4" t="n">
        <v>4000</v>
      </c>
      <c r="SM4" s="130">
        <f>SUM(RI4:SL4)</f>
        <v/>
      </c>
      <c r="TS4" s="130">
        <f>SUM(SO4:TR4)</f>
        <v/>
      </c>
      <c r="UY4" s="130">
        <f>SUM(TU4:UX4)</f>
        <v/>
      </c>
      <c r="VA4" t="n">
        <v>3000</v>
      </c>
      <c r="VB4" t="n">
        <v>25000</v>
      </c>
      <c r="VR4" t="n">
        <v>4500</v>
      </c>
      <c r="VY4" t="n">
        <v>4500</v>
      </c>
      <c r="VZ4" t="n">
        <v>30000</v>
      </c>
      <c r="WB4" s="130">
        <f>SUM(UZ4:WA4)</f>
        <v/>
      </c>
      <c r="WX4" t="n">
        <v>1000</v>
      </c>
      <c r="XH4" s="130">
        <f>SUM(WF4:XG4)</f>
        <v/>
      </c>
      <c r="XS4" t="n">
        <v>4000</v>
      </c>
      <c r="XV4" t="n">
        <v>25000</v>
      </c>
      <c r="YM4" s="130">
        <f>SUM(XK4:YL4)</f>
        <v/>
      </c>
      <c r="YU4" t="n">
        <v>4000</v>
      </c>
      <c r="YY4" t="n">
        <v>4000</v>
      </c>
      <c r="ZS4" s="130">
        <f>SUM(YN4:ZR4)</f>
        <v/>
      </c>
      <c r="ZT4" t="n">
        <v>4000</v>
      </c>
      <c r="ZV4" t="n">
        <v>4000</v>
      </c>
      <c r="ZY4" t="n">
        <v>4000</v>
      </c>
      <c r="AAC4" t="n">
        <v>4000</v>
      </c>
      <c r="AAT4" t="n">
        <v>4000</v>
      </c>
      <c r="AAW4" t="n">
        <v>4000</v>
      </c>
      <c r="AAX4" s="130">
        <f>SUM(ZT4:AAW4)</f>
        <v/>
      </c>
      <c r="AAY4" t="n">
        <v>25000</v>
      </c>
      <c r="ABR4" t="n">
        <v>25000</v>
      </c>
      <c r="ACD4" s="130">
        <f>SUM(AAY4:ACC4)</f>
        <v/>
      </c>
      <c r="ACL4" t="n">
        <v>25000</v>
      </c>
      <c r="ADJ4" s="130">
        <f>SUM(ACE4:ADI4)</f>
        <v/>
      </c>
      <c r="ADL4" t="n">
        <v>4000</v>
      </c>
      <c r="ADR4" t="n">
        <v>4000</v>
      </c>
      <c r="AEO4" s="130">
        <f>SUM(ADK4:AEN4)</f>
        <v/>
      </c>
      <c r="AEU4" t="n">
        <v>4000</v>
      </c>
      <c r="AFC4" t="n">
        <v>4000</v>
      </c>
      <c r="AFH4" t="n">
        <v>20000</v>
      </c>
      <c r="AFU4" s="130">
        <f>SUM(AEP4:AFT4)</f>
        <v/>
      </c>
      <c r="AGD4" t="n">
        <v>3500</v>
      </c>
      <c r="AGH4" t="n">
        <v>4000</v>
      </c>
      <c r="AGQ4" t="n">
        <v>25000</v>
      </c>
      <c r="AGR4" t="n">
        <v>3500</v>
      </c>
      <c r="AGZ4" s="130">
        <f>SUM(AFV4:AGY4)</f>
        <v/>
      </c>
      <c r="AHT4" t="n">
        <v>4000</v>
      </c>
      <c r="AIC4" t="n">
        <v>4000</v>
      </c>
      <c r="AIF4" s="145">
        <f>SUM(AHA4:AIE4)</f>
        <v/>
      </c>
      <c r="AIK4" t="n">
        <v>4000</v>
      </c>
      <c r="AIM4" t="n">
        <v>25000</v>
      </c>
      <c r="AJL4" s="145">
        <f>SUM(AIG4:AJK4)</f>
        <v/>
      </c>
      <c r="AJO4" t="n">
        <v>3500</v>
      </c>
      <c r="AJV4" t="n">
        <v>3500</v>
      </c>
      <c r="AKG4" t="n">
        <v>25000</v>
      </c>
      <c r="AKO4" s="145">
        <f>SUM(AJM4:AKN4)</f>
        <v/>
      </c>
      <c r="ALU4" s="145">
        <f>SUM(AKS4:ALT4)</f>
        <v/>
      </c>
      <c r="AMZ4" s="145">
        <f>SUM(ALV4:AMY4)</f>
        <v/>
      </c>
      <c r="ANH4" t="n">
        <v>4000</v>
      </c>
    </row>
    <row r="5">
      <c r="B5" s="5" t="inlineStr">
        <is>
          <t>CAR FUEL</t>
        </is>
      </c>
      <c r="C5" s="22" t="n">
        <v>100000</v>
      </c>
      <c r="D5" s="22" t="n"/>
      <c r="E5" s="22" t="n">
        <v>100016</v>
      </c>
      <c r="F5" s="22" t="n"/>
      <c r="G5" s="22" t="n">
        <v>100000</v>
      </c>
      <c r="H5" s="22" t="n">
        <v>0</v>
      </c>
      <c r="I5" s="22" t="n">
        <v>100000</v>
      </c>
      <c r="J5" s="22" t="n"/>
      <c r="K5" s="22" t="n"/>
      <c r="L5" s="22" t="n"/>
      <c r="M5" s="22" t="n"/>
      <c r="N5" s="22" t="n"/>
      <c r="O5" s="22" t="n"/>
      <c r="P5" s="22" t="n">
        <v>100000</v>
      </c>
      <c r="Q5" s="22" t="n"/>
      <c r="R5" s="22" t="n"/>
      <c r="S5" s="22" t="n">
        <v>200000</v>
      </c>
      <c r="T5" s="22" t="n"/>
      <c r="U5" s="22" t="n"/>
      <c r="V5" s="22" t="n"/>
      <c r="W5" s="22" t="n"/>
      <c r="X5" s="22" t="n"/>
      <c r="Y5" s="22" t="n">
        <v>100000</v>
      </c>
      <c r="Z5" s="22" t="n"/>
      <c r="AA5" s="22" t="n">
        <v>100000</v>
      </c>
      <c r="AB5" s="22" t="n"/>
      <c r="AC5" s="22" t="n">
        <v>100000</v>
      </c>
      <c r="AD5" s="22" t="n"/>
      <c r="AE5" s="22" t="n">
        <v>100000</v>
      </c>
      <c r="AF5" s="22" t="n"/>
      <c r="AG5" s="22" t="n"/>
      <c r="AH5" s="22">
        <f>SUM(C5:AG5)</f>
        <v/>
      </c>
      <c r="AI5" s="52" t="n">
        <v>200000</v>
      </c>
      <c r="AJ5" s="52" t="n"/>
      <c r="AK5" s="52" t="n"/>
      <c r="AL5" s="52" t="n"/>
      <c r="AM5" s="52" t="n"/>
      <c r="AN5" s="52" t="n">
        <v>100000</v>
      </c>
      <c r="AO5" s="52" t="n"/>
      <c r="AP5" s="52" t="n"/>
      <c r="AQ5" s="52" t="n"/>
      <c r="AR5" s="52" t="n"/>
      <c r="AS5" s="52" t="n">
        <v>200000</v>
      </c>
      <c r="AT5" s="52" t="n"/>
      <c r="AU5" s="52" t="n">
        <v>100000</v>
      </c>
      <c r="AV5" s="52" t="n"/>
      <c r="AW5" s="52" t="n"/>
      <c r="AX5" s="52" t="n">
        <v>200000</v>
      </c>
      <c r="AY5" s="52" t="n"/>
      <c r="AZ5" s="52" t="n">
        <v>100000</v>
      </c>
      <c r="BA5" s="52" t="n"/>
      <c r="BB5" s="52" t="n"/>
      <c r="BC5" s="52" t="n"/>
      <c r="BD5" s="52" t="n"/>
      <c r="BE5" s="52" t="n">
        <v>200000</v>
      </c>
      <c r="BF5" s="52" t="n"/>
      <c r="BG5" s="52" t="n"/>
      <c r="BH5" s="52" t="n"/>
      <c r="BI5" s="52" t="n"/>
      <c r="BJ5" s="52" t="n"/>
      <c r="BK5" s="52" t="n">
        <v>200000</v>
      </c>
      <c r="BL5" s="52" t="n"/>
      <c r="BM5" s="52">
        <f>SUM(AI5:BL5)</f>
        <v/>
      </c>
      <c r="BN5" s="52" t="n"/>
      <c r="BO5" s="52" t="n"/>
      <c r="BP5" s="52" t="n"/>
      <c r="BQ5" s="52" t="n"/>
      <c r="BR5" s="52" t="n">
        <v>100000</v>
      </c>
      <c r="BS5" s="52" t="n"/>
      <c r="BT5" s="52" t="n"/>
      <c r="BU5" s="52" t="n"/>
      <c r="BV5" s="52" t="n"/>
      <c r="BW5" s="52" t="n"/>
      <c r="BX5" s="52" t="n">
        <v>200000</v>
      </c>
      <c r="BY5" s="52" t="n"/>
      <c r="BZ5" s="52" t="n"/>
      <c r="CA5" s="52" t="n">
        <v>100000</v>
      </c>
      <c r="CB5" s="52" t="n"/>
      <c r="CC5" s="52" t="n"/>
      <c r="CD5" s="52" t="n"/>
      <c r="CE5" s="52" t="n">
        <v>200000</v>
      </c>
      <c r="CF5" s="52" t="n"/>
      <c r="CI5" t="n">
        <v>100000</v>
      </c>
      <c r="CL5" t="n">
        <v>100000</v>
      </c>
      <c r="CN5" t="n">
        <v>100000</v>
      </c>
      <c r="CR5" t="n">
        <v>100000</v>
      </c>
      <c r="CS5" s="110">
        <f>SUM(BN5:CR5)</f>
        <v/>
      </c>
      <c r="CT5" s="52" t="n"/>
      <c r="CU5" s="52" t="n">
        <v>100000</v>
      </c>
      <c r="CV5" s="52" t="n">
        <v>30000</v>
      </c>
      <c r="CW5" s="52" t="n">
        <v>100000</v>
      </c>
      <c r="CX5" s="52" t="n"/>
      <c r="CY5" s="52" t="n">
        <v>100000</v>
      </c>
      <c r="CZ5" s="52" t="n">
        <v>100000</v>
      </c>
      <c r="DA5" s="52" t="n"/>
      <c r="DB5" s="52" t="n">
        <v>100000</v>
      </c>
      <c r="DC5" s="52" t="n"/>
      <c r="DD5" s="52" t="n">
        <v>100000</v>
      </c>
      <c r="DE5" s="52" t="n">
        <v>125000</v>
      </c>
      <c r="DF5" s="52" t="n">
        <v>95000</v>
      </c>
      <c r="DG5" s="52" t="n"/>
      <c r="DH5" s="52" t="n">
        <v>100000</v>
      </c>
      <c r="DI5" s="52" t="n"/>
      <c r="DJ5" s="52" t="n">
        <v>100000</v>
      </c>
      <c r="DK5" s="52" t="n"/>
      <c r="DL5" s="52" t="n"/>
      <c r="DM5" s="52" t="n"/>
      <c r="DN5" s="52" t="n">
        <v>100000</v>
      </c>
      <c r="DO5" s="52" t="n"/>
      <c r="DP5" s="52" t="n">
        <v>100000</v>
      </c>
      <c r="DQ5" s="52" t="n"/>
      <c r="DR5" s="52" t="n"/>
      <c r="DS5" s="52" t="n"/>
      <c r="DT5" s="52" t="n">
        <v>100000</v>
      </c>
      <c r="DU5" s="52" t="n"/>
      <c r="DV5" s="52" t="n">
        <v>103500</v>
      </c>
      <c r="DW5" s="52" t="n"/>
      <c r="DX5" s="118">
        <f>SUM(CT5:DW5)</f>
        <v/>
      </c>
      <c r="EA5" t="n">
        <v>100000</v>
      </c>
      <c r="EE5" t="n">
        <v>100000</v>
      </c>
      <c r="EG5" t="n">
        <v>100000</v>
      </c>
      <c r="EJ5" t="n">
        <v>100000</v>
      </c>
      <c r="EZ5" t="n">
        <v>100000</v>
      </c>
      <c r="FD5" s="126">
        <f>SUM(DY5:FC5)</f>
        <v/>
      </c>
      <c r="FE5" t="n">
        <v>100000</v>
      </c>
      <c r="FF5" t="n">
        <v>0</v>
      </c>
      <c r="FI5" t="n">
        <v>200000</v>
      </c>
      <c r="FP5" t="n">
        <v>200000</v>
      </c>
      <c r="FU5" t="n">
        <v>400000</v>
      </c>
      <c r="FZ5" t="n">
        <v>200000</v>
      </c>
      <c r="GE5" t="n">
        <v>100000</v>
      </c>
      <c r="GH5" t="n">
        <v>100000</v>
      </c>
      <c r="GJ5" s="130">
        <f>SUM(FE5:GI5)</f>
        <v/>
      </c>
      <c r="GK5" t="n">
        <v>200000</v>
      </c>
      <c r="GL5" t="n">
        <v>100000</v>
      </c>
      <c r="GM5" t="n">
        <v>100000</v>
      </c>
      <c r="GO5" t="n">
        <v>200000</v>
      </c>
      <c r="GR5" t="n">
        <v>300000</v>
      </c>
      <c r="GX5" t="n">
        <v>300000</v>
      </c>
      <c r="GZ5" t="n">
        <v>100000</v>
      </c>
      <c r="HC5" t="n">
        <v>200000</v>
      </c>
      <c r="HH5" t="n">
        <v>100000</v>
      </c>
      <c r="HJ5" t="n">
        <v>100000</v>
      </c>
      <c r="HL5" t="n">
        <v>100000</v>
      </c>
      <c r="HN5" s="130">
        <f>SUM(GK5:HM5)</f>
        <v/>
      </c>
      <c r="HO5" t="n">
        <v>200000</v>
      </c>
      <c r="HT5" t="n">
        <v>200000</v>
      </c>
      <c r="HX5" t="n">
        <v>100000</v>
      </c>
      <c r="HZ5" t="n">
        <v>200000</v>
      </c>
      <c r="IB5" t="n">
        <v>100000</v>
      </c>
      <c r="ID5">
        <f>160000+40000</f>
        <v/>
      </c>
      <c r="IH5" t="n">
        <v>200000</v>
      </c>
      <c r="IO5" t="n">
        <v>200000</v>
      </c>
      <c r="IQ5" t="n">
        <v>100000</v>
      </c>
      <c r="IT5" s="130">
        <f>SUM(HO5:IS5)</f>
        <v/>
      </c>
      <c r="IU5" t="n">
        <v>3000</v>
      </c>
      <c r="IW5" t="n">
        <v>200000</v>
      </c>
      <c r="IX5" t="n">
        <v>100000</v>
      </c>
      <c r="JA5" t="n">
        <v>2000</v>
      </c>
      <c r="JB5" t="n">
        <v>200000</v>
      </c>
      <c r="JC5" t="n">
        <v>200000</v>
      </c>
      <c r="JE5" t="n">
        <v>233582</v>
      </c>
      <c r="JI5" t="n">
        <v>200000</v>
      </c>
      <c r="JJ5" t="n">
        <v>200000</v>
      </c>
      <c r="JM5" t="n">
        <v>150000</v>
      </c>
      <c r="JP5" t="n">
        <v>300000</v>
      </c>
      <c r="JQ5" t="n">
        <v>100000</v>
      </c>
      <c r="JT5" t="n">
        <v>200000</v>
      </c>
      <c r="JU5" t="n">
        <v>100000</v>
      </c>
      <c r="JW5" t="n">
        <v>200000</v>
      </c>
      <c r="JX5" t="n">
        <v>100000</v>
      </c>
      <c r="JY5" s="130">
        <f>SUM(IU5:JX5)</f>
        <v/>
      </c>
      <c r="KC5" t="n">
        <v>200000</v>
      </c>
      <c r="KF5" t="n">
        <v>300000</v>
      </c>
      <c r="KM5" t="n">
        <v>200000</v>
      </c>
      <c r="KR5" t="n">
        <v>200000</v>
      </c>
      <c r="KZ5" t="n">
        <v>200000</v>
      </c>
      <c r="LB5" t="n">
        <v>100000</v>
      </c>
      <c r="LE5" s="130">
        <f>SUM(KA5:LD5)</f>
        <v/>
      </c>
      <c r="LF5" t="n">
        <v>100000</v>
      </c>
      <c r="LH5" t="n">
        <v>200000</v>
      </c>
      <c r="LM5" t="n">
        <v>200000</v>
      </c>
      <c r="LS5" t="n">
        <v>200000</v>
      </c>
      <c r="LU5" t="n">
        <v>100000</v>
      </c>
      <c r="LY5" t="n">
        <v>200000</v>
      </c>
      <c r="MB5" t="n">
        <v>100000</v>
      </c>
      <c r="ME5" t="n">
        <v>200000</v>
      </c>
      <c r="MJ5" s="130">
        <f>SUM(LF5:MI5)</f>
        <v/>
      </c>
      <c r="NF5" t="n">
        <v>100000</v>
      </c>
      <c r="NJ5" t="n">
        <v>200000</v>
      </c>
      <c r="NO5" t="n">
        <v>100000</v>
      </c>
      <c r="NP5" s="130">
        <f>SUM(ML5:NO5)</f>
        <v/>
      </c>
      <c r="NQ5" t="n">
        <v>0</v>
      </c>
      <c r="NR5" t="n">
        <v>103000</v>
      </c>
      <c r="NV5" t="n">
        <v>300000</v>
      </c>
      <c r="OD5" t="n">
        <v>250000</v>
      </c>
      <c r="OI5" t="n">
        <v>100000</v>
      </c>
      <c r="OL5" t="n">
        <v>200000</v>
      </c>
      <c r="OP5" t="n">
        <v>100000</v>
      </c>
      <c r="OR5" t="n">
        <v>100000</v>
      </c>
      <c r="OV5" s="130">
        <f>SUM(NR5:OU5)</f>
        <v/>
      </c>
      <c r="OW5" t="n">
        <v>200000</v>
      </c>
      <c r="PA5" t="n">
        <v>200000</v>
      </c>
      <c r="PD5" t="n">
        <v>100000</v>
      </c>
      <c r="PG5" t="n">
        <v>100000</v>
      </c>
      <c r="PK5" t="n">
        <v>100000</v>
      </c>
      <c r="PL5" t="n">
        <v>105000</v>
      </c>
      <c r="PO5" t="n">
        <v>200000</v>
      </c>
      <c r="PU5" t="n">
        <v>100000</v>
      </c>
      <c r="PV5" t="n">
        <v>100000</v>
      </c>
      <c r="PZ5" t="n">
        <v>100000</v>
      </c>
      <c r="QA5" s="130">
        <f>SUM(OW5:PZ5)</f>
        <v/>
      </c>
      <c r="QC5" t="n">
        <v>200000</v>
      </c>
      <c r="QJ5" t="n">
        <v>100000</v>
      </c>
      <c r="QL5" t="n">
        <v>100000</v>
      </c>
      <c r="QN5" t="n">
        <v>200000</v>
      </c>
      <c r="QQ5" t="n">
        <v>100000</v>
      </c>
      <c r="QR5" t="n">
        <v>100000</v>
      </c>
      <c r="QU5" t="n">
        <v>100000</v>
      </c>
      <c r="QV5" t="n">
        <v>200000</v>
      </c>
      <c r="RA5" t="n">
        <v>103000</v>
      </c>
      <c r="RE5" t="n">
        <v>100000</v>
      </c>
      <c r="RG5" s="130">
        <f>SUM(QC5:RF5)</f>
        <v/>
      </c>
      <c r="RK5" t="n">
        <v>200000</v>
      </c>
      <c r="RP5" t="n">
        <v>200000</v>
      </c>
      <c r="RT5" t="n">
        <v>150000</v>
      </c>
      <c r="RV5" t="n">
        <v>100000</v>
      </c>
      <c r="RZ5" t="n">
        <v>100000</v>
      </c>
      <c r="SA5" t="n">
        <v>300000</v>
      </c>
      <c r="SF5" t="n">
        <v>100000</v>
      </c>
      <c r="SH5" t="n">
        <v>100000</v>
      </c>
      <c r="SI5" t="n">
        <v>100000</v>
      </c>
      <c r="SM5" s="130">
        <f>SUM(RI5:SL5)</f>
        <v/>
      </c>
      <c r="SP5" t="n">
        <v>100000</v>
      </c>
      <c r="SR5" t="n">
        <v>100000</v>
      </c>
      <c r="SU5" t="n">
        <v>100000</v>
      </c>
      <c r="SW5" t="n">
        <v>100000</v>
      </c>
      <c r="SY5" t="n">
        <v>100000</v>
      </c>
      <c r="SZ5" t="n">
        <v>0</v>
      </c>
      <c r="TF5" t="n">
        <v>102000</v>
      </c>
      <c r="TI5" t="n">
        <v>100000</v>
      </c>
      <c r="TQ5" t="n">
        <v>100000</v>
      </c>
      <c r="TR5" t="n">
        <v>100000</v>
      </c>
      <c r="TS5" s="130">
        <f>SUM(SO5:TR5)</f>
        <v/>
      </c>
      <c r="TY5" t="n">
        <v>100000</v>
      </c>
      <c r="UA5" t="n">
        <v>100000</v>
      </c>
      <c r="UC5" t="n">
        <v>0</v>
      </c>
      <c r="UD5" t="n">
        <v>100000</v>
      </c>
      <c r="UE5" t="n">
        <v>100000</v>
      </c>
      <c r="UH5" t="n">
        <v>100000</v>
      </c>
      <c r="UN5" t="n">
        <v>300000</v>
      </c>
      <c r="UP5" t="n">
        <v>102500</v>
      </c>
      <c r="UT5" t="n">
        <v>200000</v>
      </c>
      <c r="UW5" t="n">
        <v>100000</v>
      </c>
      <c r="UY5" s="130">
        <f>SUM(TU5:UX5)</f>
        <v/>
      </c>
      <c r="VB5" t="n">
        <v>200000</v>
      </c>
      <c r="VC5" t="n">
        <v>5000</v>
      </c>
      <c r="VF5" t="n">
        <v>100000</v>
      </c>
      <c r="VJ5" t="n">
        <v>100000</v>
      </c>
      <c r="VM5" t="n">
        <v>100000</v>
      </c>
      <c r="VQ5" t="n">
        <v>50000</v>
      </c>
      <c r="VR5" t="n">
        <v>303000</v>
      </c>
      <c r="VS5" t="n">
        <v>100000</v>
      </c>
      <c r="VT5" t="n">
        <v>0</v>
      </c>
      <c r="VX5" t="n">
        <v>100000</v>
      </c>
      <c r="VZ5" t="n">
        <v>100000</v>
      </c>
      <c r="WA5" t="n">
        <v>100000</v>
      </c>
      <c r="WB5" s="130">
        <f>SUM(UZ5:WA5)</f>
        <v/>
      </c>
      <c r="WC5" t="n">
        <v>100000</v>
      </c>
      <c r="WF5" t="n">
        <v>200000</v>
      </c>
      <c r="WI5">
        <f>25.998*4550</f>
        <v/>
      </c>
      <c r="WN5" t="n">
        <v>200000</v>
      </c>
      <c r="WR5" t="n">
        <v>101000</v>
      </c>
      <c r="WU5" t="n">
        <v>383221</v>
      </c>
      <c r="WX5" t="n">
        <v>100000</v>
      </c>
      <c r="WZ5" t="n">
        <v>100000</v>
      </c>
      <c r="XA5" t="n">
        <v>300000</v>
      </c>
      <c r="XE5" t="n">
        <v>100000</v>
      </c>
      <c r="XF5" t="n">
        <v>50000</v>
      </c>
      <c r="XH5" s="130">
        <f>SUM(WF5:XG5)</f>
        <v/>
      </c>
      <c r="XI5" t="n">
        <v>200000</v>
      </c>
      <c r="XL5" t="n">
        <v>100000</v>
      </c>
      <c r="XN5" t="n">
        <v>100000</v>
      </c>
      <c r="XT5" t="n">
        <v>200000</v>
      </c>
      <c r="XY5" t="n">
        <v>100000</v>
      </c>
      <c r="XZ5" t="n">
        <v>100000</v>
      </c>
      <c r="YE5" t="n">
        <v>100000</v>
      </c>
      <c r="YI5" t="n">
        <v>100000</v>
      </c>
      <c r="YJ5" t="n">
        <v>103000</v>
      </c>
      <c r="YL5" t="n">
        <v>200000</v>
      </c>
      <c r="YM5" s="130">
        <f>SUM(XK5:YL5)</f>
        <v/>
      </c>
      <c r="YN5" t="n">
        <v>0</v>
      </c>
      <c r="YO5" t="n">
        <v>5000</v>
      </c>
      <c r="YR5" t="n">
        <v>200000</v>
      </c>
      <c r="YZ5" t="n">
        <v>200000</v>
      </c>
      <c r="ZA5" t="n">
        <v>100000</v>
      </c>
      <c r="ZH5" t="n">
        <v>100000</v>
      </c>
      <c r="ZJ5" t="n">
        <v>200000</v>
      </c>
      <c r="ZK5" t="n">
        <v>200000</v>
      </c>
      <c r="ZM5" t="n">
        <v>100000</v>
      </c>
      <c r="ZQ5" t="n">
        <v>100000</v>
      </c>
      <c r="ZS5" s="130">
        <f>SUM(YN5:ZR5)</f>
        <v/>
      </c>
      <c r="ZV5" t="n">
        <v>100000</v>
      </c>
      <c r="ZY5" s="130" t="n">
        <v>170000</v>
      </c>
      <c r="AAA5" t="n">
        <v>100000</v>
      </c>
      <c r="AAC5" t="n">
        <v>100000</v>
      </c>
      <c r="AAJ5" t="n">
        <v>100000</v>
      </c>
      <c r="AAL5" t="n">
        <v>100000</v>
      </c>
      <c r="AAN5" t="n">
        <v>100000</v>
      </c>
      <c r="AAS5" t="n">
        <v>100000</v>
      </c>
      <c r="AAW5" t="n">
        <v>100000</v>
      </c>
      <c r="AAX5" s="130">
        <f>SUM(ZT5:AAW5)</f>
        <v/>
      </c>
      <c r="ABD5" t="n">
        <v>100000</v>
      </c>
      <c r="ABF5" t="n">
        <v>100000</v>
      </c>
      <c r="ABH5" t="n">
        <v>100000</v>
      </c>
      <c r="ABM5" t="n">
        <v>100000</v>
      </c>
      <c r="ABN5" t="n">
        <v>100000</v>
      </c>
      <c r="ABO5" t="n">
        <v>100000</v>
      </c>
      <c r="ABT5" t="n">
        <v>329490</v>
      </c>
      <c r="ABY5" t="n">
        <v>0</v>
      </c>
      <c r="ABZ5" t="n">
        <v>100000</v>
      </c>
      <c r="ACB5" t="n">
        <v>100000</v>
      </c>
      <c r="ACD5" s="130">
        <f>SUM(AAY5:ACC5)</f>
        <v/>
      </c>
      <c r="ACJ5" t="n">
        <v>300000</v>
      </c>
      <c r="ADJ5" s="130">
        <f>SUM(ACE5:ADI5)</f>
        <v/>
      </c>
      <c r="ADW5" t="n">
        <v>100000</v>
      </c>
      <c r="ADX5" t="n">
        <v>200000</v>
      </c>
      <c r="ADZ5" t="n">
        <v>100000</v>
      </c>
      <c r="AED5" t="n">
        <v>150000</v>
      </c>
      <c r="AEF5" t="n">
        <v>100000</v>
      </c>
      <c r="AEI5" t="n">
        <v>100000</v>
      </c>
      <c r="AEN5" t="n">
        <v>200000</v>
      </c>
      <c r="AEO5" s="130">
        <f>SUM(ADK5:AEN5)</f>
        <v/>
      </c>
      <c r="AET5" t="n">
        <v>100000</v>
      </c>
      <c r="AEW5" t="n">
        <v>100000</v>
      </c>
      <c r="AFB5" t="n">
        <v>100000</v>
      </c>
      <c r="AFH5" t="n">
        <v>100000</v>
      </c>
      <c r="AFK5" t="n">
        <v>100000</v>
      </c>
      <c r="AFO5" t="n">
        <v>100000</v>
      </c>
      <c r="AFP5" t="n">
        <v>100000</v>
      </c>
      <c r="AFT5" t="n">
        <v>100000</v>
      </c>
      <c r="AFU5" s="130">
        <f>SUM(AEP5:AFT5)</f>
        <v/>
      </c>
      <c r="AFV5" t="n">
        <v>100000</v>
      </c>
      <c r="AFW5" t="n">
        <v>50000</v>
      </c>
      <c r="AFZ5" t="n">
        <v>100000</v>
      </c>
      <c r="AGC5" t="n">
        <v>220000</v>
      </c>
      <c r="AGD5" t="n">
        <v>100000</v>
      </c>
      <c r="AGF5" t="n">
        <v>100000</v>
      </c>
      <c r="AGL5" t="n">
        <v>100000</v>
      </c>
      <c r="AGN5" t="n">
        <v>100000</v>
      </c>
      <c r="AGQ5" t="n">
        <v>100000</v>
      </c>
      <c r="AGR5" t="n">
        <v>100000</v>
      </c>
      <c r="AGU5" t="n">
        <v>100000</v>
      </c>
      <c r="AGW5" t="n">
        <v>100000</v>
      </c>
      <c r="AGZ5" s="130">
        <f>SUM(AFV5:AGY5)</f>
        <v/>
      </c>
      <c r="AHA5" t="n">
        <v>100000</v>
      </c>
      <c r="AHE5" t="n">
        <v>100000</v>
      </c>
      <c r="AHG5" t="n">
        <v>100000</v>
      </c>
      <c r="AHK5" t="n">
        <v>100000</v>
      </c>
      <c r="AHQ5" t="n">
        <v>50000</v>
      </c>
      <c r="AHU5" t="n">
        <v>200000</v>
      </c>
      <c r="AHZ5" t="n">
        <v>100000</v>
      </c>
      <c r="AIB5" t="n">
        <v>50000</v>
      </c>
      <c r="AID5" t="n">
        <v>200000</v>
      </c>
      <c r="AIF5" s="145">
        <f>SUM(AHA5:AIE5)</f>
        <v/>
      </c>
      <c r="AIJ5" t="n">
        <v>50000</v>
      </c>
      <c r="AIO5" t="n">
        <v>100000</v>
      </c>
      <c r="AIQ5" t="n">
        <v>100000</v>
      </c>
      <c r="AIX5" t="n">
        <v>100000</v>
      </c>
      <c r="AJE5" t="n">
        <v>100000</v>
      </c>
      <c r="AJF5" t="n">
        <v>100000</v>
      </c>
      <c r="AJL5" s="145">
        <f>SUM(AIG5:AJK5)</f>
        <v/>
      </c>
      <c r="AJM5" t="n">
        <v>100000</v>
      </c>
      <c r="AJY5" t="n">
        <v>100000</v>
      </c>
      <c r="AKA5" t="n">
        <v>100000</v>
      </c>
      <c r="AKG5" t="n">
        <v>100000</v>
      </c>
      <c r="AKH5" t="n">
        <v>100000</v>
      </c>
      <c r="AKM5" t="n">
        <v>50000</v>
      </c>
      <c r="AKN5" t="n">
        <v>100000</v>
      </c>
      <c r="AKO5" s="145">
        <f>SUM(AJM5:AKN5)</f>
        <v/>
      </c>
      <c r="AKP5" t="n">
        <v>50000</v>
      </c>
      <c r="AKQ5" t="n">
        <v>100000</v>
      </c>
      <c r="AKV5" t="n">
        <v>100000</v>
      </c>
      <c r="AKZ5" t="n">
        <v>100000</v>
      </c>
      <c r="ALC5" t="n">
        <v>100000</v>
      </c>
      <c r="ALD5" t="n">
        <v>100000</v>
      </c>
      <c r="ALG5" t="n">
        <v>100000</v>
      </c>
      <c r="ALH5" t="n">
        <v>100000</v>
      </c>
      <c r="ALM5" t="n">
        <v>100000</v>
      </c>
      <c r="ALP5" t="n">
        <v>200000</v>
      </c>
      <c r="ALQ5" t="n">
        <v>100000</v>
      </c>
      <c r="ALR5" t="n">
        <v>150000</v>
      </c>
      <c r="ALU5" s="145">
        <f>SUM(AKS5:ALT5)</f>
        <v/>
      </c>
      <c r="ALZ5" t="n">
        <v>100000</v>
      </c>
      <c r="AMC5" t="n">
        <v>100000</v>
      </c>
      <c r="AMG5" t="n">
        <v>100000</v>
      </c>
      <c r="AMH5" t="n">
        <v>100000</v>
      </c>
      <c r="AML5" t="n">
        <v>100000</v>
      </c>
      <c r="AMO5" t="n">
        <v>200000</v>
      </c>
      <c r="AMT5" t="n">
        <v>100000</v>
      </c>
      <c r="AMU5" t="n">
        <v>100000</v>
      </c>
      <c r="AMV5" t="n">
        <v>200000</v>
      </c>
      <c r="AMX5" t="n">
        <v>100000</v>
      </c>
      <c r="AMY5" t="n">
        <v>100000</v>
      </c>
      <c r="AMZ5" s="145">
        <f>SUM(ALV5:AMY5)</f>
        <v/>
      </c>
      <c r="ANA5" t="n">
        <v>100000</v>
      </c>
      <c r="ANB5" t="n">
        <v>50000</v>
      </c>
      <c r="ANE5" t="n">
        <v>200000</v>
      </c>
      <c r="ANH5" t="n">
        <v>100000</v>
      </c>
      <c r="ANP5" t="n">
        <v>100000</v>
      </c>
      <c r="ANQ5" t="n">
        <v>100000</v>
      </c>
      <c r="ANS5" t="n">
        <v>50000</v>
      </c>
      <c r="ANT5" t="n">
        <v>412375</v>
      </c>
      <c r="ANX5" t="n">
        <v>400000</v>
      </c>
      <c r="AOA5" t="n">
        <v>0</v>
      </c>
      <c r="AOB5" t="n">
        <v>200000</v>
      </c>
    </row>
    <row r="6">
      <c r="B6" s="5" t="inlineStr">
        <is>
          <t>FOOD</t>
        </is>
      </c>
      <c r="C6" s="22" t="n"/>
      <c r="D6" s="22" t="n"/>
      <c r="E6" s="22" t="n">
        <v>1000</v>
      </c>
      <c r="F6" s="22" t="n"/>
      <c r="G6" s="22" t="n"/>
      <c r="H6" s="22" t="n"/>
      <c r="I6" s="22" t="n"/>
      <c r="J6" s="22" t="n"/>
      <c r="K6" s="22" t="n"/>
      <c r="L6" s="22" t="n">
        <v>5000</v>
      </c>
      <c r="M6" s="22" t="n"/>
      <c r="N6" s="22" t="n"/>
      <c r="O6" s="22" t="n"/>
      <c r="P6" s="22" t="n"/>
      <c r="Q6" s="22" t="n"/>
      <c r="R6" s="22" t="n"/>
      <c r="S6" s="22" t="n"/>
      <c r="T6" s="22" t="n"/>
      <c r="U6" s="22" t="n">
        <v>22000</v>
      </c>
      <c r="V6" s="22" t="n"/>
      <c r="W6" s="22" t="n">
        <v>5000</v>
      </c>
      <c r="X6" s="22" t="n"/>
      <c r="Y6" s="22" t="n">
        <v>6000</v>
      </c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>
        <f>SUM(C6:AG6)</f>
        <v/>
      </c>
      <c r="AI6" s="52" t="n"/>
      <c r="AJ6" s="52" t="n">
        <v>0</v>
      </c>
      <c r="AK6" s="52" t="n"/>
      <c r="AL6" s="52" t="n"/>
      <c r="AM6" s="52" t="n"/>
      <c r="AN6" s="52" t="n"/>
      <c r="AO6" s="52" t="n">
        <v>16000</v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>
        <v>0</v>
      </c>
      <c r="BB6" s="52" t="n">
        <v>6000</v>
      </c>
      <c r="BC6" s="52" t="n"/>
      <c r="BD6" s="52" t="n"/>
      <c r="BE6" s="52" t="n"/>
      <c r="BF6" s="52" t="n"/>
      <c r="BG6" s="52" t="n">
        <v>5000</v>
      </c>
      <c r="BH6" s="52" t="n"/>
      <c r="BI6" s="52" t="n"/>
      <c r="BJ6" s="52" t="n"/>
      <c r="BK6" s="52" t="n">
        <v>5000</v>
      </c>
      <c r="BL6" s="52" t="n"/>
      <c r="BM6" s="52">
        <f>SUM(AI6:BL6)</f>
        <v/>
      </c>
      <c r="BN6" s="52" t="n"/>
      <c r="BO6" s="52" t="n"/>
      <c r="BP6" s="52" t="n"/>
      <c r="BQ6" s="52" t="n"/>
      <c r="BR6" s="52" t="n"/>
      <c r="BS6" s="52" t="n">
        <v>2500</v>
      </c>
      <c r="BT6" s="52" t="n"/>
      <c r="BU6" s="52" t="n"/>
      <c r="BV6" s="52" t="n"/>
      <c r="BW6" s="52" t="n"/>
      <c r="BX6" s="52" t="n"/>
      <c r="BY6" s="52" t="n"/>
      <c r="BZ6" s="52" t="n"/>
      <c r="CA6" s="52" t="n"/>
      <c r="CB6" s="52" t="n"/>
      <c r="CC6" s="52" t="n"/>
      <c r="CD6" s="52" t="n"/>
      <c r="CE6" s="52" t="n">
        <v>5000</v>
      </c>
      <c r="CF6" s="52" t="n"/>
      <c r="CG6" t="n">
        <v>10000</v>
      </c>
      <c r="CS6" s="110">
        <f>SUM(BN6:CR6)</f>
        <v/>
      </c>
      <c r="CT6" s="52" t="n"/>
      <c r="CU6" s="52" t="n"/>
      <c r="CV6" s="52" t="n"/>
      <c r="CW6" s="52" t="n">
        <v>14000</v>
      </c>
      <c r="CX6" s="52" t="n"/>
      <c r="CY6" s="52" t="n"/>
      <c r="CZ6" s="52" t="n"/>
      <c r="DA6" s="52" t="n"/>
      <c r="DB6" s="52" t="n"/>
      <c r="DC6" s="52" t="n"/>
      <c r="DD6" s="52" t="n"/>
      <c r="DE6" s="52" t="n"/>
      <c r="DF6" s="52" t="n"/>
      <c r="DG6" s="52" t="n">
        <v>3000</v>
      </c>
      <c r="DH6" s="52" t="n">
        <v>8000</v>
      </c>
      <c r="DI6" s="52" t="n"/>
      <c r="DJ6" s="52" t="n"/>
      <c r="DK6" s="52" t="n"/>
      <c r="DL6" s="52" t="n"/>
      <c r="DM6" s="52" t="n"/>
      <c r="DN6" s="52" t="n"/>
      <c r="DO6" s="52" t="n">
        <v>6000</v>
      </c>
      <c r="DP6" s="52" t="n"/>
      <c r="DQ6" s="52" t="n"/>
      <c r="DR6" s="52" t="n"/>
      <c r="DS6" s="52" t="n"/>
      <c r="DT6" s="52" t="n"/>
      <c r="DU6" s="52" t="n"/>
      <c r="DV6" s="52" t="n"/>
      <c r="DW6" s="52" t="n"/>
      <c r="DX6" s="118">
        <f>SUM(CT6:DW6)</f>
        <v/>
      </c>
      <c r="EJ6" t="n">
        <v>10000</v>
      </c>
      <c r="EK6" t="n">
        <v>2500</v>
      </c>
      <c r="FD6" s="126">
        <f>SUM(DY6:FC6)</f>
        <v/>
      </c>
      <c r="FE6" t="n">
        <v>7000</v>
      </c>
      <c r="FJ6" t="n">
        <v>8000</v>
      </c>
      <c r="FN6" t="n">
        <v>6000</v>
      </c>
      <c r="FO6" t="n">
        <v>5000</v>
      </c>
      <c r="FZ6" t="n">
        <v>2000</v>
      </c>
      <c r="GB6" t="n">
        <v>12500</v>
      </c>
      <c r="GC6" t="n">
        <v>2000</v>
      </c>
      <c r="GF6" t="n">
        <v>7000</v>
      </c>
      <c r="GG6" t="n">
        <v>3000</v>
      </c>
      <c r="GJ6" s="130">
        <f>SUM(FE6:GI6)</f>
        <v/>
      </c>
      <c r="GM6" t="n">
        <v>5000</v>
      </c>
      <c r="GR6" t="n">
        <v>15000</v>
      </c>
      <c r="HK6" t="n">
        <v>6000</v>
      </c>
      <c r="HN6" s="130">
        <f>SUM(GK6:HM6)</f>
        <v/>
      </c>
      <c r="HW6" t="n">
        <v>10000</v>
      </c>
      <c r="HX6" t="n">
        <v>10000</v>
      </c>
      <c r="IT6" s="130">
        <f>SUM(HO6:IS6)</f>
        <v/>
      </c>
      <c r="JY6" s="130">
        <f>SUM(IU6:JX6)</f>
        <v/>
      </c>
      <c r="KH6" t="n">
        <v>3000</v>
      </c>
      <c r="KN6" t="n">
        <v>7000</v>
      </c>
      <c r="LE6" s="130">
        <f>SUM(KA6:LD6)</f>
        <v/>
      </c>
      <c r="LK6" t="n">
        <v>9000</v>
      </c>
      <c r="LY6" t="n">
        <v>39000</v>
      </c>
      <c r="ME6" t="n">
        <v>5000</v>
      </c>
      <c r="MJ6" s="130">
        <f>SUM(LF6:MI6)</f>
        <v/>
      </c>
      <c r="NP6" s="130">
        <f>SUM(ML6:NO6)</f>
        <v/>
      </c>
      <c r="OK6" t="n">
        <v>6000</v>
      </c>
      <c r="OV6" s="130">
        <f>SUM(NR6:OU6)</f>
        <v/>
      </c>
      <c r="OZ6" t="n">
        <v>5000</v>
      </c>
      <c r="PG6" t="n">
        <v>6000</v>
      </c>
      <c r="PJ6" t="n">
        <v>6000</v>
      </c>
      <c r="PL6" t="n">
        <v>5000</v>
      </c>
      <c r="PM6" t="n">
        <v>0</v>
      </c>
      <c r="PN6" t="n">
        <v>8000</v>
      </c>
      <c r="PU6" t="n">
        <v>12000</v>
      </c>
      <c r="QA6" s="130">
        <f>SUM(OW6:PZ6)</f>
        <v/>
      </c>
      <c r="QQ6" t="n">
        <v>10000</v>
      </c>
      <c r="QX6" t="n">
        <v>4000</v>
      </c>
      <c r="RE6" t="n">
        <v>3000</v>
      </c>
      <c r="RG6" s="130">
        <f>SUM(QC6:RF6)</f>
        <v/>
      </c>
      <c r="RH6" t="n">
        <v>5000</v>
      </c>
      <c r="RM6" t="n">
        <v>3000</v>
      </c>
      <c r="RW6" t="n">
        <v>12000</v>
      </c>
      <c r="SA6" t="n">
        <v>6000</v>
      </c>
      <c r="SH6" t="n">
        <v>9000</v>
      </c>
      <c r="SM6" s="130">
        <f>SUM(RI6:SL6)</f>
        <v/>
      </c>
      <c r="SN6" t="n">
        <v>6000</v>
      </c>
      <c r="SR6" t="n">
        <v>3000</v>
      </c>
      <c r="SX6" t="n">
        <v>9000</v>
      </c>
      <c r="TE6" t="n">
        <v>17000</v>
      </c>
      <c r="TS6" s="130">
        <f>SUM(SO6:TR6)</f>
        <v/>
      </c>
      <c r="TT6" t="n">
        <v>5000</v>
      </c>
      <c r="TV6" t="n">
        <v>3000</v>
      </c>
      <c r="UA6" t="n">
        <v>3000</v>
      </c>
      <c r="UC6" t="n">
        <v>0</v>
      </c>
      <c r="UD6" t="n">
        <v>1500</v>
      </c>
      <c r="UH6" t="n">
        <v>6000</v>
      </c>
      <c r="UM6" t="n">
        <v>4000</v>
      </c>
      <c r="UO6" t="n">
        <v>9000</v>
      </c>
      <c r="UV6" t="n">
        <v>8000</v>
      </c>
      <c r="UW6" t="n">
        <v>6000</v>
      </c>
      <c r="UY6" s="130">
        <f>SUM(TU6:UX6)</f>
        <v/>
      </c>
      <c r="UZ6" t="n">
        <v>0</v>
      </c>
      <c r="VJ6" t="n">
        <v>3000</v>
      </c>
      <c r="VR6" t="n">
        <v>23000</v>
      </c>
      <c r="VY6" t="n">
        <v>12000</v>
      </c>
      <c r="WB6" s="130">
        <f>SUM(UZ6:WA6)</f>
        <v/>
      </c>
      <c r="WP6" t="n">
        <v>0</v>
      </c>
      <c r="WQ6" t="n">
        <v>10000</v>
      </c>
      <c r="XH6" s="130">
        <f>SUM(WF6:XG6)</f>
        <v/>
      </c>
      <c r="XL6" t="n">
        <v>10000</v>
      </c>
      <c r="XM6" t="n">
        <v>20000</v>
      </c>
      <c r="XQ6" t="n">
        <v>3000</v>
      </c>
      <c r="XW6" t="n">
        <v>2000</v>
      </c>
      <c r="XX6" t="n">
        <v>13000</v>
      </c>
      <c r="YE6" t="n">
        <v>3000</v>
      </c>
      <c r="YL6" t="n">
        <v>12000</v>
      </c>
      <c r="YM6" s="130">
        <f>SUM(XK6:YL6)</f>
        <v/>
      </c>
      <c r="YN6" t="n">
        <v>0</v>
      </c>
      <c r="YT6" t="n">
        <v>8000</v>
      </c>
      <c r="YY6" t="n">
        <v>4000</v>
      </c>
      <c r="ZB6" t="n">
        <v>8000</v>
      </c>
      <c r="ZI6" t="n">
        <v>7000</v>
      </c>
      <c r="ZP6" t="n">
        <v>7000</v>
      </c>
      <c r="ZS6" s="130">
        <f>SUM(YN6:ZR6)</f>
        <v/>
      </c>
      <c r="AAE6" t="n">
        <v>7000</v>
      </c>
      <c r="AAT6" t="n">
        <v>20000</v>
      </c>
      <c r="AAX6" s="130">
        <f>SUM(ZT6:AAW6)</f>
        <v/>
      </c>
      <c r="ABL6" t="n">
        <v>8000</v>
      </c>
      <c r="ABS6" t="n">
        <v>19000</v>
      </c>
      <c r="ACD6" s="130">
        <f>SUM(AAY6:ACC6)</f>
        <v/>
      </c>
      <c r="ADJ6" s="130">
        <f>SUM(ACE6:ADI6)</f>
        <v/>
      </c>
      <c r="ADZ6" t="n">
        <v>9000</v>
      </c>
      <c r="AEF6" t="n">
        <v>5000</v>
      </c>
      <c r="AEN6" t="n">
        <v>8000</v>
      </c>
      <c r="AEO6" s="130">
        <f>SUM(ADK6:AEN6)</f>
        <v/>
      </c>
      <c r="AFU6" s="130">
        <f>SUM(AEP6:AFT6)</f>
        <v/>
      </c>
      <c r="AGL6" t="n">
        <v>1000</v>
      </c>
      <c r="AGZ6" s="130">
        <f>SUM(AFV6:AGY6)</f>
        <v/>
      </c>
      <c r="AHC6" t="n">
        <v>5000</v>
      </c>
      <c r="AIF6" s="145">
        <f>SUM(AHA6:AIE6)</f>
        <v/>
      </c>
      <c r="AIK6" t="n">
        <v>10000</v>
      </c>
      <c r="AIM6" t="n">
        <v>4000</v>
      </c>
      <c r="AIS6" t="n">
        <v>14000</v>
      </c>
      <c r="AJA6" t="n">
        <v>1000</v>
      </c>
      <c r="AJL6" s="145">
        <f>SUM(AIG6:AJK6)</f>
        <v/>
      </c>
      <c r="AKO6" s="145">
        <f>SUM(AJM6:AKN6)</f>
        <v/>
      </c>
      <c r="ALU6" s="145">
        <f>SUM(AKS6:ALT6)</f>
        <v/>
      </c>
      <c r="AMP6" t="n">
        <v>5000</v>
      </c>
      <c r="AMZ6" s="145">
        <f>SUM(ALV6:AMY6)</f>
        <v/>
      </c>
      <c r="AND6" t="n">
        <v>10000</v>
      </c>
      <c r="ANS6" t="n">
        <v>12000</v>
      </c>
    </row>
    <row r="7">
      <c r="B7" s="5" t="inlineStr">
        <is>
          <t>BROOM</t>
        </is>
      </c>
      <c r="C7" s="22" t="n"/>
      <c r="D7" s="22" t="n"/>
      <c r="E7" s="22" t="n"/>
      <c r="F7" s="22" t="n"/>
      <c r="G7" s="22" t="n"/>
      <c r="H7" s="22" t="n">
        <v>0</v>
      </c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>
        <v>4000</v>
      </c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>
        <f>SUM(C7:AG7)</f>
        <v/>
      </c>
      <c r="AI7" s="52" t="n"/>
      <c r="AJ7" s="52" t="n">
        <v>0</v>
      </c>
      <c r="AK7" s="52" t="n"/>
      <c r="AL7" s="52" t="n"/>
      <c r="AM7" s="52" t="n"/>
      <c r="AN7" s="52" t="n"/>
      <c r="AO7" s="52" t="n"/>
      <c r="AP7" s="52" t="n"/>
      <c r="AQ7" s="52" t="n">
        <v>0</v>
      </c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>
        <v>4000</v>
      </c>
      <c r="BI7" s="52" t="n">
        <v>0</v>
      </c>
      <c r="BJ7" s="52" t="n"/>
      <c r="BK7" s="52" t="n"/>
      <c r="BL7" s="52" t="n"/>
      <c r="BM7" s="52">
        <f>SUM(AI7:BL7)</f>
        <v/>
      </c>
      <c r="BN7" s="52" t="n"/>
      <c r="BO7" s="52" t="n"/>
      <c r="BP7" s="52" t="n"/>
      <c r="BQ7" s="52" t="n"/>
      <c r="BR7" s="52" t="n"/>
      <c r="BS7" s="52" t="n"/>
      <c r="BT7" s="52" t="n"/>
      <c r="BU7" s="52" t="n">
        <v>0</v>
      </c>
      <c r="BV7" s="52" t="n"/>
      <c r="BW7" s="52" t="n"/>
      <c r="BX7" s="52" t="n"/>
      <c r="BY7" s="52" t="n"/>
      <c r="BZ7" s="52" t="n"/>
      <c r="CA7" s="52" t="n"/>
      <c r="CB7" s="52" t="n"/>
      <c r="CC7" s="52" t="n"/>
      <c r="CD7" s="52" t="n"/>
      <c r="CE7" s="52" t="n"/>
      <c r="CF7" s="52" t="n"/>
      <c r="CL7" t="n">
        <v>4000</v>
      </c>
      <c r="CS7" s="110">
        <f>SUM(BN7:CR7)</f>
        <v/>
      </c>
      <c r="CT7" s="52" t="n"/>
      <c r="CU7" s="52" t="n"/>
      <c r="CV7" s="52" t="n"/>
      <c r="CW7" s="52" t="n"/>
      <c r="CX7" s="52" t="n"/>
      <c r="CY7" s="52" t="n"/>
      <c r="CZ7" s="52" t="n"/>
      <c r="DA7" s="52" t="n"/>
      <c r="DB7" s="52" t="n"/>
      <c r="DC7" s="52" t="n"/>
      <c r="DD7" s="52" t="n"/>
      <c r="DE7" s="52" t="n"/>
      <c r="DF7" s="52" t="n"/>
      <c r="DG7" s="52" t="n"/>
      <c r="DH7" s="52" t="n"/>
      <c r="DI7" s="52" t="n"/>
      <c r="DJ7" s="52" t="n"/>
      <c r="DK7" s="52" t="n"/>
      <c r="DL7" s="52" t="n"/>
      <c r="DM7" s="52" t="n"/>
      <c r="DN7" s="52" t="n">
        <v>4000</v>
      </c>
      <c r="DO7" s="52" t="n"/>
      <c r="DP7" s="52" t="n"/>
      <c r="DQ7" s="52" t="n"/>
      <c r="DR7" s="52" t="n"/>
      <c r="DS7" s="52" t="n"/>
      <c r="DT7" s="52" t="n"/>
      <c r="DU7" s="52" t="n"/>
      <c r="DV7" s="52" t="n"/>
      <c r="DW7" s="52" t="n"/>
      <c r="DX7" s="118">
        <f>SUM(CT7:DW7)</f>
        <v/>
      </c>
      <c r="EA7" t="n">
        <v>10000</v>
      </c>
      <c r="ES7" t="n">
        <v>4000</v>
      </c>
      <c r="FD7" s="126">
        <f>SUM(DY7:FC7)</f>
        <v/>
      </c>
      <c r="GA7" t="n">
        <v>4000</v>
      </c>
      <c r="GJ7" s="130">
        <f>SUM(FE7:GI7)</f>
        <v/>
      </c>
      <c r="HH7" t="n">
        <v>4000</v>
      </c>
      <c r="HN7" s="130">
        <f>SUM(GK7:HM7)</f>
        <v/>
      </c>
      <c r="IT7" s="130">
        <f>SUM(HO7:IS7)</f>
        <v/>
      </c>
      <c r="JO7" t="n">
        <v>4000</v>
      </c>
      <c r="JY7" s="130">
        <f>SUM(IU7:JX7)</f>
        <v/>
      </c>
      <c r="KT7" t="n">
        <v>14000</v>
      </c>
      <c r="LE7" s="130">
        <f>SUM(KA7:LD7)</f>
        <v/>
      </c>
      <c r="MJ7" s="130">
        <f>SUM(LF7:MI7)</f>
        <v/>
      </c>
      <c r="NP7" s="130">
        <f>SUM(ML7:NO7)</f>
        <v/>
      </c>
      <c r="OI7" t="n">
        <v>4000</v>
      </c>
      <c r="OV7" s="130">
        <f>SUM(NR7:OU7)</f>
        <v/>
      </c>
      <c r="PQ7" t="n">
        <v>4000</v>
      </c>
      <c r="QA7" s="130">
        <f>SUM(OW7:PZ7)</f>
        <v/>
      </c>
      <c r="QV7" t="n">
        <v>4000</v>
      </c>
      <c r="RG7" s="130">
        <f>SUM(QC7:RF7)</f>
        <v/>
      </c>
      <c r="SB7" t="n">
        <v>4000</v>
      </c>
      <c r="SM7" s="130">
        <f>SUM(RI7:SL7)</f>
        <v/>
      </c>
      <c r="TH7" t="n">
        <v>4000</v>
      </c>
      <c r="TS7" s="130">
        <f>SUM(SO7:TR7)</f>
        <v/>
      </c>
      <c r="UN7" t="n">
        <v>4000</v>
      </c>
      <c r="UY7" s="130">
        <f>SUM(TU7:UX7)</f>
        <v/>
      </c>
      <c r="UZ7" t="n">
        <v>0</v>
      </c>
      <c r="WB7" s="130">
        <f>SUM(UZ7:WA7)</f>
        <v/>
      </c>
      <c r="WU7" t="n">
        <v>5000</v>
      </c>
      <c r="WW7" t="n">
        <v>4000</v>
      </c>
      <c r="XH7" s="130">
        <f>SUM(WF7:XG7)</f>
        <v/>
      </c>
      <c r="YM7" s="130">
        <f>SUM(XK7:YL7)</f>
        <v/>
      </c>
      <c r="ZS7" s="130">
        <f>SUM(YN7:ZR7)</f>
        <v/>
      </c>
      <c r="ZU7" t="n">
        <v>4000</v>
      </c>
      <c r="AAO7" t="n">
        <v>0</v>
      </c>
      <c r="AAP7" t="n">
        <v>4000</v>
      </c>
      <c r="AAX7" s="130">
        <f>SUM(ZT7:AAW7)</f>
        <v/>
      </c>
      <c r="ABO7" t="n">
        <v>4000</v>
      </c>
      <c r="ACD7" s="130">
        <f>SUM(AAY7:ACC7)</f>
        <v/>
      </c>
      <c r="ACM7" t="n">
        <v>4000</v>
      </c>
      <c r="ADJ7" s="130">
        <f>SUM(ACE7:ADI7)</f>
        <v/>
      </c>
      <c r="ADR7" t="n">
        <v>4000</v>
      </c>
      <c r="AEO7" s="130">
        <f>SUM(ADK7:AEN7)</f>
        <v/>
      </c>
      <c r="AEY7" t="n">
        <v>4000</v>
      </c>
      <c r="AFU7" s="130">
        <f>SUM(AEP7:AFT7)</f>
        <v/>
      </c>
      <c r="AFZ7" t="n">
        <v>4000</v>
      </c>
      <c r="AGZ7" s="130">
        <f>SUM(AFV7:AGY7)</f>
        <v/>
      </c>
      <c r="AIF7" s="145">
        <f>SUM(AHA7:AIE7)</f>
        <v/>
      </c>
      <c r="AIJ7" t="n">
        <v>4000</v>
      </c>
      <c r="AJB7" t="n">
        <v>4000</v>
      </c>
      <c r="AJL7" s="145">
        <f>SUM(AIG7:AJK7)</f>
        <v/>
      </c>
      <c r="AJQ7" t="n">
        <v>4000</v>
      </c>
      <c r="AKO7" s="145">
        <f>SUM(AJM7:AKN7)</f>
        <v/>
      </c>
      <c r="ALU7" s="145">
        <f>SUM(AKS7:ALT7)</f>
        <v/>
      </c>
      <c r="AMR7" t="n">
        <v>4000</v>
      </c>
      <c r="AMZ7" s="145">
        <f>SUM(ALV7:AMY7)</f>
        <v/>
      </c>
    </row>
    <row r="8">
      <c r="B8" s="5" t="inlineStr">
        <is>
          <t>Bankin transport</t>
        </is>
      </c>
      <c r="C8" s="22" t="n"/>
      <c r="D8" s="22" t="n"/>
      <c r="E8" s="22" t="n">
        <v>33000</v>
      </c>
      <c r="F8" s="22" t="n"/>
      <c r="G8" s="22" t="n"/>
      <c r="H8" s="22" t="n">
        <v>0</v>
      </c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>
        <v>18000</v>
      </c>
      <c r="Y8" s="22" t="n"/>
      <c r="Z8" s="22" t="n">
        <v>19000</v>
      </c>
      <c r="AA8" s="22" t="n"/>
      <c r="AB8" s="22" t="n"/>
      <c r="AC8" s="22" t="n"/>
      <c r="AD8" s="22" t="n">
        <v>4000</v>
      </c>
      <c r="AE8" s="22" t="n">
        <v>33000</v>
      </c>
      <c r="AF8" s="22" t="n"/>
      <c r="AG8" s="22" t="n"/>
      <c r="AH8" s="22">
        <f>SUM(C8:AG8)</f>
        <v/>
      </c>
      <c r="AI8" s="52" t="n"/>
      <c r="AJ8" s="52" t="n"/>
      <c r="AK8" s="52" t="n"/>
      <c r="AL8" s="52" t="n"/>
      <c r="AM8" s="52" t="n"/>
      <c r="AN8" s="52" t="n"/>
      <c r="AO8" s="52" t="n">
        <v>7000</v>
      </c>
      <c r="AP8" s="52" t="n"/>
      <c r="AQ8" s="52" t="n"/>
      <c r="AR8" s="52" t="n"/>
      <c r="AS8" s="52" t="n">
        <v>14000</v>
      </c>
      <c r="AT8" s="52" t="n"/>
      <c r="AU8" s="52" t="n">
        <v>6000</v>
      </c>
      <c r="AV8" s="52" t="n">
        <v>6000</v>
      </c>
      <c r="AW8" s="52" t="n">
        <v>10000</v>
      </c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>
        <v>58000</v>
      </c>
      <c r="BM8" s="52">
        <f>SUM(AI8:BL8)</f>
        <v/>
      </c>
      <c r="BN8" s="52" t="n"/>
      <c r="BO8" s="52" t="n"/>
      <c r="BP8" s="52" t="n"/>
      <c r="BQ8" s="52" t="n"/>
      <c r="BR8" s="52" t="n"/>
      <c r="BS8" s="52" t="n"/>
      <c r="BT8" s="52" t="n"/>
      <c r="BU8" s="52" t="n"/>
      <c r="BV8" s="52" t="n"/>
      <c r="BW8" s="52" t="n"/>
      <c r="BX8" s="52" t="n"/>
      <c r="BY8" s="52" t="n"/>
      <c r="BZ8" s="52" t="n"/>
      <c r="CA8" s="52" t="n">
        <v>2000</v>
      </c>
      <c r="CB8" s="52" t="n"/>
      <c r="CC8" s="52" t="n"/>
      <c r="CD8" s="52" t="n"/>
      <c r="CE8" s="52" t="n"/>
      <c r="CF8" s="52" t="n"/>
      <c r="CG8" t="n">
        <v>5000</v>
      </c>
      <c r="CS8" s="110">
        <f>SUM(BN8:CR8)</f>
        <v/>
      </c>
      <c r="CT8" s="52" t="n"/>
      <c r="CU8" s="52" t="n"/>
      <c r="CV8" s="52" t="n"/>
      <c r="CW8" s="52" t="n"/>
      <c r="CX8" s="52" t="n"/>
      <c r="CY8" s="52" t="n"/>
      <c r="CZ8" s="52" t="n"/>
      <c r="DA8" s="52" t="n"/>
      <c r="DB8" s="52" t="n"/>
      <c r="DC8" s="52" t="n"/>
      <c r="DD8" s="52" t="n"/>
      <c r="DE8" s="52" t="n"/>
      <c r="DF8" s="52" t="n"/>
      <c r="DG8" s="52" t="n"/>
      <c r="DH8" s="52" t="n"/>
      <c r="DI8" s="52" t="n"/>
      <c r="DJ8" s="52" t="n"/>
      <c r="DK8" s="52" t="n"/>
      <c r="DL8" s="52" t="n"/>
      <c r="DM8" s="52" t="n"/>
      <c r="DN8" s="52" t="n"/>
      <c r="DO8" s="52" t="n"/>
      <c r="DP8" s="52" t="n"/>
      <c r="DQ8" s="52" t="n"/>
      <c r="DR8" s="52" t="n"/>
      <c r="DS8" s="52" t="n"/>
      <c r="DT8" s="52" t="n"/>
      <c r="DU8" s="52" t="n"/>
      <c r="DV8" s="52" t="n"/>
      <c r="DW8" s="52" t="n"/>
      <c r="DX8" s="117" t="n"/>
      <c r="FD8" s="126">
        <f>SUM(DY8:FC8)</f>
        <v/>
      </c>
      <c r="GJ8" s="130" t="n"/>
      <c r="HE8" t="n">
        <v>6000</v>
      </c>
      <c r="HF8" t="n">
        <v>14000</v>
      </c>
      <c r="HN8" s="130">
        <f>SUM(GK8:HM8)</f>
        <v/>
      </c>
      <c r="IJ8" t="n">
        <v>12000</v>
      </c>
      <c r="IT8" s="130">
        <f>SUM(HO8:IS8)</f>
        <v/>
      </c>
      <c r="JE8" t="n">
        <v>10000</v>
      </c>
      <c r="JS8" t="n">
        <v>8000</v>
      </c>
      <c r="JY8" s="130">
        <f>SUM(IU8:JX8)</f>
        <v/>
      </c>
      <c r="LE8" s="130">
        <f>SUM(KA8:LD8)</f>
        <v/>
      </c>
      <c r="MJ8" s="130">
        <f>SUM(LF8:MI8)</f>
        <v/>
      </c>
      <c r="NP8" s="130">
        <f>SUM(ML8:NO8)</f>
        <v/>
      </c>
      <c r="NY8" t="n">
        <v>4000</v>
      </c>
      <c r="OE8" t="n">
        <v>13000</v>
      </c>
      <c r="OT8" t="n">
        <v>8000</v>
      </c>
      <c r="OV8" s="130">
        <f>SUM(NR8:OU8)</f>
        <v/>
      </c>
      <c r="QA8" s="130">
        <f>SUM(OW8:PZ8)</f>
        <v/>
      </c>
      <c r="QK8" t="n">
        <v>20000</v>
      </c>
      <c r="RG8" s="130">
        <f>SUM(QC8:RF8)</f>
        <v/>
      </c>
      <c r="SM8" s="130">
        <f>SUM(RI8:SL8)</f>
        <v/>
      </c>
      <c r="SO8" t="n">
        <v>6500</v>
      </c>
      <c r="SP8" t="n">
        <v>12500</v>
      </c>
      <c r="TS8" s="130">
        <f>SUM(SO8:TR8)</f>
        <v/>
      </c>
      <c r="UR8" t="n">
        <v>4000</v>
      </c>
      <c r="UY8" s="130">
        <f>SUM(TU8:UX8)</f>
        <v/>
      </c>
      <c r="WB8" s="130">
        <f>SUM(UZ8:WA8)</f>
        <v/>
      </c>
      <c r="WT8" t="n">
        <v>10000</v>
      </c>
      <c r="XH8" s="130">
        <f>SUM(WF8:XG8)</f>
        <v/>
      </c>
      <c r="XI8" t="n">
        <v>20000</v>
      </c>
      <c r="XR8" t="n">
        <v>12000</v>
      </c>
      <c r="YM8" s="130">
        <f>SUM(XK8:YL8)</f>
        <v/>
      </c>
      <c r="YS8" t="n">
        <v>14000</v>
      </c>
      <c r="ZS8" s="130">
        <f>SUM(YN8:ZR8)</f>
        <v/>
      </c>
      <c r="AAD8" t="n">
        <v>14000</v>
      </c>
      <c r="AAX8" s="130">
        <f>SUM(ZT8:AAW8)</f>
        <v/>
      </c>
      <c r="AAZ8" t="n">
        <v>16000</v>
      </c>
      <c r="ABB8" t="n">
        <v>2000</v>
      </c>
      <c r="ABE8" t="n">
        <v>2000</v>
      </c>
      <c r="ABF8" t="n">
        <v>2000</v>
      </c>
      <c r="ABG8" t="n">
        <v>2000</v>
      </c>
      <c r="ABL8" t="n">
        <v>2000</v>
      </c>
      <c r="ABM8" t="n">
        <v>2000</v>
      </c>
      <c r="ABN8" t="n">
        <v>2000</v>
      </c>
      <c r="ABO8" t="n">
        <v>2000</v>
      </c>
      <c r="ABP8" t="n">
        <v>2000</v>
      </c>
      <c r="ABQ8" t="n">
        <v>2000</v>
      </c>
      <c r="ABS8" t="n">
        <v>2000</v>
      </c>
      <c r="ABU8" t="n">
        <v>2000</v>
      </c>
      <c r="ABV8" t="n">
        <v>2000</v>
      </c>
      <c r="ABW8" t="n">
        <v>2000</v>
      </c>
      <c r="ABX8" t="n">
        <v>2000</v>
      </c>
      <c r="ACA8" t="n">
        <v>2000</v>
      </c>
      <c r="ACB8" t="n">
        <v>2000</v>
      </c>
      <c r="ACC8" t="n">
        <v>2000</v>
      </c>
      <c r="ACD8" s="130">
        <f>SUM(AAY8:ACC8)</f>
        <v/>
      </c>
      <c r="ACE8" t="n">
        <v>2000</v>
      </c>
      <c r="ACF8" t="n">
        <v>2000</v>
      </c>
      <c r="ACH8" t="n">
        <v>2000</v>
      </c>
      <c r="ACI8" t="n">
        <v>2000</v>
      </c>
      <c r="ACJ8" t="n">
        <v>2000</v>
      </c>
      <c r="ACK8" t="n">
        <v>2000</v>
      </c>
      <c r="ACL8" t="n">
        <v>2000</v>
      </c>
      <c r="ACQ8" t="n">
        <v>2000</v>
      </c>
      <c r="ACR8" t="n">
        <v>2000</v>
      </c>
      <c r="ACS8" t="n">
        <v>2000</v>
      </c>
      <c r="ACT8" t="n">
        <v>2000</v>
      </c>
      <c r="ACV8" t="n">
        <v>4000</v>
      </c>
      <c r="ACW8" t="n">
        <v>2000</v>
      </c>
      <c r="ACX8" t="n">
        <v>2000</v>
      </c>
      <c r="ACY8" t="n">
        <v>2000</v>
      </c>
      <c r="ACZ8" t="n">
        <v>2000</v>
      </c>
      <c r="ADA8" t="n">
        <v>2000</v>
      </c>
      <c r="ADC8" t="n">
        <v>2000</v>
      </c>
      <c r="ADD8" t="n">
        <v>2000</v>
      </c>
      <c r="ADE8" t="n">
        <v>2000</v>
      </c>
      <c r="ADF8" t="n">
        <v>2000</v>
      </c>
      <c r="ADG8" t="n">
        <v>2000</v>
      </c>
      <c r="ADH8" t="n">
        <v>2000</v>
      </c>
      <c r="ADJ8" s="130">
        <f>SUM(ACE8:ADI8)</f>
        <v/>
      </c>
      <c r="ADK8" t="n">
        <v>4000</v>
      </c>
      <c r="ADM8" t="n">
        <v>2000</v>
      </c>
      <c r="ADN8" t="n">
        <v>2000</v>
      </c>
      <c r="ADO8" t="n">
        <v>2000</v>
      </c>
      <c r="ADP8" t="n">
        <v>2000</v>
      </c>
      <c r="ADR8" t="n">
        <v>4000</v>
      </c>
      <c r="ADS8" t="n">
        <v>0</v>
      </c>
      <c r="ADT8" t="n">
        <v>2000</v>
      </c>
      <c r="ADV8" t="n">
        <v>2000</v>
      </c>
      <c r="ADW8" t="n">
        <v>2000</v>
      </c>
      <c r="ADY8" t="n">
        <v>2000</v>
      </c>
      <c r="AEA8" t="n">
        <v>2000</v>
      </c>
      <c r="AEB8" t="n">
        <v>26000</v>
      </c>
      <c r="AEC8" t="n">
        <v>2000</v>
      </c>
      <c r="AEH8" t="n">
        <v>2000</v>
      </c>
      <c r="AEI8" t="n">
        <v>2000</v>
      </c>
      <c r="AEJ8" t="n">
        <v>2000</v>
      </c>
      <c r="AEK8" t="n">
        <v>2000</v>
      </c>
      <c r="AEM8" t="n">
        <v>2000</v>
      </c>
      <c r="AEN8" t="n">
        <v>2000</v>
      </c>
      <c r="AEO8" s="130">
        <f>SUM(ADK8:AEN8)</f>
        <v/>
      </c>
      <c r="AEP8" t="n">
        <v>2000</v>
      </c>
      <c r="AEQ8" t="n">
        <v>2000</v>
      </c>
      <c r="AER8" t="n">
        <v>2000</v>
      </c>
      <c r="AES8" t="n">
        <v>2000</v>
      </c>
      <c r="AEU8" t="n">
        <v>2000</v>
      </c>
      <c r="AEV8" t="n">
        <v>2000</v>
      </c>
      <c r="AEW8" t="n">
        <v>2000</v>
      </c>
      <c r="AEX8" t="n">
        <v>2000</v>
      </c>
      <c r="AEY8" t="n">
        <v>2000</v>
      </c>
      <c r="AEZ8" t="n">
        <v>2000</v>
      </c>
      <c r="AFB8" t="n">
        <v>2000</v>
      </c>
      <c r="AFC8" t="n">
        <v>2000</v>
      </c>
      <c r="AFD8" t="n">
        <v>2000</v>
      </c>
      <c r="AFE8" t="n">
        <v>2000</v>
      </c>
      <c r="AFF8" t="n">
        <v>2000</v>
      </c>
      <c r="AFG8" t="n">
        <v>2000</v>
      </c>
      <c r="AFI8" t="n">
        <v>2000</v>
      </c>
      <c r="AFJ8" t="n">
        <v>2000</v>
      </c>
      <c r="AFK8" t="n">
        <v>2000</v>
      </c>
      <c r="AFL8" t="n">
        <v>2000</v>
      </c>
      <c r="AFM8" t="n">
        <v>2000</v>
      </c>
      <c r="AFN8" t="n">
        <v>2000</v>
      </c>
      <c r="AFP8" t="n">
        <v>2000</v>
      </c>
      <c r="AFQ8" t="n">
        <v>2000</v>
      </c>
      <c r="AFR8" t="n">
        <v>2000</v>
      </c>
      <c r="AFS8" t="n">
        <v>2000</v>
      </c>
      <c r="AFT8" t="n">
        <v>4000</v>
      </c>
      <c r="AFU8" s="130">
        <f>SUM(AEP8:AFT8)</f>
        <v/>
      </c>
      <c r="AFW8" t="n">
        <v>7000</v>
      </c>
      <c r="AFY8" t="n">
        <v>4000</v>
      </c>
      <c r="AFZ8" t="n">
        <v>4000</v>
      </c>
      <c r="AGA8" t="n">
        <v>2000</v>
      </c>
      <c r="AGB8" t="n">
        <v>2000</v>
      </c>
      <c r="AGC8" t="n">
        <v>2000</v>
      </c>
      <c r="AGE8" t="n">
        <v>14000</v>
      </c>
      <c r="AGF8" t="n">
        <v>2000</v>
      </c>
      <c r="AGG8" t="n">
        <v>2000</v>
      </c>
      <c r="AGH8" t="n">
        <v>2000</v>
      </c>
      <c r="AGI8" t="n">
        <v>2000</v>
      </c>
      <c r="AGJ8" t="n">
        <v>2000</v>
      </c>
      <c r="AGL8" t="n">
        <v>2000</v>
      </c>
      <c r="AGM8" t="n">
        <v>2000</v>
      </c>
      <c r="AGN8" t="n">
        <v>2000</v>
      </c>
      <c r="AGO8" t="n">
        <v>2000</v>
      </c>
      <c r="AGT8" t="n">
        <v>2000</v>
      </c>
      <c r="AGU8" t="n">
        <v>2000</v>
      </c>
      <c r="AGV8" t="n">
        <v>4000</v>
      </c>
      <c r="AGW8" t="n">
        <v>2000</v>
      </c>
      <c r="AGX8" t="n">
        <v>12000</v>
      </c>
      <c r="AGZ8" s="130">
        <f>SUM(AFV8:AGY8)</f>
        <v/>
      </c>
      <c r="AHA8" t="n">
        <v>2000</v>
      </c>
      <c r="AHB8" t="n">
        <v>2000</v>
      </c>
      <c r="AHC8" t="n">
        <v>2000</v>
      </c>
      <c r="AHD8" t="n">
        <v>2000</v>
      </c>
      <c r="AHE8" t="n">
        <v>2000</v>
      </c>
      <c r="AHF8" t="n">
        <v>2000</v>
      </c>
      <c r="AHG8" t="n">
        <v>18000</v>
      </c>
      <c r="AHH8" t="n">
        <v>16000</v>
      </c>
      <c r="AHI8" t="n">
        <v>2000</v>
      </c>
      <c r="AHJ8" t="n">
        <v>2000</v>
      </c>
      <c r="AHK8" t="n">
        <v>2000</v>
      </c>
      <c r="AHL8" t="n">
        <v>2000</v>
      </c>
      <c r="AHM8" t="n">
        <v>2000</v>
      </c>
      <c r="AHO8" t="n">
        <v>2000</v>
      </c>
      <c r="AHP8" t="n">
        <v>2000</v>
      </c>
      <c r="AHQ8" t="n">
        <v>2000</v>
      </c>
      <c r="AHR8" t="n">
        <v>2000</v>
      </c>
      <c r="AHS8" t="n">
        <v>2000</v>
      </c>
      <c r="AHV8" t="n">
        <v>2000</v>
      </c>
      <c r="AHW8" t="n">
        <v>2000</v>
      </c>
      <c r="AHX8" t="n">
        <v>2000</v>
      </c>
      <c r="AHZ8" t="n">
        <v>2000</v>
      </c>
      <c r="AIA8" t="n">
        <v>2000</v>
      </c>
      <c r="AIC8" t="n">
        <v>2000</v>
      </c>
      <c r="AID8" t="n">
        <v>2000</v>
      </c>
      <c r="AIE8" t="n">
        <v>2000</v>
      </c>
      <c r="AIF8" s="145">
        <f>SUM(AHA8:AIE8)</f>
        <v/>
      </c>
      <c r="AIG8" t="n">
        <v>0</v>
      </c>
      <c r="AII8" t="n">
        <v>2000</v>
      </c>
      <c r="AIK8" t="n">
        <v>2000</v>
      </c>
      <c r="AIL8" t="n">
        <v>2000</v>
      </c>
      <c r="AIM8" t="n">
        <v>2000</v>
      </c>
      <c r="AIN8" t="n">
        <v>2000</v>
      </c>
      <c r="AIO8" t="n">
        <v>2000</v>
      </c>
      <c r="AIR8" t="n">
        <v>2000</v>
      </c>
      <c r="AIS8" t="n">
        <v>2000</v>
      </c>
      <c r="AIT8" t="n">
        <v>0</v>
      </c>
      <c r="AIY8" t="n">
        <v>2000</v>
      </c>
      <c r="AIZ8" t="n">
        <v>2000</v>
      </c>
      <c r="AJA8" t="n">
        <v>2000</v>
      </c>
      <c r="AJB8" t="n">
        <v>2000</v>
      </c>
      <c r="AJC8" t="n">
        <v>2000</v>
      </c>
      <c r="AJD8" t="n">
        <v>2000</v>
      </c>
      <c r="AJF8" t="n">
        <v>2000</v>
      </c>
      <c r="AJG8" t="n">
        <v>2000</v>
      </c>
      <c r="AJH8" t="n">
        <v>2000</v>
      </c>
      <c r="AJI8" t="n">
        <v>2000</v>
      </c>
      <c r="AJJ8" t="n">
        <v>2000</v>
      </c>
      <c r="AJK8" t="n">
        <v>2000</v>
      </c>
      <c r="AJL8" s="145">
        <f>SUM(AIG8:AJK8)</f>
        <v/>
      </c>
      <c r="AJN8" t="n">
        <v>2000</v>
      </c>
      <c r="AJO8" t="n">
        <v>2000</v>
      </c>
      <c r="AJP8" t="n">
        <v>2000</v>
      </c>
      <c r="AJQ8" t="n">
        <v>2000</v>
      </c>
      <c r="AJR8" t="n">
        <v>2000</v>
      </c>
      <c r="AJS8" t="n">
        <v>10000</v>
      </c>
      <c r="AJT8" t="n">
        <v>0</v>
      </c>
      <c r="AJU8" t="n">
        <v>2000</v>
      </c>
      <c r="AJV8" t="n">
        <v>2000</v>
      </c>
      <c r="AJW8" t="n">
        <v>2000</v>
      </c>
      <c r="AJX8" t="n">
        <v>2000</v>
      </c>
      <c r="AJY8" t="n">
        <v>2000</v>
      </c>
      <c r="AJZ8" t="n">
        <v>10000</v>
      </c>
      <c r="AKB8" t="n">
        <v>2000</v>
      </c>
      <c r="AKC8" t="n">
        <v>2000</v>
      </c>
      <c r="AKD8" t="n">
        <v>2000</v>
      </c>
      <c r="AKE8" t="n">
        <v>2000</v>
      </c>
      <c r="AKF8" t="n">
        <v>2000</v>
      </c>
      <c r="AKG8" t="n">
        <v>10000</v>
      </c>
      <c r="AKI8" t="n">
        <v>2000</v>
      </c>
      <c r="AKJ8" t="n">
        <v>2000</v>
      </c>
      <c r="AKK8" t="n">
        <v>2000</v>
      </c>
      <c r="AKL8" t="n">
        <v>2000</v>
      </c>
      <c r="AKM8" t="n">
        <v>2000</v>
      </c>
      <c r="AKN8" t="n">
        <v>8000</v>
      </c>
      <c r="AKO8" s="145">
        <f>SUM(AJM8:AKN8)</f>
        <v/>
      </c>
      <c r="ALL8" t="n">
        <v>2000</v>
      </c>
      <c r="ALO8" t="n">
        <v>0</v>
      </c>
      <c r="ALP8" t="n">
        <v>2000</v>
      </c>
      <c r="ALS8" t="n">
        <v>2000</v>
      </c>
      <c r="ALT8" t="n">
        <v>2000</v>
      </c>
      <c r="ALU8" s="145">
        <f>SUM(AKS8:ALT8)</f>
        <v/>
      </c>
      <c r="ALV8" t="n">
        <v>2000</v>
      </c>
      <c r="ALW8" t="n">
        <v>2000</v>
      </c>
      <c r="ALX8" t="n">
        <v>2000</v>
      </c>
      <c r="ALY8" t="n">
        <v>2000</v>
      </c>
      <c r="AMA8" t="n">
        <v>2000</v>
      </c>
      <c r="AMB8" t="n">
        <v>2000</v>
      </c>
      <c r="AMC8" t="n">
        <v>2000</v>
      </c>
      <c r="AMD8" t="n">
        <v>2000</v>
      </c>
      <c r="AME8" t="n">
        <v>2000</v>
      </c>
      <c r="AMF8" t="n">
        <v>2000</v>
      </c>
      <c r="AMG8" t="n">
        <v>0</v>
      </c>
      <c r="AMH8" t="n">
        <v>2000</v>
      </c>
      <c r="AMI8" t="n">
        <v>2000</v>
      </c>
      <c r="AMJ8" t="n">
        <v>2000</v>
      </c>
      <c r="AMK8" t="n">
        <v>2000</v>
      </c>
      <c r="AML8" t="n">
        <v>2000</v>
      </c>
      <c r="AMP8" t="n">
        <v>2000</v>
      </c>
      <c r="AMQ8" t="n">
        <v>2000</v>
      </c>
      <c r="AMR8" t="n">
        <v>2000</v>
      </c>
      <c r="AMS8" t="n">
        <v>2000</v>
      </c>
      <c r="AMU8" t="n">
        <v>2000</v>
      </c>
      <c r="AMX8" t="n">
        <v>2000</v>
      </c>
      <c r="AMZ8" s="145">
        <f>SUM(ALV8:AMY8)</f>
        <v/>
      </c>
      <c r="ANG8" t="n">
        <v>2000</v>
      </c>
      <c r="ANH8" t="n">
        <v>2000</v>
      </c>
      <c r="ANI8" t="n">
        <v>2000</v>
      </c>
      <c r="ANK8" t="n">
        <v>6000</v>
      </c>
      <c r="ANL8" t="n">
        <v>2000</v>
      </c>
      <c r="ANM8" t="n">
        <v>2000</v>
      </c>
      <c r="ANN8" t="n">
        <v>2000</v>
      </c>
      <c r="ANO8" t="n">
        <v>2000</v>
      </c>
      <c r="ANP8" t="n">
        <v>2000</v>
      </c>
      <c r="ANR8" t="n">
        <v>2000</v>
      </c>
      <c r="ANS8" t="n">
        <v>2000</v>
      </c>
      <c r="ANT8" t="n">
        <v>2000</v>
      </c>
      <c r="ANU8" t="n">
        <v>26000</v>
      </c>
      <c r="ANV8" t="n">
        <v>14000</v>
      </c>
      <c r="ANW8" t="n">
        <v>10000</v>
      </c>
      <c r="ANY8" t="n">
        <v>2000</v>
      </c>
      <c r="ANZ8" t="n">
        <v>2000</v>
      </c>
      <c r="AOB8" t="n">
        <v>2000</v>
      </c>
      <c r="AOC8" t="n">
        <v>2000</v>
      </c>
    </row>
    <row r="9">
      <c r="B9" s="5" t="inlineStr">
        <is>
          <t>AIRTIME</t>
        </is>
      </c>
      <c r="C9" s="22" t="n"/>
      <c r="D9" s="22" t="n"/>
      <c r="E9" s="22" t="n">
        <v>2000</v>
      </c>
      <c r="F9" s="22" t="n"/>
      <c r="G9" s="22" t="n"/>
      <c r="H9" s="22" t="n">
        <v>0</v>
      </c>
      <c r="I9" s="22" t="n">
        <v>2000</v>
      </c>
      <c r="J9" s="22" t="n"/>
      <c r="K9" s="22" t="n"/>
      <c r="L9" s="22" t="n"/>
      <c r="M9" s="22" t="n">
        <v>2000</v>
      </c>
      <c r="N9" s="22" t="n"/>
      <c r="O9" s="22" t="n"/>
      <c r="P9" s="22" t="n">
        <v>2000</v>
      </c>
      <c r="Q9" s="22" t="n"/>
      <c r="R9" s="22" t="n"/>
      <c r="S9" s="22" t="n">
        <v>2000</v>
      </c>
      <c r="T9" s="22" t="n"/>
      <c r="U9" s="22" t="n"/>
      <c r="V9" s="22" t="n"/>
      <c r="W9" s="22" t="n">
        <v>2000</v>
      </c>
      <c r="X9" s="22" t="n"/>
      <c r="Y9" s="22" t="n"/>
      <c r="Z9" s="22" t="n"/>
      <c r="AA9" s="22" t="n">
        <v>2000</v>
      </c>
      <c r="AB9" s="22" t="n"/>
      <c r="AC9" s="22" t="n">
        <v>2000</v>
      </c>
      <c r="AD9" s="22" t="n"/>
      <c r="AE9" s="22" t="n"/>
      <c r="AF9" s="22" t="n"/>
      <c r="AG9" s="22" t="n">
        <v>2000</v>
      </c>
      <c r="AH9" s="22">
        <f>SUM(C9:AG9)</f>
        <v/>
      </c>
      <c r="AI9" s="52" t="n"/>
      <c r="AJ9" s="52" t="n"/>
      <c r="AK9" s="52" t="n"/>
      <c r="AL9" s="52" t="n">
        <v>2000</v>
      </c>
      <c r="AM9" s="52" t="n"/>
      <c r="AN9" s="52" t="n"/>
      <c r="AO9" s="52" t="n"/>
      <c r="AP9" s="52" t="n">
        <v>2000</v>
      </c>
      <c r="AQ9" s="52" t="n"/>
      <c r="AR9" s="52" t="n"/>
      <c r="AS9" s="52" t="n">
        <v>2000</v>
      </c>
      <c r="AT9" s="52" t="n"/>
      <c r="AU9" s="52" t="n"/>
      <c r="AV9" s="52" t="n">
        <v>2000</v>
      </c>
      <c r="AW9" s="52" t="n"/>
      <c r="AX9" s="52" t="n">
        <v>1000</v>
      </c>
      <c r="AY9" s="52" t="n">
        <v>2000</v>
      </c>
      <c r="AZ9" s="52" t="n"/>
      <c r="BA9" s="52" t="n"/>
      <c r="BB9" s="52" t="n"/>
      <c r="BC9" s="52" t="n">
        <v>2000</v>
      </c>
      <c r="BD9" s="52" t="n"/>
      <c r="BE9" s="52" t="n">
        <v>1000</v>
      </c>
      <c r="BF9" s="52" t="n">
        <v>2000</v>
      </c>
      <c r="BG9" s="52" t="n"/>
      <c r="BH9" s="52" t="n"/>
      <c r="BI9" s="52" t="n"/>
      <c r="BJ9" s="52" t="n">
        <v>2000</v>
      </c>
      <c r="BK9" s="52" t="n"/>
      <c r="BL9" s="52" t="n">
        <v>1000</v>
      </c>
      <c r="BM9" s="52">
        <f>SUM(AI9:BL9)</f>
        <v/>
      </c>
      <c r="BN9" s="52" t="n"/>
      <c r="BO9" s="52" t="n">
        <v>2000</v>
      </c>
      <c r="BP9" s="52" t="n"/>
      <c r="BQ9" s="52" t="n">
        <v>2000</v>
      </c>
      <c r="BR9" s="52" t="n"/>
      <c r="BS9" s="52" t="n">
        <v>1000</v>
      </c>
      <c r="BT9" s="52" t="n">
        <v>1000</v>
      </c>
      <c r="BU9" s="52" t="n">
        <v>0</v>
      </c>
      <c r="BV9" s="52" t="n">
        <v>2000</v>
      </c>
      <c r="BW9" s="52" t="n"/>
      <c r="BX9" s="52" t="n"/>
      <c r="BY9" s="52" t="n">
        <v>2000</v>
      </c>
      <c r="BZ9" s="52" t="n"/>
      <c r="CA9" s="52" t="n"/>
      <c r="CB9" s="52" t="n">
        <v>2000</v>
      </c>
      <c r="CC9" s="52" t="n"/>
      <c r="CD9" s="52" t="n"/>
      <c r="CE9" s="52" t="n"/>
      <c r="CF9" s="52" t="n"/>
      <c r="CG9" t="n">
        <v>2000</v>
      </c>
      <c r="CM9" t="n">
        <v>2000</v>
      </c>
      <c r="CQ9" t="n">
        <v>2000</v>
      </c>
      <c r="CS9" s="110">
        <f>SUM(BN9:CR9)</f>
        <v/>
      </c>
      <c r="CT9" s="52" t="n"/>
      <c r="CU9" s="52" t="n"/>
      <c r="CV9" s="52" t="n">
        <v>2000</v>
      </c>
      <c r="CW9" s="52" t="n"/>
      <c r="CX9" s="52" t="n"/>
      <c r="CY9" s="52" t="n"/>
      <c r="CZ9" s="52" t="n"/>
      <c r="DA9" s="52" t="n"/>
      <c r="DB9" s="52" t="n"/>
      <c r="DC9" s="52" t="n"/>
      <c r="DD9" s="52" t="n"/>
      <c r="DE9" s="52" t="n"/>
      <c r="DF9" s="52" t="n">
        <v>2000</v>
      </c>
      <c r="DG9" s="52" t="n"/>
      <c r="DH9" s="52" t="n"/>
      <c r="DI9" s="52" t="n">
        <v>2000</v>
      </c>
      <c r="DJ9" s="52" t="n"/>
      <c r="DK9" s="52" t="n"/>
      <c r="DL9" s="52" t="n"/>
      <c r="DM9" s="52" t="n">
        <v>2000</v>
      </c>
      <c r="DN9" s="52" t="n"/>
      <c r="DO9" s="52" t="n"/>
      <c r="DP9" s="52" t="n">
        <v>3000</v>
      </c>
      <c r="DQ9" s="52" t="n"/>
      <c r="DR9" s="52" t="n"/>
      <c r="DS9" s="52" t="n"/>
      <c r="DT9" s="52" t="n">
        <v>2000</v>
      </c>
      <c r="DU9" s="52" t="n"/>
      <c r="DV9" s="52" t="n"/>
      <c r="DW9" s="52" t="n">
        <v>2000</v>
      </c>
      <c r="DX9" s="118">
        <f>SUM(CT9:DW9)</f>
        <v/>
      </c>
      <c r="EB9" t="n">
        <v>2000</v>
      </c>
      <c r="EF9" t="n">
        <v>2000</v>
      </c>
      <c r="EI9" t="n">
        <v>2000</v>
      </c>
      <c r="EL9" t="n">
        <v>2000</v>
      </c>
      <c r="EN9" t="n">
        <v>2000</v>
      </c>
      <c r="EQ9" t="n">
        <v>2000</v>
      </c>
      <c r="ES9" t="n">
        <v>2000</v>
      </c>
      <c r="ET9" t="n">
        <v>0</v>
      </c>
      <c r="EU9" t="n">
        <v>2000</v>
      </c>
      <c r="EX9" t="n">
        <v>2000</v>
      </c>
      <c r="EZ9" t="n">
        <v>2000</v>
      </c>
      <c r="FB9" t="n">
        <v>2000</v>
      </c>
      <c r="FD9" s="126">
        <f>SUM(DY9:FC9)</f>
        <v/>
      </c>
      <c r="FE9" t="n">
        <v>2000</v>
      </c>
      <c r="FH9" t="n">
        <v>2000</v>
      </c>
      <c r="FK9" t="n">
        <v>2000</v>
      </c>
      <c r="FN9" t="n">
        <v>2000</v>
      </c>
      <c r="FS9" t="n">
        <v>2000</v>
      </c>
      <c r="FU9" t="n">
        <v>2000</v>
      </c>
      <c r="FW9" t="n">
        <v>2000</v>
      </c>
      <c r="FY9" t="n">
        <v>2000</v>
      </c>
      <c r="GB9" t="n">
        <v>2000</v>
      </c>
      <c r="GD9" t="n">
        <v>2000</v>
      </c>
      <c r="GG9" t="n">
        <v>2000</v>
      </c>
      <c r="GJ9" s="130">
        <f>SUM(FE9:GI9)</f>
        <v/>
      </c>
      <c r="GK9" t="n">
        <v>2000</v>
      </c>
      <c r="GN9" t="n">
        <v>2000</v>
      </c>
      <c r="GP9" t="n">
        <v>2000</v>
      </c>
      <c r="GS9" t="n">
        <v>2000</v>
      </c>
      <c r="GV9" t="n">
        <v>2000</v>
      </c>
      <c r="GX9" t="n">
        <v>2000</v>
      </c>
      <c r="GZ9" t="n">
        <v>2000</v>
      </c>
      <c r="HB9" t="n">
        <v>2000</v>
      </c>
      <c r="HE9" t="n">
        <v>2000</v>
      </c>
      <c r="HG9" t="n">
        <v>2000</v>
      </c>
      <c r="HJ9" t="n">
        <v>2000</v>
      </c>
      <c r="HL9" t="n">
        <v>2000</v>
      </c>
      <c r="HN9" s="130">
        <f>SUM(GK9:HM9)</f>
        <v/>
      </c>
      <c r="HO9" t="n">
        <v>2000</v>
      </c>
      <c r="HR9" t="n">
        <v>2000</v>
      </c>
      <c r="HT9" t="n">
        <v>2000</v>
      </c>
      <c r="HV9" t="n">
        <v>2000</v>
      </c>
      <c r="HY9" t="n">
        <v>2000</v>
      </c>
      <c r="IA9" t="n">
        <v>2000</v>
      </c>
      <c r="IC9" t="n">
        <v>2000</v>
      </c>
      <c r="IE9" t="n">
        <v>2000</v>
      </c>
      <c r="IH9" t="n">
        <v>2000</v>
      </c>
      <c r="IJ9" t="n">
        <v>2000</v>
      </c>
      <c r="IL9" t="n">
        <v>2000</v>
      </c>
      <c r="IO9" t="n">
        <v>2000</v>
      </c>
      <c r="IQ9" t="n">
        <v>2000</v>
      </c>
      <c r="IS9" t="n">
        <v>2000</v>
      </c>
      <c r="IT9" s="130">
        <f>SUM(HO9:IS9)</f>
        <v/>
      </c>
      <c r="IZ9" t="n">
        <v>2000</v>
      </c>
      <c r="JB9" t="n">
        <v>2000</v>
      </c>
      <c r="JE9" t="n">
        <v>2000</v>
      </c>
      <c r="JI9" t="n">
        <v>2000</v>
      </c>
      <c r="JK9" t="n">
        <v>2000</v>
      </c>
      <c r="JO9" t="n">
        <v>2000</v>
      </c>
      <c r="JQ9" t="n">
        <v>2000</v>
      </c>
      <c r="JT9" t="n">
        <v>2000</v>
      </c>
      <c r="JV9" t="n">
        <v>2000</v>
      </c>
      <c r="JY9" s="130">
        <f>SUM(IU9:JX9)</f>
        <v/>
      </c>
      <c r="JZ9" t="n">
        <v>2000</v>
      </c>
      <c r="KB9" t="n">
        <v>2000</v>
      </c>
      <c r="KF9" t="n">
        <v>2000</v>
      </c>
      <c r="KI9" t="n">
        <v>2000</v>
      </c>
      <c r="KK9" t="n">
        <v>2000</v>
      </c>
      <c r="KM9" t="n">
        <v>2000</v>
      </c>
      <c r="KP9" t="n">
        <v>2000</v>
      </c>
      <c r="KR9" t="n">
        <v>2000</v>
      </c>
      <c r="KT9" t="n">
        <v>2000</v>
      </c>
      <c r="KW9" t="n">
        <v>2000</v>
      </c>
      <c r="LA9" t="n">
        <v>2000</v>
      </c>
      <c r="LD9" t="n">
        <v>2000</v>
      </c>
      <c r="LE9" s="130">
        <f>SUM(KA9:LD9)</f>
        <v/>
      </c>
      <c r="LJ9" t="n">
        <v>2000</v>
      </c>
      <c r="LL9" t="n">
        <v>2000</v>
      </c>
      <c r="LN9" t="n">
        <v>0</v>
      </c>
      <c r="LO9" t="n">
        <v>2000</v>
      </c>
      <c r="LQ9" t="n">
        <v>2000</v>
      </c>
      <c r="LS9" t="n">
        <v>2000</v>
      </c>
      <c r="LV9" t="n">
        <v>2000</v>
      </c>
      <c r="LX9" t="n">
        <v>2000</v>
      </c>
      <c r="LZ9" t="n">
        <v>2000</v>
      </c>
      <c r="MC9" t="n">
        <v>2000</v>
      </c>
      <c r="ME9" t="n">
        <v>2000</v>
      </c>
      <c r="MG9" t="n">
        <v>2000</v>
      </c>
      <c r="MJ9" s="130">
        <f>SUM(LF9:MI9)</f>
        <v/>
      </c>
      <c r="MK9" t="n">
        <v>2000</v>
      </c>
      <c r="MM9" t="n">
        <v>2000</v>
      </c>
      <c r="MO9" t="n">
        <v>2000</v>
      </c>
      <c r="MU9" t="n">
        <v>2000</v>
      </c>
      <c r="MX9" t="n">
        <v>2000</v>
      </c>
      <c r="NC9" t="n">
        <v>2000</v>
      </c>
      <c r="NF9" t="n">
        <v>2000</v>
      </c>
      <c r="NH9" t="n">
        <v>2000</v>
      </c>
      <c r="NJ9" t="n">
        <v>2000</v>
      </c>
      <c r="NM9" t="n">
        <v>2000</v>
      </c>
      <c r="NO9" t="n">
        <v>2000</v>
      </c>
      <c r="NP9" s="130">
        <f>SUM(ML9:NO9)</f>
        <v/>
      </c>
      <c r="NV9" t="n">
        <v>2000</v>
      </c>
      <c r="NY9" t="n">
        <v>2000</v>
      </c>
      <c r="OB9" t="n">
        <v>2000</v>
      </c>
      <c r="OD9" t="n">
        <v>2000</v>
      </c>
      <c r="OF9" t="n">
        <v>2000</v>
      </c>
      <c r="OI9" t="n">
        <v>2000</v>
      </c>
      <c r="OK9" t="n">
        <v>2000</v>
      </c>
      <c r="OP9" t="n">
        <v>2000</v>
      </c>
      <c r="OR9" t="n">
        <v>2000</v>
      </c>
      <c r="OT9" t="n">
        <v>2000</v>
      </c>
      <c r="OV9" s="130">
        <f>SUM(NR9:OU9)</f>
        <v/>
      </c>
      <c r="OX9" t="n">
        <v>2000</v>
      </c>
      <c r="OZ9" t="n">
        <v>2000</v>
      </c>
      <c r="PB9" t="n">
        <v>2000</v>
      </c>
      <c r="PE9" t="n">
        <v>2000</v>
      </c>
      <c r="PG9" t="n">
        <v>2000</v>
      </c>
      <c r="PI9" t="n">
        <v>2000</v>
      </c>
      <c r="PL9" t="n">
        <v>2000</v>
      </c>
      <c r="PN9" t="n">
        <v>2000</v>
      </c>
      <c r="PP9" t="n">
        <v>2000</v>
      </c>
      <c r="PW9" t="n">
        <v>2000</v>
      </c>
      <c r="PZ9" t="n">
        <v>2000</v>
      </c>
      <c r="QA9" s="130">
        <f>SUM(OW9:PZ9)</f>
        <v/>
      </c>
      <c r="QC9" t="n">
        <v>2000</v>
      </c>
      <c r="QE9" t="n">
        <v>2000</v>
      </c>
      <c r="QH9" t="n">
        <v>2000</v>
      </c>
      <c r="QJ9" t="n">
        <v>2000</v>
      </c>
      <c r="QL9" t="n">
        <v>2000</v>
      </c>
      <c r="QO9" t="n">
        <v>2000</v>
      </c>
      <c r="QQ9" t="n">
        <v>2000</v>
      </c>
      <c r="QS9" t="n">
        <v>2000</v>
      </c>
      <c r="QV9" t="n">
        <v>2000</v>
      </c>
      <c r="QX9" t="n">
        <v>2000</v>
      </c>
      <c r="QZ9" t="n">
        <v>2000</v>
      </c>
      <c r="RC9" t="n">
        <v>2000</v>
      </c>
      <c r="RE9" t="n">
        <v>2000</v>
      </c>
      <c r="RG9" s="130">
        <f>SUM(QC9:RF9)</f>
        <v/>
      </c>
      <c r="RH9" t="n">
        <v>2000</v>
      </c>
      <c r="RK9" t="n">
        <v>2000</v>
      </c>
      <c r="RM9" t="n">
        <v>2000</v>
      </c>
      <c r="RO9" t="n">
        <v>2000</v>
      </c>
      <c r="RR9" t="n">
        <v>5000</v>
      </c>
      <c r="RT9" t="n">
        <v>2000</v>
      </c>
      <c r="RV9" t="n">
        <v>2000</v>
      </c>
      <c r="RY9" t="n">
        <v>2000</v>
      </c>
      <c r="SA9" t="n">
        <v>2000</v>
      </c>
      <c r="SC9" t="n">
        <v>2000</v>
      </c>
      <c r="SF9" t="n">
        <v>2000</v>
      </c>
      <c r="SH9" t="n">
        <v>2000</v>
      </c>
      <c r="SJ9" t="n">
        <v>2000</v>
      </c>
      <c r="SM9" s="130">
        <f>SUM(RI9:SL9)</f>
        <v/>
      </c>
      <c r="SO9" t="n">
        <v>2000</v>
      </c>
      <c r="SQ9" t="n">
        <v>2000</v>
      </c>
      <c r="SS9" t="n">
        <v>2000</v>
      </c>
      <c r="SV9" t="n">
        <v>2000</v>
      </c>
      <c r="SX9" t="n">
        <v>2000</v>
      </c>
      <c r="SZ9" t="n">
        <v>2000</v>
      </c>
      <c r="TA9" t="n">
        <v>0</v>
      </c>
      <c r="TC9" t="n">
        <v>2000</v>
      </c>
      <c r="TE9" t="n">
        <v>2000</v>
      </c>
      <c r="TJ9" t="n">
        <v>2000</v>
      </c>
      <c r="TL9" t="n">
        <v>2000</v>
      </c>
      <c r="TQ9" t="n">
        <v>2000</v>
      </c>
      <c r="TS9" s="130">
        <f>SUM(SO9:TR9)</f>
        <v/>
      </c>
      <c r="TT9" t="n">
        <v>2000</v>
      </c>
      <c r="TV9" t="n">
        <v>2000</v>
      </c>
      <c r="TY9" t="n">
        <v>2000</v>
      </c>
      <c r="UA9" t="n">
        <v>2000</v>
      </c>
      <c r="UC9" t="n">
        <v>2000</v>
      </c>
      <c r="UF9" t="n">
        <v>2000</v>
      </c>
      <c r="UH9" t="n">
        <v>2000</v>
      </c>
      <c r="UJ9" t="n">
        <v>2000</v>
      </c>
      <c r="UM9" t="n">
        <v>2000</v>
      </c>
      <c r="UO9" t="n">
        <v>2000</v>
      </c>
      <c r="UQ9" t="n">
        <v>2000</v>
      </c>
      <c r="UT9" t="n">
        <v>2000</v>
      </c>
      <c r="UV9" t="n">
        <v>5000</v>
      </c>
      <c r="UX9" t="n">
        <v>2000</v>
      </c>
      <c r="UY9" s="130">
        <f>SUM(TU9:UX9)</f>
        <v/>
      </c>
      <c r="VB9" t="n">
        <v>2000</v>
      </c>
      <c r="VD9" t="n">
        <v>2000</v>
      </c>
      <c r="VF9" t="n">
        <v>2000</v>
      </c>
      <c r="VK9" t="n">
        <v>2000</v>
      </c>
      <c r="VM9" t="n">
        <v>2000</v>
      </c>
      <c r="VR9" t="n">
        <v>2000</v>
      </c>
      <c r="VT9" t="n">
        <v>2000</v>
      </c>
      <c r="VW9" t="n">
        <v>2000</v>
      </c>
      <c r="VY9" t="n">
        <v>2000</v>
      </c>
      <c r="WA9" t="n">
        <v>2000</v>
      </c>
      <c r="WB9" s="130">
        <f>SUM(UZ9:WA9)</f>
        <v/>
      </c>
      <c r="WE9" t="n">
        <v>2000</v>
      </c>
      <c r="WG9" t="n">
        <v>2000</v>
      </c>
      <c r="WL9" t="n">
        <v>2000</v>
      </c>
      <c r="WS9" t="n">
        <v>2000</v>
      </c>
      <c r="WU9" t="n">
        <v>2000</v>
      </c>
      <c r="WW9" t="n">
        <v>2000</v>
      </c>
      <c r="WY9" t="n">
        <v>0</v>
      </c>
      <c r="WZ9" t="n">
        <v>2000</v>
      </c>
      <c r="XB9" t="n">
        <v>2000</v>
      </c>
      <c r="XD9" t="n">
        <v>2000</v>
      </c>
      <c r="XH9" s="130">
        <f>SUM(WF9:XG9)</f>
        <v/>
      </c>
      <c r="XJ9" t="n">
        <v>2000</v>
      </c>
      <c r="XL9" t="n">
        <v>2000</v>
      </c>
      <c r="XQ9" t="n">
        <v>2000</v>
      </c>
      <c r="XS9" t="n">
        <v>2000</v>
      </c>
      <c r="XV9" t="n">
        <v>2000</v>
      </c>
      <c r="XX9" t="n">
        <v>2000</v>
      </c>
      <c r="XZ9" t="n">
        <v>2000</v>
      </c>
      <c r="YB9" t="n">
        <v>2000</v>
      </c>
      <c r="YE9" t="n">
        <v>2000</v>
      </c>
      <c r="YG9" t="n">
        <v>2000</v>
      </c>
      <c r="YJ9" t="n">
        <v>2000</v>
      </c>
      <c r="YL9" t="n">
        <v>2000</v>
      </c>
      <c r="YM9" s="130">
        <f>SUM(XK9:YL9)</f>
        <v/>
      </c>
      <c r="ZB9" t="n">
        <v>2000</v>
      </c>
      <c r="ZF9" t="n">
        <v>2000</v>
      </c>
      <c r="ZH9" t="n">
        <v>5000</v>
      </c>
      <c r="ZJ9" t="n">
        <v>2000</v>
      </c>
      <c r="ZM9" t="n">
        <v>2000</v>
      </c>
      <c r="ZN9" t="n">
        <v>0</v>
      </c>
      <c r="ZO9" t="n">
        <v>2000</v>
      </c>
      <c r="ZQ9" t="n">
        <v>2000</v>
      </c>
      <c r="ZS9" s="130">
        <f>SUM(YN9:ZR9)</f>
        <v/>
      </c>
      <c r="ZU9" t="n">
        <v>2000</v>
      </c>
      <c r="ZW9" t="n">
        <v>2000</v>
      </c>
      <c r="AAB9" t="n">
        <v>2000</v>
      </c>
      <c r="AAD9" t="n">
        <v>2000</v>
      </c>
      <c r="AAF9" t="n">
        <v>2000</v>
      </c>
      <c r="AAI9" t="n">
        <v>2000</v>
      </c>
      <c r="AAM9" t="n">
        <v>2000</v>
      </c>
      <c r="AAO9" t="n">
        <v>0</v>
      </c>
      <c r="AAP9" t="n">
        <v>2000</v>
      </c>
      <c r="AAR9" t="n">
        <v>2000</v>
      </c>
      <c r="AAT9" t="n">
        <v>2000</v>
      </c>
      <c r="AAW9" t="n">
        <v>2000</v>
      </c>
      <c r="AAX9" s="130">
        <f>SUM(ZT9:AAW9)</f>
        <v/>
      </c>
      <c r="ABB9" t="n">
        <v>2000</v>
      </c>
      <c r="ABE9" t="n">
        <v>2000</v>
      </c>
      <c r="ABI9" t="n">
        <v>2000</v>
      </c>
      <c r="ABL9" t="n">
        <v>2000</v>
      </c>
      <c r="ABS9" t="n">
        <v>20000</v>
      </c>
      <c r="ABW9" t="n">
        <v>2000</v>
      </c>
      <c r="ABY9" t="n">
        <v>0</v>
      </c>
      <c r="ABZ9" t="n">
        <v>2000</v>
      </c>
      <c r="ACB9" t="n">
        <v>2000</v>
      </c>
      <c r="ACD9" s="130">
        <f>SUM(AAY9:ACC9)</f>
        <v/>
      </c>
      <c r="ACE9" t="n">
        <v>2000</v>
      </c>
      <c r="ACH9" t="n">
        <v>2000</v>
      </c>
      <c r="ACJ9" t="n">
        <v>2000</v>
      </c>
      <c r="ACS9" t="n">
        <v>2000</v>
      </c>
      <c r="ACV9" t="n">
        <v>2000</v>
      </c>
      <c r="ACX9" t="n">
        <v>2000</v>
      </c>
      <c r="ACZ9" t="n">
        <v>2000</v>
      </c>
      <c r="ADC9" t="n">
        <v>2000</v>
      </c>
      <c r="ADE9" t="n">
        <v>2000</v>
      </c>
      <c r="ADG9" t="n">
        <v>2000</v>
      </c>
      <c r="ADJ9" s="130">
        <f>SUM(ACE9:ADI9)</f>
        <v/>
      </c>
      <c r="ADK9" t="n">
        <v>2000</v>
      </c>
      <c r="ADL9" t="n">
        <v>2000</v>
      </c>
      <c r="ADM9" t="n">
        <v>2000</v>
      </c>
      <c r="ADO9" t="n">
        <v>2000</v>
      </c>
      <c r="ADR9" t="n">
        <v>4000</v>
      </c>
      <c r="ADT9" t="n">
        <v>2000</v>
      </c>
      <c r="ADV9" t="n">
        <v>2000</v>
      </c>
      <c r="ADY9" t="n">
        <v>2000</v>
      </c>
      <c r="AEA9" t="n">
        <v>2000</v>
      </c>
      <c r="AEC9" t="n">
        <v>2000</v>
      </c>
      <c r="AEH9" t="n">
        <v>2000</v>
      </c>
      <c r="AEJ9" t="n">
        <v>2000</v>
      </c>
      <c r="AEK9" t="n">
        <v>15000</v>
      </c>
      <c r="AEM9" t="n">
        <v>2000</v>
      </c>
      <c r="AEO9" s="130">
        <f>SUM(ADK9:AEN9)</f>
        <v/>
      </c>
      <c r="AEP9" t="n">
        <v>2000</v>
      </c>
      <c r="AEQ9" t="n">
        <v>5000</v>
      </c>
      <c r="AER9" t="n">
        <v>2000</v>
      </c>
      <c r="AEU9" t="n">
        <v>2000</v>
      </c>
      <c r="AEY9" t="n">
        <v>2000</v>
      </c>
      <c r="AFB9" t="n">
        <v>2000</v>
      </c>
      <c r="AFE9" t="n">
        <v>2000</v>
      </c>
      <c r="AFK9" t="n">
        <v>2000</v>
      </c>
      <c r="AFM9" t="n">
        <v>2000</v>
      </c>
      <c r="AFP9" t="n">
        <v>2000</v>
      </c>
      <c r="AFU9" s="130">
        <f>SUM(AEP9:AFT9)</f>
        <v/>
      </c>
      <c r="AFZ9" t="n">
        <v>2000</v>
      </c>
      <c r="AGD9" t="n">
        <v>15000</v>
      </c>
      <c r="AGE9" t="n">
        <v>2000</v>
      </c>
      <c r="AGI9" t="n">
        <v>2000</v>
      </c>
      <c r="AGL9" t="n">
        <v>2000</v>
      </c>
      <c r="AGO9" t="n">
        <v>2000</v>
      </c>
      <c r="AGT9" t="n">
        <v>2000</v>
      </c>
      <c r="AGW9" t="n">
        <v>2000</v>
      </c>
      <c r="AGZ9" s="130">
        <f>SUM(AFV9:AGY9)</f>
        <v/>
      </c>
      <c r="AHA9" t="n">
        <v>2000</v>
      </c>
      <c r="AHC9" t="n">
        <v>2000</v>
      </c>
      <c r="AHD9" t="n">
        <v>10000</v>
      </c>
      <c r="AHE9" t="n">
        <v>2000</v>
      </c>
      <c r="AHH9" t="n">
        <v>2000</v>
      </c>
      <c r="AHJ9" t="n">
        <v>2000</v>
      </c>
      <c r="AHK9" t="n">
        <v>2000</v>
      </c>
      <c r="AHO9" t="n">
        <v>2000</v>
      </c>
      <c r="AHQ9" t="n">
        <v>2000</v>
      </c>
      <c r="AHS9" t="n">
        <v>2000</v>
      </c>
      <c r="AHV9" t="n">
        <v>2000</v>
      </c>
      <c r="AHX9" t="n">
        <v>2000</v>
      </c>
      <c r="AHZ9" t="n">
        <v>22000</v>
      </c>
      <c r="AIC9" t="n">
        <v>2000</v>
      </c>
      <c r="AIE9" t="n">
        <v>2000</v>
      </c>
      <c r="AIF9" s="145">
        <f>SUM(AHA9:AIE9)</f>
        <v/>
      </c>
      <c r="AIG9" t="n">
        <v>0</v>
      </c>
      <c r="AIK9" t="n">
        <v>2000</v>
      </c>
      <c r="AIM9" t="n">
        <v>2000</v>
      </c>
      <c r="AIO9" t="n">
        <v>2000</v>
      </c>
      <c r="AIR9" t="n">
        <v>2000</v>
      </c>
      <c r="AIS9" t="n">
        <v>20000</v>
      </c>
      <c r="AIT9" t="n">
        <v>2000</v>
      </c>
      <c r="AIU9" t="n">
        <v>0</v>
      </c>
      <c r="AIV9" t="n">
        <v>2000</v>
      </c>
      <c r="AIY9" t="n">
        <v>2000</v>
      </c>
      <c r="AIZ9" t="n">
        <v>2000</v>
      </c>
      <c r="AJB9" t="n">
        <v>2000</v>
      </c>
      <c r="AJF9" t="n">
        <v>2000</v>
      </c>
      <c r="AJH9" t="n">
        <v>2000</v>
      </c>
      <c r="AJJ9" t="n">
        <v>2000</v>
      </c>
      <c r="AJL9" s="145">
        <f>SUM(AIG9:AJK9)</f>
        <v/>
      </c>
      <c r="AJN9" t="n">
        <v>2000</v>
      </c>
      <c r="AJP9" t="n">
        <v>2000</v>
      </c>
      <c r="AJR9" t="n">
        <v>2000</v>
      </c>
      <c r="AJW9" t="n">
        <v>2000</v>
      </c>
      <c r="AJY9" t="n">
        <v>2000</v>
      </c>
      <c r="AKB9" t="n">
        <v>2000</v>
      </c>
      <c r="AKD9" t="n">
        <v>2000</v>
      </c>
      <c r="AKI9" t="n">
        <v>2000</v>
      </c>
      <c r="AKK9" t="n">
        <v>2000</v>
      </c>
      <c r="AKM9" t="n">
        <v>2000</v>
      </c>
      <c r="AKO9" s="145">
        <f>SUM(AJM9:AKN9)</f>
        <v/>
      </c>
      <c r="AKQ9" t="n">
        <v>2000</v>
      </c>
      <c r="AKS9" t="n">
        <v>2000</v>
      </c>
      <c r="AKT9" t="n">
        <v>2000</v>
      </c>
      <c r="AKU9" t="n">
        <v>2000</v>
      </c>
      <c r="AKV9" t="n">
        <v>10000</v>
      </c>
      <c r="AKX9" t="n">
        <v>2000</v>
      </c>
      <c r="AKY9" t="n">
        <v>2000</v>
      </c>
      <c r="AKZ9" t="n">
        <v>2000</v>
      </c>
      <c r="ALA9" t="n">
        <v>2000</v>
      </c>
      <c r="ALB9" t="n">
        <v>8000</v>
      </c>
      <c r="ALE9" t="n">
        <v>2000</v>
      </c>
      <c r="ALF9" t="n">
        <v>2000</v>
      </c>
      <c r="ALG9" t="n">
        <v>2000</v>
      </c>
      <c r="ALH9" t="n">
        <v>2000</v>
      </c>
      <c r="ALL9" t="n">
        <v>2000</v>
      </c>
      <c r="ALM9" t="n">
        <v>20000</v>
      </c>
      <c r="ALN9" t="n">
        <v>22000</v>
      </c>
      <c r="ALO9" t="n">
        <v>0</v>
      </c>
      <c r="ALP9" t="n">
        <v>2000</v>
      </c>
      <c r="ALS9" t="n">
        <v>2000</v>
      </c>
      <c r="ALU9" s="145">
        <f>SUM(AKS9:ALT9)</f>
        <v/>
      </c>
      <c r="ALV9" t="n">
        <v>2000</v>
      </c>
      <c r="ALW9" t="n">
        <v>2000</v>
      </c>
      <c r="ALZ9" t="n">
        <v>2000</v>
      </c>
      <c r="AMA9" t="n">
        <v>2000</v>
      </c>
      <c r="AMD9" t="n">
        <v>2000</v>
      </c>
      <c r="AME9" t="n">
        <v>2000</v>
      </c>
      <c r="AMF9" t="n">
        <v>2000</v>
      </c>
      <c r="AMG9" t="n">
        <v>2000</v>
      </c>
      <c r="AMH9" t="n">
        <v>2000</v>
      </c>
      <c r="AMJ9" t="n">
        <v>2000</v>
      </c>
      <c r="AML9" t="n">
        <v>2000</v>
      </c>
      <c r="AMP9" t="n">
        <v>2000</v>
      </c>
      <c r="AMR9" t="n">
        <v>2000</v>
      </c>
      <c r="AMZ9" s="145">
        <f>SUM(ALV9:AMY9)</f>
        <v/>
      </c>
      <c r="ANA9" t="n">
        <v>2000</v>
      </c>
      <c r="ANC9" t="n">
        <v>2000</v>
      </c>
      <c r="ANG9" t="n">
        <v>2000</v>
      </c>
      <c r="ANI9" t="n">
        <v>2000</v>
      </c>
      <c r="ANK9" t="n">
        <v>2000</v>
      </c>
      <c r="ANM9" t="n">
        <v>2000</v>
      </c>
      <c r="ANO9" t="n">
        <v>2000</v>
      </c>
      <c r="ANR9" t="n">
        <v>2000</v>
      </c>
      <c r="ANT9" t="n">
        <v>2000</v>
      </c>
      <c r="ANV9" t="n">
        <v>2000</v>
      </c>
      <c r="ANX9" t="n">
        <v>2000</v>
      </c>
      <c r="ANY9" t="n">
        <v>2000</v>
      </c>
      <c r="ANZ9" t="n">
        <v>2000</v>
      </c>
      <c r="AOB9" t="n">
        <v>2000</v>
      </c>
      <c r="AOC9" t="n">
        <v>2000</v>
      </c>
    </row>
    <row r="10">
      <c r="B10" s="5" t="inlineStr">
        <is>
          <t>price survey</t>
        </is>
      </c>
      <c r="C10" s="22" t="n"/>
      <c r="D10" s="22" t="n">
        <v>2000</v>
      </c>
      <c r="E10" s="22" t="n"/>
      <c r="F10" s="22" t="n"/>
      <c r="G10" s="22" t="n"/>
      <c r="H10" s="22" t="n">
        <v>0</v>
      </c>
      <c r="I10" s="22" t="n"/>
      <c r="J10" s="22" t="n"/>
      <c r="K10" s="22" t="n"/>
      <c r="L10" s="22" t="n"/>
      <c r="M10" s="22" t="n">
        <v>2000</v>
      </c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>
        <v>2000</v>
      </c>
      <c r="X10" s="22" t="n"/>
      <c r="Y10" s="22" t="n"/>
      <c r="Z10" s="22" t="n"/>
      <c r="AA10" s="22" t="n"/>
      <c r="AB10" s="22" t="n">
        <v>2000</v>
      </c>
      <c r="AC10" s="22" t="n"/>
      <c r="AD10" s="22" t="n"/>
      <c r="AE10" s="22" t="n"/>
      <c r="AF10" s="22" t="n"/>
      <c r="AG10" s="22" t="n"/>
      <c r="AH10" s="22">
        <f>SUM(C10:AG10)</f>
        <v/>
      </c>
      <c r="AI10" s="52" t="n"/>
      <c r="AJ10" s="52" t="n"/>
      <c r="AK10" s="52" t="n">
        <v>2000</v>
      </c>
      <c r="AL10" s="52" t="n"/>
      <c r="AM10" s="52" t="n">
        <v>2000</v>
      </c>
      <c r="AN10" s="52" t="n">
        <v>2000</v>
      </c>
      <c r="AO10" s="52" t="n"/>
      <c r="AP10" s="52" t="n"/>
      <c r="AQ10" s="52" t="n"/>
      <c r="AR10" s="52" t="n"/>
      <c r="AS10" s="52" t="n">
        <v>2000</v>
      </c>
      <c r="AT10" s="52" t="n">
        <v>0</v>
      </c>
      <c r="AU10" s="52" t="n">
        <v>2000</v>
      </c>
      <c r="AV10" s="52" t="n"/>
      <c r="AW10" s="52" t="n"/>
      <c r="AX10" s="52" t="n">
        <v>2000</v>
      </c>
      <c r="AY10" s="52" t="n"/>
      <c r="AZ10" s="52" t="n"/>
      <c r="BA10" s="52" t="n">
        <v>0</v>
      </c>
      <c r="BB10" s="52" t="n">
        <v>2000</v>
      </c>
      <c r="BC10" s="52" t="n"/>
      <c r="BD10" s="52" t="n"/>
      <c r="BE10" s="52" t="n">
        <v>2000</v>
      </c>
      <c r="BF10" s="52" t="n"/>
      <c r="BG10" s="52" t="n">
        <v>2000</v>
      </c>
      <c r="BH10" s="52" t="n"/>
      <c r="BI10" s="52" t="n"/>
      <c r="BJ10" s="52" t="n"/>
      <c r="BK10" s="52" t="n"/>
      <c r="BL10" s="52" t="n"/>
      <c r="BM10" s="52">
        <f>SUM(AI10:BL10)</f>
        <v/>
      </c>
      <c r="BN10" s="52" t="n"/>
      <c r="BO10" s="52" t="n">
        <v>2000</v>
      </c>
      <c r="BP10" s="52" t="n"/>
      <c r="BQ10" s="52" t="n"/>
      <c r="BR10" s="52" t="n"/>
      <c r="BS10" s="52" t="n"/>
      <c r="BT10" s="52" t="n"/>
      <c r="BU10" s="52" t="n"/>
      <c r="BV10" s="52" t="n"/>
      <c r="BW10" s="52" t="n"/>
      <c r="BX10" s="52" t="n">
        <v>2000</v>
      </c>
      <c r="BY10" s="52" t="n"/>
      <c r="BZ10" s="52" t="n"/>
      <c r="CA10" s="52" t="n"/>
      <c r="CB10" s="52" t="n"/>
      <c r="CC10" s="52" t="n"/>
      <c r="CD10" s="52" t="n"/>
      <c r="CE10" s="52" t="n">
        <v>4000</v>
      </c>
      <c r="CF10" s="52" t="n"/>
      <c r="CJ10" t="n">
        <v>2000</v>
      </c>
      <c r="CO10" t="n">
        <v>2000</v>
      </c>
      <c r="CQ10" t="n">
        <v>2000</v>
      </c>
      <c r="CS10" s="110">
        <f>SUM(BN10:CR10)</f>
        <v/>
      </c>
      <c r="CT10" s="52" t="n"/>
      <c r="CU10" s="52" t="n"/>
      <c r="CV10" s="52" t="n"/>
      <c r="CW10" s="52" t="n"/>
      <c r="CX10" s="52" t="n"/>
      <c r="CY10" s="52" t="n">
        <v>2000</v>
      </c>
      <c r="CZ10" s="52" t="n"/>
      <c r="DA10" s="52" t="n"/>
      <c r="DB10" s="52" t="n"/>
      <c r="DC10" s="52" t="n"/>
      <c r="DD10" s="52" t="n"/>
      <c r="DE10" s="52" t="n"/>
      <c r="DF10" s="52" t="n"/>
      <c r="DG10" s="52" t="n"/>
      <c r="DH10" s="52" t="n"/>
      <c r="DI10" s="52" t="n"/>
      <c r="DJ10" s="52" t="n"/>
      <c r="DK10" s="52" t="n"/>
      <c r="DL10" s="52" t="n"/>
      <c r="DM10" s="52" t="n"/>
      <c r="DN10" s="52" t="n">
        <v>2000</v>
      </c>
      <c r="DO10" s="52" t="n"/>
      <c r="DP10" s="52" t="n"/>
      <c r="DQ10" s="52" t="n"/>
      <c r="DR10" s="52" t="n"/>
      <c r="DS10" s="52" t="n"/>
      <c r="DT10" s="52" t="n"/>
      <c r="DU10" s="52" t="n">
        <v>2000</v>
      </c>
      <c r="DV10" s="52" t="n"/>
      <c r="DW10" s="52" t="n"/>
      <c r="DX10" s="118">
        <f>SUM(CT10:DW10)</f>
        <v/>
      </c>
      <c r="EB10" t="n">
        <v>2000</v>
      </c>
      <c r="EJ10" t="n">
        <v>2000</v>
      </c>
      <c r="FD10" s="126">
        <f>SUM(DY10:FC10)</f>
        <v/>
      </c>
      <c r="FH10" t="n">
        <v>2000</v>
      </c>
      <c r="FO10" t="n">
        <v>2000</v>
      </c>
      <c r="FZ10" t="n">
        <v>2000</v>
      </c>
      <c r="GJ10" s="130">
        <f>SUM(FE10:GI10)</f>
        <v/>
      </c>
      <c r="GL10" t="n">
        <v>2000</v>
      </c>
      <c r="GP10" t="n">
        <v>2000</v>
      </c>
      <c r="HA10" t="n">
        <v>2000</v>
      </c>
      <c r="HL10" t="n">
        <v>2000</v>
      </c>
      <c r="HN10" s="130">
        <f>SUM(GK10:HM10)</f>
        <v/>
      </c>
      <c r="HQ10" t="n">
        <v>2000</v>
      </c>
      <c r="HU10" t="n">
        <v>2000</v>
      </c>
      <c r="HW10" t="n">
        <v>2000</v>
      </c>
      <c r="HZ10" t="n">
        <v>2000</v>
      </c>
      <c r="IF10" t="n">
        <v>2000</v>
      </c>
      <c r="II10" t="n">
        <v>2000</v>
      </c>
      <c r="IM10" t="n">
        <v>2000</v>
      </c>
      <c r="IO10" t="n">
        <v>2000</v>
      </c>
      <c r="IT10" s="130">
        <f>SUM(HO10:IS10)</f>
        <v/>
      </c>
      <c r="IU10" t="n">
        <v>2000</v>
      </c>
      <c r="IW10" t="n">
        <v>2000</v>
      </c>
      <c r="IX10" t="n">
        <v>2000</v>
      </c>
      <c r="JB10" t="n">
        <v>2000</v>
      </c>
      <c r="JI10" t="n">
        <v>2000</v>
      </c>
      <c r="JK10" t="n">
        <v>2000</v>
      </c>
      <c r="JP10" t="n">
        <v>2000</v>
      </c>
      <c r="JW10" t="n">
        <v>2000</v>
      </c>
      <c r="JY10" s="130">
        <f>SUM(IU10:JX10)</f>
        <v/>
      </c>
      <c r="JZ10" t="n">
        <v>2000</v>
      </c>
      <c r="KB10" t="n">
        <v>2000</v>
      </c>
      <c r="KE10" t="n">
        <v>2000</v>
      </c>
      <c r="KG10" t="n">
        <v>2000</v>
      </c>
      <c r="KI10" t="n">
        <v>2000</v>
      </c>
      <c r="KN10" t="n">
        <v>2000</v>
      </c>
      <c r="KP10" t="n">
        <v>2000</v>
      </c>
      <c r="KS10" t="n">
        <v>2000</v>
      </c>
      <c r="KU10" t="n">
        <v>2000</v>
      </c>
      <c r="KZ10" t="n">
        <v>4000</v>
      </c>
      <c r="LB10" t="n">
        <v>2000</v>
      </c>
      <c r="LD10" t="n">
        <v>2000</v>
      </c>
      <c r="LE10" s="130">
        <f>SUM(KA10:LD10)</f>
        <v/>
      </c>
      <c r="LH10" t="n">
        <v>2000</v>
      </c>
      <c r="LL10" t="n">
        <v>2000</v>
      </c>
      <c r="LN10" t="n">
        <v>0</v>
      </c>
      <c r="LO10" t="n">
        <v>2000</v>
      </c>
      <c r="LS10" t="n">
        <v>2000</v>
      </c>
      <c r="LV10" t="n">
        <v>2000</v>
      </c>
      <c r="LX10" t="n">
        <v>2000</v>
      </c>
      <c r="LZ10" t="n">
        <v>2000</v>
      </c>
      <c r="MC10" t="n">
        <v>2000</v>
      </c>
      <c r="ME10" t="n">
        <v>2000</v>
      </c>
      <c r="MG10" t="n">
        <v>2000</v>
      </c>
      <c r="MJ10" s="130">
        <f>SUM(LF10:MI10)</f>
        <v/>
      </c>
      <c r="MK10" t="n">
        <v>2000</v>
      </c>
      <c r="MM10" t="n">
        <v>2000</v>
      </c>
      <c r="MO10" t="n">
        <v>2000</v>
      </c>
      <c r="MV10" t="n">
        <v>2000</v>
      </c>
      <c r="NA10" t="n">
        <v>2000</v>
      </c>
      <c r="NC10" t="n">
        <v>2000</v>
      </c>
      <c r="NF10" t="n">
        <v>2000</v>
      </c>
      <c r="NH10" t="n">
        <v>2000</v>
      </c>
      <c r="NJ10" t="n">
        <v>2000</v>
      </c>
      <c r="NM10" t="n">
        <v>2000</v>
      </c>
      <c r="NO10" t="n">
        <v>2000</v>
      </c>
      <c r="NP10" s="130">
        <f>SUM(ML10:NO10)</f>
        <v/>
      </c>
      <c r="NR10" t="n">
        <v>2000</v>
      </c>
      <c r="NT10" t="n">
        <v>0</v>
      </c>
      <c r="NU10" t="n">
        <v>2000</v>
      </c>
      <c r="NW10" t="n">
        <v>2000</v>
      </c>
      <c r="NY10" t="n">
        <v>2000</v>
      </c>
      <c r="OB10" t="n">
        <v>2000</v>
      </c>
      <c r="OD10" t="n">
        <v>2000</v>
      </c>
      <c r="OF10" t="n">
        <v>2000</v>
      </c>
      <c r="OI10" t="n">
        <v>2000</v>
      </c>
      <c r="OK10" t="n">
        <v>2000</v>
      </c>
      <c r="OM10" t="n">
        <v>2000</v>
      </c>
      <c r="OP10" t="n">
        <v>2000</v>
      </c>
      <c r="OR10" t="n">
        <v>2000</v>
      </c>
      <c r="OT10" t="n">
        <v>2000</v>
      </c>
      <c r="OV10" s="130">
        <f>SUM(NR10:OU10)</f>
        <v/>
      </c>
      <c r="OX10" t="n">
        <v>2000</v>
      </c>
      <c r="OZ10" t="n">
        <v>2000</v>
      </c>
      <c r="PB10" t="n">
        <v>2000</v>
      </c>
      <c r="PE10" t="n">
        <v>2000</v>
      </c>
      <c r="PG10" t="n">
        <v>2000</v>
      </c>
      <c r="PI10" t="n">
        <v>2000</v>
      </c>
      <c r="PL10" t="n">
        <v>2000</v>
      </c>
      <c r="PN10" t="n">
        <v>2000</v>
      </c>
      <c r="PP10" t="n">
        <v>2000</v>
      </c>
      <c r="PS10" t="n">
        <v>2000</v>
      </c>
      <c r="PU10" t="n">
        <v>2000</v>
      </c>
      <c r="PW10" t="n">
        <v>2000</v>
      </c>
      <c r="PZ10" t="n">
        <v>2000</v>
      </c>
      <c r="QA10" s="130">
        <f>SUM(OW10:PZ10)</f>
        <v/>
      </c>
      <c r="QC10" t="n">
        <v>2000</v>
      </c>
      <c r="QE10" t="n">
        <v>2000</v>
      </c>
      <c r="QH10" t="n">
        <v>2000</v>
      </c>
      <c r="QJ10" t="n">
        <v>2000</v>
      </c>
      <c r="QL10" t="n">
        <v>2000</v>
      </c>
      <c r="QO10" t="n">
        <v>2000</v>
      </c>
      <c r="QQ10" t="n">
        <v>2000</v>
      </c>
      <c r="QS10" t="n">
        <v>2000</v>
      </c>
      <c r="QV10" t="n">
        <v>2000</v>
      </c>
      <c r="QX10" t="n">
        <v>2000</v>
      </c>
      <c r="QZ10" t="n">
        <v>2000</v>
      </c>
      <c r="RC10" t="n">
        <v>2000</v>
      </c>
      <c r="RE10" t="n">
        <v>2000</v>
      </c>
      <c r="RG10" s="130">
        <f>SUM(QC10:RF10)</f>
        <v/>
      </c>
      <c r="RH10" t="n">
        <v>2000</v>
      </c>
      <c r="RK10" t="n">
        <v>2000</v>
      </c>
      <c r="RM10" t="n">
        <v>2000</v>
      </c>
      <c r="RO10" t="n">
        <v>2000</v>
      </c>
      <c r="RR10" t="n">
        <v>2000</v>
      </c>
      <c r="RT10" t="n">
        <v>2000</v>
      </c>
      <c r="RV10" t="n">
        <v>2000</v>
      </c>
      <c r="RY10" t="n">
        <v>2000</v>
      </c>
      <c r="SA10" t="n">
        <v>2000</v>
      </c>
      <c r="SC10" t="n">
        <v>2000</v>
      </c>
      <c r="SF10" t="n">
        <v>2000</v>
      </c>
      <c r="SH10" t="n">
        <v>2000</v>
      </c>
      <c r="SM10" s="130">
        <f>SUM(RI10:SL10)</f>
        <v/>
      </c>
      <c r="SO10" t="n">
        <v>2000</v>
      </c>
      <c r="SQ10" t="n">
        <v>2000</v>
      </c>
      <c r="SV10" t="n">
        <v>2000</v>
      </c>
      <c r="SX10" t="n">
        <v>2000</v>
      </c>
      <c r="SZ10" t="n">
        <v>2000</v>
      </c>
      <c r="TA10" t="n">
        <v>0</v>
      </c>
      <c r="TC10" t="n">
        <v>2000</v>
      </c>
      <c r="TJ10" t="n">
        <v>2000</v>
      </c>
      <c r="TL10" t="n">
        <v>2000</v>
      </c>
      <c r="TQ10" t="n">
        <v>2000</v>
      </c>
      <c r="TS10" s="130">
        <f>SUM(SO10:TR10)</f>
        <v/>
      </c>
      <c r="TT10" t="n">
        <v>2000</v>
      </c>
      <c r="TV10" t="n">
        <v>2000</v>
      </c>
      <c r="TY10" t="n">
        <v>2000</v>
      </c>
      <c r="UA10" t="n">
        <v>2000</v>
      </c>
      <c r="UC10" t="n">
        <v>2000</v>
      </c>
      <c r="UF10" t="n">
        <v>2000</v>
      </c>
      <c r="UH10" t="n">
        <v>2000</v>
      </c>
      <c r="UJ10" t="n">
        <v>2000</v>
      </c>
      <c r="UM10" t="n">
        <v>2000</v>
      </c>
      <c r="UO10" t="n">
        <v>2000</v>
      </c>
      <c r="UQ10" t="n">
        <v>2000</v>
      </c>
      <c r="UT10" t="n">
        <v>2000</v>
      </c>
      <c r="UV10" t="n">
        <v>2000</v>
      </c>
      <c r="UX10" t="n">
        <v>2000</v>
      </c>
      <c r="UY10" s="130">
        <f>SUM(TU10:UX10)</f>
        <v/>
      </c>
      <c r="VB10" t="n">
        <v>2000</v>
      </c>
      <c r="VD10" t="n">
        <v>2000</v>
      </c>
      <c r="VF10" t="n">
        <v>2000</v>
      </c>
      <c r="VI10" t="n">
        <v>2000</v>
      </c>
      <c r="VK10" t="n">
        <v>2000</v>
      </c>
      <c r="VM10" t="n">
        <v>2000</v>
      </c>
      <c r="VP10" t="n">
        <v>2000</v>
      </c>
      <c r="VR10" t="n">
        <v>2000</v>
      </c>
      <c r="VT10" t="n">
        <v>2000</v>
      </c>
      <c r="VW10" t="n">
        <v>2000</v>
      </c>
      <c r="VY10" t="n">
        <v>2000</v>
      </c>
      <c r="WA10" t="n">
        <v>2000</v>
      </c>
      <c r="WB10" s="130">
        <f>SUM(UZ10:WA10)</f>
        <v/>
      </c>
      <c r="WE10" t="n">
        <v>2000</v>
      </c>
      <c r="WG10" t="n">
        <v>2000</v>
      </c>
      <c r="WL10" t="n">
        <v>2000</v>
      </c>
      <c r="WS10" t="n">
        <v>2000</v>
      </c>
      <c r="WU10" t="n">
        <v>2000</v>
      </c>
      <c r="WW10" t="n">
        <v>2000</v>
      </c>
      <c r="WY10" t="n">
        <v>0</v>
      </c>
      <c r="WZ10" t="n">
        <v>2000</v>
      </c>
      <c r="XB10" t="n">
        <v>2000</v>
      </c>
      <c r="XD10" t="n">
        <v>2000</v>
      </c>
      <c r="XH10" s="130">
        <f>SUM(WF10:XG10)</f>
        <v/>
      </c>
      <c r="XJ10" t="n">
        <v>2000</v>
      </c>
      <c r="XL10" t="n">
        <v>2000</v>
      </c>
      <c r="XQ10" t="n">
        <v>2000</v>
      </c>
      <c r="XS10" t="n">
        <v>2000</v>
      </c>
      <c r="XV10" t="n">
        <v>2000</v>
      </c>
      <c r="XX10" t="n">
        <v>2000</v>
      </c>
      <c r="XZ10" t="n">
        <v>2000</v>
      </c>
      <c r="YB10" t="n">
        <v>2000</v>
      </c>
      <c r="YE10" t="n">
        <v>2000</v>
      </c>
      <c r="YG10" t="n">
        <v>2000</v>
      </c>
      <c r="YJ10" t="n">
        <v>2000</v>
      </c>
      <c r="YL10" t="n">
        <v>2000</v>
      </c>
      <c r="YM10" s="130">
        <f>SUM(XK10:YL10)</f>
        <v/>
      </c>
      <c r="YO10" t="n">
        <v>2000</v>
      </c>
      <c r="YY10" t="n">
        <v>2000</v>
      </c>
      <c r="ZB10" t="n">
        <v>2000</v>
      </c>
      <c r="ZF10" t="n">
        <v>2000</v>
      </c>
      <c r="ZH10" t="n">
        <v>2000</v>
      </c>
      <c r="ZJ10" t="n">
        <v>2000</v>
      </c>
      <c r="ZM10" t="n">
        <v>2000</v>
      </c>
      <c r="ZO10" t="n">
        <v>2000</v>
      </c>
      <c r="ZQ10" t="n">
        <v>2000</v>
      </c>
      <c r="ZS10" s="130">
        <f>SUM(YN10:ZR10)</f>
        <v/>
      </c>
      <c r="ZU10" t="n">
        <v>2000</v>
      </c>
      <c r="ZW10" t="n">
        <v>2000</v>
      </c>
      <c r="AAB10" t="n">
        <v>2000</v>
      </c>
      <c r="AAD10" t="n">
        <v>2000</v>
      </c>
      <c r="AAF10" t="n">
        <v>2000</v>
      </c>
      <c r="AAI10" t="n">
        <v>2000</v>
      </c>
      <c r="AAK10" t="n">
        <v>2000</v>
      </c>
      <c r="AAM10" t="n">
        <v>2000</v>
      </c>
      <c r="AAO10" t="n">
        <v>0</v>
      </c>
      <c r="AAP10" t="n">
        <v>2000</v>
      </c>
      <c r="AAR10" t="n">
        <v>2000</v>
      </c>
      <c r="AAT10" t="n">
        <v>2000</v>
      </c>
      <c r="AAW10" t="n">
        <v>2000</v>
      </c>
      <c r="AAX10" s="130">
        <f>SUM(ZT10:AAW10)</f>
        <v/>
      </c>
      <c r="ABB10" t="n">
        <v>2000</v>
      </c>
      <c r="ABC10" t="n">
        <v>2000</v>
      </c>
      <c r="ABE10" t="n">
        <v>2000</v>
      </c>
      <c r="ABI10" t="n">
        <v>2000</v>
      </c>
      <c r="ABL10" t="n">
        <v>2000</v>
      </c>
      <c r="ABS10" t="n">
        <v>2000</v>
      </c>
      <c r="ABW10" t="n">
        <v>2000</v>
      </c>
      <c r="ABY10" t="n">
        <v>0</v>
      </c>
      <c r="ABZ10" t="n">
        <v>2000</v>
      </c>
      <c r="ACB10" t="n">
        <v>2000</v>
      </c>
      <c r="ACD10" s="130">
        <f>SUM(AAY10:ACC10)</f>
        <v/>
      </c>
      <c r="ACE10" t="n">
        <v>2000</v>
      </c>
      <c r="ACH10" t="n">
        <v>2000</v>
      </c>
      <c r="ACJ10" t="n">
        <v>2000</v>
      </c>
      <c r="ACS10" t="n">
        <v>2000</v>
      </c>
      <c r="ACV10" t="n">
        <v>2000</v>
      </c>
      <c r="ACX10" t="n">
        <v>2000</v>
      </c>
      <c r="ACZ10" t="n">
        <v>2000</v>
      </c>
      <c r="ADC10" t="n">
        <v>2000</v>
      </c>
      <c r="ADE10" t="n">
        <v>2000</v>
      </c>
      <c r="ADG10" t="n">
        <v>2000</v>
      </c>
      <c r="ADJ10" s="130">
        <f>SUM(ACE10:ADI10)</f>
        <v/>
      </c>
      <c r="ADK10" t="n">
        <v>2000</v>
      </c>
      <c r="ADM10" t="n">
        <v>2000</v>
      </c>
      <c r="ADO10" t="n">
        <v>2000</v>
      </c>
      <c r="ADR10" t="n">
        <v>2000</v>
      </c>
      <c r="ADT10" t="n">
        <v>2000</v>
      </c>
      <c r="ADV10" t="n">
        <v>2000</v>
      </c>
      <c r="ADY10" t="n">
        <v>2000</v>
      </c>
      <c r="AEA10" t="n">
        <v>2000</v>
      </c>
      <c r="AEC10" t="n">
        <v>2000</v>
      </c>
      <c r="AEH10" t="n">
        <v>2000</v>
      </c>
      <c r="AEJ10" t="n">
        <v>2000</v>
      </c>
      <c r="AEM10" t="n">
        <v>2000</v>
      </c>
      <c r="AEO10" s="130">
        <f>SUM(ADK10:AEN10)</f>
        <v/>
      </c>
      <c r="AEP10" t="n">
        <v>2000</v>
      </c>
      <c r="AER10" t="n">
        <v>2000</v>
      </c>
      <c r="AEU10" t="n">
        <v>2000</v>
      </c>
      <c r="AEY10" t="n">
        <v>2000</v>
      </c>
      <c r="AFB10" t="n">
        <v>2000</v>
      </c>
      <c r="AFE10" t="n">
        <v>2000</v>
      </c>
      <c r="AFK10" t="n">
        <v>2000</v>
      </c>
      <c r="AFM10" t="n">
        <v>2000</v>
      </c>
      <c r="AFP10" t="n">
        <v>2000</v>
      </c>
      <c r="AFU10" s="130">
        <f>SUM(AEP10:AFT10)</f>
        <v/>
      </c>
      <c r="AFZ10" t="n">
        <v>2000</v>
      </c>
      <c r="AGE10" t="n">
        <v>2000</v>
      </c>
      <c r="AGI10" t="n">
        <v>2000</v>
      </c>
      <c r="AGL10" t="n">
        <v>2000</v>
      </c>
      <c r="AGO10" t="n">
        <v>2000</v>
      </c>
      <c r="AGT10" t="n">
        <v>2000</v>
      </c>
      <c r="AGW10" t="n">
        <v>2000</v>
      </c>
      <c r="AGZ10" s="130">
        <f>SUM(AFV10:AGY10)</f>
        <v/>
      </c>
      <c r="AHA10" t="n">
        <v>2000</v>
      </c>
      <c r="AHC10" t="n">
        <v>2000</v>
      </c>
      <c r="AHE10" t="n">
        <v>2000</v>
      </c>
      <c r="AHH10" t="n">
        <v>2000</v>
      </c>
      <c r="AHJ10" t="n">
        <v>2000</v>
      </c>
      <c r="AHK10" t="n">
        <v>2000</v>
      </c>
      <c r="AHO10" t="n">
        <v>2000</v>
      </c>
      <c r="AHQ10" t="n">
        <v>2000</v>
      </c>
      <c r="AHS10" t="n">
        <v>2000</v>
      </c>
      <c r="AHV10" t="n">
        <v>2000</v>
      </c>
      <c r="AHX10" t="n">
        <v>2000</v>
      </c>
      <c r="AHZ10" t="n">
        <v>2000</v>
      </c>
      <c r="AIC10" t="n">
        <v>2000</v>
      </c>
      <c r="AIE10" t="n">
        <v>2000</v>
      </c>
      <c r="AIF10" s="145">
        <f>SUM(AHA10:AIE10)</f>
        <v/>
      </c>
      <c r="AIK10" t="n">
        <v>2000</v>
      </c>
      <c r="AIM10" t="n">
        <v>2000</v>
      </c>
      <c r="AIO10" t="n">
        <v>2000</v>
      </c>
      <c r="AIR10" t="n">
        <v>2000</v>
      </c>
      <c r="AIZ10" t="n">
        <v>2000</v>
      </c>
      <c r="AJB10" t="n">
        <v>2000</v>
      </c>
      <c r="AJH10" t="n">
        <v>2000</v>
      </c>
      <c r="AJJ10" t="n">
        <v>2000</v>
      </c>
      <c r="AJL10" s="145">
        <f>SUM(AIG10:AJK10)</f>
        <v/>
      </c>
      <c r="AJN10" t="n">
        <v>2000</v>
      </c>
      <c r="AJR10" t="n">
        <v>2000</v>
      </c>
      <c r="AJW10" t="n">
        <v>2000</v>
      </c>
      <c r="AJY10" t="n">
        <v>2000</v>
      </c>
      <c r="AKB10" t="n">
        <v>2000</v>
      </c>
      <c r="AKD10" t="n">
        <v>2000</v>
      </c>
      <c r="AKI10" t="n">
        <v>2000</v>
      </c>
      <c r="AKK10" t="n">
        <v>2000</v>
      </c>
      <c r="AKM10" t="n">
        <v>2000</v>
      </c>
      <c r="AKO10" s="145">
        <f>SUM(AJM10:AKN10)</f>
        <v/>
      </c>
      <c r="AKQ10" t="n">
        <v>2000</v>
      </c>
      <c r="AKS10" t="n">
        <v>2000</v>
      </c>
      <c r="AKU10" t="n">
        <v>2000</v>
      </c>
      <c r="AKX10" t="n">
        <v>2000</v>
      </c>
      <c r="AKZ10" t="n">
        <v>2000</v>
      </c>
      <c r="ALB10" t="n">
        <v>2000</v>
      </c>
      <c r="ALE10" t="n">
        <v>2000</v>
      </c>
      <c r="ALL10" t="n">
        <v>2000</v>
      </c>
      <c r="ALN10" t="n">
        <v>2000</v>
      </c>
      <c r="ALO10" t="n">
        <v>0</v>
      </c>
      <c r="ALP10" t="n">
        <v>2000</v>
      </c>
      <c r="ALS10" t="n">
        <v>2000</v>
      </c>
      <c r="ALU10" s="145">
        <f>SUM(AKS10:ALT10)</f>
        <v/>
      </c>
      <c r="ALV10" t="n">
        <v>2000</v>
      </c>
      <c r="ALW10" t="n">
        <v>2000</v>
      </c>
      <c r="ALX10" t="n">
        <v>2000</v>
      </c>
      <c r="ALY10" t="n">
        <v>2000</v>
      </c>
      <c r="AMA10" t="n">
        <v>2000</v>
      </c>
      <c r="AME10" t="n">
        <v>2000</v>
      </c>
      <c r="AMH10" t="n">
        <v>2000</v>
      </c>
      <c r="AMJ10" t="n">
        <v>2000</v>
      </c>
      <c r="AMP10" t="n">
        <v>2000</v>
      </c>
      <c r="AMR10" t="n">
        <v>0</v>
      </c>
      <c r="AMZ10" s="145">
        <f>SUM(ALV10:AMY10)</f>
        <v/>
      </c>
      <c r="ANG10" t="n">
        <v>2000</v>
      </c>
      <c r="ANM10" t="n">
        <v>2000</v>
      </c>
      <c r="ANO10" t="n">
        <v>2000</v>
      </c>
      <c r="ANR10" t="n">
        <v>2000</v>
      </c>
      <c r="ANT10" t="n">
        <v>2000</v>
      </c>
      <c r="ANV10" t="n">
        <v>2000</v>
      </c>
      <c r="ANY10" t="n">
        <v>2000</v>
      </c>
      <c r="AOB10" t="n">
        <v>2000</v>
      </c>
    </row>
    <row r="11">
      <c r="B11" s="5" t="inlineStr">
        <is>
          <t>Security</t>
        </is>
      </c>
      <c r="C11" s="22" t="n"/>
      <c r="D11" s="22" t="n"/>
      <c r="E11" s="22" t="n"/>
      <c r="F11" s="22" t="n"/>
      <c r="G11" s="22" t="n">
        <v>1200000</v>
      </c>
      <c r="H11" s="22" t="n">
        <v>0</v>
      </c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>
        <f>SUM(C11:AG11)</f>
        <v/>
      </c>
      <c r="AI11" s="52" t="n"/>
      <c r="AJ11" s="52" t="n"/>
      <c r="AK11" s="52" t="n"/>
      <c r="AL11" s="52" t="n"/>
      <c r="AM11" s="52" t="n"/>
      <c r="AN11" s="52" t="n">
        <v>1200000</v>
      </c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>
        <f>SUM(AI11:BL11)</f>
        <v/>
      </c>
      <c r="BN11" s="52" t="n"/>
      <c r="BO11" s="52" t="n"/>
      <c r="BP11" s="52" t="n">
        <v>1200000</v>
      </c>
      <c r="BQ11" s="52" t="n"/>
      <c r="BR11" s="52" t="n"/>
      <c r="BS11" s="52" t="n"/>
      <c r="BT11" s="52" t="n"/>
      <c r="BU11" s="52" t="n"/>
      <c r="BV11" s="52" t="n"/>
      <c r="BW11" s="52" t="n"/>
      <c r="BX11" s="52" t="n"/>
      <c r="BY11" s="52" t="n"/>
      <c r="BZ11" s="52" t="n"/>
      <c r="CA11" s="52" t="n"/>
      <c r="CB11" s="52" t="n"/>
      <c r="CC11" s="52" t="n"/>
      <c r="CD11" s="52" t="n"/>
      <c r="CE11" s="52" t="n"/>
      <c r="CF11" s="52" t="n"/>
      <c r="CS11" s="110">
        <f>SUM(BN11:CR11)</f>
        <v/>
      </c>
      <c r="CT11" s="52" t="n"/>
      <c r="CU11" s="52" t="n"/>
      <c r="CV11" s="52" t="n"/>
      <c r="CW11" s="52" t="n"/>
      <c r="CX11" s="52" t="n"/>
      <c r="CY11" s="52" t="n"/>
      <c r="CZ11" s="52" t="n"/>
      <c r="DA11" s="52" t="n"/>
      <c r="DB11" s="52" t="n">
        <v>1200000</v>
      </c>
      <c r="DC11" s="52" t="n"/>
      <c r="DD11" s="52" t="n"/>
      <c r="DE11" s="52" t="n"/>
      <c r="DF11" s="52" t="n"/>
      <c r="DG11" s="52" t="n"/>
      <c r="DH11" s="52" t="n"/>
      <c r="DI11" s="52" t="n"/>
      <c r="DJ11" s="52" t="n"/>
      <c r="DK11" s="52" t="n"/>
      <c r="DL11" s="52" t="n"/>
      <c r="DM11" s="52" t="n"/>
      <c r="DN11" s="52" t="n"/>
      <c r="DO11" s="52" t="n"/>
      <c r="DP11" s="52" t="n"/>
      <c r="DQ11" s="52" t="n"/>
      <c r="DR11" s="52" t="n"/>
      <c r="DS11" s="52" t="n"/>
      <c r="DT11" s="52" t="n"/>
      <c r="DU11" s="52" t="n"/>
      <c r="DV11" s="52" t="n"/>
      <c r="DW11" s="52" t="n"/>
      <c r="DX11" s="118">
        <f>SUM(CT11:DW11)</f>
        <v/>
      </c>
      <c r="EC11" t="n">
        <v>1200000</v>
      </c>
      <c r="FD11" s="126">
        <f>SUM(DY11:FC11)</f>
        <v/>
      </c>
      <c r="FN11" t="n">
        <v>1200000</v>
      </c>
      <c r="GJ11" s="130">
        <f>SUM(FE11:GI11)</f>
        <v/>
      </c>
      <c r="GU11" t="n">
        <v>1200000</v>
      </c>
      <c r="HN11" s="130">
        <f>SUM(GK11:HM11)</f>
        <v/>
      </c>
      <c r="HV11" t="n">
        <v>1200000</v>
      </c>
      <c r="IT11" s="130">
        <f>SUM(HO11:IS11)</f>
        <v/>
      </c>
      <c r="IZ11" t="n">
        <v>1200000</v>
      </c>
      <c r="JY11" s="130">
        <f>SUM(IU11:JX11)</f>
        <v/>
      </c>
      <c r="KF11" t="n">
        <v>1200000</v>
      </c>
      <c r="LE11" s="130">
        <f>SUM(KA11:LD11)</f>
        <v/>
      </c>
      <c r="LI11" t="n">
        <v>1200000</v>
      </c>
      <c r="LJ11" t="n">
        <v>2000</v>
      </c>
      <c r="MJ11" s="130">
        <f>SUM(LF11:MI11)</f>
        <v/>
      </c>
      <c r="ML11" t="n">
        <v>1200000</v>
      </c>
      <c r="NP11" s="130">
        <f>SUM(ML11:NO11)</f>
        <v/>
      </c>
      <c r="NS11" t="n">
        <v>1200000</v>
      </c>
      <c r="OV11" s="130">
        <f>SUM(NR11:OU11)</f>
        <v/>
      </c>
      <c r="PE11" t="n">
        <v>1200000</v>
      </c>
      <c r="PS11" t="n">
        <v>2000</v>
      </c>
      <c r="QA11" s="130">
        <f>SUM(OW11:PZ11)</f>
        <v/>
      </c>
      <c r="QD11" t="n">
        <v>1200000</v>
      </c>
      <c r="RG11" s="130">
        <f>SUM(QC11:RF11)</f>
        <v/>
      </c>
      <c r="RN11" t="n">
        <v>1200000</v>
      </c>
      <c r="SM11" s="130">
        <f>SUM(RI11:SL11)</f>
        <v/>
      </c>
      <c r="SS11" t="n">
        <v>1200000</v>
      </c>
      <c r="TS11" s="130">
        <f>SUM(SO11:TR11)</f>
        <v/>
      </c>
      <c r="UG11" t="n">
        <v>1200000</v>
      </c>
      <c r="UY11" s="130">
        <f>SUM(TU11:UX11)</f>
        <v/>
      </c>
      <c r="VC11" t="n">
        <v>1200000</v>
      </c>
      <c r="WB11" s="130">
        <f>SUM(UZ11:WA11)</f>
        <v/>
      </c>
      <c r="WF11" t="n">
        <v>1200000</v>
      </c>
      <c r="XH11" s="130">
        <f>SUM(WF11:XG11)</f>
        <v/>
      </c>
      <c r="XJ11" t="n">
        <v>1200000</v>
      </c>
      <c r="YM11" s="130">
        <f>SUM(XK11:YL11)</f>
        <v/>
      </c>
      <c r="YS11" t="n">
        <v>1200000</v>
      </c>
      <c r="ZS11" s="130">
        <f>SUM(YN11:ZR11)</f>
        <v/>
      </c>
      <c r="AAC11" t="n">
        <v>1200000</v>
      </c>
      <c r="AAX11" s="130">
        <f>SUM(ZT11:AAW11)</f>
        <v/>
      </c>
      <c r="AAY11" t="n">
        <v>1200000</v>
      </c>
      <c r="ACD11" s="130">
        <f>SUM(AAY11:ACC11)</f>
        <v/>
      </c>
      <c r="ADJ11" s="130">
        <f>SUM(ACE11:ADI11)</f>
        <v/>
      </c>
      <c r="ADK11" t="n">
        <v>0</v>
      </c>
      <c r="AEO11" s="130">
        <f>SUM(ADK11:AEN11)</f>
        <v/>
      </c>
      <c r="AFU11" s="130">
        <f>SUM(AEP11:AFT11)</f>
        <v/>
      </c>
      <c r="AGZ11" s="130">
        <f>SUM(AFV11:AGY11)</f>
        <v/>
      </c>
      <c r="AIF11" s="145">
        <f>SUM(AHA11:AIE11)</f>
        <v/>
      </c>
      <c r="AJL11" s="145">
        <f>SUM(AIG11:AJK11)</f>
        <v/>
      </c>
      <c r="AKO11" s="145">
        <f>SUM(AJM11:AKN11)</f>
        <v/>
      </c>
      <c r="AKQ11" t="n">
        <v>2000</v>
      </c>
      <c r="AKS11" t="n">
        <v>2000</v>
      </c>
      <c r="AKU11" t="n">
        <v>2000</v>
      </c>
      <c r="AKX11" t="n">
        <v>2000</v>
      </c>
      <c r="AKZ11" t="n">
        <v>2000</v>
      </c>
      <c r="ALB11" t="n">
        <v>2000</v>
      </c>
      <c r="ALE11" t="n">
        <v>2000</v>
      </c>
      <c r="ALL11" t="n">
        <v>0</v>
      </c>
      <c r="ALU11" s="145">
        <f>SUM(AKS11:ALT11)</f>
        <v/>
      </c>
      <c r="AMZ11" s="145">
        <f>SUM(ALV11:AMY11)</f>
        <v/>
      </c>
    </row>
    <row r="12">
      <c r="B12" s="5" t="inlineStr">
        <is>
          <t>Hose pipe and Rubber</t>
        </is>
      </c>
      <c r="C12" s="22" t="n"/>
      <c r="D12" s="22" t="n"/>
      <c r="E12" s="22" t="n"/>
      <c r="F12" s="22" t="n"/>
      <c r="G12" s="22" t="n">
        <v>12000</v>
      </c>
      <c r="H12" s="22" t="n">
        <v>0</v>
      </c>
      <c r="I12" s="22" t="n"/>
      <c r="J12" s="22" t="n"/>
      <c r="K12" s="22" t="n"/>
      <c r="L12" s="22" t="n"/>
      <c r="M12" s="22" t="n">
        <v>10000</v>
      </c>
      <c r="N12" s="22" t="n"/>
      <c r="O12" s="22" t="n"/>
      <c r="P12" s="22" t="n"/>
      <c r="Q12" s="22" t="n">
        <v>14000</v>
      </c>
      <c r="R12" s="22" t="n"/>
      <c r="S12" s="22" t="n"/>
      <c r="T12" s="22" t="n"/>
      <c r="U12" s="22" t="n"/>
      <c r="V12" s="22" t="n"/>
      <c r="W12" s="22" t="n">
        <v>12000</v>
      </c>
      <c r="X12" s="22" t="n"/>
      <c r="Y12" s="22" t="n"/>
      <c r="Z12" s="22" t="n"/>
      <c r="AA12" s="22" t="n">
        <v>10000</v>
      </c>
      <c r="AB12" s="22" t="n">
        <v>10000</v>
      </c>
      <c r="AC12" s="22" t="n"/>
      <c r="AD12" s="22" t="n"/>
      <c r="AE12" s="22" t="n"/>
      <c r="AF12" s="22" t="n"/>
      <c r="AG12" s="22" t="n"/>
      <c r="AH12" s="22">
        <f>SUM(C12:AG12)</f>
        <v/>
      </c>
      <c r="AI12" s="52" t="n"/>
      <c r="AJ12" s="52" t="n">
        <v>12000</v>
      </c>
      <c r="AK12" s="52" t="n"/>
      <c r="AL12" s="52" t="n"/>
      <c r="AM12" s="52" t="n"/>
      <c r="AN12" s="52" t="n">
        <v>18000</v>
      </c>
      <c r="AO12" s="52" t="n">
        <v>10000</v>
      </c>
      <c r="AP12" s="52" t="n">
        <v>350000</v>
      </c>
      <c r="AQ12" s="52" t="n"/>
      <c r="AR12" s="52" t="n"/>
      <c r="AS12" s="52" t="n"/>
      <c r="AT12" s="52" t="n">
        <v>12000</v>
      </c>
      <c r="AU12" s="52" t="n">
        <v>12000</v>
      </c>
      <c r="AV12" s="52" t="n">
        <v>10000</v>
      </c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>
        <v>100000</v>
      </c>
      <c r="BF12" s="52" t="n"/>
      <c r="BG12" s="52" t="n"/>
      <c r="BH12" s="52" t="n"/>
      <c r="BI12" s="52" t="n"/>
      <c r="BJ12" s="52" t="n"/>
      <c r="BK12" s="52" t="n"/>
      <c r="BL12" s="52" t="n"/>
      <c r="BM12" s="52">
        <f>SUM(AI12:BL12)</f>
        <v/>
      </c>
      <c r="BN12" s="52" t="n"/>
      <c r="BO12" s="52" t="n"/>
      <c r="BP12" s="52" t="n"/>
      <c r="BQ12" s="52" t="n">
        <v>40000</v>
      </c>
      <c r="BR12" s="52" t="n"/>
      <c r="BS12" s="52" t="n"/>
      <c r="BT12" s="52" t="n"/>
      <c r="BU12" s="52" t="n"/>
      <c r="BV12" s="52" t="n"/>
      <c r="BW12" s="52" t="n"/>
      <c r="BX12" s="52" t="n"/>
      <c r="BY12" s="52" t="n"/>
      <c r="BZ12" s="52" t="n"/>
      <c r="CA12" s="52" t="n"/>
      <c r="CB12" s="52" t="n"/>
      <c r="CC12" s="52" t="n"/>
      <c r="CD12" s="52" t="n"/>
      <c r="CE12" s="52" t="n"/>
      <c r="CF12" s="52" t="n"/>
      <c r="CS12" s="110">
        <f>SUM(BN12:CR12)</f>
        <v/>
      </c>
      <c r="CT12" s="52" t="n"/>
      <c r="CU12" s="52" t="n"/>
      <c r="CV12" s="52" t="n">
        <v>2650000</v>
      </c>
      <c r="CW12" s="52" t="n">
        <v>50000</v>
      </c>
      <c r="CX12" s="52" t="n"/>
      <c r="CY12" s="52" t="n"/>
      <c r="CZ12" s="52" t="n"/>
      <c r="DA12" s="52" t="n"/>
      <c r="DB12" s="52" t="n"/>
      <c r="DC12" s="52" t="n"/>
      <c r="DD12" s="52" t="n"/>
      <c r="DE12" s="52" t="n"/>
      <c r="DF12" s="52" t="n"/>
      <c r="DG12" s="52" t="n"/>
      <c r="DH12" s="52" t="n"/>
      <c r="DI12" s="52" t="n"/>
      <c r="DJ12" s="52" t="n"/>
      <c r="DK12" s="52" t="n"/>
      <c r="DL12" s="52" t="n"/>
      <c r="DM12" s="52" t="n"/>
      <c r="DN12" s="52" t="n"/>
      <c r="DO12" s="52" t="n"/>
      <c r="DP12" s="52" t="n"/>
      <c r="DQ12" s="52" t="n"/>
      <c r="DR12" s="52" t="n"/>
      <c r="DS12" s="52" t="n"/>
      <c r="DT12" s="52" t="n"/>
      <c r="DU12" s="52" t="n"/>
      <c r="DV12" s="52" t="n"/>
      <c r="DW12" s="52" t="n"/>
      <c r="DX12" s="118">
        <f>SUM(CT12:DW12)</f>
        <v/>
      </c>
      <c r="FD12" s="126">
        <f>SUM(DY12:FC12)</f>
        <v/>
      </c>
      <c r="GJ12" s="130" t="n"/>
      <c r="HN12" s="130">
        <f>SUM(GK12:HM12)</f>
        <v/>
      </c>
      <c r="IT12" s="130">
        <f>SUM(HO12:IS12)</f>
        <v/>
      </c>
      <c r="JY12" s="130">
        <f>SUM(IU12:JX12)</f>
        <v/>
      </c>
      <c r="LE12" s="130">
        <f>SUM(KA12:LD12)</f>
        <v/>
      </c>
      <c r="MJ12" s="130">
        <f>SUM(LF12:MI12)</f>
        <v/>
      </c>
      <c r="NP12" s="130">
        <f>SUM(ML12:NO12)</f>
        <v/>
      </c>
      <c r="OV12" s="130">
        <f>SUM(NR12:OU12)</f>
        <v/>
      </c>
      <c r="QA12" s="130">
        <f>SUM(OW12:PZ12)</f>
        <v/>
      </c>
      <c r="RG12" s="130">
        <f>SUM(QC12:RF12)</f>
        <v/>
      </c>
      <c r="SM12" s="130">
        <f>SUM(RI12:SL12)</f>
        <v/>
      </c>
      <c r="TS12" s="130">
        <f>SUM(SO12:TR12)</f>
        <v/>
      </c>
      <c r="UY12" s="130">
        <f>SUM(TU12:UX12)</f>
        <v/>
      </c>
      <c r="WB12" s="130">
        <f>SUM(UZ12:WA12)</f>
        <v/>
      </c>
      <c r="XH12" s="130">
        <f>SUM(WF12:XG12)</f>
        <v/>
      </c>
      <c r="YM12" s="130">
        <f>SUM(XK12:YL12)</f>
        <v/>
      </c>
      <c r="ZS12" s="130">
        <f>SUM(YN12:ZR12)</f>
        <v/>
      </c>
      <c r="AAX12" s="130">
        <f>SUM(ZT12:AAW12)</f>
        <v/>
      </c>
      <c r="ACD12" s="130">
        <f>SUM(AAY12:ACC12)</f>
        <v/>
      </c>
      <c r="ADJ12" s="130">
        <f>SUM(ACE12:ADI12)</f>
        <v/>
      </c>
      <c r="AEO12" s="130">
        <f>SUM(ADK12:AEN12)</f>
        <v/>
      </c>
      <c r="AFU12" s="130">
        <f>SUM(AEP12:AFT12)</f>
        <v/>
      </c>
      <c r="AGZ12" s="130">
        <f>SUM(AFV12:AGY12)</f>
        <v/>
      </c>
      <c r="AIF12" s="145">
        <f>SUM(AHA12:AIE12)</f>
        <v/>
      </c>
      <c r="AJL12" s="145">
        <f>SUM(AIG12:AJK12)</f>
        <v/>
      </c>
      <c r="AKO12" s="145">
        <f>SUM(AJM12:AKN12)</f>
        <v/>
      </c>
      <c r="ALU12" s="145">
        <f>SUM(AKS12:ALT12)</f>
        <v/>
      </c>
      <c r="AMZ12" s="145">
        <f>SUM(ALV12:AMY12)</f>
        <v/>
      </c>
    </row>
    <row r="13">
      <c r="B13" s="5" t="inlineStr">
        <is>
          <t>Salary</t>
        </is>
      </c>
      <c r="C13" s="22" t="n">
        <v>0</v>
      </c>
      <c r="D13" s="22" t="n">
        <v>2306000</v>
      </c>
      <c r="E13" s="22" t="n"/>
      <c r="F13" s="22" t="n"/>
      <c r="G13" s="22" t="n"/>
      <c r="H13" s="22" t="n">
        <v>0</v>
      </c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>
        <v>75000</v>
      </c>
      <c r="AB13" s="22" t="n"/>
      <c r="AC13" s="22" t="n"/>
      <c r="AD13" s="22" t="n"/>
      <c r="AE13" s="22" t="n"/>
      <c r="AF13" s="22" t="n"/>
      <c r="AG13" s="22" t="n"/>
      <c r="AH13" s="22">
        <f>SUM(C13:AG13)</f>
        <v/>
      </c>
      <c r="AI13" s="52" t="n"/>
      <c r="AJ13" s="52" t="n"/>
      <c r="AK13" s="52" t="n"/>
      <c r="AL13" s="52" t="n">
        <v>2525000</v>
      </c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>
        <f>SUM(AI13:BL13)</f>
        <v/>
      </c>
      <c r="BN13" s="52" t="n"/>
      <c r="BO13" s="52" t="n"/>
      <c r="BP13" s="52">
        <f>2657000+50000</f>
        <v/>
      </c>
      <c r="BQ13" s="52" t="n"/>
      <c r="BR13" s="52" t="n"/>
      <c r="BS13" s="52" t="n"/>
      <c r="BT13" s="52" t="n"/>
      <c r="BU13" s="52" t="n"/>
      <c r="BV13" s="52" t="n"/>
      <c r="BW13" s="52" t="n"/>
      <c r="BX13" s="52" t="n"/>
      <c r="BY13" s="52" t="n"/>
      <c r="BZ13" s="52" t="n"/>
      <c r="CA13" s="52" t="n"/>
      <c r="CB13" s="52" t="n"/>
      <c r="CC13" s="52" t="n"/>
      <c r="CD13" s="52" t="n"/>
      <c r="CE13" s="52" t="n"/>
      <c r="CF13" s="52" t="n"/>
      <c r="CS13" s="110">
        <f>SUM(BN13:CR13)</f>
        <v/>
      </c>
      <c r="CT13" s="52" t="n"/>
      <c r="CU13" s="52" t="n"/>
      <c r="CV13" s="52" t="n"/>
      <c r="CW13" s="52" t="n">
        <v>0</v>
      </c>
      <c r="CX13" s="52" t="n"/>
      <c r="CY13" s="52" t="n"/>
      <c r="CZ13" s="52" t="n"/>
      <c r="DA13" s="52" t="n"/>
      <c r="DB13" s="52" t="n"/>
      <c r="DC13" s="52" t="n"/>
      <c r="DD13" s="52" t="n"/>
      <c r="DE13" s="52" t="n"/>
      <c r="DF13" s="52" t="n"/>
      <c r="DG13" s="52" t="n"/>
      <c r="DH13" s="52" t="n"/>
      <c r="DI13" s="52" t="n"/>
      <c r="DJ13" s="52" t="n"/>
      <c r="DK13" s="52" t="n"/>
      <c r="DL13" s="52" t="n"/>
      <c r="DM13" s="52" t="n"/>
      <c r="DN13" s="52" t="n"/>
      <c r="DO13" s="52" t="n"/>
      <c r="DP13" s="52" t="n"/>
      <c r="DQ13" s="52" t="n"/>
      <c r="DR13" s="52" t="n"/>
      <c r="DS13" s="52" t="n"/>
      <c r="DT13" s="52" t="n"/>
      <c r="DU13" s="52" t="n"/>
      <c r="DV13" s="52" t="n"/>
      <c r="DW13" s="52" t="n"/>
      <c r="DX13" s="118">
        <f>SUM(CT13:DW13)</f>
        <v/>
      </c>
      <c r="EB13" t="n">
        <v>2536000</v>
      </c>
      <c r="FD13" s="126">
        <f>SUM(DY13:FC13)</f>
        <v/>
      </c>
      <c r="FH13" t="n">
        <v>2503000</v>
      </c>
      <c r="FJ13" t="n">
        <v>60000</v>
      </c>
      <c r="FN13" t="n">
        <v>200000</v>
      </c>
      <c r="GJ13" s="130">
        <f>SUM(FE13:GI13)</f>
        <v/>
      </c>
      <c r="GO13" t="n">
        <v>2418500</v>
      </c>
      <c r="GQ13" t="n">
        <v>75000</v>
      </c>
      <c r="HN13" s="130">
        <f>SUM(GK13:HM13)</f>
        <v/>
      </c>
      <c r="HR13" t="n">
        <v>2019000</v>
      </c>
      <c r="IT13" s="130">
        <f>SUM(HO13:IS13)</f>
        <v/>
      </c>
      <c r="IW13" t="n">
        <v>2132500</v>
      </c>
      <c r="JY13" s="130">
        <f>SUM(IU13:JX13)</f>
        <v/>
      </c>
      <c r="KB13" t="n">
        <v>2238200</v>
      </c>
      <c r="LE13" s="130">
        <f>SUM(KA13:LD13)</f>
        <v/>
      </c>
      <c r="LH13" t="n">
        <v>2247000</v>
      </c>
      <c r="MJ13" s="130">
        <f>SUM(LF13:MI13)</f>
        <v/>
      </c>
      <c r="MM13" t="n">
        <v>2235000</v>
      </c>
      <c r="NP13" s="130">
        <f>SUM(ML13:NO13)</f>
        <v/>
      </c>
      <c r="NR13" t="n">
        <v>2241000</v>
      </c>
      <c r="OV13" s="130">
        <f>SUM(NR13:OU13)</f>
        <v/>
      </c>
      <c r="OX13" t="n">
        <v>2237000</v>
      </c>
      <c r="QA13" s="130">
        <f>SUM(OW13:PZ13)</f>
        <v/>
      </c>
      <c r="QC13" t="n">
        <v>2148000</v>
      </c>
      <c r="RG13" s="130">
        <f>SUM(QC13:RF13)</f>
        <v/>
      </c>
      <c r="RI13" t="n">
        <v>2326000</v>
      </c>
      <c r="SM13" s="130">
        <f>SUM(RI13:SL13)</f>
        <v/>
      </c>
      <c r="SQ13" t="n">
        <v>2308500</v>
      </c>
      <c r="TS13" s="130">
        <f>SUM(SO13:TR13)</f>
        <v/>
      </c>
      <c r="TV13" t="n">
        <v>2073600</v>
      </c>
      <c r="TW13" t="n">
        <v>50000</v>
      </c>
      <c r="UY13" s="130">
        <f>SUM(TU13:UX13)</f>
        <v/>
      </c>
      <c r="VB13" t="n">
        <v>2049000</v>
      </c>
      <c r="VG13" t="n">
        <v>225000</v>
      </c>
      <c r="WB13" s="130">
        <f>SUM(UZ13:WA13)</f>
        <v/>
      </c>
      <c r="WE13" t="n">
        <v>2270000</v>
      </c>
      <c r="WN13" t="n">
        <v>36000</v>
      </c>
      <c r="XH13" s="130">
        <f>SUM(WF13:XG13)</f>
        <v/>
      </c>
      <c r="XL13" t="n">
        <v>1991500</v>
      </c>
      <c r="YM13" s="130">
        <f>SUM(XK13:YL13)</f>
        <v/>
      </c>
      <c r="YO13" t="n">
        <v>2044400</v>
      </c>
      <c r="ZS13" s="130">
        <f>SUM(YN13:ZR13)</f>
        <v/>
      </c>
      <c r="ZV13" t="n">
        <v>2186000</v>
      </c>
      <c r="AAX13" s="130">
        <f>SUM(ZT13:AAW13)</f>
        <v/>
      </c>
      <c r="ACD13" s="130">
        <f>SUM(AAY13:ACC13)</f>
        <v/>
      </c>
      <c r="ACH13" t="n">
        <v>2147000</v>
      </c>
      <c r="ADJ13" s="130">
        <f>SUM(ACE13:ADI13)</f>
        <v/>
      </c>
      <c r="ADM13" t="n">
        <v>2599900</v>
      </c>
      <c r="AEO13" s="130">
        <f>SUM(ADK13:AEN13)</f>
        <v/>
      </c>
      <c r="AES13" t="n">
        <v>2240000</v>
      </c>
      <c r="AFU13" s="130">
        <f>SUM(AEP13:AFT13)</f>
        <v/>
      </c>
      <c r="AFZ13">
        <f>2120800+45000</f>
        <v/>
      </c>
      <c r="AGC13" t="n">
        <v>40000</v>
      </c>
      <c r="AGZ13" s="130">
        <f>SUM(AFV13:AGY13)</f>
        <v/>
      </c>
      <c r="AHC13" t="n">
        <v>2169000</v>
      </c>
      <c r="AIF13" s="145">
        <f>SUM(AHA13:AIE13)</f>
        <v/>
      </c>
      <c r="AIM13" t="n">
        <v>2303000</v>
      </c>
      <c r="AJL13" s="145">
        <f>SUM(AIG13:AJK13)</f>
        <v/>
      </c>
      <c r="AJP13" t="n">
        <v>2377500</v>
      </c>
      <c r="AKO13" s="145">
        <f>SUM(AJM13:AKN13)</f>
        <v/>
      </c>
      <c r="AKS13" t="n">
        <v>2755800</v>
      </c>
      <c r="AKU13" t="n">
        <v>70000</v>
      </c>
      <c r="ALU13" s="145">
        <f>SUM(AKS13:ALT13)</f>
        <v/>
      </c>
      <c r="ALX13" t="n">
        <v>2253000</v>
      </c>
      <c r="AMZ13" s="145">
        <f>SUM(ALV13:AMY13)</f>
        <v/>
      </c>
      <c r="AND13" t="n">
        <v>2301000</v>
      </c>
      <c r="ANG13" t="n">
        <v>396000</v>
      </c>
      <c r="ANM13" t="n">
        <v>100000</v>
      </c>
    </row>
    <row r="14">
      <c r="B14" s="5" t="inlineStr">
        <is>
          <t>staff advance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>
        <v>50000</v>
      </c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52" t="n"/>
      <c r="AJ14" s="52" t="n"/>
      <c r="AK14" s="52" t="n"/>
      <c r="AL14" s="52" t="n"/>
      <c r="AM14" s="52" t="n"/>
      <c r="AN14" s="52" t="n"/>
      <c r="AO14" s="52" t="n">
        <v>51900000</v>
      </c>
      <c r="AP14" s="52" t="n"/>
      <c r="AQ14" s="52" t="n"/>
      <c r="AR14" s="52" t="n"/>
      <c r="AS14" s="52" t="n"/>
      <c r="AT14" s="52" t="n"/>
      <c r="AU14" s="52">
        <f>10000*5350</f>
        <v/>
      </c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>
        <f>SUM(AI14:BL14)</f>
        <v/>
      </c>
      <c r="BN14" s="52" t="n"/>
      <c r="BO14" s="52" t="n"/>
      <c r="BP14" s="52" t="n"/>
      <c r="BQ14" s="52" t="n"/>
      <c r="BR14" s="52" t="n"/>
      <c r="BS14" s="52" t="n"/>
      <c r="BT14" s="52" t="n"/>
      <c r="BU14" s="52" t="n"/>
      <c r="BV14" s="52" t="n"/>
      <c r="BW14" s="52" t="n"/>
      <c r="BX14" s="52" t="n"/>
      <c r="BY14" s="52" t="n"/>
      <c r="BZ14" s="52" t="n"/>
      <c r="CA14" s="52" t="n"/>
      <c r="CB14" s="52" t="n"/>
      <c r="CC14" s="52" t="n"/>
      <c r="CD14" s="52" t="n"/>
      <c r="CE14" s="52" t="n"/>
      <c r="CF14" s="52" t="n"/>
      <c r="CJ14" t="n">
        <v>50000</v>
      </c>
      <c r="CS14" s="110">
        <f>SUM(BN14:CR14)</f>
        <v/>
      </c>
      <c r="CT14" s="52" t="n"/>
      <c r="CU14" s="52" t="n"/>
      <c r="CV14" s="52" t="n"/>
      <c r="CW14" s="52" t="n"/>
      <c r="CX14" s="52" t="n"/>
      <c r="CY14" s="52" t="n"/>
      <c r="CZ14" s="52" t="n"/>
      <c r="DA14" s="52" t="n"/>
      <c r="DB14" s="52" t="n"/>
      <c r="DC14" s="52" t="n"/>
      <c r="DD14" s="52" t="n"/>
      <c r="DE14" s="52" t="n"/>
      <c r="DF14" s="52" t="n"/>
      <c r="DG14" s="52" t="n"/>
      <c r="DH14" s="52" t="n"/>
      <c r="DI14" s="52" t="n"/>
      <c r="DJ14" s="52" t="n"/>
      <c r="DK14" s="52" t="n"/>
      <c r="DL14" s="52" t="n"/>
      <c r="DM14" s="52" t="n"/>
      <c r="DN14" s="52" t="n"/>
      <c r="DO14" s="52" t="n"/>
      <c r="DP14" s="52" t="n">
        <v>20000</v>
      </c>
      <c r="DQ14" s="52" t="n"/>
      <c r="DR14" s="52" t="n"/>
      <c r="DS14" s="52" t="n"/>
      <c r="DT14" s="52" t="n"/>
      <c r="DU14" s="52" t="n"/>
      <c r="DV14" s="52" t="n"/>
      <c r="DW14" s="52" t="n"/>
      <c r="DX14" s="118">
        <f>SUM(CT14:DW14)</f>
        <v/>
      </c>
      <c r="DY14" t="n">
        <v>100000</v>
      </c>
      <c r="FC14" t="n">
        <v>100000</v>
      </c>
      <c r="FD14" s="126">
        <f>SUM(DY14:FC14)</f>
        <v/>
      </c>
      <c r="FS14" t="n">
        <v>50000</v>
      </c>
      <c r="FW14" t="n">
        <v>80000</v>
      </c>
      <c r="GC14" t="n">
        <v>100000</v>
      </c>
      <c r="GJ14" s="130">
        <f>SUM(FE14:GI14)</f>
        <v/>
      </c>
      <c r="GZ14" t="n">
        <v>50000</v>
      </c>
      <c r="HJ14" t="n">
        <v>40000</v>
      </c>
      <c r="HN14" s="130">
        <f>SUM(GK14:HM14)</f>
        <v/>
      </c>
      <c r="HO14" t="n">
        <v>216000</v>
      </c>
      <c r="IB14" t="n">
        <v>50000</v>
      </c>
      <c r="IH14" t="n">
        <v>15000</v>
      </c>
      <c r="II14" t="n">
        <v>80000</v>
      </c>
      <c r="IM14" t="n">
        <v>110000</v>
      </c>
      <c r="IQ14" t="n">
        <v>100000</v>
      </c>
      <c r="IT14" s="130">
        <f>SUM(HO14:IS14)</f>
        <v/>
      </c>
      <c r="JI14" t="n">
        <v>50000</v>
      </c>
      <c r="JJ14" t="n">
        <v>100000</v>
      </c>
      <c r="JL14" t="n">
        <v>50000</v>
      </c>
      <c r="JM14" t="n">
        <v>120000</v>
      </c>
      <c r="JT14" t="n">
        <v>25000</v>
      </c>
      <c r="JY14" s="130">
        <f>SUM(IU14:JX14)</f>
        <v/>
      </c>
      <c r="KN14">
        <f>60000+90000</f>
        <v/>
      </c>
      <c r="KO14">
        <f>40000+70000+80000</f>
        <v/>
      </c>
      <c r="KS14" t="n">
        <v>70000</v>
      </c>
      <c r="LE14" s="130">
        <f>SUM(KA14:LD14)</f>
        <v/>
      </c>
      <c r="LN14" t="n">
        <v>0</v>
      </c>
      <c r="LO14" t="n">
        <v>50000</v>
      </c>
      <c r="LT14">
        <f>50000+100000</f>
        <v/>
      </c>
      <c r="LZ14" t="n">
        <v>100000</v>
      </c>
      <c r="MJ14" s="130">
        <f>SUM(LF14:MI14)</f>
        <v/>
      </c>
      <c r="MQ14" t="n">
        <v>50000</v>
      </c>
      <c r="MX14" t="n">
        <v>60000</v>
      </c>
      <c r="ND14" t="n">
        <v>50000</v>
      </c>
      <c r="NH14" t="n">
        <v>70000</v>
      </c>
      <c r="NI14" t="n">
        <v>50000</v>
      </c>
      <c r="NJ14" t="n">
        <v>50000</v>
      </c>
      <c r="NP14" s="130">
        <f>SUM(ML14:NO14)</f>
        <v/>
      </c>
      <c r="OC14" t="n">
        <v>50000</v>
      </c>
      <c r="OE14">
        <f>50000+50000</f>
        <v/>
      </c>
      <c r="OF14" t="n">
        <v>100000</v>
      </c>
      <c r="OG14" t="n">
        <v>70000</v>
      </c>
      <c r="OV14" s="130">
        <f>SUM(NR14:OU14)</f>
        <v/>
      </c>
      <c r="PK14" t="n">
        <v>20000</v>
      </c>
      <c r="PM14" t="n">
        <v>0</v>
      </c>
      <c r="PN14" t="n">
        <v>80000</v>
      </c>
      <c r="PQ14" t="n">
        <v>50000</v>
      </c>
      <c r="QA14" s="130">
        <f>SUM(OW14:PZ14)</f>
        <v/>
      </c>
      <c r="QQ14" t="n">
        <v>50000</v>
      </c>
      <c r="QT14" t="n">
        <v>90000</v>
      </c>
      <c r="RF14" t="n">
        <v>60000</v>
      </c>
      <c r="RG14" s="130">
        <f>SUM(QC14:RF14)</f>
        <v/>
      </c>
      <c r="RV14" t="n">
        <v>270000</v>
      </c>
      <c r="SA14" t="n">
        <v>90000</v>
      </c>
      <c r="SM14" s="130">
        <f>SUM(RI14:SL14)</f>
        <v/>
      </c>
      <c r="TE14" t="n">
        <v>60000</v>
      </c>
      <c r="TF14" t="n">
        <v>800000</v>
      </c>
      <c r="TH14" t="n">
        <v>50000</v>
      </c>
      <c r="TK14" t="n">
        <v>250000</v>
      </c>
      <c r="TP14" t="n">
        <v>50000</v>
      </c>
      <c r="TS14" s="130">
        <f>SUM(SO14:TR14)</f>
        <v/>
      </c>
      <c r="UH14">
        <f>40000+70000</f>
        <v/>
      </c>
      <c r="UI14" t="n">
        <v>110000</v>
      </c>
      <c r="UM14" t="n">
        <v>120000</v>
      </c>
      <c r="UR14">
        <f>50000+40000</f>
        <v/>
      </c>
      <c r="UW14" t="n">
        <v>50000</v>
      </c>
      <c r="UY14" s="130">
        <f>SUM(TU14:UX14)</f>
        <v/>
      </c>
      <c r="VP14" t="n">
        <v>50000</v>
      </c>
      <c r="VW14" t="n">
        <v>100000</v>
      </c>
      <c r="WB14" s="130">
        <f>SUM(UZ14:WA14)</f>
        <v/>
      </c>
      <c r="WN14" t="n">
        <v>300000</v>
      </c>
      <c r="XD14" t="n">
        <v>50000</v>
      </c>
      <c r="XH14" s="130">
        <f>SUM(WF14:XG14)</f>
        <v/>
      </c>
      <c r="XT14" t="n">
        <v>150000</v>
      </c>
      <c r="YA14">
        <f>70000+50000</f>
        <v/>
      </c>
      <c r="YE14" t="n">
        <v>500000</v>
      </c>
      <c r="YI14" t="n">
        <v>50000</v>
      </c>
      <c r="YM14" s="130">
        <f>SUM(XK14:YL14)</f>
        <v/>
      </c>
      <c r="YV14" t="n">
        <v>45000</v>
      </c>
      <c r="ZB14" t="n">
        <v>150000</v>
      </c>
      <c r="ZH14" t="n">
        <v>60000</v>
      </c>
      <c r="ZJ14" t="n">
        <v>150000</v>
      </c>
      <c r="ZL14" t="n">
        <v>10000</v>
      </c>
      <c r="ZS14" s="130">
        <f>SUM(YN14:ZR14)</f>
        <v/>
      </c>
      <c r="AAD14" t="n">
        <v>75000</v>
      </c>
      <c r="AAK14" t="n">
        <v>110000</v>
      </c>
      <c r="AAL14">
        <f>20000+50000</f>
        <v/>
      </c>
      <c r="AAX14" s="130">
        <f>SUM(ZT14:AAW14)</f>
        <v/>
      </c>
      <c r="AAZ14" t="n">
        <v>2150000</v>
      </c>
      <c r="ABM14" t="n">
        <v>30000</v>
      </c>
      <c r="ABO14">
        <f>50000+30000</f>
        <v/>
      </c>
      <c r="ABP14" t="n">
        <v>50000</v>
      </c>
      <c r="ABS14" t="n">
        <v>120000</v>
      </c>
      <c r="ACD14" s="130">
        <f>SUM(AAY14:ACC14)</f>
        <v/>
      </c>
      <c r="ACT14" t="n">
        <v>30000</v>
      </c>
      <c r="ACV14" t="n">
        <v>100000</v>
      </c>
      <c r="ADJ14" s="130">
        <f>SUM(ACE14:ADI14)</f>
        <v/>
      </c>
      <c r="ADZ14" t="n">
        <v>30000</v>
      </c>
      <c r="AEA14">
        <f>85000+110000+70000+50000</f>
        <v/>
      </c>
      <c r="AEC14" t="n">
        <v>150000</v>
      </c>
      <c r="AED14" t="n">
        <v>0</v>
      </c>
      <c r="AEF14" t="n">
        <v>0</v>
      </c>
      <c r="AEH14" t="n">
        <v>60000</v>
      </c>
      <c r="AEO14" s="130">
        <f>SUM(ADK14:AEN14)</f>
        <v/>
      </c>
      <c r="AEX14" t="n">
        <v>200000</v>
      </c>
      <c r="AFE14" t="n">
        <v>30000</v>
      </c>
      <c r="AFI14" t="n">
        <v>50000</v>
      </c>
      <c r="AFL14" t="n">
        <v>50000</v>
      </c>
      <c r="AFP14" t="n">
        <v>50000</v>
      </c>
      <c r="AFU14" s="130">
        <f>SUM(AEP14:AFT14)</f>
        <v/>
      </c>
      <c r="AGH14" t="n">
        <v>50000</v>
      </c>
      <c r="AGJ14" t="n">
        <v>70000</v>
      </c>
      <c r="AGL14" t="n">
        <v>30000</v>
      </c>
      <c r="AGS14" t="n">
        <v>50000</v>
      </c>
      <c r="AGT14" t="n">
        <v>100000</v>
      </c>
      <c r="AGV14" t="n">
        <v>50000</v>
      </c>
      <c r="AGZ14" s="130">
        <f>SUM(AFV14:AGY14)</f>
        <v/>
      </c>
      <c r="AHT14">
        <f>150000+50000</f>
        <v/>
      </c>
      <c r="AHU14" t="n">
        <v>20000</v>
      </c>
      <c r="AIF14" s="145">
        <f>SUM(AHA14:AIE14)</f>
        <v/>
      </c>
      <c r="AIS14" t="n">
        <v>150000</v>
      </c>
      <c r="AIX14" t="n">
        <v>150000</v>
      </c>
      <c r="AIY14" t="n">
        <v>50000</v>
      </c>
      <c r="AIZ14" t="n">
        <v>50000</v>
      </c>
      <c r="AJL14" s="145">
        <f>SUM(AIG14:AJK14)</f>
        <v/>
      </c>
      <c r="AKO14" s="145">
        <f>SUM(AJM14:AKN14)</f>
        <v/>
      </c>
      <c r="ALF14" t="n">
        <v>50000</v>
      </c>
      <c r="ALG14" t="n">
        <v>150000</v>
      </c>
      <c r="ALJ14" t="n">
        <v>50000</v>
      </c>
      <c r="ALN14" t="n">
        <v>50000</v>
      </c>
      <c r="ALU14" s="145">
        <f>SUM(AKS14:ALT14)</f>
        <v/>
      </c>
      <c r="AMO14" t="n">
        <v>50000</v>
      </c>
      <c r="AMP14" t="n">
        <v>70000</v>
      </c>
      <c r="AMR14" t="n">
        <v>100000</v>
      </c>
      <c r="AMZ14" s="145">
        <f>SUM(ALV14:AMY14)</f>
        <v/>
      </c>
      <c r="ANT14">
        <f>60000+70000</f>
        <v/>
      </c>
      <c r="ANW14">
        <f>150000+50000+100000</f>
        <v/>
      </c>
      <c r="ANY14" t="n">
        <v>50000</v>
      </c>
    </row>
    <row r="15">
      <c r="B15" s="5" t="inlineStr">
        <is>
          <t>water bill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>
        <v>235000</v>
      </c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52" t="n"/>
      <c r="AJ15" s="52" t="n"/>
      <c r="AK15" s="52" t="n"/>
      <c r="AL15" s="52" t="n">
        <v>168200</v>
      </c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>
        <f>SUM(AI15:BL15)</f>
        <v/>
      </c>
      <c r="BN15" s="52" t="n"/>
      <c r="BO15" s="52" t="n"/>
      <c r="BP15" s="52" t="n"/>
      <c r="BQ15" s="52" t="n"/>
      <c r="BR15" s="52" t="n"/>
      <c r="BS15" s="52" t="n">
        <v>157700</v>
      </c>
      <c r="BT15" s="52" t="n"/>
      <c r="BU15" s="52" t="n"/>
      <c r="BV15" s="52" t="n"/>
      <c r="BW15" s="52" t="n"/>
      <c r="BX15" s="52" t="n"/>
      <c r="BY15" s="52" t="n"/>
      <c r="BZ15" s="52" t="n"/>
      <c r="CA15" s="52" t="n"/>
      <c r="CB15" s="52" t="n"/>
      <c r="CC15" s="52" t="n"/>
      <c r="CD15" s="52" t="n"/>
      <c r="CE15" s="52" t="n"/>
      <c r="CF15" s="52" t="n"/>
      <c r="CS15" s="110">
        <f>SUM(BN15:CR15)</f>
        <v/>
      </c>
      <c r="CT15" s="52" t="n"/>
      <c r="CU15" s="52" t="n"/>
      <c r="CV15" s="52" t="n"/>
      <c r="CW15" s="52" t="n"/>
      <c r="CX15" s="52" t="n"/>
      <c r="CY15" s="52" t="n">
        <v>207000</v>
      </c>
      <c r="CZ15" s="52" t="n"/>
      <c r="DA15" s="52" t="n"/>
      <c r="DB15" s="52" t="n"/>
      <c r="DC15" s="52" t="n"/>
      <c r="DD15" s="52" t="n"/>
      <c r="DE15" s="52" t="n"/>
      <c r="DF15" s="52" t="n"/>
      <c r="DG15" s="52" t="n"/>
      <c r="DH15" s="52" t="n"/>
      <c r="DI15" s="52" t="n"/>
      <c r="DJ15" s="52" t="n"/>
      <c r="DK15" s="52" t="n"/>
      <c r="DL15" s="52" t="n"/>
      <c r="DM15" s="52" t="n"/>
      <c r="DN15" s="52" t="n"/>
      <c r="DO15" s="52" t="n"/>
      <c r="DP15" s="52" t="n"/>
      <c r="DQ15" s="52" t="n"/>
      <c r="DR15" s="52" t="n"/>
      <c r="DS15" s="52" t="n"/>
      <c r="DT15" s="52" t="n"/>
      <c r="DU15" s="52" t="n"/>
      <c r="DV15" s="52" t="n"/>
      <c r="DW15" s="52" t="n"/>
      <c r="DX15" s="118">
        <f>SUM(CT15:DW15)</f>
        <v/>
      </c>
      <c r="EJ15" t="n">
        <v>153100</v>
      </c>
      <c r="FA15" t="n">
        <v>170800</v>
      </c>
      <c r="FD15" s="126">
        <f>SUM(DY15:FC15)</f>
        <v/>
      </c>
      <c r="GJ15" s="130" t="n"/>
      <c r="GR15" t="n">
        <v>213000</v>
      </c>
      <c r="HN15" s="130">
        <f>SUM(GK15:HM15)</f>
        <v/>
      </c>
      <c r="HY15" t="n">
        <v>207000</v>
      </c>
      <c r="IT15" s="130">
        <f>SUM(HO15:IS15)</f>
        <v/>
      </c>
      <c r="IY15" t="n">
        <v>172000</v>
      </c>
      <c r="JY15" s="130">
        <f>SUM(IU15:JX15)</f>
        <v/>
      </c>
      <c r="KF15" t="n">
        <v>183000</v>
      </c>
      <c r="LA15" t="n">
        <v>183000</v>
      </c>
      <c r="LE15" s="130">
        <f>SUM(KA15:LD15)</f>
        <v/>
      </c>
      <c r="MJ15" s="130">
        <f>SUM(LF15:MI15)</f>
        <v/>
      </c>
      <c r="MS15" t="n">
        <v>194800</v>
      </c>
      <c r="NP15" s="130">
        <f>SUM(ML15:NO15)</f>
        <v/>
      </c>
      <c r="OC15" t="n">
        <v>248600</v>
      </c>
      <c r="OV15" s="130">
        <f>SUM(NR15:OU15)</f>
        <v/>
      </c>
      <c r="OX15" t="n">
        <v>242000</v>
      </c>
      <c r="PZ15" t="n">
        <v>272000</v>
      </c>
      <c r="QA15" s="130">
        <f>SUM(OW15:PZ15)</f>
        <v/>
      </c>
      <c r="RE15" t="n">
        <v>175000</v>
      </c>
      <c r="RG15" s="130">
        <f>SUM(QC15:RF15)</f>
        <v/>
      </c>
      <c r="SM15" s="130">
        <f>SUM(RI15:SL15)</f>
        <v/>
      </c>
      <c r="SP15" t="n">
        <v>186500</v>
      </c>
      <c r="TS15" s="130">
        <f>SUM(SO15:TR15)</f>
        <v/>
      </c>
      <c r="TU15" t="n">
        <v>198500</v>
      </c>
      <c r="UY15" s="130">
        <f>SUM(TU15:UX15)</f>
        <v/>
      </c>
      <c r="VD15" t="n">
        <v>174100</v>
      </c>
      <c r="WB15" s="130">
        <f>SUM(UZ15:WA15)</f>
        <v/>
      </c>
      <c r="WH15" t="n">
        <v>198500</v>
      </c>
      <c r="XH15" s="130">
        <f>SUM(WF15:XG15)</f>
        <v/>
      </c>
      <c r="XJ15" t="n">
        <v>256500</v>
      </c>
      <c r="YM15" s="130">
        <f>SUM(XK15:YL15)</f>
        <v/>
      </c>
      <c r="YV15" t="n">
        <v>358000</v>
      </c>
      <c r="ZQ15" t="n">
        <v>322000</v>
      </c>
      <c r="ZS15" s="130">
        <f>SUM(YN15:ZR15)</f>
        <v/>
      </c>
      <c r="AAW15" t="n">
        <v>327000</v>
      </c>
      <c r="AAX15" s="130">
        <f>SUM(ZT15:AAW15)</f>
        <v/>
      </c>
      <c r="ACB15" t="n">
        <v>292000</v>
      </c>
      <c r="ACD15" s="130">
        <f>SUM(AAY15:ACC15)</f>
        <v/>
      </c>
      <c r="ADJ15" s="130">
        <f>SUM(ACE15:ADI15)</f>
        <v/>
      </c>
      <c r="ADN15" t="n">
        <v>230000</v>
      </c>
      <c r="AEO15" s="130">
        <f>SUM(ADK15:AEN15)</f>
        <v/>
      </c>
      <c r="AEP15" t="n">
        <v>206600</v>
      </c>
      <c r="AFQ15" t="n">
        <v>236000</v>
      </c>
      <c r="AFU15" s="130">
        <f>SUM(AEP15:AFT15)</f>
        <v/>
      </c>
      <c r="AFY15" t="n">
        <v>93000</v>
      </c>
      <c r="AGV15" t="n">
        <v>170000</v>
      </c>
      <c r="AGZ15" s="130">
        <f>SUM(AFV15:AGY15)</f>
        <v/>
      </c>
      <c r="AHV15" t="n">
        <v>152000</v>
      </c>
      <c r="AIF15" s="145">
        <f>SUM(AHA15:AIE15)</f>
        <v/>
      </c>
      <c r="AJG15" t="n">
        <v>146000</v>
      </c>
      <c r="AJL15" s="145">
        <f>SUM(AIG15:AJK15)</f>
        <v/>
      </c>
      <c r="AKI15" t="n">
        <v>158600</v>
      </c>
      <c r="AKO15" s="145">
        <f>SUM(AJM15:AKN15)</f>
        <v/>
      </c>
      <c r="ALP15" t="n">
        <v>183000</v>
      </c>
      <c r="ALU15" s="145">
        <f>SUM(AKS15:ALT15)</f>
        <v/>
      </c>
      <c r="AMW15" t="n">
        <v>241499</v>
      </c>
      <c r="AMZ15" s="145">
        <f>SUM(ALV15:AMY15)</f>
        <v/>
      </c>
      <c r="ANZ15" t="n">
        <v>202000</v>
      </c>
    </row>
    <row r="16">
      <c r="B16" s="5" t="inlineStr">
        <is>
          <t>generator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>
        <v>93000</v>
      </c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52" t="n"/>
      <c r="AJ16" s="52" t="n"/>
      <c r="AK16" s="52" t="n"/>
      <c r="AL16" s="52" t="n"/>
      <c r="AM16" s="52" t="n"/>
      <c r="AN16" s="52" t="n"/>
      <c r="AO16" s="52" t="n"/>
      <c r="AP16" s="52" t="n">
        <v>48500</v>
      </c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>
        <v>98000</v>
      </c>
      <c r="AZ16" s="52" t="n"/>
      <c r="BA16" s="52" t="n"/>
      <c r="BB16" s="52" t="n"/>
      <c r="BC16" s="52" t="n"/>
      <c r="BD16" s="52" t="n">
        <v>49000</v>
      </c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>
        <f>SUM(AI16:BL16)</f>
        <v/>
      </c>
      <c r="BN16" s="52" t="n">
        <v>99000</v>
      </c>
      <c r="BO16" s="52" t="n"/>
      <c r="BP16" s="52" t="n"/>
      <c r="BQ16" s="52" t="n"/>
      <c r="BR16" s="52" t="n"/>
      <c r="BS16" s="52" t="n"/>
      <c r="BT16" s="52" t="n"/>
      <c r="BU16" s="52" t="n"/>
      <c r="BV16" s="52" t="n"/>
      <c r="BW16" s="52" t="n"/>
      <c r="BX16" s="52" t="n"/>
      <c r="BY16" s="52" t="n"/>
      <c r="BZ16" s="52" t="n"/>
      <c r="CA16" s="52" t="n"/>
      <c r="CB16" s="52" t="n"/>
      <c r="CC16" s="52" t="n">
        <v>99000</v>
      </c>
      <c r="CD16" s="52" t="n"/>
      <c r="CE16" s="52" t="n"/>
      <c r="CF16" s="52" t="n"/>
      <c r="CM16" t="n">
        <v>99000</v>
      </c>
      <c r="CS16" s="110">
        <f>SUM(BN16:CR16)</f>
        <v/>
      </c>
      <c r="CT16" s="52" t="n"/>
      <c r="CU16" s="52" t="n"/>
      <c r="CV16" s="52" t="n"/>
      <c r="CW16" s="52" t="n"/>
      <c r="CX16" s="52" t="n"/>
      <c r="CY16" s="52" t="n"/>
      <c r="CZ16" s="52" t="n"/>
      <c r="DA16" s="52" t="n"/>
      <c r="DB16" s="52" t="n"/>
      <c r="DC16" s="52" t="n"/>
      <c r="DD16" s="52" t="n"/>
      <c r="DE16" s="52" t="n">
        <v>49500</v>
      </c>
      <c r="DF16" s="52" t="n"/>
      <c r="DG16" s="52" t="n"/>
      <c r="DH16" s="52" t="n"/>
      <c r="DI16" s="52" t="n"/>
      <c r="DJ16" s="52" t="n">
        <v>99800</v>
      </c>
      <c r="DK16" s="52" t="n"/>
      <c r="DL16" s="52" t="n"/>
      <c r="DM16" s="52" t="n"/>
      <c r="DN16" s="52" t="n"/>
      <c r="DO16" s="52" t="n"/>
      <c r="DP16" s="52" t="n"/>
      <c r="DQ16" s="52" t="n"/>
      <c r="DR16" s="52" t="n"/>
      <c r="DS16" s="52" t="n">
        <v>99800</v>
      </c>
      <c r="DT16" s="52" t="n">
        <v>299400</v>
      </c>
      <c r="DU16" s="52" t="n">
        <v>199600</v>
      </c>
      <c r="DV16" s="52" t="n"/>
      <c r="DW16" s="52" t="n"/>
      <c r="DX16" s="118">
        <f>SUM(CT16:DW16)</f>
        <v/>
      </c>
      <c r="ED16" t="n">
        <v>49900</v>
      </c>
      <c r="EF16" t="n">
        <v>99800</v>
      </c>
      <c r="EG16" t="n">
        <v>49900</v>
      </c>
      <c r="EH16" t="n">
        <v>266750</v>
      </c>
      <c r="EI16" t="n">
        <v>97000</v>
      </c>
      <c r="EJ16" t="n">
        <v>48500</v>
      </c>
      <c r="EW16" t="n">
        <v>48500</v>
      </c>
      <c r="FD16" s="126">
        <f>SUM(DY16:FC16)</f>
        <v/>
      </c>
      <c r="FZ16" t="n">
        <v>97000</v>
      </c>
      <c r="GB16" t="n">
        <v>48500</v>
      </c>
      <c r="GC16" t="n">
        <v>48500</v>
      </c>
      <c r="GJ16" s="130">
        <f>SUM(FE16:GI16)</f>
        <v/>
      </c>
      <c r="GR16" t="n">
        <v>97000</v>
      </c>
      <c r="HD16" t="n">
        <v>97000</v>
      </c>
      <c r="HE16" t="n">
        <v>97000</v>
      </c>
      <c r="HJ16" t="n">
        <v>48500</v>
      </c>
      <c r="HK16" t="n">
        <v>145500</v>
      </c>
      <c r="HN16" s="130">
        <f>SUM(GK16:HM16)</f>
        <v/>
      </c>
      <c r="HT16" t="n">
        <v>97000</v>
      </c>
      <c r="IE16" t="n">
        <v>99000</v>
      </c>
      <c r="IM16" t="n">
        <v>346500</v>
      </c>
      <c r="IT16" s="130">
        <f>SUM(HO16:IS16)</f>
        <v/>
      </c>
      <c r="JA16" t="n">
        <v>99800</v>
      </c>
      <c r="JN16" t="n">
        <v>99800</v>
      </c>
      <c r="JS16" t="n">
        <v>199600</v>
      </c>
      <c r="JY16" s="130">
        <f>SUM(IU16:JX16)</f>
        <v/>
      </c>
      <c r="KH16" t="n">
        <v>97800</v>
      </c>
      <c r="KT16" t="n">
        <v>97800</v>
      </c>
      <c r="KX16" t="n">
        <v>97800</v>
      </c>
      <c r="KY16" t="n">
        <v>97800</v>
      </c>
      <c r="KZ16" t="n">
        <v>97800</v>
      </c>
      <c r="LE16" s="130">
        <f>SUM(KA16:LD16)</f>
        <v/>
      </c>
      <c r="LL16" t="n">
        <v>194000</v>
      </c>
      <c r="LP16" t="n">
        <v>97000</v>
      </c>
      <c r="LV16" t="n">
        <v>97000</v>
      </c>
      <c r="LW16" t="n">
        <v>194000</v>
      </c>
      <c r="LX16" t="n">
        <v>145500</v>
      </c>
      <c r="MJ16" s="130">
        <f>SUM(LF16:MI16)</f>
        <v/>
      </c>
      <c r="MO16" t="n">
        <v>97000</v>
      </c>
      <c r="MP16" t="n">
        <v>97000</v>
      </c>
      <c r="NC16" t="n">
        <v>47990</v>
      </c>
      <c r="NF16" t="n">
        <v>95980</v>
      </c>
      <c r="NK16" t="n">
        <v>191960</v>
      </c>
      <c r="NP16" s="130">
        <f>SUM(ML16:NO16)</f>
        <v/>
      </c>
      <c r="NX16" t="n">
        <v>94980</v>
      </c>
      <c r="OF16" t="n">
        <v>47490</v>
      </c>
      <c r="OR16" t="n">
        <v>47490</v>
      </c>
      <c r="OS16" t="n">
        <v>94980</v>
      </c>
      <c r="OV16" s="130">
        <f>SUM(NR16:OU16)</f>
        <v/>
      </c>
      <c r="PE16" t="n">
        <v>94980</v>
      </c>
      <c r="PG16" t="n">
        <v>189960</v>
      </c>
      <c r="PH16" t="n">
        <v>94980</v>
      </c>
      <c r="PS16" t="n">
        <v>71235</v>
      </c>
      <c r="PW16" t="n">
        <v>47490</v>
      </c>
      <c r="PZ16" t="n">
        <v>94980</v>
      </c>
      <c r="QA16" s="130">
        <f>SUM(OW16:PZ16)</f>
        <v/>
      </c>
      <c r="QC16" t="n">
        <v>142470</v>
      </c>
      <c r="QJ16" t="n">
        <v>94980</v>
      </c>
      <c r="QU16" t="n">
        <v>91980</v>
      </c>
      <c r="QZ16" t="n">
        <v>91980</v>
      </c>
      <c r="RC16" t="n">
        <v>91980</v>
      </c>
      <c r="RG16" s="130">
        <f>SUM(QC16:RF16)</f>
        <v/>
      </c>
      <c r="RN16" t="n">
        <v>91980</v>
      </c>
      <c r="RR16" t="n">
        <v>89400</v>
      </c>
      <c r="RS16" t="n">
        <v>44700</v>
      </c>
      <c r="RT16" t="n">
        <v>44700</v>
      </c>
      <c r="RW16" t="n">
        <v>178800</v>
      </c>
      <c r="RZ16" t="n">
        <v>312900</v>
      </c>
      <c r="SA16" t="n">
        <v>312900</v>
      </c>
      <c r="SB16" t="n">
        <v>223500</v>
      </c>
      <c r="SM16" s="130">
        <f>SUM(RI16:SL16)</f>
        <v/>
      </c>
      <c r="SS16" t="n">
        <v>44700</v>
      </c>
      <c r="SZ16" t="n">
        <v>89400</v>
      </c>
      <c r="TA16" t="n">
        <v>0</v>
      </c>
      <c r="TF16" t="n">
        <v>89400</v>
      </c>
      <c r="TI16" t="n">
        <v>89400</v>
      </c>
      <c r="TP16" t="n">
        <v>89400</v>
      </c>
      <c r="TS16" s="130">
        <f>SUM(SO16:TR16)</f>
        <v/>
      </c>
      <c r="TZ16" t="n">
        <v>44700</v>
      </c>
      <c r="UE16" t="n">
        <v>89400</v>
      </c>
      <c r="UL16" t="n">
        <v>44900</v>
      </c>
      <c r="UQ16" t="n">
        <v>89800</v>
      </c>
      <c r="UY16" s="130">
        <f>SUM(TU16:UX16)</f>
        <v/>
      </c>
      <c r="VS16" t="n">
        <v>45500</v>
      </c>
      <c r="VW16" t="n">
        <v>45500</v>
      </c>
      <c r="VX16" t="n">
        <v>91000</v>
      </c>
      <c r="VY16" t="n">
        <v>318500</v>
      </c>
      <c r="WB16" s="130">
        <f>SUM(UZ16:WA16)</f>
        <v/>
      </c>
      <c r="WI16" t="n">
        <v>91000</v>
      </c>
      <c r="WJ16" t="n">
        <v>364000</v>
      </c>
      <c r="WK16" t="n">
        <v>445000</v>
      </c>
      <c r="WL16" t="n">
        <v>250250</v>
      </c>
      <c r="WX16" t="n">
        <v>273000</v>
      </c>
      <c r="XA16" t="n">
        <v>182000</v>
      </c>
      <c r="XB16" t="n">
        <v>550800</v>
      </c>
      <c r="XD16" t="n">
        <v>91800</v>
      </c>
      <c r="XG16" t="n">
        <v>91800</v>
      </c>
      <c r="XH16" s="130">
        <f>SUM(WF16:XG16)</f>
        <v/>
      </c>
      <c r="XI16" t="n">
        <v>91800</v>
      </c>
      <c r="XM16" t="n">
        <v>91800</v>
      </c>
      <c r="XN16" t="n">
        <v>183600</v>
      </c>
      <c r="XY16" t="n">
        <v>93000</v>
      </c>
      <c r="YK16" t="n">
        <v>93000</v>
      </c>
      <c r="YM16" s="130">
        <f>SUM(XK16:YL16)</f>
        <v/>
      </c>
      <c r="YO16" t="n">
        <v>186000</v>
      </c>
      <c r="YP16" t="n">
        <v>93000</v>
      </c>
      <c r="YT16" t="n">
        <v>93000</v>
      </c>
      <c r="ZA16" t="n">
        <v>186000</v>
      </c>
      <c r="ZD16" t="n">
        <v>93000</v>
      </c>
      <c r="ZS16" s="130">
        <f>SUM(YN16:ZR16)</f>
        <v/>
      </c>
      <c r="AAA16" t="n">
        <v>186000</v>
      </c>
      <c r="AAD16" t="n">
        <v>93000</v>
      </c>
      <c r="AAG16" t="n">
        <v>46500</v>
      </c>
      <c r="AAH16" t="n">
        <v>186000</v>
      </c>
      <c r="AAX16" s="130">
        <f>SUM(ZT16:AAW16)</f>
        <v/>
      </c>
      <c r="ABA16" t="n">
        <v>93000</v>
      </c>
      <c r="ABF16" t="n">
        <v>186000</v>
      </c>
      <c r="ABT16" t="n">
        <v>93000</v>
      </c>
      <c r="ACD16" s="130">
        <f>SUM(AAY16:ACC16)</f>
        <v/>
      </c>
      <c r="ACK16" t="n">
        <v>186000</v>
      </c>
      <c r="ACL16" t="n">
        <v>372000</v>
      </c>
      <c r="ACM16" t="n">
        <v>93000</v>
      </c>
      <c r="ADB16" t="n">
        <v>139500</v>
      </c>
      <c r="ADC16" t="n">
        <v>372000</v>
      </c>
      <c r="ADD16" t="n">
        <v>232500</v>
      </c>
      <c r="ADF16" t="n">
        <v>93000</v>
      </c>
      <c r="ADJ16" s="130">
        <f>SUM(ACE16:ADI16)</f>
        <v/>
      </c>
      <c r="ADN16" t="n">
        <v>93000</v>
      </c>
      <c r="ADX16" t="n">
        <v>93000</v>
      </c>
      <c r="AEB16" t="n">
        <v>139500</v>
      </c>
      <c r="AEC16" t="n">
        <v>93000</v>
      </c>
      <c r="AEO16" s="130">
        <f>SUM(ADK16:AEN16)</f>
        <v/>
      </c>
      <c r="AET16" t="n">
        <v>93000</v>
      </c>
      <c r="AEW16" t="n">
        <v>93000</v>
      </c>
      <c r="AFG16" t="n">
        <v>93000</v>
      </c>
      <c r="AFI16" t="n">
        <v>186000</v>
      </c>
      <c r="AFR16" t="n">
        <v>93000</v>
      </c>
      <c r="AFU16" s="130">
        <f>SUM(AEP16:AFT16)</f>
        <v/>
      </c>
      <c r="AGE16">
        <f>93000+93000</f>
        <v/>
      </c>
      <c r="AGO16" t="n">
        <v>93000</v>
      </c>
      <c r="AGV16" t="n">
        <v>0</v>
      </c>
      <c r="AGW16" t="n">
        <v>90980</v>
      </c>
      <c r="AGZ16" s="130">
        <f>SUM(AFV16:AGY16)</f>
        <v/>
      </c>
      <c r="AHL16" t="n">
        <v>91780</v>
      </c>
      <c r="AHW16" t="n">
        <v>91780</v>
      </c>
      <c r="AIF16" s="145">
        <f>SUM(AHA16:AIE16)</f>
        <v/>
      </c>
      <c r="AIM16" t="n">
        <v>183560</v>
      </c>
      <c r="AIQ16" t="n">
        <v>91780</v>
      </c>
      <c r="AJJ16" t="n">
        <v>91980</v>
      </c>
      <c r="AJL16" s="145">
        <f>SUM(AIG16:AJK16)</f>
        <v/>
      </c>
      <c r="AJV16" t="n">
        <v>91980</v>
      </c>
      <c r="AKA16" t="n">
        <v>91980</v>
      </c>
      <c r="AKO16" s="145">
        <f>SUM(AJM16:AKN16)</f>
        <v/>
      </c>
      <c r="AKY16" t="n">
        <v>45990</v>
      </c>
      <c r="ALC16">
        <f>92980+185960</f>
        <v/>
      </c>
      <c r="ALD16">
        <f>185960+185960</f>
        <v/>
      </c>
      <c r="ALE16" t="n">
        <v>185960</v>
      </c>
      <c r="ALG16" t="n">
        <v>140970</v>
      </c>
      <c r="ALO16" t="n">
        <v>100000</v>
      </c>
      <c r="ALR16" t="n">
        <v>200000</v>
      </c>
      <c r="ALS16" t="n">
        <v>250000</v>
      </c>
      <c r="ALU16" s="145">
        <f>SUM(AKS16:ALT16)</f>
        <v/>
      </c>
      <c r="AMI16" t="n">
        <v>311940</v>
      </c>
      <c r="AML16" t="n">
        <v>262450</v>
      </c>
      <c r="AMM16" t="n">
        <v>367430</v>
      </c>
      <c r="AMN16" t="n">
        <v>393675</v>
      </c>
      <c r="AMO16" t="n">
        <v>314940</v>
      </c>
      <c r="AMR16" t="n">
        <v>157470</v>
      </c>
      <c r="AMZ16" s="145">
        <f>SUM(ALV16:AMY16)</f>
        <v/>
      </c>
      <c r="AND16" t="n">
        <v>168870</v>
      </c>
      <c r="ANE16" t="n">
        <v>281450</v>
      </c>
      <c r="ANJ16" t="n">
        <v>112580</v>
      </c>
      <c r="ANO16">
        <f>56290+20000</f>
        <v/>
      </c>
      <c r="ANP16" t="n">
        <v>354000</v>
      </c>
      <c r="ANQ16" t="n">
        <v>118000</v>
      </c>
      <c r="ANW16" t="n">
        <v>128980</v>
      </c>
      <c r="ANX16" t="n">
        <v>128980</v>
      </c>
      <c r="ANZ16" t="n">
        <v>128980</v>
      </c>
    </row>
    <row r="17">
      <c r="B17" s="5" t="inlineStr">
        <is>
          <t>shorteg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>
        <v>1826000</v>
      </c>
      <c r="AD17" s="22" t="n"/>
      <c r="AE17" s="22" t="n"/>
      <c r="AF17" s="22" t="n"/>
      <c r="AG17" s="22" t="n"/>
      <c r="AH17" s="22" t="n"/>
      <c r="AI17" s="52" t="n"/>
      <c r="AJ17" s="52" t="n"/>
      <c r="AK17" s="52" t="n"/>
      <c r="AL17" s="52" t="n"/>
      <c r="AM17" s="52" t="n"/>
      <c r="AN17" s="52" t="n">
        <v>5535576</v>
      </c>
      <c r="AO17" s="52" t="n">
        <v>20000</v>
      </c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>
        <f>SUM(AI17:BL17)</f>
        <v/>
      </c>
      <c r="BN17" s="52" t="n"/>
      <c r="BO17" s="52" t="n"/>
      <c r="BP17" s="52" t="n"/>
      <c r="BQ17" s="52" t="n"/>
      <c r="BR17" s="52" t="n"/>
      <c r="BS17" s="52" t="n"/>
      <c r="BT17" s="52" t="n"/>
      <c r="BU17" s="52" t="n"/>
      <c r="BV17" s="52" t="n"/>
      <c r="BW17" s="52" t="n"/>
      <c r="BX17" s="52" t="n"/>
      <c r="BY17" s="52" t="n"/>
      <c r="BZ17" s="52" t="n"/>
      <c r="CA17" s="52" t="n"/>
      <c r="CB17" s="52" t="n"/>
      <c r="CC17" s="52" t="n"/>
      <c r="CD17" s="52" t="n"/>
      <c r="CE17" s="52" t="n"/>
      <c r="CF17" s="52" t="n"/>
      <c r="CS17" s="110">
        <f>SUM(BN17:CR17)</f>
        <v/>
      </c>
      <c r="CT17" s="52" t="n"/>
      <c r="CU17" s="52" t="n"/>
      <c r="CV17" s="52" t="n"/>
      <c r="CW17" s="52" t="n"/>
      <c r="CX17" s="52" t="n"/>
      <c r="CY17" s="52" t="n"/>
      <c r="CZ17" s="52" t="n"/>
      <c r="DA17" s="52" t="n"/>
      <c r="DB17" s="52" t="n"/>
      <c r="DC17" s="52" t="n"/>
      <c r="DD17" s="52" t="n"/>
      <c r="DE17" s="52" t="n"/>
      <c r="DF17" s="52" t="n"/>
      <c r="DG17" s="52" t="n"/>
      <c r="DH17" s="52" t="n"/>
      <c r="DI17" s="52" t="n"/>
      <c r="DJ17" s="52" t="n"/>
      <c r="DK17" s="52" t="n"/>
      <c r="DL17" s="52" t="n"/>
      <c r="DM17" s="52" t="n"/>
      <c r="DN17" s="52" t="n"/>
      <c r="DO17" s="52" t="n"/>
      <c r="DP17" s="52" t="n"/>
      <c r="DQ17" s="52" t="n"/>
      <c r="DR17" s="52" t="n"/>
      <c r="DS17" s="52" t="n"/>
      <c r="DT17" s="52" t="n"/>
      <c r="DU17" s="52" t="n"/>
      <c r="DV17" s="52" t="n"/>
      <c r="DW17" s="52" t="n"/>
      <c r="DX17" s="117" t="n"/>
      <c r="EJ17" t="n">
        <v>35067</v>
      </c>
      <c r="EK17" t="n">
        <v>10000</v>
      </c>
      <c r="FD17" s="126">
        <f>SUM(DY17:FC17)</f>
        <v/>
      </c>
      <c r="GG17" t="n">
        <v>600000</v>
      </c>
      <c r="GJ17" s="130">
        <f>SUM(FE17:GI17)</f>
        <v/>
      </c>
      <c r="HN17" s="130">
        <f>SUM(GK17:HM17)</f>
        <v/>
      </c>
      <c r="IT17" s="130">
        <f>SUM(HO17:IS17)</f>
        <v/>
      </c>
      <c r="JY17" s="130">
        <f>SUM(IU17:JX17)</f>
        <v/>
      </c>
      <c r="LE17" s="130">
        <f>SUM(KA17:LD17)</f>
        <v/>
      </c>
      <c r="MJ17" s="130">
        <f>SUM(LF17:MI17)</f>
        <v/>
      </c>
      <c r="NP17" s="130">
        <f>SUM(ML17:NO17)</f>
        <v/>
      </c>
      <c r="OV17" s="130">
        <f>SUM(NR17:OU17)</f>
        <v/>
      </c>
      <c r="OW17" t="n">
        <v>0</v>
      </c>
      <c r="QA17" s="130">
        <f>SUM(OW17:PZ17)</f>
        <v/>
      </c>
      <c r="RG17" s="130">
        <f>SUM(QC17:RF17)</f>
        <v/>
      </c>
      <c r="SM17" s="130">
        <f>SUM(RI17:SL17)</f>
        <v/>
      </c>
      <c r="TS17" s="130">
        <f>SUM(SO17:TR17)</f>
        <v/>
      </c>
      <c r="UY17" s="130">
        <f>SUM(TU17:UX17)</f>
        <v/>
      </c>
      <c r="WB17" s="130">
        <f>SUM(UZ17:WA17)</f>
        <v/>
      </c>
      <c r="XH17" s="130">
        <f>SUM(WF17:XG17)</f>
        <v/>
      </c>
      <c r="XQ17" t="n">
        <v>30000</v>
      </c>
      <c r="YM17" s="130">
        <f>SUM(XK17:YL17)</f>
        <v/>
      </c>
      <c r="ZS17" s="130">
        <f>SUM(YN17:ZR17)</f>
        <v/>
      </c>
      <c r="AAX17" s="130">
        <f>SUM(ZT17:AAW17)</f>
        <v/>
      </c>
      <c r="ACD17" s="130">
        <f>SUM(AAY17:ACC17)</f>
        <v/>
      </c>
      <c r="ADJ17" s="130">
        <f>SUM(ACE17:ADI17)</f>
        <v/>
      </c>
      <c r="AEO17" s="130">
        <f>SUM(ADK17:AEN17)</f>
        <v/>
      </c>
      <c r="AFU17" s="130">
        <f>SUM(AEP17:AFT17)</f>
        <v/>
      </c>
      <c r="AFV17" s="147" t="n">
        <v>2224432</v>
      </c>
      <c r="AGO17" t="n">
        <v>0</v>
      </c>
      <c r="AGZ17" s="130">
        <f>SUM(AFV17:AGY17)</f>
        <v/>
      </c>
      <c r="AIF17" s="145">
        <f>SUM(AHA17:AIE17)</f>
        <v/>
      </c>
      <c r="AJL17" s="145">
        <f>SUM(AIG17:AJK17)</f>
        <v/>
      </c>
      <c r="AKO17" s="145">
        <f>SUM(AJM17:AKN17)</f>
        <v/>
      </c>
      <c r="ALU17" s="145">
        <f>SUM(AKS17:ALT17)</f>
        <v/>
      </c>
      <c r="ALZ17" t="n">
        <v>18000</v>
      </c>
      <c r="AMZ17" s="145">
        <f>SUM(ALV17:AMY17)</f>
        <v/>
      </c>
      <c r="AND17" t="n">
        <v>12635</v>
      </c>
      <c r="ANS17" t="n">
        <v>224000</v>
      </c>
    </row>
    <row r="18">
      <c r="B18" s="5" t="inlineStr">
        <is>
          <t>Toiletpaper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  <c r="BP18" s="52" t="n"/>
      <c r="BQ18" s="52" t="n"/>
      <c r="BR18" s="52" t="n"/>
      <c r="BS18" s="52" t="n"/>
      <c r="BT18" s="52" t="n"/>
      <c r="BU18" s="52" t="n"/>
      <c r="BV18" s="52" t="n"/>
      <c r="BW18" s="52" t="n"/>
      <c r="BX18" s="52" t="n"/>
      <c r="BY18" s="52" t="n"/>
      <c r="BZ18" s="52" t="n"/>
      <c r="CA18" s="52" t="n"/>
      <c r="CB18" s="52" t="n"/>
      <c r="CC18" s="52" t="n"/>
      <c r="CD18" s="52" t="n"/>
      <c r="CE18" s="52" t="n">
        <v>10000</v>
      </c>
      <c r="CF18" s="52" t="n"/>
      <c r="CL18" t="n">
        <v>50000</v>
      </c>
      <c r="CS18" s="110">
        <f>SUM(BN18:CR18)</f>
        <v/>
      </c>
      <c r="CT18" s="52" t="n"/>
      <c r="CU18" s="52" t="n"/>
      <c r="CV18" s="52" t="n"/>
      <c r="CW18" s="52" t="n">
        <v>6000</v>
      </c>
      <c r="CX18" s="52" t="n"/>
      <c r="CY18" s="52" t="n"/>
      <c r="CZ18" s="52" t="n"/>
      <c r="DA18" s="52" t="n"/>
      <c r="DB18" s="52" t="n"/>
      <c r="DC18" s="52" t="n"/>
      <c r="DD18" s="52" t="n"/>
      <c r="DE18" s="52" t="n"/>
      <c r="DF18" s="52" t="n"/>
      <c r="DG18" s="52" t="n"/>
      <c r="DH18" s="52" t="n"/>
      <c r="DI18" s="52" t="n"/>
      <c r="DJ18" s="52" t="n"/>
      <c r="DK18" s="52" t="n"/>
      <c r="DL18" s="52" t="n"/>
      <c r="DM18" s="52" t="n"/>
      <c r="DN18" s="52" t="n"/>
      <c r="DO18" s="52" t="n">
        <v>2000</v>
      </c>
      <c r="DP18" s="52" t="n"/>
      <c r="DQ18" s="52" t="n"/>
      <c r="DR18" s="52" t="n"/>
      <c r="DS18" s="52" t="n"/>
      <c r="DT18" s="52" t="n"/>
      <c r="DU18" s="52" t="n"/>
      <c r="DV18" s="52" t="n"/>
      <c r="DW18" s="52" t="n"/>
      <c r="DX18" s="118">
        <f>SUM(CT18:DW18)</f>
        <v/>
      </c>
      <c r="EE18" t="n">
        <v>60000</v>
      </c>
      <c r="ET18" t="n">
        <v>0</v>
      </c>
      <c r="EU18" t="n">
        <v>10000</v>
      </c>
      <c r="FD18" s="126">
        <f>SUM(DY18:FC18)</f>
        <v/>
      </c>
      <c r="FT18" t="n">
        <v>15000</v>
      </c>
      <c r="GJ18" s="130">
        <f>SUM(FE18:GI18)</f>
        <v/>
      </c>
      <c r="HK18" t="n">
        <v>10000</v>
      </c>
      <c r="HN18" s="130">
        <f>SUM(GK18:HM18)</f>
        <v/>
      </c>
      <c r="IT18" s="130">
        <f>SUM(HO18:IS18)</f>
        <v/>
      </c>
      <c r="JY18" s="130">
        <f>SUM(IU18:JX18)</f>
        <v/>
      </c>
      <c r="LE18" s="130">
        <f>SUM(KA18:LD18)</f>
        <v/>
      </c>
      <c r="MJ18" s="130">
        <f>SUM(LF18:MI18)</f>
        <v/>
      </c>
      <c r="NP18" s="130">
        <f>SUM(ML18:NO18)</f>
        <v/>
      </c>
      <c r="OP18" t="n">
        <v>17000</v>
      </c>
      <c r="OV18" s="130">
        <f>SUM(NR18:OU18)</f>
        <v/>
      </c>
      <c r="OW18" t="n">
        <v>0</v>
      </c>
      <c r="PG18" t="n">
        <v>50000</v>
      </c>
      <c r="QA18" s="130">
        <f>SUM(OW18:PZ18)</f>
        <v/>
      </c>
      <c r="RG18" s="130">
        <f>SUM(QC18:RF18)</f>
        <v/>
      </c>
      <c r="SM18" s="130">
        <f>SUM(RI18:SL18)</f>
        <v/>
      </c>
      <c r="TS18" s="130">
        <f>SUM(SO18:TR18)</f>
        <v/>
      </c>
      <c r="UI18" t="n">
        <v>10000</v>
      </c>
      <c r="UY18" s="130">
        <f>SUM(TU18:UX18)</f>
        <v/>
      </c>
      <c r="WB18" s="130">
        <f>SUM(UZ18:WA18)</f>
        <v/>
      </c>
      <c r="XH18" s="130">
        <f>SUM(WF18:XG18)</f>
        <v/>
      </c>
      <c r="YM18" s="130">
        <f>SUM(XK18:YL18)</f>
        <v/>
      </c>
      <c r="YV18" t="n">
        <v>25000</v>
      </c>
      <c r="ZS18" s="130">
        <f>SUM(YN18:ZR18)</f>
        <v/>
      </c>
      <c r="AAX18" s="130">
        <f>SUM(ZT18:AAW18)</f>
        <v/>
      </c>
      <c r="ACD18" s="130">
        <f>SUM(AAY18:ACC18)</f>
        <v/>
      </c>
      <c r="ACY18" t="n">
        <v>10000</v>
      </c>
      <c r="ADJ18" s="130">
        <f>SUM(ACE18:ADI18)</f>
        <v/>
      </c>
      <c r="AEO18" s="130">
        <f>SUM(ADK18:AEN18)</f>
        <v/>
      </c>
      <c r="AFU18" s="130">
        <f>SUM(AEP18:AFT18)</f>
        <v/>
      </c>
      <c r="AGZ18" s="130">
        <f>SUM(AFV18:AGY18)</f>
        <v/>
      </c>
      <c r="AIF18" s="145">
        <f>SUM(AHA18:AIE18)</f>
        <v/>
      </c>
      <c r="AJL18" s="145">
        <f>SUM(AIG18:AJK18)</f>
        <v/>
      </c>
      <c r="AKO18" s="145">
        <f>SUM(AJM18:AKN18)</f>
        <v/>
      </c>
      <c r="ALU18" s="145">
        <f>SUM(AKS18:ALT18)</f>
        <v/>
      </c>
      <c r="AMZ18" s="145">
        <f>SUM(ALV18:AMY18)</f>
        <v/>
      </c>
      <c r="ANK18" t="n">
        <v>20000</v>
      </c>
    </row>
    <row r="19">
      <c r="B19" s="5" t="inlineStr">
        <is>
          <t>Toilet repair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  <c r="BP19" s="52" t="n"/>
      <c r="BQ19" s="52" t="n"/>
      <c r="BR19" s="52" t="n"/>
      <c r="BS19" s="52" t="n"/>
      <c r="BT19" s="52" t="n"/>
      <c r="BU19" s="52" t="n"/>
      <c r="BV19" s="52" t="n"/>
      <c r="BW19" s="52" t="n"/>
      <c r="BX19" s="52" t="n"/>
      <c r="BY19" s="52" t="n"/>
      <c r="BZ19" s="52" t="n"/>
      <c r="CA19" s="52" t="n"/>
      <c r="CB19" s="52" t="n"/>
      <c r="CC19" s="52" t="n"/>
      <c r="CD19" s="52" t="n"/>
      <c r="CE19" s="52" t="n"/>
      <c r="CF19" s="52" t="n"/>
      <c r="CS19" s="110" t="n"/>
      <c r="CT19" s="52" t="n"/>
      <c r="CU19" s="52" t="n"/>
      <c r="CV19" s="52" t="n"/>
      <c r="CW19" s="52" t="n"/>
      <c r="CX19" s="52" t="n"/>
      <c r="CY19" s="52" t="n"/>
      <c r="CZ19" s="52" t="n"/>
      <c r="DA19" s="52" t="n"/>
      <c r="DB19" s="52" t="n"/>
      <c r="DC19" s="52" t="n"/>
      <c r="DD19" s="52" t="n"/>
      <c r="DE19" s="52" t="n"/>
      <c r="DF19" s="52" t="n"/>
      <c r="DG19" s="52" t="n"/>
      <c r="DH19" s="52" t="n"/>
      <c r="DI19" s="52" t="n"/>
      <c r="DJ19" s="52" t="n"/>
      <c r="DK19" s="52" t="n"/>
      <c r="DL19" s="52" t="n"/>
      <c r="DM19" s="52" t="n"/>
      <c r="DN19" s="52" t="n"/>
      <c r="DO19" s="52" t="n"/>
      <c r="DP19" s="52" t="n"/>
      <c r="DQ19" s="52" t="n"/>
      <c r="DR19" s="52" t="n"/>
      <c r="DS19" s="52" t="n"/>
      <c r="DT19" s="52" t="n"/>
      <c r="DU19" s="52" t="n"/>
      <c r="DV19" s="52" t="n"/>
      <c r="DW19" s="52" t="n"/>
      <c r="DX19" s="118" t="n"/>
      <c r="FD19" s="126" t="n"/>
      <c r="GJ19" s="130" t="n"/>
      <c r="HN19" s="130" t="n"/>
      <c r="IT19" s="130" t="n"/>
      <c r="JY19" s="130" t="n"/>
      <c r="LE19" s="130" t="n"/>
      <c r="MJ19" s="130" t="n"/>
      <c r="NP19" s="130" t="n"/>
      <c r="OV19" s="130" t="n"/>
      <c r="QA19" s="130" t="n"/>
      <c r="RG19" s="130" t="n"/>
      <c r="RJ19" t="n">
        <v>170000</v>
      </c>
      <c r="SM19" s="130" t="n"/>
      <c r="TS19" s="130" t="n"/>
      <c r="UU19" t="n">
        <v>15000</v>
      </c>
      <c r="UY19" s="130" t="n"/>
      <c r="WB19" s="130">
        <f>SUM(UZ19:WA19)</f>
        <v/>
      </c>
      <c r="XH19" s="130">
        <f>SUM(WF19:XG19)</f>
        <v/>
      </c>
      <c r="XS19" t="n">
        <v>30000</v>
      </c>
      <c r="YM19" s="130">
        <f>SUM(XK19:YL19)</f>
        <v/>
      </c>
      <c r="YV19" t="n">
        <v>30000</v>
      </c>
      <c r="ZD19" t="n">
        <v>25000</v>
      </c>
      <c r="ZR19" t="n">
        <v>50000</v>
      </c>
      <c r="ZS19" s="130">
        <f>SUM(YN19:ZR19)</f>
        <v/>
      </c>
      <c r="AAH19" t="n">
        <v>30000</v>
      </c>
      <c r="AAX19" s="130">
        <f>SUM(ZT19:AAW19)</f>
        <v/>
      </c>
      <c r="ABP19" t="n">
        <v>145000</v>
      </c>
      <c r="ACD19" s="130">
        <f>SUM(AAY19:ACC19)</f>
        <v/>
      </c>
      <c r="ACG19" t="n">
        <v>41000</v>
      </c>
      <c r="ACL19" t="n">
        <v>60000</v>
      </c>
      <c r="ACX19" t="n">
        <v>30000</v>
      </c>
      <c r="ADJ19" s="130">
        <f>SUM(ACE19:ADI19)</f>
        <v/>
      </c>
      <c r="AEO19" s="130">
        <f>SUM(ADK19:AEN19)</f>
        <v/>
      </c>
      <c r="AFO19" t="n">
        <v>2500</v>
      </c>
      <c r="AFU19" s="130">
        <f>SUM(AEP19:AFT19)</f>
        <v/>
      </c>
      <c r="AGR19" t="n">
        <v>60000</v>
      </c>
      <c r="AGZ19" s="130">
        <f>SUM(AFV19:AGY19)</f>
        <v/>
      </c>
      <c r="AIF19" s="145">
        <f>SUM(AHA19:AIE19)</f>
        <v/>
      </c>
      <c r="AJL19" s="145">
        <f>SUM(AIG19:AJK19)</f>
        <v/>
      </c>
      <c r="AKE19" t="n">
        <v>150000</v>
      </c>
      <c r="AKO19" s="145">
        <f>SUM(AJM19:AKN19)</f>
        <v/>
      </c>
      <c r="AKR19" t="n">
        <v>25000</v>
      </c>
      <c r="AKS19" t="n">
        <v>65000</v>
      </c>
      <c r="ALU19" s="145">
        <f>SUM(AKS19:ALT19)</f>
        <v/>
      </c>
      <c r="AMZ19" s="145">
        <f>SUM(ALV19:AMY19)</f>
        <v/>
      </c>
    </row>
    <row r="20">
      <c r="B20" s="5" t="inlineStr">
        <is>
          <t>Book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  <c r="BP20" s="52" t="n"/>
      <c r="BQ20" s="52" t="n"/>
      <c r="BR20" s="52" t="n"/>
      <c r="BS20" s="52" t="n"/>
      <c r="BT20" s="52" t="n"/>
      <c r="BU20" s="52" t="n"/>
      <c r="BV20" s="52" t="n"/>
      <c r="BW20" s="52" t="n"/>
      <c r="BX20" s="52" t="n"/>
      <c r="BY20" s="52" t="n"/>
      <c r="BZ20" s="52" t="n"/>
      <c r="CA20" s="52" t="n"/>
      <c r="CB20" s="52" t="n"/>
      <c r="CC20" s="52" t="n"/>
      <c r="CD20" s="52" t="n"/>
      <c r="CE20" s="52" t="n">
        <v>11000</v>
      </c>
      <c r="CF20" s="52" t="n"/>
      <c r="CS20" s="110">
        <f>SUM(BN20:CR20)</f>
        <v/>
      </c>
      <c r="CT20" s="52" t="n"/>
      <c r="CU20" s="52" t="n"/>
      <c r="CV20" s="52" t="n"/>
      <c r="CW20" s="52" t="n"/>
      <c r="CX20" s="52" t="n"/>
      <c r="CY20" s="52" t="n"/>
      <c r="CZ20" s="52" t="n"/>
      <c r="DA20" s="52" t="n"/>
      <c r="DB20" s="52" t="n"/>
      <c r="DC20" s="52" t="n"/>
      <c r="DD20" s="52" t="n"/>
      <c r="DE20" s="52" t="n"/>
      <c r="DF20" s="52" t="n"/>
      <c r="DG20" s="52" t="n"/>
      <c r="DH20" s="52" t="n"/>
      <c r="DI20" s="52" t="n"/>
      <c r="DJ20" s="52" t="n"/>
      <c r="DK20" s="52" t="n"/>
      <c r="DL20" s="52" t="n"/>
      <c r="DM20" s="52" t="n"/>
      <c r="DN20" s="52" t="n"/>
      <c r="DO20" s="52" t="n"/>
      <c r="DP20" s="52" t="n"/>
      <c r="DQ20" s="52" t="n"/>
      <c r="DR20" s="52" t="n"/>
      <c r="DS20" s="52" t="n"/>
      <c r="DT20" s="52" t="n"/>
      <c r="DU20" s="52" t="n"/>
      <c r="DV20" s="52" t="n"/>
      <c r="DW20" s="52" t="n"/>
      <c r="DX20" s="117" t="n"/>
      <c r="FB20" t="n">
        <v>15300</v>
      </c>
      <c r="FD20" s="126">
        <f>SUM(DY20:FC20)</f>
        <v/>
      </c>
      <c r="FJ20" t="n">
        <v>2000</v>
      </c>
      <c r="FV20" t="n">
        <v>11000</v>
      </c>
      <c r="GE20" t="n">
        <v>20000</v>
      </c>
      <c r="GJ20" s="130">
        <f>SUM(FE20:GI20)</f>
        <v/>
      </c>
      <c r="HN20" s="130">
        <f>SUM(GK20:HM20)</f>
        <v/>
      </c>
      <c r="IR20" t="n">
        <v>14000</v>
      </c>
      <c r="IT20" s="130">
        <f>SUM(HO20:IS20)</f>
        <v/>
      </c>
      <c r="JY20" s="130">
        <f>SUM(IU20:JX20)</f>
        <v/>
      </c>
      <c r="KB20" t="n">
        <v>2000</v>
      </c>
      <c r="LE20" s="130">
        <f>SUM(KA20:LD20)</f>
        <v/>
      </c>
      <c r="LH20" t="n">
        <v>9800</v>
      </c>
      <c r="LR20" t="n">
        <v>9400</v>
      </c>
      <c r="MJ20" s="130">
        <f>SUM(LF20:MI20)</f>
        <v/>
      </c>
      <c r="NP20" s="130">
        <f>SUM(ML20:NO20)</f>
        <v/>
      </c>
      <c r="NU20" t="n">
        <v>144000</v>
      </c>
      <c r="OV20" s="130">
        <f>SUM(NR20:OU20)</f>
        <v/>
      </c>
      <c r="OY20" t="n">
        <v>17800</v>
      </c>
      <c r="PP20" t="n">
        <v>8800</v>
      </c>
      <c r="QA20" s="130">
        <f>SUM(OW20:PZ20)</f>
        <v/>
      </c>
      <c r="QQ20" t="n">
        <v>9000</v>
      </c>
      <c r="QZ20" t="n">
        <v>170000</v>
      </c>
      <c r="RA20" t="n">
        <v>16800</v>
      </c>
      <c r="RG20" s="130">
        <f>SUM(QC20:RF20)</f>
        <v/>
      </c>
      <c r="RW20">
        <f>13200+9800</f>
        <v/>
      </c>
      <c r="SM20" s="130">
        <f>SUM(RI20:SL20)</f>
        <v/>
      </c>
      <c r="TS20" s="130">
        <f>SUM(SO20:TR20)</f>
        <v/>
      </c>
      <c r="UY20" s="130">
        <f>SUM(TU20:UX20)</f>
        <v/>
      </c>
      <c r="VM20" t="n">
        <v>13800</v>
      </c>
      <c r="WB20" s="130">
        <f>SUM(UZ20:WA20)</f>
        <v/>
      </c>
      <c r="WG20" t="n">
        <v>11400</v>
      </c>
      <c r="XH20" s="130">
        <f>SUM(WF20:XG20)</f>
        <v/>
      </c>
      <c r="YM20" s="130">
        <f>SUM(XK20:YL20)</f>
        <v/>
      </c>
      <c r="YZ20" t="n">
        <v>13500</v>
      </c>
      <c r="ZS20" s="130">
        <f>SUM(YN20:ZR20)</f>
        <v/>
      </c>
      <c r="AAX20" s="130">
        <f>SUM(ZT20:AAW20)</f>
        <v/>
      </c>
      <c r="ABG20" t="n">
        <v>18500</v>
      </c>
      <c r="ABI20" t="n">
        <v>9600</v>
      </c>
      <c r="ABP20" t="n">
        <v>16000</v>
      </c>
      <c r="ABU20" t="n">
        <v>8000</v>
      </c>
      <c r="ACD20" s="130">
        <f>SUM(AAY20:ACC20)</f>
        <v/>
      </c>
      <c r="ADJ20" s="130">
        <f>SUM(ACE20:ADI20)</f>
        <v/>
      </c>
      <c r="ADW20" t="n">
        <v>50000</v>
      </c>
      <c r="AEO20" s="130">
        <f>SUM(ADK20:AEN20)</f>
        <v/>
      </c>
      <c r="AEU20" t="n">
        <v>5000</v>
      </c>
      <c r="AFU20" s="130">
        <f>SUM(AEP20:AFT20)</f>
        <v/>
      </c>
      <c r="AGZ20" s="130">
        <f>SUM(AFV20:AGY20)</f>
        <v/>
      </c>
      <c r="AHS20" t="n">
        <v>5500</v>
      </c>
      <c r="AIF20" s="145">
        <f>SUM(AHA20:AIE20)</f>
        <v/>
      </c>
      <c r="AJL20" s="145">
        <f>SUM(AIG20:AJK20)</f>
        <v/>
      </c>
      <c r="AJV20" t="n">
        <v>5000</v>
      </c>
      <c r="AKK20" t="n">
        <v>6500</v>
      </c>
      <c r="AKO20" s="145">
        <f>SUM(AJM20:AKN20)</f>
        <v/>
      </c>
      <c r="AKV20" t="n">
        <v>24000</v>
      </c>
      <c r="ALU20" s="145">
        <f>SUM(AKS20:ALT20)</f>
        <v/>
      </c>
      <c r="ALW20" t="n">
        <v>10000</v>
      </c>
      <c r="AMZ20" s="145">
        <f>SUM(ALV20:AMY20)</f>
        <v/>
      </c>
    </row>
    <row r="21">
      <c r="B21" s="5" t="inlineStr">
        <is>
          <t>bucket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  <c r="BP21" s="52" t="n"/>
      <c r="BQ21" s="52" t="n"/>
      <c r="BR21" s="52" t="n"/>
      <c r="BS21" s="52" t="n"/>
      <c r="BT21" s="52" t="n"/>
      <c r="BU21" s="52" t="n"/>
      <c r="BV21" s="52" t="n"/>
      <c r="BW21" s="52" t="n"/>
      <c r="BX21" s="52" t="n"/>
      <c r="BY21" s="52" t="n"/>
      <c r="BZ21" s="52" t="n"/>
      <c r="CA21" s="52" t="n"/>
      <c r="CB21" s="52" t="n"/>
      <c r="CC21" s="52" t="n"/>
      <c r="CD21" s="52" t="n"/>
      <c r="CE21" s="52" t="n">
        <v>12000</v>
      </c>
      <c r="CF21" s="52" t="n"/>
      <c r="CS21" s="110">
        <f>SUM(BN21:CR21)</f>
        <v/>
      </c>
      <c r="CT21" s="52" t="n"/>
      <c r="CU21" s="52" t="n"/>
      <c r="CV21" s="52" t="n"/>
      <c r="CW21" s="52" t="n"/>
      <c r="CX21" s="52" t="n"/>
      <c r="CY21" s="52" t="n"/>
      <c r="CZ21" s="52" t="n"/>
      <c r="DA21" s="52" t="n"/>
      <c r="DB21" s="52" t="n"/>
      <c r="DC21" s="52" t="n"/>
      <c r="DD21" s="52" t="n"/>
      <c r="DE21" s="52" t="n"/>
      <c r="DF21" s="52" t="n"/>
      <c r="DG21" s="52" t="n"/>
      <c r="DH21" s="52" t="n"/>
      <c r="DI21" s="52" t="n"/>
      <c r="DJ21" s="52" t="n"/>
      <c r="DK21" s="52" t="n"/>
      <c r="DL21" s="52" t="n"/>
      <c r="DM21" s="52" t="n"/>
      <c r="DN21" s="52" t="n"/>
      <c r="DO21" s="52" t="n"/>
      <c r="DP21" s="52" t="n"/>
      <c r="DQ21" s="52" t="n"/>
      <c r="DR21" s="52" t="n"/>
      <c r="DS21" s="52" t="n"/>
      <c r="DT21" s="52" t="n"/>
      <c r="DU21" s="52" t="n"/>
      <c r="DV21" s="52" t="n"/>
      <c r="DW21" s="52" t="n"/>
      <c r="DX21" s="117" t="n"/>
      <c r="FD21" s="126">
        <f>SUM(DY21:FC21)</f>
        <v/>
      </c>
      <c r="GJ21" s="130" t="n"/>
      <c r="HN21" s="130">
        <f>SUM(GK21:HM21)</f>
        <v/>
      </c>
      <c r="IT21" s="130">
        <f>SUM(HO21:IS21)</f>
        <v/>
      </c>
      <c r="JY21" s="130">
        <f>SUM(IU21:JX21)</f>
        <v/>
      </c>
      <c r="LE21" s="130">
        <f>SUM(KA21:LD21)</f>
        <v/>
      </c>
      <c r="MJ21" s="130">
        <f>SUM(LF21:MI21)</f>
        <v/>
      </c>
      <c r="NP21" s="130">
        <f>SUM(ML21:NO21)</f>
        <v/>
      </c>
      <c r="OV21" s="130">
        <f>SUM(NR21:OU21)</f>
        <v/>
      </c>
      <c r="QA21" s="130">
        <f>SUM(OW21:PZ21)</f>
        <v/>
      </c>
      <c r="RG21" s="130">
        <f>SUM(QC21:RF21)</f>
        <v/>
      </c>
      <c r="SM21" s="130">
        <f>SUM(RI21:SL21)</f>
        <v/>
      </c>
      <c r="TS21" s="130">
        <f>SUM(SO21:TR21)</f>
        <v/>
      </c>
      <c r="UY21" s="130">
        <f>SUM(TU21:UX21)</f>
        <v/>
      </c>
      <c r="WB21" s="130">
        <f>SUM(UZ21:WA21)</f>
        <v/>
      </c>
      <c r="XH21" s="130">
        <f>SUM(WF21:XG21)</f>
        <v/>
      </c>
      <c r="YM21" s="130">
        <f>SUM(XK21:YL21)</f>
        <v/>
      </c>
      <c r="ZS21" s="130">
        <f>SUM(YN21:ZR21)</f>
        <v/>
      </c>
      <c r="AAX21" s="130">
        <f>SUM(ZT21:AAW21)</f>
        <v/>
      </c>
      <c r="ACD21" s="130">
        <f>SUM(AAY21:ACC21)</f>
        <v/>
      </c>
      <c r="ADJ21" s="130">
        <f>SUM(ACE21:ADI21)</f>
        <v/>
      </c>
      <c r="AEO21" s="130">
        <f>SUM(ADK21:AEN21)</f>
        <v/>
      </c>
      <c r="AFU21" s="130">
        <f>SUM(AEP21:AFT21)</f>
        <v/>
      </c>
      <c r="AGZ21" s="130">
        <f>SUM(AFV21:AGY21)</f>
        <v/>
      </c>
      <c r="AIF21" s="145">
        <f>SUM(AHA21:AIE21)</f>
        <v/>
      </c>
      <c r="AJL21" s="145">
        <f>SUM(AIG21:AJK21)</f>
        <v/>
      </c>
      <c r="AJV21" t="n">
        <v>25000</v>
      </c>
      <c r="AKO21" s="145">
        <f>SUM(AJM21:AKN21)</f>
        <v/>
      </c>
      <c r="ALU21" s="145">
        <f>SUM(AKS21:ALT21)</f>
        <v/>
      </c>
      <c r="AMZ21" s="145">
        <f>SUM(ALV21:AMY21)</f>
        <v/>
      </c>
      <c r="ANF21" t="n">
        <v>26000</v>
      </c>
    </row>
    <row r="22">
      <c r="B22" s="5" t="inlineStr">
        <is>
          <t>cleaning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  <c r="BP22" s="52" t="n"/>
      <c r="BQ22" s="52" t="n"/>
      <c r="BR22" s="52" t="n"/>
      <c r="BS22" s="52" t="n"/>
      <c r="BT22" s="52" t="n"/>
      <c r="BU22" s="52" t="n"/>
      <c r="BV22" s="52" t="n"/>
      <c r="BW22" s="52" t="n"/>
      <c r="BX22" s="52" t="n"/>
      <c r="BY22" s="52" t="n"/>
      <c r="BZ22" s="52" t="n"/>
      <c r="CA22" s="52" t="n"/>
      <c r="CB22" s="52" t="n"/>
      <c r="CC22" s="52" t="n"/>
      <c r="CD22" s="52" t="n">
        <v>50000</v>
      </c>
      <c r="CE22" s="52" t="n"/>
      <c r="CF22" s="52" t="n"/>
      <c r="CS22" s="110">
        <f>SUM(BN22:CR22)</f>
        <v/>
      </c>
      <c r="CT22" s="52" t="n"/>
      <c r="CU22" s="52" t="n"/>
      <c r="CV22" s="52" t="n"/>
      <c r="CW22" s="52" t="n"/>
      <c r="CX22" s="52" t="n"/>
      <c r="CY22" s="52" t="n"/>
      <c r="CZ22" s="52" t="n"/>
      <c r="DA22" s="52" t="n"/>
      <c r="DB22" s="52" t="n"/>
      <c r="DC22" s="52" t="n"/>
      <c r="DD22" s="52" t="n"/>
      <c r="DE22" s="52" t="n"/>
      <c r="DF22" s="52" t="n"/>
      <c r="DG22" s="52" t="n"/>
      <c r="DH22" s="52" t="n"/>
      <c r="DI22" s="52" t="n"/>
      <c r="DJ22" s="52" t="n"/>
      <c r="DK22" s="52" t="n"/>
      <c r="DL22" s="52" t="n"/>
      <c r="DM22" s="52" t="n"/>
      <c r="DN22" s="52" t="n"/>
      <c r="DO22" s="52" t="n"/>
      <c r="DP22" s="52" t="n"/>
      <c r="DQ22" s="52" t="n"/>
      <c r="DR22" s="52" t="n"/>
      <c r="DS22" s="52" t="n"/>
      <c r="DT22" s="52" t="n"/>
      <c r="DU22" s="52" t="n"/>
      <c r="DV22" s="52" t="n"/>
      <c r="DW22" s="52" t="n"/>
      <c r="DX22" s="117" t="n"/>
      <c r="FD22" s="126">
        <f>SUM(DY22:FC22)</f>
        <v/>
      </c>
      <c r="GA22" t="n">
        <v>1000</v>
      </c>
      <c r="GE22" t="n">
        <v>20000</v>
      </c>
      <c r="GJ22" s="130">
        <f>SUM(FE22:GI22)</f>
        <v/>
      </c>
      <c r="GP22" t="n">
        <v>20000</v>
      </c>
      <c r="GT22" t="n">
        <v>8500</v>
      </c>
      <c r="GZ22" t="n">
        <v>90000</v>
      </c>
      <c r="HD22" t="n">
        <v>11000</v>
      </c>
      <c r="HJ22" t="n">
        <v>160000</v>
      </c>
      <c r="HN22" s="130">
        <f>SUM(GK22:HM22)</f>
        <v/>
      </c>
      <c r="IB22" t="n">
        <v>15000</v>
      </c>
      <c r="ID22" t="n">
        <v>200000</v>
      </c>
      <c r="IT22" s="130">
        <f>SUM(HO22:IS22)</f>
        <v/>
      </c>
      <c r="JY22" s="130">
        <f>SUM(IU22:JX22)</f>
        <v/>
      </c>
      <c r="KE22" t="n">
        <v>60000</v>
      </c>
      <c r="KQ22" t="n">
        <v>15000</v>
      </c>
      <c r="KS22" t="n">
        <v>30000</v>
      </c>
      <c r="KT22" t="n">
        <v>20000</v>
      </c>
      <c r="LE22" s="130">
        <f>SUM(KA22:LD22)</f>
        <v/>
      </c>
      <c r="MJ22" s="130">
        <f>SUM(LF22:MI22)</f>
        <v/>
      </c>
      <c r="NP22" s="130">
        <f>SUM(ML22:NO22)</f>
        <v/>
      </c>
      <c r="OP22" t="n">
        <v>54000</v>
      </c>
      <c r="OT22" t="n">
        <v>170000</v>
      </c>
      <c r="OV22" s="130">
        <f>SUM(NR22:OU22)</f>
        <v/>
      </c>
      <c r="QA22" s="130">
        <f>SUM(OW22:PZ22)</f>
        <v/>
      </c>
      <c r="QB22" t="n">
        <v>0</v>
      </c>
      <c r="RG22" s="130">
        <f>SUM(QC22:RF22)</f>
        <v/>
      </c>
      <c r="SM22" s="130">
        <f>SUM(RI22:SL22)</f>
        <v/>
      </c>
      <c r="TS22" s="130">
        <f>SUM(SO22:TR22)</f>
        <v/>
      </c>
      <c r="UY22" s="130">
        <f>SUM(TU22:UX22)</f>
        <v/>
      </c>
      <c r="WB22" s="130">
        <f>SUM(UZ22:WA22)</f>
        <v/>
      </c>
      <c r="WC22" t="n">
        <v>5000</v>
      </c>
      <c r="WD22" t="n">
        <v>5000</v>
      </c>
      <c r="WE22" t="n">
        <v>5000</v>
      </c>
      <c r="WI22" t="n">
        <v>22000</v>
      </c>
      <c r="XB22" t="n">
        <v>25000</v>
      </c>
      <c r="XH22" s="130">
        <f>SUM(WF22:XG22)</f>
        <v/>
      </c>
      <c r="YM22" s="130">
        <f>SUM(XK22:YL22)</f>
        <v/>
      </c>
      <c r="YQ22" t="n">
        <v>5000</v>
      </c>
      <c r="YR22" t="n">
        <v>5000</v>
      </c>
      <c r="YS22" t="n">
        <v>5000</v>
      </c>
      <c r="ZJ22" t="n">
        <v>10000</v>
      </c>
      <c r="ZS22" s="130">
        <f>SUM(YN22:ZR22)</f>
        <v/>
      </c>
      <c r="AAF22" t="n">
        <v>40000</v>
      </c>
      <c r="AAX22" s="130">
        <f>SUM(ZT22:AAW22)</f>
        <v/>
      </c>
      <c r="ACD22" s="130">
        <f>SUM(AAY22:ACC22)</f>
        <v/>
      </c>
      <c r="ACT22" t="n">
        <v>7000</v>
      </c>
      <c r="ADJ22" s="130">
        <f>SUM(ACE22:ADI22)</f>
        <v/>
      </c>
      <c r="AEO22" s="130">
        <f>SUM(ADK22:AEN22)</f>
        <v/>
      </c>
      <c r="AFU22" s="130">
        <f>SUM(AEP22:AFT22)</f>
        <v/>
      </c>
      <c r="AGZ22" s="130">
        <f>SUM(AFV22:AGY22)</f>
        <v/>
      </c>
      <c r="AIF22" s="145">
        <f>SUM(AHA22:AIE22)</f>
        <v/>
      </c>
      <c r="AIJ22" t="n">
        <v>30000</v>
      </c>
      <c r="AJB22" t="n">
        <v>60000</v>
      </c>
      <c r="AJL22" s="145">
        <f>SUM(AIG22:AJK22)</f>
        <v/>
      </c>
      <c r="AKO22" s="145">
        <f>SUM(AJM22:AKN22)</f>
        <v/>
      </c>
      <c r="ALS22" t="n">
        <v>60000</v>
      </c>
      <c r="ALU22" s="145">
        <f>SUM(AKS22:ALT22)</f>
        <v/>
      </c>
      <c r="AMT22" t="n">
        <v>58000</v>
      </c>
      <c r="AMV22" t="n">
        <v>2000</v>
      </c>
      <c r="AMZ22" s="145">
        <f>SUM(ALV22:AMY22)</f>
        <v/>
      </c>
    </row>
    <row r="23">
      <c r="B23" s="5" t="inlineStr">
        <is>
          <t>URA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  <c r="BP23" s="52" t="n"/>
      <c r="BQ23" s="52" t="n"/>
      <c r="BR23" s="52" t="n"/>
      <c r="BS23" s="52" t="n"/>
      <c r="BT23" s="52" t="n"/>
      <c r="BU23" s="52" t="n"/>
      <c r="BV23" s="52" t="n"/>
      <c r="BW23" s="52" t="n">
        <v>400000</v>
      </c>
      <c r="BX23" s="52" t="n"/>
      <c r="BY23" s="52" t="n"/>
      <c r="BZ23" s="52" t="n"/>
      <c r="CA23" s="52" t="n"/>
      <c r="CB23" s="52" t="n"/>
      <c r="CC23" s="52" t="n"/>
      <c r="CD23" s="52" t="n"/>
      <c r="CE23" s="52" t="n"/>
      <c r="CF23" s="52" t="n"/>
      <c r="CS23" s="110">
        <f>SUM(BN23:CR23)</f>
        <v/>
      </c>
      <c r="CT23" s="52" t="n"/>
      <c r="CU23" s="52" t="n"/>
      <c r="CV23" s="52" t="n"/>
      <c r="CW23" s="52" t="n"/>
      <c r="CX23" s="52" t="n"/>
      <c r="CY23" s="52" t="n"/>
      <c r="CZ23" s="52" t="n"/>
      <c r="DA23" s="52" t="n"/>
      <c r="DB23" s="52" t="n"/>
      <c r="DC23" s="52" t="n"/>
      <c r="DD23" s="52" t="n"/>
      <c r="DE23" s="52" t="n"/>
      <c r="DF23" s="52" t="n"/>
      <c r="DG23" s="52" t="n"/>
      <c r="DH23" s="52" t="n"/>
      <c r="DI23" s="52" t="n"/>
      <c r="DJ23" s="52" t="n"/>
      <c r="DK23" s="52" t="n"/>
      <c r="DL23" s="52" t="n"/>
      <c r="DM23" s="52" t="n"/>
      <c r="DN23" s="52" t="n"/>
      <c r="DO23" s="52" t="n"/>
      <c r="DP23" s="52" t="n"/>
      <c r="DQ23" s="52" t="n"/>
      <c r="DR23" s="52" t="n"/>
      <c r="DS23" s="52" t="n"/>
      <c r="DT23" s="52" t="n"/>
      <c r="DU23" s="52" t="n"/>
      <c r="DV23" s="52" t="n"/>
      <c r="DW23" s="52" t="n"/>
      <c r="DX23" s="117" t="n"/>
      <c r="FD23" s="126">
        <f>SUM(DY23:FC23)</f>
        <v/>
      </c>
      <c r="GJ23" s="130" t="n"/>
      <c r="HN23" s="130">
        <f>SUM(GK23:HM23)</f>
        <v/>
      </c>
      <c r="IT23" s="130">
        <f>SUM(HO23:IS23)</f>
        <v/>
      </c>
      <c r="JY23" s="130">
        <f>SUM(IU23:JX23)</f>
        <v/>
      </c>
      <c r="LE23" s="130">
        <f>SUM(KA23:LD23)</f>
        <v/>
      </c>
      <c r="MJ23" s="130">
        <f>SUM(LF23:MI23)</f>
        <v/>
      </c>
      <c r="NP23" s="130">
        <f>SUM(ML23:NO23)</f>
        <v/>
      </c>
      <c r="OV23" s="130">
        <f>SUM(NR23:OU23)</f>
        <v/>
      </c>
      <c r="QA23" s="130">
        <f>SUM(OW23:PZ23)</f>
        <v/>
      </c>
      <c r="RG23" s="130">
        <f>SUM(QC23:RF23)</f>
        <v/>
      </c>
      <c r="SM23" s="130">
        <f>SUM(RI23:SL23)</f>
        <v/>
      </c>
      <c r="TS23" s="130">
        <f>SUM(SO23:TR23)</f>
        <v/>
      </c>
      <c r="UY23" s="130">
        <f>SUM(TU23:UX23)</f>
        <v/>
      </c>
      <c r="WB23" s="130">
        <f>SUM(UZ23:WA23)</f>
        <v/>
      </c>
      <c r="XH23" s="130">
        <f>SUM(WF23:XG23)</f>
        <v/>
      </c>
      <c r="YM23" s="130">
        <f>SUM(XK23:YL23)</f>
        <v/>
      </c>
      <c r="ZS23" s="130">
        <f>SUM(YN23:ZR23)</f>
        <v/>
      </c>
      <c r="AAX23" s="130">
        <f>SUM(ZT23:AAW23)</f>
        <v/>
      </c>
      <c r="ACD23" s="130">
        <f>SUM(AAY23:ACC23)</f>
        <v/>
      </c>
      <c r="ADJ23" s="130">
        <f>SUM(ACE23:ADI23)</f>
        <v/>
      </c>
      <c r="AEO23" s="130">
        <f>SUM(ADK23:AEN23)</f>
        <v/>
      </c>
      <c r="AFU23" s="130">
        <f>SUM(AEP23:AFT23)</f>
        <v/>
      </c>
      <c r="AGZ23" s="130">
        <f>SUM(AFV23:AGY23)</f>
        <v/>
      </c>
      <c r="AIF23" s="145">
        <f>SUM(AHA23:AIE23)</f>
        <v/>
      </c>
      <c r="AJL23" s="145">
        <f>SUM(AIG23:AJK23)</f>
        <v/>
      </c>
      <c r="AKO23" s="145">
        <f>SUM(AJM23:AKN23)</f>
        <v/>
      </c>
      <c r="ALU23" s="145">
        <f>SUM(AKS23:ALT23)</f>
        <v/>
      </c>
      <c r="AMZ23" s="145">
        <f>SUM(ALV23:AMY23)</f>
        <v/>
      </c>
    </row>
    <row r="24">
      <c r="B24" s="5" t="inlineStr">
        <is>
          <t>slashing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  <c r="BP24" s="52" t="n"/>
      <c r="BQ24" s="52" t="n"/>
      <c r="BR24" s="52" t="n"/>
      <c r="BS24" s="52" t="n"/>
      <c r="BT24" s="52" t="n"/>
      <c r="BU24" s="52" t="n"/>
      <c r="BV24" s="52" t="n"/>
      <c r="BW24" s="52" t="n"/>
      <c r="BX24" s="52" t="n"/>
      <c r="BY24" s="52" t="n"/>
      <c r="BZ24" s="52" t="n"/>
      <c r="CA24" s="52" t="n"/>
      <c r="CB24" s="52" t="n"/>
      <c r="CC24" s="52" t="n"/>
      <c r="CD24" s="52" t="n"/>
      <c r="CE24" s="52" t="n"/>
      <c r="CF24" s="52" t="n"/>
      <c r="CK24" t="n">
        <v>20000</v>
      </c>
      <c r="CR24" t="n">
        <v>0</v>
      </c>
      <c r="CS24" s="110">
        <f>SUM(BN24:CR24)</f>
        <v/>
      </c>
      <c r="CT24" s="52" t="n"/>
      <c r="CU24" s="52" t="n"/>
      <c r="CV24" s="52" t="n"/>
      <c r="CW24" s="52" t="n"/>
      <c r="CX24" s="52" t="n"/>
      <c r="CY24" s="52" t="n"/>
      <c r="CZ24" s="52" t="n"/>
      <c r="DA24" s="52" t="n">
        <v>20000</v>
      </c>
      <c r="DB24" s="52" t="n"/>
      <c r="DC24" s="52" t="n"/>
      <c r="DD24" s="52" t="n"/>
      <c r="DE24" s="52" t="n"/>
      <c r="DF24" s="52" t="n"/>
      <c r="DG24" s="52" t="n"/>
      <c r="DH24" s="52" t="n"/>
      <c r="DI24" s="52" t="n"/>
      <c r="DJ24" s="52" t="n"/>
      <c r="DK24" s="52" t="n"/>
      <c r="DL24" s="52" t="n"/>
      <c r="DM24" s="52" t="n"/>
      <c r="DN24" s="52" t="n"/>
      <c r="DO24" s="52" t="n"/>
      <c r="DP24" s="52" t="n"/>
      <c r="DQ24" s="52" t="n"/>
      <c r="DR24" s="52" t="n"/>
      <c r="DS24" s="52" t="n"/>
      <c r="DT24" s="52" t="n"/>
      <c r="DU24" s="52" t="n">
        <v>20000</v>
      </c>
      <c r="DV24" s="52" t="n"/>
      <c r="DW24" s="52" t="n"/>
      <c r="DX24" s="118">
        <f>SUM(CT24:DW24)</f>
        <v/>
      </c>
      <c r="EN24" t="n">
        <v>20000</v>
      </c>
      <c r="FD24" s="126">
        <f>SUM(DY24:FC24)</f>
        <v/>
      </c>
      <c r="FO24" t="n">
        <v>20000</v>
      </c>
      <c r="GJ24" s="130">
        <f>SUM(FE24:GI24)</f>
        <v/>
      </c>
      <c r="HB24" t="n">
        <v>20000</v>
      </c>
      <c r="HN24" s="130">
        <f>SUM(GK24:HM24)</f>
        <v/>
      </c>
      <c r="HO24" t="n">
        <v>20000</v>
      </c>
      <c r="II24" t="n">
        <v>20000</v>
      </c>
      <c r="IT24" s="130">
        <f>SUM(HO24:IS24)</f>
        <v/>
      </c>
      <c r="JJ24" t="n">
        <v>20000</v>
      </c>
      <c r="JY24" s="130">
        <f>SUM(IU24:JX24)</f>
        <v/>
      </c>
      <c r="KM24" t="n">
        <v>20000</v>
      </c>
      <c r="LE24" s="130">
        <f>SUM(KA24:LD24)</f>
        <v/>
      </c>
      <c r="LX24" t="n">
        <v>20000</v>
      </c>
      <c r="MJ24" s="130">
        <f>SUM(LF24:MI24)</f>
        <v/>
      </c>
      <c r="NF24" t="n">
        <v>20000</v>
      </c>
      <c r="NP24" s="130">
        <f>SUM(ML24:NO24)</f>
        <v/>
      </c>
      <c r="OD24" t="n">
        <v>20000</v>
      </c>
      <c r="OU24" t="n">
        <v>20000</v>
      </c>
      <c r="OV24" s="130">
        <f>SUM(NR24:OU24)</f>
        <v/>
      </c>
      <c r="PT24" t="n">
        <v>20000</v>
      </c>
      <c r="QA24" s="130">
        <f>SUM(OW24:PZ24)</f>
        <v/>
      </c>
      <c r="QM24" t="n">
        <v>20000</v>
      </c>
      <c r="RG24" s="130">
        <f>SUM(QC24:RF24)</f>
        <v/>
      </c>
      <c r="RK24" t="n">
        <v>20000</v>
      </c>
      <c r="SK24" t="n">
        <v>20000</v>
      </c>
      <c r="SM24" s="130">
        <f>SUM(RI24:SL24)</f>
        <v/>
      </c>
      <c r="TS24" s="130">
        <f>SUM(SO24:TR24)</f>
        <v/>
      </c>
      <c r="UT24" t="n">
        <v>20000</v>
      </c>
      <c r="UY24" s="130">
        <f>SUM(TU24:UX24)</f>
        <v/>
      </c>
      <c r="WB24" s="130">
        <f>SUM(UZ24:WA24)</f>
        <v/>
      </c>
      <c r="XH24" s="130">
        <f>SUM(WF24:XG24)</f>
        <v/>
      </c>
      <c r="XJ24" t="n">
        <v>20000</v>
      </c>
      <c r="YF24" t="n">
        <v>20000</v>
      </c>
      <c r="YM24" s="130">
        <f>SUM(XK24:YL24)</f>
        <v/>
      </c>
      <c r="ZC24" t="n">
        <v>20000</v>
      </c>
      <c r="ZR24" t="n">
        <v>20000</v>
      </c>
      <c r="ZS24" s="130">
        <f>SUM(YN24:ZR24)</f>
        <v/>
      </c>
      <c r="AAX24" s="130">
        <f>SUM(ZT24:AAW24)</f>
        <v/>
      </c>
      <c r="ACD24" s="130">
        <f>SUM(AAY24:ACC24)</f>
        <v/>
      </c>
      <c r="ADE24" t="n">
        <v>20000</v>
      </c>
      <c r="ADJ24" s="130">
        <f>SUM(ACE24:ADI24)</f>
        <v/>
      </c>
      <c r="AEO24" s="130">
        <f>SUM(ADK24:AEN24)</f>
        <v/>
      </c>
      <c r="AFL24" t="n">
        <v>20000</v>
      </c>
      <c r="AFU24" s="130">
        <f>SUM(AEP24:AFT24)</f>
        <v/>
      </c>
      <c r="AGJ24" t="n">
        <v>20000</v>
      </c>
      <c r="AGZ24" s="130">
        <f>SUM(AFV24:AGY24)</f>
        <v/>
      </c>
      <c r="AID24" t="n">
        <v>20000</v>
      </c>
      <c r="AIF24" s="145">
        <f>SUM(AHA24:AIE24)</f>
        <v/>
      </c>
      <c r="AJD24" t="n">
        <v>20000</v>
      </c>
      <c r="AJL24" s="145">
        <f>SUM(AIG24:AJK24)</f>
        <v/>
      </c>
      <c r="AKL24" t="n">
        <v>20000</v>
      </c>
      <c r="AKO24" s="145">
        <f>SUM(AJM24:AKN24)</f>
        <v/>
      </c>
      <c r="ALM24" t="n">
        <v>20000</v>
      </c>
      <c r="ALU24" s="145">
        <f>SUM(AKS24:ALT24)</f>
        <v/>
      </c>
      <c r="AMQ24" t="n">
        <v>20000</v>
      </c>
      <c r="AMZ24" s="145">
        <f>SUM(ALV24:AMY24)</f>
        <v/>
      </c>
      <c r="ANN24" t="n">
        <v>20000</v>
      </c>
    </row>
    <row r="25">
      <c r="B25" s="5" t="inlineStr">
        <is>
          <t>ummeme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  <c r="BP25" s="52" t="n"/>
      <c r="BQ25" s="52" t="n"/>
      <c r="BR25" s="52" t="n"/>
      <c r="BS25" s="52" t="n"/>
      <c r="BT25" s="52" t="n"/>
      <c r="BU25" s="52" t="n"/>
      <c r="BV25" s="52" t="n"/>
      <c r="BW25" s="52" t="n"/>
      <c r="BX25" s="52" t="n"/>
      <c r="BY25" s="52" t="n"/>
      <c r="BZ25" s="52" t="n"/>
      <c r="CA25" s="52" t="n"/>
      <c r="CB25" s="52" t="n"/>
      <c r="CC25" s="52" t="n"/>
      <c r="CD25" s="52" t="n"/>
      <c r="CE25" s="52" t="n"/>
      <c r="CF25" s="52" t="n"/>
      <c r="CS25" s="110" t="n"/>
      <c r="CT25" s="52" t="n"/>
      <c r="CU25" s="52" t="n"/>
      <c r="CV25" s="52" t="n"/>
      <c r="CW25" s="52" t="n"/>
      <c r="CX25" s="52" t="n"/>
      <c r="CY25" s="52" t="n"/>
      <c r="CZ25" s="52" t="n"/>
      <c r="DA25" s="52" t="n"/>
      <c r="DB25" s="52" t="n"/>
      <c r="DC25" s="52" t="n"/>
      <c r="DD25" s="52" t="n"/>
      <c r="DE25" s="52" t="n"/>
      <c r="DF25" s="52" t="n"/>
      <c r="DG25" s="52" t="n"/>
      <c r="DH25" s="52" t="n"/>
      <c r="DI25" s="52" t="n"/>
      <c r="DJ25" s="52" t="n"/>
      <c r="DK25" s="52" t="n"/>
      <c r="DL25" s="52" t="n"/>
      <c r="DM25" s="52" t="n"/>
      <c r="DN25" s="52" t="n"/>
      <c r="DO25" s="52" t="n"/>
      <c r="DP25" s="52" t="n"/>
      <c r="DQ25" s="52" t="n"/>
      <c r="DR25" s="52" t="n"/>
      <c r="DS25" s="52" t="n"/>
      <c r="DT25" s="52" t="n"/>
      <c r="DU25" s="52" t="n">
        <v>290000</v>
      </c>
      <c r="DV25" s="52" t="n"/>
      <c r="DW25" s="52" t="n"/>
      <c r="DX25" s="118">
        <f>SUM(CT25:DW25)</f>
        <v/>
      </c>
      <c r="EI25" t="n">
        <v>40000</v>
      </c>
      <c r="FD25" s="126">
        <f>SUM(DY25:FC25)</f>
        <v/>
      </c>
      <c r="GJ25" s="130" t="n"/>
      <c r="HN25" s="130">
        <f>SUM(GK25:HM25)</f>
        <v/>
      </c>
      <c r="IT25" s="130">
        <f>SUM(HO25:IS25)</f>
        <v/>
      </c>
      <c r="JY25" s="130">
        <f>SUM(IU25:JX25)</f>
        <v/>
      </c>
      <c r="LE25" s="130">
        <f>SUM(KA25:LD25)</f>
        <v/>
      </c>
      <c r="MJ25" s="130">
        <f>SUM(LF25:MI25)</f>
        <v/>
      </c>
      <c r="NP25" s="130">
        <f>SUM(ML25:NO25)</f>
        <v/>
      </c>
      <c r="OV25" s="130">
        <f>SUM(NR25:OU25)</f>
        <v/>
      </c>
      <c r="QA25" s="130">
        <f>SUM(OW25:PZ25)</f>
        <v/>
      </c>
      <c r="RG25" s="130">
        <f>SUM(QC25:RF25)</f>
        <v/>
      </c>
      <c r="SM25" s="130">
        <f>SUM(RI25:SL25)</f>
        <v/>
      </c>
      <c r="TQ25" t="n">
        <v>20000</v>
      </c>
      <c r="TS25" s="130">
        <f>SUM(SO25:TR25)</f>
        <v/>
      </c>
      <c r="UY25" s="130">
        <f>SUM(TU25:UX25)</f>
        <v/>
      </c>
      <c r="WB25" s="130">
        <f>SUM(UZ25:WA25)</f>
        <v/>
      </c>
      <c r="XH25" s="130">
        <f>SUM(WF25:XG25)</f>
        <v/>
      </c>
      <c r="YM25" s="130">
        <f>SUM(XK25:YL25)</f>
        <v/>
      </c>
      <c r="ZS25" s="130">
        <f>SUM(YN25:ZR25)</f>
        <v/>
      </c>
      <c r="AAH25" t="n">
        <v>10000</v>
      </c>
      <c r="AAX25" s="130">
        <f>SUM(ZT25:AAW25)</f>
        <v/>
      </c>
      <c r="ACD25" s="130">
        <f>SUM(AAY25:ACC25)</f>
        <v/>
      </c>
      <c r="ADJ25" s="130">
        <f>SUM(ACE25:ADI25)</f>
        <v/>
      </c>
      <c r="AEO25" s="130">
        <f>SUM(ADK25:AEN25)</f>
        <v/>
      </c>
      <c r="AFU25" s="130">
        <f>SUM(AEP25:AFT25)</f>
        <v/>
      </c>
      <c r="AGZ25" s="130">
        <f>SUM(AFV25:AGY25)</f>
        <v/>
      </c>
      <c r="AIF25" s="145">
        <f>SUM(AHA25:AIE25)</f>
        <v/>
      </c>
      <c r="AJL25" s="145">
        <f>SUM(AIG25:AJK25)</f>
        <v/>
      </c>
      <c r="AKO25" s="145">
        <f>SUM(AJM25:AKN25)</f>
        <v/>
      </c>
      <c r="ALU25" s="145">
        <f>SUM(AKS25:ALT25)</f>
        <v/>
      </c>
      <c r="AMZ25" s="145">
        <f>SUM(ALV25:AMY25)</f>
        <v/>
      </c>
    </row>
    <row r="26">
      <c r="B26" s="5" t="inlineStr">
        <is>
          <t>padlock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  <c r="BP26" s="52" t="n"/>
      <c r="BQ26" s="52" t="n"/>
      <c r="BR26" s="52" t="n"/>
      <c r="BS26" s="52" t="n"/>
      <c r="BT26" s="52" t="n"/>
      <c r="BU26" s="52" t="n"/>
      <c r="BV26" s="52" t="n"/>
      <c r="BW26" s="52" t="n"/>
      <c r="BX26" s="52" t="n"/>
      <c r="BY26" s="52" t="n"/>
      <c r="BZ26" s="52" t="n"/>
      <c r="CA26" s="52" t="n"/>
      <c r="CB26" s="52" t="n"/>
      <c r="CC26" s="52" t="n"/>
      <c r="CD26" s="52" t="n"/>
      <c r="CE26" s="52" t="n"/>
      <c r="CF26" s="52" t="n"/>
      <c r="CS26" s="110" t="n"/>
      <c r="CT26" s="52" t="n"/>
      <c r="CU26" s="52" t="n"/>
      <c r="CV26" s="52" t="n"/>
      <c r="CW26" s="52" t="n"/>
      <c r="CX26" s="52" t="n"/>
      <c r="CY26" s="52" t="n"/>
      <c r="CZ26" s="52" t="n"/>
      <c r="DA26" s="52" t="n"/>
      <c r="DB26" s="52" t="n"/>
      <c r="DC26" s="52" t="n"/>
      <c r="DD26" s="52" t="n"/>
      <c r="DE26" s="52" t="n"/>
      <c r="DF26" s="52" t="n"/>
      <c r="DG26" s="52" t="n"/>
      <c r="DH26" s="52" t="n"/>
      <c r="DI26" s="52" t="n"/>
      <c r="DJ26" s="52" t="n"/>
      <c r="DK26" s="52" t="n"/>
      <c r="DL26" s="52" t="n"/>
      <c r="DM26" s="52" t="n"/>
      <c r="DN26" s="52" t="n"/>
      <c r="DO26" s="52" t="n"/>
      <c r="DP26" s="52" t="n"/>
      <c r="DQ26" s="52" t="n"/>
      <c r="DR26" s="52" t="n"/>
      <c r="DS26" s="52" t="n"/>
      <c r="DT26" s="52" t="n"/>
      <c r="DU26" s="52" t="n"/>
      <c r="DV26" s="52" t="n"/>
      <c r="DW26" s="52" t="n"/>
      <c r="DX26" s="118" t="n"/>
      <c r="EJ26" t="n">
        <v>100000</v>
      </c>
      <c r="FD26" s="126">
        <f>SUM(DY26:FC26)</f>
        <v/>
      </c>
      <c r="GC26" t="n">
        <v>20000</v>
      </c>
      <c r="GF26" t="n">
        <v>15000</v>
      </c>
      <c r="GJ26" s="130">
        <f>SUM(FE26:GI26)</f>
        <v/>
      </c>
      <c r="HL26" t="n">
        <v>30000</v>
      </c>
      <c r="HN26" s="130">
        <f>SUM(GK26:HM26)</f>
        <v/>
      </c>
      <c r="IT26" s="130">
        <f>SUM(HO26:IS26)</f>
        <v/>
      </c>
      <c r="JY26" s="130">
        <f>SUM(IU26:JX26)</f>
        <v/>
      </c>
      <c r="LE26" s="130">
        <f>SUM(KA26:LD26)</f>
        <v/>
      </c>
      <c r="MG26" t="n">
        <v>25000</v>
      </c>
      <c r="MJ26" s="130">
        <f>SUM(LF26:MI26)</f>
        <v/>
      </c>
      <c r="NP26" s="130">
        <f>SUM(ML26:NO26)</f>
        <v/>
      </c>
      <c r="OV26" s="130">
        <f>SUM(NR26:OU26)</f>
        <v/>
      </c>
      <c r="PL26" t="n">
        <v>10000</v>
      </c>
      <c r="PM26" t="n">
        <v>0</v>
      </c>
      <c r="PN26" t="n">
        <v>5000</v>
      </c>
      <c r="QA26" s="130">
        <f>SUM(OW26:PZ26)</f>
        <v/>
      </c>
      <c r="QY26" t="n">
        <v>7000</v>
      </c>
      <c r="RG26" s="130">
        <f>SUM(QC26:RF26)</f>
        <v/>
      </c>
      <c r="SM26" s="130">
        <f>SUM(RI26:SL26)</f>
        <v/>
      </c>
      <c r="TS26" s="130">
        <f>SUM(SO26:TR26)</f>
        <v/>
      </c>
      <c r="TU26" t="n">
        <v>6000</v>
      </c>
      <c r="UG26" t="n">
        <v>5000</v>
      </c>
      <c r="UY26" s="130">
        <f>SUM(TU26:UX26)</f>
        <v/>
      </c>
      <c r="WB26" s="130">
        <f>SUM(UZ26:WA26)</f>
        <v/>
      </c>
      <c r="WL26" t="n">
        <v>5000</v>
      </c>
      <c r="WU26" t="n">
        <v>10000</v>
      </c>
      <c r="XH26" s="130">
        <f>SUM(WF26:XG26)</f>
        <v/>
      </c>
      <c r="YF26" t="n">
        <v>60000</v>
      </c>
      <c r="YM26" s="130">
        <f>SUM(XK26:YL26)</f>
        <v/>
      </c>
      <c r="ZS26" s="130">
        <f>SUM(YN26:ZR26)</f>
        <v/>
      </c>
      <c r="AAB26" t="n">
        <v>25000</v>
      </c>
      <c r="AAX26" s="130">
        <f>SUM(ZT26:AAW26)</f>
        <v/>
      </c>
      <c r="ACD26" s="130">
        <f>SUM(AAY26:ACC26)</f>
        <v/>
      </c>
      <c r="ACL26" t="n">
        <v>25000</v>
      </c>
      <c r="ADC26" t="n">
        <v>10000</v>
      </c>
      <c r="ADJ26" s="130">
        <f>SUM(ACE26:ADI26)</f>
        <v/>
      </c>
      <c r="ADY26" t="n">
        <v>5000</v>
      </c>
      <c r="AEO26" s="130">
        <f>SUM(ADK26:AEN26)</f>
        <v/>
      </c>
      <c r="AFH26" t="n">
        <v>30000</v>
      </c>
      <c r="AFU26" s="130">
        <f>SUM(AEP26:AFT26)</f>
        <v/>
      </c>
      <c r="AGZ26" s="130">
        <f>SUM(AFV26:AGY26)</f>
        <v/>
      </c>
      <c r="AHM26" t="n">
        <v>20000</v>
      </c>
      <c r="AIF26" s="145">
        <f>SUM(AHA26:AIE26)</f>
        <v/>
      </c>
      <c r="AIS26" t="n">
        <v>21000</v>
      </c>
      <c r="AIW26" t="n">
        <v>30000</v>
      </c>
      <c r="AJC26" t="n">
        <v>10000</v>
      </c>
      <c r="AJL26" s="145">
        <f>SUM(AIG26:AJK26)</f>
        <v/>
      </c>
      <c r="AJO26" t="n">
        <v>10000</v>
      </c>
      <c r="AKO26" s="145">
        <f>SUM(AJM26:AKN26)</f>
        <v/>
      </c>
      <c r="ALU26" s="145">
        <f>SUM(AKS26:ALT26)</f>
        <v/>
      </c>
      <c r="ALW26" t="n">
        <v>5000</v>
      </c>
      <c r="AMD26" t="n">
        <v>65000</v>
      </c>
      <c r="AMO26" t="n">
        <v>5000</v>
      </c>
      <c r="AMU26" t="n">
        <v>15000</v>
      </c>
      <c r="AMZ26" s="145">
        <f>SUM(ALV26:AMY26)</f>
        <v/>
      </c>
    </row>
    <row r="27">
      <c r="B27" s="5" t="inlineStr">
        <is>
          <t>credit sales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  <c r="BP27" s="52" t="n"/>
      <c r="BQ27" s="52" t="n"/>
      <c r="BR27" s="52" t="n"/>
      <c r="BS27" s="52" t="n"/>
      <c r="BT27" s="52" t="n"/>
      <c r="BU27" s="52" t="n"/>
      <c r="BV27" s="52" t="n"/>
      <c r="BW27" s="52" t="n"/>
      <c r="BX27" s="52" t="n"/>
      <c r="BY27" s="52" t="n"/>
      <c r="BZ27" s="52" t="n"/>
      <c r="CA27" s="52" t="n"/>
      <c r="CB27" s="52" t="n"/>
      <c r="CC27" s="52" t="n"/>
      <c r="CD27" s="52" t="n"/>
      <c r="CE27" s="52" t="n"/>
      <c r="CF27" s="52" t="n"/>
      <c r="CS27" s="110" t="n"/>
      <c r="CT27" s="52" t="n"/>
      <c r="CU27" s="52" t="n"/>
      <c r="CV27" s="52" t="n"/>
      <c r="CW27" s="52" t="n"/>
      <c r="CX27" s="52" t="n"/>
      <c r="CY27" s="52" t="n"/>
      <c r="CZ27" s="52" t="n"/>
      <c r="DA27" s="52" t="n"/>
      <c r="DB27" s="52" t="n"/>
      <c r="DC27" s="52" t="n"/>
      <c r="DD27" s="52" t="n"/>
      <c r="DE27" s="52" t="n"/>
      <c r="DF27" s="52" t="n"/>
      <c r="DG27" s="52" t="n"/>
      <c r="DH27" s="52" t="n"/>
      <c r="DI27" s="52" t="n"/>
      <c r="DJ27" s="52" t="n"/>
      <c r="DK27" s="52" t="n"/>
      <c r="DL27" s="52" t="n"/>
      <c r="DM27" s="52" t="n"/>
      <c r="DN27" s="52" t="n"/>
      <c r="DO27" s="52" t="n"/>
      <c r="DP27" s="52" t="n"/>
      <c r="DQ27" s="52" t="n"/>
      <c r="DR27" s="52" t="n"/>
      <c r="DS27" s="52" t="n"/>
      <c r="DT27" s="52" t="n"/>
      <c r="DU27" s="52" t="n"/>
      <c r="DV27" s="52" t="n"/>
      <c r="DW27" s="52" t="n"/>
      <c r="DX27" s="118" t="n"/>
      <c r="FD27" s="126" t="n"/>
      <c r="FV27" t="n">
        <v>314474</v>
      </c>
      <c r="FY27" t="n">
        <v>151000</v>
      </c>
      <c r="GA27" t="n">
        <v>232000</v>
      </c>
      <c r="GD27" t="n">
        <v>250000</v>
      </c>
      <c r="GJ27" s="130">
        <f>SUM(FE27:GI27)</f>
        <v/>
      </c>
      <c r="HD27">
        <f>392026+9506000</f>
        <v/>
      </c>
      <c r="HE27" t="n">
        <v>378300</v>
      </c>
      <c r="HG27">
        <f>50000+388291</f>
        <v/>
      </c>
      <c r="HL27">
        <f>52900+266750</f>
        <v/>
      </c>
      <c r="HM27">
        <f>428110+100000</f>
        <v/>
      </c>
      <c r="HN27" s="130">
        <f>SUM(GK27:HM27)</f>
        <v/>
      </c>
      <c r="HO27" t="n">
        <v>50000</v>
      </c>
      <c r="HP27">
        <f>100000+126100</f>
        <v/>
      </c>
      <c r="HQ27" t="n">
        <v>295000</v>
      </c>
      <c r="HR27" t="n">
        <v>630000</v>
      </c>
      <c r="HS27" t="n">
        <v>630327</v>
      </c>
      <c r="HU27">
        <f>50*4850</f>
        <v/>
      </c>
      <c r="HW27" t="n">
        <v>238050</v>
      </c>
      <c r="HY27" t="n">
        <v>145500</v>
      </c>
      <c r="IG27" t="n">
        <v>198000</v>
      </c>
      <c r="IJ27" t="n">
        <v>200000</v>
      </c>
      <c r="IK27" t="n">
        <v>148500</v>
      </c>
      <c r="IT27" s="130">
        <f>SUM(HO27:IS27)</f>
        <v/>
      </c>
      <c r="IU27">
        <f>40000+95000</f>
        <v/>
      </c>
      <c r="IV27" t="n">
        <v>418052</v>
      </c>
      <c r="IX27" t="n">
        <v>249500</v>
      </c>
      <c r="JA27">
        <f>140000+22000</f>
        <v/>
      </c>
      <c r="JG27" t="n">
        <v>300000</v>
      </c>
      <c r="JH27" t="n">
        <v>0</v>
      </c>
      <c r="JP27" t="n">
        <v>385000</v>
      </c>
      <c r="JX27" t="n">
        <v>26750</v>
      </c>
      <c r="JY27" s="130">
        <f>SUM(IU27:JX27)</f>
        <v/>
      </c>
      <c r="KE27" t="n">
        <v>760000</v>
      </c>
      <c r="KF27" t="n">
        <v>365136</v>
      </c>
      <c r="KG27">
        <f>530000+760000</f>
        <v/>
      </c>
      <c r="KI27">
        <f>106000+1086000</f>
        <v/>
      </c>
      <c r="KM27">
        <f>337654+76000+30000</f>
        <v/>
      </c>
      <c r="KN27" t="n">
        <v>181000</v>
      </c>
      <c r="KO27" t="n">
        <v>4890000</v>
      </c>
      <c r="KP27" t="n">
        <v>813000</v>
      </c>
      <c r="KQ27" t="n">
        <v>586800</v>
      </c>
      <c r="KT27" t="n">
        <v>2117370</v>
      </c>
      <c r="KU27">
        <f>1760400+274818</f>
        <v/>
      </c>
      <c r="KV27">
        <f>1000*4890</f>
        <v/>
      </c>
      <c r="KX27">
        <f>69000+224000</f>
        <v/>
      </c>
      <c r="LC27">
        <f>321000+105000+66000</f>
        <v/>
      </c>
      <c r="LE27" s="130">
        <f>SUM(KA27:LD27)</f>
        <v/>
      </c>
      <c r="LJ27">
        <f>107000+44000</f>
        <v/>
      </c>
      <c r="LS27" t="n">
        <v>410000</v>
      </c>
      <c r="LY27">
        <f>112000+69000</f>
        <v/>
      </c>
      <c r="LZ27" t="n">
        <v>129000</v>
      </c>
      <c r="ME27" t="n">
        <v>397793</v>
      </c>
      <c r="MG27" t="n">
        <v>215000</v>
      </c>
      <c r="MH27" t="n">
        <v>151000</v>
      </c>
      <c r="MJ27" s="130">
        <f>SUM(LF27:MI27)</f>
        <v/>
      </c>
      <c r="MK27">
        <f>856000+210000</f>
        <v/>
      </c>
      <c r="MU27" t="n">
        <v>296626</v>
      </c>
      <c r="MV27" t="n">
        <v>24000</v>
      </c>
      <c r="MW27" t="n">
        <v>50000</v>
      </c>
      <c r="MZ27" t="n">
        <v>100000</v>
      </c>
      <c r="NA27" t="n">
        <v>1276000</v>
      </c>
      <c r="NB27" t="n">
        <v>305504</v>
      </c>
      <c r="NH27">
        <f>11000+15000</f>
        <v/>
      </c>
      <c r="NL27">
        <f>107000+44000</f>
        <v/>
      </c>
      <c r="NN27">
        <f>856000+210000+15000+20000</f>
        <v/>
      </c>
      <c r="NP27" s="130">
        <f>SUM(ML27:NO27)</f>
        <v/>
      </c>
      <c r="NU27" t="n">
        <v>200000</v>
      </c>
      <c r="OI27">
        <f>388516+112000+69000</f>
        <v/>
      </c>
      <c r="OM27">
        <f>6000+214000+66000+105000</f>
        <v/>
      </c>
      <c r="OQ27">
        <f>856000+6000</f>
        <v/>
      </c>
      <c r="OT27">
        <f>220000+642000+6000</f>
        <v/>
      </c>
      <c r="OV27" s="130">
        <f>SUM(NR27:OU27)</f>
        <v/>
      </c>
      <c r="OX27" t="n">
        <v>448000</v>
      </c>
      <c r="OY27" t="n">
        <v>400000</v>
      </c>
      <c r="OZ27" t="n">
        <v>294117</v>
      </c>
      <c r="PB27">
        <f>856000+105000+220000+8000</f>
        <v/>
      </c>
      <c r="PC27" t="n">
        <v>100000</v>
      </c>
      <c r="PD27">
        <f>107000+44000</f>
        <v/>
      </c>
      <c r="PE27" t="n">
        <v>321000</v>
      </c>
      <c r="PF27">
        <f>6000+856000</f>
        <v/>
      </c>
      <c r="PO27" t="n">
        <v>725000</v>
      </c>
      <c r="PQ27" t="n">
        <v>112000</v>
      </c>
      <c r="PT27" t="n">
        <v>374400</v>
      </c>
      <c r="PV27">
        <f>107000+44000</f>
        <v/>
      </c>
      <c r="PW27" t="n">
        <v>0</v>
      </c>
      <c r="PX27" t="n">
        <v>199648</v>
      </c>
      <c r="QA27" s="130">
        <f>SUM(OW27:PZ27)</f>
        <v/>
      </c>
      <c r="QO27" t="n">
        <v>100000</v>
      </c>
      <c r="RB27" t="n">
        <v>200000</v>
      </c>
      <c r="RE27" t="n">
        <v>346811</v>
      </c>
      <c r="RG27" s="130">
        <f>SUM(QC27:RF27)</f>
        <v/>
      </c>
      <c r="RI27">
        <f>110000+23000</f>
        <v/>
      </c>
      <c r="RJ27">
        <f>44000+107000</f>
        <v/>
      </c>
      <c r="RL27" t="n">
        <v>336141</v>
      </c>
      <c r="SB27" t="n">
        <v>50000</v>
      </c>
      <c r="SF27" t="n">
        <v>1356540</v>
      </c>
      <c r="SM27" s="130">
        <f>SUM(RI27:SL27)</f>
        <v/>
      </c>
      <c r="SO27" t="n">
        <v>983400</v>
      </c>
      <c r="SP27" t="n">
        <v>8805900</v>
      </c>
      <c r="TS27" s="130">
        <f>SUM(SO27:TR27)</f>
        <v/>
      </c>
      <c r="UM27" t="n">
        <v>40000</v>
      </c>
      <c r="UR27" t="n">
        <v>20000</v>
      </c>
      <c r="UY27" s="130">
        <f>SUM(TU27:UX27)</f>
        <v/>
      </c>
      <c r="VY27" t="n">
        <v>107778</v>
      </c>
      <c r="WB27" s="130">
        <f>SUM(UZ27:WA27)</f>
        <v/>
      </c>
      <c r="WG27" t="n">
        <v>13500</v>
      </c>
      <c r="XA27" t="n">
        <v>598507</v>
      </c>
      <c r="XH27" s="130">
        <f>SUM(WF27:XG27)</f>
        <v/>
      </c>
      <c r="YI27" t="n">
        <v>510000</v>
      </c>
      <c r="YM27" s="130">
        <f>SUM(XK27:YL27)</f>
        <v/>
      </c>
      <c r="YP27" t="n">
        <v>900000</v>
      </c>
      <c r="ZS27" s="130">
        <f>SUM(YN27:ZR27)</f>
        <v/>
      </c>
      <c r="AAL27" t="n">
        <v>525000</v>
      </c>
      <c r="AAX27" s="130">
        <f>SUM(ZT27:AAW27)</f>
        <v/>
      </c>
      <c r="ACD27" s="130">
        <f>SUM(AAY27:ACC27)</f>
        <v/>
      </c>
      <c r="ADJ27" s="130">
        <f>SUM(ACE27:ADI27)</f>
        <v/>
      </c>
      <c r="AEO27" s="130">
        <f>SUM(ADK27:AEN27)</f>
        <v/>
      </c>
      <c r="AFU27" s="130">
        <f>SUM(AEP27:AFT27)</f>
        <v/>
      </c>
      <c r="AGP27" t="n">
        <v>130000</v>
      </c>
      <c r="AGZ27" s="130">
        <f>SUM(AFV27:AGY27)</f>
        <v/>
      </c>
      <c r="AHR27" t="n">
        <v>220000</v>
      </c>
      <c r="AIF27" s="145">
        <f>SUM(AHA27:AIE27)</f>
        <v/>
      </c>
      <c r="AJL27" s="145">
        <f>SUM(AIG27:AJK27)</f>
        <v/>
      </c>
      <c r="AKO27" s="145">
        <f>SUM(AJM27:AKN27)</f>
        <v/>
      </c>
      <c r="ALE27" t="n">
        <v>400000</v>
      </c>
      <c r="ALU27" s="145">
        <f>SUM(AKS27:ALT27)</f>
        <v/>
      </c>
      <c r="AMZ27" s="145">
        <f>SUM(ALV27:AMY27)</f>
        <v/>
      </c>
    </row>
    <row r="28">
      <c r="B28" s="5" t="inlineStr">
        <is>
          <t>Rtt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  <c r="BP28" s="52" t="n"/>
      <c r="BQ28" s="52" t="n"/>
      <c r="BR28" s="52" t="n"/>
      <c r="BS28" s="52" t="n"/>
      <c r="BT28" s="52" t="n"/>
      <c r="BU28" s="52" t="n"/>
      <c r="BV28" s="52" t="n"/>
      <c r="BW28" s="52" t="n"/>
      <c r="BX28" s="52" t="n"/>
      <c r="BY28" s="52" t="n"/>
      <c r="BZ28" s="52" t="n"/>
      <c r="CA28" s="52" t="n"/>
      <c r="CB28" s="52" t="n"/>
      <c r="CC28" s="52" t="n"/>
      <c r="CD28" s="52" t="n"/>
      <c r="CE28" s="52" t="n"/>
      <c r="CF28" s="52" t="n"/>
      <c r="CS28" s="110" t="n"/>
      <c r="CT28" s="52" t="n"/>
      <c r="CU28" s="52" t="n"/>
      <c r="CV28" s="52" t="n"/>
      <c r="CW28" s="52" t="n"/>
      <c r="CX28" s="52" t="n"/>
      <c r="CY28" s="52" t="n"/>
      <c r="CZ28" s="52" t="n"/>
      <c r="DA28" s="52" t="n"/>
      <c r="DB28" s="52" t="n"/>
      <c r="DC28" s="52" t="n"/>
      <c r="DD28" s="52" t="n"/>
      <c r="DE28" s="52" t="n"/>
      <c r="DF28" s="52" t="n"/>
      <c r="DG28" s="52" t="n"/>
      <c r="DH28" s="52" t="n"/>
      <c r="DI28" s="52" t="n"/>
      <c r="DJ28" s="52" t="n"/>
      <c r="DK28" s="52" t="n"/>
      <c r="DL28" s="52" t="n"/>
      <c r="DM28" s="52" t="n"/>
      <c r="DN28" s="52" t="n"/>
      <c r="DO28" s="52" t="n"/>
      <c r="DP28" s="52" t="n"/>
      <c r="DQ28" s="52" t="n"/>
      <c r="DR28" s="52" t="n"/>
      <c r="DS28" s="52" t="n"/>
      <c r="DT28" s="52" t="n"/>
      <c r="DU28" s="52" t="n"/>
      <c r="DV28" s="52" t="n"/>
      <c r="DW28" s="52" t="n"/>
      <c r="DX28" s="118" t="n"/>
      <c r="FD28" s="126" t="n"/>
      <c r="GJ28" s="130" t="n"/>
      <c r="HN28" s="130" t="n"/>
      <c r="IT28" s="130" t="n"/>
      <c r="JY28" s="130" t="n"/>
      <c r="LE28" s="130" t="n"/>
      <c r="MJ28" s="130" t="n"/>
      <c r="NP28" s="130" t="n"/>
      <c r="OV28" s="130" t="n"/>
      <c r="QA28" s="130" t="n"/>
      <c r="RG28" s="130" t="n"/>
      <c r="SM28" s="130" t="n"/>
      <c r="TS28" s="130" t="n"/>
      <c r="UY28" s="130" t="n"/>
      <c r="WB28" s="130" t="n"/>
      <c r="XH28" s="130" t="n"/>
      <c r="YM28" s="130" t="n"/>
      <c r="ZS28" s="130" t="n"/>
      <c r="AAX28" s="130" t="n"/>
      <c r="ACD28" s="130" t="n"/>
      <c r="ACF28" t="n">
        <v>0</v>
      </c>
      <c r="ADJ28" s="130">
        <f>SUM(ACE28:ADI28)</f>
        <v/>
      </c>
      <c r="AEO28" s="130">
        <f>SUM(ADK28:AEN28)</f>
        <v/>
      </c>
      <c r="AFU28" s="130">
        <f>SUM(AEP28:AFT28)</f>
        <v/>
      </c>
      <c r="AGZ28" s="130">
        <f>SUM(AFV28:AGY28)</f>
        <v/>
      </c>
      <c r="AIF28" s="145">
        <f>SUM(AHA28:AIE28)</f>
        <v/>
      </c>
      <c r="AJL28" s="145">
        <f>SUM(AIG28:AJK28)</f>
        <v/>
      </c>
      <c r="AKO28" s="145">
        <f>SUM(AJM28:AKN28)</f>
        <v/>
      </c>
      <c r="ALU28" s="145">
        <f>SUM(AKS28:ALT28)</f>
        <v/>
      </c>
      <c r="AMZ28" s="145">
        <f>SUM(ALV28:AMY28)</f>
        <v/>
      </c>
    </row>
    <row r="29">
      <c r="B29" s="5" t="inlineStr">
        <is>
          <t>cash withdrow from bussines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  <c r="BP29" s="52" t="n"/>
      <c r="BQ29" s="52" t="n"/>
      <c r="BR29" s="52" t="n"/>
      <c r="BS29" s="52" t="n"/>
      <c r="BT29" s="52" t="n"/>
      <c r="BU29" s="52" t="n"/>
      <c r="BV29" s="52" t="n"/>
      <c r="BW29" s="52" t="n"/>
      <c r="BX29" s="52" t="n"/>
      <c r="BY29" s="52" t="n"/>
      <c r="BZ29" s="52" t="n"/>
      <c r="CA29" s="52" t="n"/>
      <c r="CB29" s="52" t="n"/>
      <c r="CC29" s="52" t="n"/>
      <c r="CD29" s="52" t="n"/>
      <c r="CE29" s="52" t="n"/>
      <c r="CF29" s="52" t="n"/>
      <c r="CS29" s="110" t="n"/>
      <c r="CT29" s="52" t="n"/>
      <c r="CU29" s="52" t="n"/>
      <c r="CV29" s="52" t="n"/>
      <c r="CW29" s="52" t="n"/>
      <c r="CX29" s="52" t="n"/>
      <c r="CY29" s="52" t="n"/>
      <c r="CZ29" s="52" t="n"/>
      <c r="DA29" s="52" t="n"/>
      <c r="DB29" s="52" t="n"/>
      <c r="DC29" s="52" t="n"/>
      <c r="DD29" s="52" t="n"/>
      <c r="DE29" s="52" t="n"/>
      <c r="DF29" s="52" t="n"/>
      <c r="DG29" s="52" t="n"/>
      <c r="DH29" s="52" t="n"/>
      <c r="DI29" s="52" t="n"/>
      <c r="DJ29" s="52" t="n"/>
      <c r="DK29" s="52" t="n"/>
      <c r="DL29" s="52" t="n"/>
      <c r="DM29" s="52" t="n"/>
      <c r="DN29" s="52" t="n"/>
      <c r="DO29" s="52" t="n"/>
      <c r="DP29" s="52" t="n"/>
      <c r="DQ29" s="52" t="n"/>
      <c r="DR29" s="52" t="n"/>
      <c r="DS29" s="52" t="n"/>
      <c r="DT29" s="52" t="n"/>
      <c r="DU29" s="52" t="n"/>
      <c r="DV29" s="52" t="n"/>
      <c r="DW29" s="52" t="n"/>
      <c r="DX29" s="118" t="n"/>
      <c r="FD29" s="126" t="n"/>
      <c r="GJ29" s="130" t="n"/>
      <c r="HN29" s="130" t="n"/>
      <c r="IT29" s="130" t="n"/>
      <c r="JY29" s="130" t="n"/>
      <c r="LE29" s="130" t="n"/>
      <c r="MJ29" s="130" t="n"/>
      <c r="NP29" s="130" t="n"/>
      <c r="OV29" s="130" t="n"/>
      <c r="QA29" s="130" t="n"/>
      <c r="RG29" s="130" t="n"/>
      <c r="SM29" s="130" t="n"/>
      <c r="TS29" s="130" t="n"/>
      <c r="UY29" s="130" t="n"/>
      <c r="WB29" s="130" t="n"/>
      <c r="XH29" s="130" t="n"/>
      <c r="YM29" s="130" t="n"/>
      <c r="ZS29" s="130" t="n"/>
      <c r="AAX29" s="130" t="n"/>
      <c r="ACD29" s="130" t="n"/>
      <c r="ADJ29" s="130" t="n"/>
      <c r="AEO29" s="130" t="n"/>
      <c r="AFU29" s="130" t="n"/>
      <c r="AGZ29" s="130" t="n"/>
      <c r="AIF29" s="145" t="n"/>
      <c r="AIS29" s="147" t="n">
        <v>6500000</v>
      </c>
      <c r="AIX29" t="n">
        <v>290000</v>
      </c>
      <c r="AJL29" s="145" t="n"/>
      <c r="AKO29" s="145">
        <f>SUM(AJM29:AKN29)</f>
        <v/>
      </c>
      <c r="AKP29" s="147" t="n">
        <v>5000000</v>
      </c>
      <c r="ALU29" s="145">
        <f>SUM(AKS29:ALT29)</f>
        <v/>
      </c>
      <c r="AMH29" t="n">
        <v>639300</v>
      </c>
      <c r="AMZ29" s="145">
        <f>SUM(ALV29:AMY29)</f>
        <v/>
      </c>
    </row>
    <row r="30">
      <c r="B30" s="5" t="inlineStr">
        <is>
          <t>other transport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  <c r="BP30" s="52" t="n"/>
      <c r="BQ30" s="52" t="n"/>
      <c r="BR30" s="52" t="n"/>
      <c r="BS30" s="52" t="n"/>
      <c r="BT30" s="52" t="n"/>
      <c r="BU30" s="52" t="n"/>
      <c r="BV30" s="52" t="n"/>
      <c r="BW30" s="52" t="n"/>
      <c r="BX30" s="52" t="n"/>
      <c r="BY30" s="52" t="n"/>
      <c r="BZ30" s="52" t="n"/>
      <c r="CA30" s="52" t="n"/>
      <c r="CB30" s="52" t="n"/>
      <c r="CC30" s="52" t="n"/>
      <c r="CD30" s="52" t="n"/>
      <c r="CE30" s="52" t="n"/>
      <c r="CF30" s="52" t="n"/>
      <c r="CS30" s="110" t="n"/>
      <c r="CT30" s="52" t="n"/>
      <c r="CU30" s="52" t="n"/>
      <c r="CV30" s="52" t="n"/>
      <c r="CW30" s="52" t="n"/>
      <c r="CX30" s="52" t="n"/>
      <c r="CY30" s="52" t="n"/>
      <c r="CZ30" s="52" t="n"/>
      <c r="DA30" s="52" t="n"/>
      <c r="DB30" s="52" t="n"/>
      <c r="DC30" s="52" t="n"/>
      <c r="DD30" s="52" t="n"/>
      <c r="DE30" s="52" t="n"/>
      <c r="DF30" s="52" t="n"/>
      <c r="DG30" s="52" t="n"/>
      <c r="DH30" s="52" t="n"/>
      <c r="DI30" s="52" t="n"/>
      <c r="DJ30" s="52" t="n"/>
      <c r="DK30" s="52" t="n"/>
      <c r="DL30" s="52" t="n"/>
      <c r="DM30" s="52" t="n"/>
      <c r="DN30" s="52" t="n"/>
      <c r="DO30" s="52" t="n"/>
      <c r="DP30" s="52" t="n"/>
      <c r="DQ30" s="52" t="n"/>
      <c r="DR30" s="52" t="n"/>
      <c r="DS30" s="52" t="n"/>
      <c r="DT30" s="52" t="n"/>
      <c r="DU30" s="52" t="n"/>
      <c r="DV30" s="52" t="n"/>
      <c r="DW30" s="52" t="n"/>
      <c r="DX30" s="118" t="n"/>
      <c r="FD30" s="126" t="n"/>
      <c r="GJ30" s="130" t="n"/>
      <c r="HN30" s="130" t="n"/>
      <c r="IT30" s="130" t="n"/>
      <c r="JY30" s="130" t="n"/>
      <c r="LE30" s="130" t="n"/>
      <c r="MJ30" s="130" t="n"/>
      <c r="NP30" s="130" t="n"/>
      <c r="OV30" s="130" t="n"/>
      <c r="QA30" s="130" t="n"/>
      <c r="RG30" s="130" t="n"/>
      <c r="SM30" s="130" t="n"/>
      <c r="TS30" s="130" t="n"/>
      <c r="UY30" s="130" t="n"/>
      <c r="WB30" s="130" t="n"/>
      <c r="XH30" s="130" t="n"/>
      <c r="YM30" s="130" t="n"/>
      <c r="ZS30" s="130" t="n"/>
      <c r="AAX30" s="130" t="n"/>
      <c r="ACD30" s="130" t="n"/>
      <c r="ADJ30" s="130" t="n"/>
      <c r="AEO30" s="130" t="n"/>
      <c r="AEP30" t="n">
        <v>14000</v>
      </c>
      <c r="AER30" t="n">
        <v>14000</v>
      </c>
      <c r="AFU30" s="130">
        <f>SUM(AEP30:AFT30)</f>
        <v/>
      </c>
      <c r="AGZ30" s="130">
        <f>SUM(AFV30:AGY30)</f>
        <v/>
      </c>
      <c r="AHF30" t="n">
        <v>54439</v>
      </c>
      <c r="AHL30" t="n">
        <v>50000</v>
      </c>
      <c r="AIF30" s="145">
        <f>SUM(AHA30:AIE30)</f>
        <v/>
      </c>
      <c r="AIJ30" t="n">
        <v>150000</v>
      </c>
      <c r="AIL30" t="n">
        <v>10000</v>
      </c>
      <c r="AJI30" t="n">
        <v>5000</v>
      </c>
      <c r="AJK30" t="n">
        <v>8000</v>
      </c>
      <c r="AJL30" s="145">
        <f>SUM(AIG30:AJK30)</f>
        <v/>
      </c>
      <c r="AKO30" s="145">
        <f>SUM(AJM30:AKN30)</f>
        <v/>
      </c>
      <c r="ALU30" s="145">
        <f>SUM(AKS30:ALT30)</f>
        <v/>
      </c>
      <c r="AMZ30" s="145">
        <f>SUM(ALV30:AMY30)</f>
        <v/>
      </c>
    </row>
    <row r="31">
      <c r="B31" s="5" t="inlineStr">
        <is>
          <t>others</t>
        </is>
      </c>
      <c r="C31" s="22" t="n"/>
      <c r="D31" s="22" t="n"/>
      <c r="E31" s="22" t="n"/>
      <c r="F31" s="22" t="n"/>
      <c r="G31" s="22" t="n"/>
      <c r="H31" s="22" t="n">
        <v>0</v>
      </c>
      <c r="I31" s="22" t="n">
        <v>11000</v>
      </c>
      <c r="J31" s="22" t="n">
        <v>5000</v>
      </c>
      <c r="K31" s="22" t="n">
        <v>0</v>
      </c>
      <c r="L31" s="22" t="n"/>
      <c r="M31" s="22" t="n"/>
      <c r="N31" s="22" t="n">
        <v>271000</v>
      </c>
      <c r="O31" s="22" t="n"/>
      <c r="P31" s="22" t="n"/>
      <c r="Q31" s="22" t="n"/>
      <c r="R31" s="22" t="n">
        <v>20000</v>
      </c>
      <c r="S31" s="22" t="n">
        <v>200000</v>
      </c>
      <c r="T31" s="22" t="n"/>
      <c r="U31" s="22" t="n">
        <v>0</v>
      </c>
      <c r="V31" s="22" t="n">
        <v>50000</v>
      </c>
      <c r="W31" s="22" t="n">
        <v>20000</v>
      </c>
      <c r="X31" s="22" t="n"/>
      <c r="Y31" s="22" t="n"/>
      <c r="Z31" s="22" t="n"/>
      <c r="AA31" s="22" t="n"/>
      <c r="AB31" s="22" t="n"/>
      <c r="AC31" s="22" t="n"/>
      <c r="AD31" s="22" t="n">
        <v>4000</v>
      </c>
      <c r="AE31" s="22" t="n">
        <v>5000</v>
      </c>
      <c r="AF31" s="22" t="n"/>
      <c r="AG31" s="22" t="n">
        <v>150000</v>
      </c>
      <c r="AH31" s="22">
        <f>SUM(C31:AG31)</f>
        <v/>
      </c>
      <c r="AI31" s="52" t="n"/>
      <c r="AJ31" s="52" t="n">
        <v>11500</v>
      </c>
      <c r="AK31" s="52" t="n"/>
      <c r="AL31" s="52" t="n"/>
      <c r="AM31" s="52" t="n"/>
      <c r="AN31" s="52" t="n"/>
      <c r="AO31" s="52" t="n">
        <v>290000</v>
      </c>
      <c r="AP31" s="52" t="n"/>
      <c r="AQ31" s="52" t="n">
        <v>0</v>
      </c>
      <c r="AR31" s="52" t="n">
        <v>7000</v>
      </c>
      <c r="AS31" s="52" t="n"/>
      <c r="AT31" s="52" t="n">
        <v>21000</v>
      </c>
      <c r="AU31" s="52" t="n"/>
      <c r="AV31" s="52" t="n"/>
      <c r="AW31" s="52" t="n">
        <v>20000</v>
      </c>
      <c r="AX31" s="103" t="n">
        <v>300000</v>
      </c>
      <c r="AY31" s="52" t="n"/>
      <c r="AZ31" s="52" t="n"/>
      <c r="BA31" s="52" t="n"/>
      <c r="BB31" s="52" t="n"/>
      <c r="BC31" s="52" t="n">
        <v>114000</v>
      </c>
      <c r="BD31" s="52" t="n"/>
      <c r="BE31" s="52" t="n">
        <v>24000</v>
      </c>
      <c r="BF31" s="52" t="n"/>
      <c r="BG31" s="52" t="n">
        <v>10000</v>
      </c>
      <c r="BH31" s="52" t="n">
        <v>100000</v>
      </c>
      <c r="BI31" s="52" t="n"/>
      <c r="BJ31" s="52" t="n"/>
      <c r="BK31" s="52" t="n"/>
      <c r="BL31" s="52" t="n">
        <v>20000</v>
      </c>
      <c r="BM31" s="52">
        <f>SUM(AI31:BL31)</f>
        <v/>
      </c>
      <c r="BN31" s="52" t="n"/>
      <c r="BO31" s="52" t="n"/>
      <c r="BP31" s="52" t="n"/>
      <c r="BQ31" s="52" t="n"/>
      <c r="BR31" s="52" t="n"/>
      <c r="BS31" s="52" t="n">
        <v>2000</v>
      </c>
      <c r="BT31" s="52" t="n"/>
      <c r="BU31" s="52" t="n">
        <v>0</v>
      </c>
      <c r="BV31" s="52" t="n">
        <v>10000</v>
      </c>
      <c r="BW31" s="52" t="n"/>
      <c r="BX31" s="52" t="n"/>
      <c r="BY31" s="52" t="n"/>
      <c r="BZ31" s="52" t="n">
        <v>300</v>
      </c>
      <c r="CA31" s="52" t="n">
        <v>15000</v>
      </c>
      <c r="CB31" s="52" t="n"/>
      <c r="CC31" s="52" t="n"/>
      <c r="CD31" s="52" t="n"/>
      <c r="CE31" s="52" t="n"/>
      <c r="CF31" s="52" t="n"/>
      <c r="CK31" t="n">
        <v>1000</v>
      </c>
      <c r="CL31" t="n">
        <v>279000</v>
      </c>
      <c r="CN31" t="n">
        <v>1000</v>
      </c>
      <c r="CO31" t="n">
        <v>13000</v>
      </c>
      <c r="CP31" t="n">
        <v>60000</v>
      </c>
      <c r="CQ31" t="n">
        <v>355000</v>
      </c>
      <c r="CR31" t="n">
        <v>28846</v>
      </c>
      <c r="CS31" s="110">
        <f>SUM(BN31:CR31)</f>
        <v/>
      </c>
      <c r="CT31" s="52" t="n"/>
      <c r="CU31" s="52" t="n"/>
      <c r="CV31" s="52" t="n"/>
      <c r="CW31" s="52" t="n">
        <v>120000</v>
      </c>
      <c r="CX31" s="52" t="n"/>
      <c r="CY31" s="52" t="n">
        <v>10000</v>
      </c>
      <c r="CZ31" s="52" t="n">
        <v>263000</v>
      </c>
      <c r="DA31" s="52" t="n"/>
      <c r="DB31" s="52" t="n"/>
      <c r="DC31" s="52" t="n"/>
      <c r="DD31" s="52" t="n"/>
      <c r="DE31" s="52" t="n"/>
      <c r="DF31" s="52" t="n">
        <v>500</v>
      </c>
      <c r="DG31" s="52" t="n"/>
      <c r="DH31" s="52" t="n">
        <v>24440</v>
      </c>
      <c r="DI31" s="52" t="n">
        <v>6000</v>
      </c>
      <c r="DJ31" s="52" t="n"/>
      <c r="DK31" s="52" t="n">
        <v>15000</v>
      </c>
      <c r="DL31" s="52" t="n"/>
      <c r="DM31" s="52" t="n">
        <v>100000</v>
      </c>
      <c r="DN31" s="52" t="n"/>
      <c r="DO31" s="52" t="n"/>
      <c r="DP31" s="52" t="n">
        <v>2000</v>
      </c>
      <c r="DQ31" s="52" t="n"/>
      <c r="DR31" s="52" t="n"/>
      <c r="DS31" s="52" t="n"/>
      <c r="DT31" s="52" t="n">
        <v>10000</v>
      </c>
      <c r="DU31" s="52" t="n"/>
      <c r="DV31" s="52" t="n"/>
      <c r="DW31" s="52" t="n"/>
      <c r="DX31" s="118">
        <f>SUM(CT31:DW31)</f>
        <v/>
      </c>
      <c r="DY31" t="n">
        <v>50000</v>
      </c>
      <c r="EC31" t="n">
        <v>1000</v>
      </c>
      <c r="EF31" t="n">
        <v>30000</v>
      </c>
      <c r="EG31" t="n">
        <v>372334</v>
      </c>
      <c r="EI31" t="n">
        <v>2000</v>
      </c>
      <c r="EL31" t="n">
        <v>267235</v>
      </c>
      <c r="EO31" t="n">
        <v>0</v>
      </c>
      <c r="EP31" t="n">
        <v>182942</v>
      </c>
      <c r="ET31" t="n">
        <v>0</v>
      </c>
      <c r="EU31" t="n">
        <v>397021</v>
      </c>
      <c r="FC31" t="n">
        <v>238572</v>
      </c>
      <c r="FD31" s="126">
        <f>SUM(DY31:FC31)</f>
        <v/>
      </c>
      <c r="FJ31" t="n">
        <v>363265</v>
      </c>
      <c r="FN31" t="n">
        <v>40000</v>
      </c>
      <c r="FP31" t="n">
        <v>20000</v>
      </c>
      <c r="FQ31" t="n">
        <v>20000</v>
      </c>
      <c r="FY31" t="n">
        <v>0</v>
      </c>
      <c r="GC31" t="n">
        <v>20000</v>
      </c>
      <c r="GH31" t="n">
        <v>1000</v>
      </c>
      <c r="GI31" t="n">
        <v>2000</v>
      </c>
      <c r="GJ31" s="130">
        <f>SUM(FE31:GI31)</f>
        <v/>
      </c>
      <c r="GP31" t="n">
        <v>20000</v>
      </c>
      <c r="GR31" t="n">
        <v>1000</v>
      </c>
      <c r="GZ31" t="n">
        <v>2000</v>
      </c>
      <c r="HD31" t="n">
        <v>1200000</v>
      </c>
      <c r="HE31" t="n">
        <v>20000</v>
      </c>
      <c r="HH31" t="n">
        <v>400000</v>
      </c>
      <c r="HN31" s="130">
        <f>SUM(GK31:HM31)</f>
        <v/>
      </c>
      <c r="IA31" t="n">
        <v>1000</v>
      </c>
      <c r="IB31" t="n">
        <v>532000</v>
      </c>
      <c r="IJ31" t="n">
        <v>4500</v>
      </c>
      <c r="IO31" t="n">
        <v>3120</v>
      </c>
      <c r="IQ31" t="n">
        <v>440000</v>
      </c>
      <c r="IT31" s="130">
        <f>SUM(HO31:IS31)</f>
        <v/>
      </c>
      <c r="JB31" t="n">
        <v>100000</v>
      </c>
      <c r="JC31" t="n">
        <v>260000</v>
      </c>
      <c r="JN31" t="n">
        <v>2000</v>
      </c>
      <c r="JO31" t="n">
        <v>2000</v>
      </c>
      <c r="JS31" t="n">
        <v>700000</v>
      </c>
      <c r="JT31" t="n">
        <v>20000</v>
      </c>
      <c r="JW31" t="n">
        <v>7000</v>
      </c>
      <c r="JX31" t="n">
        <v>1000</v>
      </c>
      <c r="JY31" s="130">
        <f>SUM(IU31:JX31)</f>
        <v/>
      </c>
      <c r="KI31" t="n">
        <v>287000</v>
      </c>
      <c r="KJ31" t="n">
        <v>50000</v>
      </c>
      <c r="KR31" t="n">
        <v>2000</v>
      </c>
      <c r="KW31" t="n">
        <v>485000</v>
      </c>
      <c r="LB31" t="n">
        <v>138000</v>
      </c>
      <c r="LE31" s="130">
        <f>SUM(KA31:LD31)</f>
        <v/>
      </c>
      <c r="LF31" t="n">
        <v>23000</v>
      </c>
      <c r="LH31" t="n">
        <v>32000</v>
      </c>
      <c r="LK31">
        <f>50000+44000</f>
        <v/>
      </c>
      <c r="LP31" t="n">
        <v>2000</v>
      </c>
      <c r="LQ31" t="n">
        <v>2000</v>
      </c>
      <c r="LS31">
        <f>210000+330000+535000</f>
        <v/>
      </c>
      <c r="LU31" t="n">
        <v>160000</v>
      </c>
      <c r="LV31">
        <f>179014+336000</f>
        <v/>
      </c>
      <c r="LX31" t="n">
        <v>5000</v>
      </c>
      <c r="MC31" t="n">
        <v>3000</v>
      </c>
      <c r="ME31" t="n">
        <v>190000</v>
      </c>
      <c r="MG31" t="n">
        <v>15000</v>
      </c>
      <c r="MJ31" s="130">
        <f>SUM(LF31:MI31)</f>
        <v/>
      </c>
      <c r="MK31" t="n">
        <v>3000</v>
      </c>
      <c r="MN31" t="n">
        <v>1000</v>
      </c>
      <c r="MP31" t="n">
        <v>4000</v>
      </c>
      <c r="MR31" t="n">
        <v>8000</v>
      </c>
      <c r="MT31" t="n">
        <v>4000</v>
      </c>
      <c r="MV31" t="n">
        <v>65000</v>
      </c>
      <c r="MX31" t="n">
        <v>8000</v>
      </c>
      <c r="NA31" t="n">
        <v>5000</v>
      </c>
      <c r="NF31" t="n">
        <v>20000</v>
      </c>
      <c r="NH31" t="n">
        <v>5000</v>
      </c>
      <c r="NI31" t="n">
        <v>2000</v>
      </c>
      <c r="NJ31" t="n">
        <v>5000</v>
      </c>
      <c r="NN31" t="n">
        <v>20000</v>
      </c>
      <c r="NO31" t="n">
        <v>1000</v>
      </c>
      <c r="NP31" s="130">
        <f>SUM(ML31:NO31)</f>
        <v/>
      </c>
      <c r="NX31" t="n">
        <v>200000</v>
      </c>
      <c r="NY31" t="n">
        <v>636000</v>
      </c>
      <c r="NZ31" t="n">
        <v>5000</v>
      </c>
      <c r="OA31" t="n">
        <v>376263</v>
      </c>
      <c r="OD31" t="n">
        <v>1000</v>
      </c>
      <c r="OP31" t="n">
        <v>20000</v>
      </c>
      <c r="OV31" s="130">
        <f>SUM(NR31:OU31)</f>
        <v/>
      </c>
      <c r="PE31" t="n">
        <v>4500</v>
      </c>
      <c r="PF31" t="n">
        <v>490000</v>
      </c>
      <c r="PL31" t="n">
        <v>50000</v>
      </c>
      <c r="PO31" t="n">
        <v>57500</v>
      </c>
      <c r="PT31" t="n">
        <v>150000</v>
      </c>
      <c r="PU31" t="n">
        <v>1000</v>
      </c>
      <c r="QA31" s="130">
        <f>SUM(OW31:PZ31)</f>
        <v/>
      </c>
      <c r="QH31" t="n">
        <v>6000</v>
      </c>
      <c r="QN31" t="n">
        <v>1000</v>
      </c>
      <c r="QW31" t="n">
        <v>45990</v>
      </c>
      <c r="QZ31" t="n">
        <v>1550000</v>
      </c>
      <c r="RA31">
        <f>112000+46000</f>
        <v/>
      </c>
      <c r="RE31" t="n">
        <v>60000</v>
      </c>
      <c r="RG31" s="130">
        <f>SUM(QC31:RF31)</f>
        <v/>
      </c>
      <c r="RJ31" t="n">
        <v>2000</v>
      </c>
      <c r="RK31" t="n">
        <v>20000</v>
      </c>
      <c r="RM31" t="n">
        <v>55000</v>
      </c>
      <c r="SA31" t="n">
        <v>1500000</v>
      </c>
      <c r="SB31" t="n">
        <v>1129800</v>
      </c>
      <c r="SI31" t="n">
        <v>1000</v>
      </c>
      <c r="SM31" s="130">
        <f>SUM(RI31:SL31)</f>
        <v/>
      </c>
      <c r="SR31" t="n">
        <v>10000</v>
      </c>
      <c r="SZ31" t="n">
        <v>20000</v>
      </c>
      <c r="TA31" t="n">
        <v>0</v>
      </c>
      <c r="TC31" t="n">
        <v>2000</v>
      </c>
      <c r="TD31" t="n">
        <v>3500</v>
      </c>
      <c r="TE31" t="n">
        <v>5000</v>
      </c>
      <c r="TF31" t="n">
        <v>1500</v>
      </c>
      <c r="TJ31" t="n">
        <v>4000</v>
      </c>
      <c r="TO31" t="n">
        <v>1000</v>
      </c>
      <c r="TR31" t="n">
        <v>1500000</v>
      </c>
      <c r="TS31" s="130">
        <f>SUM(SO31:TR31)</f>
        <v/>
      </c>
      <c r="TT31" t="n">
        <v>5000000</v>
      </c>
      <c r="UA31" t="n">
        <v>10000</v>
      </c>
      <c r="UB31" t="n">
        <v>1000</v>
      </c>
      <c r="UF31" t="n">
        <v>2000</v>
      </c>
      <c r="UG31" t="n">
        <v>103000</v>
      </c>
      <c r="UM31" t="n">
        <v>53000</v>
      </c>
      <c r="UO31" t="n">
        <v>10000</v>
      </c>
      <c r="UP31" t="n">
        <v>15000</v>
      </c>
      <c r="UU31" t="n">
        <v>10000</v>
      </c>
      <c r="UY31" s="130">
        <f>SUM(TU31:UX31)</f>
        <v/>
      </c>
      <c r="VB31" t="n">
        <v>35000</v>
      </c>
      <c r="VE31" t="n">
        <v>12000</v>
      </c>
      <c r="VF31" t="n">
        <v>60000</v>
      </c>
      <c r="VH31" t="n">
        <v>10000</v>
      </c>
      <c r="VK31" t="n">
        <v>1000</v>
      </c>
      <c r="VQ31" t="n">
        <v>3000</v>
      </c>
      <c r="VX31" t="n">
        <v>5000</v>
      </c>
      <c r="VY31" t="n">
        <v>5000</v>
      </c>
      <c r="VZ31" t="n">
        <v>5000</v>
      </c>
      <c r="WA31" t="n">
        <v>5000</v>
      </c>
      <c r="WB31" s="130">
        <f>SUM(UZ31:WA31)</f>
        <v/>
      </c>
      <c r="WD31" t="n">
        <v>15000</v>
      </c>
      <c r="WG31" t="n">
        <v>300000</v>
      </c>
      <c r="WH31" t="n">
        <v>10000</v>
      </c>
      <c r="WJ31" t="n">
        <v>54000</v>
      </c>
      <c r="WO31" t="n">
        <v>0</v>
      </c>
      <c r="WP31" t="n">
        <v>55000</v>
      </c>
      <c r="WS31" t="n">
        <v>25000</v>
      </c>
      <c r="WU31" t="n">
        <v>130000</v>
      </c>
      <c r="WV31" t="n">
        <v>200000</v>
      </c>
      <c r="WW31" t="n">
        <v>55000</v>
      </c>
      <c r="XA31" t="n">
        <v>1000</v>
      </c>
      <c r="XD31" t="n">
        <v>55000</v>
      </c>
      <c r="XE31" t="n">
        <v>340000</v>
      </c>
      <c r="XH31" s="130">
        <f>SUM(WF31:XG31)</f>
        <v/>
      </c>
      <c r="XM31" t="n">
        <v>2560</v>
      </c>
      <c r="XO31" t="n">
        <v>14000</v>
      </c>
      <c r="XR31" t="n">
        <v>5000</v>
      </c>
      <c r="XV31" t="n">
        <v>20000</v>
      </c>
      <c r="YD31" t="n">
        <v>120000</v>
      </c>
      <c r="YE31" t="n">
        <v>1000</v>
      </c>
      <c r="YM31" s="130">
        <f>SUM(XK31:YL31)</f>
        <v/>
      </c>
      <c r="YQ31" t="n">
        <v>0</v>
      </c>
      <c r="YW31" t="n">
        <v>32000</v>
      </c>
      <c r="ZD31" t="n">
        <v>10000</v>
      </c>
      <c r="ZF31" t="n">
        <v>99000</v>
      </c>
      <c r="ZO31" t="n">
        <v>20000</v>
      </c>
      <c r="ZQ31" t="n">
        <v>15000</v>
      </c>
      <c r="ZS31" s="130">
        <f>SUM(YN31:ZR31)</f>
        <v/>
      </c>
      <c r="ZW31" t="n">
        <v>1255000</v>
      </c>
      <c r="ZX31" t="n">
        <v>96000</v>
      </c>
      <c r="ZY31" t="n">
        <v>220000</v>
      </c>
      <c r="AAH31" t="n">
        <v>39920</v>
      </c>
      <c r="AAK31" t="n">
        <v>1000</v>
      </c>
      <c r="AAL31" t="n">
        <v>25000</v>
      </c>
      <c r="AAV31" t="n">
        <v>10000</v>
      </c>
      <c r="AAX31" s="130">
        <f>SUM(ZT31:AAW31)</f>
        <v/>
      </c>
      <c r="ABI31" t="n">
        <v>1000</v>
      </c>
      <c r="ABL31" t="n">
        <v>10000</v>
      </c>
      <c r="ABN31" t="n">
        <v>10000</v>
      </c>
      <c r="ACD31" s="130">
        <f>SUM(AAY31:ACC31)</f>
        <v/>
      </c>
      <c r="ACF31" t="n">
        <v>0</v>
      </c>
      <c r="ACK31" t="n">
        <v>2500</v>
      </c>
      <c r="ACP31" t="n">
        <v>150000</v>
      </c>
      <c r="ADF31" t="n">
        <v>2000</v>
      </c>
      <c r="ADJ31" s="130">
        <f>SUM(ACE31:ADI31)</f>
        <v/>
      </c>
      <c r="ADM31" t="n">
        <v>2000</v>
      </c>
      <c r="ADS31" t="n">
        <v>1000</v>
      </c>
      <c r="AEB31" t="n">
        <v>1000</v>
      </c>
      <c r="AEI31" t="n">
        <v>1108000</v>
      </c>
      <c r="AEM31" t="n">
        <v>200000</v>
      </c>
      <c r="AEO31" s="130">
        <f>SUM(ADK31:AEN31)</f>
        <v/>
      </c>
      <c r="AFH31" t="n">
        <v>50000</v>
      </c>
      <c r="AFK31" t="n">
        <v>8000</v>
      </c>
      <c r="AFL31" t="n">
        <v>16000</v>
      </c>
      <c r="AFU31" s="130">
        <f>SUM(AEP31:AFT31)</f>
        <v/>
      </c>
      <c r="AGG31" t="n">
        <v>30000</v>
      </c>
      <c r="AGH31" t="n">
        <v>60000</v>
      </c>
      <c r="AGO31" t="n">
        <v>30000</v>
      </c>
      <c r="AGZ31" s="130">
        <f>SUM(AFV31:AGY31)</f>
        <v/>
      </c>
      <c r="AHC31" t="n">
        <v>52000</v>
      </c>
      <c r="AHF31" t="n">
        <v>400000</v>
      </c>
      <c r="AHQ31" t="n">
        <v>144000</v>
      </c>
      <c r="AHW31" t="n">
        <v>10000</v>
      </c>
      <c r="AIA31" t="n">
        <v>15000</v>
      </c>
      <c r="AIF31" s="145">
        <f>SUM(AHA31:AIE31)</f>
        <v/>
      </c>
      <c r="AIN31" s="147" t="n">
        <v>3600000</v>
      </c>
      <c r="AJA31" t="n">
        <v>20000</v>
      </c>
      <c r="AJJ31" t="n">
        <v>5000</v>
      </c>
      <c r="AJL31" s="145">
        <f>SUM(AIG31:AJK31)</f>
        <v/>
      </c>
      <c r="AKF31" t="n">
        <v>10000</v>
      </c>
      <c r="AKG31" t="n">
        <v>25000</v>
      </c>
      <c r="AKM31" t="n">
        <v>255000</v>
      </c>
      <c r="AKO31" s="145">
        <f>SUM(AJM31:AKN31)</f>
        <v/>
      </c>
      <c r="AKS31" t="n">
        <v>15000</v>
      </c>
      <c r="AKV31" t="n">
        <v>40000</v>
      </c>
      <c r="AKY31" t="n">
        <v>5000</v>
      </c>
      <c r="ALE31" t="n">
        <v>1000</v>
      </c>
      <c r="ALH31" t="n">
        <v>310000</v>
      </c>
      <c r="ALL31" t="n">
        <v>16000</v>
      </c>
      <c r="ALM31" t="n">
        <v>1000</v>
      </c>
      <c r="ALQ31" t="n">
        <v>487500</v>
      </c>
      <c r="ALU31" s="145">
        <f>SUM(AKS31:ALT31)</f>
        <v/>
      </c>
      <c r="AMC31" t="n">
        <v>45000</v>
      </c>
      <c r="AMD31" t="n">
        <v>1000</v>
      </c>
      <c r="AMH31" t="n">
        <v>150000</v>
      </c>
      <c r="AML31" t="n">
        <v>17000</v>
      </c>
      <c r="AMT31" t="n">
        <v>25000</v>
      </c>
      <c r="AMZ31" s="145">
        <f>SUM(ALV31:AMY31)</f>
        <v/>
      </c>
      <c r="ANB31" t="n">
        <v>3000</v>
      </c>
      <c r="AND31" t="n">
        <v>130000</v>
      </c>
      <c r="ANE31" t="n">
        <v>200000</v>
      </c>
      <c r="ANF31" t="n">
        <v>6000</v>
      </c>
      <c r="ANI31" t="n">
        <v>170000</v>
      </c>
      <c r="ANM31" t="n">
        <v>30000</v>
      </c>
      <c r="ANP31" t="n">
        <v>5000</v>
      </c>
      <c r="ANR31" t="n">
        <v>25000</v>
      </c>
      <c r="ANY31" t="n">
        <v>1000</v>
      </c>
    </row>
    <row r="32">
      <c r="B32" s="27" t="inlineStr">
        <is>
          <t>TOTAL EXPENSES</t>
        </is>
      </c>
      <c r="C32" s="28">
        <f>SUM(C3:C13)</f>
        <v/>
      </c>
      <c r="D32" s="28">
        <f>SUM(D3:D13)</f>
        <v/>
      </c>
      <c r="E32" s="28">
        <f>SUM(E3:E13)</f>
        <v/>
      </c>
      <c r="F32" s="28">
        <f>SUM(F3:F13)</f>
        <v/>
      </c>
      <c r="G32" s="28">
        <f>SUM(G3:G13)</f>
        <v/>
      </c>
      <c r="H32" s="28">
        <f>SUM(H3:H13)</f>
        <v/>
      </c>
      <c r="I32" s="28">
        <f>SUM(I3:I31)</f>
        <v/>
      </c>
      <c r="J32" s="28">
        <f>SUM(J3:J31)</f>
        <v/>
      </c>
      <c r="K32" s="28">
        <f>SUM(K3:K31)</f>
        <v/>
      </c>
      <c r="L32" s="28">
        <f>SUM(L3:L31)</f>
        <v/>
      </c>
      <c r="M32" s="28">
        <f>SUM(M3:M31)</f>
        <v/>
      </c>
      <c r="N32" s="28">
        <f>SUM(N3:N31)</f>
        <v/>
      </c>
      <c r="O32" s="28">
        <f>SUM(O3:O31)</f>
        <v/>
      </c>
      <c r="P32" s="28">
        <f>SUM(P3:P31)</f>
        <v/>
      </c>
      <c r="Q32" s="28">
        <f>SUM(Q3:Q31)</f>
        <v/>
      </c>
      <c r="R32" s="28">
        <f>SUM(R3:R31)</f>
        <v/>
      </c>
      <c r="S32" s="28">
        <f>SUM(S3:S31)</f>
        <v/>
      </c>
      <c r="T32" s="28">
        <f>SUM(T3:T31)</f>
        <v/>
      </c>
      <c r="U32" s="28">
        <f>SUM(U3:U31)</f>
        <v/>
      </c>
      <c r="V32" s="28">
        <f>SUM(V3:V31)</f>
        <v/>
      </c>
      <c r="W32" s="28">
        <f>SUM(W3:W31)</f>
        <v/>
      </c>
      <c r="X32" s="28">
        <f>SUM(X3:X31)</f>
        <v/>
      </c>
      <c r="Y32" s="28">
        <f>SUM(Y3:Y31)</f>
        <v/>
      </c>
      <c r="Z32" s="28">
        <f>SUM(Z3:Z31)</f>
        <v/>
      </c>
      <c r="AA32" s="28">
        <f>SUM(AA3:AA31)</f>
        <v/>
      </c>
      <c r="AB32" s="28">
        <f>SUM(AB3:AB31)</f>
        <v/>
      </c>
      <c r="AC32" s="28">
        <f>SUM(AC3:AC31)</f>
        <v/>
      </c>
      <c r="AD32" s="28">
        <f>SUM(AD3:AD31)</f>
        <v/>
      </c>
      <c r="AE32" s="28">
        <f>SUM(AE3:AE31)</f>
        <v/>
      </c>
      <c r="AF32" s="28">
        <f>SUM(AF3:AF31)</f>
        <v/>
      </c>
      <c r="AG32" s="28">
        <f>SUM(AG3:AG31)</f>
        <v/>
      </c>
      <c r="AH32" s="22">
        <f>SUM(C32:AG32)</f>
        <v/>
      </c>
      <c r="AI32" s="28">
        <f>SUM(AI4:AI31)</f>
        <v/>
      </c>
      <c r="AJ32" s="28">
        <f>SUM(AJ4:AJ31)</f>
        <v/>
      </c>
      <c r="AK32" s="28">
        <f>SUM(AK4:AK31)</f>
        <v/>
      </c>
      <c r="AL32" s="28">
        <f>SUM(AL4:AL31)</f>
        <v/>
      </c>
      <c r="AM32" s="28">
        <f>SUM(AM4:AM31)</f>
        <v/>
      </c>
      <c r="AN32" s="28">
        <f>SUM(AN4:AN31)</f>
        <v/>
      </c>
      <c r="AO32" s="28">
        <f>SUM(AO4:AO31)</f>
        <v/>
      </c>
      <c r="AP32" s="28">
        <f>SUM(AP4:AP31)</f>
        <v/>
      </c>
      <c r="AQ32" s="28">
        <f>SUM(AQ4:AQ31)</f>
        <v/>
      </c>
      <c r="AR32" s="28">
        <f>SUM(AR4:AR31)</f>
        <v/>
      </c>
      <c r="AS32" s="28">
        <f>SUM(AS4:AS31)</f>
        <v/>
      </c>
      <c r="AT32" s="28">
        <f>SUM(AT4:AT31)</f>
        <v/>
      </c>
      <c r="AU32" s="28">
        <f>SUM(AU4:AU31)</f>
        <v/>
      </c>
      <c r="AV32" s="28">
        <f>SUM(AV4:AV31)</f>
        <v/>
      </c>
      <c r="AW32" s="28">
        <f>SUM(AW4:AW31)</f>
        <v/>
      </c>
      <c r="AX32" s="28">
        <f>SUM(AX4:AX31)</f>
        <v/>
      </c>
      <c r="AY32" s="28">
        <f>SUM(AY4:AY31)</f>
        <v/>
      </c>
      <c r="AZ32" s="28">
        <f>SUM(AZ4:AZ31)</f>
        <v/>
      </c>
      <c r="BA32" s="28">
        <f>SUM(BA4:BA31)</f>
        <v/>
      </c>
      <c r="BB32" s="28">
        <f>SUM(BB4:BB31)</f>
        <v/>
      </c>
      <c r="BC32" s="28">
        <f>SUM(BC4:BC31)</f>
        <v/>
      </c>
      <c r="BD32" s="28">
        <f>SUM(BD4:BD31)</f>
        <v/>
      </c>
      <c r="BE32" s="28">
        <f>SUM(BE4:BE31)</f>
        <v/>
      </c>
      <c r="BF32" s="28">
        <f>SUM(BF4:BF31)</f>
        <v/>
      </c>
      <c r="BG32" s="28">
        <f>SUM(BG4:BG31)</f>
        <v/>
      </c>
      <c r="BH32" s="28">
        <f>SUM(BH4:BH31)</f>
        <v/>
      </c>
      <c r="BI32" s="28">
        <f>SUM(BI4:BI31)</f>
        <v/>
      </c>
      <c r="BJ32" s="28">
        <f>SUM(BJ4:BJ31)</f>
        <v/>
      </c>
      <c r="BK32" s="28">
        <f>SUM(BK4:BK31)</f>
        <v/>
      </c>
      <c r="BL32" s="28">
        <f>SUM(BL4:BL31)</f>
        <v/>
      </c>
      <c r="BM32" s="52">
        <f>SUM(AI32:BL32)</f>
        <v/>
      </c>
      <c r="BN32" s="28">
        <f>SUM(BN4:BN31)</f>
        <v/>
      </c>
      <c r="BO32" s="28">
        <f>SUM(BO4:BO31)</f>
        <v/>
      </c>
      <c r="BP32" s="28">
        <f>SUM(BP3:BP31)</f>
        <v/>
      </c>
      <c r="BQ32" s="28">
        <f>SUM(BQ3:BQ31)</f>
        <v/>
      </c>
      <c r="BR32" s="28">
        <f>SUM(BR3:BR31)</f>
        <v/>
      </c>
      <c r="BS32" s="28">
        <f>SUM(BS3:BS31)</f>
        <v/>
      </c>
      <c r="BT32" s="28">
        <f>SUM(BT3:BT31)</f>
        <v/>
      </c>
      <c r="BU32" s="28">
        <f>SUM(BU3:BU31)</f>
        <v/>
      </c>
      <c r="BV32" s="28">
        <f>SUM(BV3:BV31)</f>
        <v/>
      </c>
      <c r="BW32" s="28">
        <f>SUM(BW3:BW31)</f>
        <v/>
      </c>
      <c r="BX32" s="28">
        <f>SUM(BX3:BX31)</f>
        <v/>
      </c>
      <c r="BY32" s="28">
        <f>SUM(BY3:BY31)</f>
        <v/>
      </c>
      <c r="BZ32" s="28">
        <f>SUM(BZ3:BZ31)</f>
        <v/>
      </c>
      <c r="CA32" s="28">
        <f>SUM(CA3:CA31)</f>
        <v/>
      </c>
      <c r="CB32" s="28">
        <f>SUM(CB3:CB31)</f>
        <v/>
      </c>
      <c r="CC32" s="28">
        <f>SUM(CC3:CC31)</f>
        <v/>
      </c>
      <c r="CD32" s="28">
        <f>SUM(CD3:CD31)</f>
        <v/>
      </c>
      <c r="CE32" s="28">
        <f>SUM(CE3:CE31)</f>
        <v/>
      </c>
      <c r="CF32" s="28">
        <f>SUM(CF3:CF31)</f>
        <v/>
      </c>
      <c r="CG32" s="28">
        <f>SUM(CG3:CG31)</f>
        <v/>
      </c>
      <c r="CH32" s="28">
        <f>SUM(CH3:CH31)</f>
        <v/>
      </c>
      <c r="CI32" s="28">
        <f>SUM(CI3:CI31)</f>
        <v/>
      </c>
      <c r="CJ32" s="28">
        <f>SUM(CJ3:CJ31)</f>
        <v/>
      </c>
      <c r="CL32" s="28">
        <f>SUM(CL3:CL31)</f>
        <v/>
      </c>
      <c r="CM32" s="28">
        <f>SUM(CM3:CM31)</f>
        <v/>
      </c>
      <c r="CN32" s="28">
        <f>SUM(CN3:CN31)</f>
        <v/>
      </c>
      <c r="CO32" s="28">
        <f>SUM(CO3:CO31)</f>
        <v/>
      </c>
      <c r="CP32" s="28">
        <f>SUM(CP3:CP31)</f>
        <v/>
      </c>
      <c r="CQ32" s="28">
        <f>SUM(CQ3:CQ31)</f>
        <v/>
      </c>
      <c r="CR32" s="28">
        <f>SUM(CR3:CR31)</f>
        <v/>
      </c>
      <c r="CS32" s="110">
        <f>SUM(BN32:CR32)</f>
        <v/>
      </c>
      <c r="CT32" s="28">
        <f>SUM(CT3:CT31)</f>
        <v/>
      </c>
      <c r="CU32" s="28">
        <f>SUM(CU3:CU31)</f>
        <v/>
      </c>
      <c r="CV32" s="28">
        <f>SUM(CV3:CV31)</f>
        <v/>
      </c>
      <c r="CW32" s="28">
        <f>SUM(CW3:CW31)</f>
        <v/>
      </c>
      <c r="CX32" s="28">
        <f>SUM(CX3:CX31)</f>
        <v/>
      </c>
      <c r="CY32" s="28">
        <f>SUM(CY3:CY31)</f>
        <v/>
      </c>
      <c r="CZ32" s="28">
        <f>SUM(CZ3:CZ31)</f>
        <v/>
      </c>
      <c r="DA32" s="28">
        <f>SUM(DA3:DA31)</f>
        <v/>
      </c>
      <c r="DB32" s="28">
        <f>SUM(DB3:DB31)</f>
        <v/>
      </c>
      <c r="DC32" s="28">
        <f>SUM(DC3:DC31)</f>
        <v/>
      </c>
      <c r="DD32" s="28">
        <f>SUM(DD3:DD31)</f>
        <v/>
      </c>
      <c r="DE32" s="28">
        <f>SUM(DE3:DE31)</f>
        <v/>
      </c>
      <c r="DF32" s="28">
        <f>SUM(DF3:DF31)</f>
        <v/>
      </c>
      <c r="DG32" s="28">
        <f>SUM(DG3:DG31)</f>
        <v/>
      </c>
      <c r="DH32" s="28">
        <f>SUM(DH3:DH31)</f>
        <v/>
      </c>
      <c r="DI32" s="28">
        <f>SUM(DI3:DI31)</f>
        <v/>
      </c>
      <c r="DJ32" s="28">
        <f>SUM(DJ3:DJ31)</f>
        <v/>
      </c>
      <c r="DK32" s="28">
        <f>SUM(DK3:DK31)</f>
        <v/>
      </c>
      <c r="DL32" s="28">
        <f>SUM(DL3:DL31)</f>
        <v/>
      </c>
      <c r="DM32" s="28">
        <f>SUM(DM3:DM31)</f>
        <v/>
      </c>
      <c r="DN32" s="28">
        <f>SUM(DN3:DN31)</f>
        <v/>
      </c>
      <c r="DO32" s="28">
        <f>SUM(DO3:DO31)</f>
        <v/>
      </c>
      <c r="DP32" s="28">
        <f>SUM(DP3:DP31)</f>
        <v/>
      </c>
      <c r="DQ32" s="28">
        <f>SUM(DQ3:DQ31)</f>
        <v/>
      </c>
      <c r="DR32" s="28">
        <f>SUM(DR3:DR31)</f>
        <v/>
      </c>
      <c r="DS32" s="28">
        <f>SUM(DS3:DS31)</f>
        <v/>
      </c>
      <c r="DT32" s="28">
        <f>SUM(DT3:DT31)</f>
        <v/>
      </c>
      <c r="DU32" s="28">
        <f>SUM(DU3:DU31)</f>
        <v/>
      </c>
      <c r="DV32" s="28">
        <f>SUM(DV3:DV31)</f>
        <v/>
      </c>
      <c r="DW32" s="28">
        <f>SUM(DW3:DW31)</f>
        <v/>
      </c>
      <c r="DX32" s="118">
        <f>SUM(CT32:DW32)</f>
        <v/>
      </c>
      <c r="DY32" s="28">
        <f>SUM(DY3:DY31)</f>
        <v/>
      </c>
      <c r="DZ32" s="28">
        <f>SUM(DZ3:DZ31)</f>
        <v/>
      </c>
      <c r="EA32" s="28">
        <f>SUM(EA3:EA31)</f>
        <v/>
      </c>
      <c r="EB32" s="28">
        <f>SUM(EB3:EB31)</f>
        <v/>
      </c>
      <c r="EC32" s="28">
        <f>SUM(EC3:EC31)</f>
        <v/>
      </c>
      <c r="ED32" s="28">
        <f>SUM(ED3:ED31)</f>
        <v/>
      </c>
      <c r="EE32" s="28">
        <f>SUM(EE3:EE31)</f>
        <v/>
      </c>
      <c r="EF32" s="28">
        <f>SUM(EF3:EF31)</f>
        <v/>
      </c>
      <c r="EG32" s="28">
        <f>SUM(EG3:EG31)</f>
        <v/>
      </c>
      <c r="EH32" s="28">
        <f>SUM(EH3:EH31)</f>
        <v/>
      </c>
      <c r="EI32" s="28">
        <f>SUM(EI3:EI31)</f>
        <v/>
      </c>
      <c r="EJ32" s="28">
        <f>SUM(EJ3:EJ31)</f>
        <v/>
      </c>
      <c r="EK32" s="28">
        <f>SUM(EK3:EK31)</f>
        <v/>
      </c>
      <c r="EL32" s="28">
        <f>SUM(EL3:EL31)</f>
        <v/>
      </c>
      <c r="EM32" s="28">
        <f>SUM(EM3:EM31)</f>
        <v/>
      </c>
      <c r="EN32" s="28">
        <f>SUM(EN3:EN31)</f>
        <v/>
      </c>
      <c r="EO32" s="28">
        <f>SUM(EO3:EO31)</f>
        <v/>
      </c>
      <c r="EP32" s="28">
        <f>SUM(EP3:EP31)</f>
        <v/>
      </c>
      <c r="EQ32" s="28">
        <f>SUM(EQ3:EQ31)</f>
        <v/>
      </c>
      <c r="ER32" s="28">
        <f>SUM(ER3:ER31)</f>
        <v/>
      </c>
      <c r="ES32" s="28">
        <f>SUM(ES3:ES31)</f>
        <v/>
      </c>
      <c r="ET32" s="28">
        <f>SUM(ET3:ET31)</f>
        <v/>
      </c>
      <c r="EU32" s="28">
        <f>SUM(EU3:EU31)</f>
        <v/>
      </c>
      <c r="EV32" s="28">
        <f>SUM(EV3:EV31)</f>
        <v/>
      </c>
      <c r="EW32" s="28">
        <f>SUM(EW3:EW31)</f>
        <v/>
      </c>
      <c r="EX32" s="28">
        <f>SUM(EX3:EX31)</f>
        <v/>
      </c>
      <c r="EY32" s="28">
        <f>SUM(EY3:EY31)</f>
        <v/>
      </c>
      <c r="EZ32" s="28">
        <f>SUM(EZ3:EZ31)</f>
        <v/>
      </c>
      <c r="FA32" s="28">
        <f>SUM(FA3:FA31)</f>
        <v/>
      </c>
      <c r="FB32" s="28">
        <f>SUM(FB3:FB31)</f>
        <v/>
      </c>
      <c r="FC32" s="28">
        <f>SUM(FC3:FC31)</f>
        <v/>
      </c>
      <c r="FD32" s="126" t="n"/>
      <c r="FE32" s="28">
        <f>SUM(FE3:FE31)</f>
        <v/>
      </c>
      <c r="FF32" s="28">
        <f>SUM(FF3:FF31)</f>
        <v/>
      </c>
      <c r="FG32" s="28">
        <f>SUM(FG3:FG31)</f>
        <v/>
      </c>
      <c r="FH32" s="28">
        <f>SUM(FH3:FH31)</f>
        <v/>
      </c>
      <c r="FI32" s="28">
        <f>SUM(FI3:FI31)</f>
        <v/>
      </c>
      <c r="FJ32" s="28">
        <f>SUM(FJ3:FJ31)</f>
        <v/>
      </c>
      <c r="FK32" s="28">
        <f>SUM(FK3:FK31)</f>
        <v/>
      </c>
      <c r="FL32" s="28">
        <f>SUM(FL3:FL31)</f>
        <v/>
      </c>
      <c r="FM32" s="28">
        <f>SUM(FM3:FM31)</f>
        <v/>
      </c>
      <c r="FN32" s="28">
        <f>SUM(FN3:FN31)</f>
        <v/>
      </c>
      <c r="FO32" s="28">
        <f>SUM(FO3:FO31)</f>
        <v/>
      </c>
      <c r="FP32" s="28">
        <f>SUM(FP3:FP31)</f>
        <v/>
      </c>
      <c r="FQ32" s="28">
        <f>SUM(FQ3:FQ31)</f>
        <v/>
      </c>
      <c r="FR32" s="28">
        <f>SUM(FR3:FR31)</f>
        <v/>
      </c>
      <c r="FS32" s="28">
        <f>SUM(FS3:FS31)</f>
        <v/>
      </c>
      <c r="FT32" s="28">
        <f>SUM(FT3:FT31)</f>
        <v/>
      </c>
      <c r="FU32" s="28">
        <f>SUM(FU3:FU31)</f>
        <v/>
      </c>
      <c r="FV32" s="28">
        <f>SUM(FV3:FV31)</f>
        <v/>
      </c>
      <c r="FW32" s="28">
        <f>SUM(FW3:FW31)</f>
        <v/>
      </c>
      <c r="FX32" s="28">
        <f>SUM(FX3:FX31)</f>
        <v/>
      </c>
      <c r="FY32" s="28">
        <f>SUM(FY3:FY31)</f>
        <v/>
      </c>
      <c r="FZ32" s="28">
        <f>SUM(FZ3:FZ31)</f>
        <v/>
      </c>
      <c r="GA32" s="28">
        <f>SUM(GA3:GA31)</f>
        <v/>
      </c>
      <c r="GB32" s="28">
        <f>SUM(GB3:GB31)</f>
        <v/>
      </c>
      <c r="GC32" s="28">
        <f>SUM(GC3:GC31)</f>
        <v/>
      </c>
      <c r="GD32" s="28">
        <f>SUM(GD3:GD31)</f>
        <v/>
      </c>
      <c r="GE32" s="28">
        <f>SUM(GE3:GE31)</f>
        <v/>
      </c>
      <c r="GF32" s="28">
        <f>SUM(GF3:GF31)</f>
        <v/>
      </c>
      <c r="GG32" s="28">
        <f>SUM(GG3:GG31)</f>
        <v/>
      </c>
      <c r="GH32" s="28">
        <f>SUM(GH3:GH31)</f>
        <v/>
      </c>
      <c r="GI32" s="28">
        <f>SUM(GI3:GI31)</f>
        <v/>
      </c>
      <c r="GJ32" s="106">
        <f>SUM(FE32:GI32)</f>
        <v/>
      </c>
      <c r="GK32" s="28">
        <f>SUM(GK3:GK31)</f>
        <v/>
      </c>
      <c r="GL32" s="28">
        <f>SUM(GL3:GL31)</f>
        <v/>
      </c>
      <c r="GM32" s="28">
        <f>SUM(GM3:GM31)</f>
        <v/>
      </c>
      <c r="GN32" s="28">
        <f>SUM(GN3:GN31)</f>
        <v/>
      </c>
      <c r="GO32" s="28">
        <f>SUM(GO3:GO31)</f>
        <v/>
      </c>
      <c r="GP32" s="28">
        <f>SUM(GP3:GP31)</f>
        <v/>
      </c>
      <c r="GQ32" s="28">
        <f>SUM(GQ3:GQ31)</f>
        <v/>
      </c>
      <c r="GR32" s="28">
        <f>SUM(GR3:GR31)</f>
        <v/>
      </c>
      <c r="GS32" s="28">
        <f>SUM(GS3:GS31)</f>
        <v/>
      </c>
      <c r="GT32" s="28">
        <f>SUM(GT3:GT31)</f>
        <v/>
      </c>
      <c r="GU32" s="28">
        <f>SUM(GU3:GU31)</f>
        <v/>
      </c>
      <c r="GV32" s="28">
        <f>SUM(GV3:GV31)</f>
        <v/>
      </c>
      <c r="GW32" s="28">
        <f>SUM(GW3:GW31)</f>
        <v/>
      </c>
      <c r="GX32" s="28">
        <f>SUM(GX3:GX31)</f>
        <v/>
      </c>
      <c r="GY32" s="28">
        <f>SUM(GY3:GY31)</f>
        <v/>
      </c>
      <c r="GZ32" s="28">
        <f>SUM(GZ3:GZ31)</f>
        <v/>
      </c>
      <c r="HA32" s="28">
        <f>SUM(HA3:HA31)</f>
        <v/>
      </c>
      <c r="HB32" s="28">
        <f>SUM(HB3:HB31)</f>
        <v/>
      </c>
      <c r="HC32" s="28">
        <f>SUM(HC3:HC31)</f>
        <v/>
      </c>
      <c r="HD32" s="28">
        <f>SUM(HD3:HD31)</f>
        <v/>
      </c>
      <c r="HE32" s="28">
        <f>SUM(HE3:HE31)</f>
        <v/>
      </c>
      <c r="HF32" s="28">
        <f>SUM(HF3:HF31)</f>
        <v/>
      </c>
      <c r="HG32" s="28">
        <f>SUM(HG3:HG31)</f>
        <v/>
      </c>
      <c r="HH32" s="28">
        <f>SUM(HH3:HH31)</f>
        <v/>
      </c>
      <c r="HI32" s="28">
        <f>SUM(HI3:HI31)</f>
        <v/>
      </c>
      <c r="HJ32" s="28">
        <f>SUM(HJ3:HJ31)</f>
        <v/>
      </c>
      <c r="HK32" s="28">
        <f>SUM(HK3:HK31)</f>
        <v/>
      </c>
      <c r="HL32" s="28">
        <f>SUM(HL3:HL31)</f>
        <v/>
      </c>
      <c r="HM32" s="28">
        <f>SUM(HM3:HM31)</f>
        <v/>
      </c>
      <c r="HN32" s="106">
        <f>SUM(HN3:HN31)</f>
        <v/>
      </c>
      <c r="HO32" s="106">
        <f>SUM(HO3:HO31)</f>
        <v/>
      </c>
      <c r="HP32" s="106">
        <f>SUM(HP3:HP31)</f>
        <v/>
      </c>
      <c r="HQ32" s="106">
        <f>SUM(HQ3:HQ31)</f>
        <v/>
      </c>
      <c r="HR32" s="106">
        <f>SUM(HR3:HR31)</f>
        <v/>
      </c>
      <c r="HS32" s="106">
        <f>SUM(HS3:HS31)</f>
        <v/>
      </c>
      <c r="HT32" s="106">
        <f>SUM(HT3:HT31)</f>
        <v/>
      </c>
      <c r="HU32" s="106">
        <f>SUM(HU3:HU31)</f>
        <v/>
      </c>
      <c r="HV32" s="106">
        <f>SUM(HV3:HV31)</f>
        <v/>
      </c>
      <c r="HW32" s="106">
        <f>SUM(HW3:HW31)</f>
        <v/>
      </c>
      <c r="HX32" s="106">
        <f>SUM(HX3:HX31)</f>
        <v/>
      </c>
      <c r="HY32" s="106">
        <f>SUM(HY3:HY31)</f>
        <v/>
      </c>
      <c r="HZ32" s="106">
        <f>SUM(HZ3:HZ31)</f>
        <v/>
      </c>
      <c r="IA32" s="106">
        <f>SUM(IA3:IA31)</f>
        <v/>
      </c>
      <c r="IB32" s="106">
        <f>SUM(IB3:IB31)</f>
        <v/>
      </c>
      <c r="IC32" s="106">
        <f>SUM(IC3:IC31)</f>
        <v/>
      </c>
      <c r="ID32" s="106">
        <f>SUM(ID3:ID31)</f>
        <v/>
      </c>
      <c r="IE32" s="106">
        <f>SUM(IE3:IE31)</f>
        <v/>
      </c>
      <c r="IF32" s="106">
        <f>SUM(IF3:IF31)</f>
        <v/>
      </c>
      <c r="IG32" s="106">
        <f>SUM(IG3:IG31)</f>
        <v/>
      </c>
      <c r="IH32" s="106">
        <f>SUM(IH3:IH31)</f>
        <v/>
      </c>
      <c r="II32" s="106">
        <f>SUM(II3:II31)</f>
        <v/>
      </c>
      <c r="IJ32" s="106">
        <f>SUM(IJ3:IJ31)</f>
        <v/>
      </c>
      <c r="IK32" s="106">
        <f>SUM(IK3:IK31)</f>
        <v/>
      </c>
      <c r="IL32" s="106">
        <f>SUM(IL3:IL31)</f>
        <v/>
      </c>
      <c r="IM32" s="106">
        <f>SUM(IM3:IM31)</f>
        <v/>
      </c>
      <c r="IN32" s="106">
        <f>SUM(IN3:IN31)</f>
        <v/>
      </c>
      <c r="IO32" s="106">
        <f>SUM(IO3:IO31)</f>
        <v/>
      </c>
      <c r="IP32" s="106">
        <f>SUM(IP3:IP31)</f>
        <v/>
      </c>
      <c r="IQ32" s="106">
        <f>SUM(IQ3:IQ31)</f>
        <v/>
      </c>
      <c r="IR32" s="106">
        <f>SUM(IR3:IR31)</f>
        <v/>
      </c>
      <c r="IS32" s="106">
        <f>SUM(IS3:IS31)</f>
        <v/>
      </c>
      <c r="IT32" s="106">
        <f>SUM(IT3:IT31)</f>
        <v/>
      </c>
      <c r="IU32" s="106">
        <f>SUM(IU3:IU31)</f>
        <v/>
      </c>
      <c r="IV32" s="106">
        <f>SUM(IV3:IV31)</f>
        <v/>
      </c>
      <c r="IW32" s="106">
        <f>SUM(IW3:IW31)</f>
        <v/>
      </c>
      <c r="IX32" s="106">
        <f>SUM(IX3:IX31)</f>
        <v/>
      </c>
      <c r="IY32" s="106">
        <f>SUM(IY3:IY31)</f>
        <v/>
      </c>
      <c r="IZ32" s="106">
        <f>SUM(IZ3:IZ31)</f>
        <v/>
      </c>
      <c r="JA32" s="106">
        <f>SUM(JA3:JA31)</f>
        <v/>
      </c>
      <c r="JB32" s="106">
        <f>SUM(JB3:JB31)</f>
        <v/>
      </c>
      <c r="JC32" s="106">
        <f>SUM(JC3:JC31)</f>
        <v/>
      </c>
      <c r="JD32" s="106">
        <f>SUM(JD3:JD31)</f>
        <v/>
      </c>
      <c r="JE32" s="106">
        <f>SUM(JE3:JE31)</f>
        <v/>
      </c>
      <c r="JF32" s="106">
        <f>SUM(JF3:JF31)</f>
        <v/>
      </c>
      <c r="JG32" s="106">
        <f>SUM(JG3:JG31)</f>
        <v/>
      </c>
      <c r="JH32" s="106">
        <f>SUM(JH3:JH31)</f>
        <v/>
      </c>
      <c r="JI32" s="106">
        <f>SUM(JI3:JI31)</f>
        <v/>
      </c>
      <c r="JJ32" s="106">
        <f>SUM(JJ3:JJ31)</f>
        <v/>
      </c>
      <c r="JK32" s="106">
        <f>SUM(JK3:JK31)</f>
        <v/>
      </c>
      <c r="JL32" s="106">
        <f>SUM(JL3:JL31)</f>
        <v/>
      </c>
      <c r="JM32" s="106">
        <f>SUM(JM3:JM31)</f>
        <v/>
      </c>
      <c r="JN32" s="106">
        <f>SUM(JN3:JN31)</f>
        <v/>
      </c>
      <c r="JO32" s="106">
        <f>SUM(JO3:JO31)</f>
        <v/>
      </c>
      <c r="JP32" s="106">
        <f>SUM(JP3:JP31)</f>
        <v/>
      </c>
      <c r="JQ32" s="106">
        <f>SUM(JQ3:JQ31)</f>
        <v/>
      </c>
      <c r="JR32" s="106">
        <f>SUM(JR3:JR31)</f>
        <v/>
      </c>
      <c r="JS32" s="106">
        <f>SUM(JS3:JS31)</f>
        <v/>
      </c>
      <c r="JT32" s="106">
        <f>SUM(JT3:JT31)</f>
        <v/>
      </c>
      <c r="JU32" s="106">
        <f>SUM(JU3:JU31)</f>
        <v/>
      </c>
      <c r="JV32" s="106">
        <f>SUM(JV3:JV31)</f>
        <v/>
      </c>
      <c r="JW32" s="106">
        <f>SUM(JW3:JW31)</f>
        <v/>
      </c>
      <c r="JX32" s="106">
        <f>SUM(JX3:JX31)</f>
        <v/>
      </c>
      <c r="JY32" s="106">
        <f>SUM(JY3:JY31)</f>
        <v/>
      </c>
      <c r="JZ32" s="106">
        <f>SUM(JZ3:JZ31)</f>
        <v/>
      </c>
      <c r="KA32" s="106">
        <f>SUM(KA3:KA31)</f>
        <v/>
      </c>
      <c r="KB32" s="106">
        <f>SUM(KB3:KB31)</f>
        <v/>
      </c>
      <c r="KC32" s="106">
        <f>SUM(KC3:KC31)</f>
        <v/>
      </c>
      <c r="KD32" s="106">
        <f>SUM(KD3:KD31)</f>
        <v/>
      </c>
      <c r="KE32" s="106">
        <f>SUM(KE3:KE31)</f>
        <v/>
      </c>
      <c r="KF32" s="106">
        <f>SUM(KF3:KF31)</f>
        <v/>
      </c>
      <c r="KG32" s="106">
        <f>SUM(KG3:KG31)</f>
        <v/>
      </c>
      <c r="KH32" s="106">
        <f>SUM(KH3:KH31)</f>
        <v/>
      </c>
      <c r="KI32" s="106">
        <f>SUM(KI3:KI31)</f>
        <v/>
      </c>
      <c r="KJ32" s="106">
        <f>SUM(KJ3:KJ31)</f>
        <v/>
      </c>
      <c r="KK32" s="106">
        <f>SUM(KK3:KK31)</f>
        <v/>
      </c>
      <c r="KL32" s="106">
        <f>SUM(KL3:KL31)</f>
        <v/>
      </c>
      <c r="KM32" s="106">
        <f>SUM(KM3:KM31)</f>
        <v/>
      </c>
      <c r="KN32" s="106">
        <f>SUM(KN3:KN31)</f>
        <v/>
      </c>
      <c r="KO32" s="106">
        <f>SUM(KO3:KO31)</f>
        <v/>
      </c>
      <c r="KP32" s="106">
        <f>SUM(KP3:KP31)</f>
        <v/>
      </c>
      <c r="KQ32" s="106">
        <f>SUM(KQ3:KQ31)</f>
        <v/>
      </c>
      <c r="KR32" s="106">
        <f>SUM(KR3:KR31)</f>
        <v/>
      </c>
      <c r="KS32" s="106">
        <f>SUM(KS3:KS31)</f>
        <v/>
      </c>
      <c r="KT32" s="106">
        <f>SUM(KT3:KT31)</f>
        <v/>
      </c>
      <c r="KU32" s="106">
        <f>SUM(KU3:KU31)</f>
        <v/>
      </c>
      <c r="KV32" s="106">
        <f>SUM(KV3:KV31)</f>
        <v/>
      </c>
      <c r="KW32" s="106">
        <f>SUM(KW3:KW31)</f>
        <v/>
      </c>
      <c r="KX32" s="106">
        <f>SUM(KX3:KX31)</f>
        <v/>
      </c>
      <c r="KY32" s="106">
        <f>SUM(KY3:KY31)</f>
        <v/>
      </c>
      <c r="KZ32" s="106">
        <f>SUM(KZ3:KZ31)</f>
        <v/>
      </c>
      <c r="LA32" s="106">
        <f>SUM(LA3:LA31)</f>
        <v/>
      </c>
      <c r="LB32" s="106">
        <f>SUM(LB3:LB31)</f>
        <v/>
      </c>
      <c r="LC32" s="106">
        <f>SUM(LC3:LC31)</f>
        <v/>
      </c>
      <c r="LD32" s="106">
        <f>SUM(LD3:LD31)</f>
        <v/>
      </c>
      <c r="LE32" s="106">
        <f>SUM(LE3:LE31)</f>
        <v/>
      </c>
      <c r="LF32" s="106">
        <f>SUM(LF3:LF31)</f>
        <v/>
      </c>
      <c r="LG32" s="106">
        <f>SUM(LG3:LG31)</f>
        <v/>
      </c>
      <c r="LH32" s="106">
        <f>SUM(LH3:LH31)</f>
        <v/>
      </c>
      <c r="LI32" s="106">
        <f>SUM(LI3:LI31)</f>
        <v/>
      </c>
      <c r="LJ32" s="106">
        <f>SUM(LJ3:LJ31)</f>
        <v/>
      </c>
      <c r="LK32" s="106">
        <f>SUM(LK3:LK31)</f>
        <v/>
      </c>
      <c r="LL32" s="106">
        <f>SUM(LL3:LL31)</f>
        <v/>
      </c>
      <c r="LM32" s="106">
        <f>SUM(LM3:LM31)</f>
        <v/>
      </c>
      <c r="LN32" s="106">
        <f>SUM(LN3:LN31)</f>
        <v/>
      </c>
      <c r="LO32" s="106">
        <f>SUM(LO3:LO31)</f>
        <v/>
      </c>
      <c r="LP32" s="106">
        <f>SUM(LP3:LP31)</f>
        <v/>
      </c>
      <c r="LQ32" s="106">
        <f>SUM(LQ3:LQ31)</f>
        <v/>
      </c>
      <c r="LR32" s="106">
        <f>SUM(LR3:LR31)</f>
        <v/>
      </c>
      <c r="LS32" s="106">
        <f>SUM(LS3:LS31)</f>
        <v/>
      </c>
      <c r="LT32" s="106">
        <f>SUM(LT3:LT31)</f>
        <v/>
      </c>
      <c r="LU32" s="106">
        <f>SUM(LU3:LU31)</f>
        <v/>
      </c>
      <c r="LV32" s="106">
        <f>SUM(LV3:LV31)</f>
        <v/>
      </c>
      <c r="LW32" s="106">
        <f>SUM(LW3:LW31)</f>
        <v/>
      </c>
      <c r="LX32" s="106">
        <f>SUM(LX3:LX31)</f>
        <v/>
      </c>
      <c r="LY32" s="106">
        <f>SUM(LY3:LY31)</f>
        <v/>
      </c>
      <c r="LZ32" s="106">
        <f>SUM(LZ3:LZ31)</f>
        <v/>
      </c>
      <c r="MA32" s="106">
        <f>SUM(MA3:MA31)</f>
        <v/>
      </c>
      <c r="MB32" s="106">
        <f>SUM(MB3:MB31)</f>
        <v/>
      </c>
      <c r="MC32" s="106">
        <f>SUM(MC3:MC31)</f>
        <v/>
      </c>
      <c r="MD32" s="106">
        <f>SUM(MD3:MD31)</f>
        <v/>
      </c>
      <c r="ME32" s="106">
        <f>SUM(ME3:ME31)</f>
        <v/>
      </c>
      <c r="MF32" s="106">
        <f>SUM(MF3:MF31)</f>
        <v/>
      </c>
      <c r="MG32" s="106">
        <f>SUM(MG3:MG31)</f>
        <v/>
      </c>
      <c r="MH32" s="106">
        <f>SUM(MH3:MH31)</f>
        <v/>
      </c>
      <c r="MI32" s="106">
        <f>SUM(MI3:MI31)</f>
        <v/>
      </c>
      <c r="MJ32" s="106">
        <f>SUM(MJ3:MJ31)</f>
        <v/>
      </c>
      <c r="MK32" s="106">
        <f>SUM(MK3:MK31)</f>
        <v/>
      </c>
      <c r="ML32" s="106">
        <f>SUM(ML3:ML31)</f>
        <v/>
      </c>
      <c r="MM32" s="106">
        <f>SUM(MM3:MM31)</f>
        <v/>
      </c>
      <c r="MN32" s="106">
        <f>SUM(MN3:MN31)</f>
        <v/>
      </c>
      <c r="MO32" s="106">
        <f>SUM(MO3:MO31)</f>
        <v/>
      </c>
      <c r="MP32" s="106">
        <f>SUM(MP3:MP31)</f>
        <v/>
      </c>
      <c r="MQ32" s="106">
        <f>SUM(MQ3:MQ31)</f>
        <v/>
      </c>
      <c r="MR32" s="106">
        <f>SUM(MR3:MR31)</f>
        <v/>
      </c>
      <c r="MS32" s="106">
        <f>SUM(MS3:MS31)</f>
        <v/>
      </c>
      <c r="MT32" s="106">
        <f>SUM(MT3:MT31)</f>
        <v/>
      </c>
      <c r="MU32" s="106">
        <f>SUM(MU3:MU31)</f>
        <v/>
      </c>
      <c r="MV32" s="106">
        <f>SUM(MV3:MV31)</f>
        <v/>
      </c>
      <c r="MW32" s="106">
        <f>SUM(MW3:MW31)</f>
        <v/>
      </c>
      <c r="MX32" s="106">
        <f>SUM(MX3:MX31)</f>
        <v/>
      </c>
      <c r="MY32" s="106">
        <f>SUM(MY3:MY31)</f>
        <v/>
      </c>
      <c r="MZ32" s="106">
        <f>SUM(MZ3:MZ31)</f>
        <v/>
      </c>
      <c r="NA32" s="106">
        <f>SUM(NA3:NA31)</f>
        <v/>
      </c>
      <c r="NB32" s="106">
        <f>SUM(NB3:NB31)</f>
        <v/>
      </c>
      <c r="NC32" s="106">
        <f>SUM(NC3:NC31)</f>
        <v/>
      </c>
      <c r="ND32" s="106">
        <f>SUM(ND3:ND31)</f>
        <v/>
      </c>
      <c r="NE32" s="106">
        <f>SUM(NE3:NE31)</f>
        <v/>
      </c>
      <c r="NF32" s="106">
        <f>SUM(NF3:NF31)</f>
        <v/>
      </c>
      <c r="NG32" s="106">
        <f>SUM(NG3:NG31)</f>
        <v/>
      </c>
      <c r="NH32" s="106">
        <f>SUM(NH3:NH31)</f>
        <v/>
      </c>
      <c r="NI32" s="106">
        <f>SUM(NI3:NI31)</f>
        <v/>
      </c>
      <c r="NJ32" s="106">
        <f>SUM(NJ3:NJ31)</f>
        <v/>
      </c>
      <c r="NK32" s="106">
        <f>SUM(NK3:NK31)</f>
        <v/>
      </c>
      <c r="NL32" s="106">
        <f>SUM(NL3:NL31)</f>
        <v/>
      </c>
      <c r="NM32" s="106">
        <f>SUM(NM3:NM31)</f>
        <v/>
      </c>
      <c r="NN32" s="106">
        <f>SUM(NN3:NN31)</f>
        <v/>
      </c>
      <c r="NO32" s="106">
        <f>SUM(NO3:NO31)</f>
        <v/>
      </c>
      <c r="NP32" s="106">
        <f>SUM(NP3:NP31)</f>
        <v/>
      </c>
      <c r="NQ32" s="106">
        <f>SUM(NQ3:NQ31)</f>
        <v/>
      </c>
      <c r="NR32" s="106">
        <f>SUM(NR3:NR31)</f>
        <v/>
      </c>
      <c r="NS32" s="106">
        <f>SUM(NS3:NS31)</f>
        <v/>
      </c>
      <c r="NT32" s="106">
        <f>SUM(NT3:NT31)</f>
        <v/>
      </c>
      <c r="NU32" s="106">
        <f>SUM(NU3:NU31)</f>
        <v/>
      </c>
      <c r="NV32" s="106">
        <f>SUM(NV3:NV31)</f>
        <v/>
      </c>
      <c r="NW32" s="106">
        <f>SUM(NW3:NW31)</f>
        <v/>
      </c>
      <c r="NX32" s="106">
        <f>SUM(NX3:NX31)</f>
        <v/>
      </c>
      <c r="NY32" s="106">
        <f>SUM(NY3:NY31)</f>
        <v/>
      </c>
      <c r="NZ32" s="106">
        <f>SUM(NZ3:NZ31)</f>
        <v/>
      </c>
      <c r="OA32" s="106">
        <f>SUM(OA3:OA31)</f>
        <v/>
      </c>
      <c r="OB32" s="106">
        <f>SUM(OB3:OB31)</f>
        <v/>
      </c>
      <c r="OC32" s="106">
        <f>SUM(OC3:OC31)</f>
        <v/>
      </c>
      <c r="OD32" s="106">
        <f>SUM(OD3:OD31)</f>
        <v/>
      </c>
      <c r="OE32" s="106">
        <f>SUM(OE3:OE31)</f>
        <v/>
      </c>
      <c r="OF32" s="106">
        <f>SUM(OF3:OF31)</f>
        <v/>
      </c>
      <c r="OG32" s="106">
        <f>SUM(OG3:OG31)</f>
        <v/>
      </c>
      <c r="OH32" s="106">
        <f>SUM(OH3:OH31)</f>
        <v/>
      </c>
      <c r="OI32" s="106">
        <f>SUM(OI3:OI31)</f>
        <v/>
      </c>
      <c r="OJ32" s="106">
        <f>SUM(OJ3:OJ31)</f>
        <v/>
      </c>
      <c r="OK32" s="106">
        <f>SUM(OK3:OK31)</f>
        <v/>
      </c>
      <c r="OL32" s="106">
        <f>SUM(OL3:OL31)</f>
        <v/>
      </c>
      <c r="OM32" s="106">
        <f>SUM(OM3:OM31)</f>
        <v/>
      </c>
      <c r="ON32" s="106">
        <f>SUM(ON3:ON31)</f>
        <v/>
      </c>
      <c r="OO32" s="106">
        <f>SUM(OO3:OO31)</f>
        <v/>
      </c>
      <c r="OP32" s="106">
        <f>SUM(OP3:OP31)</f>
        <v/>
      </c>
      <c r="OQ32" s="106">
        <f>SUM(OQ3:OQ31)</f>
        <v/>
      </c>
      <c r="OR32" s="106">
        <f>SUM(OR3:OR31)</f>
        <v/>
      </c>
      <c r="OS32" s="106">
        <f>SUM(OS3:OS31)</f>
        <v/>
      </c>
      <c r="OT32" s="106">
        <f>SUM(OT3:OT31)</f>
        <v/>
      </c>
      <c r="OU32" s="106">
        <f>SUM(OU3:OU31)</f>
        <v/>
      </c>
      <c r="OV32" s="106">
        <f>SUM(OV3:OV31)</f>
        <v/>
      </c>
      <c r="OW32" s="106">
        <f>SUM(OW3:OW31)</f>
        <v/>
      </c>
      <c r="OX32" s="106">
        <f>SUM(OX3:OX31)</f>
        <v/>
      </c>
      <c r="OY32" s="106">
        <f>SUM(OY3:OY31)</f>
        <v/>
      </c>
      <c r="OZ32" s="106">
        <f>SUM(OZ3:OZ31)</f>
        <v/>
      </c>
      <c r="PA32" s="106">
        <f>SUM(PA3:PA31)</f>
        <v/>
      </c>
      <c r="PB32" s="106">
        <f>SUM(PB3:PB31)</f>
        <v/>
      </c>
      <c r="PC32" s="106">
        <f>SUM(PC3:PC31)</f>
        <v/>
      </c>
      <c r="PD32" s="106">
        <f>SUM(PD3:PD31)</f>
        <v/>
      </c>
      <c r="PE32" s="106">
        <f>SUM(PE3:PE31)</f>
        <v/>
      </c>
      <c r="PF32" s="106">
        <f>SUM(PF3:PF31)</f>
        <v/>
      </c>
      <c r="PG32" s="106">
        <f>SUM(PG3:PG31)</f>
        <v/>
      </c>
      <c r="PH32" s="106">
        <f>SUM(PH3:PH31)</f>
        <v/>
      </c>
      <c r="PI32" s="106">
        <f>SUM(PI3:PI31)</f>
        <v/>
      </c>
      <c r="PJ32" s="106">
        <f>SUM(PJ3:PJ31)</f>
        <v/>
      </c>
      <c r="PK32" s="106">
        <f>SUM(PK3:PK31)</f>
        <v/>
      </c>
      <c r="PL32" s="106">
        <f>SUM(PL3:PL31)</f>
        <v/>
      </c>
      <c r="PM32" s="106">
        <f>SUM(PM3:PM31)</f>
        <v/>
      </c>
      <c r="PN32" s="106">
        <f>SUM(PN3:PN31)</f>
        <v/>
      </c>
      <c r="PO32" s="106">
        <f>SUM(PO3:PO31)</f>
        <v/>
      </c>
      <c r="PP32" s="106">
        <f>SUM(PP3:PP31)</f>
        <v/>
      </c>
      <c r="PQ32" s="106">
        <f>SUM(PQ3:PQ31)</f>
        <v/>
      </c>
      <c r="PR32" s="106">
        <f>SUM(PR3:PR31)</f>
        <v/>
      </c>
      <c r="PS32" s="106">
        <f>SUM(PS3:PS31)</f>
        <v/>
      </c>
      <c r="PT32" s="106">
        <f>SUM(PT3:PT31)</f>
        <v/>
      </c>
      <c r="PU32" s="106">
        <f>SUM(PU3:PU31)</f>
        <v/>
      </c>
      <c r="PV32" s="106">
        <f>SUM(PV3:PV31)</f>
        <v/>
      </c>
      <c r="PW32" s="106">
        <f>SUM(PW3:PW31)</f>
        <v/>
      </c>
      <c r="PX32" s="106">
        <f>SUM(PX3:PX31)</f>
        <v/>
      </c>
      <c r="PY32" s="106">
        <f>SUM(PY3:PY31)</f>
        <v/>
      </c>
      <c r="PZ32" s="106">
        <f>SUM(PZ3:PZ31)</f>
        <v/>
      </c>
      <c r="QA32" s="106">
        <f>SUM(QA3:QA31)</f>
        <v/>
      </c>
      <c r="QB32" s="106">
        <f>SUM(QB3:QB31)</f>
        <v/>
      </c>
      <c r="QC32" s="106">
        <f>SUM(QC3:QC31)</f>
        <v/>
      </c>
      <c r="QD32" s="106">
        <f>SUM(QD3:QD31)</f>
        <v/>
      </c>
      <c r="QE32" s="106">
        <f>SUM(QE3:QE31)</f>
        <v/>
      </c>
      <c r="QF32" s="106">
        <f>SUM(QF3:QF31)</f>
        <v/>
      </c>
      <c r="QG32" s="106">
        <f>SUM(QG3:QG31)</f>
        <v/>
      </c>
      <c r="QH32" s="106">
        <f>SUM(QH3:QH31)</f>
        <v/>
      </c>
      <c r="QI32" s="106">
        <f>SUM(QI3:QI31)</f>
        <v/>
      </c>
      <c r="QJ32" s="106">
        <f>SUM(QJ3:QJ31)</f>
        <v/>
      </c>
      <c r="QK32" s="106">
        <f>SUM(QK3:QK31)</f>
        <v/>
      </c>
      <c r="QL32" s="106">
        <f>SUM(QL3:QL31)</f>
        <v/>
      </c>
      <c r="QM32" s="106">
        <f>SUM(QM3:QM31)</f>
        <v/>
      </c>
      <c r="QN32" s="106">
        <f>SUM(QN3:QN31)</f>
        <v/>
      </c>
      <c r="QO32" s="106">
        <f>SUM(QO3:QO31)</f>
        <v/>
      </c>
      <c r="QP32" s="106">
        <f>SUM(QP3:QP31)</f>
        <v/>
      </c>
      <c r="QQ32" s="106">
        <f>SUM(QQ3:QQ31)</f>
        <v/>
      </c>
      <c r="QR32" s="106">
        <f>SUM(QR3:QR31)</f>
        <v/>
      </c>
      <c r="QS32" s="106">
        <f>SUM(QS3:QS31)</f>
        <v/>
      </c>
      <c r="QT32" s="106">
        <f>SUM(QT3:QT31)</f>
        <v/>
      </c>
      <c r="QU32" s="106">
        <f>SUM(QU3:QU31)</f>
        <v/>
      </c>
      <c r="QV32" s="106">
        <f>SUM(QV3:QV31)</f>
        <v/>
      </c>
      <c r="QW32" s="106">
        <f>SUM(QW3:QW31)</f>
        <v/>
      </c>
      <c r="QX32" s="106">
        <f>SUM(QX3:QX31)</f>
        <v/>
      </c>
      <c r="QY32" s="106">
        <f>SUM(QY3:QY31)</f>
        <v/>
      </c>
      <c r="QZ32" s="106">
        <f>SUM(QZ3:QZ31)</f>
        <v/>
      </c>
      <c r="RA32" s="106">
        <f>SUM(RA3:RA31)</f>
        <v/>
      </c>
      <c r="RB32" s="106">
        <f>SUM(RB3:RB31)</f>
        <v/>
      </c>
      <c r="RC32" s="106">
        <f>SUM(RC3:RC31)</f>
        <v/>
      </c>
      <c r="RD32" s="106">
        <f>SUM(RD3:RD31)</f>
        <v/>
      </c>
      <c r="RE32" s="106">
        <f>SUM(RE3:RE31)</f>
        <v/>
      </c>
      <c r="RF32" s="106">
        <f>SUM(RF3:RF31)</f>
        <v/>
      </c>
      <c r="RG32" s="106">
        <f>SUM(RG3:RG31)</f>
        <v/>
      </c>
      <c r="RH32" s="106">
        <f>SUM(RH3:RH31)</f>
        <v/>
      </c>
      <c r="RI32" s="106">
        <f>SUM(RI3:RI31)</f>
        <v/>
      </c>
      <c r="RJ32" s="106">
        <f>SUM(RJ3:RJ31)</f>
        <v/>
      </c>
      <c r="RK32" s="106">
        <f>SUM(RK3:RK31)</f>
        <v/>
      </c>
      <c r="RL32" s="106">
        <f>SUM(RL3:RL31)</f>
        <v/>
      </c>
      <c r="RM32" s="106">
        <f>SUM(RM3:RM31)</f>
        <v/>
      </c>
      <c r="RN32" s="106">
        <f>SUM(RN3:RN31)</f>
        <v/>
      </c>
      <c r="RO32" s="106">
        <f>SUM(RO3:RO31)</f>
        <v/>
      </c>
      <c r="RP32" s="106">
        <f>SUM(RP3:RP31)</f>
        <v/>
      </c>
      <c r="RQ32" s="106">
        <f>SUM(RQ3:RQ31)</f>
        <v/>
      </c>
      <c r="RR32" s="106">
        <f>SUM(RR3:RR31)</f>
        <v/>
      </c>
      <c r="RS32" s="106">
        <f>SUM(RS3:RS31)</f>
        <v/>
      </c>
      <c r="RT32" s="106">
        <f>SUM(RT3:RT31)</f>
        <v/>
      </c>
      <c r="RU32" s="106">
        <f>SUM(RU3:RU31)</f>
        <v/>
      </c>
      <c r="RV32" s="106">
        <f>SUM(RV3:RV31)</f>
        <v/>
      </c>
      <c r="RW32" s="106">
        <f>SUM(RW3:RW31)</f>
        <v/>
      </c>
      <c r="RX32" s="106">
        <f>SUM(RX3:RX31)</f>
        <v/>
      </c>
      <c r="RY32" s="106">
        <f>SUM(RY3:RY31)</f>
        <v/>
      </c>
      <c r="RZ32" s="106">
        <f>SUM(RZ3:RZ31)</f>
        <v/>
      </c>
      <c r="SA32" s="106">
        <f>SUM(SA3:SA31)</f>
        <v/>
      </c>
      <c r="SB32" s="106">
        <f>SUM(SB3:SB31)</f>
        <v/>
      </c>
      <c r="SC32" s="106">
        <f>SUM(SC3:SC31)</f>
        <v/>
      </c>
      <c r="SD32" s="106">
        <f>SUM(SD3:SD31)</f>
        <v/>
      </c>
      <c r="SE32" s="106">
        <f>SUM(SE3:SE31)</f>
        <v/>
      </c>
      <c r="SF32" s="106">
        <f>SUM(SF3:SF31)</f>
        <v/>
      </c>
      <c r="SG32" s="106">
        <f>SUM(SG3:SG31)</f>
        <v/>
      </c>
      <c r="SH32" s="106">
        <f>SUM(SH3:SH31)</f>
        <v/>
      </c>
      <c r="SI32" s="106">
        <f>SUM(SI3:SI31)</f>
        <v/>
      </c>
      <c r="SJ32" s="106">
        <f>SUM(SJ3:SJ31)</f>
        <v/>
      </c>
      <c r="SK32" s="106">
        <f>SUM(SK3:SK31)</f>
        <v/>
      </c>
      <c r="SL32" s="106">
        <f>SUM(SL3:SL31)</f>
        <v/>
      </c>
      <c r="SM32" s="106">
        <f>SUM(SM3:SM31)</f>
        <v/>
      </c>
      <c r="SN32" s="106">
        <f>SUM(SN3:SN31)</f>
        <v/>
      </c>
      <c r="SO32" s="106">
        <f>SUM(SO3:SO31)</f>
        <v/>
      </c>
      <c r="SP32" s="106">
        <f>SUM(SP3:SP31)</f>
        <v/>
      </c>
      <c r="SQ32" s="106">
        <f>SUM(SQ3:SQ31)</f>
        <v/>
      </c>
      <c r="SR32" s="106">
        <f>SUM(SR3:SR31)</f>
        <v/>
      </c>
      <c r="SS32" s="106">
        <f>SUM(SS3:SS31)</f>
        <v/>
      </c>
      <c r="ST32" s="106">
        <f>SUM(ST3:ST31)</f>
        <v/>
      </c>
      <c r="SU32" s="106">
        <f>SUM(SU3:SU31)</f>
        <v/>
      </c>
      <c r="SV32" s="106">
        <f>SUM(SV3:SV31)</f>
        <v/>
      </c>
      <c r="SW32" s="106">
        <f>SUM(SW3:SW31)</f>
        <v/>
      </c>
      <c r="SX32" s="106">
        <f>SUM(SX3:SX31)</f>
        <v/>
      </c>
      <c r="SY32" s="106">
        <f>SUM(SY3:SY31)</f>
        <v/>
      </c>
      <c r="SZ32" s="106">
        <f>SUM(SZ3:SZ31)</f>
        <v/>
      </c>
      <c r="TA32" s="106">
        <f>SUM(TA3:TA31)</f>
        <v/>
      </c>
      <c r="TB32" s="106">
        <f>SUM(TB3:TB31)</f>
        <v/>
      </c>
      <c r="TC32" s="106">
        <f>SUM(TC3:TC31)</f>
        <v/>
      </c>
      <c r="TD32" s="106">
        <f>SUM(TD3:TD31)</f>
        <v/>
      </c>
      <c r="TE32" s="106">
        <f>SUM(TE3:TE31)</f>
        <v/>
      </c>
      <c r="TF32" s="106">
        <f>SUM(TF3:TF31)</f>
        <v/>
      </c>
      <c r="TG32" s="106">
        <f>SUM(TG3:TG31)</f>
        <v/>
      </c>
      <c r="TH32" s="106">
        <f>SUM(TH3:TH31)</f>
        <v/>
      </c>
      <c r="TI32" s="106">
        <f>SUM(TI3:TI31)</f>
        <v/>
      </c>
      <c r="TJ32" s="106">
        <f>SUM(TJ3:TJ31)</f>
        <v/>
      </c>
      <c r="TK32" s="106">
        <f>SUM(TK3:TK31)</f>
        <v/>
      </c>
      <c r="TL32" s="106">
        <f>SUM(TL3:TL31)</f>
        <v/>
      </c>
      <c r="TM32" s="106">
        <f>SUM(TM3:TM31)</f>
        <v/>
      </c>
      <c r="TN32" s="106">
        <f>SUM(TN3:TN31)</f>
        <v/>
      </c>
      <c r="TO32" s="106">
        <f>SUM(TO3:TO31)</f>
        <v/>
      </c>
      <c r="TP32" s="106">
        <f>SUM(TP3:TP31)</f>
        <v/>
      </c>
      <c r="TQ32" s="106">
        <f>SUM(TQ3:TQ31)</f>
        <v/>
      </c>
      <c r="TR32" s="106">
        <f>SUM(TR3:TR31)</f>
        <v/>
      </c>
      <c r="TS32" s="106">
        <f>SUM(TS3:TS31)</f>
        <v/>
      </c>
      <c r="TT32" s="106">
        <f>SUM(TT3:TT31)</f>
        <v/>
      </c>
      <c r="TU32" s="106">
        <f>SUM(TU3:TU31)</f>
        <v/>
      </c>
      <c r="TV32" s="106">
        <f>SUM(TV3:TV31)</f>
        <v/>
      </c>
      <c r="TW32" s="106">
        <f>SUM(TW3:TW31)</f>
        <v/>
      </c>
      <c r="TX32" s="106">
        <f>SUM(TX3:TX31)</f>
        <v/>
      </c>
      <c r="TY32" s="106">
        <f>SUM(TY3:TY31)</f>
        <v/>
      </c>
      <c r="TZ32" s="106">
        <f>SUM(TZ3:TZ31)</f>
        <v/>
      </c>
      <c r="UA32" s="106">
        <f>SUM(UA3:UA31)</f>
        <v/>
      </c>
      <c r="UB32" s="106">
        <f>SUM(UB3:UB31)</f>
        <v/>
      </c>
      <c r="UC32" s="106">
        <f>SUM(UC3:UC31)</f>
        <v/>
      </c>
      <c r="UD32" s="106">
        <f>SUM(UD3:UD31)</f>
        <v/>
      </c>
      <c r="UE32" s="106">
        <f>SUM(UE3:UE31)</f>
        <v/>
      </c>
      <c r="UF32" s="106">
        <f>SUM(UF3:UF31)</f>
        <v/>
      </c>
      <c r="UG32" s="106">
        <f>SUM(UG3:UG31)</f>
        <v/>
      </c>
      <c r="UH32" s="106">
        <f>SUM(UH3:UH31)</f>
        <v/>
      </c>
      <c r="UI32" s="106">
        <f>SUM(UI3:UI31)</f>
        <v/>
      </c>
      <c r="UJ32" s="106">
        <f>SUM(UJ3:UJ31)</f>
        <v/>
      </c>
      <c r="UK32" s="106">
        <f>SUM(UK3:UK31)</f>
        <v/>
      </c>
      <c r="UL32" s="106">
        <f>SUM(UL3:UL31)</f>
        <v/>
      </c>
      <c r="UM32" s="106">
        <f>SUM(UM3:UM31)</f>
        <v/>
      </c>
      <c r="UN32" s="106">
        <f>SUM(UN3:UN31)</f>
        <v/>
      </c>
      <c r="UO32" s="106">
        <f>SUM(UO3:UO31)</f>
        <v/>
      </c>
      <c r="UP32" s="106">
        <f>SUM(UP3:UP31)</f>
        <v/>
      </c>
      <c r="UQ32" s="106">
        <f>SUM(UQ3:UQ31)</f>
        <v/>
      </c>
      <c r="UR32" s="106">
        <f>SUM(UR3:UR31)</f>
        <v/>
      </c>
      <c r="US32" s="106">
        <f>SUM(US3:US31)</f>
        <v/>
      </c>
      <c r="UT32" s="106">
        <f>SUM(UT3:UT31)</f>
        <v/>
      </c>
      <c r="UU32" s="106">
        <f>SUM(UU3:UU31)</f>
        <v/>
      </c>
      <c r="UV32" s="106">
        <f>SUM(UV3:UV31)</f>
        <v/>
      </c>
      <c r="UW32" s="106">
        <f>SUM(UW3:UW31)</f>
        <v/>
      </c>
      <c r="UX32" s="106">
        <f>SUM(UX3:UX31)</f>
        <v/>
      </c>
      <c r="UY32" s="130">
        <f>SUM(UY3:UY31)</f>
        <v/>
      </c>
      <c r="UZ32" s="106">
        <f>SUM(UZ3:UZ31)</f>
        <v/>
      </c>
      <c r="VA32" s="106">
        <f>SUM(VA3:VA31)</f>
        <v/>
      </c>
      <c r="VB32" s="106">
        <f>SUM(VB3:VB31)</f>
        <v/>
      </c>
      <c r="VC32" s="106">
        <f>SUM(VC3:VC31)</f>
        <v/>
      </c>
      <c r="VD32" s="106">
        <f>SUM(VD3:VD31)</f>
        <v/>
      </c>
      <c r="VE32" s="106">
        <f>SUM(VE3:VE31)</f>
        <v/>
      </c>
      <c r="VF32" s="106">
        <f>SUM(VF3:VF31)</f>
        <v/>
      </c>
      <c r="VG32" s="106">
        <f>SUM(VG3:VG31)</f>
        <v/>
      </c>
      <c r="VH32" s="106">
        <f>SUM(VH3:VH31)</f>
        <v/>
      </c>
      <c r="VI32" s="106">
        <f>SUM(VI3:VI31)</f>
        <v/>
      </c>
      <c r="VJ32" s="106">
        <f>SUM(VJ3:VJ31)</f>
        <v/>
      </c>
      <c r="VK32" s="106">
        <f>SUM(VK3:VK31)</f>
        <v/>
      </c>
      <c r="VL32" s="106">
        <f>SUM(VL3:VL31)</f>
        <v/>
      </c>
      <c r="VM32" s="106">
        <f>SUM(VM3:VM31)</f>
        <v/>
      </c>
      <c r="VN32" s="106">
        <f>SUM(VN3:VN31)</f>
        <v/>
      </c>
      <c r="VO32" s="106">
        <f>SUM(VO3:VO31)</f>
        <v/>
      </c>
      <c r="VP32" s="106">
        <f>SUM(VP3:VP31)</f>
        <v/>
      </c>
      <c r="VQ32" s="106">
        <f>SUM(VQ3:VQ31)</f>
        <v/>
      </c>
      <c r="VR32" s="106">
        <f>SUM(VR3:VR31)</f>
        <v/>
      </c>
      <c r="VS32" s="106">
        <f>SUM(VS3:VS31)</f>
        <v/>
      </c>
      <c r="VT32" s="106">
        <f>SUM(VT3:VT31)</f>
        <v/>
      </c>
      <c r="VU32" s="106">
        <f>SUM(VU3:VU31)</f>
        <v/>
      </c>
      <c r="VV32" s="106">
        <f>SUM(VV3:VV31)</f>
        <v/>
      </c>
      <c r="VW32" s="106">
        <f>SUM(VW3:VW31)</f>
        <v/>
      </c>
      <c r="VX32" s="106">
        <f>SUM(VX3:VX31)</f>
        <v/>
      </c>
      <c r="VY32" s="106">
        <f>SUM(VY3:VY31)</f>
        <v/>
      </c>
      <c r="VZ32" s="106">
        <f>SUM(VZ3:VZ31)</f>
        <v/>
      </c>
      <c r="WA32" s="106">
        <f>SUM(WA3:WA31)</f>
        <v/>
      </c>
      <c r="WB32" s="130">
        <f>SUM(WB3:WB31)</f>
        <v/>
      </c>
      <c r="WC32" s="106">
        <f>SUM(WC3:WC31)</f>
        <v/>
      </c>
      <c r="WD32" s="106">
        <f>SUM(WD3:WD31)</f>
        <v/>
      </c>
      <c r="WE32" s="106">
        <f>SUM(WE3:WE31)</f>
        <v/>
      </c>
      <c r="WF32" s="106">
        <f>SUM(WF3:WF31)</f>
        <v/>
      </c>
      <c r="WG32" s="106">
        <f>SUM(WG3:WG31)</f>
        <v/>
      </c>
      <c r="WH32" s="106">
        <f>SUM(WH3:WH31)</f>
        <v/>
      </c>
      <c r="WI32" s="106">
        <f>SUM(WI3:WI31)</f>
        <v/>
      </c>
      <c r="WJ32" s="106">
        <f>SUM(WJ3:WJ31)</f>
        <v/>
      </c>
      <c r="WK32" s="106">
        <f>SUM(WK3:WK31)</f>
        <v/>
      </c>
      <c r="WL32" s="106">
        <f>SUM(WL3:WL31)</f>
        <v/>
      </c>
      <c r="WM32" s="106">
        <f>SUM(WM3:WM31)</f>
        <v/>
      </c>
      <c r="WN32" s="106">
        <f>SUM(WN3:WN31)</f>
        <v/>
      </c>
      <c r="WO32" s="106">
        <f>SUM(WO3:WO31)</f>
        <v/>
      </c>
      <c r="WP32" s="106">
        <f>SUM(WP3:WP31)</f>
        <v/>
      </c>
      <c r="WQ32" s="106">
        <f>SUM(WQ3:WQ31)</f>
        <v/>
      </c>
      <c r="WR32" s="106">
        <f>SUM(WR3:WR31)</f>
        <v/>
      </c>
      <c r="WS32" s="106">
        <f>SUM(WS3:WS31)</f>
        <v/>
      </c>
      <c r="WT32" s="106">
        <f>SUM(WT3:WT31)</f>
        <v/>
      </c>
      <c r="WU32" s="106">
        <f>SUM(WU3:WU31)</f>
        <v/>
      </c>
      <c r="WV32" s="106">
        <f>SUM(WV3:WV31)</f>
        <v/>
      </c>
      <c r="WW32" s="106">
        <f>SUM(WW3:WW31)</f>
        <v/>
      </c>
      <c r="WX32" s="106">
        <f>SUM(WX3:WX31)</f>
        <v/>
      </c>
      <c r="WY32" s="106">
        <f>SUM(WY3:WY31)</f>
        <v/>
      </c>
      <c r="WZ32" s="106">
        <f>SUM(WZ3:WZ31)</f>
        <v/>
      </c>
      <c r="XA32" s="106">
        <f>SUM(XA3:XA31)</f>
        <v/>
      </c>
      <c r="XB32" s="106">
        <f>SUM(XB3:XB31)</f>
        <v/>
      </c>
      <c r="XC32" s="106">
        <f>SUM(XC3:XC31)</f>
        <v/>
      </c>
      <c r="XD32" s="106">
        <f>SUM(XD3:XD31)</f>
        <v/>
      </c>
      <c r="XE32" s="106">
        <f>SUM(XE3:XE31)</f>
        <v/>
      </c>
      <c r="XF32" s="106">
        <f>SUM(XF3:XF31)</f>
        <v/>
      </c>
      <c r="XG32" s="106">
        <f>SUM(XG3:XG31)</f>
        <v/>
      </c>
      <c r="XH32" s="130">
        <f>SUM(XH3:XH31)</f>
        <v/>
      </c>
      <c r="XI32" s="106">
        <f>SUM(XI3:XI31)</f>
        <v/>
      </c>
      <c r="XJ32" s="106">
        <f>SUM(XJ3:XJ31)</f>
        <v/>
      </c>
      <c r="XK32" s="106">
        <f>SUM(XK3:XK31)</f>
        <v/>
      </c>
      <c r="XL32" s="106">
        <f>SUM(XL3:XL31)</f>
        <v/>
      </c>
      <c r="XM32" s="106">
        <f>SUM(XM3:XM31)</f>
        <v/>
      </c>
      <c r="XN32" s="106">
        <f>SUM(XN3:XN31)</f>
        <v/>
      </c>
      <c r="XO32" s="106">
        <f>SUM(XO3:XO31)</f>
        <v/>
      </c>
      <c r="XP32" s="106">
        <f>SUM(XP3:XP31)</f>
        <v/>
      </c>
      <c r="XQ32" s="106">
        <f>SUM(XQ3:XQ31)</f>
        <v/>
      </c>
      <c r="XR32" s="106">
        <f>SUM(XR3:XR31)</f>
        <v/>
      </c>
      <c r="XS32" s="106">
        <f>SUM(XS3:XS31)</f>
        <v/>
      </c>
      <c r="XT32" s="106">
        <f>SUM(XT3:XT31)</f>
        <v/>
      </c>
      <c r="XU32" s="106">
        <f>SUM(XU3:XU31)</f>
        <v/>
      </c>
      <c r="XV32" s="106">
        <f>SUM(XV3:XV31)</f>
        <v/>
      </c>
      <c r="XW32" s="106">
        <f>SUM(XW3:XW31)</f>
        <v/>
      </c>
      <c r="XX32" s="106">
        <f>SUM(XX3:XX31)</f>
        <v/>
      </c>
      <c r="XY32" s="106">
        <f>SUM(XY3:XY31)</f>
        <v/>
      </c>
      <c r="XZ32" s="106">
        <f>SUM(XZ3:XZ31)</f>
        <v/>
      </c>
      <c r="YA32" s="106">
        <f>SUM(YA3:YA31)</f>
        <v/>
      </c>
      <c r="YB32" s="106">
        <f>SUM(YB3:YB31)</f>
        <v/>
      </c>
      <c r="YC32" s="106">
        <f>SUM(YC3:YC31)</f>
        <v/>
      </c>
      <c r="YD32" s="106">
        <f>SUM(YD3:YD31)</f>
        <v/>
      </c>
      <c r="YE32" s="106">
        <f>SUM(YE3:YE31)</f>
        <v/>
      </c>
      <c r="YF32" s="106">
        <f>SUM(YF3:YF31)</f>
        <v/>
      </c>
      <c r="YG32" s="106">
        <f>SUM(YG3:YG31)</f>
        <v/>
      </c>
      <c r="YH32" s="106">
        <f>SUM(YH3:YH31)</f>
        <v/>
      </c>
      <c r="YI32" s="106">
        <f>SUM(YI3:YI31)</f>
        <v/>
      </c>
      <c r="YJ32" s="106">
        <f>SUM(YJ3:YJ31)</f>
        <v/>
      </c>
      <c r="YK32" s="106">
        <f>SUM(YK3:YK31)</f>
        <v/>
      </c>
      <c r="YL32" s="106">
        <f>SUM(YL3:YL31)</f>
        <v/>
      </c>
      <c r="YM32" s="130">
        <f>SUM(YM3:YM31)</f>
        <v/>
      </c>
      <c r="YN32" s="106">
        <f>SUM(YN3:YN31)</f>
        <v/>
      </c>
      <c r="YO32" s="106">
        <f>SUM(YO3:YO31)</f>
        <v/>
      </c>
      <c r="YP32" s="106">
        <f>SUM(YP3:YP31)</f>
        <v/>
      </c>
      <c r="YQ32" s="106">
        <f>SUM(YQ3:YQ31)</f>
        <v/>
      </c>
      <c r="YR32" s="106">
        <f>SUM(YR3:YR31)</f>
        <v/>
      </c>
      <c r="YS32" s="106">
        <f>SUM(YS3:YS31)</f>
        <v/>
      </c>
      <c r="YT32" s="106">
        <f>SUM(YT3:YT31)</f>
        <v/>
      </c>
      <c r="YU32" s="106">
        <f>SUM(YU3:YU31)</f>
        <v/>
      </c>
      <c r="YV32" s="106">
        <f>SUM(YV3:YV31)</f>
        <v/>
      </c>
      <c r="YW32" s="106">
        <f>SUM(YW3:YW31)</f>
        <v/>
      </c>
      <c r="YX32" s="106">
        <f>SUM(YX3:YX31)</f>
        <v/>
      </c>
      <c r="YY32" s="106">
        <f>SUM(YY3:YY31)</f>
        <v/>
      </c>
      <c r="YZ32" s="106">
        <f>SUM(YZ3:YZ31)</f>
        <v/>
      </c>
      <c r="ZA32" s="106">
        <f>SUM(ZA3:ZA31)</f>
        <v/>
      </c>
      <c r="ZB32" s="106">
        <f>SUM(ZB3:ZB31)</f>
        <v/>
      </c>
      <c r="ZC32" s="106">
        <f>SUM(ZC3:ZC31)</f>
        <v/>
      </c>
      <c r="ZD32" s="106">
        <f>SUM(ZD3:ZD31)</f>
        <v/>
      </c>
      <c r="ZE32" s="106">
        <f>SUM(ZE3:ZE31)</f>
        <v/>
      </c>
      <c r="ZF32" s="106">
        <f>SUM(ZF3:ZF31)</f>
        <v/>
      </c>
      <c r="ZG32" s="106">
        <f>SUM(ZG3:ZG31)</f>
        <v/>
      </c>
      <c r="ZH32" s="106">
        <f>SUM(ZH3:ZH31)</f>
        <v/>
      </c>
      <c r="ZI32" s="106">
        <f>SUM(ZI3:ZI31)</f>
        <v/>
      </c>
      <c r="ZJ32" s="106">
        <f>SUM(ZJ3:ZJ31)</f>
        <v/>
      </c>
      <c r="ZK32" s="106">
        <f>SUM(ZK3:ZK31)</f>
        <v/>
      </c>
      <c r="ZL32" s="106">
        <f>SUM(ZL3:ZL31)</f>
        <v/>
      </c>
      <c r="ZM32" s="106">
        <f>SUM(ZM3:ZM31)</f>
        <v/>
      </c>
      <c r="ZN32" s="106">
        <f>SUM(ZN3:ZN31)</f>
        <v/>
      </c>
      <c r="ZO32" s="106">
        <f>SUM(ZO3:ZO31)</f>
        <v/>
      </c>
      <c r="ZP32" s="106">
        <f>SUM(ZP3:ZP31)</f>
        <v/>
      </c>
      <c r="ZQ32" s="106">
        <f>SUM(ZQ3:ZQ31)</f>
        <v/>
      </c>
      <c r="ZR32" s="106">
        <f>SUM(ZR3:ZR31)</f>
        <v/>
      </c>
      <c r="ZS32" s="130">
        <f>SUM(ZS3:ZS31)</f>
        <v/>
      </c>
      <c r="ZT32" s="106">
        <f>SUM(ZT3:ZT31)</f>
        <v/>
      </c>
      <c r="ZU32" s="106">
        <f>SUM(ZU3:ZU31)</f>
        <v/>
      </c>
      <c r="ZV32" s="106">
        <f>SUM(ZV3:ZV31)</f>
        <v/>
      </c>
      <c r="ZW32" s="106">
        <f>SUM(ZW3:ZW31)</f>
        <v/>
      </c>
      <c r="ZX32" s="106">
        <f>SUM(ZX3:ZX31)</f>
        <v/>
      </c>
      <c r="ZY32" s="106">
        <f>SUM(ZY3:ZY31)</f>
        <v/>
      </c>
      <c r="ZZ32" s="106">
        <f>SUM(ZZ3:ZZ31)</f>
        <v/>
      </c>
      <c r="AAA32" s="106">
        <f>SUM(AAA3:AAA31)</f>
        <v/>
      </c>
      <c r="AAB32" s="106">
        <f>SUM(AAB3:AAB31)</f>
        <v/>
      </c>
      <c r="AAC32" s="106">
        <f>SUM(AAC3:AAC31)</f>
        <v/>
      </c>
      <c r="AAD32" s="106">
        <f>SUM(AAD3:AAD31)</f>
        <v/>
      </c>
      <c r="AAE32" s="106">
        <f>SUM(AAE3:AAE31)</f>
        <v/>
      </c>
      <c r="AAF32" s="106">
        <f>SUM(AAF3:AAF31)</f>
        <v/>
      </c>
      <c r="AAG32" s="106">
        <f>SUM(AAG3:AAG31)</f>
        <v/>
      </c>
      <c r="AAH32" s="106">
        <f>SUM(AAH3:AAH31)</f>
        <v/>
      </c>
      <c r="AAI32" s="106">
        <f>SUM(AAI3:AAI31)</f>
        <v/>
      </c>
      <c r="AAJ32" s="106">
        <f>SUM(AAJ3:AAJ31)</f>
        <v/>
      </c>
      <c r="AAK32" s="106">
        <f>SUM(AAK3:AAK31)</f>
        <v/>
      </c>
      <c r="AAL32" s="106">
        <f>SUM(AAL3:AAL31)</f>
        <v/>
      </c>
      <c r="AAM32" s="106">
        <f>SUM(AAM3:AAM31)</f>
        <v/>
      </c>
      <c r="AAN32" s="106">
        <f>SUM(AAN3:AAN31)</f>
        <v/>
      </c>
      <c r="AAO32" s="106">
        <f>SUM(AAO3:AAO31)</f>
        <v/>
      </c>
      <c r="AAP32" s="106">
        <f>SUM(AAP3:AAP31)</f>
        <v/>
      </c>
      <c r="AAQ32" s="106">
        <f>SUM(AAQ3:AAQ31)</f>
        <v/>
      </c>
      <c r="AAR32" s="106">
        <f>SUM(AAR3:AAR31)</f>
        <v/>
      </c>
      <c r="AAS32" s="106">
        <f>SUM(AAS3:AAS31)</f>
        <v/>
      </c>
      <c r="AAT32" s="106">
        <f>SUM(AAT3:AAT31)</f>
        <v/>
      </c>
      <c r="AAU32" s="106">
        <f>SUM(AAU3:AAU31)</f>
        <v/>
      </c>
      <c r="AAV32" s="106">
        <f>SUM(AAV3:AAV31)</f>
        <v/>
      </c>
      <c r="AAW32" s="106">
        <f>SUM(AAW3:AAW31)</f>
        <v/>
      </c>
      <c r="AAX32" s="130">
        <f>SUM(AAX3:AAX31)</f>
        <v/>
      </c>
      <c r="AAY32" s="106">
        <f>SUM(AAY3:AAY31)</f>
        <v/>
      </c>
      <c r="AAZ32" s="106">
        <f>SUM(AAZ3:AAZ31)</f>
        <v/>
      </c>
      <c r="ABA32" s="106">
        <f>SUM(ABA3:ABA31)</f>
        <v/>
      </c>
      <c r="ABB32" s="106">
        <f>SUM(ABB3:ABB31)</f>
        <v/>
      </c>
      <c r="ABC32" s="106">
        <f>SUM(ABC3:ABC31)</f>
        <v/>
      </c>
      <c r="ABD32" s="106">
        <f>SUM(ABD3:ABD31)</f>
        <v/>
      </c>
      <c r="ABE32" s="106">
        <f>SUM(ABE3:ABE31)</f>
        <v/>
      </c>
      <c r="ABF32" s="106">
        <f>SUM(ABF3:ABF31)</f>
        <v/>
      </c>
      <c r="ABG32" s="106">
        <f>SUM(ABG3:ABG31)</f>
        <v/>
      </c>
      <c r="ABH32" s="106">
        <f>SUM(ABH3:ABH31)</f>
        <v/>
      </c>
      <c r="ABI32" s="106">
        <f>SUM(ABI3:ABI31)</f>
        <v/>
      </c>
      <c r="ABJ32" s="106">
        <f>SUM(ABJ3:ABJ31)</f>
        <v/>
      </c>
      <c r="ABK32" s="106">
        <f>SUM(ABK3:ABK31)</f>
        <v/>
      </c>
      <c r="ABL32" s="106">
        <f>SUM(ABL3:ABL31)</f>
        <v/>
      </c>
      <c r="ABM32" s="106">
        <f>SUM(ABM3:ABM31)</f>
        <v/>
      </c>
      <c r="ABN32" s="106">
        <f>SUM(ABN3:ABN31)</f>
        <v/>
      </c>
      <c r="ABO32" s="106">
        <f>SUM(ABO3:ABO31)</f>
        <v/>
      </c>
      <c r="ABP32" s="106">
        <f>SUM(ABP3:ABP31)</f>
        <v/>
      </c>
      <c r="ABQ32" s="106">
        <f>SUM(ABQ3:ABQ31)</f>
        <v/>
      </c>
      <c r="ABR32" s="106">
        <f>SUM(ABR3:ABR31)</f>
        <v/>
      </c>
      <c r="ABS32" s="106">
        <f>SUM(ABS3:ABS31)</f>
        <v/>
      </c>
      <c r="ABT32" s="106">
        <f>SUM(ABT3:ABT31)</f>
        <v/>
      </c>
      <c r="ABU32" s="106">
        <f>SUM(ABU3:ABU31)</f>
        <v/>
      </c>
      <c r="ABV32" s="106">
        <f>SUM(ABV3:ABV31)</f>
        <v/>
      </c>
      <c r="ABW32" s="106">
        <f>SUM(ABW3:ABW31)</f>
        <v/>
      </c>
      <c r="ABX32" s="106">
        <f>SUM(ABX3:ABX31)</f>
        <v/>
      </c>
      <c r="ABY32" s="106">
        <f>SUM(ABY3:ABY31)</f>
        <v/>
      </c>
      <c r="ABZ32" s="106">
        <f>SUM(ABZ3:ABZ31)</f>
        <v/>
      </c>
      <c r="ACA32" s="106">
        <f>SUM(ACA3:ACA31)</f>
        <v/>
      </c>
      <c r="ACB32" s="106">
        <f>SUM(ACB3:ACB31)</f>
        <v/>
      </c>
      <c r="ACC32" s="106">
        <f>SUM(ACC3:ACC31)</f>
        <v/>
      </c>
      <c r="ACD32" s="130">
        <f>SUM(ACD3:ACD31)</f>
        <v/>
      </c>
      <c r="ACE32" s="106">
        <f>SUM(ACE3:ACE31)</f>
        <v/>
      </c>
      <c r="ACF32" s="106">
        <f>SUM(ACF3:ACF31)</f>
        <v/>
      </c>
      <c r="ACG32" s="106">
        <f>SUM(ACG3:ACG31)</f>
        <v/>
      </c>
      <c r="ACH32" s="106">
        <f>SUM(ACH3:ACH31)</f>
        <v/>
      </c>
      <c r="ACI32" s="106">
        <f>SUM(ACI3:ACI31)</f>
        <v/>
      </c>
      <c r="ACJ32" s="106">
        <f>SUM(ACJ3:ACJ31)</f>
        <v/>
      </c>
      <c r="ACK32" s="106">
        <f>SUM(ACK3:ACK31)</f>
        <v/>
      </c>
      <c r="ACL32" s="106">
        <f>SUM(ACL3:ACL31)</f>
        <v/>
      </c>
      <c r="ACM32" s="106">
        <f>SUM(ACM3:ACM31)</f>
        <v/>
      </c>
      <c r="ACN32" s="106">
        <f>SUM(ACN3:ACN31)</f>
        <v/>
      </c>
      <c r="ACO32" s="106">
        <f>SUM(ACO3:ACO31)</f>
        <v/>
      </c>
      <c r="ACP32" s="106">
        <f>SUM(ACP3:ACP31)</f>
        <v/>
      </c>
      <c r="ACQ32" s="106">
        <f>SUM(ACQ3:ACQ31)</f>
        <v/>
      </c>
      <c r="ACR32" s="106">
        <f>SUM(ACR3:ACR31)</f>
        <v/>
      </c>
      <c r="ACS32" s="106">
        <f>SUM(ACS3:ACS31)</f>
        <v/>
      </c>
      <c r="ACT32" s="106">
        <f>SUM(ACT3:ACT31)</f>
        <v/>
      </c>
      <c r="ACU32" s="106">
        <f>SUM(ACU3:ACU31)</f>
        <v/>
      </c>
      <c r="ACV32" s="106">
        <f>SUM(ACV3:ACV31)</f>
        <v/>
      </c>
      <c r="ACW32" s="106">
        <f>SUM(ACW3:ACW31)</f>
        <v/>
      </c>
      <c r="ACX32" s="106">
        <f>SUM(ACX3:ACX31)</f>
        <v/>
      </c>
      <c r="ACY32" s="106">
        <f>SUM(ACY3:ACY31)</f>
        <v/>
      </c>
      <c r="ACZ32" s="106">
        <f>SUM(ACZ3:ACZ31)</f>
        <v/>
      </c>
      <c r="ADA32" s="106">
        <f>SUM(ADA3:ADA31)</f>
        <v/>
      </c>
      <c r="ADB32" s="106">
        <f>SUM(ADB3:ADB31)</f>
        <v/>
      </c>
      <c r="ADC32" s="106">
        <f>SUM(ADC3:ADC31)</f>
        <v/>
      </c>
      <c r="ADD32" s="106">
        <f>SUM(ADD3:ADD31)</f>
        <v/>
      </c>
      <c r="ADE32" s="106">
        <f>SUM(ADE3:ADE31)</f>
        <v/>
      </c>
      <c r="ADF32" s="106">
        <f>SUM(ADF3:ADF31)</f>
        <v/>
      </c>
      <c r="ADG32" s="106">
        <f>SUM(ADG3:ADG31)</f>
        <v/>
      </c>
      <c r="ADH32" s="106">
        <f>SUM(ADH3:ADH31)</f>
        <v/>
      </c>
      <c r="ADI32" s="106">
        <f>SUM(ADI3:ADI31)</f>
        <v/>
      </c>
      <c r="ADJ32" s="130">
        <f>SUM(ACE32:ADI32)</f>
        <v/>
      </c>
      <c r="ADK32" s="106">
        <f>SUM(ADK3:ADK31)</f>
        <v/>
      </c>
      <c r="ADL32" s="106">
        <f>SUM(ADL3:ADL31)</f>
        <v/>
      </c>
      <c r="ADM32" s="106">
        <f>SUM(ADM3:ADM31)</f>
        <v/>
      </c>
      <c r="ADN32" s="106">
        <f>SUM(ADN3:ADN31)</f>
        <v/>
      </c>
      <c r="ADO32" s="106">
        <f>SUM(ADO3:ADO31)</f>
        <v/>
      </c>
      <c r="ADP32" s="106">
        <f>SUM(ADP3:ADP31)</f>
        <v/>
      </c>
      <c r="ADQ32" s="106">
        <f>SUM(ADQ3:ADQ31)</f>
        <v/>
      </c>
      <c r="ADR32" s="106">
        <f>SUM(ADR3:ADR31)</f>
        <v/>
      </c>
      <c r="ADS32" s="106">
        <f>SUM(ADS3:ADS31)</f>
        <v/>
      </c>
      <c r="ADT32" s="106">
        <f>SUM(ADT3:ADT31)</f>
        <v/>
      </c>
      <c r="ADU32" s="106">
        <f>SUM(ADU3:ADU31)</f>
        <v/>
      </c>
      <c r="ADV32" s="106">
        <f>SUM(ADV3:ADV31)</f>
        <v/>
      </c>
      <c r="ADW32" s="106">
        <f>SUM(ADW3:ADW31)</f>
        <v/>
      </c>
      <c r="ADX32" s="106">
        <f>SUM(ADX3:ADX31)</f>
        <v/>
      </c>
      <c r="ADY32" s="106">
        <f>SUM(ADY3:ADY31)</f>
        <v/>
      </c>
      <c r="ADZ32" s="106">
        <f>SUM(ADZ3:ADZ31)</f>
        <v/>
      </c>
      <c r="AEA32" s="106">
        <f>SUM(AEA3:AEA31)</f>
        <v/>
      </c>
      <c r="AEB32" s="106">
        <f>SUM(AEB3:AEB31)</f>
        <v/>
      </c>
      <c r="AEC32" s="106">
        <f>SUM(AEC3:AEC31)</f>
        <v/>
      </c>
      <c r="AED32" s="106">
        <f>SUM(AED3:AED31)</f>
        <v/>
      </c>
      <c r="AEE32" s="106">
        <f>SUM(AEE3:AEE31)</f>
        <v/>
      </c>
      <c r="AEF32" s="106">
        <f>SUM(AEF3:AEF31)</f>
        <v/>
      </c>
      <c r="AEG32" s="106">
        <f>SUM(AEG3:AEG31)</f>
        <v/>
      </c>
      <c r="AEH32" s="106">
        <f>SUM(AEH3:AEH31)</f>
        <v/>
      </c>
      <c r="AEI32" s="106">
        <f>SUM(AEI3:AEI31)</f>
        <v/>
      </c>
      <c r="AEJ32" s="106">
        <f>SUM(AEJ3:AEJ31)</f>
        <v/>
      </c>
      <c r="AEK32" s="106">
        <f>SUM(AEK3:AEK31)</f>
        <v/>
      </c>
      <c r="AEL32" s="106">
        <f>SUM(AEL3:AEL31)</f>
        <v/>
      </c>
      <c r="AEM32" s="106">
        <f>SUM(AEM3:AEM31)</f>
        <v/>
      </c>
      <c r="AEN32" s="106">
        <f>SUM(AEN3:AEN31)</f>
        <v/>
      </c>
      <c r="AEO32" s="130">
        <f>SUM(ADK32:AEN32)</f>
        <v/>
      </c>
      <c r="AEP32" s="106">
        <f>SUM(AEP3:AEP31)</f>
        <v/>
      </c>
      <c r="AEQ32" s="106">
        <f>SUM(AEQ3:AEQ31)</f>
        <v/>
      </c>
      <c r="AER32" s="106">
        <f>SUM(AER3:AER31)</f>
        <v/>
      </c>
      <c r="AES32" s="106">
        <f>SUM(AES3:AES31)</f>
        <v/>
      </c>
      <c r="AET32" s="106">
        <f>SUM(AET3:AET31)</f>
        <v/>
      </c>
      <c r="AEU32" s="106">
        <f>SUM(AEU3:AEU31)</f>
        <v/>
      </c>
      <c r="AEV32" s="106">
        <f>SUM(AEV3:AEV31)</f>
        <v/>
      </c>
      <c r="AEW32" s="106">
        <f>SUM(AEW3:AEW31)</f>
        <v/>
      </c>
      <c r="AEX32" s="106">
        <f>SUM(AEX3:AEX31)</f>
        <v/>
      </c>
      <c r="AEY32" s="106">
        <f>SUM(AEY3:AEY31)</f>
        <v/>
      </c>
      <c r="AEZ32" s="106">
        <f>SUM(AEZ3:AEZ31)</f>
        <v/>
      </c>
      <c r="AFA32" s="106">
        <f>SUM(AFA3:AFA31)</f>
        <v/>
      </c>
      <c r="AFB32" s="106">
        <f>SUM(AFB3:AFB31)</f>
        <v/>
      </c>
      <c r="AFC32" s="106">
        <f>SUM(AFC3:AFC31)</f>
        <v/>
      </c>
      <c r="AFD32" s="106">
        <f>SUM(AFD3:AFD31)</f>
        <v/>
      </c>
      <c r="AFE32" s="106">
        <f>SUM(AFE3:AFE31)</f>
        <v/>
      </c>
      <c r="AFF32" s="106">
        <f>SUM(AFF3:AFF31)</f>
        <v/>
      </c>
      <c r="AFG32" s="106">
        <f>SUM(AFG3:AFG31)</f>
        <v/>
      </c>
      <c r="AFH32" s="106">
        <f>SUM(AFH3:AFH31)</f>
        <v/>
      </c>
      <c r="AFI32" s="106">
        <f>SUM(AFI3:AFI31)</f>
        <v/>
      </c>
      <c r="AFJ32" s="106">
        <f>SUM(AFJ3:AFJ31)</f>
        <v/>
      </c>
      <c r="AFK32" s="106">
        <f>SUM(AFK3:AFK31)</f>
        <v/>
      </c>
      <c r="AFL32" s="106">
        <f>SUM(AFL3:AFL31)</f>
        <v/>
      </c>
      <c r="AFM32" s="106">
        <f>SUM(AFM3:AFM31)</f>
        <v/>
      </c>
      <c r="AFN32" s="106">
        <f>SUM(AFN3:AFN31)</f>
        <v/>
      </c>
      <c r="AFO32" s="106">
        <f>SUM(AFO3:AFO31)</f>
        <v/>
      </c>
      <c r="AFP32" s="106">
        <f>SUM(AFP3:AFP31)</f>
        <v/>
      </c>
      <c r="AFQ32" s="106">
        <f>SUM(AFQ3:AFQ31)</f>
        <v/>
      </c>
      <c r="AFR32" s="106">
        <f>SUM(AFR3:AFR31)</f>
        <v/>
      </c>
      <c r="AFS32" s="106">
        <f>SUM(AFS3:AFS31)</f>
        <v/>
      </c>
      <c r="AFT32" s="106">
        <f>SUM(AFT3:AFT31)</f>
        <v/>
      </c>
      <c r="AFU32" s="130">
        <f>SUM(AEP32:AFT32)</f>
        <v/>
      </c>
      <c r="AFV32" s="106">
        <f>SUM(AFV3:AFV31)</f>
        <v/>
      </c>
      <c r="AFW32" s="106">
        <f>SUM(AFW3:AFW31)</f>
        <v/>
      </c>
      <c r="AFX32" s="106">
        <f>SUM(AFX3:AFX31)</f>
        <v/>
      </c>
      <c r="AFY32" s="106">
        <f>SUM(AFY3:AFY31)</f>
        <v/>
      </c>
      <c r="AFZ32" s="106">
        <f>SUM(AFZ3:AFZ31)</f>
        <v/>
      </c>
      <c r="AGA32" s="106">
        <f>SUM(AGA3:AGA31)</f>
        <v/>
      </c>
      <c r="AGB32" s="106">
        <f>SUM(AGB3:AGB31)</f>
        <v/>
      </c>
      <c r="AGC32" s="106">
        <f>SUM(AGC3:AGC31)</f>
        <v/>
      </c>
      <c r="AGD32" s="106">
        <f>SUM(AGD3:AGD31)</f>
        <v/>
      </c>
      <c r="AGE32" s="106">
        <f>SUM(AGE3:AGE31)</f>
        <v/>
      </c>
      <c r="AGF32" s="106">
        <f>SUM(AGF3:AGF31)</f>
        <v/>
      </c>
      <c r="AGG32" s="106">
        <f>SUM(AGG3:AGG31)</f>
        <v/>
      </c>
      <c r="AGH32" s="106">
        <f>SUM(AGH3:AGH31)</f>
        <v/>
      </c>
      <c r="AGI32" s="106">
        <f>SUM(AGI3:AGI31)</f>
        <v/>
      </c>
      <c r="AGJ32" s="106">
        <f>SUM(AGJ3:AGJ31)</f>
        <v/>
      </c>
      <c r="AGK32" s="106">
        <f>SUM(AGK3:AGK31)</f>
        <v/>
      </c>
      <c r="AGL32" s="106">
        <f>SUM(AGL3:AGL31)</f>
        <v/>
      </c>
      <c r="AGM32" s="106">
        <f>SUM(AGM3:AGM31)</f>
        <v/>
      </c>
      <c r="AGN32" s="106">
        <f>SUM(AGN3:AGN31)</f>
        <v/>
      </c>
      <c r="AGO32" s="106">
        <f>SUM(AGO3:AGO31)</f>
        <v/>
      </c>
      <c r="AGP32" s="106">
        <f>SUM(AGP3:AGP31)</f>
        <v/>
      </c>
      <c r="AGQ32" s="106">
        <f>SUM(AGQ3:AGQ31)</f>
        <v/>
      </c>
      <c r="AGR32" s="106">
        <f>SUM(AGR3:AGR31)</f>
        <v/>
      </c>
      <c r="AGS32" s="106">
        <f>SUM(AGS3:AGS31)</f>
        <v/>
      </c>
      <c r="AGT32" s="106">
        <f>SUM(AGT3:AGT31)</f>
        <v/>
      </c>
      <c r="AGU32" s="106">
        <f>SUM(AGU3:AGU31)</f>
        <v/>
      </c>
      <c r="AGV32" s="106">
        <f>SUM(AGV3:AGV31)</f>
        <v/>
      </c>
      <c r="AGW32" s="106">
        <f>SUM(AGW3:AGW31)</f>
        <v/>
      </c>
      <c r="AGX32" s="106">
        <f>SUM(AGX3:AGX31)</f>
        <v/>
      </c>
      <c r="AGY32" s="106">
        <f>SUM(AGY3:AGY31)</f>
        <v/>
      </c>
      <c r="AGZ32" s="133">
        <f>SUM(AGZ3:AGZ31)</f>
        <v/>
      </c>
      <c r="AHA32" s="106">
        <f>SUM(AHA3:AHA31)</f>
        <v/>
      </c>
      <c r="AHB32" s="106">
        <f>SUM(AHB3:AHB31)</f>
        <v/>
      </c>
      <c r="AHC32" s="106">
        <f>SUM(AHC3:AHC31)</f>
        <v/>
      </c>
      <c r="AHD32" s="106">
        <f>SUM(AHD3:AHD31)</f>
        <v/>
      </c>
      <c r="AHE32" s="106">
        <f>SUM(AHE3:AHE31)</f>
        <v/>
      </c>
      <c r="AHF32" s="106">
        <f>SUM(AHF3:AHF31)</f>
        <v/>
      </c>
      <c r="AHG32" s="106">
        <f>SUM(AHG3:AHG31)</f>
        <v/>
      </c>
      <c r="AHH32" s="106">
        <f>SUM(AHH3:AHH31)</f>
        <v/>
      </c>
      <c r="AHI32" s="106">
        <f>SUM(AHI3:AHI31)</f>
        <v/>
      </c>
      <c r="AHJ32" s="106">
        <f>SUM(AHJ3:AHJ31)</f>
        <v/>
      </c>
      <c r="AHK32" s="106">
        <f>SUM(AHK3:AHK31)</f>
        <v/>
      </c>
      <c r="AHL32" s="106">
        <f>SUM(AHL3:AHL31)</f>
        <v/>
      </c>
      <c r="AHM32" s="106">
        <f>SUM(AHM3:AHM31)</f>
        <v/>
      </c>
      <c r="AHN32" s="106">
        <f>SUM(AHN3:AHN31)</f>
        <v/>
      </c>
      <c r="AHO32" s="106">
        <f>SUM(AHO3:AHO31)</f>
        <v/>
      </c>
      <c r="AHP32" s="106">
        <f>SUM(AHP3:AHP31)</f>
        <v/>
      </c>
      <c r="AHQ32" s="106">
        <f>SUM(AHQ3:AHQ31)</f>
        <v/>
      </c>
      <c r="AHR32" s="106">
        <f>SUM(AHR3:AHR31)</f>
        <v/>
      </c>
      <c r="AHS32" s="106">
        <f>SUM(AHS3:AHS31)</f>
        <v/>
      </c>
      <c r="AHT32" s="106">
        <f>SUM(AHT3:AHT31)</f>
        <v/>
      </c>
      <c r="AHU32" s="106">
        <f>SUM(AHU3:AHU31)</f>
        <v/>
      </c>
      <c r="AHV32" s="106">
        <f>SUM(AHV3:AHV31)</f>
        <v/>
      </c>
      <c r="AHW32" s="106">
        <f>SUM(AHW3:AHW31)</f>
        <v/>
      </c>
      <c r="AHX32" s="106">
        <f>SUM(AHX3:AHX31)</f>
        <v/>
      </c>
      <c r="AHY32" s="106">
        <f>SUM(AHY3:AHY31)</f>
        <v/>
      </c>
      <c r="AHZ32" s="106">
        <f>SUM(AHZ3:AHZ31)</f>
        <v/>
      </c>
      <c r="AIA32" s="106">
        <f>SUM(AIA3:AIA31)</f>
        <v/>
      </c>
      <c r="AIB32" s="106">
        <f>SUM(AIB3:AIB31)</f>
        <v/>
      </c>
      <c r="AIC32" s="106">
        <f>SUM(AIC3:AIC31)</f>
        <v/>
      </c>
      <c r="AID32" s="106">
        <f>SUM(AID3:AID31)</f>
        <v/>
      </c>
      <c r="AIE32" s="106">
        <f>SUM(AIE3:AIE31)</f>
        <v/>
      </c>
      <c r="AIF32" s="112">
        <f>SUM(AIF3:AIF31)</f>
        <v/>
      </c>
      <c r="AIG32" s="106">
        <f>SUM(AIG3:AIG31)</f>
        <v/>
      </c>
      <c r="AIH32" s="106">
        <f>SUM(AIH3:AIH31)</f>
        <v/>
      </c>
      <c r="AII32" s="106">
        <f>SUM(AII3:AII31)</f>
        <v/>
      </c>
      <c r="AIJ32" s="106">
        <f>SUM(AIJ3:AIJ31)</f>
        <v/>
      </c>
      <c r="AIK32" s="106">
        <f>SUM(AIK3:AIK31)</f>
        <v/>
      </c>
      <c r="AIL32" s="106">
        <f>SUM(AIL3:AIL31)</f>
        <v/>
      </c>
      <c r="AIM32" s="106">
        <f>SUM(AIM3:AIM31)</f>
        <v/>
      </c>
      <c r="AIN32" s="106">
        <f>SUM(AIN3:AIN31)</f>
        <v/>
      </c>
      <c r="AIO32" s="106">
        <f>SUM(AIO3:AIO31)</f>
        <v/>
      </c>
      <c r="AIP32" s="106">
        <f>SUM(AIP3:AIP31)</f>
        <v/>
      </c>
      <c r="AIQ32" s="106">
        <f>SUM(AIQ3:AIQ31)</f>
        <v/>
      </c>
      <c r="AIR32" s="106">
        <f>SUM(AIR3:AIR31)</f>
        <v/>
      </c>
      <c r="AIS32" s="106">
        <f>SUM(AIS3:AIS31)</f>
        <v/>
      </c>
      <c r="AIT32" s="106">
        <f>SUM(AIT3:AIT31)</f>
        <v/>
      </c>
      <c r="AIU32" s="106">
        <f>SUM(AIU3:AIU31)</f>
        <v/>
      </c>
      <c r="AIV32" s="106">
        <f>SUM(AIV3:AIV31)</f>
        <v/>
      </c>
      <c r="AIW32" s="106">
        <f>SUM(AIW3:AIW31)</f>
        <v/>
      </c>
      <c r="AIX32" s="106">
        <f>SUM(AIX3:AIX31)</f>
        <v/>
      </c>
      <c r="AIY32" s="106">
        <f>SUM(AIY3:AIY31)</f>
        <v/>
      </c>
      <c r="AIZ32" s="106">
        <f>SUM(AIZ3:AIZ31)</f>
        <v/>
      </c>
      <c r="AJA32" s="106">
        <f>SUM(AJA3:AJA31)</f>
        <v/>
      </c>
      <c r="AJB32" s="106">
        <f>SUM(AJB3:AJB31)</f>
        <v/>
      </c>
      <c r="AJC32" s="106">
        <f>SUM(AJC3:AJC31)</f>
        <v/>
      </c>
      <c r="AJD32" s="106">
        <f>SUM(AJD3:AJD31)</f>
        <v/>
      </c>
      <c r="AJE32" s="106">
        <f>SUM(AJE3:AJE31)</f>
        <v/>
      </c>
      <c r="AJF32" s="106">
        <f>SUM(AJF3:AJF31)</f>
        <v/>
      </c>
      <c r="AJG32" s="106">
        <f>SUM(AJG3:AJG31)</f>
        <v/>
      </c>
      <c r="AJH32" s="106">
        <f>SUM(AJH3:AJH31)</f>
        <v/>
      </c>
      <c r="AJI32" s="106">
        <f>SUM(AJI3:AJI31)</f>
        <v/>
      </c>
      <c r="AJJ32" s="106">
        <f>SUM(AJJ3:AJJ31)</f>
        <v/>
      </c>
      <c r="AJK32" s="106">
        <f>SUM(AJK3:AJK31)</f>
        <v/>
      </c>
      <c r="AJL32" s="112">
        <f>SUM(AJL3:AJL31)</f>
        <v/>
      </c>
      <c r="AJM32" s="106">
        <f>SUM(AJM3:AJM31)</f>
        <v/>
      </c>
      <c r="AJN32" s="106">
        <f>SUM(AJN3:AJN31)</f>
        <v/>
      </c>
      <c r="AJO32" s="106">
        <f>SUM(AJO3:AJO31)</f>
        <v/>
      </c>
      <c r="AJP32" s="106">
        <f>SUM(AJP3:AJP31)</f>
        <v/>
      </c>
      <c r="AJQ32" s="106">
        <f>SUM(AJQ3:AJQ31)</f>
        <v/>
      </c>
      <c r="AJR32" s="106">
        <f>SUM(AJR3:AJR31)</f>
        <v/>
      </c>
      <c r="AJS32" s="106">
        <f>SUM(AJS3:AJS31)</f>
        <v/>
      </c>
      <c r="AJT32" s="106">
        <f>SUM(AJT3:AJT31)</f>
        <v/>
      </c>
      <c r="AJU32" s="106">
        <f>SUM(AJU3:AJU31)</f>
        <v/>
      </c>
      <c r="AJV32" s="106">
        <f>SUM(AJV3:AJV31)</f>
        <v/>
      </c>
      <c r="AJW32" s="106">
        <f>SUM(AJW3:AJW31)</f>
        <v/>
      </c>
      <c r="AJX32" s="106">
        <f>SUM(AJX3:AJX31)</f>
        <v/>
      </c>
      <c r="AJY32" s="106">
        <f>SUM(AJY3:AJY31)</f>
        <v/>
      </c>
      <c r="AJZ32" s="106">
        <f>SUM(AJZ3:AJZ31)</f>
        <v/>
      </c>
      <c r="AKA32" s="106">
        <f>SUM(AKA3:AKA31)</f>
        <v/>
      </c>
      <c r="AKB32" s="106">
        <f>SUM(AKB3:AKB31)</f>
        <v/>
      </c>
      <c r="AKC32" s="106">
        <f>SUM(AKC3:AKC31)</f>
        <v/>
      </c>
      <c r="AKD32" s="106">
        <f>SUM(AKD3:AKD31)</f>
        <v/>
      </c>
      <c r="AKE32" s="106">
        <f>SUM(AKE3:AKE31)</f>
        <v/>
      </c>
      <c r="AKF32" s="106">
        <f>SUM(AKF3:AKF31)</f>
        <v/>
      </c>
      <c r="AKG32" s="106">
        <f>SUM(AKG3:AKG31)</f>
        <v/>
      </c>
      <c r="AKH32" s="106">
        <f>SUM(AKH3:AKH31)</f>
        <v/>
      </c>
      <c r="AKI32" s="106">
        <f>SUM(AKI3:AKI31)</f>
        <v/>
      </c>
      <c r="AKJ32" s="106">
        <f>SUM(AKJ3:AKJ31)</f>
        <v/>
      </c>
      <c r="AKK32" s="106">
        <f>SUM(AKK3:AKK31)</f>
        <v/>
      </c>
      <c r="AKL32" s="106">
        <f>SUM(AKL3:AKL31)</f>
        <v/>
      </c>
      <c r="AKM32" s="106">
        <f>SUM(AKM3:AKM31)</f>
        <v/>
      </c>
      <c r="AKN32" s="106">
        <f>SUM(AKN3:AKN31)</f>
        <v/>
      </c>
      <c r="AKO32" s="145">
        <f>SUM(AJM32:AKN32)</f>
        <v/>
      </c>
      <c r="AKP32" s="106">
        <f>SUM(AKP3:AKP31)</f>
        <v/>
      </c>
      <c r="AKQ32" s="106">
        <f>SUM(AKQ3:AKQ31)</f>
        <v/>
      </c>
      <c r="AKR32" s="106">
        <f>SUM(AKR3:AKR31)</f>
        <v/>
      </c>
      <c r="AKS32" s="106">
        <f>SUM(AKS3:AKS31)</f>
        <v/>
      </c>
      <c r="AKT32" s="106">
        <f>SUM(AKT3:AKT31)</f>
        <v/>
      </c>
      <c r="AKU32" s="106">
        <f>SUM(AKU3:AKU31)</f>
        <v/>
      </c>
      <c r="AKV32" s="106">
        <f>SUM(AKV3:AKV31)</f>
        <v/>
      </c>
      <c r="AKW32" s="106">
        <f>SUM(AKW3:AKW31)</f>
        <v/>
      </c>
      <c r="AKX32" s="106">
        <f>SUM(AKX3:AKX31)</f>
        <v/>
      </c>
      <c r="AKY32" s="106">
        <f>SUM(AKY3:AKY31)</f>
        <v/>
      </c>
      <c r="AKZ32" s="106">
        <f>SUM(AKZ3:AKZ31)</f>
        <v/>
      </c>
      <c r="ALA32" s="106">
        <f>SUM(ALA3:ALA31)</f>
        <v/>
      </c>
      <c r="ALB32" s="106">
        <f>SUM(ALB3:ALB31)</f>
        <v/>
      </c>
      <c r="ALC32" s="106">
        <f>SUM(ALC3:ALC31)</f>
        <v/>
      </c>
      <c r="ALD32" s="106">
        <f>SUM(ALD3:ALD31)</f>
        <v/>
      </c>
      <c r="ALE32" s="106">
        <f>SUM(ALE3:ALE31)</f>
        <v/>
      </c>
      <c r="ALF32" s="106">
        <f>SUM(ALF3:ALF31)</f>
        <v/>
      </c>
      <c r="ALG32" s="106">
        <f>SUM(ALG3:ALG31)</f>
        <v/>
      </c>
      <c r="ALH32" s="106">
        <f>SUM(ALH3:ALH31)</f>
        <v/>
      </c>
      <c r="ALI32" s="106">
        <f>SUM(ALI3:ALI31)</f>
        <v/>
      </c>
      <c r="ALJ32" s="106">
        <f>SUM(ALJ3:ALJ31)</f>
        <v/>
      </c>
      <c r="ALK32" s="106">
        <f>SUM(ALK3:ALK31)</f>
        <v/>
      </c>
      <c r="ALL32" s="106">
        <f>SUM(ALL3:ALL31)</f>
        <v/>
      </c>
      <c r="ALM32" s="106">
        <f>SUM(ALM3:ALM31)</f>
        <v/>
      </c>
      <c r="ALN32" s="106">
        <f>SUM(ALN3:ALN31)</f>
        <v/>
      </c>
      <c r="ALO32" s="106">
        <f>SUM(ALO3:ALO31)</f>
        <v/>
      </c>
      <c r="ALP32" s="106">
        <f>SUM(ALP3:ALP31)</f>
        <v/>
      </c>
      <c r="ALQ32" s="106">
        <f>SUM(ALQ3:ALQ31)</f>
        <v/>
      </c>
      <c r="ALR32" s="106">
        <f>SUM(ALR3:ALR31)</f>
        <v/>
      </c>
      <c r="ALS32" s="106">
        <f>SUM(ALS3:ALS31)</f>
        <v/>
      </c>
      <c r="ALT32" s="106">
        <f>SUM(ALT3:ALT31)</f>
        <v/>
      </c>
      <c r="ALU32" s="145">
        <f>SUM(AKS32:ALT32)</f>
        <v/>
      </c>
      <c r="ALV32" s="106">
        <f>SUM(ALV3:ALV31)</f>
        <v/>
      </c>
      <c r="ALW32" s="106">
        <f>SUM(ALW3:ALW31)</f>
        <v/>
      </c>
      <c r="ALX32" s="106">
        <f>SUM(ALX3:ALX31)</f>
        <v/>
      </c>
      <c r="ALY32" s="106">
        <f>SUM(ALY3:ALY31)</f>
        <v/>
      </c>
      <c r="ALZ32" s="106">
        <f>SUM(ALZ3:ALZ31)</f>
        <v/>
      </c>
      <c r="AMA32" s="106">
        <f>SUM(AMA3:AMA31)</f>
        <v/>
      </c>
      <c r="AMB32" s="106">
        <f>SUM(AMB3:AMB31)</f>
        <v/>
      </c>
      <c r="AMC32" s="106">
        <f>SUM(AMC3:AMC31)</f>
        <v/>
      </c>
      <c r="AMD32" s="106">
        <f>SUM(AMD3:AMD31)</f>
        <v/>
      </c>
      <c r="AME32" s="106">
        <f>SUM(AME3:AME31)</f>
        <v/>
      </c>
      <c r="AMF32" s="106">
        <f>SUM(AMF3:AMF31)</f>
        <v/>
      </c>
      <c r="AMG32" s="106">
        <f>SUM(AMG3:AMG31)</f>
        <v/>
      </c>
      <c r="AMH32" s="106">
        <f>SUM(AMH3:AMH31)</f>
        <v/>
      </c>
      <c r="AMI32" s="106">
        <f>SUM(AMI3:AMI31)</f>
        <v/>
      </c>
      <c r="AMJ32" s="106">
        <f>SUM(AMJ3:AMJ31)</f>
        <v/>
      </c>
      <c r="AMK32" s="106">
        <f>SUM(AMK3:AMK31)</f>
        <v/>
      </c>
      <c r="AML32" s="106">
        <f>SUM(AML3:AML31)</f>
        <v/>
      </c>
      <c r="AMM32" s="106">
        <f>SUM(AMM3:AMM31)</f>
        <v/>
      </c>
      <c r="AMN32" s="106">
        <f>SUM(AMN3:AMN31)</f>
        <v/>
      </c>
      <c r="AMO32" s="106">
        <f>SUM(AMO3:AMO31)</f>
        <v/>
      </c>
      <c r="AMP32" s="106">
        <f>SUM(AMP3:AMP31)</f>
        <v/>
      </c>
      <c r="AMQ32" s="106">
        <f>SUM(AMQ3:AMQ31)</f>
        <v/>
      </c>
      <c r="AMR32" s="106">
        <f>SUM(AMR3:AMR31)</f>
        <v/>
      </c>
      <c r="AMS32" s="106">
        <f>SUM(AMS3:AMS31)</f>
        <v/>
      </c>
      <c r="AMT32" s="106">
        <f>SUM(AMT3:AMT31)</f>
        <v/>
      </c>
      <c r="AMU32" s="106">
        <f>SUM(AMU3:AMU31)</f>
        <v/>
      </c>
      <c r="AMV32" s="106">
        <f>SUM(AMV3:AMV31)</f>
        <v/>
      </c>
      <c r="AMW32" s="106">
        <f>SUM(AMW3:AMW31)</f>
        <v/>
      </c>
      <c r="AMX32" s="106">
        <f>SUM(AMX3:AMX31)</f>
        <v/>
      </c>
      <c r="AMY32" s="106">
        <f>SUM(AMY3:AMY31)</f>
        <v/>
      </c>
      <c r="AMZ32" s="145">
        <f>SUM(ALV32:AMY32)</f>
        <v/>
      </c>
      <c r="ANA32" s="106">
        <f>SUM(ANA3:ANA31)</f>
        <v/>
      </c>
      <c r="ANB32" s="106">
        <f>SUM(ANB3:ANB31)</f>
        <v/>
      </c>
      <c r="ANC32" s="106">
        <f>SUM(ANC3:ANC31)</f>
        <v/>
      </c>
      <c r="AND32" s="106">
        <f>SUM(AND3:AND31)</f>
        <v/>
      </c>
      <c r="ANE32" s="106">
        <f>SUM(ANE3:ANE31)</f>
        <v/>
      </c>
      <c r="ANF32" s="106">
        <f>SUM(ANF3:ANF31)</f>
        <v/>
      </c>
      <c r="ANG32" s="106">
        <f>SUM(ANG3:ANG31)</f>
        <v/>
      </c>
      <c r="ANH32" s="106">
        <f>SUM(ANH3:ANH31)</f>
        <v/>
      </c>
      <c r="ANI32" s="106">
        <f>SUM(ANI3:ANI31)</f>
        <v/>
      </c>
      <c r="ANJ32" s="106">
        <f>SUM(ANJ3:ANJ31)</f>
        <v/>
      </c>
      <c r="ANK32" s="106">
        <f>SUM(ANK3:ANK31)</f>
        <v/>
      </c>
      <c r="ANL32" s="106">
        <f>SUM(ANL3:ANL31)</f>
        <v/>
      </c>
      <c r="ANM32" s="106">
        <f>SUM(ANM3:ANM31)</f>
        <v/>
      </c>
      <c r="ANN32" s="106">
        <f>SUM(ANN3:ANN31)</f>
        <v/>
      </c>
      <c r="ANO32" s="106">
        <f>SUM(ANO3:ANO31)</f>
        <v/>
      </c>
      <c r="ANP32" s="106">
        <f>SUM(ANP3:ANP31)</f>
        <v/>
      </c>
      <c r="ANQ32" s="106">
        <f>SUM(ANQ3:ANQ31)</f>
        <v/>
      </c>
      <c r="ANR32" s="106">
        <f>SUM(ANR3:ANR31)</f>
        <v/>
      </c>
      <c r="ANS32" s="106">
        <f>SUM(ANS3:ANS31)</f>
        <v/>
      </c>
      <c r="ANT32" s="106">
        <f>SUM(ANT3:ANT31)</f>
        <v/>
      </c>
      <c r="ANU32" s="106">
        <f>SUM(ANU3:ANU31)</f>
        <v/>
      </c>
      <c r="ANV32" s="106">
        <f>SUM(ANV3:ANV31)</f>
        <v/>
      </c>
      <c r="ANW32" s="106">
        <f>SUM(ANW3:ANW31)</f>
        <v/>
      </c>
      <c r="ANX32" s="106">
        <f>SUM(ANX3:ANX31)</f>
        <v/>
      </c>
      <c r="ANY32" s="106">
        <f>SUM(ANY3:ANY31)</f>
        <v/>
      </c>
      <c r="ANZ32" s="106">
        <f>SUM(ANZ3:ANZ31)</f>
        <v/>
      </c>
      <c r="AOA32" s="106">
        <f>SUM(AOA3:AOA31)</f>
        <v/>
      </c>
      <c r="AOB32" s="106">
        <f>SUM(AOB3:AOB31)</f>
        <v/>
      </c>
      <c r="AOC32" s="106">
        <f>SUM(AOC3:AOC31)</f>
        <v/>
      </c>
      <c r="AOD32" s="106">
        <f>SUM(AOD3:AOD31)</f>
        <v/>
      </c>
    </row>
    <row r="33">
      <c r="CK33" s="28">
        <f>SUM(CK3:CK32)</f>
        <v/>
      </c>
      <c r="FD33" s="126" t="n"/>
      <c r="AFV33" s="147" t="inlineStr">
        <is>
          <t>stolen</t>
        </is>
      </c>
    </row>
    <row r="34">
      <c r="FD34" s="126" t="n"/>
      <c r="AFV34" s="147" t="n">
        <v>2224432</v>
      </c>
    </row>
    <row r="35">
      <c r="FD35" s="126" t="n"/>
    </row>
    <row r="36">
      <c r="BP36" t="n">
        <v>1200000</v>
      </c>
      <c r="FD36" s="126" t="n"/>
      <c r="HR36">
        <f>224000+69000+2000</f>
        <v/>
      </c>
      <c r="AIM36" t="inlineStr">
        <is>
          <t>cash withdrow 3600000 buy dollar 1000 bank stanbic</t>
        </is>
      </c>
    </row>
    <row r="37">
      <c r="BP37" t="n">
        <v>2707000</v>
      </c>
      <c r="FD37" s="126" t="n"/>
      <c r="AIM37" t="inlineStr">
        <is>
          <t>cash withdrow 6500000 for shifan school fee</t>
        </is>
      </c>
    </row>
    <row r="38">
      <c r="BP38" t="n">
        <v>20000</v>
      </c>
      <c r="FD38" s="126" t="n"/>
      <c r="ADW38" t="inlineStr">
        <is>
          <t>17th</t>
        </is>
      </c>
      <c r="ADX38" t="n">
        <v>85000</v>
      </c>
      <c r="ADY38" t="inlineStr">
        <is>
          <t>blasio</t>
        </is>
      </c>
    </row>
    <row r="39">
      <c r="BP39">
        <f>SUM(BP36:BP38)</f>
        <v/>
      </c>
      <c r="FD39" s="126" t="n"/>
      <c r="ADX39" t="n">
        <v>110000</v>
      </c>
      <c r="ADY39" t="inlineStr">
        <is>
          <t>baker</t>
        </is>
      </c>
    </row>
    <row r="40">
      <c r="EG40" t="n">
        <v>100000</v>
      </c>
      <c r="FD40" s="126" t="n"/>
      <c r="ADX40" t="n">
        <v>70000</v>
      </c>
      <c r="ADY40" t="inlineStr">
        <is>
          <t>ricky</t>
        </is>
      </c>
    </row>
    <row r="41">
      <c r="EG41" t="n">
        <v>10000</v>
      </c>
      <c r="FD41" s="126" t="n"/>
      <c r="ADX41" t="n">
        <v>50000</v>
      </c>
      <c r="ADY41" t="inlineStr">
        <is>
          <t>latif</t>
        </is>
      </c>
    </row>
    <row r="42">
      <c r="EG42" t="n">
        <v>100000</v>
      </c>
      <c r="FD42" s="126" t="n"/>
    </row>
    <row r="43">
      <c r="EG43" t="n">
        <v>2000</v>
      </c>
      <c r="FD43" s="126" t="n"/>
    </row>
    <row r="44">
      <c r="EG44" t="n">
        <v>35067</v>
      </c>
      <c r="FD44" s="126" t="n"/>
      <c r="UU44" t="n">
        <v>35000</v>
      </c>
    </row>
    <row r="45">
      <c r="EG45" t="n">
        <v>48500</v>
      </c>
      <c r="FD45" s="126" t="n"/>
    </row>
    <row r="46">
      <c r="EG46" t="n">
        <v>151900</v>
      </c>
      <c r="FD46" s="126" t="n"/>
    </row>
    <row r="47">
      <c r="EG47" t="n">
        <v>1200</v>
      </c>
      <c r="FD47" s="126" t="n"/>
      <c r="QY47" t="n">
        <v>7</v>
      </c>
    </row>
    <row r="48">
      <c r="EG48">
        <f>SUM(EG40:EG47)</f>
        <v/>
      </c>
    </row>
  </sheetData>
  <mergeCells count="1">
    <mergeCell ref="A3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OF48"/>
  <sheetViews>
    <sheetView zoomScaleNormal="180" workbookViewId="0">
      <pane xSplit="3" ySplit="3" topLeftCell="AOF4" activePane="bottomRight" state="frozen"/>
      <selection pane="topRight" activeCell="D1" sqref="D1"/>
      <selection pane="bottomLeft" activeCell="A4" sqref="A4"/>
      <selection pane="bottomRight" activeCell="AOF25" sqref="AOF25"/>
    </sheetView>
  </sheetViews>
  <sheetFormatPr baseColWidth="10" defaultColWidth="8.83203125" defaultRowHeight="15"/>
  <cols>
    <col width="19.83203125" customWidth="1" style="160" min="2" max="2"/>
    <col width="15.83203125" customWidth="1" style="160" min="3" max="3"/>
    <col width="12.1640625" customWidth="1" style="160" min="4" max="4"/>
    <col width="15" bestFit="1" customWidth="1" style="160" min="5" max="5"/>
    <col width="10.6640625" bestFit="1" customWidth="1" style="160" min="6" max="8"/>
    <col width="11.6640625" customWidth="1" style="160" min="9" max="9"/>
    <col width="10.6640625" bestFit="1" customWidth="1" style="160" min="10" max="11"/>
    <col width="11.6640625" customWidth="1" style="160" min="12" max="12"/>
    <col width="11.1640625" customWidth="1" style="160" min="13" max="13"/>
    <col width="10.83203125" customWidth="1" style="160" min="14" max="16"/>
    <col width="10.6640625" customWidth="1" style="160" min="17" max="17"/>
    <col width="11.1640625" customWidth="1" style="160" min="18" max="18"/>
    <col width="12" customWidth="1" style="160" min="19" max="19"/>
    <col width="12.1640625" customWidth="1" style="160" min="20" max="21"/>
    <col width="11.5" customWidth="1" style="160" min="22" max="22"/>
    <col width="13.1640625" customWidth="1" style="160" min="23" max="23"/>
    <col width="11.5" customWidth="1" style="160" min="24" max="24"/>
    <col width="11.1640625" bestFit="1" customWidth="1" style="160" min="25" max="25"/>
    <col width="12.1640625" customWidth="1" style="160" min="26" max="26"/>
    <col width="13.1640625" customWidth="1" style="160" min="27" max="27"/>
    <col width="12.1640625" customWidth="1" style="160" min="28" max="28"/>
    <col width="11.5" customWidth="1" style="160" min="29" max="29"/>
    <col width="12.5" customWidth="1" style="160" min="30" max="31"/>
    <col width="11.5" customWidth="1" style="160" min="32" max="32"/>
    <col width="10.6640625" customWidth="1" style="160" min="33" max="33"/>
    <col width="11" customWidth="1" style="160" min="34" max="34"/>
    <col width="16" customWidth="1" style="160" min="35" max="35"/>
    <col width="14.83203125" customWidth="1" style="160" min="36" max="36"/>
    <col width="11.83203125" bestFit="1" customWidth="1" style="160" min="37" max="39"/>
    <col width="13.1640625" customWidth="1" style="160" min="40" max="40"/>
    <col width="12.5" customWidth="1" style="160" min="41" max="41"/>
    <col width="13.1640625" customWidth="1" style="160" min="42" max="42"/>
    <col width="11.83203125" bestFit="1" customWidth="1" style="160" min="43" max="51"/>
    <col width="13.1640625" customWidth="1" style="160" min="52" max="52"/>
    <col width="13" customWidth="1" style="160" min="53" max="53"/>
    <col width="11.83203125" bestFit="1" customWidth="1" style="160" min="54" max="54"/>
    <col width="13.1640625" customWidth="1" style="160" min="55" max="55"/>
    <col width="11.83203125" bestFit="1" customWidth="1" style="160" min="56" max="57"/>
    <col width="14.6640625" customWidth="1" style="160" min="58" max="58"/>
    <col width="11.83203125" bestFit="1" customWidth="1" style="160" min="59" max="61"/>
    <col width="13.83203125" customWidth="1" style="160" min="62" max="62"/>
    <col width="11.83203125" bestFit="1" customWidth="1" style="160" min="63" max="65"/>
    <col width="12.5" customWidth="1" style="160" min="66" max="66"/>
    <col width="12.5" bestFit="1" customWidth="1" style="160" min="67" max="67"/>
    <col width="11.83203125" bestFit="1" customWidth="1" style="160" min="68" max="97"/>
    <col width="10.83203125" bestFit="1" customWidth="1" style="160" min="98" max="98"/>
    <col width="12.1640625" customWidth="1" style="160" min="99" max="99"/>
    <col width="11.83203125" bestFit="1" customWidth="1" style="160" min="100" max="100"/>
    <col width="12.5" customWidth="1" style="160" min="101" max="101"/>
    <col width="13" customWidth="1" style="160" min="102" max="102"/>
    <col width="13.5" customWidth="1" style="160" min="103" max="103"/>
    <col width="12.5" customWidth="1" style="160" min="104" max="104"/>
    <col width="13.5" customWidth="1" style="160" min="105" max="105"/>
    <col width="12.5" customWidth="1" style="160" min="106" max="106"/>
    <col width="12" customWidth="1" style="160" min="107" max="107"/>
    <col width="11.6640625" customWidth="1" style="160" min="108" max="108"/>
    <col width="12.5" customWidth="1" style="160" min="109" max="109"/>
    <col width="13.83203125" customWidth="1" style="160" min="110" max="110"/>
    <col width="15.1640625" customWidth="1" style="160" min="111" max="111"/>
    <col width="13.6640625" customWidth="1" style="160" min="112" max="112"/>
    <col width="14.1640625" customWidth="1" style="160" min="113" max="113"/>
    <col width="14.5" customWidth="1" style="160" min="114" max="115"/>
    <col width="15" customWidth="1" style="160" min="116" max="116"/>
    <col width="13.83203125" customWidth="1" style="160" min="117" max="117"/>
    <col width="13.1640625" customWidth="1" style="160" min="118" max="118"/>
    <col width="14.5" customWidth="1" style="160" min="119" max="119"/>
    <col width="14" customWidth="1" style="160" min="120" max="120"/>
    <col width="13.1640625" customWidth="1" style="160" min="121" max="121"/>
    <col width="13.83203125" customWidth="1" style="160" min="122" max="122"/>
    <col width="13.1640625" customWidth="1" style="160" min="123" max="123"/>
    <col width="14.1640625" customWidth="1" style="160" min="124" max="124"/>
    <col width="13.6640625" customWidth="1" style="160" min="125" max="125"/>
    <col width="14.1640625" customWidth="1" style="160" min="126" max="126"/>
    <col width="14.5" customWidth="1" style="160" min="127" max="127"/>
    <col width="14.6640625" customWidth="1" style="160" min="128" max="128"/>
    <col width="12.5" bestFit="1" customWidth="1" style="160" min="129" max="129"/>
    <col width="13.5" customWidth="1" style="160" min="130" max="130"/>
    <col width="13.1640625" bestFit="1" customWidth="1" style="160" min="131" max="131"/>
    <col width="14.83203125" customWidth="1" style="160" min="132" max="132"/>
    <col width="13.1640625" customWidth="1" style="160" min="133" max="133"/>
    <col width="15" customWidth="1" style="160" min="134" max="135"/>
    <col width="14.83203125" customWidth="1" style="160" min="136" max="136"/>
    <col width="15.1640625" customWidth="1" style="160" min="137" max="137"/>
    <col width="13.5" customWidth="1" style="160" min="138" max="138"/>
    <col width="13.1640625" customWidth="1" style="160" min="139" max="139"/>
    <col width="14.1640625" customWidth="1" style="160" min="140" max="141"/>
    <col width="13.83203125" customWidth="1" style="160" min="142" max="142"/>
    <col width="15.5" customWidth="1" style="160" min="143" max="144"/>
    <col width="14.1640625" customWidth="1" style="160" min="145" max="145"/>
    <col width="15.1640625" customWidth="1" style="160" min="146" max="146"/>
    <col width="14.1640625" customWidth="1" style="160" min="147" max="147"/>
    <col width="16.1640625" customWidth="1" style="160" min="148" max="148"/>
    <col width="15.83203125" customWidth="1" style="160" min="149" max="149"/>
    <col width="15" customWidth="1" style="160" min="150" max="150"/>
    <col width="16" customWidth="1" style="160" min="151" max="151"/>
    <col width="14.6640625" customWidth="1" style="160" min="152" max="152"/>
    <col width="14" customWidth="1" style="160" min="153" max="153"/>
    <col width="15.6640625" customWidth="1" style="160" min="154" max="154"/>
    <col width="15.1640625" customWidth="1" style="160" min="155" max="155"/>
    <col width="14.5" customWidth="1" style="160" min="156" max="156"/>
    <col width="14.83203125" customWidth="1" style="160" min="157" max="157"/>
    <col width="14.1640625" customWidth="1" style="160" min="158" max="159"/>
    <col width="13.6640625" customWidth="1" style="160" min="160" max="160"/>
    <col width="14.6640625" bestFit="1" customWidth="1" style="160" min="161" max="161"/>
    <col width="13.33203125" bestFit="1" customWidth="1" style="160" min="162" max="162"/>
    <col width="14.5" customWidth="1" style="160" min="163" max="163"/>
    <col width="13.5" customWidth="1" style="160" min="164" max="164"/>
    <col width="15.1640625" customWidth="1" style="160" min="165" max="167"/>
    <col width="14.83203125" customWidth="1" style="160" min="168" max="168"/>
    <col width="14" customWidth="1" style="160" min="169" max="169"/>
    <col width="14.5" customWidth="1" style="160" min="170" max="170"/>
    <col width="13.83203125" customWidth="1" style="160" min="171" max="171"/>
    <col width="14" customWidth="1" style="160" min="172" max="172"/>
    <col width="14.6640625" customWidth="1" style="160" min="173" max="173"/>
    <col width="13.5" customWidth="1" style="160" min="174" max="174"/>
    <col width="14" customWidth="1" style="160" min="175" max="175"/>
    <col width="14.5" customWidth="1" style="160" min="176" max="176"/>
    <col width="15" customWidth="1" style="160" min="177" max="177"/>
    <col width="13.83203125" customWidth="1" style="160" min="178" max="178"/>
    <col width="13.6640625" customWidth="1" style="160" min="179" max="179"/>
    <col width="15.1640625" customWidth="1" style="160" min="180" max="180"/>
    <col width="14.1640625" customWidth="1" style="160" min="181" max="181"/>
    <col width="15" customWidth="1" style="160" min="182" max="182"/>
    <col width="15.6640625" customWidth="1" style="160" min="183" max="183"/>
    <col width="14.83203125" customWidth="1" style="160" min="184" max="184"/>
    <col width="14" customWidth="1" style="160" min="185" max="185"/>
    <col width="13.6640625" customWidth="1" style="160" min="186" max="186"/>
    <col width="16" customWidth="1" style="160" min="187" max="187"/>
    <col width="15.1640625" customWidth="1" style="160" min="188" max="188"/>
    <col width="14.6640625" customWidth="1" style="160" min="189" max="189"/>
    <col width="14.5" customWidth="1" style="160" min="190" max="190"/>
    <col width="13.83203125" customWidth="1" style="160" min="191" max="191"/>
    <col width="14" customWidth="1" style="160" min="192" max="192"/>
    <col width="14.83203125" customWidth="1" style="160" min="193" max="193"/>
    <col width="13.33203125" bestFit="1" customWidth="1" style="160" min="194" max="194"/>
    <col width="13.6640625" customWidth="1" style="160" min="195" max="196"/>
    <col width="12.83203125" customWidth="1" style="160" min="197" max="197"/>
    <col width="13.6640625" customWidth="1" style="160" min="198" max="198"/>
    <col width="12.6640625" customWidth="1" style="160" min="199" max="199"/>
    <col width="13.1640625" customWidth="1" style="160" min="200" max="200"/>
    <col width="13.6640625" customWidth="1" style="160" min="201" max="201"/>
    <col width="13.1640625" customWidth="1" style="160" min="202" max="202"/>
    <col width="14.5" customWidth="1" style="160" min="203" max="203"/>
    <col width="13" customWidth="1" style="160" min="204" max="204"/>
    <col width="13.33203125" customWidth="1" style="160" min="205" max="205"/>
    <col width="13.83203125" customWidth="1" style="160" min="206" max="206"/>
    <col width="13.5" customWidth="1" style="160" min="207" max="207"/>
    <col width="12.6640625" bestFit="1" customWidth="1" style="160" min="208" max="208"/>
    <col width="14.5" customWidth="1" style="160" min="209" max="209"/>
    <col width="14.33203125" customWidth="1" style="160" min="210" max="210"/>
    <col width="12.6640625" customWidth="1" style="160" min="211" max="211"/>
    <col width="14" customWidth="1" style="160" min="212" max="212"/>
    <col width="13.1640625" customWidth="1" style="160" min="213" max="214"/>
    <col width="12.83203125" customWidth="1" style="160" min="215" max="215"/>
    <col width="14.1640625" customWidth="1" style="160" min="216" max="216"/>
    <col width="14.83203125" customWidth="1" style="160" min="217" max="217"/>
    <col width="12.83203125" customWidth="1" style="160" min="218" max="218"/>
    <col width="13.1640625" customWidth="1" style="160" min="219" max="219"/>
    <col width="12.83203125" customWidth="1" style="160" min="220" max="220"/>
    <col width="15.33203125" customWidth="1" style="160" min="221" max="221"/>
    <col width="12.83203125" customWidth="1" style="160" min="222" max="222"/>
    <col width="14.5" customWidth="1" style="160" min="223" max="223"/>
    <col width="13.33203125" bestFit="1" customWidth="1" style="160" min="224" max="232"/>
    <col width="13.83203125" customWidth="1" style="160" min="233" max="233"/>
    <col width="13.33203125" bestFit="1" customWidth="1" style="160" min="234" max="234"/>
    <col width="13.5" customWidth="1" style="160" min="235" max="235"/>
    <col width="13.33203125" bestFit="1" customWidth="1" style="160" min="236" max="243"/>
    <col width="13.83203125" customWidth="1" style="160" min="244" max="244"/>
    <col width="13.1640625" customWidth="1" style="160" min="245" max="245"/>
    <col width="13.33203125" bestFit="1" customWidth="1" style="160" min="246" max="246"/>
    <col width="13.5" customWidth="1" style="160" min="247" max="249"/>
    <col width="13.33203125" bestFit="1" customWidth="1" style="160" min="250" max="252"/>
    <col width="13.83203125" customWidth="1" style="160" min="253" max="253"/>
    <col width="13.1640625" customWidth="1" style="160" min="254" max="254"/>
    <col width="16.5" customWidth="1" style="160" min="255" max="255"/>
    <col width="15" customWidth="1" style="160" min="256" max="256"/>
    <col width="14.5" customWidth="1" style="160" min="257" max="257"/>
    <col width="13.6640625" customWidth="1" style="160" min="258" max="258"/>
    <col width="13.33203125" bestFit="1" customWidth="1" style="160" min="259" max="262"/>
    <col width="13.5" customWidth="1" style="160" min="263" max="263"/>
    <col width="13.33203125" bestFit="1" customWidth="1" style="160" min="264" max="267"/>
    <col width="13.1640625" customWidth="1" style="160" min="268" max="268"/>
    <col width="13.33203125" bestFit="1" customWidth="1" style="160" min="269" max="285"/>
    <col width="16" customWidth="1" style="160" min="286" max="286"/>
    <col width="13.1640625" customWidth="1" style="160" min="287" max="287"/>
    <col width="13.6640625" customWidth="1" style="160" min="288" max="288"/>
    <col width="13.33203125" bestFit="1" customWidth="1" style="160" min="289" max="289"/>
    <col width="14.5" customWidth="1" style="160" min="290" max="290"/>
    <col width="14.83203125" customWidth="1" style="160" min="291" max="291"/>
    <col width="14.1640625" customWidth="1" style="160" min="292" max="292"/>
    <col width="13.83203125" customWidth="1" style="160" min="293" max="293"/>
    <col width="14.5" customWidth="1" style="160" min="294" max="294"/>
    <col width="14.1640625" customWidth="1" style="160" min="295" max="295"/>
    <col width="13.5" customWidth="1" style="160" min="296" max="296"/>
    <col width="14.83203125" customWidth="1" style="160" min="297" max="297"/>
    <col width="13.5" customWidth="1" style="160" min="298" max="298"/>
    <col width="14.5" customWidth="1" style="160" min="299" max="299"/>
    <col width="14.83203125" customWidth="1" style="160" min="300" max="300"/>
    <col width="15" customWidth="1" style="160" min="301" max="301"/>
    <col width="14" customWidth="1" style="160" min="302" max="302"/>
    <col width="15.5" customWidth="1" style="160" min="303" max="303"/>
    <col width="14.5" customWidth="1" style="160" min="304" max="305"/>
    <col width="15.83203125" customWidth="1" style="160" min="306" max="306"/>
    <col width="13.5" customWidth="1" style="160" min="307" max="308"/>
    <col width="15" customWidth="1" style="160" min="309" max="309"/>
    <col width="14.33203125" customWidth="1" style="160" min="310" max="310"/>
    <col width="14" customWidth="1" style="160" min="311" max="311"/>
    <col width="13.83203125" customWidth="1" style="160" min="312" max="312"/>
    <col width="14.5" customWidth="1" style="160" min="313" max="313"/>
    <col width="13.83203125" customWidth="1" style="160" min="314" max="315"/>
    <col width="13.33203125" customWidth="1" style="160" min="316" max="316"/>
    <col width="14" customWidth="1" style="160" min="317" max="317"/>
    <col width="14.5" customWidth="1" style="160" min="318" max="318"/>
    <col width="13.83203125" customWidth="1" style="160" min="319" max="321"/>
    <col width="13.5" customWidth="1" style="160" min="322" max="323"/>
    <col width="15" customWidth="1" style="160" min="324" max="324"/>
    <col width="13.1640625" customWidth="1" style="160" min="325" max="325"/>
    <col width="14.33203125" customWidth="1" style="160" min="326" max="326"/>
    <col width="14.83203125" customWidth="1" style="160" min="327" max="327"/>
    <col width="14.5" customWidth="1" style="160" min="328" max="328"/>
    <col width="13.83203125" customWidth="1" style="160" min="329" max="329"/>
    <col width="16.33203125" customWidth="1" style="160" min="330" max="330"/>
    <col width="13.83203125" customWidth="1" style="160" min="331" max="332"/>
    <col width="14.83203125" customWidth="1" style="160" min="333" max="333"/>
    <col width="14" customWidth="1" style="160" min="334" max="334"/>
    <col width="16" customWidth="1" style="160" min="335" max="335"/>
    <col width="14.1640625" customWidth="1" style="160" min="336" max="336"/>
    <col width="13.33203125" customWidth="1" style="160" min="337" max="337"/>
    <col width="13.6640625" customWidth="1" style="160" min="338" max="338"/>
    <col width="14.1640625" customWidth="1" style="160" min="339" max="339"/>
    <col width="13.5" customWidth="1" style="160" min="340" max="340"/>
    <col width="14.5" customWidth="1" style="160" min="341" max="341"/>
    <col width="13.5" customWidth="1" style="160" min="342" max="342"/>
    <col width="14" customWidth="1" style="160" min="343" max="343"/>
    <col width="13.33203125" customWidth="1" style="160" min="344" max="344"/>
    <col width="15.33203125" customWidth="1" style="160" min="345" max="345"/>
    <col width="14.5" customWidth="1" style="160" min="346" max="346"/>
    <col width="13.83203125" customWidth="1" style="160" min="347" max="347"/>
    <col width="14" customWidth="1" style="160" min="348" max="348"/>
    <col width="11.6640625" customWidth="1" style="160" min="349" max="349"/>
    <col width="13.6640625" bestFit="1" customWidth="1" style="160" min="350" max="350"/>
    <col width="14.83203125" customWidth="1" style="160" min="351" max="351"/>
    <col width="15.1640625" customWidth="1" style="160" min="352" max="352"/>
    <col width="13.33203125" customWidth="1" style="160" min="353" max="353"/>
    <col width="16.1640625" customWidth="1" style="160" min="354" max="354"/>
    <col width="14.83203125" customWidth="1" style="160" min="355" max="355"/>
    <col width="15.83203125" customWidth="1" style="160" min="356" max="356"/>
    <col width="14.1640625" customWidth="1" style="160" min="357" max="357"/>
    <col width="15.5" customWidth="1" style="160" min="358" max="358"/>
    <col width="14.5" customWidth="1" style="160" min="359" max="359"/>
    <col width="15.5" customWidth="1" style="160" min="360" max="360"/>
    <col width="13.6640625" customWidth="1" style="160" min="361" max="361"/>
    <col width="14.5" customWidth="1" style="160" min="362" max="362"/>
    <col width="14.6640625" customWidth="1" style="160" min="363" max="363"/>
    <col width="16.5" customWidth="1" style="160" min="364" max="364"/>
    <col width="16.1640625" customWidth="1" style="160" min="365" max="365"/>
    <col width="15.33203125" customWidth="1" style="160" min="366" max="366"/>
    <col width="14.1640625" customWidth="1" style="160" min="367" max="367"/>
    <col width="15" customWidth="1" style="160" min="368" max="368"/>
    <col width="13.6640625" customWidth="1" style="160" min="369" max="370"/>
    <col width="13.83203125" customWidth="1" style="160" min="371" max="371"/>
    <col width="15" customWidth="1" style="160" min="372" max="372"/>
    <col width="14.83203125" customWidth="1" style="160" min="373" max="373"/>
    <col width="13.5" customWidth="1" style="160" min="374" max="374"/>
    <col width="14" customWidth="1" style="160" min="375" max="375"/>
    <col width="13.33203125" customWidth="1" style="160" min="376" max="378"/>
    <col width="16.1640625" customWidth="1" style="160" min="379" max="379"/>
    <col width="14.5" customWidth="1" style="160" min="380" max="380"/>
    <col width="11.5" customWidth="1" style="160" min="381" max="381"/>
    <col width="13.5" customWidth="1" style="160" min="382" max="382"/>
    <col width="14.5" customWidth="1" style="160" min="383" max="383"/>
    <col width="13.5" customWidth="1" style="160" min="384" max="384"/>
    <col width="14" customWidth="1" style="160" min="385" max="385"/>
    <col width="13.33203125" customWidth="1" style="160" min="386" max="386"/>
    <col width="14.1640625" customWidth="1" style="160" min="387" max="387"/>
    <col width="15" customWidth="1" style="160" min="388" max="388"/>
    <col width="13.1640625" customWidth="1" style="160" min="389" max="389"/>
    <col width="14.1640625" customWidth="1" style="160" min="390" max="390"/>
    <col width="13.83203125" customWidth="1" style="160" min="391" max="391"/>
    <col width="13.6640625" customWidth="1" style="160" min="392" max="392"/>
    <col width="13.5" customWidth="1" style="160" min="393" max="393"/>
    <col width="14.1640625" customWidth="1" style="160" min="394" max="394"/>
    <col width="14.83203125" customWidth="1" style="160" min="395" max="395"/>
    <col width="14.1640625" customWidth="1" style="160" min="396" max="396"/>
    <col width="13.6640625" customWidth="1" style="160" min="397" max="397"/>
    <col width="14.1640625" customWidth="1" style="160" min="398" max="398"/>
    <col width="14.6640625" customWidth="1" style="160" min="399" max="399"/>
    <col width="13.83203125" customWidth="1" style="160" min="400" max="400"/>
    <col width="14.6640625" customWidth="1" style="160" min="401" max="401"/>
    <col width="13.83203125" customWidth="1" style="160" min="402" max="402"/>
    <col width="14.5" customWidth="1" style="160" min="403" max="403"/>
    <col width="15.1640625" customWidth="1" style="160" min="404" max="404"/>
    <col width="14.5" customWidth="1" style="160" min="405" max="405"/>
    <col width="14.1640625" customWidth="1" style="160" min="406" max="406"/>
    <col width="13.5" customWidth="1" style="160" min="407" max="407"/>
    <col width="13.1640625" customWidth="1" style="160" min="408" max="408"/>
    <col width="13.5" customWidth="1" style="160" min="409" max="409"/>
    <col width="14" customWidth="1" style="160" min="410" max="410"/>
    <col width="14.33203125" customWidth="1" style="160" min="411" max="411"/>
    <col width="15.1640625" customWidth="1" style="160" min="412" max="412"/>
    <col width="12.5" customWidth="1" style="160" min="413" max="413"/>
    <col width="14.33203125" customWidth="1" style="160" min="414" max="414"/>
    <col width="14.6640625" customWidth="1" style="160" min="415" max="415"/>
    <col width="13.1640625" customWidth="1" style="160" min="416" max="416"/>
    <col width="13.5" customWidth="1" style="160" min="417" max="417"/>
    <col width="15.5" customWidth="1" style="160" min="418" max="418"/>
    <col width="13.5" customWidth="1" style="160" min="419" max="419"/>
    <col width="14.1640625" customWidth="1" style="160" min="420" max="420"/>
    <col width="13.1640625" customWidth="1" style="160" min="421" max="421"/>
    <col width="14.5" customWidth="1" style="160" min="422" max="422"/>
    <col width="15" customWidth="1" style="160" min="423" max="423"/>
    <col width="13.83203125" customWidth="1" style="160" min="424" max="424"/>
    <col width="14.83203125" customWidth="1" style="160" min="425" max="425"/>
    <col width="15" customWidth="1" style="160" min="426" max="426"/>
    <col width="14.83203125" customWidth="1" style="160" min="427" max="427"/>
    <col width="14.5" customWidth="1" style="160" min="428" max="428"/>
    <col width="14.83203125" customWidth="1" style="160" min="429" max="429"/>
    <col width="14.5" customWidth="1" style="160" min="430" max="430"/>
    <col width="15" customWidth="1" style="160" min="431" max="431"/>
    <col width="13.33203125" customWidth="1" style="160" min="432" max="432"/>
    <col width="13.5" customWidth="1" style="160" min="433" max="433"/>
    <col width="13.83203125" customWidth="1" style="160" min="434" max="435"/>
    <col width="13.5" customWidth="1" style="160" min="436" max="436"/>
    <col width="15" customWidth="1" style="160" min="437" max="437"/>
    <col width="14.1640625" customWidth="1" style="160" min="438" max="438"/>
    <col width="15.6640625" customWidth="1" style="160" min="439" max="439"/>
    <col width="14.6640625" customWidth="1" style="160" min="440" max="440"/>
    <col width="13.83203125" customWidth="1" style="160" min="441" max="441"/>
    <col width="14" customWidth="1" style="160" min="442" max="442"/>
    <col width="15" customWidth="1" style="160" min="443" max="443"/>
    <col width="12.6640625" customWidth="1" style="160" min="444" max="444"/>
    <col width="13.1640625" customWidth="1" style="160" min="445" max="445"/>
    <col width="13.83203125" customWidth="1" style="160" min="446" max="447"/>
    <col width="14" customWidth="1" style="160" min="448" max="448"/>
    <col width="15.6640625" customWidth="1" style="160" min="449" max="449"/>
    <col width="14.1640625" customWidth="1" style="160" min="450" max="450"/>
    <col width="15.33203125" customWidth="1" style="160" min="451" max="451"/>
    <col width="14.33203125" customWidth="1" style="160" min="452" max="452"/>
    <col width="14.1640625" customWidth="1" style="160" min="453" max="453"/>
    <col width="13.6640625" customWidth="1" style="160" min="454" max="454"/>
    <col width="14" customWidth="1" style="160" min="455" max="455"/>
    <col width="14.83203125" customWidth="1" style="160" min="456" max="456"/>
    <col width="14.5" customWidth="1" style="160" min="457" max="457"/>
    <col width="14.33203125" customWidth="1" style="160" min="458" max="458"/>
    <col width="14.5" customWidth="1" style="160" min="459" max="459"/>
    <col width="14.33203125" customWidth="1" style="160" min="460" max="460"/>
    <col width="13.6640625" customWidth="1" style="160" min="461" max="461"/>
    <col width="16.1640625" customWidth="1" style="160" min="462" max="462"/>
    <col width="14.1640625" customWidth="1" style="160" min="463" max="463"/>
    <col width="13.5" customWidth="1" style="160" min="464" max="464"/>
    <col width="14.5" customWidth="1" style="160" min="465" max="465"/>
    <col width="14.83203125" customWidth="1" style="160" min="466" max="466"/>
    <col width="14.6640625" customWidth="1" style="160" min="467" max="467"/>
    <col width="14.33203125" customWidth="1" style="160" min="468" max="468"/>
    <col width="15.33203125" customWidth="1" style="160" min="469" max="469"/>
    <col width="14" customWidth="1" style="160" min="470" max="470"/>
    <col width="13.33203125" customWidth="1" style="160" min="471" max="471"/>
    <col width="14.5" customWidth="1" style="160" min="472" max="472"/>
    <col width="13.83203125" customWidth="1" style="160" min="473" max="473"/>
    <col width="15.5" customWidth="1" style="160" min="474" max="474"/>
    <col width="16" customWidth="1" style="160" min="475" max="475"/>
    <col width="13.83203125" customWidth="1" style="160" min="476" max="477"/>
    <col width="14.1640625" customWidth="1" style="160" min="478" max="478"/>
    <col width="13.83203125" customWidth="1" style="160" min="479" max="479"/>
    <col width="14.1640625" customWidth="1" style="160" min="480" max="480"/>
    <col width="13.83203125" customWidth="1" style="160" min="481" max="481"/>
    <col width="15.5" customWidth="1" style="160" min="482" max="482"/>
    <col width="13.83203125" customWidth="1" style="160" min="483" max="483"/>
    <col width="14" customWidth="1" style="160" min="484" max="484"/>
    <col width="14.5" customWidth="1" style="160" min="485" max="485"/>
    <col width="13.33203125" customWidth="1" style="160" min="486" max="486"/>
    <col width="14" customWidth="1" style="160" min="487" max="487"/>
    <col width="13.83203125" customWidth="1" style="160" min="488" max="489"/>
    <col width="14.33203125" customWidth="1" style="160" min="490" max="490"/>
    <col width="14" customWidth="1" style="160" min="491" max="491"/>
    <col width="13.83203125" customWidth="1" style="160" min="492" max="492"/>
    <col width="14.1640625" customWidth="1" style="160" min="493" max="493"/>
    <col width="13.5" customWidth="1" style="160" min="494" max="494"/>
    <col width="15.5" customWidth="1" style="160" min="495" max="495"/>
    <col width="14.83203125" customWidth="1" style="160" min="496" max="496"/>
    <col width="15.5" customWidth="1" style="160" min="497" max="497"/>
    <col width="14.5" customWidth="1" style="160" min="498" max="498"/>
    <col width="15.6640625" customWidth="1" style="160" min="499" max="499"/>
    <col width="14.5" customWidth="1" style="160" min="500" max="500"/>
    <col width="14.33203125" customWidth="1" style="160" min="501" max="501"/>
    <col width="14.83203125" customWidth="1" style="160" min="502" max="502"/>
    <col width="13.5" customWidth="1" style="160" min="503" max="503"/>
    <col width="13.6640625" customWidth="1" style="160" min="504" max="504"/>
    <col width="13.83203125" customWidth="1" style="160" min="505" max="505"/>
    <col width="14.6640625" customWidth="1" style="160" min="506" max="506"/>
    <col width="12" customWidth="1" style="160" min="507" max="507"/>
    <col width="14.5" customWidth="1" style="160" min="508" max="508"/>
    <col width="13.6640625" customWidth="1" style="160" min="509" max="509"/>
    <col width="14.5" customWidth="1" style="160" min="510" max="510"/>
    <col width="15.33203125" customWidth="1" style="160" min="511" max="511"/>
    <col width="14.5" customWidth="1" style="160" min="512" max="512"/>
    <col width="14.6640625" customWidth="1" style="160" min="513" max="513"/>
    <col width="14" customWidth="1" style="160" min="514" max="514"/>
    <col width="15.1640625" customWidth="1" style="160" min="515" max="515"/>
    <col width="15" customWidth="1" style="160" min="516" max="516"/>
    <col width="14.5" customWidth="1" style="160" min="517" max="517"/>
    <col width="13.83203125" customWidth="1" style="160" min="518" max="518"/>
    <col width="15.33203125" customWidth="1" style="160" min="519" max="519"/>
    <col width="14.6640625" customWidth="1" style="160" min="520" max="520"/>
    <col width="14.33203125" customWidth="1" style="160" min="521" max="521"/>
    <col width="17.1640625" customWidth="1" style="160" min="522" max="522"/>
    <col width="14.1640625" customWidth="1" style="160" min="523" max="524"/>
    <col width="15.1640625" customWidth="1" style="160" min="525" max="525"/>
    <col width="14.6640625" customWidth="1" style="160" min="526" max="526"/>
    <col width="13.5" customWidth="1" style="160" min="527" max="527"/>
    <col width="14.5" customWidth="1" style="160" min="528" max="528"/>
    <col width="13.5" customWidth="1" style="160" min="529" max="530"/>
    <col width="14.5" customWidth="1" style="160" min="531" max="531"/>
    <col width="14" customWidth="1" style="160" min="532" max="532"/>
    <col width="13.83203125" customWidth="1" style="160" min="533" max="533"/>
    <col width="14" customWidth="1" style="160" min="534" max="535"/>
    <col width="13.1640625" customWidth="1" style="160" min="536" max="536"/>
    <col width="13.5" customWidth="1" style="160" min="537" max="537"/>
    <col width="13.83203125" customWidth="1" style="160" min="538" max="538"/>
    <col width="11.6640625" customWidth="1" style="160" min="539" max="539"/>
    <col width="16" customWidth="1" style="160" min="540" max="540"/>
    <col width="13.6640625" customWidth="1" style="160" min="541" max="541"/>
    <col width="14" customWidth="1" style="160" min="542" max="542"/>
    <col width="13.83203125" customWidth="1" style="160" min="543" max="543"/>
    <col width="13.1640625" customWidth="1" style="160" min="544" max="544"/>
    <col width="14.1640625" customWidth="1" style="160" min="545" max="545"/>
    <col width="13.83203125" customWidth="1" style="160" min="546" max="546"/>
    <col width="15.83203125" customWidth="1" style="160" min="547" max="547"/>
    <col width="13.33203125" customWidth="1" style="160" min="548" max="548"/>
    <col width="14.1640625" customWidth="1" style="160" min="549" max="549"/>
    <col width="13.83203125" customWidth="1" style="160" min="550" max="550"/>
    <col width="17" customWidth="1" style="160" min="551" max="551"/>
    <col width="14.6640625" customWidth="1" style="160" min="552" max="552"/>
    <col width="14" customWidth="1" style="160" min="553" max="553"/>
    <col width="14.5" customWidth="1" style="160" min="554" max="554"/>
    <col width="14.83203125" customWidth="1" style="160" min="555" max="555"/>
    <col width="14.6640625" customWidth="1" style="160" min="556" max="556"/>
    <col width="15.5" customWidth="1" style="160" min="557" max="557"/>
    <col width="14" customWidth="1" style="160" min="558" max="559"/>
    <col width="15.1640625" customWidth="1" style="160" min="560" max="560"/>
    <col width="13.5" customWidth="1" style="160" min="561" max="561"/>
    <col width="15.1640625" customWidth="1" style="160" min="562" max="562"/>
    <col width="14" customWidth="1" style="160" min="563" max="563"/>
    <col width="14.33203125" customWidth="1" style="160" min="564" max="564"/>
    <col width="16" customWidth="1" style="160" min="565" max="565"/>
    <col width="13.5" customWidth="1" style="160" min="566" max="566"/>
    <col width="14" customWidth="1" style="160" min="567" max="567"/>
    <col width="14.5" customWidth="1" style="160" min="568" max="568"/>
    <col width="13.1640625" customWidth="1" style="160" min="569" max="569"/>
    <col width="13.5" customWidth="1" style="160" min="570" max="570"/>
    <col width="13.1640625" customWidth="1" style="160" min="571" max="571"/>
    <col width="15.5" customWidth="1" style="160" min="572" max="572"/>
    <col width="14.33203125" customWidth="1" style="160" min="573" max="573"/>
    <col width="13.83203125" customWidth="1" style="160" min="574" max="574"/>
    <col width="13.33203125" customWidth="1" style="160" min="575" max="577"/>
    <col width="13.5" customWidth="1" style="160" min="578" max="578"/>
    <col width="13.33203125" customWidth="1" style="160" min="579" max="579"/>
    <col width="13.6640625" customWidth="1" style="160" min="580" max="580"/>
    <col width="15" customWidth="1" style="160" min="581" max="581"/>
    <col width="14.1640625" customWidth="1" style="160" min="582" max="582"/>
    <col width="15.33203125" customWidth="1" style="160" min="583" max="583"/>
    <col width="14" customWidth="1" style="160" min="584" max="584"/>
    <col width="15" customWidth="1" style="160" min="585" max="585"/>
    <col width="13.33203125" customWidth="1" style="160" min="586" max="586"/>
    <col width="15.1640625" customWidth="1" style="160" min="587" max="587"/>
    <col width="14.5" customWidth="1" style="160" min="588" max="588"/>
    <col width="14.1640625" customWidth="1" style="160" min="589" max="589"/>
    <col width="13.5" customWidth="1" style="160" min="590" max="590"/>
    <col width="14.1640625" customWidth="1" style="160" min="591" max="591"/>
    <col width="13.5" customWidth="1" style="160" min="592" max="592"/>
    <col width="13.83203125" customWidth="1" style="160" min="593" max="593"/>
    <col width="14" customWidth="1" style="160" min="594" max="594"/>
    <col width="13.1640625" customWidth="1" style="160" min="595" max="595"/>
    <col width="14.1640625" customWidth="1" style="160" min="596" max="596"/>
    <col width="13.83203125" customWidth="1" style="160" min="597" max="598"/>
    <col width="13.33203125" customWidth="1" style="160" min="599" max="599"/>
    <col width="11.83203125" customWidth="1" style="160" min="600" max="600"/>
    <col width="13.83203125" customWidth="1" style="160" min="601" max="601"/>
    <col width="14" customWidth="1" style="160" min="602" max="602"/>
    <col width="13.83203125" customWidth="1" style="160" min="603" max="603"/>
    <col width="13.1640625" customWidth="1" style="160" min="604" max="604"/>
    <col width="14.5" customWidth="1" style="160" min="605" max="605"/>
    <col width="14.6640625" customWidth="1" style="160" min="606" max="606"/>
    <col width="14.1640625" customWidth="1" style="160" min="607" max="607"/>
    <col width="13.1640625" customWidth="1" style="160" min="608" max="608"/>
    <col width="14" customWidth="1" style="160" min="609" max="609"/>
    <col width="13.1640625" customWidth="1" style="160" min="610" max="611"/>
    <col width="13.33203125" customWidth="1" style="160" min="612" max="612"/>
    <col width="14" customWidth="1" style="160" min="613" max="613"/>
    <col width="14.1640625" customWidth="1" style="160" min="614" max="614"/>
    <col width="13.1640625" customWidth="1" style="160" min="615" max="615"/>
    <col width="14" customWidth="1" style="160" min="616" max="616"/>
    <col width="14.33203125" customWidth="1" style="160" min="617" max="617"/>
    <col width="13.33203125" customWidth="1" style="160" min="618" max="618"/>
    <col width="13.83203125" customWidth="1" style="160" min="619" max="620"/>
    <col width="14.83203125" customWidth="1" style="160" min="621" max="621"/>
    <col width="13.5" customWidth="1" style="160" min="622" max="622"/>
    <col width="14" customWidth="1" style="160" min="623" max="623"/>
    <col width="15.5" customWidth="1" style="160" min="624" max="624"/>
    <col width="13.1640625" customWidth="1" style="160" min="625" max="625"/>
    <col width="14.5" customWidth="1" style="160" min="626" max="626"/>
    <col width="14.1640625" customWidth="1" style="160" min="627" max="627"/>
    <col width="13.5" customWidth="1" style="160" min="628" max="628"/>
    <col width="15.5" customWidth="1" style="160" min="629" max="629"/>
    <col width="13.5" customWidth="1" style="160" min="630" max="630"/>
    <col width="14.1640625" customWidth="1" style="160" min="631" max="631"/>
    <col width="11.83203125" customWidth="1" style="160" min="632" max="632"/>
    <col width="13.83203125" customWidth="1" style="160" min="633" max="633"/>
    <col width="13.5" customWidth="1" style="160" min="634" max="634"/>
    <col width="14.5" customWidth="1" style="160" min="635" max="635"/>
    <col width="15.83203125" customWidth="1" style="160" min="636" max="636"/>
    <col width="15.6640625" customWidth="1" style="160" min="637" max="637"/>
    <col width="16.1640625" customWidth="1" style="160" min="638" max="638"/>
    <col width="13.33203125" customWidth="1" style="160" min="639" max="639"/>
    <col width="13.83203125" customWidth="1" style="160" min="640" max="640"/>
    <col width="14" customWidth="1" style="160" min="641" max="641"/>
    <col width="13.33203125" customWidth="1" style="160" min="642" max="642"/>
    <col width="13.83203125" customWidth="1" style="160" min="643" max="643"/>
    <col width="13.5" customWidth="1" style="160" min="644" max="644"/>
    <col width="14.33203125" customWidth="1" style="160" min="645" max="645"/>
    <col width="14.5" customWidth="1" style="160" min="646" max="646"/>
    <col width="14.33203125" customWidth="1" style="160" min="647" max="647"/>
    <col width="14" customWidth="1" style="160" min="648" max="648"/>
    <col width="14.1640625" customWidth="1" style="160" min="649" max="649"/>
    <col width="14.33203125" customWidth="1" style="160" min="650" max="650"/>
    <col width="14.1640625" customWidth="1" style="160" min="651" max="651"/>
    <col width="14" customWidth="1" style="160" min="652" max="652"/>
    <col width="16.1640625" customWidth="1" style="160" min="653" max="653"/>
    <col width="13.1640625" customWidth="1" style="160" min="654" max="654"/>
    <col width="13.6640625" customWidth="1" style="160" min="655" max="655"/>
    <col width="13.1640625" customWidth="1" style="160" min="656" max="656"/>
    <col width="14.1640625" customWidth="1" style="160" min="657" max="657"/>
    <col width="13.83203125" customWidth="1" style="160" min="658" max="658"/>
    <col width="13.33203125" customWidth="1" style="160" min="659" max="659"/>
    <col width="14.1640625" customWidth="1" style="160" min="660" max="660"/>
    <col width="13.83203125" customWidth="1" style="160" min="661" max="661"/>
    <col width="14.83203125" customWidth="1" style="160" min="662" max="662"/>
    <col width="12.83203125" customWidth="1" style="160" min="663" max="663"/>
    <col width="14.1640625" customWidth="1" style="160" min="664" max="664"/>
    <col width="13.5" customWidth="1" style="160" min="665" max="665"/>
    <col width="14.83203125" customWidth="1" style="160" min="666" max="666"/>
    <col width="14.5" customWidth="1" style="160" min="667" max="667"/>
    <col width="14.1640625" customWidth="1" style="160" min="668" max="668"/>
    <col width="13.83203125" customWidth="1" style="160" min="669" max="669"/>
    <col width="14.1640625" customWidth="1" style="160" min="670" max="670"/>
    <col width="14.5" customWidth="1" style="160" min="671" max="671"/>
    <col width="13.5" customWidth="1" style="160" min="672" max="672"/>
    <col width="15" customWidth="1" style="160" min="673" max="673"/>
    <col width="13.83203125" customWidth="1" style="160" min="674" max="674"/>
    <col width="13.5" customWidth="1" style="160" min="675" max="675"/>
    <col width="13.1640625" customWidth="1" style="160" min="676" max="676"/>
    <col width="13.33203125" customWidth="1" style="160" min="677" max="677"/>
    <col width="15.1640625" customWidth="1" style="160" min="678" max="678"/>
    <col width="14.1640625" customWidth="1" style="160" min="679" max="679"/>
    <col width="13.1640625" customWidth="1" style="160" min="680" max="680"/>
    <col width="15.5" customWidth="1" style="160" min="681" max="681"/>
    <col width="14.83203125" customWidth="1" style="160" min="682" max="682"/>
    <col width="14.5" customWidth="1" style="160" min="683" max="683"/>
    <col width="15.83203125" customWidth="1" style="160" min="684" max="684"/>
    <col width="14.1640625" customWidth="1" style="160" min="685" max="685"/>
    <col width="16" customWidth="1" style="160" min="686" max="686"/>
    <col width="13.5" customWidth="1" style="160" min="687" max="687"/>
    <col width="15.1640625" customWidth="1" style="160" min="688" max="688"/>
    <col width="13.5" customWidth="1" style="160" min="689" max="689"/>
    <col width="13.33203125" bestFit="1" customWidth="1" style="160" min="690" max="690"/>
    <col width="13.83203125" customWidth="1" style="160" min="691" max="692"/>
    <col width="13.1640625" customWidth="1" style="160" min="693" max="693"/>
    <col width="14.6640625" customWidth="1" style="160" min="694" max="694"/>
    <col width="12.5" customWidth="1" style="160" min="695" max="695"/>
    <col width="13.83203125" customWidth="1" style="160" min="696" max="696"/>
    <col width="14.1640625" customWidth="1" style="160" min="697" max="697"/>
    <col width="13.33203125" customWidth="1" style="160" min="698" max="698"/>
    <col width="14.5" customWidth="1" style="160" min="699" max="699"/>
    <col width="14.33203125" customWidth="1" style="160" min="700" max="700"/>
    <col width="14" customWidth="1" style="160" min="701" max="701"/>
    <col width="14.1640625" customWidth="1" style="160" min="702" max="702"/>
    <col width="14" customWidth="1" style="160" min="703" max="703"/>
    <col width="13.6640625" customWidth="1" style="160" min="704" max="704"/>
    <col width="14.1640625" customWidth="1" style="160" min="705" max="705"/>
    <col width="15" customWidth="1" style="160" min="706" max="706"/>
    <col width="13.83203125" customWidth="1" style="160" min="707" max="707"/>
    <col width="13.6640625" customWidth="1" style="160" min="708" max="708"/>
    <col width="13.83203125" customWidth="1" style="160" min="709" max="709"/>
    <col width="13.1640625" customWidth="1" style="160" min="710" max="710"/>
    <col width="14.1640625" customWidth="1" style="160" min="711" max="711"/>
    <col width="13.6640625" customWidth="1" style="160" min="712" max="712"/>
    <col width="14.33203125" customWidth="1" style="160" min="713" max="713"/>
    <col width="13.6640625" customWidth="1" style="160" min="714" max="714"/>
    <col width="15.1640625" customWidth="1" style="160" min="715" max="715"/>
    <col width="13.83203125" customWidth="1" style="160" min="716" max="717"/>
    <col width="14.1640625" customWidth="1" style="160" min="718" max="718"/>
    <col width="14.33203125" customWidth="1" style="160" min="719" max="719"/>
    <col width="14.5" customWidth="1" style="160" min="720" max="720"/>
    <col width="13.5" customWidth="1" style="160" min="721" max="721"/>
    <col width="13.83203125" customWidth="1" style="160" min="722" max="722"/>
    <col width="14" customWidth="1" style="160" min="723" max="723"/>
    <col width="14.33203125" customWidth="1" style="160" min="724" max="724"/>
    <col width="17.1640625" customWidth="1" style="160" min="725" max="725"/>
    <col width="12.5" customWidth="1" style="160" min="726" max="726"/>
    <col width="13.83203125" customWidth="1" style="160" min="727" max="727"/>
    <col width="13.1640625" customWidth="1" style="160" min="728" max="728"/>
    <col width="14.1640625" customWidth="1" style="160" min="729" max="729"/>
    <col width="15" customWidth="1" style="160" min="730" max="730"/>
    <col width="14.1640625" customWidth="1" style="160" min="731" max="731"/>
    <col width="17.33203125" customWidth="1" style="160" min="732" max="732"/>
    <col width="13.5" customWidth="1" style="160" min="733" max="733"/>
    <col width="13.83203125" customWidth="1" style="160" min="734" max="734"/>
    <col width="14.83203125" customWidth="1" style="160" min="735" max="736"/>
    <col width="15" customWidth="1" style="160" min="737" max="737"/>
    <col width="13.5" customWidth="1" style="160" min="738" max="738"/>
    <col width="14.83203125" customWidth="1" style="160" min="739" max="740"/>
    <col width="13.33203125" customWidth="1" style="160" min="741" max="741"/>
    <col width="14.83203125" customWidth="1" style="160" min="742" max="742"/>
    <col width="14.6640625" customWidth="1" style="160" min="743" max="743"/>
    <col width="17" customWidth="1" style="160" min="744" max="744"/>
    <col width="14.33203125" customWidth="1" style="160" min="745" max="745"/>
    <col width="14.1640625" customWidth="1" style="160" min="746" max="746"/>
    <col width="14" customWidth="1" style="160" min="747" max="747"/>
    <col width="13.83203125" customWidth="1" style="160" min="748" max="748"/>
    <col width="13.33203125" customWidth="1" style="160" min="749" max="749"/>
    <col width="15.1640625" customWidth="1" style="160" min="750" max="750"/>
    <col width="14.5" customWidth="1" style="160" min="751" max="751"/>
    <col width="13.5" customWidth="1" style="160" min="752" max="752"/>
    <col width="15" customWidth="1" style="160" min="753" max="753"/>
    <col width="13.5" customWidth="1" style="160" min="754" max="754"/>
    <col width="13.6640625" customWidth="1" style="160" min="755" max="755"/>
    <col width="13.5" customWidth="1" style="160" min="756" max="756"/>
    <col width="15.1640625" customWidth="1" style="160" min="757" max="757"/>
    <col width="14" customWidth="1" style="160" min="758" max="758"/>
    <col width="13.83203125" customWidth="1" style="160" min="759" max="759"/>
    <col width="13.33203125" bestFit="1" customWidth="1" style="160" min="760" max="760"/>
    <col width="14.1640625" customWidth="1" style="160" min="761" max="761"/>
    <col width="14.5" customWidth="1" style="160" min="762" max="762"/>
    <col width="13.83203125" customWidth="1" style="160" min="763" max="763"/>
    <col width="13.5" customWidth="1" style="160" min="764" max="764"/>
    <col width="15" customWidth="1" style="160" min="765" max="765"/>
    <col width="13.1640625" customWidth="1" style="160" min="766" max="766"/>
    <col width="13.5" customWidth="1" style="160" min="767" max="767"/>
    <col width="14.1640625" customWidth="1" style="160" min="768" max="768"/>
    <col width="14.83203125" customWidth="1" style="160" min="769" max="769"/>
    <col width="13.83203125" customWidth="1" style="160" min="770" max="770"/>
    <col width="14.1640625" customWidth="1" style="160" min="771" max="772"/>
    <col width="15.33203125" customWidth="1" style="160" min="773" max="773"/>
    <col width="14.83203125" customWidth="1" style="160" min="774" max="774"/>
    <col width="13.6640625" customWidth="1" style="160" min="775" max="775"/>
    <col width="14" customWidth="1" style="160" min="776" max="776"/>
    <col width="14.83203125" customWidth="1" style="160" min="777" max="777"/>
    <col width="13.5" customWidth="1" style="160" min="778" max="778"/>
    <col width="14.5" customWidth="1" style="160" min="779" max="779"/>
    <col width="15.33203125" customWidth="1" style="160" min="780" max="780"/>
    <col width="14.6640625" customWidth="1" style="160" min="781" max="781"/>
    <col width="14.33203125" customWidth="1" style="160" min="782" max="782"/>
    <col width="14" customWidth="1" style="160" min="783" max="783"/>
    <col width="14.33203125" customWidth="1" style="160" min="784" max="784"/>
    <col width="13.5" customWidth="1" style="160" min="785" max="785"/>
    <col width="15.1640625" customWidth="1" style="160" min="786" max="786"/>
    <col width="14" customWidth="1" style="160" min="787" max="787"/>
    <col width="14.1640625" customWidth="1" style="160" min="788" max="788"/>
    <col width="15.5" customWidth="1" style="160" min="789" max="789"/>
    <col width="14.5" customWidth="1" style="160" min="790" max="790"/>
    <col width="16.1640625" customWidth="1" style="160" min="791" max="791"/>
    <col width="14.5" customWidth="1" style="160" min="792" max="792"/>
    <col width="14.1640625" customWidth="1" style="160" min="793" max="794"/>
    <col width="14.83203125" customWidth="1" style="160" min="795" max="795"/>
    <col width="13.83203125" customWidth="1" style="160" min="796" max="796"/>
    <col width="14.83203125" customWidth="1" style="160" min="797" max="797"/>
    <col width="14" customWidth="1" style="160" min="798" max="798"/>
    <col width="15" customWidth="1" style="160" min="799" max="799"/>
    <col width="13.1640625" customWidth="1" style="160" min="800" max="800"/>
    <col width="13.83203125" customWidth="1" style="160" min="801" max="801"/>
    <col width="14.83203125" customWidth="1" style="160" min="802" max="802"/>
    <col width="13.83203125" customWidth="1" style="160" min="803" max="803"/>
    <col width="13.5" customWidth="1" style="160" min="804" max="805"/>
    <col width="13.1640625" customWidth="1" style="160" min="806" max="806"/>
    <col width="15" customWidth="1" style="160" min="807" max="807"/>
    <col width="13.6640625" customWidth="1" style="160" min="808" max="808"/>
    <col width="13.33203125" customWidth="1" style="160" min="809" max="809"/>
    <col width="13.83203125" customWidth="1" style="160" min="810" max="810"/>
    <col width="14.33203125" customWidth="1" style="160" min="811" max="811"/>
    <col width="16.1640625" customWidth="1" style="160" min="812" max="812"/>
    <col width="13.5" customWidth="1" style="160" min="813" max="813"/>
    <col width="15.6640625" customWidth="1" style="160" min="814" max="814"/>
    <col width="13.33203125" customWidth="1" style="160" min="815" max="815"/>
    <col width="13.1640625" customWidth="1" style="160" min="816" max="816"/>
    <col width="14" customWidth="1" style="160" min="817" max="817"/>
    <col width="13.83203125" customWidth="1" style="160" min="818" max="818"/>
    <col width="13.5" customWidth="1" style="160" min="819" max="819"/>
    <col width="15.1640625" customWidth="1" style="160" min="820" max="820"/>
    <col width="18.83203125" customWidth="1" style="160" min="821" max="821"/>
    <col width="14.5" customWidth="1" style="160" min="822" max="822"/>
    <col width="13.83203125" customWidth="1" style="160" min="823" max="823"/>
    <col width="14.83203125" customWidth="1" style="160" min="824" max="824"/>
    <col width="15.5" customWidth="1" style="160" min="825" max="825"/>
    <col width="13.6640625" customWidth="1" style="160" min="826" max="826"/>
    <col width="14.6640625" customWidth="1" style="160" min="827" max="827"/>
    <col width="13.83203125" customWidth="1" style="160" min="828" max="828"/>
    <col width="14" customWidth="1" style="160" min="829" max="829"/>
    <col width="13.83203125" customWidth="1" style="160" min="830" max="830"/>
    <col width="13.5" customWidth="1" style="160" min="831" max="831"/>
    <col width="14" customWidth="1" style="160" min="832" max="832"/>
    <col width="13.33203125" customWidth="1" style="160" min="833" max="833"/>
    <col width="14.6640625" customWidth="1" style="160" min="834" max="834"/>
    <col width="14.5" customWidth="1" style="160" min="835" max="836"/>
    <col width="14.33203125" customWidth="1" style="160" min="837" max="837"/>
    <col width="13.1640625" customWidth="1" style="160" min="838" max="838"/>
    <col width="14.1640625" customWidth="1" style="160" min="839" max="839"/>
    <col width="13.6640625" customWidth="1" style="160" min="840" max="840"/>
    <col width="15.33203125" customWidth="1" style="160" min="841" max="841"/>
    <col width="15.83203125" customWidth="1" style="160" min="842" max="842"/>
    <col width="14" customWidth="1" style="160" min="843" max="843"/>
    <col width="13.1640625" customWidth="1" style="160" min="844" max="844"/>
    <col width="14.83203125" customWidth="1" style="160" min="845" max="845"/>
    <col width="15" customWidth="1" style="160" min="846" max="846"/>
    <col width="15.6640625" customWidth="1" style="160" min="847" max="847"/>
    <col width="14.83203125" customWidth="1" style="160" min="848" max="848"/>
    <col width="15.83203125" customWidth="1" style="160" min="849" max="849"/>
    <col width="14" customWidth="1" style="160" min="850" max="850"/>
    <col width="14.83203125" customWidth="1" style="160" min="851" max="851"/>
    <col width="13.83203125" customWidth="1" style="160" min="852" max="852"/>
    <col width="12.6640625" customWidth="1" style="160" min="853" max="853"/>
    <col width="13.83203125" customWidth="1" style="160" min="854" max="854"/>
    <col width="13.5" customWidth="1" style="160" min="855" max="855"/>
    <col width="13.33203125" customWidth="1" style="160" min="856" max="857"/>
    <col width="15" customWidth="1" style="160" min="858" max="858"/>
    <col width="14.6640625" customWidth="1" style="160" min="859" max="859"/>
    <col width="13.83203125" customWidth="1" style="160" min="860" max="860"/>
    <col width="15.33203125" customWidth="1" style="160" min="861" max="861"/>
    <col width="14" customWidth="1" style="160" min="862" max="862"/>
    <col width="14.5" customWidth="1" style="160" min="863" max="864"/>
    <col width="14" customWidth="1" style="160" min="865" max="865"/>
    <col width="13.1640625" customWidth="1" style="160" min="866" max="866"/>
    <col width="14.6640625" customWidth="1" style="160" min="867" max="867"/>
    <col width="14" customWidth="1" style="160" min="868" max="868"/>
    <col width="13.5" customWidth="1" style="160" min="869" max="869"/>
    <col width="14" customWidth="1" style="160" min="870" max="870"/>
    <col width="14.83203125" customWidth="1" style="160" min="871" max="871"/>
    <col width="14.6640625" customWidth="1" style="160" min="872" max="872"/>
    <col width="13.33203125" customWidth="1" style="160" min="873" max="873"/>
    <col width="15" customWidth="1" style="160" min="874" max="874"/>
    <col width="15.83203125" customWidth="1" style="160" min="875" max="875"/>
    <col width="13.6640625" customWidth="1" style="160" min="876" max="876"/>
    <col width="14.33203125" customWidth="1" style="160" min="877" max="877"/>
    <col width="13.5" customWidth="1" style="160" min="878" max="878"/>
    <col width="14.6640625" customWidth="1" style="160" min="879" max="879"/>
    <col width="15.5" customWidth="1" style="160" min="880" max="880"/>
    <col width="13.5" customWidth="1" style="160" min="881" max="881"/>
    <col width="14.33203125" customWidth="1" style="160" min="882" max="882"/>
    <col width="13.33203125" customWidth="1" style="160" min="883" max="883"/>
    <col width="14.1640625" customWidth="1" style="160" min="884" max="884"/>
    <col width="13.5" customWidth="1" style="160" min="885" max="885"/>
    <col width="13.33203125" customWidth="1" style="160" min="886" max="886"/>
    <col width="14.33203125" customWidth="1" style="160" min="887" max="888"/>
    <col width="15.6640625" customWidth="1" style="160" min="889" max="889"/>
    <col width="13.6640625" customWidth="1" style="160" min="890" max="890"/>
    <col width="13.5" customWidth="1" style="160" min="891" max="891"/>
    <col width="14.6640625" customWidth="1" style="160" min="892" max="892"/>
    <col width="15.5" customWidth="1" style="160" min="893" max="893"/>
    <col width="13.33203125" customWidth="1" style="160" min="894" max="894"/>
    <col width="14.83203125" customWidth="1" style="160" min="895" max="895"/>
    <col width="14.1640625" customWidth="1" style="160" min="896" max="896"/>
    <col width="15.1640625" customWidth="1" style="160" min="897" max="897"/>
    <col width="13.33203125" customWidth="1" style="160" min="898" max="898"/>
    <col width="13.83203125" customWidth="1" style="160" min="899" max="900"/>
    <col width="13.1640625" customWidth="1" style="160" min="901" max="901"/>
    <col width="13.83203125" customWidth="1" style="160" min="902" max="902"/>
    <col width="15.1640625" customWidth="1" style="160" min="903" max="903"/>
    <col width="13.83203125" customWidth="1" style="160" min="904" max="904"/>
    <col width="14.1640625" customWidth="1" style="160" min="905" max="905"/>
    <col width="16.33203125" customWidth="1" style="160" min="906" max="906"/>
    <col width="13.83203125" customWidth="1" style="160" min="907" max="907"/>
    <col width="14.33203125" customWidth="1" style="160" min="908" max="908"/>
    <col width="13.6640625" customWidth="1" style="160" min="909" max="909"/>
    <col width="13.83203125" customWidth="1" style="160" min="910" max="910"/>
    <col width="13.1640625" customWidth="1" style="160" min="911" max="912"/>
    <col width="14" customWidth="1" style="160" min="913" max="913"/>
    <col width="13.5" customWidth="1" style="160" min="914" max="914"/>
    <col width="13.33203125" customWidth="1" style="160" min="915" max="915"/>
    <col width="12.6640625" customWidth="1" style="160" min="916" max="916"/>
    <col width="14.5" customWidth="1" style="160" min="917" max="917"/>
    <col width="13.6640625" customWidth="1" style="160" min="918" max="919"/>
    <col width="14.33203125" customWidth="1" style="160" min="920" max="920"/>
    <col width="14.83203125" customWidth="1" style="160" min="921" max="921"/>
    <col width="13.33203125" bestFit="1" customWidth="1" style="160" min="922" max="922"/>
    <col width="14" customWidth="1" style="160" min="923" max="923"/>
    <col width="13.33203125" customWidth="1" style="160" min="924" max="924"/>
    <col width="13.5" customWidth="1" style="160" min="925" max="925"/>
    <col width="14" customWidth="1" style="160" min="926" max="926"/>
    <col width="14.33203125" customWidth="1" style="160" min="927" max="927"/>
    <col width="13.83203125" customWidth="1" style="160" min="928" max="928"/>
    <col width="13.1640625" customWidth="1" style="160" min="929" max="929"/>
    <col width="13.6640625" customWidth="1" style="160" min="930" max="931"/>
    <col width="14.83203125" customWidth="1" style="160" min="932" max="932"/>
    <col width="13.1640625" customWidth="1" style="160" min="933" max="933"/>
    <col width="14.33203125" customWidth="1" style="160" min="934" max="934"/>
    <col width="14.83203125" customWidth="1" style="160" min="935" max="935"/>
    <col width="13.6640625" customWidth="1" style="160" min="936" max="936"/>
    <col width="15.5" customWidth="1" style="160" min="937" max="937"/>
    <col width="13.83203125" customWidth="1" style="160" min="938" max="938"/>
    <col width="15.5" customWidth="1" style="160" min="939" max="939"/>
    <col width="13.33203125" customWidth="1" style="160" min="940" max="940"/>
    <col width="14.33203125" customWidth="1" style="160" min="941" max="941"/>
    <col width="14.5" customWidth="1" style="160" min="942" max="942"/>
    <col width="13.5" customWidth="1" style="160" min="943" max="943"/>
    <col width="13.6640625" customWidth="1" style="160" min="944" max="944"/>
    <col width="14.5" customWidth="1" style="160" min="945" max="945"/>
    <col width="13.33203125" customWidth="1" style="160" min="946" max="946"/>
    <col width="15.5" customWidth="1" style="160" min="947" max="947"/>
    <col width="13.5" customWidth="1" style="160" min="948" max="949"/>
    <col width="13.33203125" customWidth="1" style="160" min="950" max="950"/>
    <col width="13.5" customWidth="1" style="160" min="951" max="951"/>
    <col width="14" customWidth="1" style="160" min="952" max="952"/>
    <col width="13.33203125" customWidth="1" style="160" min="953" max="953"/>
    <col width="13.5" customWidth="1" style="160" min="954" max="954"/>
    <col width="13.1640625" customWidth="1" style="160" min="955" max="955"/>
    <col width="15.1640625" customWidth="1" style="160" min="956" max="956"/>
    <col width="13.5" customWidth="1" style="160" min="957" max="957"/>
    <col width="13.33203125" customWidth="1" style="160" min="958" max="958"/>
    <col width="14.33203125" customWidth="1" style="160" min="959" max="959"/>
    <col width="14.1640625" customWidth="1" style="160" min="960" max="960"/>
    <col width="14.6640625" customWidth="1" style="160" min="961" max="961"/>
    <col width="13.83203125" customWidth="1" style="160" min="962" max="962"/>
    <col width="13.33203125" customWidth="1" style="160" min="963" max="963"/>
    <col width="14" customWidth="1" style="160" min="964" max="964"/>
    <col width="14.1640625" customWidth="1" style="160" min="965" max="965"/>
    <col width="14.33203125" customWidth="1" style="160" min="966" max="966"/>
    <col width="13.1640625" customWidth="1" style="160" min="967" max="968"/>
    <col width="13.83203125" customWidth="1" style="160" min="969" max="969"/>
    <col width="13.5" customWidth="1" style="160" min="970" max="970"/>
    <col width="14.6640625" customWidth="1" style="160" min="971" max="971"/>
    <col width="14" customWidth="1" style="160" min="972" max="972"/>
    <col width="14.1640625" customWidth="1" style="160" min="973" max="973"/>
    <col width="14.6640625" customWidth="1" style="160" min="974" max="974"/>
    <col width="13.33203125" customWidth="1" style="160" min="975" max="975"/>
    <col width="14.5" customWidth="1" style="160" min="976" max="976"/>
    <col width="13.5" customWidth="1" style="160" min="977" max="977"/>
    <col width="14" customWidth="1" style="160" min="978" max="978"/>
    <col width="13.83203125" customWidth="1" style="160" min="979" max="980"/>
    <col width="13.5" customWidth="1" style="160" min="981" max="981"/>
    <col width="13.6640625" customWidth="1" style="160" min="982" max="982"/>
    <col width="14.83203125" customWidth="1" style="160" min="983" max="983"/>
    <col width="13.83203125" customWidth="1" style="160" min="984" max="984"/>
    <col width="15" customWidth="1" style="160" min="985" max="985"/>
    <col width="13.1640625" customWidth="1" style="160" min="986" max="986"/>
    <col width="14.5" customWidth="1" style="160" min="987" max="987"/>
    <col width="13.83203125" customWidth="1" style="160" min="988" max="988"/>
    <col width="13.5" customWidth="1" style="160" min="989" max="989"/>
    <col width="15.1640625" customWidth="1" style="160" min="990" max="990"/>
    <col width="13.83203125" customWidth="1" style="160" min="991" max="991"/>
    <col width="13.1640625" customWidth="1" style="160" min="992" max="992"/>
    <col width="13.83203125" customWidth="1" style="160" min="993" max="993"/>
    <col width="13.5" customWidth="1" style="160" min="994" max="994"/>
    <col width="13.6640625" customWidth="1" style="160" min="995" max="996"/>
    <col width="13.5" customWidth="1" style="160" min="997" max="998"/>
    <col width="14" customWidth="1" style="160" min="999" max="999"/>
    <col width="13.6640625" customWidth="1" style="160" min="1000" max="1000"/>
    <col width="14.83203125" customWidth="1" style="160" min="1001" max="1001"/>
    <col width="14.5" customWidth="1" style="160" min="1002" max="1002"/>
    <col width="13.6640625" customWidth="1" style="160" min="1003" max="1003"/>
    <col width="13.5" customWidth="1" style="160" min="1004" max="1004"/>
    <col width="14.1640625" customWidth="1" style="160" min="1005" max="1005"/>
    <col width="14.6640625" customWidth="1" style="160" min="1006" max="1006"/>
    <col width="13.1640625" customWidth="1" style="160" min="1007" max="1007"/>
    <col width="13.83203125" customWidth="1" style="160" min="1008" max="1008"/>
    <col width="12.6640625" customWidth="1" style="160" min="1009" max="1009"/>
    <col width="13.5" customWidth="1" style="160" min="1010" max="1010"/>
    <col width="13.6640625" customWidth="1" style="160" min="1011" max="1011"/>
    <col width="14.33203125" customWidth="1" style="160" min="1012" max="1012"/>
    <col width="13.33203125" customWidth="1" style="160" min="1013" max="1013"/>
    <col width="13.1640625" customWidth="1" style="160" min="1014" max="1014"/>
    <col width="14.33203125" customWidth="1" style="160" min="1015" max="1015"/>
    <col width="13.1640625" customWidth="1" style="160" min="1016" max="1016"/>
    <col width="13.83203125" customWidth="1" style="160" min="1017" max="1017"/>
    <col width="13.33203125" customWidth="1" style="160" min="1018" max="1018"/>
    <col width="13.5" customWidth="1" style="160" min="1019" max="1019"/>
    <col width="14.6640625" customWidth="1" style="160" min="1020" max="1020"/>
    <col width="14.1640625" customWidth="1" style="160" min="1021" max="1021"/>
    <col width="13.6640625" customWidth="1" style="160" min="1022" max="1022"/>
    <col width="13.1640625" customWidth="1" style="160" min="1023" max="1023"/>
    <col width="14.33203125" customWidth="1" style="160" min="1024" max="1024"/>
    <col width="13.5" customWidth="1" style="160" min="1025" max="1025"/>
    <col width="13.6640625" customWidth="1" style="160" min="1026" max="1026"/>
    <col width="13.5" customWidth="1" style="160" min="1027" max="1028"/>
    <col width="14.33203125" customWidth="1" style="160" min="1029" max="1029"/>
    <col width="13.5" customWidth="1" style="160" min="1030" max="1030"/>
    <col width="14" customWidth="1" style="160" min="1031" max="1031"/>
    <col width="13.83203125" customWidth="1" style="160" min="1032" max="1032"/>
    <col width="14.33203125" customWidth="1" style="160" min="1033" max="1033"/>
    <col width="13.1640625" customWidth="1" style="160" min="1034" max="1034"/>
    <col width="13.6640625" customWidth="1" style="160" min="1035" max="1035"/>
    <col width="17.33203125" customWidth="1" style="160" min="1036" max="1036"/>
    <col width="14.83203125" customWidth="1" style="160" min="1037" max="1037"/>
    <col width="14.1640625" customWidth="1" style="160" min="1038" max="1038"/>
    <col width="13.83203125" customWidth="1" style="160" min="1039" max="1039"/>
    <col width="14.83203125" customWidth="1" style="160" min="1040" max="1040"/>
    <col width="14.5" customWidth="1" style="160" min="1041" max="1041"/>
    <col width="14.83203125" customWidth="1" style="160" min="1042" max="1042"/>
    <col width="13.83203125" customWidth="1" style="160" min="1043" max="1043"/>
    <col width="14.6640625" customWidth="1" style="160" min="1044" max="1044"/>
    <col width="15.1640625" customWidth="1" style="160" min="1045" max="1045"/>
    <col width="14.6640625" customWidth="1" style="160" min="1046" max="1046"/>
    <col width="14.5" customWidth="1" style="160" min="1047" max="1047"/>
    <col width="13.5" customWidth="1" style="160" min="1048" max="1048"/>
    <col width="14.1640625" customWidth="1" style="160" min="1049" max="1049"/>
    <col width="13" customWidth="1" style="160" min="1050" max="1050"/>
    <col width="14.83203125" customWidth="1" style="160" min="1051" max="1051"/>
    <col width="12.83203125" customWidth="1" style="160" min="1052" max="1052"/>
    <col width="13.33203125" customWidth="1" style="160" min="1053" max="1053"/>
    <col width="13.5" customWidth="1" style="160" min="1054" max="1054"/>
    <col width="12.5" customWidth="1" style="160" min="1055" max="1055"/>
    <col width="13.1640625" customWidth="1" style="160" min="1056" max="1056"/>
    <col width="13" customWidth="1" style="160" min="1057" max="1057"/>
    <col width="13.6640625" customWidth="1" style="160" min="1058" max="1058"/>
    <col width="13.1640625" customWidth="1" style="160" min="1059" max="1060"/>
    <col width="13.5" customWidth="1" style="160" min="1061" max="1061"/>
    <col width="14.5" customWidth="1" style="160" min="1062" max="1062"/>
    <col width="12.5" customWidth="1" style="160" min="1063" max="1063"/>
    <col width="13" customWidth="1" style="160" min="1064" max="1066"/>
    <col width="13.5" customWidth="1" style="160" min="1067" max="1067"/>
    <col width="12.83203125" customWidth="1" style="160" min="1068" max="1069"/>
    <col width="12.5" customWidth="1" style="160" min="1070" max="1070"/>
  </cols>
  <sheetData>
    <row r="3" ht="16" customHeight="1" s="160" thickBot="1">
      <c r="A3" s="2" t="inlineStr">
        <is>
          <t>ITEMS</t>
        </is>
      </c>
      <c r="B3" s="2" t="inlineStr">
        <is>
          <t>PARTICULARS</t>
        </is>
      </c>
      <c r="C3" s="2" t="n"/>
      <c r="D3" s="3" t="n">
        <v>44204</v>
      </c>
      <c r="E3" s="3" t="n">
        <v>44965</v>
      </c>
      <c r="F3" s="3" t="n">
        <v>44993</v>
      </c>
      <c r="G3" s="3" t="n">
        <v>45024</v>
      </c>
      <c r="H3" s="3" t="n">
        <v>45054</v>
      </c>
      <c r="I3" s="3" t="n">
        <v>45085</v>
      </c>
      <c r="J3" s="3" t="n">
        <v>45115</v>
      </c>
      <c r="K3" s="3" t="n">
        <v>45146</v>
      </c>
      <c r="L3" s="3" t="n">
        <v>45177</v>
      </c>
      <c r="M3" s="3" t="n">
        <v>45207</v>
      </c>
      <c r="N3" s="3" t="n">
        <v>45238</v>
      </c>
      <c r="O3" s="3" t="n">
        <v>45268</v>
      </c>
      <c r="P3" s="3" t="inlineStr">
        <is>
          <t>13/8/23</t>
        </is>
      </c>
      <c r="Q3" s="3" t="inlineStr">
        <is>
          <t>14/8/23</t>
        </is>
      </c>
      <c r="R3" s="3" t="inlineStr">
        <is>
          <t>15/8/23</t>
        </is>
      </c>
      <c r="S3" s="3" t="inlineStr">
        <is>
          <t>16/8/23</t>
        </is>
      </c>
      <c r="T3" s="3" t="inlineStr">
        <is>
          <t>17/8/23</t>
        </is>
      </c>
      <c r="U3" s="3" t="inlineStr">
        <is>
          <t>18/8/23</t>
        </is>
      </c>
      <c r="V3" s="3" t="inlineStr">
        <is>
          <t>19/8/23</t>
        </is>
      </c>
      <c r="W3" s="3" t="inlineStr">
        <is>
          <t>20/8/23</t>
        </is>
      </c>
      <c r="X3" s="3" t="inlineStr">
        <is>
          <t>21/8/23</t>
        </is>
      </c>
      <c r="Y3" s="3" t="inlineStr">
        <is>
          <t>22/8/23</t>
        </is>
      </c>
      <c r="Z3" s="3" t="inlineStr">
        <is>
          <t>23/8/23</t>
        </is>
      </c>
      <c r="AA3" s="3" t="inlineStr">
        <is>
          <t>24/8/23</t>
        </is>
      </c>
      <c r="AB3" s="3" t="inlineStr">
        <is>
          <t>25/8/23</t>
        </is>
      </c>
      <c r="AC3" s="3" t="inlineStr">
        <is>
          <t>26/8/23</t>
        </is>
      </c>
      <c r="AD3" s="3" t="inlineStr">
        <is>
          <t>27/8/23</t>
        </is>
      </c>
      <c r="AE3" s="3" t="inlineStr">
        <is>
          <t>28/8/23</t>
        </is>
      </c>
      <c r="AF3" s="3" t="inlineStr">
        <is>
          <t>29/8/23</t>
        </is>
      </c>
      <c r="AG3" s="3" t="inlineStr">
        <is>
          <t>30/8/23</t>
        </is>
      </c>
      <c r="AH3" s="3" t="inlineStr">
        <is>
          <t>31/8/23</t>
        </is>
      </c>
      <c r="AI3" s="2" t="inlineStr">
        <is>
          <t>MONTHLY TOTAL</t>
        </is>
      </c>
      <c r="AJ3" s="88" t="n">
        <v>45170</v>
      </c>
      <c r="AK3" s="88">
        <f>AJ3+1</f>
        <v/>
      </c>
      <c r="AL3" s="88">
        <f>AK3+1</f>
        <v/>
      </c>
      <c r="AM3" s="88">
        <f>AL3+1</f>
        <v/>
      </c>
      <c r="AN3" s="88">
        <f>AM3+1</f>
        <v/>
      </c>
      <c r="AO3" s="88">
        <f>AN3+1</f>
        <v/>
      </c>
      <c r="AP3" s="88">
        <f>AO3+1</f>
        <v/>
      </c>
      <c r="AQ3" s="88">
        <f>AP3+1</f>
        <v/>
      </c>
      <c r="AR3" s="88">
        <f>AQ3+1</f>
        <v/>
      </c>
      <c r="AS3" s="88">
        <f>AR3+1</f>
        <v/>
      </c>
      <c r="AT3" s="88">
        <f>AS3+1</f>
        <v/>
      </c>
      <c r="AU3" s="88">
        <f>AT3+1</f>
        <v/>
      </c>
      <c r="AV3" s="88">
        <f>AU3+1</f>
        <v/>
      </c>
      <c r="AW3" s="88">
        <f>AV3+1</f>
        <v/>
      </c>
      <c r="AX3" s="88">
        <f>AW3+1</f>
        <v/>
      </c>
      <c r="AY3" s="88">
        <f>AX3+1</f>
        <v/>
      </c>
      <c r="AZ3" s="88">
        <f>AY3+1</f>
        <v/>
      </c>
      <c r="BA3" s="88">
        <f>AZ3+1</f>
        <v/>
      </c>
      <c r="BB3" s="88">
        <f>BA3+1</f>
        <v/>
      </c>
      <c r="BC3" s="88">
        <f>BB3+1</f>
        <v/>
      </c>
      <c r="BD3" s="88">
        <f>BC3+1</f>
        <v/>
      </c>
      <c r="BE3" s="88">
        <f>BD3+1</f>
        <v/>
      </c>
      <c r="BF3" s="88">
        <f>BE3+1</f>
        <v/>
      </c>
      <c r="BG3" s="88">
        <f>BF3+1</f>
        <v/>
      </c>
      <c r="BH3" s="88">
        <f>BG3+1</f>
        <v/>
      </c>
      <c r="BI3" s="88">
        <f>BH3+1</f>
        <v/>
      </c>
      <c r="BJ3" s="88">
        <f>BI3+1</f>
        <v/>
      </c>
      <c r="BK3" s="88">
        <f>BJ3+1</f>
        <v/>
      </c>
      <c r="BL3" s="88">
        <f>BK3+1</f>
        <v/>
      </c>
      <c r="BM3" s="88">
        <f>BL3+1</f>
        <v/>
      </c>
      <c r="BN3" s="88" t="inlineStr">
        <is>
          <t>Monthly Total</t>
        </is>
      </c>
      <c r="BO3" s="88">
        <f>AJ3+30</f>
        <v/>
      </c>
      <c r="BP3" s="88">
        <f>AK3+30</f>
        <v/>
      </c>
      <c r="BQ3" s="88">
        <f>AL3+30</f>
        <v/>
      </c>
      <c r="BR3" s="88">
        <f>AM3+30</f>
        <v/>
      </c>
      <c r="BS3" s="88">
        <f>AN3+30</f>
        <v/>
      </c>
      <c r="BT3" s="88">
        <f>AO3+30</f>
        <v/>
      </c>
      <c r="BU3" s="88">
        <f>AP3+30</f>
        <v/>
      </c>
      <c r="BV3" s="88">
        <f>AQ3+30</f>
        <v/>
      </c>
      <c r="BW3" s="88">
        <f>AR3+30</f>
        <v/>
      </c>
      <c r="BX3" s="88">
        <f>AS3+30</f>
        <v/>
      </c>
      <c r="BY3" s="88">
        <f>AT3+30</f>
        <v/>
      </c>
      <c r="BZ3" s="88">
        <f>AU3+30</f>
        <v/>
      </c>
      <c r="CA3" s="88">
        <f>AV3+30</f>
        <v/>
      </c>
      <c r="CB3" s="88">
        <f>AW3+30</f>
        <v/>
      </c>
      <c r="CC3" s="88">
        <f>AX3+30</f>
        <v/>
      </c>
      <c r="CD3" s="88">
        <f>AY3+30</f>
        <v/>
      </c>
      <c r="CE3" s="88">
        <f>AZ3+30</f>
        <v/>
      </c>
      <c r="CF3" s="88">
        <f>BA3+30</f>
        <v/>
      </c>
      <c r="CG3" s="88">
        <f>BB3+30</f>
        <v/>
      </c>
      <c r="CH3" s="88">
        <f>BC3+30</f>
        <v/>
      </c>
      <c r="CI3" s="88">
        <f>BD3+30</f>
        <v/>
      </c>
      <c r="CJ3" s="88">
        <f>BE3+30</f>
        <v/>
      </c>
      <c r="CK3" s="88">
        <f>BF3+30</f>
        <v/>
      </c>
      <c r="CL3" s="88">
        <f>BG3+30</f>
        <v/>
      </c>
      <c r="CM3" s="88">
        <f>BH3+30</f>
        <v/>
      </c>
      <c r="CN3" s="88">
        <f>BI3+30</f>
        <v/>
      </c>
      <c r="CO3" s="88">
        <f>BJ3+30</f>
        <v/>
      </c>
      <c r="CP3" s="88">
        <f>BK3+30</f>
        <v/>
      </c>
      <c r="CQ3" s="88">
        <f>BL3+30</f>
        <v/>
      </c>
      <c r="CR3" s="88">
        <f>BM3+30</f>
        <v/>
      </c>
      <c r="CS3" s="88">
        <f>BO3+30</f>
        <v/>
      </c>
      <c r="CT3" s="88" t="inlineStr">
        <is>
          <t>Monthly Total</t>
        </is>
      </c>
      <c r="CU3" s="88">
        <f>BP3+30</f>
        <v/>
      </c>
      <c r="CV3" s="88">
        <f>BQ3+30</f>
        <v/>
      </c>
      <c r="CW3" s="88">
        <f>BR3+30</f>
        <v/>
      </c>
      <c r="CX3" s="88">
        <f>BS3+30</f>
        <v/>
      </c>
      <c r="CY3" s="88">
        <f>BT3+30</f>
        <v/>
      </c>
      <c r="CZ3" s="88">
        <f>BU3+30</f>
        <v/>
      </c>
      <c r="DA3" s="88">
        <f>BV3+30</f>
        <v/>
      </c>
      <c r="DB3" s="88">
        <f>BW3+30</f>
        <v/>
      </c>
      <c r="DC3" s="88">
        <f>BX3+30</f>
        <v/>
      </c>
      <c r="DD3" s="88">
        <f>BY3+30</f>
        <v/>
      </c>
      <c r="DE3" s="88">
        <f>BZ3+30</f>
        <v/>
      </c>
      <c r="DF3" s="88">
        <f>CA3+30</f>
        <v/>
      </c>
      <c r="DG3" s="88">
        <f>CB3+30</f>
        <v/>
      </c>
      <c r="DH3" s="88">
        <f>CC3+30</f>
        <v/>
      </c>
      <c r="DI3" s="88">
        <f>CD3+30</f>
        <v/>
      </c>
      <c r="DJ3" s="88">
        <f>CE3+30</f>
        <v/>
      </c>
      <c r="DK3" s="88">
        <f>CF3+30</f>
        <v/>
      </c>
      <c r="DL3" s="88">
        <f>CG3+30</f>
        <v/>
      </c>
      <c r="DM3" s="88">
        <f>CH3+30</f>
        <v/>
      </c>
      <c r="DN3" s="88">
        <f>CI3+30</f>
        <v/>
      </c>
      <c r="DO3" s="88">
        <f>CJ3+30</f>
        <v/>
      </c>
      <c r="DP3" s="88">
        <f>CK3+30</f>
        <v/>
      </c>
      <c r="DQ3" s="88">
        <f>CL3+30</f>
        <v/>
      </c>
      <c r="DR3" s="88">
        <f>CM3+30</f>
        <v/>
      </c>
      <c r="DS3" s="88">
        <f>CN3+30</f>
        <v/>
      </c>
      <c r="DT3" s="88">
        <f>CO3+30</f>
        <v/>
      </c>
      <c r="DU3" s="88">
        <f>CP3+30</f>
        <v/>
      </c>
      <c r="DV3" s="88">
        <f>CQ3+30</f>
        <v/>
      </c>
      <c r="DW3" s="88">
        <f>CR3+30</f>
        <v/>
      </c>
      <c r="DX3" s="88">
        <f>CS3+30</f>
        <v/>
      </c>
      <c r="DY3" t="inlineStr">
        <is>
          <t>MONTHLY TOTAL</t>
        </is>
      </c>
      <c r="DZ3" s="115" t="n">
        <v>45261</v>
      </c>
      <c r="EA3" s="115">
        <f>DZ3+1</f>
        <v/>
      </c>
      <c r="EB3" s="115">
        <f>EA3+1</f>
        <v/>
      </c>
      <c r="EC3" s="115">
        <f>EB3+1</f>
        <v/>
      </c>
      <c r="ED3" s="115">
        <f>EC3+1</f>
        <v/>
      </c>
      <c r="EE3" s="115">
        <f>ED3+1</f>
        <v/>
      </c>
      <c r="EF3" s="115">
        <f>EE3+1</f>
        <v/>
      </c>
      <c r="EG3" s="115">
        <f>EF3+1</f>
        <v/>
      </c>
      <c r="EH3" s="115">
        <f>EG3+1</f>
        <v/>
      </c>
      <c r="EI3" s="115">
        <f>EH3+1</f>
        <v/>
      </c>
      <c r="EJ3" s="115">
        <f>EI3+1</f>
        <v/>
      </c>
      <c r="EK3" s="115">
        <f>EJ3+1</f>
        <v/>
      </c>
      <c r="EL3" s="115">
        <f>EK3+1</f>
        <v/>
      </c>
      <c r="EM3" s="115">
        <f>EL3+1</f>
        <v/>
      </c>
      <c r="EN3" s="115">
        <f>EM3+1</f>
        <v/>
      </c>
      <c r="EO3" s="115">
        <f>EN3+1</f>
        <v/>
      </c>
      <c r="EP3" s="115">
        <f>EO3+1</f>
        <v/>
      </c>
      <c r="EQ3" s="115">
        <f>EP3+1</f>
        <v/>
      </c>
      <c r="ER3" s="115">
        <f>EQ3+1</f>
        <v/>
      </c>
      <c r="ES3" s="115">
        <f>ER3+1</f>
        <v/>
      </c>
      <c r="ET3" s="115">
        <f>ES3+1</f>
        <v/>
      </c>
      <c r="EU3" s="115">
        <f>ET3+1</f>
        <v/>
      </c>
      <c r="EV3" s="115">
        <f>EU3+1</f>
        <v/>
      </c>
      <c r="EW3" s="115">
        <f>EV3+1</f>
        <v/>
      </c>
      <c r="EX3" s="115">
        <f>EW3+1</f>
        <v/>
      </c>
      <c r="EY3" s="115">
        <f>EX3+1</f>
        <v/>
      </c>
      <c r="EZ3" s="115">
        <f>EY3+1</f>
        <v/>
      </c>
      <c r="FA3" s="115">
        <f>EZ3+1</f>
        <v/>
      </c>
      <c r="FB3" s="115">
        <f>FA3+1</f>
        <v/>
      </c>
      <c r="FC3" s="115">
        <f>FB3+1</f>
        <v/>
      </c>
      <c r="FD3" s="115">
        <f>FC3+1</f>
        <v/>
      </c>
      <c r="FE3" s="125" t="inlineStr">
        <is>
          <t>MONTHLY TOTAL</t>
        </is>
      </c>
      <c r="FF3" s="115">
        <f>FD3+1</f>
        <v/>
      </c>
      <c r="FG3" s="115">
        <f>FF3+1</f>
        <v/>
      </c>
      <c r="FH3" s="115">
        <f>FG3+1</f>
        <v/>
      </c>
      <c r="FI3" s="115">
        <f>FH3+1</f>
        <v/>
      </c>
      <c r="FJ3" s="115">
        <f>FI3+1</f>
        <v/>
      </c>
      <c r="FK3" s="115">
        <f>FJ3+1</f>
        <v/>
      </c>
      <c r="FL3" s="115">
        <f>FK3+1</f>
        <v/>
      </c>
      <c r="FM3" s="115">
        <f>FL3+1</f>
        <v/>
      </c>
      <c r="FN3" s="115">
        <f>FM3+1</f>
        <v/>
      </c>
      <c r="FO3" s="115">
        <f>FN3+1</f>
        <v/>
      </c>
      <c r="FP3" s="115">
        <f>FO3+1</f>
        <v/>
      </c>
      <c r="FQ3" s="115">
        <f>FP3+1</f>
        <v/>
      </c>
      <c r="FR3" s="115">
        <f>FQ3+1</f>
        <v/>
      </c>
      <c r="FS3" s="115">
        <f>FR3+1</f>
        <v/>
      </c>
      <c r="FT3" s="115">
        <f>FS3+1</f>
        <v/>
      </c>
      <c r="FU3" s="115">
        <f>FT3+1</f>
        <v/>
      </c>
      <c r="FV3" s="115">
        <f>FU3+1</f>
        <v/>
      </c>
      <c r="FW3" s="115">
        <f>FV3+1</f>
        <v/>
      </c>
      <c r="FX3" s="115">
        <f>FW3+1</f>
        <v/>
      </c>
      <c r="FY3" s="115">
        <f>FX3+1</f>
        <v/>
      </c>
      <c r="FZ3" s="115">
        <f>FY3+1</f>
        <v/>
      </c>
      <c r="GA3" s="115">
        <f>FZ3+1</f>
        <v/>
      </c>
      <c r="GB3" s="115">
        <f>GA3+1</f>
        <v/>
      </c>
      <c r="GC3" s="115">
        <f>GB3+1</f>
        <v/>
      </c>
      <c r="GD3" s="115">
        <f>GC3+1</f>
        <v/>
      </c>
      <c r="GE3" s="115">
        <f>GD3+1</f>
        <v/>
      </c>
      <c r="GF3" s="115">
        <f>GE3+1</f>
        <v/>
      </c>
      <c r="GG3" s="115">
        <f>GF3+1</f>
        <v/>
      </c>
      <c r="GH3" s="115">
        <f>GG3+1</f>
        <v/>
      </c>
      <c r="GI3" s="115">
        <f>GH3+1</f>
        <v/>
      </c>
      <c r="GJ3" s="115">
        <f>GI3+1</f>
        <v/>
      </c>
      <c r="GK3" s="125" t="inlineStr">
        <is>
          <t>MONTHLY TOTAL</t>
        </is>
      </c>
      <c r="GL3" s="115">
        <f>GJ3+1</f>
        <v/>
      </c>
      <c r="GM3" s="115">
        <f>GL3+1</f>
        <v/>
      </c>
      <c r="GN3" s="115">
        <f>GM3+1</f>
        <v/>
      </c>
      <c r="GO3" s="115">
        <f>GN3+1</f>
        <v/>
      </c>
      <c r="GP3" s="115">
        <f>GO3+1</f>
        <v/>
      </c>
      <c r="GQ3" s="115">
        <f>GP3+1</f>
        <v/>
      </c>
      <c r="GR3" s="115">
        <f>GQ3+1</f>
        <v/>
      </c>
      <c r="GS3" s="115">
        <f>GR3+1</f>
        <v/>
      </c>
      <c r="GT3" s="115">
        <f>GS3+1</f>
        <v/>
      </c>
      <c r="GU3" s="115">
        <f>GT3+1</f>
        <v/>
      </c>
      <c r="GV3" s="115">
        <f>GU3+1</f>
        <v/>
      </c>
      <c r="GW3" s="115">
        <f>GV3+1</f>
        <v/>
      </c>
      <c r="GX3" s="115">
        <f>GW3+1</f>
        <v/>
      </c>
      <c r="GY3" s="115">
        <f>GX3+1</f>
        <v/>
      </c>
      <c r="GZ3" s="115">
        <f>GY3+1</f>
        <v/>
      </c>
      <c r="HA3" s="115">
        <f>GZ3+1</f>
        <v/>
      </c>
      <c r="HB3" s="115">
        <f>HA3+1</f>
        <v/>
      </c>
      <c r="HC3" s="115">
        <f>HB3+1</f>
        <v/>
      </c>
      <c r="HD3" s="115">
        <f>HC3+1</f>
        <v/>
      </c>
      <c r="HE3" s="115">
        <f>HD3+1</f>
        <v/>
      </c>
      <c r="HF3" s="115">
        <f>HE3+1</f>
        <v/>
      </c>
      <c r="HG3" s="115">
        <f>HF3+1</f>
        <v/>
      </c>
      <c r="HH3" s="115">
        <f>HG3+1</f>
        <v/>
      </c>
      <c r="HI3" s="115">
        <f>HH3+1</f>
        <v/>
      </c>
      <c r="HJ3" s="115">
        <f>HI3+1</f>
        <v/>
      </c>
      <c r="HK3" s="115">
        <f>HJ3+1</f>
        <v/>
      </c>
      <c r="HL3" s="115">
        <f>HK3+1</f>
        <v/>
      </c>
      <c r="HM3" s="115">
        <f>HL3+1</f>
        <v/>
      </c>
      <c r="HN3" s="115">
        <f>HM3+1</f>
        <v/>
      </c>
      <c r="HO3" s="125" t="inlineStr">
        <is>
          <t>MONTHLY TOTAL</t>
        </is>
      </c>
      <c r="HP3" s="115">
        <f>HN3+1</f>
        <v/>
      </c>
      <c r="HQ3" s="115">
        <f>HP3+1</f>
        <v/>
      </c>
      <c r="HR3" s="115">
        <f>HQ3+1</f>
        <v/>
      </c>
      <c r="HS3" s="115">
        <f>HR3+1</f>
        <v/>
      </c>
      <c r="HT3" s="115">
        <f>HS3+1</f>
        <v/>
      </c>
      <c r="HU3" s="115">
        <f>HT3+1</f>
        <v/>
      </c>
      <c r="HV3" s="115">
        <f>HU3+1</f>
        <v/>
      </c>
      <c r="HW3" s="115">
        <f>HV3+1</f>
        <v/>
      </c>
      <c r="HX3" s="115">
        <f>HW3+1</f>
        <v/>
      </c>
      <c r="HY3" s="115">
        <f>HX3+1</f>
        <v/>
      </c>
      <c r="HZ3" s="115">
        <f>HY3+1</f>
        <v/>
      </c>
      <c r="IA3" s="115">
        <f>HZ3+1</f>
        <v/>
      </c>
      <c r="IB3" s="115">
        <f>IA3+1</f>
        <v/>
      </c>
      <c r="IC3" s="115">
        <f>IB3+1</f>
        <v/>
      </c>
      <c r="ID3" s="115">
        <f>IC3+1</f>
        <v/>
      </c>
      <c r="IE3" s="115">
        <f>ID3+1</f>
        <v/>
      </c>
      <c r="IF3" s="115">
        <f>IE3+1</f>
        <v/>
      </c>
      <c r="IG3" s="115">
        <f>IF3+1</f>
        <v/>
      </c>
      <c r="IH3" s="115">
        <f>IG3+1</f>
        <v/>
      </c>
      <c r="II3" s="115">
        <f>IH3+1</f>
        <v/>
      </c>
      <c r="IJ3" s="115">
        <f>II3+1</f>
        <v/>
      </c>
      <c r="IK3" s="115">
        <f>IJ3+1</f>
        <v/>
      </c>
      <c r="IL3" s="115">
        <f>IK3+1</f>
        <v/>
      </c>
      <c r="IM3" s="115">
        <f>IL3+1</f>
        <v/>
      </c>
      <c r="IN3" s="115">
        <f>IM3+1</f>
        <v/>
      </c>
      <c r="IO3" s="115">
        <f>IN3+1</f>
        <v/>
      </c>
      <c r="IP3" s="115">
        <f>IO3+1</f>
        <v/>
      </c>
      <c r="IQ3" s="115">
        <f>IP3+1</f>
        <v/>
      </c>
      <c r="IR3" s="115">
        <f>IQ3+1</f>
        <v/>
      </c>
      <c r="IS3" s="115">
        <f>IR3+1</f>
        <v/>
      </c>
      <c r="IT3" s="115">
        <f>IS3+1</f>
        <v/>
      </c>
      <c r="IU3" s="125" t="inlineStr">
        <is>
          <t>MONTHLY TOTAL</t>
        </is>
      </c>
      <c r="IV3" s="115" t="n">
        <v>45383</v>
      </c>
      <c r="IW3" s="115">
        <f>IV3+1</f>
        <v/>
      </c>
      <c r="IX3" s="115">
        <f>IW3+1</f>
        <v/>
      </c>
      <c r="IY3" s="115">
        <f>IX3+1</f>
        <v/>
      </c>
      <c r="IZ3" s="115">
        <f>IY3+1</f>
        <v/>
      </c>
      <c r="JA3" s="115">
        <f>IZ3+1</f>
        <v/>
      </c>
      <c r="JB3" s="115">
        <f>JA3+1</f>
        <v/>
      </c>
      <c r="JC3" s="115">
        <f>JB3+1</f>
        <v/>
      </c>
      <c r="JD3" s="115">
        <f>JC3+1</f>
        <v/>
      </c>
      <c r="JE3" s="115">
        <f>JD3+1</f>
        <v/>
      </c>
      <c r="JF3" s="115">
        <f>JE3+1</f>
        <v/>
      </c>
      <c r="JG3" s="115">
        <f>JF3+1</f>
        <v/>
      </c>
      <c r="JH3" s="115">
        <f>JG3+1</f>
        <v/>
      </c>
      <c r="JI3" s="115">
        <f>JH3+1</f>
        <v/>
      </c>
      <c r="JJ3" s="115">
        <f>JI3+1</f>
        <v/>
      </c>
      <c r="JK3" s="115">
        <f>JJ3+1</f>
        <v/>
      </c>
      <c r="JL3" s="115">
        <f>JK3+1</f>
        <v/>
      </c>
      <c r="JM3" s="115">
        <f>JL3+1</f>
        <v/>
      </c>
      <c r="JN3" s="115">
        <f>JM3+1</f>
        <v/>
      </c>
      <c r="JO3" s="115">
        <f>JN3+1</f>
        <v/>
      </c>
      <c r="JP3" s="115">
        <f>JO3+1</f>
        <v/>
      </c>
      <c r="JQ3" s="115">
        <f>JP3+1</f>
        <v/>
      </c>
      <c r="JR3" s="115">
        <f>JQ3+1</f>
        <v/>
      </c>
      <c r="JS3" s="115">
        <f>JR3+1</f>
        <v/>
      </c>
      <c r="JT3" s="115">
        <f>JS3+1</f>
        <v/>
      </c>
      <c r="JU3" s="115">
        <f>JT3+1</f>
        <v/>
      </c>
      <c r="JV3" s="115">
        <f>JU3+1</f>
        <v/>
      </c>
      <c r="JW3" s="115">
        <f>JV3+1</f>
        <v/>
      </c>
      <c r="JX3" s="115">
        <f>JW3+1</f>
        <v/>
      </c>
      <c r="JY3" s="115">
        <f>JX3+1</f>
        <v/>
      </c>
      <c r="JZ3" s="125" t="inlineStr">
        <is>
          <t>MONTHLY TOTAL</t>
        </is>
      </c>
      <c r="KA3" s="115">
        <f>JY3+1</f>
        <v/>
      </c>
      <c r="KB3" s="115">
        <f>KA3+1</f>
        <v/>
      </c>
      <c r="KC3" s="115">
        <f>KB3+1</f>
        <v/>
      </c>
      <c r="KD3" s="115">
        <f>KC3+1</f>
        <v/>
      </c>
      <c r="KE3" s="115">
        <f>KD3+1</f>
        <v/>
      </c>
      <c r="KF3" s="115">
        <f>KE3+1</f>
        <v/>
      </c>
      <c r="KG3" s="115">
        <f>KF3+1</f>
        <v/>
      </c>
      <c r="KH3" s="136">
        <f>KG3+1</f>
        <v/>
      </c>
      <c r="KI3" s="115">
        <f>KH3+1</f>
        <v/>
      </c>
      <c r="KJ3" s="115">
        <f>KI3+1</f>
        <v/>
      </c>
      <c r="KK3" s="115">
        <f>KJ3+1</f>
        <v/>
      </c>
      <c r="KL3" s="115">
        <f>KK3+1</f>
        <v/>
      </c>
      <c r="KM3" s="115">
        <f>KL3+1</f>
        <v/>
      </c>
      <c r="KN3" s="115">
        <f>KM3+1</f>
        <v/>
      </c>
      <c r="KO3" s="115">
        <f>KN3+1</f>
        <v/>
      </c>
      <c r="KP3" s="115">
        <f>KO3+1</f>
        <v/>
      </c>
      <c r="KQ3" s="115">
        <f>KP3+1</f>
        <v/>
      </c>
      <c r="KR3" s="115">
        <f>KQ3+1</f>
        <v/>
      </c>
      <c r="KS3" s="115">
        <f>KR3+1</f>
        <v/>
      </c>
      <c r="KT3" s="115">
        <f>KS3+1</f>
        <v/>
      </c>
      <c r="KU3" s="115">
        <f>KT3+1</f>
        <v/>
      </c>
      <c r="KV3" s="115">
        <f>KU3+1</f>
        <v/>
      </c>
      <c r="KW3" s="115">
        <f>KV3+1</f>
        <v/>
      </c>
      <c r="KX3" s="115">
        <f>KW3+1</f>
        <v/>
      </c>
      <c r="KY3" s="115">
        <f>KX3+1</f>
        <v/>
      </c>
      <c r="KZ3" s="115">
        <f>KY3+1</f>
        <v/>
      </c>
      <c r="LA3" s="115">
        <f>KZ3+1</f>
        <v/>
      </c>
      <c r="LB3" s="115">
        <f>LA3+1</f>
        <v/>
      </c>
      <c r="LC3" s="115">
        <f>LB3+1</f>
        <v/>
      </c>
      <c r="LD3" s="115">
        <f>LC3+1</f>
        <v/>
      </c>
      <c r="LE3" s="115">
        <f>LD3+1</f>
        <v/>
      </c>
      <c r="LF3" s="125" t="inlineStr">
        <is>
          <t>MONTHLY TOTAL</t>
        </is>
      </c>
      <c r="LG3" s="115" t="inlineStr">
        <is>
          <t xml:space="preserve">1st june </t>
        </is>
      </c>
      <c r="LH3" s="115" t="inlineStr">
        <is>
          <t xml:space="preserve">2nd june </t>
        </is>
      </c>
      <c r="LI3" s="115" t="inlineStr">
        <is>
          <t xml:space="preserve">3rd june </t>
        </is>
      </c>
      <c r="LJ3" s="115" t="inlineStr">
        <is>
          <t xml:space="preserve">4th june </t>
        </is>
      </c>
      <c r="LK3" s="115" t="inlineStr">
        <is>
          <t xml:space="preserve">5th june </t>
        </is>
      </c>
      <c r="LL3" s="115" t="inlineStr">
        <is>
          <t xml:space="preserve">6th june </t>
        </is>
      </c>
      <c r="LM3" s="115" t="inlineStr">
        <is>
          <t xml:space="preserve">7th june </t>
        </is>
      </c>
      <c r="LN3" s="115" t="inlineStr">
        <is>
          <t xml:space="preserve">8th june </t>
        </is>
      </c>
      <c r="LO3" s="115" t="inlineStr">
        <is>
          <t xml:space="preserve">9th june </t>
        </is>
      </c>
      <c r="LP3" s="115" t="inlineStr">
        <is>
          <t xml:space="preserve">10th june </t>
        </is>
      </c>
      <c r="LQ3" s="115" t="inlineStr">
        <is>
          <t xml:space="preserve">11th june </t>
        </is>
      </c>
      <c r="LR3" s="115" t="inlineStr">
        <is>
          <t xml:space="preserve">12th june </t>
        </is>
      </c>
      <c r="LS3" s="115" t="inlineStr">
        <is>
          <t xml:space="preserve">13th june </t>
        </is>
      </c>
      <c r="LT3" s="115" t="inlineStr">
        <is>
          <t xml:space="preserve">14th june </t>
        </is>
      </c>
      <c r="LU3" s="115" t="inlineStr">
        <is>
          <t xml:space="preserve">15th june </t>
        </is>
      </c>
      <c r="LV3" s="115" t="inlineStr">
        <is>
          <t xml:space="preserve">16th june </t>
        </is>
      </c>
      <c r="LW3" s="115" t="inlineStr">
        <is>
          <t xml:space="preserve">17th june </t>
        </is>
      </c>
      <c r="LX3" s="115" t="inlineStr">
        <is>
          <t xml:space="preserve">18th june </t>
        </is>
      </c>
      <c r="LY3" s="115" t="inlineStr">
        <is>
          <t xml:space="preserve">19th june </t>
        </is>
      </c>
      <c r="LZ3" s="115" t="inlineStr">
        <is>
          <t xml:space="preserve">20th june </t>
        </is>
      </c>
      <c r="MA3" s="115" t="inlineStr">
        <is>
          <t xml:space="preserve">21st june </t>
        </is>
      </c>
      <c r="MB3" s="115" t="inlineStr">
        <is>
          <t xml:space="preserve">22nd june </t>
        </is>
      </c>
      <c r="MC3" s="115" t="inlineStr">
        <is>
          <t xml:space="preserve">23rd june </t>
        </is>
      </c>
      <c r="MD3" s="115" t="inlineStr">
        <is>
          <t xml:space="preserve">24th june </t>
        </is>
      </c>
      <c r="ME3" s="115" t="inlineStr">
        <is>
          <t xml:space="preserve">25th june </t>
        </is>
      </c>
      <c r="MF3" s="115" t="inlineStr">
        <is>
          <t xml:space="preserve">26th june </t>
        </is>
      </c>
      <c r="MG3" s="115" t="inlineStr">
        <is>
          <t xml:space="preserve">27th june </t>
        </is>
      </c>
      <c r="MH3" s="115" t="inlineStr">
        <is>
          <t xml:space="preserve">28th june </t>
        </is>
      </c>
      <c r="MI3" s="115" t="inlineStr">
        <is>
          <t xml:space="preserve">29th june </t>
        </is>
      </c>
      <c r="MJ3" s="115" t="inlineStr">
        <is>
          <t xml:space="preserve">30th june </t>
        </is>
      </c>
      <c r="MK3" s="125" t="inlineStr">
        <is>
          <t>MONTHLY TOTAL</t>
        </is>
      </c>
      <c r="ML3" s="137" t="inlineStr">
        <is>
          <t>1st july</t>
        </is>
      </c>
      <c r="MM3" s="137" t="inlineStr">
        <is>
          <t>2nd july</t>
        </is>
      </c>
      <c r="MN3" s="137" t="inlineStr">
        <is>
          <t>3rd july</t>
        </is>
      </c>
      <c r="MO3" s="137" t="inlineStr">
        <is>
          <t>4th july</t>
        </is>
      </c>
      <c r="MP3" s="137" t="inlineStr">
        <is>
          <t>5th july</t>
        </is>
      </c>
      <c r="MQ3" s="137" t="inlineStr">
        <is>
          <t>6th july</t>
        </is>
      </c>
      <c r="MR3" s="137" t="inlineStr">
        <is>
          <t>7th july</t>
        </is>
      </c>
      <c r="MS3" s="137" t="inlineStr">
        <is>
          <t>8th july</t>
        </is>
      </c>
      <c r="MT3" s="137" t="inlineStr">
        <is>
          <t>9th july</t>
        </is>
      </c>
      <c r="MU3" s="137" t="inlineStr">
        <is>
          <t>10th july</t>
        </is>
      </c>
      <c r="MV3" s="137" t="inlineStr">
        <is>
          <t>11th july</t>
        </is>
      </c>
      <c r="MW3" s="137" t="inlineStr">
        <is>
          <t>12th july</t>
        </is>
      </c>
      <c r="MX3" s="137" t="inlineStr">
        <is>
          <t>13th july</t>
        </is>
      </c>
      <c r="MY3" s="137" t="inlineStr">
        <is>
          <t>14th july</t>
        </is>
      </c>
      <c r="MZ3" s="137" t="inlineStr">
        <is>
          <t>15th july</t>
        </is>
      </c>
      <c r="NA3" s="137" t="inlineStr">
        <is>
          <t>16th july</t>
        </is>
      </c>
      <c r="NB3" s="137" t="inlineStr">
        <is>
          <t>17th july</t>
        </is>
      </c>
      <c r="NC3" s="137" t="inlineStr">
        <is>
          <t>18th july</t>
        </is>
      </c>
      <c r="ND3" s="137" t="inlineStr">
        <is>
          <t>19th july</t>
        </is>
      </c>
      <c r="NE3" s="137" t="inlineStr">
        <is>
          <t>20th july</t>
        </is>
      </c>
      <c r="NF3" s="137" t="inlineStr">
        <is>
          <t>21st july</t>
        </is>
      </c>
      <c r="NG3" s="137" t="inlineStr">
        <is>
          <t>22nd july</t>
        </is>
      </c>
      <c r="NH3" s="137" t="inlineStr">
        <is>
          <t>23rd july</t>
        </is>
      </c>
      <c r="NI3" s="137" t="inlineStr">
        <is>
          <t>24th july</t>
        </is>
      </c>
      <c r="NJ3" s="137" t="inlineStr">
        <is>
          <t>25th july</t>
        </is>
      </c>
      <c r="NK3" s="137" t="inlineStr">
        <is>
          <t>26th july</t>
        </is>
      </c>
      <c r="NL3" s="137" t="inlineStr">
        <is>
          <t>27th july</t>
        </is>
      </c>
      <c r="NM3" s="137" t="inlineStr">
        <is>
          <t>28th july</t>
        </is>
      </c>
      <c r="NN3" s="137" t="inlineStr">
        <is>
          <t>29th july</t>
        </is>
      </c>
      <c r="NO3" s="137" t="inlineStr">
        <is>
          <t>30th july</t>
        </is>
      </c>
      <c r="NP3" s="137" t="inlineStr">
        <is>
          <t>31st july</t>
        </is>
      </c>
      <c r="NQ3" s="125" t="inlineStr">
        <is>
          <t>MONTHLY TOTAL</t>
        </is>
      </c>
      <c r="NR3" s="137" t="inlineStr">
        <is>
          <t>1st aug</t>
        </is>
      </c>
      <c r="NS3" s="137" t="inlineStr">
        <is>
          <t>2nd aug</t>
        </is>
      </c>
      <c r="NT3" s="137" t="inlineStr">
        <is>
          <t>3rd aug</t>
        </is>
      </c>
      <c r="NU3" s="137" t="inlineStr">
        <is>
          <t>4th aug</t>
        </is>
      </c>
      <c r="NV3" s="137" t="inlineStr">
        <is>
          <t>5th aug</t>
        </is>
      </c>
      <c r="NW3" s="137" t="inlineStr">
        <is>
          <t>6th aug</t>
        </is>
      </c>
      <c r="NX3" s="137" t="inlineStr">
        <is>
          <t>7th aug</t>
        </is>
      </c>
      <c r="NY3" s="137" t="inlineStr">
        <is>
          <t>8th aug</t>
        </is>
      </c>
      <c r="NZ3" s="137" t="inlineStr">
        <is>
          <t>9th aug</t>
        </is>
      </c>
      <c r="OA3" s="137" t="inlineStr">
        <is>
          <t>10th aug</t>
        </is>
      </c>
      <c r="OB3" s="137" t="inlineStr">
        <is>
          <t>11th aug</t>
        </is>
      </c>
      <c r="OC3" s="137" t="inlineStr">
        <is>
          <t>12th aug</t>
        </is>
      </c>
      <c r="OD3" s="137" t="inlineStr">
        <is>
          <t>13th aug</t>
        </is>
      </c>
      <c r="OE3" s="137" t="inlineStr">
        <is>
          <t>14th aug</t>
        </is>
      </c>
      <c r="OF3" s="137" t="inlineStr">
        <is>
          <t>15th aug</t>
        </is>
      </c>
      <c r="OG3" s="137" t="inlineStr">
        <is>
          <t>16th aug</t>
        </is>
      </c>
      <c r="OH3" s="137" t="inlineStr">
        <is>
          <t>17th aug</t>
        </is>
      </c>
      <c r="OI3" s="137" t="inlineStr">
        <is>
          <t>18th aug</t>
        </is>
      </c>
      <c r="OJ3" s="137" t="inlineStr">
        <is>
          <t>19th aug</t>
        </is>
      </c>
      <c r="OK3" s="137" t="inlineStr">
        <is>
          <t>20th aug</t>
        </is>
      </c>
      <c r="OL3" s="137" t="inlineStr">
        <is>
          <t>21st aug</t>
        </is>
      </c>
      <c r="OM3" s="137" t="inlineStr">
        <is>
          <t>22nd aug</t>
        </is>
      </c>
      <c r="ON3" s="137" t="inlineStr">
        <is>
          <t>23rd aug</t>
        </is>
      </c>
      <c r="OO3" s="137" t="inlineStr">
        <is>
          <t>24th aug</t>
        </is>
      </c>
      <c r="OP3" s="137" t="inlineStr">
        <is>
          <t>25th aug</t>
        </is>
      </c>
      <c r="OQ3" s="137" t="inlineStr">
        <is>
          <t>26th aug</t>
        </is>
      </c>
      <c r="OR3" s="137" t="inlineStr">
        <is>
          <t>27th aug</t>
        </is>
      </c>
      <c r="OS3" s="137" t="inlineStr">
        <is>
          <t>28th aug</t>
        </is>
      </c>
      <c r="OT3" s="137" t="inlineStr">
        <is>
          <t>29th aug</t>
        </is>
      </c>
      <c r="OU3" s="137" t="inlineStr">
        <is>
          <t>30th aug</t>
        </is>
      </c>
      <c r="OV3" s="137" t="inlineStr">
        <is>
          <t>31st aug</t>
        </is>
      </c>
      <c r="OW3" s="125" t="inlineStr">
        <is>
          <t>MONTHLY TOTAL</t>
        </is>
      </c>
      <c r="OX3" s="137" t="inlineStr">
        <is>
          <t>1st sep</t>
        </is>
      </c>
      <c r="OY3" s="137" t="inlineStr">
        <is>
          <t>2nd sep</t>
        </is>
      </c>
      <c r="OZ3" s="137" t="inlineStr">
        <is>
          <t>3rd sep</t>
        </is>
      </c>
      <c r="PA3" s="137" t="inlineStr">
        <is>
          <t>4th sep</t>
        </is>
      </c>
      <c r="PB3" s="137" t="inlineStr">
        <is>
          <t>5th sep</t>
        </is>
      </c>
      <c r="PC3" s="137" t="inlineStr">
        <is>
          <t>6th sep</t>
        </is>
      </c>
      <c r="PD3" s="137" t="inlineStr">
        <is>
          <t>7th sep</t>
        </is>
      </c>
      <c r="PE3" s="137" t="inlineStr">
        <is>
          <t>8th sep</t>
        </is>
      </c>
      <c r="PF3" s="137" t="inlineStr">
        <is>
          <t>9th sep</t>
        </is>
      </c>
      <c r="PG3" s="137" t="inlineStr">
        <is>
          <t>10th sep</t>
        </is>
      </c>
      <c r="PH3" s="137" t="inlineStr">
        <is>
          <t>11th sep</t>
        </is>
      </c>
      <c r="PI3" s="137" t="inlineStr">
        <is>
          <t>12th sep</t>
        </is>
      </c>
      <c r="PJ3" s="137" t="inlineStr">
        <is>
          <t>13th sep</t>
        </is>
      </c>
      <c r="PK3" s="137" t="inlineStr">
        <is>
          <t>14th sep</t>
        </is>
      </c>
      <c r="PL3" s="137" t="inlineStr">
        <is>
          <t>15th sep</t>
        </is>
      </c>
      <c r="PM3" s="137" t="inlineStr">
        <is>
          <t>16th sep</t>
        </is>
      </c>
      <c r="PN3" s="137" t="inlineStr">
        <is>
          <t>17th sep</t>
        </is>
      </c>
      <c r="PO3" s="137" t="inlineStr">
        <is>
          <t>18th sep</t>
        </is>
      </c>
      <c r="PP3" s="137" t="inlineStr">
        <is>
          <t>19th sep</t>
        </is>
      </c>
      <c r="PQ3" s="137" t="inlineStr">
        <is>
          <t>20th sep</t>
        </is>
      </c>
      <c r="PR3" s="137" t="inlineStr">
        <is>
          <t>21st sep</t>
        </is>
      </c>
      <c r="PS3" s="137" t="inlineStr">
        <is>
          <t>22nd sep</t>
        </is>
      </c>
      <c r="PT3" s="137" t="inlineStr">
        <is>
          <t>23rd sep</t>
        </is>
      </c>
      <c r="PU3" s="137" t="inlineStr">
        <is>
          <t>24th sep</t>
        </is>
      </c>
      <c r="PV3" s="137" t="inlineStr">
        <is>
          <t>25th sep</t>
        </is>
      </c>
      <c r="PW3" s="137" t="inlineStr">
        <is>
          <t>26th sep</t>
        </is>
      </c>
      <c r="PX3" s="137" t="inlineStr">
        <is>
          <t>27th sep</t>
        </is>
      </c>
      <c r="PY3" s="137" t="inlineStr">
        <is>
          <t>28th sep</t>
        </is>
      </c>
      <c r="PZ3" s="137" t="inlineStr">
        <is>
          <t>29th sep</t>
        </is>
      </c>
      <c r="QA3" s="137" t="inlineStr">
        <is>
          <t>30th sep</t>
        </is>
      </c>
      <c r="QB3" s="125" t="inlineStr">
        <is>
          <t>MONTHLY TOTAL</t>
        </is>
      </c>
      <c r="QC3" s="137" t="inlineStr">
        <is>
          <t>1st 0ct 24</t>
        </is>
      </c>
      <c r="QD3" s="137" t="inlineStr">
        <is>
          <t>2nd 0ct 24</t>
        </is>
      </c>
      <c r="QE3" s="137" t="inlineStr">
        <is>
          <t>3rd 0ct 24</t>
        </is>
      </c>
      <c r="QF3" s="137" t="inlineStr">
        <is>
          <t>4th 0ct 24</t>
        </is>
      </c>
      <c r="QG3" s="137" t="inlineStr">
        <is>
          <t>5th 0ct 24</t>
        </is>
      </c>
      <c r="QH3" s="137" t="inlineStr">
        <is>
          <t>6th 0ct 24</t>
        </is>
      </c>
      <c r="QI3" s="137" t="inlineStr">
        <is>
          <t>7th 0ct 24</t>
        </is>
      </c>
      <c r="QJ3" s="137" t="inlineStr">
        <is>
          <t>8th 0ct 24</t>
        </is>
      </c>
      <c r="QK3" s="137" t="inlineStr">
        <is>
          <t>9th 0ct 24</t>
        </is>
      </c>
      <c r="QL3" s="137" t="inlineStr">
        <is>
          <t>10th 0ct 24</t>
        </is>
      </c>
      <c r="QM3" s="137" t="inlineStr">
        <is>
          <t>11th 0ct 24</t>
        </is>
      </c>
      <c r="QN3" s="137" t="inlineStr">
        <is>
          <t>12th 0ct 24</t>
        </is>
      </c>
      <c r="QO3" s="137" t="inlineStr">
        <is>
          <t>13th 0ct 24</t>
        </is>
      </c>
      <c r="QP3" s="137" t="inlineStr">
        <is>
          <t>14th 0ct 24</t>
        </is>
      </c>
      <c r="QQ3" s="137" t="inlineStr">
        <is>
          <t>15th 0ct 24</t>
        </is>
      </c>
      <c r="QR3" s="137" t="inlineStr">
        <is>
          <t>16th 0ct 24</t>
        </is>
      </c>
      <c r="QS3" s="137" t="inlineStr">
        <is>
          <t>17th 0ct 24</t>
        </is>
      </c>
      <c r="QT3" s="137" t="inlineStr">
        <is>
          <t>18th 0ct 24</t>
        </is>
      </c>
      <c r="QU3" s="137" t="inlineStr">
        <is>
          <t>19th 0ct 24</t>
        </is>
      </c>
      <c r="QV3" s="137" t="inlineStr">
        <is>
          <t>20th 0ct 24</t>
        </is>
      </c>
      <c r="QW3" s="137" t="inlineStr">
        <is>
          <t>21st 0ct 24</t>
        </is>
      </c>
      <c r="QX3" s="137" t="inlineStr">
        <is>
          <t>22nd 0ct 24</t>
        </is>
      </c>
      <c r="QY3" s="137" t="inlineStr">
        <is>
          <t>23rd 0ct 24</t>
        </is>
      </c>
      <c r="QZ3" s="137" t="inlineStr">
        <is>
          <t>24th 0ct 24</t>
        </is>
      </c>
      <c r="RA3" s="137" t="inlineStr">
        <is>
          <t>25th 0ct 24</t>
        </is>
      </c>
      <c r="RB3" s="137" t="inlineStr">
        <is>
          <t>26th 0ct 24</t>
        </is>
      </c>
      <c r="RC3" s="137" t="inlineStr">
        <is>
          <t>27th 0ct 24</t>
        </is>
      </c>
      <c r="RD3" s="137" t="inlineStr">
        <is>
          <t>28th 0ct 24</t>
        </is>
      </c>
      <c r="RE3" s="137" t="inlineStr">
        <is>
          <t>29th 0ct 24</t>
        </is>
      </c>
      <c r="RF3" s="137" t="inlineStr">
        <is>
          <t>30th 0ct 24</t>
        </is>
      </c>
      <c r="RG3" s="137" t="inlineStr">
        <is>
          <t>31st 0ct 24</t>
        </is>
      </c>
      <c r="RH3" s="125" t="inlineStr">
        <is>
          <t>MONTHLY TOTAL</t>
        </is>
      </c>
      <c r="RI3" s="137" t="inlineStr">
        <is>
          <t>1st Nov-2024</t>
        </is>
      </c>
      <c r="RJ3" s="137" t="inlineStr">
        <is>
          <t>2nd Nov-2024</t>
        </is>
      </c>
      <c r="RK3" s="137" t="inlineStr">
        <is>
          <t>3rd Nov-2024</t>
        </is>
      </c>
      <c r="RL3" s="137" t="inlineStr">
        <is>
          <t>4th Nov-2024</t>
        </is>
      </c>
      <c r="RM3" s="137" t="inlineStr">
        <is>
          <t>5th Nov-2024</t>
        </is>
      </c>
      <c r="RN3" s="137" t="inlineStr">
        <is>
          <t>6th Nov-2024</t>
        </is>
      </c>
      <c r="RO3" s="137" t="inlineStr">
        <is>
          <t>7th Nov-2024</t>
        </is>
      </c>
      <c r="RP3" s="137" t="inlineStr">
        <is>
          <t>8th Nov-2024</t>
        </is>
      </c>
      <c r="RQ3" s="137" t="inlineStr">
        <is>
          <t>9th Nov-2024</t>
        </is>
      </c>
      <c r="RR3" s="137" t="inlineStr">
        <is>
          <t>10th Nov-2024</t>
        </is>
      </c>
      <c r="RS3" s="137" t="inlineStr">
        <is>
          <t>11th Nov-2024</t>
        </is>
      </c>
      <c r="RT3" s="137" t="inlineStr">
        <is>
          <t>12th Nov-2024</t>
        </is>
      </c>
      <c r="RU3" s="137" t="inlineStr">
        <is>
          <t>13th Nov-2024</t>
        </is>
      </c>
      <c r="RV3" s="137" t="inlineStr">
        <is>
          <t>14th Nov-2024</t>
        </is>
      </c>
      <c r="RW3" s="137" t="inlineStr">
        <is>
          <t>15th Nov-2024</t>
        </is>
      </c>
      <c r="RX3" s="137" t="inlineStr">
        <is>
          <t>16th Nov-2024</t>
        </is>
      </c>
      <c r="RY3" s="137" t="inlineStr">
        <is>
          <t>17th Nov-2024</t>
        </is>
      </c>
      <c r="RZ3" s="137" t="inlineStr">
        <is>
          <t>18th Nov-2024</t>
        </is>
      </c>
      <c r="SA3" s="137" t="inlineStr">
        <is>
          <t>19th Nov-2024</t>
        </is>
      </c>
      <c r="SB3" s="137" t="inlineStr">
        <is>
          <t>20th Nov-2024</t>
        </is>
      </c>
      <c r="SC3" s="137" t="inlineStr">
        <is>
          <t>21st Nov-2024</t>
        </is>
      </c>
      <c r="SD3" s="137" t="inlineStr">
        <is>
          <t>22nd Nov-2024</t>
        </is>
      </c>
      <c r="SE3" s="137" t="inlineStr">
        <is>
          <t>23rd Nov-2024</t>
        </is>
      </c>
      <c r="SF3" s="137" t="inlineStr">
        <is>
          <t>24th Nov-2024</t>
        </is>
      </c>
      <c r="SG3" s="137" t="inlineStr">
        <is>
          <t>25th Nov-2024</t>
        </is>
      </c>
      <c r="SH3" s="137" t="inlineStr">
        <is>
          <t>26th Nov-2024</t>
        </is>
      </c>
      <c r="SI3" s="137" t="inlineStr">
        <is>
          <t>27th Nov-2024</t>
        </is>
      </c>
      <c r="SJ3" s="137" t="inlineStr">
        <is>
          <t>28th Nov-2024</t>
        </is>
      </c>
      <c r="SK3" s="137" t="inlineStr">
        <is>
          <t>29th Nov-2024</t>
        </is>
      </c>
      <c r="SL3" s="137" t="inlineStr">
        <is>
          <t>30th Nov-2024</t>
        </is>
      </c>
      <c r="SM3" s="125" t="inlineStr">
        <is>
          <t>MONTHLY TOTAL</t>
        </is>
      </c>
      <c r="SN3" s="137" t="inlineStr">
        <is>
          <t>1st dec-2024</t>
        </is>
      </c>
      <c r="SO3" s="137" t="inlineStr">
        <is>
          <t>2nd dec-2024</t>
        </is>
      </c>
      <c r="SP3" s="137" t="inlineStr">
        <is>
          <t>3rd dec-2024</t>
        </is>
      </c>
      <c r="SQ3" s="137" t="inlineStr">
        <is>
          <t>4th dec-2024</t>
        </is>
      </c>
      <c r="SR3" s="137" t="inlineStr">
        <is>
          <t>5th dec-2024</t>
        </is>
      </c>
      <c r="SS3" s="137" t="inlineStr">
        <is>
          <t>6th dec-2024</t>
        </is>
      </c>
      <c r="ST3" s="137" t="inlineStr">
        <is>
          <t>7th dec-2024</t>
        </is>
      </c>
      <c r="SU3" s="137" t="inlineStr">
        <is>
          <t>8th dec-2024</t>
        </is>
      </c>
      <c r="SV3" s="137" t="inlineStr">
        <is>
          <t>9th dec-2024</t>
        </is>
      </c>
      <c r="SW3" s="137" t="inlineStr">
        <is>
          <t>10th dec-2024</t>
        </is>
      </c>
      <c r="SX3" s="137" t="inlineStr">
        <is>
          <t>11th dec-2024</t>
        </is>
      </c>
      <c r="SY3" s="137" t="inlineStr">
        <is>
          <t>12th dec-2024</t>
        </is>
      </c>
      <c r="SZ3" s="137" t="inlineStr">
        <is>
          <t>13th dec-2024</t>
        </is>
      </c>
      <c r="TA3" s="137" t="inlineStr">
        <is>
          <t>14th dec-2024</t>
        </is>
      </c>
      <c r="TB3" s="137" t="inlineStr">
        <is>
          <t>15th dec-2024</t>
        </is>
      </c>
      <c r="TC3" s="137" t="inlineStr">
        <is>
          <t>16th dec-2024</t>
        </is>
      </c>
      <c r="TD3" s="137" t="inlineStr">
        <is>
          <t>17th dec-2024</t>
        </is>
      </c>
      <c r="TE3" s="137" t="inlineStr">
        <is>
          <t>18th dec-2024</t>
        </is>
      </c>
      <c r="TF3" s="137" t="inlineStr">
        <is>
          <t>19th dec-2024</t>
        </is>
      </c>
      <c r="TG3" s="137" t="inlineStr">
        <is>
          <t>20th dec-2024</t>
        </is>
      </c>
      <c r="TH3" s="137" t="inlineStr">
        <is>
          <t>21st dec-2024</t>
        </is>
      </c>
      <c r="TI3" s="137" t="inlineStr">
        <is>
          <t>22nd dec-2024</t>
        </is>
      </c>
      <c r="TJ3" s="137" t="inlineStr">
        <is>
          <t>23rd dec-2024</t>
        </is>
      </c>
      <c r="TK3" s="137" t="inlineStr">
        <is>
          <t>24th dec-2024</t>
        </is>
      </c>
      <c r="TL3" s="137" t="inlineStr">
        <is>
          <t>25th dec-2024</t>
        </is>
      </c>
      <c r="TM3" s="137" t="inlineStr">
        <is>
          <t>26th dec-2024</t>
        </is>
      </c>
      <c r="TN3" s="137" t="inlineStr">
        <is>
          <t>27th dec-2024</t>
        </is>
      </c>
      <c r="TO3" s="137" t="inlineStr">
        <is>
          <t>28th dec-2024</t>
        </is>
      </c>
      <c r="TP3" s="137" t="inlineStr">
        <is>
          <t>29th dec-2024</t>
        </is>
      </c>
      <c r="TQ3" s="137" t="inlineStr">
        <is>
          <t>30th dec-2024</t>
        </is>
      </c>
      <c r="TR3" s="137" t="inlineStr">
        <is>
          <t>31st dec-2024</t>
        </is>
      </c>
      <c r="TS3" s="125" t="inlineStr">
        <is>
          <t>MONTHLY TOTAL</t>
        </is>
      </c>
      <c r="TT3" s="137" t="inlineStr">
        <is>
          <t>1st jan-2025</t>
        </is>
      </c>
      <c r="TU3" s="137" t="inlineStr">
        <is>
          <t>2nd jan -2025</t>
        </is>
      </c>
      <c r="TV3" s="137" t="inlineStr">
        <is>
          <t>3rd jan -2025</t>
        </is>
      </c>
      <c r="TW3" s="137" t="inlineStr">
        <is>
          <t>4th jan -2025</t>
        </is>
      </c>
      <c r="TX3" s="137" t="inlineStr">
        <is>
          <t>5th jan -2025</t>
        </is>
      </c>
      <c r="TY3" s="137" t="inlineStr">
        <is>
          <t>6th jan -2025</t>
        </is>
      </c>
      <c r="TZ3" s="137" t="inlineStr">
        <is>
          <t>7th jan -2025</t>
        </is>
      </c>
      <c r="UA3" s="137" t="inlineStr">
        <is>
          <t>8th jan -2025</t>
        </is>
      </c>
      <c r="UB3" s="137" t="inlineStr">
        <is>
          <t>9th jan -2025</t>
        </is>
      </c>
      <c r="UC3" s="137" t="inlineStr">
        <is>
          <t>10th jan -2025</t>
        </is>
      </c>
      <c r="UD3" s="137" t="inlineStr">
        <is>
          <t>11th jan -2025</t>
        </is>
      </c>
      <c r="UE3" s="137" t="inlineStr">
        <is>
          <t>12th jan -2025</t>
        </is>
      </c>
      <c r="UF3" s="137" t="inlineStr">
        <is>
          <t>13th jan -2025</t>
        </is>
      </c>
      <c r="UG3" s="137" t="inlineStr">
        <is>
          <t>14th jan -2025</t>
        </is>
      </c>
      <c r="UH3" s="137" t="inlineStr">
        <is>
          <t>15th jan -2025</t>
        </is>
      </c>
      <c r="UI3" s="137" t="inlineStr">
        <is>
          <t>16th jan -2025</t>
        </is>
      </c>
      <c r="UJ3" s="137" t="inlineStr">
        <is>
          <t>17th jan -2025</t>
        </is>
      </c>
      <c r="UK3" s="137" t="inlineStr">
        <is>
          <t>18th jan -2025</t>
        </is>
      </c>
      <c r="UL3" s="137" t="inlineStr">
        <is>
          <t>19th jan -2025</t>
        </is>
      </c>
      <c r="UM3" s="137" t="inlineStr">
        <is>
          <t>20th jan -2025</t>
        </is>
      </c>
      <c r="UN3" s="137" t="inlineStr">
        <is>
          <t>21st jan -2025</t>
        </is>
      </c>
      <c r="UO3" s="137" t="inlineStr">
        <is>
          <t>22nd jan -2025</t>
        </is>
      </c>
      <c r="UP3" s="137" t="inlineStr">
        <is>
          <t>23rd jan -2025</t>
        </is>
      </c>
      <c r="UQ3" s="137" t="inlineStr">
        <is>
          <t>24th jan -2025</t>
        </is>
      </c>
      <c r="UR3" s="137" t="inlineStr">
        <is>
          <t>25th jan -2025</t>
        </is>
      </c>
      <c r="US3" s="137" t="inlineStr">
        <is>
          <t>26th jan -2025</t>
        </is>
      </c>
      <c r="UT3" s="137" t="inlineStr">
        <is>
          <t>27th jan -2025</t>
        </is>
      </c>
      <c r="UU3" s="137" t="inlineStr">
        <is>
          <t>28th jan -2025</t>
        </is>
      </c>
      <c r="UV3" s="137" t="inlineStr">
        <is>
          <t>29th jan -2025</t>
        </is>
      </c>
      <c r="UW3" s="137" t="inlineStr">
        <is>
          <t>30th jan -2025</t>
        </is>
      </c>
      <c r="UX3" s="137" t="inlineStr">
        <is>
          <t>31st jan -2025</t>
        </is>
      </c>
      <c r="UY3" s="125" t="inlineStr">
        <is>
          <t>MONTHLY TOTAL</t>
        </is>
      </c>
      <c r="UZ3" s="137" t="inlineStr">
        <is>
          <t>1st feb2025</t>
        </is>
      </c>
      <c r="VA3" s="137" t="inlineStr">
        <is>
          <t>2nd feb2025</t>
        </is>
      </c>
      <c r="VB3" s="137" t="inlineStr">
        <is>
          <t>3rd feb2025</t>
        </is>
      </c>
      <c r="VC3" s="137" t="inlineStr">
        <is>
          <t>4th feb2025</t>
        </is>
      </c>
      <c r="VD3" s="137" t="inlineStr">
        <is>
          <t>5th feb2025</t>
        </is>
      </c>
      <c r="VE3" s="137" t="inlineStr">
        <is>
          <t>6th feb2025</t>
        </is>
      </c>
      <c r="VF3" s="137" t="inlineStr">
        <is>
          <t>7th feb2025</t>
        </is>
      </c>
      <c r="VG3" s="137" t="inlineStr">
        <is>
          <t>8th feb2025</t>
        </is>
      </c>
      <c r="VH3" s="137" t="inlineStr">
        <is>
          <t>9th feb2025</t>
        </is>
      </c>
      <c r="VI3" s="137" t="inlineStr">
        <is>
          <t>10th feb2025</t>
        </is>
      </c>
      <c r="VJ3" s="137" t="inlineStr">
        <is>
          <t>11th feb2025</t>
        </is>
      </c>
      <c r="VK3" s="137" t="inlineStr">
        <is>
          <t>12th feb2025</t>
        </is>
      </c>
      <c r="VL3" s="137" t="inlineStr">
        <is>
          <t>13th feb2025</t>
        </is>
      </c>
      <c r="VM3" s="137" t="inlineStr">
        <is>
          <t>14th feb2025</t>
        </is>
      </c>
      <c r="VN3" s="137" t="inlineStr">
        <is>
          <t>15th feb2025</t>
        </is>
      </c>
      <c r="VO3" s="137" t="inlineStr">
        <is>
          <t>16th feb2025</t>
        </is>
      </c>
      <c r="VP3" s="137" t="inlineStr">
        <is>
          <t>17th feb2025</t>
        </is>
      </c>
      <c r="VQ3" s="137" t="inlineStr">
        <is>
          <t>18th feb2025</t>
        </is>
      </c>
      <c r="VR3" s="137" t="inlineStr">
        <is>
          <t>19th feb2025</t>
        </is>
      </c>
      <c r="VS3" s="137" t="inlineStr">
        <is>
          <t>20th feb2025</t>
        </is>
      </c>
      <c r="VT3" s="137" t="inlineStr">
        <is>
          <t>21st feb2025</t>
        </is>
      </c>
      <c r="VU3" s="137" t="inlineStr">
        <is>
          <t>22nd feb2025</t>
        </is>
      </c>
      <c r="VV3" s="137" t="inlineStr">
        <is>
          <t>23rd feb2025</t>
        </is>
      </c>
      <c r="VW3" s="137" t="inlineStr">
        <is>
          <t>24th feb2025</t>
        </is>
      </c>
      <c r="VX3" s="137" t="inlineStr">
        <is>
          <t>25th feb2025</t>
        </is>
      </c>
      <c r="VY3" s="137" t="inlineStr">
        <is>
          <t>26th feb2025</t>
        </is>
      </c>
      <c r="VZ3" s="137" t="inlineStr">
        <is>
          <t>27th feb2025</t>
        </is>
      </c>
      <c r="WA3" s="137" t="inlineStr">
        <is>
          <t>28th feb2025</t>
        </is>
      </c>
      <c r="WB3" s="125" t="inlineStr">
        <is>
          <t>MONTHLY TOTAL</t>
        </is>
      </c>
      <c r="WC3" s="137" t="inlineStr">
        <is>
          <t>1st mar2025</t>
        </is>
      </c>
      <c r="WD3" s="137" t="inlineStr">
        <is>
          <t>2nd mar2025</t>
        </is>
      </c>
      <c r="WE3" s="137" t="inlineStr">
        <is>
          <t>3rd mar2025</t>
        </is>
      </c>
      <c r="WF3" s="137" t="inlineStr">
        <is>
          <t>4th mar2025</t>
        </is>
      </c>
      <c r="WG3" s="137" t="inlineStr">
        <is>
          <t>5th mar2025</t>
        </is>
      </c>
      <c r="WH3" s="137" t="inlineStr">
        <is>
          <t>6th mar2025</t>
        </is>
      </c>
      <c r="WI3" s="137" t="inlineStr">
        <is>
          <t>7th mar2025</t>
        </is>
      </c>
      <c r="WJ3" s="137" t="inlineStr">
        <is>
          <t>8th mar2025</t>
        </is>
      </c>
      <c r="WK3" s="137" t="inlineStr">
        <is>
          <t>9th mar2025</t>
        </is>
      </c>
      <c r="WL3" s="137" t="inlineStr">
        <is>
          <t>10th mar2025</t>
        </is>
      </c>
      <c r="WM3" s="137" t="inlineStr">
        <is>
          <t>11th mar2025</t>
        </is>
      </c>
      <c r="WN3" s="137" t="inlineStr">
        <is>
          <t>12th mar2025</t>
        </is>
      </c>
      <c r="WO3" s="137" t="inlineStr">
        <is>
          <t>13th mar2025</t>
        </is>
      </c>
      <c r="WP3" s="137" t="inlineStr">
        <is>
          <t>14th mar2025</t>
        </is>
      </c>
      <c r="WQ3" s="137" t="inlineStr">
        <is>
          <t>15th mar2025</t>
        </is>
      </c>
      <c r="WR3" s="137" t="inlineStr">
        <is>
          <t>16th mar2025</t>
        </is>
      </c>
      <c r="WS3" s="137" t="inlineStr">
        <is>
          <t>17th mar2025</t>
        </is>
      </c>
      <c r="WT3" s="137" t="inlineStr">
        <is>
          <t>18th mar2025</t>
        </is>
      </c>
      <c r="WU3" s="137" t="inlineStr">
        <is>
          <t>19th mar2025</t>
        </is>
      </c>
      <c r="WV3" s="137" t="inlineStr">
        <is>
          <t>20th mar2025</t>
        </is>
      </c>
      <c r="WW3" s="137" t="inlineStr">
        <is>
          <t>21st mar2025</t>
        </is>
      </c>
      <c r="WX3" s="137" t="inlineStr">
        <is>
          <t>22nd mar2025</t>
        </is>
      </c>
      <c r="WY3" s="137" t="inlineStr">
        <is>
          <t>23rd mar2025</t>
        </is>
      </c>
      <c r="WZ3" s="137" t="inlineStr">
        <is>
          <t>24th mar2025</t>
        </is>
      </c>
      <c r="XA3" s="137" t="inlineStr">
        <is>
          <t>25th mar2025</t>
        </is>
      </c>
      <c r="XB3" s="137" t="inlineStr">
        <is>
          <t>26th mar2025</t>
        </is>
      </c>
      <c r="XC3" s="137" t="inlineStr">
        <is>
          <t>27th mar2025</t>
        </is>
      </c>
      <c r="XD3" s="137" t="inlineStr">
        <is>
          <t>28th mar2025</t>
        </is>
      </c>
      <c r="XE3" s="137" t="inlineStr">
        <is>
          <t>29th mar2025</t>
        </is>
      </c>
      <c r="XF3" s="137" t="inlineStr">
        <is>
          <t>30th mar2025</t>
        </is>
      </c>
      <c r="XG3" s="137" t="inlineStr">
        <is>
          <t>31st mar2025</t>
        </is>
      </c>
      <c r="XH3" s="125" t="inlineStr">
        <is>
          <t>MONTHLY TOTAL</t>
        </is>
      </c>
      <c r="XI3" s="137" t="inlineStr">
        <is>
          <t>1st -apr2025</t>
        </is>
      </c>
      <c r="XJ3" s="137" t="inlineStr">
        <is>
          <t>2nd -apr2025</t>
        </is>
      </c>
      <c r="XK3" s="137" t="inlineStr">
        <is>
          <t>3rd -apr2025</t>
        </is>
      </c>
      <c r="XL3" s="137" t="inlineStr">
        <is>
          <t>4th -apr2025</t>
        </is>
      </c>
      <c r="XM3" s="137" t="inlineStr">
        <is>
          <t>5th -apr2025</t>
        </is>
      </c>
      <c r="XN3" s="137" t="inlineStr">
        <is>
          <t>6th -apr2025</t>
        </is>
      </c>
      <c r="XO3" s="137" t="inlineStr">
        <is>
          <t>7th -apr2025</t>
        </is>
      </c>
      <c r="XP3" s="137" t="inlineStr">
        <is>
          <t>8th -apr2025</t>
        </is>
      </c>
      <c r="XQ3" s="137" t="inlineStr">
        <is>
          <t>9th -apr2025</t>
        </is>
      </c>
      <c r="XR3" s="137" t="inlineStr">
        <is>
          <t>10th -apr2025</t>
        </is>
      </c>
      <c r="XS3" s="137" t="inlineStr">
        <is>
          <t>11th -apr2025</t>
        </is>
      </c>
      <c r="XT3" s="137" t="inlineStr">
        <is>
          <t>12th -apr2025</t>
        </is>
      </c>
      <c r="XU3" s="137" t="inlineStr">
        <is>
          <t>13th -apr2025</t>
        </is>
      </c>
      <c r="XV3" s="137" t="inlineStr">
        <is>
          <t>14th -apr2025</t>
        </is>
      </c>
      <c r="XW3" s="137" t="inlineStr">
        <is>
          <t>15th -apr2025</t>
        </is>
      </c>
      <c r="XX3" s="137" t="inlineStr">
        <is>
          <t>16th -apr2025</t>
        </is>
      </c>
      <c r="XY3" s="137" t="inlineStr">
        <is>
          <t>17th -apr2025</t>
        </is>
      </c>
      <c r="XZ3" s="137" t="inlineStr">
        <is>
          <t>18th -apr2025</t>
        </is>
      </c>
      <c r="YA3" s="137" t="inlineStr">
        <is>
          <t>19th -apr2025</t>
        </is>
      </c>
      <c r="YB3" s="137" t="inlineStr">
        <is>
          <t>20th -apr2025</t>
        </is>
      </c>
      <c r="YC3" s="137" t="inlineStr">
        <is>
          <t>21st -apr2025</t>
        </is>
      </c>
      <c r="YD3" s="137" t="inlineStr">
        <is>
          <t>22nd -apr2025</t>
        </is>
      </c>
      <c r="YE3" s="137" t="inlineStr">
        <is>
          <t>23rd -apr2025</t>
        </is>
      </c>
      <c r="YF3" s="137" t="inlineStr">
        <is>
          <t>24th -apr2025</t>
        </is>
      </c>
      <c r="YG3" s="137" t="inlineStr">
        <is>
          <t>25th -apr2025</t>
        </is>
      </c>
      <c r="YH3" s="137" t="inlineStr">
        <is>
          <t>26th -apr2025</t>
        </is>
      </c>
      <c r="YI3" s="137" t="inlineStr">
        <is>
          <t>27th -apr2025</t>
        </is>
      </c>
      <c r="YJ3" s="137" t="inlineStr">
        <is>
          <t>28th -apr2025</t>
        </is>
      </c>
      <c r="YK3" s="137" t="inlineStr">
        <is>
          <t>29th -apr2025</t>
        </is>
      </c>
      <c r="YL3" s="137" t="inlineStr">
        <is>
          <t>30th -apr2025</t>
        </is>
      </c>
      <c r="YM3" s="125" t="inlineStr">
        <is>
          <t>MONTHLY TOTAL</t>
        </is>
      </c>
      <c r="YN3" s="137" t="inlineStr">
        <is>
          <t>1st May-2025</t>
        </is>
      </c>
      <c r="YO3" s="137" t="inlineStr">
        <is>
          <t>2nd May-2025</t>
        </is>
      </c>
      <c r="YP3" s="137" t="inlineStr">
        <is>
          <t>3rd May-2025</t>
        </is>
      </c>
      <c r="YQ3" s="137" t="inlineStr">
        <is>
          <t>4th May-2025</t>
        </is>
      </c>
      <c r="YR3" s="137" t="inlineStr">
        <is>
          <t>5th May-2025</t>
        </is>
      </c>
      <c r="YS3" s="137" t="inlineStr">
        <is>
          <t>6th May-2025</t>
        </is>
      </c>
      <c r="YT3" s="137" t="inlineStr">
        <is>
          <t>7th May-2025</t>
        </is>
      </c>
      <c r="YU3" s="137" t="inlineStr">
        <is>
          <t>8th May-2025</t>
        </is>
      </c>
      <c r="YV3" s="137" t="inlineStr">
        <is>
          <t>9th May-2025</t>
        </is>
      </c>
      <c r="YW3" s="137" t="inlineStr">
        <is>
          <t>10th May-2025</t>
        </is>
      </c>
      <c r="YX3" s="137" t="inlineStr">
        <is>
          <t>11th May-2025</t>
        </is>
      </c>
      <c r="YY3" s="137" t="inlineStr">
        <is>
          <t>12th May-2025</t>
        </is>
      </c>
      <c r="YZ3" s="137" t="inlineStr">
        <is>
          <t>13th May-2025</t>
        </is>
      </c>
      <c r="ZA3" s="137" t="inlineStr">
        <is>
          <t>14th May-2025</t>
        </is>
      </c>
      <c r="ZB3" s="137" t="inlineStr">
        <is>
          <t>15th May-2025</t>
        </is>
      </c>
      <c r="ZC3" s="137" t="inlineStr">
        <is>
          <t>16th May-2025</t>
        </is>
      </c>
      <c r="ZD3" s="137" t="inlineStr">
        <is>
          <t>17th May-2025</t>
        </is>
      </c>
      <c r="ZE3" s="137" t="inlineStr">
        <is>
          <t>18th May-2025</t>
        </is>
      </c>
      <c r="ZF3" s="137" t="inlineStr">
        <is>
          <t>19th May-2025</t>
        </is>
      </c>
      <c r="ZG3" s="137" t="inlineStr">
        <is>
          <t>20th May-2025</t>
        </is>
      </c>
      <c r="ZH3" s="137" t="inlineStr">
        <is>
          <t>21st May-2025</t>
        </is>
      </c>
      <c r="ZI3" s="137" t="inlineStr">
        <is>
          <t>22nd May-2025</t>
        </is>
      </c>
      <c r="ZJ3" s="137" t="inlineStr">
        <is>
          <t>23rd May-2025</t>
        </is>
      </c>
      <c r="ZK3" s="137" t="inlineStr">
        <is>
          <t>24th May-2025</t>
        </is>
      </c>
      <c r="ZL3" s="137" t="inlineStr">
        <is>
          <t>25th May-2025</t>
        </is>
      </c>
      <c r="ZM3" s="137" t="inlineStr">
        <is>
          <t>26th May-2025</t>
        </is>
      </c>
      <c r="ZN3" s="137" t="inlineStr">
        <is>
          <t>27th May-2025</t>
        </is>
      </c>
      <c r="ZO3" s="137" t="inlineStr">
        <is>
          <t>28th May-2025</t>
        </is>
      </c>
      <c r="ZP3" s="137" t="inlineStr">
        <is>
          <t>29th May-2025</t>
        </is>
      </c>
      <c r="ZQ3" s="137" t="inlineStr">
        <is>
          <t>30th May-2025</t>
        </is>
      </c>
      <c r="ZR3" s="137" t="inlineStr">
        <is>
          <t>31st May-2025</t>
        </is>
      </c>
      <c r="ZS3" s="125" t="inlineStr">
        <is>
          <t>MONTHLY TOTAL</t>
        </is>
      </c>
      <c r="ZT3" s="137" t="inlineStr">
        <is>
          <t>1st june</t>
        </is>
      </c>
      <c r="ZU3" s="137" t="inlineStr">
        <is>
          <t>2nd june</t>
        </is>
      </c>
      <c r="ZV3" s="137" t="inlineStr">
        <is>
          <t>3rd june</t>
        </is>
      </c>
      <c r="ZW3" s="137" t="inlineStr">
        <is>
          <t>4th june</t>
        </is>
      </c>
      <c r="ZX3" s="137" t="inlineStr">
        <is>
          <t>5th june</t>
        </is>
      </c>
      <c r="ZY3" s="137" t="inlineStr">
        <is>
          <t>6th june</t>
        </is>
      </c>
      <c r="ZZ3" s="137" t="inlineStr">
        <is>
          <t>7th june</t>
        </is>
      </c>
      <c r="AAA3" s="137" t="inlineStr">
        <is>
          <t>8th june</t>
        </is>
      </c>
      <c r="AAB3" s="137" t="inlineStr">
        <is>
          <t>9th june</t>
        </is>
      </c>
      <c r="AAC3" s="137" t="inlineStr">
        <is>
          <t>10th june</t>
        </is>
      </c>
      <c r="AAD3" s="137" t="inlineStr">
        <is>
          <t>11th june</t>
        </is>
      </c>
      <c r="AAE3" s="137" t="inlineStr">
        <is>
          <t>12th june</t>
        </is>
      </c>
      <c r="AAF3" s="137" t="inlineStr">
        <is>
          <t>13th june</t>
        </is>
      </c>
      <c r="AAG3" s="137" t="inlineStr">
        <is>
          <t>14th june</t>
        </is>
      </c>
      <c r="AAH3" s="137" t="inlineStr">
        <is>
          <t>15th june</t>
        </is>
      </c>
      <c r="AAI3" s="137" t="inlineStr">
        <is>
          <t>16th june</t>
        </is>
      </c>
      <c r="AAJ3" s="137" t="inlineStr">
        <is>
          <t>17th june</t>
        </is>
      </c>
      <c r="AAK3" s="137" t="inlineStr">
        <is>
          <t>18th june</t>
        </is>
      </c>
      <c r="AAL3" s="137" t="inlineStr">
        <is>
          <t>19th june</t>
        </is>
      </c>
      <c r="AAM3" s="137" t="inlineStr">
        <is>
          <t>20th june</t>
        </is>
      </c>
      <c r="AAN3" s="137" t="inlineStr">
        <is>
          <t>21st june</t>
        </is>
      </c>
      <c r="AAO3" s="137" t="inlineStr">
        <is>
          <t>22nd june</t>
        </is>
      </c>
      <c r="AAP3" s="137" t="inlineStr">
        <is>
          <t>23rd june</t>
        </is>
      </c>
      <c r="AAQ3" s="137" t="inlineStr">
        <is>
          <t>24th june</t>
        </is>
      </c>
      <c r="AAR3" s="137" t="inlineStr">
        <is>
          <t>25th june</t>
        </is>
      </c>
      <c r="AAS3" s="137" t="inlineStr">
        <is>
          <t>26th june</t>
        </is>
      </c>
      <c r="AAT3" s="137" t="inlineStr">
        <is>
          <t>27th june</t>
        </is>
      </c>
      <c r="AAU3" s="137" t="inlineStr">
        <is>
          <t>28th june</t>
        </is>
      </c>
      <c r="AAV3" s="137" t="inlineStr">
        <is>
          <t>29th june</t>
        </is>
      </c>
      <c r="AAW3" s="137" t="inlineStr">
        <is>
          <t>30th june</t>
        </is>
      </c>
      <c r="AAX3" s="125" t="inlineStr">
        <is>
          <t>MONTHLY TOTAL</t>
        </is>
      </c>
      <c r="AAY3" s="137" t="inlineStr">
        <is>
          <t>1st -july</t>
        </is>
      </c>
      <c r="AAZ3" s="137" t="inlineStr">
        <is>
          <t>2nd -july</t>
        </is>
      </c>
      <c r="ABA3" s="137" t="inlineStr">
        <is>
          <t>3rd -july</t>
        </is>
      </c>
      <c r="ABB3" s="137" t="inlineStr">
        <is>
          <t>4th -july</t>
        </is>
      </c>
      <c r="ABC3" s="137" t="inlineStr">
        <is>
          <t>5th -july</t>
        </is>
      </c>
      <c r="ABD3" s="137" t="inlineStr">
        <is>
          <t>6th -july</t>
        </is>
      </c>
      <c r="ABE3" s="137" t="inlineStr">
        <is>
          <t>7th -july</t>
        </is>
      </c>
      <c r="ABF3" s="137" t="inlineStr">
        <is>
          <t>8th -july</t>
        </is>
      </c>
      <c r="ABG3" s="137" t="inlineStr">
        <is>
          <t>9th -july</t>
        </is>
      </c>
      <c r="ABH3" s="137" t="inlineStr">
        <is>
          <t>10th -july</t>
        </is>
      </c>
      <c r="ABI3" s="137" t="inlineStr">
        <is>
          <t>11th -july</t>
        </is>
      </c>
      <c r="ABJ3" s="137" t="inlineStr">
        <is>
          <t>12th -july</t>
        </is>
      </c>
      <c r="ABK3" s="137" t="inlineStr">
        <is>
          <t>13th -july</t>
        </is>
      </c>
      <c r="ABL3" s="137" t="inlineStr">
        <is>
          <t>14th -july</t>
        </is>
      </c>
      <c r="ABM3" s="137" t="inlineStr">
        <is>
          <t>15th -july</t>
        </is>
      </c>
      <c r="ABN3" s="137" t="inlineStr">
        <is>
          <t>16th -july</t>
        </is>
      </c>
      <c r="ABO3" s="137" t="inlineStr">
        <is>
          <t>17th -july</t>
        </is>
      </c>
      <c r="ABP3" s="137" t="inlineStr">
        <is>
          <t>18th -july</t>
        </is>
      </c>
      <c r="ABQ3" s="137" t="inlineStr">
        <is>
          <t>19th -july</t>
        </is>
      </c>
      <c r="ABR3" s="137" t="inlineStr">
        <is>
          <t>20th -july</t>
        </is>
      </c>
      <c r="ABS3" s="137" t="inlineStr">
        <is>
          <t>21st -july</t>
        </is>
      </c>
      <c r="ABT3" s="137" t="inlineStr">
        <is>
          <t>22nd -july</t>
        </is>
      </c>
      <c r="ABU3" s="137" t="inlineStr">
        <is>
          <t>23rd -july</t>
        </is>
      </c>
      <c r="ABV3" s="137" t="inlineStr">
        <is>
          <t>24th -july</t>
        </is>
      </c>
      <c r="ABW3" s="137" t="inlineStr">
        <is>
          <t>25th -july</t>
        </is>
      </c>
      <c r="ABX3" s="137" t="inlineStr">
        <is>
          <t>26th -july</t>
        </is>
      </c>
      <c r="ABY3" s="137" t="inlineStr">
        <is>
          <t>27th -july</t>
        </is>
      </c>
      <c r="ABZ3" s="137" t="inlineStr">
        <is>
          <t>28th -july</t>
        </is>
      </c>
      <c r="ACA3" s="137" t="inlineStr">
        <is>
          <t>29th -july</t>
        </is>
      </c>
      <c r="ACB3" s="137" t="inlineStr">
        <is>
          <t>30th -july</t>
        </is>
      </c>
      <c r="ACC3" s="137" t="inlineStr">
        <is>
          <t>31st -july</t>
        </is>
      </c>
      <c r="ACD3" s="125" t="inlineStr">
        <is>
          <t>MONTHLY TOTAL</t>
        </is>
      </c>
      <c r="ACE3" s="137" t="inlineStr">
        <is>
          <t>1st -aug25</t>
        </is>
      </c>
      <c r="ACF3" s="137" t="inlineStr">
        <is>
          <t>2nd -aug</t>
        </is>
      </c>
      <c r="ACG3" s="137" t="inlineStr">
        <is>
          <t>3rd -aug</t>
        </is>
      </c>
      <c r="ACH3" s="137" t="inlineStr">
        <is>
          <t>4th -aug</t>
        </is>
      </c>
      <c r="ACI3" s="137" t="inlineStr">
        <is>
          <t>5th -aug</t>
        </is>
      </c>
      <c r="ACJ3" s="137" t="inlineStr">
        <is>
          <t>6th -aug</t>
        </is>
      </c>
      <c r="ACK3" s="137" t="inlineStr">
        <is>
          <t>7th -aug</t>
        </is>
      </c>
      <c r="ACL3" s="137" t="inlineStr">
        <is>
          <t>8th -aug</t>
        </is>
      </c>
      <c r="ACM3" s="137" t="inlineStr">
        <is>
          <t>9th -aug</t>
        </is>
      </c>
      <c r="ACN3" s="137" t="inlineStr">
        <is>
          <t>10th -aug</t>
        </is>
      </c>
      <c r="ACO3" s="137" t="inlineStr">
        <is>
          <t>11th -aug</t>
        </is>
      </c>
      <c r="ACP3" s="137" t="inlineStr">
        <is>
          <t>12th -aug</t>
        </is>
      </c>
      <c r="ACQ3" s="137" t="inlineStr">
        <is>
          <t>13th -aug</t>
        </is>
      </c>
      <c r="ACR3" s="137" t="inlineStr">
        <is>
          <t>14th -aug</t>
        </is>
      </c>
      <c r="ACS3" s="137" t="inlineStr">
        <is>
          <t>15th -aug</t>
        </is>
      </c>
      <c r="ACT3" s="137" t="inlineStr">
        <is>
          <t>16th -aug</t>
        </is>
      </c>
      <c r="ACU3" s="137" t="inlineStr">
        <is>
          <t>17th -aug</t>
        </is>
      </c>
      <c r="ACV3" s="137" t="inlineStr">
        <is>
          <t>18th -aug</t>
        </is>
      </c>
      <c r="ACW3" s="137" t="inlineStr">
        <is>
          <t>19th -aug</t>
        </is>
      </c>
      <c r="ACX3" s="137" t="inlineStr">
        <is>
          <t>20th -aug</t>
        </is>
      </c>
      <c r="ACY3" s="137" t="inlineStr">
        <is>
          <t>21st -aug</t>
        </is>
      </c>
      <c r="ACZ3" s="137" t="inlineStr">
        <is>
          <t>22nd -aug</t>
        </is>
      </c>
      <c r="ADA3" s="137" t="inlineStr">
        <is>
          <t>23rd -aug</t>
        </is>
      </c>
      <c r="ADB3" s="137" t="inlineStr">
        <is>
          <t>24th -aug</t>
        </is>
      </c>
      <c r="ADC3" s="137" t="inlineStr">
        <is>
          <t>25th -aug</t>
        </is>
      </c>
      <c r="ADD3" s="137" t="inlineStr">
        <is>
          <t>26th -aug</t>
        </is>
      </c>
      <c r="ADE3" s="137" t="inlineStr">
        <is>
          <t>27th -aug</t>
        </is>
      </c>
      <c r="ADF3" s="137" t="inlineStr">
        <is>
          <t>28th -aug</t>
        </is>
      </c>
      <c r="ADG3" s="137" t="inlineStr">
        <is>
          <t>29th -aug</t>
        </is>
      </c>
      <c r="ADH3" s="137" t="inlineStr">
        <is>
          <t>30th -aug</t>
        </is>
      </c>
      <c r="ADI3" s="137" t="inlineStr">
        <is>
          <t>31st -aug</t>
        </is>
      </c>
      <c r="ADJ3" s="125" t="inlineStr">
        <is>
          <t>MONTHLY TOTAL</t>
        </is>
      </c>
      <c r="ADK3" s="137" t="inlineStr">
        <is>
          <t>1st -sep 25</t>
        </is>
      </c>
      <c r="ADL3" s="137" t="inlineStr">
        <is>
          <t>2nd -sep 25</t>
        </is>
      </c>
      <c r="ADM3" s="137" t="inlineStr">
        <is>
          <t>3rd -sep 25</t>
        </is>
      </c>
      <c r="ADN3" s="137" t="inlineStr">
        <is>
          <t>4th -sep 25</t>
        </is>
      </c>
      <c r="ADO3" s="137" t="inlineStr">
        <is>
          <t>5th -sep 25</t>
        </is>
      </c>
      <c r="ADP3" s="137" t="inlineStr">
        <is>
          <t>6th -sep 25</t>
        </is>
      </c>
      <c r="ADQ3" s="137" t="inlineStr">
        <is>
          <t>7th -sep 25</t>
        </is>
      </c>
      <c r="ADR3" s="137" t="inlineStr">
        <is>
          <t>8th -sep 25</t>
        </is>
      </c>
      <c r="ADS3" s="137" t="inlineStr">
        <is>
          <t>9th -sep 25</t>
        </is>
      </c>
      <c r="ADT3" s="137" t="inlineStr">
        <is>
          <t>10th -sep 25</t>
        </is>
      </c>
      <c r="ADU3" s="137" t="inlineStr">
        <is>
          <t>11th -sep 25</t>
        </is>
      </c>
      <c r="ADV3" s="137" t="inlineStr">
        <is>
          <t>12th -sep 25</t>
        </is>
      </c>
      <c r="ADW3" s="137" t="inlineStr">
        <is>
          <t>13th -sep 25</t>
        </is>
      </c>
      <c r="ADX3" s="137" t="inlineStr">
        <is>
          <t>14th -sep 25</t>
        </is>
      </c>
      <c r="ADY3" s="137" t="inlineStr">
        <is>
          <t>15th -sep 25</t>
        </is>
      </c>
      <c r="ADZ3" s="137" t="inlineStr">
        <is>
          <t>16th -sep 25</t>
        </is>
      </c>
      <c r="AEA3" s="137" t="inlineStr">
        <is>
          <t>17th -sep 25</t>
        </is>
      </c>
      <c r="AEB3" s="137" t="inlineStr">
        <is>
          <t>18th -sep 25</t>
        </is>
      </c>
      <c r="AEC3" s="137" t="inlineStr">
        <is>
          <t>19th -sep 25</t>
        </is>
      </c>
      <c r="AED3" s="137" t="inlineStr">
        <is>
          <t>20th -sep 25</t>
        </is>
      </c>
      <c r="AEE3" s="137" t="inlineStr">
        <is>
          <t>21st -sep 25</t>
        </is>
      </c>
      <c r="AEF3" s="137" t="inlineStr">
        <is>
          <t>22nd -sep 25</t>
        </is>
      </c>
      <c r="AEG3" s="137" t="inlineStr">
        <is>
          <t>23rd -sep 25</t>
        </is>
      </c>
      <c r="AEH3" s="137" t="inlineStr">
        <is>
          <t>24th -sep 25</t>
        </is>
      </c>
      <c r="AEI3" s="137" t="inlineStr">
        <is>
          <t>25th -sep 25</t>
        </is>
      </c>
      <c r="AEJ3" s="137" t="inlineStr">
        <is>
          <t>26th -sep 25</t>
        </is>
      </c>
      <c r="AEK3" s="137" t="inlineStr">
        <is>
          <t>27th -sep 25</t>
        </is>
      </c>
      <c r="AEL3" s="137" t="inlineStr">
        <is>
          <t>28th -sep 25</t>
        </is>
      </c>
      <c r="AEM3" s="137" t="inlineStr">
        <is>
          <t>29th -sep 25</t>
        </is>
      </c>
      <c r="AEN3" s="137" t="inlineStr">
        <is>
          <t>30th -sep 25</t>
        </is>
      </c>
      <c r="AEO3" s="125" t="inlineStr">
        <is>
          <t>MONTHLY TOTAL</t>
        </is>
      </c>
      <c r="AEP3" s="137" t="inlineStr">
        <is>
          <t>1st -oct25</t>
        </is>
      </c>
      <c r="AEQ3" s="137" t="inlineStr">
        <is>
          <t>2nd -oct25</t>
        </is>
      </c>
      <c r="AER3" s="137" t="inlineStr">
        <is>
          <t>3rd -oct25</t>
        </is>
      </c>
      <c r="AES3" s="137" t="inlineStr">
        <is>
          <t>4th -oct25</t>
        </is>
      </c>
      <c r="AET3" s="137" t="inlineStr">
        <is>
          <t>5th -oct25</t>
        </is>
      </c>
      <c r="AEU3" s="137" t="inlineStr">
        <is>
          <t>6th -oct25</t>
        </is>
      </c>
      <c r="AEV3" s="137" t="inlineStr">
        <is>
          <t>7th -oct25</t>
        </is>
      </c>
      <c r="AEW3" s="137" t="inlineStr">
        <is>
          <t>8th -oct25</t>
        </is>
      </c>
      <c r="AEX3" s="137" t="inlineStr">
        <is>
          <t>9th -oct25</t>
        </is>
      </c>
      <c r="AEY3" s="137" t="inlineStr">
        <is>
          <t>10th -oct25</t>
        </is>
      </c>
      <c r="AEZ3" s="137" t="inlineStr">
        <is>
          <t>11th -oct25</t>
        </is>
      </c>
      <c r="AFA3" s="137" t="inlineStr">
        <is>
          <t>12th -oct25</t>
        </is>
      </c>
      <c r="AFB3" s="137" t="inlineStr">
        <is>
          <t>13th -oct25</t>
        </is>
      </c>
      <c r="AFC3" s="137" t="inlineStr">
        <is>
          <t>14th -oct25</t>
        </is>
      </c>
      <c r="AFD3" s="137" t="inlineStr">
        <is>
          <t>15th -oct25</t>
        </is>
      </c>
      <c r="AFE3" s="137" t="inlineStr">
        <is>
          <t>16th -oct25</t>
        </is>
      </c>
      <c r="AFF3" s="137" t="inlineStr">
        <is>
          <t>17th -oct25</t>
        </is>
      </c>
      <c r="AFG3" s="137" t="inlineStr">
        <is>
          <t>18th -oct25</t>
        </is>
      </c>
      <c r="AFH3" s="137" t="inlineStr">
        <is>
          <t>19th -oct25</t>
        </is>
      </c>
      <c r="AFI3" s="137" t="inlineStr">
        <is>
          <t>20th -oct25</t>
        </is>
      </c>
      <c r="AFJ3" s="137" t="inlineStr">
        <is>
          <t>21st -oct25</t>
        </is>
      </c>
      <c r="AFK3" s="137" t="inlineStr">
        <is>
          <t>22nd -oct25</t>
        </is>
      </c>
      <c r="AFL3" s="137" t="inlineStr">
        <is>
          <t>23rd -oct25</t>
        </is>
      </c>
      <c r="AFM3" s="137" t="inlineStr">
        <is>
          <t>24th -oct25</t>
        </is>
      </c>
      <c r="AFN3" s="137" t="inlineStr">
        <is>
          <t>25th -oct25</t>
        </is>
      </c>
      <c r="AFO3" s="137" t="inlineStr">
        <is>
          <t>26th -oct25</t>
        </is>
      </c>
      <c r="AFP3" s="137" t="inlineStr">
        <is>
          <t>27th -oct25</t>
        </is>
      </c>
      <c r="AFQ3" s="137" t="inlineStr">
        <is>
          <t>28th -oct25</t>
        </is>
      </c>
      <c r="AFR3" s="137" t="inlineStr">
        <is>
          <t>29th -oct25</t>
        </is>
      </c>
      <c r="AFS3" s="137" t="inlineStr">
        <is>
          <t>30th -oct25</t>
        </is>
      </c>
      <c r="AFT3" s="137" t="inlineStr">
        <is>
          <t>31st -oct25</t>
        </is>
      </c>
      <c r="AFU3" s="125" t="inlineStr">
        <is>
          <t>MONTHLY TOTAL</t>
        </is>
      </c>
      <c r="AFV3" s="137" t="inlineStr">
        <is>
          <t>1st -nov25</t>
        </is>
      </c>
      <c r="AFW3" s="137" t="inlineStr">
        <is>
          <t>2nd -nov25</t>
        </is>
      </c>
      <c r="AFX3" s="137" t="inlineStr">
        <is>
          <t>3rd -nov25</t>
        </is>
      </c>
      <c r="AFY3" s="137" t="inlineStr">
        <is>
          <t>4th -nov25</t>
        </is>
      </c>
      <c r="AFZ3" s="137" t="inlineStr">
        <is>
          <t>5th -nov25</t>
        </is>
      </c>
      <c r="AGA3" s="137" t="inlineStr">
        <is>
          <t>6th -nov25</t>
        </is>
      </c>
      <c r="AGB3" s="137" t="inlineStr">
        <is>
          <t>7th -nov25</t>
        </is>
      </c>
      <c r="AGC3" s="137" t="inlineStr">
        <is>
          <t>8th -nov25</t>
        </is>
      </c>
      <c r="AGD3" s="137" t="inlineStr">
        <is>
          <t>9th -nov25</t>
        </is>
      </c>
      <c r="AGE3" s="137" t="inlineStr">
        <is>
          <t>10th -nov25</t>
        </is>
      </c>
      <c r="AGF3" s="137" t="inlineStr">
        <is>
          <t>11th -nov25</t>
        </is>
      </c>
      <c r="AGG3" s="137" t="inlineStr">
        <is>
          <t>12th -nov25</t>
        </is>
      </c>
      <c r="AGH3" s="137" t="inlineStr">
        <is>
          <t>13th -nov25</t>
        </is>
      </c>
      <c r="AGI3" s="137" t="inlineStr">
        <is>
          <t>14th -nov25</t>
        </is>
      </c>
      <c r="AGJ3" s="137" t="inlineStr">
        <is>
          <t>15th -nov25</t>
        </is>
      </c>
      <c r="AGK3" s="137" t="inlineStr">
        <is>
          <t>16th -nov25</t>
        </is>
      </c>
      <c r="AGL3" s="137" t="inlineStr">
        <is>
          <t>17th -nov25</t>
        </is>
      </c>
      <c r="AGM3" s="137" t="inlineStr">
        <is>
          <t>18th -nov25</t>
        </is>
      </c>
      <c r="AGN3" s="137" t="inlineStr">
        <is>
          <t>19th -nov25</t>
        </is>
      </c>
      <c r="AGO3" s="137" t="inlineStr">
        <is>
          <t>20th -nov25</t>
        </is>
      </c>
      <c r="AGP3" s="137" t="inlineStr">
        <is>
          <t>21st -nov25</t>
        </is>
      </c>
      <c r="AGQ3" s="137" t="inlineStr">
        <is>
          <t>22nd -nov25</t>
        </is>
      </c>
      <c r="AGR3" s="137" t="inlineStr">
        <is>
          <t>23rd -nov25</t>
        </is>
      </c>
      <c r="AGS3" s="137" t="inlineStr">
        <is>
          <t>24th -nov25</t>
        </is>
      </c>
      <c r="AGT3" s="137" t="inlineStr">
        <is>
          <t>25th -nov25</t>
        </is>
      </c>
      <c r="AGU3" s="137" t="inlineStr">
        <is>
          <t>26th -nov25</t>
        </is>
      </c>
      <c r="AGV3" s="137" t="inlineStr">
        <is>
          <t>27th -nov25</t>
        </is>
      </c>
      <c r="AGW3" s="137" t="inlineStr">
        <is>
          <t>28th -nov25</t>
        </is>
      </c>
      <c r="AGX3" s="137" t="inlineStr">
        <is>
          <t>29th -nov25</t>
        </is>
      </c>
      <c r="AGY3" s="137" t="inlineStr">
        <is>
          <t>30th -nov25</t>
        </is>
      </c>
      <c r="AGZ3" s="125" t="inlineStr">
        <is>
          <t>MONTHLY TOTAL</t>
        </is>
      </c>
      <c r="AHA3" s="137" t="inlineStr">
        <is>
          <t>1st -dec25</t>
        </is>
      </c>
      <c r="AHB3" s="137" t="inlineStr">
        <is>
          <t>2nd -dec25</t>
        </is>
      </c>
      <c r="AHC3" s="137" t="inlineStr">
        <is>
          <t>3rd -dec25</t>
        </is>
      </c>
      <c r="AHD3" s="137" t="inlineStr">
        <is>
          <t>4th -dec25</t>
        </is>
      </c>
      <c r="AHE3" s="137" t="inlineStr">
        <is>
          <t>5th -dec25</t>
        </is>
      </c>
      <c r="AHF3" s="137" t="inlineStr">
        <is>
          <t>6th -dec25</t>
        </is>
      </c>
      <c r="AHG3" s="137" t="inlineStr">
        <is>
          <t>7th -dec25</t>
        </is>
      </c>
      <c r="AHH3" s="137" t="inlineStr">
        <is>
          <t>8th -dec25</t>
        </is>
      </c>
      <c r="AHI3" s="137" t="inlineStr">
        <is>
          <t>9th -dec25</t>
        </is>
      </c>
      <c r="AHJ3" s="137" t="inlineStr">
        <is>
          <t>10th -dec25</t>
        </is>
      </c>
      <c r="AHK3" s="137" t="inlineStr">
        <is>
          <t>11th -dec25</t>
        </is>
      </c>
      <c r="AHL3" s="137" t="inlineStr">
        <is>
          <t>12th -dec25</t>
        </is>
      </c>
      <c r="AHM3" s="137" t="inlineStr">
        <is>
          <t>13th -dec25</t>
        </is>
      </c>
      <c r="AHN3" s="137" t="inlineStr">
        <is>
          <t>14th -dec25</t>
        </is>
      </c>
      <c r="AHO3" s="137" t="inlineStr">
        <is>
          <t>15th -dec25</t>
        </is>
      </c>
      <c r="AHP3" s="137" t="inlineStr">
        <is>
          <t>16th -dec25</t>
        </is>
      </c>
      <c r="AHQ3" s="137" t="inlineStr">
        <is>
          <t>17th -dec25</t>
        </is>
      </c>
      <c r="AHR3" s="137" t="inlineStr">
        <is>
          <t>18th -dec25</t>
        </is>
      </c>
      <c r="AHS3" s="137" t="inlineStr">
        <is>
          <t>19th -dec25</t>
        </is>
      </c>
      <c r="AHT3" s="137" t="inlineStr">
        <is>
          <t>20th -dec25</t>
        </is>
      </c>
      <c r="AHU3" s="137" t="inlineStr">
        <is>
          <t>21st -dec25</t>
        </is>
      </c>
      <c r="AHV3" s="137" t="inlineStr">
        <is>
          <t>22nd -dec25</t>
        </is>
      </c>
      <c r="AHW3" s="137" t="inlineStr">
        <is>
          <t>23rd -dec25</t>
        </is>
      </c>
      <c r="AHX3" s="137" t="inlineStr">
        <is>
          <t>24th -dec25</t>
        </is>
      </c>
      <c r="AHY3" s="137" t="inlineStr">
        <is>
          <t>25th -dec25</t>
        </is>
      </c>
      <c r="AHZ3" s="137" t="inlineStr">
        <is>
          <t>26th -dec25</t>
        </is>
      </c>
      <c r="AIA3" s="137" t="inlineStr">
        <is>
          <t>27th -dec25</t>
        </is>
      </c>
      <c r="AIB3" s="137" t="inlineStr">
        <is>
          <t>28th -dec25</t>
        </is>
      </c>
      <c r="AIC3" s="137" t="inlineStr">
        <is>
          <t>29th -dec25</t>
        </is>
      </c>
      <c r="AID3" s="137" t="inlineStr">
        <is>
          <t>30th -dec25</t>
        </is>
      </c>
      <c r="AIE3" s="137" t="inlineStr">
        <is>
          <t>31st -dec25</t>
        </is>
      </c>
      <c r="AIF3" s="125" t="inlineStr">
        <is>
          <t>MONTHLY TOTAL</t>
        </is>
      </c>
      <c r="AIG3" s="137" t="inlineStr">
        <is>
          <t>1st - jan26</t>
        </is>
      </c>
      <c r="AIH3" s="137" t="inlineStr">
        <is>
          <t>2nd - jan26</t>
        </is>
      </c>
      <c r="AII3" s="137" t="inlineStr">
        <is>
          <t>3rd - jan26</t>
        </is>
      </c>
      <c r="AIJ3" s="137" t="inlineStr">
        <is>
          <t>4th - jan26</t>
        </is>
      </c>
      <c r="AIK3" s="137" t="inlineStr">
        <is>
          <t>5th - jan26</t>
        </is>
      </c>
      <c r="AIL3" s="137" t="inlineStr">
        <is>
          <t>6th - jan26</t>
        </is>
      </c>
      <c r="AIM3" s="137" t="inlineStr">
        <is>
          <t>7th - jan26</t>
        </is>
      </c>
      <c r="AIN3" s="137" t="inlineStr">
        <is>
          <t>8th - jan26</t>
        </is>
      </c>
      <c r="AIO3" s="137" t="inlineStr">
        <is>
          <t>9th - jan26</t>
        </is>
      </c>
      <c r="AIP3" s="137" t="inlineStr">
        <is>
          <t>10th - jan26</t>
        </is>
      </c>
      <c r="AIQ3" s="137" t="inlineStr">
        <is>
          <t>11th - jan26</t>
        </is>
      </c>
      <c r="AIR3" s="137" t="inlineStr">
        <is>
          <t>12th - jan26</t>
        </is>
      </c>
      <c r="AIS3" s="137" t="inlineStr">
        <is>
          <t>13th - jan26</t>
        </is>
      </c>
      <c r="AIT3" s="137" t="inlineStr">
        <is>
          <t>14th - jan26</t>
        </is>
      </c>
      <c r="AIU3" s="137" t="inlineStr">
        <is>
          <t>15th - jan26</t>
        </is>
      </c>
      <c r="AIV3" s="137" t="inlineStr">
        <is>
          <t>16th - jan26</t>
        </is>
      </c>
      <c r="AIW3" s="137" t="inlineStr">
        <is>
          <t>17th - jan26</t>
        </is>
      </c>
      <c r="AIX3" s="137" t="inlineStr">
        <is>
          <t>18th - jan26</t>
        </is>
      </c>
      <c r="AIY3" s="137" t="inlineStr">
        <is>
          <t>19th - jan26</t>
        </is>
      </c>
      <c r="AIZ3" s="137" t="inlineStr">
        <is>
          <t>20th - jan26</t>
        </is>
      </c>
      <c r="AJA3" s="137" t="inlineStr">
        <is>
          <t>21st - jan26</t>
        </is>
      </c>
      <c r="AJB3" s="137" t="inlineStr">
        <is>
          <t>22nd - jan26</t>
        </is>
      </c>
      <c r="AJC3" s="137" t="inlineStr">
        <is>
          <t>23rd - jan26</t>
        </is>
      </c>
      <c r="AJD3" s="137" t="inlineStr">
        <is>
          <t>24th - jan26</t>
        </is>
      </c>
      <c r="AJE3" s="137" t="inlineStr">
        <is>
          <t>25th - jan26</t>
        </is>
      </c>
      <c r="AJF3" s="137" t="inlineStr">
        <is>
          <t>26th - jan26</t>
        </is>
      </c>
      <c r="AJG3" s="137" t="inlineStr">
        <is>
          <t>27th - jan26</t>
        </is>
      </c>
      <c r="AJH3" s="137" t="inlineStr">
        <is>
          <t>28th - jan26</t>
        </is>
      </c>
      <c r="AJI3" s="137" t="inlineStr">
        <is>
          <t>29th - jan26</t>
        </is>
      </c>
      <c r="AJJ3" s="137" t="inlineStr">
        <is>
          <t>30th - jan26</t>
        </is>
      </c>
      <c r="AJK3" s="137" t="inlineStr">
        <is>
          <t>31st - jan26</t>
        </is>
      </c>
      <c r="AJL3" s="125" t="inlineStr">
        <is>
          <t>MONTHLY TOTAL</t>
        </is>
      </c>
      <c r="AJM3" s="137" t="inlineStr">
        <is>
          <t>1st -feb2026</t>
        </is>
      </c>
      <c r="AJN3" s="137" t="inlineStr">
        <is>
          <t>2nd -feb2026</t>
        </is>
      </c>
      <c r="AJO3" s="137" t="inlineStr">
        <is>
          <t>3rd -feb2026</t>
        </is>
      </c>
      <c r="AJP3" s="137" t="inlineStr">
        <is>
          <t>4th -feb2026</t>
        </is>
      </c>
      <c r="AJQ3" s="137" t="inlineStr">
        <is>
          <t>5th -feb2026</t>
        </is>
      </c>
      <c r="AJR3" s="137" t="inlineStr">
        <is>
          <t>6th -feb2026</t>
        </is>
      </c>
      <c r="AJS3" s="137" t="inlineStr">
        <is>
          <t>7th -feb2026</t>
        </is>
      </c>
      <c r="AJT3" s="137" t="inlineStr">
        <is>
          <t>8th -feb2026</t>
        </is>
      </c>
      <c r="AJU3" s="137" t="inlineStr">
        <is>
          <t>9th -feb2026</t>
        </is>
      </c>
      <c r="AJV3" s="137" t="inlineStr">
        <is>
          <t>10th -feb2026</t>
        </is>
      </c>
      <c r="AJW3" s="137" t="inlineStr">
        <is>
          <t>11th -feb2026</t>
        </is>
      </c>
      <c r="AJX3" s="137" t="inlineStr">
        <is>
          <t>12th -feb2026</t>
        </is>
      </c>
      <c r="AJY3" s="137" t="inlineStr">
        <is>
          <t>13th -feb2026</t>
        </is>
      </c>
      <c r="AJZ3" s="137" t="inlineStr">
        <is>
          <t>14th -feb2026</t>
        </is>
      </c>
      <c r="AKA3" s="137" t="inlineStr">
        <is>
          <t>15th -feb2026</t>
        </is>
      </c>
      <c r="AKB3" s="137" t="inlineStr">
        <is>
          <t>16th -feb2026</t>
        </is>
      </c>
      <c r="AKC3" s="137" t="inlineStr">
        <is>
          <t>17th -feb2026</t>
        </is>
      </c>
      <c r="AKD3" s="137" t="inlineStr">
        <is>
          <t>18th -feb2026</t>
        </is>
      </c>
      <c r="AKE3" s="137" t="inlineStr">
        <is>
          <t>19th -feb2026</t>
        </is>
      </c>
      <c r="AKF3" s="137" t="inlineStr">
        <is>
          <t>20th -feb2026</t>
        </is>
      </c>
      <c r="AKG3" s="137" t="inlineStr">
        <is>
          <t>21st -feb2026</t>
        </is>
      </c>
      <c r="AKH3" s="137" t="inlineStr">
        <is>
          <t>22nd -feb2026</t>
        </is>
      </c>
      <c r="AKI3" s="137" t="inlineStr">
        <is>
          <t>23rd -feb2026</t>
        </is>
      </c>
      <c r="AKJ3" s="137" t="inlineStr">
        <is>
          <t>24th -feb2026</t>
        </is>
      </c>
      <c r="AKK3" s="137" t="inlineStr">
        <is>
          <t>25th -feb2026</t>
        </is>
      </c>
      <c r="AKL3" s="137" t="inlineStr">
        <is>
          <t>26th -feb2026</t>
        </is>
      </c>
      <c r="AKM3" s="137" t="inlineStr">
        <is>
          <t>27th -feb2026</t>
        </is>
      </c>
      <c r="AKN3" s="137" t="inlineStr">
        <is>
          <t>28th -feb2026</t>
        </is>
      </c>
      <c r="AKO3" s="125" t="inlineStr">
        <is>
          <t>MONTHLY TOTAL</t>
        </is>
      </c>
      <c r="AKP3" s="137" t="inlineStr">
        <is>
          <t>1st -mar2026</t>
        </is>
      </c>
      <c r="AKQ3" s="137" t="inlineStr">
        <is>
          <t>2nd -mar2026</t>
        </is>
      </c>
      <c r="AKR3" s="137" t="inlineStr">
        <is>
          <t>3rd -mar2026</t>
        </is>
      </c>
      <c r="AKS3" s="137" t="inlineStr">
        <is>
          <t>4th -mar2026</t>
        </is>
      </c>
      <c r="AKT3" s="137" t="inlineStr">
        <is>
          <t>5th -mar2026</t>
        </is>
      </c>
      <c r="AKU3" s="137" t="inlineStr">
        <is>
          <t>6th -mar2026</t>
        </is>
      </c>
      <c r="AKV3" s="137" t="inlineStr">
        <is>
          <t>7th -mar2026</t>
        </is>
      </c>
      <c r="AKW3" s="137" t="inlineStr">
        <is>
          <t>8th -mar2026</t>
        </is>
      </c>
      <c r="AKX3" s="137" t="inlineStr">
        <is>
          <t>9th -mar2026</t>
        </is>
      </c>
      <c r="AKY3" s="137" t="inlineStr">
        <is>
          <t>10th -mar2026</t>
        </is>
      </c>
      <c r="AKZ3" s="137" t="inlineStr">
        <is>
          <t>11th -mar2026</t>
        </is>
      </c>
      <c r="ALA3" s="137" t="inlineStr">
        <is>
          <t>12th -mar2026</t>
        </is>
      </c>
      <c r="ALB3" s="137" t="inlineStr">
        <is>
          <t>13th -mar2026</t>
        </is>
      </c>
      <c r="ALC3" s="137" t="inlineStr">
        <is>
          <t>14th -mar2026</t>
        </is>
      </c>
      <c r="ALD3" s="137" t="inlineStr">
        <is>
          <t>15th -mar2026</t>
        </is>
      </c>
      <c r="ALE3" s="137" t="inlineStr">
        <is>
          <t>16th -mar2026</t>
        </is>
      </c>
      <c r="ALF3" s="137" t="inlineStr">
        <is>
          <t>17th -mar2026</t>
        </is>
      </c>
      <c r="ALG3" s="137" t="inlineStr">
        <is>
          <t>18th -mar2026</t>
        </is>
      </c>
      <c r="ALH3" s="137" t="inlineStr">
        <is>
          <t>19th -mar2026</t>
        </is>
      </c>
      <c r="ALI3" s="137" t="inlineStr">
        <is>
          <t>20th -mar2026</t>
        </is>
      </c>
      <c r="ALJ3" s="137" t="inlineStr">
        <is>
          <t>21st -mar2026</t>
        </is>
      </c>
      <c r="ALK3" s="137" t="inlineStr">
        <is>
          <t>22nd -mar2026</t>
        </is>
      </c>
      <c r="ALL3" s="137" t="inlineStr">
        <is>
          <t>23rd -mar2026</t>
        </is>
      </c>
      <c r="ALM3" s="137" t="inlineStr">
        <is>
          <t>24th -mar2026</t>
        </is>
      </c>
      <c r="ALN3" s="137" t="inlineStr">
        <is>
          <t>25th -mar2026</t>
        </is>
      </c>
      <c r="ALO3" s="137" t="inlineStr">
        <is>
          <t>26th -mar2026</t>
        </is>
      </c>
      <c r="ALP3" s="137" t="inlineStr">
        <is>
          <t>27th -mar2026</t>
        </is>
      </c>
      <c r="ALQ3" s="137" t="inlineStr">
        <is>
          <t>28th -mar2026</t>
        </is>
      </c>
      <c r="ALR3" s="137" t="inlineStr">
        <is>
          <t>29th -mar2026</t>
        </is>
      </c>
      <c r="ALS3" s="137" t="inlineStr">
        <is>
          <t>30th -mar2026</t>
        </is>
      </c>
      <c r="ALT3" s="137" t="inlineStr">
        <is>
          <t>31st -mar2026</t>
        </is>
      </c>
      <c r="ALU3" s="125" t="inlineStr">
        <is>
          <t>MONTHLY TOTAL</t>
        </is>
      </c>
      <c r="ALV3" s="137" t="inlineStr">
        <is>
          <t>1st -apr2026</t>
        </is>
      </c>
      <c r="ALW3" s="137" t="inlineStr">
        <is>
          <t>2nd -apr2026</t>
        </is>
      </c>
      <c r="ALX3" s="137" t="inlineStr">
        <is>
          <t>3rd -apr2026</t>
        </is>
      </c>
      <c r="ALY3" s="137" t="inlineStr">
        <is>
          <t>4th -apr2026</t>
        </is>
      </c>
      <c r="ALZ3" s="137" t="inlineStr">
        <is>
          <t>5th -apr2026</t>
        </is>
      </c>
      <c r="AMA3" s="137" t="inlineStr">
        <is>
          <t>6th -apr2026</t>
        </is>
      </c>
      <c r="AMB3" s="137" t="inlineStr">
        <is>
          <t>7th -apr2026</t>
        </is>
      </c>
      <c r="AMC3" s="137" t="inlineStr">
        <is>
          <t>8th -apr2026</t>
        </is>
      </c>
      <c r="AMD3" s="137" t="inlineStr">
        <is>
          <t>9th -apr2026</t>
        </is>
      </c>
      <c r="AME3" s="137" t="inlineStr">
        <is>
          <t>10th -apr2026</t>
        </is>
      </c>
      <c r="AMF3" s="137" t="inlineStr">
        <is>
          <t>11th -apr2026</t>
        </is>
      </c>
      <c r="AMG3" s="137" t="inlineStr">
        <is>
          <t>12th -apr2026</t>
        </is>
      </c>
      <c r="AMH3" s="137" t="inlineStr">
        <is>
          <t>13th -apr2026</t>
        </is>
      </c>
      <c r="AMI3" s="137" t="inlineStr">
        <is>
          <t>14th -apr2026</t>
        </is>
      </c>
      <c r="AMJ3" s="137" t="inlineStr">
        <is>
          <t>15th -apr2026</t>
        </is>
      </c>
      <c r="AMK3" s="137" t="inlineStr">
        <is>
          <t>16th -apr2026</t>
        </is>
      </c>
      <c r="AML3" s="137" t="inlineStr">
        <is>
          <t>17th -apr2026</t>
        </is>
      </c>
      <c r="AMM3" s="137" t="inlineStr">
        <is>
          <t>18th -apr2026</t>
        </is>
      </c>
      <c r="AMN3" s="137" t="inlineStr">
        <is>
          <t>19th -apr2026</t>
        </is>
      </c>
      <c r="AMO3" s="137" t="inlineStr">
        <is>
          <t>20th -apr2026</t>
        </is>
      </c>
      <c r="AMP3" s="137" t="inlineStr">
        <is>
          <t>21st -apr2026</t>
        </is>
      </c>
      <c r="AMQ3" s="137" t="inlineStr">
        <is>
          <t>22nd -apr2026</t>
        </is>
      </c>
      <c r="AMR3" s="137" t="inlineStr">
        <is>
          <t>23rd -apr2026</t>
        </is>
      </c>
      <c r="AMS3" s="137" t="inlineStr">
        <is>
          <t>24th -apr2026</t>
        </is>
      </c>
      <c r="AMT3" s="137" t="inlineStr">
        <is>
          <t>25th -apr2026</t>
        </is>
      </c>
      <c r="AMU3" s="137" t="inlineStr">
        <is>
          <t>26th -apr2026</t>
        </is>
      </c>
      <c r="AMV3" s="137" t="inlineStr">
        <is>
          <t>27th -apr2026</t>
        </is>
      </c>
      <c r="AMW3" s="137" t="inlineStr">
        <is>
          <t>28th -apr2026</t>
        </is>
      </c>
      <c r="AMX3" s="137" t="inlineStr">
        <is>
          <t>29th -apr2026</t>
        </is>
      </c>
      <c r="AMY3" s="137" t="inlineStr">
        <is>
          <t>30th -apr2026</t>
        </is>
      </c>
      <c r="AMZ3" s="125" t="inlineStr">
        <is>
          <t>MONTHLY TOTAL</t>
        </is>
      </c>
      <c r="ANA3" s="137" t="inlineStr">
        <is>
          <t>1st -May2026</t>
        </is>
      </c>
      <c r="ANB3" s="137" t="inlineStr">
        <is>
          <t>2nd -May2026</t>
        </is>
      </c>
      <c r="ANC3" s="137" t="inlineStr">
        <is>
          <t>3rd -May2026</t>
        </is>
      </c>
      <c r="AND3" s="137" t="inlineStr">
        <is>
          <t>4th -May2026</t>
        </is>
      </c>
      <c r="ANE3" s="137" t="inlineStr">
        <is>
          <t>5th -May2026</t>
        </is>
      </c>
      <c r="ANF3" s="137" t="inlineStr">
        <is>
          <t>6th -May2026</t>
        </is>
      </c>
      <c r="ANG3" s="137" t="inlineStr">
        <is>
          <t>7th -May2026</t>
        </is>
      </c>
      <c r="ANH3" s="137" t="inlineStr">
        <is>
          <t>8th -May2026</t>
        </is>
      </c>
      <c r="ANI3" s="137" t="inlineStr">
        <is>
          <t>9th -May2026</t>
        </is>
      </c>
      <c r="ANJ3" s="137" t="inlineStr">
        <is>
          <t>10th -May2026</t>
        </is>
      </c>
      <c r="ANK3" s="137" t="inlineStr">
        <is>
          <t>11th -May2026</t>
        </is>
      </c>
      <c r="ANL3" s="137" t="inlineStr">
        <is>
          <t>12th -May2026</t>
        </is>
      </c>
      <c r="ANM3" s="137" t="inlineStr">
        <is>
          <t>13th -May2026</t>
        </is>
      </c>
      <c r="ANN3" s="137" t="inlineStr">
        <is>
          <t>14th -May2026</t>
        </is>
      </c>
      <c r="ANO3" s="137" t="inlineStr">
        <is>
          <t>15th -May2026</t>
        </is>
      </c>
      <c r="ANP3" s="137" t="inlineStr">
        <is>
          <t>16th -May2026</t>
        </is>
      </c>
      <c r="ANQ3" s="137" t="inlineStr">
        <is>
          <t>17th -May2026</t>
        </is>
      </c>
      <c r="ANR3" s="137" t="inlineStr">
        <is>
          <t>18th -May2026</t>
        </is>
      </c>
      <c r="ANS3" s="137" t="inlineStr">
        <is>
          <t>19th -May2026</t>
        </is>
      </c>
      <c r="ANT3" s="137" t="inlineStr">
        <is>
          <t>20th -May2026</t>
        </is>
      </c>
      <c r="ANU3" s="137" t="inlineStr">
        <is>
          <t>21st -May2026</t>
        </is>
      </c>
      <c r="ANV3" s="137" t="inlineStr">
        <is>
          <t>22nd -May2026</t>
        </is>
      </c>
      <c r="ANW3" s="137" t="inlineStr">
        <is>
          <t>23rd -May2026</t>
        </is>
      </c>
      <c r="ANX3" s="137" t="inlineStr">
        <is>
          <t>24th -May2026</t>
        </is>
      </c>
      <c r="ANY3" s="137" t="inlineStr">
        <is>
          <t>25th -May2026</t>
        </is>
      </c>
      <c r="ANZ3" s="137" t="inlineStr">
        <is>
          <t>26th -May2026</t>
        </is>
      </c>
      <c r="AOA3" s="137" t="inlineStr">
        <is>
          <t>27th -May2026</t>
        </is>
      </c>
      <c r="AOB3" s="137" t="inlineStr">
        <is>
          <t>28th -May2026</t>
        </is>
      </c>
      <c r="AOC3" s="137" t="inlineStr">
        <is>
          <t>29th -May2026</t>
        </is>
      </c>
      <c r="AOD3" s="137" t="inlineStr">
        <is>
          <t>30th -May2026</t>
        </is>
      </c>
      <c r="AOE3" t="inlineStr">
        <is>
          <t>31st -May2026</t>
        </is>
      </c>
      <c r="AOF3" t="inlineStr">
        <is>
          <t>10th -June2026</t>
        </is>
      </c>
    </row>
    <row r="4" ht="15" customHeight="1" s="160" thickBot="1">
      <c r="A4" s="156" t="inlineStr">
        <is>
          <t>PMS</t>
        </is>
      </c>
      <c r="B4" s="161" t="inlineStr">
        <is>
          <t>PMS 1</t>
        </is>
      </c>
      <c r="C4" s="44" t="inlineStr">
        <is>
          <t>OPENING</t>
        </is>
      </c>
      <c r="D4" s="45" t="n">
        <v>906274.009</v>
      </c>
      <c r="E4" s="45">
        <f>D5</f>
        <v/>
      </c>
      <c r="F4" s="45">
        <f>E5</f>
        <v/>
      </c>
      <c r="G4" s="45">
        <f>F5</f>
        <v/>
      </c>
      <c r="H4" s="45">
        <f>G5</f>
        <v/>
      </c>
      <c r="I4" s="45">
        <f>H5</f>
        <v/>
      </c>
      <c r="J4" s="45">
        <f>I5</f>
        <v/>
      </c>
      <c r="K4" s="45">
        <f>J5</f>
        <v/>
      </c>
      <c r="L4" s="45">
        <f>K5</f>
        <v/>
      </c>
      <c r="M4" s="45">
        <f>L5</f>
        <v/>
      </c>
      <c r="N4" s="45">
        <f>M5</f>
        <v/>
      </c>
      <c r="O4" s="45">
        <f>N5</f>
        <v/>
      </c>
      <c r="P4" s="45">
        <f>O5</f>
        <v/>
      </c>
      <c r="Q4" s="45">
        <f>P5</f>
        <v/>
      </c>
      <c r="R4" s="45">
        <f>Q5</f>
        <v/>
      </c>
      <c r="S4" s="45">
        <f>R5</f>
        <v/>
      </c>
      <c r="T4" s="45">
        <f>S5</f>
        <v/>
      </c>
      <c r="U4" s="45">
        <f>T5</f>
        <v/>
      </c>
      <c r="V4" s="45">
        <f>U5</f>
        <v/>
      </c>
      <c r="W4" s="45">
        <f>V5</f>
        <v/>
      </c>
      <c r="X4" s="45">
        <f>W5</f>
        <v/>
      </c>
      <c r="Y4" s="45">
        <f>X5</f>
        <v/>
      </c>
      <c r="Z4" s="45">
        <f>Y5</f>
        <v/>
      </c>
      <c r="AA4" s="45">
        <f>Z5</f>
        <v/>
      </c>
      <c r="AB4" s="45">
        <f>AA5</f>
        <v/>
      </c>
      <c r="AC4" s="45">
        <f>AB5</f>
        <v/>
      </c>
      <c r="AD4" s="45">
        <f>AC5</f>
        <v/>
      </c>
      <c r="AE4" s="45">
        <f>AD5</f>
        <v/>
      </c>
      <c r="AF4" s="45">
        <f>AE5</f>
        <v/>
      </c>
      <c r="AG4" s="45">
        <f>AF5</f>
        <v/>
      </c>
      <c r="AH4" s="45">
        <f>AG5</f>
        <v/>
      </c>
      <c r="AI4" s="46" t="n"/>
      <c r="AJ4" s="89">
        <f>AH5</f>
        <v/>
      </c>
      <c r="AK4" s="89">
        <f>AJ5</f>
        <v/>
      </c>
      <c r="AL4" s="89">
        <f>AK5</f>
        <v/>
      </c>
      <c r="AM4" s="89">
        <f>AL5</f>
        <v/>
      </c>
      <c r="AN4" s="89">
        <f>AM5</f>
        <v/>
      </c>
      <c r="AO4" s="89">
        <f>AN5</f>
        <v/>
      </c>
      <c r="AP4" s="89">
        <f>AO5</f>
        <v/>
      </c>
      <c r="AQ4" s="89">
        <f>AP5</f>
        <v/>
      </c>
      <c r="AR4" s="89">
        <f>AQ5</f>
        <v/>
      </c>
      <c r="AS4" s="89">
        <f>AR5</f>
        <v/>
      </c>
      <c r="AT4" s="89">
        <f>AS5</f>
        <v/>
      </c>
      <c r="AU4" s="89">
        <f>AT5</f>
        <v/>
      </c>
      <c r="AV4" s="89">
        <f>AU5</f>
        <v/>
      </c>
      <c r="AW4" s="89">
        <f>AV5</f>
        <v/>
      </c>
      <c r="AX4" s="89">
        <f>AW5</f>
        <v/>
      </c>
      <c r="AY4" s="89">
        <f>AX5</f>
        <v/>
      </c>
      <c r="AZ4" s="89">
        <f>AY5</f>
        <v/>
      </c>
      <c r="BA4" s="89">
        <f>AZ5</f>
        <v/>
      </c>
      <c r="BB4" s="89">
        <f>BA5</f>
        <v/>
      </c>
      <c r="BC4" s="89">
        <f>BB5</f>
        <v/>
      </c>
      <c r="BD4" s="89">
        <f>BC5</f>
        <v/>
      </c>
      <c r="BE4" s="89">
        <f>BD5</f>
        <v/>
      </c>
      <c r="BF4" s="89">
        <f>BE5</f>
        <v/>
      </c>
      <c r="BG4" s="89">
        <f>BF5</f>
        <v/>
      </c>
      <c r="BH4" s="89">
        <f>BG5</f>
        <v/>
      </c>
      <c r="BI4" s="89">
        <f>BH5</f>
        <v/>
      </c>
      <c r="BJ4" s="89">
        <f>BI5</f>
        <v/>
      </c>
      <c r="BK4" s="89">
        <f>BJ5</f>
        <v/>
      </c>
      <c r="BL4" s="89">
        <f>BK5</f>
        <v/>
      </c>
      <c r="BM4" s="89">
        <f>BL5</f>
        <v/>
      </c>
      <c r="BO4" s="89">
        <f>BM5</f>
        <v/>
      </c>
      <c r="BP4" s="89">
        <f>BO5</f>
        <v/>
      </c>
      <c r="BQ4" s="89">
        <f>BP5</f>
        <v/>
      </c>
      <c r="BR4" s="89">
        <f>BQ5</f>
        <v/>
      </c>
      <c r="BS4" s="89">
        <f>BR5</f>
        <v/>
      </c>
      <c r="BT4" s="89">
        <f>BS5</f>
        <v/>
      </c>
      <c r="BU4" s="89">
        <f>BT5</f>
        <v/>
      </c>
      <c r="BV4" s="89">
        <f>BU5</f>
        <v/>
      </c>
      <c r="BW4" s="89">
        <f>BV5</f>
        <v/>
      </c>
      <c r="BX4" s="89">
        <f>BW5</f>
        <v/>
      </c>
      <c r="BY4" s="89">
        <f>BX5</f>
        <v/>
      </c>
      <c r="BZ4" s="89">
        <f>BY5</f>
        <v/>
      </c>
      <c r="CA4" s="89">
        <f>BZ5</f>
        <v/>
      </c>
      <c r="CB4" s="89">
        <f>CA5</f>
        <v/>
      </c>
      <c r="CC4" s="89">
        <f>CB5</f>
        <v/>
      </c>
      <c r="CD4" s="89">
        <f>CC5</f>
        <v/>
      </c>
      <c r="CE4" s="89">
        <f>CD5</f>
        <v/>
      </c>
      <c r="CF4" s="89">
        <f>CE5</f>
        <v/>
      </c>
      <c r="CG4" s="89">
        <f>CF5</f>
        <v/>
      </c>
      <c r="CH4" s="89">
        <f>CG5</f>
        <v/>
      </c>
      <c r="CI4" s="89">
        <f>CH5</f>
        <v/>
      </c>
      <c r="CJ4" s="89">
        <f>CI5</f>
        <v/>
      </c>
      <c r="CK4" s="89">
        <f>CJ5</f>
        <v/>
      </c>
      <c r="CL4" s="89">
        <f>CK5</f>
        <v/>
      </c>
      <c r="CM4" s="89">
        <f>CL5</f>
        <v/>
      </c>
      <c r="CN4" s="89">
        <f>CM5</f>
        <v/>
      </c>
      <c r="CO4" s="89">
        <f>CN5</f>
        <v/>
      </c>
      <c r="CP4" s="89">
        <f>CO5</f>
        <v/>
      </c>
      <c r="CQ4" s="89">
        <f>CP5</f>
        <v/>
      </c>
      <c r="CR4" s="89">
        <f>CQ5</f>
        <v/>
      </c>
      <c r="CS4" s="89">
        <f>CR5</f>
        <v/>
      </c>
      <c r="CU4" s="89">
        <f>CS5</f>
        <v/>
      </c>
      <c r="CV4" s="89">
        <f>CU5</f>
        <v/>
      </c>
      <c r="CW4" s="89">
        <f>CV5</f>
        <v/>
      </c>
      <c r="CX4" s="89">
        <f>CW5</f>
        <v/>
      </c>
      <c r="CY4" s="89">
        <f>CX5</f>
        <v/>
      </c>
      <c r="CZ4" s="89">
        <f>CY5</f>
        <v/>
      </c>
      <c r="DA4" s="89">
        <f>CZ5</f>
        <v/>
      </c>
      <c r="DB4" s="89">
        <f>DA5</f>
        <v/>
      </c>
      <c r="DC4" s="89">
        <f>DB5</f>
        <v/>
      </c>
      <c r="DD4" s="89">
        <f>DC5</f>
        <v/>
      </c>
      <c r="DE4" s="89">
        <f>DD5</f>
        <v/>
      </c>
      <c r="DF4" s="89">
        <f>DE5</f>
        <v/>
      </c>
      <c r="DG4" s="89">
        <f>DF5</f>
        <v/>
      </c>
      <c r="DH4" s="89">
        <f>DG5</f>
        <v/>
      </c>
      <c r="DI4" s="89">
        <f>DH5</f>
        <v/>
      </c>
      <c r="DJ4" s="89">
        <f>DI5</f>
        <v/>
      </c>
      <c r="DK4" s="89">
        <f>DJ5</f>
        <v/>
      </c>
      <c r="DL4" s="89">
        <f>DK5</f>
        <v/>
      </c>
      <c r="DM4" s="89">
        <f>DL5</f>
        <v/>
      </c>
      <c r="DN4" s="89">
        <f>DM5</f>
        <v/>
      </c>
      <c r="DO4" s="89">
        <f>DN5</f>
        <v/>
      </c>
      <c r="DP4" s="89">
        <f>DO5</f>
        <v/>
      </c>
      <c r="DQ4" s="89">
        <f>DP5</f>
        <v/>
      </c>
      <c r="DR4" s="89">
        <f>DQ5</f>
        <v/>
      </c>
      <c r="DS4" s="89">
        <f>DR5</f>
        <v/>
      </c>
      <c r="DT4" s="89">
        <f>DS5</f>
        <v/>
      </c>
      <c r="DU4" s="89">
        <f>DT5</f>
        <v/>
      </c>
      <c r="DV4" s="89">
        <f>DU5</f>
        <v/>
      </c>
      <c r="DW4" s="89">
        <f>DV5</f>
        <v/>
      </c>
      <c r="DX4" s="89">
        <f>DW5</f>
        <v/>
      </c>
      <c r="DZ4" s="89">
        <f>DX5</f>
        <v/>
      </c>
      <c r="EA4" s="89">
        <f>DZ5</f>
        <v/>
      </c>
      <c r="EB4" s="89">
        <f>EA5</f>
        <v/>
      </c>
      <c r="EC4" s="89">
        <f>EB5</f>
        <v/>
      </c>
      <c r="ED4" s="89">
        <f>EC5</f>
        <v/>
      </c>
      <c r="EE4" s="89">
        <f>ED5</f>
        <v/>
      </c>
      <c r="EF4" s="89">
        <f>EE5</f>
        <v/>
      </c>
      <c r="EG4" s="89">
        <f>EF5</f>
        <v/>
      </c>
      <c r="EH4" s="89">
        <f>EG5</f>
        <v/>
      </c>
      <c r="EI4" s="89">
        <f>EH5</f>
        <v/>
      </c>
      <c r="EJ4" s="89">
        <f>EI5</f>
        <v/>
      </c>
      <c r="EK4" s="89">
        <f>EJ5</f>
        <v/>
      </c>
      <c r="EL4" s="89">
        <f>EK5</f>
        <v/>
      </c>
      <c r="EM4" s="89">
        <f>EL5</f>
        <v/>
      </c>
      <c r="EN4" s="89">
        <f>EM5</f>
        <v/>
      </c>
      <c r="EO4" s="89">
        <f>EN5</f>
        <v/>
      </c>
      <c r="EP4" s="89">
        <f>EO5</f>
        <v/>
      </c>
      <c r="EQ4" s="89">
        <f>EP5</f>
        <v/>
      </c>
      <c r="ER4" s="89">
        <f>EQ5</f>
        <v/>
      </c>
      <c r="ES4" s="89">
        <f>ER5</f>
        <v/>
      </c>
      <c r="ET4" s="89">
        <f>ES5</f>
        <v/>
      </c>
      <c r="EU4" s="89">
        <f>ET5</f>
        <v/>
      </c>
      <c r="EV4" s="89">
        <f>EU5</f>
        <v/>
      </c>
      <c r="EW4" s="89">
        <f>EV5</f>
        <v/>
      </c>
      <c r="EX4" s="89">
        <f>EW5</f>
        <v/>
      </c>
      <c r="EY4" s="89">
        <f>EX5</f>
        <v/>
      </c>
      <c r="EZ4" s="89">
        <f>EY5</f>
        <v/>
      </c>
      <c r="FA4" s="89">
        <f>EZ5</f>
        <v/>
      </c>
      <c r="FB4" s="89">
        <f>FA5</f>
        <v/>
      </c>
      <c r="FC4" s="89">
        <f>FB5</f>
        <v/>
      </c>
      <c r="FD4" s="89">
        <f>FC5</f>
        <v/>
      </c>
      <c r="FE4" s="126" t="n"/>
      <c r="FF4" s="89">
        <f>FD5</f>
        <v/>
      </c>
      <c r="FG4" s="89">
        <f>FF5</f>
        <v/>
      </c>
      <c r="FH4" s="89">
        <f>FG5</f>
        <v/>
      </c>
      <c r="FI4" s="89">
        <f>FH5</f>
        <v/>
      </c>
      <c r="FJ4" s="89">
        <f>FI5</f>
        <v/>
      </c>
      <c r="FK4" s="89">
        <f>FJ5</f>
        <v/>
      </c>
      <c r="FL4" s="89">
        <f>FK5</f>
        <v/>
      </c>
      <c r="FM4" s="89">
        <f>FL5</f>
        <v/>
      </c>
      <c r="FN4" s="89">
        <f>FM5</f>
        <v/>
      </c>
      <c r="FO4" s="89">
        <f>FN5</f>
        <v/>
      </c>
      <c r="FP4" s="89">
        <f>FO5</f>
        <v/>
      </c>
      <c r="FQ4" s="89">
        <f>FP5</f>
        <v/>
      </c>
      <c r="FR4" s="89">
        <f>FQ5</f>
        <v/>
      </c>
      <c r="FS4" s="89">
        <f>FR5</f>
        <v/>
      </c>
      <c r="FT4" s="89">
        <f>FS5</f>
        <v/>
      </c>
      <c r="FU4" s="89">
        <f>FT5</f>
        <v/>
      </c>
      <c r="FV4" s="89">
        <f>FU5</f>
        <v/>
      </c>
      <c r="FW4" s="89">
        <f>FV5</f>
        <v/>
      </c>
      <c r="FX4" s="89">
        <f>FW5</f>
        <v/>
      </c>
      <c r="FY4" s="89">
        <f>FX5</f>
        <v/>
      </c>
      <c r="FZ4" s="89">
        <f>FY5</f>
        <v/>
      </c>
      <c r="GA4" s="89">
        <f>FZ5</f>
        <v/>
      </c>
      <c r="GB4" s="89">
        <f>GA5</f>
        <v/>
      </c>
      <c r="GC4" s="89">
        <f>GB5</f>
        <v/>
      </c>
      <c r="GD4" s="89">
        <f>GC5</f>
        <v/>
      </c>
      <c r="GE4" s="89">
        <f>GD5</f>
        <v/>
      </c>
      <c r="GF4" s="89">
        <f>GE5</f>
        <v/>
      </c>
      <c r="GG4" s="89">
        <f>GF5</f>
        <v/>
      </c>
      <c r="GH4" s="89">
        <f>GG5</f>
        <v/>
      </c>
      <c r="GI4" s="89">
        <f>GH5</f>
        <v/>
      </c>
      <c r="GJ4" s="89">
        <f>GI5</f>
        <v/>
      </c>
      <c r="GK4" s="125" t="inlineStr">
        <is>
          <t>MONTHLY TOTAL</t>
        </is>
      </c>
      <c r="GL4" s="89">
        <f>GJ5</f>
        <v/>
      </c>
      <c r="GM4">
        <f>GL5</f>
        <v/>
      </c>
      <c r="GN4">
        <f>GM5</f>
        <v/>
      </c>
      <c r="GO4">
        <f>GN5</f>
        <v/>
      </c>
      <c r="GP4">
        <f>GO5</f>
        <v/>
      </c>
      <c r="GQ4">
        <f>GP5</f>
        <v/>
      </c>
      <c r="GR4">
        <f>GQ5</f>
        <v/>
      </c>
      <c r="GS4">
        <f>GR5</f>
        <v/>
      </c>
      <c r="GT4">
        <f>GS5</f>
        <v/>
      </c>
      <c r="GU4">
        <f>GT5</f>
        <v/>
      </c>
      <c r="GV4">
        <f>GU5</f>
        <v/>
      </c>
      <c r="GW4">
        <f>GV5</f>
        <v/>
      </c>
      <c r="GX4">
        <f>GW5</f>
        <v/>
      </c>
      <c r="GY4">
        <f>GX5</f>
        <v/>
      </c>
      <c r="GZ4">
        <f>GY5</f>
        <v/>
      </c>
      <c r="HA4">
        <f>GZ5</f>
        <v/>
      </c>
      <c r="HB4">
        <f>HA5</f>
        <v/>
      </c>
      <c r="HC4">
        <f>HB5</f>
        <v/>
      </c>
      <c r="HD4">
        <f>HC5</f>
        <v/>
      </c>
      <c r="HE4">
        <f>HD5</f>
        <v/>
      </c>
      <c r="HF4">
        <f>HE5</f>
        <v/>
      </c>
      <c r="HG4">
        <f>HF5</f>
        <v/>
      </c>
      <c r="HH4">
        <f>HG5</f>
        <v/>
      </c>
      <c r="HI4">
        <f>HH5</f>
        <v/>
      </c>
      <c r="HJ4">
        <f>HI5</f>
        <v/>
      </c>
      <c r="HK4">
        <f>HJ5</f>
        <v/>
      </c>
      <c r="HL4">
        <f>HK5</f>
        <v/>
      </c>
      <c r="HM4">
        <f>HL5</f>
        <v/>
      </c>
      <c r="HN4">
        <f>HM5</f>
        <v/>
      </c>
      <c r="HO4" s="125" t="inlineStr">
        <is>
          <t>MONTHLY TOTAL</t>
        </is>
      </c>
      <c r="HP4" s="89">
        <f>HN5</f>
        <v/>
      </c>
      <c r="HQ4" s="89">
        <f>HP5</f>
        <v/>
      </c>
      <c r="HR4" s="89">
        <f>HQ5</f>
        <v/>
      </c>
      <c r="HS4" s="89">
        <f>HR5</f>
        <v/>
      </c>
      <c r="HT4" s="89">
        <f>HS5</f>
        <v/>
      </c>
      <c r="HU4" s="89">
        <f>HT5</f>
        <v/>
      </c>
      <c r="HV4" s="89">
        <f>HU5</f>
        <v/>
      </c>
      <c r="HW4" s="89">
        <f>HV5</f>
        <v/>
      </c>
      <c r="HX4" s="89">
        <f>HW5</f>
        <v/>
      </c>
      <c r="HY4" s="89">
        <f>HX5</f>
        <v/>
      </c>
      <c r="HZ4" s="89">
        <f>HY5</f>
        <v/>
      </c>
      <c r="IA4" s="89">
        <f>HZ5</f>
        <v/>
      </c>
      <c r="IB4" s="89">
        <f>IA5</f>
        <v/>
      </c>
      <c r="IC4" s="89">
        <f>IB5</f>
        <v/>
      </c>
      <c r="ID4" s="89">
        <f>IC5</f>
        <v/>
      </c>
      <c r="IE4" s="89">
        <f>ID5</f>
        <v/>
      </c>
      <c r="IF4" s="89">
        <f>IE5</f>
        <v/>
      </c>
      <c r="IG4" s="89">
        <f>IF5</f>
        <v/>
      </c>
      <c r="IH4" s="89">
        <f>IG5</f>
        <v/>
      </c>
      <c r="II4" s="89">
        <f>IH5</f>
        <v/>
      </c>
      <c r="IJ4" s="89">
        <f>II5</f>
        <v/>
      </c>
      <c r="IK4" s="89">
        <f>IJ5</f>
        <v/>
      </c>
      <c r="IL4" s="89">
        <f>IK5</f>
        <v/>
      </c>
      <c r="IM4" s="89">
        <f>IL5</f>
        <v/>
      </c>
      <c r="IN4" s="89">
        <f>IM5</f>
        <v/>
      </c>
      <c r="IO4" s="89">
        <f>IN5</f>
        <v/>
      </c>
      <c r="IP4" s="89">
        <f>IO5</f>
        <v/>
      </c>
      <c r="IQ4" s="89">
        <f>IP5</f>
        <v/>
      </c>
      <c r="IR4" s="89">
        <f>IQ5</f>
        <v/>
      </c>
      <c r="IS4" s="89">
        <f>IR5</f>
        <v/>
      </c>
      <c r="IT4" s="89">
        <f>IS5</f>
        <v/>
      </c>
      <c r="IU4" s="125" t="inlineStr">
        <is>
          <t>MONTHLY TOTAL</t>
        </is>
      </c>
      <c r="IV4" s="89">
        <f>IT5</f>
        <v/>
      </c>
      <c r="IW4" s="89">
        <f>IV5</f>
        <v/>
      </c>
      <c r="IX4" s="89">
        <f>IW5</f>
        <v/>
      </c>
      <c r="IY4" s="89">
        <f>IX5</f>
        <v/>
      </c>
      <c r="IZ4" s="89">
        <f>IY5</f>
        <v/>
      </c>
      <c r="JA4" s="89">
        <f>IZ5</f>
        <v/>
      </c>
      <c r="JB4" s="89">
        <f>JA5</f>
        <v/>
      </c>
      <c r="JC4" s="89">
        <f>JB5</f>
        <v/>
      </c>
      <c r="JD4" s="89">
        <f>JC5</f>
        <v/>
      </c>
      <c r="JE4" s="89">
        <f>JD5</f>
        <v/>
      </c>
      <c r="JF4" s="89">
        <f>JE5</f>
        <v/>
      </c>
      <c r="JG4" s="89">
        <f>JF5</f>
        <v/>
      </c>
      <c r="JH4" s="89">
        <f>JG5</f>
        <v/>
      </c>
      <c r="JI4" s="89">
        <f>JH5</f>
        <v/>
      </c>
      <c r="JJ4" s="89">
        <f>JI5</f>
        <v/>
      </c>
      <c r="JK4" s="89">
        <f>JJ5</f>
        <v/>
      </c>
      <c r="JL4" s="89">
        <f>JK5</f>
        <v/>
      </c>
      <c r="JM4" s="89">
        <f>JL5</f>
        <v/>
      </c>
      <c r="JN4" s="89">
        <f>JM5</f>
        <v/>
      </c>
      <c r="JO4" s="89">
        <f>JN5</f>
        <v/>
      </c>
      <c r="JP4" s="89">
        <f>JO5</f>
        <v/>
      </c>
      <c r="JQ4" s="89">
        <f>JP5</f>
        <v/>
      </c>
      <c r="JR4" s="89">
        <f>JQ5</f>
        <v/>
      </c>
      <c r="JS4" s="89">
        <f>JR5</f>
        <v/>
      </c>
      <c r="JT4" s="89">
        <f>JS5</f>
        <v/>
      </c>
      <c r="JU4" s="89">
        <f>JT5</f>
        <v/>
      </c>
      <c r="JV4" s="89">
        <f>JU5</f>
        <v/>
      </c>
      <c r="JW4" s="89">
        <f>JV5</f>
        <v/>
      </c>
      <c r="JX4" s="89">
        <f>JW5</f>
        <v/>
      </c>
      <c r="JY4" s="89">
        <f>JX5</f>
        <v/>
      </c>
      <c r="JZ4" s="125" t="n"/>
      <c r="KA4" s="89">
        <f>JY5</f>
        <v/>
      </c>
      <c r="KB4" s="89">
        <f>KA5</f>
        <v/>
      </c>
      <c r="KC4" s="89">
        <f>KB5</f>
        <v/>
      </c>
      <c r="KD4" s="89">
        <f>KC5</f>
        <v/>
      </c>
      <c r="KE4" s="89">
        <f>KD5</f>
        <v/>
      </c>
      <c r="KF4" s="89">
        <f>KE5</f>
        <v/>
      </c>
      <c r="KG4" s="89">
        <f>KF5</f>
        <v/>
      </c>
      <c r="KH4" s="89">
        <f>KG5</f>
        <v/>
      </c>
      <c r="KI4" s="89">
        <f>KH5</f>
        <v/>
      </c>
      <c r="KJ4" s="89">
        <f>KI5</f>
        <v/>
      </c>
      <c r="KK4" s="89">
        <f>KJ5</f>
        <v/>
      </c>
      <c r="KL4" s="89">
        <f>KK5</f>
        <v/>
      </c>
      <c r="KM4" s="89">
        <f>KL5</f>
        <v/>
      </c>
      <c r="KN4" s="89">
        <f>KM5</f>
        <v/>
      </c>
      <c r="KO4" s="89">
        <f>KN5</f>
        <v/>
      </c>
      <c r="KP4" s="89">
        <f>KO5</f>
        <v/>
      </c>
      <c r="KQ4" s="89">
        <f>KP5</f>
        <v/>
      </c>
      <c r="KR4" s="89">
        <f>KQ5</f>
        <v/>
      </c>
      <c r="KS4" s="89">
        <f>KR5</f>
        <v/>
      </c>
      <c r="KT4" s="89">
        <f>KS5</f>
        <v/>
      </c>
      <c r="KU4" s="89">
        <f>KT5</f>
        <v/>
      </c>
      <c r="KV4" s="89">
        <f>KU5</f>
        <v/>
      </c>
      <c r="KW4" s="89">
        <f>KV5</f>
        <v/>
      </c>
      <c r="KX4" s="89">
        <f>KW5</f>
        <v/>
      </c>
      <c r="KY4" s="89">
        <f>KX5</f>
        <v/>
      </c>
      <c r="KZ4" s="89">
        <f>KY5</f>
        <v/>
      </c>
      <c r="LA4" s="89">
        <f>KZ5</f>
        <v/>
      </c>
      <c r="LB4" s="89">
        <f>LA5</f>
        <v/>
      </c>
      <c r="LC4" s="89">
        <f>LB5</f>
        <v/>
      </c>
      <c r="LD4" s="89">
        <f>LC5</f>
        <v/>
      </c>
      <c r="LE4" s="89">
        <f>LD5</f>
        <v/>
      </c>
      <c r="LF4" s="125" t="n"/>
      <c r="LG4" s="89">
        <f>LE5</f>
        <v/>
      </c>
      <c r="LH4" s="89">
        <f>LG5</f>
        <v/>
      </c>
      <c r="LI4" s="89">
        <f>LH5</f>
        <v/>
      </c>
      <c r="LJ4" s="89">
        <f>LI5</f>
        <v/>
      </c>
      <c r="LK4" s="89">
        <f>LJ5</f>
        <v/>
      </c>
      <c r="LL4" s="89">
        <f>LK5</f>
        <v/>
      </c>
      <c r="LM4" s="89">
        <f>LL5</f>
        <v/>
      </c>
      <c r="LN4" s="89">
        <f>LM5</f>
        <v/>
      </c>
      <c r="LO4" s="89">
        <f>LN5</f>
        <v/>
      </c>
      <c r="LP4" s="89">
        <f>LO5</f>
        <v/>
      </c>
      <c r="LQ4" s="89">
        <f>LP5</f>
        <v/>
      </c>
      <c r="LR4" s="89">
        <f>LQ5</f>
        <v/>
      </c>
      <c r="LS4" s="89">
        <f>LR5</f>
        <v/>
      </c>
      <c r="LT4" s="89">
        <f>LS5</f>
        <v/>
      </c>
      <c r="LU4" s="89">
        <f>LT5</f>
        <v/>
      </c>
      <c r="LV4" s="89">
        <f>LU5</f>
        <v/>
      </c>
      <c r="LW4" s="89">
        <f>LV5</f>
        <v/>
      </c>
      <c r="LX4" s="89">
        <f>LW5</f>
        <v/>
      </c>
      <c r="LY4" s="89">
        <f>LX5</f>
        <v/>
      </c>
      <c r="LZ4" s="89">
        <f>LY5</f>
        <v/>
      </c>
      <c r="MA4" s="89">
        <f>LZ5</f>
        <v/>
      </c>
      <c r="MB4" s="89">
        <f>MA5</f>
        <v/>
      </c>
      <c r="MC4" s="89">
        <f>MB5</f>
        <v/>
      </c>
      <c r="MD4" s="89">
        <f>MC5</f>
        <v/>
      </c>
      <c r="ME4" s="89">
        <f>MD5</f>
        <v/>
      </c>
      <c r="MF4" s="89">
        <f>ME5</f>
        <v/>
      </c>
      <c r="MG4" s="89">
        <f>MF5</f>
        <v/>
      </c>
      <c r="MH4" s="89">
        <f>MG5</f>
        <v/>
      </c>
      <c r="MI4" s="89">
        <f>MH5</f>
        <v/>
      </c>
      <c r="MJ4" s="89">
        <f>MI5</f>
        <v/>
      </c>
      <c r="MK4" s="125" t="n"/>
      <c r="ML4" s="89">
        <f>MJ5</f>
        <v/>
      </c>
      <c r="MM4" s="89">
        <f>ML5</f>
        <v/>
      </c>
      <c r="MN4" s="89">
        <f>MM5</f>
        <v/>
      </c>
      <c r="MO4" s="89">
        <f>MN5</f>
        <v/>
      </c>
      <c r="MP4" s="89">
        <f>MO5</f>
        <v/>
      </c>
      <c r="MQ4" s="89">
        <f>MP5</f>
        <v/>
      </c>
      <c r="MR4" s="89">
        <f>MQ5</f>
        <v/>
      </c>
      <c r="MS4" s="89">
        <f>MR5</f>
        <v/>
      </c>
      <c r="MT4" s="89">
        <f>MS5</f>
        <v/>
      </c>
      <c r="MU4" s="89">
        <f>MT5</f>
        <v/>
      </c>
      <c r="MV4" s="89">
        <f>MU5</f>
        <v/>
      </c>
      <c r="MW4" s="89">
        <f>MV5</f>
        <v/>
      </c>
      <c r="MX4" s="89">
        <f>MW5</f>
        <v/>
      </c>
      <c r="MY4" s="89">
        <f>MX5</f>
        <v/>
      </c>
      <c r="MZ4" s="89">
        <f>MY5</f>
        <v/>
      </c>
      <c r="NA4" s="89">
        <f>MZ5</f>
        <v/>
      </c>
      <c r="NB4" s="89">
        <f>NA5</f>
        <v/>
      </c>
      <c r="NC4" s="89">
        <f>NB5</f>
        <v/>
      </c>
      <c r="ND4" s="89">
        <f>NC5</f>
        <v/>
      </c>
      <c r="NE4" s="89">
        <f>ND5</f>
        <v/>
      </c>
      <c r="NF4" s="89">
        <f>NE5</f>
        <v/>
      </c>
      <c r="NG4" s="89">
        <f>NF5</f>
        <v/>
      </c>
      <c r="NH4" s="89">
        <f>NG5</f>
        <v/>
      </c>
      <c r="NI4" s="89">
        <f>NH5</f>
        <v/>
      </c>
      <c r="NJ4" s="89">
        <f>NI5</f>
        <v/>
      </c>
      <c r="NK4" s="89">
        <f>NJ5</f>
        <v/>
      </c>
      <c r="NL4" s="89">
        <f>NK5</f>
        <v/>
      </c>
      <c r="NM4" s="89">
        <f>NL5</f>
        <v/>
      </c>
      <c r="NN4" s="89">
        <f>NM5</f>
        <v/>
      </c>
      <c r="NO4" s="89">
        <f>NN5</f>
        <v/>
      </c>
      <c r="NP4" s="89">
        <f>NO5</f>
        <v/>
      </c>
      <c r="NQ4" s="125" t="n"/>
      <c r="NR4" s="89">
        <f>NP5</f>
        <v/>
      </c>
      <c r="NS4" s="89">
        <f>NR5</f>
        <v/>
      </c>
      <c r="NT4" s="89">
        <f>NS5</f>
        <v/>
      </c>
      <c r="NU4" s="89">
        <f>NT5</f>
        <v/>
      </c>
      <c r="NV4" s="89">
        <f>NU5</f>
        <v/>
      </c>
      <c r="NW4" s="89">
        <f>NV5</f>
        <v/>
      </c>
      <c r="NX4" s="89">
        <f>NW5</f>
        <v/>
      </c>
      <c r="NY4" s="89">
        <f>NX5</f>
        <v/>
      </c>
      <c r="NZ4" s="89">
        <f>NY5</f>
        <v/>
      </c>
      <c r="OA4" s="89">
        <f>NZ5</f>
        <v/>
      </c>
      <c r="OB4" s="89">
        <f>OA5</f>
        <v/>
      </c>
      <c r="OC4" s="89">
        <f>OB5</f>
        <v/>
      </c>
      <c r="OD4" s="89">
        <f>OC5</f>
        <v/>
      </c>
      <c r="OE4" s="89">
        <f>OD5</f>
        <v/>
      </c>
      <c r="OF4" s="89">
        <f>OE5</f>
        <v/>
      </c>
      <c r="OG4" s="89">
        <f>OF5</f>
        <v/>
      </c>
      <c r="OH4" s="89">
        <f>OG5</f>
        <v/>
      </c>
      <c r="OI4" s="89">
        <f>OH5</f>
        <v/>
      </c>
      <c r="OJ4" s="89">
        <f>OI5</f>
        <v/>
      </c>
      <c r="OK4" s="89">
        <f>OJ5</f>
        <v/>
      </c>
      <c r="OL4" s="89">
        <f>OK5</f>
        <v/>
      </c>
      <c r="OM4" s="89">
        <f>OL5</f>
        <v/>
      </c>
      <c r="ON4" s="89">
        <f>OM5</f>
        <v/>
      </c>
      <c r="OO4" s="89">
        <f>ON5</f>
        <v/>
      </c>
      <c r="OP4" s="89">
        <f>OO5</f>
        <v/>
      </c>
      <c r="OQ4" s="89">
        <f>OP5</f>
        <v/>
      </c>
      <c r="OR4" s="89">
        <f>OQ5</f>
        <v/>
      </c>
      <c r="OS4" s="89">
        <f>OR5</f>
        <v/>
      </c>
      <c r="OT4" s="89">
        <f>OS5</f>
        <v/>
      </c>
      <c r="OU4" s="89">
        <f>OT5</f>
        <v/>
      </c>
      <c r="OV4" s="89">
        <f>OU5</f>
        <v/>
      </c>
      <c r="OW4" s="125" t="n"/>
      <c r="OX4" s="89">
        <f>OV5</f>
        <v/>
      </c>
      <c r="OY4" s="89">
        <f>OX5</f>
        <v/>
      </c>
      <c r="OZ4" s="89">
        <f>OY5</f>
        <v/>
      </c>
      <c r="PA4" s="89">
        <f>OZ5</f>
        <v/>
      </c>
      <c r="PB4" s="89">
        <f>PA5</f>
        <v/>
      </c>
      <c r="PC4" s="89">
        <f>PB5</f>
        <v/>
      </c>
      <c r="PD4" s="89">
        <f>PC5</f>
        <v/>
      </c>
      <c r="PE4" s="89">
        <f>PD5</f>
        <v/>
      </c>
      <c r="PF4" s="89">
        <f>PE5</f>
        <v/>
      </c>
      <c r="PG4" s="89">
        <f>PF5</f>
        <v/>
      </c>
      <c r="PH4" s="89">
        <f>PG5</f>
        <v/>
      </c>
      <c r="PI4" s="89">
        <f>PH5</f>
        <v/>
      </c>
      <c r="PJ4" s="89">
        <f>PI5</f>
        <v/>
      </c>
      <c r="PK4" s="89">
        <f>PJ5</f>
        <v/>
      </c>
      <c r="PL4" s="89">
        <f>PK5</f>
        <v/>
      </c>
      <c r="PM4" s="89">
        <f>PL5</f>
        <v/>
      </c>
      <c r="PN4" s="89">
        <f>PM5</f>
        <v/>
      </c>
      <c r="PO4" s="89">
        <f>PN5</f>
        <v/>
      </c>
      <c r="PP4" s="89">
        <f>PO5</f>
        <v/>
      </c>
      <c r="PQ4" s="89">
        <f>PP5</f>
        <v/>
      </c>
      <c r="PR4" s="89">
        <f>PQ5</f>
        <v/>
      </c>
      <c r="PS4" s="89">
        <f>PR5</f>
        <v/>
      </c>
      <c r="PT4" s="89">
        <f>PS5</f>
        <v/>
      </c>
      <c r="PU4" s="89">
        <f>PT5</f>
        <v/>
      </c>
      <c r="PV4" s="89">
        <f>PU5</f>
        <v/>
      </c>
      <c r="PW4" s="89">
        <f>PV5</f>
        <v/>
      </c>
      <c r="PX4" s="89">
        <f>PW5</f>
        <v/>
      </c>
      <c r="PY4" s="89">
        <f>PX5</f>
        <v/>
      </c>
      <c r="PZ4" s="89">
        <f>PY5</f>
        <v/>
      </c>
      <c r="QA4" s="89">
        <f>PZ5</f>
        <v/>
      </c>
      <c r="QB4" s="125" t="n"/>
      <c r="QC4" s="89">
        <f>QA5</f>
        <v/>
      </c>
      <c r="QD4" s="89">
        <f>QC5</f>
        <v/>
      </c>
      <c r="QE4" s="89">
        <f>QD5</f>
        <v/>
      </c>
      <c r="QF4" s="89">
        <f>QE5</f>
        <v/>
      </c>
      <c r="QG4" s="89">
        <f>QF5</f>
        <v/>
      </c>
      <c r="QH4" s="89">
        <f>QG5</f>
        <v/>
      </c>
      <c r="QI4" s="89">
        <f>QH5</f>
        <v/>
      </c>
      <c r="QJ4" s="89">
        <f>QI5</f>
        <v/>
      </c>
      <c r="QK4" s="89">
        <f>QJ5</f>
        <v/>
      </c>
      <c r="QL4" s="89">
        <f>QK5</f>
        <v/>
      </c>
      <c r="QM4" s="89">
        <f>QL5</f>
        <v/>
      </c>
      <c r="QN4" s="89">
        <f>QM5</f>
        <v/>
      </c>
      <c r="QO4" s="89">
        <f>QN5</f>
        <v/>
      </c>
      <c r="QP4" s="89">
        <f>QO5</f>
        <v/>
      </c>
      <c r="QQ4" s="89">
        <f>QP5</f>
        <v/>
      </c>
      <c r="QR4" s="89">
        <f>QQ5</f>
        <v/>
      </c>
      <c r="QS4" s="89">
        <f>QR5</f>
        <v/>
      </c>
      <c r="QT4" s="89">
        <f>QS5</f>
        <v/>
      </c>
      <c r="QU4" s="89">
        <f>QT5</f>
        <v/>
      </c>
      <c r="QV4" s="89">
        <f>QU5</f>
        <v/>
      </c>
      <c r="QW4" s="89">
        <f>QV5</f>
        <v/>
      </c>
      <c r="QX4" s="89">
        <f>QW5</f>
        <v/>
      </c>
      <c r="QY4" s="89">
        <f>QX5</f>
        <v/>
      </c>
      <c r="QZ4" s="89">
        <f>QY5</f>
        <v/>
      </c>
      <c r="RA4" s="89">
        <f>QZ5</f>
        <v/>
      </c>
      <c r="RB4" s="89">
        <f>RA5</f>
        <v/>
      </c>
      <c r="RC4" s="89">
        <f>RB5</f>
        <v/>
      </c>
      <c r="RD4" s="89">
        <f>RC5</f>
        <v/>
      </c>
      <c r="RE4" s="89">
        <f>RD5</f>
        <v/>
      </c>
      <c r="RF4" s="89">
        <f>RE5</f>
        <v/>
      </c>
      <c r="RG4" s="89">
        <f>RF5</f>
        <v/>
      </c>
      <c r="RH4" s="125" t="n"/>
      <c r="RI4" s="89">
        <f>RG5</f>
        <v/>
      </c>
      <c r="RJ4" s="89">
        <f>RI5</f>
        <v/>
      </c>
      <c r="RK4" s="89">
        <f>RJ5</f>
        <v/>
      </c>
      <c r="RL4" s="89">
        <f>RK5</f>
        <v/>
      </c>
      <c r="RM4" s="89">
        <f>RL5</f>
        <v/>
      </c>
      <c r="RN4" s="89">
        <f>RM5</f>
        <v/>
      </c>
      <c r="RO4" s="89">
        <f>RN5</f>
        <v/>
      </c>
      <c r="RP4" s="89">
        <f>RO5</f>
        <v/>
      </c>
      <c r="RQ4" s="89">
        <f>RP5</f>
        <v/>
      </c>
      <c r="RR4" s="89">
        <f>RQ5</f>
        <v/>
      </c>
      <c r="RS4" s="89">
        <f>RR5</f>
        <v/>
      </c>
      <c r="RT4" s="89">
        <f>RS5</f>
        <v/>
      </c>
      <c r="RU4" s="89">
        <f>RT5</f>
        <v/>
      </c>
      <c r="RV4" s="89">
        <f>RU5</f>
        <v/>
      </c>
      <c r="RW4" s="89">
        <f>RV5</f>
        <v/>
      </c>
      <c r="RX4" s="89">
        <f>RW5</f>
        <v/>
      </c>
      <c r="RY4" s="89">
        <f>RX5</f>
        <v/>
      </c>
      <c r="RZ4" s="89">
        <f>RY5</f>
        <v/>
      </c>
      <c r="SA4" s="89">
        <f>RZ5</f>
        <v/>
      </c>
      <c r="SB4" s="89">
        <f>SA5</f>
        <v/>
      </c>
      <c r="SC4" s="89">
        <f>SB5</f>
        <v/>
      </c>
      <c r="SD4" s="89">
        <f>SC5</f>
        <v/>
      </c>
      <c r="SE4" s="89">
        <f>SD5</f>
        <v/>
      </c>
      <c r="SF4" s="89">
        <f>SE5</f>
        <v/>
      </c>
      <c r="SG4" s="89">
        <f>SF5</f>
        <v/>
      </c>
      <c r="SH4" s="89">
        <f>SG5</f>
        <v/>
      </c>
      <c r="SI4" s="89">
        <f>SH5</f>
        <v/>
      </c>
      <c r="SJ4" s="89">
        <f>SI5</f>
        <v/>
      </c>
      <c r="SK4" s="89">
        <f>SJ5</f>
        <v/>
      </c>
      <c r="SL4" s="89">
        <f>SK5</f>
        <v/>
      </c>
      <c r="SM4" s="125" t="n"/>
      <c r="SN4" s="89">
        <f>SL5</f>
        <v/>
      </c>
      <c r="SO4" s="89">
        <f>SN5</f>
        <v/>
      </c>
      <c r="SP4" s="89">
        <f>SO5</f>
        <v/>
      </c>
      <c r="SQ4" s="89">
        <f>SP5</f>
        <v/>
      </c>
      <c r="SR4" s="89">
        <f>SQ5</f>
        <v/>
      </c>
      <c r="SS4" s="89">
        <f>SR5</f>
        <v/>
      </c>
      <c r="ST4" s="89">
        <f>SS5</f>
        <v/>
      </c>
      <c r="SU4" s="89">
        <f>ST5</f>
        <v/>
      </c>
      <c r="SV4" s="89">
        <f>SU5</f>
        <v/>
      </c>
      <c r="SW4" s="89">
        <f>SV5</f>
        <v/>
      </c>
      <c r="SX4" s="89">
        <f>SW5</f>
        <v/>
      </c>
      <c r="SY4" s="89">
        <f>SX5</f>
        <v/>
      </c>
      <c r="SZ4" s="89">
        <f>SY5</f>
        <v/>
      </c>
      <c r="TA4" s="89">
        <f>SZ5</f>
        <v/>
      </c>
      <c r="TB4" s="89">
        <f>TA5</f>
        <v/>
      </c>
      <c r="TC4" s="89">
        <f>TB5</f>
        <v/>
      </c>
      <c r="TD4" s="89">
        <f>TC5</f>
        <v/>
      </c>
      <c r="TE4" s="89">
        <f>TD5</f>
        <v/>
      </c>
      <c r="TF4" s="89">
        <f>TE5</f>
        <v/>
      </c>
      <c r="TG4" s="89">
        <f>TF5</f>
        <v/>
      </c>
      <c r="TH4" s="89">
        <f>TG5</f>
        <v/>
      </c>
      <c r="TI4" s="89">
        <f>TH5</f>
        <v/>
      </c>
      <c r="TJ4" s="89">
        <f>TI5</f>
        <v/>
      </c>
      <c r="TK4" s="89">
        <f>TJ5</f>
        <v/>
      </c>
      <c r="TL4" s="89">
        <f>TK5</f>
        <v/>
      </c>
      <c r="TM4" s="89">
        <f>TL5</f>
        <v/>
      </c>
      <c r="TN4" s="89">
        <f>TM5</f>
        <v/>
      </c>
      <c r="TO4" s="89">
        <f>TN5</f>
        <v/>
      </c>
      <c r="TP4" s="89">
        <f>TO5</f>
        <v/>
      </c>
      <c r="TQ4" s="89">
        <f>TP5</f>
        <v/>
      </c>
      <c r="TR4" s="89">
        <f>TQ5</f>
        <v/>
      </c>
      <c r="TS4" s="125" t="n"/>
      <c r="TT4" s="89">
        <f>TR5</f>
        <v/>
      </c>
      <c r="TU4" s="89">
        <f>TT5</f>
        <v/>
      </c>
      <c r="TV4" s="89">
        <f>TU5</f>
        <v/>
      </c>
      <c r="TW4" s="89">
        <f>TV5</f>
        <v/>
      </c>
      <c r="TX4" s="89">
        <f>TW5</f>
        <v/>
      </c>
      <c r="TY4" s="89">
        <f>TX5</f>
        <v/>
      </c>
      <c r="TZ4" s="89">
        <f>TY5</f>
        <v/>
      </c>
      <c r="UA4" s="89">
        <f>TZ5</f>
        <v/>
      </c>
      <c r="UB4" s="89">
        <f>UA5</f>
        <v/>
      </c>
      <c r="UC4" s="89">
        <f>UB5</f>
        <v/>
      </c>
      <c r="UD4" s="89">
        <f>UC5</f>
        <v/>
      </c>
      <c r="UE4" s="89">
        <f>UD5</f>
        <v/>
      </c>
      <c r="UF4" s="89">
        <f>UE5</f>
        <v/>
      </c>
      <c r="UG4" s="89">
        <f>UF5</f>
        <v/>
      </c>
      <c r="UH4" s="89">
        <f>UG5</f>
        <v/>
      </c>
      <c r="UI4" s="89">
        <f>UH5</f>
        <v/>
      </c>
      <c r="UJ4" s="89">
        <f>UI5</f>
        <v/>
      </c>
      <c r="UK4" s="89">
        <f>UJ5</f>
        <v/>
      </c>
      <c r="UL4" s="89">
        <f>UK5</f>
        <v/>
      </c>
      <c r="UM4" s="89">
        <f>UL5</f>
        <v/>
      </c>
      <c r="UN4" s="89">
        <f>UM5</f>
        <v/>
      </c>
      <c r="UO4" s="89">
        <f>UN5</f>
        <v/>
      </c>
      <c r="UP4" s="89">
        <f>UO5</f>
        <v/>
      </c>
      <c r="UQ4" s="89">
        <f>UP5</f>
        <v/>
      </c>
      <c r="UR4" s="89">
        <f>UQ5</f>
        <v/>
      </c>
      <c r="US4" s="89">
        <f>UR5</f>
        <v/>
      </c>
      <c r="UT4" s="89">
        <f>US5</f>
        <v/>
      </c>
      <c r="UU4" s="89">
        <f>UT5</f>
        <v/>
      </c>
      <c r="UV4" s="89">
        <f>UU5</f>
        <v/>
      </c>
      <c r="UW4" s="89">
        <f>UV5</f>
        <v/>
      </c>
      <c r="UX4" s="89">
        <f>UW5</f>
        <v/>
      </c>
      <c r="UY4" s="125" t="n"/>
      <c r="UZ4" s="89">
        <f>UX5</f>
        <v/>
      </c>
      <c r="VA4" s="89">
        <f>UZ5</f>
        <v/>
      </c>
      <c r="VB4" s="89">
        <f>VA5</f>
        <v/>
      </c>
      <c r="VC4" s="89">
        <f>VB5</f>
        <v/>
      </c>
      <c r="VD4" s="89">
        <f>VC5</f>
        <v/>
      </c>
      <c r="VE4" s="89">
        <f>VD5</f>
        <v/>
      </c>
      <c r="VF4" s="89">
        <f>VE5</f>
        <v/>
      </c>
      <c r="VG4" s="89">
        <f>VF5</f>
        <v/>
      </c>
      <c r="VH4" s="89">
        <f>VG5</f>
        <v/>
      </c>
      <c r="VI4" s="89">
        <f>VH5</f>
        <v/>
      </c>
      <c r="VJ4" s="89">
        <f>VI5</f>
        <v/>
      </c>
      <c r="VK4" s="89">
        <f>VJ5</f>
        <v/>
      </c>
      <c r="VL4" s="89">
        <f>VK5</f>
        <v/>
      </c>
      <c r="VM4" s="89">
        <f>VL5</f>
        <v/>
      </c>
      <c r="VN4" s="89">
        <f>VM5</f>
        <v/>
      </c>
      <c r="VO4" s="89">
        <f>VN5</f>
        <v/>
      </c>
      <c r="VP4" s="89">
        <f>VO5</f>
        <v/>
      </c>
      <c r="VQ4" s="89">
        <f>VP5</f>
        <v/>
      </c>
      <c r="VR4" s="89">
        <f>VQ5</f>
        <v/>
      </c>
      <c r="VS4" s="89">
        <f>VR5</f>
        <v/>
      </c>
      <c r="VT4" s="89">
        <f>VS5</f>
        <v/>
      </c>
      <c r="VU4" s="89">
        <f>VT5</f>
        <v/>
      </c>
      <c r="VV4" s="89">
        <f>VU5</f>
        <v/>
      </c>
      <c r="VW4" s="89">
        <f>VV5</f>
        <v/>
      </c>
      <c r="VX4" s="89">
        <f>VW5</f>
        <v/>
      </c>
      <c r="VY4" s="89">
        <f>VX5</f>
        <v/>
      </c>
      <c r="VZ4" s="89">
        <f>VY5</f>
        <v/>
      </c>
      <c r="WA4" s="89">
        <f>VZ5</f>
        <v/>
      </c>
      <c r="WB4" s="125" t="n"/>
      <c r="WC4" s="89">
        <f>WA5</f>
        <v/>
      </c>
      <c r="WD4" s="89">
        <f>WC5</f>
        <v/>
      </c>
      <c r="WE4" s="89">
        <f>WD5</f>
        <v/>
      </c>
      <c r="WF4" s="89">
        <f>WE5</f>
        <v/>
      </c>
      <c r="WG4" s="89">
        <f>WF5</f>
        <v/>
      </c>
      <c r="WH4" s="89">
        <f>WG5</f>
        <v/>
      </c>
      <c r="WI4" s="89">
        <f>WH5</f>
        <v/>
      </c>
      <c r="WJ4" s="89">
        <f>WI5</f>
        <v/>
      </c>
      <c r="WK4" s="89">
        <f>WJ5</f>
        <v/>
      </c>
      <c r="WL4" s="89">
        <f>WK5</f>
        <v/>
      </c>
      <c r="WM4" s="89">
        <f>WL5</f>
        <v/>
      </c>
      <c r="WN4" s="89">
        <f>WM5</f>
        <v/>
      </c>
      <c r="WO4" s="89">
        <f>WN5</f>
        <v/>
      </c>
      <c r="WP4" s="89">
        <f>WO5</f>
        <v/>
      </c>
      <c r="WQ4" s="89">
        <f>WP5</f>
        <v/>
      </c>
      <c r="WR4" s="89">
        <f>WQ5</f>
        <v/>
      </c>
      <c r="WS4" s="89">
        <f>WR5</f>
        <v/>
      </c>
      <c r="WT4" s="89">
        <f>WS5</f>
        <v/>
      </c>
      <c r="WU4" s="89">
        <f>WT5</f>
        <v/>
      </c>
      <c r="WV4" s="89">
        <f>WU5</f>
        <v/>
      </c>
      <c r="WW4" s="89">
        <f>WV5</f>
        <v/>
      </c>
      <c r="WX4" s="89">
        <f>WW5</f>
        <v/>
      </c>
      <c r="WY4" s="89">
        <f>WX5</f>
        <v/>
      </c>
      <c r="WZ4" s="89">
        <f>WY5</f>
        <v/>
      </c>
      <c r="XA4" s="89">
        <f>WZ5</f>
        <v/>
      </c>
      <c r="XB4" s="89">
        <f>XA5</f>
        <v/>
      </c>
      <c r="XC4" s="89">
        <f>XB5</f>
        <v/>
      </c>
      <c r="XD4" s="89">
        <f>XC5</f>
        <v/>
      </c>
      <c r="XE4" s="89">
        <f>XD5</f>
        <v/>
      </c>
      <c r="XF4" s="89">
        <f>XE5</f>
        <v/>
      </c>
      <c r="XG4" s="89">
        <f>XF5</f>
        <v/>
      </c>
      <c r="XH4" s="125" t="n"/>
      <c r="XI4" s="89">
        <f>XG5</f>
        <v/>
      </c>
      <c r="XJ4" s="89">
        <f>XI5</f>
        <v/>
      </c>
      <c r="XK4" s="89">
        <f>XJ5</f>
        <v/>
      </c>
      <c r="XL4" s="89">
        <f>XK5</f>
        <v/>
      </c>
      <c r="XM4" s="89">
        <f>XL5</f>
        <v/>
      </c>
      <c r="XN4" s="89">
        <f>XM5</f>
        <v/>
      </c>
      <c r="XO4" s="89">
        <f>XN5</f>
        <v/>
      </c>
      <c r="XP4" s="89">
        <f>XO5</f>
        <v/>
      </c>
      <c r="XQ4" s="89">
        <f>XP5</f>
        <v/>
      </c>
      <c r="XR4" s="89">
        <f>XQ5</f>
        <v/>
      </c>
      <c r="XS4" s="89">
        <f>XR5</f>
        <v/>
      </c>
      <c r="XT4" s="89">
        <f>XS5</f>
        <v/>
      </c>
      <c r="XU4" s="89">
        <f>XT5</f>
        <v/>
      </c>
      <c r="XV4" s="89">
        <f>XU5</f>
        <v/>
      </c>
      <c r="XW4" s="89">
        <f>XV5</f>
        <v/>
      </c>
      <c r="XX4" s="89">
        <f>XW5</f>
        <v/>
      </c>
      <c r="XY4" s="89">
        <f>XX5</f>
        <v/>
      </c>
      <c r="XZ4" s="89">
        <f>XY5</f>
        <v/>
      </c>
      <c r="YA4" s="89">
        <f>XZ5</f>
        <v/>
      </c>
      <c r="YB4" s="89">
        <f>YA5</f>
        <v/>
      </c>
      <c r="YC4" s="89">
        <f>YB5</f>
        <v/>
      </c>
      <c r="YD4" s="89">
        <f>YC5</f>
        <v/>
      </c>
      <c r="YE4" s="89">
        <f>YD5</f>
        <v/>
      </c>
      <c r="YF4" s="89">
        <f>YE5</f>
        <v/>
      </c>
      <c r="YG4" s="89">
        <f>YF5</f>
        <v/>
      </c>
      <c r="YH4" s="89">
        <f>YG5</f>
        <v/>
      </c>
      <c r="YI4" s="89">
        <f>YH5</f>
        <v/>
      </c>
      <c r="YJ4" s="89">
        <f>YI5</f>
        <v/>
      </c>
      <c r="YK4" s="89">
        <f>YJ5</f>
        <v/>
      </c>
      <c r="YL4" s="89">
        <f>YK5</f>
        <v/>
      </c>
      <c r="YM4" s="125" t="n"/>
      <c r="YN4" s="89">
        <f>YL5</f>
        <v/>
      </c>
      <c r="YO4" s="89">
        <f>YN5</f>
        <v/>
      </c>
      <c r="YP4" s="89">
        <f>YO5</f>
        <v/>
      </c>
      <c r="YQ4" s="89">
        <f>YP5</f>
        <v/>
      </c>
      <c r="YR4" s="89">
        <f>YQ5</f>
        <v/>
      </c>
      <c r="YS4" s="89">
        <f>YR5</f>
        <v/>
      </c>
      <c r="YT4" s="89">
        <f>YS5</f>
        <v/>
      </c>
      <c r="YU4" s="89">
        <f>YT5</f>
        <v/>
      </c>
      <c r="YV4" s="89">
        <f>YU5</f>
        <v/>
      </c>
      <c r="YW4" s="89">
        <f>YV5</f>
        <v/>
      </c>
      <c r="YX4" s="89">
        <f>YW5</f>
        <v/>
      </c>
      <c r="YY4" s="89">
        <f>YX5</f>
        <v/>
      </c>
      <c r="YZ4" s="89">
        <f>YY5</f>
        <v/>
      </c>
      <c r="ZA4" s="89">
        <f>YZ5</f>
        <v/>
      </c>
      <c r="ZB4" s="89">
        <f>ZA5</f>
        <v/>
      </c>
      <c r="ZC4" s="89">
        <f>ZB5</f>
        <v/>
      </c>
      <c r="ZD4" s="89">
        <f>ZC5</f>
        <v/>
      </c>
      <c r="ZE4" s="89">
        <f>ZD5</f>
        <v/>
      </c>
      <c r="ZF4" s="89">
        <f>ZE5</f>
        <v/>
      </c>
      <c r="ZG4" s="89">
        <f>ZF5</f>
        <v/>
      </c>
      <c r="ZH4" s="89">
        <f>ZG5</f>
        <v/>
      </c>
      <c r="ZI4" s="89">
        <f>ZH5</f>
        <v/>
      </c>
      <c r="ZJ4" s="89">
        <f>ZI5</f>
        <v/>
      </c>
      <c r="ZK4" s="89">
        <f>ZJ5</f>
        <v/>
      </c>
      <c r="ZL4" s="89">
        <f>ZK5</f>
        <v/>
      </c>
      <c r="ZM4" s="89">
        <f>ZL5</f>
        <v/>
      </c>
      <c r="ZN4" s="89">
        <f>ZM5</f>
        <v/>
      </c>
      <c r="ZO4" s="89">
        <f>ZN5</f>
        <v/>
      </c>
      <c r="ZP4" s="89">
        <f>ZO5</f>
        <v/>
      </c>
      <c r="ZQ4" s="89">
        <f>ZP5</f>
        <v/>
      </c>
      <c r="ZR4" s="89">
        <f>ZQ5</f>
        <v/>
      </c>
      <c r="ZS4" s="125" t="n"/>
      <c r="ZT4" s="89">
        <f>ZR5</f>
        <v/>
      </c>
      <c r="ZU4" s="89">
        <f>ZT5</f>
        <v/>
      </c>
      <c r="ZV4" s="89">
        <f>ZU5</f>
        <v/>
      </c>
      <c r="ZW4" s="89">
        <f>ZV5</f>
        <v/>
      </c>
      <c r="ZX4" s="89">
        <f>ZW5</f>
        <v/>
      </c>
      <c r="ZY4" s="89">
        <f>ZX5</f>
        <v/>
      </c>
      <c r="ZZ4" s="89">
        <f>ZY5</f>
        <v/>
      </c>
      <c r="AAA4" s="89">
        <f>ZZ5</f>
        <v/>
      </c>
      <c r="AAB4" s="89">
        <f>AAA5</f>
        <v/>
      </c>
      <c r="AAC4" s="89">
        <f>AAB5</f>
        <v/>
      </c>
      <c r="AAD4" s="89">
        <f>AAC5</f>
        <v/>
      </c>
      <c r="AAE4" s="89">
        <f>AAD5</f>
        <v/>
      </c>
      <c r="AAF4" s="89">
        <f>AAE5</f>
        <v/>
      </c>
      <c r="AAG4" s="89">
        <f>AAF5</f>
        <v/>
      </c>
      <c r="AAH4" s="89">
        <f>AAG5</f>
        <v/>
      </c>
      <c r="AAI4" s="89">
        <f>AAH5</f>
        <v/>
      </c>
      <c r="AAJ4" s="89">
        <f>AAI5</f>
        <v/>
      </c>
      <c r="AAK4" s="89">
        <f>AAJ5</f>
        <v/>
      </c>
      <c r="AAL4" s="89">
        <f>AAK5</f>
        <v/>
      </c>
      <c r="AAM4" s="89">
        <f>AAL5</f>
        <v/>
      </c>
      <c r="AAN4" s="89">
        <f>AAM5</f>
        <v/>
      </c>
      <c r="AAO4" s="89">
        <f>AAN5</f>
        <v/>
      </c>
      <c r="AAP4" s="89">
        <f>AAO5</f>
        <v/>
      </c>
      <c r="AAQ4" s="89">
        <f>AAP5</f>
        <v/>
      </c>
      <c r="AAR4" s="89">
        <f>AAQ5</f>
        <v/>
      </c>
      <c r="AAS4" s="89">
        <f>AAR5</f>
        <v/>
      </c>
      <c r="AAT4" s="89">
        <f>AAS5</f>
        <v/>
      </c>
      <c r="AAU4" s="89">
        <f>AAT5</f>
        <v/>
      </c>
      <c r="AAV4" s="89">
        <f>AAU5</f>
        <v/>
      </c>
      <c r="AAW4" s="89">
        <f>AAV5</f>
        <v/>
      </c>
      <c r="AAX4" s="125" t="n"/>
      <c r="AAY4" s="89">
        <f>AAW5</f>
        <v/>
      </c>
      <c r="AAZ4" s="89">
        <f>AAY5</f>
        <v/>
      </c>
      <c r="ABA4" s="89">
        <f>AAZ5</f>
        <v/>
      </c>
      <c r="ABB4" s="89">
        <f>ABA5</f>
        <v/>
      </c>
      <c r="ABC4" s="89">
        <f>ABB5</f>
        <v/>
      </c>
      <c r="ABD4" s="89">
        <f>ABC5</f>
        <v/>
      </c>
      <c r="ABE4" s="89">
        <f>ABD5</f>
        <v/>
      </c>
      <c r="ABF4" s="89">
        <f>ABE5</f>
        <v/>
      </c>
      <c r="ABG4" s="89">
        <f>ABF5</f>
        <v/>
      </c>
      <c r="ABH4" s="89">
        <f>ABG5</f>
        <v/>
      </c>
      <c r="ABI4" s="89">
        <f>ABH5</f>
        <v/>
      </c>
      <c r="ABJ4" s="89">
        <f>ABI5</f>
        <v/>
      </c>
      <c r="ABK4" s="89">
        <f>ABJ5</f>
        <v/>
      </c>
      <c r="ABL4" s="89">
        <f>ABK5</f>
        <v/>
      </c>
      <c r="ABM4" s="89">
        <f>ABL5</f>
        <v/>
      </c>
      <c r="ABN4" s="89">
        <f>ABM5</f>
        <v/>
      </c>
      <c r="ABO4" s="89">
        <f>ABN5</f>
        <v/>
      </c>
      <c r="ABP4" s="89">
        <f>ABO5</f>
        <v/>
      </c>
      <c r="ABQ4" s="89">
        <f>ABP5</f>
        <v/>
      </c>
      <c r="ABR4" s="89">
        <f>ABQ5</f>
        <v/>
      </c>
      <c r="ABS4" s="89">
        <f>ABR5</f>
        <v/>
      </c>
      <c r="ABT4" s="89">
        <f>ABS5</f>
        <v/>
      </c>
      <c r="ABU4" s="89">
        <f>ABT5</f>
        <v/>
      </c>
      <c r="ABV4" s="89">
        <f>ABU5</f>
        <v/>
      </c>
      <c r="ABW4" s="89">
        <f>ABV5</f>
        <v/>
      </c>
      <c r="ABX4" s="89">
        <f>ABW5</f>
        <v/>
      </c>
      <c r="ABY4" s="89">
        <f>ABX5</f>
        <v/>
      </c>
      <c r="ABZ4" s="89">
        <f>ABY5</f>
        <v/>
      </c>
      <c r="ACA4" s="89">
        <f>ABZ5</f>
        <v/>
      </c>
      <c r="ACB4" s="89">
        <f>ACA5</f>
        <v/>
      </c>
      <c r="ACC4" s="89">
        <f>ACB5</f>
        <v/>
      </c>
      <c r="ACD4" s="125" t="n"/>
      <c r="ACE4" s="89">
        <f>ACC5</f>
        <v/>
      </c>
      <c r="ACF4" s="89">
        <f>ACE5</f>
        <v/>
      </c>
      <c r="ACG4" s="89">
        <f>ACF5</f>
        <v/>
      </c>
      <c r="ACH4" s="89">
        <f>ACG5</f>
        <v/>
      </c>
      <c r="ACI4" s="89">
        <f>ACH5</f>
        <v/>
      </c>
      <c r="ACJ4" s="89">
        <f>ACI5</f>
        <v/>
      </c>
      <c r="ACK4" s="89">
        <f>ACJ5</f>
        <v/>
      </c>
      <c r="ACL4" s="89">
        <f>ACK5</f>
        <v/>
      </c>
      <c r="ACM4" s="89">
        <f>ACL5</f>
        <v/>
      </c>
      <c r="ACN4" s="89">
        <f>ACM5</f>
        <v/>
      </c>
      <c r="ACO4" s="89">
        <f>ACN5</f>
        <v/>
      </c>
      <c r="ACP4" s="89">
        <f>ACO5</f>
        <v/>
      </c>
      <c r="ACQ4" s="89">
        <f>ACP5</f>
        <v/>
      </c>
      <c r="ACR4" s="89">
        <f>ACQ5</f>
        <v/>
      </c>
      <c r="ACS4" s="89">
        <f>ACR5</f>
        <v/>
      </c>
      <c r="ACT4" s="89">
        <f>ACS5</f>
        <v/>
      </c>
      <c r="ACU4" s="89">
        <f>ACT5</f>
        <v/>
      </c>
      <c r="ACV4" s="89">
        <f>ACU5</f>
        <v/>
      </c>
      <c r="ACW4" s="89">
        <f>ACV5</f>
        <v/>
      </c>
      <c r="ACX4" s="89">
        <f>ACW5</f>
        <v/>
      </c>
      <c r="ACY4" s="89">
        <f>ACX5</f>
        <v/>
      </c>
      <c r="ACZ4" s="89">
        <f>ACY5</f>
        <v/>
      </c>
      <c r="ADA4" s="89">
        <f>ACZ5</f>
        <v/>
      </c>
      <c r="ADB4" s="89">
        <f>ADA5</f>
        <v/>
      </c>
      <c r="ADC4" s="89">
        <f>ADB5</f>
        <v/>
      </c>
      <c r="ADD4" s="89">
        <f>ADC5</f>
        <v/>
      </c>
      <c r="ADE4" s="89">
        <f>ADD5</f>
        <v/>
      </c>
      <c r="ADF4" s="89">
        <f>ADE5</f>
        <v/>
      </c>
      <c r="ADG4" s="89">
        <f>ADF5</f>
        <v/>
      </c>
      <c r="ADH4" s="89">
        <f>ADG5</f>
        <v/>
      </c>
      <c r="ADI4" s="89">
        <f>ADH5</f>
        <v/>
      </c>
      <c r="ADJ4" s="125" t="n"/>
      <c r="ADK4" s="89">
        <f>ADI5</f>
        <v/>
      </c>
      <c r="ADL4" s="89">
        <f>ADK5</f>
        <v/>
      </c>
      <c r="ADM4" s="89">
        <f>ADL5</f>
        <v/>
      </c>
      <c r="ADN4" s="89">
        <f>ADM5</f>
        <v/>
      </c>
      <c r="ADO4" s="89">
        <f>ADN5</f>
        <v/>
      </c>
      <c r="ADP4" s="89">
        <f>ADO5</f>
        <v/>
      </c>
      <c r="ADQ4" s="89">
        <f>ADP5</f>
        <v/>
      </c>
      <c r="ADR4" s="89">
        <f>ADQ5</f>
        <v/>
      </c>
      <c r="ADS4" s="89">
        <f>ADR5</f>
        <v/>
      </c>
      <c r="ADT4" s="89">
        <f>ADS5</f>
        <v/>
      </c>
      <c r="ADU4" s="89">
        <f>ADT5</f>
        <v/>
      </c>
      <c r="ADV4" s="89">
        <f>ADU5</f>
        <v/>
      </c>
      <c r="ADW4" s="89">
        <f>ADV5</f>
        <v/>
      </c>
      <c r="ADX4" s="89">
        <f>ADW5</f>
        <v/>
      </c>
      <c r="ADY4" s="89">
        <f>ADX5</f>
        <v/>
      </c>
      <c r="ADZ4" s="89">
        <f>ADY5</f>
        <v/>
      </c>
      <c r="AEA4" s="89">
        <f>ADZ5</f>
        <v/>
      </c>
      <c r="AEB4" s="89">
        <f>AEA5</f>
        <v/>
      </c>
      <c r="AEC4" s="89">
        <f>AEB5</f>
        <v/>
      </c>
      <c r="AED4" s="89">
        <f>AEC5</f>
        <v/>
      </c>
      <c r="AEE4" s="89">
        <f>AED5</f>
        <v/>
      </c>
      <c r="AEF4" s="89">
        <f>AEE5</f>
        <v/>
      </c>
      <c r="AEG4" s="89">
        <f>AEF5</f>
        <v/>
      </c>
      <c r="AEH4" s="89">
        <f>AEG5</f>
        <v/>
      </c>
      <c r="AEI4" s="89">
        <f>AEH5</f>
        <v/>
      </c>
      <c r="AEJ4" s="89">
        <f>AEI5</f>
        <v/>
      </c>
      <c r="AEK4" s="89">
        <f>AEJ5</f>
        <v/>
      </c>
      <c r="AEL4" s="89">
        <f>AEK5</f>
        <v/>
      </c>
      <c r="AEM4" s="89">
        <f>AEL5</f>
        <v/>
      </c>
      <c r="AEN4" s="89">
        <f>AEM5</f>
        <v/>
      </c>
      <c r="AEO4" s="125" t="n"/>
      <c r="AEP4" s="89">
        <f>AEN5</f>
        <v/>
      </c>
      <c r="AEQ4" s="89">
        <f>AEP5</f>
        <v/>
      </c>
      <c r="AER4" s="89">
        <f>AEQ5</f>
        <v/>
      </c>
      <c r="AES4" s="89">
        <f>AER5</f>
        <v/>
      </c>
      <c r="AET4" s="89">
        <f>AES5</f>
        <v/>
      </c>
      <c r="AEU4" s="89">
        <f>AET5</f>
        <v/>
      </c>
      <c r="AEV4" s="89">
        <f>AEU5</f>
        <v/>
      </c>
      <c r="AEW4" s="89">
        <f>AEV5</f>
        <v/>
      </c>
      <c r="AEX4" s="89">
        <f>AEW5</f>
        <v/>
      </c>
      <c r="AEY4" s="89">
        <f>AEX5</f>
        <v/>
      </c>
      <c r="AEZ4" s="89">
        <f>AEY5</f>
        <v/>
      </c>
      <c r="AFA4" s="89">
        <f>AEZ5</f>
        <v/>
      </c>
      <c r="AFB4" s="89">
        <f>AFA5</f>
        <v/>
      </c>
      <c r="AFC4" s="89">
        <f>AFB5</f>
        <v/>
      </c>
      <c r="AFD4" s="89">
        <f>AFC5</f>
        <v/>
      </c>
      <c r="AFE4" s="89">
        <f>AFD5</f>
        <v/>
      </c>
      <c r="AFF4" s="89">
        <f>AFE5</f>
        <v/>
      </c>
      <c r="AFG4" s="89">
        <f>AFF5</f>
        <v/>
      </c>
      <c r="AFH4" s="89">
        <f>AFG5</f>
        <v/>
      </c>
      <c r="AFI4" s="89">
        <f>AFH5</f>
        <v/>
      </c>
      <c r="AFJ4" s="89">
        <f>AFI5</f>
        <v/>
      </c>
      <c r="AFK4" s="89">
        <f>AFJ5</f>
        <v/>
      </c>
      <c r="AFL4" s="89">
        <f>AFK5</f>
        <v/>
      </c>
      <c r="AFM4" s="89">
        <f>AFL5</f>
        <v/>
      </c>
      <c r="AFN4" s="89">
        <f>AFM5</f>
        <v/>
      </c>
      <c r="AFO4" s="89">
        <f>AFN5</f>
        <v/>
      </c>
      <c r="AFP4" s="89">
        <f>AFO5</f>
        <v/>
      </c>
      <c r="AFQ4" s="89">
        <f>AFP5</f>
        <v/>
      </c>
      <c r="AFR4" s="89">
        <f>AFQ5</f>
        <v/>
      </c>
      <c r="AFS4" s="89">
        <f>AFR5</f>
        <v/>
      </c>
      <c r="AFT4" s="89">
        <f>AFS5</f>
        <v/>
      </c>
      <c r="AFU4" s="125" t="n"/>
      <c r="AFV4" s="89">
        <f>AFT5</f>
        <v/>
      </c>
      <c r="AFW4" s="89">
        <f>AFV5</f>
        <v/>
      </c>
      <c r="AFX4" s="89">
        <f>AFW5</f>
        <v/>
      </c>
      <c r="AFY4" s="89">
        <f>AFX5</f>
        <v/>
      </c>
      <c r="AFZ4" s="89">
        <f>AFY5</f>
        <v/>
      </c>
      <c r="AGA4" s="89">
        <f>AFZ5</f>
        <v/>
      </c>
      <c r="AGB4" s="89">
        <f>AGA5</f>
        <v/>
      </c>
      <c r="AGC4" s="89">
        <f>AGB5</f>
        <v/>
      </c>
      <c r="AGD4" s="89">
        <f>AGC5</f>
        <v/>
      </c>
      <c r="AGE4" s="89">
        <f>AGD5</f>
        <v/>
      </c>
      <c r="AGF4" s="89">
        <f>AGE5</f>
        <v/>
      </c>
      <c r="AGG4" s="89">
        <f>AGF5</f>
        <v/>
      </c>
      <c r="AGH4" s="89">
        <f>AGG5</f>
        <v/>
      </c>
      <c r="AGI4" s="89">
        <f>AGH5</f>
        <v/>
      </c>
      <c r="AGJ4" s="89">
        <f>AGI5</f>
        <v/>
      </c>
      <c r="AGK4" s="89">
        <f>AGJ5</f>
        <v/>
      </c>
      <c r="AGL4" s="89">
        <f>AGK5</f>
        <v/>
      </c>
      <c r="AGM4" s="89">
        <f>AGL5</f>
        <v/>
      </c>
      <c r="AGN4" s="89">
        <f>AGM5</f>
        <v/>
      </c>
      <c r="AGO4" s="89">
        <f>AGN5</f>
        <v/>
      </c>
      <c r="AGP4" s="89">
        <f>AGO5</f>
        <v/>
      </c>
      <c r="AGQ4" s="89">
        <f>AGP5</f>
        <v/>
      </c>
      <c r="AGR4" s="89">
        <f>AGQ5</f>
        <v/>
      </c>
      <c r="AGS4" s="89">
        <f>AGR5</f>
        <v/>
      </c>
      <c r="AGT4" s="89">
        <f>AGS5</f>
        <v/>
      </c>
      <c r="AGU4" s="89">
        <f>AGT5</f>
        <v/>
      </c>
      <c r="AGV4" s="89">
        <f>AGU5</f>
        <v/>
      </c>
      <c r="AGW4" s="89">
        <f>AGV5</f>
        <v/>
      </c>
      <c r="AGX4" s="89">
        <f>AGW5</f>
        <v/>
      </c>
      <c r="AGY4" s="89">
        <f>AGX5</f>
        <v/>
      </c>
      <c r="AGZ4" s="125" t="n"/>
      <c r="AHA4" s="89">
        <f>AGY5</f>
        <v/>
      </c>
      <c r="AHB4" s="89">
        <f>AHA5</f>
        <v/>
      </c>
      <c r="AHC4" s="89">
        <f>AHB5</f>
        <v/>
      </c>
      <c r="AHD4" s="89">
        <f>AHC5</f>
        <v/>
      </c>
      <c r="AHE4" s="89">
        <f>AHD5</f>
        <v/>
      </c>
      <c r="AHF4" s="89">
        <f>AHE5</f>
        <v/>
      </c>
      <c r="AHG4" s="89">
        <f>AHF5</f>
        <v/>
      </c>
      <c r="AHH4" s="89">
        <f>AHG5</f>
        <v/>
      </c>
      <c r="AHI4" s="89">
        <f>AHH5</f>
        <v/>
      </c>
      <c r="AHJ4" s="89">
        <f>AHI5</f>
        <v/>
      </c>
      <c r="AHK4" s="89">
        <f>AHJ5</f>
        <v/>
      </c>
      <c r="AHL4" s="89">
        <f>AHK5</f>
        <v/>
      </c>
      <c r="AHM4" s="89">
        <f>AHL5</f>
        <v/>
      </c>
      <c r="AHN4" s="89">
        <f>AHM5</f>
        <v/>
      </c>
      <c r="AHO4" s="89">
        <f>AHN5</f>
        <v/>
      </c>
      <c r="AHP4" s="89">
        <f>AHO5</f>
        <v/>
      </c>
      <c r="AHQ4" s="89">
        <f>AHP5</f>
        <v/>
      </c>
      <c r="AHR4" s="89">
        <f>AHQ5</f>
        <v/>
      </c>
      <c r="AHS4" s="89">
        <f>AHR5</f>
        <v/>
      </c>
      <c r="AHT4" s="89">
        <f>AHS5</f>
        <v/>
      </c>
      <c r="AHU4" s="89">
        <f>AHT5</f>
        <v/>
      </c>
      <c r="AHV4" s="89">
        <f>AHU5</f>
        <v/>
      </c>
      <c r="AHW4" s="89">
        <f>AHV5</f>
        <v/>
      </c>
      <c r="AHX4" s="89">
        <f>AHW5</f>
        <v/>
      </c>
      <c r="AHY4" s="89">
        <f>AHX5</f>
        <v/>
      </c>
      <c r="AHZ4" s="89">
        <f>AHY5</f>
        <v/>
      </c>
      <c r="AIA4" s="89">
        <f>AHZ5</f>
        <v/>
      </c>
      <c r="AIB4" s="89">
        <f>AIA5</f>
        <v/>
      </c>
      <c r="AIC4" s="89">
        <f>AIB5</f>
        <v/>
      </c>
      <c r="AID4" s="89">
        <f>AIC5</f>
        <v/>
      </c>
      <c r="AIE4" s="89">
        <f>AID5</f>
        <v/>
      </c>
      <c r="AIF4" s="125" t="n"/>
      <c r="AIG4" s="89">
        <f>AIE5</f>
        <v/>
      </c>
      <c r="AIH4" s="89">
        <f>AIG5</f>
        <v/>
      </c>
      <c r="AII4" s="89">
        <f>AIH5</f>
        <v/>
      </c>
      <c r="AIJ4" s="89">
        <f>AII5</f>
        <v/>
      </c>
      <c r="AIK4" s="89">
        <f>AIJ5</f>
        <v/>
      </c>
      <c r="AIL4" s="89">
        <f>AIK5</f>
        <v/>
      </c>
      <c r="AIM4" s="89">
        <f>AIL5</f>
        <v/>
      </c>
      <c r="AIN4" s="89">
        <f>AIM5</f>
        <v/>
      </c>
      <c r="AIO4" s="89">
        <f>AIN5</f>
        <v/>
      </c>
      <c r="AIP4" s="89">
        <f>AIO5</f>
        <v/>
      </c>
      <c r="AIQ4" s="89">
        <f>AIP5</f>
        <v/>
      </c>
      <c r="AIR4" s="89">
        <f>AIQ5</f>
        <v/>
      </c>
      <c r="AIS4" s="89">
        <f>AIR5</f>
        <v/>
      </c>
      <c r="AIT4" s="89">
        <f>AIS5</f>
        <v/>
      </c>
      <c r="AIU4" s="89">
        <f>AIT5</f>
        <v/>
      </c>
      <c r="AIV4" s="89">
        <f>AIU5</f>
        <v/>
      </c>
      <c r="AIW4" s="89">
        <f>AIV5</f>
        <v/>
      </c>
      <c r="AIX4" s="89">
        <f>AIW5</f>
        <v/>
      </c>
      <c r="AIY4" s="89">
        <f>AIX5</f>
        <v/>
      </c>
      <c r="AIZ4" s="89">
        <f>AIY5</f>
        <v/>
      </c>
      <c r="AJA4" s="89">
        <f>AIZ5</f>
        <v/>
      </c>
      <c r="AJB4" s="89">
        <f>AJA5</f>
        <v/>
      </c>
      <c r="AJC4" s="89">
        <f>AJB5</f>
        <v/>
      </c>
      <c r="AJD4" s="89">
        <f>AJC5</f>
        <v/>
      </c>
      <c r="AJE4" s="89">
        <f>AJD5</f>
        <v/>
      </c>
      <c r="AJF4" s="89">
        <f>AJE5</f>
        <v/>
      </c>
      <c r="AJG4" s="89">
        <f>AJF5</f>
        <v/>
      </c>
      <c r="AJH4" s="89">
        <f>AJG5</f>
        <v/>
      </c>
      <c r="AJI4" s="89">
        <f>AJH5</f>
        <v/>
      </c>
      <c r="AJJ4" s="89">
        <f>AJI5</f>
        <v/>
      </c>
      <c r="AJK4" s="89">
        <f>AJJ5</f>
        <v/>
      </c>
      <c r="AJL4" s="125" t="n"/>
      <c r="AJM4" s="89">
        <f>AJK5</f>
        <v/>
      </c>
      <c r="AJN4" s="89">
        <f>AJM5</f>
        <v/>
      </c>
      <c r="AJO4" s="89">
        <f>AJN5</f>
        <v/>
      </c>
      <c r="AJP4" s="89">
        <f>AJO5</f>
        <v/>
      </c>
      <c r="AJQ4" s="89">
        <f>AJP5</f>
        <v/>
      </c>
      <c r="AJR4" s="89">
        <f>AJQ5</f>
        <v/>
      </c>
      <c r="AJS4" s="89">
        <f>AJR5</f>
        <v/>
      </c>
      <c r="AJT4" s="89">
        <f>AJS5</f>
        <v/>
      </c>
      <c r="AJU4" s="89">
        <f>AJT5</f>
        <v/>
      </c>
      <c r="AJV4" s="89">
        <f>AJU5</f>
        <v/>
      </c>
      <c r="AJW4" s="89">
        <f>AJV5</f>
        <v/>
      </c>
      <c r="AJX4" s="89">
        <f>AJW5</f>
        <v/>
      </c>
      <c r="AJY4" s="89">
        <f>AJX5</f>
        <v/>
      </c>
      <c r="AJZ4" s="89">
        <f>AJY5</f>
        <v/>
      </c>
      <c r="AKA4" s="89">
        <f>AJZ5</f>
        <v/>
      </c>
      <c r="AKB4" s="89">
        <f>AKA5</f>
        <v/>
      </c>
      <c r="AKC4" s="89">
        <f>AKB5</f>
        <v/>
      </c>
      <c r="AKD4" s="89">
        <f>AKC5</f>
        <v/>
      </c>
      <c r="AKE4" s="89">
        <f>AKD5</f>
        <v/>
      </c>
      <c r="AKF4" s="89">
        <f>AKE5</f>
        <v/>
      </c>
      <c r="AKG4" s="89">
        <f>AKF5</f>
        <v/>
      </c>
      <c r="AKH4" s="89">
        <f>AKG5</f>
        <v/>
      </c>
      <c r="AKI4" s="89">
        <f>AKH5</f>
        <v/>
      </c>
      <c r="AKJ4" s="89">
        <f>AKI5</f>
        <v/>
      </c>
      <c r="AKK4" s="89">
        <f>AKJ5</f>
        <v/>
      </c>
      <c r="AKL4" s="89">
        <f>AKK5</f>
        <v/>
      </c>
      <c r="AKM4" s="89">
        <f>AKL5</f>
        <v/>
      </c>
      <c r="AKN4" s="89">
        <f>AKM5</f>
        <v/>
      </c>
      <c r="AKO4" s="125" t="n"/>
      <c r="AKP4" s="89">
        <f>AKN5</f>
        <v/>
      </c>
      <c r="AKQ4" s="89">
        <f>AKP5</f>
        <v/>
      </c>
      <c r="AKR4" s="89">
        <f>AKQ5</f>
        <v/>
      </c>
      <c r="AKS4" s="89">
        <f>AKR5</f>
        <v/>
      </c>
      <c r="AKT4" s="89">
        <f>AKS5</f>
        <v/>
      </c>
      <c r="AKU4" s="89">
        <f>AKT5</f>
        <v/>
      </c>
      <c r="AKV4" s="89">
        <f>AKU5</f>
        <v/>
      </c>
      <c r="AKW4" s="89">
        <f>AKV5</f>
        <v/>
      </c>
      <c r="AKX4" s="89">
        <f>AKW5</f>
        <v/>
      </c>
      <c r="AKY4" s="89">
        <f>AKX5</f>
        <v/>
      </c>
      <c r="AKZ4" s="89">
        <f>AKY5</f>
        <v/>
      </c>
      <c r="ALA4" s="89">
        <f>AKZ5</f>
        <v/>
      </c>
      <c r="ALB4" s="89">
        <f>ALA5</f>
        <v/>
      </c>
      <c r="ALC4" s="89">
        <f>ALB5</f>
        <v/>
      </c>
      <c r="ALD4" s="89">
        <f>ALC5</f>
        <v/>
      </c>
      <c r="ALE4" s="89">
        <f>ALD5</f>
        <v/>
      </c>
      <c r="ALF4" s="89">
        <f>ALE5</f>
        <v/>
      </c>
      <c r="ALG4" s="89">
        <f>ALF5</f>
        <v/>
      </c>
      <c r="ALH4" s="89">
        <f>ALG5</f>
        <v/>
      </c>
      <c r="ALI4" s="89">
        <f>ALH5</f>
        <v/>
      </c>
      <c r="ALJ4" s="89">
        <f>ALI5</f>
        <v/>
      </c>
      <c r="ALK4" s="89">
        <f>ALJ5</f>
        <v/>
      </c>
      <c r="ALL4" s="89">
        <f>ALK5</f>
        <v/>
      </c>
      <c r="ALM4" s="89">
        <f>ALL5</f>
        <v/>
      </c>
      <c r="ALN4" s="89">
        <f>ALM5</f>
        <v/>
      </c>
      <c r="ALO4" s="89">
        <f>ALN5</f>
        <v/>
      </c>
      <c r="ALP4" s="89">
        <f>ALO5</f>
        <v/>
      </c>
      <c r="ALQ4" s="89">
        <f>ALP5</f>
        <v/>
      </c>
      <c r="ALR4" s="89">
        <f>ALQ5</f>
        <v/>
      </c>
      <c r="ALS4" s="89">
        <f>ALR5</f>
        <v/>
      </c>
      <c r="ALT4" s="89">
        <f>ALS5</f>
        <v/>
      </c>
      <c r="ALU4" s="125" t="n"/>
      <c r="ALV4" s="89">
        <f>ALT5</f>
        <v/>
      </c>
      <c r="ALW4" s="89">
        <f>ALV5</f>
        <v/>
      </c>
      <c r="ALX4" s="89">
        <f>ALW5</f>
        <v/>
      </c>
      <c r="ALY4" s="89">
        <f>ALX5</f>
        <v/>
      </c>
      <c r="ALZ4" s="89">
        <f>ALY5</f>
        <v/>
      </c>
      <c r="AMA4" s="89">
        <f>ALZ5</f>
        <v/>
      </c>
      <c r="AMB4" s="89">
        <f>AMA5</f>
        <v/>
      </c>
      <c r="AMC4" s="89">
        <f>AMB5</f>
        <v/>
      </c>
      <c r="AMD4" s="89">
        <f>AMC5</f>
        <v/>
      </c>
      <c r="AME4" s="89">
        <f>AMD5</f>
        <v/>
      </c>
      <c r="AMF4" s="89">
        <f>AME5</f>
        <v/>
      </c>
      <c r="AMG4" s="89">
        <f>AMF5</f>
        <v/>
      </c>
      <c r="AMH4" s="89">
        <f>AMG5</f>
        <v/>
      </c>
      <c r="AMI4" s="89">
        <f>AMH5</f>
        <v/>
      </c>
      <c r="AMJ4" s="89">
        <f>AMI5</f>
        <v/>
      </c>
      <c r="AMK4" s="89">
        <f>AMJ5</f>
        <v/>
      </c>
      <c r="AML4" s="89">
        <f>AMK5</f>
        <v/>
      </c>
      <c r="AMM4" s="89">
        <f>AML5</f>
        <v/>
      </c>
      <c r="AMN4" s="89">
        <f>AMM5</f>
        <v/>
      </c>
      <c r="AMO4" s="89">
        <f>AMN5</f>
        <v/>
      </c>
      <c r="AMP4" s="89">
        <f>AMO5</f>
        <v/>
      </c>
      <c r="AMQ4" s="89">
        <f>AMP5</f>
        <v/>
      </c>
      <c r="AMR4" s="89">
        <f>AMQ5</f>
        <v/>
      </c>
      <c r="AMS4" s="89">
        <f>AMR5</f>
        <v/>
      </c>
      <c r="AMT4" s="89">
        <f>AMS5</f>
        <v/>
      </c>
      <c r="AMU4" s="89">
        <f>AMT5</f>
        <v/>
      </c>
      <c r="AMV4" s="89">
        <f>AMU5</f>
        <v/>
      </c>
      <c r="AMW4" s="89">
        <f>AMV5</f>
        <v/>
      </c>
      <c r="AMX4" s="89">
        <f>AMW5</f>
        <v/>
      </c>
      <c r="AMY4" s="89">
        <f>AMX5</f>
        <v/>
      </c>
      <c r="AMZ4" s="125" t="n"/>
      <c r="ANA4" s="89">
        <f>AMY5</f>
        <v/>
      </c>
      <c r="ANB4" s="89">
        <f>ANA5</f>
        <v/>
      </c>
      <c r="ANC4" s="89">
        <f>ANB5</f>
        <v/>
      </c>
      <c r="AND4" s="89">
        <f>ANC5</f>
        <v/>
      </c>
      <c r="ANE4" s="89">
        <f>AND5</f>
        <v/>
      </c>
      <c r="ANF4" s="89">
        <f>ANE5</f>
        <v/>
      </c>
      <c r="ANG4" s="89">
        <f>ANF5</f>
        <v/>
      </c>
      <c r="ANH4" s="89">
        <f>ANG5</f>
        <v/>
      </c>
      <c r="ANI4" s="89">
        <f>ANH5</f>
        <v/>
      </c>
      <c r="ANJ4" s="89">
        <f>ANI5</f>
        <v/>
      </c>
      <c r="ANK4" s="89">
        <f>ANJ5</f>
        <v/>
      </c>
      <c r="ANL4" s="89">
        <f>ANK5</f>
        <v/>
      </c>
      <c r="ANM4" s="89">
        <f>ANL5</f>
        <v/>
      </c>
      <c r="ANN4" s="89">
        <f>ANM5</f>
        <v/>
      </c>
      <c r="ANO4" s="89">
        <f>ANN5</f>
        <v/>
      </c>
      <c r="ANP4" s="89">
        <f>ANO5</f>
        <v/>
      </c>
      <c r="ANQ4" s="89">
        <f>ANP5</f>
        <v/>
      </c>
      <c r="ANR4" s="89">
        <f>ANQ5</f>
        <v/>
      </c>
      <c r="ANS4" s="89">
        <f>ANR5</f>
        <v/>
      </c>
      <c r="ANT4" s="89">
        <f>ANS5</f>
        <v/>
      </c>
      <c r="ANU4" s="89">
        <f>ANT5</f>
        <v/>
      </c>
      <c r="ANV4" s="89">
        <f>ANU5</f>
        <v/>
      </c>
      <c r="ANW4" s="89">
        <f>ANV5</f>
        <v/>
      </c>
      <c r="ANX4" s="89">
        <f>ANW5</f>
        <v/>
      </c>
      <c r="ANY4" s="89">
        <f>ANX5</f>
        <v/>
      </c>
      <c r="ANZ4" s="89">
        <f>ANY5</f>
        <v/>
      </c>
      <c r="AOA4" s="89">
        <f>ANZ5</f>
        <v/>
      </c>
      <c r="AOB4" s="89">
        <f>AOA5</f>
        <v/>
      </c>
      <c r="AOC4" s="89">
        <f>AOB5</f>
        <v/>
      </c>
      <c r="AOD4" s="89" t="n">
        <v>1692332.2</v>
      </c>
      <c r="AOE4" t="n">
        <v>1692332.2</v>
      </c>
      <c r="AOF4" t="n">
        <v>1696506.241</v>
      </c>
    </row>
    <row r="5">
      <c r="A5" s="157" t="n"/>
      <c r="C5" s="47" t="inlineStr">
        <is>
          <t>CLOSING</t>
        </is>
      </c>
      <c r="D5" s="48" t="n">
        <v>907256.357</v>
      </c>
      <c r="E5" s="48" t="n">
        <v>908068.852</v>
      </c>
      <c r="F5" s="48" t="n">
        <v>909104.4939999999</v>
      </c>
      <c r="G5" s="48" t="n">
        <v>910384.291</v>
      </c>
      <c r="H5" s="48" t="n">
        <v>911385.736</v>
      </c>
      <c r="I5" s="48" t="n">
        <v>912644.041</v>
      </c>
      <c r="J5" s="48" t="n">
        <v>913712.844</v>
      </c>
      <c r="K5" s="48" t="n">
        <v>914547.71</v>
      </c>
      <c r="L5" s="48" t="n">
        <v>915395.768</v>
      </c>
      <c r="M5" s="48" t="n">
        <v>916317.002</v>
      </c>
      <c r="N5" s="48" t="n">
        <v>917302.661</v>
      </c>
      <c r="O5" s="48" t="n">
        <v>918492.755</v>
      </c>
      <c r="P5" s="48" t="n">
        <v>919546.202</v>
      </c>
      <c r="Q5" s="48" t="n">
        <v>920620.876</v>
      </c>
      <c r="R5" s="48" t="n">
        <v>921685.274</v>
      </c>
      <c r="S5" s="48" t="n">
        <v>922665.669</v>
      </c>
      <c r="T5" s="48" t="n">
        <v>923703.77</v>
      </c>
      <c r="U5" s="48" t="n">
        <v>924812.213</v>
      </c>
      <c r="V5" s="48" t="n">
        <v>925977.472</v>
      </c>
      <c r="W5" s="48" t="n">
        <v>926937.637</v>
      </c>
      <c r="X5" s="48" t="n">
        <v>927664.692</v>
      </c>
      <c r="Y5" s="48" t="n">
        <v>928482.126</v>
      </c>
      <c r="Z5" s="48" t="n">
        <v>929366.719</v>
      </c>
      <c r="AA5" s="48" t="n">
        <v>930211.633</v>
      </c>
      <c r="AB5" s="48" t="n">
        <v>931558.713</v>
      </c>
      <c r="AC5" s="48" t="n">
        <v>932696.74</v>
      </c>
      <c r="AD5" s="48" t="n">
        <v>933746.188</v>
      </c>
      <c r="AE5" s="48" t="n">
        <v>934596.997</v>
      </c>
      <c r="AF5" s="48" t="n">
        <v>935497.536</v>
      </c>
      <c r="AG5" s="48" t="n">
        <v>936535.77</v>
      </c>
      <c r="AH5" s="48" t="n">
        <v>937530.7929999999</v>
      </c>
      <c r="AI5" s="49" t="n"/>
      <c r="AJ5" s="48" t="n">
        <v>938749.917</v>
      </c>
      <c r="AK5" s="48" t="n">
        <v>939940.939</v>
      </c>
      <c r="AL5" s="48" t="n">
        <v>940865.647</v>
      </c>
      <c r="AM5" s="48" t="n">
        <v>941852.241</v>
      </c>
      <c r="AN5" s="48" t="n">
        <v>942823.637</v>
      </c>
      <c r="AO5" s="48" t="n">
        <v>943615.389</v>
      </c>
      <c r="AP5" s="48" t="n">
        <v>944808.951</v>
      </c>
      <c r="AQ5" s="48" t="n">
        <v>945946.392</v>
      </c>
      <c r="AR5" s="48" t="n">
        <v>947032.88</v>
      </c>
      <c r="AS5" s="48" t="n">
        <v>947889.358</v>
      </c>
      <c r="AT5" s="48" t="n">
        <v>948715.1899999999</v>
      </c>
      <c r="AU5" s="48" t="n">
        <v>949408.498</v>
      </c>
      <c r="AV5" s="48" t="n">
        <v>950396.298</v>
      </c>
      <c r="AW5" s="48" t="n">
        <v>951221.414</v>
      </c>
      <c r="AX5" s="48" t="n">
        <v>952193.755</v>
      </c>
      <c r="AY5" s="48" t="n">
        <v>953175.647</v>
      </c>
      <c r="AZ5" s="48" t="n">
        <v>953900.0550000001</v>
      </c>
      <c r="BA5" s="48" t="n">
        <v>954963.072</v>
      </c>
      <c r="BB5" s="48" t="n">
        <v>955684.425</v>
      </c>
      <c r="BC5" s="48" t="n">
        <v>956578.798</v>
      </c>
      <c r="BD5" s="48" t="n">
        <v>957498.778</v>
      </c>
      <c r="BE5" s="48" t="n">
        <v>958472.986</v>
      </c>
      <c r="BF5" s="48" t="n">
        <v>959458.237</v>
      </c>
      <c r="BG5" s="48" t="n">
        <v>960386.237</v>
      </c>
      <c r="BH5" s="48" t="n">
        <v>961264.404</v>
      </c>
      <c r="BI5" s="48" t="n">
        <v>961985.713</v>
      </c>
      <c r="BJ5" s="48" t="n">
        <v>962928.1800000001</v>
      </c>
      <c r="BK5" s="48" t="n">
        <v>963729.86</v>
      </c>
      <c r="BL5" s="48" t="n">
        <v>964598.398</v>
      </c>
      <c r="BM5" s="48" t="n">
        <v>965561.071</v>
      </c>
      <c r="BO5" s="48" t="n">
        <v>966414.895</v>
      </c>
      <c r="BP5" s="48" t="n">
        <v>967216.6189999999</v>
      </c>
      <c r="BQ5" s="48" t="n">
        <v>968053.155</v>
      </c>
      <c r="BR5" s="48" t="n">
        <v>968888.3320000001</v>
      </c>
      <c r="BS5" s="48" t="n">
        <v>969744.602</v>
      </c>
      <c r="BT5" s="48" t="n">
        <v>970547.9350000001</v>
      </c>
      <c r="BU5" s="48" t="n">
        <v>971309.597</v>
      </c>
      <c r="BV5" s="48" t="n">
        <v>972151.974</v>
      </c>
      <c r="BW5" s="48" t="n">
        <v>973006.645</v>
      </c>
      <c r="BX5" s="48" t="n">
        <v>973806.625</v>
      </c>
      <c r="BY5" s="48" t="n">
        <v>974519.414</v>
      </c>
      <c r="BZ5" s="48" t="n">
        <v>975328.395</v>
      </c>
      <c r="CA5" s="48" t="n">
        <v>976268.455</v>
      </c>
      <c r="CB5" s="48" t="n">
        <v>977141.718</v>
      </c>
      <c r="CC5" s="48" t="n">
        <v>977953.801</v>
      </c>
      <c r="CD5" s="48" t="n">
        <v>978778.307</v>
      </c>
      <c r="CE5" s="48" t="n">
        <v>979609.002</v>
      </c>
      <c r="CF5" s="48" t="n">
        <v>980441.9080000001</v>
      </c>
      <c r="CG5" s="48" t="n">
        <v>981197.13</v>
      </c>
      <c r="CH5" s="48" t="n">
        <v>982081.867</v>
      </c>
      <c r="CI5" s="48" t="n">
        <v>982774.49</v>
      </c>
      <c r="CJ5" s="48" t="n">
        <v>983699.7439999999</v>
      </c>
      <c r="CK5" s="48" t="n">
        <v>984413.023</v>
      </c>
      <c r="CL5" s="48" t="n">
        <v>985173.343</v>
      </c>
      <c r="CM5" s="48" t="n">
        <v>985999.327</v>
      </c>
      <c r="CN5" s="48" t="n">
        <v>986811.295</v>
      </c>
      <c r="CO5" s="48" t="n">
        <v>987728.103</v>
      </c>
      <c r="CP5" s="48" t="n">
        <v>988561.499</v>
      </c>
      <c r="CQ5" s="48" t="n">
        <v>989356.233</v>
      </c>
      <c r="CR5" s="48" t="n">
        <v>990199.6360000001</v>
      </c>
      <c r="CS5" s="48" t="n">
        <v>990943.461</v>
      </c>
      <c r="CU5" s="48" t="n">
        <v>991763.453</v>
      </c>
      <c r="CV5" s="48" t="n">
        <v>992569.999</v>
      </c>
      <c r="CW5" s="48" t="n">
        <v>993461.73</v>
      </c>
      <c r="CX5" s="48" t="n">
        <v>994413.545</v>
      </c>
      <c r="CY5" s="48" t="n">
        <v>995545.6850000001</v>
      </c>
      <c r="CZ5" s="48" t="n">
        <v>996445.187</v>
      </c>
      <c r="DA5" s="48" t="n">
        <v>997250.35</v>
      </c>
      <c r="DB5" s="48" t="n">
        <v>997900.302</v>
      </c>
      <c r="DC5" s="48" t="n">
        <v>998724.301</v>
      </c>
      <c r="DD5" s="48" t="n">
        <v>999632.379</v>
      </c>
      <c r="DE5" s="48" t="n">
        <v>1000484.082</v>
      </c>
      <c r="DF5" s="48" t="n">
        <v>1001218.152</v>
      </c>
      <c r="DG5" s="48" t="n">
        <v>1002006.125</v>
      </c>
      <c r="DH5" s="48" t="n">
        <v>1002903.426</v>
      </c>
      <c r="DI5" s="48" t="n">
        <v>1003651.395</v>
      </c>
      <c r="DJ5" s="48" t="n">
        <v>1004201.931</v>
      </c>
      <c r="DK5" s="48" t="n">
        <v>1004779.577</v>
      </c>
      <c r="DL5" s="48" t="n">
        <v>1005571.502</v>
      </c>
      <c r="DM5" s="48" t="n">
        <v>1006285.315</v>
      </c>
      <c r="DN5" s="48" t="n">
        <v>1007109.266</v>
      </c>
      <c r="DO5" s="48" t="n">
        <v>1007750.379</v>
      </c>
      <c r="DP5" s="48" t="n">
        <v>1008548.073</v>
      </c>
      <c r="DQ5" s="48" t="n">
        <v>1009432.628</v>
      </c>
      <c r="DR5" s="48" t="n">
        <v>1010248.95</v>
      </c>
      <c r="DS5" s="48" t="n">
        <v>1011114.785</v>
      </c>
      <c r="DT5" s="48" t="n">
        <v>1011886.388</v>
      </c>
      <c r="DU5" s="48" t="n">
        <v>1012487.221</v>
      </c>
      <c r="DV5" s="48" t="n">
        <v>1013147.011</v>
      </c>
      <c r="DW5" s="48" t="n">
        <v>1013670.719</v>
      </c>
      <c r="DX5" s="48" t="n">
        <v>1014373.531</v>
      </c>
      <c r="DZ5" s="48" t="n">
        <v>1015286.605</v>
      </c>
      <c r="EA5" s="48" t="n">
        <v>1015993.58</v>
      </c>
      <c r="EB5" s="48" t="n">
        <v>1016633.034</v>
      </c>
      <c r="EC5" s="48" t="n">
        <v>1017254.913</v>
      </c>
      <c r="ED5" s="48" t="n">
        <v>1017940.745</v>
      </c>
      <c r="EE5" s="48" t="n">
        <v>1018636.455</v>
      </c>
      <c r="EF5" s="48" t="n">
        <v>1019346.776</v>
      </c>
      <c r="EG5" s="48" t="n">
        <v>1020246.419</v>
      </c>
      <c r="EH5" s="48" t="n">
        <v>1021152.947</v>
      </c>
      <c r="EI5" s="48" t="n">
        <v>1021981.735</v>
      </c>
      <c r="EJ5" s="48" t="n">
        <v>1022719.053</v>
      </c>
      <c r="EK5" s="48" t="n">
        <v>1023452.278</v>
      </c>
      <c r="EL5" s="48" t="n">
        <v>1024253.572</v>
      </c>
      <c r="EM5" s="48" t="n">
        <v>1025036.028</v>
      </c>
      <c r="EN5" s="48" t="n">
        <v>1025877.363</v>
      </c>
      <c r="EO5" s="48" t="n">
        <v>1026926.989</v>
      </c>
      <c r="EP5" s="48" t="n">
        <v>1027799.241</v>
      </c>
      <c r="EQ5" s="48" t="n">
        <v>1028704.432</v>
      </c>
      <c r="ER5" s="48" t="n">
        <v>1029392.03</v>
      </c>
      <c r="ES5" s="48" t="n">
        <v>1030225.193</v>
      </c>
      <c r="ET5" s="48" t="n">
        <v>1031150.268</v>
      </c>
      <c r="EU5" s="48" t="n">
        <v>1032270.289</v>
      </c>
      <c r="EV5" s="48" t="n">
        <v>1033341.525</v>
      </c>
      <c r="EW5" s="48" t="n">
        <v>1034436.272</v>
      </c>
      <c r="EX5" s="48" t="n">
        <v>1035201.971</v>
      </c>
      <c r="EY5" s="48" t="n">
        <v>1035857.051</v>
      </c>
      <c r="EZ5" s="48" t="n">
        <v>1036542.071</v>
      </c>
      <c r="FA5" s="48" t="n">
        <v>1037187.388</v>
      </c>
      <c r="FB5" s="48" t="n">
        <v>1038025.235</v>
      </c>
      <c r="FC5" s="48" t="n">
        <v>1038820.435</v>
      </c>
      <c r="FD5" s="48" t="n">
        <v>1039685.752</v>
      </c>
      <c r="FE5" s="126" t="n"/>
      <c r="FF5" s="48" t="n">
        <v>1040471.764</v>
      </c>
      <c r="FG5" s="48" t="n">
        <v>1041268.44</v>
      </c>
      <c r="FH5" s="48" t="n">
        <v>1041960.088</v>
      </c>
      <c r="FI5" s="48" t="n">
        <v>1042907.445</v>
      </c>
      <c r="FJ5" s="48" t="n">
        <v>1043692.031</v>
      </c>
      <c r="FK5" s="48" t="n">
        <v>1044553.08</v>
      </c>
      <c r="FL5" s="48" t="n">
        <v>1045334.774</v>
      </c>
      <c r="FM5" s="48" t="n">
        <v>1046130.528</v>
      </c>
      <c r="FN5" s="48" t="n">
        <v>1046883.013</v>
      </c>
      <c r="FO5" s="48" t="n">
        <v>1047657.148</v>
      </c>
      <c r="FP5" s="48" t="n">
        <v>1048497.27</v>
      </c>
      <c r="FQ5" s="48" t="n">
        <v>1049375.471</v>
      </c>
      <c r="FR5" s="48" t="n">
        <v>1050201.901</v>
      </c>
      <c r="FS5" s="48" t="n">
        <v>1050855.641</v>
      </c>
      <c r="FT5" s="48" t="n">
        <v>1051523.905</v>
      </c>
      <c r="FU5" s="48" t="n">
        <v>1052298.137</v>
      </c>
      <c r="FV5" s="48" t="n">
        <v>1052866.548</v>
      </c>
      <c r="FW5" s="48" t="n">
        <v>1053619.374</v>
      </c>
      <c r="FX5" s="48" t="n">
        <v>1054374.404</v>
      </c>
      <c r="FY5" s="48" t="n">
        <v>1055272.101</v>
      </c>
      <c r="FZ5" s="48" t="n">
        <v>1056022.785</v>
      </c>
      <c r="GA5" s="48" t="n">
        <v>1056686.36</v>
      </c>
      <c r="GB5" s="48" t="n">
        <v>1057540.602</v>
      </c>
      <c r="GC5" s="48" t="n">
        <v>1058279.84</v>
      </c>
      <c r="GD5" s="48" t="n">
        <v>1059208.794</v>
      </c>
      <c r="GE5" s="48" t="n">
        <v>1060048.926</v>
      </c>
      <c r="GF5" s="48" t="n">
        <v>1060633.364</v>
      </c>
      <c r="GG5" s="48" t="n">
        <v>1061350.92</v>
      </c>
      <c r="GH5" s="48" t="n">
        <v>1062225.026</v>
      </c>
      <c r="GI5" s="48" t="n">
        <v>1062933.343</v>
      </c>
      <c r="GJ5" s="48" t="n">
        <v>1063622.884</v>
      </c>
      <c r="GK5" s="126" t="n"/>
      <c r="GL5" s="48" t="n">
        <v>1064470.501</v>
      </c>
      <c r="GM5" s="48" t="n">
        <v>1065333.577</v>
      </c>
      <c r="GN5" s="48" t="n">
        <v>1066493.436</v>
      </c>
      <c r="GO5" s="48" t="n">
        <v>1067357.697</v>
      </c>
      <c r="GP5" s="48" t="n">
        <v>1068212.621</v>
      </c>
      <c r="GQ5" s="48" t="n">
        <v>1069183.498</v>
      </c>
      <c r="GR5" s="48" t="n">
        <v>1070099.127</v>
      </c>
      <c r="GS5" s="48" t="n">
        <v>1070819.118</v>
      </c>
      <c r="GT5" s="48" t="n">
        <v>1071860.204</v>
      </c>
      <c r="GU5" s="48" t="n">
        <v>1072555.657</v>
      </c>
      <c r="GV5" s="48" t="n">
        <v>1073302.962</v>
      </c>
      <c r="GW5" s="48" t="n">
        <v>1074294.923</v>
      </c>
      <c r="GX5" s="48" t="n">
        <v>1075239.617</v>
      </c>
      <c r="GY5" s="48" t="n">
        <v>1076027.096</v>
      </c>
      <c r="GZ5" s="48" t="n">
        <v>1076861.767</v>
      </c>
      <c r="HA5" s="48" t="n">
        <v>1077642.848</v>
      </c>
      <c r="HB5" s="48" t="n">
        <v>1078578.396</v>
      </c>
      <c r="HC5" s="48" t="n">
        <v>1079419.308</v>
      </c>
      <c r="HD5" s="48" t="n">
        <v>1080168.866</v>
      </c>
      <c r="HE5" s="48" t="n">
        <v>1080963.834</v>
      </c>
      <c r="HF5" s="48" t="n">
        <v>1081845.582</v>
      </c>
      <c r="HG5" s="48" t="n">
        <v>1082533.361</v>
      </c>
      <c r="HH5" s="48" t="n">
        <v>1083134.962</v>
      </c>
      <c r="HI5" s="48" t="n">
        <v>1083935.58</v>
      </c>
      <c r="HJ5" s="48" t="n">
        <v>1084604.057</v>
      </c>
      <c r="HK5" s="48" t="n">
        <v>1085550.759</v>
      </c>
      <c r="HL5" s="48" t="n">
        <v>1086216.452</v>
      </c>
      <c r="HM5" s="48" t="n">
        <v>1087072.914</v>
      </c>
      <c r="HN5" s="48" t="n">
        <v>1087999.866</v>
      </c>
      <c r="HO5" s="126" t="n"/>
      <c r="HP5" s="48" t="n">
        <v>1088958.264</v>
      </c>
      <c r="HQ5" s="48" t="n">
        <v>1089891.217</v>
      </c>
      <c r="HR5" s="48" t="n">
        <v>1090865.349</v>
      </c>
      <c r="HS5" s="48" t="n">
        <v>1091850.124</v>
      </c>
      <c r="HT5" s="48" t="n">
        <v>1092757.522</v>
      </c>
      <c r="HU5" s="48" t="n">
        <v>1093542.519</v>
      </c>
      <c r="HV5" s="48" t="n">
        <v>1094532.763</v>
      </c>
      <c r="HW5" s="48" t="n">
        <v>1095466.642</v>
      </c>
      <c r="HX5" s="48" t="n">
        <v>1096218.404</v>
      </c>
      <c r="HY5" s="48" t="n">
        <v>1097041.852</v>
      </c>
      <c r="HZ5" s="48" t="n">
        <v>1097858.575</v>
      </c>
      <c r="IA5" s="48" t="n">
        <v>1098508.749</v>
      </c>
      <c r="IB5" s="48" t="n">
        <v>1099263.208</v>
      </c>
      <c r="IC5" s="48" t="n">
        <v>1099863.031</v>
      </c>
      <c r="ID5" s="48" t="n">
        <v>1100659.77</v>
      </c>
      <c r="IE5" s="48" t="n">
        <v>1101431.05</v>
      </c>
      <c r="IF5" s="48" t="n">
        <v>1102136.157</v>
      </c>
      <c r="IG5" s="48" t="n">
        <v>1102947.005</v>
      </c>
      <c r="IH5" s="48" t="n">
        <v>1103765.02</v>
      </c>
      <c r="II5" s="48" t="n">
        <v>1104565.254</v>
      </c>
      <c r="IJ5" s="48" t="n">
        <v>1105217.144</v>
      </c>
      <c r="IK5" s="48" t="n">
        <v>1106084.621</v>
      </c>
      <c r="IL5" s="48" t="n">
        <v>1106812.279</v>
      </c>
      <c r="IM5" s="48" t="n">
        <v>1107615.3</v>
      </c>
      <c r="IN5" s="48" t="n">
        <v>1108498.819</v>
      </c>
      <c r="IO5" s="48" t="n">
        <v>1109221.903</v>
      </c>
      <c r="IP5" s="48" t="n">
        <v>1110050.546</v>
      </c>
      <c r="IQ5" s="48" t="n">
        <v>1110924.031</v>
      </c>
      <c r="IR5" s="48" t="n">
        <v>1111642.164</v>
      </c>
      <c r="IS5" s="48" t="n">
        <v>1112550.598</v>
      </c>
      <c r="IT5" s="48" t="n">
        <v>1113166.75</v>
      </c>
      <c r="IU5" s="126" t="n"/>
      <c r="IV5" s="48" t="n">
        <v>1113854.433</v>
      </c>
      <c r="IW5" s="48" t="n">
        <v>1114684.328</v>
      </c>
      <c r="IX5" s="48" t="n">
        <v>1115334.817</v>
      </c>
      <c r="IY5" s="48" t="n">
        <v>1115999.369</v>
      </c>
      <c r="IZ5" s="48" t="n">
        <v>1116784.818</v>
      </c>
      <c r="JA5" s="48" t="n">
        <v>1117750.328</v>
      </c>
      <c r="JB5" s="48" t="n">
        <v>1118519.704</v>
      </c>
      <c r="JC5" s="48" t="n">
        <v>1119326.305</v>
      </c>
      <c r="JD5" s="48" t="n">
        <v>1120046.274</v>
      </c>
      <c r="JE5" s="48" t="n">
        <v>1120713.888</v>
      </c>
      <c r="JF5" s="48" t="n">
        <v>1121295.27</v>
      </c>
      <c r="JG5" s="48" t="n">
        <v>1122093.147</v>
      </c>
      <c r="JH5" s="48" t="n">
        <v>1122866.139</v>
      </c>
      <c r="JI5" s="48" t="n">
        <v>1123422.438</v>
      </c>
      <c r="JJ5" s="48" t="n">
        <v>1124277.66</v>
      </c>
      <c r="JK5" s="48" t="n">
        <v>1124903.993</v>
      </c>
      <c r="JL5" s="48" t="n">
        <v>1125543.817</v>
      </c>
      <c r="JM5" s="48" t="n">
        <v>1126076.806</v>
      </c>
      <c r="JN5" s="48" t="n">
        <v>1126772.774</v>
      </c>
      <c r="JO5" s="48" t="n">
        <v>1127383.343</v>
      </c>
      <c r="JP5" s="48" t="n">
        <v>1128083.864</v>
      </c>
      <c r="JQ5" s="48" t="n">
        <v>1128891.726</v>
      </c>
      <c r="JR5" s="48" t="n">
        <v>1129548.811</v>
      </c>
      <c r="JS5" s="48" t="n">
        <v>1130314.424</v>
      </c>
      <c r="JT5" s="48" t="n">
        <v>1131000.975</v>
      </c>
      <c r="JU5" s="48" t="n">
        <v>1131783.159</v>
      </c>
      <c r="JV5" s="48" t="n">
        <v>1132805.505</v>
      </c>
      <c r="JW5" s="48" t="n">
        <v>1133628.842</v>
      </c>
      <c r="JX5" s="48" t="n">
        <v>1134444.771</v>
      </c>
      <c r="JY5" s="48" t="n">
        <v>1135056.666</v>
      </c>
      <c r="JZ5" s="126" t="n"/>
      <c r="KA5" s="48" t="n">
        <v>1135956.967</v>
      </c>
      <c r="KB5" s="48" t="n">
        <v>1136654.479</v>
      </c>
      <c r="KC5" s="48" t="n">
        <v>1137375.65</v>
      </c>
      <c r="KD5" s="48" t="n">
        <v>1138282.515</v>
      </c>
      <c r="KE5" s="48" t="n">
        <v>1139070.514</v>
      </c>
      <c r="KF5" s="48" t="n">
        <v>1139844.61</v>
      </c>
      <c r="KG5" s="48" t="n">
        <v>1140620.468</v>
      </c>
      <c r="KH5" s="48" t="n">
        <v>1141220.179</v>
      </c>
      <c r="KI5" s="48" t="n">
        <v>1141917.706</v>
      </c>
      <c r="KJ5" s="48" t="n">
        <v>1142739.223</v>
      </c>
      <c r="KK5" s="48" t="n">
        <v>1143631.46</v>
      </c>
      <c r="KL5" s="48" t="n">
        <v>1144320.93</v>
      </c>
      <c r="KM5" s="48" t="n">
        <v>1145191.346</v>
      </c>
      <c r="KN5" s="48" t="n">
        <v>1145868.299</v>
      </c>
      <c r="KO5" s="48" t="n">
        <v>1146452.496</v>
      </c>
      <c r="KP5" s="48" t="n">
        <v>1147303.246</v>
      </c>
      <c r="KQ5" s="48" t="n">
        <v>1148055.305</v>
      </c>
      <c r="KR5" s="48" t="n">
        <v>1148915.615</v>
      </c>
      <c r="KS5" s="48" t="n">
        <v>1149693.146</v>
      </c>
      <c r="KT5" s="48" t="n">
        <v>1150529.509</v>
      </c>
      <c r="KU5" s="48" t="n">
        <v>1151155.867</v>
      </c>
      <c r="KV5" s="48" t="n">
        <v>1151854.981</v>
      </c>
      <c r="KW5" s="48" t="n">
        <v>1152639.5</v>
      </c>
      <c r="KX5" s="48" t="n">
        <v>1153464.051</v>
      </c>
      <c r="KY5" s="48" t="n">
        <v>1154279.731</v>
      </c>
      <c r="KZ5" s="48" t="n">
        <v>1155010.32</v>
      </c>
      <c r="LA5" s="48" t="n">
        <v>1155724.139</v>
      </c>
      <c r="LB5" s="48" t="n">
        <v>1156535.365</v>
      </c>
      <c r="LC5" s="48" t="n">
        <v>1157259.811</v>
      </c>
      <c r="LD5" s="48" t="n">
        <v>1158024.103</v>
      </c>
      <c r="LE5" s="48" t="n">
        <v>1158991.973</v>
      </c>
      <c r="LF5" s="126" t="n"/>
      <c r="LG5" s="48" t="n">
        <v>1159784.413</v>
      </c>
      <c r="LH5" s="48" t="n">
        <v>1160364.875</v>
      </c>
      <c r="LI5" s="48" t="n">
        <v>1161248.675</v>
      </c>
      <c r="LJ5" s="48" t="n">
        <v>1162145.918</v>
      </c>
      <c r="LK5" s="48" t="n">
        <v>1162876.826</v>
      </c>
      <c r="LL5" s="48" t="n">
        <v>1163637.353</v>
      </c>
      <c r="LM5" s="48" t="n">
        <v>1164406.871</v>
      </c>
      <c r="LN5" s="48" t="n">
        <v>1165439.47</v>
      </c>
      <c r="LO5" s="48" t="n">
        <v>1166463.063</v>
      </c>
      <c r="LP5" s="48" t="n">
        <v>1167341.85</v>
      </c>
      <c r="LQ5" s="48" t="n">
        <v>1168165.329</v>
      </c>
      <c r="LR5" s="48" t="n">
        <v>1168962.422</v>
      </c>
      <c r="LS5" s="48" t="n">
        <v>1169906.927</v>
      </c>
      <c r="LT5" s="48" t="n">
        <v>1170668.854</v>
      </c>
      <c r="LU5" s="48" t="n">
        <v>1171691.405</v>
      </c>
      <c r="LV5" s="48" t="n">
        <v>1172506.511</v>
      </c>
      <c r="LW5" s="48" t="n">
        <v>1173335.511</v>
      </c>
      <c r="LX5" s="48" t="n">
        <v>1174088.587</v>
      </c>
      <c r="LY5" s="48" t="n">
        <v>1174841.171</v>
      </c>
      <c r="LZ5" s="48" t="n">
        <v>1175577.93</v>
      </c>
      <c r="MA5" s="48" t="n">
        <v>1176399.296</v>
      </c>
      <c r="MB5" s="48" t="n">
        <v>1177122.988</v>
      </c>
      <c r="MC5" s="48" t="n">
        <v>1177921.743</v>
      </c>
      <c r="MD5" s="48" t="n">
        <v>1178945.208</v>
      </c>
      <c r="ME5" s="48" t="n">
        <v>1179649.147</v>
      </c>
      <c r="MF5" s="48" t="n">
        <v>1180494.207</v>
      </c>
      <c r="MG5" s="48" t="n">
        <v>1181070.95</v>
      </c>
      <c r="MH5" s="48" t="n">
        <v>1181947.448</v>
      </c>
      <c r="MI5" s="48" t="n">
        <v>1182762.323</v>
      </c>
      <c r="MJ5" s="48" t="n">
        <v>1183692.226</v>
      </c>
      <c r="MK5" s="126" t="n"/>
      <c r="ML5" s="48" t="n">
        <v>1184703.259</v>
      </c>
      <c r="MM5" s="48" t="n">
        <v>1185513.872</v>
      </c>
      <c r="MN5" s="48" t="n">
        <v>1186268.174</v>
      </c>
      <c r="MO5" s="48" t="n">
        <v>1186915.117</v>
      </c>
      <c r="MP5" s="48" t="n">
        <v>1187869.561</v>
      </c>
      <c r="MQ5" s="48" t="n">
        <v>1188770.786</v>
      </c>
      <c r="MR5" s="48" t="n">
        <v>1189546.616</v>
      </c>
      <c r="MS5" s="48" t="n">
        <v>1190400.827</v>
      </c>
      <c r="MT5" s="48" t="n">
        <v>1191200.189</v>
      </c>
      <c r="MU5" s="48" t="n">
        <v>1191923.741</v>
      </c>
      <c r="MV5" s="48" t="n">
        <v>1192703.232</v>
      </c>
      <c r="MW5" s="48" t="n">
        <v>1193429.53</v>
      </c>
      <c r="MX5" s="48" t="n">
        <v>1194323.72</v>
      </c>
      <c r="MY5" s="48" t="n">
        <v>1195022.9</v>
      </c>
      <c r="MZ5" s="48" t="n">
        <v>1195785.756</v>
      </c>
      <c r="NA5" s="48" t="n">
        <v>1196536.17</v>
      </c>
      <c r="NB5" s="48" t="n">
        <v>1197228.78</v>
      </c>
      <c r="NC5" s="48" t="n">
        <v>1198071.883</v>
      </c>
      <c r="ND5" s="48" t="n">
        <v>1198870.387</v>
      </c>
      <c r="NE5" s="48" t="n">
        <v>1199777.548</v>
      </c>
      <c r="NF5" s="48" t="n">
        <v>1200622.717</v>
      </c>
      <c r="NG5" s="48" t="n">
        <v>1201405.977</v>
      </c>
      <c r="NH5" s="48" t="n">
        <v>1202087.137</v>
      </c>
      <c r="NI5" s="48" t="n">
        <v>1202752.024</v>
      </c>
      <c r="NJ5" s="48" t="n">
        <v>1203555.219</v>
      </c>
      <c r="NK5" s="48" t="n">
        <v>1204310.545</v>
      </c>
      <c r="NL5" s="48" t="n">
        <v>1205358.264</v>
      </c>
      <c r="NM5" s="48" t="n">
        <v>1205998.705</v>
      </c>
      <c r="NN5" s="48" t="n">
        <v>1206942.704</v>
      </c>
      <c r="NO5" s="48" t="n">
        <v>1207754.897</v>
      </c>
      <c r="NP5" s="48" t="n">
        <v>1208405.574</v>
      </c>
      <c r="NQ5" s="126" t="n"/>
      <c r="NR5" s="48" t="n">
        <v>1209225.586</v>
      </c>
      <c r="NS5" s="48" t="n">
        <v>1210007.509</v>
      </c>
      <c r="NT5" s="48" t="n">
        <v>1210931.884</v>
      </c>
      <c r="NU5" s="48" t="n">
        <v>1211765.992</v>
      </c>
      <c r="NV5" s="48" t="n">
        <v>1212528.622</v>
      </c>
      <c r="NW5" s="48" t="n">
        <v>1213449.951</v>
      </c>
      <c r="NX5" s="48" t="n">
        <v>1214213.935</v>
      </c>
      <c r="NY5" s="48" t="n">
        <v>1215050.359</v>
      </c>
      <c r="NZ5" s="48" t="n">
        <v>1215970.368</v>
      </c>
      <c r="OA5" s="48" t="n">
        <v>1216910.291</v>
      </c>
      <c r="OB5" s="48" t="n">
        <v>1217508.73</v>
      </c>
      <c r="OC5" s="48" t="n">
        <v>1218349.706</v>
      </c>
      <c r="OD5" s="48" t="n">
        <v>1219155.341</v>
      </c>
      <c r="OE5" s="48" t="n">
        <v>1220009.539</v>
      </c>
      <c r="OF5" s="48" t="n">
        <v>1220729.947</v>
      </c>
      <c r="OG5" s="48" t="n">
        <v>1221501.925</v>
      </c>
      <c r="OH5" s="48" t="n">
        <v>1222466.479</v>
      </c>
      <c r="OI5" s="48" t="n">
        <v>1223269.731</v>
      </c>
      <c r="OJ5" s="48" t="n">
        <v>1224060.759</v>
      </c>
      <c r="OK5" s="48" t="n">
        <v>1224798.414</v>
      </c>
      <c r="OL5" s="48" t="n">
        <v>1225496.964</v>
      </c>
      <c r="OM5" s="48" t="n">
        <v>1226345.769</v>
      </c>
      <c r="ON5" s="48" t="n">
        <v>1227074.114</v>
      </c>
      <c r="OO5" s="48" t="n">
        <v>1227967.264</v>
      </c>
      <c r="OP5" s="48" t="n">
        <v>1228549.998</v>
      </c>
      <c r="OQ5" s="48" t="n">
        <v>1229261.13</v>
      </c>
      <c r="OR5" s="48" t="n">
        <v>1230047.337</v>
      </c>
      <c r="OS5" s="48" t="n">
        <v>1230704.456</v>
      </c>
      <c r="OT5" s="48" t="n">
        <v>1231529.419</v>
      </c>
      <c r="OU5" s="48" t="n">
        <v>1232313.52</v>
      </c>
      <c r="OV5" s="48" t="n">
        <v>1233154.538</v>
      </c>
      <c r="OW5" s="126" t="n"/>
      <c r="OX5" s="48" t="n">
        <v>1233865.27</v>
      </c>
      <c r="OY5" s="48" t="n">
        <v>1234672.649</v>
      </c>
      <c r="OZ5" s="48" t="n">
        <v>1235408.915</v>
      </c>
      <c r="PA5" s="48" t="n">
        <v>1236157.927</v>
      </c>
      <c r="PB5" s="48" t="n">
        <v>1236827.189</v>
      </c>
      <c r="PC5" s="48" t="n">
        <v>1237607.3</v>
      </c>
      <c r="PD5" s="48" t="n">
        <v>1238300.268</v>
      </c>
      <c r="PE5" s="48" t="n">
        <v>1239057.144</v>
      </c>
      <c r="PF5" s="48" t="n">
        <v>1240000.254</v>
      </c>
      <c r="PG5" s="48" t="n">
        <v>1240858.999</v>
      </c>
      <c r="PH5" s="48" t="n">
        <v>1241560.415</v>
      </c>
      <c r="PI5" s="48" t="n">
        <v>1242236.311</v>
      </c>
      <c r="PJ5" s="48" t="n">
        <v>1243133.82</v>
      </c>
      <c r="PK5" s="48" t="n">
        <v>1243925.283</v>
      </c>
      <c r="PL5" s="48" t="n">
        <v>1244549.003</v>
      </c>
      <c r="PM5" s="48" t="n">
        <v>1245454.861</v>
      </c>
      <c r="PN5" s="48" t="n">
        <v>1246331.274</v>
      </c>
      <c r="PO5" s="48" t="n">
        <v>1247000.327</v>
      </c>
      <c r="PP5" s="48" t="n">
        <v>1247549.213</v>
      </c>
      <c r="PQ5" s="48" t="n">
        <v>1248268.078</v>
      </c>
      <c r="PR5" s="48" t="n">
        <v>1248879.998</v>
      </c>
      <c r="PS5" s="48" t="n">
        <v>1249497.07</v>
      </c>
      <c r="PT5" s="48" t="n">
        <v>1250214.488</v>
      </c>
      <c r="PU5" s="48" t="n">
        <v>1250943.038</v>
      </c>
      <c r="PV5" s="48" t="n">
        <v>1251623.128</v>
      </c>
      <c r="PW5" s="48" t="n">
        <v>1252194.227</v>
      </c>
      <c r="PX5" s="48" t="n">
        <v>1252915.268</v>
      </c>
      <c r="PY5" s="48" t="n">
        <v>1253595</v>
      </c>
      <c r="PZ5" s="48" t="n">
        <v>1253947.097</v>
      </c>
      <c r="QA5" s="48" t="n">
        <v>1254683.629</v>
      </c>
      <c r="QB5" s="126" t="n"/>
      <c r="QC5" s="48" t="n">
        <v>1255375.112</v>
      </c>
      <c r="QD5" s="48" t="n">
        <v>1255971.39</v>
      </c>
      <c r="QE5" s="48" t="n">
        <v>1256654.779</v>
      </c>
      <c r="QF5" s="48" t="n">
        <v>1257470.966</v>
      </c>
      <c r="QG5" s="48" t="n">
        <v>1258315</v>
      </c>
      <c r="QH5" s="48" t="n">
        <v>1258980.746</v>
      </c>
      <c r="QI5" s="48" t="n">
        <v>1259907.816</v>
      </c>
      <c r="QJ5" s="48" t="n">
        <v>1260625.016</v>
      </c>
      <c r="QK5" s="48" t="n">
        <v>1261369.878</v>
      </c>
      <c r="QL5" s="48" t="n">
        <v>1262063.078</v>
      </c>
      <c r="QM5" s="48" t="n">
        <v>1262985.315</v>
      </c>
      <c r="QN5" s="48" t="n">
        <v>1263852.84</v>
      </c>
      <c r="QO5" s="48" t="n">
        <v>1264640.78</v>
      </c>
      <c r="QP5" s="48" t="n">
        <v>1265550.062</v>
      </c>
      <c r="QQ5" s="48" t="n">
        <v>1266235.879</v>
      </c>
      <c r="QR5" s="48" t="n">
        <v>1266871.686</v>
      </c>
      <c r="QS5" s="48" t="n">
        <v>1267623.911</v>
      </c>
      <c r="QT5" s="48" t="n">
        <v>1268521.66</v>
      </c>
      <c r="QU5" s="48" t="n">
        <v>1269212.259</v>
      </c>
      <c r="QV5" s="48" t="n">
        <v>1270014.24</v>
      </c>
      <c r="QW5" s="48" t="n">
        <v>1270658.922</v>
      </c>
      <c r="QX5" s="48" t="n">
        <v>1271340.829</v>
      </c>
      <c r="QY5" s="48" t="n">
        <v>1272058.029</v>
      </c>
      <c r="QZ5" s="48" t="n">
        <v>1272718.838</v>
      </c>
      <c r="RA5" s="48" t="n">
        <v>1273533.89</v>
      </c>
      <c r="RB5" s="48" t="n">
        <v>1274327.267</v>
      </c>
      <c r="RC5" s="48" t="n">
        <v>1274947.367</v>
      </c>
      <c r="RD5" s="48" t="n">
        <v>1275628.667</v>
      </c>
      <c r="RE5" s="48" t="n">
        <v>1276246.589</v>
      </c>
      <c r="RF5" s="48" t="n">
        <v>1276794.048</v>
      </c>
      <c r="RG5" s="48" t="n">
        <v>1277512.355</v>
      </c>
      <c r="RH5" s="126" t="n"/>
      <c r="RI5" s="48" t="n">
        <v>1278303.083</v>
      </c>
      <c r="RJ5" s="48" t="n">
        <v>1279124.013</v>
      </c>
      <c r="RK5" s="48" t="n">
        <v>1279829.918</v>
      </c>
      <c r="RL5" s="48" t="n">
        <v>1280602.812</v>
      </c>
      <c r="RM5" s="48" t="n">
        <v>1281259.408</v>
      </c>
      <c r="RN5" s="48" t="n">
        <v>1281853.658</v>
      </c>
      <c r="RO5" s="48" t="n">
        <v>1282393.643</v>
      </c>
      <c r="RP5" s="48" t="n">
        <v>1283191.632</v>
      </c>
      <c r="RQ5" s="48" t="n">
        <v>1283844.068</v>
      </c>
      <c r="RR5" s="48" t="n">
        <v>1284639.068</v>
      </c>
      <c r="RS5" s="48" t="n">
        <v>1285336.876</v>
      </c>
      <c r="RT5" s="48" t="n">
        <v>1285988.57</v>
      </c>
      <c r="RU5" s="48" t="n">
        <v>1286675.55</v>
      </c>
      <c r="RV5" s="48" t="n">
        <v>1287192.915</v>
      </c>
      <c r="RW5" s="48" t="n">
        <v>1287834.614</v>
      </c>
      <c r="RX5" s="48" t="n">
        <v>1288546.662</v>
      </c>
      <c r="RY5" s="48" t="n">
        <v>1289170.028</v>
      </c>
      <c r="RZ5" s="48" t="n">
        <v>1289784.746</v>
      </c>
      <c r="SA5" s="48" t="n">
        <v>1290602.035</v>
      </c>
      <c r="SB5" s="48" t="n">
        <v>1291283.268</v>
      </c>
      <c r="SC5" s="48" t="n">
        <v>1291876.314</v>
      </c>
      <c r="SD5" s="48" t="n">
        <v>1292653.501</v>
      </c>
      <c r="SE5" s="48" t="n">
        <v>1293472.077</v>
      </c>
      <c r="SF5" s="48" t="n">
        <v>1294163.615</v>
      </c>
      <c r="SG5" s="48" t="n">
        <v>1294981.85</v>
      </c>
      <c r="SH5" s="48" t="n">
        <v>1295633.923</v>
      </c>
      <c r="SI5" s="48" t="n">
        <v>1296390.214</v>
      </c>
      <c r="SJ5" s="48" t="n">
        <v>1297111.288</v>
      </c>
      <c r="SK5" s="48" t="n">
        <v>1297818.244</v>
      </c>
      <c r="SL5" s="48" t="n">
        <v>1298686.344</v>
      </c>
      <c r="SM5" s="126" t="n"/>
      <c r="SN5" s="48" t="n">
        <v>1299350.772</v>
      </c>
      <c r="SO5" s="48" t="n">
        <v>1300230.078</v>
      </c>
      <c r="SP5" s="48" t="n">
        <v>1300920.442</v>
      </c>
      <c r="SQ5" s="48" t="n">
        <v>1301688.977</v>
      </c>
      <c r="SR5" s="48" t="n">
        <v>1302337.085</v>
      </c>
      <c r="SS5" s="48" t="n">
        <v>1303089.063</v>
      </c>
      <c r="ST5" s="48" t="n">
        <v>1304173.849</v>
      </c>
      <c r="SU5" s="48" t="n">
        <v>1304926.476</v>
      </c>
      <c r="SV5" s="48" t="n">
        <v>1305695.795</v>
      </c>
      <c r="SW5" s="48" t="n">
        <v>1306365.192</v>
      </c>
      <c r="SX5" s="48" t="n">
        <v>1307127.781</v>
      </c>
      <c r="SY5" s="48" t="n">
        <v>1307873.351</v>
      </c>
      <c r="SZ5" s="48" t="n">
        <v>1308749.94</v>
      </c>
      <c r="TA5" s="48" t="n">
        <v>1309575.529</v>
      </c>
      <c r="TB5" s="48" t="n">
        <v>1310259.762</v>
      </c>
      <c r="TC5" s="48" t="n">
        <v>1311034.302</v>
      </c>
      <c r="TD5" s="48" t="n">
        <v>1311861.419</v>
      </c>
      <c r="TE5" s="48" t="n">
        <v>1312676.113</v>
      </c>
      <c r="TF5" s="48" t="n">
        <v>1313483.407</v>
      </c>
      <c r="TG5" s="48" t="n">
        <v>1314309.33</v>
      </c>
      <c r="TH5" s="48" t="n">
        <v>1315269.649</v>
      </c>
      <c r="TI5" s="48" t="n">
        <v>1316228.146</v>
      </c>
      <c r="TJ5" s="48" t="n">
        <v>1317170.817</v>
      </c>
      <c r="TK5" s="48" t="n">
        <v>1318031.981</v>
      </c>
      <c r="TL5" s="48" t="n">
        <v>1318707</v>
      </c>
      <c r="TM5" s="48" t="n">
        <v>1319283.51</v>
      </c>
      <c r="TN5" s="48" t="n">
        <v>1319912.234</v>
      </c>
      <c r="TO5" s="48" t="n">
        <v>1320706.716</v>
      </c>
      <c r="TP5" s="48" t="n">
        <v>1321225.908</v>
      </c>
      <c r="TQ5" s="48" t="n">
        <v>1321839.317</v>
      </c>
      <c r="TR5" s="48" t="n">
        <v>1322665.508</v>
      </c>
      <c r="TS5" s="126" t="n"/>
      <c r="TT5" s="48" t="n">
        <v>1323334.793</v>
      </c>
      <c r="TU5" s="48" t="n">
        <v>1324006.719</v>
      </c>
      <c r="TV5" s="48" t="n">
        <v>1324676.877</v>
      </c>
      <c r="TW5" s="48" t="n">
        <v>1325347.738</v>
      </c>
      <c r="TX5" s="48" t="n">
        <v>1325977.832</v>
      </c>
      <c r="TY5" s="48" t="n">
        <v>1326741.332</v>
      </c>
      <c r="TZ5" s="48" t="n">
        <v>1327531.753</v>
      </c>
      <c r="UA5" s="48" t="n">
        <v>1328215.707</v>
      </c>
      <c r="UB5" s="48" t="n">
        <v>1328861.289</v>
      </c>
      <c r="UC5" s="48" t="n">
        <v>1329520.25</v>
      </c>
      <c r="UD5" s="48" t="n">
        <v>1330290.296</v>
      </c>
      <c r="UE5" s="48" t="n">
        <v>1330902.995</v>
      </c>
      <c r="UF5" s="48" t="n">
        <v>1331630.389</v>
      </c>
      <c r="UG5" s="48" t="n">
        <v>1332449.825</v>
      </c>
      <c r="UH5" s="48" t="n">
        <v>1333280.809</v>
      </c>
      <c r="UI5" s="48" t="n">
        <v>1334095.652</v>
      </c>
      <c r="UJ5" s="48" t="n">
        <v>1334924.488</v>
      </c>
      <c r="UK5" s="48" t="n">
        <v>1335639.948</v>
      </c>
      <c r="UL5" s="48" t="n">
        <v>1336267.994</v>
      </c>
      <c r="UM5" s="48" t="n">
        <v>1337003.73</v>
      </c>
      <c r="UN5" s="48" t="n">
        <v>1337646.703</v>
      </c>
      <c r="UO5" s="48" t="n">
        <v>1338441.185</v>
      </c>
      <c r="UP5" s="48" t="n">
        <v>1339194.545</v>
      </c>
      <c r="UQ5" s="48" t="n">
        <v>1340118.563</v>
      </c>
      <c r="UR5" s="48" t="n">
        <v>1340800.704</v>
      </c>
      <c r="US5" s="48" t="n">
        <v>1341451.531</v>
      </c>
      <c r="UT5" s="48" t="n">
        <v>1342182.442</v>
      </c>
      <c r="UU5" s="48" t="n">
        <v>1342900.833</v>
      </c>
      <c r="UV5" s="48" t="n">
        <v>1343606.243</v>
      </c>
      <c r="UW5" s="48" t="n">
        <v>1344387.078</v>
      </c>
      <c r="UX5" s="48" t="n">
        <v>1345274.722</v>
      </c>
      <c r="UY5" s="126" t="n"/>
      <c r="UZ5" s="48" t="n">
        <v>1346036.56</v>
      </c>
      <c r="VA5" s="48" t="n">
        <v>1346776.716</v>
      </c>
      <c r="VB5" s="48" t="n">
        <v>1347697.246</v>
      </c>
      <c r="VC5" s="48" t="n">
        <v>1348404.034</v>
      </c>
      <c r="VD5" s="48" t="n">
        <v>1349113.673</v>
      </c>
      <c r="VE5" s="48" t="n">
        <v>1349840.032</v>
      </c>
      <c r="VF5" s="48" t="n">
        <v>1350607.518</v>
      </c>
      <c r="VG5" s="48" t="n">
        <v>1351328.592</v>
      </c>
      <c r="VH5" s="48" t="n">
        <v>1352018.481</v>
      </c>
      <c r="VI5" s="48" t="n">
        <v>1352826.764</v>
      </c>
      <c r="VJ5" s="48" t="n">
        <v>1353455.909</v>
      </c>
      <c r="VK5" s="48" t="n">
        <v>1354080.203</v>
      </c>
      <c r="VL5" s="48" t="n">
        <v>1354896.095</v>
      </c>
      <c r="VM5" s="48" t="n">
        <v>1355913.551</v>
      </c>
      <c r="VN5" s="48" t="n">
        <v>1356532.729</v>
      </c>
      <c r="VO5" s="48" t="n">
        <v>1357296.106</v>
      </c>
      <c r="VP5" s="48" t="n">
        <v>1358106.876</v>
      </c>
      <c r="VQ5" s="48" t="n">
        <v>1358838.486</v>
      </c>
      <c r="VR5" s="48" t="n">
        <v>1359521.348</v>
      </c>
      <c r="VS5" s="48" t="n">
        <v>1360277.171</v>
      </c>
      <c r="VT5" s="48" t="n">
        <v>1360955.297</v>
      </c>
      <c r="VU5" s="48" t="n">
        <v>1361720.829</v>
      </c>
      <c r="VV5" s="48" t="n">
        <v>1362360.068</v>
      </c>
      <c r="VW5" s="48" t="n">
        <v>1363138.472</v>
      </c>
      <c r="VX5" s="48" t="n">
        <v>1363869.767</v>
      </c>
      <c r="VY5" s="48" t="n">
        <v>1364535.042</v>
      </c>
      <c r="VZ5" s="48" t="n">
        <v>1365348.393</v>
      </c>
      <c r="WA5" s="48" t="n">
        <v>1366016.961</v>
      </c>
      <c r="WB5" s="126" t="n"/>
      <c r="WC5" s="48" t="n">
        <v>1366691.936</v>
      </c>
      <c r="WD5" s="48" t="n">
        <v>1367289.258</v>
      </c>
      <c r="WE5" s="48" t="n">
        <v>1367981.392</v>
      </c>
      <c r="WF5" s="48" t="n">
        <v>1368591.553</v>
      </c>
      <c r="WG5" s="48" t="n">
        <v>1369087.037</v>
      </c>
      <c r="WH5" s="48" t="n">
        <v>1369829.871</v>
      </c>
      <c r="WI5" s="48" t="n">
        <v>1370582.836</v>
      </c>
      <c r="WJ5" s="48" t="n">
        <v>1371279.559</v>
      </c>
      <c r="WK5" s="48" t="n">
        <v>1371959.446</v>
      </c>
      <c r="WL5" s="48" t="n">
        <v>1372625.442</v>
      </c>
      <c r="WM5" s="48" t="n">
        <v>1373269.914</v>
      </c>
      <c r="WN5" s="48" t="n">
        <v>1373863.772</v>
      </c>
      <c r="WO5" s="48" t="n">
        <v>1374513.316</v>
      </c>
      <c r="WP5" s="48" t="n">
        <v>1375166.294</v>
      </c>
      <c r="WQ5" s="48" t="n">
        <v>1375859.156</v>
      </c>
      <c r="WR5" s="48" t="n">
        <v>1376563.663</v>
      </c>
      <c r="WS5" s="48" t="n">
        <v>1377205.94</v>
      </c>
      <c r="WT5" s="48" t="n">
        <v>1377836.096</v>
      </c>
      <c r="WU5" s="48" t="n">
        <v>1378431.992</v>
      </c>
      <c r="WV5" s="48" t="n">
        <v>1379136.964</v>
      </c>
      <c r="WW5" s="48" t="n">
        <v>1379784.649</v>
      </c>
      <c r="WX5" s="48" t="n">
        <v>1380529.25</v>
      </c>
      <c r="WY5" s="48" t="n">
        <v>1381188.951</v>
      </c>
      <c r="WZ5" s="48" t="n">
        <v>1382032.941</v>
      </c>
      <c r="XA5" s="48" t="n">
        <v>1382725.921</v>
      </c>
      <c r="XB5" s="48" t="n">
        <v>1383408.932</v>
      </c>
      <c r="XC5" s="48" t="n">
        <v>1384075.679</v>
      </c>
      <c r="XD5" s="48" t="n">
        <v>1384843.565</v>
      </c>
      <c r="XE5" s="48" t="n">
        <v>1385633.429</v>
      </c>
      <c r="XF5" s="48" t="n">
        <v>1386289.745</v>
      </c>
      <c r="XG5" s="48" t="n">
        <v>1386795.673</v>
      </c>
      <c r="XH5" s="126" t="n"/>
      <c r="XI5" s="48" t="n">
        <v>1387560.389</v>
      </c>
      <c r="XJ5" s="48" t="n">
        <v>1388268.456</v>
      </c>
      <c r="XK5" s="48" t="n">
        <v>1389031.701</v>
      </c>
      <c r="XL5" s="48" t="n">
        <v>1389832.753</v>
      </c>
      <c r="XM5" s="48" t="n">
        <v>1390554.695</v>
      </c>
      <c r="XN5" s="48" t="n">
        <v>1391234.598</v>
      </c>
      <c r="XO5" s="48" t="n">
        <v>1392056.811</v>
      </c>
      <c r="XP5" s="48" t="n">
        <v>1392724.407</v>
      </c>
      <c r="XQ5" s="48" t="n">
        <v>1393399.336</v>
      </c>
      <c r="XR5" s="48" t="n">
        <v>1394136.608</v>
      </c>
      <c r="XS5" s="48" t="n">
        <v>1395019.565</v>
      </c>
      <c r="XT5" s="48" t="n">
        <v>1395749.979</v>
      </c>
      <c r="XU5" s="48" t="n">
        <v>1396514.476</v>
      </c>
      <c r="XV5" s="48" t="n">
        <v>1397208.478</v>
      </c>
      <c r="XW5" s="48" t="n">
        <v>1397904.696</v>
      </c>
      <c r="XX5" s="48" t="n">
        <v>1398685.437</v>
      </c>
      <c r="XY5" s="48" t="n">
        <v>1399426.252</v>
      </c>
      <c r="XZ5" s="48" t="n">
        <v>1400144.609</v>
      </c>
      <c r="YA5" s="48" t="n">
        <v>1400915.777</v>
      </c>
      <c r="YB5" s="48" t="n">
        <v>1401563.142</v>
      </c>
      <c r="YC5" s="48" t="n">
        <v>1402214.669</v>
      </c>
      <c r="YD5" s="48" t="n">
        <v>1402830.863</v>
      </c>
      <c r="YE5" s="48" t="n">
        <v>1403451.864</v>
      </c>
      <c r="YF5" s="48" t="n">
        <v>1404255.958</v>
      </c>
      <c r="YG5" s="48" t="n">
        <v>1405060.818</v>
      </c>
      <c r="YH5" s="48" t="n">
        <v>1405830.298</v>
      </c>
      <c r="YI5" s="48" t="n">
        <v>1406494.349</v>
      </c>
      <c r="YJ5" s="48" t="n">
        <v>1407093.943</v>
      </c>
      <c r="YK5" s="48" t="n">
        <v>1407764.339</v>
      </c>
      <c r="YL5" s="48" t="n">
        <v>1408376.413</v>
      </c>
      <c r="YM5" s="126" t="n"/>
      <c r="YN5" s="48" t="n">
        <v>1409096.98</v>
      </c>
      <c r="YO5" s="48" t="n">
        <v>1409944.947</v>
      </c>
      <c r="YP5" s="48" t="n">
        <v>1410539.351</v>
      </c>
      <c r="YQ5" s="48" t="n">
        <v>1411330.979</v>
      </c>
      <c r="YR5" s="48" t="n">
        <v>1412144.978</v>
      </c>
      <c r="YS5" s="48" t="n">
        <v>1412837.97</v>
      </c>
      <c r="YT5" s="48" t="n">
        <v>1413481.733</v>
      </c>
      <c r="YU5" s="48" t="n">
        <v>1413481.733</v>
      </c>
      <c r="YV5" s="48" t="n">
        <v>1413885.612</v>
      </c>
      <c r="YW5" s="48" t="n">
        <v>1414572.892</v>
      </c>
      <c r="YX5" s="48" t="n">
        <v>1415085.337</v>
      </c>
      <c r="YY5" s="48" t="n">
        <v>1415862.807</v>
      </c>
      <c r="YZ5" s="48" t="n">
        <v>1416462.527</v>
      </c>
      <c r="ZA5" s="48" t="n">
        <v>1417130.518</v>
      </c>
      <c r="ZB5" s="48" t="n">
        <v>1417850.133</v>
      </c>
      <c r="ZC5" s="48" t="n">
        <v>1418469.569</v>
      </c>
      <c r="ZD5" s="48" t="n">
        <v>1419277.974</v>
      </c>
      <c r="ZE5" s="48" t="n">
        <v>1419922.607</v>
      </c>
      <c r="ZF5" s="48" t="n">
        <v>1420691.401</v>
      </c>
      <c r="ZG5" s="48" t="n">
        <v>1421345.145</v>
      </c>
      <c r="ZH5" s="48" t="n">
        <v>1422006.322</v>
      </c>
      <c r="ZI5" s="48" t="n">
        <v>1422734.88</v>
      </c>
      <c r="ZJ5" s="48" t="n">
        <v>1423707.451</v>
      </c>
      <c r="ZK5" s="48" t="n">
        <v>1424685.193</v>
      </c>
      <c r="ZL5" s="48" t="n">
        <v>1425657.532</v>
      </c>
      <c r="ZM5" s="48" t="n">
        <v>1426507.477</v>
      </c>
      <c r="ZN5" s="48" t="n">
        <v>1427290.404</v>
      </c>
      <c r="ZO5" s="48" t="n">
        <v>1428210.27</v>
      </c>
      <c r="ZP5" s="48" t="n">
        <v>1428996.07</v>
      </c>
      <c r="ZQ5" s="48" t="n">
        <v>1429777.094</v>
      </c>
      <c r="ZR5" s="48" t="n">
        <v>1430522.222</v>
      </c>
      <c r="ZS5" s="126" t="n"/>
      <c r="ZT5" s="48" t="n">
        <v>1431254.458</v>
      </c>
      <c r="ZU5" s="48" t="n">
        <v>1432056.559</v>
      </c>
      <c r="ZV5" s="48" t="n">
        <v>1432857.318</v>
      </c>
      <c r="ZW5" s="48" t="n">
        <v>1433645.831</v>
      </c>
      <c r="ZX5" s="48" t="n">
        <v>1434568.218</v>
      </c>
      <c r="ZY5" s="48" t="n">
        <v>1435292.115</v>
      </c>
      <c r="ZZ5" s="48" t="n">
        <v>1436011.91</v>
      </c>
      <c r="AAA5" s="48" t="n">
        <v>1436597.441</v>
      </c>
      <c r="AAB5" s="48" t="n">
        <v>1437267.554</v>
      </c>
      <c r="AAC5" s="48" t="n">
        <v>1438048.963</v>
      </c>
      <c r="AAD5" s="48" t="n">
        <v>1438778.481</v>
      </c>
      <c r="AAE5" s="48" t="n">
        <v>1439455.147</v>
      </c>
      <c r="AAF5" s="48" t="n">
        <v>1440306.521</v>
      </c>
      <c r="AAG5" s="48" t="n">
        <v>1441114.908</v>
      </c>
      <c r="AAH5" s="48" t="n">
        <v>1441999.734</v>
      </c>
      <c r="AAI5" s="48" t="n">
        <v>1442701.772</v>
      </c>
      <c r="AAJ5" s="48" t="n">
        <v>1443425.711</v>
      </c>
      <c r="AAK5" s="48" t="n">
        <v>1444241.854</v>
      </c>
      <c r="AAL5" s="48" t="n">
        <v>1445053.498</v>
      </c>
      <c r="AAM5" s="48" t="n">
        <v>1445804.983</v>
      </c>
      <c r="AAN5" s="48" t="n">
        <v>1446582.054</v>
      </c>
      <c r="AAO5" s="48" t="n">
        <v>1447273.038</v>
      </c>
      <c r="AAP5" s="48" t="n">
        <v>1448070.255</v>
      </c>
      <c r="AAQ5" s="48" t="n">
        <v>1448768.852</v>
      </c>
      <c r="AAR5" s="48" t="n">
        <v>1449614.711</v>
      </c>
      <c r="AAS5" s="48" t="n">
        <v>1450357.624</v>
      </c>
      <c r="AAT5" s="48" t="n">
        <v>1451128.581</v>
      </c>
      <c r="AAU5" s="48" t="n">
        <v>1452077.062</v>
      </c>
      <c r="AAV5" s="48" t="n">
        <v>1452826.549</v>
      </c>
      <c r="AAW5" s="48" t="n">
        <v>1453525.351</v>
      </c>
      <c r="AAX5" s="126" t="n"/>
      <c r="AAY5" s="48" t="n">
        <v>1454357.205</v>
      </c>
      <c r="AAZ5" s="48" t="n">
        <v>1455080.094</v>
      </c>
      <c r="ABA5" s="48" t="n">
        <v>1455873.582</v>
      </c>
      <c r="ABB5" s="48" t="n">
        <v>1456715.27</v>
      </c>
      <c r="ABC5" s="48" t="n">
        <v>1457662.526</v>
      </c>
      <c r="ABD5" s="48" t="n">
        <v>1458602.971</v>
      </c>
      <c r="ABE5" s="48" t="n">
        <v>1459407.933</v>
      </c>
      <c r="ABF5" s="48" t="n">
        <v>1460370.968</v>
      </c>
      <c r="ABG5" s="48" t="n">
        <v>1461188.994</v>
      </c>
      <c r="ABH5" s="48" t="n">
        <v>1462018.651</v>
      </c>
      <c r="ABI5" s="48" t="n">
        <v>1462726.234</v>
      </c>
      <c r="ABJ5" s="48" t="n">
        <v>1463087.514</v>
      </c>
      <c r="ABK5" s="48" t="n">
        <v>1463829.893</v>
      </c>
      <c r="ABL5" s="48" t="n">
        <v>1464533.116</v>
      </c>
      <c r="ABM5" s="48" t="n">
        <v>1465249.161</v>
      </c>
      <c r="ABN5" s="48" t="n">
        <v>1465950.447</v>
      </c>
      <c r="ABO5" s="48" t="n">
        <v>1466715.913</v>
      </c>
      <c r="ABP5" s="48" t="n">
        <v>1467604.624</v>
      </c>
      <c r="ABQ5" s="48" t="n">
        <v>1468366.253</v>
      </c>
      <c r="ABR5" s="48" t="n">
        <v>1469063.959</v>
      </c>
      <c r="ABS5" s="48" t="n">
        <v>1469717.685</v>
      </c>
      <c r="ABT5" s="48" t="n">
        <v>1470415.314</v>
      </c>
      <c r="ABU5" s="48" t="n">
        <v>1471218.027</v>
      </c>
      <c r="ABV5" s="48" t="n">
        <v>1472105.714</v>
      </c>
      <c r="ABW5" s="48" t="n">
        <v>1472978.082</v>
      </c>
      <c r="ABX5" s="48" t="n">
        <v>1473759.654</v>
      </c>
      <c r="ABY5" s="48" t="n">
        <v>1474514.46</v>
      </c>
      <c r="ABZ5" s="48" t="n">
        <v>1475337.076</v>
      </c>
      <c r="ACA5" s="48" t="n">
        <v>1476051.758</v>
      </c>
      <c r="ACB5" s="48" t="n">
        <v>1476775.741</v>
      </c>
      <c r="ACC5" s="48" t="n">
        <v>1477572.047</v>
      </c>
      <c r="ACD5" s="126" t="n"/>
      <c r="ACE5" s="48" t="n">
        <v>1478348.678</v>
      </c>
      <c r="ACF5" s="48" t="n">
        <v>1479494.905</v>
      </c>
      <c r="ACG5" s="48" t="n">
        <v>1480379.776</v>
      </c>
      <c r="ACH5" s="48" t="n">
        <v>1481297.445</v>
      </c>
      <c r="ACI5" s="48" t="n">
        <v>1482206.207</v>
      </c>
      <c r="ACJ5" s="48" t="n">
        <v>1482843.593</v>
      </c>
      <c r="ACK5" s="48" t="n">
        <v>1483651.083</v>
      </c>
      <c r="ACL5" s="48" t="n">
        <v>1484514.987</v>
      </c>
      <c r="ACM5" s="48" t="n">
        <v>1485400.979</v>
      </c>
      <c r="ACN5" s="48" t="n">
        <v>1486074.811</v>
      </c>
      <c r="ACO5" s="48" t="n">
        <v>1486970.325</v>
      </c>
      <c r="ACP5" s="48" t="n">
        <v>1487644.28</v>
      </c>
      <c r="ACQ5" s="48" t="n">
        <v>1488244.473</v>
      </c>
      <c r="ACR5" s="48" t="n">
        <v>1489031.523</v>
      </c>
      <c r="ACS5" s="48" t="n">
        <v>1489990.977</v>
      </c>
      <c r="ACT5" s="48" t="n">
        <v>1490653.822</v>
      </c>
      <c r="ACU5" s="48" t="n">
        <v>1491301.681</v>
      </c>
      <c r="ACV5" s="48" t="n">
        <v>1492071.41</v>
      </c>
      <c r="ACW5" s="48" t="n">
        <v>1492549.019</v>
      </c>
      <c r="ACX5" s="48" t="n">
        <v>1493209.744</v>
      </c>
      <c r="ACY5" s="48" t="n">
        <v>1493954.281</v>
      </c>
      <c r="ACZ5" s="48" t="n">
        <v>1494903.336</v>
      </c>
      <c r="ADA5" s="48" t="n">
        <v>1495642.158</v>
      </c>
      <c r="ADB5" s="48" t="n">
        <v>1496393.811</v>
      </c>
      <c r="ADC5" s="48" t="n">
        <v>1496982.718</v>
      </c>
      <c r="ADD5" s="48" t="n">
        <v>1497752.895</v>
      </c>
      <c r="ADE5" s="48" t="n">
        <v>1498435.215</v>
      </c>
      <c r="ADF5" s="48" t="n">
        <v>1498987.742</v>
      </c>
      <c r="ADG5" s="48" t="n">
        <v>1499783.405</v>
      </c>
      <c r="ADH5" s="48" t="n">
        <v>1500481.22</v>
      </c>
      <c r="ADI5" s="48" t="n">
        <v>1501146.594</v>
      </c>
      <c r="ADJ5" s="126" t="n"/>
      <c r="ADK5" s="48" t="n">
        <v>1501902.545</v>
      </c>
      <c r="ADL5" s="48" t="n">
        <v>1502490.295</v>
      </c>
      <c r="ADM5" s="48" t="n">
        <v>1503031.226</v>
      </c>
      <c r="ADN5" s="48" t="n">
        <v>1503799.254</v>
      </c>
      <c r="ADO5" s="48" t="n">
        <v>1504637.24</v>
      </c>
      <c r="ADP5" s="48" t="n">
        <v>1505361.806</v>
      </c>
      <c r="ADQ5" s="48" t="n">
        <v>1506052.289</v>
      </c>
      <c r="ADR5" s="48" t="n">
        <v>1506811.173</v>
      </c>
      <c r="ADS5" s="48" t="n">
        <v>1507386.152</v>
      </c>
      <c r="ADT5" s="48" t="n">
        <v>1507915.936</v>
      </c>
      <c r="ADU5" s="48" t="n">
        <v>1508537.556</v>
      </c>
      <c r="ADV5" s="48" t="n">
        <v>1509220.266</v>
      </c>
      <c r="ADW5" s="48" t="n">
        <v>1509927.189</v>
      </c>
      <c r="ADX5" s="48" t="n">
        <v>1510551.728</v>
      </c>
      <c r="ADY5" s="48" t="n">
        <v>1511329.427</v>
      </c>
      <c r="ADZ5" s="48" t="n">
        <v>1511896.935</v>
      </c>
      <c r="AEA5" s="48" t="n">
        <v>1512444.303</v>
      </c>
      <c r="AEB5" s="48" t="n">
        <v>1513003.406</v>
      </c>
      <c r="AEC5" s="48" t="n">
        <v>1513711.717</v>
      </c>
      <c r="AED5" s="48" t="n">
        <v>1514251.541</v>
      </c>
      <c r="AEE5" s="48" t="n">
        <v>1514888.805</v>
      </c>
      <c r="AEF5" s="48" t="n">
        <v>1515462.304</v>
      </c>
      <c r="AEG5" s="48" t="n">
        <v>1516069.291</v>
      </c>
      <c r="AEH5" s="48" t="n">
        <v>1516691.534</v>
      </c>
      <c r="AEI5" s="48" t="n">
        <v>1517343.192</v>
      </c>
      <c r="AEJ5" s="48" t="n">
        <v>1517989.442</v>
      </c>
      <c r="AEK5" s="48" t="n">
        <v>1518628.527</v>
      </c>
      <c r="AEL5" s="48" t="n">
        <v>1519209.74</v>
      </c>
      <c r="AEM5" s="48" t="n">
        <v>1520095.354</v>
      </c>
      <c r="AEN5" s="48" t="n">
        <v>1520612.784</v>
      </c>
      <c r="AEO5" s="126" t="n"/>
      <c r="AEP5" s="48" t="n">
        <v>1521078.859</v>
      </c>
      <c r="AEQ5" s="48" t="n">
        <v>1521637.99</v>
      </c>
      <c r="AER5" s="48" t="n">
        <v>1522269.139</v>
      </c>
      <c r="AES5" s="48" t="n">
        <v>1522961.718</v>
      </c>
      <c r="AET5" s="48" t="n">
        <v>1523614.519</v>
      </c>
      <c r="AEU5" s="48" t="n">
        <v>1524430.047</v>
      </c>
      <c r="AEV5" s="48" t="n">
        <v>1525041.776</v>
      </c>
      <c r="AEW5" s="48" t="n">
        <v>1525692.017</v>
      </c>
      <c r="AEX5" s="48" t="n">
        <v>1526443.119</v>
      </c>
      <c r="AEY5" s="48" t="n">
        <v>1527280.362</v>
      </c>
      <c r="AEZ5" s="48" t="n">
        <v>1527969.269</v>
      </c>
      <c r="AFA5" s="48" t="n">
        <v>1528785.292</v>
      </c>
      <c r="AFB5" s="48" t="n">
        <v>1529414.328</v>
      </c>
      <c r="AFC5" s="48" t="n">
        <v>1529987.01</v>
      </c>
      <c r="AFD5" s="48" t="n">
        <v>1530597.85</v>
      </c>
      <c r="AFE5" s="48" t="n">
        <v>1531239.31</v>
      </c>
      <c r="AFF5" s="48" t="n">
        <v>1531883.545</v>
      </c>
      <c r="AFG5" s="48" t="n">
        <v>1532629.604</v>
      </c>
      <c r="AFH5" s="48" t="n">
        <v>1533149.772</v>
      </c>
      <c r="AFI5" s="48" t="n">
        <v>1533815.601</v>
      </c>
      <c r="AFJ5" s="48" t="n">
        <v>1534532.286</v>
      </c>
      <c r="AFK5" s="48" t="n">
        <v>1535045.65</v>
      </c>
      <c r="AFL5" s="48" t="n">
        <v>1535618.175</v>
      </c>
      <c r="AFM5" s="48" t="n">
        <v>1536275.418</v>
      </c>
      <c r="AFN5" s="48" t="n">
        <v>1537112.303</v>
      </c>
      <c r="AFO5" s="48" t="n">
        <v>1537768.4</v>
      </c>
      <c r="AFP5" s="48" t="n">
        <v>1538333.863</v>
      </c>
      <c r="AFQ5" s="48" t="n">
        <v>1538963.679</v>
      </c>
      <c r="AFR5" s="48" t="n">
        <v>1539534.133</v>
      </c>
      <c r="AFS5" s="48" t="n">
        <v>1540108.647</v>
      </c>
      <c r="AFT5" s="48" t="n">
        <v>1540753.154</v>
      </c>
      <c r="AFU5" s="126" t="n"/>
      <c r="AFV5" s="48" t="n">
        <v>1541493.41</v>
      </c>
      <c r="AFW5" s="48" t="n">
        <v>1542152.79</v>
      </c>
      <c r="AFX5" s="48" t="n">
        <v>1542838.989</v>
      </c>
      <c r="AFY5" s="48" t="n">
        <v>1543473.511</v>
      </c>
      <c r="AFZ5" s="48" t="n">
        <v>1544231.883</v>
      </c>
      <c r="AGA5" s="48" t="n">
        <v>1544926.01</v>
      </c>
      <c r="AGB5" s="48" t="n">
        <v>1545676.115</v>
      </c>
      <c r="AGC5" s="48" t="n">
        <v>1546239.712</v>
      </c>
      <c r="AGD5" s="48" t="n">
        <v>1547040.032</v>
      </c>
      <c r="AGE5" s="48" t="n">
        <v>1547722.23</v>
      </c>
      <c r="AGF5" s="48" t="n">
        <v>1548410.755</v>
      </c>
      <c r="AGG5" s="48" t="n">
        <v>1548887.982</v>
      </c>
      <c r="AGH5" s="48" t="n">
        <v>1549531.997</v>
      </c>
      <c r="AGI5" s="48" t="n">
        <v>1550223.131</v>
      </c>
      <c r="AGJ5" s="48" t="n">
        <v>1550815.946</v>
      </c>
      <c r="AGK5" s="48" t="n">
        <v>1551441.169</v>
      </c>
      <c r="AGL5" s="48" t="n">
        <v>1552275.064</v>
      </c>
      <c r="AGM5" s="48" t="n">
        <v>1552912.688</v>
      </c>
      <c r="AGN5" s="48" t="n">
        <v>1553488.014</v>
      </c>
      <c r="AGO5" s="48" t="n">
        <v>1554175.836</v>
      </c>
      <c r="AGP5" s="48" t="n">
        <v>1554928.081</v>
      </c>
      <c r="AGQ5" s="48" t="n">
        <v>1555577.964</v>
      </c>
      <c r="AGR5" s="48" t="n">
        <v>1556220.586</v>
      </c>
      <c r="AGS5" s="48" t="n">
        <v>1556606.647</v>
      </c>
      <c r="AGT5" s="48" t="n">
        <v>1557305.592</v>
      </c>
      <c r="AGU5" s="48" t="n">
        <v>1557974.812</v>
      </c>
      <c r="AGV5" s="48" t="n">
        <v>1558728.351</v>
      </c>
      <c r="AGW5" s="48" t="n">
        <v>1559639.553</v>
      </c>
      <c r="AGX5" s="48" t="n">
        <v>1560462.802</v>
      </c>
      <c r="AGY5" s="48" t="n">
        <v>1561177.349</v>
      </c>
      <c r="AGZ5" s="126" t="n"/>
      <c r="AHA5" s="48" t="n">
        <v>1561844.214</v>
      </c>
      <c r="AHB5" s="48" t="n">
        <v>1562422.819</v>
      </c>
      <c r="AHC5" s="48" t="n">
        <v>1563014.642</v>
      </c>
      <c r="AHD5" s="48" t="n">
        <v>1563781.596</v>
      </c>
      <c r="AHE5" s="48" t="n">
        <v>1564571.619</v>
      </c>
      <c r="AHF5" s="48" t="n">
        <v>1565265.209</v>
      </c>
      <c r="AHG5" s="48" t="n">
        <v>1565900.965</v>
      </c>
      <c r="AHH5" s="48" t="n">
        <v>1566610.076</v>
      </c>
      <c r="AHI5" s="48" t="n">
        <v>1567212.881</v>
      </c>
      <c r="AHJ5" s="48" t="n">
        <v>1567946.293</v>
      </c>
      <c r="AHK5" s="48" t="n">
        <v>1568751.444</v>
      </c>
      <c r="AHL5" s="48" t="n">
        <v>1569570.028</v>
      </c>
      <c r="AHM5" s="48" t="n">
        <v>1570509.221</v>
      </c>
      <c r="AHN5" s="48" t="n">
        <v>1571306.902</v>
      </c>
      <c r="AHO5" s="48" t="n">
        <v>1571979.726</v>
      </c>
      <c r="AHP5" s="48" t="n">
        <v>1572663.291</v>
      </c>
      <c r="AHQ5" s="48" t="n">
        <v>1573177.724</v>
      </c>
      <c r="AHR5" s="48" t="n">
        <v>1574060.845</v>
      </c>
      <c r="AHS5" s="48" t="n">
        <v>1575002.984</v>
      </c>
      <c r="AHT5" s="48" t="n">
        <v>1575729.814</v>
      </c>
      <c r="AHU5" s="48" t="n">
        <v>1576434.147</v>
      </c>
      <c r="AHV5" s="48" t="n">
        <v>1577177.624</v>
      </c>
      <c r="AHW5" s="48" t="n">
        <v>1578046.064</v>
      </c>
      <c r="AHX5" s="48" t="n">
        <v>1579070.338</v>
      </c>
      <c r="AHY5" s="48" t="n">
        <v>1579771.141</v>
      </c>
      <c r="AHZ5" s="48" t="n">
        <v>1580446.154</v>
      </c>
      <c r="AIA5" s="48" t="n">
        <v>1581083.437</v>
      </c>
      <c r="AIB5" s="48" t="n">
        <v>1581636.894</v>
      </c>
      <c r="AIC5" s="48" t="n">
        <v>1582228.193</v>
      </c>
      <c r="AID5" s="48" t="n">
        <v>1582863.696</v>
      </c>
      <c r="AIE5" s="48" t="n">
        <v>1583823.625</v>
      </c>
      <c r="AIF5" s="126" t="n"/>
      <c r="AIG5" s="48" t="n">
        <v>1584351.494</v>
      </c>
      <c r="AIH5" s="48" t="n">
        <v>1584950.43</v>
      </c>
      <c r="AII5" s="48" t="n">
        <v>1585624.472</v>
      </c>
      <c r="AIJ5" s="48" t="n">
        <v>1586234.022</v>
      </c>
      <c r="AIK5" s="48" t="n">
        <v>1587002.694</v>
      </c>
      <c r="AIL5" s="48" t="n">
        <v>1587739.611</v>
      </c>
      <c r="AIM5" s="48" t="n">
        <v>1588450.827</v>
      </c>
      <c r="AIN5" s="48" t="n">
        <v>1589155.445</v>
      </c>
      <c r="AIO5" s="48" t="n">
        <v>1589942.861</v>
      </c>
      <c r="AIP5" s="48" t="n">
        <v>1590889.826</v>
      </c>
      <c r="AIQ5" s="48" t="n">
        <v>1591627.593</v>
      </c>
      <c r="AIR5" s="48" t="n">
        <v>1592257.948</v>
      </c>
      <c r="AIS5" s="48" t="n">
        <v>1593047.479</v>
      </c>
      <c r="AIT5" s="48" t="n">
        <v>1593789.335</v>
      </c>
      <c r="AIU5" s="48" t="n">
        <v>1594074.054</v>
      </c>
      <c r="AIV5" s="48" t="n">
        <v>1594824.104</v>
      </c>
      <c r="AIW5" s="48" t="n">
        <v>1595178.12</v>
      </c>
      <c r="AIX5" s="48" t="n">
        <v>1595609.743</v>
      </c>
      <c r="AIY5" s="48" t="n">
        <v>1596233.272</v>
      </c>
      <c r="AIZ5" s="48" t="n">
        <v>1596855.913</v>
      </c>
      <c r="AJA5" s="48" t="n">
        <v>1597576.456</v>
      </c>
      <c r="AJB5" s="48" t="n">
        <v>1598104.167</v>
      </c>
      <c r="AJC5" s="48" t="n">
        <v>1598931.432</v>
      </c>
      <c r="AJD5" s="48" t="n">
        <v>1599658.68</v>
      </c>
      <c r="AJE5" s="48" t="n">
        <v>1600384.149</v>
      </c>
      <c r="AJF5" s="48" t="n">
        <v>1600998.15</v>
      </c>
      <c r="AJG5" s="48" t="n">
        <v>1602093.061</v>
      </c>
      <c r="AJH5" s="48" t="n">
        <v>1602941.748</v>
      </c>
      <c r="AJI5" s="48" t="n">
        <v>1603632.251</v>
      </c>
      <c r="AJJ5" s="48" t="n">
        <v>1604322.274</v>
      </c>
      <c r="AJK5" s="48" t="n">
        <v>1605051.105</v>
      </c>
      <c r="AJL5" s="126" t="n"/>
      <c r="AJM5" s="48" t="n">
        <v>1605645.716</v>
      </c>
      <c r="AJN5" s="48" t="n">
        <v>1606257.31</v>
      </c>
      <c r="AJO5" s="48" t="n">
        <v>1607036.614</v>
      </c>
      <c r="AJP5" s="48" t="n">
        <v>1607864.664</v>
      </c>
      <c r="AJQ5" s="48" t="n">
        <v>1608354.743</v>
      </c>
      <c r="AJR5" s="48" t="n">
        <v>1608935.331</v>
      </c>
      <c r="AJS5" s="48" t="n">
        <v>1609775.02</v>
      </c>
      <c r="AJT5" s="48" t="n">
        <v>1610411.213</v>
      </c>
      <c r="AJU5" s="48" t="n">
        <v>1611179.67</v>
      </c>
      <c r="AJV5" s="48" t="n">
        <v>1611940.209</v>
      </c>
      <c r="AJW5" s="48" t="n">
        <v>1612553.869</v>
      </c>
      <c r="AJX5" s="48" t="n">
        <v>1613280.308</v>
      </c>
      <c r="AJY5" s="48" t="n">
        <v>1614009.461</v>
      </c>
      <c r="AJZ5" s="48" t="n">
        <v>1614633.42</v>
      </c>
      <c r="AKA5" s="48" t="n">
        <v>1615155.421</v>
      </c>
      <c r="AKB5" s="48" t="n">
        <v>1615803.039</v>
      </c>
      <c r="AKC5" s="48" t="n">
        <v>1616486.792</v>
      </c>
      <c r="AKD5" s="48" t="n">
        <v>1617132.038</v>
      </c>
      <c r="AKE5" s="48" t="n">
        <v>1617648.198</v>
      </c>
      <c r="AKF5" s="48" t="n">
        <v>1618195.897</v>
      </c>
      <c r="AKG5" s="48" t="n">
        <v>1618916.743</v>
      </c>
      <c r="AKH5" s="48" t="n">
        <v>1619477.479</v>
      </c>
      <c r="AKI5" s="48" t="n">
        <v>1620200.398</v>
      </c>
      <c r="AKJ5" s="48" t="n">
        <v>1620741.74</v>
      </c>
      <c r="AKK5" s="48" t="n">
        <v>1621380.753</v>
      </c>
      <c r="AKL5" s="48" t="n">
        <v>1622032.342</v>
      </c>
      <c r="AKM5" s="48" t="n">
        <v>1622720</v>
      </c>
      <c r="AKN5" s="48" t="n">
        <v>1623242.92</v>
      </c>
      <c r="AKO5" s="126" t="n"/>
      <c r="AKP5" s="48" t="n">
        <v>1623762.69</v>
      </c>
      <c r="AKQ5" s="48" t="n">
        <v>1624312.258</v>
      </c>
      <c r="AKR5" s="48" t="n">
        <v>1624997.009</v>
      </c>
      <c r="AKS5" s="48" t="n">
        <v>1625685.992</v>
      </c>
      <c r="AKT5" s="48" t="n">
        <v>1626236.869</v>
      </c>
      <c r="AKU5" s="48" t="n">
        <v>1626830.986</v>
      </c>
      <c r="AKV5" s="48" t="n">
        <v>1627533.352</v>
      </c>
      <c r="AKW5" s="48" t="n">
        <v>1628186.812</v>
      </c>
      <c r="AKX5" s="48" t="n">
        <v>1628659.333</v>
      </c>
      <c r="AKY5" s="48" t="n">
        <v>1629313.851</v>
      </c>
      <c r="AKZ5" s="48" t="n">
        <v>1629969.991</v>
      </c>
      <c r="ALA5" s="48" t="n">
        <v>1630536.287</v>
      </c>
      <c r="ALB5" s="48" t="n">
        <v>1631255.414</v>
      </c>
      <c r="ALC5" s="48" t="n">
        <v>1632018.314</v>
      </c>
      <c r="ALD5" s="48" t="n">
        <v>1632750.598</v>
      </c>
      <c r="ALE5" s="48" t="n">
        <v>1633654.539</v>
      </c>
      <c r="ALF5" s="48" t="n">
        <v>1634331.159</v>
      </c>
      <c r="ALG5" s="48" t="n">
        <v>1634933.349</v>
      </c>
      <c r="ALH5" s="48" t="n">
        <v>1635726.535</v>
      </c>
      <c r="ALI5" s="48" t="n">
        <v>1636390.051</v>
      </c>
      <c r="ALJ5" s="48" t="n">
        <v>1637136.721</v>
      </c>
      <c r="ALK5" s="48" t="n">
        <v>1637668.592</v>
      </c>
      <c r="ALL5" s="48" t="n">
        <v>1638317.933</v>
      </c>
      <c r="ALM5" s="48" t="n">
        <v>1639130.489</v>
      </c>
      <c r="ALN5" s="48" t="n">
        <v>1639834.01</v>
      </c>
      <c r="ALO5" s="48" t="n">
        <v>1640522.517</v>
      </c>
      <c r="ALP5" s="48" t="n">
        <v>1641299.367</v>
      </c>
      <c r="ALQ5" s="48" t="n">
        <v>1642180.078</v>
      </c>
      <c r="ALR5" s="48" t="n">
        <v>1643084.745</v>
      </c>
      <c r="ALS5" s="48" t="n">
        <v>1643986.483</v>
      </c>
      <c r="ALT5" s="48" t="n">
        <v>1644822.811</v>
      </c>
      <c r="ALU5" s="126" t="n"/>
      <c r="ALV5" s="48" t="n">
        <v>1645682.832</v>
      </c>
      <c r="ALW5" s="48" t="n">
        <v>1646381.988</v>
      </c>
      <c r="ALX5" s="48" t="n">
        <v>1647065.95</v>
      </c>
      <c r="ALY5" s="48" t="n">
        <v>1647846.579</v>
      </c>
      <c r="ALZ5" s="48" t="n">
        <v>1648235.485</v>
      </c>
      <c r="AMA5" s="48" t="n">
        <v>1648787.702</v>
      </c>
      <c r="AMB5" s="48" t="n">
        <v>1649730.397</v>
      </c>
      <c r="AMC5" s="48" t="n">
        <v>1650418.811</v>
      </c>
      <c r="AMD5" s="48" t="n">
        <v>1651320.467</v>
      </c>
      <c r="AME5" s="48" t="n">
        <v>1652314.403</v>
      </c>
      <c r="AMF5" s="48" t="n">
        <v>1653112.75</v>
      </c>
      <c r="AMG5" s="48" t="n">
        <v>1654053.448</v>
      </c>
      <c r="AMH5" s="48" t="n">
        <v>1654898.934</v>
      </c>
      <c r="AMI5" s="48" t="n">
        <v>1655525.2</v>
      </c>
      <c r="AMJ5" s="48" t="n">
        <v>1656324.038</v>
      </c>
      <c r="AMK5" s="48" t="n">
        <v>1657024.599</v>
      </c>
      <c r="AML5" s="48" t="n">
        <v>1657886.732</v>
      </c>
      <c r="AMM5" s="48" t="n">
        <v>1658829.053</v>
      </c>
      <c r="AMN5" s="48" t="n">
        <v>1659709.986</v>
      </c>
      <c r="AMO5" s="48" t="n">
        <v>1660801.026</v>
      </c>
      <c r="AMP5" s="48" t="n">
        <v>1661783.029</v>
      </c>
      <c r="AMQ5" s="48" t="n">
        <v>1662834.337</v>
      </c>
      <c r="AMR5" s="48" t="n">
        <v>1664055.116</v>
      </c>
      <c r="AMS5" s="48" t="n">
        <v>1665405.449</v>
      </c>
      <c r="AMT5" s="48" t="n">
        <v>1666845.364</v>
      </c>
      <c r="AMU5" s="48" t="n">
        <v>1668029.545</v>
      </c>
      <c r="AMV5" s="48" t="n">
        <v>1668724.625</v>
      </c>
      <c r="AMW5" s="48" t="n">
        <v>1669280.56</v>
      </c>
      <c r="AMX5" s="48" t="n">
        <v>1670024.389</v>
      </c>
      <c r="AMY5" s="48" t="n">
        <v>1670874.687</v>
      </c>
      <c r="AMZ5" s="126" t="n"/>
      <c r="ANA5" s="48" t="n">
        <v>1671562.082</v>
      </c>
      <c r="ANB5" s="48" t="n">
        <v>1672385.74</v>
      </c>
      <c r="ANC5" s="48" t="n">
        <v>1672970.139</v>
      </c>
      <c r="AND5" s="48" t="n">
        <v>1674020.815</v>
      </c>
      <c r="ANE5" s="48" t="n">
        <v>1674757.834</v>
      </c>
      <c r="ANF5" s="48" t="n">
        <v>1675665.826</v>
      </c>
      <c r="ANG5" s="48" t="n">
        <v>1676506.255</v>
      </c>
      <c r="ANH5" s="48" t="n">
        <v>1677349.872</v>
      </c>
      <c r="ANI5" s="48" t="n">
        <v>1678231.395</v>
      </c>
      <c r="ANJ5" s="48" t="n">
        <v>1678983.578</v>
      </c>
      <c r="ANK5" s="48" t="n">
        <v>1679888.594</v>
      </c>
      <c r="ANL5" s="48" t="n">
        <v>1680728.868</v>
      </c>
      <c r="ANM5" s="48" t="n">
        <v>1681577.44</v>
      </c>
      <c r="ANN5" s="48" t="n">
        <v>1682504.583</v>
      </c>
      <c r="ANO5" s="48" t="n">
        <v>1683599.132</v>
      </c>
      <c r="ANP5" s="48" t="n">
        <v>1684396.232</v>
      </c>
      <c r="ANQ5" s="48" t="n">
        <v>1684829.392</v>
      </c>
      <c r="ANR5" s="48" t="n">
        <v>1685359.312</v>
      </c>
      <c r="ANS5" s="48" t="n">
        <v>1685898.847</v>
      </c>
      <c r="ANT5" s="48" t="n">
        <v>1686382.869</v>
      </c>
      <c r="ANU5" s="48" t="n">
        <v>1686951.763</v>
      </c>
      <c r="ANV5" s="48" t="n">
        <v>1687823.209</v>
      </c>
      <c r="ANW5" s="48" t="n">
        <v>1688431.826</v>
      </c>
      <c r="ANX5" s="48" t="n">
        <v>1689052.198</v>
      </c>
      <c r="ANY5" s="48" t="n">
        <v>1689718.485</v>
      </c>
      <c r="ANZ5" s="48" t="n">
        <v>1690493.447</v>
      </c>
      <c r="AOA5" s="48" t="n">
        <v>1691134.897</v>
      </c>
      <c r="AOB5" s="48" t="n">
        <v>1691705.729</v>
      </c>
      <c r="AOC5" s="48" t="n">
        <v>1692332.2</v>
      </c>
      <c r="AOD5" s="48" t="n">
        <v>1693160.057</v>
      </c>
      <c r="AOE5" t="n">
        <v>1693160.057</v>
      </c>
      <c r="AOF5" t="n">
        <v>674346.474</v>
      </c>
    </row>
    <row r="6">
      <c r="A6" s="157" t="n"/>
      <c r="C6" s="6" t="inlineStr">
        <is>
          <t>PMS 1 SALES</t>
        </is>
      </c>
      <c r="D6" s="16">
        <f>D5-D4</f>
        <v/>
      </c>
      <c r="E6" s="16">
        <f>E5-E4</f>
        <v/>
      </c>
      <c r="F6" s="16">
        <f>F5-F4</f>
        <v/>
      </c>
      <c r="G6" s="16">
        <f>G5-G4</f>
        <v/>
      </c>
      <c r="H6" s="16">
        <f>H5-H4</f>
        <v/>
      </c>
      <c r="I6" s="16">
        <f>I5-I4</f>
        <v/>
      </c>
      <c r="J6" s="16">
        <f>J5-J4</f>
        <v/>
      </c>
      <c r="K6" s="16">
        <f>K5-K4</f>
        <v/>
      </c>
      <c r="L6" s="16">
        <f>L5-L4</f>
        <v/>
      </c>
      <c r="M6" s="16">
        <f>M5-M4</f>
        <v/>
      </c>
      <c r="N6" s="16">
        <f>N5-N4</f>
        <v/>
      </c>
      <c r="O6" s="16">
        <f>O5-O4</f>
        <v/>
      </c>
      <c r="P6" s="16">
        <f>P5-P4</f>
        <v/>
      </c>
      <c r="Q6" s="16">
        <f>Q5-Q4</f>
        <v/>
      </c>
      <c r="R6" s="16">
        <f>R5-R4</f>
        <v/>
      </c>
      <c r="S6" s="16">
        <f>S5-S4</f>
        <v/>
      </c>
      <c r="T6" s="16">
        <f>T5-T4</f>
        <v/>
      </c>
      <c r="U6" s="16">
        <f>U5-U4</f>
        <v/>
      </c>
      <c r="V6" s="16">
        <f>V5-V4</f>
        <v/>
      </c>
      <c r="W6" s="16">
        <f>W5-W4</f>
        <v/>
      </c>
      <c r="X6" s="16">
        <f>X5-X4</f>
        <v/>
      </c>
      <c r="Y6" s="16">
        <f>Y5-Y4</f>
        <v/>
      </c>
      <c r="Z6" s="16">
        <f>Z5-Z4</f>
        <v/>
      </c>
      <c r="AA6" s="16">
        <f>AA5-AA4</f>
        <v/>
      </c>
      <c r="AB6" s="16">
        <f>AB5-AB4</f>
        <v/>
      </c>
      <c r="AC6" s="16">
        <f>AC5-AC4</f>
        <v/>
      </c>
      <c r="AD6" s="16">
        <f>AD5-AD4</f>
        <v/>
      </c>
      <c r="AE6" s="16">
        <f>AE5-AE4</f>
        <v/>
      </c>
      <c r="AF6" s="16">
        <f>AF5-AF4</f>
        <v/>
      </c>
      <c r="AG6" s="16">
        <f>AG5-AG4</f>
        <v/>
      </c>
      <c r="AH6" s="16">
        <f>AH5-AH4</f>
        <v/>
      </c>
      <c r="AI6" s="17">
        <f>SUM(D6:AH6)</f>
        <v/>
      </c>
      <c r="AJ6" s="16">
        <f>AJ5-AJ4</f>
        <v/>
      </c>
      <c r="AK6" s="16">
        <f>AK5-AK4</f>
        <v/>
      </c>
      <c r="AL6" s="16">
        <f>AL5-AL4</f>
        <v/>
      </c>
      <c r="AM6" s="16">
        <f>AM5-AM4</f>
        <v/>
      </c>
      <c r="AN6" s="16">
        <f>AN5-AN4</f>
        <v/>
      </c>
      <c r="AO6" s="16">
        <f>AO5-AO4</f>
        <v/>
      </c>
      <c r="AP6" s="16">
        <f>AP5-AP4</f>
        <v/>
      </c>
      <c r="AQ6" s="16">
        <f>AQ5-AQ4</f>
        <v/>
      </c>
      <c r="AR6" s="16">
        <f>AR5-AR4</f>
        <v/>
      </c>
      <c r="AS6" s="16">
        <f>AS5-AS4</f>
        <v/>
      </c>
      <c r="AT6" s="16">
        <f>AT5-AT4</f>
        <v/>
      </c>
      <c r="AU6" s="16">
        <f>AU5-AU4</f>
        <v/>
      </c>
      <c r="AV6" s="16">
        <f>AV5-AV4</f>
        <v/>
      </c>
      <c r="AW6" s="16">
        <f>AW5-AW4</f>
        <v/>
      </c>
      <c r="AX6" s="16">
        <f>AX5-AX4</f>
        <v/>
      </c>
      <c r="AY6" s="16">
        <f>AY5-AY4</f>
        <v/>
      </c>
      <c r="AZ6" s="16">
        <f>AZ5-AZ4</f>
        <v/>
      </c>
      <c r="BA6" s="16">
        <f>BA5-BA4</f>
        <v/>
      </c>
      <c r="BB6" s="16">
        <f>BB5-BB4</f>
        <v/>
      </c>
      <c r="BC6" s="16">
        <f>BC5-BC4</f>
        <v/>
      </c>
      <c r="BD6" s="16">
        <f>BD5-BD4</f>
        <v/>
      </c>
      <c r="BE6" s="16">
        <f>BE5-BE4</f>
        <v/>
      </c>
      <c r="BF6" s="16">
        <f>BF5-BF4</f>
        <v/>
      </c>
      <c r="BG6" s="16">
        <f>BG5-BG4</f>
        <v/>
      </c>
      <c r="BH6" s="16">
        <f>BH5-BH4</f>
        <v/>
      </c>
      <c r="BI6" s="16">
        <f>BI5-BI4</f>
        <v/>
      </c>
      <c r="BJ6" s="16">
        <f>BJ5-BJ4</f>
        <v/>
      </c>
      <c r="BK6" s="16">
        <f>BK5-BK4</f>
        <v/>
      </c>
      <c r="BL6" s="16">
        <f>BL5-BL4</f>
        <v/>
      </c>
      <c r="BM6" s="16">
        <f>BM5-BM4</f>
        <v/>
      </c>
      <c r="BN6" s="89">
        <f>SUM(AJ6:BM6)</f>
        <v/>
      </c>
      <c r="BO6" s="16">
        <f>BO5-BO4</f>
        <v/>
      </c>
      <c r="BP6" s="16">
        <f>BP5-BP4</f>
        <v/>
      </c>
      <c r="BQ6" s="16">
        <f>BQ5-BQ4</f>
        <v/>
      </c>
      <c r="BR6" s="16">
        <f>BR5-BR4</f>
        <v/>
      </c>
      <c r="BS6" s="16">
        <f>BS5-BS4</f>
        <v/>
      </c>
      <c r="BT6" s="16">
        <f>BT5-BT4</f>
        <v/>
      </c>
      <c r="BU6" s="16">
        <f>BU5-BU4</f>
        <v/>
      </c>
      <c r="BV6" s="16">
        <f>BV5-BV4</f>
        <v/>
      </c>
      <c r="BW6" s="16">
        <f>BW5-BW4</f>
        <v/>
      </c>
      <c r="BX6" s="16">
        <f>BX5-BX4</f>
        <v/>
      </c>
      <c r="BY6" s="16">
        <f>BY5-BY4</f>
        <v/>
      </c>
      <c r="BZ6" s="16">
        <f>BZ5-BZ4</f>
        <v/>
      </c>
      <c r="CA6" s="16">
        <f>CA5-CA4</f>
        <v/>
      </c>
      <c r="CB6" s="16">
        <f>CB5-CB4</f>
        <v/>
      </c>
      <c r="CC6" s="16">
        <f>CC5-CC4</f>
        <v/>
      </c>
      <c r="CD6" s="16">
        <f>CD5-CD4</f>
        <v/>
      </c>
      <c r="CE6" s="16">
        <f>CE5-CE4</f>
        <v/>
      </c>
      <c r="CF6" s="16">
        <f>CF5-CF4</f>
        <v/>
      </c>
      <c r="CG6" s="16">
        <f>CG5-CG4</f>
        <v/>
      </c>
      <c r="CH6" s="16">
        <f>CH5-CH4</f>
        <v/>
      </c>
      <c r="CI6" s="16">
        <f>CI5-CI4</f>
        <v/>
      </c>
      <c r="CJ6" s="16">
        <f>CJ5-CJ4</f>
        <v/>
      </c>
      <c r="CK6" s="16">
        <f>CK5-CK4</f>
        <v/>
      </c>
      <c r="CL6" s="16">
        <f>CL5-CL4</f>
        <v/>
      </c>
      <c r="CM6" s="16">
        <f>CM5-CM4</f>
        <v/>
      </c>
      <c r="CN6" s="16">
        <f>CN5-CN4</f>
        <v/>
      </c>
      <c r="CO6" s="16">
        <f>CO5-CO4</f>
        <v/>
      </c>
      <c r="CP6" s="16">
        <f>CP5-CP4</f>
        <v/>
      </c>
      <c r="CQ6" s="16">
        <f>CQ5-CQ4</f>
        <v/>
      </c>
      <c r="CR6" s="16">
        <f>CR5-CR4</f>
        <v/>
      </c>
      <c r="CS6" s="16">
        <f>CS5-CS4</f>
        <v/>
      </c>
      <c r="CT6" s="89">
        <f>SUM(BO6:CS6)</f>
        <v/>
      </c>
      <c r="CU6" s="16">
        <f>CU5-CU4</f>
        <v/>
      </c>
      <c r="CV6" s="16">
        <f>CV5-CV4</f>
        <v/>
      </c>
      <c r="CW6" s="16">
        <f>CW5-CW4</f>
        <v/>
      </c>
      <c r="CX6" s="16">
        <f>CX5-CX4</f>
        <v/>
      </c>
      <c r="CY6" s="16">
        <f>CY5-CY4</f>
        <v/>
      </c>
      <c r="CZ6" s="16">
        <f>CZ5-CZ4</f>
        <v/>
      </c>
      <c r="DA6" s="16">
        <f>DA5-DA4</f>
        <v/>
      </c>
      <c r="DB6" s="16">
        <f>DB5-DB4</f>
        <v/>
      </c>
      <c r="DC6" s="16">
        <f>DC5-DC4</f>
        <v/>
      </c>
      <c r="DD6" s="16">
        <f>DD5-DD4</f>
        <v/>
      </c>
      <c r="DE6" s="16">
        <f>DE5-DE4</f>
        <v/>
      </c>
      <c r="DF6" s="16">
        <f>DF5-DF4</f>
        <v/>
      </c>
      <c r="DG6" s="16">
        <f>DG5-DG4</f>
        <v/>
      </c>
      <c r="DH6" s="16">
        <f>DH5-DH4</f>
        <v/>
      </c>
      <c r="DI6" s="16">
        <f>DI5-DI4</f>
        <v/>
      </c>
      <c r="DJ6" s="16">
        <f>DJ5-DJ4</f>
        <v/>
      </c>
      <c r="DK6" s="16">
        <f>DK5-DK4</f>
        <v/>
      </c>
      <c r="DL6" s="16">
        <f>DL5-DL4</f>
        <v/>
      </c>
      <c r="DM6" s="16">
        <f>DM5-DM4</f>
        <v/>
      </c>
      <c r="DN6" s="16">
        <f>DN5-DN4</f>
        <v/>
      </c>
      <c r="DO6" s="16">
        <f>DO5-DO4</f>
        <v/>
      </c>
      <c r="DP6" s="16">
        <f>DP5-DP4</f>
        <v/>
      </c>
      <c r="DQ6" s="16">
        <f>DQ5-DQ4</f>
        <v/>
      </c>
      <c r="DR6" s="16">
        <f>DR5-DR4</f>
        <v/>
      </c>
      <c r="DS6" s="16">
        <f>DS5-DS4</f>
        <v/>
      </c>
      <c r="DT6" s="16">
        <f>DT5-DT4</f>
        <v/>
      </c>
      <c r="DU6" s="16">
        <f>DU5-DU4</f>
        <v/>
      </c>
      <c r="DV6" s="16">
        <f>DV5-DV4</f>
        <v/>
      </c>
      <c r="DW6" s="16">
        <f>DW5-DW4</f>
        <v/>
      </c>
      <c r="DX6" s="16">
        <f>DX5-DX4</f>
        <v/>
      </c>
      <c r="DY6" s="116">
        <f>SUM(CU6:DX6)</f>
        <v/>
      </c>
      <c r="DZ6" s="16">
        <f>DZ5-DZ4</f>
        <v/>
      </c>
      <c r="EA6" s="16">
        <f>EA5-EA4</f>
        <v/>
      </c>
      <c r="EB6" s="16">
        <f>EB5-EB4</f>
        <v/>
      </c>
      <c r="EC6" s="16">
        <f>EC5-EC4</f>
        <v/>
      </c>
      <c r="ED6" s="16">
        <f>ED5-ED4</f>
        <v/>
      </c>
      <c r="EE6" s="16">
        <f>EE5-EE4</f>
        <v/>
      </c>
      <c r="EF6" s="16">
        <f>EF5-EF4</f>
        <v/>
      </c>
      <c r="EG6" s="16">
        <f>EG5-EG4</f>
        <v/>
      </c>
      <c r="EH6" s="16">
        <f>EH5-EH4</f>
        <v/>
      </c>
      <c r="EI6" s="16">
        <f>EI5-EI4</f>
        <v/>
      </c>
      <c r="EJ6" s="16">
        <f>EJ5-EJ4</f>
        <v/>
      </c>
      <c r="EK6" s="16">
        <f>EK5-EK4</f>
        <v/>
      </c>
      <c r="EL6" s="16">
        <f>EL5-EL4</f>
        <v/>
      </c>
      <c r="EM6" s="16">
        <f>EM5-EM4</f>
        <v/>
      </c>
      <c r="EN6" s="16">
        <f>EN5-EN4</f>
        <v/>
      </c>
      <c r="EO6" s="16">
        <f>EO5-EO4</f>
        <v/>
      </c>
      <c r="EP6" s="16">
        <f>EP5-EP4</f>
        <v/>
      </c>
      <c r="EQ6" s="16">
        <f>EQ5-EQ4</f>
        <v/>
      </c>
      <c r="ER6" s="16">
        <f>ER5-ER4</f>
        <v/>
      </c>
      <c r="ES6" s="16">
        <f>ES5-ES4</f>
        <v/>
      </c>
      <c r="ET6" s="16">
        <f>ET5-ET4</f>
        <v/>
      </c>
      <c r="EU6" s="16">
        <f>EU5-EU4</f>
        <v/>
      </c>
      <c r="EV6" s="16">
        <f>EV5-EV4</f>
        <v/>
      </c>
      <c r="EW6" s="16">
        <f>EW5-EW4</f>
        <v/>
      </c>
      <c r="EX6" s="16">
        <f>EX5-EX4</f>
        <v/>
      </c>
      <c r="EY6" s="16">
        <f>EY5-EY4</f>
        <v/>
      </c>
      <c r="EZ6" s="16">
        <f>EZ5-EZ4</f>
        <v/>
      </c>
      <c r="FA6" s="16">
        <f>FA5-FA4</f>
        <v/>
      </c>
      <c r="FB6" s="16">
        <f>FB5-FB4</f>
        <v/>
      </c>
      <c r="FC6" s="16">
        <f>FC5-FC4</f>
        <v/>
      </c>
      <c r="FD6" s="16">
        <f>FD5-FD4</f>
        <v/>
      </c>
      <c r="FE6" s="127">
        <f>SUM(DZ6:FD6)</f>
        <v/>
      </c>
      <c r="FF6" s="16">
        <f>FF5-FF4</f>
        <v/>
      </c>
      <c r="FG6" s="16">
        <f>FG5-FG4</f>
        <v/>
      </c>
      <c r="FH6" s="16">
        <f>FH5-FH4</f>
        <v/>
      </c>
      <c r="FI6" s="16">
        <f>FI5-FI4</f>
        <v/>
      </c>
      <c r="FJ6" s="16">
        <f>FJ5-FJ4</f>
        <v/>
      </c>
      <c r="FK6" s="16">
        <f>FK5-FK4</f>
        <v/>
      </c>
      <c r="FL6" s="16">
        <f>FL5-FL4</f>
        <v/>
      </c>
      <c r="FM6" s="16">
        <f>FM5-FM4</f>
        <v/>
      </c>
      <c r="FN6" s="16">
        <f>FN5-FN4</f>
        <v/>
      </c>
      <c r="FO6" s="16">
        <f>FO5-FO4</f>
        <v/>
      </c>
      <c r="FP6" s="16">
        <f>FP5-FP4</f>
        <v/>
      </c>
      <c r="FQ6" s="16">
        <f>FQ5-FQ4</f>
        <v/>
      </c>
      <c r="FR6" s="16">
        <f>FR5-FR4</f>
        <v/>
      </c>
      <c r="FS6" s="16">
        <f>FS5-FS4</f>
        <v/>
      </c>
      <c r="FT6" s="16">
        <f>FT5-FT4</f>
        <v/>
      </c>
      <c r="FU6" s="16">
        <f>FU5-FU4</f>
        <v/>
      </c>
      <c r="FV6" s="16">
        <f>FV5-FV4</f>
        <v/>
      </c>
      <c r="FW6" s="16">
        <f>FW5-FW4</f>
        <v/>
      </c>
      <c r="FX6" s="16">
        <f>FX5-FX4</f>
        <v/>
      </c>
      <c r="FY6" s="16">
        <f>FY5-FY4</f>
        <v/>
      </c>
      <c r="FZ6" s="16">
        <f>FZ5-FZ4</f>
        <v/>
      </c>
      <c r="GA6" s="16">
        <f>GA5-GA4</f>
        <v/>
      </c>
      <c r="GB6" s="16">
        <f>GB5-GB4</f>
        <v/>
      </c>
      <c r="GC6" s="16">
        <f>GC5-GC4</f>
        <v/>
      </c>
      <c r="GD6" s="16">
        <f>GD5-GD4</f>
        <v/>
      </c>
      <c r="GE6" s="16">
        <f>GE5-GE4</f>
        <v/>
      </c>
      <c r="GF6" s="16">
        <f>GF5-GF4</f>
        <v/>
      </c>
      <c r="GG6" s="16">
        <f>GG5-GG4</f>
        <v/>
      </c>
      <c r="GH6" s="16">
        <f>GH5-GH4</f>
        <v/>
      </c>
      <c r="GI6" s="16">
        <f>GI5-GI4</f>
        <v/>
      </c>
      <c r="GJ6" s="16">
        <f>GJ5-GJ4</f>
        <v/>
      </c>
      <c r="GK6" s="126" t="n"/>
      <c r="GL6" s="16">
        <f>GL5-GL4</f>
        <v/>
      </c>
      <c r="GM6" s="16">
        <f>GM5-GM4</f>
        <v/>
      </c>
      <c r="GN6" s="16">
        <f>GN5-GN4</f>
        <v/>
      </c>
      <c r="GO6" s="16">
        <f>GO5-GO4</f>
        <v/>
      </c>
      <c r="GP6" s="16">
        <f>GP5-GP4</f>
        <v/>
      </c>
      <c r="GQ6" s="16">
        <f>GQ5-GQ4</f>
        <v/>
      </c>
      <c r="GR6" s="16">
        <f>GR5-GR4</f>
        <v/>
      </c>
      <c r="GS6" s="16">
        <f>GS5-GS4</f>
        <v/>
      </c>
      <c r="GT6" s="16">
        <f>GT5-GT4</f>
        <v/>
      </c>
      <c r="GU6" s="16">
        <f>GU5-GU4</f>
        <v/>
      </c>
      <c r="GV6" s="16">
        <f>GV5-GV4</f>
        <v/>
      </c>
      <c r="GW6" s="16">
        <f>GW5-GW4</f>
        <v/>
      </c>
      <c r="GX6" s="16">
        <f>GX5-GX4</f>
        <v/>
      </c>
      <c r="GY6" s="16">
        <f>GY5-GY4</f>
        <v/>
      </c>
      <c r="GZ6" s="16">
        <f>GZ5-GZ4</f>
        <v/>
      </c>
      <c r="HA6" s="16">
        <f>HA5-HA4</f>
        <v/>
      </c>
      <c r="HB6" s="16">
        <f>HB5-HB4</f>
        <v/>
      </c>
      <c r="HC6" s="16">
        <f>HC5-HC4</f>
        <v/>
      </c>
      <c r="HD6" s="16">
        <f>HD5-HD4</f>
        <v/>
      </c>
      <c r="HE6" s="16">
        <f>HE5-HE4</f>
        <v/>
      </c>
      <c r="HF6" s="16">
        <f>HF5-HF4</f>
        <v/>
      </c>
      <c r="HG6" s="16">
        <f>HG5-HG4</f>
        <v/>
      </c>
      <c r="HH6" s="16">
        <f>HH5-HH4</f>
        <v/>
      </c>
      <c r="HI6" s="16">
        <f>HI5-HI4</f>
        <v/>
      </c>
      <c r="HJ6" s="16">
        <f>HJ5-HJ4</f>
        <v/>
      </c>
      <c r="HK6" s="16">
        <f>HK5-HK4</f>
        <v/>
      </c>
      <c r="HL6" s="16">
        <f>HL5-HL4</f>
        <v/>
      </c>
      <c r="HM6" s="16">
        <f>HM5-HM4</f>
        <v/>
      </c>
      <c r="HN6" s="16">
        <f>HN5-HN4</f>
        <v/>
      </c>
      <c r="HO6" s="126" t="n"/>
      <c r="HP6" s="16">
        <f>HP5-HP4</f>
        <v/>
      </c>
      <c r="HQ6" s="16">
        <f>HQ5-HQ4</f>
        <v/>
      </c>
      <c r="HR6" s="16">
        <f>HR5-HR4</f>
        <v/>
      </c>
      <c r="HS6" s="16">
        <f>HS5-HS4</f>
        <v/>
      </c>
      <c r="HT6" s="16">
        <f>HT5-HT4</f>
        <v/>
      </c>
      <c r="HU6" s="16">
        <f>HU5-HU4</f>
        <v/>
      </c>
      <c r="HV6" s="16">
        <f>HV5-HV4</f>
        <v/>
      </c>
      <c r="HW6" s="16">
        <f>HW5-HW4</f>
        <v/>
      </c>
      <c r="HX6" s="16">
        <f>HX5-HX4</f>
        <v/>
      </c>
      <c r="HY6" s="16">
        <f>HY5-HY4</f>
        <v/>
      </c>
      <c r="HZ6" s="16">
        <f>HZ5-HZ4</f>
        <v/>
      </c>
      <c r="IA6" s="16">
        <f>IA5-IA4</f>
        <v/>
      </c>
      <c r="IB6" s="16">
        <f>IB5-IB4</f>
        <v/>
      </c>
      <c r="IC6" s="16">
        <f>IC5-IC4</f>
        <v/>
      </c>
      <c r="ID6" s="16">
        <f>ID5-ID4</f>
        <v/>
      </c>
      <c r="IE6" s="16">
        <f>IE5-IE4</f>
        <v/>
      </c>
      <c r="IF6" s="16">
        <f>IF5-IF4</f>
        <v/>
      </c>
      <c r="IG6" s="16">
        <f>IG5-IG4</f>
        <v/>
      </c>
      <c r="IH6" s="16">
        <f>IH5-IH4</f>
        <v/>
      </c>
      <c r="II6" s="16">
        <f>II5-II4</f>
        <v/>
      </c>
      <c r="IJ6" s="16">
        <f>IJ5-IJ4</f>
        <v/>
      </c>
      <c r="IK6" s="16">
        <f>IK5-IK4</f>
        <v/>
      </c>
      <c r="IL6" s="16">
        <f>IL5-IL4</f>
        <v/>
      </c>
      <c r="IM6" s="16">
        <f>IM5-IM4</f>
        <v/>
      </c>
      <c r="IN6" s="16">
        <f>IN5-IN4</f>
        <v/>
      </c>
      <c r="IO6" s="16">
        <f>IO5-IO4</f>
        <v/>
      </c>
      <c r="IP6" s="16">
        <f>IP5-IP4</f>
        <v/>
      </c>
      <c r="IQ6" s="16">
        <f>IQ5-IQ4</f>
        <v/>
      </c>
      <c r="IR6" s="16">
        <f>IR5-IR4</f>
        <v/>
      </c>
      <c r="IS6" s="16">
        <f>IS5-IS4</f>
        <v/>
      </c>
      <c r="IT6" s="16">
        <f>IT5-IT4</f>
        <v/>
      </c>
      <c r="IU6" s="126" t="n"/>
      <c r="IV6" s="16">
        <f>IV5-IV4</f>
        <v/>
      </c>
      <c r="IW6" s="16">
        <f>IW5-IW4</f>
        <v/>
      </c>
      <c r="IX6" s="16">
        <f>IX5-IX4</f>
        <v/>
      </c>
      <c r="IY6" s="16">
        <f>IY5-IY4</f>
        <v/>
      </c>
      <c r="IZ6" s="16">
        <f>IZ5-IZ4</f>
        <v/>
      </c>
      <c r="JA6" s="16">
        <f>JA5-JA4</f>
        <v/>
      </c>
      <c r="JB6" s="16">
        <f>JB5-JB4</f>
        <v/>
      </c>
      <c r="JC6" s="16">
        <f>JC5-JC4</f>
        <v/>
      </c>
      <c r="JD6" s="16">
        <f>JD5-JD4</f>
        <v/>
      </c>
      <c r="JE6" s="16">
        <f>JE5-JE4</f>
        <v/>
      </c>
      <c r="JF6" s="16">
        <f>JF5-JF4</f>
        <v/>
      </c>
      <c r="JG6" s="16">
        <f>JG5-JG4</f>
        <v/>
      </c>
      <c r="JH6" s="16">
        <f>JH5-JH4</f>
        <v/>
      </c>
      <c r="JI6" s="16">
        <f>JI5-JI4</f>
        <v/>
      </c>
      <c r="JJ6" s="16">
        <f>JJ5-JJ4</f>
        <v/>
      </c>
      <c r="JK6" s="16">
        <f>JK5-JK4</f>
        <v/>
      </c>
      <c r="JL6" s="16">
        <f>JL5-JL4</f>
        <v/>
      </c>
      <c r="JM6" s="16">
        <f>JM5-JM4</f>
        <v/>
      </c>
      <c r="JN6" s="16">
        <f>JN5-JN4</f>
        <v/>
      </c>
      <c r="JO6" s="16">
        <f>JO5-JO4</f>
        <v/>
      </c>
      <c r="JP6" s="16">
        <f>JP5-JP4</f>
        <v/>
      </c>
      <c r="JQ6" s="16">
        <f>JQ5-JQ4</f>
        <v/>
      </c>
      <c r="JR6" s="16">
        <f>JR5-JR4</f>
        <v/>
      </c>
      <c r="JS6" s="16">
        <f>JS5-JS4</f>
        <v/>
      </c>
      <c r="JT6" s="16">
        <f>JT5-JT4</f>
        <v/>
      </c>
      <c r="JU6" s="16">
        <f>JU5-JU4</f>
        <v/>
      </c>
      <c r="JV6" s="16">
        <f>JV5-JV4</f>
        <v/>
      </c>
      <c r="JW6" s="16">
        <f>JW5-JW4</f>
        <v/>
      </c>
      <c r="JX6" s="16">
        <f>JX5-JX4</f>
        <v/>
      </c>
      <c r="JY6" s="16">
        <f>JY5-JY4</f>
        <v/>
      </c>
      <c r="JZ6" s="127">
        <f>SUM(IV6:JY6)</f>
        <v/>
      </c>
      <c r="KA6" s="16">
        <f>KA5-KA4</f>
        <v/>
      </c>
      <c r="KB6" s="16">
        <f>KB5-KB4</f>
        <v/>
      </c>
      <c r="KC6" s="16">
        <f>KC5-KC4</f>
        <v/>
      </c>
      <c r="KD6" s="16">
        <f>KD5-KD4</f>
        <v/>
      </c>
      <c r="KE6" s="16">
        <f>KE5-KE4</f>
        <v/>
      </c>
      <c r="KF6" s="16">
        <f>KF5-KF4</f>
        <v/>
      </c>
      <c r="KG6" s="16">
        <f>KG5-KG4</f>
        <v/>
      </c>
      <c r="KH6" s="16">
        <f>KH5-KH4</f>
        <v/>
      </c>
      <c r="KI6" s="16">
        <f>KI5-KI4</f>
        <v/>
      </c>
      <c r="KJ6" s="16">
        <f>KJ5-KJ4</f>
        <v/>
      </c>
      <c r="KK6" s="16">
        <f>KK5-KK4</f>
        <v/>
      </c>
      <c r="KL6" s="16">
        <f>KL5-KL4</f>
        <v/>
      </c>
      <c r="KM6" s="16">
        <f>KM5-KM4</f>
        <v/>
      </c>
      <c r="KN6" s="16">
        <f>KN5-KN4</f>
        <v/>
      </c>
      <c r="KO6" s="16">
        <f>KO5-KO4</f>
        <v/>
      </c>
      <c r="KP6" s="16">
        <f>KP5-KP4</f>
        <v/>
      </c>
      <c r="KQ6" s="16">
        <f>KQ5-KQ4</f>
        <v/>
      </c>
      <c r="KR6" s="16">
        <f>KR5-KR4</f>
        <v/>
      </c>
      <c r="KS6" s="16">
        <f>KS5-KS4</f>
        <v/>
      </c>
      <c r="KT6" s="16">
        <f>KT5-KT4</f>
        <v/>
      </c>
      <c r="KU6" s="16">
        <f>KU5-KU4</f>
        <v/>
      </c>
      <c r="KV6" s="16">
        <f>KV5-KV4</f>
        <v/>
      </c>
      <c r="KW6" s="16">
        <f>KW5-KW4</f>
        <v/>
      </c>
      <c r="KX6" s="16">
        <f>KX5-KX4</f>
        <v/>
      </c>
      <c r="KY6" s="16">
        <f>KY5-KY4</f>
        <v/>
      </c>
      <c r="KZ6" s="16">
        <f>KZ5-KZ4</f>
        <v/>
      </c>
      <c r="LA6" s="16">
        <f>LA5-LA4</f>
        <v/>
      </c>
      <c r="LB6" s="16">
        <f>LB5-LB4</f>
        <v/>
      </c>
      <c r="LC6" s="16">
        <f>LC5-LC4</f>
        <v/>
      </c>
      <c r="LD6" s="16">
        <f>LD5-LD4</f>
        <v/>
      </c>
      <c r="LE6" s="16">
        <f>LE5-LE4</f>
        <v/>
      </c>
      <c r="LF6" s="127">
        <f>SUM(KA6:LE6)</f>
        <v/>
      </c>
      <c r="LG6" s="16">
        <f>LG5-LG4</f>
        <v/>
      </c>
      <c r="LH6" s="16">
        <f>LH5-LH4</f>
        <v/>
      </c>
      <c r="LI6" s="16">
        <f>LI5-LI4</f>
        <v/>
      </c>
      <c r="LJ6" s="16">
        <f>LJ5-LJ4</f>
        <v/>
      </c>
      <c r="LK6" s="16">
        <f>LK5-LK4</f>
        <v/>
      </c>
      <c r="LL6" s="16">
        <f>LL5-LL4</f>
        <v/>
      </c>
      <c r="LM6" s="16">
        <f>LM5-LM4</f>
        <v/>
      </c>
      <c r="LN6" s="16">
        <f>LN5-LN4</f>
        <v/>
      </c>
      <c r="LO6" s="16">
        <f>LO5-LO4</f>
        <v/>
      </c>
      <c r="LP6" s="16">
        <f>LP5-LP4</f>
        <v/>
      </c>
      <c r="LQ6" s="16">
        <f>LQ5-LQ4</f>
        <v/>
      </c>
      <c r="LR6" s="16">
        <f>LR5-LR4</f>
        <v/>
      </c>
      <c r="LS6" s="16">
        <f>LS5-LS4</f>
        <v/>
      </c>
      <c r="LT6" s="16">
        <f>LT5-LT4</f>
        <v/>
      </c>
      <c r="LU6" s="16">
        <f>LU5-LU4</f>
        <v/>
      </c>
      <c r="LV6" s="16">
        <f>LV5-LV4</f>
        <v/>
      </c>
      <c r="LW6" s="16">
        <f>LW5-LW4</f>
        <v/>
      </c>
      <c r="LX6" s="16">
        <f>LX5-LX4</f>
        <v/>
      </c>
      <c r="LY6" s="16">
        <f>LY5-LY4</f>
        <v/>
      </c>
      <c r="LZ6" s="16">
        <f>LZ5-LZ4</f>
        <v/>
      </c>
      <c r="MA6" s="16">
        <f>MA5-MA4</f>
        <v/>
      </c>
      <c r="MB6" s="16">
        <f>MB5-MB4</f>
        <v/>
      </c>
      <c r="MC6" s="16">
        <f>MC5-MC4</f>
        <v/>
      </c>
      <c r="MD6" s="16">
        <f>MD5-MD4</f>
        <v/>
      </c>
      <c r="ME6" s="16">
        <f>ME5-ME4</f>
        <v/>
      </c>
      <c r="MF6" s="16">
        <f>MF5-MF4</f>
        <v/>
      </c>
      <c r="MG6" s="16">
        <f>MG5-MG4</f>
        <v/>
      </c>
      <c r="MH6" s="16">
        <f>MH5-MH4</f>
        <v/>
      </c>
      <c r="MI6" s="16">
        <f>MI5-MI4</f>
        <v/>
      </c>
      <c r="MJ6" s="16">
        <f>MJ5-MJ4</f>
        <v/>
      </c>
      <c r="MK6" s="127">
        <f>SUM(LF6:MJ6)</f>
        <v/>
      </c>
      <c r="ML6" s="16">
        <f>ML5-ML4</f>
        <v/>
      </c>
      <c r="MM6" s="16">
        <f>MM5-MM4</f>
        <v/>
      </c>
      <c r="MN6" s="16">
        <f>MN5-MN4</f>
        <v/>
      </c>
      <c r="MO6" s="16">
        <f>MO5-MO4</f>
        <v/>
      </c>
      <c r="MP6" s="16">
        <f>MP5-MP4</f>
        <v/>
      </c>
      <c r="MQ6" s="16">
        <f>MQ5-MQ4</f>
        <v/>
      </c>
      <c r="MR6" s="16">
        <f>MR5-MR4</f>
        <v/>
      </c>
      <c r="MS6" s="16">
        <f>MS5-MS4</f>
        <v/>
      </c>
      <c r="MT6" s="16">
        <f>MT5-MT4</f>
        <v/>
      </c>
      <c r="MU6" s="16">
        <f>MU5-MU4</f>
        <v/>
      </c>
      <c r="MV6" s="16">
        <f>MV5-MV4</f>
        <v/>
      </c>
      <c r="MW6" s="16">
        <f>MW5-MW4</f>
        <v/>
      </c>
      <c r="MX6" s="16">
        <f>MX5-MX4</f>
        <v/>
      </c>
      <c r="MY6" s="16">
        <f>MY5-MY4</f>
        <v/>
      </c>
      <c r="MZ6" s="16">
        <f>MZ5-MZ4</f>
        <v/>
      </c>
      <c r="NA6" s="16">
        <f>NA5-NA4</f>
        <v/>
      </c>
      <c r="NB6" s="16">
        <f>NB5-NB4</f>
        <v/>
      </c>
      <c r="NC6" s="16">
        <f>NC5-NC4</f>
        <v/>
      </c>
      <c r="ND6" s="16">
        <f>ND5-ND4</f>
        <v/>
      </c>
      <c r="NE6" s="16">
        <f>NE5-NE4</f>
        <v/>
      </c>
      <c r="NF6" s="16">
        <f>NF5-NF4</f>
        <v/>
      </c>
      <c r="NG6" s="16">
        <f>NG5-NG4</f>
        <v/>
      </c>
      <c r="NH6" s="16">
        <f>NH5-NH4</f>
        <v/>
      </c>
      <c r="NI6" s="16">
        <f>NI5-NI4</f>
        <v/>
      </c>
      <c r="NJ6" s="16">
        <f>NJ5-NJ4</f>
        <v/>
      </c>
      <c r="NK6" s="16">
        <f>NK5-NK4</f>
        <v/>
      </c>
      <c r="NL6" s="16">
        <f>NL5-NL4</f>
        <v/>
      </c>
      <c r="NM6" s="16">
        <f>NM5-NM4</f>
        <v/>
      </c>
      <c r="NN6" s="16">
        <f>NN5-NN4</f>
        <v/>
      </c>
      <c r="NO6" s="16">
        <f>NO5-NO4</f>
        <v/>
      </c>
      <c r="NP6" s="16">
        <f>NP5-NP4</f>
        <v/>
      </c>
      <c r="NQ6" s="127">
        <f>SUM(ML6:NP6)</f>
        <v/>
      </c>
      <c r="NR6" s="16">
        <f>NR5-NR4</f>
        <v/>
      </c>
      <c r="NS6" s="16">
        <f>NS5-NS4</f>
        <v/>
      </c>
      <c r="NT6" s="16">
        <f>NT5-NT4</f>
        <v/>
      </c>
      <c r="NU6" s="16">
        <f>NU5-NU4</f>
        <v/>
      </c>
      <c r="NV6" s="16">
        <f>NV5-NV4</f>
        <v/>
      </c>
      <c r="NW6" s="16">
        <f>NW5-NW4</f>
        <v/>
      </c>
      <c r="NX6" s="16">
        <f>NX5-NX4</f>
        <v/>
      </c>
      <c r="NY6" s="16">
        <f>NY5-NY4</f>
        <v/>
      </c>
      <c r="NZ6" s="16">
        <f>NZ5-NZ4</f>
        <v/>
      </c>
      <c r="OA6" s="16">
        <f>OA5-OA4</f>
        <v/>
      </c>
      <c r="OB6" s="16">
        <f>OB5-OB4</f>
        <v/>
      </c>
      <c r="OC6" s="16">
        <f>OC5-OC4</f>
        <v/>
      </c>
      <c r="OD6" s="16">
        <f>OD5-OD4</f>
        <v/>
      </c>
      <c r="OE6" s="16">
        <f>OE5-OE4</f>
        <v/>
      </c>
      <c r="OF6" s="16">
        <f>OF5-OF4</f>
        <v/>
      </c>
      <c r="OG6" s="16">
        <f>OG5-OG4</f>
        <v/>
      </c>
      <c r="OH6" s="16">
        <f>OH5-OH4</f>
        <v/>
      </c>
      <c r="OI6" s="16">
        <f>OI5-OI4</f>
        <v/>
      </c>
      <c r="OJ6" s="16">
        <f>OJ5-OJ4</f>
        <v/>
      </c>
      <c r="OK6" s="16">
        <f>OK5-OK4</f>
        <v/>
      </c>
      <c r="OL6" s="16">
        <f>OL5-OL4</f>
        <v/>
      </c>
      <c r="OM6" s="16">
        <f>OM5-OM4</f>
        <v/>
      </c>
      <c r="ON6" s="16">
        <f>ON5-ON4</f>
        <v/>
      </c>
      <c r="OO6" s="16">
        <f>OO5-OO4</f>
        <v/>
      </c>
      <c r="OP6" s="16">
        <f>OP5-OP4</f>
        <v/>
      </c>
      <c r="OQ6" s="16">
        <f>OQ5-OQ4</f>
        <v/>
      </c>
      <c r="OR6" s="16">
        <f>OR5-OR4</f>
        <v/>
      </c>
      <c r="OS6" s="16">
        <f>OS5-OS4</f>
        <v/>
      </c>
      <c r="OT6" s="16">
        <f>OT5-OT4</f>
        <v/>
      </c>
      <c r="OU6" s="16">
        <f>OU5-OU4</f>
        <v/>
      </c>
      <c r="OV6" s="16">
        <f>OV5-OV4</f>
        <v/>
      </c>
      <c r="OW6" s="127">
        <f>SUM(NR6:OV6)</f>
        <v/>
      </c>
      <c r="OX6" s="16">
        <f>OX5-OX4</f>
        <v/>
      </c>
      <c r="OY6" s="16">
        <f>OY5-OY4</f>
        <v/>
      </c>
      <c r="OZ6" s="16">
        <f>OZ5-OZ4</f>
        <v/>
      </c>
      <c r="PA6" s="16">
        <f>PA5-PA4</f>
        <v/>
      </c>
      <c r="PB6" s="16">
        <f>PB5-PB4</f>
        <v/>
      </c>
      <c r="PC6" s="16">
        <f>PC5-PC4</f>
        <v/>
      </c>
      <c r="PD6" s="16">
        <f>PD5-PD4</f>
        <v/>
      </c>
      <c r="PE6" s="16">
        <f>PE5-PE4</f>
        <v/>
      </c>
      <c r="PF6" s="16">
        <f>PF5-PF4</f>
        <v/>
      </c>
      <c r="PG6" s="16">
        <f>PG5-PG4</f>
        <v/>
      </c>
      <c r="PH6" s="16">
        <f>PH5-PH4</f>
        <v/>
      </c>
      <c r="PI6" s="16">
        <f>PI5-PI4</f>
        <v/>
      </c>
      <c r="PJ6" s="16">
        <f>PJ5-PJ4</f>
        <v/>
      </c>
      <c r="PK6" s="16">
        <f>PK5-PK4</f>
        <v/>
      </c>
      <c r="PL6" s="16">
        <f>PL5-PL4</f>
        <v/>
      </c>
      <c r="PM6" s="16">
        <f>PM5-PM4</f>
        <v/>
      </c>
      <c r="PN6" s="16">
        <f>PN5-PN4</f>
        <v/>
      </c>
      <c r="PO6" s="16">
        <f>PO5-PO4</f>
        <v/>
      </c>
      <c r="PP6" s="16">
        <f>PP5-PP4</f>
        <v/>
      </c>
      <c r="PQ6" s="16">
        <f>PQ5-PQ4</f>
        <v/>
      </c>
      <c r="PR6" s="16">
        <f>PR5-PR4</f>
        <v/>
      </c>
      <c r="PS6" s="16">
        <f>PS5-PS4</f>
        <v/>
      </c>
      <c r="PT6" s="16">
        <f>PT5-PT4</f>
        <v/>
      </c>
      <c r="PU6" s="16">
        <f>PU5-PU4</f>
        <v/>
      </c>
      <c r="PV6" s="16">
        <f>PV5-PV4</f>
        <v/>
      </c>
      <c r="PW6" s="16">
        <f>PW5-PW4</f>
        <v/>
      </c>
      <c r="PX6" s="16">
        <f>PX5-PX4</f>
        <v/>
      </c>
      <c r="PY6" s="16">
        <f>PY5-PY4</f>
        <v/>
      </c>
      <c r="PZ6" s="16">
        <f>PZ5-PZ4</f>
        <v/>
      </c>
      <c r="QA6" s="16">
        <f>QA5-QA4</f>
        <v/>
      </c>
      <c r="QB6" s="127">
        <f>SUM(OX6:QA6)</f>
        <v/>
      </c>
      <c r="QC6" s="16">
        <f>QC5-QC4</f>
        <v/>
      </c>
      <c r="QD6" s="16">
        <f>QD5-QD4</f>
        <v/>
      </c>
      <c r="QE6" s="16">
        <f>QE5-QE4</f>
        <v/>
      </c>
      <c r="QF6" s="16">
        <f>QF5-QF4</f>
        <v/>
      </c>
      <c r="QG6" s="16">
        <f>QG5-QG4</f>
        <v/>
      </c>
      <c r="QH6" s="16">
        <f>QH5-QH4</f>
        <v/>
      </c>
      <c r="QI6" s="16">
        <f>QI5-QI4</f>
        <v/>
      </c>
      <c r="QJ6" s="16">
        <f>QJ5-QJ4</f>
        <v/>
      </c>
      <c r="QK6" s="16">
        <f>QK5-QK4</f>
        <v/>
      </c>
      <c r="QL6" s="16">
        <f>QL5-QL4</f>
        <v/>
      </c>
      <c r="QM6" s="16">
        <f>QM5-QM4</f>
        <v/>
      </c>
      <c r="QN6" s="16">
        <f>QN5-QN4</f>
        <v/>
      </c>
      <c r="QO6" s="16">
        <f>QO5-QO4</f>
        <v/>
      </c>
      <c r="QP6" s="16">
        <f>QP5-QP4</f>
        <v/>
      </c>
      <c r="QQ6" s="16">
        <f>QQ5-QQ4</f>
        <v/>
      </c>
      <c r="QR6" s="16">
        <f>QR5-QR4</f>
        <v/>
      </c>
      <c r="QS6" s="16">
        <f>QS5-QS4</f>
        <v/>
      </c>
      <c r="QT6" s="16">
        <f>QT5-QT4</f>
        <v/>
      </c>
      <c r="QU6" s="16">
        <f>QU5-QU4</f>
        <v/>
      </c>
      <c r="QV6" s="16">
        <f>QV5-QV4</f>
        <v/>
      </c>
      <c r="QW6" s="16">
        <f>QW5-QW4</f>
        <v/>
      </c>
      <c r="QX6" s="16">
        <f>QX5-QX4</f>
        <v/>
      </c>
      <c r="QY6" s="16">
        <f>QY5-QY4</f>
        <v/>
      </c>
      <c r="QZ6" s="16">
        <f>QZ5-QZ4</f>
        <v/>
      </c>
      <c r="RA6" s="16">
        <f>RA5-RA4</f>
        <v/>
      </c>
      <c r="RB6" s="16">
        <f>RB5-RB4</f>
        <v/>
      </c>
      <c r="RC6" s="16">
        <f>RC5-RC4</f>
        <v/>
      </c>
      <c r="RD6" s="16">
        <f>RD5-RD4</f>
        <v/>
      </c>
      <c r="RE6" s="16">
        <f>RE5-RE4</f>
        <v/>
      </c>
      <c r="RF6" s="16">
        <f>RF5-RF4</f>
        <v/>
      </c>
      <c r="RG6" s="16">
        <f>RG5-RG4</f>
        <v/>
      </c>
      <c r="RH6" s="127">
        <f>SUM(QC6:RG6)</f>
        <v/>
      </c>
      <c r="RI6" s="16">
        <f>RI5-RI4</f>
        <v/>
      </c>
      <c r="RJ6" s="16">
        <f>RJ5-RJ4</f>
        <v/>
      </c>
      <c r="RK6" s="16">
        <f>RK5-RK4</f>
        <v/>
      </c>
      <c r="RL6" s="16">
        <f>RL5-RL4</f>
        <v/>
      </c>
      <c r="RM6" s="16">
        <f>RM5-RM4</f>
        <v/>
      </c>
      <c r="RN6" s="16">
        <f>RN5-RN4</f>
        <v/>
      </c>
      <c r="RO6" s="16">
        <f>RO5-RO4</f>
        <v/>
      </c>
      <c r="RP6" s="16">
        <f>RP5-RP4</f>
        <v/>
      </c>
      <c r="RQ6" s="16">
        <f>RQ5-RQ4</f>
        <v/>
      </c>
      <c r="RR6" s="16">
        <f>RR5-RR4</f>
        <v/>
      </c>
      <c r="RS6" s="16">
        <f>RS5-RS4</f>
        <v/>
      </c>
      <c r="RT6" s="16">
        <f>RT5-RT4</f>
        <v/>
      </c>
      <c r="RU6" s="16">
        <f>RU5-RU4</f>
        <v/>
      </c>
      <c r="RV6" s="16">
        <f>RV5-RV4</f>
        <v/>
      </c>
      <c r="RW6" s="16">
        <f>RW5-RW4</f>
        <v/>
      </c>
      <c r="RX6" s="16">
        <f>RX5-RX4</f>
        <v/>
      </c>
      <c r="RY6" s="16">
        <f>RY5-RY4</f>
        <v/>
      </c>
      <c r="RZ6" s="16">
        <f>RZ5-RZ4</f>
        <v/>
      </c>
      <c r="SA6" s="16">
        <f>SA5-SA4</f>
        <v/>
      </c>
      <c r="SB6" s="16">
        <f>SB5-SB4</f>
        <v/>
      </c>
      <c r="SC6" s="16">
        <f>SC5-SC4</f>
        <v/>
      </c>
      <c r="SD6" s="16">
        <f>SD5-SD4</f>
        <v/>
      </c>
      <c r="SE6" s="16">
        <f>SE5-SE4</f>
        <v/>
      </c>
      <c r="SF6" s="16">
        <f>SF5-SF4</f>
        <v/>
      </c>
      <c r="SG6" s="16">
        <f>SG5-SG4</f>
        <v/>
      </c>
      <c r="SH6" s="16">
        <f>SH5-SH4</f>
        <v/>
      </c>
      <c r="SI6" s="16">
        <f>SI5-SI4</f>
        <v/>
      </c>
      <c r="SJ6" s="16">
        <f>SJ5-SJ4</f>
        <v/>
      </c>
      <c r="SK6" s="16">
        <f>SK5-SK4</f>
        <v/>
      </c>
      <c r="SL6" s="16">
        <f>SL5-SL4</f>
        <v/>
      </c>
      <c r="SM6" s="127">
        <f>SUM(RI6:SL6)</f>
        <v/>
      </c>
      <c r="SN6" s="16">
        <f>SN5-SN4</f>
        <v/>
      </c>
      <c r="SO6" s="16">
        <f>SO5-SO4</f>
        <v/>
      </c>
      <c r="SP6" s="16">
        <f>SP5-SP4</f>
        <v/>
      </c>
      <c r="SQ6" s="16">
        <f>SQ5-SQ4</f>
        <v/>
      </c>
      <c r="SR6" s="16">
        <f>SR5-SR4</f>
        <v/>
      </c>
      <c r="SS6" s="16">
        <f>SS5-SS4</f>
        <v/>
      </c>
      <c r="ST6" s="16">
        <f>ST5-ST4</f>
        <v/>
      </c>
      <c r="SU6" s="16">
        <f>SU5-SU4</f>
        <v/>
      </c>
      <c r="SV6" s="16">
        <f>SV5-SV4</f>
        <v/>
      </c>
      <c r="SW6" s="16">
        <f>SW5-SW4</f>
        <v/>
      </c>
      <c r="SX6" s="16">
        <f>SX5-SX4</f>
        <v/>
      </c>
      <c r="SY6" s="16">
        <f>SY5-SY4</f>
        <v/>
      </c>
      <c r="SZ6" s="16">
        <f>SZ5-SZ4</f>
        <v/>
      </c>
      <c r="TA6" s="16">
        <f>TA5-TA4</f>
        <v/>
      </c>
      <c r="TB6" s="16">
        <f>TB5-TB4</f>
        <v/>
      </c>
      <c r="TC6" s="16">
        <f>TC5-TC4</f>
        <v/>
      </c>
      <c r="TD6" s="16">
        <f>TD5-TD4</f>
        <v/>
      </c>
      <c r="TE6" s="16">
        <f>TE5-TE4</f>
        <v/>
      </c>
      <c r="TF6" s="16">
        <f>TF5-TF4</f>
        <v/>
      </c>
      <c r="TG6" s="16">
        <f>TG5-TG4</f>
        <v/>
      </c>
      <c r="TH6" s="16">
        <f>TH5-TH4</f>
        <v/>
      </c>
      <c r="TI6" s="16">
        <f>TI5-TI4</f>
        <v/>
      </c>
      <c r="TJ6" s="16">
        <f>TJ5-TJ4</f>
        <v/>
      </c>
      <c r="TK6" s="16">
        <f>TK5-TK4</f>
        <v/>
      </c>
      <c r="TL6" s="16">
        <f>TL5-TL4</f>
        <v/>
      </c>
      <c r="TM6" s="16">
        <f>TM5-TM4</f>
        <v/>
      </c>
      <c r="TN6" s="16">
        <f>TN5-TN4</f>
        <v/>
      </c>
      <c r="TO6" s="16">
        <f>TO5-TO4</f>
        <v/>
      </c>
      <c r="TP6" s="16">
        <f>TP5-TP4</f>
        <v/>
      </c>
      <c r="TQ6" s="16">
        <f>TQ5-TQ4</f>
        <v/>
      </c>
      <c r="TR6" s="16">
        <f>TR5-TR4</f>
        <v/>
      </c>
      <c r="TS6" s="127">
        <f>SUM(SO6:TR6)</f>
        <v/>
      </c>
      <c r="TT6" s="16">
        <f>TT5-TT4</f>
        <v/>
      </c>
      <c r="TU6" s="16">
        <f>TU5-TU4</f>
        <v/>
      </c>
      <c r="TV6" s="16">
        <f>TV5-TV4</f>
        <v/>
      </c>
      <c r="TW6" s="16">
        <f>TW5-TW4</f>
        <v/>
      </c>
      <c r="TX6" s="16">
        <f>TX5-TX4</f>
        <v/>
      </c>
      <c r="TY6" s="16">
        <f>TY5-TY4</f>
        <v/>
      </c>
      <c r="TZ6" s="16">
        <f>TZ5-TZ4</f>
        <v/>
      </c>
      <c r="UA6" s="16">
        <f>UA5-UA4</f>
        <v/>
      </c>
      <c r="UB6" s="16">
        <f>UB5-UB4</f>
        <v/>
      </c>
      <c r="UC6" s="16">
        <f>UC5-UC4</f>
        <v/>
      </c>
      <c r="UD6" s="16">
        <f>UD5-UD4</f>
        <v/>
      </c>
      <c r="UE6" s="16">
        <f>UE5-UE4</f>
        <v/>
      </c>
      <c r="UF6" s="16">
        <f>UF5-UF4</f>
        <v/>
      </c>
      <c r="UG6" s="16">
        <f>UG5-UG4</f>
        <v/>
      </c>
      <c r="UH6" s="16">
        <f>UH5-UH4</f>
        <v/>
      </c>
      <c r="UI6" s="16">
        <f>UI5-UI4</f>
        <v/>
      </c>
      <c r="UJ6" s="16">
        <f>UJ5-UJ4</f>
        <v/>
      </c>
      <c r="UK6" s="16">
        <f>UK5-UK4</f>
        <v/>
      </c>
      <c r="UL6" s="16">
        <f>UL5-UL4</f>
        <v/>
      </c>
      <c r="UM6" s="16">
        <f>UM5-UM4</f>
        <v/>
      </c>
      <c r="UN6" s="16">
        <f>UN5-UN4</f>
        <v/>
      </c>
      <c r="UO6" s="16">
        <f>UO5-UO4</f>
        <v/>
      </c>
      <c r="UP6" s="16">
        <f>UP5-UP4</f>
        <v/>
      </c>
      <c r="UQ6" s="16">
        <f>UQ5-UQ4</f>
        <v/>
      </c>
      <c r="UR6" s="16">
        <f>UR5-UR4</f>
        <v/>
      </c>
      <c r="US6" s="16">
        <f>US5-US4</f>
        <v/>
      </c>
      <c r="UT6" s="16">
        <f>UT5-UT4</f>
        <v/>
      </c>
      <c r="UU6" s="16">
        <f>UU5-UU4</f>
        <v/>
      </c>
      <c r="UV6" s="16">
        <f>UV5-UV4</f>
        <v/>
      </c>
      <c r="UW6" s="16">
        <f>UW5-UW4</f>
        <v/>
      </c>
      <c r="UX6" s="16">
        <f>UX5-UX4</f>
        <v/>
      </c>
      <c r="UY6" s="127">
        <f>SUM(TT6:UX6)</f>
        <v/>
      </c>
      <c r="UZ6" s="16">
        <f>UZ5-UZ4</f>
        <v/>
      </c>
      <c r="VA6" s="16">
        <f>VA5-VA4</f>
        <v/>
      </c>
      <c r="VB6" s="16">
        <f>VB5-VB4</f>
        <v/>
      </c>
      <c r="VC6" s="16">
        <f>VC5-VC4</f>
        <v/>
      </c>
      <c r="VD6" s="16">
        <f>VD5-VD4</f>
        <v/>
      </c>
      <c r="VE6" s="16">
        <f>VE5-VE4</f>
        <v/>
      </c>
      <c r="VF6" s="16">
        <f>VF5-VF4</f>
        <v/>
      </c>
      <c r="VG6" s="16">
        <f>VG5-VG4</f>
        <v/>
      </c>
      <c r="VH6" s="16">
        <f>VH5-VH4</f>
        <v/>
      </c>
      <c r="VI6" s="16">
        <f>VI5-VI4</f>
        <v/>
      </c>
      <c r="VJ6" s="16">
        <f>VJ5-VJ4</f>
        <v/>
      </c>
      <c r="VK6" s="16">
        <f>VK5-VK4</f>
        <v/>
      </c>
      <c r="VL6" s="16">
        <f>VL5-VL4</f>
        <v/>
      </c>
      <c r="VM6" s="16">
        <f>VM5-VM4</f>
        <v/>
      </c>
      <c r="VN6" s="16">
        <f>VN5-VN4</f>
        <v/>
      </c>
      <c r="VO6" s="16">
        <f>VO5-VO4</f>
        <v/>
      </c>
      <c r="VP6" s="16">
        <f>VP5-VP4</f>
        <v/>
      </c>
      <c r="VQ6" s="16">
        <f>VQ5-VQ4</f>
        <v/>
      </c>
      <c r="VR6" s="16">
        <f>VR5-VR4</f>
        <v/>
      </c>
      <c r="VS6" s="16">
        <f>VS5-VS4</f>
        <v/>
      </c>
      <c r="VT6" s="16">
        <f>VT5-VT4</f>
        <v/>
      </c>
      <c r="VU6" s="16">
        <f>VU5-VU4</f>
        <v/>
      </c>
      <c r="VV6" s="16">
        <f>VV5-VV4</f>
        <v/>
      </c>
      <c r="VW6" s="16">
        <f>VW5-VW4</f>
        <v/>
      </c>
      <c r="VX6" s="16">
        <f>VX5-VX4</f>
        <v/>
      </c>
      <c r="VY6" s="16">
        <f>VY5-VY4</f>
        <v/>
      </c>
      <c r="VZ6" s="16">
        <f>VZ5-VZ4</f>
        <v/>
      </c>
      <c r="WA6" s="16">
        <f>WA5-WA4</f>
        <v/>
      </c>
      <c r="WB6" s="127">
        <f>SUM(UZ6:WA6)</f>
        <v/>
      </c>
      <c r="WC6" s="16">
        <f>WC5-WC4</f>
        <v/>
      </c>
      <c r="WD6" s="16">
        <f>WD5-WD4</f>
        <v/>
      </c>
      <c r="WE6" s="16">
        <f>WE5-WE4</f>
        <v/>
      </c>
      <c r="WF6" s="16">
        <f>WF5-WF4</f>
        <v/>
      </c>
      <c r="WG6" s="16">
        <f>WG5-WG4</f>
        <v/>
      </c>
      <c r="WH6" s="16">
        <f>WH5-WH4</f>
        <v/>
      </c>
      <c r="WI6" s="16">
        <f>WI5-WI4</f>
        <v/>
      </c>
      <c r="WJ6" s="16">
        <f>WJ5-WJ4</f>
        <v/>
      </c>
      <c r="WK6" s="16">
        <f>WK5-WK4</f>
        <v/>
      </c>
      <c r="WL6" s="16">
        <f>WL5-WL4</f>
        <v/>
      </c>
      <c r="WM6" s="16">
        <f>WM5-WM4</f>
        <v/>
      </c>
      <c r="WN6" s="16">
        <f>WN5-WN4</f>
        <v/>
      </c>
      <c r="WO6" s="16">
        <f>WO5-WO4</f>
        <v/>
      </c>
      <c r="WP6" s="16">
        <f>WP5-WP4</f>
        <v/>
      </c>
      <c r="WQ6" s="16">
        <f>WQ5-WQ4</f>
        <v/>
      </c>
      <c r="WR6" s="16">
        <f>WR5-WR4</f>
        <v/>
      </c>
      <c r="WS6" s="16">
        <f>WS5-WS4</f>
        <v/>
      </c>
      <c r="WT6" s="16">
        <f>WT5-WT4</f>
        <v/>
      </c>
      <c r="WU6" s="16">
        <f>WU5-WU4</f>
        <v/>
      </c>
      <c r="WV6" s="16">
        <f>WV5-WV4</f>
        <v/>
      </c>
      <c r="WW6" s="16">
        <f>WW5-WW4</f>
        <v/>
      </c>
      <c r="WX6" s="16">
        <f>WX5-WX4</f>
        <v/>
      </c>
      <c r="WY6" s="16">
        <f>WY5-WY4</f>
        <v/>
      </c>
      <c r="WZ6" s="16">
        <f>WZ5-WZ4</f>
        <v/>
      </c>
      <c r="XA6" s="16">
        <f>XA5-XA4</f>
        <v/>
      </c>
      <c r="XB6" s="16">
        <f>XB5-XB4</f>
        <v/>
      </c>
      <c r="XC6" s="16">
        <f>XC5-XC4</f>
        <v/>
      </c>
      <c r="XD6" s="16">
        <f>XD5-XD4</f>
        <v/>
      </c>
      <c r="XE6" s="16">
        <f>XE5-XE4</f>
        <v/>
      </c>
      <c r="XF6" s="16">
        <f>XF5-XF4</f>
        <v/>
      </c>
      <c r="XG6" s="16">
        <f>XG5-XG4</f>
        <v/>
      </c>
      <c r="XH6" s="127">
        <f>SUM(WC6:XG6)</f>
        <v/>
      </c>
      <c r="XI6" s="16">
        <f>XI5-XI4</f>
        <v/>
      </c>
      <c r="XJ6" s="16">
        <f>XJ5-XJ4</f>
        <v/>
      </c>
      <c r="XK6" s="16">
        <f>XK5-XK4</f>
        <v/>
      </c>
      <c r="XL6" s="16">
        <f>XL5-XL4</f>
        <v/>
      </c>
      <c r="XM6" s="16">
        <f>XM5-XM4</f>
        <v/>
      </c>
      <c r="XN6" s="16">
        <f>XN5-XN4</f>
        <v/>
      </c>
      <c r="XO6" s="16">
        <f>XO5-XO4</f>
        <v/>
      </c>
      <c r="XP6" s="16">
        <f>XP5-XP4</f>
        <v/>
      </c>
      <c r="XQ6" s="16">
        <f>XQ5-XQ4</f>
        <v/>
      </c>
      <c r="XR6" s="16">
        <f>XR5-XR4</f>
        <v/>
      </c>
      <c r="XS6" s="16">
        <f>XS5-XS4</f>
        <v/>
      </c>
      <c r="XT6" s="16">
        <f>XT5-XT4</f>
        <v/>
      </c>
      <c r="XU6" s="16">
        <f>XU5-XU4</f>
        <v/>
      </c>
      <c r="XV6" s="16">
        <f>XV5-XV4</f>
        <v/>
      </c>
      <c r="XW6" s="16">
        <f>XW5-XW4</f>
        <v/>
      </c>
      <c r="XX6" s="16">
        <f>XX5-XX4</f>
        <v/>
      </c>
      <c r="XY6" s="16">
        <f>XY5-XY4</f>
        <v/>
      </c>
      <c r="XZ6" s="16">
        <f>XZ5-XZ4</f>
        <v/>
      </c>
      <c r="YA6" s="16">
        <f>YA5-YA4</f>
        <v/>
      </c>
      <c r="YB6" s="16">
        <f>YB5-YB4</f>
        <v/>
      </c>
      <c r="YC6" s="16">
        <f>YC5-YC4</f>
        <v/>
      </c>
      <c r="YD6" s="16">
        <f>YD5-YD4</f>
        <v/>
      </c>
      <c r="YE6" s="16">
        <f>YE5-YE4</f>
        <v/>
      </c>
      <c r="YF6" s="16">
        <f>YF5-YF4</f>
        <v/>
      </c>
      <c r="YG6" s="16">
        <f>YG5-YG4</f>
        <v/>
      </c>
      <c r="YH6" s="16">
        <f>YH5-YH4</f>
        <v/>
      </c>
      <c r="YI6" s="16">
        <f>YI5-YI4</f>
        <v/>
      </c>
      <c r="YJ6" s="16">
        <f>YJ5-YJ4</f>
        <v/>
      </c>
      <c r="YK6" s="16">
        <f>YK5-YK4</f>
        <v/>
      </c>
      <c r="YL6" s="16">
        <f>YL5-YL4</f>
        <v/>
      </c>
      <c r="YM6" s="127">
        <f>SUM(XH6:YL6)</f>
        <v/>
      </c>
      <c r="YN6" s="16">
        <f>YN5-YN4</f>
        <v/>
      </c>
      <c r="YO6" s="16">
        <f>YO5-YO4</f>
        <v/>
      </c>
      <c r="YP6" s="16">
        <f>YP5-YP4</f>
        <v/>
      </c>
      <c r="YQ6" s="16">
        <f>YQ5-YQ4</f>
        <v/>
      </c>
      <c r="YR6" s="16">
        <f>YR5-YR4</f>
        <v/>
      </c>
      <c r="YS6" s="16">
        <f>YS5-YS4</f>
        <v/>
      </c>
      <c r="YT6" s="16">
        <f>YT5-YT4</f>
        <v/>
      </c>
      <c r="YU6" s="16">
        <f>YU5-YU4</f>
        <v/>
      </c>
      <c r="YV6" s="16">
        <f>YV5-YV4</f>
        <v/>
      </c>
      <c r="YW6" s="16">
        <f>YW5-YW4</f>
        <v/>
      </c>
      <c r="YX6" s="16">
        <f>YX5-YX4</f>
        <v/>
      </c>
      <c r="YY6" s="16">
        <f>YY5-YY4</f>
        <v/>
      </c>
      <c r="YZ6" s="16">
        <f>YZ5-YZ4</f>
        <v/>
      </c>
      <c r="ZA6" s="16">
        <f>ZA5-ZA4</f>
        <v/>
      </c>
      <c r="ZB6" s="16">
        <f>ZB5-ZB4</f>
        <v/>
      </c>
      <c r="ZC6" s="16">
        <f>ZC5-ZC4</f>
        <v/>
      </c>
      <c r="ZD6" s="16">
        <f>ZD5-ZD4</f>
        <v/>
      </c>
      <c r="ZE6" s="16">
        <f>ZE5-ZE4</f>
        <v/>
      </c>
      <c r="ZF6" s="16">
        <f>ZF5-ZF4</f>
        <v/>
      </c>
      <c r="ZG6" s="16">
        <f>ZG5-ZG4</f>
        <v/>
      </c>
      <c r="ZH6" s="16">
        <f>ZH5-ZH4</f>
        <v/>
      </c>
      <c r="ZI6" s="16">
        <f>ZI5-ZI4</f>
        <v/>
      </c>
      <c r="ZJ6" s="16">
        <f>ZJ5-ZJ4</f>
        <v/>
      </c>
      <c r="ZK6" s="16">
        <f>ZK5-ZK4</f>
        <v/>
      </c>
      <c r="ZL6" s="16">
        <f>ZL5-ZL4</f>
        <v/>
      </c>
      <c r="ZM6" s="16">
        <f>ZM5-ZM4</f>
        <v/>
      </c>
      <c r="ZN6" s="16">
        <f>ZN5-ZN4</f>
        <v/>
      </c>
      <c r="ZO6" s="16">
        <f>ZO5-ZO4</f>
        <v/>
      </c>
      <c r="ZP6" s="16">
        <f>ZP5-ZP4</f>
        <v/>
      </c>
      <c r="ZQ6" s="16">
        <f>ZQ5-ZQ4</f>
        <v/>
      </c>
      <c r="ZR6" s="16">
        <f>ZR5-ZR4</f>
        <v/>
      </c>
      <c r="ZS6" s="127">
        <f>SUM(YN6:ZR6)</f>
        <v/>
      </c>
      <c r="ZT6" s="16">
        <f>ZT5-ZT4</f>
        <v/>
      </c>
      <c r="ZU6" s="16">
        <f>ZU5-ZU4</f>
        <v/>
      </c>
      <c r="ZV6" s="16">
        <f>ZV5-ZV4</f>
        <v/>
      </c>
      <c r="ZW6" s="16">
        <f>ZW5-ZW4</f>
        <v/>
      </c>
      <c r="ZX6" s="16">
        <f>ZX5-ZX4</f>
        <v/>
      </c>
      <c r="ZY6" s="16">
        <f>ZY5-ZY4</f>
        <v/>
      </c>
      <c r="ZZ6" s="16">
        <f>ZZ5-ZZ4</f>
        <v/>
      </c>
      <c r="AAA6" s="16">
        <f>AAA5-AAA4</f>
        <v/>
      </c>
      <c r="AAB6" s="16">
        <f>AAB5-AAB4</f>
        <v/>
      </c>
      <c r="AAC6" s="16">
        <f>AAC5-AAC4</f>
        <v/>
      </c>
      <c r="AAD6" s="16">
        <f>AAD5-AAD4</f>
        <v/>
      </c>
      <c r="AAE6" s="16">
        <f>AAE5-AAE4</f>
        <v/>
      </c>
      <c r="AAF6" s="16">
        <f>AAF5-AAF4</f>
        <v/>
      </c>
      <c r="AAG6" s="16">
        <f>AAG5-AAG4</f>
        <v/>
      </c>
      <c r="AAH6" s="16">
        <f>AAH5-AAH4</f>
        <v/>
      </c>
      <c r="AAI6" s="16">
        <f>AAI5-AAI4</f>
        <v/>
      </c>
      <c r="AAJ6" s="16">
        <f>AAJ5-AAJ4</f>
        <v/>
      </c>
      <c r="AAK6" s="16">
        <f>AAK5-AAK4</f>
        <v/>
      </c>
      <c r="AAL6" s="16">
        <f>AAL5-AAL4</f>
        <v/>
      </c>
      <c r="AAM6" s="16">
        <f>AAM5-AAM4</f>
        <v/>
      </c>
      <c r="AAN6" s="16">
        <f>AAN5-AAN4</f>
        <v/>
      </c>
      <c r="AAO6" s="16">
        <f>AAO5-AAO4</f>
        <v/>
      </c>
      <c r="AAP6" s="16">
        <f>AAP5-AAP4</f>
        <v/>
      </c>
      <c r="AAQ6" s="16">
        <f>AAQ5-AAQ4</f>
        <v/>
      </c>
      <c r="AAR6" s="16">
        <f>AAR5-AAR4</f>
        <v/>
      </c>
      <c r="AAS6" s="16">
        <f>AAS5-AAS4</f>
        <v/>
      </c>
      <c r="AAT6" s="16">
        <f>AAT5-AAT4</f>
        <v/>
      </c>
      <c r="AAU6" s="16">
        <f>AAU5-AAU4</f>
        <v/>
      </c>
      <c r="AAV6" s="16">
        <f>AAV5-AAV4</f>
        <v/>
      </c>
      <c r="AAW6" s="16">
        <f>AAW5-AAW4</f>
        <v/>
      </c>
      <c r="AAX6" s="127">
        <f>SUM(ZT6:AAW6)</f>
        <v/>
      </c>
      <c r="AAY6" s="16">
        <f>AAY5-AAY4</f>
        <v/>
      </c>
      <c r="AAZ6" s="16">
        <f>AAZ5-AAZ4</f>
        <v/>
      </c>
      <c r="ABA6" s="16">
        <f>ABA5-ABA4</f>
        <v/>
      </c>
      <c r="ABB6" s="16">
        <f>ABB5-ABB4</f>
        <v/>
      </c>
      <c r="ABC6" s="16">
        <f>ABC5-ABC4</f>
        <v/>
      </c>
      <c r="ABD6" s="16">
        <f>ABD5-ABD4</f>
        <v/>
      </c>
      <c r="ABE6" s="16">
        <f>ABE5-ABE4</f>
        <v/>
      </c>
      <c r="ABF6" s="16">
        <f>ABF5-ABF4</f>
        <v/>
      </c>
      <c r="ABG6" s="16">
        <f>ABG5-ABG4</f>
        <v/>
      </c>
      <c r="ABH6" s="16">
        <f>ABH5-ABH4</f>
        <v/>
      </c>
      <c r="ABI6" s="16">
        <f>ABI5-ABI4</f>
        <v/>
      </c>
      <c r="ABJ6" s="16">
        <f>ABJ5-ABJ4</f>
        <v/>
      </c>
      <c r="ABK6" s="16">
        <f>ABK5-ABK4</f>
        <v/>
      </c>
      <c r="ABL6" s="16">
        <f>ABL5-ABL4</f>
        <v/>
      </c>
      <c r="ABM6" s="16">
        <f>ABM5-ABM4</f>
        <v/>
      </c>
      <c r="ABN6" s="16">
        <f>ABN5-ABN4</f>
        <v/>
      </c>
      <c r="ABO6" s="16">
        <f>ABO5-ABO4</f>
        <v/>
      </c>
      <c r="ABP6" s="16">
        <f>ABP5-ABP4</f>
        <v/>
      </c>
      <c r="ABQ6" s="16">
        <f>ABQ5-ABQ4</f>
        <v/>
      </c>
      <c r="ABR6" s="16">
        <f>ABR5-ABR4</f>
        <v/>
      </c>
      <c r="ABS6" s="16">
        <f>ABS5-ABS4</f>
        <v/>
      </c>
      <c r="ABT6" s="16">
        <f>ABT5-ABT4</f>
        <v/>
      </c>
      <c r="ABU6" s="16">
        <f>ABU5-ABU4</f>
        <v/>
      </c>
      <c r="ABV6" s="16">
        <f>ABV5-ABV4</f>
        <v/>
      </c>
      <c r="ABW6" s="16">
        <f>ABW5-ABW4</f>
        <v/>
      </c>
      <c r="ABX6" s="16">
        <f>ABX5-ABX4</f>
        <v/>
      </c>
      <c r="ABY6" s="16">
        <f>ABY5-ABY4</f>
        <v/>
      </c>
      <c r="ABZ6" s="16">
        <f>ABZ5-ABZ4</f>
        <v/>
      </c>
      <c r="ACA6" s="16">
        <f>ACA5-ACA4</f>
        <v/>
      </c>
      <c r="ACB6" s="16">
        <f>ACB5-ACB4</f>
        <v/>
      </c>
      <c r="ACC6" s="16">
        <f>ACC5-ACC4</f>
        <v/>
      </c>
      <c r="ACD6" s="127">
        <f>SUM(AAY6:ACC6)</f>
        <v/>
      </c>
      <c r="ACE6" s="16">
        <f>ACE5-ACE4</f>
        <v/>
      </c>
      <c r="ACF6" s="16">
        <f>ACF5-ACF4</f>
        <v/>
      </c>
      <c r="ACG6" s="16">
        <f>ACG5-ACG4</f>
        <v/>
      </c>
      <c r="ACH6" s="16">
        <f>ACH5-ACH4</f>
        <v/>
      </c>
      <c r="ACI6" s="16">
        <f>ACI5-ACI4</f>
        <v/>
      </c>
      <c r="ACJ6" s="16">
        <f>ACJ5-ACJ4</f>
        <v/>
      </c>
      <c r="ACK6" s="16">
        <f>ACK5-ACK4</f>
        <v/>
      </c>
      <c r="ACL6" s="16">
        <f>ACL5-ACL4</f>
        <v/>
      </c>
      <c r="ACM6" s="16">
        <f>ACM5-ACM4</f>
        <v/>
      </c>
      <c r="ACN6" s="16">
        <f>ACN5-ACN4</f>
        <v/>
      </c>
      <c r="ACO6" s="16">
        <f>ACO5-ACO4</f>
        <v/>
      </c>
      <c r="ACP6" s="16">
        <f>ACP5-ACP4</f>
        <v/>
      </c>
      <c r="ACQ6" s="16">
        <f>ACQ5-ACQ4</f>
        <v/>
      </c>
      <c r="ACR6" s="16">
        <f>ACR5-ACR4</f>
        <v/>
      </c>
      <c r="ACS6" s="16">
        <f>ACS5-ACS4</f>
        <v/>
      </c>
      <c r="ACT6" s="16">
        <f>ACT5-ACT4</f>
        <v/>
      </c>
      <c r="ACU6" s="16">
        <f>ACU5-ACU4</f>
        <v/>
      </c>
      <c r="ACV6" s="16">
        <f>ACV5-ACV4</f>
        <v/>
      </c>
      <c r="ACW6" s="16">
        <f>ACW5-ACW4</f>
        <v/>
      </c>
      <c r="ACX6" s="16">
        <f>ACX5-ACX4</f>
        <v/>
      </c>
      <c r="ACY6" s="16">
        <f>ACY5-ACY4</f>
        <v/>
      </c>
      <c r="ACZ6" s="16">
        <f>ACZ5-ACZ4</f>
        <v/>
      </c>
      <c r="ADA6" s="16">
        <f>ADA5-ADA4</f>
        <v/>
      </c>
      <c r="ADB6" s="16">
        <f>ADB5-ADB4</f>
        <v/>
      </c>
      <c r="ADC6" s="16">
        <f>ADC5-ADC4</f>
        <v/>
      </c>
      <c r="ADD6" s="16">
        <f>ADD5-ADD4</f>
        <v/>
      </c>
      <c r="ADE6" s="16">
        <f>ADE5-ADE4</f>
        <v/>
      </c>
      <c r="ADF6" s="16">
        <f>ADF5-ADF4</f>
        <v/>
      </c>
      <c r="ADG6" s="16">
        <f>ADG5-ADG4</f>
        <v/>
      </c>
      <c r="ADH6" s="16">
        <f>ADH5-ADH4</f>
        <v/>
      </c>
      <c r="ADI6" s="16">
        <f>ADI5-ADI4</f>
        <v/>
      </c>
      <c r="ADJ6" s="127">
        <f>SUM(ACE6:ADI6)</f>
        <v/>
      </c>
      <c r="ADK6" s="16">
        <f>ADK5-ADK4</f>
        <v/>
      </c>
      <c r="ADL6" s="16">
        <f>ADL5-ADL4</f>
        <v/>
      </c>
      <c r="ADM6" s="16">
        <f>ADM5-ADM4</f>
        <v/>
      </c>
      <c r="ADN6" s="16">
        <f>ADN5-ADN4</f>
        <v/>
      </c>
      <c r="ADO6" s="16">
        <f>ADO5-ADO4</f>
        <v/>
      </c>
      <c r="ADP6" s="16">
        <f>ADP5-ADP4</f>
        <v/>
      </c>
      <c r="ADQ6" s="16">
        <f>ADQ5-ADQ4</f>
        <v/>
      </c>
      <c r="ADR6" s="16">
        <f>ADR5-ADR4</f>
        <v/>
      </c>
      <c r="ADS6" s="16">
        <f>ADS5-ADS4</f>
        <v/>
      </c>
      <c r="ADT6" s="16">
        <f>ADT5-ADT4</f>
        <v/>
      </c>
      <c r="ADU6" s="16">
        <f>ADU5-ADU4</f>
        <v/>
      </c>
      <c r="ADV6" s="16">
        <f>ADV5-ADV4</f>
        <v/>
      </c>
      <c r="ADW6" s="16">
        <f>ADW5-ADW4</f>
        <v/>
      </c>
      <c r="ADX6" s="16">
        <f>ADX5-ADX4</f>
        <v/>
      </c>
      <c r="ADY6" s="16">
        <f>ADY5-ADY4</f>
        <v/>
      </c>
      <c r="ADZ6" s="16">
        <f>ADZ5-ADZ4</f>
        <v/>
      </c>
      <c r="AEA6" s="16">
        <f>AEA5-AEA4</f>
        <v/>
      </c>
      <c r="AEB6" s="16">
        <f>AEB5-AEB4</f>
        <v/>
      </c>
      <c r="AEC6" s="16">
        <f>AEC5-AEC4</f>
        <v/>
      </c>
      <c r="AED6" s="16">
        <f>AED5-AED4</f>
        <v/>
      </c>
      <c r="AEE6" s="16">
        <f>AEE5-AEE4</f>
        <v/>
      </c>
      <c r="AEF6" s="16">
        <f>AEF5-AEF4</f>
        <v/>
      </c>
      <c r="AEG6" s="16">
        <f>AEG5-AEG4</f>
        <v/>
      </c>
      <c r="AEH6" s="16">
        <f>AEH5-AEH4</f>
        <v/>
      </c>
      <c r="AEI6" s="16">
        <f>AEI5-AEI4</f>
        <v/>
      </c>
      <c r="AEJ6" s="16">
        <f>AEJ5-AEJ4</f>
        <v/>
      </c>
      <c r="AEK6" s="16">
        <f>AEK5-AEK4</f>
        <v/>
      </c>
      <c r="AEL6" s="16">
        <f>AEL5-AEL4</f>
        <v/>
      </c>
      <c r="AEM6" s="16">
        <f>AEM5-AEM4</f>
        <v/>
      </c>
      <c r="AEN6" s="16">
        <f>AEN5-AEN4</f>
        <v/>
      </c>
      <c r="AEO6" s="127">
        <f>SUM(ADK6:AEN6)</f>
        <v/>
      </c>
      <c r="AEP6" s="16">
        <f>AEP5-AEP4</f>
        <v/>
      </c>
      <c r="AEQ6" s="16">
        <f>AEQ5-AEQ4</f>
        <v/>
      </c>
      <c r="AER6" s="16">
        <f>AER5-AER4</f>
        <v/>
      </c>
      <c r="AES6" s="16">
        <f>AES5-AES4</f>
        <v/>
      </c>
      <c r="AET6" s="16">
        <f>AET5-AET4</f>
        <v/>
      </c>
      <c r="AEU6" s="16">
        <f>AEU5-AEU4</f>
        <v/>
      </c>
      <c r="AEV6" s="16">
        <f>AEV5-AEV4</f>
        <v/>
      </c>
      <c r="AEW6" s="16">
        <f>AEW5-AEW4</f>
        <v/>
      </c>
      <c r="AEX6" s="16">
        <f>AEX5-AEX4</f>
        <v/>
      </c>
      <c r="AEY6" s="16">
        <f>AEY5-AEY4</f>
        <v/>
      </c>
      <c r="AEZ6" s="16">
        <f>AEZ5-AEZ4</f>
        <v/>
      </c>
      <c r="AFA6" s="16">
        <f>AFA5-AFA4</f>
        <v/>
      </c>
      <c r="AFB6" s="16">
        <f>AFB5-AFB4</f>
        <v/>
      </c>
      <c r="AFC6" s="16">
        <f>AFC5-AFC4</f>
        <v/>
      </c>
      <c r="AFD6" s="16">
        <f>AFD5-AFD4</f>
        <v/>
      </c>
      <c r="AFE6" s="16">
        <f>AFE5-AFE4</f>
        <v/>
      </c>
      <c r="AFF6" s="16">
        <f>AFF5-AFF4</f>
        <v/>
      </c>
      <c r="AFG6" s="16">
        <f>AFG5-AFG4</f>
        <v/>
      </c>
      <c r="AFH6" s="16">
        <f>AFH5-AFH4</f>
        <v/>
      </c>
      <c r="AFI6" s="16">
        <f>AFI5-AFI4</f>
        <v/>
      </c>
      <c r="AFJ6" s="16">
        <f>AFJ5-AFJ4</f>
        <v/>
      </c>
      <c r="AFK6" s="16">
        <f>AFK5-AFK4</f>
        <v/>
      </c>
      <c r="AFL6" s="16">
        <f>AFL5-AFL4</f>
        <v/>
      </c>
      <c r="AFM6" s="16">
        <f>AFM5-AFM4</f>
        <v/>
      </c>
      <c r="AFN6" s="16">
        <f>AFN5-AFN4</f>
        <v/>
      </c>
      <c r="AFO6" s="16">
        <f>AFO5-AFO4</f>
        <v/>
      </c>
      <c r="AFP6" s="16">
        <f>AFP5-AFP4</f>
        <v/>
      </c>
      <c r="AFQ6" s="16">
        <f>AFQ5-AFQ4</f>
        <v/>
      </c>
      <c r="AFR6" s="16">
        <f>AFR5-AFR4</f>
        <v/>
      </c>
      <c r="AFS6" s="16">
        <f>AFS5-AFS4</f>
        <v/>
      </c>
      <c r="AFT6" s="16">
        <f>AFT5-AFT4</f>
        <v/>
      </c>
      <c r="AFU6" s="127">
        <f>SUM(AEP6:AFT6)</f>
        <v/>
      </c>
      <c r="AFV6" s="16">
        <f>AFV5-AFV4</f>
        <v/>
      </c>
      <c r="AFW6" s="16">
        <f>AFW5-AFW4</f>
        <v/>
      </c>
      <c r="AFX6" s="16">
        <f>AFX5-AFX4</f>
        <v/>
      </c>
      <c r="AFY6" s="16">
        <f>AFY5-AFY4</f>
        <v/>
      </c>
      <c r="AFZ6" s="16">
        <f>AFZ5-AFZ4</f>
        <v/>
      </c>
      <c r="AGA6" s="16">
        <f>AGA5-AGA4</f>
        <v/>
      </c>
      <c r="AGB6" s="16">
        <f>AGB5-AGB4</f>
        <v/>
      </c>
      <c r="AGC6" s="16">
        <f>AGC5-AGC4</f>
        <v/>
      </c>
      <c r="AGD6" s="16">
        <f>AGD5-AGD4</f>
        <v/>
      </c>
      <c r="AGE6" s="16">
        <f>AGE5-AGE4</f>
        <v/>
      </c>
      <c r="AGF6" s="16">
        <f>AGF5-AGF4</f>
        <v/>
      </c>
      <c r="AGG6" s="16">
        <f>AGG5-AGG4</f>
        <v/>
      </c>
      <c r="AGH6" s="16">
        <f>AGH5-AGH4</f>
        <v/>
      </c>
      <c r="AGI6" s="16">
        <f>AGI5-AGI4</f>
        <v/>
      </c>
      <c r="AGJ6" s="16">
        <f>AGJ5-AGJ4</f>
        <v/>
      </c>
      <c r="AGK6" s="16">
        <f>AGK5-AGK4</f>
        <v/>
      </c>
      <c r="AGL6" s="16">
        <f>AGL5-AGL4</f>
        <v/>
      </c>
      <c r="AGM6" s="16">
        <f>AGM5-AGM4</f>
        <v/>
      </c>
      <c r="AGN6" s="16">
        <f>AGN5-AGN4</f>
        <v/>
      </c>
      <c r="AGO6" s="16">
        <f>AGO5-AGO4</f>
        <v/>
      </c>
      <c r="AGP6" s="16">
        <f>AGP5-AGP4</f>
        <v/>
      </c>
      <c r="AGQ6" s="16">
        <f>AGQ5-AGQ4</f>
        <v/>
      </c>
      <c r="AGR6" s="16">
        <f>AGR5-AGR4</f>
        <v/>
      </c>
      <c r="AGS6" s="16">
        <f>AGS5-AGS4</f>
        <v/>
      </c>
      <c r="AGT6" s="16">
        <f>AGT5-AGT4</f>
        <v/>
      </c>
      <c r="AGU6" s="16">
        <f>AGU5-AGU4</f>
        <v/>
      </c>
      <c r="AGV6" s="16">
        <f>AGV5-AGV4</f>
        <v/>
      </c>
      <c r="AGW6" s="16">
        <f>AGW5-AGW4</f>
        <v/>
      </c>
      <c r="AGX6" s="16">
        <f>AGX5-AGX4</f>
        <v/>
      </c>
      <c r="AGY6" s="16">
        <f>AGY5-AGY4</f>
        <v/>
      </c>
      <c r="AGZ6" s="127">
        <f>SUM(AFV6:AGY6)</f>
        <v/>
      </c>
      <c r="AHA6" s="16">
        <f>AHA5-AHA4</f>
        <v/>
      </c>
      <c r="AHB6" s="16">
        <f>AHB5-AHB4</f>
        <v/>
      </c>
      <c r="AHC6" s="16">
        <f>AHC5-AHC4</f>
        <v/>
      </c>
      <c r="AHD6" s="16">
        <f>AHD5-AHD4</f>
        <v/>
      </c>
      <c r="AHE6" s="16">
        <f>AHE5-AHE4</f>
        <v/>
      </c>
      <c r="AHF6" s="16">
        <f>AHF5-AHF4</f>
        <v/>
      </c>
      <c r="AHG6" s="16">
        <f>AHG5-AHG4</f>
        <v/>
      </c>
      <c r="AHH6" s="16">
        <f>AHH5-AHH4</f>
        <v/>
      </c>
      <c r="AHI6" s="16">
        <f>AHI5-AHI4</f>
        <v/>
      </c>
      <c r="AHJ6" s="16">
        <f>AHJ5-AHJ4</f>
        <v/>
      </c>
      <c r="AHK6" s="16">
        <f>AHK5-AHK4</f>
        <v/>
      </c>
      <c r="AHL6" s="16">
        <f>AHL5-AHL4</f>
        <v/>
      </c>
      <c r="AHM6" s="16">
        <f>AHM5-AHM4</f>
        <v/>
      </c>
      <c r="AHN6" s="16">
        <f>AHN5-AHN4</f>
        <v/>
      </c>
      <c r="AHO6" s="16">
        <f>AHO5-AHO4</f>
        <v/>
      </c>
      <c r="AHP6" s="16">
        <f>AHP5-AHP4</f>
        <v/>
      </c>
      <c r="AHQ6" s="16">
        <f>AHQ5-AHQ4</f>
        <v/>
      </c>
      <c r="AHR6" s="16">
        <f>AHR5-AHR4</f>
        <v/>
      </c>
      <c r="AHS6" s="16">
        <f>AHS5-AHS4</f>
        <v/>
      </c>
      <c r="AHT6" s="16">
        <f>AHT5-AHT4</f>
        <v/>
      </c>
      <c r="AHU6" s="16">
        <f>AHU5-AHU4</f>
        <v/>
      </c>
      <c r="AHV6" s="16">
        <f>AHV5-AHV4</f>
        <v/>
      </c>
      <c r="AHW6" s="16">
        <f>AHW5-AHW4</f>
        <v/>
      </c>
      <c r="AHX6" s="16">
        <f>AHX5-AHX4</f>
        <v/>
      </c>
      <c r="AHY6" s="16">
        <f>AHY5-AHY4</f>
        <v/>
      </c>
      <c r="AHZ6" s="16">
        <f>AHZ5-AHZ4</f>
        <v/>
      </c>
      <c r="AIA6" s="16">
        <f>AIA5-AIA4</f>
        <v/>
      </c>
      <c r="AIB6" s="16">
        <f>AIB5-AIB4</f>
        <v/>
      </c>
      <c r="AIC6" s="16">
        <f>AIC5-AIC4</f>
        <v/>
      </c>
      <c r="AID6" s="16">
        <f>AID5-AID4</f>
        <v/>
      </c>
      <c r="AIE6" s="16">
        <f>AIE5-AIE4</f>
        <v/>
      </c>
      <c r="AIF6" s="127">
        <f>SUM(AHA6:AIE6)</f>
        <v/>
      </c>
      <c r="AIG6" s="16">
        <f>AIG5-AIG4</f>
        <v/>
      </c>
      <c r="AIH6" s="16">
        <f>AIH5-AIH4</f>
        <v/>
      </c>
      <c r="AII6" s="16">
        <f>AII5-AII4</f>
        <v/>
      </c>
      <c r="AIJ6" s="16">
        <f>AIJ5-AIJ4</f>
        <v/>
      </c>
      <c r="AIK6" s="16">
        <f>AIK5-AIK4</f>
        <v/>
      </c>
      <c r="AIL6" s="16">
        <f>AIL5-AIL4</f>
        <v/>
      </c>
      <c r="AIM6" s="16">
        <f>AIM5-AIM4</f>
        <v/>
      </c>
      <c r="AIN6" s="16">
        <f>AIN5-AIN4</f>
        <v/>
      </c>
      <c r="AIO6" s="16">
        <f>AIO5-AIO4</f>
        <v/>
      </c>
      <c r="AIP6" s="16">
        <f>AIP5-AIP4</f>
        <v/>
      </c>
      <c r="AIQ6" s="16">
        <f>AIQ5-AIQ4</f>
        <v/>
      </c>
      <c r="AIR6" s="16">
        <f>AIR5-AIR4</f>
        <v/>
      </c>
      <c r="AIS6" s="16">
        <f>AIS5-AIS4</f>
        <v/>
      </c>
      <c r="AIT6" s="16">
        <f>AIT5-AIT4</f>
        <v/>
      </c>
      <c r="AIU6" s="16">
        <f>AIU5-AIU4</f>
        <v/>
      </c>
      <c r="AIV6" s="16">
        <f>AIV5-AIV4</f>
        <v/>
      </c>
      <c r="AIW6" s="16">
        <f>AIW5-AIW4</f>
        <v/>
      </c>
      <c r="AIX6" s="16">
        <f>AIX5-AIX4</f>
        <v/>
      </c>
      <c r="AIY6" s="16">
        <f>AIY5-AIY4</f>
        <v/>
      </c>
      <c r="AIZ6" s="16">
        <f>AIZ5-AIZ4</f>
        <v/>
      </c>
      <c r="AJA6" s="16">
        <f>AJA5-AJA4</f>
        <v/>
      </c>
      <c r="AJB6" s="16">
        <f>AJB5-AJB4</f>
        <v/>
      </c>
      <c r="AJC6" s="16">
        <f>AJC5-AJC4</f>
        <v/>
      </c>
      <c r="AJD6" s="16">
        <f>AJD5-AJD4</f>
        <v/>
      </c>
      <c r="AJE6" s="16">
        <f>AJE5-AJE4</f>
        <v/>
      </c>
      <c r="AJF6" s="16">
        <f>AJF5-AJF4</f>
        <v/>
      </c>
      <c r="AJG6" s="16">
        <f>AJG5-AJG4</f>
        <v/>
      </c>
      <c r="AJH6" s="16">
        <f>AJH5-AJH4</f>
        <v/>
      </c>
      <c r="AJI6" s="16">
        <f>AJI5-AJI4</f>
        <v/>
      </c>
      <c r="AJJ6" s="16">
        <f>AJJ5-AJJ4</f>
        <v/>
      </c>
      <c r="AJK6" s="16">
        <f>AJK5-AJK4</f>
        <v/>
      </c>
      <c r="AJL6" s="127">
        <f>SUM(AIG6:AJK6)</f>
        <v/>
      </c>
      <c r="AJM6" s="16">
        <f>AJM5-AJM4</f>
        <v/>
      </c>
      <c r="AJN6" s="16">
        <f>AJN5-AJN4</f>
        <v/>
      </c>
      <c r="AJO6" s="16">
        <f>AJO5-AJO4</f>
        <v/>
      </c>
      <c r="AJP6" s="16">
        <f>AJP5-AJP4</f>
        <v/>
      </c>
      <c r="AJQ6" s="16">
        <f>AJQ5-AJQ4</f>
        <v/>
      </c>
      <c r="AJR6" s="16">
        <f>AJR5-AJR4</f>
        <v/>
      </c>
      <c r="AJS6" s="16">
        <f>AJS5-AJS4</f>
        <v/>
      </c>
      <c r="AJT6" s="16">
        <f>AJT5-AJT4</f>
        <v/>
      </c>
      <c r="AJU6" s="16">
        <f>AJU5-AJU4</f>
        <v/>
      </c>
      <c r="AJV6" s="16">
        <f>AJV5-AJV4</f>
        <v/>
      </c>
      <c r="AJW6" s="16">
        <f>AJW5-AJW4</f>
        <v/>
      </c>
      <c r="AJX6" s="16">
        <f>AJX5-AJX4</f>
        <v/>
      </c>
      <c r="AJY6" s="16">
        <f>AJY5-AJY4</f>
        <v/>
      </c>
      <c r="AJZ6" s="16">
        <f>AJZ5-AJZ4</f>
        <v/>
      </c>
      <c r="AKA6" s="16">
        <f>AKA5-AKA4</f>
        <v/>
      </c>
      <c r="AKB6" s="16">
        <f>AKB5-AKB4</f>
        <v/>
      </c>
      <c r="AKC6" s="16">
        <f>AKC5-AKC4</f>
        <v/>
      </c>
      <c r="AKD6" s="16">
        <f>AKD5-AKD4</f>
        <v/>
      </c>
      <c r="AKE6" s="16">
        <f>AKE5-AKE4</f>
        <v/>
      </c>
      <c r="AKF6" s="16">
        <f>AKF5-AKF4</f>
        <v/>
      </c>
      <c r="AKG6" s="16">
        <f>AKG5-AKG4</f>
        <v/>
      </c>
      <c r="AKH6" s="16">
        <f>AKH5-AKH4</f>
        <v/>
      </c>
      <c r="AKI6" s="16">
        <f>AKI5-AKI4</f>
        <v/>
      </c>
      <c r="AKJ6" s="16">
        <f>AKJ5-AKJ4</f>
        <v/>
      </c>
      <c r="AKK6" s="16">
        <f>AKK5-AKK4</f>
        <v/>
      </c>
      <c r="AKL6" s="16">
        <f>AKL5-AKL4</f>
        <v/>
      </c>
      <c r="AKM6" s="16">
        <f>AKM5-AKM4</f>
        <v/>
      </c>
      <c r="AKN6" s="16">
        <f>AKN5-AKN4</f>
        <v/>
      </c>
      <c r="AKO6" s="127">
        <f>SUM(AJM6:AKN6)</f>
        <v/>
      </c>
      <c r="AKP6" s="16">
        <f>AKP5-AKP4</f>
        <v/>
      </c>
      <c r="AKQ6" s="16">
        <f>AKQ5-AKQ4</f>
        <v/>
      </c>
      <c r="AKR6" s="16">
        <f>AKR5-AKR4</f>
        <v/>
      </c>
      <c r="AKS6" s="16">
        <f>AKS5-AKS4</f>
        <v/>
      </c>
      <c r="AKT6" s="16">
        <f>AKT5-AKT4</f>
        <v/>
      </c>
      <c r="AKU6" s="16">
        <f>AKU5-AKU4</f>
        <v/>
      </c>
      <c r="AKV6" s="16">
        <f>AKV5-AKV4</f>
        <v/>
      </c>
      <c r="AKW6" s="16">
        <f>AKW5-AKW4</f>
        <v/>
      </c>
      <c r="AKX6" s="16">
        <f>AKX5-AKX4</f>
        <v/>
      </c>
      <c r="AKY6" s="16">
        <f>AKY5-AKY4</f>
        <v/>
      </c>
      <c r="AKZ6" s="16">
        <f>AKZ5-AKZ4</f>
        <v/>
      </c>
      <c r="ALA6" s="16">
        <f>ALA5-ALA4</f>
        <v/>
      </c>
      <c r="ALB6" s="16">
        <f>ALB5-ALB4</f>
        <v/>
      </c>
      <c r="ALC6" s="16">
        <f>ALC5-ALC4</f>
        <v/>
      </c>
      <c r="ALD6" s="16">
        <f>ALD5-ALD4</f>
        <v/>
      </c>
      <c r="ALE6" s="16">
        <f>ALE5-ALE4</f>
        <v/>
      </c>
      <c r="ALF6" s="16">
        <f>ALF5-ALF4</f>
        <v/>
      </c>
      <c r="ALG6" s="16">
        <f>ALG5-ALG4</f>
        <v/>
      </c>
      <c r="ALH6" s="16">
        <f>ALH5-ALH4</f>
        <v/>
      </c>
      <c r="ALI6" s="16">
        <f>ALI5-ALI4</f>
        <v/>
      </c>
      <c r="ALJ6" s="16">
        <f>ALJ5-ALJ4</f>
        <v/>
      </c>
      <c r="ALK6" s="16">
        <f>ALK5-ALK4</f>
        <v/>
      </c>
      <c r="ALL6" s="16">
        <f>ALL5-ALL4</f>
        <v/>
      </c>
      <c r="ALM6" s="16">
        <f>ALM5-ALM4</f>
        <v/>
      </c>
      <c r="ALN6" s="16">
        <f>ALN5-ALN4</f>
        <v/>
      </c>
      <c r="ALO6" s="16">
        <f>ALO5-ALO4</f>
        <v/>
      </c>
      <c r="ALP6" s="16">
        <f>ALP5-ALP4</f>
        <v/>
      </c>
      <c r="ALQ6" s="16">
        <f>ALQ5-ALQ4</f>
        <v/>
      </c>
      <c r="ALR6" s="16">
        <f>ALR5-ALR4</f>
        <v/>
      </c>
      <c r="ALS6" s="16">
        <f>ALS5-ALS4</f>
        <v/>
      </c>
      <c r="ALT6" s="16">
        <f>ALT5-ALT4</f>
        <v/>
      </c>
      <c r="ALU6" s="127">
        <f>SUM(AKP6:ALT6)</f>
        <v/>
      </c>
      <c r="ALV6" s="16">
        <f>ALV5-ALV4</f>
        <v/>
      </c>
      <c r="ALW6" s="16">
        <f>ALW5-ALW4</f>
        <v/>
      </c>
      <c r="ALX6" s="16">
        <f>ALX5-ALX4</f>
        <v/>
      </c>
      <c r="ALY6" s="16">
        <f>ALY5-ALY4</f>
        <v/>
      </c>
      <c r="ALZ6" s="16">
        <f>ALZ5-ALZ4</f>
        <v/>
      </c>
      <c r="AMA6" s="16">
        <f>AMA5-AMA4</f>
        <v/>
      </c>
      <c r="AMB6" s="16">
        <f>AMB5-AMB4</f>
        <v/>
      </c>
      <c r="AMC6" s="16">
        <f>AMC5-AMC4</f>
        <v/>
      </c>
      <c r="AMD6" s="16">
        <f>AMD5-AMD4</f>
        <v/>
      </c>
      <c r="AME6" s="16">
        <f>AME5-AME4</f>
        <v/>
      </c>
      <c r="AMF6" s="16">
        <f>AMF5-AMF4</f>
        <v/>
      </c>
      <c r="AMG6" s="16">
        <f>AMG5-AMG4</f>
        <v/>
      </c>
      <c r="AMH6" s="16">
        <f>AMH5-AMH4</f>
        <v/>
      </c>
      <c r="AMI6" s="16">
        <f>AMI5-AMI4</f>
        <v/>
      </c>
      <c r="AMJ6" s="16">
        <f>AMJ5-AMJ4</f>
        <v/>
      </c>
      <c r="AMK6" s="16">
        <f>AMK5-AMK4</f>
        <v/>
      </c>
      <c r="AML6" s="16">
        <f>AML5-AML4</f>
        <v/>
      </c>
      <c r="AMM6" s="16">
        <f>AMM5-AMM4</f>
        <v/>
      </c>
      <c r="AMN6" s="16">
        <f>AMN5-AMN4</f>
        <v/>
      </c>
      <c r="AMO6" s="16">
        <f>AMO5-AMO4</f>
        <v/>
      </c>
      <c r="AMP6" s="16">
        <f>AMP5-AMP4</f>
        <v/>
      </c>
      <c r="AMQ6" s="16">
        <f>AMQ5-AMQ4</f>
        <v/>
      </c>
      <c r="AMR6" s="16">
        <f>AMR5-AMR4</f>
        <v/>
      </c>
      <c r="AMS6" s="16">
        <f>AMS5-AMS4</f>
        <v/>
      </c>
      <c r="AMT6" s="16">
        <f>AMT5-AMT4</f>
        <v/>
      </c>
      <c r="AMU6" s="16">
        <f>AMU5-AMU4</f>
        <v/>
      </c>
      <c r="AMV6" s="16">
        <f>AMV5-AMV4</f>
        <v/>
      </c>
      <c r="AMW6" s="16">
        <f>AMW5-AMW4</f>
        <v/>
      </c>
      <c r="AMX6" s="16">
        <f>AMX5-AMX4</f>
        <v/>
      </c>
      <c r="AMY6" s="16">
        <f>AMY5-AMY4</f>
        <v/>
      </c>
      <c r="AMZ6" s="127">
        <f>SUM(ALV6:AMY6)</f>
        <v/>
      </c>
      <c r="ANA6" s="16">
        <f>ANA5-ANA4</f>
        <v/>
      </c>
      <c r="ANB6" s="16">
        <f>ANB5-ANB4</f>
        <v/>
      </c>
      <c r="ANC6" s="16">
        <f>ANC5-ANC4</f>
        <v/>
      </c>
      <c r="AND6" s="16">
        <f>AND5-AND4</f>
        <v/>
      </c>
      <c r="ANE6" s="16">
        <f>ANE5-ANE4</f>
        <v/>
      </c>
      <c r="ANF6" s="16">
        <f>ANF5-ANF4</f>
        <v/>
      </c>
      <c r="ANG6" s="16">
        <f>ANG5-ANG4</f>
        <v/>
      </c>
      <c r="ANH6" s="16">
        <f>ANH5-ANH4</f>
        <v/>
      </c>
      <c r="ANI6" s="16">
        <f>ANI5-ANI4</f>
        <v/>
      </c>
      <c r="ANJ6" s="16">
        <f>ANJ5-ANJ4</f>
        <v/>
      </c>
      <c r="ANK6" s="16">
        <f>ANK5-ANK4</f>
        <v/>
      </c>
      <c r="ANL6" s="16">
        <f>ANL5-ANL4</f>
        <v/>
      </c>
      <c r="ANM6" s="16">
        <f>ANM5-ANM4</f>
        <v/>
      </c>
      <c r="ANN6" s="16">
        <f>ANN5-ANN4</f>
        <v/>
      </c>
      <c r="ANO6" s="16">
        <f>ANO5-ANO4</f>
        <v/>
      </c>
      <c r="ANP6" s="16">
        <f>ANP5-ANP4</f>
        <v/>
      </c>
      <c r="ANQ6" s="16">
        <f>ANQ5-ANQ4</f>
        <v/>
      </c>
      <c r="ANR6" s="16">
        <f>ANR5-ANR4</f>
        <v/>
      </c>
      <c r="ANS6" s="16">
        <f>ANS5-ANS4</f>
        <v/>
      </c>
      <c r="ANT6" s="16">
        <f>ANT5-ANT4</f>
        <v/>
      </c>
      <c r="ANU6" s="16">
        <f>ANU5-ANU4</f>
        <v/>
      </c>
      <c r="ANV6" s="16">
        <f>ANV5-ANV4</f>
        <v/>
      </c>
      <c r="ANW6" s="16">
        <f>ANW5-ANW4</f>
        <v/>
      </c>
      <c r="ANX6" s="16">
        <f>ANX5-ANX4</f>
        <v/>
      </c>
      <c r="ANY6" s="16">
        <f>ANY5-ANY4</f>
        <v/>
      </c>
      <c r="ANZ6" s="16">
        <f>ANZ5-ANZ4</f>
        <v/>
      </c>
      <c r="AOA6" s="16">
        <f>AOA5-AOA4</f>
        <v/>
      </c>
      <c r="AOB6" s="16">
        <f>AOB5-AOB4</f>
        <v/>
      </c>
      <c r="AOC6" s="16">
        <f>AOC5-AOC4</f>
        <v/>
      </c>
      <c r="AOD6" s="16">
        <f>AOD5-AOD4</f>
        <v/>
      </c>
      <c r="AOE6">
        <f>AOE5-AOE4</f>
        <v/>
      </c>
      <c r="AOF6">
        <f>AOF5-AOF4</f>
        <v/>
      </c>
    </row>
    <row r="7">
      <c r="A7" s="157" t="n"/>
      <c r="B7" s="159" t="inlineStr">
        <is>
          <t>PMS 2</t>
        </is>
      </c>
      <c r="C7" s="47" t="inlineStr">
        <is>
          <t>OPENING</t>
        </is>
      </c>
      <c r="D7" s="48" t="n">
        <v>350641.914</v>
      </c>
      <c r="E7" s="48">
        <f>D8</f>
        <v/>
      </c>
      <c r="F7" s="48">
        <f>E8</f>
        <v/>
      </c>
      <c r="G7" s="48">
        <f>F8</f>
        <v/>
      </c>
      <c r="H7" s="48">
        <f>G8</f>
        <v/>
      </c>
      <c r="I7" s="48">
        <f>H8</f>
        <v/>
      </c>
      <c r="J7" s="48">
        <f>I8</f>
        <v/>
      </c>
      <c r="K7" s="48">
        <f>J8</f>
        <v/>
      </c>
      <c r="L7" s="48">
        <f>K8</f>
        <v/>
      </c>
      <c r="M7" s="48">
        <f>L8</f>
        <v/>
      </c>
      <c r="N7" s="48">
        <f>M8</f>
        <v/>
      </c>
      <c r="O7" s="48">
        <f>N8</f>
        <v/>
      </c>
      <c r="P7" s="48">
        <f>O8</f>
        <v/>
      </c>
      <c r="Q7" s="48">
        <f>P8</f>
        <v/>
      </c>
      <c r="R7" s="48">
        <f>Q8</f>
        <v/>
      </c>
      <c r="S7" s="48">
        <f>R8</f>
        <v/>
      </c>
      <c r="T7" s="48">
        <f>S8</f>
        <v/>
      </c>
      <c r="U7" s="48">
        <f>T8</f>
        <v/>
      </c>
      <c r="V7" s="48">
        <f>U8</f>
        <v/>
      </c>
      <c r="W7" s="48">
        <f>V8</f>
        <v/>
      </c>
      <c r="X7" s="48">
        <f>W8</f>
        <v/>
      </c>
      <c r="Y7" s="48">
        <f>X8</f>
        <v/>
      </c>
      <c r="Z7" s="48">
        <f>Y8</f>
        <v/>
      </c>
      <c r="AA7" s="48">
        <f>Z8</f>
        <v/>
      </c>
      <c r="AB7" s="48">
        <f>AA8</f>
        <v/>
      </c>
      <c r="AC7" s="48">
        <f>AB8</f>
        <v/>
      </c>
      <c r="AD7" s="48">
        <f>AC8</f>
        <v/>
      </c>
      <c r="AE7" s="48">
        <f>AD8</f>
        <v/>
      </c>
      <c r="AF7" s="48">
        <f>AE8</f>
        <v/>
      </c>
      <c r="AG7" s="48">
        <f>AF8</f>
        <v/>
      </c>
      <c r="AH7" s="48">
        <f>AG8</f>
        <v/>
      </c>
      <c r="AI7" s="49" t="n"/>
      <c r="AJ7" s="89">
        <f>AH8</f>
        <v/>
      </c>
      <c r="AK7" s="89">
        <f>AJ8</f>
        <v/>
      </c>
      <c r="AL7" s="89">
        <f>AK8</f>
        <v/>
      </c>
      <c r="AM7" s="89">
        <f>AL8</f>
        <v/>
      </c>
      <c r="AN7" s="89">
        <f>AM8</f>
        <v/>
      </c>
      <c r="AO7" s="89">
        <f>AN8</f>
        <v/>
      </c>
      <c r="AP7" s="89">
        <f>AO8</f>
        <v/>
      </c>
      <c r="AQ7" s="89">
        <f>AP8</f>
        <v/>
      </c>
      <c r="AR7" s="89">
        <f>AQ8</f>
        <v/>
      </c>
      <c r="AS7" s="89">
        <f>AR8</f>
        <v/>
      </c>
      <c r="AT7" s="89">
        <f>AS8</f>
        <v/>
      </c>
      <c r="AU7" s="89">
        <f>AT8</f>
        <v/>
      </c>
      <c r="AV7" s="89">
        <f>AU8</f>
        <v/>
      </c>
      <c r="AW7" s="89">
        <f>AV8</f>
        <v/>
      </c>
      <c r="AX7" s="89">
        <f>AW8</f>
        <v/>
      </c>
      <c r="AY7" s="89">
        <f>AX8</f>
        <v/>
      </c>
      <c r="AZ7" s="89">
        <f>AY8</f>
        <v/>
      </c>
      <c r="BA7" s="89">
        <f>AZ8</f>
        <v/>
      </c>
      <c r="BB7" s="89">
        <f>BA8</f>
        <v/>
      </c>
      <c r="BC7" s="89">
        <f>BB8</f>
        <v/>
      </c>
      <c r="BD7" s="89">
        <f>BC8</f>
        <v/>
      </c>
      <c r="BE7" s="89">
        <f>BD8</f>
        <v/>
      </c>
      <c r="BF7" s="89">
        <f>BE8</f>
        <v/>
      </c>
      <c r="BG7" s="89">
        <f>BF8</f>
        <v/>
      </c>
      <c r="BH7" s="89">
        <f>BG8</f>
        <v/>
      </c>
      <c r="BI7" s="89">
        <f>BH8</f>
        <v/>
      </c>
      <c r="BJ7" s="89">
        <f>BI8</f>
        <v/>
      </c>
      <c r="BK7" s="89">
        <f>BJ8</f>
        <v/>
      </c>
      <c r="BL7" s="89">
        <f>BK8</f>
        <v/>
      </c>
      <c r="BM7" s="89">
        <f>BL8</f>
        <v/>
      </c>
      <c r="BO7" s="89">
        <f>BM8</f>
        <v/>
      </c>
      <c r="BP7" s="89">
        <f>BO8</f>
        <v/>
      </c>
      <c r="BQ7" s="89">
        <f>BP8</f>
        <v/>
      </c>
      <c r="BR7" s="89">
        <f>BQ8</f>
        <v/>
      </c>
      <c r="BS7" s="89">
        <f>BR8</f>
        <v/>
      </c>
      <c r="BT7" s="89">
        <f>BS8</f>
        <v/>
      </c>
      <c r="BU7" s="89">
        <f>BT8</f>
        <v/>
      </c>
      <c r="BV7" s="89">
        <f>BU8</f>
        <v/>
      </c>
      <c r="BW7" s="89">
        <f>BV8</f>
        <v/>
      </c>
      <c r="BX7" s="89">
        <f>BW8</f>
        <v/>
      </c>
      <c r="BY7" s="89">
        <f>BX8</f>
        <v/>
      </c>
      <c r="BZ7" s="89">
        <f>BY8</f>
        <v/>
      </c>
      <c r="CA7" s="89">
        <f>BZ8</f>
        <v/>
      </c>
      <c r="CB7" s="89">
        <f>CA8</f>
        <v/>
      </c>
      <c r="CC7" s="89">
        <f>CB8</f>
        <v/>
      </c>
      <c r="CD7" s="89">
        <f>CC8</f>
        <v/>
      </c>
      <c r="CE7" s="89">
        <f>CD8</f>
        <v/>
      </c>
      <c r="CF7" s="89">
        <f>CE8</f>
        <v/>
      </c>
      <c r="CG7" s="89">
        <f>CF8</f>
        <v/>
      </c>
      <c r="CH7" s="89">
        <f>CG8</f>
        <v/>
      </c>
      <c r="CI7" s="89">
        <f>CH8</f>
        <v/>
      </c>
      <c r="CJ7" s="89">
        <f>CI8</f>
        <v/>
      </c>
      <c r="CK7" s="89">
        <f>CJ8</f>
        <v/>
      </c>
      <c r="CL7" s="89">
        <f>CK8</f>
        <v/>
      </c>
      <c r="CM7" s="89">
        <f>CL8</f>
        <v/>
      </c>
      <c r="CN7" s="89">
        <f>CM8</f>
        <v/>
      </c>
      <c r="CO7" s="89">
        <f>CN8</f>
        <v/>
      </c>
      <c r="CP7" s="89">
        <f>CO8</f>
        <v/>
      </c>
      <c r="CQ7" s="89">
        <f>CP8</f>
        <v/>
      </c>
      <c r="CR7" s="89">
        <f>CQ8</f>
        <v/>
      </c>
      <c r="CS7" s="89">
        <f>CR8</f>
        <v/>
      </c>
      <c r="CU7" s="89">
        <f>CS8</f>
        <v/>
      </c>
      <c r="CV7" s="89">
        <f>CU8</f>
        <v/>
      </c>
      <c r="CW7" s="89">
        <f>CV8</f>
        <v/>
      </c>
      <c r="CX7" s="89">
        <f>CW8</f>
        <v/>
      </c>
      <c r="CY7" s="89">
        <f>CX8</f>
        <v/>
      </c>
      <c r="CZ7" s="89">
        <f>CY8</f>
        <v/>
      </c>
      <c r="DA7" s="89">
        <f>CZ8</f>
        <v/>
      </c>
      <c r="DB7" s="89">
        <f>DA8</f>
        <v/>
      </c>
      <c r="DC7" s="89">
        <f>DB8</f>
        <v/>
      </c>
      <c r="DD7" s="89">
        <f>DC8</f>
        <v/>
      </c>
      <c r="DE7" s="89">
        <f>DD8</f>
        <v/>
      </c>
      <c r="DF7" s="89">
        <f>DE8</f>
        <v/>
      </c>
      <c r="DG7" s="89">
        <f>DF8</f>
        <v/>
      </c>
      <c r="DH7" s="89">
        <f>DG8</f>
        <v/>
      </c>
      <c r="DI7" s="89">
        <f>DH8</f>
        <v/>
      </c>
      <c r="DJ7" s="89">
        <f>DI8</f>
        <v/>
      </c>
      <c r="DK7" s="89">
        <f>DJ8</f>
        <v/>
      </c>
      <c r="DL7" s="89">
        <f>DK8</f>
        <v/>
      </c>
      <c r="DM7" s="89">
        <f>DL8</f>
        <v/>
      </c>
      <c r="DN7" s="89">
        <f>DM8</f>
        <v/>
      </c>
      <c r="DO7" s="89">
        <f>DN8</f>
        <v/>
      </c>
      <c r="DP7" s="89">
        <f>DO8</f>
        <v/>
      </c>
      <c r="DQ7" s="89">
        <f>DP8</f>
        <v/>
      </c>
      <c r="DR7" s="89">
        <f>DQ8</f>
        <v/>
      </c>
      <c r="DS7" s="89">
        <f>DR8</f>
        <v/>
      </c>
      <c r="DT7" s="89">
        <f>DS8</f>
        <v/>
      </c>
      <c r="DU7" s="89">
        <f>DT8</f>
        <v/>
      </c>
      <c r="DV7" s="89">
        <f>DU8</f>
        <v/>
      </c>
      <c r="DW7" s="89">
        <f>DV8</f>
        <v/>
      </c>
      <c r="DX7" s="89">
        <f>DW8</f>
        <v/>
      </c>
      <c r="DY7" s="117" t="n"/>
      <c r="DZ7" s="89">
        <f>DX8</f>
        <v/>
      </c>
      <c r="EA7" s="89">
        <f>DZ8</f>
        <v/>
      </c>
      <c r="EB7" s="89">
        <f>EA8</f>
        <v/>
      </c>
      <c r="EC7" s="89">
        <f>EB8</f>
        <v/>
      </c>
      <c r="ED7" s="89">
        <f>EC8</f>
        <v/>
      </c>
      <c r="EE7" s="89">
        <f>ED8</f>
        <v/>
      </c>
      <c r="EF7" s="89">
        <f>EE8</f>
        <v/>
      </c>
      <c r="EG7" s="89">
        <f>EF8</f>
        <v/>
      </c>
      <c r="EH7" s="89">
        <f>EG8</f>
        <v/>
      </c>
      <c r="EI7" s="89">
        <f>EH8</f>
        <v/>
      </c>
      <c r="EJ7" s="89">
        <f>EI8</f>
        <v/>
      </c>
      <c r="EK7" s="89">
        <f>EJ8</f>
        <v/>
      </c>
      <c r="EL7" s="89">
        <f>EK8</f>
        <v/>
      </c>
      <c r="EM7" s="89">
        <f>EL8</f>
        <v/>
      </c>
      <c r="EN7" s="89">
        <f>EM8</f>
        <v/>
      </c>
      <c r="EO7" s="89">
        <f>EN8</f>
        <v/>
      </c>
      <c r="EP7" s="89">
        <f>EO8</f>
        <v/>
      </c>
      <c r="EQ7" s="89">
        <f>EP8</f>
        <v/>
      </c>
      <c r="ER7" s="89">
        <f>EQ8</f>
        <v/>
      </c>
      <c r="ES7" s="89">
        <f>ER8</f>
        <v/>
      </c>
      <c r="ET7" s="89">
        <f>ES8</f>
        <v/>
      </c>
      <c r="EU7" s="89">
        <f>ET8</f>
        <v/>
      </c>
      <c r="EV7" s="89">
        <f>EU8</f>
        <v/>
      </c>
      <c r="EW7" s="89">
        <f>EV8</f>
        <v/>
      </c>
      <c r="EX7" s="89">
        <f>EW8</f>
        <v/>
      </c>
      <c r="EY7" s="89">
        <f>EX8</f>
        <v/>
      </c>
      <c r="EZ7" s="89">
        <f>EY8</f>
        <v/>
      </c>
      <c r="FA7" s="89">
        <f>EZ8</f>
        <v/>
      </c>
      <c r="FB7" s="89">
        <f>FA8</f>
        <v/>
      </c>
      <c r="FC7" s="89">
        <f>FB8</f>
        <v/>
      </c>
      <c r="FD7" s="89">
        <f>FC8</f>
        <v/>
      </c>
      <c r="FE7" s="126" t="n"/>
      <c r="FF7" s="89">
        <f>FD8</f>
        <v/>
      </c>
      <c r="FG7" s="89">
        <f>FF8</f>
        <v/>
      </c>
      <c r="FH7" s="89">
        <f>FG8</f>
        <v/>
      </c>
      <c r="FI7" s="89">
        <f>FH8</f>
        <v/>
      </c>
      <c r="FJ7" s="89">
        <f>FI8</f>
        <v/>
      </c>
      <c r="FK7" s="89">
        <f>FJ8</f>
        <v/>
      </c>
      <c r="FL7" s="89">
        <f>FK8</f>
        <v/>
      </c>
      <c r="FM7" s="89">
        <f>FL8</f>
        <v/>
      </c>
      <c r="FN7" s="89">
        <f>FM8</f>
        <v/>
      </c>
      <c r="FO7" s="89">
        <f>FN8</f>
        <v/>
      </c>
      <c r="FP7" s="89">
        <f>FO8</f>
        <v/>
      </c>
      <c r="FQ7" s="89">
        <f>FP8</f>
        <v/>
      </c>
      <c r="FR7" s="89">
        <f>FQ8</f>
        <v/>
      </c>
      <c r="FS7" s="89">
        <f>FR8</f>
        <v/>
      </c>
      <c r="FT7" s="89">
        <f>FS8</f>
        <v/>
      </c>
      <c r="FU7" s="89">
        <f>FT8</f>
        <v/>
      </c>
      <c r="FV7" s="89">
        <f>FU8</f>
        <v/>
      </c>
      <c r="FW7" s="89">
        <f>FV8</f>
        <v/>
      </c>
      <c r="FX7" s="89">
        <f>FW8</f>
        <v/>
      </c>
      <c r="FY7" s="89">
        <f>FX8</f>
        <v/>
      </c>
      <c r="FZ7" s="89">
        <f>FY8</f>
        <v/>
      </c>
      <c r="GA7" s="89">
        <f>FZ8</f>
        <v/>
      </c>
      <c r="GB7" s="89">
        <f>GA8</f>
        <v/>
      </c>
      <c r="GC7" s="89">
        <f>GB8</f>
        <v/>
      </c>
      <c r="GD7" s="89">
        <f>GC8</f>
        <v/>
      </c>
      <c r="GE7" s="89">
        <f>GD8</f>
        <v/>
      </c>
      <c r="GF7" s="89">
        <f>GE8</f>
        <v/>
      </c>
      <c r="GG7" s="89">
        <f>GF8</f>
        <v/>
      </c>
      <c r="GH7" s="89">
        <f>GG8</f>
        <v/>
      </c>
      <c r="GI7" s="89">
        <f>GH8</f>
        <v/>
      </c>
      <c r="GJ7" s="89">
        <f>GI8</f>
        <v/>
      </c>
      <c r="GK7" s="127">
        <f>SUM(FF7:GJ7)</f>
        <v/>
      </c>
      <c r="GL7" s="89">
        <f>GJ8</f>
        <v/>
      </c>
      <c r="GM7">
        <f>GL8</f>
        <v/>
      </c>
      <c r="GN7">
        <f>GM8</f>
        <v/>
      </c>
      <c r="GO7">
        <f>GN8</f>
        <v/>
      </c>
      <c r="GP7">
        <f>GO8</f>
        <v/>
      </c>
      <c r="GQ7">
        <f>GP8</f>
        <v/>
      </c>
      <c r="GR7">
        <f>GQ8</f>
        <v/>
      </c>
      <c r="GS7">
        <f>GR8</f>
        <v/>
      </c>
      <c r="GT7">
        <f>GS8</f>
        <v/>
      </c>
      <c r="GU7">
        <f>GT8</f>
        <v/>
      </c>
      <c r="GV7">
        <f>GU8</f>
        <v/>
      </c>
      <c r="GW7">
        <f>GV8</f>
        <v/>
      </c>
      <c r="GX7">
        <f>GW8</f>
        <v/>
      </c>
      <c r="GY7">
        <f>GX8</f>
        <v/>
      </c>
      <c r="GZ7">
        <f>GY8</f>
        <v/>
      </c>
      <c r="HA7">
        <f>GZ8</f>
        <v/>
      </c>
      <c r="HB7">
        <f>HA8</f>
        <v/>
      </c>
      <c r="HC7">
        <f>HB8</f>
        <v/>
      </c>
      <c r="HD7">
        <f>HC8</f>
        <v/>
      </c>
      <c r="HE7">
        <f>HD8</f>
        <v/>
      </c>
      <c r="HF7">
        <f>HE8</f>
        <v/>
      </c>
      <c r="HG7">
        <f>HF8</f>
        <v/>
      </c>
      <c r="HH7">
        <f>HG8</f>
        <v/>
      </c>
      <c r="HI7">
        <f>HH8</f>
        <v/>
      </c>
      <c r="HJ7">
        <f>HI8</f>
        <v/>
      </c>
      <c r="HK7">
        <f>HJ8</f>
        <v/>
      </c>
      <c r="HL7">
        <f>HK8</f>
        <v/>
      </c>
      <c r="HM7">
        <f>HL8</f>
        <v/>
      </c>
      <c r="HN7">
        <f>HM8</f>
        <v/>
      </c>
      <c r="HO7" s="127">
        <f>SUM(GL7:HN7)</f>
        <v/>
      </c>
      <c r="HP7" s="89">
        <f>HN8</f>
        <v/>
      </c>
      <c r="HQ7" s="89">
        <f>HP8</f>
        <v/>
      </c>
      <c r="HR7" s="89">
        <f>HQ8</f>
        <v/>
      </c>
      <c r="HS7" s="89">
        <f>HR8</f>
        <v/>
      </c>
      <c r="HT7" s="89">
        <f>HS8</f>
        <v/>
      </c>
      <c r="HU7" s="89">
        <f>HT8</f>
        <v/>
      </c>
      <c r="HV7" s="89">
        <f>HU8</f>
        <v/>
      </c>
      <c r="HW7" s="89">
        <f>HV8</f>
        <v/>
      </c>
      <c r="HX7" s="89">
        <f>HW8</f>
        <v/>
      </c>
      <c r="HY7" s="89">
        <f>HX8</f>
        <v/>
      </c>
      <c r="HZ7" s="89">
        <f>HY8</f>
        <v/>
      </c>
      <c r="IA7" s="89">
        <f>HZ8</f>
        <v/>
      </c>
      <c r="IB7" s="89">
        <f>IA8</f>
        <v/>
      </c>
      <c r="IC7" s="89">
        <f>IB8</f>
        <v/>
      </c>
      <c r="ID7" s="89">
        <f>IC8</f>
        <v/>
      </c>
      <c r="IE7" s="89">
        <f>ID8</f>
        <v/>
      </c>
      <c r="IF7" s="89">
        <f>IE8</f>
        <v/>
      </c>
      <c r="IG7" s="89">
        <f>IF8</f>
        <v/>
      </c>
      <c r="IH7" s="89">
        <f>IG8</f>
        <v/>
      </c>
      <c r="II7" s="89">
        <f>IH8</f>
        <v/>
      </c>
      <c r="IJ7" s="89">
        <f>II8</f>
        <v/>
      </c>
      <c r="IK7" s="89">
        <f>IJ8</f>
        <v/>
      </c>
      <c r="IL7" s="89">
        <f>IK8</f>
        <v/>
      </c>
      <c r="IM7" s="89">
        <f>IL8</f>
        <v/>
      </c>
      <c r="IN7" s="89">
        <f>IM8</f>
        <v/>
      </c>
      <c r="IO7" s="89">
        <f>IN8</f>
        <v/>
      </c>
      <c r="IP7" s="89">
        <f>IO8</f>
        <v/>
      </c>
      <c r="IQ7" s="89">
        <f>IP8</f>
        <v/>
      </c>
      <c r="IR7" s="89">
        <f>IQ8</f>
        <v/>
      </c>
      <c r="IS7" s="89">
        <f>IR8</f>
        <v/>
      </c>
      <c r="IT7" s="89">
        <f>IS8</f>
        <v/>
      </c>
      <c r="IU7" s="127">
        <f>SUM(HP7:IT7)</f>
        <v/>
      </c>
      <c r="IV7" s="89">
        <f>IT8</f>
        <v/>
      </c>
      <c r="IW7" s="89">
        <f>IV8</f>
        <v/>
      </c>
      <c r="IX7" s="89">
        <f>IW8</f>
        <v/>
      </c>
      <c r="IY7" s="89">
        <f>IX8</f>
        <v/>
      </c>
      <c r="IZ7" s="89">
        <f>IY8</f>
        <v/>
      </c>
      <c r="JA7" s="89">
        <f>IZ8</f>
        <v/>
      </c>
      <c r="JB7" s="89">
        <f>JA8</f>
        <v/>
      </c>
      <c r="JC7" s="89">
        <f>JB8</f>
        <v/>
      </c>
      <c r="JD7" s="89">
        <f>JC8</f>
        <v/>
      </c>
      <c r="JE7" s="89">
        <f>JD8</f>
        <v/>
      </c>
      <c r="JF7" s="89">
        <f>JE8</f>
        <v/>
      </c>
      <c r="JG7" s="89">
        <f>JF8</f>
        <v/>
      </c>
      <c r="JH7" s="89">
        <f>JG8</f>
        <v/>
      </c>
      <c r="JI7" s="89">
        <f>JH8</f>
        <v/>
      </c>
      <c r="JJ7" s="89">
        <f>JI8</f>
        <v/>
      </c>
      <c r="JK7" s="89">
        <f>JJ8</f>
        <v/>
      </c>
      <c r="JL7" s="89">
        <f>JK8</f>
        <v/>
      </c>
      <c r="JM7" s="89">
        <f>JL8</f>
        <v/>
      </c>
      <c r="JN7" s="89">
        <f>JM8</f>
        <v/>
      </c>
      <c r="JO7" s="89">
        <f>JN8</f>
        <v/>
      </c>
      <c r="JP7" s="89">
        <f>JO8</f>
        <v/>
      </c>
      <c r="JQ7" s="89">
        <f>JP8</f>
        <v/>
      </c>
      <c r="JR7" s="89">
        <f>JQ8</f>
        <v/>
      </c>
      <c r="JS7" s="89">
        <f>JR8</f>
        <v/>
      </c>
      <c r="JT7" s="89">
        <f>JS8</f>
        <v/>
      </c>
      <c r="JU7" s="89">
        <f>JT8</f>
        <v/>
      </c>
      <c r="JV7" s="89">
        <f>JU8</f>
        <v/>
      </c>
      <c r="JW7" s="89">
        <f>JV8</f>
        <v/>
      </c>
      <c r="JX7" s="89">
        <f>JW8</f>
        <v/>
      </c>
      <c r="JY7" s="89">
        <f>JX8</f>
        <v/>
      </c>
      <c r="JZ7" s="127" t="n"/>
      <c r="KA7" s="89">
        <f>JY8</f>
        <v/>
      </c>
      <c r="KB7" s="89">
        <f>KA8</f>
        <v/>
      </c>
      <c r="KC7" s="89">
        <f>KB8</f>
        <v/>
      </c>
      <c r="KD7" s="89">
        <f>KC8</f>
        <v/>
      </c>
      <c r="KE7" s="89">
        <f>KD8</f>
        <v/>
      </c>
      <c r="KF7" s="89">
        <f>KE8</f>
        <v/>
      </c>
      <c r="KG7" s="89">
        <f>KF8</f>
        <v/>
      </c>
      <c r="KH7" s="89">
        <f>KG8</f>
        <v/>
      </c>
      <c r="KI7" s="89">
        <f>KH8</f>
        <v/>
      </c>
      <c r="KJ7" s="89">
        <f>KI8</f>
        <v/>
      </c>
      <c r="KK7" s="89">
        <f>KJ8</f>
        <v/>
      </c>
      <c r="KL7" s="89">
        <f>KK8</f>
        <v/>
      </c>
      <c r="KM7" s="89">
        <f>KL8</f>
        <v/>
      </c>
      <c r="KN7" s="89">
        <f>KM8</f>
        <v/>
      </c>
      <c r="KO7" s="89">
        <f>KN8</f>
        <v/>
      </c>
      <c r="KP7" s="89">
        <f>KO8</f>
        <v/>
      </c>
      <c r="KQ7" s="89">
        <f>KP8</f>
        <v/>
      </c>
      <c r="KR7" s="89">
        <f>KQ8</f>
        <v/>
      </c>
      <c r="KS7" s="89">
        <f>KR8</f>
        <v/>
      </c>
      <c r="KT7" s="89">
        <f>KS8</f>
        <v/>
      </c>
      <c r="KU7" s="89">
        <f>KT8</f>
        <v/>
      </c>
      <c r="KV7" s="89">
        <f>KU8</f>
        <v/>
      </c>
      <c r="KW7" s="89">
        <f>KV8</f>
        <v/>
      </c>
      <c r="KX7" s="89">
        <f>KW8</f>
        <v/>
      </c>
      <c r="KY7" s="89">
        <f>KX8</f>
        <v/>
      </c>
      <c r="KZ7" s="89">
        <f>KY8</f>
        <v/>
      </c>
      <c r="LA7" s="89">
        <f>KZ8</f>
        <v/>
      </c>
      <c r="LB7" s="89">
        <f>LA8</f>
        <v/>
      </c>
      <c r="LC7" s="89">
        <f>LB8</f>
        <v/>
      </c>
      <c r="LD7" s="89">
        <f>LC8</f>
        <v/>
      </c>
      <c r="LE7" s="89">
        <f>LD8</f>
        <v/>
      </c>
      <c r="LF7" s="127" t="n"/>
      <c r="LG7" s="89">
        <f>LE8</f>
        <v/>
      </c>
      <c r="LH7" s="89">
        <f>LG8</f>
        <v/>
      </c>
      <c r="LI7" s="89">
        <f>LH8</f>
        <v/>
      </c>
      <c r="LJ7" s="89">
        <f>LI8</f>
        <v/>
      </c>
      <c r="LK7" s="89">
        <f>LJ8</f>
        <v/>
      </c>
      <c r="LL7" s="89">
        <f>LK8</f>
        <v/>
      </c>
      <c r="LM7" s="89">
        <f>LL8</f>
        <v/>
      </c>
      <c r="LN7" s="89">
        <f>LM8</f>
        <v/>
      </c>
      <c r="LO7" s="89">
        <f>LN8</f>
        <v/>
      </c>
      <c r="LP7" s="89">
        <f>LO8</f>
        <v/>
      </c>
      <c r="LQ7" s="89">
        <f>LP8</f>
        <v/>
      </c>
      <c r="LR7" s="89">
        <f>LQ8</f>
        <v/>
      </c>
      <c r="LS7" s="89">
        <f>LR8</f>
        <v/>
      </c>
      <c r="LT7" s="89">
        <f>LS8</f>
        <v/>
      </c>
      <c r="LU7" s="89">
        <f>LT8</f>
        <v/>
      </c>
      <c r="LV7" s="89">
        <f>LU8</f>
        <v/>
      </c>
      <c r="LW7" s="89">
        <f>LV8</f>
        <v/>
      </c>
      <c r="LX7" s="89">
        <f>LW8</f>
        <v/>
      </c>
      <c r="LY7" s="89">
        <f>LX8</f>
        <v/>
      </c>
      <c r="LZ7" s="89">
        <f>LY8</f>
        <v/>
      </c>
      <c r="MA7" s="89">
        <f>LZ8</f>
        <v/>
      </c>
      <c r="MB7" s="89">
        <f>MA8</f>
        <v/>
      </c>
      <c r="MC7" s="89">
        <f>MB8</f>
        <v/>
      </c>
      <c r="MD7" s="89">
        <f>MC8</f>
        <v/>
      </c>
      <c r="ME7" s="89">
        <f>MD8</f>
        <v/>
      </c>
      <c r="MF7" s="89">
        <f>ME8</f>
        <v/>
      </c>
      <c r="MG7" s="89">
        <f>MF8</f>
        <v/>
      </c>
      <c r="MH7" s="89">
        <f>MG8</f>
        <v/>
      </c>
      <c r="MI7" s="89">
        <f>MH8</f>
        <v/>
      </c>
      <c r="MJ7" s="89">
        <f>MI8</f>
        <v/>
      </c>
      <c r="MK7" s="127" t="n"/>
      <c r="ML7" s="89">
        <f>MJ8</f>
        <v/>
      </c>
      <c r="MM7" s="89">
        <f>ML8</f>
        <v/>
      </c>
      <c r="MN7" s="89">
        <f>MM8</f>
        <v/>
      </c>
      <c r="MO7" s="89">
        <f>MN8</f>
        <v/>
      </c>
      <c r="MP7" s="89">
        <f>MO8</f>
        <v/>
      </c>
      <c r="MQ7" s="89">
        <f>MP8</f>
        <v/>
      </c>
      <c r="MR7" s="89">
        <f>MQ8</f>
        <v/>
      </c>
      <c r="MS7" s="89">
        <f>MR8</f>
        <v/>
      </c>
      <c r="MT7" s="89">
        <f>MS8</f>
        <v/>
      </c>
      <c r="MU7" s="89">
        <f>MT8</f>
        <v/>
      </c>
      <c r="MV7" s="89">
        <f>MU8</f>
        <v/>
      </c>
      <c r="MW7" s="89">
        <f>MV8</f>
        <v/>
      </c>
      <c r="MX7" s="89">
        <f>MW8</f>
        <v/>
      </c>
      <c r="MY7" s="89">
        <f>MX8</f>
        <v/>
      </c>
      <c r="MZ7" s="89">
        <f>MY8</f>
        <v/>
      </c>
      <c r="NA7" s="89">
        <f>MZ8</f>
        <v/>
      </c>
      <c r="NB7" s="89">
        <f>NA8</f>
        <v/>
      </c>
      <c r="NC7" s="89">
        <f>NB8</f>
        <v/>
      </c>
      <c r="ND7" s="89">
        <f>NC8</f>
        <v/>
      </c>
      <c r="NE7" s="89">
        <f>ND8</f>
        <v/>
      </c>
      <c r="NF7" s="89">
        <f>NE8</f>
        <v/>
      </c>
      <c r="NG7" s="89">
        <f>NF8</f>
        <v/>
      </c>
      <c r="NH7" s="89">
        <f>NG8</f>
        <v/>
      </c>
      <c r="NI7" s="89">
        <f>NH8</f>
        <v/>
      </c>
      <c r="NJ7" s="89">
        <f>NI8</f>
        <v/>
      </c>
      <c r="NK7" s="89">
        <f>NJ8</f>
        <v/>
      </c>
      <c r="NL7" s="89">
        <f>NK8</f>
        <v/>
      </c>
      <c r="NM7" s="89">
        <f>NL8</f>
        <v/>
      </c>
      <c r="NN7" s="89">
        <f>NM8</f>
        <v/>
      </c>
      <c r="NO7" s="89">
        <f>NN8</f>
        <v/>
      </c>
      <c r="NP7" s="89">
        <f>NO8</f>
        <v/>
      </c>
      <c r="NQ7" s="127" t="n"/>
      <c r="NR7" s="89">
        <f>NP8</f>
        <v/>
      </c>
      <c r="NS7" s="89">
        <f>NR8</f>
        <v/>
      </c>
      <c r="NT7" s="89">
        <f>NS8</f>
        <v/>
      </c>
      <c r="NU7" s="89">
        <f>NT8</f>
        <v/>
      </c>
      <c r="NV7" s="89">
        <f>NU8</f>
        <v/>
      </c>
      <c r="NW7" s="89">
        <f>NV8</f>
        <v/>
      </c>
      <c r="NX7" s="89">
        <f>NW8</f>
        <v/>
      </c>
      <c r="NY7" s="89">
        <f>NX8</f>
        <v/>
      </c>
      <c r="NZ7" s="89">
        <f>NY8</f>
        <v/>
      </c>
      <c r="OA7" s="89">
        <f>NZ8</f>
        <v/>
      </c>
      <c r="OB7" s="89">
        <f>OA8</f>
        <v/>
      </c>
      <c r="OC7" s="89">
        <f>OB8</f>
        <v/>
      </c>
      <c r="OD7" s="89">
        <f>OC8</f>
        <v/>
      </c>
      <c r="OE7" s="89">
        <f>OD8</f>
        <v/>
      </c>
      <c r="OF7" s="89">
        <f>OE8</f>
        <v/>
      </c>
      <c r="OG7" s="89">
        <f>OF8</f>
        <v/>
      </c>
      <c r="OH7" s="89">
        <f>OG8</f>
        <v/>
      </c>
      <c r="OI7" s="89">
        <f>OH8</f>
        <v/>
      </c>
      <c r="OJ7" s="89">
        <f>OI8</f>
        <v/>
      </c>
      <c r="OK7" s="89">
        <f>OJ8</f>
        <v/>
      </c>
      <c r="OL7" s="89">
        <f>OK8</f>
        <v/>
      </c>
      <c r="OM7" s="89">
        <f>OL8</f>
        <v/>
      </c>
      <c r="ON7" s="89">
        <f>OM8</f>
        <v/>
      </c>
      <c r="OO7" s="89">
        <f>ON8</f>
        <v/>
      </c>
      <c r="OP7" s="89">
        <f>OO8</f>
        <v/>
      </c>
      <c r="OQ7" s="89">
        <f>OP8</f>
        <v/>
      </c>
      <c r="OR7" s="89">
        <f>OQ8</f>
        <v/>
      </c>
      <c r="OS7" s="89">
        <f>OR8</f>
        <v/>
      </c>
      <c r="OT7" s="89">
        <f>OS8</f>
        <v/>
      </c>
      <c r="OU7" s="89">
        <f>OT8</f>
        <v/>
      </c>
      <c r="OV7" s="89">
        <f>OU8</f>
        <v/>
      </c>
      <c r="OW7" s="127" t="n"/>
      <c r="OX7" s="89">
        <f>OV8</f>
        <v/>
      </c>
      <c r="OY7" s="89">
        <f>OX8</f>
        <v/>
      </c>
      <c r="OZ7" s="89">
        <f>OY8</f>
        <v/>
      </c>
      <c r="PA7" s="89">
        <f>OZ8</f>
        <v/>
      </c>
      <c r="PB7" s="89">
        <f>PA8</f>
        <v/>
      </c>
      <c r="PC7" s="89">
        <f>PB8</f>
        <v/>
      </c>
      <c r="PD7" s="89">
        <f>PC8</f>
        <v/>
      </c>
      <c r="PE7" s="89">
        <f>PD8</f>
        <v/>
      </c>
      <c r="PF7" s="89">
        <f>PE8</f>
        <v/>
      </c>
      <c r="PG7" s="89">
        <f>PF8</f>
        <v/>
      </c>
      <c r="PH7" s="89">
        <f>PG8</f>
        <v/>
      </c>
      <c r="PI7" s="89">
        <f>PH8</f>
        <v/>
      </c>
      <c r="PJ7" s="89">
        <f>PI8</f>
        <v/>
      </c>
      <c r="PK7" s="89">
        <f>PJ8</f>
        <v/>
      </c>
      <c r="PL7" s="89">
        <f>PK8</f>
        <v/>
      </c>
      <c r="PM7" s="89">
        <f>PL8</f>
        <v/>
      </c>
      <c r="PN7" s="89">
        <f>PM8</f>
        <v/>
      </c>
      <c r="PO7" s="89">
        <f>PN8</f>
        <v/>
      </c>
      <c r="PP7" s="89">
        <f>PO8</f>
        <v/>
      </c>
      <c r="PQ7" s="89">
        <f>PP8</f>
        <v/>
      </c>
      <c r="PR7" s="89">
        <f>PQ8</f>
        <v/>
      </c>
      <c r="PS7" s="89">
        <f>PR8</f>
        <v/>
      </c>
      <c r="PT7" s="89">
        <f>PS8</f>
        <v/>
      </c>
      <c r="PU7" s="89">
        <f>PT8</f>
        <v/>
      </c>
      <c r="PV7" s="89">
        <f>PU8</f>
        <v/>
      </c>
      <c r="PW7" s="89">
        <f>PV8</f>
        <v/>
      </c>
      <c r="PX7" s="89">
        <f>PW8</f>
        <v/>
      </c>
      <c r="PY7" s="89">
        <f>PX8</f>
        <v/>
      </c>
      <c r="PZ7" s="89">
        <f>PY8</f>
        <v/>
      </c>
      <c r="QA7" s="89">
        <f>PZ8</f>
        <v/>
      </c>
      <c r="QB7" s="127" t="n"/>
      <c r="QC7" s="89">
        <f>QA8</f>
        <v/>
      </c>
      <c r="QD7" s="89">
        <f>QC8</f>
        <v/>
      </c>
      <c r="QE7" s="89">
        <f>QD8</f>
        <v/>
      </c>
      <c r="QF7" s="89">
        <f>QE8</f>
        <v/>
      </c>
      <c r="QG7" s="89">
        <f>QF8</f>
        <v/>
      </c>
      <c r="QH7" s="89">
        <f>QG8</f>
        <v/>
      </c>
      <c r="QI7" s="89">
        <f>QH8</f>
        <v/>
      </c>
      <c r="QJ7" s="89">
        <f>QI8</f>
        <v/>
      </c>
      <c r="QK7" s="89">
        <f>QJ8</f>
        <v/>
      </c>
      <c r="QL7" s="89">
        <f>QK8</f>
        <v/>
      </c>
      <c r="QM7" s="89">
        <f>QL8</f>
        <v/>
      </c>
      <c r="QN7" s="89">
        <f>QM8</f>
        <v/>
      </c>
      <c r="QO7" s="89">
        <f>QN8</f>
        <v/>
      </c>
      <c r="QP7" s="89">
        <f>QO8</f>
        <v/>
      </c>
      <c r="QQ7" s="89">
        <f>QP8</f>
        <v/>
      </c>
      <c r="QR7" s="89">
        <f>QQ8</f>
        <v/>
      </c>
      <c r="QS7" s="89">
        <f>QR8</f>
        <v/>
      </c>
      <c r="QT7" s="89">
        <f>QS8</f>
        <v/>
      </c>
      <c r="QU7" s="89">
        <f>QT8</f>
        <v/>
      </c>
      <c r="QV7" s="89">
        <f>QU8</f>
        <v/>
      </c>
      <c r="QW7" s="89">
        <f>QV8</f>
        <v/>
      </c>
      <c r="QX7" s="89">
        <f>QW8</f>
        <v/>
      </c>
      <c r="QY7" s="89">
        <f>QX8</f>
        <v/>
      </c>
      <c r="QZ7" s="89">
        <f>QY8</f>
        <v/>
      </c>
      <c r="RA7" s="89">
        <f>QZ8</f>
        <v/>
      </c>
      <c r="RB7" s="89">
        <f>RA8</f>
        <v/>
      </c>
      <c r="RC7" s="89">
        <f>RB8</f>
        <v/>
      </c>
      <c r="RD7" s="89">
        <f>RC8</f>
        <v/>
      </c>
      <c r="RE7" s="89">
        <f>RD8</f>
        <v/>
      </c>
      <c r="RF7" s="89">
        <f>RE8</f>
        <v/>
      </c>
      <c r="RG7" s="89">
        <f>RF8</f>
        <v/>
      </c>
      <c r="RH7" s="127" t="n"/>
      <c r="RI7" s="89">
        <f>RG8</f>
        <v/>
      </c>
      <c r="RJ7" s="89">
        <f>RI8</f>
        <v/>
      </c>
      <c r="RK7" s="89">
        <f>RJ8</f>
        <v/>
      </c>
      <c r="RL7" s="89">
        <f>RK8</f>
        <v/>
      </c>
      <c r="RM7" s="89">
        <f>RL8</f>
        <v/>
      </c>
      <c r="RN7" s="89">
        <f>RM8</f>
        <v/>
      </c>
      <c r="RO7" s="89">
        <f>RN8</f>
        <v/>
      </c>
      <c r="RP7" s="89">
        <f>RO8</f>
        <v/>
      </c>
      <c r="RQ7" s="89">
        <f>RP8</f>
        <v/>
      </c>
      <c r="RR7" s="89">
        <f>RQ8</f>
        <v/>
      </c>
      <c r="RS7" s="89">
        <f>RR8</f>
        <v/>
      </c>
      <c r="RT7" s="89">
        <f>RS8</f>
        <v/>
      </c>
      <c r="RU7" s="89">
        <f>RT8</f>
        <v/>
      </c>
      <c r="RV7" s="89">
        <f>RU8</f>
        <v/>
      </c>
      <c r="RW7" s="89">
        <f>RV8</f>
        <v/>
      </c>
      <c r="RX7" s="89">
        <f>RW8</f>
        <v/>
      </c>
      <c r="RY7" s="89">
        <f>RX8</f>
        <v/>
      </c>
      <c r="RZ7" s="89">
        <f>RY8</f>
        <v/>
      </c>
      <c r="SA7" s="89">
        <f>RZ8</f>
        <v/>
      </c>
      <c r="SB7" s="89">
        <f>SA8</f>
        <v/>
      </c>
      <c r="SC7" s="89">
        <f>SB8</f>
        <v/>
      </c>
      <c r="SD7" s="89">
        <f>SC8</f>
        <v/>
      </c>
      <c r="SE7" s="89">
        <f>SD8</f>
        <v/>
      </c>
      <c r="SF7" s="89">
        <f>SE8</f>
        <v/>
      </c>
      <c r="SG7" s="89">
        <f>SF8</f>
        <v/>
      </c>
      <c r="SH7" s="89">
        <f>SG8</f>
        <v/>
      </c>
      <c r="SI7" s="89">
        <f>SH8</f>
        <v/>
      </c>
      <c r="SJ7" s="89">
        <f>SI8</f>
        <v/>
      </c>
      <c r="SK7" s="89">
        <f>SJ8</f>
        <v/>
      </c>
      <c r="SL7" s="89">
        <f>SK8</f>
        <v/>
      </c>
      <c r="SM7" s="127" t="n"/>
      <c r="SN7" s="89">
        <f>SL8</f>
        <v/>
      </c>
      <c r="SO7" s="89">
        <f>SN8</f>
        <v/>
      </c>
      <c r="SP7" s="89">
        <f>SO8</f>
        <v/>
      </c>
      <c r="SQ7" s="89">
        <f>SP8</f>
        <v/>
      </c>
      <c r="SR7" s="89">
        <f>SQ8</f>
        <v/>
      </c>
      <c r="SS7" s="89">
        <f>SR8</f>
        <v/>
      </c>
      <c r="ST7" s="89">
        <f>SS8</f>
        <v/>
      </c>
      <c r="SU7" s="89">
        <f>ST8</f>
        <v/>
      </c>
      <c r="SV7" s="89">
        <f>SU8</f>
        <v/>
      </c>
      <c r="SW7" s="89">
        <f>SV8</f>
        <v/>
      </c>
      <c r="SX7" s="89">
        <f>SW8</f>
        <v/>
      </c>
      <c r="SY7" s="89">
        <f>SX8</f>
        <v/>
      </c>
      <c r="SZ7" s="89">
        <f>SY8</f>
        <v/>
      </c>
      <c r="TA7" s="89">
        <f>SZ8</f>
        <v/>
      </c>
      <c r="TB7" s="89">
        <f>TA8</f>
        <v/>
      </c>
      <c r="TC7" s="89">
        <f>TB8</f>
        <v/>
      </c>
      <c r="TD7" s="89">
        <f>TC8</f>
        <v/>
      </c>
      <c r="TE7" s="89">
        <f>TD8</f>
        <v/>
      </c>
      <c r="TF7" s="89">
        <f>TE8</f>
        <v/>
      </c>
      <c r="TG7" s="89">
        <f>TF8</f>
        <v/>
      </c>
      <c r="TH7" s="89">
        <f>TG8</f>
        <v/>
      </c>
      <c r="TI7" s="89">
        <f>TH8</f>
        <v/>
      </c>
      <c r="TJ7" s="89">
        <f>TI8</f>
        <v/>
      </c>
      <c r="TK7" s="89">
        <f>TJ8</f>
        <v/>
      </c>
      <c r="TL7" s="89">
        <f>TK8</f>
        <v/>
      </c>
      <c r="TM7" s="89">
        <f>TL8</f>
        <v/>
      </c>
      <c r="TN7" s="89">
        <f>TM8</f>
        <v/>
      </c>
      <c r="TO7" s="89">
        <f>TN8</f>
        <v/>
      </c>
      <c r="TP7" s="89">
        <f>TO8</f>
        <v/>
      </c>
      <c r="TQ7" s="89">
        <f>TP8</f>
        <v/>
      </c>
      <c r="TR7" s="89">
        <f>TQ8</f>
        <v/>
      </c>
      <c r="TS7" s="127" t="n"/>
      <c r="TT7" s="89">
        <f>TR8</f>
        <v/>
      </c>
      <c r="TU7" s="89">
        <f>TT8</f>
        <v/>
      </c>
      <c r="TV7" s="89">
        <f>TU8</f>
        <v/>
      </c>
      <c r="TW7" s="89">
        <f>TV8</f>
        <v/>
      </c>
      <c r="TX7" s="89">
        <f>TW8</f>
        <v/>
      </c>
      <c r="TY7" s="89">
        <f>TX8</f>
        <v/>
      </c>
      <c r="TZ7" s="89">
        <f>TY8</f>
        <v/>
      </c>
      <c r="UA7" s="89">
        <f>TZ8</f>
        <v/>
      </c>
      <c r="UB7" s="89">
        <f>UA8</f>
        <v/>
      </c>
      <c r="UC7" s="89">
        <f>UB8</f>
        <v/>
      </c>
      <c r="UD7" s="89">
        <f>UC8</f>
        <v/>
      </c>
      <c r="UE7" s="89">
        <f>UD8</f>
        <v/>
      </c>
      <c r="UF7" s="89">
        <f>UE8</f>
        <v/>
      </c>
      <c r="UG7" s="89">
        <f>UF8</f>
        <v/>
      </c>
      <c r="UH7" s="89">
        <f>UG8</f>
        <v/>
      </c>
      <c r="UI7" s="89">
        <f>UH8</f>
        <v/>
      </c>
      <c r="UJ7" s="89">
        <f>UI8</f>
        <v/>
      </c>
      <c r="UK7" s="89">
        <f>UJ8</f>
        <v/>
      </c>
      <c r="UL7" s="89">
        <f>UK8</f>
        <v/>
      </c>
      <c r="UM7" s="89">
        <f>UL8</f>
        <v/>
      </c>
      <c r="UN7" s="89">
        <f>UM8</f>
        <v/>
      </c>
      <c r="UO7" s="89">
        <f>UN8</f>
        <v/>
      </c>
      <c r="UP7" s="89">
        <f>UO8</f>
        <v/>
      </c>
      <c r="UQ7" s="89">
        <f>UP8</f>
        <v/>
      </c>
      <c r="UR7" s="89">
        <f>UQ8</f>
        <v/>
      </c>
      <c r="US7" s="89">
        <f>UR8</f>
        <v/>
      </c>
      <c r="UT7" s="89">
        <f>US8</f>
        <v/>
      </c>
      <c r="UU7" s="89">
        <f>UT8</f>
        <v/>
      </c>
      <c r="UV7" s="89">
        <f>UU8</f>
        <v/>
      </c>
      <c r="UW7" s="89">
        <f>UV8</f>
        <v/>
      </c>
      <c r="UX7" s="89">
        <f>UW8</f>
        <v/>
      </c>
      <c r="UY7" s="127" t="n"/>
      <c r="UZ7" s="89">
        <f>UX8</f>
        <v/>
      </c>
      <c r="VA7" s="89">
        <f>UZ8</f>
        <v/>
      </c>
      <c r="VB7" s="89">
        <f>VA8</f>
        <v/>
      </c>
      <c r="VC7" s="89">
        <f>VB8</f>
        <v/>
      </c>
      <c r="VD7" s="89">
        <f>VC8</f>
        <v/>
      </c>
      <c r="VE7" s="89">
        <f>VD8</f>
        <v/>
      </c>
      <c r="VF7" s="89">
        <f>VE8</f>
        <v/>
      </c>
      <c r="VG7" s="89">
        <f>VF8</f>
        <v/>
      </c>
      <c r="VH7" s="89">
        <f>VG8</f>
        <v/>
      </c>
      <c r="VI7" s="89">
        <f>VH8</f>
        <v/>
      </c>
      <c r="VJ7" s="89">
        <f>VI8</f>
        <v/>
      </c>
      <c r="VK7" s="89">
        <f>VJ8</f>
        <v/>
      </c>
      <c r="VL7" s="89">
        <f>VK8</f>
        <v/>
      </c>
      <c r="VM7" s="89">
        <f>VL8</f>
        <v/>
      </c>
      <c r="VN7" s="89">
        <f>VM8</f>
        <v/>
      </c>
      <c r="VO7" s="89">
        <f>VN8</f>
        <v/>
      </c>
      <c r="VP7" s="89">
        <f>VO8</f>
        <v/>
      </c>
      <c r="VQ7" s="89">
        <f>VP8</f>
        <v/>
      </c>
      <c r="VR7" s="89">
        <f>VQ8</f>
        <v/>
      </c>
      <c r="VS7" s="89">
        <f>VR8</f>
        <v/>
      </c>
      <c r="VT7" s="89">
        <f>VS8</f>
        <v/>
      </c>
      <c r="VU7" s="89">
        <f>VT8</f>
        <v/>
      </c>
      <c r="VV7" s="89">
        <f>VU8</f>
        <v/>
      </c>
      <c r="VW7" s="89">
        <f>VV8</f>
        <v/>
      </c>
      <c r="VX7" s="89">
        <f>VW8</f>
        <v/>
      </c>
      <c r="VY7" s="89">
        <f>VX8</f>
        <v/>
      </c>
      <c r="VZ7" s="89">
        <f>VY8</f>
        <v/>
      </c>
      <c r="WA7" s="89">
        <f>VZ8</f>
        <v/>
      </c>
      <c r="WB7" s="127" t="n"/>
      <c r="WC7" s="89">
        <f>WA8</f>
        <v/>
      </c>
      <c r="WD7" s="89">
        <f>WC8</f>
        <v/>
      </c>
      <c r="WE7" s="89">
        <f>WD8</f>
        <v/>
      </c>
      <c r="WF7" s="89">
        <f>WE8</f>
        <v/>
      </c>
      <c r="WG7" s="89">
        <f>WF8</f>
        <v/>
      </c>
      <c r="WH7" s="89">
        <f>WG8</f>
        <v/>
      </c>
      <c r="WI7" s="89">
        <f>WH8</f>
        <v/>
      </c>
      <c r="WJ7" s="89">
        <f>WI8</f>
        <v/>
      </c>
      <c r="WK7" s="89">
        <f>WJ8</f>
        <v/>
      </c>
      <c r="WL7" s="89">
        <f>WK8</f>
        <v/>
      </c>
      <c r="WM7" s="89">
        <f>WL8</f>
        <v/>
      </c>
      <c r="WN7" s="89">
        <f>WM8</f>
        <v/>
      </c>
      <c r="WO7" s="89">
        <f>WN8</f>
        <v/>
      </c>
      <c r="WP7" s="89">
        <f>WO8</f>
        <v/>
      </c>
      <c r="WQ7" s="89">
        <f>WP8</f>
        <v/>
      </c>
      <c r="WR7" s="89">
        <f>WQ8</f>
        <v/>
      </c>
      <c r="WS7" s="89">
        <f>WR8</f>
        <v/>
      </c>
      <c r="WT7" s="89">
        <f>WS8</f>
        <v/>
      </c>
      <c r="WU7" s="89">
        <f>WT8</f>
        <v/>
      </c>
      <c r="WV7" s="89">
        <f>WU8</f>
        <v/>
      </c>
      <c r="WW7" s="89">
        <f>WV8</f>
        <v/>
      </c>
      <c r="WX7" s="89">
        <f>WW8</f>
        <v/>
      </c>
      <c r="WY7" s="89">
        <f>WX8</f>
        <v/>
      </c>
      <c r="WZ7" s="89">
        <f>WY8</f>
        <v/>
      </c>
      <c r="XA7" s="89">
        <f>WZ8</f>
        <v/>
      </c>
      <c r="XB7" s="89">
        <f>XA8</f>
        <v/>
      </c>
      <c r="XC7" s="89">
        <f>XB8</f>
        <v/>
      </c>
      <c r="XD7" s="89">
        <f>XC8</f>
        <v/>
      </c>
      <c r="XE7" s="89">
        <f>XD8</f>
        <v/>
      </c>
      <c r="XF7" s="89">
        <f>XE8</f>
        <v/>
      </c>
      <c r="XG7" s="89">
        <f>XF8</f>
        <v/>
      </c>
      <c r="XH7" s="127" t="n"/>
      <c r="XI7" s="89">
        <f>XG8</f>
        <v/>
      </c>
      <c r="XJ7" s="89">
        <f>XI8</f>
        <v/>
      </c>
      <c r="XK7" s="89">
        <f>XJ8</f>
        <v/>
      </c>
      <c r="XL7" s="89">
        <f>XK8</f>
        <v/>
      </c>
      <c r="XM7" s="89">
        <f>XL8</f>
        <v/>
      </c>
      <c r="XN7" s="89">
        <f>XM8</f>
        <v/>
      </c>
      <c r="XO7" s="89">
        <f>XN8</f>
        <v/>
      </c>
      <c r="XP7" s="89">
        <f>XO8</f>
        <v/>
      </c>
      <c r="XQ7" s="89">
        <f>XP8</f>
        <v/>
      </c>
      <c r="XR7" s="89">
        <f>XQ8</f>
        <v/>
      </c>
      <c r="XS7" s="89">
        <f>XR8</f>
        <v/>
      </c>
      <c r="XT7" s="89">
        <f>XS8</f>
        <v/>
      </c>
      <c r="XU7" s="89">
        <f>XT8</f>
        <v/>
      </c>
      <c r="XV7" s="89">
        <f>XU8</f>
        <v/>
      </c>
      <c r="XW7" s="89">
        <f>XV8</f>
        <v/>
      </c>
      <c r="XX7" s="89">
        <f>XW8</f>
        <v/>
      </c>
      <c r="XY7" s="89">
        <f>XX8</f>
        <v/>
      </c>
      <c r="XZ7" s="89">
        <f>XY8</f>
        <v/>
      </c>
      <c r="YA7" s="89">
        <f>XZ8</f>
        <v/>
      </c>
      <c r="YB7" s="89">
        <f>YA8</f>
        <v/>
      </c>
      <c r="YC7" s="89">
        <f>YB8</f>
        <v/>
      </c>
      <c r="YD7" s="89">
        <f>YC8</f>
        <v/>
      </c>
      <c r="YE7" s="89">
        <f>YD8</f>
        <v/>
      </c>
      <c r="YF7" s="89">
        <f>YE8</f>
        <v/>
      </c>
      <c r="YG7" s="89">
        <f>YF8</f>
        <v/>
      </c>
      <c r="YH7" s="89">
        <f>YG8</f>
        <v/>
      </c>
      <c r="YI7" s="89">
        <f>YH8</f>
        <v/>
      </c>
      <c r="YJ7" s="89">
        <f>YI8</f>
        <v/>
      </c>
      <c r="YK7" s="89">
        <f>YJ8</f>
        <v/>
      </c>
      <c r="YL7" s="89">
        <f>YK8</f>
        <v/>
      </c>
      <c r="YM7" s="127" t="n"/>
      <c r="YN7" s="89">
        <f>YL8</f>
        <v/>
      </c>
      <c r="YO7" s="89">
        <f>YN8</f>
        <v/>
      </c>
      <c r="YP7" s="89">
        <f>YO8</f>
        <v/>
      </c>
      <c r="YQ7" s="89">
        <f>YP8</f>
        <v/>
      </c>
      <c r="YR7" s="89">
        <f>YQ8</f>
        <v/>
      </c>
      <c r="YS7" s="89">
        <f>YR8</f>
        <v/>
      </c>
      <c r="YT7" s="89">
        <f>YS8</f>
        <v/>
      </c>
      <c r="YU7" s="89">
        <f>YT8</f>
        <v/>
      </c>
      <c r="YV7" s="89">
        <f>YU8</f>
        <v/>
      </c>
      <c r="YW7" s="89">
        <f>YV8</f>
        <v/>
      </c>
      <c r="YX7" s="89">
        <f>YW8</f>
        <v/>
      </c>
      <c r="YY7" s="89">
        <f>YX8</f>
        <v/>
      </c>
      <c r="YZ7" s="89">
        <f>YY8</f>
        <v/>
      </c>
      <c r="ZA7" s="89">
        <f>YZ8</f>
        <v/>
      </c>
      <c r="ZB7" s="89">
        <f>ZA8</f>
        <v/>
      </c>
      <c r="ZC7" s="89">
        <f>ZB8</f>
        <v/>
      </c>
      <c r="ZD7" s="89">
        <f>ZC8</f>
        <v/>
      </c>
      <c r="ZE7" s="89">
        <f>ZD8</f>
        <v/>
      </c>
      <c r="ZF7" s="89">
        <f>ZE8</f>
        <v/>
      </c>
      <c r="ZG7" s="89">
        <f>ZF8</f>
        <v/>
      </c>
      <c r="ZH7" s="89">
        <f>ZG8</f>
        <v/>
      </c>
      <c r="ZI7" s="89">
        <f>ZH8</f>
        <v/>
      </c>
      <c r="ZJ7" s="89">
        <f>ZI8</f>
        <v/>
      </c>
      <c r="ZK7" s="89">
        <f>ZJ8</f>
        <v/>
      </c>
      <c r="ZL7" s="89">
        <f>ZK8</f>
        <v/>
      </c>
      <c r="ZM7" s="89">
        <f>ZL8</f>
        <v/>
      </c>
      <c r="ZN7" s="89">
        <f>ZM8</f>
        <v/>
      </c>
      <c r="ZO7" s="89">
        <f>ZN8</f>
        <v/>
      </c>
      <c r="ZP7" s="89">
        <f>ZO8</f>
        <v/>
      </c>
      <c r="ZQ7" s="89">
        <f>ZP8</f>
        <v/>
      </c>
      <c r="ZR7" s="89">
        <f>ZQ8</f>
        <v/>
      </c>
      <c r="ZS7" s="127" t="n"/>
      <c r="ZT7" s="89">
        <f>ZR8</f>
        <v/>
      </c>
      <c r="ZU7" s="89">
        <f>ZT8</f>
        <v/>
      </c>
      <c r="ZV7" s="89">
        <f>ZU8</f>
        <v/>
      </c>
      <c r="ZW7" s="89">
        <f>ZV8</f>
        <v/>
      </c>
      <c r="ZX7" s="89">
        <f>ZW8</f>
        <v/>
      </c>
      <c r="ZY7" s="89">
        <f>ZX8</f>
        <v/>
      </c>
      <c r="ZZ7" s="89">
        <f>ZY8</f>
        <v/>
      </c>
      <c r="AAA7" s="89">
        <f>ZZ8</f>
        <v/>
      </c>
      <c r="AAB7" s="89">
        <f>AAA8</f>
        <v/>
      </c>
      <c r="AAC7" s="89">
        <f>AAB8</f>
        <v/>
      </c>
      <c r="AAD7" s="89">
        <f>AAC8</f>
        <v/>
      </c>
      <c r="AAE7" s="89">
        <f>AAD8</f>
        <v/>
      </c>
      <c r="AAF7" s="89">
        <f>AAE8</f>
        <v/>
      </c>
      <c r="AAG7" s="89">
        <f>AAF8</f>
        <v/>
      </c>
      <c r="AAH7" s="89">
        <f>AAG8</f>
        <v/>
      </c>
      <c r="AAI7" s="89">
        <f>AAH8</f>
        <v/>
      </c>
      <c r="AAJ7" s="89">
        <f>AAI8</f>
        <v/>
      </c>
      <c r="AAK7" s="89">
        <f>AAJ8</f>
        <v/>
      </c>
      <c r="AAL7" s="89">
        <f>AAK8</f>
        <v/>
      </c>
      <c r="AAM7" s="89">
        <f>AAL8</f>
        <v/>
      </c>
      <c r="AAN7" s="89">
        <f>AAM8</f>
        <v/>
      </c>
      <c r="AAO7" s="89">
        <f>AAN8</f>
        <v/>
      </c>
      <c r="AAP7" s="89">
        <f>AAO8</f>
        <v/>
      </c>
      <c r="AAQ7" s="89">
        <f>AAP8</f>
        <v/>
      </c>
      <c r="AAR7" s="89">
        <f>AAQ8</f>
        <v/>
      </c>
      <c r="AAS7" s="89">
        <f>AAR8</f>
        <v/>
      </c>
      <c r="AAT7" s="89">
        <f>AAS8</f>
        <v/>
      </c>
      <c r="AAU7" s="89">
        <f>AAT8</f>
        <v/>
      </c>
      <c r="AAV7" s="89">
        <f>AAU8</f>
        <v/>
      </c>
      <c r="AAW7" s="89">
        <f>AAV8</f>
        <v/>
      </c>
      <c r="AAX7" s="127" t="n"/>
      <c r="AAY7" s="89">
        <f>AAW8</f>
        <v/>
      </c>
      <c r="AAZ7" s="89">
        <f>AAY8</f>
        <v/>
      </c>
      <c r="ABA7" s="89">
        <f>AAZ8</f>
        <v/>
      </c>
      <c r="ABB7" s="89">
        <f>ABA8</f>
        <v/>
      </c>
      <c r="ABC7" s="89">
        <f>ABB8</f>
        <v/>
      </c>
      <c r="ABD7" s="89">
        <f>ABC8</f>
        <v/>
      </c>
      <c r="ABE7" s="89">
        <f>ABD8</f>
        <v/>
      </c>
      <c r="ABF7" s="89">
        <f>ABE8</f>
        <v/>
      </c>
      <c r="ABG7" s="89">
        <f>ABF8</f>
        <v/>
      </c>
      <c r="ABH7" s="89">
        <f>ABG8</f>
        <v/>
      </c>
      <c r="ABI7" s="89">
        <f>ABH8</f>
        <v/>
      </c>
      <c r="ABJ7" s="89">
        <f>ABI8</f>
        <v/>
      </c>
      <c r="ABK7" s="89">
        <f>ABJ8</f>
        <v/>
      </c>
      <c r="ABL7" s="89">
        <f>ABK8</f>
        <v/>
      </c>
      <c r="ABM7" s="89">
        <f>ABL8</f>
        <v/>
      </c>
      <c r="ABN7" s="89">
        <f>ABM8</f>
        <v/>
      </c>
      <c r="ABO7" s="89">
        <f>ABN8</f>
        <v/>
      </c>
      <c r="ABP7" s="89">
        <f>ABO8</f>
        <v/>
      </c>
      <c r="ABQ7" s="89">
        <f>ABP8</f>
        <v/>
      </c>
      <c r="ABR7" s="89">
        <f>ABQ8</f>
        <v/>
      </c>
      <c r="ABS7" s="89">
        <f>ABR8</f>
        <v/>
      </c>
      <c r="ABT7" s="89">
        <f>ABS8</f>
        <v/>
      </c>
      <c r="ABU7" s="89">
        <f>ABT8</f>
        <v/>
      </c>
      <c r="ABV7" s="89">
        <f>ABU8</f>
        <v/>
      </c>
      <c r="ABW7" s="89">
        <f>ABV8</f>
        <v/>
      </c>
      <c r="ABX7" s="89">
        <f>ABW8</f>
        <v/>
      </c>
      <c r="ABY7" s="89">
        <f>ABX8</f>
        <v/>
      </c>
      <c r="ABZ7" s="89">
        <f>ABY8</f>
        <v/>
      </c>
      <c r="ACA7" s="89">
        <f>ABZ8</f>
        <v/>
      </c>
      <c r="ACB7" s="89">
        <f>ACA8</f>
        <v/>
      </c>
      <c r="ACC7" s="89">
        <f>ACB8</f>
        <v/>
      </c>
      <c r="ACD7" s="127" t="n"/>
      <c r="ACE7" s="89">
        <f>ACC8</f>
        <v/>
      </c>
      <c r="ACF7" s="89">
        <f>ACE8</f>
        <v/>
      </c>
      <c r="ACG7" s="89">
        <f>ACF8</f>
        <v/>
      </c>
      <c r="ACH7" s="89">
        <f>ACG8</f>
        <v/>
      </c>
      <c r="ACI7" s="89">
        <f>ACH8</f>
        <v/>
      </c>
      <c r="ACJ7" s="89">
        <f>ACI8</f>
        <v/>
      </c>
      <c r="ACK7" s="89">
        <f>ACJ8</f>
        <v/>
      </c>
      <c r="ACL7" s="89">
        <f>ACK8</f>
        <v/>
      </c>
      <c r="ACM7" s="89">
        <f>ACL8</f>
        <v/>
      </c>
      <c r="ACN7" s="89">
        <f>ACM8</f>
        <v/>
      </c>
      <c r="ACO7" s="89">
        <f>ACN8</f>
        <v/>
      </c>
      <c r="ACP7" s="89">
        <f>ACO8</f>
        <v/>
      </c>
      <c r="ACQ7" s="89">
        <f>ACP8</f>
        <v/>
      </c>
      <c r="ACR7" s="89">
        <f>ACQ8</f>
        <v/>
      </c>
      <c r="ACS7" s="89">
        <f>ACR8</f>
        <v/>
      </c>
      <c r="ACT7" s="89">
        <f>ACS8</f>
        <v/>
      </c>
      <c r="ACU7" s="89">
        <f>ACT8</f>
        <v/>
      </c>
      <c r="ACV7" s="89">
        <f>ACU8</f>
        <v/>
      </c>
      <c r="ACW7" s="89">
        <f>ACV8</f>
        <v/>
      </c>
      <c r="ACX7" s="89">
        <f>ACW8</f>
        <v/>
      </c>
      <c r="ACY7" s="89">
        <f>ACX8</f>
        <v/>
      </c>
      <c r="ACZ7" s="89">
        <f>ACY8</f>
        <v/>
      </c>
      <c r="ADA7" s="89">
        <f>ACZ8</f>
        <v/>
      </c>
      <c r="ADB7" s="89">
        <f>ADA8</f>
        <v/>
      </c>
      <c r="ADC7" s="89">
        <f>ADB8</f>
        <v/>
      </c>
      <c r="ADD7" s="89">
        <f>ADC8</f>
        <v/>
      </c>
      <c r="ADE7" s="89">
        <f>ADD8</f>
        <v/>
      </c>
      <c r="ADF7" s="89">
        <f>ADE8</f>
        <v/>
      </c>
      <c r="ADG7" s="89">
        <f>ADF8</f>
        <v/>
      </c>
      <c r="ADH7" s="89">
        <f>ADG8</f>
        <v/>
      </c>
      <c r="ADI7" s="89">
        <f>ADH8</f>
        <v/>
      </c>
      <c r="ADJ7" s="127" t="n"/>
      <c r="ADK7" s="89">
        <f>ADI8</f>
        <v/>
      </c>
      <c r="ADL7" s="89">
        <f>ADK8</f>
        <v/>
      </c>
      <c r="ADM7" s="89">
        <f>ADL8</f>
        <v/>
      </c>
      <c r="ADN7" s="89">
        <f>ADM8</f>
        <v/>
      </c>
      <c r="ADO7" s="89">
        <f>ADN8</f>
        <v/>
      </c>
      <c r="ADP7" s="89">
        <f>ADO8</f>
        <v/>
      </c>
      <c r="ADQ7" s="89">
        <f>ADP8</f>
        <v/>
      </c>
      <c r="ADR7" s="89">
        <f>ADQ8</f>
        <v/>
      </c>
      <c r="ADS7" s="89">
        <f>ADR8</f>
        <v/>
      </c>
      <c r="ADT7" s="89">
        <f>ADS8</f>
        <v/>
      </c>
      <c r="ADU7" s="89">
        <f>ADT8</f>
        <v/>
      </c>
      <c r="ADV7" s="89">
        <f>ADU8</f>
        <v/>
      </c>
      <c r="ADW7" s="89">
        <f>ADV8</f>
        <v/>
      </c>
      <c r="ADX7" s="89">
        <f>ADW8</f>
        <v/>
      </c>
      <c r="ADY7" s="89">
        <f>ADX8</f>
        <v/>
      </c>
      <c r="ADZ7" s="89">
        <f>ADY8</f>
        <v/>
      </c>
      <c r="AEA7" s="89">
        <f>ADZ8</f>
        <v/>
      </c>
      <c r="AEB7" s="89">
        <f>AEA8</f>
        <v/>
      </c>
      <c r="AEC7" s="89">
        <f>AEB8</f>
        <v/>
      </c>
      <c r="AED7" s="89">
        <f>AEC8</f>
        <v/>
      </c>
      <c r="AEE7" s="89">
        <f>AED8</f>
        <v/>
      </c>
      <c r="AEF7" s="89">
        <f>AEE8</f>
        <v/>
      </c>
      <c r="AEG7" s="89">
        <f>AEF8</f>
        <v/>
      </c>
      <c r="AEH7" s="89">
        <f>AEG8</f>
        <v/>
      </c>
      <c r="AEI7" s="89">
        <f>AEH8</f>
        <v/>
      </c>
      <c r="AEJ7" s="89">
        <f>AEI8</f>
        <v/>
      </c>
      <c r="AEK7" s="89">
        <f>AEJ8</f>
        <v/>
      </c>
      <c r="AEL7" s="89">
        <f>AEK8</f>
        <v/>
      </c>
      <c r="AEM7" s="89">
        <f>AEL8</f>
        <v/>
      </c>
      <c r="AEN7" s="89">
        <f>AEM8</f>
        <v/>
      </c>
      <c r="AEO7" s="127" t="n"/>
      <c r="AEP7" s="89">
        <f>AEN8</f>
        <v/>
      </c>
      <c r="AEQ7" s="89">
        <f>AEP8</f>
        <v/>
      </c>
      <c r="AER7" s="89">
        <f>AEQ8</f>
        <v/>
      </c>
      <c r="AES7" s="89">
        <f>AER8</f>
        <v/>
      </c>
      <c r="AET7" s="89">
        <f>AES8</f>
        <v/>
      </c>
      <c r="AEU7" s="89">
        <f>AET8</f>
        <v/>
      </c>
      <c r="AEV7" s="89">
        <f>AEU8</f>
        <v/>
      </c>
      <c r="AEW7" s="89">
        <f>AEV8</f>
        <v/>
      </c>
      <c r="AEX7" s="89">
        <f>AEW8</f>
        <v/>
      </c>
      <c r="AEY7" s="89">
        <f>AEX8</f>
        <v/>
      </c>
      <c r="AEZ7" s="89">
        <f>AEY8</f>
        <v/>
      </c>
      <c r="AFA7" s="89">
        <f>AEZ8</f>
        <v/>
      </c>
      <c r="AFB7" s="89">
        <f>AFA8</f>
        <v/>
      </c>
      <c r="AFC7" s="89">
        <f>AFB8</f>
        <v/>
      </c>
      <c r="AFD7" s="89">
        <f>AFC8</f>
        <v/>
      </c>
      <c r="AFE7" s="89">
        <f>AFD8</f>
        <v/>
      </c>
      <c r="AFF7" s="89">
        <f>AFE8</f>
        <v/>
      </c>
      <c r="AFG7" s="89">
        <f>AFF8</f>
        <v/>
      </c>
      <c r="AFH7" s="89">
        <f>AFG8</f>
        <v/>
      </c>
      <c r="AFI7" s="89">
        <f>AFH8</f>
        <v/>
      </c>
      <c r="AFJ7" s="89">
        <f>AFI8</f>
        <v/>
      </c>
      <c r="AFK7" s="89">
        <f>AFJ8</f>
        <v/>
      </c>
      <c r="AFL7" s="89">
        <f>AFK8</f>
        <v/>
      </c>
      <c r="AFM7" s="89">
        <f>AFL8</f>
        <v/>
      </c>
      <c r="AFN7" s="89">
        <f>AFM8</f>
        <v/>
      </c>
      <c r="AFO7" s="89">
        <f>AFN8</f>
        <v/>
      </c>
      <c r="AFP7" s="89">
        <f>AFO8</f>
        <v/>
      </c>
      <c r="AFQ7" s="89">
        <f>AFP8</f>
        <v/>
      </c>
      <c r="AFR7" s="89">
        <f>AFQ8</f>
        <v/>
      </c>
      <c r="AFS7" s="89">
        <f>AFR8</f>
        <v/>
      </c>
      <c r="AFT7" s="89">
        <f>AFS8</f>
        <v/>
      </c>
      <c r="AFU7" s="127" t="n"/>
      <c r="AFV7" s="89">
        <f>AFT8</f>
        <v/>
      </c>
      <c r="AFW7" s="89">
        <f>AFV8</f>
        <v/>
      </c>
      <c r="AFX7" s="89">
        <f>AFW8</f>
        <v/>
      </c>
      <c r="AFY7" s="89">
        <f>AFX8</f>
        <v/>
      </c>
      <c r="AFZ7" s="89">
        <f>AFY8</f>
        <v/>
      </c>
      <c r="AGA7" s="89">
        <f>AFZ8</f>
        <v/>
      </c>
      <c r="AGB7" s="89">
        <f>AGA8</f>
        <v/>
      </c>
      <c r="AGC7" s="89">
        <f>AGB8</f>
        <v/>
      </c>
      <c r="AGD7" s="89">
        <f>AGC8</f>
        <v/>
      </c>
      <c r="AGE7" s="89">
        <f>AGD8</f>
        <v/>
      </c>
      <c r="AGF7" s="89">
        <f>AGE8</f>
        <v/>
      </c>
      <c r="AGG7" s="89">
        <f>AGF8</f>
        <v/>
      </c>
      <c r="AGH7" s="89">
        <f>AGG8</f>
        <v/>
      </c>
      <c r="AGI7" s="89">
        <f>AGH8</f>
        <v/>
      </c>
      <c r="AGJ7" s="89">
        <f>AGI8</f>
        <v/>
      </c>
      <c r="AGK7" s="89">
        <f>AGJ8</f>
        <v/>
      </c>
      <c r="AGL7" s="89">
        <f>AGK8</f>
        <v/>
      </c>
      <c r="AGM7" s="89">
        <f>AGL8</f>
        <v/>
      </c>
      <c r="AGN7" s="89">
        <f>AGM8</f>
        <v/>
      </c>
      <c r="AGO7" s="89">
        <f>AGN8</f>
        <v/>
      </c>
      <c r="AGP7" s="89">
        <f>AGO8</f>
        <v/>
      </c>
      <c r="AGQ7" s="89">
        <f>AGP8</f>
        <v/>
      </c>
      <c r="AGR7" s="89">
        <f>AGQ8</f>
        <v/>
      </c>
      <c r="AGS7" s="89">
        <f>AGR8</f>
        <v/>
      </c>
      <c r="AGT7" s="89">
        <f>AGS8</f>
        <v/>
      </c>
      <c r="AGU7" s="89">
        <f>AGT8</f>
        <v/>
      </c>
      <c r="AGV7" s="89">
        <f>AGU8</f>
        <v/>
      </c>
      <c r="AGW7" s="89">
        <f>AGV8</f>
        <v/>
      </c>
      <c r="AGX7" s="89">
        <f>AGW8</f>
        <v/>
      </c>
      <c r="AGY7" s="89">
        <f>AGX8</f>
        <v/>
      </c>
      <c r="AGZ7" s="127" t="n"/>
      <c r="AHA7" s="89">
        <f>AGY8</f>
        <v/>
      </c>
      <c r="AHB7" s="89">
        <f>AHA8</f>
        <v/>
      </c>
      <c r="AHC7" s="89">
        <f>AHB8</f>
        <v/>
      </c>
      <c r="AHD7" s="89">
        <f>AHC8</f>
        <v/>
      </c>
      <c r="AHE7" s="89">
        <f>AHD8</f>
        <v/>
      </c>
      <c r="AHF7" s="89">
        <f>AHE8</f>
        <v/>
      </c>
      <c r="AHG7" s="89">
        <f>AHF8</f>
        <v/>
      </c>
      <c r="AHH7" s="89">
        <f>AHG8</f>
        <v/>
      </c>
      <c r="AHI7" s="89">
        <f>AHH8</f>
        <v/>
      </c>
      <c r="AHJ7" s="89">
        <f>AHI8</f>
        <v/>
      </c>
      <c r="AHK7" s="89">
        <f>AHJ8</f>
        <v/>
      </c>
      <c r="AHL7" s="89">
        <f>AHK8</f>
        <v/>
      </c>
      <c r="AHM7" s="89">
        <f>AHL8</f>
        <v/>
      </c>
      <c r="AHN7" s="89">
        <f>AHM8</f>
        <v/>
      </c>
      <c r="AHO7" s="89">
        <f>AHN8</f>
        <v/>
      </c>
      <c r="AHP7" s="89">
        <f>AHO8</f>
        <v/>
      </c>
      <c r="AHQ7" s="89">
        <f>AHP8</f>
        <v/>
      </c>
      <c r="AHR7" s="89">
        <f>AHQ8</f>
        <v/>
      </c>
      <c r="AHS7" s="89">
        <f>AHR8</f>
        <v/>
      </c>
      <c r="AHT7" s="89">
        <f>AHS8</f>
        <v/>
      </c>
      <c r="AHU7" s="89">
        <f>AHT8</f>
        <v/>
      </c>
      <c r="AHV7" s="89">
        <f>AHU8</f>
        <v/>
      </c>
      <c r="AHW7" s="89">
        <f>AHV8</f>
        <v/>
      </c>
      <c r="AHX7" s="89">
        <f>AHW8</f>
        <v/>
      </c>
      <c r="AHY7" s="89">
        <f>AHX8</f>
        <v/>
      </c>
      <c r="AHZ7" s="89">
        <f>AHY8</f>
        <v/>
      </c>
      <c r="AIA7" s="89">
        <f>AHZ8</f>
        <v/>
      </c>
      <c r="AIB7" s="89">
        <f>AIA8</f>
        <v/>
      </c>
      <c r="AIC7" s="89">
        <f>AIB8</f>
        <v/>
      </c>
      <c r="AID7" s="89">
        <f>AIC8</f>
        <v/>
      </c>
      <c r="AIE7" s="89">
        <f>AID8</f>
        <v/>
      </c>
      <c r="AIF7" s="127" t="n"/>
      <c r="AIG7" s="89">
        <f>AIE8</f>
        <v/>
      </c>
      <c r="AIH7" s="89">
        <f>AIG8</f>
        <v/>
      </c>
      <c r="AII7" s="89">
        <f>AIH8</f>
        <v/>
      </c>
      <c r="AIJ7" s="89">
        <f>AII8</f>
        <v/>
      </c>
      <c r="AIK7" s="89">
        <f>AIJ8</f>
        <v/>
      </c>
      <c r="AIL7" s="89">
        <f>AIK8</f>
        <v/>
      </c>
      <c r="AIM7" s="89">
        <f>AIL8</f>
        <v/>
      </c>
      <c r="AIN7" s="89">
        <f>AIM8</f>
        <v/>
      </c>
      <c r="AIO7" s="89">
        <f>AIN8</f>
        <v/>
      </c>
      <c r="AIP7" s="89">
        <f>AIO8</f>
        <v/>
      </c>
      <c r="AIQ7" s="89">
        <f>AIP8</f>
        <v/>
      </c>
      <c r="AIR7" s="89">
        <f>AIQ8</f>
        <v/>
      </c>
      <c r="AIS7" s="89">
        <f>AIR8</f>
        <v/>
      </c>
      <c r="AIT7" s="89">
        <f>AIS8</f>
        <v/>
      </c>
      <c r="AIU7" s="89">
        <f>AIT8</f>
        <v/>
      </c>
      <c r="AIV7" s="89">
        <f>AIU8</f>
        <v/>
      </c>
      <c r="AIW7" s="89">
        <f>AIV8</f>
        <v/>
      </c>
      <c r="AIX7" s="89">
        <f>AIW8</f>
        <v/>
      </c>
      <c r="AIY7" s="89">
        <f>AIX8</f>
        <v/>
      </c>
      <c r="AIZ7" s="89">
        <f>AIY8</f>
        <v/>
      </c>
      <c r="AJA7" s="89">
        <f>AIZ8</f>
        <v/>
      </c>
      <c r="AJB7" s="89">
        <f>AJA8</f>
        <v/>
      </c>
      <c r="AJC7" s="89">
        <f>AJB8</f>
        <v/>
      </c>
      <c r="AJD7" s="89">
        <f>AJC8</f>
        <v/>
      </c>
      <c r="AJE7" s="89">
        <f>AJD8</f>
        <v/>
      </c>
      <c r="AJF7" s="89">
        <f>AJE8</f>
        <v/>
      </c>
      <c r="AJG7" s="89">
        <f>AJF8</f>
        <v/>
      </c>
      <c r="AJH7" s="89">
        <f>AJG8</f>
        <v/>
      </c>
      <c r="AJI7" s="89">
        <f>AJH8</f>
        <v/>
      </c>
      <c r="AJJ7" s="89">
        <f>AJI8</f>
        <v/>
      </c>
      <c r="AJK7" s="89">
        <f>AJJ8</f>
        <v/>
      </c>
      <c r="AJL7" s="127" t="n"/>
      <c r="AJM7" s="89">
        <f>AJK8</f>
        <v/>
      </c>
      <c r="AJN7" s="89">
        <f>AJM8</f>
        <v/>
      </c>
      <c r="AJO7" s="89">
        <f>AJN8</f>
        <v/>
      </c>
      <c r="AJP7" s="89">
        <f>AJO8</f>
        <v/>
      </c>
      <c r="AJQ7" s="89">
        <f>AJP8</f>
        <v/>
      </c>
      <c r="AJR7" s="89">
        <f>AJQ8</f>
        <v/>
      </c>
      <c r="AJS7" s="89">
        <f>AJR8</f>
        <v/>
      </c>
      <c r="AJT7" s="89">
        <f>AJS8</f>
        <v/>
      </c>
      <c r="AJU7" s="89">
        <f>AJT8</f>
        <v/>
      </c>
      <c r="AJV7" s="89">
        <f>AJU8</f>
        <v/>
      </c>
      <c r="AJW7" s="89">
        <f>AJV8</f>
        <v/>
      </c>
      <c r="AJX7" s="89">
        <f>AJW8</f>
        <v/>
      </c>
      <c r="AJY7" s="89">
        <f>AJX8</f>
        <v/>
      </c>
      <c r="AJZ7" s="89">
        <f>AJY8</f>
        <v/>
      </c>
      <c r="AKA7" s="89">
        <f>AJZ8</f>
        <v/>
      </c>
      <c r="AKB7" s="89">
        <f>AKA8</f>
        <v/>
      </c>
      <c r="AKC7" s="89">
        <f>AKB8</f>
        <v/>
      </c>
      <c r="AKD7" s="89">
        <f>AKC8</f>
        <v/>
      </c>
      <c r="AKE7" s="89">
        <f>AKD8</f>
        <v/>
      </c>
      <c r="AKF7" s="89">
        <f>AKE8</f>
        <v/>
      </c>
      <c r="AKG7" s="89">
        <f>AKF8</f>
        <v/>
      </c>
      <c r="AKH7" s="89">
        <f>AKG8</f>
        <v/>
      </c>
      <c r="AKI7" s="89">
        <f>AKH8</f>
        <v/>
      </c>
      <c r="AKJ7" s="89">
        <f>AKI8</f>
        <v/>
      </c>
      <c r="AKK7" s="89">
        <f>AKJ8</f>
        <v/>
      </c>
      <c r="AKL7" s="89">
        <f>AKK8</f>
        <v/>
      </c>
      <c r="AKM7" s="89">
        <f>AKL8</f>
        <v/>
      </c>
      <c r="AKN7" s="89">
        <f>AKM8</f>
        <v/>
      </c>
      <c r="AKO7" s="127" t="n"/>
      <c r="AKP7" s="89">
        <f>AKN8</f>
        <v/>
      </c>
      <c r="AKQ7" s="89">
        <f>AKP8</f>
        <v/>
      </c>
      <c r="AKR7" s="89">
        <f>AKQ8</f>
        <v/>
      </c>
      <c r="AKS7" s="89">
        <f>AKR8</f>
        <v/>
      </c>
      <c r="AKT7" s="89">
        <f>AKS8</f>
        <v/>
      </c>
      <c r="AKU7" s="89">
        <f>AKT8</f>
        <v/>
      </c>
      <c r="AKV7" s="89">
        <f>AKU8</f>
        <v/>
      </c>
      <c r="AKW7" s="89">
        <f>AKV8</f>
        <v/>
      </c>
      <c r="AKX7" s="89">
        <f>AKW8</f>
        <v/>
      </c>
      <c r="AKY7" s="89">
        <f>AKX8</f>
        <v/>
      </c>
      <c r="AKZ7" s="89">
        <f>AKY8</f>
        <v/>
      </c>
      <c r="ALA7" s="89">
        <f>AKZ8</f>
        <v/>
      </c>
      <c r="ALB7" s="89">
        <f>ALA8</f>
        <v/>
      </c>
      <c r="ALC7" s="89">
        <f>ALB8</f>
        <v/>
      </c>
      <c r="ALD7" s="89">
        <f>ALC8</f>
        <v/>
      </c>
      <c r="ALE7" s="89">
        <f>ALD8</f>
        <v/>
      </c>
      <c r="ALF7" s="89">
        <f>ALE8</f>
        <v/>
      </c>
      <c r="ALG7" s="89">
        <f>ALF8</f>
        <v/>
      </c>
      <c r="ALH7" s="89">
        <f>ALG8</f>
        <v/>
      </c>
      <c r="ALI7" s="89">
        <f>ALH8</f>
        <v/>
      </c>
      <c r="ALJ7" s="89">
        <f>ALI8</f>
        <v/>
      </c>
      <c r="ALK7" s="89">
        <f>ALJ8</f>
        <v/>
      </c>
      <c r="ALL7" s="89">
        <f>ALK8</f>
        <v/>
      </c>
      <c r="ALM7" s="89">
        <f>ALL8</f>
        <v/>
      </c>
      <c r="ALN7" s="89">
        <f>ALM8</f>
        <v/>
      </c>
      <c r="ALO7" s="89">
        <f>ALN8</f>
        <v/>
      </c>
      <c r="ALP7" s="89">
        <f>ALO8</f>
        <v/>
      </c>
      <c r="ALQ7" s="89">
        <f>ALP8</f>
        <v/>
      </c>
      <c r="ALR7" s="89">
        <f>ALQ8</f>
        <v/>
      </c>
      <c r="ALS7" s="89">
        <f>ALR8</f>
        <v/>
      </c>
      <c r="ALT7" s="89">
        <f>ALS8</f>
        <v/>
      </c>
      <c r="ALU7" s="127" t="n"/>
      <c r="ALV7" s="89">
        <f>ALT8</f>
        <v/>
      </c>
      <c r="ALW7" s="89">
        <f>ALV8</f>
        <v/>
      </c>
      <c r="ALX7" s="89">
        <f>ALW8</f>
        <v/>
      </c>
      <c r="ALY7" s="89">
        <f>ALX8</f>
        <v/>
      </c>
      <c r="ALZ7" s="89">
        <f>ALY8</f>
        <v/>
      </c>
      <c r="AMA7" s="89">
        <f>ALZ8</f>
        <v/>
      </c>
      <c r="AMB7" s="89">
        <f>AMA8</f>
        <v/>
      </c>
      <c r="AMC7" s="89">
        <f>AMB8</f>
        <v/>
      </c>
      <c r="AMD7" s="89">
        <f>AMC8</f>
        <v/>
      </c>
      <c r="AME7" s="89">
        <f>AMD8</f>
        <v/>
      </c>
      <c r="AMF7" s="89">
        <f>AME8</f>
        <v/>
      </c>
      <c r="AMG7" s="89">
        <f>AMF8</f>
        <v/>
      </c>
      <c r="AMH7" s="89">
        <f>AMG8</f>
        <v/>
      </c>
      <c r="AMI7" s="89">
        <f>AMH8</f>
        <v/>
      </c>
      <c r="AMJ7" s="89">
        <f>AMI8</f>
        <v/>
      </c>
      <c r="AMK7" s="89">
        <f>AMJ8</f>
        <v/>
      </c>
      <c r="AML7" s="89">
        <f>AMK8</f>
        <v/>
      </c>
      <c r="AMM7" s="89">
        <f>AML8</f>
        <v/>
      </c>
      <c r="AMN7" s="89">
        <f>AMM8</f>
        <v/>
      </c>
      <c r="AMO7" s="89">
        <f>AMN8</f>
        <v/>
      </c>
      <c r="AMP7" s="89">
        <f>AMO8</f>
        <v/>
      </c>
      <c r="AMQ7" s="89">
        <f>AMP8</f>
        <v/>
      </c>
      <c r="AMR7" s="89">
        <f>AMQ8</f>
        <v/>
      </c>
      <c r="AMS7" s="89">
        <f>AMR8</f>
        <v/>
      </c>
      <c r="AMT7" s="89">
        <f>AMS8</f>
        <v/>
      </c>
      <c r="AMU7" s="89">
        <f>AMT8</f>
        <v/>
      </c>
      <c r="AMV7" s="89">
        <f>AMU8</f>
        <v/>
      </c>
      <c r="AMW7" s="89">
        <f>AMV8</f>
        <v/>
      </c>
      <c r="AMX7" s="89">
        <f>AMW8</f>
        <v/>
      </c>
      <c r="AMY7" s="89">
        <f>AMX8</f>
        <v/>
      </c>
      <c r="AMZ7" s="127" t="n"/>
      <c r="ANA7" s="89">
        <f>AMY8</f>
        <v/>
      </c>
      <c r="ANB7" s="89">
        <f>ANA8</f>
        <v/>
      </c>
      <c r="ANC7" s="89">
        <f>ANB8</f>
        <v/>
      </c>
      <c r="AND7" s="89">
        <f>ANC8</f>
        <v/>
      </c>
      <c r="ANE7" s="89">
        <f>AND8</f>
        <v/>
      </c>
      <c r="ANF7" s="89">
        <f>ANE8</f>
        <v/>
      </c>
      <c r="ANG7" s="89">
        <f>ANF8</f>
        <v/>
      </c>
      <c r="ANH7" s="89">
        <f>ANG8</f>
        <v/>
      </c>
      <c r="ANI7" s="89">
        <f>ANH8</f>
        <v/>
      </c>
      <c r="ANJ7" s="89">
        <f>ANI8</f>
        <v/>
      </c>
      <c r="ANK7" s="89">
        <f>ANJ8</f>
        <v/>
      </c>
      <c r="ANL7" s="89">
        <f>ANK8</f>
        <v/>
      </c>
      <c r="ANM7" s="89">
        <f>ANL8</f>
        <v/>
      </c>
      <c r="ANN7" s="89">
        <f>ANM8</f>
        <v/>
      </c>
      <c r="ANO7" s="89">
        <f>ANN8</f>
        <v/>
      </c>
      <c r="ANP7" s="89">
        <f>ANO8</f>
        <v/>
      </c>
      <c r="ANQ7" s="89">
        <f>ANP8</f>
        <v/>
      </c>
      <c r="ANR7" s="89">
        <f>ANQ8</f>
        <v/>
      </c>
      <c r="ANS7" s="89">
        <f>ANR8</f>
        <v/>
      </c>
      <c r="ANT7" s="89">
        <f>ANS8</f>
        <v/>
      </c>
      <c r="ANU7" s="89">
        <f>ANT8</f>
        <v/>
      </c>
      <c r="ANV7" s="89">
        <f>ANU8</f>
        <v/>
      </c>
      <c r="ANW7" s="89">
        <f>ANV8</f>
        <v/>
      </c>
      <c r="ANX7" s="89">
        <f>ANW8</f>
        <v/>
      </c>
      <c r="ANY7" s="89">
        <f>ANX8</f>
        <v/>
      </c>
      <c r="ANZ7" s="89">
        <f>ANY8</f>
        <v/>
      </c>
      <c r="AOA7" s="89">
        <f>ANZ8</f>
        <v/>
      </c>
      <c r="AOB7" s="89">
        <f>AOA8</f>
        <v/>
      </c>
      <c r="AOC7" s="89">
        <f>AOB8</f>
        <v/>
      </c>
      <c r="AOD7" s="89" t="n">
        <v>672625.9080000001</v>
      </c>
      <c r="AOE7" t="n">
        <v>672625.9080000001</v>
      </c>
      <c r="AOF7" t="n">
        <v>1387009.991</v>
      </c>
    </row>
    <row r="8">
      <c r="A8" s="157" t="n"/>
      <c r="C8" s="47" t="inlineStr">
        <is>
          <t>CLOSING</t>
        </is>
      </c>
      <c r="D8" s="48" t="n">
        <v>351082.516</v>
      </c>
      <c r="E8" s="48" t="n">
        <v>351769.2</v>
      </c>
      <c r="F8" s="48" t="n">
        <v>352147.78</v>
      </c>
      <c r="G8" s="48" t="n">
        <v>352541.291</v>
      </c>
      <c r="H8" s="48" t="n">
        <v>352991.323</v>
      </c>
      <c r="I8" s="48" t="n">
        <v>353383.146</v>
      </c>
      <c r="J8" s="48" t="n">
        <v>353793.282</v>
      </c>
      <c r="K8" s="48" t="n">
        <v>354167.717</v>
      </c>
      <c r="L8" s="48" t="n">
        <v>354520.769</v>
      </c>
      <c r="M8" s="48" t="n">
        <v>354935.64</v>
      </c>
      <c r="N8" s="48" t="n">
        <v>355435.794</v>
      </c>
      <c r="O8" s="48" t="n">
        <v>355949.336</v>
      </c>
      <c r="P8" s="48" t="n">
        <v>356377.425</v>
      </c>
      <c r="Q8" s="48" t="n">
        <v>356791.454</v>
      </c>
      <c r="R8" s="48" t="n">
        <v>357174.34</v>
      </c>
      <c r="S8" s="48" t="n">
        <v>357601.641</v>
      </c>
      <c r="T8" s="48" t="n">
        <v>357972.346</v>
      </c>
      <c r="U8" s="48" t="n">
        <v>358552.594</v>
      </c>
      <c r="V8" s="48" t="n">
        <v>358849.76</v>
      </c>
      <c r="W8" s="48" t="n">
        <v>359225.648</v>
      </c>
      <c r="X8" s="48" t="n">
        <v>359591.377</v>
      </c>
      <c r="Y8" s="48" t="n">
        <v>359968.769</v>
      </c>
      <c r="Z8" s="48" t="n">
        <v>360372.922</v>
      </c>
      <c r="AA8" s="48" t="n">
        <v>360801.074</v>
      </c>
      <c r="AB8" s="48" t="n">
        <v>361133.273</v>
      </c>
      <c r="AC8" s="48" t="n">
        <v>361654.248</v>
      </c>
      <c r="AD8" s="48" t="n">
        <v>362163.103</v>
      </c>
      <c r="AE8" s="48" t="n">
        <v>362462.041</v>
      </c>
      <c r="AF8" s="48" t="n">
        <v>362750.87</v>
      </c>
      <c r="AG8" s="48" t="n">
        <v>363079.583</v>
      </c>
      <c r="AH8" s="48" t="n">
        <v>363368.017</v>
      </c>
      <c r="AI8" s="49" t="n"/>
      <c r="AJ8" s="48" t="n">
        <v>363831.98</v>
      </c>
      <c r="AK8" s="48" t="n">
        <v>364212.916</v>
      </c>
      <c r="AL8" s="48" t="n">
        <v>364682.68</v>
      </c>
      <c r="AM8" s="48" t="n">
        <v>365090.151</v>
      </c>
      <c r="AN8" s="48" t="n">
        <v>365436.412</v>
      </c>
      <c r="AO8" s="48" t="n">
        <v>365725.717</v>
      </c>
      <c r="AP8" s="48" t="n">
        <v>366199.47</v>
      </c>
      <c r="AQ8" s="48" t="n">
        <v>366658.528</v>
      </c>
      <c r="AR8" s="48" t="n">
        <v>367024.115</v>
      </c>
      <c r="AS8" s="48" t="n">
        <v>367430.213</v>
      </c>
      <c r="AT8" s="48" t="n">
        <v>367739.727</v>
      </c>
      <c r="AU8" s="48" t="n">
        <v>368053.309</v>
      </c>
      <c r="AV8" s="48" t="n">
        <v>368391.668</v>
      </c>
      <c r="AW8" s="48" t="n">
        <v>368725.597</v>
      </c>
      <c r="AX8" s="48" t="n">
        <v>369038.685</v>
      </c>
      <c r="AY8" s="48" t="n">
        <v>369367.962</v>
      </c>
      <c r="AZ8" s="48" t="n">
        <v>369684.923</v>
      </c>
      <c r="BA8" s="48" t="n">
        <v>370045.598</v>
      </c>
      <c r="BB8" s="48" t="n">
        <v>370471.822</v>
      </c>
      <c r="BC8" s="48" t="n">
        <v>370727.899</v>
      </c>
      <c r="BD8" s="48" t="n">
        <v>371003.735</v>
      </c>
      <c r="BE8" s="48" t="n">
        <v>371443.931</v>
      </c>
      <c r="BF8" s="48" t="n">
        <v>371804.366</v>
      </c>
      <c r="BG8" s="48" t="n">
        <v>372084.384</v>
      </c>
      <c r="BH8" s="48" t="n">
        <v>372412.863</v>
      </c>
      <c r="BI8" s="48" t="n">
        <v>372760.195</v>
      </c>
      <c r="BJ8" s="48" t="n">
        <v>373045.877</v>
      </c>
      <c r="BK8" s="48" t="n">
        <v>373361.525</v>
      </c>
      <c r="BL8" s="48" t="n">
        <v>373708.285</v>
      </c>
      <c r="BM8" s="48" t="n">
        <v>374023.441</v>
      </c>
      <c r="BO8" s="48" t="n">
        <v>374318.72</v>
      </c>
      <c r="BP8" s="48" t="n">
        <v>374710.655</v>
      </c>
      <c r="BQ8" s="48" t="n">
        <v>375055.485</v>
      </c>
      <c r="BR8" s="48" t="n">
        <v>375342.446</v>
      </c>
      <c r="BS8" s="48" t="n">
        <v>375636.816</v>
      </c>
      <c r="BT8" s="48" t="n">
        <v>376033.259</v>
      </c>
      <c r="BU8" s="48" t="n">
        <v>376399.808</v>
      </c>
      <c r="BV8" s="48" t="n">
        <v>376733.829</v>
      </c>
      <c r="BW8" s="48" t="n">
        <v>377044.791</v>
      </c>
      <c r="BX8" s="48" t="n">
        <v>377275.809</v>
      </c>
      <c r="BY8" s="48" t="n">
        <v>377558.933</v>
      </c>
      <c r="BZ8" s="48" t="n">
        <v>377817.441</v>
      </c>
      <c r="CA8" s="48" t="n">
        <v>378164.118</v>
      </c>
      <c r="CB8" s="48" t="n">
        <v>378506.103</v>
      </c>
      <c r="CC8" s="48" t="n">
        <v>378796.779</v>
      </c>
      <c r="CD8" s="48" t="n">
        <v>379058.059</v>
      </c>
      <c r="CE8" s="48" t="n">
        <v>379407.497</v>
      </c>
      <c r="CF8" s="48" t="n">
        <v>379600.941</v>
      </c>
      <c r="CG8" s="48" t="n">
        <v>379907.382</v>
      </c>
      <c r="CH8" s="48" t="n">
        <v>380224.505</v>
      </c>
      <c r="CI8" s="48" t="n">
        <v>380445.332</v>
      </c>
      <c r="CJ8" s="48" t="n">
        <v>380736.066</v>
      </c>
      <c r="CK8" s="48" t="n">
        <v>381080.971</v>
      </c>
      <c r="CL8" s="48" t="n">
        <v>381468.628</v>
      </c>
      <c r="CM8" s="48" t="n">
        <v>381757.999</v>
      </c>
      <c r="CN8" s="48" t="n">
        <v>382089.181</v>
      </c>
      <c r="CO8" s="48" t="n">
        <v>382404.255</v>
      </c>
      <c r="CP8" s="48" t="n">
        <v>382702.595</v>
      </c>
      <c r="CQ8" s="48" t="n">
        <v>382969.88</v>
      </c>
      <c r="CR8" s="48" t="n">
        <v>383309.045</v>
      </c>
      <c r="CS8" s="48" t="n">
        <v>383593.849</v>
      </c>
      <c r="CU8" s="48" t="n">
        <v>383813.476</v>
      </c>
      <c r="CV8" s="48" t="n">
        <v>384152.553</v>
      </c>
      <c r="CW8" s="48" t="n">
        <v>384468.092</v>
      </c>
      <c r="CX8" s="48" t="n">
        <v>384960.083</v>
      </c>
      <c r="CY8" s="48" t="n">
        <v>385264.544</v>
      </c>
      <c r="CZ8" s="48" t="n">
        <v>385573.82</v>
      </c>
      <c r="DA8" s="48" t="n">
        <v>385882.499</v>
      </c>
      <c r="DB8" s="48" t="n">
        <v>386187.501</v>
      </c>
      <c r="DC8" s="48" t="n">
        <v>386495.708</v>
      </c>
      <c r="DD8" s="48" t="n">
        <v>386842.693</v>
      </c>
      <c r="DE8" s="48" t="n">
        <v>387182.262</v>
      </c>
      <c r="DF8" s="48" t="n">
        <v>387518.144</v>
      </c>
      <c r="DG8" s="48" t="n">
        <v>387800.125</v>
      </c>
      <c r="DH8" s="48" t="n">
        <v>388193.425</v>
      </c>
      <c r="DI8" s="48" t="n">
        <v>388515.014</v>
      </c>
      <c r="DJ8" s="48" t="n">
        <v>388687.829</v>
      </c>
      <c r="DK8" s="48" t="n">
        <v>388889.566</v>
      </c>
      <c r="DL8" s="48" t="n">
        <v>389193.066</v>
      </c>
      <c r="DM8" s="48" t="n">
        <v>389443.29</v>
      </c>
      <c r="DN8" s="48" t="n">
        <v>389768.796</v>
      </c>
      <c r="DO8" s="48" t="n">
        <v>390024.676</v>
      </c>
      <c r="DP8" s="48" t="n">
        <v>390233.114</v>
      </c>
      <c r="DQ8" s="48" t="n">
        <v>390534.949</v>
      </c>
      <c r="DR8" s="48" t="n">
        <v>390835.071</v>
      </c>
      <c r="DS8" s="48" t="n">
        <v>391183.478</v>
      </c>
      <c r="DT8" s="48" t="n">
        <v>391582.056</v>
      </c>
      <c r="DU8" s="48" t="n">
        <v>391900.116</v>
      </c>
      <c r="DV8" s="48" t="n">
        <v>392101.811</v>
      </c>
      <c r="DW8" s="48" t="n">
        <v>392334.996</v>
      </c>
      <c r="DX8" s="48" t="n">
        <v>392713.493</v>
      </c>
      <c r="DY8" s="117" t="n"/>
      <c r="DZ8" s="48" t="n">
        <v>393020.574</v>
      </c>
      <c r="EA8" s="48" t="n">
        <v>393255.527</v>
      </c>
      <c r="EB8" s="48" t="n">
        <v>393458.141</v>
      </c>
      <c r="EC8" s="48" t="n">
        <v>393720.592</v>
      </c>
      <c r="ED8" s="48" t="n">
        <v>393976.767</v>
      </c>
      <c r="EE8" s="48" t="n">
        <v>394269.175</v>
      </c>
      <c r="EF8" s="48" t="n">
        <v>394560.484</v>
      </c>
      <c r="EG8" s="48" t="n">
        <v>394815.04</v>
      </c>
      <c r="EH8" s="48" t="n">
        <v>395264.22</v>
      </c>
      <c r="EI8" s="48" t="n">
        <v>395613.514</v>
      </c>
      <c r="EJ8" s="48" t="n">
        <v>395937.445</v>
      </c>
      <c r="EK8" s="48" t="n">
        <v>396428.84</v>
      </c>
      <c r="EL8" s="48" t="n">
        <v>396715.375</v>
      </c>
      <c r="EM8" s="48" t="n">
        <v>397076.516</v>
      </c>
      <c r="EN8" s="48" t="n">
        <v>397569.782</v>
      </c>
      <c r="EO8" s="48" t="n">
        <v>398019.797</v>
      </c>
      <c r="EP8" s="48" t="n">
        <v>398284.563</v>
      </c>
      <c r="EQ8" s="48" t="n">
        <v>398600.135</v>
      </c>
      <c r="ER8" s="48" t="n">
        <v>398943.163</v>
      </c>
      <c r="ES8" s="48" t="n">
        <v>399355.214</v>
      </c>
      <c r="ET8" s="48" t="n">
        <v>399794.209</v>
      </c>
      <c r="EU8" s="48" t="n">
        <v>400218.908</v>
      </c>
      <c r="EV8" s="48" t="n">
        <v>400706.389</v>
      </c>
      <c r="EW8" s="48" t="n">
        <v>401117.209</v>
      </c>
      <c r="EX8" s="48" t="n">
        <v>401565.626</v>
      </c>
      <c r="EY8" s="48" t="n">
        <v>401837.15</v>
      </c>
      <c r="EZ8" s="48" t="n">
        <v>402118.091</v>
      </c>
      <c r="FA8" s="48" t="n">
        <v>402409.359</v>
      </c>
      <c r="FB8" s="48" t="n">
        <v>402762.386</v>
      </c>
      <c r="FC8" s="48" t="n">
        <v>403034.553</v>
      </c>
      <c r="FD8" s="48" t="n">
        <v>403354.046</v>
      </c>
      <c r="FE8" s="126" t="n"/>
      <c r="FF8" s="48" t="n">
        <v>403709.139</v>
      </c>
      <c r="FG8" s="48" t="n">
        <v>404014.814</v>
      </c>
      <c r="FH8" s="48" t="n">
        <v>404350.81</v>
      </c>
      <c r="FI8" s="48" t="n">
        <v>404580.66</v>
      </c>
      <c r="FJ8" s="48" t="n">
        <v>404981.598</v>
      </c>
      <c r="FK8" s="48" t="n">
        <v>405289.056</v>
      </c>
      <c r="FL8" s="48" t="n">
        <v>405554.832</v>
      </c>
      <c r="FM8" s="48" t="n">
        <v>405773.136</v>
      </c>
      <c r="FN8" s="48" t="n">
        <v>406179.753</v>
      </c>
      <c r="FO8" s="48" t="n">
        <v>406493.868</v>
      </c>
      <c r="FP8" s="48" t="n">
        <v>406792.168</v>
      </c>
      <c r="FQ8" s="48" t="n">
        <v>407088.222</v>
      </c>
      <c r="FR8" s="48" t="n">
        <v>407458.337</v>
      </c>
      <c r="FS8" s="48" t="n">
        <v>407736.994</v>
      </c>
      <c r="FT8" s="48" t="n">
        <v>407994.428</v>
      </c>
      <c r="FU8" s="48" t="n">
        <v>408325.574</v>
      </c>
      <c r="FV8" s="48" t="n">
        <v>408578.307</v>
      </c>
      <c r="FW8" s="48" t="n">
        <v>408873.681</v>
      </c>
      <c r="FX8" s="48" t="n">
        <v>409212.753</v>
      </c>
      <c r="FY8" s="48" t="n">
        <v>409622.876</v>
      </c>
      <c r="FZ8" s="48" t="n">
        <v>409907.501</v>
      </c>
      <c r="GA8" s="48" t="n">
        <v>410189.631</v>
      </c>
      <c r="GB8" s="48" t="n">
        <v>410467.141</v>
      </c>
      <c r="GC8" s="48" t="n">
        <v>410654.371</v>
      </c>
      <c r="GD8" s="48" t="n">
        <v>410937.419</v>
      </c>
      <c r="GE8" s="48" t="n">
        <v>411256.843</v>
      </c>
      <c r="GF8" s="48" t="n">
        <v>411560.558</v>
      </c>
      <c r="GG8" s="48" t="n">
        <v>411839.521</v>
      </c>
      <c r="GH8" s="48" t="n">
        <v>412117.884</v>
      </c>
      <c r="GI8" s="48" t="n">
        <v>412333.5</v>
      </c>
      <c r="GJ8" s="48" t="n">
        <v>412603.895</v>
      </c>
      <c r="GK8" s="126" t="n"/>
      <c r="GL8" s="48" t="n">
        <v>412943.142</v>
      </c>
      <c r="GM8" s="48" t="n">
        <v>413243.371</v>
      </c>
      <c r="GN8" s="48" t="n">
        <v>413745.221</v>
      </c>
      <c r="GO8" s="48" t="n">
        <v>414083.506</v>
      </c>
      <c r="GP8" s="48" t="n">
        <v>414433.98</v>
      </c>
      <c r="GQ8" s="48" t="n">
        <v>414866.025</v>
      </c>
      <c r="GR8" s="48" t="n">
        <v>415189.072</v>
      </c>
      <c r="GS8" s="48" t="n">
        <v>415541.257</v>
      </c>
      <c r="GT8" s="48" t="n">
        <v>415804.661</v>
      </c>
      <c r="GU8" s="48" t="n">
        <v>416192.819</v>
      </c>
      <c r="GV8" s="48" t="n">
        <v>416607.28</v>
      </c>
      <c r="GW8" s="48" t="n">
        <v>416870.116</v>
      </c>
      <c r="GX8" s="48" t="n">
        <v>417222.901</v>
      </c>
      <c r="GY8" s="48" t="n">
        <v>417565.018</v>
      </c>
      <c r="GZ8" s="48" t="n">
        <v>417867.904</v>
      </c>
      <c r="HA8" s="48" t="n">
        <v>418164.627</v>
      </c>
      <c r="HB8" s="48" t="n">
        <v>418501.725</v>
      </c>
      <c r="HC8" s="48" t="n">
        <v>418722.469</v>
      </c>
      <c r="HD8" s="48" t="n">
        <v>418989.835</v>
      </c>
      <c r="HE8" s="48" t="n">
        <v>419304.022</v>
      </c>
      <c r="HF8" s="48" t="n">
        <v>419600.171</v>
      </c>
      <c r="HG8" s="48" t="n">
        <v>419892.732</v>
      </c>
      <c r="HH8" s="48" t="n">
        <v>420188.424</v>
      </c>
      <c r="HI8" s="48" t="n">
        <v>420550.678</v>
      </c>
      <c r="HJ8" s="48" t="n">
        <v>420728.435</v>
      </c>
      <c r="HK8" s="48" t="n">
        <v>421073.501</v>
      </c>
      <c r="HL8" s="48" t="n">
        <v>421329.613</v>
      </c>
      <c r="HM8" s="48" t="n">
        <v>421566.971</v>
      </c>
      <c r="HN8" s="48" t="n">
        <v>421904.852</v>
      </c>
      <c r="HO8" s="126" t="n"/>
      <c r="HP8" s="48" t="n">
        <v>422320.83</v>
      </c>
      <c r="HQ8" s="48" t="n">
        <v>422627.606</v>
      </c>
      <c r="HR8" s="48" t="n">
        <v>423032.535</v>
      </c>
      <c r="HS8" s="48" t="n">
        <v>423310.304</v>
      </c>
      <c r="HT8" s="48" t="n">
        <v>423596.933</v>
      </c>
      <c r="HU8" s="48" t="n">
        <v>424015.041</v>
      </c>
      <c r="HV8" s="48" t="n">
        <v>424381.994</v>
      </c>
      <c r="HW8" s="48" t="n">
        <v>424681.721</v>
      </c>
      <c r="HX8" s="48" t="n">
        <v>424958.646</v>
      </c>
      <c r="HY8" s="48" t="n">
        <v>425222.884</v>
      </c>
      <c r="HZ8" s="48" t="n">
        <v>425518.201</v>
      </c>
      <c r="IA8" s="48" t="n">
        <v>425753.141</v>
      </c>
      <c r="IB8" s="48" t="n">
        <v>425974.578</v>
      </c>
      <c r="IC8" s="48" t="n">
        <v>426240.906</v>
      </c>
      <c r="ID8" s="48" t="n">
        <v>426506.343</v>
      </c>
      <c r="IE8" s="48" t="n">
        <v>426903.123</v>
      </c>
      <c r="IF8" s="48" t="n">
        <v>427164.464</v>
      </c>
      <c r="IG8" s="48" t="n">
        <v>427421.32</v>
      </c>
      <c r="IH8" s="48" t="n">
        <v>427679.62</v>
      </c>
      <c r="II8" s="48" t="n">
        <v>428025.68</v>
      </c>
      <c r="IJ8" s="48" t="n">
        <v>428369.024</v>
      </c>
      <c r="IK8" s="48" t="n">
        <v>428662.54</v>
      </c>
      <c r="IL8" s="48" t="n">
        <v>429052.871</v>
      </c>
      <c r="IM8" s="48" t="n">
        <v>429333.402</v>
      </c>
      <c r="IN8" s="48" t="n">
        <v>429629.316</v>
      </c>
      <c r="IO8" s="48" t="n">
        <v>429878.72</v>
      </c>
      <c r="IP8" s="48" t="n">
        <v>430150.546</v>
      </c>
      <c r="IQ8" s="48" t="n">
        <v>430593.878</v>
      </c>
      <c r="IR8" s="48" t="n">
        <v>430851.29</v>
      </c>
      <c r="IS8" s="48" t="n">
        <v>431172.904</v>
      </c>
      <c r="IT8" s="48" t="n">
        <v>431491.74</v>
      </c>
      <c r="IU8" s="126" t="n"/>
      <c r="IV8" s="48" t="n">
        <v>431682.095</v>
      </c>
      <c r="IW8" s="48" t="n">
        <v>431929.175</v>
      </c>
      <c r="IX8" s="48" t="n">
        <v>432228.022</v>
      </c>
      <c r="IY8" s="48" t="n">
        <v>432494.625</v>
      </c>
      <c r="IZ8" s="48" t="n">
        <v>432720.018</v>
      </c>
      <c r="JA8" t="n">
        <v>433119.988</v>
      </c>
      <c r="JB8" s="48" t="n">
        <v>433345.14</v>
      </c>
      <c r="JC8" s="48" t="n">
        <v>433722.439</v>
      </c>
      <c r="JD8" s="48" t="n">
        <v>433955.418</v>
      </c>
      <c r="JE8" s="48" t="n">
        <v>434273.812</v>
      </c>
      <c r="JF8" s="48" t="n">
        <v>434553.159</v>
      </c>
      <c r="JG8" s="48" t="n">
        <v>434865.481</v>
      </c>
      <c r="JH8" s="48" t="n">
        <v>435166.639</v>
      </c>
      <c r="JI8" s="48" t="n">
        <v>435422.701</v>
      </c>
      <c r="JJ8" s="48" t="n">
        <v>435750.52</v>
      </c>
      <c r="JK8" s="48" t="n">
        <v>436012.55</v>
      </c>
      <c r="JL8" s="48" t="n">
        <v>436277.437</v>
      </c>
      <c r="JM8" s="48" t="n">
        <v>436469.753</v>
      </c>
      <c r="JN8" s="48" t="n">
        <v>436814.49</v>
      </c>
      <c r="JO8" s="48" t="n">
        <v>437118.839</v>
      </c>
      <c r="JP8" s="48" t="n">
        <v>437360.589</v>
      </c>
      <c r="JQ8" s="48" t="n">
        <v>437702.056</v>
      </c>
      <c r="JR8" s="48" t="n">
        <v>437952.683</v>
      </c>
      <c r="JS8" s="48" t="n">
        <v>438195.748</v>
      </c>
      <c r="JT8" s="48" t="n">
        <v>438595.817</v>
      </c>
      <c r="JU8" s="48" t="n">
        <v>438874.483</v>
      </c>
      <c r="JV8" s="48" t="n">
        <v>439261.895</v>
      </c>
      <c r="JW8" s="48" t="n">
        <v>439628.228</v>
      </c>
      <c r="JX8" s="48" t="n">
        <v>439830.26</v>
      </c>
      <c r="JY8" s="48" t="n">
        <v>440117.143</v>
      </c>
      <c r="JZ8" s="126" t="n"/>
      <c r="KA8" s="48" t="n">
        <v>440365.615</v>
      </c>
      <c r="KB8" s="48" t="n">
        <v>440570.089</v>
      </c>
      <c r="KC8" s="48" t="n">
        <v>440891.646</v>
      </c>
      <c r="KD8" s="48" t="n">
        <v>441169.424</v>
      </c>
      <c r="KE8" s="48" t="n">
        <v>441470.022</v>
      </c>
      <c r="KF8" s="48" t="n">
        <v>441835.879</v>
      </c>
      <c r="KG8" s="48" t="n">
        <v>442107.436</v>
      </c>
      <c r="KH8" s="48" t="n">
        <v>442471.62</v>
      </c>
      <c r="KI8" s="48" t="n">
        <v>442693.372</v>
      </c>
      <c r="KJ8" s="48" t="n">
        <v>443015.863</v>
      </c>
      <c r="KK8" s="48" t="n">
        <v>443299.889</v>
      </c>
      <c r="KL8" s="48" t="n">
        <v>443685.888</v>
      </c>
      <c r="KM8" s="48" t="n">
        <v>443988.024</v>
      </c>
      <c r="KN8" s="48" t="n">
        <v>444315.489</v>
      </c>
      <c r="KO8" s="48" t="n">
        <v>444503.514</v>
      </c>
      <c r="KP8" s="48" t="n">
        <v>444782.831</v>
      </c>
      <c r="KQ8" s="48" t="n">
        <v>444990.831</v>
      </c>
      <c r="KR8" s="48" t="n">
        <v>445233.044</v>
      </c>
      <c r="KS8" s="48" t="n">
        <v>445450.874</v>
      </c>
      <c r="KT8" s="48" t="n">
        <v>445783.293</v>
      </c>
      <c r="KU8" s="48" t="n">
        <v>445986.432</v>
      </c>
      <c r="KV8" s="48" t="n">
        <v>446254.624</v>
      </c>
      <c r="KW8" s="48" t="n">
        <v>446522.068</v>
      </c>
      <c r="KX8" s="48" t="n">
        <v>446826.367</v>
      </c>
      <c r="KY8" s="48" t="n">
        <v>447065.386</v>
      </c>
      <c r="KZ8" s="48" t="n">
        <v>447357.686</v>
      </c>
      <c r="LA8" s="48" t="n">
        <v>447715.439</v>
      </c>
      <c r="LB8" s="48" t="n">
        <v>447902.619</v>
      </c>
      <c r="LC8" s="48" t="n">
        <v>448191.728</v>
      </c>
      <c r="LD8" s="48" t="n">
        <v>448543.108</v>
      </c>
      <c r="LE8" s="48" t="n">
        <v>448926.891</v>
      </c>
      <c r="LF8" s="126" t="n"/>
      <c r="LG8" s="48" t="n">
        <v>449376.38</v>
      </c>
      <c r="LH8" s="48" t="n">
        <v>449784.75</v>
      </c>
      <c r="LI8" s="48" t="n">
        <v>450174.856</v>
      </c>
      <c r="LJ8" s="48" t="n">
        <v>450490.968</v>
      </c>
      <c r="LK8" s="48" t="n">
        <v>450769.192</v>
      </c>
      <c r="LL8" s="48" t="n">
        <v>451120.431</v>
      </c>
      <c r="LM8" s="48" t="n">
        <v>451480.005</v>
      </c>
      <c r="LN8" s="48" t="n">
        <v>451873.243</v>
      </c>
      <c r="LO8" s="48" t="n">
        <v>452138.992</v>
      </c>
      <c r="LP8" s="48" t="n">
        <v>452531.209</v>
      </c>
      <c r="LQ8" s="48" t="n">
        <v>452837.529</v>
      </c>
      <c r="LR8" s="48" t="n">
        <v>453188.559</v>
      </c>
      <c r="LS8" s="48" t="n">
        <v>453499.91</v>
      </c>
      <c r="LT8" s="48" t="n">
        <v>453983.827</v>
      </c>
      <c r="LU8" s="48" t="n">
        <v>454342.968</v>
      </c>
      <c r="LV8" s="48" t="n">
        <v>454809.991</v>
      </c>
      <c r="LW8" s="48" t="n">
        <v>455069.236</v>
      </c>
      <c r="LX8" s="48" t="n">
        <v>455491.212</v>
      </c>
      <c r="LY8" s="48" t="n">
        <v>455808.825</v>
      </c>
      <c r="LZ8" s="48" t="n">
        <v>456209.266</v>
      </c>
      <c r="MA8" s="48" t="n">
        <v>456482.837</v>
      </c>
      <c r="MB8" s="48" t="n">
        <v>456823.12</v>
      </c>
      <c r="MC8" s="48" t="n">
        <v>457191.114</v>
      </c>
      <c r="MD8" s="48" t="n">
        <v>457541.233</v>
      </c>
      <c r="ME8" s="48" t="n">
        <v>457781.104</v>
      </c>
      <c r="MF8" s="48" t="n">
        <v>458125.786</v>
      </c>
      <c r="MG8" s="48" t="n">
        <v>458405.109</v>
      </c>
      <c r="MH8" s="48" t="n">
        <v>458697.464</v>
      </c>
      <c r="MI8" s="48" t="n">
        <v>459035.811</v>
      </c>
      <c r="MJ8" s="48" t="n">
        <v>459266.317</v>
      </c>
      <c r="MK8" s="126" t="n"/>
      <c r="ML8" s="48" t="n">
        <v>459627.997</v>
      </c>
      <c r="MM8" s="48" t="n">
        <v>459974.2</v>
      </c>
      <c r="MN8" s="48" t="n">
        <v>460223.535</v>
      </c>
      <c r="MO8" s="48" t="n">
        <v>460548.28</v>
      </c>
      <c r="MP8" s="48" t="n">
        <v>460929.741</v>
      </c>
      <c r="MQ8" s="48" t="n">
        <v>461255.892</v>
      </c>
      <c r="MR8" s="48" t="n">
        <v>461554.357</v>
      </c>
      <c r="MS8" s="48" t="n">
        <v>461847.978</v>
      </c>
      <c r="MT8" s="48" t="n">
        <v>462273.236</v>
      </c>
      <c r="MU8" s="48" t="n">
        <v>462546.526</v>
      </c>
      <c r="MV8" s="48" t="n">
        <v>462851.173</v>
      </c>
      <c r="MW8" s="48" t="n">
        <v>463240.897</v>
      </c>
      <c r="MX8" s="48" t="n">
        <v>463577.101</v>
      </c>
      <c r="MY8" s="48" t="n">
        <v>463765.594</v>
      </c>
      <c r="MZ8" s="48" t="n">
        <v>464033.181</v>
      </c>
      <c r="NA8" s="48" t="n">
        <v>464368.13</v>
      </c>
      <c r="NB8" s="48" t="n">
        <v>464603.043</v>
      </c>
      <c r="NC8" s="48" t="n">
        <v>464905.666</v>
      </c>
      <c r="ND8" s="48" t="n">
        <v>465206.523</v>
      </c>
      <c r="NE8" s="48" t="n">
        <v>465518.695</v>
      </c>
      <c r="NF8" s="48" t="n">
        <v>465738.436</v>
      </c>
      <c r="NG8" s="48" t="n">
        <v>466004.383</v>
      </c>
      <c r="NH8" s="48" t="n">
        <v>466300.105</v>
      </c>
      <c r="NI8" s="48" t="n">
        <v>466544.059</v>
      </c>
      <c r="NJ8" s="48" t="n">
        <v>466823.474</v>
      </c>
      <c r="NK8" s="48" t="n">
        <v>467168.241</v>
      </c>
      <c r="NL8" s="48" t="n">
        <v>467471.792</v>
      </c>
      <c r="NM8" s="48" t="n">
        <v>467706.65</v>
      </c>
      <c r="NN8" s="48" t="n">
        <v>468008.704</v>
      </c>
      <c r="NO8" s="48" t="n">
        <v>468221.99</v>
      </c>
      <c r="NP8" s="48" t="n">
        <v>468393.805</v>
      </c>
      <c r="NQ8" s="126" t="n"/>
      <c r="NR8" s="48" t="n">
        <v>468634.009</v>
      </c>
      <c r="NS8" s="48" t="n">
        <v>468922.141</v>
      </c>
      <c r="NT8" s="48" t="n">
        <v>469298.464</v>
      </c>
      <c r="NU8" s="48" t="n">
        <v>469546.359</v>
      </c>
      <c r="NV8" s="48" t="n">
        <v>469876.934</v>
      </c>
      <c r="NW8" s="48" t="n">
        <v>470218.276</v>
      </c>
      <c r="NX8" s="48" t="n">
        <v>470514.774</v>
      </c>
      <c r="NY8" s="48" t="n">
        <v>470757.073</v>
      </c>
      <c r="NZ8" s="48" t="n">
        <v>471091.38</v>
      </c>
      <c r="OA8" s="48" t="n">
        <v>471425.904</v>
      </c>
      <c r="OB8" s="48" t="n">
        <v>471758.305</v>
      </c>
      <c r="OC8" s="48" t="n">
        <v>471991.663</v>
      </c>
      <c r="OD8" s="48" t="n">
        <v>472404.972</v>
      </c>
      <c r="OE8" s="48" t="n">
        <v>472771.218</v>
      </c>
      <c r="OF8" s="48" t="n">
        <v>473142.595</v>
      </c>
      <c r="OG8" s="48" t="n">
        <v>473526.354</v>
      </c>
      <c r="OH8" s="48" t="n">
        <v>473830.868</v>
      </c>
      <c r="OI8" s="48" t="n">
        <v>474068.041</v>
      </c>
      <c r="OJ8" s="48" t="n">
        <v>474445.36</v>
      </c>
      <c r="OK8" s="48" t="n">
        <v>474777.118</v>
      </c>
      <c r="OL8" s="48" t="n">
        <v>475050.992</v>
      </c>
      <c r="OM8" s="48" t="n">
        <v>475375.958</v>
      </c>
      <c r="ON8" s="48" t="n">
        <v>475657.449</v>
      </c>
      <c r="OO8" s="48" t="n">
        <v>475976.85</v>
      </c>
      <c r="OP8" s="48" t="n">
        <v>476167.156</v>
      </c>
      <c r="OQ8" s="48" t="n">
        <v>476497.182</v>
      </c>
      <c r="OR8" s="48" t="n">
        <v>476758.011</v>
      </c>
      <c r="OS8" s="48" t="n">
        <v>477005.821</v>
      </c>
      <c r="OT8" s="48" t="n">
        <v>477369.856</v>
      </c>
      <c r="OU8" s="48" t="n">
        <v>477715.602</v>
      </c>
      <c r="OV8" s="48" t="n">
        <v>478028.557</v>
      </c>
      <c r="OW8" s="126" t="n"/>
      <c r="OX8" s="48" t="n">
        <v>478284.218</v>
      </c>
      <c r="OY8" s="48" t="n">
        <v>478525.159</v>
      </c>
      <c r="OZ8" s="48" t="n">
        <v>478834.735</v>
      </c>
      <c r="PA8" s="48" t="n">
        <v>479093.465</v>
      </c>
      <c r="PB8" s="48" t="n">
        <v>479441.858</v>
      </c>
      <c r="PC8" s="48" t="n">
        <v>479734.032</v>
      </c>
      <c r="PD8" s="48" t="n">
        <v>480126.389</v>
      </c>
      <c r="PE8" s="48" t="n">
        <v>480402.616</v>
      </c>
      <c r="PF8" s="48" t="n">
        <v>480784.938</v>
      </c>
      <c r="PG8" s="48" t="n">
        <v>481035.814</v>
      </c>
      <c r="PH8" s="48" t="n">
        <v>481227.74</v>
      </c>
      <c r="PI8" s="48" t="n">
        <v>481467.635</v>
      </c>
      <c r="PJ8" s="48" t="n">
        <v>481821.198</v>
      </c>
      <c r="PK8" s="48" t="n">
        <v>482113.457</v>
      </c>
      <c r="PL8" s="48" t="n">
        <v>482327.636</v>
      </c>
      <c r="PM8" s="48" t="n">
        <v>482695.49</v>
      </c>
      <c r="PN8" s="48" t="n">
        <v>482982.506</v>
      </c>
      <c r="PO8" s="48" t="n">
        <v>483210.157</v>
      </c>
      <c r="PP8" s="48" t="n">
        <v>483488.104</v>
      </c>
      <c r="PQ8" s="48" t="n">
        <v>483696.771</v>
      </c>
      <c r="PR8" s="48" t="n">
        <v>483943.192</v>
      </c>
      <c r="PS8" s="48" t="n">
        <v>484096.982</v>
      </c>
      <c r="PT8" s="48" t="n">
        <v>484294.808</v>
      </c>
      <c r="PU8" s="48" t="n">
        <v>484603.022</v>
      </c>
      <c r="PV8" s="48" t="n">
        <v>484734.924</v>
      </c>
      <c r="PW8" s="48" t="n">
        <v>484914.381</v>
      </c>
      <c r="PX8" s="48" t="n">
        <v>485186.654</v>
      </c>
      <c r="PY8" s="48" t="n">
        <v>485371.75</v>
      </c>
      <c r="PZ8" s="48" t="n">
        <v>485537.659</v>
      </c>
      <c r="QA8" s="48" t="n">
        <v>485830.967</v>
      </c>
      <c r="QB8" s="126" t="n"/>
      <c r="QC8" s="48" t="n">
        <v>486017.899</v>
      </c>
      <c r="QD8" s="48" t="n">
        <v>486228.281</v>
      </c>
      <c r="QE8" s="48" t="n">
        <v>486461.081</v>
      </c>
      <c r="QF8" s="48" t="n">
        <v>486782.081</v>
      </c>
      <c r="QG8" s="48" t="n">
        <v>487231.993</v>
      </c>
      <c r="QH8" s="48" t="n">
        <v>487455.193</v>
      </c>
      <c r="QI8" s="48" t="n">
        <v>487760.493</v>
      </c>
      <c r="QJ8" s="48" t="n">
        <v>488154.348</v>
      </c>
      <c r="QK8" s="48" t="n">
        <v>488386.125</v>
      </c>
      <c r="QL8" s="48" t="n">
        <v>488641.105</v>
      </c>
      <c r="QM8" s="48" t="n">
        <v>489001.275</v>
      </c>
      <c r="QN8" s="48" t="n">
        <v>489272.075</v>
      </c>
      <c r="QO8" s="48" t="n">
        <v>489565.955</v>
      </c>
      <c r="QP8" s="48" t="n">
        <v>489877.455</v>
      </c>
      <c r="QQ8" s="48" t="n">
        <v>490170.837</v>
      </c>
      <c r="QR8" s="48" t="n">
        <v>490396.237</v>
      </c>
      <c r="QS8" s="48" t="n">
        <v>490622.137</v>
      </c>
      <c r="QT8" s="48" t="n">
        <v>490948.742</v>
      </c>
      <c r="QU8" s="48" t="n">
        <v>491255.637</v>
      </c>
      <c r="QV8" s="48" t="n">
        <v>491417.837</v>
      </c>
      <c r="QW8" s="48" t="n">
        <v>491696.037</v>
      </c>
      <c r="QX8" s="48" t="n">
        <v>491869.337</v>
      </c>
      <c r="QY8" s="48" t="n">
        <v>492126.237</v>
      </c>
      <c r="QZ8" s="48" t="n">
        <v>492468.547</v>
      </c>
      <c r="RA8" s="48" t="n">
        <v>492998.559</v>
      </c>
      <c r="RB8" s="48" t="n">
        <v>493271.259</v>
      </c>
      <c r="RC8" s="48" t="n">
        <v>493540.229</v>
      </c>
      <c r="RD8" s="48" t="n">
        <v>493796.926</v>
      </c>
      <c r="RE8" s="48" t="n">
        <v>494033.626</v>
      </c>
      <c r="RF8" s="48" t="n">
        <v>494283.953</v>
      </c>
      <c r="RG8" s="48" t="n">
        <v>494608.653</v>
      </c>
      <c r="RH8" s="126" t="n"/>
      <c r="RI8" s="48" t="n">
        <v>494888.262</v>
      </c>
      <c r="RJ8" s="48" t="n">
        <v>495198.555</v>
      </c>
      <c r="RK8" s="48" t="n">
        <v>495492.01</v>
      </c>
      <c r="RL8" s="48" t="n">
        <v>495778.735</v>
      </c>
      <c r="RM8" s="48" t="n">
        <v>496023.408</v>
      </c>
      <c r="RN8" s="48" t="n">
        <v>496338.656</v>
      </c>
      <c r="RO8" s="48" t="n">
        <v>496543.999</v>
      </c>
      <c r="RP8" s="48" t="n">
        <v>496808.676</v>
      </c>
      <c r="RQ8" s="48" t="n">
        <v>497150.831</v>
      </c>
      <c r="RR8" s="48" t="n">
        <v>497406.301</v>
      </c>
      <c r="RS8" s="48" t="n">
        <v>497703.855</v>
      </c>
      <c r="RT8" s="48" t="n">
        <v>497996.696</v>
      </c>
      <c r="RU8" s="48" t="n">
        <v>498249.861</v>
      </c>
      <c r="RV8" s="48" t="n">
        <v>498413.836</v>
      </c>
      <c r="RW8" s="48" t="n">
        <v>498661.787</v>
      </c>
      <c r="RX8" s="48" t="n">
        <v>498890.484</v>
      </c>
      <c r="RY8" s="48" t="n">
        <v>499080.206</v>
      </c>
      <c r="RZ8" s="48" t="n">
        <v>499320.9</v>
      </c>
      <c r="SA8" s="48" t="n">
        <v>499622.596</v>
      </c>
      <c r="SB8" s="48" t="n">
        <v>499850.465</v>
      </c>
      <c r="SC8" s="48" t="n">
        <v>500082.73</v>
      </c>
      <c r="SD8" s="48" t="n">
        <v>500485.704</v>
      </c>
      <c r="SE8" s="48" t="n">
        <v>500782.985</v>
      </c>
      <c r="SF8" s="48" t="n">
        <v>500999.27</v>
      </c>
      <c r="SG8" s="48" t="n">
        <v>501309.669</v>
      </c>
      <c r="SH8" s="48" t="n">
        <v>501641.101</v>
      </c>
      <c r="SI8" s="48" t="n">
        <v>501901.292</v>
      </c>
      <c r="SJ8" s="48" t="n">
        <v>502231.036</v>
      </c>
      <c r="SK8" s="48" t="n">
        <v>502575.258</v>
      </c>
      <c r="SL8" s="48" t="n">
        <v>502911.853</v>
      </c>
      <c r="SM8" s="126" t="n"/>
      <c r="SN8" s="48" t="n">
        <v>503177.266</v>
      </c>
      <c r="SO8" s="48" t="n">
        <v>503373.329</v>
      </c>
      <c r="SP8" s="48" t="n">
        <v>503623.69</v>
      </c>
      <c r="SQ8" s="48" t="n">
        <v>503836.31</v>
      </c>
      <c r="SR8" s="48" t="n">
        <v>504116.835</v>
      </c>
      <c r="SS8" s="48" t="n">
        <v>504419.919</v>
      </c>
      <c r="ST8" s="48" t="n">
        <v>504724.583</v>
      </c>
      <c r="SU8" s="48" t="n">
        <v>505008.591</v>
      </c>
      <c r="SV8" s="48" t="n">
        <v>505321.012</v>
      </c>
      <c r="SW8" s="48" t="n">
        <v>505572.384</v>
      </c>
      <c r="SX8" s="48" t="n">
        <v>505797.201</v>
      </c>
      <c r="SY8" s="48" t="n">
        <v>506065.782</v>
      </c>
      <c r="SZ8" s="48" t="n">
        <v>506386.891</v>
      </c>
      <c r="TA8" s="48" t="n">
        <v>506698.842</v>
      </c>
      <c r="TB8" s="48" t="n">
        <v>507015.788</v>
      </c>
      <c r="TC8" s="48" t="n">
        <v>507290.139</v>
      </c>
      <c r="TD8" s="48" t="n">
        <v>507606.098</v>
      </c>
      <c r="TE8" s="48" t="n">
        <v>507935.688</v>
      </c>
      <c r="TF8" s="48" t="n">
        <v>508213.221</v>
      </c>
      <c r="TG8" s="48" t="n">
        <v>508549.874</v>
      </c>
      <c r="TH8" s="48" t="n">
        <v>508877.851</v>
      </c>
      <c r="TI8" s="48" t="n">
        <v>509103.248</v>
      </c>
      <c r="TJ8" s="48" t="n">
        <v>509413.761</v>
      </c>
      <c r="TK8" s="48" t="n">
        <v>509689.902</v>
      </c>
      <c r="TL8" s="48" t="n">
        <v>509920.795</v>
      </c>
      <c r="TM8" s="48" t="n">
        <v>510175.674</v>
      </c>
      <c r="TN8" s="48" t="n">
        <v>510478.094</v>
      </c>
      <c r="TO8" s="48" t="n">
        <v>510662.326</v>
      </c>
      <c r="TP8" s="48" t="n">
        <v>510870.681</v>
      </c>
      <c r="TQ8" s="48" t="n">
        <v>511118.803</v>
      </c>
      <c r="TR8" s="48" t="n">
        <v>511375.315</v>
      </c>
      <c r="TS8" s="126" t="n"/>
      <c r="TT8" s="48" t="n">
        <v>511624.368</v>
      </c>
      <c r="TU8" s="48" t="n">
        <v>511870.035</v>
      </c>
      <c r="TV8" s="48" t="n">
        <v>512142.187</v>
      </c>
      <c r="TW8" s="48" t="n">
        <v>512485.098</v>
      </c>
      <c r="TX8" s="48" t="n">
        <v>512658.073</v>
      </c>
      <c r="TY8" s="48" t="n">
        <v>512918.971</v>
      </c>
      <c r="TZ8" s="48" t="n">
        <v>513220.02</v>
      </c>
      <c r="UA8" s="48" t="n">
        <v>513543.801</v>
      </c>
      <c r="UB8" s="48" t="n">
        <v>513844.984</v>
      </c>
      <c r="UC8" s="48" t="n">
        <v>514130.788</v>
      </c>
      <c r="UD8" s="48" t="n">
        <v>514473.295</v>
      </c>
      <c r="UE8" s="48" t="n">
        <v>514706.09</v>
      </c>
      <c r="UF8" s="48" t="n">
        <v>515016.386</v>
      </c>
      <c r="UG8" s="48" t="n">
        <v>515308.576</v>
      </c>
      <c r="UH8" s="48" t="n">
        <v>515635.733</v>
      </c>
      <c r="UI8" s="48" t="n">
        <v>515940.702</v>
      </c>
      <c r="UJ8" s="48" t="n">
        <v>516304.447</v>
      </c>
      <c r="UK8" s="48" t="n">
        <v>516736.293</v>
      </c>
      <c r="UL8" s="48" t="n">
        <v>517178.943</v>
      </c>
      <c r="UM8" s="48" t="n">
        <v>517431.642</v>
      </c>
      <c r="UN8" s="48" t="n">
        <v>517759.139</v>
      </c>
      <c r="UO8" s="48" t="n">
        <v>518041.706</v>
      </c>
      <c r="UP8" s="48" t="n">
        <v>518347.598</v>
      </c>
      <c r="UQ8" s="48" t="n">
        <v>518595.421</v>
      </c>
      <c r="UR8" s="48" t="n">
        <v>518929.806</v>
      </c>
      <c r="US8" s="48" t="n">
        <v>519221.991</v>
      </c>
      <c r="UT8" s="48" t="n">
        <v>519530.014</v>
      </c>
      <c r="UU8" s="48" t="n">
        <v>519737.026</v>
      </c>
      <c r="UV8" s="48" t="n">
        <v>520010.2</v>
      </c>
      <c r="UW8" s="48" t="n">
        <v>520336.733</v>
      </c>
      <c r="UX8" s="48" t="n">
        <v>520554.792</v>
      </c>
      <c r="UY8" s="126" t="n"/>
      <c r="UZ8" s="48" t="n">
        <v>520867.522</v>
      </c>
      <c r="VA8" s="48" t="n">
        <v>521158.234</v>
      </c>
      <c r="VB8" s="48" t="n">
        <v>521464.143</v>
      </c>
      <c r="VC8" s="48" t="n">
        <v>521679.841</v>
      </c>
      <c r="VD8" s="48" t="n">
        <v>521962.205</v>
      </c>
      <c r="VE8" s="48" t="n">
        <v>522243.332</v>
      </c>
      <c r="VF8" s="48" t="n">
        <v>522441.891</v>
      </c>
      <c r="VG8" s="48" t="n">
        <v>522780.284</v>
      </c>
      <c r="VH8" s="48" t="n">
        <v>523053.687</v>
      </c>
      <c r="VI8" s="48" t="n">
        <v>523316.935</v>
      </c>
      <c r="VJ8" s="48" t="n">
        <v>523630.823</v>
      </c>
      <c r="VK8" s="48" t="n">
        <v>523966.409</v>
      </c>
      <c r="VL8" s="48" t="n">
        <v>524283.918</v>
      </c>
      <c r="VM8" s="48" t="n">
        <v>524669.5209999999</v>
      </c>
      <c r="VN8" s="48" t="n">
        <v>524883.483</v>
      </c>
      <c r="VO8" s="48" t="n">
        <v>525216.3639999999</v>
      </c>
      <c r="VP8" s="48" t="n">
        <v>525556.281</v>
      </c>
      <c r="VQ8" s="48" t="n">
        <v>525877.889</v>
      </c>
      <c r="VR8" s="48" t="n">
        <v>526131.051</v>
      </c>
      <c r="VS8" s="48" t="n">
        <v>526374.727</v>
      </c>
      <c r="VT8" s="48" t="n">
        <v>526656.1629999999</v>
      </c>
      <c r="VU8" s="48" t="n">
        <v>526950.8590000001</v>
      </c>
      <c r="VV8" s="48" t="n">
        <v>527139.923</v>
      </c>
      <c r="VW8" s="48" t="n">
        <v>527446.931</v>
      </c>
      <c r="VX8" s="48" t="n">
        <v>527679.309</v>
      </c>
      <c r="VY8" s="48" t="n">
        <v>527976.05</v>
      </c>
      <c r="VZ8" s="48" t="n">
        <v>528217.1040000001</v>
      </c>
      <c r="WA8" s="48" t="n">
        <v>528512.9300000001</v>
      </c>
      <c r="WB8" s="126" t="n"/>
      <c r="WC8" s="48" t="n">
        <v>528802.128</v>
      </c>
      <c r="WD8" s="48" t="n">
        <v>529035.039</v>
      </c>
      <c r="WE8" s="48" t="n">
        <v>529287.482</v>
      </c>
      <c r="WF8" s="48" t="n">
        <v>529563.836</v>
      </c>
      <c r="WG8" s="48" t="n">
        <v>529867.742</v>
      </c>
      <c r="WH8" s="48" t="n">
        <v>530177.728</v>
      </c>
      <c r="WI8" s="48" t="n">
        <v>530550.492</v>
      </c>
      <c r="WJ8" s="48" t="n">
        <v>530773.527</v>
      </c>
      <c r="WK8" s="48" t="n">
        <v>531076.333</v>
      </c>
      <c r="WL8" s="48" t="n">
        <v>531400.322</v>
      </c>
      <c r="WM8" s="48" t="n">
        <v>531709.915</v>
      </c>
      <c r="WN8" s="48" t="n">
        <v>531999.452</v>
      </c>
      <c r="WO8" s="48" t="n">
        <v>532200.67</v>
      </c>
      <c r="WP8" s="48" t="n">
        <v>532532.085</v>
      </c>
      <c r="WQ8" s="48" t="n">
        <v>532890.87</v>
      </c>
      <c r="WR8" s="48" t="n">
        <v>533118.948</v>
      </c>
      <c r="WS8" s="48" t="n">
        <v>533401.99</v>
      </c>
      <c r="WT8" s="48" t="n">
        <v>533609.84</v>
      </c>
      <c r="WU8" s="48" t="n">
        <v>533938.046</v>
      </c>
      <c r="WV8" s="48" t="n">
        <v>534186.0110000001</v>
      </c>
      <c r="WW8" s="48" t="n">
        <v>534493.898</v>
      </c>
      <c r="WX8" s="48" t="n">
        <v>534774.206</v>
      </c>
      <c r="WY8" s="48" t="n">
        <v>535084.265</v>
      </c>
      <c r="WZ8" s="48" t="n">
        <v>535378.025</v>
      </c>
      <c r="XA8" s="48" t="n">
        <v>535651.684</v>
      </c>
      <c r="XB8" s="48" t="n">
        <v>535863.3199999999</v>
      </c>
      <c r="XC8" s="48" t="n">
        <v>536179.724</v>
      </c>
      <c r="XD8" s="48" t="n">
        <v>536738.7560000001</v>
      </c>
      <c r="XE8" s="48" t="n">
        <v>537117.128</v>
      </c>
      <c r="XF8" s="48" t="n">
        <v>537440.85</v>
      </c>
      <c r="XG8" s="48" t="n">
        <v>537743.295</v>
      </c>
      <c r="XH8" s="126" t="n"/>
      <c r="XI8" s="48" t="n">
        <v>538075.946</v>
      </c>
      <c r="XJ8" s="48" t="n">
        <v>538346.749</v>
      </c>
      <c r="XK8" s="48" t="n">
        <v>538635.603</v>
      </c>
      <c r="XL8" s="48" t="n">
        <v>538898.892</v>
      </c>
      <c r="XM8" s="48" t="n">
        <v>539290.218</v>
      </c>
      <c r="XN8" s="48" t="n">
        <v>539631.599</v>
      </c>
      <c r="XO8" s="48" t="n">
        <v>540022.1139999999</v>
      </c>
      <c r="XP8" s="48" t="n">
        <v>540318.54</v>
      </c>
      <c r="XQ8" s="48" t="n">
        <v>540626.334</v>
      </c>
      <c r="XR8" s="48" t="n">
        <v>540850.993</v>
      </c>
      <c r="XS8" s="48" t="n">
        <v>541196.1360000001</v>
      </c>
      <c r="XT8" s="48" t="n">
        <v>541482.982</v>
      </c>
      <c r="XU8" s="48" t="n">
        <v>541758.845</v>
      </c>
      <c r="XV8" s="48" t="n">
        <v>542043.7</v>
      </c>
      <c r="XW8" s="48" t="n">
        <v>542333.39</v>
      </c>
      <c r="XX8" s="48" t="n">
        <v>542690.556</v>
      </c>
      <c r="XY8" s="48" t="n">
        <v>542969.112</v>
      </c>
      <c r="XZ8" s="48" t="n">
        <v>543264.106</v>
      </c>
      <c r="YA8" s="48" t="n">
        <v>543664.583</v>
      </c>
      <c r="YB8" s="48" t="n">
        <v>543890.278</v>
      </c>
      <c r="YC8" s="48" t="n">
        <v>544244.541</v>
      </c>
      <c r="YD8" s="48" t="n">
        <v>544465.321</v>
      </c>
      <c r="YE8" s="48" t="n">
        <v>544757.409</v>
      </c>
      <c r="YF8" s="48" t="n">
        <v>545102.6139999999</v>
      </c>
      <c r="YG8" s="48" t="n">
        <v>545547.2560000001</v>
      </c>
      <c r="YH8" s="48" t="n">
        <v>545866.7</v>
      </c>
      <c r="YI8" s="48" t="n">
        <v>546182.032</v>
      </c>
      <c r="YJ8" s="48" t="n">
        <v>546466.624</v>
      </c>
      <c r="YK8" s="48" t="n">
        <v>546770.048</v>
      </c>
      <c r="YL8" s="48" t="n">
        <v>547081.925</v>
      </c>
      <c r="YM8" s="126" t="n"/>
      <c r="YN8" s="48" t="n">
        <v>547381.048</v>
      </c>
      <c r="YO8" s="48" t="n">
        <v>547727.966</v>
      </c>
      <c r="YP8" s="48" t="n">
        <v>548061.547</v>
      </c>
      <c r="YQ8" s="48" t="n">
        <v>548450.267</v>
      </c>
      <c r="YR8" s="48" t="n">
        <v>548823.089</v>
      </c>
      <c r="YS8" s="48" t="n">
        <v>549205.777</v>
      </c>
      <c r="YT8" s="48" t="n">
        <v>549457.3</v>
      </c>
      <c r="YU8" s="48" t="n">
        <v>549457.3</v>
      </c>
      <c r="YV8" s="48" t="n">
        <v>549677.069</v>
      </c>
      <c r="YW8" s="48" t="n">
        <v>550070.077</v>
      </c>
      <c r="YX8" s="48" t="n">
        <v>550233.902</v>
      </c>
      <c r="YY8" s="48" t="n">
        <v>550639.417</v>
      </c>
      <c r="YZ8" s="48" t="n">
        <v>550897.767</v>
      </c>
      <c r="ZA8" s="48" t="n">
        <v>551207.802</v>
      </c>
      <c r="ZB8" s="48" t="n">
        <v>551493.324</v>
      </c>
      <c r="ZC8" s="48" t="n">
        <v>551885.675</v>
      </c>
      <c r="ZD8" s="48" t="n">
        <v>552100.7929999999</v>
      </c>
      <c r="ZE8" s="48" t="n">
        <v>552379.6850000001</v>
      </c>
      <c r="ZF8" s="48" t="n">
        <v>552657.02</v>
      </c>
      <c r="ZG8" s="48" t="n">
        <v>552981.4129999999</v>
      </c>
      <c r="ZH8" s="48" t="n">
        <v>553283.284</v>
      </c>
      <c r="ZI8" s="48" t="n">
        <v>553644.583</v>
      </c>
      <c r="ZJ8" s="48" t="n">
        <v>554059.276</v>
      </c>
      <c r="ZK8" s="48" t="n">
        <v>554545.1629999999</v>
      </c>
      <c r="ZL8" s="48" t="n">
        <v>554863.401</v>
      </c>
      <c r="ZM8" s="48" t="n">
        <v>555256.025</v>
      </c>
      <c r="ZN8" s="48" t="n">
        <v>555532.423</v>
      </c>
      <c r="ZO8" s="48" t="n">
        <v>555930.22</v>
      </c>
      <c r="ZP8" s="48" t="n">
        <v>556183.648</v>
      </c>
      <c r="ZQ8" s="48" t="n">
        <v>556587.4570000001</v>
      </c>
      <c r="ZR8" s="48" t="n">
        <v>556994.675</v>
      </c>
      <c r="ZS8" s="126" t="n"/>
      <c r="ZT8" s="48" t="n">
        <v>557259.001</v>
      </c>
      <c r="ZU8" s="48" t="n">
        <v>557544.7659999999</v>
      </c>
      <c r="ZV8" s="48" t="n">
        <v>557839.268</v>
      </c>
      <c r="ZW8" s="48" t="n">
        <v>558174.343</v>
      </c>
      <c r="ZX8" s="48" t="n">
        <v>558506.007</v>
      </c>
      <c r="ZY8" s="48" t="n">
        <v>558856.525</v>
      </c>
      <c r="ZZ8" s="48" t="n">
        <v>559222.654</v>
      </c>
      <c r="AAA8" s="48" t="n">
        <v>559599.817</v>
      </c>
      <c r="AAB8" s="48" t="n">
        <v>559938.684</v>
      </c>
      <c r="AAC8" s="48" t="n">
        <v>560264.444</v>
      </c>
      <c r="AAD8" s="48" t="n">
        <v>560513.412</v>
      </c>
      <c r="AAE8" s="48" t="n">
        <v>560780.432</v>
      </c>
      <c r="AAF8" s="48" t="n">
        <v>561245.7709999999</v>
      </c>
      <c r="AAG8" s="48" t="n">
        <v>561708.972</v>
      </c>
      <c r="AAH8" s="48" t="n">
        <v>562056.471</v>
      </c>
      <c r="AAI8" s="48" t="n">
        <v>562353.554</v>
      </c>
      <c r="AAJ8" s="48" t="n">
        <v>562751.969</v>
      </c>
      <c r="AAK8" s="48" t="n">
        <v>563030.627</v>
      </c>
      <c r="AAL8" s="48" t="n">
        <v>563417.211</v>
      </c>
      <c r="AAM8" s="48" t="n">
        <v>563761.6800000001</v>
      </c>
      <c r="AAN8" s="48" t="n">
        <v>564155.591</v>
      </c>
      <c r="AAO8" s="48" t="n">
        <v>564420.6360000001</v>
      </c>
      <c r="AAP8" s="48" t="n">
        <v>564753.816</v>
      </c>
      <c r="AAQ8" s="48" t="n">
        <v>565105.779</v>
      </c>
      <c r="AAR8" s="48" t="n">
        <v>565511.024</v>
      </c>
      <c r="AAS8" s="48" t="n">
        <v>565860.924</v>
      </c>
      <c r="AAT8" s="48" t="n">
        <v>566188.638</v>
      </c>
      <c r="AAU8" s="48" t="n">
        <v>566542.373</v>
      </c>
      <c r="AAV8" s="48" t="n">
        <v>566994.403</v>
      </c>
      <c r="AAW8" s="48" t="n">
        <v>567290.878</v>
      </c>
      <c r="AAX8" s="126" t="n"/>
      <c r="AAY8" s="48" t="n">
        <v>567684.307</v>
      </c>
      <c r="AAZ8" s="48" t="n">
        <v>567947.341</v>
      </c>
      <c r="ABA8" s="48" t="n">
        <v>568229.084</v>
      </c>
      <c r="ABB8" s="48" t="n">
        <v>568501.827</v>
      </c>
      <c r="ABC8" s="48" t="n">
        <v>568886.702</v>
      </c>
      <c r="ABD8" s="48" t="n">
        <v>569390.191</v>
      </c>
      <c r="ABE8" s="48" t="n">
        <v>569722.754</v>
      </c>
      <c r="ABF8" s="48" t="n">
        <v>570049.76</v>
      </c>
      <c r="ABG8" s="48" t="n">
        <v>570374.417</v>
      </c>
      <c r="ABH8" s="48" t="n">
        <v>570651.379</v>
      </c>
      <c r="ABI8" s="48" t="n">
        <v>571058.795</v>
      </c>
      <c r="ABJ8" s="48" t="n">
        <v>571364.3199999999</v>
      </c>
      <c r="ABK8" s="48" t="n">
        <v>571670.952</v>
      </c>
      <c r="ABL8" s="48" t="n">
        <v>572002.05</v>
      </c>
      <c r="ABM8" s="48" t="n">
        <v>572328.6310000001</v>
      </c>
      <c r="ABN8" s="48" t="n">
        <v>572675.836</v>
      </c>
      <c r="ABO8" s="48" t="n">
        <v>573036.257</v>
      </c>
      <c r="ABP8" s="48" t="n">
        <v>573408.773</v>
      </c>
      <c r="ABQ8" s="48" t="n">
        <v>573715.577</v>
      </c>
      <c r="ABR8" s="48" t="n">
        <v>574135.926</v>
      </c>
      <c r="ABS8" s="48" t="n">
        <v>574545.8810000001</v>
      </c>
      <c r="ABT8" s="48" t="n">
        <v>574807.9129999999</v>
      </c>
      <c r="ABU8" s="48" t="n">
        <v>575146.194</v>
      </c>
      <c r="ABV8" s="48" t="n">
        <v>575479.461</v>
      </c>
      <c r="ABW8" s="48" t="n">
        <v>575893.284</v>
      </c>
      <c r="ABX8" s="48" t="n">
        <v>576288.169</v>
      </c>
      <c r="ABY8" s="48" t="n">
        <v>576674.816</v>
      </c>
      <c r="ABZ8" s="48" t="n">
        <v>577072.6139999999</v>
      </c>
      <c r="ACA8" s="48" t="n">
        <v>577357.513</v>
      </c>
      <c r="ACB8" s="48" t="n">
        <v>577694.292</v>
      </c>
      <c r="ACC8" s="48" t="n">
        <v>578045.203</v>
      </c>
      <c r="ACD8" s="126" t="n"/>
      <c r="ACE8" s="48" t="n">
        <v>578445.6040000001</v>
      </c>
      <c r="ACF8" s="48" t="n">
        <v>578809.245</v>
      </c>
      <c r="ACG8" s="48" t="n">
        <v>579076.432</v>
      </c>
      <c r="ACH8" s="48" t="n">
        <v>579334.258</v>
      </c>
      <c r="ACI8" s="48" t="n">
        <v>579756.723</v>
      </c>
      <c r="ACJ8" s="48" t="n">
        <v>579988.267</v>
      </c>
      <c r="ACK8" s="48" t="n">
        <v>580232.5919999999</v>
      </c>
      <c r="ACL8" s="48" t="n">
        <v>580602.912</v>
      </c>
      <c r="ACM8" s="48" t="n">
        <v>580850.045</v>
      </c>
      <c r="ACN8" s="48" t="n">
        <v>581184.205</v>
      </c>
      <c r="ACO8" s="48" t="n">
        <v>581522.458</v>
      </c>
      <c r="ACP8" s="48" t="n">
        <v>581790.228</v>
      </c>
      <c r="ACQ8" s="48" t="n">
        <v>582141.821</v>
      </c>
      <c r="ACR8" s="48" t="n">
        <v>582443.116</v>
      </c>
      <c r="ACS8" s="48" t="n">
        <v>582757.001</v>
      </c>
      <c r="ACT8" s="48" t="n">
        <v>583114.974</v>
      </c>
      <c r="ACU8" s="48" t="n">
        <v>583568.963</v>
      </c>
      <c r="ACV8" s="48" t="n">
        <v>583789.711</v>
      </c>
      <c r="ACW8" s="48" t="n">
        <v>583945.678</v>
      </c>
      <c r="ACX8" s="48" t="n">
        <v>584208.203</v>
      </c>
      <c r="ACY8" s="48" t="n">
        <v>584466.362</v>
      </c>
      <c r="ACZ8" s="48" t="n">
        <v>584754.845</v>
      </c>
      <c r="ADA8" s="48" t="n">
        <v>585071.093</v>
      </c>
      <c r="ADB8" s="48" t="n">
        <v>585233.3540000001</v>
      </c>
      <c r="ADC8" s="48" t="n">
        <v>585496.311</v>
      </c>
      <c r="ADD8" s="48" t="n">
        <v>585763.27</v>
      </c>
      <c r="ADE8" s="48" t="n">
        <v>586026.612</v>
      </c>
      <c r="ADF8" s="48" t="n">
        <v>586272.9570000001</v>
      </c>
      <c r="ADG8" s="48" t="n">
        <v>586563.7929999999</v>
      </c>
      <c r="ADH8" s="48" t="n">
        <v>586890.078</v>
      </c>
      <c r="ADI8" s="48" t="n">
        <v>587207.253</v>
      </c>
      <c r="ADJ8" s="126" t="n"/>
      <c r="ADK8" s="48" t="n">
        <v>587395.045</v>
      </c>
      <c r="ADL8" s="48" t="n">
        <v>587627.466</v>
      </c>
      <c r="ADM8" s="48" t="n">
        <v>587877.672</v>
      </c>
      <c r="ADN8" s="48" t="n">
        <v>588129.594</v>
      </c>
      <c r="ADO8" s="48" t="n">
        <v>588379.642</v>
      </c>
      <c r="ADP8" s="48" t="n">
        <v>588739.1629999999</v>
      </c>
      <c r="ADQ8" s="48" t="n">
        <v>589106.545</v>
      </c>
      <c r="ADR8" s="48" t="n">
        <v>589388.132</v>
      </c>
      <c r="ADS8" s="48" t="n">
        <v>589626.46</v>
      </c>
      <c r="ADT8" s="48" t="n">
        <v>589908.7709999999</v>
      </c>
      <c r="ADU8" s="48" t="n">
        <v>590177.401</v>
      </c>
      <c r="ADV8" s="48" t="n">
        <v>590482.6800000001</v>
      </c>
      <c r="ADW8" s="48" t="n">
        <v>590783.517</v>
      </c>
      <c r="ADX8" s="48" t="n">
        <v>591051.382</v>
      </c>
      <c r="ADY8" s="48" t="n">
        <v>591314.329</v>
      </c>
      <c r="ADZ8" s="48" t="n">
        <v>591564.625</v>
      </c>
      <c r="AEA8" s="48" t="n">
        <v>591871.336</v>
      </c>
      <c r="AEB8" s="48" t="n">
        <v>592223.5379999999</v>
      </c>
      <c r="AEC8" s="48" t="n">
        <v>592513.175</v>
      </c>
      <c r="AED8" s="48" t="n">
        <v>592916.427</v>
      </c>
      <c r="AEE8" s="48" t="n">
        <v>593118.879</v>
      </c>
      <c r="AEF8" s="48" t="n">
        <v>593468.33</v>
      </c>
      <c r="AEG8" s="48" t="n">
        <v>593722.745</v>
      </c>
      <c r="AEH8" s="48" t="n">
        <v>593952.753</v>
      </c>
      <c r="AEI8" s="48" t="n">
        <v>594157.162</v>
      </c>
      <c r="AEJ8" s="48" t="n">
        <v>594453.745</v>
      </c>
      <c r="AEK8" s="48" t="n">
        <v>594727.184</v>
      </c>
      <c r="AEL8" s="48" t="n">
        <v>595036.431</v>
      </c>
      <c r="AEM8" s="48" t="n">
        <v>595265.846</v>
      </c>
      <c r="AEN8" s="48" t="n">
        <v>595501.657</v>
      </c>
      <c r="AEO8" s="126" t="n"/>
      <c r="AEP8" s="48" t="n">
        <v>595874.032</v>
      </c>
      <c r="AEQ8" s="48" t="n">
        <v>596196.2929999999</v>
      </c>
      <c r="AER8" s="48" t="n">
        <v>596439.51</v>
      </c>
      <c r="AES8" s="48" t="n">
        <v>596780.137</v>
      </c>
      <c r="AET8" s="48" t="n">
        <v>597010.872</v>
      </c>
      <c r="AEU8" s="48" t="n">
        <v>597240.686</v>
      </c>
      <c r="AEV8" s="48" t="n">
        <v>597460.132</v>
      </c>
      <c r="AEW8" s="48" t="n">
        <v>597747.949</v>
      </c>
      <c r="AEX8" s="48" t="n">
        <v>598053.998</v>
      </c>
      <c r="AEY8" s="48" t="n">
        <v>598422.1409999999</v>
      </c>
      <c r="AEZ8" s="48" t="n">
        <v>598697.958</v>
      </c>
      <c r="AFA8" s="48" t="n">
        <v>599012.829</v>
      </c>
      <c r="AFB8" s="48" t="n">
        <v>599316.046</v>
      </c>
      <c r="AFC8" s="48" t="n">
        <v>599633.385</v>
      </c>
      <c r="AFD8" s="48" t="n">
        <v>599989.245</v>
      </c>
      <c r="AFE8" s="48" t="n">
        <v>600249.6580000001</v>
      </c>
      <c r="AFF8" s="48" t="n">
        <v>600548.202</v>
      </c>
      <c r="AFG8" s="48" t="n">
        <v>600803.2290000001</v>
      </c>
      <c r="AFH8" s="48" t="n">
        <v>601015.844</v>
      </c>
      <c r="AFI8" s="48" t="n">
        <v>601308.073</v>
      </c>
      <c r="AFJ8" s="48" t="n">
        <v>601577.606</v>
      </c>
      <c r="AFK8" s="48" t="n">
        <v>601764.115</v>
      </c>
      <c r="AFL8" s="48" t="n">
        <v>602003.638</v>
      </c>
      <c r="AFM8" s="48" t="n">
        <v>602254.552</v>
      </c>
      <c r="AFN8" s="48" t="n">
        <v>602704.797</v>
      </c>
      <c r="AFO8" s="48" t="n">
        <v>602949.054</v>
      </c>
      <c r="AFP8" s="48" t="n">
        <v>603274.677</v>
      </c>
      <c r="AFQ8" s="48" t="n">
        <v>603528.589</v>
      </c>
      <c r="AFR8" s="48" t="n">
        <v>603738.286</v>
      </c>
      <c r="AFS8" s="48" t="n">
        <v>603964.8639999999</v>
      </c>
      <c r="AFT8" s="48" t="n">
        <v>604331.53</v>
      </c>
      <c r="AFU8" s="126" t="n"/>
      <c r="AFV8" s="48" t="n">
        <v>604617.705</v>
      </c>
      <c r="AFW8" s="48" t="n">
        <v>604984.257</v>
      </c>
      <c r="AFX8" s="48" t="n">
        <v>605196.0600000001</v>
      </c>
      <c r="AFY8" s="48" t="n">
        <v>605563.122</v>
      </c>
      <c r="AFZ8" s="48" t="n">
        <v>605821.298</v>
      </c>
      <c r="AGA8" s="48" t="n">
        <v>606075.14</v>
      </c>
      <c r="AGB8" s="48" t="n">
        <v>606346.2439999999</v>
      </c>
      <c r="AGC8" s="48" t="n">
        <v>606567.247</v>
      </c>
      <c r="AGD8" s="48" t="n">
        <v>606892.6310000001</v>
      </c>
      <c r="AGE8" s="48" t="n">
        <v>607163.446</v>
      </c>
      <c r="AGF8" s="48" t="n">
        <v>607421.02</v>
      </c>
      <c r="AGG8" s="48" t="n">
        <v>607660.013</v>
      </c>
      <c r="AGH8" s="48" t="n">
        <v>607807.414</v>
      </c>
      <c r="AGI8" s="48" t="n">
        <v>608087.167</v>
      </c>
      <c r="AGJ8" s="48" t="n">
        <v>608341.302</v>
      </c>
      <c r="AGK8" s="48" t="n">
        <v>608541.6189999999</v>
      </c>
      <c r="AGL8" s="48" t="n">
        <v>608713.54</v>
      </c>
      <c r="AGM8" s="48" t="n">
        <v>608931.495</v>
      </c>
      <c r="AGN8" s="48" t="n">
        <v>609297.763</v>
      </c>
      <c r="AGO8" s="48" t="n">
        <v>609577.312</v>
      </c>
      <c r="AGP8" s="48" t="n">
        <v>609886.934</v>
      </c>
      <c r="AGQ8" s="48" t="n">
        <v>610228.1409999999</v>
      </c>
      <c r="AGR8" s="48" t="n">
        <v>610567.507</v>
      </c>
      <c r="AGS8" s="48" t="n">
        <v>610788.6679999999</v>
      </c>
      <c r="AGT8" s="48" t="n">
        <v>611177.559</v>
      </c>
      <c r="AGU8" s="48" t="n">
        <v>611486.448</v>
      </c>
      <c r="AGV8" s="48" t="n">
        <v>611777.441</v>
      </c>
      <c r="AGW8" s="48" t="n">
        <v>612080.2610000001</v>
      </c>
      <c r="AGX8" s="48" t="n">
        <v>612473.692</v>
      </c>
      <c r="AGY8" s="48" t="n">
        <v>612813.5919999999</v>
      </c>
      <c r="AGZ8" s="126" t="n"/>
      <c r="AHA8" s="48" t="n">
        <v>613110.407</v>
      </c>
      <c r="AHB8" s="48" t="n">
        <v>613450.673</v>
      </c>
      <c r="AHC8" s="48" t="n">
        <v>613744.2</v>
      </c>
      <c r="AHD8" s="48" t="n">
        <v>614036.3199999999</v>
      </c>
      <c r="AHE8" s="48" t="n">
        <v>614419.143</v>
      </c>
      <c r="AHF8" s="48" t="n">
        <v>614768.939</v>
      </c>
      <c r="AHG8" s="48" t="n">
        <v>615072.9790000001</v>
      </c>
      <c r="AHH8" s="48" t="n">
        <v>615349.736</v>
      </c>
      <c r="AHI8" s="48" t="n">
        <v>615619.419</v>
      </c>
      <c r="AHJ8" s="48" t="n">
        <v>615940.9300000001</v>
      </c>
      <c r="AHK8" s="48" t="n">
        <v>616305.4669999999</v>
      </c>
      <c r="AHL8" s="48" t="n">
        <v>616717.3</v>
      </c>
      <c r="AHM8" s="48" t="n">
        <v>616995.251</v>
      </c>
      <c r="AHN8" s="48" t="n">
        <v>617254.3100000001</v>
      </c>
      <c r="AHO8" s="48" t="n">
        <v>617474.098</v>
      </c>
      <c r="AHP8" s="48" t="n">
        <v>617765.215</v>
      </c>
      <c r="AHQ8" s="48" t="n">
        <v>618013.496</v>
      </c>
      <c r="AHR8" s="48" t="n">
        <v>618274.194</v>
      </c>
      <c r="AHS8" s="48" t="n">
        <v>618620.231</v>
      </c>
      <c r="AHT8" s="48" t="n">
        <v>619067.272</v>
      </c>
      <c r="AHU8" s="48" t="n">
        <v>619328.3540000001</v>
      </c>
      <c r="AHV8" s="48" t="n">
        <v>619699.076</v>
      </c>
      <c r="AHW8" s="48" t="n">
        <v>620113.633</v>
      </c>
      <c r="AHX8" s="48" t="n">
        <v>620538.218</v>
      </c>
      <c r="AHY8" s="48" t="n">
        <v>620802.769</v>
      </c>
      <c r="AHZ8" s="48" t="n">
        <v>621000.478</v>
      </c>
      <c r="AIA8" s="48" t="n">
        <v>621206.112</v>
      </c>
      <c r="AIB8" s="48" t="n">
        <v>621487.903</v>
      </c>
      <c r="AIC8" s="48" t="n">
        <v>621700.624</v>
      </c>
      <c r="AID8" s="48" t="n">
        <v>621999.8199999999</v>
      </c>
      <c r="AIE8" s="48" t="n">
        <v>622288.699</v>
      </c>
      <c r="AIF8" s="126" t="n"/>
      <c r="AIG8" s="48" t="n">
        <v>622561.41</v>
      </c>
      <c r="AIH8" s="48" t="n">
        <v>622762.008</v>
      </c>
      <c r="AII8" s="48" t="n">
        <v>622987.2560000001</v>
      </c>
      <c r="AIJ8" s="48" t="n">
        <v>623331.311</v>
      </c>
      <c r="AIK8" s="48" t="n">
        <v>623622.749</v>
      </c>
      <c r="AIL8" s="48" t="n">
        <v>623982.1580000001</v>
      </c>
      <c r="AIM8" s="48" t="n">
        <v>624351.302</v>
      </c>
      <c r="AIN8" s="48" t="n">
        <v>624717.665</v>
      </c>
      <c r="AIO8" s="48" t="n">
        <v>624970.4889999999</v>
      </c>
      <c r="AIP8" s="48" t="n">
        <v>625448.885</v>
      </c>
      <c r="AIQ8" s="48" t="n">
        <v>625811.725</v>
      </c>
      <c r="AIR8" s="48" t="n">
        <v>626119.389</v>
      </c>
      <c r="AIS8" s="48" t="n">
        <v>626429.298</v>
      </c>
      <c r="AIT8" s="48" t="n">
        <v>626785.849</v>
      </c>
      <c r="AIU8" s="48" t="n">
        <v>627022.277</v>
      </c>
      <c r="AIV8" s="48" t="n">
        <v>627513.089</v>
      </c>
      <c r="AIW8" s="48" t="n">
        <v>627667.902</v>
      </c>
      <c r="AIX8" s="48" t="n">
        <v>627837.012</v>
      </c>
      <c r="AIY8" s="48" t="n">
        <v>628146.645</v>
      </c>
      <c r="AIZ8" s="48" t="n">
        <v>628400.267</v>
      </c>
      <c r="AJA8" s="48" t="n">
        <v>628805.203</v>
      </c>
      <c r="AJB8" s="48" t="n">
        <v>629087.4300000001</v>
      </c>
      <c r="AJC8" s="48" t="n">
        <v>629316.392</v>
      </c>
      <c r="AJD8" s="48" t="n">
        <v>629642.463</v>
      </c>
      <c r="AJE8" s="48" t="n">
        <v>629906.482</v>
      </c>
      <c r="AJF8" s="48" t="n">
        <v>630200.093</v>
      </c>
      <c r="AJG8" s="48" t="n">
        <v>630615.398</v>
      </c>
      <c r="AJH8" s="48" t="n">
        <v>630897.789</v>
      </c>
      <c r="AJI8" s="48" t="n">
        <v>631185.667</v>
      </c>
      <c r="AJJ8" s="48" t="n">
        <v>631488.752</v>
      </c>
      <c r="AJK8" s="48" t="n">
        <v>631758.073</v>
      </c>
      <c r="AJL8" s="126" t="n"/>
      <c r="AJM8" s="48" t="n">
        <v>631961.974</v>
      </c>
      <c r="AJN8" s="48" t="n">
        <v>632338.155</v>
      </c>
      <c r="AJO8" s="48" t="n">
        <v>632712.406</v>
      </c>
      <c r="AJP8" s="48" t="n">
        <v>633035.2610000001</v>
      </c>
      <c r="AJQ8" s="48" t="n">
        <v>633370.55</v>
      </c>
      <c r="AJR8" s="48" t="n">
        <v>633623.524</v>
      </c>
      <c r="AJS8" s="48" t="n">
        <v>633873.458</v>
      </c>
      <c r="AJT8" s="48" t="n">
        <v>634136.529</v>
      </c>
      <c r="AJU8" s="48" t="n">
        <v>634359.876</v>
      </c>
      <c r="AJV8" s="48" t="n">
        <v>634610.95</v>
      </c>
      <c r="AJW8" s="48" t="n">
        <v>634832.135</v>
      </c>
      <c r="AJX8" s="48" t="n">
        <v>635107.628</v>
      </c>
      <c r="AJY8" s="48" t="n">
        <v>635428.611</v>
      </c>
      <c r="AJZ8" s="48" t="n">
        <v>635730.427</v>
      </c>
      <c r="AKA8" s="48" t="n">
        <v>636055.302</v>
      </c>
      <c r="AKB8" s="48" t="n">
        <v>636224.603</v>
      </c>
      <c r="AKC8" s="48" t="n">
        <v>636535.753</v>
      </c>
      <c r="AKD8" s="48" t="n">
        <v>636799.032</v>
      </c>
      <c r="AKE8" s="48" t="n">
        <v>637007.858</v>
      </c>
      <c r="AKF8" s="48" t="n">
        <v>637321.711</v>
      </c>
      <c r="AKG8" s="48" t="n">
        <v>637629.818</v>
      </c>
      <c r="AKH8" s="48" t="n">
        <v>637745.603</v>
      </c>
      <c r="AKI8" s="48" t="n">
        <v>637983.3540000001</v>
      </c>
      <c r="AKJ8" s="48" t="n">
        <v>638287.47</v>
      </c>
      <c r="AKK8" s="48" t="n">
        <v>638560.145</v>
      </c>
      <c r="AKL8" s="48" t="n">
        <v>638787.4840000001</v>
      </c>
      <c r="AKM8" s="48" t="n">
        <v>639092.005</v>
      </c>
      <c r="AKN8" s="48" t="n">
        <v>639267.23</v>
      </c>
      <c r="AKO8" s="126" t="n"/>
      <c r="AKP8" s="48" t="n">
        <v>639489.377</v>
      </c>
      <c r="AKQ8" s="48" t="n">
        <v>639782.022</v>
      </c>
      <c r="AKR8" s="48" t="n">
        <v>640052.407</v>
      </c>
      <c r="AKS8" s="48" t="n">
        <v>640254.429</v>
      </c>
      <c r="AKT8" s="48" t="n">
        <v>640506.821</v>
      </c>
      <c r="AKU8" s="48" t="n">
        <v>640734.361</v>
      </c>
      <c r="AKV8" s="48" t="n">
        <v>640956.575</v>
      </c>
      <c r="AKW8" s="48" t="n">
        <v>641128.407</v>
      </c>
      <c r="AKX8" s="48" t="n">
        <v>641470.547</v>
      </c>
      <c r="AKY8" s="48" t="n">
        <v>641620.849</v>
      </c>
      <c r="AKZ8" s="48" t="n">
        <v>641769.747</v>
      </c>
      <c r="ALA8" s="48" t="n">
        <v>642042.034</v>
      </c>
      <c r="ALB8" s="48" t="n">
        <v>642272.0209999999</v>
      </c>
      <c r="ALC8" s="48" t="n">
        <v>642575.4570000001</v>
      </c>
      <c r="ALD8" s="48" t="n">
        <v>642831.537</v>
      </c>
      <c r="ALE8" s="48" t="n">
        <v>643279.9</v>
      </c>
      <c r="ALF8" s="48" t="n">
        <v>643674.706</v>
      </c>
      <c r="ALG8" s="48" t="n">
        <v>643902.295</v>
      </c>
      <c r="ALH8" s="48" t="n">
        <v>644340.708</v>
      </c>
      <c r="ALI8" s="48" t="n">
        <v>644688.801</v>
      </c>
      <c r="ALJ8" s="48" t="n">
        <v>644946.667</v>
      </c>
      <c r="ALK8" s="48" t="n">
        <v>645153.573</v>
      </c>
      <c r="ALL8" s="48" t="n">
        <v>645443.308</v>
      </c>
      <c r="ALM8" s="48" t="n">
        <v>645765.314</v>
      </c>
      <c r="ALN8" s="48" t="n">
        <v>646101.698</v>
      </c>
      <c r="ALO8" s="48" t="n">
        <v>646392.915</v>
      </c>
      <c r="ALP8" s="48" t="n">
        <v>646691.067</v>
      </c>
      <c r="ALQ8" s="48" t="n">
        <v>647119.706</v>
      </c>
      <c r="ALR8" s="48" t="n">
        <v>647525.563</v>
      </c>
      <c r="ALS8" s="48" t="n">
        <v>647975.308</v>
      </c>
      <c r="ALT8" s="48" t="n">
        <v>648213.372</v>
      </c>
      <c r="ALU8" s="126" t="n"/>
      <c r="ALV8" s="48" t="n">
        <v>648701.862</v>
      </c>
      <c r="ALW8" s="48" t="n">
        <v>649048.042</v>
      </c>
      <c r="ALX8" s="48" t="n">
        <v>649362.427</v>
      </c>
      <c r="ALY8" s="48" t="n">
        <v>649727.594</v>
      </c>
      <c r="ALZ8" s="48" t="n">
        <v>649976.465</v>
      </c>
      <c r="AMA8" s="48" t="n">
        <v>650159.425</v>
      </c>
      <c r="AMB8" s="48" t="n">
        <v>650588.956</v>
      </c>
      <c r="AMC8" s="48" t="n">
        <v>650901.644</v>
      </c>
      <c r="AMD8" s="48" t="n">
        <v>651266.5159999999</v>
      </c>
      <c r="AME8" s="48" t="n">
        <v>651764.755</v>
      </c>
      <c r="AMF8" s="48" t="n">
        <v>652372.496</v>
      </c>
      <c r="AMG8" s="48" t="n">
        <v>652726.358</v>
      </c>
      <c r="AMH8" s="48" t="n">
        <v>653087.102</v>
      </c>
      <c r="AMI8" s="48" t="n">
        <v>653337.126</v>
      </c>
      <c r="AMJ8" s="48" t="n">
        <v>653635.447</v>
      </c>
      <c r="AMK8" s="48" t="n">
        <v>653926.678</v>
      </c>
      <c r="AML8" s="48" t="n">
        <v>654208.8959999999</v>
      </c>
      <c r="AMM8" s="48" t="n">
        <v>654597.629</v>
      </c>
      <c r="AMN8" s="48" t="n">
        <v>654992.823</v>
      </c>
      <c r="AMO8" s="48" t="n">
        <v>655635.428</v>
      </c>
      <c r="AMP8" s="48" t="n">
        <v>656239.336</v>
      </c>
      <c r="AMQ8" s="48" t="n">
        <v>656794.875</v>
      </c>
      <c r="AMR8" s="48" t="n">
        <v>657716.975</v>
      </c>
      <c r="AMS8" s="48" t="n">
        <v>658790.1629999999</v>
      </c>
      <c r="AMT8" s="48" t="n">
        <v>659910.548</v>
      </c>
      <c r="AMU8" s="48" t="n">
        <v>661395.5600000001</v>
      </c>
      <c r="AMV8" s="48" t="n">
        <v>661653.394</v>
      </c>
      <c r="AMW8" s="48" t="n">
        <v>662042.343</v>
      </c>
      <c r="AMX8" s="48" t="n">
        <v>663382.2830000001</v>
      </c>
      <c r="AMY8" s="48" t="n">
        <v>663860.934</v>
      </c>
      <c r="AMZ8" s="126" t="n"/>
      <c r="ANA8" s="48" t="n">
        <v>664193.5159999999</v>
      </c>
      <c r="ANB8" s="48" t="n">
        <v>664516.8639999999</v>
      </c>
      <c r="ANC8" s="48" t="n">
        <v>664810.732</v>
      </c>
      <c r="AND8" s="48" t="n">
        <v>665281.014</v>
      </c>
      <c r="ANE8" s="48" t="n">
        <v>665654.156</v>
      </c>
      <c r="ANF8" s="48" t="n">
        <v>666021.349</v>
      </c>
      <c r="ANG8" s="48" t="n">
        <v>666297.079</v>
      </c>
      <c r="ANH8" s="48" t="n">
        <v>666685.694</v>
      </c>
      <c r="ANI8" s="48" t="n">
        <v>667050.0919999999</v>
      </c>
      <c r="ANJ8" s="48" t="n">
        <v>667346.673</v>
      </c>
      <c r="ANK8" s="48" t="n">
        <v>667609.1189999999</v>
      </c>
      <c r="ANL8" s="48" t="n">
        <v>667992.1360000001</v>
      </c>
      <c r="ANM8" s="48" t="n">
        <v>668321.63</v>
      </c>
      <c r="ANN8" s="48" t="n">
        <v>668791.04</v>
      </c>
      <c r="ANO8" s="48" t="n">
        <v>669193.061</v>
      </c>
      <c r="ANP8" s="48" t="n">
        <v>669427.834</v>
      </c>
      <c r="ANQ8" s="48" t="n">
        <v>669641.6459999999</v>
      </c>
      <c r="ANR8" s="48" t="n">
        <v>669933.486</v>
      </c>
      <c r="ANS8" s="48" t="n">
        <v>670201.9300000001</v>
      </c>
      <c r="ANT8" s="48" t="n">
        <v>670421.042</v>
      </c>
      <c r="ANU8" s="48" t="n">
        <v>670590.0820000001</v>
      </c>
      <c r="ANV8" s="48" t="n">
        <v>670883.321</v>
      </c>
      <c r="ANW8" s="48" t="n">
        <v>671137.023</v>
      </c>
      <c r="ANX8" s="48" t="n">
        <v>671397.263</v>
      </c>
      <c r="ANY8" s="48" t="n">
        <v>671660.39</v>
      </c>
      <c r="ANZ8" s="48" t="n">
        <v>671965.157</v>
      </c>
      <c r="AOA8" s="48" t="n">
        <v>672135.517</v>
      </c>
      <c r="AOB8" s="48" t="n">
        <v>672355.953</v>
      </c>
      <c r="AOC8" s="48" t="n">
        <v>672625.9080000001</v>
      </c>
      <c r="AOD8" s="48" t="n">
        <v>672967.199</v>
      </c>
      <c r="AOE8" t="n">
        <v>672967.199</v>
      </c>
      <c r="AOF8" t="n">
        <v>346458.312</v>
      </c>
    </row>
    <row r="9">
      <c r="A9" s="157" t="n"/>
      <c r="C9" s="6" t="inlineStr">
        <is>
          <t>PMS 2 SALES</t>
        </is>
      </c>
      <c r="D9" s="16">
        <f>D8-D7</f>
        <v/>
      </c>
      <c r="E9" s="16">
        <f>E8-E7</f>
        <v/>
      </c>
      <c r="F9" s="16">
        <f>F8-F7</f>
        <v/>
      </c>
      <c r="G9" s="16">
        <f>G8-G7</f>
        <v/>
      </c>
      <c r="H9" s="16">
        <f>H8-H7</f>
        <v/>
      </c>
      <c r="I9" s="16">
        <f>I8-I7</f>
        <v/>
      </c>
      <c r="J9" s="16">
        <f>J8-J7</f>
        <v/>
      </c>
      <c r="K9" s="16">
        <f>K8-K7</f>
        <v/>
      </c>
      <c r="L9" s="16">
        <f>L8-L7</f>
        <v/>
      </c>
      <c r="M9" s="16">
        <f>M8-M7</f>
        <v/>
      </c>
      <c r="N9" s="16">
        <f>N8-N7</f>
        <v/>
      </c>
      <c r="O9" s="16">
        <f>O8-O7</f>
        <v/>
      </c>
      <c r="P9" s="16">
        <f>P8-P7</f>
        <v/>
      </c>
      <c r="Q9" s="16">
        <f>Q8-Q7</f>
        <v/>
      </c>
      <c r="R9" s="16">
        <f>R8-R7</f>
        <v/>
      </c>
      <c r="S9" s="16">
        <f>S8-S7</f>
        <v/>
      </c>
      <c r="T9" s="16">
        <f>T8-T7</f>
        <v/>
      </c>
      <c r="U9" s="16">
        <f>U8-U7</f>
        <v/>
      </c>
      <c r="V9" s="16">
        <f>V8-V7</f>
        <v/>
      </c>
      <c r="W9" s="16">
        <f>W8-W7</f>
        <v/>
      </c>
      <c r="X9" s="16">
        <f>X8-X7</f>
        <v/>
      </c>
      <c r="Y9" s="16">
        <f>Y8-Y7</f>
        <v/>
      </c>
      <c r="Z9" s="16">
        <f>Z8-Z7</f>
        <v/>
      </c>
      <c r="AA9" s="16">
        <f>AA8-AA7</f>
        <v/>
      </c>
      <c r="AB9" s="16">
        <f>AB8-AB7</f>
        <v/>
      </c>
      <c r="AC9" s="16">
        <f>AC8-AC7</f>
        <v/>
      </c>
      <c r="AD9" s="16">
        <f>AD8-AD7</f>
        <v/>
      </c>
      <c r="AE9" s="16">
        <f>AE8-AE7</f>
        <v/>
      </c>
      <c r="AF9" s="16">
        <f>AF8-AF7</f>
        <v/>
      </c>
      <c r="AG9" s="16">
        <f>AG8-AG7</f>
        <v/>
      </c>
      <c r="AH9" s="16">
        <f>AH8-AH7</f>
        <v/>
      </c>
      <c r="AI9" s="17">
        <f>SUM(D9:AH9)</f>
        <v/>
      </c>
      <c r="AJ9" s="16">
        <f>AJ8-AJ7</f>
        <v/>
      </c>
      <c r="AK9" s="16">
        <f>AK8-AK7</f>
        <v/>
      </c>
      <c r="AL9" s="16">
        <f>AL8-AL7</f>
        <v/>
      </c>
      <c r="AM9" s="16">
        <f>AM8-AM7</f>
        <v/>
      </c>
      <c r="AN9" s="16">
        <f>AN8-AN7</f>
        <v/>
      </c>
      <c r="AO9" s="16">
        <f>AO8-AO7</f>
        <v/>
      </c>
      <c r="AP9" s="16">
        <f>AP8-AP7</f>
        <v/>
      </c>
      <c r="AQ9" s="16">
        <f>AQ8-AQ7</f>
        <v/>
      </c>
      <c r="AR9" s="16">
        <f>AR8-AR7</f>
        <v/>
      </c>
      <c r="AS9" s="16">
        <f>AS8-AS7</f>
        <v/>
      </c>
      <c r="AT9" s="16">
        <f>AT8-AT7</f>
        <v/>
      </c>
      <c r="AU9" s="16">
        <f>AU8-AU7</f>
        <v/>
      </c>
      <c r="AV9" s="16">
        <f>AV8-AV7</f>
        <v/>
      </c>
      <c r="AW9" s="16">
        <f>AW8-AW7</f>
        <v/>
      </c>
      <c r="AX9" s="16">
        <f>AX8-AX7</f>
        <v/>
      </c>
      <c r="AY9" s="16">
        <f>AY8-AY7</f>
        <v/>
      </c>
      <c r="AZ9" s="16">
        <f>AZ8-AZ7</f>
        <v/>
      </c>
      <c r="BA9" s="16">
        <f>BA8-BA7</f>
        <v/>
      </c>
      <c r="BB9" s="16">
        <f>BB8-BB7</f>
        <v/>
      </c>
      <c r="BC9" s="16">
        <f>BC8-BC7</f>
        <v/>
      </c>
      <c r="BD9" s="16">
        <f>BD8-BD7</f>
        <v/>
      </c>
      <c r="BE9" s="16">
        <f>BE8-BE7</f>
        <v/>
      </c>
      <c r="BF9" s="16">
        <f>BF8-BF7</f>
        <v/>
      </c>
      <c r="BG9" s="16">
        <f>BG8-BG7</f>
        <v/>
      </c>
      <c r="BH9" s="16">
        <f>BH8-BH7</f>
        <v/>
      </c>
      <c r="BI9" s="16">
        <f>BI8-BI7</f>
        <v/>
      </c>
      <c r="BJ9" s="16">
        <f>BJ8-BJ7</f>
        <v/>
      </c>
      <c r="BK9" s="16">
        <f>BK8-BK7</f>
        <v/>
      </c>
      <c r="BL9" s="16">
        <f>BL8-BL7</f>
        <v/>
      </c>
      <c r="BM9" s="16">
        <f>BM8-BM7</f>
        <v/>
      </c>
      <c r="BN9" s="89">
        <f>SUM(AJ9:BM9)</f>
        <v/>
      </c>
      <c r="BO9" s="16">
        <f>BO8-BO7</f>
        <v/>
      </c>
      <c r="BP9" s="16">
        <f>BP8-BP7</f>
        <v/>
      </c>
      <c r="BQ9" s="16">
        <f>BQ8-BQ7</f>
        <v/>
      </c>
      <c r="BR9" s="16">
        <f>BR8-BR7</f>
        <v/>
      </c>
      <c r="BS9" s="16">
        <f>BS8-BS7</f>
        <v/>
      </c>
      <c r="BT9" s="16">
        <f>BT8-BT7</f>
        <v/>
      </c>
      <c r="BU9" s="16">
        <f>BU8-BU7</f>
        <v/>
      </c>
      <c r="BV9" s="16">
        <f>BV8-BV7</f>
        <v/>
      </c>
      <c r="BW9" s="16">
        <f>BW8-BW7</f>
        <v/>
      </c>
      <c r="BX9" s="16">
        <f>BX8-BX7</f>
        <v/>
      </c>
      <c r="BY9" s="16">
        <f>BY8-BY7</f>
        <v/>
      </c>
      <c r="BZ9" s="16">
        <f>BZ8-BZ7</f>
        <v/>
      </c>
      <c r="CA9" s="16">
        <f>CA8-CA7</f>
        <v/>
      </c>
      <c r="CB9" s="16">
        <f>CB8-CB7</f>
        <v/>
      </c>
      <c r="CC9" s="16">
        <f>CC8-CC7</f>
        <v/>
      </c>
      <c r="CD9" s="16">
        <f>CD8-CD7</f>
        <v/>
      </c>
      <c r="CE9" s="16">
        <f>CE8-CE7</f>
        <v/>
      </c>
      <c r="CF9" s="16">
        <f>CF8-CF7</f>
        <v/>
      </c>
      <c r="CG9" s="16">
        <f>CG8-CG7</f>
        <v/>
      </c>
      <c r="CH9" s="16">
        <f>CH8-CH7</f>
        <v/>
      </c>
      <c r="CI9" s="16">
        <f>CI8-CI7</f>
        <v/>
      </c>
      <c r="CJ9" s="16">
        <f>CJ8-CJ7</f>
        <v/>
      </c>
      <c r="CK9" s="16">
        <f>CK8-CK7</f>
        <v/>
      </c>
      <c r="CL9" s="16">
        <f>CL8-CL7</f>
        <v/>
      </c>
      <c r="CM9" s="16">
        <f>CM8-CM7</f>
        <v/>
      </c>
      <c r="CN9" s="16">
        <f>CN8-CN7</f>
        <v/>
      </c>
      <c r="CO9" s="16">
        <f>CO8-CO7</f>
        <v/>
      </c>
      <c r="CP9" s="16">
        <f>CP8-CP7</f>
        <v/>
      </c>
      <c r="CQ9" s="16">
        <f>CQ8-CQ7</f>
        <v/>
      </c>
      <c r="CR9" s="16">
        <f>CR8-CR7</f>
        <v/>
      </c>
      <c r="CS9" s="16">
        <f>CS8-CS7</f>
        <v/>
      </c>
      <c r="CT9" s="89">
        <f>SUM(BO9:CS9)</f>
        <v/>
      </c>
      <c r="CU9" s="16">
        <f>CU8-CU7</f>
        <v/>
      </c>
      <c r="CV9" s="16">
        <f>CV8-CV7</f>
        <v/>
      </c>
      <c r="CW9" s="16">
        <f>CW8-CW7</f>
        <v/>
      </c>
      <c r="CX9" s="16">
        <f>CX8-CX7</f>
        <v/>
      </c>
      <c r="CY9" s="16">
        <f>CY8-CY7</f>
        <v/>
      </c>
      <c r="CZ9" s="16">
        <f>CZ8-CZ7</f>
        <v/>
      </c>
      <c r="DA9" s="16">
        <f>DA8-DA7</f>
        <v/>
      </c>
      <c r="DB9" s="16">
        <f>DB8-DB7</f>
        <v/>
      </c>
      <c r="DC9" s="16">
        <f>DC8-DC7</f>
        <v/>
      </c>
      <c r="DD9" s="16">
        <f>DD8-DD7</f>
        <v/>
      </c>
      <c r="DE9" s="16">
        <f>DE8-DE7</f>
        <v/>
      </c>
      <c r="DF9" s="16">
        <f>DF8-DF7</f>
        <v/>
      </c>
      <c r="DG9" s="16">
        <f>DG8-DG7</f>
        <v/>
      </c>
      <c r="DH9" s="16">
        <f>DH8-DH7</f>
        <v/>
      </c>
      <c r="DI9" s="16">
        <f>DI8-DI7</f>
        <v/>
      </c>
      <c r="DJ9" s="16">
        <f>DJ8-DJ7</f>
        <v/>
      </c>
      <c r="DK9" s="16">
        <f>DK8-DK7</f>
        <v/>
      </c>
      <c r="DL9" s="16">
        <f>DL8-DL7</f>
        <v/>
      </c>
      <c r="DM9" s="16">
        <f>DM8-DM7</f>
        <v/>
      </c>
      <c r="DN9" s="16">
        <f>DN8-DN7</f>
        <v/>
      </c>
      <c r="DO9" s="16">
        <f>DO8-DO7</f>
        <v/>
      </c>
      <c r="DP9" s="16">
        <f>DP8-DP7</f>
        <v/>
      </c>
      <c r="DQ9" s="16">
        <f>DQ8-DQ7</f>
        <v/>
      </c>
      <c r="DR9" s="16">
        <f>DR8-DR7</f>
        <v/>
      </c>
      <c r="DS9" s="16">
        <f>DS8-DS7</f>
        <v/>
      </c>
      <c r="DT9" s="16">
        <f>DT8-DT7</f>
        <v/>
      </c>
      <c r="DU9" s="16">
        <f>DU8-DU7</f>
        <v/>
      </c>
      <c r="DV9" s="16">
        <f>DV8-DV7</f>
        <v/>
      </c>
      <c r="DW9" s="16">
        <f>DW8-DW7</f>
        <v/>
      </c>
      <c r="DX9" s="16">
        <f>DX8-DX7</f>
        <v/>
      </c>
      <c r="DY9" s="116">
        <f>SUM(CU9:DX9)</f>
        <v/>
      </c>
      <c r="DZ9" s="16">
        <f>DZ8-DZ7</f>
        <v/>
      </c>
      <c r="EA9" s="16">
        <f>EA8-EA7</f>
        <v/>
      </c>
      <c r="EB9" s="16">
        <f>EB8-EB7</f>
        <v/>
      </c>
      <c r="EC9" s="16">
        <f>EC8-EC7</f>
        <v/>
      </c>
      <c r="ED9" s="16">
        <f>ED8-ED7</f>
        <v/>
      </c>
      <c r="EE9" s="16">
        <f>EE8-EE7</f>
        <v/>
      </c>
      <c r="EF9" s="16">
        <f>EF8-EF7</f>
        <v/>
      </c>
      <c r="EG9" s="16">
        <f>EG8-EG7</f>
        <v/>
      </c>
      <c r="EH9" s="16">
        <f>EH8-EH7</f>
        <v/>
      </c>
      <c r="EI9" s="16">
        <f>EI8-EI7</f>
        <v/>
      </c>
      <c r="EJ9" s="16">
        <f>EJ8-EJ7</f>
        <v/>
      </c>
      <c r="EK9" s="16">
        <f>EK8-EK7</f>
        <v/>
      </c>
      <c r="EL9" s="16">
        <f>EL8-EL7</f>
        <v/>
      </c>
      <c r="EM9" s="16">
        <f>EM8-EM7</f>
        <v/>
      </c>
      <c r="EN9" s="16">
        <f>EN8-EN7</f>
        <v/>
      </c>
      <c r="EO9" s="16">
        <f>EO8-EO7</f>
        <v/>
      </c>
      <c r="EP9" s="16">
        <f>EP8-EP7</f>
        <v/>
      </c>
      <c r="EQ9" s="16">
        <f>EQ8-EQ7</f>
        <v/>
      </c>
      <c r="ER9" s="16">
        <f>ER8-ER7</f>
        <v/>
      </c>
      <c r="ES9" s="16">
        <f>ES8-ES7</f>
        <v/>
      </c>
      <c r="ET9" s="16">
        <f>ET8-ET7</f>
        <v/>
      </c>
      <c r="EU9" s="16">
        <f>EU8-EU7</f>
        <v/>
      </c>
      <c r="EV9" s="16">
        <f>EV8-EV7</f>
        <v/>
      </c>
      <c r="EW9" s="16">
        <f>EW8-EW7</f>
        <v/>
      </c>
      <c r="EX9" s="16">
        <f>EX8-EX7</f>
        <v/>
      </c>
      <c r="EY9" s="16">
        <f>EY8-EY7</f>
        <v/>
      </c>
      <c r="EZ9" s="16">
        <f>EZ8-EZ7</f>
        <v/>
      </c>
      <c r="FA9" s="16">
        <f>FA8-FA7</f>
        <v/>
      </c>
      <c r="FB9" s="16">
        <f>FB8-FB7</f>
        <v/>
      </c>
      <c r="FC9" s="16">
        <f>FC8-FC7</f>
        <v/>
      </c>
      <c r="FD9" s="16">
        <f>FD8-FD7</f>
        <v/>
      </c>
      <c r="FE9" s="127">
        <f>SUM(DZ9:FD9)</f>
        <v/>
      </c>
      <c r="FF9" s="16">
        <f>FF8-FF7</f>
        <v/>
      </c>
      <c r="FG9" s="16">
        <f>FG8-FG7</f>
        <v/>
      </c>
      <c r="FH9" s="16">
        <f>FH8-FH7</f>
        <v/>
      </c>
      <c r="FI9" s="16">
        <f>FI8-FI7</f>
        <v/>
      </c>
      <c r="FJ9" s="16">
        <f>FJ8-FJ7</f>
        <v/>
      </c>
      <c r="FK9" s="16">
        <f>FK8-FK7</f>
        <v/>
      </c>
      <c r="FL9" s="16">
        <f>FL8-FL7</f>
        <v/>
      </c>
      <c r="FM9" s="16">
        <f>FM8-FM7</f>
        <v/>
      </c>
      <c r="FN9" s="16">
        <f>FN8-FN7</f>
        <v/>
      </c>
      <c r="FO9" s="16">
        <f>FO8-FO7</f>
        <v/>
      </c>
      <c r="FP9" s="16">
        <f>FP8-FP7</f>
        <v/>
      </c>
      <c r="FQ9" s="16">
        <f>FQ8-FQ7</f>
        <v/>
      </c>
      <c r="FR9" s="16">
        <f>FR8-FR7</f>
        <v/>
      </c>
      <c r="FS9" s="16">
        <f>FS8-FS7</f>
        <v/>
      </c>
      <c r="FT9" s="16">
        <f>FT8-FT7</f>
        <v/>
      </c>
      <c r="FU9" s="16">
        <f>FU8-FU7</f>
        <v/>
      </c>
      <c r="FV9" s="16">
        <f>FV8-FV7</f>
        <v/>
      </c>
      <c r="FW9" s="16">
        <f>FW8-FW7</f>
        <v/>
      </c>
      <c r="FX9" s="16">
        <f>FX8-FX7</f>
        <v/>
      </c>
      <c r="FY9" s="16">
        <f>FY8-FY7</f>
        <v/>
      </c>
      <c r="FZ9" s="16">
        <f>FZ8-FZ7</f>
        <v/>
      </c>
      <c r="GA9" s="16">
        <f>GA8-GA7</f>
        <v/>
      </c>
      <c r="GB9" s="16">
        <f>GB8-GB7</f>
        <v/>
      </c>
      <c r="GC9" s="16">
        <f>GC8-GC7</f>
        <v/>
      </c>
      <c r="GD9" s="16">
        <f>GD8-GD7</f>
        <v/>
      </c>
      <c r="GE9" s="16">
        <f>GE8-GE7</f>
        <v/>
      </c>
      <c r="GF9" s="16">
        <f>GF8-GF7</f>
        <v/>
      </c>
      <c r="GG9" s="16">
        <f>GG8-GG7</f>
        <v/>
      </c>
      <c r="GH9" s="16">
        <f>GH8-GH7</f>
        <v/>
      </c>
      <c r="GI9" s="16">
        <f>GI8-GI7</f>
        <v/>
      </c>
      <c r="GJ9" s="16">
        <f>GJ8-GJ7</f>
        <v/>
      </c>
      <c r="GK9" s="126" t="n"/>
      <c r="GL9" s="16">
        <f>GL8-GL7</f>
        <v/>
      </c>
      <c r="GM9" s="16">
        <f>GM8-GM7</f>
        <v/>
      </c>
      <c r="GN9" s="16">
        <f>GN8-GN7</f>
        <v/>
      </c>
      <c r="GO9" s="16">
        <f>GO8-GO7</f>
        <v/>
      </c>
      <c r="GP9" s="16">
        <f>GP8-GP7</f>
        <v/>
      </c>
      <c r="GQ9" s="16">
        <f>GQ8-GQ7</f>
        <v/>
      </c>
      <c r="GR9" s="16">
        <f>GR8-GR7</f>
        <v/>
      </c>
      <c r="GS9" s="16">
        <f>GS8-GS7</f>
        <v/>
      </c>
      <c r="GT9" s="16">
        <f>GT8-GT7</f>
        <v/>
      </c>
      <c r="GU9" s="16">
        <f>GU8-GU7</f>
        <v/>
      </c>
      <c r="GV9" s="16">
        <f>GV8-GV7</f>
        <v/>
      </c>
      <c r="GW9" s="16">
        <f>GW8-GW7</f>
        <v/>
      </c>
      <c r="GX9" s="16">
        <f>GX8-GX7</f>
        <v/>
      </c>
      <c r="GY9" s="16">
        <f>GY8-GY7</f>
        <v/>
      </c>
      <c r="GZ9" s="16">
        <f>GZ8-GZ7</f>
        <v/>
      </c>
      <c r="HA9" s="16">
        <f>HA8-HA7</f>
        <v/>
      </c>
      <c r="HB9" s="16">
        <f>HB8-HB7</f>
        <v/>
      </c>
      <c r="HC9" s="16">
        <f>HC8-HC7</f>
        <v/>
      </c>
      <c r="HD9" s="16">
        <f>HD8-HD7</f>
        <v/>
      </c>
      <c r="HE9" s="16">
        <f>HE8-HE7</f>
        <v/>
      </c>
      <c r="HF9" s="16">
        <f>HF8-HF7</f>
        <v/>
      </c>
      <c r="HG9" s="16">
        <f>HG8-HG7</f>
        <v/>
      </c>
      <c r="HH9" s="16">
        <f>HH8-HH7</f>
        <v/>
      </c>
      <c r="HI9" s="16">
        <f>HI8-HI7</f>
        <v/>
      </c>
      <c r="HJ9" s="16">
        <f>HJ8-HJ7</f>
        <v/>
      </c>
      <c r="HK9" s="16">
        <f>HK8-HK7</f>
        <v/>
      </c>
      <c r="HL9" s="16">
        <f>HL8-HL7</f>
        <v/>
      </c>
      <c r="HM9" s="16">
        <f>HM8-HM7</f>
        <v/>
      </c>
      <c r="HN9" s="16">
        <f>HN8-HN7</f>
        <v/>
      </c>
      <c r="HO9" s="126" t="n"/>
      <c r="HP9" s="16">
        <f>HP8-HP7</f>
        <v/>
      </c>
      <c r="HQ9" s="16">
        <f>HQ8-HQ7</f>
        <v/>
      </c>
      <c r="HR9" s="16">
        <f>HR8-HR7</f>
        <v/>
      </c>
      <c r="HS9" s="16">
        <f>HS8-HS7</f>
        <v/>
      </c>
      <c r="HT9" s="16">
        <f>HT8-HT7</f>
        <v/>
      </c>
      <c r="HU9" s="16">
        <f>HU8-HU7</f>
        <v/>
      </c>
      <c r="HV9" s="16">
        <f>HV8-HV7</f>
        <v/>
      </c>
      <c r="HW9" s="16">
        <f>HW8-HW7</f>
        <v/>
      </c>
      <c r="HX9" s="16">
        <f>HX8-HX7</f>
        <v/>
      </c>
      <c r="HY9" s="16">
        <f>HY8-HY7</f>
        <v/>
      </c>
      <c r="HZ9" s="16">
        <f>HZ8-HZ7</f>
        <v/>
      </c>
      <c r="IA9" s="16">
        <f>IA8-IA7</f>
        <v/>
      </c>
      <c r="IB9" s="16">
        <f>IB8-IB7</f>
        <v/>
      </c>
      <c r="IC9" s="16">
        <f>IC8-IC7</f>
        <v/>
      </c>
      <c r="ID9" s="16">
        <f>ID8-ID7</f>
        <v/>
      </c>
      <c r="IE9" s="16">
        <f>IE8-IE7</f>
        <v/>
      </c>
      <c r="IF9" s="16">
        <f>IF8-IF7</f>
        <v/>
      </c>
      <c r="IG9" s="16">
        <f>IG8-IG7</f>
        <v/>
      </c>
      <c r="IH9" s="16">
        <f>IH8-IH7</f>
        <v/>
      </c>
      <c r="II9" s="16">
        <f>II8-II7</f>
        <v/>
      </c>
      <c r="IJ9" s="16">
        <f>IJ8-IJ7</f>
        <v/>
      </c>
      <c r="IK9" s="16">
        <f>IK8-IK7</f>
        <v/>
      </c>
      <c r="IL9" s="16">
        <f>IL8-IL7</f>
        <v/>
      </c>
      <c r="IM9" s="16">
        <f>IM8-IM7</f>
        <v/>
      </c>
      <c r="IN9" s="16">
        <f>IN8-IN7</f>
        <v/>
      </c>
      <c r="IO9" s="16">
        <f>IO8-IO7</f>
        <v/>
      </c>
      <c r="IP9" s="16">
        <f>IP8-IP7</f>
        <v/>
      </c>
      <c r="IQ9" s="16">
        <f>IQ8-IQ7</f>
        <v/>
      </c>
      <c r="IR9" s="16">
        <f>IR8-IR7</f>
        <v/>
      </c>
      <c r="IS9" s="16">
        <f>IS8-IS7</f>
        <v/>
      </c>
      <c r="IT9" s="16">
        <f>IT8-IT7</f>
        <v/>
      </c>
      <c r="IU9" s="126" t="n"/>
      <c r="IV9" s="16">
        <f>IV8-IV7</f>
        <v/>
      </c>
      <c r="IW9" s="16">
        <f>IW8-IW7</f>
        <v/>
      </c>
      <c r="IX9" s="16">
        <f>IX8-IX7</f>
        <v/>
      </c>
      <c r="IY9" s="16">
        <f>IY8-IY7</f>
        <v/>
      </c>
      <c r="IZ9" s="16">
        <f>IZ8-IZ7</f>
        <v/>
      </c>
      <c r="JA9" s="16">
        <f>JA8-JA7</f>
        <v/>
      </c>
      <c r="JB9" s="16">
        <f>JB8-JB7</f>
        <v/>
      </c>
      <c r="JC9" s="16">
        <f>JC8-JC7</f>
        <v/>
      </c>
      <c r="JD9" s="16">
        <f>JD8-JD7</f>
        <v/>
      </c>
      <c r="JE9" s="16">
        <f>JE8-JE7</f>
        <v/>
      </c>
      <c r="JF9" s="16">
        <f>JF8-JF7</f>
        <v/>
      </c>
      <c r="JG9" s="16">
        <f>JG8-JG7</f>
        <v/>
      </c>
      <c r="JH9" s="16">
        <f>JH8-JH7</f>
        <v/>
      </c>
      <c r="JI9" s="16">
        <f>JI8-JI7</f>
        <v/>
      </c>
      <c r="JJ9" s="16">
        <f>JJ8-JJ7</f>
        <v/>
      </c>
      <c r="JK9" s="16">
        <f>JK8-JK7</f>
        <v/>
      </c>
      <c r="JL9" s="16">
        <f>JL8-JL7</f>
        <v/>
      </c>
      <c r="JM9" s="16">
        <f>JM8-JM7</f>
        <v/>
      </c>
      <c r="JN9" s="16">
        <f>JN8-JN7</f>
        <v/>
      </c>
      <c r="JO9" s="16">
        <f>JO8-JO7</f>
        <v/>
      </c>
      <c r="JP9" s="16">
        <f>JP8-JP7</f>
        <v/>
      </c>
      <c r="JQ9" s="16">
        <f>JQ8-JQ7</f>
        <v/>
      </c>
      <c r="JR9" s="16">
        <f>JR8-JR7</f>
        <v/>
      </c>
      <c r="JS9" s="16">
        <f>JS8-JS7</f>
        <v/>
      </c>
      <c r="JT9" s="16">
        <f>JT8-JT7</f>
        <v/>
      </c>
      <c r="JU9" s="16">
        <f>JU8-JU7</f>
        <v/>
      </c>
      <c r="JV9" s="16">
        <f>JV8-JV7</f>
        <v/>
      </c>
      <c r="JW9" s="16">
        <f>JW8-JW7</f>
        <v/>
      </c>
      <c r="JX9" s="16">
        <f>JX8-JX7</f>
        <v/>
      </c>
      <c r="JY9" s="16">
        <f>JY8-JY7</f>
        <v/>
      </c>
      <c r="JZ9" s="127">
        <f>SUM(IV9:JY9)</f>
        <v/>
      </c>
      <c r="KA9" s="16">
        <f>KA8-KA7</f>
        <v/>
      </c>
      <c r="KB9" s="16">
        <f>KB8-KB7</f>
        <v/>
      </c>
      <c r="KC9" s="16">
        <f>KC8-KC7</f>
        <v/>
      </c>
      <c r="KD9" s="16">
        <f>KD8-KD7</f>
        <v/>
      </c>
      <c r="KE9" s="16">
        <f>KE8-KE7</f>
        <v/>
      </c>
      <c r="KF9" s="16">
        <f>KF8-KF7</f>
        <v/>
      </c>
      <c r="KG9" s="16">
        <f>KG8-KG7</f>
        <v/>
      </c>
      <c r="KH9" s="16">
        <f>KH8-KH7</f>
        <v/>
      </c>
      <c r="KI9" s="16">
        <f>KI8-KI7</f>
        <v/>
      </c>
      <c r="KJ9" s="16">
        <f>KJ8-KJ7</f>
        <v/>
      </c>
      <c r="KK9" s="16">
        <f>KK8-KK7</f>
        <v/>
      </c>
      <c r="KL9" s="16">
        <f>KL8-KL7</f>
        <v/>
      </c>
      <c r="KM9" s="16">
        <f>KM8-KM7</f>
        <v/>
      </c>
      <c r="KN9" s="16">
        <f>KN8-KN7</f>
        <v/>
      </c>
      <c r="KO9" s="16">
        <f>KO8-KO7</f>
        <v/>
      </c>
      <c r="KP9" s="16">
        <f>KP8-KP7</f>
        <v/>
      </c>
      <c r="KQ9" s="16">
        <f>KQ8-KQ7</f>
        <v/>
      </c>
      <c r="KR9" s="16">
        <f>KR8-KR7</f>
        <v/>
      </c>
      <c r="KS9" s="16">
        <f>KS8-KS7</f>
        <v/>
      </c>
      <c r="KT9" s="16">
        <f>KT8-KT7</f>
        <v/>
      </c>
      <c r="KU9" s="16">
        <f>KU8-KU7</f>
        <v/>
      </c>
      <c r="KV9" s="16">
        <f>KV8-KV7</f>
        <v/>
      </c>
      <c r="KW9" s="16">
        <f>KW8-KW7</f>
        <v/>
      </c>
      <c r="KX9" s="16">
        <f>KX8-KX7</f>
        <v/>
      </c>
      <c r="KY9" s="16">
        <f>KY8-KY7</f>
        <v/>
      </c>
      <c r="KZ9" s="16">
        <f>KZ8-KZ7</f>
        <v/>
      </c>
      <c r="LA9" s="16">
        <f>LA8-LA7</f>
        <v/>
      </c>
      <c r="LB9" s="16">
        <f>LB8-LB7</f>
        <v/>
      </c>
      <c r="LC9" s="16">
        <f>LC8-LC7</f>
        <v/>
      </c>
      <c r="LD9" s="16">
        <f>LD8-LD7</f>
        <v/>
      </c>
      <c r="LE9" s="16">
        <f>LE8-LE7</f>
        <v/>
      </c>
      <c r="LF9" s="127">
        <f>SUM(KA9:LE9)</f>
        <v/>
      </c>
      <c r="LG9" s="16">
        <f>LG8-LG7</f>
        <v/>
      </c>
      <c r="LH9" s="16">
        <f>LH8-LH7</f>
        <v/>
      </c>
      <c r="LI9" s="16">
        <f>LI8-LI7</f>
        <v/>
      </c>
      <c r="LJ9" s="16">
        <f>LJ8-LJ7</f>
        <v/>
      </c>
      <c r="LK9" s="16">
        <f>LK8-LK7</f>
        <v/>
      </c>
      <c r="LL9" s="16">
        <f>LL8-LL7</f>
        <v/>
      </c>
      <c r="LM9" s="16">
        <f>LM8-LM7</f>
        <v/>
      </c>
      <c r="LN9" s="16">
        <f>LN8-LN7</f>
        <v/>
      </c>
      <c r="LO9" s="16">
        <f>LO8-LO7</f>
        <v/>
      </c>
      <c r="LP9" s="16">
        <f>LP8-LP7</f>
        <v/>
      </c>
      <c r="LQ9" s="16">
        <f>LQ8-LQ7</f>
        <v/>
      </c>
      <c r="LR9" s="16">
        <f>LR8-LR7</f>
        <v/>
      </c>
      <c r="LS9" s="16">
        <f>LS8-LS7</f>
        <v/>
      </c>
      <c r="LT9" s="16">
        <f>LT8-LT7</f>
        <v/>
      </c>
      <c r="LU9" s="16">
        <f>LU8-LU7</f>
        <v/>
      </c>
      <c r="LV9" s="16">
        <f>LV8-LV7</f>
        <v/>
      </c>
      <c r="LW9" s="16">
        <f>LW8-LW7</f>
        <v/>
      </c>
      <c r="LX9" s="16">
        <f>LX8-LX7</f>
        <v/>
      </c>
      <c r="LY9" s="16">
        <f>LY8-LY7</f>
        <v/>
      </c>
      <c r="LZ9" s="16">
        <f>LZ8-LZ7</f>
        <v/>
      </c>
      <c r="MA9" s="16">
        <f>MA8-MA7</f>
        <v/>
      </c>
      <c r="MB9" s="16">
        <f>MB8-MB7</f>
        <v/>
      </c>
      <c r="MC9" s="16">
        <f>MC8-MC7</f>
        <v/>
      </c>
      <c r="MD9" s="16">
        <f>MD8-MD7</f>
        <v/>
      </c>
      <c r="ME9" s="16">
        <f>ME8-ME7</f>
        <v/>
      </c>
      <c r="MF9" s="16">
        <f>MF8-MF7</f>
        <v/>
      </c>
      <c r="MG9" s="16">
        <f>MG8-MG7</f>
        <v/>
      </c>
      <c r="MH9" s="16">
        <f>MH8-MH7</f>
        <v/>
      </c>
      <c r="MI9" s="16">
        <f>MI8-MI7</f>
        <v/>
      </c>
      <c r="MJ9" s="16">
        <f>MJ8-MJ7</f>
        <v/>
      </c>
      <c r="MK9" s="127">
        <f>SUM(LF9:MJ9)</f>
        <v/>
      </c>
      <c r="ML9" s="16">
        <f>ML8-ML7</f>
        <v/>
      </c>
      <c r="MM9" s="16">
        <f>MM8-MM7</f>
        <v/>
      </c>
      <c r="MN9" s="16">
        <f>MN8-MN7</f>
        <v/>
      </c>
      <c r="MO9" s="16">
        <f>MO8-MO7</f>
        <v/>
      </c>
      <c r="MP9" s="16">
        <f>MP8-MP7</f>
        <v/>
      </c>
      <c r="MQ9" s="16">
        <f>MQ8-MQ7</f>
        <v/>
      </c>
      <c r="MR9" s="16">
        <f>MR8-MR7</f>
        <v/>
      </c>
      <c r="MS9" s="16">
        <f>MS8-MS7</f>
        <v/>
      </c>
      <c r="MT9" s="16">
        <f>MT8-MT7</f>
        <v/>
      </c>
      <c r="MU9" s="16">
        <f>MU8-MU7</f>
        <v/>
      </c>
      <c r="MV9" s="16">
        <f>MV8-MV7</f>
        <v/>
      </c>
      <c r="MW9" s="16">
        <f>MW8-MW7</f>
        <v/>
      </c>
      <c r="MX9" s="16">
        <f>MX8-MX7</f>
        <v/>
      </c>
      <c r="MY9" s="16">
        <f>MY8-MY7</f>
        <v/>
      </c>
      <c r="MZ9" s="16">
        <f>MZ8-MZ7</f>
        <v/>
      </c>
      <c r="NA9" s="16">
        <f>NA8-NA7</f>
        <v/>
      </c>
      <c r="NB9" s="16">
        <f>NB8-NB7</f>
        <v/>
      </c>
      <c r="NC9" s="16">
        <f>NC8-NC7</f>
        <v/>
      </c>
      <c r="ND9" s="16">
        <f>ND8-ND7</f>
        <v/>
      </c>
      <c r="NE9" s="16">
        <f>NE8-NE7</f>
        <v/>
      </c>
      <c r="NF9" s="16">
        <f>NF8-NF7</f>
        <v/>
      </c>
      <c r="NG9" s="16">
        <f>NG8-NG7</f>
        <v/>
      </c>
      <c r="NH9" s="16">
        <f>NH8-NH7</f>
        <v/>
      </c>
      <c r="NI9" s="16">
        <f>NI8-NI7</f>
        <v/>
      </c>
      <c r="NJ9" s="16">
        <f>NJ8-NJ7</f>
        <v/>
      </c>
      <c r="NK9" s="16">
        <f>NK8-NK7</f>
        <v/>
      </c>
      <c r="NL9" s="16">
        <f>NL8-NL7</f>
        <v/>
      </c>
      <c r="NM9" s="16">
        <f>NM8-NM7</f>
        <v/>
      </c>
      <c r="NN9" s="16">
        <f>NN8-NN7</f>
        <v/>
      </c>
      <c r="NO9" s="16">
        <f>NO8-NO7</f>
        <v/>
      </c>
      <c r="NP9" s="16">
        <f>NP8-NP7</f>
        <v/>
      </c>
      <c r="NQ9" s="127">
        <f>SUM(ML9:NP9)</f>
        <v/>
      </c>
      <c r="NR9" s="16">
        <f>NR8-NR7</f>
        <v/>
      </c>
      <c r="NS9" s="16">
        <f>NS8-NS7</f>
        <v/>
      </c>
      <c r="NT9" s="16">
        <f>NT8-NT7</f>
        <v/>
      </c>
      <c r="NU9" s="16">
        <f>NU8-NU7</f>
        <v/>
      </c>
      <c r="NV9" s="16">
        <f>NV8-NV7</f>
        <v/>
      </c>
      <c r="NW9" s="16">
        <f>NW8-NW7</f>
        <v/>
      </c>
      <c r="NX9" s="16">
        <f>NX8-NX7</f>
        <v/>
      </c>
      <c r="NY9" s="16">
        <f>NY8-NY7</f>
        <v/>
      </c>
      <c r="NZ9" s="16">
        <f>NZ8-NZ7</f>
        <v/>
      </c>
      <c r="OA9" s="16">
        <f>OA8-OA7</f>
        <v/>
      </c>
      <c r="OB9" s="16">
        <f>OB8-OB7</f>
        <v/>
      </c>
      <c r="OC9" s="16">
        <f>OC8-OC7</f>
        <v/>
      </c>
      <c r="OD9" s="16">
        <f>OD8-OD7</f>
        <v/>
      </c>
      <c r="OE9" s="16">
        <f>OE8-OE7</f>
        <v/>
      </c>
      <c r="OF9" s="16">
        <f>OF8-OF7</f>
        <v/>
      </c>
      <c r="OG9" s="16">
        <f>OG8-OG7</f>
        <v/>
      </c>
      <c r="OH9" s="16">
        <f>OH8-OH7</f>
        <v/>
      </c>
      <c r="OI9" s="16">
        <f>OI8-OI7</f>
        <v/>
      </c>
      <c r="OJ9" s="16">
        <f>OJ8-OJ7</f>
        <v/>
      </c>
      <c r="OK9" s="16">
        <f>OK8-OK7</f>
        <v/>
      </c>
      <c r="OL9" s="16">
        <f>OL8-OL7</f>
        <v/>
      </c>
      <c r="OM9" s="16">
        <f>OM8-OM7</f>
        <v/>
      </c>
      <c r="ON9" s="16">
        <f>ON8-ON7</f>
        <v/>
      </c>
      <c r="OO9" s="16">
        <f>OO8-OO7</f>
        <v/>
      </c>
      <c r="OP9" s="16">
        <f>OP8-OP7</f>
        <v/>
      </c>
      <c r="OQ9" s="16">
        <f>OQ8-OQ7</f>
        <v/>
      </c>
      <c r="OR9" s="16">
        <f>OR8-OR7</f>
        <v/>
      </c>
      <c r="OS9" s="16">
        <f>OS8-OS7</f>
        <v/>
      </c>
      <c r="OT9" s="16">
        <f>OT8-OT7</f>
        <v/>
      </c>
      <c r="OU9" s="16">
        <f>OU8-OU7</f>
        <v/>
      </c>
      <c r="OV9" s="16">
        <f>OV8-OV7</f>
        <v/>
      </c>
      <c r="OW9" s="127">
        <f>SUM(NR9:OV9)</f>
        <v/>
      </c>
      <c r="OX9" s="16">
        <f>OX8-OX7</f>
        <v/>
      </c>
      <c r="OY9" s="16">
        <f>OY8-OY7</f>
        <v/>
      </c>
      <c r="OZ9" s="16">
        <f>OZ8-OZ7</f>
        <v/>
      </c>
      <c r="PA9" s="16">
        <f>PA8-PA7</f>
        <v/>
      </c>
      <c r="PB9" s="16">
        <f>PB8-PB7</f>
        <v/>
      </c>
      <c r="PC9" s="16">
        <f>PC8-PC7</f>
        <v/>
      </c>
      <c r="PD9" s="16">
        <f>PD8-PD7</f>
        <v/>
      </c>
      <c r="PE9" s="16">
        <f>PE8-PE7</f>
        <v/>
      </c>
      <c r="PF9" s="16">
        <f>PF8-PF7</f>
        <v/>
      </c>
      <c r="PG9" s="16">
        <f>PG8-PG7</f>
        <v/>
      </c>
      <c r="PH9" s="16">
        <f>PH8-PH7</f>
        <v/>
      </c>
      <c r="PI9" s="16">
        <f>PI8-PI7</f>
        <v/>
      </c>
      <c r="PJ9" s="16">
        <f>PJ8-PJ7</f>
        <v/>
      </c>
      <c r="PK9" s="16">
        <f>PK8-PK7</f>
        <v/>
      </c>
      <c r="PL9" s="16">
        <f>PL8-PL7</f>
        <v/>
      </c>
      <c r="PM9" s="16">
        <f>PM8-PM7</f>
        <v/>
      </c>
      <c r="PN9" s="16">
        <f>PN8-PN7</f>
        <v/>
      </c>
      <c r="PO9" s="16">
        <f>PO8-PO7</f>
        <v/>
      </c>
      <c r="PP9" s="16">
        <f>PP8-PP7</f>
        <v/>
      </c>
      <c r="PQ9" s="16">
        <f>PQ8-PQ7</f>
        <v/>
      </c>
      <c r="PR9" s="16">
        <f>PR8-PR7</f>
        <v/>
      </c>
      <c r="PS9" s="16">
        <f>PS8-PS7</f>
        <v/>
      </c>
      <c r="PT9" s="16">
        <f>PT8-PT7</f>
        <v/>
      </c>
      <c r="PU9" s="16">
        <f>PU8-PU7</f>
        <v/>
      </c>
      <c r="PV9" s="16">
        <f>PV8-PV7</f>
        <v/>
      </c>
      <c r="PW9" s="16">
        <f>PW8-PW7</f>
        <v/>
      </c>
      <c r="PX9" s="16">
        <f>PX8-PX7</f>
        <v/>
      </c>
      <c r="PY9" s="16">
        <f>PY8-PY7</f>
        <v/>
      </c>
      <c r="PZ9" s="16">
        <f>PZ8-PZ7</f>
        <v/>
      </c>
      <c r="QA9" s="16">
        <f>QA8-QA7</f>
        <v/>
      </c>
      <c r="QB9" s="127">
        <f>SUM(OX9:QA9)</f>
        <v/>
      </c>
      <c r="QC9" s="16">
        <f>QC8-QC7</f>
        <v/>
      </c>
      <c r="QD9" s="16">
        <f>QD8-QD7</f>
        <v/>
      </c>
      <c r="QE9" s="16">
        <f>QE8-QE7</f>
        <v/>
      </c>
      <c r="QF9" s="16">
        <f>QF8-QF7</f>
        <v/>
      </c>
      <c r="QG9" s="16">
        <f>QG8-QG7</f>
        <v/>
      </c>
      <c r="QH9" s="16">
        <f>QH8-QH7</f>
        <v/>
      </c>
      <c r="QI9" s="16">
        <f>QI8-QI7</f>
        <v/>
      </c>
      <c r="QJ9" s="16">
        <f>QJ8-QJ7</f>
        <v/>
      </c>
      <c r="QK9" s="16">
        <f>QK8-QK7</f>
        <v/>
      </c>
      <c r="QL9" s="16">
        <f>QL8-QL7</f>
        <v/>
      </c>
      <c r="QM9" s="16">
        <f>QM8-QM7</f>
        <v/>
      </c>
      <c r="QN9" s="16">
        <f>QN8-QN7</f>
        <v/>
      </c>
      <c r="QO9" s="16">
        <f>QO8-QO7</f>
        <v/>
      </c>
      <c r="QP9" s="16">
        <f>QP8-QP7</f>
        <v/>
      </c>
      <c r="QQ9" s="16">
        <f>QQ8-QQ7</f>
        <v/>
      </c>
      <c r="QR9" s="16">
        <f>QR8-QR7</f>
        <v/>
      </c>
      <c r="QS9" s="16">
        <f>QS8-QS7</f>
        <v/>
      </c>
      <c r="QT9" s="16">
        <f>QT8-QT7</f>
        <v/>
      </c>
      <c r="QU9" s="16">
        <f>QU8-QU7</f>
        <v/>
      </c>
      <c r="QV9" s="16">
        <f>QV8-QV7</f>
        <v/>
      </c>
      <c r="QW9" s="16">
        <f>QW8-QW7</f>
        <v/>
      </c>
      <c r="QX9" s="16">
        <f>QX8-QX7</f>
        <v/>
      </c>
      <c r="QY9" s="16">
        <f>QY8-QY7</f>
        <v/>
      </c>
      <c r="QZ9" s="16">
        <f>QZ8-QZ7</f>
        <v/>
      </c>
      <c r="RA9" s="16">
        <f>RA8-RA7</f>
        <v/>
      </c>
      <c r="RB9" s="16">
        <f>RB8-RB7</f>
        <v/>
      </c>
      <c r="RC9" s="16">
        <f>RC8-RC7</f>
        <v/>
      </c>
      <c r="RD9" s="16">
        <f>RD8-RD7</f>
        <v/>
      </c>
      <c r="RE9" s="16">
        <f>RE8-RE7</f>
        <v/>
      </c>
      <c r="RF9" s="16">
        <f>RF8-RF7</f>
        <v/>
      </c>
      <c r="RG9" s="16">
        <f>RG8-RG7</f>
        <v/>
      </c>
      <c r="RH9" s="127">
        <f>SUM(QD9:RG9)</f>
        <v/>
      </c>
      <c r="RI9" s="16">
        <f>RI8-RI7</f>
        <v/>
      </c>
      <c r="RJ9" s="16">
        <f>RJ8-RJ7</f>
        <v/>
      </c>
      <c r="RK9" s="16">
        <f>RK8-RK7</f>
        <v/>
      </c>
      <c r="RL9" s="16">
        <f>RL8-RL7</f>
        <v/>
      </c>
      <c r="RM9" s="16">
        <f>RM8-RM7</f>
        <v/>
      </c>
      <c r="RN9" s="16">
        <f>RN8-RN7</f>
        <v/>
      </c>
      <c r="RO9" s="16">
        <f>RO8-RO7</f>
        <v/>
      </c>
      <c r="RP9" s="16">
        <f>RP8-RP7</f>
        <v/>
      </c>
      <c r="RQ9" s="16">
        <f>RQ8-RQ7</f>
        <v/>
      </c>
      <c r="RR9" s="16">
        <f>RR8-RR7</f>
        <v/>
      </c>
      <c r="RS9" s="16">
        <f>RS8-RS7</f>
        <v/>
      </c>
      <c r="RT9" s="16">
        <f>RT8-RT7</f>
        <v/>
      </c>
      <c r="RU9" s="16">
        <f>RU8-RU7</f>
        <v/>
      </c>
      <c r="RV9" s="16">
        <f>RV8-RV7</f>
        <v/>
      </c>
      <c r="RW9" s="16">
        <f>RW8-RW7</f>
        <v/>
      </c>
      <c r="RX9" s="16">
        <f>RX8-RX7</f>
        <v/>
      </c>
      <c r="RY9" s="16">
        <f>RY8-RY7</f>
        <v/>
      </c>
      <c r="RZ9" s="16">
        <f>RZ8-RZ7</f>
        <v/>
      </c>
      <c r="SA9" s="16">
        <f>SA8-SA7</f>
        <v/>
      </c>
      <c r="SB9" s="16">
        <f>SB8-SB7</f>
        <v/>
      </c>
      <c r="SC9" s="16">
        <f>SC8-SC7</f>
        <v/>
      </c>
      <c r="SD9" s="16">
        <f>SD8-SD7</f>
        <v/>
      </c>
      <c r="SE9" s="16">
        <f>SE8-SE7</f>
        <v/>
      </c>
      <c r="SF9" s="16">
        <f>SF8-SF7</f>
        <v/>
      </c>
      <c r="SG9" s="16">
        <f>SG8-SG7</f>
        <v/>
      </c>
      <c r="SH9" s="16">
        <f>SH8-SH7</f>
        <v/>
      </c>
      <c r="SI9" s="16">
        <f>SI8-SI7</f>
        <v/>
      </c>
      <c r="SJ9" s="16">
        <f>SJ8-SJ7</f>
        <v/>
      </c>
      <c r="SK9" s="16">
        <f>SK8-SK7</f>
        <v/>
      </c>
      <c r="SL9" s="16">
        <f>SL8-SL7</f>
        <v/>
      </c>
      <c r="SM9" s="127">
        <f>SUM(RI9:SL9)</f>
        <v/>
      </c>
      <c r="SN9" s="16">
        <f>SN8-SN7</f>
        <v/>
      </c>
      <c r="SO9" s="16">
        <f>SO8-SO7</f>
        <v/>
      </c>
      <c r="SP9" s="16">
        <f>SP8-SP7</f>
        <v/>
      </c>
      <c r="SQ9" s="16">
        <f>SQ8-SQ7</f>
        <v/>
      </c>
      <c r="SR9" s="16">
        <f>SR8-SR7</f>
        <v/>
      </c>
      <c r="SS9" s="16">
        <f>SS8-SS7</f>
        <v/>
      </c>
      <c r="ST9" s="16">
        <f>ST8-ST7</f>
        <v/>
      </c>
      <c r="SU9" s="16">
        <f>SU8-SU7</f>
        <v/>
      </c>
      <c r="SV9" s="16">
        <f>SV8-SV7</f>
        <v/>
      </c>
      <c r="SW9" s="16">
        <f>SW8-SW7</f>
        <v/>
      </c>
      <c r="SX9" s="16">
        <f>SX8-SX7</f>
        <v/>
      </c>
      <c r="SY9" s="16">
        <f>SY8-SY7</f>
        <v/>
      </c>
      <c r="SZ9" s="16">
        <f>SZ8-SZ7</f>
        <v/>
      </c>
      <c r="TA9" s="16">
        <f>TA8-TA7</f>
        <v/>
      </c>
      <c r="TB9" s="16">
        <f>TB8-TB7</f>
        <v/>
      </c>
      <c r="TC9" s="16">
        <f>TC8-TC7</f>
        <v/>
      </c>
      <c r="TD9" s="16">
        <f>TD8-TD7</f>
        <v/>
      </c>
      <c r="TE9" s="16">
        <f>TE8-TE7</f>
        <v/>
      </c>
      <c r="TF9" s="16">
        <f>TF8-TF7</f>
        <v/>
      </c>
      <c r="TG9" s="16">
        <f>TG8-TG7</f>
        <v/>
      </c>
      <c r="TH9" s="16">
        <f>TH8-TH7</f>
        <v/>
      </c>
      <c r="TI9" s="16">
        <f>TI8-TI7</f>
        <v/>
      </c>
      <c r="TJ9" s="16">
        <f>TJ8-TJ7</f>
        <v/>
      </c>
      <c r="TK9" s="16">
        <f>TK8-TK7</f>
        <v/>
      </c>
      <c r="TL9" s="16">
        <f>TL8-TL7</f>
        <v/>
      </c>
      <c r="TM9" s="16">
        <f>TM8-TM7</f>
        <v/>
      </c>
      <c r="TN9" s="16">
        <f>TN8-TN7</f>
        <v/>
      </c>
      <c r="TO9" s="16">
        <f>TO8-TO7</f>
        <v/>
      </c>
      <c r="TP9" s="16">
        <f>TP8-TP7</f>
        <v/>
      </c>
      <c r="TQ9" s="16">
        <f>TQ8-TQ7</f>
        <v/>
      </c>
      <c r="TR9" s="16">
        <f>TR8-TR7</f>
        <v/>
      </c>
      <c r="TS9" s="127">
        <f>SUM(SO9:TR9)</f>
        <v/>
      </c>
      <c r="TT9" s="16">
        <f>TT8-TT7</f>
        <v/>
      </c>
      <c r="TU9" s="16">
        <f>TU8-TU7</f>
        <v/>
      </c>
      <c r="TV9" s="16">
        <f>TV8-TV7</f>
        <v/>
      </c>
      <c r="TW9" s="16">
        <f>TW8-TW7</f>
        <v/>
      </c>
      <c r="TX9" s="16">
        <f>TX8-TX7</f>
        <v/>
      </c>
      <c r="TY9" s="16">
        <f>TY8-TY7</f>
        <v/>
      </c>
      <c r="TZ9" s="16">
        <f>TZ8-TZ7</f>
        <v/>
      </c>
      <c r="UA9" s="16">
        <f>UA8-UA7</f>
        <v/>
      </c>
      <c r="UB9" s="16">
        <f>UB8-UB7</f>
        <v/>
      </c>
      <c r="UC9" s="16">
        <f>UC8-UC7</f>
        <v/>
      </c>
      <c r="UD9" s="16">
        <f>UD8-UD7</f>
        <v/>
      </c>
      <c r="UE9" s="16">
        <f>UE8-UE7</f>
        <v/>
      </c>
      <c r="UF9" s="16">
        <f>UF8-UF7</f>
        <v/>
      </c>
      <c r="UG9" s="16">
        <f>UG8-UG7</f>
        <v/>
      </c>
      <c r="UH9" s="16">
        <f>UH8-UH7</f>
        <v/>
      </c>
      <c r="UI9" s="16">
        <f>UI8-UI7</f>
        <v/>
      </c>
      <c r="UJ9" s="16">
        <f>UJ8-UJ7</f>
        <v/>
      </c>
      <c r="UK9" s="16">
        <f>UK8-UK7</f>
        <v/>
      </c>
      <c r="UL9" s="16">
        <f>UL8-UL7</f>
        <v/>
      </c>
      <c r="UM9" s="16">
        <f>UM8-UM7</f>
        <v/>
      </c>
      <c r="UN9" s="16">
        <f>UN8-UN7</f>
        <v/>
      </c>
      <c r="UO9" s="16">
        <f>UO8-UO7</f>
        <v/>
      </c>
      <c r="UP9" s="16">
        <f>UP8-UP7</f>
        <v/>
      </c>
      <c r="UQ9" s="16">
        <f>UQ8-UQ7</f>
        <v/>
      </c>
      <c r="UR9" s="16">
        <f>UR8-UR7</f>
        <v/>
      </c>
      <c r="US9" s="16">
        <f>US8-US7</f>
        <v/>
      </c>
      <c r="UT9" s="16">
        <f>UT8-UT7</f>
        <v/>
      </c>
      <c r="UU9" s="16">
        <f>UU8-UU7</f>
        <v/>
      </c>
      <c r="UV9" s="16">
        <f>UV8-UV7</f>
        <v/>
      </c>
      <c r="UW9" s="16">
        <f>UW8-UW7</f>
        <v/>
      </c>
      <c r="UX9" s="16">
        <f>UX8-UX7</f>
        <v/>
      </c>
      <c r="UY9" s="127">
        <f>SUM(TT9:UX9)</f>
        <v/>
      </c>
      <c r="UZ9" s="16">
        <f>UZ8-UZ7</f>
        <v/>
      </c>
      <c r="VA9" s="16">
        <f>VA8-VA7</f>
        <v/>
      </c>
      <c r="VB9" s="16">
        <f>VB8-VB7</f>
        <v/>
      </c>
      <c r="VC9" s="16">
        <f>VC8-VC7</f>
        <v/>
      </c>
      <c r="VD9" s="16">
        <f>VD8-VD7</f>
        <v/>
      </c>
      <c r="VE9" s="16">
        <f>VE8-VE7</f>
        <v/>
      </c>
      <c r="VF9" s="16">
        <f>VF8-VF7</f>
        <v/>
      </c>
      <c r="VG9" s="16">
        <f>VG8-VG7</f>
        <v/>
      </c>
      <c r="VH9" s="16">
        <f>VH8-VH7</f>
        <v/>
      </c>
      <c r="VI9" s="16">
        <f>VI8-VI7</f>
        <v/>
      </c>
      <c r="VJ9" s="16">
        <f>VJ8-VJ7</f>
        <v/>
      </c>
      <c r="VK9" s="16">
        <f>VK8-VK7</f>
        <v/>
      </c>
      <c r="VL9" s="16">
        <f>VL8-VL7</f>
        <v/>
      </c>
      <c r="VM9" s="16">
        <f>VM8-VM7</f>
        <v/>
      </c>
      <c r="VN9" s="16">
        <f>VN8-VN7</f>
        <v/>
      </c>
      <c r="VO9" s="16">
        <f>VO8-VO7</f>
        <v/>
      </c>
      <c r="VP9" s="16">
        <f>VP8-VP7</f>
        <v/>
      </c>
      <c r="VQ9" s="16">
        <f>VQ8-VQ7</f>
        <v/>
      </c>
      <c r="VR9" s="16">
        <f>VR8-VR7</f>
        <v/>
      </c>
      <c r="VS9" s="16">
        <f>VS8-VS7</f>
        <v/>
      </c>
      <c r="VT9" s="16">
        <f>VT8-VT7</f>
        <v/>
      </c>
      <c r="VU9" s="16">
        <f>VU8-VU7</f>
        <v/>
      </c>
      <c r="VV9" s="16">
        <f>VV8-VV7</f>
        <v/>
      </c>
      <c r="VW9" s="16">
        <f>VW8-VW7</f>
        <v/>
      </c>
      <c r="VX9" s="16">
        <f>VX8-VX7</f>
        <v/>
      </c>
      <c r="VY9" s="16">
        <f>VY8-VY7</f>
        <v/>
      </c>
      <c r="VZ9" s="16">
        <f>VZ8-VZ7</f>
        <v/>
      </c>
      <c r="WA9" s="16">
        <f>WA8-WA7</f>
        <v/>
      </c>
      <c r="WB9" s="127">
        <f>SUM(UZ9:WA9)</f>
        <v/>
      </c>
      <c r="WC9" s="16">
        <f>WC8-WC7</f>
        <v/>
      </c>
      <c r="WD9" s="16">
        <f>WD8-WD7</f>
        <v/>
      </c>
      <c r="WE9" s="16">
        <f>WE8-WE7</f>
        <v/>
      </c>
      <c r="WF9" s="16">
        <f>WF8-WF7</f>
        <v/>
      </c>
      <c r="WG9" s="16">
        <f>WG8-WG7</f>
        <v/>
      </c>
      <c r="WH9" s="16">
        <f>WH8-WH7</f>
        <v/>
      </c>
      <c r="WI9" s="16">
        <f>WI8-WI7</f>
        <v/>
      </c>
      <c r="WJ9" s="16">
        <f>WJ8-WJ7</f>
        <v/>
      </c>
      <c r="WK9" s="16">
        <f>WK8-WK7</f>
        <v/>
      </c>
      <c r="WL9" s="16">
        <f>WL8-WL7</f>
        <v/>
      </c>
      <c r="WM9" s="16">
        <f>WM8-WM7</f>
        <v/>
      </c>
      <c r="WN9" s="16">
        <f>WN8-WN7</f>
        <v/>
      </c>
      <c r="WO9" s="16">
        <f>WO8-WO7</f>
        <v/>
      </c>
      <c r="WP9" s="16">
        <f>WP8-WP7</f>
        <v/>
      </c>
      <c r="WQ9" s="16">
        <f>WQ8-WQ7</f>
        <v/>
      </c>
      <c r="WR9" s="16">
        <f>WR8-WR7</f>
        <v/>
      </c>
      <c r="WS9" s="16">
        <f>WS8-WS7</f>
        <v/>
      </c>
      <c r="WT9" s="16">
        <f>WT8-WT7</f>
        <v/>
      </c>
      <c r="WU9" s="16">
        <f>WU8-WU7</f>
        <v/>
      </c>
      <c r="WV9" s="16">
        <f>WV8-WV7</f>
        <v/>
      </c>
      <c r="WW9" s="16">
        <f>WW8-WW7</f>
        <v/>
      </c>
      <c r="WX9" s="16">
        <f>WX8-WX7</f>
        <v/>
      </c>
      <c r="WY9" s="16">
        <f>WY8-WY7</f>
        <v/>
      </c>
      <c r="WZ9" s="16">
        <f>WZ8-WZ7</f>
        <v/>
      </c>
      <c r="XA9" s="16">
        <f>XA8-XA7</f>
        <v/>
      </c>
      <c r="XB9" s="16">
        <f>XB8-XB7</f>
        <v/>
      </c>
      <c r="XC9" s="16">
        <f>XC8-XC7</f>
        <v/>
      </c>
      <c r="XD9" s="16">
        <f>XD8-XD7</f>
        <v/>
      </c>
      <c r="XE9" s="16">
        <f>XE8-XE7</f>
        <v/>
      </c>
      <c r="XF9" s="16">
        <f>XF8-XF7</f>
        <v/>
      </c>
      <c r="XG9" s="16">
        <f>XG8-XG7</f>
        <v/>
      </c>
      <c r="XH9" s="127">
        <f>SUM(WC9:XG9)</f>
        <v/>
      </c>
      <c r="XI9" s="16">
        <f>XI8-XI7</f>
        <v/>
      </c>
      <c r="XJ9" s="16">
        <f>XJ8-XJ7</f>
        <v/>
      </c>
      <c r="XK9" s="16">
        <f>XK8-XK7</f>
        <v/>
      </c>
      <c r="XL9" s="16">
        <f>XL8-XL7</f>
        <v/>
      </c>
      <c r="XM9" s="16">
        <f>XM8-XM7</f>
        <v/>
      </c>
      <c r="XN9" s="16">
        <f>XN8-XN7</f>
        <v/>
      </c>
      <c r="XO9" s="16">
        <f>XO8-XO7</f>
        <v/>
      </c>
      <c r="XP9" s="16">
        <f>XP8-XP7</f>
        <v/>
      </c>
      <c r="XQ9" s="16">
        <f>XQ8-XQ7</f>
        <v/>
      </c>
      <c r="XR9" s="16">
        <f>XR8-XR7</f>
        <v/>
      </c>
      <c r="XS9" s="16">
        <f>XS8-XS7</f>
        <v/>
      </c>
      <c r="XT9" s="16">
        <f>XT8-XT7</f>
        <v/>
      </c>
      <c r="XU9" s="16">
        <f>XU8-XU7</f>
        <v/>
      </c>
      <c r="XV9" s="16">
        <f>XV8-XV7</f>
        <v/>
      </c>
      <c r="XW9" s="16">
        <f>XW8-XW7</f>
        <v/>
      </c>
      <c r="XX9" s="16">
        <f>XX8-XX7</f>
        <v/>
      </c>
      <c r="XY9" s="16">
        <f>XY8-XY7</f>
        <v/>
      </c>
      <c r="XZ9" s="16">
        <f>XZ8-XZ7</f>
        <v/>
      </c>
      <c r="YA9" s="16">
        <f>YA8-YA7</f>
        <v/>
      </c>
      <c r="YB9" s="16">
        <f>YB8-YB7</f>
        <v/>
      </c>
      <c r="YC9" s="16">
        <f>YC8-YC7</f>
        <v/>
      </c>
      <c r="YD9" s="16">
        <f>YD8-YD7</f>
        <v/>
      </c>
      <c r="YE9" s="16">
        <f>YE8-YE7</f>
        <v/>
      </c>
      <c r="YF9" s="16">
        <f>YF8-YF7</f>
        <v/>
      </c>
      <c r="YG9" s="16">
        <f>YG8-YG7</f>
        <v/>
      </c>
      <c r="YH9" s="16">
        <f>YH8-YH7</f>
        <v/>
      </c>
      <c r="YI9" s="16">
        <f>YI8-YI7</f>
        <v/>
      </c>
      <c r="YJ9" s="16">
        <f>YJ8-YJ7</f>
        <v/>
      </c>
      <c r="YK9" s="16">
        <f>YK8-YK7</f>
        <v/>
      </c>
      <c r="YL9" s="16">
        <f>YL8-YL7</f>
        <v/>
      </c>
      <c r="YM9" s="127">
        <f>SUM(XH9:YL9)</f>
        <v/>
      </c>
      <c r="YN9" s="16">
        <f>YN8-YN7</f>
        <v/>
      </c>
      <c r="YO9" s="16">
        <f>YO8-YO7</f>
        <v/>
      </c>
      <c r="YP9" s="16">
        <f>YP8-YP7</f>
        <v/>
      </c>
      <c r="YQ9" s="16">
        <f>YQ8-YQ7</f>
        <v/>
      </c>
      <c r="YR9" s="16">
        <f>YR8-YR7</f>
        <v/>
      </c>
      <c r="YS9" s="16">
        <f>YS8-YS7</f>
        <v/>
      </c>
      <c r="YT9" s="16">
        <f>YT8-YT7</f>
        <v/>
      </c>
      <c r="YU9" s="16">
        <f>YU8-YU7</f>
        <v/>
      </c>
      <c r="YV9" s="16">
        <f>YV8-YV7</f>
        <v/>
      </c>
      <c r="YW9" s="16">
        <f>YW8-YW7</f>
        <v/>
      </c>
      <c r="YX9" s="16">
        <f>YX8-YX7</f>
        <v/>
      </c>
      <c r="YY9" s="16">
        <f>YY8-YY7</f>
        <v/>
      </c>
      <c r="YZ9" s="16">
        <f>YZ8-YZ7</f>
        <v/>
      </c>
      <c r="ZA9" s="16">
        <f>ZA8-ZA7</f>
        <v/>
      </c>
      <c r="ZB9" s="16">
        <f>ZB8-ZB7</f>
        <v/>
      </c>
      <c r="ZC9" s="16">
        <f>ZC8-ZC7</f>
        <v/>
      </c>
      <c r="ZD9" s="16">
        <f>ZD8-ZD7</f>
        <v/>
      </c>
      <c r="ZE9" s="16">
        <f>ZE8-ZE7</f>
        <v/>
      </c>
      <c r="ZF9" s="16">
        <f>ZF8-ZF7</f>
        <v/>
      </c>
      <c r="ZG9" s="16">
        <f>ZG8-ZG7</f>
        <v/>
      </c>
      <c r="ZH9" s="16">
        <f>ZH8-ZH7</f>
        <v/>
      </c>
      <c r="ZI9" s="16">
        <f>ZI8-ZI7</f>
        <v/>
      </c>
      <c r="ZJ9" s="16">
        <f>ZJ8-ZJ7</f>
        <v/>
      </c>
      <c r="ZK9" s="16">
        <f>ZK8-ZK7</f>
        <v/>
      </c>
      <c r="ZL9" s="16">
        <f>ZL8-ZL7</f>
        <v/>
      </c>
      <c r="ZM9" s="16">
        <f>ZM8-ZM7</f>
        <v/>
      </c>
      <c r="ZN9" s="16">
        <f>ZN8-ZN7</f>
        <v/>
      </c>
      <c r="ZO9" s="16">
        <f>ZO8-ZO7</f>
        <v/>
      </c>
      <c r="ZP9" s="16">
        <f>ZP8-ZP7</f>
        <v/>
      </c>
      <c r="ZQ9" s="16">
        <f>ZQ8-ZQ7</f>
        <v/>
      </c>
      <c r="ZR9" s="16">
        <f>ZR8-ZR7</f>
        <v/>
      </c>
      <c r="ZS9" s="127">
        <f>SUM(YN9:ZR9)</f>
        <v/>
      </c>
      <c r="ZT9" s="16">
        <f>ZT8-ZT7</f>
        <v/>
      </c>
      <c r="ZU9" s="16">
        <f>ZU8-ZU7</f>
        <v/>
      </c>
      <c r="ZV9" s="16">
        <f>ZV8-ZV7</f>
        <v/>
      </c>
      <c r="ZW9" s="16">
        <f>ZW8-ZW7</f>
        <v/>
      </c>
      <c r="ZX9" s="16">
        <f>ZX8-ZX7</f>
        <v/>
      </c>
      <c r="ZY9" s="16">
        <f>ZY8-ZY7</f>
        <v/>
      </c>
      <c r="ZZ9" s="16">
        <f>ZZ8-ZZ7</f>
        <v/>
      </c>
      <c r="AAA9" s="16">
        <f>AAA8-AAA7</f>
        <v/>
      </c>
      <c r="AAB9" s="16">
        <f>AAB8-AAB7</f>
        <v/>
      </c>
      <c r="AAC9" s="16">
        <f>AAC8-AAC7</f>
        <v/>
      </c>
      <c r="AAD9" s="16">
        <f>AAD8-AAD7</f>
        <v/>
      </c>
      <c r="AAE9" s="16">
        <f>AAE8-AAE7</f>
        <v/>
      </c>
      <c r="AAF9" s="16">
        <f>AAF8-AAF7</f>
        <v/>
      </c>
      <c r="AAG9" s="16">
        <f>AAG8-AAG7</f>
        <v/>
      </c>
      <c r="AAH9" s="16">
        <f>AAH8-AAH7</f>
        <v/>
      </c>
      <c r="AAI9" s="16">
        <f>AAI8-AAI7</f>
        <v/>
      </c>
      <c r="AAJ9" s="16">
        <f>AAJ8-AAJ7</f>
        <v/>
      </c>
      <c r="AAK9" s="16">
        <f>AAK8-AAK7</f>
        <v/>
      </c>
      <c r="AAL9" s="16">
        <f>AAL8-AAL7</f>
        <v/>
      </c>
      <c r="AAM9" s="16">
        <f>AAM8-AAM7</f>
        <v/>
      </c>
      <c r="AAN9" s="16">
        <f>AAN8-AAN7</f>
        <v/>
      </c>
      <c r="AAO9" s="16">
        <f>AAO8-AAO7</f>
        <v/>
      </c>
      <c r="AAP9" s="16">
        <f>AAP8-AAP7</f>
        <v/>
      </c>
      <c r="AAQ9" s="16">
        <f>AAQ8-AAQ7</f>
        <v/>
      </c>
      <c r="AAR9" s="16">
        <f>AAR8-AAR7</f>
        <v/>
      </c>
      <c r="AAS9" s="16">
        <f>AAS8-AAS7</f>
        <v/>
      </c>
      <c r="AAT9" s="16">
        <f>AAT8-AAT7</f>
        <v/>
      </c>
      <c r="AAU9" s="16">
        <f>AAU8-AAU7</f>
        <v/>
      </c>
      <c r="AAV9" s="16">
        <f>AAV8-AAV7</f>
        <v/>
      </c>
      <c r="AAW9" s="16">
        <f>AAW8-AAW7</f>
        <v/>
      </c>
      <c r="AAX9" s="127">
        <f>SUM(ZT9:AAW9)</f>
        <v/>
      </c>
      <c r="AAY9" s="16">
        <f>AAY8-AAY7</f>
        <v/>
      </c>
      <c r="AAZ9" s="16">
        <f>AAZ8-AAZ7</f>
        <v/>
      </c>
      <c r="ABA9" s="16">
        <f>ABA8-ABA7</f>
        <v/>
      </c>
      <c r="ABB9" s="16">
        <f>ABB8-ABB7</f>
        <v/>
      </c>
      <c r="ABC9" s="16">
        <f>ABC8-ABC7</f>
        <v/>
      </c>
      <c r="ABD9" s="16">
        <f>ABD8-ABD7</f>
        <v/>
      </c>
      <c r="ABE9" s="16">
        <f>ABE8-ABE7</f>
        <v/>
      </c>
      <c r="ABF9" s="16">
        <f>ABF8-ABF7</f>
        <v/>
      </c>
      <c r="ABG9" s="16">
        <f>ABG8-ABG7</f>
        <v/>
      </c>
      <c r="ABH9" s="16">
        <f>ABH8-ABH7</f>
        <v/>
      </c>
      <c r="ABI9" s="16">
        <f>ABI8-ABI7</f>
        <v/>
      </c>
      <c r="ABJ9" s="16">
        <f>ABJ8-ABJ7</f>
        <v/>
      </c>
      <c r="ABK9" s="16">
        <f>ABK8-ABK7</f>
        <v/>
      </c>
      <c r="ABL9" s="16">
        <f>ABL8-ABL7</f>
        <v/>
      </c>
      <c r="ABM9" s="16">
        <f>ABM8-ABM7</f>
        <v/>
      </c>
      <c r="ABN9" s="16">
        <f>ABN8-ABN7</f>
        <v/>
      </c>
      <c r="ABO9" s="16">
        <f>ABO8-ABO7</f>
        <v/>
      </c>
      <c r="ABP9" s="16">
        <f>ABP8-ABP7</f>
        <v/>
      </c>
      <c r="ABQ9" s="16">
        <f>ABQ8-ABQ7</f>
        <v/>
      </c>
      <c r="ABR9" s="16">
        <f>ABR8-ABR7</f>
        <v/>
      </c>
      <c r="ABS9" s="16">
        <f>ABS8-ABS7</f>
        <v/>
      </c>
      <c r="ABT9" s="16">
        <f>ABT8-ABT7</f>
        <v/>
      </c>
      <c r="ABU9" s="16">
        <f>ABU8-ABU7</f>
        <v/>
      </c>
      <c r="ABV9" s="16">
        <f>ABV8-ABV7</f>
        <v/>
      </c>
      <c r="ABW9" s="16">
        <f>ABW8-ABW7</f>
        <v/>
      </c>
      <c r="ABX9" s="16">
        <f>ABX8-ABX7</f>
        <v/>
      </c>
      <c r="ABY9" s="16">
        <f>ABY8-ABY7</f>
        <v/>
      </c>
      <c r="ABZ9" s="16">
        <f>ABZ8-ABZ7</f>
        <v/>
      </c>
      <c r="ACA9" s="16">
        <f>ACA8-ACA7</f>
        <v/>
      </c>
      <c r="ACB9" s="16">
        <f>ACB8-ACB7</f>
        <v/>
      </c>
      <c r="ACC9" s="16">
        <f>ACC8-ACC7</f>
        <v/>
      </c>
      <c r="ACD9" s="127">
        <f>SUM(AAY9:ACC9)</f>
        <v/>
      </c>
      <c r="ACE9" s="16">
        <f>ACE8-ACE7</f>
        <v/>
      </c>
      <c r="ACF9" s="16">
        <f>ACF8-ACF7</f>
        <v/>
      </c>
      <c r="ACG9" s="16">
        <f>ACG8-ACG7</f>
        <v/>
      </c>
      <c r="ACH9" s="16">
        <f>ACH8-ACH7</f>
        <v/>
      </c>
      <c r="ACI9" s="16">
        <f>ACI8-ACI7</f>
        <v/>
      </c>
      <c r="ACJ9" s="16">
        <f>ACJ8-ACJ7</f>
        <v/>
      </c>
      <c r="ACK9" s="16">
        <f>ACK8-ACK7</f>
        <v/>
      </c>
      <c r="ACL9" s="16">
        <f>ACL8-ACL7</f>
        <v/>
      </c>
      <c r="ACM9" s="16">
        <f>ACM8-ACM7</f>
        <v/>
      </c>
      <c r="ACN9" s="16">
        <f>ACN8-ACN7</f>
        <v/>
      </c>
      <c r="ACO9" s="16">
        <f>ACO8-ACO7</f>
        <v/>
      </c>
      <c r="ACP9" s="16">
        <f>ACP8-ACP7</f>
        <v/>
      </c>
      <c r="ACQ9" s="16">
        <f>ACQ8-ACQ7</f>
        <v/>
      </c>
      <c r="ACR9" s="16">
        <f>ACR8-ACR7</f>
        <v/>
      </c>
      <c r="ACS9" s="16">
        <f>ACS8-ACS7</f>
        <v/>
      </c>
      <c r="ACT9" s="16">
        <f>ACT8-ACT7</f>
        <v/>
      </c>
      <c r="ACU9" s="16">
        <f>ACU8-ACU7</f>
        <v/>
      </c>
      <c r="ACV9" s="16">
        <f>ACV8-ACV7</f>
        <v/>
      </c>
      <c r="ACW9" s="16">
        <f>ACW8-ACW7</f>
        <v/>
      </c>
      <c r="ACX9" s="16">
        <f>ACX8-ACX7</f>
        <v/>
      </c>
      <c r="ACY9" s="16">
        <f>ACY8-ACY7</f>
        <v/>
      </c>
      <c r="ACZ9" s="16">
        <f>ACZ8-ACZ7</f>
        <v/>
      </c>
      <c r="ADA9" s="16">
        <f>ADA8-ADA7</f>
        <v/>
      </c>
      <c r="ADB9" s="16">
        <f>ADB8-ADB7</f>
        <v/>
      </c>
      <c r="ADC9" s="16">
        <f>ADC8-ADC7</f>
        <v/>
      </c>
      <c r="ADD9" s="16">
        <f>ADD8-ADD7</f>
        <v/>
      </c>
      <c r="ADE9" s="16">
        <f>ADE8-ADE7</f>
        <v/>
      </c>
      <c r="ADF9" s="16">
        <f>ADF8-ADF7</f>
        <v/>
      </c>
      <c r="ADG9" s="16">
        <f>ADG8-ADG7</f>
        <v/>
      </c>
      <c r="ADH9" s="16">
        <f>ADH8-ADH7</f>
        <v/>
      </c>
      <c r="ADI9" s="16">
        <f>ADI8-ADI7</f>
        <v/>
      </c>
      <c r="ADJ9" s="127">
        <f>SUM(ACE9:ADI9)</f>
        <v/>
      </c>
      <c r="ADK9" s="16">
        <f>ADK8-ADK7</f>
        <v/>
      </c>
      <c r="ADL9" s="16">
        <f>ADL8-ADL7</f>
        <v/>
      </c>
      <c r="ADM9" s="16">
        <f>ADM8-ADM7</f>
        <v/>
      </c>
      <c r="ADN9" s="16">
        <f>ADN8-ADN7</f>
        <v/>
      </c>
      <c r="ADO9" s="16">
        <f>ADO8-ADO7</f>
        <v/>
      </c>
      <c r="ADP9" s="16">
        <f>ADP8-ADP7</f>
        <v/>
      </c>
      <c r="ADQ9" s="16">
        <f>ADQ8-ADQ7</f>
        <v/>
      </c>
      <c r="ADR9" s="16">
        <f>ADR8-ADR7</f>
        <v/>
      </c>
      <c r="ADS9" s="16">
        <f>ADS8-ADS7</f>
        <v/>
      </c>
      <c r="ADT9" s="16">
        <f>ADT8-ADT7</f>
        <v/>
      </c>
      <c r="ADU9" s="16">
        <f>ADU8-ADU7</f>
        <v/>
      </c>
      <c r="ADV9" s="16">
        <f>ADV8-ADV7</f>
        <v/>
      </c>
      <c r="ADW9" s="16">
        <f>ADW8-ADW7</f>
        <v/>
      </c>
      <c r="ADX9" s="16">
        <f>ADX8-ADX7</f>
        <v/>
      </c>
      <c r="ADY9" s="16">
        <f>ADY8-ADY7</f>
        <v/>
      </c>
      <c r="ADZ9" s="16">
        <f>ADZ8-ADZ7</f>
        <v/>
      </c>
      <c r="AEA9" s="16">
        <f>AEA8-AEA7</f>
        <v/>
      </c>
      <c r="AEB9" s="16">
        <f>AEB8-AEB7</f>
        <v/>
      </c>
      <c r="AEC9" s="16">
        <f>AEC8-AEC7</f>
        <v/>
      </c>
      <c r="AED9" s="16">
        <f>AED8-AED7</f>
        <v/>
      </c>
      <c r="AEE9" s="16">
        <f>AEE8-AEE7</f>
        <v/>
      </c>
      <c r="AEF9" s="16">
        <f>AEF8-AEF7</f>
        <v/>
      </c>
      <c r="AEG9" s="16">
        <f>AEG8-AEG7</f>
        <v/>
      </c>
      <c r="AEH9" s="16">
        <f>AEH8-AEH7</f>
        <v/>
      </c>
      <c r="AEI9" s="16">
        <f>AEI8-AEI7</f>
        <v/>
      </c>
      <c r="AEJ9" s="16">
        <f>AEJ8-AEJ7</f>
        <v/>
      </c>
      <c r="AEK9" s="16">
        <f>AEK8-AEK7</f>
        <v/>
      </c>
      <c r="AEL9" s="16">
        <f>AEL8-AEL7</f>
        <v/>
      </c>
      <c r="AEM9" s="16">
        <f>AEM8-AEM7</f>
        <v/>
      </c>
      <c r="AEN9" s="16">
        <f>AEN8-AEN7</f>
        <v/>
      </c>
      <c r="AEO9" s="127">
        <f>SUM(ADK9:AEN9)</f>
        <v/>
      </c>
      <c r="AEP9" s="16">
        <f>AEP8-AEP7</f>
        <v/>
      </c>
      <c r="AEQ9" s="16">
        <f>AEQ8-AEQ7</f>
        <v/>
      </c>
      <c r="AER9" s="16">
        <f>AER8-AER7</f>
        <v/>
      </c>
      <c r="AES9" s="16">
        <f>AES8-AES7</f>
        <v/>
      </c>
      <c r="AET9" s="16">
        <f>AET8-AET7</f>
        <v/>
      </c>
      <c r="AEU9" s="16">
        <f>AEU8-AEU7</f>
        <v/>
      </c>
      <c r="AEV9" s="16">
        <f>AEV8-AEV7</f>
        <v/>
      </c>
      <c r="AEW9" s="16">
        <f>AEW8-AEW7</f>
        <v/>
      </c>
      <c r="AEX9" s="16">
        <f>AEX8-AEX7</f>
        <v/>
      </c>
      <c r="AEY9" s="16">
        <f>AEY8-AEY7</f>
        <v/>
      </c>
      <c r="AEZ9" s="16">
        <f>AEZ8-AEZ7</f>
        <v/>
      </c>
      <c r="AFA9" s="16">
        <f>AFA8-AFA7</f>
        <v/>
      </c>
      <c r="AFB9" s="16">
        <f>AFB8-AFB7</f>
        <v/>
      </c>
      <c r="AFC9" s="16">
        <f>AFC8-AFC7</f>
        <v/>
      </c>
      <c r="AFD9" s="16">
        <f>AFD8-AFD7</f>
        <v/>
      </c>
      <c r="AFE9" s="16">
        <f>AFE8-AFE7</f>
        <v/>
      </c>
      <c r="AFF9" s="16">
        <f>AFF8-AFF7</f>
        <v/>
      </c>
      <c r="AFG9" s="16">
        <f>AFG8-AFG7</f>
        <v/>
      </c>
      <c r="AFH9" s="16">
        <f>AFH8-AFH7</f>
        <v/>
      </c>
      <c r="AFI9" s="16">
        <f>AFI8-AFI7</f>
        <v/>
      </c>
      <c r="AFJ9" s="16">
        <f>AFJ8-AFJ7</f>
        <v/>
      </c>
      <c r="AFK9" s="16">
        <f>AFK8-AFK7</f>
        <v/>
      </c>
      <c r="AFL9" s="16">
        <f>AFL8-AFL7</f>
        <v/>
      </c>
      <c r="AFM9" s="16">
        <f>AFM8-AFM7</f>
        <v/>
      </c>
      <c r="AFN9" s="16">
        <f>AFN8-AFN7</f>
        <v/>
      </c>
      <c r="AFO9" s="16">
        <f>AFO8-AFO7</f>
        <v/>
      </c>
      <c r="AFP9" s="16">
        <f>AFP8-AFP7</f>
        <v/>
      </c>
      <c r="AFQ9" s="16">
        <f>AFQ8-AFQ7</f>
        <v/>
      </c>
      <c r="AFR9" s="16">
        <f>AFR8-AFR7</f>
        <v/>
      </c>
      <c r="AFS9" s="16">
        <f>AFS8-AFS7</f>
        <v/>
      </c>
      <c r="AFT9" s="16">
        <f>AFT8-AFT7</f>
        <v/>
      </c>
      <c r="AFU9" s="127">
        <f>SUM(AEP9:AFT9)</f>
        <v/>
      </c>
      <c r="AFV9" s="16">
        <f>AFV8-AFV7</f>
        <v/>
      </c>
      <c r="AFW9" s="16">
        <f>AFW8-AFW7</f>
        <v/>
      </c>
      <c r="AFX9" s="16">
        <f>AFX8-AFX7</f>
        <v/>
      </c>
      <c r="AFY9" s="16">
        <f>AFY8-AFY7</f>
        <v/>
      </c>
      <c r="AFZ9" s="16">
        <f>AFZ8-AFZ7</f>
        <v/>
      </c>
      <c r="AGA9" s="16">
        <f>AGA8-AGA7</f>
        <v/>
      </c>
      <c r="AGB9" s="16">
        <f>AGB8-AGB7</f>
        <v/>
      </c>
      <c r="AGC9" s="16">
        <f>AGC8-AGC7</f>
        <v/>
      </c>
      <c r="AGD9" s="16">
        <f>AGD8-AGD7</f>
        <v/>
      </c>
      <c r="AGE9" s="16">
        <f>AGE8-AGE7</f>
        <v/>
      </c>
      <c r="AGF9" s="16">
        <f>AGF8-AGF7</f>
        <v/>
      </c>
      <c r="AGG9" s="16">
        <f>AGG8-AGG7</f>
        <v/>
      </c>
      <c r="AGH9" s="16">
        <f>AGH8-AGH7</f>
        <v/>
      </c>
      <c r="AGI9" s="16">
        <f>AGI8-AGI7</f>
        <v/>
      </c>
      <c r="AGJ9" s="16">
        <f>AGJ8-AGJ7</f>
        <v/>
      </c>
      <c r="AGK9" s="16">
        <f>AGK8-AGK7</f>
        <v/>
      </c>
      <c r="AGL9" s="16">
        <f>AGL8-AGL7</f>
        <v/>
      </c>
      <c r="AGM9" s="16">
        <f>AGM8-AGM7</f>
        <v/>
      </c>
      <c r="AGN9" s="16">
        <f>AGN8-AGN7</f>
        <v/>
      </c>
      <c r="AGO9" s="16">
        <f>AGO8-AGO7</f>
        <v/>
      </c>
      <c r="AGP9" s="16">
        <f>AGP8-AGP7</f>
        <v/>
      </c>
      <c r="AGQ9" s="16">
        <f>AGQ8-AGQ7</f>
        <v/>
      </c>
      <c r="AGR9" s="16">
        <f>AGR8-AGR7</f>
        <v/>
      </c>
      <c r="AGS9" s="16">
        <f>AGS8-AGS7</f>
        <v/>
      </c>
      <c r="AGT9" s="16">
        <f>AGT8-AGT7</f>
        <v/>
      </c>
      <c r="AGU9" s="16">
        <f>AGU8-AGU7</f>
        <v/>
      </c>
      <c r="AGV9" s="16">
        <f>AGV8-AGV7</f>
        <v/>
      </c>
      <c r="AGW9" s="16">
        <f>AGW8-AGW7</f>
        <v/>
      </c>
      <c r="AGX9" s="16">
        <f>AGX8-AGX7</f>
        <v/>
      </c>
      <c r="AGY9" s="16">
        <f>AGY8-AGY7</f>
        <v/>
      </c>
      <c r="AGZ9" s="127">
        <f>SUM(AFV9:AGY9)</f>
        <v/>
      </c>
      <c r="AHA9" s="16">
        <f>AHA8-AHA7</f>
        <v/>
      </c>
      <c r="AHB9" s="16">
        <f>AHB8-AHB7</f>
        <v/>
      </c>
      <c r="AHC9" s="16">
        <f>AHC8-AHC7</f>
        <v/>
      </c>
      <c r="AHD9" s="16">
        <f>AHD8-AHD7</f>
        <v/>
      </c>
      <c r="AHE9" s="16">
        <f>AHE8-AHE7</f>
        <v/>
      </c>
      <c r="AHF9" s="16">
        <f>AHF8-AHF7</f>
        <v/>
      </c>
      <c r="AHG9" s="16">
        <f>AHG8-AHG7</f>
        <v/>
      </c>
      <c r="AHH9" s="16">
        <f>AHH8-AHH7</f>
        <v/>
      </c>
      <c r="AHI9" s="16">
        <f>AHI8-AHI7</f>
        <v/>
      </c>
      <c r="AHJ9" s="16">
        <f>AHJ8-AHJ7</f>
        <v/>
      </c>
      <c r="AHK9" s="16">
        <f>AHK8-AHK7</f>
        <v/>
      </c>
      <c r="AHL9" s="16">
        <f>AHL8-AHL7</f>
        <v/>
      </c>
      <c r="AHM9" s="16">
        <f>AHM8-AHM7</f>
        <v/>
      </c>
      <c r="AHN9" s="16">
        <f>AHN8-AHN7</f>
        <v/>
      </c>
      <c r="AHO9" s="16">
        <f>AHO8-AHO7</f>
        <v/>
      </c>
      <c r="AHP9" s="16">
        <f>AHP8-AHP7</f>
        <v/>
      </c>
      <c r="AHQ9" s="16">
        <f>AHQ8-AHQ7</f>
        <v/>
      </c>
      <c r="AHR9" s="16">
        <f>AHR8-AHR7</f>
        <v/>
      </c>
      <c r="AHS9" s="16">
        <f>AHS8-AHS7</f>
        <v/>
      </c>
      <c r="AHT9" s="16">
        <f>AHT8-AHT7</f>
        <v/>
      </c>
      <c r="AHU9" s="16">
        <f>AHU8-AHU7</f>
        <v/>
      </c>
      <c r="AHV9" s="16">
        <f>AHV8-AHV7</f>
        <v/>
      </c>
      <c r="AHW9" s="16">
        <f>AHW8-AHW7</f>
        <v/>
      </c>
      <c r="AHX9" s="16">
        <f>AHX8-AHX7</f>
        <v/>
      </c>
      <c r="AHY9" s="16">
        <f>AHY8-AHY7</f>
        <v/>
      </c>
      <c r="AHZ9" s="16">
        <f>AHZ8-AHZ7</f>
        <v/>
      </c>
      <c r="AIA9" s="16">
        <f>AIA8-AIA7</f>
        <v/>
      </c>
      <c r="AIB9" s="16">
        <f>AIB8-AIB7</f>
        <v/>
      </c>
      <c r="AIC9" s="16">
        <f>AIC8-AIC7</f>
        <v/>
      </c>
      <c r="AID9" s="16">
        <f>AID8-AID7</f>
        <v/>
      </c>
      <c r="AIE9" s="16">
        <f>AIE8-AIE7</f>
        <v/>
      </c>
      <c r="AIF9" s="127">
        <f>SUM(AHA9:AIE9)</f>
        <v/>
      </c>
      <c r="AIG9" s="16">
        <f>AIG8-AIG7</f>
        <v/>
      </c>
      <c r="AIH9" s="16">
        <f>AIH8-AIH7</f>
        <v/>
      </c>
      <c r="AII9" s="16">
        <f>AII8-AII7</f>
        <v/>
      </c>
      <c r="AIJ9" s="16">
        <f>AIJ8-AIJ7</f>
        <v/>
      </c>
      <c r="AIK9" s="16">
        <f>AIK8-AIK7</f>
        <v/>
      </c>
      <c r="AIL9" s="16">
        <f>AIL8-AIL7</f>
        <v/>
      </c>
      <c r="AIM9" s="16">
        <f>AIM8-AIM7</f>
        <v/>
      </c>
      <c r="AIN9" s="16">
        <f>AIN8-AIN7</f>
        <v/>
      </c>
      <c r="AIO9" s="16">
        <f>AIO8-AIO7</f>
        <v/>
      </c>
      <c r="AIP9" s="16">
        <f>AIP8-AIP7</f>
        <v/>
      </c>
      <c r="AIQ9" s="16">
        <f>AIQ8-AIQ7</f>
        <v/>
      </c>
      <c r="AIR9" s="16">
        <f>AIR8-AIR7</f>
        <v/>
      </c>
      <c r="AIS9" s="16">
        <f>AIS8-AIS7</f>
        <v/>
      </c>
      <c r="AIT9" s="16">
        <f>AIT8-AIT7</f>
        <v/>
      </c>
      <c r="AIU9" s="16">
        <f>AIU8-AIU7</f>
        <v/>
      </c>
      <c r="AIV9" s="16">
        <f>AIV8-AIV7</f>
        <v/>
      </c>
      <c r="AIW9" s="16">
        <f>AIW8-AIW7</f>
        <v/>
      </c>
      <c r="AIX9" s="16">
        <f>AIX8-AIX7</f>
        <v/>
      </c>
      <c r="AIY9" s="16">
        <f>AIY8-AIY7</f>
        <v/>
      </c>
      <c r="AIZ9" s="16">
        <f>AIZ8-AIZ7</f>
        <v/>
      </c>
      <c r="AJA9" s="16">
        <f>AJA8-AJA7</f>
        <v/>
      </c>
      <c r="AJB9" s="16">
        <f>AJB8-AJB7</f>
        <v/>
      </c>
      <c r="AJC9" s="16">
        <f>AJC8-AJC7</f>
        <v/>
      </c>
      <c r="AJD9" s="16">
        <f>AJD8-AJD7</f>
        <v/>
      </c>
      <c r="AJE9" s="16">
        <f>AJE8-AJE7</f>
        <v/>
      </c>
      <c r="AJF9" s="16">
        <f>AJF8-AJF7</f>
        <v/>
      </c>
      <c r="AJG9" s="16">
        <f>AJG8-AJG7</f>
        <v/>
      </c>
      <c r="AJH9" s="16">
        <f>AJH8-AJH7</f>
        <v/>
      </c>
      <c r="AJI9" s="16">
        <f>AJI8-AJI7</f>
        <v/>
      </c>
      <c r="AJJ9" s="16">
        <f>AJJ8-AJJ7</f>
        <v/>
      </c>
      <c r="AJK9" s="16">
        <f>AJK8-AJK7</f>
        <v/>
      </c>
      <c r="AJL9" s="127">
        <f>SUM(AIG9:AJK9)</f>
        <v/>
      </c>
      <c r="AJM9" s="16">
        <f>AJM8-AJM7</f>
        <v/>
      </c>
      <c r="AJN9" s="16">
        <f>AJN8-AJN7</f>
        <v/>
      </c>
      <c r="AJO9" s="16">
        <f>AJO8-AJO7</f>
        <v/>
      </c>
      <c r="AJP9" s="16">
        <f>AJP8-AJP7</f>
        <v/>
      </c>
      <c r="AJQ9" s="16">
        <f>AJQ8-AJQ7</f>
        <v/>
      </c>
      <c r="AJR9" s="16">
        <f>AJR8-AJR7</f>
        <v/>
      </c>
      <c r="AJS9" s="16">
        <f>AJS8-AJS7</f>
        <v/>
      </c>
      <c r="AJT9" s="16">
        <f>AJT8-AJT7</f>
        <v/>
      </c>
      <c r="AJU9" s="16">
        <f>AJU8-AJU7</f>
        <v/>
      </c>
      <c r="AJV9" s="16">
        <f>AJV8-AJV7</f>
        <v/>
      </c>
      <c r="AJW9" s="16">
        <f>AJW8-AJW7</f>
        <v/>
      </c>
      <c r="AJX9" s="16">
        <f>AJX8-AJX7</f>
        <v/>
      </c>
      <c r="AJY9" s="16">
        <f>AJY8-AJY7</f>
        <v/>
      </c>
      <c r="AJZ9" s="16">
        <f>AJZ8-AJZ7</f>
        <v/>
      </c>
      <c r="AKA9" s="16">
        <f>AKA8-AKA7</f>
        <v/>
      </c>
      <c r="AKB9" s="16">
        <f>AKB8-AKB7</f>
        <v/>
      </c>
      <c r="AKC9" s="16">
        <f>AKC8-AKC7</f>
        <v/>
      </c>
      <c r="AKD9" s="16">
        <f>AKD8-AKD7</f>
        <v/>
      </c>
      <c r="AKE9" s="16">
        <f>AKE8-AKE7</f>
        <v/>
      </c>
      <c r="AKF9" s="16">
        <f>AKF8-AKF7</f>
        <v/>
      </c>
      <c r="AKG9" s="16">
        <f>AKG8-AKG7</f>
        <v/>
      </c>
      <c r="AKH9" s="16">
        <f>AKH8-AKH7</f>
        <v/>
      </c>
      <c r="AKI9" s="16">
        <f>AKI8-AKI7</f>
        <v/>
      </c>
      <c r="AKJ9" s="16">
        <f>AKJ8-AKJ7</f>
        <v/>
      </c>
      <c r="AKK9" s="16">
        <f>AKK8-AKK7</f>
        <v/>
      </c>
      <c r="AKL9" s="16">
        <f>AKL8-AKL7</f>
        <v/>
      </c>
      <c r="AKM9" s="16">
        <f>AKM8-AKM7</f>
        <v/>
      </c>
      <c r="AKN9" s="16">
        <f>AKN8-AKN7</f>
        <v/>
      </c>
      <c r="AKO9" s="127">
        <f>SUM(AJM9:AKN9)</f>
        <v/>
      </c>
      <c r="AKP9" s="16">
        <f>AKP8-AKP7</f>
        <v/>
      </c>
      <c r="AKQ9" s="16">
        <f>AKQ8-AKQ7</f>
        <v/>
      </c>
      <c r="AKR9" s="16">
        <f>AKR8-AKR7</f>
        <v/>
      </c>
      <c r="AKS9" s="16">
        <f>AKS8-AKS7</f>
        <v/>
      </c>
      <c r="AKT9" s="16">
        <f>AKT8-AKT7</f>
        <v/>
      </c>
      <c r="AKU9" s="16">
        <f>AKU8-AKU7</f>
        <v/>
      </c>
      <c r="AKV9" s="16">
        <f>AKV8-AKV7</f>
        <v/>
      </c>
      <c r="AKW9" s="16">
        <f>AKW8-AKW7</f>
        <v/>
      </c>
      <c r="AKX9" s="16">
        <f>AKX8-AKX7</f>
        <v/>
      </c>
      <c r="AKY9" s="16">
        <f>AKY8-AKY7</f>
        <v/>
      </c>
      <c r="AKZ9" s="16">
        <f>AKZ8-AKZ7</f>
        <v/>
      </c>
      <c r="ALA9" s="16">
        <f>ALA8-ALA7</f>
        <v/>
      </c>
      <c r="ALB9" s="16">
        <f>ALB8-ALB7</f>
        <v/>
      </c>
      <c r="ALC9" s="16">
        <f>ALC8-ALC7</f>
        <v/>
      </c>
      <c r="ALD9" s="16">
        <f>ALD8-ALD7</f>
        <v/>
      </c>
      <c r="ALE9" s="16">
        <f>ALE8-ALE7</f>
        <v/>
      </c>
      <c r="ALF9" s="16">
        <f>ALF8-ALF7</f>
        <v/>
      </c>
      <c r="ALG9" s="16">
        <f>ALG8-ALG7</f>
        <v/>
      </c>
      <c r="ALH9" s="16">
        <f>ALH8-ALH7</f>
        <v/>
      </c>
      <c r="ALI9" s="16">
        <f>ALI8-ALI7</f>
        <v/>
      </c>
      <c r="ALJ9" s="16">
        <f>ALJ8-ALJ7</f>
        <v/>
      </c>
      <c r="ALK9" s="16">
        <f>ALK8-ALK7</f>
        <v/>
      </c>
      <c r="ALL9" s="16">
        <f>ALL8-ALL7</f>
        <v/>
      </c>
      <c r="ALM9" s="16">
        <f>ALM8-ALM7</f>
        <v/>
      </c>
      <c r="ALN9" s="16">
        <f>ALN8-ALN7</f>
        <v/>
      </c>
      <c r="ALO9" s="16">
        <f>ALO8-ALO7</f>
        <v/>
      </c>
      <c r="ALP9" s="16">
        <f>ALP8-ALP7</f>
        <v/>
      </c>
      <c r="ALQ9" s="16">
        <f>ALQ8-ALQ7</f>
        <v/>
      </c>
      <c r="ALR9" s="16">
        <f>ALR8-ALR7</f>
        <v/>
      </c>
      <c r="ALS9" s="16">
        <f>ALS8-ALS7</f>
        <v/>
      </c>
      <c r="ALT9" s="16">
        <f>ALT8-ALT7</f>
        <v/>
      </c>
      <c r="ALU9" s="127">
        <f>SUM(AKP9:ALT9)</f>
        <v/>
      </c>
      <c r="ALV9" s="16">
        <f>ALV8-ALV7</f>
        <v/>
      </c>
      <c r="ALW9" s="16">
        <f>ALW8-ALW7</f>
        <v/>
      </c>
      <c r="ALX9" s="16">
        <f>ALX8-ALX7</f>
        <v/>
      </c>
      <c r="ALY9" s="16">
        <f>ALY8-ALY7</f>
        <v/>
      </c>
      <c r="ALZ9" s="16">
        <f>ALZ8-ALZ7</f>
        <v/>
      </c>
      <c r="AMA9" s="16">
        <f>AMA8-AMA7</f>
        <v/>
      </c>
      <c r="AMB9" s="16">
        <f>AMB8-AMB7</f>
        <v/>
      </c>
      <c r="AMC9" s="16">
        <f>AMC8-AMC7</f>
        <v/>
      </c>
      <c r="AMD9" s="16">
        <f>AMD8-AMD7</f>
        <v/>
      </c>
      <c r="AME9" s="16">
        <f>AME8-AME7</f>
        <v/>
      </c>
      <c r="AMF9" s="16">
        <f>AMF8-AMF7</f>
        <v/>
      </c>
      <c r="AMG9" s="16">
        <f>AMG8-AMG7</f>
        <v/>
      </c>
      <c r="AMH9" s="16">
        <f>AMH8-AMH7</f>
        <v/>
      </c>
      <c r="AMI9" s="16">
        <f>AMI8-AMI7</f>
        <v/>
      </c>
      <c r="AMJ9" s="16">
        <f>AMJ8-AMJ7</f>
        <v/>
      </c>
      <c r="AMK9" s="16">
        <f>AMK8-AMK7</f>
        <v/>
      </c>
      <c r="AML9" s="16">
        <f>AML8-AML7</f>
        <v/>
      </c>
      <c r="AMM9" s="16">
        <f>AMM8-AMM7</f>
        <v/>
      </c>
      <c r="AMN9" s="16">
        <f>AMN8-AMN7</f>
        <v/>
      </c>
      <c r="AMO9" s="16">
        <f>AMO8-AMO7</f>
        <v/>
      </c>
      <c r="AMP9" s="16">
        <f>AMP8-AMP7</f>
        <v/>
      </c>
      <c r="AMQ9" s="16">
        <f>AMQ8-AMQ7</f>
        <v/>
      </c>
      <c r="AMR9" s="16">
        <f>AMR8-AMR7</f>
        <v/>
      </c>
      <c r="AMS9" s="16">
        <f>AMS8-AMS7</f>
        <v/>
      </c>
      <c r="AMT9" s="16">
        <f>AMT8-AMT7</f>
        <v/>
      </c>
      <c r="AMU9" s="16">
        <f>AMU8-AMU7</f>
        <v/>
      </c>
      <c r="AMV9" s="16">
        <f>AMV8-AMV7</f>
        <v/>
      </c>
      <c r="AMW9" s="16">
        <f>AMW8-AMW7</f>
        <v/>
      </c>
      <c r="AMX9" s="16">
        <f>AMX8-AMX7</f>
        <v/>
      </c>
      <c r="AMY9" s="16">
        <f>AMY8-AMY7</f>
        <v/>
      </c>
      <c r="AMZ9" s="127">
        <f>SUM(ALV9:AMY9)</f>
        <v/>
      </c>
      <c r="ANA9" s="16">
        <f>ANA8-ANA7</f>
        <v/>
      </c>
      <c r="ANB9" s="16">
        <f>ANB8-ANB7</f>
        <v/>
      </c>
      <c r="ANC9" s="16">
        <f>ANC8-ANC7</f>
        <v/>
      </c>
      <c r="AND9" s="16">
        <f>AND8-AND7</f>
        <v/>
      </c>
      <c r="ANE9" s="16">
        <f>ANE8-ANE7</f>
        <v/>
      </c>
      <c r="ANF9" s="16">
        <f>ANF8-ANF7</f>
        <v/>
      </c>
      <c r="ANG9" s="16">
        <f>ANG8-ANG7</f>
        <v/>
      </c>
      <c r="ANH9" s="16">
        <f>ANH8-ANH7</f>
        <v/>
      </c>
      <c r="ANI9" s="16">
        <f>ANI8-ANI7</f>
        <v/>
      </c>
      <c r="ANJ9" s="16">
        <f>ANJ8-ANJ7</f>
        <v/>
      </c>
      <c r="ANK9" s="16">
        <f>ANK8-ANK7</f>
        <v/>
      </c>
      <c r="ANL9" s="16">
        <f>ANL8-ANL7</f>
        <v/>
      </c>
      <c r="ANM9" s="16">
        <f>ANM8-ANM7</f>
        <v/>
      </c>
      <c r="ANN9" s="16">
        <f>ANN8-ANN7</f>
        <v/>
      </c>
      <c r="ANO9" s="16">
        <f>ANO8-ANO7</f>
        <v/>
      </c>
      <c r="ANP9" s="16">
        <f>ANP8-ANP7</f>
        <v/>
      </c>
      <c r="ANQ9" s="16">
        <f>ANQ8-ANQ7</f>
        <v/>
      </c>
      <c r="ANR9" s="16">
        <f>ANR8-ANR7</f>
        <v/>
      </c>
      <c r="ANS9" s="16">
        <f>ANS8-ANS7</f>
        <v/>
      </c>
      <c r="ANT9" s="16">
        <f>ANT8-ANT7</f>
        <v/>
      </c>
      <c r="ANU9" s="16">
        <f>ANU8-ANU7</f>
        <v/>
      </c>
      <c r="ANV9" s="16">
        <f>ANV8-ANV7</f>
        <v/>
      </c>
      <c r="ANW9" s="16">
        <f>ANW8-ANW7</f>
        <v/>
      </c>
      <c r="ANX9" s="16">
        <f>ANX8-ANX7</f>
        <v/>
      </c>
      <c r="ANY9" s="16">
        <f>ANY8-ANY7</f>
        <v/>
      </c>
      <c r="ANZ9" s="16">
        <f>ANZ8-ANZ7</f>
        <v/>
      </c>
      <c r="AOA9" s="16">
        <f>AOA8-AOA7</f>
        <v/>
      </c>
      <c r="AOB9" s="16">
        <f>AOB8-AOB7</f>
        <v/>
      </c>
      <c r="AOC9" s="16">
        <f>AOC8-AOC7</f>
        <v/>
      </c>
      <c r="AOD9" s="16">
        <f>AOD8-AOD7</f>
        <v/>
      </c>
      <c r="AOE9">
        <f>AOE8-AOE7</f>
        <v/>
      </c>
      <c r="AOF9">
        <f>AOF8-AOF7</f>
        <v/>
      </c>
    </row>
    <row r="10">
      <c r="A10" s="157" t="n"/>
      <c r="B10" s="159" t="inlineStr">
        <is>
          <t>PMS 3</t>
        </is>
      </c>
      <c r="C10" s="47" t="inlineStr">
        <is>
          <t>OPENING</t>
        </is>
      </c>
      <c r="D10" s="48" t="n">
        <v>720692.602</v>
      </c>
      <c r="E10" s="48">
        <f>D11</f>
        <v/>
      </c>
      <c r="F10" s="48">
        <f>E11</f>
        <v/>
      </c>
      <c r="G10" s="48">
        <f>F11</f>
        <v/>
      </c>
      <c r="H10" s="48">
        <f>G11</f>
        <v/>
      </c>
      <c r="I10" s="48">
        <f>H11</f>
        <v/>
      </c>
      <c r="J10" s="48">
        <f>I11</f>
        <v/>
      </c>
      <c r="K10" s="48">
        <f>J11</f>
        <v/>
      </c>
      <c r="L10" s="48">
        <f>K11</f>
        <v/>
      </c>
      <c r="M10" s="48">
        <f>L11</f>
        <v/>
      </c>
      <c r="N10" s="48">
        <f>M11</f>
        <v/>
      </c>
      <c r="O10" s="48">
        <f>N11</f>
        <v/>
      </c>
      <c r="P10" s="48">
        <f>O11</f>
        <v/>
      </c>
      <c r="Q10" s="48">
        <f>P11</f>
        <v/>
      </c>
      <c r="R10" s="48">
        <f>Q11</f>
        <v/>
      </c>
      <c r="S10" s="48">
        <f>R11</f>
        <v/>
      </c>
      <c r="T10" s="48">
        <f>S11</f>
        <v/>
      </c>
      <c r="U10" s="48">
        <f>T11</f>
        <v/>
      </c>
      <c r="V10" s="48">
        <f>U11</f>
        <v/>
      </c>
      <c r="W10" s="48">
        <f>V11</f>
        <v/>
      </c>
      <c r="X10" s="48">
        <f>W11</f>
        <v/>
      </c>
      <c r="Y10" s="48">
        <f>X11</f>
        <v/>
      </c>
      <c r="Z10" s="48">
        <f>Y11</f>
        <v/>
      </c>
      <c r="AA10" s="48">
        <f>Z11</f>
        <v/>
      </c>
      <c r="AB10" s="48">
        <f>AA11</f>
        <v/>
      </c>
      <c r="AC10" s="48">
        <f>AB11</f>
        <v/>
      </c>
      <c r="AD10" s="48">
        <f>AC11</f>
        <v/>
      </c>
      <c r="AE10" s="48">
        <f>AD11</f>
        <v/>
      </c>
      <c r="AF10" s="48">
        <f>AE11</f>
        <v/>
      </c>
      <c r="AG10" s="48">
        <f>AF11</f>
        <v/>
      </c>
      <c r="AH10" s="48">
        <f>AG11</f>
        <v/>
      </c>
      <c r="AI10" s="49" t="n"/>
      <c r="AJ10" s="89">
        <f>AH11</f>
        <v/>
      </c>
      <c r="AK10" s="89">
        <f>AJ11</f>
        <v/>
      </c>
      <c r="AL10" s="89">
        <f>AK11</f>
        <v/>
      </c>
      <c r="AM10" s="89">
        <f>AL11</f>
        <v/>
      </c>
      <c r="AN10" s="89">
        <f>AM11</f>
        <v/>
      </c>
      <c r="AO10" s="89">
        <f>AN11</f>
        <v/>
      </c>
      <c r="AP10" s="89">
        <f>AO11</f>
        <v/>
      </c>
      <c r="AQ10" s="89">
        <f>AP11</f>
        <v/>
      </c>
      <c r="AR10" s="89">
        <f>AQ11</f>
        <v/>
      </c>
      <c r="AS10" s="89">
        <f>AR11</f>
        <v/>
      </c>
      <c r="AT10" s="89">
        <f>AS11</f>
        <v/>
      </c>
      <c r="AU10" s="89">
        <f>AT11</f>
        <v/>
      </c>
      <c r="AV10" s="89">
        <f>AU11</f>
        <v/>
      </c>
      <c r="AW10" s="89">
        <f>AV11</f>
        <v/>
      </c>
      <c r="AX10" s="89">
        <f>AW11</f>
        <v/>
      </c>
      <c r="AY10" s="89">
        <f>AX11</f>
        <v/>
      </c>
      <c r="AZ10" s="89">
        <f>AY11</f>
        <v/>
      </c>
      <c r="BA10" s="89">
        <f>AZ11</f>
        <v/>
      </c>
      <c r="BB10" s="89">
        <f>BA11</f>
        <v/>
      </c>
      <c r="BC10" s="89">
        <f>BB11</f>
        <v/>
      </c>
      <c r="BD10" s="89">
        <f>BC11</f>
        <v/>
      </c>
      <c r="BE10" s="89">
        <f>BD11</f>
        <v/>
      </c>
      <c r="BF10" s="89">
        <f>BE11</f>
        <v/>
      </c>
      <c r="BG10" s="89">
        <f>BF11</f>
        <v/>
      </c>
      <c r="BH10" s="89">
        <f>BG11</f>
        <v/>
      </c>
      <c r="BI10" s="89">
        <f>BH11</f>
        <v/>
      </c>
      <c r="BJ10" s="89">
        <f>BI11</f>
        <v/>
      </c>
      <c r="BK10" s="89">
        <f>BJ11</f>
        <v/>
      </c>
      <c r="BL10" s="89">
        <f>BK11</f>
        <v/>
      </c>
      <c r="BM10" s="89">
        <f>BL11</f>
        <v/>
      </c>
      <c r="BO10" s="89">
        <f>BM11</f>
        <v/>
      </c>
      <c r="BP10" s="89">
        <f>BO11</f>
        <v/>
      </c>
      <c r="BQ10" s="89">
        <f>BP11</f>
        <v/>
      </c>
      <c r="BR10" s="89">
        <f>BQ11</f>
        <v/>
      </c>
      <c r="BS10" s="89">
        <f>BR11</f>
        <v/>
      </c>
      <c r="BT10" s="89">
        <f>BS11</f>
        <v/>
      </c>
      <c r="BU10" s="89">
        <f>BT11</f>
        <v/>
      </c>
      <c r="BV10" s="89">
        <f>BU11</f>
        <v/>
      </c>
      <c r="BW10" s="89">
        <f>BV11</f>
        <v/>
      </c>
      <c r="BX10" s="89">
        <f>BW11</f>
        <v/>
      </c>
      <c r="BY10" s="89">
        <f>BX11</f>
        <v/>
      </c>
      <c r="BZ10" s="89">
        <f>BY11</f>
        <v/>
      </c>
      <c r="CA10" s="89">
        <f>BZ11</f>
        <v/>
      </c>
      <c r="CB10" s="89">
        <f>CA11</f>
        <v/>
      </c>
      <c r="CC10" s="89">
        <f>CB11</f>
        <v/>
      </c>
      <c r="CD10" s="89">
        <f>CC11</f>
        <v/>
      </c>
      <c r="CE10" s="89">
        <f>CD11</f>
        <v/>
      </c>
      <c r="CF10" s="89">
        <f>CE11</f>
        <v/>
      </c>
      <c r="CG10" s="89">
        <f>CF11</f>
        <v/>
      </c>
      <c r="CH10" s="89">
        <f>CG11</f>
        <v/>
      </c>
      <c r="CI10" s="89">
        <f>CH11</f>
        <v/>
      </c>
      <c r="CJ10" s="89">
        <f>CI11</f>
        <v/>
      </c>
      <c r="CK10" s="89">
        <f>CJ11</f>
        <v/>
      </c>
      <c r="CL10" s="89">
        <f>CK11</f>
        <v/>
      </c>
      <c r="CM10" s="89">
        <f>CL11</f>
        <v/>
      </c>
      <c r="CN10" s="89">
        <f>CM11</f>
        <v/>
      </c>
      <c r="CO10" s="89">
        <f>CN11</f>
        <v/>
      </c>
      <c r="CP10" s="89">
        <f>CO11</f>
        <v/>
      </c>
      <c r="CQ10" s="89">
        <f>CP11</f>
        <v/>
      </c>
      <c r="CR10" s="89">
        <f>CQ11</f>
        <v/>
      </c>
      <c r="CS10" s="89">
        <f>CR11</f>
        <v/>
      </c>
      <c r="CU10" s="89">
        <f>CS11</f>
        <v/>
      </c>
      <c r="CV10" s="89">
        <f>CU11</f>
        <v/>
      </c>
      <c r="CW10" s="89">
        <f>CV11</f>
        <v/>
      </c>
      <c r="CX10" s="89">
        <f>CW11</f>
        <v/>
      </c>
      <c r="CY10" s="89">
        <f>CX11</f>
        <v/>
      </c>
      <c r="CZ10" s="89">
        <f>CY11</f>
        <v/>
      </c>
      <c r="DA10" s="89">
        <f>CZ11</f>
        <v/>
      </c>
      <c r="DB10" s="89">
        <f>DA11</f>
        <v/>
      </c>
      <c r="DC10" s="89">
        <f>DB11</f>
        <v/>
      </c>
      <c r="DD10" s="89">
        <f>DC11</f>
        <v/>
      </c>
      <c r="DE10" s="89">
        <f>DD11</f>
        <v/>
      </c>
      <c r="DF10" s="89">
        <f>DE11</f>
        <v/>
      </c>
      <c r="DG10" s="89">
        <f>DF11</f>
        <v/>
      </c>
      <c r="DH10" s="89">
        <f>DG11</f>
        <v/>
      </c>
      <c r="DI10" s="89">
        <f>DH11</f>
        <v/>
      </c>
      <c r="DJ10" s="89">
        <f>DI11</f>
        <v/>
      </c>
      <c r="DK10" s="89">
        <f>DJ11</f>
        <v/>
      </c>
      <c r="DL10" s="89">
        <f>DK11</f>
        <v/>
      </c>
      <c r="DM10" s="89">
        <f>DL11</f>
        <v/>
      </c>
      <c r="DN10" s="89">
        <f>DM11</f>
        <v/>
      </c>
      <c r="DO10" s="89">
        <f>DN11</f>
        <v/>
      </c>
      <c r="DP10" s="89">
        <f>DO11</f>
        <v/>
      </c>
      <c r="DQ10" s="89">
        <f>DP11</f>
        <v/>
      </c>
      <c r="DR10" s="89">
        <f>DQ11</f>
        <v/>
      </c>
      <c r="DS10" s="89">
        <f>DR11</f>
        <v/>
      </c>
      <c r="DT10" s="89">
        <f>DS11</f>
        <v/>
      </c>
      <c r="DU10" s="89">
        <f>DT11</f>
        <v/>
      </c>
      <c r="DV10" s="89">
        <f>DU11</f>
        <v/>
      </c>
      <c r="DW10" s="89">
        <f>DV11</f>
        <v/>
      </c>
      <c r="DX10" s="89">
        <f>DW11</f>
        <v/>
      </c>
      <c r="DY10" s="117" t="n"/>
      <c r="DZ10" s="89">
        <f>DX11</f>
        <v/>
      </c>
      <c r="EA10" s="89">
        <f>DZ11</f>
        <v/>
      </c>
      <c r="EB10" s="89">
        <f>EA11</f>
        <v/>
      </c>
      <c r="EC10" s="89">
        <f>EB11</f>
        <v/>
      </c>
      <c r="ED10" s="89">
        <f>EC11</f>
        <v/>
      </c>
      <c r="EE10" s="89">
        <f>ED11</f>
        <v/>
      </c>
      <c r="EF10" s="89">
        <f>EE11</f>
        <v/>
      </c>
      <c r="EG10" s="89">
        <f>EF11</f>
        <v/>
      </c>
      <c r="EH10" s="89">
        <f>EG11</f>
        <v/>
      </c>
      <c r="EI10" s="89">
        <f>EH11</f>
        <v/>
      </c>
      <c r="EJ10" s="89">
        <f>EI11</f>
        <v/>
      </c>
      <c r="EK10" s="89">
        <f>EJ11</f>
        <v/>
      </c>
      <c r="EL10" s="89">
        <f>EK11</f>
        <v/>
      </c>
      <c r="EM10" s="89">
        <f>EL11</f>
        <v/>
      </c>
      <c r="EN10" s="89">
        <f>EM11</f>
        <v/>
      </c>
      <c r="EO10" s="89">
        <f>EN11</f>
        <v/>
      </c>
      <c r="EP10" s="89">
        <f>EO11</f>
        <v/>
      </c>
      <c r="EQ10" s="89">
        <f>EP11</f>
        <v/>
      </c>
      <c r="ER10" s="89">
        <f>EQ11</f>
        <v/>
      </c>
      <c r="ES10" s="89">
        <f>ER11</f>
        <v/>
      </c>
      <c r="ET10" s="89">
        <f>ES11</f>
        <v/>
      </c>
      <c r="EU10" s="89">
        <f>ET11</f>
        <v/>
      </c>
      <c r="EV10" s="89">
        <f>EU11</f>
        <v/>
      </c>
      <c r="EW10" s="89">
        <f>EV11</f>
        <v/>
      </c>
      <c r="EX10" s="89">
        <f>EW11</f>
        <v/>
      </c>
      <c r="EY10" s="89">
        <f>EX11</f>
        <v/>
      </c>
      <c r="EZ10" s="89">
        <f>EY11</f>
        <v/>
      </c>
      <c r="FA10" s="89">
        <f>EZ11</f>
        <v/>
      </c>
      <c r="FB10" s="89">
        <f>FA11</f>
        <v/>
      </c>
      <c r="FC10" s="89">
        <f>FB11</f>
        <v/>
      </c>
      <c r="FD10" s="89">
        <f>FC11</f>
        <v/>
      </c>
      <c r="FE10" s="126" t="n"/>
      <c r="FF10" s="89">
        <f>FD11</f>
        <v/>
      </c>
      <c r="FG10" s="89">
        <f>FF11</f>
        <v/>
      </c>
      <c r="FH10" s="89">
        <f>FG11</f>
        <v/>
      </c>
      <c r="FI10" s="89">
        <f>FH11</f>
        <v/>
      </c>
      <c r="FJ10" s="89">
        <f>FI11</f>
        <v/>
      </c>
      <c r="FK10" s="89">
        <f>FJ11</f>
        <v/>
      </c>
      <c r="FL10" s="89">
        <f>FK11</f>
        <v/>
      </c>
      <c r="FM10" s="89">
        <f>FL11</f>
        <v/>
      </c>
      <c r="FN10" s="89">
        <f>FM11</f>
        <v/>
      </c>
      <c r="FO10" s="89">
        <f>FN11</f>
        <v/>
      </c>
      <c r="FP10" s="89">
        <f>FO11</f>
        <v/>
      </c>
      <c r="FQ10" s="89">
        <f>FP11</f>
        <v/>
      </c>
      <c r="FR10" s="89">
        <f>FQ11</f>
        <v/>
      </c>
      <c r="FS10" s="89">
        <f>FR11</f>
        <v/>
      </c>
      <c r="FT10" s="89">
        <f>FS11</f>
        <v/>
      </c>
      <c r="FU10" s="89">
        <f>FT11</f>
        <v/>
      </c>
      <c r="FV10" s="89">
        <f>FU11</f>
        <v/>
      </c>
      <c r="FW10" s="89">
        <f>FV11</f>
        <v/>
      </c>
      <c r="FX10" s="89">
        <f>FW11</f>
        <v/>
      </c>
      <c r="FY10" s="89">
        <f>FX11</f>
        <v/>
      </c>
      <c r="FZ10" s="89">
        <f>FY11</f>
        <v/>
      </c>
      <c r="GA10" s="89">
        <f>FZ11</f>
        <v/>
      </c>
      <c r="GB10" s="89">
        <f>GA11</f>
        <v/>
      </c>
      <c r="GC10" s="89">
        <f>GB11</f>
        <v/>
      </c>
      <c r="GD10" s="89">
        <f>GC11</f>
        <v/>
      </c>
      <c r="GE10" s="89">
        <f>GD11</f>
        <v/>
      </c>
      <c r="GF10" s="89">
        <f>GE11</f>
        <v/>
      </c>
      <c r="GG10" s="89">
        <f>GF11</f>
        <v/>
      </c>
      <c r="GH10" s="89">
        <f>GG11</f>
        <v/>
      </c>
      <c r="GI10" s="89">
        <f>GH11</f>
        <v/>
      </c>
      <c r="GJ10" s="89">
        <f>GI11</f>
        <v/>
      </c>
      <c r="GK10" s="127">
        <f>SUM(FF10:GJ10)</f>
        <v/>
      </c>
      <c r="GL10" s="89">
        <f>GJ11</f>
        <v/>
      </c>
      <c r="GM10">
        <f>GL11</f>
        <v/>
      </c>
      <c r="GN10">
        <f>GM11</f>
        <v/>
      </c>
      <c r="GO10">
        <f>GN11</f>
        <v/>
      </c>
      <c r="GP10">
        <f>GO11</f>
        <v/>
      </c>
      <c r="GQ10">
        <f>GP11</f>
        <v/>
      </c>
      <c r="GR10">
        <f>GQ11</f>
        <v/>
      </c>
      <c r="GS10">
        <f>GR11</f>
        <v/>
      </c>
      <c r="GT10">
        <f>GS11</f>
        <v/>
      </c>
      <c r="GU10">
        <f>GT11</f>
        <v/>
      </c>
      <c r="GV10" s="89">
        <f>GU11</f>
        <v/>
      </c>
      <c r="GW10">
        <f>GV11</f>
        <v/>
      </c>
      <c r="GX10">
        <f>GW11</f>
        <v/>
      </c>
      <c r="GY10">
        <f>GX11</f>
        <v/>
      </c>
      <c r="GZ10">
        <f>GY11</f>
        <v/>
      </c>
      <c r="HA10">
        <f>GZ11</f>
        <v/>
      </c>
      <c r="HB10">
        <f>HA11</f>
        <v/>
      </c>
      <c r="HC10">
        <f>HB11</f>
        <v/>
      </c>
      <c r="HD10">
        <f>HC11</f>
        <v/>
      </c>
      <c r="HE10">
        <f>HD11</f>
        <v/>
      </c>
      <c r="HF10">
        <f>HE11</f>
        <v/>
      </c>
      <c r="HG10">
        <f>HF11</f>
        <v/>
      </c>
      <c r="HH10">
        <f>HG11</f>
        <v/>
      </c>
      <c r="HI10">
        <f>HH11</f>
        <v/>
      </c>
      <c r="HJ10">
        <f>HI11</f>
        <v/>
      </c>
      <c r="HK10">
        <f>HJ11</f>
        <v/>
      </c>
      <c r="HL10">
        <f>HK11</f>
        <v/>
      </c>
      <c r="HM10">
        <f>HL11</f>
        <v/>
      </c>
      <c r="HN10">
        <f>HM11</f>
        <v/>
      </c>
      <c r="HO10" s="127">
        <f>SUM(GL10:HN10)</f>
        <v/>
      </c>
      <c r="HP10" s="89">
        <f>HN11</f>
        <v/>
      </c>
      <c r="HQ10" s="89">
        <f>HP11</f>
        <v/>
      </c>
      <c r="HR10" s="89">
        <f>HQ11</f>
        <v/>
      </c>
      <c r="HS10" s="89">
        <f>HR11</f>
        <v/>
      </c>
      <c r="HT10" s="89">
        <f>HS11</f>
        <v/>
      </c>
      <c r="HU10" s="89">
        <f>HT11</f>
        <v/>
      </c>
      <c r="HV10" s="89">
        <f>HU11</f>
        <v/>
      </c>
      <c r="HW10" s="89">
        <f>HV11</f>
        <v/>
      </c>
      <c r="HX10" s="89">
        <f>HW11</f>
        <v/>
      </c>
      <c r="HY10" s="89">
        <f>HX11</f>
        <v/>
      </c>
      <c r="HZ10" s="89">
        <f>HY11</f>
        <v/>
      </c>
      <c r="IA10" s="89">
        <f>HZ11</f>
        <v/>
      </c>
      <c r="IB10" s="89">
        <f>IA11</f>
        <v/>
      </c>
      <c r="IC10" s="89">
        <f>IB11</f>
        <v/>
      </c>
      <c r="ID10" s="89">
        <f>IC11</f>
        <v/>
      </c>
      <c r="IE10" s="89">
        <f>ID11</f>
        <v/>
      </c>
      <c r="IF10" s="89">
        <f>IE11</f>
        <v/>
      </c>
      <c r="IG10" s="89">
        <f>IF11</f>
        <v/>
      </c>
      <c r="IH10" s="89">
        <f>IG11</f>
        <v/>
      </c>
      <c r="II10" s="89">
        <f>IH11</f>
        <v/>
      </c>
      <c r="IJ10" s="89">
        <f>II11</f>
        <v/>
      </c>
      <c r="IK10" s="89">
        <f>IJ11</f>
        <v/>
      </c>
      <c r="IL10" s="89">
        <f>IK11</f>
        <v/>
      </c>
      <c r="IM10" s="89">
        <f>IL11</f>
        <v/>
      </c>
      <c r="IN10" s="89">
        <f>IM11</f>
        <v/>
      </c>
      <c r="IO10" s="89">
        <f>IN11</f>
        <v/>
      </c>
      <c r="IP10" s="89">
        <f>IO11</f>
        <v/>
      </c>
      <c r="IQ10" s="89">
        <f>IP11</f>
        <v/>
      </c>
      <c r="IR10" s="89">
        <f>IQ11</f>
        <v/>
      </c>
      <c r="IS10" s="89">
        <f>IR11</f>
        <v/>
      </c>
      <c r="IT10" s="89">
        <f>IS11</f>
        <v/>
      </c>
      <c r="IU10" s="127">
        <f>SUM(HP10:IT10)</f>
        <v/>
      </c>
      <c r="IV10" s="89">
        <f>IT11</f>
        <v/>
      </c>
      <c r="IW10" s="89">
        <f>IV11</f>
        <v/>
      </c>
      <c r="IX10" s="89">
        <f>IW11</f>
        <v/>
      </c>
      <c r="IY10" s="89">
        <f>IX11</f>
        <v/>
      </c>
      <c r="IZ10" s="89">
        <f>IY11</f>
        <v/>
      </c>
      <c r="JA10" s="89">
        <f>IZ11</f>
        <v/>
      </c>
      <c r="JB10" s="89">
        <f>JA11</f>
        <v/>
      </c>
      <c r="JC10" s="89">
        <f>JB11</f>
        <v/>
      </c>
      <c r="JD10" s="89">
        <f>JC11</f>
        <v/>
      </c>
      <c r="JE10" s="89">
        <f>JD11</f>
        <v/>
      </c>
      <c r="JF10" s="89">
        <f>JE11</f>
        <v/>
      </c>
      <c r="JG10" s="89">
        <f>JF11</f>
        <v/>
      </c>
      <c r="JH10" s="89">
        <f>JG11</f>
        <v/>
      </c>
      <c r="JI10" s="89">
        <f>JH11</f>
        <v/>
      </c>
      <c r="JJ10" s="89">
        <f>JI11</f>
        <v/>
      </c>
      <c r="JK10" s="89">
        <f>JJ11</f>
        <v/>
      </c>
      <c r="JL10" s="89">
        <f>JK11</f>
        <v/>
      </c>
      <c r="JM10" s="89">
        <f>JL11</f>
        <v/>
      </c>
      <c r="JN10" s="89">
        <f>JM11</f>
        <v/>
      </c>
      <c r="JO10" s="89">
        <f>JN11</f>
        <v/>
      </c>
      <c r="JP10" s="89">
        <f>JO11</f>
        <v/>
      </c>
      <c r="JQ10" s="89">
        <f>JP11</f>
        <v/>
      </c>
      <c r="JR10" s="89">
        <f>JQ11</f>
        <v/>
      </c>
      <c r="JS10" s="89">
        <f>JR11</f>
        <v/>
      </c>
      <c r="JT10" s="89">
        <f>JS11</f>
        <v/>
      </c>
      <c r="JU10" s="89">
        <f>JT11</f>
        <v/>
      </c>
      <c r="JV10" s="89">
        <f>JU11</f>
        <v/>
      </c>
      <c r="JW10" s="89">
        <f>JV11</f>
        <v/>
      </c>
      <c r="JX10" s="89">
        <f>JW11</f>
        <v/>
      </c>
      <c r="JY10" s="89">
        <f>JX11</f>
        <v/>
      </c>
      <c r="JZ10" s="127" t="n">
        <v>0</v>
      </c>
      <c r="KA10" s="89">
        <f>JY11</f>
        <v/>
      </c>
      <c r="KB10" s="89">
        <f>KA11</f>
        <v/>
      </c>
      <c r="KC10" s="89">
        <f>KB11</f>
        <v/>
      </c>
      <c r="KD10" s="89">
        <f>KC11</f>
        <v/>
      </c>
      <c r="KE10" s="89">
        <f>KD11</f>
        <v/>
      </c>
      <c r="KF10" s="89">
        <f>KE11</f>
        <v/>
      </c>
      <c r="KG10" s="89">
        <f>KF11</f>
        <v/>
      </c>
      <c r="KH10" s="89">
        <f>KG11</f>
        <v/>
      </c>
      <c r="KI10" s="89">
        <f>KH11</f>
        <v/>
      </c>
      <c r="KJ10" s="89">
        <f>KI11</f>
        <v/>
      </c>
      <c r="KK10" s="89">
        <f>KJ11</f>
        <v/>
      </c>
      <c r="KL10" s="89">
        <f>KK11</f>
        <v/>
      </c>
      <c r="KM10" s="89">
        <f>KL11</f>
        <v/>
      </c>
      <c r="KN10" s="89">
        <f>KM11</f>
        <v/>
      </c>
      <c r="KO10" s="89">
        <f>KN11</f>
        <v/>
      </c>
      <c r="KP10" s="89">
        <f>KO11</f>
        <v/>
      </c>
      <c r="KQ10" s="89">
        <f>KP11</f>
        <v/>
      </c>
      <c r="KR10" s="89">
        <f>KQ11</f>
        <v/>
      </c>
      <c r="KS10" s="89">
        <f>KR11</f>
        <v/>
      </c>
      <c r="KT10" s="89">
        <f>KS11</f>
        <v/>
      </c>
      <c r="KU10" s="89">
        <f>KT11</f>
        <v/>
      </c>
      <c r="KV10" s="89">
        <f>KU11</f>
        <v/>
      </c>
      <c r="KW10" s="89">
        <f>KV11</f>
        <v/>
      </c>
      <c r="KX10" s="89">
        <f>KW11</f>
        <v/>
      </c>
      <c r="KY10" s="89">
        <f>KX11</f>
        <v/>
      </c>
      <c r="KZ10" s="89">
        <f>KY11</f>
        <v/>
      </c>
      <c r="LA10" s="89">
        <f>KZ11</f>
        <v/>
      </c>
      <c r="LB10" s="89">
        <f>LA11</f>
        <v/>
      </c>
      <c r="LC10" s="89">
        <f>LB11</f>
        <v/>
      </c>
      <c r="LD10" s="89">
        <f>LC11</f>
        <v/>
      </c>
      <c r="LE10" s="89">
        <f>LD11</f>
        <v/>
      </c>
      <c r="LF10" s="127" t="n">
        <v>0</v>
      </c>
      <c r="LG10" s="89">
        <f>LE11</f>
        <v/>
      </c>
      <c r="LH10" s="89">
        <f>LG11</f>
        <v/>
      </c>
      <c r="LI10" s="89">
        <f>LH11</f>
        <v/>
      </c>
      <c r="LJ10" s="89">
        <f>LI11</f>
        <v/>
      </c>
      <c r="LK10" s="89">
        <f>LJ11</f>
        <v/>
      </c>
      <c r="LL10" s="89">
        <f>LK11</f>
        <v/>
      </c>
      <c r="LM10" s="89">
        <f>LL11</f>
        <v/>
      </c>
      <c r="LN10" s="89">
        <f>LM11</f>
        <v/>
      </c>
      <c r="LO10" s="89">
        <f>LN11</f>
        <v/>
      </c>
      <c r="LP10" s="89">
        <f>LO11</f>
        <v/>
      </c>
      <c r="LQ10" s="89">
        <f>LP11</f>
        <v/>
      </c>
      <c r="LR10" s="89">
        <f>LQ11</f>
        <v/>
      </c>
      <c r="LS10" s="89">
        <f>LR11</f>
        <v/>
      </c>
      <c r="LT10" s="89">
        <f>LS11</f>
        <v/>
      </c>
      <c r="LU10" s="89">
        <f>LT11</f>
        <v/>
      </c>
      <c r="LV10" s="89">
        <f>LU11</f>
        <v/>
      </c>
      <c r="LW10" s="89">
        <f>LV11</f>
        <v/>
      </c>
      <c r="LX10" s="89">
        <f>LW11</f>
        <v/>
      </c>
      <c r="LY10" s="89">
        <f>LX11</f>
        <v/>
      </c>
      <c r="LZ10" s="89">
        <f>LY11</f>
        <v/>
      </c>
      <c r="MA10" s="89">
        <f>LZ11</f>
        <v/>
      </c>
      <c r="MB10" s="89">
        <f>MA11</f>
        <v/>
      </c>
      <c r="MC10" s="89">
        <f>MB11</f>
        <v/>
      </c>
      <c r="MD10" s="89">
        <f>MC11</f>
        <v/>
      </c>
      <c r="ME10" s="89">
        <f>MD11</f>
        <v/>
      </c>
      <c r="MF10" s="89">
        <f>ME11</f>
        <v/>
      </c>
      <c r="MG10" s="89">
        <f>MF11</f>
        <v/>
      </c>
      <c r="MH10" s="89">
        <f>MG11</f>
        <v/>
      </c>
      <c r="MI10" s="89">
        <f>MH11</f>
        <v/>
      </c>
      <c r="MJ10" s="89">
        <f>MI11</f>
        <v/>
      </c>
      <c r="MK10" s="127" t="n">
        <v>0</v>
      </c>
      <c r="ML10" s="89">
        <f>MJ11</f>
        <v/>
      </c>
      <c r="MM10" s="89">
        <f>ML11</f>
        <v/>
      </c>
      <c r="MN10" s="89">
        <f>MM11</f>
        <v/>
      </c>
      <c r="MO10" s="89">
        <f>MN11</f>
        <v/>
      </c>
      <c r="MP10" s="89">
        <f>MO11</f>
        <v/>
      </c>
      <c r="MQ10" s="89">
        <f>MP11</f>
        <v/>
      </c>
      <c r="MR10" s="89">
        <f>MQ11</f>
        <v/>
      </c>
      <c r="MS10" s="89">
        <f>MR11</f>
        <v/>
      </c>
      <c r="MT10" s="89">
        <f>MS11</f>
        <v/>
      </c>
      <c r="MU10" s="89">
        <f>MT11</f>
        <v/>
      </c>
      <c r="MV10" s="89">
        <f>MU11</f>
        <v/>
      </c>
      <c r="MW10" s="89">
        <f>MV11</f>
        <v/>
      </c>
      <c r="MX10" s="89">
        <f>MW11</f>
        <v/>
      </c>
      <c r="MY10" s="89">
        <f>MX11</f>
        <v/>
      </c>
      <c r="MZ10" s="89">
        <f>MY11</f>
        <v/>
      </c>
      <c r="NA10" s="89">
        <f>MZ11</f>
        <v/>
      </c>
      <c r="NB10" s="89">
        <f>NA11</f>
        <v/>
      </c>
      <c r="NC10" s="89">
        <f>NB11</f>
        <v/>
      </c>
      <c r="ND10" s="89">
        <f>NC11</f>
        <v/>
      </c>
      <c r="NE10" s="89">
        <f>ND11</f>
        <v/>
      </c>
      <c r="NF10" s="89">
        <f>NE11</f>
        <v/>
      </c>
      <c r="NG10" s="89">
        <f>NF11</f>
        <v/>
      </c>
      <c r="NH10" s="89">
        <f>NG11</f>
        <v/>
      </c>
      <c r="NI10" s="89">
        <f>NH11</f>
        <v/>
      </c>
      <c r="NJ10" s="89">
        <f>NI11</f>
        <v/>
      </c>
      <c r="NK10" s="89">
        <f>NJ11</f>
        <v/>
      </c>
      <c r="NL10" s="89">
        <f>NK11</f>
        <v/>
      </c>
      <c r="NM10" s="89">
        <f>NL11</f>
        <v/>
      </c>
      <c r="NN10" s="89">
        <f>NM11</f>
        <v/>
      </c>
      <c r="NO10" s="89">
        <f>NN11</f>
        <v/>
      </c>
      <c r="NP10" s="89">
        <f>NO11</f>
        <v/>
      </c>
      <c r="NQ10" s="127" t="n">
        <v>0</v>
      </c>
      <c r="NR10" s="89">
        <f>NP11</f>
        <v/>
      </c>
      <c r="NS10" s="89">
        <f>NR11</f>
        <v/>
      </c>
      <c r="NT10" s="89">
        <f>NS11</f>
        <v/>
      </c>
      <c r="NU10" s="89">
        <f>NT11</f>
        <v/>
      </c>
      <c r="NV10" s="89">
        <f>NU11</f>
        <v/>
      </c>
      <c r="NW10" s="89">
        <f>NV11</f>
        <v/>
      </c>
      <c r="NX10" s="89">
        <f>NW11</f>
        <v/>
      </c>
      <c r="NY10" s="89">
        <f>NX11</f>
        <v/>
      </c>
      <c r="NZ10" s="89">
        <f>NY11</f>
        <v/>
      </c>
      <c r="OA10" s="89">
        <f>NZ11</f>
        <v/>
      </c>
      <c r="OB10" s="89">
        <f>OA11</f>
        <v/>
      </c>
      <c r="OC10" s="89">
        <f>OB11</f>
        <v/>
      </c>
      <c r="OD10" s="89">
        <f>OC11</f>
        <v/>
      </c>
      <c r="OE10" s="89">
        <f>OD11</f>
        <v/>
      </c>
      <c r="OF10" s="89">
        <f>OE11</f>
        <v/>
      </c>
      <c r="OG10" s="89">
        <f>OF11</f>
        <v/>
      </c>
      <c r="OH10" s="89">
        <f>OG11</f>
        <v/>
      </c>
      <c r="OI10" s="89">
        <f>OH11</f>
        <v/>
      </c>
      <c r="OJ10" s="89">
        <f>OI11</f>
        <v/>
      </c>
      <c r="OK10" s="89">
        <f>OJ11</f>
        <v/>
      </c>
      <c r="OL10" s="89">
        <f>OK11</f>
        <v/>
      </c>
      <c r="OM10" s="89">
        <f>OL11</f>
        <v/>
      </c>
      <c r="ON10" s="89">
        <f>OM11</f>
        <v/>
      </c>
      <c r="OO10" s="89">
        <f>ON11</f>
        <v/>
      </c>
      <c r="OP10" s="89">
        <f>OO11</f>
        <v/>
      </c>
      <c r="OQ10" s="89">
        <f>OP11</f>
        <v/>
      </c>
      <c r="OR10" s="89">
        <f>OQ11</f>
        <v/>
      </c>
      <c r="OS10" s="89">
        <f>OR11</f>
        <v/>
      </c>
      <c r="OT10" s="89">
        <f>OS11</f>
        <v/>
      </c>
      <c r="OU10" s="89">
        <f>OT11</f>
        <v/>
      </c>
      <c r="OV10" s="89">
        <f>OU11</f>
        <v/>
      </c>
      <c r="OW10" s="127" t="n">
        <v>0</v>
      </c>
      <c r="OX10" s="89">
        <f>OV11</f>
        <v/>
      </c>
      <c r="OY10" s="89">
        <f>OX11</f>
        <v/>
      </c>
      <c r="OZ10" s="89">
        <f>OY11</f>
        <v/>
      </c>
      <c r="PA10" s="89">
        <f>OZ11</f>
        <v/>
      </c>
      <c r="PB10" s="89">
        <f>PA11</f>
        <v/>
      </c>
      <c r="PC10" s="89">
        <f>PB11</f>
        <v/>
      </c>
      <c r="PD10" s="89">
        <f>PC11</f>
        <v/>
      </c>
      <c r="PE10" s="89">
        <f>PD11</f>
        <v/>
      </c>
      <c r="PF10" s="89">
        <f>PE11</f>
        <v/>
      </c>
      <c r="PG10" s="89">
        <f>PF11</f>
        <v/>
      </c>
      <c r="PH10" s="89">
        <f>PG11</f>
        <v/>
      </c>
      <c r="PI10" s="89">
        <f>PH11</f>
        <v/>
      </c>
      <c r="PJ10" s="89">
        <f>PI11</f>
        <v/>
      </c>
      <c r="PK10" s="89">
        <f>PJ11</f>
        <v/>
      </c>
      <c r="PL10" s="89">
        <f>PK11</f>
        <v/>
      </c>
      <c r="PM10" s="89">
        <f>PL11</f>
        <v/>
      </c>
      <c r="PN10" s="89">
        <f>PM11</f>
        <v/>
      </c>
      <c r="PO10" s="89">
        <f>PN11</f>
        <v/>
      </c>
      <c r="PP10" s="89">
        <f>PO11</f>
        <v/>
      </c>
      <c r="PQ10" s="89">
        <f>PP11</f>
        <v/>
      </c>
      <c r="PR10" s="89">
        <f>PQ11</f>
        <v/>
      </c>
      <c r="PS10" s="89">
        <f>PR11</f>
        <v/>
      </c>
      <c r="PT10" s="89">
        <f>PS11</f>
        <v/>
      </c>
      <c r="PU10" s="89">
        <f>PT11</f>
        <v/>
      </c>
      <c r="PV10" s="89">
        <f>PU11</f>
        <v/>
      </c>
      <c r="PW10" s="89">
        <f>PV11</f>
        <v/>
      </c>
      <c r="PX10" s="89">
        <f>PW11</f>
        <v/>
      </c>
      <c r="PY10" s="89">
        <f>PX11</f>
        <v/>
      </c>
      <c r="PZ10" s="89">
        <f>PY11</f>
        <v/>
      </c>
      <c r="QA10" s="89">
        <f>PZ11</f>
        <v/>
      </c>
      <c r="QB10" s="127" t="n">
        <v>0</v>
      </c>
      <c r="QC10" s="89">
        <f>QA11</f>
        <v/>
      </c>
      <c r="QD10" s="89">
        <f>QC11</f>
        <v/>
      </c>
      <c r="QE10" s="89">
        <f>QD11</f>
        <v/>
      </c>
      <c r="QF10" s="89">
        <f>QE11</f>
        <v/>
      </c>
      <c r="QG10" s="89">
        <f>QF11</f>
        <v/>
      </c>
      <c r="QH10" s="89">
        <f>QG11</f>
        <v/>
      </c>
      <c r="QI10" s="89">
        <f>QH11</f>
        <v/>
      </c>
      <c r="QJ10" s="89">
        <f>QI11</f>
        <v/>
      </c>
      <c r="QK10" s="89">
        <f>QJ11</f>
        <v/>
      </c>
      <c r="QL10" s="89">
        <f>QK11</f>
        <v/>
      </c>
      <c r="QM10" s="89">
        <f>QL11</f>
        <v/>
      </c>
      <c r="QN10" s="89">
        <f>QM11</f>
        <v/>
      </c>
      <c r="QO10" s="89">
        <f>QN11</f>
        <v/>
      </c>
      <c r="QP10" s="89">
        <f>QO11</f>
        <v/>
      </c>
      <c r="QQ10" s="89">
        <f>QP11</f>
        <v/>
      </c>
      <c r="QR10" s="89">
        <f>QQ11</f>
        <v/>
      </c>
      <c r="QS10" s="89">
        <f>QR11</f>
        <v/>
      </c>
      <c r="QT10" s="89">
        <f>QS11</f>
        <v/>
      </c>
      <c r="QU10" s="89">
        <f>QT11</f>
        <v/>
      </c>
      <c r="QV10" s="89">
        <f>QU11</f>
        <v/>
      </c>
      <c r="QW10" s="89">
        <f>QV11</f>
        <v/>
      </c>
      <c r="QX10" s="89">
        <f>QW11</f>
        <v/>
      </c>
      <c r="QY10" s="89">
        <f>QX11</f>
        <v/>
      </c>
      <c r="QZ10" s="89">
        <f>QY11</f>
        <v/>
      </c>
      <c r="RA10" s="89">
        <f>QZ11</f>
        <v/>
      </c>
      <c r="RB10" s="89">
        <f>RA11</f>
        <v/>
      </c>
      <c r="RC10" s="89">
        <f>RB11</f>
        <v/>
      </c>
      <c r="RD10" s="89">
        <f>RC11</f>
        <v/>
      </c>
      <c r="RE10" s="89">
        <f>RD11</f>
        <v/>
      </c>
      <c r="RF10" s="89">
        <f>RE11</f>
        <v/>
      </c>
      <c r="RG10" s="89">
        <f>RF11</f>
        <v/>
      </c>
      <c r="RH10" s="127" t="n">
        <v>0</v>
      </c>
      <c r="RI10" s="89">
        <f>RG11</f>
        <v/>
      </c>
      <c r="RJ10" s="89">
        <f>RI11</f>
        <v/>
      </c>
      <c r="RK10" s="89">
        <f>RJ11</f>
        <v/>
      </c>
      <c r="RL10" s="89">
        <f>RK11</f>
        <v/>
      </c>
      <c r="RM10" s="89">
        <f>RL11</f>
        <v/>
      </c>
      <c r="RN10" s="89">
        <f>RM11</f>
        <v/>
      </c>
      <c r="RO10" s="89">
        <f>RN11</f>
        <v/>
      </c>
      <c r="RP10" s="89">
        <f>RO11</f>
        <v/>
      </c>
      <c r="RQ10" s="89">
        <f>RP11</f>
        <v/>
      </c>
      <c r="RR10" s="89">
        <f>RQ11</f>
        <v/>
      </c>
      <c r="RS10" s="89">
        <f>RR11</f>
        <v/>
      </c>
      <c r="RT10" s="89">
        <f>RS11</f>
        <v/>
      </c>
      <c r="RU10" s="89">
        <f>RT11</f>
        <v/>
      </c>
      <c r="RV10" s="89">
        <f>RU11</f>
        <v/>
      </c>
      <c r="RW10" s="89">
        <f>RV11</f>
        <v/>
      </c>
      <c r="RX10" s="89">
        <f>RW11</f>
        <v/>
      </c>
      <c r="RY10" s="89">
        <f>RX11</f>
        <v/>
      </c>
      <c r="RZ10" s="89">
        <f>RY11</f>
        <v/>
      </c>
      <c r="SA10" s="89">
        <f>RZ11</f>
        <v/>
      </c>
      <c r="SB10" s="89">
        <f>SA11</f>
        <v/>
      </c>
      <c r="SC10" s="89">
        <f>SB11</f>
        <v/>
      </c>
      <c r="SD10" s="89">
        <f>SC11</f>
        <v/>
      </c>
      <c r="SE10" s="89">
        <f>SD11</f>
        <v/>
      </c>
      <c r="SF10" s="89">
        <f>SE11</f>
        <v/>
      </c>
      <c r="SG10" s="89">
        <f>SF11</f>
        <v/>
      </c>
      <c r="SH10" s="89">
        <f>SG11</f>
        <v/>
      </c>
      <c r="SI10" s="89">
        <f>SH11</f>
        <v/>
      </c>
      <c r="SJ10" s="89">
        <f>SI11</f>
        <v/>
      </c>
      <c r="SK10" s="89">
        <f>SJ11</f>
        <v/>
      </c>
      <c r="SL10" s="89">
        <f>SK11</f>
        <v/>
      </c>
      <c r="SM10" s="127" t="n">
        <v>0</v>
      </c>
      <c r="SN10" s="89">
        <f>SL11</f>
        <v/>
      </c>
      <c r="SO10" s="89">
        <f>SN11</f>
        <v/>
      </c>
      <c r="SP10" s="89">
        <f>SO11</f>
        <v/>
      </c>
      <c r="SQ10" s="89">
        <f>SP11</f>
        <v/>
      </c>
      <c r="SR10" s="89">
        <f>SQ11</f>
        <v/>
      </c>
      <c r="SS10" s="89">
        <f>SR11</f>
        <v/>
      </c>
      <c r="ST10" s="89">
        <f>SS11</f>
        <v/>
      </c>
      <c r="SU10" s="89">
        <f>ST11</f>
        <v/>
      </c>
      <c r="SV10" s="89">
        <f>SU11</f>
        <v/>
      </c>
      <c r="SW10" s="89">
        <f>SV11</f>
        <v/>
      </c>
      <c r="SX10" s="89">
        <f>SW11</f>
        <v/>
      </c>
      <c r="SY10" s="89">
        <f>SX11</f>
        <v/>
      </c>
      <c r="SZ10" s="89">
        <f>SY11</f>
        <v/>
      </c>
      <c r="TA10" s="89">
        <f>SZ11</f>
        <v/>
      </c>
      <c r="TB10" s="89">
        <f>TA11</f>
        <v/>
      </c>
      <c r="TC10" s="89">
        <f>TB11</f>
        <v/>
      </c>
      <c r="TD10" s="89">
        <f>TC11</f>
        <v/>
      </c>
      <c r="TE10" s="89">
        <f>TD11</f>
        <v/>
      </c>
      <c r="TF10" s="89">
        <f>TE11</f>
        <v/>
      </c>
      <c r="TG10" s="89">
        <f>TF11</f>
        <v/>
      </c>
      <c r="TH10" s="89">
        <f>TG11</f>
        <v/>
      </c>
      <c r="TI10" s="89">
        <f>TH11</f>
        <v/>
      </c>
      <c r="TJ10" s="89">
        <f>TI11</f>
        <v/>
      </c>
      <c r="TK10" s="89">
        <f>TJ11</f>
        <v/>
      </c>
      <c r="TL10" s="89">
        <f>TK11</f>
        <v/>
      </c>
      <c r="TM10" s="89">
        <f>TL11</f>
        <v/>
      </c>
      <c r="TN10" s="89">
        <f>TM11</f>
        <v/>
      </c>
      <c r="TO10" s="89">
        <f>TN11</f>
        <v/>
      </c>
      <c r="TP10" s="89">
        <f>TO11</f>
        <v/>
      </c>
      <c r="TQ10" s="89">
        <f>TP11</f>
        <v/>
      </c>
      <c r="TR10" s="89">
        <f>TQ11</f>
        <v/>
      </c>
      <c r="TS10" s="127" t="n">
        <v>0</v>
      </c>
      <c r="TT10" s="89">
        <f>TR11</f>
        <v/>
      </c>
      <c r="TU10" s="89">
        <f>TT11</f>
        <v/>
      </c>
      <c r="TV10" s="89">
        <f>TU11</f>
        <v/>
      </c>
      <c r="TW10" s="89">
        <f>TV11</f>
        <v/>
      </c>
      <c r="TX10" s="89">
        <f>TW11</f>
        <v/>
      </c>
      <c r="TY10" s="89">
        <f>TX11</f>
        <v/>
      </c>
      <c r="TZ10" s="89">
        <f>TY11</f>
        <v/>
      </c>
      <c r="UA10" s="89">
        <f>TZ11</f>
        <v/>
      </c>
      <c r="UB10" s="89">
        <f>UA11</f>
        <v/>
      </c>
      <c r="UC10" s="89">
        <f>UB11</f>
        <v/>
      </c>
      <c r="UD10" s="89">
        <f>UC11</f>
        <v/>
      </c>
      <c r="UE10" s="89">
        <f>UD11</f>
        <v/>
      </c>
      <c r="UF10" s="89">
        <f>UE11</f>
        <v/>
      </c>
      <c r="UG10" s="89">
        <f>UF11</f>
        <v/>
      </c>
      <c r="UH10" s="89">
        <f>UG11</f>
        <v/>
      </c>
      <c r="UI10" s="89">
        <f>UH11</f>
        <v/>
      </c>
      <c r="UJ10" s="89">
        <f>UI11</f>
        <v/>
      </c>
      <c r="UK10" s="89">
        <f>UJ11</f>
        <v/>
      </c>
      <c r="UL10" s="89">
        <f>UK11</f>
        <v/>
      </c>
      <c r="UM10" s="89">
        <f>UL11</f>
        <v/>
      </c>
      <c r="UN10" s="89">
        <f>UM11</f>
        <v/>
      </c>
      <c r="UO10" s="89">
        <f>UN11</f>
        <v/>
      </c>
      <c r="UP10" s="89">
        <f>UO11</f>
        <v/>
      </c>
      <c r="UQ10" s="89">
        <f>UP11</f>
        <v/>
      </c>
      <c r="UR10" s="89">
        <f>UQ11</f>
        <v/>
      </c>
      <c r="US10" s="89">
        <f>UR11</f>
        <v/>
      </c>
      <c r="UT10" s="89">
        <f>US11</f>
        <v/>
      </c>
      <c r="UU10" s="89">
        <f>UT11</f>
        <v/>
      </c>
      <c r="UV10" s="89">
        <f>UU11</f>
        <v/>
      </c>
      <c r="UW10" s="89">
        <f>UV11</f>
        <v/>
      </c>
      <c r="UX10" s="89">
        <f>UW11</f>
        <v/>
      </c>
      <c r="UY10" s="127" t="n">
        <v>0</v>
      </c>
      <c r="UZ10" s="89">
        <f>UX11</f>
        <v/>
      </c>
      <c r="VA10" s="89">
        <f>UZ11</f>
        <v/>
      </c>
      <c r="VB10" s="89">
        <f>VA11</f>
        <v/>
      </c>
      <c r="VC10" s="89">
        <f>VB11</f>
        <v/>
      </c>
      <c r="VD10" s="89">
        <f>VC11</f>
        <v/>
      </c>
      <c r="VE10" s="89">
        <f>VD11</f>
        <v/>
      </c>
      <c r="VF10" s="89">
        <f>VE11</f>
        <v/>
      </c>
      <c r="VG10" s="89">
        <f>VF11</f>
        <v/>
      </c>
      <c r="VH10" s="89">
        <f>VG11</f>
        <v/>
      </c>
      <c r="VI10" s="89">
        <f>VH11</f>
        <v/>
      </c>
      <c r="VJ10" s="89">
        <f>VI11</f>
        <v/>
      </c>
      <c r="VK10" s="89">
        <f>VJ11</f>
        <v/>
      </c>
      <c r="VL10" s="89">
        <f>VK11</f>
        <v/>
      </c>
      <c r="VM10" s="89">
        <f>VL11</f>
        <v/>
      </c>
      <c r="VN10" s="89">
        <f>VM11</f>
        <v/>
      </c>
      <c r="VO10" s="89">
        <f>VN11</f>
        <v/>
      </c>
      <c r="VP10" s="89">
        <f>VO11</f>
        <v/>
      </c>
      <c r="VQ10" s="89">
        <f>VP11</f>
        <v/>
      </c>
      <c r="VR10" s="89">
        <f>VQ11</f>
        <v/>
      </c>
      <c r="VS10" s="89">
        <f>VR11</f>
        <v/>
      </c>
      <c r="VT10" s="89">
        <f>VS11</f>
        <v/>
      </c>
      <c r="VU10" s="89">
        <f>VT11</f>
        <v/>
      </c>
      <c r="VV10" s="89">
        <f>VU11</f>
        <v/>
      </c>
      <c r="VW10" s="89">
        <f>VV11</f>
        <v/>
      </c>
      <c r="VX10" s="89">
        <f>VW11</f>
        <v/>
      </c>
      <c r="VY10" s="89">
        <f>VX11</f>
        <v/>
      </c>
      <c r="VZ10" s="89">
        <f>VY11</f>
        <v/>
      </c>
      <c r="WA10" s="89">
        <f>VZ11</f>
        <v/>
      </c>
      <c r="WB10" s="127" t="n">
        <v>0</v>
      </c>
      <c r="WC10" s="89">
        <f>WA11</f>
        <v/>
      </c>
      <c r="WD10" s="89">
        <f>WC11</f>
        <v/>
      </c>
      <c r="WE10" s="89">
        <f>WD11</f>
        <v/>
      </c>
      <c r="WF10" s="89">
        <f>WE11</f>
        <v/>
      </c>
      <c r="WG10" s="89">
        <f>WF11</f>
        <v/>
      </c>
      <c r="WH10" s="89">
        <f>WG11</f>
        <v/>
      </c>
      <c r="WI10" s="89">
        <f>WH11</f>
        <v/>
      </c>
      <c r="WJ10" s="89">
        <f>WI11</f>
        <v/>
      </c>
      <c r="WK10" s="89">
        <f>WJ11</f>
        <v/>
      </c>
      <c r="WL10" s="89">
        <f>WK11</f>
        <v/>
      </c>
      <c r="WM10" s="89">
        <f>WL11</f>
        <v/>
      </c>
      <c r="WN10" s="89">
        <f>WM11</f>
        <v/>
      </c>
      <c r="WO10" s="89">
        <f>WN11</f>
        <v/>
      </c>
      <c r="WP10" s="89">
        <f>WO11</f>
        <v/>
      </c>
      <c r="WQ10" s="89">
        <f>WP11</f>
        <v/>
      </c>
      <c r="WR10" s="89">
        <f>WQ11</f>
        <v/>
      </c>
      <c r="WS10" s="89">
        <f>WR11</f>
        <v/>
      </c>
      <c r="WT10" s="89">
        <f>WS11</f>
        <v/>
      </c>
      <c r="WU10" s="89">
        <f>WT11</f>
        <v/>
      </c>
      <c r="WV10" s="89">
        <f>WU11</f>
        <v/>
      </c>
      <c r="WW10" s="89">
        <f>WV11</f>
        <v/>
      </c>
      <c r="WX10" s="89">
        <f>WW11</f>
        <v/>
      </c>
      <c r="WY10" s="89">
        <f>WX11</f>
        <v/>
      </c>
      <c r="WZ10" s="89">
        <f>WY11</f>
        <v/>
      </c>
      <c r="XA10" s="89">
        <f>WZ11</f>
        <v/>
      </c>
      <c r="XB10" s="89">
        <f>XA11</f>
        <v/>
      </c>
      <c r="XC10" s="89">
        <f>XB11</f>
        <v/>
      </c>
      <c r="XD10" s="89">
        <f>XC11</f>
        <v/>
      </c>
      <c r="XE10" s="89">
        <f>XD11</f>
        <v/>
      </c>
      <c r="XF10" s="89">
        <f>XE11</f>
        <v/>
      </c>
      <c r="XG10" s="89">
        <f>XF11</f>
        <v/>
      </c>
      <c r="XH10" s="127" t="n">
        <v>0</v>
      </c>
      <c r="XI10" s="89">
        <f>XG11</f>
        <v/>
      </c>
      <c r="XJ10" s="89">
        <f>XI11</f>
        <v/>
      </c>
      <c r="XK10" s="89">
        <f>XJ11</f>
        <v/>
      </c>
      <c r="XL10" s="89">
        <f>XK11</f>
        <v/>
      </c>
      <c r="XM10" s="89">
        <f>XL11</f>
        <v/>
      </c>
      <c r="XN10" s="89">
        <f>XM11</f>
        <v/>
      </c>
      <c r="XO10" s="89">
        <f>XN11</f>
        <v/>
      </c>
      <c r="XP10" s="89">
        <f>XO11</f>
        <v/>
      </c>
      <c r="XQ10" s="89">
        <f>XP11</f>
        <v/>
      </c>
      <c r="XR10" s="89">
        <f>XQ11</f>
        <v/>
      </c>
      <c r="XS10" s="89">
        <f>XR11</f>
        <v/>
      </c>
      <c r="XT10" s="89">
        <f>XS11</f>
        <v/>
      </c>
      <c r="XU10" s="89">
        <f>XT11</f>
        <v/>
      </c>
      <c r="XV10" s="89">
        <f>XU11</f>
        <v/>
      </c>
      <c r="XW10" s="89">
        <f>XV11</f>
        <v/>
      </c>
      <c r="XX10" s="89">
        <f>XW11</f>
        <v/>
      </c>
      <c r="XY10" s="89">
        <f>XX11</f>
        <v/>
      </c>
      <c r="XZ10" s="89">
        <f>XY11</f>
        <v/>
      </c>
      <c r="YA10" s="89">
        <f>XZ11</f>
        <v/>
      </c>
      <c r="YB10" s="89">
        <f>YA11</f>
        <v/>
      </c>
      <c r="YC10" s="89">
        <f>YB11</f>
        <v/>
      </c>
      <c r="YD10" s="89">
        <f>YC11</f>
        <v/>
      </c>
      <c r="YE10" s="89">
        <f>YD11</f>
        <v/>
      </c>
      <c r="YF10" s="89">
        <f>YE11</f>
        <v/>
      </c>
      <c r="YG10" s="89">
        <f>YF11</f>
        <v/>
      </c>
      <c r="YH10" s="89">
        <f>YG11</f>
        <v/>
      </c>
      <c r="YI10" s="89">
        <f>YH11</f>
        <v/>
      </c>
      <c r="YJ10" s="89">
        <f>YI11</f>
        <v/>
      </c>
      <c r="YK10" s="89">
        <f>YJ11</f>
        <v/>
      </c>
      <c r="YL10" s="89">
        <f>YK11</f>
        <v/>
      </c>
      <c r="YM10" s="127" t="n">
        <v>0</v>
      </c>
      <c r="YN10" s="89">
        <f>YL11</f>
        <v/>
      </c>
      <c r="YO10" s="89">
        <f>YN11</f>
        <v/>
      </c>
      <c r="YP10" s="89">
        <f>YO11</f>
        <v/>
      </c>
      <c r="YQ10" s="89">
        <f>YP11</f>
        <v/>
      </c>
      <c r="YR10" s="89">
        <f>YQ11</f>
        <v/>
      </c>
      <c r="YS10" s="89">
        <f>YR11</f>
        <v/>
      </c>
      <c r="YT10" s="89">
        <f>YS11</f>
        <v/>
      </c>
      <c r="YU10" s="89">
        <f>YT11</f>
        <v/>
      </c>
      <c r="YV10" s="89">
        <f>YU11</f>
        <v/>
      </c>
      <c r="YW10" s="89">
        <f>YV11</f>
        <v/>
      </c>
      <c r="YX10" s="89">
        <f>YW11</f>
        <v/>
      </c>
      <c r="YY10" s="89">
        <f>YX11</f>
        <v/>
      </c>
      <c r="YZ10" s="89">
        <f>YY11</f>
        <v/>
      </c>
      <c r="ZA10" s="89">
        <f>YZ11</f>
        <v/>
      </c>
      <c r="ZB10" s="89">
        <f>ZA11</f>
        <v/>
      </c>
      <c r="ZC10" s="89">
        <f>ZB11</f>
        <v/>
      </c>
      <c r="ZD10" s="89">
        <f>ZC11</f>
        <v/>
      </c>
      <c r="ZE10" s="89">
        <f>ZD11</f>
        <v/>
      </c>
      <c r="ZF10" s="89">
        <f>ZE11</f>
        <v/>
      </c>
      <c r="ZG10" s="89">
        <f>ZF11</f>
        <v/>
      </c>
      <c r="ZH10" s="89">
        <f>ZG11</f>
        <v/>
      </c>
      <c r="ZI10" s="89">
        <f>ZH11</f>
        <v/>
      </c>
      <c r="ZJ10" s="89">
        <f>ZI11</f>
        <v/>
      </c>
      <c r="ZK10" s="89">
        <f>ZJ11</f>
        <v/>
      </c>
      <c r="ZL10" s="89">
        <f>ZK11</f>
        <v/>
      </c>
      <c r="ZM10" s="89">
        <f>ZL11</f>
        <v/>
      </c>
      <c r="ZN10" s="89">
        <f>ZM11</f>
        <v/>
      </c>
      <c r="ZO10" s="89">
        <f>ZN11</f>
        <v/>
      </c>
      <c r="ZP10" s="89">
        <f>ZO11</f>
        <v/>
      </c>
      <c r="ZQ10" s="89">
        <f>ZP11</f>
        <v/>
      </c>
      <c r="ZR10" s="89">
        <f>ZQ11</f>
        <v/>
      </c>
      <c r="ZS10" s="127" t="n">
        <v>0</v>
      </c>
      <c r="ZT10" s="89">
        <f>ZR11</f>
        <v/>
      </c>
      <c r="ZU10" s="89">
        <f>ZT11</f>
        <v/>
      </c>
      <c r="ZV10" s="89">
        <f>ZU11</f>
        <v/>
      </c>
      <c r="ZW10" s="89">
        <f>ZV11</f>
        <v/>
      </c>
      <c r="ZX10" s="89">
        <f>ZW11</f>
        <v/>
      </c>
      <c r="ZY10" s="89">
        <f>ZX11</f>
        <v/>
      </c>
      <c r="ZZ10" s="89">
        <f>ZY11</f>
        <v/>
      </c>
      <c r="AAA10" s="89">
        <f>ZZ11</f>
        <v/>
      </c>
      <c r="AAB10" s="89">
        <f>AAA11</f>
        <v/>
      </c>
      <c r="AAC10" s="89">
        <f>AAB11</f>
        <v/>
      </c>
      <c r="AAD10" s="89">
        <f>AAC11</f>
        <v/>
      </c>
      <c r="AAE10" s="89">
        <f>AAD11</f>
        <v/>
      </c>
      <c r="AAF10" s="89">
        <f>AAE11</f>
        <v/>
      </c>
      <c r="AAG10" s="89">
        <f>AAF11</f>
        <v/>
      </c>
      <c r="AAH10" s="89">
        <f>AAG11</f>
        <v/>
      </c>
      <c r="AAI10" s="89">
        <f>AAH11</f>
        <v/>
      </c>
      <c r="AAJ10" s="89">
        <f>AAI11</f>
        <v/>
      </c>
      <c r="AAK10" s="89">
        <f>AAJ11</f>
        <v/>
      </c>
      <c r="AAL10" s="89">
        <f>AAK11</f>
        <v/>
      </c>
      <c r="AAM10" s="89">
        <f>AAL11</f>
        <v/>
      </c>
      <c r="AAN10" s="89">
        <f>AAM11</f>
        <v/>
      </c>
      <c r="AAO10" s="89">
        <f>AAN11</f>
        <v/>
      </c>
      <c r="AAP10" s="89">
        <f>AAO11</f>
        <v/>
      </c>
      <c r="AAQ10" s="89">
        <f>AAP11</f>
        <v/>
      </c>
      <c r="AAR10" s="89">
        <f>AAQ11</f>
        <v/>
      </c>
      <c r="AAS10" s="89">
        <f>AAR11</f>
        <v/>
      </c>
      <c r="AAT10" s="89">
        <f>AAS11</f>
        <v/>
      </c>
      <c r="AAU10" s="89">
        <f>AAT11</f>
        <v/>
      </c>
      <c r="AAV10" s="89">
        <f>AAU11</f>
        <v/>
      </c>
      <c r="AAW10" s="89">
        <f>AAV11</f>
        <v/>
      </c>
      <c r="AAX10" s="127" t="n">
        <v>0</v>
      </c>
      <c r="AAY10" s="89">
        <f>AAW11</f>
        <v/>
      </c>
      <c r="AAZ10" s="89">
        <f>AAY11</f>
        <v/>
      </c>
      <c r="ABA10" s="89">
        <f>AAZ11</f>
        <v/>
      </c>
      <c r="ABB10" s="89">
        <f>ABA11</f>
        <v/>
      </c>
      <c r="ABC10" s="89">
        <f>ABB11</f>
        <v/>
      </c>
      <c r="ABD10" s="89">
        <f>ABC11</f>
        <v/>
      </c>
      <c r="ABE10" s="89">
        <f>ABD11</f>
        <v/>
      </c>
      <c r="ABF10" s="89">
        <f>ABE11</f>
        <v/>
      </c>
      <c r="ABG10" s="89">
        <f>ABF11</f>
        <v/>
      </c>
      <c r="ABH10" s="89">
        <f>ABG11</f>
        <v/>
      </c>
      <c r="ABI10" s="89">
        <f>ABH11</f>
        <v/>
      </c>
      <c r="ABJ10" s="89">
        <f>ABI11</f>
        <v/>
      </c>
      <c r="ABK10" s="89">
        <f>ABJ11</f>
        <v/>
      </c>
      <c r="ABL10" s="89">
        <f>ABK11</f>
        <v/>
      </c>
      <c r="ABM10" s="89">
        <f>ABL11</f>
        <v/>
      </c>
      <c r="ABN10" s="89">
        <f>ABM11</f>
        <v/>
      </c>
      <c r="ABO10" s="89">
        <f>ABN11</f>
        <v/>
      </c>
      <c r="ABP10" s="89">
        <f>ABO11</f>
        <v/>
      </c>
      <c r="ABQ10" s="89">
        <f>ABP11</f>
        <v/>
      </c>
      <c r="ABR10" s="89">
        <f>ABQ11</f>
        <v/>
      </c>
      <c r="ABS10" s="89">
        <f>ABR11</f>
        <v/>
      </c>
      <c r="ABT10" s="89">
        <f>ABS11</f>
        <v/>
      </c>
      <c r="ABU10" s="89">
        <f>ABT11</f>
        <v/>
      </c>
      <c r="ABV10" s="89">
        <f>ABU11</f>
        <v/>
      </c>
      <c r="ABW10" s="89">
        <f>ABV11</f>
        <v/>
      </c>
      <c r="ABX10" s="89">
        <f>ABW11</f>
        <v/>
      </c>
      <c r="ABY10" s="89">
        <f>ABX11</f>
        <v/>
      </c>
      <c r="ABZ10" s="89">
        <f>ABY11</f>
        <v/>
      </c>
      <c r="ACA10" s="89">
        <f>ABZ11</f>
        <v/>
      </c>
      <c r="ACB10" s="89">
        <f>ACA11</f>
        <v/>
      </c>
      <c r="ACC10" s="89">
        <f>ACB11</f>
        <v/>
      </c>
      <c r="ACD10" s="127" t="n">
        <v>0</v>
      </c>
      <c r="ACE10" s="89">
        <f>ACC11</f>
        <v/>
      </c>
      <c r="ACF10" s="89">
        <f>ACE11</f>
        <v/>
      </c>
      <c r="ACG10" s="89">
        <f>ACF11</f>
        <v/>
      </c>
      <c r="ACH10" s="89">
        <f>ACG11</f>
        <v/>
      </c>
      <c r="ACI10" s="89">
        <f>ACH11</f>
        <v/>
      </c>
      <c r="ACJ10" s="89">
        <f>ACI11</f>
        <v/>
      </c>
      <c r="ACK10" s="89">
        <f>ACJ11</f>
        <v/>
      </c>
      <c r="ACL10" s="89">
        <f>ACK11</f>
        <v/>
      </c>
      <c r="ACM10" s="89">
        <f>ACL11</f>
        <v/>
      </c>
      <c r="ACN10" s="89">
        <f>ACM11</f>
        <v/>
      </c>
      <c r="ACO10" s="89">
        <f>ACN11</f>
        <v/>
      </c>
      <c r="ACP10" s="89">
        <f>ACO11</f>
        <v/>
      </c>
      <c r="ACQ10" s="89">
        <f>ACP11</f>
        <v/>
      </c>
      <c r="ACR10" s="89">
        <f>ACQ11</f>
        <v/>
      </c>
      <c r="ACS10" s="89">
        <f>ACR11</f>
        <v/>
      </c>
      <c r="ACT10" s="89">
        <f>ACS11</f>
        <v/>
      </c>
      <c r="ACU10" s="89">
        <f>ACT11</f>
        <v/>
      </c>
      <c r="ACV10" s="89">
        <f>ACU11</f>
        <v/>
      </c>
      <c r="ACW10" s="89">
        <f>ACV11</f>
        <v/>
      </c>
      <c r="ACX10" s="89">
        <f>ACW11</f>
        <v/>
      </c>
      <c r="ACY10" s="89">
        <f>ACX11</f>
        <v/>
      </c>
      <c r="ACZ10" s="89">
        <f>ACY11</f>
        <v/>
      </c>
      <c r="ADA10" s="89">
        <f>ACZ11</f>
        <v/>
      </c>
      <c r="ADB10" s="89">
        <f>ADA11</f>
        <v/>
      </c>
      <c r="ADC10" s="89">
        <f>ADB11</f>
        <v/>
      </c>
      <c r="ADD10" s="89">
        <f>ADC11</f>
        <v/>
      </c>
      <c r="ADE10" s="89">
        <f>ADD11</f>
        <v/>
      </c>
      <c r="ADF10" s="89">
        <f>ADE11</f>
        <v/>
      </c>
      <c r="ADG10" s="89">
        <f>ADF11</f>
        <v/>
      </c>
      <c r="ADH10" s="89">
        <f>ADG11</f>
        <v/>
      </c>
      <c r="ADI10" s="89">
        <f>ADH11</f>
        <v/>
      </c>
      <c r="ADJ10" s="127" t="n">
        <v>0</v>
      </c>
      <c r="ADK10" s="89">
        <f>ADI11</f>
        <v/>
      </c>
      <c r="ADL10" s="89">
        <f>ADK11</f>
        <v/>
      </c>
      <c r="ADM10" s="89">
        <f>ADL11</f>
        <v/>
      </c>
      <c r="ADN10" s="89">
        <f>ADM11</f>
        <v/>
      </c>
      <c r="ADO10" s="89">
        <f>ADN11</f>
        <v/>
      </c>
      <c r="ADP10" s="89">
        <f>ADO11</f>
        <v/>
      </c>
      <c r="ADQ10" s="89">
        <f>ADP11</f>
        <v/>
      </c>
      <c r="ADR10" s="89">
        <f>ADQ11</f>
        <v/>
      </c>
      <c r="ADS10" s="89">
        <f>ADR11</f>
        <v/>
      </c>
      <c r="ADT10" s="89">
        <f>ADS11</f>
        <v/>
      </c>
      <c r="ADU10" s="89">
        <f>ADT11</f>
        <v/>
      </c>
      <c r="ADV10" s="89">
        <f>ADU11</f>
        <v/>
      </c>
      <c r="ADW10" s="89">
        <f>ADV11</f>
        <v/>
      </c>
      <c r="ADX10" s="89">
        <f>ADW11</f>
        <v/>
      </c>
      <c r="ADY10" s="89">
        <f>ADX11</f>
        <v/>
      </c>
      <c r="ADZ10" s="89">
        <f>ADY11</f>
        <v/>
      </c>
      <c r="AEA10" s="89">
        <f>ADZ11</f>
        <v/>
      </c>
      <c r="AEB10" s="89">
        <f>AEA11</f>
        <v/>
      </c>
      <c r="AEC10" s="89">
        <f>AEB11</f>
        <v/>
      </c>
      <c r="AED10" s="89">
        <f>AEC11</f>
        <v/>
      </c>
      <c r="AEE10" s="89">
        <f>AED11</f>
        <v/>
      </c>
      <c r="AEF10" s="89">
        <f>AEE11</f>
        <v/>
      </c>
      <c r="AEG10" s="89">
        <f>AEF11</f>
        <v/>
      </c>
      <c r="AEH10" s="89">
        <f>AEG11</f>
        <v/>
      </c>
      <c r="AEI10" s="89">
        <f>AEH11</f>
        <v/>
      </c>
      <c r="AEJ10" s="89">
        <f>AEI11</f>
        <v/>
      </c>
      <c r="AEK10" s="89">
        <f>AEJ11</f>
        <v/>
      </c>
      <c r="AEL10" s="89">
        <f>AEK11</f>
        <v/>
      </c>
      <c r="AEM10" s="89">
        <f>AEL11</f>
        <v/>
      </c>
      <c r="AEN10" s="89">
        <f>AEM11</f>
        <v/>
      </c>
      <c r="AEO10" s="127" t="n">
        <v>0</v>
      </c>
      <c r="AEP10" s="89">
        <f>AEN11</f>
        <v/>
      </c>
      <c r="AEQ10" s="89">
        <f>AEP11</f>
        <v/>
      </c>
      <c r="AER10" s="89">
        <f>AEQ11</f>
        <v/>
      </c>
      <c r="AES10" s="89">
        <f>AER11</f>
        <v/>
      </c>
      <c r="AET10" s="89">
        <f>AES11</f>
        <v/>
      </c>
      <c r="AEU10" s="89">
        <f>AET11</f>
        <v/>
      </c>
      <c r="AEV10" s="89">
        <f>AEU11</f>
        <v/>
      </c>
      <c r="AEW10" s="89">
        <f>AEV11</f>
        <v/>
      </c>
      <c r="AEX10" s="89">
        <f>AEW11</f>
        <v/>
      </c>
      <c r="AEY10" s="89">
        <f>AEX11</f>
        <v/>
      </c>
      <c r="AEZ10" s="89">
        <f>AEY11</f>
        <v/>
      </c>
      <c r="AFA10" s="89">
        <f>AEZ11</f>
        <v/>
      </c>
      <c r="AFB10" s="89">
        <f>AFA11</f>
        <v/>
      </c>
      <c r="AFC10" s="89">
        <f>AFB11</f>
        <v/>
      </c>
      <c r="AFD10" s="89">
        <f>AFC11</f>
        <v/>
      </c>
      <c r="AFE10" s="89">
        <f>AFD11</f>
        <v/>
      </c>
      <c r="AFF10" s="89">
        <f>AFE11</f>
        <v/>
      </c>
      <c r="AFG10" s="89">
        <f>AFF11</f>
        <v/>
      </c>
      <c r="AFH10" s="89">
        <f>AFG11</f>
        <v/>
      </c>
      <c r="AFI10" s="89">
        <f>AFH11</f>
        <v/>
      </c>
      <c r="AFJ10" s="89">
        <f>AFI11</f>
        <v/>
      </c>
      <c r="AFK10" s="89">
        <f>AFJ11</f>
        <v/>
      </c>
      <c r="AFL10" s="89">
        <f>AFK11</f>
        <v/>
      </c>
      <c r="AFM10" s="89">
        <f>AFL11</f>
        <v/>
      </c>
      <c r="AFN10" s="89">
        <f>AFM11</f>
        <v/>
      </c>
      <c r="AFO10" s="89">
        <f>AFN11</f>
        <v/>
      </c>
      <c r="AFP10" s="89">
        <f>AFO11</f>
        <v/>
      </c>
      <c r="AFQ10" s="89">
        <f>AFP11</f>
        <v/>
      </c>
      <c r="AFR10" s="89">
        <f>AFQ11</f>
        <v/>
      </c>
      <c r="AFS10" s="89">
        <f>AFR11</f>
        <v/>
      </c>
      <c r="AFT10" s="89">
        <f>AFS11</f>
        <v/>
      </c>
      <c r="AFU10" s="127" t="n">
        <v>0</v>
      </c>
      <c r="AFV10" s="89">
        <f>AFT11</f>
        <v/>
      </c>
      <c r="AFW10" s="89">
        <f>AFV11</f>
        <v/>
      </c>
      <c r="AFX10" s="89">
        <f>AFW11</f>
        <v/>
      </c>
      <c r="AFY10" s="89">
        <f>AFX11</f>
        <v/>
      </c>
      <c r="AFZ10" s="89">
        <f>AFY11</f>
        <v/>
      </c>
      <c r="AGA10" s="89">
        <f>AFZ11</f>
        <v/>
      </c>
      <c r="AGB10" s="89">
        <f>AGA11</f>
        <v/>
      </c>
      <c r="AGC10" s="89">
        <f>AGB11</f>
        <v/>
      </c>
      <c r="AGD10" s="89">
        <f>AGC11</f>
        <v/>
      </c>
      <c r="AGE10" s="89">
        <f>AGD11</f>
        <v/>
      </c>
      <c r="AGF10" s="89">
        <f>AGE11</f>
        <v/>
      </c>
      <c r="AGG10" s="89">
        <f>AGF11</f>
        <v/>
      </c>
      <c r="AGH10" s="89">
        <f>AGG11</f>
        <v/>
      </c>
      <c r="AGI10" s="89">
        <f>AGH11</f>
        <v/>
      </c>
      <c r="AGJ10" s="89">
        <f>AGI11</f>
        <v/>
      </c>
      <c r="AGK10" s="89">
        <f>AGJ11</f>
        <v/>
      </c>
      <c r="AGL10" s="89">
        <f>AGK11</f>
        <v/>
      </c>
      <c r="AGM10" s="89">
        <f>AGL11</f>
        <v/>
      </c>
      <c r="AGN10" s="89">
        <f>AGM11</f>
        <v/>
      </c>
      <c r="AGO10" s="89">
        <f>AGN11</f>
        <v/>
      </c>
      <c r="AGP10" s="89">
        <f>AGO11</f>
        <v/>
      </c>
      <c r="AGQ10" s="89">
        <f>AGP11</f>
        <v/>
      </c>
      <c r="AGR10" s="89">
        <f>AGQ11</f>
        <v/>
      </c>
      <c r="AGS10" s="89">
        <f>AGR11</f>
        <v/>
      </c>
      <c r="AGT10" s="89">
        <f>AGS11</f>
        <v/>
      </c>
      <c r="AGU10" s="89">
        <f>AGT11</f>
        <v/>
      </c>
      <c r="AGV10" s="89">
        <f>AGU11</f>
        <v/>
      </c>
      <c r="AGW10" s="89">
        <f>AGV11</f>
        <v/>
      </c>
      <c r="AGX10" s="89">
        <f>AGW11</f>
        <v/>
      </c>
      <c r="AGY10" s="89">
        <f>AGX11</f>
        <v/>
      </c>
      <c r="AGZ10" s="127" t="n">
        <v>0</v>
      </c>
      <c r="AHA10" s="89">
        <f>AGY11</f>
        <v/>
      </c>
      <c r="AHB10" s="89">
        <f>AHA11</f>
        <v/>
      </c>
      <c r="AHC10" s="89">
        <f>AHB11</f>
        <v/>
      </c>
      <c r="AHD10" s="89">
        <f>AHC11</f>
        <v/>
      </c>
      <c r="AHE10" s="89">
        <f>AHD11</f>
        <v/>
      </c>
      <c r="AHF10" s="89">
        <f>AHE11</f>
        <v/>
      </c>
      <c r="AHG10" s="89">
        <f>AHF11</f>
        <v/>
      </c>
      <c r="AHH10" s="89">
        <f>AHG11</f>
        <v/>
      </c>
      <c r="AHI10" s="89">
        <f>AHH11</f>
        <v/>
      </c>
      <c r="AHJ10" s="89">
        <f>AHI11</f>
        <v/>
      </c>
      <c r="AHK10" s="89">
        <f>AHJ11</f>
        <v/>
      </c>
      <c r="AHL10" s="89">
        <f>AHK11</f>
        <v/>
      </c>
      <c r="AHM10" s="89">
        <f>AHL11</f>
        <v/>
      </c>
      <c r="AHN10" s="89">
        <f>AHM11</f>
        <v/>
      </c>
      <c r="AHO10" s="89">
        <f>AHN11</f>
        <v/>
      </c>
      <c r="AHP10" s="89">
        <f>AHO11</f>
        <v/>
      </c>
      <c r="AHQ10" s="89">
        <f>AHP11</f>
        <v/>
      </c>
      <c r="AHR10" s="89">
        <f>AHQ11</f>
        <v/>
      </c>
      <c r="AHS10" s="89">
        <f>AHR11</f>
        <v/>
      </c>
      <c r="AHT10" s="89">
        <f>AHS11</f>
        <v/>
      </c>
      <c r="AHU10" s="89">
        <f>AHT11</f>
        <v/>
      </c>
      <c r="AHV10" s="89">
        <f>AHU11</f>
        <v/>
      </c>
      <c r="AHW10" s="89">
        <f>AHV11</f>
        <v/>
      </c>
      <c r="AHX10" s="89">
        <f>AHW11</f>
        <v/>
      </c>
      <c r="AHY10" s="89">
        <f>AHX11</f>
        <v/>
      </c>
      <c r="AHZ10" s="89">
        <f>AHY11</f>
        <v/>
      </c>
      <c r="AIA10" s="89">
        <f>AHZ11</f>
        <v/>
      </c>
      <c r="AIB10" s="89">
        <f>AIA11</f>
        <v/>
      </c>
      <c r="AIC10" s="89">
        <f>AIB11</f>
        <v/>
      </c>
      <c r="AID10" s="89">
        <f>AIC11</f>
        <v/>
      </c>
      <c r="AIE10" s="89">
        <f>AID11</f>
        <v/>
      </c>
      <c r="AIF10" s="127" t="n">
        <v>0</v>
      </c>
      <c r="AIG10" s="89">
        <f>AIE11</f>
        <v/>
      </c>
      <c r="AIH10" s="89">
        <f>AIG11</f>
        <v/>
      </c>
      <c r="AII10" s="89">
        <f>AIH11</f>
        <v/>
      </c>
      <c r="AIJ10" s="89">
        <f>AII11</f>
        <v/>
      </c>
      <c r="AIK10" s="89">
        <f>AIJ11</f>
        <v/>
      </c>
      <c r="AIL10" s="89">
        <f>AIK11</f>
        <v/>
      </c>
      <c r="AIM10" s="89">
        <f>AIL11</f>
        <v/>
      </c>
      <c r="AIN10" s="89">
        <f>AIM11</f>
        <v/>
      </c>
      <c r="AIO10" s="89">
        <f>AIN11</f>
        <v/>
      </c>
      <c r="AIP10" s="89">
        <f>AIO11</f>
        <v/>
      </c>
      <c r="AIQ10" s="89">
        <f>AIP11</f>
        <v/>
      </c>
      <c r="AIR10" s="89">
        <f>AIQ11</f>
        <v/>
      </c>
      <c r="AIS10" s="89">
        <f>AIR11</f>
        <v/>
      </c>
      <c r="AIT10" s="89">
        <f>AIS11</f>
        <v/>
      </c>
      <c r="AIU10" s="89">
        <f>AIT11</f>
        <v/>
      </c>
      <c r="AIV10" s="89">
        <f>AIU11</f>
        <v/>
      </c>
      <c r="AIW10" s="89">
        <f>AIV11</f>
        <v/>
      </c>
      <c r="AIX10" s="89">
        <f>AIW11</f>
        <v/>
      </c>
      <c r="AIY10" s="89">
        <f>AIX11</f>
        <v/>
      </c>
      <c r="AIZ10" s="89">
        <f>AIY11</f>
        <v/>
      </c>
      <c r="AJA10" s="89">
        <f>AIZ11</f>
        <v/>
      </c>
      <c r="AJB10" s="89">
        <f>AJA11</f>
        <v/>
      </c>
      <c r="AJC10" s="89">
        <f>AJB11</f>
        <v/>
      </c>
      <c r="AJD10" s="89">
        <f>AJC11</f>
        <v/>
      </c>
      <c r="AJE10" s="89">
        <f>AJD11</f>
        <v/>
      </c>
      <c r="AJF10" s="89">
        <f>AJE11</f>
        <v/>
      </c>
      <c r="AJG10" s="89">
        <f>AJF11</f>
        <v/>
      </c>
      <c r="AJH10" s="89">
        <f>AJG11</f>
        <v/>
      </c>
      <c r="AJI10" s="89">
        <f>AJH11</f>
        <v/>
      </c>
      <c r="AJJ10" s="89">
        <f>AJI11</f>
        <v/>
      </c>
      <c r="AJK10" s="89">
        <f>AJJ11</f>
        <v/>
      </c>
      <c r="AJL10" s="127" t="n">
        <v>0</v>
      </c>
      <c r="AJM10" s="89">
        <f>AJK11</f>
        <v/>
      </c>
      <c r="AJN10" s="89">
        <f>AJM11</f>
        <v/>
      </c>
      <c r="AJO10" s="89">
        <f>AJN11</f>
        <v/>
      </c>
      <c r="AJP10" s="89">
        <f>AJO11</f>
        <v/>
      </c>
      <c r="AJQ10" s="89">
        <f>AJP11</f>
        <v/>
      </c>
      <c r="AJR10" s="89">
        <f>AJQ11</f>
        <v/>
      </c>
      <c r="AJS10" s="89">
        <f>AJR11</f>
        <v/>
      </c>
      <c r="AJT10" s="89">
        <f>AJS11</f>
        <v/>
      </c>
      <c r="AJU10" s="89">
        <f>AJT11</f>
        <v/>
      </c>
      <c r="AJV10" s="89">
        <f>AJU11</f>
        <v/>
      </c>
      <c r="AJW10" s="89">
        <f>AJV11</f>
        <v/>
      </c>
      <c r="AJX10" s="89">
        <f>AJW11</f>
        <v/>
      </c>
      <c r="AJY10" s="89">
        <f>AJX11</f>
        <v/>
      </c>
      <c r="AJZ10" s="89">
        <f>AJY11</f>
        <v/>
      </c>
      <c r="AKA10" s="89">
        <f>AJZ11</f>
        <v/>
      </c>
      <c r="AKB10" s="89">
        <f>AKA11</f>
        <v/>
      </c>
      <c r="AKC10" s="89">
        <f>AKB11</f>
        <v/>
      </c>
      <c r="AKD10" s="89">
        <f>AKC11</f>
        <v/>
      </c>
      <c r="AKE10" s="89">
        <f>AKD11</f>
        <v/>
      </c>
      <c r="AKF10" s="89">
        <f>AKE11</f>
        <v/>
      </c>
      <c r="AKG10" s="89">
        <f>AKF11</f>
        <v/>
      </c>
      <c r="AKH10" s="89">
        <f>AKG11</f>
        <v/>
      </c>
      <c r="AKI10" s="89">
        <f>AKH11</f>
        <v/>
      </c>
      <c r="AKJ10" s="89">
        <f>AKI11</f>
        <v/>
      </c>
      <c r="AKK10" s="89">
        <f>AKJ11</f>
        <v/>
      </c>
      <c r="AKL10" s="89">
        <f>AKK11</f>
        <v/>
      </c>
      <c r="AKM10" s="89">
        <f>AKL11</f>
        <v/>
      </c>
      <c r="AKN10" s="89">
        <f>AKM11</f>
        <v/>
      </c>
      <c r="AKO10" s="127" t="n">
        <v>0</v>
      </c>
      <c r="AKP10" s="89">
        <f>AKN11</f>
        <v/>
      </c>
      <c r="AKQ10" s="89">
        <f>AKP11</f>
        <v/>
      </c>
      <c r="AKR10" s="89">
        <f>AKQ11</f>
        <v/>
      </c>
      <c r="AKS10" s="89">
        <f>AKR11</f>
        <v/>
      </c>
      <c r="AKT10" s="89">
        <f>AKS11</f>
        <v/>
      </c>
      <c r="AKU10" s="89">
        <f>AKT11</f>
        <v/>
      </c>
      <c r="AKV10" s="89">
        <f>AKU11</f>
        <v/>
      </c>
      <c r="AKW10" s="89">
        <f>AKV11</f>
        <v/>
      </c>
      <c r="AKX10" s="89">
        <f>AKW11</f>
        <v/>
      </c>
      <c r="AKY10" s="89">
        <f>AKX11</f>
        <v/>
      </c>
      <c r="AKZ10" s="89">
        <f>AKY11</f>
        <v/>
      </c>
      <c r="ALA10" s="89">
        <f>AKZ11</f>
        <v/>
      </c>
      <c r="ALB10" s="89">
        <f>ALA11</f>
        <v/>
      </c>
      <c r="ALC10" s="89">
        <f>ALB11</f>
        <v/>
      </c>
      <c r="ALD10" s="89">
        <f>ALC11</f>
        <v/>
      </c>
      <c r="ALE10" s="89">
        <f>ALD11</f>
        <v/>
      </c>
      <c r="ALF10" s="89">
        <f>ALE11</f>
        <v/>
      </c>
      <c r="ALG10" s="89">
        <f>ALF11</f>
        <v/>
      </c>
      <c r="ALH10" s="89">
        <f>ALG11</f>
        <v/>
      </c>
      <c r="ALI10" s="89">
        <f>ALH11</f>
        <v/>
      </c>
      <c r="ALJ10" s="89">
        <f>ALI11</f>
        <v/>
      </c>
      <c r="ALK10" s="89">
        <f>ALJ11</f>
        <v/>
      </c>
      <c r="ALL10" s="89">
        <f>ALK11</f>
        <v/>
      </c>
      <c r="ALM10" s="89">
        <f>ALL11</f>
        <v/>
      </c>
      <c r="ALN10" s="89">
        <f>ALM11</f>
        <v/>
      </c>
      <c r="ALO10" s="89">
        <f>ALN11</f>
        <v/>
      </c>
      <c r="ALP10" s="89">
        <f>ALO11</f>
        <v/>
      </c>
      <c r="ALQ10" s="89">
        <f>ALP11</f>
        <v/>
      </c>
      <c r="ALR10" s="89">
        <f>ALQ11</f>
        <v/>
      </c>
      <c r="ALS10" s="89">
        <f>ALR11</f>
        <v/>
      </c>
      <c r="ALT10" s="89">
        <f>ALS11</f>
        <v/>
      </c>
      <c r="ALU10" s="127" t="n">
        <v>0</v>
      </c>
      <c r="ALV10" s="89">
        <f>ALT11</f>
        <v/>
      </c>
      <c r="ALW10" s="89">
        <f>ALV11</f>
        <v/>
      </c>
      <c r="ALX10" s="89">
        <f>ALW11</f>
        <v/>
      </c>
      <c r="ALY10" s="89">
        <f>ALX11</f>
        <v/>
      </c>
      <c r="ALZ10" s="89">
        <f>ALY11</f>
        <v/>
      </c>
      <c r="AMA10" s="89">
        <f>ALZ11</f>
        <v/>
      </c>
      <c r="AMB10" s="89">
        <f>AMA11</f>
        <v/>
      </c>
      <c r="AMC10" s="89">
        <f>AMB11</f>
        <v/>
      </c>
      <c r="AMD10" s="89">
        <f>AMC11</f>
        <v/>
      </c>
      <c r="AME10" s="89">
        <f>AMD11</f>
        <v/>
      </c>
      <c r="AMF10" s="89">
        <f>AME11</f>
        <v/>
      </c>
      <c r="AMG10" s="89">
        <f>AMF11</f>
        <v/>
      </c>
      <c r="AMH10" s="89">
        <f>AMG11</f>
        <v/>
      </c>
      <c r="AMI10" s="89">
        <f>AMH11</f>
        <v/>
      </c>
      <c r="AMJ10" s="89">
        <f>AMI11</f>
        <v/>
      </c>
      <c r="AMK10" s="89">
        <f>AMJ11</f>
        <v/>
      </c>
      <c r="AML10" s="89">
        <f>AMK11</f>
        <v/>
      </c>
      <c r="AMM10" s="89">
        <f>AML11</f>
        <v/>
      </c>
      <c r="AMN10" s="89">
        <f>AMM11</f>
        <v/>
      </c>
      <c r="AMO10" s="89">
        <f>AMN11</f>
        <v/>
      </c>
      <c r="AMP10" s="89">
        <f>AMO11</f>
        <v/>
      </c>
      <c r="AMQ10" s="89">
        <f>AMP11</f>
        <v/>
      </c>
      <c r="AMR10" s="89">
        <f>AMQ11</f>
        <v/>
      </c>
      <c r="AMS10" s="89">
        <f>AMR11</f>
        <v/>
      </c>
      <c r="AMT10" s="89">
        <f>AMS11</f>
        <v/>
      </c>
      <c r="AMU10" s="89">
        <f>AMT11</f>
        <v/>
      </c>
      <c r="AMV10" s="89">
        <f>AMU11</f>
        <v/>
      </c>
      <c r="AMW10" s="89">
        <f>AMV11</f>
        <v/>
      </c>
      <c r="AMX10" s="89">
        <f>AMW11</f>
        <v/>
      </c>
      <c r="AMY10" s="89">
        <f>AMX11</f>
        <v/>
      </c>
      <c r="AMZ10" s="127" t="n">
        <v>0</v>
      </c>
      <c r="ANA10" s="89">
        <f>AMY11</f>
        <v/>
      </c>
      <c r="ANB10" s="89">
        <f>ANA11</f>
        <v/>
      </c>
      <c r="ANC10" s="89">
        <f>ANB11</f>
        <v/>
      </c>
      <c r="AND10" s="89">
        <f>ANC11</f>
        <v/>
      </c>
      <c r="ANE10" s="89">
        <f>AND11</f>
        <v/>
      </c>
      <c r="ANF10" s="89">
        <f>ANE11</f>
        <v/>
      </c>
      <c r="ANG10" s="89">
        <f>ANF11</f>
        <v/>
      </c>
      <c r="ANH10" s="89">
        <f>ANG11</f>
        <v/>
      </c>
      <c r="ANI10" s="89">
        <f>ANH11</f>
        <v/>
      </c>
      <c r="ANJ10" s="89">
        <f>ANI11</f>
        <v/>
      </c>
      <c r="ANK10" s="89">
        <f>ANJ11</f>
        <v/>
      </c>
      <c r="ANL10" s="89">
        <f>ANK11</f>
        <v/>
      </c>
      <c r="ANM10" s="89">
        <f>ANL11</f>
        <v/>
      </c>
      <c r="ANN10" s="89">
        <f>ANM11</f>
        <v/>
      </c>
      <c r="ANO10" s="89">
        <f>ANN11</f>
        <v/>
      </c>
      <c r="ANP10" s="89">
        <f>ANO11</f>
        <v/>
      </c>
      <c r="ANQ10" s="89">
        <f>ANP11</f>
        <v/>
      </c>
      <c r="ANR10" s="89">
        <f>ANQ11</f>
        <v/>
      </c>
      <c r="ANS10" s="89">
        <f>ANR11</f>
        <v/>
      </c>
      <c r="ANT10" s="89">
        <f>ANS11</f>
        <v/>
      </c>
      <c r="ANU10" s="89">
        <f>ANT11</f>
        <v/>
      </c>
      <c r="ANV10" s="89">
        <f>ANU11</f>
        <v/>
      </c>
      <c r="ANW10" s="89">
        <f>ANV11</f>
        <v/>
      </c>
      <c r="ANX10" s="89">
        <f>ANW11</f>
        <v/>
      </c>
      <c r="ANY10" s="89">
        <f>ANX11</f>
        <v/>
      </c>
      <c r="ANZ10" s="89">
        <f>ANY11</f>
        <v/>
      </c>
      <c r="AOA10" s="89">
        <f>ANZ11</f>
        <v/>
      </c>
      <c r="AOB10" s="89">
        <f>AOA11</f>
        <v/>
      </c>
      <c r="AOC10" s="89">
        <f>AOB11</f>
        <v/>
      </c>
      <c r="AOD10" s="89" t="n">
        <v>1383791.259</v>
      </c>
      <c r="AOE10" t="n">
        <v>1383791.259</v>
      </c>
    </row>
    <row r="11">
      <c r="A11" s="157" t="n"/>
      <c r="C11" s="47" t="inlineStr">
        <is>
          <t>CLOSING</t>
        </is>
      </c>
      <c r="D11" s="48" t="n">
        <v>721632.855</v>
      </c>
      <c r="E11" s="48" t="n">
        <v>722631.044</v>
      </c>
      <c r="F11" s="48" t="n">
        <v>723512.509</v>
      </c>
      <c r="G11" s="48" t="n">
        <v>724331.603</v>
      </c>
      <c r="H11" s="48" t="n">
        <v>725262.723</v>
      </c>
      <c r="I11" s="48" t="n">
        <v>726266.6899999999</v>
      </c>
      <c r="J11" s="48" t="n">
        <v>727090.781</v>
      </c>
      <c r="K11" s="48" t="n">
        <v>727841.589</v>
      </c>
      <c r="L11" s="48" t="n">
        <v>728611.742</v>
      </c>
      <c r="M11" s="48" t="n">
        <v>729415.208</v>
      </c>
      <c r="N11" s="48" t="n">
        <v>730143.2</v>
      </c>
      <c r="O11" s="48" t="n">
        <v>730953.481</v>
      </c>
      <c r="P11" s="48" t="n">
        <v>731790.045</v>
      </c>
      <c r="Q11" s="48" t="n">
        <v>732883.943</v>
      </c>
      <c r="R11" s="48" t="n">
        <v>733620.034</v>
      </c>
      <c r="S11" s="48" t="n">
        <v>734498.211</v>
      </c>
      <c r="T11" s="48" t="n">
        <v>735360.833</v>
      </c>
      <c r="U11" s="48" t="n">
        <v>736305.7389999999</v>
      </c>
      <c r="V11" s="48" t="n">
        <v>737065.173</v>
      </c>
      <c r="W11" s="48" t="n">
        <v>737804.649</v>
      </c>
      <c r="X11" s="48" t="n">
        <v>738522.795</v>
      </c>
      <c r="Y11" s="48" t="n">
        <v>739245.0649999999</v>
      </c>
      <c r="Z11" s="48" t="n">
        <v>740098.591</v>
      </c>
      <c r="AA11" s="48" t="n">
        <v>740957.425</v>
      </c>
      <c r="AB11" s="48" t="n">
        <v>741922.422</v>
      </c>
      <c r="AC11" s="48" t="n">
        <v>742893.23</v>
      </c>
      <c r="AD11" s="48" t="n">
        <v>743716.4790000001</v>
      </c>
      <c r="AE11" s="48" t="n">
        <v>744522.882</v>
      </c>
      <c r="AF11" s="48" t="n">
        <v>745322.0159999999</v>
      </c>
      <c r="AG11" s="48" t="n">
        <v>745955.3</v>
      </c>
      <c r="AH11" s="48" t="n">
        <v>746939.846</v>
      </c>
      <c r="AI11" s="49" t="n"/>
      <c r="AJ11" s="48" t="n">
        <v>748038.4080000001</v>
      </c>
      <c r="AK11" s="48" t="n">
        <v>748930.483</v>
      </c>
      <c r="AL11" s="48" t="n">
        <v>749899.868</v>
      </c>
      <c r="AM11" s="48" t="n">
        <v>750847.905</v>
      </c>
      <c r="AN11" s="48" t="n">
        <v>751652.267</v>
      </c>
      <c r="AO11" s="48" t="n">
        <v>752285.022</v>
      </c>
      <c r="AP11" s="48" t="n">
        <v>757998.754</v>
      </c>
      <c r="AQ11" s="48" t="n">
        <v>759068.232</v>
      </c>
      <c r="AR11" s="48" t="n">
        <v>759883.556</v>
      </c>
      <c r="AS11" s="48" t="n">
        <v>760736.3100000001</v>
      </c>
      <c r="AT11" s="48" t="n">
        <v>761480.686</v>
      </c>
      <c r="AU11" s="48" t="n">
        <v>762041.366</v>
      </c>
      <c r="AV11" s="48" t="n">
        <v>767543.743</v>
      </c>
      <c r="AW11" s="48" t="n">
        <v>768264.536</v>
      </c>
      <c r="AX11" s="48" t="n">
        <v>769003.714</v>
      </c>
      <c r="AY11" s="48" t="n">
        <v>769810.285</v>
      </c>
      <c r="AZ11" s="48" t="n">
        <v>770628.664</v>
      </c>
      <c r="BA11" s="48" t="n">
        <v>771182.069</v>
      </c>
      <c r="BB11" s="48" t="n">
        <v>771695.0699999999</v>
      </c>
      <c r="BC11" s="48" t="n">
        <v>772289.157</v>
      </c>
      <c r="BD11" s="48" t="n">
        <v>772919.1310000001</v>
      </c>
      <c r="BE11" s="48" t="n">
        <v>773643.371</v>
      </c>
      <c r="BF11" s="48" t="n">
        <v>774360.312</v>
      </c>
      <c r="BG11" s="48" t="n">
        <v>774974.008</v>
      </c>
      <c r="BH11" s="48" t="n">
        <v>775636.428</v>
      </c>
      <c r="BI11" s="48" t="n">
        <v>776283.705</v>
      </c>
      <c r="BJ11" s="48" t="n">
        <v>776946.777</v>
      </c>
      <c r="BK11" s="48" t="n">
        <v>777500.096</v>
      </c>
      <c r="BL11" s="48" t="n">
        <v>778183.736</v>
      </c>
      <c r="BM11" s="48" t="n">
        <v>778985.03</v>
      </c>
      <c r="BO11" s="48" t="n">
        <v>779650.376</v>
      </c>
      <c r="BP11" s="48" t="n">
        <v>780319.5060000001</v>
      </c>
      <c r="BQ11" s="48" t="n">
        <v>780974.591</v>
      </c>
      <c r="BR11" s="48" t="n">
        <v>781640.634</v>
      </c>
      <c r="BS11" s="48" t="n">
        <v>782158.687</v>
      </c>
      <c r="BT11" s="48" t="n">
        <v>782884.688</v>
      </c>
      <c r="BU11" s="48" t="n">
        <v>783477.504</v>
      </c>
      <c r="BV11" s="48" t="n">
        <v>784220.1409999999</v>
      </c>
      <c r="BW11" s="48" t="n">
        <v>784834.206</v>
      </c>
      <c r="BX11" s="48" t="n">
        <v>785453.377</v>
      </c>
      <c r="BY11" s="48" t="n">
        <v>786051.096</v>
      </c>
      <c r="BZ11" s="48" t="n">
        <v>786614.786</v>
      </c>
      <c r="CA11" s="48" t="n">
        <v>787234.616</v>
      </c>
      <c r="CB11" s="48" t="n">
        <v>787894.485</v>
      </c>
      <c r="CC11" s="48" t="n">
        <v>788564.795</v>
      </c>
      <c r="CD11" s="48" t="n">
        <v>789177.226</v>
      </c>
      <c r="CE11" s="48" t="n">
        <v>789782.202</v>
      </c>
      <c r="CF11" s="48" t="n">
        <v>790355.153</v>
      </c>
      <c r="CG11" s="48" t="n">
        <v>790944.191</v>
      </c>
      <c r="CH11" s="48" t="n">
        <v>791521.63</v>
      </c>
      <c r="CI11" s="48" t="n">
        <v>792358.0919999999</v>
      </c>
      <c r="CJ11" s="48" t="n">
        <v>793112.993</v>
      </c>
      <c r="CK11" s="48" t="n">
        <v>793734.032</v>
      </c>
      <c r="CL11" s="48" t="n">
        <v>794403.625</v>
      </c>
      <c r="CM11" s="48" t="n">
        <v>795026.898</v>
      </c>
      <c r="CN11" s="48" t="n">
        <v>795625.1800000001</v>
      </c>
      <c r="CO11" s="48" t="n">
        <v>796260.709</v>
      </c>
      <c r="CP11" s="48" t="n">
        <v>797015.429</v>
      </c>
      <c r="CQ11" s="48" t="n">
        <v>797713.917</v>
      </c>
      <c r="CR11" s="48" t="n">
        <v>798365.987</v>
      </c>
      <c r="CS11" s="48" t="n">
        <v>799078.745</v>
      </c>
      <c r="CU11" s="48" t="n">
        <v>799813.218</v>
      </c>
      <c r="CV11" s="48" t="n">
        <v>800304.831</v>
      </c>
      <c r="CW11" s="48" t="n">
        <v>800951.047</v>
      </c>
      <c r="CX11" s="48" t="n">
        <v>801865.534</v>
      </c>
      <c r="CY11" s="48" t="n">
        <v>802478.96</v>
      </c>
      <c r="CZ11" s="48" t="n">
        <v>803158.273</v>
      </c>
      <c r="DA11" s="48" t="n">
        <v>803749.094</v>
      </c>
      <c r="DB11" s="48" t="n">
        <v>804533.179</v>
      </c>
      <c r="DC11" s="48" t="n">
        <v>805283.456</v>
      </c>
      <c r="DD11" s="48" t="n">
        <v>806061.78</v>
      </c>
      <c r="DE11" s="48" t="n">
        <v>806848.254</v>
      </c>
      <c r="DF11" s="48" t="n">
        <v>807525.568</v>
      </c>
      <c r="DG11" s="48" t="n">
        <v>808193.345</v>
      </c>
      <c r="DH11" s="48" t="n">
        <v>808820.356</v>
      </c>
      <c r="DI11" s="48" t="n">
        <v>809468.791</v>
      </c>
      <c r="DJ11" s="48" t="n">
        <v>809886.8590000001</v>
      </c>
      <c r="DK11" s="48" t="n">
        <v>810275.716</v>
      </c>
      <c r="DL11" s="48" t="n">
        <v>810872.553</v>
      </c>
      <c r="DM11" s="48" t="n">
        <v>811393.019</v>
      </c>
      <c r="DN11" s="48" t="n">
        <v>811882.142</v>
      </c>
      <c r="DO11" s="48" t="n">
        <v>812314.108</v>
      </c>
      <c r="DP11" s="48" t="n">
        <v>813003.444</v>
      </c>
      <c r="DQ11" s="48" t="n">
        <v>813558.099</v>
      </c>
      <c r="DR11" s="48" t="n">
        <v>814164.87</v>
      </c>
      <c r="DS11" s="48" t="n">
        <v>814923.172</v>
      </c>
      <c r="DT11" s="48" t="n">
        <v>815361.393</v>
      </c>
      <c r="DU11" s="48" t="n">
        <v>815936.924</v>
      </c>
      <c r="DV11" s="48" t="n">
        <v>816445.785</v>
      </c>
      <c r="DW11" s="48" t="n">
        <v>816914.763</v>
      </c>
      <c r="DX11" s="48" t="n">
        <v>817492.894</v>
      </c>
      <c r="DY11" s="117" t="n"/>
      <c r="DZ11" s="48" t="n">
        <v>818088.546</v>
      </c>
      <c r="EA11" s="48" t="n">
        <v>818722.308</v>
      </c>
      <c r="EB11" s="48" t="n">
        <v>819205.241</v>
      </c>
      <c r="EC11" s="48" t="n">
        <v>819708.278</v>
      </c>
      <c r="ED11" s="48" t="n">
        <v>820196.321</v>
      </c>
      <c r="EE11" s="48" t="n">
        <v>820789.6189999999</v>
      </c>
      <c r="EF11" s="48" t="n">
        <v>821332.323</v>
      </c>
      <c r="EG11" s="48" t="n">
        <v>821943.432</v>
      </c>
      <c r="EH11" s="48" t="n">
        <v>822571.769</v>
      </c>
      <c r="EI11" s="48" t="n">
        <v>823278.524</v>
      </c>
      <c r="EJ11" s="48" t="n">
        <v>823809.404</v>
      </c>
      <c r="EK11" s="48" t="n">
        <v>824416.8540000001</v>
      </c>
      <c r="EL11" s="48" t="n">
        <v>825094.5550000001</v>
      </c>
      <c r="EM11" s="48" t="n">
        <v>825638.648</v>
      </c>
      <c r="EN11" s="48" t="n">
        <v>826468.733</v>
      </c>
      <c r="EO11" s="48" t="n">
        <v>827240.1139999999</v>
      </c>
      <c r="EP11" s="48" t="n">
        <v>827997.236</v>
      </c>
      <c r="EQ11" s="48" t="n">
        <v>828905.598</v>
      </c>
      <c r="ER11" s="48" t="n">
        <v>829481.813</v>
      </c>
      <c r="ES11" s="48" t="n">
        <v>830224.385</v>
      </c>
      <c r="ET11" s="48" t="n">
        <v>830982.222</v>
      </c>
      <c r="EU11" s="48" t="n">
        <v>832042.692</v>
      </c>
      <c r="EV11" s="48" t="n">
        <v>832959.755</v>
      </c>
      <c r="EW11" s="48" t="n">
        <v>833869.255</v>
      </c>
      <c r="EX11" s="48" t="n">
        <v>834369.312</v>
      </c>
      <c r="EY11" s="48" t="n">
        <v>834857.463</v>
      </c>
      <c r="EZ11" s="48" t="n">
        <v>835536.517</v>
      </c>
      <c r="FA11" s="48" t="n">
        <v>836151.048</v>
      </c>
      <c r="FB11" s="48" t="n">
        <v>836758.343</v>
      </c>
      <c r="FC11" s="48" t="n">
        <v>837447.903</v>
      </c>
      <c r="FD11" s="48" t="n">
        <v>838167.83</v>
      </c>
      <c r="FE11" s="126" t="n"/>
      <c r="FF11" s="48" t="n">
        <v>838719.1189999999</v>
      </c>
      <c r="FG11" s="48" t="n">
        <v>839439.606</v>
      </c>
      <c r="FH11" s="48" t="n">
        <v>839904.878</v>
      </c>
      <c r="FI11" s="48" t="n">
        <v>840603.051</v>
      </c>
      <c r="FJ11" s="48" t="n">
        <v>841268.7560000001</v>
      </c>
      <c r="FK11" s="48" t="n">
        <v>841966.787</v>
      </c>
      <c r="FL11" s="48" t="n">
        <v>842681.917</v>
      </c>
      <c r="FM11" s="48" t="n">
        <v>843425.235</v>
      </c>
      <c r="FN11" s="48" t="n">
        <v>844064.517</v>
      </c>
      <c r="FO11" s="48" t="n">
        <v>844668.5550000001</v>
      </c>
      <c r="FP11" s="48" t="n">
        <v>845194.996</v>
      </c>
      <c r="FQ11" s="48" t="n">
        <v>845782.1580000001</v>
      </c>
      <c r="FR11" s="48" t="n">
        <v>846410.642</v>
      </c>
      <c r="FS11" s="48" t="n">
        <v>847078.013</v>
      </c>
      <c r="FT11" s="48" t="n">
        <v>847532.112</v>
      </c>
      <c r="FU11" s="48" t="n">
        <v>848129.166</v>
      </c>
      <c r="FV11" s="48" t="n">
        <v>848682.7439999999</v>
      </c>
      <c r="FW11" s="48" t="n">
        <v>849294.709</v>
      </c>
      <c r="FX11" s="48" t="n">
        <v>850097.414</v>
      </c>
      <c r="FY11" s="48" t="n">
        <v>850844.926</v>
      </c>
      <c r="FZ11" s="48" t="n">
        <v>851468.747</v>
      </c>
      <c r="GA11" s="48" t="n">
        <v>852031.327</v>
      </c>
      <c r="GB11" s="48" t="n">
        <v>852628.205</v>
      </c>
      <c r="GC11" s="48" t="n">
        <v>853229.037</v>
      </c>
      <c r="GD11" s="48" t="n">
        <v>854100.941</v>
      </c>
      <c r="GE11" s="48" t="n">
        <v>854766.298</v>
      </c>
      <c r="GF11" s="48" t="n">
        <v>855430.3100000001</v>
      </c>
      <c r="GG11" s="48" t="n">
        <v>856122.572</v>
      </c>
      <c r="GH11" s="48" t="n">
        <v>856794.501</v>
      </c>
      <c r="GI11" s="48" t="n">
        <v>857471.969</v>
      </c>
      <c r="GJ11" s="48" t="n">
        <v>858067.704</v>
      </c>
      <c r="GK11" s="126" t="n"/>
      <c r="GL11" s="48" t="n">
        <v>858583.924</v>
      </c>
      <c r="GM11" s="48" t="n">
        <v>859234.1040000001</v>
      </c>
      <c r="GN11" s="48" t="n">
        <v>860101.0870000001</v>
      </c>
      <c r="GO11" s="48" t="n">
        <v>860924.818</v>
      </c>
      <c r="GP11" s="48" t="n">
        <v>861667.286</v>
      </c>
      <c r="GQ11" s="48" t="n">
        <v>862185.911</v>
      </c>
      <c r="GR11" s="48" t="n">
        <v>863061.802</v>
      </c>
      <c r="GS11" s="48" t="n">
        <v>863821.022</v>
      </c>
      <c r="GT11" s="48" t="n">
        <v>864452.617</v>
      </c>
      <c r="GU11" s="48" t="n">
        <v>865061.5</v>
      </c>
      <c r="GV11" s="48" t="n">
        <v>865713.786</v>
      </c>
      <c r="GW11" s="48" t="n">
        <v>866290.29</v>
      </c>
      <c r="GX11" s="48" t="n">
        <v>867095.384</v>
      </c>
      <c r="GY11" s="48" t="n">
        <v>867823.436</v>
      </c>
      <c r="GZ11" s="48" t="n">
        <v>868367.632</v>
      </c>
      <c r="HA11" s="48" t="n">
        <v>868983.919</v>
      </c>
      <c r="HB11" s="48" t="n">
        <v>869632</v>
      </c>
      <c r="HC11" s="48" t="n">
        <v>870241.1310000001</v>
      </c>
      <c r="HD11" s="48" t="n">
        <v>870737.218</v>
      </c>
      <c r="HE11" s="48" t="n">
        <v>871565.524</v>
      </c>
      <c r="HF11" s="48" t="n">
        <v>872132.366</v>
      </c>
      <c r="HG11" s="48" t="n">
        <v>872910.932</v>
      </c>
      <c r="HH11" s="48" t="n">
        <v>873670.563</v>
      </c>
      <c r="HI11" s="48" t="n">
        <v>874335.421</v>
      </c>
      <c r="HJ11" s="48" t="n">
        <v>874865.558</v>
      </c>
      <c r="HK11" s="48" t="n">
        <v>875419.62</v>
      </c>
      <c r="HL11" s="48" t="n">
        <v>876181.1899999999</v>
      </c>
      <c r="HM11" s="48" t="n">
        <v>876743.678</v>
      </c>
      <c r="HN11" s="48" t="n">
        <v>877366.75</v>
      </c>
      <c r="HO11" s="126" t="n"/>
      <c r="HP11" s="48" t="n">
        <v>878092.648</v>
      </c>
      <c r="HQ11" s="48" t="n">
        <v>878958.241</v>
      </c>
      <c r="HR11" s="48" t="n">
        <v>879639.829</v>
      </c>
      <c r="HS11" s="48" t="n">
        <v>880340.215</v>
      </c>
      <c r="HT11" s="48" t="n">
        <v>881035.753</v>
      </c>
      <c r="HU11" s="48" t="n">
        <v>881755.172</v>
      </c>
      <c r="HV11" s="48" t="n">
        <v>882594.726</v>
      </c>
      <c r="HW11" s="48" t="n">
        <v>883331.991</v>
      </c>
      <c r="HX11" s="48" t="n">
        <v>884190.659</v>
      </c>
      <c r="HY11" s="48" t="n">
        <v>884823.572</v>
      </c>
      <c r="HZ11" s="48" t="n">
        <v>885454.79</v>
      </c>
      <c r="IA11" s="48" t="n">
        <v>886141.076</v>
      </c>
      <c r="IB11" s="48" t="n">
        <v>886638.01</v>
      </c>
      <c r="IC11" s="48" t="n">
        <v>887230.569</v>
      </c>
      <c r="ID11" s="48" t="n">
        <v>887994.0699999999</v>
      </c>
      <c r="IE11" s="48" t="n">
        <v>888607.561</v>
      </c>
      <c r="IF11" s="48" t="n">
        <v>889233.088</v>
      </c>
      <c r="IG11" s="48" t="n">
        <v>890097.192</v>
      </c>
      <c r="IH11" s="48" t="n">
        <v>890710.8810000001</v>
      </c>
      <c r="II11" s="48" t="n">
        <v>891267.6580000001</v>
      </c>
      <c r="IJ11" s="48" t="n">
        <v>891829.929</v>
      </c>
      <c r="IK11" s="48" t="n">
        <v>892490.862</v>
      </c>
      <c r="IL11" s="48" t="n">
        <v>893277.442</v>
      </c>
      <c r="IM11" s="48" t="n">
        <v>893861.137</v>
      </c>
      <c r="IN11" s="48" t="n">
        <v>894439.495</v>
      </c>
      <c r="IO11" s="48" t="n">
        <v>895017.333</v>
      </c>
      <c r="IP11" s="48" t="n">
        <v>895666.345</v>
      </c>
      <c r="IQ11" s="48" t="n">
        <v>896147.223</v>
      </c>
      <c r="IR11" s="48" t="n">
        <v>896650.889</v>
      </c>
      <c r="IS11" s="48" t="n">
        <v>897258.299</v>
      </c>
      <c r="IT11" s="48" t="n">
        <v>897615.713</v>
      </c>
      <c r="IU11" s="126" t="n"/>
      <c r="IV11" s="48" t="n">
        <v>898110.567</v>
      </c>
      <c r="IW11" s="48" t="n">
        <v>898763.63</v>
      </c>
      <c r="IX11" s="48" t="n">
        <v>899366.294</v>
      </c>
      <c r="IY11" s="48" t="n">
        <v>899955.839</v>
      </c>
      <c r="IZ11" s="48" t="n">
        <v>900619.666</v>
      </c>
      <c r="JA11" s="48" t="n">
        <v>901148.1189999999</v>
      </c>
      <c r="JB11" s="48" t="n">
        <v>901604.005</v>
      </c>
      <c r="JC11" s="48" t="n">
        <v>902177.24</v>
      </c>
      <c r="JD11" s="48" t="n">
        <v>902723.326</v>
      </c>
      <c r="JE11" s="48" t="n">
        <v>903443.0550000001</v>
      </c>
      <c r="JF11" s="48" t="n">
        <v>904058.419</v>
      </c>
      <c r="JG11" s="48" t="n">
        <v>904632.353</v>
      </c>
      <c r="JH11" s="48" t="n">
        <v>905196.553</v>
      </c>
      <c r="JI11" s="48" t="n">
        <v>905542.4570000001</v>
      </c>
      <c r="JJ11" s="48" t="n">
        <v>906209.356</v>
      </c>
      <c r="JK11" s="48" t="n">
        <v>906788.562</v>
      </c>
      <c r="JL11" s="48" t="n">
        <v>907344.624</v>
      </c>
      <c r="JM11" s="48" t="n">
        <v>907982.018</v>
      </c>
      <c r="JN11" s="48" t="n">
        <v>908726.265</v>
      </c>
      <c r="JO11" s="48" t="n">
        <v>909289.664</v>
      </c>
      <c r="JP11" s="48" t="n">
        <v>909692.197</v>
      </c>
      <c r="JQ11" s="48" t="n">
        <v>910195.968</v>
      </c>
      <c r="JR11" s="48" t="n">
        <v>910673.1040000001</v>
      </c>
      <c r="JS11" s="48" t="n">
        <v>911178.371</v>
      </c>
      <c r="JT11" s="48" t="n">
        <v>911750.688</v>
      </c>
      <c r="JU11" s="48" t="n">
        <v>912495.975</v>
      </c>
      <c r="JV11" s="48" t="n">
        <v>913371.617</v>
      </c>
      <c r="JW11" s="48" t="n">
        <v>913928.424</v>
      </c>
      <c r="JX11" s="48" t="n">
        <v>914331.3689999999</v>
      </c>
      <c r="JY11" s="48" t="n">
        <v>914980.096</v>
      </c>
      <c r="JZ11" s="126" t="n"/>
      <c r="KA11" s="48" t="n">
        <v>915453.694</v>
      </c>
      <c r="KB11" s="48" t="n">
        <v>916032.159</v>
      </c>
      <c r="KC11" s="48" t="n">
        <v>916566.7</v>
      </c>
      <c r="KD11" s="48" t="n">
        <v>917090.311</v>
      </c>
      <c r="KE11" s="48" t="n">
        <v>917723.973</v>
      </c>
      <c r="KF11" s="48" t="n">
        <v>918294.871</v>
      </c>
      <c r="KG11" s="48" t="n">
        <v>918975.383</v>
      </c>
      <c r="KH11" s="48" t="n">
        <v>919524.352</v>
      </c>
      <c r="KI11" s="48" t="n">
        <v>920242.176</v>
      </c>
      <c r="KJ11" s="48" t="n">
        <v>920718.703</v>
      </c>
      <c r="KK11" s="48" t="n">
        <v>921458.204</v>
      </c>
      <c r="KL11" s="48" t="n">
        <v>922034.753</v>
      </c>
      <c r="KM11" s="48" t="n">
        <v>922710.433</v>
      </c>
      <c r="KN11" s="48" t="n">
        <v>923252.547</v>
      </c>
      <c r="KO11" s="48" t="n">
        <v>923891.751</v>
      </c>
      <c r="KP11" s="48" t="n">
        <v>924360.851</v>
      </c>
      <c r="KQ11" s="48" t="n">
        <v>925015.255</v>
      </c>
      <c r="KR11" s="48" t="n">
        <v>925570.6459999999</v>
      </c>
      <c r="KS11" s="48" t="n">
        <v>926117.664</v>
      </c>
      <c r="KT11" s="48" t="n">
        <v>926744.714</v>
      </c>
      <c r="KU11" s="48" t="n">
        <v>927210.622</v>
      </c>
      <c r="KV11" s="48" t="n">
        <v>927792.372</v>
      </c>
      <c r="KW11" s="48" t="n">
        <v>928423.253</v>
      </c>
      <c r="KX11" s="48" t="n">
        <v>929124.686</v>
      </c>
      <c r="KY11" s="48" t="n">
        <v>929679.089</v>
      </c>
      <c r="KZ11" s="48" t="n">
        <v>930425.59</v>
      </c>
      <c r="LA11" s="48" t="n">
        <v>931078.339</v>
      </c>
      <c r="LB11" s="48" t="n">
        <v>931830.1800000001</v>
      </c>
      <c r="LC11" s="48" t="n">
        <v>932412.895</v>
      </c>
      <c r="LD11" s="48" t="n">
        <v>932961.422</v>
      </c>
      <c r="LE11" s="48" t="n">
        <v>933660.932</v>
      </c>
      <c r="LF11" s="126" t="n"/>
      <c r="LG11" s="48" t="n">
        <v>934533.518</v>
      </c>
      <c r="LH11" s="48" t="n">
        <v>935164.335</v>
      </c>
      <c r="LI11" s="48" t="n">
        <v>935827.38</v>
      </c>
      <c r="LJ11" s="48" t="n">
        <v>936610.98</v>
      </c>
      <c r="LK11" s="48" t="n">
        <v>937269.046</v>
      </c>
      <c r="LL11" s="48" t="n">
        <v>937815.738</v>
      </c>
      <c r="LM11" s="48" t="n">
        <v>938580.85</v>
      </c>
      <c r="LN11" s="48" t="n">
        <v>939351.018</v>
      </c>
      <c r="LO11" s="48" t="n">
        <v>939913.162</v>
      </c>
      <c r="LP11" s="48" t="n">
        <v>940561.375</v>
      </c>
      <c r="LQ11" s="48" t="n">
        <v>941158.59</v>
      </c>
      <c r="LR11" s="48" t="n">
        <v>941745.147</v>
      </c>
      <c r="LS11" s="48" t="n">
        <v>942262.921</v>
      </c>
      <c r="LT11" s="48" t="n">
        <v>942991.133</v>
      </c>
      <c r="LU11" s="48" t="n">
        <v>943940.098</v>
      </c>
      <c r="LV11" s="48" t="n">
        <v>944558.9</v>
      </c>
      <c r="LW11" s="48" t="n">
        <v>945137.169</v>
      </c>
      <c r="LX11" s="48" t="n">
        <v>945780.561</v>
      </c>
      <c r="LY11" s="48" t="n">
        <v>946394.692</v>
      </c>
      <c r="LZ11" s="48" t="n">
        <v>947063.573</v>
      </c>
      <c r="MA11" s="48" t="n">
        <v>947878.526</v>
      </c>
      <c r="MB11" s="48" t="n">
        <v>948561.661</v>
      </c>
      <c r="MC11" s="48" t="n">
        <v>949363.674</v>
      </c>
      <c r="MD11" s="48" t="n">
        <v>949964.339</v>
      </c>
      <c r="ME11" s="48" t="n">
        <v>950622.519</v>
      </c>
      <c r="MF11" s="48" t="n">
        <v>951228.206</v>
      </c>
      <c r="MG11" s="48" t="n">
        <v>951784.414</v>
      </c>
      <c r="MH11" s="48" t="n">
        <v>952349.693</v>
      </c>
      <c r="MI11" s="48" t="n">
        <v>952960.888</v>
      </c>
      <c r="MJ11" s="48" t="n">
        <v>953522.465</v>
      </c>
      <c r="MK11" s="126" t="n"/>
      <c r="ML11" s="48" t="n">
        <v>954179.125</v>
      </c>
      <c r="MM11" s="48" t="n">
        <v>954761.871</v>
      </c>
      <c r="MN11" s="48" t="n">
        <v>955380.485</v>
      </c>
      <c r="MO11" s="48" t="n">
        <v>956050.4669999999</v>
      </c>
      <c r="MP11" s="48" t="n">
        <v>956664.745</v>
      </c>
      <c r="MQ11" s="48" t="n">
        <v>957268.287</v>
      </c>
      <c r="MR11" s="48" t="n">
        <v>957969.1629999999</v>
      </c>
      <c r="MS11" s="48" t="n">
        <v>958602.6629999999</v>
      </c>
      <c r="MT11" s="48" t="n">
        <v>958990.792</v>
      </c>
      <c r="MU11" s="48" t="n">
        <v>959488.6</v>
      </c>
      <c r="MV11" s="48" t="n">
        <v>960038.267</v>
      </c>
      <c r="MW11" s="48" t="n">
        <v>960684.259</v>
      </c>
      <c r="MX11" s="48" t="n">
        <v>961600.387</v>
      </c>
      <c r="MY11" s="48" t="n">
        <v>962059.393</v>
      </c>
      <c r="MZ11" s="48" t="n">
        <v>962553.2070000001</v>
      </c>
      <c r="NA11" s="48" t="n">
        <v>963309.069</v>
      </c>
      <c r="NB11" s="48" t="n">
        <v>963876.231</v>
      </c>
      <c r="NC11" s="48" t="n">
        <v>964532.4939999999</v>
      </c>
      <c r="ND11" s="48" t="n">
        <v>965100.708</v>
      </c>
      <c r="NE11" s="48" t="n">
        <v>965732.885</v>
      </c>
      <c r="NF11" s="48" t="n">
        <v>966118.496</v>
      </c>
      <c r="NG11" s="48" t="n">
        <v>966615.975</v>
      </c>
      <c r="NH11" s="48" t="n">
        <v>967073.9620000001</v>
      </c>
      <c r="NI11" s="48" t="n">
        <v>967607.414</v>
      </c>
      <c r="NJ11" s="48" t="n">
        <v>968180.427</v>
      </c>
      <c r="NK11" s="48" t="n">
        <v>968864.272</v>
      </c>
      <c r="NL11" s="48" t="n">
        <v>969597.612</v>
      </c>
      <c r="NM11" s="48" t="n">
        <v>970055.893</v>
      </c>
      <c r="NN11" s="48" t="n">
        <v>970621.405</v>
      </c>
      <c r="NO11" s="48" t="n">
        <v>971203.781</v>
      </c>
      <c r="NP11" s="48" t="n">
        <v>971637.85</v>
      </c>
      <c r="NQ11" s="126" t="n"/>
      <c r="NR11" s="48" t="n">
        <v>972227.954</v>
      </c>
      <c r="NS11" s="48" t="n">
        <v>972828.411</v>
      </c>
      <c r="NT11" s="48" t="n">
        <v>973568.143</v>
      </c>
      <c r="NU11" s="48" t="n">
        <v>974104.277</v>
      </c>
      <c r="NV11" s="48" t="n">
        <v>974679.247</v>
      </c>
      <c r="NW11" s="48" t="n">
        <v>975403.4</v>
      </c>
      <c r="NX11" s="48" t="n">
        <v>975915.585</v>
      </c>
      <c r="NY11" s="48" t="n">
        <v>976593.4080000001</v>
      </c>
      <c r="NZ11" s="48" t="n">
        <v>977254.59</v>
      </c>
      <c r="OA11" s="48" t="n">
        <v>977946.863</v>
      </c>
      <c r="OB11" s="48" t="n">
        <v>978603.035</v>
      </c>
      <c r="OC11" s="48" t="n">
        <v>979159.8100000001</v>
      </c>
      <c r="OD11" s="48" t="n">
        <v>979727.916</v>
      </c>
      <c r="OE11" s="48" t="n">
        <v>980279.454</v>
      </c>
      <c r="OF11" s="48" t="n">
        <v>980941.664</v>
      </c>
      <c r="OG11" s="48" t="n">
        <v>981659.145</v>
      </c>
      <c r="OH11" s="48" t="n">
        <v>982395.081</v>
      </c>
      <c r="OI11" s="48" t="n">
        <v>982970.656</v>
      </c>
      <c r="OJ11" s="48" t="n">
        <v>983672.562</v>
      </c>
      <c r="OK11" s="48" t="n">
        <v>984291.144</v>
      </c>
      <c r="OL11" s="48" t="n">
        <v>984845.368</v>
      </c>
      <c r="OM11" s="48" t="n">
        <v>985480.076</v>
      </c>
      <c r="ON11" s="48" t="n">
        <v>986127.7070000001</v>
      </c>
      <c r="OO11" s="48" t="n">
        <v>986801.693</v>
      </c>
      <c r="OP11" s="48" t="n">
        <v>987342.745</v>
      </c>
      <c r="OQ11" s="48" t="n">
        <v>987936.7929999999</v>
      </c>
      <c r="OR11" s="48" t="n">
        <v>988597.664</v>
      </c>
      <c r="OS11" s="48" t="n">
        <v>989210.412</v>
      </c>
      <c r="OT11" s="48" t="n">
        <v>989880.858</v>
      </c>
      <c r="OU11" s="48" t="n">
        <v>990392.034</v>
      </c>
      <c r="OV11" s="48" t="n">
        <v>991178.33</v>
      </c>
      <c r="OW11" s="126" t="n"/>
      <c r="OX11" s="48" t="n">
        <v>991787.318</v>
      </c>
      <c r="OY11" s="48" t="n">
        <v>992554.508</v>
      </c>
      <c r="OZ11" s="48" t="n">
        <v>993241.828</v>
      </c>
      <c r="PA11" s="48" t="n">
        <v>993853.302</v>
      </c>
      <c r="PB11" s="48" t="n">
        <v>994530.1459999999</v>
      </c>
      <c r="PC11" s="48" t="n">
        <v>995266.768</v>
      </c>
      <c r="PD11" s="48" t="n">
        <v>995895.933</v>
      </c>
      <c r="PE11" s="48" t="n">
        <v>996529.295</v>
      </c>
      <c r="PF11" s="48" t="n">
        <v>997218.46</v>
      </c>
      <c r="PG11" s="48" t="n">
        <v>997794.299</v>
      </c>
      <c r="PH11" s="48" t="n">
        <v>998352.605</v>
      </c>
      <c r="PI11" s="48" t="n">
        <v>998928.246</v>
      </c>
      <c r="PJ11" s="48" t="n">
        <v>999659.6189999999</v>
      </c>
      <c r="PK11" s="48" t="n">
        <v>1000351.853</v>
      </c>
      <c r="PL11" s="48" t="n">
        <v>1000983.914</v>
      </c>
      <c r="PM11" s="48" t="n">
        <v>1001589.514</v>
      </c>
      <c r="PN11" s="48" t="n">
        <v>1002154.852</v>
      </c>
      <c r="PO11" s="48" t="n">
        <v>1002722.587</v>
      </c>
      <c r="PP11" s="48" t="n">
        <v>1003289.837</v>
      </c>
      <c r="PQ11" s="48" t="n">
        <v>1003871.893</v>
      </c>
      <c r="PR11" s="48" t="n">
        <v>1004380.61</v>
      </c>
      <c r="PS11" s="48" t="n">
        <v>1004919.906</v>
      </c>
      <c r="PT11" s="48" t="n">
        <v>1005459.184</v>
      </c>
      <c r="PU11" s="48" t="n">
        <v>1005994.579</v>
      </c>
      <c r="PV11" s="48" t="n">
        <v>1006481.956</v>
      </c>
      <c r="PW11" s="48" t="n">
        <v>1006981.88</v>
      </c>
      <c r="PX11" s="48" t="n">
        <v>1007609.193</v>
      </c>
      <c r="PY11" s="48" t="n">
        <v>1008127.872</v>
      </c>
      <c r="PZ11" s="48" t="n">
        <v>1008397.492</v>
      </c>
      <c r="QA11" s="48" t="n">
        <v>1008958.455</v>
      </c>
      <c r="QB11" s="126" t="n"/>
      <c r="QC11" s="48" t="n">
        <v>1009410.837</v>
      </c>
      <c r="QD11" s="48" t="n">
        <v>1009902.321</v>
      </c>
      <c r="QE11" s="48" t="n">
        <v>1010519.421</v>
      </c>
      <c r="QF11" s="48" t="n">
        <v>1011444.955</v>
      </c>
      <c r="QG11" s="48" t="n">
        <v>1012264.892</v>
      </c>
      <c r="QH11" s="48" t="n">
        <v>1012914.492</v>
      </c>
      <c r="QI11" s="48" t="n">
        <v>1013641.404</v>
      </c>
      <c r="QJ11" s="48" t="n">
        <v>1014190.649</v>
      </c>
      <c r="QK11" s="48" t="n">
        <v>1014845.05</v>
      </c>
      <c r="QL11" s="48" t="n">
        <v>1015535.607</v>
      </c>
      <c r="QM11" s="48" t="n">
        <v>1016253.924</v>
      </c>
      <c r="QN11" s="48" t="n">
        <v>1016930.839</v>
      </c>
      <c r="QO11" s="48" t="n">
        <v>1017597.306</v>
      </c>
      <c r="QP11" s="48" t="n">
        <v>1018310.886</v>
      </c>
      <c r="QQ11" s="48" t="n">
        <v>1019032.973</v>
      </c>
      <c r="QR11" s="48" t="n">
        <v>1019555.873</v>
      </c>
      <c r="QS11" s="48" t="n">
        <v>1020060.763</v>
      </c>
      <c r="QT11" s="48" t="n">
        <v>1020765.22</v>
      </c>
      <c r="QU11" s="48" t="n">
        <v>1021490.12</v>
      </c>
      <c r="QV11" s="48" t="n">
        <v>1022032.52</v>
      </c>
      <c r="QW11" s="48" t="n">
        <v>1022559.624</v>
      </c>
      <c r="QX11" s="48" t="n">
        <v>1023068.049</v>
      </c>
      <c r="QY11" s="48" t="n">
        <v>1023664.12</v>
      </c>
      <c r="QZ11" s="48" t="n">
        <v>1024127.99</v>
      </c>
      <c r="RA11" s="48" t="n">
        <v>1024841.11</v>
      </c>
      <c r="RB11" s="48" t="n">
        <v>1025413.71</v>
      </c>
      <c r="RC11" s="48" t="n">
        <v>1025874.71</v>
      </c>
      <c r="RD11" s="48" t="n">
        <v>1026372.069</v>
      </c>
      <c r="RE11" s="48" t="n">
        <v>1027033.791</v>
      </c>
      <c r="RF11" s="48" t="n">
        <v>1027403</v>
      </c>
      <c r="RG11" s="48" t="n">
        <v>1028013.277</v>
      </c>
      <c r="RH11" s="126" t="n"/>
      <c r="RI11" s="48" t="n">
        <v>1028624.338</v>
      </c>
      <c r="RJ11" s="48" t="n">
        <v>1029326.01</v>
      </c>
      <c r="RK11" s="48" t="n">
        <v>1029884.078</v>
      </c>
      <c r="RL11" s="48" t="n">
        <v>1030563.037</v>
      </c>
      <c r="RM11" s="48" t="n">
        <v>1031116.937</v>
      </c>
      <c r="RN11" s="48" t="n">
        <v>1031530.478</v>
      </c>
      <c r="RO11" s="48" t="n">
        <v>1031970.538</v>
      </c>
      <c r="RP11" s="48" t="n">
        <v>1032481.049</v>
      </c>
      <c r="RQ11" s="48" t="n">
        <v>1033058.922</v>
      </c>
      <c r="RR11" s="48" t="n">
        <v>1033505.257</v>
      </c>
      <c r="RS11" s="48" t="n">
        <v>1034062.356</v>
      </c>
      <c r="RT11" s="48" t="n">
        <v>1034521.882</v>
      </c>
      <c r="RU11" s="48" t="n">
        <v>1035116.744</v>
      </c>
      <c r="RV11" s="48" t="n">
        <v>1035698.228</v>
      </c>
      <c r="RW11" s="48" t="n">
        <v>1036405.634</v>
      </c>
      <c r="RX11" s="48" t="n">
        <v>1036946.019</v>
      </c>
      <c r="RY11" s="48" t="n">
        <v>1037574.861</v>
      </c>
      <c r="RZ11" s="48" t="n">
        <v>1038236.667</v>
      </c>
      <c r="SA11" s="48" t="n">
        <v>1038878.482</v>
      </c>
      <c r="SB11" s="48" t="n">
        <v>1039425.446</v>
      </c>
      <c r="SC11" s="48" t="n">
        <v>1039904.139</v>
      </c>
      <c r="SD11" s="48" t="n">
        <v>1040559.996</v>
      </c>
      <c r="SE11" s="48" t="n">
        <v>1041236.151</v>
      </c>
      <c r="SF11" s="48" t="n">
        <v>1041659.388</v>
      </c>
      <c r="SG11" s="48" t="n">
        <v>1042146.066</v>
      </c>
      <c r="SH11" s="48" t="n">
        <v>1042782.693</v>
      </c>
      <c r="SI11" s="48" t="n">
        <v>1043249.153</v>
      </c>
      <c r="SJ11" s="48" t="n">
        <v>1043858.415</v>
      </c>
      <c r="SK11" s="48" t="n">
        <v>1044501.992</v>
      </c>
      <c r="SL11" s="48" t="n">
        <v>1045144.85</v>
      </c>
      <c r="SM11" s="126" t="n"/>
      <c r="SN11" s="48" t="n">
        <v>1045675.299</v>
      </c>
      <c r="SO11" s="48" t="n">
        <v>1046302.771</v>
      </c>
      <c r="SP11" s="48" t="n">
        <v>1046799.397</v>
      </c>
      <c r="SQ11" s="48" t="n">
        <v>1047411.33</v>
      </c>
      <c r="SR11" s="48" t="n">
        <v>1047919.746</v>
      </c>
      <c r="SS11" s="48" t="n">
        <v>1048576.617</v>
      </c>
      <c r="ST11" s="48" t="n">
        <v>1049177.608</v>
      </c>
      <c r="SU11" s="48" t="n">
        <v>1049721.791</v>
      </c>
      <c r="SV11" s="48" t="n">
        <v>1050426.834</v>
      </c>
      <c r="SW11" s="48" t="n">
        <v>1050963.146</v>
      </c>
      <c r="SX11" s="48" t="n">
        <v>1051490.815</v>
      </c>
      <c r="SY11" s="48" t="n">
        <v>1052124.632</v>
      </c>
      <c r="SZ11" s="48" t="n">
        <v>1052767.048</v>
      </c>
      <c r="TA11" s="48" t="n">
        <v>1053439.056</v>
      </c>
      <c r="TB11" s="48" t="n">
        <v>1053931.466</v>
      </c>
      <c r="TC11" s="48" t="n">
        <v>1054468.987</v>
      </c>
      <c r="TD11" s="48" t="n">
        <v>1055084.066</v>
      </c>
      <c r="TE11" s="48" t="n">
        <v>1055587.266</v>
      </c>
      <c r="TF11" s="48" t="n">
        <v>1056299.089</v>
      </c>
      <c r="TG11" s="48" t="n">
        <v>1056980.39</v>
      </c>
      <c r="TH11" s="48" t="n">
        <v>1057635.631</v>
      </c>
      <c r="TI11" s="48" t="n">
        <v>1058354.551</v>
      </c>
      <c r="TJ11" s="48" t="n">
        <v>1059083.017</v>
      </c>
      <c r="TK11" s="48" t="n">
        <v>1059745.917</v>
      </c>
      <c r="TL11" s="48" t="n">
        <v>1060415.92</v>
      </c>
      <c r="TM11" s="48" t="n">
        <v>1060998.879</v>
      </c>
      <c r="TN11" s="48" t="n">
        <v>1061591.671</v>
      </c>
      <c r="TO11" s="48" t="n">
        <v>1062130.012</v>
      </c>
      <c r="TP11" s="48" t="n">
        <v>1062661.132</v>
      </c>
      <c r="TQ11" s="48" t="n">
        <v>1063351.164</v>
      </c>
      <c r="TR11" s="48" t="n">
        <v>1063980.348</v>
      </c>
      <c r="TS11" s="126" t="n"/>
      <c r="TT11" s="48" t="n">
        <v>1064329.58</v>
      </c>
      <c r="TU11" s="48" t="n">
        <v>1064760.191</v>
      </c>
      <c r="TV11" s="48" t="n">
        <v>1065301.351</v>
      </c>
      <c r="TW11" s="48" t="n">
        <v>1065896.67</v>
      </c>
      <c r="TX11" s="48" t="n">
        <v>1066398.709</v>
      </c>
      <c r="TY11" s="48" t="n">
        <v>1067008.284</v>
      </c>
      <c r="TZ11" s="48" t="n">
        <v>1067615.45</v>
      </c>
      <c r="UA11" s="48" t="n">
        <v>1068169.29</v>
      </c>
      <c r="UB11" s="48" t="n">
        <v>1068767.887</v>
      </c>
      <c r="UC11" s="48" t="n">
        <v>1069455.745</v>
      </c>
      <c r="UD11" s="48" t="n">
        <v>1070158.959</v>
      </c>
      <c r="UE11" s="48" t="n">
        <v>1070657.41</v>
      </c>
      <c r="UF11" s="48" t="n">
        <v>1071239.077</v>
      </c>
      <c r="UG11" s="48" t="n">
        <v>1071817.051</v>
      </c>
      <c r="UH11" s="48" t="n">
        <v>1072378.806</v>
      </c>
      <c r="UI11" s="48" t="n">
        <v>1072925.581</v>
      </c>
      <c r="UJ11" s="48" t="n">
        <v>1073561.594</v>
      </c>
      <c r="UK11" s="48" t="n">
        <v>1074187.633</v>
      </c>
      <c r="UL11" s="48" t="n">
        <v>1074913.939</v>
      </c>
      <c r="UM11" s="48" t="n">
        <v>1075367.896</v>
      </c>
      <c r="UN11" s="48" t="n">
        <v>1075939.229</v>
      </c>
      <c r="UO11" s="48" t="n">
        <v>1076418.348</v>
      </c>
      <c r="UP11" s="48" t="n">
        <v>1076924.52</v>
      </c>
      <c r="UQ11" s="48" t="n">
        <v>1077640.995</v>
      </c>
      <c r="UR11" s="48" t="n">
        <v>1078241.426</v>
      </c>
      <c r="US11" s="48" t="n">
        <v>1078816.705</v>
      </c>
      <c r="UT11" s="48" t="n">
        <v>1079529.967</v>
      </c>
      <c r="UU11" s="48" t="n">
        <v>1080158.524</v>
      </c>
      <c r="UV11" s="48" t="n">
        <v>1080718.572</v>
      </c>
      <c r="UW11" s="48" t="n">
        <v>1081185.356</v>
      </c>
      <c r="UX11" s="48" t="n">
        <v>1081802.065</v>
      </c>
      <c r="UY11" s="126" t="n"/>
      <c r="UZ11" s="48" t="n">
        <v>1082483.044</v>
      </c>
      <c r="VA11" s="48" t="n">
        <v>1083003.875</v>
      </c>
      <c r="VB11" s="48" t="n">
        <v>1083644.937</v>
      </c>
      <c r="VC11" s="48" t="n">
        <v>1084161.508</v>
      </c>
      <c r="VD11" s="48" t="n">
        <v>1084855.009</v>
      </c>
      <c r="VE11" s="48" t="n">
        <v>1085462.61</v>
      </c>
      <c r="VF11" s="48" t="n">
        <v>1086095.375</v>
      </c>
      <c r="VG11" s="48" t="n">
        <v>1086707.665</v>
      </c>
      <c r="VH11" s="48" t="n">
        <v>1087293.404</v>
      </c>
      <c r="VI11" s="48" t="n">
        <v>1087846.166</v>
      </c>
      <c r="VJ11" s="48" t="n">
        <v>1088389.214</v>
      </c>
      <c r="VK11" s="48" t="n">
        <v>1088967.487</v>
      </c>
      <c r="VL11" s="48" t="n">
        <v>1089392.002</v>
      </c>
      <c r="VM11" s="48" t="n">
        <v>1090067.058</v>
      </c>
      <c r="VN11" s="48" t="n">
        <v>1090589.098</v>
      </c>
      <c r="VO11" s="48" t="n">
        <v>1091216.579</v>
      </c>
      <c r="VP11" s="48" t="n">
        <v>1091826.499</v>
      </c>
      <c r="VQ11" s="48" t="n">
        <v>1092337.66</v>
      </c>
      <c r="VR11" s="48" t="n">
        <v>1092971.025</v>
      </c>
      <c r="VS11" s="48" t="n">
        <v>1093499.065</v>
      </c>
      <c r="VT11" s="48" t="n">
        <v>1094121.858</v>
      </c>
      <c r="VU11" s="48" t="n">
        <v>1094943.383</v>
      </c>
      <c r="VV11" s="48" t="n">
        <v>1095488.282</v>
      </c>
      <c r="VW11" s="48" t="n">
        <v>1095933.295</v>
      </c>
      <c r="VX11" s="48" t="n">
        <v>1096535.569</v>
      </c>
      <c r="VY11" s="48" t="n">
        <v>1097047.204</v>
      </c>
      <c r="VZ11" s="48" t="n">
        <v>1097717.853</v>
      </c>
      <c r="WA11" s="48" t="n">
        <v>1098247.847</v>
      </c>
      <c r="WB11" s="126" t="n"/>
      <c r="WC11" s="48" t="n">
        <v>1099010.568</v>
      </c>
      <c r="WD11" s="48" t="n">
        <v>1099599.877</v>
      </c>
      <c r="WE11" s="48" t="n">
        <v>1100287.562</v>
      </c>
      <c r="WF11" s="48" t="n">
        <v>1100805.719</v>
      </c>
      <c r="WG11" s="48" t="n">
        <v>1101287.02</v>
      </c>
      <c r="WH11" s="48" t="n">
        <v>1101750.026</v>
      </c>
      <c r="WI11" s="48" t="n">
        <v>1102223.114</v>
      </c>
      <c r="WJ11" s="48" t="n">
        <v>1102695.972</v>
      </c>
      <c r="WK11" s="48" t="n">
        <v>1103191.526</v>
      </c>
      <c r="WL11" s="48" t="n">
        <v>1103861.112</v>
      </c>
      <c r="WM11" s="48" t="n">
        <v>1104579.492</v>
      </c>
      <c r="WN11" s="48" t="n">
        <v>1105071.31</v>
      </c>
      <c r="WO11" s="48" t="n">
        <v>1105571.094</v>
      </c>
      <c r="WP11" s="48" t="n">
        <v>1106156.396</v>
      </c>
      <c r="WQ11" s="48" t="n">
        <v>1106814.38</v>
      </c>
      <c r="WR11" s="48" t="n">
        <v>1107230.852</v>
      </c>
      <c r="WS11" s="48" t="n">
        <v>1107641.95</v>
      </c>
      <c r="WT11" s="48" t="n">
        <v>1108173.231</v>
      </c>
      <c r="WU11" s="48" t="n">
        <v>1108705.651</v>
      </c>
      <c r="WV11" s="48" t="n">
        <v>1109206.544</v>
      </c>
      <c r="WW11" s="48" t="n">
        <v>1109703.491</v>
      </c>
      <c r="WX11" s="48" t="n">
        <v>1110316.693</v>
      </c>
      <c r="WY11" s="48" t="n">
        <v>1110895.882</v>
      </c>
      <c r="WZ11" s="48" t="n">
        <v>1111333.204</v>
      </c>
      <c r="XA11" s="48" t="n">
        <v>1111818.392</v>
      </c>
      <c r="XB11" s="48" t="n">
        <v>1112353.269</v>
      </c>
      <c r="XC11" s="48" t="n">
        <v>1113138.911</v>
      </c>
      <c r="XD11" s="48" t="n">
        <v>1113810.267</v>
      </c>
      <c r="XE11" s="48" t="n">
        <v>1114512.559</v>
      </c>
      <c r="XF11" s="48" t="n">
        <v>1115129.239</v>
      </c>
      <c r="XG11" s="48" t="n">
        <v>1115596.492</v>
      </c>
      <c r="XH11" s="126" t="n"/>
      <c r="XI11" s="48" t="n">
        <v>1116127.694</v>
      </c>
      <c r="XJ11" s="48" t="n">
        <v>1116549.511</v>
      </c>
      <c r="XK11" s="48" t="n">
        <v>1117059.637</v>
      </c>
      <c r="XL11" s="48" t="n">
        <v>1117582.221</v>
      </c>
      <c r="XM11" s="48" t="n">
        <v>1118203.179</v>
      </c>
      <c r="XN11" s="48" t="n">
        <v>1118708.303</v>
      </c>
      <c r="XO11" s="48" t="n">
        <v>1119329.49</v>
      </c>
      <c r="XP11" s="48" t="n">
        <v>1119851.443</v>
      </c>
      <c r="XQ11" s="48" t="n">
        <v>1120331.485</v>
      </c>
      <c r="XR11" s="48" t="n">
        <v>1120983.825</v>
      </c>
      <c r="XS11" s="48" t="n">
        <v>1121540.602</v>
      </c>
      <c r="XT11" s="48" t="n">
        <v>1122226.094</v>
      </c>
      <c r="XU11" s="48" t="n">
        <v>1122794.856</v>
      </c>
      <c r="XV11" s="48" t="n">
        <v>1123269.823</v>
      </c>
      <c r="XW11" s="48" t="n">
        <v>1123842.594</v>
      </c>
      <c r="XX11" s="48" t="n">
        <v>1124494.403</v>
      </c>
      <c r="XY11" s="48" t="n">
        <v>1125113.157</v>
      </c>
      <c r="XZ11" s="48" t="n">
        <v>1125670.001</v>
      </c>
      <c r="YA11" s="48" t="n">
        <v>1126466.576</v>
      </c>
      <c r="YB11" s="48" t="n">
        <v>1126829.551</v>
      </c>
      <c r="YC11" s="48" t="n">
        <v>1127352.504</v>
      </c>
      <c r="YD11" s="48" t="n">
        <v>1127970.303</v>
      </c>
      <c r="YE11" s="48" t="n">
        <v>1128418.647</v>
      </c>
      <c r="YF11" s="48" t="n">
        <v>1129009.66</v>
      </c>
      <c r="YG11" s="48" t="n">
        <v>1129642.281</v>
      </c>
      <c r="YH11" s="48" t="n">
        <v>1130229.254</v>
      </c>
      <c r="YI11" s="48" t="n">
        <v>1130835.647</v>
      </c>
      <c r="YJ11" s="48" t="n">
        <v>1131326.478</v>
      </c>
      <c r="YK11" s="48" t="n">
        <v>1131870.542</v>
      </c>
      <c r="YL11" s="48" t="n">
        <v>1132429.939</v>
      </c>
      <c r="YM11" s="126" t="n"/>
      <c r="YN11" s="48" t="n">
        <v>1132960.973</v>
      </c>
      <c r="YO11" s="48" t="n">
        <v>1133784.524</v>
      </c>
      <c r="YP11" s="48" t="n">
        <v>1134494.349</v>
      </c>
      <c r="YQ11" s="48" t="n">
        <v>1135147.67</v>
      </c>
      <c r="YR11" s="48" t="n">
        <v>1136050.792</v>
      </c>
      <c r="YS11" s="48" t="n">
        <v>1136922.677</v>
      </c>
      <c r="YT11" s="48" t="n">
        <v>1137426.945</v>
      </c>
      <c r="YU11" s="48" t="n">
        <v>1137426.945</v>
      </c>
      <c r="YV11" s="48" t="n">
        <v>1137938.283</v>
      </c>
      <c r="YW11" s="48" t="n">
        <v>1138644.996</v>
      </c>
      <c r="YX11" s="48" t="n">
        <v>1139150.363</v>
      </c>
      <c r="YY11" s="48" t="n">
        <v>1139713.008</v>
      </c>
      <c r="YZ11" s="48" t="n">
        <v>1140200.793</v>
      </c>
      <c r="ZA11" s="48" t="n">
        <v>1140725.05</v>
      </c>
      <c r="ZB11" s="48" t="n">
        <v>1141243.393</v>
      </c>
      <c r="ZC11" s="48" t="n">
        <v>1141748.682</v>
      </c>
      <c r="ZD11" s="48" t="n">
        <v>1142405.762</v>
      </c>
      <c r="ZE11" s="48" t="n">
        <v>1143167.001</v>
      </c>
      <c r="ZF11" s="48" t="n">
        <v>1143910.416</v>
      </c>
      <c r="ZG11" s="48" t="n">
        <v>1144589.324</v>
      </c>
      <c r="ZH11" s="48" t="n">
        <v>1145161.67</v>
      </c>
      <c r="ZI11" s="48" t="n">
        <v>1145731.189</v>
      </c>
      <c r="ZJ11" s="48" t="n">
        <v>1146419.12</v>
      </c>
      <c r="ZK11" s="48" t="n">
        <v>1147277.892</v>
      </c>
      <c r="ZL11" s="48" t="n">
        <v>1148017.896</v>
      </c>
      <c r="ZM11" s="48" t="n">
        <v>1148711.19</v>
      </c>
      <c r="ZN11" s="48" t="n">
        <v>1149279.879</v>
      </c>
      <c r="ZO11" s="48" t="n">
        <v>1149897.503</v>
      </c>
      <c r="ZP11" s="48" t="n">
        <v>1150506.728</v>
      </c>
      <c r="ZQ11" s="48" t="n">
        <v>1151132.287</v>
      </c>
      <c r="ZR11" s="48" t="n">
        <v>1151905.76</v>
      </c>
      <c r="ZS11" s="126" t="n"/>
      <c r="ZT11" s="48" t="n">
        <v>1152626.961</v>
      </c>
      <c r="ZU11" s="48" t="n">
        <v>1153265.942</v>
      </c>
      <c r="ZV11" s="48" t="n">
        <v>1154038.579</v>
      </c>
      <c r="ZW11" s="48" t="n">
        <v>1154683.159</v>
      </c>
      <c r="ZX11" s="48" t="n">
        <v>1155464.828</v>
      </c>
      <c r="ZY11" s="48" t="n">
        <v>1156224.981</v>
      </c>
      <c r="ZZ11" s="48" t="n">
        <v>1156952.243</v>
      </c>
      <c r="AAA11" s="48" t="n">
        <v>1157739.314</v>
      </c>
      <c r="AAB11" s="48" t="n">
        <v>1158344.734</v>
      </c>
      <c r="AAC11" s="48" t="n">
        <v>1158988.642</v>
      </c>
      <c r="AAD11" s="48" t="n">
        <v>1159622.306</v>
      </c>
      <c r="AAE11" s="48" t="n">
        <v>1160201.69</v>
      </c>
      <c r="AAF11" s="48" t="n">
        <v>1160927.873</v>
      </c>
      <c r="AAG11" s="48" t="n">
        <v>1161700.3</v>
      </c>
      <c r="AAH11" s="48" t="n">
        <v>1162365.109</v>
      </c>
      <c r="AAI11" s="48" t="n">
        <v>1163128.308</v>
      </c>
      <c r="AAJ11" s="48" t="n">
        <v>1163813.261</v>
      </c>
      <c r="AAK11" s="48" t="n">
        <v>1164451.12</v>
      </c>
      <c r="AAL11" s="48" t="n">
        <v>1165181.068</v>
      </c>
      <c r="AAM11" s="48" t="n">
        <v>1165867.645</v>
      </c>
      <c r="AAN11" s="48" t="n">
        <v>1166667.232</v>
      </c>
      <c r="AAO11" s="48" t="n">
        <v>1167195.571</v>
      </c>
      <c r="AAP11" s="48" t="n">
        <v>1167817.089</v>
      </c>
      <c r="AAQ11" s="48" t="n">
        <v>1168396.579</v>
      </c>
      <c r="AAR11" s="48" t="n">
        <v>1168979.15</v>
      </c>
      <c r="AAS11" s="48" t="n">
        <v>1169687.998</v>
      </c>
      <c r="AAT11" s="48" t="n">
        <v>1170411.765</v>
      </c>
      <c r="AAU11" s="48" t="n">
        <v>1171146.831</v>
      </c>
      <c r="AAV11" s="48" t="n">
        <v>1171659.049</v>
      </c>
      <c r="AAW11" s="48" t="n">
        <v>1172394.037</v>
      </c>
      <c r="AAX11" s="126" t="n"/>
      <c r="AAY11" s="48" t="n">
        <v>1172997.07</v>
      </c>
      <c r="AAZ11" s="48" t="n">
        <v>1173592.837</v>
      </c>
      <c r="ABA11" s="48" t="n">
        <v>1174175.733</v>
      </c>
      <c r="ABB11" s="48" t="n">
        <v>1174917.599</v>
      </c>
      <c r="ABC11" s="48" t="n">
        <v>1175981.25</v>
      </c>
      <c r="ABD11" s="48" t="n">
        <v>1176548.796</v>
      </c>
      <c r="ABE11" s="48" t="n">
        <v>1177141.678</v>
      </c>
      <c r="ABF11" s="48" t="n">
        <v>1177751.204</v>
      </c>
      <c r="ABG11" s="48" t="n">
        <v>1178395.653</v>
      </c>
      <c r="ABH11" s="48" t="n">
        <v>1179022.664</v>
      </c>
      <c r="ABI11" s="48" t="n">
        <v>1179731.285</v>
      </c>
      <c r="ABJ11" s="48" t="n">
        <v>1180204.032</v>
      </c>
      <c r="ABK11" s="48" t="n">
        <v>1181034.504</v>
      </c>
      <c r="ABL11" s="48" t="n">
        <v>1181674.41</v>
      </c>
      <c r="ABM11" s="48" t="n">
        <v>1182371.43</v>
      </c>
      <c r="ABN11" s="48" t="n">
        <v>1183112.437</v>
      </c>
      <c r="ABO11" s="48" t="n">
        <v>1183854.506</v>
      </c>
      <c r="ABP11" s="48" t="n">
        <v>1184511.363</v>
      </c>
      <c r="ABQ11" s="48" t="n">
        <v>1185231.891</v>
      </c>
      <c r="ABR11" s="48" t="n">
        <v>1186031.893</v>
      </c>
      <c r="ABS11" s="48" t="n">
        <v>1186778.419</v>
      </c>
      <c r="ABT11" s="48" t="n">
        <v>1187554.825</v>
      </c>
      <c r="ABU11" s="48" t="n">
        <v>1188314.153</v>
      </c>
      <c r="ABV11" s="48" t="n">
        <v>1188995.958</v>
      </c>
      <c r="ABW11" s="48" t="n">
        <v>1189858.123</v>
      </c>
      <c r="ABX11" s="48" t="n">
        <v>1190726.343</v>
      </c>
      <c r="ABY11" s="48" t="n">
        <v>1191388.578</v>
      </c>
      <c r="ABZ11" s="48" t="n">
        <v>1192005.218</v>
      </c>
      <c r="ACA11" s="48" t="n">
        <v>1192673.059</v>
      </c>
      <c r="ACB11" s="48" t="n">
        <v>1193302.816</v>
      </c>
      <c r="ACC11" s="48" t="n">
        <v>1193960.159</v>
      </c>
      <c r="ACD11" s="126" t="n"/>
      <c r="ACE11" s="48" t="n">
        <v>1194593.204</v>
      </c>
      <c r="ACF11" s="48" t="n">
        <v>1195301.158</v>
      </c>
      <c r="ACG11" s="48" t="n">
        <v>1196073.4</v>
      </c>
      <c r="ACH11" s="48" t="n">
        <v>1196871.329</v>
      </c>
      <c r="ACI11" s="48" t="n">
        <v>1197634.577</v>
      </c>
      <c r="ACJ11" s="48" t="n">
        <v>1198224.351</v>
      </c>
      <c r="ACK11" s="48" t="n">
        <v>1198931.549</v>
      </c>
      <c r="ACL11" s="48" t="n">
        <v>1199577.156</v>
      </c>
      <c r="ACM11" s="48" t="n">
        <v>1200099.744</v>
      </c>
      <c r="ACN11" s="48" t="n">
        <v>1200674.406</v>
      </c>
      <c r="ACO11" s="48" t="n">
        <v>1201444.154</v>
      </c>
      <c r="ACP11" s="48" t="n">
        <v>1201969.525</v>
      </c>
      <c r="ACQ11" s="48" t="n">
        <v>1202518.04</v>
      </c>
      <c r="ACR11" s="48" t="n">
        <v>1203172.677</v>
      </c>
      <c r="ACS11" s="48" t="n">
        <v>1203896.842</v>
      </c>
      <c r="ACT11" s="48" t="n">
        <v>1204418.967</v>
      </c>
      <c r="ACU11" s="48" t="n">
        <v>1204943.831</v>
      </c>
      <c r="ACV11" s="48" t="n">
        <v>1205692.34</v>
      </c>
      <c r="ACW11" s="48" t="n">
        <v>1206287.838</v>
      </c>
      <c r="ACX11" s="48" t="n">
        <v>1206786.783</v>
      </c>
      <c r="ACY11" s="48" t="n">
        <v>1207427.667</v>
      </c>
      <c r="ACZ11" s="48" t="n">
        <v>1208069.604</v>
      </c>
      <c r="ADA11" s="48" t="n">
        <v>1208716.102</v>
      </c>
      <c r="ADB11" s="48" t="n">
        <v>1209209.591</v>
      </c>
      <c r="ADC11" s="48" t="n">
        <v>1209702.705</v>
      </c>
      <c r="ADD11" s="48" t="n">
        <v>1210241.487</v>
      </c>
      <c r="ADE11" s="48" t="n">
        <v>1210922.869</v>
      </c>
      <c r="ADF11" s="48" t="n">
        <v>1211464.899</v>
      </c>
      <c r="ADG11" s="48" t="n">
        <v>1212061.152</v>
      </c>
      <c r="ADH11" s="48" t="n">
        <v>1212830.874</v>
      </c>
      <c r="ADI11" s="48" t="n">
        <v>1213388.613</v>
      </c>
      <c r="ADJ11" s="126" t="n"/>
      <c r="ADK11" s="48" t="n">
        <v>1213982.379</v>
      </c>
      <c r="ADL11" s="48" t="n">
        <v>1214589.83</v>
      </c>
      <c r="ADM11" s="48" t="n">
        <v>1215111.798</v>
      </c>
      <c r="ADN11" s="48" t="n">
        <v>1215777.925</v>
      </c>
      <c r="ADO11" s="48" t="n">
        <v>1216304.271</v>
      </c>
      <c r="ADP11" s="48" t="n">
        <v>1217049.901</v>
      </c>
      <c r="ADQ11" s="48" t="n">
        <v>1217616.652</v>
      </c>
      <c r="ADR11" s="48" t="n">
        <v>1218153.574</v>
      </c>
      <c r="ADS11" s="48" t="n">
        <v>1218677.192</v>
      </c>
      <c r="ADT11" s="48" t="n">
        <v>1219122.307</v>
      </c>
      <c r="ADU11" s="48" t="n">
        <v>1219662.592</v>
      </c>
      <c r="ADV11" s="48" t="n">
        <v>1220276.279</v>
      </c>
      <c r="ADW11" s="48" t="n">
        <v>1220985.677</v>
      </c>
      <c r="ADX11" s="48" t="n">
        <v>1221590.402</v>
      </c>
      <c r="ADY11" s="48" t="n">
        <v>1222155.701</v>
      </c>
      <c r="ADZ11" s="48" t="n">
        <v>1222692.225</v>
      </c>
      <c r="AEA11" s="48" t="n">
        <v>1223057.501</v>
      </c>
      <c r="AEB11" s="48" t="n">
        <v>1223679.256</v>
      </c>
      <c r="AEC11" s="48" t="n">
        <v>1224065.799</v>
      </c>
      <c r="AED11" s="48" t="n">
        <v>1224453.866</v>
      </c>
      <c r="AEE11" s="48" t="n">
        <v>1225043.316</v>
      </c>
      <c r="AEF11" s="48" t="n">
        <v>1225591.648</v>
      </c>
      <c r="AEG11" s="48" t="n">
        <v>1226159.271</v>
      </c>
      <c r="AEH11" s="48" t="n">
        <v>1226653.906</v>
      </c>
      <c r="AEI11" s="48" t="n">
        <v>1227242.641</v>
      </c>
      <c r="AEJ11" s="48" t="n">
        <v>1227889.881</v>
      </c>
      <c r="AEK11" s="48" t="n">
        <v>1228476.818</v>
      </c>
      <c r="AEL11" s="48" t="n">
        <v>1229065.648</v>
      </c>
      <c r="AEM11" s="48" t="n">
        <v>1229688.817</v>
      </c>
      <c r="AEN11" s="48" t="n">
        <v>1230319.113</v>
      </c>
      <c r="AEO11" s="126" t="n"/>
      <c r="AEP11" s="48" t="n">
        <v>1230830.941</v>
      </c>
      <c r="AEQ11" s="48" t="n">
        <v>1231361.473</v>
      </c>
      <c r="AER11" s="48" t="n">
        <v>1232006.133</v>
      </c>
      <c r="AES11" s="48" t="n">
        <v>1232738.295</v>
      </c>
      <c r="AET11" s="48" t="n">
        <v>1233316.619</v>
      </c>
      <c r="AEU11" s="48" t="n">
        <v>1233710.136</v>
      </c>
      <c r="AEV11" s="48" t="n">
        <v>1234233.625</v>
      </c>
      <c r="AEW11" s="48" t="n">
        <v>1234734.245</v>
      </c>
      <c r="AEX11" s="48" t="n">
        <v>1235336.084</v>
      </c>
      <c r="AEY11" s="48" t="n">
        <v>1235972.999</v>
      </c>
      <c r="AEZ11" s="48" t="n">
        <v>1236555.639</v>
      </c>
      <c r="AFA11" s="48" t="n">
        <v>1236909.861</v>
      </c>
      <c r="AFB11" s="48" t="n">
        <v>1237406.793</v>
      </c>
      <c r="AFC11" s="48" t="n">
        <v>1238052.855</v>
      </c>
      <c r="AFD11" s="48" t="n">
        <v>1238697.098</v>
      </c>
      <c r="AFE11" s="48" t="n">
        <v>1239307.486</v>
      </c>
      <c r="AFF11" s="48" t="n">
        <v>1239787.019</v>
      </c>
      <c r="AFG11" s="48" t="n">
        <v>1240313.578</v>
      </c>
      <c r="AFH11" s="48" t="n">
        <v>1241013.743</v>
      </c>
      <c r="AFI11" s="48" t="n">
        <v>1241443.554</v>
      </c>
      <c r="AFJ11" s="48" t="n">
        <v>1242040.29</v>
      </c>
      <c r="AFK11" s="48" t="n">
        <v>1242721.741</v>
      </c>
      <c r="AFL11" s="48" t="n">
        <v>1243251.96</v>
      </c>
      <c r="AFM11" s="48" t="n">
        <v>1243940.488</v>
      </c>
      <c r="AFN11" s="48" t="n">
        <v>1244557.951</v>
      </c>
      <c r="AFO11" s="48" t="n">
        <v>1245239.818</v>
      </c>
      <c r="AFP11" s="48" t="n">
        <v>1245850.927</v>
      </c>
      <c r="AFQ11" s="48" t="n">
        <v>1246412.617</v>
      </c>
      <c r="AFR11" s="48" t="n">
        <v>1246961.244</v>
      </c>
      <c r="AFS11" s="48" t="n">
        <v>1247592.307</v>
      </c>
      <c r="AFT11" s="48" t="n">
        <v>1248216.825</v>
      </c>
      <c r="AFU11" s="126" t="n"/>
      <c r="AFV11" s="48" t="n">
        <v>1248805.472</v>
      </c>
      <c r="AFW11" s="48" t="n">
        <v>1249360.246</v>
      </c>
      <c r="AFX11" s="48" t="n">
        <v>1249993.328</v>
      </c>
      <c r="AFY11" s="48" t="n">
        <v>1250481.371</v>
      </c>
      <c r="AFZ11" s="48" t="n">
        <v>1251057.734</v>
      </c>
      <c r="AGA11" s="48" t="n">
        <v>1251665.415</v>
      </c>
      <c r="AGB11" s="48" t="n">
        <v>1252299.514</v>
      </c>
      <c r="AGC11" s="48" t="n">
        <v>1252914.239</v>
      </c>
      <c r="AGD11" s="48" t="n">
        <v>1253500.099</v>
      </c>
      <c r="AGE11" s="48" t="n">
        <v>1254227.263</v>
      </c>
      <c r="AGF11" s="48" t="n">
        <v>1254786.816</v>
      </c>
      <c r="AGG11" s="48" t="n">
        <v>1255284.069</v>
      </c>
      <c r="AGH11" s="48" t="n">
        <v>1255862.657</v>
      </c>
      <c r="AGI11" s="48" t="n">
        <v>1256430.53</v>
      </c>
      <c r="AGJ11" s="48" t="n">
        <v>1257044.054</v>
      </c>
      <c r="AGK11" s="48" t="n">
        <v>1257698.972</v>
      </c>
      <c r="AGL11" s="48" t="n">
        <v>1258418.871</v>
      </c>
      <c r="AGM11" s="48" t="n">
        <v>1259137.783</v>
      </c>
      <c r="AGN11" s="48" t="n">
        <v>1259716.559</v>
      </c>
      <c r="AGO11" s="48" t="n">
        <v>1260405.278</v>
      </c>
      <c r="AGP11" s="48" t="n">
        <v>1261072.851</v>
      </c>
      <c r="AGQ11" s="48" t="n">
        <v>1261928.957</v>
      </c>
      <c r="AGR11" s="48" t="n">
        <v>1262405.144</v>
      </c>
      <c r="AGS11" s="48" t="n">
        <v>1263193.279</v>
      </c>
      <c r="AGT11" s="48" t="n">
        <v>1263857.062</v>
      </c>
      <c r="AGU11" s="48" t="n">
        <v>1264416.394</v>
      </c>
      <c r="AGV11" s="48" t="n">
        <v>1265081.49</v>
      </c>
      <c r="AGW11" s="48" t="n">
        <v>1265842.677</v>
      </c>
      <c r="AGX11" s="48" t="n">
        <v>1266565.532</v>
      </c>
      <c r="AGY11" s="48" t="n">
        <v>1267095.61</v>
      </c>
      <c r="AGZ11" s="126" t="n"/>
      <c r="AHA11" s="48" t="n">
        <v>1267891.059</v>
      </c>
      <c r="AHB11" s="48" t="n">
        <v>1268608.001</v>
      </c>
      <c r="AHC11" s="48" t="n">
        <v>1269204.388</v>
      </c>
      <c r="AHD11" s="48" t="n">
        <v>1269985.043</v>
      </c>
      <c r="AHE11" s="48" t="n">
        <v>1270794.941</v>
      </c>
      <c r="AHF11" s="48" t="n">
        <v>1271568.849</v>
      </c>
      <c r="AHG11" s="48" t="n">
        <v>1272229.335</v>
      </c>
      <c r="AHH11" s="48" t="n">
        <v>1273042.2</v>
      </c>
      <c r="AHI11" s="48" t="n">
        <v>1273611.934</v>
      </c>
      <c r="AHJ11" s="48" t="n">
        <v>1274228.677</v>
      </c>
      <c r="AHK11" s="48" t="n">
        <v>1274996.009</v>
      </c>
      <c r="AHL11" s="48" t="n">
        <v>1275663.157</v>
      </c>
      <c r="AHM11" s="48" t="n">
        <v>1276356.751</v>
      </c>
      <c r="AHN11" s="48" t="n">
        <v>1276907.644</v>
      </c>
      <c r="AHO11" s="48" t="n">
        <v>1277634.402</v>
      </c>
      <c r="AHP11" s="48" t="n">
        <v>1278275.977</v>
      </c>
      <c r="AHQ11" s="48" t="n">
        <v>1278915.049</v>
      </c>
      <c r="AHR11" s="48" t="n">
        <v>1279665.553</v>
      </c>
      <c r="AHS11" s="48" t="n">
        <v>1280358.304</v>
      </c>
      <c r="AHT11" s="48" t="n">
        <v>1280979.097</v>
      </c>
      <c r="AHU11" s="48" t="n">
        <v>1281836.531</v>
      </c>
      <c r="AHV11" s="48" t="n">
        <v>1282667.328</v>
      </c>
      <c r="AHW11" s="48" t="n">
        <v>1283585.608</v>
      </c>
      <c r="AHX11" s="48" t="n">
        <v>1284379.198</v>
      </c>
      <c r="AHY11" s="48" t="n">
        <v>1284987.62</v>
      </c>
      <c r="AHZ11" s="48" t="n">
        <v>1285749.759</v>
      </c>
      <c r="AIA11" s="48" t="n">
        <v>1286333.899</v>
      </c>
      <c r="AIB11" s="48" t="n">
        <v>1286814.596</v>
      </c>
      <c r="AIC11" s="48" t="n">
        <v>1287366.289</v>
      </c>
      <c r="AID11" s="48" t="n">
        <v>1287999.365</v>
      </c>
      <c r="AIE11" s="48" t="n">
        <v>1288625.233</v>
      </c>
      <c r="AIF11" s="126" t="n"/>
      <c r="AIG11" s="48" t="n">
        <v>1289230.869</v>
      </c>
      <c r="AIH11" s="48" t="n">
        <v>1289961.221</v>
      </c>
      <c r="AII11" s="48" t="n">
        <v>1290576.358</v>
      </c>
      <c r="AIJ11" s="48" t="n">
        <v>1291253.33</v>
      </c>
      <c r="AIK11" s="48" t="n">
        <v>1292016.268</v>
      </c>
      <c r="AIL11" s="48" t="n">
        <v>1292752.433</v>
      </c>
      <c r="AIM11" s="48" t="n">
        <v>1293507.477</v>
      </c>
      <c r="AIN11" s="48" t="n">
        <v>1294223.422</v>
      </c>
      <c r="AIO11" s="48" t="n">
        <v>1294751.473</v>
      </c>
      <c r="AIP11" s="48" t="n">
        <v>1295481.366</v>
      </c>
      <c r="AIQ11" s="48" t="n">
        <v>1296085.422</v>
      </c>
      <c r="AIR11" s="48" t="n">
        <v>1296742.951</v>
      </c>
      <c r="AIS11" s="48" t="n">
        <v>1297412.501</v>
      </c>
      <c r="AIT11" s="48" t="n">
        <v>1298014.906</v>
      </c>
      <c r="AIU11" s="48" t="n">
        <v>1298411.769</v>
      </c>
      <c r="AIV11" s="48" t="n">
        <v>1298666.685</v>
      </c>
      <c r="AIW11" s="48" t="n">
        <v>1298983.5</v>
      </c>
      <c r="AIX11" s="48" t="n">
        <v>1299392.595</v>
      </c>
      <c r="AIY11" s="48" t="n">
        <v>1299996.129</v>
      </c>
      <c r="AIZ11" s="48" t="n">
        <v>1300703.891</v>
      </c>
      <c r="AJA11" s="48" t="n">
        <v>1301332.308</v>
      </c>
      <c r="AJB11" s="48" t="n">
        <v>1302073.5</v>
      </c>
      <c r="AJC11" s="48" t="n">
        <v>1302820.972</v>
      </c>
      <c r="AJD11" s="48" t="n">
        <v>1303597.493</v>
      </c>
      <c r="AJE11" s="48" t="n">
        <v>1304264.526</v>
      </c>
      <c r="AJF11" s="48" t="n">
        <v>1304890.69</v>
      </c>
      <c r="AJG11" s="48" t="n">
        <v>1305184.01</v>
      </c>
      <c r="AJH11" s="48" t="n">
        <v>1305675.25</v>
      </c>
      <c r="AJI11" s="48" t="n">
        <v>1306213.955</v>
      </c>
      <c r="AJJ11" s="48" t="n">
        <v>1306715.026</v>
      </c>
      <c r="AJK11" s="48" t="n">
        <v>1307298.957</v>
      </c>
      <c r="AJL11" s="126" t="n"/>
      <c r="AJM11" s="48" t="n">
        <v>1307873.386</v>
      </c>
      <c r="AJN11" s="48" t="n">
        <v>1308493.303</v>
      </c>
      <c r="AJO11" s="48" t="n">
        <v>1309084.585</v>
      </c>
      <c r="AJP11" s="48" t="n">
        <v>1309562.242</v>
      </c>
      <c r="AJQ11" s="48" t="n">
        <v>1310258.117</v>
      </c>
      <c r="AJR11" s="48" t="n">
        <v>1310849.344</v>
      </c>
      <c r="AJS11" s="48" t="n">
        <v>1311578.924</v>
      </c>
      <c r="AJT11" s="48" t="n">
        <v>1312253.846</v>
      </c>
      <c r="AJU11" s="48" t="n">
        <v>1312945.993</v>
      </c>
      <c r="AJV11" s="48" t="n">
        <v>1313573.482</v>
      </c>
      <c r="AJW11" s="48" t="n">
        <v>1314293.63</v>
      </c>
      <c r="AJX11" s="48" t="n">
        <v>1314905.88</v>
      </c>
      <c r="AJY11" s="48" t="n">
        <v>1315639.77</v>
      </c>
      <c r="AJZ11" s="48" t="n">
        <v>1316221.438</v>
      </c>
      <c r="AKA11" s="48" t="n">
        <v>1316853.794</v>
      </c>
      <c r="AKB11" s="48" t="n">
        <v>1317462.63</v>
      </c>
      <c r="AKC11" s="48" t="n">
        <v>1318098.369</v>
      </c>
      <c r="AKD11" s="48" t="n">
        <v>1318709.752</v>
      </c>
      <c r="AKE11" s="48" t="n">
        <v>1319308.375</v>
      </c>
      <c r="AKF11" s="48" t="n">
        <v>1319741.262</v>
      </c>
      <c r="AKG11" s="48" t="n">
        <v>1320320.728</v>
      </c>
      <c r="AKH11" s="48" t="n">
        <v>1320867.436</v>
      </c>
      <c r="AKI11" s="48" t="n">
        <v>1321414.267</v>
      </c>
      <c r="AKJ11" s="48" t="n">
        <v>1321948.112</v>
      </c>
      <c r="AKK11" s="48" t="n">
        <v>1322519.985</v>
      </c>
      <c r="AKL11" s="48" t="n">
        <v>1323043.316</v>
      </c>
      <c r="AKM11" s="48" t="n">
        <v>1323388.667</v>
      </c>
      <c r="AKN11" s="48" t="n">
        <v>1323918.807</v>
      </c>
      <c r="AKO11" s="126" t="n"/>
      <c r="AKP11" s="48" t="n">
        <v>1324622.285</v>
      </c>
      <c r="AKQ11" s="48" t="n">
        <v>1325163.548</v>
      </c>
      <c r="AKR11" s="48" t="n">
        <v>1325666.591</v>
      </c>
      <c r="AKS11" s="48" t="n">
        <v>1326215.56</v>
      </c>
      <c r="AKT11" s="48" t="n">
        <v>1326795.24</v>
      </c>
      <c r="AKU11" s="48" t="n">
        <v>1327402.5</v>
      </c>
      <c r="AKV11" s="48" t="n">
        <v>1327938.035</v>
      </c>
      <c r="AKW11" s="48" t="n">
        <v>1328541.571</v>
      </c>
      <c r="AKX11" s="48" t="n">
        <v>1329278.916</v>
      </c>
      <c r="AKY11" s="48" t="n">
        <v>1329846.609</v>
      </c>
      <c r="AKZ11" s="48" t="n">
        <v>1330333.174</v>
      </c>
      <c r="ALA11" s="48" t="n">
        <v>1331006.308</v>
      </c>
      <c r="ALB11" s="48" t="n">
        <v>1331664.708</v>
      </c>
      <c r="ALC11" s="48" t="n">
        <v>1332359.246</v>
      </c>
      <c r="ALD11" s="48" t="n">
        <v>1332831.592</v>
      </c>
      <c r="ALE11" s="48" t="n">
        <v>1333441.423</v>
      </c>
      <c r="ALF11" s="48" t="n">
        <v>1334053.746</v>
      </c>
      <c r="ALG11" s="48" t="n">
        <v>1334615.167</v>
      </c>
      <c r="ALH11" s="48" t="n">
        <v>1335190.158</v>
      </c>
      <c r="ALI11" s="48" t="n">
        <v>1335713.776</v>
      </c>
      <c r="ALJ11" s="48" t="n">
        <v>1336370.242</v>
      </c>
      <c r="ALK11" s="48" t="n">
        <v>1336880.982</v>
      </c>
      <c r="ALL11" s="48" t="n">
        <v>1337567.197</v>
      </c>
      <c r="ALM11" s="48" t="n">
        <v>1338155.239</v>
      </c>
      <c r="ALN11" s="48" t="n">
        <v>1338812.092</v>
      </c>
      <c r="ALO11" s="48" t="n">
        <v>1339514.329</v>
      </c>
      <c r="ALP11" s="48" t="n">
        <v>1340192.897</v>
      </c>
      <c r="ALQ11" s="48" t="n">
        <v>1340878.299</v>
      </c>
      <c r="ALR11" s="48" t="n">
        <v>1341878.064</v>
      </c>
      <c r="ALS11" s="48" t="n">
        <v>1342736.084</v>
      </c>
      <c r="ALT11" s="48" t="n">
        <v>1343324.486</v>
      </c>
      <c r="ALU11" s="126" t="n"/>
      <c r="ALV11" s="48" t="n">
        <v>1344195.993</v>
      </c>
      <c r="ALW11" s="48" t="n">
        <v>1344740.567</v>
      </c>
      <c r="ALX11" s="48" t="n">
        <v>1345532.814</v>
      </c>
      <c r="ALY11" s="48" t="n">
        <v>1346235.155</v>
      </c>
      <c r="ALZ11" s="48" t="n">
        <v>1346612.975</v>
      </c>
      <c r="AMA11" s="48" t="n">
        <v>1347162.381</v>
      </c>
      <c r="AMB11" s="48" t="n">
        <v>1347827.745</v>
      </c>
      <c r="AMC11" s="48" t="n">
        <v>1348632.755</v>
      </c>
      <c r="AMD11" s="48" t="n">
        <v>1349392.033</v>
      </c>
      <c r="AME11" s="48" t="n">
        <v>1349951.528</v>
      </c>
      <c r="AMF11" s="48" t="n">
        <v>1350554.281</v>
      </c>
      <c r="AMG11" s="48" t="n">
        <v>1351306.487</v>
      </c>
      <c r="AMH11" s="48" t="n">
        <v>1352210.06</v>
      </c>
      <c r="AMI11" s="48" t="n">
        <v>1352746.516</v>
      </c>
      <c r="AMJ11" s="48" t="n">
        <v>1353324.74</v>
      </c>
      <c r="AMK11" s="48" t="n">
        <v>1353862.51</v>
      </c>
      <c r="AML11" s="48" t="n">
        <v>1354562.698</v>
      </c>
      <c r="AMM11" s="48" t="n">
        <v>1355336.138</v>
      </c>
      <c r="AMN11" s="48" t="n">
        <v>1356072.305</v>
      </c>
      <c r="AMO11" s="48" t="n">
        <v>1357057.137</v>
      </c>
      <c r="AMP11" s="48" t="n">
        <v>1357975.959</v>
      </c>
      <c r="AMQ11" s="48" t="n">
        <v>1359027.567</v>
      </c>
      <c r="AMR11" s="48" t="n">
        <v>1360314.886</v>
      </c>
      <c r="AMS11" s="48" t="n">
        <v>1361688.184</v>
      </c>
      <c r="AMT11" s="48" t="n">
        <v>1362982.531</v>
      </c>
      <c r="AMU11" s="48" t="n">
        <v>1364105.153</v>
      </c>
      <c r="AMV11" s="48" t="n">
        <v>1364810.647</v>
      </c>
      <c r="AMW11" s="48" t="n">
        <v>1365514.418</v>
      </c>
      <c r="AMX11" s="48" t="n">
        <v>1366313.497</v>
      </c>
      <c r="AMY11" s="48" t="n">
        <v>1367484.259</v>
      </c>
      <c r="AMZ11" s="126" t="n"/>
      <c r="ANA11" s="48" t="n">
        <v>1368122.124</v>
      </c>
      <c r="ANB11" s="48" t="n">
        <v>1368687.556</v>
      </c>
      <c r="ANC11" s="48" t="n">
        <v>1369380.484</v>
      </c>
      <c r="AND11" s="48" t="n">
        <v>1369922.889</v>
      </c>
      <c r="ANE11" s="48" t="n">
        <v>1370677.827</v>
      </c>
      <c r="ANF11" s="48" t="n">
        <v>1371383.854</v>
      </c>
      <c r="ANG11" s="48" t="n">
        <v>1372139.01</v>
      </c>
      <c r="ANH11" s="48" t="n">
        <v>1372754.904</v>
      </c>
      <c r="ANI11" s="48" t="n">
        <v>1373576.97</v>
      </c>
      <c r="ANJ11" s="48" t="n">
        <v>1374249.161</v>
      </c>
      <c r="ANK11" s="48" t="n">
        <v>1374935.117</v>
      </c>
      <c r="ANL11" s="48" t="n">
        <v>1375529.026</v>
      </c>
      <c r="ANM11" s="48" t="n">
        <v>1376200.118</v>
      </c>
      <c r="ANN11" s="48" t="n">
        <v>1376935.982</v>
      </c>
      <c r="ANO11" s="48" t="n">
        <v>1377572.57</v>
      </c>
      <c r="ANP11" s="48" t="n">
        <v>1378098.727</v>
      </c>
      <c r="ANQ11" s="48" t="n">
        <v>1378447.174</v>
      </c>
      <c r="ANR11" s="48" t="n">
        <v>1378829.334</v>
      </c>
      <c r="ANS11" s="48" t="n">
        <v>1379175.734</v>
      </c>
      <c r="ANT11" s="48" t="n">
        <v>1379679.301</v>
      </c>
      <c r="ANU11" s="48" t="n">
        <v>1379981.932</v>
      </c>
      <c r="ANV11" s="48" t="n">
        <v>1380406.707</v>
      </c>
      <c r="ANW11" s="48" t="n">
        <v>1380873.929</v>
      </c>
      <c r="ANX11" s="48" t="n">
        <v>1381243.849</v>
      </c>
      <c r="ANY11" s="48" t="n">
        <v>1381784.745</v>
      </c>
      <c r="ANZ11" s="48" t="n">
        <v>1382499.655</v>
      </c>
      <c r="AOA11" s="48" t="n">
        <v>1382951.264</v>
      </c>
      <c r="AOB11" s="48" t="n">
        <v>1383328.211</v>
      </c>
      <c r="AOC11" s="48" t="n">
        <v>1383791.259</v>
      </c>
      <c r="AOD11" s="48" t="n">
        <v>1384340.132</v>
      </c>
      <c r="AOE11" t="n">
        <v>1384340.132</v>
      </c>
    </row>
    <row r="12">
      <c r="A12" s="157" t="n"/>
      <c r="C12" s="6" t="inlineStr">
        <is>
          <t>PMS 3 SALES</t>
        </is>
      </c>
      <c r="D12" s="16">
        <f>D11-D10</f>
        <v/>
      </c>
      <c r="E12" s="16">
        <f>E11-E10</f>
        <v/>
      </c>
      <c r="F12" s="16">
        <f>F11-F10</f>
        <v/>
      </c>
      <c r="G12" s="16">
        <f>G11-G10</f>
        <v/>
      </c>
      <c r="H12" s="16">
        <f>H11-H10</f>
        <v/>
      </c>
      <c r="I12" s="16">
        <f>I11-I10</f>
        <v/>
      </c>
      <c r="J12" s="16">
        <f>J11-J10</f>
        <v/>
      </c>
      <c r="K12" s="16">
        <f>K11-K10</f>
        <v/>
      </c>
      <c r="L12" s="16">
        <f>L11-L10</f>
        <v/>
      </c>
      <c r="M12" s="16">
        <f>M11-M10</f>
        <v/>
      </c>
      <c r="N12" s="16">
        <f>N11-N10</f>
        <v/>
      </c>
      <c r="O12" s="16">
        <f>O11-O10</f>
        <v/>
      </c>
      <c r="P12" s="16">
        <f>P11-P10</f>
        <v/>
      </c>
      <c r="Q12" s="16">
        <f>Q11-Q10</f>
        <v/>
      </c>
      <c r="R12" s="16">
        <f>R11-R10</f>
        <v/>
      </c>
      <c r="S12" s="16">
        <f>S11-S10</f>
        <v/>
      </c>
      <c r="T12" s="16">
        <f>T11-T10</f>
        <v/>
      </c>
      <c r="U12" s="16">
        <f>U11-U10</f>
        <v/>
      </c>
      <c r="V12" s="16">
        <f>V11-V10</f>
        <v/>
      </c>
      <c r="W12" s="16">
        <f>W11-W10</f>
        <v/>
      </c>
      <c r="X12" s="16">
        <f>X11-X10</f>
        <v/>
      </c>
      <c r="Y12" s="16">
        <f>Y11-Y10</f>
        <v/>
      </c>
      <c r="Z12" s="16">
        <f>Z11-Z10</f>
        <v/>
      </c>
      <c r="AA12" s="16">
        <f>AA11-AA10</f>
        <v/>
      </c>
      <c r="AB12" s="16">
        <f>AB11-AB10</f>
        <v/>
      </c>
      <c r="AC12" s="16">
        <f>AC11-AC10</f>
        <v/>
      </c>
      <c r="AD12" s="16">
        <f>AD11-AD10</f>
        <v/>
      </c>
      <c r="AE12" s="16">
        <f>AE11-AE10</f>
        <v/>
      </c>
      <c r="AF12" s="16">
        <f>AF11-AF10</f>
        <v/>
      </c>
      <c r="AG12" s="16">
        <f>AG11-AG10</f>
        <v/>
      </c>
      <c r="AH12" s="16">
        <f>AH11-AH10</f>
        <v/>
      </c>
      <c r="AI12" s="17">
        <f>SUM(D12:AH12)</f>
        <v/>
      </c>
      <c r="AJ12" s="16">
        <f>AJ11-AJ10</f>
        <v/>
      </c>
      <c r="AK12" s="16">
        <f>AK11-AK10</f>
        <v/>
      </c>
      <c r="AL12" s="16">
        <f>AL11-AL10</f>
        <v/>
      </c>
      <c r="AM12" s="16">
        <f>AM11-AM10</f>
        <v/>
      </c>
      <c r="AN12" s="16">
        <f>AN11-AN10</f>
        <v/>
      </c>
      <c r="AO12" s="16">
        <f>AO11-AO10</f>
        <v/>
      </c>
      <c r="AP12" s="16">
        <f>AP11-AP10</f>
        <v/>
      </c>
      <c r="AQ12" s="16">
        <f>AQ11-AQ10</f>
        <v/>
      </c>
      <c r="AR12" s="16">
        <f>AR11-AR10</f>
        <v/>
      </c>
      <c r="AS12" s="16">
        <f>AS11-AS10</f>
        <v/>
      </c>
      <c r="AT12" s="16">
        <f>AT11-AT10</f>
        <v/>
      </c>
      <c r="AU12" s="16">
        <f>AU11-AU10</f>
        <v/>
      </c>
      <c r="AV12" s="16">
        <f>AV11-AV10</f>
        <v/>
      </c>
      <c r="AW12" s="16">
        <f>AW11-AW10</f>
        <v/>
      </c>
      <c r="AX12" s="16">
        <f>AX11-AX10</f>
        <v/>
      </c>
      <c r="AY12" s="16">
        <f>AY11-AY10</f>
        <v/>
      </c>
      <c r="AZ12" s="16">
        <f>AZ11-AZ10</f>
        <v/>
      </c>
      <c r="BA12" s="16">
        <f>BA11-BA10</f>
        <v/>
      </c>
      <c r="BB12" s="16">
        <f>BB11-BB10</f>
        <v/>
      </c>
      <c r="BC12" s="16">
        <f>BC11-BC10</f>
        <v/>
      </c>
      <c r="BD12" s="16">
        <f>BD11-BD10</f>
        <v/>
      </c>
      <c r="BE12" s="16">
        <f>BE11-BE10</f>
        <v/>
      </c>
      <c r="BF12" s="16">
        <f>BF11-BF10</f>
        <v/>
      </c>
      <c r="BG12" s="16">
        <f>BG11-BG10</f>
        <v/>
      </c>
      <c r="BH12" s="16">
        <f>BH11-BH10</f>
        <v/>
      </c>
      <c r="BI12" s="16">
        <f>BI11-BI10</f>
        <v/>
      </c>
      <c r="BJ12" s="16">
        <f>BJ11-BJ10</f>
        <v/>
      </c>
      <c r="BK12" s="16">
        <f>BK11-BK10</f>
        <v/>
      </c>
      <c r="BL12" s="16">
        <f>BL11-BL10</f>
        <v/>
      </c>
      <c r="BM12" s="16">
        <f>BM11-BM10</f>
        <v/>
      </c>
      <c r="BN12" s="89">
        <f>SUM(AJ12:BM12)</f>
        <v/>
      </c>
      <c r="BO12" s="16">
        <f>BO11-BO10</f>
        <v/>
      </c>
      <c r="BP12" s="16">
        <f>BP11-BP10</f>
        <v/>
      </c>
      <c r="BQ12" s="16">
        <f>BQ11-BQ10</f>
        <v/>
      </c>
      <c r="BR12" s="16">
        <f>BR11-BR10</f>
        <v/>
      </c>
      <c r="BS12" s="16">
        <f>BS11-BS10</f>
        <v/>
      </c>
      <c r="BT12" s="16">
        <f>BT11-BT10</f>
        <v/>
      </c>
      <c r="BU12" s="16">
        <f>BU11-BU10</f>
        <v/>
      </c>
      <c r="BV12" s="16">
        <f>BV11-BV10</f>
        <v/>
      </c>
      <c r="BW12" s="16">
        <f>BW11-BW10</f>
        <v/>
      </c>
      <c r="BX12" s="16">
        <f>BX11-BX10</f>
        <v/>
      </c>
      <c r="BY12" s="16">
        <f>BY11-BY10</f>
        <v/>
      </c>
      <c r="BZ12" s="16">
        <f>BZ11-BZ10</f>
        <v/>
      </c>
      <c r="CA12" s="16">
        <f>CA11-CA10</f>
        <v/>
      </c>
      <c r="CB12" s="16">
        <f>CB11-CB10</f>
        <v/>
      </c>
      <c r="CC12" s="16">
        <f>CC11-CC10</f>
        <v/>
      </c>
      <c r="CD12" s="16">
        <f>CD11-CD10</f>
        <v/>
      </c>
      <c r="CE12" s="16">
        <f>CE11-CE10</f>
        <v/>
      </c>
      <c r="CF12" s="16">
        <f>CF11-CF10</f>
        <v/>
      </c>
      <c r="CG12" s="16">
        <f>CG11-CG10</f>
        <v/>
      </c>
      <c r="CH12" s="16">
        <f>CH11-CH10</f>
        <v/>
      </c>
      <c r="CI12" s="16">
        <f>CI11-CI10</f>
        <v/>
      </c>
      <c r="CJ12" s="16">
        <f>CJ11-CJ10</f>
        <v/>
      </c>
      <c r="CK12" s="16">
        <f>CK11-CK10</f>
        <v/>
      </c>
      <c r="CL12" s="16">
        <f>CL11-CL10</f>
        <v/>
      </c>
      <c r="CM12" s="16">
        <f>CM11-CM10</f>
        <v/>
      </c>
      <c r="CN12" s="16">
        <f>CN11-CN10</f>
        <v/>
      </c>
      <c r="CO12" s="16">
        <f>CO11-CO10</f>
        <v/>
      </c>
      <c r="CP12" s="16">
        <f>CP11-CP10</f>
        <v/>
      </c>
      <c r="CQ12" s="16">
        <f>CQ11-CQ10</f>
        <v/>
      </c>
      <c r="CR12" s="16">
        <f>CR11-CR10</f>
        <v/>
      </c>
      <c r="CS12" s="16">
        <f>CS11-CS10</f>
        <v/>
      </c>
      <c r="CT12" s="89">
        <f>SUM(BO12:CS12)</f>
        <v/>
      </c>
      <c r="CU12" s="16">
        <f>CU11-CU10</f>
        <v/>
      </c>
      <c r="CV12" s="16">
        <f>CV11-CV10</f>
        <v/>
      </c>
      <c r="CW12" s="16">
        <f>CW11-CW10</f>
        <v/>
      </c>
      <c r="CX12" s="16">
        <f>CX11-CX10</f>
        <v/>
      </c>
      <c r="CY12" s="16">
        <f>CY11-CY10</f>
        <v/>
      </c>
      <c r="CZ12" s="16">
        <f>CZ11-CZ10</f>
        <v/>
      </c>
      <c r="DA12" s="16">
        <f>DA11-DA10</f>
        <v/>
      </c>
      <c r="DB12" s="16">
        <f>DB11-DB10</f>
        <v/>
      </c>
      <c r="DC12" s="16">
        <f>DC11-DC10</f>
        <v/>
      </c>
      <c r="DD12" s="16">
        <f>DD11-DD10</f>
        <v/>
      </c>
      <c r="DE12" s="16">
        <f>DE11-DE10</f>
        <v/>
      </c>
      <c r="DF12" s="16">
        <f>DF11-DF10</f>
        <v/>
      </c>
      <c r="DG12" s="16">
        <f>DG11-DG10</f>
        <v/>
      </c>
      <c r="DH12" s="16">
        <f>DH11-DH10</f>
        <v/>
      </c>
      <c r="DI12" s="16">
        <f>DI11-DI10</f>
        <v/>
      </c>
      <c r="DJ12" s="16">
        <f>DJ11-DJ10</f>
        <v/>
      </c>
      <c r="DK12" s="16">
        <f>DK11-DK10</f>
        <v/>
      </c>
      <c r="DL12" s="16">
        <f>DL11-DL10</f>
        <v/>
      </c>
      <c r="DM12" s="16">
        <f>DM11-DM10</f>
        <v/>
      </c>
      <c r="DN12" s="16">
        <f>DN11-DN10</f>
        <v/>
      </c>
      <c r="DO12" s="16">
        <f>DO11-DO10</f>
        <v/>
      </c>
      <c r="DP12" s="16">
        <f>DP11-DP10</f>
        <v/>
      </c>
      <c r="DQ12" s="16">
        <f>DQ11-DQ10</f>
        <v/>
      </c>
      <c r="DR12" s="16">
        <f>DR11-DR10</f>
        <v/>
      </c>
      <c r="DS12" s="16">
        <f>DS11-DS10</f>
        <v/>
      </c>
      <c r="DT12" s="16">
        <f>DT11-DT10</f>
        <v/>
      </c>
      <c r="DU12" s="16">
        <f>DU11-DU10</f>
        <v/>
      </c>
      <c r="DV12" s="16">
        <f>DV11-DV10</f>
        <v/>
      </c>
      <c r="DW12" s="16">
        <f>DW11-DW10</f>
        <v/>
      </c>
      <c r="DX12" s="16">
        <f>DX11-DX10</f>
        <v/>
      </c>
      <c r="DY12" s="116">
        <f>SUM(CU12:DX12)</f>
        <v/>
      </c>
      <c r="DZ12" s="16">
        <f>DZ11-DZ10</f>
        <v/>
      </c>
      <c r="EA12" s="16">
        <f>EA11-EA10</f>
        <v/>
      </c>
      <c r="EB12" s="16">
        <f>EB11-EB10</f>
        <v/>
      </c>
      <c r="EC12" s="16">
        <f>EC11-EC10</f>
        <v/>
      </c>
      <c r="ED12" s="16">
        <f>ED11-ED10</f>
        <v/>
      </c>
      <c r="EE12" s="16">
        <f>EE11-EE10</f>
        <v/>
      </c>
      <c r="EF12" s="16">
        <f>EF11-EF10</f>
        <v/>
      </c>
      <c r="EG12" s="16">
        <f>EG11-EG10</f>
        <v/>
      </c>
      <c r="EH12" s="16">
        <f>EH11-EH10</f>
        <v/>
      </c>
      <c r="EI12" s="16">
        <f>EI11-EI10</f>
        <v/>
      </c>
      <c r="EJ12" s="16">
        <f>EJ11-EJ10</f>
        <v/>
      </c>
      <c r="EK12" s="16">
        <f>EK11-EK10</f>
        <v/>
      </c>
      <c r="EL12" s="16">
        <f>EL11-EL10</f>
        <v/>
      </c>
      <c r="EM12" s="16">
        <f>EM11-EM10</f>
        <v/>
      </c>
      <c r="EN12" s="16">
        <f>EN11-EN10</f>
        <v/>
      </c>
      <c r="EO12" s="16">
        <f>EO11-EO10</f>
        <v/>
      </c>
      <c r="EP12" s="16">
        <f>EP11-EP10</f>
        <v/>
      </c>
      <c r="EQ12" s="16">
        <f>EQ11-EQ10</f>
        <v/>
      </c>
      <c r="ER12" s="16">
        <f>ER11-ER10</f>
        <v/>
      </c>
      <c r="ES12" s="16">
        <f>ES11-ES10</f>
        <v/>
      </c>
      <c r="ET12" s="16">
        <f>ET11-ET10</f>
        <v/>
      </c>
      <c r="EU12" s="16">
        <f>EU11-EU10</f>
        <v/>
      </c>
      <c r="EV12" s="16">
        <f>EV11-EV10</f>
        <v/>
      </c>
      <c r="EW12" s="16">
        <f>EW11-EW10</f>
        <v/>
      </c>
      <c r="EX12" s="16">
        <f>EX11-EX10</f>
        <v/>
      </c>
      <c r="EY12" s="16">
        <f>EY11-EY10</f>
        <v/>
      </c>
      <c r="EZ12" s="16">
        <f>EZ11-EZ10</f>
        <v/>
      </c>
      <c r="FA12" s="16">
        <f>FA11-FA10</f>
        <v/>
      </c>
      <c r="FB12" s="16">
        <f>FB11-FB10</f>
        <v/>
      </c>
      <c r="FC12" s="16">
        <f>FC11-FC10</f>
        <v/>
      </c>
      <c r="FD12" s="16">
        <f>FD11-FD10</f>
        <v/>
      </c>
      <c r="FE12" s="127">
        <f>SUM(DZ12:FD12)</f>
        <v/>
      </c>
      <c r="FF12" s="16">
        <f>FF11-FF10</f>
        <v/>
      </c>
      <c r="FG12" s="16">
        <f>FG11-FG10</f>
        <v/>
      </c>
      <c r="FH12" s="16">
        <f>FH11-FH10</f>
        <v/>
      </c>
      <c r="FI12" s="16">
        <f>FI11-FI10</f>
        <v/>
      </c>
      <c r="FJ12" s="16">
        <f>FJ11-FJ10</f>
        <v/>
      </c>
      <c r="FK12" s="16">
        <f>FK11-FK10</f>
        <v/>
      </c>
      <c r="FL12" s="16">
        <f>FL11-FL10</f>
        <v/>
      </c>
      <c r="FM12" s="16">
        <f>FM11-FM10</f>
        <v/>
      </c>
      <c r="FN12" s="16">
        <f>FN11-FN10</f>
        <v/>
      </c>
      <c r="FO12" s="16">
        <f>FO11-FO10</f>
        <v/>
      </c>
      <c r="FP12" s="16">
        <f>FP11-FP10</f>
        <v/>
      </c>
      <c r="FQ12" s="16">
        <f>FQ11-FQ10</f>
        <v/>
      </c>
      <c r="FR12" s="16">
        <f>FR11-FR10</f>
        <v/>
      </c>
      <c r="FS12" s="16">
        <f>FS11-FS10</f>
        <v/>
      </c>
      <c r="FT12" s="16">
        <f>FT11-FT10</f>
        <v/>
      </c>
      <c r="FU12" s="16">
        <f>FU11-FU10</f>
        <v/>
      </c>
      <c r="FV12" s="16">
        <f>FV11-FV10</f>
        <v/>
      </c>
      <c r="FW12" s="16">
        <f>FW11-FW10</f>
        <v/>
      </c>
      <c r="FX12" s="16">
        <f>FX11-FX10</f>
        <v/>
      </c>
      <c r="FY12" s="16">
        <f>FY11-FY10</f>
        <v/>
      </c>
      <c r="FZ12" s="16">
        <f>FZ11-FZ10</f>
        <v/>
      </c>
      <c r="GA12" s="16">
        <f>GA11-GA10</f>
        <v/>
      </c>
      <c r="GB12" s="16">
        <f>GB11-GB10</f>
        <v/>
      </c>
      <c r="GC12" s="16">
        <f>GC11-GC10</f>
        <v/>
      </c>
      <c r="GD12" s="16">
        <f>GD11-GD10</f>
        <v/>
      </c>
      <c r="GE12" s="16">
        <f>GE11-GE10</f>
        <v/>
      </c>
      <c r="GF12" s="16">
        <f>GF11-GF10</f>
        <v/>
      </c>
      <c r="GG12" s="16">
        <f>GG11-GG10</f>
        <v/>
      </c>
      <c r="GH12" s="16">
        <f>GH11-GH10</f>
        <v/>
      </c>
      <c r="GI12" s="16">
        <f>GI11-GI10</f>
        <v/>
      </c>
      <c r="GJ12" s="16">
        <f>GJ11-GJ10</f>
        <v/>
      </c>
      <c r="GK12" s="126" t="n"/>
      <c r="GL12" s="16">
        <f>GL11-GL10</f>
        <v/>
      </c>
      <c r="GM12" s="16">
        <f>GM11-GM10</f>
        <v/>
      </c>
      <c r="GN12" s="16">
        <f>GN11-GN10</f>
        <v/>
      </c>
      <c r="GO12" s="16">
        <f>GO11-GO10</f>
        <v/>
      </c>
      <c r="GP12" s="16">
        <f>GP11-GP10</f>
        <v/>
      </c>
      <c r="GQ12" s="16">
        <f>GQ11-GQ10</f>
        <v/>
      </c>
      <c r="GR12" s="16">
        <f>GR11-GR10</f>
        <v/>
      </c>
      <c r="GS12" s="16">
        <f>GS11-GS10</f>
        <v/>
      </c>
      <c r="GT12" s="16">
        <f>GT11-GT10</f>
        <v/>
      </c>
      <c r="GU12" s="16">
        <f>GU11-GU10</f>
        <v/>
      </c>
      <c r="GV12" s="16">
        <f>GV11-GV10</f>
        <v/>
      </c>
      <c r="GW12" s="16">
        <f>GW11-GW10</f>
        <v/>
      </c>
      <c r="GX12" s="16">
        <f>GX11-GX10</f>
        <v/>
      </c>
      <c r="GY12" s="16">
        <f>GY11-GY10</f>
        <v/>
      </c>
      <c r="GZ12" s="16">
        <f>GZ11-GZ10</f>
        <v/>
      </c>
      <c r="HA12" s="16">
        <f>HA11-HA10</f>
        <v/>
      </c>
      <c r="HB12" s="16">
        <f>HB11-HB10</f>
        <v/>
      </c>
      <c r="HC12" s="16">
        <f>HC11-HC10</f>
        <v/>
      </c>
      <c r="HD12" s="16">
        <f>HD11-HD10</f>
        <v/>
      </c>
      <c r="HE12" s="16">
        <f>HE11-HE10</f>
        <v/>
      </c>
      <c r="HF12" s="16">
        <f>HF11-HF10</f>
        <v/>
      </c>
      <c r="HG12" s="16">
        <f>HG11-HG10</f>
        <v/>
      </c>
      <c r="HH12" s="16">
        <f>HH11-HH10</f>
        <v/>
      </c>
      <c r="HI12" s="16">
        <f>HI11-HI10</f>
        <v/>
      </c>
      <c r="HJ12" s="16">
        <f>HJ11-HJ10</f>
        <v/>
      </c>
      <c r="HK12" s="16">
        <f>HK11-HK10</f>
        <v/>
      </c>
      <c r="HL12" s="16">
        <f>HL11-HL10</f>
        <v/>
      </c>
      <c r="HM12" s="16">
        <f>HM11-HM10</f>
        <v/>
      </c>
      <c r="HN12" s="16">
        <f>HN11-HN10</f>
        <v/>
      </c>
      <c r="HO12" s="126" t="n"/>
      <c r="HP12" s="16">
        <f>HP11-HP10</f>
        <v/>
      </c>
      <c r="HQ12" s="16">
        <f>HQ11-HQ10</f>
        <v/>
      </c>
      <c r="HR12" s="16">
        <f>HR11-HR10</f>
        <v/>
      </c>
      <c r="HS12" s="16">
        <f>HS11-HS10</f>
        <v/>
      </c>
      <c r="HT12" s="16">
        <f>HT11-HT10</f>
        <v/>
      </c>
      <c r="HU12" s="16">
        <f>HU11-HU10</f>
        <v/>
      </c>
      <c r="HV12" s="16">
        <f>HV11-HV10</f>
        <v/>
      </c>
      <c r="HW12" s="16">
        <f>HW11-HW10</f>
        <v/>
      </c>
      <c r="HX12" s="16">
        <f>HX11-HX10</f>
        <v/>
      </c>
      <c r="HY12" s="16">
        <f>HY11-HY10</f>
        <v/>
      </c>
      <c r="HZ12" s="16">
        <f>HZ11-HZ10</f>
        <v/>
      </c>
      <c r="IA12" s="16">
        <f>IA11-IA10</f>
        <v/>
      </c>
      <c r="IB12" s="16">
        <f>IB11-IB10</f>
        <v/>
      </c>
      <c r="IC12" s="16">
        <f>IC11-IC10</f>
        <v/>
      </c>
      <c r="ID12" s="16">
        <f>ID11-ID10</f>
        <v/>
      </c>
      <c r="IE12" s="16">
        <f>IE11-IE10</f>
        <v/>
      </c>
      <c r="IF12" s="16">
        <f>IF11-IF10</f>
        <v/>
      </c>
      <c r="IG12" s="16">
        <f>IG11-IG10</f>
        <v/>
      </c>
      <c r="IH12" s="16">
        <f>IH11-IH10</f>
        <v/>
      </c>
      <c r="II12" s="16">
        <f>II11-II10</f>
        <v/>
      </c>
      <c r="IJ12" s="16">
        <f>IJ11-IJ10</f>
        <v/>
      </c>
      <c r="IK12" s="16">
        <f>IK11-IK10</f>
        <v/>
      </c>
      <c r="IL12" s="16">
        <f>IL11-IL10</f>
        <v/>
      </c>
      <c r="IM12" s="16">
        <f>IM11-IM10</f>
        <v/>
      </c>
      <c r="IN12" s="16">
        <f>IN11-IN10</f>
        <v/>
      </c>
      <c r="IO12" s="16">
        <f>IO11-IO10</f>
        <v/>
      </c>
      <c r="IP12" s="16">
        <f>IP11-IP10</f>
        <v/>
      </c>
      <c r="IQ12" s="16">
        <f>IQ11-IQ10</f>
        <v/>
      </c>
      <c r="IR12" s="16">
        <f>IR11-IR10</f>
        <v/>
      </c>
      <c r="IS12" s="16">
        <f>IS11-IS10</f>
        <v/>
      </c>
      <c r="IT12" s="16">
        <f>IT11-IT10</f>
        <v/>
      </c>
      <c r="IU12" s="126" t="n"/>
      <c r="IV12" s="16">
        <f>IV11-IV10</f>
        <v/>
      </c>
      <c r="IW12" s="16">
        <f>IW11-IW10</f>
        <v/>
      </c>
      <c r="IX12" s="16">
        <f>IX11-IX10</f>
        <v/>
      </c>
      <c r="IY12" s="16">
        <f>IY11-IY10</f>
        <v/>
      </c>
      <c r="IZ12" s="16">
        <f>IZ11-IZ10</f>
        <v/>
      </c>
      <c r="JA12" s="16">
        <f>JA11-JA10</f>
        <v/>
      </c>
      <c r="JB12" s="16">
        <f>JB11-JB10</f>
        <v/>
      </c>
      <c r="JC12" s="16">
        <f>JC11-JC10</f>
        <v/>
      </c>
      <c r="JD12" s="16">
        <f>JD11-JD10</f>
        <v/>
      </c>
      <c r="JE12" s="16">
        <f>JE11-JE10</f>
        <v/>
      </c>
      <c r="JF12" s="16">
        <f>JF11-JF10</f>
        <v/>
      </c>
      <c r="JG12" s="16">
        <f>JG11-JG10</f>
        <v/>
      </c>
      <c r="JH12" s="16">
        <f>JH11-JH10</f>
        <v/>
      </c>
      <c r="JI12" s="16">
        <f>JI11-JI10</f>
        <v/>
      </c>
      <c r="JJ12" s="16">
        <f>JJ11-JJ10</f>
        <v/>
      </c>
      <c r="JK12" s="16">
        <f>JK11-JK10</f>
        <v/>
      </c>
      <c r="JL12" s="16">
        <f>JL11-JL10</f>
        <v/>
      </c>
      <c r="JM12" s="16">
        <f>JM11-JM10</f>
        <v/>
      </c>
      <c r="JN12" s="16">
        <f>JN11-JN10</f>
        <v/>
      </c>
      <c r="JO12" s="16">
        <f>JO11-JO10</f>
        <v/>
      </c>
      <c r="JP12" s="16">
        <f>JP11-JP10</f>
        <v/>
      </c>
      <c r="JQ12" s="16">
        <f>JQ11-JQ10</f>
        <v/>
      </c>
      <c r="JR12" s="16">
        <f>JR11-JR10</f>
        <v/>
      </c>
      <c r="JS12" s="16">
        <f>JS11-JS10</f>
        <v/>
      </c>
      <c r="JT12" s="16">
        <f>JT11-JT10</f>
        <v/>
      </c>
      <c r="JU12" s="16">
        <f>JU11-JU10</f>
        <v/>
      </c>
      <c r="JV12" s="16">
        <f>JV11-JV10</f>
        <v/>
      </c>
      <c r="JW12" s="16">
        <f>JW11-JW10</f>
        <v/>
      </c>
      <c r="JX12" s="16">
        <f>JX11-JX10</f>
        <v/>
      </c>
      <c r="JY12" s="16">
        <f>JY11-JY10</f>
        <v/>
      </c>
      <c r="JZ12" s="127">
        <f>SUM(IV12:JY12)</f>
        <v/>
      </c>
      <c r="KA12" s="16">
        <f>KA11-KA10</f>
        <v/>
      </c>
      <c r="KB12" s="16">
        <f>KB11-KB10</f>
        <v/>
      </c>
      <c r="KC12" s="16">
        <f>KC11-KC10</f>
        <v/>
      </c>
      <c r="KD12" s="16">
        <f>KD11-KD10</f>
        <v/>
      </c>
      <c r="KE12" s="16">
        <f>KE11-KE10</f>
        <v/>
      </c>
      <c r="KF12" s="16">
        <f>KF11-KF10</f>
        <v/>
      </c>
      <c r="KG12" s="16">
        <f>KG11-KG10</f>
        <v/>
      </c>
      <c r="KH12" s="16">
        <f>KH11-KH10</f>
        <v/>
      </c>
      <c r="KI12" s="16">
        <f>KI11-KI10</f>
        <v/>
      </c>
      <c r="KJ12" s="16">
        <f>KJ11-KJ10</f>
        <v/>
      </c>
      <c r="KK12" s="16">
        <f>KK11-KK10</f>
        <v/>
      </c>
      <c r="KL12" s="16">
        <f>KL11-KL10</f>
        <v/>
      </c>
      <c r="KM12" s="16">
        <f>KM11-KM10</f>
        <v/>
      </c>
      <c r="KN12" s="16">
        <f>KN11-KN10</f>
        <v/>
      </c>
      <c r="KO12" s="16">
        <f>KO11-KO10</f>
        <v/>
      </c>
      <c r="KP12" s="16">
        <f>KP11-KP10</f>
        <v/>
      </c>
      <c r="KQ12" s="16">
        <f>KQ11-KQ10</f>
        <v/>
      </c>
      <c r="KR12" s="16">
        <f>KR11-KR10</f>
        <v/>
      </c>
      <c r="KS12" s="16">
        <f>KS11-KS10</f>
        <v/>
      </c>
      <c r="KT12" s="16">
        <f>KT11-KT10</f>
        <v/>
      </c>
      <c r="KU12" s="16">
        <f>KU11-KU10</f>
        <v/>
      </c>
      <c r="KV12" s="16">
        <f>KV11-KV10</f>
        <v/>
      </c>
      <c r="KW12" s="16">
        <f>KW11-KW10</f>
        <v/>
      </c>
      <c r="KX12" s="16">
        <f>KX11-KX10</f>
        <v/>
      </c>
      <c r="KY12" s="16">
        <f>KY11-KY10</f>
        <v/>
      </c>
      <c r="KZ12" s="16">
        <f>KZ11-KZ10</f>
        <v/>
      </c>
      <c r="LA12" s="16">
        <f>LA11-LA10</f>
        <v/>
      </c>
      <c r="LB12" s="16">
        <f>LB11-LB10</f>
        <v/>
      </c>
      <c r="LC12" s="16">
        <f>LC11-LC10</f>
        <v/>
      </c>
      <c r="LD12" s="16">
        <f>LD11-LD10</f>
        <v/>
      </c>
      <c r="LE12" s="16">
        <f>LE11-LE10</f>
        <v/>
      </c>
      <c r="LF12" s="127">
        <f>SUM(KA12:LE12)</f>
        <v/>
      </c>
      <c r="LG12" s="16">
        <f>LG11-LG10</f>
        <v/>
      </c>
      <c r="LH12" s="16">
        <f>LH11-LH10</f>
        <v/>
      </c>
      <c r="LI12" s="16">
        <f>LI11-LI10</f>
        <v/>
      </c>
      <c r="LJ12" s="16">
        <f>LJ11-LJ10</f>
        <v/>
      </c>
      <c r="LK12" s="16">
        <f>LK11-LK10</f>
        <v/>
      </c>
      <c r="LL12" s="16">
        <f>LL11-LL10</f>
        <v/>
      </c>
      <c r="LM12" s="16">
        <f>LM11-LM10</f>
        <v/>
      </c>
      <c r="LN12" s="16">
        <f>LN11-LN10</f>
        <v/>
      </c>
      <c r="LO12" s="16">
        <f>LO11-LO10</f>
        <v/>
      </c>
      <c r="LP12" s="16">
        <f>LP11-LP10</f>
        <v/>
      </c>
      <c r="LQ12" s="16">
        <f>LQ11-LQ10</f>
        <v/>
      </c>
      <c r="LR12" s="16">
        <f>LR11-LR10</f>
        <v/>
      </c>
      <c r="LS12" s="16">
        <f>LS11-LS10</f>
        <v/>
      </c>
      <c r="LT12" s="16">
        <f>LT11-LT10</f>
        <v/>
      </c>
      <c r="LU12" s="16">
        <f>LU11-LU10</f>
        <v/>
      </c>
      <c r="LV12" s="16">
        <f>LV11-LV10</f>
        <v/>
      </c>
      <c r="LW12" s="16">
        <f>LW11-LW10</f>
        <v/>
      </c>
      <c r="LX12" s="16">
        <f>LX11-LX10</f>
        <v/>
      </c>
      <c r="LY12" s="16">
        <f>LY11-LY10</f>
        <v/>
      </c>
      <c r="LZ12" s="16">
        <f>LZ11-LZ10</f>
        <v/>
      </c>
      <c r="MA12" s="16">
        <f>MA11-MA10</f>
        <v/>
      </c>
      <c r="MB12" s="16">
        <f>MB11-MB10</f>
        <v/>
      </c>
      <c r="MC12" s="16">
        <f>MC11-MC10</f>
        <v/>
      </c>
      <c r="MD12" s="16">
        <f>MD11-MD10</f>
        <v/>
      </c>
      <c r="ME12" s="16">
        <f>ME11-ME10</f>
        <v/>
      </c>
      <c r="MF12" s="16">
        <f>MF11-MF10</f>
        <v/>
      </c>
      <c r="MG12" s="16">
        <f>MG11-MG10</f>
        <v/>
      </c>
      <c r="MH12" s="16">
        <f>MH11-MH10</f>
        <v/>
      </c>
      <c r="MI12" s="16">
        <f>MI11-MI10</f>
        <v/>
      </c>
      <c r="MJ12" s="16">
        <f>MJ11-MJ10</f>
        <v/>
      </c>
      <c r="MK12" s="127">
        <f>SUM(LF12:MJ12)</f>
        <v/>
      </c>
      <c r="ML12" s="16">
        <f>ML11-ML10</f>
        <v/>
      </c>
      <c r="MM12" s="16">
        <f>MM11-MM10</f>
        <v/>
      </c>
      <c r="MN12" s="16">
        <f>MN11-MN10</f>
        <v/>
      </c>
      <c r="MO12" s="16">
        <f>MO11-MO10</f>
        <v/>
      </c>
      <c r="MP12" s="16">
        <f>MP11-MP10</f>
        <v/>
      </c>
      <c r="MQ12" s="16">
        <f>MQ11-MQ10</f>
        <v/>
      </c>
      <c r="MR12" s="16">
        <f>MR11-MR10</f>
        <v/>
      </c>
      <c r="MS12" s="16">
        <f>MS11-MS10</f>
        <v/>
      </c>
      <c r="MT12" s="16">
        <f>MT11-MT10</f>
        <v/>
      </c>
      <c r="MU12" s="16">
        <f>MU11-MU10</f>
        <v/>
      </c>
      <c r="MV12" s="16">
        <f>MV11-MV10</f>
        <v/>
      </c>
      <c r="MW12" s="16">
        <f>MW11-MW10</f>
        <v/>
      </c>
      <c r="MX12" s="16">
        <f>MX11-MX10</f>
        <v/>
      </c>
      <c r="MY12" s="16">
        <f>MY11-MY10</f>
        <v/>
      </c>
      <c r="MZ12" s="16">
        <f>MZ11-MZ10</f>
        <v/>
      </c>
      <c r="NA12" s="16">
        <f>NA11-NA10</f>
        <v/>
      </c>
      <c r="NB12" s="16">
        <f>NB11-NB10</f>
        <v/>
      </c>
      <c r="NC12" s="16">
        <f>NC11-NC10</f>
        <v/>
      </c>
      <c r="ND12" s="16">
        <f>ND11-ND10</f>
        <v/>
      </c>
      <c r="NE12" s="16">
        <f>NE11-NE10</f>
        <v/>
      </c>
      <c r="NF12" s="16">
        <f>NF11-NF10</f>
        <v/>
      </c>
      <c r="NG12" s="16">
        <f>NG11-NG10</f>
        <v/>
      </c>
      <c r="NH12" s="16">
        <f>NH11-NH10</f>
        <v/>
      </c>
      <c r="NI12" s="16">
        <f>NI11-NI10</f>
        <v/>
      </c>
      <c r="NJ12" s="16">
        <f>NJ11-NJ10</f>
        <v/>
      </c>
      <c r="NK12" s="16">
        <f>NK11-NK10</f>
        <v/>
      </c>
      <c r="NL12" s="16">
        <f>NL11-NL10</f>
        <v/>
      </c>
      <c r="NM12" s="16">
        <f>NM11-NM10</f>
        <v/>
      </c>
      <c r="NN12" s="16">
        <f>NN11-NN10</f>
        <v/>
      </c>
      <c r="NO12" s="16">
        <f>NO11-NO10</f>
        <v/>
      </c>
      <c r="NP12" s="16">
        <f>NP11-NP10</f>
        <v/>
      </c>
      <c r="NQ12" s="127">
        <f>SUM(ML12:NP12)</f>
        <v/>
      </c>
      <c r="NR12" s="16">
        <f>NR11-NR10</f>
        <v/>
      </c>
      <c r="NS12" s="16">
        <f>NS11-NS10</f>
        <v/>
      </c>
      <c r="NT12" s="16">
        <f>NT11-NT10</f>
        <v/>
      </c>
      <c r="NU12" s="16">
        <f>NU11-NU10</f>
        <v/>
      </c>
      <c r="NV12" s="16">
        <f>NV11-NV10</f>
        <v/>
      </c>
      <c r="NW12" s="16">
        <f>NW11-NW10</f>
        <v/>
      </c>
      <c r="NX12" s="16">
        <f>NX11-NX10</f>
        <v/>
      </c>
      <c r="NY12" s="16">
        <f>NY11-NY10</f>
        <v/>
      </c>
      <c r="NZ12" s="16">
        <f>NZ11-NZ10</f>
        <v/>
      </c>
      <c r="OA12" s="16">
        <f>OA11-OA10</f>
        <v/>
      </c>
      <c r="OB12" s="16">
        <f>OB11-OB10</f>
        <v/>
      </c>
      <c r="OC12" s="16">
        <f>OC11-OC10</f>
        <v/>
      </c>
      <c r="OD12" s="16">
        <f>OD11-OD10</f>
        <v/>
      </c>
      <c r="OE12" s="16">
        <f>OE11-OE10</f>
        <v/>
      </c>
      <c r="OF12" s="16">
        <f>OF11-OF10</f>
        <v/>
      </c>
      <c r="OG12" s="16">
        <f>OG11-OG10</f>
        <v/>
      </c>
      <c r="OH12" s="16">
        <f>OH11-OH10</f>
        <v/>
      </c>
      <c r="OI12" s="16">
        <f>OI11-OI10</f>
        <v/>
      </c>
      <c r="OJ12" s="16">
        <f>OJ11-OJ10</f>
        <v/>
      </c>
      <c r="OK12" s="16">
        <f>OK11-OK10</f>
        <v/>
      </c>
      <c r="OL12" s="16">
        <f>OL11-OL10</f>
        <v/>
      </c>
      <c r="OM12" s="16">
        <f>OM11-OM10</f>
        <v/>
      </c>
      <c r="ON12" s="16">
        <f>ON11-ON10</f>
        <v/>
      </c>
      <c r="OO12" s="16">
        <f>OO11-OO10</f>
        <v/>
      </c>
      <c r="OP12" s="16">
        <f>OP11-OP10</f>
        <v/>
      </c>
      <c r="OQ12" s="16">
        <f>OQ11-OQ10</f>
        <v/>
      </c>
      <c r="OR12" s="16">
        <f>OR11-OR10</f>
        <v/>
      </c>
      <c r="OS12" s="16">
        <f>OS11-OS10</f>
        <v/>
      </c>
      <c r="OT12" s="16">
        <f>OT11-OT10</f>
        <v/>
      </c>
      <c r="OU12" s="16">
        <f>OU11-OU10</f>
        <v/>
      </c>
      <c r="OV12" s="16">
        <f>OV11-OV10</f>
        <v/>
      </c>
      <c r="OW12" s="127">
        <f>SUM(NR12:OV12)</f>
        <v/>
      </c>
      <c r="OX12" s="16">
        <f>OX11-OX10</f>
        <v/>
      </c>
      <c r="OY12" s="16">
        <f>OY11-OY10</f>
        <v/>
      </c>
      <c r="OZ12" s="16">
        <f>OZ11-OZ10</f>
        <v/>
      </c>
      <c r="PA12" s="16">
        <f>PA11-PA10</f>
        <v/>
      </c>
      <c r="PB12" s="16">
        <f>PB11-PB10</f>
        <v/>
      </c>
      <c r="PC12" s="16">
        <f>PC11-PC10</f>
        <v/>
      </c>
      <c r="PD12" s="16">
        <f>PD11-PD10</f>
        <v/>
      </c>
      <c r="PE12" s="16">
        <f>PE11-PE10</f>
        <v/>
      </c>
      <c r="PF12" s="16">
        <f>PF11-PF10</f>
        <v/>
      </c>
      <c r="PG12" s="16">
        <f>PG11-PG10</f>
        <v/>
      </c>
      <c r="PH12" s="16">
        <f>PH11-PH10</f>
        <v/>
      </c>
      <c r="PI12" s="16">
        <f>PI11-PI10</f>
        <v/>
      </c>
      <c r="PJ12" s="16">
        <f>PJ11-PJ10</f>
        <v/>
      </c>
      <c r="PK12" s="16">
        <f>PK11-PK10</f>
        <v/>
      </c>
      <c r="PL12" s="16">
        <f>PL11-PL10</f>
        <v/>
      </c>
      <c r="PM12" s="16">
        <f>PM11-PM10</f>
        <v/>
      </c>
      <c r="PN12" s="16">
        <f>PN11-PN10</f>
        <v/>
      </c>
      <c r="PO12" s="16">
        <f>PO11-PO10</f>
        <v/>
      </c>
      <c r="PP12" s="16">
        <f>PP11-PP10</f>
        <v/>
      </c>
      <c r="PQ12" s="16">
        <f>PQ11-PQ10</f>
        <v/>
      </c>
      <c r="PR12" s="16">
        <f>PR11-PR10</f>
        <v/>
      </c>
      <c r="PS12" s="16">
        <f>PS11-PS10</f>
        <v/>
      </c>
      <c r="PT12" s="16">
        <f>PT11-PT10</f>
        <v/>
      </c>
      <c r="PU12" s="16">
        <f>PU11-PU10</f>
        <v/>
      </c>
      <c r="PV12" s="16">
        <f>PV11-PV10</f>
        <v/>
      </c>
      <c r="PW12" s="16">
        <f>PW11-PW10</f>
        <v/>
      </c>
      <c r="PX12" s="16">
        <f>PX11-PX10</f>
        <v/>
      </c>
      <c r="PY12" s="16">
        <f>PY11-PY10</f>
        <v/>
      </c>
      <c r="PZ12" s="16">
        <f>PZ11-PZ10</f>
        <v/>
      </c>
      <c r="QA12" s="16">
        <f>QA11-QA10</f>
        <v/>
      </c>
      <c r="QB12" s="127">
        <f>SUM(OX12:QA12)</f>
        <v/>
      </c>
      <c r="QC12" s="16">
        <f>QC11-QC10</f>
        <v/>
      </c>
      <c r="QD12" s="16">
        <f>QD11-QD10</f>
        <v/>
      </c>
      <c r="QE12" s="16">
        <f>QE11-QE10</f>
        <v/>
      </c>
      <c r="QF12" s="16">
        <f>QF11-QF10</f>
        <v/>
      </c>
      <c r="QG12" s="16">
        <f>QG11-QG10</f>
        <v/>
      </c>
      <c r="QH12" s="16">
        <f>QH11-QH10</f>
        <v/>
      </c>
      <c r="QI12" s="16">
        <f>QI11-QI10</f>
        <v/>
      </c>
      <c r="QJ12" s="16">
        <f>QJ11-QJ10</f>
        <v/>
      </c>
      <c r="QK12" s="16">
        <f>QK11-QK10</f>
        <v/>
      </c>
      <c r="QL12" s="16">
        <f>QL11-QL10</f>
        <v/>
      </c>
      <c r="QM12" s="16">
        <f>QM11-QM10</f>
        <v/>
      </c>
      <c r="QN12" s="16">
        <f>QN11-QN10</f>
        <v/>
      </c>
      <c r="QO12" s="16">
        <f>QO11-QO10</f>
        <v/>
      </c>
      <c r="QP12" s="16">
        <f>QP11-QP10</f>
        <v/>
      </c>
      <c r="QQ12" s="16">
        <f>QQ11-QQ10</f>
        <v/>
      </c>
      <c r="QR12" s="16">
        <f>QR11-QR10</f>
        <v/>
      </c>
      <c r="QS12" s="16">
        <f>QS11-QS10</f>
        <v/>
      </c>
      <c r="QT12" s="16">
        <f>QT11-QT10</f>
        <v/>
      </c>
      <c r="QU12" s="16">
        <f>QU11-QU10</f>
        <v/>
      </c>
      <c r="QV12" s="16">
        <f>QV11-QV10</f>
        <v/>
      </c>
      <c r="QW12" s="16">
        <f>QW11-QW10</f>
        <v/>
      </c>
      <c r="QX12" s="16">
        <f>QX11-QX10</f>
        <v/>
      </c>
      <c r="QY12" s="16">
        <f>QY11-QY10</f>
        <v/>
      </c>
      <c r="QZ12" s="16">
        <f>QZ11-QZ10</f>
        <v/>
      </c>
      <c r="RA12" s="16">
        <f>RA11-RA10</f>
        <v/>
      </c>
      <c r="RB12" s="16">
        <f>RB11-RB10</f>
        <v/>
      </c>
      <c r="RC12" s="16">
        <f>RC11-RC10</f>
        <v/>
      </c>
      <c r="RD12" s="16">
        <f>RD11-RD10</f>
        <v/>
      </c>
      <c r="RE12" s="16">
        <f>RE11-RE10</f>
        <v/>
      </c>
      <c r="RF12" s="16">
        <f>RF11-RF10</f>
        <v/>
      </c>
      <c r="RG12" s="16">
        <f>RG11-RG10</f>
        <v/>
      </c>
      <c r="RH12" s="127">
        <f>SUM(QD12:RG12)</f>
        <v/>
      </c>
      <c r="RI12" s="16">
        <f>RI11-RI10</f>
        <v/>
      </c>
      <c r="RJ12" s="16">
        <f>RJ11-RJ10</f>
        <v/>
      </c>
      <c r="RK12" s="16">
        <f>RK11-RK10</f>
        <v/>
      </c>
      <c r="RL12" s="16">
        <f>RL11-RL10</f>
        <v/>
      </c>
      <c r="RM12" s="16">
        <f>RM11-RM10</f>
        <v/>
      </c>
      <c r="RN12" s="16">
        <f>RN11-RN10</f>
        <v/>
      </c>
      <c r="RO12" s="16">
        <f>RO11-RO10</f>
        <v/>
      </c>
      <c r="RP12" s="16">
        <f>RP11-RP10</f>
        <v/>
      </c>
      <c r="RQ12" s="16">
        <f>RQ11-RQ10</f>
        <v/>
      </c>
      <c r="RR12" s="16">
        <f>RR11-RR10</f>
        <v/>
      </c>
      <c r="RS12" s="16">
        <f>RS11-RS10</f>
        <v/>
      </c>
      <c r="RT12" s="16">
        <f>RT11-RT10</f>
        <v/>
      </c>
      <c r="RU12" s="16">
        <f>RU11-RU10</f>
        <v/>
      </c>
      <c r="RV12" s="16">
        <f>RV11-RV10</f>
        <v/>
      </c>
      <c r="RW12" s="16">
        <f>RW11-RW10</f>
        <v/>
      </c>
      <c r="RX12" s="16">
        <f>RX11-RX10</f>
        <v/>
      </c>
      <c r="RY12" s="16">
        <f>RY11-RY10</f>
        <v/>
      </c>
      <c r="RZ12" s="16">
        <f>RZ11-RZ10</f>
        <v/>
      </c>
      <c r="SA12" s="16">
        <f>SA11-SA10</f>
        <v/>
      </c>
      <c r="SB12" s="16">
        <f>SB11-SB10</f>
        <v/>
      </c>
      <c r="SC12" s="16">
        <f>SC11-SC10</f>
        <v/>
      </c>
      <c r="SD12" s="16">
        <f>SD11-SD10</f>
        <v/>
      </c>
      <c r="SE12" s="16">
        <f>SE11-SE10</f>
        <v/>
      </c>
      <c r="SF12" s="16">
        <f>SF11-SF10</f>
        <v/>
      </c>
      <c r="SG12" s="16">
        <f>SG11-SG10</f>
        <v/>
      </c>
      <c r="SH12" s="16">
        <f>SH11-SH10</f>
        <v/>
      </c>
      <c r="SI12" s="16">
        <f>SI11-SI10</f>
        <v/>
      </c>
      <c r="SJ12" s="16">
        <f>SJ11-SJ10</f>
        <v/>
      </c>
      <c r="SK12" s="16">
        <f>SK11-SK10</f>
        <v/>
      </c>
      <c r="SL12" s="16">
        <f>SL11-SL10</f>
        <v/>
      </c>
      <c r="SM12" s="127">
        <f>SUM(RI12:SL12)</f>
        <v/>
      </c>
      <c r="SN12" s="16">
        <f>SN11-SN10</f>
        <v/>
      </c>
      <c r="SO12" s="16">
        <f>SO11-SO10</f>
        <v/>
      </c>
      <c r="SP12" s="16">
        <f>SP11-SP10</f>
        <v/>
      </c>
      <c r="SQ12" s="16">
        <f>SQ11-SQ10</f>
        <v/>
      </c>
      <c r="SR12" s="16">
        <f>SR11-SR10</f>
        <v/>
      </c>
      <c r="SS12" s="16">
        <f>SS11-SS10</f>
        <v/>
      </c>
      <c r="ST12" s="16">
        <f>ST11-ST10</f>
        <v/>
      </c>
      <c r="SU12" s="16">
        <f>SU11-SU10</f>
        <v/>
      </c>
      <c r="SV12" s="16">
        <f>SV11-SV10</f>
        <v/>
      </c>
      <c r="SW12" s="16">
        <f>SW11-SW10</f>
        <v/>
      </c>
      <c r="SX12" s="16">
        <f>SX11-SX10</f>
        <v/>
      </c>
      <c r="SY12" s="16">
        <f>SY11-SY10</f>
        <v/>
      </c>
      <c r="SZ12" s="16">
        <f>SZ11-SZ10</f>
        <v/>
      </c>
      <c r="TA12" s="16">
        <f>TA11-TA10</f>
        <v/>
      </c>
      <c r="TB12" s="16">
        <f>TB11-TB10</f>
        <v/>
      </c>
      <c r="TC12" s="16">
        <f>TC11-TC10</f>
        <v/>
      </c>
      <c r="TD12" s="16">
        <f>TD11-TD10</f>
        <v/>
      </c>
      <c r="TE12" s="16">
        <f>TE11-TE10</f>
        <v/>
      </c>
      <c r="TF12" s="16">
        <f>TF11-TF10</f>
        <v/>
      </c>
      <c r="TG12" s="16">
        <f>TG11-TG10</f>
        <v/>
      </c>
      <c r="TH12" s="16">
        <f>TH11-TH10</f>
        <v/>
      </c>
      <c r="TI12" s="16">
        <f>TI11-TI10</f>
        <v/>
      </c>
      <c r="TJ12" s="16">
        <f>TJ11-TJ10</f>
        <v/>
      </c>
      <c r="TK12" s="16">
        <f>TK11-TK10</f>
        <v/>
      </c>
      <c r="TL12" s="16">
        <f>TL11-TL10</f>
        <v/>
      </c>
      <c r="TM12" s="16">
        <f>TM11-TM10</f>
        <v/>
      </c>
      <c r="TN12" s="16">
        <f>TN11-TN10</f>
        <v/>
      </c>
      <c r="TO12" s="16">
        <f>TO11-TO10</f>
        <v/>
      </c>
      <c r="TP12" s="16">
        <f>TP11-TP10</f>
        <v/>
      </c>
      <c r="TQ12" s="16">
        <f>TQ11-TQ10</f>
        <v/>
      </c>
      <c r="TR12" s="16">
        <f>TR11-TR10</f>
        <v/>
      </c>
      <c r="TS12" s="127">
        <f>SUM(SO12:TR12)</f>
        <v/>
      </c>
      <c r="TT12" s="16">
        <f>TT11-TT10</f>
        <v/>
      </c>
      <c r="TU12" s="16">
        <f>TU11-TU10</f>
        <v/>
      </c>
      <c r="TV12" s="16">
        <f>TV11-TV10</f>
        <v/>
      </c>
      <c r="TW12" s="16">
        <f>TW11-TW10</f>
        <v/>
      </c>
      <c r="TX12" s="16">
        <f>TX11-TX10</f>
        <v/>
      </c>
      <c r="TY12" s="16">
        <f>TY11-TY10</f>
        <v/>
      </c>
      <c r="TZ12" s="16">
        <f>TZ11-TZ10</f>
        <v/>
      </c>
      <c r="UA12" s="16">
        <f>UA11-UA10</f>
        <v/>
      </c>
      <c r="UB12" s="16">
        <f>UB11-UB10</f>
        <v/>
      </c>
      <c r="UC12" s="16">
        <f>UC11-UC10</f>
        <v/>
      </c>
      <c r="UD12" s="16">
        <f>UD11-UD10</f>
        <v/>
      </c>
      <c r="UE12" s="16">
        <f>UE11-UE10</f>
        <v/>
      </c>
      <c r="UF12" s="16">
        <f>UF11-UF10</f>
        <v/>
      </c>
      <c r="UG12" s="16">
        <f>UG11-UG10</f>
        <v/>
      </c>
      <c r="UH12" s="16">
        <f>UH11-UH10</f>
        <v/>
      </c>
      <c r="UI12" s="16">
        <f>UI11-UI10</f>
        <v/>
      </c>
      <c r="UJ12" s="16">
        <f>UJ11-UJ10</f>
        <v/>
      </c>
      <c r="UK12" s="16">
        <f>UK11-UK10</f>
        <v/>
      </c>
      <c r="UL12" s="16">
        <f>UL11-UL10</f>
        <v/>
      </c>
      <c r="UM12" s="16">
        <f>UM11-UM10</f>
        <v/>
      </c>
      <c r="UN12" s="16">
        <f>UN11-UN10</f>
        <v/>
      </c>
      <c r="UO12" s="16">
        <f>UO11-UO10</f>
        <v/>
      </c>
      <c r="UP12" s="16">
        <f>UP11-UP10</f>
        <v/>
      </c>
      <c r="UQ12" s="16">
        <f>UQ11-UQ10</f>
        <v/>
      </c>
      <c r="UR12" s="16">
        <f>UR11-UR10</f>
        <v/>
      </c>
      <c r="US12" s="16">
        <f>US11-US10</f>
        <v/>
      </c>
      <c r="UT12" s="16">
        <f>UT11-UT10</f>
        <v/>
      </c>
      <c r="UU12" s="16">
        <f>UU11-UU10</f>
        <v/>
      </c>
      <c r="UV12" s="16">
        <f>UV11-UV10</f>
        <v/>
      </c>
      <c r="UW12" s="16">
        <f>UW11-UW10</f>
        <v/>
      </c>
      <c r="UX12" s="16">
        <f>UX11-UX10</f>
        <v/>
      </c>
      <c r="UY12" s="127">
        <f>SUM(TT12:UX12)</f>
        <v/>
      </c>
      <c r="UZ12" s="16">
        <f>UZ11-UZ10</f>
        <v/>
      </c>
      <c r="VA12" s="16">
        <f>VA11-VA10</f>
        <v/>
      </c>
      <c r="VB12" s="16">
        <f>VB11-VB10</f>
        <v/>
      </c>
      <c r="VC12" s="16">
        <f>VC11-VC10</f>
        <v/>
      </c>
      <c r="VD12" s="16">
        <f>VD11-VD10</f>
        <v/>
      </c>
      <c r="VE12" s="16">
        <f>VE11-VE10</f>
        <v/>
      </c>
      <c r="VF12" s="16">
        <f>VF11-VF10</f>
        <v/>
      </c>
      <c r="VG12" s="16">
        <f>VG11-VG10</f>
        <v/>
      </c>
      <c r="VH12" s="16">
        <f>VH11-VH10</f>
        <v/>
      </c>
      <c r="VI12" s="16">
        <f>VI11-VI10</f>
        <v/>
      </c>
      <c r="VJ12" s="16">
        <f>VJ11-VJ10</f>
        <v/>
      </c>
      <c r="VK12" s="16">
        <f>VK11-VK10</f>
        <v/>
      </c>
      <c r="VL12" s="16">
        <f>VL11-VL10</f>
        <v/>
      </c>
      <c r="VM12" s="16">
        <f>VM11-VM10</f>
        <v/>
      </c>
      <c r="VN12" s="16">
        <f>VN11-VN10</f>
        <v/>
      </c>
      <c r="VO12" s="16">
        <f>VO11-VO10</f>
        <v/>
      </c>
      <c r="VP12" s="16">
        <f>VP11-VP10</f>
        <v/>
      </c>
      <c r="VQ12" s="16">
        <f>VQ11-VQ10</f>
        <v/>
      </c>
      <c r="VR12" s="16">
        <f>VR11-VR10</f>
        <v/>
      </c>
      <c r="VS12" s="16">
        <f>VS11-VS10</f>
        <v/>
      </c>
      <c r="VT12" s="16">
        <f>VT11-VT10</f>
        <v/>
      </c>
      <c r="VU12" s="16">
        <f>VU11-VU10</f>
        <v/>
      </c>
      <c r="VV12" s="16">
        <f>VV11-VV10</f>
        <v/>
      </c>
      <c r="VW12" s="16">
        <f>VW11-VW10</f>
        <v/>
      </c>
      <c r="VX12" s="16">
        <f>VX11-VX10</f>
        <v/>
      </c>
      <c r="VY12" s="16">
        <f>VY11-VY10</f>
        <v/>
      </c>
      <c r="VZ12" s="16">
        <f>VZ11-VZ10</f>
        <v/>
      </c>
      <c r="WA12" s="16">
        <f>WA11-WA10</f>
        <v/>
      </c>
      <c r="WB12" s="127">
        <f>SUM(UZ12:WA12)</f>
        <v/>
      </c>
      <c r="WC12" s="16">
        <f>WC11-WC10</f>
        <v/>
      </c>
      <c r="WD12" s="16">
        <f>WD11-WD10</f>
        <v/>
      </c>
      <c r="WE12" s="16">
        <f>WE11-WE10</f>
        <v/>
      </c>
      <c r="WF12" s="16">
        <f>WF11-WF10</f>
        <v/>
      </c>
      <c r="WG12" s="16">
        <f>WG11-WG10</f>
        <v/>
      </c>
      <c r="WH12" s="16">
        <f>WH11-WH10</f>
        <v/>
      </c>
      <c r="WI12" s="16">
        <f>WI11-WI10</f>
        <v/>
      </c>
      <c r="WJ12" s="16">
        <f>WJ11-WJ10</f>
        <v/>
      </c>
      <c r="WK12" s="16">
        <f>WK11-WK10</f>
        <v/>
      </c>
      <c r="WL12" s="16">
        <f>WL11-WL10</f>
        <v/>
      </c>
      <c r="WM12" s="16">
        <f>WM11-WM10</f>
        <v/>
      </c>
      <c r="WN12" s="16">
        <f>WN11-WN10</f>
        <v/>
      </c>
      <c r="WO12" s="16">
        <f>WO11-WO10</f>
        <v/>
      </c>
      <c r="WP12" s="16">
        <f>WP11-WP10</f>
        <v/>
      </c>
      <c r="WQ12" s="16">
        <f>WQ11-WQ10</f>
        <v/>
      </c>
      <c r="WR12" s="16">
        <f>WR11-WR10</f>
        <v/>
      </c>
      <c r="WS12" s="16">
        <f>WS11-WS10</f>
        <v/>
      </c>
      <c r="WT12" s="16">
        <f>WT11-WT10</f>
        <v/>
      </c>
      <c r="WU12" s="16">
        <f>WU11-WU10</f>
        <v/>
      </c>
      <c r="WV12" s="16">
        <f>WV11-WV10</f>
        <v/>
      </c>
      <c r="WW12" s="16">
        <f>WW11-WW10</f>
        <v/>
      </c>
      <c r="WX12" s="16">
        <f>WX11-WX10</f>
        <v/>
      </c>
      <c r="WY12" s="16">
        <f>WY11-WY10</f>
        <v/>
      </c>
      <c r="WZ12" s="16">
        <f>WZ11-WZ10</f>
        <v/>
      </c>
      <c r="XA12" s="16">
        <f>XA11-XA10</f>
        <v/>
      </c>
      <c r="XB12" s="16">
        <f>XB11-XB10</f>
        <v/>
      </c>
      <c r="XC12" s="16">
        <f>XC11-XC10</f>
        <v/>
      </c>
      <c r="XD12" s="16">
        <f>XD11-XD10</f>
        <v/>
      </c>
      <c r="XE12" s="16">
        <f>XE11-XE10</f>
        <v/>
      </c>
      <c r="XF12" s="16">
        <f>XF11-XF10</f>
        <v/>
      </c>
      <c r="XG12" s="16">
        <f>XG11-XG10</f>
        <v/>
      </c>
      <c r="XH12" s="127">
        <f>SUM(WC12:XG12)</f>
        <v/>
      </c>
      <c r="XI12" s="16">
        <f>XI11-XI10</f>
        <v/>
      </c>
      <c r="XJ12" s="16">
        <f>XJ11-XJ10</f>
        <v/>
      </c>
      <c r="XK12" s="16">
        <f>XK11-XK10</f>
        <v/>
      </c>
      <c r="XL12" s="16">
        <f>XL11-XL10</f>
        <v/>
      </c>
      <c r="XM12" s="16">
        <f>XM11-XM10</f>
        <v/>
      </c>
      <c r="XN12" s="16">
        <f>XN11-XN10</f>
        <v/>
      </c>
      <c r="XO12" s="16">
        <f>XO11-XO10</f>
        <v/>
      </c>
      <c r="XP12" s="16">
        <f>XP11-XP10</f>
        <v/>
      </c>
      <c r="XQ12" s="16">
        <f>XQ11-XQ10</f>
        <v/>
      </c>
      <c r="XR12" s="16">
        <f>XR11-XR10</f>
        <v/>
      </c>
      <c r="XS12" s="16">
        <f>XS11-XS10</f>
        <v/>
      </c>
      <c r="XT12" s="16">
        <f>XT11-XT10</f>
        <v/>
      </c>
      <c r="XU12" s="16">
        <f>XU11-XU10</f>
        <v/>
      </c>
      <c r="XV12" s="16">
        <f>XV11-XV10</f>
        <v/>
      </c>
      <c r="XW12" s="16">
        <f>XW11-XW10</f>
        <v/>
      </c>
      <c r="XX12" s="16">
        <f>XX11-XX10</f>
        <v/>
      </c>
      <c r="XY12" s="16">
        <f>XY11-XY10</f>
        <v/>
      </c>
      <c r="XZ12" s="16">
        <f>XZ11-XZ10</f>
        <v/>
      </c>
      <c r="YA12" s="16">
        <f>YA11-YA10</f>
        <v/>
      </c>
      <c r="YB12" s="16">
        <f>YB11-YB10</f>
        <v/>
      </c>
      <c r="YC12" s="16">
        <f>YC11-YC10</f>
        <v/>
      </c>
      <c r="YD12" s="16">
        <f>YD11-YD10</f>
        <v/>
      </c>
      <c r="YE12" s="16">
        <f>YE11-YE10</f>
        <v/>
      </c>
      <c r="YF12" s="16">
        <f>YF11-YF10</f>
        <v/>
      </c>
      <c r="YG12" s="16">
        <f>YG11-YG10</f>
        <v/>
      </c>
      <c r="YH12" s="16">
        <f>YH11-YH10</f>
        <v/>
      </c>
      <c r="YI12" s="16">
        <f>YI11-YI10</f>
        <v/>
      </c>
      <c r="YJ12" s="16">
        <f>YJ11-YJ10</f>
        <v/>
      </c>
      <c r="YK12" s="16">
        <f>YK11-YK10</f>
        <v/>
      </c>
      <c r="YL12" s="16">
        <f>YL11-YL10</f>
        <v/>
      </c>
      <c r="YM12" s="127">
        <f>SUM(XH12:YL12)</f>
        <v/>
      </c>
      <c r="YN12" s="16">
        <f>YN11-YN10</f>
        <v/>
      </c>
      <c r="YO12" s="16">
        <f>YO11-YO10</f>
        <v/>
      </c>
      <c r="YP12" s="16">
        <f>YP11-YP10</f>
        <v/>
      </c>
      <c r="YQ12" s="16">
        <f>YQ11-YQ10</f>
        <v/>
      </c>
      <c r="YR12" s="16">
        <f>YR11-YR10</f>
        <v/>
      </c>
      <c r="YS12" s="16">
        <f>YS11-YS10</f>
        <v/>
      </c>
      <c r="YT12" s="16">
        <f>YT11-YT10</f>
        <v/>
      </c>
      <c r="YU12" s="16">
        <f>YU11-YU10</f>
        <v/>
      </c>
      <c r="YV12" s="16">
        <f>YV11-YV10</f>
        <v/>
      </c>
      <c r="YW12" s="16">
        <f>YW11-YW10</f>
        <v/>
      </c>
      <c r="YX12" s="16">
        <f>YX11-YX10</f>
        <v/>
      </c>
      <c r="YY12" s="16">
        <f>YY11-YY10</f>
        <v/>
      </c>
      <c r="YZ12" s="16">
        <f>YZ11-YZ10</f>
        <v/>
      </c>
      <c r="ZA12" s="16">
        <f>ZA11-ZA10</f>
        <v/>
      </c>
      <c r="ZB12" s="16">
        <f>ZB11-ZB10</f>
        <v/>
      </c>
      <c r="ZC12" s="16">
        <f>ZC11-ZC10</f>
        <v/>
      </c>
      <c r="ZD12" s="16">
        <f>ZD11-ZD10</f>
        <v/>
      </c>
      <c r="ZE12" s="16">
        <f>ZE11-ZE10</f>
        <v/>
      </c>
      <c r="ZF12" s="16">
        <f>ZF11-ZF10</f>
        <v/>
      </c>
      <c r="ZG12" s="16">
        <f>ZG11-ZG10</f>
        <v/>
      </c>
      <c r="ZH12" s="16">
        <f>ZH11-ZH10</f>
        <v/>
      </c>
      <c r="ZI12" s="16">
        <f>ZI11-ZI10</f>
        <v/>
      </c>
      <c r="ZJ12" s="16">
        <f>ZJ11-ZJ10</f>
        <v/>
      </c>
      <c r="ZK12" s="16">
        <f>ZK11-ZK10</f>
        <v/>
      </c>
      <c r="ZL12" s="16">
        <f>ZL11-ZL10</f>
        <v/>
      </c>
      <c r="ZM12" s="16">
        <f>ZM11-ZM10</f>
        <v/>
      </c>
      <c r="ZN12" s="16">
        <f>ZN11-ZN10</f>
        <v/>
      </c>
      <c r="ZO12" s="16">
        <f>ZO11-ZO10</f>
        <v/>
      </c>
      <c r="ZP12" s="16">
        <f>ZP11-ZP10</f>
        <v/>
      </c>
      <c r="ZQ12" s="16">
        <f>ZQ11-ZQ10</f>
        <v/>
      </c>
      <c r="ZR12" s="16">
        <f>ZR11-ZR10</f>
        <v/>
      </c>
      <c r="ZS12" s="127">
        <f>SUM(YN12:ZR12)</f>
        <v/>
      </c>
      <c r="ZT12" s="16">
        <f>ZT11-ZT10</f>
        <v/>
      </c>
      <c r="ZU12" s="16">
        <f>ZU11-ZU10</f>
        <v/>
      </c>
      <c r="ZV12" s="16">
        <f>ZV11-ZV10</f>
        <v/>
      </c>
      <c r="ZW12" s="16">
        <f>ZW11-ZW10</f>
        <v/>
      </c>
      <c r="ZX12" s="16">
        <f>ZX11-ZX10</f>
        <v/>
      </c>
      <c r="ZY12" s="16">
        <f>ZY11-ZY10</f>
        <v/>
      </c>
      <c r="ZZ12" s="16">
        <f>ZZ11-ZZ10</f>
        <v/>
      </c>
      <c r="AAA12" s="16">
        <f>AAA11-AAA10</f>
        <v/>
      </c>
      <c r="AAB12" s="16">
        <f>AAB11-AAB10</f>
        <v/>
      </c>
      <c r="AAC12" s="16">
        <f>AAC11-AAC10</f>
        <v/>
      </c>
      <c r="AAD12" s="16">
        <f>AAD11-AAD10</f>
        <v/>
      </c>
      <c r="AAE12" s="16">
        <f>AAE11-AAE10</f>
        <v/>
      </c>
      <c r="AAF12" s="16">
        <f>AAF11-AAF10</f>
        <v/>
      </c>
      <c r="AAG12" s="16">
        <f>AAG11-AAG10</f>
        <v/>
      </c>
      <c r="AAH12" s="16">
        <f>AAH11-AAH10</f>
        <v/>
      </c>
      <c r="AAI12" s="16">
        <f>AAI11-AAI10</f>
        <v/>
      </c>
      <c r="AAJ12" s="16">
        <f>AAJ11-AAJ10</f>
        <v/>
      </c>
      <c r="AAK12" s="16">
        <f>AAK11-AAK10</f>
        <v/>
      </c>
      <c r="AAL12" s="16">
        <f>AAL11-AAL10</f>
        <v/>
      </c>
      <c r="AAM12" s="16">
        <f>AAM11-AAM10</f>
        <v/>
      </c>
      <c r="AAN12" s="16">
        <f>AAN11-AAN10</f>
        <v/>
      </c>
      <c r="AAO12" s="16">
        <f>AAO11-AAO10</f>
        <v/>
      </c>
      <c r="AAP12" s="16">
        <f>AAP11-AAP10</f>
        <v/>
      </c>
      <c r="AAQ12" s="16">
        <f>AAQ11-AAQ10</f>
        <v/>
      </c>
      <c r="AAR12" s="16">
        <f>AAR11-AAR10</f>
        <v/>
      </c>
      <c r="AAS12" s="16">
        <f>AAS11-AAS10</f>
        <v/>
      </c>
      <c r="AAT12" s="16">
        <f>AAT11-AAT10</f>
        <v/>
      </c>
      <c r="AAU12" s="16">
        <f>AAU11-AAU10</f>
        <v/>
      </c>
      <c r="AAV12" s="16">
        <f>AAV11-AAV10</f>
        <v/>
      </c>
      <c r="AAW12" s="16">
        <f>AAW11-AAW10</f>
        <v/>
      </c>
      <c r="AAX12" s="127">
        <f>SUM(ZT12:AAW12)</f>
        <v/>
      </c>
      <c r="AAY12" s="16">
        <f>AAY11-AAY10</f>
        <v/>
      </c>
      <c r="AAZ12" s="16">
        <f>AAZ11-AAZ10</f>
        <v/>
      </c>
      <c r="ABA12" s="16">
        <f>ABA11-ABA10</f>
        <v/>
      </c>
      <c r="ABB12" s="16">
        <f>ABB11-ABB10</f>
        <v/>
      </c>
      <c r="ABC12" s="16">
        <f>ABC11-ABC10</f>
        <v/>
      </c>
      <c r="ABD12" s="16">
        <f>ABD11-ABD10</f>
        <v/>
      </c>
      <c r="ABE12" s="16">
        <f>ABE11-ABE10</f>
        <v/>
      </c>
      <c r="ABF12" s="16">
        <f>ABF11-ABF10</f>
        <v/>
      </c>
      <c r="ABG12" s="16">
        <f>ABG11-ABG10</f>
        <v/>
      </c>
      <c r="ABH12" s="16">
        <f>ABH11-ABH10</f>
        <v/>
      </c>
      <c r="ABI12" s="16">
        <f>ABI11-ABI10</f>
        <v/>
      </c>
      <c r="ABJ12" s="16">
        <f>ABJ11-ABJ10</f>
        <v/>
      </c>
      <c r="ABK12" s="16">
        <f>ABK11-ABK10</f>
        <v/>
      </c>
      <c r="ABL12" s="16">
        <f>ABL11-ABL10</f>
        <v/>
      </c>
      <c r="ABM12" s="16">
        <f>ABM11-ABM10</f>
        <v/>
      </c>
      <c r="ABN12" s="16">
        <f>ABN11-ABN10</f>
        <v/>
      </c>
      <c r="ABO12" s="16">
        <f>ABO11-ABO10</f>
        <v/>
      </c>
      <c r="ABP12" s="16">
        <f>ABP11-ABP10</f>
        <v/>
      </c>
      <c r="ABQ12" s="16">
        <f>ABQ11-ABQ10</f>
        <v/>
      </c>
      <c r="ABR12" s="16">
        <f>ABR11-ABR10</f>
        <v/>
      </c>
      <c r="ABS12" s="16">
        <f>ABS11-ABS10</f>
        <v/>
      </c>
      <c r="ABT12" s="16">
        <f>ABT11-ABT10</f>
        <v/>
      </c>
      <c r="ABU12" s="16">
        <f>ABU11-ABU10</f>
        <v/>
      </c>
      <c r="ABV12" s="16">
        <f>ABV11-ABV10</f>
        <v/>
      </c>
      <c r="ABW12" s="16">
        <f>ABW11-ABW10</f>
        <v/>
      </c>
      <c r="ABX12" s="16">
        <f>ABX11-ABX10</f>
        <v/>
      </c>
      <c r="ABY12" s="16">
        <f>ABY11-ABY10</f>
        <v/>
      </c>
      <c r="ABZ12" s="16">
        <f>ABZ11-ABZ10</f>
        <v/>
      </c>
      <c r="ACA12" s="16">
        <f>ACA11-ACA10</f>
        <v/>
      </c>
      <c r="ACB12" s="16">
        <f>ACB11-ACB10</f>
        <v/>
      </c>
      <c r="ACC12" s="16">
        <f>ACC11-ACC10</f>
        <v/>
      </c>
      <c r="ACD12" s="127">
        <f>SUM(AAY12:ACC12)</f>
        <v/>
      </c>
      <c r="ACE12" s="16">
        <f>ACE11-ACE10</f>
        <v/>
      </c>
      <c r="ACF12" s="16">
        <f>ACF11-ACF10</f>
        <v/>
      </c>
      <c r="ACG12" s="16">
        <f>ACG11-ACG10</f>
        <v/>
      </c>
      <c r="ACH12" s="16">
        <f>ACH11-ACH10</f>
        <v/>
      </c>
      <c r="ACI12" s="16">
        <f>ACI11-ACI10</f>
        <v/>
      </c>
      <c r="ACJ12" s="16">
        <f>ACJ11-ACJ10</f>
        <v/>
      </c>
      <c r="ACK12" s="16">
        <f>ACK11-ACK10</f>
        <v/>
      </c>
      <c r="ACL12" s="16">
        <f>ACL11-ACL10</f>
        <v/>
      </c>
      <c r="ACM12" s="16">
        <f>ACM11-ACM10</f>
        <v/>
      </c>
      <c r="ACN12" s="16">
        <f>ACN11-ACN10</f>
        <v/>
      </c>
      <c r="ACO12" s="16">
        <f>ACO11-ACO10</f>
        <v/>
      </c>
      <c r="ACP12" s="16">
        <f>ACP11-ACP10</f>
        <v/>
      </c>
      <c r="ACQ12" s="16">
        <f>ACQ11-ACQ10</f>
        <v/>
      </c>
      <c r="ACR12" s="16">
        <f>ACR11-ACR10</f>
        <v/>
      </c>
      <c r="ACS12" s="16">
        <f>ACS11-ACS10</f>
        <v/>
      </c>
      <c r="ACT12" s="16">
        <f>ACT11-ACT10</f>
        <v/>
      </c>
      <c r="ACU12" s="16">
        <f>ACU11-ACU10</f>
        <v/>
      </c>
      <c r="ACV12" s="16">
        <f>ACV11-ACV10</f>
        <v/>
      </c>
      <c r="ACW12" s="16">
        <f>ACW11-ACW10</f>
        <v/>
      </c>
      <c r="ACX12" s="16">
        <f>ACX11-ACX10</f>
        <v/>
      </c>
      <c r="ACY12" s="16">
        <f>ACY11-ACY10</f>
        <v/>
      </c>
      <c r="ACZ12" s="16">
        <f>ACZ11-ACZ10</f>
        <v/>
      </c>
      <c r="ADA12" s="16">
        <f>ADA11-ADA10</f>
        <v/>
      </c>
      <c r="ADB12" s="16">
        <f>ADB11-ADB10</f>
        <v/>
      </c>
      <c r="ADC12" s="16">
        <f>ADC11-ADC10</f>
        <v/>
      </c>
      <c r="ADD12" s="16">
        <f>ADD11-ADD10</f>
        <v/>
      </c>
      <c r="ADE12" s="16">
        <f>ADE11-ADE10</f>
        <v/>
      </c>
      <c r="ADF12" s="16">
        <f>ADF11-ADF10</f>
        <v/>
      </c>
      <c r="ADG12" s="16">
        <f>ADG11-ADG10</f>
        <v/>
      </c>
      <c r="ADH12" s="16">
        <f>ADH11-ADH10</f>
        <v/>
      </c>
      <c r="ADI12" s="16">
        <f>ADI11-ADI10</f>
        <v/>
      </c>
      <c r="ADJ12" s="127">
        <f>SUM(ACE12:ADI12)</f>
        <v/>
      </c>
      <c r="ADK12" s="16">
        <f>ADK11-ADK10</f>
        <v/>
      </c>
      <c r="ADL12" s="16">
        <f>ADL11-ADL10</f>
        <v/>
      </c>
      <c r="ADM12" s="16">
        <f>ADM11-ADM10</f>
        <v/>
      </c>
      <c r="ADN12" s="16">
        <f>ADN11-ADN10</f>
        <v/>
      </c>
      <c r="ADO12" s="16">
        <f>ADO11-ADO10</f>
        <v/>
      </c>
      <c r="ADP12" s="16">
        <f>ADP11-ADP10</f>
        <v/>
      </c>
      <c r="ADQ12" s="16">
        <f>ADQ11-ADQ10</f>
        <v/>
      </c>
      <c r="ADR12" s="16">
        <f>ADR11-ADR10</f>
        <v/>
      </c>
      <c r="ADS12" s="16">
        <f>ADS11-ADS10</f>
        <v/>
      </c>
      <c r="ADT12" s="16">
        <f>ADT11-ADT10</f>
        <v/>
      </c>
      <c r="ADU12" s="16">
        <f>ADU11-ADU10</f>
        <v/>
      </c>
      <c r="ADV12" s="16">
        <f>ADV11-ADV10</f>
        <v/>
      </c>
      <c r="ADW12" s="16">
        <f>ADW11-ADW10</f>
        <v/>
      </c>
      <c r="ADX12" s="16">
        <f>ADX11-ADX10</f>
        <v/>
      </c>
      <c r="ADY12" s="16">
        <f>ADY11-ADY10</f>
        <v/>
      </c>
      <c r="ADZ12" s="16">
        <f>ADZ11-ADZ10</f>
        <v/>
      </c>
      <c r="AEA12" s="16">
        <f>AEA11-AEA10</f>
        <v/>
      </c>
      <c r="AEB12" s="16">
        <f>AEB11-AEB10</f>
        <v/>
      </c>
      <c r="AEC12" s="16">
        <f>AEC11-AEC10</f>
        <v/>
      </c>
      <c r="AED12" s="16">
        <f>AED11-AED10</f>
        <v/>
      </c>
      <c r="AEE12" s="16">
        <f>AEE11-AEE10</f>
        <v/>
      </c>
      <c r="AEF12" s="16">
        <f>AEF11-AEF10</f>
        <v/>
      </c>
      <c r="AEG12" s="16">
        <f>AEG11-AEG10</f>
        <v/>
      </c>
      <c r="AEH12" s="16">
        <f>AEH11-AEH10</f>
        <v/>
      </c>
      <c r="AEI12" s="16">
        <f>AEI11-AEI10</f>
        <v/>
      </c>
      <c r="AEJ12" s="16">
        <f>AEJ11-AEJ10</f>
        <v/>
      </c>
      <c r="AEK12" s="16">
        <f>AEK11-AEK10</f>
        <v/>
      </c>
      <c r="AEL12" s="16">
        <f>AEL11-AEL10</f>
        <v/>
      </c>
      <c r="AEM12" s="16">
        <f>AEM11-AEM10</f>
        <v/>
      </c>
      <c r="AEN12" s="16">
        <f>AEN11-AEN10</f>
        <v/>
      </c>
      <c r="AEO12" s="127">
        <f>SUM(ADK12:AEN12)</f>
        <v/>
      </c>
      <c r="AEP12" s="16">
        <f>AEP11-AEP10</f>
        <v/>
      </c>
      <c r="AEQ12" s="16">
        <f>AEQ11-AEQ10</f>
        <v/>
      </c>
      <c r="AER12" s="16">
        <f>AER11-AER10</f>
        <v/>
      </c>
      <c r="AES12" s="16">
        <f>AES11-AES10</f>
        <v/>
      </c>
      <c r="AET12" s="16">
        <f>AET11-AET10</f>
        <v/>
      </c>
      <c r="AEU12" s="16">
        <f>AEU11-AEU10</f>
        <v/>
      </c>
      <c r="AEV12" s="16">
        <f>AEV11-AEV10</f>
        <v/>
      </c>
      <c r="AEW12" s="16">
        <f>AEW11-AEW10</f>
        <v/>
      </c>
      <c r="AEX12" s="16">
        <f>AEX11-AEX10</f>
        <v/>
      </c>
      <c r="AEY12" s="16">
        <f>AEY11-AEY10</f>
        <v/>
      </c>
      <c r="AEZ12" s="16">
        <f>AEZ11-AEZ10</f>
        <v/>
      </c>
      <c r="AFA12" s="16">
        <f>AFA11-AFA10</f>
        <v/>
      </c>
      <c r="AFB12" s="16">
        <f>AFB11-AFB10</f>
        <v/>
      </c>
      <c r="AFC12" s="16">
        <f>AFC11-AFC10</f>
        <v/>
      </c>
      <c r="AFD12" s="16">
        <f>AFD11-AFD10</f>
        <v/>
      </c>
      <c r="AFE12" s="16">
        <f>AFE11-AFE10</f>
        <v/>
      </c>
      <c r="AFF12" s="16">
        <f>AFF11-AFF10</f>
        <v/>
      </c>
      <c r="AFG12" s="16">
        <f>AFG11-AFG10</f>
        <v/>
      </c>
      <c r="AFH12" s="16">
        <f>AFH11-AFH10</f>
        <v/>
      </c>
      <c r="AFI12" s="16">
        <f>AFI11-AFI10</f>
        <v/>
      </c>
      <c r="AFJ12" s="16">
        <f>AFJ11-AFJ10</f>
        <v/>
      </c>
      <c r="AFK12" s="16">
        <f>AFK11-AFK10</f>
        <v/>
      </c>
      <c r="AFL12" s="16">
        <f>AFL11-AFL10</f>
        <v/>
      </c>
      <c r="AFM12" s="16">
        <f>AFM11-AFM10</f>
        <v/>
      </c>
      <c r="AFN12" s="16">
        <f>AFN11-AFN10</f>
        <v/>
      </c>
      <c r="AFO12" s="16">
        <f>AFO11-AFO10</f>
        <v/>
      </c>
      <c r="AFP12" s="16">
        <f>AFP11-AFP10</f>
        <v/>
      </c>
      <c r="AFQ12" s="16">
        <f>AFQ11-AFQ10</f>
        <v/>
      </c>
      <c r="AFR12" s="16">
        <f>AFR11-AFR10</f>
        <v/>
      </c>
      <c r="AFS12" s="16">
        <f>AFS11-AFS10</f>
        <v/>
      </c>
      <c r="AFT12" s="16">
        <f>AFT11-AFT10</f>
        <v/>
      </c>
      <c r="AFU12" s="127">
        <f>SUM(AEP12:AFT12)</f>
        <v/>
      </c>
      <c r="AFV12" s="16">
        <f>AFV11-AFV10</f>
        <v/>
      </c>
      <c r="AFW12" s="16">
        <f>AFW11-AFW10</f>
        <v/>
      </c>
      <c r="AFX12" s="16">
        <f>AFX11-AFX10</f>
        <v/>
      </c>
      <c r="AFY12" s="16">
        <f>AFY11-AFY10</f>
        <v/>
      </c>
      <c r="AFZ12" s="16">
        <f>AFZ11-AFZ10</f>
        <v/>
      </c>
      <c r="AGA12" s="16">
        <f>AGA11-AGA10</f>
        <v/>
      </c>
      <c r="AGB12" s="16">
        <f>AGB11-AGB10</f>
        <v/>
      </c>
      <c r="AGC12" s="16">
        <f>AGC11-AGC10</f>
        <v/>
      </c>
      <c r="AGD12" s="16">
        <f>AGD11-AGD10</f>
        <v/>
      </c>
      <c r="AGE12" s="16">
        <f>AGE11-AGE10</f>
        <v/>
      </c>
      <c r="AGF12" s="16">
        <f>AGF11-AGF10</f>
        <v/>
      </c>
      <c r="AGG12" s="16">
        <f>AGG11-AGG10</f>
        <v/>
      </c>
      <c r="AGH12" s="16">
        <f>AGH11-AGH10</f>
        <v/>
      </c>
      <c r="AGI12" s="16">
        <f>AGI11-AGI10</f>
        <v/>
      </c>
      <c r="AGJ12" s="16">
        <f>AGJ11-AGJ10</f>
        <v/>
      </c>
      <c r="AGK12" s="16">
        <f>AGK11-AGK10</f>
        <v/>
      </c>
      <c r="AGL12" s="16">
        <f>AGL11-AGL10</f>
        <v/>
      </c>
      <c r="AGM12" s="16">
        <f>AGM11-AGM10</f>
        <v/>
      </c>
      <c r="AGN12" s="16">
        <f>AGN11-AGN10</f>
        <v/>
      </c>
      <c r="AGO12" s="16">
        <f>AGO11-AGO10</f>
        <v/>
      </c>
      <c r="AGP12" s="16">
        <f>AGP11-AGP10</f>
        <v/>
      </c>
      <c r="AGQ12" s="16">
        <f>AGQ11-AGQ10</f>
        <v/>
      </c>
      <c r="AGR12" s="16">
        <f>AGR11-AGR10</f>
        <v/>
      </c>
      <c r="AGS12" s="16">
        <f>AGS11-AGS10</f>
        <v/>
      </c>
      <c r="AGT12" s="16">
        <f>AGT11-AGT10</f>
        <v/>
      </c>
      <c r="AGU12" s="16">
        <f>AGU11-AGU10</f>
        <v/>
      </c>
      <c r="AGV12" s="16">
        <f>AGV11-AGV10</f>
        <v/>
      </c>
      <c r="AGW12" s="16">
        <f>AGW11-AGW10</f>
        <v/>
      </c>
      <c r="AGX12" s="16">
        <f>AGX11-AGX10</f>
        <v/>
      </c>
      <c r="AGY12" s="16">
        <f>AGY11-AGY10</f>
        <v/>
      </c>
      <c r="AGZ12" s="127">
        <f>SUM(AFV12:AGY12)</f>
        <v/>
      </c>
      <c r="AHA12" s="16">
        <f>AHA11-AHA10</f>
        <v/>
      </c>
      <c r="AHB12" s="16">
        <f>AHB11-AHB10</f>
        <v/>
      </c>
      <c r="AHC12" s="16">
        <f>AHC11-AHC10</f>
        <v/>
      </c>
      <c r="AHD12" s="16">
        <f>AHD11-AHD10</f>
        <v/>
      </c>
      <c r="AHE12" s="16">
        <f>AHE11-AHE10</f>
        <v/>
      </c>
      <c r="AHF12" s="16">
        <f>AHF11-AHF10</f>
        <v/>
      </c>
      <c r="AHG12" s="16">
        <f>AHG11-AHG10</f>
        <v/>
      </c>
      <c r="AHH12" s="16">
        <f>AHH11-AHH10</f>
        <v/>
      </c>
      <c r="AHI12" s="16">
        <f>AHI11-AHI10</f>
        <v/>
      </c>
      <c r="AHJ12" s="16">
        <f>AHJ11-AHJ10</f>
        <v/>
      </c>
      <c r="AHK12" s="16">
        <f>AHK11-AHK10</f>
        <v/>
      </c>
      <c r="AHL12" s="16">
        <f>AHL11-AHL10</f>
        <v/>
      </c>
      <c r="AHM12" s="16">
        <f>AHM11-AHM10</f>
        <v/>
      </c>
      <c r="AHN12" s="16">
        <f>AHN11-AHN10</f>
        <v/>
      </c>
      <c r="AHO12" s="16">
        <f>AHO11-AHO10</f>
        <v/>
      </c>
      <c r="AHP12" s="16">
        <f>AHP11-AHP10</f>
        <v/>
      </c>
      <c r="AHQ12" s="16">
        <f>AHQ11-AHQ10</f>
        <v/>
      </c>
      <c r="AHR12" s="16">
        <f>AHR11-AHR10</f>
        <v/>
      </c>
      <c r="AHS12" s="16">
        <f>AHS11-AHS10</f>
        <v/>
      </c>
      <c r="AHT12" s="16">
        <f>AHT11-AHT10</f>
        <v/>
      </c>
      <c r="AHU12" s="16">
        <f>AHU11-AHU10</f>
        <v/>
      </c>
      <c r="AHV12" s="16">
        <f>AHV11-AHV10</f>
        <v/>
      </c>
      <c r="AHW12" s="16">
        <f>AHW11-AHW10</f>
        <v/>
      </c>
      <c r="AHX12" s="16">
        <f>AHX11-AHX10</f>
        <v/>
      </c>
      <c r="AHY12" s="16">
        <f>AHY11-AHY10</f>
        <v/>
      </c>
      <c r="AHZ12" s="16">
        <f>AHZ11-AHZ10</f>
        <v/>
      </c>
      <c r="AIA12" s="16">
        <f>AIA11-AIA10</f>
        <v/>
      </c>
      <c r="AIB12" s="16">
        <f>AIB11-AIB10</f>
        <v/>
      </c>
      <c r="AIC12" s="16">
        <f>AIC11-AIC10</f>
        <v/>
      </c>
      <c r="AID12" s="16">
        <f>AID11-AID10</f>
        <v/>
      </c>
      <c r="AIE12" s="16">
        <f>AIE11-AIE10</f>
        <v/>
      </c>
      <c r="AIF12" s="127">
        <f>SUM(AHA12:AIE12)</f>
        <v/>
      </c>
      <c r="AIG12" s="16">
        <f>AIG11-AIG10</f>
        <v/>
      </c>
      <c r="AIH12" s="16">
        <f>AIH11-AIH10</f>
        <v/>
      </c>
      <c r="AII12" s="16">
        <f>AII11-AII10</f>
        <v/>
      </c>
      <c r="AIJ12" s="16">
        <f>AIJ11-AIJ10</f>
        <v/>
      </c>
      <c r="AIK12" s="16">
        <f>AIK11-AIK10</f>
        <v/>
      </c>
      <c r="AIL12" s="16">
        <f>AIL11-AIL10</f>
        <v/>
      </c>
      <c r="AIM12" s="16">
        <f>AIM11-AIM10</f>
        <v/>
      </c>
      <c r="AIN12" s="16">
        <f>AIN11-AIN10</f>
        <v/>
      </c>
      <c r="AIO12" s="16">
        <f>AIO11-AIO10</f>
        <v/>
      </c>
      <c r="AIP12" s="16">
        <f>AIP11-AIP10</f>
        <v/>
      </c>
      <c r="AIQ12" s="16">
        <f>AIQ11-AIQ10</f>
        <v/>
      </c>
      <c r="AIR12" s="16">
        <f>AIR11-AIR10</f>
        <v/>
      </c>
      <c r="AIS12" s="16">
        <f>AIS11-AIS10</f>
        <v/>
      </c>
      <c r="AIT12" s="16">
        <f>AIT11-AIT10</f>
        <v/>
      </c>
      <c r="AIU12" s="16">
        <f>AIU11-AIU10</f>
        <v/>
      </c>
      <c r="AIV12" s="16">
        <f>AIV11-AIV10</f>
        <v/>
      </c>
      <c r="AIW12" s="16">
        <f>AIW11-AIW10</f>
        <v/>
      </c>
      <c r="AIX12" s="16">
        <f>AIX11-AIX10</f>
        <v/>
      </c>
      <c r="AIY12" s="16">
        <f>AIY11-AIY10</f>
        <v/>
      </c>
      <c r="AIZ12" s="16">
        <f>AIZ11-AIZ10</f>
        <v/>
      </c>
      <c r="AJA12" s="16">
        <f>AJA11-AJA10</f>
        <v/>
      </c>
      <c r="AJB12" s="16">
        <f>AJB11-AJB10</f>
        <v/>
      </c>
      <c r="AJC12" s="16">
        <f>AJC11-AJC10</f>
        <v/>
      </c>
      <c r="AJD12" s="16">
        <f>AJD11-AJD10</f>
        <v/>
      </c>
      <c r="AJE12" s="16">
        <f>AJE11-AJE10</f>
        <v/>
      </c>
      <c r="AJF12" s="16">
        <f>AJF11-AJF10</f>
        <v/>
      </c>
      <c r="AJG12" s="16">
        <f>AJG11-AJG10</f>
        <v/>
      </c>
      <c r="AJH12" s="16">
        <f>AJH11-AJH10</f>
        <v/>
      </c>
      <c r="AJI12" s="16">
        <f>AJI11-AJI10</f>
        <v/>
      </c>
      <c r="AJJ12" s="16">
        <f>AJJ11-AJJ10</f>
        <v/>
      </c>
      <c r="AJK12" s="16">
        <f>AJK11-AJK10</f>
        <v/>
      </c>
      <c r="AJL12" s="127">
        <f>SUM(AIG12:AJK12)</f>
        <v/>
      </c>
      <c r="AJM12" s="16">
        <f>AJM11-AJM10</f>
        <v/>
      </c>
      <c r="AJN12" s="16">
        <f>AJN11-AJN10</f>
        <v/>
      </c>
      <c r="AJO12" s="16">
        <f>AJO11-AJO10</f>
        <v/>
      </c>
      <c r="AJP12" s="16">
        <f>AJP11-AJP10</f>
        <v/>
      </c>
      <c r="AJQ12" s="16">
        <f>AJQ11-AJQ10</f>
        <v/>
      </c>
      <c r="AJR12" s="16">
        <f>AJR11-AJR10</f>
        <v/>
      </c>
      <c r="AJS12" s="16">
        <f>AJS11-AJS10</f>
        <v/>
      </c>
      <c r="AJT12" s="16">
        <f>AJT11-AJT10</f>
        <v/>
      </c>
      <c r="AJU12" s="16">
        <f>AJU11-AJU10</f>
        <v/>
      </c>
      <c r="AJV12" s="16">
        <f>AJV11-AJV10</f>
        <v/>
      </c>
      <c r="AJW12" s="16">
        <f>AJW11-AJW10</f>
        <v/>
      </c>
      <c r="AJX12" s="16">
        <f>AJX11-AJX10</f>
        <v/>
      </c>
      <c r="AJY12" s="16">
        <f>AJY11-AJY10</f>
        <v/>
      </c>
      <c r="AJZ12" s="16">
        <f>AJZ11-AJZ10</f>
        <v/>
      </c>
      <c r="AKA12" s="16">
        <f>AKA11-AKA10</f>
        <v/>
      </c>
      <c r="AKB12" s="16">
        <f>AKB11-AKB10</f>
        <v/>
      </c>
      <c r="AKC12" s="16">
        <f>AKC11-AKC10</f>
        <v/>
      </c>
      <c r="AKD12" s="16">
        <f>AKD11-AKD10</f>
        <v/>
      </c>
      <c r="AKE12" s="16">
        <f>AKE11-AKE10</f>
        <v/>
      </c>
      <c r="AKF12" s="16">
        <f>AKF11-AKF10</f>
        <v/>
      </c>
      <c r="AKG12" s="16">
        <f>AKG11-AKG10</f>
        <v/>
      </c>
      <c r="AKH12" s="16">
        <f>AKH11-AKH10</f>
        <v/>
      </c>
      <c r="AKI12" s="16">
        <f>AKI11-AKI10</f>
        <v/>
      </c>
      <c r="AKJ12" s="16">
        <f>AKJ11-AKJ10</f>
        <v/>
      </c>
      <c r="AKK12" s="16">
        <f>AKK11-AKK10</f>
        <v/>
      </c>
      <c r="AKL12" s="16">
        <f>AKL11-AKL10</f>
        <v/>
      </c>
      <c r="AKM12" s="16">
        <f>AKM11-AKM10</f>
        <v/>
      </c>
      <c r="AKN12" s="16">
        <f>AKN11-AKN10</f>
        <v/>
      </c>
      <c r="AKO12" s="127">
        <f>SUM(AJM12:AKN12)</f>
        <v/>
      </c>
      <c r="AKP12" s="16">
        <f>AKP11-AKP10</f>
        <v/>
      </c>
      <c r="AKQ12" s="16">
        <f>AKQ11-AKQ10</f>
        <v/>
      </c>
      <c r="AKR12" s="16">
        <f>AKR11-AKR10</f>
        <v/>
      </c>
      <c r="AKS12" s="16">
        <f>AKS11-AKS10</f>
        <v/>
      </c>
      <c r="AKT12" s="16">
        <f>AKT11-AKT10</f>
        <v/>
      </c>
      <c r="AKU12" s="16">
        <f>AKU11-AKU10</f>
        <v/>
      </c>
      <c r="AKV12" s="16">
        <f>AKV11-AKV10</f>
        <v/>
      </c>
      <c r="AKW12" s="16">
        <f>AKW11-AKW10</f>
        <v/>
      </c>
      <c r="AKX12" s="16">
        <f>AKX11-AKX10</f>
        <v/>
      </c>
      <c r="AKY12" s="16">
        <f>AKY11-AKY10</f>
        <v/>
      </c>
      <c r="AKZ12" s="16">
        <f>AKZ11-AKZ10</f>
        <v/>
      </c>
      <c r="ALA12" s="16">
        <f>ALA11-ALA10</f>
        <v/>
      </c>
      <c r="ALB12" s="16">
        <f>ALB11-ALB10</f>
        <v/>
      </c>
      <c r="ALC12" s="16">
        <f>ALC11-ALC10</f>
        <v/>
      </c>
      <c r="ALD12" s="16">
        <f>ALD11-ALD10</f>
        <v/>
      </c>
      <c r="ALE12" s="16">
        <f>ALE11-ALE10</f>
        <v/>
      </c>
      <c r="ALF12" s="16">
        <f>ALF11-ALF10</f>
        <v/>
      </c>
      <c r="ALG12" s="16">
        <f>ALG11-ALG10</f>
        <v/>
      </c>
      <c r="ALH12" s="16">
        <f>ALH11-ALH10</f>
        <v/>
      </c>
      <c r="ALI12" s="16">
        <f>ALI11-ALI10</f>
        <v/>
      </c>
      <c r="ALJ12" s="16">
        <f>ALJ11-ALJ10</f>
        <v/>
      </c>
      <c r="ALK12" s="16">
        <f>ALK11-ALK10</f>
        <v/>
      </c>
      <c r="ALL12" s="16">
        <f>ALL11-ALL10</f>
        <v/>
      </c>
      <c r="ALM12" s="16">
        <f>ALM11-ALM10</f>
        <v/>
      </c>
      <c r="ALN12" s="16">
        <f>ALN11-ALN10</f>
        <v/>
      </c>
      <c r="ALO12" s="16">
        <f>ALO11-ALO10</f>
        <v/>
      </c>
      <c r="ALP12" s="16">
        <f>ALP11-ALP10</f>
        <v/>
      </c>
      <c r="ALQ12" s="16">
        <f>ALQ11-ALQ10</f>
        <v/>
      </c>
      <c r="ALR12" s="16">
        <f>ALR11-ALR10</f>
        <v/>
      </c>
      <c r="ALS12" s="16">
        <f>ALS11-ALS10</f>
        <v/>
      </c>
      <c r="ALT12" s="16">
        <f>ALT11-ALT10</f>
        <v/>
      </c>
      <c r="ALU12" s="127">
        <f>SUM(AKP12:ALT12)</f>
        <v/>
      </c>
      <c r="ALV12" s="16">
        <f>ALV11-ALV10</f>
        <v/>
      </c>
      <c r="ALW12" s="16">
        <f>ALW11-ALW10</f>
        <v/>
      </c>
      <c r="ALX12" s="16">
        <f>ALX11-ALX10</f>
        <v/>
      </c>
      <c r="ALY12" s="16">
        <f>ALY11-ALY10</f>
        <v/>
      </c>
      <c r="ALZ12" s="16">
        <f>ALZ11-ALZ10</f>
        <v/>
      </c>
      <c r="AMA12" s="16">
        <f>AMA11-AMA10</f>
        <v/>
      </c>
      <c r="AMB12" s="16">
        <f>AMB11-AMB10</f>
        <v/>
      </c>
      <c r="AMC12" s="16">
        <f>AMC11-AMC10</f>
        <v/>
      </c>
      <c r="AMD12" s="16">
        <f>AMD11-AMD10</f>
        <v/>
      </c>
      <c r="AME12" s="16">
        <f>AME11-AME10</f>
        <v/>
      </c>
      <c r="AMF12" s="16">
        <f>AMF11-AMF10</f>
        <v/>
      </c>
      <c r="AMG12" s="16">
        <f>AMG11-AMG10</f>
        <v/>
      </c>
      <c r="AMH12" s="16">
        <f>AMH11-AMH10</f>
        <v/>
      </c>
      <c r="AMI12" s="16">
        <f>AMI11-AMI10</f>
        <v/>
      </c>
      <c r="AMJ12" s="16">
        <f>AMJ11-AMJ10</f>
        <v/>
      </c>
      <c r="AMK12" s="16">
        <f>AMK11-AMK10</f>
        <v/>
      </c>
      <c r="AML12" s="16">
        <f>AML11-AML10</f>
        <v/>
      </c>
      <c r="AMM12" s="16">
        <f>AMM11-AMM10</f>
        <v/>
      </c>
      <c r="AMN12" s="16">
        <f>AMN11-AMN10</f>
        <v/>
      </c>
      <c r="AMO12" s="16">
        <f>AMO11-AMO10</f>
        <v/>
      </c>
      <c r="AMP12" s="16">
        <f>AMP11-AMP10</f>
        <v/>
      </c>
      <c r="AMQ12" s="16">
        <f>AMQ11-AMQ10</f>
        <v/>
      </c>
      <c r="AMR12" s="16">
        <f>AMR11-AMR10</f>
        <v/>
      </c>
      <c r="AMS12" s="16">
        <f>AMS11-AMS10</f>
        <v/>
      </c>
      <c r="AMT12" s="16">
        <f>AMT11-AMT10</f>
        <v/>
      </c>
      <c r="AMU12" s="16">
        <f>AMU11-AMU10</f>
        <v/>
      </c>
      <c r="AMV12" s="16">
        <f>AMV11-AMV10</f>
        <v/>
      </c>
      <c r="AMW12" s="16">
        <f>AMW11-AMW10</f>
        <v/>
      </c>
      <c r="AMX12" s="16">
        <f>AMX11-AMX10</f>
        <v/>
      </c>
      <c r="AMY12" s="16">
        <f>AMY11-AMY10</f>
        <v/>
      </c>
      <c r="AMZ12" s="127">
        <f>SUM(ALV12:AMY12)</f>
        <v/>
      </c>
      <c r="ANA12" s="16">
        <f>ANA11-ANA10</f>
        <v/>
      </c>
      <c r="ANB12" s="16">
        <f>ANB11-ANB10</f>
        <v/>
      </c>
      <c r="ANC12" s="16">
        <f>ANC11-ANC10</f>
        <v/>
      </c>
      <c r="AND12" s="16">
        <f>AND11-AND10</f>
        <v/>
      </c>
      <c r="ANE12" s="16">
        <f>ANE11-ANE10</f>
        <v/>
      </c>
      <c r="ANF12" s="16">
        <f>ANF11-ANF10</f>
        <v/>
      </c>
      <c r="ANG12" s="16">
        <f>ANG11-ANG10</f>
        <v/>
      </c>
      <c r="ANH12" s="16">
        <f>ANH11-ANH10</f>
        <v/>
      </c>
      <c r="ANI12" s="16">
        <f>ANI11-ANI10</f>
        <v/>
      </c>
      <c r="ANJ12" s="16">
        <f>ANJ11-ANJ10</f>
        <v/>
      </c>
      <c r="ANK12" s="16">
        <f>ANK11-ANK10</f>
        <v/>
      </c>
      <c r="ANL12" s="16">
        <f>ANL11-ANL10</f>
        <v/>
      </c>
      <c r="ANM12" s="16">
        <f>ANM11-ANM10</f>
        <v/>
      </c>
      <c r="ANN12" s="16">
        <f>ANN11-ANN10</f>
        <v/>
      </c>
      <c r="ANO12" s="16">
        <f>ANO11-ANO10</f>
        <v/>
      </c>
      <c r="ANP12" s="16">
        <f>ANP11-ANP10</f>
        <v/>
      </c>
      <c r="ANQ12" s="16">
        <f>ANQ11-ANQ10</f>
        <v/>
      </c>
      <c r="ANR12" s="16">
        <f>ANR11-ANR10</f>
        <v/>
      </c>
      <c r="ANS12" s="16">
        <f>ANS11-ANS10</f>
        <v/>
      </c>
      <c r="ANT12" s="16">
        <f>ANT11-ANT10</f>
        <v/>
      </c>
      <c r="ANU12" s="16">
        <f>ANU11-ANU10</f>
        <v/>
      </c>
      <c r="ANV12" s="16">
        <f>ANV11-ANV10</f>
        <v/>
      </c>
      <c r="ANW12" s="16">
        <f>ANW11-ANW10</f>
        <v/>
      </c>
      <c r="ANX12" s="16">
        <f>ANX11-ANX10</f>
        <v/>
      </c>
      <c r="ANY12" s="16">
        <f>ANY11-ANY10</f>
        <v/>
      </c>
      <c r="ANZ12" s="16">
        <f>ANZ11-ANZ10</f>
        <v/>
      </c>
      <c r="AOA12" s="16">
        <f>AOA11-AOA10</f>
        <v/>
      </c>
      <c r="AOB12" s="16">
        <f>AOB11-AOB10</f>
        <v/>
      </c>
      <c r="AOC12" s="16">
        <f>AOC11-AOC10</f>
        <v/>
      </c>
      <c r="AOD12" s="16">
        <f>AOD11-AOD10</f>
        <v/>
      </c>
      <c r="AOE12">
        <f>AOE11-AOE10</f>
        <v/>
      </c>
    </row>
    <row r="13">
      <c r="A13" s="157" t="n"/>
      <c r="B13" s="159" t="inlineStr">
        <is>
          <t>PMS 4</t>
        </is>
      </c>
      <c r="C13" s="47" t="inlineStr">
        <is>
          <t>OPENING</t>
        </is>
      </c>
      <c r="D13" s="48" t="n">
        <v>188169.273</v>
      </c>
      <c r="E13" s="48">
        <f>D14</f>
        <v/>
      </c>
      <c r="F13" s="48">
        <f>E14</f>
        <v/>
      </c>
      <c r="G13" s="48">
        <f>F14</f>
        <v/>
      </c>
      <c r="H13" s="48">
        <f>G14</f>
        <v/>
      </c>
      <c r="I13" s="48">
        <f>H14</f>
        <v/>
      </c>
      <c r="J13" s="48">
        <f>I14</f>
        <v/>
      </c>
      <c r="K13" s="48">
        <f>J14</f>
        <v/>
      </c>
      <c r="L13" s="48">
        <f>K14</f>
        <v/>
      </c>
      <c r="M13" s="48">
        <f>L14</f>
        <v/>
      </c>
      <c r="N13" s="48">
        <f>M14</f>
        <v/>
      </c>
      <c r="O13" s="48">
        <f>N14</f>
        <v/>
      </c>
      <c r="P13" s="48">
        <f>O14</f>
        <v/>
      </c>
      <c r="Q13" s="48">
        <f>P14</f>
        <v/>
      </c>
      <c r="R13" s="48">
        <f>Q14</f>
        <v/>
      </c>
      <c r="S13" s="48">
        <f>R14</f>
        <v/>
      </c>
      <c r="T13" s="48">
        <f>S14</f>
        <v/>
      </c>
      <c r="U13" s="48">
        <f>T14</f>
        <v/>
      </c>
      <c r="V13" s="48">
        <f>U14</f>
        <v/>
      </c>
      <c r="W13" s="48">
        <f>V14</f>
        <v/>
      </c>
      <c r="X13" s="48">
        <f>W14</f>
        <v/>
      </c>
      <c r="Y13" s="48">
        <f>X14</f>
        <v/>
      </c>
      <c r="Z13" s="48">
        <f>Y14</f>
        <v/>
      </c>
      <c r="AA13" s="48">
        <f>Z14</f>
        <v/>
      </c>
      <c r="AB13" s="48">
        <f>AA14</f>
        <v/>
      </c>
      <c r="AC13" s="48">
        <f>AB14</f>
        <v/>
      </c>
      <c r="AD13" s="48">
        <f>AC14</f>
        <v/>
      </c>
      <c r="AE13" s="48">
        <f>AD14</f>
        <v/>
      </c>
      <c r="AF13" s="48">
        <f>AE14</f>
        <v/>
      </c>
      <c r="AG13" s="48">
        <f>AF14</f>
        <v/>
      </c>
      <c r="AH13" s="48">
        <f>AG14</f>
        <v/>
      </c>
      <c r="AI13" s="49" t="n"/>
      <c r="AJ13" s="89">
        <f>AH14</f>
        <v/>
      </c>
      <c r="AK13" s="89">
        <f>AJ14</f>
        <v/>
      </c>
      <c r="AL13" s="89">
        <f>AK14</f>
        <v/>
      </c>
      <c r="AM13" s="89">
        <f>AL14</f>
        <v/>
      </c>
      <c r="AN13" s="89">
        <f>AM14</f>
        <v/>
      </c>
      <c r="AO13" s="89">
        <f>AN14</f>
        <v/>
      </c>
      <c r="AP13" s="89">
        <f>AO14</f>
        <v/>
      </c>
      <c r="AQ13" s="89">
        <f>AP14</f>
        <v/>
      </c>
      <c r="AR13" s="89">
        <f>AQ14</f>
        <v/>
      </c>
      <c r="AS13" s="89">
        <f>AR14</f>
        <v/>
      </c>
      <c r="AT13" s="89">
        <f>AS14</f>
        <v/>
      </c>
      <c r="AU13" s="89">
        <f>AT14</f>
        <v/>
      </c>
      <c r="AV13" s="89">
        <f>AU14</f>
        <v/>
      </c>
      <c r="AW13" s="89">
        <f>AV14</f>
        <v/>
      </c>
      <c r="AX13" s="89">
        <f>AW14</f>
        <v/>
      </c>
      <c r="AY13" s="89">
        <f>AX14</f>
        <v/>
      </c>
      <c r="AZ13" s="89">
        <f>AY14</f>
        <v/>
      </c>
      <c r="BA13" s="89">
        <f>AZ14</f>
        <v/>
      </c>
      <c r="BB13" s="89">
        <f>BA14</f>
        <v/>
      </c>
      <c r="BC13" s="89">
        <f>BB14</f>
        <v/>
      </c>
      <c r="BD13" s="89">
        <f>BC14</f>
        <v/>
      </c>
      <c r="BE13" s="89">
        <f>BD14</f>
        <v/>
      </c>
      <c r="BF13" s="89">
        <f>BE14</f>
        <v/>
      </c>
      <c r="BG13" s="89">
        <f>BF14</f>
        <v/>
      </c>
      <c r="BH13" s="89">
        <f>BG14</f>
        <v/>
      </c>
      <c r="BI13" s="89">
        <f>BH14</f>
        <v/>
      </c>
      <c r="BJ13" s="89">
        <f>BI14</f>
        <v/>
      </c>
      <c r="BK13" s="89">
        <f>BJ14</f>
        <v/>
      </c>
      <c r="BL13" s="89">
        <f>BK14</f>
        <v/>
      </c>
      <c r="BM13" s="89">
        <f>BL14</f>
        <v/>
      </c>
      <c r="BO13" s="89">
        <f>BM14</f>
        <v/>
      </c>
      <c r="BP13" s="89">
        <f>BO14</f>
        <v/>
      </c>
      <c r="BQ13" s="89">
        <f>BP14</f>
        <v/>
      </c>
      <c r="BR13" s="89">
        <f>BQ14</f>
        <v/>
      </c>
      <c r="BS13" s="89">
        <f>BR14</f>
        <v/>
      </c>
      <c r="BT13" s="89">
        <f>BS14</f>
        <v/>
      </c>
      <c r="BU13" s="89">
        <f>BT14</f>
        <v/>
      </c>
      <c r="BV13" s="89">
        <f>BU14</f>
        <v/>
      </c>
      <c r="BW13" s="89">
        <f>BV14</f>
        <v/>
      </c>
      <c r="BX13" s="89">
        <f>BW14</f>
        <v/>
      </c>
      <c r="BY13" s="89">
        <f>BX14</f>
        <v/>
      </c>
      <c r="BZ13" s="89">
        <f>BY14</f>
        <v/>
      </c>
      <c r="CA13" s="89">
        <f>BZ14</f>
        <v/>
      </c>
      <c r="CB13" s="89">
        <f>CA14</f>
        <v/>
      </c>
      <c r="CC13" s="89">
        <f>CB14</f>
        <v/>
      </c>
      <c r="CD13" s="89">
        <f>CC14</f>
        <v/>
      </c>
      <c r="CE13" s="89">
        <f>CD14</f>
        <v/>
      </c>
      <c r="CF13" s="89">
        <f>CE14</f>
        <v/>
      </c>
      <c r="CG13" s="89">
        <f>CF14</f>
        <v/>
      </c>
      <c r="CH13" s="89">
        <f>CG14</f>
        <v/>
      </c>
      <c r="CI13" s="89">
        <f>CH14</f>
        <v/>
      </c>
      <c r="CJ13" s="89">
        <f>CI14</f>
        <v/>
      </c>
      <c r="CK13" s="89">
        <f>CJ14</f>
        <v/>
      </c>
      <c r="CL13" s="89">
        <f>CK14</f>
        <v/>
      </c>
      <c r="CM13" s="89">
        <f>CL14</f>
        <v/>
      </c>
      <c r="CN13" s="89">
        <f>CM14</f>
        <v/>
      </c>
      <c r="CO13" s="89">
        <f>CN14</f>
        <v/>
      </c>
      <c r="CP13" s="89">
        <f>CO14</f>
        <v/>
      </c>
      <c r="CQ13" s="89">
        <f>CP14</f>
        <v/>
      </c>
      <c r="CR13" s="89">
        <f>CQ14</f>
        <v/>
      </c>
      <c r="CS13" s="89">
        <f>CR14</f>
        <v/>
      </c>
      <c r="CU13" s="89">
        <f>CS14</f>
        <v/>
      </c>
      <c r="CV13" s="89">
        <f>CU14</f>
        <v/>
      </c>
      <c r="CW13" s="89">
        <f>CV14</f>
        <v/>
      </c>
      <c r="CX13" s="89">
        <f>CW14</f>
        <v/>
      </c>
      <c r="CY13" s="89">
        <f>CX14</f>
        <v/>
      </c>
      <c r="CZ13" s="89">
        <f>CY14</f>
        <v/>
      </c>
      <c r="DA13" s="89">
        <f>CZ14</f>
        <v/>
      </c>
      <c r="DB13" s="89">
        <f>DA14</f>
        <v/>
      </c>
      <c r="DC13" s="89">
        <f>DB14</f>
        <v/>
      </c>
      <c r="DD13" s="89">
        <f>DC14</f>
        <v/>
      </c>
      <c r="DE13" s="89">
        <f>DD14</f>
        <v/>
      </c>
      <c r="DF13" s="89">
        <f>DE14</f>
        <v/>
      </c>
      <c r="DG13" s="89">
        <f>DF14</f>
        <v/>
      </c>
      <c r="DH13" s="89">
        <f>DG14</f>
        <v/>
      </c>
      <c r="DI13" s="89">
        <f>DH14</f>
        <v/>
      </c>
      <c r="DJ13" s="89">
        <f>DI14</f>
        <v/>
      </c>
      <c r="DK13" s="89">
        <f>DJ14</f>
        <v/>
      </c>
      <c r="DL13" s="89">
        <f>DK14</f>
        <v/>
      </c>
      <c r="DM13" s="89">
        <f>DL14</f>
        <v/>
      </c>
      <c r="DN13" s="89">
        <f>DM14</f>
        <v/>
      </c>
      <c r="DO13" s="89">
        <f>DN14</f>
        <v/>
      </c>
      <c r="DP13" s="89">
        <f>DO14</f>
        <v/>
      </c>
      <c r="DQ13" s="89">
        <f>DP14</f>
        <v/>
      </c>
      <c r="DR13" s="89">
        <f>DQ14</f>
        <v/>
      </c>
      <c r="DS13" s="89">
        <f>DR14</f>
        <v/>
      </c>
      <c r="DT13" s="89">
        <f>DS14</f>
        <v/>
      </c>
      <c r="DU13" s="89">
        <f>DT14</f>
        <v/>
      </c>
      <c r="DV13" s="89">
        <f>DU14</f>
        <v/>
      </c>
      <c r="DW13" s="89">
        <f>DV14</f>
        <v/>
      </c>
      <c r="DX13" s="89">
        <f>DW14</f>
        <v/>
      </c>
      <c r="DY13" s="117" t="n"/>
      <c r="DZ13" s="89">
        <f>DX14</f>
        <v/>
      </c>
      <c r="EA13" s="89">
        <f>DZ14</f>
        <v/>
      </c>
      <c r="EB13" s="89">
        <f>EA14</f>
        <v/>
      </c>
      <c r="EC13" s="89">
        <f>EB14</f>
        <v/>
      </c>
      <c r="ED13" s="89">
        <f>EC14</f>
        <v/>
      </c>
      <c r="EE13" s="89">
        <f>ED14</f>
        <v/>
      </c>
      <c r="EF13" s="89">
        <f>EE14</f>
        <v/>
      </c>
      <c r="EG13" s="89">
        <f>EF14</f>
        <v/>
      </c>
      <c r="EH13" s="89">
        <f>EG14</f>
        <v/>
      </c>
      <c r="EI13" s="89">
        <f>EH14</f>
        <v/>
      </c>
      <c r="EJ13" s="89">
        <f>EI14</f>
        <v/>
      </c>
      <c r="EK13" s="89">
        <f>EJ14</f>
        <v/>
      </c>
      <c r="EL13" s="89">
        <f>EK14</f>
        <v/>
      </c>
      <c r="EM13" s="89">
        <f>EL14</f>
        <v/>
      </c>
      <c r="EN13" s="89">
        <f>EM14</f>
        <v/>
      </c>
      <c r="EO13" s="89">
        <f>EN14</f>
        <v/>
      </c>
      <c r="EP13" s="89">
        <f>EO14</f>
        <v/>
      </c>
      <c r="EQ13" s="89">
        <f>EP14</f>
        <v/>
      </c>
      <c r="ER13" s="89">
        <f>EQ14</f>
        <v/>
      </c>
      <c r="ES13" s="89">
        <f>ER14</f>
        <v/>
      </c>
      <c r="ET13" s="89">
        <f>ES14</f>
        <v/>
      </c>
      <c r="EU13" s="89">
        <f>ET14</f>
        <v/>
      </c>
      <c r="EV13" s="89">
        <f>EU14</f>
        <v/>
      </c>
      <c r="EW13" s="89">
        <f>EV14</f>
        <v/>
      </c>
      <c r="EX13" s="89">
        <f>EW14</f>
        <v/>
      </c>
      <c r="EY13" s="89">
        <f>EX14</f>
        <v/>
      </c>
      <c r="EZ13" s="89">
        <f>EY14</f>
        <v/>
      </c>
      <c r="FA13" s="89">
        <f>EZ14</f>
        <v/>
      </c>
      <c r="FB13" s="89">
        <f>FA14</f>
        <v/>
      </c>
      <c r="FC13" s="89">
        <f>FB14</f>
        <v/>
      </c>
      <c r="FD13" s="89">
        <f>FC14</f>
        <v/>
      </c>
      <c r="FE13" s="126" t="n"/>
      <c r="FF13" s="89">
        <f>FD14</f>
        <v/>
      </c>
      <c r="FG13" s="89">
        <f>FF14</f>
        <v/>
      </c>
      <c r="FH13" s="89">
        <f>FG14</f>
        <v/>
      </c>
      <c r="FI13" s="89">
        <f>FH14</f>
        <v/>
      </c>
      <c r="FJ13" s="89">
        <f>FI14</f>
        <v/>
      </c>
      <c r="FK13" s="89">
        <f>FJ14</f>
        <v/>
      </c>
      <c r="FL13" s="89">
        <f>FK14</f>
        <v/>
      </c>
      <c r="FM13" s="89">
        <f>FL14</f>
        <v/>
      </c>
      <c r="FN13" s="89">
        <f>FM14</f>
        <v/>
      </c>
      <c r="FO13" s="89">
        <f>FN14</f>
        <v/>
      </c>
      <c r="FP13" s="89">
        <f>FO14</f>
        <v/>
      </c>
      <c r="FQ13" s="89">
        <f>FP14</f>
        <v/>
      </c>
      <c r="FR13" s="89">
        <f>FQ14</f>
        <v/>
      </c>
      <c r="FS13" s="89">
        <f>FR14</f>
        <v/>
      </c>
      <c r="FT13" s="89">
        <f>FS14</f>
        <v/>
      </c>
      <c r="FU13" s="89">
        <f>FT14</f>
        <v/>
      </c>
      <c r="FV13" s="89">
        <f>FU14</f>
        <v/>
      </c>
      <c r="FW13" s="89">
        <f>FV14</f>
        <v/>
      </c>
      <c r="FX13" s="89">
        <f>FW14</f>
        <v/>
      </c>
      <c r="FY13" s="89">
        <f>FX14</f>
        <v/>
      </c>
      <c r="FZ13" s="89">
        <f>FY14</f>
        <v/>
      </c>
      <c r="GA13" s="89">
        <f>FZ14</f>
        <v/>
      </c>
      <c r="GB13" s="89">
        <f>GA14</f>
        <v/>
      </c>
      <c r="GC13" s="89">
        <f>GB14</f>
        <v/>
      </c>
      <c r="GD13" s="89">
        <f>GC14</f>
        <v/>
      </c>
      <c r="GE13" s="89">
        <f>GD14</f>
        <v/>
      </c>
      <c r="GF13" s="89">
        <f>GE14</f>
        <v/>
      </c>
      <c r="GG13" s="89">
        <f>GF14</f>
        <v/>
      </c>
      <c r="GH13" s="89">
        <f>GG14</f>
        <v/>
      </c>
      <c r="GI13" s="89">
        <f>GH14</f>
        <v/>
      </c>
      <c r="GJ13" s="89">
        <f>GI14</f>
        <v/>
      </c>
      <c r="GK13" s="127">
        <f>SUM(FF13:GJ13)</f>
        <v/>
      </c>
      <c r="GL13" s="89">
        <f>GJ14</f>
        <v/>
      </c>
      <c r="GM13">
        <f>GL14</f>
        <v/>
      </c>
      <c r="GN13">
        <f>GM14</f>
        <v/>
      </c>
      <c r="GO13">
        <f>GN14</f>
        <v/>
      </c>
      <c r="GP13">
        <f>GO14</f>
        <v/>
      </c>
      <c r="GQ13">
        <f>GP14</f>
        <v/>
      </c>
      <c r="GR13">
        <f>GQ14</f>
        <v/>
      </c>
      <c r="GS13">
        <f>GR14</f>
        <v/>
      </c>
      <c r="GT13">
        <f>GS14</f>
        <v/>
      </c>
      <c r="GU13">
        <f>GT14</f>
        <v/>
      </c>
      <c r="GV13">
        <f>GU14</f>
        <v/>
      </c>
      <c r="GW13">
        <f>GV14</f>
        <v/>
      </c>
      <c r="GX13">
        <f>GW14</f>
        <v/>
      </c>
      <c r="GY13">
        <f>GX14</f>
        <v/>
      </c>
      <c r="GZ13">
        <f>GY14</f>
        <v/>
      </c>
      <c r="HA13">
        <f>GZ14</f>
        <v/>
      </c>
      <c r="HB13">
        <f>HA14</f>
        <v/>
      </c>
      <c r="HC13">
        <f>HB14</f>
        <v/>
      </c>
      <c r="HD13">
        <f>HC14</f>
        <v/>
      </c>
      <c r="HE13">
        <f>HD14</f>
        <v/>
      </c>
      <c r="HF13">
        <f>HE14</f>
        <v/>
      </c>
      <c r="HG13">
        <f>HF14</f>
        <v/>
      </c>
      <c r="HH13">
        <f>HG14</f>
        <v/>
      </c>
      <c r="HI13">
        <f>HH14</f>
        <v/>
      </c>
      <c r="HJ13">
        <f>HI14</f>
        <v/>
      </c>
      <c r="HK13">
        <f>HJ14</f>
        <v/>
      </c>
      <c r="HL13">
        <f>HK14</f>
        <v/>
      </c>
      <c r="HM13">
        <f>HL14</f>
        <v/>
      </c>
      <c r="HN13">
        <f>HM14</f>
        <v/>
      </c>
      <c r="HO13" s="127">
        <f>SUM(GL13:HN13)</f>
        <v/>
      </c>
      <c r="HP13" s="89">
        <f>HN14</f>
        <v/>
      </c>
      <c r="HQ13" s="89">
        <f>HP14</f>
        <v/>
      </c>
      <c r="HR13" s="89">
        <f>HQ14</f>
        <v/>
      </c>
      <c r="HS13" s="89">
        <f>HR14</f>
        <v/>
      </c>
      <c r="HT13" s="89">
        <f>HS14</f>
        <v/>
      </c>
      <c r="HU13" s="89">
        <f>HT14</f>
        <v/>
      </c>
      <c r="HV13" s="89">
        <f>HU14</f>
        <v/>
      </c>
      <c r="HW13" s="89">
        <f>HV14</f>
        <v/>
      </c>
      <c r="HX13" s="89">
        <f>HW14</f>
        <v/>
      </c>
      <c r="HY13" s="89">
        <f>HX14</f>
        <v/>
      </c>
      <c r="HZ13" s="89">
        <f>HY14</f>
        <v/>
      </c>
      <c r="IA13" s="89">
        <f>HZ14</f>
        <v/>
      </c>
      <c r="IB13" s="89">
        <f>IA14</f>
        <v/>
      </c>
      <c r="IC13" s="89">
        <f>IB14</f>
        <v/>
      </c>
      <c r="ID13" s="89">
        <f>IC14</f>
        <v/>
      </c>
      <c r="IE13" s="89">
        <f>ID14</f>
        <v/>
      </c>
      <c r="IF13" s="89">
        <f>IE14</f>
        <v/>
      </c>
      <c r="IG13" s="89">
        <f>IF14</f>
        <v/>
      </c>
      <c r="IH13" s="89">
        <f>IG14</f>
        <v/>
      </c>
      <c r="II13" s="89">
        <f>IH14</f>
        <v/>
      </c>
      <c r="IJ13" s="89">
        <f>II14</f>
        <v/>
      </c>
      <c r="IK13" s="89">
        <f>IJ14</f>
        <v/>
      </c>
      <c r="IL13" s="89">
        <f>IK14</f>
        <v/>
      </c>
      <c r="IM13" s="89">
        <f>IL14</f>
        <v/>
      </c>
      <c r="IN13" s="89">
        <f>IM14</f>
        <v/>
      </c>
      <c r="IO13" s="89">
        <f>IN14</f>
        <v/>
      </c>
      <c r="IP13" s="89">
        <f>IO14</f>
        <v/>
      </c>
      <c r="IQ13" s="89">
        <f>IP14</f>
        <v/>
      </c>
      <c r="IR13" s="89">
        <f>IQ14</f>
        <v/>
      </c>
      <c r="IS13" s="89">
        <f>IR14</f>
        <v/>
      </c>
      <c r="IT13" s="89">
        <f>IS14</f>
        <v/>
      </c>
      <c r="IU13" s="127">
        <f>SUM(HP13:IT13)</f>
        <v/>
      </c>
      <c r="IV13" s="89">
        <f>IT14</f>
        <v/>
      </c>
      <c r="IW13" s="89">
        <f>IV14</f>
        <v/>
      </c>
      <c r="IX13" s="89">
        <f>IW14</f>
        <v/>
      </c>
      <c r="IY13" s="89">
        <f>IX14</f>
        <v/>
      </c>
      <c r="IZ13" s="89">
        <f>IY14</f>
        <v/>
      </c>
      <c r="JA13" s="89">
        <f>IZ14</f>
        <v/>
      </c>
      <c r="JB13" s="89">
        <f>JA14</f>
        <v/>
      </c>
      <c r="JC13" s="89">
        <f>JB14</f>
        <v/>
      </c>
      <c r="JD13" s="89">
        <f>JC14</f>
        <v/>
      </c>
      <c r="JE13" s="89">
        <f>JD14</f>
        <v/>
      </c>
      <c r="JF13" s="89">
        <f>JE14</f>
        <v/>
      </c>
      <c r="JG13" s="89">
        <f>JF14</f>
        <v/>
      </c>
      <c r="JH13" s="89">
        <f>JG14</f>
        <v/>
      </c>
      <c r="JI13" s="89">
        <f>JH14</f>
        <v/>
      </c>
      <c r="JJ13" s="89">
        <f>JI14</f>
        <v/>
      </c>
      <c r="JK13" s="89">
        <f>JJ14</f>
        <v/>
      </c>
      <c r="JL13" s="89">
        <f>JK14</f>
        <v/>
      </c>
      <c r="JM13" s="89">
        <f>JL14</f>
        <v/>
      </c>
      <c r="JN13" s="89">
        <f>JM14</f>
        <v/>
      </c>
      <c r="JO13" s="89">
        <f>JN14</f>
        <v/>
      </c>
      <c r="JP13" s="89">
        <f>JO14</f>
        <v/>
      </c>
      <c r="JQ13" s="89">
        <f>JP14</f>
        <v/>
      </c>
      <c r="JR13" s="89">
        <f>JQ14</f>
        <v/>
      </c>
      <c r="JS13" s="89">
        <f>JR14</f>
        <v/>
      </c>
      <c r="JT13" s="89">
        <f>JS14</f>
        <v/>
      </c>
      <c r="JU13" s="89">
        <f>JT14</f>
        <v/>
      </c>
      <c r="JV13" s="89">
        <f>JU14</f>
        <v/>
      </c>
      <c r="JW13" s="89">
        <f>JV14</f>
        <v/>
      </c>
      <c r="JX13" s="89">
        <f>JW14</f>
        <v/>
      </c>
      <c r="JY13" s="89">
        <f>JX14</f>
        <v/>
      </c>
      <c r="JZ13" s="127" t="n">
        <v>0</v>
      </c>
      <c r="KA13" s="89">
        <f>JY14</f>
        <v/>
      </c>
      <c r="KB13" s="89">
        <f>KA14</f>
        <v/>
      </c>
      <c r="KC13" s="89">
        <f>KB14</f>
        <v/>
      </c>
      <c r="KD13" s="89">
        <f>KC14</f>
        <v/>
      </c>
      <c r="KE13" s="89">
        <f>KD14</f>
        <v/>
      </c>
      <c r="KF13" s="89">
        <f>KE14</f>
        <v/>
      </c>
      <c r="KG13" s="89">
        <f>KF14</f>
        <v/>
      </c>
      <c r="KH13" s="89">
        <f>KG14</f>
        <v/>
      </c>
      <c r="KI13" s="89">
        <f>KH14</f>
        <v/>
      </c>
      <c r="KJ13" s="89">
        <f>KI14</f>
        <v/>
      </c>
      <c r="KK13" s="89">
        <f>KJ14</f>
        <v/>
      </c>
      <c r="KL13" s="89">
        <f>KK14</f>
        <v/>
      </c>
      <c r="KM13" s="89">
        <f>KL14</f>
        <v/>
      </c>
      <c r="KN13" s="89">
        <f>KM14</f>
        <v/>
      </c>
      <c r="KO13" s="89">
        <f>KN14</f>
        <v/>
      </c>
      <c r="KP13" s="89">
        <f>KO14</f>
        <v/>
      </c>
      <c r="KQ13" s="89">
        <f>KP14</f>
        <v/>
      </c>
      <c r="KR13" s="89">
        <f>KQ14</f>
        <v/>
      </c>
      <c r="KS13" s="89">
        <f>KR14</f>
        <v/>
      </c>
      <c r="KT13" s="89">
        <f>KS14</f>
        <v/>
      </c>
      <c r="KU13" s="89">
        <f>KT14</f>
        <v/>
      </c>
      <c r="KV13" s="89">
        <f>KU14</f>
        <v/>
      </c>
      <c r="KW13" s="89">
        <f>KV14</f>
        <v/>
      </c>
      <c r="KX13" s="89">
        <f>KW14</f>
        <v/>
      </c>
      <c r="KY13" s="89">
        <f>KX14</f>
        <v/>
      </c>
      <c r="KZ13" s="89">
        <f>KY14</f>
        <v/>
      </c>
      <c r="LA13" s="89">
        <f>KZ14</f>
        <v/>
      </c>
      <c r="LB13" s="89">
        <f>LA14</f>
        <v/>
      </c>
      <c r="LC13" s="89">
        <f>LB14</f>
        <v/>
      </c>
      <c r="LD13" s="89">
        <f>LC14</f>
        <v/>
      </c>
      <c r="LE13" s="89">
        <f>LD14</f>
        <v/>
      </c>
      <c r="LF13" s="127" t="n">
        <v>0</v>
      </c>
      <c r="LG13" s="89">
        <f>LE14</f>
        <v/>
      </c>
      <c r="LH13" s="89">
        <f>LG14</f>
        <v/>
      </c>
      <c r="LI13" s="89">
        <f>LH14</f>
        <v/>
      </c>
      <c r="LJ13" s="89">
        <f>LI14</f>
        <v/>
      </c>
      <c r="LK13" s="89">
        <f>LJ14</f>
        <v/>
      </c>
      <c r="LL13" s="89">
        <f>LK14</f>
        <v/>
      </c>
      <c r="LM13" s="89">
        <f>LL14</f>
        <v/>
      </c>
      <c r="LN13" s="89">
        <f>LM14</f>
        <v/>
      </c>
      <c r="LO13" s="89">
        <f>LN14</f>
        <v/>
      </c>
      <c r="LP13" s="89">
        <f>LO14</f>
        <v/>
      </c>
      <c r="LQ13" s="89">
        <f>LP14</f>
        <v/>
      </c>
      <c r="LR13" s="89">
        <f>LQ14</f>
        <v/>
      </c>
      <c r="LS13" s="89">
        <f>LR14</f>
        <v/>
      </c>
      <c r="LT13" s="89">
        <f>LS14</f>
        <v/>
      </c>
      <c r="LU13" s="89">
        <f>LT14</f>
        <v/>
      </c>
      <c r="LV13" s="89">
        <f>LU14</f>
        <v/>
      </c>
      <c r="LW13" s="89">
        <f>LV14</f>
        <v/>
      </c>
      <c r="LX13" s="89">
        <f>LW14</f>
        <v/>
      </c>
      <c r="LY13" s="89">
        <f>LX14</f>
        <v/>
      </c>
      <c r="LZ13" s="89">
        <f>LY14</f>
        <v/>
      </c>
      <c r="MA13" s="89">
        <f>LZ14</f>
        <v/>
      </c>
      <c r="MB13" s="89">
        <f>MA14</f>
        <v/>
      </c>
      <c r="MC13" s="89">
        <f>MB14</f>
        <v/>
      </c>
      <c r="MD13" s="89">
        <f>MC14</f>
        <v/>
      </c>
      <c r="ME13" s="89">
        <f>MD14</f>
        <v/>
      </c>
      <c r="MF13" s="89">
        <f>ME14</f>
        <v/>
      </c>
      <c r="MG13" s="89">
        <f>MF14</f>
        <v/>
      </c>
      <c r="MH13" s="89">
        <f>MG14</f>
        <v/>
      </c>
      <c r="MI13" s="89">
        <f>MH14</f>
        <v/>
      </c>
      <c r="MJ13" s="89">
        <f>MI14</f>
        <v/>
      </c>
      <c r="MK13" s="127" t="n">
        <v>0</v>
      </c>
      <c r="ML13" s="89">
        <f>MJ14</f>
        <v/>
      </c>
      <c r="MM13" s="89">
        <f>ML14</f>
        <v/>
      </c>
      <c r="MN13" s="89">
        <f>MM14</f>
        <v/>
      </c>
      <c r="MO13" s="89">
        <f>MN14</f>
        <v/>
      </c>
      <c r="MP13" s="89">
        <f>MO14</f>
        <v/>
      </c>
      <c r="MQ13" s="89">
        <f>MP14</f>
        <v/>
      </c>
      <c r="MR13" s="89">
        <f>MQ14</f>
        <v/>
      </c>
      <c r="MS13" s="89">
        <f>MR14</f>
        <v/>
      </c>
      <c r="MT13" s="89">
        <f>MS14</f>
        <v/>
      </c>
      <c r="MU13" s="89">
        <f>MT14</f>
        <v/>
      </c>
      <c r="MV13" s="89">
        <f>MU14</f>
        <v/>
      </c>
      <c r="MW13" s="89">
        <f>MV14</f>
        <v/>
      </c>
      <c r="MX13" s="89">
        <f>MW14</f>
        <v/>
      </c>
      <c r="MY13" s="89">
        <f>MX14</f>
        <v/>
      </c>
      <c r="MZ13" s="89">
        <f>MY14</f>
        <v/>
      </c>
      <c r="NA13" s="89">
        <f>MZ14</f>
        <v/>
      </c>
      <c r="NB13" s="89">
        <f>NA14</f>
        <v/>
      </c>
      <c r="NC13" s="89">
        <f>NB14</f>
        <v/>
      </c>
      <c r="ND13" s="89">
        <f>NC14</f>
        <v/>
      </c>
      <c r="NE13" s="89">
        <f>ND14</f>
        <v/>
      </c>
      <c r="NF13" s="89">
        <f>NE14</f>
        <v/>
      </c>
      <c r="NG13" s="89">
        <f>NF14</f>
        <v/>
      </c>
      <c r="NH13" s="89">
        <f>NG14</f>
        <v/>
      </c>
      <c r="NI13" s="89">
        <f>NH14</f>
        <v/>
      </c>
      <c r="NJ13" s="89">
        <f>NI14</f>
        <v/>
      </c>
      <c r="NK13" s="89">
        <f>NJ14</f>
        <v/>
      </c>
      <c r="NL13" s="89">
        <f>NK14</f>
        <v/>
      </c>
      <c r="NM13" s="89">
        <f>NL14</f>
        <v/>
      </c>
      <c r="NN13" s="89">
        <f>NM14</f>
        <v/>
      </c>
      <c r="NO13" s="89">
        <f>NN14</f>
        <v/>
      </c>
      <c r="NP13" s="89">
        <f>NO14</f>
        <v/>
      </c>
      <c r="NQ13" s="127" t="n">
        <v>0</v>
      </c>
      <c r="NR13" s="89">
        <f>NP14</f>
        <v/>
      </c>
      <c r="NS13" s="89">
        <f>NR14</f>
        <v/>
      </c>
      <c r="NT13" s="89">
        <f>NS14</f>
        <v/>
      </c>
      <c r="NU13" s="89">
        <f>NT14</f>
        <v/>
      </c>
      <c r="NV13" s="89">
        <f>NU14</f>
        <v/>
      </c>
      <c r="NW13" s="89">
        <f>NV14</f>
        <v/>
      </c>
      <c r="NX13" s="89">
        <f>NW14</f>
        <v/>
      </c>
      <c r="NY13" s="89">
        <f>NX14</f>
        <v/>
      </c>
      <c r="NZ13" s="89">
        <f>NY14</f>
        <v/>
      </c>
      <c r="OA13" s="89">
        <f>NZ14</f>
        <v/>
      </c>
      <c r="OB13" s="89">
        <f>OA14</f>
        <v/>
      </c>
      <c r="OC13" s="89">
        <f>OB14</f>
        <v/>
      </c>
      <c r="OD13" s="89">
        <f>OC14</f>
        <v/>
      </c>
      <c r="OE13" s="89">
        <f>OD14</f>
        <v/>
      </c>
      <c r="OF13" s="89">
        <f>OE14</f>
        <v/>
      </c>
      <c r="OG13" s="89">
        <f>OF14</f>
        <v/>
      </c>
      <c r="OH13" s="89">
        <f>OG14</f>
        <v/>
      </c>
      <c r="OI13" s="89">
        <f>OH14</f>
        <v/>
      </c>
      <c r="OJ13" s="89">
        <f>OI14</f>
        <v/>
      </c>
      <c r="OK13" s="89">
        <f>OJ14</f>
        <v/>
      </c>
      <c r="OL13" s="89">
        <f>OK14</f>
        <v/>
      </c>
      <c r="OM13" s="89">
        <f>OL14</f>
        <v/>
      </c>
      <c r="ON13" s="89">
        <f>OM14</f>
        <v/>
      </c>
      <c r="OO13" s="89">
        <f>ON14</f>
        <v/>
      </c>
      <c r="OP13" s="89">
        <f>OO14</f>
        <v/>
      </c>
      <c r="OQ13" s="89">
        <f>OP14</f>
        <v/>
      </c>
      <c r="OR13" s="89">
        <f>OQ14</f>
        <v/>
      </c>
      <c r="OS13" s="89">
        <f>OR14</f>
        <v/>
      </c>
      <c r="OT13" s="89">
        <f>OS14</f>
        <v/>
      </c>
      <c r="OU13" s="89">
        <f>OT14</f>
        <v/>
      </c>
      <c r="OV13" s="89">
        <f>OU14</f>
        <v/>
      </c>
      <c r="OW13" s="127" t="n">
        <v>0</v>
      </c>
      <c r="OX13" s="89">
        <f>OV14</f>
        <v/>
      </c>
      <c r="OY13" s="89">
        <f>OX14</f>
        <v/>
      </c>
      <c r="OZ13" s="89">
        <f>OY14</f>
        <v/>
      </c>
      <c r="PA13" s="89">
        <f>OZ14</f>
        <v/>
      </c>
      <c r="PB13" s="89">
        <f>PA14</f>
        <v/>
      </c>
      <c r="PC13" s="89">
        <f>PB14</f>
        <v/>
      </c>
      <c r="PD13" s="89">
        <f>PC14</f>
        <v/>
      </c>
      <c r="PE13" s="89">
        <f>PD14</f>
        <v/>
      </c>
      <c r="PF13" s="89">
        <f>PE14</f>
        <v/>
      </c>
      <c r="PG13" s="89">
        <f>PF14</f>
        <v/>
      </c>
      <c r="PH13" s="89">
        <f>PG14</f>
        <v/>
      </c>
      <c r="PI13" s="89">
        <f>PH14</f>
        <v/>
      </c>
      <c r="PJ13" s="89">
        <f>PI14</f>
        <v/>
      </c>
      <c r="PK13" s="89">
        <f>PJ14</f>
        <v/>
      </c>
      <c r="PL13" s="89">
        <f>PK14</f>
        <v/>
      </c>
      <c r="PM13" s="89">
        <f>PL14</f>
        <v/>
      </c>
      <c r="PN13" s="89">
        <f>PM14</f>
        <v/>
      </c>
      <c r="PO13" s="89">
        <f>PN14</f>
        <v/>
      </c>
      <c r="PP13" s="89">
        <f>PO14</f>
        <v/>
      </c>
      <c r="PQ13" s="89">
        <f>PP14</f>
        <v/>
      </c>
      <c r="PR13" s="89">
        <f>PQ14</f>
        <v/>
      </c>
      <c r="PS13" s="89">
        <f>PR14</f>
        <v/>
      </c>
      <c r="PT13" s="89">
        <f>PS14</f>
        <v/>
      </c>
      <c r="PU13" s="89">
        <f>PT14</f>
        <v/>
      </c>
      <c r="PV13" s="89">
        <f>PU14</f>
        <v/>
      </c>
      <c r="PW13" s="89">
        <f>PV14</f>
        <v/>
      </c>
      <c r="PX13" s="89">
        <f>PW14</f>
        <v/>
      </c>
      <c r="PY13" s="89">
        <f>PX14</f>
        <v/>
      </c>
      <c r="PZ13" s="89">
        <f>PY14</f>
        <v/>
      </c>
      <c r="QA13" s="89">
        <f>PZ14</f>
        <v/>
      </c>
      <c r="QB13" s="127" t="n">
        <v>0</v>
      </c>
      <c r="QC13" s="89">
        <f>QA14</f>
        <v/>
      </c>
      <c r="QD13" s="89">
        <f>QC14</f>
        <v/>
      </c>
      <c r="QE13" s="89">
        <f>QD14</f>
        <v/>
      </c>
      <c r="QF13" s="89">
        <f>QE14</f>
        <v/>
      </c>
      <c r="QG13" s="89">
        <f>QF14</f>
        <v/>
      </c>
      <c r="QH13" s="89">
        <f>QG14</f>
        <v/>
      </c>
      <c r="QI13" s="89">
        <f>QH14</f>
        <v/>
      </c>
      <c r="QJ13" s="89">
        <f>QI14</f>
        <v/>
      </c>
      <c r="QK13" s="89">
        <f>QJ14</f>
        <v/>
      </c>
      <c r="QL13" s="89">
        <f>QK14</f>
        <v/>
      </c>
      <c r="QM13" s="89">
        <f>QL14</f>
        <v/>
      </c>
      <c r="QN13" s="89">
        <f>QM14</f>
        <v/>
      </c>
      <c r="QO13" s="89">
        <f>QN14</f>
        <v/>
      </c>
      <c r="QP13" s="89">
        <f>QO14</f>
        <v/>
      </c>
      <c r="QQ13" s="89">
        <f>QP14</f>
        <v/>
      </c>
      <c r="QR13" s="89">
        <f>QQ14</f>
        <v/>
      </c>
      <c r="QS13" s="89">
        <f>QR14</f>
        <v/>
      </c>
      <c r="QT13" s="89">
        <f>QS14</f>
        <v/>
      </c>
      <c r="QU13" s="89">
        <f>QT14</f>
        <v/>
      </c>
      <c r="QV13" s="89">
        <f>QU14</f>
        <v/>
      </c>
      <c r="QW13" s="89">
        <f>QV14</f>
        <v/>
      </c>
      <c r="QX13" s="89">
        <f>QW14</f>
        <v/>
      </c>
      <c r="QY13" s="89">
        <f>QX14</f>
        <v/>
      </c>
      <c r="QZ13" s="89">
        <f>QY14</f>
        <v/>
      </c>
      <c r="RA13" s="89">
        <f>QZ14</f>
        <v/>
      </c>
      <c r="RB13" s="89">
        <f>RA14</f>
        <v/>
      </c>
      <c r="RC13" s="89">
        <f>RB14</f>
        <v/>
      </c>
      <c r="RD13" s="89">
        <f>RC14</f>
        <v/>
      </c>
      <c r="RE13" s="89">
        <f>RD14</f>
        <v/>
      </c>
      <c r="RF13" s="89">
        <f>RE14</f>
        <v/>
      </c>
      <c r="RG13" s="89">
        <f>RF14</f>
        <v/>
      </c>
      <c r="RH13" s="127" t="n">
        <v>0</v>
      </c>
      <c r="RI13" s="89">
        <f>RG14</f>
        <v/>
      </c>
      <c r="RJ13" s="89">
        <f>RI14</f>
        <v/>
      </c>
      <c r="RK13" s="89">
        <f>RJ14</f>
        <v/>
      </c>
      <c r="RL13" s="89">
        <f>RK14</f>
        <v/>
      </c>
      <c r="RM13" s="89">
        <f>RL14</f>
        <v/>
      </c>
      <c r="RN13" s="89">
        <f>RM14</f>
        <v/>
      </c>
      <c r="RO13" s="89">
        <f>RN14</f>
        <v/>
      </c>
      <c r="RP13" s="89">
        <f>RO14</f>
        <v/>
      </c>
      <c r="RQ13" s="89">
        <f>RP14</f>
        <v/>
      </c>
      <c r="RR13" s="89">
        <f>RQ14</f>
        <v/>
      </c>
      <c r="RS13" s="89">
        <f>RR14</f>
        <v/>
      </c>
      <c r="RT13" s="89">
        <f>RS14</f>
        <v/>
      </c>
      <c r="RU13" s="89">
        <f>RT14</f>
        <v/>
      </c>
      <c r="RV13" s="89">
        <f>RU14</f>
        <v/>
      </c>
      <c r="RW13" s="89">
        <f>RV14</f>
        <v/>
      </c>
      <c r="RX13" s="89">
        <f>RW14</f>
        <v/>
      </c>
      <c r="RY13" s="89">
        <f>RX14</f>
        <v/>
      </c>
      <c r="RZ13" s="89">
        <f>RY14</f>
        <v/>
      </c>
      <c r="SA13" s="89">
        <f>RZ14</f>
        <v/>
      </c>
      <c r="SB13" s="89">
        <f>SA14</f>
        <v/>
      </c>
      <c r="SC13" s="89">
        <f>SB14</f>
        <v/>
      </c>
      <c r="SD13" s="89">
        <f>SC14</f>
        <v/>
      </c>
      <c r="SE13" s="89">
        <f>SD14</f>
        <v/>
      </c>
      <c r="SF13" s="89">
        <f>SE14</f>
        <v/>
      </c>
      <c r="SG13" s="89">
        <f>SF14</f>
        <v/>
      </c>
      <c r="SH13" s="89">
        <f>SG14</f>
        <v/>
      </c>
      <c r="SI13" s="89">
        <f>SH14</f>
        <v/>
      </c>
      <c r="SJ13" s="89">
        <f>SI14</f>
        <v/>
      </c>
      <c r="SK13" s="89">
        <f>SJ14</f>
        <v/>
      </c>
      <c r="SL13" s="89">
        <f>SK14</f>
        <v/>
      </c>
      <c r="SM13" s="127" t="n">
        <v>0</v>
      </c>
      <c r="SN13" s="89">
        <f>SL14</f>
        <v/>
      </c>
      <c r="SO13" s="89">
        <f>SN14</f>
        <v/>
      </c>
      <c r="SP13" s="89">
        <f>SO14</f>
        <v/>
      </c>
      <c r="SQ13" s="89">
        <f>SP14</f>
        <v/>
      </c>
      <c r="SR13" s="89">
        <f>SQ14</f>
        <v/>
      </c>
      <c r="SS13" s="89">
        <f>SR14</f>
        <v/>
      </c>
      <c r="ST13" s="89">
        <f>SS14</f>
        <v/>
      </c>
      <c r="SU13" s="89">
        <f>ST14</f>
        <v/>
      </c>
      <c r="SV13" s="89">
        <f>SU14</f>
        <v/>
      </c>
      <c r="SW13" s="89">
        <f>SV14</f>
        <v/>
      </c>
      <c r="SX13" s="89">
        <f>SW14</f>
        <v/>
      </c>
      <c r="SY13" s="89">
        <f>SX14</f>
        <v/>
      </c>
      <c r="SZ13" s="89">
        <f>SY14</f>
        <v/>
      </c>
      <c r="TA13" s="89">
        <f>SZ14</f>
        <v/>
      </c>
      <c r="TB13" s="89">
        <f>TA14</f>
        <v/>
      </c>
      <c r="TC13" s="89">
        <f>TB14</f>
        <v/>
      </c>
      <c r="TD13" s="89">
        <f>TC14</f>
        <v/>
      </c>
      <c r="TE13" s="89">
        <f>TD14</f>
        <v/>
      </c>
      <c r="TF13" s="89">
        <f>TE14</f>
        <v/>
      </c>
      <c r="TG13" s="89">
        <f>TF14</f>
        <v/>
      </c>
      <c r="TH13" s="89">
        <f>TG14</f>
        <v/>
      </c>
      <c r="TI13" s="89">
        <f>TH14</f>
        <v/>
      </c>
      <c r="TJ13" s="89">
        <f>TI14</f>
        <v/>
      </c>
      <c r="TK13" s="89">
        <f>TJ14</f>
        <v/>
      </c>
      <c r="TL13" s="89">
        <f>TK14</f>
        <v/>
      </c>
      <c r="TM13" s="89">
        <f>TL14</f>
        <v/>
      </c>
      <c r="TN13" s="89">
        <f>TM14</f>
        <v/>
      </c>
      <c r="TO13" s="89">
        <f>TN14</f>
        <v/>
      </c>
      <c r="TP13" s="89">
        <f>TO14</f>
        <v/>
      </c>
      <c r="TQ13" s="89">
        <f>TP14</f>
        <v/>
      </c>
      <c r="TR13" s="89">
        <f>TQ14</f>
        <v/>
      </c>
      <c r="TS13" s="127" t="n">
        <v>0</v>
      </c>
      <c r="TT13" s="89">
        <f>TR14</f>
        <v/>
      </c>
      <c r="TU13" s="89">
        <f>TT14</f>
        <v/>
      </c>
      <c r="TV13" s="89">
        <f>TU14</f>
        <v/>
      </c>
      <c r="TW13" s="89">
        <f>TV14</f>
        <v/>
      </c>
      <c r="TX13" s="89">
        <f>TW14</f>
        <v/>
      </c>
      <c r="TY13" s="89">
        <f>TX14</f>
        <v/>
      </c>
      <c r="TZ13" s="89">
        <f>TY14</f>
        <v/>
      </c>
      <c r="UA13" s="89">
        <f>TZ14</f>
        <v/>
      </c>
      <c r="UB13" s="89">
        <f>UA14</f>
        <v/>
      </c>
      <c r="UC13" s="89">
        <f>UB14</f>
        <v/>
      </c>
      <c r="UD13" s="89">
        <f>UC14</f>
        <v/>
      </c>
      <c r="UE13" s="89">
        <f>UD14</f>
        <v/>
      </c>
      <c r="UF13" s="89">
        <f>UE14</f>
        <v/>
      </c>
      <c r="UG13" s="89">
        <f>UF14</f>
        <v/>
      </c>
      <c r="UH13" s="89">
        <f>UG14</f>
        <v/>
      </c>
      <c r="UI13" s="89">
        <f>UH14</f>
        <v/>
      </c>
      <c r="UJ13" s="89">
        <f>UI14</f>
        <v/>
      </c>
      <c r="UK13" s="89">
        <f>UJ14</f>
        <v/>
      </c>
      <c r="UL13" s="89">
        <f>UK14</f>
        <v/>
      </c>
      <c r="UM13" s="89">
        <f>UL14</f>
        <v/>
      </c>
      <c r="UN13" s="89">
        <f>UM14</f>
        <v/>
      </c>
      <c r="UO13" s="89">
        <f>UN14</f>
        <v/>
      </c>
      <c r="UP13" s="89">
        <f>UO14</f>
        <v/>
      </c>
      <c r="UQ13" s="89">
        <f>UP14</f>
        <v/>
      </c>
      <c r="UR13" s="89">
        <f>UQ14</f>
        <v/>
      </c>
      <c r="US13" s="89">
        <f>UR14</f>
        <v/>
      </c>
      <c r="UT13" s="89">
        <f>US14</f>
        <v/>
      </c>
      <c r="UU13" s="89">
        <f>UT14</f>
        <v/>
      </c>
      <c r="UV13" s="89">
        <f>UU14</f>
        <v/>
      </c>
      <c r="UW13" s="89">
        <f>UV14</f>
        <v/>
      </c>
      <c r="UX13" s="89">
        <f>UW14</f>
        <v/>
      </c>
      <c r="UY13" s="127" t="n">
        <v>0</v>
      </c>
      <c r="UZ13" s="89">
        <f>UX14</f>
        <v/>
      </c>
      <c r="VA13" s="89">
        <f>UZ14</f>
        <v/>
      </c>
      <c r="VB13" s="89">
        <f>VA14</f>
        <v/>
      </c>
      <c r="VC13" s="89">
        <f>VB14</f>
        <v/>
      </c>
      <c r="VD13" s="89">
        <f>VC14</f>
        <v/>
      </c>
      <c r="VE13" s="89">
        <f>VD14</f>
        <v/>
      </c>
      <c r="VF13" s="89">
        <f>VE14</f>
        <v/>
      </c>
      <c r="VG13" s="89">
        <f>VF14</f>
        <v/>
      </c>
      <c r="VH13" s="89">
        <f>VG14</f>
        <v/>
      </c>
      <c r="VI13" s="89">
        <f>VH14</f>
        <v/>
      </c>
      <c r="VJ13" s="89">
        <f>VI14</f>
        <v/>
      </c>
      <c r="VK13" s="89">
        <f>VJ14</f>
        <v/>
      </c>
      <c r="VL13" s="89">
        <f>VK14</f>
        <v/>
      </c>
      <c r="VM13" s="89">
        <f>VL14</f>
        <v/>
      </c>
      <c r="VN13" s="89">
        <f>VM14</f>
        <v/>
      </c>
      <c r="VO13" s="89">
        <f>VN14</f>
        <v/>
      </c>
      <c r="VP13" s="89">
        <f>VO14</f>
        <v/>
      </c>
      <c r="VQ13" s="89">
        <f>VP14</f>
        <v/>
      </c>
      <c r="VR13" s="89">
        <f>VQ14</f>
        <v/>
      </c>
      <c r="VS13" s="89">
        <f>VR14</f>
        <v/>
      </c>
      <c r="VT13" s="89">
        <f>VS14</f>
        <v/>
      </c>
      <c r="VU13" s="89">
        <f>VT14</f>
        <v/>
      </c>
      <c r="VV13" s="89">
        <f>VU14</f>
        <v/>
      </c>
      <c r="VW13" s="89">
        <f>VV14</f>
        <v/>
      </c>
      <c r="VX13" s="89">
        <f>VW14</f>
        <v/>
      </c>
      <c r="VY13" s="89">
        <f>VX14</f>
        <v/>
      </c>
      <c r="VZ13" s="89">
        <f>VY14</f>
        <v/>
      </c>
      <c r="WA13" s="89">
        <f>VZ14</f>
        <v/>
      </c>
      <c r="WB13" s="127" t="n">
        <v>0</v>
      </c>
      <c r="WC13" s="89">
        <f>WA14</f>
        <v/>
      </c>
      <c r="WD13" s="89">
        <f>WC14</f>
        <v/>
      </c>
      <c r="WE13" s="89">
        <f>WD14</f>
        <v/>
      </c>
      <c r="WF13" s="89">
        <f>WE14</f>
        <v/>
      </c>
      <c r="WG13" s="89">
        <f>WF14</f>
        <v/>
      </c>
      <c r="WH13" s="89">
        <f>WG14</f>
        <v/>
      </c>
      <c r="WI13" s="89">
        <f>WH14</f>
        <v/>
      </c>
      <c r="WJ13" s="89">
        <f>WI14</f>
        <v/>
      </c>
      <c r="WK13" s="89">
        <f>WJ14</f>
        <v/>
      </c>
      <c r="WL13" s="89">
        <f>WK14</f>
        <v/>
      </c>
      <c r="WM13" s="89">
        <f>WL14</f>
        <v/>
      </c>
      <c r="WN13" s="89">
        <f>WM14</f>
        <v/>
      </c>
      <c r="WO13" s="89">
        <f>WN14</f>
        <v/>
      </c>
      <c r="WP13" s="89">
        <f>WO14</f>
        <v/>
      </c>
      <c r="WQ13" s="89">
        <f>WP14</f>
        <v/>
      </c>
      <c r="WR13" s="89">
        <f>WQ14</f>
        <v/>
      </c>
      <c r="WS13" s="89">
        <f>WR14</f>
        <v/>
      </c>
      <c r="WT13" s="89">
        <f>WS14</f>
        <v/>
      </c>
      <c r="WU13" s="89">
        <f>WT14</f>
        <v/>
      </c>
      <c r="WV13" s="89">
        <f>WU14</f>
        <v/>
      </c>
      <c r="WW13" s="89">
        <f>WV14</f>
        <v/>
      </c>
      <c r="WX13" s="89">
        <f>WW14</f>
        <v/>
      </c>
      <c r="WY13" s="89">
        <f>WX14</f>
        <v/>
      </c>
      <c r="WZ13" s="89">
        <f>WY14</f>
        <v/>
      </c>
      <c r="XA13" s="89">
        <f>WZ14</f>
        <v/>
      </c>
      <c r="XB13" s="89">
        <f>XA14</f>
        <v/>
      </c>
      <c r="XC13" s="89">
        <f>XB14</f>
        <v/>
      </c>
      <c r="XD13" s="89">
        <f>XC14</f>
        <v/>
      </c>
      <c r="XE13" s="89">
        <f>XD14</f>
        <v/>
      </c>
      <c r="XF13" s="89">
        <f>XE14</f>
        <v/>
      </c>
      <c r="XG13" s="89">
        <f>XF14</f>
        <v/>
      </c>
      <c r="XH13" s="127" t="n">
        <v>0</v>
      </c>
      <c r="XI13" s="89">
        <f>XG14</f>
        <v/>
      </c>
      <c r="XJ13" s="89">
        <f>XI14</f>
        <v/>
      </c>
      <c r="XK13" s="89">
        <f>XJ14</f>
        <v/>
      </c>
      <c r="XL13" s="89">
        <f>XK14</f>
        <v/>
      </c>
      <c r="XM13" s="89">
        <f>XL14</f>
        <v/>
      </c>
      <c r="XN13" s="89">
        <f>XM14</f>
        <v/>
      </c>
      <c r="XO13" s="89">
        <f>XN14</f>
        <v/>
      </c>
      <c r="XP13" s="89">
        <f>XO14</f>
        <v/>
      </c>
      <c r="XQ13" s="89">
        <f>XP14</f>
        <v/>
      </c>
      <c r="XR13" s="89">
        <f>XQ14</f>
        <v/>
      </c>
      <c r="XS13" s="89">
        <f>XR14</f>
        <v/>
      </c>
      <c r="XT13" s="89">
        <f>XS14</f>
        <v/>
      </c>
      <c r="XU13" s="89">
        <f>XT14</f>
        <v/>
      </c>
      <c r="XV13" s="89">
        <f>XU14</f>
        <v/>
      </c>
      <c r="XW13" s="89">
        <f>XV14</f>
        <v/>
      </c>
      <c r="XX13" s="89">
        <f>XW14</f>
        <v/>
      </c>
      <c r="XY13" s="89">
        <f>XX14</f>
        <v/>
      </c>
      <c r="XZ13" s="89">
        <f>XY14</f>
        <v/>
      </c>
      <c r="YA13" s="89">
        <f>XZ14</f>
        <v/>
      </c>
      <c r="YB13" s="89">
        <f>YA14</f>
        <v/>
      </c>
      <c r="YC13" s="89">
        <f>YB14</f>
        <v/>
      </c>
      <c r="YD13" s="89">
        <f>YC14</f>
        <v/>
      </c>
      <c r="YE13" s="89">
        <f>YD14</f>
        <v/>
      </c>
      <c r="YF13" s="89">
        <f>YE14</f>
        <v/>
      </c>
      <c r="YG13" s="89">
        <f>YF14</f>
        <v/>
      </c>
      <c r="YH13" s="89">
        <f>YG14</f>
        <v/>
      </c>
      <c r="YI13" s="89">
        <f>YH14</f>
        <v/>
      </c>
      <c r="YJ13" s="89">
        <f>YI14</f>
        <v/>
      </c>
      <c r="YK13" s="89">
        <f>YJ14</f>
        <v/>
      </c>
      <c r="YL13" s="89">
        <f>YK14</f>
        <v/>
      </c>
      <c r="YM13" s="127" t="n">
        <v>0</v>
      </c>
      <c r="YN13" s="89">
        <f>YL14</f>
        <v/>
      </c>
      <c r="YO13" s="89">
        <f>YN14</f>
        <v/>
      </c>
      <c r="YP13" s="89">
        <f>YO14</f>
        <v/>
      </c>
      <c r="YQ13" s="89">
        <f>YP14</f>
        <v/>
      </c>
      <c r="YR13" s="89">
        <f>YQ14</f>
        <v/>
      </c>
      <c r="YS13" s="89">
        <f>YR14</f>
        <v/>
      </c>
      <c r="YT13" s="89">
        <f>YS14</f>
        <v/>
      </c>
      <c r="YU13" s="89">
        <f>YT14</f>
        <v/>
      </c>
      <c r="YV13" s="89">
        <f>YU14</f>
        <v/>
      </c>
      <c r="YW13" s="89">
        <f>YV14</f>
        <v/>
      </c>
      <c r="YX13" s="89">
        <f>YW14</f>
        <v/>
      </c>
      <c r="YY13" s="89">
        <f>YX14</f>
        <v/>
      </c>
      <c r="YZ13" s="89">
        <f>YY14</f>
        <v/>
      </c>
      <c r="ZA13" s="89">
        <f>YZ14</f>
        <v/>
      </c>
      <c r="ZB13" s="89">
        <f>ZA14</f>
        <v/>
      </c>
      <c r="ZC13" s="89">
        <f>ZB14</f>
        <v/>
      </c>
      <c r="ZD13" s="89">
        <f>ZC14</f>
        <v/>
      </c>
      <c r="ZE13" s="89">
        <f>ZD14</f>
        <v/>
      </c>
      <c r="ZF13" s="89">
        <f>ZE14</f>
        <v/>
      </c>
      <c r="ZG13" s="89">
        <f>ZF14</f>
        <v/>
      </c>
      <c r="ZH13" s="89">
        <f>ZG14</f>
        <v/>
      </c>
      <c r="ZI13" s="89">
        <f>ZH14</f>
        <v/>
      </c>
      <c r="ZJ13" s="89">
        <f>ZI14</f>
        <v/>
      </c>
      <c r="ZK13" s="89">
        <f>ZJ14</f>
        <v/>
      </c>
      <c r="ZL13" s="89">
        <f>ZK14</f>
        <v/>
      </c>
      <c r="ZM13" s="89">
        <f>ZL14</f>
        <v/>
      </c>
      <c r="ZN13" s="89">
        <f>ZM14</f>
        <v/>
      </c>
      <c r="ZO13" s="89">
        <f>ZN14</f>
        <v/>
      </c>
      <c r="ZP13" s="89">
        <f>ZO14</f>
        <v/>
      </c>
      <c r="ZQ13" s="89">
        <f>ZP14</f>
        <v/>
      </c>
      <c r="ZR13" s="89">
        <f>ZQ14</f>
        <v/>
      </c>
      <c r="ZS13" s="127" t="n">
        <v>0</v>
      </c>
      <c r="ZT13" s="89">
        <f>ZR14</f>
        <v/>
      </c>
      <c r="ZU13" s="89">
        <f>ZT14</f>
        <v/>
      </c>
      <c r="ZV13" s="89">
        <f>ZU14</f>
        <v/>
      </c>
      <c r="ZW13" s="89">
        <f>ZV14</f>
        <v/>
      </c>
      <c r="ZX13" s="89">
        <f>ZW14</f>
        <v/>
      </c>
      <c r="ZY13" s="89">
        <f>ZX14</f>
        <v/>
      </c>
      <c r="ZZ13" s="89">
        <f>ZY14</f>
        <v/>
      </c>
      <c r="AAA13" s="89">
        <f>ZZ14</f>
        <v/>
      </c>
      <c r="AAB13" s="89">
        <f>AAA14</f>
        <v/>
      </c>
      <c r="AAC13" s="89">
        <f>AAB14</f>
        <v/>
      </c>
      <c r="AAD13" s="89">
        <f>AAC14</f>
        <v/>
      </c>
      <c r="AAE13" s="89">
        <f>AAD14</f>
        <v/>
      </c>
      <c r="AAF13" s="89">
        <f>AAE14</f>
        <v/>
      </c>
      <c r="AAG13" s="89">
        <f>AAF14</f>
        <v/>
      </c>
      <c r="AAH13" s="89">
        <f>AAG14</f>
        <v/>
      </c>
      <c r="AAI13" s="89">
        <f>AAH14</f>
        <v/>
      </c>
      <c r="AAJ13" s="89">
        <f>AAI14</f>
        <v/>
      </c>
      <c r="AAK13" s="89">
        <f>AAJ14</f>
        <v/>
      </c>
      <c r="AAL13" s="89">
        <f>AAK14</f>
        <v/>
      </c>
      <c r="AAM13" s="89">
        <f>AAL14</f>
        <v/>
      </c>
      <c r="AAN13" s="89">
        <f>AAM14</f>
        <v/>
      </c>
      <c r="AAO13" s="89">
        <f>AAN14</f>
        <v/>
      </c>
      <c r="AAP13" s="89">
        <f>AAO14</f>
        <v/>
      </c>
      <c r="AAQ13" s="89">
        <f>AAP14</f>
        <v/>
      </c>
      <c r="AAR13" s="89">
        <f>AAQ14</f>
        <v/>
      </c>
      <c r="AAS13" s="89">
        <f>AAR14</f>
        <v/>
      </c>
      <c r="AAT13" s="89">
        <f>AAS14</f>
        <v/>
      </c>
      <c r="AAU13" s="89">
        <f>AAT14</f>
        <v/>
      </c>
      <c r="AAV13" s="89">
        <f>AAU14</f>
        <v/>
      </c>
      <c r="AAW13" s="89">
        <f>AAV14</f>
        <v/>
      </c>
      <c r="AAX13" s="127" t="n">
        <v>0</v>
      </c>
      <c r="AAY13" s="89">
        <f>AAW14</f>
        <v/>
      </c>
      <c r="AAZ13" s="89">
        <f>AAY14</f>
        <v/>
      </c>
      <c r="ABA13" s="89">
        <f>AAZ14</f>
        <v/>
      </c>
      <c r="ABB13" s="89">
        <f>ABA14</f>
        <v/>
      </c>
      <c r="ABC13" s="89">
        <f>ABB14</f>
        <v/>
      </c>
      <c r="ABD13" s="89">
        <f>ABC14</f>
        <v/>
      </c>
      <c r="ABE13" s="89">
        <f>ABD14</f>
        <v/>
      </c>
      <c r="ABF13" s="89">
        <f>ABE14</f>
        <v/>
      </c>
      <c r="ABG13" s="89">
        <f>ABF14</f>
        <v/>
      </c>
      <c r="ABH13" s="89">
        <f>ABG14</f>
        <v/>
      </c>
      <c r="ABI13" s="89">
        <f>ABH14</f>
        <v/>
      </c>
      <c r="ABJ13" s="89">
        <f>ABI14</f>
        <v/>
      </c>
      <c r="ABK13" s="89">
        <f>ABJ14</f>
        <v/>
      </c>
      <c r="ABL13" s="89">
        <f>ABK14</f>
        <v/>
      </c>
      <c r="ABM13" s="89">
        <f>ABL14</f>
        <v/>
      </c>
      <c r="ABN13" s="89">
        <f>ABM14</f>
        <v/>
      </c>
      <c r="ABO13" s="89">
        <f>ABN14</f>
        <v/>
      </c>
      <c r="ABP13" s="89">
        <f>ABO14</f>
        <v/>
      </c>
      <c r="ABQ13" s="89">
        <f>ABP14</f>
        <v/>
      </c>
      <c r="ABR13" s="89">
        <f>ABQ14</f>
        <v/>
      </c>
      <c r="ABS13" s="89">
        <f>ABR14</f>
        <v/>
      </c>
      <c r="ABT13" s="89">
        <f>ABS14</f>
        <v/>
      </c>
      <c r="ABU13" s="89">
        <f>ABT14</f>
        <v/>
      </c>
      <c r="ABV13" s="89">
        <f>ABU14</f>
        <v/>
      </c>
      <c r="ABW13" s="89">
        <f>ABV14</f>
        <v/>
      </c>
      <c r="ABX13" s="89">
        <f>ABW14</f>
        <v/>
      </c>
      <c r="ABY13" s="89">
        <f>ABX14</f>
        <v/>
      </c>
      <c r="ABZ13" s="89">
        <f>ABY14</f>
        <v/>
      </c>
      <c r="ACA13" s="89">
        <f>ABZ14</f>
        <v/>
      </c>
      <c r="ACB13" s="89">
        <f>ACA14</f>
        <v/>
      </c>
      <c r="ACC13" s="89">
        <f>ACB14</f>
        <v/>
      </c>
      <c r="ACD13" s="127" t="n">
        <v>0</v>
      </c>
      <c r="ACE13" s="89">
        <f>ACC14</f>
        <v/>
      </c>
      <c r="ACF13" s="89">
        <f>ACE14</f>
        <v/>
      </c>
      <c r="ACG13" s="89">
        <f>ACF14</f>
        <v/>
      </c>
      <c r="ACH13" s="89">
        <f>ACG14</f>
        <v/>
      </c>
      <c r="ACI13" s="89">
        <f>ACH14</f>
        <v/>
      </c>
      <c r="ACJ13" s="89">
        <f>ACI14</f>
        <v/>
      </c>
      <c r="ACK13" s="89">
        <f>ACJ14</f>
        <v/>
      </c>
      <c r="ACL13" s="89">
        <f>ACK14</f>
        <v/>
      </c>
      <c r="ACM13" s="89">
        <f>ACL14</f>
        <v/>
      </c>
      <c r="ACN13" s="89">
        <f>ACM14</f>
        <v/>
      </c>
      <c r="ACO13" s="89">
        <f>ACN14</f>
        <v/>
      </c>
      <c r="ACP13" s="89">
        <f>ACO14</f>
        <v/>
      </c>
      <c r="ACQ13" s="89">
        <f>ACP14</f>
        <v/>
      </c>
      <c r="ACR13" s="89">
        <f>ACQ14</f>
        <v/>
      </c>
      <c r="ACS13" s="89">
        <f>ACR14</f>
        <v/>
      </c>
      <c r="ACT13" s="89">
        <f>ACS14</f>
        <v/>
      </c>
      <c r="ACU13" s="89">
        <f>ACT14</f>
        <v/>
      </c>
      <c r="ACV13" s="89">
        <f>ACU14</f>
        <v/>
      </c>
      <c r="ACW13" s="89">
        <f>ACV14</f>
        <v/>
      </c>
      <c r="ACX13" s="89">
        <f>ACW14</f>
        <v/>
      </c>
      <c r="ACY13" s="89">
        <f>ACX14</f>
        <v/>
      </c>
      <c r="ACZ13" s="89">
        <f>ACY14</f>
        <v/>
      </c>
      <c r="ADA13" s="89">
        <f>ACZ14</f>
        <v/>
      </c>
      <c r="ADB13" s="89">
        <f>ADA14</f>
        <v/>
      </c>
      <c r="ADC13" s="89">
        <f>ADB14</f>
        <v/>
      </c>
      <c r="ADD13" s="89">
        <f>ADC14</f>
        <v/>
      </c>
      <c r="ADE13" s="89">
        <f>ADD14</f>
        <v/>
      </c>
      <c r="ADF13" s="89">
        <f>ADE14</f>
        <v/>
      </c>
      <c r="ADG13" s="89">
        <f>ADF14</f>
        <v/>
      </c>
      <c r="ADH13" s="89">
        <f>ADG14</f>
        <v/>
      </c>
      <c r="ADI13" s="89">
        <f>ADH14</f>
        <v/>
      </c>
      <c r="ADJ13" s="127" t="n">
        <v>0</v>
      </c>
      <c r="ADK13" s="89">
        <f>ADI14</f>
        <v/>
      </c>
      <c r="ADL13" s="89">
        <f>ADK14</f>
        <v/>
      </c>
      <c r="ADM13" s="89">
        <f>ADL14</f>
        <v/>
      </c>
      <c r="ADN13" s="89">
        <f>ADM14</f>
        <v/>
      </c>
      <c r="ADO13" s="89">
        <f>ADN14</f>
        <v/>
      </c>
      <c r="ADP13" s="89">
        <f>ADO14</f>
        <v/>
      </c>
      <c r="ADQ13" s="89">
        <f>ADP14</f>
        <v/>
      </c>
      <c r="ADR13" s="89">
        <f>ADQ14</f>
        <v/>
      </c>
      <c r="ADS13" s="89">
        <f>ADR14</f>
        <v/>
      </c>
      <c r="ADT13" s="89">
        <f>ADS14</f>
        <v/>
      </c>
      <c r="ADU13" s="89">
        <f>ADT14</f>
        <v/>
      </c>
      <c r="ADV13" s="89">
        <f>ADU14</f>
        <v/>
      </c>
      <c r="ADW13" s="89">
        <f>ADV14</f>
        <v/>
      </c>
      <c r="ADX13" s="89">
        <f>ADW14</f>
        <v/>
      </c>
      <c r="ADY13" s="89">
        <f>ADX14</f>
        <v/>
      </c>
      <c r="ADZ13" s="89">
        <f>ADY14</f>
        <v/>
      </c>
      <c r="AEA13" s="89">
        <f>ADZ14</f>
        <v/>
      </c>
      <c r="AEB13" s="89">
        <f>AEA14</f>
        <v/>
      </c>
      <c r="AEC13" s="89">
        <f>AEB14</f>
        <v/>
      </c>
      <c r="AED13" s="89">
        <f>AEC14</f>
        <v/>
      </c>
      <c r="AEE13" s="89">
        <f>AED14</f>
        <v/>
      </c>
      <c r="AEF13" s="89">
        <f>AEE14</f>
        <v/>
      </c>
      <c r="AEG13" s="89">
        <f>AEF14</f>
        <v/>
      </c>
      <c r="AEH13" s="89">
        <f>AEG14</f>
        <v/>
      </c>
      <c r="AEI13" s="89">
        <f>AEH14</f>
        <v/>
      </c>
      <c r="AEJ13" s="89">
        <f>AEI14</f>
        <v/>
      </c>
      <c r="AEK13" s="89">
        <f>AEJ14</f>
        <v/>
      </c>
      <c r="AEL13" s="89">
        <f>AEK14</f>
        <v/>
      </c>
      <c r="AEM13" s="89">
        <f>AEL14</f>
        <v/>
      </c>
      <c r="AEN13" s="89">
        <f>AEM14</f>
        <v/>
      </c>
      <c r="AEO13" s="127" t="n">
        <v>0</v>
      </c>
      <c r="AEP13" s="89">
        <f>AEN14</f>
        <v/>
      </c>
      <c r="AEQ13" s="89">
        <f>AEP14</f>
        <v/>
      </c>
      <c r="AER13" s="89">
        <f>AEQ14</f>
        <v/>
      </c>
      <c r="AES13" s="89">
        <f>AER14</f>
        <v/>
      </c>
      <c r="AET13" s="89">
        <f>AES14</f>
        <v/>
      </c>
      <c r="AEU13" s="89">
        <f>AET14</f>
        <v/>
      </c>
      <c r="AEV13" s="89">
        <f>AEU14</f>
        <v/>
      </c>
      <c r="AEW13" s="89">
        <f>AEV14</f>
        <v/>
      </c>
      <c r="AEX13" s="89">
        <f>AEW14</f>
        <v/>
      </c>
      <c r="AEY13" s="89">
        <f>AEX14</f>
        <v/>
      </c>
      <c r="AEZ13" s="89">
        <f>AEY14</f>
        <v/>
      </c>
      <c r="AFA13" s="89">
        <f>AEZ14</f>
        <v/>
      </c>
      <c r="AFB13" s="89">
        <f>AFA14</f>
        <v/>
      </c>
      <c r="AFC13" s="89">
        <f>AFB14</f>
        <v/>
      </c>
      <c r="AFD13" s="89">
        <f>AFC14</f>
        <v/>
      </c>
      <c r="AFE13" s="89">
        <f>AFD14</f>
        <v/>
      </c>
      <c r="AFF13" s="89">
        <f>AFE14</f>
        <v/>
      </c>
      <c r="AFG13" s="89">
        <f>AFF14</f>
        <v/>
      </c>
      <c r="AFH13" s="89">
        <f>AFG14</f>
        <v/>
      </c>
      <c r="AFI13" s="89">
        <f>AFH14</f>
        <v/>
      </c>
      <c r="AFJ13" s="89">
        <f>AFI14</f>
        <v/>
      </c>
      <c r="AFK13" s="89">
        <f>AFJ14</f>
        <v/>
      </c>
      <c r="AFL13" s="89">
        <f>AFK14</f>
        <v/>
      </c>
      <c r="AFM13" s="89">
        <f>AFL14</f>
        <v/>
      </c>
      <c r="AFN13" s="89">
        <f>AFM14</f>
        <v/>
      </c>
      <c r="AFO13" s="89">
        <f>AFN14</f>
        <v/>
      </c>
      <c r="AFP13" s="89">
        <f>AFO14</f>
        <v/>
      </c>
      <c r="AFQ13" s="89">
        <f>AFP14</f>
        <v/>
      </c>
      <c r="AFR13" s="89">
        <f>AFQ14</f>
        <v/>
      </c>
      <c r="AFS13" s="89">
        <f>AFR14</f>
        <v/>
      </c>
      <c r="AFT13" s="89">
        <f>AFS14</f>
        <v/>
      </c>
      <c r="AFU13" s="127" t="n">
        <v>0</v>
      </c>
      <c r="AFV13" s="89">
        <f>AFT14</f>
        <v/>
      </c>
      <c r="AFW13" s="89">
        <f>AFV14</f>
        <v/>
      </c>
      <c r="AFX13" s="89">
        <f>AFW14</f>
        <v/>
      </c>
      <c r="AFY13" s="89">
        <f>AFX14</f>
        <v/>
      </c>
      <c r="AFZ13" s="89">
        <f>AFY14</f>
        <v/>
      </c>
      <c r="AGA13" s="89">
        <f>AFZ14</f>
        <v/>
      </c>
      <c r="AGB13" s="89">
        <f>AGA14</f>
        <v/>
      </c>
      <c r="AGC13" s="89">
        <f>AGB14</f>
        <v/>
      </c>
      <c r="AGD13" s="89">
        <f>AGC14</f>
        <v/>
      </c>
      <c r="AGE13" s="89">
        <f>AGD14</f>
        <v/>
      </c>
      <c r="AGF13" s="89">
        <f>AGE14</f>
        <v/>
      </c>
      <c r="AGG13" s="89">
        <f>AGF14</f>
        <v/>
      </c>
      <c r="AGH13" s="89">
        <f>AGG14</f>
        <v/>
      </c>
      <c r="AGI13" s="89">
        <f>AGH14</f>
        <v/>
      </c>
      <c r="AGJ13" s="89">
        <f>AGI14</f>
        <v/>
      </c>
      <c r="AGK13" s="89">
        <f>AGJ14</f>
        <v/>
      </c>
      <c r="AGL13" s="89">
        <f>AGK14</f>
        <v/>
      </c>
      <c r="AGM13" s="89">
        <f>AGL14</f>
        <v/>
      </c>
      <c r="AGN13" s="89">
        <f>AGM14</f>
        <v/>
      </c>
      <c r="AGO13" s="89">
        <f>AGN14</f>
        <v/>
      </c>
      <c r="AGP13" s="89">
        <f>AGO14</f>
        <v/>
      </c>
      <c r="AGQ13" s="89">
        <f>AGP14</f>
        <v/>
      </c>
      <c r="AGR13" s="89">
        <f>AGQ14</f>
        <v/>
      </c>
      <c r="AGS13" s="89">
        <f>AGR14</f>
        <v/>
      </c>
      <c r="AGT13" s="89">
        <f>AGS14</f>
        <v/>
      </c>
      <c r="AGU13" s="89">
        <f>AGT14</f>
        <v/>
      </c>
      <c r="AGV13" s="89">
        <f>AGU14</f>
        <v/>
      </c>
      <c r="AGW13" s="89">
        <f>AGV14</f>
        <v/>
      </c>
      <c r="AGX13" s="89">
        <f>AGW14</f>
        <v/>
      </c>
      <c r="AGY13" s="89">
        <f>AGX14</f>
        <v/>
      </c>
      <c r="AGZ13" s="127" t="n">
        <v>0</v>
      </c>
      <c r="AHA13" s="89">
        <f>AGY14</f>
        <v/>
      </c>
      <c r="AHB13" s="89">
        <f>AHA14</f>
        <v/>
      </c>
      <c r="AHC13" s="89">
        <f>AHB14</f>
        <v/>
      </c>
      <c r="AHD13" s="89">
        <f>AHC14</f>
        <v/>
      </c>
      <c r="AHE13" s="89">
        <f>AHD14</f>
        <v/>
      </c>
      <c r="AHF13" s="89">
        <f>AHE14</f>
        <v/>
      </c>
      <c r="AHG13" s="89">
        <f>AHF14</f>
        <v/>
      </c>
      <c r="AHH13" s="89">
        <f>AHG14</f>
        <v/>
      </c>
      <c r="AHI13" s="89">
        <f>AHH14</f>
        <v/>
      </c>
      <c r="AHJ13" s="89">
        <f>AHI14</f>
        <v/>
      </c>
      <c r="AHK13" s="89">
        <f>AHJ14</f>
        <v/>
      </c>
      <c r="AHL13" s="89">
        <f>AHK14</f>
        <v/>
      </c>
      <c r="AHM13" s="89">
        <f>AHL14</f>
        <v/>
      </c>
      <c r="AHN13" s="89">
        <f>AHM14</f>
        <v/>
      </c>
      <c r="AHO13" s="89">
        <f>AHN14</f>
        <v/>
      </c>
      <c r="AHP13" s="89">
        <f>AHO14</f>
        <v/>
      </c>
      <c r="AHQ13" s="89">
        <f>AHP14</f>
        <v/>
      </c>
      <c r="AHR13" s="89">
        <f>AHQ14</f>
        <v/>
      </c>
      <c r="AHS13" s="89">
        <f>AHR14</f>
        <v/>
      </c>
      <c r="AHT13" s="89">
        <f>AHS14</f>
        <v/>
      </c>
      <c r="AHU13" s="89">
        <f>AHT14</f>
        <v/>
      </c>
      <c r="AHV13" s="89">
        <f>AHU14</f>
        <v/>
      </c>
      <c r="AHW13" s="89">
        <f>AHV14</f>
        <v/>
      </c>
      <c r="AHX13" s="89">
        <f>AHW14</f>
        <v/>
      </c>
      <c r="AHY13" s="89">
        <f>AHX14</f>
        <v/>
      </c>
      <c r="AHZ13" s="89">
        <f>AHY14</f>
        <v/>
      </c>
      <c r="AIA13" s="89">
        <f>AHZ14</f>
        <v/>
      </c>
      <c r="AIB13" s="89">
        <f>AIA14</f>
        <v/>
      </c>
      <c r="AIC13" s="89">
        <f>AIB14</f>
        <v/>
      </c>
      <c r="AID13" s="89">
        <f>AIC14</f>
        <v/>
      </c>
      <c r="AIE13" s="89">
        <f>AID14</f>
        <v/>
      </c>
      <c r="AIF13" s="127" t="n">
        <v>0</v>
      </c>
      <c r="AIG13" s="89">
        <f>AIE14</f>
        <v/>
      </c>
      <c r="AIH13" s="89">
        <f>AIG14</f>
        <v/>
      </c>
      <c r="AII13" s="89">
        <f>AIH14</f>
        <v/>
      </c>
      <c r="AIJ13" s="89">
        <f>AII14</f>
        <v/>
      </c>
      <c r="AIK13" s="89">
        <f>AIJ14</f>
        <v/>
      </c>
      <c r="AIL13" s="89">
        <f>AIK14</f>
        <v/>
      </c>
      <c r="AIM13" s="89">
        <f>AIL14</f>
        <v/>
      </c>
      <c r="AIN13" s="89">
        <f>AIM14</f>
        <v/>
      </c>
      <c r="AIO13" s="89">
        <f>AIN14</f>
        <v/>
      </c>
      <c r="AIP13" s="89">
        <f>AIO14</f>
        <v/>
      </c>
      <c r="AIQ13" s="89">
        <f>AIP14</f>
        <v/>
      </c>
      <c r="AIR13" s="89">
        <f>AIQ14</f>
        <v/>
      </c>
      <c r="AIS13" s="89">
        <f>AIR14</f>
        <v/>
      </c>
      <c r="AIT13" s="89">
        <f>AIS14</f>
        <v/>
      </c>
      <c r="AIU13" s="89">
        <f>AIT14</f>
        <v/>
      </c>
      <c r="AIV13" s="89">
        <f>AIU14</f>
        <v/>
      </c>
      <c r="AIW13" s="89">
        <f>AIV14</f>
        <v/>
      </c>
      <c r="AIX13" s="89">
        <f>AIW14</f>
        <v/>
      </c>
      <c r="AIY13" s="89">
        <f>AIX14</f>
        <v/>
      </c>
      <c r="AIZ13" s="89">
        <f>AIY14</f>
        <v/>
      </c>
      <c r="AJA13" s="89">
        <f>AIZ14</f>
        <v/>
      </c>
      <c r="AJB13" s="89">
        <f>AJA14</f>
        <v/>
      </c>
      <c r="AJC13" s="89">
        <f>AJB14</f>
        <v/>
      </c>
      <c r="AJD13" s="89">
        <f>AJC14</f>
        <v/>
      </c>
      <c r="AJE13" s="89">
        <f>AJD14</f>
        <v/>
      </c>
      <c r="AJF13" s="89">
        <f>AJE14</f>
        <v/>
      </c>
      <c r="AJG13" s="89">
        <f>AJF14</f>
        <v/>
      </c>
      <c r="AJH13" s="89">
        <f>AJG14</f>
        <v/>
      </c>
      <c r="AJI13" s="89">
        <f>AJH14</f>
        <v/>
      </c>
      <c r="AJJ13" s="89">
        <f>AJI14</f>
        <v/>
      </c>
      <c r="AJK13" s="89">
        <f>AJJ14</f>
        <v/>
      </c>
      <c r="AJL13" s="127" t="n">
        <v>0</v>
      </c>
      <c r="AJM13" s="89">
        <f>AJK14</f>
        <v/>
      </c>
      <c r="AJN13" s="89">
        <f>AJM14</f>
        <v/>
      </c>
      <c r="AJO13" s="89">
        <f>AJN14</f>
        <v/>
      </c>
      <c r="AJP13" s="89">
        <f>AJO14</f>
        <v/>
      </c>
      <c r="AJQ13" s="89">
        <f>AJP14</f>
        <v/>
      </c>
      <c r="AJR13" s="89">
        <f>AJQ14</f>
        <v/>
      </c>
      <c r="AJS13" s="89">
        <f>AJR14</f>
        <v/>
      </c>
      <c r="AJT13" s="89">
        <f>AJS14</f>
        <v/>
      </c>
      <c r="AJU13" s="89">
        <f>AJT14</f>
        <v/>
      </c>
      <c r="AJV13" s="89">
        <f>AJU14</f>
        <v/>
      </c>
      <c r="AJW13" s="89">
        <f>AJV14</f>
        <v/>
      </c>
      <c r="AJX13" s="89">
        <f>AJW14</f>
        <v/>
      </c>
      <c r="AJY13" s="89">
        <f>AJX14</f>
        <v/>
      </c>
      <c r="AJZ13" s="89">
        <f>AJY14</f>
        <v/>
      </c>
      <c r="AKA13" s="89">
        <f>AJZ14</f>
        <v/>
      </c>
      <c r="AKB13" s="89">
        <f>AKA14</f>
        <v/>
      </c>
      <c r="AKC13" s="89">
        <f>AKB14</f>
        <v/>
      </c>
      <c r="AKD13" s="89">
        <f>AKC14</f>
        <v/>
      </c>
      <c r="AKE13" s="89">
        <f>AKD14</f>
        <v/>
      </c>
      <c r="AKF13" s="89">
        <f>AKE14</f>
        <v/>
      </c>
      <c r="AKG13" s="89">
        <f>AKF14</f>
        <v/>
      </c>
      <c r="AKH13" s="89">
        <f>AKG14</f>
        <v/>
      </c>
      <c r="AKI13" s="89">
        <f>AKH14</f>
        <v/>
      </c>
      <c r="AKJ13" s="89">
        <f>AKI14</f>
        <v/>
      </c>
      <c r="AKK13" s="89">
        <f>AKJ14</f>
        <v/>
      </c>
      <c r="AKL13" s="89">
        <f>AKK14</f>
        <v/>
      </c>
      <c r="AKM13" s="89">
        <f>AKL14</f>
        <v/>
      </c>
      <c r="AKN13" s="89">
        <f>AKM14</f>
        <v/>
      </c>
      <c r="AKO13" s="127" t="n">
        <v>0</v>
      </c>
      <c r="AKP13" s="89">
        <f>AKN14</f>
        <v/>
      </c>
      <c r="AKQ13" s="89">
        <f>AKP14</f>
        <v/>
      </c>
      <c r="AKR13" s="89">
        <f>AKQ14</f>
        <v/>
      </c>
      <c r="AKS13" s="89">
        <f>AKR14</f>
        <v/>
      </c>
      <c r="AKT13" s="89">
        <f>AKS14</f>
        <v/>
      </c>
      <c r="AKU13" s="89">
        <f>AKT14</f>
        <v/>
      </c>
      <c r="AKV13" s="89">
        <f>AKU14</f>
        <v/>
      </c>
      <c r="AKW13" s="89">
        <f>AKV14</f>
        <v/>
      </c>
      <c r="AKX13" s="89">
        <f>AKW14</f>
        <v/>
      </c>
      <c r="AKY13" s="89">
        <f>AKX14</f>
        <v/>
      </c>
      <c r="AKZ13" s="89">
        <f>AKY14</f>
        <v/>
      </c>
      <c r="ALA13" s="89">
        <f>AKZ14</f>
        <v/>
      </c>
      <c r="ALB13" s="89">
        <f>ALA14</f>
        <v/>
      </c>
      <c r="ALC13" s="89">
        <f>ALB14</f>
        <v/>
      </c>
      <c r="ALD13" s="89">
        <f>ALC14</f>
        <v/>
      </c>
      <c r="ALE13" s="89">
        <f>ALD14</f>
        <v/>
      </c>
      <c r="ALF13" s="89">
        <f>ALE14</f>
        <v/>
      </c>
      <c r="ALG13" s="89">
        <f>ALF14</f>
        <v/>
      </c>
      <c r="ALH13" s="89">
        <f>ALG14</f>
        <v/>
      </c>
      <c r="ALI13" s="89">
        <f>ALH14</f>
        <v/>
      </c>
      <c r="ALJ13" s="89">
        <f>ALI14</f>
        <v/>
      </c>
      <c r="ALK13" s="89">
        <f>ALJ14</f>
        <v/>
      </c>
      <c r="ALL13" s="89">
        <f>ALK14</f>
        <v/>
      </c>
      <c r="ALM13" s="89">
        <f>ALL14</f>
        <v/>
      </c>
      <c r="ALN13" s="89">
        <f>ALM14</f>
        <v/>
      </c>
      <c r="ALO13" s="89">
        <f>ALN14</f>
        <v/>
      </c>
      <c r="ALP13" s="89">
        <f>ALO14</f>
        <v/>
      </c>
      <c r="ALQ13" s="89">
        <f>ALP14</f>
        <v/>
      </c>
      <c r="ALR13" s="89">
        <f>ALQ14</f>
        <v/>
      </c>
      <c r="ALS13" s="89">
        <f>ALR14</f>
        <v/>
      </c>
      <c r="ALT13" s="89">
        <f>ALS14</f>
        <v/>
      </c>
      <c r="ALU13" s="127" t="n">
        <v>0</v>
      </c>
      <c r="ALV13" s="89">
        <f>ALT14</f>
        <v/>
      </c>
      <c r="ALW13" s="89">
        <f>ALV14</f>
        <v/>
      </c>
      <c r="ALX13" s="89">
        <f>ALW14</f>
        <v/>
      </c>
      <c r="ALY13" s="89">
        <f>ALX14</f>
        <v/>
      </c>
      <c r="ALZ13" s="89">
        <f>ALY14</f>
        <v/>
      </c>
      <c r="AMA13" s="89">
        <f>ALZ14</f>
        <v/>
      </c>
      <c r="AMB13" s="89">
        <f>AMA14</f>
        <v/>
      </c>
      <c r="AMC13" s="89">
        <f>AMB14</f>
        <v/>
      </c>
      <c r="AMD13" s="89">
        <f>AMC14</f>
        <v/>
      </c>
      <c r="AME13" s="89">
        <f>AMD14</f>
        <v/>
      </c>
      <c r="AMF13" s="89">
        <f>AME14</f>
        <v/>
      </c>
      <c r="AMG13" s="89">
        <f>AMF14</f>
        <v/>
      </c>
      <c r="AMH13" s="89">
        <f>AMG14</f>
        <v/>
      </c>
      <c r="AMI13" s="89">
        <f>AMH14</f>
        <v/>
      </c>
      <c r="AMJ13" s="89">
        <f>AMI14</f>
        <v/>
      </c>
      <c r="AMK13" s="89">
        <f>AMJ14</f>
        <v/>
      </c>
      <c r="AML13" s="89">
        <f>AMK14</f>
        <v/>
      </c>
      <c r="AMM13" s="89">
        <f>AML14</f>
        <v/>
      </c>
      <c r="AMN13" s="89">
        <f>AMM14</f>
        <v/>
      </c>
      <c r="AMO13" s="89">
        <f>AMN14</f>
        <v/>
      </c>
      <c r="AMP13" s="89">
        <f>AMO14</f>
        <v/>
      </c>
      <c r="AMQ13" s="89">
        <f>AMP14</f>
        <v/>
      </c>
      <c r="AMR13" s="89">
        <f>AMQ14</f>
        <v/>
      </c>
      <c r="AMS13" s="89">
        <f>AMR14</f>
        <v/>
      </c>
      <c r="AMT13" s="89">
        <f>AMS14</f>
        <v/>
      </c>
      <c r="AMU13" s="89">
        <f>AMT14</f>
        <v/>
      </c>
      <c r="AMV13" s="89">
        <f>AMU14</f>
        <v/>
      </c>
      <c r="AMW13" s="89">
        <f>AMV14</f>
        <v/>
      </c>
      <c r="AMX13" s="89">
        <f>AMW14</f>
        <v/>
      </c>
      <c r="AMY13" s="89">
        <f>AMX14</f>
        <v/>
      </c>
      <c r="AMZ13" s="127" t="n">
        <v>0</v>
      </c>
      <c r="ANA13" s="89">
        <f>AMY14</f>
        <v/>
      </c>
      <c r="ANB13" s="89">
        <f>ANA14</f>
        <v/>
      </c>
      <c r="ANC13" s="89">
        <f>ANB14</f>
        <v/>
      </c>
      <c r="AND13" s="89">
        <f>ANC14</f>
        <v/>
      </c>
      <c r="ANE13" s="89">
        <f>AND14</f>
        <v/>
      </c>
      <c r="ANF13" s="89">
        <f>ANE14</f>
        <v/>
      </c>
      <c r="ANG13" s="89">
        <f>ANF14</f>
        <v/>
      </c>
      <c r="ANH13" s="89">
        <f>ANG14</f>
        <v/>
      </c>
      <c r="ANI13" s="89">
        <f>ANH14</f>
        <v/>
      </c>
      <c r="ANJ13" s="89">
        <f>ANI14</f>
        <v/>
      </c>
      <c r="ANK13" s="89">
        <f>ANJ14</f>
        <v/>
      </c>
      <c r="ANL13" s="89">
        <f>ANK14</f>
        <v/>
      </c>
      <c r="ANM13" s="89">
        <f>ANL14</f>
        <v/>
      </c>
      <c r="ANN13" s="89">
        <f>ANM14</f>
        <v/>
      </c>
      <c r="ANO13" s="89">
        <f>ANN14</f>
        <v/>
      </c>
      <c r="ANP13" s="89">
        <f>ANO14</f>
        <v/>
      </c>
      <c r="ANQ13" s="89">
        <f>ANP14</f>
        <v/>
      </c>
      <c r="ANR13" s="89">
        <f>ANQ14</f>
        <v/>
      </c>
      <c r="ANS13" s="89">
        <f>ANR14</f>
        <v/>
      </c>
      <c r="ANT13" s="89">
        <f>ANS14</f>
        <v/>
      </c>
      <c r="ANU13" s="89">
        <f>ANT14</f>
        <v/>
      </c>
      <c r="ANV13" s="89">
        <f>ANU14</f>
        <v/>
      </c>
      <c r="ANW13" s="89">
        <f>ANV14</f>
        <v/>
      </c>
      <c r="ANX13" s="89">
        <f>ANW14</f>
        <v/>
      </c>
      <c r="ANY13" s="89">
        <f>ANX14</f>
        <v/>
      </c>
      <c r="ANZ13" s="89">
        <f>ANY14</f>
        <v/>
      </c>
      <c r="AOA13" s="89">
        <f>ANZ14</f>
        <v/>
      </c>
      <c r="AOB13" s="89">
        <f>AOA14</f>
        <v/>
      </c>
      <c r="AOC13" s="89">
        <f>AOB14</f>
        <v/>
      </c>
      <c r="AOD13" s="89" t="n">
        <v>345888.5</v>
      </c>
      <c r="AOE13" t="n">
        <v>345888.5</v>
      </c>
    </row>
    <row r="14">
      <c r="A14" s="157" t="n"/>
      <c r="C14" s="47" t="inlineStr">
        <is>
          <t>CLOSING</t>
        </is>
      </c>
      <c r="D14" s="48" t="n">
        <v>188322.062</v>
      </c>
      <c r="E14" s="48" t="n">
        <v>188427.406</v>
      </c>
      <c r="F14" s="48" t="n">
        <v>188595.65</v>
      </c>
      <c r="G14" s="48" t="n">
        <v>188749.531</v>
      </c>
      <c r="H14" s="48" t="n">
        <v>189074.906</v>
      </c>
      <c r="I14" s="48" t="n">
        <v>189345.467</v>
      </c>
      <c r="J14" s="48" t="n">
        <v>189573.77</v>
      </c>
      <c r="K14" s="48" t="n">
        <v>189687.867</v>
      </c>
      <c r="L14" s="48" t="n">
        <v>189835.809</v>
      </c>
      <c r="M14" s="48" t="n">
        <v>190063.774</v>
      </c>
      <c r="N14" s="48" t="n">
        <v>190251.271</v>
      </c>
      <c r="O14" s="48" t="n">
        <v>190501.101</v>
      </c>
      <c r="P14" s="48" t="n">
        <v>190667.147</v>
      </c>
      <c r="Q14" s="48" t="n">
        <v>190751.695</v>
      </c>
      <c r="R14" s="48" t="n">
        <v>190865.363</v>
      </c>
      <c r="S14" s="48" t="n">
        <v>191028.537</v>
      </c>
      <c r="T14" s="48" t="n">
        <v>191148.157</v>
      </c>
      <c r="U14" s="48" t="n">
        <v>191319.819</v>
      </c>
      <c r="V14" s="48" t="n">
        <v>191456.728</v>
      </c>
      <c r="W14" s="48" t="n">
        <v>191537.556</v>
      </c>
      <c r="X14" s="48" t="n">
        <v>191644.455</v>
      </c>
      <c r="Y14" s="48" t="n">
        <v>191825.306</v>
      </c>
      <c r="Z14" s="48" t="n">
        <v>191937.549</v>
      </c>
      <c r="AA14" s="48" t="n">
        <v>192100.41</v>
      </c>
      <c r="AB14" s="48" t="n">
        <v>192264.87</v>
      </c>
      <c r="AC14" s="48" t="n">
        <v>192461.632</v>
      </c>
      <c r="AD14" s="48" t="n">
        <v>192631.353</v>
      </c>
      <c r="AE14" s="48" t="n">
        <v>192784.805</v>
      </c>
      <c r="AF14" s="48" t="n">
        <v>192957.605</v>
      </c>
      <c r="AG14" s="48" t="n">
        <v>193065.339</v>
      </c>
      <c r="AH14" s="48" t="n">
        <v>193303.894</v>
      </c>
      <c r="AI14" s="49" t="n"/>
      <c r="AJ14" s="48" t="n">
        <v>193491.403</v>
      </c>
      <c r="AK14" s="48" t="n">
        <v>193725.515</v>
      </c>
      <c r="AL14" s="48" t="n">
        <v>193944.078</v>
      </c>
      <c r="AM14" s="48" t="n">
        <v>194148.748</v>
      </c>
      <c r="AN14" s="48" t="n">
        <v>194401.911</v>
      </c>
      <c r="AO14" s="48" t="n">
        <v>194529.545</v>
      </c>
      <c r="AP14" s="48" t="n">
        <v>199873.029</v>
      </c>
      <c r="AQ14" s="48" t="n">
        <v>200171.43</v>
      </c>
      <c r="AR14" s="48" t="n">
        <v>200491.803</v>
      </c>
      <c r="AS14" s="48" t="n">
        <v>200586.126</v>
      </c>
      <c r="AT14" s="48" t="n">
        <v>200744.211</v>
      </c>
      <c r="AU14" s="48" t="n">
        <v>200842.014</v>
      </c>
      <c r="AV14" s="48" t="n">
        <v>205907.207</v>
      </c>
      <c r="AW14" s="48" t="n">
        <v>206034.297</v>
      </c>
      <c r="AX14" s="48" t="n">
        <v>206162.613</v>
      </c>
      <c r="AY14" s="48" t="n">
        <v>206277.18</v>
      </c>
      <c r="AZ14" s="48" t="n">
        <v>206405.487</v>
      </c>
      <c r="BA14" s="48" t="n">
        <v>206632.96</v>
      </c>
      <c r="BB14" s="48" t="n">
        <v>206804.485</v>
      </c>
      <c r="BC14" s="48" t="n">
        <v>206982.793</v>
      </c>
      <c r="BD14" s="48" t="n">
        <v>207116.057</v>
      </c>
      <c r="BE14" s="48" t="n">
        <v>207267.258</v>
      </c>
      <c r="BF14" s="48" t="n">
        <v>207468.072</v>
      </c>
      <c r="BG14" s="48" t="n">
        <v>207580.233</v>
      </c>
      <c r="BH14" s="48" t="n">
        <v>207746.879</v>
      </c>
      <c r="BI14" s="48" t="n">
        <v>207980.636</v>
      </c>
      <c r="BJ14" s="48" t="n">
        <v>208082.197</v>
      </c>
      <c r="BK14" s="48" t="n">
        <v>208255.734</v>
      </c>
      <c r="BL14" s="48" t="n">
        <v>208414.688</v>
      </c>
      <c r="BM14" s="48" t="n">
        <v>208545.37</v>
      </c>
      <c r="BO14" s="48" t="n">
        <v>208627.083</v>
      </c>
      <c r="BP14" s="48" t="n">
        <v>208802.526</v>
      </c>
      <c r="BQ14" s="48" t="n">
        <v>208950.543</v>
      </c>
      <c r="BR14" s="48" t="n">
        <v>209048.297</v>
      </c>
      <c r="BS14" s="48" t="n">
        <v>209172.024</v>
      </c>
      <c r="BT14" s="48" t="n">
        <v>209349.444</v>
      </c>
      <c r="BU14" s="48" t="n">
        <v>209456.659</v>
      </c>
      <c r="BV14" s="48" t="n">
        <v>209628.418</v>
      </c>
      <c r="BW14" s="48" t="n">
        <v>209789.269</v>
      </c>
      <c r="BX14" s="48" t="n">
        <v>209883.782</v>
      </c>
      <c r="BY14" s="48" t="n">
        <v>210014.366</v>
      </c>
      <c r="BZ14" s="48" t="n">
        <v>210166.196</v>
      </c>
      <c r="CA14" s="48" t="n">
        <v>210317.937</v>
      </c>
      <c r="CB14" s="48" t="n">
        <v>210505.057</v>
      </c>
      <c r="CC14" s="48" t="n">
        <v>210704.313</v>
      </c>
      <c r="CD14" s="48" t="n">
        <v>210867.521</v>
      </c>
      <c r="CE14" s="48" t="n">
        <v>211061.932</v>
      </c>
      <c r="CF14" s="48" t="n">
        <v>211190.108</v>
      </c>
      <c r="CG14" s="48" t="n">
        <v>211300.85</v>
      </c>
      <c r="CH14" s="48" t="n">
        <v>211405.469</v>
      </c>
      <c r="CI14" s="48" t="n">
        <v>211622.563</v>
      </c>
      <c r="CJ14" s="48" t="n">
        <v>211724.643</v>
      </c>
      <c r="CK14" s="48" t="n">
        <v>211801.894</v>
      </c>
      <c r="CL14" s="48" t="n">
        <v>211952.983</v>
      </c>
      <c r="CM14" s="48" t="n">
        <v>212046.944</v>
      </c>
      <c r="CN14" s="48" t="n">
        <v>212185.325</v>
      </c>
      <c r="CO14" s="48" t="n">
        <v>212278.457</v>
      </c>
      <c r="CP14" s="48" t="n">
        <v>212537.388</v>
      </c>
      <c r="CQ14" s="48" t="n">
        <v>212652.218</v>
      </c>
      <c r="CR14" s="48" t="n">
        <v>212793.21</v>
      </c>
      <c r="CS14" s="48" t="n">
        <v>212864.664</v>
      </c>
      <c r="CU14" s="48" t="n">
        <v>213075.203</v>
      </c>
      <c r="CV14" s="48" t="n">
        <v>213212.616</v>
      </c>
      <c r="CW14" s="48" t="n">
        <v>213395.997</v>
      </c>
      <c r="CX14" s="48" t="n">
        <v>213617.907</v>
      </c>
      <c r="CY14" s="48" t="n">
        <v>213789.154</v>
      </c>
      <c r="CZ14" s="48" t="n">
        <v>213932.536</v>
      </c>
      <c r="DA14" s="48" t="n">
        <v>214039.428</v>
      </c>
      <c r="DB14" s="48" t="n">
        <v>214197.992</v>
      </c>
      <c r="DC14" s="48" t="n">
        <v>214385.042</v>
      </c>
      <c r="DD14" s="48" t="n">
        <v>214506.272</v>
      </c>
      <c r="DE14" s="48" t="n">
        <v>214750.962</v>
      </c>
      <c r="DF14" s="48" t="n">
        <v>214882.033</v>
      </c>
      <c r="DG14" s="48" t="n">
        <v>214975.966</v>
      </c>
      <c r="DH14" s="48" t="n">
        <v>215148.882</v>
      </c>
      <c r="DI14" s="48" t="n">
        <v>215222.472</v>
      </c>
      <c r="DJ14" s="48" t="n">
        <v>215281.276</v>
      </c>
      <c r="DK14" s="48" t="n">
        <v>215392.61</v>
      </c>
      <c r="DL14" s="48" t="n">
        <v>215580.502</v>
      </c>
      <c r="DM14" s="48" t="n">
        <v>215693.171</v>
      </c>
      <c r="DN14" s="48" t="n">
        <v>215774.422</v>
      </c>
      <c r="DO14" s="48" t="n">
        <v>215858.585</v>
      </c>
      <c r="DP14" s="48" t="n">
        <v>215943.82</v>
      </c>
      <c r="DQ14" s="48" t="n">
        <v>216054.252</v>
      </c>
      <c r="DR14" s="48" t="n">
        <v>216158.2</v>
      </c>
      <c r="DS14" s="48" t="n">
        <v>216332.702</v>
      </c>
      <c r="DT14" s="48" t="n">
        <v>216397.921</v>
      </c>
      <c r="DU14" s="48" t="n">
        <v>216474.659</v>
      </c>
      <c r="DV14" s="48" t="n">
        <v>216553.109</v>
      </c>
      <c r="DW14" s="48" t="n">
        <v>216675.349</v>
      </c>
      <c r="DX14" s="48" t="n">
        <v>216785.258</v>
      </c>
      <c r="DY14" s="117" t="n"/>
      <c r="DZ14" s="48" t="n">
        <v>216921.262</v>
      </c>
      <c r="EA14" s="48" t="n">
        <v>217092.332</v>
      </c>
      <c r="EB14" s="48" t="n">
        <v>217222.761</v>
      </c>
      <c r="EC14" s="48" t="n">
        <v>217338.617</v>
      </c>
      <c r="ED14" s="48" t="n">
        <v>217423.034</v>
      </c>
      <c r="EE14" s="48" t="n">
        <v>217521.681</v>
      </c>
      <c r="EF14" s="48" t="n">
        <v>217608.694</v>
      </c>
      <c r="EG14" s="48" t="n">
        <v>217739.256</v>
      </c>
      <c r="EH14" s="48" t="n">
        <v>217922.701</v>
      </c>
      <c r="EI14" s="48" t="n">
        <v>218081.495</v>
      </c>
      <c r="EJ14" s="48" t="n">
        <v>218245.299</v>
      </c>
      <c r="EK14" s="48" t="n">
        <v>218441.74</v>
      </c>
      <c r="EL14" s="48" t="n">
        <v>218610.825</v>
      </c>
      <c r="EM14" s="48" t="n">
        <v>218745.682</v>
      </c>
      <c r="EN14" s="48" t="n">
        <v>218914.968</v>
      </c>
      <c r="EO14" s="48" t="n">
        <v>219124.39</v>
      </c>
      <c r="EP14" s="48" t="n">
        <v>219258.231</v>
      </c>
      <c r="EQ14" s="48" t="n">
        <v>219424.368</v>
      </c>
      <c r="ER14" s="48" t="n">
        <v>219564.703</v>
      </c>
      <c r="ES14" s="48" t="n">
        <v>219833.955</v>
      </c>
      <c r="ET14" s="48" t="n">
        <v>220122.986</v>
      </c>
      <c r="EU14" s="48" t="n">
        <v>220334.723</v>
      </c>
      <c r="EV14" s="48" t="n">
        <v>220640.729</v>
      </c>
      <c r="EW14" s="48" t="n">
        <v>220805.313</v>
      </c>
      <c r="EX14" s="48" t="n">
        <v>221011.984</v>
      </c>
      <c r="EY14" s="48" t="n">
        <v>221116.42</v>
      </c>
      <c r="EZ14" s="48" t="n">
        <v>221262.326</v>
      </c>
      <c r="FA14" s="48" t="n">
        <v>221457.3</v>
      </c>
      <c r="FB14" s="48" t="n">
        <v>221643.532</v>
      </c>
      <c r="FC14" s="48" t="n">
        <v>221811.427</v>
      </c>
      <c r="FD14" s="48" t="n">
        <v>222051.703</v>
      </c>
      <c r="FE14" s="126" t="n"/>
      <c r="FF14" s="48" t="n">
        <v>222197.049</v>
      </c>
      <c r="FG14" s="48" t="n">
        <v>222313.915</v>
      </c>
      <c r="FH14" s="48" t="n">
        <v>222394.571</v>
      </c>
      <c r="FI14" s="48" t="n">
        <v>222526.372</v>
      </c>
      <c r="FJ14" s="48" t="n">
        <v>222655.758</v>
      </c>
      <c r="FK14" s="48" t="n">
        <v>222730.702</v>
      </c>
      <c r="FL14" s="48" t="n">
        <v>222882.225</v>
      </c>
      <c r="FM14" s="48" t="n">
        <v>223090.888</v>
      </c>
      <c r="FN14" s="48" t="n">
        <v>223235.413</v>
      </c>
      <c r="FO14" s="48" t="n">
        <v>223341.146</v>
      </c>
      <c r="FP14" s="48" t="n">
        <v>223435.189</v>
      </c>
      <c r="FQ14" s="48" t="n">
        <v>223559.299</v>
      </c>
      <c r="FR14" s="48" t="n">
        <v>223822.374</v>
      </c>
      <c r="FS14" s="48" t="n">
        <v>223967.999</v>
      </c>
      <c r="FT14" s="48" t="n">
        <v>224146.087</v>
      </c>
      <c r="FU14" s="48" t="n">
        <v>224294.766</v>
      </c>
      <c r="FV14" s="48" t="n">
        <v>224386.954</v>
      </c>
      <c r="FW14" s="48" t="n">
        <v>224458.919</v>
      </c>
      <c r="FX14" s="48" t="n">
        <v>224580.414</v>
      </c>
      <c r="FY14" s="48" t="n">
        <v>224757.014</v>
      </c>
      <c r="FZ14" s="48" t="n">
        <v>224942.257</v>
      </c>
      <c r="GA14" s="48" t="n">
        <v>225092.499</v>
      </c>
      <c r="GB14" s="48" t="n">
        <v>225234.968</v>
      </c>
      <c r="GC14" s="48" t="n">
        <v>225321.331</v>
      </c>
      <c r="GD14" s="48" t="n">
        <v>225487.178</v>
      </c>
      <c r="GE14" s="48" t="n">
        <v>225638.488</v>
      </c>
      <c r="GF14" s="48" t="n">
        <v>225785.238</v>
      </c>
      <c r="GG14" s="48" t="n">
        <v>225880.25</v>
      </c>
      <c r="GH14" s="48" t="n">
        <v>226083.319</v>
      </c>
      <c r="GI14" s="48" t="n">
        <v>226216.703</v>
      </c>
      <c r="GJ14" s="48" t="n">
        <v>226332.816</v>
      </c>
      <c r="GK14" s="126" t="n"/>
      <c r="GL14" s="48" t="n">
        <v>226437.717</v>
      </c>
      <c r="GM14" s="48" t="n">
        <v>226549.525</v>
      </c>
      <c r="GN14" s="48" t="n">
        <v>226729.29</v>
      </c>
      <c r="GO14" s="48" t="n">
        <v>226962.851</v>
      </c>
      <c r="GP14" s="48" t="n">
        <v>227134.021</v>
      </c>
      <c r="GQ14" s="48" t="n">
        <v>227300.458</v>
      </c>
      <c r="GR14" s="48" t="n">
        <v>227538.501</v>
      </c>
      <c r="GS14" s="48" t="n">
        <v>227700.204</v>
      </c>
      <c r="GT14" s="48" t="n">
        <v>227810.872</v>
      </c>
      <c r="GU14" s="48" t="n">
        <v>227992.801</v>
      </c>
      <c r="GV14" s="48" t="n">
        <v>228099.031</v>
      </c>
      <c r="GW14" s="48" t="n">
        <v>228215.941</v>
      </c>
      <c r="GX14" s="48" t="n">
        <v>228303.545</v>
      </c>
      <c r="GY14" s="48" t="n">
        <v>228433.957</v>
      </c>
      <c r="GZ14" s="48" t="n">
        <v>228531.264</v>
      </c>
      <c r="HA14" s="48" t="n">
        <v>228634.725</v>
      </c>
      <c r="HB14" s="48" t="n">
        <v>228823.936</v>
      </c>
      <c r="HC14" s="48" t="n">
        <v>228937.065</v>
      </c>
      <c r="HD14" s="48" t="n">
        <v>229115.481</v>
      </c>
      <c r="HE14" s="48" t="n">
        <v>229280.966</v>
      </c>
      <c r="HF14" s="48" t="n">
        <v>229390.209</v>
      </c>
      <c r="HG14" s="48" t="n">
        <v>229494.035</v>
      </c>
      <c r="HH14" s="48" t="n">
        <v>229747.885</v>
      </c>
      <c r="HI14" s="48" t="n">
        <v>229867.252</v>
      </c>
      <c r="HJ14" s="48" t="n">
        <v>230005.48</v>
      </c>
      <c r="HK14" s="48" t="n">
        <v>230105.47</v>
      </c>
      <c r="HL14" s="48" t="n">
        <v>230210.283</v>
      </c>
      <c r="HM14" s="48" t="n">
        <v>230296.851</v>
      </c>
      <c r="HN14" s="48" t="n">
        <v>230438.328</v>
      </c>
      <c r="HO14" s="126" t="n"/>
      <c r="HP14" s="48" t="n">
        <v>230617.049</v>
      </c>
      <c r="HQ14" s="48" t="n">
        <v>230843.671</v>
      </c>
      <c r="HR14" s="48" t="n">
        <v>230981.375</v>
      </c>
      <c r="HS14" s="48" t="n">
        <v>231101.783</v>
      </c>
      <c r="HT14" s="48" t="n">
        <v>231270.463</v>
      </c>
      <c r="HU14" s="48" t="n">
        <v>231407.721</v>
      </c>
      <c r="HV14" s="48" t="n">
        <v>231557.318</v>
      </c>
      <c r="HW14" s="48" t="n">
        <v>231679.335</v>
      </c>
      <c r="HX14" s="48" t="n">
        <v>231774.329</v>
      </c>
      <c r="HY14" s="48" t="n">
        <v>231948.609</v>
      </c>
      <c r="HZ14" s="48" t="n">
        <v>232203.902</v>
      </c>
      <c r="IA14" s="48" t="n">
        <v>232367.496</v>
      </c>
      <c r="IB14" s="48" t="n">
        <v>232533.745</v>
      </c>
      <c r="IC14" s="48" t="n">
        <v>232663.745</v>
      </c>
      <c r="ID14" s="48" t="n">
        <v>232909.616</v>
      </c>
      <c r="IE14" s="48" t="n">
        <v>233082.561</v>
      </c>
      <c r="IF14" s="48" t="n">
        <v>233301.361</v>
      </c>
      <c r="IG14" s="48" t="n">
        <v>233431.06</v>
      </c>
      <c r="IH14" s="48" t="n">
        <v>233532.259</v>
      </c>
      <c r="II14" s="48" t="n">
        <v>233644.213</v>
      </c>
      <c r="IJ14" s="48" t="n">
        <v>233747.575</v>
      </c>
      <c r="IK14" s="48" t="n">
        <v>233928.585</v>
      </c>
      <c r="IL14" s="48" t="n">
        <v>234055.992</v>
      </c>
      <c r="IM14" s="48" t="n">
        <v>234187.571</v>
      </c>
      <c r="IN14" s="48" t="n">
        <v>234310.47</v>
      </c>
      <c r="IO14" s="48" t="n">
        <v>234419.993</v>
      </c>
      <c r="IP14" s="48" t="n">
        <v>234551.388</v>
      </c>
      <c r="IQ14" s="48" t="n">
        <v>234598.204</v>
      </c>
      <c r="IR14" s="48" t="n">
        <v>234759.312</v>
      </c>
      <c r="IS14" s="48" t="n">
        <v>234876.589</v>
      </c>
      <c r="IT14" s="48" t="n">
        <v>234941.349</v>
      </c>
      <c r="IU14" s="126" t="n"/>
      <c r="IV14" s="48" t="n">
        <v>235037.454</v>
      </c>
      <c r="IW14" s="48" t="n">
        <v>235169.875</v>
      </c>
      <c r="IX14" s="48" t="n">
        <v>235267.332</v>
      </c>
      <c r="IY14" s="48" t="n">
        <v>235392.104</v>
      </c>
      <c r="IZ14" s="48" t="n">
        <v>235570.783</v>
      </c>
      <c r="JA14" s="48" t="n">
        <v>235733.666</v>
      </c>
      <c r="JB14" s="48" t="n">
        <v>235883.75</v>
      </c>
      <c r="JC14" s="48" t="n">
        <v>236053.739</v>
      </c>
      <c r="JD14" s="48" t="n">
        <v>236191.582</v>
      </c>
      <c r="JE14" s="48" t="n">
        <v>236412.166</v>
      </c>
      <c r="JF14" s="48" t="n">
        <v>236514.867</v>
      </c>
      <c r="JG14" s="48" t="n">
        <v>236611.782</v>
      </c>
      <c r="JH14" s="48" t="n">
        <v>236709.628</v>
      </c>
      <c r="JI14" s="48" t="n">
        <v>236826.439</v>
      </c>
      <c r="JJ14" s="48" t="n">
        <v>236913.716</v>
      </c>
      <c r="JK14" s="48" t="n">
        <v>237072.398</v>
      </c>
      <c r="JL14" s="48" t="n">
        <v>237174.265</v>
      </c>
      <c r="JM14" s="48" t="n">
        <v>237327.53</v>
      </c>
      <c r="JN14" s="48" t="n">
        <v>237431.442</v>
      </c>
      <c r="JO14" s="48" t="n">
        <v>237522.174</v>
      </c>
      <c r="JP14" s="48" t="n">
        <v>237621.871</v>
      </c>
      <c r="JQ14" s="48" t="n">
        <v>237720.647</v>
      </c>
      <c r="JR14" s="48" t="n">
        <v>237804.787</v>
      </c>
      <c r="JS14" s="48" t="n">
        <v>238022.304</v>
      </c>
      <c r="JT14" s="48" t="n">
        <v>238110.704</v>
      </c>
      <c r="JU14" s="48" t="n">
        <v>238269.658</v>
      </c>
      <c r="JV14" s="48" t="n">
        <v>238471.771</v>
      </c>
      <c r="JW14" s="48" t="n">
        <v>238557.003</v>
      </c>
      <c r="JX14" s="48" t="n">
        <v>238724.519</v>
      </c>
      <c r="JY14" s="48" t="n">
        <v>238905.588</v>
      </c>
      <c r="JZ14" s="126" t="n"/>
      <c r="KA14" s="48" t="n">
        <v>239046.872</v>
      </c>
      <c r="KB14" s="48" t="n">
        <v>239392.459</v>
      </c>
      <c r="KC14" s="48" t="n">
        <v>239526.844</v>
      </c>
      <c r="KD14" s="48" t="n">
        <v>239613.938</v>
      </c>
      <c r="KE14" s="48" t="n">
        <v>239774.627</v>
      </c>
      <c r="KF14" s="48" t="n">
        <v>239858.539</v>
      </c>
      <c r="KG14" s="48" t="n">
        <v>239945.917</v>
      </c>
      <c r="KH14" s="48" t="n">
        <v>240008.905</v>
      </c>
      <c r="KI14" s="48" t="n">
        <v>240167.027</v>
      </c>
      <c r="KJ14" s="48" t="n">
        <v>240274.024</v>
      </c>
      <c r="KK14" s="48" t="n">
        <v>240403.828</v>
      </c>
      <c r="KL14" s="48" t="n">
        <v>240485.7</v>
      </c>
      <c r="KM14" s="48" t="n">
        <v>240635.411</v>
      </c>
      <c r="KN14" s="48" t="n">
        <v>240756.498</v>
      </c>
      <c r="KO14" s="48" t="n">
        <v>240883.505</v>
      </c>
      <c r="KP14" s="48" t="n">
        <v>241026.575</v>
      </c>
      <c r="KQ14" s="48" t="n">
        <v>241114.23</v>
      </c>
      <c r="KR14" s="48" t="n">
        <v>241240.254</v>
      </c>
      <c r="KS14" s="48" t="n">
        <v>241365.701</v>
      </c>
      <c r="KT14" s="48" t="n">
        <v>241484.483</v>
      </c>
      <c r="KU14" s="48" t="n">
        <v>241646.237</v>
      </c>
      <c r="KV14" s="48" t="n">
        <v>241697.256</v>
      </c>
      <c r="KW14" s="48" t="n">
        <v>241848.377</v>
      </c>
      <c r="KX14" s="48" t="n">
        <v>242002.667</v>
      </c>
      <c r="KY14" s="48" t="n">
        <v>242121.439</v>
      </c>
      <c r="KZ14" s="48" t="n">
        <v>242274.417</v>
      </c>
      <c r="LA14" s="48" t="n">
        <v>242419.177</v>
      </c>
      <c r="LB14" s="48" t="n">
        <v>242485.33</v>
      </c>
      <c r="LC14" s="48" t="n">
        <v>242609.903</v>
      </c>
      <c r="LD14" s="48" t="n">
        <v>242763.645</v>
      </c>
      <c r="LE14" s="48" t="n">
        <v>242972.364</v>
      </c>
      <c r="LF14" s="126" t="n"/>
      <c r="LG14" s="48" t="n">
        <v>243286.492</v>
      </c>
      <c r="LH14" s="48" t="n">
        <v>243509.837</v>
      </c>
      <c r="LI14" s="48" t="n">
        <v>243707.029</v>
      </c>
      <c r="LJ14" s="48" t="n">
        <v>243906.926</v>
      </c>
      <c r="LK14" s="48" t="n">
        <v>244054.464</v>
      </c>
      <c r="LL14" s="48" t="n">
        <v>244176.951</v>
      </c>
      <c r="LM14" s="48" t="n">
        <v>244542.374</v>
      </c>
      <c r="LN14" s="48" t="n">
        <v>244882.286</v>
      </c>
      <c r="LO14" s="48" t="n">
        <v>245044.458</v>
      </c>
      <c r="LP14" s="48" t="n">
        <v>245185.748</v>
      </c>
      <c r="LQ14" s="48" t="n">
        <v>245340.144</v>
      </c>
      <c r="LR14" s="48" t="n">
        <v>245500.638</v>
      </c>
      <c r="LS14" s="48" t="n">
        <v>245608.847</v>
      </c>
      <c r="LT14" s="48" t="n">
        <v>245725.127</v>
      </c>
      <c r="LU14" s="48" t="n">
        <v>245935.716</v>
      </c>
      <c r="LV14" s="48" t="n">
        <v>246060.945</v>
      </c>
      <c r="LW14" s="48" t="n">
        <v>246204.183</v>
      </c>
      <c r="LX14" s="48" t="n">
        <v>246377.823</v>
      </c>
      <c r="LY14" s="48" t="n">
        <v>246545.943</v>
      </c>
      <c r="LZ14" s="48" t="n">
        <v>246741.576</v>
      </c>
      <c r="MA14" s="48" t="n">
        <v>246907.156</v>
      </c>
      <c r="MB14" s="48" t="n">
        <v>247163.385</v>
      </c>
      <c r="MC14" s="48" t="n">
        <v>247248.252</v>
      </c>
      <c r="MD14" s="48" t="n">
        <v>247495.398</v>
      </c>
      <c r="ME14" s="48" t="n">
        <v>247623.613</v>
      </c>
      <c r="MF14" s="48" t="n">
        <v>247767.459</v>
      </c>
      <c r="MG14" s="48" t="n">
        <v>247913.632</v>
      </c>
      <c r="MH14" s="48" t="n">
        <v>248118.435</v>
      </c>
      <c r="MI14" s="48" t="n">
        <v>248305.1</v>
      </c>
      <c r="MJ14" s="48" t="n">
        <v>248384.2</v>
      </c>
      <c r="MK14" s="126" t="n"/>
      <c r="ML14" s="48" t="n">
        <v>248544.773</v>
      </c>
      <c r="MM14" s="48" t="n">
        <v>248736.199</v>
      </c>
      <c r="MN14" s="48" t="n">
        <v>248871.29</v>
      </c>
      <c r="MO14" s="48" t="n">
        <v>249058.977</v>
      </c>
      <c r="MP14" s="48" t="n">
        <v>249164.168</v>
      </c>
      <c r="MQ14" s="48" t="n">
        <v>249248.558</v>
      </c>
      <c r="MR14" s="48" t="n">
        <v>249460.443</v>
      </c>
      <c r="MS14" s="48" t="n">
        <v>249569.031</v>
      </c>
      <c r="MT14" s="48" t="n">
        <v>249680.159</v>
      </c>
      <c r="MU14" s="48" t="n">
        <v>249739.594</v>
      </c>
      <c r="MV14" s="48" t="n">
        <v>249894.495</v>
      </c>
      <c r="MW14" s="48" t="n">
        <v>250062.906</v>
      </c>
      <c r="MX14" s="48" t="n">
        <v>250302.318</v>
      </c>
      <c r="MY14" s="48" t="n">
        <v>250455.993</v>
      </c>
      <c r="MZ14" s="48" t="n">
        <v>250560.466</v>
      </c>
      <c r="NA14" s="48" t="n">
        <v>250731.346</v>
      </c>
      <c r="NB14" s="48" t="n">
        <v>250899.8</v>
      </c>
      <c r="NC14" s="48" t="n">
        <v>251074.751</v>
      </c>
      <c r="ND14" s="48" t="n">
        <v>251262.452</v>
      </c>
      <c r="NE14" s="48" t="n">
        <v>251437.112</v>
      </c>
      <c r="NF14" s="48" t="n">
        <v>251526.519</v>
      </c>
      <c r="NG14" s="48" t="n">
        <v>251623.397</v>
      </c>
      <c r="NH14" s="48" t="n">
        <v>251721.372</v>
      </c>
      <c r="NI14" s="48" t="n">
        <v>251829.542</v>
      </c>
      <c r="NJ14" s="48" t="n">
        <v>251957.808</v>
      </c>
      <c r="NK14" s="48" t="n">
        <v>252104.403</v>
      </c>
      <c r="NL14" s="48" t="n">
        <v>252304.205</v>
      </c>
      <c r="NM14" s="48" t="n">
        <v>252396.029</v>
      </c>
      <c r="NN14" s="48" t="n">
        <v>252543.409</v>
      </c>
      <c r="NO14" s="48" t="n">
        <v>252656.668</v>
      </c>
      <c r="NP14" s="48" t="n">
        <v>252770.988</v>
      </c>
      <c r="NQ14" s="126" t="n"/>
      <c r="NR14" s="48" t="n">
        <v>252917.324</v>
      </c>
      <c r="NS14" s="48" t="n">
        <v>253021.052</v>
      </c>
      <c r="NT14" s="48" t="n">
        <v>253154.979</v>
      </c>
      <c r="NU14" s="48" t="n">
        <v>253292.087</v>
      </c>
      <c r="NV14" s="48" t="n">
        <v>253484.812</v>
      </c>
      <c r="NW14" s="48" t="n">
        <v>253721.068</v>
      </c>
      <c r="NX14" s="48" t="n">
        <v>253819.795</v>
      </c>
      <c r="NY14" s="48" t="n">
        <v>253954.532</v>
      </c>
      <c r="NZ14" s="48" t="n">
        <v>254103.928</v>
      </c>
      <c r="OA14" s="48" t="n">
        <v>254235.593</v>
      </c>
      <c r="OB14" s="48" t="n">
        <v>254386.103</v>
      </c>
      <c r="OC14" s="48" t="n">
        <v>254536.322</v>
      </c>
      <c r="OD14" s="48" t="n">
        <v>254660.473</v>
      </c>
      <c r="OE14" s="48" t="n">
        <v>254845.212</v>
      </c>
      <c r="OF14" s="48" t="n">
        <v>254984.219</v>
      </c>
      <c r="OG14" s="48" t="n">
        <v>255167.593</v>
      </c>
      <c r="OH14" s="48" t="n">
        <v>255301.692</v>
      </c>
      <c r="OI14" s="48" t="n">
        <v>255443.132</v>
      </c>
      <c r="OJ14" s="48" t="n">
        <v>255563.133</v>
      </c>
      <c r="OK14" s="48" t="n">
        <v>255689.673</v>
      </c>
      <c r="OL14" s="48" t="n">
        <v>255871.642</v>
      </c>
      <c r="OM14" s="48" t="n">
        <v>255992.186</v>
      </c>
      <c r="ON14" s="48" t="n">
        <v>256128.095</v>
      </c>
      <c r="OO14" s="48" t="n">
        <v>256273.35</v>
      </c>
      <c r="OP14" s="48" t="n">
        <v>256335.804</v>
      </c>
      <c r="OQ14" s="48" t="n">
        <v>256499.743</v>
      </c>
      <c r="OR14" s="48" t="n">
        <v>256659.939</v>
      </c>
      <c r="OS14" s="48" t="n">
        <v>256747.689</v>
      </c>
      <c r="OT14" s="48" t="n">
        <v>256847.134</v>
      </c>
      <c r="OU14" s="48" t="n">
        <v>257037.288</v>
      </c>
      <c r="OV14" s="48" t="n">
        <v>257229.36</v>
      </c>
      <c r="OW14" s="126" t="n"/>
      <c r="OX14" s="48" t="n">
        <v>257362.584</v>
      </c>
      <c r="OY14" s="48" t="n">
        <v>257451.479</v>
      </c>
      <c r="OZ14" s="48" t="n">
        <v>257559.252</v>
      </c>
      <c r="PA14" s="48" t="n">
        <v>257698.34</v>
      </c>
      <c r="PB14" s="48" t="n">
        <v>257836.466</v>
      </c>
      <c r="PC14" s="48" t="n">
        <v>258010.722</v>
      </c>
      <c r="PD14" s="48" t="n">
        <v>258284.644</v>
      </c>
      <c r="PE14" s="48" t="n">
        <v>258348.839</v>
      </c>
      <c r="PF14" s="48" t="n">
        <v>258402.77</v>
      </c>
      <c r="PG14" s="48" t="n">
        <v>258448.036</v>
      </c>
      <c r="PH14" s="48" t="n">
        <v>258579.605</v>
      </c>
      <c r="PI14" s="48" t="n">
        <v>258688.262</v>
      </c>
      <c r="PJ14" s="48" t="n">
        <v>258839.006</v>
      </c>
      <c r="PK14" s="48" t="n">
        <v>259053.996</v>
      </c>
      <c r="PL14" s="48" t="n">
        <v>259124.014</v>
      </c>
      <c r="PM14" s="48" t="n">
        <v>259243.847</v>
      </c>
      <c r="PN14" s="48" t="n">
        <v>259375.02</v>
      </c>
      <c r="PO14" s="48" t="n">
        <v>259492.145</v>
      </c>
      <c r="PP14" s="48" t="n">
        <v>259629.974</v>
      </c>
      <c r="PQ14" s="48" t="n">
        <v>259753.607</v>
      </c>
      <c r="PR14" s="48" t="n">
        <v>259814.958</v>
      </c>
      <c r="PS14" s="48" t="n">
        <v>259856.467</v>
      </c>
      <c r="PT14" s="48" t="n">
        <v>259970.326</v>
      </c>
      <c r="PU14" s="48" t="n">
        <v>260107.12</v>
      </c>
      <c r="PV14" s="48" t="n">
        <v>260170.977</v>
      </c>
      <c r="PW14" s="48" t="n">
        <v>260246.208</v>
      </c>
      <c r="PX14" s="48" t="n">
        <v>260379.604</v>
      </c>
      <c r="PY14" s="48" t="n">
        <v>260450.665</v>
      </c>
      <c r="PZ14" s="48" t="n">
        <v>260560.592</v>
      </c>
      <c r="QA14" s="48" t="n">
        <v>260661.148</v>
      </c>
      <c r="QB14" s="126" t="n"/>
      <c r="QC14" s="48" t="n">
        <v>260760.354</v>
      </c>
      <c r="QD14" s="48" t="n">
        <v>260818.048</v>
      </c>
      <c r="QE14" s="48" t="n">
        <v>260885.248</v>
      </c>
      <c r="QF14" s="48" t="n">
        <v>261012.798</v>
      </c>
      <c r="QG14" s="48" t="n">
        <v>261125.778</v>
      </c>
      <c r="QH14" s="48" t="n">
        <v>261243.978</v>
      </c>
      <c r="QI14" s="48" t="n">
        <v>261473.15</v>
      </c>
      <c r="QJ14" s="48" t="n">
        <v>261555.75</v>
      </c>
      <c r="QK14" s="48" t="n">
        <v>261694.607</v>
      </c>
      <c r="QL14" s="48" t="n">
        <v>261803.014</v>
      </c>
      <c r="QM14" s="48" t="n">
        <v>261924.014</v>
      </c>
      <c r="QN14" s="48" t="n">
        <v>262088.714</v>
      </c>
      <c r="QO14" s="48" t="n">
        <v>262177.314</v>
      </c>
      <c r="QP14" s="48" t="n">
        <v>262325.389</v>
      </c>
      <c r="QQ14" s="48" t="n">
        <v>262456.289</v>
      </c>
      <c r="QR14" s="48" t="n">
        <v>262529.689</v>
      </c>
      <c r="QS14" s="48" t="n">
        <v>262688.164</v>
      </c>
      <c r="QT14" s="48" t="n">
        <v>262784.781</v>
      </c>
      <c r="QU14" s="48" t="n">
        <v>262942.781</v>
      </c>
      <c r="QV14" s="48" t="n">
        <v>263071.781</v>
      </c>
      <c r="QW14" s="48" t="n">
        <v>263206.381</v>
      </c>
      <c r="QX14" s="48" t="n">
        <v>263289.581</v>
      </c>
      <c r="QY14" s="48" t="n">
        <v>263337.081</v>
      </c>
      <c r="QZ14" s="48" t="n">
        <v>263419.106</v>
      </c>
      <c r="RA14" s="48" t="n">
        <v>263621.136</v>
      </c>
      <c r="RB14" s="48" t="n">
        <v>263775.836</v>
      </c>
      <c r="RC14" s="48" t="n">
        <v>263874.71</v>
      </c>
      <c r="RD14" s="48" t="n">
        <v>264002.038</v>
      </c>
      <c r="RE14" s="48" t="n">
        <v>264121.738</v>
      </c>
      <c r="RF14" s="48" t="n">
        <v>264215.706</v>
      </c>
      <c r="RG14" s="48" t="n">
        <v>264313.019</v>
      </c>
      <c r="RH14" s="126" t="n"/>
      <c r="RI14" s="48" t="n">
        <v>264536.313</v>
      </c>
      <c r="RJ14" s="48" t="n">
        <v>264628.518</v>
      </c>
      <c r="RK14" s="48" t="n">
        <v>264695.261</v>
      </c>
      <c r="RL14" s="48" t="n">
        <v>264889.283</v>
      </c>
      <c r="RM14" s="48" t="n">
        <v>264986.118</v>
      </c>
      <c r="RN14" s="48" t="n">
        <v>265094.065</v>
      </c>
      <c r="RO14" s="48" t="n">
        <v>265177.669</v>
      </c>
      <c r="RP14" s="48" t="n">
        <v>265328.188</v>
      </c>
      <c r="RQ14" s="48" t="n">
        <v>265507.579</v>
      </c>
      <c r="RR14" s="48" t="n">
        <v>265606.204</v>
      </c>
      <c r="RS14" s="48" t="n">
        <v>265695.802</v>
      </c>
      <c r="RT14" s="48" t="n">
        <v>265797.627</v>
      </c>
      <c r="RU14" s="48" t="n">
        <v>265875.595</v>
      </c>
      <c r="RV14" s="48" t="n">
        <v>265945.645</v>
      </c>
      <c r="RW14" s="48" t="n">
        <v>266058.298</v>
      </c>
      <c r="RX14" s="48" t="n">
        <v>266237.245</v>
      </c>
      <c r="RY14" s="48" t="n">
        <v>266302.191</v>
      </c>
      <c r="RZ14" s="48" t="n">
        <v>266397.353</v>
      </c>
      <c r="SA14" s="48" t="n">
        <v>266577.24</v>
      </c>
      <c r="SB14" s="48" t="n">
        <v>266687.457</v>
      </c>
      <c r="SC14" s="48" t="n">
        <v>266866.205</v>
      </c>
      <c r="SD14" s="48" t="n">
        <v>266980.408</v>
      </c>
      <c r="SE14" s="48" t="n">
        <v>267157.731</v>
      </c>
      <c r="SF14" s="48" t="n">
        <v>267309.585</v>
      </c>
      <c r="SG14" s="48" t="n">
        <v>267379.723</v>
      </c>
      <c r="SH14" s="48" t="n">
        <v>267527.888</v>
      </c>
      <c r="SI14" s="48" t="n">
        <v>267678.83</v>
      </c>
      <c r="SJ14" s="48" t="n">
        <v>267777.765</v>
      </c>
      <c r="SK14" s="48" t="n">
        <v>267894.005</v>
      </c>
      <c r="SL14" s="48" t="n">
        <v>268142.965</v>
      </c>
      <c r="SM14" s="126" t="n"/>
      <c r="SN14" s="48" t="n">
        <v>268263.405</v>
      </c>
      <c r="SO14" s="48" t="n">
        <v>268350.512</v>
      </c>
      <c r="SP14" s="48" t="n">
        <v>268476.27</v>
      </c>
      <c r="SQ14" s="48" t="n">
        <v>268613.888</v>
      </c>
      <c r="SR14" s="48" t="n">
        <v>268718.582</v>
      </c>
      <c r="SS14" s="48" t="n">
        <v>268823.073</v>
      </c>
      <c r="ST14" s="48" t="n">
        <v>268986.254</v>
      </c>
      <c r="SU14" s="48" t="n">
        <v>269089.92</v>
      </c>
      <c r="SV14" s="48" t="n">
        <v>269224.614</v>
      </c>
      <c r="SW14" s="48" t="n">
        <v>269416.043</v>
      </c>
      <c r="SX14" s="48" t="n">
        <v>269632.809</v>
      </c>
      <c r="SY14" s="48" t="n">
        <v>269773.293</v>
      </c>
      <c r="SZ14" s="48" t="n">
        <v>269970.01</v>
      </c>
      <c r="TA14" s="48" t="n">
        <v>270115.715</v>
      </c>
      <c r="TB14" s="48" t="n">
        <v>270198.935</v>
      </c>
      <c r="TC14" s="48" t="n">
        <v>270324.291</v>
      </c>
      <c r="TD14" s="48" t="n">
        <v>270424.665</v>
      </c>
      <c r="TE14" s="48" t="n">
        <v>270553.594</v>
      </c>
      <c r="TF14" s="48" t="n">
        <v>270702.299</v>
      </c>
      <c r="TG14" s="48" t="n">
        <v>270807.606</v>
      </c>
      <c r="TH14" s="48" t="n">
        <v>270963.816</v>
      </c>
      <c r="TI14" s="48" t="n">
        <v>271114.856</v>
      </c>
      <c r="TJ14" s="48" t="n">
        <v>271245.519</v>
      </c>
      <c r="TK14" s="48" t="n">
        <v>271439.582</v>
      </c>
      <c r="TL14" s="48" t="n">
        <v>271463.301</v>
      </c>
      <c r="TM14" s="48" t="n">
        <v>271525.258</v>
      </c>
      <c r="TN14" s="48" t="n">
        <v>271621.058</v>
      </c>
      <c r="TO14" s="48" t="n">
        <v>271730.866</v>
      </c>
      <c r="TP14" s="48" t="n">
        <v>271841.084</v>
      </c>
      <c r="TQ14" s="48" t="n">
        <v>271930.24</v>
      </c>
      <c r="TR14" s="48" t="n">
        <v>272052.727</v>
      </c>
      <c r="TS14" s="126" t="n"/>
      <c r="TT14" s="48" t="n">
        <v>272086.057</v>
      </c>
      <c r="TU14" s="48" t="n">
        <v>272175.213</v>
      </c>
      <c r="TV14" s="48" t="n">
        <v>272269.68</v>
      </c>
      <c r="TW14" s="48" t="n">
        <v>272348.707</v>
      </c>
      <c r="TX14" s="48" t="n">
        <v>272443.79</v>
      </c>
      <c r="TY14" s="48" t="n">
        <v>272570.883</v>
      </c>
      <c r="TZ14" s="48" t="n">
        <v>272738.973</v>
      </c>
      <c r="UA14" s="48" t="n">
        <v>272835.487</v>
      </c>
      <c r="UB14" s="48" t="n">
        <v>272942.13</v>
      </c>
      <c r="UC14" s="48" t="n">
        <v>273098.84</v>
      </c>
      <c r="UD14" s="48" t="n">
        <v>273254.234</v>
      </c>
      <c r="UE14" s="48" t="n">
        <v>273381.634</v>
      </c>
      <c r="UF14" s="48" t="n">
        <v>273468.95</v>
      </c>
      <c r="UG14" s="48" t="n">
        <v>273602.281</v>
      </c>
      <c r="UH14" s="48" t="n">
        <v>273708.408</v>
      </c>
      <c r="UI14" s="48" t="n">
        <v>273788.769</v>
      </c>
      <c r="UJ14" s="48" t="n">
        <v>273867.084</v>
      </c>
      <c r="UK14" s="48" t="n">
        <v>274004.08</v>
      </c>
      <c r="UL14" s="48" t="n">
        <v>274052.957</v>
      </c>
      <c r="UM14" s="48" t="n">
        <v>274164.607</v>
      </c>
      <c r="UN14" s="48" t="n">
        <v>274220.018</v>
      </c>
      <c r="UO14" s="48" t="n">
        <v>274374.813</v>
      </c>
      <c r="UP14" s="48" t="n">
        <v>274540.278</v>
      </c>
      <c r="UQ14" s="48" t="n">
        <v>274693.646</v>
      </c>
      <c r="UR14" s="48" t="n">
        <v>274815.928</v>
      </c>
      <c r="US14" s="48" t="n">
        <v>274943.117</v>
      </c>
      <c r="UT14" s="48" t="n">
        <v>275069.68</v>
      </c>
      <c r="UU14" s="48" t="n">
        <v>275151.062</v>
      </c>
      <c r="UV14" s="48" t="n">
        <v>275227.339</v>
      </c>
      <c r="UW14" s="48" t="n">
        <v>275377.329</v>
      </c>
      <c r="UX14" s="48" t="n">
        <v>275544.799</v>
      </c>
      <c r="UY14" s="126" t="n"/>
      <c r="UZ14" s="48" t="n">
        <v>275735.26</v>
      </c>
      <c r="VA14" s="48" t="n">
        <v>275855.599</v>
      </c>
      <c r="VB14" s="48" t="n">
        <v>275936.781</v>
      </c>
      <c r="VC14" s="48" t="n">
        <v>276087.28</v>
      </c>
      <c r="VD14" s="48" t="n">
        <v>276210.17</v>
      </c>
      <c r="VE14" s="48" t="n">
        <v>276363.114</v>
      </c>
      <c r="VF14" s="48" t="n">
        <v>276604.21</v>
      </c>
      <c r="VG14" s="48" t="n">
        <v>276693.392</v>
      </c>
      <c r="VH14" s="48" t="n">
        <v>276779.628</v>
      </c>
      <c r="VI14" s="48" t="n">
        <v>276891.969</v>
      </c>
      <c r="VJ14" s="48" t="n">
        <v>276959.929</v>
      </c>
      <c r="VK14" s="48" t="n">
        <v>277079.928</v>
      </c>
      <c r="VL14" s="48" t="n">
        <v>277180.943</v>
      </c>
      <c r="VM14" s="48" t="n">
        <v>277441.346</v>
      </c>
      <c r="VN14" s="48" t="n">
        <v>277498.079</v>
      </c>
      <c r="VO14" s="48" t="n">
        <v>277721.263</v>
      </c>
      <c r="VP14" s="48" t="n">
        <v>277844.391</v>
      </c>
      <c r="VQ14" s="48" t="n">
        <v>277916.224</v>
      </c>
      <c r="VR14" s="48" t="n">
        <v>278017.426</v>
      </c>
      <c r="VS14" s="48" t="n">
        <v>278160.097</v>
      </c>
      <c r="VT14" s="48" t="n">
        <v>278257.644</v>
      </c>
      <c r="VU14" s="48" t="n">
        <v>278386.001</v>
      </c>
      <c r="VV14" s="48" t="n">
        <v>278545.775</v>
      </c>
      <c r="VW14" s="48" t="n">
        <v>278657.106</v>
      </c>
      <c r="VX14" s="48" t="n">
        <v>278766.895</v>
      </c>
      <c r="VY14" s="48" t="n">
        <v>278855.052</v>
      </c>
      <c r="VZ14" s="48" t="n">
        <v>278993.831</v>
      </c>
      <c r="WA14" s="48" t="n">
        <v>279137.714</v>
      </c>
      <c r="WB14" s="126" t="n"/>
      <c r="WC14" s="48" t="n">
        <v>279269.151</v>
      </c>
      <c r="WD14" s="48" t="n">
        <v>279340.172</v>
      </c>
      <c r="WE14" s="48" t="n">
        <v>279405.68</v>
      </c>
      <c r="WF14" s="48" t="n">
        <v>279508.3</v>
      </c>
      <c r="WG14" s="48" t="n">
        <v>279569.93</v>
      </c>
      <c r="WH14" s="48" t="n">
        <v>279678.102</v>
      </c>
      <c r="WI14" s="48" t="n">
        <v>279777.91</v>
      </c>
      <c r="WJ14" s="48" t="n">
        <v>279908.69</v>
      </c>
      <c r="WK14" s="48" t="n">
        <v>280029.306</v>
      </c>
      <c r="WL14" s="48" t="n">
        <v>280171.128</v>
      </c>
      <c r="WM14" s="48" t="n">
        <v>280359.62</v>
      </c>
      <c r="WN14" s="48" t="n">
        <v>280445.945</v>
      </c>
      <c r="WO14" s="48" t="n">
        <v>280551.89</v>
      </c>
      <c r="WP14" s="48" t="n">
        <v>280682.091</v>
      </c>
      <c r="WQ14" s="48" t="n">
        <v>280878.858</v>
      </c>
      <c r="WR14" s="48" t="n">
        <v>280930.896</v>
      </c>
      <c r="WS14" s="48" t="n">
        <v>281018.039</v>
      </c>
      <c r="WT14" s="48" t="n">
        <v>281138.657</v>
      </c>
      <c r="WU14" s="48" t="n">
        <v>281309.969</v>
      </c>
      <c r="WV14" s="48" t="n">
        <v>281394.052</v>
      </c>
      <c r="WW14" s="48" t="n">
        <v>281487.528</v>
      </c>
      <c r="WX14" s="48" t="n">
        <v>281668.192</v>
      </c>
      <c r="WY14" s="48" t="n">
        <v>281800.657</v>
      </c>
      <c r="WZ14" s="48" t="n">
        <v>281933.719</v>
      </c>
      <c r="XA14" s="48" t="n">
        <v>282029.119</v>
      </c>
      <c r="XB14" s="48" t="n">
        <v>282128.863</v>
      </c>
      <c r="XC14" s="48" t="n">
        <v>282231.867</v>
      </c>
      <c r="XD14" s="48" t="n">
        <v>282313.497</v>
      </c>
      <c r="XE14" s="48" t="n">
        <v>282464.938</v>
      </c>
      <c r="XF14" s="48" t="n">
        <v>282572.078</v>
      </c>
      <c r="XG14" s="48" t="n">
        <v>282637.997</v>
      </c>
      <c r="XH14" s="126" t="n"/>
      <c r="XI14" s="48" t="n">
        <v>282701.669</v>
      </c>
      <c r="XJ14" s="48" t="n">
        <v>282807.185</v>
      </c>
      <c r="XK14" s="48" t="n">
        <v>282956.469</v>
      </c>
      <c r="XL14" s="48" t="n">
        <v>283049.9</v>
      </c>
      <c r="XM14" s="48" t="n">
        <v>283135.86</v>
      </c>
      <c r="XN14" s="48" t="n">
        <v>283199.613</v>
      </c>
      <c r="XO14" s="48" t="n">
        <v>283269.796</v>
      </c>
      <c r="XP14" s="48" t="n">
        <v>283371.941</v>
      </c>
      <c r="XQ14" s="48" t="n">
        <v>283429.861</v>
      </c>
      <c r="XR14" s="48" t="n">
        <v>283579.288</v>
      </c>
      <c r="XS14" s="48" t="n">
        <v>283694.315</v>
      </c>
      <c r="XT14" s="48" t="n">
        <v>283817.949</v>
      </c>
      <c r="XU14" s="48" t="n">
        <v>283901.228</v>
      </c>
      <c r="XV14" s="48" t="n">
        <v>284045.927</v>
      </c>
      <c r="XW14" s="48" t="n">
        <v>284181.004</v>
      </c>
      <c r="XX14" s="48" t="n">
        <v>284304.413</v>
      </c>
      <c r="XY14" s="48" t="n">
        <v>284462.78</v>
      </c>
      <c r="XZ14" s="48" t="n">
        <v>284539.134</v>
      </c>
      <c r="YA14" s="48" t="n">
        <v>284668.109</v>
      </c>
      <c r="YB14" s="48" t="n">
        <v>284731.538</v>
      </c>
      <c r="YC14" s="48" t="n">
        <v>284860.697</v>
      </c>
      <c r="YD14" s="48" t="n">
        <v>285031.993</v>
      </c>
      <c r="YE14" s="48" t="n">
        <v>285130.639</v>
      </c>
      <c r="YF14" s="48" t="n">
        <v>285190.432</v>
      </c>
      <c r="YG14" s="48" t="n">
        <v>285307.187</v>
      </c>
      <c r="YH14" s="48" t="n">
        <v>285466.838</v>
      </c>
      <c r="YI14" s="48" t="n">
        <v>285559.955</v>
      </c>
      <c r="YJ14" s="48" t="n">
        <v>285735.294</v>
      </c>
      <c r="YK14" s="48" t="n">
        <v>285882.005</v>
      </c>
      <c r="YL14" s="48" t="n">
        <v>286047.84</v>
      </c>
      <c r="YM14" s="126" t="n"/>
      <c r="YN14" s="48" t="n">
        <v>286113.277</v>
      </c>
      <c r="YO14" s="48" t="n">
        <v>286242.958</v>
      </c>
      <c r="YP14" s="48" t="n">
        <v>286451.027</v>
      </c>
      <c r="YQ14" s="48" t="n">
        <v>286637.271</v>
      </c>
      <c r="YR14" s="48" t="n">
        <v>286825.143</v>
      </c>
      <c r="YS14" s="48" t="n">
        <v>286983.202</v>
      </c>
      <c r="YT14" s="48" t="n">
        <v>287090.062</v>
      </c>
      <c r="YU14" s="48" t="n">
        <v>287090.062</v>
      </c>
      <c r="YV14" s="48" t="n">
        <v>287174.498</v>
      </c>
      <c r="YW14" s="48" t="n">
        <v>287317.312</v>
      </c>
      <c r="YX14" s="48" t="n">
        <v>287466.394</v>
      </c>
      <c r="YY14" s="48" t="n">
        <v>287560.325</v>
      </c>
      <c r="YZ14" s="48" t="n">
        <v>287648.997</v>
      </c>
      <c r="ZA14" s="48" t="n">
        <v>287772.012</v>
      </c>
      <c r="ZB14" s="48" t="n">
        <v>287926.731</v>
      </c>
      <c r="ZC14" s="48" t="n">
        <v>288029.633</v>
      </c>
      <c r="ZD14" s="48" t="n">
        <v>288212.466</v>
      </c>
      <c r="ZE14" s="48" t="n">
        <v>288342.638</v>
      </c>
      <c r="ZF14" s="48" t="n">
        <v>288507.27</v>
      </c>
      <c r="ZG14" s="48" t="n">
        <v>288657.354</v>
      </c>
      <c r="ZH14" s="48" t="n">
        <v>288828.194</v>
      </c>
      <c r="ZI14" s="48" t="n">
        <v>288954.842</v>
      </c>
      <c r="ZJ14" s="48" t="n">
        <v>289090.282</v>
      </c>
      <c r="ZK14" s="48" t="n">
        <v>289304.608</v>
      </c>
      <c r="ZL14" s="48" t="n">
        <v>289428.23</v>
      </c>
      <c r="ZM14" s="48" t="n">
        <v>289584.171</v>
      </c>
      <c r="ZN14" s="48" t="n">
        <v>289734.272</v>
      </c>
      <c r="ZO14" s="48" t="n">
        <v>289866.735</v>
      </c>
      <c r="ZP14" s="48" t="n">
        <v>290029.46</v>
      </c>
      <c r="ZQ14" s="48" t="n">
        <v>290175.451</v>
      </c>
      <c r="ZR14" s="48" t="n">
        <v>290344.192</v>
      </c>
      <c r="ZS14" s="126" t="n"/>
      <c r="ZT14" s="48" t="n">
        <v>290491.528</v>
      </c>
      <c r="ZU14" s="48" t="n">
        <v>290600.761</v>
      </c>
      <c r="ZV14" s="48" t="n">
        <v>290738.238</v>
      </c>
      <c r="ZW14" s="48" t="n">
        <v>290880.078</v>
      </c>
      <c r="ZX14" s="48" t="n">
        <v>291056.639</v>
      </c>
      <c r="ZY14" s="48" t="n">
        <v>291185.251</v>
      </c>
      <c r="ZZ14" s="48" t="n">
        <v>291350.682</v>
      </c>
      <c r="AAA14" s="48" t="n">
        <v>291540.655</v>
      </c>
      <c r="AAB14" s="48" t="n">
        <v>291671.519</v>
      </c>
      <c r="AAC14" s="48" t="n">
        <v>291807.794</v>
      </c>
      <c r="AAD14" s="48" t="n">
        <v>291907.506</v>
      </c>
      <c r="AAE14" s="48" t="n">
        <v>292027.946</v>
      </c>
      <c r="AAF14" s="48" t="n">
        <v>292225.542</v>
      </c>
      <c r="AAG14" s="48" t="n">
        <v>292439.206</v>
      </c>
      <c r="AAH14" s="48" t="n">
        <v>292546.628</v>
      </c>
      <c r="AAI14" s="48" t="n">
        <v>292693.412</v>
      </c>
      <c r="AAJ14" s="48" t="n">
        <v>292826.86</v>
      </c>
      <c r="AAK14" s="48" t="n">
        <v>292956.923</v>
      </c>
      <c r="AAL14" s="48" t="n">
        <v>293091.239</v>
      </c>
      <c r="AAM14" s="48" t="n">
        <v>293272.852</v>
      </c>
      <c r="AAN14" s="48" t="n">
        <v>293483.255</v>
      </c>
      <c r="AAO14" s="48" t="n">
        <v>293640.737</v>
      </c>
      <c r="AAP14" s="48" t="n">
        <v>293809.075</v>
      </c>
      <c r="AAQ14" s="48" t="n">
        <v>293951.757</v>
      </c>
      <c r="AAR14" s="48" t="n">
        <v>294082.37</v>
      </c>
      <c r="AAS14" s="48" t="n">
        <v>294195.398</v>
      </c>
      <c r="AAT14" s="48" t="n">
        <v>294447.157</v>
      </c>
      <c r="AAU14" s="48" t="n">
        <v>294676.183</v>
      </c>
      <c r="AAV14" s="48" t="n">
        <v>294762.552</v>
      </c>
      <c r="AAW14" s="48" t="n">
        <v>294904.037</v>
      </c>
      <c r="AAX14" s="126" t="n"/>
      <c r="AAY14" s="48" t="n">
        <v>295064.245</v>
      </c>
      <c r="AAZ14" s="48" t="n">
        <v>295212.738</v>
      </c>
      <c r="ABA14" s="48" t="n">
        <v>295348.335</v>
      </c>
      <c r="ABB14" s="48" t="n">
        <v>295510.713</v>
      </c>
      <c r="ABC14" s="48" t="n">
        <v>295763.453</v>
      </c>
      <c r="ABD14" s="48" t="n">
        <v>295856.438</v>
      </c>
      <c r="ABE14" s="48" t="n">
        <v>295950.631</v>
      </c>
      <c r="ABF14" s="48" t="n">
        <v>296104.289</v>
      </c>
      <c r="ABG14" s="48" t="n">
        <v>296225.533</v>
      </c>
      <c r="ABH14" s="48" t="n">
        <v>296369.42</v>
      </c>
      <c r="ABI14" s="48" t="n">
        <v>296522.143</v>
      </c>
      <c r="ABJ14" s="48" t="n">
        <v>296593.67</v>
      </c>
      <c r="ABK14" s="48" t="n">
        <v>296739.157</v>
      </c>
      <c r="ABL14" s="48" t="n">
        <v>296856.395</v>
      </c>
      <c r="ABM14" s="48" t="n">
        <v>297037.546</v>
      </c>
      <c r="ABN14" s="48" t="n">
        <v>297125.121</v>
      </c>
      <c r="ABO14" s="48" t="n">
        <v>297299.647</v>
      </c>
      <c r="ABP14" s="48" t="n">
        <v>297468.788</v>
      </c>
      <c r="ABQ14" s="48" t="n">
        <v>297584.421</v>
      </c>
      <c r="ABR14" s="48" t="n">
        <v>297686.021</v>
      </c>
      <c r="ABS14" s="48" t="n">
        <v>297772.293</v>
      </c>
      <c r="ABT14" s="48" t="n">
        <v>297885.519</v>
      </c>
      <c r="ABU14" s="48" t="n">
        <v>298017.775</v>
      </c>
      <c r="ABV14" s="48" t="n">
        <v>298140.819</v>
      </c>
      <c r="ABW14" s="48" t="n">
        <v>298411.172</v>
      </c>
      <c r="ABX14" s="48" t="n">
        <v>298533.431</v>
      </c>
      <c r="ABY14" s="48" t="n">
        <v>298633.83</v>
      </c>
      <c r="ABZ14" s="48" t="n">
        <v>298791.881</v>
      </c>
      <c r="ACA14" s="48" t="n">
        <v>298903.779</v>
      </c>
      <c r="ACB14" s="48" t="n">
        <v>298996.162</v>
      </c>
      <c r="ACC14" s="48" t="n">
        <v>299179.934</v>
      </c>
      <c r="ACD14" s="126" t="n"/>
      <c r="ACE14" s="48" t="n">
        <v>299323.824</v>
      </c>
      <c r="ACF14" s="48" t="n">
        <v>299492.972</v>
      </c>
      <c r="ACG14" s="48" t="n">
        <v>299684.361</v>
      </c>
      <c r="ACH14" s="48" t="n">
        <v>299838.673</v>
      </c>
      <c r="ACI14" s="48" t="n">
        <v>300029.222</v>
      </c>
      <c r="ACJ14" s="48" t="n">
        <v>300206.008</v>
      </c>
      <c r="ACK14" s="48" t="n">
        <v>300377.346</v>
      </c>
      <c r="ACL14" s="48" t="n">
        <v>300547.294</v>
      </c>
      <c r="ACM14" s="48" t="n">
        <v>300714.348</v>
      </c>
      <c r="ACN14" s="48" t="n">
        <v>300794.627</v>
      </c>
      <c r="ACO14" s="48" t="n">
        <v>301019.579</v>
      </c>
      <c r="ACP14" s="48" t="n">
        <v>301138.546</v>
      </c>
      <c r="ACQ14" s="48" t="n">
        <v>301234.024</v>
      </c>
      <c r="ACR14" s="48" t="n">
        <v>301345.494</v>
      </c>
      <c r="ACS14" s="48" t="n">
        <v>301442.668</v>
      </c>
      <c r="ACT14" s="48" t="n">
        <v>301561.805</v>
      </c>
      <c r="ACU14" s="48" t="n">
        <v>301757.634</v>
      </c>
      <c r="ACV14" s="48" t="n">
        <v>301888.205</v>
      </c>
      <c r="ACW14" s="48" t="n">
        <v>302030.679</v>
      </c>
      <c r="ACX14" s="48" t="n">
        <v>302130.531</v>
      </c>
      <c r="ACY14" s="48" t="n">
        <v>302236.314</v>
      </c>
      <c r="ACZ14" s="48" t="n">
        <v>302372.431</v>
      </c>
      <c r="ADA14" s="48" t="n">
        <v>302475.311</v>
      </c>
      <c r="ADB14" s="48" t="n">
        <v>302600.227</v>
      </c>
      <c r="ADC14" s="48" t="n">
        <v>302649.631</v>
      </c>
      <c r="ADD14" s="48" t="n">
        <v>302772.368</v>
      </c>
      <c r="ADE14" s="48" t="n">
        <v>302928.992</v>
      </c>
      <c r="ADF14" s="48" t="n">
        <v>303026.155</v>
      </c>
      <c r="ADG14" s="48" t="n">
        <v>303254.465</v>
      </c>
      <c r="ADH14" s="48" t="n">
        <v>303384.688</v>
      </c>
      <c r="ADI14" s="48" t="n">
        <v>303469.847</v>
      </c>
      <c r="ADJ14" s="126" t="n"/>
      <c r="ADK14" s="48" t="n">
        <v>303585.842</v>
      </c>
      <c r="ADL14" s="48" t="n">
        <v>303695.602</v>
      </c>
      <c r="ADM14" s="48" t="n">
        <v>303780.653</v>
      </c>
      <c r="ADN14" s="48" t="n">
        <v>303915.061</v>
      </c>
      <c r="ADO14" s="48" t="n">
        <v>304061.011</v>
      </c>
      <c r="ADP14" s="48" t="n">
        <v>304206.837</v>
      </c>
      <c r="ADQ14" s="48" t="n">
        <v>304320.589</v>
      </c>
      <c r="ADR14" s="48" t="n">
        <v>304456.951</v>
      </c>
      <c r="ADS14" s="48" t="n">
        <v>304633.858</v>
      </c>
      <c r="ADT14" s="48" t="n">
        <v>304757.359</v>
      </c>
      <c r="ADU14" s="48" t="n">
        <v>304904.184</v>
      </c>
      <c r="ADV14" s="48" t="n">
        <v>305007.913</v>
      </c>
      <c r="ADW14" s="48" t="n">
        <v>305160.415</v>
      </c>
      <c r="ADX14" s="48" t="n">
        <v>305215.099</v>
      </c>
      <c r="ADY14" s="48" t="n">
        <v>305358.442</v>
      </c>
      <c r="ADZ14" s="48" t="n">
        <v>305507.571</v>
      </c>
      <c r="AEA14" s="48" t="n">
        <v>305553.689</v>
      </c>
      <c r="AEB14" s="48" t="n">
        <v>305648.067</v>
      </c>
      <c r="AEC14" s="48" t="n">
        <v>305704.941</v>
      </c>
      <c r="AED14" s="48" t="n">
        <v>305820.562</v>
      </c>
      <c r="AEE14" s="48" t="n">
        <v>305903.335</v>
      </c>
      <c r="AEF14" s="48" t="n">
        <v>306088.522</v>
      </c>
      <c r="AEG14" s="48" t="n">
        <v>306219.938</v>
      </c>
      <c r="AEH14" s="48" t="n">
        <v>306333.152</v>
      </c>
      <c r="AEI14" s="48" t="n">
        <v>306438.763</v>
      </c>
      <c r="AEJ14" s="48" t="n">
        <v>306660.218</v>
      </c>
      <c r="AEK14" s="48" t="n">
        <v>306818.447</v>
      </c>
      <c r="AEL14" s="48" t="n">
        <v>306923.856</v>
      </c>
      <c r="AEM14" s="48" t="n">
        <v>307049.072</v>
      </c>
      <c r="AEN14" s="48" t="n">
        <v>307114.928</v>
      </c>
      <c r="AEO14" s="126" t="n"/>
      <c r="AEP14" s="48" t="n">
        <v>307178.73</v>
      </c>
      <c r="AEQ14" s="48" t="n">
        <v>307278.236</v>
      </c>
      <c r="AER14" s="48" t="n">
        <v>307476.415</v>
      </c>
      <c r="AES14" s="48" t="n">
        <v>307543.794</v>
      </c>
      <c r="AET14" s="48" t="n">
        <v>307625.025</v>
      </c>
      <c r="AEU14" s="48" t="n">
        <v>307930.283</v>
      </c>
      <c r="AEV14" s="48" t="n">
        <v>308064.088</v>
      </c>
      <c r="AEW14" s="48" t="n">
        <v>308201.692</v>
      </c>
      <c r="AEX14" s="48" t="n">
        <v>308292.101</v>
      </c>
      <c r="AEY14" s="48" t="n">
        <v>308437.032</v>
      </c>
      <c r="AEZ14" s="48" t="n">
        <v>308565.251</v>
      </c>
      <c r="AFA14" s="48" t="n">
        <v>308644.264</v>
      </c>
      <c r="AFB14" s="48" t="n">
        <v>308779.278</v>
      </c>
      <c r="AFC14" s="48" t="n">
        <v>308850.877</v>
      </c>
      <c r="AFD14" s="48" t="n">
        <v>308912.677</v>
      </c>
      <c r="AFE14" s="48" t="n">
        <v>309067.095</v>
      </c>
      <c r="AFF14" s="48" t="n">
        <v>309131.699</v>
      </c>
      <c r="AFG14" s="48" t="n">
        <v>309266.754</v>
      </c>
      <c r="AFH14" s="48" t="n">
        <v>309409.368</v>
      </c>
      <c r="AFI14" s="48" t="n">
        <v>309537.179</v>
      </c>
      <c r="AFJ14" s="48" t="n">
        <v>309680.894</v>
      </c>
      <c r="AFK14" s="48" t="n">
        <v>309824.504</v>
      </c>
      <c r="AFL14" s="48" t="n">
        <v>309906.11</v>
      </c>
      <c r="AFM14" s="48" t="n">
        <v>310033.726</v>
      </c>
      <c r="AFN14" s="48" t="n">
        <v>310148.679</v>
      </c>
      <c r="AFO14" s="48" t="n">
        <v>310266.285</v>
      </c>
      <c r="AFP14" s="48" t="n">
        <v>310358.107</v>
      </c>
      <c r="AFQ14" s="48" t="n">
        <v>310459.727</v>
      </c>
      <c r="AFR14" s="48" t="n">
        <v>310552.252</v>
      </c>
      <c r="AFS14" s="48" t="n">
        <v>310671.903</v>
      </c>
      <c r="AFT14" s="48" t="n">
        <v>310823.422</v>
      </c>
      <c r="AFU14" s="126" t="n"/>
      <c r="AFV14" s="48" t="n">
        <v>310996.357</v>
      </c>
      <c r="AFW14" s="48" t="n">
        <v>311189.184</v>
      </c>
      <c r="AFX14" s="48" t="n">
        <v>311292.748</v>
      </c>
      <c r="AFY14" s="48" t="n">
        <v>311442.656</v>
      </c>
      <c r="AFZ14" s="48" t="n">
        <v>311596.807</v>
      </c>
      <c r="AGA14" s="48" t="n">
        <v>311735.4</v>
      </c>
      <c r="AGB14" s="48" t="n">
        <v>311864.202</v>
      </c>
      <c r="AGC14" s="48" t="n">
        <v>311913.089</v>
      </c>
      <c r="AGD14" s="48" t="n">
        <v>312070.73</v>
      </c>
      <c r="AGE14" s="48" t="n">
        <v>312176.994</v>
      </c>
      <c r="AGF14" s="48" t="n">
        <v>312286.906</v>
      </c>
      <c r="AGG14" s="48" t="n">
        <v>312411.562</v>
      </c>
      <c r="AGH14" s="48" t="n">
        <v>312608.847</v>
      </c>
      <c r="AGI14" s="48" t="n">
        <v>312710.061</v>
      </c>
      <c r="AGJ14" s="48" t="n">
        <v>312791.144</v>
      </c>
      <c r="AGK14" s="48" t="n">
        <v>312850.735</v>
      </c>
      <c r="AGL14" s="48" t="n">
        <v>313013.597</v>
      </c>
      <c r="AGM14" s="48" t="n">
        <v>313162.29</v>
      </c>
      <c r="AGN14" s="48" t="n">
        <v>313286.534</v>
      </c>
      <c r="AGO14" s="48" t="n">
        <v>313457.67</v>
      </c>
      <c r="AGP14" s="48" t="n">
        <v>313615.858</v>
      </c>
      <c r="AGQ14" s="48" t="n">
        <v>313805.512</v>
      </c>
      <c r="AGR14" s="48" t="n">
        <v>313874.382</v>
      </c>
      <c r="AGS14" s="48" t="n">
        <v>314104.012</v>
      </c>
      <c r="AGT14" s="48" t="n">
        <v>314247.462</v>
      </c>
      <c r="AGU14" s="48" t="n">
        <v>314362.814</v>
      </c>
      <c r="AGV14" s="48" t="n">
        <v>314457.267</v>
      </c>
      <c r="AGW14" s="48" t="n">
        <v>314604.536</v>
      </c>
      <c r="AGX14" s="48" t="n">
        <v>314743.53</v>
      </c>
      <c r="AGY14" s="48" t="n">
        <v>314852.832</v>
      </c>
      <c r="AGZ14" s="126" t="n"/>
      <c r="AHA14" s="48" t="n">
        <v>314949.405</v>
      </c>
      <c r="AHB14" s="48" t="n">
        <v>315076.278</v>
      </c>
      <c r="AHC14" s="48" t="n">
        <v>315144.253</v>
      </c>
      <c r="AHD14" s="48" t="n">
        <v>315285.958</v>
      </c>
      <c r="AHE14" s="48" t="n">
        <v>315425.757</v>
      </c>
      <c r="AHF14" s="48" t="n">
        <v>315545.358</v>
      </c>
      <c r="AHG14" s="48" t="n">
        <v>315683.94</v>
      </c>
      <c r="AHH14" s="48" t="n">
        <v>315759.496</v>
      </c>
      <c r="AHI14" s="48" t="n">
        <v>315860.911</v>
      </c>
      <c r="AHJ14" s="48" t="n">
        <v>315999.317</v>
      </c>
      <c r="AHK14" s="48" t="n">
        <v>316095.679</v>
      </c>
      <c r="AHL14" s="48" t="n">
        <v>316226.993</v>
      </c>
      <c r="AHM14" s="48" t="n">
        <v>316408.632</v>
      </c>
      <c r="AHN14" s="48" t="n">
        <v>316560.762</v>
      </c>
      <c r="AHO14" s="48" t="n">
        <v>316735.824</v>
      </c>
      <c r="AHP14" s="48" t="n">
        <v>316820.676</v>
      </c>
      <c r="AHQ14" s="48" t="n">
        <v>316973.614</v>
      </c>
      <c r="AHR14" s="48" t="n">
        <v>317122.715</v>
      </c>
      <c r="AHS14" s="48" t="n">
        <v>317255.161</v>
      </c>
      <c r="AHT14" s="48" t="n">
        <v>317401.301</v>
      </c>
      <c r="AHU14" s="48" t="n">
        <v>317555.195</v>
      </c>
      <c r="AHV14" s="48" t="n">
        <v>317721.877</v>
      </c>
      <c r="AHW14" s="48" t="n">
        <v>317881.465</v>
      </c>
      <c r="AHX14" s="48" t="n">
        <v>318017.938</v>
      </c>
      <c r="AHY14" s="48" t="n">
        <v>318155.222</v>
      </c>
      <c r="AHZ14" s="48" t="n">
        <v>318235.63</v>
      </c>
      <c r="AIA14" s="48" t="n">
        <v>318323.107</v>
      </c>
      <c r="AIB14" s="48" t="n">
        <v>318371.189</v>
      </c>
      <c r="AIC14" s="48" t="n">
        <v>318448.158</v>
      </c>
      <c r="AID14" s="48" t="n">
        <v>318552.29</v>
      </c>
      <c r="AIE14" s="48" t="n">
        <v>318700.58</v>
      </c>
      <c r="AIF14" s="126" t="n"/>
      <c r="AIG14" s="48" t="n">
        <v>318771.694</v>
      </c>
      <c r="AIH14" s="48" t="n">
        <v>318875.944</v>
      </c>
      <c r="AII14" s="48" t="n">
        <v>318994.019</v>
      </c>
      <c r="AIJ14" s="48" t="n">
        <v>319083.814</v>
      </c>
      <c r="AIK14" s="48" t="n">
        <v>319261.192</v>
      </c>
      <c r="AIL14" s="48" t="n">
        <v>319392.302</v>
      </c>
      <c r="AIM14" s="48" t="n">
        <v>319509.477</v>
      </c>
      <c r="AIN14" s="48" t="n">
        <v>319606.628</v>
      </c>
      <c r="AIO14" s="48" t="n">
        <v>319710.675</v>
      </c>
      <c r="AIP14" s="48" t="n">
        <v>319862.423</v>
      </c>
      <c r="AIQ14" s="48" t="n">
        <v>320032.136</v>
      </c>
      <c r="AIR14" s="48" t="n">
        <v>320138.023</v>
      </c>
      <c r="AIS14" s="48" t="n">
        <v>320240.584</v>
      </c>
      <c r="AIT14" s="48" t="n">
        <v>320348.992</v>
      </c>
      <c r="AIU14" s="48" t="n">
        <v>320521.218</v>
      </c>
      <c r="AIV14" s="48" t="n">
        <v>320555.82</v>
      </c>
      <c r="AIW14" s="48" t="n">
        <v>320588.424</v>
      </c>
      <c r="AIX14" s="48" t="n">
        <v>320608.224</v>
      </c>
      <c r="AIY14" s="48" t="n">
        <v>320710.236</v>
      </c>
      <c r="AIZ14" s="48" t="n">
        <v>320769.636</v>
      </c>
      <c r="AJA14" s="48" t="n">
        <v>320921.118</v>
      </c>
      <c r="AJB14" s="48" t="n">
        <v>321154.724</v>
      </c>
      <c r="AJC14" s="48" t="n">
        <v>321236.326</v>
      </c>
      <c r="AJD14" s="48" t="n">
        <v>321389.948</v>
      </c>
      <c r="AJE14" s="48" t="n">
        <v>321560.088</v>
      </c>
      <c r="AJF14" s="48" t="n">
        <v>321678.897</v>
      </c>
      <c r="AJG14" s="48" t="n">
        <v>321757.104</v>
      </c>
      <c r="AJH14" s="48" t="n">
        <v>321798.289</v>
      </c>
      <c r="AJI14" s="48" t="n">
        <v>321934.439</v>
      </c>
      <c r="AJJ14" s="48" t="n">
        <v>322077.326</v>
      </c>
      <c r="AJK14" s="48" t="n">
        <v>322173.278</v>
      </c>
      <c r="AJL14" s="126" t="n"/>
      <c r="AJM14" s="48" t="n">
        <v>322244.762</v>
      </c>
      <c r="AJN14" s="48" t="n">
        <v>322376.765</v>
      </c>
      <c r="AJO14" s="48" t="n">
        <v>322526.676</v>
      </c>
      <c r="AJP14" s="48" t="n">
        <v>322605.088</v>
      </c>
      <c r="AJQ14" s="48" t="n">
        <v>322698.851</v>
      </c>
      <c r="AJR14" s="48" t="n">
        <v>322791.533</v>
      </c>
      <c r="AJS14" s="48" t="n">
        <v>322940.163</v>
      </c>
      <c r="AJT14" s="48" t="n">
        <v>323080.374</v>
      </c>
      <c r="AJU14" s="48" t="n">
        <v>323270.293</v>
      </c>
      <c r="AJV14" s="48" t="n">
        <v>323379.801</v>
      </c>
      <c r="AJW14" s="48" t="n">
        <v>323461.185</v>
      </c>
      <c r="AJX14" s="48" t="n">
        <v>323587.033</v>
      </c>
      <c r="AJY14" s="48" t="n">
        <v>323755.752</v>
      </c>
      <c r="AJZ14" s="48" t="n">
        <v>323943.897</v>
      </c>
      <c r="AKA14" s="48" t="n">
        <v>324100.103</v>
      </c>
      <c r="AKB14" s="48" t="n">
        <v>324225.358</v>
      </c>
      <c r="AKC14" s="48" t="n">
        <v>324367.743</v>
      </c>
      <c r="AKD14" s="48" t="n">
        <v>324469.329</v>
      </c>
      <c r="AKE14" s="48" t="n">
        <v>324587.065</v>
      </c>
      <c r="AKF14" s="48" t="n">
        <v>324696.894</v>
      </c>
      <c r="AKG14" s="48" t="n">
        <v>324848.497</v>
      </c>
      <c r="AKH14" s="48" t="n">
        <v>324929.782</v>
      </c>
      <c r="AKI14" s="48" t="n">
        <v>325001.472</v>
      </c>
      <c r="AKJ14" s="48" t="n">
        <v>325139.616</v>
      </c>
      <c r="AKK14" s="48" t="n">
        <v>325251.044</v>
      </c>
      <c r="AKL14" s="48" t="n">
        <v>325362.146</v>
      </c>
      <c r="AKM14" s="48" t="n">
        <v>325434.626</v>
      </c>
      <c r="AKN14" s="48" t="n">
        <v>325555.432</v>
      </c>
      <c r="AKO14" s="126" t="n"/>
      <c r="AKP14" s="48" t="n">
        <v>325681.78</v>
      </c>
      <c r="AKQ14" s="48" t="n">
        <v>325813.554</v>
      </c>
      <c r="AKR14" s="48" t="n">
        <v>325939.118</v>
      </c>
      <c r="AKS14" s="48" t="n">
        <v>326012.484</v>
      </c>
      <c r="AKT14" s="48" t="n">
        <v>326127.398</v>
      </c>
      <c r="AKU14" s="48" t="n">
        <v>326196.313</v>
      </c>
      <c r="AKV14" s="48" t="n">
        <v>326255.918</v>
      </c>
      <c r="AKW14" s="48" t="n">
        <v>326465.054</v>
      </c>
      <c r="AKX14" s="48" t="n">
        <v>326687.15</v>
      </c>
      <c r="AKY14" s="48" t="n">
        <v>326795.876</v>
      </c>
      <c r="AKZ14" s="48" t="n">
        <v>326926.619</v>
      </c>
      <c r="ALA14" s="48" t="n">
        <v>326982.69</v>
      </c>
      <c r="ALB14" s="48" t="n">
        <v>327123.237</v>
      </c>
      <c r="ALC14" s="48" t="n">
        <v>327343.851</v>
      </c>
      <c r="ALD14" s="48" t="n">
        <v>327507.931</v>
      </c>
      <c r="ALE14" s="48" t="n">
        <v>327738.486</v>
      </c>
      <c r="ALF14" s="48" t="n">
        <v>327912.753</v>
      </c>
      <c r="ALG14" s="48" t="n">
        <v>327995.143</v>
      </c>
      <c r="ALH14" s="48" t="n">
        <v>328121.072</v>
      </c>
      <c r="ALI14" s="48" t="n">
        <v>328253.321</v>
      </c>
      <c r="ALJ14" s="48" t="n">
        <v>328362.169</v>
      </c>
      <c r="ALK14" s="48" t="n">
        <v>328472.21</v>
      </c>
      <c r="ALL14" s="48" t="n">
        <v>328673.152</v>
      </c>
      <c r="ALM14" s="48" t="n">
        <v>328778.161</v>
      </c>
      <c r="ALN14" s="48" t="n">
        <v>328967.19</v>
      </c>
      <c r="ALO14" s="48" t="n">
        <v>329151.828</v>
      </c>
      <c r="ALP14" s="48" t="n">
        <v>329300.795</v>
      </c>
      <c r="ALQ14" s="48" t="n">
        <v>329431.085</v>
      </c>
      <c r="ALR14" s="48" t="n">
        <v>329551.965</v>
      </c>
      <c r="ALS14" s="48" t="n">
        <v>329705.648</v>
      </c>
      <c r="ALT14" s="48" t="n">
        <v>329786.602</v>
      </c>
      <c r="ALU14" s="126" t="n"/>
      <c r="ALV14" s="48" t="n">
        <v>329882.074</v>
      </c>
      <c r="ALW14" s="48" t="n">
        <v>330040.73</v>
      </c>
      <c r="ALX14" s="48" t="n">
        <v>330166.338</v>
      </c>
      <c r="ALY14" s="48" t="n">
        <v>330277.006</v>
      </c>
      <c r="ALZ14" s="48" t="n">
        <v>330472.62</v>
      </c>
      <c r="AMA14" s="48" t="n">
        <v>330551.97</v>
      </c>
      <c r="AMB14" s="48" t="n">
        <v>330638.555</v>
      </c>
      <c r="AMC14" s="48" t="n">
        <v>330764.555</v>
      </c>
      <c r="AMD14" s="48" t="n">
        <v>330933.324</v>
      </c>
      <c r="AME14" s="48" t="n">
        <v>331036.638</v>
      </c>
      <c r="AMF14" s="48" t="n">
        <v>331166.663</v>
      </c>
      <c r="AMG14" s="48" t="n">
        <v>331358.386</v>
      </c>
      <c r="AMH14" s="48" t="n">
        <v>331564.549</v>
      </c>
      <c r="AMI14" s="48" t="n">
        <v>331684.556</v>
      </c>
      <c r="AMJ14" s="48" t="n">
        <v>331781.965</v>
      </c>
      <c r="AMK14" s="48" t="n">
        <v>331916.736</v>
      </c>
      <c r="AML14" s="48" t="n">
        <v>332017.831</v>
      </c>
      <c r="AMM14" s="48" t="n">
        <v>332190.079</v>
      </c>
      <c r="AMN14" s="48" t="n">
        <v>332347.208</v>
      </c>
      <c r="AMO14" s="48" t="n">
        <v>333539.145</v>
      </c>
      <c r="AMP14" s="48" t="n">
        <v>335868.712</v>
      </c>
      <c r="AMQ14" s="48" t="n">
        <v>336482.674</v>
      </c>
      <c r="AMR14" s="48" t="n">
        <v>337453.624</v>
      </c>
      <c r="AMS14" s="48" t="n">
        <v>338311.551</v>
      </c>
      <c r="AMT14" s="48" t="n">
        <v>339239.673</v>
      </c>
      <c r="AMU14" s="48" t="n">
        <v>339633.496</v>
      </c>
      <c r="AMV14" s="48" t="n">
        <v>339883.914</v>
      </c>
      <c r="AMW14" s="48" t="n">
        <v>339982.281</v>
      </c>
      <c r="AMX14" s="48" t="n">
        <v>341065.117</v>
      </c>
      <c r="AMY14" s="48" t="n">
        <v>341733.578</v>
      </c>
      <c r="AMZ14" s="126" t="n"/>
      <c r="ANA14" s="48" t="n">
        <v>341879.865</v>
      </c>
      <c r="ANB14" s="48" t="n">
        <v>342227.925</v>
      </c>
      <c r="ANC14" s="48" t="n">
        <v>342402.142</v>
      </c>
      <c r="AND14" s="48" t="n">
        <v>342515.65</v>
      </c>
      <c r="ANE14" s="48" t="n">
        <v>342686.257</v>
      </c>
      <c r="ANF14" s="48" t="n">
        <v>342965.124</v>
      </c>
      <c r="ANG14" s="48" t="n">
        <v>343236.454</v>
      </c>
      <c r="ANH14" s="48" t="n">
        <v>343354.664</v>
      </c>
      <c r="ANI14" s="48" t="n">
        <v>343590.317</v>
      </c>
      <c r="ANJ14" s="48" t="n">
        <v>343675.492</v>
      </c>
      <c r="ANK14" s="48" t="n">
        <v>343850.062</v>
      </c>
      <c r="ANL14" s="48" t="n">
        <v>343926.906</v>
      </c>
      <c r="ANM14" s="48" t="n">
        <v>344118.333</v>
      </c>
      <c r="ANN14" s="48" t="n">
        <v>344234.461</v>
      </c>
      <c r="ANO14" s="48" t="n">
        <v>344372.956</v>
      </c>
      <c r="ANP14" s="48" t="n">
        <v>344516.259</v>
      </c>
      <c r="ANQ14" s="48" t="n">
        <v>344607.299</v>
      </c>
      <c r="ANR14" s="48" t="n">
        <v>344736.511</v>
      </c>
      <c r="ANS14" s="48" t="n">
        <v>344821.311</v>
      </c>
      <c r="ANT14" s="48" t="n">
        <v>344926.271</v>
      </c>
      <c r="ANU14" s="48" t="n">
        <v>345004.991</v>
      </c>
      <c r="ANV14" s="48" t="n">
        <v>345134.485</v>
      </c>
      <c r="ANW14" s="48" t="n">
        <v>345211.457</v>
      </c>
      <c r="ANX14" s="48" t="n">
        <v>345346.77</v>
      </c>
      <c r="ANY14" s="48" t="n">
        <v>345419.177</v>
      </c>
      <c r="ANZ14" s="48" t="n">
        <v>345550.007</v>
      </c>
      <c r="AOA14" s="48" t="n">
        <v>345615.447</v>
      </c>
      <c r="AOB14" s="48" t="n">
        <v>345707.235</v>
      </c>
      <c r="AOC14" s="48" t="n">
        <v>345888.5</v>
      </c>
      <c r="AOD14" s="48" t="n">
        <v>345996.666</v>
      </c>
      <c r="AOE14" t="n">
        <v>345996.666</v>
      </c>
    </row>
    <row r="15">
      <c r="A15" s="157" t="n"/>
      <c r="C15" s="6" t="inlineStr">
        <is>
          <t>PMS 4 SALES</t>
        </is>
      </c>
      <c r="D15" s="16">
        <f>D14-D13</f>
        <v/>
      </c>
      <c r="E15" s="16">
        <f>E14-E13</f>
        <v/>
      </c>
      <c r="F15" s="16">
        <f>F14-F13</f>
        <v/>
      </c>
      <c r="G15" s="16">
        <f>G14-G13</f>
        <v/>
      </c>
      <c r="H15" s="16">
        <f>H14-H13</f>
        <v/>
      </c>
      <c r="I15" s="16">
        <f>I14-I13</f>
        <v/>
      </c>
      <c r="J15" s="16">
        <f>J14-J13</f>
        <v/>
      </c>
      <c r="K15" s="16">
        <f>K14-K13</f>
        <v/>
      </c>
      <c r="L15" s="16">
        <f>L14-L13</f>
        <v/>
      </c>
      <c r="M15" s="16">
        <f>M14-M13</f>
        <v/>
      </c>
      <c r="N15" s="16">
        <f>N14-N13</f>
        <v/>
      </c>
      <c r="O15" s="16">
        <f>O14-O13</f>
        <v/>
      </c>
      <c r="P15" s="16">
        <f>P14-P13</f>
        <v/>
      </c>
      <c r="Q15" s="16">
        <f>Q14-Q13</f>
        <v/>
      </c>
      <c r="R15" s="16">
        <f>R14-R13</f>
        <v/>
      </c>
      <c r="S15" s="16">
        <f>S14-S13</f>
        <v/>
      </c>
      <c r="T15" s="16">
        <f>T14-T13</f>
        <v/>
      </c>
      <c r="U15" s="16">
        <f>U14-U13</f>
        <v/>
      </c>
      <c r="V15" s="16">
        <f>V14-V13</f>
        <v/>
      </c>
      <c r="W15" s="16">
        <f>W14-W13</f>
        <v/>
      </c>
      <c r="X15" s="16">
        <f>X14-X13</f>
        <v/>
      </c>
      <c r="Y15" s="16">
        <f>Y14-Y13</f>
        <v/>
      </c>
      <c r="Z15" s="16">
        <f>Z14-Z13</f>
        <v/>
      </c>
      <c r="AA15" s="16">
        <f>AA14-AA13</f>
        <v/>
      </c>
      <c r="AB15" s="16">
        <f>AB14-AB13</f>
        <v/>
      </c>
      <c r="AC15" s="16">
        <f>AC14-AC13</f>
        <v/>
      </c>
      <c r="AD15" s="16">
        <f>AD14-AD13</f>
        <v/>
      </c>
      <c r="AE15" s="16">
        <f>AE14-AE13</f>
        <v/>
      </c>
      <c r="AF15" s="16">
        <f>AF14-AF13</f>
        <v/>
      </c>
      <c r="AG15" s="16">
        <f>AG14-AG13</f>
        <v/>
      </c>
      <c r="AH15" s="16">
        <f>AH14-AH13</f>
        <v/>
      </c>
      <c r="AI15" s="17">
        <f>SUM(D15:AH15)</f>
        <v/>
      </c>
      <c r="AJ15" s="16">
        <f>AJ14-AJ13</f>
        <v/>
      </c>
      <c r="AK15" s="16">
        <f>AK14-AK13</f>
        <v/>
      </c>
      <c r="AL15" s="16">
        <f>AL14-AL13</f>
        <v/>
      </c>
      <c r="AM15" s="16">
        <f>AM14-AM13</f>
        <v/>
      </c>
      <c r="AN15" s="16">
        <f>AN14-AN13</f>
        <v/>
      </c>
      <c r="AO15" s="16">
        <f>AO14-AO13</f>
        <v/>
      </c>
      <c r="AP15" s="16">
        <f>AP14-AP13</f>
        <v/>
      </c>
      <c r="AQ15" s="16">
        <f>AQ14-AQ13</f>
        <v/>
      </c>
      <c r="AR15" s="16">
        <f>AR14-AR13</f>
        <v/>
      </c>
      <c r="AS15" s="16">
        <f>AS14-AS13</f>
        <v/>
      </c>
      <c r="AT15" s="16">
        <f>AT14-AT13</f>
        <v/>
      </c>
      <c r="AU15" s="16">
        <f>AU14-AU13</f>
        <v/>
      </c>
      <c r="AV15" s="16">
        <f>AV14-AV13</f>
        <v/>
      </c>
      <c r="AW15" s="16">
        <f>AW14-AW13</f>
        <v/>
      </c>
      <c r="AX15" s="16">
        <f>AX14-AX13</f>
        <v/>
      </c>
      <c r="AY15" s="16">
        <f>AY14-AY13</f>
        <v/>
      </c>
      <c r="AZ15" s="16">
        <f>AZ14-AZ13</f>
        <v/>
      </c>
      <c r="BA15" s="16">
        <f>BA14-BA13</f>
        <v/>
      </c>
      <c r="BB15" s="16">
        <f>BB14-BB13</f>
        <v/>
      </c>
      <c r="BC15" s="16">
        <f>BC14-BC13</f>
        <v/>
      </c>
      <c r="BD15" s="16">
        <f>BD14-BD13</f>
        <v/>
      </c>
      <c r="BE15" s="16">
        <f>BE14-BE13</f>
        <v/>
      </c>
      <c r="BF15" s="16">
        <f>BF14-BF13</f>
        <v/>
      </c>
      <c r="BG15" s="16">
        <f>BG14-BG13</f>
        <v/>
      </c>
      <c r="BH15" s="16">
        <f>BH14-BH13</f>
        <v/>
      </c>
      <c r="BI15" s="16">
        <f>BI14-BI13</f>
        <v/>
      </c>
      <c r="BJ15" s="16">
        <f>BJ14-BJ13</f>
        <v/>
      </c>
      <c r="BK15" s="16">
        <f>BK14-BK13</f>
        <v/>
      </c>
      <c r="BL15" s="16">
        <f>BL14-BL13</f>
        <v/>
      </c>
      <c r="BM15" s="16">
        <f>BM14-BM13</f>
        <v/>
      </c>
      <c r="BN15" s="89">
        <f>SUM(AJ15:BM15)</f>
        <v/>
      </c>
      <c r="BO15" s="16">
        <f>BO14-BO13</f>
        <v/>
      </c>
      <c r="BP15" s="16">
        <f>BP14-BP13</f>
        <v/>
      </c>
      <c r="BQ15" s="16">
        <f>BQ14-BQ13</f>
        <v/>
      </c>
      <c r="BR15" s="16">
        <f>BR14-BR13</f>
        <v/>
      </c>
      <c r="BS15" s="16">
        <f>BS14-BS13</f>
        <v/>
      </c>
      <c r="BT15" s="16">
        <f>BT14-BT13</f>
        <v/>
      </c>
      <c r="BU15" s="16">
        <f>BU14-BU13</f>
        <v/>
      </c>
      <c r="BV15" s="16">
        <f>BV14-BV13</f>
        <v/>
      </c>
      <c r="BW15" s="16">
        <f>BW14-BW13</f>
        <v/>
      </c>
      <c r="BX15" s="16">
        <f>BX14-BX13</f>
        <v/>
      </c>
      <c r="BY15" s="16">
        <f>BY14-BY13</f>
        <v/>
      </c>
      <c r="BZ15" s="16">
        <f>BZ14-BZ13</f>
        <v/>
      </c>
      <c r="CA15" s="16">
        <f>CA14-CA13</f>
        <v/>
      </c>
      <c r="CB15" s="16">
        <f>CB14-CB13</f>
        <v/>
      </c>
      <c r="CC15" s="16">
        <f>CC14-CC13</f>
        <v/>
      </c>
      <c r="CD15" s="16">
        <f>CD14-CD13</f>
        <v/>
      </c>
      <c r="CE15" s="16">
        <f>CE14-CE13</f>
        <v/>
      </c>
      <c r="CF15" s="16">
        <f>CF14-CF13</f>
        <v/>
      </c>
      <c r="CG15" s="16">
        <f>CG14-CG13</f>
        <v/>
      </c>
      <c r="CH15" s="16">
        <f>CH14-CH13</f>
        <v/>
      </c>
      <c r="CI15" s="16">
        <f>CI14-CI13</f>
        <v/>
      </c>
      <c r="CJ15" s="16">
        <f>CJ14-CJ13</f>
        <v/>
      </c>
      <c r="CK15" s="16">
        <f>CK14-CK13</f>
        <v/>
      </c>
      <c r="CL15" s="16">
        <f>CL14-CL13</f>
        <v/>
      </c>
      <c r="CM15" s="16">
        <f>CM14-CM13</f>
        <v/>
      </c>
      <c r="CN15" s="16">
        <f>CN14-CN13</f>
        <v/>
      </c>
      <c r="CO15" s="16">
        <f>CO14-CO13</f>
        <v/>
      </c>
      <c r="CP15" s="16">
        <f>CP14-CP13</f>
        <v/>
      </c>
      <c r="CQ15" s="16">
        <f>CQ14-CQ13</f>
        <v/>
      </c>
      <c r="CR15" s="16">
        <f>CR14-CR13</f>
        <v/>
      </c>
      <c r="CS15" s="16">
        <f>CS14-CS13</f>
        <v/>
      </c>
      <c r="CT15" s="89">
        <f>SUM(BO15:CS15)</f>
        <v/>
      </c>
      <c r="CU15" s="16">
        <f>CU14-CU13</f>
        <v/>
      </c>
      <c r="CV15" s="16">
        <f>CV14-CV13</f>
        <v/>
      </c>
      <c r="CW15" s="16">
        <f>CW14-CW13</f>
        <v/>
      </c>
      <c r="CX15" s="16">
        <f>CX14-CX13</f>
        <v/>
      </c>
      <c r="CY15" s="16">
        <f>CY14-CY13</f>
        <v/>
      </c>
      <c r="CZ15" s="16">
        <f>CZ14-CZ13</f>
        <v/>
      </c>
      <c r="DA15" s="16">
        <f>DA14-DA13</f>
        <v/>
      </c>
      <c r="DB15" s="16">
        <f>DB14-DB13</f>
        <v/>
      </c>
      <c r="DC15" s="16">
        <f>DC14-DC13</f>
        <v/>
      </c>
      <c r="DD15" s="16">
        <f>DD14-DD13</f>
        <v/>
      </c>
      <c r="DE15" s="16">
        <f>DE14-DE13</f>
        <v/>
      </c>
      <c r="DF15" s="16">
        <f>DF14-DF13</f>
        <v/>
      </c>
      <c r="DG15" s="16">
        <f>DG14-DG13</f>
        <v/>
      </c>
      <c r="DH15" s="16">
        <f>DH14-DH13</f>
        <v/>
      </c>
      <c r="DI15" s="16">
        <f>DI14-DI13</f>
        <v/>
      </c>
      <c r="DJ15" s="16">
        <f>DJ14-DJ13</f>
        <v/>
      </c>
      <c r="DK15" s="16">
        <f>DK14-DK13</f>
        <v/>
      </c>
      <c r="DL15" s="16">
        <f>DL14-DL13</f>
        <v/>
      </c>
      <c r="DM15" s="16">
        <f>DM14-DM13</f>
        <v/>
      </c>
      <c r="DN15" s="16">
        <f>DN14-DN13</f>
        <v/>
      </c>
      <c r="DO15" s="16">
        <f>DO14-DO13</f>
        <v/>
      </c>
      <c r="DP15" s="16">
        <f>DP14-DP13</f>
        <v/>
      </c>
      <c r="DQ15" s="16">
        <f>DQ14-DQ13</f>
        <v/>
      </c>
      <c r="DR15" s="16">
        <f>DR14-DR13</f>
        <v/>
      </c>
      <c r="DS15" s="16">
        <f>DS14-DS13</f>
        <v/>
      </c>
      <c r="DT15" s="16">
        <f>DT14-DT13</f>
        <v/>
      </c>
      <c r="DU15" s="16">
        <f>DU14-DU13</f>
        <v/>
      </c>
      <c r="DV15" s="16">
        <f>DV14-DV13</f>
        <v/>
      </c>
      <c r="DW15" s="16">
        <f>DW14-DW13</f>
        <v/>
      </c>
      <c r="DX15" s="16">
        <f>DX14-DX13</f>
        <v/>
      </c>
      <c r="DY15" s="116">
        <f>SUM(CU15:DX15)</f>
        <v/>
      </c>
      <c r="DZ15" s="16">
        <f>DZ14-DZ13</f>
        <v/>
      </c>
      <c r="EA15" s="16">
        <f>EA14-EA13</f>
        <v/>
      </c>
      <c r="EB15" s="16">
        <f>EB14-EB13</f>
        <v/>
      </c>
      <c r="EC15" s="16">
        <f>EC14-EC13</f>
        <v/>
      </c>
      <c r="ED15" s="16">
        <f>ED14-ED13</f>
        <v/>
      </c>
      <c r="EE15" s="16">
        <f>EE14-EE13</f>
        <v/>
      </c>
      <c r="EF15" s="16">
        <f>EF14-EF13</f>
        <v/>
      </c>
      <c r="EG15" s="16">
        <f>EG14-EG13</f>
        <v/>
      </c>
      <c r="EH15" s="16">
        <f>EH14-EH13</f>
        <v/>
      </c>
      <c r="EI15" s="16">
        <f>EI14-EI13</f>
        <v/>
      </c>
      <c r="EJ15" s="16">
        <f>EJ14-EJ13</f>
        <v/>
      </c>
      <c r="EK15" s="16">
        <f>EK14-EK13</f>
        <v/>
      </c>
      <c r="EL15" s="16">
        <f>EL14-EL13</f>
        <v/>
      </c>
      <c r="EM15" s="16">
        <f>EM14-EM13</f>
        <v/>
      </c>
      <c r="EN15" s="16">
        <f>EN14-EN13</f>
        <v/>
      </c>
      <c r="EO15" s="16">
        <f>EO14-EO13</f>
        <v/>
      </c>
      <c r="EP15" s="16">
        <f>EP14-EP13</f>
        <v/>
      </c>
      <c r="EQ15" s="16">
        <f>EQ14-EQ13</f>
        <v/>
      </c>
      <c r="ER15" s="16">
        <f>ER14-ER13</f>
        <v/>
      </c>
      <c r="ES15" s="16">
        <f>ES14-ES13</f>
        <v/>
      </c>
      <c r="ET15" s="16">
        <f>ET14-ET13</f>
        <v/>
      </c>
      <c r="EU15" s="16">
        <f>EU14-EU13</f>
        <v/>
      </c>
      <c r="EV15" s="16">
        <f>EV14-EV13</f>
        <v/>
      </c>
      <c r="EW15" s="16">
        <f>EW14-EW13</f>
        <v/>
      </c>
      <c r="EX15" s="16">
        <f>EX14-EX13</f>
        <v/>
      </c>
      <c r="EY15" s="16">
        <f>EY14-EY13</f>
        <v/>
      </c>
      <c r="EZ15" s="16">
        <f>EZ14-EZ13</f>
        <v/>
      </c>
      <c r="FA15" s="16">
        <f>FA14-FA13</f>
        <v/>
      </c>
      <c r="FB15" s="16">
        <f>FB14-FB13</f>
        <v/>
      </c>
      <c r="FC15" s="16">
        <f>FC14-FC13</f>
        <v/>
      </c>
      <c r="FD15" s="16">
        <f>FD14-FD13</f>
        <v/>
      </c>
      <c r="FE15" s="127">
        <f>SUM(DZ15:FD15)</f>
        <v/>
      </c>
      <c r="FF15" s="16">
        <f>FF14-FF13</f>
        <v/>
      </c>
      <c r="FG15" s="16">
        <f>FG14-FG13</f>
        <v/>
      </c>
      <c r="FH15" s="16">
        <f>FH14-FH13</f>
        <v/>
      </c>
      <c r="FI15" s="16">
        <f>FI14-FI13</f>
        <v/>
      </c>
      <c r="FJ15" s="16">
        <f>FJ14-FJ13</f>
        <v/>
      </c>
      <c r="FK15" s="16">
        <f>FK14-FK13</f>
        <v/>
      </c>
      <c r="FL15" s="16">
        <f>FL14-FL13</f>
        <v/>
      </c>
      <c r="FM15" s="16">
        <f>FM14-FM13</f>
        <v/>
      </c>
      <c r="FN15" s="16">
        <f>FN14-FN13</f>
        <v/>
      </c>
      <c r="FO15" s="16">
        <f>FO14-FO13</f>
        <v/>
      </c>
      <c r="FP15" s="16">
        <f>FP14-FP13</f>
        <v/>
      </c>
      <c r="FQ15" s="16">
        <f>FQ14-FQ13</f>
        <v/>
      </c>
      <c r="FR15" s="16">
        <f>FR14-FR13</f>
        <v/>
      </c>
      <c r="FS15" s="16">
        <f>FS14-FS13</f>
        <v/>
      </c>
      <c r="FT15" s="16">
        <f>FT14-FT13</f>
        <v/>
      </c>
      <c r="FU15" s="16">
        <f>FU14-FU13</f>
        <v/>
      </c>
      <c r="FV15" s="16">
        <f>FV14-FV13</f>
        <v/>
      </c>
      <c r="FW15" s="16">
        <f>FW14-FW13</f>
        <v/>
      </c>
      <c r="FX15" s="16">
        <f>FX14-FX13</f>
        <v/>
      </c>
      <c r="FY15" s="16">
        <f>FY14-FY13</f>
        <v/>
      </c>
      <c r="FZ15" s="16">
        <f>FZ14-FZ13</f>
        <v/>
      </c>
      <c r="GA15" s="16">
        <f>GA14-GA13</f>
        <v/>
      </c>
      <c r="GB15" s="16">
        <f>GB14-GB13</f>
        <v/>
      </c>
      <c r="GC15" s="16">
        <f>GC14-GC13</f>
        <v/>
      </c>
      <c r="GD15" s="16">
        <f>GD14-GD13</f>
        <v/>
      </c>
      <c r="GE15" s="16">
        <f>GE14-GE13</f>
        <v/>
      </c>
      <c r="GF15" s="16">
        <f>GF14-GF13</f>
        <v/>
      </c>
      <c r="GG15" s="16">
        <f>GG14-GG13</f>
        <v/>
      </c>
      <c r="GH15" s="16">
        <f>GH14-GH13</f>
        <v/>
      </c>
      <c r="GI15" s="16">
        <f>GI14-GI13</f>
        <v/>
      </c>
      <c r="GJ15" s="16">
        <f>GJ14-GJ13</f>
        <v/>
      </c>
      <c r="GK15" s="126" t="n"/>
      <c r="GL15" s="16">
        <f>GL14-GL13</f>
        <v/>
      </c>
      <c r="GM15" s="16">
        <f>GM14-GM13</f>
        <v/>
      </c>
      <c r="GN15" s="16">
        <f>GN14-GN13</f>
        <v/>
      </c>
      <c r="GO15" s="16">
        <f>GO14-GO13</f>
        <v/>
      </c>
      <c r="GP15" s="16">
        <f>GP14-GP13</f>
        <v/>
      </c>
      <c r="GQ15" s="16">
        <f>GQ14-GQ13</f>
        <v/>
      </c>
      <c r="GR15" s="16">
        <f>GR14-GR13</f>
        <v/>
      </c>
      <c r="GS15" s="16">
        <f>GS14-GS13</f>
        <v/>
      </c>
      <c r="GT15" s="16">
        <f>GT14-GT13</f>
        <v/>
      </c>
      <c r="GU15" s="16">
        <f>GU14-GU13</f>
        <v/>
      </c>
      <c r="GV15" s="16">
        <f>GV14-GV13</f>
        <v/>
      </c>
      <c r="GW15" s="16">
        <f>GW14-GW13</f>
        <v/>
      </c>
      <c r="GX15" s="16">
        <f>GX14-GX13</f>
        <v/>
      </c>
      <c r="GY15" s="16">
        <f>GY14-GY13</f>
        <v/>
      </c>
      <c r="GZ15" s="16">
        <f>GZ14-GZ13</f>
        <v/>
      </c>
      <c r="HA15" s="16">
        <f>HA14-HA13</f>
        <v/>
      </c>
      <c r="HB15" s="16">
        <f>HB14-HB13</f>
        <v/>
      </c>
      <c r="HC15" s="16">
        <f>HC14-HC13</f>
        <v/>
      </c>
      <c r="HD15" s="16">
        <f>HD14-HD13</f>
        <v/>
      </c>
      <c r="HE15" s="16">
        <f>HE14-HE13</f>
        <v/>
      </c>
      <c r="HF15" s="16">
        <f>HF14-HF13</f>
        <v/>
      </c>
      <c r="HG15" s="16">
        <f>HG14-HG13</f>
        <v/>
      </c>
      <c r="HH15" s="16">
        <f>HH14-HH13</f>
        <v/>
      </c>
      <c r="HI15" s="16">
        <f>HI14-HI13</f>
        <v/>
      </c>
      <c r="HJ15" s="16">
        <f>HJ14-HJ13</f>
        <v/>
      </c>
      <c r="HK15" s="16">
        <f>HK14-HK13</f>
        <v/>
      </c>
      <c r="HL15" s="16">
        <f>HL14-HL13</f>
        <v/>
      </c>
      <c r="HM15" s="16">
        <f>HM14-HM13</f>
        <v/>
      </c>
      <c r="HN15" s="16">
        <f>HN14-HN13</f>
        <v/>
      </c>
      <c r="HO15" s="126" t="n"/>
      <c r="HP15" s="16">
        <f>HP14-HP13</f>
        <v/>
      </c>
      <c r="HQ15" s="16">
        <f>HQ14-HQ13</f>
        <v/>
      </c>
      <c r="HR15" s="16">
        <f>HR14-HR13</f>
        <v/>
      </c>
      <c r="HS15" s="16">
        <f>HS14-HS13</f>
        <v/>
      </c>
      <c r="HT15" s="16">
        <f>HT14-HT13</f>
        <v/>
      </c>
      <c r="HU15" s="16">
        <f>HU14-HU13</f>
        <v/>
      </c>
      <c r="HV15" s="16">
        <f>HV14-HV13</f>
        <v/>
      </c>
      <c r="HW15" s="16">
        <f>HW14-HW13</f>
        <v/>
      </c>
      <c r="HX15" s="16">
        <f>HX14-HX13</f>
        <v/>
      </c>
      <c r="HY15" s="16">
        <f>HY14-HY13</f>
        <v/>
      </c>
      <c r="HZ15" s="16">
        <f>HZ14-HZ13</f>
        <v/>
      </c>
      <c r="IA15" s="16">
        <f>IA14-IA13</f>
        <v/>
      </c>
      <c r="IB15" s="16">
        <f>IB14-IB13</f>
        <v/>
      </c>
      <c r="IC15" s="16">
        <f>IC14-IC13</f>
        <v/>
      </c>
      <c r="ID15" s="16">
        <f>ID14-ID13</f>
        <v/>
      </c>
      <c r="IE15" s="16">
        <f>IE14-IE13</f>
        <v/>
      </c>
      <c r="IF15" s="16">
        <f>IF14-IF13</f>
        <v/>
      </c>
      <c r="IG15" s="16">
        <f>IG14-IG13</f>
        <v/>
      </c>
      <c r="IH15" s="16">
        <f>IH14-IH13</f>
        <v/>
      </c>
      <c r="II15" s="16">
        <f>II14-II13</f>
        <v/>
      </c>
      <c r="IJ15" s="16">
        <f>IJ14-IJ13</f>
        <v/>
      </c>
      <c r="IK15" s="16">
        <f>IK14-IK13</f>
        <v/>
      </c>
      <c r="IL15" s="16">
        <f>IL14-IL13</f>
        <v/>
      </c>
      <c r="IM15" s="16">
        <f>IM14-IM13</f>
        <v/>
      </c>
      <c r="IN15" s="16">
        <f>IN14-IN13</f>
        <v/>
      </c>
      <c r="IO15" s="16">
        <f>IO14-IO13</f>
        <v/>
      </c>
      <c r="IP15" s="16">
        <f>IP14-IP13</f>
        <v/>
      </c>
      <c r="IQ15" s="16">
        <f>IQ14-IQ13</f>
        <v/>
      </c>
      <c r="IR15" s="16">
        <f>IR14-IR13</f>
        <v/>
      </c>
      <c r="IS15" s="16">
        <f>IS14-IS13</f>
        <v/>
      </c>
      <c r="IT15" s="16">
        <f>IT14-IT13</f>
        <v/>
      </c>
      <c r="IU15" s="126" t="n"/>
      <c r="IV15" s="16">
        <f>IV14-IV13</f>
        <v/>
      </c>
      <c r="IW15" s="16">
        <f>IW14-IW13</f>
        <v/>
      </c>
      <c r="IX15" s="16">
        <f>IX14-IX13</f>
        <v/>
      </c>
      <c r="IY15" s="16">
        <f>IY14-IY13</f>
        <v/>
      </c>
      <c r="IZ15" s="16">
        <f>IZ14-IZ13</f>
        <v/>
      </c>
      <c r="JA15" s="16">
        <f>JA14-JA13</f>
        <v/>
      </c>
      <c r="JB15" s="16">
        <f>JB14-JB13</f>
        <v/>
      </c>
      <c r="JC15" s="16">
        <f>JC14-JC13</f>
        <v/>
      </c>
      <c r="JD15" s="16">
        <f>JD14-JD13</f>
        <v/>
      </c>
      <c r="JE15" s="16">
        <f>JE14-JE13</f>
        <v/>
      </c>
      <c r="JF15" s="16">
        <f>JF14-JF13</f>
        <v/>
      </c>
      <c r="JG15" s="16">
        <f>JG14-JG13</f>
        <v/>
      </c>
      <c r="JH15" s="16">
        <f>JH14-JH13</f>
        <v/>
      </c>
      <c r="JI15" s="16">
        <f>JI14-JI13</f>
        <v/>
      </c>
      <c r="JJ15" s="16">
        <f>JJ14-JJ13</f>
        <v/>
      </c>
      <c r="JK15" s="16">
        <f>JK14-JK13</f>
        <v/>
      </c>
      <c r="JL15" s="16">
        <f>JL14-JL13</f>
        <v/>
      </c>
      <c r="JM15" s="16">
        <f>JM14-JM13</f>
        <v/>
      </c>
      <c r="JN15" s="16">
        <f>JN14-JN13</f>
        <v/>
      </c>
      <c r="JO15" s="16">
        <f>JO14-JO13</f>
        <v/>
      </c>
      <c r="JP15" s="16">
        <f>JP14-JP13</f>
        <v/>
      </c>
      <c r="JQ15" s="16">
        <f>JQ14-JQ13</f>
        <v/>
      </c>
      <c r="JR15" s="16">
        <f>JR14-JR13</f>
        <v/>
      </c>
      <c r="JS15" s="16">
        <f>JS14-JS13</f>
        <v/>
      </c>
      <c r="JT15" s="16">
        <f>JT14-JT13</f>
        <v/>
      </c>
      <c r="JU15" s="16">
        <f>JU14-JU13</f>
        <v/>
      </c>
      <c r="JV15" s="16">
        <f>JV14-JV13</f>
        <v/>
      </c>
      <c r="JW15" s="16">
        <f>JW14-JW13</f>
        <v/>
      </c>
      <c r="JX15" s="16">
        <f>JX14-JX13</f>
        <v/>
      </c>
      <c r="JY15" s="16">
        <f>JY14-JY13</f>
        <v/>
      </c>
      <c r="JZ15" s="127">
        <f>SUM(IV15:JY15)</f>
        <v/>
      </c>
      <c r="KA15" s="16">
        <f>KA14-KA13</f>
        <v/>
      </c>
      <c r="KB15" s="16">
        <f>KB14-KB13</f>
        <v/>
      </c>
      <c r="KC15" s="16">
        <f>KC14-KC13</f>
        <v/>
      </c>
      <c r="KD15" s="16">
        <f>KD14-KD13</f>
        <v/>
      </c>
      <c r="KE15" s="16">
        <f>KE14-KE13</f>
        <v/>
      </c>
      <c r="KF15" s="16">
        <f>KF14-KF13</f>
        <v/>
      </c>
      <c r="KG15" s="16">
        <f>KG14-KG13</f>
        <v/>
      </c>
      <c r="KH15" s="16">
        <f>KH14-KH13</f>
        <v/>
      </c>
      <c r="KI15" s="16">
        <f>KI14-KI13</f>
        <v/>
      </c>
      <c r="KJ15" s="16">
        <f>KJ14-KJ13</f>
        <v/>
      </c>
      <c r="KK15" s="16">
        <f>KK14-KK13</f>
        <v/>
      </c>
      <c r="KL15" s="16">
        <f>KL14-KL13</f>
        <v/>
      </c>
      <c r="KM15" s="16">
        <f>KM14-KM13</f>
        <v/>
      </c>
      <c r="KN15" s="16">
        <f>KN14-KN13</f>
        <v/>
      </c>
      <c r="KO15" s="16">
        <f>KO14-KO13</f>
        <v/>
      </c>
      <c r="KP15" s="16">
        <f>KP14-KP13</f>
        <v/>
      </c>
      <c r="KQ15" s="16">
        <f>KQ14-KQ13</f>
        <v/>
      </c>
      <c r="KR15" s="16">
        <f>KR14-KR13</f>
        <v/>
      </c>
      <c r="KS15" s="16">
        <f>KS14-KS13</f>
        <v/>
      </c>
      <c r="KT15" s="16">
        <f>KT14-KT13</f>
        <v/>
      </c>
      <c r="KU15" s="16">
        <f>KU14-KU13</f>
        <v/>
      </c>
      <c r="KV15" s="16">
        <f>KV14-KV13</f>
        <v/>
      </c>
      <c r="KW15" s="16">
        <f>KW14-KW13</f>
        <v/>
      </c>
      <c r="KX15" s="16">
        <f>KX14-KX13</f>
        <v/>
      </c>
      <c r="KY15" s="16">
        <f>KY14-KY13</f>
        <v/>
      </c>
      <c r="KZ15" s="16">
        <f>KZ14-KZ13</f>
        <v/>
      </c>
      <c r="LA15" s="16">
        <f>LA14-LA13</f>
        <v/>
      </c>
      <c r="LB15" s="16">
        <f>LB14-LB13</f>
        <v/>
      </c>
      <c r="LC15" s="16">
        <f>LC14-LC13</f>
        <v/>
      </c>
      <c r="LD15" s="16">
        <f>LD14-LD13</f>
        <v/>
      </c>
      <c r="LE15" s="16">
        <f>LE14-LE13</f>
        <v/>
      </c>
      <c r="LF15" s="127">
        <f>SUM(KA15:LE15)</f>
        <v/>
      </c>
      <c r="LG15" s="16">
        <f>LG14-LG13</f>
        <v/>
      </c>
      <c r="LH15" s="16">
        <f>LH14-LH13</f>
        <v/>
      </c>
      <c r="LI15" s="16">
        <f>LI14-LI13</f>
        <v/>
      </c>
      <c r="LJ15" s="16">
        <f>LJ14-LJ13</f>
        <v/>
      </c>
      <c r="LK15" s="16">
        <f>LK14-LK13</f>
        <v/>
      </c>
      <c r="LL15" s="16">
        <f>LL14-LL13</f>
        <v/>
      </c>
      <c r="LM15" s="16">
        <f>LM14-LM13</f>
        <v/>
      </c>
      <c r="LN15" s="16">
        <f>LN14-LN13</f>
        <v/>
      </c>
      <c r="LO15" s="16">
        <f>LO14-LO13</f>
        <v/>
      </c>
      <c r="LP15" s="16">
        <f>LP14-LP13</f>
        <v/>
      </c>
      <c r="LQ15" s="16">
        <f>LQ14-LQ13</f>
        <v/>
      </c>
      <c r="LR15" s="16">
        <f>LR14-LR13</f>
        <v/>
      </c>
      <c r="LS15" s="16">
        <f>LS14-LS13</f>
        <v/>
      </c>
      <c r="LT15" s="16">
        <f>LT14-LT13</f>
        <v/>
      </c>
      <c r="LU15" s="16">
        <f>LU14-LU13</f>
        <v/>
      </c>
      <c r="LV15" s="16">
        <f>LV14-LV13</f>
        <v/>
      </c>
      <c r="LW15" s="16">
        <f>LW14-LW13</f>
        <v/>
      </c>
      <c r="LX15" s="16">
        <f>LX14-LX13</f>
        <v/>
      </c>
      <c r="LY15" s="16">
        <f>LY14-LY13</f>
        <v/>
      </c>
      <c r="LZ15" s="16">
        <f>LZ14-LZ13</f>
        <v/>
      </c>
      <c r="MA15" s="16">
        <f>MA14-MA13</f>
        <v/>
      </c>
      <c r="MB15" s="16">
        <f>MB14-MB13</f>
        <v/>
      </c>
      <c r="MC15" s="16">
        <f>MC14-MC13</f>
        <v/>
      </c>
      <c r="MD15" s="16">
        <f>MD14-MD13</f>
        <v/>
      </c>
      <c r="ME15" s="16">
        <f>ME14-ME13</f>
        <v/>
      </c>
      <c r="MF15" s="16">
        <f>MF14-MF13</f>
        <v/>
      </c>
      <c r="MG15" s="16">
        <f>MG14-MG13</f>
        <v/>
      </c>
      <c r="MH15" s="16">
        <f>MH14-MH13</f>
        <v/>
      </c>
      <c r="MI15" s="16">
        <f>MI14-MI13</f>
        <v/>
      </c>
      <c r="MJ15" s="16">
        <f>MJ14-MJ13</f>
        <v/>
      </c>
      <c r="MK15" s="127">
        <f>SUM(LF15:MJ15)</f>
        <v/>
      </c>
      <c r="ML15" s="16">
        <f>ML14-ML13</f>
        <v/>
      </c>
      <c r="MM15" s="16">
        <f>MM14-MM13</f>
        <v/>
      </c>
      <c r="MN15" s="16">
        <f>MN14-MN13</f>
        <v/>
      </c>
      <c r="MO15" s="16">
        <f>MO14-MO13</f>
        <v/>
      </c>
      <c r="MP15" s="16">
        <f>MP14-MP13</f>
        <v/>
      </c>
      <c r="MQ15" s="16">
        <f>MQ14-MQ13</f>
        <v/>
      </c>
      <c r="MR15" s="16">
        <f>MR14-MR13</f>
        <v/>
      </c>
      <c r="MS15" s="16">
        <f>MS14-MS13</f>
        <v/>
      </c>
      <c r="MT15" s="16">
        <f>MT14-MT13</f>
        <v/>
      </c>
      <c r="MU15" s="16">
        <f>MU14-MU13</f>
        <v/>
      </c>
      <c r="MV15" s="16">
        <f>MV14-MV13</f>
        <v/>
      </c>
      <c r="MW15" s="16">
        <f>MW14-MW13</f>
        <v/>
      </c>
      <c r="MX15" s="16">
        <f>MX14-MX13</f>
        <v/>
      </c>
      <c r="MY15" s="16">
        <f>MY14-MY13</f>
        <v/>
      </c>
      <c r="MZ15" s="16">
        <f>MZ14-MZ13</f>
        <v/>
      </c>
      <c r="NA15" s="16">
        <f>NA14-NA13</f>
        <v/>
      </c>
      <c r="NB15" s="16">
        <f>NB14-NB13</f>
        <v/>
      </c>
      <c r="NC15" s="16">
        <f>NC14-NC13</f>
        <v/>
      </c>
      <c r="ND15" s="16">
        <f>ND14-ND13</f>
        <v/>
      </c>
      <c r="NE15" s="16">
        <f>NE14-NE13</f>
        <v/>
      </c>
      <c r="NF15" s="16">
        <f>NF14-NF13</f>
        <v/>
      </c>
      <c r="NG15" s="16">
        <f>NG14-NG13</f>
        <v/>
      </c>
      <c r="NH15" s="16">
        <f>NH14-NH13</f>
        <v/>
      </c>
      <c r="NI15" s="16">
        <f>NI14-NI13</f>
        <v/>
      </c>
      <c r="NJ15" s="16">
        <f>NJ14-NJ13</f>
        <v/>
      </c>
      <c r="NK15" s="16">
        <f>NK14-NK13</f>
        <v/>
      </c>
      <c r="NL15" s="16">
        <f>NL14-NL13</f>
        <v/>
      </c>
      <c r="NM15" s="16">
        <f>NM14-NM13</f>
        <v/>
      </c>
      <c r="NN15" s="16">
        <f>NN14-NN13</f>
        <v/>
      </c>
      <c r="NO15" s="16">
        <f>NO14-NO13</f>
        <v/>
      </c>
      <c r="NP15" s="16">
        <f>NP14-NP13</f>
        <v/>
      </c>
      <c r="NQ15" s="127">
        <f>SUM(ML15:NP15)</f>
        <v/>
      </c>
      <c r="NR15" s="16">
        <f>NR14-NR13</f>
        <v/>
      </c>
      <c r="NS15" s="16">
        <f>NS14-NS13</f>
        <v/>
      </c>
      <c r="NT15" s="16">
        <f>NT14-NT13</f>
        <v/>
      </c>
      <c r="NU15" s="16">
        <f>NU14-NU13</f>
        <v/>
      </c>
      <c r="NV15" s="16">
        <f>NV14-NV13</f>
        <v/>
      </c>
      <c r="NW15" s="16">
        <f>NW14-NW13</f>
        <v/>
      </c>
      <c r="NX15" s="16">
        <f>NX14-NX13</f>
        <v/>
      </c>
      <c r="NY15" s="16">
        <f>NY14-NY13</f>
        <v/>
      </c>
      <c r="NZ15" s="16">
        <f>NZ14-NZ13</f>
        <v/>
      </c>
      <c r="OA15" s="16">
        <f>OA14-OA13</f>
        <v/>
      </c>
      <c r="OB15" s="16">
        <f>OB14-OB13</f>
        <v/>
      </c>
      <c r="OC15" s="16">
        <f>OC14-OC13</f>
        <v/>
      </c>
      <c r="OD15" s="16">
        <f>OD14-OD13</f>
        <v/>
      </c>
      <c r="OE15" s="16">
        <f>OE14-OE13</f>
        <v/>
      </c>
      <c r="OF15" s="16">
        <f>OF14-OF13</f>
        <v/>
      </c>
      <c r="OG15" s="16">
        <f>OG14-OG13</f>
        <v/>
      </c>
      <c r="OH15" s="16">
        <f>OH14-OH13</f>
        <v/>
      </c>
      <c r="OI15" s="16">
        <f>OI14-OI13</f>
        <v/>
      </c>
      <c r="OJ15" s="16">
        <f>OJ14-OJ13</f>
        <v/>
      </c>
      <c r="OK15" s="16">
        <f>OK14-OK13</f>
        <v/>
      </c>
      <c r="OL15" s="16">
        <f>OL14-OL13</f>
        <v/>
      </c>
      <c r="OM15" s="16">
        <f>OM14-OM13</f>
        <v/>
      </c>
      <c r="ON15" s="16">
        <f>ON14-ON13</f>
        <v/>
      </c>
      <c r="OO15" s="16">
        <f>OO14-OO13</f>
        <v/>
      </c>
      <c r="OP15" s="16">
        <f>OP14-OP13</f>
        <v/>
      </c>
      <c r="OQ15" s="16">
        <f>OQ14-OQ13</f>
        <v/>
      </c>
      <c r="OR15" s="16">
        <f>OR14-OR13</f>
        <v/>
      </c>
      <c r="OS15" s="16">
        <f>OS14-OS13</f>
        <v/>
      </c>
      <c r="OT15" s="16">
        <f>OT14-OT13</f>
        <v/>
      </c>
      <c r="OU15" s="16">
        <f>OU14-OU13</f>
        <v/>
      </c>
      <c r="OV15" s="16">
        <f>OV14-OV13</f>
        <v/>
      </c>
      <c r="OW15" s="127">
        <f>SUM(NR15:OV15)</f>
        <v/>
      </c>
      <c r="OX15" s="16">
        <f>OX14-OX13</f>
        <v/>
      </c>
      <c r="OY15" s="16">
        <f>OY14-OY13</f>
        <v/>
      </c>
      <c r="OZ15" s="16">
        <f>OZ14-OZ13</f>
        <v/>
      </c>
      <c r="PA15" s="16">
        <f>PA14-PA13</f>
        <v/>
      </c>
      <c r="PB15" s="16">
        <f>PB14-PB13</f>
        <v/>
      </c>
      <c r="PC15" s="16">
        <f>PC14-PC13</f>
        <v/>
      </c>
      <c r="PD15" s="16">
        <f>PD14-PD13</f>
        <v/>
      </c>
      <c r="PE15" s="16">
        <f>PE14-PE13</f>
        <v/>
      </c>
      <c r="PF15" s="16">
        <f>PF14-PF13</f>
        <v/>
      </c>
      <c r="PG15" s="16">
        <f>PG14-PG13</f>
        <v/>
      </c>
      <c r="PH15" s="16">
        <f>PH14-PH13</f>
        <v/>
      </c>
      <c r="PI15" s="16">
        <f>PI14-PI13</f>
        <v/>
      </c>
      <c r="PJ15" s="16">
        <f>PJ14-PJ13</f>
        <v/>
      </c>
      <c r="PK15" s="16">
        <f>PK14-PK13</f>
        <v/>
      </c>
      <c r="PL15" s="16">
        <f>PL14-PL13</f>
        <v/>
      </c>
      <c r="PM15" s="16">
        <f>PM14-PM13</f>
        <v/>
      </c>
      <c r="PN15" s="16">
        <f>PN14-PN13</f>
        <v/>
      </c>
      <c r="PO15" s="16">
        <f>PO14-PO13</f>
        <v/>
      </c>
      <c r="PP15" s="16">
        <f>PP14-PP13</f>
        <v/>
      </c>
      <c r="PQ15" s="16">
        <f>PQ14-PQ13</f>
        <v/>
      </c>
      <c r="PR15" s="16">
        <f>PR14-PR13</f>
        <v/>
      </c>
      <c r="PS15" s="16">
        <f>PS14-PS13</f>
        <v/>
      </c>
      <c r="PT15" s="16">
        <f>PT14-PT13</f>
        <v/>
      </c>
      <c r="PU15" s="16">
        <f>PU14-PU13</f>
        <v/>
      </c>
      <c r="PV15" s="16">
        <f>PV14-PV13</f>
        <v/>
      </c>
      <c r="PW15" s="16">
        <f>PW14-PW13</f>
        <v/>
      </c>
      <c r="PX15" s="16">
        <f>PX14-PX13</f>
        <v/>
      </c>
      <c r="PY15" s="16">
        <f>PY14-PY13</f>
        <v/>
      </c>
      <c r="PZ15" s="16">
        <f>PZ14-PZ13</f>
        <v/>
      </c>
      <c r="QA15" s="16">
        <f>QA14-QA13</f>
        <v/>
      </c>
      <c r="QB15" s="127">
        <f>SUM(OX15:QA15)</f>
        <v/>
      </c>
      <c r="QC15" s="16">
        <f>QC14-QC13</f>
        <v/>
      </c>
      <c r="QD15" s="16">
        <f>QD14-QD13</f>
        <v/>
      </c>
      <c r="QE15" s="16">
        <f>QE14-QE13</f>
        <v/>
      </c>
      <c r="QF15" s="16">
        <f>QF14-QF13</f>
        <v/>
      </c>
      <c r="QG15" s="16">
        <f>QG14-QG13</f>
        <v/>
      </c>
      <c r="QH15" s="16">
        <f>QH14-QH13</f>
        <v/>
      </c>
      <c r="QI15" s="16">
        <f>QI14-QI13</f>
        <v/>
      </c>
      <c r="QJ15" s="16">
        <f>QJ14-QJ13</f>
        <v/>
      </c>
      <c r="QK15" s="16">
        <f>QK14-QK13</f>
        <v/>
      </c>
      <c r="QL15" s="16">
        <f>QL14-QL13</f>
        <v/>
      </c>
      <c r="QM15" s="16">
        <f>QM14-QM13</f>
        <v/>
      </c>
      <c r="QN15" s="16">
        <f>QN14-QN13</f>
        <v/>
      </c>
      <c r="QO15" s="16">
        <f>QO14-QO13</f>
        <v/>
      </c>
      <c r="QP15" s="16">
        <f>QP14-QP13</f>
        <v/>
      </c>
      <c r="QQ15" s="16">
        <f>QQ14-QQ13</f>
        <v/>
      </c>
      <c r="QR15" s="16">
        <f>QR14-QR13</f>
        <v/>
      </c>
      <c r="QS15" s="16">
        <f>QS14-QS13</f>
        <v/>
      </c>
      <c r="QT15" s="16">
        <f>QT14-QT13</f>
        <v/>
      </c>
      <c r="QU15" s="16">
        <f>QU14-QU13</f>
        <v/>
      </c>
      <c r="QV15" s="16">
        <f>QV14-QV13</f>
        <v/>
      </c>
      <c r="QW15" s="16">
        <f>QW14-QW13</f>
        <v/>
      </c>
      <c r="QX15" s="16">
        <f>QX14-QX13</f>
        <v/>
      </c>
      <c r="QY15" s="16">
        <f>QY14-QY13</f>
        <v/>
      </c>
      <c r="QZ15" s="16">
        <f>QZ14-QZ13</f>
        <v/>
      </c>
      <c r="RA15" s="16">
        <f>RA14-RA13</f>
        <v/>
      </c>
      <c r="RB15" s="16">
        <f>RB14-RB13</f>
        <v/>
      </c>
      <c r="RC15" s="16">
        <f>RC14-RC13</f>
        <v/>
      </c>
      <c r="RD15" s="16">
        <f>RD14-RD13</f>
        <v/>
      </c>
      <c r="RE15" s="16">
        <f>RE14-RE13</f>
        <v/>
      </c>
      <c r="RF15" s="16">
        <f>RF14-RF13</f>
        <v/>
      </c>
      <c r="RG15" s="16">
        <f>RG14-RG13</f>
        <v/>
      </c>
      <c r="RH15" s="127">
        <f>SUM(QD15:RG15)</f>
        <v/>
      </c>
      <c r="RI15" s="16">
        <f>RI14-RI13</f>
        <v/>
      </c>
      <c r="RJ15" s="16">
        <f>RJ14-RJ13</f>
        <v/>
      </c>
      <c r="RK15" s="16">
        <f>RK14-RK13</f>
        <v/>
      </c>
      <c r="RL15" s="16">
        <f>RL14-RL13</f>
        <v/>
      </c>
      <c r="RM15" s="16">
        <f>RM14-RM13</f>
        <v/>
      </c>
      <c r="RN15" s="16">
        <f>RN14-RN13</f>
        <v/>
      </c>
      <c r="RO15" s="16">
        <f>RO14-RO13</f>
        <v/>
      </c>
      <c r="RP15" s="16">
        <f>RP14-RP13</f>
        <v/>
      </c>
      <c r="RQ15" s="16">
        <f>RQ14-RQ13</f>
        <v/>
      </c>
      <c r="RR15" s="16">
        <f>RR14-RR13</f>
        <v/>
      </c>
      <c r="RS15" s="16">
        <f>RS14-RS13</f>
        <v/>
      </c>
      <c r="RT15" s="16">
        <f>RT14-RT13</f>
        <v/>
      </c>
      <c r="RU15" s="16">
        <f>RU14-RU13</f>
        <v/>
      </c>
      <c r="RV15" s="16">
        <f>RV14-RV13</f>
        <v/>
      </c>
      <c r="RW15" s="16">
        <f>RW14-RW13</f>
        <v/>
      </c>
      <c r="RX15" s="16">
        <f>RX14-RX13</f>
        <v/>
      </c>
      <c r="RY15" s="16">
        <f>RY14-RY13</f>
        <v/>
      </c>
      <c r="RZ15" s="16">
        <f>RZ14-RZ13</f>
        <v/>
      </c>
      <c r="SA15" s="16">
        <f>SA14-SA13</f>
        <v/>
      </c>
      <c r="SB15" s="16">
        <f>SB14-SB13</f>
        <v/>
      </c>
      <c r="SC15" s="16">
        <f>SC14-SC13</f>
        <v/>
      </c>
      <c r="SD15" s="16">
        <f>SD14-SD13</f>
        <v/>
      </c>
      <c r="SE15" s="16">
        <f>SE14-SE13</f>
        <v/>
      </c>
      <c r="SF15" s="16">
        <f>SF14-SF13</f>
        <v/>
      </c>
      <c r="SG15" s="16">
        <f>SG14-SG13</f>
        <v/>
      </c>
      <c r="SH15" s="16">
        <f>SH14-SH13</f>
        <v/>
      </c>
      <c r="SI15" s="16">
        <f>SI14-SI13</f>
        <v/>
      </c>
      <c r="SJ15" s="16">
        <f>SJ14-SJ13</f>
        <v/>
      </c>
      <c r="SK15" s="16">
        <f>SK14-SK13</f>
        <v/>
      </c>
      <c r="SL15" s="16">
        <f>SL14-SL13</f>
        <v/>
      </c>
      <c r="SM15" s="127">
        <f>SUM(RI15:SL15)</f>
        <v/>
      </c>
      <c r="SN15" s="16">
        <f>SN14-SN13</f>
        <v/>
      </c>
      <c r="SO15" s="16">
        <f>SO14-SO13</f>
        <v/>
      </c>
      <c r="SP15" s="16">
        <f>SP14-SP13</f>
        <v/>
      </c>
      <c r="SQ15" s="16">
        <f>SQ14-SQ13</f>
        <v/>
      </c>
      <c r="SR15" s="16">
        <f>SR14-SR13</f>
        <v/>
      </c>
      <c r="SS15" s="16">
        <f>SS14-SS13</f>
        <v/>
      </c>
      <c r="ST15" s="16">
        <f>ST14-ST13</f>
        <v/>
      </c>
      <c r="SU15" s="16">
        <f>SU14-SU13</f>
        <v/>
      </c>
      <c r="SV15" s="16">
        <f>SV14-SV13</f>
        <v/>
      </c>
      <c r="SW15" s="16">
        <f>SW14-SW13</f>
        <v/>
      </c>
      <c r="SX15" s="16">
        <f>SX14-SX13</f>
        <v/>
      </c>
      <c r="SY15" s="16">
        <f>SY14-SY13</f>
        <v/>
      </c>
      <c r="SZ15" s="16">
        <f>SZ14-SZ13</f>
        <v/>
      </c>
      <c r="TA15" s="16">
        <f>TA14-TA13</f>
        <v/>
      </c>
      <c r="TB15" s="16">
        <f>TB14-TB13</f>
        <v/>
      </c>
      <c r="TC15" s="16">
        <f>TC14-TC13</f>
        <v/>
      </c>
      <c r="TD15" s="16">
        <f>TD14-TD13</f>
        <v/>
      </c>
      <c r="TE15" s="16">
        <f>TE14-TE13</f>
        <v/>
      </c>
      <c r="TF15" s="16">
        <f>TF14-TF13</f>
        <v/>
      </c>
      <c r="TG15" s="16">
        <f>TG14-TG13</f>
        <v/>
      </c>
      <c r="TH15" s="16">
        <f>TH14-TH13</f>
        <v/>
      </c>
      <c r="TI15" s="16">
        <f>TI14-TI13</f>
        <v/>
      </c>
      <c r="TJ15" s="16">
        <f>TJ14-TJ13</f>
        <v/>
      </c>
      <c r="TK15" s="16">
        <f>TK14-TK13</f>
        <v/>
      </c>
      <c r="TL15" s="16">
        <f>TL14-TL13</f>
        <v/>
      </c>
      <c r="TM15" s="16">
        <f>TM14-TM13</f>
        <v/>
      </c>
      <c r="TN15" s="16">
        <f>TN14-TN13</f>
        <v/>
      </c>
      <c r="TO15" s="16">
        <f>TO14-TO13</f>
        <v/>
      </c>
      <c r="TP15" s="16">
        <f>TP14-TP13</f>
        <v/>
      </c>
      <c r="TQ15" s="16">
        <f>TQ14-TQ13</f>
        <v/>
      </c>
      <c r="TR15" s="16">
        <f>TR14-TR13</f>
        <v/>
      </c>
      <c r="TS15" s="127">
        <f>SUM(SO15:TR15)</f>
        <v/>
      </c>
      <c r="TT15" s="16">
        <f>TT14-TT13</f>
        <v/>
      </c>
      <c r="TU15" s="16">
        <f>TU14-TU13</f>
        <v/>
      </c>
      <c r="TV15" s="16">
        <f>TV14-TV13</f>
        <v/>
      </c>
      <c r="TW15" s="16">
        <f>TW14-TW13</f>
        <v/>
      </c>
      <c r="TX15" s="16">
        <f>TX14-TX13</f>
        <v/>
      </c>
      <c r="TY15" s="16">
        <f>TY14-TY13</f>
        <v/>
      </c>
      <c r="TZ15" s="16">
        <f>TZ14-TZ13</f>
        <v/>
      </c>
      <c r="UA15" s="16">
        <f>UA14-UA13</f>
        <v/>
      </c>
      <c r="UB15" s="16">
        <f>UB14-UB13</f>
        <v/>
      </c>
      <c r="UC15" s="16">
        <f>UC14-UC13</f>
        <v/>
      </c>
      <c r="UD15" s="16">
        <f>UD14-UD13</f>
        <v/>
      </c>
      <c r="UE15" s="16">
        <f>UE14-UE13</f>
        <v/>
      </c>
      <c r="UF15" s="16">
        <f>UF14-UF13</f>
        <v/>
      </c>
      <c r="UG15" s="16">
        <f>UG14-UG13</f>
        <v/>
      </c>
      <c r="UH15" s="16">
        <f>UH14-UH13</f>
        <v/>
      </c>
      <c r="UI15" s="16">
        <f>UI14-UI13</f>
        <v/>
      </c>
      <c r="UJ15" s="16">
        <f>UJ14-UJ13</f>
        <v/>
      </c>
      <c r="UK15" s="16">
        <f>UK14-UK13</f>
        <v/>
      </c>
      <c r="UL15" s="16">
        <f>UL14-UL13</f>
        <v/>
      </c>
      <c r="UM15" s="16">
        <f>UM14-UM13</f>
        <v/>
      </c>
      <c r="UN15" s="16">
        <f>UN14-UN13</f>
        <v/>
      </c>
      <c r="UO15" s="16">
        <f>UO14-UO13</f>
        <v/>
      </c>
      <c r="UP15" s="16">
        <f>UP14-UP13</f>
        <v/>
      </c>
      <c r="UQ15" s="16">
        <f>UQ14-UQ13</f>
        <v/>
      </c>
      <c r="UR15" s="16">
        <f>UR14-UR13</f>
        <v/>
      </c>
      <c r="US15" s="16">
        <f>US14-US13</f>
        <v/>
      </c>
      <c r="UT15" s="16">
        <f>UT14-UT13</f>
        <v/>
      </c>
      <c r="UU15" s="16">
        <f>UU14-UU13</f>
        <v/>
      </c>
      <c r="UV15" s="16">
        <f>UV14-UV13</f>
        <v/>
      </c>
      <c r="UW15" s="16">
        <f>UW14-UW13</f>
        <v/>
      </c>
      <c r="UX15" s="16">
        <f>UX14-UX13</f>
        <v/>
      </c>
      <c r="UY15" s="127">
        <f>SUM(TT15:UX15)</f>
        <v/>
      </c>
      <c r="UZ15" s="16">
        <f>UZ14-UZ13</f>
        <v/>
      </c>
      <c r="VA15" s="16">
        <f>VA14-VA13</f>
        <v/>
      </c>
      <c r="VB15" s="16">
        <f>VB14-VB13</f>
        <v/>
      </c>
      <c r="VC15" s="16">
        <f>VC14-VC13</f>
        <v/>
      </c>
      <c r="VD15" s="16">
        <f>VD14-VD13</f>
        <v/>
      </c>
      <c r="VE15" s="16">
        <f>VE14-VE13</f>
        <v/>
      </c>
      <c r="VF15" s="16">
        <f>VF14-VF13</f>
        <v/>
      </c>
      <c r="VG15" s="16">
        <f>VG14-VG13</f>
        <v/>
      </c>
      <c r="VH15" s="16">
        <f>VH14-VH13</f>
        <v/>
      </c>
      <c r="VI15" s="16">
        <f>VI14-VI13</f>
        <v/>
      </c>
      <c r="VJ15" s="16">
        <f>VJ14-VJ13</f>
        <v/>
      </c>
      <c r="VK15" s="16">
        <f>VK14-VK13</f>
        <v/>
      </c>
      <c r="VL15" s="16">
        <f>VL14-VL13</f>
        <v/>
      </c>
      <c r="VM15" s="16">
        <f>VM14-VM13</f>
        <v/>
      </c>
      <c r="VN15" s="16">
        <f>VN14-VN13</f>
        <v/>
      </c>
      <c r="VO15" s="16">
        <f>VO14-VO13</f>
        <v/>
      </c>
      <c r="VP15" s="16">
        <f>VP14-VP13</f>
        <v/>
      </c>
      <c r="VQ15" s="16">
        <f>VQ14-VQ13</f>
        <v/>
      </c>
      <c r="VR15" s="16">
        <f>VR14-VR13</f>
        <v/>
      </c>
      <c r="VS15" s="16">
        <f>VS14-VS13</f>
        <v/>
      </c>
      <c r="VT15" s="16">
        <f>VT14-VT13</f>
        <v/>
      </c>
      <c r="VU15" s="16">
        <f>VU14-VU13</f>
        <v/>
      </c>
      <c r="VV15" s="16">
        <f>VV14-VV13</f>
        <v/>
      </c>
      <c r="VW15" s="16">
        <f>VW14-VW13</f>
        <v/>
      </c>
      <c r="VX15" s="16">
        <f>VX14-VX13</f>
        <v/>
      </c>
      <c r="VY15" s="16">
        <f>VY14-VY13</f>
        <v/>
      </c>
      <c r="VZ15" s="16">
        <f>VZ14-VZ13</f>
        <v/>
      </c>
      <c r="WA15" s="16">
        <f>WA14-WA13</f>
        <v/>
      </c>
      <c r="WB15" s="127">
        <f>SUM(UZ15:WA15)</f>
        <v/>
      </c>
      <c r="WC15" s="16">
        <f>WC14-WC13</f>
        <v/>
      </c>
      <c r="WD15" s="16">
        <f>WD14-WD13</f>
        <v/>
      </c>
      <c r="WE15" s="16">
        <f>WE14-WE13</f>
        <v/>
      </c>
      <c r="WF15" s="16">
        <f>WF14-WF13</f>
        <v/>
      </c>
      <c r="WG15" s="16">
        <f>WG14-WG13</f>
        <v/>
      </c>
      <c r="WH15" s="16">
        <f>WH14-WH13</f>
        <v/>
      </c>
      <c r="WI15" s="16">
        <f>WI14-WI13</f>
        <v/>
      </c>
      <c r="WJ15" s="16">
        <f>WJ14-WJ13</f>
        <v/>
      </c>
      <c r="WK15" s="16">
        <f>WK14-WK13</f>
        <v/>
      </c>
      <c r="WL15" s="16">
        <f>WL14-WL13</f>
        <v/>
      </c>
      <c r="WM15" s="16">
        <f>WM14-WM13</f>
        <v/>
      </c>
      <c r="WN15" s="16">
        <f>WN14-WN13</f>
        <v/>
      </c>
      <c r="WO15" s="16">
        <f>WO14-WO13</f>
        <v/>
      </c>
      <c r="WP15" s="16">
        <f>WP14-WP13</f>
        <v/>
      </c>
      <c r="WQ15" s="16">
        <f>WQ14-WQ13</f>
        <v/>
      </c>
      <c r="WR15" s="16">
        <f>WR14-WR13</f>
        <v/>
      </c>
      <c r="WS15" s="16">
        <f>WS14-WS13</f>
        <v/>
      </c>
      <c r="WT15" s="16">
        <f>WT14-WT13</f>
        <v/>
      </c>
      <c r="WU15" s="16">
        <f>WU14-WU13</f>
        <v/>
      </c>
      <c r="WV15" s="16">
        <f>WV14-WV13</f>
        <v/>
      </c>
      <c r="WW15" s="16">
        <f>WW14-WW13</f>
        <v/>
      </c>
      <c r="WX15" s="16">
        <f>WX14-WX13</f>
        <v/>
      </c>
      <c r="WY15" s="16">
        <f>WY14-WY13</f>
        <v/>
      </c>
      <c r="WZ15" s="16">
        <f>WZ14-WZ13</f>
        <v/>
      </c>
      <c r="XA15" s="16">
        <f>XA14-XA13</f>
        <v/>
      </c>
      <c r="XB15" s="16">
        <f>XB14-XB13</f>
        <v/>
      </c>
      <c r="XC15" s="16">
        <f>XC14-XC13</f>
        <v/>
      </c>
      <c r="XD15" s="16">
        <f>XD14-XD13</f>
        <v/>
      </c>
      <c r="XE15" s="16">
        <f>XE14-XE13</f>
        <v/>
      </c>
      <c r="XF15" s="16">
        <f>XF14-XF13</f>
        <v/>
      </c>
      <c r="XG15" s="16">
        <f>XG14-XG13</f>
        <v/>
      </c>
      <c r="XH15" s="127">
        <f>SUM(WC15:XG15)</f>
        <v/>
      </c>
      <c r="XI15" s="16">
        <f>XI14-XI13</f>
        <v/>
      </c>
      <c r="XJ15" s="16">
        <f>XJ14-XJ13</f>
        <v/>
      </c>
      <c r="XK15" s="16">
        <f>XK14-XK13</f>
        <v/>
      </c>
      <c r="XL15" s="16">
        <f>XL14-XL13</f>
        <v/>
      </c>
      <c r="XM15" s="16">
        <f>XM14-XM13</f>
        <v/>
      </c>
      <c r="XN15" s="16">
        <f>XN14-XN13</f>
        <v/>
      </c>
      <c r="XO15" s="16">
        <f>XO14-XO13</f>
        <v/>
      </c>
      <c r="XP15" s="16">
        <f>XP14-XP13</f>
        <v/>
      </c>
      <c r="XQ15" s="16">
        <f>XQ14-XQ13</f>
        <v/>
      </c>
      <c r="XR15" s="16">
        <f>XR14-XR13</f>
        <v/>
      </c>
      <c r="XS15" s="16">
        <f>XS14-XS13</f>
        <v/>
      </c>
      <c r="XT15" s="16">
        <f>XT14-XT13</f>
        <v/>
      </c>
      <c r="XU15" s="16">
        <f>XU14-XU13</f>
        <v/>
      </c>
      <c r="XV15" s="16">
        <f>XV14-XV13</f>
        <v/>
      </c>
      <c r="XW15" s="16">
        <f>XW14-XW13</f>
        <v/>
      </c>
      <c r="XX15" s="16">
        <f>XX14-XX13</f>
        <v/>
      </c>
      <c r="XY15" s="16">
        <f>XY14-XY13</f>
        <v/>
      </c>
      <c r="XZ15" s="16">
        <f>XZ14-XZ13</f>
        <v/>
      </c>
      <c r="YA15" s="16">
        <f>YA14-YA13</f>
        <v/>
      </c>
      <c r="YB15" s="16">
        <f>YB14-YB13</f>
        <v/>
      </c>
      <c r="YC15" s="16">
        <f>YC14-YC13</f>
        <v/>
      </c>
      <c r="YD15" s="16">
        <f>YD14-YD13</f>
        <v/>
      </c>
      <c r="YE15" s="16">
        <f>YE14-YE13</f>
        <v/>
      </c>
      <c r="YF15" s="16">
        <f>YF14-YF13</f>
        <v/>
      </c>
      <c r="YG15" s="16">
        <f>YG14-YG13</f>
        <v/>
      </c>
      <c r="YH15" s="16">
        <f>YH14-YH13</f>
        <v/>
      </c>
      <c r="YI15" s="16">
        <f>YI14-YI13</f>
        <v/>
      </c>
      <c r="YJ15" s="16">
        <f>YJ14-YJ13</f>
        <v/>
      </c>
      <c r="YK15" s="16">
        <f>YK14-YK13</f>
        <v/>
      </c>
      <c r="YL15" s="16">
        <f>YL14-YL13</f>
        <v/>
      </c>
      <c r="YM15" s="127">
        <f>SUM(XH15:YL15)</f>
        <v/>
      </c>
      <c r="YN15" s="16">
        <f>YN14-YN13</f>
        <v/>
      </c>
      <c r="YO15" s="16">
        <f>YO14-YO13</f>
        <v/>
      </c>
      <c r="YP15" s="16">
        <f>YP14-YP13</f>
        <v/>
      </c>
      <c r="YQ15" s="16">
        <f>YQ14-YQ13</f>
        <v/>
      </c>
      <c r="YR15" s="16">
        <f>YR14-YR13</f>
        <v/>
      </c>
      <c r="YS15" s="16">
        <f>YS14-YS13</f>
        <v/>
      </c>
      <c r="YT15" s="16">
        <f>YT14-YT13</f>
        <v/>
      </c>
      <c r="YU15" s="16">
        <f>YU14-YU13</f>
        <v/>
      </c>
      <c r="YV15" s="16">
        <f>YV14-YV13</f>
        <v/>
      </c>
      <c r="YW15" s="16">
        <f>YW14-YW13</f>
        <v/>
      </c>
      <c r="YX15" s="16">
        <f>YX14-YX13</f>
        <v/>
      </c>
      <c r="YY15" s="16">
        <f>YY14-YY13</f>
        <v/>
      </c>
      <c r="YZ15" s="16">
        <f>YZ14-YZ13</f>
        <v/>
      </c>
      <c r="ZA15" s="16">
        <f>ZA14-ZA13</f>
        <v/>
      </c>
      <c r="ZB15" s="16">
        <f>ZB14-ZB13</f>
        <v/>
      </c>
      <c r="ZC15" s="16">
        <f>ZC14-ZC13</f>
        <v/>
      </c>
      <c r="ZD15" s="16">
        <f>ZD14-ZD13</f>
        <v/>
      </c>
      <c r="ZE15" s="16">
        <f>ZE14-ZE13</f>
        <v/>
      </c>
      <c r="ZF15" s="16">
        <f>ZF14-ZF13</f>
        <v/>
      </c>
      <c r="ZG15" s="16">
        <f>ZG14-ZG13</f>
        <v/>
      </c>
      <c r="ZH15" s="16">
        <f>ZH14-ZH13</f>
        <v/>
      </c>
      <c r="ZI15" s="16">
        <f>ZI14-ZI13</f>
        <v/>
      </c>
      <c r="ZJ15" s="16">
        <f>ZJ14-ZJ13</f>
        <v/>
      </c>
      <c r="ZK15" s="16">
        <f>ZK14-ZK13</f>
        <v/>
      </c>
      <c r="ZL15" s="16">
        <f>ZL14-ZL13</f>
        <v/>
      </c>
      <c r="ZM15" s="16">
        <f>ZM14-ZM13</f>
        <v/>
      </c>
      <c r="ZN15" s="16">
        <f>ZN14-ZN13</f>
        <v/>
      </c>
      <c r="ZO15" s="16">
        <f>ZO14-ZO13</f>
        <v/>
      </c>
      <c r="ZP15" s="16">
        <f>ZP14-ZP13</f>
        <v/>
      </c>
      <c r="ZQ15" s="16">
        <f>ZQ14-ZQ13</f>
        <v/>
      </c>
      <c r="ZR15" s="16">
        <f>ZR14-ZR13</f>
        <v/>
      </c>
      <c r="ZS15" s="127">
        <f>SUM(YN15:ZR15)</f>
        <v/>
      </c>
      <c r="ZT15" s="16">
        <f>ZT14-ZT13</f>
        <v/>
      </c>
      <c r="ZU15" s="16">
        <f>ZU14-ZU13</f>
        <v/>
      </c>
      <c r="ZV15" s="16">
        <f>ZV14-ZV13</f>
        <v/>
      </c>
      <c r="ZW15" s="16">
        <f>ZW14-ZW13</f>
        <v/>
      </c>
      <c r="ZX15" s="16">
        <f>ZX14-ZX13</f>
        <v/>
      </c>
      <c r="ZY15" s="16">
        <f>ZY14-ZY13</f>
        <v/>
      </c>
      <c r="ZZ15" s="16">
        <f>ZZ14-ZZ13</f>
        <v/>
      </c>
      <c r="AAA15" s="16">
        <f>AAA14-AAA13</f>
        <v/>
      </c>
      <c r="AAB15" s="16">
        <f>AAB14-AAB13</f>
        <v/>
      </c>
      <c r="AAC15" s="16">
        <f>AAC14-AAC13</f>
        <v/>
      </c>
      <c r="AAD15" s="16">
        <f>AAD14-AAD13</f>
        <v/>
      </c>
      <c r="AAE15" s="16">
        <f>AAE14-AAE13</f>
        <v/>
      </c>
      <c r="AAF15" s="16">
        <f>AAF14-AAF13</f>
        <v/>
      </c>
      <c r="AAG15" s="16">
        <f>AAG14-AAG13</f>
        <v/>
      </c>
      <c r="AAH15" s="16">
        <f>AAH14-AAH13</f>
        <v/>
      </c>
      <c r="AAI15" s="16">
        <f>AAI14-AAI13</f>
        <v/>
      </c>
      <c r="AAJ15" s="16">
        <f>AAJ14-AAJ13</f>
        <v/>
      </c>
      <c r="AAK15" s="16">
        <f>AAK14-AAK13</f>
        <v/>
      </c>
      <c r="AAL15" s="16">
        <f>AAL14-AAL13</f>
        <v/>
      </c>
      <c r="AAM15" s="16">
        <f>AAM14-AAM13</f>
        <v/>
      </c>
      <c r="AAN15" s="16">
        <f>AAN14-AAN13</f>
        <v/>
      </c>
      <c r="AAO15" s="16">
        <f>AAO14-AAO13</f>
        <v/>
      </c>
      <c r="AAP15" s="16">
        <f>AAP14-AAP13</f>
        <v/>
      </c>
      <c r="AAQ15" s="16">
        <f>AAQ14-AAQ13</f>
        <v/>
      </c>
      <c r="AAR15" s="16">
        <f>AAR14-AAR13</f>
        <v/>
      </c>
      <c r="AAS15" s="16">
        <f>AAS14-AAS13</f>
        <v/>
      </c>
      <c r="AAT15" s="16">
        <f>AAT14-AAT13</f>
        <v/>
      </c>
      <c r="AAU15" s="16">
        <f>AAU14-AAU13</f>
        <v/>
      </c>
      <c r="AAV15" s="16">
        <f>AAV14-AAV13</f>
        <v/>
      </c>
      <c r="AAW15" s="16">
        <f>AAW14-AAW13</f>
        <v/>
      </c>
      <c r="AAX15" s="127">
        <f>SUM(ZT15:AAW15)</f>
        <v/>
      </c>
      <c r="AAY15" s="16">
        <f>AAY14-AAY13</f>
        <v/>
      </c>
      <c r="AAZ15" s="16">
        <f>AAZ14-AAZ13</f>
        <v/>
      </c>
      <c r="ABA15" s="16">
        <f>ABA14-ABA13</f>
        <v/>
      </c>
      <c r="ABB15" s="16">
        <f>ABB14-ABB13</f>
        <v/>
      </c>
      <c r="ABC15" s="16">
        <f>ABC14-ABC13</f>
        <v/>
      </c>
      <c r="ABD15" s="16">
        <f>ABD14-ABD13</f>
        <v/>
      </c>
      <c r="ABE15" s="16">
        <f>ABE14-ABE13</f>
        <v/>
      </c>
      <c r="ABF15" s="16">
        <f>ABF14-ABF13</f>
        <v/>
      </c>
      <c r="ABG15" s="16">
        <f>ABG14-ABG13</f>
        <v/>
      </c>
      <c r="ABH15" s="16">
        <f>ABH14-ABH13</f>
        <v/>
      </c>
      <c r="ABI15" s="16">
        <f>ABI14-ABI13</f>
        <v/>
      </c>
      <c r="ABJ15" s="16">
        <f>ABJ14-ABJ13</f>
        <v/>
      </c>
      <c r="ABK15" s="16">
        <f>ABK14-ABK13</f>
        <v/>
      </c>
      <c r="ABL15" s="16">
        <f>ABL14-ABL13</f>
        <v/>
      </c>
      <c r="ABM15" s="16">
        <f>ABM14-ABM13</f>
        <v/>
      </c>
      <c r="ABN15" s="16">
        <f>ABN14-ABN13</f>
        <v/>
      </c>
      <c r="ABO15" s="16">
        <f>ABO14-ABO13</f>
        <v/>
      </c>
      <c r="ABP15" s="16">
        <f>ABP14-ABP13</f>
        <v/>
      </c>
      <c r="ABQ15" s="16">
        <f>ABQ14-ABQ13</f>
        <v/>
      </c>
      <c r="ABR15" s="16">
        <f>ABR14-ABR13</f>
        <v/>
      </c>
      <c r="ABS15" s="16">
        <f>ABS14-ABS13</f>
        <v/>
      </c>
      <c r="ABT15" s="16">
        <f>ABT14-ABT13</f>
        <v/>
      </c>
      <c r="ABU15" s="16">
        <f>ABU14-ABU13</f>
        <v/>
      </c>
      <c r="ABV15" s="16">
        <f>ABV14-ABV13</f>
        <v/>
      </c>
      <c r="ABW15" s="16">
        <f>ABW14-ABW13</f>
        <v/>
      </c>
      <c r="ABX15" s="16">
        <f>ABX14-ABX13</f>
        <v/>
      </c>
      <c r="ABY15" s="16">
        <f>ABY14-ABY13</f>
        <v/>
      </c>
      <c r="ABZ15" s="16">
        <f>ABZ14-ABZ13</f>
        <v/>
      </c>
      <c r="ACA15" s="16">
        <f>ACA14-ACA13</f>
        <v/>
      </c>
      <c r="ACB15" s="16">
        <f>ACB14-ACB13</f>
        <v/>
      </c>
      <c r="ACC15" s="16">
        <f>ACC14-ACC13</f>
        <v/>
      </c>
      <c r="ACD15" s="127">
        <f>SUM(AAY15:ACC15)</f>
        <v/>
      </c>
      <c r="ACE15" s="16">
        <f>ACE14-ACE13</f>
        <v/>
      </c>
      <c r="ACF15" s="16">
        <f>ACF14-ACF13</f>
        <v/>
      </c>
      <c r="ACG15" s="16">
        <f>ACG14-ACG13</f>
        <v/>
      </c>
      <c r="ACH15" s="16">
        <f>ACH14-ACH13</f>
        <v/>
      </c>
      <c r="ACI15" s="16">
        <f>ACI14-ACI13</f>
        <v/>
      </c>
      <c r="ACJ15" s="16">
        <f>ACJ14-ACJ13</f>
        <v/>
      </c>
      <c r="ACK15" s="16">
        <f>ACK14-ACK13</f>
        <v/>
      </c>
      <c r="ACL15" s="16">
        <f>ACL14-ACL13</f>
        <v/>
      </c>
      <c r="ACM15" s="16">
        <f>ACM14-ACM13</f>
        <v/>
      </c>
      <c r="ACN15" s="16">
        <f>ACN14-ACN13</f>
        <v/>
      </c>
      <c r="ACO15" s="16">
        <f>ACO14-ACO13</f>
        <v/>
      </c>
      <c r="ACP15" s="16">
        <f>ACP14-ACP13</f>
        <v/>
      </c>
      <c r="ACQ15" s="16">
        <f>ACQ14-ACQ13</f>
        <v/>
      </c>
      <c r="ACR15" s="16">
        <f>ACR14-ACR13</f>
        <v/>
      </c>
      <c r="ACS15" s="16">
        <f>ACS14-ACS13</f>
        <v/>
      </c>
      <c r="ACT15" s="16">
        <f>ACT14-ACT13</f>
        <v/>
      </c>
      <c r="ACU15" s="16">
        <f>ACU14-ACU13</f>
        <v/>
      </c>
      <c r="ACV15" s="16">
        <f>ACV14-ACV13</f>
        <v/>
      </c>
      <c r="ACW15" s="16">
        <f>ACW14-ACW13</f>
        <v/>
      </c>
      <c r="ACX15" s="16">
        <f>ACX14-ACX13</f>
        <v/>
      </c>
      <c r="ACY15" s="16">
        <f>ACY14-ACY13</f>
        <v/>
      </c>
      <c r="ACZ15" s="16">
        <f>ACZ14-ACZ13</f>
        <v/>
      </c>
      <c r="ADA15" s="16">
        <f>ADA14-ADA13</f>
        <v/>
      </c>
      <c r="ADB15" s="16">
        <f>ADB14-ADB13</f>
        <v/>
      </c>
      <c r="ADC15" s="16">
        <f>ADC14-ADC13</f>
        <v/>
      </c>
      <c r="ADD15" s="16">
        <f>ADD14-ADD13</f>
        <v/>
      </c>
      <c r="ADE15" s="16">
        <f>ADE14-ADE13</f>
        <v/>
      </c>
      <c r="ADF15" s="16">
        <f>ADF14-ADF13</f>
        <v/>
      </c>
      <c r="ADG15" s="16">
        <f>ADG14-ADG13</f>
        <v/>
      </c>
      <c r="ADH15" s="16">
        <f>ADH14-ADH13</f>
        <v/>
      </c>
      <c r="ADI15" s="16">
        <f>ADI14-ADI13</f>
        <v/>
      </c>
      <c r="ADJ15" s="127">
        <f>SUM(ACE15:ADI15)</f>
        <v/>
      </c>
      <c r="ADK15" s="16">
        <f>ADK14-ADK13</f>
        <v/>
      </c>
      <c r="ADL15" s="16">
        <f>ADL14-ADL13</f>
        <v/>
      </c>
      <c r="ADM15" s="16">
        <f>ADM14-ADM13</f>
        <v/>
      </c>
      <c r="ADN15" s="16">
        <f>ADN14-ADN13</f>
        <v/>
      </c>
      <c r="ADO15" s="16">
        <f>ADO14-ADO13</f>
        <v/>
      </c>
      <c r="ADP15" s="16">
        <f>ADP14-ADP13</f>
        <v/>
      </c>
      <c r="ADQ15" s="16">
        <f>ADQ14-ADQ13</f>
        <v/>
      </c>
      <c r="ADR15" s="16">
        <f>ADR14-ADR13</f>
        <v/>
      </c>
      <c r="ADS15" s="16">
        <f>ADS14-ADS13</f>
        <v/>
      </c>
      <c r="ADT15" s="16">
        <f>ADT14-ADT13</f>
        <v/>
      </c>
      <c r="ADU15" s="16">
        <f>ADU14-ADU13</f>
        <v/>
      </c>
      <c r="ADV15" s="16">
        <f>ADV14-ADV13</f>
        <v/>
      </c>
      <c r="ADW15" s="16">
        <f>ADW14-ADW13</f>
        <v/>
      </c>
      <c r="ADX15" s="16">
        <f>ADX14-ADX13</f>
        <v/>
      </c>
      <c r="ADY15" s="16">
        <f>ADY14-ADY13</f>
        <v/>
      </c>
      <c r="ADZ15" s="16">
        <f>ADZ14-ADZ13</f>
        <v/>
      </c>
      <c r="AEA15" s="16">
        <f>AEA14-AEA13</f>
        <v/>
      </c>
      <c r="AEB15" s="16">
        <f>AEB14-AEB13</f>
        <v/>
      </c>
      <c r="AEC15" s="16">
        <f>AEC14-AEC13</f>
        <v/>
      </c>
      <c r="AED15" s="16">
        <f>AED14-AED13</f>
        <v/>
      </c>
      <c r="AEE15" s="16">
        <f>AEE14-AEE13</f>
        <v/>
      </c>
      <c r="AEF15" s="16">
        <f>AEF14-AEF13</f>
        <v/>
      </c>
      <c r="AEG15" s="16">
        <f>AEG14-AEG13</f>
        <v/>
      </c>
      <c r="AEH15" s="16">
        <f>AEH14-AEH13</f>
        <v/>
      </c>
      <c r="AEI15" s="16">
        <f>AEI14-AEI13</f>
        <v/>
      </c>
      <c r="AEJ15" s="16">
        <f>AEJ14-AEJ13</f>
        <v/>
      </c>
      <c r="AEK15" s="16">
        <f>AEK14-AEK13</f>
        <v/>
      </c>
      <c r="AEL15" s="16">
        <f>AEL14-AEL13</f>
        <v/>
      </c>
      <c r="AEM15" s="16">
        <f>AEM14-AEM13</f>
        <v/>
      </c>
      <c r="AEN15" s="16">
        <f>AEN14-AEN13</f>
        <v/>
      </c>
      <c r="AEO15" s="127">
        <f>SUM(ADK15:AEN15)</f>
        <v/>
      </c>
      <c r="AEP15" s="16">
        <f>AEP14-AEP13</f>
        <v/>
      </c>
      <c r="AEQ15" s="16">
        <f>AEQ14-AEQ13</f>
        <v/>
      </c>
      <c r="AER15" s="16">
        <f>AER14-AER13</f>
        <v/>
      </c>
      <c r="AES15" s="16">
        <f>AES14-AES13</f>
        <v/>
      </c>
      <c r="AET15" s="16">
        <f>AET14-AET13</f>
        <v/>
      </c>
      <c r="AEU15" s="16">
        <f>AEU14-AEU13</f>
        <v/>
      </c>
      <c r="AEV15" s="16">
        <f>AEV14-AEV13</f>
        <v/>
      </c>
      <c r="AEW15" s="16">
        <f>AEW14-AEW13</f>
        <v/>
      </c>
      <c r="AEX15" s="16">
        <f>AEX14-AEX13</f>
        <v/>
      </c>
      <c r="AEY15" s="16">
        <f>AEY14-AEY13</f>
        <v/>
      </c>
      <c r="AEZ15" s="16">
        <f>AEZ14-AEZ13</f>
        <v/>
      </c>
      <c r="AFA15" s="16">
        <f>AFA14-AFA13</f>
        <v/>
      </c>
      <c r="AFB15" s="16">
        <f>AFB14-AFB13</f>
        <v/>
      </c>
      <c r="AFC15" s="16">
        <f>AFC14-AFC13</f>
        <v/>
      </c>
      <c r="AFD15" s="16">
        <f>AFD14-AFD13</f>
        <v/>
      </c>
      <c r="AFE15" s="16">
        <f>AFE14-AFE13</f>
        <v/>
      </c>
      <c r="AFF15" s="16">
        <f>AFF14-AFF13</f>
        <v/>
      </c>
      <c r="AFG15" s="16">
        <f>AFG14-AFG13</f>
        <v/>
      </c>
      <c r="AFH15" s="16">
        <f>AFH14-AFH13</f>
        <v/>
      </c>
      <c r="AFI15" s="16">
        <f>AFI14-AFI13</f>
        <v/>
      </c>
      <c r="AFJ15" s="16">
        <f>AFJ14-AFJ13</f>
        <v/>
      </c>
      <c r="AFK15" s="16">
        <f>AFK14-AFK13</f>
        <v/>
      </c>
      <c r="AFL15" s="16">
        <f>AFL14-AFL13</f>
        <v/>
      </c>
      <c r="AFM15" s="16">
        <f>AFM14-AFM13</f>
        <v/>
      </c>
      <c r="AFN15" s="16">
        <f>AFN14-AFN13</f>
        <v/>
      </c>
      <c r="AFO15" s="16">
        <f>AFO14-AFO13</f>
        <v/>
      </c>
      <c r="AFP15" s="16">
        <f>AFP14-AFP13</f>
        <v/>
      </c>
      <c r="AFQ15" s="16">
        <f>AFQ14-AFQ13</f>
        <v/>
      </c>
      <c r="AFR15" s="16">
        <f>AFR14-AFR13</f>
        <v/>
      </c>
      <c r="AFS15" s="16">
        <f>AFS14-AFS13</f>
        <v/>
      </c>
      <c r="AFT15" s="16">
        <f>AFT14-AFT13</f>
        <v/>
      </c>
      <c r="AFU15" s="127">
        <f>SUM(AEP15:AFT15)</f>
        <v/>
      </c>
      <c r="AFV15" s="16">
        <f>AFV14-AFV13</f>
        <v/>
      </c>
      <c r="AFW15" s="16">
        <f>AFW14-AFW13</f>
        <v/>
      </c>
      <c r="AFX15" s="16">
        <f>AFX14-AFX13</f>
        <v/>
      </c>
      <c r="AFY15" s="16">
        <f>AFY14-AFY13</f>
        <v/>
      </c>
      <c r="AFZ15" s="16">
        <f>AFZ14-AFZ13</f>
        <v/>
      </c>
      <c r="AGA15" s="16">
        <f>AGA14-AGA13</f>
        <v/>
      </c>
      <c r="AGB15" s="16">
        <f>AGB14-AGB13</f>
        <v/>
      </c>
      <c r="AGC15" s="16">
        <f>AGC14-AGC13</f>
        <v/>
      </c>
      <c r="AGD15" s="16">
        <f>AGD14-AGD13</f>
        <v/>
      </c>
      <c r="AGE15" s="16">
        <f>AGE14-AGE13</f>
        <v/>
      </c>
      <c r="AGF15" s="16">
        <f>AGF14-AGF13</f>
        <v/>
      </c>
      <c r="AGG15" s="16">
        <f>AGG14-AGG13</f>
        <v/>
      </c>
      <c r="AGH15" s="16">
        <f>AGH14-AGH13</f>
        <v/>
      </c>
      <c r="AGI15" s="16">
        <f>AGI14-AGI13</f>
        <v/>
      </c>
      <c r="AGJ15" s="16">
        <f>AGJ14-AGJ13</f>
        <v/>
      </c>
      <c r="AGK15" s="16">
        <f>AGK14-AGK13</f>
        <v/>
      </c>
      <c r="AGL15" s="16">
        <f>AGL14-AGL13</f>
        <v/>
      </c>
      <c r="AGM15" s="16">
        <f>AGM14-AGM13</f>
        <v/>
      </c>
      <c r="AGN15" s="16">
        <f>AGN14-AGN13</f>
        <v/>
      </c>
      <c r="AGO15" s="16">
        <f>AGO14-AGO13</f>
        <v/>
      </c>
      <c r="AGP15" s="16">
        <f>AGP14-AGP13</f>
        <v/>
      </c>
      <c r="AGQ15" s="16">
        <f>AGQ14-AGQ13</f>
        <v/>
      </c>
      <c r="AGR15" s="16">
        <f>AGR14-AGR13</f>
        <v/>
      </c>
      <c r="AGS15" s="16">
        <f>AGS14-AGS13</f>
        <v/>
      </c>
      <c r="AGT15" s="16">
        <f>AGT14-AGT13</f>
        <v/>
      </c>
      <c r="AGU15" s="16">
        <f>AGU14-AGU13</f>
        <v/>
      </c>
      <c r="AGV15" s="16">
        <f>AGV14-AGV13</f>
        <v/>
      </c>
      <c r="AGW15" s="16">
        <f>AGW14-AGW13</f>
        <v/>
      </c>
      <c r="AGX15" s="16">
        <f>AGX14-AGX13</f>
        <v/>
      </c>
      <c r="AGY15" s="16">
        <f>AGY14-AGY13</f>
        <v/>
      </c>
      <c r="AGZ15" s="127">
        <f>SUM(AFV15:AGY15)</f>
        <v/>
      </c>
      <c r="AHA15" s="16">
        <f>AHA14-AHA13</f>
        <v/>
      </c>
      <c r="AHB15" s="16">
        <f>AHB14-AHB13</f>
        <v/>
      </c>
      <c r="AHC15" s="16">
        <f>AHC14-AHC13</f>
        <v/>
      </c>
      <c r="AHD15" s="16">
        <f>AHD14-AHD13</f>
        <v/>
      </c>
      <c r="AHE15" s="16">
        <f>AHE14-AHE13</f>
        <v/>
      </c>
      <c r="AHF15" s="16">
        <f>AHF14-AHF13</f>
        <v/>
      </c>
      <c r="AHG15" s="16">
        <f>AHG14-AHG13</f>
        <v/>
      </c>
      <c r="AHH15" s="16">
        <f>AHH14-AHH13</f>
        <v/>
      </c>
      <c r="AHI15" s="16">
        <f>AHI14-AHI13</f>
        <v/>
      </c>
      <c r="AHJ15" s="16">
        <f>AHJ14-AHJ13</f>
        <v/>
      </c>
      <c r="AHK15" s="16">
        <f>AHK14-AHK13</f>
        <v/>
      </c>
      <c r="AHL15" s="16">
        <f>AHL14-AHL13</f>
        <v/>
      </c>
      <c r="AHM15" s="16">
        <f>AHM14-AHM13</f>
        <v/>
      </c>
      <c r="AHN15" s="16">
        <f>AHN14-AHN13</f>
        <v/>
      </c>
      <c r="AHO15" s="16">
        <f>AHO14-AHO13</f>
        <v/>
      </c>
      <c r="AHP15" s="16">
        <f>AHP14-AHP13</f>
        <v/>
      </c>
      <c r="AHQ15" s="16">
        <f>AHQ14-AHQ13</f>
        <v/>
      </c>
      <c r="AHR15" s="16">
        <f>AHR14-AHR13</f>
        <v/>
      </c>
      <c r="AHS15" s="16">
        <f>AHS14-AHS13</f>
        <v/>
      </c>
      <c r="AHT15" s="16">
        <f>AHT14-AHT13</f>
        <v/>
      </c>
      <c r="AHU15" s="16">
        <f>AHU14-AHU13</f>
        <v/>
      </c>
      <c r="AHV15" s="16">
        <f>AHV14-AHV13</f>
        <v/>
      </c>
      <c r="AHW15" s="16">
        <f>AHW14-AHW13</f>
        <v/>
      </c>
      <c r="AHX15" s="16">
        <f>AHX14-AHX13</f>
        <v/>
      </c>
      <c r="AHY15" s="16">
        <f>AHY14-AHY13</f>
        <v/>
      </c>
      <c r="AHZ15" s="16">
        <f>AHZ14-AHZ13</f>
        <v/>
      </c>
      <c r="AIA15" s="16">
        <f>AIA14-AIA13</f>
        <v/>
      </c>
      <c r="AIB15" s="16">
        <f>AIB14-AIB13</f>
        <v/>
      </c>
      <c r="AIC15" s="16">
        <f>AIC14-AIC13</f>
        <v/>
      </c>
      <c r="AID15" s="16">
        <f>AID14-AID13</f>
        <v/>
      </c>
      <c r="AIE15" s="16">
        <f>AIE14-AIE13</f>
        <v/>
      </c>
      <c r="AIF15" s="127">
        <f>SUM(AHA15:AIE15)</f>
        <v/>
      </c>
      <c r="AIG15" s="16">
        <f>AIG14-AIG13</f>
        <v/>
      </c>
      <c r="AIH15" s="16">
        <f>AIH14-AIH13</f>
        <v/>
      </c>
      <c r="AII15" s="16">
        <f>AII14-AII13</f>
        <v/>
      </c>
      <c r="AIJ15" s="16">
        <f>AIJ14-AIJ13</f>
        <v/>
      </c>
      <c r="AIK15" s="16">
        <f>AIK14-AIK13</f>
        <v/>
      </c>
      <c r="AIL15" s="16">
        <f>AIL14-AIL13</f>
        <v/>
      </c>
      <c r="AIM15" s="16">
        <f>AIM14-AIM13</f>
        <v/>
      </c>
      <c r="AIN15" s="16">
        <f>AIN14-AIN13</f>
        <v/>
      </c>
      <c r="AIO15" s="16">
        <f>AIO14-AIO13</f>
        <v/>
      </c>
      <c r="AIP15" s="16">
        <f>AIP14-AIP13</f>
        <v/>
      </c>
      <c r="AIQ15" s="16">
        <f>AIQ14-AIQ13</f>
        <v/>
      </c>
      <c r="AIR15" s="16">
        <f>AIR14-AIR13</f>
        <v/>
      </c>
      <c r="AIS15" s="16">
        <f>AIS14-AIS13</f>
        <v/>
      </c>
      <c r="AIT15" s="16">
        <f>AIT14-AIT13</f>
        <v/>
      </c>
      <c r="AIU15" s="16">
        <f>AIU14-AIU13</f>
        <v/>
      </c>
      <c r="AIV15" s="16">
        <f>AIV14-AIV13</f>
        <v/>
      </c>
      <c r="AIW15" s="16">
        <f>AIW14-AIW13</f>
        <v/>
      </c>
      <c r="AIX15" s="16">
        <f>AIX14-AIX13</f>
        <v/>
      </c>
      <c r="AIY15" s="16">
        <f>AIY14-AIY13</f>
        <v/>
      </c>
      <c r="AIZ15" s="16">
        <f>AIZ14-AIZ13</f>
        <v/>
      </c>
      <c r="AJA15" s="16">
        <f>AJA14-AJA13</f>
        <v/>
      </c>
      <c r="AJB15" s="16">
        <f>AJB14-AJB13</f>
        <v/>
      </c>
      <c r="AJC15" s="16">
        <f>AJC14-AJC13</f>
        <v/>
      </c>
      <c r="AJD15" s="16">
        <f>AJD14-AJD13</f>
        <v/>
      </c>
      <c r="AJE15" s="16">
        <f>AJE14-AJE13</f>
        <v/>
      </c>
      <c r="AJF15" s="16">
        <f>AJF14-AJF13</f>
        <v/>
      </c>
      <c r="AJG15" s="16">
        <f>AJG14-AJG13</f>
        <v/>
      </c>
      <c r="AJH15" s="16">
        <f>AJH14-AJH13</f>
        <v/>
      </c>
      <c r="AJI15" s="16">
        <f>AJI14-AJI13</f>
        <v/>
      </c>
      <c r="AJJ15" s="16">
        <f>AJJ14-AJJ13</f>
        <v/>
      </c>
      <c r="AJK15" s="16">
        <f>AJK14-AJK13</f>
        <v/>
      </c>
      <c r="AJL15" s="127">
        <f>SUM(AIG15:AJK15)</f>
        <v/>
      </c>
      <c r="AJM15" s="16">
        <f>AJM14-AJM13</f>
        <v/>
      </c>
      <c r="AJN15" s="16">
        <f>AJN14-AJN13</f>
        <v/>
      </c>
      <c r="AJO15" s="16">
        <f>AJO14-AJO13</f>
        <v/>
      </c>
      <c r="AJP15" s="16">
        <f>AJP14-AJP13</f>
        <v/>
      </c>
      <c r="AJQ15" s="16">
        <f>AJQ14-AJQ13</f>
        <v/>
      </c>
      <c r="AJR15" s="16">
        <f>AJR14-AJR13</f>
        <v/>
      </c>
      <c r="AJS15" s="16">
        <f>AJS14-AJS13</f>
        <v/>
      </c>
      <c r="AJT15" s="16">
        <f>AJT14-AJT13</f>
        <v/>
      </c>
      <c r="AJU15" s="16">
        <f>AJU14-AJU13</f>
        <v/>
      </c>
      <c r="AJV15" s="16">
        <f>AJV14-AJV13</f>
        <v/>
      </c>
      <c r="AJW15" s="16">
        <f>AJW14-AJW13</f>
        <v/>
      </c>
      <c r="AJX15" s="16">
        <f>AJX14-AJX13</f>
        <v/>
      </c>
      <c r="AJY15" s="16">
        <f>AJY14-AJY13</f>
        <v/>
      </c>
      <c r="AJZ15" s="16">
        <f>AJZ14-AJZ13</f>
        <v/>
      </c>
      <c r="AKA15" s="16">
        <f>AKA14-AKA13</f>
        <v/>
      </c>
      <c r="AKB15" s="16">
        <f>AKB14-AKB13</f>
        <v/>
      </c>
      <c r="AKC15" s="16">
        <f>AKC14-AKC13</f>
        <v/>
      </c>
      <c r="AKD15" s="16">
        <f>AKD14-AKD13</f>
        <v/>
      </c>
      <c r="AKE15" s="16">
        <f>AKE14-AKE13</f>
        <v/>
      </c>
      <c r="AKF15" s="16">
        <f>AKF14-AKF13</f>
        <v/>
      </c>
      <c r="AKG15" s="16">
        <f>AKG14-AKG13</f>
        <v/>
      </c>
      <c r="AKH15" s="16">
        <f>AKH14-AKH13</f>
        <v/>
      </c>
      <c r="AKI15" s="16">
        <f>AKI14-AKI13</f>
        <v/>
      </c>
      <c r="AKJ15" s="16">
        <f>AKJ14-AKJ13</f>
        <v/>
      </c>
      <c r="AKK15" s="16">
        <f>AKK14-AKK13</f>
        <v/>
      </c>
      <c r="AKL15" s="16">
        <f>AKL14-AKL13</f>
        <v/>
      </c>
      <c r="AKM15" s="16">
        <f>AKM14-AKM13</f>
        <v/>
      </c>
      <c r="AKN15" s="16">
        <f>AKN14-AKN13</f>
        <v/>
      </c>
      <c r="AKO15" s="127">
        <f>SUM(AJM15:AKN15)</f>
        <v/>
      </c>
      <c r="AKP15" s="16">
        <f>AKP14-AKP13</f>
        <v/>
      </c>
      <c r="AKQ15" s="16">
        <f>AKQ14-AKQ13</f>
        <v/>
      </c>
      <c r="AKR15" s="16">
        <f>AKR14-AKR13</f>
        <v/>
      </c>
      <c r="AKS15" s="16">
        <f>AKS14-AKS13</f>
        <v/>
      </c>
      <c r="AKT15" s="16">
        <f>AKT14-AKT13</f>
        <v/>
      </c>
      <c r="AKU15" s="16">
        <f>AKU14-AKU13</f>
        <v/>
      </c>
      <c r="AKV15" s="16">
        <f>AKV14-AKV13</f>
        <v/>
      </c>
      <c r="AKW15" s="16">
        <f>AKW14-AKW13</f>
        <v/>
      </c>
      <c r="AKX15" s="16">
        <f>AKX14-AKX13</f>
        <v/>
      </c>
      <c r="AKY15" s="16">
        <f>AKY14-AKY13</f>
        <v/>
      </c>
      <c r="AKZ15" s="16">
        <f>AKZ14-AKZ13</f>
        <v/>
      </c>
      <c r="ALA15" s="16">
        <f>ALA14-ALA13</f>
        <v/>
      </c>
      <c r="ALB15" s="16">
        <f>ALB14-ALB13</f>
        <v/>
      </c>
      <c r="ALC15" s="16">
        <f>ALC14-ALC13</f>
        <v/>
      </c>
      <c r="ALD15" s="16">
        <f>ALD14-ALD13</f>
        <v/>
      </c>
      <c r="ALE15" s="16">
        <f>ALE14-ALE13</f>
        <v/>
      </c>
      <c r="ALF15" s="16">
        <f>ALF14-ALF13</f>
        <v/>
      </c>
      <c r="ALG15" s="16">
        <f>ALG14-ALG13</f>
        <v/>
      </c>
      <c r="ALH15" s="16">
        <f>ALH14-ALH13</f>
        <v/>
      </c>
      <c r="ALI15" s="16">
        <f>ALI14-ALI13</f>
        <v/>
      </c>
      <c r="ALJ15" s="16">
        <f>ALJ14-ALJ13</f>
        <v/>
      </c>
      <c r="ALK15" s="16">
        <f>ALK14-ALK13</f>
        <v/>
      </c>
      <c r="ALL15" s="16">
        <f>ALL14-ALL13</f>
        <v/>
      </c>
      <c r="ALM15" s="16">
        <f>ALM14-ALM13</f>
        <v/>
      </c>
      <c r="ALN15" s="16">
        <f>ALN14-ALN13</f>
        <v/>
      </c>
      <c r="ALO15" s="16">
        <f>ALO14-ALO13</f>
        <v/>
      </c>
      <c r="ALP15" s="16">
        <f>ALP14-ALP13</f>
        <v/>
      </c>
      <c r="ALQ15" s="16">
        <f>ALQ14-ALQ13</f>
        <v/>
      </c>
      <c r="ALR15" s="16">
        <f>ALR14-ALR13</f>
        <v/>
      </c>
      <c r="ALS15" s="16">
        <f>ALS14-ALS13</f>
        <v/>
      </c>
      <c r="ALT15" s="16">
        <f>ALT14-ALT13</f>
        <v/>
      </c>
      <c r="ALU15" s="127">
        <f>SUM(AKP15:ALT15)</f>
        <v/>
      </c>
      <c r="ALV15" s="16">
        <f>ALV14-ALV13</f>
        <v/>
      </c>
      <c r="ALW15" s="16">
        <f>ALW14-ALW13</f>
        <v/>
      </c>
      <c r="ALX15" s="16">
        <f>ALX14-ALX13</f>
        <v/>
      </c>
      <c r="ALY15" s="16">
        <f>ALY14-ALY13</f>
        <v/>
      </c>
      <c r="ALZ15" s="16">
        <f>ALZ14-ALZ13</f>
        <v/>
      </c>
      <c r="AMA15" s="16">
        <f>AMA14-AMA13</f>
        <v/>
      </c>
      <c r="AMB15" s="16">
        <f>AMB14-AMB13</f>
        <v/>
      </c>
      <c r="AMC15" s="16">
        <f>AMC14-AMC13</f>
        <v/>
      </c>
      <c r="AMD15" s="16">
        <f>AMD14-AMD13</f>
        <v/>
      </c>
      <c r="AME15" s="16">
        <f>AME14-AME13</f>
        <v/>
      </c>
      <c r="AMF15" s="16">
        <f>AMF14-AMF13</f>
        <v/>
      </c>
      <c r="AMG15" s="16">
        <f>AMG14-AMG13</f>
        <v/>
      </c>
      <c r="AMH15" s="16">
        <f>AMH14-AMH13</f>
        <v/>
      </c>
      <c r="AMI15" s="16">
        <f>AMI14-AMI13</f>
        <v/>
      </c>
      <c r="AMJ15" s="16">
        <f>AMJ14-AMJ13</f>
        <v/>
      </c>
      <c r="AMK15" s="16">
        <f>AMK14-AMK13</f>
        <v/>
      </c>
      <c r="AML15" s="16">
        <f>AML14-AML13</f>
        <v/>
      </c>
      <c r="AMM15" s="16">
        <f>AMM14-AMM13</f>
        <v/>
      </c>
      <c r="AMN15" s="16">
        <f>AMN14-AMN13</f>
        <v/>
      </c>
      <c r="AMO15" s="16">
        <f>AMO14-AMO13</f>
        <v/>
      </c>
      <c r="AMP15" s="16">
        <f>AMP14-AMP13</f>
        <v/>
      </c>
      <c r="AMQ15" s="16">
        <f>AMQ14-AMQ13</f>
        <v/>
      </c>
      <c r="AMR15" s="16">
        <f>AMR14-AMR13</f>
        <v/>
      </c>
      <c r="AMS15" s="16">
        <f>AMS14-AMS13</f>
        <v/>
      </c>
      <c r="AMT15" s="16">
        <f>AMT14-AMT13</f>
        <v/>
      </c>
      <c r="AMU15" s="16">
        <f>AMU14-AMU13</f>
        <v/>
      </c>
      <c r="AMV15" s="16">
        <f>AMV14-AMV13</f>
        <v/>
      </c>
      <c r="AMW15" s="16">
        <f>AMW14-AMW13</f>
        <v/>
      </c>
      <c r="AMX15" s="16">
        <f>AMX14-AMX13</f>
        <v/>
      </c>
      <c r="AMY15" s="16">
        <f>AMY14-AMY13</f>
        <v/>
      </c>
      <c r="AMZ15" s="127">
        <f>SUM(ALV15:AMY15)</f>
        <v/>
      </c>
      <c r="ANA15" s="16">
        <f>ANA14-ANA13</f>
        <v/>
      </c>
      <c r="ANB15" s="16">
        <f>ANB14-ANB13</f>
        <v/>
      </c>
      <c r="ANC15" s="16">
        <f>ANC14-ANC13</f>
        <v/>
      </c>
      <c r="AND15" s="16">
        <f>AND14-AND13</f>
        <v/>
      </c>
      <c r="ANE15" s="16">
        <f>ANE14-ANE13</f>
        <v/>
      </c>
      <c r="ANF15" s="16">
        <f>ANF14-ANF13</f>
        <v/>
      </c>
      <c r="ANG15" s="16">
        <f>ANG14-ANG13</f>
        <v/>
      </c>
      <c r="ANH15" s="16">
        <f>ANH14-ANH13</f>
        <v/>
      </c>
      <c r="ANI15" s="16">
        <f>ANI14-ANI13</f>
        <v/>
      </c>
      <c r="ANJ15" s="16">
        <f>ANJ14-ANJ13</f>
        <v/>
      </c>
      <c r="ANK15" s="16">
        <f>ANK14-ANK13</f>
        <v/>
      </c>
      <c r="ANL15" s="16">
        <f>ANL14-ANL13</f>
        <v/>
      </c>
      <c r="ANM15" s="16">
        <f>ANM14-ANM13</f>
        <v/>
      </c>
      <c r="ANN15" s="16">
        <f>ANN14-ANN13</f>
        <v/>
      </c>
      <c r="ANO15" s="16">
        <f>ANO14-ANO13</f>
        <v/>
      </c>
      <c r="ANP15" s="16">
        <f>ANP14-ANP13</f>
        <v/>
      </c>
      <c r="ANQ15" s="16">
        <f>ANQ14-ANQ13</f>
        <v/>
      </c>
      <c r="ANR15" s="16">
        <f>ANR14-ANR13</f>
        <v/>
      </c>
      <c r="ANS15" s="16">
        <f>ANS14-ANS13</f>
        <v/>
      </c>
      <c r="ANT15" s="16">
        <f>ANT14-ANT13</f>
        <v/>
      </c>
      <c r="ANU15" s="16">
        <f>ANU14-ANU13</f>
        <v/>
      </c>
      <c r="ANV15" s="16">
        <f>ANV14-ANV13</f>
        <v/>
      </c>
      <c r="ANW15" s="16">
        <f>ANW14-ANW13</f>
        <v/>
      </c>
      <c r="ANX15" s="16">
        <f>ANX14-ANX13</f>
        <v/>
      </c>
      <c r="ANY15" s="16">
        <f>ANY14-ANY13</f>
        <v/>
      </c>
      <c r="ANZ15" s="16">
        <f>ANZ14-ANZ13</f>
        <v/>
      </c>
      <c r="AOA15" s="16">
        <f>AOA14-AOA13</f>
        <v/>
      </c>
      <c r="AOB15" s="16">
        <f>AOB14-AOB13</f>
        <v/>
      </c>
      <c r="AOC15" s="16">
        <f>AOC14-AOC13</f>
        <v/>
      </c>
      <c r="AOD15" s="16">
        <f>AOD14-AOD13</f>
        <v/>
      </c>
      <c r="AOE15">
        <f>AOE14-AOE13</f>
        <v/>
      </c>
    </row>
    <row r="16">
      <c r="A16" s="157" t="n"/>
      <c r="B16" s="5" t="n"/>
      <c r="C16" s="11" t="inlineStr">
        <is>
          <t>TOTAL PMS SALES</t>
        </is>
      </c>
      <c r="D16" s="18">
        <f>D15+D12+D9+D6</f>
        <v/>
      </c>
      <c r="E16" s="18">
        <f>E15+E12+E9+E6</f>
        <v/>
      </c>
      <c r="F16" s="18">
        <f>F15+F12+F9+F6</f>
        <v/>
      </c>
      <c r="G16" s="18">
        <f>G15+G12+G9+G6</f>
        <v/>
      </c>
      <c r="H16" s="18">
        <f>H15+H12+H9+H6</f>
        <v/>
      </c>
      <c r="I16" s="18">
        <f>I15+I12+I9+I6</f>
        <v/>
      </c>
      <c r="J16" s="18">
        <f>J15+J12+J9+J6</f>
        <v/>
      </c>
      <c r="K16" s="18">
        <f>K15+K12+K9+K6</f>
        <v/>
      </c>
      <c r="L16" s="18">
        <f>L15+L12+L9+L6</f>
        <v/>
      </c>
      <c r="M16" s="18">
        <f>M15+M12+M9+M6</f>
        <v/>
      </c>
      <c r="N16" s="18">
        <f>N15+N12+N9+N6</f>
        <v/>
      </c>
      <c r="O16" s="18">
        <f>O15+O12+O9+O6</f>
        <v/>
      </c>
      <c r="P16" s="18">
        <f>P15+P12+P9+P6</f>
        <v/>
      </c>
      <c r="Q16" s="18">
        <f>Q15+Q12+Q9+Q6</f>
        <v/>
      </c>
      <c r="R16" s="18">
        <f>R15+R12+R9+R6</f>
        <v/>
      </c>
      <c r="S16" s="18">
        <f>S15+S12+S9+S6</f>
        <v/>
      </c>
      <c r="T16" s="18">
        <f>T15+T12+T9+T6</f>
        <v/>
      </c>
      <c r="U16" s="18">
        <f>U15+U12+U9+U6</f>
        <v/>
      </c>
      <c r="V16" s="18">
        <f>V15+V12+V9+V6</f>
        <v/>
      </c>
      <c r="W16" s="18">
        <f>W15+W12+W9+W6</f>
        <v/>
      </c>
      <c r="X16" s="18">
        <f>X15+X12+X9+X6</f>
        <v/>
      </c>
      <c r="Y16" s="18">
        <f>Y15+Y12+Y9+Y6</f>
        <v/>
      </c>
      <c r="Z16" s="18">
        <f>Z15+Z12+Z9+Z6</f>
        <v/>
      </c>
      <c r="AA16" s="18">
        <f>AA15+AA12+AA9+AA6</f>
        <v/>
      </c>
      <c r="AB16" s="18">
        <f>AB15+AB12+AB9+AB6</f>
        <v/>
      </c>
      <c r="AC16" s="18">
        <f>AC15+AC12+AC9+AC6</f>
        <v/>
      </c>
      <c r="AD16" s="18">
        <f>AD15+AD12+AD9+AD6</f>
        <v/>
      </c>
      <c r="AE16" s="18">
        <f>AE15+AE12+AE9+AE6</f>
        <v/>
      </c>
      <c r="AF16" s="18">
        <f>AF15+AF12+AF9+AF6</f>
        <v/>
      </c>
      <c r="AG16" s="18">
        <f>AG15+AG12+AG9+AG6</f>
        <v/>
      </c>
      <c r="AH16" s="18">
        <f>AH15+AH12+AH9+AH6</f>
        <v/>
      </c>
      <c r="AI16" s="49" t="n"/>
      <c r="AJ16" s="18">
        <f>AJ15+AJ12+AJ9+AJ6</f>
        <v/>
      </c>
      <c r="AK16" s="18">
        <f>AK15+AK12+AK9+AK6</f>
        <v/>
      </c>
      <c r="AL16" s="18">
        <f>AL15+AL12+AL9+AL6</f>
        <v/>
      </c>
      <c r="AM16" s="18">
        <f>AM15+AM12+AM9+AM6</f>
        <v/>
      </c>
      <c r="AN16" s="18">
        <f>AN15+AN12+AN9+AN6</f>
        <v/>
      </c>
      <c r="AO16" s="18">
        <f>AO15+AO12+AO9+AO6</f>
        <v/>
      </c>
      <c r="AP16" s="18">
        <f>AP15+AP12+AP9+AP6</f>
        <v/>
      </c>
      <c r="AQ16" s="18">
        <f>AQ15+AQ12+AQ9+AQ6</f>
        <v/>
      </c>
      <c r="AR16" s="18">
        <f>AR15+AR12+AR9+AR6</f>
        <v/>
      </c>
      <c r="AS16" s="18">
        <f>AS15+AS12+AS9+AS6</f>
        <v/>
      </c>
      <c r="AT16" s="18">
        <f>AT15+AT12+AT9+AT6</f>
        <v/>
      </c>
      <c r="AU16" s="18">
        <f>AU15+AU12+AU9+AU6</f>
        <v/>
      </c>
      <c r="AV16" s="18">
        <f>AV15+AV12+AV9+AV6</f>
        <v/>
      </c>
      <c r="AW16" s="18">
        <f>AW15+AW12+AW9+AW6</f>
        <v/>
      </c>
      <c r="AX16" s="18">
        <f>AX15+AX12+AX9+AX6</f>
        <v/>
      </c>
      <c r="AY16" s="18">
        <f>AY15+AY12+AY9+AY6</f>
        <v/>
      </c>
      <c r="AZ16" s="18">
        <f>AZ15+AZ12+AZ9+AZ6</f>
        <v/>
      </c>
      <c r="BA16" s="18">
        <f>BA15+BA12+BA9+BA6</f>
        <v/>
      </c>
      <c r="BB16" s="18">
        <f>BB15+BB12+BB9+BB6</f>
        <v/>
      </c>
      <c r="BC16" s="18">
        <f>BC15+BC12+BC9+BC6</f>
        <v/>
      </c>
      <c r="BD16" s="18">
        <f>BD15+BD12+BD9+BD6</f>
        <v/>
      </c>
      <c r="BE16" s="18">
        <f>BE15+BE12+BE9+BE6</f>
        <v/>
      </c>
      <c r="BF16" s="18">
        <f>BF15+BF12+BF9+BF6</f>
        <v/>
      </c>
      <c r="BG16" s="18">
        <f>BG15+BG12+BG9+BG6</f>
        <v/>
      </c>
      <c r="BH16" s="18">
        <f>BH15+BH12+BH9+BH6</f>
        <v/>
      </c>
      <c r="BI16" s="18">
        <f>BI15+BI12+BI9+BI6</f>
        <v/>
      </c>
      <c r="BJ16" s="18">
        <f>BJ15+BJ12+BJ9+BJ6</f>
        <v/>
      </c>
      <c r="BK16" s="18">
        <f>BK15+BK12+BK9+BK6</f>
        <v/>
      </c>
      <c r="BL16" s="18">
        <f>BL15+BL12+BL9+BL6</f>
        <v/>
      </c>
      <c r="BM16" s="18">
        <f>BM15+BM12+BM9+BM6</f>
        <v/>
      </c>
      <c r="BN16" s="89">
        <f>SUM(AJ16:BM16)</f>
        <v/>
      </c>
      <c r="BO16" s="18">
        <f>BO15+BO12+BO9+BO6</f>
        <v/>
      </c>
      <c r="BP16" s="18">
        <f>BP15+BP12+BP9+BP6</f>
        <v/>
      </c>
      <c r="BQ16" s="18">
        <f>BQ15+BQ12+BQ9+BQ6</f>
        <v/>
      </c>
      <c r="BR16" s="18">
        <f>BR15+BR12+BR9+BR6</f>
        <v/>
      </c>
      <c r="BS16" s="18">
        <f>BS15+BS12+BS9+BS6</f>
        <v/>
      </c>
      <c r="BT16" s="18">
        <f>BT15+BT12+BT9+BT6</f>
        <v/>
      </c>
      <c r="BU16" s="18">
        <f>BU15+BU12+BU9+BU6</f>
        <v/>
      </c>
      <c r="BV16" s="18">
        <f>BV15+BV12+BV9+BV6</f>
        <v/>
      </c>
      <c r="BW16" s="18">
        <f>BW15+BW12+BW9+BW6</f>
        <v/>
      </c>
      <c r="BX16" s="18">
        <f>BX15+BX12+BX9+BX6</f>
        <v/>
      </c>
      <c r="BY16" s="18">
        <f>BY15+BY12+BY9+BY6</f>
        <v/>
      </c>
      <c r="BZ16" s="18">
        <f>BZ15+BZ12+BZ9+BZ6</f>
        <v/>
      </c>
      <c r="CA16" s="18">
        <f>CA15+CA12+CA9+CA6</f>
        <v/>
      </c>
      <c r="CB16" s="18">
        <f>CB15+CB12+CB9+CB6</f>
        <v/>
      </c>
      <c r="CC16" s="18">
        <f>CC15+CC12+CC9+CC6</f>
        <v/>
      </c>
      <c r="CD16" s="18">
        <f>CD15+CD12+CD9+CD6</f>
        <v/>
      </c>
      <c r="CE16" s="18">
        <f>CE15+CE12+CE9+CE6</f>
        <v/>
      </c>
      <c r="CF16" s="18">
        <f>CF15+CF12+CF9+CF6</f>
        <v/>
      </c>
      <c r="CG16" s="18">
        <f>CG15+CG12+CG9+CG6</f>
        <v/>
      </c>
      <c r="CH16" s="18">
        <f>CH15+CH12+CH9+CH6</f>
        <v/>
      </c>
      <c r="CI16" s="18">
        <f>CI15+CI12+CI9+CI6</f>
        <v/>
      </c>
      <c r="CJ16" s="18">
        <f>CJ15+CJ12+CJ9+CJ6</f>
        <v/>
      </c>
      <c r="CK16" s="18">
        <f>CK15+CK12+CK9+CK6</f>
        <v/>
      </c>
      <c r="CL16" s="18">
        <f>CL15+CL12+CL9+CL6</f>
        <v/>
      </c>
      <c r="CM16" s="18">
        <f>CM15+CM12+CM9+CM6</f>
        <v/>
      </c>
      <c r="CN16" s="18">
        <f>CN15+CN12+CN9+CN6</f>
        <v/>
      </c>
      <c r="CO16" s="18">
        <f>CO15+CO12+CO9+CO6</f>
        <v/>
      </c>
      <c r="CP16" s="18">
        <f>CP15+CP12+CP9+CP6</f>
        <v/>
      </c>
      <c r="CQ16" s="18">
        <f>CQ15+CQ12+CQ9+CQ6</f>
        <v/>
      </c>
      <c r="CR16" s="18">
        <f>CR15+CR12+CR9+CR6</f>
        <v/>
      </c>
      <c r="CS16" s="18">
        <f>CS15+CS12+CS9+CS6</f>
        <v/>
      </c>
      <c r="CT16" s="89">
        <f>SUM(BO16:CS16)</f>
        <v/>
      </c>
      <c r="CU16" s="18">
        <f>CU15+CU12+CU9+CU6</f>
        <v/>
      </c>
      <c r="CV16" s="18">
        <f>CV15+CV12+CV9+CV6</f>
        <v/>
      </c>
      <c r="CW16" s="18">
        <f>CW15+CW12+CW9+CW6</f>
        <v/>
      </c>
      <c r="CX16" s="18">
        <f>CX15+CX12+CX9+CX6</f>
        <v/>
      </c>
      <c r="CY16" s="18">
        <f>CY15+CY12+CY9+CY6</f>
        <v/>
      </c>
      <c r="CZ16" s="18">
        <f>CZ15+CZ12+CZ9+CZ6</f>
        <v/>
      </c>
      <c r="DA16" s="18">
        <f>DA15+DA12+DA9+DA6</f>
        <v/>
      </c>
      <c r="DB16" s="18">
        <f>DB15+DB12+DB9+DB6</f>
        <v/>
      </c>
      <c r="DC16" s="18">
        <f>DC15+DC12+DC9+DC6</f>
        <v/>
      </c>
      <c r="DD16" s="18">
        <f>DD15+DD12+DD9+DD6</f>
        <v/>
      </c>
      <c r="DE16" s="18">
        <f>DE15+DE12+DE9+DE6</f>
        <v/>
      </c>
      <c r="DF16" s="18">
        <f>DF15+DF12+DF9+DF6</f>
        <v/>
      </c>
      <c r="DG16" s="18">
        <f>DG15+DG12+DG9+DG6</f>
        <v/>
      </c>
      <c r="DH16" s="18">
        <f>DH15+DH12+DH9+DH6</f>
        <v/>
      </c>
      <c r="DI16" s="18">
        <f>DI15+DI12+DI9+DI6</f>
        <v/>
      </c>
      <c r="DJ16" s="18">
        <f>DJ15+DJ12+DJ9+DJ6</f>
        <v/>
      </c>
      <c r="DK16" s="18">
        <f>DK15+DK12+DK9+DK6</f>
        <v/>
      </c>
      <c r="DL16" s="18">
        <f>DL15+DL12+DL9+DL6</f>
        <v/>
      </c>
      <c r="DM16" s="18">
        <f>DM15+DM12+DM9+DM6</f>
        <v/>
      </c>
      <c r="DN16" s="18">
        <f>DN15+DN12+DN9+DN6</f>
        <v/>
      </c>
      <c r="DO16" s="18">
        <f>DO15+DO12+DO9+DO6</f>
        <v/>
      </c>
      <c r="DP16" s="18">
        <f>DP15+DP12+DP9+DP6</f>
        <v/>
      </c>
      <c r="DQ16" s="18">
        <f>DQ15+DQ12+DQ9+DQ6</f>
        <v/>
      </c>
      <c r="DR16" s="18">
        <f>DR15+DR12+DR9+DR6</f>
        <v/>
      </c>
      <c r="DS16" s="18">
        <f>DS15+DS12+DS9+DS6</f>
        <v/>
      </c>
      <c r="DT16" s="18">
        <f>DT15+DT12+DT9+DT6</f>
        <v/>
      </c>
      <c r="DU16" s="18">
        <f>DU15+DU12+DU9+DU6</f>
        <v/>
      </c>
      <c r="DV16" s="18">
        <f>DV15+DV12+DV9+DV6</f>
        <v/>
      </c>
      <c r="DW16" s="18">
        <f>DW15+DW12+DW9+DW6</f>
        <v/>
      </c>
      <c r="DX16" s="18">
        <f>DX15+DX12+DX9+DX6</f>
        <v/>
      </c>
      <c r="DY16" s="117" t="n"/>
      <c r="DZ16" s="18">
        <f>DZ15+DZ12+DZ9+DZ6</f>
        <v/>
      </c>
      <c r="EA16" s="18">
        <f>EA15+EA12+EA9+EA6</f>
        <v/>
      </c>
      <c r="EB16" s="18">
        <f>EB15+EB12+EB9+EB6</f>
        <v/>
      </c>
      <c r="EC16" s="18">
        <f>EC15+EC12+EC9+EC6</f>
        <v/>
      </c>
      <c r="ED16" s="18">
        <f>ED15+ED12+ED9+ED6</f>
        <v/>
      </c>
      <c r="EE16" s="18">
        <f>EE15+EE12+EE9+EE6</f>
        <v/>
      </c>
      <c r="EF16" s="18">
        <f>EF15+EF12+EF9+EF6</f>
        <v/>
      </c>
      <c r="EG16" s="18">
        <f>EG15+EG12+EG9+EG6</f>
        <v/>
      </c>
      <c r="EH16" s="18">
        <f>EH15+EH12+EH9+EH6</f>
        <v/>
      </c>
      <c r="EI16" s="18">
        <f>EI15+EI12+EI9+EI6</f>
        <v/>
      </c>
      <c r="EJ16" s="18">
        <f>EJ15+EJ12+EJ9+EJ6</f>
        <v/>
      </c>
      <c r="EK16" s="18">
        <f>EK15+EK12+EK9+EK6</f>
        <v/>
      </c>
      <c r="EL16" s="18">
        <f>EL15+EL12+EL9+EL6</f>
        <v/>
      </c>
      <c r="EM16" s="18">
        <f>EM15+EM12+EM9+EM6</f>
        <v/>
      </c>
      <c r="EN16" s="18">
        <f>EN15+EN12+EN9+EN6</f>
        <v/>
      </c>
      <c r="EO16" s="18">
        <f>EO15+EO12+EO9+EO6</f>
        <v/>
      </c>
      <c r="EP16" s="18">
        <f>EP15+EP12+EP9+EP6</f>
        <v/>
      </c>
      <c r="EQ16" s="18">
        <f>EQ15+EQ12+EQ9+EQ6</f>
        <v/>
      </c>
      <c r="ER16" s="18">
        <f>ER15+ER12+ER9+ER6</f>
        <v/>
      </c>
      <c r="ES16" s="18">
        <f>ES15+ES12+ES9+ES6</f>
        <v/>
      </c>
      <c r="ET16" s="18">
        <f>ET15+ET12+ET9+ET6</f>
        <v/>
      </c>
      <c r="EU16" s="18">
        <f>EU15+EU12+EU9+EU6</f>
        <v/>
      </c>
      <c r="EV16" s="18">
        <f>EV15+EV12+EV9+EV6</f>
        <v/>
      </c>
      <c r="EW16" s="18">
        <f>EW15+EW12+EW9+EW6</f>
        <v/>
      </c>
      <c r="EX16" s="18">
        <f>EX15+EX12+EX9+EX6</f>
        <v/>
      </c>
      <c r="EY16" s="18">
        <f>EY15+EY12+EY9+EY6</f>
        <v/>
      </c>
      <c r="EZ16" s="18">
        <f>EZ15+EZ12+EZ9+EZ6</f>
        <v/>
      </c>
      <c r="FA16" s="18">
        <f>FA15+FA12+FA9+FA6</f>
        <v/>
      </c>
      <c r="FB16" s="18">
        <f>FB15+FB12+FB9+FB6</f>
        <v/>
      </c>
      <c r="FC16" s="18">
        <f>FC15+FC12+FC9+FC6</f>
        <v/>
      </c>
      <c r="FD16" s="18">
        <f>FD15+FD12+FD9+FD6</f>
        <v/>
      </c>
      <c r="FE16" s="127">
        <f>SUM(DZ16:FD16)</f>
        <v/>
      </c>
      <c r="FF16" s="18">
        <f>FF15+FF12+FF9+FF6</f>
        <v/>
      </c>
      <c r="FG16" s="18">
        <f>FG15+FG12+FG9+FG6</f>
        <v/>
      </c>
      <c r="FH16" s="18">
        <f>FH15+FH12+FH9+FH6</f>
        <v/>
      </c>
      <c r="FI16" s="18">
        <f>FI15+FI12+FI9+FI6</f>
        <v/>
      </c>
      <c r="FJ16" s="18">
        <f>FJ15+FJ12+FJ9+FJ6</f>
        <v/>
      </c>
      <c r="FK16" s="18">
        <f>FK15+FK12+FK9+FK6</f>
        <v/>
      </c>
      <c r="FL16" s="18">
        <f>FL15+FL12+FL9+FL6</f>
        <v/>
      </c>
      <c r="FM16" s="18">
        <f>FM15+FM12+FM9+FM6</f>
        <v/>
      </c>
      <c r="FN16" s="18">
        <f>FN15+FN12+FN9+FN6</f>
        <v/>
      </c>
      <c r="FO16" s="18">
        <f>FO15+FO12+FO9+FO6</f>
        <v/>
      </c>
      <c r="FP16" s="18">
        <f>FP15+FP12+FP9+FP6</f>
        <v/>
      </c>
      <c r="FQ16" s="18">
        <f>FQ15+FQ12+FQ9+FQ6</f>
        <v/>
      </c>
      <c r="FR16" s="18">
        <f>FR15+FR12+FR9+FR6</f>
        <v/>
      </c>
      <c r="FS16" s="18">
        <f>FS15+FS12+FS9+FS6</f>
        <v/>
      </c>
      <c r="FT16" s="18">
        <f>FT15+FT12+FT9+FT6</f>
        <v/>
      </c>
      <c r="FU16" s="18">
        <f>FU15+FU12+FU9+FU6</f>
        <v/>
      </c>
      <c r="FV16" s="18">
        <f>FV15+FV12+FV9+FV6</f>
        <v/>
      </c>
      <c r="FW16" s="18">
        <f>FW15+FW12+FW9+FW6</f>
        <v/>
      </c>
      <c r="FX16" s="18">
        <f>FX15+FX12+FX9+FX6</f>
        <v/>
      </c>
      <c r="FY16" s="18">
        <f>FY15+FY12+FY9+FY6</f>
        <v/>
      </c>
      <c r="FZ16" s="18">
        <f>FZ15+FZ12+FZ9+FZ6</f>
        <v/>
      </c>
      <c r="GA16" s="18">
        <f>GA15+GA12+GA9+GA6</f>
        <v/>
      </c>
      <c r="GB16" s="18">
        <f>GB15+GB12+GB9+GB6</f>
        <v/>
      </c>
      <c r="GC16" s="18">
        <f>GC15+GC12+GC9+GC6</f>
        <v/>
      </c>
      <c r="GD16" s="18">
        <f>GD15+GD12+GD9+GD6</f>
        <v/>
      </c>
      <c r="GE16" s="18">
        <f>GE15+GE12+GE9+GE6</f>
        <v/>
      </c>
      <c r="GF16" s="18">
        <f>GF15+GF12+GF9+GF6</f>
        <v/>
      </c>
      <c r="GG16" s="18">
        <f>GG15+GG12+GG9+GG6</f>
        <v/>
      </c>
      <c r="GH16" s="18">
        <f>GH15+GH12+GH9+GH6</f>
        <v/>
      </c>
      <c r="GI16" s="18">
        <f>GI15+GI12+GI9+GI6</f>
        <v/>
      </c>
      <c r="GJ16" s="18">
        <f>GJ15+GJ12+GJ9+GJ6</f>
        <v/>
      </c>
      <c r="GK16" s="127">
        <f>SUM(FF16:GJ16)</f>
        <v/>
      </c>
      <c r="GL16" s="18">
        <f>GL15+GL12+GL9+GL6</f>
        <v/>
      </c>
      <c r="GM16" s="18">
        <f>GM15+GM12+GM9+GM6</f>
        <v/>
      </c>
      <c r="GN16" s="18">
        <f>GN15+GN12+GN9+GN6</f>
        <v/>
      </c>
      <c r="GO16" s="18">
        <f>GO15+GO12+GO9+GO6</f>
        <v/>
      </c>
      <c r="GP16" s="18">
        <f>GP15+GP12+GP9+GP6</f>
        <v/>
      </c>
      <c r="GQ16" s="18">
        <f>GQ15+GQ12+GQ9+GQ6</f>
        <v/>
      </c>
      <c r="GR16" s="18">
        <f>GR15+GR12+GR9+GR6</f>
        <v/>
      </c>
      <c r="GS16" s="18">
        <f>GS15+GS12+GS9+GS6</f>
        <v/>
      </c>
      <c r="GT16" s="18">
        <f>GT15+GT12+GT9+GT6</f>
        <v/>
      </c>
      <c r="GU16" s="18">
        <f>GU15+GU12+GU9+GU6</f>
        <v/>
      </c>
      <c r="GV16" s="18">
        <f>GV15+GV12+GV9+GV6</f>
        <v/>
      </c>
      <c r="GW16" s="18">
        <f>GW15+GW12+GW9+GW6</f>
        <v/>
      </c>
      <c r="GX16" s="18">
        <f>GX15+GX12+GX9+GX6</f>
        <v/>
      </c>
      <c r="GY16" s="18">
        <f>GY15+GY12+GY9+GY6</f>
        <v/>
      </c>
      <c r="GZ16" s="18">
        <f>GZ15+GZ12+GZ9+GZ6</f>
        <v/>
      </c>
      <c r="HA16" s="18">
        <f>HA15+HA12+HA9+HA6</f>
        <v/>
      </c>
      <c r="HB16" s="18">
        <f>HB15+HB12+HB9+HB6</f>
        <v/>
      </c>
      <c r="HC16" s="18">
        <f>HC15+HC12+HC9+HC6</f>
        <v/>
      </c>
      <c r="HD16" s="18">
        <f>HD15+HD12+HD9+HD6</f>
        <v/>
      </c>
      <c r="HE16" s="18">
        <f>HE15+HE12+HE9+HE6</f>
        <v/>
      </c>
      <c r="HF16" s="18">
        <f>HF15+HF12+HF9+HF6</f>
        <v/>
      </c>
      <c r="HG16" s="18">
        <f>HG15+HG12+HG9+HG6</f>
        <v/>
      </c>
      <c r="HH16" s="18">
        <f>HH15+HH12+HH9+HH6</f>
        <v/>
      </c>
      <c r="HI16" s="18">
        <f>HI15+HI12+HI9+HI6</f>
        <v/>
      </c>
      <c r="HJ16" s="18">
        <f>HJ15+HJ12+HJ9+HJ6</f>
        <v/>
      </c>
      <c r="HK16" s="18">
        <f>HK15+HK12+HK9+HK6</f>
        <v/>
      </c>
      <c r="HL16" s="18">
        <f>HL15+HL12+HL9+HL6</f>
        <v/>
      </c>
      <c r="HM16" s="18">
        <f>HM15+HM12+HM9+HM6</f>
        <v/>
      </c>
      <c r="HN16" s="18">
        <f>HN15+HN12+HN9+HN6</f>
        <v/>
      </c>
      <c r="HO16" s="127">
        <f>SUM(GL16:HN16)</f>
        <v/>
      </c>
      <c r="HP16" s="18">
        <f>HP15+HP12+HP9+HP6</f>
        <v/>
      </c>
      <c r="HQ16" s="18">
        <f>HQ15+HQ12+HQ9+HQ6</f>
        <v/>
      </c>
      <c r="HR16" s="18">
        <f>HR15+HR12+HR9+HR6</f>
        <v/>
      </c>
      <c r="HS16" s="18">
        <f>HS15+HS12+HS9+HS6</f>
        <v/>
      </c>
      <c r="HT16" s="18">
        <f>HT15+HT12+HT9+HT6</f>
        <v/>
      </c>
      <c r="HU16" s="18">
        <f>HU15+HU12+HU9+HU6</f>
        <v/>
      </c>
      <c r="HV16" s="18">
        <f>HV15+HV12+HV9+HV6</f>
        <v/>
      </c>
      <c r="HW16" s="18">
        <f>HW15+HW12+HW9+HW6</f>
        <v/>
      </c>
      <c r="HX16" s="18">
        <f>HX15+HX12+HX9+HX6</f>
        <v/>
      </c>
      <c r="HY16" s="18">
        <f>HY15+HY12+HY9+HY6</f>
        <v/>
      </c>
      <c r="HZ16" s="18">
        <f>HZ15+HZ12+HZ9+HZ6</f>
        <v/>
      </c>
      <c r="IA16" s="18">
        <f>IA15+IA12+IA9+IA6</f>
        <v/>
      </c>
      <c r="IB16" s="18">
        <f>IB15+IB12+IB9+IB6</f>
        <v/>
      </c>
      <c r="IC16" s="18">
        <f>IC15+IC12+IC9+IC6</f>
        <v/>
      </c>
      <c r="ID16" s="18">
        <f>ID15+ID12+ID9+ID6</f>
        <v/>
      </c>
      <c r="IE16" s="18">
        <f>IE15+IE12+IE9+IE6</f>
        <v/>
      </c>
      <c r="IF16" s="18">
        <f>IF15+IF12+IF9+IF6</f>
        <v/>
      </c>
      <c r="IG16" s="18">
        <f>IG15+IG12+IG9+IG6</f>
        <v/>
      </c>
      <c r="IH16" s="18">
        <f>IH15+IH12+IH9+IH6</f>
        <v/>
      </c>
      <c r="II16" s="18">
        <f>II15+II12+II9+II6</f>
        <v/>
      </c>
      <c r="IJ16" s="18">
        <f>IJ15+IJ12+IJ9+IJ6</f>
        <v/>
      </c>
      <c r="IK16" s="18">
        <f>IK15+IK12+IK9+IK6</f>
        <v/>
      </c>
      <c r="IL16" s="18">
        <f>IL15+IL12+IL9+IL6</f>
        <v/>
      </c>
      <c r="IM16" s="18">
        <f>IM15+IM12+IM9+IM6</f>
        <v/>
      </c>
      <c r="IN16" s="18">
        <f>IN15+IN12+IN9+IN6</f>
        <v/>
      </c>
      <c r="IO16" s="18">
        <f>IO15+IO12+IO9+IO6</f>
        <v/>
      </c>
      <c r="IP16" s="18">
        <f>IP15+IP12+IP9+IP6</f>
        <v/>
      </c>
      <c r="IQ16" s="18">
        <f>IQ15+IQ12+IQ9+IQ6</f>
        <v/>
      </c>
      <c r="IR16" s="18">
        <f>IR15+IR12+IR9+IR6</f>
        <v/>
      </c>
      <c r="IS16" s="18">
        <f>IS15+IS12+IS9+IS6</f>
        <v/>
      </c>
      <c r="IT16" s="18">
        <f>IT15+IT12+IT9+IT6</f>
        <v/>
      </c>
      <c r="IU16" s="127">
        <f>SUM(HP16:IT16)</f>
        <v/>
      </c>
      <c r="IV16" s="18">
        <f>IV15+IV12+IV9+IV6</f>
        <v/>
      </c>
      <c r="IW16" s="18">
        <f>IW15+IW12+IW9+IW6</f>
        <v/>
      </c>
      <c r="IX16" s="18">
        <f>IX15+IX12+IX9+IX6</f>
        <v/>
      </c>
      <c r="IY16" s="18">
        <f>IY15+IY12+IY9+IY6</f>
        <v/>
      </c>
      <c r="IZ16" s="18">
        <f>IZ15+IZ12+IZ9+IZ6</f>
        <v/>
      </c>
      <c r="JA16" s="18">
        <f>JA15+JA12+JA9+JA6</f>
        <v/>
      </c>
      <c r="JB16" s="18">
        <f>JB15+JB12+JB9+JB6</f>
        <v/>
      </c>
      <c r="JC16" s="18">
        <f>JC15+JC12+JC9+JC6</f>
        <v/>
      </c>
      <c r="JD16" s="18">
        <f>JD15+JD12+JD9+JD6</f>
        <v/>
      </c>
      <c r="JE16" s="18">
        <f>JE15+JE12+JE9+JE6</f>
        <v/>
      </c>
      <c r="JF16" s="18">
        <f>JF15+JF12+JF9+JF6</f>
        <v/>
      </c>
      <c r="JG16" s="18">
        <f>JG15+JG12+JG9+JG6</f>
        <v/>
      </c>
      <c r="JH16" s="18">
        <f>JH15+JH12+JH9+JH6</f>
        <v/>
      </c>
      <c r="JI16" s="18">
        <f>JI15+JI12+JI9+JI6</f>
        <v/>
      </c>
      <c r="JJ16" s="18">
        <f>JJ15+JJ12+JJ9+JJ6</f>
        <v/>
      </c>
      <c r="JK16" s="18">
        <f>JK15+JK12+JK9+JK6</f>
        <v/>
      </c>
      <c r="JL16" s="18">
        <f>JL15+JL12+JL9+JL6</f>
        <v/>
      </c>
      <c r="JM16" s="18">
        <f>JM15+JM12+JM9+JM6</f>
        <v/>
      </c>
      <c r="JN16" s="18">
        <f>JN15+JN12+JN9+JN6</f>
        <v/>
      </c>
      <c r="JO16" s="18">
        <f>JO15+JO12+JO9+JO6</f>
        <v/>
      </c>
      <c r="JP16" s="18">
        <f>JP15+JP12+JP9+JP6</f>
        <v/>
      </c>
      <c r="JQ16" s="18">
        <f>JQ15+JQ12+JQ9+JQ6</f>
        <v/>
      </c>
      <c r="JR16" s="18">
        <f>JR15+JR12+JR9+JR6</f>
        <v/>
      </c>
      <c r="JS16" s="18">
        <f>JS15+JS12+JS9+JS6</f>
        <v/>
      </c>
      <c r="JT16" s="18">
        <f>JT15+JT12+JT9+JT6</f>
        <v/>
      </c>
      <c r="JU16" s="18">
        <f>JU15+JU12+JU9+JU6</f>
        <v/>
      </c>
      <c r="JV16" s="18">
        <f>JV15+JV12+JV9+JV6</f>
        <v/>
      </c>
      <c r="JW16" s="18">
        <f>JW15+JW12+JW9+JW6</f>
        <v/>
      </c>
      <c r="JX16" s="18">
        <f>JX15+JX12+JX9+JX6</f>
        <v/>
      </c>
      <c r="JY16" s="18">
        <f>JY15+JY12+JY9+JY6</f>
        <v/>
      </c>
      <c r="JZ16" s="127" t="n">
        <v>0</v>
      </c>
      <c r="KA16" s="18">
        <f>KA15+KA12+KA9+KA6</f>
        <v/>
      </c>
      <c r="KB16" s="18">
        <f>KB15+KB12+KB9+KB6</f>
        <v/>
      </c>
      <c r="KC16" s="18">
        <f>KC15+KC12+KC9+KC6</f>
        <v/>
      </c>
      <c r="KD16" s="18">
        <f>KD15+KD12+KD9+KD6</f>
        <v/>
      </c>
      <c r="KE16" s="18">
        <f>KE15+KE12+KE9+KE6</f>
        <v/>
      </c>
      <c r="KF16" s="18">
        <f>KF15+KF12+KF9+KF6</f>
        <v/>
      </c>
      <c r="KG16" s="18">
        <f>KG15+KG12+KG9+KG6</f>
        <v/>
      </c>
      <c r="KH16" s="18">
        <f>KH15+KH12+KH9+KH6</f>
        <v/>
      </c>
      <c r="KI16" s="18">
        <f>KI15+KI12+KI9+KI6</f>
        <v/>
      </c>
      <c r="KJ16" s="18">
        <f>KJ15+KJ12+KJ9+KJ6</f>
        <v/>
      </c>
      <c r="KK16" s="18">
        <f>KK15+KK12+KK9+KK6</f>
        <v/>
      </c>
      <c r="KL16" s="18">
        <f>KL15+KL12+KL9+KL6</f>
        <v/>
      </c>
      <c r="KM16" s="18">
        <f>KM15+KM12+KM9+KM6</f>
        <v/>
      </c>
      <c r="KN16" s="18">
        <f>KN15+KN12+KN9+KN6</f>
        <v/>
      </c>
      <c r="KO16" s="18">
        <f>KO15+KO12+KO9+KO6</f>
        <v/>
      </c>
      <c r="KP16" s="18">
        <f>KP15+KP12+KP9+KP6</f>
        <v/>
      </c>
      <c r="KQ16" s="18">
        <f>KQ15+KQ12+KQ9+KQ6</f>
        <v/>
      </c>
      <c r="KR16" s="18">
        <f>KR15+KR12+KR9+KR6</f>
        <v/>
      </c>
      <c r="KS16" s="18">
        <f>KS15+KS12+KS9+KS6</f>
        <v/>
      </c>
      <c r="KT16" s="18">
        <f>KT15+KT12+KT9+KT6</f>
        <v/>
      </c>
      <c r="KU16" s="18">
        <f>KU15+KU12+KU9+KU6</f>
        <v/>
      </c>
      <c r="KV16" s="18">
        <f>KV15+KV12+KV9+KV6</f>
        <v/>
      </c>
      <c r="KW16" s="18">
        <f>KW15+KW12+KW9+KW6</f>
        <v/>
      </c>
      <c r="KX16" s="18">
        <f>KX15+KX12+KX9+KX6</f>
        <v/>
      </c>
      <c r="KY16" s="18">
        <f>KY15+KY12+KY9+KY6</f>
        <v/>
      </c>
      <c r="KZ16" s="18">
        <f>KZ15+KZ12+KZ9+KZ6</f>
        <v/>
      </c>
      <c r="LA16" s="18">
        <f>LA15+LA12+LA9+LA6</f>
        <v/>
      </c>
      <c r="LB16" s="18">
        <f>LB15+LB12+LB9+LB6</f>
        <v/>
      </c>
      <c r="LC16" s="18">
        <f>LC15+LC12+LC9+LC6</f>
        <v/>
      </c>
      <c r="LD16" s="18">
        <f>LD15+LD12+LD9+LD6</f>
        <v/>
      </c>
      <c r="LE16" s="18">
        <f>LE15+LE12+LE9+LE6</f>
        <v/>
      </c>
      <c r="LF16" s="127" t="n">
        <v>0</v>
      </c>
      <c r="LG16" s="18">
        <f>LG15+LG12+LG9+LG6</f>
        <v/>
      </c>
      <c r="LH16" s="18">
        <f>LH15+LH12+LH9+LH6</f>
        <v/>
      </c>
      <c r="LI16" s="18">
        <f>LI15+LI12+LI9+LI6</f>
        <v/>
      </c>
      <c r="LJ16" s="18">
        <f>LJ15+LJ12+LJ9+LJ6</f>
        <v/>
      </c>
      <c r="LK16" s="18">
        <f>LK15+LK12+LK9+LK6</f>
        <v/>
      </c>
      <c r="LL16" s="18">
        <f>LL15+LL12+LL9+LL6</f>
        <v/>
      </c>
      <c r="LM16" s="18">
        <f>LM15+LM12+LM9+LM6</f>
        <v/>
      </c>
      <c r="LN16" s="18">
        <f>LN15+LN12+LN9+LN6</f>
        <v/>
      </c>
      <c r="LO16" s="18">
        <f>LO15+LO12+LO9+LO6</f>
        <v/>
      </c>
      <c r="LP16" s="18">
        <f>LP15+LP12+LP9+LP6</f>
        <v/>
      </c>
      <c r="LQ16" s="18">
        <f>LQ15+LQ12+LQ9+LQ6</f>
        <v/>
      </c>
      <c r="LR16" s="18">
        <f>LR15+LR12+LR9+LR6</f>
        <v/>
      </c>
      <c r="LS16" s="18">
        <f>LS15+LS12+LS9+LS6</f>
        <v/>
      </c>
      <c r="LT16" s="18">
        <f>LT15+LT12+LT9+LT6</f>
        <v/>
      </c>
      <c r="LU16" s="18">
        <f>LU15+LU12+LU9+LU6</f>
        <v/>
      </c>
      <c r="LV16" s="18">
        <f>LV15+LV12+LV9+LV6</f>
        <v/>
      </c>
      <c r="LW16" s="18">
        <f>LW15+LW12+LW9+LW6</f>
        <v/>
      </c>
      <c r="LX16" s="18">
        <f>LX15+LX12+LX9+LX6</f>
        <v/>
      </c>
      <c r="LY16" s="18">
        <f>LY15+LY12+LY9+LY6</f>
        <v/>
      </c>
      <c r="LZ16" s="18">
        <f>LZ15+LZ12+LZ9+LZ6</f>
        <v/>
      </c>
      <c r="MA16" s="18">
        <f>MA15+MA12+MA9+MA6</f>
        <v/>
      </c>
      <c r="MB16" s="18">
        <f>MB15+MB12+MB9+MB6</f>
        <v/>
      </c>
      <c r="MC16" s="18">
        <f>MC15+MC12+MC9+MC6</f>
        <v/>
      </c>
      <c r="MD16" s="18">
        <f>MD15+MD12+MD9+MD6</f>
        <v/>
      </c>
      <c r="ME16" s="18">
        <f>ME15+ME12+ME9+ME6</f>
        <v/>
      </c>
      <c r="MF16" s="18">
        <f>MF15+MF12+MF9+MF6</f>
        <v/>
      </c>
      <c r="MG16" s="18">
        <f>MG15+MG12+MG9+MG6</f>
        <v/>
      </c>
      <c r="MH16" s="18">
        <f>MH15+MH12+MH9+MH6</f>
        <v/>
      </c>
      <c r="MI16" s="18">
        <f>MI15+MI12+MI9+MI6</f>
        <v/>
      </c>
      <c r="MJ16" s="18">
        <f>MJ15+MJ12+MJ9+MJ6</f>
        <v/>
      </c>
      <c r="MK16" s="127" t="n">
        <v>0</v>
      </c>
      <c r="ML16" s="18">
        <f>ML15+ML12+ML9+ML6</f>
        <v/>
      </c>
      <c r="MM16" s="18">
        <f>MM15+MM12+MM9+MM6</f>
        <v/>
      </c>
      <c r="MN16" s="18">
        <f>MN15+MN12+MN9+MN6</f>
        <v/>
      </c>
      <c r="MO16" s="18">
        <f>MO15+MO12+MO9+MO6</f>
        <v/>
      </c>
      <c r="MP16" s="18">
        <f>MP15+MP12+MP9+MP6</f>
        <v/>
      </c>
      <c r="MQ16" s="18">
        <f>MQ15+MQ12+MQ9+MQ6</f>
        <v/>
      </c>
      <c r="MR16" s="18">
        <f>MR15+MR12+MR9+MR6</f>
        <v/>
      </c>
      <c r="MS16" s="18">
        <f>MS15+MS12+MS9+MS6</f>
        <v/>
      </c>
      <c r="MT16" s="18">
        <f>MT15+MT12+MT9+MT6</f>
        <v/>
      </c>
      <c r="MU16" s="18">
        <f>MU15+MU12+MU9+MU6</f>
        <v/>
      </c>
      <c r="MV16" s="18">
        <f>MV15+MV12+MV9+MV6</f>
        <v/>
      </c>
      <c r="MW16" s="18">
        <f>MW15+MW12+MW9+MW6</f>
        <v/>
      </c>
      <c r="MX16" s="18">
        <f>MX15+MX12+MX9+MX6</f>
        <v/>
      </c>
      <c r="MY16" s="18">
        <f>MY15+MY12+MY9+MY6</f>
        <v/>
      </c>
      <c r="MZ16" s="18">
        <f>MZ15+MZ12+MZ9+MZ6</f>
        <v/>
      </c>
      <c r="NA16" s="18">
        <f>NA15+NA12+NA9+NA6</f>
        <v/>
      </c>
      <c r="NB16" s="18">
        <f>NB15+NB12+NB9+NB6</f>
        <v/>
      </c>
      <c r="NC16" s="18">
        <f>NC15+NC12+NC9+NC6</f>
        <v/>
      </c>
      <c r="ND16" s="18">
        <f>ND15+ND12+ND9+ND6</f>
        <v/>
      </c>
      <c r="NE16" s="18">
        <f>NE15+NE12+NE9+NE6</f>
        <v/>
      </c>
      <c r="NF16" s="18">
        <f>NF15+NF12+NF9+NF6</f>
        <v/>
      </c>
      <c r="NG16" s="18">
        <f>NG15+NG12+NG9+NG6</f>
        <v/>
      </c>
      <c r="NH16" s="18">
        <f>NH15+NH12+NH9+NH6</f>
        <v/>
      </c>
      <c r="NI16" s="18">
        <f>NI15+NI12+NI9+NI6</f>
        <v/>
      </c>
      <c r="NJ16" s="18">
        <f>NJ15+NJ12+NJ9+NJ6</f>
        <v/>
      </c>
      <c r="NK16" s="18">
        <f>NK15+NK12+NK9+NK6</f>
        <v/>
      </c>
      <c r="NL16" s="18">
        <f>NL15+NL12+NL9+NL6</f>
        <v/>
      </c>
      <c r="NM16" s="18">
        <f>NM15+NM12+NM9+NM6</f>
        <v/>
      </c>
      <c r="NN16" s="18">
        <f>NN15+NN12+NN9+NN6</f>
        <v/>
      </c>
      <c r="NO16" s="18">
        <f>NO15+NO12+NO9+NO6</f>
        <v/>
      </c>
      <c r="NP16" s="18">
        <f>NP15+NP12+NP9+NP6</f>
        <v/>
      </c>
      <c r="NQ16" s="127" t="n">
        <v>0</v>
      </c>
      <c r="NR16" s="18">
        <f>NR15+NR12+NR9+NR6</f>
        <v/>
      </c>
      <c r="NS16" s="18">
        <f>NS15+NS12+NS9+NS6</f>
        <v/>
      </c>
      <c r="NT16" s="18">
        <f>NT15+NT12+NT9+NT6</f>
        <v/>
      </c>
      <c r="NU16" s="18">
        <f>NU15+NU12+NU9+NU6</f>
        <v/>
      </c>
      <c r="NV16" s="18">
        <f>NV15+NV12+NV9+NV6</f>
        <v/>
      </c>
      <c r="NW16" s="18">
        <f>NW15+NW12+NW9+NW6</f>
        <v/>
      </c>
      <c r="NX16" s="18">
        <f>NX15+NX12+NX9+NX6</f>
        <v/>
      </c>
      <c r="NY16" s="18">
        <f>NY15+NY12+NY9+NY6</f>
        <v/>
      </c>
      <c r="NZ16" s="18">
        <f>NZ15+NZ12+NZ9+NZ6</f>
        <v/>
      </c>
      <c r="OA16" s="18">
        <f>OA15+OA12+OA9+OA6</f>
        <v/>
      </c>
      <c r="OB16" s="18">
        <f>OB15+OB12+OB9+OB6</f>
        <v/>
      </c>
      <c r="OC16" s="18">
        <f>OC15+OC12+OC9+OC6</f>
        <v/>
      </c>
      <c r="OD16" s="18">
        <f>OD15+OD12+OD9+OD6</f>
        <v/>
      </c>
      <c r="OE16" s="18">
        <f>OE15+OE12+OE9+OE6</f>
        <v/>
      </c>
      <c r="OF16" s="18">
        <f>OF15+OF12+OF9+OF6</f>
        <v/>
      </c>
      <c r="OG16" s="18">
        <f>OG15+OG12+OG9+OG6</f>
        <v/>
      </c>
      <c r="OH16" s="18">
        <f>OH15+OH12+OH9+OH6</f>
        <v/>
      </c>
      <c r="OI16" s="18">
        <f>OI15+OI12+OI9+OI6</f>
        <v/>
      </c>
      <c r="OJ16" s="18">
        <f>OJ15+OJ12+OJ9+OJ6</f>
        <v/>
      </c>
      <c r="OK16" s="18">
        <f>OK15+OK12+OK9+OK6</f>
        <v/>
      </c>
      <c r="OL16" s="18">
        <f>OL15+OL12+OL9+OL6</f>
        <v/>
      </c>
      <c r="OM16" s="18">
        <f>OM15+OM12+OM9+OM6</f>
        <v/>
      </c>
      <c r="ON16" s="18">
        <f>ON15+ON12+ON9+ON6</f>
        <v/>
      </c>
      <c r="OO16" s="18">
        <f>OO15+OO12+OO9+OO6</f>
        <v/>
      </c>
      <c r="OP16" s="18">
        <f>OP15+OP12+OP9+OP6</f>
        <v/>
      </c>
      <c r="OQ16" s="18">
        <f>OQ15+OQ12+OQ9+OQ6</f>
        <v/>
      </c>
      <c r="OR16" s="18">
        <f>OR15+OR12+OR9+OR6</f>
        <v/>
      </c>
      <c r="OS16" s="18">
        <f>OS15+OS12+OS9+OS6</f>
        <v/>
      </c>
      <c r="OT16" s="18">
        <f>OT15+OT12+OT9+OT6</f>
        <v/>
      </c>
      <c r="OU16" s="18">
        <f>OU15+OU12+OU9+OU6</f>
        <v/>
      </c>
      <c r="OV16" s="18">
        <f>OV15+OV12+OV9+OV6</f>
        <v/>
      </c>
      <c r="OW16" s="127" t="n">
        <v>0</v>
      </c>
      <c r="OX16" s="18">
        <f>OX15+OX12+OX9+OX6</f>
        <v/>
      </c>
      <c r="OY16" s="18">
        <f>OY15+OY12+OY9+OY6</f>
        <v/>
      </c>
      <c r="OZ16" s="18">
        <f>OZ15+OZ12+OZ9+OZ6</f>
        <v/>
      </c>
      <c r="PA16" s="18">
        <f>PA15+PA12+PA9+PA6</f>
        <v/>
      </c>
      <c r="PB16" s="18">
        <f>PB15+PB12+PB9+PB6</f>
        <v/>
      </c>
      <c r="PC16" s="18">
        <f>PC15+PC12+PC9+PC6</f>
        <v/>
      </c>
      <c r="PD16" s="18">
        <f>PD15+PD12+PD9+PD6</f>
        <v/>
      </c>
      <c r="PE16" s="18">
        <f>PE15+PE12+PE9+PE6</f>
        <v/>
      </c>
      <c r="PF16" s="18">
        <f>PF15+PF12+PF9+PF6</f>
        <v/>
      </c>
      <c r="PG16" s="18">
        <f>PG15+PG12+PG9+PG6</f>
        <v/>
      </c>
      <c r="PH16" s="18">
        <f>PH15+PH12+PH9+PH6</f>
        <v/>
      </c>
      <c r="PI16" s="18">
        <f>PI15+PI12+PI9+PI6</f>
        <v/>
      </c>
      <c r="PJ16" s="18">
        <f>PJ15+PJ12+PJ9+PJ6</f>
        <v/>
      </c>
      <c r="PK16" s="18">
        <f>PK15+PK12+PK9+PK6</f>
        <v/>
      </c>
      <c r="PL16" s="18">
        <f>PL15+PL12+PL9+PL6</f>
        <v/>
      </c>
      <c r="PM16" s="18">
        <f>PM15+PM12+PM9+PM6</f>
        <v/>
      </c>
      <c r="PN16" s="18">
        <f>PN15+PN12+PN9+PN6</f>
        <v/>
      </c>
      <c r="PO16" s="18">
        <f>PO15+PO12+PO9+PO6</f>
        <v/>
      </c>
      <c r="PP16" s="18">
        <f>PP15+PP12+PP9+PP6</f>
        <v/>
      </c>
      <c r="PQ16" s="18">
        <f>PQ15+PQ12+PQ9+PQ6</f>
        <v/>
      </c>
      <c r="PR16" s="18">
        <f>PR15+PR12+PR9+PR6</f>
        <v/>
      </c>
      <c r="PS16" s="18">
        <f>PS15+PS12+PS9+PS6</f>
        <v/>
      </c>
      <c r="PT16" s="18">
        <f>PT15+PT12+PT9+PT6</f>
        <v/>
      </c>
      <c r="PU16" s="18">
        <f>PU15+PU12+PU9+PU6</f>
        <v/>
      </c>
      <c r="PV16" s="18">
        <f>PV15+PV12+PV9+PV6</f>
        <v/>
      </c>
      <c r="PW16" s="18">
        <f>PW15+PW12+PW9+PW6</f>
        <v/>
      </c>
      <c r="PX16" s="18">
        <f>PX15+PX12+PX9+PX6</f>
        <v/>
      </c>
      <c r="PY16" s="18">
        <f>PY15+PY12+PY9+PY6</f>
        <v/>
      </c>
      <c r="PZ16" s="18">
        <f>PZ15+PZ12+PZ9+PZ6</f>
        <v/>
      </c>
      <c r="QA16" s="18">
        <f>QA15+QA12+QA9+QA6</f>
        <v/>
      </c>
      <c r="QB16" s="127" t="n">
        <v>0</v>
      </c>
      <c r="QC16" s="18">
        <f>QC15+QC12+QC9+QC6</f>
        <v/>
      </c>
      <c r="QD16" s="18">
        <f>QD15+QD12+QD9+QD6</f>
        <v/>
      </c>
      <c r="QE16" s="18">
        <f>QE15+QE12+QE9+QE6</f>
        <v/>
      </c>
      <c r="QF16" s="18">
        <f>QF15+QF12+QF9+QF6</f>
        <v/>
      </c>
      <c r="QG16" s="18">
        <f>QG15+QG12+QG9+QG6</f>
        <v/>
      </c>
      <c r="QH16" s="18">
        <f>QH15+QH12+QH9+QH6</f>
        <v/>
      </c>
      <c r="QI16" s="18">
        <f>QI15+QI12+QI9+QI6</f>
        <v/>
      </c>
      <c r="QJ16" s="18">
        <f>QJ15+QJ12+QJ9+QJ6</f>
        <v/>
      </c>
      <c r="QK16" s="18">
        <f>QK15+QK12+QK9+QK6</f>
        <v/>
      </c>
      <c r="QL16" s="18">
        <f>QL15+QL12+QL9+QL6</f>
        <v/>
      </c>
      <c r="QM16" s="18">
        <f>QM15+QM12+QM9+QM6</f>
        <v/>
      </c>
      <c r="QN16" s="18">
        <f>QN15+QN12+QN9+QN6</f>
        <v/>
      </c>
      <c r="QO16" s="18">
        <f>QO15+QO12+QO9+QO6</f>
        <v/>
      </c>
      <c r="QP16" s="18">
        <f>QP15+QP12+QP9+QP6</f>
        <v/>
      </c>
      <c r="QQ16" s="18">
        <f>QQ15+QQ12+QQ9+QQ6</f>
        <v/>
      </c>
      <c r="QR16" s="18">
        <f>QR15+QR12+QR9+QR6</f>
        <v/>
      </c>
      <c r="QS16" s="18">
        <f>QS15+QS12+QS9+QS6</f>
        <v/>
      </c>
      <c r="QT16" s="18">
        <f>QT15+QT12+QT9+QT6</f>
        <v/>
      </c>
      <c r="QU16" s="18">
        <f>QU15+QU12+QU9+QU6</f>
        <v/>
      </c>
      <c r="QV16" s="18">
        <f>QV15+QV12+QV9+QV6</f>
        <v/>
      </c>
      <c r="QW16" s="18">
        <f>QW15+QW12+QW9+QW6</f>
        <v/>
      </c>
      <c r="QX16" s="18">
        <f>QX15+QX12+QX9+QX6</f>
        <v/>
      </c>
      <c r="QY16" s="18">
        <f>QY15+QY12+QY9+QY6</f>
        <v/>
      </c>
      <c r="QZ16" s="18">
        <f>QZ15+QZ12+QZ9+QZ6</f>
        <v/>
      </c>
      <c r="RA16" s="18">
        <f>RA15+RA12+RA9+RA6</f>
        <v/>
      </c>
      <c r="RB16" s="18">
        <f>RB15+RB12+RB9+RB6</f>
        <v/>
      </c>
      <c r="RC16" s="18">
        <f>RC15+RC12+RC9+RC6</f>
        <v/>
      </c>
      <c r="RD16" s="18">
        <f>RD15+RD12+RD9+RD6</f>
        <v/>
      </c>
      <c r="RE16" s="18">
        <f>RE15+RE12+RE9+RE6</f>
        <v/>
      </c>
      <c r="RF16" s="18">
        <f>RF15+RF12+RF9+RF6</f>
        <v/>
      </c>
      <c r="RG16" s="18">
        <f>RG15+RG12+RG9+RG6</f>
        <v/>
      </c>
      <c r="RH16" s="127" t="n">
        <v>0</v>
      </c>
      <c r="RI16" s="18">
        <f>RI15+RI12+RI9+RI6</f>
        <v/>
      </c>
      <c r="RJ16" s="18">
        <f>RJ15+RJ12+RJ9+RJ6</f>
        <v/>
      </c>
      <c r="RK16" s="18">
        <f>RK15+RK12+RK9+RK6</f>
        <v/>
      </c>
      <c r="RL16" s="18">
        <f>RL15+RL12+RL9+RL6</f>
        <v/>
      </c>
      <c r="RM16" s="18">
        <f>RM15+RM12+RM9+RM6</f>
        <v/>
      </c>
      <c r="RN16" s="18">
        <f>RN15+RN12+RN9+RN6</f>
        <v/>
      </c>
      <c r="RO16" s="18">
        <f>RO15+RO12+RO9+RO6</f>
        <v/>
      </c>
      <c r="RP16" s="18">
        <f>RP15+RP12+RP9+RP6</f>
        <v/>
      </c>
      <c r="RQ16" s="18">
        <f>RQ15+RQ12+RQ9+RQ6</f>
        <v/>
      </c>
      <c r="RR16" s="18">
        <f>RR15+RR12+RR9+RR6</f>
        <v/>
      </c>
      <c r="RS16" s="18">
        <f>RS15+RS12+RS9+RS6</f>
        <v/>
      </c>
      <c r="RT16" s="18">
        <f>RT15+RT12+RT9+RT6</f>
        <v/>
      </c>
      <c r="RU16" s="18">
        <f>RU15+RU12+RU9+RU6</f>
        <v/>
      </c>
      <c r="RV16" s="18">
        <f>RV15+RV12+RV9+RV6</f>
        <v/>
      </c>
      <c r="RW16" s="18">
        <f>RW15+RW12+RW9+RW6</f>
        <v/>
      </c>
      <c r="RX16" s="18">
        <f>RX15+RX12+RX9+RX6</f>
        <v/>
      </c>
      <c r="RY16" s="18">
        <f>RY15+RY12+RY9+RY6</f>
        <v/>
      </c>
      <c r="RZ16" s="18">
        <f>RZ15+RZ12+RZ9+RZ6</f>
        <v/>
      </c>
      <c r="SA16" s="18">
        <f>SA15+SA12+SA9+SA6</f>
        <v/>
      </c>
      <c r="SB16" s="18">
        <f>SB15+SB12+SB9+SB6</f>
        <v/>
      </c>
      <c r="SC16" s="18">
        <f>SC15+SC12+SC9+SC6</f>
        <v/>
      </c>
      <c r="SD16" s="18">
        <f>SD15+SD12+SD9+SD6</f>
        <v/>
      </c>
      <c r="SE16" s="18">
        <f>SE15+SE12+SE9+SE6</f>
        <v/>
      </c>
      <c r="SF16" s="18">
        <f>SF15+SF12+SF9+SF6</f>
        <v/>
      </c>
      <c r="SG16" s="18">
        <f>SG15+SG12+SG9+SG6</f>
        <v/>
      </c>
      <c r="SH16" s="18">
        <f>SH15+SH12+SH9+SH6</f>
        <v/>
      </c>
      <c r="SI16" s="18">
        <f>SI15+SI12+SI9+SI6</f>
        <v/>
      </c>
      <c r="SJ16" s="18">
        <f>SJ15+SJ12+SJ9+SJ6</f>
        <v/>
      </c>
      <c r="SK16" s="18">
        <f>SK15+SK12+SK9+SK6</f>
        <v/>
      </c>
      <c r="SL16" s="18">
        <f>SL15+SL12+SL9+SL6</f>
        <v/>
      </c>
      <c r="SM16" s="127" t="n">
        <v>0</v>
      </c>
      <c r="SN16" s="18">
        <f>SN15+SN12+SN9+SN6</f>
        <v/>
      </c>
      <c r="SO16" s="18">
        <f>SO15+SO12+SO9+SO6</f>
        <v/>
      </c>
      <c r="SP16" s="18">
        <f>SP15+SP12+SP9+SP6</f>
        <v/>
      </c>
      <c r="SQ16" s="18">
        <f>SQ15+SQ12+SQ9+SQ6</f>
        <v/>
      </c>
      <c r="SR16" s="18">
        <f>SR15+SR12+SR9+SR6</f>
        <v/>
      </c>
      <c r="SS16" s="18">
        <f>SS15+SS12+SS9+SS6</f>
        <v/>
      </c>
      <c r="ST16" s="18">
        <f>ST15+ST12+ST9+ST6</f>
        <v/>
      </c>
      <c r="SU16" s="18">
        <f>SU15+SU12+SU9+SU6</f>
        <v/>
      </c>
      <c r="SV16" s="18">
        <f>SV15+SV12+SV9+SV6</f>
        <v/>
      </c>
      <c r="SW16" s="18">
        <f>SW15+SW12+SW9+SW6</f>
        <v/>
      </c>
      <c r="SX16" s="18">
        <f>SX15+SX12+SX9+SX6</f>
        <v/>
      </c>
      <c r="SY16" s="18">
        <f>SY15+SY12+SY9+SY6</f>
        <v/>
      </c>
      <c r="SZ16" s="18">
        <f>SZ15+SZ12+SZ9+SZ6</f>
        <v/>
      </c>
      <c r="TA16" s="18">
        <f>TA15+TA12+TA9+TA6</f>
        <v/>
      </c>
      <c r="TB16" s="18">
        <f>TB15+TB12+TB9+TB6</f>
        <v/>
      </c>
      <c r="TC16" s="18">
        <f>TC15+TC12+TC9+TC6</f>
        <v/>
      </c>
      <c r="TD16" s="18">
        <f>TD15+TD12+TD9+TD6</f>
        <v/>
      </c>
      <c r="TE16" s="18">
        <f>TE15+TE12+TE9+TE6</f>
        <v/>
      </c>
      <c r="TF16" s="18">
        <f>TF15+TF12+TF9+TF6</f>
        <v/>
      </c>
      <c r="TG16" s="18">
        <f>TG15+TG12+TG9+TG6</f>
        <v/>
      </c>
      <c r="TH16" s="18">
        <f>TH15+TH12+TH9+TH6</f>
        <v/>
      </c>
      <c r="TI16" s="18">
        <f>TI15+TI12+TI9+TI6</f>
        <v/>
      </c>
      <c r="TJ16" s="18">
        <f>TJ15+TJ12+TJ9+TJ6</f>
        <v/>
      </c>
      <c r="TK16" s="18">
        <f>TK15+TK12+TK9+TK6</f>
        <v/>
      </c>
      <c r="TL16" s="18">
        <f>TL15+TL12+TL9+TL6</f>
        <v/>
      </c>
      <c r="TM16" s="18">
        <f>TM15+TM12+TM9+TM6</f>
        <v/>
      </c>
      <c r="TN16" s="18">
        <f>TN15+TN12+TN9+TN6</f>
        <v/>
      </c>
      <c r="TO16" s="18">
        <f>TO15+TO12+TO9+TO6</f>
        <v/>
      </c>
      <c r="TP16" s="18">
        <f>TP15+TP12+TP9+TP6</f>
        <v/>
      </c>
      <c r="TQ16" s="18">
        <f>TQ15+TQ12+TQ9+TQ6</f>
        <v/>
      </c>
      <c r="TR16" s="18">
        <f>TR15+TR12+TR9+TR6</f>
        <v/>
      </c>
      <c r="TS16" s="127" t="n">
        <v>0</v>
      </c>
      <c r="TT16" s="18">
        <f>TT15+TT12+TT9+TT6</f>
        <v/>
      </c>
      <c r="TU16" s="18">
        <f>TU15+TU12+TU9+TU6</f>
        <v/>
      </c>
      <c r="TV16" s="18">
        <f>TV15+TV12+TV9+TV6</f>
        <v/>
      </c>
      <c r="TW16" s="18">
        <f>TW15+TW12+TW9+TW6</f>
        <v/>
      </c>
      <c r="TX16" s="18">
        <f>TX15+TX12+TX9+TX6</f>
        <v/>
      </c>
      <c r="TY16" s="18">
        <f>TY15+TY12+TY9+TY6</f>
        <v/>
      </c>
      <c r="TZ16" s="18">
        <f>TZ15+TZ12+TZ9+TZ6</f>
        <v/>
      </c>
      <c r="UA16" s="18">
        <f>UA15+UA12+UA9+UA6</f>
        <v/>
      </c>
      <c r="UB16" s="18">
        <f>UB15+UB12+UB9+UB6</f>
        <v/>
      </c>
      <c r="UC16" s="18">
        <f>UC15+UC12+UC9+UC6</f>
        <v/>
      </c>
      <c r="UD16" s="18">
        <f>UD15+UD12+UD9+UD6</f>
        <v/>
      </c>
      <c r="UE16" s="18">
        <f>UE15+UE12+UE9+UE6</f>
        <v/>
      </c>
      <c r="UF16" s="18">
        <f>UF15+UF12+UF9+UF6</f>
        <v/>
      </c>
      <c r="UG16" s="18">
        <f>UG15+UG12+UG9+UG6</f>
        <v/>
      </c>
      <c r="UH16" s="18">
        <f>UH15+UH12+UH9+UH6</f>
        <v/>
      </c>
      <c r="UI16" s="18">
        <f>UI15+UI12+UI9+UI6</f>
        <v/>
      </c>
      <c r="UJ16" s="18">
        <f>UJ15+UJ12+UJ9+UJ6</f>
        <v/>
      </c>
      <c r="UK16" s="18">
        <f>UK15+UK12+UK9+UK6</f>
        <v/>
      </c>
      <c r="UL16" s="18">
        <f>UL15+UL12+UL9+UL6</f>
        <v/>
      </c>
      <c r="UM16" s="18">
        <f>UM15+UM12+UM9+UM6</f>
        <v/>
      </c>
      <c r="UN16" s="18">
        <f>UN15+UN12+UN9+UN6</f>
        <v/>
      </c>
      <c r="UO16" s="18">
        <f>UO15+UO12+UO9+UO6</f>
        <v/>
      </c>
      <c r="UP16" s="18">
        <f>UP15+UP12+UP9+UP6</f>
        <v/>
      </c>
      <c r="UQ16" s="18">
        <f>UQ15+UQ12+UQ9+UQ6</f>
        <v/>
      </c>
      <c r="UR16" s="18">
        <f>UR15+UR12+UR9+UR6</f>
        <v/>
      </c>
      <c r="US16" s="18">
        <f>US15+US12+US9+US6</f>
        <v/>
      </c>
      <c r="UT16" s="18">
        <f>UT15+UT12+UT9+UT6</f>
        <v/>
      </c>
      <c r="UU16" s="18">
        <f>UU15+UU12+UU9+UU6</f>
        <v/>
      </c>
      <c r="UV16" s="18">
        <f>UV15+UV12+UV9+UV6</f>
        <v/>
      </c>
      <c r="UW16" s="18">
        <f>UW15+UW12+UW9+UW6</f>
        <v/>
      </c>
      <c r="UX16" s="18">
        <f>UX15+UX12+UX9+UX6</f>
        <v/>
      </c>
      <c r="UY16" s="127" t="n">
        <v>0</v>
      </c>
      <c r="UZ16" s="18">
        <f>UZ15+UZ12+UZ9+UZ6</f>
        <v/>
      </c>
      <c r="VA16" s="18">
        <f>VA15+VA12+VA9+VA6</f>
        <v/>
      </c>
      <c r="VB16" s="18">
        <f>VB15+VB12+VB9+VB6</f>
        <v/>
      </c>
      <c r="VC16" s="18">
        <f>VC15+VC12+VC9+VC6</f>
        <v/>
      </c>
      <c r="VD16" s="18">
        <f>VD15+VD12+VD9+VD6</f>
        <v/>
      </c>
      <c r="VE16" s="18">
        <f>VE15+VE12+VE9+VE6</f>
        <v/>
      </c>
      <c r="VF16" s="18">
        <f>VF15+VF12+VF9+VF6</f>
        <v/>
      </c>
      <c r="VG16" s="18">
        <f>VG15+VG12+VG9+VG6</f>
        <v/>
      </c>
      <c r="VH16" s="18">
        <f>VH15+VH12+VH9+VH6</f>
        <v/>
      </c>
      <c r="VI16" s="18">
        <f>VI15+VI12+VI9+VI6</f>
        <v/>
      </c>
      <c r="VJ16" s="18">
        <f>VJ15+VJ12+VJ9+VJ6</f>
        <v/>
      </c>
      <c r="VK16" s="18">
        <f>VK15+VK12+VK9+VK6</f>
        <v/>
      </c>
      <c r="VL16" s="18">
        <f>VL15+VL12+VL9+VL6</f>
        <v/>
      </c>
      <c r="VM16" s="18">
        <f>VM15+VM12+VM9+VM6</f>
        <v/>
      </c>
      <c r="VN16" s="18">
        <f>VN15+VN12+VN9+VN6</f>
        <v/>
      </c>
      <c r="VO16" s="18">
        <f>VO15+VO12+VO9+VO6</f>
        <v/>
      </c>
      <c r="VP16" s="18">
        <f>VP15+VP12+VP9+VP6</f>
        <v/>
      </c>
      <c r="VQ16" s="18">
        <f>VQ15+VQ12+VQ9+VQ6</f>
        <v/>
      </c>
      <c r="VR16" s="18">
        <f>VR15+VR12+VR9+VR6</f>
        <v/>
      </c>
      <c r="VS16" s="18">
        <f>VS15+VS12+VS9+VS6</f>
        <v/>
      </c>
      <c r="VT16" s="18">
        <f>VT15+VT12+VT9+VT6</f>
        <v/>
      </c>
      <c r="VU16" s="18">
        <f>VU15+VU12+VU9+VU6</f>
        <v/>
      </c>
      <c r="VV16" s="18">
        <f>VV15+VV12+VV9+VV6</f>
        <v/>
      </c>
      <c r="VW16" s="18">
        <f>VW15+VW12+VW9+VW6</f>
        <v/>
      </c>
      <c r="VX16" s="18">
        <f>VX15+VX12+VX9+VX6</f>
        <v/>
      </c>
      <c r="VY16" s="18">
        <f>VY15+VY12+VY9+VY6</f>
        <v/>
      </c>
      <c r="VZ16" s="18">
        <f>VZ15+VZ12+VZ9+VZ6</f>
        <v/>
      </c>
      <c r="WA16" s="18">
        <f>WA15+WA12+WA9+WA6</f>
        <v/>
      </c>
      <c r="WB16" s="127" t="n">
        <v>0</v>
      </c>
      <c r="WC16" s="18">
        <f>WC15+WC12+WC9+WC6</f>
        <v/>
      </c>
      <c r="WD16" s="18">
        <f>WD15+WD12+WD9+WD6</f>
        <v/>
      </c>
      <c r="WE16" s="18">
        <f>WE15+WE12+WE9+WE6</f>
        <v/>
      </c>
      <c r="WF16" s="18">
        <f>WF15+WF12+WF9+WF6</f>
        <v/>
      </c>
      <c r="WG16" s="18">
        <f>WG15+WG12+WG9+WG6</f>
        <v/>
      </c>
      <c r="WH16" s="18">
        <f>WH15+WH12+WH9+WH6</f>
        <v/>
      </c>
      <c r="WI16" s="18">
        <f>WI15+WI12+WI9+WI6</f>
        <v/>
      </c>
      <c r="WJ16" s="18">
        <f>WJ15+WJ12+WJ9+WJ6</f>
        <v/>
      </c>
      <c r="WK16" s="18">
        <f>WK15+WK12+WK9+WK6</f>
        <v/>
      </c>
      <c r="WL16" s="18">
        <f>WL15+WL12+WL9+WL6</f>
        <v/>
      </c>
      <c r="WM16" s="18">
        <f>WM15+WM12+WM9+WM6</f>
        <v/>
      </c>
      <c r="WN16" s="18">
        <f>WN15+WN12+WN9+WN6</f>
        <v/>
      </c>
      <c r="WO16" s="18">
        <f>WO15+WO12+WO9+WO6</f>
        <v/>
      </c>
      <c r="WP16" s="18">
        <f>WP15+WP12+WP9+WP6</f>
        <v/>
      </c>
      <c r="WQ16" s="18">
        <f>WQ15+WQ12+WQ9+WQ6</f>
        <v/>
      </c>
      <c r="WR16" s="18">
        <f>WR15+WR12+WR9+WR6</f>
        <v/>
      </c>
      <c r="WS16" s="18">
        <f>WS15+WS12+WS9+WS6</f>
        <v/>
      </c>
      <c r="WT16" s="18">
        <f>WT15+WT12+WT9+WT6</f>
        <v/>
      </c>
      <c r="WU16" s="18">
        <f>WU15+WU12+WU9+WU6</f>
        <v/>
      </c>
      <c r="WV16" s="18">
        <f>WV15+WV12+WV9+WV6</f>
        <v/>
      </c>
      <c r="WW16" s="18">
        <f>WW15+WW12+WW9+WW6</f>
        <v/>
      </c>
      <c r="WX16" s="18">
        <f>WX15+WX12+WX9+WX6</f>
        <v/>
      </c>
      <c r="WY16" s="18">
        <f>WY15+WY12+WY9+WY6</f>
        <v/>
      </c>
      <c r="WZ16" s="18">
        <f>WZ15+WZ12+WZ9+WZ6</f>
        <v/>
      </c>
      <c r="XA16" s="18">
        <f>XA15+XA12+XA9+XA6</f>
        <v/>
      </c>
      <c r="XB16" s="18">
        <f>XB15+XB12+XB9+XB6</f>
        <v/>
      </c>
      <c r="XC16" s="18">
        <f>XC15+XC12+XC9+XC6</f>
        <v/>
      </c>
      <c r="XD16" s="18">
        <f>XD15+XD12+XD9+XD6</f>
        <v/>
      </c>
      <c r="XE16" s="18">
        <f>XE15+XE12+XE9+XE6</f>
        <v/>
      </c>
      <c r="XF16" s="18">
        <f>XF15+XF12+XF9+XF6</f>
        <v/>
      </c>
      <c r="XG16" s="18">
        <f>XG15+XG12+XG9+XG6</f>
        <v/>
      </c>
      <c r="XH16" s="127" t="n">
        <v>0</v>
      </c>
      <c r="XI16" s="18">
        <f>XI15+XI12+XI9+XI6</f>
        <v/>
      </c>
      <c r="XJ16" s="18">
        <f>XJ15+XJ12+XJ9+XJ6</f>
        <v/>
      </c>
      <c r="XK16" s="18">
        <f>XK15+XK12+XK9+XK6</f>
        <v/>
      </c>
      <c r="XL16" s="18">
        <f>XL15+XL12+XL9+XL6</f>
        <v/>
      </c>
      <c r="XM16" s="18">
        <f>XM15+XM12+XM9+XM6</f>
        <v/>
      </c>
      <c r="XN16" s="18">
        <f>XN15+XN12+XN9+XN6</f>
        <v/>
      </c>
      <c r="XO16" s="18">
        <f>XO15+XO12+XO9+XO6</f>
        <v/>
      </c>
      <c r="XP16" s="18">
        <f>XP15+XP12+XP9+XP6</f>
        <v/>
      </c>
      <c r="XQ16" s="18">
        <f>XQ15+XQ12+XQ9+XQ6</f>
        <v/>
      </c>
      <c r="XR16" s="18">
        <f>XR15+XR12+XR9+XR6</f>
        <v/>
      </c>
      <c r="XS16" s="18">
        <f>XS15+XS12+XS9+XS6</f>
        <v/>
      </c>
      <c r="XT16" s="18">
        <f>XT15+XT12+XT9+XT6</f>
        <v/>
      </c>
      <c r="XU16" s="18">
        <f>XU15+XU12+XU9+XU6</f>
        <v/>
      </c>
      <c r="XV16" s="18">
        <f>XV15+XV12+XV9+XV6</f>
        <v/>
      </c>
      <c r="XW16" s="18">
        <f>XW15+XW12+XW9+XW6</f>
        <v/>
      </c>
      <c r="XX16" s="18">
        <f>XX15+XX12+XX9+XX6</f>
        <v/>
      </c>
      <c r="XY16" s="18">
        <f>XY15+XY12+XY9+XY6</f>
        <v/>
      </c>
      <c r="XZ16" s="18">
        <f>XZ15+XZ12+XZ9+XZ6</f>
        <v/>
      </c>
      <c r="YA16" s="18">
        <f>YA15+YA12+YA9+YA6</f>
        <v/>
      </c>
      <c r="YB16" s="18">
        <f>YB15+YB12+YB9+YB6</f>
        <v/>
      </c>
      <c r="YC16" s="18">
        <f>YC15+YC12+YC9+YC6</f>
        <v/>
      </c>
      <c r="YD16" s="18">
        <f>YD15+YD12+YD9+YD6</f>
        <v/>
      </c>
      <c r="YE16" s="18">
        <f>YE15+YE12+YE9+YE6</f>
        <v/>
      </c>
      <c r="YF16" s="18">
        <f>YF15+YF12+YF9+YF6</f>
        <v/>
      </c>
      <c r="YG16" s="18">
        <f>YG15+YG12+YG9+YG6</f>
        <v/>
      </c>
      <c r="YH16" s="18">
        <f>YH15+YH12+YH9+YH6</f>
        <v/>
      </c>
      <c r="YI16" s="18">
        <f>YI15+YI12+YI9+YI6</f>
        <v/>
      </c>
      <c r="YJ16" s="18">
        <f>YJ15+YJ12+YJ9+YJ6</f>
        <v/>
      </c>
      <c r="YK16" s="18">
        <f>YK15+YK12+YK9+YK6</f>
        <v/>
      </c>
      <c r="YL16" s="18">
        <f>YL15+YL12+YL9+YL6</f>
        <v/>
      </c>
      <c r="YM16" s="127" t="n">
        <v>0</v>
      </c>
      <c r="YN16" s="18">
        <f>YN15+YN12+YN9+YN6</f>
        <v/>
      </c>
      <c r="YO16" s="18">
        <f>YO15+YO12+YO9+YO6</f>
        <v/>
      </c>
      <c r="YP16" s="18">
        <f>YP15+YP12+YP9+YP6</f>
        <v/>
      </c>
      <c r="YQ16" s="18">
        <f>YQ15+YQ12+YQ9+YQ6</f>
        <v/>
      </c>
      <c r="YR16" s="18">
        <f>YR15+YR12+YR9+YR6</f>
        <v/>
      </c>
      <c r="YS16" s="18">
        <f>YS15+YS12+YS9+YS6</f>
        <v/>
      </c>
      <c r="YT16" s="18">
        <f>YT15+YT12+YT9+YT6</f>
        <v/>
      </c>
      <c r="YU16" s="18">
        <f>YU15+YU12+YU9+YU6</f>
        <v/>
      </c>
      <c r="YV16" s="18">
        <f>YV15+YV12+YV9+YV6</f>
        <v/>
      </c>
      <c r="YW16" s="18">
        <f>YW15+YW12+YW9+YW6</f>
        <v/>
      </c>
      <c r="YX16" s="18">
        <f>YX15+YX12+YX9+YX6</f>
        <v/>
      </c>
      <c r="YY16" s="18">
        <f>YY15+YY12+YY9+YY6</f>
        <v/>
      </c>
      <c r="YZ16" s="18">
        <f>YZ15+YZ12+YZ9+YZ6</f>
        <v/>
      </c>
      <c r="ZA16" s="18">
        <f>ZA15+ZA12+ZA9+ZA6</f>
        <v/>
      </c>
      <c r="ZB16" s="18">
        <f>ZB15+ZB12+ZB9+ZB6</f>
        <v/>
      </c>
      <c r="ZC16" s="18">
        <f>ZC15+ZC12+ZC9+ZC6</f>
        <v/>
      </c>
      <c r="ZD16" s="18">
        <f>ZD15+ZD12+ZD9+ZD6</f>
        <v/>
      </c>
      <c r="ZE16" s="18">
        <f>ZE15+ZE12+ZE9+ZE6</f>
        <v/>
      </c>
      <c r="ZF16" s="18">
        <f>ZF15+ZF12+ZF9+ZF6</f>
        <v/>
      </c>
      <c r="ZG16" s="18">
        <f>ZG15+ZG12+ZG9+ZG6</f>
        <v/>
      </c>
      <c r="ZH16" s="18">
        <f>ZH15+ZH12+ZH9+ZH6</f>
        <v/>
      </c>
      <c r="ZI16" s="18">
        <f>ZI15+ZI12+ZI9+ZI6</f>
        <v/>
      </c>
      <c r="ZJ16" s="18">
        <f>ZJ15+ZJ12+ZJ9+ZJ6</f>
        <v/>
      </c>
      <c r="ZK16" s="18">
        <f>ZK15+ZK12+ZK9+ZK6</f>
        <v/>
      </c>
      <c r="ZL16" s="18">
        <f>ZL15+ZL12+ZL9+ZL6</f>
        <v/>
      </c>
      <c r="ZM16" s="18">
        <f>ZM15+ZM12+ZM9+ZM6</f>
        <v/>
      </c>
      <c r="ZN16" s="18">
        <f>ZN15+ZN12+ZN9+ZN6</f>
        <v/>
      </c>
      <c r="ZO16" s="18">
        <f>ZO15+ZO12+ZO9+ZO6</f>
        <v/>
      </c>
      <c r="ZP16" s="18">
        <f>ZP15+ZP12+ZP9+ZP6</f>
        <v/>
      </c>
      <c r="ZQ16" s="18">
        <f>ZQ15+ZQ12+ZQ9+ZQ6</f>
        <v/>
      </c>
      <c r="ZR16" s="18">
        <f>ZR15+ZR12+ZR9+ZR6</f>
        <v/>
      </c>
      <c r="ZS16" s="127" t="n">
        <v>0</v>
      </c>
      <c r="ZT16" s="18">
        <f>ZT15+ZT12+ZT9+ZT6</f>
        <v/>
      </c>
      <c r="ZU16" s="18">
        <f>ZU15+ZU12+ZU9+ZU6</f>
        <v/>
      </c>
      <c r="ZV16" s="18">
        <f>ZV15+ZV12+ZV9+ZV6</f>
        <v/>
      </c>
      <c r="ZW16" s="18">
        <f>ZW15+ZW12+ZW9+ZW6</f>
        <v/>
      </c>
      <c r="ZX16" s="18">
        <f>ZX15+ZX12+ZX9+ZX6</f>
        <v/>
      </c>
      <c r="ZY16" s="18">
        <f>ZY15+ZY12+ZY9+ZY6</f>
        <v/>
      </c>
      <c r="ZZ16" s="18">
        <f>ZZ15+ZZ12+ZZ9+ZZ6</f>
        <v/>
      </c>
      <c r="AAA16" s="18">
        <f>AAA15+AAA12+AAA9+AAA6</f>
        <v/>
      </c>
      <c r="AAB16" s="18">
        <f>AAB15+AAB12+AAB9+AAB6</f>
        <v/>
      </c>
      <c r="AAC16" s="18">
        <f>AAC15+AAC12+AAC9+AAC6</f>
        <v/>
      </c>
      <c r="AAD16" s="18">
        <f>AAD15+AAD12+AAD9+AAD6</f>
        <v/>
      </c>
      <c r="AAE16" s="18">
        <f>AAE15+AAE12+AAE9+AAE6</f>
        <v/>
      </c>
      <c r="AAF16" s="18">
        <f>AAF15+AAF12+AAF9+AAF6</f>
        <v/>
      </c>
      <c r="AAG16" s="18">
        <f>AAG15+AAG12+AAG9+AAG6</f>
        <v/>
      </c>
      <c r="AAH16" s="18">
        <f>AAH15+AAH12+AAH9+AAH6</f>
        <v/>
      </c>
      <c r="AAI16" s="18">
        <f>AAI15+AAI12+AAI9+AAI6</f>
        <v/>
      </c>
      <c r="AAJ16" s="18">
        <f>AAJ15+AAJ12+AAJ9+AAJ6</f>
        <v/>
      </c>
      <c r="AAK16" s="18">
        <f>AAK15+AAK12+AAK9+AAK6</f>
        <v/>
      </c>
      <c r="AAL16" s="18">
        <f>AAL15+AAL12+AAL9+AAL6</f>
        <v/>
      </c>
      <c r="AAM16" s="18">
        <f>AAM15+AAM12+AAM9+AAM6</f>
        <v/>
      </c>
      <c r="AAN16" s="18">
        <f>AAN15+AAN12+AAN9+AAN6</f>
        <v/>
      </c>
      <c r="AAO16" s="18">
        <f>AAO15+AAO12+AAO9+AAO6</f>
        <v/>
      </c>
      <c r="AAP16" s="18">
        <f>AAP15+AAP12+AAP9+AAP6</f>
        <v/>
      </c>
      <c r="AAQ16" s="18">
        <f>AAQ15+AAQ12+AAQ9+AAQ6</f>
        <v/>
      </c>
      <c r="AAR16" s="18">
        <f>AAR15+AAR12+AAR9+AAR6</f>
        <v/>
      </c>
      <c r="AAS16" s="18">
        <f>AAS15+AAS12+AAS9+AAS6</f>
        <v/>
      </c>
      <c r="AAT16" s="18">
        <f>AAT15+AAT12+AAT9+AAT6</f>
        <v/>
      </c>
      <c r="AAU16" s="18">
        <f>AAU15+AAU12+AAU9+AAU6</f>
        <v/>
      </c>
      <c r="AAV16" s="18">
        <f>AAV15+AAV12+AAV9+AAV6</f>
        <v/>
      </c>
      <c r="AAW16" s="18">
        <f>AAW15+AAW12+AAW9+AAW6</f>
        <v/>
      </c>
      <c r="AAX16" s="127" t="n">
        <v>0</v>
      </c>
      <c r="AAY16" s="18">
        <f>AAY15+AAY12+AAY9+AAY6</f>
        <v/>
      </c>
      <c r="AAZ16" s="18">
        <f>AAZ15+AAZ12+AAZ9+AAZ6</f>
        <v/>
      </c>
      <c r="ABA16" s="18">
        <f>ABA15+ABA12+ABA9+ABA6</f>
        <v/>
      </c>
      <c r="ABB16" s="18">
        <f>ABB15+ABB12+ABB9+ABB6</f>
        <v/>
      </c>
      <c r="ABC16" s="18">
        <f>ABC15+ABC12+ABC9+ABC6</f>
        <v/>
      </c>
      <c r="ABD16" s="18">
        <f>ABD15+ABD12+ABD9+ABD6</f>
        <v/>
      </c>
      <c r="ABE16" s="18">
        <f>ABE15+ABE12+ABE9+ABE6</f>
        <v/>
      </c>
      <c r="ABF16" s="18">
        <f>ABF15+ABF12+ABF9+ABF6</f>
        <v/>
      </c>
      <c r="ABG16" s="18">
        <f>ABG15+ABG12+ABG9+ABG6</f>
        <v/>
      </c>
      <c r="ABH16" s="18">
        <f>ABH15+ABH12+ABH9+ABH6</f>
        <v/>
      </c>
      <c r="ABI16" s="18">
        <f>ABI15+ABI12+ABI9+ABI6</f>
        <v/>
      </c>
      <c r="ABJ16" s="18">
        <f>ABJ15+ABJ12+ABJ9+ABJ6</f>
        <v/>
      </c>
      <c r="ABK16" s="18">
        <f>ABK15+ABK12+ABK9+ABK6</f>
        <v/>
      </c>
      <c r="ABL16" s="18">
        <f>ABL15+ABL12+ABL9+ABL6</f>
        <v/>
      </c>
      <c r="ABM16" s="18">
        <f>ABM15+ABM12+ABM9+ABM6</f>
        <v/>
      </c>
      <c r="ABN16" s="18">
        <f>ABN15+ABN12+ABN9+ABN6</f>
        <v/>
      </c>
      <c r="ABO16" s="18">
        <f>ABO15+ABO12+ABO9+ABO6</f>
        <v/>
      </c>
      <c r="ABP16" s="18">
        <f>ABP15+ABP12+ABP9+ABP6</f>
        <v/>
      </c>
      <c r="ABQ16" s="18">
        <f>ABQ15+ABQ12+ABQ9+ABQ6</f>
        <v/>
      </c>
      <c r="ABR16" s="18">
        <f>ABR15+ABR12+ABR9+ABR6</f>
        <v/>
      </c>
      <c r="ABS16" s="18">
        <f>ABS15+ABS12+ABS9+ABS6</f>
        <v/>
      </c>
      <c r="ABT16" s="18">
        <f>ABT15+ABT12+ABT9+ABT6</f>
        <v/>
      </c>
      <c r="ABU16" s="18">
        <f>ABU15+ABU12+ABU9+ABU6</f>
        <v/>
      </c>
      <c r="ABV16" s="18">
        <f>ABV15+ABV12+ABV9+ABV6</f>
        <v/>
      </c>
      <c r="ABW16" s="18">
        <f>ABW15+ABW12+ABW9+ABW6</f>
        <v/>
      </c>
      <c r="ABX16" s="18">
        <f>ABX15+ABX12+ABX9+ABX6</f>
        <v/>
      </c>
      <c r="ABY16" s="18">
        <f>ABY15+ABY12+ABY9+ABY6</f>
        <v/>
      </c>
      <c r="ABZ16" s="18">
        <f>ABZ15+ABZ12+ABZ9+ABZ6</f>
        <v/>
      </c>
      <c r="ACA16" s="18">
        <f>ACA15+ACA12+ACA9+ACA6</f>
        <v/>
      </c>
      <c r="ACB16" s="18">
        <f>ACB15+ACB12+ACB9+ACB6</f>
        <v/>
      </c>
      <c r="ACC16" s="18">
        <f>ACC15+ACC12+ACC9+ACC6</f>
        <v/>
      </c>
      <c r="ACD16" s="127" t="n">
        <v>0</v>
      </c>
      <c r="ACE16" s="18">
        <f>ACE15+ACE12+ACE9+ACE6</f>
        <v/>
      </c>
      <c r="ACF16" s="18">
        <f>ACF15+ACF12+ACF9+ACF6</f>
        <v/>
      </c>
      <c r="ACG16" s="18">
        <f>ACG15+ACG12+ACG9+ACG6</f>
        <v/>
      </c>
      <c r="ACH16" s="18">
        <f>ACH15+ACH12+ACH9+ACH6</f>
        <v/>
      </c>
      <c r="ACI16" s="18">
        <f>ACI15+ACI12+ACI9+ACI6</f>
        <v/>
      </c>
      <c r="ACJ16" s="18">
        <f>ACJ15+ACJ12+ACJ9+ACJ6</f>
        <v/>
      </c>
      <c r="ACK16" s="18">
        <f>ACK15+ACK12+ACK9+ACK6</f>
        <v/>
      </c>
      <c r="ACL16" s="18">
        <f>ACL15+ACL12+ACL9+ACL6</f>
        <v/>
      </c>
      <c r="ACM16" s="18">
        <f>ACM15+ACM12+ACM9+ACM6</f>
        <v/>
      </c>
      <c r="ACN16" s="18">
        <f>ACN15+ACN12+ACN9+ACN6</f>
        <v/>
      </c>
      <c r="ACO16" s="18">
        <f>ACO15+ACO12+ACO9+ACO6</f>
        <v/>
      </c>
      <c r="ACP16" s="18">
        <f>ACP15+ACP12+ACP9+ACP6</f>
        <v/>
      </c>
      <c r="ACQ16" s="18">
        <f>ACQ15+ACQ12+ACQ9+ACQ6</f>
        <v/>
      </c>
      <c r="ACR16" s="18">
        <f>ACR15+ACR12+ACR9+ACR6</f>
        <v/>
      </c>
      <c r="ACS16" s="18">
        <f>ACS15+ACS12+ACS9+ACS6</f>
        <v/>
      </c>
      <c r="ACT16" s="18">
        <f>ACT15+ACT12+ACT9+ACT6</f>
        <v/>
      </c>
      <c r="ACU16" s="18">
        <f>ACU15+ACU12+ACU9+ACU6</f>
        <v/>
      </c>
      <c r="ACV16" s="18">
        <f>ACV15+ACV12+ACV9+ACV6</f>
        <v/>
      </c>
      <c r="ACW16" s="18">
        <f>ACW15+ACW12+ACW9+ACW6</f>
        <v/>
      </c>
      <c r="ACX16" s="18">
        <f>ACX15+ACX12+ACX9+ACX6</f>
        <v/>
      </c>
      <c r="ACY16" s="18">
        <f>ACY15+ACY12+ACY9+ACY6</f>
        <v/>
      </c>
      <c r="ACZ16" s="18">
        <f>ACZ15+ACZ12+ACZ9+ACZ6</f>
        <v/>
      </c>
      <c r="ADA16" s="18">
        <f>ADA15+ADA12+ADA9+ADA6</f>
        <v/>
      </c>
      <c r="ADB16" s="18">
        <f>ADB15+ADB12+ADB9+ADB6</f>
        <v/>
      </c>
      <c r="ADC16" s="18">
        <f>ADC15+ADC12+ADC9+ADC6</f>
        <v/>
      </c>
      <c r="ADD16" s="18">
        <f>ADD15+ADD12+ADD9+ADD6</f>
        <v/>
      </c>
      <c r="ADE16" s="18">
        <f>ADE15+ADE12+ADE9+ADE6</f>
        <v/>
      </c>
      <c r="ADF16" s="18">
        <f>ADF15+ADF12+ADF9+ADF6</f>
        <v/>
      </c>
      <c r="ADG16" s="18">
        <f>ADG15+ADG12+ADG9+ADG6</f>
        <v/>
      </c>
      <c r="ADH16" s="18">
        <f>ADH15+ADH12+ADH9+ADH6</f>
        <v/>
      </c>
      <c r="ADI16" s="18">
        <f>ADI15+ADI12+ADI9+ADI6</f>
        <v/>
      </c>
      <c r="ADJ16" s="127" t="n">
        <v>0</v>
      </c>
      <c r="ADK16" s="18">
        <f>ADK15+ADK12+ADK9+ADK6</f>
        <v/>
      </c>
      <c r="ADL16" s="18">
        <f>ADL15+ADL12+ADL9+ADL6</f>
        <v/>
      </c>
      <c r="ADM16" s="18">
        <f>ADM15+ADM12+ADM9+ADM6</f>
        <v/>
      </c>
      <c r="ADN16" s="18">
        <f>ADN15+ADN12+ADN9+ADN6</f>
        <v/>
      </c>
      <c r="ADO16" s="18">
        <f>ADO15+ADO12+ADO9+ADO6</f>
        <v/>
      </c>
      <c r="ADP16" s="18">
        <f>ADP15+ADP12+ADP9+ADP6</f>
        <v/>
      </c>
      <c r="ADQ16" s="18">
        <f>ADQ15+ADQ12+ADQ9+ADQ6</f>
        <v/>
      </c>
      <c r="ADR16" s="18">
        <f>ADR15+ADR12+ADR9+ADR6</f>
        <v/>
      </c>
      <c r="ADS16" s="18">
        <f>ADS15+ADS12+ADS9+ADS6</f>
        <v/>
      </c>
      <c r="ADT16" s="18">
        <f>ADT15+ADT12+ADT9+ADT6</f>
        <v/>
      </c>
      <c r="ADU16" s="18">
        <f>ADU15+ADU12+ADU9+ADU6</f>
        <v/>
      </c>
      <c r="ADV16" s="18">
        <f>ADV15+ADV12+ADV9+ADV6</f>
        <v/>
      </c>
      <c r="ADW16" s="18">
        <f>ADW15+ADW12+ADW9+ADW6</f>
        <v/>
      </c>
      <c r="ADX16" s="18">
        <f>ADX15+ADX12+ADX9+ADX6</f>
        <v/>
      </c>
      <c r="ADY16" s="18">
        <f>ADY15+ADY12+ADY9+ADY6</f>
        <v/>
      </c>
      <c r="ADZ16" s="18">
        <f>ADZ15+ADZ12+ADZ9+ADZ6</f>
        <v/>
      </c>
      <c r="AEA16" s="18">
        <f>AEA15+AEA12+AEA9+AEA6</f>
        <v/>
      </c>
      <c r="AEB16" s="18">
        <f>AEB15+AEB12+AEB9+AEB6</f>
        <v/>
      </c>
      <c r="AEC16" s="18">
        <f>AEC15+AEC12+AEC9+AEC6</f>
        <v/>
      </c>
      <c r="AED16" s="18">
        <f>AED15+AED12+AED9+AED6</f>
        <v/>
      </c>
      <c r="AEE16" s="18">
        <f>AEE15+AEE12+AEE9+AEE6</f>
        <v/>
      </c>
      <c r="AEF16" s="18">
        <f>AEF15+AEF12+AEF9+AEF6</f>
        <v/>
      </c>
      <c r="AEG16" s="18">
        <f>AEG15+AEG12+AEG9+AEG6</f>
        <v/>
      </c>
      <c r="AEH16" s="18">
        <f>AEH15+AEH12+AEH9+AEH6</f>
        <v/>
      </c>
      <c r="AEI16" s="18">
        <f>AEI15+AEI12+AEI9+AEI6</f>
        <v/>
      </c>
      <c r="AEJ16" s="18">
        <f>AEJ15+AEJ12+AEJ9+AEJ6</f>
        <v/>
      </c>
      <c r="AEK16" s="18">
        <f>AEK15+AEK12+AEK9+AEK6</f>
        <v/>
      </c>
      <c r="AEL16" s="18">
        <f>AEL15+AEL12+AEL9+AEL6</f>
        <v/>
      </c>
      <c r="AEM16" s="18">
        <f>AEM15+AEM12+AEM9+AEM6</f>
        <v/>
      </c>
      <c r="AEN16" s="18">
        <f>AEN15+AEN12+AEN9+AEN6</f>
        <v/>
      </c>
      <c r="AEO16" s="127" t="n">
        <v>0</v>
      </c>
      <c r="AEP16" s="18">
        <f>AEP15+AEP12+AEP9+AEP6</f>
        <v/>
      </c>
      <c r="AEQ16" s="18">
        <f>AEQ15+AEQ12+AEQ9+AEQ6</f>
        <v/>
      </c>
      <c r="AER16" s="18">
        <f>AER15+AER12+AER9+AER6</f>
        <v/>
      </c>
      <c r="AES16" s="18">
        <f>AES15+AES12+AES9+AES6</f>
        <v/>
      </c>
      <c r="AET16" s="18">
        <f>AET15+AET12+AET9+AET6</f>
        <v/>
      </c>
      <c r="AEU16" s="18">
        <f>AEU15+AEU12+AEU9+AEU6</f>
        <v/>
      </c>
      <c r="AEV16" s="18">
        <f>AEV15+AEV12+AEV9+AEV6</f>
        <v/>
      </c>
      <c r="AEW16" s="18">
        <f>AEW15+AEW12+AEW9+AEW6</f>
        <v/>
      </c>
      <c r="AEX16" s="18">
        <f>AEX15+AEX12+AEX9+AEX6</f>
        <v/>
      </c>
      <c r="AEY16" s="18">
        <f>AEY15+AEY12+AEY9+AEY6</f>
        <v/>
      </c>
      <c r="AEZ16" s="18">
        <f>AEZ15+AEZ12+AEZ9+AEZ6</f>
        <v/>
      </c>
      <c r="AFA16" s="18">
        <f>AFA15+AFA12+AFA9+AFA6</f>
        <v/>
      </c>
      <c r="AFB16" s="18">
        <f>AFB15+AFB12+AFB9+AFB6</f>
        <v/>
      </c>
      <c r="AFC16" s="18">
        <f>AFC15+AFC12+AFC9+AFC6</f>
        <v/>
      </c>
      <c r="AFD16" s="18">
        <f>AFD15+AFD12+AFD9+AFD6</f>
        <v/>
      </c>
      <c r="AFE16" s="18">
        <f>AFE15+AFE12+AFE9+AFE6</f>
        <v/>
      </c>
      <c r="AFF16" s="18">
        <f>AFF15+AFF12+AFF9+AFF6</f>
        <v/>
      </c>
      <c r="AFG16" s="18">
        <f>AFG15+AFG12+AFG9+AFG6</f>
        <v/>
      </c>
      <c r="AFH16" s="18">
        <f>AFH15+AFH12+AFH9+AFH6</f>
        <v/>
      </c>
      <c r="AFI16" s="18">
        <f>AFI15+AFI12+AFI9+AFI6</f>
        <v/>
      </c>
      <c r="AFJ16" s="18">
        <f>AFJ15+AFJ12+AFJ9+AFJ6</f>
        <v/>
      </c>
      <c r="AFK16" s="18">
        <f>AFK15+AFK12+AFK9+AFK6</f>
        <v/>
      </c>
      <c r="AFL16" s="18">
        <f>AFL15+AFL12+AFL9+AFL6</f>
        <v/>
      </c>
      <c r="AFM16" s="18">
        <f>AFM15+AFM12+AFM9+AFM6</f>
        <v/>
      </c>
      <c r="AFN16" s="18">
        <f>AFN15+AFN12+AFN9+AFN6</f>
        <v/>
      </c>
      <c r="AFO16" s="18">
        <f>AFO15+AFO12+AFO9+AFO6</f>
        <v/>
      </c>
      <c r="AFP16" s="18">
        <f>AFP15+AFP12+AFP9+AFP6</f>
        <v/>
      </c>
      <c r="AFQ16" s="18">
        <f>AFQ15+AFQ12+AFQ9+AFQ6</f>
        <v/>
      </c>
      <c r="AFR16" s="18">
        <f>AFR15+AFR12+AFR9+AFR6</f>
        <v/>
      </c>
      <c r="AFS16" s="18">
        <f>AFS15+AFS12+AFS9+AFS6</f>
        <v/>
      </c>
      <c r="AFT16" s="18">
        <f>AFT15+AFT12+AFT9+AFT6</f>
        <v/>
      </c>
      <c r="AFU16" s="127" t="n">
        <v>0</v>
      </c>
      <c r="AFV16" s="18">
        <f>AFV15+AFV12+AFV9+AFV6</f>
        <v/>
      </c>
      <c r="AFW16" s="18">
        <f>AFW15+AFW12+AFW9+AFW6</f>
        <v/>
      </c>
      <c r="AFX16" s="18">
        <f>AFX15+AFX12+AFX9+AFX6</f>
        <v/>
      </c>
      <c r="AFY16" s="18">
        <f>AFY15+AFY12+AFY9+AFY6</f>
        <v/>
      </c>
      <c r="AFZ16" s="18">
        <f>AFZ15+AFZ12+AFZ9+AFZ6</f>
        <v/>
      </c>
      <c r="AGA16" s="18">
        <f>AGA15+AGA12+AGA9+AGA6</f>
        <v/>
      </c>
      <c r="AGB16" s="18">
        <f>AGB15+AGB12+AGB9+AGB6</f>
        <v/>
      </c>
      <c r="AGC16" s="18">
        <f>AGC15+AGC12+AGC9+AGC6</f>
        <v/>
      </c>
      <c r="AGD16" s="18">
        <f>AGD15+AGD12+AGD9+AGD6</f>
        <v/>
      </c>
      <c r="AGE16" s="18">
        <f>AGE15+AGE12+AGE9+AGE6</f>
        <v/>
      </c>
      <c r="AGF16" s="18">
        <f>AGF15+AGF12+AGF9+AGF6</f>
        <v/>
      </c>
      <c r="AGG16" s="18">
        <f>AGG15+AGG12+AGG9+AGG6</f>
        <v/>
      </c>
      <c r="AGH16" s="18">
        <f>AGH15+AGH12+AGH9+AGH6</f>
        <v/>
      </c>
      <c r="AGI16" s="18">
        <f>AGI15+AGI12+AGI9+AGI6</f>
        <v/>
      </c>
      <c r="AGJ16" s="18">
        <f>AGJ15+AGJ12+AGJ9+AGJ6</f>
        <v/>
      </c>
      <c r="AGK16" s="18">
        <f>AGK15+AGK12+AGK9+AGK6</f>
        <v/>
      </c>
      <c r="AGL16" s="18">
        <f>AGL15+AGL12+AGL9+AGL6</f>
        <v/>
      </c>
      <c r="AGM16" s="18">
        <f>AGM15+AGM12+AGM9+AGM6</f>
        <v/>
      </c>
      <c r="AGN16" s="18">
        <f>AGN15+AGN12+AGN9+AGN6</f>
        <v/>
      </c>
      <c r="AGO16" s="18">
        <f>AGO15+AGO12+AGO9+AGO6</f>
        <v/>
      </c>
      <c r="AGP16" s="18">
        <f>AGP15+AGP12+AGP9+AGP6</f>
        <v/>
      </c>
      <c r="AGQ16" s="18">
        <f>AGQ15+AGQ12+AGQ9+AGQ6</f>
        <v/>
      </c>
      <c r="AGR16" s="18">
        <f>AGR15+AGR12+AGR9+AGR6</f>
        <v/>
      </c>
      <c r="AGS16" s="18">
        <f>AGS15+AGS12+AGS9+AGS6</f>
        <v/>
      </c>
      <c r="AGT16" s="18">
        <f>AGT15+AGT12+AGT9+AGT6</f>
        <v/>
      </c>
      <c r="AGU16" s="18">
        <f>AGU15+AGU12+AGU9+AGU6</f>
        <v/>
      </c>
      <c r="AGV16" s="18">
        <f>AGV15+AGV12+AGV9+AGV6</f>
        <v/>
      </c>
      <c r="AGW16" s="18">
        <f>AGW15+AGW12+AGW9+AGW6</f>
        <v/>
      </c>
      <c r="AGX16" s="18">
        <f>AGX15+AGX12+AGX9+AGX6</f>
        <v/>
      </c>
      <c r="AGY16" s="18">
        <f>AGY15+AGY12+AGY9+AGY6</f>
        <v/>
      </c>
      <c r="AGZ16" s="127" t="n">
        <v>0</v>
      </c>
      <c r="AHA16" s="18">
        <f>AHA15+AHA12+AHA9+AHA6</f>
        <v/>
      </c>
      <c r="AHB16" s="18">
        <f>AHB15+AHB12+AHB9+AHB6</f>
        <v/>
      </c>
      <c r="AHC16" s="18">
        <f>AHC15+AHC12+AHC9+AHC6</f>
        <v/>
      </c>
      <c r="AHD16" s="18">
        <f>AHD15+AHD12+AHD9+AHD6</f>
        <v/>
      </c>
      <c r="AHE16" s="18">
        <f>AHE15+AHE12+AHE9+AHE6</f>
        <v/>
      </c>
      <c r="AHF16" s="18">
        <f>AHF15+AHF12+AHF9+AHF6</f>
        <v/>
      </c>
      <c r="AHG16" s="18">
        <f>AHG15+AHG12+AHG9+AHG6</f>
        <v/>
      </c>
      <c r="AHH16" s="18">
        <f>AHH15+AHH12+AHH9+AHH6</f>
        <v/>
      </c>
      <c r="AHI16" s="18">
        <f>AHI15+AHI12+AHI9+AHI6</f>
        <v/>
      </c>
      <c r="AHJ16" s="18">
        <f>AHJ15+AHJ12+AHJ9+AHJ6</f>
        <v/>
      </c>
      <c r="AHK16" s="18">
        <f>AHK15+AHK12+AHK9+AHK6</f>
        <v/>
      </c>
      <c r="AHL16" s="18">
        <f>AHL15+AHL12+AHL9+AHL6</f>
        <v/>
      </c>
      <c r="AHM16" s="18">
        <f>AHM15+AHM12+AHM9+AHM6</f>
        <v/>
      </c>
      <c r="AHN16" s="18">
        <f>AHN15+AHN12+AHN9+AHN6</f>
        <v/>
      </c>
      <c r="AHO16" s="18">
        <f>AHO15+AHO12+AHO9+AHO6</f>
        <v/>
      </c>
      <c r="AHP16" s="18">
        <f>AHP15+AHP12+AHP9+AHP6</f>
        <v/>
      </c>
      <c r="AHQ16" s="18">
        <f>AHQ15+AHQ12+AHQ9+AHQ6</f>
        <v/>
      </c>
      <c r="AHR16" s="18">
        <f>AHR15+AHR12+AHR9+AHR6</f>
        <v/>
      </c>
      <c r="AHS16" s="18">
        <f>AHS15+AHS12+AHS9+AHS6</f>
        <v/>
      </c>
      <c r="AHT16" s="18">
        <f>AHT15+AHT12+AHT9+AHT6</f>
        <v/>
      </c>
      <c r="AHU16" s="18">
        <f>AHU15+AHU12+AHU9+AHU6</f>
        <v/>
      </c>
      <c r="AHV16" s="18">
        <f>AHV15+AHV12+AHV9+AHV6</f>
        <v/>
      </c>
      <c r="AHW16" s="18">
        <f>AHW15+AHW12+AHW9+AHW6</f>
        <v/>
      </c>
      <c r="AHX16" s="18">
        <f>AHX15+AHX12+AHX9+AHX6</f>
        <v/>
      </c>
      <c r="AHY16" s="18">
        <f>AHY15+AHY12+AHY9+AHY6</f>
        <v/>
      </c>
      <c r="AHZ16" s="18">
        <f>AHZ15+AHZ12+AHZ9+AHZ6</f>
        <v/>
      </c>
      <c r="AIA16" s="18">
        <f>AIA15+AIA12+AIA9+AIA6</f>
        <v/>
      </c>
      <c r="AIB16" s="18">
        <f>AIB15+AIB12+AIB9+AIB6</f>
        <v/>
      </c>
      <c r="AIC16" s="18">
        <f>AIC15+AIC12+AIC9+AIC6</f>
        <v/>
      </c>
      <c r="AID16" s="18">
        <f>AID15+AID12+AID9+AID6</f>
        <v/>
      </c>
      <c r="AIE16" s="18">
        <f>AIE15+AIE12+AIE9+AIE6</f>
        <v/>
      </c>
      <c r="AIF16" s="127" t="n">
        <v>0</v>
      </c>
      <c r="AIG16" s="18">
        <f>AIG15+AIG12+AIG9+AIG6</f>
        <v/>
      </c>
      <c r="AIH16" s="18">
        <f>AIH15+AIH12+AIH9+AIH6</f>
        <v/>
      </c>
      <c r="AII16" s="18">
        <f>AII15+AII12+AII9+AII6</f>
        <v/>
      </c>
      <c r="AIJ16" s="18">
        <f>AIJ15+AIJ12+AIJ9+AIJ6</f>
        <v/>
      </c>
      <c r="AIK16" s="18">
        <f>AIK15+AIK12+AIK9+AIK6</f>
        <v/>
      </c>
      <c r="AIL16" s="18">
        <f>AIL15+AIL12+AIL9+AIL6</f>
        <v/>
      </c>
      <c r="AIM16" s="18">
        <f>AIM15+AIM12+AIM9+AIM6</f>
        <v/>
      </c>
      <c r="AIN16" s="18">
        <f>AIN15+AIN12+AIN9+AIN6</f>
        <v/>
      </c>
      <c r="AIO16" s="18">
        <f>AIO15+AIO12+AIO9+AIO6</f>
        <v/>
      </c>
      <c r="AIP16" s="18">
        <f>AIP15+AIP12+AIP9+AIP6</f>
        <v/>
      </c>
      <c r="AIQ16" s="18">
        <f>AIQ15+AIQ12+AIQ9+AIQ6</f>
        <v/>
      </c>
      <c r="AIR16" s="18">
        <f>AIR15+AIR12+AIR9+AIR6</f>
        <v/>
      </c>
      <c r="AIS16" s="18">
        <f>AIS15+AIS12+AIS9+AIS6</f>
        <v/>
      </c>
      <c r="AIT16" s="18">
        <f>AIT15+AIT12+AIT9+AIT6</f>
        <v/>
      </c>
      <c r="AIU16" s="18">
        <f>AIU15+AIU12+AIU9+AIU6</f>
        <v/>
      </c>
      <c r="AIV16" s="18">
        <f>AIV15+AIV12+AIV9+AIV6</f>
        <v/>
      </c>
      <c r="AIW16" s="18">
        <f>AIW15+AIW12+AIW9+AIW6</f>
        <v/>
      </c>
      <c r="AIX16" s="18">
        <f>AIX15+AIX12+AIX9+AIX6</f>
        <v/>
      </c>
      <c r="AIY16" s="18">
        <f>AIY15+AIY12+AIY9+AIY6</f>
        <v/>
      </c>
      <c r="AIZ16" s="18">
        <f>AIZ15+AIZ12+AIZ9+AIZ6</f>
        <v/>
      </c>
      <c r="AJA16" s="18">
        <f>AJA15+AJA12+AJA9+AJA6</f>
        <v/>
      </c>
      <c r="AJB16" s="18">
        <f>AJB15+AJB12+AJB9+AJB6</f>
        <v/>
      </c>
      <c r="AJC16" s="18">
        <f>AJC15+AJC12+AJC9+AJC6</f>
        <v/>
      </c>
      <c r="AJD16" s="18">
        <f>AJD15+AJD12+AJD9+AJD6</f>
        <v/>
      </c>
      <c r="AJE16" s="18">
        <f>AJE15+AJE12+AJE9+AJE6</f>
        <v/>
      </c>
      <c r="AJF16" s="18">
        <f>AJF15+AJF12+AJF9+AJF6</f>
        <v/>
      </c>
      <c r="AJG16" s="18">
        <f>AJG15+AJG12+AJG9+AJG6</f>
        <v/>
      </c>
      <c r="AJH16" s="18">
        <f>AJH15+AJH12+AJH9+AJH6</f>
        <v/>
      </c>
      <c r="AJI16" s="18">
        <f>AJI15+AJI12+AJI9+AJI6</f>
        <v/>
      </c>
      <c r="AJJ16" s="18">
        <f>AJJ15+AJJ12+AJJ9+AJJ6</f>
        <v/>
      </c>
      <c r="AJK16" s="18">
        <f>AJK15+AJK12+AJK9+AJK6</f>
        <v/>
      </c>
      <c r="AJL16" s="127" t="n">
        <v>0</v>
      </c>
      <c r="AJM16" s="18">
        <f>AJM15+AJM12+AJM9+AJM6</f>
        <v/>
      </c>
      <c r="AJN16" s="18">
        <f>AJN15+AJN12+AJN9+AJN6</f>
        <v/>
      </c>
      <c r="AJO16" s="18">
        <f>AJO15+AJO12+AJO9+AJO6</f>
        <v/>
      </c>
      <c r="AJP16" s="18">
        <f>AJP15+AJP12+AJP9+AJP6</f>
        <v/>
      </c>
      <c r="AJQ16" s="18">
        <f>AJQ15+AJQ12+AJQ9+AJQ6</f>
        <v/>
      </c>
      <c r="AJR16" s="18">
        <f>AJR15+AJR12+AJR9+AJR6</f>
        <v/>
      </c>
      <c r="AJS16" s="18">
        <f>AJS15+AJS12+AJS9+AJS6</f>
        <v/>
      </c>
      <c r="AJT16" s="18">
        <f>AJT15+AJT12+AJT9+AJT6</f>
        <v/>
      </c>
      <c r="AJU16" s="18">
        <f>AJU15+AJU12+AJU9+AJU6</f>
        <v/>
      </c>
      <c r="AJV16" s="18">
        <f>AJV15+AJV12+AJV9+AJV6</f>
        <v/>
      </c>
      <c r="AJW16" s="18">
        <f>AJW15+AJW12+AJW9+AJW6</f>
        <v/>
      </c>
      <c r="AJX16" s="18">
        <f>AJX15+AJX12+AJX9+AJX6</f>
        <v/>
      </c>
      <c r="AJY16" s="18">
        <f>AJY15+AJY12+AJY9+AJY6</f>
        <v/>
      </c>
      <c r="AJZ16" s="18">
        <f>AJZ15+AJZ12+AJZ9+AJZ6</f>
        <v/>
      </c>
      <c r="AKA16" s="18">
        <f>AKA15+AKA12+AKA9+AKA6</f>
        <v/>
      </c>
      <c r="AKB16" s="18">
        <f>AKB15+AKB12+AKB9+AKB6</f>
        <v/>
      </c>
      <c r="AKC16" s="18">
        <f>AKC15+AKC12+AKC9+AKC6</f>
        <v/>
      </c>
      <c r="AKD16" s="18">
        <f>AKD15+AKD12+AKD9+AKD6</f>
        <v/>
      </c>
      <c r="AKE16" s="18">
        <f>AKE15+AKE12+AKE9+AKE6</f>
        <v/>
      </c>
      <c r="AKF16" s="18">
        <f>AKF15+AKF12+AKF9+AKF6</f>
        <v/>
      </c>
      <c r="AKG16" s="18">
        <f>AKG15+AKG12+AKG9+AKG6</f>
        <v/>
      </c>
      <c r="AKH16" s="18">
        <f>AKH15+AKH12+AKH9+AKH6</f>
        <v/>
      </c>
      <c r="AKI16" s="18">
        <f>AKI15+AKI12+AKI9+AKI6</f>
        <v/>
      </c>
      <c r="AKJ16" s="18">
        <f>AKJ15+AKJ12+AKJ9+AKJ6</f>
        <v/>
      </c>
      <c r="AKK16" s="18">
        <f>AKK15+AKK12+AKK9+AKK6</f>
        <v/>
      </c>
      <c r="AKL16" s="18">
        <f>AKL15+AKL12+AKL9+AKL6</f>
        <v/>
      </c>
      <c r="AKM16" s="18">
        <f>AKM15+AKM12+AKM9+AKM6</f>
        <v/>
      </c>
      <c r="AKN16" s="18">
        <f>AKN15+AKN12+AKN9+AKN6</f>
        <v/>
      </c>
      <c r="AKO16" s="127" t="n">
        <v>0</v>
      </c>
      <c r="AKP16" s="18">
        <f>AKP15+AKP12+AKP9+AKP6</f>
        <v/>
      </c>
      <c r="AKQ16" s="18">
        <f>AKQ15+AKQ12+AKQ9+AKQ6</f>
        <v/>
      </c>
      <c r="AKR16" s="18">
        <f>AKR15+AKR12+AKR9+AKR6</f>
        <v/>
      </c>
      <c r="AKS16" s="18">
        <f>AKS15+AKS12+AKS9+AKS6</f>
        <v/>
      </c>
      <c r="AKT16" s="18">
        <f>AKT15+AKT12+AKT9+AKT6</f>
        <v/>
      </c>
      <c r="AKU16" s="18">
        <f>AKU15+AKU12+AKU9+AKU6</f>
        <v/>
      </c>
      <c r="AKV16" s="18">
        <f>AKV15+AKV12+AKV9+AKV6</f>
        <v/>
      </c>
      <c r="AKW16" s="18">
        <f>AKW15+AKW12+AKW9+AKW6</f>
        <v/>
      </c>
      <c r="AKX16" s="18">
        <f>AKX15+AKX12+AKX9+AKX6</f>
        <v/>
      </c>
      <c r="AKY16" s="18">
        <f>AKY15+AKY12+AKY9+AKY6</f>
        <v/>
      </c>
      <c r="AKZ16" s="18">
        <f>AKZ15+AKZ12+AKZ9+AKZ6</f>
        <v/>
      </c>
      <c r="ALA16" s="18">
        <f>ALA15+ALA12+ALA9+ALA6</f>
        <v/>
      </c>
      <c r="ALB16" s="18">
        <f>ALB15+ALB12+ALB9+ALB6</f>
        <v/>
      </c>
      <c r="ALC16" s="18">
        <f>ALC15+ALC12+ALC9+ALC6</f>
        <v/>
      </c>
      <c r="ALD16" s="18">
        <f>ALD15+ALD12+ALD9+ALD6</f>
        <v/>
      </c>
      <c r="ALE16" s="18">
        <f>ALE15+ALE12+ALE9+ALE6</f>
        <v/>
      </c>
      <c r="ALF16" s="18">
        <f>ALF15+ALF12+ALF9+ALF6</f>
        <v/>
      </c>
      <c r="ALG16" s="18">
        <f>ALG15+ALG12+ALG9+ALG6</f>
        <v/>
      </c>
      <c r="ALH16" s="18">
        <f>ALH15+ALH12+ALH9+ALH6</f>
        <v/>
      </c>
      <c r="ALI16" s="18">
        <f>ALI15+ALI12+ALI9+ALI6</f>
        <v/>
      </c>
      <c r="ALJ16" s="18">
        <f>ALJ15+ALJ12+ALJ9+ALJ6</f>
        <v/>
      </c>
      <c r="ALK16" s="18">
        <f>ALK15+ALK12+ALK9+ALK6</f>
        <v/>
      </c>
      <c r="ALL16" s="18">
        <f>ALL15+ALL12+ALL9+ALL6</f>
        <v/>
      </c>
      <c r="ALM16" s="18">
        <f>ALM15+ALM12+ALM9+ALM6</f>
        <v/>
      </c>
      <c r="ALN16" s="18">
        <f>ALN15+ALN12+ALN9+ALN6</f>
        <v/>
      </c>
      <c r="ALO16" s="18">
        <f>ALO15+ALO12+ALO9+ALO6</f>
        <v/>
      </c>
      <c r="ALP16" s="18">
        <f>ALP15+ALP12+ALP9+ALP6</f>
        <v/>
      </c>
      <c r="ALQ16" s="18">
        <f>ALQ15+ALQ12+ALQ9+ALQ6</f>
        <v/>
      </c>
      <c r="ALR16" s="18">
        <f>ALR15+ALR12+ALR9+ALR6</f>
        <v/>
      </c>
      <c r="ALS16" s="18">
        <f>ALS15+ALS12+ALS9+ALS6</f>
        <v/>
      </c>
      <c r="ALT16" s="18">
        <f>ALT15+ALT12+ALT9+ALT6</f>
        <v/>
      </c>
      <c r="ALU16" s="127" t="n">
        <v>0</v>
      </c>
      <c r="ALV16" s="18">
        <f>ALV15+ALV12+ALV9+ALV6</f>
        <v/>
      </c>
      <c r="ALW16" s="18">
        <f>ALW15+ALW12+ALW9+ALW6</f>
        <v/>
      </c>
      <c r="ALX16" s="18">
        <f>ALX15+ALX12+ALX9+ALX6</f>
        <v/>
      </c>
      <c r="ALY16" s="18">
        <f>ALY15+ALY12+ALY9+ALY6</f>
        <v/>
      </c>
      <c r="ALZ16" s="18">
        <f>ALZ15+ALZ12+ALZ9+ALZ6</f>
        <v/>
      </c>
      <c r="AMA16" s="18">
        <f>AMA15+AMA12+AMA9+AMA6</f>
        <v/>
      </c>
      <c r="AMB16" s="18">
        <f>AMB15+AMB12+AMB9+AMB6</f>
        <v/>
      </c>
      <c r="AMC16" s="18">
        <f>AMC15+AMC12+AMC9+AMC6</f>
        <v/>
      </c>
      <c r="AMD16" s="18">
        <f>AMD15+AMD12+AMD9+AMD6</f>
        <v/>
      </c>
      <c r="AME16" s="18">
        <f>AME15+AME12+AME9+AME6</f>
        <v/>
      </c>
      <c r="AMF16" s="18">
        <f>AMF15+AMF12+AMF9+AMF6</f>
        <v/>
      </c>
      <c r="AMG16" s="18">
        <f>AMG15+AMG12+AMG9+AMG6</f>
        <v/>
      </c>
      <c r="AMH16" s="18">
        <f>AMH15+AMH12+AMH9+AMH6</f>
        <v/>
      </c>
      <c r="AMI16" s="18">
        <f>AMI15+AMI12+AMI9+AMI6</f>
        <v/>
      </c>
      <c r="AMJ16" s="18">
        <f>AMJ15+AMJ12+AMJ9+AMJ6</f>
        <v/>
      </c>
      <c r="AMK16" s="18">
        <f>AMK15+AMK12+AMK9+AMK6</f>
        <v/>
      </c>
      <c r="AML16" s="18">
        <f>AML15+AML12+AML9+AML6</f>
        <v/>
      </c>
      <c r="AMM16" s="18">
        <f>AMM15+AMM12+AMM9+AMM6</f>
        <v/>
      </c>
      <c r="AMN16" s="18">
        <f>AMN15+AMN12+AMN9+AMN6</f>
        <v/>
      </c>
      <c r="AMO16" s="18">
        <f>AMO15+AMO12+AMO9+AMO6</f>
        <v/>
      </c>
      <c r="AMP16" s="18">
        <f>AMP15+AMP12+AMP9+AMP6</f>
        <v/>
      </c>
      <c r="AMQ16" s="18">
        <f>AMQ15+AMQ12+AMQ9+AMQ6</f>
        <v/>
      </c>
      <c r="AMR16" s="18">
        <f>AMR15+AMR12+AMR9+AMR6</f>
        <v/>
      </c>
      <c r="AMS16" s="18">
        <f>AMS15+AMS12+AMS9+AMS6</f>
        <v/>
      </c>
      <c r="AMT16" s="18">
        <f>AMT15+AMT12+AMT9+AMT6</f>
        <v/>
      </c>
      <c r="AMU16" s="18">
        <f>AMU15+AMU12+AMU9+AMU6</f>
        <v/>
      </c>
      <c r="AMV16" s="18">
        <f>AMV15+AMV12+AMV9+AMV6</f>
        <v/>
      </c>
      <c r="AMW16" s="18">
        <f>AMW15+AMW12+AMW9+AMW6</f>
        <v/>
      </c>
      <c r="AMX16" s="18">
        <f>AMX15+AMX12+AMX9+AMX6</f>
        <v/>
      </c>
      <c r="AMY16" s="18">
        <f>AMY15+AMY12+AMY9+AMY6</f>
        <v/>
      </c>
      <c r="AMZ16" s="127" t="n">
        <v>0</v>
      </c>
      <c r="ANA16" s="18">
        <f>ANA15+ANA12+ANA9+ANA6</f>
        <v/>
      </c>
      <c r="ANB16" s="18">
        <f>ANB15+ANB12+ANB9+ANB6</f>
        <v/>
      </c>
      <c r="ANC16" s="18">
        <f>ANC15+ANC12+ANC9+ANC6</f>
        <v/>
      </c>
      <c r="AND16" s="18">
        <f>AND15+AND12+AND9+AND6</f>
        <v/>
      </c>
      <c r="ANE16" s="18">
        <f>ANE15+ANE12+ANE9+ANE6</f>
        <v/>
      </c>
      <c r="ANF16" s="18">
        <f>ANF15+ANF12+ANF9+ANF6</f>
        <v/>
      </c>
      <c r="ANG16" s="18">
        <f>ANG15+ANG12+ANG9+ANG6</f>
        <v/>
      </c>
      <c r="ANH16" s="18">
        <f>ANH15+ANH12+ANH9+ANH6</f>
        <v/>
      </c>
      <c r="ANI16" s="18">
        <f>ANI15+ANI12+ANI9+ANI6</f>
        <v/>
      </c>
      <c r="ANJ16" s="18">
        <f>ANJ15+ANJ12+ANJ9+ANJ6</f>
        <v/>
      </c>
      <c r="ANK16" s="18">
        <f>ANK15+ANK12+ANK9+ANK6</f>
        <v/>
      </c>
      <c r="ANL16" s="18">
        <f>ANL15+ANL12+ANL9+ANL6</f>
        <v/>
      </c>
      <c r="ANM16" s="18">
        <f>ANM15+ANM12+ANM9+ANM6</f>
        <v/>
      </c>
      <c r="ANN16" s="18">
        <f>ANN15+ANN12+ANN9+ANN6</f>
        <v/>
      </c>
      <c r="ANO16" s="18">
        <f>ANO15+ANO12+ANO9+ANO6</f>
        <v/>
      </c>
      <c r="ANP16" s="18">
        <f>ANP15+ANP12+ANP9+ANP6</f>
        <v/>
      </c>
      <c r="ANQ16" s="18">
        <f>ANQ15+ANQ12+ANQ9+ANQ6</f>
        <v/>
      </c>
      <c r="ANR16" s="18">
        <f>ANR15+ANR12+ANR9+ANR6</f>
        <v/>
      </c>
      <c r="ANS16" s="18">
        <f>ANS15+ANS12+ANS9+ANS6</f>
        <v/>
      </c>
      <c r="ANT16" s="18">
        <f>ANT15+ANT12+ANT9+ANT6</f>
        <v/>
      </c>
      <c r="ANU16" s="18">
        <f>ANU15+ANU12+ANU9+ANU6</f>
        <v/>
      </c>
      <c r="ANV16" s="18">
        <f>ANV15+ANV12+ANV9+ANV6</f>
        <v/>
      </c>
      <c r="ANW16" s="18">
        <f>ANW15+ANW12+ANW9+ANW6</f>
        <v/>
      </c>
      <c r="ANX16" s="18">
        <f>ANX15+ANX12+ANX9+ANX6</f>
        <v/>
      </c>
      <c r="ANY16" s="18">
        <f>ANY15+ANY12+ANY9+ANY6</f>
        <v/>
      </c>
      <c r="ANZ16" s="18">
        <f>ANZ15+ANZ12+ANZ9+ANZ6</f>
        <v/>
      </c>
      <c r="AOA16" s="18">
        <f>AOA15+AOA12+AOA9+AOA6</f>
        <v/>
      </c>
      <c r="AOB16" s="18">
        <f>AOB15+AOB12+AOB9+AOB6</f>
        <v/>
      </c>
      <c r="AOC16" s="18">
        <f>AOC15+AOC12+AOC9+AOC6</f>
        <v/>
      </c>
      <c r="AOD16" s="18">
        <f>AOD6+AOD9+AOD12+AOD15</f>
        <v/>
      </c>
      <c r="AOE16">
        <f>AOE6+AOE9+AOE12+AOE15</f>
        <v/>
      </c>
      <c r="AOF16">
        <f>AOF6+AOF9+AOF12+AOF15</f>
        <v/>
      </c>
    </row>
    <row r="17">
      <c r="A17" s="157" t="n"/>
      <c r="B17" s="5" t="n"/>
      <c r="C17" s="11" t="inlineStr">
        <is>
          <t>PMS RTT</t>
        </is>
      </c>
      <c r="D17" s="48" t="n">
        <v>0</v>
      </c>
      <c r="E17" s="48" t="n">
        <v>0</v>
      </c>
      <c r="F17" s="48" t="n">
        <v>0</v>
      </c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9">
        <f>SUM(D17:AF17)</f>
        <v/>
      </c>
      <c r="AP17" t="n">
        <v>340</v>
      </c>
      <c r="AU17" t="n">
        <v>15</v>
      </c>
      <c r="BA17" t="n">
        <v>55.186</v>
      </c>
      <c r="BB17" t="n">
        <v>9.696999999999999</v>
      </c>
      <c r="BG17" t="n">
        <v>20</v>
      </c>
      <c r="CK17" t="n">
        <v>6.49</v>
      </c>
      <c r="DY17" s="116">
        <f>SUM(CU17:DX17)</f>
        <v/>
      </c>
      <c r="FE17" s="126" t="n"/>
      <c r="GK17" s="127">
        <f>SUM(FF17:GJ17)</f>
        <v/>
      </c>
      <c r="GN17" t="n">
        <v>5.38</v>
      </c>
      <c r="HO17" s="127">
        <f>SUM(GJ17:HN17)</f>
        <v/>
      </c>
      <c r="IU17" s="127">
        <f>SUM(HP17:IT17)</f>
        <v/>
      </c>
      <c r="JC17" t="n">
        <v>60</v>
      </c>
      <c r="JZ17" s="127">
        <f>SUM(IU17:JY17)</f>
        <v/>
      </c>
      <c r="KZ17" t="n">
        <v>20</v>
      </c>
      <c r="LF17" s="127">
        <f>SUM(KA17:LE17)</f>
        <v/>
      </c>
      <c r="MK17" s="127">
        <f>SUM(LF17:MJ17)</f>
        <v/>
      </c>
      <c r="MU17" t="n">
        <v>45.06</v>
      </c>
      <c r="MV17" t="n">
        <v>32.907</v>
      </c>
      <c r="NQ17" s="127">
        <f>SUM(ML17:NP17)</f>
        <v/>
      </c>
      <c r="OW17" s="127">
        <f>SUM(NR17:OV17)</f>
        <v/>
      </c>
      <c r="PU17" t="n">
        <v>15.886</v>
      </c>
      <c r="PZ17" t="n">
        <v>19.84</v>
      </c>
      <c r="QA17" t="n">
        <v>8</v>
      </c>
      <c r="QB17" s="127">
        <f>SUM(OW17:QA17)</f>
        <v/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s="127">
        <f>SUM(QC17:RG17)</f>
        <v/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20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s="127">
        <f>SUM(RH17:SL17)</f>
        <v/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s="127">
        <f>SUM(SN17:TR17)</f>
        <v/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s="127">
        <f>SUM(TT17:UX17)</f>
        <v/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16.981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s="127">
        <f>SUM(UW17:WA17)</f>
        <v/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24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s="127">
        <f>SUM(WC17:XG17)</f>
        <v/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s="127">
        <f>SUM(XH17:YL17)</f>
        <v/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s="127">
        <f>SUM(YN17:ZR17)</f>
        <v/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s="127">
        <f>SUM(ZS17:AAW17)</f>
        <v/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20</v>
      </c>
      <c r="ABK17" t="n">
        <v>0</v>
      </c>
      <c r="ABL17" t="n">
        <v>0</v>
      </c>
      <c r="ABM17" t="n">
        <v>0</v>
      </c>
      <c r="ABN17" t="n">
        <v>0</v>
      </c>
      <c r="ABO17" t="n">
        <v>54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19.005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s="127">
        <f>SUM(AAY17:ACC17)</f>
        <v/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40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s="127">
        <f>SUM(ACE17:ADI17)</f>
        <v/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53.897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s="127">
        <f>SUM(ADK17:AEN17)</f>
        <v/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s="127">
        <f>SUM(AEQ17:AFT17)</f>
        <v/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7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5.992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s="127">
        <f>SUM(AFV17:AGY17)</f>
        <v/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s="127">
        <f>SUM(AHB17:AIE17)</f>
        <v/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40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15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15.5</v>
      </c>
      <c r="AJI17" t="n">
        <v>0</v>
      </c>
      <c r="AJJ17" t="n">
        <v>0</v>
      </c>
      <c r="AJK17" t="n">
        <v>0</v>
      </c>
      <c r="AJL17" s="127">
        <f>SUM(AIH17:AJK17)</f>
        <v/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23.23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s="127">
        <f>SUM(AJM17:AKN17)</f>
        <v/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61.952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10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s="127">
        <f>SUM(AKP17:ALT17)</f>
        <v/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95.878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s="127">
        <f>SUM(ALV17:AMY17)</f>
        <v/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-7</v>
      </c>
    </row>
    <row r="18" ht="16" customHeight="1" s="160" thickBot="1">
      <c r="A18" s="158" t="n"/>
      <c r="B18" s="7" t="n"/>
      <c r="C18" s="8" t="inlineStr">
        <is>
          <t>NET PMS SALES</t>
        </is>
      </c>
      <c r="D18" s="9">
        <f>D16-D17</f>
        <v/>
      </c>
      <c r="E18" s="9">
        <f>E16-E17</f>
        <v/>
      </c>
      <c r="F18" s="9">
        <f>F16-F17</f>
        <v/>
      </c>
      <c r="G18" s="9">
        <f>G16-G17</f>
        <v/>
      </c>
      <c r="H18" s="9">
        <f>H16-H17</f>
        <v/>
      </c>
      <c r="I18" s="9">
        <f>I16-I17</f>
        <v/>
      </c>
      <c r="J18" s="9">
        <f>J16-J17</f>
        <v/>
      </c>
      <c r="K18" s="9">
        <f>K16-K17</f>
        <v/>
      </c>
      <c r="L18" s="9">
        <f>L16-L17</f>
        <v/>
      </c>
      <c r="M18" s="9">
        <f>M16-M17</f>
        <v/>
      </c>
      <c r="N18" s="9">
        <f>N16-N17</f>
        <v/>
      </c>
      <c r="O18" s="9">
        <f>O16-O17</f>
        <v/>
      </c>
      <c r="P18" s="9">
        <f>P16-P17</f>
        <v/>
      </c>
      <c r="Q18" s="9">
        <f>Q16-Q17</f>
        <v/>
      </c>
      <c r="R18" s="9">
        <f>R16-R17</f>
        <v/>
      </c>
      <c r="S18" s="9">
        <f>S16-S17</f>
        <v/>
      </c>
      <c r="T18" s="9">
        <f>T16-T17</f>
        <v/>
      </c>
      <c r="U18" s="9">
        <f>U16-U17</f>
        <v/>
      </c>
      <c r="V18" s="9">
        <f>V16-V17</f>
        <v/>
      </c>
      <c r="W18" s="9">
        <f>W16-W17</f>
        <v/>
      </c>
      <c r="X18" s="9">
        <f>X16-X17</f>
        <v/>
      </c>
      <c r="Y18" s="9">
        <f>Y16-Y17</f>
        <v/>
      </c>
      <c r="Z18" s="9">
        <f>Z16-Z17</f>
        <v/>
      </c>
      <c r="AA18" s="9">
        <f>AA16-AA17</f>
        <v/>
      </c>
      <c r="AB18" s="9">
        <f>AB16-AB17</f>
        <v/>
      </c>
      <c r="AC18" s="9">
        <f>AC16-AC17</f>
        <v/>
      </c>
      <c r="AD18" s="9">
        <f>AD16-AD17</f>
        <v/>
      </c>
      <c r="AE18" s="9">
        <f>AE16-AE17</f>
        <v/>
      </c>
      <c r="AF18" s="9">
        <f>AF16-AF17</f>
        <v/>
      </c>
      <c r="AG18" s="9">
        <f>AG16-AG17</f>
        <v/>
      </c>
      <c r="AH18" s="9">
        <f>AH16-AH17</f>
        <v/>
      </c>
      <c r="AI18" s="17">
        <f>SUM(D18:AH18)</f>
        <v/>
      </c>
      <c r="AJ18" s="9">
        <f>AJ16-AJ17</f>
        <v/>
      </c>
      <c r="AK18" s="9">
        <f>AK16-AK17</f>
        <v/>
      </c>
      <c r="AL18" s="9">
        <f>AL16-AL17</f>
        <v/>
      </c>
      <c r="AM18" s="9">
        <f>AM16-AM17</f>
        <v/>
      </c>
      <c r="AN18" s="9">
        <f>AN16-AN17</f>
        <v/>
      </c>
      <c r="AO18" s="9">
        <f>AO16-AO17</f>
        <v/>
      </c>
      <c r="AP18" s="9">
        <f>AP16-AP17</f>
        <v/>
      </c>
      <c r="AQ18" s="9">
        <f>AQ16-AQ17</f>
        <v/>
      </c>
      <c r="AR18" s="9">
        <f>AR16-AR17</f>
        <v/>
      </c>
      <c r="AS18" s="9">
        <f>AS16-AS17</f>
        <v/>
      </c>
      <c r="AT18" s="9">
        <f>AT16-AT17</f>
        <v/>
      </c>
      <c r="AU18" s="9">
        <f>AU16-AU17</f>
        <v/>
      </c>
      <c r="AV18" s="9">
        <f>AV16-AV17</f>
        <v/>
      </c>
      <c r="AW18" s="9">
        <f>AW16-AW17</f>
        <v/>
      </c>
      <c r="AX18" s="9">
        <f>AX16-AX17</f>
        <v/>
      </c>
      <c r="AY18" s="9">
        <f>AY16-AY17</f>
        <v/>
      </c>
      <c r="AZ18" s="9">
        <f>AZ16-AZ17</f>
        <v/>
      </c>
      <c r="BA18" s="9">
        <f>BA16-BA17</f>
        <v/>
      </c>
      <c r="BB18" s="9">
        <f>BB16-BB17</f>
        <v/>
      </c>
      <c r="BC18" s="9">
        <f>BC16-BC17</f>
        <v/>
      </c>
      <c r="BD18" s="9">
        <f>BD16-BD17</f>
        <v/>
      </c>
      <c r="BE18" s="9">
        <f>BE16-BE17</f>
        <v/>
      </c>
      <c r="BF18" s="9">
        <f>BF16-BF17</f>
        <v/>
      </c>
      <c r="BG18" s="9">
        <f>BG16-BG17</f>
        <v/>
      </c>
      <c r="BH18" s="9">
        <f>BH16-BH17</f>
        <v/>
      </c>
      <c r="BI18" s="9">
        <f>BI16-BI17</f>
        <v/>
      </c>
      <c r="BJ18" s="9">
        <f>BJ16-BJ17</f>
        <v/>
      </c>
      <c r="BK18" s="9">
        <f>BK16-BK17</f>
        <v/>
      </c>
      <c r="BL18" s="9">
        <f>BL16-BL17</f>
        <v/>
      </c>
      <c r="BM18" s="9">
        <f>BM16-BM17</f>
        <v/>
      </c>
      <c r="BN18" s="89">
        <f>SUM(AJ18:BM18)</f>
        <v/>
      </c>
      <c r="BO18" s="9">
        <f>BO16-BO17</f>
        <v/>
      </c>
      <c r="BP18" s="9">
        <f>BP16-BP17</f>
        <v/>
      </c>
      <c r="BQ18" s="9">
        <f>BQ16-BQ17</f>
        <v/>
      </c>
      <c r="BR18" s="9">
        <f>BR16-BR17</f>
        <v/>
      </c>
      <c r="BS18" s="9">
        <f>BS16-BS17</f>
        <v/>
      </c>
      <c r="BT18" s="9">
        <f>BT16-BT17</f>
        <v/>
      </c>
      <c r="BU18" s="9">
        <f>BU16-BU17</f>
        <v/>
      </c>
      <c r="BV18" s="9">
        <f>BV16-BV17</f>
        <v/>
      </c>
      <c r="BW18" s="9">
        <f>BW16-BW17</f>
        <v/>
      </c>
      <c r="BX18" s="9">
        <f>BX16-BX17</f>
        <v/>
      </c>
      <c r="BY18" s="9">
        <f>BY16-BY17</f>
        <v/>
      </c>
      <c r="BZ18" s="9">
        <f>BZ16-BZ17</f>
        <v/>
      </c>
      <c r="CA18" s="9">
        <f>CA16-CA17</f>
        <v/>
      </c>
      <c r="CB18" s="9">
        <f>CB16-CB17</f>
        <v/>
      </c>
      <c r="CC18" s="9">
        <f>CC16-CC17</f>
        <v/>
      </c>
      <c r="CD18" s="9">
        <f>CD16-CD17</f>
        <v/>
      </c>
      <c r="CE18" s="9">
        <f>CE16-CE17</f>
        <v/>
      </c>
      <c r="CF18" s="9">
        <f>CF16-CF17</f>
        <v/>
      </c>
      <c r="CG18" s="9">
        <f>CG16-CG17</f>
        <v/>
      </c>
      <c r="CH18" s="9">
        <f>CH16-CH17</f>
        <v/>
      </c>
      <c r="CI18" s="9">
        <f>CI16-CI17</f>
        <v/>
      </c>
      <c r="CJ18" s="9">
        <f>CJ16-CJ17</f>
        <v/>
      </c>
      <c r="CK18" s="9">
        <f>CK16-CK17</f>
        <v/>
      </c>
      <c r="CL18" s="9">
        <f>CL16-CL17</f>
        <v/>
      </c>
      <c r="CM18" s="9">
        <f>CM16-CM17</f>
        <v/>
      </c>
      <c r="CN18" s="9">
        <f>CN16-CN17</f>
        <v/>
      </c>
      <c r="CO18" s="9">
        <f>CO16-CO17</f>
        <v/>
      </c>
      <c r="CP18" s="9">
        <f>CP16-CP17</f>
        <v/>
      </c>
      <c r="CQ18" s="9">
        <f>CQ16-CQ17</f>
        <v/>
      </c>
      <c r="CR18" s="9">
        <f>CR16-CR17</f>
        <v/>
      </c>
      <c r="CS18" s="9">
        <f>CS16-CS17</f>
        <v/>
      </c>
      <c r="CT18" s="89">
        <f>SUM(BO18:CS18)</f>
        <v/>
      </c>
      <c r="CU18" s="9">
        <f>CU16-CU17</f>
        <v/>
      </c>
      <c r="CV18" s="9">
        <f>CV16-CV17</f>
        <v/>
      </c>
      <c r="CW18" s="9">
        <f>CW16-CW17</f>
        <v/>
      </c>
      <c r="CX18" s="9">
        <f>CX16-CX17</f>
        <v/>
      </c>
      <c r="CY18" s="9">
        <f>CY16-CY17</f>
        <v/>
      </c>
      <c r="CZ18" s="9">
        <f>CZ16-CZ17</f>
        <v/>
      </c>
      <c r="DA18" s="9">
        <f>DA16-DA17</f>
        <v/>
      </c>
      <c r="DB18" s="9">
        <f>DB16-DB17</f>
        <v/>
      </c>
      <c r="DC18" s="9">
        <f>DC16-DC17</f>
        <v/>
      </c>
      <c r="DD18" s="9">
        <f>DD16-DD17</f>
        <v/>
      </c>
      <c r="DE18" s="9">
        <f>DE16-DE17</f>
        <v/>
      </c>
      <c r="DF18" s="9">
        <f>DF16-DF17</f>
        <v/>
      </c>
      <c r="DG18" s="9">
        <f>DG16-DG17</f>
        <v/>
      </c>
      <c r="DH18" s="9">
        <f>DH16-DH17</f>
        <v/>
      </c>
      <c r="DI18" s="9">
        <f>DI16-DI17</f>
        <v/>
      </c>
      <c r="DJ18" s="9">
        <f>DJ16-DJ17</f>
        <v/>
      </c>
      <c r="DK18" s="9">
        <f>DK16-DK17</f>
        <v/>
      </c>
      <c r="DL18" s="9">
        <f>DL16-DL17</f>
        <v/>
      </c>
      <c r="DM18" s="9">
        <f>DM16-DM17</f>
        <v/>
      </c>
      <c r="DN18" s="9">
        <f>DN16-DN17</f>
        <v/>
      </c>
      <c r="DO18" s="9">
        <f>DO16-DO17</f>
        <v/>
      </c>
      <c r="DP18" s="9">
        <f>DP16-DP17</f>
        <v/>
      </c>
      <c r="DQ18" s="9">
        <f>DQ16-DQ17</f>
        <v/>
      </c>
      <c r="DR18" s="9">
        <f>DR16-DR17</f>
        <v/>
      </c>
      <c r="DS18" s="9">
        <f>DS16-DS17</f>
        <v/>
      </c>
      <c r="DT18" s="9">
        <f>DT16-DT17</f>
        <v/>
      </c>
      <c r="DU18" s="9">
        <f>DU16-DU17</f>
        <v/>
      </c>
      <c r="DV18" s="9">
        <f>DV16-DV17</f>
        <v/>
      </c>
      <c r="DW18" s="9">
        <f>DW16-DW17</f>
        <v/>
      </c>
      <c r="DX18" s="9">
        <f>DX16-DX17</f>
        <v/>
      </c>
      <c r="DY18" s="116">
        <f>SUM(CU18:DX18)</f>
        <v/>
      </c>
      <c r="DZ18" s="9">
        <f>DZ16-DZ17</f>
        <v/>
      </c>
      <c r="EA18" s="9">
        <f>EA16-EA17</f>
        <v/>
      </c>
      <c r="EB18" s="9">
        <f>EB16-EB17</f>
        <v/>
      </c>
      <c r="EC18" s="9">
        <f>EC16-EC17</f>
        <v/>
      </c>
      <c r="ED18" s="9">
        <f>ED16-ED17</f>
        <v/>
      </c>
      <c r="EE18" s="9">
        <f>EE16-EE17</f>
        <v/>
      </c>
      <c r="EF18" s="9">
        <f>EF16-EF17</f>
        <v/>
      </c>
      <c r="EG18" s="9">
        <f>EG16-EG17</f>
        <v/>
      </c>
      <c r="EH18" s="9">
        <f>EH16-EH17</f>
        <v/>
      </c>
      <c r="EI18" s="9">
        <f>EI16-EI17</f>
        <v/>
      </c>
      <c r="EJ18" s="9">
        <f>EJ16-EJ17</f>
        <v/>
      </c>
      <c r="EK18" s="9">
        <f>EK16-EK17</f>
        <v/>
      </c>
      <c r="EL18" s="9">
        <f>EL16-EL17</f>
        <v/>
      </c>
      <c r="EM18" s="9">
        <f>EM16-EM17</f>
        <v/>
      </c>
      <c r="EN18" s="9">
        <f>EN16-EN17</f>
        <v/>
      </c>
      <c r="EO18" s="9">
        <f>EO16-EO17</f>
        <v/>
      </c>
      <c r="EP18" s="9">
        <f>EP16-EP17</f>
        <v/>
      </c>
      <c r="EQ18" s="9">
        <f>EQ16-EQ17</f>
        <v/>
      </c>
      <c r="ER18" s="9">
        <f>ER16-ER17</f>
        <v/>
      </c>
      <c r="ES18" s="9">
        <f>ES16-ES17</f>
        <v/>
      </c>
      <c r="ET18" s="9">
        <f>ET16-ET17</f>
        <v/>
      </c>
      <c r="EU18" s="9">
        <f>EU16-EU17</f>
        <v/>
      </c>
      <c r="EV18" s="9">
        <f>EV16-EV17</f>
        <v/>
      </c>
      <c r="EW18" s="9">
        <f>EW16-EW17</f>
        <v/>
      </c>
      <c r="EX18" s="9">
        <f>EX16-EX17</f>
        <v/>
      </c>
      <c r="EY18" s="9">
        <f>EY16-EY17</f>
        <v/>
      </c>
      <c r="EZ18" s="9">
        <f>EZ16-EZ17</f>
        <v/>
      </c>
      <c r="FA18" s="9">
        <f>FA16-FA17</f>
        <v/>
      </c>
      <c r="FB18" s="9">
        <f>FB16-FB17</f>
        <v/>
      </c>
      <c r="FC18" s="9">
        <f>FC16-FC17</f>
        <v/>
      </c>
      <c r="FD18" s="9">
        <f>FD16-FD17</f>
        <v/>
      </c>
      <c r="FE18" s="127">
        <f>SUM(DZ18:FD18)</f>
        <v/>
      </c>
      <c r="FF18" s="9">
        <f>FF16-FF17</f>
        <v/>
      </c>
      <c r="FG18" s="9">
        <f>FG16-FG17</f>
        <v/>
      </c>
      <c r="FH18" s="9">
        <f>FH16-FH17</f>
        <v/>
      </c>
      <c r="FI18" s="9">
        <f>FI16-FI17</f>
        <v/>
      </c>
      <c r="FJ18" s="9">
        <f>FJ16-FJ17</f>
        <v/>
      </c>
      <c r="FK18" s="9">
        <f>FK16-FK17</f>
        <v/>
      </c>
      <c r="FL18" s="9">
        <f>FL16-FL17</f>
        <v/>
      </c>
      <c r="FM18" s="9">
        <f>FM16-FM17</f>
        <v/>
      </c>
      <c r="FN18" s="9">
        <f>FN16-FN17</f>
        <v/>
      </c>
      <c r="FO18" s="9">
        <f>FO16-FO17</f>
        <v/>
      </c>
      <c r="FP18" s="9">
        <f>FP16-FP17</f>
        <v/>
      </c>
      <c r="FQ18" s="9">
        <f>FQ16-FQ17</f>
        <v/>
      </c>
      <c r="FR18" s="9">
        <f>FR16-FR17</f>
        <v/>
      </c>
      <c r="FS18" s="9">
        <f>FS16-FS17</f>
        <v/>
      </c>
      <c r="FT18" s="9">
        <f>FT16-FT17</f>
        <v/>
      </c>
      <c r="FU18" s="9">
        <f>FU16-FU17</f>
        <v/>
      </c>
      <c r="FV18" s="9">
        <f>FV16-FV17</f>
        <v/>
      </c>
      <c r="FW18" s="9">
        <f>FW16-FW17</f>
        <v/>
      </c>
      <c r="FX18" s="9">
        <f>FX16-FX17</f>
        <v/>
      </c>
      <c r="FY18" s="9">
        <f>FY16-FY17</f>
        <v/>
      </c>
      <c r="FZ18" s="9">
        <f>FZ16-FZ17</f>
        <v/>
      </c>
      <c r="GA18" s="9">
        <f>GA16-GA17</f>
        <v/>
      </c>
      <c r="GB18" s="9">
        <f>GB16-GB17</f>
        <v/>
      </c>
      <c r="GC18" s="9">
        <f>GC16-GC17</f>
        <v/>
      </c>
      <c r="GD18" s="9">
        <f>GD16-GD17</f>
        <v/>
      </c>
      <c r="GE18" s="9">
        <f>GE16-GE17</f>
        <v/>
      </c>
      <c r="GF18" s="9">
        <f>GF16-GF17</f>
        <v/>
      </c>
      <c r="GG18" s="9">
        <f>GG16-GG17</f>
        <v/>
      </c>
      <c r="GH18" s="9">
        <f>GH16-GH17</f>
        <v/>
      </c>
      <c r="GI18" s="9">
        <f>GI16-GI17</f>
        <v/>
      </c>
      <c r="GJ18" s="9">
        <f>GJ16-GJ17</f>
        <v/>
      </c>
      <c r="GK18" s="126" t="n"/>
      <c r="GL18" s="9">
        <f>GL16-GL17</f>
        <v/>
      </c>
      <c r="GM18" s="9">
        <f>GM16-GM17</f>
        <v/>
      </c>
      <c r="GN18" s="9">
        <f>GN16-GN17</f>
        <v/>
      </c>
      <c r="GO18" s="9">
        <f>GO16-GO17</f>
        <v/>
      </c>
      <c r="GP18" s="9">
        <f>GP16-GP17</f>
        <v/>
      </c>
      <c r="GQ18" s="9">
        <f>GQ16-GQ17</f>
        <v/>
      </c>
      <c r="GR18" s="9">
        <f>GR16-GR17</f>
        <v/>
      </c>
      <c r="GS18" s="9">
        <f>GS16-GS17</f>
        <v/>
      </c>
      <c r="GT18" s="9">
        <f>GT16-GT17</f>
        <v/>
      </c>
      <c r="GU18" s="9">
        <f>GU16-GU17</f>
        <v/>
      </c>
      <c r="GV18" s="9">
        <f>GV16-GV17</f>
        <v/>
      </c>
      <c r="GW18" s="9">
        <f>GW16-GW17</f>
        <v/>
      </c>
      <c r="GX18" s="9">
        <f>GX16-GX17</f>
        <v/>
      </c>
      <c r="GY18" s="9">
        <f>GY16-GY17</f>
        <v/>
      </c>
      <c r="GZ18" s="9">
        <f>GZ16-GZ17</f>
        <v/>
      </c>
      <c r="HA18" s="9">
        <f>HA16-HA17</f>
        <v/>
      </c>
      <c r="HB18" s="9">
        <f>HB16-HB17</f>
        <v/>
      </c>
      <c r="HC18" s="9">
        <f>HC16-HC17</f>
        <v/>
      </c>
      <c r="HD18" s="9">
        <f>HD16-HD17</f>
        <v/>
      </c>
      <c r="HE18" s="9">
        <f>HE16-HE17</f>
        <v/>
      </c>
      <c r="HF18" s="9">
        <f>HF16-HF17</f>
        <v/>
      </c>
      <c r="HG18" s="9">
        <f>HG16-HG17</f>
        <v/>
      </c>
      <c r="HH18" s="9">
        <f>HH16-HH17</f>
        <v/>
      </c>
      <c r="HI18" s="9">
        <f>HI16-HI17</f>
        <v/>
      </c>
      <c r="HJ18" s="9">
        <f>HJ16-HJ17</f>
        <v/>
      </c>
      <c r="HK18" s="9">
        <f>HK16-HK17</f>
        <v/>
      </c>
      <c r="HL18" s="9">
        <f>HL16-HL17</f>
        <v/>
      </c>
      <c r="HM18" s="9">
        <f>HM16-HM17</f>
        <v/>
      </c>
      <c r="HN18" s="9">
        <f>HN16-HN17</f>
        <v/>
      </c>
      <c r="HO18" s="126" t="n"/>
      <c r="HP18" s="9">
        <f>HP16-HP17</f>
        <v/>
      </c>
      <c r="HQ18" s="9">
        <f>HQ16-HQ17</f>
        <v/>
      </c>
      <c r="HR18" s="9">
        <f>HR16-HR17</f>
        <v/>
      </c>
      <c r="HS18" s="9">
        <f>HS16-HS17</f>
        <v/>
      </c>
      <c r="HT18" s="9">
        <f>HT16-HT17</f>
        <v/>
      </c>
      <c r="HU18" s="9">
        <f>HU16-HU17</f>
        <v/>
      </c>
      <c r="HV18" s="9">
        <f>HV16-HV17</f>
        <v/>
      </c>
      <c r="HW18" s="9">
        <f>HW16-HW17</f>
        <v/>
      </c>
      <c r="HX18" s="9">
        <f>HX16-HX17</f>
        <v/>
      </c>
      <c r="HY18" s="9">
        <f>HY16-HY17</f>
        <v/>
      </c>
      <c r="HZ18" s="9">
        <f>HZ16-HZ17</f>
        <v/>
      </c>
      <c r="IA18" s="9">
        <f>IA16-IA17</f>
        <v/>
      </c>
      <c r="IB18" s="9">
        <f>IB16-IB17</f>
        <v/>
      </c>
      <c r="IC18" s="9">
        <f>IC16-IC17</f>
        <v/>
      </c>
      <c r="ID18" s="9">
        <f>ID16-ID17</f>
        <v/>
      </c>
      <c r="IE18" s="9">
        <f>IE16-IE17</f>
        <v/>
      </c>
      <c r="IF18" s="9">
        <f>IF16-IF17</f>
        <v/>
      </c>
      <c r="IG18" s="9">
        <f>IG16-IG17</f>
        <v/>
      </c>
      <c r="IH18" s="9">
        <f>IH16-IH17</f>
        <v/>
      </c>
      <c r="II18" s="9">
        <f>II16-II17</f>
        <v/>
      </c>
      <c r="IJ18" s="9">
        <f>IJ16-IJ17</f>
        <v/>
      </c>
      <c r="IK18" s="9">
        <f>IK16-IK17</f>
        <v/>
      </c>
      <c r="IL18" s="9">
        <f>IL16-IL17</f>
        <v/>
      </c>
      <c r="IM18" s="9">
        <f>IM16-IM17</f>
        <v/>
      </c>
      <c r="IN18" s="9">
        <f>IN16-IN17</f>
        <v/>
      </c>
      <c r="IO18" s="9">
        <f>IO16-IO17</f>
        <v/>
      </c>
      <c r="IP18" s="9">
        <f>IP16-IP17</f>
        <v/>
      </c>
      <c r="IQ18" s="9">
        <f>IQ16-IQ17</f>
        <v/>
      </c>
      <c r="IR18" s="9">
        <f>IR16-IR17</f>
        <v/>
      </c>
      <c r="IS18" s="9">
        <f>IS16-IS17</f>
        <v/>
      </c>
      <c r="IT18" s="9">
        <f>IT16-IT17</f>
        <v/>
      </c>
      <c r="IU18" s="126" t="n"/>
      <c r="IV18" s="9">
        <f>IV16-IV17</f>
        <v/>
      </c>
      <c r="IW18" s="9">
        <f>IW16-IW17</f>
        <v/>
      </c>
      <c r="IX18" s="9">
        <f>IX16-IX17</f>
        <v/>
      </c>
      <c r="IY18" s="9">
        <f>IY16-IY17</f>
        <v/>
      </c>
      <c r="IZ18" s="9">
        <f>IZ16-IZ17</f>
        <v/>
      </c>
      <c r="JA18" s="9">
        <f>JA16-JA17</f>
        <v/>
      </c>
      <c r="JB18" s="9">
        <f>JB16-JB17</f>
        <v/>
      </c>
      <c r="JC18" s="9">
        <f>JC16-JC17</f>
        <v/>
      </c>
      <c r="JD18" s="9">
        <f>JD16-JD17</f>
        <v/>
      </c>
      <c r="JE18" s="9">
        <f>JE16-JE17</f>
        <v/>
      </c>
      <c r="JF18" s="9">
        <f>JF16-JF17</f>
        <v/>
      </c>
      <c r="JG18" s="9">
        <f>JG16-JG17</f>
        <v/>
      </c>
      <c r="JH18" s="9">
        <f>JH16-JH17</f>
        <v/>
      </c>
      <c r="JI18" s="9">
        <f>JI16-JI17</f>
        <v/>
      </c>
      <c r="JJ18" s="9">
        <f>JJ16-JJ17</f>
        <v/>
      </c>
      <c r="JK18" s="9">
        <f>JK16-JK17</f>
        <v/>
      </c>
      <c r="JL18" s="9">
        <f>JL16-JL17</f>
        <v/>
      </c>
      <c r="JM18" s="9">
        <f>JM16-JM17</f>
        <v/>
      </c>
      <c r="JN18" s="9">
        <f>JN16-JN17</f>
        <v/>
      </c>
      <c r="JO18" s="9">
        <f>JO16-JO17</f>
        <v/>
      </c>
      <c r="JP18" s="9">
        <f>JP16-JP17</f>
        <v/>
      </c>
      <c r="JQ18" s="9">
        <f>JQ16-JQ17</f>
        <v/>
      </c>
      <c r="JR18" s="9">
        <f>JR16-JR17</f>
        <v/>
      </c>
      <c r="JS18" s="9">
        <f>JS16-JS17</f>
        <v/>
      </c>
      <c r="JT18" s="9">
        <f>JT16-JT17</f>
        <v/>
      </c>
      <c r="JU18" s="9">
        <f>JU16-JU17</f>
        <v/>
      </c>
      <c r="JV18" s="9">
        <f>JV16-JV17</f>
        <v/>
      </c>
      <c r="JW18" s="9">
        <f>JW16-JW17</f>
        <v/>
      </c>
      <c r="JX18" s="9">
        <f>JX16-JX17</f>
        <v/>
      </c>
      <c r="JY18" s="9">
        <f>JY16-JY17</f>
        <v/>
      </c>
      <c r="JZ18" s="144">
        <f>JZ6+JZ9+JZ12+JZ15-JZ17</f>
        <v/>
      </c>
      <c r="KA18" s="9">
        <f>KA16-KA17</f>
        <v/>
      </c>
      <c r="KB18" s="9">
        <f>KB16-KB17</f>
        <v/>
      </c>
      <c r="KC18" s="9">
        <f>KC16-KC17</f>
        <v/>
      </c>
      <c r="KD18" s="9">
        <f>KD16-KD17</f>
        <v/>
      </c>
      <c r="KE18" s="9">
        <f>KE16-KE17</f>
        <v/>
      </c>
      <c r="KF18" s="9">
        <f>KF16-KF17</f>
        <v/>
      </c>
      <c r="KG18" s="9">
        <f>KG16-KG17</f>
        <v/>
      </c>
      <c r="KH18" s="9">
        <f>KH16-KH17</f>
        <v/>
      </c>
      <c r="KI18" s="9">
        <f>KI16-KI17</f>
        <v/>
      </c>
      <c r="KJ18" s="9">
        <f>KJ16-KJ17</f>
        <v/>
      </c>
      <c r="KK18" s="9">
        <f>KK16-KK17</f>
        <v/>
      </c>
      <c r="KL18" s="9">
        <f>KL16-KL17</f>
        <v/>
      </c>
      <c r="KM18" s="9">
        <f>KM16-KM17</f>
        <v/>
      </c>
      <c r="KN18" s="9">
        <f>KN16-KN17</f>
        <v/>
      </c>
      <c r="KO18" s="9">
        <f>KO16-KO17</f>
        <v/>
      </c>
      <c r="KP18" s="9">
        <f>KP16-KP17</f>
        <v/>
      </c>
      <c r="KQ18" s="9">
        <f>KQ16-KQ17</f>
        <v/>
      </c>
      <c r="KR18" s="9">
        <f>KR16-KR17</f>
        <v/>
      </c>
      <c r="KS18" s="9">
        <f>KS16-KS17</f>
        <v/>
      </c>
      <c r="KT18" s="9">
        <f>KT16-KT17</f>
        <v/>
      </c>
      <c r="KU18" s="9">
        <f>KU16-KU17</f>
        <v/>
      </c>
      <c r="KV18" s="9">
        <f>KV16-KV17</f>
        <v/>
      </c>
      <c r="KW18" s="9">
        <f>KW16-KW17</f>
        <v/>
      </c>
      <c r="KX18" s="9">
        <f>KX16-KX17</f>
        <v/>
      </c>
      <c r="KY18" s="9">
        <f>KY16-KY17</f>
        <v/>
      </c>
      <c r="KZ18" s="9">
        <f>KZ16-KZ17</f>
        <v/>
      </c>
      <c r="LA18" s="9">
        <f>LA16-LA17</f>
        <v/>
      </c>
      <c r="LB18" s="9">
        <f>LB16-LB17</f>
        <v/>
      </c>
      <c r="LC18" s="9">
        <f>LC16-LC17</f>
        <v/>
      </c>
      <c r="LD18" s="9">
        <f>LD16-LD17</f>
        <v/>
      </c>
      <c r="LE18" s="9">
        <f>LE16-LE17</f>
        <v/>
      </c>
      <c r="LF18" s="144">
        <f>LF6+LF9+LF12+LF15-LF17</f>
        <v/>
      </c>
      <c r="LG18" s="9">
        <f>LG16-LG17</f>
        <v/>
      </c>
      <c r="LH18" s="9">
        <f>LH16-LH17</f>
        <v/>
      </c>
      <c r="LI18" s="9">
        <f>LI16-LI17</f>
        <v/>
      </c>
      <c r="LJ18" s="9">
        <f>LJ16-LJ17</f>
        <v/>
      </c>
      <c r="LK18" s="9">
        <f>LK16-LK17</f>
        <v/>
      </c>
      <c r="LL18" s="9">
        <f>LL16-LL17</f>
        <v/>
      </c>
      <c r="LM18" s="9">
        <f>LM16-LM17</f>
        <v/>
      </c>
      <c r="LN18" s="9">
        <f>LN16-LN17</f>
        <v/>
      </c>
      <c r="LO18" s="9">
        <f>LO16-LO17</f>
        <v/>
      </c>
      <c r="LP18" s="9">
        <f>LP16-LP17</f>
        <v/>
      </c>
      <c r="LQ18" s="9">
        <f>LQ16-LQ17</f>
        <v/>
      </c>
      <c r="LR18" s="9">
        <f>LR16-LR17</f>
        <v/>
      </c>
      <c r="LS18" s="9">
        <f>LS16-LS17</f>
        <v/>
      </c>
      <c r="LT18" s="9">
        <f>LT16-LT17</f>
        <v/>
      </c>
      <c r="LU18" s="9">
        <f>LU16-LU17</f>
        <v/>
      </c>
      <c r="LV18" s="9">
        <f>LV16-LV17</f>
        <v/>
      </c>
      <c r="LW18" s="9">
        <f>LW16-LW17</f>
        <v/>
      </c>
      <c r="LX18" s="9">
        <f>LX16-LX17</f>
        <v/>
      </c>
      <c r="LY18" s="9">
        <f>LY16-LY17</f>
        <v/>
      </c>
      <c r="LZ18" s="9">
        <f>LZ16-LZ17</f>
        <v/>
      </c>
      <c r="MA18" s="9">
        <f>MA16-MA17</f>
        <v/>
      </c>
      <c r="MB18" s="9">
        <f>MB16-MB17</f>
        <v/>
      </c>
      <c r="MC18" s="9">
        <f>MC16-MC17</f>
        <v/>
      </c>
      <c r="MD18" s="9">
        <f>MD16-MD17</f>
        <v/>
      </c>
      <c r="ME18" s="9">
        <f>ME16-ME17</f>
        <v/>
      </c>
      <c r="MF18" s="9">
        <f>MF16-MF17</f>
        <v/>
      </c>
      <c r="MG18" s="9">
        <f>MG16-MG17</f>
        <v/>
      </c>
      <c r="MH18" s="9">
        <f>MH16-MH17</f>
        <v/>
      </c>
      <c r="MI18" s="9">
        <f>MI16-MI17</f>
        <v/>
      </c>
      <c r="MJ18" s="9">
        <f>MJ16-MJ17</f>
        <v/>
      </c>
      <c r="MK18" s="144">
        <f>MK6+MK9+MK12+MK15-MK17</f>
        <v/>
      </c>
      <c r="ML18" s="9">
        <f>ML16-ML17</f>
        <v/>
      </c>
      <c r="MM18" s="9">
        <f>MM16-MM17</f>
        <v/>
      </c>
      <c r="MN18" s="9">
        <f>MN16-MN17</f>
        <v/>
      </c>
      <c r="MO18" s="9">
        <f>MO16-MO17</f>
        <v/>
      </c>
      <c r="MP18" s="9">
        <f>MP16-MP17</f>
        <v/>
      </c>
      <c r="MQ18" s="9">
        <f>MQ16-MQ17</f>
        <v/>
      </c>
      <c r="MR18" s="9">
        <f>MR16-MR17</f>
        <v/>
      </c>
      <c r="MS18" s="9">
        <f>MS16-MS17</f>
        <v/>
      </c>
      <c r="MT18" s="9">
        <f>MT16-MT17</f>
        <v/>
      </c>
      <c r="MU18" s="9">
        <f>MU16-MU17</f>
        <v/>
      </c>
      <c r="MV18" s="9">
        <f>MV16-MV17</f>
        <v/>
      </c>
      <c r="MW18" s="9">
        <f>MW16-MW17</f>
        <v/>
      </c>
      <c r="MX18" s="9">
        <f>MX16-MX17</f>
        <v/>
      </c>
      <c r="MY18" s="9">
        <f>MY16-MY17</f>
        <v/>
      </c>
      <c r="MZ18" s="9">
        <f>MZ16-MZ17</f>
        <v/>
      </c>
      <c r="NA18" s="9">
        <f>NA16-NA17</f>
        <v/>
      </c>
      <c r="NB18" s="9">
        <f>NB16-NB17</f>
        <v/>
      </c>
      <c r="NC18" s="9">
        <f>NC16-NC17</f>
        <v/>
      </c>
      <c r="ND18" s="9">
        <f>ND16-ND17</f>
        <v/>
      </c>
      <c r="NE18" s="9">
        <f>NE16-NE17</f>
        <v/>
      </c>
      <c r="NF18" s="9">
        <f>NF16-NF17</f>
        <v/>
      </c>
      <c r="NG18" s="9">
        <f>NG16-NG17</f>
        <v/>
      </c>
      <c r="NH18" s="9">
        <f>NH16-NH17</f>
        <v/>
      </c>
      <c r="NI18" s="9">
        <f>NI16-NI17</f>
        <v/>
      </c>
      <c r="NJ18" s="9">
        <f>NJ16-NJ17</f>
        <v/>
      </c>
      <c r="NK18" s="9">
        <f>NK16-NK17</f>
        <v/>
      </c>
      <c r="NL18" s="9">
        <f>NL16-NL17</f>
        <v/>
      </c>
      <c r="NM18" s="9">
        <f>NM16-NM17</f>
        <v/>
      </c>
      <c r="NN18" s="9">
        <f>NN16-NN17</f>
        <v/>
      </c>
      <c r="NO18" s="9">
        <f>NO16-NO17</f>
        <v/>
      </c>
      <c r="NP18" s="9">
        <f>NP16-NP17</f>
        <v/>
      </c>
      <c r="NQ18" s="144">
        <f>NQ6+NQ9+NQ12+NQ15-NQ17</f>
        <v/>
      </c>
      <c r="NR18" s="9">
        <f>NR16-NR17</f>
        <v/>
      </c>
      <c r="NS18" s="9">
        <f>NS16-NS17</f>
        <v/>
      </c>
      <c r="NT18" s="9">
        <f>NT16-NT17</f>
        <v/>
      </c>
      <c r="NU18" s="9">
        <f>NU16-NU17</f>
        <v/>
      </c>
      <c r="NV18" s="9">
        <f>NV16-NV17</f>
        <v/>
      </c>
      <c r="NW18" s="9">
        <f>NW16-NW17</f>
        <v/>
      </c>
      <c r="NX18" s="9">
        <f>NX16-NX17</f>
        <v/>
      </c>
      <c r="NY18" s="9">
        <f>NY16-NY17</f>
        <v/>
      </c>
      <c r="NZ18" s="9">
        <f>NZ16-NZ17</f>
        <v/>
      </c>
      <c r="OA18" s="9">
        <f>OA16-OA17</f>
        <v/>
      </c>
      <c r="OB18" s="9">
        <f>OB16-OB17</f>
        <v/>
      </c>
      <c r="OC18" s="9">
        <f>OC16-OC17</f>
        <v/>
      </c>
      <c r="OD18" s="9">
        <f>OD16-OD17</f>
        <v/>
      </c>
      <c r="OE18" s="9">
        <f>OE16-OE17</f>
        <v/>
      </c>
      <c r="OF18" s="9">
        <f>OF16-OF17</f>
        <v/>
      </c>
      <c r="OG18" s="9">
        <f>OG16-OG17</f>
        <v/>
      </c>
      <c r="OH18" s="9">
        <f>OH16-OH17</f>
        <v/>
      </c>
      <c r="OI18" s="9">
        <f>OI16-OI17</f>
        <v/>
      </c>
      <c r="OJ18" s="9">
        <f>OJ16-OJ17</f>
        <v/>
      </c>
      <c r="OK18" s="9">
        <f>OK16-OK17</f>
        <v/>
      </c>
      <c r="OL18" s="9">
        <f>OL16-OL17</f>
        <v/>
      </c>
      <c r="OM18" s="9">
        <f>OM16-OM17</f>
        <v/>
      </c>
      <c r="ON18" s="9">
        <f>ON16-ON17</f>
        <v/>
      </c>
      <c r="OO18" s="9">
        <f>OO16-OO17</f>
        <v/>
      </c>
      <c r="OP18" s="9">
        <f>OP16-OP17</f>
        <v/>
      </c>
      <c r="OQ18" s="9">
        <f>OQ16-OQ17</f>
        <v/>
      </c>
      <c r="OR18" s="9">
        <f>OR16-OR17</f>
        <v/>
      </c>
      <c r="OS18" s="9">
        <f>OS16-OS17</f>
        <v/>
      </c>
      <c r="OT18" s="9">
        <f>OT16-OT17</f>
        <v/>
      </c>
      <c r="OU18" s="9">
        <f>OU16-OU17</f>
        <v/>
      </c>
      <c r="OV18" s="9">
        <f>OV16-OV17</f>
        <v/>
      </c>
      <c r="OW18" s="144">
        <f>OW6+OW9+OW12+OW15-OW17</f>
        <v/>
      </c>
      <c r="OX18" s="9">
        <f>OX16-OX17</f>
        <v/>
      </c>
      <c r="OY18" s="9">
        <f>OY16-OY17</f>
        <v/>
      </c>
      <c r="OZ18" s="9">
        <f>OZ16-OZ17</f>
        <v/>
      </c>
      <c r="PA18" s="9">
        <f>PA16-PA17</f>
        <v/>
      </c>
      <c r="PB18" s="9">
        <f>PB16-PB17</f>
        <v/>
      </c>
      <c r="PC18" s="9">
        <f>PC16-PC17</f>
        <v/>
      </c>
      <c r="PD18" s="9">
        <f>PD16-PD17</f>
        <v/>
      </c>
      <c r="PE18" s="9">
        <f>PE16-PE17</f>
        <v/>
      </c>
      <c r="PF18" s="9">
        <f>PF16-PF17</f>
        <v/>
      </c>
      <c r="PG18" s="9">
        <f>PG16-PG17</f>
        <v/>
      </c>
      <c r="PH18" s="9">
        <f>PH16-PH17</f>
        <v/>
      </c>
      <c r="PI18" s="9">
        <f>PI16-PI17</f>
        <v/>
      </c>
      <c r="PJ18" s="9">
        <f>PJ16-PJ17</f>
        <v/>
      </c>
      <c r="PK18" s="9">
        <f>PK16-PK17</f>
        <v/>
      </c>
      <c r="PL18" s="9">
        <f>PL16-PL17</f>
        <v/>
      </c>
      <c r="PM18" s="9">
        <f>PM16-PM17</f>
        <v/>
      </c>
      <c r="PN18" s="9">
        <f>PN16-PN17</f>
        <v/>
      </c>
      <c r="PO18" s="9">
        <f>PO16-PO17</f>
        <v/>
      </c>
      <c r="PP18" s="9">
        <f>PP16-PP17</f>
        <v/>
      </c>
      <c r="PQ18" s="9">
        <f>PQ16-PQ17</f>
        <v/>
      </c>
      <c r="PR18" s="9">
        <f>PR16-PR17</f>
        <v/>
      </c>
      <c r="PS18" s="9">
        <f>PS16-PS17</f>
        <v/>
      </c>
      <c r="PT18" s="9">
        <f>PT16-PT17</f>
        <v/>
      </c>
      <c r="PU18" s="9">
        <f>PU16-PU17</f>
        <v/>
      </c>
      <c r="PV18" s="9">
        <f>PV16-PV17</f>
        <v/>
      </c>
      <c r="PW18" s="9">
        <f>PW16-PW17</f>
        <v/>
      </c>
      <c r="PX18" s="9">
        <f>PX16-PX17</f>
        <v/>
      </c>
      <c r="PY18" s="9">
        <f>PY16-PY17</f>
        <v/>
      </c>
      <c r="PZ18" s="9">
        <f>PZ16-PZ17</f>
        <v/>
      </c>
      <c r="QA18" s="9">
        <f>QA16-QA17</f>
        <v/>
      </c>
      <c r="QB18" s="144">
        <f>QB6+QB9+QB12+QB15-QB17</f>
        <v/>
      </c>
      <c r="QC18" s="9">
        <f>QC16-QC17</f>
        <v/>
      </c>
      <c r="QD18" s="9">
        <f>QD16-QD17</f>
        <v/>
      </c>
      <c r="QE18" s="9">
        <f>QE16-QE17</f>
        <v/>
      </c>
      <c r="QF18" s="9">
        <f>QF16-QF17</f>
        <v/>
      </c>
      <c r="QG18" s="9">
        <f>QG16-QG17</f>
        <v/>
      </c>
      <c r="QH18" s="9">
        <f>QH16-QH17</f>
        <v/>
      </c>
      <c r="QI18" s="9">
        <f>QI16-QI17</f>
        <v/>
      </c>
      <c r="QJ18" s="9">
        <f>QJ16-QJ17</f>
        <v/>
      </c>
      <c r="QK18" s="9">
        <f>QK16-QK17</f>
        <v/>
      </c>
      <c r="QL18" s="9">
        <f>QL16-QL17</f>
        <v/>
      </c>
      <c r="QM18" s="9">
        <f>QM16-QM17</f>
        <v/>
      </c>
      <c r="QN18" s="9">
        <f>QN16-QN17</f>
        <v/>
      </c>
      <c r="QO18" s="9">
        <f>QO16-QO17</f>
        <v/>
      </c>
      <c r="QP18" s="9">
        <f>QP16-QP17</f>
        <v/>
      </c>
      <c r="QQ18" s="9">
        <f>QQ16-QQ17</f>
        <v/>
      </c>
      <c r="QR18" s="9">
        <f>QR16-QR17</f>
        <v/>
      </c>
      <c r="QS18" s="9">
        <f>QS16-QS17</f>
        <v/>
      </c>
      <c r="QT18" s="9">
        <f>QT16-QT17</f>
        <v/>
      </c>
      <c r="QU18" s="9">
        <f>QU16-QU17</f>
        <v/>
      </c>
      <c r="QV18" s="9">
        <f>QV16-QV17</f>
        <v/>
      </c>
      <c r="QW18" s="9">
        <f>QW16-QW17</f>
        <v/>
      </c>
      <c r="QX18" s="9">
        <f>QX16-QX17</f>
        <v/>
      </c>
      <c r="QY18" s="9">
        <f>QY16-QY17</f>
        <v/>
      </c>
      <c r="QZ18" s="9">
        <f>QZ16-QZ17</f>
        <v/>
      </c>
      <c r="RA18" s="9">
        <f>RA16-RA17</f>
        <v/>
      </c>
      <c r="RB18" s="9">
        <f>RB16-RB17</f>
        <v/>
      </c>
      <c r="RC18" s="9">
        <f>RC16-RC17</f>
        <v/>
      </c>
      <c r="RD18" s="9">
        <f>RD16-RD17</f>
        <v/>
      </c>
      <c r="RE18" s="9">
        <f>RE16-RE17</f>
        <v/>
      </c>
      <c r="RF18" s="9">
        <f>RF16-RF17</f>
        <v/>
      </c>
      <c r="RG18" s="9">
        <f>RG16-RG17</f>
        <v/>
      </c>
      <c r="RH18" s="144">
        <f>RH6+RH9+RH12+RH15-RH17</f>
        <v/>
      </c>
      <c r="RI18" s="9">
        <f>RI16-RI17</f>
        <v/>
      </c>
      <c r="RJ18" s="9">
        <f>RJ16-RJ17</f>
        <v/>
      </c>
      <c r="RK18" s="9">
        <f>RK16-RK17</f>
        <v/>
      </c>
      <c r="RL18" s="9">
        <f>RL16-RL17</f>
        <v/>
      </c>
      <c r="RM18" s="9">
        <f>RM16-RM17</f>
        <v/>
      </c>
      <c r="RN18" s="9">
        <f>RN16-RN17</f>
        <v/>
      </c>
      <c r="RO18" s="9">
        <f>RO16-RO17</f>
        <v/>
      </c>
      <c r="RP18" s="9">
        <f>RP16-RP17</f>
        <v/>
      </c>
      <c r="RQ18" s="9">
        <f>RQ16-RQ17</f>
        <v/>
      </c>
      <c r="RR18" s="9">
        <f>RR16-RR17</f>
        <v/>
      </c>
      <c r="RS18" s="9">
        <f>RS16-RS17</f>
        <v/>
      </c>
      <c r="RT18" s="9">
        <f>RT16-RT17</f>
        <v/>
      </c>
      <c r="RU18" s="9">
        <f>RU16-RU17</f>
        <v/>
      </c>
      <c r="RV18" s="9">
        <f>RV16-RV17</f>
        <v/>
      </c>
      <c r="RW18" s="9">
        <f>RW16-RW17</f>
        <v/>
      </c>
      <c r="RX18" s="9">
        <f>RX16-RX17</f>
        <v/>
      </c>
      <c r="RY18" s="9">
        <f>RY16-RY17</f>
        <v/>
      </c>
      <c r="RZ18" s="9">
        <f>RZ16-RZ17</f>
        <v/>
      </c>
      <c r="SA18" s="9">
        <f>SA16-SA17</f>
        <v/>
      </c>
      <c r="SB18" s="9">
        <f>SB16-SB17</f>
        <v/>
      </c>
      <c r="SC18" s="9">
        <f>SC16-SC17</f>
        <v/>
      </c>
      <c r="SD18" s="9">
        <f>SD16-SD17</f>
        <v/>
      </c>
      <c r="SE18" s="9">
        <f>SE16-SE17</f>
        <v/>
      </c>
      <c r="SF18" s="9">
        <f>SF16-SF17</f>
        <v/>
      </c>
      <c r="SG18" s="9">
        <f>SG16-SG17</f>
        <v/>
      </c>
      <c r="SH18" s="9">
        <f>SH16-SH17</f>
        <v/>
      </c>
      <c r="SI18" s="9">
        <f>SI16-SI17</f>
        <v/>
      </c>
      <c r="SJ18" s="9">
        <f>SJ16-SJ17</f>
        <v/>
      </c>
      <c r="SK18" s="9">
        <f>SK16-SK17</f>
        <v/>
      </c>
      <c r="SL18" s="9">
        <f>SL16-SL17</f>
        <v/>
      </c>
      <c r="SM18" s="144">
        <f>SM6+SM9+SM12+SM15-SM17</f>
        <v/>
      </c>
      <c r="SN18" s="9">
        <f>SN16-SN17</f>
        <v/>
      </c>
      <c r="SO18" s="9">
        <f>SO16-SO17</f>
        <v/>
      </c>
      <c r="SP18" s="9">
        <f>SP16-SP17</f>
        <v/>
      </c>
      <c r="SQ18" s="9">
        <f>SQ16-SQ17</f>
        <v/>
      </c>
      <c r="SR18" s="9">
        <f>SR16-SR17</f>
        <v/>
      </c>
      <c r="SS18" s="9">
        <f>SS16-SS17</f>
        <v/>
      </c>
      <c r="ST18" s="9">
        <f>ST16-ST17</f>
        <v/>
      </c>
      <c r="SU18" s="9">
        <f>SU16-SU17</f>
        <v/>
      </c>
      <c r="SV18" s="9">
        <f>SV16-SV17</f>
        <v/>
      </c>
      <c r="SW18" s="9">
        <f>SW16-SW17</f>
        <v/>
      </c>
      <c r="SX18" s="9">
        <f>SX16-SX17</f>
        <v/>
      </c>
      <c r="SY18" s="9">
        <f>SY16-SY17</f>
        <v/>
      </c>
      <c r="SZ18" s="9">
        <f>SZ16-SZ17</f>
        <v/>
      </c>
      <c r="TA18" s="9">
        <f>TA16-TA17</f>
        <v/>
      </c>
      <c r="TB18" s="9">
        <f>TB16-TB17</f>
        <v/>
      </c>
      <c r="TC18" s="9">
        <f>TC16-TC17</f>
        <v/>
      </c>
      <c r="TD18" s="9">
        <f>TD16-TD17</f>
        <v/>
      </c>
      <c r="TE18" s="9">
        <f>TE16-TE17</f>
        <v/>
      </c>
      <c r="TF18" s="9">
        <f>TF16-TF17</f>
        <v/>
      </c>
      <c r="TG18" s="9">
        <f>TG16-TG17</f>
        <v/>
      </c>
      <c r="TH18" s="9">
        <f>TH16-TH17</f>
        <v/>
      </c>
      <c r="TI18" s="9">
        <f>TI16-TI17</f>
        <v/>
      </c>
      <c r="TJ18" s="9">
        <f>TJ16-TJ17</f>
        <v/>
      </c>
      <c r="TK18" s="9">
        <f>TK16-TK17</f>
        <v/>
      </c>
      <c r="TL18" s="9">
        <f>TL16-TL17</f>
        <v/>
      </c>
      <c r="TM18" s="9">
        <f>TM16-TM17</f>
        <v/>
      </c>
      <c r="TN18" s="9">
        <f>TN16-TN17</f>
        <v/>
      </c>
      <c r="TO18" s="9">
        <f>TO16-TO17</f>
        <v/>
      </c>
      <c r="TP18" s="9">
        <f>TP16-TP17</f>
        <v/>
      </c>
      <c r="TQ18" s="9">
        <f>TQ16-TQ17</f>
        <v/>
      </c>
      <c r="TR18" s="9">
        <f>TR16-TR17</f>
        <v/>
      </c>
      <c r="TS18" s="144">
        <f>TS6+TS9+TS12+TS15-TS17</f>
        <v/>
      </c>
      <c r="TT18" s="9">
        <f>TT16-TT17</f>
        <v/>
      </c>
      <c r="TU18" s="9">
        <f>TU16-TU17</f>
        <v/>
      </c>
      <c r="TV18" s="9">
        <f>TV16-TV17</f>
        <v/>
      </c>
      <c r="TW18" s="9">
        <f>TW16-TW17</f>
        <v/>
      </c>
      <c r="TX18" s="9">
        <f>TX16-TX17</f>
        <v/>
      </c>
      <c r="TY18" s="9">
        <f>TY16-TY17</f>
        <v/>
      </c>
      <c r="TZ18" s="9">
        <f>TZ16-TZ17</f>
        <v/>
      </c>
      <c r="UA18" s="9">
        <f>UA16-UA17</f>
        <v/>
      </c>
      <c r="UB18" s="9">
        <f>UB16-UB17</f>
        <v/>
      </c>
      <c r="UC18" s="9">
        <f>UC16-UC17</f>
        <v/>
      </c>
      <c r="UD18" s="9">
        <f>UD16-UD17</f>
        <v/>
      </c>
      <c r="UE18" s="9">
        <f>UE16-UE17</f>
        <v/>
      </c>
      <c r="UF18" s="9">
        <f>UF16-UF17</f>
        <v/>
      </c>
      <c r="UG18" s="9">
        <f>UG16-UG17</f>
        <v/>
      </c>
      <c r="UH18" s="9">
        <f>UH16-UH17</f>
        <v/>
      </c>
      <c r="UI18" s="9">
        <f>UI16-UI17</f>
        <v/>
      </c>
      <c r="UJ18" s="9">
        <f>UJ16-UJ17</f>
        <v/>
      </c>
      <c r="UK18" s="9">
        <f>UK16-UK17</f>
        <v/>
      </c>
      <c r="UL18" s="9">
        <f>UL16-UL17</f>
        <v/>
      </c>
      <c r="UM18" s="9">
        <f>UM16-UM17</f>
        <v/>
      </c>
      <c r="UN18" s="9">
        <f>UN16-UN17</f>
        <v/>
      </c>
      <c r="UO18" s="9">
        <f>UO16-UO17</f>
        <v/>
      </c>
      <c r="UP18" s="9">
        <f>UP16-UP17</f>
        <v/>
      </c>
      <c r="UQ18" s="9">
        <f>UQ16-UQ17</f>
        <v/>
      </c>
      <c r="UR18" s="9">
        <f>UR16-UR17</f>
        <v/>
      </c>
      <c r="US18" s="9">
        <f>US16-US17</f>
        <v/>
      </c>
      <c r="UT18" s="9">
        <f>UT16-UT17</f>
        <v/>
      </c>
      <c r="UU18" s="9">
        <f>UU16-UU17</f>
        <v/>
      </c>
      <c r="UV18" s="9">
        <f>UV16-UV17</f>
        <v/>
      </c>
      <c r="UW18" s="9">
        <f>UW16-UW17</f>
        <v/>
      </c>
      <c r="UX18" s="9">
        <f>UX16-UX17</f>
        <v/>
      </c>
      <c r="UY18" s="144">
        <f>UY6+UY9+UY12+UY15-UY17</f>
        <v/>
      </c>
      <c r="UZ18" s="9">
        <f>UZ16-UZ17</f>
        <v/>
      </c>
      <c r="VA18" s="9">
        <f>VA16-VA17</f>
        <v/>
      </c>
      <c r="VB18" s="9">
        <f>VB16-VB17</f>
        <v/>
      </c>
      <c r="VC18" s="9">
        <f>VC16-VC17</f>
        <v/>
      </c>
      <c r="VD18" s="9">
        <f>VD16-VD17</f>
        <v/>
      </c>
      <c r="VE18" s="9">
        <f>VE16-VE17</f>
        <v/>
      </c>
      <c r="VF18" s="9">
        <f>VF16-VF17</f>
        <v/>
      </c>
      <c r="VG18" s="9">
        <f>VG16-VG17</f>
        <v/>
      </c>
      <c r="VH18" s="9">
        <f>VH16-VH17</f>
        <v/>
      </c>
      <c r="VI18" s="9">
        <f>VI16-VI17</f>
        <v/>
      </c>
      <c r="VJ18" s="9">
        <f>VJ16-VJ17</f>
        <v/>
      </c>
      <c r="VK18" s="9">
        <f>VK16-VK17</f>
        <v/>
      </c>
      <c r="VL18" s="9">
        <f>VL16-VL17</f>
        <v/>
      </c>
      <c r="VM18" s="9">
        <f>VM16-VM17</f>
        <v/>
      </c>
      <c r="VN18" s="9">
        <f>VN16-VN17</f>
        <v/>
      </c>
      <c r="VO18" s="9">
        <f>VO16-VO17</f>
        <v/>
      </c>
      <c r="VP18" s="9">
        <f>VP16-VP17</f>
        <v/>
      </c>
      <c r="VQ18" s="9">
        <f>VQ16-VQ17</f>
        <v/>
      </c>
      <c r="VR18" s="9">
        <f>VR16-VR17</f>
        <v/>
      </c>
      <c r="VS18" s="9">
        <f>VS16-VS17</f>
        <v/>
      </c>
      <c r="VT18" s="9">
        <f>VT16-VT17</f>
        <v/>
      </c>
      <c r="VU18" s="9">
        <f>VU16-VU17</f>
        <v/>
      </c>
      <c r="VV18" s="9">
        <f>VV16-VV17</f>
        <v/>
      </c>
      <c r="VW18" s="9">
        <f>VW16-VW17</f>
        <v/>
      </c>
      <c r="VX18" s="9">
        <f>VX16-VX17</f>
        <v/>
      </c>
      <c r="VY18" s="9">
        <f>VY16-VY17</f>
        <v/>
      </c>
      <c r="VZ18" s="9">
        <f>VZ16-VZ17</f>
        <v/>
      </c>
      <c r="WA18" s="9">
        <f>WA16-WA17</f>
        <v/>
      </c>
      <c r="WB18" s="144">
        <f>WB6+WB9+WB12+WB15-WB17</f>
        <v/>
      </c>
      <c r="WC18" s="9">
        <f>WC16-WC17</f>
        <v/>
      </c>
      <c r="WD18" s="9">
        <f>WD16-WD17</f>
        <v/>
      </c>
      <c r="WE18" s="9">
        <f>WE16-WE17</f>
        <v/>
      </c>
      <c r="WF18" s="9">
        <f>WF16-WF17</f>
        <v/>
      </c>
      <c r="WG18" s="9">
        <f>WG16-WG17</f>
        <v/>
      </c>
      <c r="WH18" s="9">
        <f>WH16-WH17</f>
        <v/>
      </c>
      <c r="WI18" s="9">
        <f>WI16-WI17</f>
        <v/>
      </c>
      <c r="WJ18" s="9">
        <f>WJ16-WJ17</f>
        <v/>
      </c>
      <c r="WK18" s="9">
        <f>WK16-WK17</f>
        <v/>
      </c>
      <c r="WL18" s="9">
        <f>WL16-WL17</f>
        <v/>
      </c>
      <c r="WM18" s="9">
        <f>WM16-WM17</f>
        <v/>
      </c>
      <c r="WN18" s="9">
        <f>WN16-WN17</f>
        <v/>
      </c>
      <c r="WO18" s="9">
        <f>WO16-WO17</f>
        <v/>
      </c>
      <c r="WP18" s="9">
        <f>WP16-WP17</f>
        <v/>
      </c>
      <c r="WQ18" s="9">
        <f>WQ16-WQ17</f>
        <v/>
      </c>
      <c r="WR18" s="9">
        <f>WR16-WR17</f>
        <v/>
      </c>
      <c r="WS18" s="9">
        <f>WS16-WS17</f>
        <v/>
      </c>
      <c r="WT18" s="9">
        <f>WT16-WT17</f>
        <v/>
      </c>
      <c r="WU18" s="9">
        <f>WU16-WU17</f>
        <v/>
      </c>
      <c r="WV18" s="9">
        <f>WV16-WV17</f>
        <v/>
      </c>
      <c r="WW18" s="9">
        <f>WW16-WW17</f>
        <v/>
      </c>
      <c r="WX18" s="9">
        <f>WX16-WX17</f>
        <v/>
      </c>
      <c r="WY18" s="9">
        <f>WY16-WY17</f>
        <v/>
      </c>
      <c r="WZ18" s="9">
        <f>WZ16-WZ17</f>
        <v/>
      </c>
      <c r="XA18" s="9">
        <f>XA16-XA17</f>
        <v/>
      </c>
      <c r="XB18" s="9">
        <f>XB16-XB17</f>
        <v/>
      </c>
      <c r="XC18" s="9">
        <f>XC16-XC17</f>
        <v/>
      </c>
      <c r="XD18" s="9">
        <f>XD16-XD17</f>
        <v/>
      </c>
      <c r="XE18" s="9">
        <f>XE16-XE17</f>
        <v/>
      </c>
      <c r="XF18" s="9">
        <f>XF16-XF17</f>
        <v/>
      </c>
      <c r="XG18" s="9">
        <f>XG16-XG17</f>
        <v/>
      </c>
      <c r="XH18" s="127">
        <f>SUM(WC18:XG18)</f>
        <v/>
      </c>
      <c r="XI18" s="9">
        <f>XI16-XI17</f>
        <v/>
      </c>
      <c r="XJ18" s="9">
        <f>XJ16-XJ17</f>
        <v/>
      </c>
      <c r="XK18" s="9">
        <f>XK16-XK17</f>
        <v/>
      </c>
      <c r="XL18" s="9">
        <f>XL16-XL17</f>
        <v/>
      </c>
      <c r="XM18" s="9">
        <f>XM16-XM17</f>
        <v/>
      </c>
      <c r="XN18" s="9">
        <f>XN16-XN17</f>
        <v/>
      </c>
      <c r="XO18" s="9">
        <f>XO16-XO17</f>
        <v/>
      </c>
      <c r="XP18" s="9">
        <f>XP16-XP17</f>
        <v/>
      </c>
      <c r="XQ18" s="9">
        <f>XQ16-XQ17</f>
        <v/>
      </c>
      <c r="XR18" s="9">
        <f>XR16-XR17</f>
        <v/>
      </c>
      <c r="XS18" s="9">
        <f>XS16-XS17</f>
        <v/>
      </c>
      <c r="XT18" s="9">
        <f>XT16-XT17</f>
        <v/>
      </c>
      <c r="XU18" s="9">
        <f>XU16-XU17</f>
        <v/>
      </c>
      <c r="XV18" s="9">
        <f>XV16-XV17</f>
        <v/>
      </c>
      <c r="XW18" s="9">
        <f>XW16-XW17</f>
        <v/>
      </c>
      <c r="XX18" s="9">
        <f>XX16-XX17</f>
        <v/>
      </c>
      <c r="XY18" s="9">
        <f>XY16-XY17</f>
        <v/>
      </c>
      <c r="XZ18" s="9">
        <f>XZ16-XZ17</f>
        <v/>
      </c>
      <c r="YA18" s="9">
        <f>YA16-YA17</f>
        <v/>
      </c>
      <c r="YB18" s="9">
        <f>YB16-YB17</f>
        <v/>
      </c>
      <c r="YC18" s="9">
        <f>YC16-YC17</f>
        <v/>
      </c>
      <c r="YD18" s="9">
        <f>YD16-YD17</f>
        <v/>
      </c>
      <c r="YE18" s="9">
        <f>YE16-YE17</f>
        <v/>
      </c>
      <c r="YF18" s="9">
        <f>YF16-YF17</f>
        <v/>
      </c>
      <c r="YG18" s="9">
        <f>YG16-YG17</f>
        <v/>
      </c>
      <c r="YH18" s="9">
        <f>YH16-YH17</f>
        <v/>
      </c>
      <c r="YI18" s="9">
        <f>YI16-YI17</f>
        <v/>
      </c>
      <c r="YJ18" s="9">
        <f>YJ16-YJ17</f>
        <v/>
      </c>
      <c r="YK18" s="9">
        <f>YK16-YK17</f>
        <v/>
      </c>
      <c r="YL18" s="9">
        <f>YL16-YL17</f>
        <v/>
      </c>
      <c r="YM18" s="127">
        <f>SUM(XH18:YL18)</f>
        <v/>
      </c>
      <c r="YN18" s="9">
        <f>YN16-YN17</f>
        <v/>
      </c>
      <c r="YO18" s="9">
        <f>YO16-YO17</f>
        <v/>
      </c>
      <c r="YP18" s="9">
        <f>YP16-YP17</f>
        <v/>
      </c>
      <c r="YQ18" s="9">
        <f>YQ16-YQ17</f>
        <v/>
      </c>
      <c r="YR18" s="9">
        <f>YR16-YR17</f>
        <v/>
      </c>
      <c r="YS18" s="9">
        <f>YS16-YS17</f>
        <v/>
      </c>
      <c r="YT18" s="9">
        <f>YT16-YT17</f>
        <v/>
      </c>
      <c r="YU18" s="9">
        <f>YU16-YU17</f>
        <v/>
      </c>
      <c r="YV18" s="9">
        <f>YV16-YV17</f>
        <v/>
      </c>
      <c r="YW18" s="9">
        <f>YW16-YW17</f>
        <v/>
      </c>
      <c r="YX18" s="9">
        <f>YX16-YX17</f>
        <v/>
      </c>
      <c r="YY18" s="9">
        <f>YY16-YY17</f>
        <v/>
      </c>
      <c r="YZ18" s="9">
        <f>YZ16-YZ17</f>
        <v/>
      </c>
      <c r="ZA18" s="9">
        <f>ZA16-ZA17</f>
        <v/>
      </c>
      <c r="ZB18" s="9">
        <f>ZB16-ZB17</f>
        <v/>
      </c>
      <c r="ZC18" s="9">
        <f>ZC16-ZC17</f>
        <v/>
      </c>
      <c r="ZD18" s="9">
        <f>ZD16-ZD17</f>
        <v/>
      </c>
      <c r="ZE18" s="9">
        <f>ZE16-ZE17</f>
        <v/>
      </c>
      <c r="ZF18" s="9">
        <f>ZF16-ZF17</f>
        <v/>
      </c>
      <c r="ZG18" s="9">
        <f>ZG16-ZG17</f>
        <v/>
      </c>
      <c r="ZH18" s="9">
        <f>ZH16-ZH17</f>
        <v/>
      </c>
      <c r="ZI18" s="9">
        <f>ZI16-ZI17</f>
        <v/>
      </c>
      <c r="ZJ18" s="9">
        <f>ZJ16-ZJ17</f>
        <v/>
      </c>
      <c r="ZK18" s="9">
        <f>ZK16-ZK17</f>
        <v/>
      </c>
      <c r="ZL18" s="9">
        <f>ZL16-ZL17</f>
        <v/>
      </c>
      <c r="ZM18" s="9">
        <f>ZM16-ZM17</f>
        <v/>
      </c>
      <c r="ZN18" s="9">
        <f>ZN16-ZN17</f>
        <v/>
      </c>
      <c r="ZO18" s="9">
        <f>ZO16-ZO17</f>
        <v/>
      </c>
      <c r="ZP18" s="9">
        <f>ZP16-ZP17</f>
        <v/>
      </c>
      <c r="ZQ18" s="9">
        <f>ZQ16-ZQ17</f>
        <v/>
      </c>
      <c r="ZR18" s="9">
        <f>ZR16-ZR17</f>
        <v/>
      </c>
      <c r="ZS18" s="127">
        <f>SUM(YN18:ZR18)</f>
        <v/>
      </c>
      <c r="ZT18" s="9">
        <f>ZT16-ZT17</f>
        <v/>
      </c>
      <c r="ZU18" s="9">
        <f>ZU16-ZU17</f>
        <v/>
      </c>
      <c r="ZV18" s="9">
        <f>ZV16-ZV17</f>
        <v/>
      </c>
      <c r="ZW18" s="9">
        <f>ZW16-ZW17</f>
        <v/>
      </c>
      <c r="ZX18" s="9">
        <f>ZX16-ZX17</f>
        <v/>
      </c>
      <c r="ZY18" s="9">
        <f>ZY16-ZY17</f>
        <v/>
      </c>
      <c r="ZZ18" s="9">
        <f>ZZ16-ZZ17</f>
        <v/>
      </c>
      <c r="AAA18" s="9">
        <f>AAA16-AAA17</f>
        <v/>
      </c>
      <c r="AAB18" s="9">
        <f>AAB16-AAB17</f>
        <v/>
      </c>
      <c r="AAC18" s="9">
        <f>AAC16-AAC17</f>
        <v/>
      </c>
      <c r="AAD18" s="9">
        <f>AAD16-AAD17</f>
        <v/>
      </c>
      <c r="AAE18" s="9">
        <f>AAE16-AAE17</f>
        <v/>
      </c>
      <c r="AAF18" s="9">
        <f>AAF16-AAF17</f>
        <v/>
      </c>
      <c r="AAG18" s="9">
        <f>AAG16-AAG17</f>
        <v/>
      </c>
      <c r="AAH18" s="9">
        <f>AAH16-AAH17</f>
        <v/>
      </c>
      <c r="AAI18" s="9">
        <f>AAI16-AAI17</f>
        <v/>
      </c>
      <c r="AAJ18" s="9">
        <f>AAJ16-AAJ17</f>
        <v/>
      </c>
      <c r="AAK18" s="9">
        <f>AAK16-AAK17</f>
        <v/>
      </c>
      <c r="AAL18" s="9">
        <f>AAL16-AAL17</f>
        <v/>
      </c>
      <c r="AAM18" s="9">
        <f>AAM16-AAM17</f>
        <v/>
      </c>
      <c r="AAN18" s="9">
        <f>AAN16-AAN17</f>
        <v/>
      </c>
      <c r="AAO18" s="9">
        <f>AAO16-AAO17</f>
        <v/>
      </c>
      <c r="AAP18" s="9">
        <f>AAP16-AAP17</f>
        <v/>
      </c>
      <c r="AAQ18" s="9">
        <f>AAQ16-AAQ17</f>
        <v/>
      </c>
      <c r="AAR18" s="9">
        <f>AAR16-AAR17</f>
        <v/>
      </c>
      <c r="AAS18" s="9">
        <f>AAS16-AAS17</f>
        <v/>
      </c>
      <c r="AAT18" s="9">
        <f>AAT16-AAT17</f>
        <v/>
      </c>
      <c r="AAU18" s="9">
        <f>AAU16-AAU17</f>
        <v/>
      </c>
      <c r="AAV18" s="9">
        <f>AAV16-AAV17</f>
        <v/>
      </c>
      <c r="AAW18" s="9">
        <f>AAW16-AAW17</f>
        <v/>
      </c>
      <c r="AAX18" s="127">
        <f>SUM(ZT18:AAW18)</f>
        <v/>
      </c>
      <c r="AAY18" s="9">
        <f>AAY16-AAY17</f>
        <v/>
      </c>
      <c r="AAZ18" s="9">
        <f>AAZ16-AAZ17</f>
        <v/>
      </c>
      <c r="ABA18" s="9">
        <f>ABA16-ABA17</f>
        <v/>
      </c>
      <c r="ABB18" s="9">
        <f>ABB16-ABB17</f>
        <v/>
      </c>
      <c r="ABC18" s="9">
        <f>ABC16-ABC17</f>
        <v/>
      </c>
      <c r="ABD18" s="9">
        <f>ABD16-ABD17</f>
        <v/>
      </c>
      <c r="ABE18" s="9">
        <f>ABE16-ABE17</f>
        <v/>
      </c>
      <c r="ABF18" s="9">
        <f>ABF16-ABF17</f>
        <v/>
      </c>
      <c r="ABG18" s="9">
        <f>ABG16-ABG17</f>
        <v/>
      </c>
      <c r="ABH18" s="9">
        <f>ABH16-ABH17</f>
        <v/>
      </c>
      <c r="ABI18" s="9">
        <f>ABI16-ABI17</f>
        <v/>
      </c>
      <c r="ABJ18" s="9">
        <f>ABJ16-ABJ17</f>
        <v/>
      </c>
      <c r="ABK18" s="9">
        <f>ABK16-ABK17</f>
        <v/>
      </c>
      <c r="ABL18" s="9">
        <f>ABL16-ABL17</f>
        <v/>
      </c>
      <c r="ABM18" s="9">
        <f>ABM16-ABM17</f>
        <v/>
      </c>
      <c r="ABN18" s="9">
        <f>ABN16-ABN17</f>
        <v/>
      </c>
      <c r="ABO18" s="9">
        <f>ABO16-ABO17</f>
        <v/>
      </c>
      <c r="ABP18" s="9">
        <f>ABP16-ABP17</f>
        <v/>
      </c>
      <c r="ABQ18" s="9">
        <f>ABQ16-ABQ17</f>
        <v/>
      </c>
      <c r="ABR18" s="9">
        <f>ABR16-ABR17</f>
        <v/>
      </c>
      <c r="ABS18" s="9">
        <f>ABS16-ABS17</f>
        <v/>
      </c>
      <c r="ABT18" s="9">
        <f>ABT16-ABT17</f>
        <v/>
      </c>
      <c r="ABU18" s="9">
        <f>ABU16-ABU17</f>
        <v/>
      </c>
      <c r="ABV18" s="9">
        <f>ABV16-ABV17</f>
        <v/>
      </c>
      <c r="ABW18" s="9">
        <f>ABW16-ABW17</f>
        <v/>
      </c>
      <c r="ABX18" s="9">
        <f>ABX16-ABX17</f>
        <v/>
      </c>
      <c r="ABY18" s="9">
        <f>ABY16-ABY17</f>
        <v/>
      </c>
      <c r="ABZ18" s="9">
        <f>ABZ16-ABZ17</f>
        <v/>
      </c>
      <c r="ACA18" s="9">
        <f>ACA16-ACA17</f>
        <v/>
      </c>
      <c r="ACB18" s="9">
        <f>ACB16-ACB17</f>
        <v/>
      </c>
      <c r="ACC18" s="9">
        <f>ACC16-ACC17</f>
        <v/>
      </c>
      <c r="ACD18" s="127">
        <f>SUM(AAY18:ACC18)</f>
        <v/>
      </c>
      <c r="ACE18" s="9">
        <f>ACE16-ACE17</f>
        <v/>
      </c>
      <c r="ACF18" s="9">
        <f>ACF16-ACF17</f>
        <v/>
      </c>
      <c r="ACG18" s="9">
        <f>ACG16-ACG17</f>
        <v/>
      </c>
      <c r="ACH18" s="9">
        <f>ACH16-ACH17</f>
        <v/>
      </c>
      <c r="ACI18" s="9">
        <f>ACI16-ACI17</f>
        <v/>
      </c>
      <c r="ACJ18" s="9">
        <f>ACJ16-ACJ17</f>
        <v/>
      </c>
      <c r="ACK18" s="9">
        <f>ACK16-ACK17</f>
        <v/>
      </c>
      <c r="ACL18" s="9">
        <f>ACL16-ACL17</f>
        <v/>
      </c>
      <c r="ACM18" s="9">
        <f>ACM16-ACM17</f>
        <v/>
      </c>
      <c r="ACN18" s="9">
        <f>ACN16-ACN17</f>
        <v/>
      </c>
      <c r="ACO18" s="9">
        <f>ACO16-ACO17</f>
        <v/>
      </c>
      <c r="ACP18" s="9">
        <f>ACP16-ACP17</f>
        <v/>
      </c>
      <c r="ACQ18" s="9">
        <f>ACQ16-ACQ17</f>
        <v/>
      </c>
      <c r="ACR18" s="9">
        <f>ACR16-ACR17</f>
        <v/>
      </c>
      <c r="ACS18" s="9">
        <f>ACS16-ACS17</f>
        <v/>
      </c>
      <c r="ACT18" s="9">
        <f>ACT16-ACT17</f>
        <v/>
      </c>
      <c r="ACU18" s="9">
        <f>ACU16-ACU17</f>
        <v/>
      </c>
      <c r="ACV18" s="9">
        <f>ACV16-ACV17</f>
        <v/>
      </c>
      <c r="ACW18" s="9">
        <f>ACW16-ACW17</f>
        <v/>
      </c>
      <c r="ACX18" s="9">
        <f>ACX16-ACX17</f>
        <v/>
      </c>
      <c r="ACY18" s="9">
        <f>ACY16-ACY17</f>
        <v/>
      </c>
      <c r="ACZ18" s="9">
        <f>ACZ16-ACZ17</f>
        <v/>
      </c>
      <c r="ADA18" s="9">
        <f>ADA16-ADA17</f>
        <v/>
      </c>
      <c r="ADB18" s="9">
        <f>ADB16-ADB17</f>
        <v/>
      </c>
      <c r="ADC18" s="9">
        <f>ADC16-ADC17</f>
        <v/>
      </c>
      <c r="ADD18" s="9">
        <f>ADD16-ADD17</f>
        <v/>
      </c>
      <c r="ADE18" s="9">
        <f>ADE16-ADE17</f>
        <v/>
      </c>
      <c r="ADF18" s="9">
        <f>ADF16-ADF17</f>
        <v/>
      </c>
      <c r="ADG18" s="9">
        <f>ADG16-ADG17</f>
        <v/>
      </c>
      <c r="ADH18" s="9">
        <f>ADH16-ADH17</f>
        <v/>
      </c>
      <c r="ADI18" s="9">
        <f>ADI16-ADI17</f>
        <v/>
      </c>
      <c r="ADJ18" s="127">
        <f>SUM(ACE18:ADI18)</f>
        <v/>
      </c>
      <c r="ADK18" s="9">
        <f>ADK16-ADK17</f>
        <v/>
      </c>
      <c r="ADL18" s="9">
        <f>ADL16-ADL17</f>
        <v/>
      </c>
      <c r="ADM18" s="9">
        <f>ADM16-ADM17</f>
        <v/>
      </c>
      <c r="ADN18" s="9">
        <f>ADN16-ADN17</f>
        <v/>
      </c>
      <c r="ADO18" s="9">
        <f>ADO16-ADO17</f>
        <v/>
      </c>
      <c r="ADP18" s="9">
        <f>ADP16-ADP17</f>
        <v/>
      </c>
      <c r="ADQ18" s="9">
        <f>ADQ16-ADQ17</f>
        <v/>
      </c>
      <c r="ADR18" s="9">
        <f>ADR16-ADR17</f>
        <v/>
      </c>
      <c r="ADS18" s="9">
        <f>ADS16-ADS17</f>
        <v/>
      </c>
      <c r="ADT18" s="9">
        <f>ADT16-ADT17</f>
        <v/>
      </c>
      <c r="ADU18" s="9">
        <f>ADU16-ADU17</f>
        <v/>
      </c>
      <c r="ADV18" s="9">
        <f>ADV16-ADV17</f>
        <v/>
      </c>
      <c r="ADW18" s="9">
        <f>ADW16-ADW17</f>
        <v/>
      </c>
      <c r="ADX18" s="9">
        <f>ADX16-ADX17</f>
        <v/>
      </c>
      <c r="ADY18" s="9">
        <f>ADY16-ADY17</f>
        <v/>
      </c>
      <c r="ADZ18" s="9">
        <f>ADZ16-ADZ17</f>
        <v/>
      </c>
      <c r="AEA18" s="9">
        <f>AEA16-AEA17</f>
        <v/>
      </c>
      <c r="AEB18" s="9">
        <f>AEB16-AEB17</f>
        <v/>
      </c>
      <c r="AEC18" s="9">
        <f>AEC16-AEC17</f>
        <v/>
      </c>
      <c r="AED18" s="9">
        <f>AED16-AED17</f>
        <v/>
      </c>
      <c r="AEE18" s="9">
        <f>AEE16-AEE17</f>
        <v/>
      </c>
      <c r="AEF18" s="9">
        <f>AEF16-AEF17</f>
        <v/>
      </c>
      <c r="AEG18" s="9">
        <f>AEG16-AEG17</f>
        <v/>
      </c>
      <c r="AEH18" s="9">
        <f>AEH16-AEH17</f>
        <v/>
      </c>
      <c r="AEI18" s="9">
        <f>AEI16-AEI17</f>
        <v/>
      </c>
      <c r="AEJ18" s="9">
        <f>AEJ16-AEJ17</f>
        <v/>
      </c>
      <c r="AEK18" s="9">
        <f>AEK16-AEK17</f>
        <v/>
      </c>
      <c r="AEL18" s="9">
        <f>AEL16-AEL17</f>
        <v/>
      </c>
      <c r="AEM18" s="9">
        <f>AEM16-AEM17</f>
        <v/>
      </c>
      <c r="AEN18" s="9">
        <f>AEN16-AEN17</f>
        <v/>
      </c>
      <c r="AEO18" s="127">
        <f>SUM(ADK18:AEN18)</f>
        <v/>
      </c>
      <c r="AEP18" s="9">
        <f>AEP16-AEP17</f>
        <v/>
      </c>
      <c r="AEQ18" s="9">
        <f>AEQ16-AEQ17</f>
        <v/>
      </c>
      <c r="AER18" s="9">
        <f>AER16-AER17</f>
        <v/>
      </c>
      <c r="AES18" s="9">
        <f>AES16-AES17</f>
        <v/>
      </c>
      <c r="AET18" s="9">
        <f>AET16-AET17</f>
        <v/>
      </c>
      <c r="AEU18" s="9">
        <f>AEU16-AEU17</f>
        <v/>
      </c>
      <c r="AEV18" s="9">
        <f>AEV16-AEV17</f>
        <v/>
      </c>
      <c r="AEW18" s="9">
        <f>AEW16-AEW17</f>
        <v/>
      </c>
      <c r="AEX18" s="9">
        <f>AEX16-AEX17</f>
        <v/>
      </c>
      <c r="AEY18" s="9">
        <f>AEY16-AEY17</f>
        <v/>
      </c>
      <c r="AEZ18" s="9">
        <f>AEZ16-AEZ17</f>
        <v/>
      </c>
      <c r="AFA18" s="9">
        <f>AFA16-AFA17</f>
        <v/>
      </c>
      <c r="AFB18" s="9">
        <f>AFB16-AFB17</f>
        <v/>
      </c>
      <c r="AFC18" s="9">
        <f>AFC16-AFC17</f>
        <v/>
      </c>
      <c r="AFD18" s="9">
        <f>AFD16-AFD17</f>
        <v/>
      </c>
      <c r="AFE18" s="9">
        <f>AFE16-AFE17</f>
        <v/>
      </c>
      <c r="AFF18" s="9">
        <f>AFF16-AFF17</f>
        <v/>
      </c>
      <c r="AFG18" s="9">
        <f>AFG16-AFG17</f>
        <v/>
      </c>
      <c r="AFH18" s="9">
        <f>AFH16-AFH17</f>
        <v/>
      </c>
      <c r="AFI18" s="9">
        <f>AFI16-AFI17</f>
        <v/>
      </c>
      <c r="AFJ18" s="9">
        <f>AFJ16-AFJ17</f>
        <v/>
      </c>
      <c r="AFK18" s="9">
        <f>AFK16-AFK17</f>
        <v/>
      </c>
      <c r="AFL18" s="9">
        <f>AFL16-AFL17</f>
        <v/>
      </c>
      <c r="AFM18" s="9">
        <f>AFM16-AFM17</f>
        <v/>
      </c>
      <c r="AFN18" s="9">
        <f>AFN16-AFN17</f>
        <v/>
      </c>
      <c r="AFO18" s="9">
        <f>AFO16-AFO17</f>
        <v/>
      </c>
      <c r="AFP18" s="9">
        <f>AFP16-AFP17</f>
        <v/>
      </c>
      <c r="AFQ18" s="9">
        <f>AFQ16-AFQ17</f>
        <v/>
      </c>
      <c r="AFR18" s="9">
        <f>AFR16-AFR17</f>
        <v/>
      </c>
      <c r="AFS18" s="9">
        <f>AFS16-AFS17</f>
        <v/>
      </c>
      <c r="AFT18" s="9">
        <f>AFT16-AFT17</f>
        <v/>
      </c>
      <c r="AFU18" s="127">
        <f>SUM(AEP18:AFT18)</f>
        <v/>
      </c>
      <c r="AFV18" s="9">
        <f>AFV16-AFV17</f>
        <v/>
      </c>
      <c r="AFW18" s="9">
        <f>AFW16-AFW17</f>
        <v/>
      </c>
      <c r="AFX18" s="9">
        <f>AFX16-AFX17</f>
        <v/>
      </c>
      <c r="AFY18" s="9">
        <f>AFY16-AFY17</f>
        <v/>
      </c>
      <c r="AFZ18" s="9">
        <f>AFZ16-AFZ17</f>
        <v/>
      </c>
      <c r="AGA18" s="9">
        <f>AGA16-AGA17</f>
        <v/>
      </c>
      <c r="AGB18" s="9">
        <f>AGB16-AGB17</f>
        <v/>
      </c>
      <c r="AGC18" s="9">
        <f>AGC16-AGC17</f>
        <v/>
      </c>
      <c r="AGD18" s="9">
        <f>AGD16-AGD17</f>
        <v/>
      </c>
      <c r="AGE18" s="9">
        <f>AGE16-AGE17</f>
        <v/>
      </c>
      <c r="AGF18" s="9">
        <f>AGF16-AGF17</f>
        <v/>
      </c>
      <c r="AGG18" s="9">
        <f>AGG16-AGG17</f>
        <v/>
      </c>
      <c r="AGH18" s="9">
        <f>AGH16-AGH17</f>
        <v/>
      </c>
      <c r="AGI18" s="9">
        <f>AGI16-AGI17</f>
        <v/>
      </c>
      <c r="AGJ18" s="9">
        <f>AGJ16-AGJ17</f>
        <v/>
      </c>
      <c r="AGK18" s="9">
        <f>AGK16-AGK17</f>
        <v/>
      </c>
      <c r="AGL18" s="9">
        <f>AGL16-AGL17</f>
        <v/>
      </c>
      <c r="AGM18" s="9">
        <f>AGM16-AGM17</f>
        <v/>
      </c>
      <c r="AGN18" s="9">
        <f>AGN16-AGN17</f>
        <v/>
      </c>
      <c r="AGO18" s="9">
        <f>AGO16-AGO17</f>
        <v/>
      </c>
      <c r="AGP18" s="9">
        <f>AGP16-AGP17</f>
        <v/>
      </c>
      <c r="AGQ18" s="9">
        <f>AGQ16-AGQ17</f>
        <v/>
      </c>
      <c r="AGR18" s="9">
        <f>AGR16-AGR17</f>
        <v/>
      </c>
      <c r="AGS18" s="9">
        <f>AGS16-AGS17</f>
        <v/>
      </c>
      <c r="AGT18" s="9">
        <f>AGT16-AGT17</f>
        <v/>
      </c>
      <c r="AGU18" s="9">
        <f>AGU16-AGU17</f>
        <v/>
      </c>
      <c r="AGV18" s="9">
        <f>AGV16-AGV17</f>
        <v/>
      </c>
      <c r="AGW18" s="9">
        <f>AGW16-AGW17</f>
        <v/>
      </c>
      <c r="AGX18" s="9">
        <f>AGX16-AGX17</f>
        <v/>
      </c>
      <c r="AGY18" s="9">
        <f>AGY16-AGY17</f>
        <v/>
      </c>
      <c r="AGZ18" s="127">
        <f>SUM(AFV18:AGY18)</f>
        <v/>
      </c>
      <c r="AHA18" s="9">
        <f>AHA16-AHA17</f>
        <v/>
      </c>
      <c r="AHB18" s="9">
        <f>AHB16-AHB17</f>
        <v/>
      </c>
      <c r="AHC18" s="9">
        <f>AHC16-AHC17</f>
        <v/>
      </c>
      <c r="AHD18" s="9">
        <f>AHD16-AHD17</f>
        <v/>
      </c>
      <c r="AHE18" s="9">
        <f>AHE16-AHE17</f>
        <v/>
      </c>
      <c r="AHF18" s="9">
        <f>AHF16-AHF17</f>
        <v/>
      </c>
      <c r="AHG18" s="9">
        <f>AHG16-AHG17</f>
        <v/>
      </c>
      <c r="AHH18" s="9">
        <f>AHH16-AHH17</f>
        <v/>
      </c>
      <c r="AHI18" s="9">
        <f>AHI16-AHI17</f>
        <v/>
      </c>
      <c r="AHJ18" s="9">
        <f>AHJ16-AHJ17</f>
        <v/>
      </c>
      <c r="AHK18" s="9">
        <f>AHK16-AHK17</f>
        <v/>
      </c>
      <c r="AHL18" s="9">
        <f>AHL16-AHL17</f>
        <v/>
      </c>
      <c r="AHM18" s="9">
        <f>AHM16-AHM17</f>
        <v/>
      </c>
      <c r="AHN18" s="9">
        <f>AHN16-AHN17</f>
        <v/>
      </c>
      <c r="AHO18" s="9">
        <f>AHO16-AHO17</f>
        <v/>
      </c>
      <c r="AHP18" s="9">
        <f>AHP16-AHP17</f>
        <v/>
      </c>
      <c r="AHQ18" s="9">
        <f>AHQ16-AHQ17</f>
        <v/>
      </c>
      <c r="AHR18" s="9">
        <f>AHR16-AHR17</f>
        <v/>
      </c>
      <c r="AHS18" s="9">
        <f>AHS16-AHS17</f>
        <v/>
      </c>
      <c r="AHT18" s="9">
        <f>AHT16-AHT17</f>
        <v/>
      </c>
      <c r="AHU18" s="9">
        <f>AHU16-AHU17</f>
        <v/>
      </c>
      <c r="AHV18" s="9">
        <f>AHV16-AHV17</f>
        <v/>
      </c>
      <c r="AHW18" s="9">
        <f>AHW16-AHW17</f>
        <v/>
      </c>
      <c r="AHX18" s="9">
        <f>AHX16-AHX17</f>
        <v/>
      </c>
      <c r="AHY18" s="9">
        <f>AHY16-AHY17</f>
        <v/>
      </c>
      <c r="AHZ18" s="9">
        <f>AHZ16-AHZ17</f>
        <v/>
      </c>
      <c r="AIA18" s="9">
        <f>AIA16-AIA17</f>
        <v/>
      </c>
      <c r="AIB18" s="9">
        <f>AIB16-AIB17</f>
        <v/>
      </c>
      <c r="AIC18" s="9">
        <f>AIC16-AIC17</f>
        <v/>
      </c>
      <c r="AID18" s="9">
        <f>AID16-AID17</f>
        <v/>
      </c>
      <c r="AIE18" s="9">
        <f>AIE16-AIE17</f>
        <v/>
      </c>
      <c r="AIF18" s="127">
        <f>SUM(AHA18:AIE18)</f>
        <v/>
      </c>
      <c r="AIG18" s="9">
        <f>AIG16-AIG17</f>
        <v/>
      </c>
      <c r="AIH18" s="9">
        <f>AIH16-AIH17</f>
        <v/>
      </c>
      <c r="AII18" s="9">
        <f>AII16-AII17</f>
        <v/>
      </c>
      <c r="AIJ18" s="9">
        <f>AIJ16-AIJ17</f>
        <v/>
      </c>
      <c r="AIK18" s="9">
        <f>AIK16-AIK17</f>
        <v/>
      </c>
      <c r="AIL18" s="9">
        <f>AIL16-AIL17</f>
        <v/>
      </c>
      <c r="AIM18" s="9">
        <f>AIM16-AIM17</f>
        <v/>
      </c>
      <c r="AIN18" s="9">
        <f>AIN16-AIN17</f>
        <v/>
      </c>
      <c r="AIO18" s="9">
        <f>AIO16-AIO17</f>
        <v/>
      </c>
      <c r="AIP18" s="9">
        <f>AIP16-AIP17</f>
        <v/>
      </c>
      <c r="AIQ18" s="9">
        <f>AIQ16-AIQ17</f>
        <v/>
      </c>
      <c r="AIR18" s="9">
        <f>AIR16-AIR17</f>
        <v/>
      </c>
      <c r="AIS18" s="9">
        <f>AIS16-AIS17</f>
        <v/>
      </c>
      <c r="AIT18" s="9">
        <f>AIT16-AIT17</f>
        <v/>
      </c>
      <c r="AIU18" s="9">
        <f>AIU16-AIU17</f>
        <v/>
      </c>
      <c r="AIV18" s="9">
        <f>AIV16-AIV17</f>
        <v/>
      </c>
      <c r="AIW18" s="9">
        <f>AIW16-AIW17</f>
        <v/>
      </c>
      <c r="AIX18" s="9">
        <f>AIX16-AIX17</f>
        <v/>
      </c>
      <c r="AIY18" s="9">
        <f>AIY16-AIY17</f>
        <v/>
      </c>
      <c r="AIZ18" s="9">
        <f>AIZ16-AIZ17</f>
        <v/>
      </c>
      <c r="AJA18" s="9">
        <f>AJA16-AJA17</f>
        <v/>
      </c>
      <c r="AJB18" s="9">
        <f>AJB16-AJB17</f>
        <v/>
      </c>
      <c r="AJC18" s="9">
        <f>AJC16-AJC17</f>
        <v/>
      </c>
      <c r="AJD18" s="9">
        <f>AJD16-AJD17</f>
        <v/>
      </c>
      <c r="AJE18" s="9">
        <f>AJE16-AJE17</f>
        <v/>
      </c>
      <c r="AJF18" s="9">
        <f>AJF16-AJF17</f>
        <v/>
      </c>
      <c r="AJG18" s="9">
        <f>AJG16-AJG17</f>
        <v/>
      </c>
      <c r="AJH18" s="9">
        <f>AJH16-AJH17</f>
        <v/>
      </c>
      <c r="AJI18" s="9">
        <f>AJI16-AJI17</f>
        <v/>
      </c>
      <c r="AJJ18" s="9">
        <f>AJJ16-AJJ17</f>
        <v/>
      </c>
      <c r="AJK18" s="9">
        <f>AJK16-AJK17</f>
        <v/>
      </c>
      <c r="AJL18" s="127">
        <f>SUM(AIG18:AJK18)</f>
        <v/>
      </c>
      <c r="AJM18" s="9">
        <f>AJM16-AJM17</f>
        <v/>
      </c>
      <c r="AJN18" s="9">
        <f>AJN16-AJN17</f>
        <v/>
      </c>
      <c r="AJO18" s="9">
        <f>AJO16-AJO17</f>
        <v/>
      </c>
      <c r="AJP18" s="9">
        <f>AJP16-AJP17</f>
        <v/>
      </c>
      <c r="AJQ18" s="9">
        <f>AJQ16-AJQ17</f>
        <v/>
      </c>
      <c r="AJR18" s="9">
        <f>AJR16-AJR17</f>
        <v/>
      </c>
      <c r="AJS18" s="9">
        <f>AJS16-AJS17</f>
        <v/>
      </c>
      <c r="AJT18" s="9">
        <f>AJT16-AJT17</f>
        <v/>
      </c>
      <c r="AJU18" s="9">
        <f>AJU16-AJU17</f>
        <v/>
      </c>
      <c r="AJV18" s="9">
        <f>AJV16-AJV17</f>
        <v/>
      </c>
      <c r="AJW18" s="9">
        <f>AJW16-AJW17</f>
        <v/>
      </c>
      <c r="AJX18" s="9">
        <f>AJX16-AJX17</f>
        <v/>
      </c>
      <c r="AJY18" s="9">
        <f>AJY16-AJY17</f>
        <v/>
      </c>
      <c r="AJZ18" s="9">
        <f>AJZ16-AJZ17</f>
        <v/>
      </c>
      <c r="AKA18" s="9">
        <f>AKA16-AKA17</f>
        <v/>
      </c>
      <c r="AKB18" s="9">
        <f>AKB16-AKB17</f>
        <v/>
      </c>
      <c r="AKC18" s="9">
        <f>AKC16-AKC17</f>
        <v/>
      </c>
      <c r="AKD18" s="9">
        <f>AKD16-AKD17</f>
        <v/>
      </c>
      <c r="AKE18" s="9">
        <f>AKE16-AKE17</f>
        <v/>
      </c>
      <c r="AKF18" s="9">
        <f>AKF16-AKF17</f>
        <v/>
      </c>
      <c r="AKG18" s="9">
        <f>AKG16-AKG17</f>
        <v/>
      </c>
      <c r="AKH18" s="9">
        <f>AKH16-AKH17</f>
        <v/>
      </c>
      <c r="AKI18" s="9">
        <f>AKI16-AKI17</f>
        <v/>
      </c>
      <c r="AKJ18" s="9">
        <f>AKJ16-AKJ17</f>
        <v/>
      </c>
      <c r="AKK18" s="9">
        <f>AKK16-AKK17</f>
        <v/>
      </c>
      <c r="AKL18" s="9">
        <f>AKL16-AKL17</f>
        <v/>
      </c>
      <c r="AKM18" s="9">
        <f>AKM16-AKM17</f>
        <v/>
      </c>
      <c r="AKN18" s="9">
        <f>AKN16-AKN17</f>
        <v/>
      </c>
      <c r="AKO18" s="127">
        <f>SUM(AJM18:AKN18)</f>
        <v/>
      </c>
      <c r="AKP18" s="9">
        <f>AKP16-AKP17</f>
        <v/>
      </c>
      <c r="AKQ18" s="9">
        <f>AKQ16-AKQ17</f>
        <v/>
      </c>
      <c r="AKR18" s="9">
        <f>AKR16-AKR17</f>
        <v/>
      </c>
      <c r="AKS18" s="9">
        <f>AKS16-AKS17</f>
        <v/>
      </c>
      <c r="AKT18" s="9">
        <f>AKT16-AKT17</f>
        <v/>
      </c>
      <c r="AKU18" s="9">
        <f>AKU16-AKU17</f>
        <v/>
      </c>
      <c r="AKV18" s="9">
        <f>AKV16-AKV17</f>
        <v/>
      </c>
      <c r="AKW18" s="9">
        <f>AKW16-AKW17</f>
        <v/>
      </c>
      <c r="AKX18" s="9">
        <f>AKX16-AKX17</f>
        <v/>
      </c>
      <c r="AKY18" s="9">
        <f>AKY16-AKY17</f>
        <v/>
      </c>
      <c r="AKZ18" s="9">
        <f>AKZ16-AKZ17</f>
        <v/>
      </c>
      <c r="ALA18" s="9">
        <f>ALA16-ALA17</f>
        <v/>
      </c>
      <c r="ALB18" s="9">
        <f>ALB16-ALB17</f>
        <v/>
      </c>
      <c r="ALC18" s="9">
        <f>ALC16-ALC17</f>
        <v/>
      </c>
      <c r="ALD18" s="9">
        <f>ALD16-ALD17</f>
        <v/>
      </c>
      <c r="ALE18" s="9">
        <f>ALE16-ALE17</f>
        <v/>
      </c>
      <c r="ALF18" s="9">
        <f>ALF16-ALF17</f>
        <v/>
      </c>
      <c r="ALG18" s="9">
        <f>ALG16-ALG17</f>
        <v/>
      </c>
      <c r="ALH18" s="9">
        <f>ALH16-ALH17</f>
        <v/>
      </c>
      <c r="ALI18" s="9">
        <f>ALI16-ALI17</f>
        <v/>
      </c>
      <c r="ALJ18" s="9">
        <f>ALJ16-ALJ17</f>
        <v/>
      </c>
      <c r="ALK18" s="9">
        <f>ALK16-ALK17</f>
        <v/>
      </c>
      <c r="ALL18" s="9">
        <f>ALL16-ALL17</f>
        <v/>
      </c>
      <c r="ALM18" s="9">
        <f>ALM16-ALM17</f>
        <v/>
      </c>
      <c r="ALN18" s="9">
        <f>ALN16-ALN17</f>
        <v/>
      </c>
      <c r="ALO18" s="9">
        <f>ALO16-ALO17</f>
        <v/>
      </c>
      <c r="ALP18" s="9">
        <f>ALP16-ALP17</f>
        <v/>
      </c>
      <c r="ALQ18" s="9">
        <f>ALQ16-ALQ17</f>
        <v/>
      </c>
      <c r="ALR18" s="9">
        <f>ALR16-ALR17</f>
        <v/>
      </c>
      <c r="ALS18" s="9">
        <f>ALS16-ALS17</f>
        <v/>
      </c>
      <c r="ALT18" s="9">
        <f>ALT16-ALT17</f>
        <v/>
      </c>
      <c r="ALU18" s="127">
        <f>SUM(AKP18:ALT18)</f>
        <v/>
      </c>
      <c r="ALV18" s="9">
        <f>ALV16-ALV17</f>
        <v/>
      </c>
      <c r="ALW18" s="9">
        <f>ALW16-ALW17</f>
        <v/>
      </c>
      <c r="ALX18" s="9">
        <f>ALX16-ALX17</f>
        <v/>
      </c>
      <c r="ALY18" s="9">
        <f>ALY16-ALY17</f>
        <v/>
      </c>
      <c r="ALZ18" s="9">
        <f>ALZ16-ALZ17</f>
        <v/>
      </c>
      <c r="AMA18" s="9">
        <f>AMA16-AMA17</f>
        <v/>
      </c>
      <c r="AMB18" s="9">
        <f>AMB16-AMB17</f>
        <v/>
      </c>
      <c r="AMC18" s="9">
        <f>AMC16-AMC17</f>
        <v/>
      </c>
      <c r="AMD18" s="9">
        <f>AMD16-AMD17</f>
        <v/>
      </c>
      <c r="AME18" s="9">
        <f>AME16-AME17</f>
        <v/>
      </c>
      <c r="AMF18" s="9">
        <f>AMF16-AMF17</f>
        <v/>
      </c>
      <c r="AMG18" s="9">
        <f>AMG16-AMG17</f>
        <v/>
      </c>
      <c r="AMH18" s="9">
        <f>AMH16-AMH17</f>
        <v/>
      </c>
      <c r="AMI18" s="9">
        <f>AMI16-AMI17</f>
        <v/>
      </c>
      <c r="AMJ18" s="9">
        <f>AMJ16-AMJ17</f>
        <v/>
      </c>
      <c r="AMK18" s="9">
        <f>AMK16-AMK17</f>
        <v/>
      </c>
      <c r="AML18" s="9">
        <f>AML16-AML17</f>
        <v/>
      </c>
      <c r="AMM18" s="9">
        <f>AMM16-AMM17</f>
        <v/>
      </c>
      <c r="AMN18" s="9">
        <f>AMN16-AMN17</f>
        <v/>
      </c>
      <c r="AMO18" s="9">
        <f>AMO16-AMO17</f>
        <v/>
      </c>
      <c r="AMP18" s="9">
        <f>AMP16-AMP17</f>
        <v/>
      </c>
      <c r="AMQ18" s="9">
        <f>AMQ16-AMQ17</f>
        <v/>
      </c>
      <c r="AMR18" s="9">
        <f>AMR16-AMR17</f>
        <v/>
      </c>
      <c r="AMS18" s="9">
        <f>AMS16-AMS17</f>
        <v/>
      </c>
      <c r="AMT18" s="9">
        <f>AMT16-AMT17</f>
        <v/>
      </c>
      <c r="AMU18" s="9">
        <f>AMU16-AMU17</f>
        <v/>
      </c>
      <c r="AMV18" s="9">
        <f>AMV16-AMV17</f>
        <v/>
      </c>
      <c r="AMW18" s="9">
        <f>AMW16-AMW17</f>
        <v/>
      </c>
      <c r="AMX18" s="9">
        <f>AMX16-AMX17</f>
        <v/>
      </c>
      <c r="AMY18" s="9">
        <f>AMY16-AMY17</f>
        <v/>
      </c>
      <c r="AMZ18" s="127">
        <f>SUM(ALV18:AMY18)</f>
        <v/>
      </c>
      <c r="ANA18" s="9">
        <f>ANA16-ANA17</f>
        <v/>
      </c>
      <c r="ANB18" s="9">
        <f>ANB16-ANB17</f>
        <v/>
      </c>
      <c r="ANC18" s="9">
        <f>ANC16-ANC17</f>
        <v/>
      </c>
      <c r="AND18" s="9">
        <f>AND16-AND17</f>
        <v/>
      </c>
      <c r="ANE18" s="9">
        <f>ANE16-ANE17</f>
        <v/>
      </c>
      <c r="ANF18" s="9">
        <f>ANF16-ANF17</f>
        <v/>
      </c>
      <c r="ANG18" s="9">
        <f>ANG16-ANG17</f>
        <v/>
      </c>
      <c r="ANH18" s="9">
        <f>ANH16-ANH17</f>
        <v/>
      </c>
      <c r="ANI18" s="9">
        <f>ANI16-ANI17</f>
        <v/>
      </c>
      <c r="ANJ18" s="9">
        <f>ANJ16-ANJ17</f>
        <v/>
      </c>
      <c r="ANK18" s="9">
        <f>ANK16-ANK17</f>
        <v/>
      </c>
      <c r="ANL18" s="9">
        <f>ANL16-ANL17</f>
        <v/>
      </c>
      <c r="ANM18" s="9">
        <f>ANM16-ANM17</f>
        <v/>
      </c>
      <c r="ANN18" s="9">
        <f>ANN16-ANN17</f>
        <v/>
      </c>
      <c r="ANO18" s="9">
        <f>ANO16-ANO17</f>
        <v/>
      </c>
      <c r="ANP18" s="9">
        <f>ANP16-ANP17</f>
        <v/>
      </c>
      <c r="ANQ18" s="9">
        <f>ANQ16-ANQ17</f>
        <v/>
      </c>
      <c r="ANR18" s="9">
        <f>ANR16-ANR17</f>
        <v/>
      </c>
      <c r="ANS18" s="9">
        <f>ANS16-ANS17</f>
        <v/>
      </c>
      <c r="ANT18" s="9">
        <f>ANT16-ANT17</f>
        <v/>
      </c>
      <c r="ANU18" s="9">
        <f>ANU16-ANU17</f>
        <v/>
      </c>
      <c r="ANV18" s="9">
        <f>ANV16-ANV17</f>
        <v/>
      </c>
      <c r="ANW18" s="9">
        <f>ANW16-ANW17</f>
        <v/>
      </c>
      <c r="ANX18" s="9">
        <f>ANX16-ANX17</f>
        <v/>
      </c>
      <c r="ANY18" s="9">
        <f>ANY16-ANY17</f>
        <v/>
      </c>
      <c r="ANZ18" s="9">
        <f>ANZ16-ANZ17</f>
        <v/>
      </c>
      <c r="AOA18" s="9">
        <f>AOA16-AOA17</f>
        <v/>
      </c>
      <c r="AOB18" s="9">
        <f>AOB16-AOB17</f>
        <v/>
      </c>
      <c r="AOC18" s="9">
        <f>AOC16-AOC17</f>
        <v/>
      </c>
      <c r="AOD18" s="9">
        <f>AOD16-AOD17</f>
        <v/>
      </c>
      <c r="AOE18">
        <f>AOE16-AOE17</f>
        <v/>
      </c>
      <c r="AOF18">
        <f>AOF16-AOF17</f>
        <v/>
      </c>
    </row>
    <row r="19" ht="16" customHeight="1" s="160" thickBot="1">
      <c r="A19" s="166" t="n"/>
      <c r="B19" s="5" t="n"/>
      <c r="C19" s="11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3" t="n"/>
      <c r="AK19" s="13" t="n"/>
      <c r="DY19" s="117" t="n"/>
      <c r="FE19" s="126" t="n"/>
      <c r="GK19" s="127">
        <f>SUM(FF19:GJ19)</f>
        <v/>
      </c>
      <c r="HO19" s="127">
        <f>SUM(GJ19:HN19)</f>
        <v/>
      </c>
      <c r="IU19" s="127">
        <f>SUM(HP19:IT19)</f>
        <v/>
      </c>
      <c r="JZ19" s="127">
        <f>SUM(IU19:JY19)</f>
        <v/>
      </c>
      <c r="LF19" s="127">
        <f>SUM(KA19:LE19)</f>
        <v/>
      </c>
      <c r="MK19" s="127">
        <f>SUM(LF19:MJ19)</f>
        <v/>
      </c>
      <c r="NQ19" s="127">
        <f>SUM(ML19:NP19)</f>
        <v/>
      </c>
      <c r="OW19" s="127">
        <f>SUM(NR19:OV19)</f>
        <v/>
      </c>
      <c r="QB19" s="127">
        <f>SUM(OW19:QA19)</f>
        <v/>
      </c>
      <c r="RH19" s="127">
        <f>SUM(QC19:RG19)</f>
        <v/>
      </c>
      <c r="SM19" s="127">
        <f>SUM(RH19:SL19)</f>
        <v/>
      </c>
      <c r="TS19" s="127">
        <f>SUM(SN19:TR19)</f>
        <v/>
      </c>
      <c r="UY19" s="127">
        <f>SUM(TT19:UX19)</f>
        <v/>
      </c>
      <c r="WB19" s="127">
        <f>SUM(UW19:WA19)</f>
        <v/>
      </c>
      <c r="XH19" s="127">
        <f>SUM(WC19:XG19)</f>
        <v/>
      </c>
      <c r="YM19" s="127">
        <f>SUM(XH19:YL19)</f>
        <v/>
      </c>
      <c r="ZS19" s="127">
        <f>SUM(YN19:ZR19)</f>
        <v/>
      </c>
      <c r="AAX19" s="127">
        <f>SUM(ZS19:AAW19)</f>
        <v/>
      </c>
      <c r="ACD19" s="127">
        <f>SUM(AAY19:ACC19)</f>
        <v/>
      </c>
      <c r="ADJ19" s="127">
        <f>SUM(ACE19:ADI19)</f>
        <v/>
      </c>
      <c r="AEO19" s="127">
        <f>SUM(ADJ19:AEN19)</f>
        <v/>
      </c>
      <c r="AFU19" s="127">
        <f>SUM(AEP19:AFT19)</f>
        <v/>
      </c>
      <c r="AGZ19" s="127">
        <f>SUM(AFU19:AGY19)</f>
        <v/>
      </c>
      <c r="AIF19" s="127">
        <f>SUM(AHA19:AIE19)</f>
        <v/>
      </c>
      <c r="AJL19" s="127">
        <f>SUM(AIG19:AJK19)</f>
        <v/>
      </c>
      <c r="AKO19" s="127">
        <f>SUM(AJJ19:AKN19)</f>
        <v/>
      </c>
      <c r="ALU19" s="127">
        <f>SUM(AKP19:ALT19)</f>
        <v/>
      </c>
      <c r="AMZ19" s="127">
        <f>SUM(ALU19:AMY19)</f>
        <v/>
      </c>
    </row>
    <row r="20" ht="16" customHeight="1" s="160" thickBot="1">
      <c r="A20" s="156" t="inlineStr">
        <is>
          <t>AGO</t>
        </is>
      </c>
      <c r="B20" s="161" t="inlineStr">
        <is>
          <t>AGO 1</t>
        </is>
      </c>
      <c r="C20" s="44" t="inlineStr">
        <is>
          <t>OPENING</t>
        </is>
      </c>
      <c r="D20" s="45" t="n">
        <v>416894.446</v>
      </c>
      <c r="E20" s="14">
        <f>D21</f>
        <v/>
      </c>
      <c r="F20" s="14">
        <f>E21</f>
        <v/>
      </c>
      <c r="G20" s="14">
        <f>F21</f>
        <v/>
      </c>
      <c r="H20" s="14">
        <f>G21</f>
        <v/>
      </c>
      <c r="I20" s="14">
        <f>H21</f>
        <v/>
      </c>
      <c r="J20" s="14">
        <f>I21</f>
        <v/>
      </c>
      <c r="K20" s="14">
        <f>J21</f>
        <v/>
      </c>
      <c r="L20" s="14">
        <f>K21</f>
        <v/>
      </c>
      <c r="M20" s="14">
        <f>L21</f>
        <v/>
      </c>
      <c r="N20" s="14">
        <f>M21</f>
        <v/>
      </c>
      <c r="O20" s="14">
        <f>N21</f>
        <v/>
      </c>
      <c r="P20" s="14">
        <f>O21</f>
        <v/>
      </c>
      <c r="Q20" s="14">
        <f>P21</f>
        <v/>
      </c>
      <c r="R20" s="14">
        <f>Q21</f>
        <v/>
      </c>
      <c r="S20" s="14">
        <f>R21</f>
        <v/>
      </c>
      <c r="T20" s="14">
        <f>S21</f>
        <v/>
      </c>
      <c r="U20" s="14">
        <f>T21</f>
        <v/>
      </c>
      <c r="V20" s="14">
        <f>U21</f>
        <v/>
      </c>
      <c r="W20" s="14">
        <f>V21</f>
        <v/>
      </c>
      <c r="X20" s="14">
        <f>W21</f>
        <v/>
      </c>
      <c r="Y20" s="14">
        <f>X21</f>
        <v/>
      </c>
      <c r="Z20" s="14">
        <f>Y21</f>
        <v/>
      </c>
      <c r="AA20" s="14">
        <f>Z21</f>
        <v/>
      </c>
      <c r="AB20" s="14">
        <f>AA21</f>
        <v/>
      </c>
      <c r="AC20" s="14">
        <f>AB21</f>
        <v/>
      </c>
      <c r="AD20" s="14">
        <f>AC21</f>
        <v/>
      </c>
      <c r="AE20" s="14">
        <f>AD21</f>
        <v/>
      </c>
      <c r="AF20" s="14">
        <f>AE21</f>
        <v/>
      </c>
      <c r="AG20" s="14">
        <f>AF21</f>
        <v/>
      </c>
      <c r="AH20" s="14">
        <f>AG21</f>
        <v/>
      </c>
      <c r="AI20" s="15" t="n"/>
      <c r="AJ20" s="90">
        <f>AH21</f>
        <v/>
      </c>
      <c r="AK20" s="13">
        <f>AJ21</f>
        <v/>
      </c>
      <c r="AL20" s="13">
        <f>AK21</f>
        <v/>
      </c>
      <c r="AM20" s="13">
        <f>AL21</f>
        <v/>
      </c>
      <c r="AN20" s="13">
        <f>AM21</f>
        <v/>
      </c>
      <c r="AO20" s="13">
        <f>AN21</f>
        <v/>
      </c>
      <c r="AP20" s="13">
        <f>AO21</f>
        <v/>
      </c>
      <c r="AQ20" s="13">
        <f>AP21</f>
        <v/>
      </c>
      <c r="AR20" s="13">
        <f>AQ21</f>
        <v/>
      </c>
      <c r="AS20" s="13">
        <f>AR21</f>
        <v/>
      </c>
      <c r="AT20" s="13">
        <f>AS21</f>
        <v/>
      </c>
      <c r="AU20" s="13">
        <f>AT21</f>
        <v/>
      </c>
      <c r="AV20" s="13">
        <f>AU21</f>
        <v/>
      </c>
      <c r="AW20" s="13">
        <f>AV21</f>
        <v/>
      </c>
      <c r="AX20" s="13">
        <f>AW21</f>
        <v/>
      </c>
      <c r="AY20" s="13">
        <f>AX21</f>
        <v/>
      </c>
      <c r="AZ20" s="13">
        <f>AY21</f>
        <v/>
      </c>
      <c r="BA20" s="13">
        <f>AZ21</f>
        <v/>
      </c>
      <c r="BB20" s="13">
        <f>BA21</f>
        <v/>
      </c>
      <c r="BC20" s="13">
        <f>BB21</f>
        <v/>
      </c>
      <c r="BD20" s="13">
        <f>BC21</f>
        <v/>
      </c>
      <c r="BE20" s="13">
        <f>BD21</f>
        <v/>
      </c>
      <c r="BF20" s="13">
        <f>BE21</f>
        <v/>
      </c>
      <c r="BG20" s="13">
        <f>BF21</f>
        <v/>
      </c>
      <c r="BH20" s="13">
        <f>BG21</f>
        <v/>
      </c>
      <c r="BI20" s="13">
        <f>BH21</f>
        <v/>
      </c>
      <c r="BJ20" s="13">
        <f>BI21</f>
        <v/>
      </c>
      <c r="BK20" s="13">
        <f>BJ21</f>
        <v/>
      </c>
      <c r="BL20" s="13">
        <f>BK21</f>
        <v/>
      </c>
      <c r="BM20" s="13">
        <f>BL21</f>
        <v/>
      </c>
      <c r="BO20" s="13">
        <f>BM21</f>
        <v/>
      </c>
      <c r="BP20">
        <f>BO21</f>
        <v/>
      </c>
      <c r="BQ20">
        <f>BP21</f>
        <v/>
      </c>
      <c r="BR20">
        <f>BQ21</f>
        <v/>
      </c>
      <c r="BS20">
        <f>BR21</f>
        <v/>
      </c>
      <c r="BT20">
        <f>BS21</f>
        <v/>
      </c>
      <c r="BU20">
        <f>BT21</f>
        <v/>
      </c>
      <c r="BV20">
        <f>BU21</f>
        <v/>
      </c>
      <c r="BW20">
        <f>BV21</f>
        <v/>
      </c>
      <c r="BX20">
        <f>BW21</f>
        <v/>
      </c>
      <c r="BY20">
        <f>BX21</f>
        <v/>
      </c>
      <c r="BZ20">
        <f>BY21</f>
        <v/>
      </c>
      <c r="CA20">
        <f>BZ21</f>
        <v/>
      </c>
      <c r="CB20">
        <f>CA21</f>
        <v/>
      </c>
      <c r="CC20">
        <f>CB21</f>
        <v/>
      </c>
      <c r="CD20">
        <f>CC21</f>
        <v/>
      </c>
      <c r="CE20">
        <f>CD21</f>
        <v/>
      </c>
      <c r="CF20">
        <f>CE21</f>
        <v/>
      </c>
      <c r="CG20">
        <f>CF21</f>
        <v/>
      </c>
      <c r="CH20">
        <f>CG21</f>
        <v/>
      </c>
      <c r="CI20">
        <f>CH21</f>
        <v/>
      </c>
      <c r="CJ20">
        <f>CI21</f>
        <v/>
      </c>
      <c r="CK20">
        <f>CJ21</f>
        <v/>
      </c>
      <c r="CL20">
        <f>CK21</f>
        <v/>
      </c>
      <c r="CM20">
        <f>CL21</f>
        <v/>
      </c>
      <c r="CN20">
        <f>CM21</f>
        <v/>
      </c>
      <c r="CO20">
        <f>CN21</f>
        <v/>
      </c>
      <c r="CP20">
        <f>CO21</f>
        <v/>
      </c>
      <c r="CQ20">
        <f>CP21</f>
        <v/>
      </c>
      <c r="CR20">
        <f>CQ21</f>
        <v/>
      </c>
      <c r="CS20">
        <f>CR21</f>
        <v/>
      </c>
      <c r="CU20" s="13">
        <f>CS21</f>
        <v/>
      </c>
      <c r="CV20">
        <f>CU21</f>
        <v/>
      </c>
      <c r="CW20">
        <f>CV21</f>
        <v/>
      </c>
      <c r="CX20">
        <f>CW21</f>
        <v/>
      </c>
      <c r="CY20">
        <f>CX21</f>
        <v/>
      </c>
      <c r="CZ20">
        <f>CY21</f>
        <v/>
      </c>
      <c r="DA20">
        <f>CZ21</f>
        <v/>
      </c>
      <c r="DB20">
        <f>DA21</f>
        <v/>
      </c>
      <c r="DC20">
        <f>DB21</f>
        <v/>
      </c>
      <c r="DD20">
        <f>DC21</f>
        <v/>
      </c>
      <c r="DE20">
        <f>DD21</f>
        <v/>
      </c>
      <c r="DF20">
        <f>DE21</f>
        <v/>
      </c>
      <c r="DG20">
        <f>DF21</f>
        <v/>
      </c>
      <c r="DH20">
        <f>DG21</f>
        <v/>
      </c>
      <c r="DI20">
        <f>DH21</f>
        <v/>
      </c>
      <c r="DJ20">
        <f>DI21</f>
        <v/>
      </c>
      <c r="DK20">
        <f>DJ21</f>
        <v/>
      </c>
      <c r="DL20">
        <f>DK21</f>
        <v/>
      </c>
      <c r="DM20">
        <f>DL21</f>
        <v/>
      </c>
      <c r="DN20">
        <f>DM21</f>
        <v/>
      </c>
      <c r="DO20">
        <f>DN21</f>
        <v/>
      </c>
      <c r="DP20">
        <f>DO21</f>
        <v/>
      </c>
      <c r="DQ20">
        <f>DP21</f>
        <v/>
      </c>
      <c r="DR20">
        <f>DQ21</f>
        <v/>
      </c>
      <c r="DS20">
        <f>DR21</f>
        <v/>
      </c>
      <c r="DT20">
        <f>DS21</f>
        <v/>
      </c>
      <c r="DU20">
        <f>DT21</f>
        <v/>
      </c>
      <c r="DV20">
        <f>DU21</f>
        <v/>
      </c>
      <c r="DW20">
        <f>DV21</f>
        <v/>
      </c>
      <c r="DX20">
        <f>DW21</f>
        <v/>
      </c>
      <c r="DY20" s="117" t="n"/>
      <c r="DZ20">
        <f>DX21</f>
        <v/>
      </c>
      <c r="EA20">
        <f>DZ21</f>
        <v/>
      </c>
      <c r="EB20">
        <f>EA21</f>
        <v/>
      </c>
      <c r="EC20">
        <f>EB21</f>
        <v/>
      </c>
      <c r="ED20">
        <f>EC21</f>
        <v/>
      </c>
      <c r="EE20">
        <f>ED21</f>
        <v/>
      </c>
      <c r="EF20">
        <f>EE21</f>
        <v/>
      </c>
      <c r="EG20">
        <f>EF21</f>
        <v/>
      </c>
      <c r="EH20">
        <f>EG21</f>
        <v/>
      </c>
      <c r="EI20">
        <f>EH21</f>
        <v/>
      </c>
      <c r="EJ20">
        <f>EI21</f>
        <v/>
      </c>
      <c r="EK20">
        <f>EJ21</f>
        <v/>
      </c>
      <c r="EL20">
        <f>EK21</f>
        <v/>
      </c>
      <c r="EM20">
        <f>EL21</f>
        <v/>
      </c>
      <c r="EN20">
        <f>EM21</f>
        <v/>
      </c>
      <c r="EO20">
        <f>EN21</f>
        <v/>
      </c>
      <c r="EP20">
        <f>EO21</f>
        <v/>
      </c>
      <c r="EQ20">
        <f>EP21</f>
        <v/>
      </c>
      <c r="ER20">
        <f>EQ21</f>
        <v/>
      </c>
      <c r="ES20">
        <f>ER21</f>
        <v/>
      </c>
      <c r="ET20">
        <f>ES21</f>
        <v/>
      </c>
      <c r="EU20">
        <f>ET21</f>
        <v/>
      </c>
      <c r="EV20">
        <f>EU21</f>
        <v/>
      </c>
      <c r="EW20">
        <f>EV21</f>
        <v/>
      </c>
      <c r="EX20">
        <f>EW21</f>
        <v/>
      </c>
      <c r="EY20">
        <f>EX21</f>
        <v/>
      </c>
      <c r="EZ20">
        <f>EY21</f>
        <v/>
      </c>
      <c r="FA20">
        <f>EZ21</f>
        <v/>
      </c>
      <c r="FB20">
        <f>FA21</f>
        <v/>
      </c>
      <c r="FC20">
        <f>FB21</f>
        <v/>
      </c>
      <c r="FD20">
        <f>FC21</f>
        <v/>
      </c>
      <c r="FE20" s="126" t="n"/>
      <c r="FF20">
        <f>FD21</f>
        <v/>
      </c>
      <c r="FG20">
        <f>FF21</f>
        <v/>
      </c>
      <c r="FH20">
        <f>FG21</f>
        <v/>
      </c>
      <c r="FI20">
        <f>FH21</f>
        <v/>
      </c>
      <c r="FJ20">
        <f>FI21</f>
        <v/>
      </c>
      <c r="FK20">
        <f>FJ21</f>
        <v/>
      </c>
      <c r="FL20">
        <f>FK21</f>
        <v/>
      </c>
      <c r="FM20">
        <f>FL21</f>
        <v/>
      </c>
      <c r="FN20">
        <f>FM21</f>
        <v/>
      </c>
      <c r="FO20">
        <f>FN21</f>
        <v/>
      </c>
      <c r="FP20">
        <f>FO21</f>
        <v/>
      </c>
      <c r="FQ20">
        <f>FP21</f>
        <v/>
      </c>
      <c r="FR20">
        <f>FQ21</f>
        <v/>
      </c>
      <c r="FS20">
        <f>FR21</f>
        <v/>
      </c>
      <c r="FT20">
        <f>FS21</f>
        <v/>
      </c>
      <c r="FU20">
        <f>FT21</f>
        <v/>
      </c>
      <c r="FV20">
        <f>FU21</f>
        <v/>
      </c>
      <c r="FW20">
        <f>FV21</f>
        <v/>
      </c>
      <c r="FX20">
        <f>FW21</f>
        <v/>
      </c>
      <c r="FY20">
        <f>FX21</f>
        <v/>
      </c>
      <c r="FZ20">
        <f>FY21</f>
        <v/>
      </c>
      <c r="GA20">
        <f>FZ21</f>
        <v/>
      </c>
      <c r="GB20">
        <f>GA21</f>
        <v/>
      </c>
      <c r="GC20">
        <f>GB21</f>
        <v/>
      </c>
      <c r="GD20">
        <f>GC21</f>
        <v/>
      </c>
      <c r="GE20">
        <f>GD21</f>
        <v/>
      </c>
      <c r="GF20">
        <f>GE21</f>
        <v/>
      </c>
      <c r="GG20">
        <f>GF21</f>
        <v/>
      </c>
      <c r="GH20">
        <f>GG21</f>
        <v/>
      </c>
      <c r="GI20">
        <f>GH21</f>
        <v/>
      </c>
      <c r="GJ20">
        <f>GI21</f>
        <v/>
      </c>
      <c r="GK20" s="126" t="n"/>
      <c r="GL20">
        <f>GJ21</f>
        <v/>
      </c>
      <c r="GM20">
        <f>GL21</f>
        <v/>
      </c>
      <c r="GN20">
        <f>GM21</f>
        <v/>
      </c>
      <c r="GO20">
        <f>GN21</f>
        <v/>
      </c>
      <c r="GP20">
        <f>GO21</f>
        <v/>
      </c>
      <c r="GQ20">
        <f>GP21</f>
        <v/>
      </c>
      <c r="GR20">
        <f>GQ21</f>
        <v/>
      </c>
      <c r="GS20">
        <f>GR21</f>
        <v/>
      </c>
      <c r="GT20">
        <f>GS21</f>
        <v/>
      </c>
      <c r="GU20">
        <f>GT21</f>
        <v/>
      </c>
      <c r="GV20">
        <f>GU21</f>
        <v/>
      </c>
      <c r="GW20">
        <f>GV21</f>
        <v/>
      </c>
      <c r="GX20">
        <f>GW21</f>
        <v/>
      </c>
      <c r="GY20">
        <f>GX21</f>
        <v/>
      </c>
      <c r="GZ20">
        <f>GY21</f>
        <v/>
      </c>
      <c r="HA20">
        <f>GZ21</f>
        <v/>
      </c>
      <c r="HB20">
        <f>HA21</f>
        <v/>
      </c>
      <c r="HC20">
        <f>HB21</f>
        <v/>
      </c>
      <c r="HD20">
        <f>HC21</f>
        <v/>
      </c>
      <c r="HE20">
        <f>HD21</f>
        <v/>
      </c>
      <c r="HF20">
        <f>HE21</f>
        <v/>
      </c>
      <c r="HG20">
        <f>HF21</f>
        <v/>
      </c>
      <c r="HH20">
        <f>HG21</f>
        <v/>
      </c>
      <c r="HI20">
        <f>HH21</f>
        <v/>
      </c>
      <c r="HJ20">
        <f>HI21</f>
        <v/>
      </c>
      <c r="HK20">
        <f>HJ21</f>
        <v/>
      </c>
      <c r="HL20">
        <f>HK21</f>
        <v/>
      </c>
      <c r="HM20">
        <f>HL21</f>
        <v/>
      </c>
      <c r="HN20">
        <f>HM21</f>
        <v/>
      </c>
      <c r="HO20" s="126" t="n"/>
      <c r="HP20">
        <f>HN21</f>
        <v/>
      </c>
      <c r="HQ20">
        <f>HP21</f>
        <v/>
      </c>
      <c r="HR20">
        <f>HQ21</f>
        <v/>
      </c>
      <c r="HS20">
        <f>HR21</f>
        <v/>
      </c>
      <c r="HT20">
        <f>HS21</f>
        <v/>
      </c>
      <c r="HU20">
        <f>HT21</f>
        <v/>
      </c>
      <c r="HV20">
        <f>HU21</f>
        <v/>
      </c>
      <c r="HW20">
        <f>HV21</f>
        <v/>
      </c>
      <c r="HX20">
        <f>HW21</f>
        <v/>
      </c>
      <c r="HY20">
        <f>HX21</f>
        <v/>
      </c>
      <c r="HZ20">
        <f>HY21</f>
        <v/>
      </c>
      <c r="IA20">
        <f>HZ21</f>
        <v/>
      </c>
      <c r="IB20">
        <f>IA21</f>
        <v/>
      </c>
      <c r="IC20">
        <f>IB21</f>
        <v/>
      </c>
      <c r="ID20">
        <f>IC21</f>
        <v/>
      </c>
      <c r="IE20">
        <f>ID21</f>
        <v/>
      </c>
      <c r="IF20">
        <f>IE21</f>
        <v/>
      </c>
      <c r="IG20">
        <f>IF21</f>
        <v/>
      </c>
      <c r="IH20">
        <f>IG21</f>
        <v/>
      </c>
      <c r="II20">
        <f>IH21</f>
        <v/>
      </c>
      <c r="IJ20">
        <f>II21</f>
        <v/>
      </c>
      <c r="IK20">
        <f>IJ21</f>
        <v/>
      </c>
      <c r="IL20">
        <f>IK21</f>
        <v/>
      </c>
      <c r="IM20">
        <f>IL21</f>
        <v/>
      </c>
      <c r="IN20">
        <f>IM21</f>
        <v/>
      </c>
      <c r="IO20">
        <f>IN21</f>
        <v/>
      </c>
      <c r="IP20">
        <f>IO21</f>
        <v/>
      </c>
      <c r="IQ20">
        <f>IP21</f>
        <v/>
      </c>
      <c r="IR20">
        <f>IQ21</f>
        <v/>
      </c>
      <c r="IS20">
        <f>IR21</f>
        <v/>
      </c>
      <c r="IT20">
        <f>IS21</f>
        <v/>
      </c>
      <c r="IU20" s="126" t="n"/>
      <c r="IV20">
        <f>IT21</f>
        <v/>
      </c>
      <c r="IW20">
        <f>IV21</f>
        <v/>
      </c>
      <c r="IX20">
        <f>IW21</f>
        <v/>
      </c>
      <c r="IY20">
        <f>IX21</f>
        <v/>
      </c>
      <c r="IZ20">
        <f>IY21</f>
        <v/>
      </c>
      <c r="JA20">
        <f>IZ21</f>
        <v/>
      </c>
      <c r="JB20">
        <f>JA21</f>
        <v/>
      </c>
      <c r="JC20">
        <f>JB21</f>
        <v/>
      </c>
      <c r="JD20">
        <f>JC21</f>
        <v/>
      </c>
      <c r="JE20">
        <f>JD21</f>
        <v/>
      </c>
      <c r="JF20">
        <f>JE21</f>
        <v/>
      </c>
      <c r="JG20">
        <f>JF21</f>
        <v/>
      </c>
      <c r="JH20">
        <f>JG21</f>
        <v/>
      </c>
      <c r="JI20">
        <f>JH21</f>
        <v/>
      </c>
      <c r="JJ20">
        <f>JI21</f>
        <v/>
      </c>
      <c r="JK20">
        <f>JJ21</f>
        <v/>
      </c>
      <c r="JL20">
        <f>JK21</f>
        <v/>
      </c>
      <c r="JM20">
        <f>JL21</f>
        <v/>
      </c>
      <c r="JN20">
        <f>JM21</f>
        <v/>
      </c>
      <c r="JO20">
        <f>JN21</f>
        <v/>
      </c>
      <c r="JP20">
        <f>JO21</f>
        <v/>
      </c>
      <c r="JQ20">
        <f>JP21</f>
        <v/>
      </c>
      <c r="JR20">
        <f>JQ21</f>
        <v/>
      </c>
      <c r="JS20">
        <f>JR21</f>
        <v/>
      </c>
      <c r="JT20">
        <f>JS21</f>
        <v/>
      </c>
      <c r="JU20">
        <f>JT21</f>
        <v/>
      </c>
      <c r="JV20">
        <f>JU21</f>
        <v/>
      </c>
      <c r="JW20">
        <f>JV21</f>
        <v/>
      </c>
      <c r="JX20">
        <f>JW21</f>
        <v/>
      </c>
      <c r="JY20">
        <f>JX21</f>
        <v/>
      </c>
      <c r="JZ20" s="126" t="n"/>
      <c r="KA20">
        <f>JY21</f>
        <v/>
      </c>
      <c r="KB20">
        <f>KA21</f>
        <v/>
      </c>
      <c r="KC20">
        <f>KB21</f>
        <v/>
      </c>
      <c r="KD20">
        <f>KC21</f>
        <v/>
      </c>
      <c r="KE20">
        <f>KD21</f>
        <v/>
      </c>
      <c r="KF20">
        <f>KE21</f>
        <v/>
      </c>
      <c r="KG20">
        <f>KF21</f>
        <v/>
      </c>
      <c r="KH20">
        <f>KG21</f>
        <v/>
      </c>
      <c r="KI20">
        <f>KH21</f>
        <v/>
      </c>
      <c r="KJ20">
        <f>KI21</f>
        <v/>
      </c>
      <c r="KK20">
        <f>KJ21</f>
        <v/>
      </c>
      <c r="KL20">
        <f>KK21</f>
        <v/>
      </c>
      <c r="KM20">
        <f>KL21</f>
        <v/>
      </c>
      <c r="KN20">
        <f>KM21</f>
        <v/>
      </c>
      <c r="KO20">
        <f>KN21</f>
        <v/>
      </c>
      <c r="KP20">
        <f>KO21</f>
        <v/>
      </c>
      <c r="KQ20">
        <f>KP21</f>
        <v/>
      </c>
      <c r="KR20">
        <f>KQ21</f>
        <v/>
      </c>
      <c r="KS20">
        <f>KR21</f>
        <v/>
      </c>
      <c r="KT20">
        <f>KS21</f>
        <v/>
      </c>
      <c r="KU20">
        <f>KT21</f>
        <v/>
      </c>
      <c r="KV20">
        <f>KU21</f>
        <v/>
      </c>
      <c r="KW20">
        <f>KV21</f>
        <v/>
      </c>
      <c r="KX20">
        <f>KW21</f>
        <v/>
      </c>
      <c r="KY20">
        <f>KX21</f>
        <v/>
      </c>
      <c r="KZ20">
        <f>KY21</f>
        <v/>
      </c>
      <c r="LA20">
        <f>KZ21</f>
        <v/>
      </c>
      <c r="LB20">
        <f>LA21</f>
        <v/>
      </c>
      <c r="LC20">
        <f>LB21</f>
        <v/>
      </c>
      <c r="LD20">
        <f>LC21</f>
        <v/>
      </c>
      <c r="LE20">
        <f>LD21</f>
        <v/>
      </c>
      <c r="LF20" s="126" t="n"/>
      <c r="LG20">
        <f>LE21</f>
        <v/>
      </c>
      <c r="LH20">
        <f>LG21</f>
        <v/>
      </c>
      <c r="LI20">
        <f>LH21</f>
        <v/>
      </c>
      <c r="LJ20">
        <f>LI21</f>
        <v/>
      </c>
      <c r="LK20">
        <f>LJ21</f>
        <v/>
      </c>
      <c r="LL20">
        <f>LK21</f>
        <v/>
      </c>
      <c r="LM20">
        <f>LL21</f>
        <v/>
      </c>
      <c r="LN20">
        <f>LM21</f>
        <v/>
      </c>
      <c r="LO20">
        <f>LN21</f>
        <v/>
      </c>
      <c r="LP20">
        <f>LO21</f>
        <v/>
      </c>
      <c r="LQ20">
        <f>LP21</f>
        <v/>
      </c>
      <c r="LR20">
        <f>LQ21</f>
        <v/>
      </c>
      <c r="LS20">
        <f>LR21</f>
        <v/>
      </c>
      <c r="LT20">
        <f>LS21</f>
        <v/>
      </c>
      <c r="LU20">
        <f>LT21</f>
        <v/>
      </c>
      <c r="LV20">
        <f>LU21</f>
        <v/>
      </c>
      <c r="LW20">
        <f>LV21</f>
        <v/>
      </c>
      <c r="LX20">
        <f>LW21</f>
        <v/>
      </c>
      <c r="LY20">
        <f>LX21</f>
        <v/>
      </c>
      <c r="LZ20">
        <f>LY21</f>
        <v/>
      </c>
      <c r="MA20">
        <f>LZ21</f>
        <v/>
      </c>
      <c r="MB20">
        <f>MA21</f>
        <v/>
      </c>
      <c r="MC20">
        <f>MB21</f>
        <v/>
      </c>
      <c r="MD20">
        <f>MC21</f>
        <v/>
      </c>
      <c r="ME20">
        <f>MD21</f>
        <v/>
      </c>
      <c r="MF20">
        <f>ME21</f>
        <v/>
      </c>
      <c r="MG20">
        <f>MF21</f>
        <v/>
      </c>
      <c r="MH20">
        <f>MG21</f>
        <v/>
      </c>
      <c r="MI20">
        <f>MH21</f>
        <v/>
      </c>
      <c r="MJ20">
        <f>MI21</f>
        <v/>
      </c>
      <c r="MK20" s="126" t="n"/>
      <c r="ML20">
        <f>MJ21</f>
        <v/>
      </c>
      <c r="MM20">
        <f>ML21</f>
        <v/>
      </c>
      <c r="MN20">
        <f>MM21</f>
        <v/>
      </c>
      <c r="MO20">
        <f>MN21</f>
        <v/>
      </c>
      <c r="MP20">
        <f>MO21</f>
        <v/>
      </c>
      <c r="MQ20">
        <f>MP21</f>
        <v/>
      </c>
      <c r="MR20">
        <f>MQ21</f>
        <v/>
      </c>
      <c r="MS20">
        <f>MR21</f>
        <v/>
      </c>
      <c r="MT20">
        <f>MS21</f>
        <v/>
      </c>
      <c r="MU20">
        <f>MT21</f>
        <v/>
      </c>
      <c r="MV20">
        <f>MU21</f>
        <v/>
      </c>
      <c r="MW20">
        <f>MV21</f>
        <v/>
      </c>
      <c r="MX20">
        <f>MW21</f>
        <v/>
      </c>
      <c r="MY20">
        <f>MX21</f>
        <v/>
      </c>
      <c r="MZ20">
        <f>MY21</f>
        <v/>
      </c>
      <c r="NA20">
        <f>MZ21</f>
        <v/>
      </c>
      <c r="NB20">
        <f>NA21</f>
        <v/>
      </c>
      <c r="NC20">
        <f>NB21</f>
        <v/>
      </c>
      <c r="ND20">
        <f>NC21</f>
        <v/>
      </c>
      <c r="NE20">
        <f>ND21</f>
        <v/>
      </c>
      <c r="NF20">
        <f>NE21</f>
        <v/>
      </c>
      <c r="NG20">
        <f>NF21</f>
        <v/>
      </c>
      <c r="NH20">
        <f>NG21</f>
        <v/>
      </c>
      <c r="NI20">
        <f>NH21</f>
        <v/>
      </c>
      <c r="NJ20">
        <f>NI21</f>
        <v/>
      </c>
      <c r="NK20">
        <f>NJ21</f>
        <v/>
      </c>
      <c r="NL20">
        <f>NK21</f>
        <v/>
      </c>
      <c r="NM20">
        <f>NL21</f>
        <v/>
      </c>
      <c r="NN20">
        <f>NM21</f>
        <v/>
      </c>
      <c r="NO20">
        <f>NN21</f>
        <v/>
      </c>
      <c r="NP20">
        <f>NO21</f>
        <v/>
      </c>
      <c r="NQ20" s="126" t="n"/>
      <c r="NR20">
        <f>NP21</f>
        <v/>
      </c>
      <c r="NS20">
        <f>NR21</f>
        <v/>
      </c>
      <c r="NT20">
        <f>NS21</f>
        <v/>
      </c>
      <c r="NU20">
        <f>NT21</f>
        <v/>
      </c>
      <c r="NV20">
        <f>NU21</f>
        <v/>
      </c>
      <c r="NW20">
        <f>NV21</f>
        <v/>
      </c>
      <c r="NX20">
        <f>NW21</f>
        <v/>
      </c>
      <c r="NY20">
        <f>NX21</f>
        <v/>
      </c>
      <c r="NZ20">
        <f>NY21</f>
        <v/>
      </c>
      <c r="OA20">
        <f>NZ21</f>
        <v/>
      </c>
      <c r="OB20">
        <f>OA21</f>
        <v/>
      </c>
      <c r="OC20">
        <f>OB21</f>
        <v/>
      </c>
      <c r="OD20">
        <f>OC21</f>
        <v/>
      </c>
      <c r="OE20">
        <f>OD21</f>
        <v/>
      </c>
      <c r="OF20">
        <f>OE21</f>
        <v/>
      </c>
      <c r="OG20">
        <f>OF21</f>
        <v/>
      </c>
      <c r="OH20">
        <f>OG21</f>
        <v/>
      </c>
      <c r="OI20">
        <f>OH21</f>
        <v/>
      </c>
      <c r="OJ20">
        <f>OI21</f>
        <v/>
      </c>
      <c r="OK20">
        <f>OJ21</f>
        <v/>
      </c>
      <c r="OL20">
        <f>OK21</f>
        <v/>
      </c>
      <c r="OM20">
        <f>OL21</f>
        <v/>
      </c>
      <c r="ON20">
        <f>OM21</f>
        <v/>
      </c>
      <c r="OO20">
        <f>ON21</f>
        <v/>
      </c>
      <c r="OP20">
        <f>OO21</f>
        <v/>
      </c>
      <c r="OQ20">
        <f>OP21</f>
        <v/>
      </c>
      <c r="OR20">
        <f>OQ21</f>
        <v/>
      </c>
      <c r="OS20">
        <f>OR21</f>
        <v/>
      </c>
      <c r="OT20">
        <f>OS21</f>
        <v/>
      </c>
      <c r="OU20">
        <f>OT21</f>
        <v/>
      </c>
      <c r="OV20">
        <f>OU21</f>
        <v/>
      </c>
      <c r="OW20" s="126" t="n"/>
      <c r="OX20">
        <f>OV21</f>
        <v/>
      </c>
      <c r="OY20">
        <f>OX21</f>
        <v/>
      </c>
      <c r="OZ20">
        <f>OY21</f>
        <v/>
      </c>
      <c r="PA20">
        <f>OZ21</f>
        <v/>
      </c>
      <c r="PB20">
        <f>PA21</f>
        <v/>
      </c>
      <c r="PC20">
        <f>PB21</f>
        <v/>
      </c>
      <c r="PD20">
        <f>PC21</f>
        <v/>
      </c>
      <c r="PE20">
        <f>PD21</f>
        <v/>
      </c>
      <c r="PF20">
        <f>PE21</f>
        <v/>
      </c>
      <c r="PG20">
        <f>PF21</f>
        <v/>
      </c>
      <c r="PH20">
        <f>PG21</f>
        <v/>
      </c>
      <c r="PI20">
        <f>PH21</f>
        <v/>
      </c>
      <c r="PJ20">
        <f>PI21</f>
        <v/>
      </c>
      <c r="PK20">
        <f>PJ21</f>
        <v/>
      </c>
      <c r="PL20">
        <f>PK21</f>
        <v/>
      </c>
      <c r="PM20">
        <f>PL21</f>
        <v/>
      </c>
      <c r="PN20">
        <f>PM21</f>
        <v/>
      </c>
      <c r="PO20">
        <f>PN21</f>
        <v/>
      </c>
      <c r="PP20">
        <f>PO21</f>
        <v/>
      </c>
      <c r="PQ20">
        <f>PP21</f>
        <v/>
      </c>
      <c r="PR20">
        <f>PQ21</f>
        <v/>
      </c>
      <c r="PS20">
        <f>PR21</f>
        <v/>
      </c>
      <c r="PT20">
        <f>PS21</f>
        <v/>
      </c>
      <c r="PU20">
        <f>PT21</f>
        <v/>
      </c>
      <c r="PV20">
        <f>PU21</f>
        <v/>
      </c>
      <c r="PW20">
        <f>PV21</f>
        <v/>
      </c>
      <c r="PX20">
        <f>PW21</f>
        <v/>
      </c>
      <c r="PY20">
        <f>PX21</f>
        <v/>
      </c>
      <c r="PZ20">
        <f>PY21</f>
        <v/>
      </c>
      <c r="QA20">
        <f>PZ21</f>
        <v/>
      </c>
      <c r="QB20" s="126" t="n"/>
      <c r="QC20">
        <f>QA21</f>
        <v/>
      </c>
      <c r="QD20">
        <f>QC21</f>
        <v/>
      </c>
      <c r="QE20">
        <f>QD21</f>
        <v/>
      </c>
      <c r="QF20">
        <f>QE21</f>
        <v/>
      </c>
      <c r="QG20">
        <f>QF21</f>
        <v/>
      </c>
      <c r="QH20">
        <f>QG21</f>
        <v/>
      </c>
      <c r="QI20">
        <f>QH21</f>
        <v/>
      </c>
      <c r="QJ20">
        <f>QI21</f>
        <v/>
      </c>
      <c r="QK20">
        <f>QJ21</f>
        <v/>
      </c>
      <c r="QL20">
        <f>QK21</f>
        <v/>
      </c>
      <c r="QM20">
        <f>QL21</f>
        <v/>
      </c>
      <c r="QN20">
        <f>QM21</f>
        <v/>
      </c>
      <c r="QO20">
        <f>QN21</f>
        <v/>
      </c>
      <c r="QP20">
        <f>QO21</f>
        <v/>
      </c>
      <c r="QQ20">
        <f>QP21</f>
        <v/>
      </c>
      <c r="QR20">
        <f>QQ21</f>
        <v/>
      </c>
      <c r="QS20">
        <f>QR21</f>
        <v/>
      </c>
      <c r="QT20">
        <f>QS21</f>
        <v/>
      </c>
      <c r="QU20">
        <f>QT21</f>
        <v/>
      </c>
      <c r="QV20">
        <f>QU21</f>
        <v/>
      </c>
      <c r="QW20">
        <f>QV21</f>
        <v/>
      </c>
      <c r="QX20">
        <f>QW21</f>
        <v/>
      </c>
      <c r="QY20">
        <f>QX21</f>
        <v/>
      </c>
      <c r="QZ20">
        <f>QY21</f>
        <v/>
      </c>
      <c r="RA20">
        <f>QZ21</f>
        <v/>
      </c>
      <c r="RB20">
        <f>RA21</f>
        <v/>
      </c>
      <c r="RC20">
        <f>RB21</f>
        <v/>
      </c>
      <c r="RD20">
        <f>RC21</f>
        <v/>
      </c>
      <c r="RE20">
        <f>RD21</f>
        <v/>
      </c>
      <c r="RF20">
        <f>RE21</f>
        <v/>
      </c>
      <c r="RG20">
        <f>RF21</f>
        <v/>
      </c>
      <c r="RH20" s="126" t="n"/>
      <c r="RI20">
        <f>RG21</f>
        <v/>
      </c>
      <c r="RJ20">
        <f>RI21</f>
        <v/>
      </c>
      <c r="RK20">
        <f>RJ21</f>
        <v/>
      </c>
      <c r="RL20">
        <f>RK21</f>
        <v/>
      </c>
      <c r="RM20">
        <f>RL21</f>
        <v/>
      </c>
      <c r="RN20">
        <f>RM21</f>
        <v/>
      </c>
      <c r="RO20">
        <f>RN21</f>
        <v/>
      </c>
      <c r="RP20">
        <f>RO21</f>
        <v/>
      </c>
      <c r="RQ20">
        <f>RP21</f>
        <v/>
      </c>
      <c r="RR20">
        <f>RQ21</f>
        <v/>
      </c>
      <c r="RS20">
        <f>RR21</f>
        <v/>
      </c>
      <c r="RT20">
        <f>RS21</f>
        <v/>
      </c>
      <c r="RU20">
        <f>RT21</f>
        <v/>
      </c>
      <c r="RV20">
        <f>RU21</f>
        <v/>
      </c>
      <c r="RW20">
        <f>RV21</f>
        <v/>
      </c>
      <c r="RX20">
        <f>RW21</f>
        <v/>
      </c>
      <c r="RY20">
        <f>RX21</f>
        <v/>
      </c>
      <c r="RZ20">
        <f>RY21</f>
        <v/>
      </c>
      <c r="SA20">
        <f>RZ21</f>
        <v/>
      </c>
      <c r="SB20">
        <f>SA21</f>
        <v/>
      </c>
      <c r="SC20">
        <f>SB21</f>
        <v/>
      </c>
      <c r="SD20">
        <f>SC21</f>
        <v/>
      </c>
      <c r="SE20">
        <f>SD21</f>
        <v/>
      </c>
      <c r="SF20">
        <f>SE21</f>
        <v/>
      </c>
      <c r="SG20">
        <f>SF21</f>
        <v/>
      </c>
      <c r="SH20">
        <f>SG21</f>
        <v/>
      </c>
      <c r="SI20">
        <f>SH21</f>
        <v/>
      </c>
      <c r="SJ20">
        <f>SI21</f>
        <v/>
      </c>
      <c r="SK20">
        <f>SJ21</f>
        <v/>
      </c>
      <c r="SL20">
        <f>SK21</f>
        <v/>
      </c>
      <c r="SM20" s="126" t="n"/>
      <c r="SN20">
        <f>SL21</f>
        <v/>
      </c>
      <c r="SO20">
        <f>SN21</f>
        <v/>
      </c>
      <c r="SP20">
        <f>SO21</f>
        <v/>
      </c>
      <c r="SQ20">
        <f>SP21</f>
        <v/>
      </c>
      <c r="SR20">
        <f>SQ21</f>
        <v/>
      </c>
      <c r="SS20">
        <f>SR21</f>
        <v/>
      </c>
      <c r="ST20">
        <f>SS21</f>
        <v/>
      </c>
      <c r="SU20">
        <f>ST21</f>
        <v/>
      </c>
      <c r="SV20">
        <f>SU21</f>
        <v/>
      </c>
      <c r="SW20">
        <f>SV21</f>
        <v/>
      </c>
      <c r="SX20">
        <f>SW21</f>
        <v/>
      </c>
      <c r="SY20">
        <f>SX21</f>
        <v/>
      </c>
      <c r="SZ20">
        <f>SY21</f>
        <v/>
      </c>
      <c r="TA20">
        <f>SZ21</f>
        <v/>
      </c>
      <c r="TB20">
        <f>TA21</f>
        <v/>
      </c>
      <c r="TC20">
        <f>TB21</f>
        <v/>
      </c>
      <c r="TD20">
        <f>TC21</f>
        <v/>
      </c>
      <c r="TE20">
        <f>TD21</f>
        <v/>
      </c>
      <c r="TF20">
        <f>TE21</f>
        <v/>
      </c>
      <c r="TG20">
        <f>TF21</f>
        <v/>
      </c>
      <c r="TH20">
        <f>TG21</f>
        <v/>
      </c>
      <c r="TI20">
        <f>TH21</f>
        <v/>
      </c>
      <c r="TJ20">
        <f>TI21</f>
        <v/>
      </c>
      <c r="TK20">
        <f>TJ21</f>
        <v/>
      </c>
      <c r="TL20">
        <f>TK21</f>
        <v/>
      </c>
      <c r="TM20">
        <f>TL21</f>
        <v/>
      </c>
      <c r="TN20">
        <f>TM21</f>
        <v/>
      </c>
      <c r="TO20">
        <f>TN21</f>
        <v/>
      </c>
      <c r="TP20">
        <f>TO21</f>
        <v/>
      </c>
      <c r="TQ20">
        <f>TP21</f>
        <v/>
      </c>
      <c r="TR20">
        <f>TQ21</f>
        <v/>
      </c>
      <c r="TS20" s="126" t="n"/>
      <c r="TT20">
        <f>TR21</f>
        <v/>
      </c>
      <c r="TU20">
        <f>TT21</f>
        <v/>
      </c>
      <c r="TV20">
        <f>TU21</f>
        <v/>
      </c>
      <c r="TW20">
        <f>TV21</f>
        <v/>
      </c>
      <c r="TX20">
        <f>TW21</f>
        <v/>
      </c>
      <c r="TY20">
        <f>TX21</f>
        <v/>
      </c>
      <c r="TZ20">
        <f>TY21</f>
        <v/>
      </c>
      <c r="UA20">
        <f>TZ21</f>
        <v/>
      </c>
      <c r="UB20">
        <f>UA21</f>
        <v/>
      </c>
      <c r="UC20">
        <f>UB21</f>
        <v/>
      </c>
      <c r="UD20">
        <f>UC21</f>
        <v/>
      </c>
      <c r="UE20">
        <f>UD21</f>
        <v/>
      </c>
      <c r="UF20">
        <f>UE21</f>
        <v/>
      </c>
      <c r="UG20">
        <f>UF21</f>
        <v/>
      </c>
      <c r="UH20">
        <f>UG21</f>
        <v/>
      </c>
      <c r="UI20">
        <f>UH21</f>
        <v/>
      </c>
      <c r="UJ20">
        <f>UI21</f>
        <v/>
      </c>
      <c r="UK20">
        <f>UJ21</f>
        <v/>
      </c>
      <c r="UL20">
        <f>UK21</f>
        <v/>
      </c>
      <c r="UM20">
        <f>UL21</f>
        <v/>
      </c>
      <c r="UN20">
        <f>UM21</f>
        <v/>
      </c>
      <c r="UO20">
        <f>UN21</f>
        <v/>
      </c>
      <c r="UP20">
        <f>UO21</f>
        <v/>
      </c>
      <c r="UQ20">
        <f>UP21</f>
        <v/>
      </c>
      <c r="UR20">
        <f>UQ21</f>
        <v/>
      </c>
      <c r="US20">
        <f>UR21</f>
        <v/>
      </c>
      <c r="UT20">
        <f>US21</f>
        <v/>
      </c>
      <c r="UU20">
        <f>UT21</f>
        <v/>
      </c>
      <c r="UV20">
        <f>UU21</f>
        <v/>
      </c>
      <c r="UW20">
        <f>UV21</f>
        <v/>
      </c>
      <c r="UX20">
        <f>UW21</f>
        <v/>
      </c>
      <c r="UY20" s="126" t="n"/>
      <c r="UZ20" s="89">
        <f>UX21</f>
        <v/>
      </c>
      <c r="VA20" s="89">
        <f>UZ21</f>
        <v/>
      </c>
      <c r="VB20" s="89">
        <f>VA21</f>
        <v/>
      </c>
      <c r="VC20" s="89">
        <f>VB21</f>
        <v/>
      </c>
      <c r="VD20" s="89">
        <f>VC21</f>
        <v/>
      </c>
      <c r="VE20" s="89">
        <f>VD21</f>
        <v/>
      </c>
      <c r="VF20" s="89">
        <f>VE21</f>
        <v/>
      </c>
      <c r="VG20" s="89">
        <f>VF21</f>
        <v/>
      </c>
      <c r="VH20" s="89">
        <f>VG21</f>
        <v/>
      </c>
      <c r="VI20" s="89">
        <f>VH21</f>
        <v/>
      </c>
      <c r="VJ20" s="89">
        <f>VI21</f>
        <v/>
      </c>
      <c r="VK20" s="89">
        <f>VJ21</f>
        <v/>
      </c>
      <c r="VL20" s="89">
        <f>VK21</f>
        <v/>
      </c>
      <c r="VM20" s="89">
        <f>VL21</f>
        <v/>
      </c>
      <c r="VN20" s="89">
        <f>VM21</f>
        <v/>
      </c>
      <c r="VO20" s="89">
        <f>VN21</f>
        <v/>
      </c>
      <c r="VP20" s="89">
        <f>VO21</f>
        <v/>
      </c>
      <c r="VQ20" s="89">
        <f>VP21</f>
        <v/>
      </c>
      <c r="VR20" s="89">
        <f>VQ21</f>
        <v/>
      </c>
      <c r="VS20" s="89">
        <f>VR21</f>
        <v/>
      </c>
      <c r="VT20" s="89">
        <f>VS21</f>
        <v/>
      </c>
      <c r="VU20" s="89">
        <f>VT21</f>
        <v/>
      </c>
      <c r="VV20" s="89">
        <f>VU21</f>
        <v/>
      </c>
      <c r="VW20" s="89">
        <f>VV21</f>
        <v/>
      </c>
      <c r="VX20" s="89">
        <f>VW21</f>
        <v/>
      </c>
      <c r="VY20" s="89">
        <f>VX21</f>
        <v/>
      </c>
      <c r="VZ20" s="89">
        <f>VY21</f>
        <v/>
      </c>
      <c r="WA20" s="89">
        <f>VZ21</f>
        <v/>
      </c>
      <c r="WB20" s="126" t="n"/>
      <c r="WC20" s="89">
        <f>WA21</f>
        <v/>
      </c>
      <c r="WD20" s="89">
        <f>WC21</f>
        <v/>
      </c>
      <c r="WE20" s="89">
        <f>WD21</f>
        <v/>
      </c>
      <c r="WF20" s="89">
        <f>WE21</f>
        <v/>
      </c>
      <c r="WG20" s="89">
        <f>WF21</f>
        <v/>
      </c>
      <c r="WH20" s="89">
        <f>WG21</f>
        <v/>
      </c>
      <c r="WI20" s="89">
        <f>WH21</f>
        <v/>
      </c>
      <c r="WJ20" s="89">
        <f>WI21</f>
        <v/>
      </c>
      <c r="WK20" s="89">
        <f>WJ21</f>
        <v/>
      </c>
      <c r="WL20" s="89">
        <f>WK21</f>
        <v/>
      </c>
      <c r="WM20" s="89">
        <f>WL21</f>
        <v/>
      </c>
      <c r="WN20" s="89">
        <f>WM21</f>
        <v/>
      </c>
      <c r="WO20" s="89">
        <f>WN21</f>
        <v/>
      </c>
      <c r="WP20" s="89">
        <f>WO21</f>
        <v/>
      </c>
      <c r="WQ20" s="89">
        <f>WP21</f>
        <v/>
      </c>
      <c r="WR20" s="89">
        <f>WQ21</f>
        <v/>
      </c>
      <c r="WS20" s="89">
        <f>WR21</f>
        <v/>
      </c>
      <c r="WT20" s="89">
        <f>WS21</f>
        <v/>
      </c>
      <c r="WU20" s="89">
        <f>WT21</f>
        <v/>
      </c>
      <c r="WV20" s="89">
        <f>WU21</f>
        <v/>
      </c>
      <c r="WW20" s="89">
        <f>WV21</f>
        <v/>
      </c>
      <c r="WX20" s="89">
        <f>WW21</f>
        <v/>
      </c>
      <c r="WY20" s="89">
        <f>WX21</f>
        <v/>
      </c>
      <c r="WZ20" s="89">
        <f>WY21</f>
        <v/>
      </c>
      <c r="XA20" s="89">
        <f>WZ21</f>
        <v/>
      </c>
      <c r="XB20" s="89">
        <f>XA21</f>
        <v/>
      </c>
      <c r="XC20" s="89">
        <f>XB21</f>
        <v/>
      </c>
      <c r="XD20" s="89">
        <f>XC21</f>
        <v/>
      </c>
      <c r="XE20" s="89">
        <f>XD21</f>
        <v/>
      </c>
      <c r="XF20" s="89">
        <f>XE21</f>
        <v/>
      </c>
      <c r="XG20" s="89">
        <f>XF21</f>
        <v/>
      </c>
      <c r="XH20" s="126" t="n"/>
      <c r="XI20" s="89">
        <f>XG21</f>
        <v/>
      </c>
      <c r="XJ20" s="89">
        <f>XI21</f>
        <v/>
      </c>
      <c r="XK20" s="89">
        <f>XJ21</f>
        <v/>
      </c>
      <c r="XL20" s="89">
        <f>XK21</f>
        <v/>
      </c>
      <c r="XM20" s="89">
        <f>XL21</f>
        <v/>
      </c>
      <c r="XN20" s="89">
        <f>XM21</f>
        <v/>
      </c>
      <c r="XO20" s="89">
        <f>XN21</f>
        <v/>
      </c>
      <c r="XP20" s="89">
        <f>XO21</f>
        <v/>
      </c>
      <c r="XQ20" s="89">
        <f>XP21</f>
        <v/>
      </c>
      <c r="XR20" s="89">
        <f>XQ21</f>
        <v/>
      </c>
      <c r="XS20" s="89">
        <f>XR21</f>
        <v/>
      </c>
      <c r="XT20" s="89">
        <f>XS21</f>
        <v/>
      </c>
      <c r="XU20" s="89">
        <f>XT21</f>
        <v/>
      </c>
      <c r="XV20" s="89">
        <f>XU21</f>
        <v/>
      </c>
      <c r="XW20" s="89">
        <f>XV21</f>
        <v/>
      </c>
      <c r="XX20" s="89">
        <f>XW21</f>
        <v/>
      </c>
      <c r="XY20" s="89">
        <f>XX21</f>
        <v/>
      </c>
      <c r="XZ20" s="89">
        <f>XY21</f>
        <v/>
      </c>
      <c r="YA20" s="89">
        <f>XZ21</f>
        <v/>
      </c>
      <c r="YB20" s="89">
        <f>YA21</f>
        <v/>
      </c>
      <c r="YC20" s="89">
        <f>YB21</f>
        <v/>
      </c>
      <c r="YD20" s="89">
        <f>YC21</f>
        <v/>
      </c>
      <c r="YE20" s="89">
        <f>YD21</f>
        <v/>
      </c>
      <c r="YF20" s="89">
        <f>YE21</f>
        <v/>
      </c>
      <c r="YG20" s="89">
        <f>YF21</f>
        <v/>
      </c>
      <c r="YH20" s="89">
        <f>YG21</f>
        <v/>
      </c>
      <c r="YI20" s="89">
        <f>YH21</f>
        <v/>
      </c>
      <c r="YJ20" s="89">
        <f>YI21</f>
        <v/>
      </c>
      <c r="YK20" s="89">
        <f>YJ21</f>
        <v/>
      </c>
      <c r="YL20" s="89">
        <f>YK21</f>
        <v/>
      </c>
      <c r="YM20" s="126" t="n"/>
      <c r="YN20" s="89">
        <f>YL21</f>
        <v/>
      </c>
      <c r="YO20" s="89">
        <f>YN21</f>
        <v/>
      </c>
      <c r="YP20" s="89">
        <f>YO21</f>
        <v/>
      </c>
      <c r="YQ20" s="89">
        <f>YP21</f>
        <v/>
      </c>
      <c r="YR20" s="89">
        <f>YQ21</f>
        <v/>
      </c>
      <c r="YS20" s="89">
        <f>YR21</f>
        <v/>
      </c>
      <c r="YT20" s="89">
        <f>YS21</f>
        <v/>
      </c>
      <c r="YU20" s="89">
        <f>YT21</f>
        <v/>
      </c>
      <c r="YV20" s="89">
        <f>YU21</f>
        <v/>
      </c>
      <c r="YW20" s="89">
        <f>YV21</f>
        <v/>
      </c>
      <c r="YX20" s="89">
        <f>YW21</f>
        <v/>
      </c>
      <c r="YY20" s="89">
        <f>YX21</f>
        <v/>
      </c>
      <c r="YZ20" s="89">
        <f>YY21</f>
        <v/>
      </c>
      <c r="ZA20" s="89">
        <f>YZ21</f>
        <v/>
      </c>
      <c r="ZB20" s="89">
        <f>ZA21</f>
        <v/>
      </c>
      <c r="ZC20" s="89">
        <f>ZB21</f>
        <v/>
      </c>
      <c r="ZD20" s="89">
        <f>ZC21</f>
        <v/>
      </c>
      <c r="ZE20" s="89">
        <f>ZD21</f>
        <v/>
      </c>
      <c r="ZF20" s="89">
        <f>ZE21</f>
        <v/>
      </c>
      <c r="ZG20" s="89">
        <f>ZF21</f>
        <v/>
      </c>
      <c r="ZH20" s="89">
        <f>ZG21</f>
        <v/>
      </c>
      <c r="ZI20" s="89">
        <f>ZH21</f>
        <v/>
      </c>
      <c r="ZJ20" s="89">
        <f>ZI21</f>
        <v/>
      </c>
      <c r="ZK20" s="89">
        <f>ZJ21</f>
        <v/>
      </c>
      <c r="ZL20" s="89">
        <f>ZK21</f>
        <v/>
      </c>
      <c r="ZM20" s="89">
        <f>ZL21</f>
        <v/>
      </c>
      <c r="ZN20" s="89">
        <f>ZM21</f>
        <v/>
      </c>
      <c r="ZO20" s="89">
        <f>ZN21</f>
        <v/>
      </c>
      <c r="ZP20" s="89">
        <f>ZO21</f>
        <v/>
      </c>
      <c r="ZQ20" s="89">
        <f>ZP21</f>
        <v/>
      </c>
      <c r="ZR20" s="89">
        <f>ZQ21</f>
        <v/>
      </c>
      <c r="ZS20" s="126" t="n"/>
      <c r="ZT20" s="89">
        <f>ZR21</f>
        <v/>
      </c>
      <c r="ZU20" s="89">
        <f>ZT21</f>
        <v/>
      </c>
      <c r="ZV20" s="89">
        <f>ZU21</f>
        <v/>
      </c>
      <c r="ZW20" s="89">
        <f>ZV21</f>
        <v/>
      </c>
      <c r="ZX20" s="89">
        <f>ZW21</f>
        <v/>
      </c>
      <c r="ZY20" s="89">
        <f>ZX21</f>
        <v/>
      </c>
      <c r="ZZ20" s="89">
        <f>ZY21</f>
        <v/>
      </c>
      <c r="AAA20" s="89">
        <f>ZZ21</f>
        <v/>
      </c>
      <c r="AAB20" s="89">
        <f>AAA21</f>
        <v/>
      </c>
      <c r="AAC20" s="89">
        <f>AAB21</f>
        <v/>
      </c>
      <c r="AAD20" s="89">
        <f>AAC21</f>
        <v/>
      </c>
      <c r="AAE20" s="89">
        <f>AAD21</f>
        <v/>
      </c>
      <c r="AAF20" s="89">
        <f>AAE21</f>
        <v/>
      </c>
      <c r="AAG20" s="89">
        <f>AAF21</f>
        <v/>
      </c>
      <c r="AAH20" s="89">
        <f>AAG21</f>
        <v/>
      </c>
      <c r="AAI20" s="89">
        <f>AAH21</f>
        <v/>
      </c>
      <c r="AAJ20" s="89">
        <f>AAI21</f>
        <v/>
      </c>
      <c r="AAK20" s="89">
        <f>AAJ21</f>
        <v/>
      </c>
      <c r="AAL20" s="89">
        <f>AAK21</f>
        <v/>
      </c>
      <c r="AAM20" s="89">
        <f>AAL21</f>
        <v/>
      </c>
      <c r="AAN20" s="89">
        <f>AAM21</f>
        <v/>
      </c>
      <c r="AAO20" s="89">
        <f>AAN21</f>
        <v/>
      </c>
      <c r="AAP20" s="89">
        <f>AAO21</f>
        <v/>
      </c>
      <c r="AAQ20" s="89">
        <f>AAP21</f>
        <v/>
      </c>
      <c r="AAR20" s="89">
        <f>AAQ21</f>
        <v/>
      </c>
      <c r="AAS20" s="89">
        <f>AAR21</f>
        <v/>
      </c>
      <c r="AAT20" s="89">
        <f>AAS21</f>
        <v/>
      </c>
      <c r="AAU20" s="89">
        <f>AAT21</f>
        <v/>
      </c>
      <c r="AAV20" s="89">
        <f>AAU21</f>
        <v/>
      </c>
      <c r="AAW20" s="89">
        <f>AAV21</f>
        <v/>
      </c>
      <c r="AAX20" s="126" t="n"/>
      <c r="AAY20" s="89">
        <f>AAW21</f>
        <v/>
      </c>
      <c r="AAZ20" s="89">
        <f>AAY21</f>
        <v/>
      </c>
      <c r="ABA20" s="89">
        <f>AAZ21</f>
        <v/>
      </c>
      <c r="ABB20" s="89">
        <f>ABA21</f>
        <v/>
      </c>
      <c r="ABC20" s="89">
        <f>ABB21</f>
        <v/>
      </c>
      <c r="ABD20" s="89">
        <f>ABC21</f>
        <v/>
      </c>
      <c r="ABE20" s="89">
        <f>ABD21</f>
        <v/>
      </c>
      <c r="ABF20" s="89">
        <f>ABE21</f>
        <v/>
      </c>
      <c r="ABG20" s="89">
        <f>ABF21</f>
        <v/>
      </c>
      <c r="ABH20" s="89">
        <f>ABG21</f>
        <v/>
      </c>
      <c r="ABI20" s="89">
        <f>ABH21</f>
        <v/>
      </c>
      <c r="ABJ20" s="89">
        <f>ABI21</f>
        <v/>
      </c>
      <c r="ABK20" s="89">
        <f>ABJ21</f>
        <v/>
      </c>
      <c r="ABL20" s="89">
        <f>ABK21</f>
        <v/>
      </c>
      <c r="ABM20" s="89">
        <f>ABL21</f>
        <v/>
      </c>
      <c r="ABN20" s="89">
        <f>ABM21</f>
        <v/>
      </c>
      <c r="ABO20" s="89">
        <f>ABN21</f>
        <v/>
      </c>
      <c r="ABP20" s="89">
        <f>ABO21</f>
        <v/>
      </c>
      <c r="ABQ20" s="89">
        <f>ABP21</f>
        <v/>
      </c>
      <c r="ABR20" s="89">
        <f>ABQ21</f>
        <v/>
      </c>
      <c r="ABS20" s="89">
        <f>ABR21</f>
        <v/>
      </c>
      <c r="ABT20" s="89">
        <f>ABS21</f>
        <v/>
      </c>
      <c r="ABU20" s="89">
        <f>ABT21</f>
        <v/>
      </c>
      <c r="ABV20" s="89">
        <f>ABU21</f>
        <v/>
      </c>
      <c r="ABW20" s="89">
        <f>ABV21</f>
        <v/>
      </c>
      <c r="ABX20" s="89">
        <f>ABW21</f>
        <v/>
      </c>
      <c r="ABY20" s="89">
        <f>ABX21</f>
        <v/>
      </c>
      <c r="ABZ20" s="89">
        <f>ABY21</f>
        <v/>
      </c>
      <c r="ACA20" s="89">
        <f>ABZ21</f>
        <v/>
      </c>
      <c r="ACB20" s="89">
        <f>ACA21</f>
        <v/>
      </c>
      <c r="ACC20" s="89">
        <f>ACB21</f>
        <v/>
      </c>
      <c r="ACD20" s="126" t="n"/>
      <c r="ACE20" s="89">
        <f>ACC21</f>
        <v/>
      </c>
      <c r="ACF20" s="89">
        <f>ACE21</f>
        <v/>
      </c>
      <c r="ACG20" s="89">
        <f>ACF21</f>
        <v/>
      </c>
      <c r="ACH20" s="89">
        <f>ACG21</f>
        <v/>
      </c>
      <c r="ACI20" s="89">
        <f>ACH21</f>
        <v/>
      </c>
      <c r="ACJ20" s="89">
        <f>ACI21</f>
        <v/>
      </c>
      <c r="ACK20" s="89">
        <f>ACJ21</f>
        <v/>
      </c>
      <c r="ACL20" s="89">
        <f>ACK21</f>
        <v/>
      </c>
      <c r="ACM20" s="89">
        <f>ACL21</f>
        <v/>
      </c>
      <c r="ACN20" s="89">
        <f>ACM21</f>
        <v/>
      </c>
      <c r="ACO20" s="89">
        <f>ACN21</f>
        <v/>
      </c>
      <c r="ACP20" s="89">
        <f>ACO21</f>
        <v/>
      </c>
      <c r="ACQ20" s="89">
        <f>ACP21</f>
        <v/>
      </c>
      <c r="ACR20" s="89">
        <f>ACQ21</f>
        <v/>
      </c>
      <c r="ACS20" s="89">
        <f>ACR21</f>
        <v/>
      </c>
      <c r="ACT20" s="89">
        <f>ACS21</f>
        <v/>
      </c>
      <c r="ACU20" s="89">
        <f>ACT21</f>
        <v/>
      </c>
      <c r="ACV20" s="89">
        <f>ACU21</f>
        <v/>
      </c>
      <c r="ACW20" s="89">
        <f>ACV21</f>
        <v/>
      </c>
      <c r="ACX20" s="89">
        <f>ACW21</f>
        <v/>
      </c>
      <c r="ACY20" s="89">
        <f>ACX21</f>
        <v/>
      </c>
      <c r="ACZ20" s="89">
        <f>ACY21</f>
        <v/>
      </c>
      <c r="ADA20" s="89">
        <f>ACZ21</f>
        <v/>
      </c>
      <c r="ADB20" s="89">
        <f>ADA21</f>
        <v/>
      </c>
      <c r="ADC20" s="89">
        <f>ADB21</f>
        <v/>
      </c>
      <c r="ADD20" s="89">
        <f>ADC21</f>
        <v/>
      </c>
      <c r="ADE20" s="89">
        <f>ADD21</f>
        <v/>
      </c>
      <c r="ADF20" s="89">
        <f>ADE21</f>
        <v/>
      </c>
      <c r="ADG20" s="89">
        <f>ADF21</f>
        <v/>
      </c>
      <c r="ADH20" s="89">
        <f>ADG21</f>
        <v/>
      </c>
      <c r="ADI20" s="89">
        <f>ADH21</f>
        <v/>
      </c>
      <c r="ADJ20" s="126" t="n"/>
      <c r="ADK20" s="89">
        <f>ADI21</f>
        <v/>
      </c>
      <c r="ADL20" s="89">
        <f>ADK21</f>
        <v/>
      </c>
      <c r="ADM20" s="89">
        <f>ADL21</f>
        <v/>
      </c>
      <c r="ADN20" s="89">
        <f>ADM21</f>
        <v/>
      </c>
      <c r="ADO20" s="89">
        <f>ADN21</f>
        <v/>
      </c>
      <c r="ADP20" s="89">
        <f>ADO21</f>
        <v/>
      </c>
      <c r="ADQ20" s="89">
        <f>ADP21</f>
        <v/>
      </c>
      <c r="ADR20" s="89">
        <f>ADQ21</f>
        <v/>
      </c>
      <c r="ADS20" s="89">
        <f>ADR21</f>
        <v/>
      </c>
      <c r="ADT20" s="89">
        <f>ADS21</f>
        <v/>
      </c>
      <c r="ADU20" s="89">
        <f>ADT21</f>
        <v/>
      </c>
      <c r="ADV20" s="89">
        <f>ADU21</f>
        <v/>
      </c>
      <c r="ADW20" s="89">
        <f>ADV21</f>
        <v/>
      </c>
      <c r="ADX20" s="89">
        <f>ADW21</f>
        <v/>
      </c>
      <c r="ADY20" s="89">
        <f>ADX21</f>
        <v/>
      </c>
      <c r="ADZ20" s="89">
        <f>ADY21</f>
        <v/>
      </c>
      <c r="AEA20" s="89">
        <f>ADZ21</f>
        <v/>
      </c>
      <c r="AEB20" s="89">
        <f>AEA21</f>
        <v/>
      </c>
      <c r="AEC20" s="89">
        <f>AEB21</f>
        <v/>
      </c>
      <c r="AED20" s="89">
        <f>AEC21</f>
        <v/>
      </c>
      <c r="AEE20" s="89">
        <f>AED21</f>
        <v/>
      </c>
      <c r="AEF20" s="89">
        <f>AEE21</f>
        <v/>
      </c>
      <c r="AEG20" s="89">
        <f>AEF21</f>
        <v/>
      </c>
      <c r="AEH20" s="89">
        <f>AEG21</f>
        <v/>
      </c>
      <c r="AEI20" s="89">
        <f>AEH21</f>
        <v/>
      </c>
      <c r="AEJ20" s="89">
        <f>AEI21</f>
        <v/>
      </c>
      <c r="AEK20" s="89">
        <f>AEJ21</f>
        <v/>
      </c>
      <c r="AEL20" s="89">
        <f>AEK21</f>
        <v/>
      </c>
      <c r="AEM20" s="89">
        <f>AEL21</f>
        <v/>
      </c>
      <c r="AEN20" s="89">
        <f>AEM21</f>
        <v/>
      </c>
      <c r="AEO20" s="126" t="n"/>
      <c r="AEP20" s="89">
        <f>AEN21</f>
        <v/>
      </c>
      <c r="AEQ20" s="89">
        <f>AEP21</f>
        <v/>
      </c>
      <c r="AER20" s="89">
        <f>AEQ21</f>
        <v/>
      </c>
      <c r="AES20" s="89">
        <f>AER21</f>
        <v/>
      </c>
      <c r="AET20" s="89">
        <f>AES21</f>
        <v/>
      </c>
      <c r="AEU20" s="89">
        <f>AET21</f>
        <v/>
      </c>
      <c r="AEV20" s="89">
        <f>AEU21</f>
        <v/>
      </c>
      <c r="AEW20" s="89">
        <f>AEV21</f>
        <v/>
      </c>
      <c r="AEX20" s="89">
        <f>AEW21</f>
        <v/>
      </c>
      <c r="AEY20" s="89">
        <f>AEX21</f>
        <v/>
      </c>
      <c r="AEZ20" s="89">
        <f>AEY21</f>
        <v/>
      </c>
      <c r="AFA20" s="89">
        <f>AEZ21</f>
        <v/>
      </c>
      <c r="AFB20" s="89">
        <f>AFA21</f>
        <v/>
      </c>
      <c r="AFC20" s="89">
        <f>AFB21</f>
        <v/>
      </c>
      <c r="AFD20" s="89">
        <f>AFC21</f>
        <v/>
      </c>
      <c r="AFE20" s="89">
        <f>AFD21</f>
        <v/>
      </c>
      <c r="AFF20" s="89">
        <f>AFE21</f>
        <v/>
      </c>
      <c r="AFG20" s="89">
        <f>AFF21</f>
        <v/>
      </c>
      <c r="AFH20" s="89">
        <f>AFG21</f>
        <v/>
      </c>
      <c r="AFI20" s="89">
        <f>AFH21</f>
        <v/>
      </c>
      <c r="AFJ20" s="89">
        <f>AFI21</f>
        <v/>
      </c>
      <c r="AFK20" s="89">
        <f>AFJ21</f>
        <v/>
      </c>
      <c r="AFL20" s="89">
        <f>AFK21</f>
        <v/>
      </c>
      <c r="AFM20" s="89">
        <f>AFL21</f>
        <v/>
      </c>
      <c r="AFN20" s="89">
        <f>AFM21</f>
        <v/>
      </c>
      <c r="AFO20" s="89">
        <f>AFN21</f>
        <v/>
      </c>
      <c r="AFP20" s="89">
        <f>AFO21</f>
        <v/>
      </c>
      <c r="AFQ20" s="89">
        <f>AFP21</f>
        <v/>
      </c>
      <c r="AFR20" s="89">
        <f>AFQ21</f>
        <v/>
      </c>
      <c r="AFS20" s="89">
        <f>AFR21</f>
        <v/>
      </c>
      <c r="AFT20" s="89">
        <f>AFS21</f>
        <v/>
      </c>
      <c r="AFU20" s="126" t="n"/>
      <c r="AFV20" s="89">
        <f>AFT21</f>
        <v/>
      </c>
      <c r="AFW20" s="89">
        <f>AFV21</f>
        <v/>
      </c>
      <c r="AFX20" s="89">
        <f>AFW21</f>
        <v/>
      </c>
      <c r="AFY20" s="89">
        <f>AFX21</f>
        <v/>
      </c>
      <c r="AFZ20" s="89">
        <f>AFY21</f>
        <v/>
      </c>
      <c r="AGA20" s="89">
        <f>AFZ21</f>
        <v/>
      </c>
      <c r="AGB20" s="89">
        <f>AGA21</f>
        <v/>
      </c>
      <c r="AGC20" s="89">
        <f>AGB21</f>
        <v/>
      </c>
      <c r="AGD20" s="89">
        <f>AGC21</f>
        <v/>
      </c>
      <c r="AGE20" s="89">
        <f>AGD21</f>
        <v/>
      </c>
      <c r="AGF20" s="89">
        <f>AGE21</f>
        <v/>
      </c>
      <c r="AGG20" s="89">
        <f>AGF21</f>
        <v/>
      </c>
      <c r="AGH20" s="89">
        <f>AGG21</f>
        <v/>
      </c>
      <c r="AGI20" s="89">
        <f>AGH21</f>
        <v/>
      </c>
      <c r="AGJ20" s="89">
        <f>AGI21</f>
        <v/>
      </c>
      <c r="AGK20" s="89">
        <f>AGJ21</f>
        <v/>
      </c>
      <c r="AGL20" s="89">
        <f>AGK21</f>
        <v/>
      </c>
      <c r="AGM20" s="89">
        <f>AGL21</f>
        <v/>
      </c>
      <c r="AGN20" s="89">
        <f>AGM21</f>
        <v/>
      </c>
      <c r="AGO20" s="89">
        <f>AGN21</f>
        <v/>
      </c>
      <c r="AGP20" s="89">
        <f>AGO21</f>
        <v/>
      </c>
      <c r="AGQ20" s="89">
        <f>AGP21</f>
        <v/>
      </c>
      <c r="AGR20" s="89">
        <f>AGQ21</f>
        <v/>
      </c>
      <c r="AGS20" s="89">
        <f>AGR21</f>
        <v/>
      </c>
      <c r="AGT20" s="89">
        <f>AGS21</f>
        <v/>
      </c>
      <c r="AGU20" s="89">
        <f>AGT21</f>
        <v/>
      </c>
      <c r="AGV20" s="89">
        <f>AGU21</f>
        <v/>
      </c>
      <c r="AGW20" s="89">
        <f>AGV21</f>
        <v/>
      </c>
      <c r="AGX20" s="89">
        <f>AGW21</f>
        <v/>
      </c>
      <c r="AGY20" s="89">
        <f>AGX21</f>
        <v/>
      </c>
      <c r="AGZ20" s="126" t="n"/>
      <c r="AHA20" s="89">
        <f>AGY21</f>
        <v/>
      </c>
      <c r="AHB20" s="89">
        <f>AHA21</f>
        <v/>
      </c>
      <c r="AHC20" s="89">
        <f>AHB21</f>
        <v/>
      </c>
      <c r="AHD20" s="89">
        <f>AHC21</f>
        <v/>
      </c>
      <c r="AHE20" s="89">
        <f>AHD21</f>
        <v/>
      </c>
      <c r="AHF20" s="89">
        <f>AHE21</f>
        <v/>
      </c>
      <c r="AHG20" s="89">
        <f>AHF21</f>
        <v/>
      </c>
      <c r="AHH20" s="89">
        <f>AHG21</f>
        <v/>
      </c>
      <c r="AHI20" s="89">
        <f>AHH21</f>
        <v/>
      </c>
      <c r="AHJ20" s="89">
        <f>AHI21</f>
        <v/>
      </c>
      <c r="AHK20" s="89">
        <f>AHJ21</f>
        <v/>
      </c>
      <c r="AHL20" s="89">
        <f>AHK21</f>
        <v/>
      </c>
      <c r="AHM20" s="89">
        <f>AHL21</f>
        <v/>
      </c>
      <c r="AHN20" s="89">
        <f>AHM21</f>
        <v/>
      </c>
      <c r="AHO20" s="89">
        <f>AHN21</f>
        <v/>
      </c>
      <c r="AHP20" s="89">
        <f>AHO21</f>
        <v/>
      </c>
      <c r="AHQ20" s="89">
        <f>AHP21</f>
        <v/>
      </c>
      <c r="AHR20" s="89">
        <f>AHQ21</f>
        <v/>
      </c>
      <c r="AHS20" s="89">
        <f>AHR21</f>
        <v/>
      </c>
      <c r="AHT20" s="89">
        <f>AHS21</f>
        <v/>
      </c>
      <c r="AHU20" s="89">
        <f>AHT21</f>
        <v/>
      </c>
      <c r="AHV20" s="89">
        <f>AHU21</f>
        <v/>
      </c>
      <c r="AHW20" s="89">
        <f>AHV21</f>
        <v/>
      </c>
      <c r="AHX20" s="89">
        <f>AHW21</f>
        <v/>
      </c>
      <c r="AHY20" s="89">
        <f>AHX21</f>
        <v/>
      </c>
      <c r="AHZ20" s="89">
        <f>AHY21</f>
        <v/>
      </c>
      <c r="AIA20" s="89">
        <f>AHZ21</f>
        <v/>
      </c>
      <c r="AIB20" s="89">
        <f>AIA21</f>
        <v/>
      </c>
      <c r="AIC20" s="89">
        <f>AIB21</f>
        <v/>
      </c>
      <c r="AID20" s="89">
        <f>AIC21</f>
        <v/>
      </c>
      <c r="AIE20" s="89">
        <f>AID21</f>
        <v/>
      </c>
      <c r="AIF20" s="126" t="n"/>
      <c r="AIG20" s="89">
        <f>AIE21</f>
        <v/>
      </c>
      <c r="AIH20" s="89">
        <f>AIG21</f>
        <v/>
      </c>
      <c r="AII20" s="89">
        <f>AIH21</f>
        <v/>
      </c>
      <c r="AIJ20" s="89">
        <f>AII21</f>
        <v/>
      </c>
      <c r="AIK20" s="89">
        <f>AIJ21</f>
        <v/>
      </c>
      <c r="AIL20" s="89">
        <f>AIK21</f>
        <v/>
      </c>
      <c r="AIM20" s="89">
        <f>AIL21</f>
        <v/>
      </c>
      <c r="AIN20" s="89">
        <f>AIM21</f>
        <v/>
      </c>
      <c r="AIO20" s="89">
        <f>AIN21</f>
        <v/>
      </c>
      <c r="AIP20" s="89">
        <f>AIO21</f>
        <v/>
      </c>
      <c r="AIQ20" s="89">
        <f>AIP21</f>
        <v/>
      </c>
      <c r="AIR20" s="89">
        <f>AIQ21</f>
        <v/>
      </c>
      <c r="AIS20" s="89">
        <f>AIR21</f>
        <v/>
      </c>
      <c r="AIT20" s="89">
        <f>AIS21</f>
        <v/>
      </c>
      <c r="AIU20" s="89">
        <f>AIT21</f>
        <v/>
      </c>
      <c r="AIV20" s="89">
        <f>AIU21</f>
        <v/>
      </c>
      <c r="AIW20" s="89">
        <f>AIV21</f>
        <v/>
      </c>
      <c r="AIX20" s="89">
        <f>AIW21</f>
        <v/>
      </c>
      <c r="AIY20" s="89">
        <f>AIX21</f>
        <v/>
      </c>
      <c r="AIZ20" s="89">
        <f>AIY21</f>
        <v/>
      </c>
      <c r="AJA20" s="89">
        <f>AIZ21</f>
        <v/>
      </c>
      <c r="AJB20" s="89">
        <f>AJA21</f>
        <v/>
      </c>
      <c r="AJC20" s="89">
        <f>AJB21</f>
        <v/>
      </c>
      <c r="AJD20" s="89">
        <f>AJC21</f>
        <v/>
      </c>
      <c r="AJE20" s="89">
        <f>AJD21</f>
        <v/>
      </c>
      <c r="AJF20" s="89">
        <f>AJE21</f>
        <v/>
      </c>
      <c r="AJG20" s="89">
        <f>AJF21</f>
        <v/>
      </c>
      <c r="AJH20" s="89">
        <f>AJG21</f>
        <v/>
      </c>
      <c r="AJI20" s="89">
        <f>AJH21</f>
        <v/>
      </c>
      <c r="AJJ20" s="89">
        <f>AJI21</f>
        <v/>
      </c>
      <c r="AJK20" s="89">
        <f>AJJ21</f>
        <v/>
      </c>
      <c r="AJL20" s="126" t="n"/>
      <c r="AJM20" s="89">
        <f>AJK21</f>
        <v/>
      </c>
      <c r="AJN20" s="89">
        <f>AJM21</f>
        <v/>
      </c>
      <c r="AJO20" s="89">
        <f>AJN21</f>
        <v/>
      </c>
      <c r="AJP20" s="89">
        <f>AJO21</f>
        <v/>
      </c>
      <c r="AJQ20" s="89">
        <f>AJP21</f>
        <v/>
      </c>
      <c r="AJR20" s="89">
        <f>AJQ21</f>
        <v/>
      </c>
      <c r="AJS20" s="89">
        <f>AJR21</f>
        <v/>
      </c>
      <c r="AJT20" s="89">
        <f>AJS21</f>
        <v/>
      </c>
      <c r="AJU20" s="89">
        <f>AJT21</f>
        <v/>
      </c>
      <c r="AJV20" s="89">
        <f>AJU21</f>
        <v/>
      </c>
      <c r="AJW20" s="89">
        <f>AJV21</f>
        <v/>
      </c>
      <c r="AJX20" s="89">
        <f>AJW21</f>
        <v/>
      </c>
      <c r="AJY20" s="89">
        <f>AJX21</f>
        <v/>
      </c>
      <c r="AJZ20" s="89">
        <f>AJY21</f>
        <v/>
      </c>
      <c r="AKA20" s="89">
        <f>AJZ21</f>
        <v/>
      </c>
      <c r="AKB20" s="89">
        <f>AKA21</f>
        <v/>
      </c>
      <c r="AKC20" s="89">
        <f>AKB21</f>
        <v/>
      </c>
      <c r="AKD20" s="89">
        <f>AKC21</f>
        <v/>
      </c>
      <c r="AKE20" s="89">
        <f>AKD21</f>
        <v/>
      </c>
      <c r="AKF20" s="89">
        <f>AKE21</f>
        <v/>
      </c>
      <c r="AKG20" s="89">
        <f>AKF21</f>
        <v/>
      </c>
      <c r="AKH20" s="89">
        <f>AKG21</f>
        <v/>
      </c>
      <c r="AKI20" s="89">
        <f>AKH21</f>
        <v/>
      </c>
      <c r="AKJ20" s="89">
        <f>AKI21</f>
        <v/>
      </c>
      <c r="AKK20" s="89">
        <f>AKJ21</f>
        <v/>
      </c>
      <c r="AKL20" s="89">
        <f>AKK21</f>
        <v/>
      </c>
      <c r="AKM20" s="89">
        <f>AKL21</f>
        <v/>
      </c>
      <c r="AKN20" s="89">
        <f>AKM21</f>
        <v/>
      </c>
      <c r="AKO20" s="126" t="n"/>
      <c r="AKP20" s="89">
        <f>AKN21</f>
        <v/>
      </c>
      <c r="AKQ20" s="89">
        <f>AKP21</f>
        <v/>
      </c>
      <c r="AKR20" s="89">
        <f>AKQ21</f>
        <v/>
      </c>
      <c r="AKS20" s="89">
        <f>AKR21</f>
        <v/>
      </c>
      <c r="AKT20" s="89">
        <f>AKS21</f>
        <v/>
      </c>
      <c r="AKU20" s="89">
        <f>AKT21</f>
        <v/>
      </c>
      <c r="AKV20" s="89">
        <f>AKU21</f>
        <v/>
      </c>
      <c r="AKW20" s="89">
        <f>AKV21</f>
        <v/>
      </c>
      <c r="AKX20" s="89">
        <f>AKW21</f>
        <v/>
      </c>
      <c r="AKY20" s="89">
        <f>AKX21</f>
        <v/>
      </c>
      <c r="AKZ20" s="89">
        <f>AKY21</f>
        <v/>
      </c>
      <c r="ALA20" s="89">
        <f>AKZ21</f>
        <v/>
      </c>
      <c r="ALB20" s="89">
        <f>ALA21</f>
        <v/>
      </c>
      <c r="ALC20" s="89">
        <f>ALB21</f>
        <v/>
      </c>
      <c r="ALD20" s="89">
        <f>ALC21</f>
        <v/>
      </c>
      <c r="ALE20" s="89">
        <f>ALD21</f>
        <v/>
      </c>
      <c r="ALF20" s="89">
        <f>ALE21</f>
        <v/>
      </c>
      <c r="ALG20" s="89">
        <f>ALF21</f>
        <v/>
      </c>
      <c r="ALH20" s="89">
        <f>ALG21</f>
        <v/>
      </c>
      <c r="ALI20" s="89">
        <f>ALH21</f>
        <v/>
      </c>
      <c r="ALJ20" s="89">
        <f>ALI21</f>
        <v/>
      </c>
      <c r="ALK20" s="89">
        <f>ALJ21</f>
        <v/>
      </c>
      <c r="ALL20" s="89">
        <f>ALK21</f>
        <v/>
      </c>
      <c r="ALM20" s="89">
        <f>ALL21</f>
        <v/>
      </c>
      <c r="ALN20" s="89">
        <f>ALM21</f>
        <v/>
      </c>
      <c r="ALO20" s="89">
        <f>ALN21</f>
        <v/>
      </c>
      <c r="ALP20" s="89">
        <f>ALO21</f>
        <v/>
      </c>
      <c r="ALQ20" s="89">
        <f>ALP21</f>
        <v/>
      </c>
      <c r="ALR20" s="89">
        <f>ALQ21</f>
        <v/>
      </c>
      <c r="ALS20" s="89">
        <f>ALR21</f>
        <v/>
      </c>
      <c r="ALT20" s="89">
        <f>ALS21</f>
        <v/>
      </c>
      <c r="ALU20" s="126" t="n"/>
      <c r="ALV20" s="89">
        <f>ALT21</f>
        <v/>
      </c>
      <c r="ALW20" s="89">
        <f>ALV21</f>
        <v/>
      </c>
      <c r="ALX20" s="89">
        <f>ALW21</f>
        <v/>
      </c>
      <c r="ALY20" s="89">
        <f>ALX21</f>
        <v/>
      </c>
      <c r="ALZ20" s="89">
        <f>ALY21</f>
        <v/>
      </c>
      <c r="AMA20" s="89">
        <f>ALZ21</f>
        <v/>
      </c>
      <c r="AMB20" s="89">
        <f>AMA21</f>
        <v/>
      </c>
      <c r="AMC20" s="89">
        <f>AMB21</f>
        <v/>
      </c>
      <c r="AMD20" s="89">
        <f>AMC21</f>
        <v/>
      </c>
      <c r="AME20" s="89">
        <f>AMD21</f>
        <v/>
      </c>
      <c r="AMF20" s="89">
        <f>AME21</f>
        <v/>
      </c>
      <c r="AMG20" s="89">
        <f>AMF21</f>
        <v/>
      </c>
      <c r="AMH20" s="89">
        <f>AMG21</f>
        <v/>
      </c>
      <c r="AMI20" s="89">
        <f>AMH21</f>
        <v/>
      </c>
      <c r="AMJ20" s="89">
        <f>AMI21</f>
        <v/>
      </c>
      <c r="AMK20" s="89">
        <f>AMJ21</f>
        <v/>
      </c>
      <c r="AML20" s="89">
        <f>AMK21</f>
        <v/>
      </c>
      <c r="AMM20" s="89">
        <f>AML21</f>
        <v/>
      </c>
      <c r="AMN20" s="89">
        <f>AMM21</f>
        <v/>
      </c>
      <c r="AMO20" s="89">
        <f>AMN21</f>
        <v/>
      </c>
      <c r="AMP20" s="89">
        <f>AMO21</f>
        <v/>
      </c>
      <c r="AMQ20" s="89">
        <f>AMP21</f>
        <v/>
      </c>
      <c r="AMR20" s="89">
        <f>AMQ21</f>
        <v/>
      </c>
      <c r="AMS20" s="89">
        <f>AMR21</f>
        <v/>
      </c>
      <c r="AMT20" s="89">
        <f>AMS21</f>
        <v/>
      </c>
      <c r="AMU20" s="89">
        <f>AMT21</f>
        <v/>
      </c>
      <c r="AMV20" s="89">
        <f>AMU21</f>
        <v/>
      </c>
      <c r="AMW20" s="89">
        <f>AMV21</f>
        <v/>
      </c>
      <c r="AMX20" s="89">
        <f>AMW21</f>
        <v/>
      </c>
      <c r="AMY20" s="89">
        <f>AMX21</f>
        <v/>
      </c>
      <c r="AMZ20" s="126" t="n"/>
      <c r="ANA20" s="89">
        <f>AMY21</f>
        <v/>
      </c>
      <c r="ANB20" s="89">
        <f>ANA21</f>
        <v/>
      </c>
      <c r="ANC20" s="89">
        <f>ANB21</f>
        <v/>
      </c>
      <c r="AND20" s="89">
        <f>ANC21</f>
        <v/>
      </c>
      <c r="ANE20" s="89">
        <f>AND21</f>
        <v/>
      </c>
      <c r="ANF20" s="89">
        <f>ANE21</f>
        <v/>
      </c>
      <c r="ANG20" s="89">
        <f>ANF21</f>
        <v/>
      </c>
      <c r="ANH20" s="89">
        <f>ANG21</f>
        <v/>
      </c>
      <c r="ANI20" s="89">
        <f>ANH21</f>
        <v/>
      </c>
      <c r="ANJ20" s="89">
        <f>ANI21</f>
        <v/>
      </c>
      <c r="ANK20" s="89">
        <f>ANJ21</f>
        <v/>
      </c>
      <c r="ANL20" s="89">
        <f>ANK21</f>
        <v/>
      </c>
      <c r="ANM20" s="89">
        <f>ANL21</f>
        <v/>
      </c>
      <c r="ANN20" s="89">
        <f>ANM21</f>
        <v/>
      </c>
      <c r="ANO20" s="89">
        <f>ANN21</f>
        <v/>
      </c>
      <c r="ANP20" s="89">
        <f>ANO21</f>
        <v/>
      </c>
      <c r="ANQ20" s="89">
        <f>ANP21</f>
        <v/>
      </c>
      <c r="ANR20" s="89">
        <f>ANQ21</f>
        <v/>
      </c>
      <c r="ANS20" s="89">
        <f>ANR21</f>
        <v/>
      </c>
      <c r="ANT20" s="89">
        <f>ANS21</f>
        <v/>
      </c>
      <c r="ANU20" s="89">
        <f>ANT21</f>
        <v/>
      </c>
      <c r="ANV20" s="89">
        <f>ANU21</f>
        <v/>
      </c>
      <c r="ANW20" s="89">
        <f>ANV21</f>
        <v/>
      </c>
      <c r="ANX20" s="89">
        <f>ANW21</f>
        <v/>
      </c>
      <c r="ANY20" s="89">
        <f>ANX21</f>
        <v/>
      </c>
      <c r="ANZ20" s="89">
        <f>ANY21</f>
        <v/>
      </c>
      <c r="AOA20" s="89">
        <f>ANZ21</f>
        <v/>
      </c>
      <c r="AOB20" s="89">
        <f>AOA21</f>
        <v/>
      </c>
      <c r="AOC20" s="89">
        <f>AOB21</f>
        <v/>
      </c>
      <c r="AOD20" s="89">
        <f>AOC21</f>
        <v/>
      </c>
    </row>
    <row r="21">
      <c r="A21" s="157" t="n"/>
      <c r="C21" s="47" t="inlineStr">
        <is>
          <t>CLOSING</t>
        </is>
      </c>
      <c r="D21" s="48" t="n">
        <v>417275.029</v>
      </c>
      <c r="E21" s="18" t="n">
        <v>417746.113</v>
      </c>
      <c r="F21" s="18" t="n">
        <v>418113.859</v>
      </c>
      <c r="G21" s="18" t="n">
        <v>418550.419</v>
      </c>
      <c r="H21" s="18" t="n">
        <v>418959.116</v>
      </c>
      <c r="I21" s="18" t="n">
        <v>419140.144</v>
      </c>
      <c r="J21" s="18" t="n">
        <v>419472.958</v>
      </c>
      <c r="K21" s="18" t="n">
        <v>419726.491</v>
      </c>
      <c r="L21" s="18" t="n">
        <v>419977.329</v>
      </c>
      <c r="M21" s="18" t="n">
        <v>420328.241</v>
      </c>
      <c r="N21" s="18" t="n">
        <v>420797.349</v>
      </c>
      <c r="O21" s="18" t="n">
        <v>421083.614</v>
      </c>
      <c r="P21" s="18" t="n">
        <v>421383.8</v>
      </c>
      <c r="Q21" s="18" t="n">
        <v>421756.804</v>
      </c>
      <c r="R21" s="18" t="n">
        <v>422016.047</v>
      </c>
      <c r="S21" s="18" t="n">
        <v>422311.639</v>
      </c>
      <c r="T21" s="18" t="n">
        <v>422920.131</v>
      </c>
      <c r="U21" s="18" t="n">
        <v>423169.776</v>
      </c>
      <c r="V21" s="18" t="n">
        <v>423424.59</v>
      </c>
      <c r="W21" s="18" t="n">
        <v>423957.921</v>
      </c>
      <c r="X21" s="18" t="n">
        <v>424337.522</v>
      </c>
      <c r="Y21" s="18" t="n">
        <v>424553.407</v>
      </c>
      <c r="Z21" s="18" t="n">
        <v>424819.77</v>
      </c>
      <c r="AA21" s="18" t="n">
        <v>425162.551</v>
      </c>
      <c r="AB21" s="18" t="n">
        <v>425623.499</v>
      </c>
      <c r="AC21" s="18" t="n">
        <v>425958.543</v>
      </c>
      <c r="AD21" s="18" t="n">
        <v>426394.657</v>
      </c>
      <c r="AE21" s="18" t="n">
        <v>426911.486</v>
      </c>
      <c r="AF21" s="18" t="n">
        <v>427506.636</v>
      </c>
      <c r="AG21" s="18" t="n">
        <v>427815.368</v>
      </c>
      <c r="AH21" s="18" t="n">
        <v>428251.179</v>
      </c>
      <c r="AI21" s="17" t="n"/>
      <c r="AJ21" s="13" t="n">
        <v>428643.703</v>
      </c>
      <c r="AK21" s="13" t="n">
        <v>429110.529</v>
      </c>
      <c r="AL21" s="13" t="n">
        <v>429536.966</v>
      </c>
      <c r="AM21" s="13" t="n">
        <v>430202.197</v>
      </c>
      <c r="AN21" s="13" t="n">
        <v>430727.914</v>
      </c>
      <c r="AO21" s="13" t="n">
        <v>431681.635</v>
      </c>
      <c r="AP21" s="13" t="n">
        <v>432370.102</v>
      </c>
      <c r="AQ21" s="13" t="n">
        <v>433231.056</v>
      </c>
      <c r="AR21" s="13" t="n">
        <v>433721.548</v>
      </c>
      <c r="AS21" s="13" t="n">
        <v>434025.729</v>
      </c>
      <c r="AT21" s="13" t="n">
        <v>434566.937</v>
      </c>
      <c r="AU21" s="13" t="n">
        <v>434952.652</v>
      </c>
      <c r="AV21" s="13" t="n">
        <v>435313.505</v>
      </c>
      <c r="AW21" s="13" t="n">
        <v>435667.573</v>
      </c>
      <c r="AX21" s="13" t="n">
        <v>436005.532</v>
      </c>
      <c r="AY21" s="13" t="n">
        <v>436368.461</v>
      </c>
      <c r="AZ21" s="13" t="n">
        <v>436808.649</v>
      </c>
      <c r="BA21" s="13" t="n">
        <v>437428.376</v>
      </c>
      <c r="BB21" s="13" t="n">
        <v>437869.376</v>
      </c>
      <c r="BC21" s="13" t="n">
        <v>438276.411</v>
      </c>
      <c r="BD21" s="13" t="n">
        <v>438585.982</v>
      </c>
      <c r="BE21" s="13" t="n">
        <v>439065.456</v>
      </c>
      <c r="BF21" s="13" t="n">
        <v>439701.356</v>
      </c>
      <c r="BG21" s="13" t="n">
        <v>440069.304</v>
      </c>
      <c r="BH21" s="13" t="n">
        <v>440428.879</v>
      </c>
      <c r="BI21" s="13" t="n">
        <v>440779.877</v>
      </c>
      <c r="BJ21" s="13" t="n">
        <v>441344.753</v>
      </c>
      <c r="BK21" s="13" t="n">
        <v>441949.84</v>
      </c>
      <c r="BL21" s="13" t="n">
        <v>442599.706</v>
      </c>
      <c r="BM21" s="13" t="n">
        <v>442982.202</v>
      </c>
      <c r="BO21" s="13" t="n">
        <v>443345.325</v>
      </c>
      <c r="BP21" s="13" t="n">
        <v>443766.121</v>
      </c>
      <c r="BQ21" s="13" t="n">
        <v>444214.992</v>
      </c>
      <c r="BR21" s="13" t="n">
        <v>444660.364</v>
      </c>
      <c r="BS21" s="13" t="n">
        <v>445530.256</v>
      </c>
      <c r="BT21" s="13" t="n">
        <v>446056.038</v>
      </c>
      <c r="BU21" s="13" t="n">
        <v>446549.343</v>
      </c>
      <c r="BV21" s="13" t="n">
        <v>446853.352</v>
      </c>
      <c r="BW21" s="13" t="n">
        <v>447577.974</v>
      </c>
      <c r="BX21" s="13" t="n">
        <v>448024.103</v>
      </c>
      <c r="BY21" s="13" t="n">
        <v>448346.705</v>
      </c>
      <c r="BZ21" s="13" t="n">
        <v>448662.841</v>
      </c>
      <c r="CA21" s="13" t="n">
        <v>449076.549</v>
      </c>
      <c r="CB21" s="13" t="n">
        <v>449399.756</v>
      </c>
      <c r="CC21" s="13" t="n">
        <v>449752.356</v>
      </c>
      <c r="CD21" s="13" t="n">
        <v>450147.696</v>
      </c>
      <c r="CE21" s="13" t="n">
        <v>450491.346</v>
      </c>
      <c r="CF21" s="13" t="n">
        <v>451031.546</v>
      </c>
      <c r="CG21" s="13" t="n">
        <v>451274.758</v>
      </c>
      <c r="CH21" s="13" t="n">
        <v>451776.429</v>
      </c>
      <c r="CI21" s="13" t="n">
        <v>452070.351</v>
      </c>
      <c r="CJ21" s="13" t="n">
        <v>452351.744</v>
      </c>
      <c r="CK21" s="13" t="n">
        <v>452703.071</v>
      </c>
      <c r="CL21" s="13" t="n">
        <v>453195.369</v>
      </c>
      <c r="CM21" s="13" t="n">
        <v>453408.589</v>
      </c>
      <c r="CN21" s="13" t="n">
        <v>453716.044</v>
      </c>
      <c r="CO21" s="13" t="n">
        <v>454076.432</v>
      </c>
      <c r="CP21" s="13" t="n">
        <v>454534.392</v>
      </c>
      <c r="CQ21" s="13" t="n">
        <v>454860.03</v>
      </c>
      <c r="CR21" s="13" t="n">
        <v>455225.48</v>
      </c>
      <c r="CS21" s="13" t="n">
        <v>455571.313</v>
      </c>
      <c r="CU21" s="13" t="n">
        <v>455928.643</v>
      </c>
      <c r="CV21" s="13" t="n">
        <v>456335.912</v>
      </c>
      <c r="CW21" s="13" t="n">
        <v>456702.375</v>
      </c>
      <c r="CX21" s="13" t="n">
        <v>457099.723</v>
      </c>
      <c r="CY21" s="13" t="n">
        <v>457541.968</v>
      </c>
      <c r="CZ21" s="13" t="n">
        <v>457994.353</v>
      </c>
      <c r="DA21" s="13" t="n">
        <v>458630.096</v>
      </c>
      <c r="DB21" s="13" t="n">
        <v>458910.878</v>
      </c>
      <c r="DC21" s="13" t="n">
        <v>459456.864</v>
      </c>
      <c r="DD21" s="13" t="n">
        <v>459899.157</v>
      </c>
      <c r="DE21" s="13" t="n">
        <v>460358.946</v>
      </c>
      <c r="DF21" s="13" t="n">
        <v>460564.283</v>
      </c>
      <c r="DG21" s="13" t="n">
        <v>460745.307</v>
      </c>
      <c r="DH21" s="13" t="n">
        <v>461139.931</v>
      </c>
      <c r="DI21" s="13" t="n">
        <v>461455.609</v>
      </c>
      <c r="DJ21" s="13" t="n">
        <v>461707.11</v>
      </c>
      <c r="DK21" s="13" t="n">
        <v>462674.926</v>
      </c>
      <c r="DL21" s="13" t="n">
        <v>462972.303</v>
      </c>
      <c r="DM21" s="13" t="n">
        <v>463171.526</v>
      </c>
      <c r="DN21" s="13" t="n">
        <v>463692.098</v>
      </c>
      <c r="DO21" s="13" t="n">
        <v>464016.724</v>
      </c>
      <c r="DP21" s="13" t="n">
        <v>464568.604</v>
      </c>
      <c r="DQ21" s="13" t="n">
        <v>465026.54</v>
      </c>
      <c r="DR21" s="13" t="n">
        <v>465454.382</v>
      </c>
      <c r="DS21" s="13" t="n">
        <v>465764.949</v>
      </c>
      <c r="DT21" s="13" t="n">
        <v>466132.27</v>
      </c>
      <c r="DU21" s="13" t="n">
        <v>466453.871</v>
      </c>
      <c r="DV21" s="13" t="n">
        <v>466970.382</v>
      </c>
      <c r="DW21" s="13" t="n">
        <v>467319.279</v>
      </c>
      <c r="DX21" s="13" t="n">
        <v>467692.894</v>
      </c>
      <c r="DY21" s="117" t="n"/>
      <c r="DZ21" s="13" t="n">
        <v>468017.133</v>
      </c>
      <c r="EA21" s="13" t="n">
        <v>468547.192</v>
      </c>
      <c r="EB21" s="13" t="n">
        <v>468828.147</v>
      </c>
      <c r="EC21" s="13" t="n">
        <v>469303.909</v>
      </c>
      <c r="ED21" s="13" t="n">
        <v>469685.285</v>
      </c>
      <c r="EE21" s="13" t="n">
        <v>470050.706</v>
      </c>
      <c r="EF21" s="13" t="n">
        <v>470471.001</v>
      </c>
      <c r="EG21" s="13" t="n">
        <v>470935.916</v>
      </c>
      <c r="EH21" s="13" t="n">
        <v>471367.306</v>
      </c>
      <c r="EI21" s="13" t="n">
        <v>471858.201</v>
      </c>
      <c r="EJ21" s="13" t="n">
        <v>472311.974</v>
      </c>
      <c r="EK21" s="13" t="n">
        <v>473125.592</v>
      </c>
      <c r="EL21" s="13" t="n">
        <v>473661.449</v>
      </c>
      <c r="EM21" s="13" t="n">
        <v>474247.301</v>
      </c>
      <c r="EN21" s="13" t="n">
        <v>475103.451</v>
      </c>
      <c r="EO21" s="13" t="n">
        <v>475624.452</v>
      </c>
      <c r="EP21" s="13" t="n">
        <v>476117.616</v>
      </c>
      <c r="EQ21" s="13" t="n">
        <v>476543.42</v>
      </c>
      <c r="ER21" s="13" t="n">
        <v>477021.436</v>
      </c>
      <c r="ES21" s="13" t="n">
        <v>477586.221</v>
      </c>
      <c r="ET21" s="13" t="n">
        <v>478573.792</v>
      </c>
      <c r="EU21" s="13" t="n">
        <v>479359.405</v>
      </c>
      <c r="EV21" s="13" t="n">
        <v>480037.887</v>
      </c>
      <c r="EW21" s="13" t="n">
        <v>480484.209</v>
      </c>
      <c r="EX21" s="13" t="n">
        <v>480662.105</v>
      </c>
      <c r="EY21" s="13" t="n">
        <v>480951.764</v>
      </c>
      <c r="EZ21" s="13" t="n">
        <v>481385.064</v>
      </c>
      <c r="FA21" s="13" t="n">
        <v>481645.856</v>
      </c>
      <c r="FB21" s="13" t="n">
        <v>482045.362</v>
      </c>
      <c r="FC21" s="13" t="n">
        <v>482509.726</v>
      </c>
      <c r="FD21" s="13" t="n">
        <v>482831.115</v>
      </c>
      <c r="FE21" s="126" t="n"/>
      <c r="FF21" s="13" t="n">
        <v>483157.364</v>
      </c>
      <c r="FG21" s="13" t="n">
        <v>483505.579</v>
      </c>
      <c r="FH21" s="13" t="n">
        <v>483996.177</v>
      </c>
      <c r="FI21" s="13" t="n">
        <v>484390.725</v>
      </c>
      <c r="FJ21" s="13" t="n">
        <v>484872.544</v>
      </c>
      <c r="FK21" s="13" t="n">
        <v>485415.383</v>
      </c>
      <c r="FL21" s="13" t="n">
        <v>485813.836</v>
      </c>
      <c r="FM21" s="13" t="n">
        <v>486230.66</v>
      </c>
      <c r="FN21" s="13" t="n">
        <v>486657.951</v>
      </c>
      <c r="FO21" s="13" t="n">
        <v>487012.669</v>
      </c>
      <c r="FP21" s="13" t="n">
        <v>487404.183</v>
      </c>
      <c r="FQ21" s="13" t="n">
        <v>488128.382</v>
      </c>
      <c r="FR21" s="13" t="n">
        <v>488447.531</v>
      </c>
      <c r="FS21" s="13" t="n">
        <v>489040.484</v>
      </c>
      <c r="FT21" s="13" t="n">
        <v>489785.813</v>
      </c>
      <c r="FU21" s="13" t="n">
        <v>490221.545</v>
      </c>
      <c r="FV21" s="13" t="n">
        <v>490807.677</v>
      </c>
      <c r="FW21" s="13" t="n">
        <v>491285.369</v>
      </c>
      <c r="FX21" s="13" t="n">
        <v>491603.575</v>
      </c>
      <c r="FY21" s="13" t="n">
        <v>492010.55</v>
      </c>
      <c r="FZ21" s="13" t="n">
        <v>492501.488</v>
      </c>
      <c r="GA21" s="13" t="n">
        <v>493225.383</v>
      </c>
      <c r="GB21" s="13" t="n">
        <v>493954.897</v>
      </c>
      <c r="GC21" s="13" t="n">
        <v>494371.85</v>
      </c>
      <c r="GD21" s="13" t="n">
        <v>494679.856</v>
      </c>
      <c r="GE21" s="13" t="n">
        <v>495015.087</v>
      </c>
      <c r="GF21" s="13" t="n">
        <v>495613.608</v>
      </c>
      <c r="GG21" s="13" t="n">
        <v>496314.803</v>
      </c>
      <c r="GH21" s="13" t="n">
        <v>496883.158</v>
      </c>
      <c r="GI21" s="13" t="n">
        <v>497568.416</v>
      </c>
      <c r="GJ21" s="13" t="n">
        <v>497885.284</v>
      </c>
      <c r="GK21" s="126" t="n"/>
      <c r="GL21" s="13" t="n">
        <v>498424.735</v>
      </c>
      <c r="GM21" s="13" t="n">
        <v>499186.389</v>
      </c>
      <c r="GN21" s="13" t="n">
        <v>499608.336</v>
      </c>
      <c r="GO21" s="13" t="n">
        <v>499948.585</v>
      </c>
      <c r="GP21" s="13" t="n">
        <v>500388.645</v>
      </c>
      <c r="GQ21" s="13" t="n">
        <v>500824.435</v>
      </c>
      <c r="GR21" s="13" t="n">
        <v>501348.325</v>
      </c>
      <c r="GS21" s="13" t="n">
        <v>501782.434</v>
      </c>
      <c r="GT21" s="13" t="n">
        <v>502166.354</v>
      </c>
      <c r="GU21" s="13" t="n">
        <v>502950.238</v>
      </c>
      <c r="GV21" s="13" t="n">
        <v>503411.346</v>
      </c>
      <c r="GW21" s="13" t="n">
        <v>503823.268</v>
      </c>
      <c r="GX21" s="13" t="n">
        <v>504136.641</v>
      </c>
      <c r="GY21" s="13" t="n">
        <v>504790.804</v>
      </c>
      <c r="GZ21" s="13" t="n">
        <v>505141.085</v>
      </c>
      <c r="HA21" s="13" t="n">
        <v>505561.439</v>
      </c>
      <c r="HB21" s="13" t="n">
        <v>505895.791</v>
      </c>
      <c r="HC21" s="13" t="n">
        <v>506298.161</v>
      </c>
      <c r="HD21" s="13" t="n">
        <v>506955.142</v>
      </c>
      <c r="HE21" s="13" t="n">
        <v>507387.326</v>
      </c>
      <c r="HF21" s="13" t="n">
        <v>507687.614</v>
      </c>
      <c r="HG21" s="13" t="n">
        <v>508082.486</v>
      </c>
      <c r="HH21" s="13" t="n">
        <v>508473.789</v>
      </c>
      <c r="HI21" s="13" t="n">
        <v>509453.406</v>
      </c>
      <c r="HJ21" s="13" t="n">
        <v>509726.155</v>
      </c>
      <c r="HK21" s="13" t="n">
        <v>510256.831</v>
      </c>
      <c r="HL21" s="13" t="n">
        <v>510544.224</v>
      </c>
      <c r="HM21" s="13" t="n">
        <v>510834.706</v>
      </c>
      <c r="HN21" s="13" t="n">
        <v>511393.881</v>
      </c>
      <c r="HO21" s="126" t="n"/>
      <c r="HP21" s="13" t="n">
        <v>511818.993</v>
      </c>
      <c r="HQ21" s="13" t="n">
        <v>512297.249</v>
      </c>
      <c r="HR21" s="13" t="n">
        <v>512711.628</v>
      </c>
      <c r="HS21" s="13" t="n">
        <v>513485.053</v>
      </c>
      <c r="HT21" s="13" t="n">
        <v>513970.483</v>
      </c>
      <c r="HU21" s="13" t="n">
        <v>514531.672</v>
      </c>
      <c r="HV21" s="13" t="n">
        <v>515238.91</v>
      </c>
      <c r="HW21" s="13" t="n">
        <v>515614.752</v>
      </c>
      <c r="HX21" s="13" t="n">
        <v>516462.779</v>
      </c>
      <c r="HY21" s="13" t="n">
        <v>516909.53</v>
      </c>
      <c r="HZ21" s="13" t="n">
        <v>517500.339</v>
      </c>
      <c r="IA21" s="13" t="n">
        <v>517894.665</v>
      </c>
      <c r="IB21" s="13" t="n">
        <v>518135.255</v>
      </c>
      <c r="IC21" s="13" t="n">
        <v>518599.108</v>
      </c>
      <c r="ID21" s="13" t="n">
        <v>518975.045</v>
      </c>
      <c r="IE21" s="13" t="n">
        <v>519313.409</v>
      </c>
      <c r="IF21" s="13" t="n">
        <v>519607.531</v>
      </c>
      <c r="IG21" s="13" t="n">
        <v>520144.171</v>
      </c>
      <c r="IH21" s="13" t="n">
        <v>520522.728</v>
      </c>
      <c r="II21" s="13" t="n">
        <v>520796.043</v>
      </c>
      <c r="IJ21" s="13" t="n">
        <v>521067.338</v>
      </c>
      <c r="IK21" s="13" t="n">
        <v>521580.189</v>
      </c>
      <c r="IL21" s="13" t="n">
        <v>522105.212</v>
      </c>
      <c r="IM21" s="13" t="n">
        <v>522389.473</v>
      </c>
      <c r="IN21" s="13" t="n">
        <v>523038.236</v>
      </c>
      <c r="IO21" s="13" t="n">
        <v>523490.092</v>
      </c>
      <c r="IP21" s="13" t="n">
        <v>524012.786</v>
      </c>
      <c r="IQ21" s="13" t="n">
        <v>524402.151</v>
      </c>
      <c r="IR21" s="13" t="n">
        <v>525244.422</v>
      </c>
      <c r="IS21" s="13" t="n">
        <v>525652.292</v>
      </c>
      <c r="IT21" s="13" t="n">
        <v>525936.8370000001</v>
      </c>
      <c r="IU21" s="126" t="n"/>
      <c r="IV21" s="13" t="n">
        <v>526322.6</v>
      </c>
      <c r="IW21" s="13" t="n">
        <v>526893.929</v>
      </c>
      <c r="IX21" s="13" t="n">
        <v>527214.571</v>
      </c>
      <c r="IY21" s="13" t="n">
        <v>527614.576</v>
      </c>
      <c r="IZ21" s="13" t="n">
        <v>528283.605</v>
      </c>
      <c r="JA21" s="13" t="n">
        <v>528561.062</v>
      </c>
      <c r="JB21" s="13" t="n">
        <v>528871.071</v>
      </c>
      <c r="JC21" s="13" t="n">
        <v>529530.4</v>
      </c>
      <c r="JD21" s="13" t="n">
        <v>529904.5429999999</v>
      </c>
      <c r="JE21" s="13" t="n">
        <v>530400.73</v>
      </c>
      <c r="JF21" s="13" t="n">
        <v>530988.442</v>
      </c>
      <c r="JG21" s="13" t="n">
        <v>531476.316</v>
      </c>
      <c r="JH21" s="13" t="n">
        <v>532330.403</v>
      </c>
      <c r="JI21" s="13" t="n">
        <v>532760.653</v>
      </c>
      <c r="JJ21" s="13" t="n">
        <v>533204.726</v>
      </c>
      <c r="JK21" s="13" t="n">
        <v>533626.5159999999</v>
      </c>
      <c r="JL21" s="13" t="n">
        <v>534231.5600000001</v>
      </c>
      <c r="JM21" s="13" t="n">
        <v>534674.03</v>
      </c>
      <c r="JN21" s="13" t="n">
        <v>535216.764</v>
      </c>
      <c r="JO21" s="13" t="n">
        <v>535569.839</v>
      </c>
      <c r="JP21" s="13" t="n">
        <v>535835.182</v>
      </c>
      <c r="JQ21" s="13" t="n">
        <v>536613.189</v>
      </c>
      <c r="JR21" s="13" t="n">
        <v>537028.371</v>
      </c>
      <c r="JS21" s="13" t="n">
        <v>537317.738</v>
      </c>
      <c r="JT21" s="13" t="n">
        <v>537640.754</v>
      </c>
      <c r="JU21" s="13" t="n">
        <v>538108.058</v>
      </c>
      <c r="JV21" s="13" t="n">
        <v>538457.459</v>
      </c>
      <c r="JW21" s="13" t="n">
        <v>538831.0379999999</v>
      </c>
      <c r="JX21" s="13" t="n">
        <v>539343.124</v>
      </c>
      <c r="JY21" s="13" t="n">
        <v>539648.765</v>
      </c>
      <c r="JZ21" s="126" t="n"/>
      <c r="KA21" s="13" t="n">
        <v>539933.428</v>
      </c>
      <c r="KB21" s="13" t="n">
        <v>540348.335</v>
      </c>
      <c r="KC21" s="13" t="n">
        <v>540849.603</v>
      </c>
      <c r="KD21" s="13" t="n">
        <v>541221.374</v>
      </c>
      <c r="KE21" s="13" t="n">
        <v>541687.55</v>
      </c>
      <c r="KF21" s="13" t="n">
        <v>542153.11</v>
      </c>
      <c r="KG21" s="13" t="n">
        <v>542653.233</v>
      </c>
      <c r="KH21" s="13" t="n">
        <v>543120.11</v>
      </c>
      <c r="KI21" s="13" t="n">
        <v>543560.9</v>
      </c>
      <c r="KJ21" s="13" t="n">
        <v>544023.1899999999</v>
      </c>
      <c r="KK21" s="13" t="n">
        <v>544424.113</v>
      </c>
      <c r="KL21" s="13" t="n">
        <v>544657.643</v>
      </c>
      <c r="KM21" s="13" t="n">
        <v>545375.914</v>
      </c>
      <c r="KN21" s="13" t="n">
        <v>545733.867</v>
      </c>
      <c r="KO21" s="13" t="n">
        <v>546114.702</v>
      </c>
      <c r="KP21" s="13" t="n">
        <v>546505.151</v>
      </c>
      <c r="KQ21" s="13" t="n">
        <v>546894.603</v>
      </c>
      <c r="KR21" s="13" t="n">
        <v>547374.107</v>
      </c>
      <c r="KS21" s="13" t="n">
        <v>547766.898</v>
      </c>
      <c r="KT21" s="13" t="n">
        <v>548295.73</v>
      </c>
      <c r="KU21" s="13" t="n">
        <v>548835.628</v>
      </c>
      <c r="KV21" s="13" t="n">
        <v>549396.7389999999</v>
      </c>
      <c r="KW21" s="13" t="n">
        <v>550009.183</v>
      </c>
      <c r="KX21" s="13" t="n">
        <v>550511.15</v>
      </c>
      <c r="KY21" s="13" t="n">
        <v>550992.474</v>
      </c>
      <c r="KZ21" s="13" t="n">
        <v>551481.223</v>
      </c>
      <c r="LA21" s="13" t="n">
        <v>552036.242</v>
      </c>
      <c r="LB21" s="13" t="n">
        <v>552672.048</v>
      </c>
      <c r="LC21" s="13" t="n">
        <v>553140.218</v>
      </c>
      <c r="LD21" s="13" t="n">
        <v>553603.993</v>
      </c>
      <c r="LE21" s="13" t="n">
        <v>554090.697</v>
      </c>
      <c r="LF21" s="126" t="n"/>
      <c r="LG21" s="13" t="n">
        <v>554579.194</v>
      </c>
      <c r="LH21" s="13" t="n">
        <v>555022.664</v>
      </c>
      <c r="LI21" s="13" t="n">
        <v>555623.3689999999</v>
      </c>
      <c r="LJ21" s="13" t="n">
        <v>556242.517</v>
      </c>
      <c r="LK21" s="13" t="n">
        <v>556584.147</v>
      </c>
      <c r="LL21" s="13" t="n">
        <v>557070.664</v>
      </c>
      <c r="LM21" s="13" t="n">
        <v>557559.618</v>
      </c>
      <c r="LN21" s="13" t="n">
        <v>558152.466</v>
      </c>
      <c r="LO21" s="13" t="n">
        <v>558516.953</v>
      </c>
      <c r="LP21" s="13" t="n">
        <v>559115.692</v>
      </c>
      <c r="LQ21" s="13" t="n">
        <v>559708.8320000001</v>
      </c>
      <c r="LR21" s="13" t="n">
        <v>560181.928</v>
      </c>
      <c r="LS21" s="13" t="n">
        <v>560661.2659999999</v>
      </c>
      <c r="LT21" s="13" t="n">
        <v>561113.346</v>
      </c>
      <c r="LU21" s="13" t="n">
        <v>561562.916</v>
      </c>
      <c r="LV21" s="13" t="n">
        <v>562046.2659999999</v>
      </c>
      <c r="LW21" s="13" t="n">
        <v>562471.823</v>
      </c>
      <c r="LX21" s="13" t="n">
        <v>562918.323</v>
      </c>
      <c r="LY21" s="13" t="n">
        <v>563380.71</v>
      </c>
      <c r="LZ21" s="13" t="n">
        <v>564204.922</v>
      </c>
      <c r="MA21" s="13" t="n">
        <v>564820.049</v>
      </c>
      <c r="MB21" s="13" t="n">
        <v>565309.414</v>
      </c>
      <c r="MC21" s="13" t="n">
        <v>565644.017</v>
      </c>
      <c r="MD21" s="13" t="n">
        <v>566209.257</v>
      </c>
      <c r="ME21" s="13" t="n">
        <v>566817.653</v>
      </c>
      <c r="MF21" s="13" t="n">
        <v>567203.704</v>
      </c>
      <c r="MG21" s="13" t="n">
        <v>567640.834</v>
      </c>
      <c r="MH21" s="13" t="n">
        <v>567993.64</v>
      </c>
      <c r="MI21" s="13" t="n">
        <v>568332.782</v>
      </c>
      <c r="MJ21" s="13" t="n">
        <v>568986.59</v>
      </c>
      <c r="MK21" s="126" t="n"/>
      <c r="ML21" s="13" t="n">
        <v>569614.115</v>
      </c>
      <c r="MM21" s="13" t="n">
        <v>570450.223</v>
      </c>
      <c r="MN21" s="13" t="n">
        <v>570891.95</v>
      </c>
      <c r="MO21" s="13" t="n">
        <v>571416.765</v>
      </c>
      <c r="MP21" s="13" t="n">
        <v>571960.55</v>
      </c>
      <c r="MQ21" s="13" t="n">
        <v>572427.706</v>
      </c>
      <c r="MR21" s="13" t="n">
        <v>573029.099</v>
      </c>
      <c r="MS21" s="13" t="n">
        <v>573618.9129999999</v>
      </c>
      <c r="MT21" s="13" t="n">
        <v>574151.241</v>
      </c>
      <c r="MU21" s="13" t="n">
        <v>574509.8540000001</v>
      </c>
      <c r="MV21" s="13" t="n">
        <v>575024.357</v>
      </c>
      <c r="MW21" s="13" t="n">
        <v>575488.1580000001</v>
      </c>
      <c r="MX21" s="13" t="n">
        <v>576040.427</v>
      </c>
      <c r="MY21" s="13" t="n">
        <v>576376.334</v>
      </c>
      <c r="MZ21" s="13" t="n">
        <v>576844.209</v>
      </c>
      <c r="NA21" s="13" t="n">
        <v>577445.1409999999</v>
      </c>
      <c r="NB21" s="13" t="n">
        <v>577885.176</v>
      </c>
      <c r="NC21" s="13" t="n">
        <v>578320.27</v>
      </c>
      <c r="ND21" s="13" t="n">
        <v>578815.782</v>
      </c>
      <c r="NE21" s="13" t="n">
        <v>579280.642</v>
      </c>
      <c r="NF21" s="13" t="n">
        <v>579642.107</v>
      </c>
      <c r="NG21" s="13" t="n">
        <v>580020.498</v>
      </c>
      <c r="NH21" s="13" t="n">
        <v>580382.638</v>
      </c>
      <c r="NI21" s="13" t="n">
        <v>580759.27</v>
      </c>
      <c r="NJ21" s="13" t="n">
        <v>581296.856</v>
      </c>
      <c r="NK21" s="13" t="n">
        <v>581885.297</v>
      </c>
      <c r="NL21" s="13" t="n">
        <v>582167.142</v>
      </c>
      <c r="NM21" s="13" t="n">
        <v>582602.814</v>
      </c>
      <c r="NN21" s="13" t="n">
        <v>583018.0820000001</v>
      </c>
      <c r="NO21" s="13" t="n">
        <v>583481.914</v>
      </c>
      <c r="NP21" s="13" t="n">
        <v>583933.471</v>
      </c>
      <c r="NQ21" s="126" t="n"/>
      <c r="NR21" s="13" t="n">
        <v>584289.539</v>
      </c>
      <c r="NS21" s="13" t="n">
        <v>584848.1360000001</v>
      </c>
      <c r="NT21" s="13" t="n">
        <v>585218.598</v>
      </c>
      <c r="NU21" s="13" t="n">
        <v>585574.215</v>
      </c>
      <c r="NV21" s="13" t="n">
        <v>586050.992</v>
      </c>
      <c r="NW21" s="13" t="n">
        <v>586544.28</v>
      </c>
      <c r="NX21" s="13" t="n">
        <v>587019.574</v>
      </c>
      <c r="NY21" s="13" t="n">
        <v>587535.4350000001</v>
      </c>
      <c r="NZ21" s="13" t="n">
        <v>588069.513</v>
      </c>
      <c r="OA21" s="13" t="n">
        <v>588573.703</v>
      </c>
      <c r="OB21" s="13" t="n">
        <v>589023.3419999999</v>
      </c>
      <c r="OC21" s="13" t="n">
        <v>589363.763</v>
      </c>
      <c r="OD21" s="13" t="n">
        <v>589696.33</v>
      </c>
      <c r="OE21" s="13" t="n">
        <v>590105.873</v>
      </c>
      <c r="OF21" s="13" t="n">
        <v>590461.099</v>
      </c>
      <c r="OG21" s="13" t="n">
        <v>590903.518</v>
      </c>
      <c r="OH21" s="13" t="n">
        <v>591258.853</v>
      </c>
      <c r="OI21" s="13" t="n">
        <v>591507.52</v>
      </c>
      <c r="OJ21" s="13" t="n">
        <v>591940.86</v>
      </c>
      <c r="OK21" s="13" t="n">
        <v>592397.289</v>
      </c>
      <c r="OL21" s="13" t="n">
        <v>592893.532</v>
      </c>
      <c r="OM21" s="13" t="n">
        <v>593608.0699999999</v>
      </c>
      <c r="ON21" s="13" t="n">
        <v>594082.2709999999</v>
      </c>
      <c r="OO21" s="13" t="n">
        <v>594549.809</v>
      </c>
      <c r="OP21" s="13" t="n">
        <v>594799.322</v>
      </c>
      <c r="OQ21" s="13" t="n">
        <v>595285.474</v>
      </c>
      <c r="OR21" s="13" t="n">
        <v>595742.139</v>
      </c>
      <c r="OS21" s="13" t="n">
        <v>596152.209</v>
      </c>
      <c r="OT21" s="13" t="n">
        <v>596616.076</v>
      </c>
      <c r="OU21" s="13" t="n">
        <v>597251.139</v>
      </c>
      <c r="OV21" s="13" t="n">
        <v>597771.577</v>
      </c>
      <c r="OW21" s="126" t="n"/>
      <c r="OX21" s="13" t="n">
        <v>598233.5550000001</v>
      </c>
      <c r="OY21" s="13" t="n">
        <v>599084.907</v>
      </c>
      <c r="OZ21" s="13" t="n">
        <v>599650.673</v>
      </c>
      <c r="PA21" s="13" t="n">
        <v>599993.302</v>
      </c>
      <c r="PB21" s="13" t="n">
        <v>600561.564</v>
      </c>
      <c r="PC21" s="13" t="n">
        <v>601222.711</v>
      </c>
      <c r="PD21" s="13" t="n">
        <v>601941.004</v>
      </c>
      <c r="PE21" s="13" t="n">
        <v>602484.491</v>
      </c>
      <c r="PF21" s="13" t="n">
        <v>603000.1679999999</v>
      </c>
      <c r="PG21" s="13" t="n">
        <v>603612.9620000001</v>
      </c>
      <c r="PH21" s="13" t="n">
        <v>604124.47</v>
      </c>
      <c r="PI21" s="13" t="n">
        <v>604491.211</v>
      </c>
      <c r="PJ21" s="13" t="n">
        <v>605175.53</v>
      </c>
      <c r="PK21" s="13" t="n">
        <v>605659.389</v>
      </c>
      <c r="PL21" s="13" t="n">
        <v>606109.144</v>
      </c>
      <c r="PM21" s="13" t="n">
        <v>606514.439</v>
      </c>
      <c r="PN21" s="13" t="n">
        <v>606899.596</v>
      </c>
      <c r="PO21" s="13" t="n">
        <v>607274.231</v>
      </c>
      <c r="PP21" s="13" t="n">
        <v>607968.6850000001</v>
      </c>
      <c r="PQ21" s="13" t="n">
        <v>608480.295</v>
      </c>
      <c r="PR21" s="13" t="n">
        <v>608983.216</v>
      </c>
      <c r="PS21" s="13" t="n">
        <v>609299.694</v>
      </c>
      <c r="PT21" s="13" t="n">
        <v>609812.812</v>
      </c>
      <c r="PU21" s="13" t="n">
        <v>610415.215</v>
      </c>
      <c r="PV21" s="13" t="n">
        <v>610700.736</v>
      </c>
      <c r="PW21" s="13" t="n">
        <v>611098.206</v>
      </c>
      <c r="PX21" s="13" t="n">
        <v>611470.568</v>
      </c>
      <c r="PY21" s="13" t="n">
        <v>611921.795</v>
      </c>
      <c r="PZ21" s="13" t="n">
        <v>612224.157</v>
      </c>
      <c r="QA21" s="13" t="n">
        <v>612657.1310000001</v>
      </c>
      <c r="QB21" s="126" t="n"/>
      <c r="QC21" s="13" t="n">
        <v>613273.415</v>
      </c>
      <c r="QD21" s="13" t="n">
        <v>613771.197</v>
      </c>
      <c r="QE21" s="13" t="n">
        <v>614340.322</v>
      </c>
      <c r="QF21" s="13" t="n">
        <v>615088.439</v>
      </c>
      <c r="QG21" s="13" t="n">
        <v>615647.481</v>
      </c>
      <c r="QH21" s="13" t="n">
        <v>615966.568</v>
      </c>
      <c r="QI21" s="13" t="n">
        <v>616414.009</v>
      </c>
      <c r="QJ21" s="13" t="n">
        <v>616883.22</v>
      </c>
      <c r="QK21" s="13" t="n">
        <v>617272.099</v>
      </c>
      <c r="QL21" s="13" t="n">
        <v>617652.598</v>
      </c>
      <c r="QM21" s="13" t="n">
        <v>618084.602</v>
      </c>
      <c r="QN21" s="13" t="n">
        <v>618617.49</v>
      </c>
      <c r="QO21" s="13" t="n">
        <v>619067.721</v>
      </c>
      <c r="QP21" s="13" t="n">
        <v>619808.4300000001</v>
      </c>
      <c r="QQ21" s="13" t="n">
        <v>620256.331</v>
      </c>
      <c r="QR21" s="13" t="n">
        <v>620810.486</v>
      </c>
      <c r="QS21" s="13" t="n">
        <v>621168.586</v>
      </c>
      <c r="QT21" s="13" t="n">
        <v>621678.8860000001</v>
      </c>
      <c r="QU21" s="13" t="n">
        <v>622336.996</v>
      </c>
      <c r="QV21" s="13" t="n">
        <v>622655.05</v>
      </c>
      <c r="QW21" s="13" t="n">
        <v>623143.718</v>
      </c>
      <c r="QX21" s="13" t="n">
        <v>623459.8540000001</v>
      </c>
      <c r="QY21" s="13" t="n">
        <v>623815.125</v>
      </c>
      <c r="QZ21" s="13" t="n">
        <v>624611.265</v>
      </c>
      <c r="RA21" s="13" t="n">
        <v>625255.953</v>
      </c>
      <c r="RB21" s="13" t="n">
        <v>625566.2070000001</v>
      </c>
      <c r="RC21" s="13" t="n">
        <v>625937.78</v>
      </c>
      <c r="RD21" s="13" t="n">
        <v>626326.973</v>
      </c>
      <c r="RE21" s="13" t="n">
        <v>626860.971</v>
      </c>
      <c r="RF21" s="13" t="n">
        <v>627450.5919999999</v>
      </c>
      <c r="RG21" s="13" t="n">
        <v>627925.002</v>
      </c>
      <c r="RH21" s="126" t="n"/>
      <c r="RI21" s="13" t="n">
        <v>628408.579</v>
      </c>
      <c r="RJ21" s="13" t="n">
        <v>628709.045</v>
      </c>
      <c r="RK21" s="13" t="n">
        <v>629189.237</v>
      </c>
      <c r="RL21" s="13" t="n">
        <v>630256.17</v>
      </c>
      <c r="RM21" s="13" t="n">
        <v>630805.855</v>
      </c>
      <c r="RN21" s="13" t="n">
        <v>631022.414</v>
      </c>
      <c r="RO21" s="13" t="n">
        <v>631298.9790000001</v>
      </c>
      <c r="RP21" s="13" t="n">
        <v>631606.647</v>
      </c>
      <c r="RQ21" s="13" t="n">
        <v>632030.323</v>
      </c>
      <c r="RR21" s="13" t="n">
        <v>632432.5550000001</v>
      </c>
      <c r="RS21" s="13" t="n">
        <v>632944.802</v>
      </c>
      <c r="RT21" s="13" t="n">
        <v>633420.415</v>
      </c>
      <c r="RU21" s="13" t="n">
        <v>634096.558</v>
      </c>
      <c r="RV21" s="13" t="n">
        <v>634724.872</v>
      </c>
      <c r="RW21" s="13" t="n">
        <v>635289.7439999999</v>
      </c>
      <c r="RX21" s="13" t="n">
        <v>636020.9080000001</v>
      </c>
      <c r="RY21" s="13" t="n">
        <v>636420.679</v>
      </c>
      <c r="RZ21" s="13" t="n">
        <v>636696.404</v>
      </c>
      <c r="SA21" s="13" t="n">
        <v>636987.719</v>
      </c>
      <c r="SB21" s="13" t="n">
        <v>637219.224</v>
      </c>
      <c r="SC21" s="13" t="n">
        <v>637621.528</v>
      </c>
      <c r="SD21" s="13" t="n">
        <v>637957.5330000001</v>
      </c>
      <c r="SE21" s="13" t="n">
        <v>638341.8689999999</v>
      </c>
      <c r="SF21" s="13" t="n">
        <v>638700.92</v>
      </c>
      <c r="SG21" s="13" t="n">
        <v>639044.277</v>
      </c>
      <c r="SH21" s="13" t="n">
        <v>639700.275</v>
      </c>
      <c r="SI21" s="13" t="n">
        <v>640059.243</v>
      </c>
      <c r="SJ21" s="13" t="n">
        <v>640811.92</v>
      </c>
      <c r="SK21" s="13" t="n">
        <v>641313.977</v>
      </c>
      <c r="SL21" s="13" t="n">
        <v>641747.178</v>
      </c>
      <c r="SM21" s="126" t="n"/>
      <c r="SN21" s="13" t="n">
        <v>642048.285</v>
      </c>
      <c r="SO21" s="13" t="n">
        <v>642640.742</v>
      </c>
      <c r="SP21" s="13" t="n">
        <v>643273.102</v>
      </c>
      <c r="SQ21" s="13" t="n">
        <v>644137.083</v>
      </c>
      <c r="SR21" s="13" t="n">
        <v>644673.4840000001</v>
      </c>
      <c r="SS21" s="13" t="n">
        <v>645213.813</v>
      </c>
      <c r="ST21" s="13" t="n">
        <v>645648.884</v>
      </c>
      <c r="SU21" s="13" t="n">
        <v>646149.731</v>
      </c>
      <c r="SV21" s="13" t="n">
        <v>646983.075</v>
      </c>
      <c r="SW21" s="13" t="n">
        <v>647463.37</v>
      </c>
      <c r="SX21" s="13" t="n">
        <v>647783.4080000001</v>
      </c>
      <c r="SY21" s="13" t="n">
        <v>648213.098</v>
      </c>
      <c r="SZ21" s="13" t="n">
        <v>648819.191</v>
      </c>
      <c r="TA21" s="13" t="n">
        <v>649199.13</v>
      </c>
      <c r="TB21" s="13" t="n">
        <v>649694.769</v>
      </c>
      <c r="TC21" s="13" t="n">
        <v>650613.6</v>
      </c>
      <c r="TD21" s="13" t="n">
        <v>651115.257</v>
      </c>
      <c r="TE21" s="13" t="n">
        <v>651588.338</v>
      </c>
      <c r="TF21" s="13" t="n">
        <v>652168.063</v>
      </c>
      <c r="TG21" s="13" t="n">
        <v>652716.786</v>
      </c>
      <c r="TH21" s="13" t="n">
        <v>653128.304</v>
      </c>
      <c r="TI21" s="13" t="n">
        <v>653572.236</v>
      </c>
      <c r="TJ21" s="13" t="n">
        <v>653908.925</v>
      </c>
      <c r="TK21" s="13" t="n">
        <v>654345.7929999999</v>
      </c>
      <c r="TL21" s="13" t="n">
        <v>654630.12</v>
      </c>
      <c r="TM21" s="13" t="n">
        <v>655038.46</v>
      </c>
      <c r="TN21" s="13" t="n">
        <v>655436.187</v>
      </c>
      <c r="TO21" s="13" t="n">
        <v>655826.884</v>
      </c>
      <c r="TP21" s="13" t="n">
        <v>656100.126</v>
      </c>
      <c r="TQ21" s="13" t="n">
        <v>656433.677</v>
      </c>
      <c r="TR21" s="13" t="n">
        <v>656975.0429999999</v>
      </c>
      <c r="TS21" s="126" t="n"/>
      <c r="TT21" s="13" t="n">
        <v>657246.407</v>
      </c>
      <c r="TU21" s="13" t="n">
        <v>657590.252</v>
      </c>
      <c r="TV21" s="13" t="n">
        <v>657974.613</v>
      </c>
      <c r="TW21" s="13" t="n">
        <v>658383.078</v>
      </c>
      <c r="TX21" s="13" t="n">
        <v>658653.99</v>
      </c>
      <c r="TY21" s="13" t="n">
        <v>659047.567</v>
      </c>
      <c r="TZ21" s="13" t="n">
        <v>659576.054</v>
      </c>
      <c r="UA21" s="13" t="n">
        <v>660330.515</v>
      </c>
      <c r="UB21" s="13" t="n">
        <v>660854.3419999999</v>
      </c>
      <c r="UC21" s="13" t="n">
        <v>661410.921</v>
      </c>
      <c r="UD21" s="13" t="n">
        <v>661765.545</v>
      </c>
      <c r="UE21" s="13" t="n">
        <v>662277.183</v>
      </c>
      <c r="UF21" s="13" t="n">
        <v>663079.4790000001</v>
      </c>
      <c r="UG21" s="13" t="n">
        <v>663498.616</v>
      </c>
      <c r="UH21" s="13" t="n">
        <v>663851.328</v>
      </c>
      <c r="UI21" s="13" t="n">
        <v>664263.491</v>
      </c>
      <c r="UJ21" s="13" t="n">
        <v>664769.91</v>
      </c>
      <c r="UK21" s="13" t="n">
        <v>665291.3</v>
      </c>
      <c r="UL21" s="13" t="n">
        <v>665673.476</v>
      </c>
      <c r="UM21" s="13" t="n">
        <v>666225.639</v>
      </c>
      <c r="UN21" s="13" t="n">
        <v>666591.105</v>
      </c>
      <c r="UO21" s="13" t="n">
        <v>667056.13</v>
      </c>
      <c r="UP21" s="13" t="n">
        <v>667468.754</v>
      </c>
      <c r="UQ21" s="13" t="n">
        <v>668024.423</v>
      </c>
      <c r="UR21" s="13" t="n">
        <v>668648.78</v>
      </c>
      <c r="US21" s="13" t="n">
        <v>669522.887</v>
      </c>
      <c r="UT21" s="13" t="n">
        <v>669960.709</v>
      </c>
      <c r="UU21" s="13" t="n">
        <v>670471.0600000001</v>
      </c>
      <c r="UV21" s="13" t="n">
        <v>670471.0600000001</v>
      </c>
      <c r="UW21" s="13" t="n">
        <v>670819.485</v>
      </c>
      <c r="UX21" s="13" t="n">
        <v>671276.929</v>
      </c>
      <c r="UY21" s="126" t="n"/>
      <c r="UZ21" s="13" t="n">
        <v>671730.053</v>
      </c>
      <c r="VA21" s="13" t="n">
        <v>672139.3959999999</v>
      </c>
      <c r="VB21" s="13" t="n">
        <v>673269.567</v>
      </c>
      <c r="VC21" s="13" t="n">
        <v>673861.0870000001</v>
      </c>
      <c r="VD21" s="13" t="n">
        <v>674330.5919999999</v>
      </c>
      <c r="VE21" s="13" t="n">
        <v>674646.16</v>
      </c>
      <c r="VF21" s="13" t="n">
        <v>675286.125</v>
      </c>
      <c r="VG21" s="13" t="n">
        <v>675920.588</v>
      </c>
      <c r="VH21" s="13" t="n">
        <v>676345.849</v>
      </c>
      <c r="VI21" s="13" t="n">
        <v>676744.955</v>
      </c>
      <c r="VJ21" s="13" t="n">
        <v>677691.487</v>
      </c>
      <c r="VK21" s="13" t="n">
        <v>677975.442</v>
      </c>
      <c r="VL21" s="13" t="n">
        <v>678424.9129999999</v>
      </c>
      <c r="VM21" s="13" t="n">
        <v>678864.7</v>
      </c>
      <c r="VN21" s="13" t="n">
        <v>679337.422</v>
      </c>
      <c r="VO21" s="13" t="n">
        <v>679648.397</v>
      </c>
      <c r="VP21" s="13" t="n">
        <v>680218.311</v>
      </c>
      <c r="VQ21" s="13" t="n">
        <v>680680.921</v>
      </c>
      <c r="VR21" s="13" t="n">
        <v>681396.755</v>
      </c>
      <c r="VS21" s="13" t="n">
        <v>681794.539</v>
      </c>
      <c r="VT21" s="13" t="n">
        <v>682358.678</v>
      </c>
      <c r="VU21" s="13" t="n">
        <v>682912.214</v>
      </c>
      <c r="VV21" s="13" t="n">
        <v>683455.795</v>
      </c>
      <c r="VW21" s="13" t="n">
        <v>683923.404</v>
      </c>
      <c r="VX21" s="13" t="n">
        <v>684504.0550000001</v>
      </c>
      <c r="VY21" s="13" t="n">
        <v>684996.789</v>
      </c>
      <c r="VZ21" s="13" t="n">
        <v>685340.622</v>
      </c>
      <c r="WA21" s="13" t="n">
        <v>685769.791</v>
      </c>
      <c r="WB21" s="126" t="n"/>
      <c r="WC21" s="13" t="n">
        <v>686264.828</v>
      </c>
      <c r="WD21" s="13" t="n">
        <v>686642.8320000001</v>
      </c>
      <c r="WE21" s="13" t="n">
        <v>687544.556</v>
      </c>
      <c r="WF21" s="13" t="n">
        <v>688015.155</v>
      </c>
      <c r="WG21" s="13" t="n">
        <v>688626.7830000001</v>
      </c>
      <c r="WH21" s="13" t="n">
        <v>688626.183</v>
      </c>
      <c r="WI21" s="13" t="n">
        <v>688932.725</v>
      </c>
      <c r="WJ21" s="13" t="n">
        <v>689456.622</v>
      </c>
      <c r="WK21" s="13" t="n">
        <v>689900.995</v>
      </c>
      <c r="WL21" s="13" t="n">
        <v>690475.965</v>
      </c>
      <c r="WM21" s="13" t="n">
        <v>691262.539</v>
      </c>
      <c r="WN21" s="13" t="n">
        <v>691588.223</v>
      </c>
      <c r="WO21" s="13" t="n">
        <v>692105.963</v>
      </c>
      <c r="WP21" s="13" t="n">
        <v>692504.066</v>
      </c>
      <c r="WQ21" s="13" t="n">
        <v>693110.53</v>
      </c>
      <c r="WR21" s="13" t="n">
        <v>693478.0209999999</v>
      </c>
      <c r="WS21" s="13" t="n">
        <v>693987.903</v>
      </c>
      <c r="WT21" s="13" t="n">
        <v>694226.78</v>
      </c>
      <c r="WU21" s="13" t="n">
        <v>694695.151</v>
      </c>
      <c r="WV21" s="13" t="n">
        <v>695192.138</v>
      </c>
      <c r="WW21" s="13" t="n">
        <v>695981.041</v>
      </c>
      <c r="WX21" s="13" t="n">
        <v>696488.099</v>
      </c>
      <c r="WY21" s="13" t="n">
        <v>696976.714</v>
      </c>
      <c r="WZ21" s="13" t="n">
        <v>697518.775</v>
      </c>
      <c r="XA21" s="13" t="n">
        <v>697970.074</v>
      </c>
      <c r="XB21" s="13" t="n">
        <v>698192.024</v>
      </c>
      <c r="XC21" s="13" t="n">
        <v>698779.301</v>
      </c>
      <c r="XD21" s="13" t="n">
        <v>699185.056</v>
      </c>
      <c r="XE21" s="13" t="n">
        <v>699544.883</v>
      </c>
      <c r="XF21" s="13" t="n">
        <v>699914.91</v>
      </c>
      <c r="XG21" s="13" t="n">
        <v>700490.23</v>
      </c>
      <c r="XH21" s="126" t="n"/>
      <c r="XI21" s="13" t="n">
        <v>700735.297</v>
      </c>
      <c r="XJ21" s="13" t="n">
        <v>700971.389</v>
      </c>
      <c r="XK21" s="13" t="n">
        <v>701342.6899999999</v>
      </c>
      <c r="XL21" s="13" t="n">
        <v>701778.309</v>
      </c>
      <c r="XM21" s="13" t="n">
        <v>702299.3590000001</v>
      </c>
      <c r="XN21" s="13" t="n">
        <v>702656.417</v>
      </c>
      <c r="XO21" s="13" t="n">
        <v>702989.0649999999</v>
      </c>
      <c r="XP21" s="13" t="n">
        <v>703463.347</v>
      </c>
      <c r="XQ21" s="13" t="n">
        <v>703774.848</v>
      </c>
      <c r="XR21" s="13" t="n">
        <v>704096.596</v>
      </c>
      <c r="XS21" s="13" t="n">
        <v>704443.199</v>
      </c>
      <c r="XT21" s="13" t="n">
        <v>704932.452</v>
      </c>
      <c r="XU21" s="13" t="n">
        <v>705325.238</v>
      </c>
      <c r="XV21" s="13" t="n">
        <v>705670.215</v>
      </c>
      <c r="XW21" s="13" t="n">
        <v>706095.067</v>
      </c>
      <c r="XX21" s="13" t="n">
        <v>706551.308</v>
      </c>
      <c r="XY21" s="13" t="n">
        <v>706955.179</v>
      </c>
      <c r="XZ21" s="13" t="n">
        <v>707225.262</v>
      </c>
      <c r="YA21" s="13" t="n">
        <v>707511.7929999999</v>
      </c>
      <c r="YB21" s="13" t="n">
        <v>707826.8149999999</v>
      </c>
      <c r="YC21" s="13" t="n">
        <v>708195.075</v>
      </c>
      <c r="YD21" s="13" t="n">
        <v>708445.586</v>
      </c>
      <c r="YE21" s="13" t="n">
        <v>708980.705</v>
      </c>
      <c r="YF21" s="13" t="n">
        <v>709250.78</v>
      </c>
      <c r="YG21" s="13" t="n">
        <v>709716.983</v>
      </c>
      <c r="YH21" s="13" t="n">
        <v>710029.757</v>
      </c>
      <c r="YI21" s="13" t="n">
        <v>710460.04</v>
      </c>
      <c r="YJ21" s="13" t="n">
        <v>710795.929</v>
      </c>
      <c r="YK21" s="13" t="n">
        <v>711064.795</v>
      </c>
      <c r="YL21" s="13" t="n">
        <v>711265.4179999999</v>
      </c>
      <c r="YM21" s="126" t="n"/>
      <c r="YN21" s="13" t="n">
        <v>711684.0919999999</v>
      </c>
      <c r="YO21" s="13" t="n">
        <v>712121.406</v>
      </c>
      <c r="YP21" s="13" t="n">
        <v>712570.406</v>
      </c>
      <c r="YQ21" s="13" t="n">
        <v>712885.655</v>
      </c>
      <c r="YR21" s="13" t="n">
        <v>713231.558</v>
      </c>
      <c r="YS21" s="13" t="n">
        <v>713492.602</v>
      </c>
      <c r="YT21" s="13" t="n">
        <v>713923.981</v>
      </c>
      <c r="YU21" s="13" t="n">
        <v>714100.851</v>
      </c>
      <c r="YV21" s="13" t="n">
        <v>714395.9889999999</v>
      </c>
      <c r="YW21" s="13" t="n">
        <v>714705.485</v>
      </c>
      <c r="YX21" s="13" t="n">
        <v>715043.993</v>
      </c>
      <c r="YY21" s="13" t="n">
        <v>715330.6360000001</v>
      </c>
      <c r="YZ21" s="13" t="n">
        <v>715671.905</v>
      </c>
      <c r="ZA21" s="13" t="n">
        <v>716029.528</v>
      </c>
      <c r="ZB21" s="13" t="n">
        <v>716276.823</v>
      </c>
      <c r="ZC21" s="13" t="n">
        <v>716698.351</v>
      </c>
      <c r="ZD21" s="13" t="n">
        <v>717031.664</v>
      </c>
      <c r="ZE21" s="13" t="n">
        <v>717240.8909999999</v>
      </c>
      <c r="ZF21" s="13" t="n">
        <v>717613.98</v>
      </c>
      <c r="ZG21" s="13" t="n">
        <v>717914.203</v>
      </c>
      <c r="ZH21" s="13" t="n">
        <v>718488.149</v>
      </c>
      <c r="ZI21" s="13" t="n">
        <v>718835.757</v>
      </c>
      <c r="ZJ21" s="13" t="n">
        <v>719100.925</v>
      </c>
      <c r="ZK21" s="13" t="n">
        <v>719471.069</v>
      </c>
      <c r="ZL21" s="13" t="n">
        <v>719698.152</v>
      </c>
      <c r="ZM21" s="13" t="n">
        <v>720327.066</v>
      </c>
      <c r="ZN21" s="13" t="n">
        <v>720638.661</v>
      </c>
      <c r="ZO21" s="13" t="n">
        <v>721026.24</v>
      </c>
      <c r="ZP21" s="13" t="n">
        <v>721464.044</v>
      </c>
      <c r="ZQ21" s="13" t="n">
        <v>721893.289</v>
      </c>
      <c r="ZR21" s="13" t="n">
        <v>722195.699</v>
      </c>
      <c r="ZS21" s="126" t="n"/>
      <c r="ZT21" s="13" t="n">
        <v>722810.4570000001</v>
      </c>
      <c r="ZU21" s="13" t="n">
        <v>723097.961</v>
      </c>
      <c r="ZV21" s="13" t="n">
        <v>723503.302</v>
      </c>
      <c r="ZW21" s="13" t="n">
        <v>723847.358</v>
      </c>
      <c r="ZX21" s="13" t="n">
        <v>724146.828</v>
      </c>
      <c r="ZY21" s="13" t="n">
        <v>724620.855</v>
      </c>
      <c r="ZZ21" s="13" t="n">
        <v>725085.986</v>
      </c>
      <c r="AAA21" s="13" t="n">
        <v>725536.27</v>
      </c>
      <c r="AAB21" s="13" t="n">
        <v>725872.887</v>
      </c>
      <c r="AAC21" s="13" t="n">
        <v>726538.792</v>
      </c>
      <c r="AAD21" s="13" t="n">
        <v>727267.423</v>
      </c>
      <c r="AAE21" s="13" t="n">
        <v>727624.599</v>
      </c>
      <c r="AAF21" s="13" t="n">
        <v>728046.074</v>
      </c>
      <c r="AAG21" s="13" t="n">
        <v>728421.099</v>
      </c>
      <c r="AAH21" s="13" t="n">
        <v>728667.78</v>
      </c>
      <c r="AAI21" s="13" t="n">
        <v>729085.446</v>
      </c>
      <c r="AAJ21" s="13" t="n">
        <v>729481.2169999999</v>
      </c>
      <c r="AAK21" s="13" t="n">
        <v>730190.617</v>
      </c>
      <c r="AAL21" s="13" t="n">
        <v>730523.046</v>
      </c>
      <c r="AAM21" s="13" t="n">
        <v>731095.064</v>
      </c>
      <c r="AAN21" s="13" t="n">
        <v>731446.005</v>
      </c>
      <c r="AAO21" s="13" t="n">
        <v>731742.765</v>
      </c>
      <c r="AAP21" s="13" t="n">
        <v>732299.597</v>
      </c>
      <c r="AAQ21" s="13" t="n">
        <v>732604.942</v>
      </c>
      <c r="AAR21" s="13" t="n">
        <v>732959.433</v>
      </c>
      <c r="AAS21" s="13" t="n">
        <v>733385.824</v>
      </c>
      <c r="AAT21" s="13" t="n">
        <v>733762.573</v>
      </c>
      <c r="AAU21" s="13" t="n">
        <v>734173.5060000001</v>
      </c>
      <c r="AAV21" s="13" t="n">
        <v>734451.112</v>
      </c>
      <c r="AAW21" s="13" t="n">
        <v>734817.811</v>
      </c>
      <c r="AAX21" s="126" t="n"/>
      <c r="AAY21" s="13" t="n">
        <v>735186.498</v>
      </c>
      <c r="AAZ21" s="13" t="n">
        <v>735506.047</v>
      </c>
      <c r="ABA21" s="13" t="n">
        <v>735779.784</v>
      </c>
      <c r="ABB21" s="13" t="n">
        <v>736173.735</v>
      </c>
      <c r="ABC21" s="13" t="n">
        <v>736582.955</v>
      </c>
      <c r="ABD21" s="13" t="n">
        <v>737106.145</v>
      </c>
      <c r="ABE21" s="13" t="n">
        <v>737542.035</v>
      </c>
      <c r="ABF21" s="13" t="n">
        <v>737935.343</v>
      </c>
      <c r="ABG21" s="13" t="n">
        <v>738279.417</v>
      </c>
      <c r="ABH21" s="13" t="n">
        <v>738607.741</v>
      </c>
      <c r="ABI21" s="13" t="n">
        <v>738996.64</v>
      </c>
      <c r="ABJ21" s="13" t="n">
        <v>739275.607</v>
      </c>
      <c r="ABK21" s="13" t="n">
        <v>739817.302</v>
      </c>
      <c r="ABL21" s="13" t="n">
        <v>740281.373</v>
      </c>
      <c r="ABM21" s="13" t="n">
        <v>740618.986</v>
      </c>
      <c r="ABN21" s="13" t="n">
        <v>740938.526</v>
      </c>
      <c r="ABO21" s="13" t="n">
        <v>741316.493</v>
      </c>
      <c r="ABP21" s="13" t="n">
        <v>742000.9300000001</v>
      </c>
      <c r="ABQ21" s="13" t="n">
        <v>742556.916</v>
      </c>
      <c r="ABR21" s="13" t="n">
        <v>742993.931</v>
      </c>
      <c r="ABS21" s="13" t="n">
        <v>743206.596</v>
      </c>
      <c r="ABT21" s="13" t="n">
        <v>743517.321</v>
      </c>
      <c r="ABU21" s="13" t="n">
        <v>743990.171</v>
      </c>
      <c r="ABV21" s="13" t="n">
        <v>744298.307</v>
      </c>
      <c r="ABW21" s="13" t="n">
        <v>744717.417</v>
      </c>
      <c r="ABX21" s="13" t="n">
        <v>745138.933</v>
      </c>
      <c r="ABY21" s="13" t="n">
        <v>745510.7389999999</v>
      </c>
      <c r="ABZ21" s="13" t="n">
        <v>745997.8199999999</v>
      </c>
      <c r="ACA21" s="13" t="n">
        <v>746358.724</v>
      </c>
      <c r="ACB21" s="13" t="n">
        <v>746656.115</v>
      </c>
      <c r="ACC21" s="13" t="n">
        <v>746950.496</v>
      </c>
      <c r="ACD21" s="126" t="n"/>
      <c r="ACE21" s="13" t="n">
        <v>747447.874</v>
      </c>
      <c r="ACF21" s="13" t="n">
        <v>748011.933</v>
      </c>
      <c r="ACG21" s="13" t="n">
        <v>748487.8199999999</v>
      </c>
      <c r="ACH21" s="13" t="n">
        <v>748847.429</v>
      </c>
      <c r="ACI21" s="13" t="n">
        <v>749129.987</v>
      </c>
      <c r="ACJ21" s="13" t="n">
        <v>749455.545</v>
      </c>
      <c r="ACK21" s="13" t="n">
        <v>749835.081</v>
      </c>
      <c r="ACL21" s="13" t="n">
        <v>750318.051</v>
      </c>
      <c r="ACM21" s="13" t="n">
        <v>750725.769</v>
      </c>
      <c r="ACN21" s="13" t="n">
        <v>751156.063</v>
      </c>
      <c r="ACO21" s="13" t="n">
        <v>751492.594</v>
      </c>
      <c r="ACP21" s="13" t="n">
        <v>751928.99</v>
      </c>
      <c r="ACQ21" s="13" t="n">
        <v>752302.937</v>
      </c>
      <c r="ACR21" s="13" t="n">
        <v>752681.59</v>
      </c>
      <c r="ACS21" s="13" t="n">
        <v>753095.166</v>
      </c>
      <c r="ACT21" s="13" t="n">
        <v>753583.301</v>
      </c>
      <c r="ACU21" s="13" t="n">
        <v>753963.653</v>
      </c>
      <c r="ACV21" s="13" t="n">
        <v>754436.326</v>
      </c>
      <c r="ACW21" s="13" t="n">
        <v>754831.828</v>
      </c>
      <c r="ACX21" s="13" t="n">
        <v>755217.603</v>
      </c>
      <c r="ACY21" s="13" t="n">
        <v>755630.478</v>
      </c>
      <c r="ACZ21" s="13" t="n">
        <v>756011.333</v>
      </c>
      <c r="ADA21" s="13" t="n">
        <v>756346.1409999999</v>
      </c>
      <c r="ADB21" s="13" t="n">
        <v>756850.873</v>
      </c>
      <c r="ADC21" s="13" t="n">
        <v>757362.497</v>
      </c>
      <c r="ADD21" s="13" t="n">
        <v>757748.934</v>
      </c>
      <c r="ADE21" s="13" t="n">
        <v>758168.852</v>
      </c>
      <c r="ADF21" s="13" t="n">
        <v>758548.3909999999</v>
      </c>
      <c r="ADG21" s="13" t="n">
        <v>758925.998</v>
      </c>
      <c r="ADH21" s="13" t="n">
        <v>759265.905</v>
      </c>
      <c r="ADI21" s="13" t="n">
        <v>759649.38</v>
      </c>
      <c r="ADJ21" s="126" t="n"/>
      <c r="ADK21" s="13" t="n">
        <v>760065.327</v>
      </c>
      <c r="ADL21" s="13" t="n">
        <v>760453.899</v>
      </c>
      <c r="ADM21" s="13" t="n">
        <v>760936.351</v>
      </c>
      <c r="ADN21" s="13" t="n">
        <v>761404.274</v>
      </c>
      <c r="ADO21" s="13" t="n">
        <v>762061.594</v>
      </c>
      <c r="ADP21" s="13" t="n">
        <v>762559.988</v>
      </c>
      <c r="ADQ21" s="13" t="n">
        <v>762883.3959999999</v>
      </c>
      <c r="ADR21" s="13" t="n">
        <v>763111.978</v>
      </c>
      <c r="ADS21" s="13" t="n">
        <v>763508.073</v>
      </c>
      <c r="ADT21" s="13" t="n">
        <v>763880.236</v>
      </c>
      <c r="ADU21" s="13" t="n">
        <v>764388.157</v>
      </c>
      <c r="ADV21" s="13" t="n">
        <v>764806.402</v>
      </c>
      <c r="ADW21" s="13" t="n">
        <v>765208.741</v>
      </c>
      <c r="ADX21" s="13" t="n">
        <v>765533.437</v>
      </c>
      <c r="ADY21" s="13" t="n">
        <v>766074.165</v>
      </c>
      <c r="ADZ21" s="13" t="n">
        <v>766481.6629999999</v>
      </c>
      <c r="AEA21" s="13" t="n">
        <v>766857.331</v>
      </c>
      <c r="AEB21" s="13" t="n">
        <v>767309.943</v>
      </c>
      <c r="AEC21" s="13" t="n">
        <v>767609.922</v>
      </c>
      <c r="AED21" s="13" t="n">
        <v>768149.732</v>
      </c>
      <c r="AEE21" s="13" t="n">
        <v>768481.966</v>
      </c>
      <c r="AEF21" s="13" t="n">
        <v>768875.55</v>
      </c>
      <c r="AEG21" s="13" t="n">
        <v>769232.515</v>
      </c>
      <c r="AEH21" s="13" t="n">
        <v>769483.24</v>
      </c>
      <c r="AEI21" s="13" t="n">
        <v>769801.48</v>
      </c>
      <c r="AEJ21" s="13" t="n">
        <v>770250.4179999999</v>
      </c>
      <c r="AEK21" s="13" t="n">
        <v>770600.495</v>
      </c>
      <c r="AEL21" s="13" t="n">
        <v>770848.002</v>
      </c>
      <c r="AEM21" s="13" t="n">
        <v>771138.512</v>
      </c>
      <c r="AEN21" s="13" t="n">
        <v>771615.85</v>
      </c>
      <c r="AEO21" s="126" t="n"/>
      <c r="AEP21" s="13" t="n">
        <v>771812.818</v>
      </c>
      <c r="AEQ21" s="13" t="n">
        <v>772133.22</v>
      </c>
      <c r="AER21" s="13" t="n">
        <v>772452.978</v>
      </c>
      <c r="AES21" s="13" t="n">
        <v>772854.673</v>
      </c>
      <c r="AET21" s="13" t="n">
        <v>773142.3909999999</v>
      </c>
      <c r="AEU21" s="13" t="n">
        <v>773561.496</v>
      </c>
      <c r="AEV21" s="13" t="n">
        <v>773876.26</v>
      </c>
      <c r="AEW21" s="13" t="n">
        <v>774262.892</v>
      </c>
      <c r="AEX21" s="13" t="n">
        <v>774658.347</v>
      </c>
      <c r="AEY21" s="13" t="n">
        <v>775048.6310000001</v>
      </c>
      <c r="AEZ21" s="13" t="n">
        <v>775464.222</v>
      </c>
      <c r="AFA21" s="13" t="n">
        <v>775713.444</v>
      </c>
      <c r="AFB21" s="13" t="n">
        <v>775991.27</v>
      </c>
      <c r="AFC21" s="13" t="n">
        <v>776271.463</v>
      </c>
      <c r="AFD21" s="13" t="n">
        <v>776587.134</v>
      </c>
      <c r="AFE21" s="13" t="n">
        <v>776967.321</v>
      </c>
      <c r="AFF21" s="13" t="n">
        <v>777334.607</v>
      </c>
      <c r="AFG21" s="13" t="n">
        <v>777710.799</v>
      </c>
      <c r="AFH21" s="13" t="n">
        <v>778167.982</v>
      </c>
      <c r="AFI21" s="13" t="n">
        <v>778451.827</v>
      </c>
      <c r="AFJ21" s="13" t="n">
        <v>778810.509</v>
      </c>
      <c r="AFK21" s="13" t="n">
        <v>779063.819</v>
      </c>
      <c r="AFL21" s="13" t="n">
        <v>779429.601</v>
      </c>
      <c r="AFM21" s="13" t="n">
        <v>779716.664</v>
      </c>
      <c r="AFN21" s="13" t="n">
        <v>780284.585</v>
      </c>
      <c r="AFO21" s="13" t="n">
        <v>780625.385</v>
      </c>
      <c r="AFP21" s="13" t="n">
        <v>780981.058</v>
      </c>
      <c r="AFQ21" s="13" t="n">
        <v>781367.607</v>
      </c>
      <c r="AFR21" s="13" t="n">
        <v>781528.661</v>
      </c>
      <c r="AFS21" s="13" t="n">
        <v>782087.548</v>
      </c>
      <c r="AFT21" s="13" t="n">
        <v>782413.76</v>
      </c>
      <c r="AFU21" s="126" t="n"/>
      <c r="AFV21" s="13" t="n">
        <v>782840.928</v>
      </c>
      <c r="AFW21" s="13" t="n">
        <v>783163.699</v>
      </c>
      <c r="AFX21" s="13" t="n">
        <v>783496.922</v>
      </c>
      <c r="AFY21" s="13" t="n">
        <v>783793.6189999999</v>
      </c>
      <c r="AFZ21" s="13" t="n">
        <v>784135.088</v>
      </c>
      <c r="AGA21" s="13" t="n">
        <v>784403.981</v>
      </c>
      <c r="AGB21" s="13" t="n">
        <v>784746.675</v>
      </c>
      <c r="AGC21" s="13" t="n">
        <v>785053.098</v>
      </c>
      <c r="AGD21" s="13" t="n">
        <v>785324.686</v>
      </c>
      <c r="AGE21" s="13" t="n">
        <v>785651.97</v>
      </c>
      <c r="AGF21" s="13" t="n">
        <v>786053.0550000001</v>
      </c>
      <c r="AGG21" s="13" t="n">
        <v>786343.998</v>
      </c>
      <c r="AGH21" s="13" t="n">
        <v>786577.801</v>
      </c>
      <c r="AGI21" s="13" t="n">
        <v>786897.343</v>
      </c>
      <c r="AGJ21" s="13" t="n">
        <v>787244.1949999999</v>
      </c>
      <c r="AGK21" s="13" t="n">
        <v>787661.59</v>
      </c>
      <c r="AGL21" s="13" t="n">
        <v>787918.768</v>
      </c>
      <c r="AGM21" s="13" t="n">
        <v>788209.0919999999</v>
      </c>
      <c r="AGN21" s="13" t="n">
        <v>788486.66</v>
      </c>
      <c r="AGO21" s="13" t="n">
        <v>788858.463</v>
      </c>
      <c r="AGP21" s="13" t="n">
        <v>789258.112</v>
      </c>
      <c r="AGQ21" s="13" t="n">
        <v>789638.613</v>
      </c>
      <c r="AGR21" s="13" t="n">
        <v>790002.1040000001</v>
      </c>
      <c r="AGS21" s="13" t="n">
        <v>790323.708</v>
      </c>
      <c r="AGT21" s="13" t="n">
        <v>790736.536</v>
      </c>
      <c r="AGU21" s="13" t="n">
        <v>791012.505</v>
      </c>
      <c r="AGV21" s="13" t="n">
        <v>791265.302</v>
      </c>
      <c r="AGW21" s="13" t="n">
        <v>791631.733</v>
      </c>
      <c r="AGX21" s="13" t="n">
        <v>792092.443</v>
      </c>
      <c r="AGY21" s="13" t="n">
        <v>792536.349</v>
      </c>
      <c r="AGZ21" s="126" t="n"/>
      <c r="AHA21" s="13" t="n">
        <v>792795.515</v>
      </c>
      <c r="AHB21" s="13" t="n">
        <v>793173.088</v>
      </c>
      <c r="AHC21" s="13" t="n">
        <v>793712.792</v>
      </c>
      <c r="AHD21" s="13" t="n">
        <v>794047.069</v>
      </c>
      <c r="AHE21" s="13" t="n">
        <v>794636.0820000001</v>
      </c>
      <c r="AHF21" s="13" t="n">
        <v>794918.694</v>
      </c>
      <c r="AHG21" s="13" t="n">
        <v>795214.593</v>
      </c>
      <c r="AHH21" s="13" t="n">
        <v>795566.0699999999</v>
      </c>
      <c r="AHI21" s="13" t="n">
        <v>795937.372</v>
      </c>
      <c r="AHJ21" s="13" t="n">
        <v>796289.827</v>
      </c>
      <c r="AHK21" s="13" t="n">
        <v>796515.1189999999</v>
      </c>
      <c r="AHL21" s="13" t="n">
        <v>796953.747</v>
      </c>
      <c r="AHM21" s="13" t="n">
        <v>797409.767</v>
      </c>
      <c r="AHN21" s="13" t="n">
        <v>797681.4790000001</v>
      </c>
      <c r="AHO21" s="13" t="n">
        <v>798002.225</v>
      </c>
      <c r="AHP21" s="13" t="n">
        <v>798387.687</v>
      </c>
      <c r="AHQ21" s="13" t="n">
        <v>798764.218</v>
      </c>
      <c r="AHR21" s="13" t="n">
        <v>799054.2340000001</v>
      </c>
      <c r="AHS21" s="13" t="n">
        <v>799372.475</v>
      </c>
      <c r="AHT21" s="13" t="n">
        <v>799762.639</v>
      </c>
      <c r="AHU21" s="13" t="n">
        <v>800153.54</v>
      </c>
      <c r="AHV21" s="13" t="n">
        <v>800622.247</v>
      </c>
      <c r="AHW21" s="13" t="n">
        <v>801121.465</v>
      </c>
      <c r="AHX21" s="13" t="n">
        <v>801438.723</v>
      </c>
      <c r="AHY21" s="13" t="n">
        <v>801720.468</v>
      </c>
      <c r="AHZ21" s="13" t="n">
        <v>801921.368</v>
      </c>
      <c r="AIA21" s="13" t="n">
        <v>802118.388</v>
      </c>
      <c r="AIB21" s="13" t="n">
        <v>802289.669</v>
      </c>
      <c r="AIC21" s="13" t="n">
        <v>802547.4399999999</v>
      </c>
      <c r="AID21" s="13" t="n">
        <v>802917.872</v>
      </c>
      <c r="AIE21" s="13" t="n">
        <v>803298.536</v>
      </c>
      <c r="AIF21" s="126" t="n"/>
      <c r="AIG21" s="13" t="n">
        <v>803587.678</v>
      </c>
      <c r="AIH21" s="13" t="n">
        <v>803873.772</v>
      </c>
      <c r="AII21" s="13" t="n">
        <v>804228.63</v>
      </c>
      <c r="AIJ21" s="13" t="n">
        <v>804396.03</v>
      </c>
      <c r="AIK21" s="13" t="n">
        <v>804671.883</v>
      </c>
      <c r="AIL21" s="13" t="n">
        <v>805077.3810000001</v>
      </c>
      <c r="AIM21" s="13" t="n">
        <v>805320.155</v>
      </c>
      <c r="AIN21" s="13" t="n">
        <v>805670.328</v>
      </c>
      <c r="AIO21" s="13" t="n">
        <v>806034.013</v>
      </c>
      <c r="AIP21" s="13" t="n">
        <v>806475.2290000001</v>
      </c>
      <c r="AIQ21" s="13" t="n">
        <v>806654.129</v>
      </c>
      <c r="AIR21" s="13" t="n">
        <v>806865.419</v>
      </c>
      <c r="AIS21" s="13" t="n">
        <v>807134.298</v>
      </c>
      <c r="AIT21" s="13" t="n">
        <v>807369.9840000001</v>
      </c>
      <c r="AIU21" s="13" t="n">
        <v>807506.522</v>
      </c>
      <c r="AIV21" s="13" t="n">
        <v>807611.969</v>
      </c>
      <c r="AIW21" s="13" t="n">
        <v>807756.132</v>
      </c>
      <c r="AIX21" s="13" t="n">
        <v>807946.591</v>
      </c>
      <c r="AIY21" s="13" t="n">
        <v>808181.2</v>
      </c>
      <c r="AIZ21" s="13" t="n">
        <v>808422.75</v>
      </c>
      <c r="AJA21" s="13" t="n">
        <v>808812.076</v>
      </c>
      <c r="AJB21" s="13" t="n">
        <v>809057.7709999999</v>
      </c>
      <c r="AJC21" s="13" t="n">
        <v>809286.938</v>
      </c>
      <c r="AJD21" s="13" t="n">
        <v>809530.4570000001</v>
      </c>
      <c r="AJE21" s="13" t="n">
        <v>809688.5379999999</v>
      </c>
      <c r="AJF21" s="13" t="n">
        <v>809940.909</v>
      </c>
      <c r="AJG21" s="13" t="n">
        <v>810319.015</v>
      </c>
      <c r="AJH21" s="13" t="n">
        <v>810619.464</v>
      </c>
      <c r="AJI21" s="13" t="n">
        <v>810819.594</v>
      </c>
      <c r="AJJ21" s="13" t="n">
        <v>811116.612</v>
      </c>
      <c r="AJK21" s="13" t="n">
        <v>811407.971</v>
      </c>
      <c r="AJL21" s="126" t="n"/>
      <c r="AJM21" s="13" t="n">
        <v>811739.331</v>
      </c>
      <c r="AJN21" s="13" t="n">
        <v>812129.154</v>
      </c>
      <c r="AJO21" s="13" t="n">
        <v>812391.367</v>
      </c>
      <c r="AJP21" s="13" t="n">
        <v>812670.54</v>
      </c>
      <c r="AJQ21" s="13" t="n">
        <v>812946.226</v>
      </c>
      <c r="AJR21" s="13" t="n">
        <v>813170.3909999999</v>
      </c>
      <c r="AJS21" s="13" t="n">
        <v>813414.341</v>
      </c>
      <c r="AJT21" s="13" t="n">
        <v>813780.358</v>
      </c>
      <c r="AJU21" s="13" t="n">
        <v>814125.876</v>
      </c>
      <c r="AJV21" s="13" t="n">
        <v>814515.505</v>
      </c>
      <c r="AJW21" s="13" t="n">
        <v>814798.8149999999</v>
      </c>
      <c r="AJX21" s="13" t="n">
        <v>815151.921</v>
      </c>
      <c r="AJY21" s="13" t="n">
        <v>815511.111</v>
      </c>
      <c r="AJZ21" s="13" t="n">
        <v>815789.8419999999</v>
      </c>
      <c r="AKA21" s="13" t="n">
        <v>816129.894</v>
      </c>
      <c r="AKB21" s="13" t="n">
        <v>816398.2830000001</v>
      </c>
      <c r="AKC21" s="13" t="n">
        <v>816652.03</v>
      </c>
      <c r="AKD21" s="13" t="n">
        <v>816852.9449999999</v>
      </c>
      <c r="AKE21" s="13" t="n">
        <v>817083.857</v>
      </c>
      <c r="AKF21" s="13" t="n">
        <v>817518.053</v>
      </c>
      <c r="AKG21" s="13" t="n">
        <v>817701.341</v>
      </c>
      <c r="AKH21" s="13" t="n">
        <v>817878.976</v>
      </c>
      <c r="AKI21" s="13" t="n">
        <v>818196.451</v>
      </c>
      <c r="AKJ21" s="13" t="n">
        <v>818575.863</v>
      </c>
      <c r="AKK21" s="13" t="n">
        <v>818838.093</v>
      </c>
      <c r="AKL21" s="13" t="n">
        <v>819096.838</v>
      </c>
      <c r="AKM21" s="13" t="n">
        <v>819347.3050000001</v>
      </c>
      <c r="AKN21" s="13" t="n">
        <v>819763.255</v>
      </c>
      <c r="AKO21" s="126" t="n"/>
      <c r="AKP21" s="13" t="n">
        <v>820087.878</v>
      </c>
      <c r="AKQ21" s="13" t="n">
        <v>820463.809</v>
      </c>
      <c r="AKR21" s="13" t="n">
        <v>820823.432</v>
      </c>
      <c r="AKS21" s="13" t="n">
        <v>821050.865</v>
      </c>
      <c r="AKT21" s="13" t="n">
        <v>821365.249</v>
      </c>
      <c r="AKU21" s="13" t="n">
        <v>821621.353</v>
      </c>
      <c r="AKV21" s="13" t="n">
        <v>822562.576</v>
      </c>
      <c r="AKW21" s="13" t="n">
        <v>822879.7389999999</v>
      </c>
      <c r="AKX21" s="13" t="n">
        <v>823058.2439999999</v>
      </c>
      <c r="AKY21" s="13" t="n">
        <v>823311.334</v>
      </c>
      <c r="AKZ21" s="13" t="n">
        <v>823565.924</v>
      </c>
      <c r="ALA21" s="13" t="n">
        <v>823879.941</v>
      </c>
      <c r="ALB21" s="13" t="n">
        <v>824176.657</v>
      </c>
      <c r="ALC21" s="13" t="n">
        <v>824624.701</v>
      </c>
      <c r="ALD21" s="13" t="n">
        <v>825113.189</v>
      </c>
      <c r="ALE21" s="13" t="n">
        <v>825428.583</v>
      </c>
      <c r="ALF21" s="13" t="n">
        <v>825812.753</v>
      </c>
      <c r="ALG21" s="13" t="n">
        <v>826134.091</v>
      </c>
      <c r="ALH21" s="13" t="n">
        <v>826516.4840000001</v>
      </c>
      <c r="ALI21" s="13" t="n">
        <v>826808.436</v>
      </c>
      <c r="ALJ21" s="13" t="n">
        <v>827196.972</v>
      </c>
      <c r="ALK21" s="13" t="n">
        <v>827630.88</v>
      </c>
      <c r="ALL21" s="13" t="n">
        <v>828064.975</v>
      </c>
      <c r="ALM21" s="13" t="n">
        <v>828330.175</v>
      </c>
      <c r="ALN21" s="13" t="n">
        <v>828675.375</v>
      </c>
      <c r="ALO21" s="13" t="n">
        <v>829063.375</v>
      </c>
      <c r="ALP21" s="13" t="n">
        <v>829469.975</v>
      </c>
      <c r="ALQ21" s="13" t="n">
        <v>829812.487</v>
      </c>
      <c r="ALR21" s="13" t="n">
        <v>830160.887</v>
      </c>
      <c r="ALS21" s="13" t="n">
        <v>830590.0870000001</v>
      </c>
      <c r="ALT21" s="13" t="n">
        <v>830865.206</v>
      </c>
      <c r="ALU21" s="126" t="n"/>
      <c r="ALV21" s="13" t="n">
        <v>831263.042</v>
      </c>
      <c r="ALW21" s="13" t="n">
        <v>831618.316</v>
      </c>
      <c r="ALX21" s="13" t="n">
        <v>831974.252</v>
      </c>
      <c r="ALY21" s="13" t="n">
        <v>832253.898</v>
      </c>
      <c r="ALZ21" s="13" t="n">
        <v>832411.9889999999</v>
      </c>
      <c r="AMA21" s="13" t="n">
        <v>832686.596</v>
      </c>
      <c r="AMB21" s="13" t="n">
        <v>833029.629</v>
      </c>
      <c r="AMC21" s="13" t="n">
        <v>833399.599</v>
      </c>
      <c r="AMD21" s="13" t="n">
        <v>833853.8320000001</v>
      </c>
      <c r="AME21" s="13" t="n">
        <v>834182.618</v>
      </c>
      <c r="AMF21" s="13" t="n">
        <v>834730.284</v>
      </c>
      <c r="AMG21" s="13" t="n">
        <v>835103.255</v>
      </c>
      <c r="AMH21" s="13" t="n">
        <v>835457.363</v>
      </c>
      <c r="AMI21" s="13" t="n">
        <v>835735.13</v>
      </c>
      <c r="AMJ21" s="13" t="n">
        <v>836205.262</v>
      </c>
      <c r="AMK21" s="13" t="n">
        <v>836753.027</v>
      </c>
      <c r="AML21" s="13" t="n">
        <v>836953.437</v>
      </c>
      <c r="AMM21" s="13" t="n">
        <v>837292.1189999999</v>
      </c>
      <c r="AMN21" s="13" t="n">
        <v>837678.2879999999</v>
      </c>
      <c r="AMO21" s="13" t="n">
        <v>837932.123</v>
      </c>
      <c r="AMP21" s="13" t="n">
        <v>838185.8639999999</v>
      </c>
      <c r="AMQ21" s="13" t="n">
        <v>838657.096</v>
      </c>
      <c r="AMR21" s="13" t="n">
        <v>838991.0379999999</v>
      </c>
      <c r="AMS21" s="13" t="n">
        <v>839366.452</v>
      </c>
      <c r="AMT21" s="13" t="n">
        <v>839930.541</v>
      </c>
      <c r="AMU21" s="13" t="n">
        <v>840246.62</v>
      </c>
      <c r="AMV21" s="13" t="n">
        <v>840687.0110000001</v>
      </c>
      <c r="AMW21" s="13" t="n">
        <v>841198.3590000001</v>
      </c>
      <c r="AMX21" s="13" t="n">
        <v>841591.893</v>
      </c>
      <c r="AMY21" s="13" t="n">
        <v>841937.0060000001</v>
      </c>
      <c r="AMZ21" s="126" t="n"/>
      <c r="ANA21" s="13" t="n">
        <v>842242.964</v>
      </c>
      <c r="ANB21" s="13" t="n">
        <v>842510.692</v>
      </c>
      <c r="ANC21" s="13" t="n">
        <v>842654.402</v>
      </c>
      <c r="AND21" s="13" t="n">
        <v>842906.472</v>
      </c>
      <c r="ANE21" s="13" t="n">
        <v>843015.546</v>
      </c>
      <c r="ANF21" s="13" t="n">
        <v>843272.622</v>
      </c>
      <c r="ANG21" s="13" t="n">
        <v>843460.917</v>
      </c>
      <c r="ANH21" s="13" t="n">
        <v>843642.0699999999</v>
      </c>
      <c r="ANI21" s="13" t="n">
        <v>843956.361</v>
      </c>
      <c r="ANJ21" s="13" t="n">
        <v>844236.189</v>
      </c>
      <c r="ANK21" s="13" t="n">
        <v>844468.362</v>
      </c>
      <c r="ANL21" s="13" t="n">
        <v>844668.385</v>
      </c>
      <c r="ANM21" s="13" t="n">
        <v>844908.249</v>
      </c>
      <c r="ANN21" s="13" t="n">
        <v>845128.525</v>
      </c>
      <c r="ANO21" s="13" t="n">
        <v>845375.6090000001</v>
      </c>
      <c r="ANP21" s="13" t="n">
        <v>845662.702</v>
      </c>
      <c r="ANQ21" s="13" t="n">
        <v>845882.267</v>
      </c>
      <c r="ANR21" s="13" t="n">
        <v>846122.612</v>
      </c>
      <c r="ANS21" s="13" t="n">
        <v>846499.752</v>
      </c>
      <c r="ANT21" s="13" t="n">
        <v>846832.71</v>
      </c>
      <c r="ANU21" s="13" t="n">
        <v>847117.806</v>
      </c>
      <c r="ANV21" s="13" t="n">
        <v>847654.647</v>
      </c>
      <c r="ANW21" s="13" t="n">
        <v>847987.527</v>
      </c>
      <c r="ANX21" s="13" t="n">
        <v>848292.833</v>
      </c>
      <c r="ANY21" s="13" t="n">
        <v>848565.568</v>
      </c>
      <c r="ANZ21" s="13" t="n">
        <v>849066.652</v>
      </c>
      <c r="AOA21" s="13" t="n">
        <v>849304.1040000001</v>
      </c>
      <c r="AOB21" s="13" t="n">
        <v>849638.309</v>
      </c>
      <c r="AOC21" s="13" t="n">
        <v>850051.702</v>
      </c>
      <c r="AOD21" s="13" t="n">
        <v>850335.531</v>
      </c>
    </row>
    <row r="22">
      <c r="A22" s="157" t="n"/>
      <c r="C22" s="6" t="inlineStr">
        <is>
          <t>AGO 1 SALES</t>
        </is>
      </c>
      <c r="D22" s="16">
        <f>D21-D20</f>
        <v/>
      </c>
      <c r="E22" s="16">
        <f>E21-E20</f>
        <v/>
      </c>
      <c r="F22" s="16">
        <f>F21-F20</f>
        <v/>
      </c>
      <c r="G22" s="16">
        <f>G21-G20</f>
        <v/>
      </c>
      <c r="H22" s="16">
        <f>H21-H20</f>
        <v/>
      </c>
      <c r="I22" s="16">
        <f>I21-I20</f>
        <v/>
      </c>
      <c r="J22" s="16">
        <f>J21-J20</f>
        <v/>
      </c>
      <c r="K22" s="16">
        <f>K21-K20</f>
        <v/>
      </c>
      <c r="L22" s="16">
        <f>L21-L20</f>
        <v/>
      </c>
      <c r="M22" s="16">
        <f>M21-M20</f>
        <v/>
      </c>
      <c r="N22" s="16">
        <f>N21-N20</f>
        <v/>
      </c>
      <c r="O22" s="16">
        <f>O21-O20</f>
        <v/>
      </c>
      <c r="P22" s="16">
        <f>P21-P20</f>
        <v/>
      </c>
      <c r="Q22" s="16">
        <f>Q21-Q20</f>
        <v/>
      </c>
      <c r="R22" s="16">
        <f>R21-R20</f>
        <v/>
      </c>
      <c r="S22" s="16">
        <f>S21-S20</f>
        <v/>
      </c>
      <c r="T22" s="16">
        <f>T21-T20</f>
        <v/>
      </c>
      <c r="U22" s="16">
        <f>U21-U20</f>
        <v/>
      </c>
      <c r="V22" s="16">
        <f>V21-V20</f>
        <v/>
      </c>
      <c r="W22" s="16">
        <f>W21-W20</f>
        <v/>
      </c>
      <c r="X22" s="16">
        <f>X21-X20</f>
        <v/>
      </c>
      <c r="Y22" s="16">
        <f>Y21-Y20</f>
        <v/>
      </c>
      <c r="Z22" s="16">
        <f>Z21-Z20</f>
        <v/>
      </c>
      <c r="AA22" s="16">
        <f>AA21-AA20</f>
        <v/>
      </c>
      <c r="AB22" s="16">
        <f>AB21-AB20</f>
        <v/>
      </c>
      <c r="AC22" s="16">
        <f>AC21-AC20</f>
        <v/>
      </c>
      <c r="AD22" s="16">
        <f>AD21-AD20</f>
        <v/>
      </c>
      <c r="AE22" s="16">
        <f>AE21-AE20</f>
        <v/>
      </c>
      <c r="AF22" s="16">
        <f>AF21-AF20</f>
        <v/>
      </c>
      <c r="AG22" s="16">
        <f>AG21-AG20</f>
        <v/>
      </c>
      <c r="AH22" s="16">
        <f>AH21-AH20</f>
        <v/>
      </c>
      <c r="AI22" s="17">
        <f>SUM(D22:AH22)</f>
        <v/>
      </c>
      <c r="AJ22" s="16">
        <f>AJ21-AJ20</f>
        <v/>
      </c>
      <c r="AK22" s="16">
        <f>AK21-AK20</f>
        <v/>
      </c>
      <c r="AL22" s="16">
        <f>AL21-AL20</f>
        <v/>
      </c>
      <c r="AM22" s="16">
        <f>AM21-AM20</f>
        <v/>
      </c>
      <c r="AN22" s="16">
        <f>AN21-AN20</f>
        <v/>
      </c>
      <c r="AO22" s="16">
        <f>AO21-AO20</f>
        <v/>
      </c>
      <c r="AP22" s="16">
        <f>AP21-AP20</f>
        <v/>
      </c>
      <c r="AQ22" s="16">
        <f>AQ21-AQ20</f>
        <v/>
      </c>
      <c r="AR22" s="16">
        <f>AR21-AR20</f>
        <v/>
      </c>
      <c r="AS22" s="16">
        <f>AS21-AS20</f>
        <v/>
      </c>
      <c r="AT22" s="16">
        <f>AT21-AT20</f>
        <v/>
      </c>
      <c r="AU22" s="16">
        <f>AU21-AU20</f>
        <v/>
      </c>
      <c r="AV22" s="16">
        <f>AV21-AV20</f>
        <v/>
      </c>
      <c r="AW22" s="16">
        <f>AW21-AW20</f>
        <v/>
      </c>
      <c r="AX22" s="16">
        <f>AX21-AX20</f>
        <v/>
      </c>
      <c r="AY22" s="16">
        <f>AY21-AY20</f>
        <v/>
      </c>
      <c r="AZ22" s="16">
        <f>AZ21-AZ20</f>
        <v/>
      </c>
      <c r="BA22" s="16">
        <f>BA21-BA20</f>
        <v/>
      </c>
      <c r="BB22" s="16">
        <f>BB21-BB20</f>
        <v/>
      </c>
      <c r="BC22" s="16">
        <f>BC21-BC20</f>
        <v/>
      </c>
      <c r="BD22" s="16">
        <f>BD21-BD20</f>
        <v/>
      </c>
      <c r="BE22" s="16">
        <f>BE21-BE20</f>
        <v/>
      </c>
      <c r="BF22" s="16">
        <f>BF21-BF20</f>
        <v/>
      </c>
      <c r="BG22" s="16">
        <f>BG21-BG20</f>
        <v/>
      </c>
      <c r="BH22" s="16">
        <f>BH21-BH20</f>
        <v/>
      </c>
      <c r="BI22" s="16">
        <f>BI21-BI20</f>
        <v/>
      </c>
      <c r="BJ22" s="16">
        <f>BJ21-BJ20</f>
        <v/>
      </c>
      <c r="BK22" s="16">
        <f>BK21-BK20</f>
        <v/>
      </c>
      <c r="BL22" s="16">
        <f>BL21-BL20</f>
        <v/>
      </c>
      <c r="BM22" s="16">
        <f>BM21-BM20</f>
        <v/>
      </c>
      <c r="BN22" s="89">
        <f>SUM(AJ22:BM22)</f>
        <v/>
      </c>
      <c r="BO22" s="16">
        <f>BO21-BO20</f>
        <v/>
      </c>
      <c r="BP22" s="16">
        <f>BP21-BP20</f>
        <v/>
      </c>
      <c r="BQ22" s="16">
        <f>BQ21-BQ20</f>
        <v/>
      </c>
      <c r="BR22" s="16">
        <f>BR21-BR20</f>
        <v/>
      </c>
      <c r="BS22" s="16">
        <f>BS21-BS20</f>
        <v/>
      </c>
      <c r="BT22" s="16">
        <f>BT21-BT20</f>
        <v/>
      </c>
      <c r="BU22" s="16">
        <f>BU21-BU20</f>
        <v/>
      </c>
      <c r="BV22" s="16">
        <f>BV21-BV20</f>
        <v/>
      </c>
      <c r="BW22" s="16">
        <f>BW21-BW20</f>
        <v/>
      </c>
      <c r="BX22" s="16">
        <f>BX21-BX20</f>
        <v/>
      </c>
      <c r="BY22" s="16">
        <f>BY21-BY20</f>
        <v/>
      </c>
      <c r="BZ22" s="16">
        <f>BZ21-BZ20</f>
        <v/>
      </c>
      <c r="CA22" s="16">
        <f>CA21-CA20</f>
        <v/>
      </c>
      <c r="CB22" s="16">
        <f>CB21-CB20</f>
        <v/>
      </c>
      <c r="CC22" s="16">
        <f>CC21-CC20</f>
        <v/>
      </c>
      <c r="CD22" s="16">
        <f>CD21-CD20</f>
        <v/>
      </c>
      <c r="CE22" s="16">
        <f>CE21-CE20</f>
        <v/>
      </c>
      <c r="CF22" s="16">
        <f>CF21-CF20</f>
        <v/>
      </c>
      <c r="CG22" s="16">
        <f>CG21-CG20</f>
        <v/>
      </c>
      <c r="CH22" s="16">
        <f>CH21-CH20</f>
        <v/>
      </c>
      <c r="CI22" s="16">
        <f>CI21-CI20</f>
        <v/>
      </c>
      <c r="CJ22" s="16">
        <f>CJ21-CJ20</f>
        <v/>
      </c>
      <c r="CK22" s="16">
        <f>CK21-CK20</f>
        <v/>
      </c>
      <c r="CL22" s="16">
        <f>CL21-CL20</f>
        <v/>
      </c>
      <c r="CM22" s="16">
        <f>CM21-CM20</f>
        <v/>
      </c>
      <c r="CN22" s="16">
        <f>CN21-CN20</f>
        <v/>
      </c>
      <c r="CO22" s="16">
        <f>CO21-CO20</f>
        <v/>
      </c>
      <c r="CP22" s="16">
        <f>CP21-CP20</f>
        <v/>
      </c>
      <c r="CQ22" s="16">
        <f>CQ21-CQ20</f>
        <v/>
      </c>
      <c r="CR22" s="16">
        <f>CR21-CR20</f>
        <v/>
      </c>
      <c r="CS22" s="16">
        <f>CS21-CS20</f>
        <v/>
      </c>
      <c r="CT22" s="89">
        <f>SUM(BO22:CS22)</f>
        <v/>
      </c>
      <c r="CU22" s="16">
        <f>CU21-CU20</f>
        <v/>
      </c>
      <c r="CV22" s="16">
        <f>CV21-CV20</f>
        <v/>
      </c>
      <c r="CW22" s="16">
        <f>CW21-CW20</f>
        <v/>
      </c>
      <c r="CX22" s="16">
        <f>CX21-CX20</f>
        <v/>
      </c>
      <c r="CY22" s="16">
        <f>CY21-CY20</f>
        <v/>
      </c>
      <c r="CZ22" s="16">
        <f>CZ21-CZ20</f>
        <v/>
      </c>
      <c r="DA22" s="16">
        <f>DA21-DA20</f>
        <v/>
      </c>
      <c r="DB22" s="16">
        <f>DB21-DB20</f>
        <v/>
      </c>
      <c r="DC22" s="16">
        <f>DC21-DC20</f>
        <v/>
      </c>
      <c r="DD22" s="16">
        <f>DD21-DD20</f>
        <v/>
      </c>
      <c r="DE22" s="16">
        <f>DE21-DE20</f>
        <v/>
      </c>
      <c r="DF22" s="16">
        <f>DF21-DF20</f>
        <v/>
      </c>
      <c r="DG22" s="16">
        <f>DG21-DG20</f>
        <v/>
      </c>
      <c r="DH22" s="16">
        <f>DH21-DH20</f>
        <v/>
      </c>
      <c r="DI22" s="16">
        <f>DI21-DI20</f>
        <v/>
      </c>
      <c r="DJ22" s="16">
        <f>DJ21-DJ20</f>
        <v/>
      </c>
      <c r="DK22" s="16">
        <f>DK21-DK20</f>
        <v/>
      </c>
      <c r="DL22" s="16">
        <f>DL21-DL20</f>
        <v/>
      </c>
      <c r="DM22" s="16">
        <f>DM21-DM20</f>
        <v/>
      </c>
      <c r="DN22" s="16">
        <f>DN21-DN20</f>
        <v/>
      </c>
      <c r="DO22" s="16">
        <f>DO21-DO20</f>
        <v/>
      </c>
      <c r="DP22" s="16">
        <f>DP21-DP20</f>
        <v/>
      </c>
      <c r="DQ22" s="16">
        <f>DQ21-DQ20</f>
        <v/>
      </c>
      <c r="DR22" s="16">
        <f>DR21-DR20</f>
        <v/>
      </c>
      <c r="DS22" s="16">
        <f>DS21-DS20</f>
        <v/>
      </c>
      <c r="DT22" s="16">
        <f>DT21-DT20</f>
        <v/>
      </c>
      <c r="DU22" s="16">
        <f>DU21-DU20</f>
        <v/>
      </c>
      <c r="DV22" s="16">
        <f>DV21-DV20</f>
        <v/>
      </c>
      <c r="DW22" s="16">
        <f>DW21-DW20</f>
        <v/>
      </c>
      <c r="DX22" s="16">
        <f>DX21-DX20</f>
        <v/>
      </c>
      <c r="DY22" s="116">
        <f>SUM(CU22:DX22)</f>
        <v/>
      </c>
      <c r="DZ22" s="16">
        <f>DZ21-DZ20</f>
        <v/>
      </c>
      <c r="EA22" s="16">
        <f>EA21-EA20</f>
        <v/>
      </c>
      <c r="EB22" s="16">
        <f>EB21-EB20</f>
        <v/>
      </c>
      <c r="EC22" s="16">
        <f>EC21-EC20</f>
        <v/>
      </c>
      <c r="ED22" s="16">
        <f>ED21-ED20</f>
        <v/>
      </c>
      <c r="EE22" s="16">
        <f>EE21-EE20</f>
        <v/>
      </c>
      <c r="EF22" s="16">
        <f>EF21-EF20</f>
        <v/>
      </c>
      <c r="EG22" s="16">
        <f>EG21-EG20</f>
        <v/>
      </c>
      <c r="EH22" s="16">
        <f>EH21-EH20</f>
        <v/>
      </c>
      <c r="EI22" s="16">
        <f>EI21-EI20</f>
        <v/>
      </c>
      <c r="EJ22" s="16">
        <f>EJ21-EJ20</f>
        <v/>
      </c>
      <c r="EK22" s="16">
        <f>EK21-EK20</f>
        <v/>
      </c>
      <c r="EL22" s="16">
        <f>EL21-EL20</f>
        <v/>
      </c>
      <c r="EM22" s="16">
        <f>EM21-EM20</f>
        <v/>
      </c>
      <c r="EN22" s="16">
        <f>EN21-EN20</f>
        <v/>
      </c>
      <c r="EO22" s="16">
        <f>EO21-EO20</f>
        <v/>
      </c>
      <c r="EP22" s="16">
        <f>EP21-EP20</f>
        <v/>
      </c>
      <c r="EQ22" s="16">
        <f>EQ21-EQ20</f>
        <v/>
      </c>
      <c r="ER22" s="16">
        <f>ER21-ER20</f>
        <v/>
      </c>
      <c r="ES22" s="16">
        <f>ES21-ES20</f>
        <v/>
      </c>
      <c r="ET22" s="16">
        <f>ET21-ET20</f>
        <v/>
      </c>
      <c r="EU22" s="16">
        <f>EU21-EU20</f>
        <v/>
      </c>
      <c r="EV22" s="16">
        <f>EV21-EV20</f>
        <v/>
      </c>
      <c r="EW22" s="16">
        <f>EW21-EW20</f>
        <v/>
      </c>
      <c r="EX22" s="16">
        <f>EX21-EX20</f>
        <v/>
      </c>
      <c r="EY22" s="16">
        <f>EY21-EY20</f>
        <v/>
      </c>
      <c r="EZ22" s="16">
        <f>EZ21-EZ20</f>
        <v/>
      </c>
      <c r="FA22" s="16">
        <f>FA21-FA20</f>
        <v/>
      </c>
      <c r="FB22" s="16">
        <f>FB21-FB20</f>
        <v/>
      </c>
      <c r="FC22" s="16">
        <f>FC21-FC20</f>
        <v/>
      </c>
      <c r="FD22" s="16">
        <f>FD21-FD20</f>
        <v/>
      </c>
      <c r="FE22" s="127">
        <f>SUM(DZ22:FD22)</f>
        <v/>
      </c>
      <c r="FF22" s="16">
        <f>FF21-FF20</f>
        <v/>
      </c>
      <c r="FG22" s="16">
        <f>FG21-FG20</f>
        <v/>
      </c>
      <c r="FH22" s="16">
        <f>FH21-FH20</f>
        <v/>
      </c>
      <c r="FI22" s="16">
        <f>FI21-FI20</f>
        <v/>
      </c>
      <c r="FJ22" s="16">
        <f>FJ21-FJ20</f>
        <v/>
      </c>
      <c r="FK22" s="16">
        <f>FK21-FK20</f>
        <v/>
      </c>
      <c r="FL22" s="16">
        <f>FL21-FL20</f>
        <v/>
      </c>
      <c r="FM22" s="16">
        <f>FM21-FM20</f>
        <v/>
      </c>
      <c r="FN22" s="16">
        <f>FN21-FN20</f>
        <v/>
      </c>
      <c r="FO22" s="16">
        <f>FO21-FO20</f>
        <v/>
      </c>
      <c r="FP22" s="16">
        <f>FP21-FP20</f>
        <v/>
      </c>
      <c r="FQ22" s="16">
        <f>FQ21-FQ20</f>
        <v/>
      </c>
      <c r="FR22" s="16">
        <f>FR21-FR20</f>
        <v/>
      </c>
      <c r="FS22" s="16">
        <f>FS21-FS20</f>
        <v/>
      </c>
      <c r="FT22" s="16">
        <f>FT21-FT20</f>
        <v/>
      </c>
      <c r="FU22" s="16">
        <f>FU21-FU20</f>
        <v/>
      </c>
      <c r="FV22" s="16">
        <f>FV21-FV20</f>
        <v/>
      </c>
      <c r="FW22" s="16">
        <f>FW21-FW20</f>
        <v/>
      </c>
      <c r="FX22" s="16">
        <f>FX21-FX20</f>
        <v/>
      </c>
      <c r="FY22" s="16">
        <f>FY21-FY20</f>
        <v/>
      </c>
      <c r="FZ22" s="16">
        <f>FZ21-FZ20</f>
        <v/>
      </c>
      <c r="GA22" s="16">
        <f>GA21-GA20</f>
        <v/>
      </c>
      <c r="GB22" s="16">
        <f>GB21-GB20</f>
        <v/>
      </c>
      <c r="GC22" s="16">
        <f>GC21-GC20</f>
        <v/>
      </c>
      <c r="GD22" s="16">
        <f>GD21-GD20</f>
        <v/>
      </c>
      <c r="GE22" s="16">
        <f>GE21-GE20</f>
        <v/>
      </c>
      <c r="GF22" s="16">
        <f>GF21-GF20</f>
        <v/>
      </c>
      <c r="GG22" s="16">
        <f>GG21-GG20</f>
        <v/>
      </c>
      <c r="GH22" s="16">
        <f>GH21-GH20</f>
        <v/>
      </c>
      <c r="GI22" s="16">
        <f>GI21-GI20</f>
        <v/>
      </c>
      <c r="GJ22" s="16">
        <f>GJ21-GJ20</f>
        <v/>
      </c>
      <c r="GK22" s="126" t="n"/>
      <c r="GL22" s="16">
        <f>GL21-GL20</f>
        <v/>
      </c>
      <c r="GM22" s="16">
        <f>GM21-GM20</f>
        <v/>
      </c>
      <c r="GN22" s="16">
        <f>GN21-GN20</f>
        <v/>
      </c>
      <c r="GO22" s="16">
        <f>GO21-GO20</f>
        <v/>
      </c>
      <c r="GP22" s="16">
        <f>GP21-GP20</f>
        <v/>
      </c>
      <c r="GQ22" s="16">
        <f>GQ21-GQ20</f>
        <v/>
      </c>
      <c r="GR22" s="16">
        <f>GR21-GR20</f>
        <v/>
      </c>
      <c r="GS22" s="16">
        <f>GS21-GS20</f>
        <v/>
      </c>
      <c r="GT22" s="16">
        <f>GT21-GT20</f>
        <v/>
      </c>
      <c r="GU22" s="16">
        <f>GU21-GU20</f>
        <v/>
      </c>
      <c r="GV22" s="16">
        <f>GV21-GV20</f>
        <v/>
      </c>
      <c r="GW22" s="16">
        <f>GW21-GW20</f>
        <v/>
      </c>
      <c r="GX22" s="16">
        <f>GX21-GX20</f>
        <v/>
      </c>
      <c r="GY22" s="16">
        <f>GY21-GY20</f>
        <v/>
      </c>
      <c r="GZ22" s="16">
        <f>GZ21-GZ20</f>
        <v/>
      </c>
      <c r="HA22" s="16">
        <f>HA21-HA20</f>
        <v/>
      </c>
      <c r="HB22" s="16">
        <f>HB21-HB20</f>
        <v/>
      </c>
      <c r="HC22" s="16">
        <f>HC21-HC20</f>
        <v/>
      </c>
      <c r="HD22" s="16">
        <f>HD21-HD20</f>
        <v/>
      </c>
      <c r="HE22" s="16">
        <f>HE21-HE20</f>
        <v/>
      </c>
      <c r="HF22" s="16">
        <f>HF21-HF20</f>
        <v/>
      </c>
      <c r="HG22" s="16">
        <f>HG21-HG20</f>
        <v/>
      </c>
      <c r="HH22" s="16">
        <f>HH21-HH20</f>
        <v/>
      </c>
      <c r="HI22" s="16">
        <f>HI21-HI20</f>
        <v/>
      </c>
      <c r="HJ22" s="16">
        <f>HJ21-HJ20</f>
        <v/>
      </c>
      <c r="HK22" s="16">
        <f>HK21-HK20</f>
        <v/>
      </c>
      <c r="HL22" s="16">
        <f>HL21-HL20</f>
        <v/>
      </c>
      <c r="HM22" s="16">
        <f>HM21-HM20</f>
        <v/>
      </c>
      <c r="HN22" s="16">
        <f>HN21-HN20</f>
        <v/>
      </c>
      <c r="HO22" s="126" t="n"/>
      <c r="HP22" s="16">
        <f>HP21-HP20</f>
        <v/>
      </c>
      <c r="HQ22" s="16">
        <f>HQ21-HQ20</f>
        <v/>
      </c>
      <c r="HR22" s="16">
        <f>HR21-HR20</f>
        <v/>
      </c>
      <c r="HS22" s="16">
        <f>HS21-HS20</f>
        <v/>
      </c>
      <c r="HT22" s="16">
        <f>HT21-HT20</f>
        <v/>
      </c>
      <c r="HU22" s="16">
        <f>HU21-HU20</f>
        <v/>
      </c>
      <c r="HV22" s="16">
        <f>HV21-HV20</f>
        <v/>
      </c>
      <c r="HW22" s="16">
        <f>HW21-HW20</f>
        <v/>
      </c>
      <c r="HX22" s="16">
        <f>HX21-HX20</f>
        <v/>
      </c>
      <c r="HY22" s="16">
        <f>HY21-HY20</f>
        <v/>
      </c>
      <c r="HZ22" s="16">
        <f>HZ21-HZ20</f>
        <v/>
      </c>
      <c r="IA22" s="16">
        <f>IA21-IA20</f>
        <v/>
      </c>
      <c r="IB22" s="16">
        <f>IB21-IB20</f>
        <v/>
      </c>
      <c r="IC22" s="16">
        <f>IC21-IC20</f>
        <v/>
      </c>
      <c r="ID22" s="16">
        <f>ID21-ID20</f>
        <v/>
      </c>
      <c r="IE22" s="16">
        <f>IE21-IE20</f>
        <v/>
      </c>
      <c r="IF22" s="16">
        <f>IF21-IF20</f>
        <v/>
      </c>
      <c r="IG22" s="16">
        <f>IG21-IG20</f>
        <v/>
      </c>
      <c r="IH22" s="16">
        <f>IH21-IH20</f>
        <v/>
      </c>
      <c r="II22" s="16">
        <f>II21-II20</f>
        <v/>
      </c>
      <c r="IJ22" s="16">
        <f>IJ21-IJ20</f>
        <v/>
      </c>
      <c r="IK22" s="16">
        <f>IK21-IK20</f>
        <v/>
      </c>
      <c r="IL22" s="16">
        <f>IL21-IL20</f>
        <v/>
      </c>
      <c r="IM22" s="16">
        <f>IM21-IM20</f>
        <v/>
      </c>
      <c r="IN22" s="16">
        <f>IN21-IN20</f>
        <v/>
      </c>
      <c r="IO22" s="16">
        <f>IO21-IO20</f>
        <v/>
      </c>
      <c r="IP22" s="16">
        <f>IP21-IP20</f>
        <v/>
      </c>
      <c r="IQ22" s="16">
        <f>IQ21-IQ20</f>
        <v/>
      </c>
      <c r="IR22" s="16">
        <f>IR21-IR20</f>
        <v/>
      </c>
      <c r="IS22" s="16">
        <f>IS21-IS20</f>
        <v/>
      </c>
      <c r="IT22" s="16">
        <f>IT21-IT20</f>
        <v/>
      </c>
      <c r="IU22" s="126" t="n"/>
      <c r="IV22" s="16">
        <f>IV21-IV20</f>
        <v/>
      </c>
      <c r="IW22" s="16">
        <f>IW21-IW20</f>
        <v/>
      </c>
      <c r="IX22" s="16">
        <f>IX21-IX20</f>
        <v/>
      </c>
      <c r="IY22" s="16">
        <f>IY21-IY20</f>
        <v/>
      </c>
      <c r="IZ22" s="16">
        <f>IZ21-IZ20</f>
        <v/>
      </c>
      <c r="JA22" s="16">
        <f>JA21-JA20</f>
        <v/>
      </c>
      <c r="JB22" s="16">
        <f>JB21-JB20</f>
        <v/>
      </c>
      <c r="JC22" s="16">
        <f>JC21-JC20</f>
        <v/>
      </c>
      <c r="JD22" s="16">
        <f>JD21-JD20</f>
        <v/>
      </c>
      <c r="JE22" s="16">
        <f>JE21-JE20</f>
        <v/>
      </c>
      <c r="JF22" s="16">
        <f>JF21-JF20</f>
        <v/>
      </c>
      <c r="JG22" s="16">
        <f>JG21-JG20</f>
        <v/>
      </c>
      <c r="JH22" s="16">
        <f>JH21-JH20</f>
        <v/>
      </c>
      <c r="JI22" s="16">
        <f>JI21-JI20</f>
        <v/>
      </c>
      <c r="JJ22" s="16">
        <f>JJ21-JJ20</f>
        <v/>
      </c>
      <c r="JK22" s="16">
        <f>JK21-JK20</f>
        <v/>
      </c>
      <c r="JL22" s="16">
        <f>JL21-JL20</f>
        <v/>
      </c>
      <c r="JM22" s="16">
        <f>JM21-JM20</f>
        <v/>
      </c>
      <c r="JN22" s="16">
        <f>JN21-JN20</f>
        <v/>
      </c>
      <c r="JO22" s="16">
        <f>JO21-JO20</f>
        <v/>
      </c>
      <c r="JP22" s="16">
        <f>JP21-JP20</f>
        <v/>
      </c>
      <c r="JQ22" s="16">
        <f>JQ21-JQ20</f>
        <v/>
      </c>
      <c r="JR22" s="16">
        <f>JR21-JR20</f>
        <v/>
      </c>
      <c r="JS22" s="16">
        <f>JS21-JS20</f>
        <v/>
      </c>
      <c r="JT22" s="16">
        <f>JT21-JT20</f>
        <v/>
      </c>
      <c r="JU22" s="16">
        <f>JU21-JU20</f>
        <v/>
      </c>
      <c r="JV22" s="16">
        <f>JV21-JV20</f>
        <v/>
      </c>
      <c r="JW22" s="16">
        <f>JW21-JW20</f>
        <v/>
      </c>
      <c r="JX22" s="16">
        <f>JX21-JX20</f>
        <v/>
      </c>
      <c r="JY22" s="16">
        <f>JY21-JY20</f>
        <v/>
      </c>
      <c r="JZ22" s="127">
        <f>SUM(IV22:JY22)</f>
        <v/>
      </c>
      <c r="KA22" s="16">
        <f>KA21-KA20</f>
        <v/>
      </c>
      <c r="KB22" s="16">
        <f>KB21-KB20</f>
        <v/>
      </c>
      <c r="KC22" s="16">
        <f>KC21-KC20</f>
        <v/>
      </c>
      <c r="KD22" s="16">
        <f>KD21-KD20</f>
        <v/>
      </c>
      <c r="KE22" s="16">
        <f>KE21-KE20</f>
        <v/>
      </c>
      <c r="KF22" s="16">
        <f>KF21-KF20</f>
        <v/>
      </c>
      <c r="KG22" s="16">
        <f>KG21-KG20</f>
        <v/>
      </c>
      <c r="KH22" s="16">
        <f>KH21-KH20</f>
        <v/>
      </c>
      <c r="KI22" s="16">
        <f>KI21-KI20</f>
        <v/>
      </c>
      <c r="KJ22" s="16">
        <f>KJ21-KJ20</f>
        <v/>
      </c>
      <c r="KK22" s="16">
        <f>KK21-KK20</f>
        <v/>
      </c>
      <c r="KL22" s="16">
        <f>KL21-KL20</f>
        <v/>
      </c>
      <c r="KM22" s="16">
        <f>KM21-KM20</f>
        <v/>
      </c>
      <c r="KN22" s="16">
        <f>KN21-KN20</f>
        <v/>
      </c>
      <c r="KO22" s="16">
        <f>KO21-KO20</f>
        <v/>
      </c>
      <c r="KP22" s="16">
        <f>KP21-KP20</f>
        <v/>
      </c>
      <c r="KQ22" s="16">
        <f>KQ21-KQ20</f>
        <v/>
      </c>
      <c r="KR22" s="16">
        <f>KR21-KR20</f>
        <v/>
      </c>
      <c r="KS22" s="16">
        <f>KS21-KS20</f>
        <v/>
      </c>
      <c r="KT22" s="16">
        <f>KT21-KT20</f>
        <v/>
      </c>
      <c r="KU22" s="16">
        <f>KU21-KU20</f>
        <v/>
      </c>
      <c r="KV22" s="16">
        <f>KV21-KV20</f>
        <v/>
      </c>
      <c r="KW22" s="16">
        <f>KW21-KW20</f>
        <v/>
      </c>
      <c r="KX22" s="16">
        <f>KX21-KX20</f>
        <v/>
      </c>
      <c r="KY22" s="16">
        <f>KY21-KY20</f>
        <v/>
      </c>
      <c r="KZ22" s="16">
        <f>KZ21-KZ20</f>
        <v/>
      </c>
      <c r="LA22" s="16">
        <f>LA21-LA20</f>
        <v/>
      </c>
      <c r="LB22" s="16">
        <f>LB21-LB20</f>
        <v/>
      </c>
      <c r="LC22" s="16">
        <f>LC21-LC20</f>
        <v/>
      </c>
      <c r="LD22" s="16">
        <f>LD21-LD20</f>
        <v/>
      </c>
      <c r="LE22" s="16">
        <f>LE21-LE20</f>
        <v/>
      </c>
      <c r="LF22" s="127">
        <f>SUM(KA22:LE22)</f>
        <v/>
      </c>
      <c r="LG22" s="16">
        <f>LG21-LG20</f>
        <v/>
      </c>
      <c r="LH22" s="16">
        <f>LH21-LH20</f>
        <v/>
      </c>
      <c r="LI22" s="16">
        <f>LI21-LI20</f>
        <v/>
      </c>
      <c r="LJ22" s="16">
        <f>LJ21-LJ20</f>
        <v/>
      </c>
      <c r="LK22" s="16">
        <f>LK21-LK20</f>
        <v/>
      </c>
      <c r="LL22" s="16">
        <f>LL21-LL20</f>
        <v/>
      </c>
      <c r="LM22" s="16">
        <f>LM21-LM20</f>
        <v/>
      </c>
      <c r="LN22" s="16">
        <f>LN21-LN20</f>
        <v/>
      </c>
      <c r="LO22" s="16">
        <f>LO21-LO20</f>
        <v/>
      </c>
      <c r="LP22" s="16">
        <f>LP21-LP20</f>
        <v/>
      </c>
      <c r="LQ22" s="16">
        <f>LQ21-LQ20</f>
        <v/>
      </c>
      <c r="LR22" s="16">
        <f>LR21-LR20</f>
        <v/>
      </c>
      <c r="LS22" s="16">
        <f>LS21-LS20</f>
        <v/>
      </c>
      <c r="LT22" s="16">
        <f>LT21-LT20</f>
        <v/>
      </c>
      <c r="LU22" s="16">
        <f>LU21-LU20</f>
        <v/>
      </c>
      <c r="LV22" s="16">
        <f>LV21-LV20</f>
        <v/>
      </c>
      <c r="LW22" s="16">
        <f>LW21-LW20</f>
        <v/>
      </c>
      <c r="LX22" s="16">
        <f>LX21-LX20</f>
        <v/>
      </c>
      <c r="LY22" s="16">
        <f>LY21-LY20</f>
        <v/>
      </c>
      <c r="LZ22" s="16">
        <f>LZ21-LZ20</f>
        <v/>
      </c>
      <c r="MA22" s="16">
        <f>MA21-MA20</f>
        <v/>
      </c>
      <c r="MB22" s="16">
        <f>MB21-MB20</f>
        <v/>
      </c>
      <c r="MC22" s="16">
        <f>MC21-MC20</f>
        <v/>
      </c>
      <c r="MD22" s="16">
        <f>MD21-MD20</f>
        <v/>
      </c>
      <c r="ME22" s="16">
        <f>ME21-ME20</f>
        <v/>
      </c>
      <c r="MF22" s="16">
        <f>MF21-MF20</f>
        <v/>
      </c>
      <c r="MG22" s="16">
        <f>MG21-MG20</f>
        <v/>
      </c>
      <c r="MH22" s="16">
        <f>MH21-MH20</f>
        <v/>
      </c>
      <c r="MI22" s="16">
        <f>MI21-MI20</f>
        <v/>
      </c>
      <c r="MJ22" s="16">
        <f>MJ21-MJ20</f>
        <v/>
      </c>
      <c r="MK22" s="127">
        <f>SUM(LF22:MJ22)</f>
        <v/>
      </c>
      <c r="ML22" s="16">
        <f>ML21-ML20</f>
        <v/>
      </c>
      <c r="MM22" s="16">
        <f>MM21-MM20</f>
        <v/>
      </c>
      <c r="MN22" s="16">
        <f>MN21-MN20</f>
        <v/>
      </c>
      <c r="MO22" s="16">
        <f>MO21-MO20</f>
        <v/>
      </c>
      <c r="MP22" s="16">
        <f>MP21-MP20</f>
        <v/>
      </c>
      <c r="MQ22" s="16">
        <f>MQ21-MQ20</f>
        <v/>
      </c>
      <c r="MR22" s="16">
        <f>MR21-MR20</f>
        <v/>
      </c>
      <c r="MS22" s="16">
        <f>MS21-MS20</f>
        <v/>
      </c>
      <c r="MT22" s="16">
        <f>MT21-MT20</f>
        <v/>
      </c>
      <c r="MU22" s="16">
        <f>MU21-MU20</f>
        <v/>
      </c>
      <c r="MV22" s="16">
        <f>MV21-MV20</f>
        <v/>
      </c>
      <c r="MW22" s="16">
        <f>MW21-MW20</f>
        <v/>
      </c>
      <c r="MX22" s="16">
        <f>MX21-MX20</f>
        <v/>
      </c>
      <c r="MY22" s="16">
        <f>MY21-MY20</f>
        <v/>
      </c>
      <c r="MZ22" s="16">
        <f>MZ21-MZ20</f>
        <v/>
      </c>
      <c r="NA22" s="16">
        <f>NA21-NA20</f>
        <v/>
      </c>
      <c r="NB22" s="16">
        <f>NB21-NB20</f>
        <v/>
      </c>
      <c r="NC22" s="16">
        <f>NC21-NC20</f>
        <v/>
      </c>
      <c r="ND22" s="16">
        <f>ND21-ND20</f>
        <v/>
      </c>
      <c r="NE22" s="16">
        <f>NE21-NE20</f>
        <v/>
      </c>
      <c r="NF22" s="16">
        <f>NF21-NF20</f>
        <v/>
      </c>
      <c r="NG22" s="16">
        <f>NG21-NG20</f>
        <v/>
      </c>
      <c r="NH22" s="16">
        <f>NH21-NH20</f>
        <v/>
      </c>
      <c r="NI22" s="16">
        <f>NI21-NI20</f>
        <v/>
      </c>
      <c r="NJ22" s="16">
        <f>NJ21-NJ20</f>
        <v/>
      </c>
      <c r="NK22" s="16">
        <f>NK21-NK20</f>
        <v/>
      </c>
      <c r="NL22" s="16">
        <f>NL21-NL20</f>
        <v/>
      </c>
      <c r="NM22" s="16">
        <f>NM21-NM20</f>
        <v/>
      </c>
      <c r="NN22" s="16">
        <f>NN21-NN20</f>
        <v/>
      </c>
      <c r="NO22" s="16">
        <f>NO21-NO20</f>
        <v/>
      </c>
      <c r="NP22" s="16">
        <f>NP21-NP20</f>
        <v/>
      </c>
      <c r="NQ22" s="127">
        <f>SUM(ML22:NP22)</f>
        <v/>
      </c>
      <c r="NR22" s="16">
        <f>NR21-NR20</f>
        <v/>
      </c>
      <c r="NS22" s="16">
        <f>NS21-NS20</f>
        <v/>
      </c>
      <c r="NT22" s="16">
        <f>NT21-NT20</f>
        <v/>
      </c>
      <c r="NU22" s="16">
        <f>NU21-NU20</f>
        <v/>
      </c>
      <c r="NV22" s="16">
        <f>NV21-NV20</f>
        <v/>
      </c>
      <c r="NW22" s="16">
        <f>NW21-NW20</f>
        <v/>
      </c>
      <c r="NX22" s="16">
        <f>NX21-NX20</f>
        <v/>
      </c>
      <c r="NY22" s="16">
        <f>NY21-NY20</f>
        <v/>
      </c>
      <c r="NZ22" s="16">
        <f>NZ21-NZ20</f>
        <v/>
      </c>
      <c r="OA22" s="16">
        <f>OA21-OA20</f>
        <v/>
      </c>
      <c r="OB22" s="16">
        <f>OB21-OB20</f>
        <v/>
      </c>
      <c r="OC22" s="16">
        <f>OC21-OC20</f>
        <v/>
      </c>
      <c r="OD22" s="16">
        <f>OD21-OD20</f>
        <v/>
      </c>
      <c r="OE22" s="16">
        <f>OE21-OE20</f>
        <v/>
      </c>
      <c r="OF22" s="16">
        <f>OF21-OF20</f>
        <v/>
      </c>
      <c r="OG22" s="16">
        <f>OG21-OG20</f>
        <v/>
      </c>
      <c r="OH22" s="16">
        <f>OH21-OH20</f>
        <v/>
      </c>
      <c r="OI22" s="16">
        <f>OI21-OI20</f>
        <v/>
      </c>
      <c r="OJ22" s="16">
        <f>OJ21-OJ20</f>
        <v/>
      </c>
      <c r="OK22" s="16">
        <f>OK21-OK20</f>
        <v/>
      </c>
      <c r="OL22" s="16">
        <f>OL21-OL20</f>
        <v/>
      </c>
      <c r="OM22" s="16">
        <f>OM21-OM20</f>
        <v/>
      </c>
      <c r="ON22" s="16">
        <f>ON21-ON20</f>
        <v/>
      </c>
      <c r="OO22" s="16">
        <f>OO21-OO20</f>
        <v/>
      </c>
      <c r="OP22" s="16">
        <f>OP21-OP20</f>
        <v/>
      </c>
      <c r="OQ22" s="16">
        <f>OQ21-OQ20</f>
        <v/>
      </c>
      <c r="OR22" s="16">
        <f>OR21-OR20</f>
        <v/>
      </c>
      <c r="OS22" s="16">
        <f>OS21-OS20</f>
        <v/>
      </c>
      <c r="OT22" s="16">
        <f>OT21-OT20</f>
        <v/>
      </c>
      <c r="OU22" s="16">
        <f>OU21-OU20</f>
        <v/>
      </c>
      <c r="OV22" s="16">
        <f>OV21-OV20</f>
        <v/>
      </c>
      <c r="OW22" s="127">
        <f>SUM(NR22:OV22)</f>
        <v/>
      </c>
      <c r="OX22" s="16">
        <f>OX21-OX20</f>
        <v/>
      </c>
      <c r="OY22" s="16">
        <f>OY21-OY20</f>
        <v/>
      </c>
      <c r="OZ22" s="16">
        <f>OZ21-OZ20</f>
        <v/>
      </c>
      <c r="PA22" s="16">
        <f>PA21-PA20</f>
        <v/>
      </c>
      <c r="PB22" s="16">
        <f>PB21-PB20</f>
        <v/>
      </c>
      <c r="PC22" s="16">
        <f>PC21-PC20</f>
        <v/>
      </c>
      <c r="PD22" s="16">
        <f>PD21-PD20</f>
        <v/>
      </c>
      <c r="PE22" s="16">
        <f>PE21-PE20</f>
        <v/>
      </c>
      <c r="PF22" s="16">
        <f>PF21-PF20</f>
        <v/>
      </c>
      <c r="PG22" s="16">
        <f>PG21-PG20</f>
        <v/>
      </c>
      <c r="PH22" s="16">
        <f>PH21-PH20</f>
        <v/>
      </c>
      <c r="PI22" s="16">
        <f>PI21-PI20</f>
        <v/>
      </c>
      <c r="PJ22" s="16">
        <f>PJ21-PJ20</f>
        <v/>
      </c>
      <c r="PK22" s="16">
        <f>PK21-PK20</f>
        <v/>
      </c>
      <c r="PL22" s="16">
        <f>PL21-PL20</f>
        <v/>
      </c>
      <c r="PM22" s="16">
        <f>PM21-PM20</f>
        <v/>
      </c>
      <c r="PN22" s="16">
        <f>PN21-PN20</f>
        <v/>
      </c>
      <c r="PO22" s="16">
        <f>PO21-PO20</f>
        <v/>
      </c>
      <c r="PP22" s="16">
        <f>PP21-PP20</f>
        <v/>
      </c>
      <c r="PQ22" s="16">
        <f>PQ21-PQ20</f>
        <v/>
      </c>
      <c r="PR22" s="16">
        <f>PR21-PR20</f>
        <v/>
      </c>
      <c r="PS22" s="16">
        <f>PS21-PS20</f>
        <v/>
      </c>
      <c r="PT22" s="16">
        <f>PT21-PT20</f>
        <v/>
      </c>
      <c r="PU22" s="16">
        <f>PU21-PU20</f>
        <v/>
      </c>
      <c r="PV22" s="16">
        <f>PV21-PV20</f>
        <v/>
      </c>
      <c r="PW22" s="16">
        <f>PW21-PW20</f>
        <v/>
      </c>
      <c r="PX22" s="16">
        <f>PX21-PX20</f>
        <v/>
      </c>
      <c r="PY22" s="16">
        <f>PY21-PY20</f>
        <v/>
      </c>
      <c r="PZ22" s="16">
        <f>PZ21-PZ20</f>
        <v/>
      </c>
      <c r="QA22" s="16">
        <f>QA21-QA20</f>
        <v/>
      </c>
      <c r="QB22" s="127">
        <f>SUM(OX22:QA22)</f>
        <v/>
      </c>
      <c r="QC22" s="16">
        <f>QC21-QC20</f>
        <v/>
      </c>
      <c r="QD22" s="16">
        <f>QD21-QD20</f>
        <v/>
      </c>
      <c r="QE22" s="16">
        <f>QE21-QE20</f>
        <v/>
      </c>
      <c r="QF22" s="16">
        <f>QF21-QF20</f>
        <v/>
      </c>
      <c r="QG22" s="16">
        <f>QG21-QG20</f>
        <v/>
      </c>
      <c r="QH22" s="16">
        <f>QH21-QH20</f>
        <v/>
      </c>
      <c r="QI22" s="16">
        <f>QI21-QI20</f>
        <v/>
      </c>
      <c r="QJ22" s="16">
        <f>QJ21-QJ20</f>
        <v/>
      </c>
      <c r="QK22" s="16">
        <f>QK21-QK20</f>
        <v/>
      </c>
      <c r="QL22" s="16">
        <f>QL21-QL20</f>
        <v/>
      </c>
      <c r="QM22" s="16">
        <f>QM21-QM20</f>
        <v/>
      </c>
      <c r="QN22" s="16">
        <f>QN21-QN20</f>
        <v/>
      </c>
      <c r="QO22" s="16">
        <f>QO21-QO20</f>
        <v/>
      </c>
      <c r="QP22" s="16">
        <f>QP21-QP20</f>
        <v/>
      </c>
      <c r="QQ22" s="16">
        <f>QQ21-QQ20</f>
        <v/>
      </c>
      <c r="QR22" s="16">
        <f>QR21-QR20</f>
        <v/>
      </c>
      <c r="QS22" s="16">
        <f>QS21-QS20</f>
        <v/>
      </c>
      <c r="QT22" s="16">
        <f>QT21-QT20</f>
        <v/>
      </c>
      <c r="QU22" s="16">
        <f>QU21-QU20</f>
        <v/>
      </c>
      <c r="QV22" s="16">
        <f>QV21-QV20</f>
        <v/>
      </c>
      <c r="QW22" s="16">
        <f>QW21-QW20</f>
        <v/>
      </c>
      <c r="QX22" s="16">
        <f>QX21-QX20</f>
        <v/>
      </c>
      <c r="QY22" s="16">
        <f>QY21-QY20</f>
        <v/>
      </c>
      <c r="QZ22" s="16">
        <f>QZ21-QZ20</f>
        <v/>
      </c>
      <c r="RA22" s="16">
        <f>RA21-RA20</f>
        <v/>
      </c>
      <c r="RB22" s="16">
        <f>RB21-RB20</f>
        <v/>
      </c>
      <c r="RC22" s="16">
        <f>RC21-RC20</f>
        <v/>
      </c>
      <c r="RD22" s="16">
        <f>RD21-RD20</f>
        <v/>
      </c>
      <c r="RE22" s="16">
        <f>RE21-RE20</f>
        <v/>
      </c>
      <c r="RF22" s="16">
        <f>RF21-RF20</f>
        <v/>
      </c>
      <c r="RG22" s="16">
        <f>RG21-RG20</f>
        <v/>
      </c>
      <c r="RH22" s="127">
        <f>SUM(QD22:RG22)</f>
        <v/>
      </c>
      <c r="RI22" s="16">
        <f>RI21-RI20</f>
        <v/>
      </c>
      <c r="RJ22" s="16">
        <f>RJ21-RJ20</f>
        <v/>
      </c>
      <c r="RK22" s="16">
        <f>RK21-RK20</f>
        <v/>
      </c>
      <c r="RL22" s="16">
        <f>RL21-RL20</f>
        <v/>
      </c>
      <c r="RM22" s="16">
        <f>RM21-RM20</f>
        <v/>
      </c>
      <c r="RN22" s="16">
        <f>RN21-RN20</f>
        <v/>
      </c>
      <c r="RO22" s="16">
        <f>RO21-RO20</f>
        <v/>
      </c>
      <c r="RP22" s="16">
        <f>RP21-RP20</f>
        <v/>
      </c>
      <c r="RQ22" s="16">
        <f>RQ21-RQ20</f>
        <v/>
      </c>
      <c r="RR22" s="16">
        <f>RR21-RR20</f>
        <v/>
      </c>
      <c r="RS22" s="16">
        <f>RS21-RS20</f>
        <v/>
      </c>
      <c r="RT22" s="16">
        <f>RT21-RT20</f>
        <v/>
      </c>
      <c r="RU22" s="16">
        <f>RU21-RU20</f>
        <v/>
      </c>
      <c r="RV22" s="16">
        <f>RV21-RV20</f>
        <v/>
      </c>
      <c r="RW22" s="16">
        <f>RW21-RW20</f>
        <v/>
      </c>
      <c r="RX22" s="16">
        <f>RX21-RX20</f>
        <v/>
      </c>
      <c r="RY22" s="16">
        <f>RY21-RY20</f>
        <v/>
      </c>
      <c r="RZ22" s="16">
        <f>RZ21-RZ20</f>
        <v/>
      </c>
      <c r="SA22" s="16">
        <f>SA21-SA20</f>
        <v/>
      </c>
      <c r="SB22" s="16">
        <f>SB21-SB20</f>
        <v/>
      </c>
      <c r="SC22" s="16">
        <f>SC21-SC20</f>
        <v/>
      </c>
      <c r="SD22" s="16">
        <f>SD21-SD20</f>
        <v/>
      </c>
      <c r="SE22" s="16">
        <f>SE21-SE20</f>
        <v/>
      </c>
      <c r="SF22" s="16">
        <f>SF21-SF20</f>
        <v/>
      </c>
      <c r="SG22" s="16">
        <f>SG21-SG20</f>
        <v/>
      </c>
      <c r="SH22" s="16">
        <f>SH21-SH20</f>
        <v/>
      </c>
      <c r="SI22" s="16">
        <f>SI21-SI20</f>
        <v/>
      </c>
      <c r="SJ22" s="16">
        <f>SJ21-SJ20</f>
        <v/>
      </c>
      <c r="SK22" s="16">
        <f>SK21-SK20</f>
        <v/>
      </c>
      <c r="SL22" s="16">
        <f>SL21-SL20</f>
        <v/>
      </c>
      <c r="SM22" s="127">
        <f>SUM(RI22:SL22)</f>
        <v/>
      </c>
      <c r="SN22" s="16">
        <f>SN21-SN20</f>
        <v/>
      </c>
      <c r="SO22" s="16">
        <f>SO21-SO20</f>
        <v/>
      </c>
      <c r="SP22" s="16">
        <f>SP21-SP20</f>
        <v/>
      </c>
      <c r="SQ22" s="16">
        <f>SQ21-SQ20</f>
        <v/>
      </c>
      <c r="SR22" s="16">
        <f>SR21-SR20</f>
        <v/>
      </c>
      <c r="SS22" s="16">
        <f>SS21-SS20</f>
        <v/>
      </c>
      <c r="ST22" s="16">
        <f>ST21-ST20</f>
        <v/>
      </c>
      <c r="SU22" s="16">
        <f>SU21-SU20</f>
        <v/>
      </c>
      <c r="SV22" s="16">
        <f>SV21-SV20</f>
        <v/>
      </c>
      <c r="SW22" s="16">
        <f>SW21-SW20</f>
        <v/>
      </c>
      <c r="SX22" s="16">
        <f>SX21-SX20</f>
        <v/>
      </c>
      <c r="SY22" s="16">
        <f>SY21-SY20</f>
        <v/>
      </c>
      <c r="SZ22" s="16">
        <f>SZ21-SZ20</f>
        <v/>
      </c>
      <c r="TA22" s="16">
        <f>TA21-TA20</f>
        <v/>
      </c>
      <c r="TB22" s="16">
        <f>TB21-TB20</f>
        <v/>
      </c>
      <c r="TC22" s="16">
        <f>TC21-TC20</f>
        <v/>
      </c>
      <c r="TD22" s="16">
        <f>TD21-TD20</f>
        <v/>
      </c>
      <c r="TE22" s="16">
        <f>TE21-TE20</f>
        <v/>
      </c>
      <c r="TF22" s="16">
        <f>TF21-TF20</f>
        <v/>
      </c>
      <c r="TG22" s="16">
        <f>TG21-TG20</f>
        <v/>
      </c>
      <c r="TH22" s="16">
        <f>TH21-TH20</f>
        <v/>
      </c>
      <c r="TI22" s="16">
        <f>TI21-TI20</f>
        <v/>
      </c>
      <c r="TJ22" s="16">
        <f>TJ21-TJ20</f>
        <v/>
      </c>
      <c r="TK22" s="16">
        <f>TK21-TK20</f>
        <v/>
      </c>
      <c r="TL22" s="16">
        <f>TL21-TL20</f>
        <v/>
      </c>
      <c r="TM22" s="16">
        <f>TM21-TM20</f>
        <v/>
      </c>
      <c r="TN22" s="16">
        <f>TN21-TN20</f>
        <v/>
      </c>
      <c r="TO22" s="16">
        <f>TO21-TO20</f>
        <v/>
      </c>
      <c r="TP22" s="16">
        <f>TP21-TP20</f>
        <v/>
      </c>
      <c r="TQ22" s="16">
        <f>TQ21-TQ20</f>
        <v/>
      </c>
      <c r="TR22" s="16">
        <f>TR21-TR20</f>
        <v/>
      </c>
      <c r="TS22" s="127">
        <f>SUM(SO22:TR22)</f>
        <v/>
      </c>
      <c r="TT22" s="16">
        <f>TT21-TT20</f>
        <v/>
      </c>
      <c r="TU22" s="16">
        <f>TU21-TU20</f>
        <v/>
      </c>
      <c r="TV22" s="16">
        <f>TV21-TV20</f>
        <v/>
      </c>
      <c r="TW22" s="16">
        <f>TW21-TW20</f>
        <v/>
      </c>
      <c r="TX22" s="16">
        <f>TX21-TX20</f>
        <v/>
      </c>
      <c r="TY22" s="16">
        <f>TY21-TY20</f>
        <v/>
      </c>
      <c r="TZ22" s="16">
        <f>TZ21-TZ20</f>
        <v/>
      </c>
      <c r="UA22" s="16">
        <f>UA21-UA20</f>
        <v/>
      </c>
      <c r="UB22" s="16">
        <f>UB21-UB20</f>
        <v/>
      </c>
      <c r="UC22" s="16">
        <f>UC21-UC20</f>
        <v/>
      </c>
      <c r="UD22" s="16">
        <f>UD21-UD20</f>
        <v/>
      </c>
      <c r="UE22" s="16">
        <f>UE21-UE20</f>
        <v/>
      </c>
      <c r="UF22" s="16">
        <f>UF21-UF20</f>
        <v/>
      </c>
      <c r="UG22" s="16">
        <f>UG21-UG20</f>
        <v/>
      </c>
      <c r="UH22" s="16">
        <f>UH21-UH20</f>
        <v/>
      </c>
      <c r="UI22" s="16">
        <f>UI21-UI20</f>
        <v/>
      </c>
      <c r="UJ22" s="16">
        <f>UJ21-UJ20</f>
        <v/>
      </c>
      <c r="UK22" s="16">
        <f>UK21-UK20</f>
        <v/>
      </c>
      <c r="UL22" s="16">
        <f>UL21-UL20</f>
        <v/>
      </c>
      <c r="UM22" s="16">
        <f>UM21-UM20</f>
        <v/>
      </c>
      <c r="UN22" s="16">
        <f>UN21-UN20</f>
        <v/>
      </c>
      <c r="UO22" s="16">
        <f>UO21-UO20</f>
        <v/>
      </c>
      <c r="UP22" s="16">
        <f>UP21-UP20</f>
        <v/>
      </c>
      <c r="UQ22" s="16">
        <f>UQ21-UQ20</f>
        <v/>
      </c>
      <c r="UR22" s="16">
        <f>UR21-UR20</f>
        <v/>
      </c>
      <c r="US22" s="16">
        <f>US21-US20</f>
        <v/>
      </c>
      <c r="UT22" s="16">
        <f>UT21-UT20</f>
        <v/>
      </c>
      <c r="UU22" s="16">
        <f>UU21-UU20</f>
        <v/>
      </c>
      <c r="UV22" s="16">
        <f>UV21-UV20</f>
        <v/>
      </c>
      <c r="UW22" s="16">
        <f>UW21-UW20</f>
        <v/>
      </c>
      <c r="UX22" s="16">
        <f>UX21-UX20</f>
        <v/>
      </c>
      <c r="UY22" s="127">
        <f>SUM(TT22:UX22)</f>
        <v/>
      </c>
      <c r="UZ22" s="16">
        <f>UZ21-UZ20</f>
        <v/>
      </c>
      <c r="VA22" s="16">
        <f>VA21-VA20</f>
        <v/>
      </c>
      <c r="VB22" s="16">
        <f>VB21-VB20</f>
        <v/>
      </c>
      <c r="VC22" s="16">
        <f>VC21-VC20</f>
        <v/>
      </c>
      <c r="VD22" s="16">
        <f>VD21-VD20</f>
        <v/>
      </c>
      <c r="VE22" s="16">
        <f>VE21-VE20</f>
        <v/>
      </c>
      <c r="VF22" s="16">
        <f>VF21-VF20</f>
        <v/>
      </c>
      <c r="VG22" s="16">
        <f>VG21-VG20</f>
        <v/>
      </c>
      <c r="VH22" s="16">
        <f>VH21-VH20</f>
        <v/>
      </c>
      <c r="VI22" s="16">
        <f>VI21-VI20</f>
        <v/>
      </c>
      <c r="VJ22" s="16">
        <f>VJ21-VJ20</f>
        <v/>
      </c>
      <c r="VK22" s="16">
        <f>VK21-VK20</f>
        <v/>
      </c>
      <c r="VL22" s="16">
        <f>VL21-VL20</f>
        <v/>
      </c>
      <c r="VM22" s="16">
        <f>VM21-VM20</f>
        <v/>
      </c>
      <c r="VN22" s="16">
        <f>VN21-VN20</f>
        <v/>
      </c>
      <c r="VO22" s="16">
        <f>VO21-VO20</f>
        <v/>
      </c>
      <c r="VP22" s="16">
        <f>VP21-VP20</f>
        <v/>
      </c>
      <c r="VQ22" s="16">
        <f>VQ21-VQ20</f>
        <v/>
      </c>
      <c r="VR22" s="16">
        <f>VR21-VR20</f>
        <v/>
      </c>
      <c r="VS22" s="16">
        <f>VS21-VS20</f>
        <v/>
      </c>
      <c r="VT22" s="16">
        <f>VT21-VT20</f>
        <v/>
      </c>
      <c r="VU22" s="16">
        <f>VU21-VU20</f>
        <v/>
      </c>
      <c r="VV22" s="16">
        <f>VV21-VV20</f>
        <v/>
      </c>
      <c r="VW22" s="16">
        <f>VW21-VW20</f>
        <v/>
      </c>
      <c r="VX22" s="16">
        <f>VX21-VX20</f>
        <v/>
      </c>
      <c r="VY22" s="16">
        <f>VY21-VY20</f>
        <v/>
      </c>
      <c r="VZ22" s="16">
        <f>VZ21-VZ20</f>
        <v/>
      </c>
      <c r="WA22" s="16">
        <f>WA21-WA20</f>
        <v/>
      </c>
      <c r="WB22" s="127">
        <f>SUM(UZ22:WA22)</f>
        <v/>
      </c>
      <c r="WC22" s="16">
        <f>WC21-WC20</f>
        <v/>
      </c>
      <c r="WD22" s="16">
        <f>WD21-WD20</f>
        <v/>
      </c>
      <c r="WE22" s="16">
        <f>WE21-WE20</f>
        <v/>
      </c>
      <c r="WF22" s="16">
        <f>WF21-WF20</f>
        <v/>
      </c>
      <c r="WG22" s="16">
        <f>WG21-WG20</f>
        <v/>
      </c>
      <c r="WH22" s="16">
        <f>WH21-WH20</f>
        <v/>
      </c>
      <c r="WI22" s="16">
        <f>WI21-WI20</f>
        <v/>
      </c>
      <c r="WJ22" s="16">
        <f>WJ21-WJ20</f>
        <v/>
      </c>
      <c r="WK22" s="16">
        <f>WK21-WK20</f>
        <v/>
      </c>
      <c r="WL22" s="16">
        <f>WL21-WL20</f>
        <v/>
      </c>
      <c r="WM22" s="16">
        <f>WM21-WM20</f>
        <v/>
      </c>
      <c r="WN22" s="16">
        <f>WN21-WN20</f>
        <v/>
      </c>
      <c r="WO22" s="16">
        <f>WO21-WO20</f>
        <v/>
      </c>
      <c r="WP22" s="16">
        <f>WP21-WP20</f>
        <v/>
      </c>
      <c r="WQ22" s="16">
        <f>WQ21-WQ20</f>
        <v/>
      </c>
      <c r="WR22" s="16">
        <f>WR21-WR20</f>
        <v/>
      </c>
      <c r="WS22" s="16">
        <f>WS21-WS20</f>
        <v/>
      </c>
      <c r="WT22" s="16">
        <f>WT21-WT20</f>
        <v/>
      </c>
      <c r="WU22" s="16">
        <f>WU21-WU20</f>
        <v/>
      </c>
      <c r="WV22" s="16">
        <f>WV21-WV20</f>
        <v/>
      </c>
      <c r="WW22" s="16">
        <f>WW21-WW20</f>
        <v/>
      </c>
      <c r="WX22" s="16">
        <f>WX21-WX20</f>
        <v/>
      </c>
      <c r="WY22" s="16">
        <f>WY21-WY20</f>
        <v/>
      </c>
      <c r="WZ22" s="16">
        <f>WZ21-WZ20</f>
        <v/>
      </c>
      <c r="XA22" s="16">
        <f>XA21-XA20</f>
        <v/>
      </c>
      <c r="XB22" s="16">
        <f>XB21-XB20</f>
        <v/>
      </c>
      <c r="XC22" s="16">
        <f>XC21-XC20</f>
        <v/>
      </c>
      <c r="XD22" s="16">
        <f>XD21-XD20</f>
        <v/>
      </c>
      <c r="XE22" s="16">
        <f>XE21-XE20</f>
        <v/>
      </c>
      <c r="XF22" s="16">
        <f>XF21-XF20</f>
        <v/>
      </c>
      <c r="XG22" s="16">
        <f>XG21-XG20</f>
        <v/>
      </c>
      <c r="XH22" s="127">
        <f>SUM(WC22:XG22)</f>
        <v/>
      </c>
      <c r="XI22" s="16">
        <f>XI21-XI20</f>
        <v/>
      </c>
      <c r="XJ22" s="16">
        <f>XJ21-XJ20</f>
        <v/>
      </c>
      <c r="XK22" s="16">
        <f>XK21-XK20</f>
        <v/>
      </c>
      <c r="XL22" s="16">
        <f>XL21-XL20</f>
        <v/>
      </c>
      <c r="XM22" s="16">
        <f>XM21-XM20</f>
        <v/>
      </c>
      <c r="XN22" s="16">
        <f>XN21-XN20</f>
        <v/>
      </c>
      <c r="XO22" s="16">
        <f>XO21-XO20</f>
        <v/>
      </c>
      <c r="XP22" s="16">
        <f>XP21-XP20</f>
        <v/>
      </c>
      <c r="XQ22" s="16">
        <f>XQ21-XQ20</f>
        <v/>
      </c>
      <c r="XR22" s="16">
        <f>XR21-XR20</f>
        <v/>
      </c>
      <c r="XS22" s="16">
        <f>XS21-XS20</f>
        <v/>
      </c>
      <c r="XT22" s="16">
        <f>XT21-XT20</f>
        <v/>
      </c>
      <c r="XU22" s="16">
        <f>XU21-XU20</f>
        <v/>
      </c>
      <c r="XV22" s="16">
        <f>XV21-XV20</f>
        <v/>
      </c>
      <c r="XW22" s="16">
        <f>XW21-XW20</f>
        <v/>
      </c>
      <c r="XX22" s="16">
        <f>XX21-XX20</f>
        <v/>
      </c>
      <c r="XY22" s="16">
        <f>XY21-XY20</f>
        <v/>
      </c>
      <c r="XZ22" s="16">
        <f>XZ21-XZ20</f>
        <v/>
      </c>
      <c r="YA22" s="16">
        <f>YA21-YA20</f>
        <v/>
      </c>
      <c r="YB22" s="16">
        <f>YB21-YB20</f>
        <v/>
      </c>
      <c r="YC22" s="16">
        <f>YC21-YC20</f>
        <v/>
      </c>
      <c r="YD22" s="16">
        <f>YD21-YD20</f>
        <v/>
      </c>
      <c r="YE22" s="16">
        <f>YE21-YE20</f>
        <v/>
      </c>
      <c r="YF22" s="16">
        <f>YF21-YF20</f>
        <v/>
      </c>
      <c r="YG22" s="16">
        <f>YG21-YG20</f>
        <v/>
      </c>
      <c r="YH22" s="16">
        <f>YH21-YH20</f>
        <v/>
      </c>
      <c r="YI22" s="16">
        <f>YI21-YI20</f>
        <v/>
      </c>
      <c r="YJ22" s="16">
        <f>YJ21-YJ20</f>
        <v/>
      </c>
      <c r="YK22" s="16">
        <f>YK21-YK20</f>
        <v/>
      </c>
      <c r="YL22" s="16">
        <f>YL21-YL20</f>
        <v/>
      </c>
      <c r="YM22" s="127">
        <f>SUM(XH22:YL22)</f>
        <v/>
      </c>
      <c r="YN22" s="16">
        <f>YN21-YN20</f>
        <v/>
      </c>
      <c r="YO22" s="16">
        <f>YO21-YO20</f>
        <v/>
      </c>
      <c r="YP22" s="16">
        <f>YP21-YP20</f>
        <v/>
      </c>
      <c r="YQ22" s="16">
        <f>YQ21-YQ20</f>
        <v/>
      </c>
      <c r="YR22" s="16">
        <f>YR21-YR20</f>
        <v/>
      </c>
      <c r="YS22" s="16">
        <f>YS21-YS20</f>
        <v/>
      </c>
      <c r="YT22" s="16">
        <f>YT21-YT20</f>
        <v/>
      </c>
      <c r="YU22" s="16">
        <f>YU21-YU20</f>
        <v/>
      </c>
      <c r="YV22" s="16">
        <f>YV21-YV20</f>
        <v/>
      </c>
      <c r="YW22" s="16">
        <f>YW21-YW20</f>
        <v/>
      </c>
      <c r="YX22" s="16">
        <f>YX21-YX20</f>
        <v/>
      </c>
      <c r="YY22" s="16">
        <f>YY21-YY20</f>
        <v/>
      </c>
      <c r="YZ22" s="16">
        <f>YZ21-YZ20</f>
        <v/>
      </c>
      <c r="ZA22" s="16">
        <f>ZA21-ZA20</f>
        <v/>
      </c>
      <c r="ZB22" s="16">
        <f>ZB21-ZB20</f>
        <v/>
      </c>
      <c r="ZC22" s="16">
        <f>ZC21-ZC20</f>
        <v/>
      </c>
      <c r="ZD22" s="16">
        <f>ZD21-ZD20</f>
        <v/>
      </c>
      <c r="ZE22" s="16">
        <f>ZE21-ZE20</f>
        <v/>
      </c>
      <c r="ZF22" s="16">
        <f>ZF21-ZF20</f>
        <v/>
      </c>
      <c r="ZG22" s="16">
        <f>ZG21-ZG20</f>
        <v/>
      </c>
      <c r="ZH22" s="16">
        <f>ZH21-ZH20</f>
        <v/>
      </c>
      <c r="ZI22" s="16">
        <f>ZI21-ZI20</f>
        <v/>
      </c>
      <c r="ZJ22" s="16">
        <f>ZJ21-ZJ20</f>
        <v/>
      </c>
      <c r="ZK22" s="16">
        <f>ZK21-ZK20</f>
        <v/>
      </c>
      <c r="ZL22" s="16">
        <f>ZL21-ZL20</f>
        <v/>
      </c>
      <c r="ZM22" s="16">
        <f>ZM21-ZM20</f>
        <v/>
      </c>
      <c r="ZN22" s="16">
        <f>ZN21-ZN20</f>
        <v/>
      </c>
      <c r="ZO22" s="16">
        <f>ZO21-ZO20</f>
        <v/>
      </c>
      <c r="ZP22" s="16">
        <f>ZP21-ZP20</f>
        <v/>
      </c>
      <c r="ZQ22" s="16">
        <f>ZQ21-ZQ20</f>
        <v/>
      </c>
      <c r="ZR22" s="16">
        <f>ZR21-ZR20</f>
        <v/>
      </c>
      <c r="ZS22" s="127">
        <f>SUM(YN22:ZR22)</f>
        <v/>
      </c>
      <c r="ZT22" s="16">
        <f>ZT21-ZT20</f>
        <v/>
      </c>
      <c r="ZU22" s="16">
        <f>ZU21-ZU20</f>
        <v/>
      </c>
      <c r="ZV22" s="16">
        <f>ZV21-ZV20</f>
        <v/>
      </c>
      <c r="ZW22" s="16">
        <f>ZW21-ZW20</f>
        <v/>
      </c>
      <c r="ZX22" s="16">
        <f>ZX21-ZX20</f>
        <v/>
      </c>
      <c r="ZY22" s="16">
        <f>ZY21-ZY20</f>
        <v/>
      </c>
      <c r="ZZ22" s="16">
        <f>ZZ21-ZZ20</f>
        <v/>
      </c>
      <c r="AAA22" s="16">
        <f>AAA21-AAA20</f>
        <v/>
      </c>
      <c r="AAB22" s="16">
        <f>AAB21-AAB20</f>
        <v/>
      </c>
      <c r="AAC22" s="16">
        <f>AAC21-AAC20</f>
        <v/>
      </c>
      <c r="AAD22" s="16">
        <f>AAD21-AAD20</f>
        <v/>
      </c>
      <c r="AAE22" s="16">
        <f>AAE21-AAE20</f>
        <v/>
      </c>
      <c r="AAF22" s="16">
        <f>AAF21-AAF20</f>
        <v/>
      </c>
      <c r="AAG22" s="16">
        <f>AAG21-AAG20</f>
        <v/>
      </c>
      <c r="AAH22" s="16">
        <f>AAH21-AAH20</f>
        <v/>
      </c>
      <c r="AAI22" s="16">
        <f>AAI21-AAI20</f>
        <v/>
      </c>
      <c r="AAJ22" s="16">
        <f>AAJ21-AAJ20</f>
        <v/>
      </c>
      <c r="AAK22" s="16">
        <f>AAK21-AAK20</f>
        <v/>
      </c>
      <c r="AAL22" s="16">
        <f>AAL21-AAL20</f>
        <v/>
      </c>
      <c r="AAM22" s="16">
        <f>AAM21-AAM20</f>
        <v/>
      </c>
      <c r="AAN22" s="16">
        <f>AAN21-AAN20</f>
        <v/>
      </c>
      <c r="AAO22" s="16">
        <f>AAO21-AAO20</f>
        <v/>
      </c>
      <c r="AAP22" s="16">
        <f>AAP21-AAP20</f>
        <v/>
      </c>
      <c r="AAQ22" s="16">
        <f>AAQ21-AAQ20</f>
        <v/>
      </c>
      <c r="AAR22" s="16">
        <f>AAR21-AAR20</f>
        <v/>
      </c>
      <c r="AAS22" s="16">
        <f>AAS21-AAS20</f>
        <v/>
      </c>
      <c r="AAT22" s="16">
        <f>AAT21-AAT20</f>
        <v/>
      </c>
      <c r="AAU22" s="16">
        <f>AAU21-AAU20</f>
        <v/>
      </c>
      <c r="AAV22" s="16">
        <f>AAV21-AAV20</f>
        <v/>
      </c>
      <c r="AAW22" s="16">
        <f>AAW21-AAW20</f>
        <v/>
      </c>
      <c r="AAX22" s="127">
        <f>SUM(ZT22:AAW22)</f>
        <v/>
      </c>
      <c r="AAY22" s="16">
        <f>AAY21-AAY20</f>
        <v/>
      </c>
      <c r="AAZ22" s="16">
        <f>AAZ21-AAZ20</f>
        <v/>
      </c>
      <c r="ABA22" s="16">
        <f>ABA21-ABA20</f>
        <v/>
      </c>
      <c r="ABB22" s="16">
        <f>ABB21-ABB20</f>
        <v/>
      </c>
      <c r="ABC22" s="16">
        <f>ABC21-ABC20</f>
        <v/>
      </c>
      <c r="ABD22" s="16">
        <f>ABD21-ABD20</f>
        <v/>
      </c>
      <c r="ABE22" s="16">
        <f>ABE21-ABE20</f>
        <v/>
      </c>
      <c r="ABF22" s="16">
        <f>ABF21-ABF20</f>
        <v/>
      </c>
      <c r="ABG22" s="16">
        <f>ABG21-ABG20</f>
        <v/>
      </c>
      <c r="ABH22" s="16">
        <f>ABH21-ABH20</f>
        <v/>
      </c>
      <c r="ABI22" s="16">
        <f>ABI21-ABI20</f>
        <v/>
      </c>
      <c r="ABJ22" s="16">
        <f>ABJ21-ABJ20</f>
        <v/>
      </c>
      <c r="ABK22" s="16">
        <f>ABK21-ABK20</f>
        <v/>
      </c>
      <c r="ABL22" s="16">
        <f>ABL21-ABL20</f>
        <v/>
      </c>
      <c r="ABM22" s="16">
        <f>ABM21-ABM20</f>
        <v/>
      </c>
      <c r="ABN22" s="16">
        <f>ABN21-ABN20</f>
        <v/>
      </c>
      <c r="ABO22" s="16">
        <f>ABO21-ABO20</f>
        <v/>
      </c>
      <c r="ABP22" s="16">
        <f>ABP21-ABP20</f>
        <v/>
      </c>
      <c r="ABQ22" s="16">
        <f>ABQ21-ABQ20</f>
        <v/>
      </c>
      <c r="ABR22" s="16">
        <f>ABR21-ABR20</f>
        <v/>
      </c>
      <c r="ABS22" s="16">
        <f>ABS21-ABS20</f>
        <v/>
      </c>
      <c r="ABT22" s="16">
        <f>ABT21-ABT20</f>
        <v/>
      </c>
      <c r="ABU22" s="16">
        <f>ABU21-ABU20</f>
        <v/>
      </c>
      <c r="ABV22" s="16">
        <f>ABV21-ABV20</f>
        <v/>
      </c>
      <c r="ABW22" s="16">
        <f>ABW21-ABW20</f>
        <v/>
      </c>
      <c r="ABX22" s="16">
        <f>ABX21-ABX20</f>
        <v/>
      </c>
      <c r="ABY22" s="16">
        <f>ABY21-ABY20</f>
        <v/>
      </c>
      <c r="ABZ22" s="16">
        <f>ABZ21-ABZ20</f>
        <v/>
      </c>
      <c r="ACA22" s="16">
        <f>ACA21-ACA20</f>
        <v/>
      </c>
      <c r="ACB22" s="16">
        <f>ACB21-ACB20</f>
        <v/>
      </c>
      <c r="ACC22" s="16">
        <f>ACC21-ACC20</f>
        <v/>
      </c>
      <c r="ACD22" s="127">
        <f>SUM(AAY22:ACC22)</f>
        <v/>
      </c>
      <c r="ACE22" s="16">
        <f>ACE21-ACE20</f>
        <v/>
      </c>
      <c r="ACF22" s="16">
        <f>ACF21-ACF20</f>
        <v/>
      </c>
      <c r="ACG22" s="16">
        <f>ACG21-ACG20</f>
        <v/>
      </c>
      <c r="ACH22" s="16">
        <f>ACH21-ACH20</f>
        <v/>
      </c>
      <c r="ACI22" s="16">
        <f>ACI21-ACI20</f>
        <v/>
      </c>
      <c r="ACJ22" s="16">
        <f>ACJ21-ACJ20</f>
        <v/>
      </c>
      <c r="ACK22" s="16">
        <f>ACK21-ACK20</f>
        <v/>
      </c>
      <c r="ACL22" s="16">
        <f>ACL21-ACL20</f>
        <v/>
      </c>
      <c r="ACM22" s="16">
        <f>ACM21-ACM20</f>
        <v/>
      </c>
      <c r="ACN22" s="16">
        <f>ACN21-ACN20</f>
        <v/>
      </c>
      <c r="ACO22" s="16">
        <f>ACO21-ACO20</f>
        <v/>
      </c>
      <c r="ACP22" s="16">
        <f>ACP21-ACP20</f>
        <v/>
      </c>
      <c r="ACQ22" s="16">
        <f>ACQ21-ACQ20</f>
        <v/>
      </c>
      <c r="ACR22" s="16">
        <f>ACR21-ACR20</f>
        <v/>
      </c>
      <c r="ACS22" s="16">
        <f>ACS21-ACS20</f>
        <v/>
      </c>
      <c r="ACT22" s="16">
        <f>ACT21-ACT20</f>
        <v/>
      </c>
      <c r="ACU22" s="16">
        <f>ACU21-ACU20</f>
        <v/>
      </c>
      <c r="ACV22" s="16">
        <f>ACV21-ACV20</f>
        <v/>
      </c>
      <c r="ACW22" s="16">
        <f>ACW21-ACW20</f>
        <v/>
      </c>
      <c r="ACX22" s="16">
        <f>ACX21-ACX20</f>
        <v/>
      </c>
      <c r="ACY22" s="16">
        <f>ACY21-ACY20</f>
        <v/>
      </c>
      <c r="ACZ22" s="16">
        <f>ACZ21-ACZ20</f>
        <v/>
      </c>
      <c r="ADA22" s="16">
        <f>ADA21-ADA20</f>
        <v/>
      </c>
      <c r="ADB22" s="16">
        <f>ADB21-ADB20</f>
        <v/>
      </c>
      <c r="ADC22" s="16">
        <f>ADC21-ADC20</f>
        <v/>
      </c>
      <c r="ADD22" s="16">
        <f>ADD21-ADD20</f>
        <v/>
      </c>
      <c r="ADE22" s="16">
        <f>ADE21-ADE20</f>
        <v/>
      </c>
      <c r="ADF22" s="16">
        <f>ADF21-ADF20</f>
        <v/>
      </c>
      <c r="ADG22" s="16">
        <f>ADG21-ADG20</f>
        <v/>
      </c>
      <c r="ADH22" s="16">
        <f>ADH21-ADH20</f>
        <v/>
      </c>
      <c r="ADI22" s="16">
        <f>ADI21-ADI20</f>
        <v/>
      </c>
      <c r="ADJ22" s="127">
        <f>SUM(ACE22:ADI22)</f>
        <v/>
      </c>
      <c r="ADK22" s="16">
        <f>ADK21-ADK20</f>
        <v/>
      </c>
      <c r="ADL22" s="16">
        <f>ADL21-ADL20</f>
        <v/>
      </c>
      <c r="ADM22" s="16">
        <f>ADM21-ADM20</f>
        <v/>
      </c>
      <c r="ADN22" s="16">
        <f>ADN21-ADN20</f>
        <v/>
      </c>
      <c r="ADO22" s="16">
        <f>ADO21-ADO20</f>
        <v/>
      </c>
      <c r="ADP22" s="16">
        <f>ADP21-ADP20</f>
        <v/>
      </c>
      <c r="ADQ22" s="16">
        <f>ADQ21-ADQ20</f>
        <v/>
      </c>
      <c r="ADR22" s="16">
        <f>ADR21-ADR20</f>
        <v/>
      </c>
      <c r="ADS22" s="16">
        <f>ADS21-ADS20</f>
        <v/>
      </c>
      <c r="ADT22" s="16">
        <f>ADT21-ADT20</f>
        <v/>
      </c>
      <c r="ADU22" s="16">
        <f>ADU21-ADU20</f>
        <v/>
      </c>
      <c r="ADV22" s="16">
        <f>ADV21-ADV20</f>
        <v/>
      </c>
      <c r="ADW22" s="16">
        <f>ADW21-ADW20</f>
        <v/>
      </c>
      <c r="ADX22" s="16">
        <f>ADX21-ADX20</f>
        <v/>
      </c>
      <c r="ADY22" s="16">
        <f>ADY21-ADY20</f>
        <v/>
      </c>
      <c r="ADZ22" s="16">
        <f>ADZ21-ADZ20</f>
        <v/>
      </c>
      <c r="AEA22" s="16">
        <f>AEA21-AEA20</f>
        <v/>
      </c>
      <c r="AEB22" s="16">
        <f>AEB21-AEB20</f>
        <v/>
      </c>
      <c r="AEC22" s="16">
        <f>AEC21-AEC20</f>
        <v/>
      </c>
      <c r="AED22" s="16">
        <f>AED21-AED20</f>
        <v/>
      </c>
      <c r="AEE22" s="16">
        <f>AEE21-AEE20</f>
        <v/>
      </c>
      <c r="AEF22" s="16">
        <f>AEF21-AEF20</f>
        <v/>
      </c>
      <c r="AEG22" s="16">
        <f>AEG21-AEG20</f>
        <v/>
      </c>
      <c r="AEH22" s="16">
        <f>AEH21-AEH20</f>
        <v/>
      </c>
      <c r="AEI22" s="16">
        <f>AEI21-AEI20</f>
        <v/>
      </c>
      <c r="AEJ22" s="16">
        <f>AEJ21-AEJ20</f>
        <v/>
      </c>
      <c r="AEK22" s="16">
        <f>AEK21-AEK20</f>
        <v/>
      </c>
      <c r="AEL22" s="16">
        <f>AEL21-AEL20</f>
        <v/>
      </c>
      <c r="AEM22" s="16">
        <f>AEM21-AEM20</f>
        <v/>
      </c>
      <c r="AEN22" s="16">
        <f>AEN21-AEN20</f>
        <v/>
      </c>
      <c r="AEO22" s="127">
        <f>SUM(ADK22:AEN22)</f>
        <v/>
      </c>
      <c r="AEP22" s="16">
        <f>AEP21-AEP20</f>
        <v/>
      </c>
      <c r="AEQ22" s="16">
        <f>AEQ21-AEQ20</f>
        <v/>
      </c>
      <c r="AER22" s="16">
        <f>AER21-AER20</f>
        <v/>
      </c>
      <c r="AES22" s="16">
        <f>AES21-AES20</f>
        <v/>
      </c>
      <c r="AET22" s="16">
        <f>AET21-AET20</f>
        <v/>
      </c>
      <c r="AEU22" s="16">
        <f>AEU21-AEU20</f>
        <v/>
      </c>
      <c r="AEV22" s="16">
        <f>AEV21-AEV20</f>
        <v/>
      </c>
      <c r="AEW22" s="16">
        <f>AEW21-AEW20</f>
        <v/>
      </c>
      <c r="AEX22" s="16">
        <f>AEX21-AEX20</f>
        <v/>
      </c>
      <c r="AEY22" s="16">
        <f>AEY21-AEY20</f>
        <v/>
      </c>
      <c r="AEZ22" s="16">
        <f>AEZ21-AEZ20</f>
        <v/>
      </c>
      <c r="AFA22" s="16">
        <f>AFA21-AFA20</f>
        <v/>
      </c>
      <c r="AFB22" s="16">
        <f>AFB21-AFB20</f>
        <v/>
      </c>
      <c r="AFC22" s="16">
        <f>AFC21-AFC20</f>
        <v/>
      </c>
      <c r="AFD22" s="16">
        <f>AFD21-AFD20</f>
        <v/>
      </c>
      <c r="AFE22" s="16">
        <f>AFE21-AFE20</f>
        <v/>
      </c>
      <c r="AFF22" s="16">
        <f>AFF21-AFF20</f>
        <v/>
      </c>
      <c r="AFG22" s="16">
        <f>AFG21-AFG20</f>
        <v/>
      </c>
      <c r="AFH22" s="16">
        <f>AFH21-AFH20</f>
        <v/>
      </c>
      <c r="AFI22" s="16">
        <f>AFI21-AFI20</f>
        <v/>
      </c>
      <c r="AFJ22" s="16">
        <f>AFJ21-AFJ20</f>
        <v/>
      </c>
      <c r="AFK22" s="16">
        <f>AFK21-AFK20</f>
        <v/>
      </c>
      <c r="AFL22" s="16">
        <f>AFL21-AFL20</f>
        <v/>
      </c>
      <c r="AFM22" s="16">
        <f>AFM21-AFM20</f>
        <v/>
      </c>
      <c r="AFN22" s="16">
        <f>AFN21-AFN20</f>
        <v/>
      </c>
      <c r="AFO22" s="16">
        <f>AFO21-AFO20</f>
        <v/>
      </c>
      <c r="AFP22" s="16">
        <f>AFP21-AFP20</f>
        <v/>
      </c>
      <c r="AFQ22" s="16">
        <f>AFQ21-AFQ20</f>
        <v/>
      </c>
      <c r="AFR22" s="16">
        <f>AFR21-AFR20</f>
        <v/>
      </c>
      <c r="AFS22" s="16">
        <f>AFS21-AFS20</f>
        <v/>
      </c>
      <c r="AFT22" s="16">
        <f>AFT21-AFT20</f>
        <v/>
      </c>
      <c r="AFU22" s="127">
        <f>SUM(AEP22:AFT22)</f>
        <v/>
      </c>
      <c r="AFV22" s="16">
        <f>AFV21-AFV20</f>
        <v/>
      </c>
      <c r="AFW22" s="16">
        <f>AFW21-AFW20</f>
        <v/>
      </c>
      <c r="AFX22" s="16">
        <f>AFX21-AFX20</f>
        <v/>
      </c>
      <c r="AFY22" s="16">
        <f>AFY21-AFY20</f>
        <v/>
      </c>
      <c r="AFZ22" s="16">
        <f>AFZ21-AFZ20</f>
        <v/>
      </c>
      <c r="AGA22" s="16">
        <f>AGA21-AGA20</f>
        <v/>
      </c>
      <c r="AGB22" s="16">
        <f>AGB21-AGB20</f>
        <v/>
      </c>
      <c r="AGC22" s="16">
        <f>AGC21-AGC20</f>
        <v/>
      </c>
      <c r="AGD22" s="16">
        <f>AGD21-AGD20</f>
        <v/>
      </c>
      <c r="AGE22" s="16">
        <f>AGE21-AGE20</f>
        <v/>
      </c>
      <c r="AGF22" s="16">
        <f>AGF21-AGF20</f>
        <v/>
      </c>
      <c r="AGG22" s="16">
        <f>AGG21-AGG20</f>
        <v/>
      </c>
      <c r="AGH22" s="16">
        <f>AGH21-AGH20</f>
        <v/>
      </c>
      <c r="AGI22" s="16">
        <f>AGI21-AGI20</f>
        <v/>
      </c>
      <c r="AGJ22" s="16">
        <f>AGJ21-AGJ20</f>
        <v/>
      </c>
      <c r="AGK22" s="16">
        <f>AGK21-AGK20</f>
        <v/>
      </c>
      <c r="AGL22" s="16">
        <f>AGL21-AGL20</f>
        <v/>
      </c>
      <c r="AGM22" s="16">
        <f>AGM21-AGM20</f>
        <v/>
      </c>
      <c r="AGN22" s="16">
        <f>AGN21-AGN20</f>
        <v/>
      </c>
      <c r="AGO22" s="16">
        <f>AGO21-AGO20</f>
        <v/>
      </c>
      <c r="AGP22" s="16">
        <f>AGP21-AGP20</f>
        <v/>
      </c>
      <c r="AGQ22" s="16">
        <f>AGQ21-AGQ20</f>
        <v/>
      </c>
      <c r="AGR22" s="16">
        <f>AGR21-AGR20</f>
        <v/>
      </c>
      <c r="AGS22" s="16">
        <f>AGS21-AGS20</f>
        <v/>
      </c>
      <c r="AGT22" s="16">
        <f>AGT21-AGT20</f>
        <v/>
      </c>
      <c r="AGU22" s="16">
        <f>AGU21-AGU20</f>
        <v/>
      </c>
      <c r="AGV22" s="16">
        <f>AGV21-AGV20</f>
        <v/>
      </c>
      <c r="AGW22" s="16">
        <f>AGW21-AGW20</f>
        <v/>
      </c>
      <c r="AGX22" s="16">
        <f>AGX21-AGX20</f>
        <v/>
      </c>
      <c r="AGY22" s="16">
        <f>AGY21-AGY20</f>
        <v/>
      </c>
      <c r="AGZ22" s="127">
        <f>SUM(AFV22:AGY22)</f>
        <v/>
      </c>
      <c r="AHA22" s="16">
        <f>AHA21-AHA20</f>
        <v/>
      </c>
      <c r="AHB22" s="16">
        <f>AHB21-AHB20</f>
        <v/>
      </c>
      <c r="AHC22" s="16">
        <f>AHC21-AHC20</f>
        <v/>
      </c>
      <c r="AHD22" s="16">
        <f>AHD21-AHD20</f>
        <v/>
      </c>
      <c r="AHE22" s="16">
        <f>AHE21-AHE20</f>
        <v/>
      </c>
      <c r="AHF22" s="16">
        <f>AHF21-AHF20</f>
        <v/>
      </c>
      <c r="AHG22" s="16">
        <f>AHG21-AHG20</f>
        <v/>
      </c>
      <c r="AHH22" s="16">
        <f>AHH21-AHH20</f>
        <v/>
      </c>
      <c r="AHI22" s="16">
        <f>AHI21-AHI20</f>
        <v/>
      </c>
      <c r="AHJ22" s="16">
        <f>AHJ21-AHJ20</f>
        <v/>
      </c>
      <c r="AHK22" s="16">
        <f>AHK21-AHK20</f>
        <v/>
      </c>
      <c r="AHL22" s="16">
        <f>AHL21-AHL20</f>
        <v/>
      </c>
      <c r="AHM22" s="16">
        <f>AHM21-AHM20</f>
        <v/>
      </c>
      <c r="AHN22" s="16">
        <f>AHN21-AHN20</f>
        <v/>
      </c>
      <c r="AHO22" s="16">
        <f>AHO21-AHO20</f>
        <v/>
      </c>
      <c r="AHP22" s="16">
        <f>AHP21-AHP20</f>
        <v/>
      </c>
      <c r="AHQ22" s="16">
        <f>AHQ21-AHQ20</f>
        <v/>
      </c>
      <c r="AHR22" s="16">
        <f>AHR21-AHR20</f>
        <v/>
      </c>
      <c r="AHS22" s="16">
        <f>AHS21-AHS20</f>
        <v/>
      </c>
      <c r="AHT22" s="16">
        <f>AHT21-AHT20</f>
        <v/>
      </c>
      <c r="AHU22" s="16">
        <f>AHU21-AHU20</f>
        <v/>
      </c>
      <c r="AHV22" s="16">
        <f>AHV21-AHV20</f>
        <v/>
      </c>
      <c r="AHW22" s="16">
        <f>AHW21-AHW20</f>
        <v/>
      </c>
      <c r="AHX22" s="16">
        <f>AHX21-AHX20</f>
        <v/>
      </c>
      <c r="AHY22" s="16">
        <f>AHY21-AHY20</f>
        <v/>
      </c>
      <c r="AHZ22" s="16">
        <f>AHZ21-AHZ20</f>
        <v/>
      </c>
      <c r="AIA22" s="16">
        <f>AIA21-AIA20</f>
        <v/>
      </c>
      <c r="AIB22" s="16">
        <f>AIB21-AIB20</f>
        <v/>
      </c>
      <c r="AIC22" s="16">
        <f>AIC21-AIC20</f>
        <v/>
      </c>
      <c r="AID22" s="16">
        <f>AID21-AID20</f>
        <v/>
      </c>
      <c r="AIE22" s="16">
        <f>AIE21-AIE20</f>
        <v/>
      </c>
      <c r="AIF22" s="127">
        <f>SUM(AHA22:AIE22)</f>
        <v/>
      </c>
      <c r="AIG22" s="16">
        <f>AIG21-AIG20</f>
        <v/>
      </c>
      <c r="AIH22" s="16">
        <f>AIH21-AIH20</f>
        <v/>
      </c>
      <c r="AII22" s="16">
        <f>AII21-AII20</f>
        <v/>
      </c>
      <c r="AIJ22" s="16">
        <f>AIJ21-AIJ20</f>
        <v/>
      </c>
      <c r="AIK22" s="16">
        <f>AIK21-AIK20</f>
        <v/>
      </c>
      <c r="AIL22" s="16">
        <f>AIL21-AIL20</f>
        <v/>
      </c>
      <c r="AIM22" s="16">
        <f>AIM21-AIM20</f>
        <v/>
      </c>
      <c r="AIN22" s="16">
        <f>AIN21-AIN20</f>
        <v/>
      </c>
      <c r="AIO22" s="16">
        <f>AIO21-AIO20</f>
        <v/>
      </c>
      <c r="AIP22" s="16">
        <f>AIP21-AIP20</f>
        <v/>
      </c>
      <c r="AIQ22" s="16">
        <f>AIQ21-AIQ20</f>
        <v/>
      </c>
      <c r="AIR22" s="16">
        <f>AIR21-AIR20</f>
        <v/>
      </c>
      <c r="AIS22" s="16">
        <f>AIS21-AIS20</f>
        <v/>
      </c>
      <c r="AIT22" s="16">
        <f>AIT21-AIT20</f>
        <v/>
      </c>
      <c r="AIU22" s="16">
        <f>AIU21-AIU20</f>
        <v/>
      </c>
      <c r="AIV22" s="16">
        <f>AIV21-AIV20</f>
        <v/>
      </c>
      <c r="AIW22" s="16">
        <f>AIW21-AIW20</f>
        <v/>
      </c>
      <c r="AIX22" s="16">
        <f>AIX21-AIX20</f>
        <v/>
      </c>
      <c r="AIY22" s="16">
        <f>AIY21-AIY20</f>
        <v/>
      </c>
      <c r="AIZ22" s="16">
        <f>AIZ21-AIZ20</f>
        <v/>
      </c>
      <c r="AJA22" s="16">
        <f>AJA21-AJA20</f>
        <v/>
      </c>
      <c r="AJB22" s="16">
        <f>AJB21-AJB20</f>
        <v/>
      </c>
      <c r="AJC22" s="16">
        <f>AJC21-AJC20</f>
        <v/>
      </c>
      <c r="AJD22" s="16">
        <f>AJD21-AJD20</f>
        <v/>
      </c>
      <c r="AJE22" s="16">
        <f>AJE21-AJE20</f>
        <v/>
      </c>
      <c r="AJF22" s="16">
        <f>AJF21-AJF20</f>
        <v/>
      </c>
      <c r="AJG22" s="16">
        <f>AJG21-AJG20</f>
        <v/>
      </c>
      <c r="AJH22" s="16">
        <f>AJH21-AJH20</f>
        <v/>
      </c>
      <c r="AJI22" s="16">
        <f>AJI21-AJI20</f>
        <v/>
      </c>
      <c r="AJJ22" s="16">
        <f>AJJ21-AJJ20</f>
        <v/>
      </c>
      <c r="AJK22" s="16">
        <f>AJK21-AJK20</f>
        <v/>
      </c>
      <c r="AJL22" s="127">
        <f>SUM(AIG22:AJK22)</f>
        <v/>
      </c>
      <c r="AJM22" s="16">
        <f>AJM21-AJM20</f>
        <v/>
      </c>
      <c r="AJN22" s="16">
        <f>AJN21-AJN20</f>
        <v/>
      </c>
      <c r="AJO22" s="16">
        <f>AJO21-AJO20</f>
        <v/>
      </c>
      <c r="AJP22" s="16">
        <f>AJP21-AJP20</f>
        <v/>
      </c>
      <c r="AJQ22" s="16">
        <f>AJQ21-AJQ20</f>
        <v/>
      </c>
      <c r="AJR22" s="16">
        <f>AJR21-AJR20</f>
        <v/>
      </c>
      <c r="AJS22" s="16">
        <f>AJS21-AJS20</f>
        <v/>
      </c>
      <c r="AJT22" s="16">
        <f>AJT21-AJT20</f>
        <v/>
      </c>
      <c r="AJU22" s="16">
        <f>AJU21-AJU20</f>
        <v/>
      </c>
      <c r="AJV22" s="16">
        <f>AJV21-AJV20</f>
        <v/>
      </c>
      <c r="AJW22" s="16">
        <f>AJW21-AJW20</f>
        <v/>
      </c>
      <c r="AJX22" s="16">
        <f>AJX21-AJX20</f>
        <v/>
      </c>
      <c r="AJY22" s="16">
        <f>AJY21-AJY20</f>
        <v/>
      </c>
      <c r="AJZ22" s="16">
        <f>AJZ21-AJZ20</f>
        <v/>
      </c>
      <c r="AKA22" s="16">
        <f>AKA21-AKA20</f>
        <v/>
      </c>
      <c r="AKB22" s="16">
        <f>AKB21-AKB20</f>
        <v/>
      </c>
      <c r="AKC22" s="16">
        <f>AKC21-AKC20</f>
        <v/>
      </c>
      <c r="AKD22" s="16">
        <f>AKD21-AKD20</f>
        <v/>
      </c>
      <c r="AKE22" s="16">
        <f>AKE21-AKE20</f>
        <v/>
      </c>
      <c r="AKF22" s="16">
        <f>AKF21-AKF20</f>
        <v/>
      </c>
      <c r="AKG22" s="16">
        <f>AKG21-AKG20</f>
        <v/>
      </c>
      <c r="AKH22" s="16">
        <f>AKH21-AKH20</f>
        <v/>
      </c>
      <c r="AKI22" s="16">
        <f>AKI21-AKI20</f>
        <v/>
      </c>
      <c r="AKJ22" s="16">
        <f>AKJ21-AKJ20</f>
        <v/>
      </c>
      <c r="AKK22" s="16">
        <f>AKK21-AKK20</f>
        <v/>
      </c>
      <c r="AKL22" s="16">
        <f>AKL21-AKL20</f>
        <v/>
      </c>
      <c r="AKM22" s="16">
        <f>AKM21-AKM20</f>
        <v/>
      </c>
      <c r="AKN22" s="16">
        <f>AKN21-AKN20</f>
        <v/>
      </c>
      <c r="AKO22" s="127">
        <f>SUM(AJM22:AKN22)</f>
        <v/>
      </c>
      <c r="AKP22" s="16">
        <f>AKP21-AKP20</f>
        <v/>
      </c>
      <c r="AKQ22" s="16">
        <f>AKQ21-AKQ20</f>
        <v/>
      </c>
      <c r="AKR22" s="16">
        <f>AKR21-AKR20</f>
        <v/>
      </c>
      <c r="AKS22" s="16">
        <f>AKS21-AKS20</f>
        <v/>
      </c>
      <c r="AKT22" s="16">
        <f>AKT21-AKT20</f>
        <v/>
      </c>
      <c r="AKU22" s="16">
        <f>AKU21-AKU20</f>
        <v/>
      </c>
      <c r="AKV22" s="16">
        <f>AKV21-AKV20</f>
        <v/>
      </c>
      <c r="AKW22" s="16">
        <f>AKW21-AKW20</f>
        <v/>
      </c>
      <c r="AKX22" s="16">
        <f>AKX21-AKX20</f>
        <v/>
      </c>
      <c r="AKY22" s="16">
        <f>AKY21-AKY20</f>
        <v/>
      </c>
      <c r="AKZ22" s="16">
        <f>AKZ21-AKZ20</f>
        <v/>
      </c>
      <c r="ALA22" s="16">
        <f>ALA21-ALA20</f>
        <v/>
      </c>
      <c r="ALB22" s="16">
        <f>ALB21-ALB20</f>
        <v/>
      </c>
      <c r="ALC22" s="16">
        <f>ALC21-ALC20</f>
        <v/>
      </c>
      <c r="ALD22" s="16">
        <f>ALD21-ALD20</f>
        <v/>
      </c>
      <c r="ALE22" s="16">
        <f>ALE21-ALE20</f>
        <v/>
      </c>
      <c r="ALF22" s="16">
        <f>ALF21-ALF20</f>
        <v/>
      </c>
      <c r="ALG22" s="16">
        <f>ALG21-ALG20</f>
        <v/>
      </c>
      <c r="ALH22" s="16">
        <f>ALH21-ALH20</f>
        <v/>
      </c>
      <c r="ALI22" s="16">
        <f>ALI21-ALI20</f>
        <v/>
      </c>
      <c r="ALJ22" s="16">
        <f>ALJ21-ALJ20</f>
        <v/>
      </c>
      <c r="ALK22" s="16">
        <f>ALK21-ALK20</f>
        <v/>
      </c>
      <c r="ALL22" s="16">
        <f>ALL21-ALL20</f>
        <v/>
      </c>
      <c r="ALM22" s="16">
        <f>ALM21-ALM20</f>
        <v/>
      </c>
      <c r="ALN22" s="16">
        <f>ALN21-ALN20</f>
        <v/>
      </c>
      <c r="ALO22" s="16">
        <f>ALO21-ALO20</f>
        <v/>
      </c>
      <c r="ALP22" s="16">
        <f>ALP21-ALP20</f>
        <v/>
      </c>
      <c r="ALQ22" s="16">
        <f>ALQ21-ALQ20</f>
        <v/>
      </c>
      <c r="ALR22" s="16">
        <f>ALR21-ALR20</f>
        <v/>
      </c>
      <c r="ALS22" s="16">
        <f>ALS21-ALS20</f>
        <v/>
      </c>
      <c r="ALT22" s="16">
        <f>ALT21-ALT20</f>
        <v/>
      </c>
      <c r="ALU22" s="127">
        <f>SUM(AKP22:ALT22)</f>
        <v/>
      </c>
      <c r="ALV22" s="16">
        <f>ALV21-ALV20</f>
        <v/>
      </c>
      <c r="ALW22" s="16">
        <f>ALW21-ALW20</f>
        <v/>
      </c>
      <c r="ALX22" s="16">
        <f>ALX21-ALX20</f>
        <v/>
      </c>
      <c r="ALY22" s="16">
        <f>ALY21-ALY20</f>
        <v/>
      </c>
      <c r="ALZ22" s="16">
        <f>ALZ21-ALZ20</f>
        <v/>
      </c>
      <c r="AMA22" s="16">
        <f>AMA21-AMA20</f>
        <v/>
      </c>
      <c r="AMB22" s="16">
        <f>AMB21-AMB20</f>
        <v/>
      </c>
      <c r="AMC22" s="16">
        <f>AMC21-AMC20</f>
        <v/>
      </c>
      <c r="AMD22" s="16">
        <f>AMD21-AMD20</f>
        <v/>
      </c>
      <c r="AME22" s="16">
        <f>AME21-AME20</f>
        <v/>
      </c>
      <c r="AMF22" s="16">
        <f>AMF21-AMF20</f>
        <v/>
      </c>
      <c r="AMG22" s="16">
        <f>AMG21-AMG20</f>
        <v/>
      </c>
      <c r="AMH22" s="16">
        <f>AMH21-AMH20</f>
        <v/>
      </c>
      <c r="AMI22" s="16">
        <f>AMI21-AMI20</f>
        <v/>
      </c>
      <c r="AMJ22" s="16">
        <f>AMJ21-AMJ20</f>
        <v/>
      </c>
      <c r="AMK22" s="16">
        <f>AMK21-AMK20</f>
        <v/>
      </c>
      <c r="AML22" s="16">
        <f>AML21-AML20</f>
        <v/>
      </c>
      <c r="AMM22" s="16">
        <f>AMM21-AMM20</f>
        <v/>
      </c>
      <c r="AMN22" s="16">
        <f>AMN21-AMN20</f>
        <v/>
      </c>
      <c r="AMO22" s="16">
        <f>AMO21-AMO20</f>
        <v/>
      </c>
      <c r="AMP22" s="16">
        <f>AMP21-AMP20</f>
        <v/>
      </c>
      <c r="AMQ22" s="16">
        <f>AMQ21-AMQ20</f>
        <v/>
      </c>
      <c r="AMR22" s="16">
        <f>AMR21-AMR20</f>
        <v/>
      </c>
      <c r="AMS22" s="16">
        <f>AMS21-AMS20</f>
        <v/>
      </c>
      <c r="AMT22" s="16">
        <f>AMT21-AMT20</f>
        <v/>
      </c>
      <c r="AMU22" s="16">
        <f>AMU21-AMU20</f>
        <v/>
      </c>
      <c r="AMV22" s="16">
        <f>AMV21-AMV20</f>
        <v/>
      </c>
      <c r="AMW22" s="16">
        <f>AMW21-AMW20</f>
        <v/>
      </c>
      <c r="AMX22" s="16">
        <f>AMX21-AMX20</f>
        <v/>
      </c>
      <c r="AMY22" s="16">
        <f>AMY21-AMY20</f>
        <v/>
      </c>
      <c r="AMZ22" s="127">
        <f>SUM(ALV22:AMY22)</f>
        <v/>
      </c>
      <c r="ANA22" s="16">
        <f>ANA21-ANA20</f>
        <v/>
      </c>
      <c r="ANB22" s="16">
        <f>ANB21-ANB20</f>
        <v/>
      </c>
      <c r="ANC22" s="16">
        <f>ANC21-ANC20</f>
        <v/>
      </c>
      <c r="AND22" s="16">
        <f>AND21-AND20</f>
        <v/>
      </c>
      <c r="ANE22" s="16">
        <f>ANE21-ANE20</f>
        <v/>
      </c>
      <c r="ANF22" s="16">
        <f>ANF21-ANF20</f>
        <v/>
      </c>
      <c r="ANG22" s="16">
        <f>ANG21-ANG20</f>
        <v/>
      </c>
      <c r="ANH22" s="16">
        <f>ANH21-ANH20</f>
        <v/>
      </c>
      <c r="ANI22" s="16">
        <f>ANI21-ANI20</f>
        <v/>
      </c>
      <c r="ANJ22" s="16">
        <f>ANJ21-ANJ20</f>
        <v/>
      </c>
      <c r="ANK22" s="16">
        <f>ANK21-ANK20</f>
        <v/>
      </c>
      <c r="ANL22" s="16">
        <f>ANL21-ANL20</f>
        <v/>
      </c>
      <c r="ANM22" s="16">
        <f>ANM21-ANM20</f>
        <v/>
      </c>
      <c r="ANN22" s="16">
        <f>ANN21-ANN20</f>
        <v/>
      </c>
      <c r="ANO22" s="16">
        <f>ANO21-ANO20</f>
        <v/>
      </c>
      <c r="ANP22" s="16">
        <f>ANP21-ANP20</f>
        <v/>
      </c>
      <c r="ANQ22" s="16">
        <f>ANQ21-ANQ20</f>
        <v/>
      </c>
      <c r="ANR22" s="16">
        <f>ANR21-ANR20</f>
        <v/>
      </c>
      <c r="ANS22" s="16">
        <f>ANS21-ANS20</f>
        <v/>
      </c>
      <c r="ANT22" s="16">
        <f>ANT21-ANT20</f>
        <v/>
      </c>
      <c r="ANU22" s="16">
        <f>ANU21-ANU20</f>
        <v/>
      </c>
      <c r="ANV22" s="16">
        <f>ANV21-ANV20</f>
        <v/>
      </c>
      <c r="ANW22" s="16">
        <f>ANW21-ANW20</f>
        <v/>
      </c>
      <c r="ANX22" s="16">
        <f>ANX21-ANX20</f>
        <v/>
      </c>
      <c r="ANY22" s="16">
        <f>ANY21-ANY20</f>
        <v/>
      </c>
      <c r="ANZ22" s="16">
        <f>ANZ21-ANZ20</f>
        <v/>
      </c>
      <c r="AOA22" s="16">
        <f>AOA21-AOA20</f>
        <v/>
      </c>
      <c r="AOB22" s="16">
        <f>AOB21-AOB20</f>
        <v/>
      </c>
      <c r="AOC22" s="16">
        <f>AOC21-AOC20</f>
        <v/>
      </c>
      <c r="AOD22" s="16">
        <f>AOD21-AOD20</f>
        <v/>
      </c>
    </row>
    <row r="23">
      <c r="A23" s="157" t="n"/>
      <c r="B23" s="159" t="inlineStr">
        <is>
          <t>AGO 2</t>
        </is>
      </c>
      <c r="C23" s="47" t="inlineStr">
        <is>
          <t>OPENING</t>
        </is>
      </c>
      <c r="D23" s="48" t="n">
        <v>272677.381</v>
      </c>
      <c r="E23" s="18">
        <f>D24</f>
        <v/>
      </c>
      <c r="F23" s="18">
        <f>E24</f>
        <v/>
      </c>
      <c r="G23" s="18">
        <f>F24</f>
        <v/>
      </c>
      <c r="H23" s="18">
        <f>G24</f>
        <v/>
      </c>
      <c r="I23" s="18">
        <f>H24</f>
        <v/>
      </c>
      <c r="J23" s="18">
        <f>I24</f>
        <v/>
      </c>
      <c r="K23" s="18">
        <f>J24</f>
        <v/>
      </c>
      <c r="L23" s="18">
        <f>K24</f>
        <v/>
      </c>
      <c r="M23" s="18">
        <f>L24</f>
        <v/>
      </c>
      <c r="N23" s="18">
        <f>M24</f>
        <v/>
      </c>
      <c r="O23" s="18">
        <f>N24</f>
        <v/>
      </c>
      <c r="P23" s="18">
        <f>O24</f>
        <v/>
      </c>
      <c r="Q23" s="18">
        <f>P24</f>
        <v/>
      </c>
      <c r="R23" s="18">
        <f>Q24</f>
        <v/>
      </c>
      <c r="S23" s="18">
        <f>R24</f>
        <v/>
      </c>
      <c r="T23" s="18">
        <f>S24</f>
        <v/>
      </c>
      <c r="U23" s="18">
        <f>T24</f>
        <v/>
      </c>
      <c r="V23" s="18">
        <f>U24</f>
        <v/>
      </c>
      <c r="W23" s="18">
        <f>V24</f>
        <v/>
      </c>
      <c r="X23" s="18">
        <f>W24</f>
        <v/>
      </c>
      <c r="Y23" s="18">
        <f>X24</f>
        <v/>
      </c>
      <c r="Z23" s="18">
        <f>Y24</f>
        <v/>
      </c>
      <c r="AA23" s="18">
        <f>Z24</f>
        <v/>
      </c>
      <c r="AB23" s="18">
        <f>AA24</f>
        <v/>
      </c>
      <c r="AC23" s="18">
        <f>AB24</f>
        <v/>
      </c>
      <c r="AD23" s="18">
        <f>AC24</f>
        <v/>
      </c>
      <c r="AE23" s="18">
        <f>AD24</f>
        <v/>
      </c>
      <c r="AF23" s="18">
        <f>AE24</f>
        <v/>
      </c>
      <c r="AG23" s="18">
        <f>AF24</f>
        <v/>
      </c>
      <c r="AH23" s="18">
        <f>AG24</f>
        <v/>
      </c>
      <c r="AI23" s="17" t="n"/>
      <c r="AJ23" s="90">
        <f>AH24</f>
        <v/>
      </c>
      <c r="AK23" s="13">
        <f>AJ24</f>
        <v/>
      </c>
      <c r="AL23" s="13">
        <f>AK24</f>
        <v/>
      </c>
      <c r="AM23" s="13">
        <f>AL24</f>
        <v/>
      </c>
      <c r="AN23" s="13">
        <f>AM24</f>
        <v/>
      </c>
      <c r="AO23" s="13">
        <f>AN24</f>
        <v/>
      </c>
      <c r="AP23" s="13">
        <f>AO24</f>
        <v/>
      </c>
      <c r="AQ23" s="13">
        <f>AP24</f>
        <v/>
      </c>
      <c r="AR23" s="13">
        <f>AQ24</f>
        <v/>
      </c>
      <c r="AS23" s="13">
        <f>AR24</f>
        <v/>
      </c>
      <c r="AT23" s="13">
        <f>AS24</f>
        <v/>
      </c>
      <c r="AU23" s="13">
        <f>AT24</f>
        <v/>
      </c>
      <c r="AV23" s="13">
        <f>AU24</f>
        <v/>
      </c>
      <c r="AW23" s="13">
        <f>AV24</f>
        <v/>
      </c>
      <c r="AX23" s="13">
        <f>AW24</f>
        <v/>
      </c>
      <c r="AY23" s="13">
        <f>AX24</f>
        <v/>
      </c>
      <c r="AZ23" s="13">
        <f>AY24</f>
        <v/>
      </c>
      <c r="BA23" s="13">
        <f>AZ24</f>
        <v/>
      </c>
      <c r="BB23" s="13">
        <f>BA24</f>
        <v/>
      </c>
      <c r="BC23" s="13">
        <f>BB24</f>
        <v/>
      </c>
      <c r="BD23" s="13">
        <f>BC24</f>
        <v/>
      </c>
      <c r="BE23" s="13">
        <f>BD24</f>
        <v/>
      </c>
      <c r="BF23" s="13">
        <f>BE24</f>
        <v/>
      </c>
      <c r="BG23" s="13">
        <f>BF24</f>
        <v/>
      </c>
      <c r="BH23" s="13">
        <f>BG24</f>
        <v/>
      </c>
      <c r="BI23" s="13">
        <f>BH24</f>
        <v/>
      </c>
      <c r="BJ23" s="13">
        <f>BI24</f>
        <v/>
      </c>
      <c r="BK23" s="13">
        <f>BJ24</f>
        <v/>
      </c>
      <c r="BL23" s="13">
        <f>BK24</f>
        <v/>
      </c>
      <c r="BM23" s="13">
        <f>BL24</f>
        <v/>
      </c>
      <c r="BO23" s="13">
        <f>BM24</f>
        <v/>
      </c>
      <c r="BP23">
        <f>BO24</f>
        <v/>
      </c>
      <c r="BQ23">
        <f>BP24</f>
        <v/>
      </c>
      <c r="BR23">
        <f>BQ24</f>
        <v/>
      </c>
      <c r="BS23">
        <f>BR24</f>
        <v/>
      </c>
      <c r="BT23">
        <f>BS24</f>
        <v/>
      </c>
      <c r="BU23">
        <f>BT24</f>
        <v/>
      </c>
      <c r="BV23">
        <f>BU24</f>
        <v/>
      </c>
      <c r="BW23">
        <f>BV24</f>
        <v/>
      </c>
      <c r="BX23">
        <f>BW24</f>
        <v/>
      </c>
      <c r="BY23">
        <f>BX24</f>
        <v/>
      </c>
      <c r="BZ23">
        <f>BY24</f>
        <v/>
      </c>
      <c r="CA23">
        <f>BZ24</f>
        <v/>
      </c>
      <c r="CB23">
        <f>CA24</f>
        <v/>
      </c>
      <c r="CC23">
        <f>CB24</f>
        <v/>
      </c>
      <c r="CD23">
        <f>CC24</f>
        <v/>
      </c>
      <c r="CE23">
        <f>CD24</f>
        <v/>
      </c>
      <c r="CF23">
        <f>CE24</f>
        <v/>
      </c>
      <c r="CG23">
        <f>CF24</f>
        <v/>
      </c>
      <c r="CH23">
        <f>CG24</f>
        <v/>
      </c>
      <c r="CI23">
        <f>CH24</f>
        <v/>
      </c>
      <c r="CJ23">
        <f>CI24</f>
        <v/>
      </c>
      <c r="CK23">
        <f>CJ24</f>
        <v/>
      </c>
      <c r="CL23">
        <f>CK24</f>
        <v/>
      </c>
      <c r="CM23">
        <f>CL24</f>
        <v/>
      </c>
      <c r="CN23">
        <f>CM24</f>
        <v/>
      </c>
      <c r="CO23">
        <f>CN24</f>
        <v/>
      </c>
      <c r="CP23">
        <f>CO24</f>
        <v/>
      </c>
      <c r="CQ23">
        <f>CP24</f>
        <v/>
      </c>
      <c r="CR23">
        <f>CQ24</f>
        <v/>
      </c>
      <c r="CS23">
        <f>CR24</f>
        <v/>
      </c>
      <c r="CU23" s="13">
        <f>CS24</f>
        <v/>
      </c>
      <c r="CV23">
        <f>CU24</f>
        <v/>
      </c>
      <c r="CW23">
        <f>CV24</f>
        <v/>
      </c>
      <c r="CX23">
        <f>CW24</f>
        <v/>
      </c>
      <c r="CY23">
        <f>CX24</f>
        <v/>
      </c>
      <c r="CZ23">
        <f>CY24</f>
        <v/>
      </c>
      <c r="DA23">
        <f>CZ24</f>
        <v/>
      </c>
      <c r="DB23">
        <f>DA24</f>
        <v/>
      </c>
      <c r="DC23">
        <f>DB24</f>
        <v/>
      </c>
      <c r="DD23">
        <f>DC24</f>
        <v/>
      </c>
      <c r="DE23">
        <f>DD24</f>
        <v/>
      </c>
      <c r="DF23">
        <f>DE24</f>
        <v/>
      </c>
      <c r="DG23">
        <f>DF24</f>
        <v/>
      </c>
      <c r="DH23">
        <f>DG24</f>
        <v/>
      </c>
      <c r="DI23">
        <f>DH24</f>
        <v/>
      </c>
      <c r="DJ23">
        <f>DI24</f>
        <v/>
      </c>
      <c r="DK23">
        <f>DJ24</f>
        <v/>
      </c>
      <c r="DL23">
        <f>DK24</f>
        <v/>
      </c>
      <c r="DM23">
        <f>DL24</f>
        <v/>
      </c>
      <c r="DN23">
        <f>DM24</f>
        <v/>
      </c>
      <c r="DO23">
        <f>DN24</f>
        <v/>
      </c>
      <c r="DP23">
        <f>DO24</f>
        <v/>
      </c>
      <c r="DQ23">
        <f>DP24</f>
        <v/>
      </c>
      <c r="DR23">
        <f>DQ24</f>
        <v/>
      </c>
      <c r="DS23">
        <f>DR24</f>
        <v/>
      </c>
      <c r="DT23">
        <f>DS24</f>
        <v/>
      </c>
      <c r="DU23">
        <f>DT24</f>
        <v/>
      </c>
      <c r="DV23">
        <f>DU24</f>
        <v/>
      </c>
      <c r="DW23">
        <f>DV24</f>
        <v/>
      </c>
      <c r="DX23">
        <f>DW24</f>
        <v/>
      </c>
      <c r="DY23" s="117" t="n"/>
      <c r="DZ23">
        <f>DX24</f>
        <v/>
      </c>
      <c r="EA23">
        <f>DZ24</f>
        <v/>
      </c>
      <c r="EB23">
        <f>EA24</f>
        <v/>
      </c>
      <c r="EC23">
        <f>EB24</f>
        <v/>
      </c>
      <c r="ED23">
        <f>EC24</f>
        <v/>
      </c>
      <c r="EE23">
        <f>ED24</f>
        <v/>
      </c>
      <c r="EF23">
        <f>EE24</f>
        <v/>
      </c>
      <c r="EG23">
        <f>EF24</f>
        <v/>
      </c>
      <c r="EH23">
        <f>EG24</f>
        <v/>
      </c>
      <c r="EI23">
        <f>EH24</f>
        <v/>
      </c>
      <c r="EJ23">
        <f>EI24</f>
        <v/>
      </c>
      <c r="EK23">
        <f>EJ24</f>
        <v/>
      </c>
      <c r="EL23">
        <f>EK24</f>
        <v/>
      </c>
      <c r="EM23">
        <f>EL24</f>
        <v/>
      </c>
      <c r="EN23">
        <f>EM24</f>
        <v/>
      </c>
      <c r="EO23">
        <f>EN24</f>
        <v/>
      </c>
      <c r="EP23">
        <f>EO24</f>
        <v/>
      </c>
      <c r="EQ23">
        <f>EP24</f>
        <v/>
      </c>
      <c r="ER23">
        <f>EQ24</f>
        <v/>
      </c>
      <c r="ES23">
        <f>ER24</f>
        <v/>
      </c>
      <c r="ET23">
        <f>ES24</f>
        <v/>
      </c>
      <c r="EU23">
        <f>ET24</f>
        <v/>
      </c>
      <c r="EV23">
        <f>EU24</f>
        <v/>
      </c>
      <c r="EW23">
        <f>EV24</f>
        <v/>
      </c>
      <c r="EX23">
        <f>EW24</f>
        <v/>
      </c>
      <c r="EY23">
        <f>EX24</f>
        <v/>
      </c>
      <c r="EZ23">
        <f>EY24</f>
        <v/>
      </c>
      <c r="FA23">
        <f>EZ24</f>
        <v/>
      </c>
      <c r="FB23">
        <f>FA24</f>
        <v/>
      </c>
      <c r="FC23">
        <f>FB24</f>
        <v/>
      </c>
      <c r="FD23">
        <f>FC24</f>
        <v/>
      </c>
      <c r="FE23" s="126" t="n"/>
      <c r="FF23">
        <f>FD24</f>
        <v/>
      </c>
      <c r="FG23">
        <f>FF24</f>
        <v/>
      </c>
      <c r="FH23">
        <f>FG24</f>
        <v/>
      </c>
      <c r="FI23">
        <f>FH24</f>
        <v/>
      </c>
      <c r="FJ23">
        <f>FI24</f>
        <v/>
      </c>
      <c r="FK23">
        <f>FJ24</f>
        <v/>
      </c>
      <c r="FL23">
        <f>FK24</f>
        <v/>
      </c>
      <c r="FM23">
        <f>FL24</f>
        <v/>
      </c>
      <c r="FN23">
        <f>FM24</f>
        <v/>
      </c>
      <c r="FO23">
        <f>FN24</f>
        <v/>
      </c>
      <c r="FP23">
        <f>FO24</f>
        <v/>
      </c>
      <c r="FQ23">
        <f>FP24</f>
        <v/>
      </c>
      <c r="FR23">
        <f>FQ24</f>
        <v/>
      </c>
      <c r="FS23">
        <f>FR24</f>
        <v/>
      </c>
      <c r="FT23">
        <f>FS24</f>
        <v/>
      </c>
      <c r="FU23">
        <f>FT24</f>
        <v/>
      </c>
      <c r="FV23">
        <f>FU24</f>
        <v/>
      </c>
      <c r="FW23">
        <f>FV24</f>
        <v/>
      </c>
      <c r="FX23">
        <f>FW24</f>
        <v/>
      </c>
      <c r="FY23">
        <f>FX24</f>
        <v/>
      </c>
      <c r="FZ23">
        <f>FY24</f>
        <v/>
      </c>
      <c r="GA23">
        <f>FZ24</f>
        <v/>
      </c>
      <c r="GB23">
        <f>GA24</f>
        <v/>
      </c>
      <c r="GC23">
        <f>GB24</f>
        <v/>
      </c>
      <c r="GD23">
        <f>GC24</f>
        <v/>
      </c>
      <c r="GE23">
        <f>GD24</f>
        <v/>
      </c>
      <c r="GF23">
        <f>GE24</f>
        <v/>
      </c>
      <c r="GG23">
        <f>GF24</f>
        <v/>
      </c>
      <c r="GH23">
        <f>GG24</f>
        <v/>
      </c>
      <c r="GI23">
        <f>GH24</f>
        <v/>
      </c>
      <c r="GJ23">
        <f>GI24</f>
        <v/>
      </c>
      <c r="GK23" s="127">
        <f>SUM(FF23:GJ23)</f>
        <v/>
      </c>
      <c r="GL23">
        <f>GJ24</f>
        <v/>
      </c>
      <c r="GM23">
        <f>GL24</f>
        <v/>
      </c>
      <c r="GN23">
        <f>GM24</f>
        <v/>
      </c>
      <c r="GO23">
        <f>GN24</f>
        <v/>
      </c>
      <c r="GP23">
        <f>GO24</f>
        <v/>
      </c>
      <c r="GQ23">
        <f>GP24</f>
        <v/>
      </c>
      <c r="GR23">
        <f>GQ24</f>
        <v/>
      </c>
      <c r="GS23">
        <f>GR24</f>
        <v/>
      </c>
      <c r="GT23">
        <f>GS24</f>
        <v/>
      </c>
      <c r="GU23">
        <f>GT24</f>
        <v/>
      </c>
      <c r="GV23">
        <f>GU24</f>
        <v/>
      </c>
      <c r="GW23">
        <f>GV24</f>
        <v/>
      </c>
      <c r="GX23">
        <f>GW24</f>
        <v/>
      </c>
      <c r="GY23">
        <f>GX24</f>
        <v/>
      </c>
      <c r="GZ23">
        <f>GY24</f>
        <v/>
      </c>
      <c r="HA23">
        <f>GZ24</f>
        <v/>
      </c>
      <c r="HB23">
        <f>HA24</f>
        <v/>
      </c>
      <c r="HC23">
        <f>HB24</f>
        <v/>
      </c>
      <c r="HD23">
        <f>HC24</f>
        <v/>
      </c>
      <c r="HE23">
        <f>HD24</f>
        <v/>
      </c>
      <c r="HF23">
        <f>HE24</f>
        <v/>
      </c>
      <c r="HG23">
        <f>HF24</f>
        <v/>
      </c>
      <c r="HH23">
        <f>HG24</f>
        <v/>
      </c>
      <c r="HI23">
        <f>HH24</f>
        <v/>
      </c>
      <c r="HJ23">
        <f>HI24</f>
        <v/>
      </c>
      <c r="HK23">
        <f>HJ24</f>
        <v/>
      </c>
      <c r="HL23">
        <f>HK24</f>
        <v/>
      </c>
      <c r="HM23">
        <f>HL24</f>
        <v/>
      </c>
      <c r="HN23">
        <f>HM24</f>
        <v/>
      </c>
      <c r="HO23" s="127">
        <f>SUM(GL23:HN23)</f>
        <v/>
      </c>
      <c r="HP23">
        <f>HN24</f>
        <v/>
      </c>
      <c r="HQ23">
        <f>HP24</f>
        <v/>
      </c>
      <c r="HR23">
        <f>HQ24</f>
        <v/>
      </c>
      <c r="HS23">
        <f>HR24</f>
        <v/>
      </c>
      <c r="HT23">
        <f>HS24</f>
        <v/>
      </c>
      <c r="HU23">
        <f>HT24</f>
        <v/>
      </c>
      <c r="HV23">
        <f>HU24</f>
        <v/>
      </c>
      <c r="HW23">
        <f>HV24</f>
        <v/>
      </c>
      <c r="HX23">
        <f>HW24</f>
        <v/>
      </c>
      <c r="HY23">
        <f>HX24</f>
        <v/>
      </c>
      <c r="HZ23">
        <f>HY24</f>
        <v/>
      </c>
      <c r="IA23">
        <f>HZ24</f>
        <v/>
      </c>
      <c r="IB23">
        <f>IA24</f>
        <v/>
      </c>
      <c r="IC23">
        <f>IB24</f>
        <v/>
      </c>
      <c r="ID23">
        <f>IC24</f>
        <v/>
      </c>
      <c r="IE23">
        <f>ID24</f>
        <v/>
      </c>
      <c r="IF23">
        <f>IE24</f>
        <v/>
      </c>
      <c r="IG23">
        <f>IF24</f>
        <v/>
      </c>
      <c r="IH23">
        <f>IG24</f>
        <v/>
      </c>
      <c r="II23">
        <f>IH24</f>
        <v/>
      </c>
      <c r="IJ23">
        <f>II24</f>
        <v/>
      </c>
      <c r="IK23">
        <f>IJ24</f>
        <v/>
      </c>
      <c r="IL23">
        <f>IK24</f>
        <v/>
      </c>
      <c r="IM23">
        <f>IL24</f>
        <v/>
      </c>
      <c r="IN23">
        <f>IM24</f>
        <v/>
      </c>
      <c r="IO23">
        <f>IN24</f>
        <v/>
      </c>
      <c r="IP23">
        <f>IO24</f>
        <v/>
      </c>
      <c r="IQ23">
        <f>IP24</f>
        <v/>
      </c>
      <c r="IR23">
        <f>IQ24</f>
        <v/>
      </c>
      <c r="IS23">
        <f>IR24</f>
        <v/>
      </c>
      <c r="IT23">
        <f>IS24</f>
        <v/>
      </c>
      <c r="IU23" s="127">
        <f>SUM(HP23:IT23)</f>
        <v/>
      </c>
      <c r="IV23">
        <f>IT24</f>
        <v/>
      </c>
      <c r="IW23">
        <f>IV24</f>
        <v/>
      </c>
      <c r="IX23">
        <f>IW24</f>
        <v/>
      </c>
      <c r="IY23">
        <f>IX24</f>
        <v/>
      </c>
      <c r="IZ23">
        <f>IY24</f>
        <v/>
      </c>
      <c r="JA23">
        <f>IZ24</f>
        <v/>
      </c>
      <c r="JB23">
        <f>JA24</f>
        <v/>
      </c>
      <c r="JC23">
        <f>JB24</f>
        <v/>
      </c>
      <c r="JD23">
        <f>JC24</f>
        <v/>
      </c>
      <c r="JE23">
        <f>JD24</f>
        <v/>
      </c>
      <c r="JF23">
        <f>JE24</f>
        <v/>
      </c>
      <c r="JG23">
        <f>JF24</f>
        <v/>
      </c>
      <c r="JH23">
        <f>JG24</f>
        <v/>
      </c>
      <c r="JI23">
        <f>JH24</f>
        <v/>
      </c>
      <c r="JJ23">
        <f>JI24</f>
        <v/>
      </c>
      <c r="JK23">
        <f>JJ24</f>
        <v/>
      </c>
      <c r="JL23">
        <f>JK24</f>
        <v/>
      </c>
      <c r="JM23">
        <f>JL24</f>
        <v/>
      </c>
      <c r="JN23">
        <f>JM24</f>
        <v/>
      </c>
      <c r="JO23">
        <f>JN24</f>
        <v/>
      </c>
      <c r="JP23">
        <f>JO24</f>
        <v/>
      </c>
      <c r="JQ23">
        <f>JP24</f>
        <v/>
      </c>
      <c r="JR23">
        <f>JQ24</f>
        <v/>
      </c>
      <c r="JS23">
        <f>JR24</f>
        <v/>
      </c>
      <c r="JT23">
        <f>JS24</f>
        <v/>
      </c>
      <c r="JU23">
        <f>JT24</f>
        <v/>
      </c>
      <c r="JV23">
        <f>JU24</f>
        <v/>
      </c>
      <c r="JW23">
        <f>JV24</f>
        <v/>
      </c>
      <c r="JX23">
        <f>JW24</f>
        <v/>
      </c>
      <c r="JY23">
        <f>JX24</f>
        <v/>
      </c>
      <c r="JZ23" s="127" t="n">
        <v>0</v>
      </c>
      <c r="KA23">
        <f>JY24</f>
        <v/>
      </c>
      <c r="KB23">
        <f>KA24</f>
        <v/>
      </c>
      <c r="KC23">
        <f>KB24</f>
        <v/>
      </c>
      <c r="KD23">
        <f>KC24</f>
        <v/>
      </c>
      <c r="KE23">
        <f>KD24</f>
        <v/>
      </c>
      <c r="KF23">
        <f>KE24</f>
        <v/>
      </c>
      <c r="KG23">
        <f>KF24</f>
        <v/>
      </c>
      <c r="KH23">
        <f>KG24</f>
        <v/>
      </c>
      <c r="KI23">
        <f>KH24</f>
        <v/>
      </c>
      <c r="KJ23">
        <f>KI24</f>
        <v/>
      </c>
      <c r="KK23">
        <f>KJ24</f>
        <v/>
      </c>
      <c r="KL23">
        <f>KK24</f>
        <v/>
      </c>
      <c r="KM23">
        <f>KL24</f>
        <v/>
      </c>
      <c r="KN23">
        <f>KM24</f>
        <v/>
      </c>
      <c r="KO23">
        <f>KN24</f>
        <v/>
      </c>
      <c r="KP23">
        <f>KO24</f>
        <v/>
      </c>
      <c r="KQ23">
        <f>KP24</f>
        <v/>
      </c>
      <c r="KR23">
        <f>KQ24</f>
        <v/>
      </c>
      <c r="KS23">
        <f>KR24</f>
        <v/>
      </c>
      <c r="KT23">
        <f>KS24</f>
        <v/>
      </c>
      <c r="KU23">
        <f>KT24</f>
        <v/>
      </c>
      <c r="KV23">
        <f>KU24</f>
        <v/>
      </c>
      <c r="KW23">
        <f>KV24</f>
        <v/>
      </c>
      <c r="KX23">
        <f>KW24</f>
        <v/>
      </c>
      <c r="KY23">
        <f>KX24</f>
        <v/>
      </c>
      <c r="KZ23">
        <f>KY24</f>
        <v/>
      </c>
      <c r="LA23">
        <f>KZ24</f>
        <v/>
      </c>
      <c r="LB23">
        <f>LA24</f>
        <v/>
      </c>
      <c r="LC23">
        <f>LB24</f>
        <v/>
      </c>
      <c r="LD23">
        <f>LC24</f>
        <v/>
      </c>
      <c r="LE23">
        <f>LD24</f>
        <v/>
      </c>
      <c r="LF23" s="127" t="n">
        <v>0</v>
      </c>
      <c r="LG23">
        <f>LE24</f>
        <v/>
      </c>
      <c r="LH23">
        <f>LG24</f>
        <v/>
      </c>
      <c r="LI23">
        <f>LH24</f>
        <v/>
      </c>
      <c r="LJ23">
        <f>LI24</f>
        <v/>
      </c>
      <c r="LK23">
        <f>LJ24</f>
        <v/>
      </c>
      <c r="LL23">
        <f>LK24</f>
        <v/>
      </c>
      <c r="LM23">
        <f>LL24</f>
        <v/>
      </c>
      <c r="LN23">
        <f>LM24</f>
        <v/>
      </c>
      <c r="LO23">
        <f>LN24</f>
        <v/>
      </c>
      <c r="LP23">
        <f>LO24</f>
        <v/>
      </c>
      <c r="LQ23">
        <f>LP24</f>
        <v/>
      </c>
      <c r="LR23">
        <f>LQ24</f>
        <v/>
      </c>
      <c r="LS23">
        <f>LR24</f>
        <v/>
      </c>
      <c r="LT23">
        <f>LS24</f>
        <v/>
      </c>
      <c r="LU23">
        <f>LT24</f>
        <v/>
      </c>
      <c r="LV23">
        <f>LU24</f>
        <v/>
      </c>
      <c r="LW23">
        <f>LV24</f>
        <v/>
      </c>
      <c r="LX23">
        <f>LW24</f>
        <v/>
      </c>
      <c r="LY23">
        <f>LX24</f>
        <v/>
      </c>
      <c r="LZ23">
        <f>LY24</f>
        <v/>
      </c>
      <c r="MA23">
        <f>LZ24</f>
        <v/>
      </c>
      <c r="MB23">
        <f>MA24</f>
        <v/>
      </c>
      <c r="MC23">
        <f>MB24</f>
        <v/>
      </c>
      <c r="MD23">
        <f>MC24</f>
        <v/>
      </c>
      <c r="ME23">
        <f>MD24</f>
        <v/>
      </c>
      <c r="MF23">
        <f>ME24</f>
        <v/>
      </c>
      <c r="MG23">
        <f>MF24</f>
        <v/>
      </c>
      <c r="MH23">
        <f>MG24</f>
        <v/>
      </c>
      <c r="MI23">
        <f>MH24</f>
        <v/>
      </c>
      <c r="MJ23">
        <f>MI24</f>
        <v/>
      </c>
      <c r="MK23" s="127" t="n">
        <v>0</v>
      </c>
      <c r="ML23">
        <f>MJ24</f>
        <v/>
      </c>
      <c r="MM23">
        <f>ML24</f>
        <v/>
      </c>
      <c r="MN23">
        <f>MM24</f>
        <v/>
      </c>
      <c r="MO23">
        <f>MN24</f>
        <v/>
      </c>
      <c r="MP23">
        <f>MO24</f>
        <v/>
      </c>
      <c r="MQ23">
        <f>MP24</f>
        <v/>
      </c>
      <c r="MR23">
        <f>MQ24</f>
        <v/>
      </c>
      <c r="MS23">
        <f>MR24</f>
        <v/>
      </c>
      <c r="MT23">
        <f>MS24</f>
        <v/>
      </c>
      <c r="MU23">
        <f>MT24</f>
        <v/>
      </c>
      <c r="MV23">
        <f>MU24</f>
        <v/>
      </c>
      <c r="MW23">
        <f>MV24</f>
        <v/>
      </c>
      <c r="MX23">
        <f>MW24</f>
        <v/>
      </c>
      <c r="MY23">
        <f>MX24</f>
        <v/>
      </c>
      <c r="MZ23">
        <f>MY24</f>
        <v/>
      </c>
      <c r="NA23">
        <f>MZ24</f>
        <v/>
      </c>
      <c r="NB23">
        <f>NA24</f>
        <v/>
      </c>
      <c r="NC23">
        <f>NB24</f>
        <v/>
      </c>
      <c r="ND23">
        <f>NC24</f>
        <v/>
      </c>
      <c r="NE23">
        <f>ND24</f>
        <v/>
      </c>
      <c r="NF23">
        <f>NE24</f>
        <v/>
      </c>
      <c r="NG23">
        <f>NF24</f>
        <v/>
      </c>
      <c r="NH23">
        <f>NG24</f>
        <v/>
      </c>
      <c r="NI23">
        <f>NH24</f>
        <v/>
      </c>
      <c r="NJ23">
        <f>NI24</f>
        <v/>
      </c>
      <c r="NK23">
        <f>NJ24</f>
        <v/>
      </c>
      <c r="NL23">
        <f>NK24</f>
        <v/>
      </c>
      <c r="NM23">
        <f>NL24</f>
        <v/>
      </c>
      <c r="NN23">
        <f>NM24</f>
        <v/>
      </c>
      <c r="NO23">
        <f>NN24</f>
        <v/>
      </c>
      <c r="NP23">
        <f>NO24</f>
        <v/>
      </c>
      <c r="NQ23" s="127" t="n">
        <v>0</v>
      </c>
      <c r="NR23">
        <f>NP24</f>
        <v/>
      </c>
      <c r="NS23">
        <f>NR24</f>
        <v/>
      </c>
      <c r="NT23">
        <f>NS24</f>
        <v/>
      </c>
      <c r="NU23">
        <f>NT24</f>
        <v/>
      </c>
      <c r="NV23">
        <f>NU24</f>
        <v/>
      </c>
      <c r="NW23">
        <f>NV24</f>
        <v/>
      </c>
      <c r="NX23">
        <f>NW24</f>
        <v/>
      </c>
      <c r="NY23">
        <f>NX24</f>
        <v/>
      </c>
      <c r="NZ23">
        <f>NY24</f>
        <v/>
      </c>
      <c r="OA23">
        <f>NZ24</f>
        <v/>
      </c>
      <c r="OB23">
        <f>OA24</f>
        <v/>
      </c>
      <c r="OC23">
        <f>OB24</f>
        <v/>
      </c>
      <c r="OD23">
        <f>OC24</f>
        <v/>
      </c>
      <c r="OE23">
        <f>OD24</f>
        <v/>
      </c>
      <c r="OF23">
        <f>OE24</f>
        <v/>
      </c>
      <c r="OG23">
        <f>OF24</f>
        <v/>
      </c>
      <c r="OH23">
        <f>OG24</f>
        <v/>
      </c>
      <c r="OI23">
        <f>OH24</f>
        <v/>
      </c>
      <c r="OJ23">
        <f>OI24</f>
        <v/>
      </c>
      <c r="OK23">
        <f>OJ24</f>
        <v/>
      </c>
      <c r="OL23">
        <f>OK24</f>
        <v/>
      </c>
      <c r="OM23">
        <f>OL24</f>
        <v/>
      </c>
      <c r="ON23">
        <f>OM24</f>
        <v/>
      </c>
      <c r="OO23">
        <f>ON24</f>
        <v/>
      </c>
      <c r="OP23">
        <f>OO24</f>
        <v/>
      </c>
      <c r="OQ23">
        <f>OP24</f>
        <v/>
      </c>
      <c r="OR23">
        <f>OQ24</f>
        <v/>
      </c>
      <c r="OS23">
        <f>OR24</f>
        <v/>
      </c>
      <c r="OT23">
        <f>OS24</f>
        <v/>
      </c>
      <c r="OU23">
        <f>OT24</f>
        <v/>
      </c>
      <c r="OV23">
        <f>OU24</f>
        <v/>
      </c>
      <c r="OW23" s="127" t="n">
        <v>0</v>
      </c>
      <c r="OX23">
        <f>OV24</f>
        <v/>
      </c>
      <c r="OY23">
        <f>OX24</f>
        <v/>
      </c>
      <c r="OZ23">
        <f>OY24</f>
        <v/>
      </c>
      <c r="PA23">
        <f>OZ24</f>
        <v/>
      </c>
      <c r="PB23">
        <f>PA24</f>
        <v/>
      </c>
      <c r="PC23">
        <f>PB24</f>
        <v/>
      </c>
      <c r="PD23">
        <f>PC24</f>
        <v/>
      </c>
      <c r="PE23">
        <f>PD24</f>
        <v/>
      </c>
      <c r="PF23">
        <f>PE24</f>
        <v/>
      </c>
      <c r="PG23">
        <f>PF24</f>
        <v/>
      </c>
      <c r="PH23">
        <f>PG24</f>
        <v/>
      </c>
      <c r="PI23">
        <f>PH24</f>
        <v/>
      </c>
      <c r="PJ23">
        <f>PI24</f>
        <v/>
      </c>
      <c r="PK23">
        <f>PJ24</f>
        <v/>
      </c>
      <c r="PL23">
        <f>PK24</f>
        <v/>
      </c>
      <c r="PM23">
        <f>PL24</f>
        <v/>
      </c>
      <c r="PN23">
        <f>PM24</f>
        <v/>
      </c>
      <c r="PO23">
        <f>PN24</f>
        <v/>
      </c>
      <c r="PP23">
        <f>PO24</f>
        <v/>
      </c>
      <c r="PQ23">
        <f>PP24</f>
        <v/>
      </c>
      <c r="PR23">
        <f>PQ24</f>
        <v/>
      </c>
      <c r="PS23">
        <f>PR24</f>
        <v/>
      </c>
      <c r="PT23">
        <f>PS24</f>
        <v/>
      </c>
      <c r="PU23">
        <f>PT24</f>
        <v/>
      </c>
      <c r="PV23">
        <f>PU24</f>
        <v/>
      </c>
      <c r="PW23">
        <f>PV24</f>
        <v/>
      </c>
      <c r="PX23">
        <f>PW24</f>
        <v/>
      </c>
      <c r="PY23">
        <f>PX24</f>
        <v/>
      </c>
      <c r="PZ23">
        <f>PY24</f>
        <v/>
      </c>
      <c r="QA23">
        <f>PZ24</f>
        <v/>
      </c>
      <c r="QB23" s="127" t="n">
        <v>0</v>
      </c>
      <c r="QC23">
        <f>QA24</f>
        <v/>
      </c>
      <c r="QD23">
        <f>QC24</f>
        <v/>
      </c>
      <c r="QE23">
        <f>QD24</f>
        <v/>
      </c>
      <c r="QF23">
        <f>QE24</f>
        <v/>
      </c>
      <c r="QG23">
        <f>QF24</f>
        <v/>
      </c>
      <c r="QH23">
        <f>QG24</f>
        <v/>
      </c>
      <c r="QI23">
        <f>QH24</f>
        <v/>
      </c>
      <c r="QJ23">
        <f>QI24</f>
        <v/>
      </c>
      <c r="QK23">
        <f>QJ24</f>
        <v/>
      </c>
      <c r="QL23">
        <f>QK24</f>
        <v/>
      </c>
      <c r="QM23">
        <f>QL24</f>
        <v/>
      </c>
      <c r="QN23">
        <f>QM24</f>
        <v/>
      </c>
      <c r="QO23">
        <f>QN24</f>
        <v/>
      </c>
      <c r="QP23">
        <f>QO24</f>
        <v/>
      </c>
      <c r="QQ23">
        <f>QP24</f>
        <v/>
      </c>
      <c r="QR23">
        <f>QQ24</f>
        <v/>
      </c>
      <c r="QS23">
        <f>QR24</f>
        <v/>
      </c>
      <c r="QT23">
        <f>QS24</f>
        <v/>
      </c>
      <c r="QU23">
        <f>QT24</f>
        <v/>
      </c>
      <c r="QV23">
        <f>QU24</f>
        <v/>
      </c>
      <c r="QW23">
        <f>QV24</f>
        <v/>
      </c>
      <c r="QX23">
        <f>QW24</f>
        <v/>
      </c>
      <c r="QY23">
        <f>QX24</f>
        <v/>
      </c>
      <c r="QZ23">
        <f>QY24</f>
        <v/>
      </c>
      <c r="RA23">
        <f>QZ24</f>
        <v/>
      </c>
      <c r="RB23">
        <f>RA24</f>
        <v/>
      </c>
      <c r="RC23">
        <f>RB24</f>
        <v/>
      </c>
      <c r="RD23">
        <f>RC24</f>
        <v/>
      </c>
      <c r="RE23">
        <f>RD24</f>
        <v/>
      </c>
      <c r="RF23">
        <f>RE24</f>
        <v/>
      </c>
      <c r="RG23">
        <f>RF24</f>
        <v/>
      </c>
      <c r="RH23" s="127" t="n">
        <v>0</v>
      </c>
      <c r="RI23">
        <f>RG24</f>
        <v/>
      </c>
      <c r="RJ23">
        <f>RI24</f>
        <v/>
      </c>
      <c r="RK23">
        <f>RJ24</f>
        <v/>
      </c>
      <c r="RL23">
        <f>RK24</f>
        <v/>
      </c>
      <c r="RM23">
        <f>RL24</f>
        <v/>
      </c>
      <c r="RN23">
        <f>RM24</f>
        <v/>
      </c>
      <c r="RO23">
        <f>RN24</f>
        <v/>
      </c>
      <c r="RP23">
        <f>RO24</f>
        <v/>
      </c>
      <c r="RQ23">
        <f>RP24</f>
        <v/>
      </c>
      <c r="RR23">
        <f>RQ24</f>
        <v/>
      </c>
      <c r="RS23">
        <f>RR24</f>
        <v/>
      </c>
      <c r="RT23">
        <f>RS24</f>
        <v/>
      </c>
      <c r="RU23">
        <f>RT24</f>
        <v/>
      </c>
      <c r="RV23">
        <f>RU24</f>
        <v/>
      </c>
      <c r="RW23">
        <f>RV24</f>
        <v/>
      </c>
      <c r="RX23">
        <f>RW24</f>
        <v/>
      </c>
      <c r="RY23">
        <f>RX24</f>
        <v/>
      </c>
      <c r="RZ23">
        <f>RY24</f>
        <v/>
      </c>
      <c r="SA23">
        <f>RZ24</f>
        <v/>
      </c>
      <c r="SB23">
        <f>SA24</f>
        <v/>
      </c>
      <c r="SC23">
        <f>SB24</f>
        <v/>
      </c>
      <c r="SD23">
        <f>SC24</f>
        <v/>
      </c>
      <c r="SE23">
        <f>SD24</f>
        <v/>
      </c>
      <c r="SF23">
        <f>SE24</f>
        <v/>
      </c>
      <c r="SG23">
        <f>SF24</f>
        <v/>
      </c>
      <c r="SH23">
        <f>SG24</f>
        <v/>
      </c>
      <c r="SI23">
        <f>SH24</f>
        <v/>
      </c>
      <c r="SJ23">
        <f>SI24</f>
        <v/>
      </c>
      <c r="SK23">
        <f>SJ24</f>
        <v/>
      </c>
      <c r="SL23">
        <f>SK24</f>
        <v/>
      </c>
      <c r="SM23" s="127" t="n">
        <v>0</v>
      </c>
      <c r="SN23">
        <f>SL24</f>
        <v/>
      </c>
      <c r="SO23">
        <f>SN24</f>
        <v/>
      </c>
      <c r="SP23">
        <f>SO24</f>
        <v/>
      </c>
      <c r="SQ23">
        <f>SP24</f>
        <v/>
      </c>
      <c r="SR23">
        <f>SQ24</f>
        <v/>
      </c>
      <c r="SS23">
        <f>SR24</f>
        <v/>
      </c>
      <c r="ST23">
        <f>SS24</f>
        <v/>
      </c>
      <c r="SU23">
        <f>ST24</f>
        <v/>
      </c>
      <c r="SV23">
        <f>SU24</f>
        <v/>
      </c>
      <c r="SW23">
        <f>SV24</f>
        <v/>
      </c>
      <c r="SX23">
        <f>SW24</f>
        <v/>
      </c>
      <c r="SY23">
        <f>SX24</f>
        <v/>
      </c>
      <c r="SZ23">
        <f>SY24</f>
        <v/>
      </c>
      <c r="TA23">
        <f>SZ24</f>
        <v/>
      </c>
      <c r="TB23">
        <f>TA24</f>
        <v/>
      </c>
      <c r="TC23">
        <f>TB24</f>
        <v/>
      </c>
      <c r="TD23">
        <f>TC24</f>
        <v/>
      </c>
      <c r="TE23">
        <f>TD24</f>
        <v/>
      </c>
      <c r="TF23">
        <f>TE24</f>
        <v/>
      </c>
      <c r="TG23">
        <f>TF24</f>
        <v/>
      </c>
      <c r="TH23">
        <f>TG24</f>
        <v/>
      </c>
      <c r="TI23">
        <f>TH24</f>
        <v/>
      </c>
      <c r="TJ23">
        <f>TI24</f>
        <v/>
      </c>
      <c r="TK23">
        <f>TJ24</f>
        <v/>
      </c>
      <c r="TL23">
        <f>TK24</f>
        <v/>
      </c>
      <c r="TM23">
        <f>TL24</f>
        <v/>
      </c>
      <c r="TN23">
        <f>TM24</f>
        <v/>
      </c>
      <c r="TO23">
        <f>TN24</f>
        <v/>
      </c>
      <c r="TP23">
        <f>TO24</f>
        <v/>
      </c>
      <c r="TQ23">
        <f>TP24</f>
        <v/>
      </c>
      <c r="TR23">
        <f>TQ24</f>
        <v/>
      </c>
      <c r="TS23" s="127" t="n">
        <v>0</v>
      </c>
      <c r="TT23">
        <f>TR24</f>
        <v/>
      </c>
      <c r="TU23">
        <f>TT24</f>
        <v/>
      </c>
      <c r="TV23">
        <f>TU24</f>
        <v/>
      </c>
      <c r="TW23">
        <f>TV24</f>
        <v/>
      </c>
      <c r="TX23">
        <f>TW24</f>
        <v/>
      </c>
      <c r="TY23">
        <f>TX24</f>
        <v/>
      </c>
      <c r="TZ23">
        <f>TY24</f>
        <v/>
      </c>
      <c r="UA23">
        <f>TZ24</f>
        <v/>
      </c>
      <c r="UB23">
        <f>UA24</f>
        <v/>
      </c>
      <c r="UC23">
        <f>UB24</f>
        <v/>
      </c>
      <c r="UD23">
        <f>UC24</f>
        <v/>
      </c>
      <c r="UE23">
        <f>UD24</f>
        <v/>
      </c>
      <c r="UF23">
        <f>UE24</f>
        <v/>
      </c>
      <c r="UG23">
        <f>UF24</f>
        <v/>
      </c>
      <c r="UH23">
        <f>UG24</f>
        <v/>
      </c>
      <c r="UI23">
        <f>UH24</f>
        <v/>
      </c>
      <c r="UJ23">
        <f>UI24</f>
        <v/>
      </c>
      <c r="UK23">
        <f>UJ24</f>
        <v/>
      </c>
      <c r="UL23">
        <f>UK24</f>
        <v/>
      </c>
      <c r="UM23">
        <f>UL24</f>
        <v/>
      </c>
      <c r="UN23">
        <f>UM24</f>
        <v/>
      </c>
      <c r="UO23">
        <f>UN24</f>
        <v/>
      </c>
      <c r="UP23">
        <f>UO24</f>
        <v/>
      </c>
      <c r="UQ23">
        <f>UP24</f>
        <v/>
      </c>
      <c r="UR23">
        <f>UQ24</f>
        <v/>
      </c>
      <c r="US23">
        <f>UR24</f>
        <v/>
      </c>
      <c r="UT23">
        <f>US24</f>
        <v/>
      </c>
      <c r="UU23">
        <f>UT24</f>
        <v/>
      </c>
      <c r="UV23">
        <f>UU24</f>
        <v/>
      </c>
      <c r="UW23">
        <f>UV24</f>
        <v/>
      </c>
      <c r="UX23">
        <f>UW24</f>
        <v/>
      </c>
      <c r="UY23" s="127" t="n">
        <v>0</v>
      </c>
      <c r="UZ23" s="89">
        <f>UX24</f>
        <v/>
      </c>
      <c r="VA23" s="89">
        <f>UZ24</f>
        <v/>
      </c>
      <c r="VB23" s="89">
        <f>VA24</f>
        <v/>
      </c>
      <c r="VC23" s="89">
        <f>VB24</f>
        <v/>
      </c>
      <c r="VD23" s="89">
        <f>VC24</f>
        <v/>
      </c>
      <c r="VE23" s="89">
        <f>VD24</f>
        <v/>
      </c>
      <c r="VF23" s="89">
        <f>VE24</f>
        <v/>
      </c>
      <c r="VG23" s="89">
        <f>VF24</f>
        <v/>
      </c>
      <c r="VH23" s="89">
        <f>VG24</f>
        <v/>
      </c>
      <c r="VI23" s="89">
        <f>VH24</f>
        <v/>
      </c>
      <c r="VJ23" s="89">
        <f>VI24</f>
        <v/>
      </c>
      <c r="VK23" s="89">
        <f>VJ24</f>
        <v/>
      </c>
      <c r="VL23" s="89">
        <f>VK24</f>
        <v/>
      </c>
      <c r="VM23" s="89">
        <f>VL24</f>
        <v/>
      </c>
      <c r="VN23" s="89">
        <f>VM24</f>
        <v/>
      </c>
      <c r="VO23" s="89">
        <f>VN24</f>
        <v/>
      </c>
      <c r="VP23" s="89">
        <f>VO24</f>
        <v/>
      </c>
      <c r="VQ23" s="89">
        <f>VP24</f>
        <v/>
      </c>
      <c r="VR23" s="89">
        <f>VQ24</f>
        <v/>
      </c>
      <c r="VS23" s="89">
        <f>VR24</f>
        <v/>
      </c>
      <c r="VT23" s="89">
        <f>VS24</f>
        <v/>
      </c>
      <c r="VU23" s="89">
        <f>VT24</f>
        <v/>
      </c>
      <c r="VV23" s="89">
        <f>VU24</f>
        <v/>
      </c>
      <c r="VW23" s="89">
        <f>VV24</f>
        <v/>
      </c>
      <c r="VX23" s="89">
        <f>VW24</f>
        <v/>
      </c>
      <c r="VY23" s="89">
        <f>VX24</f>
        <v/>
      </c>
      <c r="VZ23" s="89">
        <f>VY24</f>
        <v/>
      </c>
      <c r="WA23" s="89">
        <f>VZ24</f>
        <v/>
      </c>
      <c r="WB23" s="127" t="n">
        <v>0</v>
      </c>
      <c r="WC23" s="89">
        <f>WA24</f>
        <v/>
      </c>
      <c r="WD23" s="89">
        <f>WC24</f>
        <v/>
      </c>
      <c r="WE23" s="89">
        <f>WD24</f>
        <v/>
      </c>
      <c r="WF23" s="89">
        <f>WE24</f>
        <v/>
      </c>
      <c r="WG23" s="89">
        <f>WF24</f>
        <v/>
      </c>
      <c r="WH23" s="89">
        <f>WG24</f>
        <v/>
      </c>
      <c r="WI23" s="89">
        <f>WH24</f>
        <v/>
      </c>
      <c r="WJ23" s="89">
        <f>WI24</f>
        <v/>
      </c>
      <c r="WK23" s="89">
        <f>WJ24</f>
        <v/>
      </c>
      <c r="WL23" s="89">
        <f>WK24</f>
        <v/>
      </c>
      <c r="WM23" s="89">
        <f>WL24</f>
        <v/>
      </c>
      <c r="WN23" s="89">
        <f>WM24</f>
        <v/>
      </c>
      <c r="WO23" s="89">
        <f>WN24</f>
        <v/>
      </c>
      <c r="WP23" s="89">
        <f>WO24</f>
        <v/>
      </c>
      <c r="WQ23" s="89">
        <f>WP24</f>
        <v/>
      </c>
      <c r="WR23" s="89">
        <f>WQ24</f>
        <v/>
      </c>
      <c r="WS23" s="89">
        <f>WR24</f>
        <v/>
      </c>
      <c r="WT23" s="89">
        <f>WS24</f>
        <v/>
      </c>
      <c r="WU23" s="89">
        <f>WT24</f>
        <v/>
      </c>
      <c r="WV23" s="89">
        <f>WU24</f>
        <v/>
      </c>
      <c r="WW23" s="89">
        <f>WV24</f>
        <v/>
      </c>
      <c r="WX23" s="89">
        <f>WW24</f>
        <v/>
      </c>
      <c r="WY23" s="89">
        <f>WX24</f>
        <v/>
      </c>
      <c r="WZ23" s="89">
        <f>WY24</f>
        <v/>
      </c>
      <c r="XA23" s="89">
        <f>WZ24</f>
        <v/>
      </c>
      <c r="XB23" s="89">
        <f>XA24</f>
        <v/>
      </c>
      <c r="XC23" s="89">
        <f>XB24</f>
        <v/>
      </c>
      <c r="XD23" s="89">
        <f>XC24</f>
        <v/>
      </c>
      <c r="XE23" s="89">
        <f>XD24</f>
        <v/>
      </c>
      <c r="XF23" s="89">
        <f>XE24</f>
        <v/>
      </c>
      <c r="XG23" s="89">
        <f>XF24</f>
        <v/>
      </c>
      <c r="XH23" s="127" t="n">
        <v>0</v>
      </c>
      <c r="XI23" s="89">
        <f>XG24</f>
        <v/>
      </c>
      <c r="XJ23" s="89">
        <f>XI24</f>
        <v/>
      </c>
      <c r="XK23" s="89">
        <f>XJ24</f>
        <v/>
      </c>
      <c r="XL23" s="89">
        <f>XK24</f>
        <v/>
      </c>
      <c r="XM23" s="89">
        <f>XL24</f>
        <v/>
      </c>
      <c r="XN23" s="89">
        <f>XM24</f>
        <v/>
      </c>
      <c r="XO23" s="89">
        <f>XN24</f>
        <v/>
      </c>
      <c r="XP23" s="89">
        <f>XO24</f>
        <v/>
      </c>
      <c r="XQ23" s="89">
        <f>XP24</f>
        <v/>
      </c>
      <c r="XR23" s="89">
        <f>XQ24</f>
        <v/>
      </c>
      <c r="XS23" s="89">
        <f>XR24</f>
        <v/>
      </c>
      <c r="XT23" s="89">
        <f>XS24</f>
        <v/>
      </c>
      <c r="XU23" s="89">
        <f>XT24</f>
        <v/>
      </c>
      <c r="XV23" s="89">
        <f>XU24</f>
        <v/>
      </c>
      <c r="XW23" s="89">
        <f>XV24</f>
        <v/>
      </c>
      <c r="XX23" s="89">
        <f>XW24</f>
        <v/>
      </c>
      <c r="XY23" s="89">
        <f>XX24</f>
        <v/>
      </c>
      <c r="XZ23" s="89">
        <f>XY24</f>
        <v/>
      </c>
      <c r="YA23" s="89">
        <f>XZ24</f>
        <v/>
      </c>
      <c r="YB23" s="89">
        <f>YA24</f>
        <v/>
      </c>
      <c r="YC23" s="89">
        <f>YB24</f>
        <v/>
      </c>
      <c r="YD23" s="89">
        <f>YC24</f>
        <v/>
      </c>
      <c r="YE23" s="89">
        <f>YD24</f>
        <v/>
      </c>
      <c r="YF23" s="89">
        <f>YE24</f>
        <v/>
      </c>
      <c r="YG23" s="89">
        <f>YF24</f>
        <v/>
      </c>
      <c r="YH23" s="89">
        <f>YG24</f>
        <v/>
      </c>
      <c r="YI23" s="89">
        <f>YH24</f>
        <v/>
      </c>
      <c r="YJ23" s="89">
        <f>YI24</f>
        <v/>
      </c>
      <c r="YK23" s="89">
        <f>YJ24</f>
        <v/>
      </c>
      <c r="YL23" s="89">
        <f>YK24</f>
        <v/>
      </c>
      <c r="YM23" s="127" t="n">
        <v>0</v>
      </c>
      <c r="YN23" s="89">
        <f>YL24</f>
        <v/>
      </c>
      <c r="YO23" s="89">
        <f>YN24</f>
        <v/>
      </c>
      <c r="YP23" s="89">
        <f>YO24</f>
        <v/>
      </c>
      <c r="YQ23" s="89">
        <f>YP24</f>
        <v/>
      </c>
      <c r="YR23" s="89">
        <f>YQ24</f>
        <v/>
      </c>
      <c r="YS23" s="89">
        <f>YR24</f>
        <v/>
      </c>
      <c r="YT23" s="89">
        <f>YS24</f>
        <v/>
      </c>
      <c r="YU23" s="89">
        <f>YT24</f>
        <v/>
      </c>
      <c r="YV23" s="89">
        <f>YU24</f>
        <v/>
      </c>
      <c r="YW23" s="89">
        <f>YV24</f>
        <v/>
      </c>
      <c r="YX23" s="89">
        <f>YW24</f>
        <v/>
      </c>
      <c r="YY23" s="89">
        <f>YX24</f>
        <v/>
      </c>
      <c r="YZ23" s="89">
        <f>YY24</f>
        <v/>
      </c>
      <c r="ZA23" s="89">
        <f>YZ24</f>
        <v/>
      </c>
      <c r="ZB23" s="89">
        <f>ZA24</f>
        <v/>
      </c>
      <c r="ZC23" s="89">
        <f>ZB24</f>
        <v/>
      </c>
      <c r="ZD23" s="89">
        <f>ZC24</f>
        <v/>
      </c>
      <c r="ZE23" s="89">
        <f>ZD24</f>
        <v/>
      </c>
      <c r="ZF23" s="89">
        <f>ZE24</f>
        <v/>
      </c>
      <c r="ZG23" s="89">
        <f>ZF24</f>
        <v/>
      </c>
      <c r="ZH23" s="89">
        <f>ZG24</f>
        <v/>
      </c>
      <c r="ZI23" s="89">
        <f>ZH24</f>
        <v/>
      </c>
      <c r="ZJ23" s="89">
        <f>ZI24</f>
        <v/>
      </c>
      <c r="ZK23" s="89">
        <f>ZJ24</f>
        <v/>
      </c>
      <c r="ZL23" s="89">
        <f>ZK24</f>
        <v/>
      </c>
      <c r="ZM23" s="89">
        <f>ZL24</f>
        <v/>
      </c>
      <c r="ZN23" s="89">
        <f>ZM24</f>
        <v/>
      </c>
      <c r="ZO23" s="89">
        <f>ZN24</f>
        <v/>
      </c>
      <c r="ZP23" s="89">
        <f>ZO24</f>
        <v/>
      </c>
      <c r="ZQ23" s="89">
        <f>ZP24</f>
        <v/>
      </c>
      <c r="ZR23" s="89">
        <f>ZQ24</f>
        <v/>
      </c>
      <c r="ZS23" s="127" t="n">
        <v>0</v>
      </c>
      <c r="ZT23" s="89">
        <f>ZR24</f>
        <v/>
      </c>
      <c r="ZU23" s="89">
        <f>ZT24</f>
        <v/>
      </c>
      <c r="ZV23" s="89">
        <f>ZU24</f>
        <v/>
      </c>
      <c r="ZW23" s="89">
        <f>ZV24</f>
        <v/>
      </c>
      <c r="ZX23" s="89">
        <f>ZW24</f>
        <v/>
      </c>
      <c r="ZY23" s="89">
        <f>ZX24</f>
        <v/>
      </c>
      <c r="ZZ23" s="89">
        <f>ZY24</f>
        <v/>
      </c>
      <c r="AAA23" s="89">
        <f>ZZ24</f>
        <v/>
      </c>
      <c r="AAB23" s="89">
        <f>AAA24</f>
        <v/>
      </c>
      <c r="AAC23" s="89">
        <f>AAB24</f>
        <v/>
      </c>
      <c r="AAD23" s="89">
        <f>AAC24</f>
        <v/>
      </c>
      <c r="AAE23" s="89">
        <f>AAD24</f>
        <v/>
      </c>
      <c r="AAF23" s="89">
        <f>AAE24</f>
        <v/>
      </c>
      <c r="AAG23" s="89">
        <f>AAF24</f>
        <v/>
      </c>
      <c r="AAH23" s="89">
        <f>AAG24</f>
        <v/>
      </c>
      <c r="AAI23" s="89">
        <f>AAH24</f>
        <v/>
      </c>
      <c r="AAJ23" s="89">
        <f>AAI24</f>
        <v/>
      </c>
      <c r="AAK23" s="89">
        <f>AAJ24</f>
        <v/>
      </c>
      <c r="AAL23" s="89">
        <f>AAK24</f>
        <v/>
      </c>
      <c r="AAM23" s="89">
        <f>AAL24</f>
        <v/>
      </c>
      <c r="AAN23" s="89">
        <f>AAM24</f>
        <v/>
      </c>
      <c r="AAO23" s="89">
        <f>AAN24</f>
        <v/>
      </c>
      <c r="AAP23" s="89">
        <f>AAO24</f>
        <v/>
      </c>
      <c r="AAQ23" s="89">
        <f>AAP24</f>
        <v/>
      </c>
      <c r="AAR23" s="89">
        <f>AAQ24</f>
        <v/>
      </c>
      <c r="AAS23" s="89">
        <f>AAR24</f>
        <v/>
      </c>
      <c r="AAT23" s="89">
        <f>AAS24</f>
        <v/>
      </c>
      <c r="AAU23" s="89">
        <f>AAT24</f>
        <v/>
      </c>
      <c r="AAV23" s="89">
        <f>AAU24</f>
        <v/>
      </c>
      <c r="AAW23" s="89">
        <f>AAV24</f>
        <v/>
      </c>
      <c r="AAX23" s="127" t="n">
        <v>0</v>
      </c>
      <c r="AAY23" s="89">
        <f>AAW24</f>
        <v/>
      </c>
      <c r="AAZ23" s="89">
        <f>AAY24</f>
        <v/>
      </c>
      <c r="ABA23" s="89">
        <f>AAZ24</f>
        <v/>
      </c>
      <c r="ABB23" s="89">
        <f>ABA24</f>
        <v/>
      </c>
      <c r="ABC23" s="89">
        <f>ABB24</f>
        <v/>
      </c>
      <c r="ABD23" s="89">
        <f>ABC24</f>
        <v/>
      </c>
      <c r="ABE23" s="89">
        <f>ABD24</f>
        <v/>
      </c>
      <c r="ABF23" s="89">
        <f>ABE24</f>
        <v/>
      </c>
      <c r="ABG23" s="89">
        <f>ABF24</f>
        <v/>
      </c>
      <c r="ABH23" s="89">
        <f>ABG24</f>
        <v/>
      </c>
      <c r="ABI23" s="89">
        <f>ABH24</f>
        <v/>
      </c>
      <c r="ABJ23" s="89">
        <f>ABI24</f>
        <v/>
      </c>
      <c r="ABK23" s="89">
        <f>ABJ24</f>
        <v/>
      </c>
      <c r="ABL23" s="89">
        <f>ABK24</f>
        <v/>
      </c>
      <c r="ABM23" s="89">
        <f>ABL24</f>
        <v/>
      </c>
      <c r="ABN23" s="89">
        <f>ABM24</f>
        <v/>
      </c>
      <c r="ABO23" s="89">
        <f>ABN24</f>
        <v/>
      </c>
      <c r="ABP23" s="89">
        <f>ABO24</f>
        <v/>
      </c>
      <c r="ABQ23" s="89">
        <f>ABP24</f>
        <v/>
      </c>
      <c r="ABR23" s="89">
        <f>ABQ24</f>
        <v/>
      </c>
      <c r="ABS23" s="89">
        <f>ABR24</f>
        <v/>
      </c>
      <c r="ABT23" s="89">
        <f>ABS24</f>
        <v/>
      </c>
      <c r="ABU23" s="89">
        <f>ABT24</f>
        <v/>
      </c>
      <c r="ABV23" s="89">
        <f>ABU24</f>
        <v/>
      </c>
      <c r="ABW23" s="89">
        <f>ABV24</f>
        <v/>
      </c>
      <c r="ABX23" s="89">
        <f>ABW24</f>
        <v/>
      </c>
      <c r="ABY23" s="89">
        <f>ABX24</f>
        <v/>
      </c>
      <c r="ABZ23" s="89">
        <f>ABY24</f>
        <v/>
      </c>
      <c r="ACA23" s="89">
        <f>ABZ24</f>
        <v/>
      </c>
      <c r="ACB23" s="89">
        <f>ACA24</f>
        <v/>
      </c>
      <c r="ACC23" s="89">
        <f>ACB24</f>
        <v/>
      </c>
      <c r="ACD23" s="127" t="n">
        <v>0</v>
      </c>
      <c r="ACE23" s="89">
        <f>ACC24</f>
        <v/>
      </c>
      <c r="ACF23" s="89">
        <f>ACE24</f>
        <v/>
      </c>
      <c r="ACG23" s="89">
        <f>ACF24</f>
        <v/>
      </c>
      <c r="ACH23" s="89">
        <f>ACG24</f>
        <v/>
      </c>
      <c r="ACI23" s="89">
        <f>ACH24</f>
        <v/>
      </c>
      <c r="ACJ23" s="89">
        <f>ACI24</f>
        <v/>
      </c>
      <c r="ACK23" s="89">
        <f>ACJ24</f>
        <v/>
      </c>
      <c r="ACL23" s="89">
        <f>ACK24</f>
        <v/>
      </c>
      <c r="ACM23" s="89">
        <f>ACL24</f>
        <v/>
      </c>
      <c r="ACN23" s="89">
        <f>ACM24</f>
        <v/>
      </c>
      <c r="ACO23" s="89">
        <f>ACN24</f>
        <v/>
      </c>
      <c r="ACP23" s="89">
        <f>ACO24</f>
        <v/>
      </c>
      <c r="ACQ23" s="89">
        <f>ACP24</f>
        <v/>
      </c>
      <c r="ACR23" s="89">
        <f>ACQ24</f>
        <v/>
      </c>
      <c r="ACS23" s="89">
        <f>ACR24</f>
        <v/>
      </c>
      <c r="ACT23" s="89">
        <f>ACS24</f>
        <v/>
      </c>
      <c r="ACU23" s="89">
        <f>ACT24</f>
        <v/>
      </c>
      <c r="ACV23" s="89">
        <f>ACU24</f>
        <v/>
      </c>
      <c r="ACW23" s="89">
        <f>ACV24</f>
        <v/>
      </c>
      <c r="ACX23" s="89">
        <f>ACW24</f>
        <v/>
      </c>
      <c r="ACY23" s="89">
        <f>ACX24</f>
        <v/>
      </c>
      <c r="ACZ23" s="89">
        <f>ACY24</f>
        <v/>
      </c>
      <c r="ADA23" s="89">
        <f>ACZ24</f>
        <v/>
      </c>
      <c r="ADB23" s="89">
        <f>ADA24</f>
        <v/>
      </c>
      <c r="ADC23" s="89">
        <f>ADB24</f>
        <v/>
      </c>
      <c r="ADD23" s="89">
        <f>ADC24</f>
        <v/>
      </c>
      <c r="ADE23" s="89">
        <f>ADD24</f>
        <v/>
      </c>
      <c r="ADF23" s="89">
        <f>ADE24</f>
        <v/>
      </c>
      <c r="ADG23" s="89">
        <f>ADF24</f>
        <v/>
      </c>
      <c r="ADH23" s="89">
        <f>ADG24</f>
        <v/>
      </c>
      <c r="ADI23" s="89">
        <f>ADH24</f>
        <v/>
      </c>
      <c r="ADJ23" s="127" t="n">
        <v>0</v>
      </c>
      <c r="ADK23" s="89">
        <f>ADI24</f>
        <v/>
      </c>
      <c r="ADL23" s="89">
        <f>ADK24</f>
        <v/>
      </c>
      <c r="ADM23" s="89">
        <f>ADL24</f>
        <v/>
      </c>
      <c r="ADN23" s="89">
        <f>ADM24</f>
        <v/>
      </c>
      <c r="ADO23" s="89">
        <f>ADN24</f>
        <v/>
      </c>
      <c r="ADP23" s="89">
        <f>ADO24</f>
        <v/>
      </c>
      <c r="ADQ23" s="89">
        <f>ADP24</f>
        <v/>
      </c>
      <c r="ADR23" s="89">
        <f>ADQ24</f>
        <v/>
      </c>
      <c r="ADS23" s="89">
        <f>ADR24</f>
        <v/>
      </c>
      <c r="ADT23" s="89">
        <f>ADS24</f>
        <v/>
      </c>
      <c r="ADU23" s="89">
        <f>ADT24</f>
        <v/>
      </c>
      <c r="ADV23" s="89">
        <f>ADU24</f>
        <v/>
      </c>
      <c r="ADW23" s="89">
        <f>ADV24</f>
        <v/>
      </c>
      <c r="ADX23" s="89">
        <f>ADW24</f>
        <v/>
      </c>
      <c r="ADY23" s="89">
        <f>ADX24</f>
        <v/>
      </c>
      <c r="ADZ23" s="89">
        <f>ADY24</f>
        <v/>
      </c>
      <c r="AEA23" s="89">
        <f>ADZ24</f>
        <v/>
      </c>
      <c r="AEB23" s="89">
        <f>AEA24</f>
        <v/>
      </c>
      <c r="AEC23" s="89">
        <f>AEB24</f>
        <v/>
      </c>
      <c r="AED23" s="89">
        <f>AEC24</f>
        <v/>
      </c>
      <c r="AEE23" s="89">
        <f>AED24</f>
        <v/>
      </c>
      <c r="AEF23" s="89">
        <f>AEE24</f>
        <v/>
      </c>
      <c r="AEG23" s="89">
        <f>AEF24</f>
        <v/>
      </c>
      <c r="AEH23" s="89">
        <f>AEG24</f>
        <v/>
      </c>
      <c r="AEI23" s="89">
        <f>AEH24</f>
        <v/>
      </c>
      <c r="AEJ23" s="89">
        <f>AEI24</f>
        <v/>
      </c>
      <c r="AEK23" s="89">
        <f>AEJ24</f>
        <v/>
      </c>
      <c r="AEL23" s="89">
        <f>AEK24</f>
        <v/>
      </c>
      <c r="AEM23" s="89">
        <f>AEL24</f>
        <v/>
      </c>
      <c r="AEN23" s="89">
        <f>AEM24</f>
        <v/>
      </c>
      <c r="AEO23" s="127" t="n">
        <v>0</v>
      </c>
      <c r="AEP23" s="89">
        <f>AEN24</f>
        <v/>
      </c>
      <c r="AEQ23" s="89">
        <f>AEP24</f>
        <v/>
      </c>
      <c r="AER23" s="89">
        <f>AEQ24</f>
        <v/>
      </c>
      <c r="AES23" s="89">
        <f>AER24</f>
        <v/>
      </c>
      <c r="AET23" s="89">
        <f>AES24</f>
        <v/>
      </c>
      <c r="AEU23" s="89">
        <f>AET24</f>
        <v/>
      </c>
      <c r="AEV23" s="89">
        <f>AEU24</f>
        <v/>
      </c>
      <c r="AEW23" s="89">
        <f>AEV24</f>
        <v/>
      </c>
      <c r="AEX23" s="89">
        <f>AEW24</f>
        <v/>
      </c>
      <c r="AEY23" s="89">
        <f>AEX24</f>
        <v/>
      </c>
      <c r="AEZ23" s="89">
        <f>AEY24</f>
        <v/>
      </c>
      <c r="AFA23" s="89">
        <f>AEZ24</f>
        <v/>
      </c>
      <c r="AFB23" s="89">
        <f>AFA24</f>
        <v/>
      </c>
      <c r="AFC23" s="89">
        <f>AFB24</f>
        <v/>
      </c>
      <c r="AFD23" s="89">
        <f>AFC24</f>
        <v/>
      </c>
      <c r="AFE23" s="89">
        <f>AFD24</f>
        <v/>
      </c>
      <c r="AFF23" s="89">
        <f>AFE24</f>
        <v/>
      </c>
      <c r="AFG23" s="89">
        <f>AFF24</f>
        <v/>
      </c>
      <c r="AFH23" s="89">
        <f>AFG24</f>
        <v/>
      </c>
      <c r="AFI23" s="89">
        <f>AFH24</f>
        <v/>
      </c>
      <c r="AFJ23" s="89">
        <f>AFI24</f>
        <v/>
      </c>
      <c r="AFK23" s="89">
        <f>AFJ24</f>
        <v/>
      </c>
      <c r="AFL23" s="89">
        <f>AFK24</f>
        <v/>
      </c>
      <c r="AFM23" s="89">
        <f>AFL24</f>
        <v/>
      </c>
      <c r="AFN23" s="89">
        <f>AFM24</f>
        <v/>
      </c>
      <c r="AFO23" s="89">
        <f>AFN24</f>
        <v/>
      </c>
      <c r="AFP23" s="89">
        <f>AFO24</f>
        <v/>
      </c>
      <c r="AFQ23" s="89">
        <f>AFP24</f>
        <v/>
      </c>
      <c r="AFR23" s="89">
        <f>AFQ24</f>
        <v/>
      </c>
      <c r="AFS23" s="89">
        <f>AFR24</f>
        <v/>
      </c>
      <c r="AFT23" s="89">
        <f>AFS24</f>
        <v/>
      </c>
      <c r="AFU23" s="127" t="n">
        <v>0</v>
      </c>
      <c r="AFV23" s="89">
        <f>AFT24</f>
        <v/>
      </c>
      <c r="AFW23" s="89">
        <f>AFV24</f>
        <v/>
      </c>
      <c r="AFX23" s="89">
        <f>AFW24</f>
        <v/>
      </c>
      <c r="AFY23" s="89">
        <f>AFX24</f>
        <v/>
      </c>
      <c r="AFZ23" s="89">
        <f>AFY24</f>
        <v/>
      </c>
      <c r="AGA23" s="89">
        <f>AFZ24</f>
        <v/>
      </c>
      <c r="AGB23" s="89">
        <f>AGA24</f>
        <v/>
      </c>
      <c r="AGC23" s="89">
        <f>AGB24</f>
        <v/>
      </c>
      <c r="AGD23" s="89">
        <f>AGC24</f>
        <v/>
      </c>
      <c r="AGE23" s="89">
        <f>AGD24</f>
        <v/>
      </c>
      <c r="AGF23" s="89">
        <f>AGE24</f>
        <v/>
      </c>
      <c r="AGG23" s="89">
        <f>AGF24</f>
        <v/>
      </c>
      <c r="AGH23" s="89">
        <f>AGG24</f>
        <v/>
      </c>
      <c r="AGI23" s="89">
        <f>AGH24</f>
        <v/>
      </c>
      <c r="AGJ23" s="89">
        <f>AGI24</f>
        <v/>
      </c>
      <c r="AGK23" s="89">
        <f>AGJ24</f>
        <v/>
      </c>
      <c r="AGL23" s="89">
        <f>AGK24</f>
        <v/>
      </c>
      <c r="AGM23" s="89">
        <f>AGL24</f>
        <v/>
      </c>
      <c r="AGN23" s="89">
        <f>AGM24</f>
        <v/>
      </c>
      <c r="AGO23" s="89">
        <f>AGN24</f>
        <v/>
      </c>
      <c r="AGP23" s="89">
        <f>AGO24</f>
        <v/>
      </c>
      <c r="AGQ23" s="89">
        <f>AGP24</f>
        <v/>
      </c>
      <c r="AGR23" s="89">
        <f>AGQ24</f>
        <v/>
      </c>
      <c r="AGS23" s="89">
        <f>AGR24</f>
        <v/>
      </c>
      <c r="AGT23" s="89">
        <f>AGS24</f>
        <v/>
      </c>
      <c r="AGU23" s="89">
        <f>AGT24</f>
        <v/>
      </c>
      <c r="AGV23" s="89">
        <f>AGU24</f>
        <v/>
      </c>
      <c r="AGW23" s="89">
        <f>AGV24</f>
        <v/>
      </c>
      <c r="AGX23" s="89">
        <f>AGW24</f>
        <v/>
      </c>
      <c r="AGY23" s="89">
        <f>AGX24</f>
        <v/>
      </c>
      <c r="AGZ23" s="127" t="n">
        <v>0</v>
      </c>
      <c r="AHA23" s="89">
        <f>AGY24</f>
        <v/>
      </c>
      <c r="AHB23" s="89">
        <f>AHA24</f>
        <v/>
      </c>
      <c r="AHC23" s="89">
        <f>AHB24</f>
        <v/>
      </c>
      <c r="AHD23" s="89">
        <f>AHC24</f>
        <v/>
      </c>
      <c r="AHE23" s="89">
        <f>AHD24</f>
        <v/>
      </c>
      <c r="AHF23" s="89">
        <f>AHE24</f>
        <v/>
      </c>
      <c r="AHG23" s="89">
        <f>AHF24</f>
        <v/>
      </c>
      <c r="AHH23" s="89">
        <f>AHG24</f>
        <v/>
      </c>
      <c r="AHI23" s="89">
        <f>AHH24</f>
        <v/>
      </c>
      <c r="AHJ23" s="89">
        <f>AHI24</f>
        <v/>
      </c>
      <c r="AHK23" s="89">
        <f>AHJ24</f>
        <v/>
      </c>
      <c r="AHL23" s="89">
        <f>AHK24</f>
        <v/>
      </c>
      <c r="AHM23" s="89">
        <f>AHL24</f>
        <v/>
      </c>
      <c r="AHN23" s="89">
        <f>AHM24</f>
        <v/>
      </c>
      <c r="AHO23" s="89">
        <f>AHN24</f>
        <v/>
      </c>
      <c r="AHP23" s="89">
        <f>AHO24</f>
        <v/>
      </c>
      <c r="AHQ23" s="89">
        <f>AHP24</f>
        <v/>
      </c>
      <c r="AHR23" s="89">
        <f>AHQ24</f>
        <v/>
      </c>
      <c r="AHS23" s="89">
        <f>AHR24</f>
        <v/>
      </c>
      <c r="AHT23" s="89">
        <f>AHS24</f>
        <v/>
      </c>
      <c r="AHU23" s="89">
        <f>AHT24</f>
        <v/>
      </c>
      <c r="AHV23" s="89">
        <f>AHU24</f>
        <v/>
      </c>
      <c r="AHW23" s="89">
        <f>AHV24</f>
        <v/>
      </c>
      <c r="AHX23" s="89">
        <f>AHW24</f>
        <v/>
      </c>
      <c r="AHY23" s="89">
        <f>AHX24</f>
        <v/>
      </c>
      <c r="AHZ23" s="89">
        <f>AHY24</f>
        <v/>
      </c>
      <c r="AIA23" s="89">
        <f>AHZ24</f>
        <v/>
      </c>
      <c r="AIB23" s="89">
        <f>AIA24</f>
        <v/>
      </c>
      <c r="AIC23" s="89">
        <f>AIB24</f>
        <v/>
      </c>
      <c r="AID23" s="89">
        <f>AIC24</f>
        <v/>
      </c>
      <c r="AIE23" s="89">
        <f>AID24</f>
        <v/>
      </c>
      <c r="AIF23" s="127" t="n">
        <v>0</v>
      </c>
      <c r="AIG23" s="89">
        <f>AIE24</f>
        <v/>
      </c>
      <c r="AIH23" s="89">
        <f>AIG24</f>
        <v/>
      </c>
      <c r="AII23" s="89">
        <f>AIH24</f>
        <v/>
      </c>
      <c r="AIJ23" s="89">
        <f>AII24</f>
        <v/>
      </c>
      <c r="AIK23" s="89">
        <f>AIJ24</f>
        <v/>
      </c>
      <c r="AIL23" s="89">
        <f>AIK24</f>
        <v/>
      </c>
      <c r="AIM23" s="89">
        <f>AIL24</f>
        <v/>
      </c>
      <c r="AIN23" s="89">
        <f>AIM24</f>
        <v/>
      </c>
      <c r="AIO23" s="89">
        <f>AIN24</f>
        <v/>
      </c>
      <c r="AIP23" s="89">
        <f>AIO24</f>
        <v/>
      </c>
      <c r="AIQ23" s="89">
        <f>AIP24</f>
        <v/>
      </c>
      <c r="AIR23" s="89">
        <f>AIQ24</f>
        <v/>
      </c>
      <c r="AIS23" s="89">
        <f>AIR24</f>
        <v/>
      </c>
      <c r="AIT23" s="89">
        <f>AIS24</f>
        <v/>
      </c>
      <c r="AIU23" s="89">
        <f>AIT24</f>
        <v/>
      </c>
      <c r="AIV23" s="89">
        <f>AIU24</f>
        <v/>
      </c>
      <c r="AIW23" s="89">
        <f>AIV24</f>
        <v/>
      </c>
      <c r="AIX23" s="89">
        <f>AIW24</f>
        <v/>
      </c>
      <c r="AIY23" s="89">
        <f>AIX24</f>
        <v/>
      </c>
      <c r="AIZ23" s="89">
        <f>AIY24</f>
        <v/>
      </c>
      <c r="AJA23" s="89">
        <f>AIZ24</f>
        <v/>
      </c>
      <c r="AJB23" s="89">
        <f>AJA24</f>
        <v/>
      </c>
      <c r="AJC23" s="89">
        <f>AJB24</f>
        <v/>
      </c>
      <c r="AJD23" s="89">
        <f>AJC24</f>
        <v/>
      </c>
      <c r="AJE23" s="89">
        <f>AJD24</f>
        <v/>
      </c>
      <c r="AJF23" s="89">
        <f>AJE24</f>
        <v/>
      </c>
      <c r="AJG23" s="89">
        <f>AJF24</f>
        <v/>
      </c>
      <c r="AJH23" s="89">
        <f>AJG24</f>
        <v/>
      </c>
      <c r="AJI23" s="89">
        <f>AJH24</f>
        <v/>
      </c>
      <c r="AJJ23" s="89">
        <f>AJI24</f>
        <v/>
      </c>
      <c r="AJK23" s="89">
        <f>AJJ24</f>
        <v/>
      </c>
      <c r="AJL23" s="127" t="n">
        <v>0</v>
      </c>
      <c r="AJM23" s="89">
        <f>AJK24</f>
        <v/>
      </c>
      <c r="AJN23" s="89">
        <f>AJM24</f>
        <v/>
      </c>
      <c r="AJO23" s="89">
        <f>AJN24</f>
        <v/>
      </c>
      <c r="AJP23" s="89">
        <f>AJO24</f>
        <v/>
      </c>
      <c r="AJQ23" s="89">
        <f>AJP24</f>
        <v/>
      </c>
      <c r="AJR23" s="89">
        <f>AJQ24</f>
        <v/>
      </c>
      <c r="AJS23" s="89">
        <f>AJR24</f>
        <v/>
      </c>
      <c r="AJT23" s="89">
        <f>AJS24</f>
        <v/>
      </c>
      <c r="AJU23" s="89">
        <f>AJT24</f>
        <v/>
      </c>
      <c r="AJV23" s="89">
        <f>AJU24</f>
        <v/>
      </c>
      <c r="AJW23" s="89">
        <f>AJV24</f>
        <v/>
      </c>
      <c r="AJX23" s="89">
        <f>AJW24</f>
        <v/>
      </c>
      <c r="AJY23" s="89">
        <f>AJX24</f>
        <v/>
      </c>
      <c r="AJZ23" s="89">
        <f>AJY24</f>
        <v/>
      </c>
      <c r="AKA23" s="89">
        <f>AJZ24</f>
        <v/>
      </c>
      <c r="AKB23" s="89">
        <f>AKA24</f>
        <v/>
      </c>
      <c r="AKC23" s="89">
        <f>AKB24</f>
        <v/>
      </c>
      <c r="AKD23" s="89">
        <f>AKC24</f>
        <v/>
      </c>
      <c r="AKE23" s="89">
        <f>AKD24</f>
        <v/>
      </c>
      <c r="AKF23" s="89">
        <f>AKE24</f>
        <v/>
      </c>
      <c r="AKG23" s="89">
        <f>AKF24</f>
        <v/>
      </c>
      <c r="AKH23" s="89">
        <f>AKG24</f>
        <v/>
      </c>
      <c r="AKI23" s="89">
        <f>AKH24</f>
        <v/>
      </c>
      <c r="AKJ23" s="89">
        <f>AKI24</f>
        <v/>
      </c>
      <c r="AKK23" s="89">
        <f>AKJ24</f>
        <v/>
      </c>
      <c r="AKL23" s="89">
        <f>AKK24</f>
        <v/>
      </c>
      <c r="AKM23" s="89">
        <f>AKL24</f>
        <v/>
      </c>
      <c r="AKN23" s="89">
        <f>AKM24</f>
        <v/>
      </c>
      <c r="AKO23" s="127" t="n">
        <v>0</v>
      </c>
      <c r="AKP23" s="89">
        <f>AKN24</f>
        <v/>
      </c>
      <c r="AKQ23" s="89">
        <f>AKP24</f>
        <v/>
      </c>
      <c r="AKR23" s="89">
        <f>AKQ24</f>
        <v/>
      </c>
      <c r="AKS23" s="89">
        <f>AKR24</f>
        <v/>
      </c>
      <c r="AKT23" s="89">
        <f>AKS24</f>
        <v/>
      </c>
      <c r="AKU23" s="89">
        <f>AKT24</f>
        <v/>
      </c>
      <c r="AKV23" s="89">
        <f>AKU24</f>
        <v/>
      </c>
      <c r="AKW23" s="89">
        <f>AKV24</f>
        <v/>
      </c>
      <c r="AKX23" s="89">
        <f>AKW24</f>
        <v/>
      </c>
      <c r="AKY23" s="89">
        <f>AKX24</f>
        <v/>
      </c>
      <c r="AKZ23" s="89">
        <f>AKY24</f>
        <v/>
      </c>
      <c r="ALA23" s="89">
        <f>AKZ24</f>
        <v/>
      </c>
      <c r="ALB23" s="89">
        <f>ALA24</f>
        <v/>
      </c>
      <c r="ALC23" s="89">
        <f>ALB24</f>
        <v/>
      </c>
      <c r="ALD23" s="89">
        <f>ALC24</f>
        <v/>
      </c>
      <c r="ALE23" s="89">
        <f>ALD24</f>
        <v/>
      </c>
      <c r="ALF23" s="89">
        <f>ALE24</f>
        <v/>
      </c>
      <c r="ALG23" s="89">
        <f>ALF24</f>
        <v/>
      </c>
      <c r="ALH23" s="89">
        <f>ALG24</f>
        <v/>
      </c>
      <c r="ALI23" s="89">
        <f>ALH24</f>
        <v/>
      </c>
      <c r="ALJ23" s="89">
        <f>ALI24</f>
        <v/>
      </c>
      <c r="ALK23" s="89">
        <f>ALJ24</f>
        <v/>
      </c>
      <c r="ALL23" s="89">
        <f>ALK24</f>
        <v/>
      </c>
      <c r="ALM23" s="89">
        <f>ALL24</f>
        <v/>
      </c>
      <c r="ALN23" s="89">
        <f>ALM24</f>
        <v/>
      </c>
      <c r="ALO23" s="89">
        <f>ALN24</f>
        <v/>
      </c>
      <c r="ALP23" s="89">
        <f>ALO24</f>
        <v/>
      </c>
      <c r="ALQ23" s="89">
        <f>ALP24</f>
        <v/>
      </c>
      <c r="ALR23" s="89">
        <f>ALQ24</f>
        <v/>
      </c>
      <c r="ALS23" s="89">
        <f>ALR24</f>
        <v/>
      </c>
      <c r="ALT23" s="89">
        <f>ALS24</f>
        <v/>
      </c>
      <c r="ALU23" s="127" t="n">
        <v>0</v>
      </c>
      <c r="ALV23" s="89">
        <f>ALT24</f>
        <v/>
      </c>
      <c r="ALW23" s="89">
        <f>ALV24</f>
        <v/>
      </c>
      <c r="ALX23" s="89">
        <f>ALW24</f>
        <v/>
      </c>
      <c r="ALY23" s="89">
        <f>ALX24</f>
        <v/>
      </c>
      <c r="ALZ23" s="89">
        <f>ALY24</f>
        <v/>
      </c>
      <c r="AMA23" s="89">
        <f>ALZ24</f>
        <v/>
      </c>
      <c r="AMB23" s="89">
        <f>AMA24</f>
        <v/>
      </c>
      <c r="AMC23" s="89">
        <f>AMB24</f>
        <v/>
      </c>
      <c r="AMD23" s="89">
        <f>AMC24</f>
        <v/>
      </c>
      <c r="AME23" s="89">
        <f>AMD24</f>
        <v/>
      </c>
      <c r="AMF23" s="89">
        <f>AME24</f>
        <v/>
      </c>
      <c r="AMG23" s="89">
        <f>AMF24</f>
        <v/>
      </c>
      <c r="AMH23" s="89">
        <f>AMG24</f>
        <v/>
      </c>
      <c r="AMI23" s="89">
        <f>AMH24</f>
        <v/>
      </c>
      <c r="AMJ23" s="89">
        <f>AMI24</f>
        <v/>
      </c>
      <c r="AMK23" s="89">
        <f>AMJ24</f>
        <v/>
      </c>
      <c r="AML23" s="89">
        <f>AMK24</f>
        <v/>
      </c>
      <c r="AMM23" s="89">
        <f>AML24</f>
        <v/>
      </c>
      <c r="AMN23" s="89">
        <f>AMM24</f>
        <v/>
      </c>
      <c r="AMO23" s="89">
        <f>AMN24</f>
        <v/>
      </c>
      <c r="AMP23" s="89">
        <f>AMO24</f>
        <v/>
      </c>
      <c r="AMQ23" s="89">
        <f>AMP24</f>
        <v/>
      </c>
      <c r="AMR23" s="89">
        <f>AMQ24</f>
        <v/>
      </c>
      <c r="AMS23" s="89">
        <f>AMR24</f>
        <v/>
      </c>
      <c r="AMT23" s="89">
        <f>AMS24</f>
        <v/>
      </c>
      <c r="AMU23" s="89">
        <f>AMT24</f>
        <v/>
      </c>
      <c r="AMV23" s="89">
        <f>AMU24</f>
        <v/>
      </c>
      <c r="AMW23" s="89">
        <f>AMV24</f>
        <v/>
      </c>
      <c r="AMX23" s="89">
        <f>AMW24</f>
        <v/>
      </c>
      <c r="AMY23" s="89">
        <f>AMX24</f>
        <v/>
      </c>
      <c r="AMZ23" s="127" t="n">
        <v>0</v>
      </c>
      <c r="ANA23" s="89">
        <f>AMY24</f>
        <v/>
      </c>
      <c r="ANB23" s="89">
        <f>ANA24</f>
        <v/>
      </c>
      <c r="ANC23" s="89">
        <f>ANB24</f>
        <v/>
      </c>
      <c r="AND23" s="89">
        <f>ANC24</f>
        <v/>
      </c>
      <c r="ANE23" s="89">
        <f>AND24</f>
        <v/>
      </c>
      <c r="ANF23" s="89">
        <f>ANE24</f>
        <v/>
      </c>
      <c r="ANG23" s="89">
        <f>ANF24</f>
        <v/>
      </c>
      <c r="ANH23" s="89">
        <f>ANG24</f>
        <v/>
      </c>
      <c r="ANI23" s="89">
        <f>ANH24</f>
        <v/>
      </c>
      <c r="ANJ23" s="89">
        <f>ANI24</f>
        <v/>
      </c>
      <c r="ANK23" s="89">
        <f>ANJ24</f>
        <v/>
      </c>
      <c r="ANL23" s="89">
        <f>ANK24</f>
        <v/>
      </c>
      <c r="ANM23" s="89">
        <f>ANL24</f>
        <v/>
      </c>
      <c r="ANN23" s="89">
        <f>ANM24</f>
        <v/>
      </c>
      <c r="ANO23" s="89">
        <f>ANN24</f>
        <v/>
      </c>
      <c r="ANP23" s="89">
        <f>ANO24</f>
        <v/>
      </c>
      <c r="ANQ23" s="89">
        <f>ANP24</f>
        <v/>
      </c>
      <c r="ANR23" s="89">
        <f>ANQ24</f>
        <v/>
      </c>
      <c r="ANS23" s="89">
        <f>ANR24</f>
        <v/>
      </c>
      <c r="ANT23" s="89">
        <f>ANS24</f>
        <v/>
      </c>
      <c r="ANU23" s="89">
        <f>ANT24</f>
        <v/>
      </c>
      <c r="ANV23" s="89">
        <f>ANU24</f>
        <v/>
      </c>
      <c r="ANW23" s="89">
        <f>ANV24</f>
        <v/>
      </c>
      <c r="ANX23" s="89">
        <f>ANW24</f>
        <v/>
      </c>
      <c r="ANY23" s="89">
        <f>ANX24</f>
        <v/>
      </c>
      <c r="ANZ23" s="89">
        <f>ANY24</f>
        <v/>
      </c>
      <c r="AOA23" s="89">
        <f>ANZ24</f>
        <v/>
      </c>
      <c r="AOB23" s="89">
        <f>AOA24</f>
        <v/>
      </c>
      <c r="AOC23" s="89">
        <f>AOB24</f>
        <v/>
      </c>
      <c r="AOD23" s="89" t="n">
        <v>544624.767</v>
      </c>
      <c r="AOE23" t="n">
        <v>544624.767</v>
      </c>
      <c r="AOF23" t="n">
        <v>852073.232</v>
      </c>
    </row>
    <row r="24">
      <c r="A24" s="157" t="n"/>
      <c r="C24" s="47" t="inlineStr">
        <is>
          <t>CLOSING</t>
        </is>
      </c>
      <c r="D24" s="48" t="n">
        <v>272926.372</v>
      </c>
      <c r="E24" s="18" t="n">
        <v>273198.925</v>
      </c>
      <c r="F24" s="18" t="n">
        <v>273404.995</v>
      </c>
      <c r="G24" s="18" t="n">
        <v>273790.93</v>
      </c>
      <c r="H24" s="18" t="n">
        <v>274119.002</v>
      </c>
      <c r="I24" s="18" t="n">
        <v>274360.863</v>
      </c>
      <c r="J24" s="18" t="n">
        <v>274646.477</v>
      </c>
      <c r="K24" s="18" t="n">
        <v>274831.617</v>
      </c>
      <c r="L24" s="18" t="n">
        <v>275074.609</v>
      </c>
      <c r="M24" s="18" t="n">
        <v>275339.965</v>
      </c>
      <c r="N24" s="18" t="n">
        <v>275572.206</v>
      </c>
      <c r="O24" s="18" t="n">
        <v>275729.829</v>
      </c>
      <c r="P24" s="18" t="n">
        <v>275906.586</v>
      </c>
      <c r="Q24" s="18" t="n">
        <v>276153.35</v>
      </c>
      <c r="R24" s="18" t="n">
        <v>276429.235</v>
      </c>
      <c r="S24" s="18" t="n">
        <v>276574.378</v>
      </c>
      <c r="T24" s="18" t="n">
        <v>276813.066</v>
      </c>
      <c r="U24" s="18" t="n">
        <v>277063.474</v>
      </c>
      <c r="V24" s="18" t="n">
        <v>277208.615</v>
      </c>
      <c r="W24" s="18" t="n">
        <v>277378.273</v>
      </c>
      <c r="X24" s="18" t="n">
        <v>277614.381</v>
      </c>
      <c r="Y24" s="18" t="n">
        <v>278036.087</v>
      </c>
      <c r="Z24" s="18" t="n">
        <v>278291.12</v>
      </c>
      <c r="AA24" s="18" t="n">
        <v>278576.801</v>
      </c>
      <c r="AB24" s="18" t="n">
        <v>278856.886</v>
      </c>
      <c r="AC24" s="18" t="n">
        <v>279117.285</v>
      </c>
      <c r="AD24" s="18" t="n">
        <v>279235.123</v>
      </c>
      <c r="AE24" s="18" t="n">
        <v>279385.694</v>
      </c>
      <c r="AF24" s="18" t="n">
        <v>279856.448</v>
      </c>
      <c r="AG24" s="18" t="n">
        <v>280269.161</v>
      </c>
      <c r="AH24" s="18" t="n">
        <v>280598.494</v>
      </c>
      <c r="AI24" s="17" t="n"/>
      <c r="AJ24" s="13" t="n">
        <v>280876.526</v>
      </c>
      <c r="AK24" s="13" t="n">
        <v>281223.436</v>
      </c>
      <c r="AL24" s="13" t="n">
        <v>281685.261</v>
      </c>
      <c r="AM24" s="13" t="n">
        <v>281999.319</v>
      </c>
      <c r="AN24" s="13" t="n">
        <v>282470.587</v>
      </c>
      <c r="AO24" s="13" t="n">
        <v>282873.116</v>
      </c>
      <c r="AP24" s="13" t="n">
        <v>283230.896</v>
      </c>
      <c r="AQ24" s="13" t="n">
        <v>283615.488</v>
      </c>
      <c r="AR24" s="13" t="n">
        <v>283882.265</v>
      </c>
      <c r="AS24" s="13" t="n">
        <v>284222.441</v>
      </c>
      <c r="AT24" s="13" t="n">
        <v>284558.967</v>
      </c>
      <c r="AU24" s="13" t="n">
        <v>284894.302</v>
      </c>
      <c r="AV24" s="13" t="n">
        <v>285203.548</v>
      </c>
      <c r="AW24" s="13" t="n">
        <v>285481.701</v>
      </c>
      <c r="AX24" s="13" t="n">
        <v>285704.614</v>
      </c>
      <c r="AY24" s="13" t="n">
        <v>285960.302</v>
      </c>
      <c r="AZ24" s="13" t="n">
        <v>286167.429</v>
      </c>
      <c r="BA24" s="13" t="n">
        <v>286380.682</v>
      </c>
      <c r="BB24" s="13" t="n">
        <v>286604.549</v>
      </c>
      <c r="BC24" s="13" t="n">
        <v>286798.415</v>
      </c>
      <c r="BD24" s="13" t="n">
        <v>287029.429</v>
      </c>
      <c r="BE24" s="13" t="n">
        <v>287314.738</v>
      </c>
      <c r="BF24" s="13" t="n">
        <v>287646.147</v>
      </c>
      <c r="BG24" s="13" t="n">
        <v>287934.918</v>
      </c>
      <c r="BH24" s="13" t="n">
        <v>288177.141</v>
      </c>
      <c r="BI24" s="13" t="n">
        <v>288424.884</v>
      </c>
      <c r="BJ24" s="13" t="n">
        <v>288671.621</v>
      </c>
      <c r="BK24" s="13" t="n">
        <v>288881.378</v>
      </c>
      <c r="BL24" s="13" t="n">
        <v>289060.556</v>
      </c>
      <c r="BM24" s="13" t="n">
        <v>289288.014</v>
      </c>
      <c r="BO24" s="13" t="n">
        <v>289410.429</v>
      </c>
      <c r="BP24" s="13" t="n">
        <v>289553.646</v>
      </c>
      <c r="BQ24" s="13" t="n">
        <v>289884.543</v>
      </c>
      <c r="BR24" s="13" t="n">
        <v>290055.036</v>
      </c>
      <c r="BS24" s="13" t="n">
        <v>290368.974</v>
      </c>
      <c r="BT24" s="13" t="n">
        <v>290661.889</v>
      </c>
      <c r="BU24" s="13" t="n">
        <v>290924.502</v>
      </c>
      <c r="BV24" s="13" t="n">
        <v>291113.58</v>
      </c>
      <c r="BW24" s="13" t="n">
        <v>291412.567</v>
      </c>
      <c r="BX24" s="13" t="n">
        <v>291677.4</v>
      </c>
      <c r="BY24" s="13" t="n">
        <v>291932.533</v>
      </c>
      <c r="BZ24" s="13" t="n">
        <v>292257.764</v>
      </c>
      <c r="CA24" s="13" t="n">
        <v>292497.14</v>
      </c>
      <c r="CB24" s="13" t="n">
        <v>292770.856</v>
      </c>
      <c r="CC24" s="13" t="n">
        <v>292925.387</v>
      </c>
      <c r="CD24" s="13" t="n">
        <v>293184.965</v>
      </c>
      <c r="CE24" s="13" t="n">
        <v>293453.837</v>
      </c>
      <c r="CF24" s="13" t="n">
        <v>293588.371</v>
      </c>
      <c r="CG24" s="13" t="n">
        <v>293754.293</v>
      </c>
      <c r="CH24" s="13" t="n">
        <v>293977.231</v>
      </c>
      <c r="CI24" s="13" t="n">
        <v>294130.753</v>
      </c>
      <c r="CJ24" s="13" t="n">
        <v>294390.531</v>
      </c>
      <c r="CK24" s="13" t="n">
        <v>294630.915</v>
      </c>
      <c r="CL24" s="13" t="n">
        <v>294806.25</v>
      </c>
      <c r="CM24" s="13" t="n">
        <v>294982.902</v>
      </c>
      <c r="CN24" s="13" t="n">
        <v>295206.324</v>
      </c>
      <c r="CO24" s="13" t="n">
        <v>295381.462</v>
      </c>
      <c r="CP24" s="13" t="n">
        <v>295637.948</v>
      </c>
      <c r="CQ24" s="13" t="n">
        <v>295840.964</v>
      </c>
      <c r="CR24" s="13" t="n">
        <v>296132.511</v>
      </c>
      <c r="CS24" s="13" t="n">
        <v>296402.498</v>
      </c>
      <c r="CU24" s="13" t="n">
        <v>296706.627</v>
      </c>
      <c r="CV24" s="13" t="n">
        <v>296919.392</v>
      </c>
      <c r="CW24" s="13" t="n">
        <v>297122.911</v>
      </c>
      <c r="CX24" s="13" t="n">
        <v>297517.234</v>
      </c>
      <c r="CY24" s="13" t="n">
        <v>297707.325</v>
      </c>
      <c r="CZ24" s="13" t="n">
        <v>297985.491</v>
      </c>
      <c r="DA24" s="13" t="n">
        <v>298188.912</v>
      </c>
      <c r="DB24" s="13" t="n">
        <v>298546.362</v>
      </c>
      <c r="DC24" s="13" t="n">
        <v>298850.657</v>
      </c>
      <c r="DD24" s="13" t="n">
        <v>299087.895</v>
      </c>
      <c r="DE24" s="13" t="n">
        <v>299281.052</v>
      </c>
      <c r="DF24" s="13" t="n">
        <v>299424.23</v>
      </c>
      <c r="DG24" s="13" t="n">
        <v>299525.837</v>
      </c>
      <c r="DH24" s="13" t="n">
        <v>299717.137</v>
      </c>
      <c r="DI24" s="13" t="n">
        <v>299845.002</v>
      </c>
      <c r="DJ24" s="13" t="n">
        <v>300084.65</v>
      </c>
      <c r="DK24" s="13" t="n">
        <v>300348.09</v>
      </c>
      <c r="DL24" s="13" t="n">
        <v>300566.865</v>
      </c>
      <c r="DM24" s="13" t="n">
        <v>300756.01</v>
      </c>
      <c r="DN24" s="13" t="n">
        <v>301031.588</v>
      </c>
      <c r="DO24" s="13" t="n">
        <v>301264.415</v>
      </c>
      <c r="DP24" s="13" t="n">
        <v>301524.948</v>
      </c>
      <c r="DQ24" s="13" t="n">
        <v>301718.727</v>
      </c>
      <c r="DR24" s="13" t="n">
        <v>301924.309</v>
      </c>
      <c r="DS24" s="13" t="n">
        <v>302074.677</v>
      </c>
      <c r="DT24" s="13" t="n">
        <v>302216.354</v>
      </c>
      <c r="DU24" s="13" t="n">
        <v>302422.756</v>
      </c>
      <c r="DV24" s="13" t="n">
        <v>302789.285</v>
      </c>
      <c r="DW24" s="13" t="n">
        <v>303097.235</v>
      </c>
      <c r="DX24" s="13" t="n">
        <v>303468.976</v>
      </c>
      <c r="DY24" s="117" t="n"/>
      <c r="DZ24" s="13" t="n">
        <v>303812.244</v>
      </c>
      <c r="EA24" s="13" t="n">
        <v>304132.176</v>
      </c>
      <c r="EB24" s="13" t="n">
        <v>304375.06</v>
      </c>
      <c r="EC24" s="13" t="n">
        <v>304555.413</v>
      </c>
      <c r="ED24" s="13" t="n">
        <v>304805.431</v>
      </c>
      <c r="EE24" s="13" t="n">
        <v>305082.728</v>
      </c>
      <c r="EF24" s="13" t="n">
        <v>305533.665</v>
      </c>
      <c r="EG24" s="13" t="n">
        <v>305876.958</v>
      </c>
      <c r="EH24" s="13" t="n">
        <v>306168.635</v>
      </c>
      <c r="EI24" s="13" t="n">
        <v>306351.086</v>
      </c>
      <c r="EJ24" s="13" t="n">
        <v>306713.118</v>
      </c>
      <c r="EK24" s="13" t="n">
        <v>307200.519</v>
      </c>
      <c r="EL24" s="13" t="n">
        <v>307573.601</v>
      </c>
      <c r="EM24" s="13" t="n">
        <v>307945.722</v>
      </c>
      <c r="EN24" s="13" t="n">
        <v>308207.401</v>
      </c>
      <c r="EO24" s="13" t="n">
        <v>308456.048</v>
      </c>
      <c r="EP24" s="13" t="n">
        <v>308668.812</v>
      </c>
      <c r="EQ24" s="13" t="n">
        <v>309003.415</v>
      </c>
      <c r="ER24" s="13" t="n">
        <v>309276.582</v>
      </c>
      <c r="ES24" s="13" t="n">
        <v>309577.573</v>
      </c>
      <c r="ET24" s="13" t="n">
        <v>309967.848</v>
      </c>
      <c r="EU24" s="13" t="n">
        <v>310266.573</v>
      </c>
      <c r="EV24" s="13" t="n">
        <v>310682.419</v>
      </c>
      <c r="EW24" s="13" t="n">
        <v>310916.421</v>
      </c>
      <c r="EX24" s="13" t="n">
        <v>311066.309</v>
      </c>
      <c r="EY24" s="13" t="n">
        <v>311386.71</v>
      </c>
      <c r="EZ24" s="13" t="n">
        <v>311584.486</v>
      </c>
      <c r="FA24" s="13" t="n">
        <v>311902.859</v>
      </c>
      <c r="FB24" s="13" t="n">
        <v>312109.68</v>
      </c>
      <c r="FC24" s="13" t="n">
        <v>312500.791</v>
      </c>
      <c r="FD24" s="13" t="n">
        <v>312745.425</v>
      </c>
      <c r="FE24" s="126" t="n"/>
      <c r="FF24" s="13" t="n">
        <v>312995.313</v>
      </c>
      <c r="FG24" s="13" t="n">
        <v>313210.346</v>
      </c>
      <c r="FH24" s="13" t="n">
        <v>313568.883</v>
      </c>
      <c r="FI24" s="13" t="n">
        <v>313866.774</v>
      </c>
      <c r="FJ24" s="13" t="n">
        <v>314169.449</v>
      </c>
      <c r="FK24" s="13" t="n">
        <v>314395.548</v>
      </c>
      <c r="FL24" s="13" t="n">
        <v>314662.727</v>
      </c>
      <c r="FM24" s="13" t="n">
        <v>314843.529</v>
      </c>
      <c r="FN24" s="13" t="n">
        <v>315098.759</v>
      </c>
      <c r="FO24" s="13" t="n">
        <v>315299.037</v>
      </c>
      <c r="FP24" s="13" t="n">
        <v>315641.074</v>
      </c>
      <c r="FQ24" s="13" t="n">
        <v>316022.098</v>
      </c>
      <c r="FR24" s="13" t="n">
        <v>316285.362</v>
      </c>
      <c r="FS24" s="13" t="n">
        <v>316586.569</v>
      </c>
      <c r="FT24" s="13" t="n">
        <v>316841.191</v>
      </c>
      <c r="FU24" s="13" t="n">
        <v>317088.997</v>
      </c>
      <c r="FV24" s="13" t="n">
        <v>317379.895</v>
      </c>
      <c r="FW24" s="13" t="n">
        <v>317680.179</v>
      </c>
      <c r="FX24" s="13" t="n">
        <v>318230.209</v>
      </c>
      <c r="FY24" s="13" t="n">
        <v>318590.632</v>
      </c>
      <c r="FZ24" s="13" t="n">
        <v>318774.115</v>
      </c>
      <c r="GA24" s="13" t="n">
        <v>319050.16</v>
      </c>
      <c r="GB24" s="13" t="n">
        <v>319496.823</v>
      </c>
      <c r="GC24" s="13" t="n">
        <v>319746.257</v>
      </c>
      <c r="GD24" s="13" t="n">
        <v>320010.76</v>
      </c>
      <c r="GE24" s="13" t="n">
        <v>320377.952</v>
      </c>
      <c r="GF24" s="13" t="n">
        <v>320601.849</v>
      </c>
      <c r="GG24" s="13" t="n">
        <v>320794.621</v>
      </c>
      <c r="GH24" s="13" t="n">
        <v>321098.311</v>
      </c>
      <c r="GI24" s="13" t="n">
        <v>321283.225</v>
      </c>
      <c r="GJ24" s="13" t="n">
        <v>321613.164</v>
      </c>
      <c r="GK24" s="126" t="n"/>
      <c r="GL24" s="13" t="n">
        <v>321916.34</v>
      </c>
      <c r="GM24" s="13" t="n">
        <v>322238.793</v>
      </c>
      <c r="GN24" s="13" t="n">
        <v>322526.757</v>
      </c>
      <c r="GO24" s="13" t="n">
        <v>322709.207</v>
      </c>
      <c r="GP24" s="13" t="n">
        <v>322984.232</v>
      </c>
      <c r="GQ24" s="13" t="n">
        <v>323225.443</v>
      </c>
      <c r="GR24" s="13" t="n">
        <v>323455.669</v>
      </c>
      <c r="GS24" s="13" t="n">
        <v>323678.941</v>
      </c>
      <c r="GT24" s="13" t="n">
        <v>323851.909</v>
      </c>
      <c r="GU24" s="13" t="n">
        <v>324148.798</v>
      </c>
      <c r="GV24" s="13" t="n">
        <v>324349.803</v>
      </c>
      <c r="GW24" s="13" t="n">
        <v>324623.941</v>
      </c>
      <c r="GX24" s="13" t="n">
        <v>324868.244</v>
      </c>
      <c r="GY24" s="13" t="n">
        <v>325088.523</v>
      </c>
      <c r="GZ24" s="13" t="n">
        <v>325302.95</v>
      </c>
      <c r="HA24" s="13" t="n">
        <v>325653.855</v>
      </c>
      <c r="HB24" s="13" t="n">
        <v>325856.923</v>
      </c>
      <c r="HC24" s="13" t="n">
        <v>326050.295</v>
      </c>
      <c r="HD24" s="13" t="n">
        <v>326289.851</v>
      </c>
      <c r="HE24" s="13" t="n">
        <v>326449.004</v>
      </c>
      <c r="HF24" s="13" t="n">
        <v>326742.03</v>
      </c>
      <c r="HG24" s="13" t="n">
        <v>326969.633</v>
      </c>
      <c r="HH24" s="13" t="n">
        <v>327213.946</v>
      </c>
      <c r="HI24" s="13" t="n">
        <v>327502.369</v>
      </c>
      <c r="HJ24" s="13" t="n">
        <v>327747.09</v>
      </c>
      <c r="HK24" s="13" t="n">
        <v>327980.616</v>
      </c>
      <c r="HL24" s="13" t="n">
        <v>328264.821</v>
      </c>
      <c r="HM24" s="13" t="n">
        <v>328498.146</v>
      </c>
      <c r="HN24" s="13" t="n">
        <v>328724.926</v>
      </c>
      <c r="HO24" s="126" t="n"/>
      <c r="HP24" s="13" t="n">
        <v>328993.355</v>
      </c>
      <c r="HQ24" s="13" t="n">
        <v>329381.364</v>
      </c>
      <c r="HR24" s="13" t="n">
        <v>329578.045</v>
      </c>
      <c r="HS24" s="13" t="n">
        <v>329883.654</v>
      </c>
      <c r="HT24" s="13" t="n">
        <v>330112.051</v>
      </c>
      <c r="HU24" s="13" t="n">
        <v>330393.056</v>
      </c>
      <c r="HV24" s="13" t="n">
        <v>330689.61</v>
      </c>
      <c r="HW24" s="13" t="n">
        <v>330974.641</v>
      </c>
      <c r="HX24" s="13" t="n">
        <v>331288.083</v>
      </c>
      <c r="HY24" s="13" t="n">
        <v>331477.35</v>
      </c>
      <c r="HZ24" s="13" t="n">
        <v>331687.386</v>
      </c>
      <c r="IA24" s="13" t="n">
        <v>331946.557</v>
      </c>
      <c r="IB24" s="13" t="n">
        <v>332315.224</v>
      </c>
      <c r="IC24" s="13" t="n">
        <v>332621.463</v>
      </c>
      <c r="ID24" s="13" t="n">
        <v>332880.236</v>
      </c>
      <c r="IE24" s="13" t="n">
        <v>333062.238</v>
      </c>
      <c r="IF24" s="13" t="n">
        <v>333244.227</v>
      </c>
      <c r="IG24" s="13" t="n">
        <v>333563.699</v>
      </c>
      <c r="IH24" s="13" t="n">
        <v>333899.136</v>
      </c>
      <c r="II24" s="13" t="n">
        <v>334087</v>
      </c>
      <c r="IJ24" s="13" t="n">
        <v>334337.492</v>
      </c>
      <c r="IK24" s="13" t="n">
        <v>334605.096</v>
      </c>
      <c r="IL24" s="13" t="n">
        <v>334897.402</v>
      </c>
      <c r="IM24" s="13" t="n">
        <v>335059.44</v>
      </c>
      <c r="IN24" s="13" t="n">
        <v>335333.53</v>
      </c>
      <c r="IO24" s="13" t="n">
        <v>335533.974</v>
      </c>
      <c r="IP24" s="13" t="n">
        <v>335906.953</v>
      </c>
      <c r="IQ24" s="13" t="n">
        <v>336468.016</v>
      </c>
      <c r="IR24" s="13" t="n">
        <v>336801.565</v>
      </c>
      <c r="IS24" s="13" t="n">
        <v>336965.289</v>
      </c>
      <c r="IT24" s="13" t="n">
        <v>337068.083</v>
      </c>
      <c r="IU24" s="126" t="n"/>
      <c r="IV24" s="13" t="n">
        <v>337266.876</v>
      </c>
      <c r="IW24" s="13" t="n">
        <v>337572.667</v>
      </c>
      <c r="IX24" s="13" t="n">
        <v>337817.14</v>
      </c>
      <c r="IY24" s="13" t="n">
        <v>337997.81</v>
      </c>
      <c r="IZ24" s="13" t="n">
        <v>338236.679</v>
      </c>
      <c r="JA24" s="13" t="n">
        <v>338453.682</v>
      </c>
      <c r="JB24" s="13" t="n">
        <v>338667.586</v>
      </c>
      <c r="JC24" s="13" t="n">
        <v>338938.202</v>
      </c>
      <c r="JD24" s="13" t="n">
        <v>339221.95</v>
      </c>
      <c r="JE24" s="13" t="n">
        <v>339367.244</v>
      </c>
      <c r="JF24" s="13" t="n">
        <v>339531.571</v>
      </c>
      <c r="JG24" s="13" t="n">
        <v>339742.368</v>
      </c>
      <c r="JH24" s="13" t="n">
        <v>339969.224</v>
      </c>
      <c r="JI24" s="13" t="n">
        <v>340124.936</v>
      </c>
      <c r="JJ24" s="13" t="n">
        <v>340305.49</v>
      </c>
      <c r="JK24" s="13" t="n">
        <v>340534.79</v>
      </c>
      <c r="JL24" s="13" t="n">
        <v>340721.162</v>
      </c>
      <c r="JM24" s="13" t="n">
        <v>340948.197</v>
      </c>
      <c r="JN24" s="13" t="n">
        <v>341150.195</v>
      </c>
      <c r="JO24" s="13" t="n">
        <v>341404.303</v>
      </c>
      <c r="JP24" s="13" t="n">
        <v>341593.671</v>
      </c>
      <c r="JQ24" s="13" t="n">
        <v>341720.913</v>
      </c>
      <c r="JR24" s="13" t="n">
        <v>341927.095</v>
      </c>
      <c r="JS24" s="13" t="n">
        <v>342159.554</v>
      </c>
      <c r="JT24" s="13" t="n">
        <v>342303.844</v>
      </c>
      <c r="JU24" s="13" t="n">
        <v>342564.441</v>
      </c>
      <c r="JV24" s="13" t="n">
        <v>342769.973</v>
      </c>
      <c r="JW24" s="13" t="n">
        <v>342976.636</v>
      </c>
      <c r="JX24" s="13" t="n">
        <v>343309.046</v>
      </c>
      <c r="JY24" s="13" t="n">
        <v>343513.537</v>
      </c>
      <c r="JZ24" s="126" t="n"/>
      <c r="KA24" s="13" t="n">
        <v>343695.538</v>
      </c>
      <c r="KB24" s="13" t="n">
        <v>343930.467</v>
      </c>
      <c r="KC24" s="13" t="n">
        <v>344354.997</v>
      </c>
      <c r="KD24" s="13" t="n">
        <v>344588.123</v>
      </c>
      <c r="KE24" s="13" t="n">
        <v>344795.22</v>
      </c>
      <c r="KF24" s="13" t="n">
        <v>345058.945</v>
      </c>
      <c r="KG24" s="13" t="n">
        <v>345357.73</v>
      </c>
      <c r="KH24" s="13" t="n">
        <v>345637.483</v>
      </c>
      <c r="KI24" s="13" t="n">
        <v>345946.979</v>
      </c>
      <c r="KJ24" s="13" t="n">
        <v>346383.324</v>
      </c>
      <c r="KK24" s="13" t="n">
        <v>346740.642</v>
      </c>
      <c r="KL24" s="13" t="n">
        <v>346976.715</v>
      </c>
      <c r="KM24" s="13" t="n">
        <v>347861.817</v>
      </c>
      <c r="KN24" s="13" t="n">
        <v>348203.982</v>
      </c>
      <c r="KO24" s="13" t="n">
        <v>348464.633</v>
      </c>
      <c r="KP24" s="13" t="n">
        <v>348759.555</v>
      </c>
      <c r="KQ24" s="13" t="n">
        <v>349205.124</v>
      </c>
      <c r="KR24" s="13" t="n">
        <v>349534.454</v>
      </c>
      <c r="KS24" s="13" t="n">
        <v>349744.119</v>
      </c>
      <c r="KT24" s="13" t="n">
        <v>350075.677</v>
      </c>
      <c r="KU24" s="13" t="n">
        <v>350430.513</v>
      </c>
      <c r="KV24" s="13" t="n">
        <v>350803.176</v>
      </c>
      <c r="KW24" s="13" t="n">
        <v>351231.517</v>
      </c>
      <c r="KX24" s="13" t="n">
        <v>351656.079</v>
      </c>
      <c r="KY24" s="13" t="n">
        <v>352022.752</v>
      </c>
      <c r="KZ24" s="13" t="n">
        <v>352246.287</v>
      </c>
      <c r="LA24" s="13" t="n">
        <v>352609.717</v>
      </c>
      <c r="LB24" s="13" t="n">
        <v>352900.44</v>
      </c>
      <c r="LC24" s="13" t="n">
        <v>353350.612</v>
      </c>
      <c r="LD24" s="13" t="n">
        <v>353545.189</v>
      </c>
      <c r="LE24" s="13" t="n">
        <v>353881.507</v>
      </c>
      <c r="LF24" s="126" t="n"/>
      <c r="LG24" s="13" t="n">
        <v>354290.103</v>
      </c>
      <c r="LH24" s="13" t="n">
        <v>354560.523</v>
      </c>
      <c r="LI24" s="13" t="n">
        <v>355145.671</v>
      </c>
      <c r="LJ24" s="13" t="n">
        <v>355606.885</v>
      </c>
      <c r="LK24" s="13" t="n">
        <v>355906.187</v>
      </c>
      <c r="LL24" s="13" t="n">
        <v>356239.185</v>
      </c>
      <c r="LM24" s="13" t="n">
        <v>356647.869</v>
      </c>
      <c r="LN24" s="13" t="n">
        <v>357016.194</v>
      </c>
      <c r="LO24" s="13" t="n">
        <v>357251.981</v>
      </c>
      <c r="LP24" s="13" t="n">
        <v>357590.171</v>
      </c>
      <c r="LQ24" s="13" t="n">
        <v>358016.009</v>
      </c>
      <c r="LR24" s="13" t="n">
        <v>358385.307</v>
      </c>
      <c r="LS24" s="13" t="n">
        <v>358877.295</v>
      </c>
      <c r="LT24" s="13" t="n">
        <v>359277.033</v>
      </c>
      <c r="LU24" s="13" t="n">
        <v>359552.195</v>
      </c>
      <c r="LV24" s="13" t="n">
        <v>359880.976</v>
      </c>
      <c r="LW24" s="13" t="n">
        <v>360224.393</v>
      </c>
      <c r="LX24" s="13" t="n">
        <v>360549.471</v>
      </c>
      <c r="LY24" s="13" t="n">
        <v>360930.677</v>
      </c>
      <c r="LZ24" s="13" t="n">
        <v>361331.238</v>
      </c>
      <c r="MA24" s="13" t="n">
        <v>361773.24</v>
      </c>
      <c r="MB24" s="13" t="n">
        <v>362108.299</v>
      </c>
      <c r="MC24" s="13" t="n">
        <v>362332.503</v>
      </c>
      <c r="MD24" s="13" t="n">
        <v>362555.297</v>
      </c>
      <c r="ME24" s="13" t="n">
        <v>362851.343</v>
      </c>
      <c r="MF24" s="13" t="n">
        <v>363327.638</v>
      </c>
      <c r="MG24" s="13" t="n">
        <v>363715.715</v>
      </c>
      <c r="MH24" s="13" t="n">
        <v>364001.699</v>
      </c>
      <c r="MI24" s="13" t="n">
        <v>364352.037</v>
      </c>
      <c r="MJ24" s="13" t="n">
        <v>364627.657</v>
      </c>
      <c r="MK24" s="126" t="n"/>
      <c r="ML24" s="13" t="n">
        <v>365029.621</v>
      </c>
      <c r="MM24" s="13" t="n">
        <v>365502.6</v>
      </c>
      <c r="MN24" s="13" t="n">
        <v>365912.504</v>
      </c>
      <c r="MO24" s="13" t="n">
        <v>366198.94</v>
      </c>
      <c r="MP24" s="13" t="n">
        <v>366557.708</v>
      </c>
      <c r="MQ24" s="13" t="n">
        <v>367032.589</v>
      </c>
      <c r="MR24" s="13" t="n">
        <v>367697.285</v>
      </c>
      <c r="MS24" s="13" t="n">
        <v>368251.048</v>
      </c>
      <c r="MT24" s="13" t="n">
        <v>368700.408</v>
      </c>
      <c r="MU24" s="13" t="n">
        <v>368928.594</v>
      </c>
      <c r="MV24" s="13" t="n">
        <v>369243.343</v>
      </c>
      <c r="MW24" s="13" t="n">
        <v>369466.463</v>
      </c>
      <c r="MX24" s="13" t="n">
        <v>369828.293</v>
      </c>
      <c r="MY24" s="13" t="n">
        <v>370140.137</v>
      </c>
      <c r="MZ24" s="13" t="n">
        <v>370502.826</v>
      </c>
      <c r="NA24" s="13" t="n">
        <v>370811.14</v>
      </c>
      <c r="NB24" s="13" t="n">
        <v>371126.223</v>
      </c>
      <c r="NC24" s="13" t="n">
        <v>371336.251</v>
      </c>
      <c r="ND24" s="13" t="n">
        <v>371684.452</v>
      </c>
      <c r="NE24" s="13" t="n">
        <v>372012.641</v>
      </c>
      <c r="NF24" s="13" t="n">
        <v>372180.269</v>
      </c>
      <c r="NG24" s="13" t="n">
        <v>372608.803</v>
      </c>
      <c r="NH24" s="13" t="n">
        <v>372881.923</v>
      </c>
      <c r="NI24" s="13" t="n">
        <v>373204.759</v>
      </c>
      <c r="NJ24" s="13" t="n">
        <v>373671.844</v>
      </c>
      <c r="NK24" s="13" t="n">
        <v>373961.296</v>
      </c>
      <c r="NL24" s="13" t="n">
        <v>374282.547</v>
      </c>
      <c r="NM24" s="13" t="n">
        <v>374452.683</v>
      </c>
      <c r="NN24" s="13" t="n">
        <v>374830.466</v>
      </c>
      <c r="NO24" s="13" t="n">
        <v>375157.474</v>
      </c>
      <c r="NP24" s="13" t="n">
        <v>375500.753</v>
      </c>
      <c r="NQ24" s="126" t="n"/>
      <c r="NR24" s="13" t="n">
        <v>375813.604</v>
      </c>
      <c r="NS24" s="13" t="n">
        <v>376092.843</v>
      </c>
      <c r="NT24" s="13" t="n">
        <v>376464.07</v>
      </c>
      <c r="NU24" s="13" t="n">
        <v>376679.268</v>
      </c>
      <c r="NV24" s="13" t="n">
        <v>376956.306</v>
      </c>
      <c r="NW24" s="13" t="n">
        <v>377414.956</v>
      </c>
      <c r="NX24" s="13" t="n">
        <v>377846.775</v>
      </c>
      <c r="NY24" s="13" t="n">
        <v>378224.539</v>
      </c>
      <c r="NZ24" s="13" t="n">
        <v>378543.616</v>
      </c>
      <c r="OA24" s="13" t="n">
        <v>378664.683</v>
      </c>
      <c r="OB24" s="13" t="n">
        <v>378885.767</v>
      </c>
      <c r="OC24" s="13" t="n">
        <v>379126.885</v>
      </c>
      <c r="OD24" s="13" t="n">
        <v>379337.943</v>
      </c>
      <c r="OE24" s="13" t="n">
        <v>379615.248</v>
      </c>
      <c r="OF24" s="13" t="n">
        <v>380067.12</v>
      </c>
      <c r="OG24" s="13" t="n">
        <v>380267.387</v>
      </c>
      <c r="OH24" s="13" t="n">
        <v>380483.25</v>
      </c>
      <c r="OI24" s="13" t="n">
        <v>380754.949</v>
      </c>
      <c r="OJ24" s="13" t="n">
        <v>381007.032</v>
      </c>
      <c r="OK24" s="13" t="n">
        <v>381273.916</v>
      </c>
      <c r="OL24" s="13" t="n">
        <v>381558.948</v>
      </c>
      <c r="OM24" s="13" t="n">
        <v>381882.583</v>
      </c>
      <c r="ON24" s="13" t="n">
        <v>382192.732</v>
      </c>
      <c r="OO24" s="13" t="n">
        <v>382377.601</v>
      </c>
      <c r="OP24" s="13" t="n">
        <v>382607.169</v>
      </c>
      <c r="OQ24" s="13" t="n">
        <v>382853.319</v>
      </c>
      <c r="OR24" s="13" t="n">
        <v>383209.688</v>
      </c>
      <c r="OS24" s="13" t="n">
        <v>383578.352</v>
      </c>
      <c r="OT24" s="13" t="n">
        <v>383820.066</v>
      </c>
      <c r="OU24" s="13" t="n">
        <v>384002.624</v>
      </c>
      <c r="OV24" s="13" t="n">
        <v>384480.663</v>
      </c>
      <c r="OW24" s="126" t="n"/>
      <c r="OX24" s="13" t="n">
        <v>384655.447</v>
      </c>
      <c r="OY24" s="13" t="n">
        <v>384923.479</v>
      </c>
      <c r="OZ24" s="13" t="n">
        <v>385149.822</v>
      </c>
      <c r="PA24" s="13" t="n">
        <v>385436.601</v>
      </c>
      <c r="PB24" s="13" t="n">
        <v>385749.699</v>
      </c>
      <c r="PC24" s="13" t="n">
        <v>386061.569</v>
      </c>
      <c r="PD24" s="13" t="n">
        <v>386304.131</v>
      </c>
      <c r="PE24" s="13" t="n">
        <v>386715.357</v>
      </c>
      <c r="PF24" s="13" t="n">
        <v>386839.783</v>
      </c>
      <c r="PG24" s="13" t="n">
        <v>387071.405</v>
      </c>
      <c r="PH24" s="13" t="n">
        <v>387319.232</v>
      </c>
      <c r="PI24" s="13" t="n">
        <v>387621.772</v>
      </c>
      <c r="PJ24" s="13" t="n">
        <v>388011.31</v>
      </c>
      <c r="PK24" s="13" t="n">
        <v>388249.277</v>
      </c>
      <c r="PL24" s="13" t="n">
        <v>388490.792</v>
      </c>
      <c r="PM24" s="13" t="n">
        <v>388711.623</v>
      </c>
      <c r="PN24" s="13" t="n">
        <v>388965.979</v>
      </c>
      <c r="PO24" s="13" t="n">
        <v>389175.094</v>
      </c>
      <c r="PP24" s="13" t="n">
        <v>389465.987</v>
      </c>
      <c r="PQ24" s="13" t="n">
        <v>389697.808</v>
      </c>
      <c r="PR24" s="13" t="n">
        <v>390007.133</v>
      </c>
      <c r="PS24" s="13" t="n">
        <v>390233.518</v>
      </c>
      <c r="PT24" s="13" t="n">
        <v>390630.353</v>
      </c>
      <c r="PU24" s="13" t="n">
        <v>390907.763</v>
      </c>
      <c r="PV24" s="13" t="n">
        <v>391276.661</v>
      </c>
      <c r="PW24" s="13" t="n">
        <v>391532.278</v>
      </c>
      <c r="PX24" s="13" t="n">
        <v>391796.791</v>
      </c>
      <c r="PY24" s="13" t="n">
        <v>392380.481</v>
      </c>
      <c r="PZ24" s="13" t="n">
        <v>392558.403</v>
      </c>
      <c r="QA24" s="13" t="n">
        <v>392900.665</v>
      </c>
      <c r="QB24" s="126" t="n"/>
      <c r="QC24" s="13" t="n">
        <v>393092.887</v>
      </c>
      <c r="QD24" s="13" t="n">
        <v>393204.48</v>
      </c>
      <c r="QE24" s="13" t="n">
        <v>393491.886</v>
      </c>
      <c r="QF24" s="13" t="n">
        <v>393727.708</v>
      </c>
      <c r="QG24" s="13" t="n">
        <v>393931.73</v>
      </c>
      <c r="QH24" s="13" t="n">
        <v>394019.95</v>
      </c>
      <c r="QI24" s="13" t="n">
        <v>394222.92</v>
      </c>
      <c r="QJ24" s="13" t="n">
        <v>394427.574</v>
      </c>
      <c r="QK24" s="13" t="n">
        <v>394799.137</v>
      </c>
      <c r="QL24" s="13" t="n">
        <v>395040.464</v>
      </c>
      <c r="QM24" s="13" t="n">
        <v>395300.28</v>
      </c>
      <c r="QN24" s="13" t="n">
        <v>395583.394</v>
      </c>
      <c r="QO24" s="13" t="n">
        <v>395832.116</v>
      </c>
      <c r="QP24" s="13" t="n">
        <v>396118.909</v>
      </c>
      <c r="QQ24" s="13" t="n">
        <v>396361.147</v>
      </c>
      <c r="QR24" s="13" t="n">
        <v>396547.697</v>
      </c>
      <c r="QS24" s="13" t="n">
        <v>396884.058</v>
      </c>
      <c r="QT24" s="13" t="n">
        <v>397248.229</v>
      </c>
      <c r="QU24" s="13" t="n">
        <v>397438.037</v>
      </c>
      <c r="QV24" s="13" t="n">
        <v>397551.437</v>
      </c>
      <c r="QW24" s="13" t="n">
        <v>397737.327</v>
      </c>
      <c r="QX24" s="13" t="n">
        <v>397984.316</v>
      </c>
      <c r="QY24" s="13" t="n">
        <v>398156.516</v>
      </c>
      <c r="QZ24" s="13" t="n">
        <v>398895.834</v>
      </c>
      <c r="RA24" s="13" t="n">
        <v>399222.854</v>
      </c>
      <c r="RB24" s="13" t="n">
        <v>399406.579</v>
      </c>
      <c r="RC24" s="13" t="n">
        <v>399624.912</v>
      </c>
      <c r="RD24" s="13" t="n">
        <v>399821.304</v>
      </c>
      <c r="RE24" s="13" t="n">
        <v>400042.914</v>
      </c>
      <c r="RF24" s="13" t="n">
        <v>400201.207</v>
      </c>
      <c r="RG24" s="13" t="n">
        <v>400421.016</v>
      </c>
      <c r="RH24" s="126" t="n"/>
      <c r="RI24" s="13" t="n">
        <v>400616.04</v>
      </c>
      <c r="RJ24" s="13" t="n">
        <v>400914.873</v>
      </c>
      <c r="RK24" s="13" t="n">
        <v>401095.352</v>
      </c>
      <c r="RL24" s="13" t="n">
        <v>401316.676</v>
      </c>
      <c r="RM24" s="13" t="n">
        <v>401522.361</v>
      </c>
      <c r="RN24" s="13" t="n">
        <v>401827.37</v>
      </c>
      <c r="RO24" s="13" t="n">
        <v>402190.035</v>
      </c>
      <c r="RP24" s="13" t="n">
        <v>402490.949</v>
      </c>
      <c r="RQ24" s="13" t="n">
        <v>402734.887</v>
      </c>
      <c r="RR24" s="13" t="n">
        <v>402920.116</v>
      </c>
      <c r="RS24" s="13" t="n">
        <v>403220.598</v>
      </c>
      <c r="RT24" s="13" t="n">
        <v>403450.947</v>
      </c>
      <c r="RU24" s="13" t="n">
        <v>403663.578</v>
      </c>
      <c r="RV24" s="13" t="n">
        <v>403932.403</v>
      </c>
      <c r="RW24" s="13" t="n">
        <v>404231.99</v>
      </c>
      <c r="RX24" s="13" t="n">
        <v>404426.7</v>
      </c>
      <c r="RY24" s="13" t="n">
        <v>404581.067</v>
      </c>
      <c r="RZ24" s="13" t="n">
        <v>404840.608</v>
      </c>
      <c r="SA24" s="13" t="n">
        <v>405054.701</v>
      </c>
      <c r="SB24" s="13" t="n">
        <v>405244.417</v>
      </c>
      <c r="SC24" s="13" t="n">
        <v>405612.768</v>
      </c>
      <c r="SD24" s="13" t="n">
        <v>405830.463</v>
      </c>
      <c r="SE24" s="13" t="n">
        <v>406019.013</v>
      </c>
      <c r="SF24" s="13" t="n">
        <v>406161.744</v>
      </c>
      <c r="SG24" s="13" t="n">
        <v>406451.898</v>
      </c>
      <c r="SH24" s="13" t="n">
        <v>406712.965</v>
      </c>
      <c r="SI24" s="13" t="n">
        <v>406975.83</v>
      </c>
      <c r="SJ24" s="13" t="n">
        <v>407377.216</v>
      </c>
      <c r="SK24" s="13" t="n">
        <v>407632.328</v>
      </c>
      <c r="SL24" s="13" t="n">
        <v>407892.285</v>
      </c>
      <c r="SM24" s="126" t="n"/>
      <c r="SN24" s="13" t="n">
        <v>408004.298</v>
      </c>
      <c r="SO24" s="13" t="n">
        <v>408554.874</v>
      </c>
      <c r="SP24" s="13" t="n">
        <v>408836.755</v>
      </c>
      <c r="SQ24" s="13" t="n">
        <v>409018.345</v>
      </c>
      <c r="SR24" s="13" t="n">
        <v>409185.678</v>
      </c>
      <c r="SS24" s="13" t="n">
        <v>409452.536</v>
      </c>
      <c r="ST24" s="13" t="n">
        <v>409636.434</v>
      </c>
      <c r="SU24" s="13" t="n">
        <v>409788.286</v>
      </c>
      <c r="SV24" s="13" t="n">
        <v>410135.29</v>
      </c>
      <c r="SW24" s="13" t="n">
        <v>410406.651</v>
      </c>
      <c r="SX24" s="13" t="n">
        <v>410822.03</v>
      </c>
      <c r="SY24" s="13" t="n">
        <v>411128.063</v>
      </c>
      <c r="SZ24" s="13" t="n">
        <v>411693.482</v>
      </c>
      <c r="TA24" s="13" t="n">
        <v>412002.203</v>
      </c>
      <c r="TB24" s="13" t="n">
        <v>412350.332</v>
      </c>
      <c r="TC24" s="13" t="n">
        <v>412651.646</v>
      </c>
      <c r="TD24" s="13" t="n">
        <v>412908.472</v>
      </c>
      <c r="TE24" s="13" t="n">
        <v>413134.874</v>
      </c>
      <c r="TF24" s="13" t="n">
        <v>413443.523</v>
      </c>
      <c r="TG24" s="13" t="n">
        <v>413691.44</v>
      </c>
      <c r="TH24" s="13" t="n">
        <v>414052.633</v>
      </c>
      <c r="TI24" s="13" t="n">
        <v>414447.003</v>
      </c>
      <c r="TJ24" s="13" t="n">
        <v>414756.12</v>
      </c>
      <c r="TK24" s="13" t="n">
        <v>415065.368</v>
      </c>
      <c r="TL24" s="13" t="n">
        <v>415117.941</v>
      </c>
      <c r="TM24" s="13" t="n">
        <v>415285.717</v>
      </c>
      <c r="TN24" s="13" t="n">
        <v>415620.453</v>
      </c>
      <c r="TO24" s="13" t="n">
        <v>415889.076</v>
      </c>
      <c r="TP24" s="13" t="n">
        <v>416227.923</v>
      </c>
      <c r="TQ24" s="13" t="n">
        <v>416534.628</v>
      </c>
      <c r="TR24" s="13" t="n">
        <v>416749.278</v>
      </c>
      <c r="TS24" s="126" t="n"/>
      <c r="TT24" s="13" t="n">
        <v>416920.197</v>
      </c>
      <c r="TU24" s="13" t="n">
        <v>417138.319</v>
      </c>
      <c r="TV24" s="13" t="n">
        <v>417307.258</v>
      </c>
      <c r="TW24" s="13" t="n">
        <v>417540.81</v>
      </c>
      <c r="TX24" s="13" t="n">
        <v>417765.721</v>
      </c>
      <c r="TY24" s="13" t="n">
        <v>417996.147</v>
      </c>
      <c r="TZ24" s="13" t="n">
        <v>418216.27</v>
      </c>
      <c r="UA24" s="13" t="n">
        <v>418524.192</v>
      </c>
      <c r="UB24" s="13" t="n">
        <v>418794.748</v>
      </c>
      <c r="UC24" s="13" t="n">
        <v>419082.214</v>
      </c>
      <c r="UD24" s="13" t="n">
        <v>419352.233</v>
      </c>
      <c r="UE24" s="13" t="n">
        <v>419559.65</v>
      </c>
      <c r="UF24" s="13" t="n">
        <v>420040.436</v>
      </c>
      <c r="UG24" s="13" t="n">
        <v>420217.158</v>
      </c>
      <c r="UH24" s="13" t="n">
        <v>420625.335</v>
      </c>
      <c r="UI24" s="13" t="n">
        <v>420951.828</v>
      </c>
      <c r="UJ24" s="13" t="n">
        <v>421213.514</v>
      </c>
      <c r="UK24" s="13" t="n">
        <v>421438.006</v>
      </c>
      <c r="UL24" s="13" t="n">
        <v>421699.201</v>
      </c>
      <c r="UM24" s="13" t="n">
        <v>422029.489</v>
      </c>
      <c r="UN24" s="13" t="n">
        <v>422298.98</v>
      </c>
      <c r="UO24" s="13" t="n">
        <v>422636.416</v>
      </c>
      <c r="UP24" s="13" t="n">
        <v>422841.305</v>
      </c>
      <c r="UQ24" s="13" t="n">
        <v>423112.12</v>
      </c>
      <c r="UR24" s="13" t="n">
        <v>423393.122</v>
      </c>
      <c r="US24" s="13" t="n">
        <v>423627.634</v>
      </c>
      <c r="UT24" s="13" t="n">
        <v>423902.709</v>
      </c>
      <c r="UU24" s="13" t="n">
        <v>424213.81</v>
      </c>
      <c r="UV24" s="13" t="n">
        <v>424213.81</v>
      </c>
      <c r="UW24" s="13" t="n">
        <v>424411.112</v>
      </c>
      <c r="UX24" s="13" t="n">
        <v>424694.059</v>
      </c>
      <c r="UY24" s="126" t="n"/>
      <c r="UZ24" s="13" t="n">
        <v>425023.292</v>
      </c>
      <c r="VA24" s="13" t="n">
        <v>425159.74</v>
      </c>
      <c r="VB24" s="13" t="n">
        <v>425326.995</v>
      </c>
      <c r="VC24" s="13" t="n">
        <v>425515.898</v>
      </c>
      <c r="VD24" s="13" t="n">
        <v>425804.306</v>
      </c>
      <c r="VE24" s="13" t="n">
        <v>426129.966</v>
      </c>
      <c r="VF24" s="13" t="n">
        <v>426353.958</v>
      </c>
      <c r="VG24" s="13" t="n">
        <v>426870.28</v>
      </c>
      <c r="VH24" s="13" t="n">
        <v>427003.361</v>
      </c>
      <c r="VI24" s="13" t="n">
        <v>427349.31</v>
      </c>
      <c r="VJ24" s="13" t="n">
        <v>427645.617</v>
      </c>
      <c r="VK24" s="13" t="n">
        <v>427936.81</v>
      </c>
      <c r="VL24" s="13" t="n">
        <v>428165.132</v>
      </c>
      <c r="VM24" s="13" t="n">
        <v>428459.639</v>
      </c>
      <c r="VN24" s="13" t="n">
        <v>428714.995</v>
      </c>
      <c r="VO24" s="13" t="n">
        <v>428809.054</v>
      </c>
      <c r="VP24" s="13" t="n">
        <v>429121.063</v>
      </c>
      <c r="VQ24" s="13" t="n">
        <v>429373.132</v>
      </c>
      <c r="VR24" s="13" t="n">
        <v>429709.076</v>
      </c>
      <c r="VS24" s="13" t="n">
        <v>430084.366</v>
      </c>
      <c r="VT24" s="13" t="n">
        <v>430303.461</v>
      </c>
      <c r="VU24" s="13" t="n">
        <v>430547.714</v>
      </c>
      <c r="VV24" s="13" t="n">
        <v>430761.987</v>
      </c>
      <c r="VW24" s="13" t="n">
        <v>431093.843</v>
      </c>
      <c r="VX24" s="13" t="n">
        <v>431382.057</v>
      </c>
      <c r="VY24" s="13" t="n">
        <v>431704.465</v>
      </c>
      <c r="VZ24" s="13" t="n">
        <v>431949.491</v>
      </c>
      <c r="WA24" s="13" t="n">
        <v>432146.616</v>
      </c>
      <c r="WB24" s="126" t="n"/>
      <c r="WC24" s="13" t="n">
        <v>432466.364</v>
      </c>
      <c r="WD24" s="13" t="n">
        <v>432636.241</v>
      </c>
      <c r="WE24" s="13" t="n">
        <v>432860.185</v>
      </c>
      <c r="WF24" s="13" t="n">
        <v>433066.76</v>
      </c>
      <c r="WG24" s="13" t="n">
        <v>433288.278</v>
      </c>
      <c r="WH24" s="13" t="n">
        <v>433288.278</v>
      </c>
      <c r="WI24" s="13" t="n">
        <v>433527.046</v>
      </c>
      <c r="WJ24" s="13" t="n">
        <v>433777.723</v>
      </c>
      <c r="WK24" s="13" t="n">
        <v>433979.676</v>
      </c>
      <c r="WL24" s="13" t="n">
        <v>434233.508</v>
      </c>
      <c r="WM24" s="13" t="n">
        <v>434452.503</v>
      </c>
      <c r="WN24" s="13" t="n">
        <v>434814.945</v>
      </c>
      <c r="WO24" s="13" t="n">
        <v>435046.428</v>
      </c>
      <c r="WP24" s="13" t="n">
        <v>435267.228</v>
      </c>
      <c r="WQ24" s="13" t="n">
        <v>435611.815</v>
      </c>
      <c r="WR24" s="13" t="n">
        <v>435748.5</v>
      </c>
      <c r="WS24" s="13" t="n">
        <v>435949.752</v>
      </c>
      <c r="WT24" s="13" t="n">
        <v>436257.415</v>
      </c>
      <c r="WU24" s="13" t="n">
        <v>436419.146</v>
      </c>
      <c r="WV24" s="13" t="n">
        <v>436671.474</v>
      </c>
      <c r="WW24" s="13" t="n">
        <v>436891.237</v>
      </c>
      <c r="WX24" s="13" t="n">
        <v>437091.883</v>
      </c>
      <c r="WY24" s="13" t="n">
        <v>437285.651</v>
      </c>
      <c r="WZ24" s="13" t="n">
        <v>437522.997</v>
      </c>
      <c r="XA24" s="13" t="n">
        <v>437768.687</v>
      </c>
      <c r="XB24" s="13" t="n">
        <v>437918.221</v>
      </c>
      <c r="XC24" s="13" t="n">
        <v>438138.441</v>
      </c>
      <c r="XD24" s="13" t="n">
        <v>438384.812</v>
      </c>
      <c r="XE24" s="13" t="n">
        <v>438869.155</v>
      </c>
      <c r="XF24" s="13" t="n">
        <v>439027.748</v>
      </c>
      <c r="XG24" s="13" t="n">
        <v>439317.465</v>
      </c>
      <c r="XH24" s="126" t="n"/>
      <c r="XI24" s="13" t="n">
        <v>439505.683</v>
      </c>
      <c r="XJ24" s="13" t="n">
        <v>439717.211</v>
      </c>
      <c r="XK24" s="13" t="n">
        <v>439926.339</v>
      </c>
      <c r="XL24" s="13" t="n">
        <v>440111.034</v>
      </c>
      <c r="XM24" s="13" t="n">
        <v>440428.849</v>
      </c>
      <c r="XN24" s="13" t="n">
        <v>440574.44</v>
      </c>
      <c r="XO24" s="13" t="n">
        <v>440876.15</v>
      </c>
      <c r="XP24" s="13" t="n">
        <v>441140.826</v>
      </c>
      <c r="XQ24" s="13" t="n">
        <v>441409.858</v>
      </c>
      <c r="XR24" s="13" t="n">
        <v>441759.062</v>
      </c>
      <c r="XS24" s="13" t="n">
        <v>442040.133</v>
      </c>
      <c r="XT24" s="13" t="n">
        <v>442341.541</v>
      </c>
      <c r="XU24" s="13" t="n">
        <v>442519.885</v>
      </c>
      <c r="XV24" s="13" t="n">
        <v>442747.438</v>
      </c>
      <c r="XW24" s="13" t="n">
        <v>443006.415</v>
      </c>
      <c r="XX24" s="13" t="n">
        <v>443203.811</v>
      </c>
      <c r="XY24" s="13" t="n">
        <v>443439.057</v>
      </c>
      <c r="XZ24" s="13" t="n">
        <v>443699.884</v>
      </c>
      <c r="YA24" s="13" t="n">
        <v>443930.802</v>
      </c>
      <c r="YB24" s="13" t="n">
        <v>444165.458</v>
      </c>
      <c r="YC24" s="13" t="n">
        <v>444338.983</v>
      </c>
      <c r="YD24" s="13" t="n">
        <v>444676.804</v>
      </c>
      <c r="YE24" s="13" t="n">
        <v>444942.157</v>
      </c>
      <c r="YF24" s="13" t="n">
        <v>445200.89</v>
      </c>
      <c r="YG24" s="13" t="n">
        <v>445357.863</v>
      </c>
      <c r="YH24" s="13" t="n">
        <v>445563.427</v>
      </c>
      <c r="YI24" s="13" t="n">
        <v>445707.708</v>
      </c>
      <c r="YJ24" s="13" t="n">
        <v>445959.088</v>
      </c>
      <c r="YK24" s="13" t="n">
        <v>446135.625</v>
      </c>
      <c r="YL24" s="13" t="n">
        <v>446275.389</v>
      </c>
      <c r="YM24" s="126" t="n"/>
      <c r="YN24" s="13" t="n">
        <v>446491.928</v>
      </c>
      <c r="YO24" s="13" t="n">
        <v>446764.802</v>
      </c>
      <c r="YP24" s="13" t="n">
        <v>446911.043</v>
      </c>
      <c r="YQ24" s="13" t="n">
        <v>447113.648</v>
      </c>
      <c r="YR24" s="13" t="n">
        <v>447350.592</v>
      </c>
      <c r="YS24" s="13" t="n">
        <v>447571.692</v>
      </c>
      <c r="YT24" s="13" t="n">
        <v>447773.178</v>
      </c>
      <c r="YU24" s="13" t="n">
        <v>447944.139</v>
      </c>
      <c r="YV24" s="13" t="n">
        <v>448223.365</v>
      </c>
      <c r="YW24" s="13" t="n">
        <v>448494.357</v>
      </c>
      <c r="YX24" s="13" t="n">
        <v>448697.405</v>
      </c>
      <c r="YY24" s="13" t="n">
        <v>448819.696</v>
      </c>
      <c r="YZ24" s="13" t="n">
        <v>449211.583</v>
      </c>
      <c r="ZA24" s="13" t="n">
        <v>449442.097</v>
      </c>
      <c r="ZB24" s="13" t="n">
        <v>449685.092</v>
      </c>
      <c r="ZC24" s="13" t="n">
        <v>449907.229</v>
      </c>
      <c r="ZD24" s="13" t="n">
        <v>450334.362</v>
      </c>
      <c r="ZE24" s="13" t="n">
        <v>450558.646</v>
      </c>
      <c r="ZF24" s="13" t="n">
        <v>450804.207</v>
      </c>
      <c r="ZG24" s="13" t="n">
        <v>450962.471</v>
      </c>
      <c r="ZH24" s="13" t="n">
        <v>451409.824</v>
      </c>
      <c r="ZI24" s="13" t="n">
        <v>451632.166</v>
      </c>
      <c r="ZJ24" s="13" t="n">
        <v>451889.825</v>
      </c>
      <c r="ZK24" s="13" t="n">
        <v>452299.61</v>
      </c>
      <c r="ZL24" s="13" t="n">
        <v>452486.521</v>
      </c>
      <c r="ZM24" s="13" t="n">
        <v>452669.563</v>
      </c>
      <c r="ZN24" s="13" t="n">
        <v>453164.215</v>
      </c>
      <c r="ZO24" s="13" t="n">
        <v>453514</v>
      </c>
      <c r="ZP24" s="13" t="n">
        <v>453823.602</v>
      </c>
      <c r="ZQ24" s="13" t="n">
        <v>454080.643</v>
      </c>
      <c r="ZR24" s="13" t="n">
        <v>454355.497</v>
      </c>
      <c r="ZS24" s="126" t="n"/>
      <c r="ZT24" s="13" t="n">
        <v>454576.444</v>
      </c>
      <c r="ZU24" s="13" t="n">
        <v>454849.796</v>
      </c>
      <c r="ZV24" s="13" t="n">
        <v>455066.466</v>
      </c>
      <c r="ZW24" s="13" t="n">
        <v>455314.394</v>
      </c>
      <c r="ZX24" s="13" t="n">
        <v>455675.005</v>
      </c>
      <c r="ZY24" s="13" t="n">
        <v>455925.246</v>
      </c>
      <c r="ZZ24" s="13" t="n">
        <v>456129.801</v>
      </c>
      <c r="AAA24" s="13" t="n">
        <v>456313.227</v>
      </c>
      <c r="AAB24" s="13" t="n">
        <v>456490.409</v>
      </c>
      <c r="AAC24" s="13" t="n">
        <v>457311.192</v>
      </c>
      <c r="AAD24" s="13" t="n">
        <v>457671.472</v>
      </c>
      <c r="AAE24" s="13" t="n">
        <v>457999.36</v>
      </c>
      <c r="AAF24" s="13" t="n">
        <v>458354.442</v>
      </c>
      <c r="AAG24" s="13" t="n">
        <v>458725.422</v>
      </c>
      <c r="AAH24" s="13" t="n">
        <v>458944.85</v>
      </c>
      <c r="AAI24" s="13" t="n">
        <v>459139.161</v>
      </c>
      <c r="AAJ24" s="13" t="n">
        <v>459337.422</v>
      </c>
      <c r="AAK24" s="13" t="n">
        <v>459621.269</v>
      </c>
      <c r="AAL24" s="13" t="n">
        <v>459864.687</v>
      </c>
      <c r="AAM24" s="13" t="n">
        <v>460059.85</v>
      </c>
      <c r="AAN24" s="13" t="n">
        <v>460647.625</v>
      </c>
      <c r="AAO24" s="13" t="n">
        <v>460857.288</v>
      </c>
      <c r="AAP24" s="13" t="n">
        <v>461175.214</v>
      </c>
      <c r="AAQ24" s="13" t="n">
        <v>461481.911</v>
      </c>
      <c r="AAR24" s="13" t="n">
        <v>461689.845</v>
      </c>
      <c r="AAS24" s="13" t="n">
        <v>461901.654</v>
      </c>
      <c r="AAT24" s="13" t="n">
        <v>462164.748</v>
      </c>
      <c r="AAU24" s="13" t="n">
        <v>462423.805</v>
      </c>
      <c r="AAV24" s="13" t="n">
        <v>462601.635</v>
      </c>
      <c r="AAW24" s="13" t="n">
        <v>462780.539</v>
      </c>
      <c r="AAX24" s="126" t="n"/>
      <c r="AAY24" s="13" t="n">
        <v>463037.506</v>
      </c>
      <c r="AAZ24" s="13" t="n">
        <v>463298.986</v>
      </c>
      <c r="ABA24" s="13" t="n">
        <v>463596.172</v>
      </c>
      <c r="ABB24" s="13" t="n">
        <v>463822.605</v>
      </c>
      <c r="ABC24" s="13" t="n">
        <v>464033.01</v>
      </c>
      <c r="ABD24" s="13" t="n">
        <v>464217.297</v>
      </c>
      <c r="ABE24" s="13" t="n">
        <v>464500.932</v>
      </c>
      <c r="ABF24" s="13" t="n">
        <v>464746.943</v>
      </c>
      <c r="ABG24" s="13" t="n">
        <v>464916.002</v>
      </c>
      <c r="ABH24" s="13" t="n">
        <v>465433.461</v>
      </c>
      <c r="ABI24" s="13" t="n">
        <v>465789.557</v>
      </c>
      <c r="ABJ24" s="13" t="n">
        <v>466089.86</v>
      </c>
      <c r="ABK24" s="13" t="n">
        <v>466240.789</v>
      </c>
      <c r="ABL24" s="13" t="n">
        <v>466555.821</v>
      </c>
      <c r="ABM24" s="13" t="n">
        <v>466883.544</v>
      </c>
      <c r="ABN24" s="13" t="n">
        <v>467189.097</v>
      </c>
      <c r="ABO24" s="13" t="n">
        <v>467345.742</v>
      </c>
      <c r="ABP24" s="13" t="n">
        <v>467689.376</v>
      </c>
      <c r="ABQ24" s="13" t="n">
        <v>467993.762</v>
      </c>
      <c r="ABR24" s="13" t="n">
        <v>468145.146</v>
      </c>
      <c r="ABS24" s="13" t="n">
        <v>468337.604</v>
      </c>
      <c r="ABT24" s="13" t="n">
        <v>468525.332</v>
      </c>
      <c r="ABU24" s="13" t="n">
        <v>468787.952</v>
      </c>
      <c r="ABV24" s="13" t="n">
        <v>469121.257</v>
      </c>
      <c r="ABW24" s="13" t="n">
        <v>469391.558</v>
      </c>
      <c r="ABX24" s="13" t="n">
        <v>469623.36</v>
      </c>
      <c r="ABY24" s="13" t="n">
        <v>469817.966</v>
      </c>
      <c r="ABZ24" s="13" t="n">
        <v>470299.703</v>
      </c>
      <c r="ACA24" s="13" t="n">
        <v>470668.732</v>
      </c>
      <c r="ACB24" s="13" t="n">
        <v>470902.934</v>
      </c>
      <c r="ACC24" s="13" t="n">
        <v>471200.184</v>
      </c>
      <c r="ACD24" s="126" t="n"/>
      <c r="ACE24" s="13" t="n">
        <v>471547.381</v>
      </c>
      <c r="ACF24" s="13" t="n">
        <v>471906.606</v>
      </c>
      <c r="ACG24" s="13" t="n">
        <v>472099.06</v>
      </c>
      <c r="ACH24" s="13" t="n">
        <v>472391.389</v>
      </c>
      <c r="ACI24" s="13" t="n">
        <v>472690.286</v>
      </c>
      <c r="ACJ24" s="13" t="n">
        <v>472910.267</v>
      </c>
      <c r="ACK24" s="13" t="n">
        <v>473112.679</v>
      </c>
      <c r="ACL24" s="13" t="n">
        <v>473298.25</v>
      </c>
      <c r="ACM24" s="13" t="n">
        <v>473610.751</v>
      </c>
      <c r="ACN24" s="13" t="n">
        <v>473781.919</v>
      </c>
      <c r="ACO24" s="13" t="n">
        <v>474143.979</v>
      </c>
      <c r="ACP24" s="13" t="n">
        <v>474437.159</v>
      </c>
      <c r="ACQ24" s="13" t="n">
        <v>474698.46</v>
      </c>
      <c r="ACR24" s="13" t="n">
        <v>475071.55</v>
      </c>
      <c r="ACS24" s="13" t="n">
        <v>475365.728</v>
      </c>
      <c r="ACT24" s="13" t="n">
        <v>475643.674</v>
      </c>
      <c r="ACU24" s="13" t="n">
        <v>475827.963</v>
      </c>
      <c r="ACV24" s="13" t="n">
        <v>476152.273</v>
      </c>
      <c r="ACW24" s="13" t="n">
        <v>476414.828</v>
      </c>
      <c r="ACX24" s="13" t="n">
        <v>476694.37</v>
      </c>
      <c r="ACY24" s="13" t="n">
        <v>476876.075</v>
      </c>
      <c r="ACZ24" s="13" t="n">
        <v>477162.928</v>
      </c>
      <c r="ADA24" s="13" t="n">
        <v>477462.198</v>
      </c>
      <c r="ADB24" s="13" t="n">
        <v>477596.379</v>
      </c>
      <c r="ADC24" s="13" t="n">
        <v>477781.361</v>
      </c>
      <c r="ADD24" s="13" t="n">
        <v>477944.142</v>
      </c>
      <c r="ADE24" s="13" t="n">
        <v>478137.99</v>
      </c>
      <c r="ADF24" s="13" t="n">
        <v>478394.744</v>
      </c>
      <c r="ADG24" s="13" t="n">
        <v>478648.035</v>
      </c>
      <c r="ADH24" s="13" t="n">
        <v>478994.912</v>
      </c>
      <c r="ADI24" s="13" t="n">
        <v>479278.764</v>
      </c>
      <c r="ADJ24" s="126" t="n"/>
      <c r="ADK24" s="13" t="n">
        <v>479537.021</v>
      </c>
      <c r="ADL24" s="13" t="n">
        <v>479788.627</v>
      </c>
      <c r="ADM24" s="13" t="n">
        <v>480140.215</v>
      </c>
      <c r="ADN24" s="13" t="n">
        <v>480399.331</v>
      </c>
      <c r="ADO24" s="13" t="n">
        <v>480622.57</v>
      </c>
      <c r="ADP24" s="13" t="n">
        <v>480895.835</v>
      </c>
      <c r="ADQ24" s="13" t="n">
        <v>481173.232</v>
      </c>
      <c r="ADR24" s="13" t="n">
        <v>481475.869</v>
      </c>
      <c r="ADS24" s="13" t="n">
        <v>481749.17</v>
      </c>
      <c r="ADT24" s="13" t="n">
        <v>481985.337</v>
      </c>
      <c r="ADU24" s="13" t="n">
        <v>482276.313</v>
      </c>
      <c r="ADV24" s="13" t="n">
        <v>482559.738</v>
      </c>
      <c r="ADW24" s="13" t="n">
        <v>482893.911</v>
      </c>
      <c r="ADX24" s="13" t="n">
        <v>483057.34</v>
      </c>
      <c r="ADY24" s="13" t="n">
        <v>483424.522</v>
      </c>
      <c r="ADZ24" s="13" t="n">
        <v>483708.844</v>
      </c>
      <c r="AEA24" s="13" t="n">
        <v>483924.306</v>
      </c>
      <c r="AEB24" s="13" t="n">
        <v>484152.453</v>
      </c>
      <c r="AEC24" s="13" t="n">
        <v>484433.285</v>
      </c>
      <c r="AED24" s="13" t="n">
        <v>484719.369</v>
      </c>
      <c r="AEE24" s="13" t="n">
        <v>484945.161</v>
      </c>
      <c r="AEF24" s="13" t="n">
        <v>485122.596</v>
      </c>
      <c r="AEG24" s="13" t="n">
        <v>485354.623</v>
      </c>
      <c r="AEH24" s="13" t="n">
        <v>485593.365</v>
      </c>
      <c r="AEI24" s="13" t="n">
        <v>485780.663</v>
      </c>
      <c r="AEJ24" s="13" t="n">
        <v>486095.06</v>
      </c>
      <c r="AEK24" s="13" t="n">
        <v>486521.173</v>
      </c>
      <c r="AEL24" s="13" t="n">
        <v>486707.605</v>
      </c>
      <c r="AEM24" s="13" t="n">
        <v>486959.027</v>
      </c>
      <c r="AEN24" s="13" t="n">
        <v>487169.756</v>
      </c>
      <c r="AEO24" s="126" t="n"/>
      <c r="AEP24" s="13" t="n">
        <v>487420.754</v>
      </c>
      <c r="AEQ24" s="13" t="n">
        <v>487692.488</v>
      </c>
      <c r="AER24" s="13" t="n">
        <v>487905.663</v>
      </c>
      <c r="AES24" s="13" t="n">
        <v>488129.572</v>
      </c>
      <c r="AET24" s="13" t="n">
        <v>488332.347</v>
      </c>
      <c r="AEU24" s="13" t="n">
        <v>488533.635</v>
      </c>
      <c r="AEV24" s="13" t="n">
        <v>488745.227</v>
      </c>
      <c r="AEW24" s="13" t="n">
        <v>488969.418</v>
      </c>
      <c r="AEX24" s="13" t="n">
        <v>489202.775</v>
      </c>
      <c r="AEY24" s="13" t="n">
        <v>489582.206</v>
      </c>
      <c r="AEZ24" s="13" t="n">
        <v>489847.351</v>
      </c>
      <c r="AFA24" s="13" t="n">
        <v>489990.773</v>
      </c>
      <c r="AFB24" s="13" t="n">
        <v>490237.742</v>
      </c>
      <c r="AFC24" s="13" t="n">
        <v>490390.455</v>
      </c>
      <c r="AFD24" s="13" t="n">
        <v>490682.938</v>
      </c>
      <c r="AFE24" s="13" t="n">
        <v>490941.894</v>
      </c>
      <c r="AFF24" s="13" t="n">
        <v>491130.106</v>
      </c>
      <c r="AFG24" s="13" t="n">
        <v>491490.567</v>
      </c>
      <c r="AFH24" s="13" t="n">
        <v>491799.8</v>
      </c>
      <c r="AFI24" s="13" t="n">
        <v>492119.348</v>
      </c>
      <c r="AFJ24" s="13" t="n">
        <v>492274.813</v>
      </c>
      <c r="AFK24" s="13" t="n">
        <v>492476.942</v>
      </c>
      <c r="AFL24" s="13" t="n">
        <v>492725.788</v>
      </c>
      <c r="AFM24" s="13" t="n">
        <v>492971.138</v>
      </c>
      <c r="AFN24" s="13" t="n">
        <v>493372.21</v>
      </c>
      <c r="AFO24" s="13" t="n">
        <v>493510.266</v>
      </c>
      <c r="AFP24" s="13" t="n">
        <v>493742.534</v>
      </c>
      <c r="AFQ24" s="13" t="n">
        <v>493974.339</v>
      </c>
      <c r="AFR24" s="13" t="n">
        <v>494160.155</v>
      </c>
      <c r="AFS24" s="13" t="n">
        <v>494378.408</v>
      </c>
      <c r="AFT24" s="13" t="n">
        <v>494607.414</v>
      </c>
      <c r="AFU24" s="126" t="n"/>
      <c r="AFV24" s="13" t="n">
        <v>494760.305</v>
      </c>
      <c r="AFW24" s="13" t="n">
        <v>494926.599</v>
      </c>
      <c r="AFX24" s="13" t="n">
        <v>495161.948</v>
      </c>
      <c r="AFY24" s="13" t="n">
        <v>495350.099</v>
      </c>
      <c r="AFZ24" s="13" t="n">
        <v>495653.297</v>
      </c>
      <c r="AGA24" s="13" t="n">
        <v>495841.016</v>
      </c>
      <c r="AGB24" s="13" t="n">
        <v>496112.395</v>
      </c>
      <c r="AGC24" s="13" t="n">
        <v>496271.951</v>
      </c>
      <c r="AGD24" s="13" t="n">
        <v>496442.386</v>
      </c>
      <c r="AGE24" s="13" t="n">
        <v>496641.178</v>
      </c>
      <c r="AGF24" s="13" t="n">
        <v>496884.65</v>
      </c>
      <c r="AGG24" s="13" t="n">
        <v>497147.005</v>
      </c>
      <c r="AGH24" s="13" t="n">
        <v>497430.851</v>
      </c>
      <c r="AGI24" s="13" t="n">
        <v>497636.644</v>
      </c>
      <c r="AGJ24" s="13" t="n">
        <v>497809.74</v>
      </c>
      <c r="AGK24" s="13" t="n">
        <v>498051.444</v>
      </c>
      <c r="AGL24" s="13" t="n">
        <v>498233.856</v>
      </c>
      <c r="AGM24" s="13" t="n">
        <v>498556.453</v>
      </c>
      <c r="AGN24" s="13" t="n">
        <v>498712.853</v>
      </c>
      <c r="AGO24" s="13" t="n">
        <v>498967.709</v>
      </c>
      <c r="AGP24" s="13" t="n">
        <v>499242.998</v>
      </c>
      <c r="AGQ24" s="13" t="n">
        <v>499655.632</v>
      </c>
      <c r="AGR24" s="13" t="n">
        <v>499942.617</v>
      </c>
      <c r="AGS24" s="13" t="n">
        <v>500183.546</v>
      </c>
      <c r="AGT24" s="13" t="n">
        <v>500336.751</v>
      </c>
      <c r="AGU24" s="13" t="n">
        <v>500745.839</v>
      </c>
      <c r="AGV24" s="13" t="n">
        <v>501041.275</v>
      </c>
      <c r="AGW24" s="13" t="n">
        <v>501345.998</v>
      </c>
      <c r="AGX24" s="13" t="n">
        <v>501630.659</v>
      </c>
      <c r="AGY24" s="13" t="n">
        <v>501819.702</v>
      </c>
      <c r="AGZ24" s="126" t="n"/>
      <c r="AHA24" s="13" t="n">
        <v>502039.959</v>
      </c>
      <c r="AHB24" s="13" t="n">
        <v>502299.373</v>
      </c>
      <c r="AHC24" s="13" t="n">
        <v>502533.091</v>
      </c>
      <c r="AHD24" s="13" t="n">
        <v>502757.659</v>
      </c>
      <c r="AHE24" s="13" t="n">
        <v>503180.202</v>
      </c>
      <c r="AHF24" s="13" t="n">
        <v>503332.943</v>
      </c>
      <c r="AHG24" s="13" t="n">
        <v>503534.616</v>
      </c>
      <c r="AHH24" s="13" t="n">
        <v>503761.878</v>
      </c>
      <c r="AHI24" s="13" t="n">
        <v>504324.317</v>
      </c>
      <c r="AHJ24" s="13" t="n">
        <v>504584.876</v>
      </c>
      <c r="AHK24" s="13" t="n">
        <v>504715.012</v>
      </c>
      <c r="AHL24" s="13" t="n">
        <v>505050.315</v>
      </c>
      <c r="AHM24" s="13" t="n">
        <v>505185.403</v>
      </c>
      <c r="AHN24" s="13" t="n">
        <v>505364.567</v>
      </c>
      <c r="AHO24" s="13" t="n">
        <v>505719.169</v>
      </c>
      <c r="AHP24" s="13" t="n">
        <v>505974.536</v>
      </c>
      <c r="AHQ24" s="13" t="n">
        <v>506149.941</v>
      </c>
      <c r="AHR24" s="13" t="n">
        <v>506471.486</v>
      </c>
      <c r="AHS24" s="13" t="n">
        <v>506704.4</v>
      </c>
      <c r="AHT24" s="13" t="n">
        <v>506896.131</v>
      </c>
      <c r="AHU24" s="13" t="n">
        <v>507237.541</v>
      </c>
      <c r="AHV24" s="13" t="n">
        <v>507451.883</v>
      </c>
      <c r="AHW24" s="13" t="n">
        <v>507732.534</v>
      </c>
      <c r="AHX24" s="13" t="n">
        <v>508016.025</v>
      </c>
      <c r="AHY24" s="13" t="n">
        <v>508083.79</v>
      </c>
      <c r="AHZ24" s="13" t="n">
        <v>508207.982</v>
      </c>
      <c r="AIA24" s="13" t="n">
        <v>508466.248</v>
      </c>
      <c r="AIB24" s="13" t="n">
        <v>508577.378</v>
      </c>
      <c r="AIC24" s="13" t="n">
        <v>508854.54</v>
      </c>
      <c r="AID24" s="13" t="n">
        <v>509114.632</v>
      </c>
      <c r="AIE24" s="13" t="n">
        <v>509475.957</v>
      </c>
      <c r="AIF24" s="126" t="n"/>
      <c r="AIG24" s="13" t="n">
        <v>509661.272</v>
      </c>
      <c r="AIH24" s="13" t="n">
        <v>509875.62</v>
      </c>
      <c r="AII24" s="13" t="n">
        <v>510085.553</v>
      </c>
      <c r="AIJ24" s="13" t="n">
        <v>510326.981</v>
      </c>
      <c r="AIK24" s="13" t="n">
        <v>510591.282</v>
      </c>
      <c r="AIL24" s="13" t="n">
        <v>510762.33</v>
      </c>
      <c r="AIM24" s="13" t="n">
        <v>511119.124</v>
      </c>
      <c r="AIN24" s="13" t="n">
        <v>511424.398</v>
      </c>
      <c r="AIO24" s="13" t="n">
        <v>511715.73</v>
      </c>
      <c r="AIP24" s="13" t="n">
        <v>512189.496</v>
      </c>
      <c r="AIQ24" s="13" t="n">
        <v>512423.536</v>
      </c>
      <c r="AIR24" s="13" t="n">
        <v>512629.467</v>
      </c>
      <c r="AIS24" s="13" t="n">
        <v>512832.522</v>
      </c>
      <c r="AIT24" s="13" t="n">
        <v>513051.688</v>
      </c>
      <c r="AIU24" s="13" t="n">
        <v>513128.874</v>
      </c>
      <c r="AIV24" s="13" t="n">
        <v>513280.196</v>
      </c>
      <c r="AIW24" s="13" t="n">
        <v>513409.564</v>
      </c>
      <c r="AIX24" s="13" t="n">
        <v>513562.418</v>
      </c>
      <c r="AIY24" s="13" t="n">
        <v>513898.081</v>
      </c>
      <c r="AIZ24" s="13" t="n">
        <v>514174.437</v>
      </c>
      <c r="AJA24" s="13" t="n">
        <v>514427.961</v>
      </c>
      <c r="AJB24" s="13" t="n">
        <v>514605.871</v>
      </c>
      <c r="AJC24" s="13" t="n">
        <v>514824.157</v>
      </c>
      <c r="AJD24" s="13" t="n">
        <v>515107.893</v>
      </c>
      <c r="AJE24" s="13" t="n">
        <v>515281.69</v>
      </c>
      <c r="AJF24" s="13" t="n">
        <v>515462.366</v>
      </c>
      <c r="AJG24" s="13" t="n">
        <v>515754.144</v>
      </c>
      <c r="AJH24" s="13" t="n">
        <v>515939.163</v>
      </c>
      <c r="AJI24" s="13" t="n">
        <v>516254.429</v>
      </c>
      <c r="AJJ24" s="13" t="n">
        <v>516583.361</v>
      </c>
      <c r="AJK24" s="13" t="n">
        <v>516892.761</v>
      </c>
      <c r="AJL24" s="126" t="n"/>
      <c r="AJM24" s="13" t="n">
        <v>517069.518</v>
      </c>
      <c r="AJN24" s="13" t="n">
        <v>517266.278</v>
      </c>
      <c r="AJO24" s="13" t="n">
        <v>517452.172</v>
      </c>
      <c r="AJP24" s="13" t="n">
        <v>517674.4</v>
      </c>
      <c r="AJQ24" s="13" t="n">
        <v>518126.512</v>
      </c>
      <c r="AJR24" s="13" t="n">
        <v>518354.381</v>
      </c>
      <c r="AJS24" s="13" t="n">
        <v>518580.63</v>
      </c>
      <c r="AJT24" s="13" t="n">
        <v>518820.976</v>
      </c>
      <c r="AJU24" s="13" t="n">
        <v>519087.356</v>
      </c>
      <c r="AJV24" s="13" t="n">
        <v>519317.378</v>
      </c>
      <c r="AJW24" s="13" t="n">
        <v>519561.98</v>
      </c>
      <c r="AJX24" s="13" t="n">
        <v>519851.304</v>
      </c>
      <c r="AJY24" s="13" t="n">
        <v>520204.177</v>
      </c>
      <c r="AJZ24" s="13" t="n">
        <v>520505.299</v>
      </c>
      <c r="AKA24" s="13" t="n">
        <v>520676.839</v>
      </c>
      <c r="AKB24" s="13" t="n">
        <v>520938.179</v>
      </c>
      <c r="AKC24" s="13" t="n">
        <v>521133.642</v>
      </c>
      <c r="AKD24" s="13" t="n">
        <v>521300.617</v>
      </c>
      <c r="AKE24" s="13" t="n">
        <v>521465.844</v>
      </c>
      <c r="AKF24" s="13" t="n">
        <v>521739.191</v>
      </c>
      <c r="AKG24" s="13" t="n">
        <v>521933.382</v>
      </c>
      <c r="AKH24" s="13" t="n">
        <v>522148.639</v>
      </c>
      <c r="AKI24" s="13" t="n">
        <v>522464.55</v>
      </c>
      <c r="AKJ24" s="13" t="n">
        <v>522641.531</v>
      </c>
      <c r="AKK24" s="13" t="n">
        <v>523025.66</v>
      </c>
      <c r="AKL24" s="13" t="n">
        <v>523190.449</v>
      </c>
      <c r="AKM24" s="13" t="n">
        <v>523460.048</v>
      </c>
      <c r="AKN24" s="13" t="n">
        <v>523767.695</v>
      </c>
      <c r="AKO24" s="126" t="n"/>
      <c r="AKP24" s="13" t="n">
        <v>523943.575</v>
      </c>
      <c r="AKQ24" s="13" t="n">
        <v>524134.466</v>
      </c>
      <c r="AKR24" s="13" t="n">
        <v>524348.412</v>
      </c>
      <c r="AKS24" s="13" t="n">
        <v>524561.923</v>
      </c>
      <c r="AKT24" s="13" t="n">
        <v>524789.374</v>
      </c>
      <c r="AKU24" s="13" t="n">
        <v>525033.9840000001</v>
      </c>
      <c r="AKV24" s="13" t="n">
        <v>525274.0110000001</v>
      </c>
      <c r="AKW24" s="13" t="n">
        <v>525453.395</v>
      </c>
      <c r="AKX24" s="13" t="n">
        <v>525700.241</v>
      </c>
      <c r="AKY24" s="13" t="n">
        <v>525887.222</v>
      </c>
      <c r="AKZ24" s="13" t="n">
        <v>526081.662</v>
      </c>
      <c r="ALA24" s="13" t="n">
        <v>526288.362</v>
      </c>
      <c r="ALB24" s="13" t="n">
        <v>526581.317</v>
      </c>
      <c r="ALC24" s="13" t="n">
        <v>526817.273</v>
      </c>
      <c r="ALD24" s="13" t="n">
        <v>526952.78</v>
      </c>
      <c r="ALE24" s="13" t="n">
        <v>527303.325</v>
      </c>
      <c r="ALF24" s="13" t="n">
        <v>527500.985</v>
      </c>
      <c r="ALG24" s="13" t="n">
        <v>527739.422</v>
      </c>
      <c r="ALH24" s="13" t="n">
        <v>528009.662</v>
      </c>
      <c r="ALI24" s="13" t="n">
        <v>528191.593</v>
      </c>
      <c r="ALJ24" s="13" t="n">
        <v>528458.0060000001</v>
      </c>
      <c r="ALK24" s="13" t="n">
        <v>528611.216</v>
      </c>
      <c r="ALL24" s="13" t="n">
        <v>530920.405</v>
      </c>
      <c r="ALM24" s="13" t="n">
        <v>531166.005</v>
      </c>
      <c r="ALN24" s="13" t="n">
        <v>531363.005</v>
      </c>
      <c r="ALO24" s="13" t="n">
        <v>531463.797</v>
      </c>
      <c r="ALP24" s="13" t="n">
        <v>531690.597</v>
      </c>
      <c r="ALQ24" s="13" t="n">
        <v>531947.197</v>
      </c>
      <c r="ALR24" s="13" t="n">
        <v>532026.597</v>
      </c>
      <c r="ALS24" s="13" t="n">
        <v>532168.397</v>
      </c>
      <c r="ALT24" s="13" t="n">
        <v>532441.4939999999</v>
      </c>
      <c r="ALU24" s="126" t="n"/>
      <c r="ALV24" s="13" t="n">
        <v>532704.11</v>
      </c>
      <c r="ALW24" s="13" t="n">
        <v>532864.519</v>
      </c>
      <c r="ALX24" s="13" t="n">
        <v>533045.035</v>
      </c>
      <c r="ALY24" s="13" t="n">
        <v>533293.814</v>
      </c>
      <c r="ALZ24" s="13" t="n">
        <v>533405.682</v>
      </c>
      <c r="AMA24" s="13" t="n">
        <v>533580.7929999999</v>
      </c>
      <c r="AMB24" s="13" t="n">
        <v>533836.4449999999</v>
      </c>
      <c r="AMC24" s="13" t="n">
        <v>534044.273</v>
      </c>
      <c r="AMD24" s="13" t="n">
        <v>534268.243</v>
      </c>
      <c r="AME24" s="13" t="n">
        <v>534474.694</v>
      </c>
      <c r="AMF24" s="13" t="n">
        <v>534928.553</v>
      </c>
      <c r="AMG24" s="13" t="n">
        <v>535099.901</v>
      </c>
      <c r="AMH24" s="13" t="n">
        <v>535315.3689999999</v>
      </c>
      <c r="AMI24" s="13" t="n">
        <v>535529.681</v>
      </c>
      <c r="AMJ24" s="13" t="n">
        <v>535768.349</v>
      </c>
      <c r="AMK24" s="13" t="n">
        <v>536027.669</v>
      </c>
      <c r="AML24" s="13" t="n">
        <v>536288.7120000001</v>
      </c>
      <c r="AMM24" s="13" t="n">
        <v>536592.748</v>
      </c>
      <c r="AMN24" s="13" t="n">
        <v>536795.0600000001</v>
      </c>
      <c r="AMO24" s="13" t="n">
        <v>537010.325</v>
      </c>
      <c r="AMP24" s="13" t="n">
        <v>537230.344</v>
      </c>
      <c r="AMQ24" s="13" t="n">
        <v>537427.029</v>
      </c>
      <c r="AMR24" s="13" t="n">
        <v>537708.252</v>
      </c>
      <c r="AMS24" s="13" t="n">
        <v>538027.871</v>
      </c>
      <c r="AMT24" s="13" t="n">
        <v>538147.5</v>
      </c>
      <c r="AMU24" s="13" t="n">
        <v>538351.3370000001</v>
      </c>
      <c r="AMV24" s="13" t="n">
        <v>538661.09</v>
      </c>
      <c r="AMW24" s="13" t="n">
        <v>538824.7709999999</v>
      </c>
      <c r="AMX24" s="13" t="n">
        <v>539029.366</v>
      </c>
      <c r="AMY24" s="13" t="n">
        <v>539219.632</v>
      </c>
      <c r="AMZ24" s="126" t="n"/>
      <c r="ANA24" s="13" t="n">
        <v>539390.746</v>
      </c>
      <c r="ANB24" s="13" t="n">
        <v>539691.37</v>
      </c>
      <c r="ANC24" s="13" t="n">
        <v>539791.8590000001</v>
      </c>
      <c r="AND24" s="13" t="n">
        <v>539989.115</v>
      </c>
      <c r="ANE24" s="13" t="n">
        <v>540103.692</v>
      </c>
      <c r="ANF24" s="13" t="n">
        <v>540231.417</v>
      </c>
      <c r="ANG24" s="13" t="n">
        <v>540388.809</v>
      </c>
      <c r="ANH24" s="13" t="n">
        <v>540575.765</v>
      </c>
      <c r="ANI24" s="13" t="n">
        <v>540709.177</v>
      </c>
      <c r="ANJ24" s="13" t="n">
        <v>540900.863</v>
      </c>
      <c r="ANK24" s="13" t="n">
        <v>541070.824</v>
      </c>
      <c r="ANL24" s="13" t="n">
        <v>541157.344</v>
      </c>
      <c r="ANM24" s="13" t="n">
        <v>541318.108</v>
      </c>
      <c r="ANN24" s="13" t="n">
        <v>541528.26</v>
      </c>
      <c r="ANO24" s="13" t="n">
        <v>541805.081</v>
      </c>
      <c r="ANP24" s="13" t="n">
        <v>541925.801</v>
      </c>
      <c r="ANQ24" s="13" t="n">
        <v>542075.637</v>
      </c>
      <c r="ANR24" s="13" t="n">
        <v>542278.1850000001</v>
      </c>
      <c r="ANS24" s="13" t="n">
        <v>542461.917</v>
      </c>
      <c r="ANT24" s="13" t="n">
        <v>542720.4889999999</v>
      </c>
      <c r="ANU24" s="13" t="n">
        <v>542925.072</v>
      </c>
      <c r="ANV24" s="13" t="n">
        <v>543158.791</v>
      </c>
      <c r="ANW24" s="13" t="n">
        <v>543355.509</v>
      </c>
      <c r="ANX24" s="13" t="n">
        <v>543490.693</v>
      </c>
      <c r="ANY24" s="13" t="n">
        <v>543879.398</v>
      </c>
      <c r="ANZ24" s="13" t="n">
        <v>544123.868</v>
      </c>
      <c r="AOA24" s="13" t="n">
        <v>544215.181</v>
      </c>
      <c r="AOB24" s="13" t="n">
        <v>544379.645</v>
      </c>
      <c r="AOC24" s="13" t="n">
        <v>544624.767</v>
      </c>
      <c r="AOD24" s="13" t="n">
        <v>544827.3689999999</v>
      </c>
      <c r="AOE24" t="n">
        <v>544827.3689999999</v>
      </c>
      <c r="AOF24" t="n">
        <v>545945.4889999999</v>
      </c>
    </row>
    <row r="25">
      <c r="A25" s="157" t="n"/>
      <c r="C25" s="6" t="inlineStr">
        <is>
          <t>AGO 2 SALES</t>
        </is>
      </c>
      <c r="D25" s="16">
        <f>D24-D23</f>
        <v/>
      </c>
      <c r="E25" s="16">
        <f>E24-E23</f>
        <v/>
      </c>
      <c r="F25" s="16">
        <f>F24-F23</f>
        <v/>
      </c>
      <c r="G25" s="16">
        <f>G24-G23</f>
        <v/>
      </c>
      <c r="H25" s="16">
        <f>H24-H23</f>
        <v/>
      </c>
      <c r="I25" s="16">
        <f>I24-I23</f>
        <v/>
      </c>
      <c r="J25" s="16">
        <f>J24-J23</f>
        <v/>
      </c>
      <c r="K25" s="16">
        <f>K24-K23</f>
        <v/>
      </c>
      <c r="L25" s="16">
        <f>L24-L23</f>
        <v/>
      </c>
      <c r="M25" s="16">
        <f>M24-M23</f>
        <v/>
      </c>
      <c r="N25" s="16">
        <f>N24-N23</f>
        <v/>
      </c>
      <c r="O25" s="16">
        <f>O24-O23</f>
        <v/>
      </c>
      <c r="P25" s="16">
        <f>P24-P23</f>
        <v/>
      </c>
      <c r="Q25" s="16">
        <f>Q24-Q23</f>
        <v/>
      </c>
      <c r="R25" s="16">
        <f>R24-R23</f>
        <v/>
      </c>
      <c r="S25" s="16">
        <f>S24-S23</f>
        <v/>
      </c>
      <c r="T25" s="16">
        <f>T24-T23</f>
        <v/>
      </c>
      <c r="U25" s="16">
        <f>U24-U23</f>
        <v/>
      </c>
      <c r="V25" s="16">
        <f>V24-V23</f>
        <v/>
      </c>
      <c r="W25" s="16">
        <f>W24-W23</f>
        <v/>
      </c>
      <c r="X25" s="16">
        <f>X24-X23</f>
        <v/>
      </c>
      <c r="Y25" s="16">
        <f>Y24-Y23</f>
        <v/>
      </c>
      <c r="Z25" s="16">
        <f>Z24-Z23</f>
        <v/>
      </c>
      <c r="AA25" s="16">
        <f>AA24-AA23</f>
        <v/>
      </c>
      <c r="AB25" s="16">
        <f>AB24-AB23</f>
        <v/>
      </c>
      <c r="AC25" s="16">
        <f>AC24-AC23</f>
        <v/>
      </c>
      <c r="AD25" s="16">
        <f>AD24-AD23</f>
        <v/>
      </c>
      <c r="AE25" s="16">
        <f>AE24-AE23</f>
        <v/>
      </c>
      <c r="AF25" s="16">
        <f>AF24-AF23</f>
        <v/>
      </c>
      <c r="AG25" s="16">
        <f>AG24-AG23</f>
        <v/>
      </c>
      <c r="AH25" s="16">
        <f>AH24-AH23</f>
        <v/>
      </c>
      <c r="AI25" s="17">
        <f>SUM(D25:AH25)</f>
        <v/>
      </c>
      <c r="AJ25" s="16">
        <f>AJ24-AJ23</f>
        <v/>
      </c>
      <c r="AK25" s="16">
        <f>AK24-AK23</f>
        <v/>
      </c>
      <c r="AL25" s="16">
        <f>AL24-AL23</f>
        <v/>
      </c>
      <c r="AM25" s="16">
        <f>AM24-AM23</f>
        <v/>
      </c>
      <c r="AN25" s="16">
        <f>AN24-AN23</f>
        <v/>
      </c>
      <c r="AO25" s="16">
        <f>AO24-AO23</f>
        <v/>
      </c>
      <c r="AP25" s="16">
        <f>AP24-AP23</f>
        <v/>
      </c>
      <c r="AQ25" s="16">
        <f>AQ24-AQ23</f>
        <v/>
      </c>
      <c r="AR25" s="16">
        <f>AR24-AR23</f>
        <v/>
      </c>
      <c r="AS25" s="16">
        <f>AS24-AS23</f>
        <v/>
      </c>
      <c r="AT25" s="16">
        <f>AT24-AT23</f>
        <v/>
      </c>
      <c r="AU25" s="16">
        <f>AU24-AU23</f>
        <v/>
      </c>
      <c r="AV25" s="16">
        <f>AV24-AV23</f>
        <v/>
      </c>
      <c r="AW25" s="16">
        <f>AW24-AW23</f>
        <v/>
      </c>
      <c r="AX25" s="16">
        <f>AX24-AX23</f>
        <v/>
      </c>
      <c r="AY25" s="16">
        <f>AY24-AY23</f>
        <v/>
      </c>
      <c r="AZ25" s="16">
        <f>AZ24-AZ23</f>
        <v/>
      </c>
      <c r="BA25" s="16">
        <f>BA24-BA23</f>
        <v/>
      </c>
      <c r="BB25" s="16">
        <f>BB24-BB23</f>
        <v/>
      </c>
      <c r="BC25" s="16">
        <f>BC24-BC23</f>
        <v/>
      </c>
      <c r="BD25" s="16">
        <f>BD24-BD23</f>
        <v/>
      </c>
      <c r="BE25" s="16">
        <f>BE24-BE23</f>
        <v/>
      </c>
      <c r="BF25" s="16">
        <f>BF24-BF23</f>
        <v/>
      </c>
      <c r="BG25" s="16">
        <f>BG24-BG23</f>
        <v/>
      </c>
      <c r="BH25" s="16">
        <f>BH24-BH23</f>
        <v/>
      </c>
      <c r="BI25" s="16">
        <f>BI24-BI23</f>
        <v/>
      </c>
      <c r="BJ25" s="16">
        <f>BJ24-BJ23</f>
        <v/>
      </c>
      <c r="BK25" s="16">
        <f>BK24-BK23</f>
        <v/>
      </c>
      <c r="BL25" s="16">
        <f>BL24-BL23</f>
        <v/>
      </c>
      <c r="BM25" s="16">
        <f>BM24-BM23</f>
        <v/>
      </c>
      <c r="BN25" s="89">
        <f>SUM(AJ25:BM25)</f>
        <v/>
      </c>
      <c r="BO25" s="16">
        <f>BO24-BO23</f>
        <v/>
      </c>
      <c r="BP25" s="16">
        <f>BP24-BP23</f>
        <v/>
      </c>
      <c r="BQ25" s="16">
        <f>BQ24-BQ23</f>
        <v/>
      </c>
      <c r="BR25" s="16">
        <f>BR24-BR23</f>
        <v/>
      </c>
      <c r="BS25" s="16">
        <f>BS24-BS23</f>
        <v/>
      </c>
      <c r="BT25" s="16">
        <f>BT24-BT23</f>
        <v/>
      </c>
      <c r="BU25" s="16">
        <f>BU24-BU23</f>
        <v/>
      </c>
      <c r="BV25" s="16">
        <f>BV24-BV23</f>
        <v/>
      </c>
      <c r="BW25" s="16">
        <f>BW24-BW23</f>
        <v/>
      </c>
      <c r="BX25" s="16">
        <f>BX24-BX23</f>
        <v/>
      </c>
      <c r="BY25" s="16">
        <f>BY24-BY23</f>
        <v/>
      </c>
      <c r="BZ25" s="16">
        <f>BZ24-BZ23</f>
        <v/>
      </c>
      <c r="CA25" s="16">
        <f>CA24-CA23</f>
        <v/>
      </c>
      <c r="CB25" s="16">
        <f>CB24-CB23</f>
        <v/>
      </c>
      <c r="CC25" s="16">
        <f>CC24-CC23</f>
        <v/>
      </c>
      <c r="CD25" s="16">
        <f>CD24-CD23</f>
        <v/>
      </c>
      <c r="CE25" s="16">
        <f>CE24-CE23</f>
        <v/>
      </c>
      <c r="CF25" s="16">
        <f>CF24-CF23</f>
        <v/>
      </c>
      <c r="CG25" s="16">
        <f>CG24-CG23</f>
        <v/>
      </c>
      <c r="CH25" s="16">
        <f>CH24-CH23</f>
        <v/>
      </c>
      <c r="CI25" s="16">
        <f>CI24-CI23</f>
        <v/>
      </c>
      <c r="CJ25" s="16">
        <f>CJ24-CJ23</f>
        <v/>
      </c>
      <c r="CK25" s="16">
        <f>CK24-CK23</f>
        <v/>
      </c>
      <c r="CL25" s="16">
        <f>CL24-CL23</f>
        <v/>
      </c>
      <c r="CM25" s="16">
        <f>CM24-CM23</f>
        <v/>
      </c>
      <c r="CN25" s="16">
        <f>CN24-CN23</f>
        <v/>
      </c>
      <c r="CO25" s="16">
        <f>CO24-CO23</f>
        <v/>
      </c>
      <c r="CP25" s="16">
        <f>CP24-CP23</f>
        <v/>
      </c>
      <c r="CQ25" s="16">
        <f>CQ24-CQ23</f>
        <v/>
      </c>
      <c r="CR25" s="16">
        <f>CR24-CR23</f>
        <v/>
      </c>
      <c r="CS25" s="16">
        <f>CS24-CS23</f>
        <v/>
      </c>
      <c r="CT25" s="89">
        <f>SUM(BO25:CS25)</f>
        <v/>
      </c>
      <c r="CU25" s="16">
        <f>CU24-CU23</f>
        <v/>
      </c>
      <c r="CV25" s="16">
        <f>CV24-CV23</f>
        <v/>
      </c>
      <c r="CW25" s="16">
        <f>CW24-CW23</f>
        <v/>
      </c>
      <c r="CX25" s="16">
        <f>CX24-CX23</f>
        <v/>
      </c>
      <c r="CY25" s="16">
        <f>CY24-CY23</f>
        <v/>
      </c>
      <c r="CZ25" s="16">
        <f>CZ24-CZ23</f>
        <v/>
      </c>
      <c r="DA25" s="16">
        <f>DA24-DA23</f>
        <v/>
      </c>
      <c r="DB25" s="16">
        <f>DB24-DB23</f>
        <v/>
      </c>
      <c r="DC25" s="16">
        <f>DC24-DC23</f>
        <v/>
      </c>
      <c r="DD25" s="16">
        <f>DD24-DD23</f>
        <v/>
      </c>
      <c r="DE25" s="16">
        <f>DE24-DE23</f>
        <v/>
      </c>
      <c r="DF25" s="16">
        <f>DF24-DF23</f>
        <v/>
      </c>
      <c r="DG25" s="16">
        <f>DG24-DG23</f>
        <v/>
      </c>
      <c r="DH25" s="16">
        <f>DH24-DH23</f>
        <v/>
      </c>
      <c r="DI25" s="16">
        <f>DI24-DI23</f>
        <v/>
      </c>
      <c r="DJ25" s="16">
        <f>DJ24-DJ23</f>
        <v/>
      </c>
      <c r="DK25" s="16">
        <f>DK24-DK23</f>
        <v/>
      </c>
      <c r="DL25" s="16">
        <f>DL24-DL23</f>
        <v/>
      </c>
      <c r="DM25" s="16">
        <f>DM24-DM23</f>
        <v/>
      </c>
      <c r="DN25" s="16">
        <f>DN24-DN23</f>
        <v/>
      </c>
      <c r="DO25" s="16">
        <f>DO24-DO23</f>
        <v/>
      </c>
      <c r="DP25" s="16">
        <f>DP24-DP23</f>
        <v/>
      </c>
      <c r="DQ25" s="16">
        <f>DQ24-DQ23</f>
        <v/>
      </c>
      <c r="DR25" s="16">
        <f>DR24-DR23</f>
        <v/>
      </c>
      <c r="DS25" s="16">
        <f>DS24-DS23</f>
        <v/>
      </c>
      <c r="DT25" s="16">
        <f>DT24-DT23</f>
        <v/>
      </c>
      <c r="DU25" s="16">
        <f>DU24-DU23</f>
        <v/>
      </c>
      <c r="DV25" s="16">
        <f>DV24-DV23</f>
        <v/>
      </c>
      <c r="DW25" s="16">
        <f>DW24-DW23</f>
        <v/>
      </c>
      <c r="DX25" s="16">
        <f>DX24-DX23</f>
        <v/>
      </c>
      <c r="DY25" s="116">
        <f>SUM(CU25:DX25)</f>
        <v/>
      </c>
      <c r="DZ25" s="16">
        <f>DZ24-DZ23</f>
        <v/>
      </c>
      <c r="EA25" s="16">
        <f>EA24-EA23</f>
        <v/>
      </c>
      <c r="EB25" s="16">
        <f>EB24-EB23</f>
        <v/>
      </c>
      <c r="EC25" s="16">
        <f>EC24-EC23</f>
        <v/>
      </c>
      <c r="ED25" s="16">
        <f>ED24-ED23</f>
        <v/>
      </c>
      <c r="EE25" s="16">
        <f>EE24-EE23</f>
        <v/>
      </c>
      <c r="EF25" s="16">
        <f>EF24-EF23</f>
        <v/>
      </c>
      <c r="EG25" s="16">
        <f>EG24-EG23</f>
        <v/>
      </c>
      <c r="EH25" s="16">
        <f>EH24-EH23</f>
        <v/>
      </c>
      <c r="EI25" s="16">
        <f>EI24-EI23</f>
        <v/>
      </c>
      <c r="EJ25" s="16">
        <f>EJ24-EJ23</f>
        <v/>
      </c>
      <c r="EK25" s="16">
        <f>EK24-EK23</f>
        <v/>
      </c>
      <c r="EL25" s="16">
        <f>EL24-EL23</f>
        <v/>
      </c>
      <c r="EM25" s="16">
        <f>EM24-EM23</f>
        <v/>
      </c>
      <c r="EN25" s="16">
        <f>EN24-EN23</f>
        <v/>
      </c>
      <c r="EO25" s="16">
        <f>EO24-EO23</f>
        <v/>
      </c>
      <c r="EP25" s="16">
        <f>EP24-EP23</f>
        <v/>
      </c>
      <c r="EQ25" s="16">
        <f>EQ24-EQ23</f>
        <v/>
      </c>
      <c r="ER25" s="16">
        <f>ER24-ER23</f>
        <v/>
      </c>
      <c r="ES25" s="16">
        <f>ES24-ES23</f>
        <v/>
      </c>
      <c r="ET25" s="16">
        <f>ET24-ET23</f>
        <v/>
      </c>
      <c r="EU25" s="16">
        <f>EU24-EU23</f>
        <v/>
      </c>
      <c r="EV25" s="16">
        <f>EV24-EV23</f>
        <v/>
      </c>
      <c r="EW25" s="16">
        <f>EW24-EW23</f>
        <v/>
      </c>
      <c r="EX25" s="16">
        <f>EX24-EX23</f>
        <v/>
      </c>
      <c r="EY25" s="16">
        <f>EY24-EY23</f>
        <v/>
      </c>
      <c r="EZ25" s="16">
        <f>EZ24-EZ23</f>
        <v/>
      </c>
      <c r="FA25" s="16">
        <f>FA24-FA23</f>
        <v/>
      </c>
      <c r="FB25" s="16">
        <f>FB24-FB23</f>
        <v/>
      </c>
      <c r="FC25" s="16">
        <f>FC24-FC23</f>
        <v/>
      </c>
      <c r="FD25" s="16">
        <f>FD24-FD23</f>
        <v/>
      </c>
      <c r="FE25" s="127">
        <f>SUM(DZ25:FD25)</f>
        <v/>
      </c>
      <c r="FF25" s="16">
        <f>FF24-FF23</f>
        <v/>
      </c>
      <c r="FG25" s="16">
        <f>FG24-FG23</f>
        <v/>
      </c>
      <c r="FH25" s="16">
        <f>FH24-FH23</f>
        <v/>
      </c>
      <c r="FI25" s="16">
        <f>FI24-FI23</f>
        <v/>
      </c>
      <c r="FJ25" s="16">
        <f>FJ24-FJ23</f>
        <v/>
      </c>
      <c r="FK25" s="16">
        <f>FK24-FK23</f>
        <v/>
      </c>
      <c r="FL25" s="16">
        <f>FL24-FL23</f>
        <v/>
      </c>
      <c r="FM25" s="16">
        <f>FM24-FM23</f>
        <v/>
      </c>
      <c r="FN25" s="16">
        <f>FN24-FN23</f>
        <v/>
      </c>
      <c r="FO25" s="16">
        <f>FO24-FO23</f>
        <v/>
      </c>
      <c r="FP25" s="16">
        <f>FP24-FP23</f>
        <v/>
      </c>
      <c r="FQ25" s="16">
        <f>FQ24-FQ23</f>
        <v/>
      </c>
      <c r="FR25" s="16">
        <f>FR24-FR23</f>
        <v/>
      </c>
      <c r="FS25" s="16">
        <f>FS24-FS23</f>
        <v/>
      </c>
      <c r="FT25" s="16">
        <f>FT24-FT23</f>
        <v/>
      </c>
      <c r="FU25" s="16">
        <f>FU24-FU23</f>
        <v/>
      </c>
      <c r="FV25" s="16">
        <f>FV24-FV23</f>
        <v/>
      </c>
      <c r="FW25" s="16">
        <f>FW24-FW23</f>
        <v/>
      </c>
      <c r="FX25" s="16">
        <f>FX24-FX23</f>
        <v/>
      </c>
      <c r="FY25" s="16">
        <f>FY24-FY23</f>
        <v/>
      </c>
      <c r="FZ25" s="16">
        <f>FZ24-FZ23</f>
        <v/>
      </c>
      <c r="GA25" s="16">
        <f>GA24-GA23</f>
        <v/>
      </c>
      <c r="GB25" s="16">
        <f>GB24-GB23</f>
        <v/>
      </c>
      <c r="GC25" s="16">
        <f>GC24-GC23</f>
        <v/>
      </c>
      <c r="GD25" s="16">
        <f>GD24-GD23</f>
        <v/>
      </c>
      <c r="GE25" s="16">
        <f>GE24-GE23</f>
        <v/>
      </c>
      <c r="GF25" s="16">
        <f>GF24-GF23</f>
        <v/>
      </c>
      <c r="GG25" s="16">
        <f>GG24-GG23</f>
        <v/>
      </c>
      <c r="GH25" s="16">
        <f>GH24-GH23</f>
        <v/>
      </c>
      <c r="GI25" s="16">
        <f>GI24-GI23</f>
        <v/>
      </c>
      <c r="GJ25" s="16">
        <f>GJ24-GJ23</f>
        <v/>
      </c>
      <c r="GK25" s="126" t="n"/>
      <c r="GL25" s="16">
        <f>GL24-GL23</f>
        <v/>
      </c>
      <c r="GM25" s="16">
        <f>GM24-GM23</f>
        <v/>
      </c>
      <c r="GN25" s="16">
        <f>GN24-GN23</f>
        <v/>
      </c>
      <c r="GO25" s="16">
        <f>GO24-GO23</f>
        <v/>
      </c>
      <c r="GP25" s="16">
        <f>GP24-GP23</f>
        <v/>
      </c>
      <c r="GQ25" s="16">
        <f>GQ24-GQ23</f>
        <v/>
      </c>
      <c r="GR25" s="16">
        <f>GR24-GR23</f>
        <v/>
      </c>
      <c r="GS25" s="16">
        <f>GS24-GS23</f>
        <v/>
      </c>
      <c r="GT25" s="16">
        <f>GT24-GT23</f>
        <v/>
      </c>
      <c r="GU25" s="16">
        <f>GU24-GU23</f>
        <v/>
      </c>
      <c r="GV25" s="16">
        <f>GV24-GV23</f>
        <v/>
      </c>
      <c r="GW25" s="16">
        <f>GW24-GW23</f>
        <v/>
      </c>
      <c r="GX25" s="16">
        <f>GX24-GX23</f>
        <v/>
      </c>
      <c r="GY25" s="16">
        <f>GY24-GY23</f>
        <v/>
      </c>
      <c r="GZ25" s="16">
        <f>GZ24-GZ23</f>
        <v/>
      </c>
      <c r="HA25" s="16">
        <f>HA24-HA23</f>
        <v/>
      </c>
      <c r="HB25" s="16">
        <f>HB24-HB23</f>
        <v/>
      </c>
      <c r="HC25" s="16">
        <f>HC24-HC23</f>
        <v/>
      </c>
      <c r="HD25" s="16">
        <f>HD24-HD23</f>
        <v/>
      </c>
      <c r="HE25" s="16">
        <f>HE24-HE23</f>
        <v/>
      </c>
      <c r="HF25" s="16">
        <f>HF24-HF23</f>
        <v/>
      </c>
      <c r="HG25" s="16">
        <f>HG24-HG23</f>
        <v/>
      </c>
      <c r="HH25" s="16">
        <f>HH24-HH23</f>
        <v/>
      </c>
      <c r="HI25" s="16">
        <f>HI24-HI23</f>
        <v/>
      </c>
      <c r="HJ25" s="16">
        <f>HJ24-HJ23</f>
        <v/>
      </c>
      <c r="HK25" s="16">
        <f>HK24-HK23</f>
        <v/>
      </c>
      <c r="HL25" s="16">
        <f>HL24-HL23</f>
        <v/>
      </c>
      <c r="HM25" s="16">
        <f>HM24-HM23</f>
        <v/>
      </c>
      <c r="HN25" s="16">
        <f>HN24-HN23</f>
        <v/>
      </c>
      <c r="HO25" s="126" t="n"/>
      <c r="HP25" s="16">
        <f>HP24-HP23</f>
        <v/>
      </c>
      <c r="HQ25" s="16">
        <f>HQ24-HQ23</f>
        <v/>
      </c>
      <c r="HR25" s="16">
        <f>HR24-HR23</f>
        <v/>
      </c>
      <c r="HS25" s="16">
        <f>HS24-HS23</f>
        <v/>
      </c>
      <c r="HT25" s="16">
        <f>HT24-HT23</f>
        <v/>
      </c>
      <c r="HU25" s="16">
        <f>HU24-HU23</f>
        <v/>
      </c>
      <c r="HV25" s="16">
        <f>HV24-HV23</f>
        <v/>
      </c>
      <c r="HW25" s="16">
        <f>HW24-HW23</f>
        <v/>
      </c>
      <c r="HX25" s="16">
        <f>HX24-HX23</f>
        <v/>
      </c>
      <c r="HY25" s="16">
        <f>HY24-HY23</f>
        <v/>
      </c>
      <c r="HZ25" s="16">
        <f>HZ24-HZ23</f>
        <v/>
      </c>
      <c r="IA25" s="16">
        <f>IA24-IA23</f>
        <v/>
      </c>
      <c r="IB25" s="16">
        <f>IB24-IB23</f>
        <v/>
      </c>
      <c r="IC25" s="16">
        <f>IC24-IC23</f>
        <v/>
      </c>
      <c r="ID25" s="16">
        <f>ID24-ID23</f>
        <v/>
      </c>
      <c r="IE25" s="16">
        <f>IE24-IE23</f>
        <v/>
      </c>
      <c r="IF25" s="16">
        <f>IF24-IF23</f>
        <v/>
      </c>
      <c r="IG25" s="16">
        <f>IG24-IG23</f>
        <v/>
      </c>
      <c r="IH25" s="16">
        <f>IH24-IH23</f>
        <v/>
      </c>
      <c r="II25" s="16">
        <f>II24-II23</f>
        <v/>
      </c>
      <c r="IJ25" s="16">
        <f>IJ24-IJ23</f>
        <v/>
      </c>
      <c r="IK25" s="16">
        <f>IK24-IK23</f>
        <v/>
      </c>
      <c r="IL25" s="16">
        <f>IL24-IL23</f>
        <v/>
      </c>
      <c r="IM25" s="16">
        <f>IM24-IM23</f>
        <v/>
      </c>
      <c r="IN25" s="16">
        <f>IN24-IN23</f>
        <v/>
      </c>
      <c r="IO25" s="16">
        <f>IO24-IO23</f>
        <v/>
      </c>
      <c r="IP25" s="16">
        <f>IP24-IP23</f>
        <v/>
      </c>
      <c r="IQ25" s="16">
        <f>IQ24-IQ23</f>
        <v/>
      </c>
      <c r="IR25" s="16">
        <f>IR24-IR23</f>
        <v/>
      </c>
      <c r="IS25" s="16">
        <f>IS24-IS23</f>
        <v/>
      </c>
      <c r="IT25" s="16">
        <f>IT24-IT23</f>
        <v/>
      </c>
      <c r="IU25" s="126" t="n"/>
      <c r="IV25" s="16">
        <f>IV24-IV23</f>
        <v/>
      </c>
      <c r="IW25" s="16">
        <f>IW24-IW23</f>
        <v/>
      </c>
      <c r="IX25" s="16">
        <f>IX24-IX23</f>
        <v/>
      </c>
      <c r="IY25" s="16">
        <f>IY24-IY23</f>
        <v/>
      </c>
      <c r="IZ25" s="16">
        <f>IZ24-IZ23</f>
        <v/>
      </c>
      <c r="JA25" s="16">
        <f>JA24-JA23</f>
        <v/>
      </c>
      <c r="JB25" s="16">
        <f>JB24-JB23</f>
        <v/>
      </c>
      <c r="JC25" s="16">
        <f>JC24-JC23</f>
        <v/>
      </c>
      <c r="JD25" s="16">
        <f>JD24-JD23</f>
        <v/>
      </c>
      <c r="JE25" s="16">
        <f>JE24-JE23</f>
        <v/>
      </c>
      <c r="JF25" s="16">
        <f>JF24-JF23</f>
        <v/>
      </c>
      <c r="JG25" s="16">
        <f>JG24-JG23</f>
        <v/>
      </c>
      <c r="JH25" s="16">
        <f>JH24-JH23</f>
        <v/>
      </c>
      <c r="JI25" s="16">
        <f>JI24-JI23</f>
        <v/>
      </c>
      <c r="JJ25" s="16">
        <f>JJ24-JJ23</f>
        <v/>
      </c>
      <c r="JK25" s="16">
        <f>JK24-JK23</f>
        <v/>
      </c>
      <c r="JL25" s="16">
        <f>JL24-JL23</f>
        <v/>
      </c>
      <c r="JM25" s="16">
        <f>JM24-JM23</f>
        <v/>
      </c>
      <c r="JN25" s="16">
        <f>JN24-JN23</f>
        <v/>
      </c>
      <c r="JO25" s="16">
        <f>JO24-JO23</f>
        <v/>
      </c>
      <c r="JP25" s="16">
        <f>JP24-JP23</f>
        <v/>
      </c>
      <c r="JQ25" s="16">
        <f>JQ24-JQ23</f>
        <v/>
      </c>
      <c r="JR25" s="16">
        <f>JR24-JR23</f>
        <v/>
      </c>
      <c r="JS25" s="16">
        <f>JS24-JS23</f>
        <v/>
      </c>
      <c r="JT25" s="16">
        <f>JT24-JT23</f>
        <v/>
      </c>
      <c r="JU25" s="16">
        <f>JU24-JU23</f>
        <v/>
      </c>
      <c r="JV25" s="16">
        <f>JV24-JV23</f>
        <v/>
      </c>
      <c r="JW25" s="16">
        <f>JW24-JW23</f>
        <v/>
      </c>
      <c r="JX25" s="16">
        <f>JX24-JX23</f>
        <v/>
      </c>
      <c r="JY25" s="16">
        <f>JY24-JY23</f>
        <v/>
      </c>
      <c r="JZ25" s="127">
        <f>SUM(IV25:JY25)</f>
        <v/>
      </c>
      <c r="KA25" s="16">
        <f>KA24-KA23</f>
        <v/>
      </c>
      <c r="KB25" s="16">
        <f>KB24-KB23</f>
        <v/>
      </c>
      <c r="KC25" s="16">
        <f>KC24-KC23</f>
        <v/>
      </c>
      <c r="KD25" s="16">
        <f>KD24-KD23</f>
        <v/>
      </c>
      <c r="KE25" s="16">
        <f>KE24-KE23</f>
        <v/>
      </c>
      <c r="KF25" s="16">
        <f>KF24-KF23</f>
        <v/>
      </c>
      <c r="KG25" s="16">
        <f>KG24-KG23</f>
        <v/>
      </c>
      <c r="KH25" s="16">
        <f>KH24-KH23</f>
        <v/>
      </c>
      <c r="KI25" s="16">
        <f>KI24-KI23</f>
        <v/>
      </c>
      <c r="KJ25" s="16">
        <f>KJ24-KJ23</f>
        <v/>
      </c>
      <c r="KK25" s="16">
        <f>KK24-KK23</f>
        <v/>
      </c>
      <c r="KL25" s="16">
        <f>KL24-KL23</f>
        <v/>
      </c>
      <c r="KM25" s="16">
        <f>KM24-KM23</f>
        <v/>
      </c>
      <c r="KN25" s="16">
        <f>KN24-KN23</f>
        <v/>
      </c>
      <c r="KO25" s="16">
        <f>KO24-KO23</f>
        <v/>
      </c>
      <c r="KP25" s="16">
        <f>KP24-KP23</f>
        <v/>
      </c>
      <c r="KQ25" s="16">
        <f>KQ24-KQ23</f>
        <v/>
      </c>
      <c r="KR25" s="16">
        <f>KR24-KR23</f>
        <v/>
      </c>
      <c r="KS25" s="16">
        <f>KS24-KS23</f>
        <v/>
      </c>
      <c r="KT25" s="16">
        <f>KT24-KT23</f>
        <v/>
      </c>
      <c r="KU25" s="16">
        <f>KU24-KU23</f>
        <v/>
      </c>
      <c r="KV25" s="16">
        <f>KV24-KV23</f>
        <v/>
      </c>
      <c r="KW25" s="16">
        <f>KW24-KW23</f>
        <v/>
      </c>
      <c r="KX25" s="16">
        <f>KX24-KX23</f>
        <v/>
      </c>
      <c r="KY25" s="16">
        <f>KY24-KY23</f>
        <v/>
      </c>
      <c r="KZ25" s="16">
        <f>KZ24-KZ23</f>
        <v/>
      </c>
      <c r="LA25" s="16">
        <f>LA24-LA23</f>
        <v/>
      </c>
      <c r="LB25" s="16">
        <f>LB24-LB23</f>
        <v/>
      </c>
      <c r="LC25" s="16">
        <f>LC24-LC23</f>
        <v/>
      </c>
      <c r="LD25" s="16">
        <f>LD24-LD23</f>
        <v/>
      </c>
      <c r="LE25" s="16">
        <f>LE24-LE23</f>
        <v/>
      </c>
      <c r="LF25" s="127">
        <f>SUM(KA25:LE25)</f>
        <v/>
      </c>
      <c r="LG25" s="16">
        <f>LG24-LG23</f>
        <v/>
      </c>
      <c r="LH25" s="16">
        <f>LH24-LH23</f>
        <v/>
      </c>
      <c r="LI25" s="16">
        <f>LI24-LI23</f>
        <v/>
      </c>
      <c r="LJ25" s="16">
        <f>LJ24-LJ23</f>
        <v/>
      </c>
      <c r="LK25" s="16">
        <f>LK24-LK23</f>
        <v/>
      </c>
      <c r="LL25" s="16">
        <f>LL24-LL23</f>
        <v/>
      </c>
      <c r="LM25" s="16">
        <f>LM24-LM23</f>
        <v/>
      </c>
      <c r="LN25" s="16">
        <f>LN24-LN23</f>
        <v/>
      </c>
      <c r="LO25" s="16">
        <f>LO24-LO23</f>
        <v/>
      </c>
      <c r="LP25" s="16">
        <f>LP24-LP23</f>
        <v/>
      </c>
      <c r="LQ25" s="16">
        <f>LQ24-LQ23</f>
        <v/>
      </c>
      <c r="LR25" s="16">
        <f>LR24-LR23</f>
        <v/>
      </c>
      <c r="LS25" s="16">
        <f>LS24-LS23</f>
        <v/>
      </c>
      <c r="LT25" s="16">
        <f>LT24-LT23</f>
        <v/>
      </c>
      <c r="LU25" s="16">
        <f>LU24-LU23</f>
        <v/>
      </c>
      <c r="LV25" s="16">
        <f>LV24-LV23</f>
        <v/>
      </c>
      <c r="LW25" s="16">
        <f>LW24-LW23</f>
        <v/>
      </c>
      <c r="LX25" s="16">
        <f>LX24-LX23</f>
        <v/>
      </c>
      <c r="LY25" s="16">
        <f>LY24-LY23</f>
        <v/>
      </c>
      <c r="LZ25" s="16">
        <f>LZ24-LZ23</f>
        <v/>
      </c>
      <c r="MA25" s="16">
        <f>MA24-MA23</f>
        <v/>
      </c>
      <c r="MB25" s="16">
        <f>MB24-MB23</f>
        <v/>
      </c>
      <c r="MC25" s="16">
        <f>MC24-MC23</f>
        <v/>
      </c>
      <c r="MD25" s="16">
        <f>MD24-MD23</f>
        <v/>
      </c>
      <c r="ME25" s="16">
        <f>ME24-ME23</f>
        <v/>
      </c>
      <c r="MF25" s="16">
        <f>MF24-MF23</f>
        <v/>
      </c>
      <c r="MG25" s="16">
        <f>MG24-MG23</f>
        <v/>
      </c>
      <c r="MH25" s="16">
        <f>MH24-MH23</f>
        <v/>
      </c>
      <c r="MI25" s="16">
        <f>MI24-MI23</f>
        <v/>
      </c>
      <c r="MJ25" s="16">
        <f>MJ24-MJ23</f>
        <v/>
      </c>
      <c r="MK25" s="127">
        <f>SUM(LF25:MJ25)</f>
        <v/>
      </c>
      <c r="ML25" s="16">
        <f>ML24-ML23</f>
        <v/>
      </c>
      <c r="MM25" s="16">
        <f>MM24-MM23</f>
        <v/>
      </c>
      <c r="MN25" s="16">
        <f>MN24-MN23</f>
        <v/>
      </c>
      <c r="MO25" s="16">
        <f>MO24-MO23</f>
        <v/>
      </c>
      <c r="MP25" s="16">
        <f>MP24-MP23</f>
        <v/>
      </c>
      <c r="MQ25" s="16">
        <f>MQ24-MQ23</f>
        <v/>
      </c>
      <c r="MR25" s="16">
        <f>MR24-MR23</f>
        <v/>
      </c>
      <c r="MS25" s="16">
        <f>MS24-MS23</f>
        <v/>
      </c>
      <c r="MT25" s="16">
        <f>MT24-MT23</f>
        <v/>
      </c>
      <c r="MU25" s="16">
        <f>MU24-MU23</f>
        <v/>
      </c>
      <c r="MV25" s="16">
        <f>MV24-MV23</f>
        <v/>
      </c>
      <c r="MW25" s="16">
        <f>MW24-MW23</f>
        <v/>
      </c>
      <c r="MX25" s="16">
        <f>MX24-MX23</f>
        <v/>
      </c>
      <c r="MY25" s="16">
        <f>MY24-MY23</f>
        <v/>
      </c>
      <c r="MZ25" s="16">
        <f>MZ24-MZ23</f>
        <v/>
      </c>
      <c r="NA25" s="16">
        <f>NA24-NA23</f>
        <v/>
      </c>
      <c r="NB25" s="16">
        <f>NB24-NB23</f>
        <v/>
      </c>
      <c r="NC25" s="16">
        <f>NC24-NC23</f>
        <v/>
      </c>
      <c r="ND25" s="16">
        <f>ND24-ND23</f>
        <v/>
      </c>
      <c r="NE25" s="16">
        <f>NE24-NE23</f>
        <v/>
      </c>
      <c r="NF25" s="16">
        <f>NF24-NF23</f>
        <v/>
      </c>
      <c r="NG25" s="16">
        <f>NG24-NG23</f>
        <v/>
      </c>
      <c r="NH25" s="16">
        <f>NH24-NH23</f>
        <v/>
      </c>
      <c r="NI25" s="16">
        <f>NI24-NI23</f>
        <v/>
      </c>
      <c r="NJ25" s="16">
        <f>NJ24-NJ23</f>
        <v/>
      </c>
      <c r="NK25" s="16">
        <f>NK24-NK23</f>
        <v/>
      </c>
      <c r="NL25" s="16">
        <f>NL24-NL23</f>
        <v/>
      </c>
      <c r="NM25" s="16">
        <f>NM24-NM23</f>
        <v/>
      </c>
      <c r="NN25" s="16">
        <f>NN24-NN23</f>
        <v/>
      </c>
      <c r="NO25" s="16">
        <f>NO24-NO23</f>
        <v/>
      </c>
      <c r="NP25" s="16">
        <f>NP24-NP23</f>
        <v/>
      </c>
      <c r="NQ25" s="127">
        <f>SUM(ML25:NP25)</f>
        <v/>
      </c>
      <c r="NR25" s="16">
        <f>NR24-NR23</f>
        <v/>
      </c>
      <c r="NS25" s="16">
        <f>NS24-NS23</f>
        <v/>
      </c>
      <c r="NT25" s="16">
        <f>NT24-NT23</f>
        <v/>
      </c>
      <c r="NU25" s="16">
        <f>NU24-NU23</f>
        <v/>
      </c>
      <c r="NV25" s="16">
        <f>NV24-NV23</f>
        <v/>
      </c>
      <c r="NW25" s="16">
        <f>NW24-NW23</f>
        <v/>
      </c>
      <c r="NX25" s="16">
        <f>NX24-NX23</f>
        <v/>
      </c>
      <c r="NY25" s="16">
        <f>NY24-NY23</f>
        <v/>
      </c>
      <c r="NZ25" s="16">
        <f>NZ24-NZ23</f>
        <v/>
      </c>
      <c r="OA25" s="16">
        <f>OA24-OA23</f>
        <v/>
      </c>
      <c r="OB25" s="16">
        <f>OB24-OB23</f>
        <v/>
      </c>
      <c r="OC25" s="16">
        <f>OC24-OC23</f>
        <v/>
      </c>
      <c r="OD25" s="16">
        <f>OD24-OD23</f>
        <v/>
      </c>
      <c r="OE25" s="16">
        <f>OE24-OE23</f>
        <v/>
      </c>
      <c r="OF25" s="16">
        <f>OF24-OF23</f>
        <v/>
      </c>
      <c r="OG25" s="16">
        <f>OG24-OG23</f>
        <v/>
      </c>
      <c r="OH25" s="16">
        <f>OH24-OH23</f>
        <v/>
      </c>
      <c r="OI25" s="16">
        <f>OI24-OI23</f>
        <v/>
      </c>
      <c r="OJ25" s="16">
        <f>OJ24-OJ23</f>
        <v/>
      </c>
      <c r="OK25" s="16">
        <f>OK24-OK23</f>
        <v/>
      </c>
      <c r="OL25" s="16">
        <f>OL24-OL23</f>
        <v/>
      </c>
      <c r="OM25" s="16">
        <f>OM24-OM23</f>
        <v/>
      </c>
      <c r="ON25" s="16">
        <f>ON24-ON23</f>
        <v/>
      </c>
      <c r="OO25" s="16">
        <f>OO24-OO23</f>
        <v/>
      </c>
      <c r="OP25" s="16">
        <f>OP24-OP23</f>
        <v/>
      </c>
      <c r="OQ25" s="16">
        <f>OQ24-OQ23</f>
        <v/>
      </c>
      <c r="OR25" s="16">
        <f>OR24-OR23</f>
        <v/>
      </c>
      <c r="OS25" s="16">
        <f>OS24-OS23</f>
        <v/>
      </c>
      <c r="OT25" s="16">
        <f>OT24-OT23</f>
        <v/>
      </c>
      <c r="OU25" s="16">
        <f>OU24-OU23</f>
        <v/>
      </c>
      <c r="OV25" s="16">
        <f>OV24-OV23</f>
        <v/>
      </c>
      <c r="OW25" s="127">
        <f>SUM(NR25:OV25)</f>
        <v/>
      </c>
      <c r="OX25" s="16">
        <f>OX24-OX23</f>
        <v/>
      </c>
      <c r="OY25" s="16">
        <f>OY24-OY23</f>
        <v/>
      </c>
      <c r="OZ25" s="16">
        <f>OZ24-OZ23</f>
        <v/>
      </c>
      <c r="PA25" s="16">
        <f>PA24-PA23</f>
        <v/>
      </c>
      <c r="PB25" s="16">
        <f>PB24-PB23</f>
        <v/>
      </c>
      <c r="PC25" s="16">
        <f>PC24-PC23</f>
        <v/>
      </c>
      <c r="PD25" s="16">
        <f>PD24-PD23</f>
        <v/>
      </c>
      <c r="PE25" s="16">
        <f>PE24-PE23</f>
        <v/>
      </c>
      <c r="PF25" s="16">
        <f>PF24-PF23</f>
        <v/>
      </c>
      <c r="PG25" s="16">
        <f>PG24-PG23</f>
        <v/>
      </c>
      <c r="PH25" s="16">
        <f>PH24-PH23</f>
        <v/>
      </c>
      <c r="PI25" s="16">
        <f>PI24-PI23</f>
        <v/>
      </c>
      <c r="PJ25" s="16">
        <f>PJ24-PJ23</f>
        <v/>
      </c>
      <c r="PK25" s="16">
        <f>PK24-PK23</f>
        <v/>
      </c>
      <c r="PL25" s="16">
        <f>PL24-PL23</f>
        <v/>
      </c>
      <c r="PM25" s="16">
        <f>PM24-PM23</f>
        <v/>
      </c>
      <c r="PN25" s="16">
        <f>PN24-PN23</f>
        <v/>
      </c>
      <c r="PO25" s="16">
        <f>PO24-PO23</f>
        <v/>
      </c>
      <c r="PP25" s="16">
        <f>PP24-PP23</f>
        <v/>
      </c>
      <c r="PQ25" s="16">
        <f>PQ24-PQ23</f>
        <v/>
      </c>
      <c r="PR25" s="16">
        <f>PR24-PR23</f>
        <v/>
      </c>
      <c r="PS25" s="16">
        <f>PS24-PS23</f>
        <v/>
      </c>
      <c r="PT25" s="16">
        <f>PT24-PT23</f>
        <v/>
      </c>
      <c r="PU25" s="16">
        <f>PU24-PU23</f>
        <v/>
      </c>
      <c r="PV25" s="16">
        <f>PV24-PV23</f>
        <v/>
      </c>
      <c r="PW25" s="16">
        <f>PW24-PW23</f>
        <v/>
      </c>
      <c r="PX25" s="16">
        <f>PX24-PX23</f>
        <v/>
      </c>
      <c r="PY25" s="16">
        <f>PY24-PY23</f>
        <v/>
      </c>
      <c r="PZ25" s="16">
        <f>PZ24-PZ23</f>
        <v/>
      </c>
      <c r="QA25" s="16">
        <f>QA24-QA23</f>
        <v/>
      </c>
      <c r="QB25" s="127">
        <f>SUM(OX25:QA25)</f>
        <v/>
      </c>
      <c r="QC25" s="16">
        <f>QC24-QC23</f>
        <v/>
      </c>
      <c r="QD25" s="16">
        <f>QD24-QD23</f>
        <v/>
      </c>
      <c r="QE25" s="16">
        <f>QE24-QE23</f>
        <v/>
      </c>
      <c r="QF25" s="16">
        <f>QF24-QF23</f>
        <v/>
      </c>
      <c r="QG25" s="16">
        <f>QG24-QG23</f>
        <v/>
      </c>
      <c r="QH25" s="16">
        <f>QH24-QH23</f>
        <v/>
      </c>
      <c r="QI25" s="16">
        <f>QI24-QI23</f>
        <v/>
      </c>
      <c r="QJ25" s="16">
        <f>QJ24-QJ23</f>
        <v/>
      </c>
      <c r="QK25" s="16">
        <f>QK24-QK23</f>
        <v/>
      </c>
      <c r="QL25" s="16">
        <f>QL24-QL23</f>
        <v/>
      </c>
      <c r="QM25" s="16">
        <f>QM24-QM23</f>
        <v/>
      </c>
      <c r="QN25" s="16">
        <f>QN24-QN23</f>
        <v/>
      </c>
      <c r="QO25" s="16">
        <f>QO24-QO23</f>
        <v/>
      </c>
      <c r="QP25" s="16">
        <f>QP24-QP23</f>
        <v/>
      </c>
      <c r="QQ25" s="16">
        <f>QQ24-QQ23</f>
        <v/>
      </c>
      <c r="QR25" s="16">
        <f>QR24-QR23</f>
        <v/>
      </c>
      <c r="QS25" s="16">
        <f>QS24-QS23</f>
        <v/>
      </c>
      <c r="QT25" s="16">
        <f>QT24-QT23</f>
        <v/>
      </c>
      <c r="QU25" s="16">
        <f>QU24-QU23</f>
        <v/>
      </c>
      <c r="QV25" s="16">
        <f>QV24-QV23</f>
        <v/>
      </c>
      <c r="QW25" s="16">
        <f>QW24-QW23</f>
        <v/>
      </c>
      <c r="QX25" s="16">
        <f>QX24-QX23</f>
        <v/>
      </c>
      <c r="QY25" s="16">
        <f>QY24-QY23</f>
        <v/>
      </c>
      <c r="QZ25" s="16">
        <f>QZ24-QZ23</f>
        <v/>
      </c>
      <c r="RA25" s="16">
        <f>RA24-RA23</f>
        <v/>
      </c>
      <c r="RB25" s="16">
        <f>RB24-RB23</f>
        <v/>
      </c>
      <c r="RC25" s="16">
        <f>RC24-RC23</f>
        <v/>
      </c>
      <c r="RD25" s="16">
        <f>RD24-RD23</f>
        <v/>
      </c>
      <c r="RE25" s="16">
        <f>RE24-RE23</f>
        <v/>
      </c>
      <c r="RF25" s="16">
        <f>RF24-RF23</f>
        <v/>
      </c>
      <c r="RG25" s="16">
        <f>RG24-RG23</f>
        <v/>
      </c>
      <c r="RH25" s="127">
        <f>SUM(QD25:RG25)</f>
        <v/>
      </c>
      <c r="RI25" s="16">
        <f>RI24-RI23</f>
        <v/>
      </c>
      <c r="RJ25" s="16">
        <f>RJ24-RJ23</f>
        <v/>
      </c>
      <c r="RK25" s="16">
        <f>RK24-RK23</f>
        <v/>
      </c>
      <c r="RL25" s="16">
        <f>RL24-RL23</f>
        <v/>
      </c>
      <c r="RM25" s="16">
        <f>RM24-RM23</f>
        <v/>
      </c>
      <c r="RN25" s="16">
        <f>RN24-RN23</f>
        <v/>
      </c>
      <c r="RO25" s="16">
        <f>RO24-RO23</f>
        <v/>
      </c>
      <c r="RP25" s="16">
        <f>RP24-RP23</f>
        <v/>
      </c>
      <c r="RQ25" s="16">
        <f>RQ24-RQ23</f>
        <v/>
      </c>
      <c r="RR25" s="16">
        <f>RR24-RR23</f>
        <v/>
      </c>
      <c r="RS25" s="16">
        <f>RS24-RS23</f>
        <v/>
      </c>
      <c r="RT25" s="16">
        <f>RT24-RT23</f>
        <v/>
      </c>
      <c r="RU25" s="16">
        <f>RU24-RU23</f>
        <v/>
      </c>
      <c r="RV25" s="16">
        <f>RV24-RV23</f>
        <v/>
      </c>
      <c r="RW25" s="16">
        <f>RW24-RW23</f>
        <v/>
      </c>
      <c r="RX25" s="16">
        <f>RX24-RX23</f>
        <v/>
      </c>
      <c r="RY25" s="16">
        <f>RY24-RY23</f>
        <v/>
      </c>
      <c r="RZ25" s="16">
        <f>RZ24-RZ23</f>
        <v/>
      </c>
      <c r="SA25" s="16">
        <f>SA24-SA23</f>
        <v/>
      </c>
      <c r="SB25" s="16">
        <f>SB24-SB23</f>
        <v/>
      </c>
      <c r="SC25" s="16">
        <f>SC24-SC23</f>
        <v/>
      </c>
      <c r="SD25" s="16">
        <f>SD24-SD23</f>
        <v/>
      </c>
      <c r="SE25" s="16">
        <f>SE24-SE23</f>
        <v/>
      </c>
      <c r="SF25" s="16">
        <f>SF24-SF23</f>
        <v/>
      </c>
      <c r="SG25" s="16">
        <f>SG24-SG23</f>
        <v/>
      </c>
      <c r="SH25" s="16">
        <f>SH24-SH23</f>
        <v/>
      </c>
      <c r="SI25" s="16">
        <f>SI24-SI23</f>
        <v/>
      </c>
      <c r="SJ25" s="16">
        <f>SJ24-SJ23</f>
        <v/>
      </c>
      <c r="SK25" s="16">
        <f>SK24-SK23</f>
        <v/>
      </c>
      <c r="SL25" s="16">
        <f>SL24-SL23</f>
        <v/>
      </c>
      <c r="SM25" s="127">
        <f>SUM(RI25:SL25)</f>
        <v/>
      </c>
      <c r="SN25" s="16">
        <f>SN24-SN23</f>
        <v/>
      </c>
      <c r="SO25" s="16">
        <f>SO24-SO23</f>
        <v/>
      </c>
      <c r="SP25" s="16">
        <f>SP24-SP23</f>
        <v/>
      </c>
      <c r="SQ25" s="16">
        <f>SQ24-SQ23</f>
        <v/>
      </c>
      <c r="SR25" s="16">
        <f>SR24-SR23</f>
        <v/>
      </c>
      <c r="SS25" s="16">
        <f>SS24-SS23</f>
        <v/>
      </c>
      <c r="ST25" s="16">
        <f>ST24-ST23</f>
        <v/>
      </c>
      <c r="SU25" s="16">
        <f>SU24-SU23</f>
        <v/>
      </c>
      <c r="SV25" s="16">
        <f>SV24-SV23</f>
        <v/>
      </c>
      <c r="SW25" s="16">
        <f>SW24-SW23</f>
        <v/>
      </c>
      <c r="SX25" s="16">
        <f>SX24-SX23</f>
        <v/>
      </c>
      <c r="SY25" s="16">
        <f>SY24-SY23</f>
        <v/>
      </c>
      <c r="SZ25" s="16">
        <f>SZ24-SZ23</f>
        <v/>
      </c>
      <c r="TA25" s="16">
        <f>TA24-TA23</f>
        <v/>
      </c>
      <c r="TB25" s="16">
        <f>TB24-TB23</f>
        <v/>
      </c>
      <c r="TC25" s="16">
        <f>TC24-TC23</f>
        <v/>
      </c>
      <c r="TD25" s="16">
        <f>TD24-TD23</f>
        <v/>
      </c>
      <c r="TE25" s="16">
        <f>TE24-TE23</f>
        <v/>
      </c>
      <c r="TF25" s="16">
        <f>TF24-TF23</f>
        <v/>
      </c>
      <c r="TG25" s="16">
        <f>TG24-TG23</f>
        <v/>
      </c>
      <c r="TH25" s="16">
        <f>TH24-TH23</f>
        <v/>
      </c>
      <c r="TI25" s="16">
        <f>TI24-TI23</f>
        <v/>
      </c>
      <c r="TJ25" s="16">
        <f>TJ24-TJ23</f>
        <v/>
      </c>
      <c r="TK25" s="16">
        <f>TK24-TK23</f>
        <v/>
      </c>
      <c r="TL25" s="16">
        <f>TL24-TL23</f>
        <v/>
      </c>
      <c r="TM25" s="16">
        <f>TM24-TM23</f>
        <v/>
      </c>
      <c r="TN25" s="16">
        <f>TN24-TN23</f>
        <v/>
      </c>
      <c r="TO25" s="16">
        <f>TO24-TO23</f>
        <v/>
      </c>
      <c r="TP25" s="16">
        <f>TP24-TP23</f>
        <v/>
      </c>
      <c r="TQ25" s="16">
        <f>TQ24-TQ23</f>
        <v/>
      </c>
      <c r="TR25" s="16">
        <f>TR24-TR23</f>
        <v/>
      </c>
      <c r="TS25" s="127">
        <f>SUM(SO25:TR25)</f>
        <v/>
      </c>
      <c r="TT25" s="16">
        <f>TT24-TT23</f>
        <v/>
      </c>
      <c r="TU25" s="16">
        <f>TU24-TU23</f>
        <v/>
      </c>
      <c r="TV25" s="16">
        <f>TV24-TV23</f>
        <v/>
      </c>
      <c r="TW25" s="16">
        <f>TW24-TW23</f>
        <v/>
      </c>
      <c r="TX25" s="16">
        <f>TX24-TX23</f>
        <v/>
      </c>
      <c r="TY25" s="16">
        <f>TY24-TY23</f>
        <v/>
      </c>
      <c r="TZ25" s="16">
        <f>TZ24-TZ23</f>
        <v/>
      </c>
      <c r="UA25" s="16">
        <f>UA24-UA23</f>
        <v/>
      </c>
      <c r="UB25" s="16">
        <f>UB24-UB23</f>
        <v/>
      </c>
      <c r="UC25" s="16">
        <f>UC24-UC23</f>
        <v/>
      </c>
      <c r="UD25" s="16">
        <f>UD24-UD23</f>
        <v/>
      </c>
      <c r="UE25" s="16">
        <f>UE24-UE23</f>
        <v/>
      </c>
      <c r="UF25" s="16">
        <f>UF24-UF23</f>
        <v/>
      </c>
      <c r="UG25" s="16">
        <f>UG24-UG23</f>
        <v/>
      </c>
      <c r="UH25" s="16">
        <f>UH24-UH23</f>
        <v/>
      </c>
      <c r="UI25" s="16">
        <f>UI24-UI23</f>
        <v/>
      </c>
      <c r="UJ25" s="16">
        <f>UJ24-UJ23</f>
        <v/>
      </c>
      <c r="UK25" s="16">
        <f>UK24-UK23</f>
        <v/>
      </c>
      <c r="UL25" s="16">
        <f>UL24-UL23</f>
        <v/>
      </c>
      <c r="UM25" s="16">
        <f>UM24-UM23</f>
        <v/>
      </c>
      <c r="UN25" s="16">
        <f>UN24-UN23</f>
        <v/>
      </c>
      <c r="UO25" s="16">
        <f>UO24-UO23</f>
        <v/>
      </c>
      <c r="UP25" s="16">
        <f>UP24-UP23</f>
        <v/>
      </c>
      <c r="UQ25" s="16">
        <f>UQ24-UQ23</f>
        <v/>
      </c>
      <c r="UR25" s="16">
        <f>UR24-UR23</f>
        <v/>
      </c>
      <c r="US25" s="16">
        <f>US24-US23</f>
        <v/>
      </c>
      <c r="UT25" s="16">
        <f>UT24-UT23</f>
        <v/>
      </c>
      <c r="UU25" s="16">
        <f>UU24-UU23</f>
        <v/>
      </c>
      <c r="UV25" s="16">
        <f>UV24-UV23</f>
        <v/>
      </c>
      <c r="UW25" s="16">
        <f>UW24-UW23</f>
        <v/>
      </c>
      <c r="UX25" s="16">
        <f>UX24-UX23</f>
        <v/>
      </c>
      <c r="UY25" s="127">
        <f>SUM(TT25:UX25)</f>
        <v/>
      </c>
      <c r="UZ25" s="16">
        <f>UZ24-UZ23</f>
        <v/>
      </c>
      <c r="VA25" s="16">
        <f>VA24-VA23</f>
        <v/>
      </c>
      <c r="VB25" s="16">
        <f>VB24-VB23</f>
        <v/>
      </c>
      <c r="VC25" s="16">
        <f>VC24-VC23</f>
        <v/>
      </c>
      <c r="VD25" s="16">
        <f>VD24-VD23</f>
        <v/>
      </c>
      <c r="VE25" s="16">
        <f>VE24-VE23</f>
        <v/>
      </c>
      <c r="VF25" s="16">
        <f>VF24-VF23</f>
        <v/>
      </c>
      <c r="VG25" s="16">
        <f>VG24-VG23</f>
        <v/>
      </c>
      <c r="VH25" s="16">
        <f>VH24-VH23</f>
        <v/>
      </c>
      <c r="VI25" s="16">
        <f>VI24-VI23</f>
        <v/>
      </c>
      <c r="VJ25" s="16">
        <f>VJ24-VJ23</f>
        <v/>
      </c>
      <c r="VK25" s="16">
        <f>VK24-VK23</f>
        <v/>
      </c>
      <c r="VL25" s="16">
        <f>VL24-VL23</f>
        <v/>
      </c>
      <c r="VM25" s="16">
        <f>VM24-VM23</f>
        <v/>
      </c>
      <c r="VN25" s="16">
        <f>VN24-VN23</f>
        <v/>
      </c>
      <c r="VO25" s="16">
        <f>VO24-VO23</f>
        <v/>
      </c>
      <c r="VP25" s="16">
        <f>VP24-VP23</f>
        <v/>
      </c>
      <c r="VQ25" s="16">
        <f>VQ24-VQ23</f>
        <v/>
      </c>
      <c r="VR25" s="16">
        <f>VR24-VR23</f>
        <v/>
      </c>
      <c r="VS25" s="16">
        <f>VS24-VS23</f>
        <v/>
      </c>
      <c r="VT25" s="16">
        <f>VT24-VT23</f>
        <v/>
      </c>
      <c r="VU25" s="16">
        <f>VU24-VU23</f>
        <v/>
      </c>
      <c r="VV25" s="16">
        <f>VV24-VV23</f>
        <v/>
      </c>
      <c r="VW25" s="16">
        <f>VW24-VW23</f>
        <v/>
      </c>
      <c r="VX25" s="16">
        <f>VX24-VX23</f>
        <v/>
      </c>
      <c r="VY25" s="16">
        <f>VY24-VY23</f>
        <v/>
      </c>
      <c r="VZ25" s="16">
        <f>VZ24-VZ23</f>
        <v/>
      </c>
      <c r="WA25" s="16">
        <f>WA24-WA23</f>
        <v/>
      </c>
      <c r="WB25" s="127">
        <f>SUM(UZ25:WA25)</f>
        <v/>
      </c>
      <c r="WC25" s="16">
        <f>WC24-WC23</f>
        <v/>
      </c>
      <c r="WD25" s="16">
        <f>WD24-WD23</f>
        <v/>
      </c>
      <c r="WE25" s="16">
        <f>WE24-WE23</f>
        <v/>
      </c>
      <c r="WF25" s="16">
        <f>WF24-WF23</f>
        <v/>
      </c>
      <c r="WG25" s="16">
        <f>WG24-WG23</f>
        <v/>
      </c>
      <c r="WH25" s="16">
        <f>WH24-WH23</f>
        <v/>
      </c>
      <c r="WI25" s="16">
        <f>WI24-WI23</f>
        <v/>
      </c>
      <c r="WJ25" s="16">
        <f>WJ24-WJ23</f>
        <v/>
      </c>
      <c r="WK25" s="16">
        <f>WK24-WK23</f>
        <v/>
      </c>
      <c r="WL25" s="16">
        <f>WL24-WL23</f>
        <v/>
      </c>
      <c r="WM25" s="16">
        <f>WM24-WM23</f>
        <v/>
      </c>
      <c r="WN25" s="16">
        <f>WN24-WN23</f>
        <v/>
      </c>
      <c r="WO25" s="16">
        <f>WO24-WO23</f>
        <v/>
      </c>
      <c r="WP25" s="16">
        <f>WP24-WP23</f>
        <v/>
      </c>
      <c r="WQ25" s="16">
        <f>WQ24-WQ23</f>
        <v/>
      </c>
      <c r="WR25" s="16">
        <f>WR24-WR23</f>
        <v/>
      </c>
      <c r="WS25" s="16">
        <f>WS24-WS23</f>
        <v/>
      </c>
      <c r="WT25" s="16">
        <f>WT24-WT23</f>
        <v/>
      </c>
      <c r="WU25" s="16">
        <f>WU24-WU23</f>
        <v/>
      </c>
      <c r="WV25" s="16">
        <f>WV24-WV23</f>
        <v/>
      </c>
      <c r="WW25" s="16">
        <f>WW24-WW23</f>
        <v/>
      </c>
      <c r="WX25" s="16">
        <f>WX24-WX23</f>
        <v/>
      </c>
      <c r="WY25" s="16">
        <f>WY24-WY23</f>
        <v/>
      </c>
      <c r="WZ25" s="16">
        <f>WZ24-WZ23</f>
        <v/>
      </c>
      <c r="XA25" s="16">
        <f>XA24-XA23</f>
        <v/>
      </c>
      <c r="XB25" s="16">
        <f>XB24-XB23</f>
        <v/>
      </c>
      <c r="XC25" s="16">
        <f>XC24-XC23</f>
        <v/>
      </c>
      <c r="XD25" s="16">
        <f>XD24-XD23</f>
        <v/>
      </c>
      <c r="XE25" s="16">
        <f>XE24-XE23</f>
        <v/>
      </c>
      <c r="XF25" s="16">
        <f>XF24-XF23</f>
        <v/>
      </c>
      <c r="XG25" s="16">
        <f>XG24-XG23</f>
        <v/>
      </c>
      <c r="XH25" s="127">
        <f>SUM(WC25:XG25)</f>
        <v/>
      </c>
      <c r="XI25" s="16">
        <f>XI24-XI23</f>
        <v/>
      </c>
      <c r="XJ25" s="16">
        <f>XJ24-XJ23</f>
        <v/>
      </c>
      <c r="XK25" s="16">
        <f>XK24-XK23</f>
        <v/>
      </c>
      <c r="XL25" s="16">
        <f>XL24-XL23</f>
        <v/>
      </c>
      <c r="XM25" s="16">
        <f>XM24-XM23</f>
        <v/>
      </c>
      <c r="XN25" s="16">
        <f>XN24-XN23</f>
        <v/>
      </c>
      <c r="XO25" s="16">
        <f>XO24-XO23</f>
        <v/>
      </c>
      <c r="XP25" s="16">
        <f>XP24-XP23</f>
        <v/>
      </c>
      <c r="XQ25" s="16">
        <f>XQ24-XQ23</f>
        <v/>
      </c>
      <c r="XR25" s="16">
        <f>XR24-XR23</f>
        <v/>
      </c>
      <c r="XS25" s="16">
        <f>XS24-XS23</f>
        <v/>
      </c>
      <c r="XT25" s="16">
        <f>XT24-XT23</f>
        <v/>
      </c>
      <c r="XU25" s="16">
        <f>XU24-XU23</f>
        <v/>
      </c>
      <c r="XV25" s="16">
        <f>XV24-XV23</f>
        <v/>
      </c>
      <c r="XW25" s="16">
        <f>XW24-XW23</f>
        <v/>
      </c>
      <c r="XX25" s="16">
        <f>XX24-XX23</f>
        <v/>
      </c>
      <c r="XY25" s="16">
        <f>XY24-XY23</f>
        <v/>
      </c>
      <c r="XZ25" s="16">
        <f>XZ24-XZ23</f>
        <v/>
      </c>
      <c r="YA25" s="16">
        <f>YA24-YA23</f>
        <v/>
      </c>
      <c r="YB25" s="16">
        <f>YB24-YB23</f>
        <v/>
      </c>
      <c r="YC25" s="16">
        <f>YC24-YC23</f>
        <v/>
      </c>
      <c r="YD25" s="16">
        <f>YD24-YD23</f>
        <v/>
      </c>
      <c r="YE25" s="16">
        <f>YE24-YE23</f>
        <v/>
      </c>
      <c r="YF25" s="16">
        <f>YF24-YF23</f>
        <v/>
      </c>
      <c r="YG25" s="16">
        <f>YG24-YG23</f>
        <v/>
      </c>
      <c r="YH25" s="16">
        <f>YH24-YH23</f>
        <v/>
      </c>
      <c r="YI25" s="16">
        <f>YI24-YI23</f>
        <v/>
      </c>
      <c r="YJ25" s="16">
        <f>YJ24-YJ23</f>
        <v/>
      </c>
      <c r="YK25" s="16">
        <f>YK24-YK23</f>
        <v/>
      </c>
      <c r="YL25" s="16">
        <f>YL24-YL23</f>
        <v/>
      </c>
      <c r="YM25" s="127">
        <f>SUM(XH25:YL25)</f>
        <v/>
      </c>
      <c r="YN25" s="16">
        <f>YN24-YN23</f>
        <v/>
      </c>
      <c r="YO25" s="16">
        <f>YO24-YO23</f>
        <v/>
      </c>
      <c r="YP25" s="16">
        <f>YP24-YP23</f>
        <v/>
      </c>
      <c r="YQ25" s="16">
        <f>YQ24-YQ23</f>
        <v/>
      </c>
      <c r="YR25" s="16">
        <f>YR24-YR23</f>
        <v/>
      </c>
      <c r="YS25" s="16">
        <f>YS24-YS23</f>
        <v/>
      </c>
      <c r="YT25" s="16">
        <f>YT24-YT23</f>
        <v/>
      </c>
      <c r="YU25" s="16">
        <f>YU24-YU23</f>
        <v/>
      </c>
      <c r="YV25" s="16">
        <f>YV24-YV23</f>
        <v/>
      </c>
      <c r="YW25" s="16">
        <f>YW24-YW23</f>
        <v/>
      </c>
      <c r="YX25" s="16">
        <f>YX24-YX23</f>
        <v/>
      </c>
      <c r="YY25" s="16">
        <f>YY24-YY23</f>
        <v/>
      </c>
      <c r="YZ25" s="16">
        <f>YZ24-YZ23</f>
        <v/>
      </c>
      <c r="ZA25" s="16">
        <f>ZA24-ZA23</f>
        <v/>
      </c>
      <c r="ZB25" s="16">
        <f>ZB24-ZB23</f>
        <v/>
      </c>
      <c r="ZC25" s="16">
        <f>ZC24-ZC23</f>
        <v/>
      </c>
      <c r="ZD25" s="16">
        <f>ZD24-ZD23</f>
        <v/>
      </c>
      <c r="ZE25" s="16">
        <f>ZE24-ZE23</f>
        <v/>
      </c>
      <c r="ZF25" s="16">
        <f>ZF24-ZF23</f>
        <v/>
      </c>
      <c r="ZG25" s="16">
        <f>ZG24-ZG23</f>
        <v/>
      </c>
      <c r="ZH25" s="16">
        <f>ZH24-ZH23</f>
        <v/>
      </c>
      <c r="ZI25" s="16">
        <f>ZI24-ZI23</f>
        <v/>
      </c>
      <c r="ZJ25" s="16">
        <f>ZJ24-ZJ23</f>
        <v/>
      </c>
      <c r="ZK25" s="16">
        <f>ZK24-ZK23</f>
        <v/>
      </c>
      <c r="ZL25" s="16">
        <f>ZL24-ZL23</f>
        <v/>
      </c>
      <c r="ZM25" s="16">
        <f>ZM24-ZM23</f>
        <v/>
      </c>
      <c r="ZN25" s="16">
        <f>ZN24-ZN23</f>
        <v/>
      </c>
      <c r="ZO25" s="16">
        <f>ZO24-ZO23</f>
        <v/>
      </c>
      <c r="ZP25" s="16">
        <f>ZP24-ZP23</f>
        <v/>
      </c>
      <c r="ZQ25" s="16">
        <f>ZQ24-ZQ23</f>
        <v/>
      </c>
      <c r="ZR25" s="16">
        <f>ZR24-ZR23</f>
        <v/>
      </c>
      <c r="ZS25" s="127">
        <f>SUM(YN25:ZR25)</f>
        <v/>
      </c>
      <c r="ZT25" s="16">
        <f>ZT24-ZT23</f>
        <v/>
      </c>
      <c r="ZU25" s="16">
        <f>ZU24-ZU23</f>
        <v/>
      </c>
      <c r="ZV25" s="16">
        <f>ZV24-ZV23</f>
        <v/>
      </c>
      <c r="ZW25" s="16">
        <f>ZW24-ZW23</f>
        <v/>
      </c>
      <c r="ZX25" s="16">
        <f>ZX24-ZX23</f>
        <v/>
      </c>
      <c r="ZY25" s="16">
        <f>ZY24-ZY23</f>
        <v/>
      </c>
      <c r="ZZ25" s="16">
        <f>ZZ24-ZZ23</f>
        <v/>
      </c>
      <c r="AAA25" s="16">
        <f>AAA24-AAA23</f>
        <v/>
      </c>
      <c r="AAB25" s="16">
        <f>AAB24-AAB23</f>
        <v/>
      </c>
      <c r="AAC25" s="16">
        <f>AAC24-AAC23</f>
        <v/>
      </c>
      <c r="AAD25" s="16">
        <f>AAD24-AAD23</f>
        <v/>
      </c>
      <c r="AAE25" s="16">
        <f>AAE24-AAE23</f>
        <v/>
      </c>
      <c r="AAF25" s="16">
        <f>AAF24-AAF23</f>
        <v/>
      </c>
      <c r="AAG25" s="16">
        <f>AAG24-AAG23</f>
        <v/>
      </c>
      <c r="AAH25" s="16">
        <f>AAH24-AAH23</f>
        <v/>
      </c>
      <c r="AAI25" s="16">
        <f>AAI24-AAI23</f>
        <v/>
      </c>
      <c r="AAJ25" s="16">
        <f>AAJ24-AAJ23</f>
        <v/>
      </c>
      <c r="AAK25" s="16">
        <f>AAK24-AAK23</f>
        <v/>
      </c>
      <c r="AAL25" s="16">
        <f>AAL24-AAL23</f>
        <v/>
      </c>
      <c r="AAM25" s="16">
        <f>AAM24-AAM23</f>
        <v/>
      </c>
      <c r="AAN25" s="16">
        <f>AAN24-AAN23</f>
        <v/>
      </c>
      <c r="AAO25" s="16">
        <f>AAO24-AAO23</f>
        <v/>
      </c>
      <c r="AAP25" s="16">
        <f>AAP24-AAP23</f>
        <v/>
      </c>
      <c r="AAQ25" s="16">
        <f>AAQ24-AAQ23</f>
        <v/>
      </c>
      <c r="AAR25" s="16">
        <f>AAR24-AAR23</f>
        <v/>
      </c>
      <c r="AAS25" s="16">
        <f>AAS24-AAS23</f>
        <v/>
      </c>
      <c r="AAT25" s="16">
        <f>AAT24-AAT23</f>
        <v/>
      </c>
      <c r="AAU25" s="16">
        <f>AAU24-AAU23</f>
        <v/>
      </c>
      <c r="AAV25" s="16">
        <f>AAV24-AAV23</f>
        <v/>
      </c>
      <c r="AAW25" s="16">
        <f>AAW24-AAW23</f>
        <v/>
      </c>
      <c r="AAX25" s="127">
        <f>SUM(ZT25:AAW25)</f>
        <v/>
      </c>
      <c r="AAY25" s="16">
        <f>AAY24-AAY23</f>
        <v/>
      </c>
      <c r="AAZ25" s="16">
        <f>AAZ24-AAZ23</f>
        <v/>
      </c>
      <c r="ABA25" s="16">
        <f>ABA24-ABA23</f>
        <v/>
      </c>
      <c r="ABB25" s="16">
        <f>ABB24-ABB23</f>
        <v/>
      </c>
      <c r="ABC25" s="16">
        <f>ABC24-ABC23</f>
        <v/>
      </c>
      <c r="ABD25" s="16">
        <f>ABD24-ABD23</f>
        <v/>
      </c>
      <c r="ABE25" s="16">
        <f>ABE24-ABE23</f>
        <v/>
      </c>
      <c r="ABF25" s="16">
        <f>ABF24-ABF23</f>
        <v/>
      </c>
      <c r="ABG25" s="16">
        <f>ABG24-ABG23</f>
        <v/>
      </c>
      <c r="ABH25" s="16">
        <f>ABH24-ABH23</f>
        <v/>
      </c>
      <c r="ABI25" s="16">
        <f>ABI24-ABI23</f>
        <v/>
      </c>
      <c r="ABJ25" s="16">
        <f>ABJ24-ABJ23</f>
        <v/>
      </c>
      <c r="ABK25" s="16">
        <f>ABK24-ABK23</f>
        <v/>
      </c>
      <c r="ABL25" s="16">
        <f>ABL24-ABL23</f>
        <v/>
      </c>
      <c r="ABM25" s="16">
        <f>ABM24-ABM23</f>
        <v/>
      </c>
      <c r="ABN25" s="16">
        <f>ABN24-ABN23</f>
        <v/>
      </c>
      <c r="ABO25" s="16">
        <f>ABO24-ABO23</f>
        <v/>
      </c>
      <c r="ABP25" s="16">
        <f>ABP24-ABP23</f>
        <v/>
      </c>
      <c r="ABQ25" s="16">
        <f>ABQ24-ABQ23</f>
        <v/>
      </c>
      <c r="ABR25" s="16">
        <f>ABR24-ABR23</f>
        <v/>
      </c>
      <c r="ABS25" s="16">
        <f>ABS24-ABS23</f>
        <v/>
      </c>
      <c r="ABT25" s="16">
        <f>ABT24-ABT23</f>
        <v/>
      </c>
      <c r="ABU25" s="16">
        <f>ABU24-ABU23</f>
        <v/>
      </c>
      <c r="ABV25" s="16">
        <f>ABV24-ABV23</f>
        <v/>
      </c>
      <c r="ABW25" s="16">
        <f>ABW24-ABW23</f>
        <v/>
      </c>
      <c r="ABX25" s="16">
        <f>ABX24-ABX23</f>
        <v/>
      </c>
      <c r="ABY25" s="16">
        <f>ABY24-ABY23</f>
        <v/>
      </c>
      <c r="ABZ25" s="16">
        <f>ABZ24-ABZ23</f>
        <v/>
      </c>
      <c r="ACA25" s="16">
        <f>ACA24-ACA23</f>
        <v/>
      </c>
      <c r="ACB25" s="16">
        <f>ACB24-ACB23</f>
        <v/>
      </c>
      <c r="ACC25" s="16">
        <f>ACC24-ACC23</f>
        <v/>
      </c>
      <c r="ACD25" s="127">
        <f>SUM(AAY25:ACC25)</f>
        <v/>
      </c>
      <c r="ACE25" s="16">
        <f>ACE24-ACE23</f>
        <v/>
      </c>
      <c r="ACF25" s="16">
        <f>ACF24-ACF23</f>
        <v/>
      </c>
      <c r="ACG25" s="16">
        <f>ACG24-ACG23</f>
        <v/>
      </c>
      <c r="ACH25" s="16">
        <f>ACH24-ACH23</f>
        <v/>
      </c>
      <c r="ACI25" s="16">
        <f>ACI24-ACI23</f>
        <v/>
      </c>
      <c r="ACJ25" s="16">
        <f>ACJ24-ACJ23</f>
        <v/>
      </c>
      <c r="ACK25" s="16">
        <f>ACK24-ACK23</f>
        <v/>
      </c>
      <c r="ACL25" s="16">
        <f>ACL24-ACL23</f>
        <v/>
      </c>
      <c r="ACM25" s="16">
        <f>ACM24-ACM23</f>
        <v/>
      </c>
      <c r="ACN25" s="16">
        <f>ACN24-ACN23</f>
        <v/>
      </c>
      <c r="ACO25" s="16">
        <f>ACO24-ACO23</f>
        <v/>
      </c>
      <c r="ACP25" s="16">
        <f>ACP24-ACP23</f>
        <v/>
      </c>
      <c r="ACQ25" s="16">
        <f>ACQ24-ACQ23</f>
        <v/>
      </c>
      <c r="ACR25" s="16">
        <f>ACR24-ACR23</f>
        <v/>
      </c>
      <c r="ACS25" s="16">
        <f>ACS24-ACS23</f>
        <v/>
      </c>
      <c r="ACT25" s="16">
        <f>ACT24-ACT23</f>
        <v/>
      </c>
      <c r="ACU25" s="16">
        <f>ACU24-ACU23</f>
        <v/>
      </c>
      <c r="ACV25" s="16">
        <f>ACV24-ACV23</f>
        <v/>
      </c>
      <c r="ACW25" s="16">
        <f>ACW24-ACW23</f>
        <v/>
      </c>
      <c r="ACX25" s="16">
        <f>ACX24-ACX23</f>
        <v/>
      </c>
      <c r="ACY25" s="16">
        <f>ACY24-ACY23</f>
        <v/>
      </c>
      <c r="ACZ25" s="16">
        <f>ACZ24-ACZ23</f>
        <v/>
      </c>
      <c r="ADA25" s="16">
        <f>ADA24-ADA23</f>
        <v/>
      </c>
      <c r="ADB25" s="16">
        <f>ADB24-ADB23</f>
        <v/>
      </c>
      <c r="ADC25" s="16">
        <f>ADC24-ADC23</f>
        <v/>
      </c>
      <c r="ADD25" s="16">
        <f>ADD24-ADD23</f>
        <v/>
      </c>
      <c r="ADE25" s="16">
        <f>ADE24-ADE23</f>
        <v/>
      </c>
      <c r="ADF25" s="16">
        <f>ADF24-ADF23</f>
        <v/>
      </c>
      <c r="ADG25" s="16">
        <f>ADG24-ADG23</f>
        <v/>
      </c>
      <c r="ADH25" s="16">
        <f>ADH24-ADH23</f>
        <v/>
      </c>
      <c r="ADI25" s="16">
        <f>ADI24-ADI23</f>
        <v/>
      </c>
      <c r="ADJ25" s="127">
        <f>SUM(ACE25:ADI25)</f>
        <v/>
      </c>
      <c r="ADK25" s="16">
        <f>ADK24-ADK23</f>
        <v/>
      </c>
      <c r="ADL25" s="16">
        <f>ADL24-ADL23</f>
        <v/>
      </c>
      <c r="ADM25" s="16">
        <f>ADM24-ADM23</f>
        <v/>
      </c>
      <c r="ADN25" s="16">
        <f>ADN24-ADN23</f>
        <v/>
      </c>
      <c r="ADO25" s="16">
        <f>ADO24-ADO23</f>
        <v/>
      </c>
      <c r="ADP25" s="16">
        <f>ADP24-ADP23</f>
        <v/>
      </c>
      <c r="ADQ25" s="16">
        <f>ADQ24-ADQ23</f>
        <v/>
      </c>
      <c r="ADR25" s="16">
        <f>ADR24-ADR23</f>
        <v/>
      </c>
      <c r="ADS25" s="16">
        <f>ADS24-ADS23</f>
        <v/>
      </c>
      <c r="ADT25" s="16">
        <f>ADT24-ADT23</f>
        <v/>
      </c>
      <c r="ADU25" s="16">
        <f>ADU24-ADU23</f>
        <v/>
      </c>
      <c r="ADV25" s="16">
        <f>ADV24-ADV23</f>
        <v/>
      </c>
      <c r="ADW25" s="16">
        <f>ADW24-ADW23</f>
        <v/>
      </c>
      <c r="ADX25" s="16">
        <f>ADX24-ADX23</f>
        <v/>
      </c>
      <c r="ADY25" s="16">
        <f>ADY24-ADY23</f>
        <v/>
      </c>
      <c r="ADZ25" s="16">
        <f>ADZ24-ADZ23</f>
        <v/>
      </c>
      <c r="AEA25" s="16">
        <f>AEA24-AEA23</f>
        <v/>
      </c>
      <c r="AEB25" s="16">
        <f>AEB24-AEB23</f>
        <v/>
      </c>
      <c r="AEC25" s="16">
        <f>AEC24-AEC23</f>
        <v/>
      </c>
      <c r="AED25" s="16">
        <f>AED24-AED23</f>
        <v/>
      </c>
      <c r="AEE25" s="16">
        <f>AEE24-AEE23</f>
        <v/>
      </c>
      <c r="AEF25" s="16">
        <f>AEF24-AEF23</f>
        <v/>
      </c>
      <c r="AEG25" s="16">
        <f>AEG24-AEG23</f>
        <v/>
      </c>
      <c r="AEH25" s="16">
        <f>AEH24-AEH23</f>
        <v/>
      </c>
      <c r="AEI25" s="16">
        <f>AEI24-AEI23</f>
        <v/>
      </c>
      <c r="AEJ25" s="16">
        <f>AEJ24-AEJ23</f>
        <v/>
      </c>
      <c r="AEK25" s="16">
        <f>AEK24-AEK23</f>
        <v/>
      </c>
      <c r="AEL25" s="16">
        <f>AEL24-AEL23</f>
        <v/>
      </c>
      <c r="AEM25" s="16">
        <f>AEM24-AEM23</f>
        <v/>
      </c>
      <c r="AEN25" s="16">
        <f>AEN24-AEN23</f>
        <v/>
      </c>
      <c r="AEO25" s="127">
        <f>SUM(ADK25:AEN25)</f>
        <v/>
      </c>
      <c r="AEP25" s="16">
        <f>AEP24-AEP23</f>
        <v/>
      </c>
      <c r="AEQ25" s="16">
        <f>AEQ24-AEQ23</f>
        <v/>
      </c>
      <c r="AER25" s="16">
        <f>AER24-AER23</f>
        <v/>
      </c>
      <c r="AES25" s="16">
        <f>AES24-AES23</f>
        <v/>
      </c>
      <c r="AET25" s="16">
        <f>AET24-AET23</f>
        <v/>
      </c>
      <c r="AEU25" s="16">
        <f>AEU24-AEU23</f>
        <v/>
      </c>
      <c r="AEV25" s="16">
        <f>AEV24-AEV23</f>
        <v/>
      </c>
      <c r="AEW25" s="16">
        <f>AEW24-AEW23</f>
        <v/>
      </c>
      <c r="AEX25" s="16">
        <f>AEX24-AEX23</f>
        <v/>
      </c>
      <c r="AEY25" s="16">
        <f>AEY24-AEY23</f>
        <v/>
      </c>
      <c r="AEZ25" s="16">
        <f>AEZ24-AEZ23</f>
        <v/>
      </c>
      <c r="AFA25" s="16">
        <f>AFA24-AFA23</f>
        <v/>
      </c>
      <c r="AFB25" s="16">
        <f>AFB24-AFB23</f>
        <v/>
      </c>
      <c r="AFC25" s="16">
        <f>AFC24-AFC23</f>
        <v/>
      </c>
      <c r="AFD25" s="16">
        <f>AFD24-AFD23</f>
        <v/>
      </c>
      <c r="AFE25" s="16">
        <f>AFE24-AFE23</f>
        <v/>
      </c>
      <c r="AFF25" s="16">
        <f>AFF24-AFF23</f>
        <v/>
      </c>
      <c r="AFG25" s="16">
        <f>AFG24-AFG23</f>
        <v/>
      </c>
      <c r="AFH25" s="16">
        <f>AFH24-AFH23</f>
        <v/>
      </c>
      <c r="AFI25" s="16">
        <f>AFI24-AFI23</f>
        <v/>
      </c>
      <c r="AFJ25" s="16">
        <f>AFJ24-AFJ23</f>
        <v/>
      </c>
      <c r="AFK25" s="16">
        <f>AFK24-AFK23</f>
        <v/>
      </c>
      <c r="AFL25" s="16">
        <f>AFL24-AFL23</f>
        <v/>
      </c>
      <c r="AFM25" s="16">
        <f>AFM24-AFM23</f>
        <v/>
      </c>
      <c r="AFN25" s="16">
        <f>AFN24-AFN23</f>
        <v/>
      </c>
      <c r="AFO25" s="16">
        <f>AFO24-AFO23</f>
        <v/>
      </c>
      <c r="AFP25" s="16">
        <f>AFP24-AFP23</f>
        <v/>
      </c>
      <c r="AFQ25" s="16">
        <f>AFQ24-AFQ23</f>
        <v/>
      </c>
      <c r="AFR25" s="16">
        <f>AFR24-AFR23</f>
        <v/>
      </c>
      <c r="AFS25" s="16">
        <f>AFS24-AFS23</f>
        <v/>
      </c>
      <c r="AFT25" s="16">
        <f>AFT24-AFT23</f>
        <v/>
      </c>
      <c r="AFU25" s="127">
        <f>SUM(AEP25:AFT25)</f>
        <v/>
      </c>
      <c r="AFV25" s="16">
        <f>AFV24-AFV23</f>
        <v/>
      </c>
      <c r="AFW25" s="16">
        <f>AFW24-AFW23</f>
        <v/>
      </c>
      <c r="AFX25" s="16">
        <f>AFX24-AFX23</f>
        <v/>
      </c>
      <c r="AFY25" s="16">
        <f>AFY24-AFY23</f>
        <v/>
      </c>
      <c r="AFZ25" s="16">
        <f>AFZ24-AFZ23</f>
        <v/>
      </c>
      <c r="AGA25" s="16">
        <f>AGA24-AGA23</f>
        <v/>
      </c>
      <c r="AGB25" s="16">
        <f>AGB24-AGB23</f>
        <v/>
      </c>
      <c r="AGC25" s="16">
        <f>AGC24-AGC23</f>
        <v/>
      </c>
      <c r="AGD25" s="16">
        <f>AGD24-AGD23</f>
        <v/>
      </c>
      <c r="AGE25" s="16">
        <f>AGE24-AGE23</f>
        <v/>
      </c>
      <c r="AGF25" s="16">
        <f>AGF24-AGF23</f>
        <v/>
      </c>
      <c r="AGG25" s="16">
        <f>AGG24-AGG23</f>
        <v/>
      </c>
      <c r="AGH25" s="16">
        <f>AGH24-AGH23</f>
        <v/>
      </c>
      <c r="AGI25" s="16">
        <f>AGI24-AGI23</f>
        <v/>
      </c>
      <c r="AGJ25" s="16">
        <f>AGJ24-AGJ23</f>
        <v/>
      </c>
      <c r="AGK25" s="16">
        <f>AGK24-AGK23</f>
        <v/>
      </c>
      <c r="AGL25" s="16">
        <f>AGL24-AGL23</f>
        <v/>
      </c>
      <c r="AGM25" s="16">
        <f>AGM24-AGM23</f>
        <v/>
      </c>
      <c r="AGN25" s="16">
        <f>AGN24-AGN23</f>
        <v/>
      </c>
      <c r="AGO25" s="16">
        <f>AGO24-AGO23</f>
        <v/>
      </c>
      <c r="AGP25" s="16">
        <f>AGP24-AGP23</f>
        <v/>
      </c>
      <c r="AGQ25" s="16">
        <f>AGQ24-AGQ23</f>
        <v/>
      </c>
      <c r="AGR25" s="16">
        <f>AGR24-AGR23</f>
        <v/>
      </c>
      <c r="AGS25" s="16">
        <f>AGS24-AGS23</f>
        <v/>
      </c>
      <c r="AGT25" s="16">
        <f>AGT24-AGT23</f>
        <v/>
      </c>
      <c r="AGU25" s="16">
        <f>AGU24-AGU23</f>
        <v/>
      </c>
      <c r="AGV25" s="16">
        <f>AGV24-AGV23</f>
        <v/>
      </c>
      <c r="AGW25" s="16">
        <f>AGW24-AGW23</f>
        <v/>
      </c>
      <c r="AGX25" s="16">
        <f>AGX24-AGX23</f>
        <v/>
      </c>
      <c r="AGY25" s="16">
        <f>AGY24-AGY23</f>
        <v/>
      </c>
      <c r="AGZ25" s="127">
        <f>SUM(AFV25:AGY25)</f>
        <v/>
      </c>
      <c r="AHA25" s="16">
        <f>AHA24-AHA23</f>
        <v/>
      </c>
      <c r="AHB25" s="16">
        <f>AHB24-AHB23</f>
        <v/>
      </c>
      <c r="AHC25" s="16">
        <f>AHC24-AHC23</f>
        <v/>
      </c>
      <c r="AHD25" s="16">
        <f>AHD24-AHD23</f>
        <v/>
      </c>
      <c r="AHE25" s="16">
        <f>AHE24-AHE23</f>
        <v/>
      </c>
      <c r="AHF25" s="16">
        <f>AHF24-AHF23</f>
        <v/>
      </c>
      <c r="AHG25" s="16">
        <f>AHG24-AHG23</f>
        <v/>
      </c>
      <c r="AHH25" s="16">
        <f>AHH24-AHH23</f>
        <v/>
      </c>
      <c r="AHI25" s="16">
        <f>AHI24-AHI23</f>
        <v/>
      </c>
      <c r="AHJ25" s="16">
        <f>AHJ24-AHJ23</f>
        <v/>
      </c>
      <c r="AHK25" s="16">
        <f>AHK24-AHK23</f>
        <v/>
      </c>
      <c r="AHL25" s="16">
        <f>AHL24-AHL23</f>
        <v/>
      </c>
      <c r="AHM25" s="16">
        <f>AHM24-AHM23</f>
        <v/>
      </c>
      <c r="AHN25" s="16">
        <f>AHN24-AHN23</f>
        <v/>
      </c>
      <c r="AHO25" s="16">
        <f>AHO24-AHO23</f>
        <v/>
      </c>
      <c r="AHP25" s="16">
        <f>AHP24-AHP23</f>
        <v/>
      </c>
      <c r="AHQ25" s="16">
        <f>AHQ24-AHQ23</f>
        <v/>
      </c>
      <c r="AHR25" s="16">
        <f>AHR24-AHR23</f>
        <v/>
      </c>
      <c r="AHS25" s="16">
        <f>AHS24-AHS23</f>
        <v/>
      </c>
      <c r="AHT25" s="16">
        <f>AHT24-AHT23</f>
        <v/>
      </c>
      <c r="AHU25" s="16">
        <f>AHU24-AHU23</f>
        <v/>
      </c>
      <c r="AHV25" s="16">
        <f>AHV24-AHV23</f>
        <v/>
      </c>
      <c r="AHW25" s="16">
        <f>AHW24-AHW23</f>
        <v/>
      </c>
      <c r="AHX25" s="16">
        <f>AHX24-AHX23</f>
        <v/>
      </c>
      <c r="AHY25" s="16">
        <f>AHY24-AHY23</f>
        <v/>
      </c>
      <c r="AHZ25" s="16">
        <f>AHZ24-AHZ23</f>
        <v/>
      </c>
      <c r="AIA25" s="16">
        <f>AIA24-AIA23</f>
        <v/>
      </c>
      <c r="AIB25" s="16">
        <f>AIB24-AIB23</f>
        <v/>
      </c>
      <c r="AIC25" s="16">
        <f>AIC24-AIC23</f>
        <v/>
      </c>
      <c r="AID25" s="16">
        <f>AID24-AID23</f>
        <v/>
      </c>
      <c r="AIE25" s="16">
        <f>AIE24-AIE23</f>
        <v/>
      </c>
      <c r="AIF25" s="127">
        <f>SUM(AHA25:AIE25)</f>
        <v/>
      </c>
      <c r="AIG25" s="16">
        <f>AIG24-AIG23</f>
        <v/>
      </c>
      <c r="AIH25" s="16">
        <f>AIH24-AIH23</f>
        <v/>
      </c>
      <c r="AII25" s="16">
        <f>AII24-AII23</f>
        <v/>
      </c>
      <c r="AIJ25" s="16">
        <f>AIJ24-AIJ23</f>
        <v/>
      </c>
      <c r="AIK25" s="16">
        <f>AIK24-AIK23</f>
        <v/>
      </c>
      <c r="AIL25" s="16">
        <f>AIL24-AIL23</f>
        <v/>
      </c>
      <c r="AIM25" s="16">
        <f>AIM24-AIM23</f>
        <v/>
      </c>
      <c r="AIN25" s="16">
        <f>AIN24-AIN23</f>
        <v/>
      </c>
      <c r="AIO25" s="16">
        <f>AIO24-AIO23</f>
        <v/>
      </c>
      <c r="AIP25" s="16">
        <f>AIP24-AIP23</f>
        <v/>
      </c>
      <c r="AIQ25" s="16">
        <f>AIQ24-AIQ23</f>
        <v/>
      </c>
      <c r="AIR25" s="16">
        <f>AIR24-AIR23</f>
        <v/>
      </c>
      <c r="AIS25" s="16">
        <f>AIS24-AIS23</f>
        <v/>
      </c>
      <c r="AIT25" s="16">
        <f>AIT24-AIT23</f>
        <v/>
      </c>
      <c r="AIU25" s="16">
        <f>AIU24-AIU23</f>
        <v/>
      </c>
      <c r="AIV25" s="16">
        <f>AIV24-AIV23</f>
        <v/>
      </c>
      <c r="AIW25" s="16">
        <f>AIW24-AIW23</f>
        <v/>
      </c>
      <c r="AIX25" s="16">
        <f>AIX24-AIX23</f>
        <v/>
      </c>
      <c r="AIY25" s="16">
        <f>AIY24-AIY23</f>
        <v/>
      </c>
      <c r="AIZ25" s="16">
        <f>AIZ24-AIZ23</f>
        <v/>
      </c>
      <c r="AJA25" s="16">
        <f>AJA24-AJA23</f>
        <v/>
      </c>
      <c r="AJB25" s="16">
        <f>AJB24-AJB23</f>
        <v/>
      </c>
      <c r="AJC25" s="16">
        <f>AJC24-AJC23</f>
        <v/>
      </c>
      <c r="AJD25" s="16">
        <f>AJD24-AJD23</f>
        <v/>
      </c>
      <c r="AJE25" s="16">
        <f>AJE24-AJE23</f>
        <v/>
      </c>
      <c r="AJF25" s="16">
        <f>AJF24-AJF23</f>
        <v/>
      </c>
      <c r="AJG25" s="16">
        <f>AJG24-AJG23</f>
        <v/>
      </c>
      <c r="AJH25" s="16">
        <f>AJH24-AJH23</f>
        <v/>
      </c>
      <c r="AJI25" s="16">
        <f>AJI24-AJI23</f>
        <v/>
      </c>
      <c r="AJJ25" s="16">
        <f>AJJ24-AJJ23</f>
        <v/>
      </c>
      <c r="AJK25" s="16">
        <f>AJK24-AJK23</f>
        <v/>
      </c>
      <c r="AJL25" s="127">
        <f>SUM(AIG25:AJK25)</f>
        <v/>
      </c>
      <c r="AJM25" s="16">
        <f>AJM24-AJM23</f>
        <v/>
      </c>
      <c r="AJN25" s="16">
        <f>AJN24-AJN23</f>
        <v/>
      </c>
      <c r="AJO25" s="16">
        <f>AJO24-AJO23</f>
        <v/>
      </c>
      <c r="AJP25" s="16">
        <f>AJP24-AJP23</f>
        <v/>
      </c>
      <c r="AJQ25" s="16">
        <f>AJQ24-AJQ23</f>
        <v/>
      </c>
      <c r="AJR25" s="16">
        <f>AJR24-AJR23</f>
        <v/>
      </c>
      <c r="AJS25" s="16">
        <f>AJS24-AJS23</f>
        <v/>
      </c>
      <c r="AJT25" s="16">
        <f>AJT24-AJT23</f>
        <v/>
      </c>
      <c r="AJU25" s="16">
        <f>AJU24-AJU23</f>
        <v/>
      </c>
      <c r="AJV25" s="16">
        <f>AJV24-AJV23</f>
        <v/>
      </c>
      <c r="AJW25" s="16">
        <f>AJW24-AJW23</f>
        <v/>
      </c>
      <c r="AJX25" s="16">
        <f>AJX24-AJX23</f>
        <v/>
      </c>
      <c r="AJY25" s="16">
        <f>AJY24-AJY23</f>
        <v/>
      </c>
      <c r="AJZ25" s="16">
        <f>AJZ24-AJZ23</f>
        <v/>
      </c>
      <c r="AKA25" s="16">
        <f>AKA24-AKA23</f>
        <v/>
      </c>
      <c r="AKB25" s="16">
        <f>AKB24-AKB23</f>
        <v/>
      </c>
      <c r="AKC25" s="16">
        <f>AKC24-AKC23</f>
        <v/>
      </c>
      <c r="AKD25" s="16">
        <f>AKD24-AKD23</f>
        <v/>
      </c>
      <c r="AKE25" s="16">
        <f>AKE24-AKE23</f>
        <v/>
      </c>
      <c r="AKF25" s="16">
        <f>AKF24-AKF23</f>
        <v/>
      </c>
      <c r="AKG25" s="16">
        <f>AKG24-AKG23</f>
        <v/>
      </c>
      <c r="AKH25" s="16">
        <f>AKH24-AKH23</f>
        <v/>
      </c>
      <c r="AKI25" s="16">
        <f>AKI24-AKI23</f>
        <v/>
      </c>
      <c r="AKJ25" s="16">
        <f>AKJ24-AKJ23</f>
        <v/>
      </c>
      <c r="AKK25" s="16">
        <f>AKK24-AKK23</f>
        <v/>
      </c>
      <c r="AKL25" s="16">
        <f>AKL24-AKL23</f>
        <v/>
      </c>
      <c r="AKM25" s="16">
        <f>AKM24-AKM23</f>
        <v/>
      </c>
      <c r="AKN25" s="16">
        <f>AKN24-AKN23</f>
        <v/>
      </c>
      <c r="AKO25" s="127">
        <f>SUM(AJM25:AKN25)</f>
        <v/>
      </c>
      <c r="AKP25" s="16">
        <f>AKP24-AKP23</f>
        <v/>
      </c>
      <c r="AKQ25" s="16">
        <f>AKQ24-AKQ23</f>
        <v/>
      </c>
      <c r="AKR25" s="16">
        <f>AKR24-AKR23</f>
        <v/>
      </c>
      <c r="AKS25" s="16">
        <f>AKS24-AKS23</f>
        <v/>
      </c>
      <c r="AKT25" s="16">
        <f>AKT24-AKT23</f>
        <v/>
      </c>
      <c r="AKU25" s="16">
        <f>AKU24-AKU23</f>
        <v/>
      </c>
      <c r="AKV25" s="16">
        <f>AKV24-AKV23</f>
        <v/>
      </c>
      <c r="AKW25" s="16">
        <f>AKW24-AKW23</f>
        <v/>
      </c>
      <c r="AKX25" s="16">
        <f>AKX24-AKX23</f>
        <v/>
      </c>
      <c r="AKY25" s="16">
        <f>AKY24-AKY23</f>
        <v/>
      </c>
      <c r="AKZ25" s="16">
        <f>AKZ24-AKZ23</f>
        <v/>
      </c>
      <c r="ALA25" s="16">
        <f>ALA24-ALA23</f>
        <v/>
      </c>
      <c r="ALB25" s="16">
        <f>ALB24-ALB23</f>
        <v/>
      </c>
      <c r="ALC25" s="16">
        <f>ALC24-ALC23</f>
        <v/>
      </c>
      <c r="ALD25" s="16">
        <f>ALD24-ALD23</f>
        <v/>
      </c>
      <c r="ALE25" s="16">
        <f>ALE24-ALE23</f>
        <v/>
      </c>
      <c r="ALF25" s="16">
        <f>ALF24-ALF23</f>
        <v/>
      </c>
      <c r="ALG25" s="16">
        <f>ALG24-ALG23</f>
        <v/>
      </c>
      <c r="ALH25" s="16">
        <f>ALH24-ALH23</f>
        <v/>
      </c>
      <c r="ALI25" s="16">
        <f>ALI24-ALI23</f>
        <v/>
      </c>
      <c r="ALJ25" s="16">
        <f>ALJ24-ALJ23</f>
        <v/>
      </c>
      <c r="ALK25" s="16">
        <f>ALK24-ALK23</f>
        <v/>
      </c>
      <c r="ALL25" s="16">
        <f>ALL24-ALL23</f>
        <v/>
      </c>
      <c r="ALM25" s="16">
        <f>ALM24-ALM23</f>
        <v/>
      </c>
      <c r="ALN25" s="16">
        <f>ALN24-ALN23</f>
        <v/>
      </c>
      <c r="ALO25" s="16">
        <f>ALO24-ALO23</f>
        <v/>
      </c>
      <c r="ALP25" s="16">
        <f>ALP24-ALP23</f>
        <v/>
      </c>
      <c r="ALQ25" s="16">
        <f>ALQ24-ALQ23</f>
        <v/>
      </c>
      <c r="ALR25" s="16">
        <f>ALR24-ALR23</f>
        <v/>
      </c>
      <c r="ALS25" s="16">
        <f>ALS24-ALS23</f>
        <v/>
      </c>
      <c r="ALT25" s="16">
        <f>ALT24-ALT23</f>
        <v/>
      </c>
      <c r="ALU25" s="127">
        <f>SUM(AKP25:ALT25)</f>
        <v/>
      </c>
      <c r="ALV25" s="16">
        <f>ALV24-ALV23</f>
        <v/>
      </c>
      <c r="ALW25" s="16">
        <f>ALW24-ALW23</f>
        <v/>
      </c>
      <c r="ALX25" s="16">
        <f>ALX24-ALX23</f>
        <v/>
      </c>
      <c r="ALY25" s="16">
        <f>ALY24-ALY23</f>
        <v/>
      </c>
      <c r="ALZ25" s="16">
        <f>ALZ24-ALZ23</f>
        <v/>
      </c>
      <c r="AMA25" s="16">
        <f>AMA24-AMA23</f>
        <v/>
      </c>
      <c r="AMB25" s="16">
        <f>AMB24-AMB23</f>
        <v/>
      </c>
      <c r="AMC25" s="16">
        <f>AMC24-AMC23</f>
        <v/>
      </c>
      <c r="AMD25" s="16">
        <f>AMD24-AMD23</f>
        <v/>
      </c>
      <c r="AME25" s="16">
        <f>AME24-AME23</f>
        <v/>
      </c>
      <c r="AMF25" s="16">
        <f>AMF24-AMF23</f>
        <v/>
      </c>
      <c r="AMG25" s="16">
        <f>AMG24-AMG23</f>
        <v/>
      </c>
      <c r="AMH25" s="16">
        <f>AMH24-AMH23</f>
        <v/>
      </c>
      <c r="AMI25" s="16">
        <f>AMI24-AMI23</f>
        <v/>
      </c>
      <c r="AMJ25" s="16">
        <f>AMJ24-AMJ23</f>
        <v/>
      </c>
      <c r="AMK25" s="16">
        <f>AMK24-AMK23</f>
        <v/>
      </c>
      <c r="AML25" s="16">
        <f>AML24-AML23</f>
        <v/>
      </c>
      <c r="AMM25" s="16">
        <f>AMM24-AMM23</f>
        <v/>
      </c>
      <c r="AMN25" s="16">
        <f>AMN24-AMN23</f>
        <v/>
      </c>
      <c r="AMO25" s="16">
        <f>AMO24-AMO23</f>
        <v/>
      </c>
      <c r="AMP25" s="16">
        <f>AMP24-AMP23</f>
        <v/>
      </c>
      <c r="AMQ25" s="16">
        <f>AMQ24-AMQ23</f>
        <v/>
      </c>
      <c r="AMR25" s="16">
        <f>AMR24-AMR23</f>
        <v/>
      </c>
      <c r="AMS25" s="16">
        <f>AMS24-AMS23</f>
        <v/>
      </c>
      <c r="AMT25" s="16">
        <f>AMT24-AMT23</f>
        <v/>
      </c>
      <c r="AMU25" s="16">
        <f>AMU24-AMU23</f>
        <v/>
      </c>
      <c r="AMV25" s="16">
        <f>AMV24-AMV23</f>
        <v/>
      </c>
      <c r="AMW25" s="16">
        <f>AMW24-AMW23</f>
        <v/>
      </c>
      <c r="AMX25" s="16">
        <f>AMX24-AMX23</f>
        <v/>
      </c>
      <c r="AMY25" s="16">
        <f>AMY24-AMY23</f>
        <v/>
      </c>
      <c r="AMZ25" s="127">
        <f>SUM(ALV25:AMY25)</f>
        <v/>
      </c>
      <c r="ANA25" s="16">
        <f>ANA24-ANA23</f>
        <v/>
      </c>
      <c r="ANB25" s="16">
        <f>ANB24-ANB23</f>
        <v/>
      </c>
      <c r="ANC25" s="16">
        <f>ANC24-ANC23</f>
        <v/>
      </c>
      <c r="AND25" s="16">
        <f>AND24-AND23</f>
        <v/>
      </c>
      <c r="ANE25" s="16">
        <f>ANE24-ANE23</f>
        <v/>
      </c>
      <c r="ANF25" s="16">
        <f>ANF24-ANF23</f>
        <v/>
      </c>
      <c r="ANG25" s="16">
        <f>ANG24-ANG23</f>
        <v/>
      </c>
      <c r="ANH25" s="16">
        <f>ANH24-ANH23</f>
        <v/>
      </c>
      <c r="ANI25" s="16">
        <f>ANI24-ANI23</f>
        <v/>
      </c>
      <c r="ANJ25" s="16">
        <f>ANJ24-ANJ23</f>
        <v/>
      </c>
      <c r="ANK25" s="16">
        <f>ANK24-ANK23</f>
        <v/>
      </c>
      <c r="ANL25" s="16">
        <f>ANL24-ANL23</f>
        <v/>
      </c>
      <c r="ANM25" s="16">
        <f>ANM24-ANM23</f>
        <v/>
      </c>
      <c r="ANN25" s="16">
        <f>ANN24-ANN23</f>
        <v/>
      </c>
      <c r="ANO25" s="16">
        <f>ANO24-ANO23</f>
        <v/>
      </c>
      <c r="ANP25" s="16">
        <f>ANP24-ANP23</f>
        <v/>
      </c>
      <c r="ANQ25" s="16">
        <f>ANQ24-ANQ23</f>
        <v/>
      </c>
      <c r="ANR25" s="16">
        <f>ANR24-ANR23</f>
        <v/>
      </c>
      <c r="ANS25" s="16">
        <f>ANS24-ANS23</f>
        <v/>
      </c>
      <c r="ANT25" s="16">
        <f>ANT24-ANT23</f>
        <v/>
      </c>
      <c r="ANU25" s="16">
        <f>ANU24-ANU23</f>
        <v/>
      </c>
      <c r="ANV25" s="16">
        <f>ANV24-ANV23</f>
        <v/>
      </c>
      <c r="ANW25" s="16">
        <f>ANW24-ANW23</f>
        <v/>
      </c>
      <c r="ANX25" s="16">
        <f>ANX24-ANX23</f>
        <v/>
      </c>
      <c r="ANY25" s="16">
        <f>ANY24-ANY23</f>
        <v/>
      </c>
      <c r="ANZ25" s="16">
        <f>ANZ24-ANZ23</f>
        <v/>
      </c>
      <c r="AOA25" s="16">
        <f>AOA24-AOA23</f>
        <v/>
      </c>
      <c r="AOB25" s="16">
        <f>AOB24-AOB23</f>
        <v/>
      </c>
      <c r="AOC25" s="16">
        <f>AOC24-AOC23</f>
        <v/>
      </c>
      <c r="AOD25" s="16">
        <f>AOD24-AOD23</f>
        <v/>
      </c>
      <c r="AOE25">
        <f>AOE24-AOE23</f>
        <v/>
      </c>
      <c r="AOF25">
        <f>AOF24-AOF23</f>
        <v/>
      </c>
    </row>
    <row r="26">
      <c r="A26" s="157" t="n"/>
      <c r="B26" s="159" t="inlineStr">
        <is>
          <t>AGO 3</t>
        </is>
      </c>
      <c r="C26" s="47" t="inlineStr">
        <is>
          <t>OPENING</t>
        </is>
      </c>
      <c r="D26" s="48" t="n">
        <v>226170.297</v>
      </c>
      <c r="E26" s="18">
        <f>D27</f>
        <v/>
      </c>
      <c r="F26" s="18">
        <f>E27</f>
        <v/>
      </c>
      <c r="G26" s="18">
        <f>F27</f>
        <v/>
      </c>
      <c r="H26" s="18">
        <f>G27</f>
        <v/>
      </c>
      <c r="I26" s="18">
        <f>H27</f>
        <v/>
      </c>
      <c r="J26" s="18">
        <f>I27</f>
        <v/>
      </c>
      <c r="K26" s="18">
        <f>J27</f>
        <v/>
      </c>
      <c r="L26" s="18">
        <f>K27</f>
        <v/>
      </c>
      <c r="M26" s="18">
        <f>L27</f>
        <v/>
      </c>
      <c r="N26" s="18">
        <f>M27</f>
        <v/>
      </c>
      <c r="O26" s="18">
        <f>N27</f>
        <v/>
      </c>
      <c r="P26" s="18">
        <f>O27</f>
        <v/>
      </c>
      <c r="Q26" s="18">
        <f>P27</f>
        <v/>
      </c>
      <c r="R26" s="18">
        <f>Q27</f>
        <v/>
      </c>
      <c r="S26" s="18">
        <f>R27</f>
        <v/>
      </c>
      <c r="T26" s="18">
        <f>S27</f>
        <v/>
      </c>
      <c r="U26" s="18">
        <f>T27</f>
        <v/>
      </c>
      <c r="V26" s="18">
        <f>U27</f>
        <v/>
      </c>
      <c r="W26" s="18">
        <f>V27</f>
        <v/>
      </c>
      <c r="X26" s="18">
        <f>W27</f>
        <v/>
      </c>
      <c r="Y26" s="18">
        <f>X27</f>
        <v/>
      </c>
      <c r="Z26" s="18">
        <f>Y27</f>
        <v/>
      </c>
      <c r="AA26" s="18">
        <f>Z27</f>
        <v/>
      </c>
      <c r="AB26" s="18">
        <f>AA27</f>
        <v/>
      </c>
      <c r="AC26" s="18">
        <f>AB27</f>
        <v/>
      </c>
      <c r="AD26" s="18">
        <f>AC27</f>
        <v/>
      </c>
      <c r="AE26" s="18">
        <f>AD27</f>
        <v/>
      </c>
      <c r="AF26" s="18">
        <f>AE27</f>
        <v/>
      </c>
      <c r="AG26" s="18">
        <f>AF27</f>
        <v/>
      </c>
      <c r="AH26" s="18">
        <f>AG27</f>
        <v/>
      </c>
      <c r="AI26" s="17" t="n"/>
      <c r="AJ26" s="90">
        <f>AH27</f>
        <v/>
      </c>
      <c r="AK26" s="13">
        <f>AJ27</f>
        <v/>
      </c>
      <c r="AL26" s="13">
        <f>AK27</f>
        <v/>
      </c>
      <c r="AM26" s="13">
        <f>AL27</f>
        <v/>
      </c>
      <c r="AN26" s="13">
        <f>AM27</f>
        <v/>
      </c>
      <c r="AO26" s="13">
        <f>AN27</f>
        <v/>
      </c>
      <c r="AP26" s="13">
        <f>AO27</f>
        <v/>
      </c>
      <c r="AQ26" s="13">
        <f>AP27</f>
        <v/>
      </c>
      <c r="AR26" s="13">
        <f>AQ27</f>
        <v/>
      </c>
      <c r="AS26" s="13">
        <f>AR27</f>
        <v/>
      </c>
      <c r="AT26" s="13">
        <f>AS27</f>
        <v/>
      </c>
      <c r="AU26" s="13">
        <f>AT27</f>
        <v/>
      </c>
      <c r="AV26" s="13">
        <f>AU27</f>
        <v/>
      </c>
      <c r="AW26" s="13">
        <f>AV27</f>
        <v/>
      </c>
      <c r="AX26" s="13">
        <f>AW27</f>
        <v/>
      </c>
      <c r="AY26" s="13">
        <f>AX27</f>
        <v/>
      </c>
      <c r="AZ26" s="13">
        <f>AY27</f>
        <v/>
      </c>
      <c r="BA26" s="13">
        <f>AZ27</f>
        <v/>
      </c>
      <c r="BB26" s="13">
        <f>BA27</f>
        <v/>
      </c>
      <c r="BC26" s="13">
        <f>BB27</f>
        <v/>
      </c>
      <c r="BD26" s="13">
        <f>BC27</f>
        <v/>
      </c>
      <c r="BE26" s="13">
        <f>BD27</f>
        <v/>
      </c>
      <c r="BF26" s="13">
        <f>BE27</f>
        <v/>
      </c>
      <c r="BG26" s="13">
        <f>BF27</f>
        <v/>
      </c>
      <c r="BH26" s="13">
        <f>BG27</f>
        <v/>
      </c>
      <c r="BI26" s="13">
        <f>BH27</f>
        <v/>
      </c>
      <c r="BJ26" s="13">
        <f>BI27</f>
        <v/>
      </c>
      <c r="BK26" s="13">
        <f>BJ27</f>
        <v/>
      </c>
      <c r="BL26" s="13">
        <f>BK27</f>
        <v/>
      </c>
      <c r="BM26" s="13">
        <f>BL27</f>
        <v/>
      </c>
      <c r="BO26" s="13">
        <f>BM27</f>
        <v/>
      </c>
      <c r="BP26">
        <f>BO27</f>
        <v/>
      </c>
      <c r="BQ26">
        <f>BP27</f>
        <v/>
      </c>
      <c r="BR26">
        <f>BQ27</f>
        <v/>
      </c>
      <c r="BS26">
        <f>BR27</f>
        <v/>
      </c>
      <c r="BT26">
        <f>BS27</f>
        <v/>
      </c>
      <c r="BU26">
        <f>BT27</f>
        <v/>
      </c>
      <c r="BV26">
        <f>BU27</f>
        <v/>
      </c>
      <c r="BW26">
        <f>BV27</f>
        <v/>
      </c>
      <c r="BX26">
        <f>BW27</f>
        <v/>
      </c>
      <c r="BY26">
        <f>BX27</f>
        <v/>
      </c>
      <c r="BZ26">
        <f>BY27</f>
        <v/>
      </c>
      <c r="CA26">
        <f>BZ27</f>
        <v/>
      </c>
      <c r="CB26">
        <f>CA27</f>
        <v/>
      </c>
      <c r="CC26">
        <f>CB27</f>
        <v/>
      </c>
      <c r="CD26">
        <f>CC27</f>
        <v/>
      </c>
      <c r="CE26">
        <f>CD27</f>
        <v/>
      </c>
      <c r="CF26">
        <f>CE27</f>
        <v/>
      </c>
      <c r="CG26">
        <f>CF27</f>
        <v/>
      </c>
      <c r="CH26">
        <f>CG27</f>
        <v/>
      </c>
      <c r="CI26">
        <f>CH27</f>
        <v/>
      </c>
      <c r="CJ26">
        <f>CI27</f>
        <v/>
      </c>
      <c r="CK26">
        <f>CJ27</f>
        <v/>
      </c>
      <c r="CL26">
        <f>CK27</f>
        <v/>
      </c>
      <c r="CM26">
        <f>CL27</f>
        <v/>
      </c>
      <c r="CN26">
        <f>CM27</f>
        <v/>
      </c>
      <c r="CO26">
        <f>CN27</f>
        <v/>
      </c>
      <c r="CP26">
        <f>CO27</f>
        <v/>
      </c>
      <c r="CQ26">
        <f>CP27</f>
        <v/>
      </c>
      <c r="CR26">
        <f>CQ27</f>
        <v/>
      </c>
      <c r="CS26">
        <f>CR27</f>
        <v/>
      </c>
      <c r="CU26" s="13">
        <f>CS27</f>
        <v/>
      </c>
      <c r="CV26">
        <f>CU27</f>
        <v/>
      </c>
      <c r="CW26">
        <f>CV27</f>
        <v/>
      </c>
      <c r="CX26">
        <f>CW27</f>
        <v/>
      </c>
      <c r="CY26">
        <f>CX27</f>
        <v/>
      </c>
      <c r="CZ26">
        <f>CY27</f>
        <v/>
      </c>
      <c r="DA26">
        <f>CZ27</f>
        <v/>
      </c>
      <c r="DB26">
        <f>DA27</f>
        <v/>
      </c>
      <c r="DC26">
        <f>DB27</f>
        <v/>
      </c>
      <c r="DD26">
        <f>DC27</f>
        <v/>
      </c>
      <c r="DE26">
        <f>DD27</f>
        <v/>
      </c>
      <c r="DF26">
        <f>DE27</f>
        <v/>
      </c>
      <c r="DG26">
        <f>DF27</f>
        <v/>
      </c>
      <c r="DH26">
        <f>DG27</f>
        <v/>
      </c>
      <c r="DI26">
        <f>DH27</f>
        <v/>
      </c>
      <c r="DJ26">
        <f>DI27</f>
        <v/>
      </c>
      <c r="DK26">
        <f>DJ27</f>
        <v/>
      </c>
      <c r="DL26">
        <f>DK27</f>
        <v/>
      </c>
      <c r="DM26">
        <f>DL27</f>
        <v/>
      </c>
      <c r="DN26">
        <f>DM27</f>
        <v/>
      </c>
      <c r="DO26">
        <f>DN27</f>
        <v/>
      </c>
      <c r="DP26">
        <f>DO27</f>
        <v/>
      </c>
      <c r="DQ26">
        <f>DP27</f>
        <v/>
      </c>
      <c r="DR26">
        <f>DQ27</f>
        <v/>
      </c>
      <c r="DS26">
        <f>DR27</f>
        <v/>
      </c>
      <c r="DT26">
        <f>DS27</f>
        <v/>
      </c>
      <c r="DU26">
        <f>DT27</f>
        <v/>
      </c>
      <c r="DV26">
        <f>DU27</f>
        <v/>
      </c>
      <c r="DW26">
        <f>DV27</f>
        <v/>
      </c>
      <c r="DX26">
        <f>DW27</f>
        <v/>
      </c>
      <c r="DY26" s="117" t="n"/>
      <c r="DZ26">
        <f>DX27</f>
        <v/>
      </c>
      <c r="EA26">
        <f>DZ27</f>
        <v/>
      </c>
      <c r="EB26">
        <f>EA27</f>
        <v/>
      </c>
      <c r="EC26">
        <f>EB27</f>
        <v/>
      </c>
      <c r="ED26">
        <f>EC27</f>
        <v/>
      </c>
      <c r="EE26">
        <f>ED27</f>
        <v/>
      </c>
      <c r="EF26">
        <f>EE27</f>
        <v/>
      </c>
      <c r="EG26">
        <f>EF27</f>
        <v/>
      </c>
      <c r="EH26">
        <f>EG27</f>
        <v/>
      </c>
      <c r="EI26">
        <f>EH27</f>
        <v/>
      </c>
      <c r="EJ26">
        <f>EI27</f>
        <v/>
      </c>
      <c r="EK26">
        <f>EJ27</f>
        <v/>
      </c>
      <c r="EL26">
        <f>EK27</f>
        <v/>
      </c>
      <c r="EM26">
        <f>EL27</f>
        <v/>
      </c>
      <c r="EN26">
        <f>EM27</f>
        <v/>
      </c>
      <c r="EO26">
        <f>EN27</f>
        <v/>
      </c>
      <c r="EP26">
        <f>EO27</f>
        <v/>
      </c>
      <c r="EQ26">
        <f>EP27</f>
        <v/>
      </c>
      <c r="ER26">
        <f>EQ27</f>
        <v/>
      </c>
      <c r="ES26">
        <f>ER27</f>
        <v/>
      </c>
      <c r="ET26">
        <f>ES27</f>
        <v/>
      </c>
      <c r="EU26">
        <f>ET27</f>
        <v/>
      </c>
      <c r="EV26">
        <f>EU27</f>
        <v/>
      </c>
      <c r="EW26">
        <f>EV27</f>
        <v/>
      </c>
      <c r="EX26">
        <f>EW27</f>
        <v/>
      </c>
      <c r="EY26">
        <f>EX27</f>
        <v/>
      </c>
      <c r="EZ26">
        <f>EY27</f>
        <v/>
      </c>
      <c r="FA26">
        <f>EZ27</f>
        <v/>
      </c>
      <c r="FB26">
        <f>FA27</f>
        <v/>
      </c>
      <c r="FC26">
        <f>FB27</f>
        <v/>
      </c>
      <c r="FD26">
        <f>FC27</f>
        <v/>
      </c>
      <c r="FE26" s="126" t="n"/>
      <c r="FF26">
        <f>FD27</f>
        <v/>
      </c>
      <c r="FG26">
        <f>FF27</f>
        <v/>
      </c>
      <c r="FH26">
        <f>FG27</f>
        <v/>
      </c>
      <c r="FI26">
        <f>FH27</f>
        <v/>
      </c>
      <c r="FJ26">
        <f>FI27</f>
        <v/>
      </c>
      <c r="FK26">
        <f>FJ27</f>
        <v/>
      </c>
      <c r="FL26">
        <f>FK27</f>
        <v/>
      </c>
      <c r="FM26">
        <f>FL27</f>
        <v/>
      </c>
      <c r="FN26">
        <f>FM27</f>
        <v/>
      </c>
      <c r="FO26">
        <f>FN27</f>
        <v/>
      </c>
      <c r="FP26">
        <f>FO27</f>
        <v/>
      </c>
      <c r="FQ26">
        <f>FP27</f>
        <v/>
      </c>
      <c r="FR26">
        <f>FQ27</f>
        <v/>
      </c>
      <c r="FS26">
        <f>FR27</f>
        <v/>
      </c>
      <c r="FT26">
        <f>FS27</f>
        <v/>
      </c>
      <c r="FU26">
        <f>FT27</f>
        <v/>
      </c>
      <c r="FV26">
        <f>FU27</f>
        <v/>
      </c>
      <c r="FW26">
        <f>FV27</f>
        <v/>
      </c>
      <c r="FX26">
        <f>FW27</f>
        <v/>
      </c>
      <c r="FY26">
        <f>FX27</f>
        <v/>
      </c>
      <c r="FZ26">
        <f>FY27</f>
        <v/>
      </c>
      <c r="GA26">
        <f>FZ27</f>
        <v/>
      </c>
      <c r="GB26">
        <f>GA27</f>
        <v/>
      </c>
      <c r="GC26">
        <f>GB27</f>
        <v/>
      </c>
      <c r="GD26">
        <f>GC27</f>
        <v/>
      </c>
      <c r="GE26">
        <f>GD27</f>
        <v/>
      </c>
      <c r="GF26">
        <f>GE27</f>
        <v/>
      </c>
      <c r="GG26">
        <f>GF27</f>
        <v/>
      </c>
      <c r="GH26">
        <f>GG27</f>
        <v/>
      </c>
      <c r="GI26">
        <f>GH27</f>
        <v/>
      </c>
      <c r="GJ26">
        <f>GI27</f>
        <v/>
      </c>
      <c r="GK26" s="127">
        <f>SUM(FF26:GJ26)</f>
        <v/>
      </c>
      <c r="GL26">
        <f>GJ27</f>
        <v/>
      </c>
      <c r="GM26">
        <f>GL27</f>
        <v/>
      </c>
      <c r="GN26">
        <f>GM27</f>
        <v/>
      </c>
      <c r="GO26">
        <f>GN27</f>
        <v/>
      </c>
      <c r="GP26">
        <f>GO27</f>
        <v/>
      </c>
      <c r="GQ26">
        <f>GP27</f>
        <v/>
      </c>
      <c r="GR26">
        <f>GQ27</f>
        <v/>
      </c>
      <c r="GS26">
        <f>GR27</f>
        <v/>
      </c>
      <c r="GT26">
        <f>GS27</f>
        <v/>
      </c>
      <c r="GU26">
        <f>GT27</f>
        <v/>
      </c>
      <c r="GV26">
        <f>GU27</f>
        <v/>
      </c>
      <c r="GW26">
        <f>GV27</f>
        <v/>
      </c>
      <c r="GX26">
        <f>GW27</f>
        <v/>
      </c>
      <c r="GY26">
        <f>GX27</f>
        <v/>
      </c>
      <c r="GZ26">
        <f>GY27</f>
        <v/>
      </c>
      <c r="HA26">
        <f>GZ27</f>
        <v/>
      </c>
      <c r="HB26">
        <f>HA27</f>
        <v/>
      </c>
      <c r="HC26">
        <f>HB27</f>
        <v/>
      </c>
      <c r="HD26">
        <f>HC27</f>
        <v/>
      </c>
      <c r="HE26">
        <f>HD27</f>
        <v/>
      </c>
      <c r="HF26">
        <f>HE27</f>
        <v/>
      </c>
      <c r="HG26">
        <f>HF27</f>
        <v/>
      </c>
      <c r="HH26">
        <f>HG27</f>
        <v/>
      </c>
      <c r="HI26">
        <f>HH27</f>
        <v/>
      </c>
      <c r="HJ26">
        <f>HI27</f>
        <v/>
      </c>
      <c r="HK26">
        <f>HJ27</f>
        <v/>
      </c>
      <c r="HL26">
        <f>HK27</f>
        <v/>
      </c>
      <c r="HM26">
        <f>HL27</f>
        <v/>
      </c>
      <c r="HN26">
        <f>HM27</f>
        <v/>
      </c>
      <c r="HO26" s="127">
        <f>SUM(GL26:HN26)</f>
        <v/>
      </c>
      <c r="HP26">
        <f>HN27</f>
        <v/>
      </c>
      <c r="HQ26">
        <f>HP27</f>
        <v/>
      </c>
      <c r="HR26">
        <f>HQ27</f>
        <v/>
      </c>
      <c r="HS26">
        <f>HR27</f>
        <v/>
      </c>
      <c r="HT26">
        <f>HS27</f>
        <v/>
      </c>
      <c r="HU26">
        <f>HT27</f>
        <v/>
      </c>
      <c r="HV26">
        <f>HU27</f>
        <v/>
      </c>
      <c r="HW26">
        <f>HV27</f>
        <v/>
      </c>
      <c r="HX26">
        <f>HW27</f>
        <v/>
      </c>
      <c r="HY26">
        <f>HX27</f>
        <v/>
      </c>
      <c r="HZ26">
        <f>HY27</f>
        <v/>
      </c>
      <c r="IA26">
        <f>HZ27</f>
        <v/>
      </c>
      <c r="IB26">
        <f>IA27</f>
        <v/>
      </c>
      <c r="IC26">
        <f>IB27</f>
        <v/>
      </c>
      <c r="ID26">
        <f>IC27</f>
        <v/>
      </c>
      <c r="IE26">
        <f>ID27</f>
        <v/>
      </c>
      <c r="IF26">
        <f>IE27</f>
        <v/>
      </c>
      <c r="IG26">
        <f>IF27</f>
        <v/>
      </c>
      <c r="IH26">
        <f>IG27</f>
        <v/>
      </c>
      <c r="II26">
        <f>IH27</f>
        <v/>
      </c>
      <c r="IJ26">
        <f>II27</f>
        <v/>
      </c>
      <c r="IK26">
        <f>IJ27</f>
        <v/>
      </c>
      <c r="IL26">
        <f>IK27</f>
        <v/>
      </c>
      <c r="IM26">
        <f>IL27</f>
        <v/>
      </c>
      <c r="IN26">
        <f>IM27</f>
        <v/>
      </c>
      <c r="IO26">
        <f>IN27</f>
        <v/>
      </c>
      <c r="IP26">
        <f>IO27</f>
        <v/>
      </c>
      <c r="IQ26">
        <f>IP27</f>
        <v/>
      </c>
      <c r="IR26">
        <f>IQ27</f>
        <v/>
      </c>
      <c r="IS26">
        <f>IR27</f>
        <v/>
      </c>
      <c r="IT26">
        <f>IS27</f>
        <v/>
      </c>
      <c r="IU26" s="127">
        <f>SUM(HP26:IT26)</f>
        <v/>
      </c>
      <c r="IV26">
        <f>IT27</f>
        <v/>
      </c>
      <c r="IW26">
        <f>IV27</f>
        <v/>
      </c>
      <c r="IX26">
        <f>IW27</f>
        <v/>
      </c>
      <c r="IY26">
        <f>IX27</f>
        <v/>
      </c>
      <c r="IZ26">
        <f>IY27</f>
        <v/>
      </c>
      <c r="JA26">
        <f>IZ27</f>
        <v/>
      </c>
      <c r="JB26">
        <f>JA27</f>
        <v/>
      </c>
      <c r="JC26">
        <f>JB27</f>
        <v/>
      </c>
      <c r="JD26">
        <f>JC27</f>
        <v/>
      </c>
      <c r="JE26">
        <f>JD27</f>
        <v/>
      </c>
      <c r="JF26">
        <f>JE27</f>
        <v/>
      </c>
      <c r="JG26">
        <f>JF27</f>
        <v/>
      </c>
      <c r="JH26">
        <f>JG27</f>
        <v/>
      </c>
      <c r="JI26">
        <f>JH27</f>
        <v/>
      </c>
      <c r="JJ26">
        <f>JI27</f>
        <v/>
      </c>
      <c r="JK26">
        <f>JJ27</f>
        <v/>
      </c>
      <c r="JL26">
        <f>JK27</f>
        <v/>
      </c>
      <c r="JM26">
        <f>JL27</f>
        <v/>
      </c>
      <c r="JN26">
        <f>JM27</f>
        <v/>
      </c>
      <c r="JO26">
        <f>JN27</f>
        <v/>
      </c>
      <c r="JP26">
        <f>JO27</f>
        <v/>
      </c>
      <c r="JQ26">
        <f>JP27</f>
        <v/>
      </c>
      <c r="JR26">
        <f>JQ27</f>
        <v/>
      </c>
      <c r="JS26">
        <f>JR27</f>
        <v/>
      </c>
      <c r="JT26">
        <f>JS27</f>
        <v/>
      </c>
      <c r="JU26">
        <f>JT27</f>
        <v/>
      </c>
      <c r="JV26">
        <f>JU27</f>
        <v/>
      </c>
      <c r="JW26">
        <f>JV27</f>
        <v/>
      </c>
      <c r="JX26">
        <f>JW27</f>
        <v/>
      </c>
      <c r="JY26">
        <f>JX27</f>
        <v/>
      </c>
      <c r="JZ26" s="127" t="n">
        <v>0</v>
      </c>
      <c r="KA26">
        <f>JY27</f>
        <v/>
      </c>
      <c r="KB26">
        <f>KA27</f>
        <v/>
      </c>
      <c r="KC26">
        <f>KB27</f>
        <v/>
      </c>
      <c r="KD26">
        <f>KC27</f>
        <v/>
      </c>
      <c r="KE26">
        <f>KD27</f>
        <v/>
      </c>
      <c r="KF26">
        <f>KE27</f>
        <v/>
      </c>
      <c r="KG26">
        <f>KF27</f>
        <v/>
      </c>
      <c r="KH26">
        <f>KG27</f>
        <v/>
      </c>
      <c r="KI26">
        <f>KH27</f>
        <v/>
      </c>
      <c r="KJ26">
        <f>KI27</f>
        <v/>
      </c>
      <c r="KK26">
        <f>KJ27</f>
        <v/>
      </c>
      <c r="KL26">
        <f>KK27</f>
        <v/>
      </c>
      <c r="KM26">
        <f>KL27</f>
        <v/>
      </c>
      <c r="KN26">
        <f>KM27</f>
        <v/>
      </c>
      <c r="KO26">
        <f>KN27</f>
        <v/>
      </c>
      <c r="KP26">
        <f>KO27</f>
        <v/>
      </c>
      <c r="KQ26">
        <f>KP27</f>
        <v/>
      </c>
      <c r="KR26">
        <f>KQ27</f>
        <v/>
      </c>
      <c r="KS26">
        <f>KR27</f>
        <v/>
      </c>
      <c r="KT26">
        <f>KS27</f>
        <v/>
      </c>
      <c r="KU26">
        <f>KT27</f>
        <v/>
      </c>
      <c r="KV26">
        <f>KU27</f>
        <v/>
      </c>
      <c r="KW26">
        <f>KV27</f>
        <v/>
      </c>
      <c r="KX26">
        <f>KW27</f>
        <v/>
      </c>
      <c r="KY26">
        <f>KX27</f>
        <v/>
      </c>
      <c r="KZ26">
        <f>KY27</f>
        <v/>
      </c>
      <c r="LA26">
        <f>KZ27</f>
        <v/>
      </c>
      <c r="LB26">
        <f>LA27</f>
        <v/>
      </c>
      <c r="LC26">
        <f>LB27</f>
        <v/>
      </c>
      <c r="LD26">
        <f>LC27</f>
        <v/>
      </c>
      <c r="LE26">
        <f>LD27</f>
        <v/>
      </c>
      <c r="LF26" s="127" t="n">
        <v>0</v>
      </c>
      <c r="LG26">
        <f>LE27</f>
        <v/>
      </c>
      <c r="LH26">
        <f>LG27</f>
        <v/>
      </c>
      <c r="LI26">
        <f>LH27</f>
        <v/>
      </c>
      <c r="LJ26">
        <f>LI27</f>
        <v/>
      </c>
      <c r="LK26">
        <f>LJ27</f>
        <v/>
      </c>
      <c r="LL26">
        <f>LK27</f>
        <v/>
      </c>
      <c r="LM26">
        <f>LL27</f>
        <v/>
      </c>
      <c r="LN26">
        <f>LM27</f>
        <v/>
      </c>
      <c r="LO26">
        <f>LN27</f>
        <v/>
      </c>
      <c r="LP26">
        <f>LO27</f>
        <v/>
      </c>
      <c r="LQ26">
        <f>LP27</f>
        <v/>
      </c>
      <c r="LR26">
        <f>LQ27</f>
        <v/>
      </c>
      <c r="LS26">
        <f>LR27</f>
        <v/>
      </c>
      <c r="LT26">
        <f>LS27</f>
        <v/>
      </c>
      <c r="LU26">
        <f>LT27</f>
        <v/>
      </c>
      <c r="LV26">
        <f>LU27</f>
        <v/>
      </c>
      <c r="LW26">
        <f>LV27</f>
        <v/>
      </c>
      <c r="LX26">
        <f>LW27</f>
        <v/>
      </c>
      <c r="LY26">
        <f>LX27</f>
        <v/>
      </c>
      <c r="LZ26">
        <f>LY27</f>
        <v/>
      </c>
      <c r="MA26">
        <f>LZ27</f>
        <v/>
      </c>
      <c r="MB26">
        <f>MA27</f>
        <v/>
      </c>
      <c r="MC26">
        <f>MB27</f>
        <v/>
      </c>
      <c r="MD26">
        <f>MC27</f>
        <v/>
      </c>
      <c r="ME26">
        <f>MD27</f>
        <v/>
      </c>
      <c r="MF26">
        <f>ME27</f>
        <v/>
      </c>
      <c r="MG26">
        <f>MF27</f>
        <v/>
      </c>
      <c r="MH26">
        <f>MG27</f>
        <v/>
      </c>
      <c r="MI26">
        <f>MH27</f>
        <v/>
      </c>
      <c r="MJ26">
        <f>MI27</f>
        <v/>
      </c>
      <c r="MK26" s="127" t="n">
        <v>0</v>
      </c>
      <c r="ML26">
        <f>MJ27</f>
        <v/>
      </c>
      <c r="MM26">
        <f>ML27</f>
        <v/>
      </c>
      <c r="MN26">
        <f>MM27</f>
        <v/>
      </c>
      <c r="MO26">
        <f>MN27</f>
        <v/>
      </c>
      <c r="MP26">
        <f>MO27</f>
        <v/>
      </c>
      <c r="MQ26">
        <f>MP27</f>
        <v/>
      </c>
      <c r="MR26">
        <f>MQ27</f>
        <v/>
      </c>
      <c r="MS26">
        <f>MR27</f>
        <v/>
      </c>
      <c r="MT26">
        <f>MS27</f>
        <v/>
      </c>
      <c r="MU26">
        <f>MT27</f>
        <v/>
      </c>
      <c r="MV26">
        <f>MU27</f>
        <v/>
      </c>
      <c r="MW26">
        <f>MV27</f>
        <v/>
      </c>
      <c r="MX26">
        <f>MW27</f>
        <v/>
      </c>
      <c r="MY26">
        <f>MX27</f>
        <v/>
      </c>
      <c r="MZ26">
        <f>MY27</f>
        <v/>
      </c>
      <c r="NA26">
        <f>MZ27</f>
        <v/>
      </c>
      <c r="NB26">
        <f>NA27</f>
        <v/>
      </c>
      <c r="NC26">
        <f>NB27</f>
        <v/>
      </c>
      <c r="ND26">
        <f>NC27</f>
        <v/>
      </c>
      <c r="NE26">
        <f>ND27</f>
        <v/>
      </c>
      <c r="NF26">
        <f>NE27</f>
        <v/>
      </c>
      <c r="NG26">
        <f>NF27</f>
        <v/>
      </c>
      <c r="NH26">
        <f>NG27</f>
        <v/>
      </c>
      <c r="NI26">
        <f>NH27</f>
        <v/>
      </c>
      <c r="NJ26">
        <f>NI27</f>
        <v/>
      </c>
      <c r="NK26">
        <f>NJ27</f>
        <v/>
      </c>
      <c r="NL26">
        <f>NK27</f>
        <v/>
      </c>
      <c r="NM26">
        <f>NL27</f>
        <v/>
      </c>
      <c r="NN26">
        <f>NM27</f>
        <v/>
      </c>
      <c r="NO26">
        <f>NN27</f>
        <v/>
      </c>
      <c r="NP26">
        <f>NO27</f>
        <v/>
      </c>
      <c r="NQ26" s="127" t="n">
        <v>0</v>
      </c>
      <c r="NR26">
        <f>NP27</f>
        <v/>
      </c>
      <c r="NS26">
        <f>NR27</f>
        <v/>
      </c>
      <c r="NT26">
        <f>NS27</f>
        <v/>
      </c>
      <c r="NU26">
        <f>NT27</f>
        <v/>
      </c>
      <c r="NV26">
        <f>NU27</f>
        <v/>
      </c>
      <c r="NW26">
        <f>NV27</f>
        <v/>
      </c>
      <c r="NX26">
        <f>NW27</f>
        <v/>
      </c>
      <c r="NY26">
        <f>NX27</f>
        <v/>
      </c>
      <c r="NZ26">
        <f>NY27</f>
        <v/>
      </c>
      <c r="OA26">
        <f>NZ27</f>
        <v/>
      </c>
      <c r="OB26">
        <f>OA27</f>
        <v/>
      </c>
      <c r="OC26">
        <f>OB27</f>
        <v/>
      </c>
      <c r="OD26">
        <f>OC27</f>
        <v/>
      </c>
      <c r="OE26">
        <f>OD27</f>
        <v/>
      </c>
      <c r="OF26">
        <f>OE27</f>
        <v/>
      </c>
      <c r="OG26">
        <f>OF27</f>
        <v/>
      </c>
      <c r="OH26">
        <f>OG27</f>
        <v/>
      </c>
      <c r="OI26">
        <f>OH27</f>
        <v/>
      </c>
      <c r="OJ26">
        <f>OI27</f>
        <v/>
      </c>
      <c r="OK26">
        <f>OJ27</f>
        <v/>
      </c>
      <c r="OL26">
        <f>OK27</f>
        <v/>
      </c>
      <c r="OM26">
        <f>OL27</f>
        <v/>
      </c>
      <c r="ON26">
        <f>OM27</f>
        <v/>
      </c>
      <c r="OO26">
        <f>ON27</f>
        <v/>
      </c>
      <c r="OP26">
        <f>OO27</f>
        <v/>
      </c>
      <c r="OQ26">
        <f>OP27</f>
        <v/>
      </c>
      <c r="OR26">
        <f>OQ27</f>
        <v/>
      </c>
      <c r="OS26">
        <f>OR27</f>
        <v/>
      </c>
      <c r="OT26">
        <f>OS27</f>
        <v/>
      </c>
      <c r="OU26">
        <f>OT27</f>
        <v/>
      </c>
      <c r="OV26">
        <f>OU27</f>
        <v/>
      </c>
      <c r="OW26" s="127" t="n">
        <v>0</v>
      </c>
      <c r="OX26">
        <f>OV27</f>
        <v/>
      </c>
      <c r="OY26">
        <f>OX27</f>
        <v/>
      </c>
      <c r="OZ26">
        <f>OY27</f>
        <v/>
      </c>
      <c r="PA26">
        <f>OZ27</f>
        <v/>
      </c>
      <c r="PB26">
        <f>PA27</f>
        <v/>
      </c>
      <c r="PC26">
        <f>PB27</f>
        <v/>
      </c>
      <c r="PD26">
        <f>PC27</f>
        <v/>
      </c>
      <c r="PE26">
        <f>PD27</f>
        <v/>
      </c>
      <c r="PF26">
        <f>PE27</f>
        <v/>
      </c>
      <c r="PG26">
        <f>PF27</f>
        <v/>
      </c>
      <c r="PH26">
        <f>PG27</f>
        <v/>
      </c>
      <c r="PI26">
        <f>PH27</f>
        <v/>
      </c>
      <c r="PJ26">
        <f>PI27</f>
        <v/>
      </c>
      <c r="PK26">
        <f>PJ27</f>
        <v/>
      </c>
      <c r="PL26">
        <f>PK27</f>
        <v/>
      </c>
      <c r="PM26">
        <f>PL27</f>
        <v/>
      </c>
      <c r="PN26">
        <f>PM27</f>
        <v/>
      </c>
      <c r="PO26">
        <f>PN27</f>
        <v/>
      </c>
      <c r="PP26">
        <f>PO27</f>
        <v/>
      </c>
      <c r="PQ26">
        <f>PP27</f>
        <v/>
      </c>
      <c r="PR26">
        <f>PQ27</f>
        <v/>
      </c>
      <c r="PS26">
        <f>PR27</f>
        <v/>
      </c>
      <c r="PT26">
        <f>PS27</f>
        <v/>
      </c>
      <c r="PU26">
        <f>PT27</f>
        <v/>
      </c>
      <c r="PV26">
        <f>PU27</f>
        <v/>
      </c>
      <c r="PW26">
        <f>PV27</f>
        <v/>
      </c>
      <c r="PX26">
        <f>PW27</f>
        <v/>
      </c>
      <c r="PY26">
        <f>PX27</f>
        <v/>
      </c>
      <c r="PZ26">
        <f>PY27</f>
        <v/>
      </c>
      <c r="QA26">
        <f>PZ27</f>
        <v/>
      </c>
      <c r="QB26" s="127" t="n">
        <v>0</v>
      </c>
      <c r="QC26">
        <f>QA27</f>
        <v/>
      </c>
      <c r="QD26">
        <f>QC27</f>
        <v/>
      </c>
      <c r="QE26">
        <f>QD27</f>
        <v/>
      </c>
      <c r="QF26">
        <f>QE27</f>
        <v/>
      </c>
      <c r="QG26">
        <f>QF27</f>
        <v/>
      </c>
      <c r="QH26">
        <f>QG27</f>
        <v/>
      </c>
      <c r="QI26">
        <f>QH27</f>
        <v/>
      </c>
      <c r="QJ26">
        <f>QI27</f>
        <v/>
      </c>
      <c r="QK26">
        <f>QJ27</f>
        <v/>
      </c>
      <c r="QL26">
        <f>QK27</f>
        <v/>
      </c>
      <c r="QM26">
        <f>QL27</f>
        <v/>
      </c>
      <c r="QN26">
        <f>QM27</f>
        <v/>
      </c>
      <c r="QO26">
        <f>QN27</f>
        <v/>
      </c>
      <c r="QP26">
        <f>QO27</f>
        <v/>
      </c>
      <c r="QQ26">
        <f>QP27</f>
        <v/>
      </c>
      <c r="QR26">
        <f>QQ27</f>
        <v/>
      </c>
      <c r="QS26">
        <f>QR27</f>
        <v/>
      </c>
      <c r="QT26">
        <f>QS27</f>
        <v/>
      </c>
      <c r="QU26">
        <f>QT27</f>
        <v/>
      </c>
      <c r="QV26">
        <f>QU27</f>
        <v/>
      </c>
      <c r="QW26">
        <f>QV27</f>
        <v/>
      </c>
      <c r="QX26">
        <f>QW27</f>
        <v/>
      </c>
      <c r="QY26">
        <f>QX27</f>
        <v/>
      </c>
      <c r="QZ26">
        <f>QY27</f>
        <v/>
      </c>
      <c r="RA26">
        <f>QZ27</f>
        <v/>
      </c>
      <c r="RB26">
        <f>RA27</f>
        <v/>
      </c>
      <c r="RC26">
        <f>RB27</f>
        <v/>
      </c>
      <c r="RD26">
        <f>RC27</f>
        <v/>
      </c>
      <c r="RE26">
        <f>RD27</f>
        <v/>
      </c>
      <c r="RF26">
        <f>RE27</f>
        <v/>
      </c>
      <c r="RG26">
        <f>RF27</f>
        <v/>
      </c>
      <c r="RH26" s="127" t="n">
        <v>0</v>
      </c>
      <c r="RI26">
        <f>RG27</f>
        <v/>
      </c>
      <c r="RJ26">
        <f>RI27</f>
        <v/>
      </c>
      <c r="RK26">
        <f>RJ27</f>
        <v/>
      </c>
      <c r="RL26">
        <f>RK27</f>
        <v/>
      </c>
      <c r="RM26">
        <f>RL27</f>
        <v/>
      </c>
      <c r="RN26">
        <f>RM27</f>
        <v/>
      </c>
      <c r="RO26">
        <f>RN27</f>
        <v/>
      </c>
      <c r="RP26">
        <f>RO27</f>
        <v/>
      </c>
      <c r="RQ26">
        <f>RP27</f>
        <v/>
      </c>
      <c r="RR26">
        <f>RQ27</f>
        <v/>
      </c>
      <c r="RS26">
        <f>RR27</f>
        <v/>
      </c>
      <c r="RT26">
        <f>RS27</f>
        <v/>
      </c>
      <c r="RU26">
        <f>RT27</f>
        <v/>
      </c>
      <c r="RV26">
        <f>RU27</f>
        <v/>
      </c>
      <c r="RW26">
        <f>RV27</f>
        <v/>
      </c>
      <c r="RX26">
        <f>RW27</f>
        <v/>
      </c>
      <c r="RY26">
        <f>RX27</f>
        <v/>
      </c>
      <c r="RZ26">
        <f>RY27</f>
        <v/>
      </c>
      <c r="SA26">
        <f>RZ27</f>
        <v/>
      </c>
      <c r="SB26">
        <f>SA27</f>
        <v/>
      </c>
      <c r="SC26">
        <f>SB27</f>
        <v/>
      </c>
      <c r="SD26">
        <f>SC27</f>
        <v/>
      </c>
      <c r="SE26">
        <f>SD27</f>
        <v/>
      </c>
      <c r="SF26">
        <f>SE27</f>
        <v/>
      </c>
      <c r="SG26">
        <f>SF27</f>
        <v/>
      </c>
      <c r="SH26">
        <f>SG27</f>
        <v/>
      </c>
      <c r="SI26">
        <f>SH27</f>
        <v/>
      </c>
      <c r="SJ26">
        <f>SI27</f>
        <v/>
      </c>
      <c r="SK26">
        <f>SJ27</f>
        <v/>
      </c>
      <c r="SL26">
        <f>SK27</f>
        <v/>
      </c>
      <c r="SM26" s="127" t="n">
        <v>0</v>
      </c>
      <c r="SN26">
        <f>SL27</f>
        <v/>
      </c>
      <c r="SO26">
        <f>SN27</f>
        <v/>
      </c>
      <c r="SP26">
        <f>SO27</f>
        <v/>
      </c>
      <c r="SQ26">
        <f>SP27</f>
        <v/>
      </c>
      <c r="SR26">
        <f>SQ27</f>
        <v/>
      </c>
      <c r="SS26">
        <f>SR27</f>
        <v/>
      </c>
      <c r="ST26">
        <f>SS27</f>
        <v/>
      </c>
      <c r="SU26">
        <f>ST27</f>
        <v/>
      </c>
      <c r="SV26">
        <f>SU27</f>
        <v/>
      </c>
      <c r="SW26">
        <f>SV27</f>
        <v/>
      </c>
      <c r="SX26">
        <f>SW27</f>
        <v/>
      </c>
      <c r="SY26">
        <f>SX27</f>
        <v/>
      </c>
      <c r="SZ26">
        <f>SY27</f>
        <v/>
      </c>
      <c r="TA26">
        <f>SZ27</f>
        <v/>
      </c>
      <c r="TB26">
        <f>TA27</f>
        <v/>
      </c>
      <c r="TC26">
        <f>TB27</f>
        <v/>
      </c>
      <c r="TD26">
        <f>TC27</f>
        <v/>
      </c>
      <c r="TE26">
        <f>TD27</f>
        <v/>
      </c>
      <c r="TF26">
        <f>TE27</f>
        <v/>
      </c>
      <c r="TG26">
        <f>TF27</f>
        <v/>
      </c>
      <c r="TH26">
        <f>TG27</f>
        <v/>
      </c>
      <c r="TI26">
        <f>TH27</f>
        <v/>
      </c>
      <c r="TJ26">
        <f>TI27</f>
        <v/>
      </c>
      <c r="TK26">
        <f>TJ27</f>
        <v/>
      </c>
      <c r="TL26">
        <f>TK27</f>
        <v/>
      </c>
      <c r="TM26">
        <f>TL27</f>
        <v/>
      </c>
      <c r="TN26">
        <f>TM27</f>
        <v/>
      </c>
      <c r="TO26">
        <f>TN27</f>
        <v/>
      </c>
      <c r="TP26">
        <f>TO27</f>
        <v/>
      </c>
      <c r="TQ26">
        <f>TP27</f>
        <v/>
      </c>
      <c r="TR26">
        <f>TQ27</f>
        <v/>
      </c>
      <c r="TS26" s="127" t="n">
        <v>0</v>
      </c>
      <c r="TT26">
        <f>TR27</f>
        <v/>
      </c>
      <c r="TU26">
        <f>TT27</f>
        <v/>
      </c>
      <c r="TV26">
        <f>TU27</f>
        <v/>
      </c>
      <c r="TW26">
        <f>TV27</f>
        <v/>
      </c>
      <c r="TX26">
        <f>TW27</f>
        <v/>
      </c>
      <c r="TY26">
        <f>TX27</f>
        <v/>
      </c>
      <c r="TZ26">
        <f>TY27</f>
        <v/>
      </c>
      <c r="UA26">
        <f>TZ27</f>
        <v/>
      </c>
      <c r="UB26">
        <f>UA27</f>
        <v/>
      </c>
      <c r="UC26">
        <f>UB27</f>
        <v/>
      </c>
      <c r="UD26">
        <f>UC27</f>
        <v/>
      </c>
      <c r="UE26">
        <f>UD27</f>
        <v/>
      </c>
      <c r="UF26">
        <f>UE27</f>
        <v/>
      </c>
      <c r="UG26">
        <f>UF27</f>
        <v/>
      </c>
      <c r="UH26">
        <f>UG27</f>
        <v/>
      </c>
      <c r="UI26">
        <f>UH27</f>
        <v/>
      </c>
      <c r="UJ26">
        <f>UI27</f>
        <v/>
      </c>
      <c r="UK26">
        <f>UJ27</f>
        <v/>
      </c>
      <c r="UL26">
        <f>UK27</f>
        <v/>
      </c>
      <c r="UM26">
        <f>UL27</f>
        <v/>
      </c>
      <c r="UN26">
        <f>UM27</f>
        <v/>
      </c>
      <c r="UO26">
        <f>UN27</f>
        <v/>
      </c>
      <c r="UP26">
        <f>UO27</f>
        <v/>
      </c>
      <c r="UQ26">
        <f>UP27</f>
        <v/>
      </c>
      <c r="UR26">
        <f>UQ27</f>
        <v/>
      </c>
      <c r="US26">
        <f>UR27</f>
        <v/>
      </c>
      <c r="UT26">
        <f>US27</f>
        <v/>
      </c>
      <c r="UU26">
        <f>UT27</f>
        <v/>
      </c>
      <c r="UV26">
        <f>UU27</f>
        <v/>
      </c>
      <c r="UW26">
        <f>UV27</f>
        <v/>
      </c>
      <c r="UX26">
        <f>UW27</f>
        <v/>
      </c>
      <c r="UY26" s="127" t="n">
        <v>0</v>
      </c>
      <c r="UZ26" s="89">
        <f>UX27</f>
        <v/>
      </c>
      <c r="VA26" s="89">
        <f>UZ27</f>
        <v/>
      </c>
      <c r="VB26" s="89">
        <f>VA27</f>
        <v/>
      </c>
      <c r="VC26" s="89">
        <f>VB27</f>
        <v/>
      </c>
      <c r="VD26" s="89">
        <f>VC27</f>
        <v/>
      </c>
      <c r="VE26" s="89">
        <f>VD27</f>
        <v/>
      </c>
      <c r="VF26" s="89">
        <f>VE27</f>
        <v/>
      </c>
      <c r="VG26" s="89">
        <f>VF27</f>
        <v/>
      </c>
      <c r="VH26" s="89">
        <f>VG27</f>
        <v/>
      </c>
      <c r="VI26" s="89">
        <f>VH27</f>
        <v/>
      </c>
      <c r="VJ26" s="89">
        <f>VI27</f>
        <v/>
      </c>
      <c r="VK26" s="89">
        <f>VJ27</f>
        <v/>
      </c>
      <c r="VL26" s="89">
        <f>VK27</f>
        <v/>
      </c>
      <c r="VM26" s="89">
        <f>VL27</f>
        <v/>
      </c>
      <c r="VN26" s="89">
        <f>VM27</f>
        <v/>
      </c>
      <c r="VO26" s="89">
        <f>VN27</f>
        <v/>
      </c>
      <c r="VP26" s="89">
        <f>VO27</f>
        <v/>
      </c>
      <c r="VQ26" s="89">
        <f>VP27</f>
        <v/>
      </c>
      <c r="VR26" s="89">
        <f>VQ27</f>
        <v/>
      </c>
      <c r="VS26" s="89">
        <f>VR27</f>
        <v/>
      </c>
      <c r="VT26" s="89">
        <f>VS27</f>
        <v/>
      </c>
      <c r="VU26" s="89">
        <f>VT27</f>
        <v/>
      </c>
      <c r="VV26" s="89">
        <f>VU27</f>
        <v/>
      </c>
      <c r="VW26" s="89">
        <f>VV27</f>
        <v/>
      </c>
      <c r="VX26" s="89">
        <f>VW27</f>
        <v/>
      </c>
      <c r="VY26" s="89">
        <f>VX27</f>
        <v/>
      </c>
      <c r="VZ26" s="89">
        <f>VY27</f>
        <v/>
      </c>
      <c r="WA26" s="89">
        <f>VZ27</f>
        <v/>
      </c>
      <c r="WB26" s="127" t="n">
        <v>0</v>
      </c>
      <c r="WC26" s="89">
        <f>WA27</f>
        <v/>
      </c>
      <c r="WD26" s="89">
        <f>WC27</f>
        <v/>
      </c>
      <c r="WE26" s="89">
        <f>WD27</f>
        <v/>
      </c>
      <c r="WF26" s="89">
        <f>WE27</f>
        <v/>
      </c>
      <c r="WG26" s="89">
        <f>WF27</f>
        <v/>
      </c>
      <c r="WH26" s="89">
        <f>WG27</f>
        <v/>
      </c>
      <c r="WI26" s="89">
        <f>WH27</f>
        <v/>
      </c>
      <c r="WJ26" s="89">
        <f>WI27</f>
        <v/>
      </c>
      <c r="WK26" s="89">
        <f>WJ27</f>
        <v/>
      </c>
      <c r="WL26" s="89">
        <f>WK27</f>
        <v/>
      </c>
      <c r="WM26" s="89">
        <f>WL27</f>
        <v/>
      </c>
      <c r="WN26" s="89">
        <f>WM27</f>
        <v/>
      </c>
      <c r="WO26" s="89">
        <f>WN27</f>
        <v/>
      </c>
      <c r="WP26" s="89">
        <f>WO27</f>
        <v/>
      </c>
      <c r="WQ26" s="89">
        <f>WP27</f>
        <v/>
      </c>
      <c r="WR26" s="89">
        <f>WQ27</f>
        <v/>
      </c>
      <c r="WS26" s="89">
        <f>WR27</f>
        <v/>
      </c>
      <c r="WT26" s="89">
        <f>WS27</f>
        <v/>
      </c>
      <c r="WU26" s="89">
        <f>WT27</f>
        <v/>
      </c>
      <c r="WV26" s="89">
        <f>WU27</f>
        <v/>
      </c>
      <c r="WW26" s="89">
        <f>WV27</f>
        <v/>
      </c>
      <c r="WX26" s="89">
        <f>WW27</f>
        <v/>
      </c>
      <c r="WY26" s="89">
        <f>WX27</f>
        <v/>
      </c>
      <c r="WZ26" s="89">
        <f>WY27</f>
        <v/>
      </c>
      <c r="XA26" s="89">
        <f>WZ27</f>
        <v/>
      </c>
      <c r="XB26" s="89">
        <f>XA27</f>
        <v/>
      </c>
      <c r="XC26" s="89">
        <f>XB27</f>
        <v/>
      </c>
      <c r="XD26" s="89">
        <f>XC27</f>
        <v/>
      </c>
      <c r="XE26" s="89">
        <f>XD27</f>
        <v/>
      </c>
      <c r="XF26" s="89">
        <f>XE27</f>
        <v/>
      </c>
      <c r="XG26" s="89">
        <f>XF27</f>
        <v/>
      </c>
      <c r="XH26" s="127" t="n">
        <v>0</v>
      </c>
      <c r="XI26" s="89">
        <f>XG27</f>
        <v/>
      </c>
      <c r="XJ26" s="89">
        <f>XI27</f>
        <v/>
      </c>
      <c r="XK26" s="89">
        <f>XJ27</f>
        <v/>
      </c>
      <c r="XL26" s="89">
        <f>XK27</f>
        <v/>
      </c>
      <c r="XM26" s="89">
        <f>XL27</f>
        <v/>
      </c>
      <c r="XN26" s="89">
        <f>XM27</f>
        <v/>
      </c>
      <c r="XO26" s="89">
        <f>XN27</f>
        <v/>
      </c>
      <c r="XP26" s="89">
        <f>XO27</f>
        <v/>
      </c>
      <c r="XQ26" s="89">
        <f>XP27</f>
        <v/>
      </c>
      <c r="XR26" s="89">
        <f>XQ27</f>
        <v/>
      </c>
      <c r="XS26" s="89">
        <f>XR27</f>
        <v/>
      </c>
      <c r="XT26" s="89">
        <f>XS27</f>
        <v/>
      </c>
      <c r="XU26" s="89">
        <f>XT27</f>
        <v/>
      </c>
      <c r="XV26" s="89">
        <f>XU27</f>
        <v/>
      </c>
      <c r="XW26" s="89">
        <f>XV27</f>
        <v/>
      </c>
      <c r="XX26" s="89">
        <f>XW27</f>
        <v/>
      </c>
      <c r="XY26" s="89">
        <f>XX27</f>
        <v/>
      </c>
      <c r="XZ26" s="89">
        <f>XY27</f>
        <v/>
      </c>
      <c r="YA26" s="89">
        <f>XZ27</f>
        <v/>
      </c>
      <c r="YB26" s="89">
        <f>YA27</f>
        <v/>
      </c>
      <c r="YC26" s="89">
        <f>YB27</f>
        <v/>
      </c>
      <c r="YD26" s="89">
        <f>YC27</f>
        <v/>
      </c>
      <c r="YE26" s="89">
        <f>YD27</f>
        <v/>
      </c>
      <c r="YF26" s="89">
        <f>YE27</f>
        <v/>
      </c>
      <c r="YG26" s="89">
        <f>YF27</f>
        <v/>
      </c>
      <c r="YH26" s="89">
        <f>YG27</f>
        <v/>
      </c>
      <c r="YI26" s="89">
        <f>YH27</f>
        <v/>
      </c>
      <c r="YJ26" s="89">
        <f>YI27</f>
        <v/>
      </c>
      <c r="YK26" s="89">
        <f>YJ27</f>
        <v/>
      </c>
      <c r="YL26" s="89">
        <f>YK27</f>
        <v/>
      </c>
      <c r="YM26" s="127" t="n">
        <v>0</v>
      </c>
      <c r="YN26" s="89">
        <f>YL27</f>
        <v/>
      </c>
      <c r="YO26" s="89">
        <f>YN27</f>
        <v/>
      </c>
      <c r="YP26" s="89">
        <f>YO27</f>
        <v/>
      </c>
      <c r="YQ26" s="89">
        <f>YP27</f>
        <v/>
      </c>
      <c r="YR26" s="89">
        <f>YQ27</f>
        <v/>
      </c>
      <c r="YS26" s="89">
        <f>YR27</f>
        <v/>
      </c>
      <c r="YT26" s="89">
        <f>YS27</f>
        <v/>
      </c>
      <c r="YU26" s="89">
        <f>YT27</f>
        <v/>
      </c>
      <c r="YV26" s="89">
        <f>YU27</f>
        <v/>
      </c>
      <c r="YW26" s="89">
        <f>YV27</f>
        <v/>
      </c>
      <c r="YX26" s="89">
        <f>YW27</f>
        <v/>
      </c>
      <c r="YY26" s="89">
        <f>YX27</f>
        <v/>
      </c>
      <c r="YZ26" s="89">
        <f>YY27</f>
        <v/>
      </c>
      <c r="ZA26" s="89">
        <f>YZ27</f>
        <v/>
      </c>
      <c r="ZB26" s="89">
        <f>ZA27</f>
        <v/>
      </c>
      <c r="ZC26" s="89">
        <f>ZB27</f>
        <v/>
      </c>
      <c r="ZD26" s="89">
        <f>ZC27</f>
        <v/>
      </c>
      <c r="ZE26" s="89">
        <f>ZD27</f>
        <v/>
      </c>
      <c r="ZF26" s="89">
        <f>ZE27</f>
        <v/>
      </c>
      <c r="ZG26" s="89">
        <f>ZF27</f>
        <v/>
      </c>
      <c r="ZH26" s="89">
        <f>ZG27</f>
        <v/>
      </c>
      <c r="ZI26" s="89">
        <f>ZH27</f>
        <v/>
      </c>
      <c r="ZJ26" s="89">
        <f>ZI27</f>
        <v/>
      </c>
      <c r="ZK26" s="89">
        <f>ZJ27</f>
        <v/>
      </c>
      <c r="ZL26" s="89">
        <f>ZK27</f>
        <v/>
      </c>
      <c r="ZM26" s="89">
        <f>ZL27</f>
        <v/>
      </c>
      <c r="ZN26" s="89">
        <f>ZM27</f>
        <v/>
      </c>
      <c r="ZO26" s="89">
        <f>ZN27</f>
        <v/>
      </c>
      <c r="ZP26" s="89">
        <f>ZO27</f>
        <v/>
      </c>
      <c r="ZQ26" s="89">
        <f>ZP27</f>
        <v/>
      </c>
      <c r="ZR26" s="89">
        <f>ZQ27</f>
        <v/>
      </c>
      <c r="ZS26" s="127" t="n">
        <v>0</v>
      </c>
      <c r="ZT26" s="89">
        <f>ZR27</f>
        <v/>
      </c>
      <c r="ZU26" s="89">
        <f>ZT27</f>
        <v/>
      </c>
      <c r="ZV26" s="89">
        <f>ZU27</f>
        <v/>
      </c>
      <c r="ZW26" s="89">
        <f>ZV27</f>
        <v/>
      </c>
      <c r="ZX26" s="89">
        <f>ZW27</f>
        <v/>
      </c>
      <c r="ZY26" s="89">
        <f>ZX27</f>
        <v/>
      </c>
      <c r="ZZ26" s="89">
        <f>ZY27</f>
        <v/>
      </c>
      <c r="AAA26" s="89">
        <f>ZZ27</f>
        <v/>
      </c>
      <c r="AAB26" s="89">
        <f>AAA27</f>
        <v/>
      </c>
      <c r="AAC26" s="89">
        <f>AAB27</f>
        <v/>
      </c>
      <c r="AAD26" s="89">
        <f>AAC27</f>
        <v/>
      </c>
      <c r="AAE26" s="89">
        <f>AAD27</f>
        <v/>
      </c>
      <c r="AAF26" s="89">
        <f>AAE27</f>
        <v/>
      </c>
      <c r="AAG26" s="89">
        <f>AAF27</f>
        <v/>
      </c>
      <c r="AAH26" s="89">
        <f>AAG27</f>
        <v/>
      </c>
      <c r="AAI26" s="89">
        <f>AAH27</f>
        <v/>
      </c>
      <c r="AAJ26" s="89">
        <f>AAI27</f>
        <v/>
      </c>
      <c r="AAK26" s="89">
        <f>AAJ27</f>
        <v/>
      </c>
      <c r="AAL26" s="89">
        <f>AAK27</f>
        <v/>
      </c>
      <c r="AAM26" s="89">
        <f>AAL27</f>
        <v/>
      </c>
      <c r="AAN26" s="89">
        <f>AAM27</f>
        <v/>
      </c>
      <c r="AAO26" s="89">
        <f>AAN27</f>
        <v/>
      </c>
      <c r="AAP26" s="89">
        <f>AAO27</f>
        <v/>
      </c>
      <c r="AAQ26" s="89">
        <f>AAP27</f>
        <v/>
      </c>
      <c r="AAR26" s="89">
        <f>AAQ27</f>
        <v/>
      </c>
      <c r="AAS26" s="89">
        <f>AAR27</f>
        <v/>
      </c>
      <c r="AAT26" s="89">
        <f>AAS27</f>
        <v/>
      </c>
      <c r="AAU26" s="89">
        <f>AAT27</f>
        <v/>
      </c>
      <c r="AAV26" s="89">
        <f>AAU27</f>
        <v/>
      </c>
      <c r="AAW26" s="89">
        <f>AAV27</f>
        <v/>
      </c>
      <c r="AAX26" s="127" t="n">
        <v>0</v>
      </c>
      <c r="AAY26" s="89">
        <f>AAW27</f>
        <v/>
      </c>
      <c r="AAZ26" s="89">
        <f>AAY27</f>
        <v/>
      </c>
      <c r="ABA26" s="89">
        <f>AAZ27</f>
        <v/>
      </c>
      <c r="ABB26" s="89">
        <f>ABA27</f>
        <v/>
      </c>
      <c r="ABC26" s="89">
        <f>ABB27</f>
        <v/>
      </c>
      <c r="ABD26" s="89">
        <f>ABC27</f>
        <v/>
      </c>
      <c r="ABE26" s="89">
        <f>ABD27</f>
        <v/>
      </c>
      <c r="ABF26" s="89">
        <f>ABE27</f>
        <v/>
      </c>
      <c r="ABG26" s="89">
        <f>ABF27</f>
        <v/>
      </c>
      <c r="ABH26" s="89">
        <f>ABG27</f>
        <v/>
      </c>
      <c r="ABI26" s="89">
        <f>ABH27</f>
        <v/>
      </c>
      <c r="ABJ26" s="89">
        <f>ABI27</f>
        <v/>
      </c>
      <c r="ABK26" s="89">
        <f>ABJ27</f>
        <v/>
      </c>
      <c r="ABL26" s="89">
        <f>ABK27</f>
        <v/>
      </c>
      <c r="ABM26" s="89">
        <f>ABL27</f>
        <v/>
      </c>
      <c r="ABN26" s="89">
        <f>ABM27</f>
        <v/>
      </c>
      <c r="ABO26" s="89">
        <f>ABN27</f>
        <v/>
      </c>
      <c r="ABP26" s="89">
        <f>ABO27</f>
        <v/>
      </c>
      <c r="ABQ26" s="89">
        <f>ABP27</f>
        <v/>
      </c>
      <c r="ABR26" s="89">
        <f>ABQ27</f>
        <v/>
      </c>
      <c r="ABS26" s="89">
        <f>ABR27</f>
        <v/>
      </c>
      <c r="ABT26" s="89">
        <f>ABS27</f>
        <v/>
      </c>
      <c r="ABU26" s="89">
        <f>ABT27</f>
        <v/>
      </c>
      <c r="ABV26" s="89">
        <f>ABU27</f>
        <v/>
      </c>
      <c r="ABW26" s="89">
        <f>ABV27</f>
        <v/>
      </c>
      <c r="ABX26" s="89">
        <f>ABW27</f>
        <v/>
      </c>
      <c r="ABY26" s="89">
        <f>ABX27</f>
        <v/>
      </c>
      <c r="ABZ26" s="89">
        <f>ABY27</f>
        <v/>
      </c>
      <c r="ACA26" s="89">
        <f>ABZ27</f>
        <v/>
      </c>
      <c r="ACB26" s="89">
        <f>ACA27</f>
        <v/>
      </c>
      <c r="ACC26" s="89">
        <f>ACB27</f>
        <v/>
      </c>
      <c r="ACD26" s="127" t="n">
        <v>0</v>
      </c>
      <c r="ACE26" s="89">
        <f>ACC27</f>
        <v/>
      </c>
      <c r="ACF26" s="89">
        <f>ACE27</f>
        <v/>
      </c>
      <c r="ACG26" s="89">
        <f>ACF27</f>
        <v/>
      </c>
      <c r="ACH26" s="89">
        <f>ACG27</f>
        <v/>
      </c>
      <c r="ACI26" s="89">
        <f>ACH27</f>
        <v/>
      </c>
      <c r="ACJ26" s="89">
        <f>ACI27</f>
        <v/>
      </c>
      <c r="ACK26" s="89">
        <f>ACJ27</f>
        <v/>
      </c>
      <c r="ACL26" s="89">
        <f>ACK27</f>
        <v/>
      </c>
      <c r="ACM26" s="89">
        <f>ACL27</f>
        <v/>
      </c>
      <c r="ACN26" s="89">
        <f>ACM27</f>
        <v/>
      </c>
      <c r="ACO26" s="89">
        <f>ACN27</f>
        <v/>
      </c>
      <c r="ACP26" s="89">
        <f>ACO27</f>
        <v/>
      </c>
      <c r="ACQ26" s="89">
        <f>ACP27</f>
        <v/>
      </c>
      <c r="ACR26" s="89">
        <f>ACQ27</f>
        <v/>
      </c>
      <c r="ACS26" s="89">
        <f>ACR27</f>
        <v/>
      </c>
      <c r="ACT26" s="89">
        <f>ACS27</f>
        <v/>
      </c>
      <c r="ACU26" s="89">
        <f>ACT27</f>
        <v/>
      </c>
      <c r="ACV26" s="89">
        <f>ACU27</f>
        <v/>
      </c>
      <c r="ACW26" s="89">
        <f>ACV27</f>
        <v/>
      </c>
      <c r="ACX26" s="89">
        <f>ACW27</f>
        <v/>
      </c>
      <c r="ACY26" s="89">
        <f>ACX27</f>
        <v/>
      </c>
      <c r="ACZ26" s="89">
        <f>ACY27</f>
        <v/>
      </c>
      <c r="ADA26" s="89">
        <f>ACZ27</f>
        <v/>
      </c>
      <c r="ADB26" s="89">
        <f>ADA27</f>
        <v/>
      </c>
      <c r="ADC26" s="89">
        <f>ADB27</f>
        <v/>
      </c>
      <c r="ADD26" s="89">
        <f>ADC27</f>
        <v/>
      </c>
      <c r="ADE26" s="89">
        <f>ADD27</f>
        <v/>
      </c>
      <c r="ADF26" s="89">
        <f>ADE27</f>
        <v/>
      </c>
      <c r="ADG26" s="89">
        <f>ADF27</f>
        <v/>
      </c>
      <c r="ADH26" s="89">
        <f>ADG27</f>
        <v/>
      </c>
      <c r="ADI26" s="89">
        <f>ADH27</f>
        <v/>
      </c>
      <c r="ADJ26" s="127" t="n">
        <v>0</v>
      </c>
      <c r="ADK26" s="89">
        <f>ADI27</f>
        <v/>
      </c>
      <c r="ADL26" s="89">
        <f>ADK27</f>
        <v/>
      </c>
      <c r="ADM26" s="89">
        <f>ADL27</f>
        <v/>
      </c>
      <c r="ADN26" s="89">
        <f>ADM27</f>
        <v/>
      </c>
      <c r="ADO26" s="89">
        <f>ADN27</f>
        <v/>
      </c>
      <c r="ADP26" s="89">
        <f>ADO27</f>
        <v/>
      </c>
      <c r="ADQ26" s="89">
        <f>ADP27</f>
        <v/>
      </c>
      <c r="ADR26" s="89">
        <f>ADQ27</f>
        <v/>
      </c>
      <c r="ADS26" s="89">
        <f>ADR27</f>
        <v/>
      </c>
      <c r="ADT26" s="89">
        <f>ADS27</f>
        <v/>
      </c>
      <c r="ADU26" s="89">
        <f>ADT27</f>
        <v/>
      </c>
      <c r="ADV26" s="89">
        <f>ADU27</f>
        <v/>
      </c>
      <c r="ADW26" s="89">
        <f>ADV27</f>
        <v/>
      </c>
      <c r="ADX26" s="89">
        <f>ADW27</f>
        <v/>
      </c>
      <c r="ADY26" s="89">
        <f>ADX27</f>
        <v/>
      </c>
      <c r="ADZ26" s="89">
        <f>ADY27</f>
        <v/>
      </c>
      <c r="AEA26" s="89">
        <f>ADZ27</f>
        <v/>
      </c>
      <c r="AEB26" s="89">
        <f>AEA27</f>
        <v/>
      </c>
      <c r="AEC26" s="89">
        <f>AEB27</f>
        <v/>
      </c>
      <c r="AED26" s="89">
        <f>AEC27</f>
        <v/>
      </c>
      <c r="AEE26" s="89">
        <f>AED27</f>
        <v/>
      </c>
      <c r="AEF26" s="89">
        <f>AEE27</f>
        <v/>
      </c>
      <c r="AEG26" s="89">
        <f>AEF27</f>
        <v/>
      </c>
      <c r="AEH26" s="89">
        <f>AEG27</f>
        <v/>
      </c>
      <c r="AEI26" s="89">
        <f>AEH27</f>
        <v/>
      </c>
      <c r="AEJ26" s="89">
        <f>AEI27</f>
        <v/>
      </c>
      <c r="AEK26" s="89">
        <f>AEJ27</f>
        <v/>
      </c>
      <c r="AEL26" s="89">
        <f>AEK27</f>
        <v/>
      </c>
      <c r="AEM26" s="89">
        <f>AEL27</f>
        <v/>
      </c>
      <c r="AEN26" s="89">
        <f>AEM27</f>
        <v/>
      </c>
      <c r="AEO26" s="127" t="n">
        <v>0</v>
      </c>
      <c r="AEP26" s="89">
        <f>AEN27</f>
        <v/>
      </c>
      <c r="AEQ26" s="89">
        <f>AEP27</f>
        <v/>
      </c>
      <c r="AER26" s="89">
        <f>AEQ27</f>
        <v/>
      </c>
      <c r="AES26" s="89">
        <f>AER27</f>
        <v/>
      </c>
      <c r="AET26" s="89">
        <f>AES27</f>
        <v/>
      </c>
      <c r="AEU26" s="89">
        <f>AET27</f>
        <v/>
      </c>
      <c r="AEV26" s="89">
        <f>AEU27</f>
        <v/>
      </c>
      <c r="AEW26" s="89">
        <f>AEV27</f>
        <v/>
      </c>
      <c r="AEX26" s="89">
        <f>AEW27</f>
        <v/>
      </c>
      <c r="AEY26" s="89">
        <f>AEX27</f>
        <v/>
      </c>
      <c r="AEZ26" s="89">
        <f>AEY27</f>
        <v/>
      </c>
      <c r="AFA26" s="89">
        <f>AEZ27</f>
        <v/>
      </c>
      <c r="AFB26" s="89">
        <f>AFA27</f>
        <v/>
      </c>
      <c r="AFC26" s="89">
        <f>AFB27</f>
        <v/>
      </c>
      <c r="AFD26" s="89">
        <f>AFC27</f>
        <v/>
      </c>
      <c r="AFE26" s="89">
        <f>AFD27</f>
        <v/>
      </c>
      <c r="AFF26" s="89">
        <f>AFE27</f>
        <v/>
      </c>
      <c r="AFG26" s="89">
        <f>AFF27</f>
        <v/>
      </c>
      <c r="AFH26" s="89">
        <f>AFG27</f>
        <v/>
      </c>
      <c r="AFI26" s="89">
        <f>AFH27</f>
        <v/>
      </c>
      <c r="AFJ26" s="89">
        <f>AFI27</f>
        <v/>
      </c>
      <c r="AFK26" s="89">
        <f>AFJ27</f>
        <v/>
      </c>
      <c r="AFL26" s="89">
        <f>AFK27</f>
        <v/>
      </c>
      <c r="AFM26" s="89">
        <f>AFL27</f>
        <v/>
      </c>
      <c r="AFN26" s="89">
        <f>AFM27</f>
        <v/>
      </c>
      <c r="AFO26" s="89">
        <f>AFN27</f>
        <v/>
      </c>
      <c r="AFP26" s="89">
        <f>AFO27</f>
        <v/>
      </c>
      <c r="AFQ26" s="89">
        <f>AFP27</f>
        <v/>
      </c>
      <c r="AFR26" s="89">
        <f>AFQ27</f>
        <v/>
      </c>
      <c r="AFS26" s="89">
        <f>AFR27</f>
        <v/>
      </c>
      <c r="AFT26" s="89">
        <f>AFS27</f>
        <v/>
      </c>
      <c r="AFU26" s="127" t="n">
        <v>0</v>
      </c>
      <c r="AFV26" s="89">
        <f>AFT27</f>
        <v/>
      </c>
      <c r="AFW26" s="89">
        <f>AFV27</f>
        <v/>
      </c>
      <c r="AFX26" s="89">
        <f>AFW27</f>
        <v/>
      </c>
      <c r="AFY26" s="89">
        <f>AFX27</f>
        <v/>
      </c>
      <c r="AFZ26" s="89">
        <f>AFY27</f>
        <v/>
      </c>
      <c r="AGA26" s="89">
        <f>AFZ27</f>
        <v/>
      </c>
      <c r="AGB26" s="89">
        <f>AGA27</f>
        <v/>
      </c>
      <c r="AGC26" s="89">
        <f>AGB27</f>
        <v/>
      </c>
      <c r="AGD26" s="89">
        <f>AGC27</f>
        <v/>
      </c>
      <c r="AGE26" s="89">
        <f>AGD27</f>
        <v/>
      </c>
      <c r="AGF26" s="89">
        <f>AGE27</f>
        <v/>
      </c>
      <c r="AGG26" s="89">
        <f>AGF27</f>
        <v/>
      </c>
      <c r="AGH26" s="89">
        <f>AGG27</f>
        <v/>
      </c>
      <c r="AGI26" s="89">
        <f>AGH27</f>
        <v/>
      </c>
      <c r="AGJ26" s="89">
        <f>AGI27</f>
        <v/>
      </c>
      <c r="AGK26" s="89">
        <f>AGJ27</f>
        <v/>
      </c>
      <c r="AGL26" s="89">
        <f>AGK27</f>
        <v/>
      </c>
      <c r="AGM26" s="89">
        <f>AGL27</f>
        <v/>
      </c>
      <c r="AGN26" s="89">
        <f>AGM27</f>
        <v/>
      </c>
      <c r="AGO26" s="89">
        <f>AGN27</f>
        <v/>
      </c>
      <c r="AGP26" s="89">
        <f>AGO27</f>
        <v/>
      </c>
      <c r="AGQ26" s="89">
        <f>AGP27</f>
        <v/>
      </c>
      <c r="AGR26" s="89">
        <f>AGQ27</f>
        <v/>
      </c>
      <c r="AGS26" s="89">
        <f>AGR27</f>
        <v/>
      </c>
      <c r="AGT26" s="89">
        <f>AGS27</f>
        <v/>
      </c>
      <c r="AGU26" s="89">
        <f>AGT27</f>
        <v/>
      </c>
      <c r="AGV26" s="89">
        <f>AGU27</f>
        <v/>
      </c>
      <c r="AGW26" s="89">
        <f>AGV27</f>
        <v/>
      </c>
      <c r="AGX26" s="89">
        <f>AGW27</f>
        <v/>
      </c>
      <c r="AGY26" s="89">
        <f>AGX27</f>
        <v/>
      </c>
      <c r="AGZ26" s="127" t="n">
        <v>0</v>
      </c>
      <c r="AHA26" s="89">
        <f>AGY27</f>
        <v/>
      </c>
      <c r="AHB26" s="89">
        <f>AHA27</f>
        <v/>
      </c>
      <c r="AHC26" s="89">
        <f>AHB27</f>
        <v/>
      </c>
      <c r="AHD26" s="89">
        <f>AHC27</f>
        <v/>
      </c>
      <c r="AHE26" s="89">
        <f>AHD27</f>
        <v/>
      </c>
      <c r="AHF26" s="89">
        <f>AHE27</f>
        <v/>
      </c>
      <c r="AHG26" s="89">
        <f>AHF27</f>
        <v/>
      </c>
      <c r="AHH26" s="89">
        <f>AHG27</f>
        <v/>
      </c>
      <c r="AHI26" s="89">
        <f>AHH27</f>
        <v/>
      </c>
      <c r="AHJ26" s="89">
        <f>AHI27</f>
        <v/>
      </c>
      <c r="AHK26" s="89">
        <f>AHJ27</f>
        <v/>
      </c>
      <c r="AHL26" s="89">
        <f>AHK27</f>
        <v/>
      </c>
      <c r="AHM26" s="89">
        <f>AHL27</f>
        <v/>
      </c>
      <c r="AHN26" s="89">
        <f>AHM27</f>
        <v/>
      </c>
      <c r="AHO26" s="89">
        <f>AHN27</f>
        <v/>
      </c>
      <c r="AHP26" s="89">
        <f>AHO27</f>
        <v/>
      </c>
      <c r="AHQ26" s="89">
        <f>AHP27</f>
        <v/>
      </c>
      <c r="AHR26" s="89">
        <f>AHQ27</f>
        <v/>
      </c>
      <c r="AHS26" s="89">
        <f>AHR27</f>
        <v/>
      </c>
      <c r="AHT26" s="89">
        <f>AHS27</f>
        <v/>
      </c>
      <c r="AHU26" s="89">
        <f>AHT27</f>
        <v/>
      </c>
      <c r="AHV26" s="89">
        <f>AHU27</f>
        <v/>
      </c>
      <c r="AHW26" s="89">
        <f>AHV27</f>
        <v/>
      </c>
      <c r="AHX26" s="89">
        <f>AHW27</f>
        <v/>
      </c>
      <c r="AHY26" s="89">
        <f>AHX27</f>
        <v/>
      </c>
      <c r="AHZ26" s="89">
        <f>AHY27</f>
        <v/>
      </c>
      <c r="AIA26" s="89">
        <f>AHZ27</f>
        <v/>
      </c>
      <c r="AIB26" s="89">
        <f>AIA27</f>
        <v/>
      </c>
      <c r="AIC26" s="89">
        <f>AIB27</f>
        <v/>
      </c>
      <c r="AID26" s="89">
        <f>AIC27</f>
        <v/>
      </c>
      <c r="AIE26" s="89">
        <f>AID27</f>
        <v/>
      </c>
      <c r="AIF26" s="127" t="n">
        <v>0</v>
      </c>
      <c r="AIG26" s="89">
        <f>AIE27</f>
        <v/>
      </c>
      <c r="AIH26" s="89">
        <f>AIG27</f>
        <v/>
      </c>
      <c r="AII26" s="89">
        <f>AIH27</f>
        <v/>
      </c>
      <c r="AIJ26" s="89">
        <f>AII27</f>
        <v/>
      </c>
      <c r="AIK26" s="89">
        <f>AIJ27</f>
        <v/>
      </c>
      <c r="AIL26" s="89">
        <f>AIK27</f>
        <v/>
      </c>
      <c r="AIM26" s="89">
        <f>AIL27</f>
        <v/>
      </c>
      <c r="AIN26" s="89">
        <f>AIM27</f>
        <v/>
      </c>
      <c r="AIO26" s="89">
        <f>AIN27</f>
        <v/>
      </c>
      <c r="AIP26" s="89">
        <f>AIO27</f>
        <v/>
      </c>
      <c r="AIQ26" s="89">
        <f>AIP27</f>
        <v/>
      </c>
      <c r="AIR26" s="89">
        <f>AIQ27</f>
        <v/>
      </c>
      <c r="AIS26" s="89">
        <f>AIR27</f>
        <v/>
      </c>
      <c r="AIT26" s="89">
        <f>AIS27</f>
        <v/>
      </c>
      <c r="AIU26" s="89">
        <f>AIT27</f>
        <v/>
      </c>
      <c r="AIV26" s="89">
        <f>AIU27</f>
        <v/>
      </c>
      <c r="AIW26" s="89">
        <f>AIV27</f>
        <v/>
      </c>
      <c r="AIX26" s="89">
        <f>AIW27</f>
        <v/>
      </c>
      <c r="AIY26" s="89">
        <f>AIX27</f>
        <v/>
      </c>
      <c r="AIZ26" s="89">
        <f>AIY27</f>
        <v/>
      </c>
      <c r="AJA26" s="89">
        <f>AIZ27</f>
        <v/>
      </c>
      <c r="AJB26" s="89">
        <f>AJA27</f>
        <v/>
      </c>
      <c r="AJC26" s="89">
        <f>AJB27</f>
        <v/>
      </c>
      <c r="AJD26" s="89">
        <f>AJC27</f>
        <v/>
      </c>
      <c r="AJE26" s="89">
        <f>AJD27</f>
        <v/>
      </c>
      <c r="AJF26" s="89">
        <f>AJE27</f>
        <v/>
      </c>
      <c r="AJG26" s="89">
        <f>AJF27</f>
        <v/>
      </c>
      <c r="AJH26" s="89">
        <f>AJG27</f>
        <v/>
      </c>
      <c r="AJI26" s="89">
        <f>AJH27</f>
        <v/>
      </c>
      <c r="AJJ26" s="89">
        <f>AJI27</f>
        <v/>
      </c>
      <c r="AJK26" s="89">
        <f>AJJ27</f>
        <v/>
      </c>
      <c r="AJL26" s="127" t="n">
        <v>0</v>
      </c>
      <c r="AJM26" s="89">
        <f>AJK27</f>
        <v/>
      </c>
      <c r="AJN26" s="89">
        <f>AJM27</f>
        <v/>
      </c>
      <c r="AJO26" s="89">
        <f>AJN27</f>
        <v/>
      </c>
      <c r="AJP26" s="89">
        <f>AJO27</f>
        <v/>
      </c>
      <c r="AJQ26" s="89">
        <f>AJP27</f>
        <v/>
      </c>
      <c r="AJR26" s="89">
        <f>AJQ27</f>
        <v/>
      </c>
      <c r="AJS26" s="89">
        <f>AJR27</f>
        <v/>
      </c>
      <c r="AJT26" s="89">
        <f>AJS27</f>
        <v/>
      </c>
      <c r="AJU26" s="89">
        <f>AJT27</f>
        <v/>
      </c>
      <c r="AJV26" s="89">
        <f>AJU27</f>
        <v/>
      </c>
      <c r="AJW26" s="89">
        <f>AJV27</f>
        <v/>
      </c>
      <c r="AJX26" s="89">
        <f>AJW27</f>
        <v/>
      </c>
      <c r="AJY26" s="89">
        <f>AJX27</f>
        <v/>
      </c>
      <c r="AJZ26" s="89">
        <f>AJY27</f>
        <v/>
      </c>
      <c r="AKA26" s="89">
        <f>AJZ27</f>
        <v/>
      </c>
      <c r="AKB26" s="89">
        <f>AKA27</f>
        <v/>
      </c>
      <c r="AKC26" s="89">
        <f>AKB27</f>
        <v/>
      </c>
      <c r="AKD26" s="89">
        <f>AKC27</f>
        <v/>
      </c>
      <c r="AKE26" s="89">
        <f>AKD27</f>
        <v/>
      </c>
      <c r="AKF26" s="89">
        <f>AKE27</f>
        <v/>
      </c>
      <c r="AKG26" s="89">
        <f>AKF27</f>
        <v/>
      </c>
      <c r="AKH26" s="89">
        <f>AKG27</f>
        <v/>
      </c>
      <c r="AKI26" s="89">
        <f>AKH27</f>
        <v/>
      </c>
      <c r="AKJ26" s="89">
        <f>AKI27</f>
        <v/>
      </c>
      <c r="AKK26" s="89">
        <f>AKJ27</f>
        <v/>
      </c>
      <c r="AKL26" s="89">
        <f>AKK27</f>
        <v/>
      </c>
      <c r="AKM26" s="89">
        <f>AKL27</f>
        <v/>
      </c>
      <c r="AKN26" s="89">
        <f>AKM27</f>
        <v/>
      </c>
      <c r="AKO26" s="127" t="n">
        <v>0</v>
      </c>
      <c r="AKP26" s="89">
        <f>AKN27</f>
        <v/>
      </c>
      <c r="AKQ26" s="89">
        <f>AKP27</f>
        <v/>
      </c>
      <c r="AKR26" s="89">
        <f>AKQ27</f>
        <v/>
      </c>
      <c r="AKS26" s="89">
        <f>AKR27</f>
        <v/>
      </c>
      <c r="AKT26" s="89">
        <f>AKS27</f>
        <v/>
      </c>
      <c r="AKU26" s="89">
        <f>AKT27</f>
        <v/>
      </c>
      <c r="AKV26" s="89">
        <f>AKU27</f>
        <v/>
      </c>
      <c r="AKW26" s="89">
        <f>AKV27</f>
        <v/>
      </c>
      <c r="AKX26" s="89">
        <f>AKW27</f>
        <v/>
      </c>
      <c r="AKY26" s="89">
        <f>AKX27</f>
        <v/>
      </c>
      <c r="AKZ26" s="89">
        <f>AKY27</f>
        <v/>
      </c>
      <c r="ALA26" s="89">
        <f>AKZ27</f>
        <v/>
      </c>
      <c r="ALB26" s="89">
        <f>ALA27</f>
        <v/>
      </c>
      <c r="ALC26" s="89">
        <f>ALB27</f>
        <v/>
      </c>
      <c r="ALD26" s="89">
        <f>ALC27</f>
        <v/>
      </c>
      <c r="ALE26" s="89">
        <f>ALD27</f>
        <v/>
      </c>
      <c r="ALF26" s="89">
        <f>ALE27</f>
        <v/>
      </c>
      <c r="ALG26" s="89">
        <f>ALF27</f>
        <v/>
      </c>
      <c r="ALH26" s="89">
        <f>ALG27</f>
        <v/>
      </c>
      <c r="ALI26" s="89">
        <f>ALH27</f>
        <v/>
      </c>
      <c r="ALJ26" s="89">
        <f>ALI27</f>
        <v/>
      </c>
      <c r="ALK26" s="89">
        <f>ALJ27</f>
        <v/>
      </c>
      <c r="ALL26" s="89">
        <f>ALK27</f>
        <v/>
      </c>
      <c r="ALM26" s="89">
        <f>ALL27</f>
        <v/>
      </c>
      <c r="ALN26" s="89">
        <f>ALM27</f>
        <v/>
      </c>
      <c r="ALO26" s="89">
        <f>ALN27</f>
        <v/>
      </c>
      <c r="ALP26" s="89">
        <f>ALO27</f>
        <v/>
      </c>
      <c r="ALQ26" s="89">
        <f>ALP27</f>
        <v/>
      </c>
      <c r="ALR26" s="89">
        <f>ALQ27</f>
        <v/>
      </c>
      <c r="ALS26" s="89">
        <f>ALR27</f>
        <v/>
      </c>
      <c r="ALT26" s="89">
        <f>ALS27</f>
        <v/>
      </c>
      <c r="ALU26" s="127" t="n">
        <v>0</v>
      </c>
      <c r="ALV26" s="89">
        <f>ALT27</f>
        <v/>
      </c>
      <c r="ALW26" s="89">
        <f>ALV27</f>
        <v/>
      </c>
      <c r="ALX26" s="89">
        <f>ALW27</f>
        <v/>
      </c>
      <c r="ALY26" s="89">
        <f>ALX27</f>
        <v/>
      </c>
      <c r="ALZ26" s="89">
        <f>ALY27</f>
        <v/>
      </c>
      <c r="AMA26" s="89">
        <f>ALZ27</f>
        <v/>
      </c>
      <c r="AMB26" s="89">
        <f>AMA27</f>
        <v/>
      </c>
      <c r="AMC26" s="89">
        <f>AMB27</f>
        <v/>
      </c>
      <c r="AMD26" s="89">
        <f>AMC27</f>
        <v/>
      </c>
      <c r="AME26" s="89">
        <f>AMD27</f>
        <v/>
      </c>
      <c r="AMF26" s="89">
        <f>AME27</f>
        <v/>
      </c>
      <c r="AMG26" s="89">
        <f>AMF27</f>
        <v/>
      </c>
      <c r="AMH26" s="89">
        <f>AMG27</f>
        <v/>
      </c>
      <c r="AMI26" s="89">
        <f>AMH27</f>
        <v/>
      </c>
      <c r="AMJ26" s="89">
        <f>AMI27</f>
        <v/>
      </c>
      <c r="AMK26" s="89">
        <f>AMJ27</f>
        <v/>
      </c>
      <c r="AML26" s="89">
        <f>AMK27</f>
        <v/>
      </c>
      <c r="AMM26" s="89">
        <f>AML27</f>
        <v/>
      </c>
      <c r="AMN26" s="89">
        <f>AMM27</f>
        <v/>
      </c>
      <c r="AMO26" s="89">
        <f>AMN27</f>
        <v/>
      </c>
      <c r="AMP26" s="89">
        <f>AMO27</f>
        <v/>
      </c>
      <c r="AMQ26" s="89">
        <f>AMP27</f>
        <v/>
      </c>
      <c r="AMR26" s="89">
        <f>AMQ27</f>
        <v/>
      </c>
      <c r="AMS26" s="89">
        <f>AMR27</f>
        <v/>
      </c>
      <c r="AMT26" s="89">
        <f>AMS27</f>
        <v/>
      </c>
      <c r="AMU26" s="89">
        <f>AMT27</f>
        <v/>
      </c>
      <c r="AMV26" s="89">
        <f>AMU27</f>
        <v/>
      </c>
      <c r="AMW26" s="89">
        <f>AMV27</f>
        <v/>
      </c>
      <c r="AMX26" s="89">
        <f>AMW27</f>
        <v/>
      </c>
      <c r="AMY26" s="89">
        <f>AMX27</f>
        <v/>
      </c>
      <c r="AMZ26" s="127" t="n">
        <v>0</v>
      </c>
      <c r="ANA26" s="89">
        <f>AMY27</f>
        <v/>
      </c>
      <c r="ANB26" s="89">
        <f>ANA27</f>
        <v/>
      </c>
      <c r="ANC26" s="89">
        <f>ANB27</f>
        <v/>
      </c>
      <c r="AND26" s="89">
        <f>ANC27</f>
        <v/>
      </c>
      <c r="ANE26" s="89">
        <f>AND27</f>
        <v/>
      </c>
      <c r="ANF26" s="89">
        <f>ANE27</f>
        <v/>
      </c>
      <c r="ANG26" s="89">
        <f>ANF27</f>
        <v/>
      </c>
      <c r="ANH26" s="89">
        <f>ANG27</f>
        <v/>
      </c>
      <c r="ANI26" s="89">
        <f>ANH27</f>
        <v/>
      </c>
      <c r="ANJ26" s="89">
        <f>ANI27</f>
        <v/>
      </c>
      <c r="ANK26" s="89">
        <f>ANJ27</f>
        <v/>
      </c>
      <c r="ANL26" s="89">
        <f>ANK27</f>
        <v/>
      </c>
      <c r="ANM26" s="89">
        <f>ANL27</f>
        <v/>
      </c>
      <c r="ANN26" s="89">
        <f>ANM27</f>
        <v/>
      </c>
      <c r="ANO26" s="89">
        <f>ANN27</f>
        <v/>
      </c>
      <c r="ANP26" s="89">
        <f>ANO27</f>
        <v/>
      </c>
      <c r="ANQ26" s="89">
        <f>ANP27</f>
        <v/>
      </c>
      <c r="ANR26" s="89">
        <f>ANQ27</f>
        <v/>
      </c>
      <c r="ANS26" s="89">
        <f>ANR27</f>
        <v/>
      </c>
      <c r="ANT26" s="89">
        <f>ANS27</f>
        <v/>
      </c>
      <c r="ANU26" s="89">
        <f>ANT27</f>
        <v/>
      </c>
      <c r="ANV26" s="89">
        <f>ANU27</f>
        <v/>
      </c>
      <c r="ANW26" s="89">
        <f>ANV27</f>
        <v/>
      </c>
      <c r="ANX26" s="89">
        <f>ANW27</f>
        <v/>
      </c>
      <c r="ANY26" s="89">
        <f>ANX27</f>
        <v/>
      </c>
      <c r="ANZ26" s="89">
        <f>ANY27</f>
        <v/>
      </c>
      <c r="AOA26" s="89">
        <f>ANZ27</f>
        <v/>
      </c>
      <c r="AOB26" s="89">
        <f>AOA27</f>
        <v/>
      </c>
      <c r="AOC26" s="89">
        <f>AOB27</f>
        <v/>
      </c>
      <c r="AOD26" s="89" t="n">
        <v>444987.695</v>
      </c>
      <c r="AOE26" t="n">
        <v>444987.695</v>
      </c>
      <c r="AOF26" t="n">
        <v>446305.63</v>
      </c>
    </row>
    <row r="27">
      <c r="A27" s="157" t="n"/>
      <c r="C27" s="47" t="inlineStr">
        <is>
          <t>CLOSING</t>
        </is>
      </c>
      <c r="D27" s="48" t="n">
        <v>226572.4</v>
      </c>
      <c r="E27" s="18" t="n">
        <v>226730.635</v>
      </c>
      <c r="F27" s="18" t="n">
        <v>226812.762</v>
      </c>
      <c r="G27" s="18" t="n">
        <v>226944.769</v>
      </c>
      <c r="H27" s="18" t="n">
        <v>227286.509</v>
      </c>
      <c r="I27" s="18" t="n">
        <v>227527.01</v>
      </c>
      <c r="J27" s="18" t="n">
        <v>227784.242</v>
      </c>
      <c r="K27" s="18" t="n">
        <v>227994.982</v>
      </c>
      <c r="L27" s="18" t="n">
        <v>228214.052</v>
      </c>
      <c r="M27" s="18" t="n">
        <v>228338.339</v>
      </c>
      <c r="N27" s="18" t="n">
        <v>228501.975</v>
      </c>
      <c r="O27" s="18" t="n">
        <v>228670.346</v>
      </c>
      <c r="P27" s="18" t="n">
        <v>228828.392</v>
      </c>
      <c r="Q27" s="18" t="n">
        <v>228994.232</v>
      </c>
      <c r="R27" s="18" t="n">
        <v>229236.531</v>
      </c>
      <c r="S27" s="18" t="n">
        <v>229359.316</v>
      </c>
      <c r="T27" s="18" t="n">
        <v>229643.776</v>
      </c>
      <c r="U27" s="18" t="n">
        <v>229742.473</v>
      </c>
      <c r="V27" s="18" t="n">
        <v>229907.681</v>
      </c>
      <c r="W27" s="18" t="n">
        <v>229987.24</v>
      </c>
      <c r="X27" s="18" t="n">
        <v>230174.638</v>
      </c>
      <c r="Y27" s="18" t="n">
        <v>230338.07</v>
      </c>
      <c r="Z27" s="18" t="n">
        <v>230656.192</v>
      </c>
      <c r="AA27" s="18" t="n">
        <v>230813.6</v>
      </c>
      <c r="AB27" s="18" t="n">
        <v>230926.923</v>
      </c>
      <c r="AC27" s="18" t="n">
        <v>231210.177</v>
      </c>
      <c r="AD27" s="18" t="n">
        <v>231404.357</v>
      </c>
      <c r="AE27" s="18" t="n">
        <v>231483.18</v>
      </c>
      <c r="AF27" s="18" t="n">
        <v>231635.81</v>
      </c>
      <c r="AG27" s="18" t="n">
        <v>231883.529</v>
      </c>
      <c r="AH27" s="18" t="n">
        <v>232129.102</v>
      </c>
      <c r="AI27" s="17" t="n"/>
      <c r="AJ27" s="13" t="n">
        <v>232464.963</v>
      </c>
      <c r="AK27" s="13" t="n">
        <v>232840.443</v>
      </c>
      <c r="AL27" s="13" t="n">
        <v>233041.084</v>
      </c>
      <c r="AM27" s="13" t="n">
        <v>233240.642</v>
      </c>
      <c r="AN27" s="13" t="n">
        <v>233560.794</v>
      </c>
      <c r="AO27" s="13" t="n">
        <v>233914.119</v>
      </c>
      <c r="AP27" s="13" t="n">
        <v>234329.526</v>
      </c>
      <c r="AQ27" s="13" t="n">
        <v>234829.951</v>
      </c>
      <c r="AR27" s="13" t="n">
        <v>235075.907</v>
      </c>
      <c r="AS27" s="13" t="n">
        <v>235502.158</v>
      </c>
      <c r="AT27" s="13" t="n">
        <v>235763.844</v>
      </c>
      <c r="AU27" s="13" t="n">
        <v>235977.014</v>
      </c>
      <c r="AV27" s="13" t="n">
        <v>236148.195</v>
      </c>
      <c r="AW27" s="13" t="n">
        <v>236315.431</v>
      </c>
      <c r="AX27" s="13" t="n">
        <v>236571.799</v>
      </c>
      <c r="AY27" s="13" t="n">
        <v>236813.22</v>
      </c>
      <c r="AZ27" s="13" t="n">
        <v>236981.172</v>
      </c>
      <c r="BA27" s="13" t="n">
        <v>237177.141</v>
      </c>
      <c r="BB27" s="13" t="n">
        <v>237365.898</v>
      </c>
      <c r="BC27" s="13" t="n">
        <v>237465.281</v>
      </c>
      <c r="BD27" s="13" t="n">
        <v>237778.331</v>
      </c>
      <c r="BE27" s="13" t="n">
        <v>238080.983</v>
      </c>
      <c r="BF27" s="13" t="n">
        <v>238256.693</v>
      </c>
      <c r="BG27" s="13" t="n">
        <v>238490.357</v>
      </c>
      <c r="BH27" s="13" t="n">
        <v>238697.084</v>
      </c>
      <c r="BI27" s="13" t="n">
        <v>239117.077</v>
      </c>
      <c r="BJ27" s="13" t="n">
        <v>239275.242</v>
      </c>
      <c r="BK27" s="13" t="n">
        <v>239447.556</v>
      </c>
      <c r="BL27" s="13" t="n">
        <v>239711.931</v>
      </c>
      <c r="BM27" s="13" t="n">
        <v>239896.969</v>
      </c>
      <c r="BO27" s="13" t="n">
        <v>240142.463</v>
      </c>
      <c r="BP27" s="13" t="n">
        <v>240348.612</v>
      </c>
      <c r="BQ27" s="13" t="n">
        <v>240603.3</v>
      </c>
      <c r="BR27" s="13" t="n">
        <v>240851.374</v>
      </c>
      <c r="BS27" s="13" t="n">
        <v>241058.435</v>
      </c>
      <c r="BT27" s="13" t="n">
        <v>241291.972</v>
      </c>
      <c r="BU27" s="13" t="n">
        <v>241475.856</v>
      </c>
      <c r="BV27" s="13" t="n">
        <v>241660.084</v>
      </c>
      <c r="BW27" s="13" t="n">
        <v>241846.436</v>
      </c>
      <c r="BX27" s="13" t="n">
        <v>242039.236</v>
      </c>
      <c r="BY27" s="13" t="n">
        <v>242352.034</v>
      </c>
      <c r="BZ27" s="13" t="n">
        <v>242466.169</v>
      </c>
      <c r="CA27" s="13" t="n">
        <v>242784.94</v>
      </c>
      <c r="CB27" s="13" t="n">
        <v>243076.291</v>
      </c>
      <c r="CC27" s="13" t="n">
        <v>243206.178</v>
      </c>
      <c r="CD27" s="13" t="n">
        <v>243415.762</v>
      </c>
      <c r="CE27" s="13" t="n">
        <v>243800.289</v>
      </c>
      <c r="CF27" s="13" t="n">
        <v>243990.575</v>
      </c>
      <c r="CG27" s="13" t="n">
        <v>244182.278</v>
      </c>
      <c r="CH27" s="13" t="n">
        <v>244382.784</v>
      </c>
      <c r="CI27" s="13" t="n">
        <v>244660.35</v>
      </c>
      <c r="CJ27" s="13" t="n">
        <v>244826.622</v>
      </c>
      <c r="CK27" s="13" t="n">
        <v>245007.059</v>
      </c>
      <c r="CL27" s="13" t="n">
        <v>245263.613</v>
      </c>
      <c r="CM27" s="13" t="n">
        <v>245521.721</v>
      </c>
      <c r="CN27" s="13" t="n">
        <v>245731.818</v>
      </c>
      <c r="CO27" s="13" t="n">
        <v>245946.201</v>
      </c>
      <c r="CP27" s="13" t="n">
        <v>246261.737</v>
      </c>
      <c r="CQ27" s="13" t="n">
        <v>246432.844</v>
      </c>
      <c r="CR27" s="13" t="n">
        <v>246635.46</v>
      </c>
      <c r="CS27" s="13" t="n">
        <v>246840.881</v>
      </c>
      <c r="CU27" s="13" t="n">
        <v>247024.71</v>
      </c>
      <c r="CV27" s="13" t="n">
        <v>247255.806</v>
      </c>
      <c r="CW27" s="13" t="n">
        <v>247508.925</v>
      </c>
      <c r="CX27" s="13" t="n">
        <v>247781.907</v>
      </c>
      <c r="CY27" s="13" t="n">
        <v>247986.294</v>
      </c>
      <c r="CZ27" s="13" t="n">
        <v>248184.869</v>
      </c>
      <c r="DA27" s="13" t="n">
        <v>248338.798</v>
      </c>
      <c r="DB27" s="13" t="n">
        <v>248527.874</v>
      </c>
      <c r="DC27" s="13" t="n">
        <v>248684.058</v>
      </c>
      <c r="DD27" s="13" t="n">
        <v>248833.341</v>
      </c>
      <c r="DE27" s="13" t="n">
        <v>249168.211</v>
      </c>
      <c r="DF27" s="13" t="n">
        <v>249314.591</v>
      </c>
      <c r="DG27" s="13" t="n">
        <v>249431.35</v>
      </c>
      <c r="DH27" s="13" t="n">
        <v>249650.181</v>
      </c>
      <c r="DI27" s="13" t="n">
        <v>249770.555</v>
      </c>
      <c r="DJ27" s="13" t="n">
        <v>249996.178</v>
      </c>
      <c r="DK27" s="13" t="n">
        <v>250301.715</v>
      </c>
      <c r="DL27" s="13" t="n">
        <v>250456.624</v>
      </c>
      <c r="DM27" s="13" t="n">
        <v>250550.605</v>
      </c>
      <c r="DN27" s="13" t="n">
        <v>250933.149</v>
      </c>
      <c r="DO27" s="13" t="n">
        <v>251130.459</v>
      </c>
      <c r="DP27" s="13" t="n">
        <v>251305</v>
      </c>
      <c r="DQ27" s="13" t="n">
        <v>251467.361</v>
      </c>
      <c r="DR27" s="13" t="n">
        <v>251725.876</v>
      </c>
      <c r="DS27" s="13" t="n">
        <v>251953.326</v>
      </c>
      <c r="DT27" s="13" t="n">
        <v>252203.769</v>
      </c>
      <c r="DU27" s="13" t="n">
        <v>252583.555</v>
      </c>
      <c r="DV27" s="13" t="n">
        <v>252843.942</v>
      </c>
      <c r="DW27" s="13" t="n">
        <v>253064.029</v>
      </c>
      <c r="DX27" s="13" t="n">
        <v>253204.558</v>
      </c>
      <c r="DY27" s="117" t="n"/>
      <c r="DZ27" s="13" t="n">
        <v>253388.526</v>
      </c>
      <c r="EA27" s="13" t="n">
        <v>253668.876</v>
      </c>
      <c r="EB27" s="13" t="n">
        <v>253790.107</v>
      </c>
      <c r="EC27" s="13" t="n">
        <v>253948.773</v>
      </c>
      <c r="ED27" s="13" t="n">
        <v>254280.038</v>
      </c>
      <c r="EE27" s="13" t="n">
        <v>254455.107</v>
      </c>
      <c r="EF27" s="13" t="n">
        <v>254645.993</v>
      </c>
      <c r="EG27" s="13" t="n">
        <v>254825.241</v>
      </c>
      <c r="EH27" s="13" t="n">
        <v>255209.014</v>
      </c>
      <c r="EI27" s="13" t="n">
        <v>255489.207</v>
      </c>
      <c r="EJ27" s="13" t="n">
        <v>255734.749</v>
      </c>
      <c r="EK27" s="13" t="n">
        <v>255827.469</v>
      </c>
      <c r="EL27" s="13" t="n">
        <v>256035.62</v>
      </c>
      <c r="EM27" s="13" t="n">
        <v>256390.466</v>
      </c>
      <c r="EN27" s="13" t="n">
        <v>256529.629</v>
      </c>
      <c r="EO27" s="13" t="n">
        <v>256712.966</v>
      </c>
      <c r="EP27" s="13" t="n">
        <v>256971.916</v>
      </c>
      <c r="EQ27" s="13" t="n">
        <v>257394.151</v>
      </c>
      <c r="ER27" s="13" t="n">
        <v>257538.48</v>
      </c>
      <c r="ES27" s="13" t="n">
        <v>257753.505</v>
      </c>
      <c r="ET27" s="13" t="n">
        <v>258024.272</v>
      </c>
      <c r="EU27" s="13" t="n">
        <v>258303.844</v>
      </c>
      <c r="EV27" s="13" t="n">
        <v>258876.612</v>
      </c>
      <c r="EW27" s="13" t="n">
        <v>259051.618</v>
      </c>
      <c r="EX27" s="13" t="n">
        <v>259150.157</v>
      </c>
      <c r="EY27" s="13" t="n">
        <v>259289.949</v>
      </c>
      <c r="EZ27" s="13" t="n">
        <v>259429.522</v>
      </c>
      <c r="FA27" s="13" t="n">
        <v>259676.474</v>
      </c>
      <c r="FB27" s="13" t="n">
        <v>259871.927</v>
      </c>
      <c r="FC27" s="13" t="n">
        <v>260110.402</v>
      </c>
      <c r="FD27" s="13" t="n">
        <v>260371.205</v>
      </c>
      <c r="FE27" s="126" t="n"/>
      <c r="FF27" s="13" t="n">
        <v>260616.657</v>
      </c>
      <c r="FG27" s="13" t="n">
        <v>260829.002</v>
      </c>
      <c r="FH27" s="13" t="n">
        <v>261051.448</v>
      </c>
      <c r="FI27" s="13" t="n">
        <v>261246.684</v>
      </c>
      <c r="FJ27" s="13" t="n">
        <v>261387.294</v>
      </c>
      <c r="FK27" s="13" t="n">
        <v>261559.027</v>
      </c>
      <c r="FL27" s="13" t="n">
        <v>261735.111</v>
      </c>
      <c r="FM27" s="13" t="n">
        <v>261897.995</v>
      </c>
      <c r="FN27" s="13" t="n">
        <v>262331.464</v>
      </c>
      <c r="FO27" s="13" t="n">
        <v>262510.827</v>
      </c>
      <c r="FP27" s="13" t="n">
        <v>262655.147</v>
      </c>
      <c r="FQ27" s="13" t="n">
        <v>263052.545</v>
      </c>
      <c r="FR27" s="13" t="n">
        <v>263241.19</v>
      </c>
      <c r="FS27" s="13" t="n">
        <v>263474.576</v>
      </c>
      <c r="FT27" s="13" t="n">
        <v>263741.346</v>
      </c>
      <c r="FU27" s="13" t="n">
        <v>263845.043</v>
      </c>
      <c r="FV27" s="13" t="n">
        <v>264019.667</v>
      </c>
      <c r="FW27" s="13" t="n">
        <v>264094.709</v>
      </c>
      <c r="FX27" s="13" t="n">
        <v>264265.829</v>
      </c>
      <c r="FY27" s="13" t="n">
        <v>264461.067</v>
      </c>
      <c r="FZ27" s="13" t="n">
        <v>264657.582</v>
      </c>
      <c r="GA27" s="13" t="n">
        <v>264825.765</v>
      </c>
      <c r="GB27" s="13" t="n">
        <v>265016.335</v>
      </c>
      <c r="GC27" s="13" t="n">
        <v>265151.995</v>
      </c>
      <c r="GD27" s="13" t="n">
        <v>265294.249</v>
      </c>
      <c r="GE27" s="13" t="n">
        <v>265717.068</v>
      </c>
      <c r="GF27" s="13" t="n">
        <v>265956.275</v>
      </c>
      <c r="GG27" s="13" t="n">
        <v>266124.917</v>
      </c>
      <c r="GH27" s="13" t="n">
        <v>266486.786</v>
      </c>
      <c r="GI27" s="13" t="n">
        <v>266726.425</v>
      </c>
      <c r="GJ27" s="13" t="n">
        <v>267009.016</v>
      </c>
      <c r="GK27" s="126" t="n"/>
      <c r="GL27" s="13" t="n">
        <v>267184.255</v>
      </c>
      <c r="GM27" s="13" t="n">
        <v>267336.609</v>
      </c>
      <c r="GN27" s="13" t="n">
        <v>267587.179</v>
      </c>
      <c r="GO27" s="13" t="n">
        <v>267766.98</v>
      </c>
      <c r="GP27" s="13" t="n">
        <v>267997.27</v>
      </c>
      <c r="GQ27" s="13" t="n">
        <v>268137.877</v>
      </c>
      <c r="GR27" s="13" t="n">
        <v>268408.078</v>
      </c>
      <c r="GS27" s="13" t="n">
        <v>268801.188</v>
      </c>
      <c r="GT27" s="13" t="n">
        <v>268963.443</v>
      </c>
      <c r="GU27" s="13" t="n">
        <v>269120.756</v>
      </c>
      <c r="GV27" s="13" t="n">
        <v>269290.084</v>
      </c>
      <c r="GW27" s="13" t="n">
        <v>269498.518</v>
      </c>
      <c r="GX27" s="13" t="n">
        <v>269657.986</v>
      </c>
      <c r="GY27" s="13" t="n">
        <v>269722.926</v>
      </c>
      <c r="GZ27" s="13" t="n">
        <v>269970.752</v>
      </c>
      <c r="HA27" s="13" t="n">
        <v>270090.209</v>
      </c>
      <c r="HB27" s="13" t="n">
        <v>270264.278</v>
      </c>
      <c r="HC27" s="13" t="n">
        <v>270358.732</v>
      </c>
      <c r="HD27" s="13" t="n">
        <v>270624.478</v>
      </c>
      <c r="HE27" s="13" t="n">
        <v>270789.621</v>
      </c>
      <c r="HF27" s="13" t="n">
        <v>270938.444</v>
      </c>
      <c r="HG27" s="13" t="n">
        <v>271103.786</v>
      </c>
      <c r="HH27" s="13" t="n">
        <v>271343.145</v>
      </c>
      <c r="HI27" s="13" t="n">
        <v>271461.464</v>
      </c>
      <c r="HJ27" s="13" t="n">
        <v>271671.138</v>
      </c>
      <c r="HK27" s="13" t="n">
        <v>271839.929</v>
      </c>
      <c r="HL27" s="13" t="n">
        <v>272023.218</v>
      </c>
      <c r="HM27" s="13" t="n">
        <v>272228.622</v>
      </c>
      <c r="HN27" s="13" t="n">
        <v>272352.519</v>
      </c>
      <c r="HO27" s="126" t="n"/>
      <c r="HP27" s="13" t="n">
        <v>272582.449</v>
      </c>
      <c r="HQ27" s="13" t="n">
        <v>272841.224</v>
      </c>
      <c r="HR27" s="13" t="n">
        <v>272976.459</v>
      </c>
      <c r="HS27" s="13" t="n">
        <v>273339.329</v>
      </c>
      <c r="HT27" s="13" t="n">
        <v>273613.79</v>
      </c>
      <c r="HU27" s="13" t="n">
        <v>273910.265</v>
      </c>
      <c r="HV27" s="13" t="n">
        <v>274146.318</v>
      </c>
      <c r="HW27" s="13" t="n">
        <v>274353.08</v>
      </c>
      <c r="HX27" s="13" t="n">
        <v>274521.926</v>
      </c>
      <c r="HY27" s="13" t="n">
        <v>274837.362</v>
      </c>
      <c r="HZ27" s="13" t="n">
        <v>275072.685</v>
      </c>
      <c r="IA27" s="13" t="n">
        <v>275343.179</v>
      </c>
      <c r="IB27" s="13" t="n">
        <v>275497.848</v>
      </c>
      <c r="IC27" s="13" t="n">
        <v>275757.397</v>
      </c>
      <c r="ID27" s="13" t="n">
        <v>276008.141</v>
      </c>
      <c r="IE27" s="13" t="n">
        <v>276157.825</v>
      </c>
      <c r="IF27" s="13" t="n">
        <v>276496.129</v>
      </c>
      <c r="IG27" s="13" t="n">
        <v>276658.946</v>
      </c>
      <c r="IH27" s="13" t="n">
        <v>276897.32</v>
      </c>
      <c r="II27" s="13" t="n">
        <v>277149.431</v>
      </c>
      <c r="IJ27" s="13" t="n">
        <v>277569.617</v>
      </c>
      <c r="IK27" s="13" t="n">
        <v>277871.422</v>
      </c>
      <c r="IL27" s="13" t="n">
        <v>278056.053</v>
      </c>
      <c r="IM27" s="13" t="n">
        <v>278221.095</v>
      </c>
      <c r="IN27" s="13" t="n">
        <v>278448.773</v>
      </c>
      <c r="IO27" s="13" t="n">
        <v>278621.837</v>
      </c>
      <c r="IP27" s="13" t="n">
        <v>278772.335</v>
      </c>
      <c r="IQ27" s="13" t="n">
        <v>278990.312</v>
      </c>
      <c r="IR27" s="13" t="n">
        <v>279213.665</v>
      </c>
      <c r="IS27" s="13" t="n">
        <v>279344.115</v>
      </c>
      <c r="IT27" s="13" t="n">
        <v>279578.582</v>
      </c>
      <c r="IU27" s="126" t="n"/>
      <c r="IV27" s="13" t="n">
        <v>279760.545</v>
      </c>
      <c r="IW27" s="13" t="n">
        <v>279952.87</v>
      </c>
      <c r="IX27" s="13" t="n">
        <v>280116.392</v>
      </c>
      <c r="IY27" s="13" t="n">
        <v>280371.594</v>
      </c>
      <c r="IZ27" s="13" t="n">
        <v>280539.511</v>
      </c>
      <c r="JA27" s="13" t="n">
        <v>280732.712</v>
      </c>
      <c r="JB27" s="13" t="n">
        <v>280896.417</v>
      </c>
      <c r="JC27" s="13" t="n">
        <v>281264.922</v>
      </c>
      <c r="JD27" s="13" t="n">
        <v>281447.278</v>
      </c>
      <c r="JE27" s="13" t="n">
        <v>281587.947</v>
      </c>
      <c r="JF27" s="13" t="n">
        <v>281792.823</v>
      </c>
      <c r="JG27" s="13" t="n">
        <v>282094.944</v>
      </c>
      <c r="JH27" s="13" t="n">
        <v>282210.169</v>
      </c>
      <c r="JI27" s="13" t="n">
        <v>282355.455</v>
      </c>
      <c r="JJ27" s="13" t="n">
        <v>282592.83</v>
      </c>
      <c r="JK27" s="13" t="n">
        <v>282787.643</v>
      </c>
      <c r="JL27" s="13" t="n">
        <v>283019.103</v>
      </c>
      <c r="JM27" s="13" t="n">
        <v>283199.709</v>
      </c>
      <c r="JN27" s="13" t="n">
        <v>283435.814</v>
      </c>
      <c r="JO27" s="13" t="n">
        <v>283695.294</v>
      </c>
      <c r="JP27" s="13" t="n">
        <v>283771.641</v>
      </c>
      <c r="JQ27" s="13" t="n">
        <v>283945.905</v>
      </c>
      <c r="JR27" s="13" t="n">
        <v>284105.238</v>
      </c>
      <c r="JS27" s="13" t="n">
        <v>284298.288</v>
      </c>
      <c r="JT27" s="13" t="n">
        <v>284522.285</v>
      </c>
      <c r="JU27" s="13" t="n">
        <v>284646.187</v>
      </c>
      <c r="JV27" s="13" t="n">
        <v>284769.973</v>
      </c>
      <c r="JW27" s="13" t="n">
        <v>285060.023</v>
      </c>
      <c r="JX27" s="13" t="n">
        <v>285223.213</v>
      </c>
      <c r="JY27" s="13" t="n">
        <v>285534.626</v>
      </c>
      <c r="JZ27" s="126" t="n"/>
      <c r="KA27" s="13" t="n">
        <v>285722.702</v>
      </c>
      <c r="KB27" s="13" t="n">
        <v>285919.429</v>
      </c>
      <c r="KC27" s="13" t="n">
        <v>286094.479</v>
      </c>
      <c r="KD27" s="13" t="n">
        <v>286228.422</v>
      </c>
      <c r="KE27" s="13" t="n">
        <v>286424.268</v>
      </c>
      <c r="KF27" s="13" t="n">
        <v>286558.512</v>
      </c>
      <c r="KG27" s="13" t="n">
        <v>286755.173</v>
      </c>
      <c r="KH27" s="13" t="n">
        <v>286880.328</v>
      </c>
      <c r="KI27" s="13" t="n">
        <v>287123.709</v>
      </c>
      <c r="KJ27" s="13" t="n">
        <v>287242.525</v>
      </c>
      <c r="KK27" s="13" t="n">
        <v>287452.338</v>
      </c>
      <c r="KL27" s="13" t="n">
        <v>287637</v>
      </c>
      <c r="KM27" s="13" t="n">
        <v>287876.366</v>
      </c>
      <c r="KN27" s="13" t="n">
        <v>288372.999</v>
      </c>
      <c r="KO27" s="13" t="n">
        <v>288471.068</v>
      </c>
      <c r="KP27" s="13" t="n">
        <v>288687.835</v>
      </c>
      <c r="KQ27" s="13" t="n">
        <v>289045.364</v>
      </c>
      <c r="KR27" s="13" t="n">
        <v>289445.892</v>
      </c>
      <c r="KS27" s="13" t="n">
        <v>289737.423</v>
      </c>
      <c r="KT27" s="13" t="n">
        <v>290048.896</v>
      </c>
      <c r="KU27" s="13" t="n">
        <v>290355.598</v>
      </c>
      <c r="KV27" s="13" t="n">
        <v>290552.529</v>
      </c>
      <c r="KW27" s="13" t="n">
        <v>290791.909</v>
      </c>
      <c r="KX27" s="13" t="n">
        <v>291156.447</v>
      </c>
      <c r="KY27" s="13" t="n">
        <v>291386.799</v>
      </c>
      <c r="KZ27" s="13" t="n">
        <v>291546.601</v>
      </c>
      <c r="LA27" s="13" t="n">
        <v>291727.785</v>
      </c>
      <c r="LB27" s="13" t="n">
        <v>292123.181</v>
      </c>
      <c r="LC27" s="13" t="n">
        <v>292453.021</v>
      </c>
      <c r="LD27" s="13" t="n">
        <v>292668.876</v>
      </c>
      <c r="LE27" s="13" t="n">
        <v>293039.215</v>
      </c>
      <c r="LF27" s="126" t="n"/>
      <c r="LG27" s="13" t="n">
        <v>293283.909</v>
      </c>
      <c r="LH27" s="13" t="n">
        <v>293649.86</v>
      </c>
      <c r="LI27" s="13" t="n">
        <v>294013.561</v>
      </c>
      <c r="LJ27" s="13" t="n">
        <v>294300.709</v>
      </c>
      <c r="LK27" s="13" t="n">
        <v>294728.312</v>
      </c>
      <c r="LL27" s="13" t="n">
        <v>294999.642</v>
      </c>
      <c r="LM27" s="13" t="n">
        <v>295430.36</v>
      </c>
      <c r="LN27" s="13" t="n">
        <v>295785.088</v>
      </c>
      <c r="LO27" s="13" t="n">
        <v>295946.481</v>
      </c>
      <c r="LP27" s="13" t="n">
        <v>296134.312</v>
      </c>
      <c r="LQ27" s="13" t="n">
        <v>296593.347</v>
      </c>
      <c r="LR27" s="13" t="n">
        <v>296904.254</v>
      </c>
      <c r="LS27" s="13" t="n">
        <v>297178.054</v>
      </c>
      <c r="LT27" s="13" t="n">
        <v>297627.679</v>
      </c>
      <c r="LU27" s="13" t="n">
        <v>297991.4</v>
      </c>
      <c r="LV27" s="13" t="n">
        <v>298191.785</v>
      </c>
      <c r="LW27" s="13" t="n">
        <v>298316.684</v>
      </c>
      <c r="LX27" s="13" t="n">
        <v>298697.215</v>
      </c>
      <c r="LY27" s="13" t="n">
        <v>298877.327</v>
      </c>
      <c r="LZ27" s="13" t="n">
        <v>298970.559</v>
      </c>
      <c r="MA27" s="13" t="n">
        <v>299184.739</v>
      </c>
      <c r="MB27" s="13" t="n">
        <v>299432.149</v>
      </c>
      <c r="MC27" s="13" t="n">
        <v>299577.917</v>
      </c>
      <c r="MD27" s="13" t="n">
        <v>299790.312</v>
      </c>
      <c r="ME27" s="13" t="n">
        <v>299957.303</v>
      </c>
      <c r="MF27" s="13" t="n">
        <v>300318.139</v>
      </c>
      <c r="MG27" s="13" t="n">
        <v>300512.811</v>
      </c>
      <c r="MH27" s="13" t="n">
        <v>300801.711</v>
      </c>
      <c r="MI27" s="13" t="n">
        <v>301010.375</v>
      </c>
      <c r="MJ27" s="13" t="n">
        <v>301181.806</v>
      </c>
      <c r="MK27" s="126" t="n"/>
      <c r="ML27" s="13" t="n">
        <v>301332.037</v>
      </c>
      <c r="MM27" s="13" t="n">
        <v>301357.656</v>
      </c>
      <c r="MN27" s="13" t="n">
        <v>301360.17</v>
      </c>
      <c r="MO27" s="13" t="n">
        <v>301557.34</v>
      </c>
      <c r="MP27" s="13" t="n">
        <v>301884.539</v>
      </c>
      <c r="MQ27" s="13" t="n">
        <v>301892.786</v>
      </c>
      <c r="MR27" s="13" t="n">
        <v>301892.786</v>
      </c>
      <c r="MS27" s="13" t="n">
        <v>301892.786</v>
      </c>
      <c r="MT27" s="13" t="n">
        <v>301894.848</v>
      </c>
      <c r="MU27" s="13" t="n">
        <v>301994.066</v>
      </c>
      <c r="MV27" s="13" t="n">
        <v>302249.605</v>
      </c>
      <c r="MW27" s="13" t="n">
        <v>302497.7</v>
      </c>
      <c r="MX27" s="13" t="n">
        <v>302642.306</v>
      </c>
      <c r="MY27" s="13" t="n">
        <v>302833.372</v>
      </c>
      <c r="MZ27" s="13" t="n">
        <v>303134.467</v>
      </c>
      <c r="NA27" s="13" t="n">
        <v>303361.592</v>
      </c>
      <c r="NB27" s="13" t="n">
        <v>303683.081</v>
      </c>
      <c r="NC27" s="13" t="n">
        <v>303993.968</v>
      </c>
      <c r="ND27" s="13" t="n">
        <v>304323.862</v>
      </c>
      <c r="NE27" s="13" t="n">
        <v>304443.879</v>
      </c>
      <c r="NF27" s="13" t="n">
        <v>304597.648</v>
      </c>
      <c r="NG27" s="13" t="n">
        <v>304809.965</v>
      </c>
      <c r="NH27" s="13" t="n">
        <v>304991.033</v>
      </c>
      <c r="NI27" s="13" t="n">
        <v>305129.175</v>
      </c>
      <c r="NJ27" s="13" t="n">
        <v>305279.616</v>
      </c>
      <c r="NK27" s="13" t="n">
        <v>305702.296</v>
      </c>
      <c r="NL27" s="13" t="n">
        <v>305850.855</v>
      </c>
      <c r="NM27" s="13" t="n">
        <v>306196.029</v>
      </c>
      <c r="NN27" s="13" t="n">
        <v>306327.12</v>
      </c>
      <c r="NO27" s="13" t="n">
        <v>306496.302</v>
      </c>
      <c r="NP27" s="13" t="n">
        <v>306642.575</v>
      </c>
      <c r="NQ27" s="126" t="n"/>
      <c r="NR27" s="13" t="n">
        <v>306831.773</v>
      </c>
      <c r="NS27" s="13" t="n">
        <v>307226.209</v>
      </c>
      <c r="NT27" s="13" t="n">
        <v>307448.116</v>
      </c>
      <c r="NU27" s="13" t="n">
        <v>307717.303</v>
      </c>
      <c r="NV27" s="13" t="n">
        <v>307830.947</v>
      </c>
      <c r="NW27" s="13" t="n">
        <v>308088.852</v>
      </c>
      <c r="NX27" s="13" t="n">
        <v>308327.844</v>
      </c>
      <c r="NY27" s="13" t="n">
        <v>308525.145</v>
      </c>
      <c r="NZ27" s="13" t="n">
        <v>308736.981</v>
      </c>
      <c r="OA27" s="13" t="n">
        <v>308922.271</v>
      </c>
      <c r="OB27" s="13" t="n">
        <v>309083.344</v>
      </c>
      <c r="OC27" s="13" t="n">
        <v>309265.47</v>
      </c>
      <c r="OD27" s="13" t="n">
        <v>309626.762</v>
      </c>
      <c r="OE27" s="13" t="n">
        <v>310037.817</v>
      </c>
      <c r="OF27" s="13" t="n">
        <v>310209.218</v>
      </c>
      <c r="OG27" s="13" t="n">
        <v>310470.847</v>
      </c>
      <c r="OH27" s="13" t="n">
        <v>310628.717</v>
      </c>
      <c r="OI27" s="13" t="n">
        <v>311003.409</v>
      </c>
      <c r="OJ27" s="13" t="n">
        <v>311213.133</v>
      </c>
      <c r="OK27" s="13" t="n">
        <v>311412.532</v>
      </c>
      <c r="OL27" s="13" t="n">
        <v>311550.45</v>
      </c>
      <c r="OM27" s="13" t="n">
        <v>311766.708</v>
      </c>
      <c r="ON27" s="13" t="n">
        <v>312047.822</v>
      </c>
      <c r="OO27" s="13" t="n">
        <v>312307.45</v>
      </c>
      <c r="OP27" s="13" t="n">
        <v>312452.954</v>
      </c>
      <c r="OQ27" s="13" t="n">
        <v>312780.845</v>
      </c>
      <c r="OR27" s="13" t="n">
        <v>312959.823</v>
      </c>
      <c r="OS27" s="13" t="n">
        <v>313239.951</v>
      </c>
      <c r="OT27" s="13" t="n">
        <v>313468.895</v>
      </c>
      <c r="OU27" s="13" t="n">
        <v>313720.098</v>
      </c>
      <c r="OV27" s="13" t="n">
        <v>314088.5</v>
      </c>
      <c r="OW27" s="126" t="n"/>
      <c r="OX27" s="13" t="n">
        <v>314234.842</v>
      </c>
      <c r="OY27" s="13" t="n">
        <v>314711.12</v>
      </c>
      <c r="OZ27" s="13" t="n">
        <v>314895.352</v>
      </c>
      <c r="PA27" s="13" t="n">
        <v>315086.965</v>
      </c>
      <c r="PB27" s="13" t="n">
        <v>315323.214</v>
      </c>
      <c r="PC27" s="13" t="n">
        <v>315531.286</v>
      </c>
      <c r="PD27" s="13" t="n">
        <v>315774.835</v>
      </c>
      <c r="PE27" s="13" t="n">
        <v>315916.22</v>
      </c>
      <c r="PF27" s="13" t="n">
        <v>316142.991</v>
      </c>
      <c r="PG27" s="13" t="n">
        <v>316336.29</v>
      </c>
      <c r="PH27" s="13" t="n">
        <v>316721.856</v>
      </c>
      <c r="PI27" s="13" t="n">
        <v>316987.098</v>
      </c>
      <c r="PJ27" s="13" t="n">
        <v>317272.203</v>
      </c>
      <c r="PK27" s="13" t="n">
        <v>317516.458</v>
      </c>
      <c r="PL27" s="13" t="n">
        <v>317728.489</v>
      </c>
      <c r="PM27" s="13" t="n">
        <v>317902.619</v>
      </c>
      <c r="PN27" s="13" t="n">
        <v>318131.931</v>
      </c>
      <c r="PO27" s="13" t="n">
        <v>318269.415</v>
      </c>
      <c r="PP27" s="13" t="n">
        <v>318478.706</v>
      </c>
      <c r="PQ27" s="13" t="n">
        <v>318693.69</v>
      </c>
      <c r="PR27" s="13" t="n">
        <v>318812.868</v>
      </c>
      <c r="PS27" s="13" t="n">
        <v>319013.308</v>
      </c>
      <c r="PT27" s="13" t="n">
        <v>319043.635</v>
      </c>
      <c r="PU27" s="13" t="n">
        <v>319167.803</v>
      </c>
      <c r="PV27" s="13" t="n">
        <v>319291.615</v>
      </c>
      <c r="PW27" s="13" t="n">
        <v>319672.622</v>
      </c>
      <c r="PX27" s="13" t="n">
        <v>319932.207</v>
      </c>
      <c r="PY27" s="13" t="n">
        <v>320149.307</v>
      </c>
      <c r="PZ27" s="13" t="n">
        <v>320272.948</v>
      </c>
      <c r="QA27" s="13" t="n">
        <v>320592.574</v>
      </c>
      <c r="QB27" s="126" t="n"/>
      <c r="QC27" s="13" t="n">
        <v>320815.555</v>
      </c>
      <c r="QD27" s="13" t="n">
        <v>320978.534</v>
      </c>
      <c r="QE27" s="13" t="n">
        <v>321078.374</v>
      </c>
      <c r="QF27" s="13" t="n">
        <v>321234.399</v>
      </c>
      <c r="QG27" s="13" t="n">
        <v>321472.787</v>
      </c>
      <c r="QH27" s="13" t="n">
        <v>321622.071</v>
      </c>
      <c r="QI27" s="13" t="n">
        <v>321883.058</v>
      </c>
      <c r="QJ27" s="13" t="n">
        <v>322117.412</v>
      </c>
      <c r="QK27" s="13" t="n">
        <v>322317.619</v>
      </c>
      <c r="QL27" s="13" t="n">
        <v>322514.391</v>
      </c>
      <c r="QM27" s="13" t="n">
        <v>322809.555</v>
      </c>
      <c r="QN27" s="13" t="n">
        <v>323165.455</v>
      </c>
      <c r="QO27" s="13" t="n">
        <v>323532.231</v>
      </c>
      <c r="QP27" s="13" t="n">
        <v>323736.389</v>
      </c>
      <c r="QQ27" s="13" t="n">
        <v>323897.508</v>
      </c>
      <c r="QR27" s="13" t="n">
        <v>324102.771</v>
      </c>
      <c r="QS27" s="13" t="n">
        <v>324335.916</v>
      </c>
      <c r="QT27" s="13" t="n">
        <v>324889.268</v>
      </c>
      <c r="QU27" s="13" t="n">
        <v>325059.963</v>
      </c>
      <c r="QV27" s="13" t="n">
        <v>325259.537</v>
      </c>
      <c r="QW27" s="13" t="n">
        <v>325459.461</v>
      </c>
      <c r="QX27" s="13" t="n">
        <v>325735.26</v>
      </c>
      <c r="QY27" s="13" t="n">
        <v>325966.2</v>
      </c>
      <c r="QZ27" s="13" t="n">
        <v>326116.018</v>
      </c>
      <c r="RA27" s="13" t="n">
        <v>326432.976</v>
      </c>
      <c r="RB27" s="13" t="n">
        <v>326689.097</v>
      </c>
      <c r="RC27" s="13" t="n">
        <v>326818.252</v>
      </c>
      <c r="RD27" s="13" t="n">
        <v>326992.868</v>
      </c>
      <c r="RE27" s="13" t="n">
        <v>327151.408</v>
      </c>
      <c r="RF27" s="13" t="n">
        <v>327291.857</v>
      </c>
      <c r="RG27" s="13" t="n">
        <v>327581.878</v>
      </c>
      <c r="RH27" s="126" t="n"/>
      <c r="RI27" s="13" t="n">
        <v>327823.003</v>
      </c>
      <c r="RJ27" s="13" t="n">
        <v>328017.609</v>
      </c>
      <c r="RK27" s="13" t="n">
        <v>328311.577</v>
      </c>
      <c r="RL27" s="13" t="n">
        <v>328455.835</v>
      </c>
      <c r="RM27" s="13" t="n">
        <v>328634.556</v>
      </c>
      <c r="RN27" s="13" t="n">
        <v>328756.961</v>
      </c>
      <c r="RO27" s="13" t="n">
        <v>328902.454</v>
      </c>
      <c r="RP27" s="13" t="n">
        <v>329028.188</v>
      </c>
      <c r="RQ27" s="13" t="n">
        <v>329255.991</v>
      </c>
      <c r="RR27" s="13" t="n">
        <v>329468.771</v>
      </c>
      <c r="RS27" s="13" t="n">
        <v>329809.381</v>
      </c>
      <c r="RT27" s="13" t="n">
        <v>329925.711</v>
      </c>
      <c r="RU27" s="13" t="n">
        <v>330160.323</v>
      </c>
      <c r="RV27" s="13" t="n">
        <v>330283.585</v>
      </c>
      <c r="RW27" s="13" t="n">
        <v>330459.42</v>
      </c>
      <c r="RX27" s="13" t="n">
        <v>330578.44</v>
      </c>
      <c r="RY27" s="13" t="n">
        <v>330708.836</v>
      </c>
      <c r="RZ27" s="13" t="n">
        <v>330925.148</v>
      </c>
      <c r="SA27" s="13" t="n">
        <v>331046.402</v>
      </c>
      <c r="SB27" s="13" t="n">
        <v>331396.253</v>
      </c>
      <c r="SC27" s="13" t="n">
        <v>331544.142</v>
      </c>
      <c r="SD27" s="13" t="n">
        <v>331723.68</v>
      </c>
      <c r="SE27" s="13" t="n">
        <v>331994.413</v>
      </c>
      <c r="SF27" s="13" t="n">
        <v>332148.959</v>
      </c>
      <c r="SG27" s="13" t="n">
        <v>332488.376</v>
      </c>
      <c r="SH27" s="13" t="n">
        <v>332653.081</v>
      </c>
      <c r="SI27" s="13" t="n">
        <v>332834.915</v>
      </c>
      <c r="SJ27" s="13" t="n">
        <v>333041.518</v>
      </c>
      <c r="SK27" s="13" t="n">
        <v>333245.948</v>
      </c>
      <c r="SL27" s="13" t="n">
        <v>333426.032</v>
      </c>
      <c r="SM27" s="126" t="n"/>
      <c r="SN27" s="13" t="n">
        <v>333598.149</v>
      </c>
      <c r="SO27" s="13" t="n">
        <v>334096.624</v>
      </c>
      <c r="SP27" s="13" t="n">
        <v>335236.586</v>
      </c>
      <c r="SQ27" s="13" t="n">
        <v>335434.65</v>
      </c>
      <c r="SR27" s="13" t="n">
        <v>335885.924</v>
      </c>
      <c r="SS27" s="13" t="n">
        <v>336075.561</v>
      </c>
      <c r="ST27" s="13" t="n">
        <v>336439.375</v>
      </c>
      <c r="SU27" s="13" t="n">
        <v>336651.861</v>
      </c>
      <c r="SV27" s="13" t="n">
        <v>337089.24</v>
      </c>
      <c r="SW27" s="13" t="n">
        <v>337361.044</v>
      </c>
      <c r="SX27" s="13" t="n">
        <v>337618.495</v>
      </c>
      <c r="SY27" s="13" t="n">
        <v>337752.495</v>
      </c>
      <c r="SZ27" s="13" t="n">
        <v>338041.629</v>
      </c>
      <c r="TA27" s="13" t="n">
        <v>338364.899</v>
      </c>
      <c r="TB27" s="13" t="n">
        <v>338609.406</v>
      </c>
      <c r="TC27" s="13" t="n">
        <v>338840.943</v>
      </c>
      <c r="TD27" s="13" t="n">
        <v>339071.996</v>
      </c>
      <c r="TE27" s="13" t="n">
        <v>339404.876</v>
      </c>
      <c r="TF27" s="13" t="n">
        <v>339737.669</v>
      </c>
      <c r="TG27" s="13" t="n">
        <v>339907.241</v>
      </c>
      <c r="TH27" s="13" t="n">
        <v>340222.002</v>
      </c>
      <c r="TI27" s="13" t="n">
        <v>340568.993</v>
      </c>
      <c r="TJ27" s="13" t="n">
        <v>340923.138</v>
      </c>
      <c r="TK27" s="13" t="n">
        <v>341272.367</v>
      </c>
      <c r="TL27" s="13" t="n">
        <v>341373.274</v>
      </c>
      <c r="TM27" s="13" t="n">
        <v>341459.574</v>
      </c>
      <c r="TN27" s="13" t="n">
        <v>341595.146</v>
      </c>
      <c r="TO27" s="13" t="n">
        <v>341803.198</v>
      </c>
      <c r="TP27" s="13" t="n">
        <v>341945.705</v>
      </c>
      <c r="TQ27" s="13" t="n">
        <v>342167.217</v>
      </c>
      <c r="TR27" s="13" t="n">
        <v>342368.552</v>
      </c>
      <c r="TS27" s="126" t="n"/>
      <c r="TT27" s="13" t="n">
        <v>342482.62</v>
      </c>
      <c r="TU27" s="13" t="n">
        <v>342761.923</v>
      </c>
      <c r="TV27" s="13" t="n">
        <v>343003.083</v>
      </c>
      <c r="TW27" s="13" t="n">
        <v>343207.344</v>
      </c>
      <c r="TX27" s="13" t="n">
        <v>343388.993</v>
      </c>
      <c r="TY27" s="13" t="n">
        <v>343682.251</v>
      </c>
      <c r="TZ27" s="13" t="n">
        <v>343833.784</v>
      </c>
      <c r="UA27" s="13" t="n">
        <v>344057.662</v>
      </c>
      <c r="UB27" s="13" t="n">
        <v>344270.858</v>
      </c>
      <c r="UC27" s="13" t="n">
        <v>344412.469</v>
      </c>
      <c r="UD27" s="13" t="n">
        <v>344545.35</v>
      </c>
      <c r="UE27" s="13" t="n">
        <v>344742.852</v>
      </c>
      <c r="UF27" s="13" t="n">
        <v>344922.719</v>
      </c>
      <c r="UG27" s="13" t="n">
        <v>345152.042</v>
      </c>
      <c r="UH27" s="13" t="n">
        <v>345339.806</v>
      </c>
      <c r="UI27" s="13" t="n">
        <v>345556.381</v>
      </c>
      <c r="UJ27" s="13" t="n">
        <v>345758.551</v>
      </c>
      <c r="UK27" s="13" t="n">
        <v>346191.593</v>
      </c>
      <c r="UL27" s="13" t="n">
        <v>346481.916</v>
      </c>
      <c r="UM27" s="13" t="n">
        <v>346658.304</v>
      </c>
      <c r="UN27" s="13" t="n">
        <v>346995.698</v>
      </c>
      <c r="UO27" s="13" t="n">
        <v>347499.295</v>
      </c>
      <c r="UP27" s="13" t="n">
        <v>347691.718</v>
      </c>
      <c r="UQ27" s="13" t="n">
        <v>347987.419</v>
      </c>
      <c r="UR27" s="13" t="n">
        <v>348313.349</v>
      </c>
      <c r="US27" s="13" t="n">
        <v>348579.034</v>
      </c>
      <c r="UT27" s="13" t="n">
        <v>348863.465</v>
      </c>
      <c r="UU27" s="13" t="n">
        <v>348994.46</v>
      </c>
      <c r="UV27" s="13" t="n">
        <v>348994.46</v>
      </c>
      <c r="UW27" s="13" t="n">
        <v>349259.839</v>
      </c>
      <c r="UX27" s="13" t="n">
        <v>349460.27</v>
      </c>
      <c r="UY27" s="126" t="n"/>
      <c r="UZ27" s="13" t="n">
        <v>349796.941</v>
      </c>
      <c r="VA27" s="13" t="n">
        <v>350017.873</v>
      </c>
      <c r="VB27" s="13" t="n">
        <v>350358.61</v>
      </c>
      <c r="VC27" s="13" t="n">
        <v>350613.493</v>
      </c>
      <c r="VD27" s="13" t="n">
        <v>350841.762</v>
      </c>
      <c r="VE27" s="13" t="n">
        <v>350963.413</v>
      </c>
      <c r="VF27" s="13" t="n">
        <v>351261.615</v>
      </c>
      <c r="VG27" s="13" t="n">
        <v>351513.533</v>
      </c>
      <c r="VH27" s="13" t="n">
        <v>351676.322</v>
      </c>
      <c r="VI27" s="13" t="n">
        <v>351934.675</v>
      </c>
      <c r="VJ27" s="13" t="n">
        <v>352162.112</v>
      </c>
      <c r="VK27" s="13" t="n">
        <v>352375.989</v>
      </c>
      <c r="VL27" s="13" t="n">
        <v>352713.03</v>
      </c>
      <c r="VM27" s="13" t="n">
        <v>352969.252</v>
      </c>
      <c r="VN27" s="13" t="n">
        <v>353151.222</v>
      </c>
      <c r="VO27" s="13" t="n">
        <v>353408.135</v>
      </c>
      <c r="VP27" s="13" t="n">
        <v>353505.932</v>
      </c>
      <c r="VQ27" s="13" t="n">
        <v>353766.58</v>
      </c>
      <c r="VR27" s="13" t="n">
        <v>354129.648</v>
      </c>
      <c r="VS27" s="13" t="n">
        <v>354390.071</v>
      </c>
      <c r="VT27" s="13" t="n">
        <v>354644.562</v>
      </c>
      <c r="VU27" s="13" t="n">
        <v>354843.236</v>
      </c>
      <c r="VV27" s="13" t="n">
        <v>355044.339</v>
      </c>
      <c r="VW27" s="13" t="n">
        <v>355353.181</v>
      </c>
      <c r="VX27" s="13" t="n">
        <v>355625.76</v>
      </c>
      <c r="VY27" s="13" t="n">
        <v>355859.163</v>
      </c>
      <c r="VZ27" s="13" t="n">
        <v>356314.133</v>
      </c>
      <c r="WA27" s="13" t="n">
        <v>356658.779</v>
      </c>
      <c r="WB27" s="126" t="n"/>
      <c r="WC27" s="13" t="n">
        <v>356968.433</v>
      </c>
      <c r="WD27" s="13" t="n">
        <v>357152.069</v>
      </c>
      <c r="WE27" s="13" t="n">
        <v>357331.78</v>
      </c>
      <c r="WF27" s="13" t="n">
        <v>357564.078</v>
      </c>
      <c r="WG27" s="13" t="n">
        <v>357667.147</v>
      </c>
      <c r="WH27" s="13" t="n">
        <v>357667.147</v>
      </c>
      <c r="WI27" s="13" t="n">
        <v>357978.629</v>
      </c>
      <c r="WJ27" s="13" t="n">
        <v>358461.429</v>
      </c>
      <c r="WK27" s="13" t="n">
        <v>358739.508</v>
      </c>
      <c r="WL27" s="13" t="n">
        <v>359002.025</v>
      </c>
      <c r="WM27" s="13" t="n">
        <v>359173.003</v>
      </c>
      <c r="WN27" s="13" t="n">
        <v>359360.67</v>
      </c>
      <c r="WO27" s="13" t="n">
        <v>359483.513</v>
      </c>
      <c r="WP27" s="13" t="n">
        <v>359805.47</v>
      </c>
      <c r="WQ27" s="13" t="n">
        <v>360132.609</v>
      </c>
      <c r="WR27" s="13" t="n">
        <v>360239.19</v>
      </c>
      <c r="WS27" s="13" t="n">
        <v>360661.676</v>
      </c>
      <c r="WT27" s="13" t="n">
        <v>360847.379</v>
      </c>
      <c r="WU27" s="13" t="n">
        <v>361220.474</v>
      </c>
      <c r="WV27" s="13" t="n">
        <v>361312.523</v>
      </c>
      <c r="WW27" s="13" t="n">
        <v>361596.2</v>
      </c>
      <c r="WX27" s="13" t="n">
        <v>361786.295</v>
      </c>
      <c r="WY27" s="13" t="n">
        <v>362032.438</v>
      </c>
      <c r="WZ27" s="13" t="n">
        <v>362452.733</v>
      </c>
      <c r="XA27" s="13" t="n">
        <v>362685.115</v>
      </c>
      <c r="XB27" s="13" t="n">
        <v>362894.188</v>
      </c>
      <c r="XC27" s="13" t="n">
        <v>363098.949</v>
      </c>
      <c r="XD27" s="13" t="n">
        <v>363281.632</v>
      </c>
      <c r="XE27" s="13" t="n">
        <v>363761.546</v>
      </c>
      <c r="XF27" s="13" t="n">
        <v>363991.104</v>
      </c>
      <c r="XG27" s="13" t="n">
        <v>364393.292</v>
      </c>
      <c r="XH27" s="126" t="n"/>
      <c r="XI27" s="13" t="n">
        <v>364637.531</v>
      </c>
      <c r="XJ27" s="13" t="n">
        <v>365071.793</v>
      </c>
      <c r="XK27" s="13" t="n">
        <v>365181.336</v>
      </c>
      <c r="XL27" s="13" t="n">
        <v>365431.78</v>
      </c>
      <c r="XM27" s="13" t="n">
        <v>365655.949</v>
      </c>
      <c r="XN27" s="13" t="n">
        <v>366058.024</v>
      </c>
      <c r="XO27" s="13" t="n">
        <v>366383.784</v>
      </c>
      <c r="XP27" s="13" t="n">
        <v>366684.355</v>
      </c>
      <c r="XQ27" s="13" t="n">
        <v>366872.689</v>
      </c>
      <c r="XR27" s="13" t="n">
        <v>367114.081</v>
      </c>
      <c r="XS27" s="13" t="n">
        <v>367237.38</v>
      </c>
      <c r="XT27" s="13" t="n">
        <v>367447.306</v>
      </c>
      <c r="XU27" s="13" t="n">
        <v>367540.969</v>
      </c>
      <c r="XV27" s="13" t="n">
        <v>367735.927</v>
      </c>
      <c r="XW27" s="13" t="n">
        <v>368018.063</v>
      </c>
      <c r="XX27" s="13" t="n">
        <v>368271.796</v>
      </c>
      <c r="XY27" s="13" t="n">
        <v>368528.341</v>
      </c>
      <c r="XZ27" s="13" t="n">
        <v>368744.599</v>
      </c>
      <c r="YA27" s="13" t="n">
        <v>368890.61</v>
      </c>
      <c r="YB27" s="13" t="n">
        <v>369101.763</v>
      </c>
      <c r="YC27" s="13" t="n">
        <v>369247.617</v>
      </c>
      <c r="YD27" s="13" t="n">
        <v>369520.5</v>
      </c>
      <c r="YE27" s="13" t="n">
        <v>369697.906</v>
      </c>
      <c r="YF27" s="13" t="n">
        <v>369998.124</v>
      </c>
      <c r="YG27" s="13" t="n">
        <v>370137.469</v>
      </c>
      <c r="YH27" s="13" t="n">
        <v>370333.716</v>
      </c>
      <c r="YI27" s="13" t="n">
        <v>370494.135</v>
      </c>
      <c r="YJ27" s="13" t="n">
        <v>370669.364</v>
      </c>
      <c r="YK27" s="13" t="n">
        <v>370854.723</v>
      </c>
      <c r="YL27" s="13" t="n">
        <v>371036.742</v>
      </c>
      <c r="YM27" s="126" t="n"/>
      <c r="YN27" s="13" t="n">
        <v>371526.35</v>
      </c>
      <c r="YO27" s="13" t="n">
        <v>372013.529</v>
      </c>
      <c r="YP27" s="13" t="n">
        <v>372305.767</v>
      </c>
      <c r="YQ27" s="13" t="n">
        <v>372523.603</v>
      </c>
      <c r="YR27" s="13" t="n">
        <v>372756.922</v>
      </c>
      <c r="YS27" s="13" t="n">
        <v>372914.069</v>
      </c>
      <c r="YT27" s="13" t="n">
        <v>373108.016</v>
      </c>
      <c r="YU27" s="13" t="n">
        <v>373203.729</v>
      </c>
      <c r="YV27" s="13" t="n">
        <v>373376.849</v>
      </c>
      <c r="YW27" s="13" t="n">
        <v>373537.266</v>
      </c>
      <c r="YX27" s="13" t="n">
        <v>373730.155</v>
      </c>
      <c r="YY27" s="13" t="n">
        <v>373889.333</v>
      </c>
      <c r="YZ27" s="13" t="n">
        <v>374129.115</v>
      </c>
      <c r="ZA27" s="13" t="n">
        <v>374403.422</v>
      </c>
      <c r="ZB27" s="13" t="n">
        <v>374631.684</v>
      </c>
      <c r="ZC27" s="13" t="n">
        <v>374820.569</v>
      </c>
      <c r="ZD27" s="13" t="n">
        <v>375116.466</v>
      </c>
      <c r="ZE27" s="13" t="n">
        <v>375226.136</v>
      </c>
      <c r="ZF27" s="13" t="n">
        <v>375516.568</v>
      </c>
      <c r="ZG27" s="13" t="n">
        <v>375727.732</v>
      </c>
      <c r="ZH27" s="13" t="n">
        <v>375901.051</v>
      </c>
      <c r="ZI27" s="13" t="n">
        <v>376091.785</v>
      </c>
      <c r="ZJ27" s="13" t="n">
        <v>376419.722</v>
      </c>
      <c r="ZK27" s="13" t="n">
        <v>376635.621</v>
      </c>
      <c r="ZL27" s="13" t="n">
        <v>376863.141</v>
      </c>
      <c r="ZM27" s="13" t="n">
        <v>377084.847</v>
      </c>
      <c r="ZN27" s="13" t="n">
        <v>377251.499</v>
      </c>
      <c r="ZO27" s="13" t="n">
        <v>377414.709</v>
      </c>
      <c r="ZP27" s="13" t="n">
        <v>377543.579</v>
      </c>
      <c r="ZQ27" s="13" t="n">
        <v>377872.395</v>
      </c>
      <c r="ZR27" s="13" t="n">
        <v>378110.657</v>
      </c>
      <c r="ZS27" s="126" t="n"/>
      <c r="ZT27" s="13" t="n">
        <v>378432.686</v>
      </c>
      <c r="ZU27" s="13" t="n">
        <v>378765.037</v>
      </c>
      <c r="ZV27" s="13" t="n">
        <v>378930.633</v>
      </c>
      <c r="ZW27" s="13" t="n">
        <v>379072.615</v>
      </c>
      <c r="ZX27" s="13" t="n">
        <v>379318.186</v>
      </c>
      <c r="ZY27" s="13" t="n">
        <v>379466.131</v>
      </c>
      <c r="ZZ27" s="13" t="n">
        <v>379836.594</v>
      </c>
      <c r="AAA27" s="13" t="n">
        <v>380025.825</v>
      </c>
      <c r="AAB27" s="13" t="n">
        <v>380217.646</v>
      </c>
      <c r="AAC27" s="13" t="n">
        <v>380513.118</v>
      </c>
      <c r="AAD27" s="13" t="n">
        <v>380702.566</v>
      </c>
      <c r="AAE27" s="13" t="n">
        <v>380911.804</v>
      </c>
      <c r="AAF27" s="13" t="n">
        <v>381140.392</v>
      </c>
      <c r="AAG27" s="13" t="n">
        <v>381404.284</v>
      </c>
      <c r="AAH27" s="13" t="n">
        <v>381680.226</v>
      </c>
      <c r="AAI27" s="13" t="n">
        <v>381925.368</v>
      </c>
      <c r="AAJ27" s="13" t="n">
        <v>382082.988</v>
      </c>
      <c r="AAK27" s="13" t="n">
        <v>382404.895</v>
      </c>
      <c r="AAL27" s="13" t="n">
        <v>382510.692</v>
      </c>
      <c r="AAM27" s="13" t="n">
        <v>382722.077</v>
      </c>
      <c r="AAN27" s="13" t="n">
        <v>382923.136</v>
      </c>
      <c r="AAO27" s="13" t="n">
        <v>383115.44</v>
      </c>
      <c r="AAP27" s="13" t="n">
        <v>383329.951</v>
      </c>
      <c r="AAQ27" s="13" t="n">
        <v>383405.644</v>
      </c>
      <c r="AAR27" s="13" t="n">
        <v>383616.386</v>
      </c>
      <c r="AAS27" s="13" t="n">
        <v>383821.298</v>
      </c>
      <c r="AAT27" s="13" t="n">
        <v>384017.934</v>
      </c>
      <c r="AAU27" s="13" t="n">
        <v>384209.32</v>
      </c>
      <c r="AAV27" s="13" t="n">
        <v>384381.134</v>
      </c>
      <c r="AAW27" s="13" t="n">
        <v>384546.717</v>
      </c>
      <c r="AAX27" s="126" t="n"/>
      <c r="AAY27" s="13" t="n">
        <v>384936.6</v>
      </c>
      <c r="AAZ27" s="13" t="n">
        <v>385116.153</v>
      </c>
      <c r="ABA27" s="13" t="n">
        <v>385519.798</v>
      </c>
      <c r="ABB27" s="13" t="n">
        <v>385659.999</v>
      </c>
      <c r="ABC27" s="13" t="n">
        <v>385860.408</v>
      </c>
      <c r="ABD27" s="13" t="n">
        <v>385971.364</v>
      </c>
      <c r="ABE27" s="13" t="n">
        <v>386157.374</v>
      </c>
      <c r="ABF27" s="13" t="n">
        <v>386409.989</v>
      </c>
      <c r="ABG27" s="13" t="n">
        <v>386567.251</v>
      </c>
      <c r="ABH27" s="13" t="n">
        <v>386848.286</v>
      </c>
      <c r="ABI27" s="13" t="n">
        <v>387011.931</v>
      </c>
      <c r="ABJ27" s="13" t="n">
        <v>387179.879</v>
      </c>
      <c r="ABK27" s="13" t="n">
        <v>387341.898</v>
      </c>
      <c r="ABL27" s="13" t="n">
        <v>387548.334</v>
      </c>
      <c r="ABM27" s="13" t="n">
        <v>387771.002</v>
      </c>
      <c r="ABN27" s="13" t="n">
        <v>387895.509</v>
      </c>
      <c r="ABO27" s="13" t="n">
        <v>388218.865</v>
      </c>
      <c r="ABP27" s="13" t="n">
        <v>388401.806</v>
      </c>
      <c r="ABQ27" s="13" t="n">
        <v>388753.13</v>
      </c>
      <c r="ABR27" s="13" t="n">
        <v>388958.699</v>
      </c>
      <c r="ABS27" s="13" t="n">
        <v>389138.251</v>
      </c>
      <c r="ABT27" s="13" t="n">
        <v>389248.345</v>
      </c>
      <c r="ABU27" s="13" t="n">
        <v>389413.927</v>
      </c>
      <c r="ABV27" s="13" t="n">
        <v>389535.847</v>
      </c>
      <c r="ABW27" s="13" t="n">
        <v>389758.631</v>
      </c>
      <c r="ABX27" s="13" t="n">
        <v>389946.572</v>
      </c>
      <c r="ABY27" s="13" t="n">
        <v>390126.128</v>
      </c>
      <c r="ABZ27" s="13" t="n">
        <v>390411.488</v>
      </c>
      <c r="ACA27" s="13" t="n">
        <v>390620.938</v>
      </c>
      <c r="ACB27" s="13" t="n">
        <v>390727.811</v>
      </c>
      <c r="ACC27" s="13" t="n">
        <v>390819.63</v>
      </c>
      <c r="ACD27" s="126" t="n"/>
      <c r="ACE27" s="13" t="n">
        <v>391013.97</v>
      </c>
      <c r="ACF27" s="13" t="n">
        <v>391277.82</v>
      </c>
      <c r="ACG27" s="13" t="n">
        <v>391518.874</v>
      </c>
      <c r="ACH27" s="13" t="n">
        <v>391746.816</v>
      </c>
      <c r="ACI27" s="13" t="n">
        <v>391987.874</v>
      </c>
      <c r="ACJ27" s="13" t="n">
        <v>392335.446</v>
      </c>
      <c r="ACK27" s="13" t="n">
        <v>392581.881</v>
      </c>
      <c r="ACL27" s="13" t="n">
        <v>392847.238</v>
      </c>
      <c r="ACM27" s="13" t="n">
        <v>393030.448</v>
      </c>
      <c r="ACN27" s="13" t="n">
        <v>393142.26</v>
      </c>
      <c r="ACO27" s="13" t="n">
        <v>393399.453</v>
      </c>
      <c r="ACP27" s="13" t="n">
        <v>393625.139</v>
      </c>
      <c r="ACQ27" s="13" t="n">
        <v>393799.101</v>
      </c>
      <c r="ACR27" s="13" t="n">
        <v>394131.376</v>
      </c>
      <c r="ACS27" s="13" t="n">
        <v>394342.551</v>
      </c>
      <c r="ACT27" s="13" t="n">
        <v>394543.394</v>
      </c>
      <c r="ACU27" s="13" t="n">
        <v>394733.348</v>
      </c>
      <c r="ACV27" s="13" t="n">
        <v>394973.119</v>
      </c>
      <c r="ACW27" s="13" t="n">
        <v>395268.816</v>
      </c>
      <c r="ACX27" s="13" t="n">
        <v>395419.988</v>
      </c>
      <c r="ACY27" s="13" t="n">
        <v>395596.091</v>
      </c>
      <c r="ACZ27" s="13" t="n">
        <v>395763.172</v>
      </c>
      <c r="ADA27" s="13" t="n">
        <v>396021.434</v>
      </c>
      <c r="ADB27" s="13" t="n">
        <v>396338.625</v>
      </c>
      <c r="ADC27" s="13" t="n">
        <v>396527.134</v>
      </c>
      <c r="ADD27" s="13" t="n">
        <v>396735.437</v>
      </c>
      <c r="ADE27" s="13" t="n">
        <v>396938.866</v>
      </c>
      <c r="ADF27" s="13" t="n">
        <v>397102.939</v>
      </c>
      <c r="ADG27" s="13" t="n">
        <v>397339.482</v>
      </c>
      <c r="ADH27" s="13" t="n">
        <v>397526.569</v>
      </c>
      <c r="ADI27" s="13" t="n">
        <v>397667.429</v>
      </c>
      <c r="ADJ27" s="126" t="n"/>
      <c r="ADK27" s="13" t="n">
        <v>397780.105</v>
      </c>
      <c r="ADL27" s="13" t="n">
        <v>398036.542</v>
      </c>
      <c r="ADM27" s="13" t="n">
        <v>398262.259</v>
      </c>
      <c r="ADN27" s="13" t="n">
        <v>398443.045</v>
      </c>
      <c r="ADO27" s="13" t="n">
        <v>398540.459</v>
      </c>
      <c r="ADP27" s="13" t="n">
        <v>398717.041</v>
      </c>
      <c r="ADQ27" s="13" t="n">
        <v>398883.911</v>
      </c>
      <c r="ADR27" s="13" t="n">
        <v>399024.762</v>
      </c>
      <c r="ADS27" s="13" t="n">
        <v>399356.26</v>
      </c>
      <c r="ADT27" s="13" t="n">
        <v>399574.195</v>
      </c>
      <c r="ADU27" s="13" t="n">
        <v>399729.665</v>
      </c>
      <c r="ADV27" s="13" t="n">
        <v>399990.083</v>
      </c>
      <c r="ADW27" s="13" t="n">
        <v>400353.086</v>
      </c>
      <c r="ADX27" s="13" t="n">
        <v>400505.119</v>
      </c>
      <c r="ADY27" s="13" t="n">
        <v>400670.232</v>
      </c>
      <c r="ADZ27" s="13" t="n">
        <v>400864.464</v>
      </c>
      <c r="AEA27" s="13" t="n">
        <v>401092.189</v>
      </c>
      <c r="AEB27" s="13" t="n">
        <v>401262.708</v>
      </c>
      <c r="AEC27" s="13" t="n">
        <v>401436.24</v>
      </c>
      <c r="AED27" s="13" t="n">
        <v>401620.305</v>
      </c>
      <c r="AEE27" s="13" t="n">
        <v>401753.624</v>
      </c>
      <c r="AEF27" s="13" t="n">
        <v>402097.307</v>
      </c>
      <c r="AEG27" s="13" t="n">
        <v>402262.883</v>
      </c>
      <c r="AEH27" s="13" t="n">
        <v>402428.245</v>
      </c>
      <c r="AEI27" s="13" t="n">
        <v>402556.837</v>
      </c>
      <c r="AEJ27" s="13" t="n">
        <v>402726.711</v>
      </c>
      <c r="AEK27" s="13" t="n">
        <v>402860.685</v>
      </c>
      <c r="AEL27" s="13" t="n">
        <v>402979.737</v>
      </c>
      <c r="AEM27" s="13" t="n">
        <v>403113.056</v>
      </c>
      <c r="AEN27" s="13" t="n">
        <v>403318.852</v>
      </c>
      <c r="AEO27" s="126" t="n"/>
      <c r="AEP27" s="13" t="n">
        <v>403559.685</v>
      </c>
      <c r="AEQ27" s="13" t="n">
        <v>403709.991</v>
      </c>
      <c r="AER27" s="13" t="n">
        <v>403824.581</v>
      </c>
      <c r="AES27" s="13" t="n">
        <v>403960.047</v>
      </c>
      <c r="AET27" s="13" t="n">
        <v>404239.86</v>
      </c>
      <c r="AEU27" s="13" t="n">
        <v>404359.626</v>
      </c>
      <c r="AEV27" s="13" t="n">
        <v>404529.075</v>
      </c>
      <c r="AEW27" s="13" t="n">
        <v>404752.287</v>
      </c>
      <c r="AEX27" s="13" t="n">
        <v>404984.046</v>
      </c>
      <c r="AEY27" s="13" t="n">
        <v>405070.381</v>
      </c>
      <c r="AEZ27" s="13" t="n">
        <v>405189.729</v>
      </c>
      <c r="AFA27" s="13" t="n">
        <v>405279.18</v>
      </c>
      <c r="AFB27" s="13" t="n">
        <v>405566.415</v>
      </c>
      <c r="AFC27" s="13" t="n">
        <v>405710.915</v>
      </c>
      <c r="AFD27" s="13" t="n">
        <v>405875.169</v>
      </c>
      <c r="AFE27" s="13" t="n">
        <v>406019.888</v>
      </c>
      <c r="AFF27" s="13" t="n">
        <v>406283.311</v>
      </c>
      <c r="AFG27" s="13" t="n">
        <v>406420.932</v>
      </c>
      <c r="AFH27" s="13" t="n">
        <v>406566.293</v>
      </c>
      <c r="AFI27" s="13" t="n">
        <v>406773.048</v>
      </c>
      <c r="AFJ27" s="13" t="n">
        <v>406897.554</v>
      </c>
      <c r="AFK27" s="13" t="n">
        <v>406997.759</v>
      </c>
      <c r="AFL27" s="13" t="n">
        <v>407147.528</v>
      </c>
      <c r="AFM27" s="13" t="n">
        <v>407243.65</v>
      </c>
      <c r="AFN27" s="13" t="n">
        <v>407308.161</v>
      </c>
      <c r="AFO27" s="13" t="n">
        <v>407483.198</v>
      </c>
      <c r="AFP27" s="13" t="n">
        <v>407640.254</v>
      </c>
      <c r="AFQ27" s="13" t="n">
        <v>407795.727</v>
      </c>
      <c r="AFR27" s="13" t="n">
        <v>407977.646</v>
      </c>
      <c r="AFS27" s="13" t="n">
        <v>408107.094</v>
      </c>
      <c r="AFT27" s="13" t="n">
        <v>408237.838</v>
      </c>
      <c r="AFU27" s="126" t="n"/>
      <c r="AFV27" s="13" t="n">
        <v>408372.883</v>
      </c>
      <c r="AFW27" s="13" t="n">
        <v>408568.27</v>
      </c>
      <c r="AFX27" s="13" t="n">
        <v>408779.892</v>
      </c>
      <c r="AFY27" s="13" t="n">
        <v>408940.737</v>
      </c>
      <c r="AFZ27" s="13" t="n">
        <v>409096.213</v>
      </c>
      <c r="AGA27" s="13" t="n">
        <v>409190.828</v>
      </c>
      <c r="AGB27" s="13" t="n">
        <v>409335.974</v>
      </c>
      <c r="AGC27" s="13" t="n">
        <v>409492.951</v>
      </c>
      <c r="AGD27" s="13" t="n">
        <v>409756.069</v>
      </c>
      <c r="AGE27" s="13" t="n">
        <v>409884.227</v>
      </c>
      <c r="AGF27" s="13" t="n">
        <v>410025.327</v>
      </c>
      <c r="AGG27" s="13" t="n">
        <v>410178.866</v>
      </c>
      <c r="AGH27" s="13" t="n">
        <v>410273.909</v>
      </c>
      <c r="AGI27" s="13" t="n">
        <v>410477.548</v>
      </c>
      <c r="AGJ27" s="13" t="n">
        <v>410591.513</v>
      </c>
      <c r="AGK27" s="13" t="n">
        <v>410718.162</v>
      </c>
      <c r="AGL27" s="13" t="n">
        <v>410839.445</v>
      </c>
      <c r="AGM27" s="13" t="n">
        <v>410913.416</v>
      </c>
      <c r="AGN27" s="13" t="n">
        <v>411101.164</v>
      </c>
      <c r="AGO27" s="13" t="n">
        <v>411258.571</v>
      </c>
      <c r="AGP27" s="13" t="n">
        <v>411470.059</v>
      </c>
      <c r="AGQ27" s="13" t="n">
        <v>411737.984</v>
      </c>
      <c r="AGR27" s="13" t="n">
        <v>411985.499</v>
      </c>
      <c r="AGS27" s="13" t="n">
        <v>412131.454</v>
      </c>
      <c r="AGT27" s="13" t="n">
        <v>412222.451</v>
      </c>
      <c r="AGU27" s="13" t="n">
        <v>412322.459</v>
      </c>
      <c r="AGV27" s="13" t="n">
        <v>412521.835</v>
      </c>
      <c r="AGW27" s="13" t="n">
        <v>412790.668</v>
      </c>
      <c r="AGX27" s="13" t="n">
        <v>413042.579</v>
      </c>
      <c r="AGY27" s="13" t="n">
        <v>413190.734</v>
      </c>
      <c r="AGZ27" s="126" t="n"/>
      <c r="AHA27" s="13" t="n">
        <v>413412.977</v>
      </c>
      <c r="AHB27" s="13" t="n">
        <v>413563.558</v>
      </c>
      <c r="AHC27" s="13" t="n">
        <v>413812.819</v>
      </c>
      <c r="AHD27" s="13" t="n">
        <v>414033.882</v>
      </c>
      <c r="AHE27" s="13" t="n">
        <v>414268.799</v>
      </c>
      <c r="AHF27" s="13" t="n">
        <v>414477.983</v>
      </c>
      <c r="AHG27" s="13" t="n">
        <v>414686.511</v>
      </c>
      <c r="AHH27" s="13" t="n">
        <v>414816.16</v>
      </c>
      <c r="AHI27" s="13" t="n">
        <v>414917.919</v>
      </c>
      <c r="AHJ27" s="13" t="n">
        <v>415084.616</v>
      </c>
      <c r="AHK27" s="13" t="n">
        <v>415204.89</v>
      </c>
      <c r="AHL27" s="13" t="n">
        <v>415421.694</v>
      </c>
      <c r="AHM27" s="13" t="n">
        <v>415549.598</v>
      </c>
      <c r="AHN27" s="13" t="n">
        <v>415644.82</v>
      </c>
      <c r="AHO27" s="13" t="n">
        <v>415822.622</v>
      </c>
      <c r="AHP27" s="13" t="n">
        <v>415969.482</v>
      </c>
      <c r="AHQ27" s="13" t="n">
        <v>416195.916</v>
      </c>
      <c r="AHR27" s="13" t="n">
        <v>416452.805</v>
      </c>
      <c r="AHS27" s="13" t="n">
        <v>416677.414</v>
      </c>
      <c r="AHT27" s="13" t="n">
        <v>416817.301</v>
      </c>
      <c r="AHU27" s="13" t="n">
        <v>416960.161</v>
      </c>
      <c r="AHV27" s="13" t="n">
        <v>417120.029</v>
      </c>
      <c r="AHW27" s="13" t="n">
        <v>417291.956</v>
      </c>
      <c r="AHX27" s="13" t="n">
        <v>417476.083</v>
      </c>
      <c r="AHY27" s="13" t="n">
        <v>417684.474</v>
      </c>
      <c r="AHZ27" s="13" t="n">
        <v>417832.43</v>
      </c>
      <c r="AIA27" s="13" t="n">
        <v>417986.046</v>
      </c>
      <c r="AIB27" s="13" t="n">
        <v>418142.929</v>
      </c>
      <c r="AIC27" s="13" t="n">
        <v>418288.034</v>
      </c>
      <c r="AID27" s="13" t="n">
        <v>418346.215</v>
      </c>
      <c r="AIE27" s="13" t="n">
        <v>418481.308</v>
      </c>
      <c r="AIF27" s="126" t="n"/>
      <c r="AIG27" s="13" t="n">
        <v>418654.542</v>
      </c>
      <c r="AIH27" s="13" t="n">
        <v>418834.963</v>
      </c>
      <c r="AII27" s="13" t="n">
        <v>419016.256</v>
      </c>
      <c r="AIJ27" s="13" t="n">
        <v>419136.316</v>
      </c>
      <c r="AIK27" s="13" t="n">
        <v>419310.274</v>
      </c>
      <c r="AIL27" s="13" t="n">
        <v>419551.271</v>
      </c>
      <c r="AIM27" s="13" t="n">
        <v>419718.623</v>
      </c>
      <c r="AIN27" s="13" t="n">
        <v>419885.744</v>
      </c>
      <c r="AIO27" s="13" t="n">
        <v>420036.98</v>
      </c>
      <c r="AIP27" s="13" t="n">
        <v>420189.277</v>
      </c>
      <c r="AIQ27" s="13" t="n">
        <v>420308.03</v>
      </c>
      <c r="AIR27" s="13" t="n">
        <v>420510.457</v>
      </c>
      <c r="AIS27" s="13" t="n">
        <v>420586.815</v>
      </c>
      <c r="AIT27" s="13" t="n">
        <v>420779.637</v>
      </c>
      <c r="AIU27" s="13" t="n">
        <v>420819.859</v>
      </c>
      <c r="AIV27" s="13" t="n">
        <v>420849.211</v>
      </c>
      <c r="AIW27" s="13" t="n">
        <v>420886.825</v>
      </c>
      <c r="AIX27" s="13" t="n">
        <v>420975.431</v>
      </c>
      <c r="AIY27" s="13" t="n">
        <v>421074.35</v>
      </c>
      <c r="AIZ27" s="13" t="n">
        <v>421177.63</v>
      </c>
      <c r="AJA27" s="13" t="n">
        <v>421288.477</v>
      </c>
      <c r="AJB27" s="13" t="n">
        <v>421393.925</v>
      </c>
      <c r="AJC27" s="13" t="n">
        <v>421509.595</v>
      </c>
      <c r="AJD27" s="13" t="n">
        <v>421672.664</v>
      </c>
      <c r="AJE27" s="13" t="n">
        <v>421804.551</v>
      </c>
      <c r="AJF27" s="13" t="n">
        <v>421908.244</v>
      </c>
      <c r="AJG27" s="13" t="n">
        <v>421986.518</v>
      </c>
      <c r="AJH27" s="13" t="n">
        <v>422380.767</v>
      </c>
      <c r="AJI27" s="13" t="n">
        <v>422526.322</v>
      </c>
      <c r="AJJ27" s="13" t="n">
        <v>422720.495</v>
      </c>
      <c r="AJK27" s="13" t="n">
        <v>422861.132</v>
      </c>
      <c r="AJL27" s="126" t="n"/>
      <c r="AJM27" s="13" t="n">
        <v>422994.848</v>
      </c>
      <c r="AJN27" s="13" t="n">
        <v>423128.57</v>
      </c>
      <c r="AJO27" s="13" t="n">
        <v>423340.775</v>
      </c>
      <c r="AJP27" s="13" t="n">
        <v>423488.179</v>
      </c>
      <c r="AJQ27" s="13" t="n">
        <v>423646.453</v>
      </c>
      <c r="AJR27" s="13" t="n">
        <v>423816.912</v>
      </c>
      <c r="AJS27" s="13" t="n">
        <v>423949.539</v>
      </c>
      <c r="AJT27" s="13" t="n">
        <v>424287.101</v>
      </c>
      <c r="AJU27" s="13" t="n">
        <v>424429.506</v>
      </c>
      <c r="AJV27" s="13" t="n">
        <v>424531.909</v>
      </c>
      <c r="AJW27" s="13" t="n">
        <v>424702.158</v>
      </c>
      <c r="AJX27" s="13" t="n">
        <v>424897.405</v>
      </c>
      <c r="AJY27" s="13" t="n">
        <v>425033.294</v>
      </c>
      <c r="AJZ27" s="13" t="n">
        <v>425180.493</v>
      </c>
      <c r="AKA27" s="13" t="n">
        <v>425318.334</v>
      </c>
      <c r="AKB27" s="13" t="n">
        <v>425486.67</v>
      </c>
      <c r="AKC27" s="13" t="n">
        <v>425601.473</v>
      </c>
      <c r="AKD27" s="13" t="n">
        <v>425824.339</v>
      </c>
      <c r="AKE27" s="13" t="n">
        <v>425983.064</v>
      </c>
      <c r="AKF27" s="13" t="n">
        <v>426166.684</v>
      </c>
      <c r="AKG27" s="13" t="n">
        <v>426295.393</v>
      </c>
      <c r="AKH27" s="13" t="n">
        <v>426483.897</v>
      </c>
      <c r="AKI27" s="13" t="n">
        <v>426635.308</v>
      </c>
      <c r="AKJ27" s="13" t="n">
        <v>426939.447</v>
      </c>
      <c r="AKK27" s="13" t="n">
        <v>427013.795</v>
      </c>
      <c r="AKL27" s="13" t="n">
        <v>427160.119</v>
      </c>
      <c r="AKM27" s="13" t="n">
        <v>427323.623</v>
      </c>
      <c r="AKN27" s="13" t="n">
        <v>427492.133</v>
      </c>
      <c r="AKO27" s="126" t="n"/>
      <c r="AKP27" s="13" t="n">
        <v>427665.419</v>
      </c>
      <c r="AKQ27" s="13" t="n">
        <v>427836.528</v>
      </c>
      <c r="AKR27" s="13" t="n">
        <v>427981.983</v>
      </c>
      <c r="AKS27" s="13" t="n">
        <v>428091.137</v>
      </c>
      <c r="AKT27" s="13" t="n">
        <v>428186.158</v>
      </c>
      <c r="AKU27" s="13" t="n">
        <v>428312.268</v>
      </c>
      <c r="AKV27" s="13" t="n">
        <v>428519.244</v>
      </c>
      <c r="AKW27" s="13" t="n">
        <v>428716.886</v>
      </c>
      <c r="AKX27" s="13" t="n">
        <v>428908.22</v>
      </c>
      <c r="AKY27" s="13" t="n">
        <v>428950.621</v>
      </c>
      <c r="AKZ27" s="13" t="n">
        <v>429113.657</v>
      </c>
      <c r="ALA27" s="13" t="n">
        <v>429245.288</v>
      </c>
      <c r="ALB27" s="13" t="n">
        <v>429379.928</v>
      </c>
      <c r="ALC27" s="13" t="n">
        <v>429623.415</v>
      </c>
      <c r="ALD27" s="13" t="n">
        <v>429888.74</v>
      </c>
      <c r="ALE27" s="13" t="n">
        <v>430020.589</v>
      </c>
      <c r="ALF27" s="13" t="n">
        <v>430166.771</v>
      </c>
      <c r="ALG27" s="13" t="n">
        <v>430384.875</v>
      </c>
      <c r="ALH27" s="13" t="n">
        <v>430521.636</v>
      </c>
      <c r="ALI27" s="13" t="n">
        <v>430698.754</v>
      </c>
      <c r="ALJ27" s="13" t="n">
        <v>430980.882</v>
      </c>
      <c r="ALK27" s="13" t="n">
        <v>431301.492</v>
      </c>
      <c r="ALL27" s="13" t="n">
        <v>433613.046</v>
      </c>
      <c r="ALM27" s="13" t="n">
        <v>433787.448</v>
      </c>
      <c r="ALN27" s="13" t="n">
        <v>433931.848</v>
      </c>
      <c r="ALO27" s="13" t="n">
        <v>434042.94</v>
      </c>
      <c r="ALP27" s="13" t="n">
        <v>434220.34</v>
      </c>
      <c r="ALQ27" s="13" t="n">
        <v>434372.032</v>
      </c>
      <c r="ALR27" s="13" t="n">
        <v>434604.632</v>
      </c>
      <c r="ALS27" s="13" t="n">
        <v>434730.232</v>
      </c>
      <c r="ALT27" s="13" t="n">
        <v>434847.835</v>
      </c>
      <c r="ALU27" s="126" t="n"/>
      <c r="ALV27" s="13" t="n">
        <v>435124.95</v>
      </c>
      <c r="ALW27" s="13" t="n">
        <v>435312.697</v>
      </c>
      <c r="ALX27" s="13" t="n">
        <v>435526.825</v>
      </c>
      <c r="ALY27" s="13" t="n">
        <v>435830.132</v>
      </c>
      <c r="ALZ27" s="13" t="n">
        <v>435928.326</v>
      </c>
      <c r="AMA27" s="13" t="n">
        <v>436080.199</v>
      </c>
      <c r="AMB27" s="13" t="n">
        <v>436228.061</v>
      </c>
      <c r="AMC27" s="13" t="n">
        <v>436331.962</v>
      </c>
      <c r="AMD27" s="13" t="n">
        <v>436415.467</v>
      </c>
      <c r="AME27" s="13" t="n">
        <v>436638.025</v>
      </c>
      <c r="AMF27" s="13" t="n">
        <v>436742.009</v>
      </c>
      <c r="AMG27" s="13" t="n">
        <v>436976.148</v>
      </c>
      <c r="AMH27" s="13" t="n">
        <v>437200.994</v>
      </c>
      <c r="AMI27" s="13" t="n">
        <v>437435.282</v>
      </c>
      <c r="AMJ27" s="13" t="n">
        <v>437697.071</v>
      </c>
      <c r="AMK27" s="13" t="n">
        <v>437945.838</v>
      </c>
      <c r="AML27" s="13" t="n">
        <v>438142.6</v>
      </c>
      <c r="AMM27" s="13" t="n">
        <v>438251.756</v>
      </c>
      <c r="AMN27" s="13" t="n">
        <v>438424.155</v>
      </c>
      <c r="AMO27" s="13" t="n">
        <v>438571.22</v>
      </c>
      <c r="AMP27" s="13" t="n">
        <v>438739.141</v>
      </c>
      <c r="AMQ27" s="13" t="n">
        <v>438892.494</v>
      </c>
      <c r="AMR27" s="13" t="n">
        <v>439107.236</v>
      </c>
      <c r="AMS27" s="13" t="n">
        <v>439276.009</v>
      </c>
      <c r="AMT27" s="13" t="n">
        <v>439523.849</v>
      </c>
      <c r="AMU27" s="13" t="n">
        <v>439788.243</v>
      </c>
      <c r="AMV27" s="13" t="n">
        <v>439996.232</v>
      </c>
      <c r="AMW27" s="13" t="n">
        <v>440219.395</v>
      </c>
      <c r="AMX27" s="13" t="n">
        <v>440366.987</v>
      </c>
      <c r="AMY27" s="13" t="n">
        <v>440531.296</v>
      </c>
      <c r="AMZ27" s="126" t="n"/>
      <c r="ANA27" s="13" t="n">
        <v>440708.177</v>
      </c>
      <c r="ANB27" s="13" t="n">
        <v>440791.82</v>
      </c>
      <c r="ANC27" s="13" t="n">
        <v>440898.942</v>
      </c>
      <c r="AND27" s="13" t="n">
        <v>441045.435</v>
      </c>
      <c r="ANE27" s="13" t="n">
        <v>441154.866</v>
      </c>
      <c r="ANF27" s="13" t="n">
        <v>441303.587</v>
      </c>
      <c r="ANG27" s="13" t="n">
        <v>441391.873</v>
      </c>
      <c r="ANH27" s="13" t="n">
        <v>441512.225</v>
      </c>
      <c r="ANI27" s="13" t="n">
        <v>441616.144</v>
      </c>
      <c r="ANJ27" s="13" t="n">
        <v>441796.042</v>
      </c>
      <c r="ANK27" s="13" t="n">
        <v>441955.39</v>
      </c>
      <c r="ANL27" s="13" t="n">
        <v>442001.048</v>
      </c>
      <c r="ANM27" s="13" t="n">
        <v>442213.431</v>
      </c>
      <c r="ANN27" s="13" t="n">
        <v>442316.104</v>
      </c>
      <c r="ANO27" s="13" t="n">
        <v>442470.26</v>
      </c>
      <c r="ANP27" s="13" t="n">
        <v>442624.232</v>
      </c>
      <c r="ANQ27" s="13" t="n">
        <v>442706.604</v>
      </c>
      <c r="ANR27" s="13" t="n">
        <v>442848.816</v>
      </c>
      <c r="ANS27" s="13" t="n">
        <v>442902.553</v>
      </c>
      <c r="ANT27" s="13" t="n">
        <v>443053.864</v>
      </c>
      <c r="ANU27" s="13" t="n">
        <v>443145.733</v>
      </c>
      <c r="ANV27" s="13" t="n">
        <v>443405.254</v>
      </c>
      <c r="ANW27" s="13" t="n">
        <v>443683.373</v>
      </c>
      <c r="ANX27" s="13" t="n">
        <v>443849.137</v>
      </c>
      <c r="ANY27" s="13" t="n">
        <v>443970.429</v>
      </c>
      <c r="ANZ27" s="13" t="n">
        <v>444239.517</v>
      </c>
      <c r="AOA27" s="13" t="n">
        <v>444452.172</v>
      </c>
      <c r="AOB27" s="13" t="n">
        <v>444639.809</v>
      </c>
      <c r="AOC27" s="13" t="n">
        <v>444987.695</v>
      </c>
      <c r="AOD27" s="13" t="n">
        <v>445182.641</v>
      </c>
      <c r="AOE27" t="n">
        <v>445182.641</v>
      </c>
      <c r="AOF27" t="n">
        <v>292880.765</v>
      </c>
    </row>
    <row r="28">
      <c r="A28" s="157" t="n"/>
      <c r="C28" s="6" t="inlineStr">
        <is>
          <t>AGO 3 SALES</t>
        </is>
      </c>
      <c r="D28" s="16">
        <f>D27-D26</f>
        <v/>
      </c>
      <c r="E28" s="16">
        <f>E27-E26</f>
        <v/>
      </c>
      <c r="F28" s="16">
        <f>F27-F26</f>
        <v/>
      </c>
      <c r="G28" s="16">
        <f>G27-G26</f>
        <v/>
      </c>
      <c r="H28" s="16">
        <f>H27-H26</f>
        <v/>
      </c>
      <c r="I28" s="16">
        <f>I27-I26</f>
        <v/>
      </c>
      <c r="J28" s="16">
        <f>J27-J26</f>
        <v/>
      </c>
      <c r="K28" s="16">
        <f>K27-K26</f>
        <v/>
      </c>
      <c r="L28" s="16">
        <f>L27-L26</f>
        <v/>
      </c>
      <c r="M28" s="16">
        <f>M27-M26</f>
        <v/>
      </c>
      <c r="N28" s="16">
        <f>N27-N26</f>
        <v/>
      </c>
      <c r="O28" s="16">
        <f>O27-O26</f>
        <v/>
      </c>
      <c r="P28" s="16">
        <f>P27-P26</f>
        <v/>
      </c>
      <c r="Q28" s="16">
        <f>Q27-Q26</f>
        <v/>
      </c>
      <c r="R28" s="16">
        <f>R27-R26</f>
        <v/>
      </c>
      <c r="S28" s="16">
        <f>S27-S26</f>
        <v/>
      </c>
      <c r="T28" s="16">
        <f>T27-T26</f>
        <v/>
      </c>
      <c r="U28" s="16">
        <f>U27-U26</f>
        <v/>
      </c>
      <c r="V28" s="16">
        <f>V27-V26</f>
        <v/>
      </c>
      <c r="W28" s="16">
        <f>W27-W26</f>
        <v/>
      </c>
      <c r="X28" s="16">
        <f>X27-X26</f>
        <v/>
      </c>
      <c r="Y28" s="16">
        <f>Y27-Y26</f>
        <v/>
      </c>
      <c r="Z28" s="16">
        <f>Z27-Z26</f>
        <v/>
      </c>
      <c r="AA28" s="16">
        <f>AA27-AA26</f>
        <v/>
      </c>
      <c r="AB28" s="16">
        <f>AB27-AB26</f>
        <v/>
      </c>
      <c r="AC28" s="16">
        <f>AC27-AC26</f>
        <v/>
      </c>
      <c r="AD28" s="16">
        <f>AD27-AD26</f>
        <v/>
      </c>
      <c r="AE28" s="16">
        <f>AE27-AE26</f>
        <v/>
      </c>
      <c r="AF28" s="16">
        <f>AF27-AF26</f>
        <v/>
      </c>
      <c r="AG28" s="16">
        <f>AG27-AG26</f>
        <v/>
      </c>
      <c r="AH28" s="16">
        <f>AH27-AH26</f>
        <v/>
      </c>
      <c r="AI28" s="17">
        <f>SUM(D28:AH28)</f>
        <v/>
      </c>
      <c r="AJ28" s="16">
        <f>AJ27-AJ26</f>
        <v/>
      </c>
      <c r="AK28" s="16">
        <f>AK27-AK26</f>
        <v/>
      </c>
      <c r="AL28" s="16">
        <f>AL27-AL26</f>
        <v/>
      </c>
      <c r="AM28" s="16">
        <f>AM27-AM26</f>
        <v/>
      </c>
      <c r="AN28" s="16">
        <f>AN27-AN26</f>
        <v/>
      </c>
      <c r="AO28" s="16">
        <f>AO27-AO26</f>
        <v/>
      </c>
      <c r="AP28" s="16">
        <f>AP27-AP26</f>
        <v/>
      </c>
      <c r="AQ28" s="16">
        <f>AQ27-AQ26</f>
        <v/>
      </c>
      <c r="AR28" s="16">
        <f>AR27-AR26</f>
        <v/>
      </c>
      <c r="AS28" s="16">
        <f>AS27-AS26</f>
        <v/>
      </c>
      <c r="AT28" s="16">
        <f>AT27-AT26</f>
        <v/>
      </c>
      <c r="AU28" s="16">
        <f>AU27-AU26</f>
        <v/>
      </c>
      <c r="AV28" s="16">
        <f>AV27-AV26</f>
        <v/>
      </c>
      <c r="AW28" s="16">
        <f>AW27-AW26</f>
        <v/>
      </c>
      <c r="AX28" s="16">
        <f>AX27-AX26</f>
        <v/>
      </c>
      <c r="AY28" s="16">
        <f>AY27-AY26</f>
        <v/>
      </c>
      <c r="AZ28" s="16">
        <f>AZ27-AZ26</f>
        <v/>
      </c>
      <c r="BA28" s="16">
        <f>BA27-BA26</f>
        <v/>
      </c>
      <c r="BB28" s="16">
        <f>BB27-BB26</f>
        <v/>
      </c>
      <c r="BC28" s="16">
        <f>BC27-BC26</f>
        <v/>
      </c>
      <c r="BD28" s="16">
        <f>BD27-BD26</f>
        <v/>
      </c>
      <c r="BE28" s="16">
        <f>BE27-BE26</f>
        <v/>
      </c>
      <c r="BF28" s="16">
        <f>BF27-BF26</f>
        <v/>
      </c>
      <c r="BG28" s="16">
        <f>BG27-BG26</f>
        <v/>
      </c>
      <c r="BH28" s="16">
        <f>BH27-BH26</f>
        <v/>
      </c>
      <c r="BI28" s="16">
        <f>BI27-BI26</f>
        <v/>
      </c>
      <c r="BJ28" s="16">
        <f>BJ27-BJ26</f>
        <v/>
      </c>
      <c r="BK28" s="16">
        <f>BK27-BK26</f>
        <v/>
      </c>
      <c r="BL28" s="16">
        <f>BL27-BL26</f>
        <v/>
      </c>
      <c r="BM28" s="16">
        <f>BM27-BM26</f>
        <v/>
      </c>
      <c r="BN28" s="89">
        <f>SUM(AJ28:BM28)</f>
        <v/>
      </c>
      <c r="BO28" s="16">
        <f>BO27-BO26</f>
        <v/>
      </c>
      <c r="BP28" s="16">
        <f>BP27-BP26</f>
        <v/>
      </c>
      <c r="BQ28" s="16">
        <f>BQ27-BQ26</f>
        <v/>
      </c>
      <c r="BR28" s="16">
        <f>BR27-BR26</f>
        <v/>
      </c>
      <c r="BS28" s="16">
        <f>BS27-BS26</f>
        <v/>
      </c>
      <c r="BT28" s="16">
        <f>BT27-BT26</f>
        <v/>
      </c>
      <c r="BU28" s="16">
        <f>BU27-BU26</f>
        <v/>
      </c>
      <c r="BV28" s="16">
        <f>BV27-BV26</f>
        <v/>
      </c>
      <c r="BW28" s="16">
        <f>BW27-BW26</f>
        <v/>
      </c>
      <c r="BX28" s="16">
        <f>BX27-BX26</f>
        <v/>
      </c>
      <c r="BY28" s="16">
        <f>BY27-BY26</f>
        <v/>
      </c>
      <c r="BZ28" s="16">
        <f>BZ27-BZ26</f>
        <v/>
      </c>
      <c r="CA28" s="16">
        <f>CA27-CA26</f>
        <v/>
      </c>
      <c r="CB28" s="16">
        <f>CB27-CB26</f>
        <v/>
      </c>
      <c r="CC28" s="16">
        <f>CC27-CC26</f>
        <v/>
      </c>
      <c r="CD28" s="16">
        <f>CD27-CD26</f>
        <v/>
      </c>
      <c r="CE28" s="16">
        <f>CE27-CE26</f>
        <v/>
      </c>
      <c r="CF28" s="16">
        <f>CF27-CF26</f>
        <v/>
      </c>
      <c r="CG28" s="16">
        <f>CG27-CG26</f>
        <v/>
      </c>
      <c r="CH28" s="16">
        <f>CH27-CH26</f>
        <v/>
      </c>
      <c r="CI28" s="16">
        <f>CI27-CI26</f>
        <v/>
      </c>
      <c r="CJ28" s="16">
        <f>CJ27-CJ26</f>
        <v/>
      </c>
      <c r="CK28" s="16">
        <f>CK27-CK26</f>
        <v/>
      </c>
      <c r="CL28" s="16">
        <f>CL27-CL26</f>
        <v/>
      </c>
      <c r="CM28" s="16">
        <f>CM27-CM26</f>
        <v/>
      </c>
      <c r="CN28" s="16">
        <f>CN27-CN26</f>
        <v/>
      </c>
      <c r="CO28" s="16">
        <f>CO27-CO26</f>
        <v/>
      </c>
      <c r="CP28" s="16">
        <f>CP27-CP26</f>
        <v/>
      </c>
      <c r="CQ28" s="16">
        <f>CQ27-CQ26</f>
        <v/>
      </c>
      <c r="CR28" s="16">
        <f>CR27-CR26</f>
        <v/>
      </c>
      <c r="CS28" s="16">
        <f>CS27-CS26</f>
        <v/>
      </c>
      <c r="CT28" s="89">
        <f>SUM(BO28:CS28)</f>
        <v/>
      </c>
      <c r="CU28" s="16">
        <f>CU27-CU26</f>
        <v/>
      </c>
      <c r="CV28" s="16">
        <f>CV27-CV26</f>
        <v/>
      </c>
      <c r="CW28" s="16">
        <f>CW27-CW26</f>
        <v/>
      </c>
      <c r="CX28" s="16">
        <f>CX27-CX26</f>
        <v/>
      </c>
      <c r="CY28" s="16">
        <f>CY27-CY26</f>
        <v/>
      </c>
      <c r="CZ28" s="16">
        <f>CZ27-CZ26</f>
        <v/>
      </c>
      <c r="DA28" s="16">
        <f>DA27-DA26</f>
        <v/>
      </c>
      <c r="DB28" s="16">
        <f>DB27-DB26</f>
        <v/>
      </c>
      <c r="DC28" s="16">
        <f>DC27-DC26</f>
        <v/>
      </c>
      <c r="DD28" s="16">
        <f>DD27-DD26</f>
        <v/>
      </c>
      <c r="DE28" s="16">
        <f>DE27-DE26</f>
        <v/>
      </c>
      <c r="DF28" s="16">
        <f>DF27-DF26</f>
        <v/>
      </c>
      <c r="DG28" s="16">
        <f>DG27-DG26</f>
        <v/>
      </c>
      <c r="DH28" s="16">
        <f>DH27-DH26</f>
        <v/>
      </c>
      <c r="DI28" s="16">
        <f>DI27-DI26</f>
        <v/>
      </c>
      <c r="DJ28" s="16">
        <f>DJ27-DJ26</f>
        <v/>
      </c>
      <c r="DK28" s="16">
        <f>DK27-DK26</f>
        <v/>
      </c>
      <c r="DL28" s="16">
        <f>DL27-DL26</f>
        <v/>
      </c>
      <c r="DM28" s="16">
        <f>DM27-DM26</f>
        <v/>
      </c>
      <c r="DN28" s="16">
        <f>DN27-DN26</f>
        <v/>
      </c>
      <c r="DO28" s="16">
        <f>DO27-DO26</f>
        <v/>
      </c>
      <c r="DP28" s="16">
        <f>DP27-DP26</f>
        <v/>
      </c>
      <c r="DQ28" s="16">
        <f>DQ27-DQ26</f>
        <v/>
      </c>
      <c r="DR28" s="16">
        <f>DR27-DR26</f>
        <v/>
      </c>
      <c r="DS28" s="16">
        <f>DS27-DS26</f>
        <v/>
      </c>
      <c r="DT28" s="16">
        <f>DT27-DT26</f>
        <v/>
      </c>
      <c r="DU28" s="16">
        <f>DU27-DU26</f>
        <v/>
      </c>
      <c r="DV28" s="16">
        <f>DV27-DV26</f>
        <v/>
      </c>
      <c r="DW28" s="16">
        <f>DW27-DW26</f>
        <v/>
      </c>
      <c r="DX28" s="16">
        <f>DX27-DX26</f>
        <v/>
      </c>
      <c r="DY28" s="116">
        <f>SUM(CU28:DX28)</f>
        <v/>
      </c>
      <c r="DZ28" s="16">
        <f>DZ27-DZ26</f>
        <v/>
      </c>
      <c r="EA28" s="16">
        <f>EA27-EA26</f>
        <v/>
      </c>
      <c r="EB28" s="16">
        <f>EB27-EB26</f>
        <v/>
      </c>
      <c r="EC28" s="16">
        <f>EC27-EC26</f>
        <v/>
      </c>
      <c r="ED28" s="16">
        <f>ED27-ED26</f>
        <v/>
      </c>
      <c r="EE28" s="16">
        <f>EE27-EE26</f>
        <v/>
      </c>
      <c r="EF28" s="16">
        <f>EF27-EF26</f>
        <v/>
      </c>
      <c r="EG28" s="16">
        <f>EG27-EG26</f>
        <v/>
      </c>
      <c r="EH28" s="16">
        <f>EH27-EH26</f>
        <v/>
      </c>
      <c r="EI28" s="16">
        <f>EI27-EI26</f>
        <v/>
      </c>
      <c r="EJ28" s="16">
        <f>EJ27-EJ26</f>
        <v/>
      </c>
      <c r="EK28" s="16">
        <f>EK27-EK26</f>
        <v/>
      </c>
      <c r="EL28" s="16">
        <f>EL27-EL26</f>
        <v/>
      </c>
      <c r="EM28" s="16">
        <f>EM27-EM26</f>
        <v/>
      </c>
      <c r="EN28" s="16">
        <f>EN27-EN26</f>
        <v/>
      </c>
      <c r="EO28" s="16">
        <f>EO27-EO26</f>
        <v/>
      </c>
      <c r="EP28" s="16">
        <f>EP27-EP26</f>
        <v/>
      </c>
      <c r="EQ28" s="16">
        <f>EQ27-EQ26</f>
        <v/>
      </c>
      <c r="ER28" s="16">
        <f>ER27-ER26</f>
        <v/>
      </c>
      <c r="ES28" s="16">
        <f>ES27-ES26</f>
        <v/>
      </c>
      <c r="ET28" s="16">
        <f>ET27-ET26</f>
        <v/>
      </c>
      <c r="EU28" s="16">
        <f>EU27-EU26</f>
        <v/>
      </c>
      <c r="EV28" s="16">
        <f>EV27-EV26</f>
        <v/>
      </c>
      <c r="EW28" s="16">
        <f>EW27-EW26</f>
        <v/>
      </c>
      <c r="EX28" s="16">
        <f>EX27-EX26</f>
        <v/>
      </c>
      <c r="EY28" s="16">
        <f>EY27-EY26</f>
        <v/>
      </c>
      <c r="EZ28" s="16">
        <f>EZ27-EZ26</f>
        <v/>
      </c>
      <c r="FA28" s="16">
        <f>FA27-FA26</f>
        <v/>
      </c>
      <c r="FB28" s="16">
        <f>FB27-FB26</f>
        <v/>
      </c>
      <c r="FC28" s="16">
        <f>FC27-FC26</f>
        <v/>
      </c>
      <c r="FD28" s="16">
        <f>FD27-FD26</f>
        <v/>
      </c>
      <c r="FE28" s="127">
        <f>SUM(DZ28:FD28)</f>
        <v/>
      </c>
      <c r="FF28" s="16">
        <f>FF27-FF26</f>
        <v/>
      </c>
      <c r="FG28" s="16">
        <f>FG27-FG26</f>
        <v/>
      </c>
      <c r="FH28" s="16">
        <f>FH27-FH26</f>
        <v/>
      </c>
      <c r="FI28" s="16">
        <f>FI27-FI26</f>
        <v/>
      </c>
      <c r="FJ28" s="16">
        <f>FJ27-FJ26</f>
        <v/>
      </c>
      <c r="FK28" s="16">
        <f>FK27-FK26</f>
        <v/>
      </c>
      <c r="FL28" s="16">
        <f>FL27-FL26</f>
        <v/>
      </c>
      <c r="FM28" s="16">
        <f>FM27-FM26</f>
        <v/>
      </c>
      <c r="FN28" s="16">
        <f>FN27-FN26</f>
        <v/>
      </c>
      <c r="FO28" s="16">
        <f>FO27-FO26</f>
        <v/>
      </c>
      <c r="FP28" s="16">
        <f>FP27-FP26</f>
        <v/>
      </c>
      <c r="FQ28" s="16">
        <f>FQ27-FQ26</f>
        <v/>
      </c>
      <c r="FR28" s="16">
        <f>FR27-FR26</f>
        <v/>
      </c>
      <c r="FS28" s="16">
        <f>FS27-FS26</f>
        <v/>
      </c>
      <c r="FT28" s="16">
        <f>FT27-FT26</f>
        <v/>
      </c>
      <c r="FU28" s="16">
        <f>FU27-FU26</f>
        <v/>
      </c>
      <c r="FV28" s="16">
        <f>FV27-FV26</f>
        <v/>
      </c>
      <c r="FW28" s="16">
        <f>FW27-FW26</f>
        <v/>
      </c>
      <c r="FX28" s="16">
        <f>FX27-FX26</f>
        <v/>
      </c>
      <c r="FY28" s="16">
        <f>FY27-FY26</f>
        <v/>
      </c>
      <c r="FZ28" s="16">
        <f>FZ27-FZ26</f>
        <v/>
      </c>
      <c r="GA28" s="16">
        <f>GA27-GA26</f>
        <v/>
      </c>
      <c r="GB28" s="16">
        <f>GB27-GB26</f>
        <v/>
      </c>
      <c r="GC28" s="16">
        <f>GC27-GC26</f>
        <v/>
      </c>
      <c r="GD28" s="16">
        <f>GD27-GD26</f>
        <v/>
      </c>
      <c r="GE28" s="16">
        <f>GE27-GE26</f>
        <v/>
      </c>
      <c r="GF28" s="16">
        <f>GF27-GF26</f>
        <v/>
      </c>
      <c r="GG28" s="16">
        <f>GG27-GG26</f>
        <v/>
      </c>
      <c r="GH28" s="16">
        <f>GH27-GH26</f>
        <v/>
      </c>
      <c r="GI28" s="16">
        <f>GI27-GI26</f>
        <v/>
      </c>
      <c r="GJ28" s="16">
        <f>GJ27-GJ26</f>
        <v/>
      </c>
      <c r="GK28" s="126" t="n"/>
      <c r="GL28" s="16">
        <f>GL27-GL26</f>
        <v/>
      </c>
      <c r="GM28" s="16">
        <f>GM27-GM26</f>
        <v/>
      </c>
      <c r="GN28" s="16">
        <f>GN27-GN26</f>
        <v/>
      </c>
      <c r="GO28" s="16">
        <f>GO27-GO26</f>
        <v/>
      </c>
      <c r="GP28" s="16">
        <f>GP27-GP26</f>
        <v/>
      </c>
      <c r="GQ28" s="16">
        <f>GQ27-GQ26</f>
        <v/>
      </c>
      <c r="GR28" s="16">
        <f>GR27-GR26</f>
        <v/>
      </c>
      <c r="GS28" s="16">
        <f>GS27-GS26</f>
        <v/>
      </c>
      <c r="GT28" s="16">
        <f>GT27-GT26</f>
        <v/>
      </c>
      <c r="GU28" s="16">
        <f>GU27-GU26</f>
        <v/>
      </c>
      <c r="GV28" s="16">
        <f>GV27-GV26</f>
        <v/>
      </c>
      <c r="GW28" s="16">
        <f>GW27-GW26</f>
        <v/>
      </c>
      <c r="GX28" s="16">
        <f>GX27-GX26</f>
        <v/>
      </c>
      <c r="GY28" s="16">
        <f>GY27-GY26</f>
        <v/>
      </c>
      <c r="GZ28" s="16">
        <f>GZ27-GZ26</f>
        <v/>
      </c>
      <c r="HA28" s="16">
        <f>HA27-HA26</f>
        <v/>
      </c>
      <c r="HB28" s="16">
        <f>HB27-HB26</f>
        <v/>
      </c>
      <c r="HC28" s="16">
        <f>HC27-HC26</f>
        <v/>
      </c>
      <c r="HD28" s="16">
        <f>HD27-HD26</f>
        <v/>
      </c>
      <c r="HE28" s="16">
        <f>HE27-HE26</f>
        <v/>
      </c>
      <c r="HF28" s="16">
        <f>HF27-HF26</f>
        <v/>
      </c>
      <c r="HG28" s="16">
        <f>HG27-HG26</f>
        <v/>
      </c>
      <c r="HH28" s="16">
        <f>HH27-HH26</f>
        <v/>
      </c>
      <c r="HI28" s="16">
        <f>HI27-HI26</f>
        <v/>
      </c>
      <c r="HJ28" s="16">
        <f>HJ27-HJ26</f>
        <v/>
      </c>
      <c r="HK28" s="16">
        <f>HK27-HK26</f>
        <v/>
      </c>
      <c r="HL28" s="16">
        <f>HL27-HL26</f>
        <v/>
      </c>
      <c r="HM28" s="16">
        <f>HM27-HM26</f>
        <v/>
      </c>
      <c r="HN28" s="16">
        <f>HN27-HN26</f>
        <v/>
      </c>
      <c r="HO28" s="126" t="n"/>
      <c r="HP28" s="16">
        <f>HP27-HP26</f>
        <v/>
      </c>
      <c r="HQ28" s="16">
        <f>HQ27-HQ26</f>
        <v/>
      </c>
      <c r="HR28" s="16">
        <f>HR27-HR26</f>
        <v/>
      </c>
      <c r="HS28" s="16">
        <f>HS27-HS26</f>
        <v/>
      </c>
      <c r="HT28" s="16">
        <f>HT27-HT26</f>
        <v/>
      </c>
      <c r="HU28" s="16">
        <f>HU27-HU26</f>
        <v/>
      </c>
      <c r="HV28" s="16">
        <f>HV27-HV26</f>
        <v/>
      </c>
      <c r="HW28" s="16">
        <f>HW27-HW26</f>
        <v/>
      </c>
      <c r="HX28" s="16">
        <f>HX27-HX26</f>
        <v/>
      </c>
      <c r="HY28" s="16">
        <f>HY27-HY26</f>
        <v/>
      </c>
      <c r="HZ28" s="16">
        <f>HZ27-HZ26</f>
        <v/>
      </c>
      <c r="IA28" s="16">
        <f>IA27-IA26</f>
        <v/>
      </c>
      <c r="IB28" s="16">
        <f>IB27-IB26</f>
        <v/>
      </c>
      <c r="IC28" s="16">
        <f>IC27-IC26</f>
        <v/>
      </c>
      <c r="ID28" s="16">
        <f>ID27-ID26</f>
        <v/>
      </c>
      <c r="IE28" s="16">
        <f>IE27-IE26</f>
        <v/>
      </c>
      <c r="IF28" s="16">
        <f>IF27-IF26</f>
        <v/>
      </c>
      <c r="IG28" s="16">
        <f>IG27-IG26</f>
        <v/>
      </c>
      <c r="IH28" s="16">
        <f>IH27-IH26</f>
        <v/>
      </c>
      <c r="II28" s="16">
        <f>II27-II26</f>
        <v/>
      </c>
      <c r="IJ28" s="16">
        <f>IJ27-IJ26</f>
        <v/>
      </c>
      <c r="IK28" s="16">
        <f>IK27-IK26</f>
        <v/>
      </c>
      <c r="IL28" s="16">
        <f>IL27-IL26</f>
        <v/>
      </c>
      <c r="IM28" s="16">
        <f>IM27-IM26</f>
        <v/>
      </c>
      <c r="IN28" s="16">
        <f>IN27-IN26</f>
        <v/>
      </c>
      <c r="IO28" s="16">
        <f>IO27-IO26</f>
        <v/>
      </c>
      <c r="IP28" s="16">
        <f>IP27-IP26</f>
        <v/>
      </c>
      <c r="IQ28" s="16">
        <f>IQ27-IQ26</f>
        <v/>
      </c>
      <c r="IR28" s="16">
        <f>IR27-IR26</f>
        <v/>
      </c>
      <c r="IS28" s="16">
        <f>IS27-IS26</f>
        <v/>
      </c>
      <c r="IT28" s="16">
        <f>IT27-IT26</f>
        <v/>
      </c>
      <c r="IU28" s="126" t="n"/>
      <c r="IV28" s="16">
        <f>IV27-IV26</f>
        <v/>
      </c>
      <c r="IW28" s="16">
        <f>IW27-IW26</f>
        <v/>
      </c>
      <c r="IX28" s="16">
        <f>IX27-IX26</f>
        <v/>
      </c>
      <c r="IY28" s="16">
        <f>IY27-IY26</f>
        <v/>
      </c>
      <c r="IZ28" s="16">
        <f>IZ27-IZ26</f>
        <v/>
      </c>
      <c r="JA28" s="16">
        <f>JA27-JA26</f>
        <v/>
      </c>
      <c r="JB28" s="16">
        <f>JB27-JB26</f>
        <v/>
      </c>
      <c r="JC28" s="16">
        <f>JC27-JC26</f>
        <v/>
      </c>
      <c r="JD28" s="16">
        <f>JD27-JD26</f>
        <v/>
      </c>
      <c r="JE28" s="16">
        <f>JE27-JE26</f>
        <v/>
      </c>
      <c r="JF28" s="16">
        <f>JF27-JF26</f>
        <v/>
      </c>
      <c r="JG28" s="16">
        <f>JG27-JG26</f>
        <v/>
      </c>
      <c r="JH28" s="16">
        <f>JH27-JH26</f>
        <v/>
      </c>
      <c r="JI28" s="16">
        <f>JI27-JI26</f>
        <v/>
      </c>
      <c r="JJ28" s="16">
        <f>JJ27-JJ26</f>
        <v/>
      </c>
      <c r="JK28" s="16">
        <f>JK27-JK26</f>
        <v/>
      </c>
      <c r="JL28" s="16">
        <f>JL27-JL26</f>
        <v/>
      </c>
      <c r="JM28" s="16">
        <f>JM27-JM26</f>
        <v/>
      </c>
      <c r="JN28" s="16">
        <f>JN27-JN26</f>
        <v/>
      </c>
      <c r="JO28" s="16">
        <f>JO27-JO26</f>
        <v/>
      </c>
      <c r="JP28" s="16">
        <f>JP27-JP26</f>
        <v/>
      </c>
      <c r="JQ28" s="16">
        <f>JQ27-JQ26</f>
        <v/>
      </c>
      <c r="JR28" s="16">
        <f>JR27-JR26</f>
        <v/>
      </c>
      <c r="JS28" s="16">
        <f>JS27-JS26</f>
        <v/>
      </c>
      <c r="JT28" s="16">
        <f>JT27-JT26</f>
        <v/>
      </c>
      <c r="JU28" s="16">
        <f>JU27-JU26</f>
        <v/>
      </c>
      <c r="JV28" s="16">
        <f>JV27-JV26</f>
        <v/>
      </c>
      <c r="JW28" s="16">
        <f>JW27-JW26</f>
        <v/>
      </c>
      <c r="JX28" s="16">
        <f>JX27-JX26</f>
        <v/>
      </c>
      <c r="JY28" s="16">
        <f>JY27-JY26</f>
        <v/>
      </c>
      <c r="JZ28" s="127">
        <f>SUM(IV28:JY28)</f>
        <v/>
      </c>
      <c r="KA28" s="16">
        <f>KA27-KA26</f>
        <v/>
      </c>
      <c r="KB28" s="16">
        <f>KB27-KB26</f>
        <v/>
      </c>
      <c r="KC28" s="16">
        <f>KC27-KC26</f>
        <v/>
      </c>
      <c r="KD28" s="16">
        <f>KD27-KD26</f>
        <v/>
      </c>
      <c r="KE28" s="16">
        <f>KE27-KE26</f>
        <v/>
      </c>
      <c r="KF28" s="16">
        <f>KF27-KF26</f>
        <v/>
      </c>
      <c r="KG28" s="16">
        <f>KG27-KG26</f>
        <v/>
      </c>
      <c r="KH28" s="16">
        <f>KH27-KH26</f>
        <v/>
      </c>
      <c r="KI28" s="16">
        <f>KI27-KI26</f>
        <v/>
      </c>
      <c r="KJ28" s="16">
        <f>KJ27-KJ26</f>
        <v/>
      </c>
      <c r="KK28" s="16">
        <f>KK27-KK26</f>
        <v/>
      </c>
      <c r="KL28" s="16">
        <f>KL27-KL26</f>
        <v/>
      </c>
      <c r="KM28" s="16">
        <f>KM27-KM26</f>
        <v/>
      </c>
      <c r="KN28" s="16">
        <f>KN27-KN26</f>
        <v/>
      </c>
      <c r="KO28" s="16">
        <f>KO27-KO26</f>
        <v/>
      </c>
      <c r="KP28" s="16">
        <f>KP27-KP26</f>
        <v/>
      </c>
      <c r="KQ28" s="16">
        <f>KQ27-KQ26</f>
        <v/>
      </c>
      <c r="KR28" s="16">
        <f>KR27-KR26</f>
        <v/>
      </c>
      <c r="KS28" s="16">
        <f>KS27-KS26</f>
        <v/>
      </c>
      <c r="KT28" s="16">
        <f>KT27-KT26</f>
        <v/>
      </c>
      <c r="KU28" s="16">
        <f>KU27-KU26</f>
        <v/>
      </c>
      <c r="KV28" s="16">
        <f>KV27-KV26</f>
        <v/>
      </c>
      <c r="KW28" s="16">
        <f>KW27-KW26</f>
        <v/>
      </c>
      <c r="KX28" s="16">
        <f>KX27-KX26</f>
        <v/>
      </c>
      <c r="KY28" s="16">
        <f>KY27-KY26</f>
        <v/>
      </c>
      <c r="KZ28" s="16">
        <f>KZ27-KZ26</f>
        <v/>
      </c>
      <c r="LA28" s="16">
        <f>LA27-LA26</f>
        <v/>
      </c>
      <c r="LB28" s="16">
        <f>LB27-LB26</f>
        <v/>
      </c>
      <c r="LC28" s="16">
        <f>LC27-LC26</f>
        <v/>
      </c>
      <c r="LD28" s="16">
        <f>LD27-LD26</f>
        <v/>
      </c>
      <c r="LE28" s="16">
        <f>LE27-LE26</f>
        <v/>
      </c>
      <c r="LF28" s="127">
        <f>SUM(KA28:LE28)</f>
        <v/>
      </c>
      <c r="LG28" s="16">
        <f>LG27-LG26</f>
        <v/>
      </c>
      <c r="LH28" s="16">
        <f>LH27-LH26</f>
        <v/>
      </c>
      <c r="LI28" s="16">
        <f>LI27-LI26</f>
        <v/>
      </c>
      <c r="LJ28" s="16">
        <f>LJ27-LJ26</f>
        <v/>
      </c>
      <c r="LK28" s="16">
        <f>LK27-LK26</f>
        <v/>
      </c>
      <c r="LL28" s="16">
        <f>LL27-LL26</f>
        <v/>
      </c>
      <c r="LM28" s="16">
        <f>LM27-LM26</f>
        <v/>
      </c>
      <c r="LN28" s="16">
        <f>LN27-LN26</f>
        <v/>
      </c>
      <c r="LO28" s="16">
        <f>LO27-LO26</f>
        <v/>
      </c>
      <c r="LP28" s="16">
        <f>LP27-LP26</f>
        <v/>
      </c>
      <c r="LQ28" s="16">
        <f>LQ27-LQ26</f>
        <v/>
      </c>
      <c r="LR28" s="16">
        <f>LR27-LR26</f>
        <v/>
      </c>
      <c r="LS28" s="16">
        <f>LS27-LS26</f>
        <v/>
      </c>
      <c r="LT28" s="16">
        <f>LT27-LT26</f>
        <v/>
      </c>
      <c r="LU28" s="16">
        <f>LU27-LU26</f>
        <v/>
      </c>
      <c r="LV28" s="16">
        <f>LV27-LV26</f>
        <v/>
      </c>
      <c r="LW28" s="16">
        <f>LW27-LW26</f>
        <v/>
      </c>
      <c r="LX28" s="16">
        <f>LX27-LX26</f>
        <v/>
      </c>
      <c r="LY28" s="16">
        <f>LY27-LY26</f>
        <v/>
      </c>
      <c r="LZ28" s="16">
        <f>LZ27-LZ26</f>
        <v/>
      </c>
      <c r="MA28" s="16">
        <f>MA27-MA26</f>
        <v/>
      </c>
      <c r="MB28" s="16">
        <f>MB27-MB26</f>
        <v/>
      </c>
      <c r="MC28" s="16">
        <f>MC27-MC26</f>
        <v/>
      </c>
      <c r="MD28" s="16">
        <f>MD27-MD26</f>
        <v/>
      </c>
      <c r="ME28" s="16">
        <f>ME27-ME26</f>
        <v/>
      </c>
      <c r="MF28" s="16">
        <f>MF27-MF26</f>
        <v/>
      </c>
      <c r="MG28" s="16">
        <f>MG27-MG26</f>
        <v/>
      </c>
      <c r="MH28" s="16">
        <f>MH27-MH26</f>
        <v/>
      </c>
      <c r="MI28" s="16">
        <f>MI27-MI26</f>
        <v/>
      </c>
      <c r="MJ28" s="16">
        <f>MJ27-MJ26</f>
        <v/>
      </c>
      <c r="MK28" s="127">
        <f>SUM(LF28:MJ28)</f>
        <v/>
      </c>
      <c r="ML28" s="16">
        <f>ML27-ML26</f>
        <v/>
      </c>
      <c r="MM28" s="16">
        <f>MM27-MM26</f>
        <v/>
      </c>
      <c r="MN28" s="16">
        <f>MN27-MN26</f>
        <v/>
      </c>
      <c r="MO28" s="16">
        <f>MO27-MO26</f>
        <v/>
      </c>
      <c r="MP28" s="16">
        <f>MP27-MP26</f>
        <v/>
      </c>
      <c r="MQ28" s="16">
        <f>MQ27-MQ26</f>
        <v/>
      </c>
      <c r="MR28" s="16">
        <f>MR27-MR26</f>
        <v/>
      </c>
      <c r="MS28" s="16">
        <f>MS27-MS26</f>
        <v/>
      </c>
      <c r="MT28" s="16">
        <f>MT27-MT26</f>
        <v/>
      </c>
      <c r="MU28" s="16">
        <f>MU27-MU26</f>
        <v/>
      </c>
      <c r="MV28" s="16">
        <f>MV27-MV26</f>
        <v/>
      </c>
      <c r="MW28" s="16">
        <f>MW27-MW26</f>
        <v/>
      </c>
      <c r="MX28" s="16">
        <f>MX27-MX26</f>
        <v/>
      </c>
      <c r="MY28" s="16">
        <f>MY27-MY26</f>
        <v/>
      </c>
      <c r="MZ28" s="16">
        <f>MZ27-MZ26</f>
        <v/>
      </c>
      <c r="NA28" s="16">
        <f>NA27-NA26</f>
        <v/>
      </c>
      <c r="NB28" s="16">
        <f>NB27-NB26</f>
        <v/>
      </c>
      <c r="NC28" s="16">
        <f>NC27-NC26</f>
        <v/>
      </c>
      <c r="ND28" s="16">
        <f>ND27-ND26</f>
        <v/>
      </c>
      <c r="NE28" s="16">
        <f>NE27-NE26</f>
        <v/>
      </c>
      <c r="NF28" s="16">
        <f>NF27-NF26</f>
        <v/>
      </c>
      <c r="NG28" s="16">
        <f>NG27-NG26</f>
        <v/>
      </c>
      <c r="NH28" s="16">
        <f>NH27-NH26</f>
        <v/>
      </c>
      <c r="NI28" s="16">
        <f>NI27-NI26</f>
        <v/>
      </c>
      <c r="NJ28" s="16">
        <f>NJ27-NJ26</f>
        <v/>
      </c>
      <c r="NK28" s="16">
        <f>NK27-NK26</f>
        <v/>
      </c>
      <c r="NL28" s="16">
        <f>NL27-NL26</f>
        <v/>
      </c>
      <c r="NM28" s="16">
        <f>NM27-NM26</f>
        <v/>
      </c>
      <c r="NN28" s="16">
        <f>NN27-NN26</f>
        <v/>
      </c>
      <c r="NO28" s="16">
        <f>NO27-NO26</f>
        <v/>
      </c>
      <c r="NP28" s="16">
        <f>NP27-NP26</f>
        <v/>
      </c>
      <c r="NQ28" s="127">
        <f>SUM(ML28:NP28)</f>
        <v/>
      </c>
      <c r="NR28" s="16">
        <f>NR27-NR26</f>
        <v/>
      </c>
      <c r="NS28" s="16">
        <f>NS27-NS26</f>
        <v/>
      </c>
      <c r="NT28" s="16">
        <f>NT27-NT26</f>
        <v/>
      </c>
      <c r="NU28" s="16">
        <f>NU27-NU26</f>
        <v/>
      </c>
      <c r="NV28" s="16">
        <f>NV27-NV26</f>
        <v/>
      </c>
      <c r="NW28" s="16">
        <f>NW27-NW26</f>
        <v/>
      </c>
      <c r="NX28" s="16">
        <f>NX27-NX26</f>
        <v/>
      </c>
      <c r="NY28" s="16">
        <f>NY27-NY26</f>
        <v/>
      </c>
      <c r="NZ28" s="16">
        <f>NZ27-NZ26</f>
        <v/>
      </c>
      <c r="OA28" s="16">
        <f>OA27-OA26</f>
        <v/>
      </c>
      <c r="OB28" s="16">
        <f>OB27-OB26</f>
        <v/>
      </c>
      <c r="OC28" s="16">
        <f>OC27-OC26</f>
        <v/>
      </c>
      <c r="OD28" s="16">
        <f>OD27-OD26</f>
        <v/>
      </c>
      <c r="OE28" s="16">
        <f>OE27-OE26</f>
        <v/>
      </c>
      <c r="OF28" s="16">
        <f>OF27-OF26</f>
        <v/>
      </c>
      <c r="OG28" s="16">
        <f>OG27-OG26</f>
        <v/>
      </c>
      <c r="OH28" s="16">
        <f>OH27-OH26</f>
        <v/>
      </c>
      <c r="OI28" s="16">
        <f>OI27-OI26</f>
        <v/>
      </c>
      <c r="OJ28" s="16">
        <f>OJ27-OJ26</f>
        <v/>
      </c>
      <c r="OK28" s="16">
        <f>OK27-OK26</f>
        <v/>
      </c>
      <c r="OL28" s="16">
        <f>OL27-OL26</f>
        <v/>
      </c>
      <c r="OM28" s="16">
        <f>OM27-OM26</f>
        <v/>
      </c>
      <c r="ON28" s="16">
        <f>ON27-ON26</f>
        <v/>
      </c>
      <c r="OO28" s="16">
        <f>OO27-OO26</f>
        <v/>
      </c>
      <c r="OP28" s="16">
        <f>OP27-OP26</f>
        <v/>
      </c>
      <c r="OQ28" s="16">
        <f>OQ27-OQ26</f>
        <v/>
      </c>
      <c r="OR28" s="16">
        <f>OR27-OR26</f>
        <v/>
      </c>
      <c r="OS28" s="16">
        <f>OS27-OS26</f>
        <v/>
      </c>
      <c r="OT28" s="16">
        <f>OT27-OT26</f>
        <v/>
      </c>
      <c r="OU28" s="16">
        <f>OU27-OU26</f>
        <v/>
      </c>
      <c r="OV28" s="16">
        <f>OV27-OV26</f>
        <v/>
      </c>
      <c r="OW28" s="127">
        <f>SUM(NR28:OV28)</f>
        <v/>
      </c>
      <c r="OX28" s="16">
        <f>OX27-OX26</f>
        <v/>
      </c>
      <c r="OY28" s="16">
        <f>OY27-OY26</f>
        <v/>
      </c>
      <c r="OZ28" s="16">
        <f>OZ27-OZ26</f>
        <v/>
      </c>
      <c r="PA28" s="16">
        <f>PA27-PA26</f>
        <v/>
      </c>
      <c r="PB28" s="16">
        <f>PB27-PB26</f>
        <v/>
      </c>
      <c r="PC28" s="16">
        <f>PC27-PC26</f>
        <v/>
      </c>
      <c r="PD28" s="16">
        <f>PD27-PD26</f>
        <v/>
      </c>
      <c r="PE28" s="16">
        <f>PE27-PE26</f>
        <v/>
      </c>
      <c r="PF28" s="16">
        <f>PF27-PF26</f>
        <v/>
      </c>
      <c r="PG28" s="16">
        <f>PG27-PG26</f>
        <v/>
      </c>
      <c r="PH28" s="16">
        <f>PH27-PH26</f>
        <v/>
      </c>
      <c r="PI28" s="16">
        <f>PI27-PI26</f>
        <v/>
      </c>
      <c r="PJ28" s="16">
        <f>PJ27-PJ26</f>
        <v/>
      </c>
      <c r="PK28" s="16">
        <f>PK27-PK26</f>
        <v/>
      </c>
      <c r="PL28" s="16">
        <f>PL27-PL26</f>
        <v/>
      </c>
      <c r="PM28" s="16">
        <f>PM27-PM26</f>
        <v/>
      </c>
      <c r="PN28" s="16">
        <f>PN27-PN26</f>
        <v/>
      </c>
      <c r="PO28" s="16">
        <f>PO27-PO26</f>
        <v/>
      </c>
      <c r="PP28" s="16">
        <f>PP27-PP26</f>
        <v/>
      </c>
      <c r="PQ28" s="16">
        <f>PQ27-PQ26</f>
        <v/>
      </c>
      <c r="PR28" s="16">
        <f>PR27-PR26</f>
        <v/>
      </c>
      <c r="PS28" s="16">
        <f>PS27-PS26</f>
        <v/>
      </c>
      <c r="PT28" s="16">
        <f>PT27-PT26</f>
        <v/>
      </c>
      <c r="PU28" s="16">
        <f>PU27-PU26</f>
        <v/>
      </c>
      <c r="PV28" s="16">
        <f>PV27-PV26</f>
        <v/>
      </c>
      <c r="PW28" s="16">
        <f>PW27-PW26</f>
        <v/>
      </c>
      <c r="PX28" s="16">
        <f>PX27-PX26</f>
        <v/>
      </c>
      <c r="PY28" s="16">
        <f>PY27-PY26</f>
        <v/>
      </c>
      <c r="PZ28" s="16">
        <f>PZ27-PZ26</f>
        <v/>
      </c>
      <c r="QA28" s="16">
        <f>QA27-QA26</f>
        <v/>
      </c>
      <c r="QB28" s="127">
        <f>SUM(OX28:QA28)</f>
        <v/>
      </c>
      <c r="QC28" s="16">
        <f>QC27-QC26</f>
        <v/>
      </c>
      <c r="QD28" s="16">
        <f>QD27-QD26</f>
        <v/>
      </c>
      <c r="QE28" s="16">
        <f>QE27-QE26</f>
        <v/>
      </c>
      <c r="QF28" s="16">
        <f>QF27-QF26</f>
        <v/>
      </c>
      <c r="QG28" s="16">
        <f>QG27-QG26</f>
        <v/>
      </c>
      <c r="QH28" s="16">
        <f>QH27-QH26</f>
        <v/>
      </c>
      <c r="QI28" s="16">
        <f>QI27-QI26</f>
        <v/>
      </c>
      <c r="QJ28" s="16">
        <f>QJ27-QJ26</f>
        <v/>
      </c>
      <c r="QK28" s="16">
        <f>QK27-QK26</f>
        <v/>
      </c>
      <c r="QL28" s="16">
        <f>QL27-QL26</f>
        <v/>
      </c>
      <c r="QM28" s="16">
        <f>QM27-QM26</f>
        <v/>
      </c>
      <c r="QN28" s="16">
        <f>QN27-QN26</f>
        <v/>
      </c>
      <c r="QO28" s="16">
        <f>QO27-QO26</f>
        <v/>
      </c>
      <c r="QP28" s="16">
        <f>QP27-QP26</f>
        <v/>
      </c>
      <c r="QQ28" s="16">
        <f>QQ27-QQ26</f>
        <v/>
      </c>
      <c r="QR28" s="16">
        <f>QR27-QR26</f>
        <v/>
      </c>
      <c r="QS28" s="16">
        <f>QS27-QS26</f>
        <v/>
      </c>
      <c r="QT28" s="16">
        <f>QT27-QT26</f>
        <v/>
      </c>
      <c r="QU28" s="16">
        <f>QU27-QU26</f>
        <v/>
      </c>
      <c r="QV28" s="16">
        <f>QV27-QV26</f>
        <v/>
      </c>
      <c r="QW28" s="16">
        <f>QW27-QW26</f>
        <v/>
      </c>
      <c r="QX28" s="16">
        <f>QX27-QX26</f>
        <v/>
      </c>
      <c r="QY28" s="16">
        <f>QY27-QY26</f>
        <v/>
      </c>
      <c r="QZ28" s="16">
        <f>QZ27-QZ26</f>
        <v/>
      </c>
      <c r="RA28" s="16">
        <f>RA27-RA26</f>
        <v/>
      </c>
      <c r="RB28" s="16">
        <f>RB27-RB26</f>
        <v/>
      </c>
      <c r="RC28" s="16">
        <f>RC27-RC26</f>
        <v/>
      </c>
      <c r="RD28" s="16">
        <f>RD27-RD26</f>
        <v/>
      </c>
      <c r="RE28" s="16">
        <f>RE27-RE26</f>
        <v/>
      </c>
      <c r="RF28" s="16">
        <f>RF27-RF26</f>
        <v/>
      </c>
      <c r="RG28" s="16">
        <f>RG27-RG26</f>
        <v/>
      </c>
      <c r="RH28" s="127">
        <f>SUM(QD28:RG28)</f>
        <v/>
      </c>
      <c r="RI28" s="16">
        <f>RI27-RI26</f>
        <v/>
      </c>
      <c r="RJ28" s="16">
        <f>RJ27-RJ26</f>
        <v/>
      </c>
      <c r="RK28" s="16">
        <f>RK27-RK26</f>
        <v/>
      </c>
      <c r="RL28" s="16">
        <f>RL27-RL26</f>
        <v/>
      </c>
      <c r="RM28" s="16">
        <f>RM27-RM26</f>
        <v/>
      </c>
      <c r="RN28" s="16">
        <f>RN27-RN26</f>
        <v/>
      </c>
      <c r="RO28" s="16">
        <f>RO27-RO26</f>
        <v/>
      </c>
      <c r="RP28" s="16">
        <f>RP27-RP26</f>
        <v/>
      </c>
      <c r="RQ28" s="16">
        <f>RQ27-RQ26</f>
        <v/>
      </c>
      <c r="RR28" s="16">
        <f>RR27-RR26</f>
        <v/>
      </c>
      <c r="RS28" s="16">
        <f>RS27-RS26</f>
        <v/>
      </c>
      <c r="RT28" s="16">
        <f>RT27-RT26</f>
        <v/>
      </c>
      <c r="RU28" s="16">
        <f>RU27-RU26</f>
        <v/>
      </c>
      <c r="RV28" s="16">
        <f>RV27-RV26</f>
        <v/>
      </c>
      <c r="RW28" s="16">
        <f>RW27-RW26</f>
        <v/>
      </c>
      <c r="RX28" s="16">
        <f>RX27-RX26</f>
        <v/>
      </c>
      <c r="RY28" s="16">
        <f>RY27-RY26</f>
        <v/>
      </c>
      <c r="RZ28" s="16">
        <f>RZ27-RZ26</f>
        <v/>
      </c>
      <c r="SA28" s="16">
        <f>SA27-SA26</f>
        <v/>
      </c>
      <c r="SB28" s="16">
        <f>SB27-SB26</f>
        <v/>
      </c>
      <c r="SC28" s="16">
        <f>SC27-SC26</f>
        <v/>
      </c>
      <c r="SD28" s="16">
        <f>SD27-SD26</f>
        <v/>
      </c>
      <c r="SE28" s="16">
        <f>SE27-SE26</f>
        <v/>
      </c>
      <c r="SF28" s="16">
        <f>SF27-SF26</f>
        <v/>
      </c>
      <c r="SG28" s="16">
        <f>SG27-SG26</f>
        <v/>
      </c>
      <c r="SH28" s="16">
        <f>SH27-SH26</f>
        <v/>
      </c>
      <c r="SI28" s="16">
        <f>SI27-SI26</f>
        <v/>
      </c>
      <c r="SJ28" s="16">
        <f>SJ27-SJ26</f>
        <v/>
      </c>
      <c r="SK28" s="16">
        <f>SK27-SK26</f>
        <v/>
      </c>
      <c r="SL28" s="16">
        <f>SL27-SL26</f>
        <v/>
      </c>
      <c r="SM28" s="127">
        <f>SUM(RI28:SL28)</f>
        <v/>
      </c>
      <c r="SN28" s="16">
        <f>SN27-SN26</f>
        <v/>
      </c>
      <c r="SO28" s="16">
        <f>SO27-SO26</f>
        <v/>
      </c>
      <c r="SP28" s="16">
        <f>SP27-SP26</f>
        <v/>
      </c>
      <c r="SQ28" s="16">
        <f>SQ27-SQ26</f>
        <v/>
      </c>
      <c r="SR28" s="16">
        <f>SR27-SR26</f>
        <v/>
      </c>
      <c r="SS28" s="16">
        <f>SS27-SS26</f>
        <v/>
      </c>
      <c r="ST28" s="16">
        <f>ST27-ST26</f>
        <v/>
      </c>
      <c r="SU28" s="16">
        <f>SU27-SU26</f>
        <v/>
      </c>
      <c r="SV28" s="16">
        <f>SV27-SV26</f>
        <v/>
      </c>
      <c r="SW28" s="16">
        <f>SW27-SW26</f>
        <v/>
      </c>
      <c r="SX28" s="16">
        <f>SX27-SX26</f>
        <v/>
      </c>
      <c r="SY28" s="16">
        <f>SY27-SY26</f>
        <v/>
      </c>
      <c r="SZ28" s="16">
        <f>SZ27-SZ26</f>
        <v/>
      </c>
      <c r="TA28" s="16">
        <f>TA27-TA26</f>
        <v/>
      </c>
      <c r="TB28" s="16">
        <f>TB27-TB26</f>
        <v/>
      </c>
      <c r="TC28" s="16">
        <f>TC27-TC26</f>
        <v/>
      </c>
      <c r="TD28" s="16">
        <f>TD27-TD26</f>
        <v/>
      </c>
      <c r="TE28" s="16">
        <f>TE27-TE26</f>
        <v/>
      </c>
      <c r="TF28" s="16">
        <f>TF27-TF26</f>
        <v/>
      </c>
      <c r="TG28" s="16">
        <f>TG27-TG26</f>
        <v/>
      </c>
      <c r="TH28" s="16">
        <f>TH27-TH26</f>
        <v/>
      </c>
      <c r="TI28" s="16">
        <f>TI27-TI26</f>
        <v/>
      </c>
      <c r="TJ28" s="16">
        <f>TJ27-TJ26</f>
        <v/>
      </c>
      <c r="TK28" s="16">
        <f>TK27-TK26</f>
        <v/>
      </c>
      <c r="TL28" s="16">
        <f>TL27-TL26</f>
        <v/>
      </c>
      <c r="TM28" s="16">
        <f>TM27-TM26</f>
        <v/>
      </c>
      <c r="TN28" s="16">
        <f>TN27-TN26</f>
        <v/>
      </c>
      <c r="TO28" s="16">
        <f>TO27-TO26</f>
        <v/>
      </c>
      <c r="TP28" s="16">
        <f>TP27-TP26</f>
        <v/>
      </c>
      <c r="TQ28" s="16">
        <f>TQ27-TQ26</f>
        <v/>
      </c>
      <c r="TR28" s="16">
        <f>TR27-TR26</f>
        <v/>
      </c>
      <c r="TS28" s="127">
        <f>SUM(SO28:TR28)</f>
        <v/>
      </c>
      <c r="TT28" s="16">
        <f>TT27-TT26</f>
        <v/>
      </c>
      <c r="TU28" s="16">
        <f>TU27-TU26</f>
        <v/>
      </c>
      <c r="TV28" s="16">
        <f>TV27-TV26</f>
        <v/>
      </c>
      <c r="TW28" s="16">
        <f>TW27-TW26</f>
        <v/>
      </c>
      <c r="TX28" s="16">
        <f>TX27-TX26</f>
        <v/>
      </c>
      <c r="TY28" s="16">
        <f>TY27-TY26</f>
        <v/>
      </c>
      <c r="TZ28" s="16">
        <f>TZ27-TZ26</f>
        <v/>
      </c>
      <c r="UA28" s="16">
        <f>UA27-UA26</f>
        <v/>
      </c>
      <c r="UB28" s="16">
        <f>UB27-UB26</f>
        <v/>
      </c>
      <c r="UC28" s="16">
        <f>UC27-UC26</f>
        <v/>
      </c>
      <c r="UD28" s="16">
        <f>UD27-UD26</f>
        <v/>
      </c>
      <c r="UE28" s="16">
        <f>UE27-UE26</f>
        <v/>
      </c>
      <c r="UF28" s="16">
        <f>UF27-UF26</f>
        <v/>
      </c>
      <c r="UG28" s="16">
        <f>UG27-UG26</f>
        <v/>
      </c>
      <c r="UH28" s="16">
        <f>UH27-UH26</f>
        <v/>
      </c>
      <c r="UI28" s="16">
        <f>UI27-UI26</f>
        <v/>
      </c>
      <c r="UJ28" s="16">
        <f>UJ27-UJ26</f>
        <v/>
      </c>
      <c r="UK28" s="16">
        <f>UK27-UK26</f>
        <v/>
      </c>
      <c r="UL28" s="16">
        <f>UL27-UL26</f>
        <v/>
      </c>
      <c r="UM28" s="16">
        <f>UM27-UM26</f>
        <v/>
      </c>
      <c r="UN28" s="16">
        <f>UN27-UN26</f>
        <v/>
      </c>
      <c r="UO28" s="16">
        <f>UO27-UO26</f>
        <v/>
      </c>
      <c r="UP28" s="16">
        <f>UP27-UP26</f>
        <v/>
      </c>
      <c r="UQ28" s="16">
        <f>UQ27-UQ26</f>
        <v/>
      </c>
      <c r="UR28" s="16">
        <f>UR27-UR26</f>
        <v/>
      </c>
      <c r="US28" s="16">
        <f>US27-US26</f>
        <v/>
      </c>
      <c r="UT28" s="16">
        <f>UT27-UT26</f>
        <v/>
      </c>
      <c r="UU28" s="16">
        <f>UU27-UU26</f>
        <v/>
      </c>
      <c r="UV28" s="16">
        <f>UV27-UV26</f>
        <v/>
      </c>
      <c r="UW28" s="16">
        <f>UW27-UW26</f>
        <v/>
      </c>
      <c r="UX28" s="16">
        <f>UX27-UX26</f>
        <v/>
      </c>
      <c r="UY28" s="127">
        <f>SUM(TT28:UX28)</f>
        <v/>
      </c>
      <c r="UZ28" s="16">
        <f>UZ27-UZ26</f>
        <v/>
      </c>
      <c r="VA28" s="16">
        <f>VA27-VA26</f>
        <v/>
      </c>
      <c r="VB28" s="16">
        <f>VB27-VB26</f>
        <v/>
      </c>
      <c r="VC28" s="16">
        <f>VC27-VC26</f>
        <v/>
      </c>
      <c r="VD28" s="16">
        <f>VD27-VD26</f>
        <v/>
      </c>
      <c r="VE28" s="16">
        <f>VE27-VE26</f>
        <v/>
      </c>
      <c r="VF28" s="16">
        <f>VF27-VF26</f>
        <v/>
      </c>
      <c r="VG28" s="16">
        <f>VG27-VG26</f>
        <v/>
      </c>
      <c r="VH28" s="16">
        <f>VH27-VH26</f>
        <v/>
      </c>
      <c r="VI28" s="16">
        <f>VI27-VI26</f>
        <v/>
      </c>
      <c r="VJ28" s="16">
        <f>VJ27-VJ26</f>
        <v/>
      </c>
      <c r="VK28" s="16">
        <f>VK27-VK26</f>
        <v/>
      </c>
      <c r="VL28" s="16">
        <f>VL27-VL26</f>
        <v/>
      </c>
      <c r="VM28" s="16">
        <f>VM27-VM26</f>
        <v/>
      </c>
      <c r="VN28" s="16">
        <f>VN27-VN26</f>
        <v/>
      </c>
      <c r="VO28" s="16">
        <f>VO27-VO26</f>
        <v/>
      </c>
      <c r="VP28" s="16">
        <f>VP27-VP26</f>
        <v/>
      </c>
      <c r="VQ28" s="16">
        <f>VQ27-VQ26</f>
        <v/>
      </c>
      <c r="VR28" s="16">
        <f>VR27-VR26</f>
        <v/>
      </c>
      <c r="VS28" s="16">
        <f>VS27-VS26</f>
        <v/>
      </c>
      <c r="VT28" s="16">
        <f>VT27-VT26</f>
        <v/>
      </c>
      <c r="VU28" s="16">
        <f>VU27-VU26</f>
        <v/>
      </c>
      <c r="VV28" s="16">
        <f>VV27-VV26</f>
        <v/>
      </c>
      <c r="VW28" s="16">
        <f>VW27-VW26</f>
        <v/>
      </c>
      <c r="VX28" s="16">
        <f>VX27-VX26</f>
        <v/>
      </c>
      <c r="VY28" s="16">
        <f>VY27-VY26</f>
        <v/>
      </c>
      <c r="VZ28" s="16">
        <f>VZ27-VZ26</f>
        <v/>
      </c>
      <c r="WA28" s="16">
        <f>WA27-WA26</f>
        <v/>
      </c>
      <c r="WB28" s="127">
        <f>SUM(UZ28:WA28)</f>
        <v/>
      </c>
      <c r="WC28" s="16">
        <f>WC27-WC26</f>
        <v/>
      </c>
      <c r="WD28" s="16">
        <f>WD27-WD26</f>
        <v/>
      </c>
      <c r="WE28" s="16">
        <f>WE27-WE26</f>
        <v/>
      </c>
      <c r="WF28" s="16">
        <f>WF27-WF26</f>
        <v/>
      </c>
      <c r="WG28" s="16">
        <f>WG27-WG26</f>
        <v/>
      </c>
      <c r="WH28" s="16">
        <f>WH27-WH26</f>
        <v/>
      </c>
      <c r="WI28" s="16">
        <f>WI27-WI26</f>
        <v/>
      </c>
      <c r="WJ28" s="16">
        <f>WJ27-WJ26</f>
        <v/>
      </c>
      <c r="WK28" s="16">
        <f>WK27-WK26</f>
        <v/>
      </c>
      <c r="WL28" s="16">
        <f>WL27-WL26</f>
        <v/>
      </c>
      <c r="WM28" s="16">
        <f>WM27-WM26</f>
        <v/>
      </c>
      <c r="WN28" s="16">
        <f>WN27-WN26</f>
        <v/>
      </c>
      <c r="WO28" s="16">
        <f>WO27-WO26</f>
        <v/>
      </c>
      <c r="WP28" s="16">
        <f>WP27-WP26</f>
        <v/>
      </c>
      <c r="WQ28" s="16">
        <f>WQ27-WQ26</f>
        <v/>
      </c>
      <c r="WR28" s="16">
        <f>WR27-WR26</f>
        <v/>
      </c>
      <c r="WS28" s="16">
        <f>WS27-WS26</f>
        <v/>
      </c>
      <c r="WT28" s="16">
        <f>WT27-WT26</f>
        <v/>
      </c>
      <c r="WU28" s="16">
        <f>WU27-WU26</f>
        <v/>
      </c>
      <c r="WV28" s="16">
        <f>WV27-WV26</f>
        <v/>
      </c>
      <c r="WW28" s="16">
        <f>WW27-WW26</f>
        <v/>
      </c>
      <c r="WX28" s="16">
        <f>WX27-WX26</f>
        <v/>
      </c>
      <c r="WY28" s="16">
        <f>WY27-WY26</f>
        <v/>
      </c>
      <c r="WZ28" s="16">
        <f>WZ27-WZ26</f>
        <v/>
      </c>
      <c r="XA28" s="16">
        <f>XA27-XA26</f>
        <v/>
      </c>
      <c r="XB28" s="16">
        <f>XB27-XB26</f>
        <v/>
      </c>
      <c r="XC28" s="16">
        <f>XC27-XC26</f>
        <v/>
      </c>
      <c r="XD28" s="16">
        <f>XD27-XD26</f>
        <v/>
      </c>
      <c r="XE28" s="16">
        <f>XE27-XE26</f>
        <v/>
      </c>
      <c r="XF28" s="16">
        <f>XF27-XF26</f>
        <v/>
      </c>
      <c r="XG28" s="16">
        <f>XG27-XG26</f>
        <v/>
      </c>
      <c r="XH28" s="127">
        <f>SUM(WC28:XG28)</f>
        <v/>
      </c>
      <c r="XI28" s="16">
        <f>XI27-XI26</f>
        <v/>
      </c>
      <c r="XJ28" s="16">
        <f>XJ27-XJ26</f>
        <v/>
      </c>
      <c r="XK28" s="16">
        <f>XK27-XK26</f>
        <v/>
      </c>
      <c r="XL28" s="16">
        <f>XL27-XL26</f>
        <v/>
      </c>
      <c r="XM28" s="16">
        <f>XM27-XM26</f>
        <v/>
      </c>
      <c r="XN28" s="16">
        <f>XN27-XN26</f>
        <v/>
      </c>
      <c r="XO28" s="16">
        <f>XO27-XO26</f>
        <v/>
      </c>
      <c r="XP28" s="16">
        <f>XP27-XP26</f>
        <v/>
      </c>
      <c r="XQ28" s="16">
        <f>XQ27-XQ26</f>
        <v/>
      </c>
      <c r="XR28" s="16">
        <f>XR27-XR26</f>
        <v/>
      </c>
      <c r="XS28" s="16">
        <f>XS27-XS26</f>
        <v/>
      </c>
      <c r="XT28" s="16">
        <f>XT27-XT26</f>
        <v/>
      </c>
      <c r="XU28" s="16">
        <f>XU27-XU26</f>
        <v/>
      </c>
      <c r="XV28" s="16">
        <f>XV27-XV26</f>
        <v/>
      </c>
      <c r="XW28" s="16">
        <f>XW27-XW26</f>
        <v/>
      </c>
      <c r="XX28" s="16">
        <f>XX27-XX26</f>
        <v/>
      </c>
      <c r="XY28" s="16">
        <f>XY27-XY26</f>
        <v/>
      </c>
      <c r="XZ28" s="16">
        <f>XZ27-XZ26</f>
        <v/>
      </c>
      <c r="YA28" s="16">
        <f>YA27-YA26</f>
        <v/>
      </c>
      <c r="YB28" s="16">
        <f>YB27-YB26</f>
        <v/>
      </c>
      <c r="YC28" s="16">
        <f>YC27-YC26</f>
        <v/>
      </c>
      <c r="YD28" s="16">
        <f>YD27-YD26</f>
        <v/>
      </c>
      <c r="YE28" s="16">
        <f>YE27-YE26</f>
        <v/>
      </c>
      <c r="YF28" s="16">
        <f>YF27-YF26</f>
        <v/>
      </c>
      <c r="YG28" s="16">
        <f>YG27-YG26</f>
        <v/>
      </c>
      <c r="YH28" s="16">
        <f>YH27-YH26</f>
        <v/>
      </c>
      <c r="YI28" s="16">
        <f>YI27-YI26</f>
        <v/>
      </c>
      <c r="YJ28" s="16">
        <f>YJ27-YJ26</f>
        <v/>
      </c>
      <c r="YK28" s="16">
        <f>YK27-YK26</f>
        <v/>
      </c>
      <c r="YL28" s="16">
        <f>YL27-YL26</f>
        <v/>
      </c>
      <c r="YM28" s="127">
        <f>SUM(XH28:YL28)</f>
        <v/>
      </c>
      <c r="YN28" s="16">
        <f>YN27-YN26</f>
        <v/>
      </c>
      <c r="YO28" s="16">
        <f>YO27-YO26</f>
        <v/>
      </c>
      <c r="YP28" s="16">
        <f>YP27-YP26</f>
        <v/>
      </c>
      <c r="YQ28" s="16">
        <f>YQ27-YQ26</f>
        <v/>
      </c>
      <c r="YR28" s="16">
        <f>YR27-YR26</f>
        <v/>
      </c>
      <c r="YS28" s="16">
        <f>YS27-YS26</f>
        <v/>
      </c>
      <c r="YT28" s="16">
        <f>YT27-YT26</f>
        <v/>
      </c>
      <c r="YU28" s="16">
        <f>YU27-YU26</f>
        <v/>
      </c>
      <c r="YV28" s="16">
        <f>YV27-YV26</f>
        <v/>
      </c>
      <c r="YW28" s="16">
        <f>YW27-YW26</f>
        <v/>
      </c>
      <c r="YX28" s="16">
        <f>YX27-YX26</f>
        <v/>
      </c>
      <c r="YY28" s="16">
        <f>YY27-YY26</f>
        <v/>
      </c>
      <c r="YZ28" s="16">
        <f>YZ27-YZ26</f>
        <v/>
      </c>
      <c r="ZA28" s="16">
        <f>ZA27-ZA26</f>
        <v/>
      </c>
      <c r="ZB28" s="16">
        <f>ZB27-ZB26</f>
        <v/>
      </c>
      <c r="ZC28" s="16">
        <f>ZC27-ZC26</f>
        <v/>
      </c>
      <c r="ZD28" s="16">
        <f>ZD27-ZD26</f>
        <v/>
      </c>
      <c r="ZE28" s="16">
        <f>ZE27-ZE26</f>
        <v/>
      </c>
      <c r="ZF28" s="16">
        <f>ZF27-ZF26</f>
        <v/>
      </c>
      <c r="ZG28" s="16">
        <f>ZG27-ZG26</f>
        <v/>
      </c>
      <c r="ZH28" s="16">
        <f>ZH27-ZH26</f>
        <v/>
      </c>
      <c r="ZI28" s="16">
        <f>ZI27-ZI26</f>
        <v/>
      </c>
      <c r="ZJ28" s="16">
        <f>ZJ27-ZJ26</f>
        <v/>
      </c>
      <c r="ZK28" s="16">
        <f>ZK27-ZK26</f>
        <v/>
      </c>
      <c r="ZL28" s="16">
        <f>ZL27-ZL26</f>
        <v/>
      </c>
      <c r="ZM28" s="16">
        <f>ZM27-ZM26</f>
        <v/>
      </c>
      <c r="ZN28" s="16">
        <f>ZN27-ZN26</f>
        <v/>
      </c>
      <c r="ZO28" s="16">
        <f>ZO27-ZO26</f>
        <v/>
      </c>
      <c r="ZP28" s="16">
        <f>ZP27-ZP26</f>
        <v/>
      </c>
      <c r="ZQ28" s="16">
        <f>ZQ27-ZQ26</f>
        <v/>
      </c>
      <c r="ZR28" s="16">
        <f>ZR27-ZR26</f>
        <v/>
      </c>
      <c r="ZS28" s="127">
        <f>SUM(YN28:ZR28)</f>
        <v/>
      </c>
      <c r="ZT28" s="16">
        <f>ZT27-ZT26</f>
        <v/>
      </c>
      <c r="ZU28" s="16">
        <f>ZU27-ZU26</f>
        <v/>
      </c>
      <c r="ZV28" s="16">
        <f>ZV27-ZV26</f>
        <v/>
      </c>
      <c r="ZW28" s="16">
        <f>ZW27-ZW26</f>
        <v/>
      </c>
      <c r="ZX28" s="16">
        <f>ZX27-ZX26</f>
        <v/>
      </c>
      <c r="ZY28" s="16">
        <f>ZY27-ZY26</f>
        <v/>
      </c>
      <c r="ZZ28" s="16">
        <f>ZZ27-ZZ26</f>
        <v/>
      </c>
      <c r="AAA28" s="16">
        <f>AAA27-AAA26</f>
        <v/>
      </c>
      <c r="AAB28" s="16">
        <f>AAB27-AAB26</f>
        <v/>
      </c>
      <c r="AAC28" s="16">
        <f>AAC27-AAC26</f>
        <v/>
      </c>
      <c r="AAD28" s="16">
        <f>AAD27-AAD26</f>
        <v/>
      </c>
      <c r="AAE28" s="16">
        <f>AAE27-AAE26</f>
        <v/>
      </c>
      <c r="AAF28" s="16">
        <f>AAF27-AAF26</f>
        <v/>
      </c>
      <c r="AAG28" s="16">
        <f>AAG27-AAG26</f>
        <v/>
      </c>
      <c r="AAH28" s="16">
        <f>AAH27-AAH26</f>
        <v/>
      </c>
      <c r="AAI28" s="16">
        <f>AAI27-AAI26</f>
        <v/>
      </c>
      <c r="AAJ28" s="16">
        <f>AAJ27-AAJ26</f>
        <v/>
      </c>
      <c r="AAK28" s="16">
        <f>AAK27-AAK26</f>
        <v/>
      </c>
      <c r="AAL28" s="16">
        <f>AAL27-AAL26</f>
        <v/>
      </c>
      <c r="AAM28" s="16">
        <f>AAM27-AAM26</f>
        <v/>
      </c>
      <c r="AAN28" s="16">
        <f>AAN27-AAN26</f>
        <v/>
      </c>
      <c r="AAO28" s="16">
        <f>AAO27-AAO26</f>
        <v/>
      </c>
      <c r="AAP28" s="16">
        <f>AAP27-AAP26</f>
        <v/>
      </c>
      <c r="AAQ28" s="16">
        <f>AAQ27-AAQ26</f>
        <v/>
      </c>
      <c r="AAR28" s="16">
        <f>AAR27-AAR26</f>
        <v/>
      </c>
      <c r="AAS28" s="16">
        <f>AAS27-AAS26</f>
        <v/>
      </c>
      <c r="AAT28" s="16">
        <f>AAT27-AAT26</f>
        <v/>
      </c>
      <c r="AAU28" s="16">
        <f>AAU27-AAU26</f>
        <v/>
      </c>
      <c r="AAV28" s="16">
        <f>AAV27-AAV26</f>
        <v/>
      </c>
      <c r="AAW28" s="16">
        <f>AAW27-AAW26</f>
        <v/>
      </c>
      <c r="AAX28" s="127">
        <f>SUM(ZT28:AAW28)</f>
        <v/>
      </c>
      <c r="AAY28" s="16">
        <f>AAY27-AAY26</f>
        <v/>
      </c>
      <c r="AAZ28" s="16">
        <f>AAZ27-AAZ26</f>
        <v/>
      </c>
      <c r="ABA28" s="16">
        <f>ABA27-ABA26</f>
        <v/>
      </c>
      <c r="ABB28" s="16">
        <f>ABB27-ABB26</f>
        <v/>
      </c>
      <c r="ABC28" s="16">
        <f>ABC27-ABC26</f>
        <v/>
      </c>
      <c r="ABD28" s="16">
        <f>ABD27-ABD26</f>
        <v/>
      </c>
      <c r="ABE28" s="16">
        <f>ABE27-ABE26</f>
        <v/>
      </c>
      <c r="ABF28" s="16">
        <f>ABF27-ABF26</f>
        <v/>
      </c>
      <c r="ABG28" s="16">
        <f>ABG27-ABG26</f>
        <v/>
      </c>
      <c r="ABH28" s="16">
        <f>ABH27-ABH26</f>
        <v/>
      </c>
      <c r="ABI28" s="16">
        <f>ABI27-ABI26</f>
        <v/>
      </c>
      <c r="ABJ28" s="16">
        <f>ABJ27-ABJ26</f>
        <v/>
      </c>
      <c r="ABK28" s="16">
        <f>ABK27-ABK26</f>
        <v/>
      </c>
      <c r="ABL28" s="16">
        <f>ABL27-ABL26</f>
        <v/>
      </c>
      <c r="ABM28" s="16">
        <f>ABM27-ABM26</f>
        <v/>
      </c>
      <c r="ABN28" s="16">
        <f>ABN27-ABN26</f>
        <v/>
      </c>
      <c r="ABO28" s="16">
        <f>ABO27-ABO26</f>
        <v/>
      </c>
      <c r="ABP28" s="16">
        <f>ABP27-ABP26</f>
        <v/>
      </c>
      <c r="ABQ28" s="16">
        <f>ABQ27-ABQ26</f>
        <v/>
      </c>
      <c r="ABR28" s="16">
        <f>ABR27-ABR26</f>
        <v/>
      </c>
      <c r="ABS28" s="16">
        <f>ABS27-ABS26</f>
        <v/>
      </c>
      <c r="ABT28" s="16">
        <f>ABT27-ABT26</f>
        <v/>
      </c>
      <c r="ABU28" s="16">
        <f>ABU27-ABU26</f>
        <v/>
      </c>
      <c r="ABV28" s="16">
        <f>ABV27-ABV26</f>
        <v/>
      </c>
      <c r="ABW28" s="16">
        <f>ABW27-ABW26</f>
        <v/>
      </c>
      <c r="ABX28" s="16">
        <f>ABX27-ABX26</f>
        <v/>
      </c>
      <c r="ABY28" s="16">
        <f>ABY27-ABY26</f>
        <v/>
      </c>
      <c r="ABZ28" s="16">
        <f>ABZ27-ABZ26</f>
        <v/>
      </c>
      <c r="ACA28" s="16">
        <f>ACA27-ACA26</f>
        <v/>
      </c>
      <c r="ACB28" s="16">
        <f>ACB27-ACB26</f>
        <v/>
      </c>
      <c r="ACC28" s="16">
        <f>ACC27-ACC26</f>
        <v/>
      </c>
      <c r="ACD28" s="127">
        <f>SUM(AAY28:ACC28)</f>
        <v/>
      </c>
      <c r="ACE28" s="16">
        <f>ACE27-ACE26</f>
        <v/>
      </c>
      <c r="ACF28" s="16">
        <f>ACF27-ACF26</f>
        <v/>
      </c>
      <c r="ACG28" s="16">
        <f>ACG27-ACG26</f>
        <v/>
      </c>
      <c r="ACH28" s="16">
        <f>ACH27-ACH26</f>
        <v/>
      </c>
      <c r="ACI28" s="16">
        <f>ACI27-ACI26</f>
        <v/>
      </c>
      <c r="ACJ28" s="16">
        <f>ACJ27-ACJ26</f>
        <v/>
      </c>
      <c r="ACK28" s="16">
        <f>ACK27-ACK26</f>
        <v/>
      </c>
      <c r="ACL28" s="16">
        <f>ACL27-ACL26</f>
        <v/>
      </c>
      <c r="ACM28" s="16">
        <f>ACM27-ACM26</f>
        <v/>
      </c>
      <c r="ACN28" s="16">
        <f>ACN27-ACN26</f>
        <v/>
      </c>
      <c r="ACO28" s="16">
        <f>ACO27-ACO26</f>
        <v/>
      </c>
      <c r="ACP28" s="16">
        <f>ACP27-ACP26</f>
        <v/>
      </c>
      <c r="ACQ28" s="16">
        <f>ACQ27-ACQ26</f>
        <v/>
      </c>
      <c r="ACR28" s="16">
        <f>ACR27-ACR26</f>
        <v/>
      </c>
      <c r="ACS28" s="16">
        <f>ACS27-ACS26</f>
        <v/>
      </c>
      <c r="ACT28" s="16">
        <f>ACT27-ACT26</f>
        <v/>
      </c>
      <c r="ACU28" s="16">
        <f>ACU27-ACU26</f>
        <v/>
      </c>
      <c r="ACV28" s="16">
        <f>ACV27-ACV26</f>
        <v/>
      </c>
      <c r="ACW28" s="16">
        <f>ACW27-ACW26</f>
        <v/>
      </c>
      <c r="ACX28" s="16">
        <f>ACX27-ACX26</f>
        <v/>
      </c>
      <c r="ACY28" s="16">
        <f>ACY27-ACY26</f>
        <v/>
      </c>
      <c r="ACZ28" s="16">
        <f>ACZ27-ACZ26</f>
        <v/>
      </c>
      <c r="ADA28" s="16">
        <f>ADA27-ADA26</f>
        <v/>
      </c>
      <c r="ADB28" s="16">
        <f>ADB27-ADB26</f>
        <v/>
      </c>
      <c r="ADC28" s="16">
        <f>ADC27-ADC26</f>
        <v/>
      </c>
      <c r="ADD28" s="16">
        <f>ADD27-ADD26</f>
        <v/>
      </c>
      <c r="ADE28" s="16">
        <f>ADE27-ADE26</f>
        <v/>
      </c>
      <c r="ADF28" s="16">
        <f>ADF27-ADF26</f>
        <v/>
      </c>
      <c r="ADG28" s="16">
        <f>ADG27-ADG26</f>
        <v/>
      </c>
      <c r="ADH28" s="16">
        <f>ADH27-ADH26</f>
        <v/>
      </c>
      <c r="ADI28" s="16">
        <f>ADI27-ADI26</f>
        <v/>
      </c>
      <c r="ADJ28" s="127">
        <f>SUM(ACE28:ADI28)</f>
        <v/>
      </c>
      <c r="ADK28" s="16">
        <f>ADK27-ADK26</f>
        <v/>
      </c>
      <c r="ADL28" s="16">
        <f>ADL27-ADL26</f>
        <v/>
      </c>
      <c r="ADM28" s="16">
        <f>ADM27-ADM26</f>
        <v/>
      </c>
      <c r="ADN28" s="16">
        <f>ADN27-ADN26</f>
        <v/>
      </c>
      <c r="ADO28" s="16">
        <f>ADO27-ADO26</f>
        <v/>
      </c>
      <c r="ADP28" s="16">
        <f>ADP27-ADP26</f>
        <v/>
      </c>
      <c r="ADQ28" s="16">
        <f>ADQ27-ADQ26</f>
        <v/>
      </c>
      <c r="ADR28" s="16">
        <f>ADR27-ADR26</f>
        <v/>
      </c>
      <c r="ADS28" s="16">
        <f>ADS27-ADS26</f>
        <v/>
      </c>
      <c r="ADT28" s="16">
        <f>ADT27-ADT26</f>
        <v/>
      </c>
      <c r="ADU28" s="16">
        <f>ADU27-ADU26</f>
        <v/>
      </c>
      <c r="ADV28" s="16">
        <f>ADV27-ADV26</f>
        <v/>
      </c>
      <c r="ADW28" s="16">
        <f>ADW27-ADW26</f>
        <v/>
      </c>
      <c r="ADX28" s="16">
        <f>ADX27-ADX26</f>
        <v/>
      </c>
      <c r="ADY28" s="16">
        <f>ADY27-ADY26</f>
        <v/>
      </c>
      <c r="ADZ28" s="16">
        <f>ADZ27-ADZ26</f>
        <v/>
      </c>
      <c r="AEA28" s="16">
        <f>AEA27-AEA26</f>
        <v/>
      </c>
      <c r="AEB28" s="16">
        <f>AEB27-AEB26</f>
        <v/>
      </c>
      <c r="AEC28" s="16">
        <f>AEC27-AEC26</f>
        <v/>
      </c>
      <c r="AED28" s="16">
        <f>AED27-AED26</f>
        <v/>
      </c>
      <c r="AEE28" s="16">
        <f>AEE27-AEE26</f>
        <v/>
      </c>
      <c r="AEF28" s="16">
        <f>AEF27-AEF26</f>
        <v/>
      </c>
      <c r="AEG28" s="16">
        <f>AEG27-AEG26</f>
        <v/>
      </c>
      <c r="AEH28" s="16">
        <f>AEH27-AEH26</f>
        <v/>
      </c>
      <c r="AEI28" s="16">
        <f>AEI27-AEI26</f>
        <v/>
      </c>
      <c r="AEJ28" s="16">
        <f>AEJ27-AEJ26</f>
        <v/>
      </c>
      <c r="AEK28" s="16">
        <f>AEK27-AEK26</f>
        <v/>
      </c>
      <c r="AEL28" s="16">
        <f>AEL27-AEL26</f>
        <v/>
      </c>
      <c r="AEM28" s="16">
        <f>AEM27-AEM26</f>
        <v/>
      </c>
      <c r="AEN28" s="16">
        <f>AEN27-AEN26</f>
        <v/>
      </c>
      <c r="AEO28" s="127">
        <f>SUM(ADK28:AEN28)</f>
        <v/>
      </c>
      <c r="AEP28" s="16">
        <f>AEP27-AEP26</f>
        <v/>
      </c>
      <c r="AEQ28" s="16">
        <f>AEQ27-AEQ26</f>
        <v/>
      </c>
      <c r="AER28" s="16">
        <f>AER27-AER26</f>
        <v/>
      </c>
      <c r="AES28" s="16">
        <f>AES27-AES26</f>
        <v/>
      </c>
      <c r="AET28" s="16">
        <f>AET27-AET26</f>
        <v/>
      </c>
      <c r="AEU28" s="16">
        <f>AEU27-AEU26</f>
        <v/>
      </c>
      <c r="AEV28" s="16">
        <f>AEV27-AEV26</f>
        <v/>
      </c>
      <c r="AEW28" s="16">
        <f>AEW27-AEW26</f>
        <v/>
      </c>
      <c r="AEX28" s="16">
        <f>AEX27-AEX26</f>
        <v/>
      </c>
      <c r="AEY28" s="16">
        <f>AEY27-AEY26</f>
        <v/>
      </c>
      <c r="AEZ28" s="16">
        <f>AEZ27-AEZ26</f>
        <v/>
      </c>
      <c r="AFA28" s="16">
        <f>AFA27-AFA26</f>
        <v/>
      </c>
      <c r="AFB28" s="16">
        <f>AFB27-AFB26</f>
        <v/>
      </c>
      <c r="AFC28" s="16">
        <f>AFC27-AFC26</f>
        <v/>
      </c>
      <c r="AFD28" s="16">
        <f>AFD27-AFD26</f>
        <v/>
      </c>
      <c r="AFE28" s="16">
        <f>AFE27-AFE26</f>
        <v/>
      </c>
      <c r="AFF28" s="16">
        <f>AFF27-AFF26</f>
        <v/>
      </c>
      <c r="AFG28" s="16">
        <f>AFG27-AFG26</f>
        <v/>
      </c>
      <c r="AFH28" s="16">
        <f>AFH27-AFH26</f>
        <v/>
      </c>
      <c r="AFI28" s="16">
        <f>AFI27-AFI26</f>
        <v/>
      </c>
      <c r="AFJ28" s="16">
        <f>AFJ27-AFJ26</f>
        <v/>
      </c>
      <c r="AFK28" s="16">
        <f>AFK27-AFK26</f>
        <v/>
      </c>
      <c r="AFL28" s="16">
        <f>AFL27-AFL26</f>
        <v/>
      </c>
      <c r="AFM28" s="16">
        <f>AFM27-AFM26</f>
        <v/>
      </c>
      <c r="AFN28" s="16">
        <f>AFN27-AFN26</f>
        <v/>
      </c>
      <c r="AFO28" s="16">
        <f>AFO27-AFO26</f>
        <v/>
      </c>
      <c r="AFP28" s="16">
        <f>AFP27-AFP26</f>
        <v/>
      </c>
      <c r="AFQ28" s="16">
        <f>AFQ27-AFQ26</f>
        <v/>
      </c>
      <c r="AFR28" s="16">
        <f>AFR27-AFR26</f>
        <v/>
      </c>
      <c r="AFS28" s="16">
        <f>AFS27-AFS26</f>
        <v/>
      </c>
      <c r="AFT28" s="16">
        <f>AFT27-AFT26</f>
        <v/>
      </c>
      <c r="AFU28" s="127">
        <f>SUM(AEP28:AFT28)</f>
        <v/>
      </c>
      <c r="AFV28" s="16">
        <f>AFV27-AFV26</f>
        <v/>
      </c>
      <c r="AFW28" s="16">
        <f>AFW27-AFW26</f>
        <v/>
      </c>
      <c r="AFX28" s="16">
        <f>AFX27-AFX26</f>
        <v/>
      </c>
      <c r="AFY28" s="16">
        <f>AFY27-AFY26</f>
        <v/>
      </c>
      <c r="AFZ28" s="16">
        <f>AFZ27-AFZ26</f>
        <v/>
      </c>
      <c r="AGA28" s="16">
        <f>AGA27-AGA26</f>
        <v/>
      </c>
      <c r="AGB28" s="16">
        <f>AGB27-AGB26</f>
        <v/>
      </c>
      <c r="AGC28" s="16">
        <f>AGC27-AGC26</f>
        <v/>
      </c>
      <c r="AGD28" s="16">
        <f>AGD27-AGD26</f>
        <v/>
      </c>
      <c r="AGE28" s="16">
        <f>AGE27-AGE26</f>
        <v/>
      </c>
      <c r="AGF28" s="16">
        <f>AGF27-AGF26</f>
        <v/>
      </c>
      <c r="AGG28" s="16">
        <f>AGG27-AGG26</f>
        <v/>
      </c>
      <c r="AGH28" s="16">
        <f>AGH27-AGH26</f>
        <v/>
      </c>
      <c r="AGI28" s="16">
        <f>AGI27-AGI26</f>
        <v/>
      </c>
      <c r="AGJ28" s="16">
        <f>AGJ27-AGJ26</f>
        <v/>
      </c>
      <c r="AGK28" s="16">
        <f>AGK27-AGK26</f>
        <v/>
      </c>
      <c r="AGL28" s="16">
        <f>AGL27-AGL26</f>
        <v/>
      </c>
      <c r="AGM28" s="16">
        <f>AGM27-AGM26</f>
        <v/>
      </c>
      <c r="AGN28" s="16">
        <f>AGN27-AGN26</f>
        <v/>
      </c>
      <c r="AGO28" s="16">
        <f>AGO27-AGO26</f>
        <v/>
      </c>
      <c r="AGP28" s="16">
        <f>AGP27-AGP26</f>
        <v/>
      </c>
      <c r="AGQ28" s="16">
        <f>AGQ27-AGQ26</f>
        <v/>
      </c>
      <c r="AGR28" s="16">
        <f>AGR27-AGR26</f>
        <v/>
      </c>
      <c r="AGS28" s="16">
        <f>AGS27-AGS26</f>
        <v/>
      </c>
      <c r="AGT28" s="16">
        <f>AGT27-AGT26</f>
        <v/>
      </c>
      <c r="AGU28" s="16">
        <f>AGU27-AGU26</f>
        <v/>
      </c>
      <c r="AGV28" s="16">
        <f>AGV27-AGV26</f>
        <v/>
      </c>
      <c r="AGW28" s="16">
        <f>AGW27-AGW26</f>
        <v/>
      </c>
      <c r="AGX28" s="16">
        <f>AGX27-AGX26</f>
        <v/>
      </c>
      <c r="AGY28" s="16">
        <f>AGY27-AGY26</f>
        <v/>
      </c>
      <c r="AGZ28" s="127">
        <f>SUM(AFV28:AGY28)</f>
        <v/>
      </c>
      <c r="AHA28" s="16">
        <f>AHA27-AHA26</f>
        <v/>
      </c>
      <c r="AHB28" s="16">
        <f>AHB27-AHB26</f>
        <v/>
      </c>
      <c r="AHC28" s="16">
        <f>AHC27-AHC26</f>
        <v/>
      </c>
      <c r="AHD28" s="16">
        <f>AHD27-AHD26</f>
        <v/>
      </c>
      <c r="AHE28" s="16">
        <f>AHE27-AHE26</f>
        <v/>
      </c>
      <c r="AHF28" s="16">
        <f>AHF27-AHF26</f>
        <v/>
      </c>
      <c r="AHG28" s="16">
        <f>AHG27-AHG26</f>
        <v/>
      </c>
      <c r="AHH28" s="16">
        <f>AHH27-AHH26</f>
        <v/>
      </c>
      <c r="AHI28" s="16">
        <f>AHI27-AHI26</f>
        <v/>
      </c>
      <c r="AHJ28" s="16">
        <f>AHJ27-AHJ26</f>
        <v/>
      </c>
      <c r="AHK28" s="16">
        <f>AHK27-AHK26</f>
        <v/>
      </c>
      <c r="AHL28" s="16">
        <f>AHL27-AHL26</f>
        <v/>
      </c>
      <c r="AHM28" s="16">
        <f>AHM27-AHM26</f>
        <v/>
      </c>
      <c r="AHN28" s="16">
        <f>AHN27-AHN26</f>
        <v/>
      </c>
      <c r="AHO28" s="16">
        <f>AHO27-AHO26</f>
        <v/>
      </c>
      <c r="AHP28" s="16">
        <f>AHP27-AHP26</f>
        <v/>
      </c>
      <c r="AHQ28" s="16">
        <f>AHQ27-AHQ26</f>
        <v/>
      </c>
      <c r="AHR28" s="16">
        <f>AHR27-AHR26</f>
        <v/>
      </c>
      <c r="AHS28" s="16">
        <f>AHS27-AHS26</f>
        <v/>
      </c>
      <c r="AHT28" s="16">
        <f>AHT27-AHT26</f>
        <v/>
      </c>
      <c r="AHU28" s="16">
        <f>AHU27-AHU26</f>
        <v/>
      </c>
      <c r="AHV28" s="16">
        <f>AHV27-AHV26</f>
        <v/>
      </c>
      <c r="AHW28" s="16">
        <f>AHW27-AHW26</f>
        <v/>
      </c>
      <c r="AHX28" s="16">
        <f>AHX27-AHX26</f>
        <v/>
      </c>
      <c r="AHY28" s="16">
        <f>AHY27-AHY26</f>
        <v/>
      </c>
      <c r="AHZ28" s="16">
        <f>AHZ27-AHZ26</f>
        <v/>
      </c>
      <c r="AIA28" s="16">
        <f>AIA27-AIA26</f>
        <v/>
      </c>
      <c r="AIB28" s="16">
        <f>AIB27-AIB26</f>
        <v/>
      </c>
      <c r="AIC28" s="16">
        <f>AIC27-AIC26</f>
        <v/>
      </c>
      <c r="AID28" s="16">
        <f>AID27-AID26</f>
        <v/>
      </c>
      <c r="AIE28" s="16">
        <f>AIE27-AIE26</f>
        <v/>
      </c>
      <c r="AIF28" s="127">
        <f>SUM(AHA28:AIE28)</f>
        <v/>
      </c>
      <c r="AIG28" s="16">
        <f>AIG27-AIG26</f>
        <v/>
      </c>
      <c r="AIH28" s="16">
        <f>AIH27-AIH26</f>
        <v/>
      </c>
      <c r="AII28" s="16">
        <f>AII27-AII26</f>
        <v/>
      </c>
      <c r="AIJ28" s="16">
        <f>AIJ27-AIJ26</f>
        <v/>
      </c>
      <c r="AIK28" s="16">
        <f>AIK27-AIK26</f>
        <v/>
      </c>
      <c r="AIL28" s="16">
        <f>AIL27-AIL26</f>
        <v/>
      </c>
      <c r="AIM28" s="16">
        <f>AIM27-AIM26</f>
        <v/>
      </c>
      <c r="AIN28" s="16">
        <f>AIN27-AIN26</f>
        <v/>
      </c>
      <c r="AIO28" s="16">
        <f>AIO27-AIO26</f>
        <v/>
      </c>
      <c r="AIP28" s="16">
        <f>AIP27-AIP26</f>
        <v/>
      </c>
      <c r="AIQ28" s="16">
        <f>AIQ27-AIQ26</f>
        <v/>
      </c>
      <c r="AIR28" s="16">
        <f>AIR27-AIR26</f>
        <v/>
      </c>
      <c r="AIS28" s="16">
        <f>AIS27-AIS26</f>
        <v/>
      </c>
      <c r="AIT28" s="16">
        <f>AIT27-AIT26</f>
        <v/>
      </c>
      <c r="AIU28" s="16">
        <f>AIU27-AIU26</f>
        <v/>
      </c>
      <c r="AIV28" s="16">
        <f>AIV27-AIV26</f>
        <v/>
      </c>
      <c r="AIW28" s="16">
        <f>AIW27-AIW26</f>
        <v/>
      </c>
      <c r="AIX28" s="16">
        <f>AIX27-AIX26</f>
        <v/>
      </c>
      <c r="AIY28" s="16">
        <f>AIY27-AIY26</f>
        <v/>
      </c>
      <c r="AIZ28" s="16">
        <f>AIZ27-AIZ26</f>
        <v/>
      </c>
      <c r="AJA28" s="16">
        <f>AJA27-AJA26</f>
        <v/>
      </c>
      <c r="AJB28" s="16">
        <f>AJB27-AJB26</f>
        <v/>
      </c>
      <c r="AJC28" s="16">
        <f>AJC27-AJC26</f>
        <v/>
      </c>
      <c r="AJD28" s="16">
        <f>AJD27-AJD26</f>
        <v/>
      </c>
      <c r="AJE28" s="16">
        <f>AJE27-AJE26</f>
        <v/>
      </c>
      <c r="AJF28" s="16">
        <f>AJF27-AJF26</f>
        <v/>
      </c>
      <c r="AJG28" s="16">
        <f>AJG27-AJG26</f>
        <v/>
      </c>
      <c r="AJH28" s="16">
        <f>AJH27-AJH26</f>
        <v/>
      </c>
      <c r="AJI28" s="16">
        <f>AJI27-AJI26</f>
        <v/>
      </c>
      <c r="AJJ28" s="16">
        <f>AJJ27-AJJ26</f>
        <v/>
      </c>
      <c r="AJK28" s="16">
        <f>AJK27-AJK26</f>
        <v/>
      </c>
      <c r="AJL28" s="127">
        <f>SUM(AIG28:AJK28)</f>
        <v/>
      </c>
      <c r="AJM28" s="16">
        <f>AJM27-AJM26</f>
        <v/>
      </c>
      <c r="AJN28" s="16">
        <f>AJN27-AJN26</f>
        <v/>
      </c>
      <c r="AJO28" s="16">
        <f>AJO27-AJO26</f>
        <v/>
      </c>
      <c r="AJP28" s="16">
        <f>AJP27-AJP26</f>
        <v/>
      </c>
      <c r="AJQ28" s="16">
        <f>AJQ27-AJQ26</f>
        <v/>
      </c>
      <c r="AJR28" s="16">
        <f>AJR27-AJR26</f>
        <v/>
      </c>
      <c r="AJS28" s="16">
        <f>AJS27-AJS26</f>
        <v/>
      </c>
      <c r="AJT28" s="16">
        <f>AJT27-AJT26</f>
        <v/>
      </c>
      <c r="AJU28" s="16">
        <f>AJU27-AJU26</f>
        <v/>
      </c>
      <c r="AJV28" s="16">
        <f>AJV27-AJV26</f>
        <v/>
      </c>
      <c r="AJW28" s="16">
        <f>AJW27-AJW26</f>
        <v/>
      </c>
      <c r="AJX28" s="16">
        <f>AJX27-AJX26</f>
        <v/>
      </c>
      <c r="AJY28" s="16">
        <f>AJY27-AJY26</f>
        <v/>
      </c>
      <c r="AJZ28" s="16">
        <f>AJZ27-AJZ26</f>
        <v/>
      </c>
      <c r="AKA28" s="16">
        <f>AKA27-AKA26</f>
        <v/>
      </c>
      <c r="AKB28" s="16">
        <f>AKB27-AKB26</f>
        <v/>
      </c>
      <c r="AKC28" s="16">
        <f>AKC27-AKC26</f>
        <v/>
      </c>
      <c r="AKD28" s="16">
        <f>AKD27-AKD26</f>
        <v/>
      </c>
      <c r="AKE28" s="16">
        <f>AKE27-AKE26</f>
        <v/>
      </c>
      <c r="AKF28" s="16">
        <f>AKF27-AKF26</f>
        <v/>
      </c>
      <c r="AKG28" s="16">
        <f>AKG27-AKG26</f>
        <v/>
      </c>
      <c r="AKH28" s="16">
        <f>AKH27-AKH26</f>
        <v/>
      </c>
      <c r="AKI28" s="16">
        <f>AKI27-AKI26</f>
        <v/>
      </c>
      <c r="AKJ28" s="16">
        <f>AKJ27-AKJ26</f>
        <v/>
      </c>
      <c r="AKK28" s="16">
        <f>AKK27-AKK26</f>
        <v/>
      </c>
      <c r="AKL28" s="16">
        <f>AKL27-AKL26</f>
        <v/>
      </c>
      <c r="AKM28" s="16">
        <f>AKM27-AKM26</f>
        <v/>
      </c>
      <c r="AKN28" s="16">
        <f>AKN27-AKN26</f>
        <v/>
      </c>
      <c r="AKO28" s="127">
        <f>SUM(AJM28:AKN28)</f>
        <v/>
      </c>
      <c r="AKP28" s="16">
        <f>AKP27-AKP26</f>
        <v/>
      </c>
      <c r="AKQ28" s="16">
        <f>AKQ27-AKQ26</f>
        <v/>
      </c>
      <c r="AKR28" s="16">
        <f>AKR27-AKR26</f>
        <v/>
      </c>
      <c r="AKS28" s="16">
        <f>AKS27-AKS26</f>
        <v/>
      </c>
      <c r="AKT28" s="16">
        <f>AKT27-AKT26</f>
        <v/>
      </c>
      <c r="AKU28" s="16">
        <f>AKU27-AKU26</f>
        <v/>
      </c>
      <c r="AKV28" s="16">
        <f>AKV27-AKV26</f>
        <v/>
      </c>
      <c r="AKW28" s="16">
        <f>AKW27-AKW26</f>
        <v/>
      </c>
      <c r="AKX28" s="16">
        <f>AKX27-AKX26</f>
        <v/>
      </c>
      <c r="AKY28" s="16">
        <f>AKY27-AKY26</f>
        <v/>
      </c>
      <c r="AKZ28" s="16">
        <f>AKZ27-AKZ26</f>
        <v/>
      </c>
      <c r="ALA28" s="16">
        <f>ALA27-ALA26</f>
        <v/>
      </c>
      <c r="ALB28" s="16">
        <f>ALB27-ALB26</f>
        <v/>
      </c>
      <c r="ALC28" s="16">
        <f>ALC27-ALC26</f>
        <v/>
      </c>
      <c r="ALD28" s="16">
        <f>ALD27-ALD26</f>
        <v/>
      </c>
      <c r="ALE28" s="16">
        <f>ALE27-ALE26</f>
        <v/>
      </c>
      <c r="ALF28" s="16">
        <f>ALF27-ALF26</f>
        <v/>
      </c>
      <c r="ALG28" s="16">
        <f>ALG27-ALG26</f>
        <v/>
      </c>
      <c r="ALH28" s="16">
        <f>ALH27-ALH26</f>
        <v/>
      </c>
      <c r="ALI28" s="16">
        <f>ALI27-ALI26</f>
        <v/>
      </c>
      <c r="ALJ28" s="16">
        <f>ALJ27-ALJ26</f>
        <v/>
      </c>
      <c r="ALK28" s="16">
        <f>ALK27-ALK26</f>
        <v/>
      </c>
      <c r="ALL28" s="16">
        <f>ALL27-ALL26</f>
        <v/>
      </c>
      <c r="ALM28" s="16">
        <f>ALM27-ALM26</f>
        <v/>
      </c>
      <c r="ALN28" s="16">
        <f>ALN27-ALN26</f>
        <v/>
      </c>
      <c r="ALO28" s="16">
        <f>ALO27-ALO26</f>
        <v/>
      </c>
      <c r="ALP28" s="16">
        <f>ALP27-ALP26</f>
        <v/>
      </c>
      <c r="ALQ28" s="16">
        <f>ALQ27-ALQ26</f>
        <v/>
      </c>
      <c r="ALR28" s="16">
        <f>ALR27-ALR26</f>
        <v/>
      </c>
      <c r="ALS28" s="16">
        <f>ALS27-ALS26</f>
        <v/>
      </c>
      <c r="ALT28" s="16">
        <f>ALT27-ALT26</f>
        <v/>
      </c>
      <c r="ALU28" s="127">
        <f>SUM(AKP28:ALT28)</f>
        <v/>
      </c>
      <c r="ALV28" s="16">
        <f>ALV27-ALV26</f>
        <v/>
      </c>
      <c r="ALW28" s="16">
        <f>ALW27-ALW26</f>
        <v/>
      </c>
      <c r="ALX28" s="16">
        <f>ALX27-ALX26</f>
        <v/>
      </c>
      <c r="ALY28" s="16">
        <f>ALY27-ALY26</f>
        <v/>
      </c>
      <c r="ALZ28" s="16">
        <f>ALZ27-ALZ26</f>
        <v/>
      </c>
      <c r="AMA28" s="16">
        <f>AMA27-AMA26</f>
        <v/>
      </c>
      <c r="AMB28" s="16">
        <f>AMB27-AMB26</f>
        <v/>
      </c>
      <c r="AMC28" s="16">
        <f>AMC27-AMC26</f>
        <v/>
      </c>
      <c r="AMD28" s="16">
        <f>AMD27-AMD26</f>
        <v/>
      </c>
      <c r="AME28" s="16">
        <f>AME27-AME26</f>
        <v/>
      </c>
      <c r="AMF28" s="16">
        <f>AMF27-AMF26</f>
        <v/>
      </c>
      <c r="AMG28" s="16">
        <f>AMG27-AMG26</f>
        <v/>
      </c>
      <c r="AMH28" s="16">
        <f>AMH27-AMH26</f>
        <v/>
      </c>
      <c r="AMI28" s="16">
        <f>AMI27-AMI26</f>
        <v/>
      </c>
      <c r="AMJ28" s="16">
        <f>AMJ27-AMJ26</f>
        <v/>
      </c>
      <c r="AMK28" s="16">
        <f>AMK27-AMK26</f>
        <v/>
      </c>
      <c r="AML28" s="16">
        <f>AML27-AML26</f>
        <v/>
      </c>
      <c r="AMM28" s="16">
        <f>AMM27-AMM26</f>
        <v/>
      </c>
      <c r="AMN28" s="16">
        <f>AMN27-AMN26</f>
        <v/>
      </c>
      <c r="AMO28" s="16">
        <f>AMO27-AMO26</f>
        <v/>
      </c>
      <c r="AMP28" s="16">
        <f>AMP27-AMP26</f>
        <v/>
      </c>
      <c r="AMQ28" s="16">
        <f>AMQ27-AMQ26</f>
        <v/>
      </c>
      <c r="AMR28" s="16">
        <f>AMR27-AMR26</f>
        <v/>
      </c>
      <c r="AMS28" s="16">
        <f>AMS27-AMS26</f>
        <v/>
      </c>
      <c r="AMT28" s="16">
        <f>AMT27-AMT26</f>
        <v/>
      </c>
      <c r="AMU28" s="16">
        <f>AMU27-AMU26</f>
        <v/>
      </c>
      <c r="AMV28" s="16">
        <f>AMV27-AMV26</f>
        <v/>
      </c>
      <c r="AMW28" s="16">
        <f>AMW27-AMW26</f>
        <v/>
      </c>
      <c r="AMX28" s="16">
        <f>AMX27-AMX26</f>
        <v/>
      </c>
      <c r="AMY28" s="16">
        <f>AMY27-AMY26</f>
        <v/>
      </c>
      <c r="AMZ28" s="127">
        <f>SUM(ALV28:AMY28)</f>
        <v/>
      </c>
      <c r="ANA28" s="16">
        <f>ANA27-ANA26</f>
        <v/>
      </c>
      <c r="ANB28" s="16">
        <f>ANB27-ANB26</f>
        <v/>
      </c>
      <c r="ANC28" s="16">
        <f>ANC27-ANC26</f>
        <v/>
      </c>
      <c r="AND28" s="16">
        <f>AND27-AND26</f>
        <v/>
      </c>
      <c r="ANE28" s="16">
        <f>ANE27-ANE26</f>
        <v/>
      </c>
      <c r="ANF28" s="16">
        <f>ANF27-ANF26</f>
        <v/>
      </c>
      <c r="ANG28" s="16">
        <f>ANG27-ANG26</f>
        <v/>
      </c>
      <c r="ANH28" s="16">
        <f>ANH27-ANH26</f>
        <v/>
      </c>
      <c r="ANI28" s="16">
        <f>ANI27-ANI26</f>
        <v/>
      </c>
      <c r="ANJ28" s="16">
        <f>ANJ27-ANJ26</f>
        <v/>
      </c>
      <c r="ANK28" s="16">
        <f>ANK27-ANK26</f>
        <v/>
      </c>
      <c r="ANL28" s="16">
        <f>ANL27-ANL26</f>
        <v/>
      </c>
      <c r="ANM28" s="16">
        <f>ANM27-ANM26</f>
        <v/>
      </c>
      <c r="ANN28" s="16">
        <f>ANN27-ANN26</f>
        <v/>
      </c>
      <c r="ANO28" s="16">
        <f>ANO27-ANO26</f>
        <v/>
      </c>
      <c r="ANP28" s="16">
        <f>ANP27-ANP26</f>
        <v/>
      </c>
      <c r="ANQ28" s="16">
        <f>ANQ27-ANQ26</f>
        <v/>
      </c>
      <c r="ANR28" s="16">
        <f>ANR27-ANR26</f>
        <v/>
      </c>
      <c r="ANS28" s="16">
        <f>ANS27-ANS26</f>
        <v/>
      </c>
      <c r="ANT28" s="16">
        <f>ANT27-ANT26</f>
        <v/>
      </c>
      <c r="ANU28" s="16">
        <f>ANU27-ANU26</f>
        <v/>
      </c>
      <c r="ANV28" s="16">
        <f>ANV27-ANV26</f>
        <v/>
      </c>
      <c r="ANW28" s="16">
        <f>ANW27-ANW26</f>
        <v/>
      </c>
      <c r="ANX28" s="16">
        <f>ANX27-ANX26</f>
        <v/>
      </c>
      <c r="ANY28" s="16">
        <f>ANY27-ANY26</f>
        <v/>
      </c>
      <c r="ANZ28" s="16">
        <f>ANZ27-ANZ26</f>
        <v/>
      </c>
      <c r="AOA28" s="16">
        <f>AOA27-AOA26</f>
        <v/>
      </c>
      <c r="AOB28" s="16">
        <f>AOB27-AOB26</f>
        <v/>
      </c>
      <c r="AOC28" s="16">
        <f>AOC27-AOC26</f>
        <v/>
      </c>
      <c r="AOD28" s="16">
        <f>AOD27-AOD26</f>
        <v/>
      </c>
      <c r="AOE28">
        <f>AOE27-AOE26</f>
        <v/>
      </c>
      <c r="AOF28">
        <f>AOF27-AOF26</f>
        <v/>
      </c>
    </row>
    <row r="29">
      <c r="A29" s="157" t="n"/>
      <c r="B29" s="159" t="inlineStr">
        <is>
          <t>AGO 4</t>
        </is>
      </c>
      <c r="C29" s="47" t="inlineStr">
        <is>
          <t>OPENING</t>
        </is>
      </c>
      <c r="D29" s="48" t="n">
        <v>155651.711</v>
      </c>
      <c r="E29" s="18">
        <f>D30</f>
        <v/>
      </c>
      <c r="F29" s="18">
        <f>E30</f>
        <v/>
      </c>
      <c r="G29" s="18">
        <f>F30</f>
        <v/>
      </c>
      <c r="H29" s="18">
        <f>G30</f>
        <v/>
      </c>
      <c r="I29" s="18">
        <f>H30</f>
        <v/>
      </c>
      <c r="J29" s="18">
        <f>I30</f>
        <v/>
      </c>
      <c r="K29" s="18">
        <f>J30</f>
        <v/>
      </c>
      <c r="L29" s="18">
        <f>K30</f>
        <v/>
      </c>
      <c r="M29" s="18">
        <f>L30</f>
        <v/>
      </c>
      <c r="N29" s="18">
        <f>M30</f>
        <v/>
      </c>
      <c r="O29" s="18">
        <f>N30</f>
        <v/>
      </c>
      <c r="P29" s="18">
        <f>O30</f>
        <v/>
      </c>
      <c r="Q29" s="18">
        <f>P30</f>
        <v/>
      </c>
      <c r="R29" s="18">
        <f>Q30</f>
        <v/>
      </c>
      <c r="S29" s="18">
        <f>R30</f>
        <v/>
      </c>
      <c r="T29" s="18">
        <f>S30</f>
        <v/>
      </c>
      <c r="U29" s="18">
        <f>T30</f>
        <v/>
      </c>
      <c r="V29" s="18">
        <f>U30</f>
        <v/>
      </c>
      <c r="W29" s="18">
        <f>V30</f>
        <v/>
      </c>
      <c r="X29" s="18">
        <f>W30</f>
        <v/>
      </c>
      <c r="Y29" s="18">
        <f>X30</f>
        <v/>
      </c>
      <c r="Z29" s="18">
        <f>Y30</f>
        <v/>
      </c>
      <c r="AA29" s="18">
        <f>Z30</f>
        <v/>
      </c>
      <c r="AB29" s="18">
        <f>AA30</f>
        <v/>
      </c>
      <c r="AC29" s="18">
        <f>AB30</f>
        <v/>
      </c>
      <c r="AD29" s="18">
        <f>AC30</f>
        <v/>
      </c>
      <c r="AE29" s="18">
        <f>AD30</f>
        <v/>
      </c>
      <c r="AF29" s="18">
        <f>AE30</f>
        <v/>
      </c>
      <c r="AG29" s="18">
        <f>AF30</f>
        <v/>
      </c>
      <c r="AH29" s="18">
        <f>AG30</f>
        <v/>
      </c>
      <c r="AI29" s="17" t="n"/>
      <c r="AJ29" s="90">
        <f>AH30</f>
        <v/>
      </c>
      <c r="AK29" s="13">
        <f>AJ30</f>
        <v/>
      </c>
      <c r="AL29" s="13">
        <f>AK30</f>
        <v/>
      </c>
      <c r="AM29" s="13">
        <f>AL30</f>
        <v/>
      </c>
      <c r="AN29" s="13">
        <f>AM30</f>
        <v/>
      </c>
      <c r="AO29" s="13">
        <f>AN30</f>
        <v/>
      </c>
      <c r="AP29" s="13">
        <f>AO30</f>
        <v/>
      </c>
      <c r="AQ29" s="13">
        <f>AP30</f>
        <v/>
      </c>
      <c r="AR29" s="13">
        <f>AQ30</f>
        <v/>
      </c>
      <c r="AS29" s="13">
        <f>AR30</f>
        <v/>
      </c>
      <c r="AT29" s="13">
        <f>AS30</f>
        <v/>
      </c>
      <c r="AU29" s="13">
        <f>AT30</f>
        <v/>
      </c>
      <c r="AV29" s="13">
        <f>AU30</f>
        <v/>
      </c>
      <c r="AW29" s="13">
        <f>AV30</f>
        <v/>
      </c>
      <c r="AX29" s="13">
        <f>AW30</f>
        <v/>
      </c>
      <c r="AY29" s="13">
        <f>AX30</f>
        <v/>
      </c>
      <c r="AZ29" s="13">
        <f>AY30</f>
        <v/>
      </c>
      <c r="BA29" s="13">
        <f>AZ30</f>
        <v/>
      </c>
      <c r="BB29" s="13">
        <f>BA30</f>
        <v/>
      </c>
      <c r="BC29" s="13">
        <f>BB30</f>
        <v/>
      </c>
      <c r="BD29" s="13">
        <f>BC30</f>
        <v/>
      </c>
      <c r="BE29" s="13">
        <f>BD30</f>
        <v/>
      </c>
      <c r="BF29" s="13">
        <f>BE30</f>
        <v/>
      </c>
      <c r="BG29" s="13">
        <f>BF30</f>
        <v/>
      </c>
      <c r="BH29" s="13">
        <f>BG30</f>
        <v/>
      </c>
      <c r="BI29" s="13">
        <f>BH30</f>
        <v/>
      </c>
      <c r="BJ29" s="13">
        <f>BI30</f>
        <v/>
      </c>
      <c r="BK29" s="13">
        <f>BJ30</f>
        <v/>
      </c>
      <c r="BL29" s="13">
        <f>BK30</f>
        <v/>
      </c>
      <c r="BM29" s="13">
        <f>BL30</f>
        <v/>
      </c>
      <c r="BO29" s="13">
        <f>BM30</f>
        <v/>
      </c>
      <c r="BP29">
        <f>BO30</f>
        <v/>
      </c>
      <c r="BQ29">
        <f>BP30</f>
        <v/>
      </c>
      <c r="BR29">
        <f>BQ30</f>
        <v/>
      </c>
      <c r="BS29">
        <f>BR30</f>
        <v/>
      </c>
      <c r="BT29">
        <f>BS30</f>
        <v/>
      </c>
      <c r="BU29">
        <f>BT30</f>
        <v/>
      </c>
      <c r="BV29">
        <f>BU30</f>
        <v/>
      </c>
      <c r="BW29">
        <f>BV30</f>
        <v/>
      </c>
      <c r="BX29">
        <f>BW30</f>
        <v/>
      </c>
      <c r="BY29">
        <f>BX30</f>
        <v/>
      </c>
      <c r="BZ29">
        <f>BY30</f>
        <v/>
      </c>
      <c r="CA29">
        <f>BZ30</f>
        <v/>
      </c>
      <c r="CB29">
        <f>CA30</f>
        <v/>
      </c>
      <c r="CC29">
        <f>CB30</f>
        <v/>
      </c>
      <c r="CD29">
        <f>CC30</f>
        <v/>
      </c>
      <c r="CE29">
        <f>CD30</f>
        <v/>
      </c>
      <c r="CF29">
        <f>CE30</f>
        <v/>
      </c>
      <c r="CG29">
        <f>CF30</f>
        <v/>
      </c>
      <c r="CH29">
        <f>CG30</f>
        <v/>
      </c>
      <c r="CI29">
        <f>CH30</f>
        <v/>
      </c>
      <c r="CJ29">
        <f>CI30</f>
        <v/>
      </c>
      <c r="CK29">
        <f>CJ30</f>
        <v/>
      </c>
      <c r="CL29">
        <f>CK30</f>
        <v/>
      </c>
      <c r="CM29">
        <f>CL30</f>
        <v/>
      </c>
      <c r="CN29">
        <f>CM30</f>
        <v/>
      </c>
      <c r="CO29">
        <f>CN30</f>
        <v/>
      </c>
      <c r="CP29">
        <f>CO30</f>
        <v/>
      </c>
      <c r="CQ29">
        <f>CP30</f>
        <v/>
      </c>
      <c r="CR29">
        <f>CQ30</f>
        <v/>
      </c>
      <c r="CS29">
        <f>CR30</f>
        <v/>
      </c>
      <c r="CU29" s="13">
        <f>CS30</f>
        <v/>
      </c>
      <c r="CV29">
        <f>CU30</f>
        <v/>
      </c>
      <c r="CW29">
        <f>CV30</f>
        <v/>
      </c>
      <c r="CX29">
        <f>CW30</f>
        <v/>
      </c>
      <c r="CY29">
        <f>CX30</f>
        <v/>
      </c>
      <c r="CZ29">
        <f>CY30</f>
        <v/>
      </c>
      <c r="DA29">
        <f>CZ30</f>
        <v/>
      </c>
      <c r="DB29">
        <f>DA30</f>
        <v/>
      </c>
      <c r="DC29">
        <f>DB30</f>
        <v/>
      </c>
      <c r="DD29">
        <f>DC30</f>
        <v/>
      </c>
      <c r="DE29">
        <f>DD30</f>
        <v/>
      </c>
      <c r="DF29">
        <f>DE30</f>
        <v/>
      </c>
      <c r="DG29">
        <f>DF30</f>
        <v/>
      </c>
      <c r="DH29">
        <f>DG30</f>
        <v/>
      </c>
      <c r="DI29">
        <f>DH30</f>
        <v/>
      </c>
      <c r="DJ29">
        <f>DI30</f>
        <v/>
      </c>
      <c r="DK29">
        <f>DJ30</f>
        <v/>
      </c>
      <c r="DL29">
        <f>DK30</f>
        <v/>
      </c>
      <c r="DM29">
        <f>DL30</f>
        <v/>
      </c>
      <c r="DN29">
        <f>DM30</f>
        <v/>
      </c>
      <c r="DO29">
        <f>DN30</f>
        <v/>
      </c>
      <c r="DP29">
        <f>DO30</f>
        <v/>
      </c>
      <c r="DQ29">
        <f>DP30</f>
        <v/>
      </c>
      <c r="DR29">
        <f>DQ30</f>
        <v/>
      </c>
      <c r="DS29">
        <f>DR30</f>
        <v/>
      </c>
      <c r="DT29">
        <f>DS30</f>
        <v/>
      </c>
      <c r="DU29">
        <f>DT30</f>
        <v/>
      </c>
      <c r="DV29">
        <f>DU30</f>
        <v/>
      </c>
      <c r="DW29">
        <f>DV30</f>
        <v/>
      </c>
      <c r="DX29">
        <f>DW30</f>
        <v/>
      </c>
      <c r="DY29" s="117" t="n"/>
      <c r="DZ29">
        <f>DX30</f>
        <v/>
      </c>
      <c r="EA29">
        <f>DZ30</f>
        <v/>
      </c>
      <c r="EB29">
        <f>EA30</f>
        <v/>
      </c>
      <c r="EC29">
        <f>EB30</f>
        <v/>
      </c>
      <c r="ED29">
        <f>EC30</f>
        <v/>
      </c>
      <c r="EE29">
        <f>ED30</f>
        <v/>
      </c>
      <c r="EF29">
        <f>EE30</f>
        <v/>
      </c>
      <c r="EG29">
        <f>EF30</f>
        <v/>
      </c>
      <c r="EH29">
        <f>EG30</f>
        <v/>
      </c>
      <c r="EI29">
        <f>EH30</f>
        <v/>
      </c>
      <c r="EJ29">
        <f>EI30</f>
        <v/>
      </c>
      <c r="EK29">
        <f>EJ30</f>
        <v/>
      </c>
      <c r="EL29">
        <f>EK30</f>
        <v/>
      </c>
      <c r="EM29">
        <f>EL30</f>
        <v/>
      </c>
      <c r="EN29">
        <f>EM30</f>
        <v/>
      </c>
      <c r="EO29">
        <f>EN30</f>
        <v/>
      </c>
      <c r="EP29">
        <f>EO30</f>
        <v/>
      </c>
      <c r="EQ29">
        <f>EP30</f>
        <v/>
      </c>
      <c r="ER29">
        <f>EQ30</f>
        <v/>
      </c>
      <c r="ES29">
        <f>ER30</f>
        <v/>
      </c>
      <c r="ET29">
        <f>ES30</f>
        <v/>
      </c>
      <c r="EU29">
        <f>ET30</f>
        <v/>
      </c>
      <c r="EV29">
        <f>EU30</f>
        <v/>
      </c>
      <c r="EW29">
        <f>EV30</f>
        <v/>
      </c>
      <c r="EX29">
        <f>EW30</f>
        <v/>
      </c>
      <c r="EY29">
        <f>EX30</f>
        <v/>
      </c>
      <c r="EZ29">
        <f>EY30</f>
        <v/>
      </c>
      <c r="FA29">
        <f>EZ30</f>
        <v/>
      </c>
      <c r="FB29">
        <f>FA30</f>
        <v/>
      </c>
      <c r="FC29">
        <f>FB30</f>
        <v/>
      </c>
      <c r="FD29">
        <f>FC30</f>
        <v/>
      </c>
      <c r="FE29" s="126" t="n"/>
      <c r="FF29">
        <f>FD30</f>
        <v/>
      </c>
      <c r="FG29">
        <f>FF30</f>
        <v/>
      </c>
      <c r="FH29">
        <f>FG30</f>
        <v/>
      </c>
      <c r="FI29">
        <f>FH30</f>
        <v/>
      </c>
      <c r="FJ29">
        <f>FI30</f>
        <v/>
      </c>
      <c r="FK29">
        <f>FJ30</f>
        <v/>
      </c>
      <c r="FL29">
        <f>FK30</f>
        <v/>
      </c>
      <c r="FM29">
        <f>FL30</f>
        <v/>
      </c>
      <c r="FN29">
        <f>FM30</f>
        <v/>
      </c>
      <c r="FO29">
        <f>FN30</f>
        <v/>
      </c>
      <c r="FP29">
        <f>FO30</f>
        <v/>
      </c>
      <c r="FQ29">
        <f>FP30</f>
        <v/>
      </c>
      <c r="FR29">
        <f>FQ30</f>
        <v/>
      </c>
      <c r="FS29">
        <f>FR30</f>
        <v/>
      </c>
      <c r="FT29">
        <f>FS30</f>
        <v/>
      </c>
      <c r="FU29">
        <f>FT30</f>
        <v/>
      </c>
      <c r="FV29">
        <f>FU30</f>
        <v/>
      </c>
      <c r="FW29">
        <f>FV30</f>
        <v/>
      </c>
      <c r="FX29">
        <f>FW30</f>
        <v/>
      </c>
      <c r="FY29">
        <f>FX30</f>
        <v/>
      </c>
      <c r="FZ29">
        <f>FY30</f>
        <v/>
      </c>
      <c r="GA29">
        <f>FZ30</f>
        <v/>
      </c>
      <c r="GB29">
        <f>GA30</f>
        <v/>
      </c>
      <c r="GC29">
        <f>GB30</f>
        <v/>
      </c>
      <c r="GD29">
        <f>GC30</f>
        <v/>
      </c>
      <c r="GE29">
        <f>GD30</f>
        <v/>
      </c>
      <c r="GF29">
        <f>GE30</f>
        <v/>
      </c>
      <c r="GG29">
        <f>GF30</f>
        <v/>
      </c>
      <c r="GH29">
        <f>GG30</f>
        <v/>
      </c>
      <c r="GI29">
        <f>GH30</f>
        <v/>
      </c>
      <c r="GJ29">
        <f>GI30</f>
        <v/>
      </c>
      <c r="GK29" s="127">
        <f>SUM(FF29:GJ29)</f>
        <v/>
      </c>
      <c r="GL29">
        <f>GJ30</f>
        <v/>
      </c>
      <c r="GM29">
        <f>GL30</f>
        <v/>
      </c>
      <c r="GN29">
        <f>GM30</f>
        <v/>
      </c>
      <c r="GO29">
        <f>GN30</f>
        <v/>
      </c>
      <c r="GP29">
        <f>GO30</f>
        <v/>
      </c>
      <c r="GQ29">
        <f>GP30</f>
        <v/>
      </c>
      <c r="GR29">
        <f>GQ30</f>
        <v/>
      </c>
      <c r="GS29">
        <f>GR30</f>
        <v/>
      </c>
      <c r="GT29">
        <f>GS30</f>
        <v/>
      </c>
      <c r="GU29">
        <f>GT30</f>
        <v/>
      </c>
      <c r="GV29">
        <f>GU30</f>
        <v/>
      </c>
      <c r="GW29">
        <f>GV30</f>
        <v/>
      </c>
      <c r="GX29">
        <f>GW30</f>
        <v/>
      </c>
      <c r="GY29">
        <f>GX30</f>
        <v/>
      </c>
      <c r="GZ29">
        <f>GY30</f>
        <v/>
      </c>
      <c r="HA29">
        <f>GZ30</f>
        <v/>
      </c>
      <c r="HB29">
        <f>HA30</f>
        <v/>
      </c>
      <c r="HC29">
        <f>HB30</f>
        <v/>
      </c>
      <c r="HD29">
        <f>HC30</f>
        <v/>
      </c>
      <c r="HE29">
        <f>HD30</f>
        <v/>
      </c>
      <c r="HF29">
        <f>HE30</f>
        <v/>
      </c>
      <c r="HG29">
        <f>HF30</f>
        <v/>
      </c>
      <c r="HH29">
        <f>HG30</f>
        <v/>
      </c>
      <c r="HI29">
        <f>HH30</f>
        <v/>
      </c>
      <c r="HJ29">
        <f>HI30</f>
        <v/>
      </c>
      <c r="HK29">
        <f>HJ30</f>
        <v/>
      </c>
      <c r="HL29">
        <f>HK30</f>
        <v/>
      </c>
      <c r="HM29">
        <f>HL30</f>
        <v/>
      </c>
      <c r="HN29">
        <f>HM30</f>
        <v/>
      </c>
      <c r="HO29" s="127">
        <f>SUM(GL29:HN29)</f>
        <v/>
      </c>
      <c r="HP29">
        <f>HN30</f>
        <v/>
      </c>
      <c r="HQ29">
        <f>HP30</f>
        <v/>
      </c>
      <c r="HR29">
        <f>HQ30</f>
        <v/>
      </c>
      <c r="HS29">
        <f>HR30</f>
        <v/>
      </c>
      <c r="HT29">
        <f>HS30</f>
        <v/>
      </c>
      <c r="HU29">
        <f>HT30</f>
        <v/>
      </c>
      <c r="HV29">
        <f>HU30</f>
        <v/>
      </c>
      <c r="HW29">
        <f>HV30</f>
        <v/>
      </c>
      <c r="HX29">
        <f>HW30</f>
        <v/>
      </c>
      <c r="HY29">
        <f>HX30</f>
        <v/>
      </c>
      <c r="HZ29">
        <f>HY30</f>
        <v/>
      </c>
      <c r="IA29">
        <f>HZ30</f>
        <v/>
      </c>
      <c r="IB29">
        <f>IA30</f>
        <v/>
      </c>
      <c r="IC29">
        <f>IB30</f>
        <v/>
      </c>
      <c r="ID29">
        <f>IC30</f>
        <v/>
      </c>
      <c r="IE29">
        <f>ID30</f>
        <v/>
      </c>
      <c r="IF29">
        <f>IE30</f>
        <v/>
      </c>
      <c r="IG29">
        <f>IF30</f>
        <v/>
      </c>
      <c r="IH29">
        <f>IG30</f>
        <v/>
      </c>
      <c r="II29">
        <f>IH30</f>
        <v/>
      </c>
      <c r="IJ29">
        <f>II30</f>
        <v/>
      </c>
      <c r="IK29">
        <f>IJ30</f>
        <v/>
      </c>
      <c r="IL29">
        <f>IK30</f>
        <v/>
      </c>
      <c r="IM29">
        <f>IL30</f>
        <v/>
      </c>
      <c r="IN29">
        <f>IM30</f>
        <v/>
      </c>
      <c r="IO29">
        <f>IN30</f>
        <v/>
      </c>
      <c r="IP29">
        <f>IO30</f>
        <v/>
      </c>
      <c r="IQ29">
        <f>IP30</f>
        <v/>
      </c>
      <c r="IR29">
        <f>IQ30</f>
        <v/>
      </c>
      <c r="IS29">
        <f>IR30</f>
        <v/>
      </c>
      <c r="IT29">
        <f>IS30</f>
        <v/>
      </c>
      <c r="IU29" s="127">
        <f>SUM(HP29:IT29)</f>
        <v/>
      </c>
      <c r="IV29">
        <f>IT30</f>
        <v/>
      </c>
      <c r="IW29">
        <f>IV30</f>
        <v/>
      </c>
      <c r="IX29">
        <f>IW30</f>
        <v/>
      </c>
      <c r="IY29">
        <f>IX30</f>
        <v/>
      </c>
      <c r="IZ29">
        <f>IY30</f>
        <v/>
      </c>
      <c r="JA29">
        <f>IZ30</f>
        <v/>
      </c>
      <c r="JB29">
        <f>JA30</f>
        <v/>
      </c>
      <c r="JC29">
        <f>JB30</f>
        <v/>
      </c>
      <c r="JD29">
        <f>JC30</f>
        <v/>
      </c>
      <c r="JE29">
        <f>JD30</f>
        <v/>
      </c>
      <c r="JF29">
        <f>JE30</f>
        <v/>
      </c>
      <c r="JG29">
        <f>JF30</f>
        <v/>
      </c>
      <c r="JH29">
        <f>JG30</f>
        <v/>
      </c>
      <c r="JI29">
        <f>JH30</f>
        <v/>
      </c>
      <c r="JJ29">
        <f>JI30</f>
        <v/>
      </c>
      <c r="JK29">
        <f>JJ30</f>
        <v/>
      </c>
      <c r="JL29">
        <f>JK30</f>
        <v/>
      </c>
      <c r="JM29">
        <f>JL30</f>
        <v/>
      </c>
      <c r="JN29">
        <f>JM30</f>
        <v/>
      </c>
      <c r="JO29">
        <f>JN30</f>
        <v/>
      </c>
      <c r="JP29">
        <f>JO30</f>
        <v/>
      </c>
      <c r="JQ29">
        <f>JP30</f>
        <v/>
      </c>
      <c r="JR29">
        <f>JQ30</f>
        <v/>
      </c>
      <c r="JS29">
        <f>JR30</f>
        <v/>
      </c>
      <c r="JT29">
        <f>JS30</f>
        <v/>
      </c>
      <c r="JU29">
        <f>JT30</f>
        <v/>
      </c>
      <c r="JV29">
        <f>JU30</f>
        <v/>
      </c>
      <c r="JW29">
        <f>JV30</f>
        <v/>
      </c>
      <c r="JX29">
        <f>JW30</f>
        <v/>
      </c>
      <c r="JY29">
        <f>JX30</f>
        <v/>
      </c>
      <c r="JZ29" s="127" t="n">
        <v>0</v>
      </c>
      <c r="KA29">
        <f>JY30</f>
        <v/>
      </c>
      <c r="KB29">
        <f>KA30</f>
        <v/>
      </c>
      <c r="KC29">
        <f>KB30</f>
        <v/>
      </c>
      <c r="KD29">
        <f>KC30</f>
        <v/>
      </c>
      <c r="KE29">
        <f>KD30</f>
        <v/>
      </c>
      <c r="KF29">
        <f>KE30</f>
        <v/>
      </c>
      <c r="KG29">
        <f>KF30</f>
        <v/>
      </c>
      <c r="KH29">
        <f>KG30</f>
        <v/>
      </c>
      <c r="KI29">
        <f>KH30</f>
        <v/>
      </c>
      <c r="KJ29">
        <f>KI30</f>
        <v/>
      </c>
      <c r="KK29">
        <f>KJ30</f>
        <v/>
      </c>
      <c r="KL29">
        <f>KK30</f>
        <v/>
      </c>
      <c r="KM29">
        <f>KL30</f>
        <v/>
      </c>
      <c r="KN29">
        <f>KM30</f>
        <v/>
      </c>
      <c r="KO29">
        <f>KN30</f>
        <v/>
      </c>
      <c r="KP29">
        <f>KO30</f>
        <v/>
      </c>
      <c r="KQ29">
        <f>KP30</f>
        <v/>
      </c>
      <c r="KR29">
        <f>KQ30</f>
        <v/>
      </c>
      <c r="KS29">
        <f>KR30</f>
        <v/>
      </c>
      <c r="KT29">
        <f>KS30</f>
        <v/>
      </c>
      <c r="KU29">
        <f>KT30</f>
        <v/>
      </c>
      <c r="KV29">
        <f>KU30</f>
        <v/>
      </c>
      <c r="KW29">
        <f>KV30</f>
        <v/>
      </c>
      <c r="KX29">
        <f>KW30</f>
        <v/>
      </c>
      <c r="KY29">
        <f>KX30</f>
        <v/>
      </c>
      <c r="KZ29">
        <f>KY30</f>
        <v/>
      </c>
      <c r="LA29">
        <f>KZ30</f>
        <v/>
      </c>
      <c r="LB29">
        <f>LA30</f>
        <v/>
      </c>
      <c r="LC29">
        <f>LB30</f>
        <v/>
      </c>
      <c r="LD29">
        <f>LC30</f>
        <v/>
      </c>
      <c r="LE29">
        <f>LD30</f>
        <v/>
      </c>
      <c r="LF29" s="127" t="n">
        <v>0</v>
      </c>
      <c r="LG29">
        <f>LE30</f>
        <v/>
      </c>
      <c r="LH29">
        <f>LG30</f>
        <v/>
      </c>
      <c r="LI29">
        <f>LH30</f>
        <v/>
      </c>
      <c r="LJ29">
        <f>LI30</f>
        <v/>
      </c>
      <c r="LK29">
        <f>LJ30</f>
        <v/>
      </c>
      <c r="LL29">
        <f>LK30</f>
        <v/>
      </c>
      <c r="LM29">
        <f>LL30</f>
        <v/>
      </c>
      <c r="LN29">
        <f>LM30</f>
        <v/>
      </c>
      <c r="LO29">
        <f>LN30</f>
        <v/>
      </c>
      <c r="LP29">
        <f>LO30</f>
        <v/>
      </c>
      <c r="LQ29">
        <f>LP30</f>
        <v/>
      </c>
      <c r="LR29">
        <f>LQ30</f>
        <v/>
      </c>
      <c r="LS29">
        <f>LR30</f>
        <v/>
      </c>
      <c r="LT29">
        <f>LS30</f>
        <v/>
      </c>
      <c r="LU29">
        <f>LT30</f>
        <v/>
      </c>
      <c r="LV29">
        <f>LU30</f>
        <v/>
      </c>
      <c r="LW29">
        <f>LV30</f>
        <v/>
      </c>
      <c r="LX29">
        <f>LW30</f>
        <v/>
      </c>
      <c r="LY29">
        <f>LX30</f>
        <v/>
      </c>
      <c r="LZ29">
        <f>LY30</f>
        <v/>
      </c>
      <c r="MA29">
        <f>LZ30</f>
        <v/>
      </c>
      <c r="MB29">
        <f>MA30</f>
        <v/>
      </c>
      <c r="MC29">
        <f>MB30</f>
        <v/>
      </c>
      <c r="MD29">
        <f>MC30</f>
        <v/>
      </c>
      <c r="ME29">
        <f>MD30</f>
        <v/>
      </c>
      <c r="MF29">
        <f>ME30</f>
        <v/>
      </c>
      <c r="MG29">
        <f>MF30</f>
        <v/>
      </c>
      <c r="MH29">
        <f>MG30</f>
        <v/>
      </c>
      <c r="MI29">
        <f>MH30</f>
        <v/>
      </c>
      <c r="MJ29">
        <f>MI30</f>
        <v/>
      </c>
      <c r="MK29" s="127" t="n">
        <v>0</v>
      </c>
      <c r="ML29">
        <f>MJ30</f>
        <v/>
      </c>
      <c r="MM29">
        <f>ML30</f>
        <v/>
      </c>
      <c r="MN29">
        <f>MM30</f>
        <v/>
      </c>
      <c r="MO29">
        <f>MN30</f>
        <v/>
      </c>
      <c r="MP29">
        <f>MO30</f>
        <v/>
      </c>
      <c r="MQ29">
        <f>MP30</f>
        <v/>
      </c>
      <c r="MR29">
        <f>MQ30</f>
        <v/>
      </c>
      <c r="MS29">
        <f>MR30</f>
        <v/>
      </c>
      <c r="MT29">
        <f>MS30</f>
        <v/>
      </c>
      <c r="MU29">
        <f>MT30</f>
        <v/>
      </c>
      <c r="MV29">
        <f>MU30</f>
        <v/>
      </c>
      <c r="MW29">
        <f>MV30</f>
        <v/>
      </c>
      <c r="MX29">
        <f>MW30</f>
        <v/>
      </c>
      <c r="MY29">
        <f>MX30</f>
        <v/>
      </c>
      <c r="MZ29">
        <f>MY30</f>
        <v/>
      </c>
      <c r="NA29">
        <f>MZ30</f>
        <v/>
      </c>
      <c r="NB29">
        <f>NA30</f>
        <v/>
      </c>
      <c r="NC29">
        <f>NB30</f>
        <v/>
      </c>
      <c r="ND29">
        <f>NC30</f>
        <v/>
      </c>
      <c r="NE29">
        <f>ND30</f>
        <v/>
      </c>
      <c r="NF29">
        <f>NE30</f>
        <v/>
      </c>
      <c r="NG29">
        <f>NF30</f>
        <v/>
      </c>
      <c r="NH29">
        <f>NG30</f>
        <v/>
      </c>
      <c r="NI29">
        <f>NH30</f>
        <v/>
      </c>
      <c r="NJ29">
        <f>NI30</f>
        <v/>
      </c>
      <c r="NK29">
        <f>NJ30</f>
        <v/>
      </c>
      <c r="NL29">
        <f>NK30</f>
        <v/>
      </c>
      <c r="NM29">
        <f>NL30</f>
        <v/>
      </c>
      <c r="NN29">
        <f>NM30</f>
        <v/>
      </c>
      <c r="NO29">
        <f>NN30</f>
        <v/>
      </c>
      <c r="NP29">
        <f>NO30</f>
        <v/>
      </c>
      <c r="NQ29" s="127" t="n">
        <v>0</v>
      </c>
      <c r="NR29">
        <f>NP30</f>
        <v/>
      </c>
      <c r="NS29">
        <f>NR30</f>
        <v/>
      </c>
      <c r="NT29">
        <f>NS30</f>
        <v/>
      </c>
      <c r="NU29">
        <f>NT30</f>
        <v/>
      </c>
      <c r="NV29">
        <f>NU30</f>
        <v/>
      </c>
      <c r="NW29">
        <f>NV30</f>
        <v/>
      </c>
      <c r="NX29">
        <f>NW30</f>
        <v/>
      </c>
      <c r="NY29">
        <f>NX30</f>
        <v/>
      </c>
      <c r="NZ29">
        <f>NY30</f>
        <v/>
      </c>
      <c r="OA29">
        <f>NZ30</f>
        <v/>
      </c>
      <c r="OB29">
        <f>OA30</f>
        <v/>
      </c>
      <c r="OC29">
        <f>OB30</f>
        <v/>
      </c>
      <c r="OD29">
        <f>OC30</f>
        <v/>
      </c>
      <c r="OE29">
        <f>OD30</f>
        <v/>
      </c>
      <c r="OF29">
        <f>OE30</f>
        <v/>
      </c>
      <c r="OG29">
        <f>OF30</f>
        <v/>
      </c>
      <c r="OH29">
        <f>OG30</f>
        <v/>
      </c>
      <c r="OI29">
        <f>OH30</f>
        <v/>
      </c>
      <c r="OJ29">
        <f>OI30</f>
        <v/>
      </c>
      <c r="OK29">
        <f>OJ30</f>
        <v/>
      </c>
      <c r="OL29">
        <f>OK30</f>
        <v/>
      </c>
      <c r="OM29">
        <f>OL30</f>
        <v/>
      </c>
      <c r="ON29">
        <f>OM30</f>
        <v/>
      </c>
      <c r="OO29">
        <f>ON30</f>
        <v/>
      </c>
      <c r="OP29">
        <f>OO30</f>
        <v/>
      </c>
      <c r="OQ29">
        <f>OP30</f>
        <v/>
      </c>
      <c r="OR29">
        <f>OQ30</f>
        <v/>
      </c>
      <c r="OS29">
        <f>OR30</f>
        <v/>
      </c>
      <c r="OT29">
        <f>OS30</f>
        <v/>
      </c>
      <c r="OU29">
        <f>OT30</f>
        <v/>
      </c>
      <c r="OV29">
        <f>OU30</f>
        <v/>
      </c>
      <c r="OW29" s="127" t="n">
        <v>0</v>
      </c>
      <c r="OX29">
        <f>OV30</f>
        <v/>
      </c>
      <c r="OY29">
        <f>OX30</f>
        <v/>
      </c>
      <c r="OZ29">
        <f>OY30</f>
        <v/>
      </c>
      <c r="PA29">
        <f>OZ30</f>
        <v/>
      </c>
      <c r="PB29">
        <f>PA30</f>
        <v/>
      </c>
      <c r="PC29">
        <f>PB30</f>
        <v/>
      </c>
      <c r="PD29">
        <f>PC30</f>
        <v/>
      </c>
      <c r="PE29">
        <f>PD30</f>
        <v/>
      </c>
      <c r="PF29">
        <f>PE30</f>
        <v/>
      </c>
      <c r="PG29">
        <f>PF30</f>
        <v/>
      </c>
      <c r="PH29">
        <f>PG30</f>
        <v/>
      </c>
      <c r="PI29">
        <f>PH30</f>
        <v/>
      </c>
      <c r="PJ29">
        <f>PI30</f>
        <v/>
      </c>
      <c r="PK29">
        <f>PJ30</f>
        <v/>
      </c>
      <c r="PL29">
        <f>PK30</f>
        <v/>
      </c>
      <c r="PM29">
        <f>PL30</f>
        <v/>
      </c>
      <c r="PN29">
        <f>PM30</f>
        <v/>
      </c>
      <c r="PO29">
        <f>PN30</f>
        <v/>
      </c>
      <c r="PP29">
        <f>PO30</f>
        <v/>
      </c>
      <c r="PQ29">
        <f>PP30</f>
        <v/>
      </c>
      <c r="PR29">
        <f>PQ30</f>
        <v/>
      </c>
      <c r="PS29">
        <f>PR30</f>
        <v/>
      </c>
      <c r="PT29">
        <f>PS30</f>
        <v/>
      </c>
      <c r="PU29">
        <f>PT30</f>
        <v/>
      </c>
      <c r="PV29">
        <f>PU30</f>
        <v/>
      </c>
      <c r="PW29">
        <f>PV30</f>
        <v/>
      </c>
      <c r="PX29">
        <f>PW30</f>
        <v/>
      </c>
      <c r="PY29">
        <f>PX30</f>
        <v/>
      </c>
      <c r="PZ29">
        <f>PY30</f>
        <v/>
      </c>
      <c r="QA29">
        <f>PZ30</f>
        <v/>
      </c>
      <c r="QB29" s="127" t="n">
        <v>0</v>
      </c>
      <c r="QC29">
        <f>QA30</f>
        <v/>
      </c>
      <c r="QD29">
        <f>QC30</f>
        <v/>
      </c>
      <c r="QE29">
        <f>QD30</f>
        <v/>
      </c>
      <c r="QF29">
        <f>QE30</f>
        <v/>
      </c>
      <c r="QG29">
        <f>QF30</f>
        <v/>
      </c>
      <c r="QH29">
        <f>QG30</f>
        <v/>
      </c>
      <c r="QI29">
        <f>QH30</f>
        <v/>
      </c>
      <c r="QJ29">
        <f>QI30</f>
        <v/>
      </c>
      <c r="QK29">
        <f>QJ30</f>
        <v/>
      </c>
      <c r="QL29">
        <f>QK30</f>
        <v/>
      </c>
      <c r="QM29">
        <f>QL30</f>
        <v/>
      </c>
      <c r="QN29">
        <f>QM30</f>
        <v/>
      </c>
      <c r="QO29">
        <f>QN30</f>
        <v/>
      </c>
      <c r="QP29">
        <f>QO30</f>
        <v/>
      </c>
      <c r="QQ29">
        <f>QP30</f>
        <v/>
      </c>
      <c r="QR29">
        <f>QQ30</f>
        <v/>
      </c>
      <c r="QS29">
        <f>QR30</f>
        <v/>
      </c>
      <c r="QT29">
        <f>QS30</f>
        <v/>
      </c>
      <c r="QU29">
        <f>QT30</f>
        <v/>
      </c>
      <c r="QV29">
        <f>QU30</f>
        <v/>
      </c>
      <c r="QW29">
        <f>QV30</f>
        <v/>
      </c>
      <c r="QX29">
        <f>QW30</f>
        <v/>
      </c>
      <c r="QY29">
        <f>QX30</f>
        <v/>
      </c>
      <c r="QZ29">
        <f>QY30</f>
        <v/>
      </c>
      <c r="RA29">
        <f>QZ30</f>
        <v/>
      </c>
      <c r="RB29">
        <f>RA30</f>
        <v/>
      </c>
      <c r="RC29">
        <f>RB30</f>
        <v/>
      </c>
      <c r="RD29">
        <f>RC30</f>
        <v/>
      </c>
      <c r="RE29">
        <f>RD30</f>
        <v/>
      </c>
      <c r="RF29">
        <f>RE30</f>
        <v/>
      </c>
      <c r="RG29">
        <f>RF30</f>
        <v/>
      </c>
      <c r="RH29" s="127" t="n">
        <v>0</v>
      </c>
      <c r="RI29">
        <f>RG30</f>
        <v/>
      </c>
      <c r="RJ29">
        <f>RI30</f>
        <v/>
      </c>
      <c r="RK29">
        <f>RJ30</f>
        <v/>
      </c>
      <c r="RL29">
        <f>RK30</f>
        <v/>
      </c>
      <c r="RM29">
        <f>RL30</f>
        <v/>
      </c>
      <c r="RN29">
        <f>RM30</f>
        <v/>
      </c>
      <c r="RO29">
        <f>RN30</f>
        <v/>
      </c>
      <c r="RP29">
        <f>RO30</f>
        <v/>
      </c>
      <c r="RQ29">
        <f>RP30</f>
        <v/>
      </c>
      <c r="RR29">
        <f>RQ30</f>
        <v/>
      </c>
      <c r="RS29">
        <f>RR30</f>
        <v/>
      </c>
      <c r="RT29">
        <f>RS30</f>
        <v/>
      </c>
      <c r="RU29">
        <f>RT30</f>
        <v/>
      </c>
      <c r="RV29">
        <f>RU30</f>
        <v/>
      </c>
      <c r="RW29">
        <f>RV30</f>
        <v/>
      </c>
      <c r="RX29">
        <f>RW30</f>
        <v/>
      </c>
      <c r="RY29">
        <f>RX30</f>
        <v/>
      </c>
      <c r="RZ29">
        <f>RY30</f>
        <v/>
      </c>
      <c r="SA29">
        <f>RZ30</f>
        <v/>
      </c>
      <c r="SB29">
        <f>SA30</f>
        <v/>
      </c>
      <c r="SC29">
        <f>SB30</f>
        <v/>
      </c>
      <c r="SD29">
        <f>SC30</f>
        <v/>
      </c>
      <c r="SE29">
        <f>SD30</f>
        <v/>
      </c>
      <c r="SF29">
        <f>SE30</f>
        <v/>
      </c>
      <c r="SG29">
        <f>SF30</f>
        <v/>
      </c>
      <c r="SH29">
        <f>SG30</f>
        <v/>
      </c>
      <c r="SI29">
        <f>SH30</f>
        <v/>
      </c>
      <c r="SJ29">
        <f>SI30</f>
        <v/>
      </c>
      <c r="SK29">
        <f>SJ30</f>
        <v/>
      </c>
      <c r="SL29">
        <f>SK30</f>
        <v/>
      </c>
      <c r="SM29" s="127" t="n">
        <v>0</v>
      </c>
      <c r="SN29">
        <f>SL30</f>
        <v/>
      </c>
      <c r="SO29">
        <f>SN30</f>
        <v/>
      </c>
      <c r="SP29">
        <f>SO30</f>
        <v/>
      </c>
      <c r="SQ29">
        <f>SP30</f>
        <v/>
      </c>
      <c r="SR29">
        <f>SQ30</f>
        <v/>
      </c>
      <c r="SS29">
        <f>SR30</f>
        <v/>
      </c>
      <c r="ST29">
        <f>SS30</f>
        <v/>
      </c>
      <c r="SU29">
        <f>ST30</f>
        <v/>
      </c>
      <c r="SV29">
        <f>SU30</f>
        <v/>
      </c>
      <c r="SW29">
        <f>SV30</f>
        <v/>
      </c>
      <c r="SX29">
        <f>SW30</f>
        <v/>
      </c>
      <c r="SY29">
        <f>SX30</f>
        <v/>
      </c>
      <c r="SZ29">
        <f>SY30</f>
        <v/>
      </c>
      <c r="TA29">
        <f>SZ30</f>
        <v/>
      </c>
      <c r="TB29">
        <f>TA30</f>
        <v/>
      </c>
      <c r="TC29">
        <f>TB30</f>
        <v/>
      </c>
      <c r="TD29">
        <f>TC30</f>
        <v/>
      </c>
      <c r="TE29">
        <f>TD30</f>
        <v/>
      </c>
      <c r="TF29">
        <f>TE30</f>
        <v/>
      </c>
      <c r="TG29">
        <f>TF30</f>
        <v/>
      </c>
      <c r="TH29">
        <f>TG30</f>
        <v/>
      </c>
      <c r="TI29">
        <f>TH30</f>
        <v/>
      </c>
      <c r="TJ29">
        <f>TI30</f>
        <v/>
      </c>
      <c r="TK29">
        <f>TJ30</f>
        <v/>
      </c>
      <c r="TL29">
        <f>TK30</f>
        <v/>
      </c>
      <c r="TM29">
        <f>TL30</f>
        <v/>
      </c>
      <c r="TN29">
        <f>TM30</f>
        <v/>
      </c>
      <c r="TO29">
        <f>TN30</f>
        <v/>
      </c>
      <c r="TP29">
        <f>TO30</f>
        <v/>
      </c>
      <c r="TQ29">
        <f>TP30</f>
        <v/>
      </c>
      <c r="TR29">
        <f>TQ30</f>
        <v/>
      </c>
      <c r="TS29" s="127" t="n">
        <v>0</v>
      </c>
      <c r="TT29">
        <f>TR30</f>
        <v/>
      </c>
      <c r="TU29">
        <f>TT30</f>
        <v/>
      </c>
      <c r="TV29">
        <f>TU30</f>
        <v/>
      </c>
      <c r="TW29">
        <f>TV30</f>
        <v/>
      </c>
      <c r="TX29">
        <f>TW30</f>
        <v/>
      </c>
      <c r="TY29">
        <f>TX30</f>
        <v/>
      </c>
      <c r="TZ29">
        <f>TY30</f>
        <v/>
      </c>
      <c r="UA29">
        <f>TZ30</f>
        <v/>
      </c>
      <c r="UB29">
        <f>UA30</f>
        <v/>
      </c>
      <c r="UC29">
        <f>UB30</f>
        <v/>
      </c>
      <c r="UD29">
        <f>UC30</f>
        <v/>
      </c>
      <c r="UE29">
        <f>UD30</f>
        <v/>
      </c>
      <c r="UF29">
        <f>UE30</f>
        <v/>
      </c>
      <c r="UG29">
        <f>UF30</f>
        <v/>
      </c>
      <c r="UH29">
        <f>UG30</f>
        <v/>
      </c>
      <c r="UI29">
        <f>UH30</f>
        <v/>
      </c>
      <c r="UJ29">
        <f>UI30</f>
        <v/>
      </c>
      <c r="UK29">
        <f>UJ30</f>
        <v/>
      </c>
      <c r="UL29">
        <f>UK30</f>
        <v/>
      </c>
      <c r="UM29">
        <f>UL30</f>
        <v/>
      </c>
      <c r="UN29">
        <f>UM30</f>
        <v/>
      </c>
      <c r="UO29">
        <f>UN30</f>
        <v/>
      </c>
      <c r="UP29">
        <f>UO30</f>
        <v/>
      </c>
      <c r="UQ29">
        <f>UP30</f>
        <v/>
      </c>
      <c r="UR29">
        <f>UQ30</f>
        <v/>
      </c>
      <c r="US29">
        <f>UR30</f>
        <v/>
      </c>
      <c r="UT29">
        <f>US30</f>
        <v/>
      </c>
      <c r="UU29">
        <f>UT30</f>
        <v/>
      </c>
      <c r="UV29">
        <f>UU30</f>
        <v/>
      </c>
      <c r="UW29">
        <f>UV30</f>
        <v/>
      </c>
      <c r="UX29">
        <f>UW30</f>
        <v/>
      </c>
      <c r="UY29" s="127" t="n">
        <v>0</v>
      </c>
      <c r="UZ29" s="89">
        <f>UX30</f>
        <v/>
      </c>
      <c r="VA29" s="89">
        <f>UZ30</f>
        <v/>
      </c>
      <c r="VB29" s="89">
        <f>VA30</f>
        <v/>
      </c>
      <c r="VC29" s="89">
        <f>VB30</f>
        <v/>
      </c>
      <c r="VD29" s="89">
        <f>VC30</f>
        <v/>
      </c>
      <c r="VE29" s="89">
        <f>VD30</f>
        <v/>
      </c>
      <c r="VF29" s="89">
        <f>VE30</f>
        <v/>
      </c>
      <c r="VG29" s="89">
        <f>VF30</f>
        <v/>
      </c>
      <c r="VH29" s="89">
        <f>VG30</f>
        <v/>
      </c>
      <c r="VI29" s="89">
        <f>VH30</f>
        <v/>
      </c>
      <c r="VJ29" s="89">
        <f>VI30</f>
        <v/>
      </c>
      <c r="VK29" s="89">
        <f>VJ30</f>
        <v/>
      </c>
      <c r="VL29" s="89">
        <f>VK30</f>
        <v/>
      </c>
      <c r="VM29" s="89">
        <f>VL30</f>
        <v/>
      </c>
      <c r="VN29" s="89">
        <f>VM30</f>
        <v/>
      </c>
      <c r="VO29" s="89">
        <f>VN30</f>
        <v/>
      </c>
      <c r="VP29" s="89">
        <f>VO30</f>
        <v/>
      </c>
      <c r="VQ29" s="89">
        <f>VP30</f>
        <v/>
      </c>
      <c r="VR29" s="89">
        <f>VQ30</f>
        <v/>
      </c>
      <c r="VS29" s="89">
        <f>VR30</f>
        <v/>
      </c>
      <c r="VT29" s="89">
        <f>VS30</f>
        <v/>
      </c>
      <c r="VU29" s="89">
        <f>VT30</f>
        <v/>
      </c>
      <c r="VV29" s="89">
        <f>VU30</f>
        <v/>
      </c>
      <c r="VW29" s="89">
        <f>VV30</f>
        <v/>
      </c>
      <c r="VX29" s="89">
        <f>VW30</f>
        <v/>
      </c>
      <c r="VY29" s="89">
        <f>VX30</f>
        <v/>
      </c>
      <c r="VZ29" s="89">
        <f>VY30</f>
        <v/>
      </c>
      <c r="WA29" s="89">
        <f>VZ30</f>
        <v/>
      </c>
      <c r="WB29" s="127" t="n">
        <v>0</v>
      </c>
      <c r="WC29" s="89">
        <f>WA30</f>
        <v/>
      </c>
      <c r="WD29" s="89">
        <f>WC30</f>
        <v/>
      </c>
      <c r="WE29" s="89">
        <f>WD30</f>
        <v/>
      </c>
      <c r="WF29" s="89">
        <f>WE30</f>
        <v/>
      </c>
      <c r="WG29" s="89">
        <f>WF30</f>
        <v/>
      </c>
      <c r="WH29" s="89">
        <f>WG30</f>
        <v/>
      </c>
      <c r="WI29" s="89">
        <f>WH30</f>
        <v/>
      </c>
      <c r="WJ29" s="89">
        <f>WI30</f>
        <v/>
      </c>
      <c r="WK29" s="89">
        <f>WJ30</f>
        <v/>
      </c>
      <c r="WL29" s="89">
        <f>WK30</f>
        <v/>
      </c>
      <c r="WM29" s="89">
        <f>WL30</f>
        <v/>
      </c>
      <c r="WN29" s="89">
        <f>WM30</f>
        <v/>
      </c>
      <c r="WO29" s="89">
        <f>WN30</f>
        <v/>
      </c>
      <c r="WP29" s="89">
        <f>WO30</f>
        <v/>
      </c>
      <c r="WQ29" s="89">
        <f>WP30</f>
        <v/>
      </c>
      <c r="WR29" s="89">
        <f>WQ30</f>
        <v/>
      </c>
      <c r="WS29" s="89">
        <f>WR30</f>
        <v/>
      </c>
      <c r="WT29" s="89">
        <f>WS30</f>
        <v/>
      </c>
      <c r="WU29" s="89">
        <f>WT30</f>
        <v/>
      </c>
      <c r="WV29" s="89">
        <f>WU30</f>
        <v/>
      </c>
      <c r="WW29" s="89">
        <f>WV30</f>
        <v/>
      </c>
      <c r="WX29" s="89">
        <f>WW30</f>
        <v/>
      </c>
      <c r="WY29" s="89">
        <f>WX30</f>
        <v/>
      </c>
      <c r="WZ29" s="89">
        <f>WY30</f>
        <v/>
      </c>
      <c r="XA29" s="89">
        <f>WZ30</f>
        <v/>
      </c>
      <c r="XB29" s="89">
        <f>XA30</f>
        <v/>
      </c>
      <c r="XC29" s="89">
        <f>XB30</f>
        <v/>
      </c>
      <c r="XD29" s="89">
        <f>XC30</f>
        <v/>
      </c>
      <c r="XE29" s="89">
        <f>XD30</f>
        <v/>
      </c>
      <c r="XF29" s="89">
        <f>XE30</f>
        <v/>
      </c>
      <c r="XG29" s="89">
        <f>XF30</f>
        <v/>
      </c>
      <c r="XH29" s="127" t="n">
        <v>0</v>
      </c>
      <c r="XI29" s="89">
        <f>XG30</f>
        <v/>
      </c>
      <c r="XJ29" s="89">
        <f>XI30</f>
        <v/>
      </c>
      <c r="XK29" s="89">
        <f>XJ30</f>
        <v/>
      </c>
      <c r="XL29" s="89">
        <f>XK30</f>
        <v/>
      </c>
      <c r="XM29" s="89">
        <f>XL30</f>
        <v/>
      </c>
      <c r="XN29" s="89">
        <f>XM30</f>
        <v/>
      </c>
      <c r="XO29" s="89">
        <f>XN30</f>
        <v/>
      </c>
      <c r="XP29" s="89">
        <f>XO30</f>
        <v/>
      </c>
      <c r="XQ29" s="89">
        <f>XP30</f>
        <v/>
      </c>
      <c r="XR29" s="89">
        <f>XQ30</f>
        <v/>
      </c>
      <c r="XS29" s="89">
        <f>XR30</f>
        <v/>
      </c>
      <c r="XT29" s="89">
        <f>XS30</f>
        <v/>
      </c>
      <c r="XU29" s="89">
        <f>XT30</f>
        <v/>
      </c>
      <c r="XV29" s="89">
        <f>XU30</f>
        <v/>
      </c>
      <c r="XW29" s="89">
        <f>XV30</f>
        <v/>
      </c>
      <c r="XX29" s="89">
        <f>XW30</f>
        <v/>
      </c>
      <c r="XY29" s="89">
        <f>XX30</f>
        <v/>
      </c>
      <c r="XZ29" s="89">
        <f>XY30</f>
        <v/>
      </c>
      <c r="YA29" s="89">
        <f>XZ30</f>
        <v/>
      </c>
      <c r="YB29" s="89">
        <f>YA30</f>
        <v/>
      </c>
      <c r="YC29" s="89">
        <f>YB30</f>
        <v/>
      </c>
      <c r="YD29" s="89">
        <f>YC30</f>
        <v/>
      </c>
      <c r="YE29" s="89">
        <f>YD30</f>
        <v/>
      </c>
      <c r="YF29" s="89">
        <f>YE30</f>
        <v/>
      </c>
      <c r="YG29" s="89">
        <f>YF30</f>
        <v/>
      </c>
      <c r="YH29" s="89">
        <f>YG30</f>
        <v/>
      </c>
      <c r="YI29" s="89">
        <f>YH30</f>
        <v/>
      </c>
      <c r="YJ29" s="89">
        <f>YI30</f>
        <v/>
      </c>
      <c r="YK29" s="89">
        <f>YJ30</f>
        <v/>
      </c>
      <c r="YL29" s="89">
        <f>YK30</f>
        <v/>
      </c>
      <c r="YM29" s="127" t="n">
        <v>0</v>
      </c>
      <c r="YN29" s="89">
        <f>YL30</f>
        <v/>
      </c>
      <c r="YO29" s="89">
        <f>YN30</f>
        <v/>
      </c>
      <c r="YP29" s="89">
        <f>YO30</f>
        <v/>
      </c>
      <c r="YQ29" s="89">
        <f>YP30</f>
        <v/>
      </c>
      <c r="YR29" s="89">
        <f>YQ30</f>
        <v/>
      </c>
      <c r="YS29" s="89">
        <f>YR30</f>
        <v/>
      </c>
      <c r="YT29" s="89">
        <f>YS30</f>
        <v/>
      </c>
      <c r="YU29" s="89">
        <f>YT30</f>
        <v/>
      </c>
      <c r="YV29" s="89">
        <f>YU30</f>
        <v/>
      </c>
      <c r="YW29" s="89">
        <f>YV30</f>
        <v/>
      </c>
      <c r="YX29" s="89">
        <f>YW30</f>
        <v/>
      </c>
      <c r="YY29" s="89">
        <f>YX30</f>
        <v/>
      </c>
      <c r="YZ29" s="89">
        <f>YY30</f>
        <v/>
      </c>
      <c r="ZA29" s="89">
        <f>YZ30</f>
        <v/>
      </c>
      <c r="ZB29" s="89">
        <f>ZA30</f>
        <v/>
      </c>
      <c r="ZC29" s="89">
        <f>ZB30</f>
        <v/>
      </c>
      <c r="ZD29" s="89">
        <f>ZC30</f>
        <v/>
      </c>
      <c r="ZE29" s="89">
        <f>ZD30</f>
        <v/>
      </c>
      <c r="ZF29" s="89">
        <f>ZE30</f>
        <v/>
      </c>
      <c r="ZG29" s="89">
        <f>ZF30</f>
        <v/>
      </c>
      <c r="ZH29" s="89">
        <f>ZG30</f>
        <v/>
      </c>
      <c r="ZI29" s="89">
        <f>ZH30</f>
        <v/>
      </c>
      <c r="ZJ29" s="89">
        <f>ZI30</f>
        <v/>
      </c>
      <c r="ZK29" s="89">
        <f>ZJ30</f>
        <v/>
      </c>
      <c r="ZL29" s="89">
        <f>ZK30</f>
        <v/>
      </c>
      <c r="ZM29" s="89">
        <f>ZL30</f>
        <v/>
      </c>
      <c r="ZN29" s="89">
        <f>ZM30</f>
        <v/>
      </c>
      <c r="ZO29" s="89">
        <f>ZN30</f>
        <v/>
      </c>
      <c r="ZP29" s="89">
        <f>ZO30</f>
        <v/>
      </c>
      <c r="ZQ29" s="89">
        <f>ZP30</f>
        <v/>
      </c>
      <c r="ZR29" s="89">
        <f>ZQ30</f>
        <v/>
      </c>
      <c r="ZS29" s="127" t="n">
        <v>0</v>
      </c>
      <c r="ZT29" s="89">
        <f>ZR30</f>
        <v/>
      </c>
      <c r="ZU29" s="89">
        <f>ZT30</f>
        <v/>
      </c>
      <c r="ZV29" s="89">
        <f>ZU30</f>
        <v/>
      </c>
      <c r="ZW29" s="89">
        <f>ZV30</f>
        <v/>
      </c>
      <c r="ZX29" s="89">
        <f>ZW30</f>
        <v/>
      </c>
      <c r="ZY29" s="89">
        <f>ZX30</f>
        <v/>
      </c>
      <c r="ZZ29" s="89">
        <f>ZY30</f>
        <v/>
      </c>
      <c r="AAA29" s="89">
        <f>ZZ30</f>
        <v/>
      </c>
      <c r="AAB29" s="89">
        <f>AAA30</f>
        <v/>
      </c>
      <c r="AAC29" s="89">
        <f>AAB30</f>
        <v/>
      </c>
      <c r="AAD29" s="89">
        <f>AAC30</f>
        <v/>
      </c>
      <c r="AAE29" s="89">
        <f>AAD30</f>
        <v/>
      </c>
      <c r="AAF29" s="89">
        <f>AAE30</f>
        <v/>
      </c>
      <c r="AAG29" s="89">
        <f>AAF30</f>
        <v/>
      </c>
      <c r="AAH29" s="89">
        <f>AAG30</f>
        <v/>
      </c>
      <c r="AAI29" s="89">
        <f>AAH30</f>
        <v/>
      </c>
      <c r="AAJ29" s="89">
        <f>AAI30</f>
        <v/>
      </c>
      <c r="AAK29" s="89">
        <f>AAJ30</f>
        <v/>
      </c>
      <c r="AAL29" s="89">
        <f>AAK30</f>
        <v/>
      </c>
      <c r="AAM29" s="89">
        <f>AAL30</f>
        <v/>
      </c>
      <c r="AAN29" s="89">
        <f>AAM30</f>
        <v/>
      </c>
      <c r="AAO29" s="89">
        <f>AAN30</f>
        <v/>
      </c>
      <c r="AAP29" s="89">
        <f>AAO30</f>
        <v/>
      </c>
      <c r="AAQ29" s="89">
        <f>AAP30</f>
        <v/>
      </c>
      <c r="AAR29" s="89">
        <f>AAQ30</f>
        <v/>
      </c>
      <c r="AAS29" s="89">
        <f>AAR30</f>
        <v/>
      </c>
      <c r="AAT29" s="89">
        <f>AAS30</f>
        <v/>
      </c>
      <c r="AAU29" s="89">
        <f>AAT30</f>
        <v/>
      </c>
      <c r="AAV29" s="89">
        <f>AAU30</f>
        <v/>
      </c>
      <c r="AAW29" s="89">
        <f>AAV30</f>
        <v/>
      </c>
      <c r="AAX29" s="127" t="n">
        <v>0</v>
      </c>
      <c r="AAY29" s="89">
        <f>AAW30</f>
        <v/>
      </c>
      <c r="AAZ29" s="89">
        <f>AAY30</f>
        <v/>
      </c>
      <c r="ABA29" s="89">
        <f>AAZ30</f>
        <v/>
      </c>
      <c r="ABB29" s="89">
        <f>ABA30</f>
        <v/>
      </c>
      <c r="ABC29" s="89">
        <f>ABB30</f>
        <v/>
      </c>
      <c r="ABD29" s="89">
        <f>ABC30</f>
        <v/>
      </c>
      <c r="ABE29" s="89">
        <f>ABD30</f>
        <v/>
      </c>
      <c r="ABF29" s="89">
        <f>ABE30</f>
        <v/>
      </c>
      <c r="ABG29" s="89">
        <f>ABF30</f>
        <v/>
      </c>
      <c r="ABH29" s="89">
        <f>ABG30</f>
        <v/>
      </c>
      <c r="ABI29" s="89">
        <f>ABH30</f>
        <v/>
      </c>
      <c r="ABJ29" s="89">
        <f>ABI30</f>
        <v/>
      </c>
      <c r="ABK29" s="89">
        <f>ABJ30</f>
        <v/>
      </c>
      <c r="ABL29" s="89">
        <f>ABK30</f>
        <v/>
      </c>
      <c r="ABM29" s="89">
        <f>ABL30</f>
        <v/>
      </c>
      <c r="ABN29" s="89">
        <f>ABM30</f>
        <v/>
      </c>
      <c r="ABO29" s="89">
        <f>ABN30</f>
        <v/>
      </c>
      <c r="ABP29" s="89">
        <f>ABO30</f>
        <v/>
      </c>
      <c r="ABQ29" s="89">
        <f>ABP30</f>
        <v/>
      </c>
      <c r="ABR29" s="89">
        <f>ABQ30</f>
        <v/>
      </c>
      <c r="ABS29" s="89">
        <f>ABR30</f>
        <v/>
      </c>
      <c r="ABT29" s="89">
        <f>ABS30</f>
        <v/>
      </c>
      <c r="ABU29" s="89">
        <f>ABT30</f>
        <v/>
      </c>
      <c r="ABV29" s="89">
        <f>ABU30</f>
        <v/>
      </c>
      <c r="ABW29" s="89">
        <f>ABV30</f>
        <v/>
      </c>
      <c r="ABX29" s="89">
        <f>ABW30</f>
        <v/>
      </c>
      <c r="ABY29" s="89">
        <f>ABX30</f>
        <v/>
      </c>
      <c r="ABZ29" s="89">
        <f>ABY30</f>
        <v/>
      </c>
      <c r="ACA29" s="89">
        <f>ABZ30</f>
        <v/>
      </c>
      <c r="ACB29" s="89">
        <f>ACA30</f>
        <v/>
      </c>
      <c r="ACC29" s="89">
        <f>ACB30</f>
        <v/>
      </c>
      <c r="ACD29" s="127" t="n">
        <v>0</v>
      </c>
      <c r="ACE29" s="89">
        <f>ACC30</f>
        <v/>
      </c>
      <c r="ACF29" s="89">
        <f>ACE30</f>
        <v/>
      </c>
      <c r="ACG29" s="89">
        <f>ACF30</f>
        <v/>
      </c>
      <c r="ACH29" s="89">
        <f>ACG30</f>
        <v/>
      </c>
      <c r="ACI29" s="89">
        <f>ACH30</f>
        <v/>
      </c>
      <c r="ACJ29" s="89">
        <f>ACI30</f>
        <v/>
      </c>
      <c r="ACK29" s="89">
        <f>ACJ30</f>
        <v/>
      </c>
      <c r="ACL29" s="89">
        <f>ACK30</f>
        <v/>
      </c>
      <c r="ACM29" s="89">
        <f>ACL30</f>
        <v/>
      </c>
      <c r="ACN29" s="89">
        <f>ACM30</f>
        <v/>
      </c>
      <c r="ACO29" s="89">
        <f>ACN30</f>
        <v/>
      </c>
      <c r="ACP29" s="89">
        <f>ACO30</f>
        <v/>
      </c>
      <c r="ACQ29" s="89">
        <f>ACP30</f>
        <v/>
      </c>
      <c r="ACR29" s="89">
        <f>ACQ30</f>
        <v/>
      </c>
      <c r="ACS29" s="89">
        <f>ACR30</f>
        <v/>
      </c>
      <c r="ACT29" s="89">
        <f>ACS30</f>
        <v/>
      </c>
      <c r="ACU29" s="89">
        <f>ACT30</f>
        <v/>
      </c>
      <c r="ACV29" s="89">
        <f>ACU30</f>
        <v/>
      </c>
      <c r="ACW29" s="89">
        <f>ACV30</f>
        <v/>
      </c>
      <c r="ACX29" s="89">
        <f>ACW30</f>
        <v/>
      </c>
      <c r="ACY29" s="89">
        <f>ACX30</f>
        <v/>
      </c>
      <c r="ACZ29" s="89">
        <f>ACY30</f>
        <v/>
      </c>
      <c r="ADA29" s="89">
        <f>ACZ30</f>
        <v/>
      </c>
      <c r="ADB29" s="89">
        <f>ADA30</f>
        <v/>
      </c>
      <c r="ADC29" s="89">
        <f>ADB30</f>
        <v/>
      </c>
      <c r="ADD29" s="89">
        <f>ADC30</f>
        <v/>
      </c>
      <c r="ADE29" s="89">
        <f>ADD30</f>
        <v/>
      </c>
      <c r="ADF29" s="89">
        <f>ADE30</f>
        <v/>
      </c>
      <c r="ADG29" s="89">
        <f>ADF30</f>
        <v/>
      </c>
      <c r="ADH29" s="89">
        <f>ADG30</f>
        <v/>
      </c>
      <c r="ADI29" s="89">
        <f>ADH30</f>
        <v/>
      </c>
      <c r="ADJ29" s="127" t="n">
        <v>0</v>
      </c>
      <c r="ADK29" s="89">
        <f>ADI30</f>
        <v/>
      </c>
      <c r="ADL29" s="89">
        <f>ADK30</f>
        <v/>
      </c>
      <c r="ADM29" s="89">
        <f>ADL30</f>
        <v/>
      </c>
      <c r="ADN29" s="89">
        <f>ADM30</f>
        <v/>
      </c>
      <c r="ADO29" s="89">
        <f>ADN30</f>
        <v/>
      </c>
      <c r="ADP29" s="89">
        <f>ADO30</f>
        <v/>
      </c>
      <c r="ADQ29" s="89">
        <f>ADP30</f>
        <v/>
      </c>
      <c r="ADR29" s="89">
        <f>ADQ30</f>
        <v/>
      </c>
      <c r="ADS29" s="89">
        <f>ADR30</f>
        <v/>
      </c>
      <c r="ADT29" s="89">
        <f>ADS30</f>
        <v/>
      </c>
      <c r="ADU29" s="89">
        <f>ADT30</f>
        <v/>
      </c>
      <c r="ADV29" s="89">
        <f>ADU30</f>
        <v/>
      </c>
      <c r="ADW29" s="89">
        <f>ADV30</f>
        <v/>
      </c>
      <c r="ADX29" s="89">
        <f>ADW30</f>
        <v/>
      </c>
      <c r="ADY29" s="89">
        <f>ADX30</f>
        <v/>
      </c>
      <c r="ADZ29" s="89">
        <f>ADY30</f>
        <v/>
      </c>
      <c r="AEA29" s="89">
        <f>ADZ30</f>
        <v/>
      </c>
      <c r="AEB29" s="89">
        <f>AEA30</f>
        <v/>
      </c>
      <c r="AEC29" s="89">
        <f>AEB30</f>
        <v/>
      </c>
      <c r="AED29" s="89">
        <f>AEC30</f>
        <v/>
      </c>
      <c r="AEE29" s="89">
        <f>AED30</f>
        <v/>
      </c>
      <c r="AEF29" s="89">
        <f>AEE30</f>
        <v/>
      </c>
      <c r="AEG29" s="89">
        <f>AEF30</f>
        <v/>
      </c>
      <c r="AEH29" s="89">
        <f>AEG30</f>
        <v/>
      </c>
      <c r="AEI29" s="89">
        <f>AEH30</f>
        <v/>
      </c>
      <c r="AEJ29" s="89">
        <f>AEI30</f>
        <v/>
      </c>
      <c r="AEK29" s="89">
        <f>AEJ30</f>
        <v/>
      </c>
      <c r="AEL29" s="89">
        <f>AEK30</f>
        <v/>
      </c>
      <c r="AEM29" s="89">
        <f>AEL30</f>
        <v/>
      </c>
      <c r="AEN29" s="89">
        <f>AEM30</f>
        <v/>
      </c>
      <c r="AEO29" s="127" t="n">
        <v>0</v>
      </c>
      <c r="AEP29" s="89">
        <f>AEN30</f>
        <v/>
      </c>
      <c r="AEQ29" s="89">
        <f>AEP30</f>
        <v/>
      </c>
      <c r="AER29" s="89">
        <f>AEQ30</f>
        <v/>
      </c>
      <c r="AES29" s="89">
        <f>AER30</f>
        <v/>
      </c>
      <c r="AET29" s="89">
        <f>AES30</f>
        <v/>
      </c>
      <c r="AEU29" s="89">
        <f>AET30</f>
        <v/>
      </c>
      <c r="AEV29" s="89">
        <f>AEU30</f>
        <v/>
      </c>
      <c r="AEW29" s="89">
        <f>AEV30</f>
        <v/>
      </c>
      <c r="AEX29" s="89">
        <f>AEW30</f>
        <v/>
      </c>
      <c r="AEY29" s="89">
        <f>AEX30</f>
        <v/>
      </c>
      <c r="AEZ29" s="89">
        <f>AEY30</f>
        <v/>
      </c>
      <c r="AFA29" s="89">
        <f>AEZ30</f>
        <v/>
      </c>
      <c r="AFB29" s="89">
        <f>AFA30</f>
        <v/>
      </c>
      <c r="AFC29" s="89">
        <f>AFB30</f>
        <v/>
      </c>
      <c r="AFD29" s="89">
        <f>AFC30</f>
        <v/>
      </c>
      <c r="AFE29" s="89">
        <f>AFD30</f>
        <v/>
      </c>
      <c r="AFF29" s="89">
        <f>AFE30</f>
        <v/>
      </c>
      <c r="AFG29" s="89">
        <f>AFF30</f>
        <v/>
      </c>
      <c r="AFH29" s="89">
        <f>AFG30</f>
        <v/>
      </c>
      <c r="AFI29" s="89">
        <f>AFH30</f>
        <v/>
      </c>
      <c r="AFJ29" s="89">
        <f>AFI30</f>
        <v/>
      </c>
      <c r="AFK29" s="89">
        <f>AFJ30</f>
        <v/>
      </c>
      <c r="AFL29" s="89">
        <f>AFK30</f>
        <v/>
      </c>
      <c r="AFM29" s="89">
        <f>AFL30</f>
        <v/>
      </c>
      <c r="AFN29" s="89">
        <f>AFM30</f>
        <v/>
      </c>
      <c r="AFO29" s="89">
        <f>AFN30</f>
        <v/>
      </c>
      <c r="AFP29" s="89">
        <f>AFO30</f>
        <v/>
      </c>
      <c r="AFQ29" s="89">
        <f>AFP30</f>
        <v/>
      </c>
      <c r="AFR29" s="89">
        <f>AFQ30</f>
        <v/>
      </c>
      <c r="AFS29" s="89">
        <f>AFR30</f>
        <v/>
      </c>
      <c r="AFT29" s="89">
        <f>AFS30</f>
        <v/>
      </c>
      <c r="AFU29" s="127" t="n">
        <v>0</v>
      </c>
      <c r="AFV29" s="89">
        <f>AFT30</f>
        <v/>
      </c>
      <c r="AFW29" s="89">
        <f>AFV30</f>
        <v/>
      </c>
      <c r="AFX29" s="89">
        <f>AFW30</f>
        <v/>
      </c>
      <c r="AFY29" s="89">
        <f>AFX30</f>
        <v/>
      </c>
      <c r="AFZ29" s="89">
        <f>AFY30</f>
        <v/>
      </c>
      <c r="AGA29" s="89">
        <f>AFZ30</f>
        <v/>
      </c>
      <c r="AGB29" s="89">
        <f>AGA30</f>
        <v/>
      </c>
      <c r="AGC29" s="89">
        <f>AGB30</f>
        <v/>
      </c>
      <c r="AGD29" s="89">
        <f>AGC30</f>
        <v/>
      </c>
      <c r="AGE29" s="89">
        <f>AGD30</f>
        <v/>
      </c>
      <c r="AGF29" s="89">
        <f>AGE30</f>
        <v/>
      </c>
      <c r="AGG29" s="89">
        <f>AGF30</f>
        <v/>
      </c>
      <c r="AGH29" s="89">
        <f>AGG30</f>
        <v/>
      </c>
      <c r="AGI29" s="89">
        <f>AGH30</f>
        <v/>
      </c>
      <c r="AGJ29" s="89">
        <f>AGI30</f>
        <v/>
      </c>
      <c r="AGK29" s="89">
        <f>AGJ30</f>
        <v/>
      </c>
      <c r="AGL29" s="89">
        <f>AGK30</f>
        <v/>
      </c>
      <c r="AGM29" s="89">
        <f>AGL30</f>
        <v/>
      </c>
      <c r="AGN29" s="89">
        <f>AGM30</f>
        <v/>
      </c>
      <c r="AGO29" s="89">
        <f>AGN30</f>
        <v/>
      </c>
      <c r="AGP29" s="89">
        <f>AGO30</f>
        <v/>
      </c>
      <c r="AGQ29" s="89">
        <f>AGP30</f>
        <v/>
      </c>
      <c r="AGR29" s="89">
        <f>AGQ30</f>
        <v/>
      </c>
      <c r="AGS29" s="89">
        <f>AGR30</f>
        <v/>
      </c>
      <c r="AGT29" s="89">
        <f>AGS30</f>
        <v/>
      </c>
      <c r="AGU29" s="89">
        <f>AGT30</f>
        <v/>
      </c>
      <c r="AGV29" s="89">
        <f>AGU30</f>
        <v/>
      </c>
      <c r="AGW29" s="89">
        <f>AGV30</f>
        <v/>
      </c>
      <c r="AGX29" s="89">
        <f>AGW30</f>
        <v/>
      </c>
      <c r="AGY29" s="89">
        <f>AGX30</f>
        <v/>
      </c>
      <c r="AGZ29" s="127" t="n">
        <v>0</v>
      </c>
      <c r="AHA29" s="89">
        <f>AGY30</f>
        <v/>
      </c>
      <c r="AHB29" s="89">
        <f>AHA30</f>
        <v/>
      </c>
      <c r="AHC29" s="89">
        <f>AHB30</f>
        <v/>
      </c>
      <c r="AHD29" s="89">
        <f>AHC30</f>
        <v/>
      </c>
      <c r="AHE29" s="89">
        <f>AHD30</f>
        <v/>
      </c>
      <c r="AHF29" s="89">
        <f>AHE30</f>
        <v/>
      </c>
      <c r="AHG29" s="89">
        <f>AHF30</f>
        <v/>
      </c>
      <c r="AHH29" s="89">
        <f>AHG30</f>
        <v/>
      </c>
      <c r="AHI29" s="89">
        <f>AHH30</f>
        <v/>
      </c>
      <c r="AHJ29" s="89">
        <f>AHI30</f>
        <v/>
      </c>
      <c r="AHK29" s="89">
        <f>AHJ30</f>
        <v/>
      </c>
      <c r="AHL29" s="89">
        <f>AHK30</f>
        <v/>
      </c>
      <c r="AHM29" s="89">
        <f>AHL30</f>
        <v/>
      </c>
      <c r="AHN29" s="89">
        <f>AHM30</f>
        <v/>
      </c>
      <c r="AHO29" s="89">
        <f>AHN30</f>
        <v/>
      </c>
      <c r="AHP29" s="89">
        <f>AHO30</f>
        <v/>
      </c>
      <c r="AHQ29" s="89">
        <f>AHP30</f>
        <v/>
      </c>
      <c r="AHR29" s="89">
        <f>AHQ30</f>
        <v/>
      </c>
      <c r="AHS29" s="89">
        <f>AHR30</f>
        <v/>
      </c>
      <c r="AHT29" s="89">
        <f>AHS30</f>
        <v/>
      </c>
      <c r="AHU29" s="89">
        <f>AHT30</f>
        <v/>
      </c>
      <c r="AHV29" s="89">
        <f>AHU30</f>
        <v/>
      </c>
      <c r="AHW29" s="89">
        <f>AHV30</f>
        <v/>
      </c>
      <c r="AHX29" s="89">
        <f>AHW30</f>
        <v/>
      </c>
      <c r="AHY29" s="89">
        <f>AHX30</f>
        <v/>
      </c>
      <c r="AHZ29" s="89">
        <f>AHY30</f>
        <v/>
      </c>
      <c r="AIA29" s="89">
        <f>AHZ30</f>
        <v/>
      </c>
      <c r="AIB29" s="89">
        <f>AIA30</f>
        <v/>
      </c>
      <c r="AIC29" s="89">
        <f>AIB30</f>
        <v/>
      </c>
      <c r="AID29" s="89">
        <f>AIC30</f>
        <v/>
      </c>
      <c r="AIE29" s="89">
        <f>AID30</f>
        <v/>
      </c>
      <c r="AIF29" s="127" t="n">
        <v>0</v>
      </c>
      <c r="AIG29" s="89">
        <f>AIE30</f>
        <v/>
      </c>
      <c r="AIH29" s="89">
        <f>AIG30</f>
        <v/>
      </c>
      <c r="AII29" s="89">
        <f>AIH30</f>
        <v/>
      </c>
      <c r="AIJ29" s="89">
        <f>AII30</f>
        <v/>
      </c>
      <c r="AIK29" s="89">
        <f>AIJ30</f>
        <v/>
      </c>
      <c r="AIL29" s="89">
        <f>AIK30</f>
        <v/>
      </c>
      <c r="AIM29" s="89">
        <f>AIL30</f>
        <v/>
      </c>
      <c r="AIN29" s="89">
        <f>AIM30</f>
        <v/>
      </c>
      <c r="AIO29" s="89">
        <f>AIN30</f>
        <v/>
      </c>
      <c r="AIP29" s="89">
        <f>AIO30</f>
        <v/>
      </c>
      <c r="AIQ29" s="89">
        <f>AIP30</f>
        <v/>
      </c>
      <c r="AIR29" s="89">
        <f>AIQ30</f>
        <v/>
      </c>
      <c r="AIS29" s="89">
        <f>AIR30</f>
        <v/>
      </c>
      <c r="AIT29" s="89">
        <f>AIS30</f>
        <v/>
      </c>
      <c r="AIU29" s="89">
        <f>AIT30</f>
        <v/>
      </c>
      <c r="AIV29" s="89">
        <f>AIU30</f>
        <v/>
      </c>
      <c r="AIW29" s="89">
        <f>AIV30</f>
        <v/>
      </c>
      <c r="AIX29" s="89">
        <f>AIW30</f>
        <v/>
      </c>
      <c r="AIY29" s="89">
        <f>AIX30</f>
        <v/>
      </c>
      <c r="AIZ29" s="89">
        <f>AIY30</f>
        <v/>
      </c>
      <c r="AJA29" s="89">
        <f>AIZ30</f>
        <v/>
      </c>
      <c r="AJB29" s="89">
        <f>AJA30</f>
        <v/>
      </c>
      <c r="AJC29" s="89">
        <f>AJB30</f>
        <v/>
      </c>
      <c r="AJD29" s="89">
        <f>AJC30</f>
        <v/>
      </c>
      <c r="AJE29" s="89">
        <f>AJD30</f>
        <v/>
      </c>
      <c r="AJF29" s="89">
        <f>AJE30</f>
        <v/>
      </c>
      <c r="AJG29" s="89">
        <f>AJF30</f>
        <v/>
      </c>
      <c r="AJH29" s="89">
        <f>AJG30</f>
        <v/>
      </c>
      <c r="AJI29" s="89">
        <f>AJH30</f>
        <v/>
      </c>
      <c r="AJJ29" s="89">
        <f>AJI30</f>
        <v/>
      </c>
      <c r="AJK29" s="89">
        <f>AJJ30</f>
        <v/>
      </c>
      <c r="AJL29" s="127" t="n">
        <v>0</v>
      </c>
      <c r="AJM29" s="89">
        <f>AJK30</f>
        <v/>
      </c>
      <c r="AJN29" s="89">
        <f>AJM30</f>
        <v/>
      </c>
      <c r="AJO29" s="89">
        <f>AJN30</f>
        <v/>
      </c>
      <c r="AJP29" s="89">
        <f>AJO30</f>
        <v/>
      </c>
      <c r="AJQ29" s="89">
        <f>AJP30</f>
        <v/>
      </c>
      <c r="AJR29" s="89">
        <f>AJQ30</f>
        <v/>
      </c>
      <c r="AJS29" s="89">
        <f>AJR30</f>
        <v/>
      </c>
      <c r="AJT29" s="89">
        <f>AJS30</f>
        <v/>
      </c>
      <c r="AJU29" s="89">
        <f>AJT30</f>
        <v/>
      </c>
      <c r="AJV29" s="89">
        <f>AJU30</f>
        <v/>
      </c>
      <c r="AJW29" s="89">
        <f>AJV30</f>
        <v/>
      </c>
      <c r="AJX29" s="89">
        <f>AJW30</f>
        <v/>
      </c>
      <c r="AJY29" s="89">
        <f>AJX30</f>
        <v/>
      </c>
      <c r="AJZ29" s="89">
        <f>AJY30</f>
        <v/>
      </c>
      <c r="AKA29" s="89">
        <f>AJZ30</f>
        <v/>
      </c>
      <c r="AKB29" s="89">
        <f>AKA30</f>
        <v/>
      </c>
      <c r="AKC29" s="89">
        <f>AKB30</f>
        <v/>
      </c>
      <c r="AKD29" s="89">
        <f>AKC30</f>
        <v/>
      </c>
      <c r="AKE29" s="89">
        <f>AKD30</f>
        <v/>
      </c>
      <c r="AKF29" s="89">
        <f>AKE30</f>
        <v/>
      </c>
      <c r="AKG29" s="89">
        <f>AKF30</f>
        <v/>
      </c>
      <c r="AKH29" s="89">
        <f>AKG30</f>
        <v/>
      </c>
      <c r="AKI29" s="89">
        <f>AKH30</f>
        <v/>
      </c>
      <c r="AKJ29" s="89">
        <f>AKI30</f>
        <v/>
      </c>
      <c r="AKK29" s="89">
        <f>AKJ30</f>
        <v/>
      </c>
      <c r="AKL29" s="89">
        <f>AKK30</f>
        <v/>
      </c>
      <c r="AKM29" s="89">
        <f>AKL30</f>
        <v/>
      </c>
      <c r="AKN29" s="89">
        <f>AKM30</f>
        <v/>
      </c>
      <c r="AKO29" s="127" t="n">
        <v>0</v>
      </c>
      <c r="AKP29" s="89">
        <f>AKN30</f>
        <v/>
      </c>
      <c r="AKQ29" s="89">
        <f>AKP30</f>
        <v/>
      </c>
      <c r="AKR29" s="89">
        <f>AKQ30</f>
        <v/>
      </c>
      <c r="AKS29" s="89">
        <f>AKR30</f>
        <v/>
      </c>
      <c r="AKT29" s="89">
        <f>AKS30</f>
        <v/>
      </c>
      <c r="AKU29" s="89">
        <f>AKT30</f>
        <v/>
      </c>
      <c r="AKV29" s="89">
        <f>AKU30</f>
        <v/>
      </c>
      <c r="AKW29" s="89">
        <f>AKV30</f>
        <v/>
      </c>
      <c r="AKX29" s="89">
        <f>AKW30</f>
        <v/>
      </c>
      <c r="AKY29" s="89">
        <f>AKX30</f>
        <v/>
      </c>
      <c r="AKZ29" s="89">
        <f>AKY30</f>
        <v/>
      </c>
      <c r="ALA29" s="89">
        <f>AKZ30</f>
        <v/>
      </c>
      <c r="ALB29" s="89">
        <f>ALA30</f>
        <v/>
      </c>
      <c r="ALC29" s="89">
        <f>ALB30</f>
        <v/>
      </c>
      <c r="ALD29" s="89">
        <f>ALC30</f>
        <v/>
      </c>
      <c r="ALE29" s="89">
        <f>ALD30</f>
        <v/>
      </c>
      <c r="ALF29" s="89">
        <f>ALE30</f>
        <v/>
      </c>
      <c r="ALG29" s="89">
        <f>ALF30</f>
        <v/>
      </c>
      <c r="ALH29" s="89">
        <f>ALG30</f>
        <v/>
      </c>
      <c r="ALI29" s="89">
        <f>ALH30</f>
        <v/>
      </c>
      <c r="ALJ29" s="89">
        <f>ALI30</f>
        <v/>
      </c>
      <c r="ALK29" s="89">
        <f>ALJ30</f>
        <v/>
      </c>
      <c r="ALL29" s="89">
        <f>ALK30</f>
        <v/>
      </c>
      <c r="ALM29" s="89">
        <f>ALL30</f>
        <v/>
      </c>
      <c r="ALN29" s="89">
        <f>ALM30</f>
        <v/>
      </c>
      <c r="ALO29" s="89">
        <f>ALN30</f>
        <v/>
      </c>
      <c r="ALP29" s="89">
        <f>ALO30</f>
        <v/>
      </c>
      <c r="ALQ29" s="89">
        <f>ALP30</f>
        <v/>
      </c>
      <c r="ALR29" s="89">
        <f>ALQ30</f>
        <v/>
      </c>
      <c r="ALS29" s="89">
        <f>ALR30</f>
        <v/>
      </c>
      <c r="ALT29" s="89">
        <f>ALS30</f>
        <v/>
      </c>
      <c r="ALU29" s="127" t="n">
        <v>0</v>
      </c>
      <c r="ALV29" s="89">
        <f>ALT30</f>
        <v/>
      </c>
      <c r="ALW29" s="89">
        <f>ALV30</f>
        <v/>
      </c>
      <c r="ALX29" s="89">
        <f>ALW30</f>
        <v/>
      </c>
      <c r="ALY29" s="89">
        <f>ALX30</f>
        <v/>
      </c>
      <c r="ALZ29" s="89">
        <f>ALY30</f>
        <v/>
      </c>
      <c r="AMA29" s="89">
        <f>ALZ30</f>
        <v/>
      </c>
      <c r="AMB29" s="89">
        <f>AMA30</f>
        <v/>
      </c>
      <c r="AMC29" s="89">
        <f>AMB30</f>
        <v/>
      </c>
      <c r="AMD29" s="89">
        <f>AMC30</f>
        <v/>
      </c>
      <c r="AME29" s="89">
        <f>AMD30</f>
        <v/>
      </c>
      <c r="AMF29" s="89">
        <f>AME30</f>
        <v/>
      </c>
      <c r="AMG29" s="89">
        <f>AMF30</f>
        <v/>
      </c>
      <c r="AMH29" s="89">
        <f>AMG30</f>
        <v/>
      </c>
      <c r="AMI29" s="89">
        <f>AMH30</f>
        <v/>
      </c>
      <c r="AMJ29" s="89">
        <f>AMI30</f>
        <v/>
      </c>
      <c r="AMK29" s="89">
        <f>AMJ30</f>
        <v/>
      </c>
      <c r="AML29" s="89">
        <f>AMK30</f>
        <v/>
      </c>
      <c r="AMM29" s="89">
        <f>AML30</f>
        <v/>
      </c>
      <c r="AMN29" s="89">
        <f>AMM30</f>
        <v/>
      </c>
      <c r="AMO29" s="89">
        <f>AMN30</f>
        <v/>
      </c>
      <c r="AMP29" s="89">
        <f>AMO30</f>
        <v/>
      </c>
      <c r="AMQ29" s="89">
        <f>AMP30</f>
        <v/>
      </c>
      <c r="AMR29" s="89">
        <f>AMQ30</f>
        <v/>
      </c>
      <c r="AMS29" s="89">
        <f>AMR30</f>
        <v/>
      </c>
      <c r="AMT29" s="89">
        <f>AMS30</f>
        <v/>
      </c>
      <c r="AMU29" s="89">
        <f>AMT30</f>
        <v/>
      </c>
      <c r="AMV29" s="89">
        <f>AMU30</f>
        <v/>
      </c>
      <c r="AMW29" s="89">
        <f>AMV30</f>
        <v/>
      </c>
      <c r="AMX29" s="89">
        <f>AMW30</f>
        <v/>
      </c>
      <c r="AMY29" s="89">
        <f>AMX30</f>
        <v/>
      </c>
      <c r="AMZ29" s="127" t="n">
        <v>0</v>
      </c>
      <c r="ANA29" s="89">
        <f>AMY30</f>
        <v/>
      </c>
      <c r="ANB29" s="89">
        <f>ANA30</f>
        <v/>
      </c>
      <c r="ANC29" s="89">
        <f>ANB30</f>
        <v/>
      </c>
      <c r="AND29" s="89">
        <f>ANC30</f>
        <v/>
      </c>
      <c r="ANE29" s="89">
        <f>AND30</f>
        <v/>
      </c>
      <c r="ANF29" s="89">
        <f>ANE30</f>
        <v/>
      </c>
      <c r="ANG29" s="89">
        <f>ANF30</f>
        <v/>
      </c>
      <c r="ANH29" s="89">
        <f>ANG30</f>
        <v/>
      </c>
      <c r="ANI29" s="89">
        <f>ANH30</f>
        <v/>
      </c>
      <c r="ANJ29" s="89">
        <f>ANI30</f>
        <v/>
      </c>
      <c r="ANK29" s="89">
        <f>ANJ30</f>
        <v/>
      </c>
      <c r="ANL29" s="89">
        <f>ANK30</f>
        <v/>
      </c>
      <c r="ANM29" s="89">
        <f>ANL30</f>
        <v/>
      </c>
      <c r="ANN29" s="89">
        <f>ANM30</f>
        <v/>
      </c>
      <c r="ANO29" s="89">
        <f>ANN30</f>
        <v/>
      </c>
      <c r="ANP29" s="89">
        <f>ANO30</f>
        <v/>
      </c>
      <c r="ANQ29" s="89">
        <f>ANP30</f>
        <v/>
      </c>
      <c r="ANR29" s="89">
        <f>ANQ30</f>
        <v/>
      </c>
      <c r="ANS29" s="89">
        <f>ANR30</f>
        <v/>
      </c>
      <c r="ANT29" s="89">
        <f>ANS30</f>
        <v/>
      </c>
      <c r="ANU29" s="89">
        <f>ANT30</f>
        <v/>
      </c>
      <c r="ANV29" s="89">
        <f>ANU30</f>
        <v/>
      </c>
      <c r="ANW29" s="89">
        <f>ANV30</f>
        <v/>
      </c>
      <c r="ANX29" s="89">
        <f>ANW30</f>
        <v/>
      </c>
      <c r="ANY29" s="89">
        <f>ANX30</f>
        <v/>
      </c>
      <c r="ANZ29" s="89">
        <f>ANY30</f>
        <v/>
      </c>
      <c r="AOA29" s="89">
        <f>ANZ30</f>
        <v/>
      </c>
      <c r="AOB29" s="89">
        <f>AOA30</f>
        <v/>
      </c>
      <c r="AOC29" s="89">
        <f>AOB30</f>
        <v/>
      </c>
      <c r="AOD29" s="89" t="n">
        <v>292017.34</v>
      </c>
      <c r="AOE29" t="n">
        <v>292017.34</v>
      </c>
    </row>
    <row r="30">
      <c r="A30" s="157" t="n"/>
      <c r="C30" s="47" t="inlineStr">
        <is>
          <t>CLOSING</t>
        </is>
      </c>
      <c r="D30" s="48" t="n">
        <v>155844.282</v>
      </c>
      <c r="E30" s="18" t="n">
        <v>155946.01</v>
      </c>
      <c r="F30" s="18" t="n">
        <v>155986.312</v>
      </c>
      <c r="G30" s="18" t="n">
        <v>156073.437</v>
      </c>
      <c r="H30" s="18" t="n">
        <v>156365.431</v>
      </c>
      <c r="I30" s="18" t="n">
        <v>156524.239</v>
      </c>
      <c r="J30" s="18" t="n">
        <v>156720.185</v>
      </c>
      <c r="K30" s="18" t="n">
        <v>157031.789</v>
      </c>
      <c r="L30" s="18" t="n">
        <v>157182.962</v>
      </c>
      <c r="M30" s="18" t="n">
        <v>157357.179</v>
      </c>
      <c r="N30" s="18" t="n">
        <v>157483.243</v>
      </c>
      <c r="O30" s="18" t="n">
        <v>157557.858</v>
      </c>
      <c r="P30" s="18" t="n">
        <v>157646.291</v>
      </c>
      <c r="Q30" s="18" t="n">
        <v>157707.144</v>
      </c>
      <c r="R30" s="18" t="n">
        <v>157771.009</v>
      </c>
      <c r="S30" s="18" t="n">
        <v>157902.396</v>
      </c>
      <c r="T30" s="18" t="n">
        <v>158060.012</v>
      </c>
      <c r="U30" s="18" t="n">
        <v>158209.898</v>
      </c>
      <c r="V30" s="18" t="n">
        <v>158321.068</v>
      </c>
      <c r="W30" s="18" t="n">
        <v>158393.101</v>
      </c>
      <c r="X30" s="18" t="n">
        <v>158533.199</v>
      </c>
      <c r="Y30" s="18" t="n">
        <v>158641.357</v>
      </c>
      <c r="Z30" s="18" t="n">
        <v>158737.222</v>
      </c>
      <c r="AA30" s="18" t="n">
        <v>158792.183</v>
      </c>
      <c r="AB30" s="18" t="n">
        <v>159081.427</v>
      </c>
      <c r="AC30" s="18" t="n">
        <v>159237.765</v>
      </c>
      <c r="AD30" s="18" t="n">
        <v>159375.388</v>
      </c>
      <c r="AE30" s="18" t="n">
        <v>159474.046</v>
      </c>
      <c r="AF30" s="18" t="n">
        <v>159595.148</v>
      </c>
      <c r="AG30" s="18" t="n">
        <v>159906.669</v>
      </c>
      <c r="AH30" s="18" t="n">
        <v>160078.302</v>
      </c>
      <c r="AI30" s="17" t="n"/>
      <c r="AJ30" s="13" t="n">
        <v>160157.669</v>
      </c>
      <c r="AK30" s="13" t="n">
        <v>160360.866</v>
      </c>
      <c r="AL30" s="13" t="n">
        <v>160523.367</v>
      </c>
      <c r="AM30" s="13" t="n">
        <v>160835.73</v>
      </c>
      <c r="AN30" s="13" t="n">
        <v>161074.674</v>
      </c>
      <c r="AO30" s="13" t="n">
        <v>161231.814</v>
      </c>
      <c r="AP30" s="13" t="n">
        <v>161415.443</v>
      </c>
      <c r="AQ30" s="13" t="n">
        <v>161639.765</v>
      </c>
      <c r="AR30" s="13" t="n">
        <v>161714.396</v>
      </c>
      <c r="AS30" s="13" t="n">
        <v>161886.967</v>
      </c>
      <c r="AT30" s="13" t="n">
        <v>162047.331</v>
      </c>
      <c r="AU30" s="13" t="n">
        <v>162265.979</v>
      </c>
      <c r="AV30" s="13" t="n">
        <v>162359.291</v>
      </c>
      <c r="AW30" s="13" t="n">
        <v>162478.877</v>
      </c>
      <c r="AX30" s="13" t="n">
        <v>162722.848</v>
      </c>
      <c r="AY30" s="13" t="n">
        <v>162849.066</v>
      </c>
      <c r="AZ30" s="13" t="n">
        <v>162980.693</v>
      </c>
      <c r="BA30" s="13" t="n">
        <v>163140.482</v>
      </c>
      <c r="BB30" s="13" t="n">
        <v>163335.455</v>
      </c>
      <c r="BC30" s="13" t="n">
        <v>163431.779</v>
      </c>
      <c r="BD30" s="13" t="n">
        <v>163571.234</v>
      </c>
      <c r="BE30" s="13" t="n">
        <v>163699.595</v>
      </c>
      <c r="BF30" s="13" t="n">
        <v>163861.944</v>
      </c>
      <c r="BG30" s="13" t="n">
        <v>163941.832</v>
      </c>
      <c r="BH30" s="13" t="n">
        <v>164123.05</v>
      </c>
      <c r="BI30" s="13" t="n">
        <v>164185.701</v>
      </c>
      <c r="BJ30" s="13" t="n">
        <v>164318.345</v>
      </c>
      <c r="BK30" s="13" t="n">
        <v>164476.876</v>
      </c>
      <c r="BL30" s="13" t="n">
        <v>164574.846</v>
      </c>
      <c r="BM30" s="13" t="n">
        <v>164655.648</v>
      </c>
      <c r="BO30" s="13" t="n">
        <v>164733.418</v>
      </c>
      <c r="BP30" s="13" t="n">
        <v>164865.538</v>
      </c>
      <c r="BQ30" s="13" t="n">
        <v>165003.912</v>
      </c>
      <c r="BR30" s="13" t="n">
        <v>165123.298</v>
      </c>
      <c r="BS30" s="13" t="n">
        <v>165296.014</v>
      </c>
      <c r="BT30" s="13" t="n">
        <v>165507.115</v>
      </c>
      <c r="BU30" s="13" t="n">
        <v>165622.259</v>
      </c>
      <c r="BV30" s="13" t="n">
        <v>165722.809</v>
      </c>
      <c r="BW30" s="13" t="n">
        <v>165833.08</v>
      </c>
      <c r="BX30" s="13" t="n">
        <v>165960.595</v>
      </c>
      <c r="BY30" s="13" t="n">
        <v>166070.689</v>
      </c>
      <c r="BZ30" s="13" t="n">
        <v>166189.264</v>
      </c>
      <c r="CA30" s="13" t="n">
        <v>166356.313</v>
      </c>
      <c r="CB30" s="13" t="n">
        <v>166495.597</v>
      </c>
      <c r="CC30" s="13" t="n">
        <v>166629.074</v>
      </c>
      <c r="CD30" s="13" t="n">
        <v>166756.339</v>
      </c>
      <c r="CE30" s="13" t="n">
        <v>166859.363</v>
      </c>
      <c r="CF30" s="13" t="n">
        <v>166957.74</v>
      </c>
      <c r="CG30" s="13" t="n">
        <v>167073.287</v>
      </c>
      <c r="CH30" s="13" t="n">
        <v>167142.979</v>
      </c>
      <c r="CI30" s="13" t="n">
        <v>167248.83</v>
      </c>
      <c r="CJ30" s="13" t="n">
        <v>167303.37</v>
      </c>
      <c r="CK30" s="13" t="n">
        <v>167398.107</v>
      </c>
      <c r="CL30" s="13" t="n">
        <v>167550.606</v>
      </c>
      <c r="CM30" s="13" t="n">
        <v>167623.123</v>
      </c>
      <c r="CN30" s="13" t="n">
        <v>167735.688</v>
      </c>
      <c r="CO30" s="13" t="n">
        <v>167811.438</v>
      </c>
      <c r="CP30" s="13" t="n">
        <v>167924.762</v>
      </c>
      <c r="CQ30" s="13" t="n">
        <v>168006.574</v>
      </c>
      <c r="CR30" s="13" t="n">
        <v>168127.776</v>
      </c>
      <c r="CS30" s="13" t="n">
        <v>168225.748</v>
      </c>
      <c r="CU30" s="13" t="n">
        <v>168341.495</v>
      </c>
      <c r="CV30" s="13" t="n">
        <v>168437.449</v>
      </c>
      <c r="CW30" s="13" t="n">
        <v>168541.379</v>
      </c>
      <c r="CX30" s="13" t="n">
        <v>168647.433</v>
      </c>
      <c r="CY30" s="13" t="n">
        <v>168762.883</v>
      </c>
      <c r="CZ30" s="13" t="n">
        <v>168844.49</v>
      </c>
      <c r="DA30" s="13" t="n">
        <v>168970.541</v>
      </c>
      <c r="DB30" s="13" t="n">
        <v>169161.434</v>
      </c>
      <c r="DC30" s="13" t="n">
        <v>169274.154</v>
      </c>
      <c r="DD30" s="13" t="n">
        <v>169393.338</v>
      </c>
      <c r="DE30" s="13" t="n">
        <v>169603.044</v>
      </c>
      <c r="DF30" s="13" t="n">
        <v>169659.58</v>
      </c>
      <c r="DG30" s="13" t="n">
        <v>169762.602</v>
      </c>
      <c r="DH30" s="13" t="n">
        <v>169950.796</v>
      </c>
      <c r="DI30" s="13" t="n">
        <v>170022.305</v>
      </c>
      <c r="DJ30" s="13" t="n">
        <v>170127.959</v>
      </c>
      <c r="DK30" s="13" t="n">
        <v>170375.521</v>
      </c>
      <c r="DL30" s="13" t="n">
        <v>170650.065</v>
      </c>
      <c r="DM30" s="13" t="n">
        <v>170804.778</v>
      </c>
      <c r="DN30" s="13" t="n">
        <v>171004.074</v>
      </c>
      <c r="DO30" s="13" t="n">
        <v>171112.882</v>
      </c>
      <c r="DP30" s="13" t="n">
        <v>171329.713</v>
      </c>
      <c r="DQ30" s="13" t="n">
        <v>171420.887</v>
      </c>
      <c r="DR30" s="13" t="n">
        <v>171514.07</v>
      </c>
      <c r="DS30" s="13" t="n">
        <v>171644.72</v>
      </c>
      <c r="DT30" s="13" t="n">
        <v>171788.312</v>
      </c>
      <c r="DU30" s="13" t="n">
        <v>172076.791</v>
      </c>
      <c r="DV30" s="13" t="n">
        <v>172228.411</v>
      </c>
      <c r="DW30" s="13" t="n">
        <v>172435.867</v>
      </c>
      <c r="DX30" s="13" t="n">
        <v>172531.558</v>
      </c>
      <c r="DY30" s="117" t="n"/>
      <c r="DZ30" s="13" t="n">
        <v>172618.226</v>
      </c>
      <c r="EA30" s="13" t="n">
        <v>172694.174</v>
      </c>
      <c r="EB30" s="13" t="n">
        <v>172831.701</v>
      </c>
      <c r="EC30" s="13" t="n">
        <v>172976.994</v>
      </c>
      <c r="ED30" s="13" t="n">
        <v>173095.289</v>
      </c>
      <c r="EE30" s="13" t="n">
        <v>173233.566</v>
      </c>
      <c r="EF30" s="13" t="n">
        <v>173317.031</v>
      </c>
      <c r="EG30" s="13" t="n">
        <v>173384.139</v>
      </c>
      <c r="EH30" s="13" t="n">
        <v>173666.356</v>
      </c>
      <c r="EI30" s="13" t="n">
        <v>173805.783</v>
      </c>
      <c r="EJ30" s="13" t="n">
        <v>173983.096</v>
      </c>
      <c r="EK30" s="13" t="n">
        <v>174096.158</v>
      </c>
      <c r="EL30" s="13" t="n">
        <v>174186.626</v>
      </c>
      <c r="EM30" s="13" t="n">
        <v>174342.131</v>
      </c>
      <c r="EN30" s="13" t="n">
        <v>174489.746</v>
      </c>
      <c r="EO30" s="13" t="n">
        <v>174607.259</v>
      </c>
      <c r="EP30" s="13" t="n">
        <v>174709.552</v>
      </c>
      <c r="EQ30" s="13" t="n">
        <v>174823.554</v>
      </c>
      <c r="ER30" s="13" t="n">
        <v>174943.949</v>
      </c>
      <c r="ES30" s="13" t="n">
        <v>175119.39</v>
      </c>
      <c r="ET30" s="13" t="n">
        <v>175258.547</v>
      </c>
      <c r="EU30" s="13" t="n">
        <v>175408.638</v>
      </c>
      <c r="EV30" s="13" t="n">
        <v>175659.132</v>
      </c>
      <c r="EW30" s="13" t="n">
        <v>175925.717</v>
      </c>
      <c r="EX30" s="13" t="n">
        <v>176063.854</v>
      </c>
      <c r="EY30" s="13" t="n">
        <v>176201.984</v>
      </c>
      <c r="EZ30" s="13" t="n">
        <v>176270.845</v>
      </c>
      <c r="FA30" s="13" t="n">
        <v>176418.055</v>
      </c>
      <c r="FB30" s="13" t="n">
        <v>176567.123</v>
      </c>
      <c r="FC30" s="13" t="n">
        <v>176671.649</v>
      </c>
      <c r="FD30" s="13" t="n">
        <v>176782.358</v>
      </c>
      <c r="FE30" s="126" t="n"/>
      <c r="FF30" s="13" t="n">
        <v>176846.263</v>
      </c>
      <c r="FG30" s="13" t="n">
        <v>176914.294</v>
      </c>
      <c r="FH30" s="13" t="n">
        <v>177099.294</v>
      </c>
      <c r="FI30" s="13" t="n">
        <v>177276.604</v>
      </c>
      <c r="FJ30" s="13" t="n">
        <v>177385.875</v>
      </c>
      <c r="FK30" s="13" t="n">
        <v>177587.779</v>
      </c>
      <c r="FL30" s="13" t="n">
        <v>177723.222</v>
      </c>
      <c r="FM30" s="13" t="n">
        <v>177807.747</v>
      </c>
      <c r="FN30" s="13" t="n">
        <v>177931.856</v>
      </c>
      <c r="FO30" s="13" t="n">
        <v>177977.83</v>
      </c>
      <c r="FP30" s="13" t="n">
        <v>178112.668</v>
      </c>
      <c r="FQ30" s="13" t="n">
        <v>178215.75</v>
      </c>
      <c r="FR30" s="13" t="n">
        <v>178271.413</v>
      </c>
      <c r="FS30" s="13" t="n">
        <v>178351.811</v>
      </c>
      <c r="FT30" s="13" t="n">
        <v>178457.423</v>
      </c>
      <c r="FU30" s="13" t="n">
        <v>178567.724</v>
      </c>
      <c r="FV30" s="13" t="n">
        <v>178804.832</v>
      </c>
      <c r="FW30" s="13" t="n">
        <v>178978.561</v>
      </c>
      <c r="FX30" s="13" t="n">
        <v>179023.918</v>
      </c>
      <c r="FY30" s="13" t="n">
        <v>179262.051</v>
      </c>
      <c r="FZ30" s="13" t="n">
        <v>179380.594</v>
      </c>
      <c r="GA30" s="13" t="n">
        <v>179456.053</v>
      </c>
      <c r="GB30" s="13" t="n">
        <v>179587.815</v>
      </c>
      <c r="GC30" s="13" t="n">
        <v>179685.434</v>
      </c>
      <c r="GD30" s="13" t="n">
        <v>179856.516</v>
      </c>
      <c r="GE30" s="13" t="n">
        <v>179993.825</v>
      </c>
      <c r="GF30" s="13" t="n">
        <v>180096.287</v>
      </c>
      <c r="GG30" s="13" t="n">
        <v>180195.248</v>
      </c>
      <c r="GH30" s="13" t="n">
        <v>180421.01</v>
      </c>
      <c r="GI30" s="13" t="n">
        <v>180647.78</v>
      </c>
      <c r="GJ30" s="13" t="n">
        <v>180890.034</v>
      </c>
      <c r="GK30" s="126" t="n"/>
      <c r="GL30" s="13" t="n">
        <v>180964.87</v>
      </c>
      <c r="GM30" s="13" t="n">
        <v>181076.203</v>
      </c>
      <c r="GN30" s="13" t="n">
        <v>181148.358</v>
      </c>
      <c r="GO30" s="13" t="n">
        <v>181233.712</v>
      </c>
      <c r="GP30" s="13" t="n">
        <v>181371.427</v>
      </c>
      <c r="GQ30" s="13" t="n">
        <v>181441.904</v>
      </c>
      <c r="GR30" s="13" t="n">
        <v>181622.38</v>
      </c>
      <c r="GS30" s="13" t="n">
        <v>181804.425</v>
      </c>
      <c r="GT30" s="13" t="n">
        <v>181933.006</v>
      </c>
      <c r="GU30" s="13" t="n">
        <v>182039.596</v>
      </c>
      <c r="GV30" s="13" t="n">
        <v>182148.857</v>
      </c>
      <c r="GW30" s="13" t="n">
        <v>182241.272</v>
      </c>
      <c r="GX30" s="13" t="n">
        <v>182349.501</v>
      </c>
      <c r="GY30" s="13" t="n">
        <v>182413.414</v>
      </c>
      <c r="GZ30" s="13" t="n">
        <v>182476.701</v>
      </c>
      <c r="HA30" s="13" t="n">
        <v>182602.261</v>
      </c>
      <c r="HB30" s="13" t="n">
        <v>182697.511</v>
      </c>
      <c r="HC30" s="13" t="n">
        <v>182775.853</v>
      </c>
      <c r="HD30" s="13" t="n">
        <v>182991.722</v>
      </c>
      <c r="HE30" s="13" t="n">
        <v>185143.537</v>
      </c>
      <c r="HF30" s="13" t="n">
        <v>185306.199</v>
      </c>
      <c r="HG30" s="13" t="n">
        <v>185456.415</v>
      </c>
      <c r="HH30" s="13" t="n">
        <v>185631.929</v>
      </c>
      <c r="HI30" s="13" t="n">
        <v>185793.775</v>
      </c>
      <c r="HJ30" s="13" t="n">
        <v>185848.818</v>
      </c>
      <c r="HK30" s="13" t="n">
        <v>185929.534</v>
      </c>
      <c r="HL30" s="13" t="n">
        <v>186090.077</v>
      </c>
      <c r="HM30" s="13" t="n">
        <v>186184.295</v>
      </c>
      <c r="HN30" s="13" t="n">
        <v>186247.998</v>
      </c>
      <c r="HO30" s="126" t="n"/>
      <c r="HP30" s="13" t="n">
        <v>186352.731</v>
      </c>
      <c r="HQ30" s="13" t="n">
        <v>186592.917</v>
      </c>
      <c r="HR30" s="13" t="n">
        <v>186734.558</v>
      </c>
      <c r="HS30" s="13" t="n">
        <v>186911.241</v>
      </c>
      <c r="HT30" s="13" t="n">
        <v>187018.451</v>
      </c>
      <c r="HU30" s="13" t="n">
        <v>187199.121</v>
      </c>
      <c r="HV30" s="13" t="n">
        <v>187388.793</v>
      </c>
      <c r="HW30" s="13" t="n">
        <v>187527.963</v>
      </c>
      <c r="HX30" s="13" t="n">
        <v>187599.085</v>
      </c>
      <c r="HY30" s="13" t="n">
        <v>187719.694</v>
      </c>
      <c r="HZ30" s="13" t="n">
        <v>187847.758</v>
      </c>
      <c r="IA30" s="13" t="n">
        <v>187932.395</v>
      </c>
      <c r="IB30" s="13" t="n">
        <v>188056.122</v>
      </c>
      <c r="IC30" s="13" t="n">
        <v>188173.284</v>
      </c>
      <c r="ID30" s="13" t="n">
        <v>188285.294</v>
      </c>
      <c r="IE30" s="13" t="n">
        <v>188423.843</v>
      </c>
      <c r="IF30" s="13" t="n">
        <v>188520.453</v>
      </c>
      <c r="IG30" s="13" t="n">
        <v>188632.741</v>
      </c>
      <c r="IH30" s="13" t="n">
        <v>188829.253</v>
      </c>
      <c r="II30" s="13" t="n">
        <v>188977.465</v>
      </c>
      <c r="IJ30" s="13" t="n">
        <v>189054.026</v>
      </c>
      <c r="IK30" s="13" t="n">
        <v>189164.121</v>
      </c>
      <c r="IL30" s="13" t="n">
        <v>189372.294</v>
      </c>
      <c r="IM30" s="13" t="n">
        <v>189476.326</v>
      </c>
      <c r="IN30" s="13" t="n">
        <v>189662.324</v>
      </c>
      <c r="IO30" s="13" t="n">
        <v>189882.982</v>
      </c>
      <c r="IP30" s="13" t="n">
        <v>189883.407</v>
      </c>
      <c r="IQ30" s="13" t="n">
        <v>189980.307</v>
      </c>
      <c r="IR30" s="13" t="n">
        <v>190140.017</v>
      </c>
      <c r="IS30" s="13" t="n">
        <v>190220.574</v>
      </c>
      <c r="IT30" s="13" t="n">
        <v>190329.878</v>
      </c>
      <c r="IU30" s="126" t="n"/>
      <c r="IV30" s="13" t="n">
        <v>190423.125</v>
      </c>
      <c r="IW30" s="13" t="n">
        <v>190624.076</v>
      </c>
      <c r="IX30" s="13" t="n">
        <v>190740.304</v>
      </c>
      <c r="IY30" s="13" t="n">
        <v>190966.957</v>
      </c>
      <c r="IZ30" s="13" t="n">
        <v>191098.209</v>
      </c>
      <c r="JA30" s="13" t="n">
        <v>191216.24</v>
      </c>
      <c r="JB30" s="13" t="n">
        <v>191288.456</v>
      </c>
      <c r="JC30" s="13" t="n">
        <v>191464.082</v>
      </c>
      <c r="JD30" s="13" t="n">
        <v>191565.28</v>
      </c>
      <c r="JE30" s="13" t="n">
        <v>191669.489</v>
      </c>
      <c r="JF30" s="13" t="n">
        <v>191794.857</v>
      </c>
      <c r="JG30" s="13" t="n">
        <v>191888.423</v>
      </c>
      <c r="JH30" s="13" t="n">
        <v>192017.677</v>
      </c>
      <c r="JI30" s="13" t="n">
        <v>192112.866</v>
      </c>
      <c r="JJ30" s="13" t="n">
        <v>192261.562</v>
      </c>
      <c r="JK30" s="13" t="n">
        <v>192392.179</v>
      </c>
      <c r="JL30" s="13" t="n">
        <v>192518.027</v>
      </c>
      <c r="JM30" s="13" t="n">
        <v>192662.306</v>
      </c>
      <c r="JN30" s="13" t="n">
        <v>192739.854</v>
      </c>
      <c r="JO30" s="13" t="n">
        <v>192877.085</v>
      </c>
      <c r="JP30" s="13" t="n">
        <v>192960.849</v>
      </c>
      <c r="JQ30" s="13" t="n">
        <v>193347.377</v>
      </c>
      <c r="JR30" s="13" t="n">
        <v>193472.022</v>
      </c>
      <c r="JS30" s="13" t="n">
        <v>193630.733</v>
      </c>
      <c r="JT30" s="13" t="n">
        <v>193819.05</v>
      </c>
      <c r="JU30" s="13" t="n">
        <v>193971.187</v>
      </c>
      <c r="JV30" s="13" t="n">
        <v>194072.288</v>
      </c>
      <c r="JW30" s="13" t="n">
        <v>194148.976</v>
      </c>
      <c r="JX30" s="13" t="n">
        <v>194258.382</v>
      </c>
      <c r="JY30" s="13" t="n">
        <v>194351.838</v>
      </c>
      <c r="JZ30" s="126" t="n"/>
      <c r="KA30" s="13" t="n">
        <v>194380.467</v>
      </c>
      <c r="KB30" s="13" t="n">
        <v>194505.207</v>
      </c>
      <c r="KC30" s="13" t="n">
        <v>194660.272</v>
      </c>
      <c r="KD30" s="13" t="n">
        <v>194813.318</v>
      </c>
      <c r="KE30" s="13" t="n">
        <v>194943.804</v>
      </c>
      <c r="KF30" s="13" t="n">
        <v>195086.961</v>
      </c>
      <c r="KG30" s="13" t="n">
        <v>195397.995</v>
      </c>
      <c r="KH30" s="13" t="n">
        <v>195634.546</v>
      </c>
      <c r="KI30" s="13" t="n">
        <v>196031.315</v>
      </c>
      <c r="KJ30" s="13" t="n">
        <v>196356.957</v>
      </c>
      <c r="KK30" s="13" t="n">
        <v>196630.392</v>
      </c>
      <c r="KL30" s="13" t="n">
        <v>196822.09</v>
      </c>
      <c r="KM30" s="13" t="n">
        <v>197103.889</v>
      </c>
      <c r="KN30" s="13" t="n">
        <v>197366.182</v>
      </c>
      <c r="KO30" s="13" t="n">
        <v>197538.869</v>
      </c>
      <c r="KP30" s="13" t="n">
        <v>198746.401</v>
      </c>
      <c r="KQ30" s="13" t="n">
        <v>198941.526</v>
      </c>
      <c r="KR30" s="13" t="n">
        <v>199268.391</v>
      </c>
      <c r="KS30" s="13" t="n">
        <v>199366.667</v>
      </c>
      <c r="KT30" s="13" t="n">
        <v>199569.922</v>
      </c>
      <c r="KU30" s="13" t="n">
        <v>200248.904</v>
      </c>
      <c r="KV30" s="13" t="n">
        <v>200806.14</v>
      </c>
      <c r="KW30" s="13" t="n">
        <v>202078.299</v>
      </c>
      <c r="KX30" s="13" t="n">
        <v>202231.552</v>
      </c>
      <c r="KY30" s="13" t="n">
        <v>202431.233</v>
      </c>
      <c r="KZ30" s="13" t="n">
        <v>202516.403</v>
      </c>
      <c r="LA30" s="13" t="n">
        <v>202675.983</v>
      </c>
      <c r="LB30" s="13" t="n">
        <v>202873.623</v>
      </c>
      <c r="LC30" s="13" t="n">
        <v>203194.364</v>
      </c>
      <c r="LD30" s="13" t="n">
        <v>203406.908</v>
      </c>
      <c r="LE30" s="13" t="n">
        <v>203739.675</v>
      </c>
      <c r="LF30" s="126" t="n"/>
      <c r="LG30" s="13" t="n">
        <v>203907.946</v>
      </c>
      <c r="LH30" s="13" t="n">
        <v>204016.591</v>
      </c>
      <c r="LI30" s="13" t="n">
        <v>204185.03</v>
      </c>
      <c r="LJ30" s="13" t="n">
        <v>204528.446</v>
      </c>
      <c r="LK30" s="13" t="n">
        <v>204723.043</v>
      </c>
      <c r="LL30" s="13" t="n">
        <v>204926.715</v>
      </c>
      <c r="LM30" s="13" t="n">
        <v>205312.997</v>
      </c>
      <c r="LN30" s="13" t="n">
        <v>205572.666</v>
      </c>
      <c r="LO30" s="13" t="n">
        <v>205765.615</v>
      </c>
      <c r="LP30" s="13" t="n">
        <v>206028.69</v>
      </c>
      <c r="LQ30" s="13" t="n">
        <v>206232.829</v>
      </c>
      <c r="LR30" s="13" t="n">
        <v>206379.972</v>
      </c>
      <c r="LS30" s="13" t="n">
        <v>206597.25</v>
      </c>
      <c r="LT30" s="13" t="n">
        <v>206875.551</v>
      </c>
      <c r="LU30" s="13" t="n">
        <v>207055.172</v>
      </c>
      <c r="LV30" s="13" t="n">
        <v>207110.99</v>
      </c>
      <c r="LW30" s="13" t="n">
        <v>207281.397</v>
      </c>
      <c r="LX30" s="13" t="n">
        <v>207449.843</v>
      </c>
      <c r="LY30" s="13" t="n">
        <v>207865.428</v>
      </c>
      <c r="LZ30" s="13" t="n">
        <v>207958.202</v>
      </c>
      <c r="MA30" s="13" t="n">
        <v>208089.763</v>
      </c>
      <c r="MB30" s="13" t="n">
        <v>208226.779</v>
      </c>
      <c r="MC30" s="13" t="n">
        <v>208345.52</v>
      </c>
      <c r="MD30" s="13" t="n">
        <v>208452.511</v>
      </c>
      <c r="ME30" s="13" t="n">
        <v>208559.717</v>
      </c>
      <c r="MF30" s="13" t="n">
        <v>208621.998</v>
      </c>
      <c r="MG30" s="13" t="n">
        <v>208738.835</v>
      </c>
      <c r="MH30" s="13" t="n">
        <v>208967.813</v>
      </c>
      <c r="MI30" s="13" t="n">
        <v>209133.776</v>
      </c>
      <c r="MJ30" s="13" t="n">
        <v>209335</v>
      </c>
      <c r="MK30" s="126" t="n"/>
      <c r="ML30" s="13" t="n">
        <v>209443.498</v>
      </c>
      <c r="MM30" s="13" t="n">
        <v>209524.601</v>
      </c>
      <c r="MN30" s="13" t="n">
        <v>209526.812</v>
      </c>
      <c r="MO30" s="13" t="n">
        <v>209636.85</v>
      </c>
      <c r="MP30" s="13" t="n">
        <v>209818.68</v>
      </c>
      <c r="MQ30" s="13" t="n">
        <v>209818.68</v>
      </c>
      <c r="MR30" s="13" t="n">
        <v>209818.68</v>
      </c>
      <c r="MS30" s="13" t="n">
        <v>209818.68</v>
      </c>
      <c r="MT30" s="13" t="n">
        <v>209828.91</v>
      </c>
      <c r="MU30" s="13" t="n">
        <v>209915.081</v>
      </c>
      <c r="MV30" s="13" t="n">
        <v>210218.767</v>
      </c>
      <c r="MW30" s="13" t="n">
        <v>210409.935</v>
      </c>
      <c r="MX30" s="13" t="n">
        <v>210611.481</v>
      </c>
      <c r="MY30" s="13" t="n">
        <v>210732.334</v>
      </c>
      <c r="MZ30" s="13" t="n">
        <v>210830.419</v>
      </c>
      <c r="NA30" s="13" t="n">
        <v>211035.109</v>
      </c>
      <c r="NB30" s="13" t="n">
        <v>211147.624</v>
      </c>
      <c r="NC30" s="13" t="n">
        <v>211311.769</v>
      </c>
      <c r="ND30" s="13" t="n">
        <v>211433.915</v>
      </c>
      <c r="NE30" s="13" t="n">
        <v>211538.857</v>
      </c>
      <c r="NF30" s="13" t="n">
        <v>211591.064</v>
      </c>
      <c r="NG30" s="13" t="n">
        <v>211739.732</v>
      </c>
      <c r="NH30" s="13" t="n">
        <v>211921.022</v>
      </c>
      <c r="NI30" s="13" t="n">
        <v>212033.068</v>
      </c>
      <c r="NJ30" s="13" t="n">
        <v>212121.047</v>
      </c>
      <c r="NK30" s="13" t="n">
        <v>212318.688</v>
      </c>
      <c r="NL30" s="13" t="n">
        <v>212394.522</v>
      </c>
      <c r="NM30" s="13" t="n">
        <v>212517.152</v>
      </c>
      <c r="NN30" s="13" t="n">
        <v>212670.722</v>
      </c>
      <c r="NO30" s="13" t="n">
        <v>212875.795</v>
      </c>
      <c r="NP30" s="13" t="n">
        <v>212987.809</v>
      </c>
      <c r="NQ30" s="126" t="n"/>
      <c r="NR30" s="13" t="n">
        <v>213132.629</v>
      </c>
      <c r="NS30" s="13" t="n">
        <v>213231.1</v>
      </c>
      <c r="NT30" s="13" t="n">
        <v>213458.995</v>
      </c>
      <c r="NU30" s="13" t="n">
        <v>213534.123</v>
      </c>
      <c r="NV30" s="13" t="n">
        <v>213728.051</v>
      </c>
      <c r="NW30" s="13" t="n">
        <v>213958.08</v>
      </c>
      <c r="NX30" s="13" t="n">
        <v>214157.741</v>
      </c>
      <c r="NY30" s="13" t="n">
        <v>214297.65</v>
      </c>
      <c r="NZ30" s="13" t="n">
        <v>214415.565</v>
      </c>
      <c r="OA30" s="13" t="n">
        <v>214514.1</v>
      </c>
      <c r="OB30" s="13" t="n">
        <v>214711.248</v>
      </c>
      <c r="OC30" s="13" t="n">
        <v>214823.896</v>
      </c>
      <c r="OD30" s="13" t="n">
        <v>214960.758</v>
      </c>
      <c r="OE30" s="13" t="n">
        <v>215079.304</v>
      </c>
      <c r="OF30" s="13" t="n">
        <v>215216.798</v>
      </c>
      <c r="OG30" s="13" t="n">
        <v>215427.1</v>
      </c>
      <c r="OH30" s="13" t="n">
        <v>215703.49</v>
      </c>
      <c r="OI30" s="13" t="n">
        <v>215804.132</v>
      </c>
      <c r="OJ30" s="13" t="n">
        <v>216051.241</v>
      </c>
      <c r="OK30" s="13" t="n">
        <v>216127.674</v>
      </c>
      <c r="OL30" s="13" t="n">
        <v>216228.326</v>
      </c>
      <c r="OM30" s="13" t="n">
        <v>216392.136</v>
      </c>
      <c r="ON30" s="13" t="n">
        <v>216587.068</v>
      </c>
      <c r="OO30" s="13" t="n">
        <v>216853.496</v>
      </c>
      <c r="OP30" s="13" t="n">
        <v>216904.028</v>
      </c>
      <c r="OQ30" s="13" t="n">
        <v>217048.999</v>
      </c>
      <c r="OR30" s="13" t="n">
        <v>217161.44</v>
      </c>
      <c r="OS30" s="13" t="n">
        <v>217297.339</v>
      </c>
      <c r="OT30" s="13" t="n">
        <v>217401.874</v>
      </c>
      <c r="OU30" s="13" t="n">
        <v>217540.42</v>
      </c>
      <c r="OV30" s="13" t="n">
        <v>217792.784</v>
      </c>
      <c r="OW30" s="126" t="n"/>
      <c r="OX30" s="13" t="n">
        <v>217865.164</v>
      </c>
      <c r="OY30" s="13" t="n">
        <v>217977.18</v>
      </c>
      <c r="OZ30" s="13" t="n">
        <v>218158.262</v>
      </c>
      <c r="PA30" s="13" t="n">
        <v>218286.496</v>
      </c>
      <c r="PB30" s="13" t="n">
        <v>218490.736</v>
      </c>
      <c r="PC30" s="13" t="n">
        <v>218646.125</v>
      </c>
      <c r="PD30" s="13" t="n">
        <v>218771.562</v>
      </c>
      <c r="PE30" s="13" t="n">
        <v>218843.555</v>
      </c>
      <c r="PF30" s="13" t="n">
        <v>218953.463</v>
      </c>
      <c r="PG30" s="13" t="n">
        <v>219052.425</v>
      </c>
      <c r="PH30" s="13" t="n">
        <v>219202.541</v>
      </c>
      <c r="PI30" s="13" t="n">
        <v>219366.145</v>
      </c>
      <c r="PJ30" s="13" t="n">
        <v>219523.008</v>
      </c>
      <c r="PK30" s="13" t="n">
        <v>219629.165</v>
      </c>
      <c r="PL30" s="13" t="n">
        <v>219702.858</v>
      </c>
      <c r="PM30" s="13" t="n">
        <v>219913.531</v>
      </c>
      <c r="PN30" s="13" t="n">
        <v>220037.967</v>
      </c>
      <c r="PO30" s="13" t="n">
        <v>220176.937</v>
      </c>
      <c r="PP30" s="13" t="n">
        <v>220252.105</v>
      </c>
      <c r="PQ30" s="13" t="n">
        <v>220408.973</v>
      </c>
      <c r="PR30" s="13" t="n">
        <v>220506.583</v>
      </c>
      <c r="PS30" s="13" t="n">
        <v>220639.232</v>
      </c>
      <c r="PT30" s="13" t="n">
        <v>220683.614</v>
      </c>
      <c r="PU30" s="13" t="n">
        <v>220748.042</v>
      </c>
      <c r="PV30" s="13" t="n">
        <v>220873.323</v>
      </c>
      <c r="PW30" s="13" t="n">
        <v>220957.541</v>
      </c>
      <c r="PX30" s="13" t="n">
        <v>221073.498</v>
      </c>
      <c r="PY30" s="13" t="n">
        <v>221261.878</v>
      </c>
      <c r="PZ30" s="13" t="n">
        <v>221336.621</v>
      </c>
      <c r="QA30" s="13" t="n">
        <v>221541.907</v>
      </c>
      <c r="QB30" s="126" t="n"/>
      <c r="QC30" s="13" t="n">
        <v>221624.962</v>
      </c>
      <c r="QD30" s="13" t="n">
        <v>221726.814</v>
      </c>
      <c r="QE30" s="13" t="n">
        <v>221797.349</v>
      </c>
      <c r="QF30" s="13" t="n">
        <v>221883.677</v>
      </c>
      <c r="QG30" s="13" t="n">
        <v>222013.633</v>
      </c>
      <c r="QH30" s="13" t="n">
        <v>222135.126</v>
      </c>
      <c r="QI30" s="13" t="n">
        <v>222293.834</v>
      </c>
      <c r="QJ30" s="13" t="n">
        <v>222409.43</v>
      </c>
      <c r="QK30" s="13" t="n">
        <v>222527.359</v>
      </c>
      <c r="QL30" s="13" t="n">
        <v>222683.264</v>
      </c>
      <c r="QM30" s="13" t="n">
        <v>222835.461</v>
      </c>
      <c r="QN30" s="13" t="n">
        <v>222916.998</v>
      </c>
      <c r="QO30" s="13" t="n">
        <v>223008.335</v>
      </c>
      <c r="QP30" s="13" t="n">
        <v>223161.409</v>
      </c>
      <c r="QQ30" s="13" t="n">
        <v>223244.029</v>
      </c>
      <c r="QR30" s="13" t="n">
        <v>223289.688</v>
      </c>
      <c r="QS30" s="13" t="n">
        <v>223374.482</v>
      </c>
      <c r="QT30" s="13" t="n">
        <v>223479.497</v>
      </c>
      <c r="QU30" s="13" t="n">
        <v>223566.254</v>
      </c>
      <c r="QV30" s="13" t="n">
        <v>223653.656</v>
      </c>
      <c r="QW30" s="13" t="n">
        <v>223809.549</v>
      </c>
      <c r="QX30" s="13" t="n">
        <v>223928.702</v>
      </c>
      <c r="QY30" s="13" t="n">
        <v>224066.991</v>
      </c>
      <c r="QZ30" s="13" t="n">
        <v>224239.435</v>
      </c>
      <c r="RA30" s="13" t="n">
        <v>224348.142</v>
      </c>
      <c r="RB30" s="13" t="n">
        <v>224470.992</v>
      </c>
      <c r="RC30" s="13" t="n">
        <v>224572.094</v>
      </c>
      <c r="RD30" s="13" t="n">
        <v>224734.188</v>
      </c>
      <c r="RE30" s="13" t="n">
        <v>224858.771</v>
      </c>
      <c r="RF30" s="13" t="n">
        <v>224951.614</v>
      </c>
      <c r="RG30" s="13" t="n">
        <v>225252.714</v>
      </c>
      <c r="RH30" s="126" t="n"/>
      <c r="RI30" s="13" t="n">
        <v>225327.725</v>
      </c>
      <c r="RJ30" s="13" t="n">
        <v>225483.25</v>
      </c>
      <c r="RK30" s="13" t="n">
        <v>225575.222</v>
      </c>
      <c r="RL30" s="13" t="n">
        <v>225802.872</v>
      </c>
      <c r="RM30" s="13" t="n">
        <v>225992.074</v>
      </c>
      <c r="RN30" s="13" t="n">
        <v>226091.432</v>
      </c>
      <c r="RO30" s="13" t="n">
        <v>226285.799</v>
      </c>
      <c r="RP30" s="13" t="n">
        <v>226566.699</v>
      </c>
      <c r="RQ30" s="13" t="n">
        <v>226656.494</v>
      </c>
      <c r="RR30" s="13" t="n">
        <v>226709.068</v>
      </c>
      <c r="RS30" s="13" t="n">
        <v>226864.1</v>
      </c>
      <c r="RT30" s="13" t="n">
        <v>226947.988</v>
      </c>
      <c r="RU30" s="13" t="n">
        <v>227089.911</v>
      </c>
      <c r="RV30" s="13" t="n">
        <v>227232.638</v>
      </c>
      <c r="RW30" s="13" t="n">
        <v>227354.555</v>
      </c>
      <c r="RX30" s="13" t="n">
        <v>227503.647</v>
      </c>
      <c r="RY30" s="13" t="n">
        <v>227831.068</v>
      </c>
      <c r="RZ30" s="13" t="n">
        <v>227957.509</v>
      </c>
      <c r="SA30" s="13" t="n">
        <v>228249.243</v>
      </c>
      <c r="SB30" s="13" t="n">
        <v>228438.925</v>
      </c>
      <c r="SC30" s="13" t="n">
        <v>228598.542</v>
      </c>
      <c r="SD30" s="13" t="n">
        <v>228823.443</v>
      </c>
      <c r="SE30" s="13" t="n">
        <v>228936.149</v>
      </c>
      <c r="SF30" s="13" t="n">
        <v>229037.952</v>
      </c>
      <c r="SG30" s="13" t="n">
        <v>229290.779</v>
      </c>
      <c r="SH30" s="13" t="n">
        <v>229410.529</v>
      </c>
      <c r="SI30" s="13" t="n">
        <v>229501.131</v>
      </c>
      <c r="SJ30" s="13" t="n">
        <v>229653.253</v>
      </c>
      <c r="SK30" s="13" t="n">
        <v>229753.25</v>
      </c>
      <c r="SL30" s="13" t="n">
        <v>229856.339</v>
      </c>
      <c r="SM30" s="126" t="n"/>
      <c r="SN30" s="13" t="n">
        <v>229932.694</v>
      </c>
      <c r="SO30" s="13" t="n">
        <v>230097.755</v>
      </c>
      <c r="SP30" s="13" t="n">
        <v>231197.682</v>
      </c>
      <c r="SQ30" s="13" t="n">
        <v>231315.358</v>
      </c>
      <c r="SR30" s="13" t="n">
        <v>231421.165</v>
      </c>
      <c r="SS30" s="13" t="n">
        <v>231592.757</v>
      </c>
      <c r="ST30" s="13" t="n">
        <v>231693.027</v>
      </c>
      <c r="SU30" s="13" t="n">
        <v>231857.49</v>
      </c>
      <c r="SV30" s="13" t="n">
        <v>231936.875</v>
      </c>
      <c r="SW30" s="13" t="n">
        <v>232036.955</v>
      </c>
      <c r="SX30" s="13" t="n">
        <v>232152.17</v>
      </c>
      <c r="SY30" s="13" t="n">
        <v>232262.516</v>
      </c>
      <c r="SZ30" s="13" t="n">
        <v>232479.39</v>
      </c>
      <c r="TA30" s="13" t="n">
        <v>232627.487</v>
      </c>
      <c r="TB30" s="13" t="n">
        <v>232759.748</v>
      </c>
      <c r="TC30" s="13" t="n">
        <v>232901.862</v>
      </c>
      <c r="TD30" s="13" t="n">
        <v>233003.506</v>
      </c>
      <c r="TE30" s="13" t="n">
        <v>233197.909</v>
      </c>
      <c r="TF30" s="13" t="n">
        <v>233342.546</v>
      </c>
      <c r="TG30" s="13" t="n">
        <v>233581.583</v>
      </c>
      <c r="TH30" s="13" t="n">
        <v>233688.737</v>
      </c>
      <c r="TI30" s="13" t="n">
        <v>233804.481</v>
      </c>
      <c r="TJ30" s="13" t="n">
        <v>233871.599</v>
      </c>
      <c r="TK30" s="13" t="n">
        <v>233998</v>
      </c>
      <c r="TL30" s="13" t="n">
        <v>234037.152</v>
      </c>
      <c r="TM30" s="13" t="n">
        <v>234098.672</v>
      </c>
      <c r="TN30" s="13" t="n">
        <v>234205.381</v>
      </c>
      <c r="TO30" s="13" t="n">
        <v>234278.089</v>
      </c>
      <c r="TP30" s="13" t="n">
        <v>234369.582</v>
      </c>
      <c r="TQ30" s="13" t="n">
        <v>234507.825</v>
      </c>
      <c r="TR30" s="13" t="n">
        <v>234702.449</v>
      </c>
      <c r="TS30" s="126" t="n"/>
      <c r="TT30" s="13" t="n">
        <v>234802.422</v>
      </c>
      <c r="TU30" s="13" t="n">
        <v>234929.941</v>
      </c>
      <c r="TV30" s="13" t="n">
        <v>235026.141</v>
      </c>
      <c r="TW30" s="13" t="n">
        <v>235139.116</v>
      </c>
      <c r="TX30" s="13" t="n">
        <v>235216.3</v>
      </c>
      <c r="TY30" s="13" t="n">
        <v>235385.645</v>
      </c>
      <c r="TZ30" s="13" t="n">
        <v>235515.332</v>
      </c>
      <c r="UA30" s="13" t="n">
        <v>235732.34</v>
      </c>
      <c r="UB30" s="13" t="n">
        <v>235828.982</v>
      </c>
      <c r="UC30" s="13" t="n">
        <v>236038.675</v>
      </c>
      <c r="UD30" s="13" t="n">
        <v>236307.574</v>
      </c>
      <c r="UE30" s="13" t="n">
        <v>236376.79</v>
      </c>
      <c r="UF30" s="13" t="n">
        <v>236585.293</v>
      </c>
      <c r="UG30" s="13" t="n">
        <v>236742.888</v>
      </c>
      <c r="UH30" s="13" t="n">
        <v>236810.238</v>
      </c>
      <c r="UI30" s="13" t="n">
        <v>236902.664</v>
      </c>
      <c r="UJ30" s="13" t="n">
        <v>237113.8</v>
      </c>
      <c r="UK30" s="13" t="n">
        <v>237135.444</v>
      </c>
      <c r="UL30" s="13" t="n">
        <v>237222.847</v>
      </c>
      <c r="UM30" s="13" t="n">
        <v>237369.839</v>
      </c>
      <c r="UN30" s="13" t="n">
        <v>237523.726</v>
      </c>
      <c r="UO30" s="13" t="n">
        <v>237663.814</v>
      </c>
      <c r="UP30" s="13" t="n">
        <v>237900</v>
      </c>
      <c r="UQ30" s="13" t="n">
        <v>238176.464</v>
      </c>
      <c r="UR30" s="13" t="n">
        <v>238370.846</v>
      </c>
      <c r="US30" s="13" t="n">
        <v>238458.37</v>
      </c>
      <c r="UT30" s="13" t="n">
        <v>238589.683</v>
      </c>
      <c r="UU30" s="13" t="n">
        <v>238683.543</v>
      </c>
      <c r="UV30" s="13" t="n">
        <v>238683.543</v>
      </c>
      <c r="UW30" s="13" t="n">
        <v>238772.649</v>
      </c>
      <c r="UX30" s="13" t="n">
        <v>238975.369</v>
      </c>
      <c r="UY30" s="126" t="n"/>
      <c r="UZ30" s="13" t="n">
        <v>239081.377</v>
      </c>
      <c r="VA30" s="13" t="n">
        <v>239262.556</v>
      </c>
      <c r="VB30" s="13" t="n">
        <v>239525.384</v>
      </c>
      <c r="VC30" s="13" t="n">
        <v>239620.21</v>
      </c>
      <c r="VD30" s="13" t="n">
        <v>239817.311</v>
      </c>
      <c r="VE30" s="13" t="n">
        <v>239927.448</v>
      </c>
      <c r="VF30" s="13" t="n">
        <v>240090.46</v>
      </c>
      <c r="VG30" s="13" t="n">
        <v>240289.753</v>
      </c>
      <c r="VH30" s="13" t="n">
        <v>240348.065</v>
      </c>
      <c r="VI30" s="13" t="n">
        <v>240479.55</v>
      </c>
      <c r="VJ30" s="13" t="n">
        <v>240597.614</v>
      </c>
      <c r="VK30" s="13" t="n">
        <v>240732.763</v>
      </c>
      <c r="VL30" s="13" t="n">
        <v>240920.551</v>
      </c>
      <c r="VM30" s="13" t="n">
        <v>241099.008</v>
      </c>
      <c r="VN30" s="13" t="n">
        <v>241222.682</v>
      </c>
      <c r="VO30" s="13" t="n">
        <v>241369.485</v>
      </c>
      <c r="VP30" s="13" t="n">
        <v>241436.51</v>
      </c>
      <c r="VQ30" s="13" t="n">
        <v>241555.187</v>
      </c>
      <c r="VR30" s="13" t="n">
        <v>241642.65</v>
      </c>
      <c r="VS30" s="13" t="n">
        <v>241837.944</v>
      </c>
      <c r="VT30" s="13" t="n">
        <v>241960.353</v>
      </c>
      <c r="VU30" s="13" t="n">
        <v>242111.991</v>
      </c>
      <c r="VV30" s="13" t="n">
        <v>242195.062</v>
      </c>
      <c r="VW30" s="13" t="n">
        <v>242274.169</v>
      </c>
      <c r="VX30" s="13" t="n">
        <v>242439.219</v>
      </c>
      <c r="VY30" s="13" t="n">
        <v>242601.632</v>
      </c>
      <c r="VZ30" s="13" t="n">
        <v>242702.277</v>
      </c>
      <c r="WA30" s="13" t="n">
        <v>242819.193</v>
      </c>
      <c r="WB30" s="126" t="n"/>
      <c r="WC30" s="13" t="n">
        <v>242980.507</v>
      </c>
      <c r="WD30" s="13" t="n">
        <v>243078.081</v>
      </c>
      <c r="WE30" s="13" t="n">
        <v>243189.717</v>
      </c>
      <c r="WF30" s="13" t="n">
        <v>243428.347</v>
      </c>
      <c r="WG30" s="13" t="n">
        <v>243501.083</v>
      </c>
      <c r="WH30" s="13" t="n">
        <v>243501.083</v>
      </c>
      <c r="WI30" s="13" t="n">
        <v>243622.373</v>
      </c>
      <c r="WJ30" s="13" t="n">
        <v>243925.544</v>
      </c>
      <c r="WK30" s="13" t="n">
        <v>244095.447</v>
      </c>
      <c r="WL30" s="13" t="n">
        <v>244209.175</v>
      </c>
      <c r="WM30" s="13" t="n">
        <v>244341.908</v>
      </c>
      <c r="WN30" s="13" t="n">
        <v>244410.149</v>
      </c>
      <c r="WO30" s="13" t="n">
        <v>244501.791</v>
      </c>
      <c r="WP30" s="13" t="n">
        <v>244588.152</v>
      </c>
      <c r="WQ30" s="13" t="n">
        <v>244691</v>
      </c>
      <c r="WR30" s="13" t="n">
        <v>244829.906</v>
      </c>
      <c r="WS30" s="13" t="n">
        <v>244931.222</v>
      </c>
      <c r="WT30" s="13" t="n">
        <v>244994.953</v>
      </c>
      <c r="WU30" s="13" t="n">
        <v>245169.11</v>
      </c>
      <c r="WV30" s="13" t="n">
        <v>245247.538</v>
      </c>
      <c r="WW30" s="13" t="n">
        <v>245449.652</v>
      </c>
      <c r="WX30" s="13" t="n">
        <v>245602.608</v>
      </c>
      <c r="WY30" s="13" t="n">
        <v>245653.81</v>
      </c>
      <c r="WZ30" s="13" t="n">
        <v>245826.323</v>
      </c>
      <c r="XA30" s="13" t="n">
        <v>246018.262</v>
      </c>
      <c r="XB30" s="13" t="n">
        <v>246202.961</v>
      </c>
      <c r="XC30" s="13" t="n">
        <v>246307.52</v>
      </c>
      <c r="XD30" s="13" t="n">
        <v>246412.257</v>
      </c>
      <c r="XE30" s="13" t="n">
        <v>246483.71</v>
      </c>
      <c r="XF30" s="13" t="n">
        <v>246591.765</v>
      </c>
      <c r="XG30" s="13" t="n">
        <v>246751.627</v>
      </c>
      <c r="XH30" s="126" t="n"/>
      <c r="XI30" s="13" t="n">
        <v>246860.933</v>
      </c>
      <c r="XJ30" s="13" t="n">
        <v>246968.761</v>
      </c>
      <c r="XK30" s="13" t="n">
        <v>247182.779</v>
      </c>
      <c r="XL30" s="13" t="n">
        <v>247338.989</v>
      </c>
      <c r="XM30" s="13" t="n">
        <v>247413.052</v>
      </c>
      <c r="XN30" s="13" t="n">
        <v>247540.835</v>
      </c>
      <c r="XO30" s="13" t="n">
        <v>247703.378</v>
      </c>
      <c r="XP30" s="13" t="n">
        <v>247790.297</v>
      </c>
      <c r="XQ30" s="13" t="n">
        <v>247887.669</v>
      </c>
      <c r="XR30" s="13" t="n">
        <v>247960.64</v>
      </c>
      <c r="XS30" s="13" t="n">
        <v>248092.438</v>
      </c>
      <c r="XT30" s="13" t="n">
        <v>248184.652</v>
      </c>
      <c r="XU30" s="13" t="n">
        <v>248244.549</v>
      </c>
      <c r="XV30" s="13" t="n">
        <v>248374.82</v>
      </c>
      <c r="XW30" s="13" t="n">
        <v>248478.29</v>
      </c>
      <c r="XX30" s="13" t="n">
        <v>248626.572</v>
      </c>
      <c r="XY30" s="13" t="n">
        <v>248735.594</v>
      </c>
      <c r="XZ30" s="13" t="n">
        <v>248852.092</v>
      </c>
      <c r="YA30" s="13" t="n">
        <v>248944.765</v>
      </c>
      <c r="YB30" s="13" t="n">
        <v>248957.665</v>
      </c>
      <c r="YC30" s="13" t="n">
        <v>249040.453</v>
      </c>
      <c r="YD30" s="13" t="n">
        <v>249180.226</v>
      </c>
      <c r="YE30" s="13" t="n">
        <v>249383.543</v>
      </c>
      <c r="YF30" s="13" t="n">
        <v>249481.386</v>
      </c>
      <c r="YG30" s="13" t="n">
        <v>249562.237</v>
      </c>
      <c r="YH30" s="13" t="n">
        <v>249793.844</v>
      </c>
      <c r="YI30" s="13" t="n">
        <v>249948.012</v>
      </c>
      <c r="YJ30" s="13" t="n">
        <v>250076.657</v>
      </c>
      <c r="YK30" s="13" t="n">
        <v>250140.952</v>
      </c>
      <c r="YL30" s="13" t="n">
        <v>250341.28</v>
      </c>
      <c r="YM30" s="126" t="n"/>
      <c r="YN30" s="13" t="n">
        <v>250463.219</v>
      </c>
      <c r="YO30" s="13" t="n">
        <v>250574.778</v>
      </c>
      <c r="YP30" s="13" t="n">
        <v>250669.172</v>
      </c>
      <c r="YQ30" s="13" t="n">
        <v>250753.81</v>
      </c>
      <c r="YR30" s="13" t="n">
        <v>250886.487</v>
      </c>
      <c r="YS30" s="13" t="n">
        <v>251023.034</v>
      </c>
      <c r="YT30" s="13" t="n">
        <v>251097.645</v>
      </c>
      <c r="YU30" s="13" t="n">
        <v>251111.62</v>
      </c>
      <c r="YV30" s="13" t="n">
        <v>251460.754</v>
      </c>
      <c r="YW30" s="13" t="n">
        <v>251614.715</v>
      </c>
      <c r="YX30" s="13" t="n">
        <v>251797.611</v>
      </c>
      <c r="YY30" s="13" t="n">
        <v>251879.323</v>
      </c>
      <c r="YZ30" s="13" t="n">
        <v>251942.886</v>
      </c>
      <c r="ZA30" s="13" t="n">
        <v>252068.842</v>
      </c>
      <c r="ZB30" s="13" t="n">
        <v>252163.675</v>
      </c>
      <c r="ZC30" s="13" t="n">
        <v>252225.392</v>
      </c>
      <c r="ZD30" s="13" t="n">
        <v>252387.839</v>
      </c>
      <c r="ZE30" s="13" t="n">
        <v>252561.056</v>
      </c>
      <c r="ZF30" s="13" t="n">
        <v>252716.312</v>
      </c>
      <c r="ZG30" s="13" t="n">
        <v>252804.834</v>
      </c>
      <c r="ZH30" s="13" t="n">
        <v>252917.51</v>
      </c>
      <c r="ZI30" s="13" t="n">
        <v>253322.135</v>
      </c>
      <c r="ZJ30" s="13" t="n">
        <v>253407.074</v>
      </c>
      <c r="ZK30" s="13" t="n">
        <v>253678.211</v>
      </c>
      <c r="ZL30" s="13" t="n">
        <v>253800.801</v>
      </c>
      <c r="ZM30" s="13" t="n">
        <v>253956.268</v>
      </c>
      <c r="ZN30" s="13" t="n">
        <v>254047</v>
      </c>
      <c r="ZO30" s="13" t="n">
        <v>254136.895</v>
      </c>
      <c r="ZP30" s="13" t="n">
        <v>254239.041</v>
      </c>
      <c r="ZQ30" s="13" t="n">
        <v>254415.966</v>
      </c>
      <c r="ZR30" s="13" t="n">
        <v>254533.155</v>
      </c>
      <c r="ZS30" s="126" t="n"/>
      <c r="ZT30" s="13" t="n">
        <v>254641.75</v>
      </c>
      <c r="ZU30" s="13" t="n">
        <v>254775.93</v>
      </c>
      <c r="ZV30" s="13" t="n">
        <v>254889.247</v>
      </c>
      <c r="ZW30" s="13" t="n">
        <v>254999.533</v>
      </c>
      <c r="ZX30" s="13" t="n">
        <v>255132.854</v>
      </c>
      <c r="ZY30" s="13" t="n">
        <v>255244.672</v>
      </c>
      <c r="ZZ30" s="13" t="n">
        <v>255354.986</v>
      </c>
      <c r="AAA30" s="13" t="n">
        <v>255513.471</v>
      </c>
      <c r="AAB30" s="13" t="n">
        <v>255602.516</v>
      </c>
      <c r="AAC30" s="13" t="n">
        <v>255762.858</v>
      </c>
      <c r="AAD30" s="13" t="n">
        <v>255841.987</v>
      </c>
      <c r="AAE30" s="13" t="n">
        <v>255983.052</v>
      </c>
      <c r="AAF30" s="13" t="n">
        <v>256073.937</v>
      </c>
      <c r="AAG30" s="13" t="n">
        <v>256193.603</v>
      </c>
      <c r="AAH30" s="13" t="n">
        <v>256470.507</v>
      </c>
      <c r="AAI30" s="13" t="n">
        <v>256619.52</v>
      </c>
      <c r="AAJ30" s="13" t="n">
        <v>256680.371</v>
      </c>
      <c r="AAK30" s="13" t="n">
        <v>256872.829</v>
      </c>
      <c r="AAL30" s="13" t="n">
        <v>257156.99</v>
      </c>
      <c r="AAM30" s="13" t="n">
        <v>257203.645</v>
      </c>
      <c r="AAN30" s="13" t="n">
        <v>257322.99</v>
      </c>
      <c r="AAO30" s="13" t="n">
        <v>257380.406</v>
      </c>
      <c r="AAP30" s="13" t="n">
        <v>257504.482</v>
      </c>
      <c r="AAQ30" s="13" t="n">
        <v>257665.118</v>
      </c>
      <c r="AAR30" s="13" t="n">
        <v>257724.037</v>
      </c>
      <c r="AAS30" s="13" t="n">
        <v>257786.394</v>
      </c>
      <c r="AAT30" s="13" t="n">
        <v>257901.005</v>
      </c>
      <c r="AAU30" s="13" t="n">
        <v>258080.784</v>
      </c>
      <c r="AAV30" s="13" t="n">
        <v>258233.648</v>
      </c>
      <c r="AAW30" s="13" t="n">
        <v>258301.809</v>
      </c>
      <c r="AAX30" s="126" t="n"/>
      <c r="AAY30" s="13" t="n">
        <v>258393.196</v>
      </c>
      <c r="AAZ30" s="13" t="n">
        <v>258488.672</v>
      </c>
      <c r="ABA30" s="13" t="n">
        <v>258577.025</v>
      </c>
      <c r="ABB30" s="13" t="n">
        <v>258773.785</v>
      </c>
      <c r="ABC30" s="13" t="n">
        <v>258934.2</v>
      </c>
      <c r="ABD30" s="13" t="n">
        <v>259001.184</v>
      </c>
      <c r="ABE30" s="13" t="n">
        <v>259137.73</v>
      </c>
      <c r="ABF30" s="13" t="n">
        <v>259326.113</v>
      </c>
      <c r="ABG30" s="13" t="n">
        <v>259414.921</v>
      </c>
      <c r="ABH30" s="13" t="n">
        <v>259483.946</v>
      </c>
      <c r="ABI30" s="13" t="n">
        <v>259701.894</v>
      </c>
      <c r="ABJ30" s="13" t="n">
        <v>259844.887</v>
      </c>
      <c r="ABK30" s="13" t="n">
        <v>259950.901</v>
      </c>
      <c r="ABL30" s="13" t="n">
        <v>260131.535</v>
      </c>
      <c r="ABM30" s="13" t="n">
        <v>260192.82</v>
      </c>
      <c r="ABN30" s="13" t="n">
        <v>260383.992</v>
      </c>
      <c r="ABO30" s="13" t="n">
        <v>260521.936</v>
      </c>
      <c r="ABP30" s="13" t="n">
        <v>260641.716</v>
      </c>
      <c r="ABQ30" s="13" t="n">
        <v>260641.716</v>
      </c>
      <c r="ABR30" s="13" t="n">
        <v>260682.574</v>
      </c>
      <c r="ABS30" s="13" t="n">
        <v>260742.782</v>
      </c>
      <c r="ABT30" s="13" t="n">
        <v>260859.09</v>
      </c>
      <c r="ABU30" s="13" t="n">
        <v>260936.123</v>
      </c>
      <c r="ABV30" s="13" t="n">
        <v>261022.14</v>
      </c>
      <c r="ABW30" s="13" t="n">
        <v>261151.698</v>
      </c>
      <c r="ABX30" s="13" t="n">
        <v>261230.183</v>
      </c>
      <c r="ABY30" s="13" t="n">
        <v>261274.264</v>
      </c>
      <c r="ABZ30" s="13" t="n">
        <v>261411.232</v>
      </c>
      <c r="ACA30" s="13" t="n">
        <v>261511.649</v>
      </c>
      <c r="ACB30" s="13" t="n">
        <v>261680.237</v>
      </c>
      <c r="ACC30" s="13" t="n">
        <v>261832.27</v>
      </c>
      <c r="ACD30" s="126" t="n"/>
      <c r="ACE30" s="13" t="n">
        <v>261949.412</v>
      </c>
      <c r="ACF30" s="13" t="n">
        <v>262055.424</v>
      </c>
      <c r="ACG30" s="13" t="n">
        <v>262160.791</v>
      </c>
      <c r="ACH30" s="13" t="n">
        <v>262279.051</v>
      </c>
      <c r="ACI30" s="13" t="n">
        <v>262393.667</v>
      </c>
      <c r="ACJ30" s="13" t="n">
        <v>262521.636</v>
      </c>
      <c r="ACK30" s="13" t="n">
        <v>262648.72</v>
      </c>
      <c r="ACL30" s="13" t="n">
        <v>262842.497</v>
      </c>
      <c r="ACM30" s="13" t="n">
        <v>262969.368</v>
      </c>
      <c r="ACN30" s="13" t="n">
        <v>263030.653</v>
      </c>
      <c r="ACO30" s="13" t="n">
        <v>263156.021</v>
      </c>
      <c r="ACP30" s="13" t="n">
        <v>263245.203</v>
      </c>
      <c r="ACQ30" s="13" t="n">
        <v>263291.436</v>
      </c>
      <c r="ACR30" s="13" t="n">
        <v>263451.21</v>
      </c>
      <c r="ACS30" s="13" t="n">
        <v>263494.648</v>
      </c>
      <c r="ACT30" s="13" t="n">
        <v>263646.249</v>
      </c>
      <c r="ACU30" s="13" t="n">
        <v>263794.634</v>
      </c>
      <c r="ACV30" s="13" t="n">
        <v>263943.228</v>
      </c>
      <c r="ACW30" s="13" t="n">
        <v>264022.146</v>
      </c>
      <c r="ACX30" s="13" t="n">
        <v>264106.009</v>
      </c>
      <c r="ACY30" s="13" t="n">
        <v>264191.16</v>
      </c>
      <c r="ACZ30" s="13" t="n">
        <v>264299.76</v>
      </c>
      <c r="ADA30" s="13" t="n">
        <v>264418.89</v>
      </c>
      <c r="ADB30" s="13" t="n">
        <v>264494.424</v>
      </c>
      <c r="ADC30" s="13" t="n">
        <v>264638.287</v>
      </c>
      <c r="ADD30" s="13" t="n">
        <v>264692.043</v>
      </c>
      <c r="ADE30" s="13" t="n">
        <v>264797.201</v>
      </c>
      <c r="ADF30" s="13" t="n">
        <v>264926.242</v>
      </c>
      <c r="ADG30" s="13" t="n">
        <v>265012.253</v>
      </c>
      <c r="ADH30" s="13" t="n">
        <v>265073.539</v>
      </c>
      <c r="ADI30" s="13" t="n">
        <v>265135.895</v>
      </c>
      <c r="ADJ30" s="126" t="n"/>
      <c r="ADK30" s="13" t="n">
        <v>265230.514</v>
      </c>
      <c r="ADL30" s="13" t="n">
        <v>265302.545</v>
      </c>
      <c r="ADM30" s="13" t="n">
        <v>265396.733</v>
      </c>
      <c r="ADN30" s="13" t="n">
        <v>265501.666</v>
      </c>
      <c r="ADO30" s="13" t="n">
        <v>265617.785</v>
      </c>
      <c r="ADP30" s="13" t="n">
        <v>265764.093</v>
      </c>
      <c r="ADQ30" s="13" t="n">
        <v>265850.109</v>
      </c>
      <c r="ADR30" s="13" t="n">
        <v>265907.09</v>
      </c>
      <c r="ADS30" s="13" t="n">
        <v>265995.45</v>
      </c>
      <c r="ADT30" s="13" t="n">
        <v>266084.902</v>
      </c>
      <c r="ADU30" s="13" t="n">
        <v>266184.891</v>
      </c>
      <c r="ADV30" s="13" t="n">
        <v>266258.646</v>
      </c>
      <c r="ADW30" s="13" t="n">
        <v>266357.564</v>
      </c>
      <c r="ADX30" s="13" t="n">
        <v>266423.742</v>
      </c>
      <c r="ADY30" s="13" t="n">
        <v>266551.148</v>
      </c>
      <c r="ADZ30" s="13" t="n">
        <v>266660.166</v>
      </c>
      <c r="AEA30" s="13" t="n">
        <v>266740.156</v>
      </c>
      <c r="AEB30" s="13" t="n">
        <v>266833.964</v>
      </c>
      <c r="AEC30" s="13" t="n">
        <v>266918.255</v>
      </c>
      <c r="AED30" s="13" t="n">
        <v>267033.607</v>
      </c>
      <c r="AEE30" s="13" t="n">
        <v>267229.342</v>
      </c>
      <c r="AEF30" s="13" t="n">
        <v>267373.626</v>
      </c>
      <c r="AEG30" s="13" t="n">
        <v>267548.665</v>
      </c>
      <c r="AEH30" s="13" t="n">
        <v>267614.248</v>
      </c>
      <c r="AEI30" s="13" t="n">
        <v>267684.65</v>
      </c>
      <c r="AEJ30" s="13" t="n">
        <v>267776.043</v>
      </c>
      <c r="AEK30" s="13" t="n">
        <v>267909.879</v>
      </c>
      <c r="AEL30" s="13" t="n">
        <v>267978.689</v>
      </c>
      <c r="AEM30" s="13" t="n">
        <v>268030.295</v>
      </c>
      <c r="AEN30" s="13" t="n">
        <v>268269.722</v>
      </c>
      <c r="AEO30" s="126" t="n"/>
      <c r="AEP30" s="13" t="n">
        <v>268367.563</v>
      </c>
      <c r="AEQ30" s="13" t="n">
        <v>268468.631</v>
      </c>
      <c r="AER30" s="13" t="n">
        <v>268557.37</v>
      </c>
      <c r="AES30" s="13" t="n">
        <v>268622.523</v>
      </c>
      <c r="AET30" s="13" t="n">
        <v>268704.083</v>
      </c>
      <c r="AEU30" s="13" t="n">
        <v>268916.756</v>
      </c>
      <c r="AEV30" s="13" t="n">
        <v>269015.579</v>
      </c>
      <c r="AEW30" s="13" t="n">
        <v>269146.251</v>
      </c>
      <c r="AEX30" s="13" t="n">
        <v>269242.03</v>
      </c>
      <c r="AEY30" s="13" t="n">
        <v>269291.92</v>
      </c>
      <c r="AEZ30" s="13" t="n">
        <v>269342.023</v>
      </c>
      <c r="AFA30" s="13" t="n">
        <v>269433.341</v>
      </c>
      <c r="AFB30" s="13" t="n">
        <v>269512.17</v>
      </c>
      <c r="AFC30" s="13" t="n">
        <v>269617.97</v>
      </c>
      <c r="AFD30" s="13" t="n">
        <v>269762.045</v>
      </c>
      <c r="AFE30" s="13" t="n">
        <v>269849.775</v>
      </c>
      <c r="AFF30" s="13" t="n">
        <v>270020.621</v>
      </c>
      <c r="AFG30" s="13" t="n">
        <v>270209.442</v>
      </c>
      <c r="AFH30" s="13" t="n">
        <v>270262.981</v>
      </c>
      <c r="AFI30" s="13" t="n">
        <v>270453.529</v>
      </c>
      <c r="AFJ30" s="13" t="n">
        <v>270580.828</v>
      </c>
      <c r="AFK30" s="13" t="n">
        <v>270673.513</v>
      </c>
      <c r="AFL30" s="13" t="n">
        <v>270749.418</v>
      </c>
      <c r="AFM30" s="13" t="n">
        <v>270828.765</v>
      </c>
      <c r="AFN30" s="13" t="n">
        <v>270833.065</v>
      </c>
      <c r="AFO30" s="13" t="n">
        <v>270927.248</v>
      </c>
      <c r="AFP30" s="13" t="n">
        <v>271014.663</v>
      </c>
      <c r="AFQ30" s="13" t="n">
        <v>271092.288</v>
      </c>
      <c r="AFR30" s="13" t="n">
        <v>271155.667</v>
      </c>
      <c r="AFS30" s="13" t="n">
        <v>271229.853</v>
      </c>
      <c r="AFT30" s="13" t="n">
        <v>271264.257</v>
      </c>
      <c r="AFU30" s="126" t="n"/>
      <c r="AFV30" s="13" t="n">
        <v>271385.819</v>
      </c>
      <c r="AFW30" s="13" t="n">
        <v>271453.551</v>
      </c>
      <c r="AFX30" s="13" t="n">
        <v>271523.543</v>
      </c>
      <c r="AFY30" s="13" t="n">
        <v>271585.474</v>
      </c>
      <c r="AFZ30" s="13" t="n">
        <v>271659.661</v>
      </c>
      <c r="AGA30" s="13" t="n">
        <v>271781.481</v>
      </c>
      <c r="AGB30" s="13" t="n">
        <v>271890.614</v>
      </c>
      <c r="AGC30" s="13" t="n">
        <v>271980.501</v>
      </c>
      <c r="AGD30" s="13" t="n">
        <v>272015.335</v>
      </c>
      <c r="AGE30" s="13" t="n">
        <v>272145.59</v>
      </c>
      <c r="AGF30" s="13" t="n">
        <v>272217.411</v>
      </c>
      <c r="AGG30" s="13" t="n">
        <v>272337.833</v>
      </c>
      <c r="AGH30" s="13" t="n">
        <v>272463.633</v>
      </c>
      <c r="AGI30" s="13" t="n">
        <v>272520.617</v>
      </c>
      <c r="AGJ30" s="13" t="n">
        <v>272594.59</v>
      </c>
      <c r="AGK30" s="13" t="n">
        <v>272658.023</v>
      </c>
      <c r="AGL30" s="13" t="n">
        <v>272707.477</v>
      </c>
      <c r="AGM30" s="13" t="n">
        <v>272804.024</v>
      </c>
      <c r="AGN30" s="13" t="n">
        <v>272897.563</v>
      </c>
      <c r="AGO30" s="13" t="n">
        <v>272998.416</v>
      </c>
      <c r="AGP30" s="13" t="n">
        <v>273045.019</v>
      </c>
      <c r="AGQ30" s="13" t="n">
        <v>273160.206</v>
      </c>
      <c r="AGR30" s="13" t="n">
        <v>273276.815</v>
      </c>
      <c r="AGS30" s="13" t="n">
        <v>273310.229</v>
      </c>
      <c r="AGT30" s="13" t="n">
        <v>273371.781</v>
      </c>
      <c r="AGU30" s="13" t="n">
        <v>273500.914</v>
      </c>
      <c r="AGV30" s="13" t="n">
        <v>273566.609</v>
      </c>
      <c r="AGW30" s="13" t="n">
        <v>273729.085</v>
      </c>
      <c r="AGX30" s="13" t="n">
        <v>273811.511</v>
      </c>
      <c r="AGY30" s="13" t="n">
        <v>273868.664</v>
      </c>
      <c r="AGZ30" s="126" t="n"/>
      <c r="AHA30" s="13" t="n">
        <v>274050.017</v>
      </c>
      <c r="AHB30" s="13" t="n">
        <v>274167.622</v>
      </c>
      <c r="AHC30" s="13" t="n">
        <v>274235.761</v>
      </c>
      <c r="AHD30" s="13" t="n">
        <v>274308.552</v>
      </c>
      <c r="AHE30" s="13" t="n">
        <v>274509.019</v>
      </c>
      <c r="AHF30" s="13" t="n">
        <v>274620.92</v>
      </c>
      <c r="AHG30" s="13" t="n">
        <v>274781.506</v>
      </c>
      <c r="AHH30" s="13" t="n">
        <v>274891.761</v>
      </c>
      <c r="AHI30" s="13" t="n">
        <v>274954.733</v>
      </c>
      <c r="AHJ30" s="13" t="n">
        <v>275003.105</v>
      </c>
      <c r="AHK30" s="13" t="n">
        <v>275048.869</v>
      </c>
      <c r="AHL30" s="13" t="n">
        <v>275124.038</v>
      </c>
      <c r="AHM30" s="13" t="n">
        <v>275279.84</v>
      </c>
      <c r="AHN30" s="13" t="n">
        <v>275346.296</v>
      </c>
      <c r="AHO30" s="13" t="n">
        <v>275494.157</v>
      </c>
      <c r="AHP30" s="13" t="n">
        <v>275586.612</v>
      </c>
      <c r="AHQ30" s="13" t="n">
        <v>275661.349</v>
      </c>
      <c r="AHR30" s="13" t="n">
        <v>275764.197</v>
      </c>
      <c r="AHS30" s="13" t="n">
        <v>275871.124</v>
      </c>
      <c r="AHT30" s="13" t="n">
        <v>275912.524</v>
      </c>
      <c r="AHU30" s="13" t="n">
        <v>275975.246</v>
      </c>
      <c r="AHV30" s="13" t="n">
        <v>276117.996</v>
      </c>
      <c r="AHW30" s="13" t="n">
        <v>276231.47</v>
      </c>
      <c r="AHX30" s="13" t="n">
        <v>276261.976</v>
      </c>
      <c r="AHY30" s="13" t="n">
        <v>276304.683</v>
      </c>
      <c r="AHZ30" s="13" t="n">
        <v>276392.505</v>
      </c>
      <c r="AIA30" s="13" t="n">
        <v>276443.05</v>
      </c>
      <c r="AIB30" s="13" t="n">
        <v>276517.786</v>
      </c>
      <c r="AIC30" s="13" t="n">
        <v>276559.179</v>
      </c>
      <c r="AID30" s="13" t="n">
        <v>276628.419</v>
      </c>
      <c r="AIE30" s="13" t="n">
        <v>276677.442</v>
      </c>
      <c r="AIF30" s="126" t="n"/>
      <c r="AIG30" s="13" t="n">
        <v>276758.064</v>
      </c>
      <c r="AIH30" s="13" t="n">
        <v>276849.586</v>
      </c>
      <c r="AII30" s="13" t="n">
        <v>276926.497</v>
      </c>
      <c r="AIJ30" s="13" t="n">
        <v>276980.265</v>
      </c>
      <c r="AIK30" s="13" t="n">
        <v>277027.114</v>
      </c>
      <c r="AIL30" s="13" t="n">
        <v>277131.005</v>
      </c>
      <c r="AIM30" s="13" t="n">
        <v>277226.817</v>
      </c>
      <c r="AIN30" s="13" t="n">
        <v>277320.427</v>
      </c>
      <c r="AIO30" s="13" t="n">
        <v>277434.82</v>
      </c>
      <c r="AIP30" s="13" t="n">
        <v>277511.739</v>
      </c>
      <c r="AIQ30" s="13" t="n">
        <v>277583.7</v>
      </c>
      <c r="AIR30" s="13" t="n">
        <v>277661.282</v>
      </c>
      <c r="AIS30" s="13" t="n">
        <v>277747.013</v>
      </c>
      <c r="AIT30" s="13" t="n">
        <v>277837.899</v>
      </c>
      <c r="AIU30" s="13" t="n">
        <v>277866.167</v>
      </c>
      <c r="AIV30" s="13" t="n">
        <v>277900.74</v>
      </c>
      <c r="AIW30" s="13" t="n">
        <v>277915.959</v>
      </c>
      <c r="AIX30" s="13" t="n">
        <v>277983.365</v>
      </c>
      <c r="AIY30" s="13" t="n">
        <v>278071.423</v>
      </c>
      <c r="AIZ30" s="13" t="n">
        <v>278152.516</v>
      </c>
      <c r="AJA30" s="13" t="n">
        <v>278246.005</v>
      </c>
      <c r="AJB30" s="13" t="n">
        <v>278368.855</v>
      </c>
      <c r="AJC30" s="13" t="n">
        <v>278516.707</v>
      </c>
      <c r="AJD30" s="13" t="n">
        <v>278668.898</v>
      </c>
      <c r="AJE30" s="13" t="n">
        <v>278707.595</v>
      </c>
      <c r="AJF30" s="13" t="n">
        <v>278846.265</v>
      </c>
      <c r="AJG30" s="13" t="n">
        <v>278891.925</v>
      </c>
      <c r="AJH30" s="13" t="n">
        <v>278943.883</v>
      </c>
      <c r="AJI30" s="13" t="n">
        <v>279038.46</v>
      </c>
      <c r="AJJ30" s="13" t="n">
        <v>279145.858</v>
      </c>
      <c r="AJK30" s="13" t="n">
        <v>279231.74</v>
      </c>
      <c r="AJL30" s="126" t="n"/>
      <c r="AJM30" s="13" t="n">
        <v>279287.186</v>
      </c>
      <c r="AJN30" s="13" t="n">
        <v>279378.939</v>
      </c>
      <c r="AJO30" s="13" t="n">
        <v>279478.944</v>
      </c>
      <c r="AJP30" s="13" t="n">
        <v>279594.414</v>
      </c>
      <c r="AJQ30" s="13" t="n">
        <v>279716.821</v>
      </c>
      <c r="AJR30" s="13" t="n">
        <v>279800.082</v>
      </c>
      <c r="AJS30" s="13" t="n">
        <v>279887.704</v>
      </c>
      <c r="AJT30" s="13" t="n">
        <v>279954.019</v>
      </c>
      <c r="AJU30" s="13" t="n">
        <v>280109.31</v>
      </c>
      <c r="AJV30" s="13" t="n">
        <v>280206.489</v>
      </c>
      <c r="AJW30" s="13" t="n">
        <v>280342.371</v>
      </c>
      <c r="AJX30" s="13" t="n">
        <v>280552.771</v>
      </c>
      <c r="AJY30" s="13" t="n">
        <v>280639.969</v>
      </c>
      <c r="AJZ30" s="13" t="n">
        <v>280678.888</v>
      </c>
      <c r="AKA30" s="13" t="n">
        <v>280792.383</v>
      </c>
      <c r="AKB30" s="13" t="n">
        <v>280880.22</v>
      </c>
      <c r="AKC30" s="13" t="n">
        <v>280995.759</v>
      </c>
      <c r="AKD30" s="13" t="n">
        <v>281106.642</v>
      </c>
      <c r="AKE30" s="13" t="n">
        <v>281266.412</v>
      </c>
      <c r="AKF30" s="13" t="n">
        <v>281360.097</v>
      </c>
      <c r="AKG30" s="13" t="n">
        <v>281519.691</v>
      </c>
      <c r="AKH30" s="13" t="n">
        <v>281559.916</v>
      </c>
      <c r="AKI30" s="13" t="n">
        <v>281656.668</v>
      </c>
      <c r="AKJ30" s="13" t="n">
        <v>281744.502</v>
      </c>
      <c r="AKK30" s="13" t="n">
        <v>281865.174</v>
      </c>
      <c r="AKL30" s="13" t="n">
        <v>281959.318</v>
      </c>
      <c r="AKM30" s="13" t="n">
        <v>282087.606</v>
      </c>
      <c r="AKN30" s="13" t="n">
        <v>282143.702</v>
      </c>
      <c r="AKO30" s="126" t="n"/>
      <c r="AKP30" s="13" t="n">
        <v>282270.908</v>
      </c>
      <c r="AKQ30" s="13" t="n">
        <v>282384.179</v>
      </c>
      <c r="AKR30" s="13" t="n">
        <v>282492.021</v>
      </c>
      <c r="AKS30" s="13" t="n">
        <v>282545.942</v>
      </c>
      <c r="AKT30" s="13" t="n">
        <v>282674.439</v>
      </c>
      <c r="AKU30" s="13" t="n">
        <v>282735.096</v>
      </c>
      <c r="AKV30" s="13" t="n">
        <v>282838.365</v>
      </c>
      <c r="AKW30" s="13" t="n">
        <v>282964.043</v>
      </c>
      <c r="AKX30" s="13" t="n">
        <v>283142.759</v>
      </c>
      <c r="AKY30" s="13" t="n">
        <v>283241.338</v>
      </c>
      <c r="AKZ30" s="13" t="n">
        <v>283357.487</v>
      </c>
      <c r="ALA30" s="13" t="n">
        <v>283434.923</v>
      </c>
      <c r="ALB30" s="13" t="n">
        <v>283528.054</v>
      </c>
      <c r="ALC30" s="13" t="n">
        <v>283618.111</v>
      </c>
      <c r="ALD30" s="13" t="n">
        <v>283814.088</v>
      </c>
      <c r="ALE30" s="13" t="n">
        <v>284031.243</v>
      </c>
      <c r="ALF30" s="13" t="n">
        <v>284114.851</v>
      </c>
      <c r="ALG30" s="13" t="n">
        <v>284212.515</v>
      </c>
      <c r="ALH30" s="13" t="n">
        <v>284307.208</v>
      </c>
      <c r="ALI30" s="13" t="n">
        <v>284444.891</v>
      </c>
      <c r="ALJ30" s="13" t="n">
        <v>284522.87</v>
      </c>
      <c r="ALK30" s="13" t="n">
        <v>284743.138</v>
      </c>
      <c r="ALL30" s="13" t="n">
        <v>284850.658</v>
      </c>
      <c r="ALM30" s="13" t="n">
        <v>284982.458</v>
      </c>
      <c r="ALN30" s="13" t="n">
        <v>285181.058</v>
      </c>
      <c r="ALO30" s="13" t="n">
        <v>285289.6</v>
      </c>
      <c r="ALP30" s="13" t="n">
        <v>285410.2</v>
      </c>
      <c r="ALQ30" s="13" t="n">
        <v>285505.8</v>
      </c>
      <c r="ALR30" s="13" t="n">
        <v>285705.025</v>
      </c>
      <c r="ALS30" s="13" t="n">
        <v>285896.425</v>
      </c>
      <c r="ALT30" s="13" t="n">
        <v>285962.382</v>
      </c>
      <c r="ALU30" s="126" t="n"/>
      <c r="ALV30" s="13" t="n">
        <v>286026.252</v>
      </c>
      <c r="ALW30" s="13" t="n">
        <v>286125.766</v>
      </c>
      <c r="ALX30" s="13" t="n">
        <v>286252.076</v>
      </c>
      <c r="ALY30" s="13" t="n">
        <v>286396.762</v>
      </c>
      <c r="ALZ30" s="13" t="n">
        <v>286434.629</v>
      </c>
      <c r="AMA30" s="13" t="n">
        <v>286519.691</v>
      </c>
      <c r="AMB30" s="13" t="n">
        <v>286619.752</v>
      </c>
      <c r="AMC30" s="13" t="n">
        <v>286787.164</v>
      </c>
      <c r="AMD30" s="13" t="n">
        <v>286903.108</v>
      </c>
      <c r="AME30" s="13" t="n">
        <v>287043.639</v>
      </c>
      <c r="AMF30" s="13" t="n">
        <v>287134.118</v>
      </c>
      <c r="AMG30" s="13" t="n">
        <v>287190.642</v>
      </c>
      <c r="AMH30" s="13" t="n">
        <v>287260.943</v>
      </c>
      <c r="AMI30" s="13" t="n">
        <v>287404.045</v>
      </c>
      <c r="AMJ30" s="13" t="n">
        <v>287499.632</v>
      </c>
      <c r="AMK30" s="13" t="n">
        <v>287610.221</v>
      </c>
      <c r="AML30" s="13" t="n">
        <v>287783.137</v>
      </c>
      <c r="AMM30" s="13" t="n">
        <v>287933.052</v>
      </c>
      <c r="AMN30" s="13" t="n">
        <v>288078.728</v>
      </c>
      <c r="AMO30" s="13" t="n">
        <v>288230.736</v>
      </c>
      <c r="AMP30" s="13" t="n">
        <v>288280.072</v>
      </c>
      <c r="AMQ30" s="13" t="n">
        <v>288396.844</v>
      </c>
      <c r="AMR30" s="13" t="n">
        <v>288595.229</v>
      </c>
      <c r="AMS30" s="13" t="n">
        <v>288736.574</v>
      </c>
      <c r="AMT30" s="13" t="n">
        <v>288850.303</v>
      </c>
      <c r="AMU30" s="13" t="n">
        <v>288985.364</v>
      </c>
      <c r="AMV30" s="13" t="n">
        <v>289103.469</v>
      </c>
      <c r="AMW30" s="13" t="n">
        <v>289298.157</v>
      </c>
      <c r="AMX30" s="13" t="n">
        <v>289494.041</v>
      </c>
      <c r="AMY30" s="13" t="n">
        <v>289593.003</v>
      </c>
      <c r="AMZ30" s="126" t="n"/>
      <c r="ANA30" s="13" t="n">
        <v>289668.962</v>
      </c>
      <c r="ANB30" s="13" t="n">
        <v>289725.279</v>
      </c>
      <c r="ANC30" s="13" t="n">
        <v>289772.71</v>
      </c>
      <c r="AND30" s="13" t="n">
        <v>289804.813</v>
      </c>
      <c r="ANE30" s="13" t="n">
        <v>289899.044</v>
      </c>
      <c r="ANF30" s="13" t="n">
        <v>289975.342</v>
      </c>
      <c r="ANG30" s="13" t="n">
        <v>290017.087</v>
      </c>
      <c r="ANH30" s="13" t="n">
        <v>290083.169</v>
      </c>
      <c r="ANI30" s="13" t="n">
        <v>290145.517</v>
      </c>
      <c r="ANJ30" s="13" t="n">
        <v>290218.814</v>
      </c>
      <c r="ANK30" s="13" t="n">
        <v>290336.411</v>
      </c>
      <c r="ANL30" s="13" t="n">
        <v>290375.14</v>
      </c>
      <c r="ANM30" s="13" t="n">
        <v>290414.305</v>
      </c>
      <c r="ANN30" s="13" t="n">
        <v>290488.916</v>
      </c>
      <c r="ANO30" s="13" t="n">
        <v>290589.506</v>
      </c>
      <c r="ANP30" s="13" t="n">
        <v>290744.905</v>
      </c>
      <c r="ANQ30" s="13" t="n">
        <v>290830.551</v>
      </c>
      <c r="ANR30" s="13" t="n">
        <v>290913.095</v>
      </c>
      <c r="ANS30" s="13" t="n">
        <v>290964.793</v>
      </c>
      <c r="ANT30" s="13" t="n">
        <v>291015.642</v>
      </c>
      <c r="ANU30" s="13" t="n">
        <v>291037.677</v>
      </c>
      <c r="ANV30" s="13" t="n">
        <v>291112.145</v>
      </c>
      <c r="ANW30" s="13" t="n">
        <v>291176.804</v>
      </c>
      <c r="ANX30" s="13" t="n">
        <v>291225.018</v>
      </c>
      <c r="ANY30" s="13" t="n">
        <v>291336.881</v>
      </c>
      <c r="ANZ30" s="13" t="n">
        <v>291516.311</v>
      </c>
      <c r="AOA30" s="13" t="n">
        <v>291730.909</v>
      </c>
      <c r="AOB30" s="13" t="n">
        <v>291839.594</v>
      </c>
      <c r="AOC30" s="13" t="n">
        <v>292017.34</v>
      </c>
      <c r="AOD30" s="13" t="n">
        <v>292260.264</v>
      </c>
      <c r="AOE30" t="n">
        <v>292260.264</v>
      </c>
    </row>
    <row r="31">
      <c r="A31" s="157" t="n"/>
      <c r="C31" s="6" t="inlineStr">
        <is>
          <t>AGO 4 SALES</t>
        </is>
      </c>
      <c r="D31" s="16">
        <f>D30-D29</f>
        <v/>
      </c>
      <c r="E31" s="16">
        <f>E30-E29</f>
        <v/>
      </c>
      <c r="F31" s="16">
        <f>F30-F29</f>
        <v/>
      </c>
      <c r="G31" s="16">
        <f>G30-G29</f>
        <v/>
      </c>
      <c r="H31" s="16">
        <f>H30-H29</f>
        <v/>
      </c>
      <c r="I31" s="16">
        <f>I30-I29</f>
        <v/>
      </c>
      <c r="J31" s="16">
        <f>J30-J29</f>
        <v/>
      </c>
      <c r="K31" s="16">
        <f>K30-K29</f>
        <v/>
      </c>
      <c r="L31" s="16">
        <f>L30-L29</f>
        <v/>
      </c>
      <c r="M31" s="16">
        <f>M30-M29</f>
        <v/>
      </c>
      <c r="N31" s="16">
        <f>N30-N29</f>
        <v/>
      </c>
      <c r="O31" s="16">
        <f>O30-O29</f>
        <v/>
      </c>
      <c r="P31" s="16">
        <f>P30-P29</f>
        <v/>
      </c>
      <c r="Q31" s="16">
        <f>Q30-Q29</f>
        <v/>
      </c>
      <c r="R31" s="16">
        <f>R30-R29</f>
        <v/>
      </c>
      <c r="S31" s="16">
        <f>S30-S29</f>
        <v/>
      </c>
      <c r="T31" s="16">
        <f>T30-T29</f>
        <v/>
      </c>
      <c r="U31" s="16">
        <f>U30-U29</f>
        <v/>
      </c>
      <c r="V31" s="16">
        <f>V30-V29</f>
        <v/>
      </c>
      <c r="W31" s="16">
        <f>W30-W29</f>
        <v/>
      </c>
      <c r="X31" s="16">
        <f>X30-X29</f>
        <v/>
      </c>
      <c r="Y31" s="16">
        <f>Y30-Y29</f>
        <v/>
      </c>
      <c r="Z31" s="16">
        <f>Z30-Z29</f>
        <v/>
      </c>
      <c r="AA31" s="16">
        <f>AA30-AA29</f>
        <v/>
      </c>
      <c r="AB31" s="16">
        <f>AB30-AB29</f>
        <v/>
      </c>
      <c r="AC31" s="16">
        <f>AC30-AC29</f>
        <v/>
      </c>
      <c r="AD31" s="16">
        <f>AD30-AD29</f>
        <v/>
      </c>
      <c r="AE31" s="16">
        <f>AE30-AE29</f>
        <v/>
      </c>
      <c r="AF31" s="16">
        <f>AF30-AF29</f>
        <v/>
      </c>
      <c r="AG31" s="16">
        <f>AG30-AG29</f>
        <v/>
      </c>
      <c r="AH31" s="16">
        <f>AH30-AH29</f>
        <v/>
      </c>
      <c r="AI31" s="17">
        <f>SUM(D31:AH31)</f>
        <v/>
      </c>
      <c r="AJ31" s="16">
        <f>AJ30-AJ29</f>
        <v/>
      </c>
      <c r="AK31" s="16">
        <f>AK30-AK29</f>
        <v/>
      </c>
      <c r="AL31" s="16">
        <f>AL30-AL29</f>
        <v/>
      </c>
      <c r="AM31" s="16">
        <f>AM30-AM29</f>
        <v/>
      </c>
      <c r="AN31" s="16">
        <f>AN30-AN29</f>
        <v/>
      </c>
      <c r="AO31" s="16">
        <f>AO30-AO29</f>
        <v/>
      </c>
      <c r="AP31" s="16">
        <f>AP30-AP29</f>
        <v/>
      </c>
      <c r="AQ31" s="16">
        <f>AQ30-AQ29</f>
        <v/>
      </c>
      <c r="AR31" s="16">
        <f>AR30-AR29</f>
        <v/>
      </c>
      <c r="AS31" s="16">
        <f>AS30-AS29</f>
        <v/>
      </c>
      <c r="AT31" s="16">
        <f>AT30-AT29</f>
        <v/>
      </c>
      <c r="AU31" s="16">
        <f>AU30-AU29</f>
        <v/>
      </c>
      <c r="AV31" s="16">
        <f>AV30-AV29</f>
        <v/>
      </c>
      <c r="AW31" s="16">
        <f>AW30-AW29</f>
        <v/>
      </c>
      <c r="AX31" s="16">
        <f>AX30-AX29</f>
        <v/>
      </c>
      <c r="AY31" s="16">
        <f>AY30-AY29</f>
        <v/>
      </c>
      <c r="AZ31" s="16">
        <f>AZ30-AZ29</f>
        <v/>
      </c>
      <c r="BA31" s="16">
        <f>BA30-BA29</f>
        <v/>
      </c>
      <c r="BB31" s="16">
        <f>BB30-BB29</f>
        <v/>
      </c>
      <c r="BC31" s="16">
        <f>BC30-BC29</f>
        <v/>
      </c>
      <c r="BD31" s="16">
        <f>BD30-BD29</f>
        <v/>
      </c>
      <c r="BE31" s="16">
        <f>BE30-BE29</f>
        <v/>
      </c>
      <c r="BF31" s="16">
        <f>BF30-BF29</f>
        <v/>
      </c>
      <c r="BG31" s="16">
        <f>BG30-BG29</f>
        <v/>
      </c>
      <c r="BH31" s="16">
        <f>BH30-BH29</f>
        <v/>
      </c>
      <c r="BI31" s="16">
        <f>BI30-BI29</f>
        <v/>
      </c>
      <c r="BJ31" s="16">
        <f>BJ30-BJ29</f>
        <v/>
      </c>
      <c r="BK31" s="16">
        <f>BK30-BK29</f>
        <v/>
      </c>
      <c r="BL31" s="16">
        <f>BL30-BL29</f>
        <v/>
      </c>
      <c r="BM31" s="16">
        <f>BM30-BM29</f>
        <v/>
      </c>
      <c r="BN31" s="89">
        <f>SUM(AJ31:BM31)</f>
        <v/>
      </c>
      <c r="BO31" s="16">
        <f>BO30-BO29</f>
        <v/>
      </c>
      <c r="BP31" s="16">
        <f>BP30-BP29</f>
        <v/>
      </c>
      <c r="BQ31" s="16">
        <f>BQ30-BQ29</f>
        <v/>
      </c>
      <c r="BR31" s="16">
        <f>BR30-BR29</f>
        <v/>
      </c>
      <c r="BS31" s="16">
        <f>BS30-BS29</f>
        <v/>
      </c>
      <c r="BT31" s="16">
        <f>BT30-BT29</f>
        <v/>
      </c>
      <c r="BU31" s="16">
        <f>BU30-BU29</f>
        <v/>
      </c>
      <c r="BV31" s="16">
        <f>BV30-BV29</f>
        <v/>
      </c>
      <c r="BW31" s="16">
        <f>BW30-BW29</f>
        <v/>
      </c>
      <c r="BX31" s="16">
        <f>BX30-BX29</f>
        <v/>
      </c>
      <c r="BY31" s="16">
        <f>BY30-BY29</f>
        <v/>
      </c>
      <c r="BZ31" s="16">
        <f>BZ30-BZ29</f>
        <v/>
      </c>
      <c r="CA31" s="16">
        <f>CA30-CA29</f>
        <v/>
      </c>
      <c r="CB31" s="16">
        <f>CB30-CB29</f>
        <v/>
      </c>
      <c r="CC31" s="16">
        <f>CC30-CC29</f>
        <v/>
      </c>
      <c r="CD31" s="16">
        <f>CD30-CD29</f>
        <v/>
      </c>
      <c r="CE31" s="16">
        <f>CE30-CE29</f>
        <v/>
      </c>
      <c r="CF31" s="16">
        <f>CF30-CF29</f>
        <v/>
      </c>
      <c r="CG31" s="16">
        <f>CG30-CG29</f>
        <v/>
      </c>
      <c r="CH31" s="16">
        <f>CH30-CH29</f>
        <v/>
      </c>
      <c r="CI31" s="16">
        <f>CI30-CI29</f>
        <v/>
      </c>
      <c r="CJ31" s="16">
        <f>CJ30-CJ29</f>
        <v/>
      </c>
      <c r="CK31" s="16">
        <f>CK30-CK29</f>
        <v/>
      </c>
      <c r="CL31" s="16">
        <f>CL30-CL29</f>
        <v/>
      </c>
      <c r="CM31" s="16">
        <f>CM30-CM29</f>
        <v/>
      </c>
      <c r="CN31" s="16">
        <f>CN30-CN29</f>
        <v/>
      </c>
      <c r="CO31" s="16">
        <f>CO30-CO29</f>
        <v/>
      </c>
      <c r="CP31" s="16">
        <f>CP30-CP29</f>
        <v/>
      </c>
      <c r="CQ31" s="16">
        <f>CQ30-CQ29</f>
        <v/>
      </c>
      <c r="CR31" s="16">
        <f>CR30-CR29</f>
        <v/>
      </c>
      <c r="CS31" s="16">
        <f>CS30-CS29</f>
        <v/>
      </c>
      <c r="CT31" s="89">
        <f>SUM(BO31:CS31)</f>
        <v/>
      </c>
      <c r="CU31" s="16">
        <f>CU30-CU29</f>
        <v/>
      </c>
      <c r="CV31" s="16">
        <f>CV30-CV29</f>
        <v/>
      </c>
      <c r="CW31" s="16">
        <f>CW30-CW29</f>
        <v/>
      </c>
      <c r="CX31" s="16">
        <f>CX30-CX29</f>
        <v/>
      </c>
      <c r="CY31" s="16">
        <f>CY30-CY29</f>
        <v/>
      </c>
      <c r="CZ31" s="16">
        <f>CZ30-CZ29</f>
        <v/>
      </c>
      <c r="DA31" s="16">
        <f>DA30-DA29</f>
        <v/>
      </c>
      <c r="DB31" s="16">
        <f>DB30-DB29</f>
        <v/>
      </c>
      <c r="DC31" s="16">
        <f>DC30-DC29</f>
        <v/>
      </c>
      <c r="DD31" s="16">
        <f>DD30-DD29</f>
        <v/>
      </c>
      <c r="DE31" s="16">
        <f>DE30-DE29</f>
        <v/>
      </c>
      <c r="DF31" s="16">
        <f>DF30-DF29</f>
        <v/>
      </c>
      <c r="DG31" s="16">
        <f>DG30-DG29</f>
        <v/>
      </c>
      <c r="DH31" s="16">
        <f>DH30-DH29</f>
        <v/>
      </c>
      <c r="DI31" s="16">
        <f>DI30-DI29</f>
        <v/>
      </c>
      <c r="DJ31" s="16">
        <f>DJ30-DJ29</f>
        <v/>
      </c>
      <c r="DK31" s="16">
        <f>DK30-DK29</f>
        <v/>
      </c>
      <c r="DL31" s="16">
        <f>DL30-DL29</f>
        <v/>
      </c>
      <c r="DM31" s="16">
        <f>DM30-DM29</f>
        <v/>
      </c>
      <c r="DN31" s="16">
        <f>DN30-DN29</f>
        <v/>
      </c>
      <c r="DO31" s="16">
        <f>DO30-DO29</f>
        <v/>
      </c>
      <c r="DP31" s="16">
        <f>DP30-DP29</f>
        <v/>
      </c>
      <c r="DQ31" s="16">
        <f>DQ30-DQ29</f>
        <v/>
      </c>
      <c r="DR31" s="16">
        <f>DR30-DR29</f>
        <v/>
      </c>
      <c r="DS31" s="16">
        <f>DS30-DS29</f>
        <v/>
      </c>
      <c r="DT31" s="16">
        <f>DT30-DT29</f>
        <v/>
      </c>
      <c r="DU31" s="16">
        <f>DU30-DU29</f>
        <v/>
      </c>
      <c r="DV31" s="16">
        <f>DV30-DV29</f>
        <v/>
      </c>
      <c r="DW31" s="16">
        <f>DW30-DW29</f>
        <v/>
      </c>
      <c r="DX31" s="16">
        <f>DX30-DX29</f>
        <v/>
      </c>
      <c r="DY31" s="116">
        <f>SUM(CU31:DX31)</f>
        <v/>
      </c>
      <c r="DZ31" s="16">
        <f>DZ30-DZ29</f>
        <v/>
      </c>
      <c r="EA31" s="16">
        <f>EA30-EA29</f>
        <v/>
      </c>
      <c r="EB31" s="16">
        <f>EB30-EB29</f>
        <v/>
      </c>
      <c r="EC31" s="16">
        <f>EC30-EC29</f>
        <v/>
      </c>
      <c r="ED31" s="16">
        <f>ED30-ED29</f>
        <v/>
      </c>
      <c r="EE31" s="16">
        <f>EE30-EE29</f>
        <v/>
      </c>
      <c r="EF31" s="16">
        <f>EF30-EF29</f>
        <v/>
      </c>
      <c r="EG31" s="16">
        <f>EG30-EG29</f>
        <v/>
      </c>
      <c r="EH31" s="16">
        <f>EH30-EH29</f>
        <v/>
      </c>
      <c r="EI31" s="16">
        <f>EI30-EI29</f>
        <v/>
      </c>
      <c r="EJ31" s="16">
        <f>EJ30-EJ29</f>
        <v/>
      </c>
      <c r="EK31" s="16">
        <f>EK30-EK29</f>
        <v/>
      </c>
      <c r="EL31" s="16">
        <f>EL30-EL29</f>
        <v/>
      </c>
      <c r="EM31" s="16">
        <f>EM30-EM29</f>
        <v/>
      </c>
      <c r="EN31" s="16">
        <f>EN30-EN29</f>
        <v/>
      </c>
      <c r="EO31" s="16">
        <f>EO30-EO29</f>
        <v/>
      </c>
      <c r="EP31" s="16">
        <f>EP30-EP29</f>
        <v/>
      </c>
      <c r="EQ31" s="16">
        <f>EQ30-EQ29</f>
        <v/>
      </c>
      <c r="ER31" s="16">
        <f>ER30-ER29</f>
        <v/>
      </c>
      <c r="ES31" s="16">
        <f>ES30-ES29</f>
        <v/>
      </c>
      <c r="ET31" s="16">
        <f>ET30-ET29</f>
        <v/>
      </c>
      <c r="EU31" s="16">
        <f>EU30-EU29</f>
        <v/>
      </c>
      <c r="EV31" s="16">
        <f>EV30-EV29</f>
        <v/>
      </c>
      <c r="EW31" s="16">
        <f>EW30-EW29</f>
        <v/>
      </c>
      <c r="EX31" s="16">
        <f>EX30-EX29</f>
        <v/>
      </c>
      <c r="EY31" s="16">
        <f>EY30-EY29</f>
        <v/>
      </c>
      <c r="EZ31" s="16">
        <f>EZ30-EZ29</f>
        <v/>
      </c>
      <c r="FA31" s="16">
        <f>FA30-FA29</f>
        <v/>
      </c>
      <c r="FB31" s="16">
        <f>FB30-FB29</f>
        <v/>
      </c>
      <c r="FC31" s="16">
        <f>FC30-FC29</f>
        <v/>
      </c>
      <c r="FD31" s="16">
        <f>FD30-FD29</f>
        <v/>
      </c>
      <c r="FE31" s="127">
        <f>SUM(DZ31:FD31)</f>
        <v/>
      </c>
      <c r="FF31" s="16">
        <f>FF30-FF29</f>
        <v/>
      </c>
      <c r="FG31" s="16">
        <f>FG30-FG29</f>
        <v/>
      </c>
      <c r="FH31" s="16">
        <f>FH30-FH29</f>
        <v/>
      </c>
      <c r="FI31" s="16">
        <f>FI30-FI29</f>
        <v/>
      </c>
      <c r="FJ31" s="16">
        <f>FJ30-FJ29</f>
        <v/>
      </c>
      <c r="FK31" s="16">
        <f>FK30-FK29</f>
        <v/>
      </c>
      <c r="FL31" s="16">
        <f>FL30-FL29</f>
        <v/>
      </c>
      <c r="FM31" s="16">
        <f>FM30-FM29</f>
        <v/>
      </c>
      <c r="FN31" s="16">
        <f>FN30-FN29</f>
        <v/>
      </c>
      <c r="FO31" s="16">
        <f>FO30-FO29</f>
        <v/>
      </c>
      <c r="FP31" s="16">
        <f>FP30-FP29</f>
        <v/>
      </c>
      <c r="FQ31" s="16">
        <f>FQ30-FQ29</f>
        <v/>
      </c>
      <c r="FR31" s="16">
        <f>FR30-FR29</f>
        <v/>
      </c>
      <c r="FS31" s="16">
        <f>FS30-FS29</f>
        <v/>
      </c>
      <c r="FT31" s="16">
        <f>FT30-FT29</f>
        <v/>
      </c>
      <c r="FU31" s="16">
        <f>FU30-FU29</f>
        <v/>
      </c>
      <c r="FV31" s="16">
        <f>FV30-FV29</f>
        <v/>
      </c>
      <c r="FW31" s="16">
        <f>FW30-FW29</f>
        <v/>
      </c>
      <c r="FX31" s="16">
        <f>FX30-FX29</f>
        <v/>
      </c>
      <c r="FY31" s="16">
        <f>FY30-FY29</f>
        <v/>
      </c>
      <c r="FZ31" s="16">
        <f>FZ30-FZ29</f>
        <v/>
      </c>
      <c r="GA31" s="16">
        <f>GA30-GA29</f>
        <v/>
      </c>
      <c r="GB31" s="16">
        <f>GB30-GB29</f>
        <v/>
      </c>
      <c r="GC31" s="16">
        <f>GC30-GC29</f>
        <v/>
      </c>
      <c r="GD31" s="16">
        <f>GD30-GD29</f>
        <v/>
      </c>
      <c r="GE31" s="16">
        <f>GE30-GE29</f>
        <v/>
      </c>
      <c r="GF31" s="16">
        <f>GF30-GF29</f>
        <v/>
      </c>
      <c r="GG31" s="16">
        <f>GG30-GG29</f>
        <v/>
      </c>
      <c r="GH31" s="16">
        <f>GH30-GH29</f>
        <v/>
      </c>
      <c r="GI31" s="16">
        <f>GI30-GI29</f>
        <v/>
      </c>
      <c r="GJ31" s="16">
        <f>GJ30-GJ29</f>
        <v/>
      </c>
      <c r="GK31" s="126" t="n"/>
      <c r="GL31" s="16">
        <f>GL30-GL29</f>
        <v/>
      </c>
      <c r="GM31" s="16">
        <f>GM30-GM29</f>
        <v/>
      </c>
      <c r="GN31" s="16">
        <f>GN30-GN29</f>
        <v/>
      </c>
      <c r="GO31" s="16">
        <f>GO30-GO29</f>
        <v/>
      </c>
      <c r="GP31" s="16">
        <f>GP30-GP29</f>
        <v/>
      </c>
      <c r="GQ31" s="16">
        <f>GQ30-GQ29</f>
        <v/>
      </c>
      <c r="GR31" s="16">
        <f>GR30-GR29</f>
        <v/>
      </c>
      <c r="GS31" s="16">
        <f>GS30-GS29</f>
        <v/>
      </c>
      <c r="GT31" s="16">
        <f>GT30-GT29</f>
        <v/>
      </c>
      <c r="GU31" s="16">
        <f>GU30-GU29</f>
        <v/>
      </c>
      <c r="GV31" s="16">
        <f>GV30-GV29</f>
        <v/>
      </c>
      <c r="GW31" s="16">
        <f>GW30-GW29</f>
        <v/>
      </c>
      <c r="GX31" s="16">
        <f>GX30-GX29</f>
        <v/>
      </c>
      <c r="GY31" s="16">
        <f>GY30-GY29</f>
        <v/>
      </c>
      <c r="GZ31" s="16">
        <f>GZ30-GZ29</f>
        <v/>
      </c>
      <c r="HA31" s="16">
        <f>HA30-HA29</f>
        <v/>
      </c>
      <c r="HB31" s="16">
        <f>HB30-HB29</f>
        <v/>
      </c>
      <c r="HC31" s="16">
        <f>HC30-HC29</f>
        <v/>
      </c>
      <c r="HD31" s="16">
        <f>HD30-HD29</f>
        <v/>
      </c>
      <c r="HE31" s="16">
        <f>HE30-HE29</f>
        <v/>
      </c>
      <c r="HF31" s="16">
        <f>HF30-HF29</f>
        <v/>
      </c>
      <c r="HG31" s="16">
        <f>HG30-HG29</f>
        <v/>
      </c>
      <c r="HH31" s="16">
        <f>HH30-HH29</f>
        <v/>
      </c>
      <c r="HI31" s="16">
        <f>HI30-HI29</f>
        <v/>
      </c>
      <c r="HJ31" s="16">
        <f>HJ30-HJ29</f>
        <v/>
      </c>
      <c r="HK31" s="16">
        <f>HK30-HK29</f>
        <v/>
      </c>
      <c r="HL31" s="16">
        <f>HL30-HL29</f>
        <v/>
      </c>
      <c r="HM31" s="16">
        <f>HM30-HM29</f>
        <v/>
      </c>
      <c r="HN31" s="16">
        <f>HN30-HN29</f>
        <v/>
      </c>
      <c r="HO31" s="126" t="n"/>
      <c r="HP31" s="16">
        <f>HP30-HP29</f>
        <v/>
      </c>
      <c r="HQ31" s="16">
        <f>HQ30-HQ29</f>
        <v/>
      </c>
      <c r="HR31" s="16">
        <f>HR30-HR29</f>
        <v/>
      </c>
      <c r="HS31" s="16">
        <f>HS30-HS29</f>
        <v/>
      </c>
      <c r="HT31" s="16">
        <f>HT30-HT29</f>
        <v/>
      </c>
      <c r="HU31" s="16">
        <f>HU30-HU29</f>
        <v/>
      </c>
      <c r="HV31" s="16">
        <f>HV30-HV29</f>
        <v/>
      </c>
      <c r="HW31" s="16">
        <f>HW30-HW29</f>
        <v/>
      </c>
      <c r="HX31" s="16">
        <f>HX30-HX29</f>
        <v/>
      </c>
      <c r="HY31" s="16">
        <f>HY30-HY29</f>
        <v/>
      </c>
      <c r="HZ31" s="16">
        <f>HZ30-HZ29</f>
        <v/>
      </c>
      <c r="IA31" s="16">
        <f>IA30-IA29</f>
        <v/>
      </c>
      <c r="IB31" s="16">
        <f>IB30-IB29</f>
        <v/>
      </c>
      <c r="IC31" s="16">
        <f>IC30-IC29</f>
        <v/>
      </c>
      <c r="ID31" s="16">
        <f>ID30-ID29</f>
        <v/>
      </c>
      <c r="IE31" s="16">
        <f>IE30-IE29</f>
        <v/>
      </c>
      <c r="IF31" s="16">
        <f>IF30-IF29</f>
        <v/>
      </c>
      <c r="IG31" s="16">
        <f>IG30-IG29</f>
        <v/>
      </c>
      <c r="IH31" s="16">
        <f>IH30-IH29</f>
        <v/>
      </c>
      <c r="II31" s="16">
        <f>II30-II29</f>
        <v/>
      </c>
      <c r="IJ31" s="16">
        <f>IJ30-IJ29</f>
        <v/>
      </c>
      <c r="IK31" s="16">
        <f>IK30-IK29</f>
        <v/>
      </c>
      <c r="IL31" s="16">
        <f>IL30-IL29</f>
        <v/>
      </c>
      <c r="IM31" s="16">
        <f>IM30-IM29</f>
        <v/>
      </c>
      <c r="IN31" s="16">
        <f>IN30-IN29</f>
        <v/>
      </c>
      <c r="IO31" s="16">
        <f>IO30-IO29</f>
        <v/>
      </c>
      <c r="IP31" s="16">
        <f>IP30-IP29</f>
        <v/>
      </c>
      <c r="IQ31" s="16">
        <f>IQ30-IQ29</f>
        <v/>
      </c>
      <c r="IR31" s="16">
        <f>IR30-IR29</f>
        <v/>
      </c>
      <c r="IS31" s="16">
        <f>IS30-IS29</f>
        <v/>
      </c>
      <c r="IT31" s="16">
        <f>IT30-IT29</f>
        <v/>
      </c>
      <c r="IU31" s="126" t="n"/>
      <c r="IV31" s="16">
        <f>IV30-IV29</f>
        <v/>
      </c>
      <c r="IW31" s="16">
        <f>IW30-IW29</f>
        <v/>
      </c>
      <c r="IX31" s="16">
        <f>IX30-IX29</f>
        <v/>
      </c>
      <c r="IY31" s="16">
        <f>IY30-IY29</f>
        <v/>
      </c>
      <c r="IZ31" s="16">
        <f>IZ30-IZ29</f>
        <v/>
      </c>
      <c r="JA31" s="16">
        <f>JA30-JA29</f>
        <v/>
      </c>
      <c r="JB31" s="16">
        <f>JB30-JB29</f>
        <v/>
      </c>
      <c r="JC31" s="16">
        <f>JC30-JC29</f>
        <v/>
      </c>
      <c r="JD31" s="16">
        <f>JD30-JD29</f>
        <v/>
      </c>
      <c r="JE31" s="16">
        <f>JE30-JE29</f>
        <v/>
      </c>
      <c r="JF31" s="16">
        <f>JF30-JF29</f>
        <v/>
      </c>
      <c r="JG31" s="16">
        <f>JG30-JG29</f>
        <v/>
      </c>
      <c r="JH31" s="16">
        <f>JH30-JH29</f>
        <v/>
      </c>
      <c r="JI31" s="16">
        <f>JI30-JI29</f>
        <v/>
      </c>
      <c r="JJ31" s="16">
        <f>JJ30-JJ29</f>
        <v/>
      </c>
      <c r="JK31" s="16">
        <f>JK30-JK29</f>
        <v/>
      </c>
      <c r="JL31" s="16">
        <f>JL30-JL29</f>
        <v/>
      </c>
      <c r="JM31" s="16">
        <f>JM30-JM29</f>
        <v/>
      </c>
      <c r="JN31" s="16">
        <f>JN30-JN29</f>
        <v/>
      </c>
      <c r="JO31" s="16">
        <f>JO30-JO29</f>
        <v/>
      </c>
      <c r="JP31" s="16">
        <f>JP30-JP29</f>
        <v/>
      </c>
      <c r="JQ31" s="16">
        <f>JQ30-JQ29</f>
        <v/>
      </c>
      <c r="JR31" s="16">
        <f>JR30-JR29</f>
        <v/>
      </c>
      <c r="JS31" s="16">
        <f>JS30-JS29</f>
        <v/>
      </c>
      <c r="JT31" s="16">
        <f>JT30-JT29</f>
        <v/>
      </c>
      <c r="JU31" s="16">
        <f>JU30-JU29</f>
        <v/>
      </c>
      <c r="JV31" s="16">
        <f>JV30-JV29</f>
        <v/>
      </c>
      <c r="JW31" s="16">
        <f>JW30-JW29</f>
        <v/>
      </c>
      <c r="JX31" s="16">
        <f>JX30-JX29</f>
        <v/>
      </c>
      <c r="JY31" s="16">
        <f>JY30-JY29</f>
        <v/>
      </c>
      <c r="JZ31" s="127">
        <f>SUM(IV31:JY31)</f>
        <v/>
      </c>
      <c r="KA31" s="16">
        <f>KA30-KA29</f>
        <v/>
      </c>
      <c r="KB31" s="16">
        <f>KB30-KB29</f>
        <v/>
      </c>
      <c r="KC31" s="16">
        <f>KC30-KC29</f>
        <v/>
      </c>
      <c r="KD31" s="16">
        <f>KD30-KD29</f>
        <v/>
      </c>
      <c r="KE31" s="16">
        <f>KE30-KE29</f>
        <v/>
      </c>
      <c r="KF31" s="16">
        <f>KF30-KF29</f>
        <v/>
      </c>
      <c r="KG31" s="16">
        <f>KG30-KG29</f>
        <v/>
      </c>
      <c r="KH31" s="16">
        <f>KH30-KH29</f>
        <v/>
      </c>
      <c r="KI31" s="16">
        <f>KI30-KI29</f>
        <v/>
      </c>
      <c r="KJ31" s="16">
        <f>KJ30-KJ29</f>
        <v/>
      </c>
      <c r="KK31" s="16">
        <f>KK30-KK29</f>
        <v/>
      </c>
      <c r="KL31" s="16">
        <f>KL30-KL29</f>
        <v/>
      </c>
      <c r="KM31" s="16">
        <f>KM30-KM29</f>
        <v/>
      </c>
      <c r="KN31" s="16">
        <f>KN30-KN29</f>
        <v/>
      </c>
      <c r="KO31" s="16">
        <f>KO30-KO29</f>
        <v/>
      </c>
      <c r="KP31" s="16">
        <f>KP30-KP29</f>
        <v/>
      </c>
      <c r="KQ31" s="16">
        <f>KQ30-KQ29</f>
        <v/>
      </c>
      <c r="KR31" s="16">
        <f>KR30-KR29</f>
        <v/>
      </c>
      <c r="KS31" s="16">
        <f>KS30-KS29</f>
        <v/>
      </c>
      <c r="KT31" s="16">
        <f>KT30-KT29</f>
        <v/>
      </c>
      <c r="KU31" s="16">
        <f>KU30-KU29</f>
        <v/>
      </c>
      <c r="KV31" s="16">
        <f>KV30-KV29</f>
        <v/>
      </c>
      <c r="KW31" s="16">
        <f>KW30-KW29</f>
        <v/>
      </c>
      <c r="KX31" s="16">
        <f>KX30-KX29</f>
        <v/>
      </c>
      <c r="KY31" s="16">
        <f>KY30-KY29</f>
        <v/>
      </c>
      <c r="KZ31" s="16">
        <f>KZ30-KZ29</f>
        <v/>
      </c>
      <c r="LA31" s="16">
        <f>LA30-LA29</f>
        <v/>
      </c>
      <c r="LB31" s="16">
        <f>LB30-LB29</f>
        <v/>
      </c>
      <c r="LC31" s="16">
        <f>LC30-LC29</f>
        <v/>
      </c>
      <c r="LD31" s="16">
        <f>LD30-LD29</f>
        <v/>
      </c>
      <c r="LE31" s="16">
        <f>LE30-LE29</f>
        <v/>
      </c>
      <c r="LF31" s="127">
        <f>SUM(KB31:LE31)</f>
        <v/>
      </c>
      <c r="LG31" s="16">
        <f>LG30-LG29</f>
        <v/>
      </c>
      <c r="LH31" s="16">
        <f>LH30-LH29</f>
        <v/>
      </c>
      <c r="LI31" s="16">
        <f>LI30-LI29</f>
        <v/>
      </c>
      <c r="LJ31" s="16">
        <f>LJ30-LJ29</f>
        <v/>
      </c>
      <c r="LK31" s="16">
        <f>LK30-LK29</f>
        <v/>
      </c>
      <c r="LL31" s="16">
        <f>LL30-LL29</f>
        <v/>
      </c>
      <c r="LM31" s="16">
        <f>LM30-LM29</f>
        <v/>
      </c>
      <c r="LN31" s="16">
        <f>LN30-LN29</f>
        <v/>
      </c>
      <c r="LO31" s="16">
        <f>LO30-LO29</f>
        <v/>
      </c>
      <c r="LP31" s="16">
        <f>LP30-LP29</f>
        <v/>
      </c>
      <c r="LQ31" s="16">
        <f>LQ30-LQ29</f>
        <v/>
      </c>
      <c r="LR31" s="16">
        <f>LR30-LR29</f>
        <v/>
      </c>
      <c r="LS31" s="16">
        <f>LS30-LS29</f>
        <v/>
      </c>
      <c r="LT31" s="16">
        <f>LT30-LT29</f>
        <v/>
      </c>
      <c r="LU31" s="16">
        <f>LU30-LU29</f>
        <v/>
      </c>
      <c r="LV31" s="16">
        <f>LV30-LV29</f>
        <v/>
      </c>
      <c r="LW31" s="16">
        <f>LW30-LW29</f>
        <v/>
      </c>
      <c r="LX31" s="16">
        <f>LX30-LX29</f>
        <v/>
      </c>
      <c r="LY31" s="16">
        <f>LY30-LY29</f>
        <v/>
      </c>
      <c r="LZ31" s="16">
        <f>LZ30-LZ29</f>
        <v/>
      </c>
      <c r="MA31" s="16">
        <f>MA30-MA29</f>
        <v/>
      </c>
      <c r="MB31" s="16">
        <f>MB30-MB29</f>
        <v/>
      </c>
      <c r="MC31" s="16">
        <f>MC30-MC29</f>
        <v/>
      </c>
      <c r="MD31" s="16">
        <f>MD30-MD29</f>
        <v/>
      </c>
      <c r="ME31" s="16">
        <f>ME30-ME29</f>
        <v/>
      </c>
      <c r="MF31" s="16">
        <f>MF30-MF29</f>
        <v/>
      </c>
      <c r="MG31" s="16">
        <f>MG30-MG29</f>
        <v/>
      </c>
      <c r="MH31" s="16">
        <f>MH30-MH29</f>
        <v/>
      </c>
      <c r="MI31" s="16">
        <f>MI30-MI29</f>
        <v/>
      </c>
      <c r="MJ31" s="16">
        <f>MJ30-MJ29</f>
        <v/>
      </c>
      <c r="MK31" s="127">
        <f>SUM(LG31:MJ31)</f>
        <v/>
      </c>
      <c r="ML31" s="16">
        <f>ML30-ML29</f>
        <v/>
      </c>
      <c r="MM31" s="16">
        <f>MM30-MM29</f>
        <v/>
      </c>
      <c r="MN31" s="16">
        <f>MN30-MN29</f>
        <v/>
      </c>
      <c r="MO31" s="16">
        <f>MO30-MO29</f>
        <v/>
      </c>
      <c r="MP31" s="16">
        <f>MP30-MP29</f>
        <v/>
      </c>
      <c r="MQ31" s="16">
        <f>MQ30-MQ29</f>
        <v/>
      </c>
      <c r="MR31" s="16">
        <f>MR30-MR29</f>
        <v/>
      </c>
      <c r="MS31" s="16">
        <f>MS30-MS29</f>
        <v/>
      </c>
      <c r="MT31" s="16">
        <f>MT30-MT29</f>
        <v/>
      </c>
      <c r="MU31" s="16">
        <f>MU30-MU29</f>
        <v/>
      </c>
      <c r="MV31" s="16">
        <f>MV30-MV29</f>
        <v/>
      </c>
      <c r="MW31" s="16">
        <f>MW30-MW29</f>
        <v/>
      </c>
      <c r="MX31" s="16">
        <f>MX30-MX29</f>
        <v/>
      </c>
      <c r="MY31" s="16">
        <f>MY30-MY29</f>
        <v/>
      </c>
      <c r="MZ31" s="16">
        <f>MZ30-MZ29</f>
        <v/>
      </c>
      <c r="NA31" s="16">
        <f>NA30-NA29</f>
        <v/>
      </c>
      <c r="NB31" s="16">
        <f>NB30-NB29</f>
        <v/>
      </c>
      <c r="NC31" s="16">
        <f>NC30-NC29</f>
        <v/>
      </c>
      <c r="ND31" s="16">
        <f>ND30-ND29</f>
        <v/>
      </c>
      <c r="NE31" s="16">
        <f>NE30-NE29</f>
        <v/>
      </c>
      <c r="NF31" s="16">
        <f>NF30-NF29</f>
        <v/>
      </c>
      <c r="NG31" s="16">
        <f>NG30-NG29</f>
        <v/>
      </c>
      <c r="NH31" s="16">
        <f>NH30-NH29</f>
        <v/>
      </c>
      <c r="NI31" s="16">
        <f>NI30-NI29</f>
        <v/>
      </c>
      <c r="NJ31" s="16">
        <f>NJ30-NJ29</f>
        <v/>
      </c>
      <c r="NK31" s="16">
        <f>NK30-NK29</f>
        <v/>
      </c>
      <c r="NL31" s="16">
        <f>NL30-NL29</f>
        <v/>
      </c>
      <c r="NM31" s="16">
        <f>NM30-NM29</f>
        <v/>
      </c>
      <c r="NN31" s="16">
        <f>NN30-NN29</f>
        <v/>
      </c>
      <c r="NO31" s="16">
        <f>NO30-NO29</f>
        <v/>
      </c>
      <c r="NP31" s="16">
        <f>NP30-NP29</f>
        <v/>
      </c>
      <c r="NQ31" s="127">
        <f>SUM(MM31:NP31)</f>
        <v/>
      </c>
      <c r="NR31" s="16">
        <f>NR30-NR29</f>
        <v/>
      </c>
      <c r="NS31" s="16">
        <f>NS30-NS29</f>
        <v/>
      </c>
      <c r="NT31" s="16">
        <f>NT30-NT29</f>
        <v/>
      </c>
      <c r="NU31" s="16">
        <f>NU30-NU29</f>
        <v/>
      </c>
      <c r="NV31" s="16">
        <f>NV30-NV29</f>
        <v/>
      </c>
      <c r="NW31" s="16">
        <f>NW30-NW29</f>
        <v/>
      </c>
      <c r="NX31" s="16">
        <f>NX30-NX29</f>
        <v/>
      </c>
      <c r="NY31" s="16">
        <f>NY30-NY29</f>
        <v/>
      </c>
      <c r="NZ31" s="16">
        <f>NZ30-NZ29</f>
        <v/>
      </c>
      <c r="OA31" s="16">
        <f>OA30-OA29</f>
        <v/>
      </c>
      <c r="OB31" s="16">
        <f>OB30-OB29</f>
        <v/>
      </c>
      <c r="OC31" s="16">
        <f>OC30-OC29</f>
        <v/>
      </c>
      <c r="OD31" s="16">
        <f>OD30-OD29</f>
        <v/>
      </c>
      <c r="OE31" s="16">
        <f>OE30-OE29</f>
        <v/>
      </c>
      <c r="OF31" s="16">
        <f>OF30-OF29</f>
        <v/>
      </c>
      <c r="OG31" s="16">
        <f>OG30-OG29</f>
        <v/>
      </c>
      <c r="OH31" s="16">
        <f>OH30-OH29</f>
        <v/>
      </c>
      <c r="OI31" s="16">
        <f>OI30-OI29</f>
        <v/>
      </c>
      <c r="OJ31" s="16">
        <f>OJ30-OJ29</f>
        <v/>
      </c>
      <c r="OK31" s="16">
        <f>OK30-OK29</f>
        <v/>
      </c>
      <c r="OL31" s="16">
        <f>OL30-OL29</f>
        <v/>
      </c>
      <c r="OM31" s="16">
        <f>OM30-OM29</f>
        <v/>
      </c>
      <c r="ON31" s="16">
        <f>ON30-ON29</f>
        <v/>
      </c>
      <c r="OO31" s="16">
        <f>OO30-OO29</f>
        <v/>
      </c>
      <c r="OP31" s="16">
        <f>OP30-OP29</f>
        <v/>
      </c>
      <c r="OQ31" s="16">
        <f>OQ30-OQ29</f>
        <v/>
      </c>
      <c r="OR31" s="16">
        <f>OR30-OR29</f>
        <v/>
      </c>
      <c r="OS31" s="16">
        <f>OS30-OS29</f>
        <v/>
      </c>
      <c r="OT31" s="16">
        <f>OT30-OT29</f>
        <v/>
      </c>
      <c r="OU31" s="16">
        <f>OU30-OU29</f>
        <v/>
      </c>
      <c r="OV31" s="16">
        <f>OV30-OV29</f>
        <v/>
      </c>
      <c r="OW31" s="127">
        <f>SUM(NS31:OV31)</f>
        <v/>
      </c>
      <c r="OX31" s="16">
        <f>OX30-OX29</f>
        <v/>
      </c>
      <c r="OY31" s="16">
        <f>OY30-OY29</f>
        <v/>
      </c>
      <c r="OZ31" s="16">
        <f>OZ30-OZ29</f>
        <v/>
      </c>
      <c r="PA31" s="16">
        <f>PA30-PA29</f>
        <v/>
      </c>
      <c r="PB31" s="16">
        <f>PB30-PB29</f>
        <v/>
      </c>
      <c r="PC31" s="16">
        <f>PC30-PC29</f>
        <v/>
      </c>
      <c r="PD31" s="16">
        <f>PD30-PD29</f>
        <v/>
      </c>
      <c r="PE31" s="16">
        <f>PE30-PE29</f>
        <v/>
      </c>
      <c r="PF31" s="16">
        <f>PF30-PF29</f>
        <v/>
      </c>
      <c r="PG31" s="16">
        <f>PG30-PG29</f>
        <v/>
      </c>
      <c r="PH31" s="16">
        <f>PH30-PH29</f>
        <v/>
      </c>
      <c r="PI31" s="16">
        <f>PI30-PI29</f>
        <v/>
      </c>
      <c r="PJ31" s="16">
        <f>PJ30-PJ29</f>
        <v/>
      </c>
      <c r="PK31" s="16">
        <f>PK30-PK29</f>
        <v/>
      </c>
      <c r="PL31" s="16">
        <f>PL30-PL29</f>
        <v/>
      </c>
      <c r="PM31" s="16">
        <f>PM30-PM29</f>
        <v/>
      </c>
      <c r="PN31" s="16">
        <f>PN30-PN29</f>
        <v/>
      </c>
      <c r="PO31" s="16">
        <f>PO30-PO29</f>
        <v/>
      </c>
      <c r="PP31" s="16">
        <f>PP30-PP29</f>
        <v/>
      </c>
      <c r="PQ31" s="16">
        <f>PQ30-PQ29</f>
        <v/>
      </c>
      <c r="PR31" s="16">
        <f>PR30-PR29</f>
        <v/>
      </c>
      <c r="PS31" s="16">
        <f>PS30-PS29</f>
        <v/>
      </c>
      <c r="PT31" s="16">
        <f>PT30-PT29</f>
        <v/>
      </c>
      <c r="PU31" s="16">
        <f>PU30-PU29</f>
        <v/>
      </c>
      <c r="PV31" s="16">
        <f>PV30-PV29</f>
        <v/>
      </c>
      <c r="PW31" s="16">
        <f>PW30-PW29</f>
        <v/>
      </c>
      <c r="PX31" s="16">
        <f>PX30-PX29</f>
        <v/>
      </c>
      <c r="PY31" s="16">
        <f>PY30-PY29</f>
        <v/>
      </c>
      <c r="PZ31" s="16">
        <f>PZ30-PZ29</f>
        <v/>
      </c>
      <c r="QA31" s="16">
        <f>QA30-QA29</f>
        <v/>
      </c>
      <c r="QB31" s="127">
        <f>SUM(OX31:QA31)</f>
        <v/>
      </c>
      <c r="QC31" s="16">
        <f>QC30-QC29</f>
        <v/>
      </c>
      <c r="QD31" s="16">
        <f>QD30-QD29</f>
        <v/>
      </c>
      <c r="QE31" s="16">
        <f>QE30-QE29</f>
        <v/>
      </c>
      <c r="QF31" s="16">
        <f>QF30-QF29</f>
        <v/>
      </c>
      <c r="QG31" s="16">
        <f>QG30-QG29</f>
        <v/>
      </c>
      <c r="QH31" s="16">
        <f>QH30-QH29</f>
        <v/>
      </c>
      <c r="QI31" s="16">
        <f>QI30-QI29</f>
        <v/>
      </c>
      <c r="QJ31" s="16">
        <f>QJ30-QJ29</f>
        <v/>
      </c>
      <c r="QK31" s="16">
        <f>QK30-QK29</f>
        <v/>
      </c>
      <c r="QL31" s="16">
        <f>QL30-QL29</f>
        <v/>
      </c>
      <c r="QM31" s="16">
        <f>QM30-QM29</f>
        <v/>
      </c>
      <c r="QN31" s="16">
        <f>QN30-QN29</f>
        <v/>
      </c>
      <c r="QO31" s="16">
        <f>QO30-QO29</f>
        <v/>
      </c>
      <c r="QP31" s="16">
        <f>QP30-QP29</f>
        <v/>
      </c>
      <c r="QQ31" s="16">
        <f>QQ30-QQ29</f>
        <v/>
      </c>
      <c r="QR31" s="16">
        <f>QR30-QR29</f>
        <v/>
      </c>
      <c r="QS31" s="16">
        <f>QS30-QS29</f>
        <v/>
      </c>
      <c r="QT31" s="16">
        <f>QT30-QT29</f>
        <v/>
      </c>
      <c r="QU31" s="16">
        <f>QU30-QU29</f>
        <v/>
      </c>
      <c r="QV31" s="16">
        <f>QV30-QV29</f>
        <v/>
      </c>
      <c r="QW31" s="16">
        <f>QW30-QW29</f>
        <v/>
      </c>
      <c r="QX31" s="16">
        <f>QX30-QX29</f>
        <v/>
      </c>
      <c r="QY31" s="16">
        <f>QY30-QY29</f>
        <v/>
      </c>
      <c r="QZ31" s="16">
        <f>QZ30-QZ29</f>
        <v/>
      </c>
      <c r="RA31" s="16">
        <f>RA30-RA29</f>
        <v/>
      </c>
      <c r="RB31" s="16">
        <f>RB30-RB29</f>
        <v/>
      </c>
      <c r="RC31" s="16">
        <f>RC30-RC29</f>
        <v/>
      </c>
      <c r="RD31" s="16">
        <f>RD30-RD29</f>
        <v/>
      </c>
      <c r="RE31" s="16">
        <f>RE30-RE29</f>
        <v/>
      </c>
      <c r="RF31" s="16">
        <f>RF30-RF29</f>
        <v/>
      </c>
      <c r="RG31" s="16">
        <f>RG30-RG29</f>
        <v/>
      </c>
      <c r="RH31" s="127">
        <f>SUM(QD31:RG31)</f>
        <v/>
      </c>
      <c r="RI31" s="16">
        <f>RI30-RI29</f>
        <v/>
      </c>
      <c r="RJ31" s="16">
        <f>RJ30-RJ29</f>
        <v/>
      </c>
      <c r="RK31" s="16">
        <f>RK30-RK29</f>
        <v/>
      </c>
      <c r="RL31" s="16">
        <f>RL30-RL29</f>
        <v/>
      </c>
      <c r="RM31" s="16">
        <f>RM30-RM29</f>
        <v/>
      </c>
      <c r="RN31" s="16">
        <f>RN30-RN29</f>
        <v/>
      </c>
      <c r="RO31" s="16">
        <f>RO30-RO29</f>
        <v/>
      </c>
      <c r="RP31" s="16">
        <f>RP30-RP29</f>
        <v/>
      </c>
      <c r="RQ31" s="16">
        <f>RQ30-RQ29</f>
        <v/>
      </c>
      <c r="RR31" s="16">
        <f>RR30-RR29</f>
        <v/>
      </c>
      <c r="RS31" s="16">
        <f>RS30-RS29</f>
        <v/>
      </c>
      <c r="RT31" s="16">
        <f>RT30-RT29</f>
        <v/>
      </c>
      <c r="RU31" s="16">
        <f>RU30-RU29</f>
        <v/>
      </c>
      <c r="RV31" s="16">
        <f>RV30-RV29</f>
        <v/>
      </c>
      <c r="RW31" s="16">
        <f>RW30-RW29</f>
        <v/>
      </c>
      <c r="RX31" s="16">
        <f>RX30-RX29</f>
        <v/>
      </c>
      <c r="RY31" s="16">
        <f>RY30-RY29</f>
        <v/>
      </c>
      <c r="RZ31" s="16">
        <f>RZ30-RZ29</f>
        <v/>
      </c>
      <c r="SA31" s="16">
        <f>SA30-SA29</f>
        <v/>
      </c>
      <c r="SB31" s="16">
        <f>SB30-SB29</f>
        <v/>
      </c>
      <c r="SC31" s="16">
        <f>SC30-SC29</f>
        <v/>
      </c>
      <c r="SD31" s="16">
        <f>SD30-SD29</f>
        <v/>
      </c>
      <c r="SE31" s="16">
        <f>SE30-SE29</f>
        <v/>
      </c>
      <c r="SF31" s="16">
        <f>SF30-SF29</f>
        <v/>
      </c>
      <c r="SG31" s="16">
        <f>SG30-SG29</f>
        <v/>
      </c>
      <c r="SH31" s="16">
        <f>SH30-SH29</f>
        <v/>
      </c>
      <c r="SI31" s="16">
        <f>SI30-SI29</f>
        <v/>
      </c>
      <c r="SJ31" s="16">
        <f>SJ30-SJ29</f>
        <v/>
      </c>
      <c r="SK31" s="16">
        <f>SK30-SK29</f>
        <v/>
      </c>
      <c r="SL31" s="16">
        <f>SL30-SL29</f>
        <v/>
      </c>
      <c r="SM31" s="127">
        <f>SUM(RI31:SL31)</f>
        <v/>
      </c>
      <c r="SN31" s="16">
        <f>SN30-SN29</f>
        <v/>
      </c>
      <c r="SO31" s="16">
        <f>SO30-SO29</f>
        <v/>
      </c>
      <c r="SP31" s="16">
        <f>SP30-SP29</f>
        <v/>
      </c>
      <c r="SQ31" s="16">
        <f>SQ30-SQ29</f>
        <v/>
      </c>
      <c r="SR31" s="16">
        <f>SR30-SR29</f>
        <v/>
      </c>
      <c r="SS31" s="16">
        <f>SS30-SS29</f>
        <v/>
      </c>
      <c r="ST31" s="16">
        <f>ST30-ST29</f>
        <v/>
      </c>
      <c r="SU31" s="16">
        <f>SU30-SU29</f>
        <v/>
      </c>
      <c r="SV31" s="16">
        <f>SV30-SV29</f>
        <v/>
      </c>
      <c r="SW31" s="16">
        <f>SW30-SW29</f>
        <v/>
      </c>
      <c r="SX31" s="16">
        <f>SX30-SX29</f>
        <v/>
      </c>
      <c r="SY31" s="16">
        <f>SY30-SY29</f>
        <v/>
      </c>
      <c r="SZ31" s="16">
        <f>SZ30-SZ29</f>
        <v/>
      </c>
      <c r="TA31" s="16">
        <f>TA30-TA29</f>
        <v/>
      </c>
      <c r="TB31" s="16">
        <f>TB30-TB29</f>
        <v/>
      </c>
      <c r="TC31" s="16">
        <f>TC30-TC29</f>
        <v/>
      </c>
      <c r="TD31" s="16">
        <f>TD30-TD29</f>
        <v/>
      </c>
      <c r="TE31" s="16">
        <f>TE30-TE29</f>
        <v/>
      </c>
      <c r="TF31" s="16">
        <f>TF30-TF29</f>
        <v/>
      </c>
      <c r="TG31" s="16">
        <f>TG30-TG29</f>
        <v/>
      </c>
      <c r="TH31" s="16">
        <f>TH30-TH29</f>
        <v/>
      </c>
      <c r="TI31" s="16">
        <f>TI30-TI29</f>
        <v/>
      </c>
      <c r="TJ31" s="16">
        <f>TJ30-TJ29</f>
        <v/>
      </c>
      <c r="TK31" s="16">
        <f>TK30-TK29</f>
        <v/>
      </c>
      <c r="TL31" s="16">
        <f>TL30-TL29</f>
        <v/>
      </c>
      <c r="TM31" s="16">
        <f>TM30-TM29</f>
        <v/>
      </c>
      <c r="TN31" s="16">
        <f>TN30-TN29</f>
        <v/>
      </c>
      <c r="TO31" s="16">
        <f>TO30-TO29</f>
        <v/>
      </c>
      <c r="TP31" s="16">
        <f>TP30-TP29</f>
        <v/>
      </c>
      <c r="TQ31" s="16">
        <f>TQ30-TQ29</f>
        <v/>
      </c>
      <c r="TR31" s="16">
        <f>TR30-TR29</f>
        <v/>
      </c>
      <c r="TS31" s="127">
        <f>SUM(SO31:TR31)</f>
        <v/>
      </c>
      <c r="TT31" s="16">
        <f>TT30-TT29</f>
        <v/>
      </c>
      <c r="TU31" s="16">
        <f>TU30-TU29</f>
        <v/>
      </c>
      <c r="TV31" s="16">
        <f>TV30-TV29</f>
        <v/>
      </c>
      <c r="TW31" s="16">
        <f>TW30-TW29</f>
        <v/>
      </c>
      <c r="TX31" s="16">
        <f>TX30-TX29</f>
        <v/>
      </c>
      <c r="TY31" s="16">
        <f>TY30-TY29</f>
        <v/>
      </c>
      <c r="TZ31" s="16">
        <f>TZ30-TZ29</f>
        <v/>
      </c>
      <c r="UA31" s="16">
        <f>UA30-UA29</f>
        <v/>
      </c>
      <c r="UB31" s="16">
        <f>UB30-UB29</f>
        <v/>
      </c>
      <c r="UC31" s="16">
        <f>UC30-UC29</f>
        <v/>
      </c>
      <c r="UD31" s="16">
        <f>UD30-UD29</f>
        <v/>
      </c>
      <c r="UE31" s="16">
        <f>UE30-UE29</f>
        <v/>
      </c>
      <c r="UF31" s="16">
        <f>UF30-UF29</f>
        <v/>
      </c>
      <c r="UG31" s="16">
        <f>UG30-UG29</f>
        <v/>
      </c>
      <c r="UH31" s="16">
        <f>UH30-UH29</f>
        <v/>
      </c>
      <c r="UI31" s="16">
        <f>UI30-UI29</f>
        <v/>
      </c>
      <c r="UJ31" s="16">
        <f>UJ30-UJ29</f>
        <v/>
      </c>
      <c r="UK31" s="16">
        <f>UK30-UK29</f>
        <v/>
      </c>
      <c r="UL31" s="16">
        <f>UL30-UL29</f>
        <v/>
      </c>
      <c r="UM31" s="16">
        <f>UM30-UM29</f>
        <v/>
      </c>
      <c r="UN31" s="16">
        <f>UN30-UN29</f>
        <v/>
      </c>
      <c r="UO31" s="16">
        <f>UO30-UO29</f>
        <v/>
      </c>
      <c r="UP31" s="16">
        <f>UP30-UP29</f>
        <v/>
      </c>
      <c r="UQ31" s="16">
        <f>UQ30-UQ29</f>
        <v/>
      </c>
      <c r="UR31" s="16">
        <f>UR30-UR29</f>
        <v/>
      </c>
      <c r="US31" s="16">
        <f>US30-US29</f>
        <v/>
      </c>
      <c r="UT31" s="16">
        <f>UT30-UT29</f>
        <v/>
      </c>
      <c r="UU31" s="16">
        <f>UU30-UU29</f>
        <v/>
      </c>
      <c r="UV31" s="16">
        <f>UV30-UV29</f>
        <v/>
      </c>
      <c r="UW31" s="16">
        <f>UW30-UW29</f>
        <v/>
      </c>
      <c r="UX31" s="16">
        <f>UX30-UX29</f>
        <v/>
      </c>
      <c r="UY31" s="127">
        <f>SUM(TT31:UX31)</f>
        <v/>
      </c>
      <c r="UZ31" s="16">
        <f>UZ30-UZ29</f>
        <v/>
      </c>
      <c r="VA31" s="16">
        <f>VA30-VA29</f>
        <v/>
      </c>
      <c r="VB31" s="16">
        <f>VB30-VB29</f>
        <v/>
      </c>
      <c r="VC31" s="16">
        <f>VC30-VC29</f>
        <v/>
      </c>
      <c r="VD31" s="16">
        <f>VD30-VD29</f>
        <v/>
      </c>
      <c r="VE31" s="16">
        <f>VE30-VE29</f>
        <v/>
      </c>
      <c r="VF31" s="16">
        <f>VF30-VF29</f>
        <v/>
      </c>
      <c r="VG31" s="16">
        <f>VG30-VG29</f>
        <v/>
      </c>
      <c r="VH31" s="16">
        <f>VH30-VH29</f>
        <v/>
      </c>
      <c r="VI31" s="16">
        <f>VI30-VI29</f>
        <v/>
      </c>
      <c r="VJ31" s="16">
        <f>VJ30-VJ29</f>
        <v/>
      </c>
      <c r="VK31" s="16">
        <f>VK30-VK29</f>
        <v/>
      </c>
      <c r="VL31" s="16">
        <f>VL30-VL29</f>
        <v/>
      </c>
      <c r="VM31" s="16">
        <f>VM30-VM29</f>
        <v/>
      </c>
      <c r="VN31" s="16">
        <f>VN30-VN29</f>
        <v/>
      </c>
      <c r="VO31" s="16">
        <f>VO30-VO29</f>
        <v/>
      </c>
      <c r="VP31" s="16">
        <f>VP30-VP29</f>
        <v/>
      </c>
      <c r="VQ31" s="16">
        <f>VQ30-VQ29</f>
        <v/>
      </c>
      <c r="VR31" s="16">
        <f>VR30-VR29</f>
        <v/>
      </c>
      <c r="VS31" s="16">
        <f>VS30-VS29</f>
        <v/>
      </c>
      <c r="VT31" s="16">
        <f>VT30-VT29</f>
        <v/>
      </c>
      <c r="VU31" s="16">
        <f>VU30-VU29</f>
        <v/>
      </c>
      <c r="VV31" s="16">
        <f>VV30-VV29</f>
        <v/>
      </c>
      <c r="VW31" s="16">
        <f>VW30-VW29</f>
        <v/>
      </c>
      <c r="VX31" s="16">
        <f>VX30-VX29</f>
        <v/>
      </c>
      <c r="VY31" s="16">
        <f>VY30-VY29</f>
        <v/>
      </c>
      <c r="VZ31" s="16">
        <f>VZ30-VZ29</f>
        <v/>
      </c>
      <c r="WA31" s="16">
        <f>WA30-WA29</f>
        <v/>
      </c>
      <c r="WB31" s="127">
        <f>SUM(UZ31:WA31)</f>
        <v/>
      </c>
      <c r="WC31" s="16">
        <f>WC30-WC29</f>
        <v/>
      </c>
      <c r="WD31" s="16">
        <f>WD30-WD29</f>
        <v/>
      </c>
      <c r="WE31" s="16">
        <f>WE30-WE29</f>
        <v/>
      </c>
      <c r="WF31" s="16">
        <f>WF30-WF29</f>
        <v/>
      </c>
      <c r="WG31" s="16">
        <f>WG30-WG29</f>
        <v/>
      </c>
      <c r="WH31" s="16">
        <f>WH30-WH29</f>
        <v/>
      </c>
      <c r="WI31" s="16">
        <f>WI30-WI29</f>
        <v/>
      </c>
      <c r="WJ31" s="16">
        <f>WJ30-WJ29</f>
        <v/>
      </c>
      <c r="WK31" s="16">
        <f>WK30-WK29</f>
        <v/>
      </c>
      <c r="WL31" s="16">
        <f>WL30-WL29</f>
        <v/>
      </c>
      <c r="WM31" s="16">
        <f>WM30-WM29</f>
        <v/>
      </c>
      <c r="WN31" s="16">
        <f>WN30-WN29</f>
        <v/>
      </c>
      <c r="WO31" s="16">
        <f>WO30-WO29</f>
        <v/>
      </c>
      <c r="WP31" s="16">
        <f>WP30-WP29</f>
        <v/>
      </c>
      <c r="WQ31" s="16">
        <f>WQ30-WQ29</f>
        <v/>
      </c>
      <c r="WR31" s="16">
        <f>WR30-WR29</f>
        <v/>
      </c>
      <c r="WS31" s="16">
        <f>WS30-WS29</f>
        <v/>
      </c>
      <c r="WT31" s="16">
        <f>WT30-WT29</f>
        <v/>
      </c>
      <c r="WU31" s="16">
        <f>WU30-WU29</f>
        <v/>
      </c>
      <c r="WV31" s="16">
        <f>WV30-WV29</f>
        <v/>
      </c>
      <c r="WW31" s="16">
        <f>WW30-WW29</f>
        <v/>
      </c>
      <c r="WX31" s="16">
        <f>WX30-WX29</f>
        <v/>
      </c>
      <c r="WY31" s="16">
        <f>WY30-WY29</f>
        <v/>
      </c>
      <c r="WZ31" s="16">
        <f>WZ30-WZ29</f>
        <v/>
      </c>
      <c r="XA31" s="16">
        <f>XA30-XA29</f>
        <v/>
      </c>
      <c r="XB31" s="16">
        <f>XB30-XB29</f>
        <v/>
      </c>
      <c r="XC31" s="16">
        <f>XC30-XC29</f>
        <v/>
      </c>
      <c r="XD31" s="16">
        <f>XD30-XD29</f>
        <v/>
      </c>
      <c r="XE31" s="16">
        <f>XE30-XE29</f>
        <v/>
      </c>
      <c r="XF31" s="16">
        <f>XF30-XF29</f>
        <v/>
      </c>
      <c r="XG31" s="16">
        <f>XG30-XG29</f>
        <v/>
      </c>
      <c r="XH31" s="127">
        <f>SUM(WC31:XG31)</f>
        <v/>
      </c>
      <c r="XI31" s="16">
        <f>XI30-XI29</f>
        <v/>
      </c>
      <c r="XJ31" s="16">
        <f>XJ30-XJ29</f>
        <v/>
      </c>
      <c r="XK31" s="16">
        <f>XK30-XK29</f>
        <v/>
      </c>
      <c r="XL31" s="16">
        <f>XL30-XL29</f>
        <v/>
      </c>
      <c r="XM31" s="16">
        <f>XM30-XM29</f>
        <v/>
      </c>
      <c r="XN31" s="16">
        <f>XN30-XN29</f>
        <v/>
      </c>
      <c r="XO31" s="16">
        <f>XO30-XO29</f>
        <v/>
      </c>
      <c r="XP31" s="16">
        <f>XP30-XP29</f>
        <v/>
      </c>
      <c r="XQ31" s="16">
        <f>XQ30-XQ29</f>
        <v/>
      </c>
      <c r="XR31" s="16">
        <f>XR30-XR29</f>
        <v/>
      </c>
      <c r="XS31" s="16">
        <f>XS30-XS29</f>
        <v/>
      </c>
      <c r="XT31" s="16">
        <f>XT30-XT29</f>
        <v/>
      </c>
      <c r="XU31" s="16">
        <f>XU30-XU29</f>
        <v/>
      </c>
      <c r="XV31" s="16">
        <f>XV30-XV29</f>
        <v/>
      </c>
      <c r="XW31" s="16">
        <f>XW30-XW29</f>
        <v/>
      </c>
      <c r="XX31" s="16">
        <f>XX30-XX29</f>
        <v/>
      </c>
      <c r="XY31" s="16">
        <f>XY30-XY29</f>
        <v/>
      </c>
      <c r="XZ31" s="16">
        <f>XZ30-XZ29</f>
        <v/>
      </c>
      <c r="YA31" s="16">
        <f>YA30-YA29</f>
        <v/>
      </c>
      <c r="YB31" s="16">
        <f>YB30-YB29</f>
        <v/>
      </c>
      <c r="YC31" s="16">
        <f>YC30-YC29</f>
        <v/>
      </c>
      <c r="YD31" s="16">
        <f>YD30-YD29</f>
        <v/>
      </c>
      <c r="YE31" s="16">
        <f>YE30-YE29</f>
        <v/>
      </c>
      <c r="YF31" s="16">
        <f>YF30-YF29</f>
        <v/>
      </c>
      <c r="YG31" s="16">
        <f>YG30-YG29</f>
        <v/>
      </c>
      <c r="YH31" s="16">
        <f>YH30-YH29</f>
        <v/>
      </c>
      <c r="YI31" s="16">
        <f>YI30-YI29</f>
        <v/>
      </c>
      <c r="YJ31" s="16">
        <f>YJ30-YJ29</f>
        <v/>
      </c>
      <c r="YK31" s="16">
        <f>YK30-YK29</f>
        <v/>
      </c>
      <c r="YL31" s="16">
        <f>YL30-YL29</f>
        <v/>
      </c>
      <c r="YM31" s="127">
        <f>SUM(XH31:YL31)</f>
        <v/>
      </c>
      <c r="YN31" s="16">
        <f>YN30-YN29</f>
        <v/>
      </c>
      <c r="YO31" s="16">
        <f>YO30-YO29</f>
        <v/>
      </c>
      <c r="YP31" s="16">
        <f>YP30-YP29</f>
        <v/>
      </c>
      <c r="YQ31" s="16">
        <f>YQ30-YQ29</f>
        <v/>
      </c>
      <c r="YR31" s="16">
        <f>YR30-YR29</f>
        <v/>
      </c>
      <c r="YS31" s="16">
        <f>YS30-YS29</f>
        <v/>
      </c>
      <c r="YT31" s="16">
        <f>YT30-YT29</f>
        <v/>
      </c>
      <c r="YU31" s="16">
        <f>YU30-YU29</f>
        <v/>
      </c>
      <c r="YV31" s="16">
        <f>YV30-YV29</f>
        <v/>
      </c>
      <c r="YW31" s="16">
        <f>YW30-YW29</f>
        <v/>
      </c>
      <c r="YX31" s="16">
        <f>YX30-YX29</f>
        <v/>
      </c>
      <c r="YY31" s="16">
        <f>YY30-YY29</f>
        <v/>
      </c>
      <c r="YZ31" s="16">
        <f>YZ30-YZ29</f>
        <v/>
      </c>
      <c r="ZA31" s="16">
        <f>ZA30-ZA29</f>
        <v/>
      </c>
      <c r="ZB31" s="16">
        <f>ZB30-ZB29</f>
        <v/>
      </c>
      <c r="ZC31" s="16">
        <f>ZC30-ZC29</f>
        <v/>
      </c>
      <c r="ZD31" s="16">
        <f>ZD30-ZD29</f>
        <v/>
      </c>
      <c r="ZE31" s="16">
        <f>ZE30-ZE29</f>
        <v/>
      </c>
      <c r="ZF31" s="16">
        <f>ZF30-ZF29</f>
        <v/>
      </c>
      <c r="ZG31" s="16">
        <f>ZG30-ZG29</f>
        <v/>
      </c>
      <c r="ZH31" s="16">
        <f>ZH30-ZH29</f>
        <v/>
      </c>
      <c r="ZI31" s="16">
        <f>ZI30-ZI29</f>
        <v/>
      </c>
      <c r="ZJ31" s="16">
        <f>ZJ30-ZJ29</f>
        <v/>
      </c>
      <c r="ZK31" s="16">
        <f>ZK30-ZK29</f>
        <v/>
      </c>
      <c r="ZL31" s="16">
        <f>ZL30-ZL29</f>
        <v/>
      </c>
      <c r="ZM31" s="16">
        <f>ZM30-ZM29</f>
        <v/>
      </c>
      <c r="ZN31" s="16">
        <f>ZN30-ZN29</f>
        <v/>
      </c>
      <c r="ZO31" s="16">
        <f>ZO30-ZO29</f>
        <v/>
      </c>
      <c r="ZP31" s="16">
        <f>ZP30-ZP29</f>
        <v/>
      </c>
      <c r="ZQ31" s="16">
        <f>ZQ30-ZQ29</f>
        <v/>
      </c>
      <c r="ZR31" s="16">
        <f>ZR30-ZR29</f>
        <v/>
      </c>
      <c r="ZS31" s="127">
        <f>SUM(YN31:ZR31)</f>
        <v/>
      </c>
      <c r="ZT31" s="16">
        <f>ZT30-ZT29</f>
        <v/>
      </c>
      <c r="ZU31" s="16">
        <f>ZU30-ZU29</f>
        <v/>
      </c>
      <c r="ZV31" s="16">
        <f>ZV30-ZV29</f>
        <v/>
      </c>
      <c r="ZW31" s="16">
        <f>ZW30-ZW29</f>
        <v/>
      </c>
      <c r="ZX31" s="16">
        <f>ZX30-ZX29</f>
        <v/>
      </c>
      <c r="ZY31" s="16">
        <f>ZY30-ZY29</f>
        <v/>
      </c>
      <c r="ZZ31" s="16">
        <f>ZZ30-ZZ29</f>
        <v/>
      </c>
      <c r="AAA31" s="16">
        <f>AAA30-AAA29</f>
        <v/>
      </c>
      <c r="AAB31" s="16">
        <f>AAB30-AAB29</f>
        <v/>
      </c>
      <c r="AAC31" s="16">
        <f>AAC30-AAC29</f>
        <v/>
      </c>
      <c r="AAD31" s="16">
        <f>AAD30-AAD29</f>
        <v/>
      </c>
      <c r="AAE31" s="16">
        <f>AAE30-AAE29</f>
        <v/>
      </c>
      <c r="AAF31" s="16">
        <f>AAF30-AAF29</f>
        <v/>
      </c>
      <c r="AAG31" s="16">
        <f>AAG30-AAG29</f>
        <v/>
      </c>
      <c r="AAH31" s="16">
        <f>AAH30-AAH29</f>
        <v/>
      </c>
      <c r="AAI31" s="16">
        <f>AAI30-AAI29</f>
        <v/>
      </c>
      <c r="AAJ31" s="16">
        <f>AAJ30-AAJ29</f>
        <v/>
      </c>
      <c r="AAK31" s="16">
        <f>AAK30-AAK29</f>
        <v/>
      </c>
      <c r="AAL31" s="16">
        <f>AAL30-AAL29</f>
        <v/>
      </c>
      <c r="AAM31" s="16">
        <f>AAM30-AAM29</f>
        <v/>
      </c>
      <c r="AAN31" s="16">
        <f>AAN30-AAN29</f>
        <v/>
      </c>
      <c r="AAO31" s="16">
        <f>AAO30-AAO29</f>
        <v/>
      </c>
      <c r="AAP31" s="16">
        <f>AAP30-AAP29</f>
        <v/>
      </c>
      <c r="AAQ31" s="16">
        <f>AAQ30-AAQ29</f>
        <v/>
      </c>
      <c r="AAR31" s="16">
        <f>AAR30-AAR29</f>
        <v/>
      </c>
      <c r="AAS31" s="16">
        <f>AAS30-AAS29</f>
        <v/>
      </c>
      <c r="AAT31" s="16">
        <f>AAT30-AAT29</f>
        <v/>
      </c>
      <c r="AAU31" s="16">
        <f>AAU30-AAU29</f>
        <v/>
      </c>
      <c r="AAV31" s="16">
        <f>AAV30-AAV29</f>
        <v/>
      </c>
      <c r="AAW31" s="16">
        <f>AAW30-AAW29</f>
        <v/>
      </c>
      <c r="AAX31" s="127">
        <f>SUM(ZT31:AAW31)</f>
        <v/>
      </c>
      <c r="AAY31" s="16">
        <f>AAY30-AAY29</f>
        <v/>
      </c>
      <c r="AAZ31" s="16">
        <f>AAZ30-AAZ29</f>
        <v/>
      </c>
      <c r="ABA31" s="16">
        <f>ABA30-ABA29</f>
        <v/>
      </c>
      <c r="ABB31" s="16">
        <f>ABB30-ABB29</f>
        <v/>
      </c>
      <c r="ABC31" s="16">
        <f>ABC30-ABC29</f>
        <v/>
      </c>
      <c r="ABD31" s="16">
        <f>ABD30-ABD29</f>
        <v/>
      </c>
      <c r="ABE31" s="16">
        <f>ABE30-ABE29</f>
        <v/>
      </c>
      <c r="ABF31" s="16">
        <f>ABF30-ABF29</f>
        <v/>
      </c>
      <c r="ABG31" s="16">
        <f>ABG30-ABG29</f>
        <v/>
      </c>
      <c r="ABH31" s="16">
        <f>ABH30-ABH29</f>
        <v/>
      </c>
      <c r="ABI31" s="16">
        <f>ABI30-ABI29</f>
        <v/>
      </c>
      <c r="ABJ31" s="16">
        <f>ABJ30-ABJ29</f>
        <v/>
      </c>
      <c r="ABK31" s="16">
        <f>ABK30-ABK29</f>
        <v/>
      </c>
      <c r="ABL31" s="16">
        <f>ABL30-ABL29</f>
        <v/>
      </c>
      <c r="ABM31" s="16">
        <f>ABM30-ABM29</f>
        <v/>
      </c>
      <c r="ABN31" s="16">
        <f>ABN30-ABN29</f>
        <v/>
      </c>
      <c r="ABO31" s="16">
        <f>ABO30-ABO29</f>
        <v/>
      </c>
      <c r="ABP31" s="16">
        <f>ABP30-ABP29</f>
        <v/>
      </c>
      <c r="ABQ31" s="16">
        <f>ABQ30-ABQ29</f>
        <v/>
      </c>
      <c r="ABR31" s="16">
        <f>ABR30-ABR29</f>
        <v/>
      </c>
      <c r="ABS31" s="16">
        <f>ABS30-ABS29</f>
        <v/>
      </c>
      <c r="ABT31" s="16">
        <f>ABT30-ABT29</f>
        <v/>
      </c>
      <c r="ABU31" s="16">
        <f>ABU30-ABU29</f>
        <v/>
      </c>
      <c r="ABV31" s="16">
        <f>ABV30-ABV29</f>
        <v/>
      </c>
      <c r="ABW31" s="16">
        <f>ABW30-ABW29</f>
        <v/>
      </c>
      <c r="ABX31" s="16">
        <f>ABX30-ABX29</f>
        <v/>
      </c>
      <c r="ABY31" s="16">
        <f>ABY30-ABY29</f>
        <v/>
      </c>
      <c r="ABZ31" s="16">
        <f>ABZ30-ABZ29</f>
        <v/>
      </c>
      <c r="ACA31" s="16">
        <f>ACA30-ACA29</f>
        <v/>
      </c>
      <c r="ACB31" s="16">
        <f>ACB30-ACB29</f>
        <v/>
      </c>
      <c r="ACC31" s="16">
        <f>ACC30-ACC29</f>
        <v/>
      </c>
      <c r="ACD31" s="127">
        <f>SUM(AAY31:ACC31)</f>
        <v/>
      </c>
      <c r="ACE31" s="16">
        <f>ACE30-ACE29</f>
        <v/>
      </c>
      <c r="ACF31" s="16">
        <f>ACF30-ACF29</f>
        <v/>
      </c>
      <c r="ACG31" s="16">
        <f>ACG30-ACG29</f>
        <v/>
      </c>
      <c r="ACH31" s="16">
        <f>ACH30-ACH29</f>
        <v/>
      </c>
      <c r="ACI31" s="16">
        <f>ACI30-ACI29</f>
        <v/>
      </c>
      <c r="ACJ31" s="16">
        <f>ACJ30-ACJ29</f>
        <v/>
      </c>
      <c r="ACK31" s="16">
        <f>ACK30-ACK29</f>
        <v/>
      </c>
      <c r="ACL31" s="16">
        <f>ACL30-ACL29</f>
        <v/>
      </c>
      <c r="ACM31" s="16">
        <f>ACM30-ACM29</f>
        <v/>
      </c>
      <c r="ACN31" s="16">
        <f>ACN30-ACN29</f>
        <v/>
      </c>
      <c r="ACO31" s="16">
        <f>ACO30-ACO29</f>
        <v/>
      </c>
      <c r="ACP31" s="16">
        <f>ACP30-ACP29</f>
        <v/>
      </c>
      <c r="ACQ31" s="16">
        <f>ACQ30-ACQ29</f>
        <v/>
      </c>
      <c r="ACR31" s="16">
        <f>ACR30-ACR29</f>
        <v/>
      </c>
      <c r="ACS31" s="16">
        <f>ACS30-ACS29</f>
        <v/>
      </c>
      <c r="ACT31" s="16">
        <f>ACT30-ACT29</f>
        <v/>
      </c>
      <c r="ACU31" s="16">
        <f>ACU30-ACU29</f>
        <v/>
      </c>
      <c r="ACV31" s="16">
        <f>ACV30-ACV29</f>
        <v/>
      </c>
      <c r="ACW31" s="16">
        <f>ACW30-ACW29</f>
        <v/>
      </c>
      <c r="ACX31" s="16">
        <f>ACX30-ACX29</f>
        <v/>
      </c>
      <c r="ACY31" s="16">
        <f>ACY30-ACY29</f>
        <v/>
      </c>
      <c r="ACZ31" s="16">
        <f>ACZ30-ACZ29</f>
        <v/>
      </c>
      <c r="ADA31" s="16">
        <f>ADA30-ADA29</f>
        <v/>
      </c>
      <c r="ADB31" s="16">
        <f>ADB30-ADB29</f>
        <v/>
      </c>
      <c r="ADC31" s="16">
        <f>ADC30-ADC29</f>
        <v/>
      </c>
      <c r="ADD31" s="16">
        <f>ADD30-ADD29</f>
        <v/>
      </c>
      <c r="ADE31" s="16">
        <f>ADE30-ADE29</f>
        <v/>
      </c>
      <c r="ADF31" s="16">
        <f>ADF30-ADF29</f>
        <v/>
      </c>
      <c r="ADG31" s="16">
        <f>ADG30-ADG29</f>
        <v/>
      </c>
      <c r="ADH31" s="16">
        <f>ADH30-ADH29</f>
        <v/>
      </c>
      <c r="ADI31" s="16">
        <f>ADI30-ADI29</f>
        <v/>
      </c>
      <c r="ADJ31" s="127">
        <f>SUM(ACE31:ADI31)</f>
        <v/>
      </c>
      <c r="ADK31" s="16">
        <f>ADK30-ADK29</f>
        <v/>
      </c>
      <c r="ADL31" s="16">
        <f>ADL30-ADL29</f>
        <v/>
      </c>
      <c r="ADM31" s="16">
        <f>ADM30-ADM29</f>
        <v/>
      </c>
      <c r="ADN31" s="16">
        <f>ADN30-ADN29</f>
        <v/>
      </c>
      <c r="ADO31" s="16">
        <f>ADO30-ADO29</f>
        <v/>
      </c>
      <c r="ADP31" s="16">
        <f>ADP30-ADP29</f>
        <v/>
      </c>
      <c r="ADQ31" s="16">
        <f>ADQ30-ADQ29</f>
        <v/>
      </c>
      <c r="ADR31" s="16">
        <f>ADR30-ADR29</f>
        <v/>
      </c>
      <c r="ADS31" s="16">
        <f>ADS30-ADS29</f>
        <v/>
      </c>
      <c r="ADT31" s="16">
        <f>ADT30-ADT29</f>
        <v/>
      </c>
      <c r="ADU31" s="16">
        <f>ADU30-ADU29</f>
        <v/>
      </c>
      <c r="ADV31" s="16">
        <f>ADV30-ADV29</f>
        <v/>
      </c>
      <c r="ADW31" s="16">
        <f>ADW30-ADW29</f>
        <v/>
      </c>
      <c r="ADX31" s="16">
        <f>ADX30-ADX29</f>
        <v/>
      </c>
      <c r="ADY31" s="16">
        <f>ADY30-ADY29</f>
        <v/>
      </c>
      <c r="ADZ31" s="16">
        <f>ADZ30-ADZ29</f>
        <v/>
      </c>
      <c r="AEA31" s="16">
        <f>AEA30-AEA29</f>
        <v/>
      </c>
      <c r="AEB31" s="16">
        <f>AEB30-AEB29</f>
        <v/>
      </c>
      <c r="AEC31" s="16">
        <f>AEC30-AEC29</f>
        <v/>
      </c>
      <c r="AED31" s="16">
        <f>AED30-AED29</f>
        <v/>
      </c>
      <c r="AEE31" s="16">
        <f>AEE30-AEE29</f>
        <v/>
      </c>
      <c r="AEF31" s="16">
        <f>AEF30-AEF29</f>
        <v/>
      </c>
      <c r="AEG31" s="16">
        <f>AEG30-AEG29</f>
        <v/>
      </c>
      <c r="AEH31" s="16">
        <f>AEH30-AEH29</f>
        <v/>
      </c>
      <c r="AEI31" s="16">
        <f>AEI30-AEI29</f>
        <v/>
      </c>
      <c r="AEJ31" s="16">
        <f>AEJ30-AEJ29</f>
        <v/>
      </c>
      <c r="AEK31" s="16">
        <f>AEK30-AEK29</f>
        <v/>
      </c>
      <c r="AEL31" s="16">
        <f>AEL30-AEL29</f>
        <v/>
      </c>
      <c r="AEM31" s="16">
        <f>AEM30-AEM29</f>
        <v/>
      </c>
      <c r="AEN31" s="16">
        <f>AEN30-AEN29</f>
        <v/>
      </c>
      <c r="AEO31" s="127">
        <f>SUM(ADK31:AEN31)</f>
        <v/>
      </c>
      <c r="AEP31" s="16">
        <f>AEP30-AEP29</f>
        <v/>
      </c>
      <c r="AEQ31" s="16">
        <f>AEQ30-AEQ29</f>
        <v/>
      </c>
      <c r="AER31" s="16">
        <f>AER30-AER29</f>
        <v/>
      </c>
      <c r="AES31" s="16">
        <f>AES30-AES29</f>
        <v/>
      </c>
      <c r="AET31" s="16">
        <f>AET30-AET29</f>
        <v/>
      </c>
      <c r="AEU31" s="16">
        <f>AEU30-AEU29</f>
        <v/>
      </c>
      <c r="AEV31" s="16">
        <f>AEV30-AEV29</f>
        <v/>
      </c>
      <c r="AEW31" s="16">
        <f>AEW30-AEW29</f>
        <v/>
      </c>
      <c r="AEX31" s="16">
        <f>AEX30-AEX29</f>
        <v/>
      </c>
      <c r="AEY31" s="16">
        <f>AEY30-AEY29</f>
        <v/>
      </c>
      <c r="AEZ31" s="16">
        <f>AEZ30-AEZ29</f>
        <v/>
      </c>
      <c r="AFA31" s="16">
        <f>AFA30-AFA29</f>
        <v/>
      </c>
      <c r="AFB31" s="16">
        <f>AFB30-AFB29</f>
        <v/>
      </c>
      <c r="AFC31" s="16">
        <f>AFC30-AFC29</f>
        <v/>
      </c>
      <c r="AFD31" s="16">
        <f>AFD30-AFD29</f>
        <v/>
      </c>
      <c r="AFE31" s="16">
        <f>AFE30-AFE29</f>
        <v/>
      </c>
      <c r="AFF31" s="16">
        <f>AFF30-AFF29</f>
        <v/>
      </c>
      <c r="AFG31" s="16">
        <f>AFG30-AFG29</f>
        <v/>
      </c>
      <c r="AFH31" s="16">
        <f>AFH30-AFH29</f>
        <v/>
      </c>
      <c r="AFI31" s="16">
        <f>AFI30-AFI29</f>
        <v/>
      </c>
      <c r="AFJ31" s="16">
        <f>AFJ30-AFJ29</f>
        <v/>
      </c>
      <c r="AFK31" s="16">
        <f>AFK30-AFK29</f>
        <v/>
      </c>
      <c r="AFL31" s="16">
        <f>AFL30-AFL29</f>
        <v/>
      </c>
      <c r="AFM31" s="16">
        <f>AFM30-AFM29</f>
        <v/>
      </c>
      <c r="AFN31" s="16">
        <f>AFN30-AFN29</f>
        <v/>
      </c>
      <c r="AFO31" s="16">
        <f>AFO30-AFO29</f>
        <v/>
      </c>
      <c r="AFP31" s="16">
        <f>AFP30-AFP29</f>
        <v/>
      </c>
      <c r="AFQ31" s="16">
        <f>AFQ30-AFQ29</f>
        <v/>
      </c>
      <c r="AFR31" s="16">
        <f>AFR30-AFR29</f>
        <v/>
      </c>
      <c r="AFS31" s="16">
        <f>AFS30-AFS29</f>
        <v/>
      </c>
      <c r="AFT31" s="16">
        <f>AFT30-AFT29</f>
        <v/>
      </c>
      <c r="AFU31" s="127">
        <f>SUM(AEP31:AFT31)</f>
        <v/>
      </c>
      <c r="AFV31" s="16">
        <f>AFV30-AFV29</f>
        <v/>
      </c>
      <c r="AFW31" s="16">
        <f>AFW30-AFW29</f>
        <v/>
      </c>
      <c r="AFX31" s="16">
        <f>AFX30-AFX29</f>
        <v/>
      </c>
      <c r="AFY31" s="16">
        <f>AFY30-AFY29</f>
        <v/>
      </c>
      <c r="AFZ31" s="16">
        <f>AFZ30-AFZ29</f>
        <v/>
      </c>
      <c r="AGA31" s="16">
        <f>AGA30-AGA29</f>
        <v/>
      </c>
      <c r="AGB31" s="16">
        <f>AGB30-AGB29</f>
        <v/>
      </c>
      <c r="AGC31" s="16">
        <f>AGC30-AGC29</f>
        <v/>
      </c>
      <c r="AGD31" s="16">
        <f>AGD30-AGD29</f>
        <v/>
      </c>
      <c r="AGE31" s="16">
        <f>AGE30-AGE29</f>
        <v/>
      </c>
      <c r="AGF31" s="16">
        <f>AGF30-AGF29</f>
        <v/>
      </c>
      <c r="AGG31" s="16">
        <f>AGG30-AGG29</f>
        <v/>
      </c>
      <c r="AGH31" s="16">
        <f>AGH30-AGH29</f>
        <v/>
      </c>
      <c r="AGI31" s="16">
        <f>AGI30-AGI29</f>
        <v/>
      </c>
      <c r="AGJ31" s="16">
        <f>AGJ30-AGJ29</f>
        <v/>
      </c>
      <c r="AGK31" s="16">
        <f>AGK30-AGK29</f>
        <v/>
      </c>
      <c r="AGL31" s="16">
        <f>AGL30-AGL29</f>
        <v/>
      </c>
      <c r="AGM31" s="16">
        <f>AGM30-AGM29</f>
        <v/>
      </c>
      <c r="AGN31" s="16">
        <f>AGN30-AGN29</f>
        <v/>
      </c>
      <c r="AGO31" s="16">
        <f>AGO30-AGO29</f>
        <v/>
      </c>
      <c r="AGP31" s="16">
        <f>AGP30-AGP29</f>
        <v/>
      </c>
      <c r="AGQ31" s="16">
        <f>AGQ30-AGQ29</f>
        <v/>
      </c>
      <c r="AGR31" s="16">
        <f>AGR30-AGR29</f>
        <v/>
      </c>
      <c r="AGS31" s="16">
        <f>AGS30-AGS29</f>
        <v/>
      </c>
      <c r="AGT31" s="16">
        <f>AGT30-AGT29</f>
        <v/>
      </c>
      <c r="AGU31" s="16">
        <f>AGU30-AGU29</f>
        <v/>
      </c>
      <c r="AGV31" s="16">
        <f>AGV30-AGV29</f>
        <v/>
      </c>
      <c r="AGW31" s="16">
        <f>AGW30-AGW29</f>
        <v/>
      </c>
      <c r="AGX31" s="16">
        <f>AGX30-AGX29</f>
        <v/>
      </c>
      <c r="AGY31" s="16">
        <f>AGY30-AGY29</f>
        <v/>
      </c>
      <c r="AGZ31" s="127">
        <f>SUM(AFV31:AGY31)</f>
        <v/>
      </c>
      <c r="AHA31" s="16">
        <f>AHA30-AHA29</f>
        <v/>
      </c>
      <c r="AHB31" s="16">
        <f>AHB30-AHB29</f>
        <v/>
      </c>
      <c r="AHC31" s="16">
        <f>AHC30-AHC29</f>
        <v/>
      </c>
      <c r="AHD31" s="16">
        <f>AHD30-AHD29</f>
        <v/>
      </c>
      <c r="AHE31" s="16">
        <f>AHE30-AHE29</f>
        <v/>
      </c>
      <c r="AHF31" s="16">
        <f>AHF30-AHF29</f>
        <v/>
      </c>
      <c r="AHG31" s="16">
        <f>AHG30-AHG29</f>
        <v/>
      </c>
      <c r="AHH31" s="16">
        <f>AHH30-AHH29</f>
        <v/>
      </c>
      <c r="AHI31" s="16">
        <f>AHI30-AHI29</f>
        <v/>
      </c>
      <c r="AHJ31" s="16">
        <f>AHJ30-AHJ29</f>
        <v/>
      </c>
      <c r="AHK31" s="16">
        <f>AHK30-AHK29</f>
        <v/>
      </c>
      <c r="AHL31" s="16">
        <f>AHL30-AHL29</f>
        <v/>
      </c>
      <c r="AHM31" s="16">
        <f>AHM30-AHM29</f>
        <v/>
      </c>
      <c r="AHN31" s="16">
        <f>AHN30-AHN29</f>
        <v/>
      </c>
      <c r="AHO31" s="16">
        <f>AHO30-AHO29</f>
        <v/>
      </c>
      <c r="AHP31" s="16">
        <f>AHP30-AHP29</f>
        <v/>
      </c>
      <c r="AHQ31" s="16">
        <f>AHQ30-AHQ29</f>
        <v/>
      </c>
      <c r="AHR31" s="16">
        <f>AHR30-AHR29</f>
        <v/>
      </c>
      <c r="AHS31" s="16">
        <f>AHS30-AHS29</f>
        <v/>
      </c>
      <c r="AHT31" s="16">
        <f>AHT30-AHT29</f>
        <v/>
      </c>
      <c r="AHU31" s="16">
        <f>AHU30-AHU29</f>
        <v/>
      </c>
      <c r="AHV31" s="16">
        <f>AHV30-AHV29</f>
        <v/>
      </c>
      <c r="AHW31" s="16">
        <f>AHW30-AHW29</f>
        <v/>
      </c>
      <c r="AHX31" s="16">
        <f>AHX30-AHX29</f>
        <v/>
      </c>
      <c r="AHY31" s="16">
        <f>AHY30-AHY29</f>
        <v/>
      </c>
      <c r="AHZ31" s="16">
        <f>AHZ30-AHZ29</f>
        <v/>
      </c>
      <c r="AIA31" s="16">
        <f>AIA30-AIA29</f>
        <v/>
      </c>
      <c r="AIB31" s="16">
        <f>AIB30-AIB29</f>
        <v/>
      </c>
      <c r="AIC31" s="16">
        <f>AIC30-AIC29</f>
        <v/>
      </c>
      <c r="AID31" s="16">
        <f>AID30-AID29</f>
        <v/>
      </c>
      <c r="AIE31" s="16">
        <f>AIE30-AIE29</f>
        <v/>
      </c>
      <c r="AIF31" s="127">
        <f>SUM(AHA31:AIE31)</f>
        <v/>
      </c>
      <c r="AIG31" s="16">
        <f>AIG30-AIG29</f>
        <v/>
      </c>
      <c r="AIH31" s="16">
        <f>AIH30-AIH29</f>
        <v/>
      </c>
      <c r="AII31" s="16">
        <f>AII30-AII29</f>
        <v/>
      </c>
      <c r="AIJ31" s="16">
        <f>AIJ30-AIJ29</f>
        <v/>
      </c>
      <c r="AIK31" s="16">
        <f>AIK30-AIK29</f>
        <v/>
      </c>
      <c r="AIL31" s="16">
        <f>AIL30-AIL29</f>
        <v/>
      </c>
      <c r="AIM31" s="16">
        <f>AIM30-AIM29</f>
        <v/>
      </c>
      <c r="AIN31" s="16">
        <f>AIN30-AIN29</f>
        <v/>
      </c>
      <c r="AIO31" s="16">
        <f>AIO30-AIO29</f>
        <v/>
      </c>
      <c r="AIP31" s="16">
        <f>AIP30-AIP29</f>
        <v/>
      </c>
      <c r="AIQ31" s="16">
        <f>AIQ30-AIQ29</f>
        <v/>
      </c>
      <c r="AIR31" s="16">
        <f>AIR30-AIR29</f>
        <v/>
      </c>
      <c r="AIS31" s="16">
        <f>AIS30-AIS29</f>
        <v/>
      </c>
      <c r="AIT31" s="16">
        <f>AIT30-AIT29</f>
        <v/>
      </c>
      <c r="AIU31" s="16">
        <f>AIU30-AIU29</f>
        <v/>
      </c>
      <c r="AIV31" s="16">
        <f>AIV30-AIV29</f>
        <v/>
      </c>
      <c r="AIW31" s="16">
        <f>AIW30-AIW29</f>
        <v/>
      </c>
      <c r="AIX31" s="16">
        <f>AIX30-AIX29</f>
        <v/>
      </c>
      <c r="AIY31" s="16">
        <f>AIY30-AIY29</f>
        <v/>
      </c>
      <c r="AIZ31" s="16">
        <f>AIZ30-AIZ29</f>
        <v/>
      </c>
      <c r="AJA31" s="16">
        <f>AJA30-AJA29</f>
        <v/>
      </c>
      <c r="AJB31" s="16">
        <f>AJB30-AJB29</f>
        <v/>
      </c>
      <c r="AJC31" s="16">
        <f>AJC30-AJC29</f>
        <v/>
      </c>
      <c r="AJD31" s="16">
        <f>AJD30-AJD29</f>
        <v/>
      </c>
      <c r="AJE31" s="16">
        <f>AJE30-AJE29</f>
        <v/>
      </c>
      <c r="AJF31" s="16">
        <f>AJF30-AJF29</f>
        <v/>
      </c>
      <c r="AJG31" s="16">
        <f>AJG30-AJG29</f>
        <v/>
      </c>
      <c r="AJH31" s="16">
        <f>AJH30-AJH29</f>
        <v/>
      </c>
      <c r="AJI31" s="16">
        <f>AJI30-AJI29</f>
        <v/>
      </c>
      <c r="AJJ31" s="16">
        <f>AJJ30-AJJ29</f>
        <v/>
      </c>
      <c r="AJK31" s="16">
        <f>AJK30-AJK29</f>
        <v/>
      </c>
      <c r="AJL31" s="127">
        <f>SUM(AIG31:AJK31)</f>
        <v/>
      </c>
      <c r="AJM31" s="16">
        <f>AJM30-AJM29</f>
        <v/>
      </c>
      <c r="AJN31" s="16">
        <f>AJN30-AJN29</f>
        <v/>
      </c>
      <c r="AJO31" s="16">
        <f>AJO30-AJO29</f>
        <v/>
      </c>
      <c r="AJP31" s="16">
        <f>AJP30-AJP29</f>
        <v/>
      </c>
      <c r="AJQ31" s="16">
        <f>AJQ30-AJQ29</f>
        <v/>
      </c>
      <c r="AJR31" s="16">
        <f>AJR30-AJR29</f>
        <v/>
      </c>
      <c r="AJS31" s="16">
        <f>AJS30-AJS29</f>
        <v/>
      </c>
      <c r="AJT31" s="16">
        <f>AJT30-AJT29</f>
        <v/>
      </c>
      <c r="AJU31" s="16">
        <f>AJU30-AJU29</f>
        <v/>
      </c>
      <c r="AJV31" s="16">
        <f>AJV30-AJV29</f>
        <v/>
      </c>
      <c r="AJW31" s="16">
        <f>AJW30-AJW29</f>
        <v/>
      </c>
      <c r="AJX31" s="16">
        <f>AJX30-AJX29</f>
        <v/>
      </c>
      <c r="AJY31" s="16">
        <f>AJY30-AJY29</f>
        <v/>
      </c>
      <c r="AJZ31" s="16">
        <f>AJZ30-AJZ29</f>
        <v/>
      </c>
      <c r="AKA31" s="16">
        <f>AKA30-AKA29</f>
        <v/>
      </c>
      <c r="AKB31" s="16">
        <f>AKB30-AKB29</f>
        <v/>
      </c>
      <c r="AKC31" s="16">
        <f>AKC30-AKC29</f>
        <v/>
      </c>
      <c r="AKD31" s="16">
        <f>AKD30-AKD29</f>
        <v/>
      </c>
      <c r="AKE31" s="16">
        <f>AKE30-AKE29</f>
        <v/>
      </c>
      <c r="AKF31" s="16">
        <f>AKF30-AKF29</f>
        <v/>
      </c>
      <c r="AKG31" s="16">
        <f>AKG30-AKG29</f>
        <v/>
      </c>
      <c r="AKH31" s="16">
        <f>AKH30-AKH29</f>
        <v/>
      </c>
      <c r="AKI31" s="16">
        <f>AKI30-AKI29</f>
        <v/>
      </c>
      <c r="AKJ31" s="16">
        <f>AKJ30-AKJ29</f>
        <v/>
      </c>
      <c r="AKK31" s="16">
        <f>AKK30-AKK29</f>
        <v/>
      </c>
      <c r="AKL31" s="16">
        <f>AKL30-AKL29</f>
        <v/>
      </c>
      <c r="AKM31" s="16">
        <f>AKM30-AKM29</f>
        <v/>
      </c>
      <c r="AKN31" s="16">
        <f>AKN30-AKN29</f>
        <v/>
      </c>
      <c r="AKO31" s="127">
        <f>SUM(AJM31:AKN31)</f>
        <v/>
      </c>
      <c r="AKP31" s="16">
        <f>AKP30-AKP29</f>
        <v/>
      </c>
      <c r="AKQ31" s="16">
        <f>AKQ30-AKQ29</f>
        <v/>
      </c>
      <c r="AKR31" s="16">
        <f>AKR30-AKR29</f>
        <v/>
      </c>
      <c r="AKS31" s="16">
        <f>AKS30-AKS29</f>
        <v/>
      </c>
      <c r="AKT31" s="16">
        <f>AKT30-AKT29</f>
        <v/>
      </c>
      <c r="AKU31" s="16">
        <f>AKU30-AKU29</f>
        <v/>
      </c>
      <c r="AKV31" s="16">
        <f>AKV30-AKV29</f>
        <v/>
      </c>
      <c r="AKW31" s="16">
        <f>AKW30-AKW29</f>
        <v/>
      </c>
      <c r="AKX31" s="16">
        <f>AKX30-AKX29</f>
        <v/>
      </c>
      <c r="AKY31" s="16">
        <f>AKY30-AKY29</f>
        <v/>
      </c>
      <c r="AKZ31" s="16">
        <f>AKZ30-AKZ29</f>
        <v/>
      </c>
      <c r="ALA31" s="16">
        <f>ALA30-ALA29</f>
        <v/>
      </c>
      <c r="ALB31" s="16">
        <f>ALB30-ALB29</f>
        <v/>
      </c>
      <c r="ALC31" s="16">
        <f>ALC30-ALC29</f>
        <v/>
      </c>
      <c r="ALD31" s="16">
        <f>ALD30-ALD29</f>
        <v/>
      </c>
      <c r="ALE31" s="16">
        <f>ALE30-ALE29</f>
        <v/>
      </c>
      <c r="ALF31" s="16">
        <f>ALF30-ALF29</f>
        <v/>
      </c>
      <c r="ALG31" s="16">
        <f>ALG30-ALG29</f>
        <v/>
      </c>
      <c r="ALH31" s="16">
        <f>ALH30-ALH29</f>
        <v/>
      </c>
      <c r="ALI31" s="16">
        <f>ALI30-ALI29</f>
        <v/>
      </c>
      <c r="ALJ31" s="16">
        <f>ALJ30-ALJ29</f>
        <v/>
      </c>
      <c r="ALK31" s="16">
        <f>ALK30-ALK29</f>
        <v/>
      </c>
      <c r="ALL31" s="16">
        <f>ALL30-ALL29</f>
        <v/>
      </c>
      <c r="ALM31" s="16">
        <f>ALM30-ALM29</f>
        <v/>
      </c>
      <c r="ALN31" s="16">
        <f>ALN30-ALN29</f>
        <v/>
      </c>
      <c r="ALO31" s="16">
        <f>ALO30-ALO29</f>
        <v/>
      </c>
      <c r="ALP31" s="16">
        <f>ALP30-ALP29</f>
        <v/>
      </c>
      <c r="ALQ31" s="16">
        <f>ALQ30-ALQ29</f>
        <v/>
      </c>
      <c r="ALR31" s="16">
        <f>ALR30-ALR29</f>
        <v/>
      </c>
      <c r="ALS31" s="16">
        <f>ALS30-ALS29</f>
        <v/>
      </c>
      <c r="ALT31" s="16">
        <f>ALT30-ALT29</f>
        <v/>
      </c>
      <c r="ALU31" s="127">
        <f>SUM(AKP31:ALT31)</f>
        <v/>
      </c>
      <c r="ALV31" s="16">
        <f>ALV30-ALV29</f>
        <v/>
      </c>
      <c r="ALW31" s="16">
        <f>ALW30-ALW29</f>
        <v/>
      </c>
      <c r="ALX31" s="16">
        <f>ALX30-ALX29</f>
        <v/>
      </c>
      <c r="ALY31" s="16">
        <f>ALY30-ALY29</f>
        <v/>
      </c>
      <c r="ALZ31" s="16">
        <f>ALZ30-ALZ29</f>
        <v/>
      </c>
      <c r="AMA31" s="16">
        <f>AMA30-AMA29</f>
        <v/>
      </c>
      <c r="AMB31" s="16">
        <f>AMB30-AMB29</f>
        <v/>
      </c>
      <c r="AMC31" s="16">
        <f>AMC30-AMC29</f>
        <v/>
      </c>
      <c r="AMD31" s="16">
        <f>AMD30-AMD29</f>
        <v/>
      </c>
      <c r="AME31" s="16">
        <f>AME30-AME29</f>
        <v/>
      </c>
      <c r="AMF31" s="16">
        <f>AMF30-AMF29</f>
        <v/>
      </c>
      <c r="AMG31" s="16">
        <f>AMG30-AMG29</f>
        <v/>
      </c>
      <c r="AMH31" s="16">
        <f>AMH30-AMH29</f>
        <v/>
      </c>
      <c r="AMI31" s="16">
        <f>AMI30-AMI29</f>
        <v/>
      </c>
      <c r="AMJ31" s="16">
        <f>AMJ30-AMJ29</f>
        <v/>
      </c>
      <c r="AMK31" s="16">
        <f>AMK30-AMK29</f>
        <v/>
      </c>
      <c r="AML31" s="16">
        <f>AML30-AML29</f>
        <v/>
      </c>
      <c r="AMM31" s="16">
        <f>AMM30-AMM29</f>
        <v/>
      </c>
      <c r="AMN31" s="16">
        <f>AMN30-AMN29</f>
        <v/>
      </c>
      <c r="AMO31" s="16">
        <f>AMO30-AMO29</f>
        <v/>
      </c>
      <c r="AMP31" s="16">
        <f>AMP30-AMP29</f>
        <v/>
      </c>
      <c r="AMQ31" s="16">
        <f>AMQ30-AMQ29</f>
        <v/>
      </c>
      <c r="AMR31" s="16">
        <f>AMR30-AMR29</f>
        <v/>
      </c>
      <c r="AMS31" s="16">
        <f>AMS30-AMS29</f>
        <v/>
      </c>
      <c r="AMT31" s="16">
        <f>AMT30-AMT29</f>
        <v/>
      </c>
      <c r="AMU31" s="16">
        <f>AMU30-AMU29</f>
        <v/>
      </c>
      <c r="AMV31" s="16">
        <f>AMV30-AMV29</f>
        <v/>
      </c>
      <c r="AMW31" s="16">
        <f>AMW30-AMW29</f>
        <v/>
      </c>
      <c r="AMX31" s="16">
        <f>AMX30-AMX29</f>
        <v/>
      </c>
      <c r="AMY31" s="16">
        <f>AMY30-AMY29</f>
        <v/>
      </c>
      <c r="AMZ31" s="127">
        <f>SUM(ALV31:AMY31)</f>
        <v/>
      </c>
      <c r="ANA31" s="16">
        <f>ANA30-ANA29</f>
        <v/>
      </c>
      <c r="ANB31" s="16">
        <f>ANB30-ANB29</f>
        <v/>
      </c>
      <c r="ANC31" s="16">
        <f>ANC30-ANC29</f>
        <v/>
      </c>
      <c r="AND31" s="16">
        <f>AND30-AND29</f>
        <v/>
      </c>
      <c r="ANE31" s="16">
        <f>ANE30-ANE29</f>
        <v/>
      </c>
      <c r="ANF31" s="16">
        <f>ANF30-ANF29</f>
        <v/>
      </c>
      <c r="ANG31" s="16">
        <f>ANG30-ANG29</f>
        <v/>
      </c>
      <c r="ANH31" s="16">
        <f>ANH30-ANH29</f>
        <v/>
      </c>
      <c r="ANI31" s="16">
        <f>ANI30-ANI29</f>
        <v/>
      </c>
      <c r="ANJ31" s="16">
        <f>ANJ30-ANJ29</f>
        <v/>
      </c>
      <c r="ANK31" s="16">
        <f>ANK30-ANK29</f>
        <v/>
      </c>
      <c r="ANL31" s="16">
        <f>ANL30-ANL29</f>
        <v/>
      </c>
      <c r="ANM31" s="16">
        <f>ANM30-ANM29</f>
        <v/>
      </c>
      <c r="ANN31" s="16">
        <f>ANN30-ANN29</f>
        <v/>
      </c>
      <c r="ANO31" s="16">
        <f>ANO30-ANO29</f>
        <v/>
      </c>
      <c r="ANP31" s="16">
        <f>ANP30-ANP29</f>
        <v/>
      </c>
      <c r="ANQ31" s="16">
        <f>ANQ30-ANQ29</f>
        <v/>
      </c>
      <c r="ANR31" s="16">
        <f>ANR30-ANR29</f>
        <v/>
      </c>
      <c r="ANS31" s="16">
        <f>ANS30-ANS29</f>
        <v/>
      </c>
      <c r="ANT31" s="16">
        <f>ANT30-ANT29</f>
        <v/>
      </c>
      <c r="ANU31" s="16">
        <f>ANU30-ANU29</f>
        <v/>
      </c>
      <c r="ANV31" s="16">
        <f>ANV30-ANV29</f>
        <v/>
      </c>
      <c r="ANW31" s="16">
        <f>ANW30-ANW29</f>
        <v/>
      </c>
      <c r="ANX31" s="16">
        <f>ANX30-ANX29</f>
        <v/>
      </c>
      <c r="ANY31" s="16">
        <f>ANY30-ANY29</f>
        <v/>
      </c>
      <c r="ANZ31" s="16">
        <f>ANZ30-ANZ29</f>
        <v/>
      </c>
      <c r="AOA31" s="16">
        <f>AOA30-AOA29</f>
        <v/>
      </c>
      <c r="AOB31" s="16">
        <f>AOB30-AOB29</f>
        <v/>
      </c>
      <c r="AOC31" s="16">
        <f>AOC30-AOC29</f>
        <v/>
      </c>
      <c r="AOD31" s="16">
        <f>AOD30-AOD29</f>
        <v/>
      </c>
      <c r="AOE31">
        <f>AOE30-AOE29</f>
        <v/>
      </c>
    </row>
    <row r="32">
      <c r="A32" s="157" t="n"/>
      <c r="B32" s="5" t="n"/>
      <c r="C32" s="6" t="inlineStr">
        <is>
          <t>TOTAL AGO SALES</t>
        </is>
      </c>
      <c r="D32" s="16">
        <f>D31+D28+D25+D22</f>
        <v/>
      </c>
      <c r="E32" s="16">
        <f>E31+E28+E25+E22</f>
        <v/>
      </c>
      <c r="F32" s="16">
        <f>F31+F28+F25+F22</f>
        <v/>
      </c>
      <c r="G32" s="16">
        <f>G31+G28+G25+G22</f>
        <v/>
      </c>
      <c r="H32" s="16">
        <f>H31+H28+H25+H22</f>
        <v/>
      </c>
      <c r="I32" s="16">
        <f>I31+I28+I25+I22</f>
        <v/>
      </c>
      <c r="J32" s="16">
        <f>J31+J28+J25+J22</f>
        <v/>
      </c>
      <c r="K32" s="16">
        <f>K31+K28+K25+K22</f>
        <v/>
      </c>
      <c r="L32" s="16">
        <f>L31+L28+L25+L22</f>
        <v/>
      </c>
      <c r="M32" s="16">
        <f>M31+M28+M25+M22</f>
        <v/>
      </c>
      <c r="N32" s="16">
        <f>N31+N28+N25+N22</f>
        <v/>
      </c>
      <c r="O32" s="16">
        <f>O31+O28+O25+O22</f>
        <v/>
      </c>
      <c r="P32" s="16">
        <f>P31+P28+P25+P22</f>
        <v/>
      </c>
      <c r="Q32" s="16">
        <f>Q31+Q28+Q25+Q22</f>
        <v/>
      </c>
      <c r="R32" s="16">
        <f>R31+R28+R25+R22</f>
        <v/>
      </c>
      <c r="S32" s="16">
        <f>S31+S28+S25+S22</f>
        <v/>
      </c>
      <c r="T32" s="16">
        <f>T31+T28+T25+T22</f>
        <v/>
      </c>
      <c r="U32" s="16">
        <f>U31+U28+U25+U22</f>
        <v/>
      </c>
      <c r="V32" s="16">
        <f>V31+V28+V25+V22</f>
        <v/>
      </c>
      <c r="W32" s="16">
        <f>W31+W28+W25+W22</f>
        <v/>
      </c>
      <c r="X32" s="16">
        <f>X31+X28+X25+X22</f>
        <v/>
      </c>
      <c r="Y32" s="16">
        <f>Y31+Y28+Y25+Y22</f>
        <v/>
      </c>
      <c r="Z32" s="16">
        <f>Z31+Z28+Z25+Z22</f>
        <v/>
      </c>
      <c r="AA32" s="16">
        <f>AA31+AA28+AA25+AA22</f>
        <v/>
      </c>
      <c r="AB32" s="16">
        <f>AB31+AB28+AB25+AB22</f>
        <v/>
      </c>
      <c r="AC32" s="16">
        <f>AC31+AC28+AC25+AC22</f>
        <v/>
      </c>
      <c r="AD32" s="16">
        <f>AD31+AD28+AD25+AD22</f>
        <v/>
      </c>
      <c r="AE32" s="16">
        <f>AE31+AE28+AE25+AE22</f>
        <v/>
      </c>
      <c r="AF32" s="16">
        <f>AF31+AF28+AF25+AF22</f>
        <v/>
      </c>
      <c r="AG32" s="16">
        <f>AG31+AG28+AG25+AG22</f>
        <v/>
      </c>
      <c r="AH32" s="16">
        <f>AH31+AH28+AH25+AH22</f>
        <v/>
      </c>
      <c r="AI32" s="17" t="n"/>
      <c r="AJ32" s="16">
        <f>AJ31+AJ28+AJ25+AJ22</f>
        <v/>
      </c>
      <c r="AK32" s="16">
        <f>AK31+AK28+AK25+AK22</f>
        <v/>
      </c>
      <c r="AL32" s="16">
        <f>AL31+AL28+AL25+AL22</f>
        <v/>
      </c>
      <c r="AM32" s="16">
        <f>AM31+AM28+AM25+AM22</f>
        <v/>
      </c>
      <c r="AN32" s="16">
        <f>AN31+AN28+AN25+AN22</f>
        <v/>
      </c>
      <c r="AO32" s="16">
        <f>AO31+AO28+AO25+AO22</f>
        <v/>
      </c>
      <c r="AP32" s="16">
        <f>AP31+AP28+AP25+AP22</f>
        <v/>
      </c>
      <c r="AQ32" s="16">
        <f>AQ31+AQ28+AQ25+AQ22</f>
        <v/>
      </c>
      <c r="AR32" s="16">
        <f>AR31+AR28+AR25+AR22</f>
        <v/>
      </c>
      <c r="AS32" s="16">
        <f>AS31+AS28+AS25+AS22</f>
        <v/>
      </c>
      <c r="AT32" s="16">
        <f>AT31+AT28+AT25+AT22</f>
        <v/>
      </c>
      <c r="AU32" s="16">
        <f>AU31+AU28+AU25+AU22</f>
        <v/>
      </c>
      <c r="AV32" s="16">
        <f>AV31+AV28+AV25+AV22</f>
        <v/>
      </c>
      <c r="AW32" s="16">
        <f>AW31+AW28+AW25+AW22</f>
        <v/>
      </c>
      <c r="AX32" s="16">
        <f>AX31+AX28+AX25+AX22</f>
        <v/>
      </c>
      <c r="AY32" s="16">
        <f>AY31+AY28+AY25+AY22</f>
        <v/>
      </c>
      <c r="AZ32" s="16">
        <f>AZ31+AZ28+AZ25+AZ22</f>
        <v/>
      </c>
      <c r="BA32" s="16">
        <f>BA31+BA28+BA25+BA22</f>
        <v/>
      </c>
      <c r="BB32" s="16">
        <f>BB31+BB28+BB25+BB22</f>
        <v/>
      </c>
      <c r="BC32" s="16">
        <f>BC31+BC28+BC25+BC22</f>
        <v/>
      </c>
      <c r="BD32" s="16">
        <f>BD31+BD28+BD25+BD22</f>
        <v/>
      </c>
      <c r="BE32" s="16">
        <f>BE31+BE28+BE25+BE22</f>
        <v/>
      </c>
      <c r="BF32" s="16">
        <f>BF31+BF28+BF25+BF22</f>
        <v/>
      </c>
      <c r="BG32" s="16">
        <f>BG31+BG28+BG25+BG22</f>
        <v/>
      </c>
      <c r="BH32" s="16">
        <f>BH31+BH28+BH25+BH22</f>
        <v/>
      </c>
      <c r="BI32" s="16">
        <f>BI31+BI28+BI25+BI22</f>
        <v/>
      </c>
      <c r="BJ32" s="16">
        <f>BJ31+BJ28+BJ25+BJ22</f>
        <v/>
      </c>
      <c r="BK32" s="16">
        <f>BK31+BK28+BK25+BK22</f>
        <v/>
      </c>
      <c r="BL32" s="16">
        <f>BL31+BL28+BL25+BL22</f>
        <v/>
      </c>
      <c r="BM32" s="16">
        <f>BM31+BM28+BM25+BM22</f>
        <v/>
      </c>
      <c r="BN32" s="89">
        <f>SUM(AJ32:BM32)</f>
        <v/>
      </c>
      <c r="BO32" s="16">
        <f>BO31+BO28+BO25+BO22</f>
        <v/>
      </c>
      <c r="BP32" s="16">
        <f>BP31+BP28+BP25+BP22</f>
        <v/>
      </c>
      <c r="BQ32" s="16">
        <f>BQ31+BQ28+BQ25+BQ22</f>
        <v/>
      </c>
      <c r="BR32" s="16">
        <f>BR31+BR28+BR25+BR22</f>
        <v/>
      </c>
      <c r="BS32" s="16">
        <f>BS31+BS28+BS25+BS22</f>
        <v/>
      </c>
      <c r="BT32" s="16">
        <f>BT31+BT28+BT25+BT22</f>
        <v/>
      </c>
      <c r="BU32" s="16">
        <f>BU31+BU28+BU25+BU22</f>
        <v/>
      </c>
      <c r="BV32" s="16">
        <f>BV31+BV28+BV25+BV22</f>
        <v/>
      </c>
      <c r="BW32" s="16">
        <f>BW31+BW28+BW25+BW22</f>
        <v/>
      </c>
      <c r="BX32" s="16">
        <f>BX31+BX28+BX25+BX22</f>
        <v/>
      </c>
      <c r="BY32" s="16">
        <f>BY31+BY28+BY25+BY22</f>
        <v/>
      </c>
      <c r="BZ32" s="16">
        <f>BZ31+BZ28+BZ25+BZ22</f>
        <v/>
      </c>
      <c r="CA32" s="16">
        <f>CA31+CA28+CA25+CA22</f>
        <v/>
      </c>
      <c r="CB32" s="16">
        <f>CB31+CB28+CB25+CB22</f>
        <v/>
      </c>
      <c r="CC32" s="16">
        <f>CC31+CC28+CC25+CC22</f>
        <v/>
      </c>
      <c r="CD32" s="16">
        <f>CD31+CD28+CD25+CD22</f>
        <v/>
      </c>
      <c r="CE32" s="16">
        <f>CE31+CE28+CE25+CE22</f>
        <v/>
      </c>
      <c r="CF32" s="16">
        <f>CF31+CF28+CF25+CF22</f>
        <v/>
      </c>
      <c r="CG32" s="16">
        <f>CG31+CG28+CG25+CG22</f>
        <v/>
      </c>
      <c r="CH32" s="16">
        <f>CH31+CH28+CH25+CH22</f>
        <v/>
      </c>
      <c r="CI32" s="16">
        <f>CI31+CI28+CI25+CI22</f>
        <v/>
      </c>
      <c r="CJ32" s="16">
        <f>CJ31+CJ28+CJ25+CJ22</f>
        <v/>
      </c>
      <c r="CK32" s="16">
        <f>CK31+CK28+CK25+CK22</f>
        <v/>
      </c>
      <c r="CL32" s="16">
        <f>CL31+CL28+CL25+CL22</f>
        <v/>
      </c>
      <c r="CM32" s="16">
        <f>CM31+CM28+CM25+CM22</f>
        <v/>
      </c>
      <c r="CN32" s="16">
        <f>CN31+CN28+CN25+CN22</f>
        <v/>
      </c>
      <c r="CO32" s="16">
        <f>CO31+CO28+CO25+CO22</f>
        <v/>
      </c>
      <c r="CP32" s="16">
        <f>CP31+CP28+CP25+CP22</f>
        <v/>
      </c>
      <c r="CQ32" s="16">
        <f>CQ31+CQ28+CQ25+CQ22</f>
        <v/>
      </c>
      <c r="CR32" s="16">
        <f>CR31+CR28+CR25+CR22</f>
        <v/>
      </c>
      <c r="CS32" s="16">
        <f>CS31+CS28+CS25+CS22</f>
        <v/>
      </c>
      <c r="CT32" s="89">
        <f>SUM(BO32:CS32)</f>
        <v/>
      </c>
      <c r="CU32" s="16">
        <f>CU31+CU28+CU25+CU22</f>
        <v/>
      </c>
      <c r="CV32" s="16">
        <f>CV31+CV28+CV25+CV22</f>
        <v/>
      </c>
      <c r="CW32" s="16">
        <f>CW31+CW28+CW25+CW22</f>
        <v/>
      </c>
      <c r="CX32" s="16">
        <f>CX31+CX28+CX25+CX22</f>
        <v/>
      </c>
      <c r="CY32" s="16">
        <f>CY31+CY28+CY25+CY22</f>
        <v/>
      </c>
      <c r="CZ32" s="16">
        <f>CZ31+CZ28+CZ25+CZ22</f>
        <v/>
      </c>
      <c r="DA32" s="16">
        <f>DA31+DA28+DA25+DA22</f>
        <v/>
      </c>
      <c r="DB32" s="16">
        <f>DB31+DB28+DB25+DB22</f>
        <v/>
      </c>
      <c r="DC32" s="16">
        <f>DC31+DC28+DC25+DC22</f>
        <v/>
      </c>
      <c r="DD32" s="16">
        <f>DD31+DD28+DD25+DD22</f>
        <v/>
      </c>
      <c r="DE32" s="16">
        <f>DE31+DE28+DE25+DE22</f>
        <v/>
      </c>
      <c r="DF32" s="16">
        <f>DF31+DF28+DF25+DF22</f>
        <v/>
      </c>
      <c r="DG32" s="16">
        <f>DG31+DG28+DG25+DG22</f>
        <v/>
      </c>
      <c r="DH32" s="16">
        <f>DH31+DH28+DH25+DH22</f>
        <v/>
      </c>
      <c r="DI32" s="16">
        <f>DI31+DI28+DI25+DI22</f>
        <v/>
      </c>
      <c r="DJ32" s="16">
        <f>DJ31+DJ28+DJ25+DJ22</f>
        <v/>
      </c>
      <c r="DK32" s="16">
        <f>DK31+DK28+DK25+DK22</f>
        <v/>
      </c>
      <c r="DL32" s="16">
        <f>DL31+DL28+DL25+DL22</f>
        <v/>
      </c>
      <c r="DM32" s="16">
        <f>DM31+DM28+DM25+DM22</f>
        <v/>
      </c>
      <c r="DN32" s="16">
        <f>DN31+DN28+DN25+DN22</f>
        <v/>
      </c>
      <c r="DO32" s="16">
        <f>DO31+DO28+DO25+DO22</f>
        <v/>
      </c>
      <c r="DP32" s="16">
        <f>DP31+DP28+DP25+DP22</f>
        <v/>
      </c>
      <c r="DQ32" s="16">
        <f>DQ31+DQ28+DQ25+DQ22</f>
        <v/>
      </c>
      <c r="DR32" s="16">
        <f>DR31+DR28+DR25+DR22</f>
        <v/>
      </c>
      <c r="DS32" s="16">
        <f>DS31+DS28+DS25+DS22</f>
        <v/>
      </c>
      <c r="DT32" s="16">
        <f>DT31+DT28+DT25+DT22</f>
        <v/>
      </c>
      <c r="DU32" s="16">
        <f>DU31+DU28+DU25+DU22</f>
        <v/>
      </c>
      <c r="DV32" s="16">
        <f>DV31+DV28+DV25+DV22</f>
        <v/>
      </c>
      <c r="DW32" s="16">
        <f>DW31+DW28+DW25+DW22</f>
        <v/>
      </c>
      <c r="DX32" s="16">
        <f>DX31+DX28+DX25+DX22</f>
        <v/>
      </c>
      <c r="DY32" s="116">
        <f>SUM(CU32:DX32)</f>
        <v/>
      </c>
      <c r="DZ32" s="16">
        <f>DZ31+DZ28+DZ25+DZ22</f>
        <v/>
      </c>
      <c r="EA32" s="16">
        <f>EA31+EA28+EA25+EA22</f>
        <v/>
      </c>
      <c r="EB32" s="16">
        <f>EB31+EB28+EB25+EB22</f>
        <v/>
      </c>
      <c r="EC32" s="16">
        <f>EC31+EC28+EC25+EC22</f>
        <v/>
      </c>
      <c r="ED32" s="16">
        <f>ED31+ED28+ED25+ED22</f>
        <v/>
      </c>
      <c r="EE32" s="16">
        <f>EE31+EE28+EE25+EE22</f>
        <v/>
      </c>
      <c r="EF32" s="16">
        <f>EF31+EF28+EF25+EF22</f>
        <v/>
      </c>
      <c r="EG32" s="16">
        <f>EG31+EG28+EG25+EG22</f>
        <v/>
      </c>
      <c r="EH32" s="16">
        <f>EH31+EH28+EH25+EH22</f>
        <v/>
      </c>
      <c r="EI32" s="16">
        <f>EI31+EI28+EI25+EI22</f>
        <v/>
      </c>
      <c r="EJ32" s="16">
        <f>EJ31+EJ28+EJ25+EJ22</f>
        <v/>
      </c>
      <c r="EK32" s="16">
        <f>EK31+EK28+EK25+EK22</f>
        <v/>
      </c>
      <c r="EL32" s="16">
        <f>EL31+EL28+EL25+EL22</f>
        <v/>
      </c>
      <c r="EM32" s="16">
        <f>EM31+EM28+EM25+EM22</f>
        <v/>
      </c>
      <c r="EN32" s="16">
        <f>EN31+EN28+EN25+EN22</f>
        <v/>
      </c>
      <c r="EO32" s="16">
        <f>EO31+EO28+EO25+EO22</f>
        <v/>
      </c>
      <c r="EP32" s="16">
        <f>EP31+EP28+EP25+EP22</f>
        <v/>
      </c>
      <c r="EQ32" s="16">
        <f>EQ31+EQ28+EQ25+EQ22</f>
        <v/>
      </c>
      <c r="ER32" s="16">
        <f>ER31+ER28+ER25+ER22</f>
        <v/>
      </c>
      <c r="ES32" s="16">
        <f>ES31+ES28+ES25+ES22</f>
        <v/>
      </c>
      <c r="ET32" s="16">
        <f>ET31+ET28+ET25+ET22</f>
        <v/>
      </c>
      <c r="EU32" s="16">
        <f>EU31+EU28+EU25+EU22</f>
        <v/>
      </c>
      <c r="EV32" s="16">
        <f>EV31+EV28+EV25+EV22</f>
        <v/>
      </c>
      <c r="EW32" s="16">
        <f>EW31+EW28+EW25+EW22</f>
        <v/>
      </c>
      <c r="EX32" s="16">
        <f>EX31+EX28+EX25+EX22</f>
        <v/>
      </c>
      <c r="EY32" s="16">
        <f>EY31+EY28+EY25+EY22</f>
        <v/>
      </c>
      <c r="EZ32" s="16">
        <f>EZ31+EZ28+EZ25+EZ22</f>
        <v/>
      </c>
      <c r="FA32" s="16">
        <f>FA31+FA28+FA25+FA22</f>
        <v/>
      </c>
      <c r="FB32" s="16">
        <f>FB31+FB28+FB25+FB22</f>
        <v/>
      </c>
      <c r="FC32" s="16">
        <f>FC31+FC28+FC25+FC22</f>
        <v/>
      </c>
      <c r="FD32" s="16">
        <f>FD31+FD28+FD25+FD22</f>
        <v/>
      </c>
      <c r="FE32" s="127">
        <f>SUM(DZ32:FD32)</f>
        <v/>
      </c>
      <c r="FF32" s="16">
        <f>FF31+FF28+FF25+FF22</f>
        <v/>
      </c>
      <c r="FG32" s="16">
        <f>FG31+FG28+FG25+FG22</f>
        <v/>
      </c>
      <c r="FH32" s="16">
        <f>FH31+FH28+FH25+FH22</f>
        <v/>
      </c>
      <c r="FI32" s="16">
        <f>FI31+FI28+FI25+FI22</f>
        <v/>
      </c>
      <c r="FJ32" s="16">
        <f>FJ31+FJ28+FJ25+FJ22</f>
        <v/>
      </c>
      <c r="FK32" s="16">
        <f>FK31+FK28+FK25+FK22</f>
        <v/>
      </c>
      <c r="FL32" s="16">
        <f>FL31+FL28+FL25+FL22</f>
        <v/>
      </c>
      <c r="FM32" s="16">
        <f>FM31+FM28+FM25+FM22</f>
        <v/>
      </c>
      <c r="FN32" s="16">
        <f>FN31+FN28+FN25+FN22</f>
        <v/>
      </c>
      <c r="FO32" s="16">
        <f>FO31+FO28+FO25+FO22</f>
        <v/>
      </c>
      <c r="FP32" s="16">
        <f>FP31+FP28+FP25+FP22</f>
        <v/>
      </c>
      <c r="FQ32" s="16">
        <f>FQ31+FQ28+FQ25+FQ22</f>
        <v/>
      </c>
      <c r="FR32" s="16">
        <f>FR31+FR28+FR25+FR22</f>
        <v/>
      </c>
      <c r="FS32" s="16">
        <f>FS31+FS28+FS25+FS22</f>
        <v/>
      </c>
      <c r="FT32" s="16">
        <f>FT31+FT28+FT25+FT22</f>
        <v/>
      </c>
      <c r="FU32" s="16">
        <f>FU31+FU28+FU25+FU22</f>
        <v/>
      </c>
      <c r="FV32" s="16">
        <f>FV31+FV28+FV25+FV22</f>
        <v/>
      </c>
      <c r="FW32" s="16">
        <f>FW31+FW28+FW25+FW22</f>
        <v/>
      </c>
      <c r="FX32" s="16">
        <f>FX31+FX28+FX25+FX22</f>
        <v/>
      </c>
      <c r="FY32" s="16">
        <f>FY31+FY28+FY25+FY22</f>
        <v/>
      </c>
      <c r="FZ32" s="16">
        <f>FZ31+FZ28+FZ25+FZ22</f>
        <v/>
      </c>
      <c r="GA32" s="16">
        <f>GA31+GA28+GA25+GA22</f>
        <v/>
      </c>
      <c r="GB32" s="16">
        <f>GB31+GB28+GB25+GB22</f>
        <v/>
      </c>
      <c r="GC32" s="16">
        <f>GC31+GC28+GC25+GC22</f>
        <v/>
      </c>
      <c r="GD32" s="16">
        <f>GD31+GD28+GD25+GD22</f>
        <v/>
      </c>
      <c r="GE32" s="16">
        <f>GE31+GE28+GE25+GE22</f>
        <v/>
      </c>
      <c r="GF32" s="16">
        <f>GF31+GF28+GF25+GF22</f>
        <v/>
      </c>
      <c r="GG32" s="16">
        <f>GG31+GG28+GG25+GG22</f>
        <v/>
      </c>
      <c r="GH32" s="16">
        <f>GH31+GH28+GH25+GH22</f>
        <v/>
      </c>
      <c r="GI32" s="16">
        <f>GI31+GI28+GI25+GI22</f>
        <v/>
      </c>
      <c r="GJ32" s="16">
        <f>GJ31+GJ28+GJ25+GJ22</f>
        <v/>
      </c>
      <c r="GK32" s="127">
        <f>SUM(FF32:GJ32)</f>
        <v/>
      </c>
      <c r="GL32" s="16">
        <f>GL31+GL28+GL25+GL22</f>
        <v/>
      </c>
      <c r="GM32" s="16">
        <f>GM31+GM28+GM25+GM22</f>
        <v/>
      </c>
      <c r="GN32" s="16">
        <f>GN31+GN28+GN25+GN22</f>
        <v/>
      </c>
      <c r="GO32" s="16">
        <f>GO31+GO28+GO25+GO22</f>
        <v/>
      </c>
      <c r="GP32" s="16">
        <f>GP31+GP28+GP25+GP22</f>
        <v/>
      </c>
      <c r="GQ32" s="16">
        <f>GQ31+GQ28+GQ25+GQ22</f>
        <v/>
      </c>
      <c r="GR32" s="16">
        <f>GR31+GR28+GR25+GR22</f>
        <v/>
      </c>
      <c r="GS32" s="16">
        <f>GS31+GS28+GS25+GS22</f>
        <v/>
      </c>
      <c r="GT32" s="16">
        <f>GT31+GT28+GT25+GT22</f>
        <v/>
      </c>
      <c r="GU32" s="16">
        <f>GU31+GU28+GU25+GU22</f>
        <v/>
      </c>
      <c r="GV32" s="16">
        <f>GV31+GV28+GV25+GV22</f>
        <v/>
      </c>
      <c r="GW32" s="16">
        <f>GW31+GW28+GW25+GW22</f>
        <v/>
      </c>
      <c r="GX32" s="16">
        <f>GX31+GX28+GX25+GX22</f>
        <v/>
      </c>
      <c r="GY32" s="16">
        <f>GY31+GY28+GY25+GY22</f>
        <v/>
      </c>
      <c r="GZ32" s="16">
        <f>GZ31+GZ28+GZ25+GZ22</f>
        <v/>
      </c>
      <c r="HA32" s="16">
        <f>HA31+HA28+HA25+HA22</f>
        <v/>
      </c>
      <c r="HB32" s="16">
        <f>HB31+HB28+HB25+HB22</f>
        <v/>
      </c>
      <c r="HC32" s="16">
        <f>HC31+HC28+HC25+HC22</f>
        <v/>
      </c>
      <c r="HD32" s="16">
        <f>HD31+HD28+HD25+HD22</f>
        <v/>
      </c>
      <c r="HE32" s="16">
        <f>HE31+HE28+HE25+HE22</f>
        <v/>
      </c>
      <c r="HF32" s="16">
        <f>HF31+HF28+HF25+HF22</f>
        <v/>
      </c>
      <c r="HG32" s="16">
        <f>HG31+HG28+HG25+HG22</f>
        <v/>
      </c>
      <c r="HH32" s="16">
        <f>HH31+HH28+HH25+HH22</f>
        <v/>
      </c>
      <c r="HI32" s="16">
        <f>HI31+HI28+HI25+HI22</f>
        <v/>
      </c>
      <c r="HJ32" s="16">
        <f>HJ31+HJ28+HJ25+HJ22</f>
        <v/>
      </c>
      <c r="HK32" s="16">
        <f>HK31+HK28+HK25+HK22</f>
        <v/>
      </c>
      <c r="HL32" s="16">
        <f>HL31+HL28+HL25+HL22</f>
        <v/>
      </c>
      <c r="HM32" s="16">
        <f>HM31+HM28+HM25+HM22</f>
        <v/>
      </c>
      <c r="HN32" s="16">
        <f>HN31+HN28+HN25+HN22</f>
        <v/>
      </c>
      <c r="HO32" s="127">
        <f>SUM(GL32:HN32)</f>
        <v/>
      </c>
      <c r="HP32" s="16">
        <f>HP31+HP28+HP25+HP22</f>
        <v/>
      </c>
      <c r="HQ32" s="16">
        <f>HQ31+HQ28+HQ25+HQ22</f>
        <v/>
      </c>
      <c r="HR32" s="16">
        <f>HR31+HR28+HR25+HR22</f>
        <v/>
      </c>
      <c r="HS32" s="16">
        <f>HS31+HS28+HS25+HS22</f>
        <v/>
      </c>
      <c r="HT32" s="16">
        <f>HT31+HT28+HT25+HT22</f>
        <v/>
      </c>
      <c r="HU32" s="16">
        <f>HU31+HU28+HU25+HU22</f>
        <v/>
      </c>
      <c r="HV32" s="16">
        <f>HV31+HV28+HV25+HV22</f>
        <v/>
      </c>
      <c r="HW32" s="16">
        <f>HW31+HW28+HW25+HW22</f>
        <v/>
      </c>
      <c r="HX32" s="16">
        <f>HX31+HX28+HX25+HX22</f>
        <v/>
      </c>
      <c r="HY32" s="16">
        <f>HY31+HY28+HY25+HY22</f>
        <v/>
      </c>
      <c r="HZ32" s="16">
        <f>HZ31+HZ28+HZ25+HZ22</f>
        <v/>
      </c>
      <c r="IA32" s="16">
        <f>IA31+IA28+IA25+IA22</f>
        <v/>
      </c>
      <c r="IB32" s="16">
        <f>IB31+IB28+IB25+IB22</f>
        <v/>
      </c>
      <c r="IC32" s="16">
        <f>IC31+IC28+IC25+IC22</f>
        <v/>
      </c>
      <c r="ID32" s="16">
        <f>ID31+ID28+ID25+ID22</f>
        <v/>
      </c>
      <c r="IE32" s="16">
        <f>IE31+IE28+IE25+IE22</f>
        <v/>
      </c>
      <c r="IF32" s="16">
        <f>IF31+IF28+IF25+IF22</f>
        <v/>
      </c>
      <c r="IG32" s="16">
        <f>IG31+IG28+IG25+IG22</f>
        <v/>
      </c>
      <c r="IH32" s="16">
        <f>IH31+IH28+IH25+IH22</f>
        <v/>
      </c>
      <c r="II32" s="16">
        <f>II31+II28+II25+II22</f>
        <v/>
      </c>
      <c r="IJ32" s="16">
        <f>IJ31+IJ28+IJ25+IJ22</f>
        <v/>
      </c>
      <c r="IK32" s="16">
        <f>IK31+IK28+IK25+IK22</f>
        <v/>
      </c>
      <c r="IL32" s="16">
        <f>IL31+IL28+IL25+IL22</f>
        <v/>
      </c>
      <c r="IM32" s="16">
        <f>IM31+IM28+IM25+IM22</f>
        <v/>
      </c>
      <c r="IN32" s="16">
        <f>IN31+IN28+IN25+IN22</f>
        <v/>
      </c>
      <c r="IO32" s="16">
        <f>IO31+IO28+IO25+IO22</f>
        <v/>
      </c>
      <c r="IP32" s="16">
        <f>IP31+IP28+IP25+IP22</f>
        <v/>
      </c>
      <c r="IQ32" s="16">
        <f>IQ31+IQ28+IQ25+IQ22</f>
        <v/>
      </c>
      <c r="IR32" s="16">
        <f>IR31+IR28+IR25+IR22</f>
        <v/>
      </c>
      <c r="IS32" s="16">
        <f>IS31+IS28+IS25+IS22</f>
        <v/>
      </c>
      <c r="IT32" s="16">
        <f>IT31+IT28+IT25+IT22</f>
        <v/>
      </c>
      <c r="IU32" s="127">
        <f>SUM(HP32:IT32)</f>
        <v/>
      </c>
      <c r="IV32" s="16">
        <f>IV31+IV28+IV25+IV22</f>
        <v/>
      </c>
      <c r="IW32" s="16">
        <f>IW31+IW28+IW25+IW22</f>
        <v/>
      </c>
      <c r="IX32" s="16">
        <f>IX31+IX28+IX25+IX22</f>
        <v/>
      </c>
      <c r="IY32" s="16">
        <f>IY31+IY28+IY25+IY22</f>
        <v/>
      </c>
      <c r="IZ32" s="16">
        <f>IZ31+IZ28+IZ25+IZ22</f>
        <v/>
      </c>
      <c r="JA32" s="16">
        <f>JA31+JA28+JA25+JA22</f>
        <v/>
      </c>
      <c r="JB32" s="16">
        <f>JB31+JB28+JB25+JB22</f>
        <v/>
      </c>
      <c r="JC32" s="16">
        <f>JC31+JC28+JC25+JC22</f>
        <v/>
      </c>
      <c r="JD32" s="16">
        <f>JD31+JD28+JD25+JD22</f>
        <v/>
      </c>
      <c r="JE32" s="16">
        <f>JE31+JE28+JE25+JE22</f>
        <v/>
      </c>
      <c r="JF32" s="16">
        <f>JF31+JF28+JF25+JF22</f>
        <v/>
      </c>
      <c r="JG32" s="16">
        <f>JG31+JG28+JG25+JG22</f>
        <v/>
      </c>
      <c r="JH32" s="16">
        <f>JH31+JH28+JH25+JH22</f>
        <v/>
      </c>
      <c r="JI32" s="16">
        <f>JI31+JI28+JI25+JI22</f>
        <v/>
      </c>
      <c r="JJ32" s="16">
        <f>JJ31+JJ28+JJ25+JJ22</f>
        <v/>
      </c>
      <c r="JK32" s="16">
        <f>JK31+JK28+JK25+JK22</f>
        <v/>
      </c>
      <c r="JL32" s="16">
        <f>JL31+JL28+JL25+JL22</f>
        <v/>
      </c>
      <c r="JM32" s="16">
        <f>JM31+JM28+JM25+JM22</f>
        <v/>
      </c>
      <c r="JN32" s="16">
        <f>JN31+JN28+JN25+JN22</f>
        <v/>
      </c>
      <c r="JO32" s="16">
        <f>JO31+JO28+JO25+JO22</f>
        <v/>
      </c>
      <c r="JP32" s="16">
        <f>JP31+JP28+JP25+JP22</f>
        <v/>
      </c>
      <c r="JQ32" s="16">
        <f>JQ31+JQ28+JQ25+JQ22</f>
        <v/>
      </c>
      <c r="JR32" s="16">
        <f>JR31+JR28+JR25+JR22</f>
        <v/>
      </c>
      <c r="JS32" s="16">
        <f>JS31+JS28+JS25+JS22</f>
        <v/>
      </c>
      <c r="JT32" s="16">
        <f>JT31+JT28+JT25+JT22</f>
        <v/>
      </c>
      <c r="JU32" s="16">
        <f>JU31+JU28+JU25+JU22</f>
        <v/>
      </c>
      <c r="JV32" s="16">
        <f>JV31+JV28+JV25+JV22</f>
        <v/>
      </c>
      <c r="JW32" s="16">
        <f>JW31+JW28+JW25+JW22</f>
        <v/>
      </c>
      <c r="JX32" s="16">
        <f>JX31+JX28+JX25+JX22</f>
        <v/>
      </c>
      <c r="JY32" s="16">
        <f>JY31+JY28+JY25+JY22</f>
        <v/>
      </c>
      <c r="JZ32" s="127">
        <f>SUM(IU32:JY32)</f>
        <v/>
      </c>
      <c r="KA32" s="16">
        <f>KA31+KA28+KA25+KA22</f>
        <v/>
      </c>
      <c r="KB32" s="16">
        <f>KB31+KB28+KB25+KB22</f>
        <v/>
      </c>
      <c r="KC32" s="16">
        <f>KC31+KC28+KC25+KC22</f>
        <v/>
      </c>
      <c r="KD32" s="16">
        <f>KD31+KD28+KD25+KD22</f>
        <v/>
      </c>
      <c r="KE32" s="16">
        <f>KE31+KE28+KE25+KE22</f>
        <v/>
      </c>
      <c r="KF32" s="16">
        <f>KF31+KF28+KF25+KF22</f>
        <v/>
      </c>
      <c r="KG32" s="16">
        <f>KG31+KG28+KG25+KG22</f>
        <v/>
      </c>
      <c r="KH32" s="16">
        <f>KH31+KH28+KH25+KH22</f>
        <v/>
      </c>
      <c r="KI32" s="16">
        <f>KI31+KI28+KI25+KI22</f>
        <v/>
      </c>
      <c r="KJ32" s="16">
        <f>KJ31+KJ28+KJ25+KJ22</f>
        <v/>
      </c>
      <c r="KK32" s="16">
        <f>KK31+KK28+KK25+KK22</f>
        <v/>
      </c>
      <c r="KL32" s="16">
        <f>KL31+KL28+KL25+KL22</f>
        <v/>
      </c>
      <c r="KM32" s="16">
        <f>KM31+KM28+KM25+KM22</f>
        <v/>
      </c>
      <c r="KN32" s="16">
        <f>KN31+KN28+KN25+KN22</f>
        <v/>
      </c>
      <c r="KO32" s="16">
        <f>KO31+KO28+KO25+KO22</f>
        <v/>
      </c>
      <c r="KP32" s="16">
        <f>KP31+KP28+KP25+KP22</f>
        <v/>
      </c>
      <c r="KQ32" s="16">
        <f>KQ31+KQ28+KQ25+KQ22</f>
        <v/>
      </c>
      <c r="KR32" s="16">
        <f>KR31+KR28+KR25+KR22</f>
        <v/>
      </c>
      <c r="KS32" s="16">
        <f>KS31+KS28+KS25+KS22</f>
        <v/>
      </c>
      <c r="KT32" s="16">
        <f>KT31+KT28+KT25+KT22</f>
        <v/>
      </c>
      <c r="KU32" s="16">
        <f>KU31+KU28+KU25+KU22</f>
        <v/>
      </c>
      <c r="KV32" s="16">
        <f>KV31+KV28+KV25+KV22</f>
        <v/>
      </c>
      <c r="KW32" s="16">
        <f>KW31+KW28+KW25+KW22</f>
        <v/>
      </c>
      <c r="KX32" s="16">
        <f>KX31+KX28+KX25+KX22</f>
        <v/>
      </c>
      <c r="KY32" s="16">
        <f>KY31+KY28+KY25+KY22</f>
        <v/>
      </c>
      <c r="KZ32" s="16">
        <f>KZ31+KZ28+KZ25+KZ22</f>
        <v/>
      </c>
      <c r="LA32" s="16">
        <f>LA31+LA28+LA25+LA22</f>
        <v/>
      </c>
      <c r="LB32" s="16">
        <f>LB31+LB28+LB25+LB22</f>
        <v/>
      </c>
      <c r="LC32" s="16">
        <f>LC31+LC28+LC25+LC22</f>
        <v/>
      </c>
      <c r="LD32" s="16">
        <f>LD31+LD28+LD25+LD22</f>
        <v/>
      </c>
      <c r="LE32" s="16">
        <f>LE31+LE28+LE25+LE22</f>
        <v/>
      </c>
      <c r="LF32" s="127">
        <f>SUM(KA32:LE32)</f>
        <v/>
      </c>
      <c r="LG32" s="16">
        <f>LG31+LG28+LG25+LG22</f>
        <v/>
      </c>
      <c r="LH32" s="16">
        <f>LH31+LH28+LH25+LH22</f>
        <v/>
      </c>
      <c r="LI32" s="16">
        <f>LI31+LI28+LI25+LI22</f>
        <v/>
      </c>
      <c r="LJ32" s="16">
        <f>LJ31+LJ28+LJ25+LJ22</f>
        <v/>
      </c>
      <c r="LK32" s="16">
        <f>LK31+LK28+LK25+LK22</f>
        <v/>
      </c>
      <c r="LL32" s="16">
        <f>LL31+LL28+LL25+LL22</f>
        <v/>
      </c>
      <c r="LM32" s="16">
        <f>LM31+LM28+LM25+LM22</f>
        <v/>
      </c>
      <c r="LN32" s="16">
        <f>LN31+LN28+LN25+LN22</f>
        <v/>
      </c>
      <c r="LO32" s="16">
        <f>LO31+LO28+LO25+LO22</f>
        <v/>
      </c>
      <c r="LP32" s="16">
        <f>LP31+LP28+LP25+LP22</f>
        <v/>
      </c>
      <c r="LQ32" s="16">
        <f>LQ31+LQ28+LQ25+LQ22</f>
        <v/>
      </c>
      <c r="LR32" s="16">
        <f>LR31+LR28+LR25+LR22</f>
        <v/>
      </c>
      <c r="LS32" s="16">
        <f>LS31+LS28+LS25+LS22</f>
        <v/>
      </c>
      <c r="LT32" s="16">
        <f>LT31+LT28+LT25+LT22</f>
        <v/>
      </c>
      <c r="LU32" s="16">
        <f>LU31+LU28+LU25+LU22</f>
        <v/>
      </c>
      <c r="LV32" s="16">
        <f>LV31+LV28+LV25+LV22</f>
        <v/>
      </c>
      <c r="LW32" s="16">
        <f>LW31+LW28+LW25+LW22</f>
        <v/>
      </c>
      <c r="LX32" s="16">
        <f>LX31+LX28+LX25+LX22</f>
        <v/>
      </c>
      <c r="LY32" s="16">
        <f>LY31+LY28+LY25+LY22</f>
        <v/>
      </c>
      <c r="LZ32" s="16">
        <f>LZ31+LZ28+LZ25+LZ22</f>
        <v/>
      </c>
      <c r="MA32" s="16">
        <f>MA31+MA28+MA25+MA22</f>
        <v/>
      </c>
      <c r="MB32" s="16">
        <f>MB31+MB28+MB25+MB22</f>
        <v/>
      </c>
      <c r="MC32" s="16">
        <f>MC31+MC28+MC25+MC22</f>
        <v/>
      </c>
      <c r="MD32" s="16">
        <f>MD31+MD28+MD25+MD22</f>
        <v/>
      </c>
      <c r="ME32" s="16">
        <f>ME31+ME28+ME25+ME22</f>
        <v/>
      </c>
      <c r="MF32" s="16">
        <f>MF31+MF28+MF25+MF22</f>
        <v/>
      </c>
      <c r="MG32" s="16">
        <f>MG31+MG28+MG25+MG22</f>
        <v/>
      </c>
      <c r="MH32" s="16">
        <f>MH31+MH28+MH25+MH22</f>
        <v/>
      </c>
      <c r="MI32" s="16">
        <f>MI31+MI28+MI25+MI22</f>
        <v/>
      </c>
      <c r="MJ32" s="16">
        <f>MJ31+MJ28+MJ25+MJ22</f>
        <v/>
      </c>
      <c r="MK32" s="127">
        <f>SUM(LF32:MJ32)</f>
        <v/>
      </c>
      <c r="ML32" s="16">
        <f>ML31+ML28+ML25+ML22</f>
        <v/>
      </c>
      <c r="MM32" s="16">
        <f>MM31+MM28+MM25+MM22</f>
        <v/>
      </c>
      <c r="MN32" s="16">
        <f>MN31+MN28+MN25+MN22</f>
        <v/>
      </c>
      <c r="MO32" s="16">
        <f>MO31+MO28+MO25+MO22</f>
        <v/>
      </c>
      <c r="MP32" s="16">
        <f>MP31+MP28+MP25+MP22</f>
        <v/>
      </c>
      <c r="MQ32" s="16">
        <f>MQ31+MQ28+MQ25+MQ22</f>
        <v/>
      </c>
      <c r="MR32" s="16">
        <f>MR31+MR28+MR25+MR22</f>
        <v/>
      </c>
      <c r="MS32" s="16">
        <f>MS31+MS28+MS25+MS22</f>
        <v/>
      </c>
      <c r="MT32" s="16">
        <f>MT31+MT28+MT25+MT22</f>
        <v/>
      </c>
      <c r="MU32" s="16">
        <f>MU31+MU28+MU25+MU22</f>
        <v/>
      </c>
      <c r="MV32" s="16">
        <f>MV31+MV28+MV25+MV22</f>
        <v/>
      </c>
      <c r="MW32" s="16">
        <f>MW31+MW28+MW25+MW22</f>
        <v/>
      </c>
      <c r="MX32" s="16">
        <f>MX31+MX28+MX25+MX22</f>
        <v/>
      </c>
      <c r="MY32" s="16">
        <f>MY31+MY28+MY25+MY22</f>
        <v/>
      </c>
      <c r="MZ32" s="16">
        <f>MZ31+MZ28+MZ25+MZ22</f>
        <v/>
      </c>
      <c r="NA32" s="16">
        <f>NA31+NA28+NA25+NA22</f>
        <v/>
      </c>
      <c r="NB32" s="16">
        <f>NB31+NB28+NB25+NB22</f>
        <v/>
      </c>
      <c r="NC32" s="16">
        <f>NC31+NC28+NC25+NC22</f>
        <v/>
      </c>
      <c r="ND32" s="16">
        <f>ND31+ND28+ND25+ND22</f>
        <v/>
      </c>
      <c r="NE32" s="16">
        <f>NE31+NE28+NE25+NE22</f>
        <v/>
      </c>
      <c r="NF32" s="16">
        <f>NF31+NF28+NF25+NF22</f>
        <v/>
      </c>
      <c r="NG32" s="16">
        <f>NG31+NG28+NG25+NG22</f>
        <v/>
      </c>
      <c r="NH32" s="16">
        <f>NH31+NH28+NH25+NH22</f>
        <v/>
      </c>
      <c r="NI32" s="16">
        <f>NI31+NI28+NI25+NI22</f>
        <v/>
      </c>
      <c r="NJ32" s="16">
        <f>NJ31+NJ28+NJ25+NJ22</f>
        <v/>
      </c>
      <c r="NK32" s="16">
        <f>NK31+NK28+NK25+NK22</f>
        <v/>
      </c>
      <c r="NL32" s="16">
        <f>NL31+NL28+NL25+NL22</f>
        <v/>
      </c>
      <c r="NM32" s="16">
        <f>NM31+NM28+NM25+NM22</f>
        <v/>
      </c>
      <c r="NN32" s="16">
        <f>NN31+NN28+NN25+NN22</f>
        <v/>
      </c>
      <c r="NO32" s="16">
        <f>NO31+NO28+NO25+NO22</f>
        <v/>
      </c>
      <c r="NP32" s="16">
        <f>NP31+NP28+NP25+NP22</f>
        <v/>
      </c>
      <c r="NQ32" s="127">
        <f>SUM(ML32:NP32)</f>
        <v/>
      </c>
      <c r="NR32" s="16">
        <f>NR31+NR28+NR25+NR22</f>
        <v/>
      </c>
      <c r="NS32" s="16">
        <f>NS31+NS28+NS25+NS22</f>
        <v/>
      </c>
      <c r="NT32" s="16">
        <f>NT31+NT28+NT25+NT22</f>
        <v/>
      </c>
      <c r="NU32" s="16">
        <f>NU31+NU28+NU25+NU22</f>
        <v/>
      </c>
      <c r="NV32" s="16">
        <f>NV31+NV28+NV25+NV22</f>
        <v/>
      </c>
      <c r="NW32" s="16">
        <f>NW31+NW28+NW25+NW22</f>
        <v/>
      </c>
      <c r="NX32" s="16">
        <f>NX31+NX28+NX25+NX22</f>
        <v/>
      </c>
      <c r="NY32" s="16">
        <f>NY31+NY28+NY25+NY22</f>
        <v/>
      </c>
      <c r="NZ32" s="16">
        <f>NZ31+NZ28+NZ25+NZ22</f>
        <v/>
      </c>
      <c r="OA32" s="16">
        <f>OA31+OA28+OA25+OA22</f>
        <v/>
      </c>
      <c r="OB32" s="16">
        <f>OB31+OB28+OB25+OB22</f>
        <v/>
      </c>
      <c r="OC32" s="16">
        <f>OC31+OC28+OC25+OC22</f>
        <v/>
      </c>
      <c r="OD32" s="16">
        <f>OD31+OD28+OD25+OD22</f>
        <v/>
      </c>
      <c r="OE32" s="16">
        <f>OE31+OE28+OE25+OE22</f>
        <v/>
      </c>
      <c r="OF32" s="16">
        <f>OF31+OF28+OF25+OF22</f>
        <v/>
      </c>
      <c r="OG32" s="16">
        <f>OG31+OG28+OG25+OG22</f>
        <v/>
      </c>
      <c r="OH32" s="16">
        <f>OH31+OH28+OH25+OH22</f>
        <v/>
      </c>
      <c r="OI32" s="16">
        <f>OI31+OI28+OI25+OI22</f>
        <v/>
      </c>
      <c r="OJ32" s="16">
        <f>OJ31+OJ28+OJ25+OJ22</f>
        <v/>
      </c>
      <c r="OK32" s="16">
        <f>OK31+OK28+OK25+OK22</f>
        <v/>
      </c>
      <c r="OL32" s="16">
        <f>OL31+OL28+OL25+OL22</f>
        <v/>
      </c>
      <c r="OM32" s="16">
        <f>OM31+OM28+OM25+OM22</f>
        <v/>
      </c>
      <c r="ON32" s="16">
        <f>ON31+ON28+ON25+ON22</f>
        <v/>
      </c>
      <c r="OO32" s="16">
        <f>OO31+OO28+OO25+OO22</f>
        <v/>
      </c>
      <c r="OP32" s="16">
        <f>OP31+OP28+OP25+OP22</f>
        <v/>
      </c>
      <c r="OQ32" s="16">
        <f>OQ31+OQ28+OQ25+OQ22</f>
        <v/>
      </c>
      <c r="OR32" s="16">
        <f>OR31+OR28+OR25+OR22</f>
        <v/>
      </c>
      <c r="OS32" s="16">
        <f>OS31+OS28+OS25+OS22</f>
        <v/>
      </c>
      <c r="OT32" s="16">
        <f>OT31+OT28+OT25+OT22</f>
        <v/>
      </c>
      <c r="OU32" s="16">
        <f>OU31+OU28+OU25+OU22</f>
        <v/>
      </c>
      <c r="OV32" s="16">
        <f>OV31+OV28+OV25+OV22</f>
        <v/>
      </c>
      <c r="OW32" s="127">
        <f>SUM(NR32:OV32)</f>
        <v/>
      </c>
      <c r="OX32" s="16">
        <f>OX31+OX28+OX25+OX22</f>
        <v/>
      </c>
      <c r="OY32" s="16">
        <f>OY31+OY28+OY25+OY22</f>
        <v/>
      </c>
      <c r="OZ32" s="16">
        <f>OZ31+OZ28+OZ25+OZ22</f>
        <v/>
      </c>
      <c r="PA32" s="16">
        <f>PA31+PA28+PA25+PA22</f>
        <v/>
      </c>
      <c r="PB32" s="16">
        <f>PB31+PB28+PB25+PB22</f>
        <v/>
      </c>
      <c r="PC32" s="16">
        <f>PC31+PC28+PC25+PC22</f>
        <v/>
      </c>
      <c r="PD32" s="16">
        <f>PD31+PD28+PD25+PD22</f>
        <v/>
      </c>
      <c r="PE32" s="16">
        <f>PE31+PE28+PE25+PE22</f>
        <v/>
      </c>
      <c r="PF32" s="16">
        <f>PF31+PF28+PF25+PF22</f>
        <v/>
      </c>
      <c r="PG32" s="16">
        <f>PG31+PG28+PG25+PG22</f>
        <v/>
      </c>
      <c r="PH32" s="16">
        <f>PH31+PH28+PH25+PH22</f>
        <v/>
      </c>
      <c r="PI32" s="16">
        <f>PI31+PI28+PI25+PI22</f>
        <v/>
      </c>
      <c r="PJ32" s="16">
        <f>PJ31+PJ28+PJ25+PJ22</f>
        <v/>
      </c>
      <c r="PK32" s="16">
        <f>PK31+PK28+PK25+PK22</f>
        <v/>
      </c>
      <c r="PL32" s="16">
        <f>PL31+PL28+PL25+PL22</f>
        <v/>
      </c>
      <c r="PM32" s="16">
        <f>PM31+PM28+PM25+PM22</f>
        <v/>
      </c>
      <c r="PN32" s="16">
        <f>PN31+PN28+PN25+PN22</f>
        <v/>
      </c>
      <c r="PO32" s="16">
        <f>PO31+PO28+PO25+PO22</f>
        <v/>
      </c>
      <c r="PP32" s="16">
        <f>PP31+PP28+PP25+PP22</f>
        <v/>
      </c>
      <c r="PQ32" s="16">
        <f>PQ31+PQ28+PQ25+PQ22</f>
        <v/>
      </c>
      <c r="PR32" s="16">
        <f>PR31+PR28+PR25+PR22</f>
        <v/>
      </c>
      <c r="PS32" s="16">
        <f>PS31+PS28+PS25+PS22</f>
        <v/>
      </c>
      <c r="PT32" s="16">
        <f>PT31+PT28+PT25+PT22</f>
        <v/>
      </c>
      <c r="PU32" s="16">
        <f>PU31+PU28+PU25+PU22</f>
        <v/>
      </c>
      <c r="PV32" s="16">
        <f>PV31+PV28+PV25+PV22</f>
        <v/>
      </c>
      <c r="PW32" s="16">
        <f>PW31+PW28+PW25+PW22</f>
        <v/>
      </c>
      <c r="PX32" s="16">
        <f>PX31+PX28+PX25+PX22</f>
        <v/>
      </c>
      <c r="PY32" s="16">
        <f>PY31+PY28+PY25+PY22</f>
        <v/>
      </c>
      <c r="PZ32" s="16">
        <f>PZ31+PZ28+PZ25+PZ22</f>
        <v/>
      </c>
      <c r="QA32" s="16">
        <f>QA31+QA28+QA25+QA22</f>
        <v/>
      </c>
      <c r="QB32" s="127">
        <f>QB22+QB25+QB28+QB31</f>
        <v/>
      </c>
      <c r="QC32" s="16">
        <f>QC31+QC28+QC25+QC22</f>
        <v/>
      </c>
      <c r="QD32" s="16">
        <f>QD31+QD28+QD25+QD22</f>
        <v/>
      </c>
      <c r="QE32" s="16">
        <f>QE31+QE28+QE25+QE22</f>
        <v/>
      </c>
      <c r="QF32" s="16">
        <f>QF31+QF28+QF25+QF22</f>
        <v/>
      </c>
      <c r="QG32" s="16">
        <f>QG31+QG28+QG25+QG22</f>
        <v/>
      </c>
      <c r="QH32" s="16">
        <f>QH31+QH28+QH25+QH22</f>
        <v/>
      </c>
      <c r="QI32" s="16">
        <f>QI31+QI28+QI25+QI22</f>
        <v/>
      </c>
      <c r="QJ32" s="16">
        <f>QJ31+QJ28+QJ25+QJ22</f>
        <v/>
      </c>
      <c r="QK32" s="16">
        <f>QK31+QK28+QK25+QK22</f>
        <v/>
      </c>
      <c r="QL32" s="16">
        <f>QL31+QL28+QL25+QL22</f>
        <v/>
      </c>
      <c r="QM32" s="16">
        <f>QM31+QM28+QM25+QM22</f>
        <v/>
      </c>
      <c r="QN32" s="16">
        <f>QN31+QN28+QN25+QN22</f>
        <v/>
      </c>
      <c r="QO32" s="16">
        <f>QO31+QO28+QO25+QO22</f>
        <v/>
      </c>
      <c r="QP32" s="16">
        <f>QP31+QP28+QP25+QP22</f>
        <v/>
      </c>
      <c r="QQ32" s="16">
        <f>QQ31+QQ28+QQ25+QQ22</f>
        <v/>
      </c>
      <c r="QR32" s="16">
        <f>QR31+QR28+QR25+QR22</f>
        <v/>
      </c>
      <c r="QS32" s="16">
        <f>QS31+QS28+QS25+QS22</f>
        <v/>
      </c>
      <c r="QT32" s="16">
        <f>QT31+QT28+QT25+QT22</f>
        <v/>
      </c>
      <c r="QU32" s="16">
        <f>QU31+QU28+QU25+QU22</f>
        <v/>
      </c>
      <c r="QV32" s="16">
        <f>QV31+QV28+QV25+QV22</f>
        <v/>
      </c>
      <c r="QW32" s="16">
        <f>QW31+QW28+QW25+QW22</f>
        <v/>
      </c>
      <c r="QX32" s="16">
        <f>QX31+QX28+QX25+QX22</f>
        <v/>
      </c>
      <c r="QY32" s="16">
        <f>QY31+QY28+QY25+QY22</f>
        <v/>
      </c>
      <c r="QZ32" s="16">
        <f>QZ31+QZ28+QZ25+QZ22</f>
        <v/>
      </c>
      <c r="RA32" s="16">
        <f>RA31+RA28+RA25+RA22</f>
        <v/>
      </c>
      <c r="RB32" s="16">
        <f>RB31+RB28+RB25+RB22</f>
        <v/>
      </c>
      <c r="RC32" s="16">
        <f>RC31+RC28+RC25+RC22</f>
        <v/>
      </c>
      <c r="RD32" s="16">
        <f>RD31+RD28+RD25+RD22</f>
        <v/>
      </c>
      <c r="RE32" s="16">
        <f>RE31+RE28+RE25+RE22</f>
        <v/>
      </c>
      <c r="RF32" s="16">
        <f>RF31+RF28+RF25+RF22</f>
        <v/>
      </c>
      <c r="RG32" s="16">
        <f>RG31+RG28+RG25+RG22</f>
        <v/>
      </c>
      <c r="RH32" s="127">
        <f>RH22+RH25+RH28+RH31</f>
        <v/>
      </c>
      <c r="RI32" s="16">
        <f>RI31+RI28+RI25+RI22</f>
        <v/>
      </c>
      <c r="RJ32" s="16">
        <f>RJ31+RJ28+RJ25+RJ22</f>
        <v/>
      </c>
      <c r="RK32" s="16">
        <f>RK31+RK28+RK25+RK22</f>
        <v/>
      </c>
      <c r="RL32" s="16">
        <f>RL31+RL28+RL25+RL22</f>
        <v/>
      </c>
      <c r="RM32" s="16">
        <f>RM31+RM28+RM25+RM22</f>
        <v/>
      </c>
      <c r="RN32" s="16">
        <f>RN31+RN28+RN25+RN22</f>
        <v/>
      </c>
      <c r="RO32" s="16">
        <f>RO31+RO28+RO25+RO22</f>
        <v/>
      </c>
      <c r="RP32" s="16">
        <f>RP31+RP28+RP25+RP22</f>
        <v/>
      </c>
      <c r="RQ32" s="16">
        <f>RQ31+RQ28+RQ25+RQ22</f>
        <v/>
      </c>
      <c r="RR32" s="16">
        <f>RR31+RR28+RR25+RR22</f>
        <v/>
      </c>
      <c r="RS32" s="16">
        <f>RS31+RS28+RS25+RS22</f>
        <v/>
      </c>
      <c r="RT32" s="16">
        <f>RT31+RT28+RT25+RT22</f>
        <v/>
      </c>
      <c r="RU32" s="16">
        <f>RU31+RU28+RU25+RU22</f>
        <v/>
      </c>
      <c r="RV32" s="16">
        <f>RV31+RV28+RV25+RV22</f>
        <v/>
      </c>
      <c r="RW32" s="16">
        <f>RW31+RW28+RW25+RW22</f>
        <v/>
      </c>
      <c r="RX32" s="16">
        <f>RX31+RX28+RX25+RX22</f>
        <v/>
      </c>
      <c r="RY32" s="16">
        <f>RY31+RY28+RY25+RY22</f>
        <v/>
      </c>
      <c r="RZ32" s="16">
        <f>RZ31+RZ28+RZ25+RZ22</f>
        <v/>
      </c>
      <c r="SA32" s="16">
        <f>SA31+SA28+SA25+SA22</f>
        <v/>
      </c>
      <c r="SB32" s="16">
        <f>SB31+SB28+SB25+SB22</f>
        <v/>
      </c>
      <c r="SC32" s="16">
        <f>SC31+SC28+SC25+SC22</f>
        <v/>
      </c>
      <c r="SD32" s="16">
        <f>SD31+SD28+SD25+SD22</f>
        <v/>
      </c>
      <c r="SE32" s="16">
        <f>SE31+SE28+SE25+SE22</f>
        <v/>
      </c>
      <c r="SF32" s="16">
        <f>SF31+SF28+SF25+SF22</f>
        <v/>
      </c>
      <c r="SG32" s="16">
        <f>SG31+SG28+SG25+SG22</f>
        <v/>
      </c>
      <c r="SH32" s="16">
        <f>SH31+SH28+SH25+SH22</f>
        <v/>
      </c>
      <c r="SI32" s="16">
        <f>SI31+SI28+SI25+SI22</f>
        <v/>
      </c>
      <c r="SJ32" s="16">
        <f>SJ31+SJ28+SJ25+SJ22</f>
        <v/>
      </c>
      <c r="SK32" s="16">
        <f>SK31+SK28+SK25+SK22</f>
        <v/>
      </c>
      <c r="SL32" s="16">
        <f>SL31+SL28+SL25+SL22</f>
        <v/>
      </c>
      <c r="SM32" s="127">
        <f>SM22+SM25+SM28+SM31</f>
        <v/>
      </c>
      <c r="SN32" s="16">
        <f>SN31+SN28+SN25+SN22</f>
        <v/>
      </c>
      <c r="SO32" s="16">
        <f>SO31+SO28+SO25+SO22</f>
        <v/>
      </c>
      <c r="SP32" s="16">
        <f>SP31+SP28+SP25+SP22</f>
        <v/>
      </c>
      <c r="SQ32" s="16">
        <f>SQ31+SQ28+SQ25+SQ22</f>
        <v/>
      </c>
      <c r="SR32" s="16">
        <f>SR31+SR28+SR25+SR22</f>
        <v/>
      </c>
      <c r="SS32" s="16">
        <f>SS31+SS28+SS25+SS22</f>
        <v/>
      </c>
      <c r="ST32" s="16">
        <f>ST31+ST28+ST25+ST22</f>
        <v/>
      </c>
      <c r="SU32" s="16">
        <f>SU31+SU28+SU25+SU22</f>
        <v/>
      </c>
      <c r="SV32" s="16">
        <f>SV31+SV28+SV25+SV22</f>
        <v/>
      </c>
      <c r="SW32" s="16">
        <f>SW31+SW28+SW25+SW22</f>
        <v/>
      </c>
      <c r="SX32" s="16">
        <f>SX31+SX28+SX25+SX22</f>
        <v/>
      </c>
      <c r="SY32" s="16">
        <f>SY31+SY28+SY25+SY22</f>
        <v/>
      </c>
      <c r="SZ32" s="16">
        <f>SZ31+SZ28+SZ25+SZ22</f>
        <v/>
      </c>
      <c r="TA32" s="16">
        <f>TA31+TA28+TA25+TA22</f>
        <v/>
      </c>
      <c r="TB32" s="16">
        <f>TB31+TB28+TB25+TB22</f>
        <v/>
      </c>
      <c r="TC32" s="16">
        <f>TC31+TC28+TC25+TC22</f>
        <v/>
      </c>
      <c r="TD32" s="16">
        <f>TD31+TD28+TD25+TD22</f>
        <v/>
      </c>
      <c r="TE32" s="16">
        <f>TE31+TE28+TE25+TE22</f>
        <v/>
      </c>
      <c r="TF32" s="16">
        <f>TF31+TF28+TF25+TF22</f>
        <v/>
      </c>
      <c r="TG32" s="16">
        <f>TG31+TG28+TG25+TG22</f>
        <v/>
      </c>
      <c r="TH32" s="16">
        <f>TH31+TH28+TH25+TH22</f>
        <v/>
      </c>
      <c r="TI32" s="16">
        <f>TI31+TI28+TI25+TI22</f>
        <v/>
      </c>
      <c r="TJ32" s="16">
        <f>TJ31+TJ28+TJ25+TJ22</f>
        <v/>
      </c>
      <c r="TK32" s="16">
        <f>TK31+TK28+TK25+TK22</f>
        <v/>
      </c>
      <c r="TL32" s="16">
        <f>TL31+TL28+TL25+TL22</f>
        <v/>
      </c>
      <c r="TM32" s="16">
        <f>TM31+TM28+TM25+TM22</f>
        <v/>
      </c>
      <c r="TN32" s="16">
        <f>TN31+TN28+TN25+TN22</f>
        <v/>
      </c>
      <c r="TO32" s="16">
        <f>TO31+TO28+TO25+TO22</f>
        <v/>
      </c>
      <c r="TP32" s="16">
        <f>TP31+TP28+TP25+TP22</f>
        <v/>
      </c>
      <c r="TQ32" s="16">
        <f>TQ31+TQ28+TQ25+TQ22</f>
        <v/>
      </c>
      <c r="TR32" s="16">
        <f>TR31+TR28+TR25+TR22</f>
        <v/>
      </c>
      <c r="TS32" s="127">
        <f>TS22+TS25+TS28+TS31</f>
        <v/>
      </c>
      <c r="TT32" s="16">
        <f>TT31+TT28+TT25+TT22</f>
        <v/>
      </c>
      <c r="TU32" s="16">
        <f>TU31+TU28+TU25+TU22</f>
        <v/>
      </c>
      <c r="TV32" s="16">
        <f>TV31+TV28+TV25+TV22</f>
        <v/>
      </c>
      <c r="TW32" s="16">
        <f>TW31+TW28+TW25+TW22</f>
        <v/>
      </c>
      <c r="TX32" s="16">
        <f>TX31+TX28+TX25+TX22</f>
        <v/>
      </c>
      <c r="TY32" s="16">
        <f>TY31+TY28+TY25+TY22</f>
        <v/>
      </c>
      <c r="TZ32" s="16">
        <f>TZ31+TZ28+TZ25+TZ22</f>
        <v/>
      </c>
      <c r="UA32" s="16">
        <f>UA31+UA28+UA25+UA22</f>
        <v/>
      </c>
      <c r="UB32" s="16">
        <f>UB31+UB28+UB25+UB22</f>
        <v/>
      </c>
      <c r="UC32" s="16">
        <f>UC31+UC28+UC25+UC22</f>
        <v/>
      </c>
      <c r="UD32" s="16">
        <f>UD31+UD28+UD25+UD22</f>
        <v/>
      </c>
      <c r="UE32" s="16">
        <f>UE31+UE28+UE25+UE22</f>
        <v/>
      </c>
      <c r="UF32" s="16">
        <f>UF31+UF28+UF25+UF22</f>
        <v/>
      </c>
      <c r="UG32" s="16">
        <f>UG31+UG28+UG25+UG22</f>
        <v/>
      </c>
      <c r="UH32" s="16">
        <f>UH31+UH28+UH25+UH22</f>
        <v/>
      </c>
      <c r="UI32" s="16">
        <f>UI31+UI28+UI25+UI22</f>
        <v/>
      </c>
      <c r="UJ32" s="16">
        <f>UJ31+UJ28+UJ25+UJ22</f>
        <v/>
      </c>
      <c r="UK32" s="16">
        <f>UK31+UK28+UK25+UK22</f>
        <v/>
      </c>
      <c r="UL32" s="16">
        <f>UL31+UL28+UL25+UL22</f>
        <v/>
      </c>
      <c r="UM32" s="16">
        <f>UM31+UM28+UM25+UM22</f>
        <v/>
      </c>
      <c r="UN32" s="16">
        <f>UN31+UN28+UN25+UN22</f>
        <v/>
      </c>
      <c r="UO32" s="16">
        <f>UO31+UO28+UO25+UO22</f>
        <v/>
      </c>
      <c r="UP32" s="16">
        <f>UP31+UP28+UP25+UP22</f>
        <v/>
      </c>
      <c r="UQ32" s="16">
        <f>UQ31+UQ28+UQ25+UQ22</f>
        <v/>
      </c>
      <c r="UR32" s="16">
        <f>UR31+UR28+UR25+UR22</f>
        <v/>
      </c>
      <c r="US32" s="16">
        <f>US31+US28+US25+US22</f>
        <v/>
      </c>
      <c r="UT32" s="16">
        <f>UT31+UT28+UT25+UT22</f>
        <v/>
      </c>
      <c r="UU32" s="16">
        <f>UU31+UU28+UU25+UU22</f>
        <v/>
      </c>
      <c r="UV32" s="16">
        <f>UV31+UV28+UV25+UV22</f>
        <v/>
      </c>
      <c r="UW32" s="16">
        <f>UW31+UW28+UW25+UW22</f>
        <v/>
      </c>
      <c r="UX32" s="16">
        <f>UX31+UX28+UX25+UX22</f>
        <v/>
      </c>
      <c r="UY32" s="127">
        <f>UY22+UY25+UY28+UY31</f>
        <v/>
      </c>
      <c r="UZ32" s="16">
        <f>UZ31+UZ28+UZ25+UZ22</f>
        <v/>
      </c>
      <c r="VA32" s="16">
        <f>VA31+VA28+VA25+VA22</f>
        <v/>
      </c>
      <c r="VB32" s="16">
        <f>VB31+VB28+VB25+VB22</f>
        <v/>
      </c>
      <c r="VC32" s="16">
        <f>VC31+VC28+VC25+VC22</f>
        <v/>
      </c>
      <c r="VD32" s="16">
        <f>VD31+VD28+VD25+VD22</f>
        <v/>
      </c>
      <c r="VE32" s="16">
        <f>VE31+VE28+VE25+VE22</f>
        <v/>
      </c>
      <c r="VF32" s="16">
        <f>VF31+VF28+VF25+VF22</f>
        <v/>
      </c>
      <c r="VG32" s="16">
        <f>VG31+VG28+VG25+VG22</f>
        <v/>
      </c>
      <c r="VH32" s="16">
        <f>VH31+VH28+VH25+VH22</f>
        <v/>
      </c>
      <c r="VI32" s="16">
        <f>VI31+VI28+VI25+VI22</f>
        <v/>
      </c>
      <c r="VJ32" s="16">
        <f>VJ31+VJ28+VJ25+VJ22</f>
        <v/>
      </c>
      <c r="VK32" s="16">
        <f>VK31+VK28+VK25+VK22</f>
        <v/>
      </c>
      <c r="VL32" s="16">
        <f>VL31+VL28+VL25+VL22</f>
        <v/>
      </c>
      <c r="VM32" s="16">
        <f>VM31+VM28+VM25+VM22</f>
        <v/>
      </c>
      <c r="VN32" s="16">
        <f>VN31+VN28+VN25+VN22</f>
        <v/>
      </c>
      <c r="VO32" s="16">
        <f>VO31+VO28+VO25+VO22</f>
        <v/>
      </c>
      <c r="VP32" s="16">
        <f>VP31+VP28+VP25+VP22</f>
        <v/>
      </c>
      <c r="VQ32" s="16">
        <f>VQ31+VQ28+VQ25+VQ22</f>
        <v/>
      </c>
      <c r="VR32" s="16">
        <f>VR31+VR28+VR25+VR22</f>
        <v/>
      </c>
      <c r="VS32" s="16">
        <f>VS31+VS28+VS25+VS22</f>
        <v/>
      </c>
      <c r="VT32" s="16">
        <f>VT31+VT28+VT25+VT22</f>
        <v/>
      </c>
      <c r="VU32" s="16">
        <f>VU31+VU28+VU25+VU22</f>
        <v/>
      </c>
      <c r="VV32" s="16">
        <f>VV31+VV28+VV25+VV22</f>
        <v/>
      </c>
      <c r="VW32" s="16">
        <f>VW31+VW28+VW25+VW22</f>
        <v/>
      </c>
      <c r="VX32" s="16">
        <f>VX31+VX28+VX25+VX22</f>
        <v/>
      </c>
      <c r="VY32" s="16">
        <f>VY31+VY28+VY25+VY22</f>
        <v/>
      </c>
      <c r="VZ32" s="16">
        <f>VZ31+VZ28+VZ25+VZ22</f>
        <v/>
      </c>
      <c r="WA32" s="16">
        <f>WA31+WA28+WA25+WA22</f>
        <v/>
      </c>
      <c r="WB32" s="127">
        <f>WB22+WB25+WB28+WB31</f>
        <v/>
      </c>
      <c r="WC32" s="16">
        <f>WC31+WC28+WC25+WC22</f>
        <v/>
      </c>
      <c r="WD32" s="16">
        <f>WD31+WD28+WD25+WD22</f>
        <v/>
      </c>
      <c r="WE32" s="16">
        <f>WE31+WE28+WE25+WE22</f>
        <v/>
      </c>
      <c r="WF32" s="16">
        <f>WF31+WF28+WF25+WF22</f>
        <v/>
      </c>
      <c r="WG32" s="16">
        <f>WG31+WG28+WG25+WG22</f>
        <v/>
      </c>
      <c r="WH32" s="16">
        <f>WH31+WH28+WH25+WH22</f>
        <v/>
      </c>
      <c r="WI32" s="16">
        <f>WI31+WI28+WI25+WI22</f>
        <v/>
      </c>
      <c r="WJ32" s="16">
        <f>WJ31+WJ28+WJ25+WJ22</f>
        <v/>
      </c>
      <c r="WK32" s="16">
        <f>WK31+WK28+WK25+WK22</f>
        <v/>
      </c>
      <c r="WL32" s="16">
        <f>WL31+WL28+WL25+WL22</f>
        <v/>
      </c>
      <c r="WM32" s="16">
        <f>WM31+WM28+WM25+WM22</f>
        <v/>
      </c>
      <c r="WN32" s="16">
        <f>WN31+WN28+WN25+WN22</f>
        <v/>
      </c>
      <c r="WO32" s="16">
        <f>WO31+WO28+WO25+WO22</f>
        <v/>
      </c>
      <c r="WP32" s="16">
        <f>WP31+WP28+WP25+WP22</f>
        <v/>
      </c>
      <c r="WQ32" s="16">
        <f>WQ31+WQ28+WQ25+WQ22</f>
        <v/>
      </c>
      <c r="WR32" s="16">
        <f>WR31+WR28+WR25+WR22</f>
        <v/>
      </c>
      <c r="WS32" s="16">
        <f>WS31+WS28+WS25+WS22</f>
        <v/>
      </c>
      <c r="WT32" s="16">
        <f>WT31+WT28+WT25+WT22</f>
        <v/>
      </c>
      <c r="WU32" s="16">
        <f>WU31+WU28+WU25+WU22</f>
        <v/>
      </c>
      <c r="WV32" s="16">
        <f>WV31+WV28+WV25+WV22</f>
        <v/>
      </c>
      <c r="WW32" s="16">
        <f>WW31+WW28+WW25+WW22</f>
        <v/>
      </c>
      <c r="WX32" s="16">
        <f>WX31+WX28+WX25+WX22</f>
        <v/>
      </c>
      <c r="WY32" s="16">
        <f>WY31+WY28+WY25+WY22</f>
        <v/>
      </c>
      <c r="WZ32" s="16">
        <f>WZ31+WZ28+WZ25+WZ22</f>
        <v/>
      </c>
      <c r="XA32" s="16">
        <f>XA31+XA28+XA25+XA22</f>
        <v/>
      </c>
      <c r="XB32" s="16">
        <f>XB31+XB28+XB25+XB22</f>
        <v/>
      </c>
      <c r="XC32" s="16">
        <f>XC31+XC28+XC25+XC22</f>
        <v/>
      </c>
      <c r="XD32" s="16">
        <f>XD31+XD28+XD25+XD22</f>
        <v/>
      </c>
      <c r="XE32" s="16">
        <f>XE31+XE28+XE25+XE22</f>
        <v/>
      </c>
      <c r="XF32" s="16">
        <f>XF31+XF28+XF25+XF22</f>
        <v/>
      </c>
      <c r="XG32" s="16">
        <f>XG31+XG28+XG25+XG22</f>
        <v/>
      </c>
      <c r="XH32" s="127">
        <f>SUM(WC32:XG32)</f>
        <v/>
      </c>
      <c r="XI32" s="16">
        <f>XI31+XI28+XI25+XI22</f>
        <v/>
      </c>
      <c r="XJ32" s="16">
        <f>XJ31+XJ28+XJ25+XJ22</f>
        <v/>
      </c>
      <c r="XK32" s="16">
        <f>XK31+XK28+XK25+XK22</f>
        <v/>
      </c>
      <c r="XL32" s="16">
        <f>XL31+XL28+XL25+XL22</f>
        <v/>
      </c>
      <c r="XM32" s="16">
        <f>XM31+XM28+XM25+XM22</f>
        <v/>
      </c>
      <c r="XN32" s="16">
        <f>XN31+XN28+XN25+XN22</f>
        <v/>
      </c>
      <c r="XO32" s="16">
        <f>XO31+XO28+XO25+XO22</f>
        <v/>
      </c>
      <c r="XP32" s="16">
        <f>XP31+XP28+XP25+XP22</f>
        <v/>
      </c>
      <c r="XQ32" s="16">
        <f>XQ31+XQ28+XQ25+XQ22</f>
        <v/>
      </c>
      <c r="XR32" s="16">
        <f>XR31+XR28+XR25+XR22</f>
        <v/>
      </c>
      <c r="XS32" s="16">
        <f>XS31+XS28+XS25+XS22</f>
        <v/>
      </c>
      <c r="XT32" s="16">
        <f>XT31+XT28+XT25+XT22</f>
        <v/>
      </c>
      <c r="XU32" s="16">
        <f>XU31+XU28+XU25+XU22</f>
        <v/>
      </c>
      <c r="XV32" s="16">
        <f>XV31+XV28+XV25+XV22</f>
        <v/>
      </c>
      <c r="XW32" s="16">
        <f>XW31+XW28+XW25+XW22</f>
        <v/>
      </c>
      <c r="XX32" s="16">
        <f>XX31+XX28+XX25+XX22</f>
        <v/>
      </c>
      <c r="XY32" s="16">
        <f>XY31+XY28+XY25+XY22</f>
        <v/>
      </c>
      <c r="XZ32" s="16">
        <f>XZ31+XZ28+XZ25+XZ22</f>
        <v/>
      </c>
      <c r="YA32" s="16">
        <f>YA31+YA28+YA25+YA22</f>
        <v/>
      </c>
      <c r="YB32" s="16">
        <f>YB31+YB28+YB25+YB22</f>
        <v/>
      </c>
      <c r="YC32" s="16">
        <f>YC31+YC28+YC25+YC22</f>
        <v/>
      </c>
      <c r="YD32" s="16">
        <f>YD31+YD28+YD25+YD22</f>
        <v/>
      </c>
      <c r="YE32" s="16">
        <f>YE31+YE28+YE25+YE22</f>
        <v/>
      </c>
      <c r="YF32" s="16">
        <f>YF31+YF28+YF25+YF22</f>
        <v/>
      </c>
      <c r="YG32" s="16">
        <f>YG31+YG28+YG25+YG22</f>
        <v/>
      </c>
      <c r="YH32" s="16">
        <f>YH31+YH28+YH25+YH22</f>
        <v/>
      </c>
      <c r="YI32" s="16">
        <f>YI31+YI28+YI25+YI22</f>
        <v/>
      </c>
      <c r="YJ32" s="16">
        <f>YJ31+YJ28+YJ25+YJ22</f>
        <v/>
      </c>
      <c r="YK32" s="16">
        <f>YK31+YK28+YK25+YK22</f>
        <v/>
      </c>
      <c r="YL32" s="16">
        <f>YL31+YL28+YL25+YL22</f>
        <v/>
      </c>
      <c r="YM32" s="127">
        <f>SUM(XH32:YL32)</f>
        <v/>
      </c>
      <c r="YN32" s="16">
        <f>YN31+YN28+YN25+YN22</f>
        <v/>
      </c>
      <c r="YO32" s="16">
        <f>YO31+YO28+YO25+YO22</f>
        <v/>
      </c>
      <c r="YP32" s="16">
        <f>YP31+YP28+YP25+YP22</f>
        <v/>
      </c>
      <c r="YQ32" s="16">
        <f>YQ31+YQ28+YQ25+YQ22</f>
        <v/>
      </c>
      <c r="YR32" s="16">
        <f>YR31+YR28+YR25+YR22</f>
        <v/>
      </c>
      <c r="YS32" s="16">
        <f>YS31+YS28+YS25+YS22</f>
        <v/>
      </c>
      <c r="YT32" s="16">
        <f>YT31+YT28+YT25+YT22</f>
        <v/>
      </c>
      <c r="YU32" s="16">
        <f>YU31+YU28+YU25+YU22</f>
        <v/>
      </c>
      <c r="YV32" s="16">
        <f>YV31+YV28+YV25+YV22</f>
        <v/>
      </c>
      <c r="YW32" s="16">
        <f>YW31+YW28+YW25+YW22</f>
        <v/>
      </c>
      <c r="YX32" s="16">
        <f>YX31+YX28+YX25+YX22</f>
        <v/>
      </c>
      <c r="YY32" s="16">
        <f>YY31+YY28+YY25+YY22</f>
        <v/>
      </c>
      <c r="YZ32" s="16">
        <f>YZ31+YZ28+YZ25+YZ22</f>
        <v/>
      </c>
      <c r="ZA32" s="16">
        <f>ZA31+ZA28+ZA25+ZA22</f>
        <v/>
      </c>
      <c r="ZB32" s="16">
        <f>ZB31+ZB28+ZB25+ZB22</f>
        <v/>
      </c>
      <c r="ZC32" s="16">
        <f>ZC31+ZC28+ZC25+ZC22</f>
        <v/>
      </c>
      <c r="ZD32" s="16">
        <f>ZD31+ZD28+ZD25+ZD22</f>
        <v/>
      </c>
      <c r="ZE32" s="16">
        <f>ZE31+ZE28+ZE25+ZE22</f>
        <v/>
      </c>
      <c r="ZF32" s="16">
        <f>ZF31+ZF28+ZF25+ZF22</f>
        <v/>
      </c>
      <c r="ZG32" s="16">
        <f>ZG31+ZG28+ZG25+ZG22</f>
        <v/>
      </c>
      <c r="ZH32" s="16">
        <f>ZH31+ZH28+ZH25+ZH22</f>
        <v/>
      </c>
      <c r="ZI32" s="16">
        <f>ZI31+ZI28+ZI25+ZI22</f>
        <v/>
      </c>
      <c r="ZJ32" s="16">
        <f>ZJ31+ZJ28+ZJ25+ZJ22</f>
        <v/>
      </c>
      <c r="ZK32" s="16">
        <f>ZK31+ZK28+ZK25+ZK22</f>
        <v/>
      </c>
      <c r="ZL32" s="16">
        <f>ZL31+ZL28+ZL25+ZL22</f>
        <v/>
      </c>
      <c r="ZM32" s="16">
        <f>ZM31+ZM28+ZM25+ZM22</f>
        <v/>
      </c>
      <c r="ZN32" s="16">
        <f>ZN31+ZN28+ZN25+ZN22</f>
        <v/>
      </c>
      <c r="ZO32" s="16">
        <f>ZO31+ZO28+ZO25+ZO22</f>
        <v/>
      </c>
      <c r="ZP32" s="16">
        <f>ZP31+ZP28+ZP25+ZP22</f>
        <v/>
      </c>
      <c r="ZQ32" s="16">
        <f>ZQ31+ZQ28+ZQ25+ZQ22</f>
        <v/>
      </c>
      <c r="ZR32" s="16">
        <f>ZR31+ZR28+ZR25+ZR22</f>
        <v/>
      </c>
      <c r="ZS32" s="127">
        <f>SUM(YN32:ZR32)</f>
        <v/>
      </c>
      <c r="ZT32" s="16">
        <f>ZT31+ZT28+ZT25+ZT22</f>
        <v/>
      </c>
      <c r="ZU32" s="16">
        <f>ZU31+ZU28+ZU25+ZU22</f>
        <v/>
      </c>
      <c r="ZV32" s="16">
        <f>ZV31+ZV28+ZV25+ZV22</f>
        <v/>
      </c>
      <c r="ZW32" s="16">
        <f>ZW31+ZW28+ZW25+ZW22</f>
        <v/>
      </c>
      <c r="ZX32" s="16">
        <f>ZX31+ZX28+ZX25+ZX22</f>
        <v/>
      </c>
      <c r="ZY32" s="16">
        <f>ZY31+ZY28+ZY25+ZY22</f>
        <v/>
      </c>
      <c r="ZZ32" s="16">
        <f>ZZ31+ZZ28+ZZ25+ZZ22</f>
        <v/>
      </c>
      <c r="AAA32" s="16">
        <f>AAA31+AAA28+AAA25+AAA22</f>
        <v/>
      </c>
      <c r="AAB32" s="16">
        <f>AAB31+AAB28+AAB25+AAB22</f>
        <v/>
      </c>
      <c r="AAC32" s="16">
        <f>AAC31+AAC28+AAC25+AAC22</f>
        <v/>
      </c>
      <c r="AAD32" s="16">
        <f>AAD31+AAD28+AAD25+AAD22</f>
        <v/>
      </c>
      <c r="AAE32" s="16">
        <f>AAE31+AAE28+AAE25+AAE22</f>
        <v/>
      </c>
      <c r="AAF32" s="16">
        <f>AAF31+AAF28+AAF25+AAF22</f>
        <v/>
      </c>
      <c r="AAG32" s="16">
        <f>AAG31+AAG28+AAG25+AAG22</f>
        <v/>
      </c>
      <c r="AAH32" s="16">
        <f>AAH31+AAH28+AAH25+AAH22</f>
        <v/>
      </c>
      <c r="AAI32" s="16">
        <f>AAI31+AAI28+AAI25+AAI22</f>
        <v/>
      </c>
      <c r="AAJ32" s="16">
        <f>AAJ31+AAJ28+AAJ25+AAJ22</f>
        <v/>
      </c>
      <c r="AAK32" s="16">
        <f>AAK31+AAK28+AAK25+AAK22</f>
        <v/>
      </c>
      <c r="AAL32" s="16">
        <f>AAL31+AAL28+AAL25+AAL22</f>
        <v/>
      </c>
      <c r="AAM32" s="16">
        <f>AAM31+AAM28+AAM25+AAM22</f>
        <v/>
      </c>
      <c r="AAN32" s="16">
        <f>AAN31+AAN28+AAN25+AAN22</f>
        <v/>
      </c>
      <c r="AAO32" s="16">
        <f>AAO31+AAO28+AAO25+AAO22</f>
        <v/>
      </c>
      <c r="AAP32" s="16">
        <f>AAP31+AAP28+AAP25+AAP22</f>
        <v/>
      </c>
      <c r="AAQ32" s="16">
        <f>AAQ31+AAQ28+AAQ25+AAQ22</f>
        <v/>
      </c>
      <c r="AAR32" s="16">
        <f>AAR31+AAR28+AAR25+AAR22</f>
        <v/>
      </c>
      <c r="AAS32" s="16">
        <f>AAS31+AAS28+AAS25+AAS22</f>
        <v/>
      </c>
      <c r="AAT32" s="16">
        <f>AAT31+AAT28+AAT25+AAT22</f>
        <v/>
      </c>
      <c r="AAU32" s="16">
        <f>AAU31+AAU28+AAU25+AAU22</f>
        <v/>
      </c>
      <c r="AAV32" s="16">
        <f>AAV31+AAV28+AAV25+AAV22</f>
        <v/>
      </c>
      <c r="AAW32" s="16">
        <f>AAW31+AAW28+AAW25+AAW22</f>
        <v/>
      </c>
      <c r="AAX32" s="127">
        <f>SUM(ZT32:AAW32)</f>
        <v/>
      </c>
      <c r="AAY32" s="16">
        <f>AAY31+AAY28+AAY25+AAY22</f>
        <v/>
      </c>
      <c r="AAZ32" s="16">
        <f>AAZ31+AAZ28+AAZ25+AAZ22</f>
        <v/>
      </c>
      <c r="ABA32" s="16">
        <f>ABA31+ABA28+ABA25+ABA22</f>
        <v/>
      </c>
      <c r="ABB32" s="16">
        <f>ABB31+ABB28+ABB25+ABB22</f>
        <v/>
      </c>
      <c r="ABC32" s="16">
        <f>ABC31+ABC28+ABC25+ABC22</f>
        <v/>
      </c>
      <c r="ABD32" s="16">
        <f>ABD31+ABD28+ABD25+ABD22</f>
        <v/>
      </c>
      <c r="ABE32" s="16">
        <f>ABE31+ABE28+ABE25+ABE22</f>
        <v/>
      </c>
      <c r="ABF32" s="16">
        <f>ABF31+ABF28+ABF25+ABF22</f>
        <v/>
      </c>
      <c r="ABG32" s="16">
        <f>ABG31+ABG28+ABG25+ABG22</f>
        <v/>
      </c>
      <c r="ABH32" s="16">
        <f>ABH31+ABH28+ABH25+ABH22</f>
        <v/>
      </c>
      <c r="ABI32" s="16">
        <f>ABI31+ABI28+ABI25+ABI22</f>
        <v/>
      </c>
      <c r="ABJ32" s="16">
        <f>ABJ31+ABJ28+ABJ25+ABJ22</f>
        <v/>
      </c>
      <c r="ABK32" s="16">
        <f>ABK31+ABK28+ABK25+ABK22</f>
        <v/>
      </c>
      <c r="ABL32" s="16">
        <f>ABL31+ABL28+ABL25+ABL22</f>
        <v/>
      </c>
      <c r="ABM32" s="16">
        <f>ABM31+ABM28+ABM25+ABM22</f>
        <v/>
      </c>
      <c r="ABN32" s="16">
        <f>ABN31+ABN28+ABN25+ABN22</f>
        <v/>
      </c>
      <c r="ABO32" s="16">
        <f>ABO31+ABO28+ABO25+ABO22</f>
        <v/>
      </c>
      <c r="ABP32" s="16">
        <f>ABP31+ABP28+ABP25+ABP22</f>
        <v/>
      </c>
      <c r="ABQ32" s="16">
        <f>ABQ31+ABQ28+ABQ25+ABQ22</f>
        <v/>
      </c>
      <c r="ABR32" s="16">
        <f>ABR31+ABR28+ABR25+ABR22</f>
        <v/>
      </c>
      <c r="ABS32" s="16">
        <f>ABS31+ABS28+ABS25+ABS22</f>
        <v/>
      </c>
      <c r="ABT32" s="16">
        <f>ABT31+ABT28+ABT25+ABT22</f>
        <v/>
      </c>
      <c r="ABU32" s="16">
        <f>ABU31+ABU28+ABU25+ABU22</f>
        <v/>
      </c>
      <c r="ABV32" s="16">
        <f>ABV31+ABV28+ABV25+ABV22</f>
        <v/>
      </c>
      <c r="ABW32" s="16">
        <f>ABW31+ABW28+ABW25+ABW22</f>
        <v/>
      </c>
      <c r="ABX32" s="16">
        <f>ABX31+ABX28+ABX25+ABX22</f>
        <v/>
      </c>
      <c r="ABY32" s="16">
        <f>ABY31+ABY28+ABY25+ABY22</f>
        <v/>
      </c>
      <c r="ABZ32" s="16">
        <f>ABZ31+ABZ28+ABZ25+ABZ22</f>
        <v/>
      </c>
      <c r="ACA32" s="16">
        <f>ACA31+ACA28+ACA25+ACA22</f>
        <v/>
      </c>
      <c r="ACB32" s="16">
        <f>ACB31+ACB28+ACB25+ACB22</f>
        <v/>
      </c>
      <c r="ACC32" s="16">
        <f>ACC31+ACC28+ACC25+ACC22</f>
        <v/>
      </c>
      <c r="ACD32" s="127">
        <f>SUM(AAY32:ACC32)</f>
        <v/>
      </c>
      <c r="ACE32" s="16">
        <f>ACE31+ACE28+ACE25+ACE22</f>
        <v/>
      </c>
      <c r="ACF32" s="16">
        <f>ACF31+ACF28+ACF25+ACF22</f>
        <v/>
      </c>
      <c r="ACG32" s="16">
        <f>ACG31+ACG28+ACG25+ACG22</f>
        <v/>
      </c>
      <c r="ACH32" s="16">
        <f>ACH31+ACH28+ACH25+ACH22</f>
        <v/>
      </c>
      <c r="ACI32" s="16">
        <f>ACI31+ACI28+ACI25+ACI22</f>
        <v/>
      </c>
      <c r="ACJ32" s="16">
        <f>ACJ31+ACJ28+ACJ25+ACJ22</f>
        <v/>
      </c>
      <c r="ACK32" s="16">
        <f>ACK31+ACK28+ACK25+ACK22</f>
        <v/>
      </c>
      <c r="ACL32" s="16">
        <f>ACL31+ACL28+ACL25+ACL22</f>
        <v/>
      </c>
      <c r="ACM32" s="16">
        <f>ACM31+ACM28+ACM25+ACM22</f>
        <v/>
      </c>
      <c r="ACN32" s="16">
        <f>ACN31+ACN28+ACN25+ACN22</f>
        <v/>
      </c>
      <c r="ACO32" s="16">
        <f>ACO31+ACO28+ACO25+ACO22</f>
        <v/>
      </c>
      <c r="ACP32" s="16">
        <f>ACP31+ACP28+ACP25+ACP22</f>
        <v/>
      </c>
      <c r="ACQ32" s="16">
        <f>ACQ31+ACQ28+ACQ25+ACQ22</f>
        <v/>
      </c>
      <c r="ACR32" s="16">
        <f>ACR31+ACR28+ACR25+ACR22</f>
        <v/>
      </c>
      <c r="ACS32" s="16">
        <f>ACS31+ACS28+ACS25+ACS22</f>
        <v/>
      </c>
      <c r="ACT32" s="16">
        <f>ACT31+ACT28+ACT25+ACT22</f>
        <v/>
      </c>
      <c r="ACU32" s="16">
        <f>ACU31+ACU28+ACU25+ACU22</f>
        <v/>
      </c>
      <c r="ACV32" s="16">
        <f>ACV31+ACV28+ACV25+ACV22</f>
        <v/>
      </c>
      <c r="ACW32" s="16">
        <f>ACW31+ACW28+ACW25+ACW22</f>
        <v/>
      </c>
      <c r="ACX32" s="16">
        <f>ACX31+ACX28+ACX25+ACX22</f>
        <v/>
      </c>
      <c r="ACY32" s="16">
        <f>ACY31+ACY28+ACY25+ACY22</f>
        <v/>
      </c>
      <c r="ACZ32" s="16">
        <f>ACZ31+ACZ28+ACZ25+ACZ22</f>
        <v/>
      </c>
      <c r="ADA32" s="16">
        <f>ADA31+ADA28+ADA25+ADA22</f>
        <v/>
      </c>
      <c r="ADB32" s="16">
        <f>ADB31+ADB28+ADB25+ADB22</f>
        <v/>
      </c>
      <c r="ADC32" s="16">
        <f>ADC31+ADC28+ADC25+ADC22</f>
        <v/>
      </c>
      <c r="ADD32" s="16">
        <f>ADD31+ADD28+ADD25+ADD22</f>
        <v/>
      </c>
      <c r="ADE32" s="16">
        <f>ADE31+ADE28+ADE25+ADE22</f>
        <v/>
      </c>
      <c r="ADF32" s="16">
        <f>ADF31+ADF28+ADF25+ADF22</f>
        <v/>
      </c>
      <c r="ADG32" s="16">
        <f>ADG31+ADG28+ADG25+ADG22</f>
        <v/>
      </c>
      <c r="ADH32" s="16">
        <f>ADH31+ADH28+ADH25+ADH22</f>
        <v/>
      </c>
      <c r="ADI32" s="16">
        <f>ADI31+ADI28+ADI25+ADI22</f>
        <v/>
      </c>
      <c r="ADJ32" s="127">
        <f>SUM(ACE32:ADI32)</f>
        <v/>
      </c>
      <c r="ADK32" s="16">
        <f>ADK31+ADK28+ADK25+ADK22</f>
        <v/>
      </c>
      <c r="ADL32" s="16">
        <f>ADL31+ADL28+ADL25+ADL22</f>
        <v/>
      </c>
      <c r="ADM32" s="16">
        <f>ADM31+ADM28+ADM25+ADM22</f>
        <v/>
      </c>
      <c r="ADN32" s="16">
        <f>ADN31+ADN28+ADN25+ADN22</f>
        <v/>
      </c>
      <c r="ADO32" s="16">
        <f>ADO31+ADO28+ADO25+ADO22</f>
        <v/>
      </c>
      <c r="ADP32" s="16">
        <f>ADP31+ADP28+ADP25+ADP22</f>
        <v/>
      </c>
      <c r="ADQ32" s="16">
        <f>ADQ31+ADQ28+ADQ25+ADQ22</f>
        <v/>
      </c>
      <c r="ADR32" s="16">
        <f>ADR31+ADR28+ADR25+ADR22</f>
        <v/>
      </c>
      <c r="ADS32" s="16">
        <f>ADS31+ADS28+ADS25+ADS22</f>
        <v/>
      </c>
      <c r="ADT32" s="16">
        <f>ADT31+ADT28+ADT25+ADT22</f>
        <v/>
      </c>
      <c r="ADU32" s="16">
        <f>ADU31+ADU28+ADU25+ADU22</f>
        <v/>
      </c>
      <c r="ADV32" s="16">
        <f>ADV31+ADV28+ADV25+ADV22</f>
        <v/>
      </c>
      <c r="ADW32" s="16">
        <f>ADW31+ADW28+ADW25+ADW22</f>
        <v/>
      </c>
      <c r="ADX32" s="16">
        <f>ADX31+ADX28+ADX25+ADX22</f>
        <v/>
      </c>
      <c r="ADY32" s="16">
        <f>ADY31+ADY28+ADY25+ADY22</f>
        <v/>
      </c>
      <c r="ADZ32" s="16">
        <f>ADZ31+ADZ28+ADZ25+ADZ22</f>
        <v/>
      </c>
      <c r="AEA32" s="16">
        <f>AEA31+AEA28+AEA25+AEA22</f>
        <v/>
      </c>
      <c r="AEB32" s="16">
        <f>AEB31+AEB28+AEB25+AEB22</f>
        <v/>
      </c>
      <c r="AEC32" s="16">
        <f>AEC31+AEC28+AEC25+AEC22</f>
        <v/>
      </c>
      <c r="AED32" s="16">
        <f>AED31+AED28+AED25+AED22</f>
        <v/>
      </c>
      <c r="AEE32" s="16">
        <f>AEE31+AEE28+AEE25+AEE22</f>
        <v/>
      </c>
      <c r="AEF32" s="16">
        <f>AEF31+AEF28+AEF25+AEF22</f>
        <v/>
      </c>
      <c r="AEG32" s="16">
        <f>AEG31+AEG28+AEG25+AEG22</f>
        <v/>
      </c>
      <c r="AEH32" s="16">
        <f>AEH31+AEH28+AEH25+AEH22</f>
        <v/>
      </c>
      <c r="AEI32" s="16">
        <f>AEI31+AEI28+AEI25+AEI22</f>
        <v/>
      </c>
      <c r="AEJ32" s="16">
        <f>AEJ31+AEJ28+AEJ25+AEJ22</f>
        <v/>
      </c>
      <c r="AEK32" s="16">
        <f>AEK31+AEK28+AEK25+AEK22</f>
        <v/>
      </c>
      <c r="AEL32" s="16">
        <f>AEL31+AEL28+AEL25+AEL22</f>
        <v/>
      </c>
      <c r="AEM32" s="16">
        <f>AEM31+AEM28+AEM25+AEM22</f>
        <v/>
      </c>
      <c r="AEN32" s="16">
        <f>AEN31+AEN28+AEN25+AEN22</f>
        <v/>
      </c>
      <c r="AEO32" s="127">
        <f>SUM(ADK32:AEN32)</f>
        <v/>
      </c>
      <c r="AEP32" s="16">
        <f>AEP31+AEP28+AEP25+AEP22</f>
        <v/>
      </c>
      <c r="AEQ32" s="16">
        <f>AEQ31+AEQ28+AEQ25+AEQ22</f>
        <v/>
      </c>
      <c r="AER32" s="16">
        <f>AER31+AER28+AER25+AER22</f>
        <v/>
      </c>
      <c r="AES32" s="16">
        <f>AES31+AES28+AES25+AES22</f>
        <v/>
      </c>
      <c r="AET32" s="16">
        <f>AET31+AET28+AET25+AET22</f>
        <v/>
      </c>
      <c r="AEU32" s="16">
        <f>AEU31+AEU28+AEU25+AEU22</f>
        <v/>
      </c>
      <c r="AEV32" s="16">
        <f>AEV31+AEV28+AEV25+AEV22</f>
        <v/>
      </c>
      <c r="AEW32" s="16">
        <f>AEW31+AEW28+AEW25+AEW22</f>
        <v/>
      </c>
      <c r="AEX32" s="16">
        <f>AEX31+AEX28+AEX25+AEX22</f>
        <v/>
      </c>
      <c r="AEY32" s="16">
        <f>AEY31+AEY28+AEY25+AEY22</f>
        <v/>
      </c>
      <c r="AEZ32" s="16">
        <f>AEZ31+AEZ28+AEZ25+AEZ22</f>
        <v/>
      </c>
      <c r="AFA32" s="16">
        <f>AFA31+AFA28+AFA25+AFA22</f>
        <v/>
      </c>
      <c r="AFB32" s="16">
        <f>AFB31+AFB28+AFB25+AFB22</f>
        <v/>
      </c>
      <c r="AFC32" s="16">
        <f>AFC31+AFC28+AFC25+AFC22</f>
        <v/>
      </c>
      <c r="AFD32" s="16">
        <f>AFD31+AFD28+AFD25+AFD22</f>
        <v/>
      </c>
      <c r="AFE32" s="16">
        <f>AFE31+AFE28+AFE25+AFE22</f>
        <v/>
      </c>
      <c r="AFF32" s="16">
        <f>AFF31+AFF28+AFF25+AFF22</f>
        <v/>
      </c>
      <c r="AFG32" s="16">
        <f>AFG31+AFG28+AFG25+AFG22</f>
        <v/>
      </c>
      <c r="AFH32" s="16">
        <f>AFH31+AFH28+AFH25+AFH22</f>
        <v/>
      </c>
      <c r="AFI32" s="16">
        <f>AFI31+AFI28+AFI25+AFI22</f>
        <v/>
      </c>
      <c r="AFJ32" s="16">
        <f>AFJ31+AFJ28+AFJ25+AFJ22</f>
        <v/>
      </c>
      <c r="AFK32" s="16">
        <f>AFK31+AFK28+AFK25+AFK22</f>
        <v/>
      </c>
      <c r="AFL32" s="16">
        <f>AFL31+AFL28+AFL25+AFL22</f>
        <v/>
      </c>
      <c r="AFM32" s="16">
        <f>AFM31+AFM28+AFM25+AFM22</f>
        <v/>
      </c>
      <c r="AFN32" s="16">
        <f>AFN31+AFN28+AFN25+AFN22</f>
        <v/>
      </c>
      <c r="AFO32" s="16">
        <f>AFO31+AFO28+AFO25+AFO22</f>
        <v/>
      </c>
      <c r="AFP32" s="16">
        <f>AFP31+AFP28+AFP25+AFP22</f>
        <v/>
      </c>
      <c r="AFQ32" s="16">
        <f>AFQ31+AFQ28+AFQ25+AFQ22</f>
        <v/>
      </c>
      <c r="AFR32" s="16">
        <f>AFR31+AFR28+AFR25+AFR22</f>
        <v/>
      </c>
      <c r="AFS32" s="16">
        <f>AFS31+AFS28+AFS25+AFS22</f>
        <v/>
      </c>
      <c r="AFT32" s="16">
        <f>AFT31+AFT28+AFT25+AFT22</f>
        <v/>
      </c>
      <c r="AFU32" s="127">
        <f>SUM(AEP32:AFT32)</f>
        <v/>
      </c>
      <c r="AFV32" s="16">
        <f>AFV31+AFV28+AFV25+AFV22</f>
        <v/>
      </c>
      <c r="AFW32" s="16">
        <f>AFW31+AFW28+AFW25+AFW22</f>
        <v/>
      </c>
      <c r="AFX32" s="16">
        <f>AFX31+AFX28+AFX25+AFX22</f>
        <v/>
      </c>
      <c r="AFY32" s="16">
        <f>AFY31+AFY28+AFY25+AFY22</f>
        <v/>
      </c>
      <c r="AFZ32" s="16">
        <f>AFZ31+AFZ28+AFZ25+AFZ22</f>
        <v/>
      </c>
      <c r="AGA32" s="16">
        <f>AGA31+AGA28+AGA25+AGA22</f>
        <v/>
      </c>
      <c r="AGB32" s="16">
        <f>AGB31+AGB28+AGB25+AGB22</f>
        <v/>
      </c>
      <c r="AGC32" s="16">
        <f>AGC31+AGC28+AGC25+AGC22</f>
        <v/>
      </c>
      <c r="AGD32" s="16">
        <f>AGD31+AGD28+AGD25+AGD22</f>
        <v/>
      </c>
      <c r="AGE32" s="16">
        <f>AGE31+AGE28+AGE25+AGE22</f>
        <v/>
      </c>
      <c r="AGF32" s="16">
        <f>AGF31+AGF28+AGF25+AGF22</f>
        <v/>
      </c>
      <c r="AGG32" s="16">
        <f>AGG31+AGG28+AGG25+AGG22</f>
        <v/>
      </c>
      <c r="AGH32" s="16">
        <f>AGH31+AGH28+AGH25+AGH22</f>
        <v/>
      </c>
      <c r="AGI32" s="16">
        <f>AGI31+AGI28+AGI25+AGI22</f>
        <v/>
      </c>
      <c r="AGJ32" s="16">
        <f>AGJ31+AGJ28+AGJ25+AGJ22</f>
        <v/>
      </c>
      <c r="AGK32" s="16">
        <f>AGK31+AGK28+AGK25+AGK22</f>
        <v/>
      </c>
      <c r="AGL32" s="16">
        <f>AGL31+AGL28+AGL25+AGL22</f>
        <v/>
      </c>
      <c r="AGM32" s="16">
        <f>AGM31+AGM28+AGM25+AGM22</f>
        <v/>
      </c>
      <c r="AGN32" s="16">
        <f>AGN31+AGN28+AGN25+AGN22</f>
        <v/>
      </c>
      <c r="AGO32" s="16">
        <f>AGO31+AGO28+AGO25+AGO22</f>
        <v/>
      </c>
      <c r="AGP32" s="16">
        <f>AGP31+AGP28+AGP25+AGP22</f>
        <v/>
      </c>
      <c r="AGQ32" s="16">
        <f>AGQ31+AGQ28+AGQ25+AGQ22</f>
        <v/>
      </c>
      <c r="AGR32" s="16">
        <f>AGR31+AGR28+AGR25+AGR22</f>
        <v/>
      </c>
      <c r="AGS32" s="16">
        <f>AGS31+AGS28+AGS25+AGS22</f>
        <v/>
      </c>
      <c r="AGT32" s="16">
        <f>AGT31+AGT28+AGT25+AGT22</f>
        <v/>
      </c>
      <c r="AGU32" s="16">
        <f>AGU31+AGU28+AGU25+AGU22</f>
        <v/>
      </c>
      <c r="AGV32" s="16">
        <f>AGV31+AGV28+AGV25+AGV22</f>
        <v/>
      </c>
      <c r="AGW32" s="16">
        <f>AGW31+AGW28+AGW25+AGW22</f>
        <v/>
      </c>
      <c r="AGX32" s="16">
        <f>AGX31+AGX28+AGX25+AGX22</f>
        <v/>
      </c>
      <c r="AGY32" s="16">
        <f>AGY31+AGY28+AGY25+AGY22</f>
        <v/>
      </c>
      <c r="AGZ32" s="127">
        <f>SUM(AFV32:AGY32)</f>
        <v/>
      </c>
      <c r="AHA32" s="16">
        <f>AHA31+AHA28+AHA25+AHA22</f>
        <v/>
      </c>
      <c r="AHB32" s="16">
        <f>AHB31+AHB28+AHB25+AHB22</f>
        <v/>
      </c>
      <c r="AHC32" s="16">
        <f>AHC31+AHC28+AHC25+AHC22</f>
        <v/>
      </c>
      <c r="AHD32" s="16">
        <f>AHD31+AHD28+AHD25+AHD22</f>
        <v/>
      </c>
      <c r="AHE32" s="16">
        <f>AHE31+AHE28+AHE25+AHE22</f>
        <v/>
      </c>
      <c r="AHF32" s="16">
        <f>AHF31+AHF28+AHF25+AHF22</f>
        <v/>
      </c>
      <c r="AHG32" s="16">
        <f>AHG31+AHG28+AHG25+AHG22</f>
        <v/>
      </c>
      <c r="AHH32" s="16">
        <f>AHH31+AHH28+AHH25+AHH22</f>
        <v/>
      </c>
      <c r="AHI32" s="16">
        <f>AHI31+AHI28+AHI25+AHI22</f>
        <v/>
      </c>
      <c r="AHJ32" s="16">
        <f>AHJ31+AHJ28+AHJ25+AHJ22</f>
        <v/>
      </c>
      <c r="AHK32" s="16">
        <f>AHK31+AHK28+AHK25+AHK22</f>
        <v/>
      </c>
      <c r="AHL32" s="16">
        <f>AHL31+AHL28+AHL25+AHL22</f>
        <v/>
      </c>
      <c r="AHM32" s="16">
        <f>AHM31+AHM28+AHM25+AHM22</f>
        <v/>
      </c>
      <c r="AHN32" s="16">
        <f>AHN31+AHN28+AHN25+AHN22</f>
        <v/>
      </c>
      <c r="AHO32" s="16">
        <f>AHO31+AHO28+AHO25+AHO22</f>
        <v/>
      </c>
      <c r="AHP32" s="16">
        <f>AHP31+AHP28+AHP25+AHP22</f>
        <v/>
      </c>
      <c r="AHQ32" s="16">
        <f>AHQ31+AHQ28+AHQ25+AHQ22</f>
        <v/>
      </c>
      <c r="AHR32" s="16">
        <f>AHR31+AHR28+AHR25+AHR22</f>
        <v/>
      </c>
      <c r="AHS32" s="16">
        <f>AHS31+AHS28+AHS25+AHS22</f>
        <v/>
      </c>
      <c r="AHT32" s="16">
        <f>AHT31+AHT28+AHT25+AHT22</f>
        <v/>
      </c>
      <c r="AHU32" s="16">
        <f>AHU31+AHU28+AHU25+AHU22</f>
        <v/>
      </c>
      <c r="AHV32" s="16">
        <f>AHV31+AHV28+AHV25+AHV22</f>
        <v/>
      </c>
      <c r="AHW32" s="16">
        <f>AHW31+AHW28+AHW25+AHW22</f>
        <v/>
      </c>
      <c r="AHX32" s="16">
        <f>AHX31+AHX28+AHX25+AHX22</f>
        <v/>
      </c>
      <c r="AHY32" s="16">
        <f>AHY31+AHY28+AHY25+AHY22</f>
        <v/>
      </c>
      <c r="AHZ32" s="16">
        <f>AHZ31+AHZ28+AHZ25+AHZ22</f>
        <v/>
      </c>
      <c r="AIA32" s="16">
        <f>AIA31+AIA28+AIA25+AIA22</f>
        <v/>
      </c>
      <c r="AIB32" s="16">
        <f>AIB31+AIB28+AIB25+AIB22</f>
        <v/>
      </c>
      <c r="AIC32" s="16">
        <f>AIC31+AIC28+AIC25+AIC22</f>
        <v/>
      </c>
      <c r="AID32" s="16">
        <f>AID31+AID28+AID25+AID22</f>
        <v/>
      </c>
      <c r="AIE32" s="16">
        <f>AIE31+AIE28+AIE25+AIE22</f>
        <v/>
      </c>
      <c r="AIF32" s="127">
        <f>SUM(AHA32:AIE32)</f>
        <v/>
      </c>
      <c r="AIG32" s="16">
        <f>AIG31+AIG28+AIG25+AIG22</f>
        <v/>
      </c>
      <c r="AIH32" s="16">
        <f>AIH31+AIH28+AIH25+AIH22</f>
        <v/>
      </c>
      <c r="AII32" s="16">
        <f>AII31+AII28+AII25+AII22</f>
        <v/>
      </c>
      <c r="AIJ32" s="16">
        <f>AIJ31+AIJ28+AIJ25+AIJ22</f>
        <v/>
      </c>
      <c r="AIK32" s="16">
        <f>AIK31+AIK28+AIK25+AIK22</f>
        <v/>
      </c>
      <c r="AIL32" s="16">
        <f>AIL31+AIL28+AIL25+AIL22</f>
        <v/>
      </c>
      <c r="AIM32" s="16">
        <f>AIM31+AIM28+AIM25+AIM22</f>
        <v/>
      </c>
      <c r="AIN32" s="16">
        <f>AIN31+AIN28+AIN25+AIN22</f>
        <v/>
      </c>
      <c r="AIO32" s="16">
        <f>AIO31+AIO28+AIO25+AIO22</f>
        <v/>
      </c>
      <c r="AIP32" s="16">
        <f>AIP31+AIP28+AIP25+AIP22</f>
        <v/>
      </c>
      <c r="AIQ32" s="16">
        <f>AIQ31+AIQ28+AIQ25+AIQ22</f>
        <v/>
      </c>
      <c r="AIR32" s="16">
        <f>AIR31+AIR28+AIR25+AIR22</f>
        <v/>
      </c>
      <c r="AIS32" s="16">
        <f>AIS31+AIS28+AIS25+AIS22</f>
        <v/>
      </c>
      <c r="AIT32" s="16">
        <f>AIT31+AIT28+AIT25+AIT22</f>
        <v/>
      </c>
      <c r="AIU32" s="16">
        <f>AIU31+AIU28+AIU25+AIU22</f>
        <v/>
      </c>
      <c r="AIV32" s="16">
        <f>AIV31+AIV28+AIV25+AIV22</f>
        <v/>
      </c>
      <c r="AIW32" s="16">
        <f>AIW31+AIW28+AIW25+AIW22</f>
        <v/>
      </c>
      <c r="AIX32" s="16">
        <f>AIX31+AIX28+AIX25+AIX22</f>
        <v/>
      </c>
      <c r="AIY32" s="16">
        <f>AIY31+AIY28+AIY25+AIY22</f>
        <v/>
      </c>
      <c r="AIZ32" s="16">
        <f>AIZ31+AIZ28+AIZ25+AIZ22</f>
        <v/>
      </c>
      <c r="AJA32" s="16">
        <f>AJA31+AJA28+AJA25+AJA22</f>
        <v/>
      </c>
      <c r="AJB32" s="16">
        <f>AJB31+AJB28+AJB25+AJB22</f>
        <v/>
      </c>
      <c r="AJC32" s="16">
        <f>AJC31+AJC28+AJC25+AJC22</f>
        <v/>
      </c>
      <c r="AJD32" s="16">
        <f>AJD31+AJD28+AJD25+AJD22</f>
        <v/>
      </c>
      <c r="AJE32" s="16">
        <f>AJE31+AJE28+AJE25+AJE22</f>
        <v/>
      </c>
      <c r="AJF32" s="16">
        <f>AJF31+AJF28+AJF25+AJF22</f>
        <v/>
      </c>
      <c r="AJG32" s="16">
        <f>AJG31+AJG28+AJG25+AJG22</f>
        <v/>
      </c>
      <c r="AJH32" s="16">
        <f>AJH31+AJH28+AJH25+AJH22</f>
        <v/>
      </c>
      <c r="AJI32" s="16">
        <f>AJI31+AJI28+AJI25+AJI22</f>
        <v/>
      </c>
      <c r="AJJ32" s="16">
        <f>AJJ31+AJJ28+AJJ25+AJJ22</f>
        <v/>
      </c>
      <c r="AJK32" s="16">
        <f>AJK31+AJK28+AJK25+AJK22</f>
        <v/>
      </c>
      <c r="AJL32" s="127">
        <f>SUM(AIG32:AJK32)</f>
        <v/>
      </c>
      <c r="AJM32" s="16">
        <f>AJM31+AJM28+AJM25+AJM22</f>
        <v/>
      </c>
      <c r="AJN32" s="16">
        <f>AJN31+AJN28+AJN25+AJN22</f>
        <v/>
      </c>
      <c r="AJO32" s="16">
        <f>AJO31+AJO28+AJO25+AJO22</f>
        <v/>
      </c>
      <c r="AJP32" s="16">
        <f>AJP31+AJP28+AJP25+AJP22</f>
        <v/>
      </c>
      <c r="AJQ32" s="16">
        <f>AJQ31+AJQ28+AJQ25+AJQ22</f>
        <v/>
      </c>
      <c r="AJR32" s="16">
        <f>AJR31+AJR28+AJR25+AJR22</f>
        <v/>
      </c>
      <c r="AJS32" s="16">
        <f>AJS31+AJS28+AJS25+AJS22</f>
        <v/>
      </c>
      <c r="AJT32" s="16">
        <f>AJT31+AJT28+AJT25+AJT22</f>
        <v/>
      </c>
      <c r="AJU32" s="16">
        <f>AJU31+AJU28+AJU25+AJU22</f>
        <v/>
      </c>
      <c r="AJV32" s="16">
        <f>AJV31+AJV28+AJV25+AJV22</f>
        <v/>
      </c>
      <c r="AJW32" s="16">
        <f>AJW31+AJW28+AJW25+AJW22</f>
        <v/>
      </c>
      <c r="AJX32" s="16">
        <f>AJX31+AJX28+AJX25+AJX22</f>
        <v/>
      </c>
      <c r="AJY32" s="16">
        <f>AJY31+AJY28+AJY25+AJY22</f>
        <v/>
      </c>
      <c r="AJZ32" s="16">
        <f>AJZ31+AJZ28+AJZ25+AJZ22</f>
        <v/>
      </c>
      <c r="AKA32" s="16">
        <f>AKA31+AKA28+AKA25+AKA22</f>
        <v/>
      </c>
      <c r="AKB32" s="16">
        <f>AKB31+AKB28+AKB25+AKB22</f>
        <v/>
      </c>
      <c r="AKC32" s="16">
        <f>AKC31+AKC28+AKC25+AKC22</f>
        <v/>
      </c>
      <c r="AKD32" s="16">
        <f>AKD31+AKD28+AKD25+AKD22</f>
        <v/>
      </c>
      <c r="AKE32" s="16">
        <f>AKE31+AKE28+AKE25+AKE22</f>
        <v/>
      </c>
      <c r="AKF32" s="16">
        <f>AKF31+AKF28+AKF25+AKF22</f>
        <v/>
      </c>
      <c r="AKG32" s="16">
        <f>AKG31+AKG28+AKG25+AKG22</f>
        <v/>
      </c>
      <c r="AKH32" s="16">
        <f>AKH31+AKH28+AKH25+AKH22</f>
        <v/>
      </c>
      <c r="AKI32" s="16">
        <f>AKI31+AKI28+AKI25+AKI22</f>
        <v/>
      </c>
      <c r="AKJ32" s="16">
        <f>AKJ31+AKJ28+AKJ25+AKJ22</f>
        <v/>
      </c>
      <c r="AKK32" s="16">
        <f>AKK31+AKK28+AKK25+AKK22</f>
        <v/>
      </c>
      <c r="AKL32" s="16">
        <f>AKL31+AKL28+AKL25+AKL22</f>
        <v/>
      </c>
      <c r="AKM32" s="16">
        <f>AKM31+AKM28+AKM25+AKM22</f>
        <v/>
      </c>
      <c r="AKN32" s="16">
        <f>AKN31+AKN28+AKN25+AKN22</f>
        <v/>
      </c>
      <c r="AKO32" s="127">
        <f>SUM(AJM32:AKN32)</f>
        <v/>
      </c>
      <c r="AKP32" s="16">
        <f>AKP31+AKP28+AKP25+AKP22</f>
        <v/>
      </c>
      <c r="AKQ32" s="16">
        <f>AKQ31+AKQ28+AKQ25+AKQ22</f>
        <v/>
      </c>
      <c r="AKR32" s="16">
        <f>AKR31+AKR28+AKR25+AKR22</f>
        <v/>
      </c>
      <c r="AKS32" s="16">
        <f>AKS31+AKS28+AKS25+AKS22</f>
        <v/>
      </c>
      <c r="AKT32" s="16">
        <f>AKT31+AKT28+AKT25+AKT22</f>
        <v/>
      </c>
      <c r="AKU32" s="16">
        <f>AKU31+AKU28+AKU25+AKU22</f>
        <v/>
      </c>
      <c r="AKV32" s="16">
        <f>AKV31+AKV28+AKV25+AKV22</f>
        <v/>
      </c>
      <c r="AKW32" s="16">
        <f>AKW31+AKW28+AKW25+AKW22</f>
        <v/>
      </c>
      <c r="AKX32" s="16">
        <f>AKX31+AKX28+AKX25+AKX22</f>
        <v/>
      </c>
      <c r="AKY32" s="16">
        <f>AKY31+AKY28+AKY25+AKY22</f>
        <v/>
      </c>
      <c r="AKZ32" s="16">
        <f>AKZ31+AKZ28+AKZ25+AKZ22</f>
        <v/>
      </c>
      <c r="ALA32" s="16">
        <f>ALA31+ALA28+ALA25+ALA22</f>
        <v/>
      </c>
      <c r="ALB32" s="16">
        <f>ALB31+ALB28+ALB25+ALB22</f>
        <v/>
      </c>
      <c r="ALC32" s="16">
        <f>ALC31+ALC28+ALC25+ALC22</f>
        <v/>
      </c>
      <c r="ALD32" s="16">
        <f>ALD31+ALD28+ALD25+ALD22</f>
        <v/>
      </c>
      <c r="ALE32" s="16">
        <f>ALE31+ALE28+ALE25+ALE22</f>
        <v/>
      </c>
      <c r="ALF32" s="16">
        <f>ALF31+ALF28+ALF25+ALF22</f>
        <v/>
      </c>
      <c r="ALG32" s="16">
        <f>ALG31+ALG28+ALG25+ALG22</f>
        <v/>
      </c>
      <c r="ALH32" s="16">
        <f>ALH31+ALH28+ALH25+ALH22</f>
        <v/>
      </c>
      <c r="ALI32" s="16">
        <f>ALI31+ALI28+ALI25+ALI22</f>
        <v/>
      </c>
      <c r="ALJ32" s="16">
        <f>ALJ31+ALJ28+ALJ25+ALJ22</f>
        <v/>
      </c>
      <c r="ALK32" s="16">
        <f>ALK31+ALK28+ALK25+ALK22</f>
        <v/>
      </c>
      <c r="ALL32" s="16">
        <f>ALL31+ALL28+ALL25+ALL22</f>
        <v/>
      </c>
      <c r="ALM32" s="16">
        <f>ALM31+ALM28+ALM25+ALM22</f>
        <v/>
      </c>
      <c r="ALN32" s="16">
        <f>ALN31+ALN28+ALN25+ALN22</f>
        <v/>
      </c>
      <c r="ALO32" s="16">
        <f>ALO31+ALO28+ALO25+ALO22</f>
        <v/>
      </c>
      <c r="ALP32" s="16">
        <f>ALP31+ALP28+ALP25+ALP22</f>
        <v/>
      </c>
      <c r="ALQ32" s="16">
        <f>ALQ31+ALQ28+ALQ25+ALQ22</f>
        <v/>
      </c>
      <c r="ALR32" s="16">
        <f>ALR31+ALR28+ALR25+ALR22</f>
        <v/>
      </c>
      <c r="ALS32" s="16">
        <f>ALS31+ALS28+ALS25+ALS22</f>
        <v/>
      </c>
      <c r="ALT32" s="16">
        <f>ALT31+ALT28+ALT25+ALT22</f>
        <v/>
      </c>
      <c r="ALU32" s="127">
        <f>SUM(AKP32:ALT32)</f>
        <v/>
      </c>
      <c r="ALV32" s="16">
        <f>ALV31+ALV28+ALV25+ALV22</f>
        <v/>
      </c>
      <c r="ALW32" s="16">
        <f>ALW31+ALW28+ALW25+ALW22</f>
        <v/>
      </c>
      <c r="ALX32" s="16">
        <f>ALX31+ALX28+ALX25+ALX22</f>
        <v/>
      </c>
      <c r="ALY32" s="16">
        <f>ALY31+ALY28+ALY25+ALY22</f>
        <v/>
      </c>
      <c r="ALZ32" s="16">
        <f>ALZ31+ALZ28+ALZ25+ALZ22</f>
        <v/>
      </c>
      <c r="AMA32" s="16">
        <f>AMA31+AMA28+AMA25+AMA22</f>
        <v/>
      </c>
      <c r="AMB32" s="16">
        <f>AMB31+AMB28+AMB25+AMB22</f>
        <v/>
      </c>
      <c r="AMC32" s="16">
        <f>AMC31+AMC28+AMC25+AMC22</f>
        <v/>
      </c>
      <c r="AMD32" s="16">
        <f>AMD31+AMD28+AMD25+AMD22</f>
        <v/>
      </c>
      <c r="AME32" s="16">
        <f>AME31+AME28+AME25+AME22</f>
        <v/>
      </c>
      <c r="AMF32" s="16">
        <f>AMF31+AMF28+AMF25+AMF22</f>
        <v/>
      </c>
      <c r="AMG32" s="16">
        <f>AMG31+AMG28+AMG25+AMG22</f>
        <v/>
      </c>
      <c r="AMH32" s="16">
        <f>AMH31+AMH28+AMH25+AMH22</f>
        <v/>
      </c>
      <c r="AMI32" s="16">
        <f>AMI31+AMI28+AMI25+AMI22</f>
        <v/>
      </c>
      <c r="AMJ32" s="16">
        <f>AMJ31+AMJ28+AMJ25+AMJ22</f>
        <v/>
      </c>
      <c r="AMK32" s="16">
        <f>AMK31+AMK28+AMK25+AMK22</f>
        <v/>
      </c>
      <c r="AML32" s="16">
        <f>AML31+AML28+AML25+AML22</f>
        <v/>
      </c>
      <c r="AMM32" s="16">
        <f>AMM31+AMM28+AMM25+AMM22</f>
        <v/>
      </c>
      <c r="AMN32" s="16">
        <f>AMN31+AMN28+AMN25+AMN22</f>
        <v/>
      </c>
      <c r="AMO32" s="16">
        <f>AMO31+AMO28+AMO25+AMO22</f>
        <v/>
      </c>
      <c r="AMP32" s="16">
        <f>AMP31+AMP28+AMP25+AMP22</f>
        <v/>
      </c>
      <c r="AMQ32" s="16">
        <f>AMQ31+AMQ28+AMQ25+AMQ22</f>
        <v/>
      </c>
      <c r="AMR32" s="16">
        <f>AMR31+AMR28+AMR25+AMR22</f>
        <v/>
      </c>
      <c r="AMS32" s="16">
        <f>AMS31+AMS28+AMS25+AMS22</f>
        <v/>
      </c>
      <c r="AMT32" s="16">
        <f>AMT31+AMT28+AMT25+AMT22</f>
        <v/>
      </c>
      <c r="AMU32" s="16">
        <f>AMU31+AMU28+AMU25+AMU22</f>
        <v/>
      </c>
      <c r="AMV32" s="16">
        <f>AMV31+AMV28+AMV25+AMV22</f>
        <v/>
      </c>
      <c r="AMW32" s="16">
        <f>AMW31+AMW28+AMW25+AMW22</f>
        <v/>
      </c>
      <c r="AMX32" s="16">
        <f>AMX31+AMX28+AMX25+AMX22</f>
        <v/>
      </c>
      <c r="AMY32" s="16">
        <f>AMY31+AMY28+AMY25+AMY22</f>
        <v/>
      </c>
      <c r="AMZ32" s="127">
        <f>SUM(ALV32:AMY32)</f>
        <v/>
      </c>
      <c r="ANA32" s="16">
        <f>ANA31+ANA28+ANA25+ANA22</f>
        <v/>
      </c>
      <c r="ANB32" s="16">
        <f>ANB31+ANB28+ANB25+ANB22</f>
        <v/>
      </c>
      <c r="ANC32" s="16">
        <f>ANC31+ANC28+ANC25+ANC22</f>
        <v/>
      </c>
      <c r="AND32" s="16">
        <f>AND31+AND28+AND25+AND22</f>
        <v/>
      </c>
      <c r="ANE32" s="16">
        <f>ANE31+ANE28+ANE25+ANE22</f>
        <v/>
      </c>
      <c r="ANF32" s="16">
        <f>ANF31+ANF28+ANF25+ANF22</f>
        <v/>
      </c>
      <c r="ANG32" s="16">
        <f>ANG31+ANG28+ANG25+ANG22</f>
        <v/>
      </c>
      <c r="ANH32" s="16">
        <f>ANH31+ANH28+ANH25+ANH22</f>
        <v/>
      </c>
      <c r="ANI32" s="16">
        <f>ANI31+ANI28+ANI25+ANI22</f>
        <v/>
      </c>
      <c r="ANJ32" s="16">
        <f>ANJ31+ANJ28+ANJ25+ANJ22</f>
        <v/>
      </c>
      <c r="ANK32" s="16">
        <f>ANK31+ANK28+ANK25+ANK22</f>
        <v/>
      </c>
      <c r="ANL32" s="16">
        <f>ANL31+ANL28+ANL25+ANL22</f>
        <v/>
      </c>
      <c r="ANM32" s="16">
        <f>ANM31+ANM28+ANM25+ANM22</f>
        <v/>
      </c>
      <c r="ANN32" s="16">
        <f>ANN31+ANN28+ANN25+ANN22</f>
        <v/>
      </c>
      <c r="ANO32" s="16">
        <f>ANO31+ANO28+ANO25+ANO22</f>
        <v/>
      </c>
      <c r="ANP32" s="16">
        <f>ANP31+ANP28+ANP25+ANP22</f>
        <v/>
      </c>
      <c r="ANQ32" s="16">
        <f>ANQ31+ANQ28+ANQ25+ANQ22</f>
        <v/>
      </c>
      <c r="ANR32" s="16">
        <f>ANR31+ANR28+ANR25+ANR22</f>
        <v/>
      </c>
      <c r="ANS32" s="16">
        <f>ANS31+ANS28+ANS25+ANS22</f>
        <v/>
      </c>
      <c r="ANT32" s="16">
        <f>ANT31+ANT28+ANT25+ANT22</f>
        <v/>
      </c>
      <c r="ANU32" s="16">
        <f>ANU31+ANU28+ANU25+ANU22</f>
        <v/>
      </c>
      <c r="ANV32" s="16">
        <f>ANV31+ANV28+ANV25+ANV22</f>
        <v/>
      </c>
      <c r="ANW32" s="16">
        <f>ANW31+ANW28+ANW25+ANW22</f>
        <v/>
      </c>
      <c r="ANX32" s="16">
        <f>ANX31+ANX28+ANX25+ANX22</f>
        <v/>
      </c>
      <c r="ANY32" s="16">
        <f>ANY31+ANY28+ANY25+ANY22</f>
        <v/>
      </c>
      <c r="ANZ32" s="16">
        <f>ANZ31+ANZ28+ANZ25+ANZ22</f>
        <v/>
      </c>
      <c r="AOA32" s="16">
        <f>AOA31+AOA28+AOA25+AOA22</f>
        <v/>
      </c>
      <c r="AOB32" s="16">
        <f>AOB31+AOB28+AOB25+AOB22</f>
        <v/>
      </c>
      <c r="AOC32" s="16">
        <f>AOC31+AOC28+AOC25+AOC22</f>
        <v/>
      </c>
      <c r="AOD32" s="16">
        <f>AOD25+AOD28+AOD31</f>
        <v/>
      </c>
      <c r="AOE32">
        <f>AOE25+AOE28+AOE31</f>
        <v/>
      </c>
      <c r="AOF32">
        <f>AOF25+AOF28+AOF31</f>
        <v/>
      </c>
    </row>
    <row r="33">
      <c r="A33" s="157" t="n"/>
      <c r="B33" s="5" t="n"/>
      <c r="C33" s="11" t="inlineStr">
        <is>
          <t>AGO RTT</t>
        </is>
      </c>
      <c r="D33" s="48" t="n">
        <v>0</v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49">
        <f>SUM(D33:AF33)</f>
        <v/>
      </c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>
        <v>4</v>
      </c>
      <c r="BA33" t="n">
        <v>63.562</v>
      </c>
      <c r="BB33" t="n">
        <v>9.673999999999999</v>
      </c>
      <c r="DH33" t="n">
        <v>16.6</v>
      </c>
      <c r="DJ33" t="n">
        <v>45</v>
      </c>
      <c r="DY33" s="116">
        <f>SUM(CU33:DX33)</f>
        <v/>
      </c>
      <c r="EF33" t="n">
        <v>45.462</v>
      </c>
      <c r="EL33" t="n">
        <v>111.335</v>
      </c>
      <c r="FE33" s="126" t="n"/>
      <c r="GK33" s="127">
        <f>SUM(FF33:GJ33)</f>
        <v/>
      </c>
      <c r="GN33" t="n">
        <v>4</v>
      </c>
      <c r="GS33" t="n">
        <v>5</v>
      </c>
      <c r="HO33" s="127">
        <f>SUM(GJ33:HN33)</f>
        <v/>
      </c>
      <c r="IQ33" t="n">
        <v>29.881</v>
      </c>
      <c r="IU33" s="127">
        <f>SUM(HP33:IT33)</f>
        <v/>
      </c>
      <c r="JC33" t="n">
        <v>109.802</v>
      </c>
      <c r="JZ33" s="127">
        <f>SUM(IV33:JY33)</f>
        <v/>
      </c>
      <c r="LF33" s="127">
        <f>SUM(KB33:LE33)</f>
        <v/>
      </c>
      <c r="MA33" t="n">
        <v>14</v>
      </c>
      <c r="MK33" s="127">
        <f>SUM(LG33:MJ33)</f>
        <v/>
      </c>
      <c r="MM33" t="n">
        <v>52.346</v>
      </c>
      <c r="MO33" t="n">
        <v>36.906</v>
      </c>
      <c r="MQ33" t="n">
        <v>8.247</v>
      </c>
      <c r="MT33" t="n">
        <v>12.292</v>
      </c>
      <c r="MU33" t="n">
        <v>100.933</v>
      </c>
      <c r="MV33" t="n">
        <v>43.88</v>
      </c>
      <c r="NQ33" s="127">
        <f>SUM(MM33:NP33)</f>
        <v/>
      </c>
      <c r="OW33" s="127">
        <f>SUM(NS33:OV33)</f>
        <v/>
      </c>
      <c r="PF33" t="n">
        <v>26.887</v>
      </c>
      <c r="PT33" t="n">
        <v>97.33</v>
      </c>
      <c r="PU33" t="n">
        <v>68.43000000000001</v>
      </c>
      <c r="QB33" s="127">
        <f>SUM(OX33:QA33)</f>
        <v/>
      </c>
      <c r="RF33" t="n">
        <v>7</v>
      </c>
      <c r="RH33" s="127">
        <f>SUM(QD33:RG33)</f>
        <v/>
      </c>
      <c r="SM33" s="127">
        <f>SUM(RI33:SL33)</f>
        <v/>
      </c>
      <c r="ST33" t="n">
        <v>76.717</v>
      </c>
      <c r="TS33" s="127">
        <f>SUM(SO33:TR33)</f>
        <v/>
      </c>
      <c r="UU33" t="n">
        <v>32.089</v>
      </c>
      <c r="UW33" t="n">
        <v>88.958</v>
      </c>
      <c r="UX33" t="n">
        <v>6.982</v>
      </c>
      <c r="UY33" s="127">
        <f>SUM(TU33:UX33)</f>
        <v/>
      </c>
      <c r="UZ33" t="n">
        <v>0</v>
      </c>
      <c r="VA33" t="n">
        <v>0</v>
      </c>
      <c r="VB33" t="n">
        <v>6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s="127">
        <f>SUM(UX33:WA33)</f>
        <v/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s="127">
        <f>SUM(WD33:XG33)</f>
        <v/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s="127">
        <f>SUM(XI33:YL33)</f>
        <v/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s="127">
        <f>SUM(YO33:ZR33)</f>
        <v/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s="127">
        <f>SUM(ZT33:AAW33)</f>
        <v/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67.905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s="127">
        <f>SUM(AAY33:ACC33)</f>
        <v/>
      </c>
      <c r="ACE33" t="n">
        <v>0</v>
      </c>
      <c r="ACF33" t="n">
        <v>15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40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s="127">
        <f>SUM(ACE33:ADI33)</f>
        <v/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s="127">
        <f>SUM(ADK33:AEN33)</f>
        <v/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s="127">
        <f>SUM(AEQ33:AFT33)</f>
        <v/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s="127">
        <f>SUM(AFV33:AGY33)</f>
        <v/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s="127">
        <f>SUM(AHB33:AIE33)</f>
        <v/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40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s="127">
        <f>SUM(AIH33:AJK33)</f>
        <v/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14.35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s="127">
        <f>SUM(AJM33:AKN33)</f>
        <v/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8.938000000000001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8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s="127">
        <f>SUM(AKP33:ALT33)</f>
        <v/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8</v>
      </c>
      <c r="AMX33" t="n">
        <v>0</v>
      </c>
      <c r="AMY33" t="n">
        <v>0</v>
      </c>
      <c r="AMZ33" s="127">
        <f>SUM(ALV33:AMY33)</f>
        <v/>
      </c>
      <c r="ANA33" t="n">
        <v>0</v>
      </c>
      <c r="ANB33" t="n">
        <v>0</v>
      </c>
      <c r="ANC33" t="n">
        <v>0</v>
      </c>
      <c r="AND33" t="n">
        <v>4.322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5</v>
      </c>
    </row>
    <row r="34" ht="16" customHeight="1" s="160" thickBot="1">
      <c r="A34" s="158" t="n"/>
      <c r="B34" s="7" t="n"/>
      <c r="C34" s="8" t="inlineStr">
        <is>
          <t>NET AGO SALES</t>
        </is>
      </c>
      <c r="D34" s="9">
        <f>D32-D33</f>
        <v/>
      </c>
      <c r="E34" s="9">
        <f>E32-E33</f>
        <v/>
      </c>
      <c r="F34" s="9">
        <f>F32-F33</f>
        <v/>
      </c>
      <c r="G34" s="9">
        <f>G32-G33</f>
        <v/>
      </c>
      <c r="H34" s="9">
        <f>H32-H33</f>
        <v/>
      </c>
      <c r="I34" s="9">
        <f>I32-I33</f>
        <v/>
      </c>
      <c r="J34" s="9">
        <f>J32-J33</f>
        <v/>
      </c>
      <c r="K34" s="9">
        <f>K32-K33</f>
        <v/>
      </c>
      <c r="L34" s="9">
        <f>L32-L33</f>
        <v/>
      </c>
      <c r="M34" s="9">
        <f>M32-M33</f>
        <v/>
      </c>
      <c r="N34" s="9">
        <f>N32-N33</f>
        <v/>
      </c>
      <c r="O34" s="9">
        <f>O32-O33</f>
        <v/>
      </c>
      <c r="P34" s="9">
        <f>P32-P33</f>
        <v/>
      </c>
      <c r="Q34" s="9">
        <f>Q32-Q33</f>
        <v/>
      </c>
      <c r="R34" s="9">
        <f>R32-R33</f>
        <v/>
      </c>
      <c r="S34" s="9">
        <f>S32-S33</f>
        <v/>
      </c>
      <c r="T34" s="9">
        <f>T32-T33</f>
        <v/>
      </c>
      <c r="U34" s="9">
        <f>U32-U33</f>
        <v/>
      </c>
      <c r="V34" s="9">
        <f>V32-V33</f>
        <v/>
      </c>
      <c r="W34" s="9">
        <f>W32-W33</f>
        <v/>
      </c>
      <c r="X34" s="9">
        <f>X32-X33</f>
        <v/>
      </c>
      <c r="Y34" s="9">
        <f>Y32-Y33</f>
        <v/>
      </c>
      <c r="Z34" s="9">
        <f>Z32-Z33</f>
        <v/>
      </c>
      <c r="AA34" s="9">
        <f>AA32-AA33</f>
        <v/>
      </c>
      <c r="AB34" s="9">
        <f>AB32-AB33</f>
        <v/>
      </c>
      <c r="AC34" s="9">
        <f>AC32-AC33</f>
        <v/>
      </c>
      <c r="AD34" s="9">
        <f>AD32-AD33</f>
        <v/>
      </c>
      <c r="AE34" s="9">
        <f>AE32-AE33</f>
        <v/>
      </c>
      <c r="AF34" s="9">
        <f>AF32-AF33</f>
        <v/>
      </c>
      <c r="AG34" s="9">
        <f>AG32-AG33</f>
        <v/>
      </c>
      <c r="AH34" s="9">
        <f>AH32-AH33</f>
        <v/>
      </c>
      <c r="AI34" s="17">
        <f>SUM(D34:AH34)</f>
        <v/>
      </c>
      <c r="AJ34" s="9">
        <f>AJ32-AJ33</f>
        <v/>
      </c>
      <c r="AK34" s="9">
        <f>AK32-AK33</f>
        <v/>
      </c>
      <c r="AL34" s="9">
        <f>AL32-AL33</f>
        <v/>
      </c>
      <c r="AM34" s="9">
        <f>AM32-AM33</f>
        <v/>
      </c>
      <c r="AN34" s="9">
        <f>AN32-AN33</f>
        <v/>
      </c>
      <c r="AO34" s="9">
        <f>AO32-AO33</f>
        <v/>
      </c>
      <c r="AP34" s="9">
        <f>AP32-AP33</f>
        <v/>
      </c>
      <c r="AQ34" s="9">
        <f>AQ32-AQ33</f>
        <v/>
      </c>
      <c r="AR34" s="9">
        <f>AR32-AR33</f>
        <v/>
      </c>
      <c r="AS34" s="9">
        <f>AS32-AS33</f>
        <v/>
      </c>
      <c r="AT34" s="9">
        <f>AT32-AT33</f>
        <v/>
      </c>
      <c r="AU34" s="9">
        <f>AU32-AU33</f>
        <v/>
      </c>
      <c r="AV34" s="9">
        <f>AV32-AV33</f>
        <v/>
      </c>
      <c r="AW34" s="9">
        <f>AW32-AW33</f>
        <v/>
      </c>
      <c r="AX34" s="9">
        <f>AX32-AX33</f>
        <v/>
      </c>
      <c r="AY34" s="9">
        <f>AY32-AY33</f>
        <v/>
      </c>
      <c r="AZ34" s="9">
        <f>AZ32-AZ33</f>
        <v/>
      </c>
      <c r="BA34" s="9">
        <f>BA32-BA33</f>
        <v/>
      </c>
      <c r="BB34" s="9">
        <f>BB32-BB33</f>
        <v/>
      </c>
      <c r="BC34" s="9">
        <f>BC32-BC33</f>
        <v/>
      </c>
      <c r="BD34" s="9">
        <f>BD32-BD33</f>
        <v/>
      </c>
      <c r="BE34" s="9">
        <f>BE32-BE33</f>
        <v/>
      </c>
      <c r="BF34" s="9">
        <f>BF32-BF33</f>
        <v/>
      </c>
      <c r="BG34" s="9">
        <f>BG32-BG33</f>
        <v/>
      </c>
      <c r="BH34" s="9">
        <f>BH32-BH33</f>
        <v/>
      </c>
      <c r="BI34" s="9">
        <f>BI32-BI33</f>
        <v/>
      </c>
      <c r="BJ34" s="9">
        <f>BJ32-BJ33</f>
        <v/>
      </c>
      <c r="BK34" s="9">
        <f>BK32-BK33</f>
        <v/>
      </c>
      <c r="BL34" s="9">
        <f>BL32-BL33</f>
        <v/>
      </c>
      <c r="BM34" s="9">
        <f>BM32-BM33</f>
        <v/>
      </c>
      <c r="BN34" s="89">
        <f>SUM(AJ34:BM34)</f>
        <v/>
      </c>
      <c r="BO34" s="9">
        <f>BO32-BO33</f>
        <v/>
      </c>
      <c r="BP34" s="9">
        <f>BP32-BP33</f>
        <v/>
      </c>
      <c r="BQ34" s="9">
        <f>BQ32-BQ33</f>
        <v/>
      </c>
      <c r="BR34" s="9">
        <f>BR32-BR33</f>
        <v/>
      </c>
      <c r="BS34" s="9">
        <f>BS32-BS33</f>
        <v/>
      </c>
      <c r="BT34" s="9">
        <f>BT32-BT33</f>
        <v/>
      </c>
      <c r="BU34" s="9">
        <f>BU32-BU33</f>
        <v/>
      </c>
      <c r="BV34" s="9">
        <f>BV32-BV33</f>
        <v/>
      </c>
      <c r="BW34" s="9">
        <f>BW32-BW33</f>
        <v/>
      </c>
      <c r="BX34" s="9">
        <f>BX32-BX33</f>
        <v/>
      </c>
      <c r="BY34" s="9">
        <f>BY32-BY33</f>
        <v/>
      </c>
      <c r="BZ34" s="9">
        <f>BZ32-BZ33</f>
        <v/>
      </c>
      <c r="CA34" s="9">
        <f>CA32-CA33</f>
        <v/>
      </c>
      <c r="CB34" s="9">
        <f>CB32-CB33</f>
        <v/>
      </c>
      <c r="CC34" s="9">
        <f>CC32-CC33</f>
        <v/>
      </c>
      <c r="CD34" s="9">
        <f>CD32-CD33</f>
        <v/>
      </c>
      <c r="CE34" s="9">
        <f>CE32-CE33</f>
        <v/>
      </c>
      <c r="CF34" s="9">
        <f>CF32-CF33</f>
        <v/>
      </c>
      <c r="CG34" s="9">
        <f>CG32-CG33</f>
        <v/>
      </c>
      <c r="CH34" s="9">
        <f>CH32-CH33</f>
        <v/>
      </c>
      <c r="CI34" s="9">
        <f>CI32-CI33</f>
        <v/>
      </c>
      <c r="CJ34" s="9">
        <f>CJ32-CJ33</f>
        <v/>
      </c>
      <c r="CK34" s="9">
        <f>CK32-CK33</f>
        <v/>
      </c>
      <c r="CL34" s="9">
        <f>CL32-CL33</f>
        <v/>
      </c>
      <c r="CM34" s="9">
        <f>CM32-CM33</f>
        <v/>
      </c>
      <c r="CN34" s="9">
        <f>CN32-CN33</f>
        <v/>
      </c>
      <c r="CO34" s="9">
        <f>CO32-CO33</f>
        <v/>
      </c>
      <c r="CP34" s="9">
        <f>CP32-CP33</f>
        <v/>
      </c>
      <c r="CQ34" s="9">
        <f>CQ32-CQ33</f>
        <v/>
      </c>
      <c r="CR34" s="9">
        <f>CR32-CR33</f>
        <v/>
      </c>
      <c r="CS34" s="9">
        <f>CS32-CS33</f>
        <v/>
      </c>
      <c r="CT34" s="89">
        <f>SUM(BO34:CS34)</f>
        <v/>
      </c>
      <c r="CU34" s="9">
        <f>CU32-CU33</f>
        <v/>
      </c>
      <c r="CV34" s="9">
        <f>CV32-CV33</f>
        <v/>
      </c>
      <c r="CW34" s="9">
        <f>CW32-CW33</f>
        <v/>
      </c>
      <c r="CX34" s="9">
        <f>CX32-CX33</f>
        <v/>
      </c>
      <c r="CY34" s="9">
        <f>CY32-CY33</f>
        <v/>
      </c>
      <c r="CZ34" s="9">
        <f>CZ32-CZ33</f>
        <v/>
      </c>
      <c r="DA34" s="9">
        <f>DA32-DA33</f>
        <v/>
      </c>
      <c r="DB34" s="9">
        <f>DB32-DB33</f>
        <v/>
      </c>
      <c r="DC34" s="9">
        <f>DC32-DC33</f>
        <v/>
      </c>
      <c r="DD34" s="9">
        <f>DD32-DD33</f>
        <v/>
      </c>
      <c r="DE34" s="9">
        <f>DE32-DE33</f>
        <v/>
      </c>
      <c r="DF34" s="9">
        <f>DF32-DF33</f>
        <v/>
      </c>
      <c r="DG34" s="9">
        <f>DG32-DG33</f>
        <v/>
      </c>
      <c r="DH34" s="9">
        <f>DH32-DH33</f>
        <v/>
      </c>
      <c r="DI34" s="9">
        <f>DI32-DI33</f>
        <v/>
      </c>
      <c r="DJ34" s="9">
        <f>DJ32-DJ33</f>
        <v/>
      </c>
      <c r="DK34" s="9">
        <f>DK32-DK33</f>
        <v/>
      </c>
      <c r="DL34" s="9">
        <f>DL32-DL33</f>
        <v/>
      </c>
      <c r="DM34" s="9">
        <f>DM32-DM33</f>
        <v/>
      </c>
      <c r="DN34" s="9">
        <f>DN32-DN33</f>
        <v/>
      </c>
      <c r="DO34" s="9">
        <f>DO32-DO33</f>
        <v/>
      </c>
      <c r="DP34" s="9">
        <f>DP32-DP33</f>
        <v/>
      </c>
      <c r="DQ34" s="9">
        <f>DQ32-DQ33</f>
        <v/>
      </c>
      <c r="DR34" s="9">
        <f>DR32-DR33</f>
        <v/>
      </c>
      <c r="DS34" s="9">
        <f>DS32-DS33</f>
        <v/>
      </c>
      <c r="DT34" s="9">
        <f>DT32-DT33</f>
        <v/>
      </c>
      <c r="DU34" s="9">
        <f>DU32-DU33</f>
        <v/>
      </c>
      <c r="DV34" s="9">
        <f>DV32-DV33</f>
        <v/>
      </c>
      <c r="DW34" s="9">
        <f>DW32-DW33</f>
        <v/>
      </c>
      <c r="DX34" s="9">
        <f>DX32-DX33</f>
        <v/>
      </c>
      <c r="DY34" s="116">
        <f>SUM(CU34:DX34)</f>
        <v/>
      </c>
      <c r="DZ34" s="9">
        <f>DZ32-DZ33</f>
        <v/>
      </c>
      <c r="EA34" s="9">
        <f>EA32-EA33</f>
        <v/>
      </c>
      <c r="EB34" s="9">
        <f>EB32-EB33</f>
        <v/>
      </c>
      <c r="EC34" s="9">
        <f>EC32-EC33</f>
        <v/>
      </c>
      <c r="ED34" s="9">
        <f>ED32-ED33</f>
        <v/>
      </c>
      <c r="EE34" s="9">
        <f>EE32-EE33</f>
        <v/>
      </c>
      <c r="EF34" s="9">
        <f>EF32-EF33</f>
        <v/>
      </c>
      <c r="EG34" s="9">
        <f>EG32-EG33</f>
        <v/>
      </c>
      <c r="EH34" s="9">
        <f>EH32-EH33</f>
        <v/>
      </c>
      <c r="EI34" s="9">
        <f>EI32-EI33</f>
        <v/>
      </c>
      <c r="EJ34" s="9">
        <f>EJ32-EJ33</f>
        <v/>
      </c>
      <c r="EK34" s="9">
        <f>EK32-EK33</f>
        <v/>
      </c>
      <c r="EL34" s="9">
        <f>EL32-EL33</f>
        <v/>
      </c>
      <c r="EM34" s="9">
        <f>EM32-EM33</f>
        <v/>
      </c>
      <c r="EN34" s="9">
        <f>EN32-EN33</f>
        <v/>
      </c>
      <c r="EO34" s="9">
        <f>EO32-EO33</f>
        <v/>
      </c>
      <c r="EP34" s="9">
        <f>EP32-EP33</f>
        <v/>
      </c>
      <c r="EQ34" s="9">
        <f>EQ32-EQ33</f>
        <v/>
      </c>
      <c r="ER34" s="9">
        <f>ER32-ER33</f>
        <v/>
      </c>
      <c r="ES34" s="9">
        <f>ES32-ES33</f>
        <v/>
      </c>
      <c r="ET34" s="9">
        <f>ET32-ET33</f>
        <v/>
      </c>
      <c r="EU34" s="9">
        <f>EU32-EU33</f>
        <v/>
      </c>
      <c r="EV34" s="9">
        <f>EV32-EV33</f>
        <v/>
      </c>
      <c r="EW34" s="9">
        <f>EW32-EW33</f>
        <v/>
      </c>
      <c r="EX34" s="9">
        <f>EX32-EX33</f>
        <v/>
      </c>
      <c r="EY34" s="9">
        <f>EY32-EY33</f>
        <v/>
      </c>
      <c r="EZ34" s="9">
        <f>EZ32-EZ33</f>
        <v/>
      </c>
      <c r="FA34" s="9">
        <f>FA32-FA33</f>
        <v/>
      </c>
      <c r="FB34" s="9">
        <f>FB32-FB33</f>
        <v/>
      </c>
      <c r="FC34" s="9">
        <f>FC32-FC33</f>
        <v/>
      </c>
      <c r="FD34" s="9">
        <f>FD32-FD33</f>
        <v/>
      </c>
      <c r="FE34" s="127">
        <f>SUM(DZ34:FD34)</f>
        <v/>
      </c>
      <c r="FF34" s="9">
        <f>FF32-FF33</f>
        <v/>
      </c>
      <c r="FG34" s="9">
        <f>FG32-FG33</f>
        <v/>
      </c>
      <c r="FH34" s="9">
        <f>FH32-FH33</f>
        <v/>
      </c>
      <c r="FI34" s="9">
        <f>FI32-FI33</f>
        <v/>
      </c>
      <c r="FJ34" s="9">
        <f>FJ32-FJ33</f>
        <v/>
      </c>
      <c r="FK34" s="9">
        <f>FK32-FK33</f>
        <v/>
      </c>
      <c r="FL34" s="9">
        <f>FL32-FL33</f>
        <v/>
      </c>
      <c r="FM34" s="9">
        <f>FM32-FM33</f>
        <v/>
      </c>
      <c r="FN34" s="9">
        <f>FN32-FN33</f>
        <v/>
      </c>
      <c r="FO34" s="9">
        <f>FO32-FO33</f>
        <v/>
      </c>
      <c r="FP34" s="9">
        <f>FP32-FP33</f>
        <v/>
      </c>
      <c r="FQ34" s="9">
        <f>FQ32-FQ33</f>
        <v/>
      </c>
      <c r="FR34" s="9">
        <f>FR32-FR33</f>
        <v/>
      </c>
      <c r="FS34" s="9">
        <f>FS32-FS33</f>
        <v/>
      </c>
      <c r="FT34" s="9">
        <f>FT32-FT33</f>
        <v/>
      </c>
      <c r="FU34" s="9">
        <f>FU32-FU33</f>
        <v/>
      </c>
      <c r="FV34" s="9">
        <f>FV32-FV33</f>
        <v/>
      </c>
      <c r="FW34" s="9">
        <f>FW32-FW33</f>
        <v/>
      </c>
      <c r="FX34" s="9">
        <f>FX32-FX33</f>
        <v/>
      </c>
      <c r="FY34" s="9">
        <f>FY32-FY33</f>
        <v/>
      </c>
      <c r="FZ34" s="9">
        <f>FZ32-FZ33</f>
        <v/>
      </c>
      <c r="GA34" s="9">
        <f>GA32-GA33</f>
        <v/>
      </c>
      <c r="GB34" s="9">
        <f>GB32-GB33</f>
        <v/>
      </c>
      <c r="GC34" s="9">
        <f>GC32-GC33</f>
        <v/>
      </c>
      <c r="GD34" s="9">
        <f>GD32-GD33</f>
        <v/>
      </c>
      <c r="GE34" s="9">
        <f>GE32-GE33</f>
        <v/>
      </c>
      <c r="GF34" s="9">
        <f>GF32-GF33</f>
        <v/>
      </c>
      <c r="GG34" s="9">
        <f>GG32-GG33</f>
        <v/>
      </c>
      <c r="GH34" s="9">
        <f>GH32-GH33</f>
        <v/>
      </c>
      <c r="GI34" s="9">
        <f>GI32-GI33</f>
        <v/>
      </c>
      <c r="GJ34" s="9">
        <f>GJ32-GJ33</f>
        <v/>
      </c>
      <c r="GK34" s="126" t="n"/>
      <c r="GL34" s="9">
        <f>GL32-GL33</f>
        <v/>
      </c>
      <c r="GM34" s="9">
        <f>GM32-GM33</f>
        <v/>
      </c>
      <c r="GN34" s="9">
        <f>GN32-GN33</f>
        <v/>
      </c>
      <c r="GO34" s="9">
        <f>GO32-GO33</f>
        <v/>
      </c>
      <c r="GP34" s="9">
        <f>GP32-GP33</f>
        <v/>
      </c>
      <c r="GQ34" s="9">
        <f>GQ32-GQ33</f>
        <v/>
      </c>
      <c r="GR34" s="9">
        <f>GR32-GR33</f>
        <v/>
      </c>
      <c r="GS34" s="9">
        <f>GS32-GS33</f>
        <v/>
      </c>
      <c r="GT34" s="9">
        <f>GT32-GT33</f>
        <v/>
      </c>
      <c r="GU34" s="9">
        <f>GU32-GU33</f>
        <v/>
      </c>
      <c r="GV34" s="9">
        <f>GV32-GV33</f>
        <v/>
      </c>
      <c r="GW34" s="9">
        <f>GW32-GW33</f>
        <v/>
      </c>
      <c r="GX34" s="9">
        <f>GX32-GX33</f>
        <v/>
      </c>
      <c r="GY34" s="9">
        <f>GY32-GY33</f>
        <v/>
      </c>
      <c r="GZ34" s="9">
        <f>GZ32-GZ33</f>
        <v/>
      </c>
      <c r="HA34" s="9">
        <f>HA32-HA33</f>
        <v/>
      </c>
      <c r="HB34" s="9">
        <f>HB32-HB33</f>
        <v/>
      </c>
      <c r="HC34" s="9">
        <f>HC32-HC33</f>
        <v/>
      </c>
      <c r="HD34" s="9">
        <f>HD32-HD33</f>
        <v/>
      </c>
      <c r="HE34" s="9">
        <f>HE32-HE33</f>
        <v/>
      </c>
      <c r="HF34" s="9">
        <f>HF32-HF33</f>
        <v/>
      </c>
      <c r="HG34" s="9">
        <f>HG32-HG33</f>
        <v/>
      </c>
      <c r="HH34" s="9">
        <f>HH32-HH33</f>
        <v/>
      </c>
      <c r="HI34" s="9">
        <f>HI32-HI33</f>
        <v/>
      </c>
      <c r="HJ34" s="9">
        <f>HJ32-HJ33</f>
        <v/>
      </c>
      <c r="HK34" s="9">
        <f>HK32-HK33</f>
        <v/>
      </c>
      <c r="HL34" s="9">
        <f>HL32-HL33</f>
        <v/>
      </c>
      <c r="HM34" s="9">
        <f>HM32-HM33</f>
        <v/>
      </c>
      <c r="HN34" s="9">
        <f>HN32-HN33</f>
        <v/>
      </c>
      <c r="HO34" s="126" t="n"/>
      <c r="HP34" s="9">
        <f>HP32-HP33</f>
        <v/>
      </c>
      <c r="HQ34" s="9">
        <f>HQ32-HQ33</f>
        <v/>
      </c>
      <c r="HR34" s="9">
        <f>HR32-HR33</f>
        <v/>
      </c>
      <c r="HS34" s="9">
        <f>HS32-HS33</f>
        <v/>
      </c>
      <c r="HT34" s="9">
        <f>HT32-HT33</f>
        <v/>
      </c>
      <c r="HU34" s="9">
        <f>HU32-HU33</f>
        <v/>
      </c>
      <c r="HV34" s="9">
        <f>HV32-HV33</f>
        <v/>
      </c>
      <c r="HW34" s="9">
        <f>HW32-HW33</f>
        <v/>
      </c>
      <c r="HX34" s="9">
        <f>HX32-HX33</f>
        <v/>
      </c>
      <c r="HY34" s="9">
        <f>HY32-HY33</f>
        <v/>
      </c>
      <c r="HZ34" s="9">
        <f>HZ32-HZ33</f>
        <v/>
      </c>
      <c r="IA34" s="9">
        <f>IA32-IA33</f>
        <v/>
      </c>
      <c r="IB34" s="9">
        <f>IB32-IB33</f>
        <v/>
      </c>
      <c r="IC34" s="9">
        <f>IC32-IC33</f>
        <v/>
      </c>
      <c r="ID34" s="9">
        <f>ID32-ID33</f>
        <v/>
      </c>
      <c r="IE34" s="9">
        <f>IE32-IE33</f>
        <v/>
      </c>
      <c r="IF34" s="9">
        <f>IF32-IF33</f>
        <v/>
      </c>
      <c r="IG34" s="9">
        <f>IG32-IG33</f>
        <v/>
      </c>
      <c r="IH34" s="9">
        <f>IH32-IH33</f>
        <v/>
      </c>
      <c r="II34" s="9">
        <f>II32-II33</f>
        <v/>
      </c>
      <c r="IJ34" s="9">
        <f>IJ32-IJ33</f>
        <v/>
      </c>
      <c r="IK34" s="9">
        <f>IK32-IK33</f>
        <v/>
      </c>
      <c r="IL34" s="9">
        <f>IL32-IL33</f>
        <v/>
      </c>
      <c r="IM34" s="9">
        <f>IM32-IM33</f>
        <v/>
      </c>
      <c r="IN34" s="9">
        <f>IN32-IN33</f>
        <v/>
      </c>
      <c r="IO34" s="9">
        <f>IO32-IO33</f>
        <v/>
      </c>
      <c r="IP34" s="9">
        <f>IP32-IP33</f>
        <v/>
      </c>
      <c r="IQ34" s="9">
        <f>IQ32-IQ33</f>
        <v/>
      </c>
      <c r="IR34" s="9">
        <f>IR32-IR33</f>
        <v/>
      </c>
      <c r="IS34" s="9">
        <f>IS32-IS33</f>
        <v/>
      </c>
      <c r="IT34" s="9">
        <f>IT32-IT33</f>
        <v/>
      </c>
      <c r="IU34" s="126" t="n"/>
      <c r="IV34" s="9">
        <f>IV32-IV33</f>
        <v/>
      </c>
      <c r="IW34" s="9">
        <f>IW32-IW33</f>
        <v/>
      </c>
      <c r="IX34" s="9">
        <f>IX32-IX33</f>
        <v/>
      </c>
      <c r="IY34" s="9">
        <f>IY32-IY33</f>
        <v/>
      </c>
      <c r="IZ34" s="9">
        <f>IZ32-IZ33</f>
        <v/>
      </c>
      <c r="JA34" s="9">
        <f>JA32-JA33</f>
        <v/>
      </c>
      <c r="JB34" s="9">
        <f>JB32-JB33</f>
        <v/>
      </c>
      <c r="JC34" s="9">
        <f>JC32-JC33</f>
        <v/>
      </c>
      <c r="JD34" s="9">
        <f>JD32-JD33</f>
        <v/>
      </c>
      <c r="JE34" s="9">
        <f>JE32-JE33</f>
        <v/>
      </c>
      <c r="JF34" s="9">
        <f>JF32-JF33</f>
        <v/>
      </c>
      <c r="JG34" s="9">
        <f>JG32-JG33</f>
        <v/>
      </c>
      <c r="JH34" s="9">
        <f>JH32-JH33</f>
        <v/>
      </c>
      <c r="JI34" s="9">
        <f>JI32-JI33</f>
        <v/>
      </c>
      <c r="JJ34" s="9">
        <f>JJ32-JJ33</f>
        <v/>
      </c>
      <c r="JK34" s="9">
        <f>JK32-JK33</f>
        <v/>
      </c>
      <c r="JL34" s="9">
        <f>JL32-JL33</f>
        <v/>
      </c>
      <c r="JM34" s="9">
        <f>JM32-JM33</f>
        <v/>
      </c>
      <c r="JN34" s="9">
        <f>JN32-JN33</f>
        <v/>
      </c>
      <c r="JO34" s="9">
        <f>JO32-JO33</f>
        <v/>
      </c>
      <c r="JP34" s="9">
        <f>JP32-JP33</f>
        <v/>
      </c>
      <c r="JQ34" s="9">
        <f>JQ32-JQ33</f>
        <v/>
      </c>
      <c r="JR34" s="9">
        <f>JR32-JR33</f>
        <v/>
      </c>
      <c r="JS34" s="9">
        <f>JS32-JS33</f>
        <v/>
      </c>
      <c r="JT34" s="9">
        <f>JT32-JT33</f>
        <v/>
      </c>
      <c r="JU34" s="9">
        <f>JU32-JU33</f>
        <v/>
      </c>
      <c r="JV34" s="9">
        <f>JV32-JV33</f>
        <v/>
      </c>
      <c r="JW34" s="9">
        <f>JW32-JW33</f>
        <v/>
      </c>
      <c r="JX34" s="9">
        <f>JX32-JX33</f>
        <v/>
      </c>
      <c r="JY34" s="9">
        <f>JY32-JY33</f>
        <v/>
      </c>
      <c r="JZ34" s="144">
        <f>JZ22+JZ25+JZ28+JZ31-JZ33</f>
        <v/>
      </c>
      <c r="KA34" s="9">
        <f>KA32-KA33</f>
        <v/>
      </c>
      <c r="KB34" s="9">
        <f>KB32-KB33</f>
        <v/>
      </c>
      <c r="KC34" s="9">
        <f>KC32-KC33</f>
        <v/>
      </c>
      <c r="KD34" s="9">
        <f>KD32-KD33</f>
        <v/>
      </c>
      <c r="KE34" s="9">
        <f>KE32-KE33</f>
        <v/>
      </c>
      <c r="KF34" s="9">
        <f>KF32-KF33</f>
        <v/>
      </c>
      <c r="KG34" s="9">
        <f>KG32-KG33</f>
        <v/>
      </c>
      <c r="KH34" s="9">
        <f>KH32-KH33</f>
        <v/>
      </c>
      <c r="KI34" s="9">
        <f>KI32-KI33</f>
        <v/>
      </c>
      <c r="KJ34" s="9">
        <f>KJ32-KJ33</f>
        <v/>
      </c>
      <c r="KK34" s="9">
        <f>KK32-KK33</f>
        <v/>
      </c>
      <c r="KL34" s="9">
        <f>KL32-KL33</f>
        <v/>
      </c>
      <c r="KM34" s="9">
        <f>KM32-KM33</f>
        <v/>
      </c>
      <c r="KN34" s="9">
        <f>KN32-KN33</f>
        <v/>
      </c>
      <c r="KO34" s="9">
        <f>KO32-KO33</f>
        <v/>
      </c>
      <c r="KP34" s="9">
        <f>KP32-KP33</f>
        <v/>
      </c>
      <c r="KQ34" s="9">
        <f>KQ32-KQ33</f>
        <v/>
      </c>
      <c r="KR34" s="9">
        <f>KR32-KR33</f>
        <v/>
      </c>
      <c r="KS34" s="9">
        <f>KS32-KS33</f>
        <v/>
      </c>
      <c r="KT34" s="9">
        <f>KT32-KT33</f>
        <v/>
      </c>
      <c r="KU34" s="9">
        <f>KU32-KU33</f>
        <v/>
      </c>
      <c r="KV34" s="9">
        <f>KV32-KV33</f>
        <v/>
      </c>
      <c r="KW34" s="9">
        <f>KW32-KW33</f>
        <v/>
      </c>
      <c r="KX34" s="9">
        <f>KX32-KX33</f>
        <v/>
      </c>
      <c r="KY34" s="9">
        <f>KY32-KY33</f>
        <v/>
      </c>
      <c r="KZ34" s="9">
        <f>KZ32-KZ33</f>
        <v/>
      </c>
      <c r="LA34" s="9">
        <f>LA32-LA33</f>
        <v/>
      </c>
      <c r="LB34" s="9">
        <f>LB32-LB33</f>
        <v/>
      </c>
      <c r="LC34" s="9">
        <f>LC32-LC33</f>
        <v/>
      </c>
      <c r="LD34" s="9">
        <f>LD32-LD33</f>
        <v/>
      </c>
      <c r="LE34" s="9">
        <f>LE32-LE33</f>
        <v/>
      </c>
      <c r="LF34" s="144">
        <f>LF22+LF25+LF28+LF31-LF33</f>
        <v/>
      </c>
      <c r="LG34" s="9">
        <f>LG32-LG33</f>
        <v/>
      </c>
      <c r="LH34" s="9">
        <f>LH32-LH33</f>
        <v/>
      </c>
      <c r="LI34" s="9">
        <f>LI32-LI33</f>
        <v/>
      </c>
      <c r="LJ34" s="9">
        <f>LJ32-LJ33</f>
        <v/>
      </c>
      <c r="LK34" s="9">
        <f>LK32-LK33</f>
        <v/>
      </c>
      <c r="LL34" s="9">
        <f>LL32-LL33</f>
        <v/>
      </c>
      <c r="LM34" s="9">
        <f>LM32-LM33</f>
        <v/>
      </c>
      <c r="LN34" s="9">
        <f>LN32-LN33</f>
        <v/>
      </c>
      <c r="LO34" s="9">
        <f>LO32-LO33</f>
        <v/>
      </c>
      <c r="LP34" s="9">
        <f>LP32-LP33</f>
        <v/>
      </c>
      <c r="LQ34" s="9">
        <f>LQ32-LQ33</f>
        <v/>
      </c>
      <c r="LR34" s="9">
        <f>LR32-LR33</f>
        <v/>
      </c>
      <c r="LS34" s="9">
        <f>LS32-LS33</f>
        <v/>
      </c>
      <c r="LT34" s="9">
        <f>LT32-LT33</f>
        <v/>
      </c>
      <c r="LU34" s="9">
        <f>LU32-LU33</f>
        <v/>
      </c>
      <c r="LV34" s="9">
        <f>LV32-LV33</f>
        <v/>
      </c>
      <c r="LW34" s="9">
        <f>LW32-LW33</f>
        <v/>
      </c>
      <c r="LX34" s="9">
        <f>LX32-LX33</f>
        <v/>
      </c>
      <c r="LY34" s="9">
        <f>LY32-LY33</f>
        <v/>
      </c>
      <c r="LZ34" s="9">
        <f>LZ32-LZ33</f>
        <v/>
      </c>
      <c r="MA34" s="9">
        <f>MA32-MA33</f>
        <v/>
      </c>
      <c r="MB34" s="9">
        <f>MB32-MB33</f>
        <v/>
      </c>
      <c r="MC34" s="9">
        <f>MC32-MC33</f>
        <v/>
      </c>
      <c r="MD34" s="9">
        <f>MD32-MD33</f>
        <v/>
      </c>
      <c r="ME34" s="9">
        <f>ME32-ME33</f>
        <v/>
      </c>
      <c r="MF34" s="9">
        <f>MF32-MF33</f>
        <v/>
      </c>
      <c r="MG34" s="9">
        <f>MG32-MG33</f>
        <v/>
      </c>
      <c r="MH34" s="9">
        <f>MH32-MH33</f>
        <v/>
      </c>
      <c r="MI34" s="9">
        <f>MI32-MI33</f>
        <v/>
      </c>
      <c r="MJ34" s="9">
        <f>MJ32-MJ33</f>
        <v/>
      </c>
      <c r="MK34" s="144">
        <f>MK22+MK25+MK28+MK31-MK33</f>
        <v/>
      </c>
      <c r="ML34" s="9">
        <f>ML32-ML33</f>
        <v/>
      </c>
      <c r="MM34" s="9">
        <f>MM32-MM33</f>
        <v/>
      </c>
      <c r="MN34" s="9">
        <f>MN32-MN33</f>
        <v/>
      </c>
      <c r="MO34" s="9">
        <f>MO32-MO33</f>
        <v/>
      </c>
      <c r="MP34" s="9">
        <f>MP32-MP33</f>
        <v/>
      </c>
      <c r="MQ34" s="9">
        <f>MQ32-MQ33</f>
        <v/>
      </c>
      <c r="MR34" s="9">
        <f>MR32-MR33</f>
        <v/>
      </c>
      <c r="MS34" s="9">
        <f>MS32-MS33</f>
        <v/>
      </c>
      <c r="MT34" s="9">
        <f>MT32-MT33</f>
        <v/>
      </c>
      <c r="MU34" s="9">
        <f>MU32-MU33</f>
        <v/>
      </c>
      <c r="MV34" s="9">
        <f>MV32-MV33</f>
        <v/>
      </c>
      <c r="MW34" s="9">
        <f>MW32-MW33</f>
        <v/>
      </c>
      <c r="MX34" s="9">
        <f>MX32-MX33</f>
        <v/>
      </c>
      <c r="MY34" s="9">
        <f>MY32-MY33</f>
        <v/>
      </c>
      <c r="MZ34" s="9">
        <f>MZ32-MZ33</f>
        <v/>
      </c>
      <c r="NA34" s="9">
        <f>NA32-NA33</f>
        <v/>
      </c>
      <c r="NB34" s="9">
        <f>NB32-NB33</f>
        <v/>
      </c>
      <c r="NC34" s="9">
        <f>NC32-NC33</f>
        <v/>
      </c>
      <c r="ND34" s="9">
        <f>ND32-ND33</f>
        <v/>
      </c>
      <c r="NE34" s="9">
        <f>NE32-NE33</f>
        <v/>
      </c>
      <c r="NF34" s="9">
        <f>NF32-NF33</f>
        <v/>
      </c>
      <c r="NG34" s="9">
        <f>NG32-NG33</f>
        <v/>
      </c>
      <c r="NH34" s="9">
        <f>NH32-NH33</f>
        <v/>
      </c>
      <c r="NI34" s="9">
        <f>NI32-NI33</f>
        <v/>
      </c>
      <c r="NJ34" s="9">
        <f>NJ32-NJ33</f>
        <v/>
      </c>
      <c r="NK34" s="9">
        <f>NK32-NK33</f>
        <v/>
      </c>
      <c r="NL34" s="9">
        <f>NL32-NL33</f>
        <v/>
      </c>
      <c r="NM34" s="9">
        <f>NM32-NM33</f>
        <v/>
      </c>
      <c r="NN34" s="9">
        <f>NN32-NN33</f>
        <v/>
      </c>
      <c r="NO34" s="9">
        <f>NO32-NO33</f>
        <v/>
      </c>
      <c r="NP34" s="9">
        <f>NP32-NP33</f>
        <v/>
      </c>
      <c r="NQ34" s="144">
        <f>NQ22+NQ25+NQ28+NQ31-NQ33</f>
        <v/>
      </c>
      <c r="NR34" s="9">
        <f>NR32-NR33</f>
        <v/>
      </c>
      <c r="NS34" s="9">
        <f>NS32-NS33</f>
        <v/>
      </c>
      <c r="NT34" s="9">
        <f>NT32-NT33</f>
        <v/>
      </c>
      <c r="NU34" s="9">
        <f>NU32-NU33</f>
        <v/>
      </c>
      <c r="NV34" s="9">
        <f>NV32-NV33</f>
        <v/>
      </c>
      <c r="NW34" s="9">
        <f>NW32-NW33</f>
        <v/>
      </c>
      <c r="NX34" s="9">
        <f>NX32-NX33</f>
        <v/>
      </c>
      <c r="NY34" s="9">
        <f>NY32-NY33</f>
        <v/>
      </c>
      <c r="NZ34" s="9">
        <f>NZ32-NZ33</f>
        <v/>
      </c>
      <c r="OA34" s="9">
        <f>OA32-OA33</f>
        <v/>
      </c>
      <c r="OB34" s="9">
        <f>OB32-OB33</f>
        <v/>
      </c>
      <c r="OC34" s="9">
        <f>OC32-OC33</f>
        <v/>
      </c>
      <c r="OD34" s="9">
        <f>OD32-OD33</f>
        <v/>
      </c>
      <c r="OE34" s="9">
        <f>OE32-OE33</f>
        <v/>
      </c>
      <c r="OF34" s="9">
        <f>OF32-OF33</f>
        <v/>
      </c>
      <c r="OG34" s="9">
        <f>OG32-OG33</f>
        <v/>
      </c>
      <c r="OH34" s="9">
        <f>OH32-OH33</f>
        <v/>
      </c>
      <c r="OI34" s="9">
        <f>OI32-OI33</f>
        <v/>
      </c>
      <c r="OJ34" s="9">
        <f>OJ32-OJ33</f>
        <v/>
      </c>
      <c r="OK34" s="9">
        <f>OK32-OK33</f>
        <v/>
      </c>
      <c r="OL34" s="9">
        <f>OL32-OL33</f>
        <v/>
      </c>
      <c r="OM34" s="9">
        <f>OM32-OM33</f>
        <v/>
      </c>
      <c r="ON34" s="9">
        <f>ON32-ON33</f>
        <v/>
      </c>
      <c r="OO34" s="9">
        <f>OO32-OO33</f>
        <v/>
      </c>
      <c r="OP34" s="9">
        <f>OP32-OP33</f>
        <v/>
      </c>
      <c r="OQ34" s="9">
        <f>OQ32-OQ33</f>
        <v/>
      </c>
      <c r="OR34" s="9">
        <f>OR32-OR33</f>
        <v/>
      </c>
      <c r="OS34" s="9">
        <f>OS32-OS33</f>
        <v/>
      </c>
      <c r="OT34" s="9">
        <f>OT32-OT33</f>
        <v/>
      </c>
      <c r="OU34" s="9">
        <f>OU32-OU33</f>
        <v/>
      </c>
      <c r="OV34" s="9">
        <f>OV32-OV33</f>
        <v/>
      </c>
      <c r="OW34" s="144">
        <f>OW22+OW25+OW28+OW31-OW33</f>
        <v/>
      </c>
      <c r="OX34" s="9">
        <f>OX32-OX33</f>
        <v/>
      </c>
      <c r="OY34" s="9">
        <f>OY32-OY33</f>
        <v/>
      </c>
      <c r="OZ34" s="9">
        <f>OZ32-OZ33</f>
        <v/>
      </c>
      <c r="PA34" s="9">
        <f>PA32-PA33</f>
        <v/>
      </c>
      <c r="PB34" s="9">
        <f>PB32-PB33</f>
        <v/>
      </c>
      <c r="PC34" s="9">
        <f>PC32-PC33</f>
        <v/>
      </c>
      <c r="PD34" s="9">
        <f>PD32-PD33</f>
        <v/>
      </c>
      <c r="PE34" s="9">
        <f>PE32-PE33</f>
        <v/>
      </c>
      <c r="PF34" s="9">
        <f>PF32-PF33</f>
        <v/>
      </c>
      <c r="PG34" s="9">
        <f>PG32-PG33</f>
        <v/>
      </c>
      <c r="PH34" s="9">
        <f>PH32-PH33</f>
        <v/>
      </c>
      <c r="PI34" s="9">
        <f>PI32-PI33</f>
        <v/>
      </c>
      <c r="PJ34" s="9">
        <f>PJ32-PJ33</f>
        <v/>
      </c>
      <c r="PK34" s="9">
        <f>PK32-PK33</f>
        <v/>
      </c>
      <c r="PL34" s="9">
        <f>PL32-PL33</f>
        <v/>
      </c>
      <c r="PM34" s="9">
        <f>PM32-PM33</f>
        <v/>
      </c>
      <c r="PN34" s="9">
        <f>PN32-PN33</f>
        <v/>
      </c>
      <c r="PO34" s="9">
        <f>PO32-PO33</f>
        <v/>
      </c>
      <c r="PP34" s="9">
        <f>PP32-PP33</f>
        <v/>
      </c>
      <c r="PQ34" s="9">
        <f>PQ32-PQ33</f>
        <v/>
      </c>
      <c r="PR34" s="9">
        <f>PR32-PR33</f>
        <v/>
      </c>
      <c r="PS34" s="9">
        <f>PS32-PS33</f>
        <v/>
      </c>
      <c r="PT34" s="9">
        <f>PT32-PT33</f>
        <v/>
      </c>
      <c r="PU34" s="9">
        <f>PU32-PU33</f>
        <v/>
      </c>
      <c r="PV34" s="9">
        <f>PV32-PV33</f>
        <v/>
      </c>
      <c r="PW34" s="9">
        <f>PW32-PW33</f>
        <v/>
      </c>
      <c r="PX34" s="9">
        <f>PX32-PX33</f>
        <v/>
      </c>
      <c r="PY34" s="9">
        <f>PY32-PY33</f>
        <v/>
      </c>
      <c r="PZ34" s="9">
        <f>PZ32-PZ33</f>
        <v/>
      </c>
      <c r="QA34" s="9">
        <f>QA32-QA33</f>
        <v/>
      </c>
      <c r="QB34" s="144">
        <f>QB22+QB25+QB28+QB31-QB33</f>
        <v/>
      </c>
      <c r="QC34" s="9" t="n"/>
      <c r="QD34" s="9">
        <f>QD32-QD33</f>
        <v/>
      </c>
      <c r="QE34" s="9">
        <f>QE32-QE33</f>
        <v/>
      </c>
      <c r="QF34" s="9">
        <f>QF32-QF33</f>
        <v/>
      </c>
      <c r="QG34" s="9">
        <f>QG32-QG33</f>
        <v/>
      </c>
      <c r="QH34" s="9">
        <f>QH32-QH33</f>
        <v/>
      </c>
      <c r="QI34" s="9">
        <f>QI32-QI33</f>
        <v/>
      </c>
      <c r="QJ34" s="9">
        <f>QJ32-QJ33</f>
        <v/>
      </c>
      <c r="QK34" s="9">
        <f>QK32-QK33</f>
        <v/>
      </c>
      <c r="QL34" s="9">
        <f>QL32-QL33</f>
        <v/>
      </c>
      <c r="QM34" s="9">
        <f>QM32-QM33</f>
        <v/>
      </c>
      <c r="QN34" s="9">
        <f>QN32-QN33</f>
        <v/>
      </c>
      <c r="QO34" s="9">
        <f>QO32-QO33</f>
        <v/>
      </c>
      <c r="QP34" s="9">
        <f>QP32-QP33</f>
        <v/>
      </c>
      <c r="QQ34" s="9">
        <f>QQ32-QQ33</f>
        <v/>
      </c>
      <c r="QR34" s="9">
        <f>QR32-QR33</f>
        <v/>
      </c>
      <c r="QS34" s="9">
        <f>QS32-QS33</f>
        <v/>
      </c>
      <c r="QT34" s="9">
        <f>QT32-QT33</f>
        <v/>
      </c>
      <c r="QU34" s="9">
        <f>QU32-QU33</f>
        <v/>
      </c>
      <c r="QV34" s="9">
        <f>QV32-QV33</f>
        <v/>
      </c>
      <c r="QW34" s="9">
        <f>QW32-QW33</f>
        <v/>
      </c>
      <c r="QX34" s="9">
        <f>QX32-QX33</f>
        <v/>
      </c>
      <c r="QY34" s="9">
        <f>QY32-QY33</f>
        <v/>
      </c>
      <c r="QZ34" s="9">
        <f>QZ32-QZ33</f>
        <v/>
      </c>
      <c r="RA34" s="9">
        <f>RA32-RA33</f>
        <v/>
      </c>
      <c r="RB34" s="9">
        <f>RB32-RB33</f>
        <v/>
      </c>
      <c r="RC34" s="9">
        <f>RC32-RC33</f>
        <v/>
      </c>
      <c r="RD34" s="9">
        <f>RD32-RD33</f>
        <v/>
      </c>
      <c r="RE34" s="9">
        <f>RE32-RE33</f>
        <v/>
      </c>
      <c r="RF34" s="9">
        <f>RF32-RF33</f>
        <v/>
      </c>
      <c r="RG34" s="9">
        <f>RG32-RG33</f>
        <v/>
      </c>
      <c r="RH34" s="144">
        <f>RH22+RH25+RH28+RH31-RH33</f>
        <v/>
      </c>
      <c r="RI34" s="9">
        <f>RI32-RI33</f>
        <v/>
      </c>
      <c r="RJ34" s="9">
        <f>RJ32-RJ33</f>
        <v/>
      </c>
      <c r="RK34" s="9">
        <f>RK32-RK33</f>
        <v/>
      </c>
      <c r="RL34" s="9">
        <f>RL32-RL33</f>
        <v/>
      </c>
      <c r="RM34" s="9">
        <f>RM32-RM33</f>
        <v/>
      </c>
      <c r="RN34" s="9">
        <f>RN32-RN33</f>
        <v/>
      </c>
      <c r="RO34" s="9">
        <f>RO32-RO33</f>
        <v/>
      </c>
      <c r="RP34" s="9">
        <f>RP32-RP33</f>
        <v/>
      </c>
      <c r="RQ34" s="9">
        <f>RQ32-RQ33</f>
        <v/>
      </c>
      <c r="RR34" s="9">
        <f>RR32-RR33</f>
        <v/>
      </c>
      <c r="RS34" s="9">
        <f>RS32-RS33</f>
        <v/>
      </c>
      <c r="RT34" s="9">
        <f>RT32-RT33</f>
        <v/>
      </c>
      <c r="RU34" s="9">
        <f>RU32-RU33</f>
        <v/>
      </c>
      <c r="RV34" s="9">
        <f>RV32-RV33</f>
        <v/>
      </c>
      <c r="RW34" s="9">
        <f>RW32-RW33</f>
        <v/>
      </c>
      <c r="RX34" s="9">
        <f>RX32-RX33</f>
        <v/>
      </c>
      <c r="RY34" s="9">
        <f>RY32-RY33</f>
        <v/>
      </c>
      <c r="RZ34" s="9">
        <f>RZ32-RZ33</f>
        <v/>
      </c>
      <c r="SA34" s="9">
        <f>SA32-SA33</f>
        <v/>
      </c>
      <c r="SB34" s="9">
        <f>SB32-SB33</f>
        <v/>
      </c>
      <c r="SC34" s="9">
        <f>SC32-SC33</f>
        <v/>
      </c>
      <c r="SD34" s="9">
        <f>SD32-SD33</f>
        <v/>
      </c>
      <c r="SE34" s="9">
        <f>SE32-SE33</f>
        <v/>
      </c>
      <c r="SF34" s="9">
        <f>SF32-SF33</f>
        <v/>
      </c>
      <c r="SG34" s="9">
        <f>SG32-SG33</f>
        <v/>
      </c>
      <c r="SH34" s="9">
        <f>SH32-SH33</f>
        <v/>
      </c>
      <c r="SI34" s="9">
        <f>SI32-SI33</f>
        <v/>
      </c>
      <c r="SJ34" s="9">
        <f>SJ32-SJ33</f>
        <v/>
      </c>
      <c r="SK34" s="9">
        <f>SK32-SK33</f>
        <v/>
      </c>
      <c r="SL34" s="9">
        <f>SL32-SL33</f>
        <v/>
      </c>
      <c r="SM34" s="144">
        <f>SM22+SM25+SM28+SM31-SM33</f>
        <v/>
      </c>
      <c r="SN34" s="9">
        <f>SN32-SN33</f>
        <v/>
      </c>
      <c r="SO34" s="9">
        <f>SO32-SO33</f>
        <v/>
      </c>
      <c r="SP34" s="9">
        <f>SP32-SP33</f>
        <v/>
      </c>
      <c r="SQ34" s="9">
        <f>SQ32-SQ33</f>
        <v/>
      </c>
      <c r="SR34" s="9">
        <f>SR32-SR33</f>
        <v/>
      </c>
      <c r="SS34" s="9">
        <f>SS32-SS33</f>
        <v/>
      </c>
      <c r="ST34" s="9">
        <f>ST32-ST33</f>
        <v/>
      </c>
      <c r="SU34" s="9">
        <f>SU32-SU33</f>
        <v/>
      </c>
      <c r="SV34" s="9">
        <f>SV32-SV33</f>
        <v/>
      </c>
      <c r="SW34" s="9">
        <f>SW32-SW33</f>
        <v/>
      </c>
      <c r="SX34" s="9">
        <f>SX32-SX33</f>
        <v/>
      </c>
      <c r="SY34" s="9">
        <f>SY32-SY33</f>
        <v/>
      </c>
      <c r="SZ34" s="9">
        <f>SZ32-SZ33</f>
        <v/>
      </c>
      <c r="TA34" s="9">
        <f>TA32-TA33</f>
        <v/>
      </c>
      <c r="TB34" s="9">
        <f>TB32-TB33</f>
        <v/>
      </c>
      <c r="TC34" s="9">
        <f>TC32-TC33</f>
        <v/>
      </c>
      <c r="TD34" s="9">
        <f>TD32-TD33</f>
        <v/>
      </c>
      <c r="TE34" s="9">
        <f>TE32-TE33</f>
        <v/>
      </c>
      <c r="TF34" s="9">
        <f>TF32-TF33</f>
        <v/>
      </c>
      <c r="TG34" s="9">
        <f>TG32-TG33</f>
        <v/>
      </c>
      <c r="TH34" s="9">
        <f>TH32-TH33</f>
        <v/>
      </c>
      <c r="TI34" s="9">
        <f>TI32-TI33</f>
        <v/>
      </c>
      <c r="TJ34" s="9">
        <f>TJ32-TJ33</f>
        <v/>
      </c>
      <c r="TK34" s="9">
        <f>TK32-TK33</f>
        <v/>
      </c>
      <c r="TL34" s="9">
        <f>TL32-TL33</f>
        <v/>
      </c>
      <c r="TM34" s="9">
        <f>TM32-TM33</f>
        <v/>
      </c>
      <c r="TN34" s="9">
        <f>TN32-TN33</f>
        <v/>
      </c>
      <c r="TO34" s="9">
        <f>TO32-TO33</f>
        <v/>
      </c>
      <c r="TP34" s="9">
        <f>TP32-TP33</f>
        <v/>
      </c>
      <c r="TQ34" s="9">
        <f>TQ32-TQ33</f>
        <v/>
      </c>
      <c r="TR34" s="9">
        <f>TR32-TR33</f>
        <v/>
      </c>
      <c r="TS34" s="144">
        <f>TS22+TS25+TS28+TS31-TS33</f>
        <v/>
      </c>
      <c r="TT34" s="9">
        <f>TT32-TT33</f>
        <v/>
      </c>
      <c r="TU34" s="9">
        <f>TU32-TU33</f>
        <v/>
      </c>
      <c r="TV34" s="9">
        <f>TV32-TV33</f>
        <v/>
      </c>
      <c r="TW34" s="9">
        <f>TW32-TW33</f>
        <v/>
      </c>
      <c r="TX34" s="9">
        <f>TX32-TX33</f>
        <v/>
      </c>
      <c r="TY34" s="9">
        <f>TY32-TY33</f>
        <v/>
      </c>
      <c r="TZ34" s="9">
        <f>TZ32-TZ33</f>
        <v/>
      </c>
      <c r="UA34" s="9">
        <f>UA32-UA33</f>
        <v/>
      </c>
      <c r="UB34" s="9">
        <f>UB32-UB33</f>
        <v/>
      </c>
      <c r="UC34" s="9">
        <f>UC32-UC33</f>
        <v/>
      </c>
      <c r="UD34" s="9">
        <f>UD32-UD33</f>
        <v/>
      </c>
      <c r="UE34" s="9">
        <f>UE32-UE33</f>
        <v/>
      </c>
      <c r="UF34" s="9">
        <f>UF32-UF33</f>
        <v/>
      </c>
      <c r="UG34" s="9">
        <f>UG32-UG33</f>
        <v/>
      </c>
      <c r="UH34" s="9">
        <f>UH32-UH33</f>
        <v/>
      </c>
      <c r="UI34" s="9">
        <f>UI32-UI33</f>
        <v/>
      </c>
      <c r="UJ34" s="9">
        <f>UJ32-UJ33</f>
        <v/>
      </c>
      <c r="UK34" s="9">
        <f>UK32-UK33</f>
        <v/>
      </c>
      <c r="UL34" s="9">
        <f>UL32-UL33</f>
        <v/>
      </c>
      <c r="UM34" s="9">
        <f>UM32-UM33</f>
        <v/>
      </c>
      <c r="UN34" s="9">
        <f>UN32-UN33</f>
        <v/>
      </c>
      <c r="UO34" s="9">
        <f>UO32-UO33</f>
        <v/>
      </c>
      <c r="UP34" s="9">
        <f>UP32-UP33</f>
        <v/>
      </c>
      <c r="UQ34" s="9">
        <f>UQ32-UQ33</f>
        <v/>
      </c>
      <c r="UR34" s="9">
        <f>UR32-UR33</f>
        <v/>
      </c>
      <c r="US34" s="9">
        <f>US32-US33</f>
        <v/>
      </c>
      <c r="UT34" s="9">
        <f>UT32-UT33</f>
        <v/>
      </c>
      <c r="UU34" s="9">
        <f>UU32-UU33</f>
        <v/>
      </c>
      <c r="UV34" s="9">
        <f>UV32-UV33</f>
        <v/>
      </c>
      <c r="UW34" s="9">
        <f>UW32-UW33</f>
        <v/>
      </c>
      <c r="UX34" s="9">
        <f>UX32-UX33</f>
        <v/>
      </c>
      <c r="UY34" s="144">
        <f>UY22+UY25+UY28+UY31-UY33</f>
        <v/>
      </c>
      <c r="UZ34" s="9">
        <f>UZ32-UZ33</f>
        <v/>
      </c>
      <c r="VA34" s="9">
        <f>VA32-VA33</f>
        <v/>
      </c>
      <c r="VB34" s="9">
        <f>VB32-VB33</f>
        <v/>
      </c>
      <c r="VC34" s="9">
        <f>VC32-VC33</f>
        <v/>
      </c>
      <c r="VD34" s="9">
        <f>VD32-VD33</f>
        <v/>
      </c>
      <c r="VE34" s="9">
        <f>VE32-VE33</f>
        <v/>
      </c>
      <c r="VF34" s="9">
        <f>VF32-VF33</f>
        <v/>
      </c>
      <c r="VG34" s="9">
        <f>VG32-VG33</f>
        <v/>
      </c>
      <c r="VH34" s="9">
        <f>VH32-VH33</f>
        <v/>
      </c>
      <c r="VI34" s="9">
        <f>VI32-VI33</f>
        <v/>
      </c>
      <c r="VJ34" s="9">
        <f>VJ32-VJ33</f>
        <v/>
      </c>
      <c r="VK34" s="9">
        <f>VK32-VK33</f>
        <v/>
      </c>
      <c r="VL34" s="9">
        <f>VL32-VL33</f>
        <v/>
      </c>
      <c r="VM34" s="9">
        <f>VM32-VM33</f>
        <v/>
      </c>
      <c r="VN34" s="9">
        <f>VN32-VN33</f>
        <v/>
      </c>
      <c r="VO34" s="9">
        <f>VO32-VO33</f>
        <v/>
      </c>
      <c r="VP34" s="9">
        <f>VP32-VP33</f>
        <v/>
      </c>
      <c r="VQ34" s="9">
        <f>VQ32-VQ33</f>
        <v/>
      </c>
      <c r="VR34" s="9">
        <f>VR32-VR33</f>
        <v/>
      </c>
      <c r="VS34" s="9">
        <f>VS32-VS33</f>
        <v/>
      </c>
      <c r="VT34" s="9">
        <f>VT32-VT33</f>
        <v/>
      </c>
      <c r="VU34" s="9">
        <f>VU32-VU33</f>
        <v/>
      </c>
      <c r="VV34" s="9">
        <f>VV32-VV33</f>
        <v/>
      </c>
      <c r="VW34" s="9">
        <f>VW32-VW33</f>
        <v/>
      </c>
      <c r="VX34" s="9">
        <f>VX32-VX33</f>
        <v/>
      </c>
      <c r="VY34" s="9">
        <f>VY32-VY33</f>
        <v/>
      </c>
      <c r="VZ34" s="9">
        <f>VZ32-VZ33</f>
        <v/>
      </c>
      <c r="WA34" s="9">
        <f>WA32-WA33</f>
        <v/>
      </c>
      <c r="WB34" s="144">
        <f>WB22+WB25+WB28+WB31-WB33</f>
        <v/>
      </c>
      <c r="WC34" s="9">
        <f>WC32-WC33</f>
        <v/>
      </c>
      <c r="WD34" s="9">
        <f>WD32-WD33</f>
        <v/>
      </c>
      <c r="WE34" s="9">
        <f>WE32-WE33</f>
        <v/>
      </c>
      <c r="WF34" s="9">
        <f>WF32-WF33</f>
        <v/>
      </c>
      <c r="WG34" s="9">
        <f>WG32-WG33</f>
        <v/>
      </c>
      <c r="WH34" s="9">
        <f>WH32-WH33</f>
        <v/>
      </c>
      <c r="WI34" s="9">
        <f>WI32-WI33</f>
        <v/>
      </c>
      <c r="WJ34" s="9">
        <f>WJ32-WJ33</f>
        <v/>
      </c>
      <c r="WK34" s="9">
        <f>WK32-WK33</f>
        <v/>
      </c>
      <c r="WL34" s="9">
        <f>WL32-WL33</f>
        <v/>
      </c>
      <c r="WM34" s="9">
        <f>WM32-WM33</f>
        <v/>
      </c>
      <c r="WN34" s="9">
        <f>WN32-WN33</f>
        <v/>
      </c>
      <c r="WO34" s="9">
        <f>WO32-WO33</f>
        <v/>
      </c>
      <c r="WP34" s="9">
        <f>WP32-WP33</f>
        <v/>
      </c>
      <c r="WQ34" s="9">
        <f>WQ32-WQ33</f>
        <v/>
      </c>
      <c r="WR34" s="9">
        <f>WR32-WR33</f>
        <v/>
      </c>
      <c r="WS34" s="9">
        <f>WS32-WS33</f>
        <v/>
      </c>
      <c r="WT34" s="9">
        <f>WT32-WT33</f>
        <v/>
      </c>
      <c r="WU34" s="9">
        <f>WU32-WU33</f>
        <v/>
      </c>
      <c r="WV34" s="9">
        <f>WV32-WV33</f>
        <v/>
      </c>
      <c r="WW34" s="9">
        <f>WW32-WW33</f>
        <v/>
      </c>
      <c r="WX34" s="9">
        <f>WX32-WX33</f>
        <v/>
      </c>
      <c r="WY34" s="9">
        <f>WY32-WY33</f>
        <v/>
      </c>
      <c r="WZ34" s="9">
        <f>WZ32-WZ33</f>
        <v/>
      </c>
      <c r="XA34" s="9">
        <f>XA32-XA33</f>
        <v/>
      </c>
      <c r="XB34" s="9">
        <f>XB32-XB33</f>
        <v/>
      </c>
      <c r="XC34" s="9">
        <f>XC32-XC33</f>
        <v/>
      </c>
      <c r="XD34" s="9">
        <f>XD32-XD33</f>
        <v/>
      </c>
      <c r="XE34" s="9">
        <f>XE32-XE33</f>
        <v/>
      </c>
      <c r="XF34" s="9">
        <f>XF32-XF33</f>
        <v/>
      </c>
      <c r="XG34" s="9">
        <f>XG32-XG33</f>
        <v/>
      </c>
      <c r="XH34" s="144">
        <f>XH22+XH25+XH28+XH31-XH33</f>
        <v/>
      </c>
      <c r="XI34" s="9">
        <f>XI32-XI33</f>
        <v/>
      </c>
      <c r="XJ34" s="9">
        <f>XJ32-XJ33</f>
        <v/>
      </c>
      <c r="XK34" s="9">
        <f>XK32-XK33</f>
        <v/>
      </c>
      <c r="XL34" s="9">
        <f>XL32-XL33</f>
        <v/>
      </c>
      <c r="XM34" s="9">
        <f>XM32-XM33</f>
        <v/>
      </c>
      <c r="XN34" s="9">
        <f>XN32-XN33</f>
        <v/>
      </c>
      <c r="XO34" s="9">
        <f>XO32-XO33</f>
        <v/>
      </c>
      <c r="XP34" s="9">
        <f>XP32-XP33</f>
        <v/>
      </c>
      <c r="XQ34" s="9">
        <f>XQ32-XQ33</f>
        <v/>
      </c>
      <c r="XR34" s="9">
        <f>XR32-XR33</f>
        <v/>
      </c>
      <c r="XS34" s="9">
        <f>XS32-XS33</f>
        <v/>
      </c>
      <c r="XT34" s="9">
        <f>XT32-XT33</f>
        <v/>
      </c>
      <c r="XU34" s="9">
        <f>XU32-XU33</f>
        <v/>
      </c>
      <c r="XV34" s="9">
        <f>XV32-XV33</f>
        <v/>
      </c>
      <c r="XW34" s="9">
        <f>XW32-XW33</f>
        <v/>
      </c>
      <c r="XX34" s="9">
        <f>XX32-XX33</f>
        <v/>
      </c>
      <c r="XY34" s="9">
        <f>XY32-XY33</f>
        <v/>
      </c>
      <c r="XZ34" s="9">
        <f>XZ32-XZ33</f>
        <v/>
      </c>
      <c r="YA34" s="9">
        <f>YA32-YA33</f>
        <v/>
      </c>
      <c r="YB34" s="9">
        <f>YB32-YB33</f>
        <v/>
      </c>
      <c r="YC34" s="9">
        <f>YC32-YC33</f>
        <v/>
      </c>
      <c r="YD34" s="9">
        <f>YD32-YD33</f>
        <v/>
      </c>
      <c r="YE34" s="9">
        <f>YE32-YE33</f>
        <v/>
      </c>
      <c r="YF34" s="9">
        <f>YF32-YF33</f>
        <v/>
      </c>
      <c r="YG34" s="9">
        <f>YG32-YG33</f>
        <v/>
      </c>
      <c r="YH34" s="9">
        <f>YH32-YH33</f>
        <v/>
      </c>
      <c r="YI34" s="9">
        <f>YI32-YI33</f>
        <v/>
      </c>
      <c r="YJ34" s="9">
        <f>YJ32-YJ33</f>
        <v/>
      </c>
      <c r="YK34" s="9">
        <f>YK32-YK33</f>
        <v/>
      </c>
      <c r="YL34" s="9">
        <f>YL32-YL33</f>
        <v/>
      </c>
      <c r="YM34" s="144">
        <f>YM22+YM25+YM28+YM31-YM33</f>
        <v/>
      </c>
      <c r="YN34" s="9">
        <f>YN32-YN33</f>
        <v/>
      </c>
      <c r="YO34" s="9">
        <f>YO32-YO33</f>
        <v/>
      </c>
      <c r="YP34" s="9">
        <f>YP32-YP33</f>
        <v/>
      </c>
      <c r="YQ34" s="9">
        <f>YQ32-YQ33</f>
        <v/>
      </c>
      <c r="YR34" s="9">
        <f>YR32-YR33</f>
        <v/>
      </c>
      <c r="YS34" s="9">
        <f>YS32-YS33</f>
        <v/>
      </c>
      <c r="YT34" s="9">
        <f>YT32-YT33</f>
        <v/>
      </c>
      <c r="YU34" s="9">
        <f>YU32-YU33</f>
        <v/>
      </c>
      <c r="YV34" s="9">
        <f>YV32-YV33</f>
        <v/>
      </c>
      <c r="YW34" s="9">
        <f>YW32-YW33</f>
        <v/>
      </c>
      <c r="YX34" s="9">
        <f>YX32-YX33</f>
        <v/>
      </c>
      <c r="YY34" s="9">
        <f>YY32-YY33</f>
        <v/>
      </c>
      <c r="YZ34" s="9">
        <f>YZ32-YZ33</f>
        <v/>
      </c>
      <c r="ZA34" s="9">
        <f>ZA32-ZA33</f>
        <v/>
      </c>
      <c r="ZB34" s="9">
        <f>ZB32-ZB33</f>
        <v/>
      </c>
      <c r="ZC34" s="9">
        <f>ZC32-ZC33</f>
        <v/>
      </c>
      <c r="ZD34" s="9">
        <f>ZD32-ZD33</f>
        <v/>
      </c>
      <c r="ZE34" s="9">
        <f>ZE32-ZE33</f>
        <v/>
      </c>
      <c r="ZF34" s="9">
        <f>ZF32-ZF33</f>
        <v/>
      </c>
      <c r="ZG34" s="9">
        <f>ZG32-ZG33</f>
        <v/>
      </c>
      <c r="ZH34" s="9">
        <f>ZH32-ZH33</f>
        <v/>
      </c>
      <c r="ZI34" s="9">
        <f>ZI32-ZI33</f>
        <v/>
      </c>
      <c r="ZJ34" s="9">
        <f>ZJ32-ZJ33</f>
        <v/>
      </c>
      <c r="ZK34" s="9">
        <f>ZK32-ZK33</f>
        <v/>
      </c>
      <c r="ZL34" s="9">
        <f>ZL32-ZL33</f>
        <v/>
      </c>
      <c r="ZM34" s="9">
        <f>ZM32-ZM33</f>
        <v/>
      </c>
      <c r="ZN34" s="9">
        <f>ZN32-ZN33</f>
        <v/>
      </c>
      <c r="ZO34" s="9">
        <f>ZO32-ZO33</f>
        <v/>
      </c>
      <c r="ZP34" s="9">
        <f>ZP32-ZP33</f>
        <v/>
      </c>
      <c r="ZQ34" s="9">
        <f>ZQ32-ZQ33</f>
        <v/>
      </c>
      <c r="ZR34" s="9">
        <f>ZR32-ZR33</f>
        <v/>
      </c>
      <c r="ZS34" s="144">
        <f>ZS22+ZS25+ZS28+ZS31-ZS33</f>
        <v/>
      </c>
      <c r="ZT34" s="9">
        <f>ZT32-ZT33</f>
        <v/>
      </c>
      <c r="ZU34" s="9">
        <f>ZU32-ZU33</f>
        <v/>
      </c>
      <c r="ZV34" s="9">
        <f>ZV32-ZV33</f>
        <v/>
      </c>
      <c r="ZW34" s="9">
        <f>ZW32-ZW33</f>
        <v/>
      </c>
      <c r="ZX34" s="9">
        <f>ZX32-ZX33</f>
        <v/>
      </c>
      <c r="ZY34" s="9">
        <f>ZY32-ZY33</f>
        <v/>
      </c>
      <c r="ZZ34" s="9">
        <f>ZZ32-ZZ33</f>
        <v/>
      </c>
      <c r="AAA34" s="9">
        <f>AAA32-AAA33</f>
        <v/>
      </c>
      <c r="AAB34" s="9">
        <f>AAB32-AAB33</f>
        <v/>
      </c>
      <c r="AAC34" s="9">
        <f>AAC32-AAC33</f>
        <v/>
      </c>
      <c r="AAD34" s="9">
        <f>AAD32-AAD33</f>
        <v/>
      </c>
      <c r="AAE34" s="9">
        <f>AAE32-AAE33</f>
        <v/>
      </c>
      <c r="AAF34" s="9">
        <f>AAF32-AAF33</f>
        <v/>
      </c>
      <c r="AAG34" s="9">
        <f>AAG32-AAG33</f>
        <v/>
      </c>
      <c r="AAH34" s="9">
        <f>AAH32-AAH33</f>
        <v/>
      </c>
      <c r="AAI34" s="9">
        <f>AAI32-AAI33</f>
        <v/>
      </c>
      <c r="AAJ34" s="9">
        <f>AAJ32-AAJ33</f>
        <v/>
      </c>
      <c r="AAK34" s="9">
        <f>AAK32-AAK33</f>
        <v/>
      </c>
      <c r="AAL34" s="9">
        <f>AAL32-AAL33</f>
        <v/>
      </c>
      <c r="AAM34" s="9">
        <f>AAM32-AAM33</f>
        <v/>
      </c>
      <c r="AAN34" s="9">
        <f>AAN32-AAN33</f>
        <v/>
      </c>
      <c r="AAO34" s="9">
        <f>AAO32-AAO33</f>
        <v/>
      </c>
      <c r="AAP34" s="9">
        <f>AAP32-AAP33</f>
        <v/>
      </c>
      <c r="AAQ34" s="9">
        <f>AAQ32-AAQ33</f>
        <v/>
      </c>
      <c r="AAR34" s="9">
        <f>AAR32-AAR33</f>
        <v/>
      </c>
      <c r="AAS34" s="9">
        <f>AAS32-AAS33</f>
        <v/>
      </c>
      <c r="AAT34" s="9">
        <f>AAT32-AAT33</f>
        <v/>
      </c>
      <c r="AAU34" s="9">
        <f>AAU32-AAU33</f>
        <v/>
      </c>
      <c r="AAV34" s="9">
        <f>AAV32-AAV33</f>
        <v/>
      </c>
      <c r="AAW34" s="9">
        <f>AAW32-AAW33</f>
        <v/>
      </c>
      <c r="AAX34" s="144">
        <f>AAX22+AAX25+AAX28+AAX31-AAX33</f>
        <v/>
      </c>
      <c r="AAY34" s="9">
        <f>AAY32-AAY33</f>
        <v/>
      </c>
      <c r="AAZ34" s="9">
        <f>AAZ32-AAZ33</f>
        <v/>
      </c>
      <c r="ABA34" s="9">
        <f>ABA32-ABA33</f>
        <v/>
      </c>
      <c r="ABB34" s="9">
        <f>ABB32-ABB33</f>
        <v/>
      </c>
      <c r="ABC34" s="9">
        <f>ABC32-ABC33</f>
        <v/>
      </c>
      <c r="ABD34" s="9">
        <f>ABD32-ABD33</f>
        <v/>
      </c>
      <c r="ABE34" s="9">
        <f>ABE32-ABE33</f>
        <v/>
      </c>
      <c r="ABF34" s="9">
        <f>ABF32-ABF33</f>
        <v/>
      </c>
      <c r="ABG34" s="9">
        <f>ABG32-ABG33</f>
        <v/>
      </c>
      <c r="ABH34" s="9">
        <f>ABH32-ABH33</f>
        <v/>
      </c>
      <c r="ABI34" s="9">
        <f>ABI32-ABI33</f>
        <v/>
      </c>
      <c r="ABJ34" s="9">
        <f>ABJ32-ABJ33</f>
        <v/>
      </c>
      <c r="ABK34" s="9">
        <f>ABK32-ABK33</f>
        <v/>
      </c>
      <c r="ABL34" s="9">
        <f>ABL32-ABL33</f>
        <v/>
      </c>
      <c r="ABM34" s="9">
        <f>ABM32-ABM33</f>
        <v/>
      </c>
      <c r="ABN34" s="9">
        <f>ABN32-ABN33</f>
        <v/>
      </c>
      <c r="ABO34" s="9">
        <f>ABO32-ABO33</f>
        <v/>
      </c>
      <c r="ABP34" s="9">
        <f>ABP32-ABP33</f>
        <v/>
      </c>
      <c r="ABQ34" s="9">
        <f>ABQ32-ABQ33</f>
        <v/>
      </c>
      <c r="ABR34" s="9">
        <f>ABR32-ABR33</f>
        <v/>
      </c>
      <c r="ABS34" s="9">
        <f>ABS32-ABS33</f>
        <v/>
      </c>
      <c r="ABT34" s="9">
        <f>ABT32-ABT33</f>
        <v/>
      </c>
      <c r="ABU34" s="9">
        <f>ABU32-ABU33</f>
        <v/>
      </c>
      <c r="ABV34" s="9">
        <f>ABV32-ABV33</f>
        <v/>
      </c>
      <c r="ABW34" s="9">
        <f>ABW32-ABW33</f>
        <v/>
      </c>
      <c r="ABX34" s="9">
        <f>ABX32-ABX33</f>
        <v/>
      </c>
      <c r="ABY34" s="9">
        <f>ABY32-ABY33</f>
        <v/>
      </c>
      <c r="ABZ34" s="9">
        <f>ABZ32-ABZ33</f>
        <v/>
      </c>
      <c r="ACA34" s="9">
        <f>ACA32-ACA33</f>
        <v/>
      </c>
      <c r="ACB34" s="9">
        <f>ACB32-ACB33</f>
        <v/>
      </c>
      <c r="ACC34" s="9">
        <f>ACC32-ACC33</f>
        <v/>
      </c>
      <c r="ACD34" s="127">
        <f>SUM(AAY34:ACC34)</f>
        <v/>
      </c>
      <c r="ACE34" s="9">
        <f>ACE32-ACE33</f>
        <v/>
      </c>
      <c r="ACF34" s="9">
        <f>ACF32-ACF33</f>
        <v/>
      </c>
      <c r="ACG34" s="9">
        <f>ACG32-ACG33</f>
        <v/>
      </c>
      <c r="ACH34" s="9">
        <f>ACH32-ACH33</f>
        <v/>
      </c>
      <c r="ACI34" s="9">
        <f>ACI32-ACI33</f>
        <v/>
      </c>
      <c r="ACJ34" s="9">
        <f>ACJ32-ACJ33</f>
        <v/>
      </c>
      <c r="ACK34" s="9">
        <f>ACK32-ACK33</f>
        <v/>
      </c>
      <c r="ACL34" s="9">
        <f>ACL32-ACL33</f>
        <v/>
      </c>
      <c r="ACM34" s="9">
        <f>ACM32-ACM33</f>
        <v/>
      </c>
      <c r="ACN34" s="9">
        <f>ACN32-ACN33</f>
        <v/>
      </c>
      <c r="ACO34" s="9">
        <f>ACO32-ACO33</f>
        <v/>
      </c>
      <c r="ACP34" s="9">
        <f>ACP32-ACP33</f>
        <v/>
      </c>
      <c r="ACQ34" s="9">
        <f>ACQ32-ACQ33</f>
        <v/>
      </c>
      <c r="ACR34" s="9">
        <f>ACR32-ACR33</f>
        <v/>
      </c>
      <c r="ACS34" s="9">
        <f>ACS32-ACS33</f>
        <v/>
      </c>
      <c r="ACT34" s="9">
        <f>ACT32-ACT33</f>
        <v/>
      </c>
      <c r="ACU34" s="9">
        <f>ACU32-ACU33</f>
        <v/>
      </c>
      <c r="ACV34" s="9">
        <f>ACV32-ACV33</f>
        <v/>
      </c>
      <c r="ACW34" s="9">
        <f>ACW32-ACW33</f>
        <v/>
      </c>
      <c r="ACX34" s="9">
        <f>ACX32-ACX33</f>
        <v/>
      </c>
      <c r="ACY34" s="9">
        <f>ACY32-ACY33</f>
        <v/>
      </c>
      <c r="ACZ34" s="9">
        <f>ACZ32-ACZ33</f>
        <v/>
      </c>
      <c r="ADA34" s="9">
        <f>ADA32-ADA33</f>
        <v/>
      </c>
      <c r="ADB34" s="9">
        <f>ADB32-ADB33</f>
        <v/>
      </c>
      <c r="ADC34" s="9">
        <f>ADC32-ADC33</f>
        <v/>
      </c>
      <c r="ADD34" s="9">
        <f>ADD32-ADD33</f>
        <v/>
      </c>
      <c r="ADE34" s="9">
        <f>ADE32-ADE33</f>
        <v/>
      </c>
      <c r="ADF34" s="9">
        <f>ADF32-ADF33</f>
        <v/>
      </c>
      <c r="ADG34" s="9">
        <f>ADG32-ADG33</f>
        <v/>
      </c>
      <c r="ADH34" s="9">
        <f>ADH32-ADH33</f>
        <v/>
      </c>
      <c r="ADI34" s="9">
        <f>ADI32-ADI33</f>
        <v/>
      </c>
      <c r="ADJ34" s="127">
        <f>SUM(ACE34:ADI34)</f>
        <v/>
      </c>
      <c r="ADK34" s="9">
        <f>ADK32-ADK33</f>
        <v/>
      </c>
      <c r="ADL34" s="9">
        <f>ADL32-ADL33</f>
        <v/>
      </c>
      <c r="ADM34" s="9">
        <f>ADM32-ADM33</f>
        <v/>
      </c>
      <c r="ADN34" s="9">
        <f>ADN32-ADN33</f>
        <v/>
      </c>
      <c r="ADO34" s="9">
        <f>ADO32-ADO33</f>
        <v/>
      </c>
      <c r="ADP34" s="9">
        <f>ADP32-ADP33</f>
        <v/>
      </c>
      <c r="ADQ34" s="9">
        <f>ADQ32-ADQ33</f>
        <v/>
      </c>
      <c r="ADR34" s="9">
        <f>ADR32-ADR33</f>
        <v/>
      </c>
      <c r="ADS34" s="9">
        <f>ADS32-ADS33</f>
        <v/>
      </c>
      <c r="ADT34" s="9">
        <f>ADT32-ADT33</f>
        <v/>
      </c>
      <c r="ADU34" s="9">
        <f>ADU32-ADU33</f>
        <v/>
      </c>
      <c r="ADV34" s="9">
        <f>ADV32-ADV33</f>
        <v/>
      </c>
      <c r="ADW34" s="9">
        <f>ADW32-ADW33</f>
        <v/>
      </c>
      <c r="ADX34" s="9">
        <f>ADX32-ADX33</f>
        <v/>
      </c>
      <c r="ADY34" s="9">
        <f>ADY32-ADY33</f>
        <v/>
      </c>
      <c r="ADZ34" s="9">
        <f>ADZ32-ADZ33</f>
        <v/>
      </c>
      <c r="AEA34" s="9">
        <f>AEA32-AEA33</f>
        <v/>
      </c>
      <c r="AEB34" s="9">
        <f>AEB32-AEB33</f>
        <v/>
      </c>
      <c r="AEC34" s="9">
        <f>AEC32-AEC33</f>
        <v/>
      </c>
      <c r="AED34" s="9">
        <f>AED32-AED33</f>
        <v/>
      </c>
      <c r="AEE34" s="9">
        <f>AEE32-AEE33</f>
        <v/>
      </c>
      <c r="AEF34" s="9">
        <f>AEF32-AEF33</f>
        <v/>
      </c>
      <c r="AEG34" s="9">
        <f>AEG32-AEG33</f>
        <v/>
      </c>
      <c r="AEH34" s="9">
        <f>AEH32-AEH33</f>
        <v/>
      </c>
      <c r="AEI34" s="9">
        <f>AEI32-AEI33</f>
        <v/>
      </c>
      <c r="AEJ34" s="9">
        <f>AEJ32-AEJ33</f>
        <v/>
      </c>
      <c r="AEK34" s="9">
        <f>AEK32-AEK33</f>
        <v/>
      </c>
      <c r="AEL34" s="9">
        <f>AEL32-AEL33</f>
        <v/>
      </c>
      <c r="AEM34" s="9">
        <f>AEM32-AEM33</f>
        <v/>
      </c>
      <c r="AEN34" s="9">
        <f>AEN32-AEN33</f>
        <v/>
      </c>
      <c r="AEO34" s="127">
        <f>SUM(ADK34:AEN34)</f>
        <v/>
      </c>
      <c r="AEP34" s="9">
        <f>AEP32-AEP33</f>
        <v/>
      </c>
      <c r="AEQ34" s="9">
        <f>AEQ32-AEQ33</f>
        <v/>
      </c>
      <c r="AER34" s="9">
        <f>AER32-AER33</f>
        <v/>
      </c>
      <c r="AES34" s="9">
        <f>AES32-AES33</f>
        <v/>
      </c>
      <c r="AET34" s="9">
        <f>AET32-AET33</f>
        <v/>
      </c>
      <c r="AEU34" s="9">
        <f>AEU32-AEU33</f>
        <v/>
      </c>
      <c r="AEV34" s="9">
        <f>AEV32-AEV33</f>
        <v/>
      </c>
      <c r="AEW34" s="9">
        <f>AEW32-AEW33</f>
        <v/>
      </c>
      <c r="AEX34" s="9">
        <f>AEX32-AEX33</f>
        <v/>
      </c>
      <c r="AEY34" s="9">
        <f>AEY32-AEY33</f>
        <v/>
      </c>
      <c r="AEZ34" s="9">
        <f>AEZ32-AEZ33</f>
        <v/>
      </c>
      <c r="AFA34" s="9">
        <f>AFA32-AFA33</f>
        <v/>
      </c>
      <c r="AFB34" s="9">
        <f>AFB32-AFB33</f>
        <v/>
      </c>
      <c r="AFC34" s="9">
        <f>AFC32-AFC33</f>
        <v/>
      </c>
      <c r="AFD34" s="9">
        <f>AFD32-AFD33</f>
        <v/>
      </c>
      <c r="AFE34" s="9">
        <f>AFE32-AFE33</f>
        <v/>
      </c>
      <c r="AFF34" s="9">
        <f>AFF32-AFF33</f>
        <v/>
      </c>
      <c r="AFG34" s="9">
        <f>AFG32-AFG33</f>
        <v/>
      </c>
      <c r="AFH34" s="9">
        <f>AFH32-AFH33</f>
        <v/>
      </c>
      <c r="AFI34" s="9">
        <f>AFI32-AFI33</f>
        <v/>
      </c>
      <c r="AFJ34" s="9">
        <f>AFJ32-AFJ33</f>
        <v/>
      </c>
      <c r="AFK34" s="9">
        <f>AFK32-AFK33</f>
        <v/>
      </c>
      <c r="AFL34" s="9">
        <f>AFL32-AFL33</f>
        <v/>
      </c>
      <c r="AFM34" s="9">
        <f>AFM32-AFM33</f>
        <v/>
      </c>
      <c r="AFN34" s="9">
        <f>AFN32-AFN33</f>
        <v/>
      </c>
      <c r="AFO34" s="9">
        <f>AFO32-AFO33</f>
        <v/>
      </c>
      <c r="AFP34" s="9">
        <f>AFP32-AFP33</f>
        <v/>
      </c>
      <c r="AFQ34" s="9">
        <f>AFQ32-AFQ33</f>
        <v/>
      </c>
      <c r="AFR34" s="9">
        <f>AFR32-AFR33</f>
        <v/>
      </c>
      <c r="AFS34" s="9">
        <f>AFS32-AFS33</f>
        <v/>
      </c>
      <c r="AFT34" s="9">
        <f>AFT32-AFT33</f>
        <v/>
      </c>
      <c r="AFU34" s="127">
        <f>SUM(AEP34:AFT34)</f>
        <v/>
      </c>
      <c r="AFV34" s="9">
        <f>AFV32-AFV33</f>
        <v/>
      </c>
      <c r="AFW34" s="9">
        <f>AFW32-AFW33</f>
        <v/>
      </c>
      <c r="AFX34" s="9">
        <f>AFX32-AFX33</f>
        <v/>
      </c>
      <c r="AFY34" s="9">
        <f>AFY32-AFY33</f>
        <v/>
      </c>
      <c r="AFZ34" s="9">
        <f>AFZ32-AFZ33</f>
        <v/>
      </c>
      <c r="AGA34" s="9">
        <f>AGA32-AGA33</f>
        <v/>
      </c>
      <c r="AGB34" s="9">
        <f>AGB32-AGB33</f>
        <v/>
      </c>
      <c r="AGC34" s="9">
        <f>AGC32-AGC33</f>
        <v/>
      </c>
      <c r="AGD34" s="9">
        <f>AGD32-AGD33</f>
        <v/>
      </c>
      <c r="AGE34" s="9">
        <f>AGE32-AGE33</f>
        <v/>
      </c>
      <c r="AGF34" s="9">
        <f>AGF32-AGF33</f>
        <v/>
      </c>
      <c r="AGG34" s="9">
        <f>AGG32-AGG33</f>
        <v/>
      </c>
      <c r="AGH34" s="9">
        <f>AGH32-AGH33</f>
        <v/>
      </c>
      <c r="AGI34" s="9">
        <f>AGI32-AGI33</f>
        <v/>
      </c>
      <c r="AGJ34" s="9">
        <f>AGJ32-AGJ33</f>
        <v/>
      </c>
      <c r="AGK34" s="9">
        <f>AGK32-AGK33</f>
        <v/>
      </c>
      <c r="AGL34" s="9">
        <f>AGL32-AGL33</f>
        <v/>
      </c>
      <c r="AGM34" s="9">
        <f>AGM32-AGM33</f>
        <v/>
      </c>
      <c r="AGN34" s="9">
        <f>AGN32-AGN33</f>
        <v/>
      </c>
      <c r="AGO34" s="9">
        <f>AGO32-AGO33</f>
        <v/>
      </c>
      <c r="AGP34" s="9">
        <f>AGP32-AGP33</f>
        <v/>
      </c>
      <c r="AGQ34" s="9">
        <f>AGQ32-AGQ33</f>
        <v/>
      </c>
      <c r="AGR34" s="9">
        <f>AGR32-AGR33</f>
        <v/>
      </c>
      <c r="AGS34" s="9">
        <f>AGS32-AGS33</f>
        <v/>
      </c>
      <c r="AGT34" s="9">
        <f>AGT32-AGT33</f>
        <v/>
      </c>
      <c r="AGU34" s="9">
        <f>AGU32-AGU33</f>
        <v/>
      </c>
      <c r="AGV34" s="9">
        <f>AGV32-AGV33</f>
        <v/>
      </c>
      <c r="AGW34" s="9">
        <f>AGW32-AGW33</f>
        <v/>
      </c>
      <c r="AGX34" s="9">
        <f>AGX32-AGX33</f>
        <v/>
      </c>
      <c r="AGY34" s="9">
        <f>AGY32-AGY33</f>
        <v/>
      </c>
      <c r="AGZ34" s="127">
        <f>SUM(AFV34:AGY34)</f>
        <v/>
      </c>
      <c r="AHA34" s="9">
        <f>AHA32-AHA33</f>
        <v/>
      </c>
      <c r="AHB34" s="9">
        <f>AHB32-AHB33</f>
        <v/>
      </c>
      <c r="AHC34" s="9">
        <f>AHC32-AHC33</f>
        <v/>
      </c>
      <c r="AHD34" s="9">
        <f>AHD32-AHD33</f>
        <v/>
      </c>
      <c r="AHE34" s="9">
        <f>AHE32-AHE33</f>
        <v/>
      </c>
      <c r="AHF34" s="9">
        <f>AHF32-AHF33</f>
        <v/>
      </c>
      <c r="AHG34" s="9">
        <f>AHG32-AHG33</f>
        <v/>
      </c>
      <c r="AHH34" s="9">
        <f>AHH32-AHH33</f>
        <v/>
      </c>
      <c r="AHI34" s="9">
        <f>AHI32-AHI33</f>
        <v/>
      </c>
      <c r="AHJ34" s="9">
        <f>AHJ32-AHJ33</f>
        <v/>
      </c>
      <c r="AHK34" s="9">
        <f>AHK32-AHK33</f>
        <v/>
      </c>
      <c r="AHL34" s="9">
        <f>AHL32-AHL33</f>
        <v/>
      </c>
      <c r="AHM34" s="9">
        <f>AHM32-AHM33</f>
        <v/>
      </c>
      <c r="AHN34" s="9">
        <f>AHN32-AHN33</f>
        <v/>
      </c>
      <c r="AHO34" s="9">
        <f>AHO32-AHO33</f>
        <v/>
      </c>
      <c r="AHP34" s="9">
        <f>AHP32-AHP33</f>
        <v/>
      </c>
      <c r="AHQ34" s="9">
        <f>AHQ32-AHQ33</f>
        <v/>
      </c>
      <c r="AHR34" s="9">
        <f>AHR32-AHR33</f>
        <v/>
      </c>
      <c r="AHS34" s="9">
        <f>AHS32-AHS33</f>
        <v/>
      </c>
      <c r="AHT34" s="9">
        <f>AHT32-AHT33</f>
        <v/>
      </c>
      <c r="AHU34" s="9">
        <f>AHU32-AHU33</f>
        <v/>
      </c>
      <c r="AHV34" s="9">
        <f>AHV32-AHV33</f>
        <v/>
      </c>
      <c r="AHW34" s="9">
        <f>AHW32-AHW33</f>
        <v/>
      </c>
      <c r="AHX34" s="9">
        <f>AHX32-AHX33</f>
        <v/>
      </c>
      <c r="AHY34" s="9">
        <f>AHY32-AHY33</f>
        <v/>
      </c>
      <c r="AHZ34" s="9">
        <f>AHZ32-AHZ33</f>
        <v/>
      </c>
      <c r="AIA34" s="9">
        <f>AIA32-AIA33</f>
        <v/>
      </c>
      <c r="AIB34" s="9">
        <f>AIB32-AIB33</f>
        <v/>
      </c>
      <c r="AIC34" s="9">
        <f>AIC32-AIC33</f>
        <v/>
      </c>
      <c r="AID34" s="9">
        <f>AID32-AID33</f>
        <v/>
      </c>
      <c r="AIE34" s="9">
        <f>AIE32-AIE33</f>
        <v/>
      </c>
      <c r="AIF34" s="127">
        <f>SUM(AHB34:AIE34)</f>
        <v/>
      </c>
      <c r="AIG34" s="9">
        <f>AIG32-AIG33</f>
        <v/>
      </c>
      <c r="AIH34" s="9">
        <f>AIH32-AIH33</f>
        <v/>
      </c>
      <c r="AII34" s="9">
        <f>AII32-AII33</f>
        <v/>
      </c>
      <c r="AIJ34" s="9">
        <f>AIJ32-AIJ33</f>
        <v/>
      </c>
      <c r="AIK34" s="9">
        <f>AIK32-AIK33</f>
        <v/>
      </c>
      <c r="AIL34" s="9">
        <f>AIL32-AIL33</f>
        <v/>
      </c>
      <c r="AIM34" s="9">
        <f>AIM32-AIM33</f>
        <v/>
      </c>
      <c r="AIN34" s="9">
        <f>AIN32-AIN33</f>
        <v/>
      </c>
      <c r="AIO34" s="9">
        <f>AIO32-AIO33</f>
        <v/>
      </c>
      <c r="AIP34" s="9">
        <f>AIP32-AIP33</f>
        <v/>
      </c>
      <c r="AIQ34" s="9">
        <f>AIQ32-AIQ33</f>
        <v/>
      </c>
      <c r="AIR34" s="9">
        <f>AIR32-AIR33</f>
        <v/>
      </c>
      <c r="AIS34" s="9">
        <f>AIS32-AIS33</f>
        <v/>
      </c>
      <c r="AIT34" s="9">
        <f>AIT32-AIT33</f>
        <v/>
      </c>
      <c r="AIU34" s="9">
        <f>AIU32-AIU33</f>
        <v/>
      </c>
      <c r="AIV34" s="9">
        <f>AIV32-AIV33</f>
        <v/>
      </c>
      <c r="AIW34" s="9">
        <f>AIW32-AIW33</f>
        <v/>
      </c>
      <c r="AIX34" s="9">
        <f>AIX32-AIX33</f>
        <v/>
      </c>
      <c r="AIY34" s="9">
        <f>AIY32-AIY33</f>
        <v/>
      </c>
      <c r="AIZ34" s="9">
        <f>AIZ32-AIZ33</f>
        <v/>
      </c>
      <c r="AJA34" s="9">
        <f>AJA32-AJA33</f>
        <v/>
      </c>
      <c r="AJB34" s="9">
        <f>AJB32-AJB33</f>
        <v/>
      </c>
      <c r="AJC34" s="9">
        <f>AJC32-AJC33</f>
        <v/>
      </c>
      <c r="AJD34" s="9">
        <f>AJD32-AJD33</f>
        <v/>
      </c>
      <c r="AJE34" s="9">
        <f>AJE32-AJE33</f>
        <v/>
      </c>
      <c r="AJF34" s="9">
        <f>AJF32-AJF33</f>
        <v/>
      </c>
      <c r="AJG34" s="9">
        <f>AJG32-AJG33</f>
        <v/>
      </c>
      <c r="AJH34" s="9">
        <f>AJH32-AJH33</f>
        <v/>
      </c>
      <c r="AJI34" s="9">
        <f>AJI32-AJI33</f>
        <v/>
      </c>
      <c r="AJJ34" s="9">
        <f>AJJ32-AJJ33</f>
        <v/>
      </c>
      <c r="AJK34" s="9">
        <f>AJK32-AJK33</f>
        <v/>
      </c>
      <c r="AJL34" s="127">
        <f>SUM(AIH34:AJK34)</f>
        <v/>
      </c>
      <c r="AJM34" s="9">
        <f>AJM32-AJM33</f>
        <v/>
      </c>
      <c r="AJN34" s="9">
        <f>AJN32-AJN33</f>
        <v/>
      </c>
      <c r="AJO34" s="9">
        <f>AJO32-AJO33</f>
        <v/>
      </c>
      <c r="AJP34" s="9">
        <f>AJP32-AJP33</f>
        <v/>
      </c>
      <c r="AJQ34" s="9">
        <f>AJQ32-AJQ33</f>
        <v/>
      </c>
      <c r="AJR34" s="9">
        <f>AJR32-AJR33</f>
        <v/>
      </c>
      <c r="AJS34" s="9">
        <f>AJS32-AJS33</f>
        <v/>
      </c>
      <c r="AJT34" s="9">
        <f>AJT32-AJT33</f>
        <v/>
      </c>
      <c r="AJU34" s="9">
        <f>AJU32-AJU33</f>
        <v/>
      </c>
      <c r="AJV34" s="9">
        <f>AJV32-AJV33</f>
        <v/>
      </c>
      <c r="AJW34" s="9">
        <f>AJW32-AJW33</f>
        <v/>
      </c>
      <c r="AJX34" s="9">
        <f>AJX32-AJX33</f>
        <v/>
      </c>
      <c r="AJY34" s="9">
        <f>AJY32-AJY33</f>
        <v/>
      </c>
      <c r="AJZ34" s="9">
        <f>AJZ32-AJZ33</f>
        <v/>
      </c>
      <c r="AKA34" s="9">
        <f>AKA32-AKA33</f>
        <v/>
      </c>
      <c r="AKB34" s="9">
        <f>AKB32-AKB33</f>
        <v/>
      </c>
      <c r="AKC34" s="9">
        <f>AKC32-AKC33</f>
        <v/>
      </c>
      <c r="AKD34" s="9">
        <f>AKD32-AKD33</f>
        <v/>
      </c>
      <c r="AKE34" s="9">
        <f>AKE32-AKE33</f>
        <v/>
      </c>
      <c r="AKF34" s="9">
        <f>AKF32-AKF33</f>
        <v/>
      </c>
      <c r="AKG34" s="9">
        <f>AKG32-AKG33</f>
        <v/>
      </c>
      <c r="AKH34" s="9">
        <f>AKH32-AKH33</f>
        <v/>
      </c>
      <c r="AKI34" s="9">
        <f>AKI32-AKI33</f>
        <v/>
      </c>
      <c r="AKJ34" s="9">
        <f>AKJ32-AKJ33</f>
        <v/>
      </c>
      <c r="AKK34" s="9">
        <f>AKK32-AKK33</f>
        <v/>
      </c>
      <c r="AKL34" s="9">
        <f>AKL32-AKL33</f>
        <v/>
      </c>
      <c r="AKM34" s="9">
        <f>AKM32-AKM33</f>
        <v/>
      </c>
      <c r="AKN34" s="9">
        <f>AKN32-AKN33</f>
        <v/>
      </c>
      <c r="AKO34" s="127">
        <f>SUM(AJM34:AKN34)</f>
        <v/>
      </c>
      <c r="AKP34" s="9">
        <f>AKP32-AKP33</f>
        <v/>
      </c>
      <c r="AKQ34" s="9">
        <f>AKQ32-AKQ33</f>
        <v/>
      </c>
      <c r="AKR34" s="9">
        <f>AKR32-AKR33</f>
        <v/>
      </c>
      <c r="AKS34" s="9">
        <f>AKS32-AKS33</f>
        <v/>
      </c>
      <c r="AKT34" s="9">
        <f>AKT32-AKT33</f>
        <v/>
      </c>
      <c r="AKU34" s="9">
        <f>AKU32-AKU33</f>
        <v/>
      </c>
      <c r="AKV34" s="9">
        <f>AKV32-AKV33</f>
        <v/>
      </c>
      <c r="AKW34" s="9">
        <f>AKW32-AKW33</f>
        <v/>
      </c>
      <c r="AKX34" s="9">
        <f>AKX32-AKX33</f>
        <v/>
      </c>
      <c r="AKY34" s="9">
        <f>AKY32-AKY33</f>
        <v/>
      </c>
      <c r="AKZ34" s="9">
        <f>AKZ32-AKZ33</f>
        <v/>
      </c>
      <c r="ALA34" s="9">
        <f>ALA32-ALA33</f>
        <v/>
      </c>
      <c r="ALB34" s="9">
        <f>ALB32-ALB33</f>
        <v/>
      </c>
      <c r="ALC34" s="9">
        <f>ALC32-ALC33</f>
        <v/>
      </c>
      <c r="ALD34" s="9">
        <f>ALD32-ALD33</f>
        <v/>
      </c>
      <c r="ALE34" s="9">
        <f>ALE32-ALE33</f>
        <v/>
      </c>
      <c r="ALF34" s="9">
        <f>ALF32-ALF33</f>
        <v/>
      </c>
      <c r="ALG34" s="9">
        <f>ALG32-ALG33</f>
        <v/>
      </c>
      <c r="ALH34" s="9">
        <f>ALH32-ALH33</f>
        <v/>
      </c>
      <c r="ALI34" s="9">
        <f>ALI32-ALI33</f>
        <v/>
      </c>
      <c r="ALJ34" s="9">
        <f>ALJ32-ALJ33</f>
        <v/>
      </c>
      <c r="ALK34" s="9">
        <f>ALK32-ALK33</f>
        <v/>
      </c>
      <c r="ALL34" s="9">
        <f>ALL32-ALL33</f>
        <v/>
      </c>
      <c r="ALM34" s="9">
        <f>ALM32-ALM33</f>
        <v/>
      </c>
      <c r="ALN34" s="9">
        <f>ALN32-ALN33</f>
        <v/>
      </c>
      <c r="ALO34" s="9">
        <f>ALO32-ALO33</f>
        <v/>
      </c>
      <c r="ALP34" s="9">
        <f>ALP32-ALP33</f>
        <v/>
      </c>
      <c r="ALQ34" s="9">
        <f>ALQ32-ALQ33</f>
        <v/>
      </c>
      <c r="ALR34" s="9">
        <f>ALR32-ALR33</f>
        <v/>
      </c>
      <c r="ALS34" s="9">
        <f>ALS32-ALS33</f>
        <v/>
      </c>
      <c r="ALT34" s="9">
        <f>ALT32-ALT33</f>
        <v/>
      </c>
      <c r="ALU34" s="127">
        <f>SUM(AKP34:ALT34)</f>
        <v/>
      </c>
      <c r="ALV34" s="9">
        <f>ALV32-ALV33</f>
        <v/>
      </c>
      <c r="ALW34" s="9">
        <f>ALW32-ALW33</f>
        <v/>
      </c>
      <c r="ALX34" s="9">
        <f>ALX32-ALX33</f>
        <v/>
      </c>
      <c r="ALY34" s="9">
        <f>ALY32-ALY33</f>
        <v/>
      </c>
      <c r="ALZ34" s="9">
        <f>ALZ32-ALZ33</f>
        <v/>
      </c>
      <c r="AMA34" s="9">
        <f>AMA32-AMA33</f>
        <v/>
      </c>
      <c r="AMB34" s="9">
        <f>AMB32-AMB33</f>
        <v/>
      </c>
      <c r="AMC34" s="9">
        <f>AMC32-AMC33</f>
        <v/>
      </c>
      <c r="AMD34" s="9">
        <f>AMD32-AMD33</f>
        <v/>
      </c>
      <c r="AME34" s="9">
        <f>AME32-AME33</f>
        <v/>
      </c>
      <c r="AMF34" s="9">
        <f>AMF32-AMF33</f>
        <v/>
      </c>
      <c r="AMG34" s="9">
        <f>AMG32-AMG33</f>
        <v/>
      </c>
      <c r="AMH34" s="9">
        <f>AMH32-AMH33</f>
        <v/>
      </c>
      <c r="AMI34" s="9">
        <f>AMI32-AMI33</f>
        <v/>
      </c>
      <c r="AMJ34" s="9">
        <f>AMJ32-AMJ33</f>
        <v/>
      </c>
      <c r="AMK34" s="9">
        <f>AMK32-AMK33</f>
        <v/>
      </c>
      <c r="AML34" s="9">
        <f>AML32-AML33</f>
        <v/>
      </c>
      <c r="AMM34" s="9">
        <f>AMM32-AMM33</f>
        <v/>
      </c>
      <c r="AMN34" s="9">
        <f>AMN32-AMN33</f>
        <v/>
      </c>
      <c r="AMO34" s="9">
        <f>AMO32-AMO33</f>
        <v/>
      </c>
      <c r="AMP34" s="9">
        <f>AMP32-AMP33</f>
        <v/>
      </c>
      <c r="AMQ34" s="9">
        <f>AMQ32-AMQ33</f>
        <v/>
      </c>
      <c r="AMR34" s="9">
        <f>AMR32-AMR33</f>
        <v/>
      </c>
      <c r="AMS34" s="9">
        <f>AMS32-AMS33</f>
        <v/>
      </c>
      <c r="AMT34" s="9">
        <f>AMT32-AMT33</f>
        <v/>
      </c>
      <c r="AMU34" s="9">
        <f>AMU32-AMU33</f>
        <v/>
      </c>
      <c r="AMV34" s="9">
        <f>AMV32-AMV33</f>
        <v/>
      </c>
      <c r="AMW34" s="9">
        <f>AMW32-AMW33</f>
        <v/>
      </c>
      <c r="AMX34" s="9">
        <f>AMX32-AMX33</f>
        <v/>
      </c>
      <c r="AMY34" s="9">
        <f>AMY32-AMY33</f>
        <v/>
      </c>
      <c r="AMZ34" s="127">
        <f>SUM(ALV34:AMY34)</f>
        <v/>
      </c>
      <c r="ANA34" s="9">
        <f>ANA32-ANA33</f>
        <v/>
      </c>
      <c r="ANB34" s="9">
        <f>ANB32-ANB33</f>
        <v/>
      </c>
      <c r="ANC34" s="9">
        <f>ANC32-ANC33</f>
        <v/>
      </c>
      <c r="AND34" s="9">
        <f>AND32-AND33</f>
        <v/>
      </c>
      <c r="ANE34" s="9">
        <f>ANE32-ANE33</f>
        <v/>
      </c>
      <c r="ANF34" s="9">
        <f>ANF32-ANF33</f>
        <v/>
      </c>
      <c r="ANG34" s="9">
        <f>ANG32-ANG33</f>
        <v/>
      </c>
      <c r="ANH34" s="9">
        <f>ANH32-ANH33</f>
        <v/>
      </c>
      <c r="ANI34" s="9">
        <f>ANI32-ANI33</f>
        <v/>
      </c>
      <c r="ANJ34" s="9">
        <f>ANJ32-ANJ33</f>
        <v/>
      </c>
      <c r="ANK34" s="9">
        <f>ANK32-ANK33</f>
        <v/>
      </c>
      <c r="ANL34" s="9">
        <f>ANL32-ANL33</f>
        <v/>
      </c>
      <c r="ANM34" s="9">
        <f>ANM32-ANM33</f>
        <v/>
      </c>
      <c r="ANN34" s="9">
        <f>ANN32-ANN33</f>
        <v/>
      </c>
      <c r="ANO34" s="9">
        <f>ANO32-ANO33</f>
        <v/>
      </c>
      <c r="ANP34" s="9">
        <f>ANP32-ANP33</f>
        <v/>
      </c>
      <c r="ANQ34" s="9">
        <f>ANQ32-ANQ33</f>
        <v/>
      </c>
      <c r="ANR34" s="9">
        <f>ANR32-ANR33</f>
        <v/>
      </c>
      <c r="ANS34" s="9">
        <f>ANS32-ANS33</f>
        <v/>
      </c>
      <c r="ANT34" s="9">
        <f>ANT32-ANT33</f>
        <v/>
      </c>
      <c r="ANU34" s="9">
        <f>ANU32-ANU33</f>
        <v/>
      </c>
      <c r="ANV34" s="9">
        <f>ANV32-ANV33</f>
        <v/>
      </c>
      <c r="ANW34" s="9">
        <f>ANW32-ANW33</f>
        <v/>
      </c>
      <c r="ANX34" s="9">
        <f>ANX32-ANX33</f>
        <v/>
      </c>
      <c r="ANY34" s="9">
        <f>ANY32-ANY33</f>
        <v/>
      </c>
      <c r="ANZ34" s="9">
        <f>ANZ32-ANZ33</f>
        <v/>
      </c>
      <c r="AOA34" s="9">
        <f>AOA32-AOA33</f>
        <v/>
      </c>
      <c r="AOB34" s="9">
        <f>AOB32-AOB33</f>
        <v/>
      </c>
      <c r="AOC34" s="9">
        <f>AOC32-AOC33</f>
        <v/>
      </c>
      <c r="AOD34" s="9">
        <f>AOD32-AOD33</f>
        <v/>
      </c>
      <c r="AOE34">
        <f>AOE32-AOE33</f>
        <v/>
      </c>
      <c r="AOF34">
        <f>AOF32-AOF33</f>
        <v/>
      </c>
    </row>
    <row r="35">
      <c r="A35" s="19" t="n"/>
      <c r="B35" s="5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GK35" s="127">
        <f>SUM(FF35:GJ35)</f>
        <v/>
      </c>
      <c r="HO35" s="127">
        <f>SUM(GJ35:HN35)</f>
        <v/>
      </c>
    </row>
    <row r="36">
      <c r="PB36" t="n">
        <v>1237</v>
      </c>
    </row>
    <row r="37">
      <c r="MA37" t="n">
        <v>1387</v>
      </c>
    </row>
    <row r="38">
      <c r="BN38" s="1">
        <f>BN34+BN18</f>
        <v/>
      </c>
      <c r="MA38" t="n">
        <v>1402</v>
      </c>
    </row>
    <row r="39">
      <c r="MA39">
        <f>MA38-MA37</f>
        <v/>
      </c>
    </row>
    <row r="40">
      <c r="ZB40" t="n">
        <v>4800</v>
      </c>
      <c r="AEO40" t="n">
        <v>48000</v>
      </c>
      <c r="AMJ40">
        <f>8000000/3650</f>
        <v/>
      </c>
    </row>
    <row r="41">
      <c r="YX41" t="n">
        <v>5354</v>
      </c>
      <c r="ZB41" t="n">
        <v>9914</v>
      </c>
      <c r="AEO41" t="n">
        <v>28600</v>
      </c>
    </row>
    <row r="42">
      <c r="YX42" t="n">
        <v>521</v>
      </c>
      <c r="ZB42">
        <f>SUM(ZB40:ZB41)</f>
        <v/>
      </c>
    </row>
    <row r="43">
      <c r="YX43">
        <f>YX41-YX42</f>
        <v/>
      </c>
      <c r="ZB43" t="n">
        <v>14721</v>
      </c>
    </row>
    <row r="44">
      <c r="YX44" t="n">
        <v>9914</v>
      </c>
      <c r="ZB44">
        <f>ZB43-ZB42</f>
        <v/>
      </c>
    </row>
    <row r="45">
      <c r="YX45">
        <f>SUM(YX43:YX44)</f>
        <v/>
      </c>
      <c r="YY45" t="n">
        <v>14721</v>
      </c>
      <c r="YZ45">
        <f>YX45-YY45</f>
        <v/>
      </c>
    </row>
    <row r="46">
      <c r="CM46" t="n">
        <v>14194000</v>
      </c>
    </row>
    <row r="47">
      <c r="CM47" t="n">
        <v>6608000</v>
      </c>
    </row>
    <row r="48">
      <c r="CM48">
        <f>CM46-CM47</f>
        <v/>
      </c>
      <c r="CN48" t="n">
        <v>11301000</v>
      </c>
      <c r="CO48">
        <f>SUM(CM48:CN48)</f>
        <v/>
      </c>
    </row>
  </sheetData>
  <mergeCells count="10">
    <mergeCell ref="A4:A18"/>
    <mergeCell ref="B23:B25"/>
    <mergeCell ref="B4:B6"/>
    <mergeCell ref="B10:B12"/>
    <mergeCell ref="A20:A34"/>
    <mergeCell ref="B20:B22"/>
    <mergeCell ref="B26:B28"/>
    <mergeCell ref="B13:B15"/>
    <mergeCell ref="B29:B31"/>
    <mergeCell ref="B7:B9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E77"/>
  <sheetViews>
    <sheetView zoomScaleNormal="230" workbookViewId="0">
      <pane xSplit="2" ySplit="3" topLeftCell="ANH79" activePane="bottomRight" state="frozen"/>
      <selection pane="topRight" activeCell="C1" sqref="C1"/>
      <selection pane="bottomLeft" activeCell="A4" sqref="A4"/>
      <selection pane="bottomRight" activeCell="AOE22" sqref="AOE22"/>
    </sheetView>
  </sheetViews>
  <sheetFormatPr baseColWidth="10" defaultColWidth="8.83203125" defaultRowHeight="15"/>
  <cols>
    <col width="19.83203125" customWidth="1" style="160" min="2" max="2"/>
    <col width="14.5" customWidth="1" style="160" min="3" max="3"/>
    <col width="15.1640625" customWidth="1" style="160" min="4" max="4"/>
    <col width="10.5" customWidth="1" style="160" min="5" max="5"/>
    <col width="13.5" customWidth="1" style="160" min="6" max="6"/>
    <col width="13" bestFit="1" customWidth="1" style="160" min="7" max="7"/>
    <col width="12.5" customWidth="1" style="160" min="8" max="8"/>
    <col width="12.1640625" customWidth="1" style="160" min="9" max="9"/>
    <col width="13" customWidth="1" style="160" min="10" max="11"/>
    <col width="11.6640625" customWidth="1" style="160" min="12" max="12"/>
    <col width="11.5" customWidth="1" style="160" min="13" max="13"/>
    <col width="11" customWidth="1" style="160" min="14" max="14"/>
    <col width="11.5" customWidth="1" style="160" min="15" max="15"/>
    <col width="12" customWidth="1" style="160" min="16" max="16"/>
    <col width="10.83203125" customWidth="1" style="160" min="17" max="17"/>
    <col width="10.6640625" customWidth="1" style="160" min="18" max="18"/>
    <col width="13" customWidth="1" style="160" min="19" max="19"/>
    <col width="11.5" customWidth="1" style="160" min="20" max="20"/>
    <col width="13.5" customWidth="1" style="160" min="21" max="21"/>
    <col width="13.1640625" customWidth="1" style="160" min="22" max="22"/>
    <col width="10.5" customWidth="1" style="160" min="23" max="23"/>
    <col width="14.1640625" customWidth="1" style="160" min="24" max="24"/>
    <col width="11.83203125" customWidth="1" style="160" min="25" max="25"/>
    <col width="14" customWidth="1" style="160" min="26" max="26"/>
    <col width="13.1640625" customWidth="1" style="160" min="27" max="27"/>
    <col width="11.1640625" customWidth="1" style="160" min="28" max="28"/>
    <col width="10.5" customWidth="1" style="160" min="29" max="29"/>
    <col width="11.5" customWidth="1" style="160" min="30" max="31"/>
    <col width="14.1640625" customWidth="1" style="160" min="32" max="32"/>
    <col width="10.83203125" customWidth="1" style="160" min="33" max="33"/>
    <col width="16" customWidth="1" style="160" min="34" max="34"/>
    <col width="12.83203125" customWidth="1" style="160" min="35" max="35"/>
    <col width="13.83203125" customWidth="1" style="160" min="36" max="36"/>
    <col width="11.83203125" customWidth="1" style="160" min="37" max="37"/>
    <col width="11.1640625" customWidth="1" style="160" min="38" max="38"/>
    <col width="11.5" customWidth="1" style="160" min="39" max="39"/>
    <col width="11" customWidth="1" style="160" min="40" max="40"/>
    <col width="12.1640625" customWidth="1" style="160" min="41" max="41"/>
    <col width="13.6640625" customWidth="1" style="160" min="42" max="42"/>
    <col width="11.5" customWidth="1" style="160" min="43" max="43"/>
    <col width="10.6640625" customWidth="1" style="160" min="44" max="44"/>
    <col width="12.1640625" customWidth="1" style="160" min="45" max="45"/>
    <col width="11.1640625" customWidth="1" style="160" min="46" max="46"/>
    <col width="12" customWidth="1" style="160" min="47" max="47"/>
    <col width="11.5" customWidth="1" style="160" min="48" max="48"/>
    <col width="11.83203125" customWidth="1" style="160" min="49" max="49"/>
    <col width="10.83203125" customWidth="1" style="160" min="50" max="50"/>
    <col width="11.1640625" customWidth="1" style="160" min="51" max="51"/>
    <col width="10.83203125" customWidth="1" style="160" min="52" max="52"/>
    <col width="12.1640625" customWidth="1" style="160" min="53" max="53"/>
    <col width="11.5" customWidth="1" style="160" min="54" max="54"/>
    <col width="11.83203125" customWidth="1" style="160" min="55" max="55"/>
    <col width="12" customWidth="1" style="160" min="56" max="56"/>
    <col width="12.1640625" customWidth="1" style="160" min="57" max="57"/>
    <col width="11.1640625" customWidth="1" style="160" min="58" max="59"/>
    <col width="11" customWidth="1" style="160" min="60" max="60"/>
    <col width="11.6640625" customWidth="1" style="160" min="61" max="61"/>
    <col width="11.1640625" customWidth="1" style="160" min="62" max="62"/>
    <col width="12.1640625" customWidth="1" style="160" min="63" max="63"/>
    <col width="11.1640625" customWidth="1" style="160" min="64" max="64"/>
    <col width="15.1640625" customWidth="1" style="160" min="65" max="65"/>
    <col width="13.1640625" bestFit="1" customWidth="1" style="160" min="66" max="66"/>
    <col width="13.5" customWidth="1" style="160" min="67" max="67"/>
    <col width="11.1640625" customWidth="1" style="160" min="68" max="68"/>
    <col width="11" customWidth="1" style="160" min="69" max="69"/>
    <col width="10.83203125" customWidth="1" style="160" min="70" max="70"/>
    <col width="12.1640625" customWidth="1" style="160" min="71" max="71"/>
    <col width="11.6640625" customWidth="1" style="160" min="72" max="72"/>
    <col width="10.83203125" customWidth="1" style="160" min="73" max="73"/>
    <col width="12.1640625" customWidth="1" style="160" min="74" max="74"/>
    <col width="11.83203125" customWidth="1" style="160" min="75" max="75"/>
    <col width="10.5" customWidth="1" style="160" min="76" max="76"/>
    <col width="11.1640625" customWidth="1" style="160" min="77" max="77"/>
    <col width="10.1640625" customWidth="1" style="160" min="78" max="78"/>
    <col width="11.5" customWidth="1" style="160" min="79" max="79"/>
    <col width="11.6640625" customWidth="1" style="160" min="80" max="80"/>
    <col width="11.5" customWidth="1" style="160" min="81" max="81"/>
    <col width="11" customWidth="1" style="160" min="82" max="82"/>
    <col width="12" customWidth="1" style="160" min="83" max="83"/>
    <col width="11.83203125" customWidth="1" style="160" min="84" max="84"/>
    <col width="11.5" customWidth="1" style="160" min="85" max="86"/>
    <col width="11" customWidth="1" style="160" min="87" max="87"/>
    <col width="11.1640625" customWidth="1" style="160" min="88" max="89"/>
    <col width="12" customWidth="1" style="160" min="90" max="90"/>
    <col width="12.1640625" customWidth="1" style="160" min="91" max="91"/>
    <col width="11" customWidth="1" style="160" min="92" max="92"/>
    <col width="11.1640625" customWidth="1" style="160" min="93" max="93"/>
    <col width="11" customWidth="1" style="160" min="94" max="94"/>
    <col width="11.1640625" customWidth="1" style="160" min="95" max="95"/>
    <col width="13" customWidth="1" style="160" min="96" max="96"/>
    <col width="13.83203125" bestFit="1" customWidth="1" style="160" min="97" max="97"/>
    <col width="11.6640625" customWidth="1" style="160" min="98" max="98"/>
    <col width="13.1640625" bestFit="1" customWidth="1" style="160" min="99" max="99"/>
    <col width="11.5" customWidth="1" style="160" min="100" max="100"/>
    <col width="11" customWidth="1" style="160" min="101" max="101"/>
    <col width="10.83203125" customWidth="1" style="160" min="102" max="102"/>
    <col width="10.6640625" customWidth="1" style="160" min="103" max="103"/>
    <col width="12" customWidth="1" style="160" min="104" max="104"/>
    <col width="12.1640625" customWidth="1" style="160" min="105" max="105"/>
    <col width="11.1640625" customWidth="1" style="160" min="106" max="106"/>
    <col width="11.5" customWidth="1" style="160" min="107" max="107"/>
    <col width="10.83203125" customWidth="1" style="160" min="108" max="108"/>
    <col width="11.1640625" customWidth="1" style="160" min="109" max="109"/>
    <col width="11.6640625" customWidth="1" style="160" min="110" max="110"/>
    <col width="10.6640625" customWidth="1" style="160" min="111" max="111"/>
    <col width="12" customWidth="1" style="160" min="112" max="112"/>
    <col width="11.6640625" customWidth="1" style="160" min="113" max="113"/>
    <col width="11.1640625" bestFit="1" customWidth="1" style="160" min="114" max="114"/>
    <col width="11.5" customWidth="1" style="160" min="115" max="116"/>
    <col width="11.6640625" customWidth="1" style="160" min="117" max="117"/>
    <col width="11.5" customWidth="1" style="160" min="118" max="118"/>
    <col width="12.1640625" customWidth="1" style="160" min="119" max="120"/>
    <col width="11" customWidth="1" style="160" min="121" max="121"/>
    <col width="10.83203125" customWidth="1" style="160" min="122" max="122"/>
    <col width="11.5" customWidth="1" style="160" min="123" max="123"/>
    <col width="11" customWidth="1" style="160" min="124" max="124"/>
    <col width="11.1640625" customWidth="1" style="160" min="125" max="127"/>
    <col width="14.5" bestFit="1" customWidth="1" style="160" min="128" max="128"/>
    <col width="11.6640625" customWidth="1" style="160" min="129" max="129"/>
    <col width="13" customWidth="1" style="160" min="130" max="130"/>
    <col width="12.83203125" customWidth="1" style="160" min="131" max="131"/>
    <col width="10.83203125" customWidth="1" style="160" min="132" max="132"/>
    <col width="13.1640625" bestFit="1" customWidth="1" style="160" min="133" max="133"/>
    <col width="10.5" customWidth="1" style="160" min="134" max="134"/>
    <col width="12.1640625" customWidth="1" style="160" min="135" max="135"/>
    <col width="10.5" customWidth="1" style="160" min="136" max="136"/>
    <col width="11.1640625" customWidth="1" style="160" min="137" max="137"/>
    <col width="11.6640625" customWidth="1" style="160" min="138" max="138"/>
    <col width="11.5" customWidth="1" style="160" min="139" max="139"/>
    <col width="11.6640625" customWidth="1" style="160" min="140" max="140"/>
    <col width="11.5" customWidth="1" style="160" min="141" max="141"/>
    <col width="12.1640625" customWidth="1" style="160" min="142" max="142"/>
    <col width="12.5" customWidth="1" style="160" min="143" max="144"/>
    <col width="11.83203125" customWidth="1" style="160" min="145" max="145"/>
    <col width="11.5" customWidth="1" style="160" min="146" max="146"/>
    <col width="14.1640625" customWidth="1" style="160" min="147" max="148"/>
    <col width="11.5" customWidth="1" style="160" min="149" max="149"/>
    <col width="16.1640625" customWidth="1" style="160" min="150" max="150"/>
    <col width="14.5" customWidth="1" style="160" min="151" max="151"/>
    <col width="14" customWidth="1" style="160" min="152" max="152"/>
    <col width="16" customWidth="1" style="160" min="153" max="153"/>
    <col width="16.5" customWidth="1" style="160" min="154" max="154"/>
    <col width="14.5" customWidth="1" style="160" min="155" max="155"/>
    <col width="12.83203125" customWidth="1" style="160" min="156" max="156"/>
    <col width="17" customWidth="1" style="160" min="157" max="157"/>
    <col width="13.6640625" customWidth="1" style="160" min="158" max="158"/>
    <col width="14" customWidth="1" style="160" min="159" max="159"/>
    <col width="14.6640625" bestFit="1" customWidth="1" style="160" min="160" max="160"/>
    <col width="13.33203125" bestFit="1" customWidth="1" style="160" min="161" max="161"/>
    <col width="12.83203125" customWidth="1" style="160" min="162" max="162"/>
    <col width="15" customWidth="1" style="160" min="163" max="163"/>
    <col width="14.1640625" customWidth="1" style="160" min="164" max="164"/>
    <col width="11.33203125" customWidth="1" style="160" min="165" max="165"/>
    <col width="12" customWidth="1" style="160" min="166" max="166"/>
    <col width="11.1640625" customWidth="1" style="160" min="167" max="167"/>
    <col width="14.33203125" customWidth="1" style="160" min="168" max="168"/>
    <col width="11.33203125" customWidth="1" style="160" min="169" max="169"/>
    <col width="12" customWidth="1" style="160" min="170" max="170"/>
    <col width="11.5" customWidth="1" style="160" min="171" max="171"/>
    <col width="12.33203125" customWidth="1" style="160" min="172" max="172"/>
    <col width="11.6640625" customWidth="1" style="160" min="173" max="173"/>
    <col width="11.83203125" customWidth="1" style="160" min="174" max="174"/>
    <col width="12.5" customWidth="1" style="160" min="175" max="175"/>
    <col width="12" customWidth="1" style="160" min="176" max="176"/>
    <col width="11.83203125" customWidth="1" style="160" min="177" max="177"/>
    <col width="11" customWidth="1" style="160" min="178" max="178"/>
    <col width="13.83203125" customWidth="1" style="160" min="179" max="179"/>
    <col width="13.5" customWidth="1" style="160" min="180" max="180"/>
    <col width="12.1640625" customWidth="1" style="160" min="181" max="181"/>
    <col width="11.1640625" customWidth="1" style="160" min="182" max="182"/>
    <col width="14.5" customWidth="1" style="160" min="183" max="183"/>
    <col width="11.33203125" customWidth="1" style="160" min="184" max="184"/>
    <col width="11.5" customWidth="1" style="160" min="185" max="185"/>
    <col width="10.83203125" customWidth="1" style="160" min="186" max="187"/>
    <col width="11" customWidth="1" style="160" min="188" max="188"/>
    <col width="12.1640625" customWidth="1" style="160" min="189" max="189"/>
    <col width="12" customWidth="1" style="160" min="190" max="190"/>
    <col width="12.1640625" customWidth="1" style="160" min="191" max="191"/>
    <col width="15.6640625" customWidth="1" style="160" min="192" max="192"/>
    <col width="14.1640625" customWidth="1" style="160" min="193" max="193"/>
    <col width="12.83203125" customWidth="1" style="160" min="194" max="194"/>
    <col width="12.33203125" customWidth="1" style="160" min="195" max="195"/>
    <col width="12" customWidth="1" style="160" min="196" max="197"/>
    <col width="12.5" customWidth="1" style="160" min="198" max="198"/>
    <col width="11.33203125" customWidth="1" style="160" min="199" max="199"/>
    <col width="10.83203125" customWidth="1" style="160" min="200" max="200"/>
    <col width="12.1640625" customWidth="1" style="160" min="201" max="201"/>
    <col width="11.6640625" customWidth="1" style="160" min="202" max="202"/>
    <col width="12.1640625" customWidth="1" style="160" min="203" max="203"/>
    <col width="11.6640625" customWidth="1" style="160" min="204" max="204"/>
    <col width="12.1640625" customWidth="1" style="160" min="205" max="206"/>
    <col width="13.33203125" customWidth="1" style="160" min="207" max="207"/>
    <col width="11.33203125" customWidth="1" style="160" min="208" max="208"/>
    <col width="11.1640625" customWidth="1" style="160" min="209" max="209"/>
    <col width="13.1640625" customWidth="1" style="160" min="210" max="210"/>
    <col width="11.1640625" customWidth="1" style="160" min="211" max="212"/>
    <col width="12.1640625" customWidth="1" style="160" min="213" max="213"/>
    <col width="12.5" customWidth="1" style="160" min="214" max="214"/>
    <col width="12.1640625" customWidth="1" style="160" min="215" max="215"/>
    <col width="11.1640625" customWidth="1" style="160" min="216" max="217"/>
    <col width="12.83203125" customWidth="1" style="160" min="218" max="218"/>
    <col width="11.1640625" customWidth="1" style="160" min="219" max="219"/>
    <col width="15.6640625" customWidth="1" style="160" min="220" max="220"/>
    <col width="11.6640625" customWidth="1" style="160" min="221" max="221"/>
    <col width="17" customWidth="1" style="160" min="222" max="222"/>
    <col width="15.83203125" customWidth="1" style="160" min="223" max="223"/>
    <col width="12" customWidth="1" style="160" min="224" max="224"/>
    <col width="10.83203125" customWidth="1" style="160" min="225" max="225"/>
    <col width="12" customWidth="1" style="160" min="226" max="226"/>
    <col width="10.83203125" customWidth="1" style="160" min="227" max="227"/>
    <col width="12.1640625" customWidth="1" style="160" min="228" max="228"/>
    <col width="13.5" customWidth="1" style="160" min="229" max="229"/>
    <col width="11" customWidth="1" style="160" min="230" max="230"/>
    <col width="13.6640625" customWidth="1" style="160" min="231" max="231"/>
    <col width="12.1640625" customWidth="1" style="160" min="232" max="232"/>
    <col width="11.5" customWidth="1" style="160" min="233" max="233"/>
    <col width="12.6640625" customWidth="1" style="160" min="234" max="234"/>
    <col width="11.1640625" customWidth="1" style="160" min="235" max="235"/>
    <col width="11" customWidth="1" style="160" min="236" max="236"/>
    <col width="12.5" customWidth="1" style="160" min="237" max="237"/>
    <col width="11.1640625" customWidth="1" style="160" min="238" max="238"/>
    <col width="11.33203125" customWidth="1" style="160" min="239" max="239"/>
    <col width="12.33203125" customWidth="1" style="160" min="240" max="240"/>
    <col width="12.5" customWidth="1" style="160" min="241" max="241"/>
    <col width="11.1640625" customWidth="1" style="160" min="242" max="242"/>
    <col width="12" customWidth="1" style="160" min="243" max="243"/>
    <col width="11.83203125" customWidth="1" style="160" min="244" max="244"/>
    <col width="12.33203125" customWidth="1" style="160" min="245" max="245"/>
    <col width="11.83203125" customWidth="1" style="160" min="246" max="246"/>
    <col width="11.1640625" customWidth="1" style="160" min="247" max="247"/>
    <col width="11.6640625" customWidth="1" style="160" min="248" max="248"/>
    <col width="10.83203125" customWidth="1" style="160" min="249" max="250"/>
    <col width="11" customWidth="1" style="160" min="251" max="251"/>
    <col width="13.5" customWidth="1" style="160" min="252" max="252"/>
    <col width="11.1640625" customWidth="1" style="160" min="253" max="253"/>
    <col width="16" customWidth="1" style="160" min="254" max="254"/>
    <col width="12.83203125" customWidth="1" style="160" min="255" max="255"/>
    <col width="12.6640625" customWidth="1" style="160" min="256" max="256"/>
    <col width="12.83203125" customWidth="1" style="160" min="257" max="257"/>
    <col width="12" customWidth="1" style="160" min="258" max="258"/>
    <col width="10.83203125" customWidth="1" style="160" min="259" max="259"/>
    <col width="11.5" customWidth="1" style="160" min="260" max="260"/>
    <col width="10.5" customWidth="1" style="160" min="261" max="261"/>
    <col width="11.83203125" customWidth="1" style="160" min="262" max="262"/>
    <col width="10.83203125" customWidth="1" style="160" min="263" max="263"/>
    <col width="12.33203125" customWidth="1" style="160" min="264" max="264"/>
    <col width="10.1640625" customWidth="1" style="160" min="265" max="266"/>
    <col width="11" customWidth="1" style="160" min="267" max="267"/>
    <col width="11.83203125" customWidth="1" style="160" min="268" max="268"/>
    <col width="10.6640625" customWidth="1" style="160" min="269" max="269"/>
    <col width="10.5" customWidth="1" style="160" min="270" max="271"/>
    <col width="11.83203125" customWidth="1" style="160" min="272" max="272"/>
    <col width="10.6640625" customWidth="1" style="160" min="273" max="273"/>
    <col width="15" customWidth="1" style="160" min="274" max="274"/>
    <col width="11.1640625" customWidth="1" style="160" min="275" max="275"/>
    <col width="11.83203125" customWidth="1" style="160" min="276" max="276"/>
    <col width="11.33203125" customWidth="1" style="160" min="277" max="277"/>
    <col width="11.83203125" customWidth="1" style="160" min="278" max="278"/>
    <col width="10.6640625" customWidth="1" style="160" min="279" max="279"/>
    <col width="12" customWidth="1" style="160" min="280" max="280"/>
    <col width="10.83203125" customWidth="1" style="160" min="281" max="281"/>
    <col width="10.6640625" customWidth="1" style="160" min="282" max="282"/>
    <col width="10.5" customWidth="1" style="160" min="283" max="283"/>
    <col width="12.1640625" customWidth="1" style="160" min="284" max="284"/>
    <col width="15.5" customWidth="1" style="160" min="285" max="285"/>
    <col width="12.83203125" customWidth="1" style="160" min="286" max="286"/>
    <col width="12.1640625" customWidth="1" style="160" min="287" max="287"/>
    <col width="10.5" customWidth="1" style="160" min="288" max="288"/>
    <col width="11.1640625" customWidth="1" style="160" min="289" max="289"/>
    <col width="10.5" customWidth="1" style="160" min="290" max="290"/>
    <col width="13.1640625" customWidth="1" style="160" min="291" max="291"/>
    <col width="10.83203125" customWidth="1" style="160" min="292" max="292"/>
    <col width="10.6640625" customWidth="1" style="160" min="293" max="293"/>
    <col width="11" customWidth="1" style="160" min="294" max="294"/>
    <col width="10.83203125" customWidth="1" style="160" min="295" max="295"/>
    <col width="11.1640625" customWidth="1" style="160" min="296" max="296"/>
    <col width="12.6640625" customWidth="1" style="160" min="297" max="297"/>
    <col width="11" customWidth="1" style="160" min="298" max="298"/>
    <col width="10.6640625" customWidth="1" style="160" min="299" max="299"/>
    <col width="10.5" customWidth="1" style="160" min="300" max="300"/>
    <col width="11.1640625" customWidth="1" style="160" min="301" max="301"/>
    <col width="11.5" customWidth="1" style="160" min="302" max="302"/>
    <col width="11.1640625" customWidth="1" style="160" min="303" max="303"/>
    <col width="12" customWidth="1" style="160" min="304" max="304"/>
    <col width="11.1640625" customWidth="1" style="160" min="305" max="305"/>
    <col width="11.83203125" customWidth="1" style="160" min="306" max="306"/>
    <col width="11.6640625" customWidth="1" style="160" min="307" max="307"/>
    <col width="13" customWidth="1" style="160" min="308" max="308"/>
    <col width="11.33203125" customWidth="1" style="160" min="309" max="309"/>
    <col width="10.83203125" customWidth="1" style="160" min="310" max="310"/>
    <col width="12" customWidth="1" style="160" min="311" max="311"/>
    <col width="11.5" customWidth="1" style="160" min="312" max="312"/>
    <col width="12.5" customWidth="1" style="160" min="313" max="313"/>
    <col width="12" customWidth="1" style="160" min="314" max="314"/>
    <col width="13.83203125" customWidth="1" style="160" min="315" max="315"/>
    <col width="13.6640625" customWidth="1" style="160" min="316" max="316"/>
    <col width="16" customWidth="1" style="160" min="317" max="317"/>
    <col width="12.1640625" customWidth="1" style="160" min="318" max="318"/>
    <col width="14.5" customWidth="1" style="160" min="319" max="319"/>
    <col width="12.5" customWidth="1" style="160" min="320" max="320"/>
    <col width="11" customWidth="1" style="160" min="321" max="321"/>
    <col width="11.83203125" customWidth="1" style="160" min="322" max="322"/>
    <col width="11.1640625" customWidth="1" style="160" min="323" max="323"/>
    <col width="10.83203125" customWidth="1" style="160" min="324" max="324"/>
    <col width="11.1640625" customWidth="1" style="160" min="325" max="325"/>
    <col width="12.5" customWidth="1" style="160" min="326" max="326"/>
    <col width="10.83203125" customWidth="1" style="160" min="327" max="327"/>
    <col width="10.6640625" customWidth="1" style="160" min="328" max="328"/>
    <col width="11.33203125" customWidth="1" style="160" min="329" max="329"/>
    <col width="11.6640625" customWidth="1" style="160" min="330" max="330"/>
    <col width="10.83203125" customWidth="1" style="160" min="331" max="331"/>
    <col width="11.5" customWidth="1" style="160" min="332" max="332"/>
    <col width="10.6640625" customWidth="1" style="160" min="333" max="333"/>
    <col width="10.83203125" customWidth="1" style="160" min="334" max="334"/>
    <col width="12.5" customWidth="1" style="160" min="335" max="335"/>
    <col width="11.1640625" customWidth="1" style="160" min="336" max="336"/>
    <col width="10.5" customWidth="1" style="160" min="337" max="337"/>
    <col width="10.83203125" customWidth="1" style="160" min="338" max="338"/>
    <col width="13" customWidth="1" style="160" min="339" max="339"/>
    <col width="11.5" customWidth="1" style="160" min="340" max="340"/>
    <col width="12.5" customWidth="1" style="160" min="341" max="341"/>
    <col width="11.1640625" customWidth="1" style="160" min="342" max="342"/>
    <col width="13.33203125" customWidth="1" style="160" min="343" max="343"/>
    <col width="12" customWidth="1" style="160" min="344" max="344"/>
    <col width="13.1640625" customWidth="1" style="160" min="345" max="345"/>
    <col width="13.5" customWidth="1" style="160" min="346" max="346"/>
    <col width="16" customWidth="1" style="160" min="347" max="347"/>
    <col width="17.5" customWidth="1" style="160" min="348" max="348"/>
    <col width="18.5" customWidth="1" style="160" min="349" max="349"/>
    <col width="13.5" customWidth="1" style="160" min="350" max="350"/>
    <col width="13.1640625" customWidth="1" style="160" min="351" max="351"/>
    <col width="12.5" customWidth="1" style="160" min="352" max="352"/>
    <col width="15.1640625" customWidth="1" style="160" min="353" max="353"/>
    <col width="14.1640625" customWidth="1" style="160" min="354" max="354"/>
    <col width="12.1640625" customWidth="1" style="160" min="355" max="355"/>
    <col width="12.5" customWidth="1" style="160" min="356" max="356"/>
    <col width="13.1640625" customWidth="1" style="160" min="357" max="357"/>
    <col width="12.6640625" customWidth="1" style="160" min="358" max="358"/>
    <col width="14" customWidth="1" style="160" min="359" max="359"/>
    <col width="16" customWidth="1" style="160" min="360" max="360"/>
    <col width="13.5" customWidth="1" style="160" min="361" max="361"/>
    <col width="12.6640625" customWidth="1" style="160" min="362" max="362"/>
    <col width="13.5" customWidth="1" style="160" min="363" max="363"/>
    <col width="11.83203125" customWidth="1" style="160" min="364" max="364"/>
    <col width="13.5" customWidth="1" style="160" min="365" max="365"/>
    <col width="12.83203125" customWidth="1" style="160" min="366" max="366"/>
    <col width="15.33203125" customWidth="1" style="160" min="367" max="367"/>
    <col width="12.83203125" customWidth="1" style="160" min="368" max="368"/>
    <col width="12.33203125" customWidth="1" style="160" min="369" max="369"/>
    <col width="11.6640625" customWidth="1" style="160" min="370" max="370"/>
    <col width="12" customWidth="1" style="160" min="371" max="371"/>
    <col width="11.33203125" customWidth="1" style="160" min="372" max="372"/>
    <col width="13" customWidth="1" style="160" min="373" max="373"/>
    <col width="12.83203125" customWidth="1" style="160" min="374" max="374"/>
    <col width="14.1640625" customWidth="1" style="160" min="375" max="375"/>
    <col width="10.6640625" customWidth="1" style="160" min="376" max="376"/>
    <col width="11" customWidth="1" style="160" min="377" max="377"/>
    <col width="10.5" customWidth="1" style="160" min="378" max="378"/>
    <col width="11.83203125" customWidth="1" style="160" min="379" max="379"/>
    <col width="17" customWidth="1" style="160" min="380" max="380"/>
    <col width="11.83203125" customWidth="1" style="160" min="381" max="381"/>
    <col width="13.33203125" bestFit="1" customWidth="1" style="160" min="382" max="382"/>
    <col width="11" customWidth="1" style="160" min="383" max="384"/>
    <col width="14.5" customWidth="1" style="160" min="385" max="385"/>
    <col width="12.33203125" customWidth="1" style="160" min="386" max="386"/>
    <col width="11.33203125" customWidth="1" style="160" min="387" max="387"/>
    <col width="11.83203125" customWidth="1" style="160" min="388" max="388"/>
    <col width="12.83203125" customWidth="1" style="160" min="389" max="389"/>
    <col width="12.33203125" customWidth="1" style="160" min="390" max="390"/>
    <col width="11.1640625" customWidth="1" style="160" min="391" max="391"/>
    <col width="12" customWidth="1" style="160" min="392" max="392"/>
    <col width="11" customWidth="1" style="160" min="393" max="393"/>
    <col width="11.33203125" customWidth="1" style="160" min="394" max="394"/>
    <col width="12.1640625" customWidth="1" style="160" min="395" max="395"/>
    <col width="11.33203125" customWidth="1" style="160" min="396" max="396"/>
    <col width="10.83203125" customWidth="1" style="160" min="397" max="397"/>
    <col width="11" customWidth="1" style="160" min="398" max="398"/>
    <col width="11.5" customWidth="1" style="160" min="399" max="399"/>
    <col width="11.83203125" customWidth="1" style="160" min="400" max="400"/>
    <col width="14.1640625" customWidth="1" style="160" min="401" max="401"/>
    <col width="12.1640625" customWidth="1" style="160" min="402" max="402"/>
    <col width="10.6640625" customWidth="1" style="160" min="403" max="403"/>
    <col width="11.5" customWidth="1" style="160" min="404" max="404"/>
    <col width="13.1640625" customWidth="1" style="160" min="405" max="405"/>
    <col width="12" customWidth="1" style="160" min="406" max="406"/>
    <col width="11.33203125" customWidth="1" style="160" min="407" max="407"/>
    <col width="13.1640625" customWidth="1" style="160" min="408" max="408"/>
    <col width="12.1640625" customWidth="1" style="160" min="409" max="409"/>
    <col width="10.83203125" customWidth="1" style="160" min="410" max="411"/>
    <col width="17.1640625" customWidth="1" style="160" min="412" max="412"/>
    <col width="16" customWidth="1" style="160" min="413" max="413"/>
    <col width="13" customWidth="1" style="160" min="414" max="414"/>
    <col width="12.1640625" customWidth="1" style="160" min="415" max="415"/>
    <col width="11.83203125" customWidth="1" style="160" min="416" max="416"/>
    <col width="12.1640625" customWidth="1" style="160" min="417" max="417"/>
    <col width="11.83203125" customWidth="1" style="160" min="418" max="418"/>
    <col width="13.1640625" customWidth="1" style="160" min="419" max="419"/>
    <col width="13.5" customWidth="1" style="160" min="420" max="420"/>
    <col width="11.1640625" customWidth="1" style="160" min="421" max="421"/>
    <col width="12.1640625" customWidth="1" style="160" min="422" max="422"/>
    <col width="11.5" customWidth="1" style="160" min="423" max="423"/>
    <col width="12.1640625" customWidth="1" style="160" min="424" max="424"/>
    <col width="11.6640625" customWidth="1" style="160" min="425" max="425"/>
    <col width="11.83203125" customWidth="1" style="160" min="426" max="426"/>
    <col width="11.33203125" customWidth="1" style="160" min="427" max="427"/>
    <col width="12.83203125" customWidth="1" style="160" min="428" max="428"/>
    <col width="10.83203125" customWidth="1" style="160" min="429" max="429"/>
    <col width="12.5" customWidth="1" style="160" min="430" max="430"/>
    <col width="11.1640625" customWidth="1" style="160" min="431" max="431"/>
    <col width="11.83203125" customWidth="1" style="160" min="432" max="432"/>
    <col width="10.83203125" customWidth="1" style="160" min="433" max="433"/>
    <col width="11.83203125" customWidth="1" style="160" min="434" max="434"/>
    <col width="12.83203125" customWidth="1" style="160" min="435" max="435"/>
    <col width="11.6640625" customWidth="1" style="160" min="436" max="436"/>
    <col width="12.33203125" customWidth="1" style="160" min="437" max="437"/>
    <col width="12.1640625" customWidth="1" style="160" min="438" max="438"/>
    <col width="11" customWidth="1" style="160" min="439" max="439"/>
    <col width="11.5" customWidth="1" style="160" min="440" max="440"/>
    <col width="15.1640625" customWidth="1" style="160" min="441" max="441"/>
    <col width="11.83203125" customWidth="1" style="160" min="442" max="442"/>
    <col width="17.5" customWidth="1" style="160" min="443" max="443"/>
    <col width="15" customWidth="1" style="160" min="444" max="444"/>
    <col width="12.33203125" customWidth="1" style="160" min="445" max="445"/>
    <col width="15" customWidth="1" style="160" min="446" max="446"/>
    <col width="16" customWidth="1" style="160" min="447" max="447"/>
    <col width="12.83203125" customWidth="1" style="160" min="448" max="448"/>
    <col width="12" customWidth="1" style="160" min="449" max="449"/>
    <col width="11.33203125" customWidth="1" style="160" min="450" max="450"/>
    <col width="10.83203125" customWidth="1" style="160" min="451" max="451"/>
    <col width="11" customWidth="1" style="160" min="452" max="452"/>
    <col width="10.83203125" customWidth="1" style="160" min="453" max="453"/>
    <col width="11" customWidth="1" style="160" min="454" max="454"/>
    <col width="12.5" customWidth="1" style="160" min="455" max="455"/>
    <col width="11.1640625" customWidth="1" style="160" min="456" max="456"/>
    <col width="11.83203125" customWidth="1" style="160" min="457" max="457"/>
    <col width="11.5" customWidth="1" style="160" min="458" max="458"/>
    <col width="11.83203125" customWidth="1" style="160" min="459" max="459"/>
    <col width="10.83203125" customWidth="1" style="160" min="460" max="460"/>
    <col width="11" customWidth="1" style="160" min="461" max="461"/>
    <col width="11.6640625" customWidth="1" style="160" min="462" max="462"/>
    <col width="10.83203125" customWidth="1" style="160" min="463" max="463"/>
    <col width="11.1640625" customWidth="1" style="160" min="464" max="464"/>
    <col width="11.83203125" customWidth="1" style="160" min="465" max="465"/>
    <col width="10.1640625" customWidth="1" style="160" min="466" max="466"/>
    <col width="10.83203125" customWidth="1" style="160" min="467" max="467"/>
    <col width="11.83203125" customWidth="1" style="160" min="468" max="468"/>
    <col width="12.1640625" customWidth="1" style="160" min="469" max="469"/>
    <col width="11.33203125" customWidth="1" style="160" min="470" max="470"/>
    <col width="11.1640625" customWidth="1" style="160" min="471" max="472"/>
    <col width="10.5" customWidth="1" style="160" min="473" max="474"/>
    <col width="17.83203125" customWidth="1" style="160" min="475" max="475"/>
    <col width="13.1640625" customWidth="1" style="160" min="476" max="476"/>
    <col width="12.1640625" customWidth="1" style="160" min="477" max="477"/>
    <col width="11.1640625" customWidth="1" style="160" min="478" max="478"/>
    <col width="11.5" customWidth="1" style="160" min="479" max="479"/>
    <col width="11.33203125" customWidth="1" style="160" min="480" max="480"/>
    <col width="11.5" customWidth="1" style="160" min="481" max="481"/>
    <col width="12" customWidth="1" style="160" min="482" max="482"/>
    <col width="11" customWidth="1" style="160" min="483" max="483"/>
    <col width="11.5" customWidth="1" style="160" min="484" max="484"/>
    <col width="11.6640625" customWidth="1" style="160" min="485" max="485"/>
    <col width="12.6640625" customWidth="1" style="160" min="486" max="486"/>
    <col width="10.83203125" customWidth="1" style="160" min="487" max="487"/>
    <col width="12" customWidth="1" style="160" min="488" max="488"/>
    <col width="11.83203125" customWidth="1" style="160" min="489" max="490"/>
    <col width="10.6640625" customWidth="1" style="160" min="491" max="491"/>
    <col width="11.33203125" customWidth="1" style="160" min="492" max="492"/>
    <col width="12.33203125" customWidth="1" style="160" min="493" max="493"/>
    <col width="11" customWidth="1" style="160" min="494" max="494"/>
    <col width="13.83203125" customWidth="1" style="160" min="495" max="495"/>
    <col width="11.5" customWidth="1" style="160" min="496" max="496"/>
    <col width="11.83203125" customWidth="1" style="160" min="497" max="497"/>
    <col width="10.83203125" customWidth="1" style="160" min="498" max="498"/>
    <col width="11.83203125" customWidth="1" style="160" min="499" max="499"/>
    <col width="11.1640625" customWidth="1" style="160" min="500" max="500"/>
    <col width="11" customWidth="1" style="160" min="501" max="501"/>
    <col width="11.83203125" customWidth="1" style="160" min="502" max="502"/>
    <col width="11.1640625" customWidth="1" style="160" min="503" max="503"/>
    <col width="11.5" customWidth="1" style="160" min="504" max="505"/>
    <col width="16.33203125" customWidth="1" style="160" min="506" max="506"/>
    <col width="12.5" customWidth="1" style="160" min="507" max="507"/>
    <col width="13.33203125" customWidth="1" style="160" min="508" max="508"/>
    <col width="13.5" customWidth="1" style="160" min="509" max="509"/>
    <col width="11.5" customWidth="1" style="160" min="510" max="510"/>
    <col width="11.6640625" customWidth="1" style="160" min="511" max="511"/>
    <col width="11" customWidth="1" style="160" min="512" max="512"/>
    <col width="10.6640625" customWidth="1" style="160" min="513" max="513"/>
    <col width="11.5" customWidth="1" style="160" min="514" max="514"/>
    <col width="11.1640625" customWidth="1" style="160" min="515" max="515"/>
    <col width="12" customWidth="1" style="160" min="516" max="516"/>
    <col width="11.6640625" customWidth="1" style="160" min="517" max="517"/>
    <col width="11.83203125" customWidth="1" style="160" min="518" max="518"/>
    <col width="11.5" customWidth="1" style="160" min="519" max="519"/>
    <col width="12.6640625" customWidth="1" style="160" min="520" max="520"/>
    <col width="10.83203125" customWidth="1" style="160" min="521" max="521"/>
    <col width="11" customWidth="1" style="160" min="522" max="522"/>
    <col width="11.33203125" customWidth="1" style="160" min="523" max="523"/>
    <col width="10.5" customWidth="1" style="160" min="524" max="524"/>
    <col width="10.6640625" customWidth="1" style="160" min="525" max="525"/>
    <col width="11" customWidth="1" style="160" min="526" max="526"/>
    <col width="12.5" customWidth="1" style="160" min="527" max="527"/>
    <col width="12.1640625" customWidth="1" style="160" min="528" max="528"/>
    <col width="11.5" customWidth="1" style="160" min="529" max="529"/>
    <col width="11.1640625" customWidth="1" style="160" min="530" max="530"/>
    <col width="11.83203125" customWidth="1" style="160" min="531" max="531"/>
    <col width="11.6640625" customWidth="1" style="160" min="532" max="533"/>
    <col width="12.83203125" customWidth="1" style="160" min="534" max="534"/>
    <col width="11.5" customWidth="1" style="160" min="535" max="535"/>
    <col width="13" customWidth="1" style="160" min="536" max="536"/>
    <col width="10.83203125" customWidth="1" style="160" min="537" max="537"/>
    <col width="16.83203125" customWidth="1" style="160" min="538" max="538"/>
    <col width="13.83203125" customWidth="1" style="160" min="539" max="539"/>
    <col width="11.83203125" customWidth="1" style="160" min="540" max="540"/>
    <col width="11.6640625" customWidth="1" style="160" min="541" max="542"/>
    <col width="12.5" customWidth="1" style="160" min="543" max="543"/>
    <col width="11.83203125" customWidth="1" style="160" min="544" max="546"/>
    <col width="12.5" customWidth="1" style="160" min="547" max="547"/>
    <col width="11.33203125" customWidth="1" style="160" min="548" max="550"/>
    <col width="11.83203125" customWidth="1" style="160" min="551" max="551"/>
    <col width="12" customWidth="1" style="160" min="552" max="552"/>
    <col width="10.83203125" customWidth="1" style="160" min="553" max="553"/>
    <col width="10.6640625" customWidth="1" style="160" min="554" max="554"/>
    <col width="11.83203125" customWidth="1" style="160" min="555" max="555"/>
    <col width="11.1640625" customWidth="1" style="160" min="556" max="556"/>
    <col width="11.6640625" customWidth="1" style="160" min="557" max="557"/>
    <col width="13.6640625" customWidth="1" style="160" min="558" max="558"/>
    <col width="11" customWidth="1" style="160" min="559" max="559"/>
    <col width="11.6640625" customWidth="1" style="160" min="560" max="560"/>
    <col width="13" customWidth="1" style="160" min="561" max="561"/>
    <col width="10.83203125" customWidth="1" style="160" min="562" max="562"/>
    <col width="13.1640625" customWidth="1" style="160" min="563" max="563"/>
    <col width="11" customWidth="1" style="160" min="564" max="564"/>
    <col width="11.6640625" customWidth="1" style="160" min="565" max="565"/>
    <col width="11.33203125" customWidth="1" style="160" min="566" max="566"/>
    <col width="11" customWidth="1" style="160" min="567" max="567"/>
    <col width="12" customWidth="1" style="160" min="568" max="568"/>
    <col width="11.6640625" customWidth="1" style="160" min="569" max="569"/>
    <col width="15.83203125" customWidth="1" style="160" min="570" max="570"/>
    <col width="11.6640625" customWidth="1" style="160" min="571" max="571"/>
    <col width="14.33203125" customWidth="1" style="160" min="572" max="572"/>
    <col width="10.83203125" customWidth="1" style="160" min="573" max="573"/>
    <col width="11.1640625" customWidth="1" style="160" min="574" max="574"/>
    <col width="11.33203125" customWidth="1" style="160" min="575" max="575"/>
    <col width="12.1640625" customWidth="1" style="160" min="576" max="576"/>
    <col width="11.33203125" customWidth="1" style="160" min="577" max="577"/>
    <col width="10.6640625" customWidth="1" style="160" min="578" max="579"/>
    <col width="11.83203125" customWidth="1" style="160" min="580" max="580"/>
    <col width="13.5" customWidth="1" style="160" min="581" max="581"/>
    <col width="12" customWidth="1" style="160" min="582" max="582"/>
    <col width="12.1640625" customWidth="1" style="160" min="583" max="583"/>
    <col width="12.83203125" customWidth="1" style="160" min="584" max="584"/>
    <col width="13.1640625" customWidth="1" style="160" min="585" max="585"/>
    <col width="11.83203125" customWidth="1" style="160" min="586" max="586"/>
    <col width="11.6640625" customWidth="1" style="160" min="587" max="587"/>
    <col width="11.33203125" customWidth="1" style="160" min="588" max="588"/>
    <col width="11.5" customWidth="1" style="160" min="589" max="589"/>
    <col width="12.1640625" customWidth="1" style="160" min="590" max="590"/>
    <col width="11.5" customWidth="1" style="160" min="591" max="591"/>
    <col width="10.6640625" customWidth="1" style="160" min="592" max="592"/>
    <col width="11" customWidth="1" style="160" min="593" max="597"/>
    <col width="11.1640625" customWidth="1" style="160" min="598" max="598"/>
    <col width="16.1640625" customWidth="1" style="160" min="599" max="599"/>
    <col width="14.5" customWidth="1" style="160" min="600" max="600"/>
    <col width="13.1640625" customWidth="1" style="160" min="601" max="601"/>
    <col width="11.1640625" customWidth="1" style="160" min="602" max="602"/>
    <col width="12.1640625" customWidth="1" style="160" min="603" max="603"/>
    <col width="11.5" customWidth="1" style="160" min="604" max="604"/>
    <col width="10.1640625" customWidth="1" style="160" min="605" max="605"/>
    <col width="11" customWidth="1" style="160" min="606" max="606"/>
    <col width="11.6640625" customWidth="1" style="160" min="607" max="607"/>
    <col width="11.33203125" customWidth="1" style="160" min="608" max="608"/>
    <col width="11.83203125" customWidth="1" style="160" min="609" max="609"/>
    <col width="11.5" customWidth="1" style="160" min="610" max="610"/>
    <col width="10.83203125" customWidth="1" style="160" min="611" max="612"/>
    <col width="11" customWidth="1" style="160" min="613" max="613"/>
    <col width="11.1640625" customWidth="1" style="160" min="614" max="614"/>
    <col width="13.5" customWidth="1" style="160" min="615" max="615"/>
    <col width="10.83203125" customWidth="1" style="160" min="616" max="616"/>
    <col width="11.83203125" customWidth="1" style="160" min="617" max="618"/>
    <col width="12" customWidth="1" style="160" min="619" max="619"/>
    <col width="11" customWidth="1" style="160" min="620" max="620"/>
    <col width="10.83203125" customWidth="1" style="160" min="621" max="621"/>
    <col width="13.33203125" customWidth="1" style="160" min="622" max="622"/>
    <col width="12.1640625" customWidth="1" style="160" min="623" max="623"/>
    <col width="10.83203125" customWidth="1" style="160" min="624" max="624"/>
    <col width="12.5" customWidth="1" style="160" min="625" max="625"/>
    <col width="12.33203125" customWidth="1" style="160" min="626" max="626"/>
    <col width="11.5" customWidth="1" style="160" min="627" max="627"/>
    <col width="11.1640625" customWidth="1" style="160" min="628" max="628"/>
    <col width="12.1640625" customWidth="1" style="160" min="629" max="629"/>
    <col width="11.1640625" customWidth="1" style="160" min="630" max="630"/>
    <col width="16.1640625" customWidth="1" style="160" min="631" max="631"/>
    <col width="13" customWidth="1" style="160" min="632" max="632"/>
    <col width="12.83203125" customWidth="1" style="160" min="633" max="633"/>
    <col width="11.33203125" customWidth="1" style="160" min="634" max="634"/>
    <col width="11" customWidth="1" style="160" min="635" max="635"/>
    <col width="11.1640625" customWidth="1" style="160" min="636" max="636"/>
    <col width="10.1640625" customWidth="1" style="160" min="637" max="637"/>
    <col width="11.33203125" customWidth="1" style="160" min="638" max="638"/>
    <col width="12.5" customWidth="1" style="160" min="639" max="639"/>
    <col width="11.83203125" customWidth="1" style="160" min="640" max="640"/>
    <col width="10.83203125" customWidth="1" style="160" min="641" max="641"/>
    <col width="11.5" customWidth="1" style="160" min="642" max="642"/>
    <col width="11.1640625" customWidth="1" style="160" min="643" max="643"/>
    <col width="11.83203125" customWidth="1" style="160" min="644" max="644"/>
    <col width="11.5" customWidth="1" style="160" min="645" max="646"/>
    <col width="11.33203125" customWidth="1" style="160" min="647" max="647"/>
    <col width="11.83203125" customWidth="1" style="160" min="648" max="648"/>
    <col width="12" customWidth="1" style="160" min="649" max="649"/>
    <col width="12.1640625" customWidth="1" style="160" min="650" max="650"/>
    <col width="12" customWidth="1" style="160" min="651" max="651"/>
    <col width="11.83203125" customWidth="1" style="160" min="652" max="652"/>
    <col width="11.33203125" customWidth="1" style="160" min="653" max="653"/>
    <col width="11.6640625" customWidth="1" style="160" min="654" max="654"/>
    <col width="10.83203125" customWidth="1" style="160" min="655" max="655"/>
    <col width="12.5" customWidth="1" style="160" min="656" max="656"/>
    <col width="11" customWidth="1" style="160" min="657" max="657"/>
    <col width="10.83203125" customWidth="1" style="160" min="658" max="658"/>
    <col width="11.5" customWidth="1" style="160" min="659" max="659"/>
    <col width="10.83203125" customWidth="1" style="160" min="660" max="660"/>
    <col width="11.5" customWidth="1" style="160" min="661" max="661"/>
    <col width="15" customWidth="1" style="160" min="662" max="662"/>
    <col width="12.6640625" customWidth="1" style="160" min="663" max="663"/>
    <col width="13" customWidth="1" style="160" min="664" max="664"/>
    <col width="11.33203125" customWidth="1" style="160" min="665" max="665"/>
    <col width="13" customWidth="1" style="160" min="666" max="666"/>
    <col width="11.6640625" customWidth="1" style="160" min="667" max="667"/>
    <col width="11.5" customWidth="1" style="160" min="668" max="668"/>
    <col width="12.1640625" customWidth="1" style="160" min="669" max="669"/>
    <col width="11.83203125" customWidth="1" style="160" min="670" max="671"/>
    <col width="10.5" customWidth="1" style="160" min="672" max="672"/>
    <col width="11.6640625" customWidth="1" style="160" min="673" max="673"/>
    <col width="11.5" customWidth="1" style="160" min="674" max="674"/>
    <col width="11" customWidth="1" style="160" min="675" max="676"/>
    <col width="10.83203125" customWidth="1" style="160" min="677" max="677"/>
    <col width="11" customWidth="1" style="160" min="678" max="678"/>
    <col width="12.83203125" customWidth="1" style="160" min="679" max="679"/>
    <col width="11.33203125" customWidth="1" style="160" min="680" max="680"/>
    <col width="11.1640625" customWidth="1" style="160" min="681" max="681"/>
    <col width="11.83203125" customWidth="1" style="160" min="682" max="682"/>
    <col width="12.5" customWidth="1" style="160" min="683" max="683"/>
    <col width="11.1640625" customWidth="1" style="160" min="684" max="684"/>
    <col width="11.83203125" customWidth="1" style="160" min="685" max="685"/>
    <col width="12.5" customWidth="1" style="160" min="686" max="686"/>
    <col width="13.33203125" customWidth="1" style="160" min="687" max="687"/>
    <col width="11" customWidth="1" style="160" min="688" max="688"/>
    <col width="11.83203125" customWidth="1" style="160" min="689" max="690"/>
    <col width="11" customWidth="1" style="160" min="691" max="691"/>
    <col width="11.83203125" customWidth="1" style="160" min="692" max="692"/>
    <col width="12.5" customWidth="1" style="160" min="693" max="693"/>
    <col width="16.6640625" customWidth="1" style="160" min="694" max="694"/>
    <col width="11.83203125" customWidth="1" style="160" min="695" max="695"/>
    <col width="12.33203125" customWidth="1" style="160" min="696" max="696"/>
    <col width="12" customWidth="1" style="160" min="697" max="697"/>
    <col width="10.5" customWidth="1" style="160" min="698" max="698"/>
    <col width="11.5" customWidth="1" style="160" min="699" max="699"/>
    <col width="10.83203125" customWidth="1" style="160" min="700" max="700"/>
    <col width="11" customWidth="1" style="160" min="701" max="701"/>
    <col width="11.1640625" customWidth="1" style="160" min="702" max="702"/>
    <col width="11.6640625" customWidth="1" style="160" min="703" max="703"/>
    <col width="11.1640625" customWidth="1" style="160" min="704" max="704"/>
    <col width="10.6640625" customWidth="1" style="160" min="705" max="705"/>
    <col width="10.83203125" customWidth="1" style="160" min="706" max="706"/>
    <col width="11" customWidth="1" style="160" min="707" max="707"/>
    <col width="13.5" customWidth="1" style="160" min="708" max="708"/>
    <col width="11" customWidth="1" style="160" min="709" max="709"/>
    <col width="10.6640625" customWidth="1" style="160" min="710" max="710"/>
    <col width="11.1640625" customWidth="1" style="160" min="711" max="711"/>
    <col width="10.83203125" customWidth="1" style="160" min="712" max="712"/>
    <col width="10.5" customWidth="1" style="160" min="713" max="713"/>
    <col width="11.1640625" customWidth="1" style="160" min="714" max="714"/>
    <col width="11.6640625" customWidth="1" style="160" min="715" max="715"/>
    <col width="11.33203125" customWidth="1" style="160" min="716" max="716"/>
    <col width="11.5" customWidth="1" style="160" min="717" max="717"/>
    <col width="13.83203125" customWidth="1" style="160" min="718" max="718"/>
    <col width="11.5" customWidth="1" style="160" min="719" max="719"/>
    <col width="10.83203125" customWidth="1" style="160" min="720" max="720"/>
    <col width="11.83203125" customWidth="1" style="160" min="721" max="721"/>
    <col width="10.83203125" customWidth="1" style="160" min="722" max="722"/>
    <col width="11.1640625" customWidth="1" style="160" min="723" max="723"/>
    <col width="10.6640625" customWidth="1" style="160" min="724" max="724"/>
    <col width="15.5" customWidth="1" style="160" min="725" max="725"/>
    <col width="13" customWidth="1" style="160" min="726" max="727"/>
    <col width="12" customWidth="1" style="160" min="728" max="728"/>
    <col width="11.5" customWidth="1" style="160" min="729" max="729"/>
    <col width="11.1640625" customWidth="1" style="160" min="730" max="730"/>
    <col width="11.83203125" customWidth="1" style="160" min="731" max="731"/>
    <col width="11.6640625" customWidth="1" style="160" min="732" max="732"/>
    <col width="12" customWidth="1" style="160" min="733" max="733"/>
    <col width="11.83203125" customWidth="1" style="160" min="734" max="734"/>
    <col width="15" customWidth="1" style="160" min="735" max="735"/>
    <col width="12.83203125" customWidth="1" style="160" min="736" max="736"/>
    <col width="11.6640625" customWidth="1" style="160" min="737" max="737"/>
    <col width="10.83203125" customWidth="1" style="160" min="738" max="738"/>
    <col width="11.1640625" customWidth="1" style="160" min="739" max="739"/>
    <col width="12.6640625" customWidth="1" style="160" min="740" max="740"/>
    <col width="12.5" customWidth="1" style="160" min="741" max="741"/>
    <col width="11.1640625" customWidth="1" style="160" min="742" max="742"/>
    <col width="11.33203125" customWidth="1" style="160" min="743" max="743"/>
    <col width="11.6640625" customWidth="1" style="160" min="744" max="744"/>
    <col width="11.33203125" customWidth="1" style="160" min="745" max="746"/>
    <col width="11.83203125" customWidth="1" style="160" min="747" max="747"/>
    <col width="11" customWidth="1" style="160" min="748" max="748"/>
    <col width="11.1640625" customWidth="1" style="160" min="749" max="749"/>
    <col width="11.83203125" customWidth="1" style="160" min="750" max="750"/>
    <col width="10.83203125" customWidth="1" style="160" min="751" max="751"/>
    <col width="11.1640625" customWidth="1" style="160" min="752" max="752"/>
    <col width="11.33203125" customWidth="1" style="160" min="753" max="753"/>
    <col width="13.1640625" customWidth="1" style="160" min="754" max="754"/>
    <col width="12.1640625" customWidth="1" style="160" min="755" max="755"/>
    <col width="12.5" customWidth="1" style="160" min="756" max="756"/>
    <col width="19" customWidth="1" style="160" min="757" max="757"/>
    <col width="16.5" customWidth="1" style="160" min="758" max="758"/>
    <col width="12.5" customWidth="1" style="160" min="759" max="760"/>
    <col width="11.5" customWidth="1" style="160" min="761" max="761"/>
    <col width="11.1640625" customWidth="1" style="160" min="762" max="762"/>
    <col width="10.5" customWidth="1" style="160" min="763" max="763"/>
    <col width="11.5" customWidth="1" style="160" min="764" max="764"/>
    <col width="12" customWidth="1" style="160" min="765" max="765"/>
    <col width="11.1640625" customWidth="1" style="160" min="766" max="766"/>
    <col width="12.83203125" customWidth="1" style="160" min="767" max="767"/>
    <col width="11.6640625" customWidth="1" style="160" min="768" max="768"/>
    <col width="12.83203125" customWidth="1" style="160" min="769" max="769"/>
    <col width="12.6640625" customWidth="1" style="160" min="770" max="770"/>
    <col width="12.1640625" customWidth="1" style="160" min="771" max="771"/>
    <col width="12.83203125" customWidth="1" style="160" min="772" max="772"/>
    <col width="12.1640625" customWidth="1" style="160" min="773" max="773"/>
    <col width="13.6640625" customWidth="1" style="160" min="774" max="774"/>
    <col width="12.6640625" customWidth="1" style="160" min="775" max="775"/>
    <col width="15.6640625" customWidth="1" style="160" min="776" max="776"/>
    <col width="13.6640625" customWidth="1" style="160" min="777" max="777"/>
    <col width="13.83203125" customWidth="1" style="160" min="778" max="778"/>
    <col width="13" customWidth="1" style="160" min="779" max="779"/>
    <col width="12.83203125" customWidth="1" style="160" min="780" max="780"/>
    <col width="12.33203125" customWidth="1" style="160" min="781" max="781"/>
    <col width="13.1640625" customWidth="1" style="160" min="782" max="782"/>
    <col width="12.33203125" customWidth="1" style="160" min="783" max="783"/>
    <col width="13.1640625" customWidth="1" style="160" min="784" max="784"/>
    <col width="12.6640625" customWidth="1" style="160" min="785" max="785"/>
    <col width="12.5" customWidth="1" style="160" min="786" max="786"/>
    <col width="12.1640625" customWidth="1" style="160" min="787" max="787"/>
    <col width="13.33203125" customWidth="1" style="160" min="788" max="788"/>
    <col width="16.5" customWidth="1" style="160" min="789" max="789"/>
    <col width="13.1640625" customWidth="1" style="160" min="790" max="790"/>
    <col width="13.5" customWidth="1" style="160" min="791" max="791"/>
    <col width="12.33203125" customWidth="1" style="160" min="792" max="792"/>
    <col width="12.83203125" customWidth="1" style="160" min="793" max="793"/>
    <col width="14.1640625" customWidth="1" style="160" min="794" max="794"/>
    <col width="12.1640625" customWidth="1" style="160" min="795" max="795"/>
    <col width="10.6640625" customWidth="1" style="160" min="796" max="796"/>
    <col width="11.83203125" customWidth="1" style="160" min="797" max="797"/>
    <col width="11.5" customWidth="1" style="160" min="798" max="798"/>
    <col width="11" customWidth="1" style="160" min="799" max="799"/>
    <col width="11.1640625" customWidth="1" style="160" min="800" max="801"/>
    <col width="10.83203125" customWidth="1" style="160" min="802" max="803"/>
    <col width="10.6640625" customWidth="1" style="160" min="804" max="804"/>
    <col width="13.33203125" customWidth="1" style="160" min="805" max="805"/>
    <col width="11.83203125" customWidth="1" style="160" min="806" max="806"/>
    <col width="11.5" customWidth="1" style="160" min="807" max="807"/>
    <col width="11.1640625" customWidth="1" style="160" min="808" max="808"/>
    <col width="11.5" customWidth="1" style="160" min="809" max="809"/>
    <col width="10.6640625" customWidth="1" style="160" min="810" max="810"/>
    <col width="13.83203125" customWidth="1" style="160" min="811" max="811"/>
    <col width="12.6640625" customWidth="1" style="160" min="812" max="812"/>
    <col width="11.83203125" customWidth="1" style="160" min="813" max="813"/>
    <col width="11.6640625" customWidth="1" style="160" min="814" max="815"/>
    <col width="12" customWidth="1" style="160" min="816" max="816"/>
    <col width="10.6640625" customWidth="1" style="160" min="817" max="817"/>
    <col width="12.33203125" customWidth="1" style="160" min="818" max="818"/>
    <col width="13.5" customWidth="1" style="160" min="819" max="819"/>
    <col width="15.33203125" customWidth="1" style="160" min="820" max="820"/>
    <col width="12.5" customWidth="1" style="160" min="821" max="821"/>
    <col width="11.6640625" customWidth="1" style="160" min="822" max="822"/>
    <col width="11.33203125" customWidth="1" style="160" min="823" max="823"/>
    <col width="11.83203125" customWidth="1" style="160" min="824" max="824"/>
    <col width="12.6640625" customWidth="1" style="160" min="825" max="825"/>
    <col width="11.33203125" customWidth="1" style="160" min="826" max="826"/>
    <col width="12" customWidth="1" style="160" min="827" max="827"/>
    <col width="10.6640625" customWidth="1" style="160" min="828" max="828"/>
    <col width="12.5" customWidth="1" style="160" min="829" max="829"/>
    <col width="10.6640625" customWidth="1" style="160" min="830" max="830"/>
    <col width="11.83203125" customWidth="1" style="160" min="831" max="831"/>
    <col width="12.33203125" customWidth="1" style="160" min="832" max="832"/>
    <col width="11.5" customWidth="1" style="160" min="833" max="833"/>
    <col width="11.6640625" customWidth="1" style="160" min="834" max="834"/>
    <col width="11.1640625" customWidth="1" style="160" min="835" max="835"/>
    <col width="11.6640625" customWidth="1" style="160" min="836" max="837"/>
    <col width="11.1640625" customWidth="1" style="160" min="838" max="838"/>
    <col width="11.6640625" customWidth="1" style="160" min="839" max="839"/>
    <col width="12" customWidth="1" style="160" min="840" max="840"/>
    <col width="11.33203125" customWidth="1" style="160" min="841" max="841"/>
    <col width="12.1640625" customWidth="1" style="160" min="842" max="842"/>
    <col width="13" customWidth="1" style="160" min="843" max="843"/>
    <col width="12.5" customWidth="1" style="160" min="844" max="844"/>
    <col width="12" customWidth="1" style="160" min="845" max="845"/>
    <col width="11.83203125" customWidth="1" style="160" min="846" max="846"/>
    <col width="13.33203125" customWidth="1" style="160" min="847" max="847"/>
    <col width="11.6640625" customWidth="1" style="160" min="848" max="848"/>
    <col width="12.83203125" customWidth="1" style="160" min="849" max="849"/>
    <col width="12.6640625" customWidth="1" style="160" min="850" max="850"/>
    <col width="15" customWidth="1" style="160" min="851" max="851"/>
    <col width="17.5" customWidth="1" style="160" min="852" max="852"/>
    <col width="13.5" customWidth="1" style="160" min="853" max="853"/>
    <col width="12.5" customWidth="1" style="160" min="854" max="854"/>
    <col width="11.6640625" customWidth="1" style="160" min="855" max="855"/>
    <col width="11.5" customWidth="1" style="160" min="856" max="858"/>
    <col width="10.6640625" customWidth="1" style="160" min="859" max="859"/>
    <col width="11.83203125" customWidth="1" style="160" min="860" max="860"/>
    <col width="12.33203125" customWidth="1" style="160" min="861" max="861"/>
    <col width="11.33203125" customWidth="1" style="160" min="862" max="862"/>
    <col width="13" customWidth="1" style="160" min="863" max="863"/>
    <col width="12" customWidth="1" style="160" min="864" max="864"/>
    <col width="11.33203125" customWidth="1" style="160" min="865" max="865"/>
    <col width="11" customWidth="1" style="160" min="866" max="867"/>
    <col width="10.83203125" customWidth="1" style="160" min="868" max="868"/>
    <col width="14" customWidth="1" style="160" min="869" max="869"/>
    <col width="10.83203125" customWidth="1" style="160" min="870" max="870"/>
    <col width="12.1640625" customWidth="1" style="160" min="871" max="871"/>
    <col width="12" customWidth="1" style="160" min="872" max="872"/>
    <col width="11.33203125" customWidth="1" style="160" min="873" max="873"/>
    <col width="11.5" customWidth="1" style="160" min="874" max="874"/>
    <col width="11" customWidth="1" style="160" min="875" max="875"/>
    <col width="11.33203125" customWidth="1" style="160" min="876" max="876"/>
    <col width="12.1640625" customWidth="1" style="160" min="877" max="878"/>
    <col width="12" customWidth="1" style="160" min="879" max="879"/>
    <col width="11.33203125" customWidth="1" style="160" min="880" max="880"/>
    <col width="11.6640625" customWidth="1" style="160" min="881" max="881"/>
    <col width="10.83203125" customWidth="1" style="160" min="882" max="882"/>
    <col width="16.33203125" customWidth="1" style="160" min="883" max="883"/>
    <col width="12" customWidth="1" style="160" min="884" max="884"/>
    <col width="12.5" customWidth="1" style="160" min="885" max="885"/>
    <col width="12" customWidth="1" style="160" min="886" max="886"/>
    <col width="12.6640625" customWidth="1" style="160" min="887" max="887"/>
    <col width="11.83203125" customWidth="1" style="160" min="888" max="888"/>
    <col width="11" customWidth="1" style="160" min="889" max="889"/>
    <col width="10.83203125" customWidth="1" style="160" min="890" max="890"/>
    <col width="12.83203125" customWidth="1" style="160" min="891" max="891"/>
    <col width="11.5" customWidth="1" style="160" min="892" max="892"/>
    <col width="10.83203125" customWidth="1" style="160" min="893" max="893"/>
    <col width="10.6640625" customWidth="1" style="160" min="894" max="894"/>
    <col width="12.1640625" customWidth="1" style="160" min="895" max="895"/>
    <col width="11.83203125" customWidth="1" style="160" min="896" max="896"/>
    <col width="10.6640625" customWidth="1" style="160" min="897" max="897"/>
    <col width="10.5" customWidth="1" style="160" min="898" max="898"/>
    <col width="10.6640625" customWidth="1" style="160" min="899" max="899"/>
    <col width="11.6640625" customWidth="1" style="160" min="900" max="900"/>
    <col width="11.83203125" customWidth="1" style="160" min="901" max="901"/>
    <col width="11.33203125" customWidth="1" style="160" min="902" max="902"/>
    <col width="11.6640625" customWidth="1" style="160" min="903" max="903"/>
    <col width="11.5" customWidth="1" style="160" min="904" max="904"/>
    <col width="12" customWidth="1" style="160" min="905" max="905"/>
    <col width="11.33203125" customWidth="1" style="160" min="906" max="906"/>
    <col width="10.6640625" customWidth="1" style="160" min="907" max="907"/>
    <col width="11.5" customWidth="1" style="160" min="908" max="908"/>
    <col width="11.33203125" customWidth="1" style="160" min="909" max="909"/>
    <col width="12.5" customWidth="1" style="160" min="910" max="910"/>
    <col width="10.83203125" customWidth="1" style="160" min="911" max="911"/>
    <col width="11.6640625" customWidth="1" style="160" min="912" max="912"/>
    <col width="12.1640625" customWidth="1" style="160" min="913" max="913"/>
    <col width="12" customWidth="1" style="160" min="914" max="914"/>
    <col width="16.5" customWidth="1" style="160" min="915" max="915"/>
    <col width="12.6640625" customWidth="1" style="160" min="916" max="916"/>
    <col width="12.5" customWidth="1" style="160" min="917" max="917"/>
    <col width="12.1640625" customWidth="1" style="160" min="918" max="918"/>
    <col width="13.1640625" customWidth="1" style="160" min="919" max="919"/>
    <col width="11.83203125" customWidth="1" style="160" min="920" max="920"/>
    <col width="11.1640625" customWidth="1" style="160" min="921" max="921"/>
    <col width="10.6640625" customWidth="1" style="160" min="922" max="922"/>
    <col width="10.83203125" customWidth="1" style="160" min="923" max="923"/>
    <col width="11.1640625" customWidth="1" style="160" min="924" max="924"/>
    <col width="10.6640625" customWidth="1" style="160" min="925" max="925"/>
    <col width="12.1640625" customWidth="1" style="160" min="926" max="926"/>
    <col width="11.6640625" customWidth="1" style="160" min="927" max="927"/>
    <col width="11.5" customWidth="1" style="160" min="928" max="928"/>
    <col width="11.6640625" customWidth="1" style="160" min="929" max="929"/>
    <col width="10.33203125" customWidth="1" style="160" min="930" max="930"/>
    <col width="11.1640625" customWidth="1" style="160" min="931" max="931"/>
    <col width="10.33203125" customWidth="1" style="160" min="932" max="932"/>
    <col width="11" customWidth="1" style="160" min="933" max="933"/>
    <col width="10.83203125" customWidth="1" style="160" min="934" max="934"/>
    <col width="10.1640625" customWidth="1" style="160" min="935" max="935"/>
    <col width="11.6640625" customWidth="1" style="160" min="936" max="936"/>
    <col width="11.5" customWidth="1" style="160" min="937" max="937"/>
    <col width="11.33203125" customWidth="1" style="160" min="938" max="938"/>
    <col width="11.6640625" customWidth="1" style="160" min="939" max="939"/>
    <col width="11" customWidth="1" style="160" min="940" max="940"/>
    <col width="10.6640625" customWidth="1" style="160" min="941" max="941"/>
    <col width="10.5" customWidth="1" style="160" min="942" max="942"/>
    <col width="12" customWidth="1" style="160" min="943" max="943"/>
    <col width="11.33203125" customWidth="1" style="160" min="944" max="944"/>
    <col width="11.1640625" customWidth="1" style="160" min="945" max="945"/>
    <col width="10.6640625" customWidth="1" style="160" min="946" max="946"/>
    <col width="15.6640625" customWidth="1" style="160" min="947" max="947"/>
    <col width="13.33203125" customWidth="1" style="160" min="948" max="948"/>
    <col width="12.6640625" customWidth="1" style="160" min="949" max="949"/>
    <col width="11.33203125" customWidth="1" style="160" min="950" max="950"/>
    <col width="10.6640625" customWidth="1" style="160" min="951" max="951"/>
    <col width="11.5" customWidth="1" style="160" min="952" max="952"/>
    <col width="10.6640625" customWidth="1" style="160" min="953" max="954"/>
    <col width="11.5" customWidth="1" style="160" min="955" max="955"/>
    <col width="11.83203125" customWidth="1" style="160" min="956" max="956"/>
    <col width="12.5" customWidth="1" style="160" min="957" max="957"/>
    <col width="10.83203125" customWidth="1" style="160" min="958" max="958"/>
    <col width="11.5" customWidth="1" style="160" min="959" max="959"/>
    <col width="11.33203125" customWidth="1" style="160" min="960" max="961"/>
    <col width="12" customWidth="1" style="160" min="962" max="962"/>
    <col width="11.6640625" customWidth="1" style="160" min="963" max="963"/>
    <col width="11.1640625" customWidth="1" style="160" min="964" max="964"/>
    <col width="11.33203125" customWidth="1" style="160" min="965" max="966"/>
    <col width="10.6640625" customWidth="1" style="160" min="967" max="967"/>
    <col width="10.83203125" customWidth="1" style="160" min="968" max="968"/>
    <col width="10.6640625" customWidth="1" style="160" min="969" max="969"/>
    <col width="13" customWidth="1" style="160" min="970" max="970"/>
    <col width="11.6640625" customWidth="1" style="160" min="971" max="971"/>
    <col width="10.5" customWidth="1" style="160" min="972" max="972"/>
    <col width="11.5" customWidth="1" style="160" min="973" max="973"/>
    <col width="10.5" customWidth="1" style="160" min="974" max="974"/>
    <col width="11.83203125" customWidth="1" style="160" min="975" max="975"/>
    <col width="17" customWidth="1" style="160" min="976" max="976"/>
    <col width="13" customWidth="1" style="160" min="977" max="977"/>
    <col width="12.1640625" customWidth="1" style="160" min="978" max="978"/>
    <col width="11.5" customWidth="1" style="160" min="979" max="979"/>
    <col width="11" customWidth="1" style="160" min="980" max="980"/>
    <col width="11.6640625" customWidth="1" style="160" min="981" max="981"/>
    <col width="11.33203125" customWidth="1" style="160" min="982" max="982"/>
    <col width="10.5" customWidth="1" style="160" min="983" max="983"/>
    <col width="10.6640625" customWidth="1" style="160" min="984" max="984"/>
    <col width="11.6640625" customWidth="1" style="160" min="985" max="985"/>
    <col width="11.83203125" customWidth="1" style="160" min="986" max="986"/>
    <col width="12.5" customWidth="1" style="160" min="987" max="987"/>
    <col width="11.83203125" customWidth="1" style="160" min="988" max="988"/>
    <col width="12.1640625" customWidth="1" style="160" min="989" max="989"/>
    <col width="10.6640625" customWidth="1" style="160" min="990" max="990"/>
    <col width="10.83203125" customWidth="1" style="160" min="991" max="991"/>
    <col width="11.33203125" customWidth="1" style="160" min="992" max="992"/>
    <col width="10.6640625" customWidth="1" style="160" min="993" max="993"/>
    <col width="11.5" customWidth="1" style="160" min="994" max="994"/>
    <col width="11.1640625" customWidth="1" style="160" min="995" max="995"/>
    <col width="11.6640625" customWidth="1" style="160" min="996" max="996"/>
    <col width="12.83203125" customWidth="1" style="160" min="997" max="997"/>
    <col width="10.6640625" customWidth="1" style="160" min="998" max="998"/>
    <col width="12.83203125" customWidth="1" style="160" min="999" max="999"/>
    <col width="11.6640625" customWidth="1" style="160" min="1000" max="1000"/>
    <col width="10.6640625" customWidth="1" style="160" min="1001" max="1001"/>
    <col width="10.83203125" customWidth="1" style="160" min="1002" max="1002"/>
    <col width="11.6640625" customWidth="1" style="160" min="1003" max="1003"/>
    <col width="10.6640625" customWidth="1" style="160" min="1004" max="1004"/>
    <col width="11.5" customWidth="1" style="160" min="1005" max="1005"/>
    <col width="11.33203125" customWidth="1" style="160" min="1006" max="1006"/>
    <col width="11.6640625" customWidth="1" style="160" min="1007" max="1007"/>
    <col width="16.5" customWidth="1" style="160" min="1008" max="1008"/>
    <col width="12.6640625" customWidth="1" style="160" min="1009" max="1009"/>
    <col width="11.5" customWidth="1" style="160" min="1010" max="1010"/>
    <col width="10.5" customWidth="1" style="160" min="1011" max="1011"/>
    <col width="12.1640625" customWidth="1" style="160" min="1012" max="1012"/>
    <col width="10.83203125" customWidth="1" style="160" min="1013" max="1013"/>
    <col width="10.6640625" customWidth="1" style="160" min="1014" max="1014"/>
    <col width="11.5" customWidth="1" style="160" min="1015" max="1015"/>
    <col width="12.33203125" customWidth="1" style="160" min="1016" max="1016"/>
    <col width="12" customWidth="1" style="160" min="1017" max="1017"/>
    <col width="11.5" customWidth="1" style="160" min="1018" max="1018"/>
    <col width="11" customWidth="1" style="160" min="1019" max="1019"/>
    <col width="11.83203125" customWidth="1" style="160" min="1020" max="1020"/>
    <col width="11.5" customWidth="1" style="160" min="1021" max="1022"/>
    <col width="11.83203125" customWidth="1" style="160" min="1023" max="1023"/>
    <col width="11.33203125" customWidth="1" style="160" min="1024" max="1024"/>
    <col width="11.83203125" customWidth="1" style="160" min="1025" max="1025"/>
    <col width="11" customWidth="1" style="160" min="1026" max="1026"/>
    <col width="12.6640625" customWidth="1" style="160" min="1027" max="1027"/>
    <col width="11.1640625" customWidth="1" style="160" min="1028" max="1028"/>
    <col width="12.1640625" customWidth="1" style="160" min="1029" max="1029"/>
    <col width="11.33203125" customWidth="1" style="160" min="1030" max="1030"/>
    <col width="10.6640625" customWidth="1" style="160" min="1031" max="1031"/>
    <col width="11" customWidth="1" style="160" min="1032" max="1032"/>
    <col width="12.1640625" customWidth="1" style="160" min="1033" max="1033"/>
    <col width="11.6640625" customWidth="1" style="160" min="1034" max="1034"/>
    <col width="12.1640625" customWidth="1" style="160" min="1035" max="1035"/>
    <col width="10.83203125" customWidth="1" style="160" min="1036" max="1036"/>
    <col width="11.1640625" customWidth="1" style="160" min="1037" max="1037"/>
    <col width="11.33203125" customWidth="1" style="160" min="1038" max="1038"/>
    <col width="15.83203125" customWidth="1" style="160" min="1039" max="1039"/>
    <col width="12.5" customWidth="1" style="160" min="1040" max="1040"/>
    <col width="12.83203125" customWidth="1" style="160" min="1041" max="1041"/>
    <col width="11.1640625" customWidth="1" style="160" min="1042" max="1042"/>
    <col width="12.5" customWidth="1" style="160" min="1043" max="1043"/>
    <col width="12.1640625" customWidth="1" style="160" min="1044" max="1044"/>
    <col width="11.33203125" customWidth="1" style="160" min="1045" max="1045"/>
    <col width="11" customWidth="1" style="160" min="1046" max="1047"/>
    <col width="10.6640625" customWidth="1" style="160" min="1048" max="1048"/>
    <col width="11.6640625" customWidth="1" style="160" min="1049" max="1049"/>
    <col width="11.5" customWidth="1" style="160" min="1050" max="1050"/>
    <col width="10.1640625" customWidth="1" style="160" min="1051" max="1051"/>
    <col width="10.5" customWidth="1" style="160" min="1052" max="1053"/>
    <col width="11.33203125" customWidth="1" style="160" min="1054" max="1054"/>
    <col width="10.33203125" customWidth="1" style="160" min="1055" max="1056"/>
    <col width="11.33203125" customWidth="1" style="160" min="1057" max="1057"/>
    <col width="11" customWidth="1" style="160" min="1058" max="1059"/>
    <col width="10.6640625" customWidth="1" style="160" min="1060" max="1060"/>
    <col width="11" customWidth="1" style="160" min="1061" max="1061"/>
    <col width="10.5" customWidth="1" style="160" min="1062" max="1063"/>
    <col width="11" customWidth="1" style="160" min="1064" max="1064"/>
    <col width="10.33203125" customWidth="1" style="160" min="1065" max="1065"/>
    <col width="10.83203125" customWidth="1" style="160" min="1066" max="1066"/>
    <col width="11.33203125" customWidth="1" style="160" min="1067" max="1067"/>
    <col width="10.33203125" customWidth="1" style="160" min="1068" max="1068"/>
    <col width="11.33203125" customWidth="1" style="160" min="1069" max="1069"/>
  </cols>
  <sheetData>
    <row r="1">
      <c r="F1" s="1" t="n"/>
      <c r="AGO1" s="130" t="inlineStr">
        <is>
          <t>price change</t>
        </is>
      </c>
    </row>
    <row r="2">
      <c r="F2" s="1" t="n"/>
      <c r="SI2" s="13" t="n"/>
      <c r="AGO2" s="130" t="n">
        <v>502.317</v>
      </c>
    </row>
    <row r="3">
      <c r="A3" s="2" t="inlineStr">
        <is>
          <t>ITEMS</t>
        </is>
      </c>
      <c r="B3" s="2" t="inlineStr">
        <is>
          <t>PARTICULARS</t>
        </is>
      </c>
      <c r="C3" s="3" t="n">
        <v>44204</v>
      </c>
      <c r="D3" s="3" t="n">
        <v>44965</v>
      </c>
      <c r="E3" s="3" t="n">
        <v>44993</v>
      </c>
      <c r="F3" s="3" t="n">
        <v>45024</v>
      </c>
      <c r="G3" s="3" t="n">
        <v>45054</v>
      </c>
      <c r="H3" s="3" t="n">
        <v>45085</v>
      </c>
      <c r="I3" s="3" t="n">
        <v>45115</v>
      </c>
      <c r="J3" s="3" t="n">
        <v>45146</v>
      </c>
      <c r="K3" s="3" t="n">
        <v>45177</v>
      </c>
      <c r="L3" s="3" t="n">
        <v>45207</v>
      </c>
      <c r="M3" s="3" t="n">
        <v>45238</v>
      </c>
      <c r="N3" s="3" t="n">
        <v>45268</v>
      </c>
      <c r="O3" s="3" t="inlineStr">
        <is>
          <t>13/8/23</t>
        </is>
      </c>
      <c r="P3" s="3" t="inlineStr">
        <is>
          <t>14/8/23</t>
        </is>
      </c>
      <c r="Q3" s="3" t="inlineStr">
        <is>
          <t>15/8/23</t>
        </is>
      </c>
      <c r="R3" s="3" t="inlineStr">
        <is>
          <t>16/8/23</t>
        </is>
      </c>
      <c r="S3" s="3" t="inlineStr">
        <is>
          <t>17/8/23</t>
        </is>
      </c>
      <c r="T3" s="3" t="inlineStr">
        <is>
          <t>18/8/23</t>
        </is>
      </c>
      <c r="U3" s="3" t="inlineStr">
        <is>
          <t>19/8/23</t>
        </is>
      </c>
      <c r="V3" s="3" t="inlineStr">
        <is>
          <t>20/8/23</t>
        </is>
      </c>
      <c r="W3" s="3" t="inlineStr">
        <is>
          <t>21/8/23</t>
        </is>
      </c>
      <c r="X3" s="3" t="inlineStr">
        <is>
          <t>22/8/23</t>
        </is>
      </c>
      <c r="Y3" s="3" t="inlineStr">
        <is>
          <t>23/8/23</t>
        </is>
      </c>
      <c r="Z3" s="3" t="inlineStr">
        <is>
          <t>24/8/23</t>
        </is>
      </c>
      <c r="AA3" s="3" t="inlineStr">
        <is>
          <t>25/8/23</t>
        </is>
      </c>
      <c r="AB3" s="3" t="inlineStr">
        <is>
          <t>26/8/23</t>
        </is>
      </c>
      <c r="AC3" s="3" t="inlineStr">
        <is>
          <t>27/8/23</t>
        </is>
      </c>
      <c r="AD3" s="3" t="inlineStr">
        <is>
          <t>28/8/23</t>
        </is>
      </c>
      <c r="AE3" s="3" t="inlineStr">
        <is>
          <t>29/8/23</t>
        </is>
      </c>
      <c r="AF3" s="3" t="inlineStr">
        <is>
          <t>30/8/23</t>
        </is>
      </c>
      <c r="AG3" s="3" t="inlineStr">
        <is>
          <t>31/8/23</t>
        </is>
      </c>
      <c r="AH3" s="93" t="inlineStr">
        <is>
          <t>MONTHLY TOTAL</t>
        </is>
      </c>
      <c r="AI3" s="88" t="n">
        <v>45170</v>
      </c>
      <c r="AJ3" s="88">
        <f>AI3+1</f>
        <v/>
      </c>
      <c r="AK3" s="88">
        <f>AJ3+1</f>
        <v/>
      </c>
      <c r="AL3" s="88">
        <f>AK3+1</f>
        <v/>
      </c>
      <c r="AM3" s="88">
        <f>AL3+1</f>
        <v/>
      </c>
      <c r="AN3" s="88">
        <f>AM3+1</f>
        <v/>
      </c>
      <c r="AO3" s="88">
        <f>AN3+1</f>
        <v/>
      </c>
      <c r="AP3" s="88">
        <f>AO3+1</f>
        <v/>
      </c>
      <c r="AQ3" s="88">
        <f>AP3+1</f>
        <v/>
      </c>
      <c r="AR3" s="88">
        <f>AQ3+1</f>
        <v/>
      </c>
      <c r="AS3" s="88">
        <f>AR3+1</f>
        <v/>
      </c>
      <c r="AT3" s="88">
        <f>AS3+1</f>
        <v/>
      </c>
      <c r="AU3" s="88">
        <f>AT3+1</f>
        <v/>
      </c>
      <c r="AV3" s="88">
        <f>AU3+1</f>
        <v/>
      </c>
      <c r="AW3" s="88">
        <f>AV3+1</f>
        <v/>
      </c>
      <c r="AX3" s="88">
        <f>AW3+1</f>
        <v/>
      </c>
      <c r="AY3" s="88">
        <f>AX3+1</f>
        <v/>
      </c>
      <c r="AZ3" s="88">
        <f>AY3+1</f>
        <v/>
      </c>
      <c r="BA3" s="88">
        <f>AZ3+1</f>
        <v/>
      </c>
      <c r="BB3" s="88">
        <f>BA3+1</f>
        <v/>
      </c>
      <c r="BC3" s="88">
        <f>BB3+1</f>
        <v/>
      </c>
      <c r="BD3" s="88">
        <f>BC3+1</f>
        <v/>
      </c>
      <c r="BE3" s="88">
        <f>BD3+1</f>
        <v/>
      </c>
      <c r="BF3" s="88">
        <f>BE3+1</f>
        <v/>
      </c>
      <c r="BG3" s="88">
        <f>BF3+1</f>
        <v/>
      </c>
      <c r="BH3" s="88">
        <f>BG3+1</f>
        <v/>
      </c>
      <c r="BI3" s="88">
        <f>BH3+1</f>
        <v/>
      </c>
      <c r="BJ3" s="88">
        <f>BI3+1</f>
        <v/>
      </c>
      <c r="BK3" s="88">
        <f>BJ3+1</f>
        <v/>
      </c>
      <c r="BL3" s="88">
        <f>BK3+1</f>
        <v/>
      </c>
      <c r="BM3" s="96" t="inlineStr">
        <is>
          <t>Monthly Total</t>
        </is>
      </c>
      <c r="BN3" s="88">
        <f>AI3+30</f>
        <v/>
      </c>
      <c r="BO3" s="88">
        <f>AJ3+30</f>
        <v/>
      </c>
      <c r="BP3" s="88">
        <f>AK3+30</f>
        <v/>
      </c>
      <c r="BQ3" s="88">
        <f>AL3+30</f>
        <v/>
      </c>
      <c r="BR3" s="88">
        <f>AM3+30</f>
        <v/>
      </c>
      <c r="BS3" s="88">
        <f>AN3+30</f>
        <v/>
      </c>
      <c r="BT3" s="88">
        <f>AO3+30</f>
        <v/>
      </c>
      <c r="BU3" s="88">
        <f>AP3+30</f>
        <v/>
      </c>
      <c r="BV3" s="88">
        <f>AQ3+30</f>
        <v/>
      </c>
      <c r="BW3" s="88">
        <f>AR3+30</f>
        <v/>
      </c>
      <c r="BX3" s="88">
        <f>AS3+30</f>
        <v/>
      </c>
      <c r="BY3" s="88">
        <f>AT3+30</f>
        <v/>
      </c>
      <c r="BZ3" s="88">
        <f>AU3+30</f>
        <v/>
      </c>
      <c r="CA3" s="88">
        <f>AV3+30</f>
        <v/>
      </c>
      <c r="CB3" s="88">
        <f>AW3+30</f>
        <v/>
      </c>
      <c r="CC3" s="88">
        <f>AX3+30</f>
        <v/>
      </c>
      <c r="CD3" s="88">
        <f>AY3+30</f>
        <v/>
      </c>
      <c r="CE3" s="88">
        <f>AZ3+30</f>
        <v/>
      </c>
      <c r="CF3" s="88">
        <f>BA3+30</f>
        <v/>
      </c>
      <c r="CG3" s="88">
        <f>BB3+30</f>
        <v/>
      </c>
      <c r="CH3" s="88">
        <f>BC3+30</f>
        <v/>
      </c>
      <c r="CI3" s="88">
        <f>BD3+30</f>
        <v/>
      </c>
      <c r="CJ3" s="88">
        <f>BE3+30</f>
        <v/>
      </c>
      <c r="CK3" s="88">
        <f>BF3+30</f>
        <v/>
      </c>
      <c r="CL3" s="88">
        <f>BG3+30</f>
        <v/>
      </c>
      <c r="CM3" s="88">
        <f>BH3+30</f>
        <v/>
      </c>
      <c r="CN3" s="88">
        <f>BI3+30</f>
        <v/>
      </c>
      <c r="CO3" s="88">
        <f>BJ3+30</f>
        <v/>
      </c>
      <c r="CP3" s="88">
        <f>BK3+30</f>
        <v/>
      </c>
      <c r="CQ3" s="88">
        <f>BL3+30</f>
        <v/>
      </c>
      <c r="CR3" s="88">
        <f>BN3+30</f>
        <v/>
      </c>
      <c r="CS3" s="88" t="inlineStr">
        <is>
          <t>Monthly Total</t>
        </is>
      </c>
      <c r="CT3" s="88">
        <f>BO3+30</f>
        <v/>
      </c>
      <c r="CU3" s="88">
        <f>BP3+30</f>
        <v/>
      </c>
      <c r="CV3" s="88">
        <f>BQ3+30</f>
        <v/>
      </c>
      <c r="CW3" s="88">
        <f>BR3+30</f>
        <v/>
      </c>
      <c r="CX3" s="88">
        <f>BS3+30</f>
        <v/>
      </c>
      <c r="CY3" s="88">
        <f>BT3+30</f>
        <v/>
      </c>
      <c r="CZ3" s="88">
        <f>BU3+30</f>
        <v/>
      </c>
      <c r="DA3" s="88">
        <f>BV3+30</f>
        <v/>
      </c>
      <c r="DB3" s="88">
        <f>BW3+30</f>
        <v/>
      </c>
      <c r="DC3" s="88">
        <f>BX3+30</f>
        <v/>
      </c>
      <c r="DD3" s="88">
        <f>BY3+30</f>
        <v/>
      </c>
      <c r="DE3" s="88">
        <f>BZ3+30</f>
        <v/>
      </c>
      <c r="DF3" s="88">
        <f>CA3+30</f>
        <v/>
      </c>
      <c r="DG3" s="88">
        <f>CB3+30</f>
        <v/>
      </c>
      <c r="DH3" s="88">
        <f>CC3+30</f>
        <v/>
      </c>
      <c r="DI3" s="88">
        <f>CD3+30</f>
        <v/>
      </c>
      <c r="DJ3" s="88">
        <f>CE3+30</f>
        <v/>
      </c>
      <c r="DK3" s="88">
        <f>CF3+30</f>
        <v/>
      </c>
      <c r="DL3" s="88">
        <f>CG3+30</f>
        <v/>
      </c>
      <c r="DM3" s="88">
        <f>CH3+30</f>
        <v/>
      </c>
      <c r="DN3" s="88">
        <f>CI3+30</f>
        <v/>
      </c>
      <c r="DO3" s="88">
        <f>CJ3+30</f>
        <v/>
      </c>
      <c r="DP3" s="88">
        <f>CK3+30</f>
        <v/>
      </c>
      <c r="DQ3" s="88">
        <f>CL3+30</f>
        <v/>
      </c>
      <c r="DR3" s="88">
        <f>CM3+30</f>
        <v/>
      </c>
      <c r="DS3" s="88">
        <f>CN3+30</f>
        <v/>
      </c>
      <c r="DT3" s="88">
        <f>CO3+30</f>
        <v/>
      </c>
      <c r="DU3" s="88">
        <f>CP3+30</f>
        <v/>
      </c>
      <c r="DV3" s="88">
        <f>CQ3+30</f>
        <v/>
      </c>
      <c r="DW3" s="88">
        <f>CR3+30</f>
        <v/>
      </c>
      <c r="DX3" s="88" t="inlineStr">
        <is>
          <t>MONTHLY TOTAL</t>
        </is>
      </c>
      <c r="DY3" s="115" t="n">
        <v>45261</v>
      </c>
      <c r="DZ3" s="115">
        <f>DY3+1</f>
        <v/>
      </c>
      <c r="EA3" s="115">
        <f>DZ3+1</f>
        <v/>
      </c>
      <c r="EB3" s="115">
        <f>EA3+1</f>
        <v/>
      </c>
      <c r="EC3" s="115">
        <f>EB3+1</f>
        <v/>
      </c>
      <c r="ED3" s="115">
        <f>EC3+1</f>
        <v/>
      </c>
      <c r="EE3" s="115">
        <f>ED3+1</f>
        <v/>
      </c>
      <c r="EF3" s="115">
        <f>EE3+1</f>
        <v/>
      </c>
      <c r="EG3" s="115">
        <f>EF3+1</f>
        <v/>
      </c>
      <c r="EH3" s="115">
        <f>EG3+1</f>
        <v/>
      </c>
      <c r="EI3" s="115">
        <f>EH3+1</f>
        <v/>
      </c>
      <c r="EJ3" s="115">
        <f>EI3+1</f>
        <v/>
      </c>
      <c r="EK3" s="115">
        <f>EJ3+1</f>
        <v/>
      </c>
      <c r="EL3" s="115">
        <f>EK3+1</f>
        <v/>
      </c>
      <c r="EM3" s="115">
        <f>EL3+1</f>
        <v/>
      </c>
      <c r="EN3" s="115">
        <f>EM3+1</f>
        <v/>
      </c>
      <c r="EO3" s="115">
        <f>EN3+1</f>
        <v/>
      </c>
      <c r="EP3" s="115">
        <f>EO3+1</f>
        <v/>
      </c>
      <c r="EQ3" s="115">
        <f>EP3+1</f>
        <v/>
      </c>
      <c r="ER3" s="115">
        <f>EQ3+1</f>
        <v/>
      </c>
      <c r="ES3" s="115">
        <f>ER3+1</f>
        <v/>
      </c>
      <c r="ET3" s="115">
        <f>ES3+1</f>
        <v/>
      </c>
      <c r="EU3" s="115">
        <f>ET3+1</f>
        <v/>
      </c>
      <c r="EV3" s="115">
        <f>EU3+1</f>
        <v/>
      </c>
      <c r="EW3" s="115">
        <f>EV3+1</f>
        <v/>
      </c>
      <c r="EX3" s="115">
        <f>EW3+1</f>
        <v/>
      </c>
      <c r="EY3" s="115">
        <f>EX3+1</f>
        <v/>
      </c>
      <c r="EZ3" s="115">
        <f>EY3+1</f>
        <v/>
      </c>
      <c r="FA3" s="115">
        <f>EZ3+1</f>
        <v/>
      </c>
      <c r="FB3" s="115">
        <f>FA3+1</f>
        <v/>
      </c>
      <c r="FC3" s="115">
        <f>FB3+1</f>
        <v/>
      </c>
      <c r="FD3" s="125" t="inlineStr">
        <is>
          <t>MONTHLY TOTAL</t>
        </is>
      </c>
      <c r="FE3" s="115">
        <f>FC3+1</f>
        <v/>
      </c>
      <c r="FF3" s="115">
        <f>FE3+1</f>
        <v/>
      </c>
      <c r="FG3" s="115">
        <f>FF3+1</f>
        <v/>
      </c>
      <c r="FH3" s="115">
        <f>FG3+1</f>
        <v/>
      </c>
      <c r="FI3" s="115">
        <f>FH3+1</f>
        <v/>
      </c>
      <c r="FJ3" s="115">
        <f>FI3+1</f>
        <v/>
      </c>
      <c r="FK3" s="115">
        <f>FJ3+1</f>
        <v/>
      </c>
      <c r="FL3" s="115">
        <f>FK3+1</f>
        <v/>
      </c>
      <c r="FM3" s="115">
        <f>FL3+1</f>
        <v/>
      </c>
      <c r="FN3" s="115">
        <f>FM3+1</f>
        <v/>
      </c>
      <c r="FO3" s="115">
        <f>FN3+1</f>
        <v/>
      </c>
      <c r="FP3" s="115">
        <f>FO3+1</f>
        <v/>
      </c>
      <c r="FQ3" s="115">
        <f>FP3+1</f>
        <v/>
      </c>
      <c r="FR3" s="115">
        <f>FQ3+1</f>
        <v/>
      </c>
      <c r="FS3" s="115">
        <f>FR3+1</f>
        <v/>
      </c>
      <c r="FT3" s="115">
        <f>FS3+1</f>
        <v/>
      </c>
      <c r="FU3" s="115">
        <f>FT3+1</f>
        <v/>
      </c>
      <c r="FV3" s="115">
        <f>FU3+1</f>
        <v/>
      </c>
      <c r="FW3" s="115">
        <f>FV3+1</f>
        <v/>
      </c>
      <c r="FX3" s="115">
        <f>FW3+1</f>
        <v/>
      </c>
      <c r="FY3" s="115">
        <f>FX3+1</f>
        <v/>
      </c>
      <c r="FZ3" s="115">
        <f>FY3+1</f>
        <v/>
      </c>
      <c r="GA3" s="115">
        <f>FZ3+1</f>
        <v/>
      </c>
      <c r="GB3" s="115">
        <f>GA3+1</f>
        <v/>
      </c>
      <c r="GC3" s="115">
        <f>GB3+1</f>
        <v/>
      </c>
      <c r="GD3" s="115">
        <f>GC3+1</f>
        <v/>
      </c>
      <c r="GE3" s="115">
        <f>GD3+1</f>
        <v/>
      </c>
      <c r="GF3" s="115">
        <f>GE3+1</f>
        <v/>
      </c>
      <c r="GG3" s="115">
        <f>GF3+1</f>
        <v/>
      </c>
      <c r="GH3" s="115">
        <f>GG3+1</f>
        <v/>
      </c>
      <c r="GI3" s="115">
        <f>GH3+1</f>
        <v/>
      </c>
      <c r="GJ3" s="125" t="inlineStr">
        <is>
          <t>MONTHLY TOTAL</t>
        </is>
      </c>
      <c r="GK3" s="115">
        <f>GI3+1</f>
        <v/>
      </c>
      <c r="GL3" s="115">
        <f>GK3+1</f>
        <v/>
      </c>
      <c r="GM3" s="115">
        <f>GL3+1</f>
        <v/>
      </c>
      <c r="GN3" s="115">
        <f>GM3+1</f>
        <v/>
      </c>
      <c r="GO3" s="115">
        <f>GN3+1</f>
        <v/>
      </c>
      <c r="GP3" s="115">
        <f>GO3+1</f>
        <v/>
      </c>
      <c r="GQ3" s="115">
        <f>GP3+1</f>
        <v/>
      </c>
      <c r="GR3" s="115">
        <f>GQ3+1</f>
        <v/>
      </c>
      <c r="GS3" s="115">
        <f>GR3+1</f>
        <v/>
      </c>
      <c r="GT3" s="115">
        <f>GS3+1</f>
        <v/>
      </c>
      <c r="GU3" s="115">
        <f>GT3+1</f>
        <v/>
      </c>
      <c r="GV3" s="115">
        <f>GU3+1</f>
        <v/>
      </c>
      <c r="GW3" s="115">
        <f>GV3+1</f>
        <v/>
      </c>
      <c r="GX3" s="115">
        <f>GW3+1</f>
        <v/>
      </c>
      <c r="GY3" s="115">
        <f>GX3+1</f>
        <v/>
      </c>
      <c r="GZ3" s="115">
        <f>GY3+1</f>
        <v/>
      </c>
      <c r="HA3" s="115">
        <f>GZ3+1</f>
        <v/>
      </c>
      <c r="HB3" s="115">
        <f>HA3+1</f>
        <v/>
      </c>
      <c r="HC3" s="115">
        <f>HB3+1</f>
        <v/>
      </c>
      <c r="HD3" s="115">
        <f>HC3+1</f>
        <v/>
      </c>
      <c r="HE3" s="115">
        <f>HD3+1</f>
        <v/>
      </c>
      <c r="HF3" s="115">
        <f>HE3+1</f>
        <v/>
      </c>
      <c r="HG3" s="115">
        <f>HF3+1</f>
        <v/>
      </c>
      <c r="HH3" s="115">
        <f>HG3+1</f>
        <v/>
      </c>
      <c r="HI3" s="115">
        <f>HH3+1</f>
        <v/>
      </c>
      <c r="HJ3" s="115">
        <f>HI3+1</f>
        <v/>
      </c>
      <c r="HK3" s="115">
        <f>HJ3+1</f>
        <v/>
      </c>
      <c r="HL3" s="115">
        <f>HK3+1</f>
        <v/>
      </c>
      <c r="HM3" s="115">
        <f>HL3+1</f>
        <v/>
      </c>
      <c r="HN3" s="125" t="inlineStr">
        <is>
          <t>MONTHLY TOTAL</t>
        </is>
      </c>
      <c r="HO3" s="115" t="n">
        <v>45352</v>
      </c>
      <c r="HP3" s="115">
        <f>HO3+1</f>
        <v/>
      </c>
      <c r="HQ3" s="115">
        <f>HP3+1</f>
        <v/>
      </c>
      <c r="HR3" s="115">
        <f>HQ3+1</f>
        <v/>
      </c>
      <c r="HS3" s="115">
        <f>HR3+1</f>
        <v/>
      </c>
      <c r="HT3" s="115">
        <f>HS3+1</f>
        <v/>
      </c>
      <c r="HU3" s="115">
        <f>HT3+1</f>
        <v/>
      </c>
      <c r="HV3" s="115">
        <f>HU3+1</f>
        <v/>
      </c>
      <c r="HW3" s="115">
        <f>HV3+1</f>
        <v/>
      </c>
      <c r="HX3" s="115">
        <f>HW3+1</f>
        <v/>
      </c>
      <c r="HY3" s="115">
        <f>HX3+1</f>
        <v/>
      </c>
      <c r="HZ3" s="115">
        <f>HY3+1</f>
        <v/>
      </c>
      <c r="IA3" s="115">
        <f>HZ3+1</f>
        <v/>
      </c>
      <c r="IB3" s="115">
        <f>IA3+1</f>
        <v/>
      </c>
      <c r="IC3" s="115">
        <f>IB3+1</f>
        <v/>
      </c>
      <c r="ID3" s="115">
        <f>IC3+1</f>
        <v/>
      </c>
      <c r="IE3" s="115">
        <f>ID3+1</f>
        <v/>
      </c>
      <c r="IF3" s="115">
        <f>IE3+1</f>
        <v/>
      </c>
      <c r="IG3" s="115">
        <f>IF3+1</f>
        <v/>
      </c>
      <c r="IH3" s="115">
        <f>IG3+1</f>
        <v/>
      </c>
      <c r="II3" s="115">
        <f>IH3+1</f>
        <v/>
      </c>
      <c r="IJ3" s="115">
        <f>II3+1</f>
        <v/>
      </c>
      <c r="IK3" s="115">
        <f>IJ3+1</f>
        <v/>
      </c>
      <c r="IL3" s="115">
        <f>IK3+1</f>
        <v/>
      </c>
      <c r="IM3" s="115">
        <f>IL3+1</f>
        <v/>
      </c>
      <c r="IN3" s="115">
        <f>IM3+1</f>
        <v/>
      </c>
      <c r="IO3" s="115">
        <f>IN3+1</f>
        <v/>
      </c>
      <c r="IP3" s="115">
        <f>IO3+1</f>
        <v/>
      </c>
      <c r="IQ3" s="115">
        <f>IP3+1</f>
        <v/>
      </c>
      <c r="IR3" s="115">
        <f>IQ3+1</f>
        <v/>
      </c>
      <c r="IS3" s="115">
        <f>IR3+1</f>
        <v/>
      </c>
      <c r="IT3" t="inlineStr">
        <is>
          <t>monthly total</t>
        </is>
      </c>
      <c r="IU3" s="115" t="n">
        <v>45383</v>
      </c>
      <c r="IV3" s="115">
        <f>IU3+1</f>
        <v/>
      </c>
      <c r="IW3" s="115">
        <f>IV3+1</f>
        <v/>
      </c>
      <c r="IX3" s="115">
        <f>IW3+1</f>
        <v/>
      </c>
      <c r="IY3" s="115">
        <f>IX3+1</f>
        <v/>
      </c>
      <c r="IZ3" s="115">
        <f>IY3+1</f>
        <v/>
      </c>
      <c r="JA3" s="115">
        <f>IZ3+1</f>
        <v/>
      </c>
      <c r="JB3" s="115">
        <f>JA3+1</f>
        <v/>
      </c>
      <c r="JC3" s="115">
        <f>JB3+1</f>
        <v/>
      </c>
      <c r="JD3" s="115">
        <f>JC3+1</f>
        <v/>
      </c>
      <c r="JE3" s="115">
        <f>JD3+1</f>
        <v/>
      </c>
      <c r="JF3" s="115">
        <f>JE3+1</f>
        <v/>
      </c>
      <c r="JG3" s="115">
        <f>JF3+1</f>
        <v/>
      </c>
      <c r="JH3" s="115">
        <f>JG3+1</f>
        <v/>
      </c>
      <c r="JI3" s="115">
        <f>JH3+1</f>
        <v/>
      </c>
      <c r="JJ3" s="115">
        <f>JI3+1</f>
        <v/>
      </c>
      <c r="JK3" s="115">
        <f>JJ3+1</f>
        <v/>
      </c>
      <c r="JL3" s="115">
        <f>JK3+1</f>
        <v/>
      </c>
      <c r="JM3" s="115">
        <f>JL3+1</f>
        <v/>
      </c>
      <c r="JN3" s="115">
        <f>JM3+1</f>
        <v/>
      </c>
      <c r="JO3" s="115">
        <f>JN3+1</f>
        <v/>
      </c>
      <c r="JP3" s="115">
        <f>JO3+1</f>
        <v/>
      </c>
      <c r="JQ3" s="115">
        <f>JP3+1</f>
        <v/>
      </c>
      <c r="JR3" s="115">
        <f>JQ3+1</f>
        <v/>
      </c>
      <c r="JS3" s="115">
        <f>JR3+1</f>
        <v/>
      </c>
      <c r="JT3" s="115">
        <f>JS3+1</f>
        <v/>
      </c>
      <c r="JU3" s="115">
        <f>JT3+1</f>
        <v/>
      </c>
      <c r="JV3" s="115">
        <f>JU3+1</f>
        <v/>
      </c>
      <c r="JW3" s="115">
        <f>JV3+1</f>
        <v/>
      </c>
      <c r="JX3" s="115">
        <f>JW3+1</f>
        <v/>
      </c>
      <c r="JY3" t="inlineStr">
        <is>
          <t>monthly total</t>
        </is>
      </c>
      <c r="JZ3" s="115" t="n">
        <v>45413</v>
      </c>
      <c r="KA3" s="115">
        <f>JZ3+1</f>
        <v/>
      </c>
      <c r="KB3" s="115">
        <f>KA3+1</f>
        <v/>
      </c>
      <c r="KC3" s="115">
        <f>KB3+1</f>
        <v/>
      </c>
      <c r="KD3" s="115">
        <f>KC3+1</f>
        <v/>
      </c>
      <c r="KE3" s="115">
        <f>KD3+1</f>
        <v/>
      </c>
      <c r="KF3" s="115">
        <f>KE3+1</f>
        <v/>
      </c>
      <c r="KG3" s="115">
        <f>KF3+1</f>
        <v/>
      </c>
      <c r="KH3" s="115">
        <f>KG3+1</f>
        <v/>
      </c>
      <c r="KI3" s="115">
        <f>KH3+1</f>
        <v/>
      </c>
      <c r="KJ3" s="115">
        <f>KI3+1</f>
        <v/>
      </c>
      <c r="KK3" s="115">
        <f>KJ3+1</f>
        <v/>
      </c>
      <c r="KL3" s="115">
        <f>KK3+1</f>
        <v/>
      </c>
      <c r="KM3" s="115">
        <f>KL3+1</f>
        <v/>
      </c>
      <c r="KN3" s="115">
        <f>KM3+1</f>
        <v/>
      </c>
      <c r="KO3" s="115">
        <f>KN3+1</f>
        <v/>
      </c>
      <c r="KP3" s="115">
        <f>KO3+1</f>
        <v/>
      </c>
      <c r="KQ3" s="115">
        <f>KP3+1</f>
        <v/>
      </c>
      <c r="KR3" s="115">
        <f>KQ3+1</f>
        <v/>
      </c>
      <c r="KS3" s="115">
        <f>KR3+1</f>
        <v/>
      </c>
      <c r="KT3" s="115">
        <f>KS3+1</f>
        <v/>
      </c>
      <c r="KU3" s="115">
        <f>KT3+1</f>
        <v/>
      </c>
      <c r="KV3" s="115">
        <f>KU3+1</f>
        <v/>
      </c>
      <c r="KW3" s="115">
        <f>KV3+1</f>
        <v/>
      </c>
      <c r="KX3" s="115">
        <f>KW3+1</f>
        <v/>
      </c>
      <c r="KY3" s="115">
        <f>KX3+1</f>
        <v/>
      </c>
      <c r="KZ3" s="115">
        <f>KY3+1</f>
        <v/>
      </c>
      <c r="LA3" s="115">
        <f>KZ3+1</f>
        <v/>
      </c>
      <c r="LB3" s="115">
        <f>LA3+1</f>
        <v/>
      </c>
      <c r="LC3" s="115">
        <f>LB3+1</f>
        <v/>
      </c>
      <c r="LD3" s="115">
        <f>LC3+1</f>
        <v/>
      </c>
      <c r="LE3" t="inlineStr">
        <is>
          <t>monthly total</t>
        </is>
      </c>
      <c r="LF3" s="115" t="inlineStr">
        <is>
          <t>1st june 24</t>
        </is>
      </c>
      <c r="LG3" s="115" t="inlineStr">
        <is>
          <t>2nd june 24</t>
        </is>
      </c>
      <c r="LH3" s="115" t="inlineStr">
        <is>
          <t>3rd june 24</t>
        </is>
      </c>
      <c r="LI3" s="115" t="inlineStr">
        <is>
          <t>4th june 24</t>
        </is>
      </c>
      <c r="LJ3" s="115" t="inlineStr">
        <is>
          <t>5th june 24</t>
        </is>
      </c>
      <c r="LK3" s="115" t="inlineStr">
        <is>
          <t>6th june 24</t>
        </is>
      </c>
      <c r="LL3" s="115" t="inlineStr">
        <is>
          <t>7th june 24</t>
        </is>
      </c>
      <c r="LM3" s="115" t="inlineStr">
        <is>
          <t>8th june 24</t>
        </is>
      </c>
      <c r="LN3" s="115" t="inlineStr">
        <is>
          <t>9th june 24</t>
        </is>
      </c>
      <c r="LO3" s="115" t="inlineStr">
        <is>
          <t>10th june 24</t>
        </is>
      </c>
      <c r="LP3" s="115" t="inlineStr">
        <is>
          <t>11th june 24</t>
        </is>
      </c>
      <c r="LQ3" s="115" t="inlineStr">
        <is>
          <t>12th june 24</t>
        </is>
      </c>
      <c r="LR3" s="115" t="inlineStr">
        <is>
          <t>13th june 24</t>
        </is>
      </c>
      <c r="LS3" s="115" t="inlineStr">
        <is>
          <t>14th june 24</t>
        </is>
      </c>
      <c r="LT3" s="115" t="inlineStr">
        <is>
          <t>15th june 24</t>
        </is>
      </c>
      <c r="LU3" s="115" t="inlineStr">
        <is>
          <t>16th june 24</t>
        </is>
      </c>
      <c r="LV3" s="115" t="inlineStr">
        <is>
          <t>17th june 24</t>
        </is>
      </c>
      <c r="LW3" s="115" t="inlineStr">
        <is>
          <t>18th june 24</t>
        </is>
      </c>
      <c r="LX3" s="115" t="inlineStr">
        <is>
          <t>19th june 24</t>
        </is>
      </c>
      <c r="LY3" s="115" t="inlineStr">
        <is>
          <t>20th june 24</t>
        </is>
      </c>
      <c r="LZ3" s="115" t="inlineStr">
        <is>
          <t>21st june 24</t>
        </is>
      </c>
      <c r="MA3" s="115" t="inlineStr">
        <is>
          <t>22nd june 24</t>
        </is>
      </c>
      <c r="MB3" s="115" t="inlineStr">
        <is>
          <t>23rd june 24</t>
        </is>
      </c>
      <c r="MC3" s="115" t="inlineStr">
        <is>
          <t>24th june 24</t>
        </is>
      </c>
      <c r="MD3" s="115" t="inlineStr">
        <is>
          <t>25th june 24</t>
        </is>
      </c>
      <c r="ME3" s="115" t="inlineStr">
        <is>
          <t>26th june 24</t>
        </is>
      </c>
      <c r="MF3" s="115" t="inlineStr">
        <is>
          <t>27th june 24</t>
        </is>
      </c>
      <c r="MG3" s="115" t="inlineStr">
        <is>
          <t>28th june 24</t>
        </is>
      </c>
      <c r="MH3" s="115" t="inlineStr">
        <is>
          <t>29th june 24</t>
        </is>
      </c>
      <c r="MI3" s="115" t="inlineStr">
        <is>
          <t>30th june 24</t>
        </is>
      </c>
      <c r="MJ3" t="inlineStr">
        <is>
          <t>monthly total</t>
        </is>
      </c>
      <c r="MK3" s="115" t="inlineStr">
        <is>
          <t>1st july</t>
        </is>
      </c>
      <c r="ML3" s="115" t="inlineStr">
        <is>
          <t>2nd july</t>
        </is>
      </c>
      <c r="MM3" s="115" t="inlineStr">
        <is>
          <t>3rd july</t>
        </is>
      </c>
      <c r="MN3" s="115" t="inlineStr">
        <is>
          <t>4th july</t>
        </is>
      </c>
      <c r="MO3" s="115" t="inlineStr">
        <is>
          <t>5th july</t>
        </is>
      </c>
      <c r="MP3" s="115" t="inlineStr">
        <is>
          <t>6th july</t>
        </is>
      </c>
      <c r="MQ3" s="115" t="inlineStr">
        <is>
          <t>7th july</t>
        </is>
      </c>
      <c r="MR3" s="115" t="inlineStr">
        <is>
          <t>8th july</t>
        </is>
      </c>
      <c r="MS3" s="115" t="inlineStr">
        <is>
          <t>9th july</t>
        </is>
      </c>
      <c r="MT3" s="115" t="inlineStr">
        <is>
          <t>10th july</t>
        </is>
      </c>
      <c r="MU3" s="115" t="inlineStr">
        <is>
          <t>11th july</t>
        </is>
      </c>
      <c r="MV3" s="115" t="inlineStr">
        <is>
          <t>12th july</t>
        </is>
      </c>
      <c r="MW3" s="115" t="inlineStr">
        <is>
          <t>13th july</t>
        </is>
      </c>
      <c r="MX3" s="115" t="inlineStr">
        <is>
          <t>14th july</t>
        </is>
      </c>
      <c r="MY3" s="115" t="inlineStr">
        <is>
          <t>15th july</t>
        </is>
      </c>
      <c r="MZ3" s="115" t="inlineStr">
        <is>
          <t>16th july</t>
        </is>
      </c>
      <c r="NA3" s="115" t="inlineStr">
        <is>
          <t>17th july</t>
        </is>
      </c>
      <c r="NB3" s="115" t="inlineStr">
        <is>
          <t>18th july</t>
        </is>
      </c>
      <c r="NC3" s="115" t="inlineStr">
        <is>
          <t>19th july</t>
        </is>
      </c>
      <c r="ND3" s="115" t="inlineStr">
        <is>
          <t>20th july</t>
        </is>
      </c>
      <c r="NE3" s="115" t="inlineStr">
        <is>
          <t>21st july</t>
        </is>
      </c>
      <c r="NF3" s="115" t="inlineStr">
        <is>
          <t>22nd july</t>
        </is>
      </c>
      <c r="NG3" s="115" t="inlineStr">
        <is>
          <t>23rd july</t>
        </is>
      </c>
      <c r="NH3" s="115" t="inlineStr">
        <is>
          <t>24th july</t>
        </is>
      </c>
      <c r="NI3" s="115" t="inlineStr">
        <is>
          <t>25th july</t>
        </is>
      </c>
      <c r="NJ3" s="115" t="inlineStr">
        <is>
          <t>26th july</t>
        </is>
      </c>
      <c r="NK3" s="115" t="inlineStr">
        <is>
          <t>27th july</t>
        </is>
      </c>
      <c r="NL3" s="115" t="inlineStr">
        <is>
          <t>28th july</t>
        </is>
      </c>
      <c r="NM3" s="115" t="inlineStr">
        <is>
          <t>29th july</t>
        </is>
      </c>
      <c r="NN3" s="115" t="inlineStr">
        <is>
          <t>30th july</t>
        </is>
      </c>
      <c r="NO3" s="115" t="inlineStr">
        <is>
          <t>31st july</t>
        </is>
      </c>
      <c r="NP3" t="inlineStr">
        <is>
          <t>monthly total</t>
        </is>
      </c>
      <c r="NQ3" s="115" t="inlineStr">
        <is>
          <t>1st aug</t>
        </is>
      </c>
      <c r="NR3" s="115" t="inlineStr">
        <is>
          <t>2nd aug</t>
        </is>
      </c>
      <c r="NS3" s="115" t="inlineStr">
        <is>
          <t>3rd aug</t>
        </is>
      </c>
      <c r="NT3" s="115" t="inlineStr">
        <is>
          <t>4th aug</t>
        </is>
      </c>
      <c r="NU3" s="115" t="inlineStr">
        <is>
          <t>5th aug</t>
        </is>
      </c>
      <c r="NV3" s="115" t="inlineStr">
        <is>
          <t>6th aug</t>
        </is>
      </c>
      <c r="NW3" s="115" t="inlineStr">
        <is>
          <t>7th aug</t>
        </is>
      </c>
      <c r="NX3" s="115" t="inlineStr">
        <is>
          <t>8th aug</t>
        </is>
      </c>
      <c r="NY3" s="115" t="inlineStr">
        <is>
          <t>9th aug</t>
        </is>
      </c>
      <c r="NZ3" s="115" t="inlineStr">
        <is>
          <t>10th aug</t>
        </is>
      </c>
      <c r="OA3" s="115" t="inlineStr">
        <is>
          <t>11th aug</t>
        </is>
      </c>
      <c r="OB3" s="115" t="inlineStr">
        <is>
          <t>12th aug</t>
        </is>
      </c>
      <c r="OC3" s="115" t="inlineStr">
        <is>
          <t>13th aug</t>
        </is>
      </c>
      <c r="OD3" s="115" t="inlineStr">
        <is>
          <t>14th aug</t>
        </is>
      </c>
      <c r="OE3" s="115" t="inlineStr">
        <is>
          <t>15th aug</t>
        </is>
      </c>
      <c r="OF3" s="115" t="inlineStr">
        <is>
          <t>16th aug</t>
        </is>
      </c>
      <c r="OG3" s="115" t="inlineStr">
        <is>
          <t>17th aug</t>
        </is>
      </c>
      <c r="OH3" s="115" t="inlineStr">
        <is>
          <t>18th aug</t>
        </is>
      </c>
      <c r="OI3" s="115" t="inlineStr">
        <is>
          <t>19th aug</t>
        </is>
      </c>
      <c r="OJ3" s="115" t="inlineStr">
        <is>
          <t>20th aug</t>
        </is>
      </c>
      <c r="OK3" s="115" t="inlineStr">
        <is>
          <t>21st aug</t>
        </is>
      </c>
      <c r="OL3" s="115" t="inlineStr">
        <is>
          <t>22nd aug</t>
        </is>
      </c>
      <c r="OM3" s="115" t="inlineStr">
        <is>
          <t>23rd aug</t>
        </is>
      </c>
      <c r="ON3" s="115" t="inlineStr">
        <is>
          <t>24th aug</t>
        </is>
      </c>
      <c r="OO3" s="115" t="inlineStr">
        <is>
          <t>25th aug</t>
        </is>
      </c>
      <c r="OP3" s="115" t="inlineStr">
        <is>
          <t>26th aug</t>
        </is>
      </c>
      <c r="OQ3" s="115" t="inlineStr">
        <is>
          <t>27th aug</t>
        </is>
      </c>
      <c r="OR3" s="115" t="inlineStr">
        <is>
          <t>28th aug</t>
        </is>
      </c>
      <c r="OS3" s="115" t="inlineStr">
        <is>
          <t>29th aug</t>
        </is>
      </c>
      <c r="OT3" s="115" t="inlineStr">
        <is>
          <t>30th aug</t>
        </is>
      </c>
      <c r="OU3" s="115" t="inlineStr">
        <is>
          <t>31st aug</t>
        </is>
      </c>
      <c r="OV3" t="inlineStr">
        <is>
          <t>monthly total</t>
        </is>
      </c>
      <c r="OW3" s="115" t="inlineStr">
        <is>
          <t>1st sep</t>
        </is>
      </c>
      <c r="OX3" s="115" t="inlineStr">
        <is>
          <t>2nd sep</t>
        </is>
      </c>
      <c r="OY3" s="115" t="inlineStr">
        <is>
          <t>3rd sep</t>
        </is>
      </c>
      <c r="OZ3" s="115" t="inlineStr">
        <is>
          <t>4th sep</t>
        </is>
      </c>
      <c r="PA3" s="115" t="inlineStr">
        <is>
          <t>5th sep</t>
        </is>
      </c>
      <c r="PB3" s="115" t="inlineStr">
        <is>
          <t>6th sep</t>
        </is>
      </c>
      <c r="PC3" s="115" t="inlineStr">
        <is>
          <t>7th sep</t>
        </is>
      </c>
      <c r="PD3" s="115" t="inlineStr">
        <is>
          <t>8th sep</t>
        </is>
      </c>
      <c r="PE3" s="115" t="inlineStr">
        <is>
          <t>9th sep</t>
        </is>
      </c>
      <c r="PF3" s="115" t="inlineStr">
        <is>
          <t>10th sep</t>
        </is>
      </c>
      <c r="PG3" s="115" t="inlineStr">
        <is>
          <t>11th sep</t>
        </is>
      </c>
      <c r="PH3" s="115" t="inlineStr">
        <is>
          <t>12th sep</t>
        </is>
      </c>
      <c r="PI3" s="115" t="inlineStr">
        <is>
          <t>13th sep</t>
        </is>
      </c>
      <c r="PJ3" s="115" t="inlineStr">
        <is>
          <t>14th sep</t>
        </is>
      </c>
      <c r="PK3" s="115" t="inlineStr">
        <is>
          <t>15th sep</t>
        </is>
      </c>
      <c r="PL3" s="115" t="inlineStr">
        <is>
          <t>16th sep</t>
        </is>
      </c>
      <c r="PM3" s="115" t="inlineStr">
        <is>
          <t>17th sep</t>
        </is>
      </c>
      <c r="PN3" s="115" t="inlineStr">
        <is>
          <t>18th sep</t>
        </is>
      </c>
      <c r="PO3" s="115" t="inlineStr">
        <is>
          <t>19th sep</t>
        </is>
      </c>
      <c r="PP3" s="115" t="inlineStr">
        <is>
          <t>20th sep</t>
        </is>
      </c>
      <c r="PQ3" s="115" t="inlineStr">
        <is>
          <t>21st sep</t>
        </is>
      </c>
      <c r="PR3" s="115" t="inlineStr">
        <is>
          <t>22nd sep</t>
        </is>
      </c>
      <c r="PS3" s="115" t="inlineStr">
        <is>
          <t>23rd sep</t>
        </is>
      </c>
      <c r="PT3" s="115" t="inlineStr">
        <is>
          <t>24th sep</t>
        </is>
      </c>
      <c r="PU3" s="115" t="inlineStr">
        <is>
          <t>25th sep</t>
        </is>
      </c>
      <c r="PV3" s="115" t="inlineStr">
        <is>
          <t>26th sep</t>
        </is>
      </c>
      <c r="PW3" s="115" t="inlineStr">
        <is>
          <t>27th sep</t>
        </is>
      </c>
      <c r="PX3" s="115" t="inlineStr">
        <is>
          <t>28th sep</t>
        </is>
      </c>
      <c r="PY3" s="115" t="inlineStr">
        <is>
          <t>29th sep</t>
        </is>
      </c>
      <c r="PZ3" s="115" t="inlineStr">
        <is>
          <t>30th sep</t>
        </is>
      </c>
      <c r="QA3" t="inlineStr">
        <is>
          <t>monthly total</t>
        </is>
      </c>
      <c r="QB3" s="115" t="inlineStr">
        <is>
          <t>1st oct-24</t>
        </is>
      </c>
      <c r="QC3" s="115" t="inlineStr">
        <is>
          <t>2nd oct-24</t>
        </is>
      </c>
      <c r="QD3" s="115" t="inlineStr">
        <is>
          <t>3rd oct-24</t>
        </is>
      </c>
      <c r="QE3" s="115" t="inlineStr">
        <is>
          <t>4th oct-24</t>
        </is>
      </c>
      <c r="QF3" s="115" t="inlineStr">
        <is>
          <t>5th oct-24</t>
        </is>
      </c>
      <c r="QG3" s="115" t="inlineStr">
        <is>
          <t>6th oct-24</t>
        </is>
      </c>
      <c r="QH3" s="115" t="inlineStr">
        <is>
          <t>7th oct-24</t>
        </is>
      </c>
      <c r="QI3" s="115" t="inlineStr">
        <is>
          <t>8th oct-24</t>
        </is>
      </c>
      <c r="QJ3" s="115" t="inlineStr">
        <is>
          <t>9th oct-24</t>
        </is>
      </c>
      <c r="QK3" s="115" t="inlineStr">
        <is>
          <t>10th oct-24</t>
        </is>
      </c>
      <c r="QL3" s="115" t="inlineStr">
        <is>
          <t>11th oct-24</t>
        </is>
      </c>
      <c r="QM3" s="115" t="inlineStr">
        <is>
          <t>12th oct-24</t>
        </is>
      </c>
      <c r="QN3" s="115" t="inlineStr">
        <is>
          <t>13th oct-24</t>
        </is>
      </c>
      <c r="QO3" s="115" t="inlineStr">
        <is>
          <t>14th oct-24</t>
        </is>
      </c>
      <c r="QP3" s="115" t="inlineStr">
        <is>
          <t>15th oct-24</t>
        </is>
      </c>
      <c r="QQ3" s="115" t="inlineStr">
        <is>
          <t>16th oct-24</t>
        </is>
      </c>
      <c r="QR3" s="115" t="inlineStr">
        <is>
          <t>17th oct-24</t>
        </is>
      </c>
      <c r="QS3" s="115" t="inlineStr">
        <is>
          <t>18th oct-24</t>
        </is>
      </c>
      <c r="QT3" s="115" t="inlineStr">
        <is>
          <t>19th oct-24</t>
        </is>
      </c>
      <c r="QU3" s="115" t="inlineStr">
        <is>
          <t>20th oct-24</t>
        </is>
      </c>
      <c r="QV3" s="115" t="inlineStr">
        <is>
          <t>21st oct-24</t>
        </is>
      </c>
      <c r="QW3" s="115" t="inlineStr">
        <is>
          <t>22nd oct-24</t>
        </is>
      </c>
      <c r="QX3" s="115" t="inlineStr">
        <is>
          <t>23rd oct-24</t>
        </is>
      </c>
      <c r="QY3" s="115" t="inlineStr">
        <is>
          <t>24th oct-24</t>
        </is>
      </c>
      <c r="QZ3" s="115" t="inlineStr">
        <is>
          <t>25th oct-24</t>
        </is>
      </c>
      <c r="RA3" s="115" t="inlineStr">
        <is>
          <t>26th oct-24</t>
        </is>
      </c>
      <c r="RB3" s="115" t="inlineStr">
        <is>
          <t>27th oct-24</t>
        </is>
      </c>
      <c r="RC3" s="115" t="inlineStr">
        <is>
          <t>28th oct-24</t>
        </is>
      </c>
      <c r="RD3" s="115" t="inlineStr">
        <is>
          <t>29th oct-24</t>
        </is>
      </c>
      <c r="RE3" s="115" t="inlineStr">
        <is>
          <t>30th oct-24</t>
        </is>
      </c>
      <c r="RF3" s="115" t="inlineStr">
        <is>
          <t>31st oct-24</t>
        </is>
      </c>
      <c r="RG3" s="127">
        <f>SUM(QC3:RF3)</f>
        <v/>
      </c>
      <c r="RH3" s="115" t="inlineStr">
        <is>
          <t>1st nov2024</t>
        </is>
      </c>
      <c r="RI3" s="115" t="inlineStr">
        <is>
          <t>2nd nov2024</t>
        </is>
      </c>
      <c r="RJ3" s="115" t="inlineStr">
        <is>
          <t>3rd nov2024</t>
        </is>
      </c>
      <c r="RK3" s="115" t="inlineStr">
        <is>
          <t>4th nov2024</t>
        </is>
      </c>
      <c r="RL3" s="115" t="inlineStr">
        <is>
          <t>5th nov2024</t>
        </is>
      </c>
      <c r="RM3" s="115" t="inlineStr">
        <is>
          <t>6th nov2024</t>
        </is>
      </c>
      <c r="RN3" s="115" t="inlineStr">
        <is>
          <t>7th nov2024</t>
        </is>
      </c>
      <c r="RO3" s="115" t="inlineStr">
        <is>
          <t>8th nov2024</t>
        </is>
      </c>
      <c r="RP3" s="115" t="inlineStr">
        <is>
          <t>9th nov2024</t>
        </is>
      </c>
      <c r="RQ3" s="115" t="inlineStr">
        <is>
          <t>10th nov2024</t>
        </is>
      </c>
      <c r="RR3" s="115" t="inlineStr">
        <is>
          <t>11th nov2024</t>
        </is>
      </c>
      <c r="RS3" s="115" t="inlineStr">
        <is>
          <t>12th nov2024</t>
        </is>
      </c>
      <c r="RT3" s="115" t="inlineStr">
        <is>
          <t>13th nov2024</t>
        </is>
      </c>
      <c r="RU3" s="115" t="inlineStr">
        <is>
          <t>14th nov2024</t>
        </is>
      </c>
      <c r="RV3" s="115" t="inlineStr">
        <is>
          <t>15th nov2024</t>
        </is>
      </c>
      <c r="RW3" s="115" t="inlineStr">
        <is>
          <t>16th nov2024</t>
        </is>
      </c>
      <c r="RX3" s="115" t="inlineStr">
        <is>
          <t>17th nov2024</t>
        </is>
      </c>
      <c r="RY3" s="115" t="inlineStr">
        <is>
          <t>18th nov2024</t>
        </is>
      </c>
      <c r="RZ3" s="115" t="inlineStr">
        <is>
          <t>19th nov2024</t>
        </is>
      </c>
      <c r="SA3" s="115" t="inlineStr">
        <is>
          <t>20th nov2024</t>
        </is>
      </c>
      <c r="SB3" s="115" t="inlineStr">
        <is>
          <t>21st nov2024</t>
        </is>
      </c>
      <c r="SC3" s="115" t="inlineStr">
        <is>
          <t>22nd nov2024</t>
        </is>
      </c>
      <c r="SD3" s="115" t="inlineStr">
        <is>
          <t>23rd nov2024</t>
        </is>
      </c>
      <c r="SE3" s="115" t="inlineStr">
        <is>
          <t>24th nov2024</t>
        </is>
      </c>
      <c r="SF3" s="115" t="inlineStr">
        <is>
          <t>25th nov2024</t>
        </is>
      </c>
      <c r="SG3" s="115" t="inlineStr">
        <is>
          <t>26th nov2024</t>
        </is>
      </c>
      <c r="SH3" s="115" t="inlineStr">
        <is>
          <t>27th nov2024</t>
        </is>
      </c>
      <c r="SI3" s="115" t="inlineStr">
        <is>
          <t>28th nov2024</t>
        </is>
      </c>
      <c r="SJ3" s="115" t="inlineStr">
        <is>
          <t>29th nov2024</t>
        </is>
      </c>
      <c r="SK3" s="115" t="inlineStr">
        <is>
          <t>30th nov2024</t>
        </is>
      </c>
      <c r="SL3" s="127" t="inlineStr">
        <is>
          <t>total</t>
        </is>
      </c>
      <c r="SM3" s="115" t="inlineStr">
        <is>
          <t>1st dec-2024</t>
        </is>
      </c>
      <c r="SN3" s="115" t="inlineStr">
        <is>
          <t>2nd dec-2024</t>
        </is>
      </c>
      <c r="SO3" s="115" t="inlineStr">
        <is>
          <t>3rd dec-2024</t>
        </is>
      </c>
      <c r="SP3" s="115" t="inlineStr">
        <is>
          <t>4th dec-2024</t>
        </is>
      </c>
      <c r="SQ3" s="115" t="inlineStr">
        <is>
          <t>5th dec-2024</t>
        </is>
      </c>
      <c r="SR3" s="115" t="inlineStr">
        <is>
          <t>6th dec-2024</t>
        </is>
      </c>
      <c r="SS3" s="115" t="inlineStr">
        <is>
          <t>7th dec-2024</t>
        </is>
      </c>
      <c r="ST3" s="115" t="inlineStr">
        <is>
          <t>8th dec-2024</t>
        </is>
      </c>
      <c r="SU3" s="115" t="inlineStr">
        <is>
          <t>9th dec-2024</t>
        </is>
      </c>
      <c r="SV3" s="115" t="inlineStr">
        <is>
          <t>10th dec-2024</t>
        </is>
      </c>
      <c r="SW3" s="115" t="inlineStr">
        <is>
          <t>11th dec-2024</t>
        </is>
      </c>
      <c r="SX3" s="115" t="inlineStr">
        <is>
          <t>12th dec-2024</t>
        </is>
      </c>
      <c r="SY3" s="115" t="inlineStr">
        <is>
          <t>13th dec-2024</t>
        </is>
      </c>
      <c r="SZ3" s="115" t="inlineStr">
        <is>
          <t>14th dec-2024</t>
        </is>
      </c>
      <c r="TA3" s="115" t="inlineStr">
        <is>
          <t>15th dec-2024</t>
        </is>
      </c>
      <c r="TB3" s="115" t="inlineStr">
        <is>
          <t>16th dec-2024</t>
        </is>
      </c>
      <c r="TC3" s="115" t="inlineStr">
        <is>
          <t>17th dec-2024</t>
        </is>
      </c>
      <c r="TD3" s="115" t="inlineStr">
        <is>
          <t>18th dec-2024</t>
        </is>
      </c>
      <c r="TE3" s="115" t="inlineStr">
        <is>
          <t>19th dec-2024</t>
        </is>
      </c>
      <c r="TF3" s="115" t="inlineStr">
        <is>
          <t>20th dec-2024</t>
        </is>
      </c>
      <c r="TG3" s="115" t="inlineStr">
        <is>
          <t>21st dec-2024</t>
        </is>
      </c>
      <c r="TH3" s="115" t="inlineStr">
        <is>
          <t>22nd dec-2024</t>
        </is>
      </c>
      <c r="TI3" s="115" t="inlineStr">
        <is>
          <t>23rd dec-2024</t>
        </is>
      </c>
      <c r="TJ3" s="115" t="inlineStr">
        <is>
          <t>24th dec-2024</t>
        </is>
      </c>
      <c r="TK3" s="115" t="inlineStr">
        <is>
          <t>25th dec-2024</t>
        </is>
      </c>
      <c r="TL3" s="115" t="inlineStr">
        <is>
          <t>26th dec-2024</t>
        </is>
      </c>
      <c r="TM3" s="115" t="inlineStr">
        <is>
          <t>27th dec-2024</t>
        </is>
      </c>
      <c r="TN3" s="115" t="inlineStr">
        <is>
          <t>28th dec-2024</t>
        </is>
      </c>
      <c r="TO3" s="115" t="inlineStr">
        <is>
          <t>29th dec-2024</t>
        </is>
      </c>
      <c r="TP3" s="115" t="inlineStr">
        <is>
          <t>30th dec-2024</t>
        </is>
      </c>
      <c r="TQ3" s="115" t="inlineStr">
        <is>
          <t>31st dec-2024</t>
        </is>
      </c>
      <c r="TR3" s="127" t="inlineStr">
        <is>
          <t>total</t>
        </is>
      </c>
      <c r="TS3" s="115" t="inlineStr">
        <is>
          <t>1st jan -2025</t>
        </is>
      </c>
      <c r="TT3" s="115" t="inlineStr">
        <is>
          <t>2nd jan -2025</t>
        </is>
      </c>
      <c r="TU3" s="115" t="inlineStr">
        <is>
          <t>3rd jan -2025</t>
        </is>
      </c>
      <c r="TV3" s="115" t="inlineStr">
        <is>
          <t>4th jan -2025</t>
        </is>
      </c>
      <c r="TW3" s="115" t="inlineStr">
        <is>
          <t>5th jan -2025</t>
        </is>
      </c>
      <c r="TX3" s="115" t="inlineStr">
        <is>
          <t>6th jan -2025</t>
        </is>
      </c>
      <c r="TY3" s="115" t="inlineStr">
        <is>
          <t>7th jan -2025</t>
        </is>
      </c>
      <c r="TZ3" s="115" t="inlineStr">
        <is>
          <t>8th jan -2025</t>
        </is>
      </c>
      <c r="UA3" s="115" t="inlineStr">
        <is>
          <t>9th jan -2025</t>
        </is>
      </c>
      <c r="UB3" s="115" t="inlineStr">
        <is>
          <t>10th jan -2025</t>
        </is>
      </c>
      <c r="UC3" s="115" t="inlineStr">
        <is>
          <t>11th jan -2025</t>
        </is>
      </c>
      <c r="UD3" s="115" t="inlineStr">
        <is>
          <t>12th jan -2025</t>
        </is>
      </c>
      <c r="UE3" s="115" t="inlineStr">
        <is>
          <t>13th jan -2025</t>
        </is>
      </c>
      <c r="UF3" s="115" t="inlineStr">
        <is>
          <t>14th jan -2025</t>
        </is>
      </c>
      <c r="UG3" s="115" t="inlineStr">
        <is>
          <t>15th jan -2025</t>
        </is>
      </c>
      <c r="UH3" s="115" t="inlineStr">
        <is>
          <t>16th jan -2025</t>
        </is>
      </c>
      <c r="UI3" s="115" t="inlineStr">
        <is>
          <t>17th jan -2025</t>
        </is>
      </c>
      <c r="UJ3" s="115" t="inlineStr">
        <is>
          <t>18th jan -2025</t>
        </is>
      </c>
      <c r="UK3" s="115" t="inlineStr">
        <is>
          <t>19th jan -2025</t>
        </is>
      </c>
      <c r="UL3" s="115" t="inlineStr">
        <is>
          <t>20th jan -2025</t>
        </is>
      </c>
      <c r="UM3" s="115" t="inlineStr">
        <is>
          <t>21st jan -2025</t>
        </is>
      </c>
      <c r="UN3" s="115" t="inlineStr">
        <is>
          <t>22nd jan -2025</t>
        </is>
      </c>
      <c r="UO3" s="115" t="inlineStr">
        <is>
          <t>23rd jan -2025</t>
        </is>
      </c>
      <c r="UP3" s="115" t="inlineStr">
        <is>
          <t>24th jan -2025</t>
        </is>
      </c>
      <c r="UQ3" s="115" t="inlineStr">
        <is>
          <t>25th jan -2025</t>
        </is>
      </c>
      <c r="UR3" s="115" t="inlineStr">
        <is>
          <t>26th jan -2025</t>
        </is>
      </c>
      <c r="US3" s="115" t="inlineStr">
        <is>
          <t>27th jan -2025</t>
        </is>
      </c>
      <c r="UT3" s="115" t="inlineStr">
        <is>
          <t>28th jan -2025</t>
        </is>
      </c>
      <c r="UU3" s="115" t="inlineStr">
        <is>
          <t>29th jan -2025</t>
        </is>
      </c>
      <c r="UV3" s="115" t="inlineStr">
        <is>
          <t>30th jan -2025</t>
        </is>
      </c>
      <c r="UW3" s="115" t="inlineStr">
        <is>
          <t>31st jan -2025</t>
        </is>
      </c>
      <c r="UX3" s="127" t="inlineStr">
        <is>
          <t>total</t>
        </is>
      </c>
      <c r="UY3" s="115" t="inlineStr">
        <is>
          <t>1st feb2025</t>
        </is>
      </c>
      <c r="UZ3" s="115" t="inlineStr">
        <is>
          <t>2nd feb2025</t>
        </is>
      </c>
      <c r="VA3" s="115" t="inlineStr">
        <is>
          <t>3rd feb2025</t>
        </is>
      </c>
      <c r="VB3" s="115" t="inlineStr">
        <is>
          <t>4th feb2025</t>
        </is>
      </c>
      <c r="VC3" s="115" t="inlineStr">
        <is>
          <t>5th feb2025</t>
        </is>
      </c>
      <c r="VD3" s="115" t="inlineStr">
        <is>
          <t>6th feb2025</t>
        </is>
      </c>
      <c r="VE3" s="115" t="inlineStr">
        <is>
          <t>7th feb2025</t>
        </is>
      </c>
      <c r="VF3" s="115" t="inlineStr">
        <is>
          <t>8th feb2025</t>
        </is>
      </c>
      <c r="VG3" s="115" t="inlineStr">
        <is>
          <t>9th feb2025</t>
        </is>
      </c>
      <c r="VH3" s="115" t="inlineStr">
        <is>
          <t>10th feb2025</t>
        </is>
      </c>
      <c r="VI3" s="115" t="inlineStr">
        <is>
          <t>11th feb2025</t>
        </is>
      </c>
      <c r="VJ3" s="115" t="inlineStr">
        <is>
          <t>12th feb2025</t>
        </is>
      </c>
      <c r="VK3" s="115" t="inlineStr">
        <is>
          <t>13th feb2025</t>
        </is>
      </c>
      <c r="VL3" s="115" t="inlineStr">
        <is>
          <t>14th feb2025</t>
        </is>
      </c>
      <c r="VM3" s="115" t="inlineStr">
        <is>
          <t>15th feb2025</t>
        </is>
      </c>
      <c r="VN3" s="115" t="inlineStr">
        <is>
          <t>16th feb2025</t>
        </is>
      </c>
      <c r="VO3" s="115" t="inlineStr">
        <is>
          <t>17th feb2025</t>
        </is>
      </c>
      <c r="VP3" s="115" t="inlineStr">
        <is>
          <t>18th feb2025</t>
        </is>
      </c>
      <c r="VQ3" s="115" t="inlineStr">
        <is>
          <t>19th feb2025</t>
        </is>
      </c>
      <c r="VR3" s="115" t="inlineStr">
        <is>
          <t>20th feb2025</t>
        </is>
      </c>
      <c r="VS3" s="115" t="inlineStr">
        <is>
          <t>21st feb2025</t>
        </is>
      </c>
      <c r="VT3" s="115" t="inlineStr">
        <is>
          <t>22nd feb2025</t>
        </is>
      </c>
      <c r="VU3" s="115" t="inlineStr">
        <is>
          <t>23rd feb2025</t>
        </is>
      </c>
      <c r="VV3" s="115" t="inlineStr">
        <is>
          <t>24th feb2025</t>
        </is>
      </c>
      <c r="VW3" s="115" t="inlineStr">
        <is>
          <t>25th feb2025</t>
        </is>
      </c>
      <c r="VX3" s="115" t="inlineStr">
        <is>
          <t>26th feb2025</t>
        </is>
      </c>
      <c r="VY3" s="115" t="inlineStr">
        <is>
          <t>27th feb2025</t>
        </is>
      </c>
      <c r="VZ3" s="115" t="inlineStr">
        <is>
          <t>28th feb2025</t>
        </is>
      </c>
      <c r="WA3" s="127" t="inlineStr">
        <is>
          <t>total</t>
        </is>
      </c>
      <c r="WB3" s="115" t="inlineStr">
        <is>
          <t>1st mar2025</t>
        </is>
      </c>
      <c r="WC3" s="115" t="inlineStr">
        <is>
          <t>2nd mar2025</t>
        </is>
      </c>
      <c r="WD3" s="115" t="inlineStr">
        <is>
          <t>3rd mar2025</t>
        </is>
      </c>
      <c r="WE3" s="115" t="inlineStr">
        <is>
          <t>4th mar2025</t>
        </is>
      </c>
      <c r="WF3" s="115" t="inlineStr">
        <is>
          <t>5th mar2025</t>
        </is>
      </c>
      <c r="WG3" s="115" t="inlineStr">
        <is>
          <t>6th mar2025</t>
        </is>
      </c>
      <c r="WH3" s="115" t="inlineStr">
        <is>
          <t>7th mar2025</t>
        </is>
      </c>
      <c r="WI3" s="115" t="inlineStr">
        <is>
          <t>8th mar2025</t>
        </is>
      </c>
      <c r="WJ3" s="115" t="inlineStr">
        <is>
          <t>9th mar2025</t>
        </is>
      </c>
      <c r="WK3" s="115" t="inlineStr">
        <is>
          <t>10th mar2025</t>
        </is>
      </c>
      <c r="WL3" s="115" t="inlineStr">
        <is>
          <t>11th mar2025</t>
        </is>
      </c>
      <c r="WM3" s="115" t="inlineStr">
        <is>
          <t>12th mar2025</t>
        </is>
      </c>
      <c r="WN3" s="115" t="inlineStr">
        <is>
          <t>13th mar2025</t>
        </is>
      </c>
      <c r="WO3" s="115" t="inlineStr">
        <is>
          <t>14th mar2025</t>
        </is>
      </c>
      <c r="WP3" s="115" t="inlineStr">
        <is>
          <t>15th mar2025</t>
        </is>
      </c>
      <c r="WQ3" s="115" t="inlineStr">
        <is>
          <t>16th mar2025</t>
        </is>
      </c>
      <c r="WR3" s="115" t="inlineStr">
        <is>
          <t>17th mar2025</t>
        </is>
      </c>
      <c r="WS3" s="115" t="inlineStr">
        <is>
          <t>18th mar2025</t>
        </is>
      </c>
      <c r="WT3" s="115" t="inlineStr">
        <is>
          <t>19th mar2025</t>
        </is>
      </c>
      <c r="WU3" s="115" t="inlineStr">
        <is>
          <t>20th mar2025</t>
        </is>
      </c>
      <c r="WV3" s="115" t="inlineStr">
        <is>
          <t>21st mar2025</t>
        </is>
      </c>
      <c r="WW3" s="115" t="inlineStr">
        <is>
          <t>22nd mar2025</t>
        </is>
      </c>
      <c r="WX3" s="115" t="inlineStr">
        <is>
          <t>23rd mar2025</t>
        </is>
      </c>
      <c r="WY3" s="115" t="inlineStr">
        <is>
          <t>24th mar2025</t>
        </is>
      </c>
      <c r="WZ3" s="115" t="inlineStr">
        <is>
          <t>25th mar2025</t>
        </is>
      </c>
      <c r="XA3" s="115" t="inlineStr">
        <is>
          <t>26th mar2025</t>
        </is>
      </c>
      <c r="XB3" s="115" t="inlineStr">
        <is>
          <t>27th mar2025</t>
        </is>
      </c>
      <c r="XC3" s="115" t="inlineStr">
        <is>
          <t>28th mar2025</t>
        </is>
      </c>
      <c r="XD3" s="115" t="inlineStr">
        <is>
          <t>29th mar2025</t>
        </is>
      </c>
      <c r="XE3" s="115" t="inlineStr">
        <is>
          <t>30th mar2025</t>
        </is>
      </c>
      <c r="XF3" s="115" t="inlineStr">
        <is>
          <t>31st mar2025</t>
        </is>
      </c>
      <c r="XG3" s="127" t="inlineStr">
        <is>
          <t>total</t>
        </is>
      </c>
      <c r="XH3" s="115" t="inlineStr">
        <is>
          <t>1st -apr2025</t>
        </is>
      </c>
      <c r="XI3" s="115" t="inlineStr">
        <is>
          <t>2nd -apr2025</t>
        </is>
      </c>
      <c r="XJ3" s="115" t="inlineStr">
        <is>
          <t>3rd -apr2025</t>
        </is>
      </c>
      <c r="XK3" s="115" t="inlineStr">
        <is>
          <t>4th -apr2025</t>
        </is>
      </c>
      <c r="XL3" s="115" t="inlineStr">
        <is>
          <t>5th -apr2025</t>
        </is>
      </c>
      <c r="XM3" s="115" t="inlineStr">
        <is>
          <t>6th -apr2025</t>
        </is>
      </c>
      <c r="XN3" s="115" t="inlineStr">
        <is>
          <t>7th -apr2025</t>
        </is>
      </c>
      <c r="XO3" s="115" t="inlineStr">
        <is>
          <t>8th -apr2025</t>
        </is>
      </c>
      <c r="XP3" s="115" t="inlineStr">
        <is>
          <t>9th -apr2025</t>
        </is>
      </c>
      <c r="XQ3" s="115" t="inlineStr">
        <is>
          <t>10th -apr2025</t>
        </is>
      </c>
      <c r="XR3" s="115" t="inlineStr">
        <is>
          <t>11th -apr2025</t>
        </is>
      </c>
      <c r="XS3" s="115" t="inlineStr">
        <is>
          <t>12th -apr2025</t>
        </is>
      </c>
      <c r="XT3" s="115" t="inlineStr">
        <is>
          <t>13th -apr2025</t>
        </is>
      </c>
      <c r="XU3" s="115" t="inlineStr">
        <is>
          <t>14th -apr2025</t>
        </is>
      </c>
      <c r="XV3" s="115" t="inlineStr">
        <is>
          <t>15th -apr2025</t>
        </is>
      </c>
      <c r="XW3" s="115" t="inlineStr">
        <is>
          <t>16th -apr2025</t>
        </is>
      </c>
      <c r="XX3" s="115" t="inlineStr">
        <is>
          <t>17th -apr2025</t>
        </is>
      </c>
      <c r="XY3" s="115" t="inlineStr">
        <is>
          <t>18th -apr2025</t>
        </is>
      </c>
      <c r="XZ3" s="115" t="inlineStr">
        <is>
          <t>19th -apr2025</t>
        </is>
      </c>
      <c r="YA3" s="115" t="inlineStr">
        <is>
          <t>20th -apr2025</t>
        </is>
      </c>
      <c r="YB3" s="115" t="inlineStr">
        <is>
          <t>21st -apr2025</t>
        </is>
      </c>
      <c r="YC3" s="115" t="inlineStr">
        <is>
          <t>22nd -apr2025</t>
        </is>
      </c>
      <c r="YD3" s="115" t="inlineStr">
        <is>
          <t>23rd -apr2025</t>
        </is>
      </c>
      <c r="YE3" s="115" t="inlineStr">
        <is>
          <t>24th -apr2025</t>
        </is>
      </c>
      <c r="YF3" s="115" t="inlineStr">
        <is>
          <t>25th -apr2025</t>
        </is>
      </c>
      <c r="YG3" s="115" t="inlineStr">
        <is>
          <t>26th -apr2025</t>
        </is>
      </c>
      <c r="YH3" s="115" t="inlineStr">
        <is>
          <t>27th -apr2025</t>
        </is>
      </c>
      <c r="YI3" s="115" t="inlineStr">
        <is>
          <t>28th -apr2025</t>
        </is>
      </c>
      <c r="YJ3" s="115" t="inlineStr">
        <is>
          <t>29th -apr2025</t>
        </is>
      </c>
      <c r="YK3" s="115" t="inlineStr">
        <is>
          <t>30th -apr2025</t>
        </is>
      </c>
      <c r="YL3" s="127" t="inlineStr">
        <is>
          <t>total</t>
        </is>
      </c>
      <c r="YM3" s="115" t="inlineStr">
        <is>
          <t>1st May-2025</t>
        </is>
      </c>
      <c r="YN3" s="115" t="inlineStr">
        <is>
          <t>2nd May-2025</t>
        </is>
      </c>
      <c r="YO3" s="115" t="inlineStr">
        <is>
          <t>3rd May-2025</t>
        </is>
      </c>
      <c r="YP3" s="115" t="inlineStr">
        <is>
          <t>4th May-2025</t>
        </is>
      </c>
      <c r="YQ3" s="115" t="inlineStr">
        <is>
          <t>5th May-2025</t>
        </is>
      </c>
      <c r="YR3" s="115" t="inlineStr">
        <is>
          <t>6th May-2025</t>
        </is>
      </c>
      <c r="YS3" s="115" t="inlineStr">
        <is>
          <t>7th May-2025</t>
        </is>
      </c>
      <c r="YT3" s="115" t="inlineStr">
        <is>
          <t>8th May-2025</t>
        </is>
      </c>
      <c r="YU3" s="115" t="inlineStr">
        <is>
          <t>9th May-2025</t>
        </is>
      </c>
      <c r="YV3" s="115" t="inlineStr">
        <is>
          <t>10th May-2025</t>
        </is>
      </c>
      <c r="YW3" s="115" t="inlineStr">
        <is>
          <t>11th May-2025</t>
        </is>
      </c>
      <c r="YX3" s="115" t="inlineStr">
        <is>
          <t>12th May-2025</t>
        </is>
      </c>
      <c r="YY3" s="115" t="inlineStr">
        <is>
          <t>13th May-2025</t>
        </is>
      </c>
      <c r="YZ3" s="115" t="inlineStr">
        <is>
          <t>14th May-2025</t>
        </is>
      </c>
      <c r="ZA3" s="115" t="inlineStr">
        <is>
          <t>15th May-2025</t>
        </is>
      </c>
      <c r="ZB3" s="115" t="inlineStr">
        <is>
          <t>16th May-2025</t>
        </is>
      </c>
      <c r="ZC3" s="115" t="inlineStr">
        <is>
          <t>17th May-2025</t>
        </is>
      </c>
      <c r="ZD3" s="115" t="inlineStr">
        <is>
          <t>18th May-2025</t>
        </is>
      </c>
      <c r="ZE3" s="115" t="inlineStr">
        <is>
          <t>19th May-2025</t>
        </is>
      </c>
      <c r="ZF3" s="115" t="inlineStr">
        <is>
          <t>20th May-2025</t>
        </is>
      </c>
      <c r="ZG3" s="115" t="inlineStr">
        <is>
          <t>21st May-2025</t>
        </is>
      </c>
      <c r="ZH3" s="115" t="inlineStr">
        <is>
          <t>22nd May-2025</t>
        </is>
      </c>
      <c r="ZI3" s="115" t="inlineStr">
        <is>
          <t>23rd May-2025</t>
        </is>
      </c>
      <c r="ZJ3" s="115" t="inlineStr">
        <is>
          <t>24th May-2025</t>
        </is>
      </c>
      <c r="ZK3" s="115" t="inlineStr">
        <is>
          <t>25th May-2025</t>
        </is>
      </c>
      <c r="ZL3" s="115" t="inlineStr">
        <is>
          <t>26th May-2025</t>
        </is>
      </c>
      <c r="ZM3" s="115" t="inlineStr">
        <is>
          <t>27th May-2025</t>
        </is>
      </c>
      <c r="ZN3" s="115" t="inlineStr">
        <is>
          <t>28th May-2025</t>
        </is>
      </c>
      <c r="ZO3" s="115" t="inlineStr">
        <is>
          <t>29th May-2025</t>
        </is>
      </c>
      <c r="ZP3" s="115" t="inlineStr">
        <is>
          <t>30th May-2025</t>
        </is>
      </c>
      <c r="ZQ3" s="115" t="inlineStr">
        <is>
          <t>31st May-2025</t>
        </is>
      </c>
      <c r="ZR3" s="127" t="inlineStr">
        <is>
          <t>total</t>
        </is>
      </c>
      <c r="ZS3" s="115" t="inlineStr">
        <is>
          <t>1st june</t>
        </is>
      </c>
      <c r="ZT3" s="115" t="inlineStr">
        <is>
          <t>2nd june</t>
        </is>
      </c>
      <c r="ZU3" s="115" t="inlineStr">
        <is>
          <t>3rd june</t>
        </is>
      </c>
      <c r="ZV3" s="115" t="inlineStr">
        <is>
          <t>4th june</t>
        </is>
      </c>
      <c r="ZW3" s="115" t="inlineStr">
        <is>
          <t>5th june</t>
        </is>
      </c>
      <c r="ZX3" s="115" t="inlineStr">
        <is>
          <t>6th june</t>
        </is>
      </c>
      <c r="ZY3" s="115" t="inlineStr">
        <is>
          <t>7th june</t>
        </is>
      </c>
      <c r="ZZ3" s="115" t="inlineStr">
        <is>
          <t>8th june</t>
        </is>
      </c>
      <c r="AAA3" s="115" t="inlineStr">
        <is>
          <t>9th june</t>
        </is>
      </c>
      <c r="AAB3" s="115" t="inlineStr">
        <is>
          <t>10th june</t>
        </is>
      </c>
      <c r="AAC3" s="115" t="inlineStr">
        <is>
          <t>11th june</t>
        </is>
      </c>
      <c r="AAD3" s="115" t="inlineStr">
        <is>
          <t>12th june</t>
        </is>
      </c>
      <c r="AAE3" s="115" t="inlineStr">
        <is>
          <t>13th june</t>
        </is>
      </c>
      <c r="AAF3" s="115" t="inlineStr">
        <is>
          <t>14th june</t>
        </is>
      </c>
      <c r="AAG3" s="115" t="inlineStr">
        <is>
          <t>15th june</t>
        </is>
      </c>
      <c r="AAH3" s="115" t="inlineStr">
        <is>
          <t>16th june</t>
        </is>
      </c>
      <c r="AAI3" s="115" t="inlineStr">
        <is>
          <t>17th june</t>
        </is>
      </c>
      <c r="AAJ3" s="115" t="inlineStr">
        <is>
          <t>18th june</t>
        </is>
      </c>
      <c r="AAK3" s="115" t="inlineStr">
        <is>
          <t>19th june</t>
        </is>
      </c>
      <c r="AAL3" s="115" t="inlineStr">
        <is>
          <t>20th june</t>
        </is>
      </c>
      <c r="AAM3" s="115" t="inlineStr">
        <is>
          <t>21st june</t>
        </is>
      </c>
      <c r="AAN3" s="115" t="inlineStr">
        <is>
          <t>22nd june</t>
        </is>
      </c>
      <c r="AAO3" s="115" t="inlineStr">
        <is>
          <t>23rd june</t>
        </is>
      </c>
      <c r="AAP3" s="115" t="inlineStr">
        <is>
          <t>24th june</t>
        </is>
      </c>
      <c r="AAQ3" s="115" t="inlineStr">
        <is>
          <t>25th june</t>
        </is>
      </c>
      <c r="AAR3" s="115" t="inlineStr">
        <is>
          <t>26th june</t>
        </is>
      </c>
      <c r="AAS3" s="115" t="inlineStr">
        <is>
          <t>27th june</t>
        </is>
      </c>
      <c r="AAT3" s="115" t="inlineStr">
        <is>
          <t>28th june</t>
        </is>
      </c>
      <c r="AAU3" s="115" t="inlineStr">
        <is>
          <t>29th june</t>
        </is>
      </c>
      <c r="AAV3" s="115" t="inlineStr">
        <is>
          <t>30th june</t>
        </is>
      </c>
      <c r="AAW3" s="127" t="inlineStr">
        <is>
          <t>total</t>
        </is>
      </c>
      <c r="AAX3" s="115" t="inlineStr">
        <is>
          <t>1st july</t>
        </is>
      </c>
      <c r="AAY3" s="115" t="inlineStr">
        <is>
          <t>2nd july</t>
        </is>
      </c>
      <c r="AAZ3" s="115" t="inlineStr">
        <is>
          <t>3rd july</t>
        </is>
      </c>
      <c r="ABA3" s="115" t="inlineStr">
        <is>
          <t>4th july</t>
        </is>
      </c>
      <c r="ABB3" s="115" t="inlineStr">
        <is>
          <t>5th july</t>
        </is>
      </c>
      <c r="ABC3" s="115" t="inlineStr">
        <is>
          <t>6th july</t>
        </is>
      </c>
      <c r="ABD3" s="115" t="inlineStr">
        <is>
          <t>7th july</t>
        </is>
      </c>
      <c r="ABE3" s="115" t="inlineStr">
        <is>
          <t>8th july</t>
        </is>
      </c>
      <c r="ABF3" s="115" t="inlineStr">
        <is>
          <t>9th july</t>
        </is>
      </c>
      <c r="ABG3" s="115" t="inlineStr">
        <is>
          <t>10th july</t>
        </is>
      </c>
      <c r="ABH3" s="115" t="inlineStr">
        <is>
          <t>11th july</t>
        </is>
      </c>
      <c r="ABI3" s="115" t="inlineStr">
        <is>
          <t>12th july</t>
        </is>
      </c>
      <c r="ABJ3" s="115" t="inlineStr">
        <is>
          <t>13th july</t>
        </is>
      </c>
      <c r="ABK3" s="115" t="inlineStr">
        <is>
          <t>14th july</t>
        </is>
      </c>
      <c r="ABL3" s="115" t="inlineStr">
        <is>
          <t>15th july</t>
        </is>
      </c>
      <c r="ABM3" s="115" t="inlineStr">
        <is>
          <t>16th july</t>
        </is>
      </c>
      <c r="ABN3" s="115" t="inlineStr">
        <is>
          <t>17th july</t>
        </is>
      </c>
      <c r="ABO3" s="115" t="inlineStr">
        <is>
          <t>18th july</t>
        </is>
      </c>
      <c r="ABP3" s="115" t="inlineStr">
        <is>
          <t>19th july</t>
        </is>
      </c>
      <c r="ABQ3" s="115" t="inlineStr">
        <is>
          <t>20th july</t>
        </is>
      </c>
      <c r="ABR3" s="115" t="inlineStr">
        <is>
          <t>21st july</t>
        </is>
      </c>
      <c r="ABS3" s="115" t="inlineStr">
        <is>
          <t>22nd july</t>
        </is>
      </c>
      <c r="ABT3" s="115" t="inlineStr">
        <is>
          <t>23rd july</t>
        </is>
      </c>
      <c r="ABU3" s="115" t="inlineStr">
        <is>
          <t>24th july</t>
        </is>
      </c>
      <c r="ABV3" s="115" t="inlineStr">
        <is>
          <t>25th july</t>
        </is>
      </c>
      <c r="ABW3" s="115" t="inlineStr">
        <is>
          <t>26th july</t>
        </is>
      </c>
      <c r="ABX3" s="115" t="inlineStr">
        <is>
          <t>27th july</t>
        </is>
      </c>
      <c r="ABY3" s="115" t="inlineStr">
        <is>
          <t>28th july</t>
        </is>
      </c>
      <c r="ABZ3" s="115" t="inlineStr">
        <is>
          <t>29th july</t>
        </is>
      </c>
      <c r="ACA3" s="115" t="inlineStr">
        <is>
          <t>30th july</t>
        </is>
      </c>
      <c r="ACB3" s="115" t="inlineStr">
        <is>
          <t>31st july</t>
        </is>
      </c>
      <c r="ACC3" s="127" t="inlineStr">
        <is>
          <t>total</t>
        </is>
      </c>
      <c r="ACD3" s="115" t="inlineStr">
        <is>
          <t>1st aug</t>
        </is>
      </c>
      <c r="ACE3" s="115" t="inlineStr">
        <is>
          <t>2nd aug</t>
        </is>
      </c>
      <c r="ACF3" s="115" t="inlineStr">
        <is>
          <t>3rd aug</t>
        </is>
      </c>
      <c r="ACG3" s="115" t="inlineStr">
        <is>
          <t>4th aug</t>
        </is>
      </c>
      <c r="ACH3" s="115" t="inlineStr">
        <is>
          <t>5th aug</t>
        </is>
      </c>
      <c r="ACI3" s="115" t="inlineStr">
        <is>
          <t>6th aug</t>
        </is>
      </c>
      <c r="ACJ3" s="115" t="inlineStr">
        <is>
          <t>7th aug</t>
        </is>
      </c>
      <c r="ACK3" s="115" t="inlineStr">
        <is>
          <t>8th aug</t>
        </is>
      </c>
      <c r="ACL3" s="115" t="inlineStr">
        <is>
          <t>9th aug</t>
        </is>
      </c>
      <c r="ACM3" s="115" t="inlineStr">
        <is>
          <t>10th aug</t>
        </is>
      </c>
      <c r="ACN3" s="115" t="inlineStr">
        <is>
          <t>11th aug</t>
        </is>
      </c>
      <c r="ACO3" s="115" t="inlineStr">
        <is>
          <t>12th aug</t>
        </is>
      </c>
      <c r="ACP3" s="115" t="inlineStr">
        <is>
          <t>13th aug</t>
        </is>
      </c>
      <c r="ACQ3" s="115" t="inlineStr">
        <is>
          <t>14th aug</t>
        </is>
      </c>
      <c r="ACR3" s="115" t="inlineStr">
        <is>
          <t>15th aug</t>
        </is>
      </c>
      <c r="ACS3" s="115" t="inlineStr">
        <is>
          <t>16th aug</t>
        </is>
      </c>
      <c r="ACT3" s="115" t="inlineStr">
        <is>
          <t>17th aug</t>
        </is>
      </c>
      <c r="ACU3" s="115" t="inlineStr">
        <is>
          <t>18th aug</t>
        </is>
      </c>
      <c r="ACV3" s="115" t="inlineStr">
        <is>
          <t>19th aug</t>
        </is>
      </c>
      <c r="ACW3" s="115" t="inlineStr">
        <is>
          <t>20th aug</t>
        </is>
      </c>
      <c r="ACX3" s="115" t="inlineStr">
        <is>
          <t>21st aug</t>
        </is>
      </c>
      <c r="ACY3" s="115" t="inlineStr">
        <is>
          <t>22nd aug</t>
        </is>
      </c>
      <c r="ACZ3" s="115" t="inlineStr">
        <is>
          <t>23rd aug</t>
        </is>
      </c>
      <c r="ADA3" s="115" t="inlineStr">
        <is>
          <t>24th aug</t>
        </is>
      </c>
      <c r="ADB3" s="115" t="inlineStr">
        <is>
          <t>25th aug</t>
        </is>
      </c>
      <c r="ADC3" s="115" t="inlineStr">
        <is>
          <t>26th aug</t>
        </is>
      </c>
      <c r="ADD3" s="115" t="inlineStr">
        <is>
          <t>27th aug</t>
        </is>
      </c>
      <c r="ADE3" s="115" t="inlineStr">
        <is>
          <t>28th aug</t>
        </is>
      </c>
      <c r="ADF3" s="115" t="inlineStr">
        <is>
          <t>29th aug</t>
        </is>
      </c>
      <c r="ADG3" s="115" t="inlineStr">
        <is>
          <t>30th aug</t>
        </is>
      </c>
      <c r="ADH3" s="115" t="inlineStr">
        <is>
          <t>31st aug</t>
        </is>
      </c>
      <c r="ADI3" s="127" t="inlineStr">
        <is>
          <t>total</t>
        </is>
      </c>
      <c r="ADJ3" s="115" t="inlineStr">
        <is>
          <t>1st -sep25</t>
        </is>
      </c>
      <c r="ADK3" s="115" t="inlineStr">
        <is>
          <t>2nd -sep25</t>
        </is>
      </c>
      <c r="ADL3" s="115" t="inlineStr">
        <is>
          <t>3rd -sep25</t>
        </is>
      </c>
      <c r="ADM3" s="115" t="inlineStr">
        <is>
          <t>4th -sep25</t>
        </is>
      </c>
      <c r="ADN3" s="115" t="inlineStr">
        <is>
          <t>5th -sep25</t>
        </is>
      </c>
      <c r="ADO3" s="115" t="inlineStr">
        <is>
          <t>6th -sep25</t>
        </is>
      </c>
      <c r="ADP3" s="115" t="inlineStr">
        <is>
          <t>7th -sep25</t>
        </is>
      </c>
      <c r="ADQ3" s="115" t="inlineStr">
        <is>
          <t>8th -sep25</t>
        </is>
      </c>
      <c r="ADR3" s="115" t="inlineStr">
        <is>
          <t>9th -sep25</t>
        </is>
      </c>
      <c r="ADS3" s="115" t="inlineStr">
        <is>
          <t>10th -sep25</t>
        </is>
      </c>
      <c r="ADT3" s="115" t="inlineStr">
        <is>
          <t>11th -sep25</t>
        </is>
      </c>
      <c r="ADU3" s="115" t="inlineStr">
        <is>
          <t>12th -sep25</t>
        </is>
      </c>
      <c r="ADV3" s="115" t="inlineStr">
        <is>
          <t>13th -sep25</t>
        </is>
      </c>
      <c r="ADW3" s="115" t="inlineStr">
        <is>
          <t>14th -sep25</t>
        </is>
      </c>
      <c r="ADX3" s="115" t="inlineStr">
        <is>
          <t>15th -sep25</t>
        </is>
      </c>
      <c r="ADY3" s="115" t="inlineStr">
        <is>
          <t>16th -sep25</t>
        </is>
      </c>
      <c r="ADZ3" s="115" t="inlineStr">
        <is>
          <t>17th -sep25</t>
        </is>
      </c>
      <c r="AEA3" s="115" t="inlineStr">
        <is>
          <t>18th -sep25</t>
        </is>
      </c>
      <c r="AEB3" s="115" t="inlineStr">
        <is>
          <t>19th -sep25</t>
        </is>
      </c>
      <c r="AEC3" s="115" t="inlineStr">
        <is>
          <t>20th -sep25</t>
        </is>
      </c>
      <c r="AED3" s="115" t="inlineStr">
        <is>
          <t>21st -sep25</t>
        </is>
      </c>
      <c r="AEE3" s="115" t="inlineStr">
        <is>
          <t>22nd -sep25</t>
        </is>
      </c>
      <c r="AEF3" s="115" t="inlineStr">
        <is>
          <t>23rd -sep25</t>
        </is>
      </c>
      <c r="AEG3" s="115" t="inlineStr">
        <is>
          <t>24th -sep25</t>
        </is>
      </c>
      <c r="AEH3" s="115" t="inlineStr">
        <is>
          <t>25th -sep25</t>
        </is>
      </c>
      <c r="AEI3" s="115" t="inlineStr">
        <is>
          <t>26th -sep25</t>
        </is>
      </c>
      <c r="AEJ3" s="115" t="inlineStr">
        <is>
          <t>27th -sep25</t>
        </is>
      </c>
      <c r="AEK3" s="115" t="inlineStr">
        <is>
          <t>28th -sep25</t>
        </is>
      </c>
      <c r="AEL3" s="115" t="inlineStr">
        <is>
          <t>29th -sep25</t>
        </is>
      </c>
      <c r="AEM3" s="115" t="inlineStr">
        <is>
          <t>30th -sep25</t>
        </is>
      </c>
      <c r="AEN3" s="127" t="inlineStr">
        <is>
          <t>total</t>
        </is>
      </c>
      <c r="AEO3" s="115" t="inlineStr">
        <is>
          <t>1st -oct25</t>
        </is>
      </c>
      <c r="AEP3" s="115" t="inlineStr">
        <is>
          <t>2nd -oct25</t>
        </is>
      </c>
      <c r="AEQ3" s="115" t="inlineStr">
        <is>
          <t>3rd -oct25</t>
        </is>
      </c>
      <c r="AER3" s="115" t="inlineStr">
        <is>
          <t>4th -oct25</t>
        </is>
      </c>
      <c r="AES3" s="115" t="inlineStr">
        <is>
          <t>5th -oct25</t>
        </is>
      </c>
      <c r="AET3" s="115" t="inlineStr">
        <is>
          <t>6th -oct25</t>
        </is>
      </c>
      <c r="AEU3" s="115" t="inlineStr">
        <is>
          <t>7th -oct25</t>
        </is>
      </c>
      <c r="AEV3" s="115" t="inlineStr">
        <is>
          <t>8th -oct25</t>
        </is>
      </c>
      <c r="AEW3" s="115" t="inlineStr">
        <is>
          <t>9th -oct25</t>
        </is>
      </c>
      <c r="AEX3" s="115" t="inlineStr">
        <is>
          <t>10th -oct25</t>
        </is>
      </c>
      <c r="AEY3" s="115" t="inlineStr">
        <is>
          <t>11th -oct25</t>
        </is>
      </c>
      <c r="AEZ3" s="115" t="inlineStr">
        <is>
          <t>12th -oct25</t>
        </is>
      </c>
      <c r="AFA3" s="115" t="inlineStr">
        <is>
          <t>13th -oct25</t>
        </is>
      </c>
      <c r="AFB3" s="115" t="inlineStr">
        <is>
          <t>14th -oct25</t>
        </is>
      </c>
      <c r="AFC3" s="115" t="inlineStr">
        <is>
          <t>15th -oct25</t>
        </is>
      </c>
      <c r="AFD3" s="115" t="inlineStr">
        <is>
          <t>16th -oct25</t>
        </is>
      </c>
      <c r="AFE3" s="115" t="inlineStr">
        <is>
          <t>17th -oct25</t>
        </is>
      </c>
      <c r="AFF3" s="115" t="inlineStr">
        <is>
          <t>18th -oct25</t>
        </is>
      </c>
      <c r="AFG3" s="115" t="inlineStr">
        <is>
          <t>19th -oct25</t>
        </is>
      </c>
      <c r="AFH3" s="115" t="inlineStr">
        <is>
          <t>20th -oct25</t>
        </is>
      </c>
      <c r="AFI3" s="115" t="inlineStr">
        <is>
          <t>21st -oct25</t>
        </is>
      </c>
      <c r="AFJ3" s="115" t="inlineStr">
        <is>
          <t>22nd -oct25</t>
        </is>
      </c>
      <c r="AFK3" s="115" t="inlineStr">
        <is>
          <t>23rd -oct25</t>
        </is>
      </c>
      <c r="AFL3" s="115" t="inlineStr">
        <is>
          <t>24th -oct25</t>
        </is>
      </c>
      <c r="AFM3" s="115" t="inlineStr">
        <is>
          <t>25th -oct25</t>
        </is>
      </c>
      <c r="AFN3" s="115" t="inlineStr">
        <is>
          <t>26th -oct25</t>
        </is>
      </c>
      <c r="AFO3" s="115" t="inlineStr">
        <is>
          <t>27th -oct25</t>
        </is>
      </c>
      <c r="AFP3" s="115" t="inlineStr">
        <is>
          <t>28th -oct25</t>
        </is>
      </c>
      <c r="AFQ3" s="115" t="inlineStr">
        <is>
          <t>29th -oct25</t>
        </is>
      </c>
      <c r="AFR3" s="115" t="inlineStr">
        <is>
          <t>30th -oct25</t>
        </is>
      </c>
      <c r="AFS3" s="115" t="inlineStr">
        <is>
          <t>31st -oct25</t>
        </is>
      </c>
      <c r="AFT3" s="127" t="inlineStr">
        <is>
          <t>total</t>
        </is>
      </c>
      <c r="AFU3" s="115" t="inlineStr">
        <is>
          <t>1st -nov25</t>
        </is>
      </c>
      <c r="AFV3" s="115" t="inlineStr">
        <is>
          <t>2nd -nov25</t>
        </is>
      </c>
      <c r="AFW3" s="115" t="inlineStr">
        <is>
          <t>3rd -nov25</t>
        </is>
      </c>
      <c r="AFX3" s="115" t="inlineStr">
        <is>
          <t>4th -nov25</t>
        </is>
      </c>
      <c r="AFY3" s="115" t="inlineStr">
        <is>
          <t>5th -nov25</t>
        </is>
      </c>
      <c r="AFZ3" s="115" t="inlineStr">
        <is>
          <t>6th -nov25</t>
        </is>
      </c>
      <c r="AGA3" s="115" t="inlineStr">
        <is>
          <t>7th -nov25</t>
        </is>
      </c>
      <c r="AGB3" s="115" t="inlineStr">
        <is>
          <t>8th -nov25</t>
        </is>
      </c>
      <c r="AGC3" s="115" t="inlineStr">
        <is>
          <t>9th -nov25</t>
        </is>
      </c>
      <c r="AGD3" s="115" t="inlineStr">
        <is>
          <t>10th -nov25</t>
        </is>
      </c>
      <c r="AGE3" s="115" t="inlineStr">
        <is>
          <t>11th -nov25</t>
        </is>
      </c>
      <c r="AGF3" s="115" t="inlineStr">
        <is>
          <t>12th -nov25</t>
        </is>
      </c>
      <c r="AGG3" s="115" t="inlineStr">
        <is>
          <t>13th -nov25</t>
        </is>
      </c>
      <c r="AGH3" s="115" t="inlineStr">
        <is>
          <t>14th -nov25</t>
        </is>
      </c>
      <c r="AGI3" s="115" t="inlineStr">
        <is>
          <t>15th -nov25</t>
        </is>
      </c>
      <c r="AGJ3" s="115" t="inlineStr">
        <is>
          <t>16th -nov25</t>
        </is>
      </c>
      <c r="AGK3" s="115" t="inlineStr">
        <is>
          <t>17th -nov25</t>
        </is>
      </c>
      <c r="AGL3" s="115" t="inlineStr">
        <is>
          <t>18th -nov25</t>
        </is>
      </c>
      <c r="AGM3" s="115" t="inlineStr">
        <is>
          <t>19th -nov25</t>
        </is>
      </c>
      <c r="AGN3" s="115" t="inlineStr">
        <is>
          <t>20th -nov25</t>
        </is>
      </c>
      <c r="AGO3" s="115" t="inlineStr">
        <is>
          <t>21st -nov25</t>
        </is>
      </c>
      <c r="AGP3" s="115" t="inlineStr">
        <is>
          <t>22nd -nov25</t>
        </is>
      </c>
      <c r="AGQ3" s="115" t="inlineStr">
        <is>
          <t>23rd -nov25</t>
        </is>
      </c>
      <c r="AGR3" s="115" t="inlineStr">
        <is>
          <t>24th -nov25</t>
        </is>
      </c>
      <c r="AGS3" s="115" t="inlineStr">
        <is>
          <t>25th -nov25</t>
        </is>
      </c>
      <c r="AGT3" s="115" t="inlineStr">
        <is>
          <t>26th -nov25</t>
        </is>
      </c>
      <c r="AGU3" s="115" t="inlineStr">
        <is>
          <t>27th -nov25</t>
        </is>
      </c>
      <c r="AGV3" s="115" t="inlineStr">
        <is>
          <t>28th -nov25</t>
        </is>
      </c>
      <c r="AGW3" s="115" t="inlineStr">
        <is>
          <t>29th -nov25</t>
        </is>
      </c>
      <c r="AGX3" s="115" t="inlineStr">
        <is>
          <t>30th -nov25</t>
        </is>
      </c>
      <c r="AGY3" s="127" t="inlineStr">
        <is>
          <t>total</t>
        </is>
      </c>
      <c r="AGZ3" s="115" t="inlineStr">
        <is>
          <t>1st dec25</t>
        </is>
      </c>
      <c r="AHA3" s="115" t="inlineStr">
        <is>
          <t>2nd dec25</t>
        </is>
      </c>
      <c r="AHB3" s="115" t="inlineStr">
        <is>
          <t>3rd dec25</t>
        </is>
      </c>
      <c r="AHC3" s="115" t="inlineStr">
        <is>
          <t>4th dec25</t>
        </is>
      </c>
      <c r="AHD3" s="115" t="inlineStr">
        <is>
          <t>5th dec25</t>
        </is>
      </c>
      <c r="AHE3" s="115" t="inlineStr">
        <is>
          <t>6th dec25</t>
        </is>
      </c>
      <c r="AHF3" s="115" t="inlineStr">
        <is>
          <t>7th dec25</t>
        </is>
      </c>
      <c r="AHG3" s="115" t="inlineStr">
        <is>
          <t>8th dec25</t>
        </is>
      </c>
      <c r="AHH3" s="115" t="inlineStr">
        <is>
          <t>9th dec25</t>
        </is>
      </c>
      <c r="AHI3" s="115" t="inlineStr">
        <is>
          <t>10th dec25</t>
        </is>
      </c>
      <c r="AHJ3" s="115" t="inlineStr">
        <is>
          <t>11th dec25</t>
        </is>
      </c>
      <c r="AHK3" s="115" t="inlineStr">
        <is>
          <t>12th dec25</t>
        </is>
      </c>
      <c r="AHL3" s="115" t="inlineStr">
        <is>
          <t>13th dec25</t>
        </is>
      </c>
      <c r="AHM3" s="115" t="inlineStr">
        <is>
          <t>14th dec25</t>
        </is>
      </c>
      <c r="AHN3" s="115" t="inlineStr">
        <is>
          <t>15th dec25</t>
        </is>
      </c>
      <c r="AHO3" s="115" t="inlineStr">
        <is>
          <t>16th dec25</t>
        </is>
      </c>
      <c r="AHP3" s="115" t="inlineStr">
        <is>
          <t>17th dec25</t>
        </is>
      </c>
      <c r="AHQ3" s="115" t="inlineStr">
        <is>
          <t>18th dec25</t>
        </is>
      </c>
      <c r="AHR3" s="115" t="inlineStr">
        <is>
          <t>19th dec25</t>
        </is>
      </c>
      <c r="AHS3" s="115" t="inlineStr">
        <is>
          <t>20th dec25</t>
        </is>
      </c>
      <c r="AHT3" s="115" t="inlineStr">
        <is>
          <t>21st dec25</t>
        </is>
      </c>
      <c r="AHU3" s="115" t="inlineStr">
        <is>
          <t>22nd dec25</t>
        </is>
      </c>
      <c r="AHV3" s="115" t="inlineStr">
        <is>
          <t>23rd dec25</t>
        </is>
      </c>
      <c r="AHW3" s="115" t="inlineStr">
        <is>
          <t>24th dec25</t>
        </is>
      </c>
      <c r="AHX3" s="115" t="inlineStr">
        <is>
          <t>25th dec25</t>
        </is>
      </c>
      <c r="AHY3" s="115" t="inlineStr">
        <is>
          <t>26th dec25</t>
        </is>
      </c>
      <c r="AHZ3" s="115" t="inlineStr">
        <is>
          <t>27th dec25</t>
        </is>
      </c>
      <c r="AIA3" s="115" t="inlineStr">
        <is>
          <t>28th dec25</t>
        </is>
      </c>
      <c r="AIB3" s="115" t="inlineStr">
        <is>
          <t>29th dec25</t>
        </is>
      </c>
      <c r="AIC3" s="115" t="inlineStr">
        <is>
          <t>30th dec25</t>
        </is>
      </c>
      <c r="AID3" s="115" t="inlineStr">
        <is>
          <t>31st dec25</t>
        </is>
      </c>
      <c r="AIE3" s="127" t="inlineStr">
        <is>
          <t>total</t>
        </is>
      </c>
      <c r="AIF3" s="115" t="inlineStr">
        <is>
          <t>1st -jan26</t>
        </is>
      </c>
      <c r="AIG3" s="115" t="inlineStr">
        <is>
          <t>2nd -jan26</t>
        </is>
      </c>
      <c r="AIH3" s="115" t="inlineStr">
        <is>
          <t>3rd -jan26</t>
        </is>
      </c>
      <c r="AII3" s="115" t="inlineStr">
        <is>
          <t>4th -jan26</t>
        </is>
      </c>
      <c r="AIJ3" s="115" t="inlineStr">
        <is>
          <t>5th -jan26</t>
        </is>
      </c>
      <c r="AIK3" s="115" t="inlineStr">
        <is>
          <t>6th -jan26</t>
        </is>
      </c>
      <c r="AIL3" s="115" t="inlineStr">
        <is>
          <t>7th -jan26</t>
        </is>
      </c>
      <c r="AIM3" s="115" t="inlineStr">
        <is>
          <t>8th -jan26</t>
        </is>
      </c>
      <c r="AIN3" s="115" t="inlineStr">
        <is>
          <t>9th -jan26</t>
        </is>
      </c>
      <c r="AIO3" s="115" t="inlineStr">
        <is>
          <t>10th -jan26</t>
        </is>
      </c>
      <c r="AIP3" s="115" t="inlineStr">
        <is>
          <t>11th -jan26</t>
        </is>
      </c>
      <c r="AIQ3" s="115" t="inlineStr">
        <is>
          <t>12th -jan26</t>
        </is>
      </c>
      <c r="AIR3" s="115" t="inlineStr">
        <is>
          <t>13th -jan26</t>
        </is>
      </c>
      <c r="AIS3" s="115" t="inlineStr">
        <is>
          <t>14th -jan26</t>
        </is>
      </c>
      <c r="AIT3" s="115" t="inlineStr">
        <is>
          <t>15th -jan26</t>
        </is>
      </c>
      <c r="AIU3" s="115" t="inlineStr">
        <is>
          <t>16th -jan26</t>
        </is>
      </c>
      <c r="AIV3" s="115" t="inlineStr">
        <is>
          <t>17th -jan26</t>
        </is>
      </c>
      <c r="AIW3" s="115" t="inlineStr">
        <is>
          <t>18th -jan26</t>
        </is>
      </c>
      <c r="AIX3" s="115" t="inlineStr">
        <is>
          <t>19th -jan26</t>
        </is>
      </c>
      <c r="AIY3" s="115" t="inlineStr">
        <is>
          <t>20th -jan26</t>
        </is>
      </c>
      <c r="AIZ3" s="115" t="inlineStr">
        <is>
          <t>21st -jan26</t>
        </is>
      </c>
      <c r="AJA3" s="115" t="inlineStr">
        <is>
          <t>22nd -jan26</t>
        </is>
      </c>
      <c r="AJB3" s="115" t="inlineStr">
        <is>
          <t>23rd -jan26</t>
        </is>
      </c>
      <c r="AJC3" s="115" t="inlineStr">
        <is>
          <t>24th -jan26</t>
        </is>
      </c>
      <c r="AJD3" s="115" t="inlineStr">
        <is>
          <t>25th -jan26</t>
        </is>
      </c>
      <c r="AJE3" s="115" t="inlineStr">
        <is>
          <t>26th -jan26</t>
        </is>
      </c>
      <c r="AJF3" s="115" t="inlineStr">
        <is>
          <t>27th -jan26</t>
        </is>
      </c>
      <c r="AJG3" s="115" t="inlineStr">
        <is>
          <t>28th -jan26</t>
        </is>
      </c>
      <c r="AJH3" s="115" t="inlineStr">
        <is>
          <t>29th -jan26</t>
        </is>
      </c>
      <c r="AJI3" s="115" t="inlineStr">
        <is>
          <t>30th -jan26</t>
        </is>
      </c>
      <c r="AJJ3" s="115" t="inlineStr">
        <is>
          <t>31st -jan26</t>
        </is>
      </c>
      <c r="AJK3" s="127" t="inlineStr">
        <is>
          <t>total</t>
        </is>
      </c>
      <c r="AJL3" s="115" t="inlineStr">
        <is>
          <t>1st -feb2026</t>
        </is>
      </c>
      <c r="AJM3" s="115" t="inlineStr">
        <is>
          <t>2nd -feb2026</t>
        </is>
      </c>
      <c r="AJN3" s="115" t="inlineStr">
        <is>
          <t>3rd -feb2026</t>
        </is>
      </c>
      <c r="AJO3" s="115" t="inlineStr">
        <is>
          <t>4th -feb2026</t>
        </is>
      </c>
      <c r="AJP3" s="115" t="inlineStr">
        <is>
          <t>5th -feb2026</t>
        </is>
      </c>
      <c r="AJQ3" s="115" t="inlineStr">
        <is>
          <t>6th -feb2026</t>
        </is>
      </c>
      <c r="AJR3" s="115" t="inlineStr">
        <is>
          <t>7th -feb2026</t>
        </is>
      </c>
      <c r="AJS3" s="115" t="inlineStr">
        <is>
          <t>8th -feb2026</t>
        </is>
      </c>
      <c r="AJT3" s="115" t="inlineStr">
        <is>
          <t>9th -feb2026</t>
        </is>
      </c>
      <c r="AJU3" s="115" t="inlineStr">
        <is>
          <t>10th -feb2026</t>
        </is>
      </c>
      <c r="AJV3" s="115" t="inlineStr">
        <is>
          <t>11th -feb2026</t>
        </is>
      </c>
      <c r="AJW3" s="115" t="inlineStr">
        <is>
          <t>12th -feb2026</t>
        </is>
      </c>
      <c r="AJX3" s="115" t="inlineStr">
        <is>
          <t>13th -feb2026</t>
        </is>
      </c>
      <c r="AJY3" s="115" t="inlineStr">
        <is>
          <t>14th -feb2026</t>
        </is>
      </c>
      <c r="AJZ3" s="115" t="inlineStr">
        <is>
          <t>15th -feb2026</t>
        </is>
      </c>
      <c r="AKA3" s="115" t="inlineStr">
        <is>
          <t>16th -feb2026</t>
        </is>
      </c>
      <c r="AKB3" s="115" t="inlineStr">
        <is>
          <t>17th -feb2026</t>
        </is>
      </c>
      <c r="AKC3" s="115" t="inlineStr">
        <is>
          <t>18th -feb2026</t>
        </is>
      </c>
      <c r="AKD3" s="115" t="inlineStr">
        <is>
          <t>19th -feb2026</t>
        </is>
      </c>
      <c r="AKE3" s="115" t="inlineStr">
        <is>
          <t>20th -feb2026</t>
        </is>
      </c>
      <c r="AKF3" s="115" t="inlineStr">
        <is>
          <t>21st -feb2026</t>
        </is>
      </c>
      <c r="AKG3" s="115" t="inlineStr">
        <is>
          <t>22nd -feb2026</t>
        </is>
      </c>
      <c r="AKH3" s="115" t="inlineStr">
        <is>
          <t>23rd -feb2026</t>
        </is>
      </c>
      <c r="AKI3" s="115" t="inlineStr">
        <is>
          <t>24th -feb2026</t>
        </is>
      </c>
      <c r="AKJ3" s="115" t="inlineStr">
        <is>
          <t>25th -feb2026</t>
        </is>
      </c>
      <c r="AKK3" s="115" t="inlineStr">
        <is>
          <t>26th -feb2026</t>
        </is>
      </c>
      <c r="AKL3" s="115" t="inlineStr">
        <is>
          <t>27th -feb2026</t>
        </is>
      </c>
      <c r="AKM3" s="115" t="inlineStr">
        <is>
          <t>28th -feb2026</t>
        </is>
      </c>
      <c r="AKN3" s="127" t="inlineStr">
        <is>
          <t>total</t>
        </is>
      </c>
      <c r="AKO3" s="115" t="inlineStr">
        <is>
          <t>1st Mar2026</t>
        </is>
      </c>
      <c r="AKP3" s="115" t="inlineStr">
        <is>
          <t>2nd Mar2026</t>
        </is>
      </c>
      <c r="AKQ3" s="115" t="inlineStr">
        <is>
          <t>3rd Mar2026</t>
        </is>
      </c>
      <c r="AKR3" s="115" t="inlineStr">
        <is>
          <t>4th Mar2026</t>
        </is>
      </c>
      <c r="AKS3" s="115" t="inlineStr">
        <is>
          <t>5th Mar2026</t>
        </is>
      </c>
      <c r="AKT3" s="115" t="inlineStr">
        <is>
          <t>6th Mar2026</t>
        </is>
      </c>
      <c r="AKU3" s="115" t="inlineStr">
        <is>
          <t>7th Mar2026</t>
        </is>
      </c>
      <c r="AKV3" s="115" t="inlineStr">
        <is>
          <t>8th Mar2026</t>
        </is>
      </c>
      <c r="AKW3" s="115" t="inlineStr">
        <is>
          <t>9th Mar2026</t>
        </is>
      </c>
      <c r="AKX3" s="115" t="inlineStr">
        <is>
          <t>10th Mar2026</t>
        </is>
      </c>
      <c r="AKY3" s="115" t="inlineStr">
        <is>
          <t>11th Mar2026</t>
        </is>
      </c>
      <c r="AKZ3" s="115" t="inlineStr">
        <is>
          <t>12th Mar2026</t>
        </is>
      </c>
      <c r="ALA3" s="115" t="inlineStr">
        <is>
          <t>13th Mar2026</t>
        </is>
      </c>
      <c r="ALB3" s="115" t="inlineStr">
        <is>
          <t>14th Mar2026</t>
        </is>
      </c>
      <c r="ALC3" s="115" t="inlineStr">
        <is>
          <t>15th Mar2026</t>
        </is>
      </c>
      <c r="ALD3" s="115" t="inlineStr">
        <is>
          <t>16th Mar2026</t>
        </is>
      </c>
      <c r="ALE3" s="115" t="inlineStr">
        <is>
          <t>17th Mar2026</t>
        </is>
      </c>
      <c r="ALF3" s="115" t="inlineStr">
        <is>
          <t>18th Mar2026</t>
        </is>
      </c>
      <c r="ALG3" s="115" t="inlineStr">
        <is>
          <t>19th Mar2026</t>
        </is>
      </c>
      <c r="ALH3" s="115" t="inlineStr">
        <is>
          <t>20th Mar2026</t>
        </is>
      </c>
      <c r="ALI3" s="115" t="inlineStr">
        <is>
          <t>21st Mar2026</t>
        </is>
      </c>
      <c r="ALJ3" s="115" t="inlineStr">
        <is>
          <t>22nd Mar2026</t>
        </is>
      </c>
      <c r="ALK3" s="115" t="inlineStr">
        <is>
          <t>23rd Mar2026</t>
        </is>
      </c>
      <c r="ALL3" s="115" t="inlineStr">
        <is>
          <t>24th Mar2026</t>
        </is>
      </c>
      <c r="ALM3" s="115" t="inlineStr">
        <is>
          <t>25th Mar2026</t>
        </is>
      </c>
      <c r="ALN3" s="115" t="inlineStr">
        <is>
          <t>26th Mar2026</t>
        </is>
      </c>
      <c r="ALO3" s="115" t="inlineStr">
        <is>
          <t>27th Mar2026</t>
        </is>
      </c>
      <c r="ALP3" s="115" t="inlineStr">
        <is>
          <t>28th Mar2026</t>
        </is>
      </c>
      <c r="ALQ3" s="115" t="inlineStr">
        <is>
          <t>29th Mar2026</t>
        </is>
      </c>
      <c r="ALR3" s="115" t="inlineStr">
        <is>
          <t>30th Mar2026</t>
        </is>
      </c>
      <c r="ALS3" s="115" t="inlineStr">
        <is>
          <t>31st Mar2026</t>
        </is>
      </c>
      <c r="ALT3" s="127" t="inlineStr">
        <is>
          <t>total</t>
        </is>
      </c>
      <c r="ALU3" s="115" t="inlineStr">
        <is>
          <t>1st -apr2026</t>
        </is>
      </c>
      <c r="ALV3" s="115" t="inlineStr">
        <is>
          <t>2nd -apr2026</t>
        </is>
      </c>
      <c r="ALW3" s="115" t="inlineStr">
        <is>
          <t>3rd -apr2026</t>
        </is>
      </c>
      <c r="ALX3" s="115" t="inlineStr">
        <is>
          <t>4th -apr2026</t>
        </is>
      </c>
      <c r="ALY3" s="115" t="inlineStr">
        <is>
          <t>5th -apr2026</t>
        </is>
      </c>
      <c r="ALZ3" s="115" t="inlineStr">
        <is>
          <t>6th -apr2026</t>
        </is>
      </c>
      <c r="AMA3" s="115" t="inlineStr">
        <is>
          <t>7th -apr2026</t>
        </is>
      </c>
      <c r="AMB3" s="115" t="inlineStr">
        <is>
          <t>8th -apr2026</t>
        </is>
      </c>
      <c r="AMC3" s="115" t="inlineStr">
        <is>
          <t>9th -apr2026</t>
        </is>
      </c>
      <c r="AMD3" s="115" t="inlineStr">
        <is>
          <t>10th -apr2026</t>
        </is>
      </c>
      <c r="AME3" s="115" t="inlineStr">
        <is>
          <t>11th -apr2026</t>
        </is>
      </c>
      <c r="AMF3" s="115" t="inlineStr">
        <is>
          <t>12th -apr2026</t>
        </is>
      </c>
      <c r="AMG3" s="115" t="inlineStr">
        <is>
          <t>13th -apr2026</t>
        </is>
      </c>
      <c r="AMH3" s="115" t="inlineStr">
        <is>
          <t>14th -apr2026</t>
        </is>
      </c>
      <c r="AMI3" s="115" t="inlineStr">
        <is>
          <t>15th -apr2026</t>
        </is>
      </c>
      <c r="AMJ3" s="115" t="inlineStr">
        <is>
          <t>16th -apr2026</t>
        </is>
      </c>
      <c r="AMK3" s="115" t="inlineStr">
        <is>
          <t>17th -apr2026</t>
        </is>
      </c>
      <c r="AML3" s="115" t="inlineStr">
        <is>
          <t>18th -apr2026</t>
        </is>
      </c>
      <c r="AMM3" s="115" t="inlineStr">
        <is>
          <t>19th -apr2026</t>
        </is>
      </c>
      <c r="AMN3" s="115" t="inlineStr">
        <is>
          <t>20th -apr2026</t>
        </is>
      </c>
      <c r="AMO3" s="115" t="inlineStr">
        <is>
          <t>21st -apr2026</t>
        </is>
      </c>
      <c r="AMP3" s="115" t="inlineStr">
        <is>
          <t>22nd -apr2026</t>
        </is>
      </c>
      <c r="AMQ3" s="115" t="inlineStr">
        <is>
          <t>23rd -apr2026</t>
        </is>
      </c>
      <c r="AMR3" s="115" t="inlineStr">
        <is>
          <t>24th -apr2026</t>
        </is>
      </c>
      <c r="AMS3" s="115" t="inlineStr">
        <is>
          <t>25th -apr2026</t>
        </is>
      </c>
      <c r="AMT3" s="115" t="inlineStr">
        <is>
          <t>26th -apr2026</t>
        </is>
      </c>
      <c r="AMU3" s="115" t="inlineStr">
        <is>
          <t>27th -apr2026</t>
        </is>
      </c>
      <c r="AMV3" s="115" t="inlineStr">
        <is>
          <t>28th -apr2026</t>
        </is>
      </c>
      <c r="AMW3" s="115" t="inlineStr">
        <is>
          <t>29th -apr2026</t>
        </is>
      </c>
      <c r="AMX3" s="115" t="inlineStr">
        <is>
          <t>30th -apr2026</t>
        </is>
      </c>
      <c r="AMY3" s="127" t="inlineStr">
        <is>
          <t>total</t>
        </is>
      </c>
      <c r="AMZ3" s="115" t="inlineStr">
        <is>
          <t>1st -may2026</t>
        </is>
      </c>
      <c r="ANA3" s="115" t="inlineStr">
        <is>
          <t>2nd -may2026</t>
        </is>
      </c>
      <c r="ANB3" s="115" t="inlineStr">
        <is>
          <t>3rd -may2026</t>
        </is>
      </c>
      <c r="ANC3" s="115" t="inlineStr">
        <is>
          <t>4th -may2026</t>
        </is>
      </c>
      <c r="AND3" s="115" t="inlineStr">
        <is>
          <t>5th -may2026</t>
        </is>
      </c>
      <c r="ANE3" s="115" t="inlineStr">
        <is>
          <t>6th -may2026</t>
        </is>
      </c>
      <c r="ANF3" s="115" t="inlineStr">
        <is>
          <t>7th -may2026</t>
        </is>
      </c>
      <c r="ANG3" s="115" t="inlineStr">
        <is>
          <t>8th -may2026</t>
        </is>
      </c>
      <c r="ANH3" s="115" t="inlineStr">
        <is>
          <t>9th -may2026</t>
        </is>
      </c>
      <c r="ANI3" s="115" t="inlineStr">
        <is>
          <t>10th -may2026</t>
        </is>
      </c>
      <c r="ANJ3" s="115" t="inlineStr">
        <is>
          <t>11th -may2026</t>
        </is>
      </c>
      <c r="ANK3" s="115" t="inlineStr">
        <is>
          <t>12th -may2026</t>
        </is>
      </c>
      <c r="ANL3" s="115" t="inlineStr">
        <is>
          <t>13th -may2026</t>
        </is>
      </c>
      <c r="ANM3" s="115" t="inlineStr">
        <is>
          <t>14th -may2026</t>
        </is>
      </c>
      <c r="ANN3" s="115" t="inlineStr">
        <is>
          <t>15th -may2026</t>
        </is>
      </c>
      <c r="ANO3" s="115" t="inlineStr">
        <is>
          <t>16th -may2026</t>
        </is>
      </c>
      <c r="ANP3" s="115" t="inlineStr">
        <is>
          <t>17th -may2026</t>
        </is>
      </c>
      <c r="ANQ3" s="115" t="inlineStr">
        <is>
          <t>18th -may2026</t>
        </is>
      </c>
      <c r="ANR3" s="115" t="inlineStr">
        <is>
          <t>19th -may2026</t>
        </is>
      </c>
      <c r="ANS3" s="115" t="inlineStr">
        <is>
          <t>20th -may2026</t>
        </is>
      </c>
      <c r="ANT3" s="115" t="inlineStr">
        <is>
          <t>21st -may2026</t>
        </is>
      </c>
      <c r="ANU3" s="115" t="inlineStr">
        <is>
          <t>22nd -may2026</t>
        </is>
      </c>
      <c r="ANV3" s="115" t="inlineStr">
        <is>
          <t>23rd -may2026</t>
        </is>
      </c>
      <c r="ANW3" s="115" t="inlineStr">
        <is>
          <t>24th -may2026</t>
        </is>
      </c>
      <c r="ANX3" s="115" t="inlineStr">
        <is>
          <t>25th -may2026</t>
        </is>
      </c>
      <c r="ANY3" s="115" t="inlineStr">
        <is>
          <t>26th -may2026</t>
        </is>
      </c>
      <c r="ANZ3" s="115" t="inlineStr">
        <is>
          <t>27th -may2026</t>
        </is>
      </c>
      <c r="AOA3" s="115" t="inlineStr">
        <is>
          <t>28th -may2026</t>
        </is>
      </c>
      <c r="AOB3" s="115" t="inlineStr">
        <is>
          <t>29th -may2026</t>
        </is>
      </c>
      <c r="AOC3" s="115" t="inlineStr">
        <is>
          <t>30th -may2026</t>
        </is>
      </c>
      <c r="AOD3" s="115" t="n"/>
      <c r="AOE3" s="115" t="n"/>
    </row>
    <row r="4">
      <c r="A4" s="166" t="inlineStr">
        <is>
          <t>WHITE FUELS</t>
        </is>
      </c>
      <c r="B4" s="5" t="inlineStr">
        <is>
          <t>PMS QTY</t>
        </is>
      </c>
      <c r="C4" s="20">
        <f>METER!D18</f>
        <v/>
      </c>
      <c r="D4" s="20">
        <f>METER!E18</f>
        <v/>
      </c>
      <c r="E4" s="20">
        <f>METER!F18</f>
        <v/>
      </c>
      <c r="F4" s="20">
        <f>METER!G18</f>
        <v/>
      </c>
      <c r="G4" s="20">
        <f>METER!H18</f>
        <v/>
      </c>
      <c r="H4" s="20">
        <f>METER!I18</f>
        <v/>
      </c>
      <c r="I4" s="20">
        <f>METER!J18</f>
        <v/>
      </c>
      <c r="J4" s="20">
        <f>METER!K18</f>
        <v/>
      </c>
      <c r="K4" s="20">
        <f>METER!L18</f>
        <v/>
      </c>
      <c r="L4" s="20">
        <f>METER!M18</f>
        <v/>
      </c>
      <c r="M4" s="20">
        <f>METER!N18</f>
        <v/>
      </c>
      <c r="N4" s="20">
        <f>METER!O18</f>
        <v/>
      </c>
      <c r="O4" s="20">
        <f>METER!P18</f>
        <v/>
      </c>
      <c r="P4" s="20">
        <f>METER!Q18</f>
        <v/>
      </c>
      <c r="Q4" s="20">
        <f>METER!R18</f>
        <v/>
      </c>
      <c r="R4" s="20">
        <f>METER!S18</f>
        <v/>
      </c>
      <c r="S4" s="20">
        <f>METER!T18</f>
        <v/>
      </c>
      <c r="T4" s="20">
        <f>METER!U18</f>
        <v/>
      </c>
      <c r="U4" s="20">
        <f>METER!V18</f>
        <v/>
      </c>
      <c r="V4" s="20">
        <f>METER!W18</f>
        <v/>
      </c>
      <c r="W4" s="20">
        <f>METER!X18</f>
        <v/>
      </c>
      <c r="X4" s="20">
        <f>METER!Y18</f>
        <v/>
      </c>
      <c r="Y4" s="20">
        <f>METER!Z18</f>
        <v/>
      </c>
      <c r="Z4" s="20">
        <f>METER!AA18</f>
        <v/>
      </c>
      <c r="AA4" s="20">
        <f>METER!AB18</f>
        <v/>
      </c>
      <c r="AB4" s="20">
        <f>METER!AC18</f>
        <v/>
      </c>
      <c r="AC4" s="20">
        <f>METER!AD18</f>
        <v/>
      </c>
      <c r="AD4" s="20">
        <f>METER!AE18</f>
        <v/>
      </c>
      <c r="AE4" s="20">
        <f>METER!AF18</f>
        <v/>
      </c>
      <c r="AF4" s="20">
        <f>METER!AG18</f>
        <v/>
      </c>
      <c r="AG4" s="20">
        <f>METER!AH18</f>
        <v/>
      </c>
      <c r="AH4" s="94">
        <f>SUM(C4:AG4)</f>
        <v/>
      </c>
      <c r="AI4" s="20">
        <f>METER!AJ18</f>
        <v/>
      </c>
      <c r="AJ4" s="20">
        <f>METER!AK18</f>
        <v/>
      </c>
      <c r="AK4" s="20">
        <f>METER!AL18</f>
        <v/>
      </c>
      <c r="AL4" s="20">
        <f>METER!AM18</f>
        <v/>
      </c>
      <c r="AM4" s="20">
        <f>METER!AN18</f>
        <v/>
      </c>
      <c r="AN4" s="20">
        <f>METER!AO18</f>
        <v/>
      </c>
      <c r="AO4" s="20">
        <f>METER!AP18</f>
        <v/>
      </c>
      <c r="AP4" s="20">
        <f>METER!AQ18</f>
        <v/>
      </c>
      <c r="AQ4" s="20">
        <f>METER!AR18</f>
        <v/>
      </c>
      <c r="AR4" s="20">
        <f>METER!AS18</f>
        <v/>
      </c>
      <c r="AS4" s="20">
        <f>METER!AT18</f>
        <v/>
      </c>
      <c r="AT4" s="20">
        <f>METER!AU18</f>
        <v/>
      </c>
      <c r="AU4" s="20">
        <f>METER!AV18</f>
        <v/>
      </c>
      <c r="AV4" s="20">
        <f>METER!AW18</f>
        <v/>
      </c>
      <c r="AW4" s="20">
        <f>METER!AX18</f>
        <v/>
      </c>
      <c r="AX4" s="20">
        <f>METER!AY18</f>
        <v/>
      </c>
      <c r="AY4" s="20">
        <f>METER!AZ18</f>
        <v/>
      </c>
      <c r="AZ4" s="20">
        <f>METER!BA18</f>
        <v/>
      </c>
      <c r="BA4" s="20">
        <f>METER!BB18</f>
        <v/>
      </c>
      <c r="BB4" s="20">
        <f>METER!BC18</f>
        <v/>
      </c>
      <c r="BC4" s="20">
        <f>METER!BD18</f>
        <v/>
      </c>
      <c r="BD4" s="20">
        <f>METER!BE18</f>
        <v/>
      </c>
      <c r="BE4" s="20">
        <f>METER!BF18</f>
        <v/>
      </c>
      <c r="BF4" s="20">
        <f>METER!BG18</f>
        <v/>
      </c>
      <c r="BG4" s="20">
        <f>METER!BH18</f>
        <v/>
      </c>
      <c r="BH4" s="20">
        <f>METER!BI18</f>
        <v/>
      </c>
      <c r="BI4" s="20">
        <f>METER!BJ18</f>
        <v/>
      </c>
      <c r="BJ4" s="20">
        <f>METER!BK18</f>
        <v/>
      </c>
      <c r="BK4" s="20">
        <f>METER!BL18</f>
        <v/>
      </c>
      <c r="BL4" s="20">
        <f>METER!BM18</f>
        <v/>
      </c>
      <c r="BM4" s="97">
        <f>SUM(AI4:BL4)</f>
        <v/>
      </c>
      <c r="BN4" s="20">
        <f>METER!BO18</f>
        <v/>
      </c>
      <c r="BO4" s="20">
        <f>METER!BP18</f>
        <v/>
      </c>
      <c r="BP4" s="20">
        <f>METER!BQ18</f>
        <v/>
      </c>
      <c r="BQ4" s="20">
        <f>METER!BR18</f>
        <v/>
      </c>
      <c r="BR4" s="20">
        <f>METER!BS18</f>
        <v/>
      </c>
      <c r="BS4" s="20">
        <f>METER!BT18</f>
        <v/>
      </c>
      <c r="BT4" s="20">
        <f>METER!BU18</f>
        <v/>
      </c>
      <c r="BU4" s="20">
        <f>METER!BV18</f>
        <v/>
      </c>
      <c r="BV4" s="20">
        <f>METER!BW18</f>
        <v/>
      </c>
      <c r="BW4" s="20">
        <f>METER!BX18</f>
        <v/>
      </c>
      <c r="BX4" s="20">
        <f>METER!BY18</f>
        <v/>
      </c>
      <c r="BY4" s="20">
        <f>METER!BZ18</f>
        <v/>
      </c>
      <c r="BZ4" s="20">
        <f>METER!CA18</f>
        <v/>
      </c>
      <c r="CA4" s="20">
        <f>METER!CB18</f>
        <v/>
      </c>
      <c r="CB4" s="20">
        <f>METER!CC18</f>
        <v/>
      </c>
      <c r="CC4" s="20">
        <f>METER!CD18</f>
        <v/>
      </c>
      <c r="CD4" s="20">
        <f>METER!CE18</f>
        <v/>
      </c>
      <c r="CE4" s="20">
        <f>METER!CF18</f>
        <v/>
      </c>
      <c r="CF4" s="20">
        <f>METER!CG18</f>
        <v/>
      </c>
      <c r="CG4" s="20">
        <f>METER!CH18</f>
        <v/>
      </c>
      <c r="CH4" s="20">
        <f>METER!CI18</f>
        <v/>
      </c>
      <c r="CI4" s="20">
        <f>METER!CJ18</f>
        <v/>
      </c>
      <c r="CJ4" s="20">
        <f>METER!CK18</f>
        <v/>
      </c>
      <c r="CK4" s="20">
        <f>METER!CL18</f>
        <v/>
      </c>
      <c r="CL4" s="20">
        <f>METER!CM18</f>
        <v/>
      </c>
      <c r="CM4" s="20">
        <f>METER!CN18</f>
        <v/>
      </c>
      <c r="CN4" s="20">
        <f>METER!CO18</f>
        <v/>
      </c>
      <c r="CO4" s="20">
        <f>METER!CP18</f>
        <v/>
      </c>
      <c r="CP4" s="20">
        <f>METER!CQ18</f>
        <v/>
      </c>
      <c r="CQ4" s="20">
        <f>METER!CR18</f>
        <v/>
      </c>
      <c r="CR4" s="20">
        <f>METER!CS18</f>
        <v/>
      </c>
      <c r="CS4" s="111">
        <f>SUM(BN4:CR4)</f>
        <v/>
      </c>
      <c r="CT4" s="20">
        <f>METER!CU18</f>
        <v/>
      </c>
      <c r="CU4" s="20">
        <f>METER!CV18</f>
        <v/>
      </c>
      <c r="CV4" s="20">
        <f>METER!CW18</f>
        <v/>
      </c>
      <c r="CW4" s="20">
        <f>METER!CX18</f>
        <v/>
      </c>
      <c r="CX4" s="20">
        <f>METER!CY18</f>
        <v/>
      </c>
      <c r="CY4" s="20">
        <f>METER!CZ18</f>
        <v/>
      </c>
      <c r="CZ4" s="20">
        <f>METER!DA18</f>
        <v/>
      </c>
      <c r="DA4" s="20">
        <f>METER!DB18</f>
        <v/>
      </c>
      <c r="DB4" s="20">
        <f>METER!DC18</f>
        <v/>
      </c>
      <c r="DC4" s="20">
        <f>METER!DD18</f>
        <v/>
      </c>
      <c r="DD4" s="20">
        <f>METER!DE18</f>
        <v/>
      </c>
      <c r="DE4" s="20">
        <f>METER!DF18</f>
        <v/>
      </c>
      <c r="DF4" s="20">
        <f>METER!DG18</f>
        <v/>
      </c>
      <c r="DG4" s="20">
        <f>METER!DH18</f>
        <v/>
      </c>
      <c r="DH4" s="20">
        <f>METER!DI18</f>
        <v/>
      </c>
      <c r="DI4" s="20">
        <f>METER!DJ18</f>
        <v/>
      </c>
      <c r="DJ4" s="20">
        <f>METER!DK18</f>
        <v/>
      </c>
      <c r="DK4" s="20">
        <f>METER!DL18</f>
        <v/>
      </c>
      <c r="DL4" s="20">
        <f>METER!DM18</f>
        <v/>
      </c>
      <c r="DM4" s="20">
        <f>METER!DN18</f>
        <v/>
      </c>
      <c r="DN4" s="20">
        <f>METER!DO18</f>
        <v/>
      </c>
      <c r="DO4" s="20">
        <f>METER!DP18</f>
        <v/>
      </c>
      <c r="DP4" s="20">
        <f>METER!DQ18</f>
        <v/>
      </c>
      <c r="DQ4" s="20">
        <f>METER!DR18</f>
        <v/>
      </c>
      <c r="DR4" s="20">
        <f>METER!DS18</f>
        <v/>
      </c>
      <c r="DS4" s="20">
        <f>METER!DT18</f>
        <v/>
      </c>
      <c r="DT4" s="20">
        <f>METER!DU18</f>
        <v/>
      </c>
      <c r="DU4" s="20">
        <f>METER!DV18</f>
        <v/>
      </c>
      <c r="DV4" s="20">
        <f>METER!DW18</f>
        <v/>
      </c>
      <c r="DW4" s="20">
        <f>METER!DX18</f>
        <v/>
      </c>
      <c r="DX4" s="119">
        <f>SUM(CT4:DW4)</f>
        <v/>
      </c>
      <c r="DY4" s="20">
        <f>METER!DZ18</f>
        <v/>
      </c>
      <c r="DZ4" s="20">
        <f>METER!EA18</f>
        <v/>
      </c>
      <c r="EA4" s="20">
        <f>METER!EB18</f>
        <v/>
      </c>
      <c r="EB4" s="20">
        <f>METER!EC18</f>
        <v/>
      </c>
      <c r="EC4" s="20">
        <f>METER!ED18</f>
        <v/>
      </c>
      <c r="ED4" s="20">
        <f>METER!EE18</f>
        <v/>
      </c>
      <c r="EE4" s="20">
        <f>METER!EF18</f>
        <v/>
      </c>
      <c r="EF4" s="20">
        <f>METER!EG18</f>
        <v/>
      </c>
      <c r="EG4" s="20">
        <f>METER!EH18</f>
        <v/>
      </c>
      <c r="EH4" s="20">
        <f>METER!EI18</f>
        <v/>
      </c>
      <c r="EI4" s="20">
        <f>METER!EJ18</f>
        <v/>
      </c>
      <c r="EJ4" s="20">
        <f>METER!EK18</f>
        <v/>
      </c>
      <c r="EK4" s="20">
        <f>METER!EL18</f>
        <v/>
      </c>
      <c r="EL4" s="20">
        <f>METER!EM18</f>
        <v/>
      </c>
      <c r="EM4" s="20">
        <f>METER!EN18</f>
        <v/>
      </c>
      <c r="EN4" s="20">
        <f>METER!EO18</f>
        <v/>
      </c>
      <c r="EO4" s="20">
        <f>METER!EP18</f>
        <v/>
      </c>
      <c r="EP4" s="20">
        <f>METER!EQ18</f>
        <v/>
      </c>
      <c r="EQ4" s="20">
        <f>METER!ER18</f>
        <v/>
      </c>
      <c r="ER4" s="20">
        <f>METER!ES18</f>
        <v/>
      </c>
      <c r="ES4" s="20">
        <f>METER!ET18</f>
        <v/>
      </c>
      <c r="ET4" s="20">
        <f>METER!EU18</f>
        <v/>
      </c>
      <c r="EU4" s="20">
        <f>METER!EV18</f>
        <v/>
      </c>
      <c r="EV4" s="20">
        <f>METER!EW18</f>
        <v/>
      </c>
      <c r="EW4" s="20">
        <f>METER!EX18</f>
        <v/>
      </c>
      <c r="EX4" s="20">
        <f>METER!EY18</f>
        <v/>
      </c>
      <c r="EY4" s="20">
        <f>METER!EZ18</f>
        <v/>
      </c>
      <c r="EZ4" s="20">
        <f>METER!FA18</f>
        <v/>
      </c>
      <c r="FA4" s="20">
        <f>METER!FB18</f>
        <v/>
      </c>
      <c r="FB4" s="20">
        <f>METER!FC18</f>
        <v/>
      </c>
      <c r="FC4" s="20">
        <f>METER!FD18</f>
        <v/>
      </c>
      <c r="FD4" s="128">
        <f>SUM(DY4:FC4)</f>
        <v/>
      </c>
      <c r="FE4" s="20">
        <f>METER!FF18</f>
        <v/>
      </c>
      <c r="FF4" s="20">
        <f>METER!FG18</f>
        <v/>
      </c>
      <c r="FG4" s="20">
        <f>METER!FH18</f>
        <v/>
      </c>
      <c r="FH4" s="20">
        <f>METER!FI18</f>
        <v/>
      </c>
      <c r="FI4" s="20">
        <f>METER!FJ18</f>
        <v/>
      </c>
      <c r="FJ4" s="20">
        <f>METER!FK18</f>
        <v/>
      </c>
      <c r="FK4" s="20">
        <f>METER!FL18</f>
        <v/>
      </c>
      <c r="FL4" s="20">
        <f>METER!FM18</f>
        <v/>
      </c>
      <c r="FM4" s="20">
        <f>METER!FN18</f>
        <v/>
      </c>
      <c r="FN4" s="20">
        <f>METER!FO18</f>
        <v/>
      </c>
      <c r="FO4" s="20">
        <f>METER!FP18</f>
        <v/>
      </c>
      <c r="FP4" s="20">
        <f>METER!FQ18</f>
        <v/>
      </c>
      <c r="FQ4" s="20">
        <f>METER!FR18</f>
        <v/>
      </c>
      <c r="FR4" s="20">
        <f>METER!FS18</f>
        <v/>
      </c>
      <c r="FS4" s="20">
        <f>METER!FT18</f>
        <v/>
      </c>
      <c r="FT4" s="20">
        <f>METER!FU18</f>
        <v/>
      </c>
      <c r="FU4" s="20">
        <f>METER!FV18</f>
        <v/>
      </c>
      <c r="FV4" s="20">
        <f>METER!FW18</f>
        <v/>
      </c>
      <c r="FW4" s="20">
        <f>METER!FX18</f>
        <v/>
      </c>
      <c r="FX4" s="20">
        <f>METER!FY18</f>
        <v/>
      </c>
      <c r="FY4" s="20">
        <f>METER!FZ18</f>
        <v/>
      </c>
      <c r="FZ4" s="20">
        <f>METER!GA18</f>
        <v/>
      </c>
      <c r="GA4" s="20">
        <f>METER!GB18</f>
        <v/>
      </c>
      <c r="GB4" s="20">
        <f>METER!GC18</f>
        <v/>
      </c>
      <c r="GC4" s="20">
        <f>METER!GD18</f>
        <v/>
      </c>
      <c r="GD4" s="20">
        <f>METER!GE18</f>
        <v/>
      </c>
      <c r="GE4" s="20">
        <f>METER!GF18</f>
        <v/>
      </c>
      <c r="GF4" s="20">
        <f>METER!GG18</f>
        <v/>
      </c>
      <c r="GG4" s="20">
        <f>METER!GH18</f>
        <v/>
      </c>
      <c r="GH4" s="20">
        <f>METER!GI18</f>
        <v/>
      </c>
      <c r="GI4" s="20">
        <f>METER!GJ18</f>
        <v/>
      </c>
      <c r="GJ4" s="127">
        <f>SUM(FE4:GI4)</f>
        <v/>
      </c>
      <c r="GK4" s="20">
        <f>METER!GL18</f>
        <v/>
      </c>
      <c r="GL4" s="20">
        <f>METER!GM18</f>
        <v/>
      </c>
      <c r="GM4" s="20">
        <f>METER!GN18</f>
        <v/>
      </c>
      <c r="GN4" s="20">
        <f>METER!GO18</f>
        <v/>
      </c>
      <c r="GO4" s="20">
        <f>METER!GP18</f>
        <v/>
      </c>
      <c r="GP4" s="20">
        <f>METER!GQ18</f>
        <v/>
      </c>
      <c r="GQ4" s="20">
        <f>METER!GR18</f>
        <v/>
      </c>
      <c r="GR4" s="20">
        <f>METER!GS18</f>
        <v/>
      </c>
      <c r="GS4" s="20">
        <f>METER!GT18</f>
        <v/>
      </c>
      <c r="GT4" s="20">
        <f>METER!GU18</f>
        <v/>
      </c>
      <c r="GU4" s="20">
        <f>METER!GV18</f>
        <v/>
      </c>
      <c r="GV4" s="20">
        <f>METER!GW18</f>
        <v/>
      </c>
      <c r="GW4" s="20">
        <f>METER!GX18</f>
        <v/>
      </c>
      <c r="GX4" s="20">
        <f>METER!GY18</f>
        <v/>
      </c>
      <c r="GY4" s="20">
        <f>METER!GZ18</f>
        <v/>
      </c>
      <c r="GZ4" s="20">
        <f>METER!HA18</f>
        <v/>
      </c>
      <c r="HA4" s="20">
        <f>METER!HB18</f>
        <v/>
      </c>
      <c r="HB4" s="20">
        <f>METER!HC18</f>
        <v/>
      </c>
      <c r="HC4" s="20">
        <f>METER!HD18</f>
        <v/>
      </c>
      <c r="HD4" s="20">
        <f>METER!HE18</f>
        <v/>
      </c>
      <c r="HE4" s="20">
        <f>METER!HF18</f>
        <v/>
      </c>
      <c r="HF4" s="20">
        <f>METER!HG18</f>
        <v/>
      </c>
      <c r="HG4" s="20">
        <f>METER!HH18</f>
        <v/>
      </c>
      <c r="HH4" s="20">
        <f>METER!HI18</f>
        <v/>
      </c>
      <c r="HI4" s="20">
        <f>METER!HJ18</f>
        <v/>
      </c>
      <c r="HJ4" s="20">
        <f>METER!HK18</f>
        <v/>
      </c>
      <c r="HK4" s="20">
        <f>METER!HL18</f>
        <v/>
      </c>
      <c r="HL4" s="20">
        <f>METER!HM18</f>
        <v/>
      </c>
      <c r="HM4" s="20">
        <f>METER!HN18</f>
        <v/>
      </c>
      <c r="HN4" s="127">
        <f>SUM(GK4:HM4)</f>
        <v/>
      </c>
      <c r="HO4" s="20">
        <f>METER!HP18</f>
        <v/>
      </c>
      <c r="HP4" s="20">
        <f>METER!HQ18</f>
        <v/>
      </c>
      <c r="HQ4" s="20">
        <f>METER!HR18</f>
        <v/>
      </c>
      <c r="HR4" s="20">
        <f>METER!HS18</f>
        <v/>
      </c>
      <c r="HS4" s="20">
        <f>METER!HT18</f>
        <v/>
      </c>
      <c r="HT4" s="20">
        <f>METER!HU18</f>
        <v/>
      </c>
      <c r="HU4" s="20">
        <f>METER!HV18</f>
        <v/>
      </c>
      <c r="HV4" s="20">
        <f>METER!HW18</f>
        <v/>
      </c>
      <c r="HW4" s="20">
        <f>METER!HX18</f>
        <v/>
      </c>
      <c r="HX4" s="20">
        <f>METER!HY18</f>
        <v/>
      </c>
      <c r="HY4" s="20">
        <f>METER!HZ18</f>
        <v/>
      </c>
      <c r="HZ4" s="20">
        <f>METER!IA18</f>
        <v/>
      </c>
      <c r="IA4" s="20">
        <f>METER!IB18</f>
        <v/>
      </c>
      <c r="IB4" s="20">
        <f>METER!IC18</f>
        <v/>
      </c>
      <c r="IC4" s="20">
        <f>METER!ID18</f>
        <v/>
      </c>
      <c r="ID4" s="20">
        <f>METER!IE18</f>
        <v/>
      </c>
      <c r="IE4" s="20">
        <f>METER!IF18</f>
        <v/>
      </c>
      <c r="IF4" s="20">
        <f>METER!IG18</f>
        <v/>
      </c>
      <c r="IG4" s="20">
        <f>METER!IH18</f>
        <v/>
      </c>
      <c r="IH4" s="20">
        <f>METER!II18</f>
        <v/>
      </c>
      <c r="II4" s="20">
        <f>METER!IJ18</f>
        <v/>
      </c>
      <c r="IJ4" s="20">
        <f>METER!IK18</f>
        <v/>
      </c>
      <c r="IK4" s="20">
        <f>METER!IL18</f>
        <v/>
      </c>
      <c r="IL4" s="20">
        <f>METER!IM18</f>
        <v/>
      </c>
      <c r="IM4" s="20">
        <f>METER!IN18</f>
        <v/>
      </c>
      <c r="IN4" s="20">
        <f>METER!IO18</f>
        <v/>
      </c>
      <c r="IO4" s="20">
        <f>METER!IP18</f>
        <v/>
      </c>
      <c r="IP4" s="20">
        <f>METER!IQ18</f>
        <v/>
      </c>
      <c r="IQ4" s="20">
        <f>METER!IR18</f>
        <v/>
      </c>
      <c r="IR4" s="20">
        <f>METER!IS18</f>
        <v/>
      </c>
      <c r="IS4" s="20">
        <f>METER!IT18</f>
        <v/>
      </c>
      <c r="IT4" s="127">
        <f>SUM(HO4:IS4)</f>
        <v/>
      </c>
      <c r="IU4" s="20">
        <f>METER!IV18</f>
        <v/>
      </c>
      <c r="IV4" s="20">
        <f>METER!IW18</f>
        <v/>
      </c>
      <c r="IW4" s="20">
        <f>METER!IX18</f>
        <v/>
      </c>
      <c r="IX4" s="20">
        <f>METER!IY18</f>
        <v/>
      </c>
      <c r="IY4" s="20">
        <f>METER!IZ18</f>
        <v/>
      </c>
      <c r="IZ4" s="20">
        <f>METER!JA18</f>
        <v/>
      </c>
      <c r="JA4" s="20">
        <f>METER!JB18</f>
        <v/>
      </c>
      <c r="JB4" s="20">
        <f>METER!JC18</f>
        <v/>
      </c>
      <c r="JC4" s="20">
        <f>METER!JD18</f>
        <v/>
      </c>
      <c r="JD4" s="20">
        <f>METER!JE18</f>
        <v/>
      </c>
      <c r="JE4" s="20">
        <f>METER!JF18</f>
        <v/>
      </c>
      <c r="JF4" s="20">
        <f>METER!JG18</f>
        <v/>
      </c>
      <c r="JG4" s="20">
        <f>METER!JH18</f>
        <v/>
      </c>
      <c r="JH4" s="20">
        <f>METER!JI18</f>
        <v/>
      </c>
      <c r="JI4" s="20">
        <f>METER!JJ18</f>
        <v/>
      </c>
      <c r="JJ4" s="20">
        <f>METER!JK18</f>
        <v/>
      </c>
      <c r="JK4" s="20">
        <f>METER!JL18</f>
        <v/>
      </c>
      <c r="JL4" s="20">
        <f>METER!JM18</f>
        <v/>
      </c>
      <c r="JM4" s="20">
        <f>METER!JN18</f>
        <v/>
      </c>
      <c r="JN4" s="20">
        <f>METER!JO18</f>
        <v/>
      </c>
      <c r="JO4" s="20">
        <f>METER!JP18</f>
        <v/>
      </c>
      <c r="JP4" s="20">
        <f>METER!JQ18</f>
        <v/>
      </c>
      <c r="JQ4" s="20">
        <f>METER!JR18</f>
        <v/>
      </c>
      <c r="JR4" s="20">
        <f>METER!JS18</f>
        <v/>
      </c>
      <c r="JS4" s="20">
        <f>METER!JT18</f>
        <v/>
      </c>
      <c r="JT4" s="20">
        <f>METER!JU18</f>
        <v/>
      </c>
      <c r="JU4" s="20">
        <f>METER!JV18</f>
        <v/>
      </c>
      <c r="JV4" s="20">
        <f>METER!JW18</f>
        <v/>
      </c>
      <c r="JW4" s="20">
        <f>METER!JX18</f>
        <v/>
      </c>
      <c r="JX4" s="20">
        <f>METER!JY18</f>
        <v/>
      </c>
      <c r="JY4" s="127">
        <f>SUM(IU4:JX4)</f>
        <v/>
      </c>
      <c r="JZ4" s="20">
        <f>METER!KA18</f>
        <v/>
      </c>
      <c r="KA4" s="20">
        <f>METER!KB18</f>
        <v/>
      </c>
      <c r="KB4" s="20">
        <f>METER!KC18</f>
        <v/>
      </c>
      <c r="KC4" s="20">
        <f>METER!KD18</f>
        <v/>
      </c>
      <c r="KD4" s="20">
        <f>METER!KE18</f>
        <v/>
      </c>
      <c r="KE4" s="20">
        <f>METER!KF18</f>
        <v/>
      </c>
      <c r="KF4" s="20">
        <f>METER!KG18</f>
        <v/>
      </c>
      <c r="KG4" s="20">
        <f>METER!KH18</f>
        <v/>
      </c>
      <c r="KH4" s="20">
        <f>METER!KI18</f>
        <v/>
      </c>
      <c r="KI4" s="20">
        <f>METER!KJ18</f>
        <v/>
      </c>
      <c r="KJ4" s="20">
        <f>METER!KK18</f>
        <v/>
      </c>
      <c r="KK4" s="20">
        <f>METER!KL18</f>
        <v/>
      </c>
      <c r="KL4" s="20">
        <f>METER!KM18</f>
        <v/>
      </c>
      <c r="KM4" s="20">
        <f>METER!KN18</f>
        <v/>
      </c>
      <c r="KN4" s="20">
        <f>METER!KO18</f>
        <v/>
      </c>
      <c r="KO4" s="20">
        <f>METER!KP18</f>
        <v/>
      </c>
      <c r="KP4" s="20">
        <f>METER!KQ18</f>
        <v/>
      </c>
      <c r="KQ4" s="20">
        <f>METER!KR18</f>
        <v/>
      </c>
      <c r="KR4" s="20">
        <f>METER!KS18</f>
        <v/>
      </c>
      <c r="KS4" s="20">
        <f>METER!KT18</f>
        <v/>
      </c>
      <c r="KT4" s="20">
        <f>METER!KU18</f>
        <v/>
      </c>
      <c r="KU4" s="20">
        <f>METER!KV18</f>
        <v/>
      </c>
      <c r="KV4" s="20">
        <f>METER!KW18</f>
        <v/>
      </c>
      <c r="KW4" s="20">
        <f>METER!KX18</f>
        <v/>
      </c>
      <c r="KX4" s="20">
        <f>METER!KY18</f>
        <v/>
      </c>
      <c r="KY4" s="20">
        <f>METER!KZ18</f>
        <v/>
      </c>
      <c r="KZ4" s="20">
        <f>METER!LA18</f>
        <v/>
      </c>
      <c r="LA4" s="20">
        <f>METER!LB18</f>
        <v/>
      </c>
      <c r="LB4" s="20">
        <f>METER!LC18</f>
        <v/>
      </c>
      <c r="LC4" s="20">
        <f>METER!LD18</f>
        <v/>
      </c>
      <c r="LD4" s="20">
        <f>METER!LE18</f>
        <v/>
      </c>
      <c r="LE4" s="127">
        <f>SUM(KA4:LD4)</f>
        <v/>
      </c>
      <c r="LF4" s="20">
        <f>METER!LG18</f>
        <v/>
      </c>
      <c r="LG4" s="20">
        <f>METER!LH18</f>
        <v/>
      </c>
      <c r="LH4" s="20">
        <f>METER!LI18</f>
        <v/>
      </c>
      <c r="LI4" s="20">
        <f>METER!LJ18</f>
        <v/>
      </c>
      <c r="LJ4" s="20">
        <f>METER!LK18</f>
        <v/>
      </c>
      <c r="LK4" s="20">
        <f>METER!LL18</f>
        <v/>
      </c>
      <c r="LL4" s="20">
        <f>METER!LM18</f>
        <v/>
      </c>
      <c r="LM4" s="20">
        <f>METER!LN18</f>
        <v/>
      </c>
      <c r="LN4" s="20">
        <f>METER!LO18</f>
        <v/>
      </c>
      <c r="LO4" s="20">
        <f>METER!LP18</f>
        <v/>
      </c>
      <c r="LP4" s="20">
        <f>METER!LQ18</f>
        <v/>
      </c>
      <c r="LQ4" s="20">
        <f>METER!LR18</f>
        <v/>
      </c>
      <c r="LR4" s="20">
        <f>METER!LS18</f>
        <v/>
      </c>
      <c r="LS4" s="20">
        <f>METER!LT18</f>
        <v/>
      </c>
      <c r="LT4" s="20">
        <f>METER!LU18</f>
        <v/>
      </c>
      <c r="LU4" s="20">
        <f>METER!LV18</f>
        <v/>
      </c>
      <c r="LV4" s="20">
        <f>METER!LW18</f>
        <v/>
      </c>
      <c r="LW4" s="20">
        <f>METER!LX18</f>
        <v/>
      </c>
      <c r="LX4" s="20">
        <f>METER!LY18</f>
        <v/>
      </c>
      <c r="LY4" s="20">
        <f>METER!LZ18</f>
        <v/>
      </c>
      <c r="LZ4" s="20">
        <f>METER!MA18</f>
        <v/>
      </c>
      <c r="MA4" s="20">
        <f>METER!MB18</f>
        <v/>
      </c>
      <c r="MB4" s="20">
        <f>METER!MC18</f>
        <v/>
      </c>
      <c r="MC4" s="20">
        <f>METER!MD18</f>
        <v/>
      </c>
      <c r="MD4" s="20">
        <f>METER!ME18</f>
        <v/>
      </c>
      <c r="ME4" s="20">
        <f>METER!MF18</f>
        <v/>
      </c>
      <c r="MF4" s="20">
        <f>METER!MG18</f>
        <v/>
      </c>
      <c r="MG4" s="20">
        <f>METER!MH18</f>
        <v/>
      </c>
      <c r="MH4" s="20">
        <f>METER!MI18</f>
        <v/>
      </c>
      <c r="MI4" s="20">
        <f>METER!MJ18</f>
        <v/>
      </c>
      <c r="MJ4" s="127">
        <f>SUM(LF4:MI4)</f>
        <v/>
      </c>
      <c r="MK4" s="20">
        <f>METER!ML18</f>
        <v/>
      </c>
      <c r="ML4" s="20">
        <f>METER!MM18</f>
        <v/>
      </c>
      <c r="MM4" s="20">
        <f>METER!MN18</f>
        <v/>
      </c>
      <c r="MN4" s="20">
        <f>METER!MO18</f>
        <v/>
      </c>
      <c r="MO4" s="20">
        <f>METER!MP18</f>
        <v/>
      </c>
      <c r="MP4" s="20">
        <f>METER!MQ18</f>
        <v/>
      </c>
      <c r="MQ4" s="20">
        <f>METER!MR18</f>
        <v/>
      </c>
      <c r="MR4" s="20">
        <f>METER!MS18</f>
        <v/>
      </c>
      <c r="MS4" s="20">
        <f>METER!MT18</f>
        <v/>
      </c>
      <c r="MT4" s="20">
        <f>METER!MU18</f>
        <v/>
      </c>
      <c r="MU4" s="20">
        <f>METER!MV18</f>
        <v/>
      </c>
      <c r="MV4" s="20">
        <f>METER!MW18</f>
        <v/>
      </c>
      <c r="MW4" s="20">
        <f>METER!MX18</f>
        <v/>
      </c>
      <c r="MX4" s="20">
        <f>METER!MY18</f>
        <v/>
      </c>
      <c r="MY4" s="20">
        <f>METER!MZ18</f>
        <v/>
      </c>
      <c r="MZ4" s="20">
        <f>METER!NA18</f>
        <v/>
      </c>
      <c r="NA4" s="20">
        <f>METER!NB18</f>
        <v/>
      </c>
      <c r="NB4" s="20">
        <f>METER!NC18</f>
        <v/>
      </c>
      <c r="NC4" s="20">
        <f>METER!ND18</f>
        <v/>
      </c>
      <c r="ND4" s="20">
        <f>METER!NE18</f>
        <v/>
      </c>
      <c r="NE4" s="20">
        <f>METER!NF18</f>
        <v/>
      </c>
      <c r="NF4" s="20">
        <f>METER!NG18</f>
        <v/>
      </c>
      <c r="NG4" s="20">
        <f>METER!NH18</f>
        <v/>
      </c>
      <c r="NH4" s="20">
        <f>METER!NI18</f>
        <v/>
      </c>
      <c r="NI4" s="20">
        <f>METER!NJ18</f>
        <v/>
      </c>
      <c r="NJ4" s="20">
        <f>METER!NK18</f>
        <v/>
      </c>
      <c r="NK4" s="20">
        <f>METER!NL18</f>
        <v/>
      </c>
      <c r="NL4" s="20">
        <f>METER!NM18</f>
        <v/>
      </c>
      <c r="NM4" s="20">
        <f>METER!NN18</f>
        <v/>
      </c>
      <c r="NN4" s="20">
        <f>METER!NO18</f>
        <v/>
      </c>
      <c r="NO4" s="20">
        <f>METER!NP18</f>
        <v/>
      </c>
      <c r="NP4" s="127">
        <f>SUM(ML4:NO4)</f>
        <v/>
      </c>
      <c r="NQ4" s="20">
        <f>METER!NR18</f>
        <v/>
      </c>
      <c r="NR4" s="20">
        <f>METER!NS18</f>
        <v/>
      </c>
      <c r="NS4" s="20">
        <f>METER!NT18</f>
        <v/>
      </c>
      <c r="NT4" s="20">
        <f>METER!NU18</f>
        <v/>
      </c>
      <c r="NU4" s="20">
        <f>METER!NV18</f>
        <v/>
      </c>
      <c r="NV4" s="20">
        <f>METER!NW18</f>
        <v/>
      </c>
      <c r="NW4" s="20">
        <f>METER!NX18</f>
        <v/>
      </c>
      <c r="NX4" s="20">
        <f>METER!NY18</f>
        <v/>
      </c>
      <c r="NY4" s="20">
        <f>METER!NZ18</f>
        <v/>
      </c>
      <c r="NZ4" s="20">
        <f>METER!OA18</f>
        <v/>
      </c>
      <c r="OA4" s="20">
        <f>METER!OB18</f>
        <v/>
      </c>
      <c r="OB4" s="20">
        <f>METER!OC18</f>
        <v/>
      </c>
      <c r="OC4" s="20">
        <f>METER!OD18</f>
        <v/>
      </c>
      <c r="OD4" s="20">
        <f>METER!OE18</f>
        <v/>
      </c>
      <c r="OE4" s="20">
        <f>METER!OF18</f>
        <v/>
      </c>
      <c r="OF4" s="20">
        <f>METER!OG18</f>
        <v/>
      </c>
      <c r="OG4" s="20">
        <f>METER!OH18</f>
        <v/>
      </c>
      <c r="OH4" s="20">
        <f>METER!OI18</f>
        <v/>
      </c>
      <c r="OI4" s="20">
        <f>METER!OJ18</f>
        <v/>
      </c>
      <c r="OJ4" s="20">
        <f>METER!OK18</f>
        <v/>
      </c>
      <c r="OK4" s="20">
        <f>METER!OL18</f>
        <v/>
      </c>
      <c r="OL4" s="20">
        <f>METER!OM18</f>
        <v/>
      </c>
      <c r="OM4" s="20">
        <f>METER!ON18</f>
        <v/>
      </c>
      <c r="ON4" s="20">
        <f>METER!OO18</f>
        <v/>
      </c>
      <c r="OO4" s="20">
        <f>METER!OP18</f>
        <v/>
      </c>
      <c r="OP4" s="20">
        <f>METER!OQ18</f>
        <v/>
      </c>
      <c r="OQ4" s="20">
        <f>METER!OR18</f>
        <v/>
      </c>
      <c r="OR4" s="20">
        <f>METER!OS18</f>
        <v/>
      </c>
      <c r="OS4" s="20">
        <f>METER!OT18</f>
        <v/>
      </c>
      <c r="OT4" s="20">
        <f>METER!OU18</f>
        <v/>
      </c>
      <c r="OU4" s="20">
        <f>METER!OV18</f>
        <v/>
      </c>
      <c r="OV4" s="127">
        <f>SUM(NR4:OU4)</f>
        <v/>
      </c>
      <c r="OW4" s="20">
        <f>METER!OX18</f>
        <v/>
      </c>
      <c r="OX4" s="20">
        <f>METER!OY18</f>
        <v/>
      </c>
      <c r="OY4" s="20">
        <f>METER!OZ18</f>
        <v/>
      </c>
      <c r="OZ4" s="20">
        <f>METER!PA18</f>
        <v/>
      </c>
      <c r="PA4" s="20">
        <f>METER!PB18</f>
        <v/>
      </c>
      <c r="PB4" s="20">
        <f>METER!PC18</f>
        <v/>
      </c>
      <c r="PC4" s="20">
        <f>METER!PD18</f>
        <v/>
      </c>
      <c r="PD4" s="20">
        <f>METER!PE18</f>
        <v/>
      </c>
      <c r="PE4" s="20">
        <f>METER!PF18</f>
        <v/>
      </c>
      <c r="PF4" s="20">
        <f>METER!PG18</f>
        <v/>
      </c>
      <c r="PG4" s="20">
        <f>METER!PH18</f>
        <v/>
      </c>
      <c r="PH4" s="20">
        <f>METER!PI18</f>
        <v/>
      </c>
      <c r="PI4" s="20">
        <f>METER!PJ18</f>
        <v/>
      </c>
      <c r="PJ4" s="20">
        <f>METER!PK18</f>
        <v/>
      </c>
      <c r="PK4" s="20">
        <f>METER!PL18</f>
        <v/>
      </c>
      <c r="PL4" s="20">
        <f>METER!PM18</f>
        <v/>
      </c>
      <c r="PM4" s="20">
        <f>METER!PN18</f>
        <v/>
      </c>
      <c r="PN4" s="20">
        <f>METER!PO18</f>
        <v/>
      </c>
      <c r="PO4" s="20">
        <f>METER!PP18</f>
        <v/>
      </c>
      <c r="PP4" s="20">
        <f>METER!PQ18</f>
        <v/>
      </c>
      <c r="PQ4" s="20">
        <f>METER!PR18</f>
        <v/>
      </c>
      <c r="PR4" s="20">
        <f>METER!PS18</f>
        <v/>
      </c>
      <c r="PS4" s="20">
        <f>METER!PT18</f>
        <v/>
      </c>
      <c r="PT4" s="20">
        <f>METER!PU18</f>
        <v/>
      </c>
      <c r="PU4" s="20">
        <f>METER!PV18</f>
        <v/>
      </c>
      <c r="PV4" s="20">
        <f>METER!PW18</f>
        <v/>
      </c>
      <c r="PW4" s="20">
        <f>METER!PX18</f>
        <v/>
      </c>
      <c r="PX4" s="20">
        <f>METER!PY18</f>
        <v/>
      </c>
      <c r="PY4" s="20">
        <f>METER!PZ18</f>
        <v/>
      </c>
      <c r="PZ4" s="20">
        <f>METER!QA18</f>
        <v/>
      </c>
      <c r="QA4" s="127">
        <f>SUM(OW4:PZ4)</f>
        <v/>
      </c>
      <c r="QB4" s="20">
        <f>METER!QC18</f>
        <v/>
      </c>
      <c r="QC4" s="20">
        <f>METER!QD18</f>
        <v/>
      </c>
      <c r="QD4" s="20">
        <f>METER!QE18</f>
        <v/>
      </c>
      <c r="QE4" s="20">
        <f>METER!QF18</f>
        <v/>
      </c>
      <c r="QF4" s="20">
        <f>METER!QG18</f>
        <v/>
      </c>
      <c r="QG4" s="20">
        <f>METER!QH18</f>
        <v/>
      </c>
      <c r="QH4" s="20">
        <f>METER!QI18</f>
        <v/>
      </c>
      <c r="QI4" s="20">
        <f>METER!QJ18</f>
        <v/>
      </c>
      <c r="QJ4" s="20">
        <f>METER!QK18</f>
        <v/>
      </c>
      <c r="QK4" s="20">
        <f>METER!QL18</f>
        <v/>
      </c>
      <c r="QL4" s="20">
        <f>METER!QM18</f>
        <v/>
      </c>
      <c r="QM4" s="20">
        <f>METER!QN18</f>
        <v/>
      </c>
      <c r="QN4" s="20">
        <f>METER!QO18</f>
        <v/>
      </c>
      <c r="QO4" s="20">
        <f>METER!QP18</f>
        <v/>
      </c>
      <c r="QP4" s="20">
        <f>METER!QQ18</f>
        <v/>
      </c>
      <c r="QQ4" s="20">
        <f>METER!QR18</f>
        <v/>
      </c>
      <c r="QR4" s="20">
        <f>METER!QS18</f>
        <v/>
      </c>
      <c r="QS4" s="20">
        <f>METER!QT18</f>
        <v/>
      </c>
      <c r="QT4" s="20">
        <f>METER!QU18</f>
        <v/>
      </c>
      <c r="QU4" s="20">
        <f>METER!QV18</f>
        <v/>
      </c>
      <c r="QV4" s="20">
        <f>METER!QW18</f>
        <v/>
      </c>
      <c r="QW4" s="20">
        <f>METER!QX18</f>
        <v/>
      </c>
      <c r="QX4" s="20">
        <f>METER!QY18</f>
        <v/>
      </c>
      <c r="QY4" s="20">
        <f>METER!QZ18</f>
        <v/>
      </c>
      <c r="QZ4" s="20">
        <f>METER!RA18</f>
        <v/>
      </c>
      <c r="RA4" s="20">
        <f>METER!RB18</f>
        <v/>
      </c>
      <c r="RB4" s="20">
        <f>METER!RC18</f>
        <v/>
      </c>
      <c r="RC4" s="20">
        <f>METER!RD18</f>
        <v/>
      </c>
      <c r="RD4" s="20">
        <f>METER!RE18</f>
        <v/>
      </c>
      <c r="RE4" s="20">
        <f>METER!RF18</f>
        <v/>
      </c>
      <c r="RF4" s="20">
        <f>METER!RG18</f>
        <v/>
      </c>
      <c r="RG4" s="127">
        <f>SUM(QB4:RF4)</f>
        <v/>
      </c>
      <c r="RH4" s="20">
        <f>METER!RI18</f>
        <v/>
      </c>
      <c r="RI4" s="20">
        <f>METER!RJ18</f>
        <v/>
      </c>
      <c r="RJ4" s="20">
        <f>METER!RK18</f>
        <v/>
      </c>
      <c r="RK4" s="20">
        <f>METER!RL18</f>
        <v/>
      </c>
      <c r="RL4" s="20">
        <f>METER!RM18</f>
        <v/>
      </c>
      <c r="RM4" s="20">
        <f>METER!RN18</f>
        <v/>
      </c>
      <c r="RN4" s="20">
        <f>METER!RO18</f>
        <v/>
      </c>
      <c r="RO4" s="20">
        <f>METER!RP18</f>
        <v/>
      </c>
      <c r="RP4" s="20">
        <f>METER!RQ18</f>
        <v/>
      </c>
      <c r="RQ4" s="20">
        <f>METER!RR18</f>
        <v/>
      </c>
      <c r="RR4" s="20">
        <f>METER!RS18</f>
        <v/>
      </c>
      <c r="RS4" s="20">
        <f>METER!RT18</f>
        <v/>
      </c>
      <c r="RT4" s="20">
        <f>METER!RU18</f>
        <v/>
      </c>
      <c r="RU4" s="20">
        <f>METER!RV18</f>
        <v/>
      </c>
      <c r="RV4" s="20">
        <f>METER!RW18</f>
        <v/>
      </c>
      <c r="RW4" s="20">
        <f>METER!RX18</f>
        <v/>
      </c>
      <c r="RX4" s="20">
        <f>METER!RY18</f>
        <v/>
      </c>
      <c r="RY4" s="20">
        <f>METER!RZ18</f>
        <v/>
      </c>
      <c r="RZ4" s="20">
        <f>METER!SA18</f>
        <v/>
      </c>
      <c r="SA4" s="20">
        <f>METER!SB18</f>
        <v/>
      </c>
      <c r="SB4" s="20">
        <f>METER!SC18</f>
        <v/>
      </c>
      <c r="SC4" s="20">
        <f>METER!SD18</f>
        <v/>
      </c>
      <c r="SD4" s="20">
        <f>METER!SE18</f>
        <v/>
      </c>
      <c r="SE4" s="20">
        <f>METER!SF18</f>
        <v/>
      </c>
      <c r="SF4" s="20">
        <f>METER!SG18</f>
        <v/>
      </c>
      <c r="SG4" s="20">
        <f>METER!SH18</f>
        <v/>
      </c>
      <c r="SH4" s="20">
        <f>METER!SI18</f>
        <v/>
      </c>
      <c r="SI4" s="20">
        <f>METER!SJ18</f>
        <v/>
      </c>
      <c r="SJ4" s="20">
        <f>METER!SK18</f>
        <v/>
      </c>
      <c r="SK4" s="20">
        <f>METER!SL18</f>
        <v/>
      </c>
      <c r="SL4" s="127">
        <f>SUM(RH4:SK4)</f>
        <v/>
      </c>
      <c r="SM4" s="20">
        <f>METER!SN18</f>
        <v/>
      </c>
      <c r="SN4" s="20">
        <f>METER!SO18</f>
        <v/>
      </c>
      <c r="SO4" s="20">
        <f>METER!SP18</f>
        <v/>
      </c>
      <c r="SP4" s="20">
        <f>METER!SQ18</f>
        <v/>
      </c>
      <c r="SQ4" s="20">
        <f>METER!SR18</f>
        <v/>
      </c>
      <c r="SR4" s="20">
        <f>METER!SS18</f>
        <v/>
      </c>
      <c r="SS4" s="20">
        <f>METER!ST18</f>
        <v/>
      </c>
      <c r="ST4" s="20">
        <f>METER!SU18</f>
        <v/>
      </c>
      <c r="SU4" s="20">
        <f>METER!SV18</f>
        <v/>
      </c>
      <c r="SV4" s="20">
        <f>METER!SW18</f>
        <v/>
      </c>
      <c r="SW4" s="20">
        <f>METER!SX18</f>
        <v/>
      </c>
      <c r="SX4" s="20">
        <f>METER!SY18</f>
        <v/>
      </c>
      <c r="SY4" s="20">
        <f>METER!SZ18</f>
        <v/>
      </c>
      <c r="SZ4" s="20">
        <f>METER!TA18</f>
        <v/>
      </c>
      <c r="TA4" s="20">
        <f>METER!TB18</f>
        <v/>
      </c>
      <c r="TB4" s="20">
        <f>METER!TC18</f>
        <v/>
      </c>
      <c r="TC4" s="20">
        <f>METER!TD18</f>
        <v/>
      </c>
      <c r="TD4" s="20">
        <f>METER!TE18</f>
        <v/>
      </c>
      <c r="TE4" s="20">
        <f>METER!TF18</f>
        <v/>
      </c>
      <c r="TF4" s="20">
        <f>METER!TG18</f>
        <v/>
      </c>
      <c r="TG4" s="20">
        <f>METER!TH18</f>
        <v/>
      </c>
      <c r="TH4" s="20">
        <f>METER!TI18</f>
        <v/>
      </c>
      <c r="TI4" s="20">
        <f>METER!TJ18</f>
        <v/>
      </c>
      <c r="TJ4" s="20">
        <f>METER!TK18</f>
        <v/>
      </c>
      <c r="TK4" s="20">
        <f>METER!TL18</f>
        <v/>
      </c>
      <c r="TL4" s="20">
        <f>METER!TM18</f>
        <v/>
      </c>
      <c r="TM4" s="20">
        <f>METER!TN18</f>
        <v/>
      </c>
      <c r="TN4" s="20">
        <f>METER!TO18</f>
        <v/>
      </c>
      <c r="TO4" s="20">
        <f>METER!TP18</f>
        <v/>
      </c>
      <c r="TP4" s="20">
        <f>METER!TQ18</f>
        <v/>
      </c>
      <c r="TQ4" s="20">
        <f>METER!TR18</f>
        <v/>
      </c>
      <c r="TR4" s="127">
        <f>SUM(SM4:TQ4)</f>
        <v/>
      </c>
      <c r="TS4" s="20">
        <f>METER!TT18</f>
        <v/>
      </c>
      <c r="TT4" s="20">
        <f>METER!TU18</f>
        <v/>
      </c>
      <c r="TU4" s="20">
        <f>METER!TV18</f>
        <v/>
      </c>
      <c r="TV4" s="20">
        <f>METER!TW18</f>
        <v/>
      </c>
      <c r="TW4" s="20">
        <f>METER!TX18</f>
        <v/>
      </c>
      <c r="TX4" s="20">
        <f>METER!TY18</f>
        <v/>
      </c>
      <c r="TY4" s="20">
        <f>METER!TZ18</f>
        <v/>
      </c>
      <c r="TZ4" s="20">
        <f>METER!UA18</f>
        <v/>
      </c>
      <c r="UA4" s="20">
        <f>METER!UB18</f>
        <v/>
      </c>
      <c r="UB4" s="20">
        <f>METER!UC18</f>
        <v/>
      </c>
      <c r="UC4" s="20">
        <f>METER!UD18</f>
        <v/>
      </c>
      <c r="UD4" s="20">
        <f>METER!UE18</f>
        <v/>
      </c>
      <c r="UE4" s="20">
        <f>METER!UF18</f>
        <v/>
      </c>
      <c r="UF4" s="20">
        <f>METER!UG18</f>
        <v/>
      </c>
      <c r="UG4" s="20">
        <f>METER!UH18</f>
        <v/>
      </c>
      <c r="UH4" s="20">
        <f>METER!UI18</f>
        <v/>
      </c>
      <c r="UI4" s="20">
        <f>METER!UJ18</f>
        <v/>
      </c>
      <c r="UJ4" s="20">
        <f>METER!UK18</f>
        <v/>
      </c>
      <c r="UK4" s="20">
        <f>METER!UL18</f>
        <v/>
      </c>
      <c r="UL4" s="20">
        <f>METER!UM18</f>
        <v/>
      </c>
      <c r="UM4" s="20">
        <f>METER!UN18</f>
        <v/>
      </c>
      <c r="UN4" s="20">
        <f>METER!UO18</f>
        <v/>
      </c>
      <c r="UO4" s="20">
        <f>METER!UP18</f>
        <v/>
      </c>
      <c r="UP4" s="20">
        <f>METER!UQ18</f>
        <v/>
      </c>
      <c r="UQ4" s="20">
        <f>METER!UR18</f>
        <v/>
      </c>
      <c r="UR4" s="20">
        <f>METER!US18</f>
        <v/>
      </c>
      <c r="US4" s="20">
        <f>METER!UT18</f>
        <v/>
      </c>
      <c r="UT4" s="20">
        <f>METER!UU18</f>
        <v/>
      </c>
      <c r="UU4" s="20">
        <f>METER!UV18</f>
        <v/>
      </c>
      <c r="UV4" s="20">
        <f>METER!UW18</f>
        <v/>
      </c>
      <c r="UW4" s="20">
        <f>METER!UX18</f>
        <v/>
      </c>
      <c r="UX4" s="127">
        <f>SUM(TS4:UW4)</f>
        <v/>
      </c>
      <c r="UY4" s="20">
        <f>METER!UZ18</f>
        <v/>
      </c>
      <c r="UZ4" s="20">
        <f>METER!VA18</f>
        <v/>
      </c>
      <c r="VA4" s="20">
        <f>METER!VB18</f>
        <v/>
      </c>
      <c r="VB4" s="20">
        <f>METER!VC18</f>
        <v/>
      </c>
      <c r="VC4" s="20">
        <f>METER!VD18</f>
        <v/>
      </c>
      <c r="VD4" s="20">
        <f>METER!VE18</f>
        <v/>
      </c>
      <c r="VE4" s="20">
        <f>METER!VF18</f>
        <v/>
      </c>
      <c r="VF4" s="20">
        <f>METER!VG18</f>
        <v/>
      </c>
      <c r="VG4" s="20">
        <f>METER!VH18</f>
        <v/>
      </c>
      <c r="VH4" s="20">
        <f>METER!VI18</f>
        <v/>
      </c>
      <c r="VI4" s="20">
        <f>METER!VJ18</f>
        <v/>
      </c>
      <c r="VJ4" s="20">
        <f>METER!VK18</f>
        <v/>
      </c>
      <c r="VK4" s="20">
        <f>METER!VL18</f>
        <v/>
      </c>
      <c r="VL4" s="20">
        <f>METER!VM18</f>
        <v/>
      </c>
      <c r="VM4" s="20">
        <f>METER!VN18</f>
        <v/>
      </c>
      <c r="VN4" s="20">
        <f>METER!VO18</f>
        <v/>
      </c>
      <c r="VO4" s="20">
        <f>METER!VP18</f>
        <v/>
      </c>
      <c r="VP4" s="20">
        <f>METER!VQ18</f>
        <v/>
      </c>
      <c r="VQ4" s="20">
        <f>METER!VR18</f>
        <v/>
      </c>
      <c r="VR4" s="20">
        <f>METER!VS18</f>
        <v/>
      </c>
      <c r="VS4" s="20">
        <f>METER!VT18</f>
        <v/>
      </c>
      <c r="VT4" s="20">
        <f>METER!VU18</f>
        <v/>
      </c>
      <c r="VU4" s="20">
        <f>METER!VV18</f>
        <v/>
      </c>
      <c r="VV4" s="20">
        <f>METER!VW18</f>
        <v/>
      </c>
      <c r="VW4" s="20">
        <f>METER!VX18</f>
        <v/>
      </c>
      <c r="VX4" s="20">
        <f>METER!VY18</f>
        <v/>
      </c>
      <c r="VY4" s="20">
        <f>METER!VZ18</f>
        <v/>
      </c>
      <c r="VZ4" s="20">
        <f>METER!WA18</f>
        <v/>
      </c>
      <c r="WA4" s="127">
        <f>SUM(UY4:VZ4)</f>
        <v/>
      </c>
      <c r="WB4" s="20">
        <f>METER!WC18</f>
        <v/>
      </c>
      <c r="WC4" s="20">
        <f>METER!WD18</f>
        <v/>
      </c>
      <c r="WD4" s="20">
        <f>METER!WE18</f>
        <v/>
      </c>
      <c r="WE4" s="20">
        <f>METER!WF18</f>
        <v/>
      </c>
      <c r="WF4" s="20">
        <f>METER!WG18</f>
        <v/>
      </c>
      <c r="WG4" s="20">
        <f>METER!WH18</f>
        <v/>
      </c>
      <c r="WH4" s="20">
        <f>METER!WI18</f>
        <v/>
      </c>
      <c r="WI4" s="20">
        <f>METER!WJ18</f>
        <v/>
      </c>
      <c r="WJ4" s="20">
        <f>METER!WK18</f>
        <v/>
      </c>
      <c r="WK4" s="20">
        <f>METER!WL18</f>
        <v/>
      </c>
      <c r="WL4" s="20">
        <f>METER!WM18</f>
        <v/>
      </c>
      <c r="WM4" s="20">
        <f>METER!WN18</f>
        <v/>
      </c>
      <c r="WN4" s="20">
        <f>METER!WO18</f>
        <v/>
      </c>
      <c r="WO4" s="20">
        <f>METER!WP18</f>
        <v/>
      </c>
      <c r="WP4" s="20">
        <f>METER!WQ18</f>
        <v/>
      </c>
      <c r="WQ4" s="20">
        <f>METER!WR18</f>
        <v/>
      </c>
      <c r="WR4" s="20">
        <f>METER!WS18</f>
        <v/>
      </c>
      <c r="WS4" s="20">
        <f>METER!WT18</f>
        <v/>
      </c>
      <c r="WT4" s="20">
        <f>METER!WU18</f>
        <v/>
      </c>
      <c r="WU4" s="20">
        <f>METER!WV18</f>
        <v/>
      </c>
      <c r="WV4" s="20">
        <f>METER!WW18</f>
        <v/>
      </c>
      <c r="WW4" s="20">
        <f>METER!WX18</f>
        <v/>
      </c>
      <c r="WX4" s="20">
        <f>METER!WY18</f>
        <v/>
      </c>
      <c r="WY4" s="20">
        <f>METER!WZ18</f>
        <v/>
      </c>
      <c r="WZ4" s="20">
        <f>METER!XA18</f>
        <v/>
      </c>
      <c r="XA4" s="20">
        <f>METER!XB18</f>
        <v/>
      </c>
      <c r="XB4" s="20">
        <f>METER!XC18</f>
        <v/>
      </c>
      <c r="XC4" s="20">
        <f>METER!XD18</f>
        <v/>
      </c>
      <c r="XD4" s="20">
        <f>METER!XE18</f>
        <v/>
      </c>
      <c r="XE4" s="20">
        <f>METER!XF18</f>
        <v/>
      </c>
      <c r="XF4" s="20">
        <f>METER!XG18</f>
        <v/>
      </c>
      <c r="XG4" s="127">
        <f>SUM(WB4:XF4)</f>
        <v/>
      </c>
      <c r="XH4" s="20">
        <f>METER!XI18</f>
        <v/>
      </c>
      <c r="XI4" s="20">
        <f>METER!XJ18</f>
        <v/>
      </c>
      <c r="XJ4" s="20">
        <f>METER!XK18</f>
        <v/>
      </c>
      <c r="XK4" s="20">
        <f>METER!XL18</f>
        <v/>
      </c>
      <c r="XL4" s="20">
        <f>METER!XM18</f>
        <v/>
      </c>
      <c r="XM4" s="20">
        <f>METER!XN18</f>
        <v/>
      </c>
      <c r="XN4" s="20">
        <f>METER!XO18</f>
        <v/>
      </c>
      <c r="XO4" s="20">
        <f>METER!XP18</f>
        <v/>
      </c>
      <c r="XP4" s="20">
        <f>METER!XQ18</f>
        <v/>
      </c>
      <c r="XQ4" s="20">
        <f>METER!XR18</f>
        <v/>
      </c>
      <c r="XR4" s="20">
        <f>METER!XS18</f>
        <v/>
      </c>
      <c r="XS4" s="20">
        <f>METER!XT18</f>
        <v/>
      </c>
      <c r="XT4" s="20">
        <f>METER!XU18</f>
        <v/>
      </c>
      <c r="XU4" s="20">
        <f>METER!XV18</f>
        <v/>
      </c>
      <c r="XV4" s="20">
        <f>METER!XW18</f>
        <v/>
      </c>
      <c r="XW4" s="20">
        <f>METER!XX18</f>
        <v/>
      </c>
      <c r="XX4" s="20">
        <f>METER!XY18</f>
        <v/>
      </c>
      <c r="XY4" s="20">
        <f>METER!XZ18</f>
        <v/>
      </c>
      <c r="XZ4" s="20">
        <f>METER!YA18</f>
        <v/>
      </c>
      <c r="YA4" s="20">
        <f>METER!YB18</f>
        <v/>
      </c>
      <c r="YB4" s="20">
        <f>METER!YC18</f>
        <v/>
      </c>
      <c r="YC4" s="20">
        <f>METER!YD18</f>
        <v/>
      </c>
      <c r="YD4" s="20">
        <f>METER!YE18</f>
        <v/>
      </c>
      <c r="YE4" s="20">
        <f>METER!YF18</f>
        <v/>
      </c>
      <c r="YF4" s="20">
        <f>METER!YG18</f>
        <v/>
      </c>
      <c r="YG4" s="20">
        <f>METER!YH18</f>
        <v/>
      </c>
      <c r="YH4" s="20">
        <f>METER!YI18</f>
        <v/>
      </c>
      <c r="YI4" s="20">
        <f>METER!YJ18</f>
        <v/>
      </c>
      <c r="YJ4" s="20">
        <f>METER!YK18</f>
        <v/>
      </c>
      <c r="YK4" s="20">
        <f>METER!YL18</f>
        <v/>
      </c>
      <c r="YL4" s="127">
        <f>SUM(XH4:YK4)</f>
        <v/>
      </c>
      <c r="YM4" s="20">
        <f>METER!YN18</f>
        <v/>
      </c>
      <c r="YN4" s="20">
        <f>METER!YO18</f>
        <v/>
      </c>
      <c r="YO4" s="20">
        <f>METER!YP18</f>
        <v/>
      </c>
      <c r="YP4" s="20">
        <f>METER!YQ18</f>
        <v/>
      </c>
      <c r="YQ4" s="20">
        <f>METER!YR18</f>
        <v/>
      </c>
      <c r="YR4" s="20">
        <f>METER!YS18</f>
        <v/>
      </c>
      <c r="YS4" s="20">
        <f>METER!YT18</f>
        <v/>
      </c>
      <c r="YT4" s="20">
        <f>METER!YU18</f>
        <v/>
      </c>
      <c r="YU4" s="20">
        <f>METER!YV18</f>
        <v/>
      </c>
      <c r="YV4" s="20">
        <f>METER!YW18</f>
        <v/>
      </c>
      <c r="YW4" s="20">
        <f>METER!YX18</f>
        <v/>
      </c>
      <c r="YX4" s="20">
        <f>METER!YY18</f>
        <v/>
      </c>
      <c r="YY4" s="20">
        <f>METER!YZ18</f>
        <v/>
      </c>
      <c r="YZ4" s="20">
        <f>METER!ZA18</f>
        <v/>
      </c>
      <c r="ZA4" s="20">
        <f>METER!ZB18</f>
        <v/>
      </c>
      <c r="ZB4" s="20">
        <f>METER!ZC18</f>
        <v/>
      </c>
      <c r="ZC4" s="20">
        <f>METER!ZD18</f>
        <v/>
      </c>
      <c r="ZD4" s="20">
        <f>METER!ZE18</f>
        <v/>
      </c>
      <c r="ZE4" s="20">
        <f>METER!ZF18</f>
        <v/>
      </c>
      <c r="ZF4" s="20">
        <f>METER!ZG18</f>
        <v/>
      </c>
      <c r="ZG4" s="20">
        <f>METER!ZH18</f>
        <v/>
      </c>
      <c r="ZH4" s="20">
        <f>METER!ZI18</f>
        <v/>
      </c>
      <c r="ZI4" s="20">
        <f>METER!ZJ18</f>
        <v/>
      </c>
      <c r="ZJ4" s="20">
        <f>METER!ZK18</f>
        <v/>
      </c>
      <c r="ZK4" s="20">
        <f>METER!ZL18</f>
        <v/>
      </c>
      <c r="ZL4" s="20">
        <f>METER!ZM18</f>
        <v/>
      </c>
      <c r="ZM4" s="20">
        <f>METER!ZN18</f>
        <v/>
      </c>
      <c r="ZN4" s="20">
        <f>METER!ZO18</f>
        <v/>
      </c>
      <c r="ZO4" s="20">
        <f>METER!ZP18</f>
        <v/>
      </c>
      <c r="ZP4" s="20">
        <f>METER!ZQ18</f>
        <v/>
      </c>
      <c r="ZQ4" s="20">
        <f>METER!ZR18</f>
        <v/>
      </c>
      <c r="ZR4" s="127">
        <f>SUM(YM4:ZQ4)</f>
        <v/>
      </c>
      <c r="ZS4" s="20">
        <f>METER!ZT18</f>
        <v/>
      </c>
      <c r="ZT4" s="20">
        <f>METER!ZU18</f>
        <v/>
      </c>
      <c r="ZU4" s="20">
        <f>METER!ZV18</f>
        <v/>
      </c>
      <c r="ZV4" s="20">
        <f>METER!ZW18</f>
        <v/>
      </c>
      <c r="ZW4" s="20">
        <f>METER!ZX18</f>
        <v/>
      </c>
      <c r="ZX4" s="20">
        <f>METER!ZY18</f>
        <v/>
      </c>
      <c r="ZY4" s="20">
        <f>METER!ZZ18</f>
        <v/>
      </c>
      <c r="ZZ4" s="20">
        <f>METER!AAA18</f>
        <v/>
      </c>
      <c r="AAA4" s="20">
        <f>METER!AAB18</f>
        <v/>
      </c>
      <c r="AAB4" s="20">
        <f>METER!AAC18</f>
        <v/>
      </c>
      <c r="AAC4" s="20">
        <f>METER!AAD18</f>
        <v/>
      </c>
      <c r="AAD4" s="20">
        <f>METER!AAE18</f>
        <v/>
      </c>
      <c r="AAE4" s="20">
        <f>METER!AAF18</f>
        <v/>
      </c>
      <c r="AAF4" s="20">
        <f>METER!AAG18</f>
        <v/>
      </c>
      <c r="AAG4" s="20">
        <f>METER!AAH18</f>
        <v/>
      </c>
      <c r="AAH4" s="20">
        <f>METER!AAI18</f>
        <v/>
      </c>
      <c r="AAI4" s="20">
        <f>METER!AAJ18</f>
        <v/>
      </c>
      <c r="AAJ4" s="20">
        <f>METER!AAK18</f>
        <v/>
      </c>
      <c r="AAK4" s="20">
        <f>METER!AAL18</f>
        <v/>
      </c>
      <c r="AAL4" s="20">
        <f>METER!AAM18</f>
        <v/>
      </c>
      <c r="AAM4" s="20">
        <f>METER!AAN18</f>
        <v/>
      </c>
      <c r="AAN4" s="20">
        <f>METER!AAO18</f>
        <v/>
      </c>
      <c r="AAO4" s="20">
        <f>METER!AAP18</f>
        <v/>
      </c>
      <c r="AAP4" s="20">
        <f>METER!AAQ18</f>
        <v/>
      </c>
      <c r="AAQ4" s="20">
        <f>METER!AAR18</f>
        <v/>
      </c>
      <c r="AAR4" s="20">
        <f>METER!AAS18</f>
        <v/>
      </c>
      <c r="AAS4" s="20">
        <f>METER!AAT18</f>
        <v/>
      </c>
      <c r="AAT4" s="20">
        <f>METER!AAU18</f>
        <v/>
      </c>
      <c r="AAU4" s="20">
        <f>METER!AAV18</f>
        <v/>
      </c>
      <c r="AAV4" s="20">
        <f>METER!AAW18</f>
        <v/>
      </c>
      <c r="AAW4" s="127">
        <f>SUM(ZS4:AAV4)</f>
        <v/>
      </c>
      <c r="AAX4" s="20">
        <f>METER!AAY18</f>
        <v/>
      </c>
      <c r="AAY4" s="20">
        <f>METER!AAZ18</f>
        <v/>
      </c>
      <c r="AAZ4" s="20">
        <f>METER!ABA18</f>
        <v/>
      </c>
      <c r="ABA4" s="20">
        <f>METER!ABB18</f>
        <v/>
      </c>
      <c r="ABB4" s="20">
        <f>METER!ABC18</f>
        <v/>
      </c>
      <c r="ABC4" s="20">
        <f>METER!ABD18</f>
        <v/>
      </c>
      <c r="ABD4" s="20">
        <f>METER!ABE18</f>
        <v/>
      </c>
      <c r="ABE4" s="20">
        <f>METER!ABF18</f>
        <v/>
      </c>
      <c r="ABF4" s="20">
        <f>METER!ABG18</f>
        <v/>
      </c>
      <c r="ABG4" s="20">
        <f>METER!ABH18</f>
        <v/>
      </c>
      <c r="ABH4" s="20">
        <f>METER!ABI18</f>
        <v/>
      </c>
      <c r="ABI4" s="20">
        <f>METER!ABJ18</f>
        <v/>
      </c>
      <c r="ABJ4" s="20">
        <f>METER!ABK18</f>
        <v/>
      </c>
      <c r="ABK4" s="20">
        <f>METER!ABL18</f>
        <v/>
      </c>
      <c r="ABL4" s="20">
        <f>METER!ABM18</f>
        <v/>
      </c>
      <c r="ABM4" s="20">
        <f>METER!ABN18</f>
        <v/>
      </c>
      <c r="ABN4" s="20">
        <f>METER!ABO18</f>
        <v/>
      </c>
      <c r="ABO4" s="20">
        <f>METER!ABP18</f>
        <v/>
      </c>
      <c r="ABP4" s="20">
        <f>METER!ABQ18</f>
        <v/>
      </c>
      <c r="ABQ4" s="20">
        <f>METER!ABR18</f>
        <v/>
      </c>
      <c r="ABR4" s="20">
        <f>METER!ABS18</f>
        <v/>
      </c>
      <c r="ABS4" s="20">
        <f>METER!ABT18</f>
        <v/>
      </c>
      <c r="ABT4" s="20">
        <f>METER!ABU18</f>
        <v/>
      </c>
      <c r="ABU4" s="20">
        <f>METER!ABV18</f>
        <v/>
      </c>
      <c r="ABV4" s="20">
        <f>METER!ABW18</f>
        <v/>
      </c>
      <c r="ABW4" s="20">
        <f>METER!ABX18</f>
        <v/>
      </c>
      <c r="ABX4" s="20">
        <f>METER!ABY18</f>
        <v/>
      </c>
      <c r="ABY4" s="20">
        <f>METER!ABZ18</f>
        <v/>
      </c>
      <c r="ABZ4" s="20">
        <f>METER!ACA18</f>
        <v/>
      </c>
      <c r="ACA4" s="20">
        <f>METER!ACB18</f>
        <v/>
      </c>
      <c r="ACB4" s="20">
        <f>METER!ACC18</f>
        <v/>
      </c>
      <c r="ACC4" s="127">
        <f>SUM(AAX4:ACB4)</f>
        <v/>
      </c>
      <c r="ACD4" s="20">
        <f>METER!ACE18</f>
        <v/>
      </c>
      <c r="ACE4" s="20">
        <f>METER!ACF18</f>
        <v/>
      </c>
      <c r="ACF4" s="20">
        <f>METER!ACG18</f>
        <v/>
      </c>
      <c r="ACG4" s="20">
        <f>METER!ACH18</f>
        <v/>
      </c>
      <c r="ACH4" s="20">
        <f>METER!ACI18</f>
        <v/>
      </c>
      <c r="ACI4" s="20">
        <f>METER!ACJ18</f>
        <v/>
      </c>
      <c r="ACJ4" s="20">
        <f>METER!ACK18</f>
        <v/>
      </c>
      <c r="ACK4" s="20">
        <f>METER!ACL18</f>
        <v/>
      </c>
      <c r="ACL4" s="20">
        <f>METER!ACM18</f>
        <v/>
      </c>
      <c r="ACM4" s="20">
        <f>METER!ACN18</f>
        <v/>
      </c>
      <c r="ACN4" s="20">
        <f>METER!ACO18</f>
        <v/>
      </c>
      <c r="ACO4" s="20">
        <f>METER!ACP18</f>
        <v/>
      </c>
      <c r="ACP4" s="20">
        <f>METER!ACQ18</f>
        <v/>
      </c>
      <c r="ACQ4" s="20">
        <f>METER!ACR18</f>
        <v/>
      </c>
      <c r="ACR4" s="20">
        <f>METER!ACS18</f>
        <v/>
      </c>
      <c r="ACS4" s="20">
        <f>METER!ACT18</f>
        <v/>
      </c>
      <c r="ACT4" s="20">
        <f>METER!ACU18</f>
        <v/>
      </c>
      <c r="ACU4" s="20">
        <f>METER!ACV18</f>
        <v/>
      </c>
      <c r="ACV4" s="20">
        <f>METER!ACW18</f>
        <v/>
      </c>
      <c r="ACW4" s="20">
        <f>METER!ACX18</f>
        <v/>
      </c>
      <c r="ACX4" s="20">
        <f>METER!ACY18</f>
        <v/>
      </c>
      <c r="ACY4" s="20">
        <f>METER!ACZ18</f>
        <v/>
      </c>
      <c r="ACZ4" s="20">
        <f>METER!ADA18</f>
        <v/>
      </c>
      <c r="ADA4" s="20">
        <f>METER!ADB18</f>
        <v/>
      </c>
      <c r="ADB4" s="20">
        <f>METER!ADC18</f>
        <v/>
      </c>
      <c r="ADC4" s="20">
        <f>METER!ADD18</f>
        <v/>
      </c>
      <c r="ADD4" s="20">
        <f>METER!ADE18</f>
        <v/>
      </c>
      <c r="ADE4" s="20">
        <f>METER!ADF18</f>
        <v/>
      </c>
      <c r="ADF4" s="20">
        <f>METER!ADG18</f>
        <v/>
      </c>
      <c r="ADG4" s="20">
        <f>METER!ADH18</f>
        <v/>
      </c>
      <c r="ADH4" s="20">
        <f>METER!ADI18</f>
        <v/>
      </c>
      <c r="ADI4" s="127">
        <f>SUM(ACD4:ADH4)</f>
        <v/>
      </c>
      <c r="ADJ4" s="20">
        <f>METER!ADK18</f>
        <v/>
      </c>
      <c r="ADK4" s="20">
        <f>METER!ADL18</f>
        <v/>
      </c>
      <c r="ADL4" s="20">
        <f>METER!ADM18</f>
        <v/>
      </c>
      <c r="ADM4" s="20">
        <f>METER!ADN18</f>
        <v/>
      </c>
      <c r="ADN4" s="20">
        <f>METER!ADO18</f>
        <v/>
      </c>
      <c r="ADO4" s="20">
        <f>METER!ADP18</f>
        <v/>
      </c>
      <c r="ADP4" s="20">
        <f>METER!ADQ18</f>
        <v/>
      </c>
      <c r="ADQ4" s="20">
        <f>METER!ADR18</f>
        <v/>
      </c>
      <c r="ADR4" s="20">
        <f>METER!ADS18</f>
        <v/>
      </c>
      <c r="ADS4" s="20">
        <f>METER!ADT18</f>
        <v/>
      </c>
      <c r="ADT4" s="20">
        <f>METER!ADU18</f>
        <v/>
      </c>
      <c r="ADU4" s="20">
        <f>METER!ADV18</f>
        <v/>
      </c>
      <c r="ADV4" s="20">
        <f>METER!ADW18</f>
        <v/>
      </c>
      <c r="ADW4" s="20">
        <f>METER!ADX18</f>
        <v/>
      </c>
      <c r="ADX4" s="20">
        <f>METER!ADY18</f>
        <v/>
      </c>
      <c r="ADY4" s="20">
        <f>METER!ADZ18</f>
        <v/>
      </c>
      <c r="ADZ4" s="20">
        <f>METER!AEA18</f>
        <v/>
      </c>
      <c r="AEA4" s="20">
        <f>METER!AEB18</f>
        <v/>
      </c>
      <c r="AEB4" s="20">
        <f>METER!AEC18</f>
        <v/>
      </c>
      <c r="AEC4" s="20">
        <f>METER!AED18</f>
        <v/>
      </c>
      <c r="AED4" s="20">
        <f>METER!AEE18</f>
        <v/>
      </c>
      <c r="AEE4" s="20">
        <f>METER!AEF18</f>
        <v/>
      </c>
      <c r="AEF4" s="20">
        <f>METER!AEG18</f>
        <v/>
      </c>
      <c r="AEG4" s="20">
        <f>METER!AEH18</f>
        <v/>
      </c>
      <c r="AEH4" s="20">
        <f>METER!AEI18</f>
        <v/>
      </c>
      <c r="AEI4" s="20">
        <f>METER!AEJ18</f>
        <v/>
      </c>
      <c r="AEJ4" s="20">
        <f>METER!AEK18</f>
        <v/>
      </c>
      <c r="AEK4" s="20">
        <f>METER!AEL18</f>
        <v/>
      </c>
      <c r="AEL4" s="20">
        <f>METER!AEM18</f>
        <v/>
      </c>
      <c r="AEM4" s="20">
        <f>METER!AEN18</f>
        <v/>
      </c>
      <c r="AEN4" s="127">
        <f>SUM(ADJ4:AEM4)</f>
        <v/>
      </c>
      <c r="AEO4" s="20">
        <f>METER!AEP18</f>
        <v/>
      </c>
      <c r="AEP4" s="20">
        <f>METER!AEQ18</f>
        <v/>
      </c>
      <c r="AEQ4" s="20">
        <f>METER!AER18</f>
        <v/>
      </c>
      <c r="AER4" s="20">
        <f>METER!AES18</f>
        <v/>
      </c>
      <c r="AES4" s="20">
        <f>METER!AET18</f>
        <v/>
      </c>
      <c r="AET4" s="20">
        <f>METER!AEU18</f>
        <v/>
      </c>
      <c r="AEU4" s="20">
        <f>METER!AEV18</f>
        <v/>
      </c>
      <c r="AEV4" s="20">
        <f>METER!AEW18</f>
        <v/>
      </c>
      <c r="AEW4" s="20">
        <f>METER!AEX18</f>
        <v/>
      </c>
      <c r="AEX4" s="20">
        <f>METER!AEY18</f>
        <v/>
      </c>
      <c r="AEY4" s="20">
        <f>METER!AEZ18</f>
        <v/>
      </c>
      <c r="AEZ4" s="20">
        <f>METER!AFA18</f>
        <v/>
      </c>
      <c r="AFA4" s="20">
        <f>METER!AFB18</f>
        <v/>
      </c>
      <c r="AFB4" s="20">
        <f>METER!AFC18</f>
        <v/>
      </c>
      <c r="AFC4" s="20">
        <f>METER!AFD18</f>
        <v/>
      </c>
      <c r="AFD4" s="20">
        <f>METER!AFE18</f>
        <v/>
      </c>
      <c r="AFE4" s="20">
        <f>METER!AFF18</f>
        <v/>
      </c>
      <c r="AFF4" s="20">
        <f>METER!AFG18</f>
        <v/>
      </c>
      <c r="AFG4" s="20">
        <f>METER!AFH18</f>
        <v/>
      </c>
      <c r="AFH4" s="20">
        <f>METER!AFI18</f>
        <v/>
      </c>
      <c r="AFI4" s="20">
        <f>METER!AFJ18</f>
        <v/>
      </c>
      <c r="AFJ4" s="20">
        <f>METER!AFK18</f>
        <v/>
      </c>
      <c r="AFK4" s="20">
        <f>METER!AFL18</f>
        <v/>
      </c>
      <c r="AFL4" s="20">
        <f>METER!AFM18</f>
        <v/>
      </c>
      <c r="AFM4" s="20">
        <f>METER!AFN18</f>
        <v/>
      </c>
      <c r="AFN4" s="20">
        <f>METER!AFO18</f>
        <v/>
      </c>
      <c r="AFO4" s="20">
        <f>METER!AFP18</f>
        <v/>
      </c>
      <c r="AFP4" s="20">
        <f>METER!AFQ18</f>
        <v/>
      </c>
      <c r="AFQ4" s="20">
        <f>METER!AFR18</f>
        <v/>
      </c>
      <c r="AFR4" s="20">
        <f>METER!AFS18</f>
        <v/>
      </c>
      <c r="AFS4" s="20">
        <f>METER!AFT18</f>
        <v/>
      </c>
      <c r="AFT4" s="127">
        <f>SUM(AEO4:AFS4)</f>
        <v/>
      </c>
      <c r="AFU4" s="20">
        <f>METER!AFV18</f>
        <v/>
      </c>
      <c r="AFV4" s="20">
        <f>METER!AFW18</f>
        <v/>
      </c>
      <c r="AFW4" s="20">
        <f>METER!AFX18</f>
        <v/>
      </c>
      <c r="AFX4" s="20">
        <f>METER!AFY18</f>
        <v/>
      </c>
      <c r="AFY4" s="20">
        <f>METER!AFZ18</f>
        <v/>
      </c>
      <c r="AFZ4" s="20">
        <f>METER!AGA18</f>
        <v/>
      </c>
      <c r="AGA4" s="20">
        <f>METER!AGB18</f>
        <v/>
      </c>
      <c r="AGB4" s="20">
        <f>METER!AGC18</f>
        <v/>
      </c>
      <c r="AGC4" s="20">
        <f>METER!AGD18</f>
        <v/>
      </c>
      <c r="AGD4" s="20">
        <f>METER!AGE18</f>
        <v/>
      </c>
      <c r="AGE4" s="20">
        <f>METER!AGF18</f>
        <v/>
      </c>
      <c r="AGF4" s="20">
        <f>METER!AGG18</f>
        <v/>
      </c>
      <c r="AGG4" s="20">
        <f>METER!AGH18</f>
        <v/>
      </c>
      <c r="AGH4" s="20">
        <f>METER!AGI18</f>
        <v/>
      </c>
      <c r="AGI4" s="20">
        <f>METER!AGJ18</f>
        <v/>
      </c>
      <c r="AGJ4" s="20">
        <f>METER!AGK18</f>
        <v/>
      </c>
      <c r="AGK4" s="20">
        <f>METER!AGL18</f>
        <v/>
      </c>
      <c r="AGL4" s="20">
        <f>METER!AGM18</f>
        <v/>
      </c>
      <c r="AGM4" s="20">
        <f>METER!AGN18</f>
        <v/>
      </c>
      <c r="AGN4" s="20">
        <f>METER!AGO18</f>
        <v/>
      </c>
      <c r="AGO4" s="20">
        <f>METER!AGP18</f>
        <v/>
      </c>
      <c r="AGP4" s="20">
        <f>METER!AGQ18</f>
        <v/>
      </c>
      <c r="AGQ4" s="20">
        <f>METER!AGR18</f>
        <v/>
      </c>
      <c r="AGR4" s="20">
        <f>METER!AGS18</f>
        <v/>
      </c>
      <c r="AGS4" s="20">
        <f>METER!AGT18</f>
        <v/>
      </c>
      <c r="AGT4" s="20">
        <f>METER!AGU18</f>
        <v/>
      </c>
      <c r="AGU4" s="20">
        <f>METER!AGV18</f>
        <v/>
      </c>
      <c r="AGV4" s="20">
        <f>METER!AGW18</f>
        <v/>
      </c>
      <c r="AGW4" s="20">
        <f>METER!AGX18</f>
        <v/>
      </c>
      <c r="AGX4" s="20">
        <f>METER!AGY18</f>
        <v/>
      </c>
      <c r="AGY4" s="127">
        <f>SUM(AFU4:AGX4)</f>
        <v/>
      </c>
      <c r="AGZ4" s="20">
        <f>METER!AHA18</f>
        <v/>
      </c>
      <c r="AHA4" s="20">
        <f>METER!AHB18</f>
        <v/>
      </c>
      <c r="AHB4" s="20">
        <f>METER!AHC18</f>
        <v/>
      </c>
      <c r="AHC4" s="20">
        <f>METER!AHD18</f>
        <v/>
      </c>
      <c r="AHD4" s="20">
        <f>METER!AHE18</f>
        <v/>
      </c>
      <c r="AHE4" s="20">
        <f>METER!AHF18</f>
        <v/>
      </c>
      <c r="AHF4" s="20">
        <f>METER!AHG18</f>
        <v/>
      </c>
      <c r="AHG4" s="20">
        <f>METER!AHH18</f>
        <v/>
      </c>
      <c r="AHH4" s="20">
        <f>METER!AHI18</f>
        <v/>
      </c>
      <c r="AHI4" s="20">
        <f>METER!AHJ18</f>
        <v/>
      </c>
      <c r="AHJ4" s="20">
        <f>METER!AHK18</f>
        <v/>
      </c>
      <c r="AHK4" s="20">
        <f>METER!AHL18</f>
        <v/>
      </c>
      <c r="AHL4" s="20">
        <f>METER!AHM18</f>
        <v/>
      </c>
      <c r="AHM4" s="20">
        <f>METER!AHN18</f>
        <v/>
      </c>
      <c r="AHN4" s="20">
        <f>METER!AHO18</f>
        <v/>
      </c>
      <c r="AHO4" s="20">
        <f>METER!AHP18</f>
        <v/>
      </c>
      <c r="AHP4" s="20">
        <f>METER!AHQ18</f>
        <v/>
      </c>
      <c r="AHQ4" s="20">
        <f>METER!AHR18</f>
        <v/>
      </c>
      <c r="AHR4" s="20">
        <f>METER!AHS18</f>
        <v/>
      </c>
      <c r="AHS4" s="20">
        <f>METER!AHT18</f>
        <v/>
      </c>
      <c r="AHT4" s="20">
        <f>METER!AHU18</f>
        <v/>
      </c>
      <c r="AHU4" s="20">
        <f>METER!AHV18</f>
        <v/>
      </c>
      <c r="AHV4" s="20">
        <f>METER!AHW18</f>
        <v/>
      </c>
      <c r="AHW4" s="20">
        <f>METER!AHX18</f>
        <v/>
      </c>
      <c r="AHX4" s="20">
        <f>METER!AHY18</f>
        <v/>
      </c>
      <c r="AHY4" s="20">
        <f>METER!AHZ18</f>
        <v/>
      </c>
      <c r="AHZ4" s="20">
        <f>METER!AIA18</f>
        <v/>
      </c>
      <c r="AIA4" s="20">
        <f>METER!AIB18</f>
        <v/>
      </c>
      <c r="AIB4" s="20">
        <f>METER!AIC18</f>
        <v/>
      </c>
      <c r="AIC4" s="20">
        <f>METER!AID18</f>
        <v/>
      </c>
      <c r="AID4" s="20">
        <f>METER!AIE18</f>
        <v/>
      </c>
      <c r="AIE4" s="127">
        <f>SUM(AGZ4:AID4)</f>
        <v/>
      </c>
      <c r="AIF4" s="20">
        <f>METER!AIG18</f>
        <v/>
      </c>
      <c r="AIG4" s="20">
        <f>METER!AIH18</f>
        <v/>
      </c>
      <c r="AIH4" s="20">
        <f>METER!AII18</f>
        <v/>
      </c>
      <c r="AII4" s="20">
        <f>METER!AIJ18</f>
        <v/>
      </c>
      <c r="AIJ4" s="20">
        <f>METER!AIK18</f>
        <v/>
      </c>
      <c r="AIK4" s="20">
        <f>METER!AIL18</f>
        <v/>
      </c>
      <c r="AIL4" s="20">
        <f>METER!AIM18</f>
        <v/>
      </c>
      <c r="AIM4" s="20">
        <f>METER!AIN18</f>
        <v/>
      </c>
      <c r="AIN4" s="20">
        <f>METER!AIO18</f>
        <v/>
      </c>
      <c r="AIO4" s="20">
        <f>METER!AIP18</f>
        <v/>
      </c>
      <c r="AIP4" s="20">
        <f>METER!AIQ18</f>
        <v/>
      </c>
      <c r="AIQ4" s="20">
        <f>METER!AIR18</f>
        <v/>
      </c>
      <c r="AIR4" s="20">
        <f>METER!AIS18</f>
        <v/>
      </c>
      <c r="AIS4" s="20">
        <f>METER!AIT18</f>
        <v/>
      </c>
      <c r="AIT4" s="20">
        <f>METER!AIU18</f>
        <v/>
      </c>
      <c r="AIU4" s="20">
        <f>METER!AIV18</f>
        <v/>
      </c>
      <c r="AIV4" s="20">
        <f>METER!AIW18</f>
        <v/>
      </c>
      <c r="AIW4" s="20">
        <f>METER!AIX18</f>
        <v/>
      </c>
      <c r="AIX4" s="20">
        <f>METER!AIY18</f>
        <v/>
      </c>
      <c r="AIY4" s="20">
        <f>METER!AIZ18</f>
        <v/>
      </c>
      <c r="AIZ4" s="20">
        <f>METER!AJA18</f>
        <v/>
      </c>
      <c r="AJA4" s="20">
        <f>METER!AJB18</f>
        <v/>
      </c>
      <c r="AJB4" s="20">
        <f>METER!AJC18</f>
        <v/>
      </c>
      <c r="AJC4" s="20">
        <f>METER!AJD18</f>
        <v/>
      </c>
      <c r="AJD4" s="20">
        <f>METER!AJE18</f>
        <v/>
      </c>
      <c r="AJE4" s="20">
        <f>METER!AJF18</f>
        <v/>
      </c>
      <c r="AJF4" s="20">
        <f>METER!AJG18</f>
        <v/>
      </c>
      <c r="AJG4" s="20">
        <f>METER!AJH18</f>
        <v/>
      </c>
      <c r="AJH4" s="20">
        <f>METER!AJI18</f>
        <v/>
      </c>
      <c r="AJI4" s="20">
        <f>METER!AJJ18</f>
        <v/>
      </c>
      <c r="AJJ4" s="20">
        <f>METER!AJK18</f>
        <v/>
      </c>
      <c r="AJK4" s="127">
        <f>SUM(AIF4:AJJ4)</f>
        <v/>
      </c>
      <c r="AJL4" s="20">
        <f>METER!AJM18</f>
        <v/>
      </c>
      <c r="AJM4" s="20">
        <f>METER!AJN18</f>
        <v/>
      </c>
      <c r="AJN4" s="20">
        <f>METER!AJO18</f>
        <v/>
      </c>
      <c r="AJO4" s="20">
        <f>METER!AJP18</f>
        <v/>
      </c>
      <c r="AJP4" s="20">
        <f>METER!AJQ18</f>
        <v/>
      </c>
      <c r="AJQ4" s="20">
        <f>METER!AJR18</f>
        <v/>
      </c>
      <c r="AJR4" s="20">
        <f>METER!AJS18</f>
        <v/>
      </c>
      <c r="AJS4" s="20">
        <f>METER!AJT18</f>
        <v/>
      </c>
      <c r="AJT4" s="20">
        <f>METER!AJU18</f>
        <v/>
      </c>
      <c r="AJU4" s="20">
        <f>METER!AJV18</f>
        <v/>
      </c>
      <c r="AJV4" s="20">
        <f>METER!AJW18</f>
        <v/>
      </c>
      <c r="AJW4" s="20">
        <f>METER!AJX18</f>
        <v/>
      </c>
      <c r="AJX4" s="20">
        <f>METER!AJY18</f>
        <v/>
      </c>
      <c r="AJY4" s="20">
        <f>METER!AJZ18</f>
        <v/>
      </c>
      <c r="AJZ4" s="20">
        <f>METER!AKA18</f>
        <v/>
      </c>
      <c r="AKA4" s="20">
        <f>METER!AKB18</f>
        <v/>
      </c>
      <c r="AKB4" s="20">
        <f>METER!AKC18</f>
        <v/>
      </c>
      <c r="AKC4" s="20">
        <f>METER!AKD18</f>
        <v/>
      </c>
      <c r="AKD4" s="20">
        <f>METER!AKE18</f>
        <v/>
      </c>
      <c r="AKE4" s="20">
        <f>METER!AKF18</f>
        <v/>
      </c>
      <c r="AKF4" s="20">
        <f>METER!AKG18</f>
        <v/>
      </c>
      <c r="AKG4" s="20">
        <f>METER!AKH18</f>
        <v/>
      </c>
      <c r="AKH4" s="20">
        <f>METER!AKI18</f>
        <v/>
      </c>
      <c r="AKI4" s="20">
        <f>METER!AKJ18</f>
        <v/>
      </c>
      <c r="AKJ4" s="20">
        <f>METER!AKK18</f>
        <v/>
      </c>
      <c r="AKK4" s="20">
        <f>METER!AKL18</f>
        <v/>
      </c>
      <c r="AKL4" s="20">
        <f>METER!AKM18</f>
        <v/>
      </c>
      <c r="AKM4" s="20">
        <f>METER!AKN18</f>
        <v/>
      </c>
      <c r="AKN4" s="127">
        <f>SUM(AJL4:AKM4)</f>
        <v/>
      </c>
      <c r="AKO4" s="20">
        <f>METER!AKP18</f>
        <v/>
      </c>
      <c r="AKP4" s="20">
        <f>METER!AKQ18</f>
        <v/>
      </c>
      <c r="AKQ4" s="20">
        <f>METER!AKR18</f>
        <v/>
      </c>
      <c r="AKR4" s="20">
        <f>METER!AKS18</f>
        <v/>
      </c>
      <c r="AKS4" s="20">
        <f>METER!AKT18</f>
        <v/>
      </c>
      <c r="AKT4" s="20">
        <f>METER!AKU18</f>
        <v/>
      </c>
      <c r="AKU4" s="20">
        <f>METER!AKV18</f>
        <v/>
      </c>
      <c r="AKV4" s="20">
        <f>METER!AKW18</f>
        <v/>
      </c>
      <c r="AKW4" s="20">
        <f>METER!AKX18</f>
        <v/>
      </c>
      <c r="AKX4" s="20">
        <f>METER!AKY18</f>
        <v/>
      </c>
      <c r="AKY4" s="20">
        <f>METER!AKZ18</f>
        <v/>
      </c>
      <c r="AKZ4" s="20">
        <f>METER!ALA18</f>
        <v/>
      </c>
      <c r="ALA4" s="20">
        <f>METER!ALB18</f>
        <v/>
      </c>
      <c r="ALB4" s="20">
        <f>METER!ALC18</f>
        <v/>
      </c>
      <c r="ALC4" s="20">
        <f>METER!ALD18</f>
        <v/>
      </c>
      <c r="ALD4" s="20">
        <f>METER!ALE18</f>
        <v/>
      </c>
      <c r="ALE4" s="20">
        <f>METER!ALF18</f>
        <v/>
      </c>
      <c r="ALF4" s="20">
        <f>METER!ALG18</f>
        <v/>
      </c>
      <c r="ALG4" s="20">
        <f>METER!ALH18</f>
        <v/>
      </c>
      <c r="ALH4" s="20">
        <f>METER!ALI18</f>
        <v/>
      </c>
      <c r="ALI4" s="20">
        <f>METER!ALJ18</f>
        <v/>
      </c>
      <c r="ALJ4" s="20">
        <f>METER!ALK18</f>
        <v/>
      </c>
      <c r="ALK4" s="20">
        <f>METER!ALL18</f>
        <v/>
      </c>
      <c r="ALL4" s="20">
        <f>METER!ALM18</f>
        <v/>
      </c>
      <c r="ALM4" s="20">
        <f>METER!ALN18</f>
        <v/>
      </c>
      <c r="ALN4" s="20">
        <f>METER!ALO18</f>
        <v/>
      </c>
      <c r="ALO4" s="20">
        <f>METER!ALP18</f>
        <v/>
      </c>
      <c r="ALP4" s="20">
        <f>METER!ALQ18</f>
        <v/>
      </c>
      <c r="ALQ4" s="20">
        <f>METER!ALR18</f>
        <v/>
      </c>
      <c r="ALR4" s="20">
        <f>METER!ALS18</f>
        <v/>
      </c>
      <c r="ALS4" s="20">
        <f>METER!ALT18</f>
        <v/>
      </c>
      <c r="ALT4" s="127">
        <f>SUM(AKO4:ALS4)</f>
        <v/>
      </c>
      <c r="ALU4" s="20">
        <f>METER!ALV18</f>
        <v/>
      </c>
      <c r="ALV4" s="20">
        <f>METER!ALW18</f>
        <v/>
      </c>
      <c r="ALW4" s="20">
        <f>METER!ALX18</f>
        <v/>
      </c>
      <c r="ALX4" s="20">
        <f>METER!ALY18</f>
        <v/>
      </c>
      <c r="ALY4" s="20">
        <f>METER!ALZ18</f>
        <v/>
      </c>
      <c r="ALZ4" s="20">
        <f>METER!AMA18</f>
        <v/>
      </c>
      <c r="AMA4" s="20">
        <f>METER!AMB18</f>
        <v/>
      </c>
      <c r="AMB4" s="20">
        <f>METER!AMC18</f>
        <v/>
      </c>
      <c r="AMC4" s="20">
        <f>METER!AMD18</f>
        <v/>
      </c>
      <c r="AMD4" s="20">
        <f>METER!AME18</f>
        <v/>
      </c>
      <c r="AME4" s="20">
        <f>METER!AMF18</f>
        <v/>
      </c>
      <c r="AMF4" s="20">
        <f>METER!AMG18</f>
        <v/>
      </c>
      <c r="AMG4" s="20">
        <f>METER!AMH18</f>
        <v/>
      </c>
      <c r="AMH4" s="20">
        <f>METER!AMI18</f>
        <v/>
      </c>
      <c r="AMI4" s="20">
        <f>METER!AMJ18</f>
        <v/>
      </c>
      <c r="AMJ4" s="20">
        <f>METER!AMK18</f>
        <v/>
      </c>
      <c r="AMK4" s="20">
        <f>METER!AML18</f>
        <v/>
      </c>
      <c r="AML4" s="20">
        <f>METER!AMM18</f>
        <v/>
      </c>
      <c r="AMM4" s="20">
        <f>METER!AMN18</f>
        <v/>
      </c>
      <c r="AMN4" s="20">
        <f>METER!AMO18</f>
        <v/>
      </c>
      <c r="AMO4" s="20">
        <f>METER!AMP18</f>
        <v/>
      </c>
      <c r="AMP4" s="20">
        <f>METER!AMQ18</f>
        <v/>
      </c>
      <c r="AMQ4" s="20">
        <f>METER!AMR18</f>
        <v/>
      </c>
      <c r="AMR4" s="20">
        <f>METER!AMS18</f>
        <v/>
      </c>
      <c r="AMS4" s="20">
        <f>METER!AMT18</f>
        <v/>
      </c>
      <c r="AMT4" s="20">
        <f>METER!AMU18</f>
        <v/>
      </c>
      <c r="AMU4" s="20">
        <f>METER!AMV18</f>
        <v/>
      </c>
      <c r="AMV4" s="20">
        <f>METER!AMW18</f>
        <v/>
      </c>
      <c r="AMW4" s="20">
        <f>METER!AMX18</f>
        <v/>
      </c>
      <c r="AMX4" s="20">
        <f>METER!AMY18</f>
        <v/>
      </c>
      <c r="AMY4" s="127">
        <f>SUM(ALU4:AMX4)</f>
        <v/>
      </c>
      <c r="AMZ4" s="20">
        <f>METER!ANA18</f>
        <v/>
      </c>
      <c r="ANA4" s="20">
        <f>METER!ANB18</f>
        <v/>
      </c>
      <c r="ANB4" s="20">
        <f>METER!ANC18</f>
        <v/>
      </c>
      <c r="ANC4" s="20">
        <f>METER!AND18</f>
        <v/>
      </c>
      <c r="AND4" s="20">
        <f>METER!ANE18</f>
        <v/>
      </c>
      <c r="ANE4" s="20">
        <f>METER!ANF18</f>
        <v/>
      </c>
      <c r="ANF4" s="20">
        <f>METER!ANG18</f>
        <v/>
      </c>
      <c r="ANG4" s="20">
        <f>METER!ANH18</f>
        <v/>
      </c>
      <c r="ANH4" s="20">
        <f>METER!ANI18</f>
        <v/>
      </c>
      <c r="ANI4" s="20">
        <f>METER!ANJ18</f>
        <v/>
      </c>
      <c r="ANJ4" s="20">
        <f>METER!ANK18</f>
        <v/>
      </c>
      <c r="ANK4" s="20">
        <f>METER!ANL18</f>
        <v/>
      </c>
      <c r="ANL4" s="20">
        <f>METER!ANM18</f>
        <v/>
      </c>
      <c r="ANM4" s="20">
        <f>METER!ANN18</f>
        <v/>
      </c>
      <c r="ANN4" s="20">
        <f>METER!ANO18</f>
        <v/>
      </c>
      <c r="ANO4" s="20">
        <f>METER!ANP18</f>
        <v/>
      </c>
      <c r="ANP4" s="20">
        <f>METER!ANQ18</f>
        <v/>
      </c>
      <c r="ANQ4" s="20">
        <f>METER!ANR18</f>
        <v/>
      </c>
      <c r="ANR4" s="20">
        <f>METER!ANS18</f>
        <v/>
      </c>
      <c r="ANS4" s="20">
        <f>METER!ANT18</f>
        <v/>
      </c>
      <c r="ANT4" s="20">
        <f>METER!ANU18</f>
        <v/>
      </c>
      <c r="ANU4" s="20">
        <f>METER!ANV18</f>
        <v/>
      </c>
      <c r="ANV4" s="20">
        <f>METER!ANW18</f>
        <v/>
      </c>
      <c r="ANW4" s="20">
        <f>METER!ANX18</f>
        <v/>
      </c>
      <c r="ANX4" s="20">
        <f>METER!ANY18</f>
        <v/>
      </c>
      <c r="ANY4" s="20">
        <f>METER!ANZ18</f>
        <v/>
      </c>
      <c r="ANZ4" s="20">
        <f>METER!AOA18</f>
        <v/>
      </c>
      <c r="AOA4" s="20">
        <f>METER!AOB18</f>
        <v/>
      </c>
      <c r="AOB4" s="20">
        <f>METER!AOC18</f>
        <v/>
      </c>
      <c r="AOC4" s="20">
        <f>METER!AOD18</f>
        <v/>
      </c>
    </row>
    <row r="5">
      <c r="B5" s="5" t="inlineStr">
        <is>
          <t>PMS PRICE</t>
        </is>
      </c>
      <c r="C5" s="22" t="n">
        <v>4750</v>
      </c>
      <c r="D5" s="22">
        <f>C5</f>
        <v/>
      </c>
      <c r="E5" s="22" t="n">
        <v>4750</v>
      </c>
      <c r="F5" s="22" t="n">
        <v>4750</v>
      </c>
      <c r="G5" s="22">
        <f>F5</f>
        <v/>
      </c>
      <c r="H5" s="22" t="n">
        <v>4750</v>
      </c>
      <c r="I5" s="22">
        <f>H5</f>
        <v/>
      </c>
      <c r="J5" s="22" t="n">
        <v>4890</v>
      </c>
      <c r="K5" s="22" t="n">
        <v>4890</v>
      </c>
      <c r="L5" s="22" t="n">
        <v>4890</v>
      </c>
      <c r="M5" s="22" t="n">
        <v>4890</v>
      </c>
      <c r="N5" s="22" t="n">
        <v>4890</v>
      </c>
      <c r="O5" s="22" t="n">
        <v>4890</v>
      </c>
      <c r="P5" s="22" t="n">
        <v>4890</v>
      </c>
      <c r="Q5" s="22" t="n">
        <v>4890</v>
      </c>
      <c r="R5" s="22" t="n">
        <v>4890</v>
      </c>
      <c r="S5" s="22" t="n">
        <v>4890</v>
      </c>
      <c r="T5" s="22" t="n">
        <v>4890</v>
      </c>
      <c r="U5" s="22" t="n">
        <v>4930</v>
      </c>
      <c r="V5" s="22" t="n">
        <v>4930</v>
      </c>
      <c r="W5" s="22" t="n">
        <v>4930</v>
      </c>
      <c r="X5" s="22" t="n">
        <v>4930</v>
      </c>
      <c r="Y5" s="22" t="n">
        <v>4970</v>
      </c>
      <c r="Z5" s="22" t="n">
        <v>4970</v>
      </c>
      <c r="AA5" s="22" t="n">
        <v>4970</v>
      </c>
      <c r="AB5" s="22" t="n">
        <v>4970</v>
      </c>
      <c r="AC5" s="22" t="n">
        <v>4970</v>
      </c>
      <c r="AD5" s="22" t="n">
        <v>4970</v>
      </c>
      <c r="AE5" s="22" t="n">
        <v>4970</v>
      </c>
      <c r="AF5" s="22" t="n">
        <v>5100</v>
      </c>
      <c r="AG5" s="22" t="n">
        <v>5100</v>
      </c>
      <c r="AH5" s="94" t="n"/>
      <c r="AI5" s="22" t="n">
        <v>5100</v>
      </c>
      <c r="AJ5" s="22" t="n">
        <v>5100</v>
      </c>
      <c r="AK5" s="22" t="n">
        <v>5100</v>
      </c>
      <c r="AL5" s="22" t="n">
        <v>5100</v>
      </c>
      <c r="AM5" s="22" t="n">
        <v>5190</v>
      </c>
      <c r="AN5" s="22" t="n">
        <v>5190</v>
      </c>
      <c r="AO5" s="22" t="n">
        <v>5190</v>
      </c>
      <c r="AP5" s="22" t="n">
        <v>5190</v>
      </c>
      <c r="AQ5" s="22" t="n">
        <v>5290</v>
      </c>
      <c r="AR5" s="22" t="n">
        <v>5290</v>
      </c>
      <c r="AS5" s="22" t="n">
        <v>5290</v>
      </c>
      <c r="AT5" s="22" t="n">
        <v>5350</v>
      </c>
      <c r="AU5" s="22" t="n">
        <v>5350</v>
      </c>
      <c r="AV5" s="22" t="n">
        <v>5350</v>
      </c>
      <c r="AW5" s="22" t="n">
        <v>5350</v>
      </c>
      <c r="AX5" s="22" t="n">
        <v>5350</v>
      </c>
      <c r="AY5" s="22" t="n">
        <v>5350</v>
      </c>
      <c r="AZ5" s="22" t="n">
        <v>5350</v>
      </c>
      <c r="BA5" s="22" t="n">
        <v>5350</v>
      </c>
      <c r="BB5" s="22" t="n">
        <v>5350</v>
      </c>
      <c r="BC5" s="22" t="n">
        <v>5350</v>
      </c>
      <c r="BD5" s="22" t="n">
        <v>5350</v>
      </c>
      <c r="BE5" s="22" t="n">
        <v>5350</v>
      </c>
      <c r="BF5" s="22" t="n">
        <v>5350</v>
      </c>
      <c r="BG5" s="22" t="n">
        <v>5350</v>
      </c>
      <c r="BH5" s="22" t="n">
        <v>5390</v>
      </c>
      <c r="BI5" s="22" t="n">
        <v>5390</v>
      </c>
      <c r="BJ5" s="22" t="n">
        <v>5390</v>
      </c>
      <c r="BK5" s="22" t="n">
        <v>5390</v>
      </c>
      <c r="BL5" s="22" t="n">
        <v>5390</v>
      </c>
      <c r="BM5" s="97">
        <f>SUM(AI5:BL5)</f>
        <v/>
      </c>
      <c r="BN5" s="22" t="n">
        <v>5390</v>
      </c>
      <c r="BO5" s="22" t="n">
        <v>5390</v>
      </c>
      <c r="BP5" s="22" t="n">
        <v>5390</v>
      </c>
      <c r="BQ5" s="22" t="n">
        <v>5390</v>
      </c>
      <c r="BR5" s="22" t="n">
        <v>5390</v>
      </c>
      <c r="BS5" s="22" t="n">
        <v>5390</v>
      </c>
      <c r="BT5" s="22" t="n">
        <v>5390</v>
      </c>
      <c r="BU5" s="22" t="n">
        <v>5390</v>
      </c>
      <c r="BV5" s="22" t="n">
        <v>5390</v>
      </c>
      <c r="BW5" s="22" t="n">
        <v>5390</v>
      </c>
      <c r="BX5" s="22" t="n">
        <v>5390</v>
      </c>
      <c r="BY5" s="22" t="n">
        <v>5390</v>
      </c>
      <c r="BZ5" s="22" t="n">
        <v>5390</v>
      </c>
      <c r="CA5" s="22" t="n">
        <v>5390</v>
      </c>
      <c r="CB5" s="22" t="n">
        <v>5390</v>
      </c>
      <c r="CC5" s="22" t="n">
        <v>5390</v>
      </c>
      <c r="CD5" s="22" t="n">
        <v>5390</v>
      </c>
      <c r="CE5" s="22" t="n">
        <v>5390</v>
      </c>
      <c r="CF5" s="22" t="n">
        <v>5390</v>
      </c>
      <c r="CG5" s="22" t="n">
        <v>5390</v>
      </c>
      <c r="CH5" s="22" t="n">
        <v>5390</v>
      </c>
      <c r="CI5" s="22" t="n">
        <v>5390</v>
      </c>
      <c r="CJ5" s="22" t="n">
        <v>5390</v>
      </c>
      <c r="CK5" s="22" t="n">
        <v>5390</v>
      </c>
      <c r="CL5" s="22" t="n">
        <v>5390</v>
      </c>
      <c r="CM5" s="22" t="n">
        <v>5390</v>
      </c>
      <c r="CN5" s="22" t="n">
        <v>5390</v>
      </c>
      <c r="CO5" s="22" t="n">
        <v>5390</v>
      </c>
      <c r="CP5" s="22" t="n">
        <v>5390</v>
      </c>
      <c r="CQ5" s="22" t="n">
        <v>5390</v>
      </c>
      <c r="CR5" s="22" t="n">
        <v>5439</v>
      </c>
      <c r="CS5" s="111">
        <f>SUM(BN5:CR5)</f>
        <v/>
      </c>
      <c r="CT5" s="22" t="n">
        <v>5439</v>
      </c>
      <c r="CU5" s="22" t="n">
        <v>5439</v>
      </c>
      <c r="CV5" s="22" t="n">
        <v>5439</v>
      </c>
      <c r="CW5" s="22" t="n">
        <v>5439</v>
      </c>
      <c r="CX5" s="22" t="n">
        <v>5439</v>
      </c>
      <c r="CY5" s="22" t="n">
        <v>5439</v>
      </c>
      <c r="CZ5" s="22" t="n">
        <v>5439</v>
      </c>
      <c r="DA5" s="22" t="n">
        <v>5439</v>
      </c>
      <c r="DB5" s="22" t="n">
        <v>5439</v>
      </c>
      <c r="DC5" s="22" t="n">
        <v>5439</v>
      </c>
      <c r="DD5" s="22" t="n">
        <v>5439</v>
      </c>
      <c r="DE5" s="22" t="n">
        <v>5439</v>
      </c>
      <c r="DF5" s="22" t="n">
        <v>5439</v>
      </c>
      <c r="DG5" s="22" t="n">
        <v>5439</v>
      </c>
      <c r="DH5" s="22" t="n">
        <v>5550</v>
      </c>
      <c r="DI5" s="22" t="n">
        <v>5550</v>
      </c>
      <c r="DJ5" s="22" t="n">
        <v>5550</v>
      </c>
      <c r="DK5" s="22" t="n">
        <v>5550</v>
      </c>
      <c r="DL5" s="22" t="n">
        <v>5550</v>
      </c>
      <c r="DM5" s="22" t="n">
        <v>5550</v>
      </c>
      <c r="DN5" s="22" t="n">
        <v>5550</v>
      </c>
      <c r="DO5" s="22" t="n">
        <v>5550</v>
      </c>
      <c r="DP5" s="22" t="n">
        <v>5550</v>
      </c>
      <c r="DQ5" s="22" t="n">
        <v>5550</v>
      </c>
      <c r="DR5" s="22" t="n">
        <v>5550</v>
      </c>
      <c r="DS5" s="22" t="n">
        <v>5550</v>
      </c>
      <c r="DT5" s="22" t="n">
        <v>5550</v>
      </c>
      <c r="DU5" s="22" t="n">
        <v>5550</v>
      </c>
      <c r="DV5" s="22" t="n">
        <v>5550</v>
      </c>
      <c r="DW5" s="22" t="n">
        <v>5550</v>
      </c>
      <c r="DX5" s="120" t="n"/>
      <c r="DY5" s="22" t="n">
        <v>5550</v>
      </c>
      <c r="DZ5" s="22" t="n">
        <v>5550</v>
      </c>
      <c r="EA5" s="22" t="n">
        <v>5550</v>
      </c>
      <c r="EB5" s="22" t="n">
        <v>5550</v>
      </c>
      <c r="EC5" s="22" t="n">
        <v>5550</v>
      </c>
      <c r="ED5" s="22" t="n">
        <v>5550</v>
      </c>
      <c r="EE5" s="22" t="n">
        <v>5550</v>
      </c>
      <c r="EF5" s="22" t="n">
        <v>5550</v>
      </c>
      <c r="EG5" s="22" t="n">
        <v>5390</v>
      </c>
      <c r="EH5" s="22" t="n">
        <v>5390</v>
      </c>
      <c r="EI5" s="22" t="n">
        <v>5390</v>
      </c>
      <c r="EJ5" s="22" t="n">
        <v>5390</v>
      </c>
      <c r="EK5" s="22" t="n">
        <v>5390</v>
      </c>
      <c r="EL5" s="22" t="n">
        <v>5390</v>
      </c>
      <c r="EM5" s="22" t="n">
        <v>5390</v>
      </c>
      <c r="EN5" s="22" t="n">
        <v>5390</v>
      </c>
      <c r="EO5" s="22" t="n">
        <v>5390</v>
      </c>
      <c r="EP5" s="22" t="n">
        <v>5390</v>
      </c>
      <c r="EQ5" s="22" t="n">
        <v>5390</v>
      </c>
      <c r="ER5" s="22" t="n">
        <v>5390</v>
      </c>
      <c r="ES5" s="22" t="n">
        <v>5390</v>
      </c>
      <c r="ET5" s="22" t="n">
        <v>5390</v>
      </c>
      <c r="EU5" s="22" t="n">
        <v>5390</v>
      </c>
      <c r="EV5" s="22" t="n">
        <v>5390</v>
      </c>
      <c r="EW5" s="22" t="n">
        <v>5390</v>
      </c>
      <c r="EX5" s="22" t="n">
        <v>5390</v>
      </c>
      <c r="EY5" s="22" t="n">
        <v>5390</v>
      </c>
      <c r="EZ5" s="22" t="n">
        <v>5390</v>
      </c>
      <c r="FA5" s="22" t="n">
        <v>5390</v>
      </c>
      <c r="FB5" s="22" t="n">
        <v>5390</v>
      </c>
      <c r="FC5" s="22" t="n">
        <v>5390</v>
      </c>
      <c r="FD5" s="128" t="n"/>
      <c r="FE5" s="22" t="n">
        <v>5390</v>
      </c>
      <c r="FF5" s="22" t="n">
        <v>5390</v>
      </c>
      <c r="FG5" s="22" t="n">
        <v>5390</v>
      </c>
      <c r="FH5" s="22" t="n">
        <v>5390</v>
      </c>
      <c r="FI5" s="22" t="n">
        <v>5390</v>
      </c>
      <c r="FJ5" s="22" t="n">
        <v>5390</v>
      </c>
      <c r="FK5" s="22" t="n">
        <v>5390</v>
      </c>
      <c r="FL5" s="22" t="n">
        <v>5390</v>
      </c>
      <c r="FM5" s="22" t="n">
        <v>5390</v>
      </c>
      <c r="FN5" s="22" t="n">
        <v>5390</v>
      </c>
      <c r="FO5" s="22" t="n">
        <v>5390</v>
      </c>
      <c r="FP5" s="22" t="n">
        <v>5390</v>
      </c>
      <c r="FQ5" s="22" t="n">
        <v>5390</v>
      </c>
      <c r="FR5" s="22" t="n">
        <v>5390</v>
      </c>
      <c r="FS5" s="22" t="n">
        <v>5390</v>
      </c>
      <c r="FT5" s="22" t="n">
        <v>5390</v>
      </c>
      <c r="FU5" s="22" t="n">
        <v>5390</v>
      </c>
      <c r="FV5" s="22" t="n">
        <v>5390</v>
      </c>
      <c r="FW5" s="22" t="n">
        <v>5390</v>
      </c>
      <c r="FX5" s="22" t="n">
        <v>5390</v>
      </c>
      <c r="FY5" s="22" t="n">
        <v>5390</v>
      </c>
      <c r="FZ5" s="22" t="n">
        <v>5390</v>
      </c>
      <c r="GA5" s="22" t="n">
        <v>5390</v>
      </c>
      <c r="GB5" s="22" t="n">
        <v>5390</v>
      </c>
      <c r="GC5" s="22" t="n">
        <v>5390</v>
      </c>
      <c r="GD5" s="22" t="n">
        <v>5390</v>
      </c>
      <c r="GE5" s="22" t="n">
        <v>5390</v>
      </c>
      <c r="GF5" s="22" t="n">
        <v>5390</v>
      </c>
      <c r="GG5" s="22" t="n">
        <v>5390</v>
      </c>
      <c r="GH5" s="22" t="n">
        <v>5390</v>
      </c>
      <c r="GI5" s="22" t="n">
        <v>5290</v>
      </c>
      <c r="GJ5" s="126" t="n"/>
      <c r="GK5" s="22" t="n">
        <v>5290</v>
      </c>
      <c r="GL5" s="22" t="n">
        <v>5290</v>
      </c>
      <c r="GM5" s="22" t="n">
        <v>5290</v>
      </c>
      <c r="GN5" s="22" t="n">
        <v>5290</v>
      </c>
      <c r="GO5" s="22" t="n">
        <v>5290</v>
      </c>
      <c r="GP5" s="22" t="n">
        <v>5290</v>
      </c>
      <c r="GQ5" s="22" t="n">
        <v>5290</v>
      </c>
      <c r="GR5" s="22" t="n">
        <v>5290</v>
      </c>
      <c r="GS5" s="22" t="n">
        <v>5290</v>
      </c>
      <c r="GT5" s="22" t="n">
        <v>5290</v>
      </c>
      <c r="GU5" s="22" t="n">
        <v>5290</v>
      </c>
      <c r="GV5" s="22" t="n">
        <v>5290</v>
      </c>
      <c r="GW5" s="22" t="n">
        <v>5290</v>
      </c>
      <c r="GX5" s="22" t="n">
        <v>5290</v>
      </c>
      <c r="GY5" s="22" t="n">
        <v>5290</v>
      </c>
      <c r="GZ5" s="22" t="n">
        <v>5290</v>
      </c>
      <c r="HA5" s="22" t="n">
        <v>5290</v>
      </c>
      <c r="HB5" s="22" t="n">
        <v>5290</v>
      </c>
      <c r="HC5" s="22" t="n">
        <v>5290</v>
      </c>
      <c r="HD5" s="22" t="n">
        <v>5290</v>
      </c>
      <c r="HE5" s="22" t="n">
        <v>5290</v>
      </c>
      <c r="HF5" s="22" t="n">
        <v>5290</v>
      </c>
      <c r="HG5" s="22" t="n">
        <v>5290</v>
      </c>
      <c r="HH5" s="22" t="n">
        <v>5290</v>
      </c>
      <c r="HI5" s="22" t="n">
        <v>5290</v>
      </c>
      <c r="HJ5" s="22" t="n">
        <v>5290</v>
      </c>
      <c r="HK5" s="22" t="n">
        <v>5290</v>
      </c>
      <c r="HL5" s="22" t="n">
        <v>5290</v>
      </c>
      <c r="HM5" s="22" t="n">
        <v>5290</v>
      </c>
      <c r="HN5" s="126" t="n"/>
      <c r="HO5" s="22" t="n">
        <v>5290</v>
      </c>
      <c r="HP5" s="22" t="n">
        <v>5290</v>
      </c>
      <c r="HQ5" s="22" t="n">
        <v>5290</v>
      </c>
      <c r="HR5" s="22" t="n">
        <v>5290</v>
      </c>
      <c r="HS5" s="22" t="n">
        <v>5290</v>
      </c>
      <c r="HT5" s="22" t="n">
        <v>5290</v>
      </c>
      <c r="HU5" s="22" t="n">
        <v>5290</v>
      </c>
      <c r="HV5" s="22" t="n">
        <v>5290</v>
      </c>
      <c r="HW5" s="22" t="n">
        <v>5290</v>
      </c>
      <c r="HX5" s="22" t="n">
        <v>5290</v>
      </c>
      <c r="HY5" s="22" t="n">
        <v>5290</v>
      </c>
      <c r="HZ5" s="22" t="n">
        <v>5350</v>
      </c>
      <c r="IA5" s="22" t="n">
        <v>5350</v>
      </c>
      <c r="IB5" s="22" t="n">
        <v>5350</v>
      </c>
      <c r="IC5" s="22" t="n">
        <v>5350</v>
      </c>
      <c r="ID5" s="22" t="n">
        <v>5350</v>
      </c>
      <c r="IE5" s="22" t="n">
        <v>5350</v>
      </c>
      <c r="IF5" s="22" t="n">
        <v>5350</v>
      </c>
      <c r="IG5" s="22" t="n">
        <v>5350</v>
      </c>
      <c r="IH5" s="22" t="n">
        <v>5350</v>
      </c>
      <c r="II5" s="22" t="n">
        <v>5350</v>
      </c>
      <c r="IJ5" s="22" t="n">
        <v>5350</v>
      </c>
      <c r="IK5" s="22" t="n">
        <v>5350</v>
      </c>
      <c r="IL5" s="22" t="n">
        <v>5350</v>
      </c>
      <c r="IM5" s="22" t="n">
        <v>5350</v>
      </c>
      <c r="IN5" s="22" t="n">
        <v>5350</v>
      </c>
      <c r="IO5" s="22" t="n">
        <v>5350</v>
      </c>
      <c r="IP5" s="22" t="n">
        <v>5350</v>
      </c>
      <c r="IQ5" s="22" t="n">
        <v>5350</v>
      </c>
      <c r="IR5" s="22" t="n">
        <v>5350</v>
      </c>
      <c r="IS5" s="22" t="n">
        <v>5350</v>
      </c>
      <c r="IT5" s="126" t="n"/>
      <c r="IU5" s="22" t="n">
        <v>5350</v>
      </c>
      <c r="IV5" s="22" t="n">
        <v>5350</v>
      </c>
      <c r="IW5" s="22" t="n">
        <v>5350</v>
      </c>
      <c r="IX5" s="22" t="n">
        <v>5350</v>
      </c>
      <c r="IY5" s="22" t="n">
        <v>5350</v>
      </c>
      <c r="IZ5" s="22" t="n">
        <v>5350</v>
      </c>
      <c r="JA5" s="22" t="n">
        <v>5350</v>
      </c>
      <c r="JB5" s="22" t="n">
        <v>5350</v>
      </c>
      <c r="JC5" s="22" t="n">
        <v>5350</v>
      </c>
      <c r="JD5" s="22" t="n">
        <v>5350</v>
      </c>
      <c r="JE5" s="22" t="n">
        <v>5350</v>
      </c>
      <c r="JF5" s="22" t="n">
        <v>5350</v>
      </c>
      <c r="JG5" s="22" t="n">
        <v>5350</v>
      </c>
      <c r="JH5" s="22" t="n">
        <v>5350</v>
      </c>
      <c r="JI5" s="22" t="n">
        <v>5350</v>
      </c>
      <c r="JJ5" s="22" t="n">
        <v>5350</v>
      </c>
      <c r="JK5" s="22" t="n">
        <v>5350</v>
      </c>
      <c r="JL5" s="22" t="n">
        <v>5350</v>
      </c>
      <c r="JM5" s="22" t="n">
        <v>5350</v>
      </c>
      <c r="JN5" s="22" t="n">
        <v>5350</v>
      </c>
      <c r="JO5" s="22" t="n">
        <v>5350</v>
      </c>
      <c r="JP5" s="22" t="n">
        <v>5350</v>
      </c>
      <c r="JQ5" s="22" t="n">
        <v>5350</v>
      </c>
      <c r="JR5" s="22" t="n">
        <v>5350</v>
      </c>
      <c r="JS5" s="22" t="n">
        <v>5350</v>
      </c>
      <c r="JT5" s="22" t="n">
        <v>5350</v>
      </c>
      <c r="JU5" s="22" t="n">
        <v>5350</v>
      </c>
      <c r="JV5" s="22" t="n">
        <v>5350</v>
      </c>
      <c r="JW5" s="22" t="n">
        <v>5350</v>
      </c>
      <c r="JX5" s="22" t="n">
        <v>5350</v>
      </c>
      <c r="JY5" s="127" t="n">
        <v>5350</v>
      </c>
      <c r="JZ5" s="22" t="n">
        <v>5350</v>
      </c>
      <c r="KA5" s="22" t="n">
        <v>5350</v>
      </c>
      <c r="KB5" s="22" t="n">
        <v>5350</v>
      </c>
      <c r="KC5" s="22" t="n">
        <v>5350</v>
      </c>
      <c r="KD5" s="22" t="n">
        <v>5350</v>
      </c>
      <c r="KE5" s="22" t="n">
        <v>5350</v>
      </c>
      <c r="KF5" s="22" t="n">
        <v>5350</v>
      </c>
      <c r="KG5" s="22" t="n">
        <v>5350</v>
      </c>
      <c r="KH5" s="22" t="n">
        <v>5350</v>
      </c>
      <c r="KI5" s="22" t="n">
        <v>5350</v>
      </c>
      <c r="KJ5" s="22" t="n">
        <v>5350</v>
      </c>
      <c r="KK5" s="22" t="n">
        <v>5350</v>
      </c>
      <c r="KL5" s="22" t="n">
        <v>5350</v>
      </c>
      <c r="KM5" s="22" t="n">
        <v>5350</v>
      </c>
      <c r="KN5" s="22" t="n">
        <v>5350</v>
      </c>
      <c r="KO5" s="22" t="n">
        <v>5350</v>
      </c>
      <c r="KP5" s="22" t="n">
        <v>5350</v>
      </c>
      <c r="KQ5" s="22" t="n">
        <v>5350</v>
      </c>
      <c r="KR5" s="22" t="n">
        <v>5350</v>
      </c>
      <c r="KS5" s="22" t="n">
        <v>5350</v>
      </c>
      <c r="KT5" s="22" t="n">
        <v>5350</v>
      </c>
      <c r="KU5" s="22" t="n">
        <v>5350</v>
      </c>
      <c r="KV5" s="22" t="n">
        <v>5350</v>
      </c>
      <c r="KW5" s="22" t="n">
        <v>5350</v>
      </c>
      <c r="KX5" s="22" t="n">
        <v>5350</v>
      </c>
      <c r="KY5" s="22" t="n">
        <v>5350</v>
      </c>
      <c r="KZ5" s="22" t="n">
        <v>5350</v>
      </c>
      <c r="LA5" s="22" t="n">
        <v>5350</v>
      </c>
      <c r="LB5" s="22" t="n">
        <v>5350</v>
      </c>
      <c r="LC5" s="22" t="n">
        <v>5350</v>
      </c>
      <c r="LD5" s="22" t="n">
        <v>5290</v>
      </c>
      <c r="LE5" s="127" t="n">
        <v>5350</v>
      </c>
      <c r="LF5" s="22" t="n">
        <v>5290</v>
      </c>
      <c r="LG5" s="22" t="n">
        <v>5290</v>
      </c>
      <c r="LH5" s="22" t="n">
        <v>5290</v>
      </c>
      <c r="LI5" s="22" t="n">
        <v>5290</v>
      </c>
      <c r="LJ5" s="22" t="n">
        <v>5290</v>
      </c>
      <c r="LK5" s="22" t="n">
        <v>5290</v>
      </c>
      <c r="LL5" s="22" t="n">
        <v>5290</v>
      </c>
      <c r="LM5" s="22" t="n">
        <v>5290</v>
      </c>
      <c r="LN5" s="22" t="n">
        <v>5290</v>
      </c>
      <c r="LO5" s="22" t="n">
        <v>5290</v>
      </c>
      <c r="LP5" s="22" t="n">
        <v>5290</v>
      </c>
      <c r="LQ5" s="22" t="n">
        <v>5290</v>
      </c>
      <c r="LR5" s="22" t="n">
        <v>5290</v>
      </c>
      <c r="LS5" s="22" t="n">
        <v>5290</v>
      </c>
      <c r="LT5" s="22" t="n">
        <v>5290</v>
      </c>
      <c r="LU5" s="22" t="n">
        <v>5290</v>
      </c>
      <c r="LV5" s="22" t="n">
        <v>5290</v>
      </c>
      <c r="LW5" s="22" t="n">
        <v>5290</v>
      </c>
      <c r="LX5" s="22" t="n">
        <v>5290</v>
      </c>
      <c r="LY5" s="22" t="n">
        <v>5290</v>
      </c>
      <c r="LZ5" s="22" t="n">
        <v>5290</v>
      </c>
      <c r="MA5" s="22" t="n">
        <v>5290</v>
      </c>
      <c r="MB5" s="22" t="n">
        <v>5290</v>
      </c>
      <c r="MC5" s="22" t="n">
        <v>5290</v>
      </c>
      <c r="MD5" s="22" t="n">
        <v>5290</v>
      </c>
      <c r="ME5" s="22" t="n">
        <v>5290</v>
      </c>
      <c r="MF5" s="22" t="n">
        <v>5290</v>
      </c>
      <c r="MG5" s="22" t="n">
        <v>5290</v>
      </c>
      <c r="MH5" s="22" t="n">
        <v>5290</v>
      </c>
      <c r="MI5" s="22" t="n">
        <v>5290</v>
      </c>
      <c r="MJ5" s="127" t="n">
        <v>5350</v>
      </c>
      <c r="MK5" s="22" t="n">
        <v>5290</v>
      </c>
      <c r="ML5" s="22" t="n">
        <v>5290</v>
      </c>
      <c r="MM5" s="22" t="n">
        <v>5290</v>
      </c>
      <c r="MN5" s="22" t="n">
        <v>5290</v>
      </c>
      <c r="MO5" s="22" t="n">
        <v>5290</v>
      </c>
      <c r="MP5" s="22" t="n">
        <v>5290</v>
      </c>
      <c r="MQ5" s="22" t="n">
        <v>5290</v>
      </c>
      <c r="MR5" s="22" t="n">
        <v>5290</v>
      </c>
      <c r="MS5" s="22" t="n">
        <v>5290</v>
      </c>
      <c r="MT5" s="22" t="n">
        <v>5290</v>
      </c>
      <c r="MU5" s="22" t="n">
        <v>5290</v>
      </c>
      <c r="MV5" s="22" t="n">
        <v>5290</v>
      </c>
      <c r="MW5" s="22" t="n">
        <v>5290</v>
      </c>
      <c r="MX5" s="22" t="n">
        <v>5290</v>
      </c>
      <c r="MY5" s="22" t="n">
        <v>5290</v>
      </c>
      <c r="MZ5" s="22" t="n">
        <v>5290</v>
      </c>
      <c r="NA5" s="22" t="n">
        <v>5290</v>
      </c>
      <c r="NB5" s="22" t="n">
        <v>5290</v>
      </c>
      <c r="NC5" s="22" t="n">
        <v>5290</v>
      </c>
      <c r="ND5" s="22" t="n">
        <v>5290</v>
      </c>
      <c r="NE5" s="22" t="n">
        <v>5290</v>
      </c>
      <c r="NF5" s="22" t="n">
        <v>5290</v>
      </c>
      <c r="NG5" s="22" t="n">
        <v>5200</v>
      </c>
      <c r="NH5" s="22" t="n">
        <v>5200</v>
      </c>
      <c r="NI5" s="22" t="n">
        <v>5200</v>
      </c>
      <c r="NJ5" s="22" t="n">
        <v>5200</v>
      </c>
      <c r="NK5" s="22" t="n">
        <v>5200</v>
      </c>
      <c r="NL5" s="22" t="n">
        <v>5200</v>
      </c>
      <c r="NM5" s="22" t="n">
        <v>5200</v>
      </c>
      <c r="NN5" s="22" t="n">
        <v>5200</v>
      </c>
      <c r="NO5" s="22" t="n">
        <v>5200</v>
      </c>
      <c r="NP5" s="127" t="n">
        <v>5350</v>
      </c>
      <c r="NQ5" s="22" t="n">
        <v>5200</v>
      </c>
      <c r="NR5" s="22" t="n">
        <v>5200</v>
      </c>
      <c r="NS5" s="22" t="n">
        <v>5200</v>
      </c>
      <c r="NT5" s="22" t="n">
        <v>5150</v>
      </c>
      <c r="NU5" s="22" t="n">
        <v>5150</v>
      </c>
      <c r="NV5" s="22" t="n">
        <v>5150</v>
      </c>
      <c r="NW5" s="22" t="n">
        <v>5150</v>
      </c>
      <c r="NX5" s="22" t="n">
        <v>5150</v>
      </c>
      <c r="NY5" s="22" t="n">
        <v>5150</v>
      </c>
      <c r="NZ5" s="22" t="n">
        <v>5150</v>
      </c>
      <c r="OA5" s="22" t="n">
        <v>5150</v>
      </c>
      <c r="OB5" s="22" t="n">
        <v>5150</v>
      </c>
      <c r="OC5" s="22" t="n">
        <v>5150</v>
      </c>
      <c r="OD5" s="22" t="n">
        <v>5150</v>
      </c>
      <c r="OE5" s="22" t="n">
        <v>5150</v>
      </c>
      <c r="OF5" s="22" t="n">
        <v>5150</v>
      </c>
      <c r="OG5" s="22" t="n">
        <v>5150</v>
      </c>
      <c r="OH5" s="22" t="n">
        <v>5150</v>
      </c>
      <c r="OI5" s="22" t="n">
        <v>5150</v>
      </c>
      <c r="OJ5" s="22" t="n">
        <v>5150</v>
      </c>
      <c r="OK5" s="22" t="n">
        <v>5190</v>
      </c>
      <c r="OL5" s="22" t="n">
        <v>5190</v>
      </c>
      <c r="OM5" s="22" t="n">
        <v>5190</v>
      </c>
      <c r="ON5" s="22" t="n">
        <v>5190</v>
      </c>
      <c r="OO5" s="22" t="n">
        <v>5190</v>
      </c>
      <c r="OP5" s="22" t="n">
        <v>5190</v>
      </c>
      <c r="OQ5" s="22" t="n">
        <v>5190</v>
      </c>
      <c r="OR5" s="22" t="n">
        <v>5190</v>
      </c>
      <c r="OS5" s="22" t="n">
        <v>5190</v>
      </c>
      <c r="OT5" s="22" t="n">
        <v>5190</v>
      </c>
      <c r="OU5" s="22" t="n">
        <v>5190</v>
      </c>
      <c r="OV5" s="127" t="n">
        <v>5350</v>
      </c>
      <c r="OW5" s="22" t="n">
        <v>5190</v>
      </c>
      <c r="OX5" s="22" t="n">
        <v>5190</v>
      </c>
      <c r="OY5" s="22" t="n">
        <v>5190</v>
      </c>
      <c r="OZ5" s="22" t="n">
        <v>5190</v>
      </c>
      <c r="PA5" s="22" t="n">
        <v>5190</v>
      </c>
      <c r="PB5" s="22" t="n">
        <v>5190</v>
      </c>
      <c r="PC5" s="22" t="n">
        <v>5190</v>
      </c>
      <c r="PD5" s="22" t="n">
        <v>5190</v>
      </c>
      <c r="PE5" s="22" t="n">
        <v>5190</v>
      </c>
      <c r="PF5" s="22" t="n">
        <v>5190</v>
      </c>
      <c r="PG5" s="22" t="n">
        <v>5190</v>
      </c>
      <c r="PH5" s="22" t="n">
        <v>5190</v>
      </c>
      <c r="PI5" s="22" t="n">
        <v>5190</v>
      </c>
      <c r="PJ5" s="22" t="n">
        <v>5190</v>
      </c>
      <c r="PK5" s="22" t="n">
        <v>5190</v>
      </c>
      <c r="PL5" s="22" t="n">
        <v>5190</v>
      </c>
      <c r="PM5" s="22" t="n">
        <v>5190</v>
      </c>
      <c r="PN5" s="22" t="n">
        <v>5190</v>
      </c>
      <c r="PO5" s="22" t="n">
        <v>5190</v>
      </c>
      <c r="PP5" s="22" t="n">
        <v>5190</v>
      </c>
      <c r="PQ5" s="22" t="n">
        <v>5190</v>
      </c>
      <c r="PR5" s="22" t="n">
        <v>5190</v>
      </c>
      <c r="PS5" s="22" t="n">
        <v>5190</v>
      </c>
      <c r="PT5" s="22" t="n">
        <v>5190</v>
      </c>
      <c r="PU5" s="22" t="n">
        <v>5190</v>
      </c>
      <c r="PV5" s="22" t="n">
        <v>5190</v>
      </c>
      <c r="PW5" s="22" t="n">
        <v>5190</v>
      </c>
      <c r="PX5" s="22" t="n">
        <v>5190</v>
      </c>
      <c r="PY5" s="22" t="n">
        <v>5190</v>
      </c>
      <c r="PZ5" s="22" t="n">
        <v>5190</v>
      </c>
      <c r="QA5" s="127" t="n">
        <v>5350</v>
      </c>
      <c r="QB5" s="22" t="n">
        <v>5190</v>
      </c>
      <c r="QC5" s="22" t="n">
        <v>5190</v>
      </c>
      <c r="QD5" s="22" t="n">
        <v>5000</v>
      </c>
      <c r="QE5" s="22" t="n">
        <v>5000</v>
      </c>
      <c r="QF5" s="22" t="n">
        <v>5000</v>
      </c>
      <c r="QG5" s="22" t="n">
        <v>5000</v>
      </c>
      <c r="QH5" s="22" t="n">
        <v>5000</v>
      </c>
      <c r="QI5" s="22" t="n">
        <v>5000</v>
      </c>
      <c r="QJ5" s="22" t="n">
        <v>5000</v>
      </c>
      <c r="QK5" s="22" t="n">
        <v>5000</v>
      </c>
      <c r="QL5" s="22" t="n">
        <v>5000</v>
      </c>
      <c r="QM5" s="22" t="n">
        <v>5000</v>
      </c>
      <c r="QN5" s="22" t="n">
        <v>5000</v>
      </c>
      <c r="QO5" s="22" t="n">
        <v>5000</v>
      </c>
      <c r="QP5" s="22" t="n">
        <v>5000</v>
      </c>
      <c r="QQ5" s="22" t="n">
        <v>5000</v>
      </c>
      <c r="QR5" s="22" t="n">
        <v>5000</v>
      </c>
      <c r="QS5" s="22" t="n">
        <v>5000</v>
      </c>
      <c r="QT5" s="22" t="n">
        <v>5000</v>
      </c>
      <c r="QU5" s="22" t="n">
        <v>5000</v>
      </c>
      <c r="QV5" s="22" t="n">
        <v>5000</v>
      </c>
      <c r="QW5" s="22" t="n">
        <v>5000</v>
      </c>
      <c r="QX5" s="22" t="n">
        <v>5000</v>
      </c>
      <c r="QY5" s="22" t="n">
        <v>5000</v>
      </c>
      <c r="QZ5" s="22" t="n">
        <v>5000</v>
      </c>
      <c r="RA5" s="22" t="n">
        <v>5000</v>
      </c>
      <c r="RB5" s="22" t="n">
        <v>5000</v>
      </c>
      <c r="RC5" s="22" t="n">
        <v>5000</v>
      </c>
      <c r="RD5" s="22" t="n">
        <v>5000</v>
      </c>
      <c r="RE5" s="22" t="n">
        <v>4989</v>
      </c>
      <c r="RF5" s="22" t="n">
        <v>4989</v>
      </c>
      <c r="RG5" s="127" t="n">
        <v>4989</v>
      </c>
      <c r="RH5" s="22" t="n">
        <v>4989</v>
      </c>
      <c r="RI5" s="22" t="n">
        <v>4989</v>
      </c>
      <c r="RJ5" s="22" t="n">
        <v>4989</v>
      </c>
      <c r="RK5" s="22" t="n">
        <v>4989</v>
      </c>
      <c r="RL5" s="22" t="n">
        <v>4989</v>
      </c>
      <c r="RM5" s="22" t="n">
        <v>4989</v>
      </c>
      <c r="RN5" s="22" t="n">
        <v>4989</v>
      </c>
      <c r="RO5" s="22" t="n">
        <v>4989</v>
      </c>
      <c r="RP5" s="22" t="n">
        <v>4989</v>
      </c>
      <c r="RQ5" s="22" t="n">
        <v>4989</v>
      </c>
      <c r="RR5" s="22" t="n">
        <v>4989</v>
      </c>
      <c r="RS5" s="22" t="n">
        <v>4989</v>
      </c>
      <c r="RT5" s="22" t="n">
        <v>4989</v>
      </c>
      <c r="RU5" s="22" t="n">
        <v>4989</v>
      </c>
      <c r="RV5" s="22" t="n">
        <v>4989</v>
      </c>
      <c r="RW5" s="22" t="n">
        <v>4989</v>
      </c>
      <c r="RX5" s="22" t="n">
        <v>4989</v>
      </c>
      <c r="RY5" s="22" t="n">
        <v>4890</v>
      </c>
      <c r="RZ5" s="22" t="n">
        <v>4890</v>
      </c>
      <c r="SA5" s="22" t="n">
        <v>4890</v>
      </c>
      <c r="SB5" s="22" t="n">
        <v>4890</v>
      </c>
      <c r="SC5" s="22" t="n">
        <v>4890</v>
      </c>
      <c r="SD5" s="22" t="n">
        <v>4890</v>
      </c>
      <c r="SE5" s="22" t="n">
        <v>4890</v>
      </c>
      <c r="SF5" s="22" t="n">
        <v>4890</v>
      </c>
      <c r="SG5" s="22" t="n">
        <v>4890</v>
      </c>
      <c r="SH5" s="22" t="n">
        <v>4890</v>
      </c>
      <c r="SI5" s="22" t="n">
        <v>4890</v>
      </c>
      <c r="SJ5" s="22" t="n">
        <v>4890</v>
      </c>
      <c r="SK5" s="22" t="n">
        <v>4890</v>
      </c>
      <c r="SL5" s="127" t="n">
        <v>4890</v>
      </c>
      <c r="SM5" s="22" t="n">
        <v>4890</v>
      </c>
      <c r="SN5" s="22" t="n">
        <v>4890</v>
      </c>
      <c r="SO5" s="22" t="n">
        <v>4890</v>
      </c>
      <c r="SP5" s="22" t="n">
        <v>4890</v>
      </c>
      <c r="SQ5" s="22" t="n">
        <v>4890</v>
      </c>
      <c r="SR5" s="22" t="n">
        <v>4890</v>
      </c>
      <c r="SS5" s="22" t="n">
        <v>4890</v>
      </c>
      <c r="ST5" s="22" t="n">
        <v>4890</v>
      </c>
      <c r="SU5" s="22" t="n">
        <v>4890</v>
      </c>
      <c r="SV5" s="22" t="n">
        <v>4890</v>
      </c>
      <c r="SW5" s="22" t="n">
        <v>4890</v>
      </c>
      <c r="SX5" s="22" t="n">
        <v>4890</v>
      </c>
      <c r="SY5" s="22" t="n">
        <v>4890</v>
      </c>
      <c r="SZ5" s="22" t="n">
        <v>4890</v>
      </c>
      <c r="TA5" s="22" t="n">
        <v>4890</v>
      </c>
      <c r="TB5" s="22" t="n">
        <v>4890</v>
      </c>
      <c r="TC5" s="22" t="n">
        <v>4890</v>
      </c>
      <c r="TD5" s="22" t="n">
        <v>4890</v>
      </c>
      <c r="TE5" s="22" t="n">
        <v>4890</v>
      </c>
      <c r="TF5" s="22" t="n">
        <v>4890</v>
      </c>
      <c r="TG5" s="22" t="n">
        <v>4890</v>
      </c>
      <c r="TH5" s="22" t="n">
        <v>4890</v>
      </c>
      <c r="TI5" s="22" t="n">
        <v>4890</v>
      </c>
      <c r="TJ5" s="22" t="n">
        <v>4890</v>
      </c>
      <c r="TK5" s="22" t="n">
        <v>4890</v>
      </c>
      <c r="TL5" s="22" t="n">
        <v>4890</v>
      </c>
      <c r="TM5" s="22" t="n">
        <v>4890</v>
      </c>
      <c r="TN5" s="22" t="n">
        <v>4890</v>
      </c>
      <c r="TO5" s="22" t="n">
        <v>4890</v>
      </c>
      <c r="TP5" s="22" t="n">
        <v>4890</v>
      </c>
      <c r="TQ5" s="22" t="n">
        <v>4890</v>
      </c>
      <c r="TR5" s="127" t="n">
        <v>4890</v>
      </c>
      <c r="TS5" s="22" t="n">
        <v>4890</v>
      </c>
      <c r="TT5" s="22" t="n">
        <v>4890</v>
      </c>
      <c r="TU5" s="22" t="n">
        <v>4890</v>
      </c>
      <c r="TV5" s="22" t="n">
        <v>4890</v>
      </c>
      <c r="TW5" s="22" t="n">
        <v>4890</v>
      </c>
      <c r="TX5" s="22" t="n">
        <v>4890</v>
      </c>
      <c r="TY5" s="22" t="n">
        <v>4890</v>
      </c>
      <c r="TZ5" s="22" t="n">
        <v>4890</v>
      </c>
      <c r="UA5" s="22" t="n">
        <v>4890</v>
      </c>
      <c r="UB5" s="22" t="n">
        <v>4890</v>
      </c>
      <c r="UC5" s="22" t="n">
        <v>4890</v>
      </c>
      <c r="UD5" s="22" t="n">
        <v>4890</v>
      </c>
      <c r="UE5" s="22" t="n">
        <v>4890</v>
      </c>
      <c r="UF5" s="22" t="n">
        <v>4890</v>
      </c>
      <c r="UG5" s="22" t="n">
        <v>4890</v>
      </c>
      <c r="UH5" s="22" t="n">
        <v>4890</v>
      </c>
      <c r="UI5" s="22" t="n">
        <v>4890</v>
      </c>
      <c r="UJ5" s="22" t="n">
        <v>4890</v>
      </c>
      <c r="UK5" s="22" t="n">
        <v>4890</v>
      </c>
      <c r="UL5" s="22" t="n">
        <v>4890</v>
      </c>
      <c r="UM5" s="22" t="n">
        <v>4890</v>
      </c>
      <c r="UN5" s="22" t="n">
        <v>4890</v>
      </c>
      <c r="UO5" s="22" t="n">
        <v>4890</v>
      </c>
      <c r="UP5" s="22" t="n">
        <v>4890</v>
      </c>
      <c r="UQ5" s="22" t="n">
        <v>4890</v>
      </c>
      <c r="UR5" s="22" t="n">
        <v>4890</v>
      </c>
      <c r="US5" s="22" t="n">
        <v>4890</v>
      </c>
      <c r="UT5" s="22" t="n">
        <v>4890</v>
      </c>
      <c r="UU5" s="22" t="n">
        <v>4890</v>
      </c>
      <c r="UV5" s="22" t="n">
        <v>4890</v>
      </c>
      <c r="UW5" s="22" t="n">
        <v>4890</v>
      </c>
      <c r="UX5" s="127" t="n">
        <v>4890</v>
      </c>
      <c r="UY5" s="22" t="n">
        <v>4890</v>
      </c>
      <c r="UZ5" s="22" t="n">
        <v>4890</v>
      </c>
      <c r="VA5" s="22" t="n">
        <v>4890</v>
      </c>
      <c r="VB5" s="22" t="n">
        <v>4890</v>
      </c>
      <c r="VC5" s="22" t="n">
        <v>4890</v>
      </c>
      <c r="VD5" s="22" t="n">
        <v>4890</v>
      </c>
      <c r="VE5" s="22" t="n">
        <v>4899</v>
      </c>
      <c r="VF5" s="22" t="n">
        <v>4899</v>
      </c>
      <c r="VG5" s="22" t="n">
        <v>4899</v>
      </c>
      <c r="VH5" s="22" t="n">
        <v>4899</v>
      </c>
      <c r="VI5" s="22" t="n">
        <v>4899</v>
      </c>
      <c r="VJ5" s="22" t="n">
        <v>4899</v>
      </c>
      <c r="VK5" s="22" t="n">
        <v>4899</v>
      </c>
      <c r="VL5" s="22" t="n">
        <v>4899</v>
      </c>
      <c r="VM5" s="22" t="n">
        <v>4899</v>
      </c>
      <c r="VN5" s="22" t="n">
        <v>4899</v>
      </c>
      <c r="VO5" s="22" t="n">
        <v>4899</v>
      </c>
      <c r="VP5" s="22" t="n">
        <v>4899</v>
      </c>
      <c r="VQ5" s="22" t="n">
        <v>4899</v>
      </c>
      <c r="VR5" s="22" t="n">
        <v>4899</v>
      </c>
      <c r="VS5" s="22" t="n">
        <v>4899</v>
      </c>
      <c r="VT5" s="22" t="n">
        <v>4899</v>
      </c>
      <c r="VU5" s="22" t="n">
        <v>4899</v>
      </c>
      <c r="VV5" s="22" t="n">
        <v>4899</v>
      </c>
      <c r="VW5" s="22" t="n">
        <v>4899</v>
      </c>
      <c r="VX5" s="22" t="n">
        <v>4899</v>
      </c>
      <c r="VY5" s="22" t="n">
        <v>4899</v>
      </c>
      <c r="VZ5" s="22" t="n">
        <v>4899</v>
      </c>
      <c r="WA5" s="127" t="n">
        <v>4899</v>
      </c>
      <c r="WB5" s="22" t="n">
        <v>4899</v>
      </c>
      <c r="WC5" s="22" t="n">
        <v>4899</v>
      </c>
      <c r="WD5" s="22" t="n">
        <v>4899</v>
      </c>
      <c r="WE5" s="22" t="n">
        <v>4899</v>
      </c>
      <c r="WF5" s="22" t="n">
        <v>4899</v>
      </c>
      <c r="WG5" s="22" t="n">
        <v>4899</v>
      </c>
      <c r="WH5" s="22" t="n">
        <v>4899</v>
      </c>
      <c r="WI5" s="22" t="n">
        <v>4899</v>
      </c>
      <c r="WJ5" s="22" t="n">
        <v>4899</v>
      </c>
      <c r="WK5" s="22" t="n">
        <v>4899</v>
      </c>
      <c r="WL5" s="22" t="n">
        <v>4899</v>
      </c>
      <c r="WM5" s="22" t="n">
        <v>4899</v>
      </c>
      <c r="WN5" s="22" t="n">
        <v>4899</v>
      </c>
      <c r="WO5" s="22" t="n">
        <v>4899</v>
      </c>
      <c r="WP5" s="22" t="n">
        <v>4899</v>
      </c>
      <c r="WQ5" s="22" t="n">
        <v>4899</v>
      </c>
      <c r="WR5" s="22" t="n">
        <v>4899</v>
      </c>
      <c r="WS5" s="22" t="n">
        <v>4899</v>
      </c>
      <c r="WT5" s="22" t="n">
        <v>4899</v>
      </c>
      <c r="WU5" s="22" t="n">
        <v>4899</v>
      </c>
      <c r="WV5" s="22" t="n">
        <v>4899</v>
      </c>
      <c r="WW5" s="22" t="n">
        <v>4899</v>
      </c>
      <c r="WX5" s="22" t="n">
        <v>4899</v>
      </c>
      <c r="WY5" s="22" t="n">
        <v>4899</v>
      </c>
      <c r="WZ5" s="22" t="n">
        <v>4899</v>
      </c>
      <c r="XA5" s="22" t="n">
        <v>4899</v>
      </c>
      <c r="XB5" s="22" t="n">
        <v>4899</v>
      </c>
      <c r="XC5" s="22" t="n">
        <v>4899</v>
      </c>
      <c r="XD5" s="22" t="n">
        <v>4899</v>
      </c>
      <c r="XE5" s="22" t="n">
        <v>4899</v>
      </c>
      <c r="XF5" s="22" t="n">
        <v>4899</v>
      </c>
      <c r="XG5" s="127" t="n">
        <v>4899</v>
      </c>
      <c r="XH5" s="22" t="n">
        <v>4899</v>
      </c>
      <c r="XI5" s="22" t="n">
        <v>4899</v>
      </c>
      <c r="XJ5" s="22" t="n">
        <v>4885</v>
      </c>
      <c r="XK5" s="22" t="n">
        <v>4885</v>
      </c>
      <c r="XL5" s="22" t="n">
        <v>4885</v>
      </c>
      <c r="XM5" s="22" t="n">
        <v>4885</v>
      </c>
      <c r="XN5" s="22" t="n">
        <v>4885</v>
      </c>
      <c r="XO5" s="22" t="n">
        <v>4885</v>
      </c>
      <c r="XP5" s="22" t="n">
        <v>4885</v>
      </c>
      <c r="XQ5" s="22" t="n">
        <v>4885</v>
      </c>
      <c r="XR5" s="22" t="n">
        <v>4885</v>
      </c>
      <c r="XS5" s="22" t="n">
        <v>4885</v>
      </c>
      <c r="XT5" s="22" t="n">
        <v>4885</v>
      </c>
      <c r="XU5" s="22" t="n">
        <v>4885</v>
      </c>
      <c r="XV5" s="22" t="n">
        <v>4885</v>
      </c>
      <c r="XW5" s="22" t="n">
        <v>4885</v>
      </c>
      <c r="XX5" s="22" t="n">
        <v>4950</v>
      </c>
      <c r="XY5" s="22" t="n">
        <v>4950</v>
      </c>
      <c r="XZ5" s="22" t="n">
        <v>4950</v>
      </c>
      <c r="YA5" s="22" t="n">
        <v>4950</v>
      </c>
      <c r="YB5" s="22" t="n">
        <v>4950</v>
      </c>
      <c r="YC5" s="22" t="n">
        <v>4950</v>
      </c>
      <c r="YD5" s="22" t="n">
        <v>4950</v>
      </c>
      <c r="YE5" s="22" t="n">
        <v>4950</v>
      </c>
      <c r="YF5" s="22" t="n">
        <v>4950</v>
      </c>
      <c r="YG5" s="22" t="n">
        <v>4950</v>
      </c>
      <c r="YH5" s="22" t="n">
        <v>4950</v>
      </c>
      <c r="YI5" s="22" t="n">
        <v>4950</v>
      </c>
      <c r="YJ5" s="22" t="n">
        <v>4950</v>
      </c>
      <c r="YK5" s="22" t="n">
        <v>4950</v>
      </c>
      <c r="YL5" s="127" t="n">
        <v>4899</v>
      </c>
      <c r="YM5" s="22" t="n">
        <v>4950</v>
      </c>
      <c r="YN5" s="22" t="n">
        <v>4950</v>
      </c>
      <c r="YO5" s="22" t="n">
        <v>4950</v>
      </c>
      <c r="YP5" s="22" t="n">
        <v>4950</v>
      </c>
      <c r="YQ5" s="22" t="n">
        <v>4950</v>
      </c>
      <c r="YR5" s="22" t="n">
        <v>4950</v>
      </c>
      <c r="YS5" s="22" t="n">
        <v>4950</v>
      </c>
      <c r="YT5" s="22" t="n">
        <v>4950</v>
      </c>
      <c r="YU5" s="22" t="n">
        <v>4950</v>
      </c>
      <c r="YV5" s="22" t="n">
        <v>4950</v>
      </c>
      <c r="YW5" s="22" t="n">
        <v>4950</v>
      </c>
      <c r="YX5" s="22" t="n">
        <v>4950</v>
      </c>
      <c r="YY5" s="22" t="n">
        <v>4950</v>
      </c>
      <c r="YZ5" s="22" t="n">
        <v>4950</v>
      </c>
      <c r="ZA5" s="22" t="n">
        <v>4950</v>
      </c>
      <c r="ZB5" s="22" t="n">
        <v>4950</v>
      </c>
      <c r="ZC5" s="22" t="n">
        <v>4950</v>
      </c>
      <c r="ZD5" s="22" t="n">
        <v>4950</v>
      </c>
      <c r="ZE5" s="22" t="n">
        <v>4950</v>
      </c>
      <c r="ZF5" s="22" t="n">
        <v>4950</v>
      </c>
      <c r="ZG5" s="22" t="n">
        <v>4950</v>
      </c>
      <c r="ZH5" s="22" t="n">
        <v>4950</v>
      </c>
      <c r="ZI5" s="22" t="n">
        <v>4950</v>
      </c>
      <c r="ZJ5" s="22" t="n">
        <v>4950</v>
      </c>
      <c r="ZK5" s="22" t="n">
        <v>4950</v>
      </c>
      <c r="ZL5" s="22" t="n">
        <v>4950</v>
      </c>
      <c r="ZM5" s="22" t="n">
        <v>4990</v>
      </c>
      <c r="ZN5" s="22" t="n">
        <v>4990</v>
      </c>
      <c r="ZO5" s="22" t="n">
        <v>4990</v>
      </c>
      <c r="ZP5" s="22" t="n">
        <v>4990</v>
      </c>
      <c r="ZQ5" s="22" t="n">
        <v>4990</v>
      </c>
      <c r="ZR5" s="127" t="n">
        <v>4990</v>
      </c>
      <c r="ZS5" s="22" t="n">
        <v>4990</v>
      </c>
      <c r="ZT5" s="22" t="n">
        <v>4990</v>
      </c>
      <c r="ZU5" s="22" t="n">
        <v>4990</v>
      </c>
      <c r="ZV5" s="22" t="n">
        <v>4990</v>
      </c>
      <c r="ZW5" s="22" t="n">
        <v>4990</v>
      </c>
      <c r="ZX5" s="22" t="n">
        <v>4990</v>
      </c>
      <c r="ZY5" s="22" t="n">
        <v>4990</v>
      </c>
      <c r="ZZ5" s="22" t="n">
        <v>4990</v>
      </c>
      <c r="AAA5" s="22" t="n">
        <v>4990</v>
      </c>
      <c r="AAB5" s="22" t="n">
        <v>4990</v>
      </c>
      <c r="AAC5" s="22" t="n">
        <v>4990</v>
      </c>
      <c r="AAD5" s="22" t="n">
        <v>4990</v>
      </c>
      <c r="AAE5" s="22" t="n">
        <v>4990</v>
      </c>
      <c r="AAF5" s="22" t="n">
        <v>4990</v>
      </c>
      <c r="AAG5" s="22" t="n">
        <v>4990</v>
      </c>
      <c r="AAH5" s="22" t="n">
        <v>4990</v>
      </c>
      <c r="AAI5" s="22" t="n">
        <v>4990</v>
      </c>
      <c r="AAJ5" s="22" t="n">
        <v>4990</v>
      </c>
      <c r="AAK5" s="22" t="n">
        <v>4990</v>
      </c>
      <c r="AAL5" s="22" t="n">
        <v>4990</v>
      </c>
      <c r="AAM5" s="22" t="n">
        <v>4990</v>
      </c>
      <c r="AAN5" s="22" t="n">
        <v>4990</v>
      </c>
      <c r="AAO5" s="22" t="n">
        <v>4990</v>
      </c>
      <c r="AAP5" s="22" t="n">
        <v>4990</v>
      </c>
      <c r="AAQ5" s="22" t="n">
        <v>4990</v>
      </c>
      <c r="AAR5" s="22" t="n">
        <v>4990</v>
      </c>
      <c r="AAS5" s="22" t="n">
        <v>4990</v>
      </c>
      <c r="AAT5" s="22" t="n">
        <v>4990</v>
      </c>
      <c r="AAU5" s="22" t="n">
        <v>4990</v>
      </c>
      <c r="AAV5" s="22" t="n">
        <v>4990</v>
      </c>
      <c r="AAW5" s="127" t="n">
        <v>4990</v>
      </c>
      <c r="AAX5" s="22" t="n">
        <v>4990</v>
      </c>
      <c r="AAY5" s="22" t="n">
        <v>4990</v>
      </c>
      <c r="AAZ5" s="22" t="n">
        <v>4990</v>
      </c>
      <c r="ABA5" s="22" t="n">
        <v>4990</v>
      </c>
      <c r="ABB5" s="22" t="n">
        <v>4990</v>
      </c>
      <c r="ABC5" s="22" t="n">
        <v>4990</v>
      </c>
      <c r="ABD5" s="22" t="n">
        <v>4990</v>
      </c>
      <c r="ABE5" s="22" t="n">
        <v>4990</v>
      </c>
      <c r="ABF5" s="22" t="n">
        <v>4990</v>
      </c>
      <c r="ABG5" s="22" t="n">
        <v>4990</v>
      </c>
      <c r="ABH5" s="22" t="n">
        <v>4990</v>
      </c>
      <c r="ABI5" s="22" t="n">
        <v>4990</v>
      </c>
      <c r="ABJ5" s="22" t="n">
        <v>4990</v>
      </c>
      <c r="ABK5" s="22" t="n">
        <v>4990</v>
      </c>
      <c r="ABL5" s="22" t="n">
        <v>4990</v>
      </c>
      <c r="ABM5" s="22" t="n">
        <v>4990</v>
      </c>
      <c r="ABN5" s="22" t="n">
        <v>4990</v>
      </c>
      <c r="ABO5" s="22" t="n">
        <v>4990</v>
      </c>
      <c r="ABP5" s="22" t="n">
        <v>4990</v>
      </c>
      <c r="ABQ5" s="22" t="n">
        <v>4990</v>
      </c>
      <c r="ABR5" s="22" t="n">
        <v>4990</v>
      </c>
      <c r="ABS5" s="22" t="n">
        <v>4990</v>
      </c>
      <c r="ABT5" s="22" t="n">
        <v>4990</v>
      </c>
      <c r="ABU5" s="22" t="n">
        <v>4990</v>
      </c>
      <c r="ABV5" s="22" t="n">
        <v>4990</v>
      </c>
      <c r="ABW5" s="22" t="n">
        <v>4990</v>
      </c>
      <c r="ABX5" s="22" t="n">
        <v>4990</v>
      </c>
      <c r="ABY5" s="22" t="n">
        <v>4990</v>
      </c>
      <c r="ABZ5" s="22" t="n">
        <v>4990</v>
      </c>
      <c r="ACA5" s="22" t="n">
        <v>4990</v>
      </c>
      <c r="ACB5" s="22" t="n">
        <v>4990</v>
      </c>
      <c r="ACC5" s="127" t="n">
        <v>4990</v>
      </c>
      <c r="ACD5" s="22" t="n">
        <v>4990</v>
      </c>
      <c r="ACE5" s="22" t="n">
        <v>4990</v>
      </c>
      <c r="ACF5" s="22" t="n">
        <v>4990</v>
      </c>
      <c r="ACG5" s="22" t="n">
        <v>4990</v>
      </c>
      <c r="ACH5" s="22" t="n">
        <v>4990</v>
      </c>
      <c r="ACI5" s="22" t="n">
        <v>4990</v>
      </c>
      <c r="ACJ5" s="22" t="n">
        <v>5019</v>
      </c>
      <c r="ACK5" s="22" t="n">
        <v>5019</v>
      </c>
      <c r="ACL5" s="22" t="n">
        <v>5019</v>
      </c>
      <c r="ACM5" s="22" t="n">
        <v>5019</v>
      </c>
      <c r="ACN5" s="22" t="n">
        <v>5019</v>
      </c>
      <c r="ACO5" s="22" t="n">
        <v>5019</v>
      </c>
      <c r="ACP5" s="22" t="n">
        <v>5019</v>
      </c>
      <c r="ACQ5" s="22" t="n">
        <v>5019</v>
      </c>
      <c r="ACR5" s="22" t="n">
        <v>5019</v>
      </c>
      <c r="ACS5" s="22" t="n">
        <v>5019</v>
      </c>
      <c r="ACT5" s="22" t="n">
        <v>5019</v>
      </c>
      <c r="ACU5" s="22" t="n">
        <v>5019</v>
      </c>
      <c r="ACV5" s="22" t="n">
        <v>5019</v>
      </c>
      <c r="ACW5" s="22" t="n">
        <v>5019</v>
      </c>
      <c r="ACX5" s="22" t="n">
        <v>5019</v>
      </c>
      <c r="ACY5" s="22" t="n">
        <v>5019</v>
      </c>
      <c r="ACZ5" s="22" t="n">
        <v>5019</v>
      </c>
      <c r="ADA5" s="22" t="n">
        <v>5019</v>
      </c>
      <c r="ADB5" s="22" t="n">
        <v>5019</v>
      </c>
      <c r="ADC5" s="22" t="n">
        <v>5019</v>
      </c>
      <c r="ADD5" s="22" t="n">
        <v>5019</v>
      </c>
      <c r="ADE5" s="22" t="n">
        <v>5019</v>
      </c>
      <c r="ADF5" s="22" t="n">
        <v>5019</v>
      </c>
      <c r="ADG5" s="22" t="n">
        <v>5019</v>
      </c>
      <c r="ADH5" s="22" t="n">
        <v>5019</v>
      </c>
      <c r="ADI5" s="127" t="n">
        <v>4990</v>
      </c>
      <c r="ADJ5" s="22" t="n">
        <v>5019</v>
      </c>
      <c r="ADK5" s="22" t="n">
        <v>5019</v>
      </c>
      <c r="ADL5" s="22" t="n">
        <v>5019</v>
      </c>
      <c r="ADM5" s="22" t="n">
        <v>5019</v>
      </c>
      <c r="ADN5" s="22" t="n">
        <v>5019</v>
      </c>
      <c r="ADO5" s="22" t="n">
        <v>5019</v>
      </c>
      <c r="ADP5" s="22" t="n">
        <v>5019</v>
      </c>
      <c r="ADQ5" s="22" t="n">
        <v>5019</v>
      </c>
      <c r="ADR5" s="22" t="n">
        <v>5019</v>
      </c>
      <c r="ADS5" s="22" t="n">
        <v>5019</v>
      </c>
      <c r="ADT5" s="22" t="n">
        <v>5019</v>
      </c>
      <c r="ADU5" s="22" t="n">
        <v>5019</v>
      </c>
      <c r="ADV5" s="22" t="n">
        <v>5019</v>
      </c>
      <c r="ADW5" s="22" t="n">
        <v>5019</v>
      </c>
      <c r="ADX5" s="22" t="n">
        <v>5019</v>
      </c>
      <c r="ADY5" s="22" t="n">
        <v>5019</v>
      </c>
      <c r="ADZ5" s="22" t="n">
        <v>5019</v>
      </c>
      <c r="AEA5" s="22" t="n">
        <v>5019</v>
      </c>
      <c r="AEB5" s="22" t="n">
        <v>5019</v>
      </c>
      <c r="AEC5" s="22" t="n">
        <v>5019</v>
      </c>
      <c r="AED5" s="22" t="n">
        <v>5019</v>
      </c>
      <c r="AEE5" s="22" t="n">
        <v>4999</v>
      </c>
      <c r="AEF5" s="22" t="n">
        <v>4999</v>
      </c>
      <c r="AEG5" s="22" t="n">
        <v>4999</v>
      </c>
      <c r="AEH5" s="22" t="n">
        <v>4999</v>
      </c>
      <c r="AEI5" s="22" t="n">
        <v>4999</v>
      </c>
      <c r="AEJ5" s="22" t="n">
        <v>4999</v>
      </c>
      <c r="AEK5" s="22" t="n">
        <v>4999</v>
      </c>
      <c r="AEL5" s="22" t="n">
        <v>4999</v>
      </c>
      <c r="AEM5" s="22" t="n">
        <v>4999</v>
      </c>
      <c r="AEN5" s="127" t="n">
        <v>4990</v>
      </c>
      <c r="AEO5" s="22" t="n">
        <v>4999</v>
      </c>
      <c r="AEP5" s="22" t="n">
        <v>4999</v>
      </c>
      <c r="AEQ5" s="22" t="n">
        <v>4999</v>
      </c>
      <c r="AER5" s="22" t="n">
        <v>4999</v>
      </c>
      <c r="AES5" s="22" t="n">
        <v>4999</v>
      </c>
      <c r="AET5" s="22" t="n">
        <v>4999</v>
      </c>
      <c r="AEU5" s="22" t="n">
        <v>4999</v>
      </c>
      <c r="AEV5" s="22" t="n">
        <v>4999</v>
      </c>
      <c r="AEW5" s="22" t="n">
        <v>4999</v>
      </c>
      <c r="AEX5" s="22" t="n">
        <v>4999</v>
      </c>
      <c r="AEY5" s="22" t="n">
        <v>4999</v>
      </c>
      <c r="AEZ5" s="22" t="n">
        <v>4999</v>
      </c>
      <c r="AFA5" s="22" t="n">
        <v>4999</v>
      </c>
      <c r="AFB5" s="22" t="n">
        <v>4999</v>
      </c>
      <c r="AFC5" s="22" t="n">
        <v>4999</v>
      </c>
      <c r="AFD5" s="22" t="n">
        <v>4999</v>
      </c>
      <c r="AFE5" s="22" t="n">
        <v>4999</v>
      </c>
      <c r="AFF5" s="22" t="n">
        <v>4999</v>
      </c>
      <c r="AFG5" s="22" t="n">
        <v>4999</v>
      </c>
      <c r="AFH5" s="22" t="n">
        <v>4999</v>
      </c>
      <c r="AFI5" s="22" t="n">
        <v>4999</v>
      </c>
      <c r="AFJ5" s="22" t="n">
        <v>4999</v>
      </c>
      <c r="AFK5" s="22" t="n">
        <v>4999</v>
      </c>
      <c r="AFL5" s="22" t="n">
        <v>4999</v>
      </c>
      <c r="AFM5" s="22" t="n">
        <v>4999</v>
      </c>
      <c r="AFN5" s="22" t="n">
        <v>4999</v>
      </c>
      <c r="AFO5" s="22" t="n">
        <v>4949</v>
      </c>
      <c r="AFP5" s="22" t="n">
        <v>4949</v>
      </c>
      <c r="AFQ5" s="22" t="n">
        <v>4949</v>
      </c>
      <c r="AFR5" s="22" t="n">
        <v>4949</v>
      </c>
      <c r="AFS5" s="22" t="n">
        <v>4949</v>
      </c>
      <c r="AFT5" s="127" t="n">
        <v>4990</v>
      </c>
      <c r="AFU5" s="22" t="n">
        <v>4949</v>
      </c>
      <c r="AFV5" s="22" t="n">
        <v>4949</v>
      </c>
      <c r="AFW5" s="22" t="n">
        <v>4949</v>
      </c>
      <c r="AFX5" s="22" t="n">
        <v>4949</v>
      </c>
      <c r="AFY5" s="22" t="n">
        <v>4949</v>
      </c>
      <c r="AFZ5" s="22" t="n">
        <v>4949</v>
      </c>
      <c r="AGA5" s="22" t="n">
        <v>4949</v>
      </c>
      <c r="AGB5" s="22" t="n">
        <v>4949</v>
      </c>
      <c r="AGC5" s="22" t="n">
        <v>4949</v>
      </c>
      <c r="AGD5" s="22" t="n">
        <v>4949</v>
      </c>
      <c r="AGE5" s="22" t="n">
        <v>4949</v>
      </c>
      <c r="AGF5" s="22" t="n">
        <v>4949</v>
      </c>
      <c r="AGG5" s="22" t="n">
        <v>4949</v>
      </c>
      <c r="AGH5" s="22" t="n">
        <v>4949</v>
      </c>
      <c r="AGI5" s="22" t="n">
        <v>4949</v>
      </c>
      <c r="AGJ5" s="22" t="n">
        <v>4949</v>
      </c>
      <c r="AGK5" s="22" t="n">
        <v>4949</v>
      </c>
      <c r="AGL5" s="22" t="n">
        <v>4949</v>
      </c>
      <c r="AGM5" s="22" t="n">
        <v>4949</v>
      </c>
      <c r="AGN5" s="22" t="n">
        <v>4949</v>
      </c>
      <c r="AGO5" s="22" t="n">
        <v>4949</v>
      </c>
      <c r="AGP5" s="22" t="n">
        <v>4949</v>
      </c>
      <c r="AGQ5" s="22" t="n">
        <v>4949</v>
      </c>
      <c r="AGR5" s="22" t="n">
        <v>4949</v>
      </c>
      <c r="AGS5" s="22" t="n">
        <v>4949</v>
      </c>
      <c r="AGT5" s="22" t="n">
        <v>4949</v>
      </c>
      <c r="AGU5" s="22" t="n">
        <v>4949</v>
      </c>
      <c r="AGV5" s="22" t="n">
        <v>4949</v>
      </c>
      <c r="AGW5" s="22" t="n">
        <v>4949</v>
      </c>
      <c r="AGX5" s="22" t="n">
        <v>4949</v>
      </c>
      <c r="AGY5" s="127" t="n">
        <v>4949</v>
      </c>
      <c r="AGZ5" s="22" t="n">
        <v>4949</v>
      </c>
      <c r="AHA5" s="22" t="n">
        <v>4949</v>
      </c>
      <c r="AHB5" s="22" t="n">
        <v>4949</v>
      </c>
      <c r="AHC5" s="22" t="n">
        <v>4949</v>
      </c>
      <c r="AHD5" s="22" t="n">
        <v>4949</v>
      </c>
      <c r="AHE5" s="22" t="n">
        <v>4949</v>
      </c>
      <c r="AHF5" s="22" t="n">
        <v>4949</v>
      </c>
      <c r="AHG5" s="22" t="n">
        <v>4949</v>
      </c>
      <c r="AHH5" s="22" t="n">
        <v>4949</v>
      </c>
      <c r="AHI5" s="22" t="n">
        <v>4949</v>
      </c>
      <c r="AHJ5" s="22" t="n">
        <v>4949</v>
      </c>
      <c r="AHK5" s="22" t="n">
        <v>4949</v>
      </c>
      <c r="AHL5" s="22" t="n">
        <v>4949</v>
      </c>
      <c r="AHM5" s="22" t="n">
        <v>4949</v>
      </c>
      <c r="AHN5" s="22" t="n">
        <v>4949</v>
      </c>
      <c r="AHO5" s="22" t="n">
        <v>4949</v>
      </c>
      <c r="AHP5" s="22" t="n">
        <v>4949</v>
      </c>
      <c r="AHQ5" s="22" t="n">
        <v>4949</v>
      </c>
      <c r="AHR5" s="22" t="n">
        <v>4949</v>
      </c>
      <c r="AHS5" s="22" t="n">
        <v>4949</v>
      </c>
      <c r="AHT5" s="22" t="n">
        <v>4949</v>
      </c>
      <c r="AHU5" s="22" t="n">
        <v>4949</v>
      </c>
      <c r="AHV5" s="22" t="n">
        <v>4949</v>
      </c>
      <c r="AHW5" s="22" t="n">
        <v>4949</v>
      </c>
      <c r="AHX5" s="22" t="n">
        <v>4949</v>
      </c>
      <c r="AHY5" s="22" t="n">
        <v>4949</v>
      </c>
      <c r="AHZ5" s="22" t="n">
        <v>4949</v>
      </c>
      <c r="AIA5" s="22" t="n">
        <v>4949</v>
      </c>
      <c r="AIB5" s="22" t="n">
        <v>4949</v>
      </c>
      <c r="AIC5" s="22" t="n">
        <v>4949</v>
      </c>
      <c r="AID5" s="22" t="n">
        <v>4949</v>
      </c>
      <c r="AIE5" s="127" t="n">
        <v>4949</v>
      </c>
      <c r="AIF5" s="22" t="n">
        <v>4949</v>
      </c>
      <c r="AIG5" s="22" t="n">
        <v>4949</v>
      </c>
      <c r="AIH5" s="22" t="n">
        <v>4949</v>
      </c>
      <c r="AII5" s="22" t="n">
        <v>4949</v>
      </c>
      <c r="AIJ5" s="22" t="n">
        <v>4949</v>
      </c>
      <c r="AIK5" s="22" t="n">
        <v>4949</v>
      </c>
      <c r="AIL5" s="22" t="n">
        <v>4949</v>
      </c>
      <c r="AIM5" s="22" t="n">
        <v>4949</v>
      </c>
      <c r="AIN5" s="22" t="n">
        <v>4949</v>
      </c>
      <c r="AIO5" s="22" t="n">
        <v>4949</v>
      </c>
      <c r="AIP5" s="22" t="n">
        <v>4949</v>
      </c>
      <c r="AIQ5" s="22" t="n">
        <v>4949</v>
      </c>
      <c r="AIR5" s="22" t="n">
        <v>4949</v>
      </c>
      <c r="AIS5" s="22" t="n">
        <v>4999</v>
      </c>
      <c r="AIT5" s="22" t="n">
        <v>4999</v>
      </c>
      <c r="AIU5" s="22" t="n">
        <v>4999</v>
      </c>
      <c r="AIV5" s="22" t="n">
        <v>4999</v>
      </c>
      <c r="AIW5" s="22" t="n">
        <v>4999</v>
      </c>
      <c r="AIX5" s="22" t="n">
        <v>4999</v>
      </c>
      <c r="AIY5" s="22" t="n">
        <v>4999</v>
      </c>
      <c r="AIZ5" s="22" t="n">
        <v>4999</v>
      </c>
      <c r="AJA5" s="22" t="n">
        <v>4999</v>
      </c>
      <c r="AJB5" s="22" t="n">
        <v>4999</v>
      </c>
      <c r="AJC5" s="22" t="n">
        <v>4999</v>
      </c>
      <c r="AJD5" s="22" t="n">
        <v>4999</v>
      </c>
      <c r="AJE5" s="22" t="n">
        <v>4999</v>
      </c>
      <c r="AJF5" s="22" t="n">
        <v>4999</v>
      </c>
      <c r="AJG5" s="22" t="n">
        <v>4999</v>
      </c>
      <c r="AJH5" s="22" t="n">
        <v>5049</v>
      </c>
      <c r="AJI5" s="22" t="n">
        <v>5049</v>
      </c>
      <c r="AJJ5" s="22" t="n">
        <v>5049</v>
      </c>
      <c r="AJK5" s="127" t="n">
        <v>4999</v>
      </c>
      <c r="AJL5" s="22" t="n">
        <v>5049</v>
      </c>
      <c r="AJM5" s="22" t="n">
        <v>5049</v>
      </c>
      <c r="AJN5" s="22" t="n">
        <v>5049</v>
      </c>
      <c r="AJO5" s="22" t="n">
        <v>5049</v>
      </c>
      <c r="AJP5" s="22" t="n">
        <v>5049</v>
      </c>
      <c r="AJQ5" s="22" t="n">
        <v>5049</v>
      </c>
      <c r="AJR5" s="22" t="n">
        <v>5049</v>
      </c>
      <c r="AJS5" s="22" t="n">
        <v>5049</v>
      </c>
      <c r="AJT5" s="22" t="n">
        <v>5049</v>
      </c>
      <c r="AJU5" s="22" t="n">
        <v>5049</v>
      </c>
      <c r="AJV5" s="22" t="n">
        <v>5049</v>
      </c>
      <c r="AJW5" s="22" t="n">
        <v>5049</v>
      </c>
      <c r="AJX5" s="22" t="n">
        <v>5049</v>
      </c>
      <c r="AJY5" s="22" t="n">
        <v>5049</v>
      </c>
      <c r="AJZ5" s="22" t="n">
        <v>5049</v>
      </c>
      <c r="AKA5" s="22" t="n">
        <v>5049</v>
      </c>
      <c r="AKB5" s="22" t="n">
        <v>5049</v>
      </c>
      <c r="AKC5" s="22" t="n">
        <v>5049</v>
      </c>
      <c r="AKD5" s="22" t="n">
        <v>5049</v>
      </c>
      <c r="AKE5" s="22" t="n">
        <v>5049</v>
      </c>
      <c r="AKF5" s="22" t="n">
        <v>5049</v>
      </c>
      <c r="AKG5" s="22" t="n">
        <v>5049</v>
      </c>
      <c r="AKH5" s="22" t="n">
        <v>5049</v>
      </c>
      <c r="AKI5" s="22" t="n">
        <v>5049</v>
      </c>
      <c r="AKJ5" s="22" t="n">
        <v>5049</v>
      </c>
      <c r="AKK5" s="22" t="n">
        <v>5049</v>
      </c>
      <c r="AKL5" s="22" t="n">
        <v>5049</v>
      </c>
      <c r="AKM5" s="22" t="n">
        <v>5049</v>
      </c>
      <c r="AKN5" s="127">
        <f>SUM(AJL5:AKM5)</f>
        <v/>
      </c>
      <c r="AKO5" s="22" t="n">
        <v>5049</v>
      </c>
      <c r="AKP5" s="22" t="n">
        <v>5049</v>
      </c>
      <c r="AKQ5" s="22" t="n">
        <v>5049</v>
      </c>
      <c r="AKR5" s="22" t="n">
        <v>5049</v>
      </c>
      <c r="AKS5" s="22" t="n">
        <v>5049</v>
      </c>
      <c r="AKT5" s="22" t="n">
        <v>5049</v>
      </c>
      <c r="AKU5" s="22" t="n">
        <v>5049</v>
      </c>
      <c r="AKV5" s="22" t="n">
        <v>5049</v>
      </c>
      <c r="AKW5" s="22" t="n">
        <v>5049</v>
      </c>
      <c r="AKX5" s="22" t="n">
        <v>5049</v>
      </c>
      <c r="AKY5" s="22" t="n">
        <v>5099</v>
      </c>
      <c r="AKZ5" s="22" t="n">
        <v>5099</v>
      </c>
      <c r="ALA5" s="22" t="n">
        <v>5099</v>
      </c>
      <c r="ALB5" s="22" t="n">
        <v>5099</v>
      </c>
      <c r="ALC5" s="22" t="n">
        <v>5099</v>
      </c>
      <c r="ALD5" s="22" t="n">
        <v>5099</v>
      </c>
      <c r="ALE5" s="22" t="n">
        <v>5099</v>
      </c>
      <c r="ALF5" s="22" t="n">
        <v>5149</v>
      </c>
      <c r="ALG5" s="22" t="n">
        <v>5149</v>
      </c>
      <c r="ALH5" s="22" t="n">
        <v>5149</v>
      </c>
      <c r="ALI5" s="22" t="n">
        <v>5149</v>
      </c>
      <c r="ALJ5" s="22" t="n">
        <v>5149</v>
      </c>
      <c r="ALK5" s="22" t="n">
        <v>5149</v>
      </c>
      <c r="ALL5" s="22" t="n">
        <v>5199</v>
      </c>
      <c r="ALM5" s="22" t="n">
        <v>5199</v>
      </c>
      <c r="ALN5" s="22" t="n">
        <v>5199</v>
      </c>
      <c r="ALO5" s="22" t="n">
        <v>5199</v>
      </c>
      <c r="ALP5" s="22" t="n">
        <v>5199</v>
      </c>
      <c r="ALQ5" s="22" t="n">
        <v>5199</v>
      </c>
      <c r="ALR5" s="22" t="n">
        <v>5199</v>
      </c>
      <c r="ALS5" s="22" t="n">
        <v>5289</v>
      </c>
      <c r="ALT5" s="127">
        <f>SUM(AKO5:ALS5)</f>
        <v/>
      </c>
      <c r="ALU5" s="22" t="n">
        <v>5289</v>
      </c>
      <c r="ALV5" s="22" t="n">
        <v>5289</v>
      </c>
      <c r="ALW5" s="22" t="n">
        <v>5289</v>
      </c>
      <c r="ALX5" s="22" t="n">
        <v>5289</v>
      </c>
      <c r="ALY5" s="22" t="n">
        <v>5289</v>
      </c>
      <c r="ALZ5" s="22" t="n">
        <v>5289</v>
      </c>
      <c r="AMA5" s="22" t="n">
        <v>5289</v>
      </c>
      <c r="AMB5" s="22" t="n">
        <v>5289</v>
      </c>
      <c r="AMC5" s="22" t="n">
        <v>5289</v>
      </c>
      <c r="AMD5" s="22" t="n">
        <v>5289</v>
      </c>
      <c r="AME5" s="22" t="n">
        <v>5289</v>
      </c>
      <c r="AMF5" s="22" t="n">
        <v>5289</v>
      </c>
      <c r="AMG5" s="22" t="n">
        <v>5289</v>
      </c>
      <c r="AMH5" s="22" t="n">
        <v>5289</v>
      </c>
      <c r="AMI5" s="22" t="n">
        <v>5389</v>
      </c>
      <c r="AMJ5" s="22" t="n">
        <v>5389</v>
      </c>
      <c r="AMK5" s="22" t="n">
        <v>5389</v>
      </c>
      <c r="AML5" s="22" t="n">
        <v>5389</v>
      </c>
      <c r="AMM5" s="22" t="n">
        <v>5389</v>
      </c>
      <c r="AMN5" s="22" t="n">
        <v>5389</v>
      </c>
      <c r="AMO5" s="22" t="n">
        <v>5389</v>
      </c>
      <c r="AMP5" s="22" t="n">
        <v>5499</v>
      </c>
      <c r="AMQ5" s="22" t="n">
        <v>5499</v>
      </c>
      <c r="AMR5" s="22" t="n">
        <v>5499</v>
      </c>
      <c r="AMS5" s="22" t="n">
        <v>5499</v>
      </c>
      <c r="AMT5" s="22" t="n">
        <v>5499</v>
      </c>
      <c r="AMU5" s="22" t="n">
        <v>5499</v>
      </c>
      <c r="AMV5" s="22" t="n">
        <v>5499</v>
      </c>
      <c r="AMW5" s="22" t="n">
        <v>5499</v>
      </c>
      <c r="AMX5" s="22" t="n">
        <v>5499</v>
      </c>
      <c r="AMY5" s="127">
        <f>SUM(ALU5:AMX5)</f>
        <v/>
      </c>
      <c r="AMZ5" s="22" t="n">
        <v>5699</v>
      </c>
      <c r="ANA5" s="22" t="n">
        <v>5699</v>
      </c>
      <c r="ANB5" s="22" t="n">
        <v>5699</v>
      </c>
      <c r="ANC5" s="22" t="n">
        <v>5699</v>
      </c>
      <c r="AND5" s="22" t="n">
        <v>5699</v>
      </c>
      <c r="ANE5" s="22" t="n">
        <v>5699</v>
      </c>
      <c r="ANF5" s="22" t="n">
        <v>5699</v>
      </c>
      <c r="ANG5" s="22" t="n">
        <v>5699</v>
      </c>
      <c r="ANH5" s="22" t="n">
        <v>5699</v>
      </c>
      <c r="ANI5" s="22" t="n">
        <v>5699</v>
      </c>
      <c r="ANJ5" s="22" t="n">
        <v>5699</v>
      </c>
      <c r="ANK5" s="22" t="n">
        <v>5699</v>
      </c>
      <c r="ANL5" s="22" t="n">
        <v>5699</v>
      </c>
      <c r="ANM5" s="22" t="n">
        <v>5699</v>
      </c>
      <c r="ANN5" s="22" t="n">
        <v>5699</v>
      </c>
      <c r="ANO5" s="22" t="n">
        <v>5699</v>
      </c>
      <c r="ANP5" s="22" t="n">
        <v>6250</v>
      </c>
      <c r="ANQ5" s="22" t="n">
        <v>6250</v>
      </c>
      <c r="ANR5" s="22" t="n">
        <v>6250</v>
      </c>
      <c r="ANS5" s="22" t="n">
        <v>6250</v>
      </c>
      <c r="ANT5" s="22" t="n">
        <v>6250</v>
      </c>
      <c r="ANU5" s="22" t="n">
        <v>6250</v>
      </c>
      <c r="ANV5" s="22" t="n">
        <v>6250</v>
      </c>
      <c r="ANW5" s="22" t="n">
        <v>6250</v>
      </c>
      <c r="ANX5" s="22" t="n">
        <v>6250</v>
      </c>
      <c r="ANY5" s="22" t="n">
        <v>6250</v>
      </c>
      <c r="ANZ5" s="22" t="n">
        <v>6250</v>
      </c>
      <c r="AOA5" s="22" t="n">
        <v>6250</v>
      </c>
      <c r="AOB5" s="22" t="n">
        <v>6390</v>
      </c>
      <c r="AOC5" s="22" t="n">
        <v>6390</v>
      </c>
    </row>
    <row r="6">
      <c r="B6" s="5" t="inlineStr">
        <is>
          <t>PMS SALES UGX</t>
        </is>
      </c>
      <c r="C6" s="22">
        <f>C5*C4</f>
        <v/>
      </c>
      <c r="D6" s="22">
        <f>D5*D4</f>
        <v/>
      </c>
      <c r="E6" s="22">
        <f>E5*E4</f>
        <v/>
      </c>
      <c r="F6" s="22">
        <f>F5*F4</f>
        <v/>
      </c>
      <c r="G6" s="22">
        <f>G5*G4</f>
        <v/>
      </c>
      <c r="H6" s="22">
        <f>H5*H4</f>
        <v/>
      </c>
      <c r="I6" s="22">
        <f>I5*I4</f>
        <v/>
      </c>
      <c r="J6" s="22">
        <f>J5*J4</f>
        <v/>
      </c>
      <c r="K6" s="22">
        <f>K5*K4</f>
        <v/>
      </c>
      <c r="L6" s="22">
        <f>L5*L4</f>
        <v/>
      </c>
      <c r="M6" s="22">
        <f>M5*M4</f>
        <v/>
      </c>
      <c r="N6" s="22">
        <f>N5*N4</f>
        <v/>
      </c>
      <c r="O6" s="22">
        <f>O5*O4</f>
        <v/>
      </c>
      <c r="P6" s="22">
        <f>P5*P4</f>
        <v/>
      </c>
      <c r="Q6" s="22">
        <f>Q5*Q4</f>
        <v/>
      </c>
      <c r="R6" s="22">
        <f>R5*R4</f>
        <v/>
      </c>
      <c r="S6" s="22">
        <f>S5*S4</f>
        <v/>
      </c>
      <c r="T6" s="22">
        <f>T5*T4</f>
        <v/>
      </c>
      <c r="U6" s="22">
        <f>U5*U4</f>
        <v/>
      </c>
      <c r="V6" s="22">
        <f>V5*V4</f>
        <v/>
      </c>
      <c r="W6" s="22">
        <f>W5*W4</f>
        <v/>
      </c>
      <c r="X6" s="22">
        <f>X5*X4</f>
        <v/>
      </c>
      <c r="Y6" s="22">
        <f>Y5*Y4</f>
        <v/>
      </c>
      <c r="Z6" s="22">
        <f>Z5*Z4</f>
        <v/>
      </c>
      <c r="AA6" s="22">
        <f>AA5*AA4</f>
        <v/>
      </c>
      <c r="AB6" s="22">
        <f>AB5*AB4</f>
        <v/>
      </c>
      <c r="AC6" s="22">
        <f>AC5*AC4</f>
        <v/>
      </c>
      <c r="AD6" s="22">
        <f>AD5*AD4</f>
        <v/>
      </c>
      <c r="AE6" s="22">
        <f>AE5*AE4</f>
        <v/>
      </c>
      <c r="AF6" s="22">
        <f>AF5*AF4</f>
        <v/>
      </c>
      <c r="AG6" s="22">
        <f>AG5*AG4</f>
        <v/>
      </c>
      <c r="AH6" s="94">
        <f>SUM(C6:AG6)</f>
        <v/>
      </c>
      <c r="AI6" s="22">
        <f>AI5*AI4</f>
        <v/>
      </c>
      <c r="AJ6" s="22">
        <f>AJ5*AJ4</f>
        <v/>
      </c>
      <c r="AK6" s="22">
        <f>AK5*AK4</f>
        <v/>
      </c>
      <c r="AL6" s="22">
        <f>AL5*AL4</f>
        <v/>
      </c>
      <c r="AM6" s="22">
        <f>AM5*AM4</f>
        <v/>
      </c>
      <c r="AN6" s="22">
        <f>AN5*AN4</f>
        <v/>
      </c>
      <c r="AO6" s="22">
        <f>AO5*AO4</f>
        <v/>
      </c>
      <c r="AP6" s="22">
        <f>AP5*AP4</f>
        <v/>
      </c>
      <c r="AQ6" s="22">
        <f>AQ5*AQ4</f>
        <v/>
      </c>
      <c r="AR6" s="22">
        <f>AR5*AR4</f>
        <v/>
      </c>
      <c r="AS6" s="22">
        <f>AS5*AS4</f>
        <v/>
      </c>
      <c r="AT6" s="22">
        <f>AT5*AT4</f>
        <v/>
      </c>
      <c r="AU6" s="22">
        <f>AU5*AU4</f>
        <v/>
      </c>
      <c r="AV6" s="22">
        <f>AV5*AV4</f>
        <v/>
      </c>
      <c r="AW6" s="22">
        <f>AW5*AW4</f>
        <v/>
      </c>
      <c r="AX6" s="22">
        <f>AX5*AX4</f>
        <v/>
      </c>
      <c r="AY6" s="22">
        <f>AY5*AY4</f>
        <v/>
      </c>
      <c r="AZ6" s="22">
        <f>AZ5*AZ4</f>
        <v/>
      </c>
      <c r="BA6" s="22">
        <f>BA5*BA4</f>
        <v/>
      </c>
      <c r="BB6" s="22">
        <f>BB5*BB4</f>
        <v/>
      </c>
      <c r="BC6" s="22">
        <f>BC5*BC4</f>
        <v/>
      </c>
      <c r="BD6" s="22">
        <f>BD5*BD4</f>
        <v/>
      </c>
      <c r="BE6" s="22">
        <f>BE5*BE4</f>
        <v/>
      </c>
      <c r="BF6" s="22">
        <f>BF5*BF4</f>
        <v/>
      </c>
      <c r="BG6" s="22">
        <f>BG5*BG4</f>
        <v/>
      </c>
      <c r="BH6" s="22">
        <f>BH5*BH4</f>
        <v/>
      </c>
      <c r="BI6" s="22">
        <f>BI5*BI4</f>
        <v/>
      </c>
      <c r="BJ6" s="22">
        <f>BJ5*BJ4</f>
        <v/>
      </c>
      <c r="BK6" s="22">
        <f>BK5*BK4</f>
        <v/>
      </c>
      <c r="BL6" s="22">
        <f>BL5*BL4</f>
        <v/>
      </c>
      <c r="BM6" s="97">
        <f>SUM(AI6:BL6)</f>
        <v/>
      </c>
      <c r="BN6" s="22">
        <f>BN5*BN4</f>
        <v/>
      </c>
      <c r="BO6" s="22">
        <f>BO5*BO4</f>
        <v/>
      </c>
      <c r="BP6" s="22">
        <f>BP5*BP4</f>
        <v/>
      </c>
      <c r="BQ6" s="22">
        <f>BQ5*BQ4</f>
        <v/>
      </c>
      <c r="BR6" s="22">
        <f>BR5*BR4</f>
        <v/>
      </c>
      <c r="BS6" s="22">
        <f>BS5*BS4</f>
        <v/>
      </c>
      <c r="BT6" s="22">
        <f>BT5*BT4</f>
        <v/>
      </c>
      <c r="BU6" s="22">
        <f>BU5*BU4</f>
        <v/>
      </c>
      <c r="BV6" s="22">
        <f>BV5*BV4</f>
        <v/>
      </c>
      <c r="BW6" s="22">
        <f>BW5*BW4</f>
        <v/>
      </c>
      <c r="BX6" s="22">
        <f>BX5*BX4</f>
        <v/>
      </c>
      <c r="BY6" s="22">
        <f>BY5*BY4</f>
        <v/>
      </c>
      <c r="BZ6" s="22">
        <f>BZ5*BZ4</f>
        <v/>
      </c>
      <c r="CA6" s="22">
        <f>CA5*CA4</f>
        <v/>
      </c>
      <c r="CB6" s="22">
        <f>CB5*CB4</f>
        <v/>
      </c>
      <c r="CC6" s="22">
        <f>CC5*CC4</f>
        <v/>
      </c>
      <c r="CD6" s="22">
        <f>CD5*CD4</f>
        <v/>
      </c>
      <c r="CE6" s="22">
        <f>CE5*CE4</f>
        <v/>
      </c>
      <c r="CF6" s="22">
        <f>CF5*CF4</f>
        <v/>
      </c>
      <c r="CG6" s="22">
        <f>CG5*CG4</f>
        <v/>
      </c>
      <c r="CH6" s="22">
        <f>CH5*CH4</f>
        <v/>
      </c>
      <c r="CI6" s="22">
        <f>CI5*CI4</f>
        <v/>
      </c>
      <c r="CJ6" s="22">
        <f>CJ5*CJ4</f>
        <v/>
      </c>
      <c r="CK6" s="22">
        <f>CK5*CK4</f>
        <v/>
      </c>
      <c r="CL6" s="22">
        <f>CL5*CL4</f>
        <v/>
      </c>
      <c r="CM6" s="22">
        <f>CM5*CM4</f>
        <v/>
      </c>
      <c r="CN6" s="22">
        <f>CN5*CN4</f>
        <v/>
      </c>
      <c r="CO6" s="22">
        <f>CO5*CO4</f>
        <v/>
      </c>
      <c r="CP6" s="22">
        <f>CP5*CP4</f>
        <v/>
      </c>
      <c r="CQ6" s="22">
        <f>CQ5*CQ4</f>
        <v/>
      </c>
      <c r="CR6" s="22">
        <f>CR5*CR4</f>
        <v/>
      </c>
      <c r="CS6" s="111">
        <f>SUM(BN6:CR6)</f>
        <v/>
      </c>
      <c r="CT6" s="22">
        <f>CT5*CT4</f>
        <v/>
      </c>
      <c r="CU6" s="22">
        <f>CU5*CU4</f>
        <v/>
      </c>
      <c r="CV6" s="22">
        <f>CV5*CV4</f>
        <v/>
      </c>
      <c r="CW6" s="22">
        <f>CW5*CW4</f>
        <v/>
      </c>
      <c r="CX6" s="22">
        <f>CX5*CX4</f>
        <v/>
      </c>
      <c r="CY6" s="22">
        <f>CY5*CY4</f>
        <v/>
      </c>
      <c r="CZ6" s="22">
        <f>CZ5*CZ4</f>
        <v/>
      </c>
      <c r="DA6" s="22">
        <f>DA5*DA4</f>
        <v/>
      </c>
      <c r="DB6" s="22">
        <f>DB5*DB4</f>
        <v/>
      </c>
      <c r="DC6" s="22">
        <f>DC5*DC4</f>
        <v/>
      </c>
      <c r="DD6" s="22">
        <f>DD5*DD4</f>
        <v/>
      </c>
      <c r="DE6" s="22">
        <f>DE5*DE4</f>
        <v/>
      </c>
      <c r="DF6" s="22">
        <f>DF5*DF4</f>
        <v/>
      </c>
      <c r="DG6" s="22">
        <f>DG5*DG4</f>
        <v/>
      </c>
      <c r="DH6" s="22">
        <f>DH5*DH4</f>
        <v/>
      </c>
      <c r="DI6" s="22">
        <f>DI5*DI4</f>
        <v/>
      </c>
      <c r="DJ6" s="22">
        <f>DJ5*DJ4</f>
        <v/>
      </c>
      <c r="DK6" s="22">
        <f>DK5*DK4</f>
        <v/>
      </c>
      <c r="DL6" s="22">
        <f>DL5*DL4</f>
        <v/>
      </c>
      <c r="DM6" s="22">
        <f>DM5*DM4</f>
        <v/>
      </c>
      <c r="DN6" s="22">
        <f>DN5*DN4</f>
        <v/>
      </c>
      <c r="DO6" s="22">
        <f>DO5*DO4</f>
        <v/>
      </c>
      <c r="DP6" s="22">
        <f>DP5*DP4</f>
        <v/>
      </c>
      <c r="DQ6" s="22">
        <f>DQ5*DQ4</f>
        <v/>
      </c>
      <c r="DR6" s="22">
        <f>DR5*DR4</f>
        <v/>
      </c>
      <c r="DS6" s="22">
        <f>DS5*DS4</f>
        <v/>
      </c>
      <c r="DT6" s="22">
        <f>DT5*DT4</f>
        <v/>
      </c>
      <c r="DU6" s="22">
        <f>DU5*DU4</f>
        <v/>
      </c>
      <c r="DV6" s="22">
        <f>DV5*DV4</f>
        <v/>
      </c>
      <c r="DW6" s="22">
        <f>DW5*DW4</f>
        <v/>
      </c>
      <c r="DX6" s="119">
        <f>SUM(CT6:DW6)</f>
        <v/>
      </c>
      <c r="DY6" s="22">
        <f>DY5*DY4</f>
        <v/>
      </c>
      <c r="DZ6" s="22">
        <f>DZ5*DZ4</f>
        <v/>
      </c>
      <c r="EA6" s="22">
        <f>EA5*EA4</f>
        <v/>
      </c>
      <c r="EB6" s="22">
        <f>EB5*EB4</f>
        <v/>
      </c>
      <c r="EC6" s="22">
        <f>EC5*EC4</f>
        <v/>
      </c>
      <c r="ED6" s="22">
        <f>ED5*ED4</f>
        <v/>
      </c>
      <c r="EE6" s="22">
        <f>EE5*EE4</f>
        <v/>
      </c>
      <c r="EF6" s="22">
        <f>EF5*EF4</f>
        <v/>
      </c>
      <c r="EG6" s="22">
        <f>EG5*EG4</f>
        <v/>
      </c>
      <c r="EH6" s="22">
        <f>EH5*EH4</f>
        <v/>
      </c>
      <c r="EI6" s="22">
        <f>EI5*EI4</f>
        <v/>
      </c>
      <c r="EJ6" s="22">
        <f>EJ5*EJ4</f>
        <v/>
      </c>
      <c r="EK6" s="22">
        <f>EK5*EK4</f>
        <v/>
      </c>
      <c r="EL6" s="22">
        <f>EL5*EL4</f>
        <v/>
      </c>
      <c r="EM6" s="22">
        <f>EM5*EM4</f>
        <v/>
      </c>
      <c r="EN6" s="22">
        <f>EN5*EN4</f>
        <v/>
      </c>
      <c r="EO6" s="22">
        <f>EO5*EO4</f>
        <v/>
      </c>
      <c r="EP6" s="22">
        <f>EP5*EP4</f>
        <v/>
      </c>
      <c r="EQ6" s="22">
        <f>EQ5*EQ4</f>
        <v/>
      </c>
      <c r="ER6" s="22">
        <f>ER5*ER4</f>
        <v/>
      </c>
      <c r="ES6" s="22">
        <f>ES5*ES4</f>
        <v/>
      </c>
      <c r="ET6" s="22">
        <f>ET5*ET4</f>
        <v/>
      </c>
      <c r="EU6" s="22">
        <f>EU5*EU4</f>
        <v/>
      </c>
      <c r="EV6" s="22">
        <f>EV5*EV4</f>
        <v/>
      </c>
      <c r="EW6" s="22">
        <f>EW5*EW4</f>
        <v/>
      </c>
      <c r="EX6" s="22">
        <f>EX5*EX4</f>
        <v/>
      </c>
      <c r="EY6" s="22">
        <f>EY5*EY4</f>
        <v/>
      </c>
      <c r="EZ6" s="22">
        <f>EZ5*EZ4</f>
        <v/>
      </c>
      <c r="FA6" s="22">
        <f>FA5*FA4</f>
        <v/>
      </c>
      <c r="FB6" s="22">
        <f>FB5*FB4</f>
        <v/>
      </c>
      <c r="FC6" s="22">
        <f>FC5*FC4</f>
        <v/>
      </c>
      <c r="FD6" s="128">
        <f>SUM(DY6:FC6)</f>
        <v/>
      </c>
      <c r="FE6" s="22">
        <f>FE4*FE5</f>
        <v/>
      </c>
      <c r="FF6" s="22">
        <f>FF4*FF5</f>
        <v/>
      </c>
      <c r="FG6" s="22">
        <f>FG4*FG5</f>
        <v/>
      </c>
      <c r="FH6" s="22">
        <f>FH4*FH5</f>
        <v/>
      </c>
      <c r="FI6" s="22">
        <f>FI4*FI5</f>
        <v/>
      </c>
      <c r="FJ6" s="22">
        <f>FJ4*FJ5</f>
        <v/>
      </c>
      <c r="FK6" s="22">
        <f>FK4*FK5</f>
        <v/>
      </c>
      <c r="FL6" s="22">
        <f>FL4*FL5</f>
        <v/>
      </c>
      <c r="FM6" s="22">
        <f>FM4*FM5</f>
        <v/>
      </c>
      <c r="FN6" s="22">
        <f>FN4*FN5</f>
        <v/>
      </c>
      <c r="FO6" s="22">
        <f>FO4*FO5</f>
        <v/>
      </c>
      <c r="FP6" s="22">
        <f>FP4*FP5</f>
        <v/>
      </c>
      <c r="FQ6" s="22">
        <f>FQ4*FQ5</f>
        <v/>
      </c>
      <c r="FR6" s="22">
        <f>FR4*FR5</f>
        <v/>
      </c>
      <c r="FS6" s="22">
        <f>FS4*FS5</f>
        <v/>
      </c>
      <c r="FT6" s="22">
        <f>FT4*FT5</f>
        <v/>
      </c>
      <c r="FU6" s="22">
        <f>FU4*FU5</f>
        <v/>
      </c>
      <c r="FV6" s="22">
        <f>FV4*FV5</f>
        <v/>
      </c>
      <c r="FW6" s="22">
        <f>FW4*FW5</f>
        <v/>
      </c>
      <c r="FX6" s="22">
        <f>FX4*FX5</f>
        <v/>
      </c>
      <c r="FY6" s="22">
        <f>FY4*FY5</f>
        <v/>
      </c>
      <c r="FZ6" s="22">
        <f>FZ4*FZ5</f>
        <v/>
      </c>
      <c r="GA6" s="22">
        <f>GA4*GA5</f>
        <v/>
      </c>
      <c r="GB6" s="22">
        <f>GB4*GB5</f>
        <v/>
      </c>
      <c r="GC6" s="22">
        <f>GC4*GC5</f>
        <v/>
      </c>
      <c r="GD6" s="22">
        <f>GD4*GD5</f>
        <v/>
      </c>
      <c r="GE6" s="22">
        <f>GE4*GE5</f>
        <v/>
      </c>
      <c r="GF6" s="22">
        <f>GF4*GF5</f>
        <v/>
      </c>
      <c r="GG6" s="22">
        <f>GG4*GG5</f>
        <v/>
      </c>
      <c r="GH6" s="22">
        <f>GH4*GH5</f>
        <v/>
      </c>
      <c r="GI6" s="22">
        <f>GI4*GI5</f>
        <v/>
      </c>
      <c r="GJ6" s="127">
        <f>SUM(FE6:GI6)</f>
        <v/>
      </c>
      <c r="GK6" s="22">
        <f>GK4*GK5</f>
        <v/>
      </c>
      <c r="GL6" s="22">
        <f>GL4*GL5</f>
        <v/>
      </c>
      <c r="GM6" s="22">
        <f>GM4*GM5</f>
        <v/>
      </c>
      <c r="GN6" s="22">
        <f>GN4*GN5</f>
        <v/>
      </c>
      <c r="GO6" s="22">
        <f>GO4*GO5</f>
        <v/>
      </c>
      <c r="GP6" s="22">
        <f>GP4*GP5</f>
        <v/>
      </c>
      <c r="GQ6" s="22">
        <f>GQ4*GQ5</f>
        <v/>
      </c>
      <c r="GR6" s="22">
        <f>GR4*GR5</f>
        <v/>
      </c>
      <c r="GS6" s="22">
        <f>GS4*GS5</f>
        <v/>
      </c>
      <c r="GT6" s="22">
        <f>GT4*GT5</f>
        <v/>
      </c>
      <c r="GU6" s="22">
        <f>GU4*GU5</f>
        <v/>
      </c>
      <c r="GV6" s="22">
        <f>GV4*GV5</f>
        <v/>
      </c>
      <c r="GW6" s="22">
        <f>GW4*GW5</f>
        <v/>
      </c>
      <c r="GX6" s="22">
        <f>GX4*GX5</f>
        <v/>
      </c>
      <c r="GY6" s="22">
        <f>GY4*GY5</f>
        <v/>
      </c>
      <c r="GZ6" s="22">
        <f>GZ4*GZ5</f>
        <v/>
      </c>
      <c r="HA6" s="22">
        <f>HA4*HA5</f>
        <v/>
      </c>
      <c r="HB6" s="22">
        <f>HB4*HB5</f>
        <v/>
      </c>
      <c r="HC6" s="22">
        <f>HC4*HC5</f>
        <v/>
      </c>
      <c r="HD6" s="22">
        <f>HD4*HD5</f>
        <v/>
      </c>
      <c r="HE6" s="22">
        <f>HE4*HE5</f>
        <v/>
      </c>
      <c r="HF6" s="22">
        <f>HF4*HF5</f>
        <v/>
      </c>
      <c r="HG6" s="22">
        <f>HG4*HG5</f>
        <v/>
      </c>
      <c r="HH6" s="22">
        <f>HH4*HH5</f>
        <v/>
      </c>
      <c r="HI6" s="22">
        <f>HI4*HI5</f>
        <v/>
      </c>
      <c r="HJ6" s="22">
        <f>HJ4*HJ5</f>
        <v/>
      </c>
      <c r="HK6" s="22">
        <f>HK4*HK5</f>
        <v/>
      </c>
      <c r="HL6" s="22">
        <f>HL4*HL5</f>
        <v/>
      </c>
      <c r="HM6" s="22">
        <f>HM4*HM5</f>
        <v/>
      </c>
      <c r="HN6" s="127">
        <f>SUM(GK6:HM6)</f>
        <v/>
      </c>
      <c r="HO6" s="22">
        <f>HO4*HO5</f>
        <v/>
      </c>
      <c r="HP6" s="22">
        <f>HP4*HP5</f>
        <v/>
      </c>
      <c r="HQ6" s="22">
        <f>HQ4*HQ5</f>
        <v/>
      </c>
      <c r="HR6" s="22">
        <f>HR4*HR5</f>
        <v/>
      </c>
      <c r="HS6" s="22">
        <f>HS4*HS5</f>
        <v/>
      </c>
      <c r="HT6" s="22">
        <f>HT4*HT5</f>
        <v/>
      </c>
      <c r="HU6" s="22">
        <f>HU4*HU5</f>
        <v/>
      </c>
      <c r="HV6" s="22">
        <f>HV4*HV5</f>
        <v/>
      </c>
      <c r="HW6" s="22">
        <f>HW4*HW5</f>
        <v/>
      </c>
      <c r="HX6" s="22">
        <f>HX4*HX5</f>
        <v/>
      </c>
      <c r="HY6" s="22">
        <f>HY4*HY5</f>
        <v/>
      </c>
      <c r="HZ6" s="22">
        <f>HZ4*HZ5</f>
        <v/>
      </c>
      <c r="IA6" s="22">
        <f>IA4*IA5</f>
        <v/>
      </c>
      <c r="IB6" s="22">
        <f>IB4*IB5</f>
        <v/>
      </c>
      <c r="IC6" s="22">
        <f>IC4*IC5</f>
        <v/>
      </c>
      <c r="ID6" s="22">
        <f>ID4*ID5</f>
        <v/>
      </c>
      <c r="IE6" s="22">
        <f>IE4*IE5</f>
        <v/>
      </c>
      <c r="IF6" s="22">
        <f>IF4*IF5</f>
        <v/>
      </c>
      <c r="IG6" s="22">
        <f>IG4*IG5</f>
        <v/>
      </c>
      <c r="IH6" s="22">
        <f>IH4*IH5</f>
        <v/>
      </c>
      <c r="II6" s="22">
        <f>II4*II5</f>
        <v/>
      </c>
      <c r="IJ6" s="22">
        <f>IJ4*IJ5</f>
        <v/>
      </c>
      <c r="IK6" s="22">
        <f>IK4*IK5</f>
        <v/>
      </c>
      <c r="IL6" s="22">
        <f>IL4*IL5</f>
        <v/>
      </c>
      <c r="IM6" s="22">
        <f>IM4*IM5</f>
        <v/>
      </c>
      <c r="IN6" s="22">
        <f>IN4*IN5</f>
        <v/>
      </c>
      <c r="IO6" s="22">
        <f>IO4*IO5</f>
        <v/>
      </c>
      <c r="IP6" s="22">
        <f>IP4*IP5</f>
        <v/>
      </c>
      <c r="IQ6" s="22">
        <f>IQ4*IQ5</f>
        <v/>
      </c>
      <c r="IR6" s="22">
        <f>IR4*IR5</f>
        <v/>
      </c>
      <c r="IS6" s="22">
        <f>IS4*IS5</f>
        <v/>
      </c>
      <c r="IT6" s="127">
        <f>SUM(HO6:IS6)</f>
        <v/>
      </c>
      <c r="IU6" s="22">
        <f>IU4*IU5</f>
        <v/>
      </c>
      <c r="IV6" s="22">
        <f>IV4*IV5</f>
        <v/>
      </c>
      <c r="IW6" s="22">
        <f>IW4*IW5</f>
        <v/>
      </c>
      <c r="IX6" s="22">
        <f>IX4*IX5</f>
        <v/>
      </c>
      <c r="IY6" s="22">
        <f>IY4*IY5</f>
        <v/>
      </c>
      <c r="IZ6" s="22">
        <f>IZ4*IZ5</f>
        <v/>
      </c>
      <c r="JA6" s="22">
        <f>JA4*JA5</f>
        <v/>
      </c>
      <c r="JB6" s="22">
        <f>JB4*JB5</f>
        <v/>
      </c>
      <c r="JC6" s="22">
        <f>JC4*JC5</f>
        <v/>
      </c>
      <c r="JD6" s="22">
        <f>JD4*JD5</f>
        <v/>
      </c>
      <c r="JE6" s="22">
        <f>JE4*JE5</f>
        <v/>
      </c>
      <c r="JF6" s="22">
        <f>JF4*JF5</f>
        <v/>
      </c>
      <c r="JG6" s="22">
        <f>JG4*JG5</f>
        <v/>
      </c>
      <c r="JH6" s="22">
        <f>JH4*JH5</f>
        <v/>
      </c>
      <c r="JI6" s="22">
        <f>JI4*JI5</f>
        <v/>
      </c>
      <c r="JJ6" s="22">
        <f>JJ4*JJ5</f>
        <v/>
      </c>
      <c r="JK6" s="22">
        <f>JK4*JK5</f>
        <v/>
      </c>
      <c r="JL6" s="22">
        <f>JL4*JL5</f>
        <v/>
      </c>
      <c r="JM6" s="22">
        <f>JM4*JM5</f>
        <v/>
      </c>
      <c r="JN6" s="22">
        <f>JN4*JN5</f>
        <v/>
      </c>
      <c r="JO6" s="22">
        <f>JO4*JO5</f>
        <v/>
      </c>
      <c r="JP6" s="22">
        <f>JP4*JP5</f>
        <v/>
      </c>
      <c r="JQ6" s="22">
        <f>JQ4*JQ5</f>
        <v/>
      </c>
      <c r="JR6" s="22">
        <f>JR4*JR5</f>
        <v/>
      </c>
      <c r="JS6" s="22">
        <f>JS4*JS5</f>
        <v/>
      </c>
      <c r="JT6" s="22">
        <f>JT4*JT5</f>
        <v/>
      </c>
      <c r="JU6" s="22">
        <f>JU4*JU5</f>
        <v/>
      </c>
      <c r="JV6" s="22">
        <f>JV4*JV5</f>
        <v/>
      </c>
      <c r="JW6" s="22">
        <f>JW4*JW5</f>
        <v/>
      </c>
      <c r="JX6" s="22">
        <f>JX4*JX5</f>
        <v/>
      </c>
      <c r="JY6" s="127">
        <f>SUM(IU6:JX6)</f>
        <v/>
      </c>
      <c r="JZ6" s="22">
        <f>JZ4*JZ5</f>
        <v/>
      </c>
      <c r="KA6" s="22">
        <f>KA4*KA5</f>
        <v/>
      </c>
      <c r="KB6" s="22">
        <f>KB4*KB5</f>
        <v/>
      </c>
      <c r="KC6" s="22">
        <f>KC4*KC5</f>
        <v/>
      </c>
      <c r="KD6" s="22">
        <f>KD4*KD5</f>
        <v/>
      </c>
      <c r="KE6" s="22">
        <f>KE4*KE5</f>
        <v/>
      </c>
      <c r="KF6" s="22">
        <f>KF4*KF5</f>
        <v/>
      </c>
      <c r="KG6" s="22">
        <f>KG4*KG5</f>
        <v/>
      </c>
      <c r="KH6" s="22">
        <f>KH4*KH5</f>
        <v/>
      </c>
      <c r="KI6" s="22">
        <f>KI4*KI5</f>
        <v/>
      </c>
      <c r="KJ6" s="22">
        <f>KJ4*KJ5</f>
        <v/>
      </c>
      <c r="KK6" s="22">
        <f>KK4*KK5</f>
        <v/>
      </c>
      <c r="KL6" s="22">
        <f>KL4*KL5</f>
        <v/>
      </c>
      <c r="KM6" s="22">
        <f>KM4*KM5</f>
        <v/>
      </c>
      <c r="KN6" s="22">
        <f>KN4*KN5</f>
        <v/>
      </c>
      <c r="KO6" s="22">
        <f>KO4*KO5</f>
        <v/>
      </c>
      <c r="KP6" s="22">
        <f>KP4*KP5</f>
        <v/>
      </c>
      <c r="KQ6" s="22">
        <f>KQ4*KQ5</f>
        <v/>
      </c>
      <c r="KR6" s="22">
        <f>KR4*KR5</f>
        <v/>
      </c>
      <c r="KS6" s="22">
        <f>KS4*KS5</f>
        <v/>
      </c>
      <c r="KT6" s="22">
        <f>KT4*KT5</f>
        <v/>
      </c>
      <c r="KU6" s="22">
        <f>KU4*KU5</f>
        <v/>
      </c>
      <c r="KV6" s="22">
        <f>KV4*KV5</f>
        <v/>
      </c>
      <c r="KW6" s="22">
        <f>KW4*KW5</f>
        <v/>
      </c>
      <c r="KX6" s="22">
        <f>KX4*KX5</f>
        <v/>
      </c>
      <c r="KY6" s="22">
        <f>KY4*KY5</f>
        <v/>
      </c>
      <c r="KZ6" s="22">
        <f>KZ4*KZ5</f>
        <v/>
      </c>
      <c r="LA6" s="22">
        <f>LA4*LA5</f>
        <v/>
      </c>
      <c r="LB6" s="22">
        <f>LB4*LB5</f>
        <v/>
      </c>
      <c r="LC6" s="22">
        <f>LC4*LC5</f>
        <v/>
      </c>
      <c r="LD6" s="22">
        <f>LD4*LD5</f>
        <v/>
      </c>
      <c r="LE6" s="127">
        <f>SUM(KA6:LD6)</f>
        <v/>
      </c>
      <c r="LF6" s="22">
        <f>LF4*LF5</f>
        <v/>
      </c>
      <c r="LG6" s="22">
        <f>LG4*LG5</f>
        <v/>
      </c>
      <c r="LH6" s="22">
        <f>LH4*LH5</f>
        <v/>
      </c>
      <c r="LI6" s="22">
        <f>LI4*LI5</f>
        <v/>
      </c>
      <c r="LJ6" s="22">
        <f>LJ4*LJ5</f>
        <v/>
      </c>
      <c r="LK6" s="22">
        <f>LK4*LK5</f>
        <v/>
      </c>
      <c r="LL6" s="22">
        <f>LL4*LL5</f>
        <v/>
      </c>
      <c r="LM6" s="22">
        <f>LM4*LM5</f>
        <v/>
      </c>
      <c r="LN6" s="22">
        <f>LN4*LN5</f>
        <v/>
      </c>
      <c r="LO6" s="22">
        <f>LO4*LO5</f>
        <v/>
      </c>
      <c r="LP6" s="22">
        <f>LP4*LP5</f>
        <v/>
      </c>
      <c r="LQ6" s="22">
        <f>LQ4*LQ5</f>
        <v/>
      </c>
      <c r="LR6" s="22">
        <f>LR4*LR5</f>
        <v/>
      </c>
      <c r="LS6" s="22">
        <f>LS4*LS5</f>
        <v/>
      </c>
      <c r="LT6" s="22">
        <f>LT4*LT5</f>
        <v/>
      </c>
      <c r="LU6" s="22">
        <f>LU4*LU5</f>
        <v/>
      </c>
      <c r="LV6" s="22">
        <f>LV4*LV5</f>
        <v/>
      </c>
      <c r="LW6" s="22">
        <f>LW4*LW5</f>
        <v/>
      </c>
      <c r="LX6" s="22">
        <f>LX4*LX5</f>
        <v/>
      </c>
      <c r="LY6" s="22">
        <f>LY4*LY5</f>
        <v/>
      </c>
      <c r="LZ6" s="22">
        <f>LZ4*LZ5</f>
        <v/>
      </c>
      <c r="MA6" s="22">
        <f>MA4*MA5</f>
        <v/>
      </c>
      <c r="MB6" s="22">
        <f>MB4*MB5</f>
        <v/>
      </c>
      <c r="MC6" s="22">
        <f>MC4*MC5</f>
        <v/>
      </c>
      <c r="MD6" s="22">
        <f>MD4*MD5</f>
        <v/>
      </c>
      <c r="ME6" s="22">
        <f>ME4*ME5</f>
        <v/>
      </c>
      <c r="MF6" s="22">
        <f>MF4*MF5</f>
        <v/>
      </c>
      <c r="MG6" s="22">
        <f>MG4*MG5</f>
        <v/>
      </c>
      <c r="MH6" s="22">
        <f>MH4*MH5</f>
        <v/>
      </c>
      <c r="MI6" s="22">
        <f>MI4*MI5</f>
        <v/>
      </c>
      <c r="MJ6" s="127">
        <f>SUM(LF6:MI6)</f>
        <v/>
      </c>
      <c r="MK6" s="22">
        <f>MK4*MK5</f>
        <v/>
      </c>
      <c r="ML6" s="22">
        <f>ML4*ML5</f>
        <v/>
      </c>
      <c r="MM6" s="22">
        <f>MM4*MM5</f>
        <v/>
      </c>
      <c r="MN6" s="22">
        <f>MN4*MN5</f>
        <v/>
      </c>
      <c r="MO6" s="22">
        <f>MO4*MO5</f>
        <v/>
      </c>
      <c r="MP6" s="22">
        <f>MP4*MP5</f>
        <v/>
      </c>
      <c r="MQ6" s="22">
        <f>MQ4*MQ5</f>
        <v/>
      </c>
      <c r="MR6" s="22">
        <f>MR4*MR5</f>
        <v/>
      </c>
      <c r="MS6" s="22">
        <f>MS4*MS5</f>
        <v/>
      </c>
      <c r="MT6" s="22">
        <f>MT4*MT5</f>
        <v/>
      </c>
      <c r="MU6" s="22">
        <f>MU4*MU5</f>
        <v/>
      </c>
      <c r="MV6" s="22">
        <f>MV4*MV5</f>
        <v/>
      </c>
      <c r="MW6" s="22">
        <f>MW4*MW5</f>
        <v/>
      </c>
      <c r="MX6" s="22">
        <f>MX4*MX5</f>
        <v/>
      </c>
      <c r="MY6" s="22">
        <f>MY4*MY5</f>
        <v/>
      </c>
      <c r="MZ6" s="22">
        <f>MZ4*MZ5</f>
        <v/>
      </c>
      <c r="NA6" s="22">
        <f>NA4*NA5</f>
        <v/>
      </c>
      <c r="NB6" s="22">
        <f>NB4*NB5</f>
        <v/>
      </c>
      <c r="NC6" s="22">
        <f>NC4*NC5</f>
        <v/>
      </c>
      <c r="ND6" s="22">
        <f>ND4*ND5</f>
        <v/>
      </c>
      <c r="NE6" s="22">
        <f>NE4*NE5</f>
        <v/>
      </c>
      <c r="NF6" s="22">
        <f>NF4*NF5</f>
        <v/>
      </c>
      <c r="NG6" s="22">
        <f>NG4*NG5</f>
        <v/>
      </c>
      <c r="NH6" s="22">
        <f>NH4*NH5</f>
        <v/>
      </c>
      <c r="NI6" s="22">
        <f>NI4*NI5</f>
        <v/>
      </c>
      <c r="NJ6" s="22">
        <f>NJ4*NJ5</f>
        <v/>
      </c>
      <c r="NK6" s="22">
        <f>NK4*NK5</f>
        <v/>
      </c>
      <c r="NL6" s="22">
        <f>NL4*NL5</f>
        <v/>
      </c>
      <c r="NM6" s="22">
        <f>NM4*NM5</f>
        <v/>
      </c>
      <c r="NN6" s="22">
        <f>NN4*NN5</f>
        <v/>
      </c>
      <c r="NO6" s="22">
        <f>NO4*NO5</f>
        <v/>
      </c>
      <c r="NP6" s="127">
        <f>SUM(ML6:NO6)</f>
        <v/>
      </c>
      <c r="NQ6" s="22">
        <f>NQ4*NQ5</f>
        <v/>
      </c>
      <c r="NR6" s="22">
        <f>NR4*NR5</f>
        <v/>
      </c>
      <c r="NS6" s="22">
        <f>NS4*NS5</f>
        <v/>
      </c>
      <c r="NT6" s="22">
        <f>NT4*NT5</f>
        <v/>
      </c>
      <c r="NU6" s="22">
        <f>NU4*NU5</f>
        <v/>
      </c>
      <c r="NV6" s="22">
        <f>NV4*NV5</f>
        <v/>
      </c>
      <c r="NW6" s="22">
        <f>NW4*NW5</f>
        <v/>
      </c>
      <c r="NX6" s="22">
        <f>NX4*NX5</f>
        <v/>
      </c>
      <c r="NY6" s="22">
        <f>NY4*NY5</f>
        <v/>
      </c>
      <c r="NZ6" s="22">
        <f>NZ4*NZ5</f>
        <v/>
      </c>
      <c r="OA6" s="22">
        <f>OA4*OA5</f>
        <v/>
      </c>
      <c r="OB6" s="22">
        <f>OB4*OB5</f>
        <v/>
      </c>
      <c r="OC6" s="22">
        <f>OC4*OC5</f>
        <v/>
      </c>
      <c r="OD6" s="22">
        <f>OD4*OD5</f>
        <v/>
      </c>
      <c r="OE6" s="22">
        <f>OE4*OE5</f>
        <v/>
      </c>
      <c r="OF6" s="22">
        <f>OF4*OF5</f>
        <v/>
      </c>
      <c r="OG6" s="22">
        <f>OG4*OG5</f>
        <v/>
      </c>
      <c r="OH6" s="22">
        <f>OH4*OH5</f>
        <v/>
      </c>
      <c r="OI6" s="22">
        <f>OI4*OI5</f>
        <v/>
      </c>
      <c r="OJ6" s="22">
        <f>OJ4*OJ5</f>
        <v/>
      </c>
      <c r="OK6" s="22">
        <f>OK4*OK5</f>
        <v/>
      </c>
      <c r="OL6" s="22">
        <f>OL4*OL5</f>
        <v/>
      </c>
      <c r="OM6" s="22">
        <f>OM4*OM5</f>
        <v/>
      </c>
      <c r="ON6" s="22">
        <f>ON4*ON5</f>
        <v/>
      </c>
      <c r="OO6" s="22">
        <f>OO4*OO5</f>
        <v/>
      </c>
      <c r="OP6" s="22">
        <f>OP4*OP5</f>
        <v/>
      </c>
      <c r="OQ6" s="22">
        <f>OQ4*OQ5</f>
        <v/>
      </c>
      <c r="OR6" s="22">
        <f>OR4*OR5</f>
        <v/>
      </c>
      <c r="OS6" s="22">
        <f>OS4*OS5</f>
        <v/>
      </c>
      <c r="OT6" s="22">
        <f>OT4*OT5</f>
        <v/>
      </c>
      <c r="OU6" s="22">
        <f>OU4*OU5</f>
        <v/>
      </c>
      <c r="OV6" s="127">
        <f>SUM(NR6:OU6)</f>
        <v/>
      </c>
      <c r="OW6" s="22">
        <f>OW4*OW5</f>
        <v/>
      </c>
      <c r="OX6" s="22">
        <f>OX4*OX5</f>
        <v/>
      </c>
      <c r="OY6" s="22">
        <f>OY4*OY5</f>
        <v/>
      </c>
      <c r="OZ6" s="22">
        <f>OZ4*OZ5</f>
        <v/>
      </c>
      <c r="PA6" s="22">
        <f>PA4*PA5</f>
        <v/>
      </c>
      <c r="PB6" s="22">
        <f>PB4*PB5</f>
        <v/>
      </c>
      <c r="PC6" s="22">
        <f>PC4*PC5</f>
        <v/>
      </c>
      <c r="PD6" s="22">
        <f>PD4*PD5</f>
        <v/>
      </c>
      <c r="PE6" s="22">
        <f>PE4*PE5</f>
        <v/>
      </c>
      <c r="PF6" s="22">
        <f>PF4*PF5</f>
        <v/>
      </c>
      <c r="PG6" s="22">
        <f>PG4*PG5</f>
        <v/>
      </c>
      <c r="PH6" s="22">
        <f>PH4*PH5</f>
        <v/>
      </c>
      <c r="PI6" s="22">
        <f>PI4*PI5</f>
        <v/>
      </c>
      <c r="PJ6" s="22">
        <f>PJ4*PJ5</f>
        <v/>
      </c>
      <c r="PK6" s="22">
        <f>PK4*PK5</f>
        <v/>
      </c>
      <c r="PL6" s="22">
        <f>PL4*PL5</f>
        <v/>
      </c>
      <c r="PM6" s="22">
        <f>PM4*PM5</f>
        <v/>
      </c>
      <c r="PN6" s="22">
        <f>PN4*PN5</f>
        <v/>
      </c>
      <c r="PO6" s="22">
        <f>PO4*PO5</f>
        <v/>
      </c>
      <c r="PP6" s="22">
        <f>PP4*PP5</f>
        <v/>
      </c>
      <c r="PQ6" s="22">
        <f>PQ4*PQ5</f>
        <v/>
      </c>
      <c r="PR6" s="22">
        <f>PR4*PR5</f>
        <v/>
      </c>
      <c r="PS6" s="22">
        <f>PS4*PS5</f>
        <v/>
      </c>
      <c r="PT6" s="22">
        <f>PT4*PT5</f>
        <v/>
      </c>
      <c r="PU6" s="22">
        <f>PU4*PU5</f>
        <v/>
      </c>
      <c r="PV6" s="22">
        <f>PV4*PV5</f>
        <v/>
      </c>
      <c r="PW6" s="22">
        <f>PW4*PW5</f>
        <v/>
      </c>
      <c r="PX6" s="22">
        <f>PX4*PX5</f>
        <v/>
      </c>
      <c r="PY6" s="22">
        <f>PY4*PY5</f>
        <v/>
      </c>
      <c r="PZ6" s="22">
        <f>PZ4*PZ5</f>
        <v/>
      </c>
      <c r="QA6" s="127">
        <f>SUM(OW6:PZ6)</f>
        <v/>
      </c>
      <c r="QB6" s="22">
        <f>QB4*QB5</f>
        <v/>
      </c>
      <c r="QC6" s="22">
        <f>QC4*QC5</f>
        <v/>
      </c>
      <c r="QD6" s="22">
        <f>QD4*QD5</f>
        <v/>
      </c>
      <c r="QE6" s="22">
        <f>QE4*QE5</f>
        <v/>
      </c>
      <c r="QF6" s="22">
        <f>QF4*QF5</f>
        <v/>
      </c>
      <c r="QG6" s="22">
        <f>QG4*QG5</f>
        <v/>
      </c>
      <c r="QH6" s="22">
        <f>QH4*QH5</f>
        <v/>
      </c>
      <c r="QI6" s="22">
        <f>QI4*QI5</f>
        <v/>
      </c>
      <c r="QJ6" s="22">
        <f>QJ4*QJ5</f>
        <v/>
      </c>
      <c r="QK6" s="22">
        <f>QK4*QK5</f>
        <v/>
      </c>
      <c r="QL6" s="22">
        <f>QL4*QL5</f>
        <v/>
      </c>
      <c r="QM6" s="22">
        <f>QM4*QM5</f>
        <v/>
      </c>
      <c r="QN6" s="22">
        <f>QN4*QN5</f>
        <v/>
      </c>
      <c r="QO6" s="22">
        <f>QO4*QO5</f>
        <v/>
      </c>
      <c r="QP6" s="22">
        <f>QP4*QP5</f>
        <v/>
      </c>
      <c r="QQ6" s="22">
        <f>QQ4*QQ5</f>
        <v/>
      </c>
      <c r="QR6" s="22">
        <f>QR4*QR5</f>
        <v/>
      </c>
      <c r="QS6" s="22">
        <f>QS4*QS5</f>
        <v/>
      </c>
      <c r="QT6" s="22">
        <f>QT4*QT5</f>
        <v/>
      </c>
      <c r="QU6" s="22">
        <f>QU4*QU5</f>
        <v/>
      </c>
      <c r="QV6" s="22">
        <f>QV4*QV5</f>
        <v/>
      </c>
      <c r="QW6" s="22">
        <f>QW4*QW5</f>
        <v/>
      </c>
      <c r="QX6" s="22">
        <f>QX4*QX5</f>
        <v/>
      </c>
      <c r="QY6" s="22">
        <f>QY4*QY5</f>
        <v/>
      </c>
      <c r="QZ6" s="22">
        <f>QZ4*QZ5</f>
        <v/>
      </c>
      <c r="RA6" s="22">
        <f>RA4*RA5</f>
        <v/>
      </c>
      <c r="RB6" s="22">
        <f>RB4*RB5</f>
        <v/>
      </c>
      <c r="RC6" s="22">
        <f>RC4*RC5</f>
        <v/>
      </c>
      <c r="RD6" s="22">
        <f>RD4*RD5</f>
        <v/>
      </c>
      <c r="RE6" s="22">
        <f>RE4*RE5</f>
        <v/>
      </c>
      <c r="RF6" s="22">
        <f>RF4*RF5</f>
        <v/>
      </c>
      <c r="RG6" s="127">
        <f>SUM(QC6:RF6)</f>
        <v/>
      </c>
      <c r="RH6" s="22">
        <f>RH4*RH5</f>
        <v/>
      </c>
      <c r="RI6" s="22">
        <f>RI4*RI5</f>
        <v/>
      </c>
      <c r="RJ6" s="22">
        <f>RJ4*RJ5</f>
        <v/>
      </c>
      <c r="RK6" s="22">
        <f>RK4*RK5</f>
        <v/>
      </c>
      <c r="RL6" s="22">
        <f>RL4*RL5</f>
        <v/>
      </c>
      <c r="RM6" s="22">
        <f>RM4*RM5</f>
        <v/>
      </c>
      <c r="RN6" s="22">
        <f>RN4*RN5</f>
        <v/>
      </c>
      <c r="RO6" s="22">
        <f>RO4*RO5</f>
        <v/>
      </c>
      <c r="RP6" s="22">
        <f>RP4*RP5</f>
        <v/>
      </c>
      <c r="RQ6" s="22">
        <f>RQ4*RQ5</f>
        <v/>
      </c>
      <c r="RR6" s="22">
        <f>RR4*RR5</f>
        <v/>
      </c>
      <c r="RS6" s="22">
        <f>RS4*RS5</f>
        <v/>
      </c>
      <c r="RT6" s="22">
        <f>RT4*RT5</f>
        <v/>
      </c>
      <c r="RU6" s="22">
        <f>RU4*RU5</f>
        <v/>
      </c>
      <c r="RV6" s="22">
        <f>RV4*RV5</f>
        <v/>
      </c>
      <c r="RW6" s="22">
        <f>RW4*RW5</f>
        <v/>
      </c>
      <c r="RX6" s="22">
        <f>RX4*RX5</f>
        <v/>
      </c>
      <c r="RY6" s="22">
        <f>RY4*RY5</f>
        <v/>
      </c>
      <c r="RZ6" s="22">
        <f>RZ4*RZ5</f>
        <v/>
      </c>
      <c r="SA6" s="22">
        <f>SA4*SA5</f>
        <v/>
      </c>
      <c r="SB6" s="22">
        <f>SB4*SB5</f>
        <v/>
      </c>
      <c r="SC6" s="22">
        <f>SC4*SC5</f>
        <v/>
      </c>
      <c r="SD6" s="22">
        <f>SD4*SD5</f>
        <v/>
      </c>
      <c r="SE6" s="22">
        <f>SE4*SE5</f>
        <v/>
      </c>
      <c r="SF6" s="22">
        <f>SF4*SF5</f>
        <v/>
      </c>
      <c r="SG6" s="22">
        <f>SG4*SG5</f>
        <v/>
      </c>
      <c r="SH6" s="22">
        <f>SH4*SH5</f>
        <v/>
      </c>
      <c r="SI6" s="22">
        <f>SI4*SI5</f>
        <v/>
      </c>
      <c r="SJ6" s="22">
        <f>SJ4*SJ5</f>
        <v/>
      </c>
      <c r="SK6" s="22">
        <f>SK4*SK5</f>
        <v/>
      </c>
      <c r="SL6" s="127">
        <f>SL5*SL4</f>
        <v/>
      </c>
      <c r="SM6" s="22">
        <f>SM4*SM5</f>
        <v/>
      </c>
      <c r="SN6" s="22">
        <f>SN4*SN5</f>
        <v/>
      </c>
      <c r="SO6" s="22">
        <f>SO4*SO5</f>
        <v/>
      </c>
      <c r="SP6" s="22">
        <f>SP4*SP5</f>
        <v/>
      </c>
      <c r="SQ6" s="22">
        <f>SQ4*SQ5</f>
        <v/>
      </c>
      <c r="SR6" s="22">
        <f>SR4*SR5</f>
        <v/>
      </c>
      <c r="SS6" s="22">
        <f>SS4*SS5</f>
        <v/>
      </c>
      <c r="ST6" s="22">
        <f>ST4*ST5</f>
        <v/>
      </c>
      <c r="SU6" s="22">
        <f>SU4*SU5</f>
        <v/>
      </c>
      <c r="SV6" s="22">
        <f>SV4*SV5</f>
        <v/>
      </c>
      <c r="SW6" s="22">
        <f>SW4*SW5</f>
        <v/>
      </c>
      <c r="SX6" s="22">
        <f>SX4*SX5</f>
        <v/>
      </c>
      <c r="SY6" s="22">
        <f>SY4*SY5</f>
        <v/>
      </c>
      <c r="SZ6" s="22">
        <f>SZ4*SZ5</f>
        <v/>
      </c>
      <c r="TA6" s="22">
        <f>TA4*TA5</f>
        <v/>
      </c>
      <c r="TB6" s="22">
        <f>TB4*TB5</f>
        <v/>
      </c>
      <c r="TC6" s="22">
        <f>TC4*TC5</f>
        <v/>
      </c>
      <c r="TD6" s="22">
        <f>TD4*TD5</f>
        <v/>
      </c>
      <c r="TE6" s="22">
        <f>TE4*TE5</f>
        <v/>
      </c>
      <c r="TF6" s="22">
        <f>TF4*TF5</f>
        <v/>
      </c>
      <c r="TG6" s="22">
        <f>TG4*TG5</f>
        <v/>
      </c>
      <c r="TH6" s="22">
        <f>TH4*TH5</f>
        <v/>
      </c>
      <c r="TI6" s="22">
        <f>TI4*TI5</f>
        <v/>
      </c>
      <c r="TJ6" s="22">
        <f>TJ4*TJ5</f>
        <v/>
      </c>
      <c r="TK6" s="22">
        <f>TK4*TK5</f>
        <v/>
      </c>
      <c r="TL6" s="22">
        <f>TL4*TL5</f>
        <v/>
      </c>
      <c r="TM6" s="22">
        <f>TM4*TM5</f>
        <v/>
      </c>
      <c r="TN6" s="22">
        <f>TN4*TN5</f>
        <v/>
      </c>
      <c r="TO6" s="22">
        <f>TO4*TO5</f>
        <v/>
      </c>
      <c r="TP6" s="22">
        <f>TP4*TP5</f>
        <v/>
      </c>
      <c r="TQ6" s="22">
        <f>TQ4*TQ5</f>
        <v/>
      </c>
      <c r="TR6" s="127">
        <f>TR5*TR4</f>
        <v/>
      </c>
      <c r="TS6" s="22">
        <f>TS4*TS5</f>
        <v/>
      </c>
      <c r="TT6" s="22">
        <f>TT4*TT5</f>
        <v/>
      </c>
      <c r="TU6" s="22">
        <f>TU4*TU5</f>
        <v/>
      </c>
      <c r="TV6" s="22">
        <f>TV4*TV5</f>
        <v/>
      </c>
      <c r="TW6" s="22">
        <f>TW4*TW5</f>
        <v/>
      </c>
      <c r="TX6" s="22">
        <f>TX4*TX5</f>
        <v/>
      </c>
      <c r="TY6" s="22">
        <f>TY4*TY5</f>
        <v/>
      </c>
      <c r="TZ6" s="22">
        <f>TZ4*TZ5</f>
        <v/>
      </c>
      <c r="UA6" s="22">
        <f>UA4*UA5</f>
        <v/>
      </c>
      <c r="UB6" s="22">
        <f>UB4*UB5</f>
        <v/>
      </c>
      <c r="UC6" s="22">
        <f>UC4*UC5</f>
        <v/>
      </c>
      <c r="UD6" s="22">
        <f>UD4*UD5</f>
        <v/>
      </c>
      <c r="UE6" s="22">
        <f>UE4*UE5</f>
        <v/>
      </c>
      <c r="UF6" s="22">
        <f>UF4*UF5</f>
        <v/>
      </c>
      <c r="UG6" s="22">
        <f>UG4*UG5</f>
        <v/>
      </c>
      <c r="UH6" s="22">
        <f>UH4*UH5</f>
        <v/>
      </c>
      <c r="UI6" s="22">
        <f>UI4*UI5</f>
        <v/>
      </c>
      <c r="UJ6" s="22">
        <f>UJ4*UJ5</f>
        <v/>
      </c>
      <c r="UK6" s="22">
        <f>UK4*UK5</f>
        <v/>
      </c>
      <c r="UL6" s="22">
        <f>UL4*UL5</f>
        <v/>
      </c>
      <c r="UM6" s="22">
        <f>UM4*UM5</f>
        <v/>
      </c>
      <c r="UN6" s="22">
        <f>UN4*UN5</f>
        <v/>
      </c>
      <c r="UO6" s="22">
        <f>UO4*UO5</f>
        <v/>
      </c>
      <c r="UP6" s="22">
        <f>UP4*UP5</f>
        <v/>
      </c>
      <c r="UQ6" s="22">
        <f>UQ4*UQ5</f>
        <v/>
      </c>
      <c r="UR6" s="22">
        <f>UR4*UR5</f>
        <v/>
      </c>
      <c r="US6" s="22">
        <f>US4*US5</f>
        <v/>
      </c>
      <c r="UT6" s="22">
        <f>UT4*UT5</f>
        <v/>
      </c>
      <c r="UU6" s="22">
        <f>UU4*UU5</f>
        <v/>
      </c>
      <c r="UV6" s="22">
        <f>UV4*UV5</f>
        <v/>
      </c>
      <c r="UW6" s="22">
        <f>UW4*UW5</f>
        <v/>
      </c>
      <c r="UX6" s="127">
        <f>UX5*UX4</f>
        <v/>
      </c>
      <c r="UY6" s="22">
        <f>UY4*UY5</f>
        <v/>
      </c>
      <c r="UZ6" s="22">
        <f>UZ4*UZ5</f>
        <v/>
      </c>
      <c r="VA6" s="22">
        <f>VA4*VA5</f>
        <v/>
      </c>
      <c r="VB6" s="22">
        <f>VB4*VB5</f>
        <v/>
      </c>
      <c r="VC6" s="22">
        <f>VC4*VC5</f>
        <v/>
      </c>
      <c r="VD6" s="22">
        <f>VD4*VD5</f>
        <v/>
      </c>
      <c r="VE6" s="22">
        <f>VE4*VE5</f>
        <v/>
      </c>
      <c r="VF6" s="22">
        <f>VF4*VF5</f>
        <v/>
      </c>
      <c r="VG6" s="22">
        <f>VG4*VG5</f>
        <v/>
      </c>
      <c r="VH6" s="22">
        <f>VH4*VH5</f>
        <v/>
      </c>
      <c r="VI6" s="22">
        <f>VI4*VI5</f>
        <v/>
      </c>
      <c r="VJ6" s="22">
        <f>VJ4*VJ5</f>
        <v/>
      </c>
      <c r="VK6" s="22">
        <f>VK4*VK5</f>
        <v/>
      </c>
      <c r="VL6" s="22">
        <f>VL4*VL5</f>
        <v/>
      </c>
      <c r="VM6" s="22">
        <f>VM4*VM5</f>
        <v/>
      </c>
      <c r="VN6" s="22">
        <f>VN4*VN5</f>
        <v/>
      </c>
      <c r="VO6" s="22">
        <f>VO4*VO5</f>
        <v/>
      </c>
      <c r="VP6" s="22">
        <f>VP4*VP5</f>
        <v/>
      </c>
      <c r="VQ6" s="22">
        <f>VQ4*VQ5</f>
        <v/>
      </c>
      <c r="VR6" s="22">
        <f>VR4*VR5</f>
        <v/>
      </c>
      <c r="VS6" s="22">
        <f>VS4*VS5</f>
        <v/>
      </c>
      <c r="VT6" s="22">
        <f>VT4*VT5</f>
        <v/>
      </c>
      <c r="VU6" s="22">
        <f>VU4*VU5</f>
        <v/>
      </c>
      <c r="VV6" s="22">
        <f>VV4*VV5</f>
        <v/>
      </c>
      <c r="VW6" s="22">
        <f>VW4*VW5</f>
        <v/>
      </c>
      <c r="VX6" s="22">
        <f>VX4*VX5</f>
        <v/>
      </c>
      <c r="VY6" s="22">
        <f>VY4*VY5</f>
        <v/>
      </c>
      <c r="VZ6" s="22">
        <f>VZ4*VZ5</f>
        <v/>
      </c>
      <c r="WA6" s="127">
        <f>WA5*WA4</f>
        <v/>
      </c>
      <c r="WB6" s="22">
        <f>WB4*WB5</f>
        <v/>
      </c>
      <c r="WC6" s="22">
        <f>WC4*WC5</f>
        <v/>
      </c>
      <c r="WD6" s="22">
        <f>WD4*WD5</f>
        <v/>
      </c>
      <c r="WE6" s="22">
        <f>WE4*WE5</f>
        <v/>
      </c>
      <c r="WF6" s="22">
        <f>WF4*WF5</f>
        <v/>
      </c>
      <c r="WG6" s="22">
        <f>WG4*WG5</f>
        <v/>
      </c>
      <c r="WH6" s="22">
        <f>WH4*WH5</f>
        <v/>
      </c>
      <c r="WI6" s="22">
        <f>WI4*WI5</f>
        <v/>
      </c>
      <c r="WJ6" s="22">
        <f>WJ4*WJ5</f>
        <v/>
      </c>
      <c r="WK6" s="22">
        <f>WK4*WK5</f>
        <v/>
      </c>
      <c r="WL6" s="22">
        <f>WL4*WL5</f>
        <v/>
      </c>
      <c r="WM6" s="22">
        <f>WM4*WM5</f>
        <v/>
      </c>
      <c r="WN6" s="22">
        <f>WN4*WN5</f>
        <v/>
      </c>
      <c r="WO6" s="22">
        <f>WO4*WO5</f>
        <v/>
      </c>
      <c r="WP6" s="22">
        <f>WP4*WP5</f>
        <v/>
      </c>
      <c r="WQ6" s="22">
        <f>WQ4*WQ5</f>
        <v/>
      </c>
      <c r="WR6" s="22">
        <f>WR4*WR5</f>
        <v/>
      </c>
      <c r="WS6" s="22">
        <f>WS4*WS5</f>
        <v/>
      </c>
      <c r="WT6" s="22">
        <f>WT4*WT5</f>
        <v/>
      </c>
      <c r="WU6" s="22">
        <f>WU4*WU5</f>
        <v/>
      </c>
      <c r="WV6" s="22">
        <f>WV4*WV5</f>
        <v/>
      </c>
      <c r="WW6" s="22">
        <f>WW4*WW5</f>
        <v/>
      </c>
      <c r="WX6" s="22">
        <f>WX4*WX5</f>
        <v/>
      </c>
      <c r="WY6" s="22">
        <f>WY4*WY5</f>
        <v/>
      </c>
      <c r="WZ6" s="22">
        <f>WZ4*WZ5</f>
        <v/>
      </c>
      <c r="XA6" s="22">
        <f>XA4*XA5</f>
        <v/>
      </c>
      <c r="XB6" s="22">
        <f>XB4*XB5</f>
        <v/>
      </c>
      <c r="XC6" s="22">
        <f>XC4*XC5</f>
        <v/>
      </c>
      <c r="XD6" s="22">
        <f>XD4*XD5</f>
        <v/>
      </c>
      <c r="XE6" s="22">
        <f>XE4*XE5</f>
        <v/>
      </c>
      <c r="XF6" s="22">
        <f>XF4*XF5</f>
        <v/>
      </c>
      <c r="XG6" s="127">
        <f>SUM(WB6:XF6)</f>
        <v/>
      </c>
      <c r="XH6" s="22">
        <f>XH4*XH5</f>
        <v/>
      </c>
      <c r="XI6" s="22">
        <f>XI4*XI5</f>
        <v/>
      </c>
      <c r="XJ6" s="22">
        <f>XJ4*XJ5</f>
        <v/>
      </c>
      <c r="XK6" s="22">
        <f>XK4*XK5</f>
        <v/>
      </c>
      <c r="XL6" s="22">
        <f>XL4*XL5</f>
        <v/>
      </c>
      <c r="XM6" s="22">
        <f>XM4*XM5</f>
        <v/>
      </c>
      <c r="XN6" s="22">
        <f>XN4*XN5</f>
        <v/>
      </c>
      <c r="XO6" s="22">
        <f>XO4*XO5</f>
        <v/>
      </c>
      <c r="XP6" s="22">
        <f>XP4*XP5</f>
        <v/>
      </c>
      <c r="XQ6" s="22">
        <f>XQ4*XQ5</f>
        <v/>
      </c>
      <c r="XR6" s="22">
        <f>XR4*XR5</f>
        <v/>
      </c>
      <c r="XS6" s="22">
        <f>XS4*XS5</f>
        <v/>
      </c>
      <c r="XT6" s="22">
        <f>XT4*XT5</f>
        <v/>
      </c>
      <c r="XU6" s="22">
        <f>XU4*XU5</f>
        <v/>
      </c>
      <c r="XV6" s="22">
        <f>XV4*XV5</f>
        <v/>
      </c>
      <c r="XW6" s="22">
        <f>XW4*XW5</f>
        <v/>
      </c>
      <c r="XX6" s="22">
        <f>XX4*XX5</f>
        <v/>
      </c>
      <c r="XY6" s="22">
        <f>XY4*XY5</f>
        <v/>
      </c>
      <c r="XZ6" s="22">
        <f>XZ4*XZ5</f>
        <v/>
      </c>
      <c r="YA6" s="22">
        <f>YA4*YA5</f>
        <v/>
      </c>
      <c r="YB6" s="22">
        <f>YB4*YB5</f>
        <v/>
      </c>
      <c r="YC6" s="22">
        <f>YC4*YC5</f>
        <v/>
      </c>
      <c r="YD6" s="22">
        <f>YD4*YD5</f>
        <v/>
      </c>
      <c r="YE6" s="22">
        <f>YE4*YE5</f>
        <v/>
      </c>
      <c r="YF6" s="22">
        <f>YF4*YF5</f>
        <v/>
      </c>
      <c r="YG6" s="22">
        <f>YG4*YG5</f>
        <v/>
      </c>
      <c r="YH6" s="22">
        <f>YH4*YH5</f>
        <v/>
      </c>
      <c r="YI6" s="22">
        <f>YI4*YI5</f>
        <v/>
      </c>
      <c r="YJ6" s="22">
        <f>YJ4*YJ5</f>
        <v/>
      </c>
      <c r="YK6" s="22">
        <f>YK4*YK5</f>
        <v/>
      </c>
      <c r="YL6" s="127">
        <f>SUM(XH6:YK6)</f>
        <v/>
      </c>
      <c r="YM6" s="22">
        <f>YM4*YM5</f>
        <v/>
      </c>
      <c r="YN6" s="22">
        <f>YN4*YN5</f>
        <v/>
      </c>
      <c r="YO6" s="22">
        <f>YO4*YO5</f>
        <v/>
      </c>
      <c r="YP6" s="22">
        <f>YP4*YP5</f>
        <v/>
      </c>
      <c r="YQ6" s="22">
        <f>YQ4*YQ5</f>
        <v/>
      </c>
      <c r="YR6" s="22">
        <f>YR4*YR5</f>
        <v/>
      </c>
      <c r="YS6" s="22">
        <f>YS4*YS5</f>
        <v/>
      </c>
      <c r="YT6" s="22">
        <f>YT4*YT5</f>
        <v/>
      </c>
      <c r="YU6" s="22">
        <f>YU4*YU5</f>
        <v/>
      </c>
      <c r="YV6" s="22">
        <f>YV4*YV5</f>
        <v/>
      </c>
      <c r="YW6" s="22">
        <f>YW4*YW5</f>
        <v/>
      </c>
      <c r="YX6" s="22">
        <f>YX4*YX5</f>
        <v/>
      </c>
      <c r="YY6" s="22">
        <f>YY4*YY5</f>
        <v/>
      </c>
      <c r="YZ6" s="22">
        <f>YZ4*YZ5</f>
        <v/>
      </c>
      <c r="ZA6" s="22">
        <f>ZA4*ZA5</f>
        <v/>
      </c>
      <c r="ZB6" s="22">
        <f>ZB4*ZB5</f>
        <v/>
      </c>
      <c r="ZC6" s="22">
        <f>ZC4*ZC5</f>
        <v/>
      </c>
      <c r="ZD6" s="22">
        <f>ZD4*ZD5</f>
        <v/>
      </c>
      <c r="ZE6" s="22">
        <f>ZE4*ZE5</f>
        <v/>
      </c>
      <c r="ZF6" s="22">
        <f>ZF4*ZF5</f>
        <v/>
      </c>
      <c r="ZG6" s="22">
        <f>ZG4*ZG5</f>
        <v/>
      </c>
      <c r="ZH6" s="22">
        <f>ZH4*ZH5</f>
        <v/>
      </c>
      <c r="ZI6" s="22">
        <f>ZI4*ZI5</f>
        <v/>
      </c>
      <c r="ZJ6" s="22">
        <f>ZJ4*ZJ5</f>
        <v/>
      </c>
      <c r="ZK6" s="22">
        <f>ZK4*ZK5</f>
        <v/>
      </c>
      <c r="ZL6" s="22">
        <f>ZL4*ZL5</f>
        <v/>
      </c>
      <c r="ZM6" s="22">
        <f>ZM4*ZM5</f>
        <v/>
      </c>
      <c r="ZN6" s="22">
        <f>ZN4*ZN5</f>
        <v/>
      </c>
      <c r="ZO6" s="22">
        <f>ZO4*ZO5</f>
        <v/>
      </c>
      <c r="ZP6" s="22">
        <f>ZP4*ZP5</f>
        <v/>
      </c>
      <c r="ZQ6" s="22">
        <f>ZQ4*ZQ5</f>
        <v/>
      </c>
      <c r="ZR6" s="127">
        <f>SUM(YM6:ZQ6)</f>
        <v/>
      </c>
      <c r="ZS6" s="22">
        <f>ZS4*ZS5</f>
        <v/>
      </c>
      <c r="ZT6" s="22">
        <f>ZT4*ZT5</f>
        <v/>
      </c>
      <c r="ZU6" s="22">
        <f>ZU4*ZU5</f>
        <v/>
      </c>
      <c r="ZV6" s="22">
        <f>ZV4*ZV5</f>
        <v/>
      </c>
      <c r="ZW6" s="22">
        <f>ZW4*ZW5</f>
        <v/>
      </c>
      <c r="ZX6" s="22">
        <f>ZX4*ZX5</f>
        <v/>
      </c>
      <c r="ZY6" s="22">
        <f>ZY4*ZY5</f>
        <v/>
      </c>
      <c r="ZZ6" s="22">
        <f>ZZ4*ZZ5</f>
        <v/>
      </c>
      <c r="AAA6" s="22">
        <f>AAA4*AAA5</f>
        <v/>
      </c>
      <c r="AAB6" s="22">
        <f>AAB4*AAB5</f>
        <v/>
      </c>
      <c r="AAC6" s="22">
        <f>AAC4*AAC5</f>
        <v/>
      </c>
      <c r="AAD6" s="22">
        <f>AAD4*AAD5</f>
        <v/>
      </c>
      <c r="AAE6" s="22">
        <f>AAE4*AAE5</f>
        <v/>
      </c>
      <c r="AAF6" s="22">
        <f>AAF4*AAF5</f>
        <v/>
      </c>
      <c r="AAG6" s="22">
        <f>AAG4*AAG5</f>
        <v/>
      </c>
      <c r="AAH6" s="22">
        <f>AAH4*AAH5</f>
        <v/>
      </c>
      <c r="AAI6" s="22">
        <f>AAI4*AAI5</f>
        <v/>
      </c>
      <c r="AAJ6" s="22">
        <f>AAJ4*AAJ5</f>
        <v/>
      </c>
      <c r="AAK6" s="22">
        <f>AAK4*AAK5</f>
        <v/>
      </c>
      <c r="AAL6" s="22">
        <f>AAL4*AAL5</f>
        <v/>
      </c>
      <c r="AAM6" s="22">
        <f>AAM4*AAM5</f>
        <v/>
      </c>
      <c r="AAN6" s="22">
        <f>AAN4*AAN5</f>
        <v/>
      </c>
      <c r="AAO6" s="22">
        <f>AAO4*AAO5</f>
        <v/>
      </c>
      <c r="AAP6" s="22">
        <f>AAP4*AAP5</f>
        <v/>
      </c>
      <c r="AAQ6" s="22">
        <f>AAQ4*AAQ5</f>
        <v/>
      </c>
      <c r="AAR6" s="22">
        <f>AAR4*AAR5</f>
        <v/>
      </c>
      <c r="AAS6" s="22">
        <f>AAS4*AAS5</f>
        <v/>
      </c>
      <c r="AAT6" s="22">
        <f>AAT4*AAT5</f>
        <v/>
      </c>
      <c r="AAU6" s="22">
        <f>AAU4*AAU5</f>
        <v/>
      </c>
      <c r="AAV6" s="22">
        <f>AAV4*AAV5</f>
        <v/>
      </c>
      <c r="AAW6" s="127">
        <f>SUM(ZS6:AAV6)</f>
        <v/>
      </c>
      <c r="AAX6" s="22">
        <f>AAX4*AAX5</f>
        <v/>
      </c>
      <c r="AAY6" s="22">
        <f>AAY4*AAY5</f>
        <v/>
      </c>
      <c r="AAZ6" s="22">
        <f>AAZ4*AAZ5</f>
        <v/>
      </c>
      <c r="ABA6" s="22">
        <f>ABA4*ABA5</f>
        <v/>
      </c>
      <c r="ABB6" s="22">
        <f>ABB4*ABB5</f>
        <v/>
      </c>
      <c r="ABC6" s="22">
        <f>ABC4*ABC5</f>
        <v/>
      </c>
      <c r="ABD6" s="22">
        <f>ABD4*ABD5</f>
        <v/>
      </c>
      <c r="ABE6" s="22">
        <f>ABE4*ABE5</f>
        <v/>
      </c>
      <c r="ABF6" s="22">
        <f>ABF4*ABF5</f>
        <v/>
      </c>
      <c r="ABG6" s="22">
        <f>ABG4*ABG5</f>
        <v/>
      </c>
      <c r="ABH6" s="22">
        <f>ABH4*ABH5</f>
        <v/>
      </c>
      <c r="ABI6" s="22">
        <f>ABI4*ABI5</f>
        <v/>
      </c>
      <c r="ABJ6" s="22">
        <f>ABJ4*ABJ5</f>
        <v/>
      </c>
      <c r="ABK6" s="22">
        <f>ABK4*ABK5</f>
        <v/>
      </c>
      <c r="ABL6" s="22">
        <f>ABL4*ABL5</f>
        <v/>
      </c>
      <c r="ABM6" s="22">
        <f>ABM4*ABM5</f>
        <v/>
      </c>
      <c r="ABN6" s="22">
        <f>ABN4*ABN5</f>
        <v/>
      </c>
      <c r="ABO6" s="22">
        <f>ABO4*ABO5</f>
        <v/>
      </c>
      <c r="ABP6" s="22">
        <f>ABP4*ABP5</f>
        <v/>
      </c>
      <c r="ABQ6" s="22">
        <f>ABQ4*ABQ5</f>
        <v/>
      </c>
      <c r="ABR6" s="22">
        <f>ABR4*ABR5</f>
        <v/>
      </c>
      <c r="ABS6" s="22">
        <f>ABS4*ABS5</f>
        <v/>
      </c>
      <c r="ABT6" s="22">
        <f>ABT4*ABT5</f>
        <v/>
      </c>
      <c r="ABU6" s="22">
        <f>ABU4*ABU5</f>
        <v/>
      </c>
      <c r="ABV6" s="22">
        <f>ABV4*ABV5</f>
        <v/>
      </c>
      <c r="ABW6" s="22">
        <f>ABW4*ABW5</f>
        <v/>
      </c>
      <c r="ABX6" s="22">
        <f>ABX4*ABX5</f>
        <v/>
      </c>
      <c r="ABY6" s="22">
        <f>ABY4*ABY5</f>
        <v/>
      </c>
      <c r="ABZ6" s="22">
        <f>ABZ4*ABZ5</f>
        <v/>
      </c>
      <c r="ACA6" s="22">
        <f>ACA4*ACA5</f>
        <v/>
      </c>
      <c r="ACB6" s="22">
        <f>ACB4*ACB5</f>
        <v/>
      </c>
      <c r="ACC6" s="127">
        <f>SUM(AAX6:ACB6)</f>
        <v/>
      </c>
      <c r="ACD6" s="22">
        <f>ACD4*ACD5</f>
        <v/>
      </c>
      <c r="ACE6" s="22">
        <f>ACE4*ACE5</f>
        <v/>
      </c>
      <c r="ACF6" s="22">
        <f>ACF4*ACF5</f>
        <v/>
      </c>
      <c r="ACG6" s="22">
        <f>ACG4*ACG5</f>
        <v/>
      </c>
      <c r="ACH6" s="22">
        <f>ACH4*ACH5</f>
        <v/>
      </c>
      <c r="ACI6" s="22">
        <f>ACI4*ACI5</f>
        <v/>
      </c>
      <c r="ACJ6" s="22">
        <f>ACJ4*ACJ5</f>
        <v/>
      </c>
      <c r="ACK6" s="22">
        <f>ACK4*ACK5</f>
        <v/>
      </c>
      <c r="ACL6" s="22">
        <f>ACL4*ACL5</f>
        <v/>
      </c>
      <c r="ACM6" s="22">
        <f>ACM4*ACM5</f>
        <v/>
      </c>
      <c r="ACN6" s="22">
        <f>ACN4*ACN5</f>
        <v/>
      </c>
      <c r="ACO6" s="22">
        <f>ACO4*ACO5</f>
        <v/>
      </c>
      <c r="ACP6" s="22">
        <f>ACP4*ACP5</f>
        <v/>
      </c>
      <c r="ACQ6" s="22">
        <f>ACQ4*ACQ5</f>
        <v/>
      </c>
      <c r="ACR6" s="22">
        <f>ACR4*ACR5</f>
        <v/>
      </c>
      <c r="ACS6" s="22">
        <f>ACS4*ACS5</f>
        <v/>
      </c>
      <c r="ACT6" s="22">
        <f>ACT4*ACT5</f>
        <v/>
      </c>
      <c r="ACU6" s="22">
        <f>ACU4*ACU5</f>
        <v/>
      </c>
      <c r="ACV6" s="22">
        <f>ACV4*ACV5</f>
        <v/>
      </c>
      <c r="ACW6" s="22">
        <f>ACW4*ACW5</f>
        <v/>
      </c>
      <c r="ACX6" s="22">
        <f>ACX4*ACX5</f>
        <v/>
      </c>
      <c r="ACY6" s="22">
        <f>ACY4*ACY5</f>
        <v/>
      </c>
      <c r="ACZ6" s="22">
        <f>ACZ4*ACZ5</f>
        <v/>
      </c>
      <c r="ADA6" s="22">
        <f>ADA4*ADA5</f>
        <v/>
      </c>
      <c r="ADB6" s="22">
        <f>ADB4*ADB5</f>
        <v/>
      </c>
      <c r="ADC6" s="22">
        <f>ADC4*ADC5</f>
        <v/>
      </c>
      <c r="ADD6" s="22">
        <f>ADD4*ADD5</f>
        <v/>
      </c>
      <c r="ADE6" s="22">
        <f>ADE4*ADE5</f>
        <v/>
      </c>
      <c r="ADF6" s="22">
        <f>ADF4*ADF5</f>
        <v/>
      </c>
      <c r="ADG6" s="22">
        <f>ADG4*ADG5</f>
        <v/>
      </c>
      <c r="ADH6" s="22">
        <f>ADH4*ADH5</f>
        <v/>
      </c>
      <c r="ADI6" s="127">
        <f>SUM(ACD6:ADH6)</f>
        <v/>
      </c>
      <c r="ADJ6" s="22">
        <f>ADJ4*ADJ5</f>
        <v/>
      </c>
      <c r="ADK6" s="22">
        <f>ADK4*ADK5</f>
        <v/>
      </c>
      <c r="ADL6" s="22">
        <f>ADL4*ADL5</f>
        <v/>
      </c>
      <c r="ADM6" s="22">
        <f>ADM4*ADM5</f>
        <v/>
      </c>
      <c r="ADN6" s="22">
        <f>ADN4*ADN5</f>
        <v/>
      </c>
      <c r="ADO6" s="22">
        <f>ADO4*ADO5</f>
        <v/>
      </c>
      <c r="ADP6" s="22">
        <f>ADP4*ADP5</f>
        <v/>
      </c>
      <c r="ADQ6" s="22">
        <f>ADQ4*ADQ5</f>
        <v/>
      </c>
      <c r="ADR6" s="22">
        <f>ADR4*ADR5</f>
        <v/>
      </c>
      <c r="ADS6" s="22">
        <f>ADS4*ADS5</f>
        <v/>
      </c>
      <c r="ADT6" s="22">
        <f>ADT4*ADT5</f>
        <v/>
      </c>
      <c r="ADU6" s="22">
        <f>ADU4*ADU5</f>
        <v/>
      </c>
      <c r="ADV6" s="22">
        <f>ADV4*ADV5</f>
        <v/>
      </c>
      <c r="ADW6" s="22">
        <f>ADW4*ADW5</f>
        <v/>
      </c>
      <c r="ADX6" s="22">
        <f>ADX4*ADX5</f>
        <v/>
      </c>
      <c r="ADY6" s="22">
        <f>ADY4*ADY5</f>
        <v/>
      </c>
      <c r="ADZ6" s="22">
        <f>ADZ4*ADZ5</f>
        <v/>
      </c>
      <c r="AEA6" s="22">
        <f>AEA4*AEA5</f>
        <v/>
      </c>
      <c r="AEB6" s="22">
        <f>AEB4*AEB5</f>
        <v/>
      </c>
      <c r="AEC6" s="22">
        <f>AEC4*AEC5</f>
        <v/>
      </c>
      <c r="AED6" s="22">
        <f>AED4*AED5</f>
        <v/>
      </c>
      <c r="AEE6" s="22">
        <f>AEE4*AEE5</f>
        <v/>
      </c>
      <c r="AEF6" s="22">
        <f>AEF4*AEF5</f>
        <v/>
      </c>
      <c r="AEG6" s="22">
        <f>AEG4*AEG5</f>
        <v/>
      </c>
      <c r="AEH6" s="22">
        <f>AEH4*AEH5</f>
        <v/>
      </c>
      <c r="AEI6" s="22">
        <f>AEI4*AEI5</f>
        <v/>
      </c>
      <c r="AEJ6" s="22">
        <f>AEJ4*AEJ5</f>
        <v/>
      </c>
      <c r="AEK6" s="22">
        <f>AEK4*AEK5</f>
        <v/>
      </c>
      <c r="AEL6" s="22">
        <f>AEL4*AEL5</f>
        <v/>
      </c>
      <c r="AEM6" s="22">
        <f>AEM4*AEM5</f>
        <v/>
      </c>
      <c r="AEN6" s="127">
        <f>SUM(ADJ6:AEM6)</f>
        <v/>
      </c>
      <c r="AEO6" s="22">
        <f>AEO4*AEO5</f>
        <v/>
      </c>
      <c r="AEP6" s="22">
        <f>AEP4*AEP5</f>
        <v/>
      </c>
      <c r="AEQ6" s="22">
        <f>AEQ4*AEQ5</f>
        <v/>
      </c>
      <c r="AER6" s="22">
        <f>AER4*AER5</f>
        <v/>
      </c>
      <c r="AES6" s="22">
        <f>AES4*AES5</f>
        <v/>
      </c>
      <c r="AET6" s="22">
        <f>AET4*AET5</f>
        <v/>
      </c>
      <c r="AEU6" s="22">
        <f>AEU4*AEU5</f>
        <v/>
      </c>
      <c r="AEV6" s="22">
        <f>AEV4*AEV5</f>
        <v/>
      </c>
      <c r="AEW6" s="22">
        <f>AEW4*AEW5</f>
        <v/>
      </c>
      <c r="AEX6" s="22">
        <f>AEX4*AEX5</f>
        <v/>
      </c>
      <c r="AEY6" s="22">
        <f>AEY4*AEY5</f>
        <v/>
      </c>
      <c r="AEZ6" s="22">
        <f>AEZ4*AEZ5</f>
        <v/>
      </c>
      <c r="AFA6" s="22">
        <f>AFA4*AFA5</f>
        <v/>
      </c>
      <c r="AFB6" s="22">
        <f>AFB4*AFB5</f>
        <v/>
      </c>
      <c r="AFC6" s="22">
        <f>AFC4*AFC5</f>
        <v/>
      </c>
      <c r="AFD6" s="22">
        <f>AFD4*AFD5</f>
        <v/>
      </c>
      <c r="AFE6" s="22">
        <f>AFE4*AFE5</f>
        <v/>
      </c>
      <c r="AFF6" s="22">
        <f>AFF4*AFF5</f>
        <v/>
      </c>
      <c r="AFG6" s="22">
        <f>AFG4*AFG5</f>
        <v/>
      </c>
      <c r="AFH6" s="22">
        <f>AFH4*AFH5</f>
        <v/>
      </c>
      <c r="AFI6" s="22">
        <f>AFI4*AFI5</f>
        <v/>
      </c>
      <c r="AFJ6" s="22">
        <f>AFJ4*AFJ5</f>
        <v/>
      </c>
      <c r="AFK6" s="22">
        <f>AFK4*AFK5</f>
        <v/>
      </c>
      <c r="AFL6" s="22">
        <f>AFL4*AFL5</f>
        <v/>
      </c>
      <c r="AFM6" s="22">
        <f>AFM4*AFM5</f>
        <v/>
      </c>
      <c r="AFN6" s="22">
        <f>AFN4*AFN5</f>
        <v/>
      </c>
      <c r="AFO6" s="22">
        <f>AFO4*AFO5</f>
        <v/>
      </c>
      <c r="AFP6" s="22">
        <f>AFP4*AFP5</f>
        <v/>
      </c>
      <c r="AFQ6" s="22">
        <f>AFQ4*AFQ5</f>
        <v/>
      </c>
      <c r="AFR6" s="22">
        <f>AFR4*AFR5</f>
        <v/>
      </c>
      <c r="AFS6" s="22">
        <f>AFS4*AFS5</f>
        <v/>
      </c>
      <c r="AFT6" s="127">
        <f>SUM(AEO6:AFS6)</f>
        <v/>
      </c>
      <c r="AFU6" s="22">
        <f>AFU4*AFU5</f>
        <v/>
      </c>
      <c r="AFV6" s="22">
        <f>AFV4*AFV5</f>
        <v/>
      </c>
      <c r="AFW6" s="22">
        <f>AFW4*AFW5</f>
        <v/>
      </c>
      <c r="AFX6" s="22">
        <f>AFX4*AFX5</f>
        <v/>
      </c>
      <c r="AFY6" s="22">
        <f>AFY4*AFY5</f>
        <v/>
      </c>
      <c r="AFZ6" s="22">
        <f>AFZ4*AFZ5</f>
        <v/>
      </c>
      <c r="AGA6" s="22">
        <f>AGA4*AGA5</f>
        <v/>
      </c>
      <c r="AGB6" s="22">
        <f>AGB4*AGB5</f>
        <v/>
      </c>
      <c r="AGC6" s="22">
        <f>AGC4*AGC5</f>
        <v/>
      </c>
      <c r="AGD6" s="22">
        <f>AGD4*AGD5</f>
        <v/>
      </c>
      <c r="AGE6" s="22">
        <f>AGE4*AGE5</f>
        <v/>
      </c>
      <c r="AGF6" s="22">
        <f>AGF4*AGF5</f>
        <v/>
      </c>
      <c r="AGG6" s="22">
        <f>AGG4*AGG5</f>
        <v/>
      </c>
      <c r="AGH6" s="22">
        <f>AGH4*AGH5</f>
        <v/>
      </c>
      <c r="AGI6" s="22">
        <f>AGI4*AGI5</f>
        <v/>
      </c>
      <c r="AGJ6" s="22">
        <f>AGJ4*AGJ5</f>
        <v/>
      </c>
      <c r="AGK6" s="22">
        <f>AGK4*AGK5</f>
        <v/>
      </c>
      <c r="AGL6" s="22">
        <f>AGL4*AGL5</f>
        <v/>
      </c>
      <c r="AGM6" s="22">
        <f>AGM4*AGM5</f>
        <v/>
      </c>
      <c r="AGN6" s="22">
        <f>AGN4*AGN5</f>
        <v/>
      </c>
      <c r="AGO6" s="22">
        <f>AGO4*AGO5</f>
        <v/>
      </c>
      <c r="AGP6" s="22">
        <f>AGP4*AGP5</f>
        <v/>
      </c>
      <c r="AGQ6" s="22">
        <f>AGQ4*AGQ5</f>
        <v/>
      </c>
      <c r="AGR6" s="22">
        <f>AGR4*AGR5</f>
        <v/>
      </c>
      <c r="AGS6" s="22">
        <f>AGS4*AGS5</f>
        <v/>
      </c>
      <c r="AGT6" s="22">
        <f>AGT4*AGT5</f>
        <v/>
      </c>
      <c r="AGU6" s="22">
        <f>AGU4*AGU5</f>
        <v/>
      </c>
      <c r="AGV6" s="22">
        <f>AGV4*AGV5</f>
        <v/>
      </c>
      <c r="AGW6" s="22">
        <f>AGW4*AGW5</f>
        <v/>
      </c>
      <c r="AGX6" s="22">
        <f>AGX4*AGX5</f>
        <v/>
      </c>
      <c r="AGY6" s="127">
        <f>SUM(AFU6:AGX6)</f>
        <v/>
      </c>
      <c r="AGZ6" s="22">
        <f>AGZ4*AGZ5</f>
        <v/>
      </c>
      <c r="AHA6" s="22">
        <f>AHA4*AHA5</f>
        <v/>
      </c>
      <c r="AHB6" s="22">
        <f>AHB4*AHB5</f>
        <v/>
      </c>
      <c r="AHC6" s="22">
        <f>AHC4*AHC5</f>
        <v/>
      </c>
      <c r="AHD6" s="22">
        <f>AHD4*AHD5</f>
        <v/>
      </c>
      <c r="AHE6" s="22">
        <f>AHE4*AHE5</f>
        <v/>
      </c>
      <c r="AHF6" s="22">
        <f>AHF4*AHF5</f>
        <v/>
      </c>
      <c r="AHG6" s="22">
        <f>AHG4*AHG5</f>
        <v/>
      </c>
      <c r="AHH6" s="22">
        <f>AHH4*AHH5</f>
        <v/>
      </c>
      <c r="AHI6" s="22">
        <f>AHI4*AHI5</f>
        <v/>
      </c>
      <c r="AHJ6" s="22">
        <f>AHJ4*AHJ5</f>
        <v/>
      </c>
      <c r="AHK6" s="22">
        <f>AHK4*AHK5</f>
        <v/>
      </c>
      <c r="AHL6" s="22">
        <f>AHL4*AHL5</f>
        <v/>
      </c>
      <c r="AHM6" s="22">
        <f>AHM4*AHM5</f>
        <v/>
      </c>
      <c r="AHN6" s="22">
        <f>AHN4*AHN5</f>
        <v/>
      </c>
      <c r="AHO6" s="22">
        <f>AHO4*AHO5</f>
        <v/>
      </c>
      <c r="AHP6" s="22">
        <f>AHP4*AHP5</f>
        <v/>
      </c>
      <c r="AHQ6" s="22">
        <f>AHQ4*AHQ5</f>
        <v/>
      </c>
      <c r="AHR6" s="22">
        <f>AHR4*AHR5</f>
        <v/>
      </c>
      <c r="AHS6" s="22">
        <f>AHS4*AHS5</f>
        <v/>
      </c>
      <c r="AHT6" s="22">
        <f>AHT4*AHT5</f>
        <v/>
      </c>
      <c r="AHU6" s="22">
        <f>AHU4*AHU5</f>
        <v/>
      </c>
      <c r="AHV6" s="22">
        <f>AHV4*AHV5</f>
        <v/>
      </c>
      <c r="AHW6" s="22">
        <f>AHW4*AHW5</f>
        <v/>
      </c>
      <c r="AHX6" s="22">
        <f>AHX4*AHX5</f>
        <v/>
      </c>
      <c r="AHY6" s="22">
        <f>AHY4*AHY5</f>
        <v/>
      </c>
      <c r="AHZ6" s="22">
        <f>AHZ4*AHZ5</f>
        <v/>
      </c>
      <c r="AIA6" s="22">
        <f>AIA4*AIA5</f>
        <v/>
      </c>
      <c r="AIB6" s="22">
        <f>AIB4*AIB5</f>
        <v/>
      </c>
      <c r="AIC6" s="22">
        <f>AIC4*AIC5</f>
        <v/>
      </c>
      <c r="AID6" s="22">
        <f>AID4*AID5</f>
        <v/>
      </c>
      <c r="AIE6" s="127">
        <f>SUM(AGZ6:AID6)</f>
        <v/>
      </c>
      <c r="AIF6" s="22">
        <f>AIF4*AIF5</f>
        <v/>
      </c>
      <c r="AIG6" s="22">
        <f>AIG4*AIG5</f>
        <v/>
      </c>
      <c r="AIH6" s="22">
        <f>AIH4*AIH5</f>
        <v/>
      </c>
      <c r="AII6" s="22">
        <f>AII4*AII5</f>
        <v/>
      </c>
      <c r="AIJ6" s="22">
        <f>AIJ4*AIJ5</f>
        <v/>
      </c>
      <c r="AIK6" s="22">
        <f>AIK4*AIK5</f>
        <v/>
      </c>
      <c r="AIL6" s="22">
        <f>AIL4*AIL5</f>
        <v/>
      </c>
      <c r="AIM6" s="22">
        <f>AIM4*AIM5</f>
        <v/>
      </c>
      <c r="AIN6" s="22">
        <f>AIN4*AIN5</f>
        <v/>
      </c>
      <c r="AIO6" s="22">
        <f>AIO4*AIO5</f>
        <v/>
      </c>
      <c r="AIP6" s="22">
        <f>AIP4*AIP5</f>
        <v/>
      </c>
      <c r="AIQ6" s="22">
        <f>AIQ4*AIQ5</f>
        <v/>
      </c>
      <c r="AIR6" s="22">
        <f>AIR4*AIR5</f>
        <v/>
      </c>
      <c r="AIS6" s="22">
        <f>AIS4*AIS5</f>
        <v/>
      </c>
      <c r="AIT6" s="22">
        <f>AIT4*AIT5</f>
        <v/>
      </c>
      <c r="AIU6" s="22">
        <f>AIU4*AIU5</f>
        <v/>
      </c>
      <c r="AIV6" s="22">
        <f>AIV4*AIV5</f>
        <v/>
      </c>
      <c r="AIW6" s="22">
        <f>AIW4*AIW5</f>
        <v/>
      </c>
      <c r="AIX6" s="22">
        <f>AIX4*AIX5</f>
        <v/>
      </c>
      <c r="AIY6" s="22">
        <f>AIY4*AIY5</f>
        <v/>
      </c>
      <c r="AIZ6" s="22">
        <f>AIZ4*AIZ5</f>
        <v/>
      </c>
      <c r="AJA6" s="22">
        <f>AJA4*AJA5</f>
        <v/>
      </c>
      <c r="AJB6" s="22">
        <f>AJB4*AJB5</f>
        <v/>
      </c>
      <c r="AJC6" s="22">
        <f>AJC4*AJC5</f>
        <v/>
      </c>
      <c r="AJD6" s="22">
        <f>AJD4*AJD5</f>
        <v/>
      </c>
      <c r="AJE6" s="22">
        <f>AJE4*AJE5</f>
        <v/>
      </c>
      <c r="AJF6" s="22">
        <f>AJF4*AJF5</f>
        <v/>
      </c>
      <c r="AJG6" s="22">
        <f>AJG4*AJG5</f>
        <v/>
      </c>
      <c r="AJH6" s="22">
        <f>AJH4*AJH5</f>
        <v/>
      </c>
      <c r="AJI6" s="22">
        <f>AJI4*AJI5</f>
        <v/>
      </c>
      <c r="AJJ6" s="22">
        <f>AJJ4*AJJ5</f>
        <v/>
      </c>
      <c r="AJK6" s="127">
        <f>SUM(AIF6:AJJ6)</f>
        <v/>
      </c>
      <c r="AJL6" s="22">
        <f>AJL4*AJL5</f>
        <v/>
      </c>
      <c r="AJM6" s="22">
        <f>AJM4*AJM5</f>
        <v/>
      </c>
      <c r="AJN6" s="22">
        <f>AJN4*AJN5</f>
        <v/>
      </c>
      <c r="AJO6" s="22">
        <f>AJO4*AJO5</f>
        <v/>
      </c>
      <c r="AJP6" s="22">
        <f>AJP4*AJP5</f>
        <v/>
      </c>
      <c r="AJQ6" s="22">
        <f>AJQ4*AJQ5</f>
        <v/>
      </c>
      <c r="AJR6" s="22">
        <f>AJR4*AJR5</f>
        <v/>
      </c>
      <c r="AJS6" s="22">
        <f>AJS4*AJS5</f>
        <v/>
      </c>
      <c r="AJT6" s="22">
        <f>AJT4*AJT5</f>
        <v/>
      </c>
      <c r="AJU6" s="22">
        <f>AJU4*AJU5</f>
        <v/>
      </c>
      <c r="AJV6" s="22">
        <f>AJV4*AJV5</f>
        <v/>
      </c>
      <c r="AJW6" s="22">
        <f>AJW4*AJW5</f>
        <v/>
      </c>
      <c r="AJX6" s="22">
        <f>AJX4*AJX5</f>
        <v/>
      </c>
      <c r="AJY6" s="22">
        <f>AJY4*AJY5</f>
        <v/>
      </c>
      <c r="AJZ6" s="22">
        <f>AJZ4*AJZ5</f>
        <v/>
      </c>
      <c r="AKA6" s="22">
        <f>AKA4*AKA5</f>
        <v/>
      </c>
      <c r="AKB6" s="22">
        <f>AKB4*AKB5</f>
        <v/>
      </c>
      <c r="AKC6" s="22">
        <f>AKC4*AKC5</f>
        <v/>
      </c>
      <c r="AKD6" s="22">
        <f>AKD4*AKD5</f>
        <v/>
      </c>
      <c r="AKE6" s="22">
        <f>AKE4*AKE5</f>
        <v/>
      </c>
      <c r="AKF6" s="22">
        <f>AKF4*AKF5</f>
        <v/>
      </c>
      <c r="AKG6" s="22">
        <f>AKG4*AKG5</f>
        <v/>
      </c>
      <c r="AKH6" s="22">
        <f>AKH4*AKH5</f>
        <v/>
      </c>
      <c r="AKI6" s="22">
        <f>AKI4*AKI5</f>
        <v/>
      </c>
      <c r="AKJ6" s="22">
        <f>AKJ4*AKJ5</f>
        <v/>
      </c>
      <c r="AKK6" s="22">
        <f>AKK4*AKK5</f>
        <v/>
      </c>
      <c r="AKL6" s="22">
        <f>AKL4*AKL5</f>
        <v/>
      </c>
      <c r="AKM6" s="22">
        <f>AKM4*AKM5</f>
        <v/>
      </c>
      <c r="AKN6" s="127">
        <f>SUM(AJL6:AKM6)</f>
        <v/>
      </c>
      <c r="AKO6" s="22">
        <f>AKO4*AKO5</f>
        <v/>
      </c>
      <c r="AKP6" s="22">
        <f>AKP4*AKP5</f>
        <v/>
      </c>
      <c r="AKQ6" s="22">
        <f>AKQ4*AKQ5</f>
        <v/>
      </c>
      <c r="AKR6" s="22">
        <f>AKR4*AKR5</f>
        <v/>
      </c>
      <c r="AKS6" s="22">
        <f>AKS4*AKS5</f>
        <v/>
      </c>
      <c r="AKT6" s="22">
        <f>AKT4*AKT5</f>
        <v/>
      </c>
      <c r="AKU6" s="22">
        <f>AKU4*AKU5</f>
        <v/>
      </c>
      <c r="AKV6" s="22">
        <f>AKV4*AKV5</f>
        <v/>
      </c>
      <c r="AKW6" s="22">
        <f>AKW4*AKW5</f>
        <v/>
      </c>
      <c r="AKX6" s="22">
        <f>AKX4*AKX5</f>
        <v/>
      </c>
      <c r="AKY6" s="22">
        <f>AKY4*AKY5</f>
        <v/>
      </c>
      <c r="AKZ6" s="22">
        <f>AKZ4*AKZ5</f>
        <v/>
      </c>
      <c r="ALA6" s="22">
        <f>ALA4*ALA5</f>
        <v/>
      </c>
      <c r="ALB6" s="22">
        <f>ALB4*ALB5</f>
        <v/>
      </c>
      <c r="ALC6" s="22">
        <f>ALC4*ALC5</f>
        <v/>
      </c>
      <c r="ALD6" s="22">
        <f>ALD4*ALD5</f>
        <v/>
      </c>
      <c r="ALE6" s="22">
        <f>ALE4*ALE5</f>
        <v/>
      </c>
      <c r="ALF6" s="22">
        <f>ALF4*ALF5</f>
        <v/>
      </c>
      <c r="ALG6" s="22">
        <f>ALG4*ALG5</f>
        <v/>
      </c>
      <c r="ALH6" s="22">
        <f>ALH4*ALH5</f>
        <v/>
      </c>
      <c r="ALI6" s="22">
        <f>ALI4*ALI5</f>
        <v/>
      </c>
      <c r="ALJ6" s="22">
        <f>ALJ4*ALJ5</f>
        <v/>
      </c>
      <c r="ALK6" s="22">
        <f>ALK4*ALK5</f>
        <v/>
      </c>
      <c r="ALL6" s="22">
        <f>ALL4*ALL5</f>
        <v/>
      </c>
      <c r="ALM6" s="22">
        <f>ALM4*ALM5</f>
        <v/>
      </c>
      <c r="ALN6" s="22">
        <f>ALN4*ALN5</f>
        <v/>
      </c>
      <c r="ALO6" s="22">
        <f>ALO4*ALO5</f>
        <v/>
      </c>
      <c r="ALP6" s="22">
        <f>ALP4*ALP5</f>
        <v/>
      </c>
      <c r="ALQ6" s="22">
        <f>ALQ4*ALQ5</f>
        <v/>
      </c>
      <c r="ALR6" s="22">
        <f>ALR4*ALR5</f>
        <v/>
      </c>
      <c r="ALS6" s="22">
        <f>ALS4*ALS5</f>
        <v/>
      </c>
      <c r="ALT6" s="127">
        <f>SUM(AKO6:ALS6)</f>
        <v/>
      </c>
      <c r="ALU6" s="22">
        <f>ALU4*ALU5</f>
        <v/>
      </c>
      <c r="ALV6" s="22">
        <f>ALV4*ALV5</f>
        <v/>
      </c>
      <c r="ALW6" s="22">
        <f>ALW4*ALW5</f>
        <v/>
      </c>
      <c r="ALX6" s="22">
        <f>ALX4*ALX5</f>
        <v/>
      </c>
      <c r="ALY6" s="22">
        <f>ALY4*ALY5</f>
        <v/>
      </c>
      <c r="ALZ6" s="22">
        <f>ALZ4*ALZ5</f>
        <v/>
      </c>
      <c r="AMA6" s="22">
        <f>AMA4*AMA5</f>
        <v/>
      </c>
      <c r="AMB6" s="22">
        <f>AMB4*AMB5</f>
        <v/>
      </c>
      <c r="AMC6" s="22">
        <f>AMC4*AMC5</f>
        <v/>
      </c>
      <c r="AMD6" s="22">
        <f>AMD4*AMD5</f>
        <v/>
      </c>
      <c r="AME6" s="22">
        <f>AME4*AME5</f>
        <v/>
      </c>
      <c r="AMF6" s="22">
        <f>AMF4*AMF5</f>
        <v/>
      </c>
      <c r="AMG6" s="22">
        <f>AMG4*AMG5</f>
        <v/>
      </c>
      <c r="AMH6" s="22">
        <f>AMH4*AMH5</f>
        <v/>
      </c>
      <c r="AMI6" s="22">
        <f>AMI4*AMI5</f>
        <v/>
      </c>
      <c r="AMJ6" s="22">
        <f>AMJ4*AMJ5</f>
        <v/>
      </c>
      <c r="AMK6" s="22">
        <f>AMK4*AMK5</f>
        <v/>
      </c>
      <c r="AML6" s="22">
        <f>AML4*AML5</f>
        <v/>
      </c>
      <c r="AMM6" s="22">
        <f>AMM4*AMM5</f>
        <v/>
      </c>
      <c r="AMN6" s="22">
        <f>AMN4*AMN5</f>
        <v/>
      </c>
      <c r="AMO6" s="22">
        <f>AMO4*AMO5</f>
        <v/>
      </c>
      <c r="AMP6" s="22">
        <f>AMP4*AMP5</f>
        <v/>
      </c>
      <c r="AMQ6" s="22">
        <f>AMQ4*AMQ5</f>
        <v/>
      </c>
      <c r="AMR6" s="22">
        <f>AMR4*AMR5</f>
        <v/>
      </c>
      <c r="AMS6" s="22">
        <f>AMS4*AMS5</f>
        <v/>
      </c>
      <c r="AMT6" s="22">
        <f>AMT4*AMT5</f>
        <v/>
      </c>
      <c r="AMU6" s="22">
        <f>AMU4*AMU5</f>
        <v/>
      </c>
      <c r="AMV6" s="22">
        <f>AMV4*AMV5</f>
        <v/>
      </c>
      <c r="AMW6" s="22">
        <f>AMW4*AMW5</f>
        <v/>
      </c>
      <c r="AMX6" s="22">
        <f>AMX4*AMX5</f>
        <v/>
      </c>
      <c r="AMY6" s="127">
        <f>SUM(ALU6:AMX6)</f>
        <v/>
      </c>
      <c r="AMZ6" s="22">
        <f>AMZ4*AMZ5</f>
        <v/>
      </c>
      <c r="ANA6" s="22">
        <f>ANA4*ANA5</f>
        <v/>
      </c>
      <c r="ANB6" s="22">
        <f>ANB4*ANB5</f>
        <v/>
      </c>
      <c r="ANC6" s="22">
        <f>ANC4*ANC5</f>
        <v/>
      </c>
      <c r="AND6" s="22">
        <f>AND4*AND5</f>
        <v/>
      </c>
      <c r="ANE6" s="22">
        <f>ANE4*ANE5</f>
        <v/>
      </c>
      <c r="ANF6" s="22">
        <f>ANF4*ANF5</f>
        <v/>
      </c>
      <c r="ANG6" s="22">
        <f>ANG4*ANG5</f>
        <v/>
      </c>
      <c r="ANH6" s="22">
        <f>ANH4*ANH5</f>
        <v/>
      </c>
      <c r="ANI6" s="22">
        <f>ANI4*ANI5</f>
        <v/>
      </c>
      <c r="ANJ6" s="22">
        <f>ANJ4*ANJ5</f>
        <v/>
      </c>
      <c r="ANK6" s="22">
        <f>ANK4*ANK5</f>
        <v/>
      </c>
      <c r="ANL6" s="22">
        <f>ANL4*ANL5</f>
        <v/>
      </c>
      <c r="ANM6" s="22">
        <f>ANM4*ANM5</f>
        <v/>
      </c>
      <c r="ANN6" s="22">
        <f>ANN4*ANN5</f>
        <v/>
      </c>
      <c r="ANO6" s="22">
        <f>ANO4*ANO5</f>
        <v/>
      </c>
      <c r="ANP6" s="22">
        <f>ANP4*ANP5</f>
        <v/>
      </c>
      <c r="ANQ6" s="22">
        <f>ANQ4*ANQ5</f>
        <v/>
      </c>
      <c r="ANR6" s="22">
        <f>ANR4*ANR5</f>
        <v/>
      </c>
      <c r="ANS6" s="22">
        <f>ANS4*ANS5</f>
        <v/>
      </c>
      <c r="ANT6" s="22">
        <f>ANT4*ANT5</f>
        <v/>
      </c>
      <c r="ANU6" s="22">
        <f>ANU4*ANU5</f>
        <v/>
      </c>
      <c r="ANV6" s="22">
        <f>ANV4*ANV5</f>
        <v/>
      </c>
      <c r="ANW6" s="22">
        <f>ANW4*ANW5</f>
        <v/>
      </c>
      <c r="ANX6" s="22">
        <f>ANX4*ANX5</f>
        <v/>
      </c>
      <c r="ANY6" s="22">
        <f>ANY4*ANY5</f>
        <v/>
      </c>
      <c r="ANZ6" s="22">
        <f>ANZ4*ANZ5</f>
        <v/>
      </c>
      <c r="AOA6" s="22">
        <f>AOA4*AOA5</f>
        <v/>
      </c>
      <c r="AOB6" s="22">
        <f>AOB4*AOB5</f>
        <v/>
      </c>
      <c r="AOC6" s="22">
        <f>AOC4*AOC5</f>
        <v/>
      </c>
    </row>
    <row r="7">
      <c r="B7" s="5" t="inlineStr">
        <is>
          <t>AGO QTY</t>
        </is>
      </c>
      <c r="C7" s="20">
        <f>METER!D34</f>
        <v/>
      </c>
      <c r="D7" s="20">
        <f>METER!E34</f>
        <v/>
      </c>
      <c r="E7" s="20">
        <f>METER!F34</f>
        <v/>
      </c>
      <c r="F7" s="20">
        <f>METER!G34</f>
        <v/>
      </c>
      <c r="G7" s="20">
        <f>METER!H34</f>
        <v/>
      </c>
      <c r="H7" s="20">
        <f>METER!I34</f>
        <v/>
      </c>
      <c r="I7" s="20">
        <f>METER!J34</f>
        <v/>
      </c>
      <c r="J7" s="20">
        <f>METER!K34</f>
        <v/>
      </c>
      <c r="K7" s="20">
        <f>METER!L34</f>
        <v/>
      </c>
      <c r="L7" s="20">
        <f>METER!M34</f>
        <v/>
      </c>
      <c r="M7" s="20">
        <f>METER!N34</f>
        <v/>
      </c>
      <c r="N7" s="20">
        <f>METER!O34</f>
        <v/>
      </c>
      <c r="O7" s="20">
        <f>METER!P34</f>
        <v/>
      </c>
      <c r="P7" s="20">
        <f>METER!Q34</f>
        <v/>
      </c>
      <c r="Q7" s="20">
        <f>METER!R34</f>
        <v/>
      </c>
      <c r="R7" s="20">
        <f>METER!S34</f>
        <v/>
      </c>
      <c r="S7" s="20">
        <f>METER!T34</f>
        <v/>
      </c>
      <c r="T7" s="20">
        <f>METER!U34</f>
        <v/>
      </c>
      <c r="U7" s="20">
        <f>METER!V34</f>
        <v/>
      </c>
      <c r="V7" s="20">
        <f>METER!W34</f>
        <v/>
      </c>
      <c r="W7" s="20">
        <f>METER!X34</f>
        <v/>
      </c>
      <c r="X7" s="20">
        <f>METER!Y34</f>
        <v/>
      </c>
      <c r="Y7" s="20">
        <f>METER!Z34</f>
        <v/>
      </c>
      <c r="Z7" s="20">
        <f>METER!AA34</f>
        <v/>
      </c>
      <c r="AA7" s="20">
        <f>METER!AB34</f>
        <v/>
      </c>
      <c r="AB7" s="20">
        <f>METER!AC34</f>
        <v/>
      </c>
      <c r="AC7" s="20">
        <f>METER!AD34</f>
        <v/>
      </c>
      <c r="AD7" s="20">
        <f>METER!AE34</f>
        <v/>
      </c>
      <c r="AE7" s="20">
        <f>METER!AF34</f>
        <v/>
      </c>
      <c r="AF7" s="20">
        <f>METER!AG34</f>
        <v/>
      </c>
      <c r="AG7" s="20">
        <f>METER!AH34</f>
        <v/>
      </c>
      <c r="AH7" s="94">
        <f>SUM(C7:AG7)</f>
        <v/>
      </c>
      <c r="AI7" s="20">
        <f>METER!AJ34</f>
        <v/>
      </c>
      <c r="AJ7" s="20">
        <f>METER!AK34</f>
        <v/>
      </c>
      <c r="AK7" s="20">
        <f>METER!AL34</f>
        <v/>
      </c>
      <c r="AL7" s="20">
        <f>METER!AM34</f>
        <v/>
      </c>
      <c r="AM7" s="20">
        <f>METER!AN34</f>
        <v/>
      </c>
      <c r="AN7" s="20">
        <f>METER!AO34</f>
        <v/>
      </c>
      <c r="AO7" s="20">
        <f>METER!AP34</f>
        <v/>
      </c>
      <c r="AP7" s="20">
        <f>METER!AQ34</f>
        <v/>
      </c>
      <c r="AQ7" s="20">
        <f>METER!AR34</f>
        <v/>
      </c>
      <c r="AR7" s="20">
        <f>METER!AS34</f>
        <v/>
      </c>
      <c r="AS7" s="20">
        <f>METER!AT34</f>
        <v/>
      </c>
      <c r="AT7" s="20">
        <f>METER!AU34</f>
        <v/>
      </c>
      <c r="AU7" s="20">
        <f>METER!AV34</f>
        <v/>
      </c>
      <c r="AV7" s="20">
        <f>METER!AW34</f>
        <v/>
      </c>
      <c r="AW7" s="20">
        <f>METER!AX34</f>
        <v/>
      </c>
      <c r="AX7" s="20">
        <f>METER!AY34</f>
        <v/>
      </c>
      <c r="AY7" s="20">
        <f>METER!AZ34</f>
        <v/>
      </c>
      <c r="AZ7" s="20">
        <f>METER!BA34</f>
        <v/>
      </c>
      <c r="BA7" s="20">
        <f>METER!BB34</f>
        <v/>
      </c>
      <c r="BB7" s="20">
        <f>METER!BC34</f>
        <v/>
      </c>
      <c r="BC7" s="20">
        <f>METER!BD34</f>
        <v/>
      </c>
      <c r="BD7" s="20">
        <f>METER!BE34</f>
        <v/>
      </c>
      <c r="BE7" s="20">
        <f>METER!BF34</f>
        <v/>
      </c>
      <c r="BF7" s="20">
        <f>METER!BG34</f>
        <v/>
      </c>
      <c r="BG7" s="20">
        <f>METER!BH34</f>
        <v/>
      </c>
      <c r="BH7" s="20">
        <f>METER!BI34</f>
        <v/>
      </c>
      <c r="BI7" s="20">
        <f>METER!BJ34</f>
        <v/>
      </c>
      <c r="BJ7" s="20">
        <f>METER!BK34</f>
        <v/>
      </c>
      <c r="BK7" s="20">
        <f>METER!BL34</f>
        <v/>
      </c>
      <c r="BL7" s="20">
        <f>METER!BM34</f>
        <v/>
      </c>
      <c r="BM7" s="97">
        <f>SUM(AI7:BL7)</f>
        <v/>
      </c>
      <c r="BN7" s="20">
        <f>METER!BO34</f>
        <v/>
      </c>
      <c r="BO7" s="20">
        <f>METER!BP34</f>
        <v/>
      </c>
      <c r="BP7" s="20">
        <f>METER!BQ34</f>
        <v/>
      </c>
      <c r="BQ7" s="20">
        <f>METER!BR34</f>
        <v/>
      </c>
      <c r="BR7" s="20">
        <f>METER!BS34</f>
        <v/>
      </c>
      <c r="BS7" s="20">
        <f>METER!BT34</f>
        <v/>
      </c>
      <c r="BT7" s="20">
        <f>METER!BU34</f>
        <v/>
      </c>
      <c r="BU7" s="20">
        <f>METER!BV34</f>
        <v/>
      </c>
      <c r="BV7" s="20">
        <f>METER!BW34</f>
        <v/>
      </c>
      <c r="BW7" s="20">
        <f>METER!BX34</f>
        <v/>
      </c>
      <c r="BX7" s="20">
        <f>METER!BY34</f>
        <v/>
      </c>
      <c r="BY7" s="20">
        <f>METER!BZ34</f>
        <v/>
      </c>
      <c r="BZ7" s="20">
        <f>METER!CA34</f>
        <v/>
      </c>
      <c r="CA7" s="20">
        <f>METER!CB34</f>
        <v/>
      </c>
      <c r="CB7" s="20">
        <f>METER!CC34</f>
        <v/>
      </c>
      <c r="CC7" s="20">
        <f>METER!CD34</f>
        <v/>
      </c>
      <c r="CD7" s="20">
        <f>METER!CE34</f>
        <v/>
      </c>
      <c r="CE7" s="20">
        <f>METER!CF34</f>
        <v/>
      </c>
      <c r="CF7" s="20">
        <f>METER!CG34</f>
        <v/>
      </c>
      <c r="CG7" s="20">
        <f>METER!CH34</f>
        <v/>
      </c>
      <c r="CH7" s="20">
        <f>METER!CI34</f>
        <v/>
      </c>
      <c r="CI7" s="20">
        <f>METER!CJ34</f>
        <v/>
      </c>
      <c r="CJ7" s="20">
        <f>METER!CK34</f>
        <v/>
      </c>
      <c r="CK7" s="20">
        <f>METER!CL34</f>
        <v/>
      </c>
      <c r="CL7" s="20">
        <f>METER!CM34</f>
        <v/>
      </c>
      <c r="CM7" s="20">
        <f>METER!CN34</f>
        <v/>
      </c>
      <c r="CN7" s="20">
        <f>METER!CO34</f>
        <v/>
      </c>
      <c r="CO7" s="20">
        <f>METER!CP34</f>
        <v/>
      </c>
      <c r="CP7" s="20">
        <f>METER!CQ34</f>
        <v/>
      </c>
      <c r="CQ7" s="20">
        <f>METER!CR34</f>
        <v/>
      </c>
      <c r="CR7" s="20">
        <f>METER!CS34</f>
        <v/>
      </c>
      <c r="CS7" s="111">
        <f>SUM(BN7:CR7)</f>
        <v/>
      </c>
      <c r="CT7" s="20">
        <f>METER!CU34</f>
        <v/>
      </c>
      <c r="CU7" s="20">
        <f>METER!CV34</f>
        <v/>
      </c>
      <c r="CV7" s="20">
        <f>METER!CW34</f>
        <v/>
      </c>
      <c r="CW7" s="20">
        <f>METER!CX34</f>
        <v/>
      </c>
      <c r="CX7" s="20">
        <f>METER!CY34</f>
        <v/>
      </c>
      <c r="CY7" s="20">
        <f>METER!CZ34</f>
        <v/>
      </c>
      <c r="CZ7" s="20">
        <f>METER!DA34</f>
        <v/>
      </c>
      <c r="DA7" s="20">
        <f>METER!DB34</f>
        <v/>
      </c>
      <c r="DB7" s="20">
        <f>METER!DC34</f>
        <v/>
      </c>
      <c r="DC7" s="20">
        <f>METER!DD34</f>
        <v/>
      </c>
      <c r="DD7" s="20">
        <f>METER!DE34</f>
        <v/>
      </c>
      <c r="DE7" s="20">
        <f>METER!DF34</f>
        <v/>
      </c>
      <c r="DF7" s="20">
        <f>METER!DG34</f>
        <v/>
      </c>
      <c r="DG7" s="20">
        <f>METER!DH34</f>
        <v/>
      </c>
      <c r="DH7" s="20">
        <f>METER!DI34</f>
        <v/>
      </c>
      <c r="DI7" s="20">
        <f>METER!DJ34</f>
        <v/>
      </c>
      <c r="DJ7" s="20">
        <f>METER!DK34</f>
        <v/>
      </c>
      <c r="DK7" s="20">
        <f>METER!DL34</f>
        <v/>
      </c>
      <c r="DL7" s="20">
        <f>METER!DM34</f>
        <v/>
      </c>
      <c r="DM7" s="20">
        <f>METER!DN34</f>
        <v/>
      </c>
      <c r="DN7" s="20">
        <f>METER!DO34</f>
        <v/>
      </c>
      <c r="DO7" s="20">
        <f>METER!DP34</f>
        <v/>
      </c>
      <c r="DP7" s="20">
        <f>METER!DQ34</f>
        <v/>
      </c>
      <c r="DQ7" s="20">
        <f>METER!DR34</f>
        <v/>
      </c>
      <c r="DR7" s="20">
        <f>METER!DS34</f>
        <v/>
      </c>
      <c r="DS7" s="20">
        <f>METER!DT34</f>
        <v/>
      </c>
      <c r="DT7" s="20">
        <f>METER!DU34</f>
        <v/>
      </c>
      <c r="DU7" s="20">
        <f>METER!DV34</f>
        <v/>
      </c>
      <c r="DV7" s="20">
        <f>METER!DW34</f>
        <v/>
      </c>
      <c r="DW7" s="20">
        <f>METER!DX34</f>
        <v/>
      </c>
      <c r="DX7" s="119">
        <f>SUM(CT7:DW7)</f>
        <v/>
      </c>
      <c r="DY7" s="20">
        <f>METER!DZ34</f>
        <v/>
      </c>
      <c r="DZ7" s="20">
        <f>METER!EA34</f>
        <v/>
      </c>
      <c r="EA7" s="20">
        <f>METER!EB34</f>
        <v/>
      </c>
      <c r="EB7" s="20">
        <f>METER!EC34</f>
        <v/>
      </c>
      <c r="EC7" s="20">
        <f>METER!ED34</f>
        <v/>
      </c>
      <c r="ED7" s="20">
        <f>METER!EE34</f>
        <v/>
      </c>
      <c r="EE7" s="20">
        <f>METER!EF34</f>
        <v/>
      </c>
      <c r="EF7" s="20">
        <f>METER!EG34</f>
        <v/>
      </c>
      <c r="EG7" s="20">
        <f>METER!EH34</f>
        <v/>
      </c>
      <c r="EH7" s="20">
        <f>METER!EI34</f>
        <v/>
      </c>
      <c r="EI7" s="20">
        <f>METER!EJ34</f>
        <v/>
      </c>
      <c r="EJ7" s="20">
        <f>METER!EK34</f>
        <v/>
      </c>
      <c r="EK7" s="20">
        <f>METER!EL34</f>
        <v/>
      </c>
      <c r="EL7" s="20">
        <f>METER!EM34</f>
        <v/>
      </c>
      <c r="EM7" s="20">
        <f>METER!EN34</f>
        <v/>
      </c>
      <c r="EN7" s="20">
        <f>METER!EO34</f>
        <v/>
      </c>
      <c r="EO7" s="20">
        <f>METER!EP34</f>
        <v/>
      </c>
      <c r="EP7" s="20">
        <f>METER!EQ34</f>
        <v/>
      </c>
      <c r="EQ7" s="20">
        <f>METER!ER34</f>
        <v/>
      </c>
      <c r="ER7" s="20">
        <f>METER!ES34</f>
        <v/>
      </c>
      <c r="ES7" s="20">
        <f>METER!ET34</f>
        <v/>
      </c>
      <c r="ET7" s="20">
        <f>METER!EU34</f>
        <v/>
      </c>
      <c r="EU7" s="20">
        <f>METER!EV34</f>
        <v/>
      </c>
      <c r="EV7" s="20">
        <f>METER!EW34</f>
        <v/>
      </c>
      <c r="EW7" s="20">
        <f>METER!EX34</f>
        <v/>
      </c>
      <c r="EX7" s="20">
        <f>METER!EY34</f>
        <v/>
      </c>
      <c r="EY7" s="20">
        <f>METER!EZ34</f>
        <v/>
      </c>
      <c r="EZ7" s="20">
        <f>METER!FA34</f>
        <v/>
      </c>
      <c r="FA7" s="20">
        <f>METER!FB34</f>
        <v/>
      </c>
      <c r="FB7" s="20">
        <f>METER!FC34</f>
        <v/>
      </c>
      <c r="FC7" s="20">
        <f>METER!FD34</f>
        <v/>
      </c>
      <c r="FD7" s="128">
        <f>SUM(DY7:FC7)</f>
        <v/>
      </c>
      <c r="FE7" s="20">
        <f>METER!FF34</f>
        <v/>
      </c>
      <c r="FF7" s="20">
        <f>METER!FG34</f>
        <v/>
      </c>
      <c r="FG7" s="20">
        <f>METER!FH34</f>
        <v/>
      </c>
      <c r="FH7" s="20">
        <f>METER!FI34</f>
        <v/>
      </c>
      <c r="FI7" s="20">
        <f>METER!FJ34</f>
        <v/>
      </c>
      <c r="FJ7" s="20">
        <f>METER!FK34</f>
        <v/>
      </c>
      <c r="FK7" s="20">
        <f>METER!FL34</f>
        <v/>
      </c>
      <c r="FL7" s="20">
        <f>METER!FM34</f>
        <v/>
      </c>
      <c r="FM7" s="20">
        <f>METER!FN34</f>
        <v/>
      </c>
      <c r="FN7" s="20">
        <f>METER!FO34</f>
        <v/>
      </c>
      <c r="FO7" s="20">
        <f>METER!FP34</f>
        <v/>
      </c>
      <c r="FP7" s="20">
        <f>METER!FQ34</f>
        <v/>
      </c>
      <c r="FQ7" s="20">
        <f>METER!FR34</f>
        <v/>
      </c>
      <c r="FR7" s="20">
        <f>METER!FS34</f>
        <v/>
      </c>
      <c r="FS7" s="20">
        <f>METER!FT34</f>
        <v/>
      </c>
      <c r="FT7" s="20">
        <f>METER!FU34</f>
        <v/>
      </c>
      <c r="FU7" s="20">
        <f>METER!FV34</f>
        <v/>
      </c>
      <c r="FV7" s="20">
        <f>METER!FW34</f>
        <v/>
      </c>
      <c r="FW7" s="20">
        <f>METER!FX34</f>
        <v/>
      </c>
      <c r="FX7" s="20">
        <f>METER!FY34</f>
        <v/>
      </c>
      <c r="FY7" s="20">
        <f>METER!FZ34</f>
        <v/>
      </c>
      <c r="FZ7" s="20">
        <f>METER!GA34</f>
        <v/>
      </c>
      <c r="GA7" s="20">
        <f>METER!GB34</f>
        <v/>
      </c>
      <c r="GB7" s="20">
        <f>METER!GC34</f>
        <v/>
      </c>
      <c r="GC7" s="20">
        <f>METER!GD34</f>
        <v/>
      </c>
      <c r="GD7" s="20">
        <f>METER!GE34</f>
        <v/>
      </c>
      <c r="GE7" s="20">
        <f>METER!GF34</f>
        <v/>
      </c>
      <c r="GF7" s="20">
        <f>METER!GG34</f>
        <v/>
      </c>
      <c r="GG7" s="20">
        <f>METER!GH34</f>
        <v/>
      </c>
      <c r="GH7" s="20">
        <f>METER!GI34</f>
        <v/>
      </c>
      <c r="GI7" s="20">
        <f>METER!GJ34</f>
        <v/>
      </c>
      <c r="GJ7" s="127">
        <f>SUM(FE7:GI7)</f>
        <v/>
      </c>
      <c r="GK7" s="20">
        <f>METER!GL34</f>
        <v/>
      </c>
      <c r="GL7" s="20">
        <f>METER!GM34</f>
        <v/>
      </c>
      <c r="GM7" s="20">
        <f>METER!GN34</f>
        <v/>
      </c>
      <c r="GN7" s="20">
        <f>METER!GO34</f>
        <v/>
      </c>
      <c r="GO7" s="20">
        <f>METER!GP34</f>
        <v/>
      </c>
      <c r="GP7" s="20">
        <f>METER!GQ34</f>
        <v/>
      </c>
      <c r="GQ7" s="20">
        <f>METER!GR34</f>
        <v/>
      </c>
      <c r="GR7" s="20">
        <f>METER!GS34</f>
        <v/>
      </c>
      <c r="GS7" s="20">
        <f>METER!GT34</f>
        <v/>
      </c>
      <c r="GT7" s="20">
        <f>METER!GU34</f>
        <v/>
      </c>
      <c r="GU7" s="20">
        <f>METER!GV34</f>
        <v/>
      </c>
      <c r="GV7" s="20">
        <f>METER!GW34</f>
        <v/>
      </c>
      <c r="GW7" s="20">
        <f>METER!GX34</f>
        <v/>
      </c>
      <c r="GX7" s="20">
        <f>METER!GY34</f>
        <v/>
      </c>
      <c r="GY7" s="20">
        <f>METER!GZ34</f>
        <v/>
      </c>
      <c r="GZ7" s="20">
        <f>METER!HA34</f>
        <v/>
      </c>
      <c r="HA7" s="20">
        <f>METER!HB34</f>
        <v/>
      </c>
      <c r="HB7" s="20">
        <f>METER!HC34</f>
        <v/>
      </c>
      <c r="HC7" s="20">
        <f>METER!HD34</f>
        <v/>
      </c>
      <c r="HD7" s="20">
        <f>METER!HE34</f>
        <v/>
      </c>
      <c r="HE7" s="20">
        <f>METER!HF34</f>
        <v/>
      </c>
      <c r="HF7" s="20">
        <f>METER!HG34</f>
        <v/>
      </c>
      <c r="HG7" s="20">
        <f>METER!HH34</f>
        <v/>
      </c>
      <c r="HH7" s="20">
        <f>METER!HI34</f>
        <v/>
      </c>
      <c r="HI7" s="20">
        <f>METER!HJ34</f>
        <v/>
      </c>
      <c r="HJ7" s="20">
        <f>METER!HK34</f>
        <v/>
      </c>
      <c r="HK7" s="20">
        <f>METER!HL34</f>
        <v/>
      </c>
      <c r="HL7" s="20">
        <f>METER!HM34</f>
        <v/>
      </c>
      <c r="HM7" s="20">
        <f>METER!HN34</f>
        <v/>
      </c>
      <c r="HN7" s="127">
        <f>SUM(GK7:HM7)</f>
        <v/>
      </c>
      <c r="HO7" s="20">
        <f>METER!HP34</f>
        <v/>
      </c>
      <c r="HP7" s="20">
        <f>METER!HQ34</f>
        <v/>
      </c>
      <c r="HQ7" s="20">
        <f>METER!HR34</f>
        <v/>
      </c>
      <c r="HR7" s="20">
        <f>METER!HS34</f>
        <v/>
      </c>
      <c r="HS7" s="20">
        <f>METER!HT34</f>
        <v/>
      </c>
      <c r="HT7" s="20">
        <f>METER!HU34</f>
        <v/>
      </c>
      <c r="HU7" s="20">
        <f>METER!HV34</f>
        <v/>
      </c>
      <c r="HV7" s="20">
        <f>METER!HW34</f>
        <v/>
      </c>
      <c r="HW7" s="20">
        <f>METER!HX34</f>
        <v/>
      </c>
      <c r="HX7" s="20">
        <f>METER!HY34</f>
        <v/>
      </c>
      <c r="HY7" s="20">
        <f>METER!HZ34</f>
        <v/>
      </c>
      <c r="HZ7" s="20">
        <f>METER!IA34</f>
        <v/>
      </c>
      <c r="IA7" s="20">
        <f>METER!IB34</f>
        <v/>
      </c>
      <c r="IB7" s="20">
        <f>METER!IC34</f>
        <v/>
      </c>
      <c r="IC7" s="20">
        <f>METER!ID34</f>
        <v/>
      </c>
      <c r="ID7" s="20">
        <f>METER!IE34</f>
        <v/>
      </c>
      <c r="IE7" s="20">
        <f>METER!IF34</f>
        <v/>
      </c>
      <c r="IF7" s="20">
        <f>METER!IG34</f>
        <v/>
      </c>
      <c r="IG7" s="20">
        <f>METER!IH34</f>
        <v/>
      </c>
      <c r="IH7" s="20">
        <f>METER!II34</f>
        <v/>
      </c>
      <c r="II7" s="20">
        <f>METER!IJ34</f>
        <v/>
      </c>
      <c r="IJ7" s="20">
        <f>METER!IK34</f>
        <v/>
      </c>
      <c r="IK7" s="20">
        <f>METER!IL34</f>
        <v/>
      </c>
      <c r="IL7" s="20">
        <f>METER!IM34</f>
        <v/>
      </c>
      <c r="IM7" s="20">
        <f>METER!IN34</f>
        <v/>
      </c>
      <c r="IN7" s="20">
        <f>METER!IO34</f>
        <v/>
      </c>
      <c r="IO7" s="20">
        <f>METER!IP34</f>
        <v/>
      </c>
      <c r="IP7" s="20">
        <f>METER!IQ34</f>
        <v/>
      </c>
      <c r="IQ7" s="20">
        <f>METER!IR34</f>
        <v/>
      </c>
      <c r="IR7" s="20">
        <f>METER!IS34</f>
        <v/>
      </c>
      <c r="IS7" s="20">
        <f>METER!IT34</f>
        <v/>
      </c>
      <c r="IT7" s="127">
        <f>SUM(HO7:IS7)</f>
        <v/>
      </c>
      <c r="IU7" s="20">
        <f>METER!IV34</f>
        <v/>
      </c>
      <c r="IV7" s="20">
        <f>METER!IW34</f>
        <v/>
      </c>
      <c r="IW7" s="20">
        <f>METER!IX34</f>
        <v/>
      </c>
      <c r="IX7" s="20">
        <f>METER!IY34</f>
        <v/>
      </c>
      <c r="IY7" s="20">
        <f>METER!IZ34</f>
        <v/>
      </c>
      <c r="IZ7" s="20">
        <f>METER!JA34</f>
        <v/>
      </c>
      <c r="JA7" s="20">
        <f>METER!JB34</f>
        <v/>
      </c>
      <c r="JB7" s="20">
        <f>METER!JC34</f>
        <v/>
      </c>
      <c r="JC7" s="20">
        <f>METER!JD34</f>
        <v/>
      </c>
      <c r="JD7" s="20">
        <f>METER!JE34</f>
        <v/>
      </c>
      <c r="JE7" s="20">
        <f>METER!JF34</f>
        <v/>
      </c>
      <c r="JF7" s="20">
        <f>METER!JG34</f>
        <v/>
      </c>
      <c r="JG7" s="20">
        <f>METER!JH34</f>
        <v/>
      </c>
      <c r="JH7" s="20">
        <f>METER!JI34</f>
        <v/>
      </c>
      <c r="JI7" s="20">
        <f>METER!JJ34</f>
        <v/>
      </c>
      <c r="JJ7" s="20">
        <f>METER!JK34</f>
        <v/>
      </c>
      <c r="JK7" s="20">
        <f>METER!JL34</f>
        <v/>
      </c>
      <c r="JL7" s="20">
        <f>METER!JM34</f>
        <v/>
      </c>
      <c r="JM7" s="20">
        <f>METER!JN34</f>
        <v/>
      </c>
      <c r="JN7" s="20">
        <f>METER!JO34</f>
        <v/>
      </c>
      <c r="JO7" s="20">
        <f>METER!JP34</f>
        <v/>
      </c>
      <c r="JP7" s="20">
        <f>METER!JQ34</f>
        <v/>
      </c>
      <c r="JQ7" s="20">
        <f>METER!JR34</f>
        <v/>
      </c>
      <c r="JR7" s="20">
        <f>METER!JS34</f>
        <v/>
      </c>
      <c r="JS7" s="20">
        <f>METER!JT34</f>
        <v/>
      </c>
      <c r="JT7" s="20">
        <f>METER!JU34</f>
        <v/>
      </c>
      <c r="JU7" s="20">
        <f>METER!JV34</f>
        <v/>
      </c>
      <c r="JV7" s="20">
        <f>METER!JW34</f>
        <v/>
      </c>
      <c r="JW7" s="20">
        <f>METER!JX34</f>
        <v/>
      </c>
      <c r="JX7" s="20">
        <f>METER!JY34</f>
        <v/>
      </c>
      <c r="JY7" s="127">
        <f>SUM(IU7:JX7)</f>
        <v/>
      </c>
      <c r="JZ7" s="20">
        <f>METER!KA34</f>
        <v/>
      </c>
      <c r="KA7" s="20">
        <f>METER!KB34</f>
        <v/>
      </c>
      <c r="KB7" s="20">
        <f>METER!KC34</f>
        <v/>
      </c>
      <c r="KC7" s="20">
        <f>METER!KD34</f>
        <v/>
      </c>
      <c r="KD7" s="20">
        <f>METER!KE34</f>
        <v/>
      </c>
      <c r="KE7" s="20">
        <f>METER!KF34</f>
        <v/>
      </c>
      <c r="KF7" s="20">
        <f>METER!KG34</f>
        <v/>
      </c>
      <c r="KG7" s="20">
        <f>METER!KH34</f>
        <v/>
      </c>
      <c r="KH7" s="20">
        <f>METER!KI34</f>
        <v/>
      </c>
      <c r="KI7" s="20">
        <f>METER!KJ34</f>
        <v/>
      </c>
      <c r="KJ7" s="20">
        <f>METER!KK34</f>
        <v/>
      </c>
      <c r="KK7" s="20">
        <f>METER!KL34</f>
        <v/>
      </c>
      <c r="KL7" s="20">
        <f>METER!KM34</f>
        <v/>
      </c>
      <c r="KM7" s="20">
        <f>METER!KN34</f>
        <v/>
      </c>
      <c r="KN7" s="20">
        <f>METER!KO34</f>
        <v/>
      </c>
      <c r="KO7" s="20">
        <f>METER!KP34</f>
        <v/>
      </c>
      <c r="KP7" s="20">
        <f>METER!KQ34</f>
        <v/>
      </c>
      <c r="KQ7" s="20">
        <f>METER!KR34</f>
        <v/>
      </c>
      <c r="KR7" s="20">
        <f>METER!KS34</f>
        <v/>
      </c>
      <c r="KS7" s="20">
        <f>METER!KT34</f>
        <v/>
      </c>
      <c r="KT7" s="20">
        <f>METER!KU34</f>
        <v/>
      </c>
      <c r="KU7" s="20">
        <f>METER!KV34</f>
        <v/>
      </c>
      <c r="KV7" s="20">
        <f>METER!KW34</f>
        <v/>
      </c>
      <c r="KW7" s="20">
        <f>METER!KX34</f>
        <v/>
      </c>
      <c r="KX7" s="20">
        <f>METER!KY34</f>
        <v/>
      </c>
      <c r="KY7" s="20">
        <f>METER!KZ34</f>
        <v/>
      </c>
      <c r="KZ7" s="20">
        <f>METER!LA34</f>
        <v/>
      </c>
      <c r="LA7" s="20">
        <f>METER!LB34</f>
        <v/>
      </c>
      <c r="LB7" s="20">
        <f>METER!LC34</f>
        <v/>
      </c>
      <c r="LC7" s="20">
        <f>METER!LD34</f>
        <v/>
      </c>
      <c r="LD7" s="20">
        <f>METER!LE34</f>
        <v/>
      </c>
      <c r="LE7" s="127">
        <f>SUM(KA7:LD7)</f>
        <v/>
      </c>
      <c r="LF7" s="20">
        <f>METER!LG34</f>
        <v/>
      </c>
      <c r="LG7" s="20">
        <f>METER!LH34</f>
        <v/>
      </c>
      <c r="LH7" s="20">
        <f>METER!LI34</f>
        <v/>
      </c>
      <c r="LI7" s="20">
        <f>METER!LJ34</f>
        <v/>
      </c>
      <c r="LJ7" s="20">
        <f>METER!LK34</f>
        <v/>
      </c>
      <c r="LK7" s="20">
        <f>METER!LL34</f>
        <v/>
      </c>
      <c r="LL7" s="20">
        <f>METER!LM34</f>
        <v/>
      </c>
      <c r="LM7" s="20">
        <f>METER!LN34</f>
        <v/>
      </c>
      <c r="LN7" s="20">
        <f>METER!LO34</f>
        <v/>
      </c>
      <c r="LO7" s="20">
        <f>METER!LP34</f>
        <v/>
      </c>
      <c r="LP7" s="20">
        <f>METER!LQ34</f>
        <v/>
      </c>
      <c r="LQ7" s="20">
        <f>METER!LR34</f>
        <v/>
      </c>
      <c r="LR7" s="20">
        <f>METER!LS34</f>
        <v/>
      </c>
      <c r="LS7" s="20">
        <f>METER!LT34</f>
        <v/>
      </c>
      <c r="LT7" s="20">
        <f>METER!LU34</f>
        <v/>
      </c>
      <c r="LU7" s="20">
        <f>METER!LV34</f>
        <v/>
      </c>
      <c r="LV7" s="20">
        <f>METER!LW34</f>
        <v/>
      </c>
      <c r="LW7" s="20">
        <f>METER!LX34</f>
        <v/>
      </c>
      <c r="LX7" s="20">
        <f>METER!LY34</f>
        <v/>
      </c>
      <c r="LY7" s="20">
        <f>METER!LZ34</f>
        <v/>
      </c>
      <c r="LZ7" s="20">
        <f>METER!MA34</f>
        <v/>
      </c>
      <c r="MA7" s="20">
        <f>METER!MB34</f>
        <v/>
      </c>
      <c r="MB7" s="20">
        <f>METER!MC34</f>
        <v/>
      </c>
      <c r="MC7" s="20">
        <f>METER!MD34</f>
        <v/>
      </c>
      <c r="MD7" s="20">
        <f>METER!ME34</f>
        <v/>
      </c>
      <c r="ME7" s="20">
        <f>METER!MF34</f>
        <v/>
      </c>
      <c r="MF7" s="20">
        <f>METER!MG34</f>
        <v/>
      </c>
      <c r="MG7" s="20">
        <f>METER!MH34</f>
        <v/>
      </c>
      <c r="MH7" s="20">
        <f>METER!MI34</f>
        <v/>
      </c>
      <c r="MI7" s="20">
        <f>METER!MJ34</f>
        <v/>
      </c>
      <c r="MJ7" s="127">
        <f>SUM(LF7:MI7)</f>
        <v/>
      </c>
      <c r="MK7" s="20">
        <f>METER!ML34</f>
        <v/>
      </c>
      <c r="ML7" s="20">
        <f>METER!MM34</f>
        <v/>
      </c>
      <c r="MM7" s="20">
        <f>METER!MN34</f>
        <v/>
      </c>
      <c r="MN7" s="20">
        <f>METER!MO34</f>
        <v/>
      </c>
      <c r="MO7" s="20">
        <f>METER!MP34</f>
        <v/>
      </c>
      <c r="MP7" s="20">
        <f>METER!MQ34</f>
        <v/>
      </c>
      <c r="MQ7" s="20">
        <f>METER!MR34</f>
        <v/>
      </c>
      <c r="MR7" s="20">
        <f>METER!MS34</f>
        <v/>
      </c>
      <c r="MS7" s="20">
        <f>METER!MT34</f>
        <v/>
      </c>
      <c r="MT7" s="20">
        <f>METER!MU34</f>
        <v/>
      </c>
      <c r="MU7" s="20">
        <f>METER!MV34</f>
        <v/>
      </c>
      <c r="MV7" s="20">
        <f>METER!MW34</f>
        <v/>
      </c>
      <c r="MW7" s="20">
        <f>METER!MX34</f>
        <v/>
      </c>
      <c r="MX7" s="20">
        <f>METER!MY34</f>
        <v/>
      </c>
      <c r="MY7" s="20">
        <f>METER!MZ34</f>
        <v/>
      </c>
      <c r="MZ7" s="20">
        <f>METER!NA34</f>
        <v/>
      </c>
      <c r="NA7" s="20">
        <f>METER!NB34</f>
        <v/>
      </c>
      <c r="NB7" s="20">
        <f>METER!NC34</f>
        <v/>
      </c>
      <c r="NC7" s="20">
        <f>METER!ND34</f>
        <v/>
      </c>
      <c r="ND7" s="20">
        <f>METER!NE34</f>
        <v/>
      </c>
      <c r="NE7" s="20">
        <f>METER!NF34</f>
        <v/>
      </c>
      <c r="NF7" s="20">
        <f>METER!NG34</f>
        <v/>
      </c>
      <c r="NG7" s="20">
        <f>METER!NH34</f>
        <v/>
      </c>
      <c r="NH7" s="20">
        <f>METER!NI34</f>
        <v/>
      </c>
      <c r="NI7" s="20">
        <f>METER!NJ34</f>
        <v/>
      </c>
      <c r="NJ7" s="20">
        <f>METER!NK34</f>
        <v/>
      </c>
      <c r="NK7" s="20">
        <f>METER!NL34</f>
        <v/>
      </c>
      <c r="NL7" s="20">
        <f>METER!NM34</f>
        <v/>
      </c>
      <c r="NM7" s="20">
        <f>METER!NN34</f>
        <v/>
      </c>
      <c r="NN7" s="20">
        <f>METER!NO34</f>
        <v/>
      </c>
      <c r="NO7" s="20">
        <f>METER!NP34</f>
        <v/>
      </c>
      <c r="NP7" s="127">
        <f>SUM(ML7:NO7)</f>
        <v/>
      </c>
      <c r="NQ7" s="20">
        <f>METER!NR34</f>
        <v/>
      </c>
      <c r="NR7" s="20">
        <f>METER!NS34</f>
        <v/>
      </c>
      <c r="NS7" s="20">
        <f>METER!NT34</f>
        <v/>
      </c>
      <c r="NT7" s="20">
        <f>METER!NU34</f>
        <v/>
      </c>
      <c r="NU7" s="20">
        <f>METER!NV34</f>
        <v/>
      </c>
      <c r="NV7" s="20">
        <f>METER!NW34</f>
        <v/>
      </c>
      <c r="NW7" s="20">
        <f>METER!NX34</f>
        <v/>
      </c>
      <c r="NX7" s="20">
        <f>METER!NY34</f>
        <v/>
      </c>
      <c r="NY7" s="20">
        <f>METER!NZ34</f>
        <v/>
      </c>
      <c r="NZ7" s="20">
        <f>METER!OA34</f>
        <v/>
      </c>
      <c r="OA7" s="20">
        <f>METER!OB34</f>
        <v/>
      </c>
      <c r="OB7" s="20">
        <f>METER!OC34</f>
        <v/>
      </c>
      <c r="OC7" s="20">
        <f>METER!OD34</f>
        <v/>
      </c>
      <c r="OD7" s="20">
        <f>METER!OE34</f>
        <v/>
      </c>
      <c r="OE7" s="20">
        <f>METER!OF34</f>
        <v/>
      </c>
      <c r="OF7" s="20">
        <f>METER!OG34</f>
        <v/>
      </c>
      <c r="OG7" s="20">
        <f>METER!OH34</f>
        <v/>
      </c>
      <c r="OH7" s="20">
        <f>METER!OI34</f>
        <v/>
      </c>
      <c r="OI7" s="20">
        <f>METER!OJ34</f>
        <v/>
      </c>
      <c r="OJ7" s="20">
        <f>METER!OK34</f>
        <v/>
      </c>
      <c r="OK7" s="20">
        <f>METER!OL34</f>
        <v/>
      </c>
      <c r="OL7" s="20">
        <f>METER!OM34</f>
        <v/>
      </c>
      <c r="OM7" s="20">
        <f>METER!ON34</f>
        <v/>
      </c>
      <c r="ON7" s="20">
        <f>METER!OO34</f>
        <v/>
      </c>
      <c r="OO7" s="20">
        <f>METER!OP34</f>
        <v/>
      </c>
      <c r="OP7" s="20">
        <f>METER!OQ34</f>
        <v/>
      </c>
      <c r="OQ7" s="20">
        <f>METER!OR34</f>
        <v/>
      </c>
      <c r="OR7" s="20">
        <f>METER!OS34</f>
        <v/>
      </c>
      <c r="OS7" s="20">
        <f>METER!OT34</f>
        <v/>
      </c>
      <c r="OT7" s="20">
        <f>METER!OU34</f>
        <v/>
      </c>
      <c r="OU7" s="20">
        <f>METER!OV34</f>
        <v/>
      </c>
      <c r="OV7" s="127">
        <f>SUM(NR7:OU7)</f>
        <v/>
      </c>
      <c r="OW7" s="20">
        <f>METER!OX34</f>
        <v/>
      </c>
      <c r="OX7" s="20">
        <f>METER!OY34</f>
        <v/>
      </c>
      <c r="OY7" s="20">
        <f>METER!OZ34</f>
        <v/>
      </c>
      <c r="OZ7" s="20">
        <f>METER!PA34</f>
        <v/>
      </c>
      <c r="PA7" s="20">
        <f>METER!PB34</f>
        <v/>
      </c>
      <c r="PB7" s="20">
        <f>METER!PC34</f>
        <v/>
      </c>
      <c r="PC7" s="20">
        <f>METER!PD34</f>
        <v/>
      </c>
      <c r="PD7" s="20">
        <f>METER!PE34</f>
        <v/>
      </c>
      <c r="PE7" s="20">
        <f>METER!PF34</f>
        <v/>
      </c>
      <c r="PF7" s="20">
        <f>METER!PG34</f>
        <v/>
      </c>
      <c r="PG7" s="20">
        <f>METER!PH34</f>
        <v/>
      </c>
      <c r="PH7" s="20">
        <f>METER!PI34</f>
        <v/>
      </c>
      <c r="PI7" s="20">
        <f>METER!PJ34</f>
        <v/>
      </c>
      <c r="PJ7" s="20">
        <f>METER!PK34</f>
        <v/>
      </c>
      <c r="PK7" s="20">
        <f>METER!PL34</f>
        <v/>
      </c>
      <c r="PL7" s="20">
        <f>METER!PM34</f>
        <v/>
      </c>
      <c r="PM7" s="20">
        <f>METER!PN34</f>
        <v/>
      </c>
      <c r="PN7" s="20">
        <f>METER!PO34</f>
        <v/>
      </c>
      <c r="PO7" s="20">
        <f>METER!PP34</f>
        <v/>
      </c>
      <c r="PP7" s="20">
        <f>METER!PQ34</f>
        <v/>
      </c>
      <c r="PQ7" s="20">
        <f>METER!PR34</f>
        <v/>
      </c>
      <c r="PR7" s="20">
        <f>METER!PS34</f>
        <v/>
      </c>
      <c r="PS7" s="20">
        <f>METER!PT34</f>
        <v/>
      </c>
      <c r="PT7" s="20">
        <f>METER!PU34</f>
        <v/>
      </c>
      <c r="PU7" s="20">
        <f>METER!PV34</f>
        <v/>
      </c>
      <c r="PV7" s="20">
        <f>METER!PW34</f>
        <v/>
      </c>
      <c r="PW7" s="20">
        <f>METER!PX34</f>
        <v/>
      </c>
      <c r="PX7" s="20">
        <f>METER!PY34</f>
        <v/>
      </c>
      <c r="PY7" s="20">
        <f>METER!PZ34</f>
        <v/>
      </c>
      <c r="PZ7" s="20">
        <f>METER!QA34</f>
        <v/>
      </c>
      <c r="QA7" s="127">
        <f>SUM(OW7:PZ7)</f>
        <v/>
      </c>
      <c r="QB7" s="20">
        <f>METER!QC34</f>
        <v/>
      </c>
      <c r="QC7" s="20">
        <f>METER!QD34</f>
        <v/>
      </c>
      <c r="QD7" s="20">
        <f>METER!QE34</f>
        <v/>
      </c>
      <c r="QE7" s="20">
        <f>METER!QF34</f>
        <v/>
      </c>
      <c r="QF7" s="20">
        <f>METER!QG34</f>
        <v/>
      </c>
      <c r="QG7" s="20">
        <f>METER!QH34</f>
        <v/>
      </c>
      <c r="QH7" s="20">
        <f>METER!QI34</f>
        <v/>
      </c>
      <c r="QI7" s="20">
        <f>METER!QJ34</f>
        <v/>
      </c>
      <c r="QJ7" s="20">
        <f>METER!QK34</f>
        <v/>
      </c>
      <c r="QK7" s="20">
        <f>METER!QL34</f>
        <v/>
      </c>
      <c r="QL7" s="20">
        <f>METER!QM34</f>
        <v/>
      </c>
      <c r="QM7" s="20">
        <f>METER!QN34</f>
        <v/>
      </c>
      <c r="QN7" s="20">
        <f>METER!QO34</f>
        <v/>
      </c>
      <c r="QO7" s="20">
        <f>METER!QP34</f>
        <v/>
      </c>
      <c r="QP7" s="20">
        <f>METER!QQ34</f>
        <v/>
      </c>
      <c r="QQ7" s="20">
        <f>METER!QR34</f>
        <v/>
      </c>
      <c r="QR7" s="20">
        <f>METER!QS34</f>
        <v/>
      </c>
      <c r="QS7" s="20">
        <f>METER!QT34</f>
        <v/>
      </c>
      <c r="QT7" s="20">
        <f>METER!QU34</f>
        <v/>
      </c>
      <c r="QU7" s="20">
        <f>METER!QV34</f>
        <v/>
      </c>
      <c r="QV7" s="20">
        <f>METER!QW34</f>
        <v/>
      </c>
      <c r="QW7" s="20">
        <f>METER!QX34</f>
        <v/>
      </c>
      <c r="QX7" s="20">
        <f>METER!QY34</f>
        <v/>
      </c>
      <c r="QY7" s="20">
        <f>METER!QZ34</f>
        <v/>
      </c>
      <c r="QZ7" s="20">
        <f>METER!RA34</f>
        <v/>
      </c>
      <c r="RA7" s="20">
        <f>METER!RB34</f>
        <v/>
      </c>
      <c r="RB7" s="20">
        <f>METER!RC34</f>
        <v/>
      </c>
      <c r="RC7" s="20">
        <f>METER!RD34</f>
        <v/>
      </c>
      <c r="RD7" s="20">
        <f>METER!RE34</f>
        <v/>
      </c>
      <c r="RE7" s="20">
        <f>METER!RF34</f>
        <v/>
      </c>
      <c r="RF7" s="20">
        <f>METER!RG34</f>
        <v/>
      </c>
      <c r="RG7" s="127">
        <f>SUM(QB7:RF7)</f>
        <v/>
      </c>
      <c r="RH7" s="20">
        <f>METER!RI34</f>
        <v/>
      </c>
      <c r="RI7" s="20">
        <f>METER!RJ34</f>
        <v/>
      </c>
      <c r="RJ7" s="20">
        <f>METER!RK34</f>
        <v/>
      </c>
      <c r="RK7" s="20">
        <f>METER!RL34</f>
        <v/>
      </c>
      <c r="RL7" s="20">
        <f>METER!RM34</f>
        <v/>
      </c>
      <c r="RM7" s="20">
        <f>METER!RN34</f>
        <v/>
      </c>
      <c r="RN7" s="20">
        <f>METER!RO34</f>
        <v/>
      </c>
      <c r="RO7" s="20">
        <f>METER!RP34</f>
        <v/>
      </c>
      <c r="RP7" s="20">
        <f>METER!RQ34</f>
        <v/>
      </c>
      <c r="RQ7" s="20">
        <f>METER!RR34</f>
        <v/>
      </c>
      <c r="RR7" s="20">
        <f>METER!RS34</f>
        <v/>
      </c>
      <c r="RS7" s="20">
        <f>METER!RT34</f>
        <v/>
      </c>
      <c r="RT7" s="20">
        <f>METER!RU34</f>
        <v/>
      </c>
      <c r="RU7" s="20">
        <f>METER!RV34</f>
        <v/>
      </c>
      <c r="RV7" s="20">
        <f>METER!RW34</f>
        <v/>
      </c>
      <c r="RW7" s="20">
        <f>METER!RX34</f>
        <v/>
      </c>
      <c r="RX7" s="20">
        <f>METER!RY34</f>
        <v/>
      </c>
      <c r="RY7" s="20">
        <f>METER!RZ34</f>
        <v/>
      </c>
      <c r="RZ7" s="20">
        <f>METER!SA34</f>
        <v/>
      </c>
      <c r="SA7" s="20">
        <f>METER!SB34</f>
        <v/>
      </c>
      <c r="SB7" s="20">
        <f>METER!SC34</f>
        <v/>
      </c>
      <c r="SC7" s="20">
        <f>METER!SD34</f>
        <v/>
      </c>
      <c r="SD7" s="20">
        <f>METER!SE34</f>
        <v/>
      </c>
      <c r="SE7" s="20">
        <f>METER!SF34</f>
        <v/>
      </c>
      <c r="SF7" s="20">
        <f>METER!SG34</f>
        <v/>
      </c>
      <c r="SG7" s="20">
        <f>METER!SH34</f>
        <v/>
      </c>
      <c r="SH7" s="20">
        <f>METER!SI34</f>
        <v/>
      </c>
      <c r="SI7" s="20">
        <f>METER!SJ34</f>
        <v/>
      </c>
      <c r="SJ7" s="20">
        <f>METER!SK34</f>
        <v/>
      </c>
      <c r="SK7" s="20">
        <f>METER!SL34</f>
        <v/>
      </c>
      <c r="SL7" s="127">
        <f>SUM(RH7:SK7)</f>
        <v/>
      </c>
      <c r="SM7" s="20">
        <f>METER!SN34</f>
        <v/>
      </c>
      <c r="SN7" s="20">
        <f>METER!SO34</f>
        <v/>
      </c>
      <c r="SO7" s="20">
        <f>METER!SP34</f>
        <v/>
      </c>
      <c r="SP7" s="20">
        <f>METER!SQ34</f>
        <v/>
      </c>
      <c r="SQ7" s="20">
        <f>METER!SR34</f>
        <v/>
      </c>
      <c r="SR7" s="20">
        <f>METER!SS34</f>
        <v/>
      </c>
      <c r="SS7" s="20">
        <f>METER!ST34</f>
        <v/>
      </c>
      <c r="ST7" s="20">
        <f>METER!SU34</f>
        <v/>
      </c>
      <c r="SU7" s="20">
        <f>METER!SV34</f>
        <v/>
      </c>
      <c r="SV7" s="20">
        <f>METER!SW34</f>
        <v/>
      </c>
      <c r="SW7" s="20">
        <f>METER!SX34</f>
        <v/>
      </c>
      <c r="SX7" s="20">
        <f>METER!SY34</f>
        <v/>
      </c>
      <c r="SY7" s="20">
        <f>METER!SZ34</f>
        <v/>
      </c>
      <c r="SZ7" s="20">
        <f>METER!TA34</f>
        <v/>
      </c>
      <c r="TA7" s="20">
        <f>METER!TB34</f>
        <v/>
      </c>
      <c r="TB7" s="20">
        <f>METER!TC34</f>
        <v/>
      </c>
      <c r="TC7" s="20">
        <f>METER!TD34</f>
        <v/>
      </c>
      <c r="TD7" s="20">
        <f>METER!TE34</f>
        <v/>
      </c>
      <c r="TE7" s="20">
        <f>METER!TF34</f>
        <v/>
      </c>
      <c r="TF7" s="20">
        <f>METER!TG34</f>
        <v/>
      </c>
      <c r="TG7" s="20">
        <f>METER!TH34</f>
        <v/>
      </c>
      <c r="TH7" s="20">
        <f>METER!TI34</f>
        <v/>
      </c>
      <c r="TI7" s="20">
        <f>METER!TJ34</f>
        <v/>
      </c>
      <c r="TJ7" s="20">
        <f>METER!TK34</f>
        <v/>
      </c>
      <c r="TK7" s="20">
        <f>METER!TL34</f>
        <v/>
      </c>
      <c r="TL7" s="20">
        <f>METER!TM34</f>
        <v/>
      </c>
      <c r="TM7" s="20">
        <f>METER!TN34</f>
        <v/>
      </c>
      <c r="TN7" s="20">
        <f>METER!TO34</f>
        <v/>
      </c>
      <c r="TO7" s="20">
        <f>METER!TP34</f>
        <v/>
      </c>
      <c r="TP7" s="20">
        <f>METER!TQ34</f>
        <v/>
      </c>
      <c r="TQ7" s="20">
        <f>METER!TR34</f>
        <v/>
      </c>
      <c r="TR7" s="127">
        <f>SUM(SM7:TQ7)</f>
        <v/>
      </c>
      <c r="TS7" s="20">
        <f>METER!TT34</f>
        <v/>
      </c>
      <c r="TT7" s="20">
        <f>METER!TU34</f>
        <v/>
      </c>
      <c r="TU7" s="20">
        <f>METER!TV34</f>
        <v/>
      </c>
      <c r="TV7" s="20">
        <f>METER!TW34</f>
        <v/>
      </c>
      <c r="TW7" s="20">
        <f>METER!TX34</f>
        <v/>
      </c>
      <c r="TX7" s="20">
        <f>METER!TY34</f>
        <v/>
      </c>
      <c r="TY7" s="20">
        <f>METER!TZ34</f>
        <v/>
      </c>
      <c r="TZ7" s="20">
        <f>METER!UA34</f>
        <v/>
      </c>
      <c r="UA7" s="20">
        <f>METER!UB34</f>
        <v/>
      </c>
      <c r="UB7" s="20">
        <f>METER!UC34</f>
        <v/>
      </c>
      <c r="UC7" s="20">
        <f>METER!UD34</f>
        <v/>
      </c>
      <c r="UD7" s="20">
        <f>METER!UE34</f>
        <v/>
      </c>
      <c r="UE7" s="20">
        <f>METER!UF34</f>
        <v/>
      </c>
      <c r="UF7" s="20">
        <f>METER!UG34</f>
        <v/>
      </c>
      <c r="UG7" s="20">
        <f>METER!UH34</f>
        <v/>
      </c>
      <c r="UH7" s="20">
        <f>METER!UI34</f>
        <v/>
      </c>
      <c r="UI7" s="20">
        <f>METER!UJ34</f>
        <v/>
      </c>
      <c r="UJ7" s="20">
        <f>METER!UK34</f>
        <v/>
      </c>
      <c r="UK7" s="20">
        <f>METER!UL34</f>
        <v/>
      </c>
      <c r="UL7" s="20">
        <f>METER!UM34</f>
        <v/>
      </c>
      <c r="UM7" s="20">
        <f>METER!UN34</f>
        <v/>
      </c>
      <c r="UN7" s="20">
        <f>METER!UO34</f>
        <v/>
      </c>
      <c r="UO7" s="20">
        <f>METER!UP34</f>
        <v/>
      </c>
      <c r="UP7" s="20">
        <f>METER!UQ34</f>
        <v/>
      </c>
      <c r="UQ7" s="20">
        <f>METER!UR34</f>
        <v/>
      </c>
      <c r="UR7" s="20">
        <f>METER!US34</f>
        <v/>
      </c>
      <c r="US7" s="20">
        <f>METER!UT34</f>
        <v/>
      </c>
      <c r="UT7" s="20">
        <f>METER!UU34</f>
        <v/>
      </c>
      <c r="UU7" s="20">
        <f>METER!UV34</f>
        <v/>
      </c>
      <c r="UV7" s="20">
        <f>METER!UW34</f>
        <v/>
      </c>
      <c r="UW7" s="20">
        <f>METER!UX34</f>
        <v/>
      </c>
      <c r="UX7" s="127">
        <f>SUM(TS7:UW7)</f>
        <v/>
      </c>
      <c r="UY7" s="20">
        <f>METER!UZ34</f>
        <v/>
      </c>
      <c r="UZ7" s="20">
        <f>METER!VA34</f>
        <v/>
      </c>
      <c r="VA7" s="20">
        <f>METER!VB34</f>
        <v/>
      </c>
      <c r="VB7" s="20">
        <f>METER!VC34</f>
        <v/>
      </c>
      <c r="VC7" s="20">
        <f>METER!VD34</f>
        <v/>
      </c>
      <c r="VD7" s="20">
        <f>METER!VE34</f>
        <v/>
      </c>
      <c r="VE7" s="20">
        <f>METER!VF34</f>
        <v/>
      </c>
      <c r="VF7" s="20">
        <f>METER!VG34</f>
        <v/>
      </c>
      <c r="VG7" s="20">
        <f>METER!VH34</f>
        <v/>
      </c>
      <c r="VH7" s="20">
        <f>METER!VI34</f>
        <v/>
      </c>
      <c r="VI7" s="20">
        <f>METER!VJ34</f>
        <v/>
      </c>
      <c r="VJ7" s="20">
        <f>METER!VK34</f>
        <v/>
      </c>
      <c r="VK7" s="20">
        <f>METER!VL34</f>
        <v/>
      </c>
      <c r="VL7" s="20">
        <f>METER!VM34</f>
        <v/>
      </c>
      <c r="VM7" s="20">
        <f>METER!VN34</f>
        <v/>
      </c>
      <c r="VN7" s="20">
        <f>METER!VO34</f>
        <v/>
      </c>
      <c r="VO7" s="20">
        <f>METER!VP34</f>
        <v/>
      </c>
      <c r="VP7" s="20">
        <f>METER!VQ34</f>
        <v/>
      </c>
      <c r="VQ7" s="20">
        <f>METER!VR34</f>
        <v/>
      </c>
      <c r="VR7" s="20">
        <f>METER!VS34</f>
        <v/>
      </c>
      <c r="VS7" s="20">
        <f>METER!VT34</f>
        <v/>
      </c>
      <c r="VT7" s="20">
        <f>METER!VU34</f>
        <v/>
      </c>
      <c r="VU7" s="20">
        <f>METER!VV34</f>
        <v/>
      </c>
      <c r="VV7" s="20">
        <f>METER!VW34</f>
        <v/>
      </c>
      <c r="VW7" s="20">
        <f>METER!VX34</f>
        <v/>
      </c>
      <c r="VX7" s="20">
        <f>METER!VY34</f>
        <v/>
      </c>
      <c r="VY7" s="20">
        <f>METER!VZ34</f>
        <v/>
      </c>
      <c r="VZ7" s="20">
        <f>METER!WA34</f>
        <v/>
      </c>
      <c r="WA7" s="127">
        <f>SUM(UY7:VZ7)</f>
        <v/>
      </c>
      <c r="WB7" s="20">
        <f>METER!WC34</f>
        <v/>
      </c>
      <c r="WC7" s="20">
        <f>METER!WD34</f>
        <v/>
      </c>
      <c r="WD7" s="20">
        <f>METER!WE34</f>
        <v/>
      </c>
      <c r="WE7" s="20">
        <f>METER!WF34</f>
        <v/>
      </c>
      <c r="WF7" s="20">
        <f>METER!WG34</f>
        <v/>
      </c>
      <c r="WG7" s="20">
        <f>METER!WH34</f>
        <v/>
      </c>
      <c r="WH7" s="20">
        <f>METER!WI34</f>
        <v/>
      </c>
      <c r="WI7" s="20">
        <f>METER!WJ34</f>
        <v/>
      </c>
      <c r="WJ7" s="20">
        <f>METER!WK34</f>
        <v/>
      </c>
      <c r="WK7" s="20">
        <f>METER!WL34</f>
        <v/>
      </c>
      <c r="WL7" s="20">
        <f>METER!WM34</f>
        <v/>
      </c>
      <c r="WM7" s="20">
        <f>METER!WN34</f>
        <v/>
      </c>
      <c r="WN7" s="20">
        <f>METER!WO34</f>
        <v/>
      </c>
      <c r="WO7" s="20">
        <f>METER!WP34</f>
        <v/>
      </c>
      <c r="WP7" s="20">
        <f>METER!WQ34</f>
        <v/>
      </c>
      <c r="WQ7" s="20">
        <f>METER!WR34</f>
        <v/>
      </c>
      <c r="WR7" s="20">
        <f>METER!WS34</f>
        <v/>
      </c>
      <c r="WS7" s="20">
        <f>METER!WT34</f>
        <v/>
      </c>
      <c r="WT7" s="20">
        <f>METER!WU34</f>
        <v/>
      </c>
      <c r="WU7" s="20">
        <f>METER!WV34</f>
        <v/>
      </c>
      <c r="WV7" s="20">
        <f>METER!WW34</f>
        <v/>
      </c>
      <c r="WW7" s="20">
        <f>METER!WX34</f>
        <v/>
      </c>
      <c r="WX7" s="20">
        <f>METER!WY34</f>
        <v/>
      </c>
      <c r="WY7" s="20">
        <f>METER!WZ34</f>
        <v/>
      </c>
      <c r="WZ7" s="20">
        <f>METER!XA34</f>
        <v/>
      </c>
      <c r="XA7" s="20">
        <f>METER!XB34</f>
        <v/>
      </c>
      <c r="XB7" s="20">
        <f>METER!XC34</f>
        <v/>
      </c>
      <c r="XC7" s="20">
        <f>METER!XD34</f>
        <v/>
      </c>
      <c r="XD7" s="20">
        <f>METER!XE34</f>
        <v/>
      </c>
      <c r="XE7" s="20">
        <f>METER!XF34</f>
        <v/>
      </c>
      <c r="XF7" s="20">
        <f>METER!XG34</f>
        <v/>
      </c>
      <c r="XG7" s="127">
        <f>SUM(WB7:XF7)</f>
        <v/>
      </c>
      <c r="XH7" s="20">
        <f>METER!XI34</f>
        <v/>
      </c>
      <c r="XI7" s="20">
        <f>METER!XJ34</f>
        <v/>
      </c>
      <c r="XJ7" s="20">
        <f>METER!XK34</f>
        <v/>
      </c>
      <c r="XK7" s="20">
        <f>METER!XL34</f>
        <v/>
      </c>
      <c r="XL7" s="20">
        <f>METER!XM34</f>
        <v/>
      </c>
      <c r="XM7" s="20">
        <f>METER!XN34</f>
        <v/>
      </c>
      <c r="XN7" s="20">
        <f>METER!XO34</f>
        <v/>
      </c>
      <c r="XO7" s="20">
        <f>METER!XP34</f>
        <v/>
      </c>
      <c r="XP7" s="20">
        <f>METER!XQ34</f>
        <v/>
      </c>
      <c r="XQ7" s="20">
        <f>METER!XR34</f>
        <v/>
      </c>
      <c r="XR7" s="20">
        <f>METER!XS34</f>
        <v/>
      </c>
      <c r="XS7" s="20">
        <f>METER!XT34</f>
        <v/>
      </c>
      <c r="XT7" s="20">
        <f>METER!XU34</f>
        <v/>
      </c>
      <c r="XU7" s="20">
        <f>METER!XV34</f>
        <v/>
      </c>
      <c r="XV7" s="20">
        <f>METER!XW34</f>
        <v/>
      </c>
      <c r="XW7" s="20">
        <f>METER!XX34</f>
        <v/>
      </c>
      <c r="XX7" s="20">
        <f>METER!XY34</f>
        <v/>
      </c>
      <c r="XY7" s="20">
        <f>METER!XZ34</f>
        <v/>
      </c>
      <c r="XZ7" s="20">
        <f>METER!YA34</f>
        <v/>
      </c>
      <c r="YA7" s="20">
        <f>METER!YB34</f>
        <v/>
      </c>
      <c r="YB7" s="20">
        <f>METER!YC34</f>
        <v/>
      </c>
      <c r="YC7" s="20">
        <f>METER!YD34</f>
        <v/>
      </c>
      <c r="YD7" s="20">
        <f>METER!YE34</f>
        <v/>
      </c>
      <c r="YE7" s="20">
        <f>METER!YF34</f>
        <v/>
      </c>
      <c r="YF7" s="20">
        <f>METER!YG34</f>
        <v/>
      </c>
      <c r="YG7" s="20">
        <f>METER!YH34</f>
        <v/>
      </c>
      <c r="YH7" s="20">
        <f>METER!YI34</f>
        <v/>
      </c>
      <c r="YI7" s="20">
        <f>METER!YJ34</f>
        <v/>
      </c>
      <c r="YJ7" s="20">
        <f>METER!YK34</f>
        <v/>
      </c>
      <c r="YK7" s="20">
        <f>METER!YL34</f>
        <v/>
      </c>
      <c r="YL7" s="127">
        <f>SUM(XH7:YK7)</f>
        <v/>
      </c>
      <c r="YM7" s="20">
        <f>METER!YN34</f>
        <v/>
      </c>
      <c r="YN7" s="20">
        <f>METER!YO34</f>
        <v/>
      </c>
      <c r="YO7" s="20">
        <f>METER!YP34</f>
        <v/>
      </c>
      <c r="YP7" s="20">
        <f>METER!YQ34</f>
        <v/>
      </c>
      <c r="YQ7" s="20">
        <f>METER!YR34</f>
        <v/>
      </c>
      <c r="YR7" s="20">
        <f>METER!YS34</f>
        <v/>
      </c>
      <c r="YS7" s="20">
        <f>METER!YT34</f>
        <v/>
      </c>
      <c r="YT7" s="20">
        <f>METER!YU34</f>
        <v/>
      </c>
      <c r="YU7" s="20">
        <f>METER!YV34</f>
        <v/>
      </c>
      <c r="YV7" s="20">
        <f>METER!YW34</f>
        <v/>
      </c>
      <c r="YW7" s="20">
        <f>METER!YX34</f>
        <v/>
      </c>
      <c r="YX7" s="20">
        <f>METER!YY34</f>
        <v/>
      </c>
      <c r="YY7" s="20">
        <f>METER!YZ34</f>
        <v/>
      </c>
      <c r="YZ7" s="20">
        <f>METER!ZA34</f>
        <v/>
      </c>
      <c r="ZA7" s="20">
        <f>METER!ZB34</f>
        <v/>
      </c>
      <c r="ZB7" s="20">
        <f>METER!ZC34</f>
        <v/>
      </c>
      <c r="ZC7" s="20">
        <f>METER!ZD34</f>
        <v/>
      </c>
      <c r="ZD7" s="20">
        <f>METER!ZE34</f>
        <v/>
      </c>
      <c r="ZE7" s="20">
        <f>METER!ZF34</f>
        <v/>
      </c>
      <c r="ZF7" s="20">
        <f>METER!ZG34</f>
        <v/>
      </c>
      <c r="ZG7" s="20">
        <f>METER!ZH34</f>
        <v/>
      </c>
      <c r="ZH7" s="20">
        <f>METER!ZI34</f>
        <v/>
      </c>
      <c r="ZI7" s="20">
        <f>METER!ZJ34</f>
        <v/>
      </c>
      <c r="ZJ7" s="20">
        <f>METER!ZK34</f>
        <v/>
      </c>
      <c r="ZK7" s="20">
        <f>METER!ZL34</f>
        <v/>
      </c>
      <c r="ZL7" s="20">
        <f>METER!ZM34</f>
        <v/>
      </c>
      <c r="ZM7" s="20">
        <f>METER!ZN34</f>
        <v/>
      </c>
      <c r="ZN7" s="20">
        <f>METER!ZO34</f>
        <v/>
      </c>
      <c r="ZO7" s="20">
        <f>METER!ZP34</f>
        <v/>
      </c>
      <c r="ZP7" s="20">
        <f>METER!ZQ34</f>
        <v/>
      </c>
      <c r="ZQ7" s="20">
        <f>METER!ZR34</f>
        <v/>
      </c>
      <c r="ZR7" s="127">
        <f>SUM(YM7:ZQ7)</f>
        <v/>
      </c>
      <c r="ZS7" s="20">
        <f>METER!ZT34</f>
        <v/>
      </c>
      <c r="ZT7" s="20">
        <f>METER!ZU34</f>
        <v/>
      </c>
      <c r="ZU7" s="20">
        <f>METER!ZV34</f>
        <v/>
      </c>
      <c r="ZV7" s="20">
        <f>METER!ZW34</f>
        <v/>
      </c>
      <c r="ZW7" s="20">
        <f>METER!ZX34</f>
        <v/>
      </c>
      <c r="ZX7" s="20">
        <f>METER!ZY34</f>
        <v/>
      </c>
      <c r="ZY7" s="20">
        <f>METER!ZZ34</f>
        <v/>
      </c>
      <c r="ZZ7" s="20">
        <f>METER!AAA34</f>
        <v/>
      </c>
      <c r="AAA7" s="20">
        <f>METER!AAB34</f>
        <v/>
      </c>
      <c r="AAB7" s="20">
        <f>METER!AAC34</f>
        <v/>
      </c>
      <c r="AAC7" s="20">
        <f>METER!AAD34</f>
        <v/>
      </c>
      <c r="AAD7" s="20">
        <f>METER!AAE34</f>
        <v/>
      </c>
      <c r="AAE7" s="20">
        <f>METER!AAF34</f>
        <v/>
      </c>
      <c r="AAF7" s="20">
        <f>METER!AAG34</f>
        <v/>
      </c>
      <c r="AAG7" s="20">
        <f>METER!AAH34</f>
        <v/>
      </c>
      <c r="AAH7" s="20">
        <f>METER!AAI34</f>
        <v/>
      </c>
      <c r="AAI7" s="20">
        <f>METER!AAJ34</f>
        <v/>
      </c>
      <c r="AAJ7" s="20">
        <f>METER!AAK34</f>
        <v/>
      </c>
      <c r="AAK7" s="20">
        <f>METER!AAL34</f>
        <v/>
      </c>
      <c r="AAL7" s="20">
        <f>METER!AAM34</f>
        <v/>
      </c>
      <c r="AAM7" s="20">
        <f>METER!AAN34</f>
        <v/>
      </c>
      <c r="AAN7" s="20">
        <f>METER!AAO34</f>
        <v/>
      </c>
      <c r="AAO7" s="20">
        <f>METER!AAP34</f>
        <v/>
      </c>
      <c r="AAP7" s="20">
        <f>METER!AAQ34</f>
        <v/>
      </c>
      <c r="AAQ7" s="20">
        <f>METER!AAR34</f>
        <v/>
      </c>
      <c r="AAR7" s="20">
        <f>METER!AAS34</f>
        <v/>
      </c>
      <c r="AAS7" s="20">
        <f>METER!AAT34</f>
        <v/>
      </c>
      <c r="AAT7" s="20">
        <f>METER!AAU34</f>
        <v/>
      </c>
      <c r="AAU7" s="20">
        <f>METER!AAV34</f>
        <v/>
      </c>
      <c r="AAV7" s="20">
        <f>METER!AAW34</f>
        <v/>
      </c>
      <c r="AAW7" s="127">
        <f>SUM(ZS7:AAV7)</f>
        <v/>
      </c>
      <c r="AAX7" s="20">
        <f>METER!AAY34</f>
        <v/>
      </c>
      <c r="AAY7" s="20">
        <f>METER!AAZ34</f>
        <v/>
      </c>
      <c r="AAZ7" s="20">
        <f>METER!ABA34</f>
        <v/>
      </c>
      <c r="ABA7" s="20">
        <f>METER!ABB34</f>
        <v/>
      </c>
      <c r="ABB7" s="20">
        <f>METER!ABC34</f>
        <v/>
      </c>
      <c r="ABC7" s="20">
        <f>METER!ABD34</f>
        <v/>
      </c>
      <c r="ABD7" s="20">
        <f>METER!ABE34</f>
        <v/>
      </c>
      <c r="ABE7" s="20">
        <f>METER!ABF34</f>
        <v/>
      </c>
      <c r="ABF7" s="20">
        <f>METER!ABG34</f>
        <v/>
      </c>
      <c r="ABG7" s="20">
        <f>METER!ABH34</f>
        <v/>
      </c>
      <c r="ABH7" s="20">
        <f>METER!ABI34</f>
        <v/>
      </c>
      <c r="ABI7" s="20">
        <f>METER!ABJ34</f>
        <v/>
      </c>
      <c r="ABJ7" s="20">
        <f>METER!ABK34</f>
        <v/>
      </c>
      <c r="ABK7" s="20">
        <f>METER!ABL34</f>
        <v/>
      </c>
      <c r="ABL7" s="20">
        <f>METER!ABM34</f>
        <v/>
      </c>
      <c r="ABM7" s="20">
        <f>METER!ABN34</f>
        <v/>
      </c>
      <c r="ABN7" s="20">
        <f>METER!ABO34</f>
        <v/>
      </c>
      <c r="ABO7" s="20">
        <f>METER!ABP34</f>
        <v/>
      </c>
      <c r="ABP7" s="20">
        <f>METER!ABQ34</f>
        <v/>
      </c>
      <c r="ABQ7" s="20">
        <f>METER!ABR34</f>
        <v/>
      </c>
      <c r="ABR7" s="20">
        <f>METER!ABS34</f>
        <v/>
      </c>
      <c r="ABS7" s="20">
        <f>METER!ABT34</f>
        <v/>
      </c>
      <c r="ABT7" s="20">
        <f>METER!ABU34</f>
        <v/>
      </c>
      <c r="ABU7" s="20">
        <f>METER!ABV34</f>
        <v/>
      </c>
      <c r="ABV7" s="20">
        <f>METER!ABW34</f>
        <v/>
      </c>
      <c r="ABW7" s="20">
        <f>METER!ABX34</f>
        <v/>
      </c>
      <c r="ABX7" s="20">
        <f>METER!ABY34</f>
        <v/>
      </c>
      <c r="ABY7" s="20">
        <f>METER!ABZ34</f>
        <v/>
      </c>
      <c r="ABZ7" s="20">
        <f>METER!ACA34</f>
        <v/>
      </c>
      <c r="ACA7" s="20">
        <f>METER!ACB34</f>
        <v/>
      </c>
      <c r="ACB7" s="20">
        <f>METER!ACC34</f>
        <v/>
      </c>
      <c r="ACC7" s="127">
        <f>SUM(AAX7:ACB7)</f>
        <v/>
      </c>
      <c r="ACD7" s="20">
        <f>METER!ACE34</f>
        <v/>
      </c>
      <c r="ACE7" s="20">
        <f>METER!ACF34</f>
        <v/>
      </c>
      <c r="ACF7" s="20">
        <f>METER!ACG34</f>
        <v/>
      </c>
      <c r="ACG7" s="20">
        <f>METER!ACH34</f>
        <v/>
      </c>
      <c r="ACH7" s="20">
        <f>METER!ACI34</f>
        <v/>
      </c>
      <c r="ACI7" s="20">
        <f>METER!ACJ34</f>
        <v/>
      </c>
      <c r="ACJ7" s="20">
        <f>METER!ACK34</f>
        <v/>
      </c>
      <c r="ACK7" s="20">
        <f>METER!ACL34</f>
        <v/>
      </c>
      <c r="ACL7" s="20">
        <f>METER!ACM34</f>
        <v/>
      </c>
      <c r="ACM7" s="20">
        <f>METER!ACN34</f>
        <v/>
      </c>
      <c r="ACN7" s="20">
        <f>METER!ACO34</f>
        <v/>
      </c>
      <c r="ACO7" s="20">
        <f>METER!ACP34</f>
        <v/>
      </c>
      <c r="ACP7" s="20">
        <f>METER!ACQ34</f>
        <v/>
      </c>
      <c r="ACQ7" s="20">
        <f>METER!ACR34</f>
        <v/>
      </c>
      <c r="ACR7" s="20">
        <f>METER!ACS34</f>
        <v/>
      </c>
      <c r="ACS7" s="20">
        <f>METER!ACT34</f>
        <v/>
      </c>
      <c r="ACT7" s="20">
        <f>METER!ACU34</f>
        <v/>
      </c>
      <c r="ACU7" s="20">
        <f>METER!ACV34</f>
        <v/>
      </c>
      <c r="ACV7" s="20">
        <f>METER!ACW34</f>
        <v/>
      </c>
      <c r="ACW7" s="20">
        <f>METER!ACX34</f>
        <v/>
      </c>
      <c r="ACX7" s="20">
        <f>METER!ACY34</f>
        <v/>
      </c>
      <c r="ACY7" s="20">
        <f>METER!ACZ34</f>
        <v/>
      </c>
      <c r="ACZ7" s="20">
        <f>METER!ADA34</f>
        <v/>
      </c>
      <c r="ADA7" s="20">
        <f>METER!ADB34</f>
        <v/>
      </c>
      <c r="ADB7" s="20">
        <f>METER!ADC34</f>
        <v/>
      </c>
      <c r="ADC7" s="20">
        <f>METER!ADD34</f>
        <v/>
      </c>
      <c r="ADD7" s="20">
        <f>METER!ADE34</f>
        <v/>
      </c>
      <c r="ADE7" s="20">
        <f>METER!ADF34</f>
        <v/>
      </c>
      <c r="ADF7" s="20">
        <f>METER!ADG34</f>
        <v/>
      </c>
      <c r="ADG7" s="20">
        <f>METER!ADH34</f>
        <v/>
      </c>
      <c r="ADH7" s="20">
        <f>METER!ADI34</f>
        <v/>
      </c>
      <c r="ADI7" s="127">
        <f>SUM(ACD7:ADH7)</f>
        <v/>
      </c>
      <c r="ADJ7" s="20">
        <f>METER!ADK34</f>
        <v/>
      </c>
      <c r="ADK7" s="20">
        <f>METER!ADL34</f>
        <v/>
      </c>
      <c r="ADL7" s="20">
        <f>METER!ADM34</f>
        <v/>
      </c>
      <c r="ADM7" s="20">
        <f>METER!ADN34</f>
        <v/>
      </c>
      <c r="ADN7" s="20">
        <f>METER!ADO34</f>
        <v/>
      </c>
      <c r="ADO7" s="20">
        <f>METER!ADP34</f>
        <v/>
      </c>
      <c r="ADP7" s="20">
        <f>METER!ADQ34</f>
        <v/>
      </c>
      <c r="ADQ7" s="20">
        <f>METER!ADR34</f>
        <v/>
      </c>
      <c r="ADR7" s="20">
        <f>METER!ADS34</f>
        <v/>
      </c>
      <c r="ADS7" s="20">
        <f>METER!ADT34</f>
        <v/>
      </c>
      <c r="ADT7" s="20">
        <f>METER!ADU34</f>
        <v/>
      </c>
      <c r="ADU7" s="20">
        <f>METER!ADV34</f>
        <v/>
      </c>
      <c r="ADV7" s="20">
        <f>METER!ADW34</f>
        <v/>
      </c>
      <c r="ADW7" s="20">
        <f>METER!ADX34</f>
        <v/>
      </c>
      <c r="ADX7" s="20">
        <f>METER!ADY34</f>
        <v/>
      </c>
      <c r="ADY7" s="20">
        <f>METER!ADZ34</f>
        <v/>
      </c>
      <c r="ADZ7" s="20">
        <f>METER!AEA34</f>
        <v/>
      </c>
      <c r="AEA7" s="20">
        <f>METER!AEB34</f>
        <v/>
      </c>
      <c r="AEB7" s="20">
        <f>METER!AEC34</f>
        <v/>
      </c>
      <c r="AEC7" s="20">
        <f>METER!AED34</f>
        <v/>
      </c>
      <c r="AED7" s="20">
        <f>METER!AEE34</f>
        <v/>
      </c>
      <c r="AEE7" s="20">
        <f>METER!AEF34</f>
        <v/>
      </c>
      <c r="AEF7" s="20">
        <f>METER!AEG34</f>
        <v/>
      </c>
      <c r="AEG7" s="20">
        <f>METER!AEH34</f>
        <v/>
      </c>
      <c r="AEH7" s="20">
        <f>METER!AEI34</f>
        <v/>
      </c>
      <c r="AEI7" s="20">
        <f>METER!AEJ34</f>
        <v/>
      </c>
      <c r="AEJ7" s="20">
        <f>METER!AEK34</f>
        <v/>
      </c>
      <c r="AEK7" s="20">
        <f>METER!AEL34</f>
        <v/>
      </c>
      <c r="AEL7" s="20">
        <f>METER!AEM34</f>
        <v/>
      </c>
      <c r="AEM7" s="20">
        <f>METER!AEN34</f>
        <v/>
      </c>
      <c r="AEN7" s="127">
        <f>SUM(ADJ7:AEM7)</f>
        <v/>
      </c>
      <c r="AEO7" s="20">
        <f>METER!AEP34</f>
        <v/>
      </c>
      <c r="AEP7" s="20">
        <f>METER!AEQ34</f>
        <v/>
      </c>
      <c r="AEQ7" s="20">
        <f>METER!AER34</f>
        <v/>
      </c>
      <c r="AER7" s="20">
        <f>METER!AES34</f>
        <v/>
      </c>
      <c r="AES7" s="20">
        <f>METER!AET34</f>
        <v/>
      </c>
      <c r="AET7" s="20">
        <f>METER!AEU34</f>
        <v/>
      </c>
      <c r="AEU7" s="20">
        <f>METER!AEV34</f>
        <v/>
      </c>
      <c r="AEV7" s="20">
        <f>METER!AEW34</f>
        <v/>
      </c>
      <c r="AEW7" s="20">
        <f>METER!AEX34</f>
        <v/>
      </c>
      <c r="AEX7" s="20">
        <f>METER!AEY34</f>
        <v/>
      </c>
      <c r="AEY7" s="20">
        <f>METER!AEZ34</f>
        <v/>
      </c>
      <c r="AEZ7" s="20">
        <f>METER!AFA34</f>
        <v/>
      </c>
      <c r="AFA7" s="20">
        <f>METER!AFB34</f>
        <v/>
      </c>
      <c r="AFB7" s="20">
        <f>METER!AFC34</f>
        <v/>
      </c>
      <c r="AFC7" s="20">
        <f>METER!AFD34</f>
        <v/>
      </c>
      <c r="AFD7" s="20">
        <f>METER!AFE34</f>
        <v/>
      </c>
      <c r="AFE7" s="20">
        <f>METER!AFF34</f>
        <v/>
      </c>
      <c r="AFF7" s="20">
        <f>METER!AFG34</f>
        <v/>
      </c>
      <c r="AFG7" s="20">
        <f>METER!AFH34</f>
        <v/>
      </c>
      <c r="AFH7" s="20">
        <f>METER!AFI34</f>
        <v/>
      </c>
      <c r="AFI7" s="20">
        <f>METER!AFJ34</f>
        <v/>
      </c>
      <c r="AFJ7" s="20">
        <f>METER!AFK34</f>
        <v/>
      </c>
      <c r="AFK7" s="20">
        <f>METER!AFL34</f>
        <v/>
      </c>
      <c r="AFL7" s="20">
        <f>METER!AFM34</f>
        <v/>
      </c>
      <c r="AFM7" s="20">
        <f>METER!AFN34</f>
        <v/>
      </c>
      <c r="AFN7" s="20">
        <f>METER!AFO34</f>
        <v/>
      </c>
      <c r="AFO7" s="20">
        <f>METER!AFP34</f>
        <v/>
      </c>
      <c r="AFP7" s="20">
        <f>METER!AFQ34</f>
        <v/>
      </c>
      <c r="AFQ7" s="20">
        <f>METER!AFR34</f>
        <v/>
      </c>
      <c r="AFR7" s="20">
        <f>METER!AFS34</f>
        <v/>
      </c>
      <c r="AFS7" s="20">
        <f>METER!AFT34</f>
        <v/>
      </c>
      <c r="AFT7" s="127">
        <f>SUM(AEO7:AFS7)</f>
        <v/>
      </c>
      <c r="AFU7" s="20">
        <f>METER!AFV34</f>
        <v/>
      </c>
      <c r="AFV7" s="20">
        <f>METER!AFW34</f>
        <v/>
      </c>
      <c r="AFW7" s="20">
        <f>METER!AFX34</f>
        <v/>
      </c>
      <c r="AFX7" s="20">
        <f>METER!AFY34</f>
        <v/>
      </c>
      <c r="AFY7" s="20">
        <f>METER!AFZ34</f>
        <v/>
      </c>
      <c r="AFZ7" s="20">
        <f>METER!AGA34</f>
        <v/>
      </c>
      <c r="AGA7" s="20">
        <f>METER!AGB34</f>
        <v/>
      </c>
      <c r="AGB7" s="20">
        <f>METER!AGC34</f>
        <v/>
      </c>
      <c r="AGC7" s="20">
        <f>METER!AGD34</f>
        <v/>
      </c>
      <c r="AGD7" s="20">
        <f>METER!AGE34</f>
        <v/>
      </c>
      <c r="AGE7" s="20">
        <f>METER!AGF34</f>
        <v/>
      </c>
      <c r="AGF7" s="20">
        <f>METER!AGG34</f>
        <v/>
      </c>
      <c r="AGG7" s="20">
        <f>METER!AGH34</f>
        <v/>
      </c>
      <c r="AGH7" s="20">
        <f>METER!AGI34</f>
        <v/>
      </c>
      <c r="AGI7" s="20">
        <f>METER!AGJ34</f>
        <v/>
      </c>
      <c r="AGJ7" s="20">
        <f>METER!AGK34</f>
        <v/>
      </c>
      <c r="AGK7" s="20">
        <f>METER!AGL34</f>
        <v/>
      </c>
      <c r="AGL7" s="20">
        <f>METER!AGM34</f>
        <v/>
      </c>
      <c r="AGM7" s="20">
        <f>METER!AGN34</f>
        <v/>
      </c>
      <c r="AGN7" s="20">
        <f>METER!AGO34</f>
        <v/>
      </c>
      <c r="AGO7" s="20">
        <f>METER!AGP34</f>
        <v/>
      </c>
      <c r="AGP7" s="20">
        <f>METER!AGQ34</f>
        <v/>
      </c>
      <c r="AGQ7" s="20">
        <f>METER!AGR34</f>
        <v/>
      </c>
      <c r="AGR7" s="20">
        <f>METER!AGS34</f>
        <v/>
      </c>
      <c r="AGS7" s="20">
        <f>METER!AGT34</f>
        <v/>
      </c>
      <c r="AGT7" s="20">
        <f>METER!AGU34</f>
        <v/>
      </c>
      <c r="AGU7" s="20">
        <f>METER!AGV34</f>
        <v/>
      </c>
      <c r="AGV7" s="20">
        <f>METER!AGW34</f>
        <v/>
      </c>
      <c r="AGW7" s="20">
        <f>METER!AGX34</f>
        <v/>
      </c>
      <c r="AGX7" s="20">
        <f>METER!AGY34</f>
        <v/>
      </c>
      <c r="AGY7" s="127">
        <f>SUM(AFU7:AGX7)</f>
        <v/>
      </c>
      <c r="AGZ7" s="20">
        <f>METER!AHA34</f>
        <v/>
      </c>
      <c r="AHA7" s="20">
        <f>METER!AHB34</f>
        <v/>
      </c>
      <c r="AHB7" s="20">
        <f>METER!AHC34</f>
        <v/>
      </c>
      <c r="AHC7" s="20">
        <f>METER!AHD34</f>
        <v/>
      </c>
      <c r="AHD7" s="20">
        <f>METER!AHE34</f>
        <v/>
      </c>
      <c r="AHE7" s="20">
        <f>METER!AHF34</f>
        <v/>
      </c>
      <c r="AHF7" s="20">
        <f>METER!AHG34</f>
        <v/>
      </c>
      <c r="AHG7" s="20">
        <f>METER!AHH34</f>
        <v/>
      </c>
      <c r="AHH7" s="20">
        <f>METER!AHI34</f>
        <v/>
      </c>
      <c r="AHI7" s="20">
        <f>METER!AHJ34</f>
        <v/>
      </c>
      <c r="AHJ7" s="20">
        <f>METER!AHK34</f>
        <v/>
      </c>
      <c r="AHK7" s="20">
        <f>METER!AHL34</f>
        <v/>
      </c>
      <c r="AHL7" s="20">
        <f>METER!AHM34</f>
        <v/>
      </c>
      <c r="AHM7" s="20">
        <f>METER!AHN34</f>
        <v/>
      </c>
      <c r="AHN7" s="20">
        <f>METER!AHO34</f>
        <v/>
      </c>
      <c r="AHO7" s="20">
        <f>METER!AHP34</f>
        <v/>
      </c>
      <c r="AHP7" s="20">
        <f>METER!AHQ34</f>
        <v/>
      </c>
      <c r="AHQ7" s="20">
        <f>METER!AHR34</f>
        <v/>
      </c>
      <c r="AHR7" s="20">
        <f>METER!AHS34</f>
        <v/>
      </c>
      <c r="AHS7" s="20">
        <f>METER!AHT34</f>
        <v/>
      </c>
      <c r="AHT7" s="20">
        <f>METER!AHU34</f>
        <v/>
      </c>
      <c r="AHU7" s="20">
        <f>METER!AHV34</f>
        <v/>
      </c>
      <c r="AHV7" s="20">
        <f>METER!AHW34</f>
        <v/>
      </c>
      <c r="AHW7" s="20">
        <f>METER!AHX34</f>
        <v/>
      </c>
      <c r="AHX7" s="20">
        <f>METER!AHY34</f>
        <v/>
      </c>
      <c r="AHY7" s="20">
        <f>METER!AHZ34</f>
        <v/>
      </c>
      <c r="AHZ7" s="20">
        <f>METER!AIA34</f>
        <v/>
      </c>
      <c r="AIA7" s="20">
        <f>METER!AIB34</f>
        <v/>
      </c>
      <c r="AIB7" s="20">
        <f>METER!AIC34</f>
        <v/>
      </c>
      <c r="AIC7" s="20">
        <f>METER!AID34</f>
        <v/>
      </c>
      <c r="AID7" s="20">
        <f>METER!AIE34</f>
        <v/>
      </c>
      <c r="AIE7" s="127">
        <f>SUM(AGZ7:AID7)</f>
        <v/>
      </c>
      <c r="AIF7" s="20">
        <f>METER!AIG34</f>
        <v/>
      </c>
      <c r="AIG7" s="20">
        <f>METER!AIH34</f>
        <v/>
      </c>
      <c r="AIH7" s="20">
        <f>METER!AII34</f>
        <v/>
      </c>
      <c r="AII7" s="20">
        <f>METER!AIJ34</f>
        <v/>
      </c>
      <c r="AIJ7" s="20">
        <f>METER!AIK34</f>
        <v/>
      </c>
      <c r="AIK7" s="20">
        <f>METER!AIL34</f>
        <v/>
      </c>
      <c r="AIL7" s="20">
        <f>METER!AIM34</f>
        <v/>
      </c>
      <c r="AIM7" s="20">
        <f>METER!AIN34</f>
        <v/>
      </c>
      <c r="AIN7" s="20">
        <f>METER!AIO34</f>
        <v/>
      </c>
      <c r="AIO7" s="20">
        <f>METER!AIP34</f>
        <v/>
      </c>
      <c r="AIP7" s="20">
        <f>METER!AIQ34</f>
        <v/>
      </c>
      <c r="AIQ7" s="20">
        <f>METER!AIR34</f>
        <v/>
      </c>
      <c r="AIR7" s="20">
        <f>METER!AIS34</f>
        <v/>
      </c>
      <c r="AIS7" s="20">
        <f>METER!AIT34</f>
        <v/>
      </c>
      <c r="AIT7" s="20">
        <f>METER!AIU34</f>
        <v/>
      </c>
      <c r="AIU7" s="20">
        <f>METER!AIV34</f>
        <v/>
      </c>
      <c r="AIV7" s="20">
        <f>METER!AIW34</f>
        <v/>
      </c>
      <c r="AIW7" s="20">
        <f>METER!AIX34</f>
        <v/>
      </c>
      <c r="AIX7" s="20">
        <f>METER!AIY34</f>
        <v/>
      </c>
      <c r="AIY7" s="20">
        <f>METER!AIZ34</f>
        <v/>
      </c>
      <c r="AIZ7" s="20">
        <f>METER!AJA34</f>
        <v/>
      </c>
      <c r="AJA7" s="20">
        <f>METER!AJB34</f>
        <v/>
      </c>
      <c r="AJB7" s="20">
        <f>METER!AJC34</f>
        <v/>
      </c>
      <c r="AJC7" s="20">
        <f>METER!AJD34</f>
        <v/>
      </c>
      <c r="AJD7" s="20">
        <f>METER!AJE34</f>
        <v/>
      </c>
      <c r="AJE7" s="20">
        <f>METER!AJF34</f>
        <v/>
      </c>
      <c r="AJF7" s="20">
        <f>METER!AJG34</f>
        <v/>
      </c>
      <c r="AJG7" s="20">
        <f>METER!AJH34</f>
        <v/>
      </c>
      <c r="AJH7" s="20">
        <f>METER!AJI34</f>
        <v/>
      </c>
      <c r="AJI7" s="20">
        <f>METER!AJJ34</f>
        <v/>
      </c>
      <c r="AJJ7" s="20">
        <f>METER!AJK34</f>
        <v/>
      </c>
      <c r="AJK7" s="127">
        <f>SUM(AIF7:AJJ7)</f>
        <v/>
      </c>
      <c r="AJL7" s="20">
        <f>METER!AJM34</f>
        <v/>
      </c>
      <c r="AJM7" s="20">
        <f>METER!AJN34</f>
        <v/>
      </c>
      <c r="AJN7" s="20">
        <f>METER!AJO34</f>
        <v/>
      </c>
      <c r="AJO7" s="20">
        <f>METER!AJP34</f>
        <v/>
      </c>
      <c r="AJP7" s="20">
        <f>METER!AJQ34</f>
        <v/>
      </c>
      <c r="AJQ7" s="20">
        <f>METER!AJR34</f>
        <v/>
      </c>
      <c r="AJR7" s="20">
        <f>METER!AJS34</f>
        <v/>
      </c>
      <c r="AJS7" s="20">
        <f>METER!AJT34</f>
        <v/>
      </c>
      <c r="AJT7" s="20">
        <f>METER!AJU34</f>
        <v/>
      </c>
      <c r="AJU7" s="20">
        <f>METER!AJV34</f>
        <v/>
      </c>
      <c r="AJV7" s="20">
        <f>METER!AJW34</f>
        <v/>
      </c>
      <c r="AJW7" s="20">
        <f>METER!AJX34</f>
        <v/>
      </c>
      <c r="AJX7" s="20">
        <f>METER!AJY34</f>
        <v/>
      </c>
      <c r="AJY7" s="20">
        <f>METER!AJZ34</f>
        <v/>
      </c>
      <c r="AJZ7" s="20">
        <f>METER!AKA34</f>
        <v/>
      </c>
      <c r="AKA7" s="20">
        <f>METER!AKB34</f>
        <v/>
      </c>
      <c r="AKB7" s="20">
        <f>METER!AKC34</f>
        <v/>
      </c>
      <c r="AKC7" s="20">
        <f>METER!AKD34</f>
        <v/>
      </c>
      <c r="AKD7" s="20">
        <f>METER!AKE34</f>
        <v/>
      </c>
      <c r="AKE7" s="20">
        <f>METER!AKF34</f>
        <v/>
      </c>
      <c r="AKF7" s="20">
        <f>METER!AKG34</f>
        <v/>
      </c>
      <c r="AKG7" s="20">
        <f>METER!AKH34</f>
        <v/>
      </c>
      <c r="AKH7" s="20">
        <f>METER!AKI34</f>
        <v/>
      </c>
      <c r="AKI7" s="20">
        <f>METER!AKJ34</f>
        <v/>
      </c>
      <c r="AKJ7" s="20">
        <f>METER!AKK34</f>
        <v/>
      </c>
      <c r="AKK7" s="20">
        <f>METER!AKL34</f>
        <v/>
      </c>
      <c r="AKL7" s="20">
        <f>METER!AKM34</f>
        <v/>
      </c>
      <c r="AKM7" s="20">
        <f>METER!AKN34</f>
        <v/>
      </c>
      <c r="AKN7" s="127">
        <f>SUM(AJL7:AKM7)</f>
        <v/>
      </c>
      <c r="AKO7" s="20">
        <f>METER!AKP34</f>
        <v/>
      </c>
      <c r="AKP7" s="20">
        <f>METER!AKQ34</f>
        <v/>
      </c>
      <c r="AKQ7" s="20">
        <f>METER!AKR34</f>
        <v/>
      </c>
      <c r="AKR7" s="20">
        <f>METER!AKS34</f>
        <v/>
      </c>
      <c r="AKS7" s="20">
        <f>METER!AKT34</f>
        <v/>
      </c>
      <c r="AKT7" s="20">
        <f>METER!AKU34</f>
        <v/>
      </c>
      <c r="AKU7" s="20">
        <f>METER!AKV34</f>
        <v/>
      </c>
      <c r="AKV7" s="20">
        <f>METER!AKW34</f>
        <v/>
      </c>
      <c r="AKW7" s="20">
        <f>METER!AKX34</f>
        <v/>
      </c>
      <c r="AKX7" s="20">
        <f>METER!AKY34</f>
        <v/>
      </c>
      <c r="AKY7" s="20">
        <f>METER!AKZ34</f>
        <v/>
      </c>
      <c r="AKZ7" s="20">
        <f>METER!ALA34</f>
        <v/>
      </c>
      <c r="ALA7" s="20">
        <f>METER!ALB34</f>
        <v/>
      </c>
      <c r="ALB7" s="20">
        <f>METER!ALC34</f>
        <v/>
      </c>
      <c r="ALC7" s="20">
        <f>METER!ALD34</f>
        <v/>
      </c>
      <c r="ALD7" s="20">
        <f>METER!ALE34</f>
        <v/>
      </c>
      <c r="ALE7" s="20">
        <f>METER!ALF34</f>
        <v/>
      </c>
      <c r="ALF7" s="20">
        <f>METER!ALG34</f>
        <v/>
      </c>
      <c r="ALG7" s="20">
        <f>METER!ALH34</f>
        <v/>
      </c>
      <c r="ALH7" s="20">
        <f>METER!ALI34</f>
        <v/>
      </c>
      <c r="ALI7" s="20">
        <f>METER!ALJ34</f>
        <v/>
      </c>
      <c r="ALJ7" s="20">
        <f>METER!ALK34</f>
        <v/>
      </c>
      <c r="ALK7" s="20">
        <f>METER!ALL34</f>
        <v/>
      </c>
      <c r="ALL7" s="20">
        <f>METER!ALM34</f>
        <v/>
      </c>
      <c r="ALM7" s="20">
        <f>METER!ALN34</f>
        <v/>
      </c>
      <c r="ALN7" s="20">
        <f>METER!ALO34</f>
        <v/>
      </c>
      <c r="ALO7" s="20">
        <f>METER!ALP34</f>
        <v/>
      </c>
      <c r="ALP7" s="20">
        <f>METER!ALQ34</f>
        <v/>
      </c>
      <c r="ALQ7" s="20">
        <f>METER!ALR34</f>
        <v/>
      </c>
      <c r="ALR7" s="20">
        <f>METER!ALS34</f>
        <v/>
      </c>
      <c r="ALS7" s="20">
        <f>METER!ALT34</f>
        <v/>
      </c>
      <c r="ALT7" s="127">
        <f>SUM(AKO7:ALS7)</f>
        <v/>
      </c>
      <c r="ALU7" s="20">
        <f>METER!ALV34</f>
        <v/>
      </c>
      <c r="ALV7" s="20">
        <f>METER!ALW34</f>
        <v/>
      </c>
      <c r="ALW7" s="20">
        <f>METER!ALX34</f>
        <v/>
      </c>
      <c r="ALX7" s="20">
        <f>METER!ALY34</f>
        <v/>
      </c>
      <c r="ALY7" s="20">
        <f>METER!ALZ34</f>
        <v/>
      </c>
      <c r="ALZ7" s="20">
        <f>METER!AMA34</f>
        <v/>
      </c>
      <c r="AMA7" s="20">
        <f>METER!AMB34</f>
        <v/>
      </c>
      <c r="AMB7" s="20">
        <f>METER!AMC34</f>
        <v/>
      </c>
      <c r="AMC7" s="20">
        <f>METER!AMD34</f>
        <v/>
      </c>
      <c r="AMD7" s="20">
        <f>METER!AME34</f>
        <v/>
      </c>
      <c r="AME7" s="20">
        <f>METER!AMF34</f>
        <v/>
      </c>
      <c r="AMF7" s="20">
        <f>METER!AMG34</f>
        <v/>
      </c>
      <c r="AMG7" s="20">
        <f>METER!AMH34</f>
        <v/>
      </c>
      <c r="AMH7" s="20">
        <f>METER!AMI34</f>
        <v/>
      </c>
      <c r="AMI7" s="20">
        <f>METER!AMJ34</f>
        <v/>
      </c>
      <c r="AMJ7" s="20">
        <f>METER!AMK34</f>
        <v/>
      </c>
      <c r="AMK7" s="20">
        <f>METER!AML34</f>
        <v/>
      </c>
      <c r="AML7" s="20">
        <f>METER!AMM34</f>
        <v/>
      </c>
      <c r="AMM7" s="20">
        <f>METER!AMN34</f>
        <v/>
      </c>
      <c r="AMN7" s="20">
        <f>METER!AMO34</f>
        <v/>
      </c>
      <c r="AMO7" s="20">
        <f>METER!AMP34</f>
        <v/>
      </c>
      <c r="AMP7" s="20">
        <f>METER!AMQ34</f>
        <v/>
      </c>
      <c r="AMQ7" s="20">
        <f>METER!AMR34</f>
        <v/>
      </c>
      <c r="AMR7" s="20">
        <f>METER!AMS34</f>
        <v/>
      </c>
      <c r="AMS7" s="20">
        <f>METER!AMT34</f>
        <v/>
      </c>
      <c r="AMT7" s="20">
        <f>METER!AMU34</f>
        <v/>
      </c>
      <c r="AMU7" s="20">
        <f>METER!AMV34</f>
        <v/>
      </c>
      <c r="AMV7" s="20">
        <f>METER!AMW34</f>
        <v/>
      </c>
      <c r="AMW7" s="20">
        <f>METER!AMX34</f>
        <v/>
      </c>
      <c r="AMX7" s="20">
        <f>METER!AMY34</f>
        <v/>
      </c>
      <c r="AMY7" s="127">
        <f>SUM(ALU7:AMX7)</f>
        <v/>
      </c>
      <c r="AMZ7" s="20">
        <f>METER!ANA34</f>
        <v/>
      </c>
      <c r="ANA7" s="20">
        <f>METER!ANB34</f>
        <v/>
      </c>
      <c r="ANB7" s="20">
        <f>METER!ANC34</f>
        <v/>
      </c>
      <c r="ANC7" s="20">
        <f>METER!AND34</f>
        <v/>
      </c>
      <c r="AND7" s="20">
        <f>METER!ANE34</f>
        <v/>
      </c>
      <c r="ANE7" s="20">
        <f>METER!ANF34</f>
        <v/>
      </c>
      <c r="ANF7" s="20">
        <f>METER!ANG34</f>
        <v/>
      </c>
      <c r="ANG7" s="20">
        <f>METER!ANH34</f>
        <v/>
      </c>
      <c r="ANH7" s="20">
        <f>METER!ANI34</f>
        <v/>
      </c>
      <c r="ANI7" s="20">
        <f>METER!ANJ34</f>
        <v/>
      </c>
      <c r="ANJ7" s="20">
        <f>METER!ANK34</f>
        <v/>
      </c>
      <c r="ANK7" s="20">
        <f>METER!ANL34</f>
        <v/>
      </c>
      <c r="ANL7" s="20">
        <f>METER!ANM34</f>
        <v/>
      </c>
      <c r="ANM7" s="20">
        <f>METER!ANN34</f>
        <v/>
      </c>
      <c r="ANN7" s="20">
        <f>METER!ANO34</f>
        <v/>
      </c>
      <c r="ANO7" s="20">
        <f>METER!ANP34</f>
        <v/>
      </c>
      <c r="ANP7" s="20">
        <f>METER!ANQ34</f>
        <v/>
      </c>
      <c r="ANQ7" s="20">
        <f>METER!ANR34</f>
        <v/>
      </c>
      <c r="ANR7" s="20">
        <f>METER!ANS34</f>
        <v/>
      </c>
      <c r="ANS7" s="20">
        <f>METER!ANT34</f>
        <v/>
      </c>
      <c r="ANT7" s="20">
        <f>METER!ANU34</f>
        <v/>
      </c>
      <c r="ANU7" s="20">
        <f>METER!ANV34</f>
        <v/>
      </c>
      <c r="ANV7" s="20">
        <f>METER!ANW34</f>
        <v/>
      </c>
      <c r="ANW7" s="20">
        <f>METER!ANX34</f>
        <v/>
      </c>
      <c r="ANX7" s="20">
        <f>METER!ANY34</f>
        <v/>
      </c>
      <c r="ANY7" s="20">
        <f>METER!ANZ34</f>
        <v/>
      </c>
      <c r="ANZ7" s="20">
        <f>METER!AOA34</f>
        <v/>
      </c>
      <c r="AOA7" s="20">
        <f>METER!AOB34</f>
        <v/>
      </c>
      <c r="AOB7" s="20">
        <f>METER!AOC34</f>
        <v/>
      </c>
      <c r="AOC7" s="20">
        <f>METER!AOD34</f>
        <v/>
      </c>
    </row>
    <row r="8">
      <c r="B8" s="5" t="inlineStr">
        <is>
          <t>AGO PRICE</t>
        </is>
      </c>
      <c r="C8" s="22" t="n">
        <v>4590</v>
      </c>
      <c r="D8" s="22">
        <f>C8</f>
        <v/>
      </c>
      <c r="E8" s="22" t="n">
        <v>4590</v>
      </c>
      <c r="F8" s="22" t="n">
        <v>4590</v>
      </c>
      <c r="G8" s="22">
        <f>F8</f>
        <v/>
      </c>
      <c r="H8" s="22" t="n">
        <v>4590</v>
      </c>
      <c r="I8" s="22">
        <f>H8</f>
        <v/>
      </c>
      <c r="J8" s="22" t="n">
        <v>4650</v>
      </c>
      <c r="K8" s="22" t="n">
        <v>4650</v>
      </c>
      <c r="L8" s="22" t="n">
        <v>4650</v>
      </c>
      <c r="M8" s="22" t="n">
        <v>4650</v>
      </c>
      <c r="N8" s="22" t="n">
        <v>4650</v>
      </c>
      <c r="O8" s="22" t="n">
        <v>4650</v>
      </c>
      <c r="P8" s="22" t="n">
        <v>4650</v>
      </c>
      <c r="Q8" s="22" t="n">
        <v>4650</v>
      </c>
      <c r="R8" s="22" t="n">
        <v>4650</v>
      </c>
      <c r="S8" s="22" t="n">
        <v>4650</v>
      </c>
      <c r="T8" s="22" t="n">
        <v>4650</v>
      </c>
      <c r="U8" s="22" t="n">
        <v>4650</v>
      </c>
      <c r="V8" s="22" t="n">
        <v>4650</v>
      </c>
      <c r="W8" s="22" t="n">
        <v>4650</v>
      </c>
      <c r="X8" s="22" t="n">
        <v>4650</v>
      </c>
      <c r="Y8" s="22" t="n">
        <v>4650</v>
      </c>
      <c r="Z8" s="22" t="n">
        <v>4650</v>
      </c>
      <c r="AA8" s="22" t="n">
        <v>4650</v>
      </c>
      <c r="AB8" s="22" t="n">
        <v>4650</v>
      </c>
      <c r="AC8" s="22" t="n">
        <v>4650</v>
      </c>
      <c r="AD8" s="22" t="n">
        <v>4650</v>
      </c>
      <c r="AE8" s="22" t="n">
        <v>4690</v>
      </c>
      <c r="AF8" s="22" t="n">
        <v>4690</v>
      </c>
      <c r="AG8" s="22" t="n">
        <v>4690</v>
      </c>
      <c r="AH8" s="94" t="n"/>
      <c r="AI8" s="22" t="n">
        <v>4690</v>
      </c>
      <c r="AJ8" s="22" t="n">
        <v>4690</v>
      </c>
      <c r="AK8" s="22" t="n">
        <v>4690</v>
      </c>
      <c r="AL8" s="22" t="n">
        <v>4690</v>
      </c>
      <c r="AM8" s="22" t="n">
        <v>4690</v>
      </c>
      <c r="AN8" s="22" t="n">
        <v>4690</v>
      </c>
      <c r="AO8" s="22" t="n">
        <v>4690</v>
      </c>
      <c r="AP8" s="22" t="n">
        <v>4690</v>
      </c>
      <c r="AQ8" s="22" t="n">
        <v>4850</v>
      </c>
      <c r="AR8" s="22" t="n">
        <v>4850</v>
      </c>
      <c r="AS8" s="22" t="n">
        <v>4850</v>
      </c>
      <c r="AT8" s="22" t="n">
        <v>4850</v>
      </c>
      <c r="AU8" s="22" t="n">
        <v>4850</v>
      </c>
      <c r="AV8" s="22" t="n">
        <v>4900</v>
      </c>
      <c r="AW8" s="22" t="n">
        <v>4900</v>
      </c>
      <c r="AX8" s="22" t="n">
        <v>4900</v>
      </c>
      <c r="AY8" s="22" t="n">
        <v>4900</v>
      </c>
      <c r="AZ8" s="22" t="n">
        <v>4900</v>
      </c>
      <c r="BA8" s="22" t="n">
        <v>4900</v>
      </c>
      <c r="BB8" s="22" t="n">
        <v>4900</v>
      </c>
      <c r="BC8" s="22" t="n">
        <v>4900</v>
      </c>
      <c r="BD8" s="22" t="n">
        <v>4900</v>
      </c>
      <c r="BE8" s="22" t="n">
        <v>4900</v>
      </c>
      <c r="BF8" s="22" t="n">
        <v>4900</v>
      </c>
      <c r="BG8" s="22" t="n">
        <v>4900</v>
      </c>
      <c r="BH8" s="22" t="n">
        <v>4900</v>
      </c>
      <c r="BI8" s="22" t="n">
        <v>4900</v>
      </c>
      <c r="BJ8" s="22" t="n">
        <v>4950</v>
      </c>
      <c r="BK8" s="22" t="n">
        <v>4950</v>
      </c>
      <c r="BL8" s="22" t="n">
        <v>4950</v>
      </c>
      <c r="BM8" s="97">
        <f>SUM(AI8:BL8)</f>
        <v/>
      </c>
      <c r="BN8" s="22" t="n">
        <v>4950</v>
      </c>
      <c r="BO8" s="22" t="n">
        <v>4950</v>
      </c>
      <c r="BP8" s="22" t="n">
        <v>4950</v>
      </c>
      <c r="BQ8" s="22" t="n">
        <v>4950</v>
      </c>
      <c r="BR8" s="22" t="n">
        <v>4950</v>
      </c>
      <c r="BS8" s="22" t="n">
        <v>4950</v>
      </c>
      <c r="BT8" s="22" t="n">
        <v>4950</v>
      </c>
      <c r="BU8" s="22" t="n">
        <v>4950</v>
      </c>
      <c r="BV8" s="22" t="n">
        <v>4950</v>
      </c>
      <c r="BW8" s="22" t="n">
        <v>4950</v>
      </c>
      <c r="BX8" s="22" t="n">
        <v>4950</v>
      </c>
      <c r="BY8" s="22" t="n">
        <v>4950</v>
      </c>
      <c r="BZ8" s="22" t="n">
        <v>4950</v>
      </c>
      <c r="CA8" s="22" t="n">
        <v>4950</v>
      </c>
      <c r="CB8" s="22" t="n">
        <v>4950</v>
      </c>
      <c r="CC8" s="22" t="n">
        <v>4950</v>
      </c>
      <c r="CD8" s="22" t="n">
        <v>4950</v>
      </c>
      <c r="CE8" s="22" t="n">
        <v>4950</v>
      </c>
      <c r="CF8" s="22" t="n">
        <v>4950</v>
      </c>
      <c r="CG8" s="22" t="n">
        <v>4950</v>
      </c>
      <c r="CH8" s="22" t="n">
        <v>4950</v>
      </c>
      <c r="CI8" s="22" t="n">
        <v>4950</v>
      </c>
      <c r="CJ8" s="22" t="n">
        <v>4950</v>
      </c>
      <c r="CK8" s="22" t="n">
        <v>4950</v>
      </c>
      <c r="CL8" s="22" t="n">
        <v>4950</v>
      </c>
      <c r="CM8" s="22" t="n">
        <v>4950</v>
      </c>
      <c r="CN8" s="22" t="n">
        <v>4950</v>
      </c>
      <c r="CO8" s="22" t="n">
        <v>4950</v>
      </c>
      <c r="CP8" s="22" t="n">
        <v>4950</v>
      </c>
      <c r="CQ8" s="22" t="n">
        <v>4950</v>
      </c>
      <c r="CR8" s="22" t="n">
        <v>4950</v>
      </c>
      <c r="CS8" s="111">
        <f>SUM(BN8:CR8)</f>
        <v/>
      </c>
      <c r="CT8" s="22" t="n">
        <v>4950</v>
      </c>
      <c r="CU8" s="22" t="n">
        <v>4950</v>
      </c>
      <c r="CV8" s="22" t="n">
        <v>4950</v>
      </c>
      <c r="CW8" s="22" t="n">
        <v>4950</v>
      </c>
      <c r="CX8" s="22" t="n">
        <v>4950</v>
      </c>
      <c r="CY8" s="22" t="n">
        <v>4950</v>
      </c>
      <c r="CZ8" s="22" t="n">
        <v>4950</v>
      </c>
      <c r="DA8" s="22" t="n">
        <v>4950</v>
      </c>
      <c r="DB8" s="22" t="n">
        <v>4950</v>
      </c>
      <c r="DC8" s="22" t="n">
        <v>4950</v>
      </c>
      <c r="DD8" s="22" t="n">
        <v>4950</v>
      </c>
      <c r="DE8" s="22" t="n">
        <v>4950</v>
      </c>
      <c r="DF8" s="22" t="n">
        <v>4950</v>
      </c>
      <c r="DG8" s="22" t="n">
        <v>4950</v>
      </c>
      <c r="DH8" s="22" t="n">
        <v>4990</v>
      </c>
      <c r="DI8" s="22" t="n">
        <v>4990</v>
      </c>
      <c r="DJ8" s="22" t="n">
        <v>4990</v>
      </c>
      <c r="DK8" s="22" t="n">
        <v>4990</v>
      </c>
      <c r="DL8" s="22" t="n">
        <v>4990</v>
      </c>
      <c r="DM8" s="22" t="n">
        <v>4990</v>
      </c>
      <c r="DN8" s="22" t="n">
        <v>4990</v>
      </c>
      <c r="DO8" s="22" t="n">
        <v>4990</v>
      </c>
      <c r="DP8" s="22" t="n">
        <v>4990</v>
      </c>
      <c r="DQ8" s="22" t="n">
        <v>4990</v>
      </c>
      <c r="DR8" s="22" t="n">
        <v>4990</v>
      </c>
      <c r="DS8" s="22" t="n">
        <v>4990</v>
      </c>
      <c r="DT8" s="22" t="n">
        <v>4990</v>
      </c>
      <c r="DU8" s="22" t="n">
        <v>4990</v>
      </c>
      <c r="DV8" s="22" t="n">
        <v>4990</v>
      </c>
      <c r="DW8" s="22" t="n">
        <v>4990</v>
      </c>
      <c r="DX8" s="120" t="n"/>
      <c r="DY8" s="22" t="n">
        <v>4990</v>
      </c>
      <c r="DZ8" s="22" t="n">
        <v>4990</v>
      </c>
      <c r="EA8" s="22" t="n">
        <v>4990</v>
      </c>
      <c r="EB8" s="22" t="n">
        <v>4990</v>
      </c>
      <c r="EC8" s="22" t="n">
        <v>4990</v>
      </c>
      <c r="ED8" s="22" t="n">
        <v>4990</v>
      </c>
      <c r="EE8" s="22" t="n">
        <v>4990</v>
      </c>
      <c r="EF8" s="22" t="n">
        <v>4990</v>
      </c>
      <c r="EG8" s="22" t="n">
        <v>4850</v>
      </c>
      <c r="EH8" s="22" t="n">
        <v>4850</v>
      </c>
      <c r="EI8" s="22" t="n">
        <v>4850</v>
      </c>
      <c r="EJ8" s="22" t="n">
        <v>4850</v>
      </c>
      <c r="EK8" s="22" t="n">
        <v>4850</v>
      </c>
      <c r="EL8" s="22" t="n">
        <v>4850</v>
      </c>
      <c r="EM8" s="22" t="n">
        <v>4850</v>
      </c>
      <c r="EN8" s="22" t="n">
        <v>4850</v>
      </c>
      <c r="EO8" s="22" t="n">
        <v>4850</v>
      </c>
      <c r="EP8" s="22" t="n">
        <v>4850</v>
      </c>
      <c r="EQ8" s="22" t="n">
        <v>4850</v>
      </c>
      <c r="ER8" s="22" t="n">
        <v>4850</v>
      </c>
      <c r="ES8" s="22" t="n">
        <v>4850</v>
      </c>
      <c r="ET8" s="22" t="n">
        <v>4850</v>
      </c>
      <c r="EU8" s="22" t="n">
        <v>4850</v>
      </c>
      <c r="EV8" s="22" t="n">
        <v>4850</v>
      </c>
      <c r="EW8" s="22" t="n">
        <v>4850</v>
      </c>
      <c r="EX8" s="22" t="n">
        <v>4850</v>
      </c>
      <c r="EY8" s="22" t="n">
        <v>4850</v>
      </c>
      <c r="EZ8" s="22" t="n">
        <v>4850</v>
      </c>
      <c r="FA8" s="22" t="n">
        <v>4850</v>
      </c>
      <c r="FB8" s="22" t="n">
        <v>4850</v>
      </c>
      <c r="FC8" s="22" t="n">
        <v>4850</v>
      </c>
      <c r="FD8" s="128" t="n"/>
      <c r="FE8" s="22" t="n">
        <v>4850</v>
      </c>
      <c r="FF8" s="22" t="n">
        <v>4850</v>
      </c>
      <c r="FG8" s="22" t="n">
        <v>4850</v>
      </c>
      <c r="FH8" s="22" t="n">
        <v>4850</v>
      </c>
      <c r="FI8" s="22" t="n">
        <v>4850</v>
      </c>
      <c r="FJ8" s="22" t="n">
        <v>4850</v>
      </c>
      <c r="FK8" s="22" t="n">
        <v>4850</v>
      </c>
      <c r="FL8" s="22" t="n">
        <v>4850</v>
      </c>
      <c r="FM8" s="22" t="n">
        <v>4850</v>
      </c>
      <c r="FN8" s="22" t="n">
        <v>4850</v>
      </c>
      <c r="FO8" s="22" t="n">
        <v>4850</v>
      </c>
      <c r="FP8" s="22" t="n">
        <v>4850</v>
      </c>
      <c r="FQ8" s="22" t="n">
        <v>4850</v>
      </c>
      <c r="FR8" s="22" t="n">
        <v>4850</v>
      </c>
      <c r="FS8" s="22" t="n">
        <v>4850</v>
      </c>
      <c r="FT8" s="22" t="n">
        <v>4850</v>
      </c>
      <c r="FU8" s="22" t="n">
        <v>4850</v>
      </c>
      <c r="FV8" s="22" t="n">
        <v>4850</v>
      </c>
      <c r="FW8" s="22" t="n">
        <v>4850</v>
      </c>
      <c r="FX8" s="22" t="n">
        <v>4850</v>
      </c>
      <c r="FY8" s="22" t="n">
        <v>4850</v>
      </c>
      <c r="FZ8" s="22" t="n">
        <v>4850</v>
      </c>
      <c r="GA8" s="22" t="n">
        <v>4850</v>
      </c>
      <c r="GB8" s="22" t="n">
        <v>4850</v>
      </c>
      <c r="GC8" s="22" t="n">
        <v>4850</v>
      </c>
      <c r="GD8" s="22" t="n">
        <v>4850</v>
      </c>
      <c r="GE8" s="22" t="n">
        <v>4850</v>
      </c>
      <c r="GF8" s="22" t="n">
        <v>4850</v>
      </c>
      <c r="GG8" s="22" t="n">
        <v>4850</v>
      </c>
      <c r="GH8" s="22" t="n">
        <v>4850</v>
      </c>
      <c r="GI8" s="22" t="n">
        <v>4850</v>
      </c>
      <c r="GJ8" s="126" t="n"/>
      <c r="GK8" s="22" t="n">
        <v>4850</v>
      </c>
      <c r="GL8" s="22" t="n">
        <v>4850</v>
      </c>
      <c r="GM8" s="22" t="n">
        <v>4850</v>
      </c>
      <c r="GN8" s="22" t="n">
        <v>4850</v>
      </c>
      <c r="GO8" s="22" t="n">
        <v>4850</v>
      </c>
      <c r="GP8" s="22" t="n">
        <v>4850</v>
      </c>
      <c r="GQ8" s="22" t="n">
        <v>4850</v>
      </c>
      <c r="GR8" s="22" t="n">
        <v>4850</v>
      </c>
      <c r="GS8" s="22" t="n">
        <v>4850</v>
      </c>
      <c r="GT8" s="22" t="n">
        <v>4850</v>
      </c>
      <c r="GU8" s="22" t="n">
        <v>4850</v>
      </c>
      <c r="GV8" s="22" t="n">
        <v>4850</v>
      </c>
      <c r="GW8" s="22" t="n">
        <v>4850</v>
      </c>
      <c r="GX8" s="22" t="n">
        <v>4850</v>
      </c>
      <c r="GY8" s="22" t="n">
        <v>4850</v>
      </c>
      <c r="GZ8" s="22" t="n">
        <v>4850</v>
      </c>
      <c r="HA8" s="22" t="n">
        <v>4850</v>
      </c>
      <c r="HB8" s="22" t="n">
        <v>4850</v>
      </c>
      <c r="HC8" s="22" t="n">
        <v>4850</v>
      </c>
      <c r="HD8" s="22" t="n">
        <v>4850</v>
      </c>
      <c r="HE8" s="22" t="n">
        <v>4850</v>
      </c>
      <c r="HF8" s="22" t="n">
        <v>4850</v>
      </c>
      <c r="HG8" s="22" t="n">
        <v>4850</v>
      </c>
      <c r="HH8" s="22" t="n">
        <v>4850</v>
      </c>
      <c r="HI8" s="22" t="n">
        <v>4850</v>
      </c>
      <c r="HJ8" s="22" t="n">
        <v>4850</v>
      </c>
      <c r="HK8" s="22" t="n">
        <v>4850</v>
      </c>
      <c r="HL8" s="22" t="n">
        <v>4850</v>
      </c>
      <c r="HM8" s="22" t="n">
        <v>4850</v>
      </c>
      <c r="HN8" s="126" t="n"/>
      <c r="HO8" s="22" t="n">
        <v>4850</v>
      </c>
      <c r="HP8" s="22" t="n">
        <v>4850</v>
      </c>
      <c r="HQ8" s="22" t="n">
        <v>4850</v>
      </c>
      <c r="HR8" s="22" t="n">
        <v>4850</v>
      </c>
      <c r="HS8" s="22" t="n">
        <v>4850</v>
      </c>
      <c r="HT8" s="22" t="n">
        <v>4850</v>
      </c>
      <c r="HU8" s="22" t="n">
        <v>4850</v>
      </c>
      <c r="HV8" s="22" t="n">
        <v>4850</v>
      </c>
      <c r="HW8" s="22" t="n">
        <v>4850</v>
      </c>
      <c r="HX8" s="22" t="n">
        <v>4850</v>
      </c>
      <c r="HY8" s="22" t="n">
        <v>4850</v>
      </c>
      <c r="HZ8" s="22" t="n">
        <v>4950</v>
      </c>
      <c r="IA8" s="22" t="n">
        <v>4950</v>
      </c>
      <c r="IB8" s="22" t="n">
        <v>4950</v>
      </c>
      <c r="IC8" s="22" t="n">
        <v>4950</v>
      </c>
      <c r="ID8" s="22" t="n">
        <v>4950</v>
      </c>
      <c r="IE8" s="22" t="n">
        <v>4950</v>
      </c>
      <c r="IF8" s="22" t="n">
        <v>4950</v>
      </c>
      <c r="IG8" s="22" t="n">
        <v>4950</v>
      </c>
      <c r="IH8" s="22" t="n">
        <v>4950</v>
      </c>
      <c r="II8" s="22" t="n">
        <v>4950</v>
      </c>
      <c r="IJ8" s="22" t="n">
        <v>4950</v>
      </c>
      <c r="IK8" s="22" t="n">
        <v>4950</v>
      </c>
      <c r="IL8" s="22" t="n">
        <v>4950</v>
      </c>
      <c r="IM8" s="22" t="n">
        <v>4950</v>
      </c>
      <c r="IN8" s="22" t="n">
        <v>4950</v>
      </c>
      <c r="IO8" s="22" t="n">
        <v>4990</v>
      </c>
      <c r="IP8" s="22" t="n">
        <v>4990</v>
      </c>
      <c r="IQ8" s="22" t="n">
        <v>4990</v>
      </c>
      <c r="IR8" s="22" t="n">
        <v>4990</v>
      </c>
      <c r="IS8" s="22" t="n">
        <v>4990</v>
      </c>
      <c r="IT8" s="127">
        <f>SUM(HO8:IS8)</f>
        <v/>
      </c>
      <c r="IU8" s="22" t="n">
        <v>4990</v>
      </c>
      <c r="IV8" s="22" t="n">
        <v>4990</v>
      </c>
      <c r="IW8" s="22" t="n">
        <v>4990</v>
      </c>
      <c r="IX8" s="22" t="n">
        <v>4990</v>
      </c>
      <c r="IY8" s="22" t="n">
        <v>4990</v>
      </c>
      <c r="IZ8" s="22" t="n">
        <v>4990</v>
      </c>
      <c r="JA8" s="22" t="n">
        <v>4990</v>
      </c>
      <c r="JB8" s="22" t="n">
        <v>4990</v>
      </c>
      <c r="JC8" s="22" t="n">
        <v>4990</v>
      </c>
      <c r="JD8" s="22" t="n">
        <v>4990</v>
      </c>
      <c r="JE8" s="22" t="n">
        <v>4990</v>
      </c>
      <c r="JF8" s="22" t="n">
        <v>4990</v>
      </c>
      <c r="JG8" s="22" t="n">
        <v>4990</v>
      </c>
      <c r="JH8" s="22" t="n">
        <v>4990</v>
      </c>
      <c r="JI8" s="22" t="n">
        <v>4990</v>
      </c>
      <c r="JJ8" s="22" t="n">
        <v>4990</v>
      </c>
      <c r="JK8" s="22" t="n">
        <v>4990</v>
      </c>
      <c r="JL8" s="22" t="n">
        <v>4990</v>
      </c>
      <c r="JM8" s="22" t="n">
        <v>4990</v>
      </c>
      <c r="JN8" s="22" t="n">
        <v>4990</v>
      </c>
      <c r="JO8" s="22" t="n">
        <v>4990</v>
      </c>
      <c r="JP8" s="22" t="n">
        <v>4990</v>
      </c>
      <c r="JQ8" s="22" t="n">
        <v>4990</v>
      </c>
      <c r="JR8" s="22" t="n">
        <v>4990</v>
      </c>
      <c r="JS8" s="22" t="n">
        <v>4990</v>
      </c>
      <c r="JT8" s="22" t="n">
        <v>4990</v>
      </c>
      <c r="JU8" s="22" t="n">
        <v>4890</v>
      </c>
      <c r="JV8" s="22" t="n">
        <v>4890</v>
      </c>
      <c r="JW8" s="22" t="n">
        <v>4890</v>
      </c>
      <c r="JX8" s="22" t="n">
        <v>4890</v>
      </c>
      <c r="JY8" s="127" t="n">
        <v>4890</v>
      </c>
      <c r="JZ8" s="22" t="n">
        <v>4890</v>
      </c>
      <c r="KA8" s="22" t="n">
        <v>4890</v>
      </c>
      <c r="KB8" s="22" t="n">
        <v>4890</v>
      </c>
      <c r="KC8" s="22" t="n">
        <v>4890</v>
      </c>
      <c r="KD8" s="22" t="n">
        <v>4890</v>
      </c>
      <c r="KE8" s="22" t="n">
        <v>4890</v>
      </c>
      <c r="KF8" s="22" t="n">
        <v>4890</v>
      </c>
      <c r="KG8" s="22" t="n">
        <v>4890</v>
      </c>
      <c r="KH8" s="22" t="n">
        <v>4890</v>
      </c>
      <c r="KI8" s="22" t="n">
        <v>4890</v>
      </c>
      <c r="KJ8" s="22" t="n">
        <v>4890</v>
      </c>
      <c r="KK8" s="22" t="n">
        <v>4890</v>
      </c>
      <c r="KL8" s="22" t="n">
        <v>4890</v>
      </c>
      <c r="KM8" s="22" t="n">
        <v>4890</v>
      </c>
      <c r="KN8" s="22" t="n">
        <v>4890</v>
      </c>
      <c r="KO8" s="22" t="n">
        <v>4890</v>
      </c>
      <c r="KP8" s="22" t="n">
        <v>4890</v>
      </c>
      <c r="KQ8" s="22" t="n">
        <v>4890</v>
      </c>
      <c r="KR8" s="22" t="n">
        <v>4890</v>
      </c>
      <c r="KS8" s="22" t="n">
        <v>4890</v>
      </c>
      <c r="KT8" s="22" t="n">
        <v>4890</v>
      </c>
      <c r="KU8" s="22" t="n">
        <v>4890</v>
      </c>
      <c r="KV8" s="22" t="n">
        <v>4890</v>
      </c>
      <c r="KW8" s="22" t="n">
        <v>4890</v>
      </c>
      <c r="KX8" s="22" t="n">
        <v>4890</v>
      </c>
      <c r="KY8" s="22" t="n">
        <v>4890</v>
      </c>
      <c r="KZ8" s="22" t="n">
        <v>4890</v>
      </c>
      <c r="LA8" s="22" t="n">
        <v>4890</v>
      </c>
      <c r="LB8" s="22" t="n">
        <v>4850</v>
      </c>
      <c r="LC8" s="22" t="n">
        <v>4850</v>
      </c>
      <c r="LD8" s="22" t="n">
        <v>4850</v>
      </c>
      <c r="LE8" s="127" t="n">
        <v>4890</v>
      </c>
      <c r="LF8" s="22" t="n">
        <v>4850</v>
      </c>
      <c r="LG8" s="22" t="n">
        <v>4850</v>
      </c>
      <c r="LH8" s="22" t="n">
        <v>4850</v>
      </c>
      <c r="LI8" s="22" t="n">
        <v>4850</v>
      </c>
      <c r="LJ8" s="22" t="n">
        <v>4850</v>
      </c>
      <c r="LK8" s="22" t="n">
        <v>4850</v>
      </c>
      <c r="LL8" s="22" t="n">
        <v>4850</v>
      </c>
      <c r="LM8" s="22" t="n">
        <v>4850</v>
      </c>
      <c r="LN8" s="22" t="n">
        <v>4850</v>
      </c>
      <c r="LO8" s="22" t="n">
        <v>4850</v>
      </c>
      <c r="LP8" s="22" t="n">
        <v>4850</v>
      </c>
      <c r="LQ8" s="22" t="n">
        <v>4850</v>
      </c>
      <c r="LR8" s="22" t="n">
        <v>4850</v>
      </c>
      <c r="LS8" s="22" t="n">
        <v>4850</v>
      </c>
      <c r="LT8" s="22" t="n">
        <v>4850</v>
      </c>
      <c r="LU8" s="22" t="n">
        <v>4850</v>
      </c>
      <c r="LV8" s="22" t="n">
        <v>4850</v>
      </c>
      <c r="LW8" s="22" t="n">
        <v>4850</v>
      </c>
      <c r="LX8" s="22" t="n">
        <v>4850</v>
      </c>
      <c r="LY8" s="22" t="n">
        <v>4850</v>
      </c>
      <c r="LZ8" s="22" t="n">
        <v>4850</v>
      </c>
      <c r="MA8" s="22" t="n">
        <v>4850</v>
      </c>
      <c r="MB8" s="22" t="n">
        <v>4850</v>
      </c>
      <c r="MC8" s="22" t="n">
        <v>4850</v>
      </c>
      <c r="MD8" s="22" t="n">
        <v>4850</v>
      </c>
      <c r="ME8" s="22" t="n">
        <v>4850</v>
      </c>
      <c r="MF8" s="22" t="n">
        <v>4850</v>
      </c>
      <c r="MG8" s="22" t="n">
        <v>4850</v>
      </c>
      <c r="MH8" s="22" t="n">
        <v>4850</v>
      </c>
      <c r="MI8" s="22" t="n">
        <v>4850</v>
      </c>
      <c r="MJ8" s="127" t="n">
        <v>4890</v>
      </c>
      <c r="MK8" s="22" t="n">
        <v>4850</v>
      </c>
      <c r="ML8" s="22" t="n">
        <v>4850</v>
      </c>
      <c r="MM8" s="22" t="n">
        <v>4850</v>
      </c>
      <c r="MN8" s="22" t="n">
        <v>4850</v>
      </c>
      <c r="MO8" s="22" t="n">
        <v>4850</v>
      </c>
      <c r="MP8" s="22" t="n">
        <v>4850</v>
      </c>
      <c r="MQ8" s="22" t="n">
        <v>4850</v>
      </c>
      <c r="MR8" s="22" t="n">
        <v>4850</v>
      </c>
      <c r="MS8" s="22" t="n">
        <v>4850</v>
      </c>
      <c r="MT8" s="22" t="n">
        <v>4850</v>
      </c>
      <c r="MU8" s="22" t="n">
        <v>4850</v>
      </c>
      <c r="MV8" s="22" t="n">
        <v>4799</v>
      </c>
      <c r="MW8" s="22" t="n">
        <v>4799</v>
      </c>
      <c r="MX8" s="22" t="n">
        <v>4799</v>
      </c>
      <c r="MY8" s="22" t="n">
        <v>4799</v>
      </c>
      <c r="MZ8" s="22" t="n">
        <v>4799</v>
      </c>
      <c r="NA8" s="22" t="n">
        <v>4799</v>
      </c>
      <c r="NB8" s="22" t="n">
        <v>4799</v>
      </c>
      <c r="NC8" s="22" t="n">
        <v>4799</v>
      </c>
      <c r="ND8" s="22" t="n">
        <v>4799</v>
      </c>
      <c r="NE8" s="22" t="n">
        <v>4799</v>
      </c>
      <c r="NF8" s="22" t="n">
        <v>4799</v>
      </c>
      <c r="NG8" s="22" t="n">
        <v>4799</v>
      </c>
      <c r="NH8" s="22" t="n">
        <v>4799</v>
      </c>
      <c r="NI8" s="22" t="n">
        <v>4799</v>
      </c>
      <c r="NJ8" s="22" t="n">
        <v>4799</v>
      </c>
      <c r="NK8" s="22" t="n">
        <v>4799</v>
      </c>
      <c r="NL8" s="22" t="n">
        <v>4799</v>
      </c>
      <c r="NM8" s="22" t="n">
        <v>4799</v>
      </c>
      <c r="NN8" s="22" t="n">
        <v>4799</v>
      </c>
      <c r="NO8" s="22" t="n">
        <v>4799</v>
      </c>
      <c r="NP8" s="127" t="n">
        <v>4890</v>
      </c>
      <c r="NQ8" s="22" t="n">
        <v>4799</v>
      </c>
      <c r="NR8" s="22" t="n">
        <v>4799</v>
      </c>
      <c r="NS8" s="22" t="n">
        <v>4749</v>
      </c>
      <c r="NT8" s="22" t="n">
        <v>4749</v>
      </c>
      <c r="NU8" s="22" t="n">
        <v>4749</v>
      </c>
      <c r="NV8" s="22" t="n">
        <v>4749</v>
      </c>
      <c r="NW8" s="22" t="n">
        <v>4749</v>
      </c>
      <c r="NX8" s="22" t="n">
        <v>4749</v>
      </c>
      <c r="NY8" s="22" t="n">
        <v>4749</v>
      </c>
      <c r="NZ8" s="22" t="n">
        <v>4749</v>
      </c>
      <c r="OA8" s="22" t="n">
        <v>4749</v>
      </c>
      <c r="OB8" s="22" t="n">
        <v>4749</v>
      </c>
      <c r="OC8" s="22" t="n">
        <v>4749</v>
      </c>
      <c r="OD8" s="22" t="n">
        <v>4749</v>
      </c>
      <c r="OE8" s="22" t="n">
        <v>4749</v>
      </c>
      <c r="OF8" s="22" t="n">
        <v>4749</v>
      </c>
      <c r="OG8" s="22" t="n">
        <v>4749</v>
      </c>
      <c r="OH8" s="22" t="n">
        <v>4749</v>
      </c>
      <c r="OI8" s="22" t="n">
        <v>4749</v>
      </c>
      <c r="OJ8" s="22" t="n">
        <v>4749</v>
      </c>
      <c r="OK8" s="22" t="n">
        <v>4749</v>
      </c>
      <c r="OL8" s="22" t="n">
        <v>4749</v>
      </c>
      <c r="OM8" s="22" t="n">
        <v>4749</v>
      </c>
      <c r="ON8" s="22" t="n">
        <v>4749</v>
      </c>
      <c r="OO8" s="22" t="n">
        <v>4749</v>
      </c>
      <c r="OP8" s="22" t="n">
        <v>4749</v>
      </c>
      <c r="OQ8" s="22" t="n">
        <v>4749</v>
      </c>
      <c r="OR8" s="22" t="n">
        <v>4749</v>
      </c>
      <c r="OS8" s="22" t="n">
        <v>4749</v>
      </c>
      <c r="OT8" s="22" t="n">
        <v>4749</v>
      </c>
      <c r="OU8" s="22" t="n">
        <v>4749</v>
      </c>
      <c r="OV8" s="127" t="n">
        <v>4890</v>
      </c>
      <c r="OW8" s="22" t="n">
        <v>4749</v>
      </c>
      <c r="OX8" s="22" t="n">
        <v>4749</v>
      </c>
      <c r="OY8" s="22" t="n">
        <v>4749</v>
      </c>
      <c r="OZ8" s="22" t="n">
        <v>4749</v>
      </c>
      <c r="PA8" s="22" t="n">
        <v>4749</v>
      </c>
      <c r="PB8" s="22" t="n">
        <v>4749</v>
      </c>
      <c r="PC8" s="22" t="n">
        <v>4749</v>
      </c>
      <c r="PD8" s="22" t="n">
        <v>4749</v>
      </c>
      <c r="PE8" s="22" t="n">
        <v>4749</v>
      </c>
      <c r="PF8" s="22" t="n">
        <v>4749</v>
      </c>
      <c r="PG8" s="22" t="n">
        <v>4749</v>
      </c>
      <c r="PH8" s="22" t="n">
        <v>4749</v>
      </c>
      <c r="PI8" s="22" t="n">
        <v>4749</v>
      </c>
      <c r="PJ8" s="22" t="n">
        <v>4749</v>
      </c>
      <c r="PK8" s="22" t="n">
        <v>4749</v>
      </c>
      <c r="PL8" s="22" t="n">
        <v>4749</v>
      </c>
      <c r="PM8" s="22" t="n">
        <v>4749</v>
      </c>
      <c r="PN8" s="22" t="n">
        <v>4749</v>
      </c>
      <c r="PO8" s="22" t="n">
        <v>4749</v>
      </c>
      <c r="PP8" s="22" t="n">
        <v>4749</v>
      </c>
      <c r="PQ8" s="22" t="n">
        <v>4749</v>
      </c>
      <c r="PR8" s="22" t="n">
        <v>4749</v>
      </c>
      <c r="PS8" s="22" t="n">
        <v>4749</v>
      </c>
      <c r="PT8" s="22" t="n">
        <v>4749</v>
      </c>
      <c r="PU8" s="22" t="n">
        <v>4749</v>
      </c>
      <c r="PV8" s="22" t="n">
        <v>4749</v>
      </c>
      <c r="PW8" s="22" t="n">
        <v>4749</v>
      </c>
      <c r="PX8" s="22" t="n">
        <v>4749</v>
      </c>
      <c r="PY8" s="22" t="n">
        <v>4749</v>
      </c>
      <c r="PZ8" s="22" t="n">
        <v>4749</v>
      </c>
      <c r="QA8" s="127" t="n">
        <v>4890</v>
      </c>
      <c r="QB8" s="22" t="n">
        <v>4749</v>
      </c>
      <c r="QC8" s="22" t="n">
        <v>4749</v>
      </c>
      <c r="QD8" s="22" t="n">
        <v>4749</v>
      </c>
      <c r="QE8" s="22" t="n">
        <v>4749</v>
      </c>
      <c r="QF8" s="22" t="n">
        <v>4749</v>
      </c>
      <c r="QG8" s="22" t="n">
        <v>4749</v>
      </c>
      <c r="QH8" s="22" t="n">
        <v>4749</v>
      </c>
      <c r="QI8" s="22" t="n">
        <v>4749</v>
      </c>
      <c r="QJ8" s="22" t="n">
        <v>4599</v>
      </c>
      <c r="QK8" s="22" t="n">
        <v>4599</v>
      </c>
      <c r="QL8" s="22" t="n">
        <v>4599</v>
      </c>
      <c r="QM8" s="22" t="n">
        <v>4599</v>
      </c>
      <c r="QN8" s="22" t="n">
        <v>4599</v>
      </c>
      <c r="QO8" s="22" t="n">
        <v>4599</v>
      </c>
      <c r="QP8" s="22" t="n">
        <v>4599</v>
      </c>
      <c r="QQ8" s="22" t="n">
        <v>4599</v>
      </c>
      <c r="QR8" s="22" t="n">
        <v>4599</v>
      </c>
      <c r="QS8" s="22" t="n">
        <v>4599</v>
      </c>
      <c r="QT8" s="22" t="n">
        <v>4599</v>
      </c>
      <c r="QU8" s="22" t="n">
        <v>4599</v>
      </c>
      <c r="QV8" s="22" t="n">
        <v>4599</v>
      </c>
      <c r="QW8" s="22" t="n">
        <v>4599</v>
      </c>
      <c r="QX8" s="22" t="n">
        <v>4599</v>
      </c>
      <c r="QY8" s="22" t="n">
        <v>4599</v>
      </c>
      <c r="QZ8" s="22" t="n">
        <v>4599</v>
      </c>
      <c r="RA8" s="22" t="n">
        <v>4599</v>
      </c>
      <c r="RB8" s="22" t="n">
        <v>4599</v>
      </c>
      <c r="RC8" s="22" t="n">
        <v>4599</v>
      </c>
      <c r="RD8" s="22" t="n">
        <v>4599</v>
      </c>
      <c r="RE8" s="22" t="n">
        <v>4599</v>
      </c>
      <c r="RF8" s="22" t="n">
        <v>4599</v>
      </c>
      <c r="RG8" s="127" t="n">
        <v>4599</v>
      </c>
      <c r="RH8" s="22" t="n">
        <v>4599</v>
      </c>
      <c r="RI8" s="22" t="n">
        <v>4599</v>
      </c>
      <c r="RJ8" s="22" t="n">
        <v>4599</v>
      </c>
      <c r="RK8" s="22" t="n">
        <v>4599</v>
      </c>
      <c r="RL8" s="22" t="n">
        <v>4599</v>
      </c>
      <c r="RM8" s="22" t="n">
        <v>4599</v>
      </c>
      <c r="RN8" s="22" t="n">
        <v>4599</v>
      </c>
      <c r="RO8" s="22" t="n">
        <v>4599</v>
      </c>
      <c r="RP8" s="22" t="n">
        <v>4470</v>
      </c>
      <c r="RQ8" s="22" t="n">
        <v>4470</v>
      </c>
      <c r="RR8" s="22" t="n">
        <v>4470</v>
      </c>
      <c r="RS8" s="22" t="n">
        <v>4470</v>
      </c>
      <c r="RT8" s="22" t="n">
        <v>4470</v>
      </c>
      <c r="RU8" s="22" t="n">
        <v>4470</v>
      </c>
      <c r="RV8" s="22" t="n">
        <v>4470</v>
      </c>
      <c r="RW8" s="22" t="n">
        <v>4470</v>
      </c>
      <c r="RX8" s="22" t="n">
        <v>4470</v>
      </c>
      <c r="RY8" s="22" t="n">
        <v>4470</v>
      </c>
      <c r="RZ8" s="22" t="n">
        <v>4470</v>
      </c>
      <c r="SA8" s="22" t="n">
        <v>4470</v>
      </c>
      <c r="SB8" s="22" t="n">
        <v>4470</v>
      </c>
      <c r="SC8" s="22" t="n">
        <v>4470</v>
      </c>
      <c r="SD8" s="22" t="n">
        <v>4470</v>
      </c>
      <c r="SE8" s="22" t="n">
        <v>4470</v>
      </c>
      <c r="SF8" s="22" t="n">
        <v>4470</v>
      </c>
      <c r="SG8" s="22" t="n">
        <v>4470</v>
      </c>
      <c r="SH8" s="22" t="n">
        <v>4470</v>
      </c>
      <c r="SI8" s="22" t="n">
        <v>4470</v>
      </c>
      <c r="SJ8" s="22" t="n">
        <v>4470</v>
      </c>
      <c r="SK8" s="22" t="n">
        <v>4470</v>
      </c>
      <c r="SL8" s="127" t="n">
        <v>4470</v>
      </c>
      <c r="SM8" s="22" t="n">
        <v>4470</v>
      </c>
      <c r="SN8" s="22" t="n">
        <v>4470</v>
      </c>
      <c r="SO8" s="22" t="n">
        <v>4470</v>
      </c>
      <c r="SP8" s="22" t="n">
        <v>4470</v>
      </c>
      <c r="SQ8" s="22" t="n">
        <v>4470</v>
      </c>
      <c r="SR8" s="22" t="n">
        <v>4470</v>
      </c>
      <c r="SS8" s="22" t="n">
        <v>4470</v>
      </c>
      <c r="ST8" s="22" t="n">
        <v>4470</v>
      </c>
      <c r="SU8" s="22" t="n">
        <v>4470</v>
      </c>
      <c r="SV8" s="22" t="n">
        <v>4470</v>
      </c>
      <c r="SW8" s="22" t="n">
        <v>4470</v>
      </c>
      <c r="SX8" s="22" t="n">
        <v>4470</v>
      </c>
      <c r="SY8" s="22" t="n">
        <v>4470</v>
      </c>
      <c r="SZ8" s="22" t="n">
        <v>4470</v>
      </c>
      <c r="TA8" s="22" t="n">
        <v>4470</v>
      </c>
      <c r="TB8" s="22" t="n">
        <v>4470</v>
      </c>
      <c r="TC8" s="22" t="n">
        <v>4470</v>
      </c>
      <c r="TD8" s="22" t="n">
        <v>4470</v>
      </c>
      <c r="TE8" s="22" t="n">
        <v>4470</v>
      </c>
      <c r="TF8" s="22" t="n">
        <v>4470</v>
      </c>
      <c r="TG8" s="22" t="n">
        <v>4470</v>
      </c>
      <c r="TH8" s="22" t="n">
        <v>4470</v>
      </c>
      <c r="TI8" s="22" t="n">
        <v>4470</v>
      </c>
      <c r="TJ8" s="22" t="n">
        <v>4470</v>
      </c>
      <c r="TK8" s="22" t="n">
        <v>4470</v>
      </c>
      <c r="TL8" s="22" t="n">
        <v>4470</v>
      </c>
      <c r="TM8" s="22" t="n">
        <v>4470</v>
      </c>
      <c r="TN8" s="22" t="n">
        <v>4470</v>
      </c>
      <c r="TO8" s="22" t="n">
        <v>4470</v>
      </c>
      <c r="TP8" s="22" t="n">
        <v>4470</v>
      </c>
      <c r="TQ8" s="22" t="n">
        <v>4470</v>
      </c>
      <c r="TR8" s="127" t="n">
        <v>4470</v>
      </c>
      <c r="TS8" s="22" t="n">
        <v>4470</v>
      </c>
      <c r="TT8" s="22" t="n">
        <v>4470</v>
      </c>
      <c r="TU8" s="22" t="n">
        <v>4470</v>
      </c>
      <c r="TV8" s="22" t="n">
        <v>4470</v>
      </c>
      <c r="TW8" s="22" t="n">
        <v>4470</v>
      </c>
      <c r="TX8" s="22" t="n">
        <v>4470</v>
      </c>
      <c r="TY8" s="22" t="n">
        <v>4470</v>
      </c>
      <c r="TZ8" s="22" t="n">
        <v>4470</v>
      </c>
      <c r="UA8" s="22" t="n">
        <v>4470</v>
      </c>
      <c r="UB8" s="22" t="n">
        <v>4470</v>
      </c>
      <c r="UC8" s="22" t="n">
        <v>4470</v>
      </c>
      <c r="UD8" s="22" t="n">
        <v>4470</v>
      </c>
      <c r="UE8" s="22" t="n">
        <v>4470</v>
      </c>
      <c r="UF8" s="22" t="n">
        <v>4470</v>
      </c>
      <c r="UG8" s="22" t="n">
        <v>4490</v>
      </c>
      <c r="UH8" s="22" t="n">
        <v>4490</v>
      </c>
      <c r="UI8" s="22" t="n">
        <v>4490</v>
      </c>
      <c r="UJ8" s="22" t="n">
        <v>4490</v>
      </c>
      <c r="UK8" s="22" t="n">
        <v>4490</v>
      </c>
      <c r="UL8" s="22" t="n">
        <v>4490</v>
      </c>
      <c r="UM8" s="22" t="n">
        <v>4490</v>
      </c>
      <c r="UN8" s="22" t="n">
        <v>4490</v>
      </c>
      <c r="UO8" s="22" t="n">
        <v>4490</v>
      </c>
      <c r="UP8" s="22" t="n">
        <v>4490</v>
      </c>
      <c r="UQ8" s="22" t="n">
        <v>4490</v>
      </c>
      <c r="UR8" s="22" t="n">
        <v>4490</v>
      </c>
      <c r="US8" s="22" t="n">
        <v>4490</v>
      </c>
      <c r="UT8" s="22" t="n">
        <v>4490</v>
      </c>
      <c r="UU8" s="22" t="n">
        <v>4490</v>
      </c>
      <c r="UV8" s="22" t="n">
        <v>4490</v>
      </c>
      <c r="UW8" s="22" t="n">
        <v>4490</v>
      </c>
      <c r="UX8" s="127" t="n">
        <v>4470</v>
      </c>
      <c r="UY8" s="22" t="n">
        <v>4490</v>
      </c>
      <c r="UZ8" s="22" t="n">
        <v>4490</v>
      </c>
      <c r="VA8" s="22" t="n">
        <v>4490</v>
      </c>
      <c r="VB8" s="22" t="n">
        <v>4490</v>
      </c>
      <c r="VC8" s="22" t="n">
        <v>4490</v>
      </c>
      <c r="VD8" s="22" t="n">
        <v>4490</v>
      </c>
      <c r="VE8" s="22" t="n">
        <v>4510</v>
      </c>
      <c r="VF8" s="22" t="n">
        <v>4510</v>
      </c>
      <c r="VG8" s="22" t="n">
        <v>4510</v>
      </c>
      <c r="VH8" s="22" t="n">
        <v>4510</v>
      </c>
      <c r="VI8" s="22" t="n">
        <v>4550</v>
      </c>
      <c r="VJ8" s="22" t="n">
        <v>4550</v>
      </c>
      <c r="VK8" s="22" t="n">
        <v>4550</v>
      </c>
      <c r="VL8" s="22" t="n">
        <v>4550</v>
      </c>
      <c r="VM8" s="22" t="n">
        <v>4550</v>
      </c>
      <c r="VN8" s="22" t="n">
        <v>4550</v>
      </c>
      <c r="VO8" s="22" t="n">
        <v>4550</v>
      </c>
      <c r="VP8" s="22" t="n">
        <v>4550</v>
      </c>
      <c r="VQ8" s="22" t="n">
        <v>4550</v>
      </c>
      <c r="VR8" s="22" t="n">
        <v>4550</v>
      </c>
      <c r="VS8" s="22" t="n">
        <v>4550</v>
      </c>
      <c r="VT8" s="22" t="n">
        <v>4550</v>
      </c>
      <c r="VU8" s="22" t="n">
        <v>4550</v>
      </c>
      <c r="VV8" s="22" t="n">
        <v>4550</v>
      </c>
      <c r="VW8" s="22" t="n">
        <v>4550</v>
      </c>
      <c r="VX8" s="22" t="n">
        <v>4550</v>
      </c>
      <c r="VY8" s="22" t="n">
        <v>4550</v>
      </c>
      <c r="VZ8" s="22" t="n">
        <v>4550</v>
      </c>
      <c r="WA8" s="127" t="n">
        <v>4550</v>
      </c>
      <c r="WB8" s="22" t="n">
        <v>4550</v>
      </c>
      <c r="WC8" s="22" t="n">
        <v>4550</v>
      </c>
      <c r="WD8" s="22" t="n">
        <v>4550</v>
      </c>
      <c r="WE8" s="22" t="n">
        <v>4550</v>
      </c>
      <c r="WF8" s="22" t="n">
        <v>4550</v>
      </c>
      <c r="WG8" s="22" t="n">
        <v>4550</v>
      </c>
      <c r="WH8" s="22" t="n">
        <v>4550</v>
      </c>
      <c r="WI8" s="22" t="n">
        <v>4550</v>
      </c>
      <c r="WJ8" s="22" t="n">
        <v>4550</v>
      </c>
      <c r="WK8" s="22" t="n">
        <v>4550</v>
      </c>
      <c r="WL8" s="22" t="n">
        <v>4550</v>
      </c>
      <c r="WM8" s="22" t="n">
        <v>4550</v>
      </c>
      <c r="WN8" s="22" t="n">
        <v>4550</v>
      </c>
      <c r="WO8" s="22" t="n">
        <v>4550</v>
      </c>
      <c r="WP8" s="22" t="n">
        <v>4550</v>
      </c>
      <c r="WQ8" s="22" t="n">
        <v>4550</v>
      </c>
      <c r="WR8" s="22" t="n">
        <v>4550</v>
      </c>
      <c r="WS8" s="22" t="n">
        <v>4550</v>
      </c>
      <c r="WT8" s="22" t="n">
        <v>4550</v>
      </c>
      <c r="WU8" s="22" t="n">
        <v>4550</v>
      </c>
      <c r="WV8" s="22" t="n">
        <v>4550</v>
      </c>
      <c r="WW8" s="22" t="n">
        <v>4550</v>
      </c>
      <c r="WX8" s="22" t="n">
        <v>4550</v>
      </c>
      <c r="WY8" s="22" t="n">
        <v>4550</v>
      </c>
      <c r="WZ8" s="22" t="n">
        <v>4550</v>
      </c>
      <c r="XA8" s="22" t="n">
        <v>4550</v>
      </c>
      <c r="XB8" s="22" t="n">
        <v>4590</v>
      </c>
      <c r="XC8" s="22" t="n">
        <v>4590</v>
      </c>
      <c r="XD8" s="22" t="n">
        <v>4590</v>
      </c>
      <c r="XE8" s="22" t="n">
        <v>4590</v>
      </c>
      <c r="XF8" s="22" t="n">
        <v>4590</v>
      </c>
      <c r="XG8" s="127" t="n">
        <v>4550</v>
      </c>
      <c r="XH8" s="22" t="n">
        <v>4590</v>
      </c>
      <c r="XI8" s="22" t="n">
        <v>4590</v>
      </c>
      <c r="XJ8" s="22" t="n">
        <v>4590</v>
      </c>
      <c r="XK8" s="22" t="n">
        <v>4590</v>
      </c>
      <c r="XL8" s="22" t="n">
        <v>4590</v>
      </c>
      <c r="XM8" s="22" t="n">
        <v>4590</v>
      </c>
      <c r="XN8" s="22" t="n">
        <v>4590</v>
      </c>
      <c r="XO8" s="22" t="n">
        <v>4590</v>
      </c>
      <c r="XP8" s="22" t="n">
        <v>4590</v>
      </c>
      <c r="XQ8" s="22" t="n">
        <v>4590</v>
      </c>
      <c r="XR8" s="22" t="n">
        <v>4590</v>
      </c>
      <c r="XS8" s="22" t="n">
        <v>4590</v>
      </c>
      <c r="XT8" s="22" t="n">
        <v>4590</v>
      </c>
      <c r="XU8" s="22" t="n">
        <v>4590</v>
      </c>
      <c r="XV8" s="22" t="n">
        <v>4590</v>
      </c>
      <c r="XW8" s="22" t="n">
        <v>4590</v>
      </c>
      <c r="XX8" s="22" t="n">
        <v>4650</v>
      </c>
      <c r="XY8" s="22" t="n">
        <v>4650</v>
      </c>
      <c r="XZ8" s="22" t="n">
        <v>4650</v>
      </c>
      <c r="YA8" s="22" t="n">
        <v>4650</v>
      </c>
      <c r="YB8" s="22" t="n">
        <v>4650</v>
      </c>
      <c r="YC8" s="22" t="n">
        <v>4650</v>
      </c>
      <c r="YD8" s="22" t="n">
        <v>4650</v>
      </c>
      <c r="YE8" s="22" t="n">
        <v>4650</v>
      </c>
      <c r="YF8" s="22" t="n">
        <v>4650</v>
      </c>
      <c r="YG8" s="22" t="n">
        <v>4650</v>
      </c>
      <c r="YH8" s="22" t="n">
        <v>4650</v>
      </c>
      <c r="YI8" s="22" t="n">
        <v>4650</v>
      </c>
      <c r="YJ8" s="22" t="n">
        <v>4650</v>
      </c>
      <c r="YK8" s="22" t="n">
        <v>4650</v>
      </c>
      <c r="YL8" s="127" t="n">
        <v>4550</v>
      </c>
      <c r="YM8" s="22" t="n">
        <v>4650</v>
      </c>
      <c r="YN8" s="22" t="n">
        <v>4650</v>
      </c>
      <c r="YO8" s="22" t="n">
        <v>4650</v>
      </c>
      <c r="YP8" s="22" t="n">
        <v>4650</v>
      </c>
      <c r="YQ8" s="22" t="n">
        <v>4650</v>
      </c>
      <c r="YR8" s="22" t="n">
        <v>4650</v>
      </c>
      <c r="YS8" s="22" t="n">
        <v>4650</v>
      </c>
      <c r="YT8" s="22" t="n">
        <v>4650</v>
      </c>
      <c r="YU8" s="22" t="n">
        <v>4650</v>
      </c>
      <c r="YV8" s="22" t="n">
        <v>4650</v>
      </c>
      <c r="YW8" s="22" t="n">
        <v>4650</v>
      </c>
      <c r="YX8" s="22" t="n">
        <v>4650</v>
      </c>
      <c r="YY8" s="22" t="n">
        <v>4650</v>
      </c>
      <c r="YZ8" s="22" t="n">
        <v>4650</v>
      </c>
      <c r="ZA8" s="22" t="n">
        <v>4650</v>
      </c>
      <c r="ZB8" s="22" t="n">
        <v>4650</v>
      </c>
      <c r="ZC8" s="22" t="n">
        <v>4650</v>
      </c>
      <c r="ZD8" s="22" t="n">
        <v>4650</v>
      </c>
      <c r="ZE8" s="22" t="n">
        <v>4650</v>
      </c>
      <c r="ZF8" s="22" t="n">
        <v>4650</v>
      </c>
      <c r="ZG8" s="22" t="n">
        <v>4650</v>
      </c>
      <c r="ZH8" s="22" t="n">
        <v>4650</v>
      </c>
      <c r="ZI8" s="22" t="n">
        <v>4650</v>
      </c>
      <c r="ZJ8" s="22" t="n">
        <v>4650</v>
      </c>
      <c r="ZK8" s="22" t="n">
        <v>4650</v>
      </c>
      <c r="ZL8" s="22" t="n">
        <v>4650</v>
      </c>
      <c r="ZM8" s="22" t="n">
        <v>4650</v>
      </c>
      <c r="ZN8" s="22" t="n">
        <v>4650</v>
      </c>
      <c r="ZO8" s="22" t="n">
        <v>4650</v>
      </c>
      <c r="ZP8" s="22" t="n">
        <v>4650</v>
      </c>
      <c r="ZQ8" s="22" t="n">
        <v>4650</v>
      </c>
      <c r="ZR8" s="127" t="n">
        <v>4550</v>
      </c>
      <c r="ZS8" s="22" t="n">
        <v>4650</v>
      </c>
      <c r="ZT8" s="22" t="n">
        <v>4650</v>
      </c>
      <c r="ZU8" s="22" t="n">
        <v>4650</v>
      </c>
      <c r="ZV8" s="22" t="n">
        <v>4650</v>
      </c>
      <c r="ZW8" s="22" t="n">
        <v>4650</v>
      </c>
      <c r="ZX8" s="22" t="n">
        <v>4650</v>
      </c>
      <c r="ZY8" s="22" t="n">
        <v>4650</v>
      </c>
      <c r="ZZ8" s="22" t="n">
        <v>4650</v>
      </c>
      <c r="AAA8" s="22" t="n">
        <v>4650</v>
      </c>
      <c r="AAB8" s="22" t="n">
        <v>4650</v>
      </c>
      <c r="AAC8" s="22" t="n">
        <v>4650</v>
      </c>
      <c r="AAD8" s="22" t="n">
        <v>4650</v>
      </c>
      <c r="AAE8" s="22" t="n">
        <v>4650</v>
      </c>
      <c r="AAF8" s="22" t="n">
        <v>4650</v>
      </c>
      <c r="AAG8" s="22" t="n">
        <v>4650</v>
      </c>
      <c r="AAH8" s="22" t="n">
        <v>4650</v>
      </c>
      <c r="AAI8" s="22" t="n">
        <v>4650</v>
      </c>
      <c r="AAJ8" s="22" t="n">
        <v>4650</v>
      </c>
      <c r="AAK8" s="22" t="n">
        <v>4650</v>
      </c>
      <c r="AAL8" s="22" t="n">
        <v>4650</v>
      </c>
      <c r="AAM8" s="22" t="n">
        <v>4650</v>
      </c>
      <c r="AAN8" s="22" t="n">
        <v>4650</v>
      </c>
      <c r="AAO8" s="22" t="n">
        <v>4650</v>
      </c>
      <c r="AAP8" s="22" t="n">
        <v>4650</v>
      </c>
      <c r="AAQ8" s="22" t="n">
        <v>4650</v>
      </c>
      <c r="AAR8" s="22" t="n">
        <v>4650</v>
      </c>
      <c r="AAS8" s="22" t="n">
        <v>4650</v>
      </c>
      <c r="AAT8" s="22" t="n">
        <v>4650</v>
      </c>
      <c r="AAU8" s="22" t="n">
        <v>4650</v>
      </c>
      <c r="AAV8" s="22" t="n">
        <v>4650</v>
      </c>
      <c r="AAW8" s="127" t="n">
        <v>4550</v>
      </c>
      <c r="AAX8" s="22" t="n">
        <v>4650</v>
      </c>
      <c r="AAY8" s="22" t="n">
        <v>4650</v>
      </c>
      <c r="AAZ8" s="22" t="n">
        <v>4650</v>
      </c>
      <c r="ABA8" s="22" t="n">
        <v>4650</v>
      </c>
      <c r="ABB8" s="22" t="n">
        <v>4650</v>
      </c>
      <c r="ABC8" s="22" t="n">
        <v>4650</v>
      </c>
      <c r="ABD8" s="22" t="n">
        <v>4650</v>
      </c>
      <c r="ABE8" s="22" t="n">
        <v>4650</v>
      </c>
      <c r="ABF8" s="22" t="n">
        <v>4650</v>
      </c>
      <c r="ABG8" s="22" t="n">
        <v>4650</v>
      </c>
      <c r="ABH8" s="22" t="n">
        <v>4650</v>
      </c>
      <c r="ABI8" s="22" t="n">
        <v>4650</v>
      </c>
      <c r="ABJ8" s="22" t="n">
        <v>4650</v>
      </c>
      <c r="ABK8" s="22" t="n">
        <v>4650</v>
      </c>
      <c r="ABL8" s="22" t="n">
        <v>4650</v>
      </c>
      <c r="ABM8" s="22" t="n">
        <v>4650</v>
      </c>
      <c r="ABN8" s="22" t="n">
        <v>4650</v>
      </c>
      <c r="ABO8" s="22" t="n">
        <v>4650</v>
      </c>
      <c r="ABP8" s="22" t="n">
        <v>4650</v>
      </c>
      <c r="ABQ8" s="22" t="n">
        <v>4650</v>
      </c>
      <c r="ABR8" s="22" t="n">
        <v>4650</v>
      </c>
      <c r="ABS8" s="22" t="n">
        <v>4650</v>
      </c>
      <c r="ABT8" s="22" t="n">
        <v>4650</v>
      </c>
      <c r="ABU8" s="22" t="n">
        <v>4650</v>
      </c>
      <c r="ABV8" s="22" t="n">
        <v>4650</v>
      </c>
      <c r="ABW8" s="22" t="n">
        <v>4650</v>
      </c>
      <c r="ABX8" s="22" t="n">
        <v>4650</v>
      </c>
      <c r="ABY8" s="22" t="n">
        <v>4650</v>
      </c>
      <c r="ABZ8" s="22" t="n">
        <v>4650</v>
      </c>
      <c r="ACA8" s="22" t="n">
        <v>4650</v>
      </c>
      <c r="ACB8" s="22" t="n">
        <v>4650</v>
      </c>
      <c r="ACC8" s="127" t="n">
        <v>4550</v>
      </c>
      <c r="ACD8" s="22" t="n">
        <v>4650</v>
      </c>
      <c r="ACE8" s="22" t="n">
        <v>4650</v>
      </c>
      <c r="ACF8" s="22" t="n">
        <v>4650</v>
      </c>
      <c r="ACG8" s="22" t="n">
        <v>4650</v>
      </c>
      <c r="ACH8" s="22" t="n">
        <v>4650</v>
      </c>
      <c r="ACI8" s="22" t="n">
        <v>4650</v>
      </c>
      <c r="ACJ8" s="22" t="n">
        <v>4650</v>
      </c>
      <c r="ACK8" s="22" t="n">
        <v>4650</v>
      </c>
      <c r="ACL8" s="22" t="n">
        <v>4650</v>
      </c>
      <c r="ACM8" s="22" t="n">
        <v>4650</v>
      </c>
      <c r="ACN8" s="22" t="n">
        <v>4650</v>
      </c>
      <c r="ACO8" s="22" t="n">
        <v>4650</v>
      </c>
      <c r="ACP8" s="22" t="n">
        <v>4650</v>
      </c>
      <c r="ACQ8" s="22" t="n">
        <v>4650</v>
      </c>
      <c r="ACR8" s="22" t="n">
        <v>4650</v>
      </c>
      <c r="ACS8" s="22" t="n">
        <v>4650</v>
      </c>
      <c r="ACT8" s="22" t="n">
        <v>4650</v>
      </c>
      <c r="ACU8" s="22" t="n">
        <v>4650</v>
      </c>
      <c r="ACV8" s="22" t="n">
        <v>4650</v>
      </c>
      <c r="ACW8" s="22" t="n">
        <v>4650</v>
      </c>
      <c r="ACX8" s="22" t="n">
        <v>4650</v>
      </c>
      <c r="ACY8" s="22" t="n">
        <v>4650</v>
      </c>
      <c r="ACZ8" s="22" t="n">
        <v>4650</v>
      </c>
      <c r="ADA8" s="22" t="n">
        <v>4650</v>
      </c>
      <c r="ADB8" s="22" t="n">
        <v>4650</v>
      </c>
      <c r="ADC8" s="22" t="n">
        <v>4650</v>
      </c>
      <c r="ADD8" s="22" t="n">
        <v>4650</v>
      </c>
      <c r="ADE8" s="22" t="n">
        <v>4650</v>
      </c>
      <c r="ADF8" s="22" t="n">
        <v>4650</v>
      </c>
      <c r="ADG8" s="22" t="n">
        <v>4650</v>
      </c>
      <c r="ADH8" s="22" t="n">
        <v>4650</v>
      </c>
      <c r="ADI8" s="127" t="n">
        <v>4550</v>
      </c>
      <c r="ADJ8" s="22" t="n">
        <v>4650</v>
      </c>
      <c r="ADK8" s="22" t="n">
        <v>4650</v>
      </c>
      <c r="ADL8" s="22" t="n">
        <v>4650</v>
      </c>
      <c r="ADM8" s="22" t="n">
        <v>4650</v>
      </c>
      <c r="ADN8" s="22" t="n">
        <v>4650</v>
      </c>
      <c r="ADO8" s="22" t="n">
        <v>4650</v>
      </c>
      <c r="ADP8" s="22" t="n">
        <v>4650</v>
      </c>
      <c r="ADQ8" s="22" t="n">
        <v>4650</v>
      </c>
      <c r="ADR8" s="22" t="n">
        <v>4650</v>
      </c>
      <c r="ADS8" s="22" t="n">
        <v>4650</v>
      </c>
      <c r="ADT8" s="22" t="n">
        <v>4650</v>
      </c>
      <c r="ADU8" s="22" t="n">
        <v>4650</v>
      </c>
      <c r="ADV8" s="22" t="n">
        <v>4650</v>
      </c>
      <c r="ADW8" s="22" t="n">
        <v>4650</v>
      </c>
      <c r="ADX8" s="22" t="n">
        <v>4650</v>
      </c>
      <c r="ADY8" s="22" t="n">
        <v>4650</v>
      </c>
      <c r="ADZ8" s="22" t="n">
        <v>4650</v>
      </c>
      <c r="AEA8" s="22" t="n">
        <v>4650</v>
      </c>
      <c r="AEB8" s="22" t="n">
        <v>4650</v>
      </c>
      <c r="AEC8" s="22" t="n">
        <v>4650</v>
      </c>
      <c r="AED8" s="22" t="n">
        <v>4650</v>
      </c>
      <c r="AEE8" s="22" t="n">
        <v>4650</v>
      </c>
      <c r="AEF8" s="22" t="n">
        <v>4650</v>
      </c>
      <c r="AEG8" s="22" t="n">
        <v>4650</v>
      </c>
      <c r="AEH8" s="22" t="n">
        <v>4650</v>
      </c>
      <c r="AEI8" s="22" t="n">
        <v>4650</v>
      </c>
      <c r="AEJ8" s="22" t="n">
        <v>4650</v>
      </c>
      <c r="AEK8" s="22" t="n">
        <v>4650</v>
      </c>
      <c r="AEL8" s="22" t="n">
        <v>4650</v>
      </c>
      <c r="AEM8" s="22" t="n">
        <v>4650</v>
      </c>
      <c r="AEN8" s="127" t="n">
        <v>4550</v>
      </c>
      <c r="AEO8" s="22" t="n">
        <v>4650</v>
      </c>
      <c r="AEP8" s="22" t="n">
        <v>4650</v>
      </c>
      <c r="AEQ8" s="22" t="n">
        <v>4650</v>
      </c>
      <c r="AER8" s="22" t="n">
        <v>4650</v>
      </c>
      <c r="AES8" s="22" t="n">
        <v>4650</v>
      </c>
      <c r="AET8" s="22" t="n">
        <v>4650</v>
      </c>
      <c r="AEU8" s="22" t="n">
        <v>4650</v>
      </c>
      <c r="AEV8" s="22" t="n">
        <v>4650</v>
      </c>
      <c r="AEW8" s="22" t="n">
        <v>4650</v>
      </c>
      <c r="AEX8" s="22" t="n">
        <v>4650</v>
      </c>
      <c r="AEY8" s="22" t="n">
        <v>4650</v>
      </c>
      <c r="AEZ8" s="22" t="n">
        <v>4650</v>
      </c>
      <c r="AFA8" s="22" t="n">
        <v>4650</v>
      </c>
      <c r="AFB8" s="22" t="n">
        <v>4650</v>
      </c>
      <c r="AFC8" s="22" t="n">
        <v>4650</v>
      </c>
      <c r="AFD8" s="22" t="n">
        <v>4650</v>
      </c>
      <c r="AFE8" s="22" t="n">
        <v>4650</v>
      </c>
      <c r="AFF8" s="22" t="n">
        <v>4650</v>
      </c>
      <c r="AFG8" s="22" t="n">
        <v>4650</v>
      </c>
      <c r="AFH8" s="22" t="n">
        <v>4650</v>
      </c>
      <c r="AFI8" s="22" t="n">
        <v>4650</v>
      </c>
      <c r="AFJ8" s="22" t="n">
        <v>4650</v>
      </c>
      <c r="AFK8" s="22" t="n">
        <v>4650</v>
      </c>
      <c r="AFL8" s="22" t="n">
        <v>4650</v>
      </c>
      <c r="AFM8" s="22" t="n">
        <v>4650</v>
      </c>
      <c r="AFN8" s="22" t="n">
        <v>4650</v>
      </c>
      <c r="AFO8" s="22" t="n">
        <v>4650</v>
      </c>
      <c r="AFP8" s="22" t="n">
        <v>4650</v>
      </c>
      <c r="AFQ8" s="22" t="n">
        <v>4650</v>
      </c>
      <c r="AFR8" s="22" t="n">
        <v>4650</v>
      </c>
      <c r="AFS8" s="22" t="n">
        <v>4650</v>
      </c>
      <c r="AFT8" s="127" t="n">
        <v>4550</v>
      </c>
      <c r="AFU8" s="22" t="n">
        <v>4650</v>
      </c>
      <c r="AFV8" s="22" t="n">
        <v>4650</v>
      </c>
      <c r="AFW8" s="22" t="n">
        <v>4650</v>
      </c>
      <c r="AFX8" s="22" t="n">
        <v>4650</v>
      </c>
      <c r="AFY8" s="22" t="n">
        <v>4650</v>
      </c>
      <c r="AFZ8" s="22" t="n">
        <v>4650</v>
      </c>
      <c r="AGA8" s="22" t="n">
        <v>4650</v>
      </c>
      <c r="AGB8" s="22" t="n">
        <v>4650</v>
      </c>
      <c r="AGC8" s="22" t="n">
        <v>4650</v>
      </c>
      <c r="AGD8" s="22" t="n">
        <v>4650</v>
      </c>
      <c r="AGE8" s="22" t="n">
        <v>4650</v>
      </c>
      <c r="AGF8" s="22" t="n">
        <v>4650</v>
      </c>
      <c r="AGG8" s="22" t="n">
        <v>4650</v>
      </c>
      <c r="AGH8" s="22" t="n">
        <v>4650</v>
      </c>
      <c r="AGI8" s="22" t="n">
        <v>4650</v>
      </c>
      <c r="AGJ8" s="22" t="n">
        <v>4650</v>
      </c>
      <c r="AGK8" s="22" t="n">
        <v>4650</v>
      </c>
      <c r="AGL8" s="22" t="n">
        <v>4650</v>
      </c>
      <c r="AGM8" s="22" t="n">
        <v>4650</v>
      </c>
      <c r="AGN8" s="22" t="n">
        <v>4650</v>
      </c>
      <c r="AGO8" s="22" t="n">
        <v>4650</v>
      </c>
      <c r="AGP8" s="22" t="n">
        <v>4549</v>
      </c>
      <c r="AGQ8" s="22" t="n">
        <v>4549</v>
      </c>
      <c r="AGR8" s="22" t="n">
        <v>4549</v>
      </c>
      <c r="AGS8" s="22" t="n">
        <v>4549</v>
      </c>
      <c r="AGT8" s="22" t="n">
        <v>4549</v>
      </c>
      <c r="AGU8" s="22" t="n">
        <v>4549</v>
      </c>
      <c r="AGV8" s="22" t="n">
        <v>4549</v>
      </c>
      <c r="AGW8" s="22" t="n">
        <v>4549</v>
      </c>
      <c r="AGX8" s="22" t="n">
        <v>4549</v>
      </c>
      <c r="AGY8" s="127" t="n">
        <v>4549</v>
      </c>
      <c r="AGZ8" s="22" t="n">
        <v>4549</v>
      </c>
      <c r="AHA8" s="22" t="n">
        <v>4549</v>
      </c>
      <c r="AHB8" s="22" t="n">
        <v>4549</v>
      </c>
      <c r="AHC8" s="22" t="n">
        <v>4589</v>
      </c>
      <c r="AHD8" s="22" t="n">
        <v>4589</v>
      </c>
      <c r="AHE8" s="22" t="n">
        <v>4589</v>
      </c>
      <c r="AHF8" s="22" t="n">
        <v>4589</v>
      </c>
      <c r="AHG8" s="22" t="n">
        <v>4589</v>
      </c>
      <c r="AHH8" s="22" t="n">
        <v>4589</v>
      </c>
      <c r="AHI8" s="22" t="n">
        <v>4589</v>
      </c>
      <c r="AHJ8" s="22" t="n">
        <v>4589</v>
      </c>
      <c r="AHK8" s="22" t="n">
        <v>4589</v>
      </c>
      <c r="AHL8" s="22" t="n">
        <v>4589</v>
      </c>
      <c r="AHM8" s="22" t="n">
        <v>4589</v>
      </c>
      <c r="AHN8" s="22" t="n">
        <v>4589</v>
      </c>
      <c r="AHO8" s="22" t="n">
        <v>4589</v>
      </c>
      <c r="AHP8" s="22" t="n">
        <v>4589</v>
      </c>
      <c r="AHQ8" s="22" t="n">
        <v>4589</v>
      </c>
      <c r="AHR8" s="22" t="n">
        <v>4589</v>
      </c>
      <c r="AHS8" s="22" t="n">
        <v>4589</v>
      </c>
      <c r="AHT8" s="22" t="n">
        <v>4589</v>
      </c>
      <c r="AHU8" s="22" t="n">
        <v>4589</v>
      </c>
      <c r="AHV8" s="22" t="n">
        <v>4589</v>
      </c>
      <c r="AHW8" s="22" t="n">
        <v>4589</v>
      </c>
      <c r="AHX8" s="22" t="n">
        <v>4589</v>
      </c>
      <c r="AHY8" s="22" t="n">
        <v>4589</v>
      </c>
      <c r="AHZ8" s="22" t="n">
        <v>4589</v>
      </c>
      <c r="AIA8" s="22" t="n">
        <v>4589</v>
      </c>
      <c r="AIB8" s="22" t="n">
        <v>4589</v>
      </c>
      <c r="AIC8" s="22" t="n">
        <v>4589</v>
      </c>
      <c r="AID8" s="22" t="n">
        <v>4589</v>
      </c>
      <c r="AIE8" s="127" t="n">
        <v>4549</v>
      </c>
      <c r="AIF8" s="22" t="n">
        <v>4589</v>
      </c>
      <c r="AIG8" s="22" t="n">
        <v>4589</v>
      </c>
      <c r="AIH8" s="22" t="n">
        <v>4589</v>
      </c>
      <c r="AII8" s="22" t="n">
        <v>4589</v>
      </c>
      <c r="AIJ8" s="22" t="n">
        <v>4589</v>
      </c>
      <c r="AIK8" s="22" t="n">
        <v>4589</v>
      </c>
      <c r="AIL8" s="22" t="n">
        <v>4589</v>
      </c>
      <c r="AIM8" s="22" t="n">
        <v>4589</v>
      </c>
      <c r="AIN8" s="22" t="n">
        <v>4589</v>
      </c>
      <c r="AIO8" s="22" t="n">
        <v>4589</v>
      </c>
      <c r="AIP8" s="22" t="n">
        <v>4589</v>
      </c>
      <c r="AIQ8" s="22" t="n">
        <v>4589</v>
      </c>
      <c r="AIR8" s="22" t="n">
        <v>4589</v>
      </c>
      <c r="AIS8" s="22" t="n">
        <v>4599</v>
      </c>
      <c r="AIT8" s="22" t="n">
        <v>4599</v>
      </c>
      <c r="AIU8" s="22" t="n">
        <v>4599</v>
      </c>
      <c r="AIV8" s="22" t="n">
        <v>4599</v>
      </c>
      <c r="AIW8" s="22" t="n">
        <v>4599</v>
      </c>
      <c r="AIX8" s="22" t="n">
        <v>4599</v>
      </c>
      <c r="AIY8" s="22" t="n">
        <v>4599</v>
      </c>
      <c r="AIZ8" s="22" t="n">
        <v>4599</v>
      </c>
      <c r="AJA8" s="22" t="n">
        <v>4599</v>
      </c>
      <c r="AJB8" s="22" t="n">
        <v>4599</v>
      </c>
      <c r="AJC8" s="22" t="n">
        <v>4599</v>
      </c>
      <c r="AJD8" s="22" t="n">
        <v>4599</v>
      </c>
      <c r="AJE8" s="22" t="n">
        <v>4599</v>
      </c>
      <c r="AJF8" s="22" t="n">
        <v>4599</v>
      </c>
      <c r="AJG8" s="22" t="n">
        <v>4599</v>
      </c>
      <c r="AJH8" s="22" t="n">
        <v>4599</v>
      </c>
      <c r="AJI8" s="22" t="n">
        <v>4599</v>
      </c>
      <c r="AJJ8" s="22" t="n">
        <v>4599</v>
      </c>
      <c r="AJK8" s="127" t="n">
        <v>4599</v>
      </c>
      <c r="AJL8" s="22" t="n">
        <v>4599</v>
      </c>
      <c r="AJM8" s="22" t="n">
        <v>4599</v>
      </c>
      <c r="AJN8" s="22" t="n">
        <v>4599</v>
      </c>
      <c r="AJO8" s="22" t="n">
        <v>4599</v>
      </c>
      <c r="AJP8" s="22" t="n">
        <v>4599</v>
      </c>
      <c r="AJQ8" s="22" t="n">
        <v>4599</v>
      </c>
      <c r="AJR8" s="22" t="n">
        <v>4599</v>
      </c>
      <c r="AJS8" s="22" t="n">
        <v>4599</v>
      </c>
      <c r="AJT8" s="22" t="n">
        <v>4599</v>
      </c>
      <c r="AJU8" s="22" t="n">
        <v>4599</v>
      </c>
      <c r="AJV8" s="22" t="n">
        <v>4599</v>
      </c>
      <c r="AJW8" s="22" t="n">
        <v>4599</v>
      </c>
      <c r="AJX8" s="22" t="n">
        <v>4599</v>
      </c>
      <c r="AJY8" s="22" t="n">
        <v>4599</v>
      </c>
      <c r="AJZ8" s="22" t="n">
        <v>4599</v>
      </c>
      <c r="AKA8" s="22" t="n">
        <v>4599</v>
      </c>
      <c r="AKB8" s="22" t="n">
        <v>4599</v>
      </c>
      <c r="AKC8" s="22" t="n">
        <v>4599</v>
      </c>
      <c r="AKD8" s="22" t="n">
        <v>4599</v>
      </c>
      <c r="AKE8" s="22" t="n">
        <v>4599</v>
      </c>
      <c r="AKF8" s="22" t="n">
        <v>4599</v>
      </c>
      <c r="AKG8" s="22" t="n">
        <v>4599</v>
      </c>
      <c r="AKH8" s="22" t="n">
        <v>4599</v>
      </c>
      <c r="AKI8" s="22" t="n">
        <v>4599</v>
      </c>
      <c r="AKJ8" s="22" t="n">
        <v>4599</v>
      </c>
      <c r="AKK8" s="22" t="n">
        <v>4599</v>
      </c>
      <c r="AKL8" s="22" t="n">
        <v>4599</v>
      </c>
      <c r="AKM8" s="22" t="n">
        <v>4599</v>
      </c>
      <c r="AKN8" s="127">
        <f>SUM(AJL8:AKM8)</f>
        <v/>
      </c>
      <c r="AKO8" s="22" t="n">
        <v>4599</v>
      </c>
      <c r="AKP8" s="22" t="n">
        <v>4599</v>
      </c>
      <c r="AKQ8" s="22" t="n">
        <v>4599</v>
      </c>
      <c r="AKR8" s="22" t="n">
        <v>4599</v>
      </c>
      <c r="AKS8" s="22" t="n">
        <v>4599</v>
      </c>
      <c r="AKT8" s="22" t="n">
        <v>4599</v>
      </c>
      <c r="AKU8" s="22" t="n">
        <v>4599</v>
      </c>
      <c r="AKV8" s="22" t="n">
        <v>4599</v>
      </c>
      <c r="AKW8" s="22" t="n">
        <v>4599</v>
      </c>
      <c r="AKX8" s="22" t="n">
        <v>4599</v>
      </c>
      <c r="AKY8" s="22" t="n">
        <v>4649</v>
      </c>
      <c r="AKZ8" s="22" t="n">
        <v>4649</v>
      </c>
      <c r="ALA8" s="22" t="n">
        <v>4649</v>
      </c>
      <c r="ALB8" s="22" t="n">
        <v>4649</v>
      </c>
      <c r="ALC8" s="22" t="n">
        <v>4649</v>
      </c>
      <c r="ALD8" s="22" t="n">
        <v>4649</v>
      </c>
      <c r="ALE8" s="22" t="n">
        <v>4649</v>
      </c>
      <c r="ALF8" s="22" t="n">
        <v>4699</v>
      </c>
      <c r="ALG8" s="22" t="n">
        <v>4699</v>
      </c>
      <c r="ALH8" s="22" t="n">
        <v>4699</v>
      </c>
      <c r="ALI8" s="22" t="n">
        <v>4699</v>
      </c>
      <c r="ALJ8" s="22" t="n">
        <v>4699</v>
      </c>
      <c r="ALK8" s="22" t="n">
        <v>4699</v>
      </c>
      <c r="ALL8" s="22" t="n">
        <v>5000</v>
      </c>
      <c r="ALM8" s="22" t="n">
        <v>5000</v>
      </c>
      <c r="ALN8" s="22" t="n">
        <v>5000</v>
      </c>
      <c r="ALO8" s="22" t="n">
        <v>5000</v>
      </c>
      <c r="ALP8" s="22" t="n">
        <v>5000</v>
      </c>
      <c r="ALQ8" s="22" t="n">
        <v>5000</v>
      </c>
      <c r="ALR8" s="22" t="n">
        <v>5000</v>
      </c>
      <c r="ALS8" s="22" t="n">
        <v>5049</v>
      </c>
      <c r="ALT8" s="127">
        <f>SUM(AKO8:ALS8)</f>
        <v/>
      </c>
      <c r="ALU8" s="22" t="n">
        <v>5049</v>
      </c>
      <c r="ALV8" s="22" t="n">
        <v>5049</v>
      </c>
      <c r="ALW8" s="22" t="n">
        <v>5149</v>
      </c>
      <c r="ALX8" s="22" t="n">
        <v>5149</v>
      </c>
      <c r="ALY8" s="22" t="n">
        <v>5149</v>
      </c>
      <c r="ALZ8" s="22" t="n">
        <v>5149</v>
      </c>
      <c r="AMA8" s="22" t="n">
        <v>5149</v>
      </c>
      <c r="AMB8" s="22" t="n">
        <v>5149</v>
      </c>
      <c r="AMC8" s="22" t="n">
        <v>5149</v>
      </c>
      <c r="AMD8" s="22" t="n">
        <v>5149</v>
      </c>
      <c r="AME8" s="22" t="n">
        <v>5149</v>
      </c>
      <c r="AMF8" s="22" t="n">
        <v>5149</v>
      </c>
      <c r="AMG8" s="22" t="n">
        <v>5149</v>
      </c>
      <c r="AMH8" s="22" t="n">
        <v>5149</v>
      </c>
      <c r="AMI8" s="22" t="n">
        <v>5199</v>
      </c>
      <c r="AMJ8" s="22" t="n">
        <v>5199</v>
      </c>
      <c r="AMK8" s="22" t="n">
        <v>5249</v>
      </c>
      <c r="AML8" s="22" t="n">
        <v>5249</v>
      </c>
      <c r="AMM8" s="22" t="n">
        <v>5249</v>
      </c>
      <c r="AMN8" s="22" t="n">
        <v>5249</v>
      </c>
      <c r="AMO8" s="22" t="n">
        <v>5249</v>
      </c>
      <c r="AMP8" s="22" t="n">
        <v>5249</v>
      </c>
      <c r="AMQ8" s="22" t="n">
        <v>5249</v>
      </c>
      <c r="AMR8" s="22" t="n">
        <v>5249</v>
      </c>
      <c r="AMS8" s="22" t="n">
        <v>5249</v>
      </c>
      <c r="AMT8" s="22" t="n">
        <v>5249</v>
      </c>
      <c r="AMU8" s="22" t="n">
        <v>5249</v>
      </c>
      <c r="AMV8" s="22" t="n">
        <v>5249</v>
      </c>
      <c r="AMW8" s="22" t="n">
        <v>5329</v>
      </c>
      <c r="AMX8" s="22" t="n">
        <v>5329</v>
      </c>
      <c r="AMY8" s="127">
        <f>SUM(ALU8:AMX8)</f>
        <v/>
      </c>
      <c r="AMZ8" s="22" t="n">
        <v>5629</v>
      </c>
      <c r="ANA8" s="22" t="n">
        <v>5629</v>
      </c>
      <c r="ANB8" s="22" t="n">
        <v>5629</v>
      </c>
      <c r="ANC8" s="22" t="n">
        <v>5629</v>
      </c>
      <c r="AND8" s="22" t="n">
        <v>5629</v>
      </c>
      <c r="ANE8" s="22" t="n">
        <v>5629</v>
      </c>
      <c r="ANF8" s="22" t="n">
        <v>5629</v>
      </c>
      <c r="ANG8" s="22" t="n">
        <v>5629</v>
      </c>
      <c r="ANH8" s="22" t="n">
        <v>5629</v>
      </c>
      <c r="ANI8" s="22" t="n">
        <v>5629</v>
      </c>
      <c r="ANJ8" s="22" t="n">
        <v>5629</v>
      </c>
      <c r="ANK8" s="22" t="n">
        <v>5629</v>
      </c>
      <c r="ANL8" s="22" t="n">
        <v>5629</v>
      </c>
      <c r="ANM8" s="22" t="n">
        <v>5629</v>
      </c>
      <c r="ANN8" s="22" t="n">
        <v>5629</v>
      </c>
      <c r="ANO8" s="22" t="n">
        <v>5629</v>
      </c>
      <c r="ANP8" s="22" t="n">
        <v>5900</v>
      </c>
      <c r="ANQ8" s="22" t="n">
        <v>5900</v>
      </c>
      <c r="ANR8" s="22" t="n">
        <v>5900</v>
      </c>
      <c r="ANS8" s="22" t="n">
        <v>5900</v>
      </c>
      <c r="ANT8" s="22" t="n">
        <v>5900</v>
      </c>
      <c r="ANU8" s="22" t="n">
        <v>5900</v>
      </c>
      <c r="ANV8" s="22" t="n">
        <v>6449</v>
      </c>
      <c r="ANW8" s="22" t="n">
        <v>6449</v>
      </c>
      <c r="ANX8" s="22" t="n">
        <v>6449</v>
      </c>
      <c r="ANY8" s="22" t="n">
        <v>6449</v>
      </c>
      <c r="ANZ8" s="22" t="n">
        <v>6449</v>
      </c>
      <c r="AOA8" s="22" t="n">
        <v>6449</v>
      </c>
      <c r="AOB8" s="22" t="n">
        <v>6490</v>
      </c>
      <c r="AOC8" s="22" t="n">
        <v>6490</v>
      </c>
    </row>
    <row r="9">
      <c r="B9" s="5" t="inlineStr">
        <is>
          <t>AGO SALES UGX</t>
        </is>
      </c>
      <c r="C9" s="33">
        <f>C8*C7</f>
        <v/>
      </c>
      <c r="D9" s="33">
        <f>D8*D7</f>
        <v/>
      </c>
      <c r="E9" s="33">
        <f>E8*E7</f>
        <v/>
      </c>
      <c r="F9" s="33">
        <f>F8*F7</f>
        <v/>
      </c>
      <c r="G9" s="33">
        <f>G8*G7</f>
        <v/>
      </c>
      <c r="H9" s="33">
        <f>H8*H7</f>
        <v/>
      </c>
      <c r="I9" s="33">
        <f>I8*I7</f>
        <v/>
      </c>
      <c r="J9" s="33">
        <f>J8*J7</f>
        <v/>
      </c>
      <c r="K9" s="33">
        <f>K8*K7</f>
        <v/>
      </c>
      <c r="L9" s="33">
        <f>L8*L7</f>
        <v/>
      </c>
      <c r="M9" s="33">
        <f>M8*M7</f>
        <v/>
      </c>
      <c r="N9" s="33">
        <f>N8*N7</f>
        <v/>
      </c>
      <c r="O9" s="33">
        <f>O8*O7</f>
        <v/>
      </c>
      <c r="P9" s="33">
        <f>P8*P7</f>
        <v/>
      </c>
      <c r="Q9" s="33">
        <f>Q8*Q7</f>
        <v/>
      </c>
      <c r="R9" s="33">
        <f>R8*R7</f>
        <v/>
      </c>
      <c r="S9" s="33">
        <f>S8*S7</f>
        <v/>
      </c>
      <c r="T9" s="33">
        <f>T8*T7</f>
        <v/>
      </c>
      <c r="U9" s="33">
        <f>U8*U7</f>
        <v/>
      </c>
      <c r="V9" s="33">
        <f>V8*V7</f>
        <v/>
      </c>
      <c r="W9" s="33">
        <f>W8*W7</f>
        <v/>
      </c>
      <c r="X9" s="33">
        <f>X8*X7</f>
        <v/>
      </c>
      <c r="Y9" s="33">
        <f>Y8*Y7</f>
        <v/>
      </c>
      <c r="Z9" s="33">
        <f>Z8*Z7</f>
        <v/>
      </c>
      <c r="AA9" s="33">
        <f>AA8*AA7</f>
        <v/>
      </c>
      <c r="AB9" s="33">
        <f>AB8*AB7</f>
        <v/>
      </c>
      <c r="AC9" s="33">
        <f>AC8*AC7</f>
        <v/>
      </c>
      <c r="AD9" s="33">
        <f>AD8*AD7</f>
        <v/>
      </c>
      <c r="AE9" s="33">
        <f>AE8*AE7</f>
        <v/>
      </c>
      <c r="AF9" s="33">
        <f>AF8*AF7</f>
        <v/>
      </c>
      <c r="AG9" s="33">
        <f>AG8*AG7</f>
        <v/>
      </c>
      <c r="AH9" s="94">
        <f>SUM(C9:AG9)</f>
        <v/>
      </c>
      <c r="AI9" s="33">
        <f>AI8*AI7</f>
        <v/>
      </c>
      <c r="AJ9" s="33">
        <f>AJ8*AJ7</f>
        <v/>
      </c>
      <c r="AK9" s="33">
        <f>AK8*AK7</f>
        <v/>
      </c>
      <c r="AL9" s="33">
        <f>AL8*AL7</f>
        <v/>
      </c>
      <c r="AM9" s="33">
        <f>AM8*AM7</f>
        <v/>
      </c>
      <c r="AN9" s="33">
        <f>AN8*AN7</f>
        <v/>
      </c>
      <c r="AO9" s="33">
        <f>AO8*AO7</f>
        <v/>
      </c>
      <c r="AP9" s="33">
        <f>AP8*AP7</f>
        <v/>
      </c>
      <c r="AQ9" s="33">
        <f>AQ8*AQ7</f>
        <v/>
      </c>
      <c r="AR9" s="33">
        <f>AR8*AR7</f>
        <v/>
      </c>
      <c r="AS9" s="33">
        <f>AS8*AS7</f>
        <v/>
      </c>
      <c r="AT9" s="33">
        <f>AT8*AT7</f>
        <v/>
      </c>
      <c r="AU9" s="33">
        <f>AU8*AU7</f>
        <v/>
      </c>
      <c r="AV9" s="33">
        <f>AV8*AV7</f>
        <v/>
      </c>
      <c r="AW9" s="33">
        <f>AW8*AW7</f>
        <v/>
      </c>
      <c r="AX9" s="33">
        <f>AX8*AX7</f>
        <v/>
      </c>
      <c r="AY9" s="33">
        <f>AY8*AY7</f>
        <v/>
      </c>
      <c r="AZ9" s="33">
        <f>AZ8*AZ7</f>
        <v/>
      </c>
      <c r="BA9" s="33">
        <f>BA8*BA7</f>
        <v/>
      </c>
      <c r="BB9" s="33">
        <f>BB8*BB7</f>
        <v/>
      </c>
      <c r="BC9" s="33">
        <f>BC8*BC7</f>
        <v/>
      </c>
      <c r="BD9" s="33">
        <f>BD8*BD7</f>
        <v/>
      </c>
      <c r="BE9" s="33">
        <f>BE8*BE7</f>
        <v/>
      </c>
      <c r="BF9" s="33">
        <f>BF8*BF7</f>
        <v/>
      </c>
      <c r="BG9" s="33">
        <f>BG8*BG7</f>
        <v/>
      </c>
      <c r="BH9" s="33">
        <f>BH8*BH7</f>
        <v/>
      </c>
      <c r="BI9" s="33">
        <f>BI8*BI7</f>
        <v/>
      </c>
      <c r="BJ9" s="33">
        <f>BJ8*BJ7</f>
        <v/>
      </c>
      <c r="BK9" s="33">
        <f>BK8*BK7</f>
        <v/>
      </c>
      <c r="BL9" s="33">
        <f>BL8*BL7</f>
        <v/>
      </c>
      <c r="BM9" s="97">
        <f>SUM(AI9:BL9)</f>
        <v/>
      </c>
      <c r="BN9" s="33">
        <f>BN8*BN7</f>
        <v/>
      </c>
      <c r="BO9" s="33">
        <f>BO8*BO7</f>
        <v/>
      </c>
      <c r="BP9" s="33">
        <f>BP8*BP7</f>
        <v/>
      </c>
      <c r="BQ9" s="33">
        <f>BQ8*BQ7</f>
        <v/>
      </c>
      <c r="BR9" s="33">
        <f>BR8*BR7</f>
        <v/>
      </c>
      <c r="BS9" s="33">
        <f>BS8*BS7</f>
        <v/>
      </c>
      <c r="BT9" s="33">
        <f>BT8*BT7</f>
        <v/>
      </c>
      <c r="BU9" s="33">
        <f>BU8*BU7</f>
        <v/>
      </c>
      <c r="BV9" s="33">
        <f>BV8*BV7</f>
        <v/>
      </c>
      <c r="BW9" s="33">
        <f>BW8*BW7</f>
        <v/>
      </c>
      <c r="BX9" s="33">
        <f>BX8*BX7</f>
        <v/>
      </c>
      <c r="BY9" s="33">
        <f>BY8*BY7</f>
        <v/>
      </c>
      <c r="BZ9" s="33">
        <f>BZ8*BZ7</f>
        <v/>
      </c>
      <c r="CA9" s="33">
        <f>CA8*CA7</f>
        <v/>
      </c>
      <c r="CB9" s="33">
        <f>CB8*CB7</f>
        <v/>
      </c>
      <c r="CC9" s="33">
        <f>CC8*CC7</f>
        <v/>
      </c>
      <c r="CD9" s="33">
        <f>CD8*CD7</f>
        <v/>
      </c>
      <c r="CE9" s="33">
        <f>CE8*CE7</f>
        <v/>
      </c>
      <c r="CF9" s="33">
        <f>CF8*CF7</f>
        <v/>
      </c>
      <c r="CG9" s="33">
        <f>CG8*CG7</f>
        <v/>
      </c>
      <c r="CH9" s="33">
        <f>CH8*CH7</f>
        <v/>
      </c>
      <c r="CI9" s="33">
        <f>CI8*CI7</f>
        <v/>
      </c>
      <c r="CJ9" s="33">
        <f>CJ8*CJ7</f>
        <v/>
      </c>
      <c r="CK9" s="33">
        <f>CK8*CK7</f>
        <v/>
      </c>
      <c r="CL9" s="33">
        <f>CL8*CL7</f>
        <v/>
      </c>
      <c r="CM9" s="33">
        <f>CM8*CM7</f>
        <v/>
      </c>
      <c r="CN9" s="33">
        <f>CN8*CN7</f>
        <v/>
      </c>
      <c r="CO9" s="33">
        <f>CO8*CO7</f>
        <v/>
      </c>
      <c r="CP9" s="33">
        <f>CP8*CP7</f>
        <v/>
      </c>
      <c r="CQ9" s="33">
        <f>CQ8*CQ7</f>
        <v/>
      </c>
      <c r="CR9" s="33">
        <f>CR8*CR7</f>
        <v/>
      </c>
      <c r="CS9" s="111">
        <f>SUM(BN9:CR9)</f>
        <v/>
      </c>
      <c r="CT9" s="33">
        <f>CT8*CT7</f>
        <v/>
      </c>
      <c r="CU9" s="33">
        <f>CU8*CU7</f>
        <v/>
      </c>
      <c r="CV9" s="33">
        <f>CV8*CV7</f>
        <v/>
      </c>
      <c r="CW9" s="33">
        <f>CW8*CW7</f>
        <v/>
      </c>
      <c r="CX9" s="33">
        <f>CX8*CX7</f>
        <v/>
      </c>
      <c r="CY9" s="33">
        <f>CY8*CY7</f>
        <v/>
      </c>
      <c r="CZ9" s="33">
        <f>CZ8*CZ7</f>
        <v/>
      </c>
      <c r="DA9" s="33">
        <f>DA8*DA7</f>
        <v/>
      </c>
      <c r="DB9" s="33">
        <f>DB8*DB7</f>
        <v/>
      </c>
      <c r="DC9" s="33">
        <f>DC8*DC7</f>
        <v/>
      </c>
      <c r="DD9" s="33">
        <f>DD8*DD7</f>
        <v/>
      </c>
      <c r="DE9" s="33">
        <f>DE8*DE7</f>
        <v/>
      </c>
      <c r="DF9" s="33">
        <f>DF8*DF7</f>
        <v/>
      </c>
      <c r="DG9" s="33">
        <f>DG8*DG7</f>
        <v/>
      </c>
      <c r="DH9" s="33">
        <f>DH8*DH7</f>
        <v/>
      </c>
      <c r="DI9" s="33">
        <f>DI8*DI7</f>
        <v/>
      </c>
      <c r="DJ9" s="33">
        <f>DJ8*DJ7</f>
        <v/>
      </c>
      <c r="DK9" s="33">
        <f>DK8*DK7</f>
        <v/>
      </c>
      <c r="DL9" s="33">
        <f>DL8*DL7</f>
        <v/>
      </c>
      <c r="DM9" s="33">
        <f>DM8*DM7</f>
        <v/>
      </c>
      <c r="DN9" s="33">
        <f>DN8*DN7</f>
        <v/>
      </c>
      <c r="DO9" s="33">
        <f>DO8*DO7</f>
        <v/>
      </c>
      <c r="DP9" s="33">
        <f>DP8*DP7</f>
        <v/>
      </c>
      <c r="DQ9" s="33">
        <f>DQ8*DQ7</f>
        <v/>
      </c>
      <c r="DR9" s="33">
        <f>DR8*DR7</f>
        <v/>
      </c>
      <c r="DS9" s="33">
        <f>DS8*DS7</f>
        <v/>
      </c>
      <c r="DT9" s="33">
        <f>DT8*DT7</f>
        <v/>
      </c>
      <c r="DU9" s="33">
        <f>DU8*DU7</f>
        <v/>
      </c>
      <c r="DV9" s="33">
        <f>DV8*DV7</f>
        <v/>
      </c>
      <c r="DW9" s="33">
        <f>DW8*DW7</f>
        <v/>
      </c>
      <c r="DX9" s="119">
        <f>SUM(CT9:DW9)</f>
        <v/>
      </c>
      <c r="DY9" s="33">
        <f>DY8*DY7</f>
        <v/>
      </c>
      <c r="DZ9" s="33">
        <f>DZ8*DZ7</f>
        <v/>
      </c>
      <c r="EA9" s="33">
        <f>EA8*EA7</f>
        <v/>
      </c>
      <c r="EB9" s="33">
        <f>EB8*EB7</f>
        <v/>
      </c>
      <c r="EC9" s="33">
        <f>EC8*EC7</f>
        <v/>
      </c>
      <c r="ED9" s="33">
        <f>ED8*ED7</f>
        <v/>
      </c>
      <c r="EE9" s="33">
        <f>EE8*EE7</f>
        <v/>
      </c>
      <c r="EF9" s="33">
        <f>EF8*EF7</f>
        <v/>
      </c>
      <c r="EG9" s="33">
        <f>EG8*EG7</f>
        <v/>
      </c>
      <c r="EH9" s="33">
        <f>EH8*EH7</f>
        <v/>
      </c>
      <c r="EI9" s="33">
        <f>EI8*EI7</f>
        <v/>
      </c>
      <c r="EJ9" s="33">
        <f>EJ8*EJ7</f>
        <v/>
      </c>
      <c r="EK9" s="33">
        <f>EK8*EK7</f>
        <v/>
      </c>
      <c r="EL9" s="33">
        <f>EL8*EL7</f>
        <v/>
      </c>
      <c r="EM9" s="33">
        <f>EM8*EM7</f>
        <v/>
      </c>
      <c r="EN9" s="33">
        <f>EN8*EN7</f>
        <v/>
      </c>
      <c r="EO9" s="33">
        <f>EO8*EO7</f>
        <v/>
      </c>
      <c r="EP9" s="33">
        <f>EP8*EP7</f>
        <v/>
      </c>
      <c r="EQ9" s="33">
        <f>EQ8*EQ7</f>
        <v/>
      </c>
      <c r="ER9" s="33">
        <f>ER8*ER7</f>
        <v/>
      </c>
      <c r="ES9" s="33">
        <f>ES8*ES7</f>
        <v/>
      </c>
      <c r="ET9" s="33">
        <f>ET8*ET7</f>
        <v/>
      </c>
      <c r="EU9" s="33">
        <f>EU8*EU7</f>
        <v/>
      </c>
      <c r="EV9" s="33">
        <f>EV8*EV7</f>
        <v/>
      </c>
      <c r="EW9" s="33">
        <f>EW8*EW7</f>
        <v/>
      </c>
      <c r="EX9" s="33">
        <f>EX8*EX7</f>
        <v/>
      </c>
      <c r="EY9" s="33">
        <f>EY8*EY7</f>
        <v/>
      </c>
      <c r="EZ9" s="33">
        <f>EZ8*EZ7</f>
        <v/>
      </c>
      <c r="FA9" s="33">
        <f>FA8*FA7</f>
        <v/>
      </c>
      <c r="FB9" s="33">
        <f>FB8*FB7</f>
        <v/>
      </c>
      <c r="FC9" s="33">
        <f>FC8*FC7</f>
        <v/>
      </c>
      <c r="FD9" s="128">
        <f>SUM(DY9:FC9)</f>
        <v/>
      </c>
      <c r="FE9" s="33">
        <f>FE8*FE7</f>
        <v/>
      </c>
      <c r="FF9" s="33">
        <f>FF8*FF7</f>
        <v/>
      </c>
      <c r="FG9" s="33">
        <f>FG8*FG7</f>
        <v/>
      </c>
      <c r="FH9" s="33">
        <f>FH8*FH7</f>
        <v/>
      </c>
      <c r="FI9" s="33">
        <f>FI8*FI7</f>
        <v/>
      </c>
      <c r="FJ9" s="33">
        <f>FJ8*FJ7</f>
        <v/>
      </c>
      <c r="FK9" s="33">
        <f>FK8*FK7</f>
        <v/>
      </c>
      <c r="FL9" s="33">
        <f>FL8*FL7</f>
        <v/>
      </c>
      <c r="FM9" s="33">
        <f>FM8*FM7</f>
        <v/>
      </c>
      <c r="FN9" s="33">
        <f>FN8*FN7</f>
        <v/>
      </c>
      <c r="FO9" s="33">
        <f>FO8*FO7</f>
        <v/>
      </c>
      <c r="FP9" s="33">
        <f>FP8*FP7</f>
        <v/>
      </c>
      <c r="FQ9" s="33">
        <f>FQ8*FQ7</f>
        <v/>
      </c>
      <c r="FR9" s="33">
        <f>FR8*FR7</f>
        <v/>
      </c>
      <c r="FS9" s="33">
        <f>FS8*FS7</f>
        <v/>
      </c>
      <c r="FT9" s="33">
        <f>FT8*FT7</f>
        <v/>
      </c>
      <c r="FU9" s="33">
        <f>FU8*FU7</f>
        <v/>
      </c>
      <c r="FV9" s="33">
        <f>FV8*FV7</f>
        <v/>
      </c>
      <c r="FW9" s="33">
        <f>FW8*FW7</f>
        <v/>
      </c>
      <c r="FX9" s="33">
        <f>FX8*FX7</f>
        <v/>
      </c>
      <c r="FY9" s="33">
        <f>FY8*FY7</f>
        <v/>
      </c>
      <c r="FZ9" s="33">
        <f>FZ8*FZ7</f>
        <v/>
      </c>
      <c r="GA9" s="33">
        <f>GA8*GA7</f>
        <v/>
      </c>
      <c r="GB9" s="33">
        <f>GB8*GB7</f>
        <v/>
      </c>
      <c r="GC9" s="33">
        <f>GC8*GC7</f>
        <v/>
      </c>
      <c r="GD9" s="33">
        <f>GD8*GD7</f>
        <v/>
      </c>
      <c r="GE9" s="33">
        <f>GE8*GE7</f>
        <v/>
      </c>
      <c r="GF9" s="33">
        <f>GF8*GF7</f>
        <v/>
      </c>
      <c r="GG9" s="33">
        <f>GG8*GG7</f>
        <v/>
      </c>
      <c r="GH9" s="33">
        <f>GH8*GH7</f>
        <v/>
      </c>
      <c r="GI9" s="33">
        <f>GI8*GI7</f>
        <v/>
      </c>
      <c r="GJ9" s="127">
        <f>SUM(FE9:GI9)</f>
        <v/>
      </c>
      <c r="GK9" s="33">
        <f>GK8*GK7</f>
        <v/>
      </c>
      <c r="GL9" s="33">
        <f>GL8*GL7</f>
        <v/>
      </c>
      <c r="GM9" s="33">
        <f>GM8*GM7</f>
        <v/>
      </c>
      <c r="GN9" s="33">
        <f>GN8*GN7</f>
        <v/>
      </c>
      <c r="GO9" s="33">
        <f>GO8*GO7</f>
        <v/>
      </c>
      <c r="GP9" s="33">
        <f>GP8*GP7</f>
        <v/>
      </c>
      <c r="GQ9" s="33">
        <f>GQ8*GQ7</f>
        <v/>
      </c>
      <c r="GR9" s="33">
        <f>GR8*GR7</f>
        <v/>
      </c>
      <c r="GS9" s="33">
        <f>GS8*GS7</f>
        <v/>
      </c>
      <c r="GT9" s="33">
        <f>GT8*GT7</f>
        <v/>
      </c>
      <c r="GU9" s="33">
        <f>GU8*GU7</f>
        <v/>
      </c>
      <c r="GV9" s="33">
        <f>GV8*GV7</f>
        <v/>
      </c>
      <c r="GW9" s="33">
        <f>GW8*GW7</f>
        <v/>
      </c>
      <c r="GX9" s="33">
        <f>GX8*GX7</f>
        <v/>
      </c>
      <c r="GY9" s="33">
        <f>GY8*GY7</f>
        <v/>
      </c>
      <c r="GZ9" s="33">
        <f>GZ8*GZ7</f>
        <v/>
      </c>
      <c r="HA9" s="33">
        <f>HA8*HA7</f>
        <v/>
      </c>
      <c r="HB9" s="33">
        <f>HB8*HB7</f>
        <v/>
      </c>
      <c r="HC9" s="33">
        <f>HC8*HC7</f>
        <v/>
      </c>
      <c r="HD9" s="33">
        <f>HD8*HD7</f>
        <v/>
      </c>
      <c r="HE9" s="33">
        <f>HE8*HE7</f>
        <v/>
      </c>
      <c r="HF9" s="33">
        <f>HF8*HF7</f>
        <v/>
      </c>
      <c r="HG9" s="33">
        <f>HG8*HG7</f>
        <v/>
      </c>
      <c r="HH9" s="33">
        <f>HH8*HH7</f>
        <v/>
      </c>
      <c r="HI9" s="33">
        <f>HI8*HI7</f>
        <v/>
      </c>
      <c r="HJ9" s="33">
        <f>HJ8*HJ7</f>
        <v/>
      </c>
      <c r="HK9" s="33">
        <f>HK8*HK7</f>
        <v/>
      </c>
      <c r="HL9" s="33">
        <f>HL8*HL7</f>
        <v/>
      </c>
      <c r="HM9" s="33">
        <f>HM8*HM7</f>
        <v/>
      </c>
      <c r="HN9" s="127">
        <f>SUM(GK9:HM9)</f>
        <v/>
      </c>
      <c r="HO9" s="33">
        <f>HO8*HO7</f>
        <v/>
      </c>
      <c r="HP9" s="33">
        <f>HP8*HP7</f>
        <v/>
      </c>
      <c r="HQ9" s="33">
        <f>HQ8*HQ7</f>
        <v/>
      </c>
      <c r="HR9" s="33">
        <f>HR8*HR7</f>
        <v/>
      </c>
      <c r="HS9" s="33">
        <f>HS8*HS7</f>
        <v/>
      </c>
      <c r="HT9" s="33">
        <f>HT8*HT7</f>
        <v/>
      </c>
      <c r="HU9" s="33">
        <f>HU8*HU7</f>
        <v/>
      </c>
      <c r="HV9" s="33">
        <f>HV8*HV7</f>
        <v/>
      </c>
      <c r="HW9" s="33">
        <f>HW8*HW7</f>
        <v/>
      </c>
      <c r="HX9" s="33">
        <f>HX8*HX7</f>
        <v/>
      </c>
      <c r="HY9" s="33">
        <f>HY8*HY7</f>
        <v/>
      </c>
      <c r="HZ9" s="33">
        <f>HZ8*HZ7</f>
        <v/>
      </c>
      <c r="IA9" s="33">
        <f>IA8*IA7</f>
        <v/>
      </c>
      <c r="IB9" s="33">
        <f>IB8*IB7</f>
        <v/>
      </c>
      <c r="IC9" s="33">
        <f>IC8*IC7</f>
        <v/>
      </c>
      <c r="ID9" s="33">
        <f>ID8*ID7</f>
        <v/>
      </c>
      <c r="IE9" s="33">
        <f>IE8*IE7</f>
        <v/>
      </c>
      <c r="IF9" s="33">
        <f>IF8*IF7</f>
        <v/>
      </c>
      <c r="IG9" s="33">
        <f>IG8*IG7</f>
        <v/>
      </c>
      <c r="IH9" s="33">
        <f>IH8*IH7</f>
        <v/>
      </c>
      <c r="II9" s="33">
        <f>II8*II7</f>
        <v/>
      </c>
      <c r="IJ9" s="33">
        <f>IJ8*IJ7</f>
        <v/>
      </c>
      <c r="IK9" s="33">
        <f>IK8*IK7</f>
        <v/>
      </c>
      <c r="IL9" s="33">
        <f>IL8*IL7</f>
        <v/>
      </c>
      <c r="IM9" s="33">
        <f>IM8*IM7</f>
        <v/>
      </c>
      <c r="IN9" s="33">
        <f>IN8*IN7</f>
        <v/>
      </c>
      <c r="IO9" s="33">
        <f>IO8*IO7</f>
        <v/>
      </c>
      <c r="IP9" s="33">
        <f>IP8*IP7</f>
        <v/>
      </c>
      <c r="IQ9" s="33">
        <f>IQ8*IQ7</f>
        <v/>
      </c>
      <c r="IR9" s="33">
        <f>IR8*IR7</f>
        <v/>
      </c>
      <c r="IS9" s="33">
        <f>IS8*IS7</f>
        <v/>
      </c>
      <c r="IT9" s="127">
        <f>SUM(HO9:IS9)</f>
        <v/>
      </c>
      <c r="IU9" s="33">
        <f>IU8*IU7</f>
        <v/>
      </c>
      <c r="IV9" s="33">
        <f>IV8*IV7</f>
        <v/>
      </c>
      <c r="IW9" s="33">
        <f>IW8*IW7</f>
        <v/>
      </c>
      <c r="IX9" s="33">
        <f>IX8*IX7</f>
        <v/>
      </c>
      <c r="IY9" s="33">
        <f>IY8*IY7</f>
        <v/>
      </c>
      <c r="IZ9" s="33">
        <f>IZ8*IZ7</f>
        <v/>
      </c>
      <c r="JA9" s="33">
        <f>JA8*JA7</f>
        <v/>
      </c>
      <c r="JB9" s="33">
        <f>JB8*JB7</f>
        <v/>
      </c>
      <c r="JC9" s="33">
        <f>JC8*JC7</f>
        <v/>
      </c>
      <c r="JD9" s="33">
        <f>JD8*JD7</f>
        <v/>
      </c>
      <c r="JE9" s="33">
        <f>JE8*JE7</f>
        <v/>
      </c>
      <c r="JF9" s="33">
        <f>JF8*JF7</f>
        <v/>
      </c>
      <c r="JG9" s="33">
        <f>JG8*JG7</f>
        <v/>
      </c>
      <c r="JH9" s="33">
        <f>JH8*JH7</f>
        <v/>
      </c>
      <c r="JI9" s="33">
        <f>JI8*JI7</f>
        <v/>
      </c>
      <c r="JJ9" s="33">
        <f>JJ8*JJ7</f>
        <v/>
      </c>
      <c r="JK9" s="33">
        <f>JK8*JK7</f>
        <v/>
      </c>
      <c r="JL9" s="33">
        <f>JL8*JL7</f>
        <v/>
      </c>
      <c r="JM9" s="33">
        <f>JM8*JM7</f>
        <v/>
      </c>
      <c r="JN9" s="33">
        <f>JN8*JN7</f>
        <v/>
      </c>
      <c r="JO9" s="33">
        <f>JO8*JO7</f>
        <v/>
      </c>
      <c r="JP9" s="33">
        <f>JP8*JP7</f>
        <v/>
      </c>
      <c r="JQ9" s="33">
        <f>JQ8*JQ7</f>
        <v/>
      </c>
      <c r="JR9" s="33">
        <f>JR8*JR7</f>
        <v/>
      </c>
      <c r="JS9" s="33">
        <f>JS8*JS7</f>
        <v/>
      </c>
      <c r="JT9" s="33">
        <f>JT8*JT7</f>
        <v/>
      </c>
      <c r="JU9" s="33">
        <f>JU8*JU7</f>
        <v/>
      </c>
      <c r="JV9" s="33">
        <f>JV8*JV7</f>
        <v/>
      </c>
      <c r="JW9" s="33">
        <f>JW8*JW7</f>
        <v/>
      </c>
      <c r="JX9" s="33">
        <f>JX8*JX7</f>
        <v/>
      </c>
      <c r="JY9" s="127">
        <f>SUM(IU9:JX9)</f>
        <v/>
      </c>
      <c r="JZ9" s="33">
        <f>JZ8*JZ7</f>
        <v/>
      </c>
      <c r="KA9" s="33">
        <f>KA8*KA7</f>
        <v/>
      </c>
      <c r="KB9" s="33">
        <f>KB8*KB7</f>
        <v/>
      </c>
      <c r="KC9" s="33">
        <f>KC8*KC7</f>
        <v/>
      </c>
      <c r="KD9" s="33">
        <f>KD8*KD7</f>
        <v/>
      </c>
      <c r="KE9" s="33">
        <f>KE8*KE7</f>
        <v/>
      </c>
      <c r="KF9" s="33">
        <f>KF8*KF7</f>
        <v/>
      </c>
      <c r="KG9" s="33">
        <f>KG8*KG7</f>
        <v/>
      </c>
      <c r="KH9" s="33">
        <f>KH8*KH7</f>
        <v/>
      </c>
      <c r="KI9" s="33">
        <f>KI8*KI7</f>
        <v/>
      </c>
      <c r="KJ9" s="33">
        <f>KJ8*KJ7</f>
        <v/>
      </c>
      <c r="KK9" s="33">
        <f>KK8*KK7</f>
        <v/>
      </c>
      <c r="KL9" s="33">
        <f>KL8*KL7</f>
        <v/>
      </c>
      <c r="KM9" s="33">
        <f>KM8*KM7</f>
        <v/>
      </c>
      <c r="KN9" s="33">
        <f>KN8*KN7</f>
        <v/>
      </c>
      <c r="KO9" s="33">
        <f>KO8*KO7</f>
        <v/>
      </c>
      <c r="KP9" s="33">
        <f>KP8*KP7</f>
        <v/>
      </c>
      <c r="KQ9" s="33">
        <f>KQ8*KQ7</f>
        <v/>
      </c>
      <c r="KR9" s="33">
        <f>KR8*KR7</f>
        <v/>
      </c>
      <c r="KS9" s="33">
        <f>KS8*KS7</f>
        <v/>
      </c>
      <c r="KT9" s="33">
        <f>KT8*KT7</f>
        <v/>
      </c>
      <c r="KU9" s="33">
        <f>KU8*KU7</f>
        <v/>
      </c>
      <c r="KV9" s="33">
        <f>KV8*KV7</f>
        <v/>
      </c>
      <c r="KW9" s="33">
        <f>KW8*KW7</f>
        <v/>
      </c>
      <c r="KX9" s="33">
        <f>KX8*KX7</f>
        <v/>
      </c>
      <c r="KY9" s="33">
        <f>KY8*KY7</f>
        <v/>
      </c>
      <c r="KZ9" s="33">
        <f>KZ8*KZ7</f>
        <v/>
      </c>
      <c r="LA9" s="33">
        <f>LA8*LA7</f>
        <v/>
      </c>
      <c r="LB9" s="33">
        <f>LB8*LB7</f>
        <v/>
      </c>
      <c r="LC9" s="33">
        <f>LC8*LC7</f>
        <v/>
      </c>
      <c r="LD9" s="33">
        <f>LD8*LD7</f>
        <v/>
      </c>
      <c r="LE9" s="127">
        <f>SUM(KA9:LD9)</f>
        <v/>
      </c>
      <c r="LF9" s="33">
        <f>LF8*LF7</f>
        <v/>
      </c>
      <c r="LG9" s="33">
        <f>LG8*LG7</f>
        <v/>
      </c>
      <c r="LH9" s="33">
        <f>LH8*LH7</f>
        <v/>
      </c>
      <c r="LI9" s="33">
        <f>LI8*LI7</f>
        <v/>
      </c>
      <c r="LJ9" s="33">
        <f>LJ8*LJ7</f>
        <v/>
      </c>
      <c r="LK9" s="33">
        <f>LK8*LK7</f>
        <v/>
      </c>
      <c r="LL9" s="33">
        <f>LL8*LL7</f>
        <v/>
      </c>
      <c r="LM9" s="33">
        <f>LM8*LM7</f>
        <v/>
      </c>
      <c r="LN9" s="33">
        <f>LN8*LN7</f>
        <v/>
      </c>
      <c r="LO9" s="33">
        <f>LO8*LO7</f>
        <v/>
      </c>
      <c r="LP9" s="33">
        <f>LP8*LP7</f>
        <v/>
      </c>
      <c r="LQ9" s="33">
        <f>LQ8*LQ7</f>
        <v/>
      </c>
      <c r="LR9" s="33">
        <f>LR8*LR7</f>
        <v/>
      </c>
      <c r="LS9" s="33">
        <f>LS8*LS7</f>
        <v/>
      </c>
      <c r="LT9" s="33">
        <f>LT8*LT7</f>
        <v/>
      </c>
      <c r="LU9" s="33">
        <f>LU8*LU7</f>
        <v/>
      </c>
      <c r="LV9" s="33">
        <f>LV8*LV7</f>
        <v/>
      </c>
      <c r="LW9" s="33">
        <f>LW8*LW7</f>
        <v/>
      </c>
      <c r="LX9" s="33">
        <f>LX8*LX7</f>
        <v/>
      </c>
      <c r="LY9" s="33">
        <f>LY8*LY7</f>
        <v/>
      </c>
      <c r="LZ9" s="33">
        <f>LZ8*LZ7</f>
        <v/>
      </c>
      <c r="MA9" s="33">
        <f>MA8*MA7</f>
        <v/>
      </c>
      <c r="MB9" s="33">
        <f>MB8*MB7</f>
        <v/>
      </c>
      <c r="MC9" s="33">
        <f>MC8*MC7</f>
        <v/>
      </c>
      <c r="MD9" s="33">
        <f>MD8*MD7</f>
        <v/>
      </c>
      <c r="ME9" s="33">
        <f>ME8*ME7</f>
        <v/>
      </c>
      <c r="MF9" s="33">
        <f>MF8*MF7</f>
        <v/>
      </c>
      <c r="MG9" s="33">
        <f>MG8*MG7</f>
        <v/>
      </c>
      <c r="MH9" s="33">
        <f>MH8*MH7</f>
        <v/>
      </c>
      <c r="MI9" s="33">
        <f>MI8*MI7</f>
        <v/>
      </c>
      <c r="MJ9" s="127">
        <f>SUM(LF9:MI9)</f>
        <v/>
      </c>
      <c r="MK9" s="33">
        <f>MK8*MK7</f>
        <v/>
      </c>
      <c r="ML9" s="33">
        <f>ML8*ML7</f>
        <v/>
      </c>
      <c r="MM9" s="33">
        <f>MM8*MM7</f>
        <v/>
      </c>
      <c r="MN9" s="33">
        <f>MN8*MN7</f>
        <v/>
      </c>
      <c r="MO9" s="33">
        <f>MO8*MO7</f>
        <v/>
      </c>
      <c r="MP9" s="33">
        <f>MP8*MP7</f>
        <v/>
      </c>
      <c r="MQ9" s="33">
        <f>MQ8*MQ7</f>
        <v/>
      </c>
      <c r="MR9" s="33">
        <f>MR8*MR7</f>
        <v/>
      </c>
      <c r="MS9" s="33">
        <f>MS8*MS7</f>
        <v/>
      </c>
      <c r="MT9" s="33">
        <f>MT8*MT7</f>
        <v/>
      </c>
      <c r="MU9" s="33">
        <f>MU8*MU7</f>
        <v/>
      </c>
      <c r="MV9" s="33">
        <f>MV8*MV7</f>
        <v/>
      </c>
      <c r="MW9" s="33">
        <f>MW8*MW7</f>
        <v/>
      </c>
      <c r="MX9" s="33">
        <f>MX8*MX7</f>
        <v/>
      </c>
      <c r="MY9" s="33">
        <f>MY8*MY7</f>
        <v/>
      </c>
      <c r="MZ9" s="33">
        <f>MZ8*MZ7</f>
        <v/>
      </c>
      <c r="NA9" s="33">
        <f>NA8*NA7</f>
        <v/>
      </c>
      <c r="NB9" s="33">
        <f>NB8*NB7</f>
        <v/>
      </c>
      <c r="NC9" s="33">
        <f>NC8*NC7</f>
        <v/>
      </c>
      <c r="ND9" s="33">
        <f>ND8*ND7</f>
        <v/>
      </c>
      <c r="NE9" s="33">
        <f>NE8*NE7</f>
        <v/>
      </c>
      <c r="NF9" s="33">
        <f>NF8*NF7</f>
        <v/>
      </c>
      <c r="NG9" s="33">
        <f>NG8*NG7</f>
        <v/>
      </c>
      <c r="NH9" s="33">
        <f>NH8*NH7</f>
        <v/>
      </c>
      <c r="NI9" s="33">
        <f>NI8*NI7</f>
        <v/>
      </c>
      <c r="NJ9" s="33">
        <f>NJ8*NJ7</f>
        <v/>
      </c>
      <c r="NK9" s="33">
        <f>NK8*NK7</f>
        <v/>
      </c>
      <c r="NL9" s="33">
        <f>NL8*NL7</f>
        <v/>
      </c>
      <c r="NM9" s="33">
        <f>NM8*NM7</f>
        <v/>
      </c>
      <c r="NN9" s="33">
        <f>NN8*NN7</f>
        <v/>
      </c>
      <c r="NO9" s="33">
        <f>NO8*NO7</f>
        <v/>
      </c>
      <c r="NP9" s="127">
        <f>SUM(ML9:NO9)</f>
        <v/>
      </c>
      <c r="NQ9" s="33">
        <f>NQ8*NQ7</f>
        <v/>
      </c>
      <c r="NR9" s="33">
        <f>NR8*NR7</f>
        <v/>
      </c>
      <c r="NS9" s="33">
        <f>NS8*NS7</f>
        <v/>
      </c>
      <c r="NT9" s="33">
        <f>NT8*NT7</f>
        <v/>
      </c>
      <c r="NU9" s="33">
        <f>NU8*NU7</f>
        <v/>
      </c>
      <c r="NV9" s="33">
        <f>NV8*NV7</f>
        <v/>
      </c>
      <c r="NW9" s="33">
        <f>NW8*NW7</f>
        <v/>
      </c>
      <c r="NX9" s="33">
        <f>NX8*NX7</f>
        <v/>
      </c>
      <c r="NY9" s="33">
        <f>NY8*NY7</f>
        <v/>
      </c>
      <c r="NZ9" s="33">
        <f>NZ8*NZ7</f>
        <v/>
      </c>
      <c r="OA9" s="33">
        <f>OA8*OA7</f>
        <v/>
      </c>
      <c r="OB9" s="33">
        <f>OB8*OB7</f>
        <v/>
      </c>
      <c r="OC9" s="33">
        <f>OC8*OC7</f>
        <v/>
      </c>
      <c r="OD9" s="33">
        <f>OD8*OD7</f>
        <v/>
      </c>
      <c r="OE9" s="33">
        <f>OE8*OE7</f>
        <v/>
      </c>
      <c r="OF9" s="33">
        <f>OF8*OF7</f>
        <v/>
      </c>
      <c r="OG9" s="33">
        <f>OG8*OG7</f>
        <v/>
      </c>
      <c r="OH9" s="33">
        <f>OH8*OH7</f>
        <v/>
      </c>
      <c r="OI9" s="33">
        <f>OI8*OI7</f>
        <v/>
      </c>
      <c r="OJ9" s="33">
        <f>OJ8*OJ7</f>
        <v/>
      </c>
      <c r="OK9" s="33">
        <f>OK8*OK7</f>
        <v/>
      </c>
      <c r="OL9" s="33">
        <f>OL8*OL7</f>
        <v/>
      </c>
      <c r="OM9" s="33">
        <f>OM8*OM7</f>
        <v/>
      </c>
      <c r="ON9" s="33">
        <f>ON8*ON7</f>
        <v/>
      </c>
      <c r="OO9" s="33">
        <f>OO8*OO7</f>
        <v/>
      </c>
      <c r="OP9" s="33">
        <f>OP8*OP7</f>
        <v/>
      </c>
      <c r="OQ9" s="33">
        <f>OQ8*OQ7</f>
        <v/>
      </c>
      <c r="OR9" s="33">
        <f>OR8*OR7</f>
        <v/>
      </c>
      <c r="OS9" s="33">
        <f>OS8*OS7</f>
        <v/>
      </c>
      <c r="OT9" s="33">
        <f>OT8*OT7</f>
        <v/>
      </c>
      <c r="OU9" s="33">
        <f>OU8*OU7</f>
        <v/>
      </c>
      <c r="OV9" s="127">
        <f>SUM(NR9:OU9)</f>
        <v/>
      </c>
      <c r="OW9" s="33">
        <f>OW8*OW7</f>
        <v/>
      </c>
      <c r="OX9" s="33">
        <f>OX8*OX7</f>
        <v/>
      </c>
      <c r="OY9" s="33">
        <f>OY8*OY7</f>
        <v/>
      </c>
      <c r="OZ9" s="33">
        <f>OZ8*OZ7</f>
        <v/>
      </c>
      <c r="PA9" s="33">
        <f>PA8*PA7</f>
        <v/>
      </c>
      <c r="PB9" s="33">
        <f>PB8*PB7</f>
        <v/>
      </c>
      <c r="PC9" s="33">
        <f>PC8*PC7</f>
        <v/>
      </c>
      <c r="PD9" s="33">
        <f>PD8*PD7</f>
        <v/>
      </c>
      <c r="PE9" s="33">
        <f>PE8*PE7</f>
        <v/>
      </c>
      <c r="PF9" s="33">
        <f>PF8*PF7</f>
        <v/>
      </c>
      <c r="PG9" s="33">
        <f>PG8*PG7</f>
        <v/>
      </c>
      <c r="PH9" s="33">
        <f>PH8*PH7</f>
        <v/>
      </c>
      <c r="PI9" s="33">
        <f>PI8*PI7</f>
        <v/>
      </c>
      <c r="PJ9" s="33">
        <f>PJ8*PJ7</f>
        <v/>
      </c>
      <c r="PK9" s="33">
        <f>PK8*PK7</f>
        <v/>
      </c>
      <c r="PL9" s="33">
        <f>PL8*PL7</f>
        <v/>
      </c>
      <c r="PM9" s="33">
        <f>PM8*PM7</f>
        <v/>
      </c>
      <c r="PN9" s="33">
        <f>PN8*PN7</f>
        <v/>
      </c>
      <c r="PO9" s="33">
        <f>PO8*PO7</f>
        <v/>
      </c>
      <c r="PP9" s="33">
        <f>PP8*PP7</f>
        <v/>
      </c>
      <c r="PQ9" s="33">
        <f>PQ8*PQ7</f>
        <v/>
      </c>
      <c r="PR9" s="33">
        <f>PR8*PR7</f>
        <v/>
      </c>
      <c r="PS9" s="33">
        <f>PS8*PS7</f>
        <v/>
      </c>
      <c r="PT9" s="33">
        <f>PT8*PT7</f>
        <v/>
      </c>
      <c r="PU9" s="33">
        <f>PU8*PU7</f>
        <v/>
      </c>
      <c r="PV9" s="33">
        <f>PV8*PV7</f>
        <v/>
      </c>
      <c r="PW9" s="33">
        <f>PW8*PW7</f>
        <v/>
      </c>
      <c r="PX9" s="33">
        <f>PX8*PX7</f>
        <v/>
      </c>
      <c r="PY9" s="33">
        <f>PY8*PY7</f>
        <v/>
      </c>
      <c r="PZ9" s="33">
        <f>PZ8*PZ7</f>
        <v/>
      </c>
      <c r="QA9" s="127">
        <f>SUM(OW9:PZ9)</f>
        <v/>
      </c>
      <c r="QB9" s="33">
        <f>QB8*QB7</f>
        <v/>
      </c>
      <c r="QC9" s="33">
        <f>QC8*QC7</f>
        <v/>
      </c>
      <c r="QD9" s="33">
        <f>QD8*QD7</f>
        <v/>
      </c>
      <c r="QE9" s="33">
        <f>QE8*QE7</f>
        <v/>
      </c>
      <c r="QF9" s="33">
        <f>QF8*QF7</f>
        <v/>
      </c>
      <c r="QG9" s="33">
        <f>QG8*QG7</f>
        <v/>
      </c>
      <c r="QH9" s="33">
        <f>QH8*QH7</f>
        <v/>
      </c>
      <c r="QI9" s="33">
        <f>QI8*QI7</f>
        <v/>
      </c>
      <c r="QJ9" s="33">
        <f>QJ8*QJ7</f>
        <v/>
      </c>
      <c r="QK9" s="33">
        <f>QK8*QK7</f>
        <v/>
      </c>
      <c r="QL9" s="33">
        <f>QL8*QL7</f>
        <v/>
      </c>
      <c r="QM9" s="33">
        <f>QM8*QM7</f>
        <v/>
      </c>
      <c r="QN9" s="33">
        <f>QN8*QN7</f>
        <v/>
      </c>
      <c r="QO9" s="33">
        <f>QO8*QO7</f>
        <v/>
      </c>
      <c r="QP9" s="33">
        <f>QP8*QP7</f>
        <v/>
      </c>
      <c r="QQ9" s="33">
        <f>QQ8*QQ7</f>
        <v/>
      </c>
      <c r="QR9" s="33">
        <f>QR8*QR7</f>
        <v/>
      </c>
      <c r="QS9" s="33">
        <f>QS8*QS7</f>
        <v/>
      </c>
      <c r="QT9" s="33">
        <f>QT8*QT7</f>
        <v/>
      </c>
      <c r="QU9" s="33">
        <f>QU8*QU7</f>
        <v/>
      </c>
      <c r="QV9" s="33">
        <f>QV8*QV7</f>
        <v/>
      </c>
      <c r="QW9" s="33">
        <f>QW8*QW7</f>
        <v/>
      </c>
      <c r="QX9" s="33">
        <f>QX8*QX7</f>
        <v/>
      </c>
      <c r="QY9" s="33">
        <f>QY8*QY7</f>
        <v/>
      </c>
      <c r="QZ9" s="33">
        <f>QZ8*QZ7</f>
        <v/>
      </c>
      <c r="RA9" s="33">
        <f>RA8*RA7</f>
        <v/>
      </c>
      <c r="RB9" s="33">
        <f>RB8*RB7</f>
        <v/>
      </c>
      <c r="RC9" s="33">
        <f>RC8*RC7</f>
        <v/>
      </c>
      <c r="RD9" s="33">
        <f>RD8*RD7</f>
        <v/>
      </c>
      <c r="RE9" s="33">
        <f>RE8*RE7</f>
        <v/>
      </c>
      <c r="RF9" s="33">
        <f>RF8*RF7</f>
        <v/>
      </c>
      <c r="RG9" s="127">
        <f>SUM(QC9:RF9)</f>
        <v/>
      </c>
      <c r="RH9" s="33">
        <f>RH8*RH7</f>
        <v/>
      </c>
      <c r="RI9" s="33">
        <f>RI8*RI7</f>
        <v/>
      </c>
      <c r="RJ9" s="33">
        <f>RJ8*RJ7</f>
        <v/>
      </c>
      <c r="RK9" s="33">
        <f>RK8*RK7</f>
        <v/>
      </c>
      <c r="RL9" s="33">
        <f>RL8*RL7</f>
        <v/>
      </c>
      <c r="RM9" s="33">
        <f>RM8*RM7</f>
        <v/>
      </c>
      <c r="RN9" s="33">
        <f>RN8*RN7</f>
        <v/>
      </c>
      <c r="RO9" s="33">
        <f>RO8*RO7</f>
        <v/>
      </c>
      <c r="RP9" s="33">
        <f>RP8*RP7</f>
        <v/>
      </c>
      <c r="RQ9" s="33">
        <f>RQ8*RQ7</f>
        <v/>
      </c>
      <c r="RR9" s="33">
        <f>RR8*RR7</f>
        <v/>
      </c>
      <c r="RS9" s="33">
        <f>RS8*RS7</f>
        <v/>
      </c>
      <c r="RT9" s="33">
        <f>RT8*RT7</f>
        <v/>
      </c>
      <c r="RU9" s="33">
        <f>RU8*RU7</f>
        <v/>
      </c>
      <c r="RV9" s="33">
        <f>RV8*RV7</f>
        <v/>
      </c>
      <c r="RW9" s="33">
        <f>RW8*RW7</f>
        <v/>
      </c>
      <c r="RX9" s="33">
        <f>RX8*RX7</f>
        <v/>
      </c>
      <c r="RY9" s="33">
        <f>RY8*RY7</f>
        <v/>
      </c>
      <c r="RZ9" s="33">
        <f>RZ8*RZ7</f>
        <v/>
      </c>
      <c r="SA9" s="33">
        <f>SA8*SA7</f>
        <v/>
      </c>
      <c r="SB9" s="33">
        <f>SB8*SB7</f>
        <v/>
      </c>
      <c r="SC9" s="33">
        <f>SC8*SC7</f>
        <v/>
      </c>
      <c r="SD9" s="33">
        <f>SD8*SD7</f>
        <v/>
      </c>
      <c r="SE9" s="33">
        <f>SE8*SE7</f>
        <v/>
      </c>
      <c r="SF9" s="33">
        <f>SF8*SF7</f>
        <v/>
      </c>
      <c r="SG9" s="33">
        <f>SG8*SG7</f>
        <v/>
      </c>
      <c r="SH9" s="33">
        <f>SH8*SH7</f>
        <v/>
      </c>
      <c r="SI9" s="33">
        <f>SI8*SI7</f>
        <v/>
      </c>
      <c r="SJ9" s="33">
        <f>SJ8*SJ7</f>
        <v/>
      </c>
      <c r="SK9" s="33">
        <f>SK8*SK7</f>
        <v/>
      </c>
      <c r="SL9" s="127">
        <f>SL8*SL7</f>
        <v/>
      </c>
      <c r="SM9" s="33">
        <f>SM8*SM7</f>
        <v/>
      </c>
      <c r="SN9" s="33">
        <f>SN8*SN7</f>
        <v/>
      </c>
      <c r="SO9" s="33">
        <f>SO8*SO7</f>
        <v/>
      </c>
      <c r="SP9" s="33">
        <f>SP8*SP7</f>
        <v/>
      </c>
      <c r="SQ9" s="33">
        <f>SQ8*SQ7</f>
        <v/>
      </c>
      <c r="SR9" s="33">
        <f>SR8*SR7</f>
        <v/>
      </c>
      <c r="SS9" s="33">
        <f>SS8*SS7</f>
        <v/>
      </c>
      <c r="ST9" s="33">
        <f>ST8*ST7</f>
        <v/>
      </c>
      <c r="SU9" s="33">
        <f>SU8*SU7</f>
        <v/>
      </c>
      <c r="SV9" s="33">
        <f>SV8*SV7</f>
        <v/>
      </c>
      <c r="SW9" s="33">
        <f>SW8*SW7</f>
        <v/>
      </c>
      <c r="SX9" s="33">
        <f>SX8*SX7</f>
        <v/>
      </c>
      <c r="SY9" s="33">
        <f>SY8*SY7</f>
        <v/>
      </c>
      <c r="SZ9" s="33">
        <f>SZ8*SZ7</f>
        <v/>
      </c>
      <c r="TA9" s="33">
        <f>TA8*TA7</f>
        <v/>
      </c>
      <c r="TB9" s="33">
        <f>TB8*TB7</f>
        <v/>
      </c>
      <c r="TC9" s="33">
        <f>TC8*TC7</f>
        <v/>
      </c>
      <c r="TD9" s="33">
        <f>TD8*TD7</f>
        <v/>
      </c>
      <c r="TE9" s="33">
        <f>TE8*TE7</f>
        <v/>
      </c>
      <c r="TF9" s="33">
        <f>TF8*TF7</f>
        <v/>
      </c>
      <c r="TG9" s="33">
        <f>TG8*TG7</f>
        <v/>
      </c>
      <c r="TH9" s="33">
        <f>TH8*TH7</f>
        <v/>
      </c>
      <c r="TI9" s="33">
        <f>TI8*TI7</f>
        <v/>
      </c>
      <c r="TJ9" s="33">
        <f>TJ8*TJ7</f>
        <v/>
      </c>
      <c r="TK9" s="33">
        <f>TK8*TK7</f>
        <v/>
      </c>
      <c r="TL9" s="33">
        <f>TL8*TL7</f>
        <v/>
      </c>
      <c r="TM9" s="33">
        <f>TM8*TM7</f>
        <v/>
      </c>
      <c r="TN9" s="33">
        <f>TN8*TN7</f>
        <v/>
      </c>
      <c r="TO9" s="33">
        <f>TO8*TO7</f>
        <v/>
      </c>
      <c r="TP9" s="33">
        <f>TP8*TP7</f>
        <v/>
      </c>
      <c r="TQ9" s="33">
        <f>TQ8*TQ7</f>
        <v/>
      </c>
      <c r="TR9" s="127">
        <f>TR8*TR7</f>
        <v/>
      </c>
      <c r="TS9" s="33">
        <f>TS8*TS7</f>
        <v/>
      </c>
      <c r="TT9" s="33">
        <f>TT8*TT7</f>
        <v/>
      </c>
      <c r="TU9" s="33">
        <f>TU8*TU7</f>
        <v/>
      </c>
      <c r="TV9" s="33">
        <f>TV8*TV7</f>
        <v/>
      </c>
      <c r="TW9" s="33">
        <f>TW8*TW7</f>
        <v/>
      </c>
      <c r="TX9" s="33">
        <f>TX8*TX7</f>
        <v/>
      </c>
      <c r="TY9" s="33">
        <f>TY8*TY7</f>
        <v/>
      </c>
      <c r="TZ9" s="33">
        <f>TZ8*TZ7</f>
        <v/>
      </c>
      <c r="UA9" s="33">
        <f>UA8*UA7</f>
        <v/>
      </c>
      <c r="UB9" s="33">
        <f>UB8*UB7</f>
        <v/>
      </c>
      <c r="UC9" s="33">
        <f>UC8*UC7</f>
        <v/>
      </c>
      <c r="UD9" s="33">
        <f>UD8*UD7</f>
        <v/>
      </c>
      <c r="UE9" s="33">
        <f>UE8*UE7</f>
        <v/>
      </c>
      <c r="UF9" s="33">
        <f>UF8*UF7</f>
        <v/>
      </c>
      <c r="UG9" s="33">
        <f>UG8*UG7</f>
        <v/>
      </c>
      <c r="UH9" s="33">
        <f>UH8*UH7</f>
        <v/>
      </c>
      <c r="UI9" s="33">
        <f>UI8*UI7</f>
        <v/>
      </c>
      <c r="UJ9" s="33">
        <f>UJ8*UJ7</f>
        <v/>
      </c>
      <c r="UK9" s="33">
        <f>UK8*UK7</f>
        <v/>
      </c>
      <c r="UL9" s="33">
        <f>UL8*UL7</f>
        <v/>
      </c>
      <c r="UM9" s="33">
        <f>UM8*UM7</f>
        <v/>
      </c>
      <c r="UN9" s="33">
        <f>UN8*UN7</f>
        <v/>
      </c>
      <c r="UO9" s="33">
        <f>UO8*UO7</f>
        <v/>
      </c>
      <c r="UP9" s="33">
        <f>UP8*UP7</f>
        <v/>
      </c>
      <c r="UQ9" s="33">
        <f>UQ8*UQ7</f>
        <v/>
      </c>
      <c r="UR9" s="33">
        <f>UR8*UR7</f>
        <v/>
      </c>
      <c r="US9" s="33">
        <f>US8*US7</f>
        <v/>
      </c>
      <c r="UT9" s="33">
        <f>UT8*UT7</f>
        <v/>
      </c>
      <c r="UU9" s="33">
        <f>UU8*UU7</f>
        <v/>
      </c>
      <c r="UV9" s="33">
        <f>UV8*UV7</f>
        <v/>
      </c>
      <c r="UW9" s="33">
        <f>UW8*UW7</f>
        <v/>
      </c>
      <c r="UX9" s="127">
        <f>UX8*UX7</f>
        <v/>
      </c>
      <c r="UY9" s="33">
        <f>UY8*UY7</f>
        <v/>
      </c>
      <c r="UZ9" s="33">
        <f>UZ8*UZ7</f>
        <v/>
      </c>
      <c r="VA9" s="33">
        <f>VA8*VA7</f>
        <v/>
      </c>
      <c r="VB9" s="33">
        <f>VB8*VB7</f>
        <v/>
      </c>
      <c r="VC9" s="33">
        <f>VC8*VC7</f>
        <v/>
      </c>
      <c r="VD9" s="33">
        <f>VD8*VD7</f>
        <v/>
      </c>
      <c r="VE9" s="33">
        <f>VE8*VE7</f>
        <v/>
      </c>
      <c r="VF9" s="33">
        <f>VF8*VF7</f>
        <v/>
      </c>
      <c r="VG9" s="33">
        <f>VG8*VG7</f>
        <v/>
      </c>
      <c r="VH9" s="33">
        <f>VH8*VH7</f>
        <v/>
      </c>
      <c r="VI9" s="33">
        <f>VI8*VI7</f>
        <v/>
      </c>
      <c r="VJ9" s="33">
        <f>VJ8*VJ7</f>
        <v/>
      </c>
      <c r="VK9" s="33">
        <f>VK8*VK7</f>
        <v/>
      </c>
      <c r="VL9" s="33">
        <f>VL8*VL7</f>
        <v/>
      </c>
      <c r="VM9" s="33">
        <f>VM8*VM7</f>
        <v/>
      </c>
      <c r="VN9" s="33">
        <f>VN8*VN7</f>
        <v/>
      </c>
      <c r="VO9" s="33">
        <f>VO8*VO7</f>
        <v/>
      </c>
      <c r="VP9" s="33">
        <f>VP8*VP7</f>
        <v/>
      </c>
      <c r="VQ9" s="33">
        <f>VQ8*VQ7</f>
        <v/>
      </c>
      <c r="VR9" s="33">
        <f>VR8*VR7</f>
        <v/>
      </c>
      <c r="VS9" s="33">
        <f>VS8*VS7</f>
        <v/>
      </c>
      <c r="VT9" s="33">
        <f>VT8*VT7</f>
        <v/>
      </c>
      <c r="VU9" s="33">
        <f>VU8*VU7</f>
        <v/>
      </c>
      <c r="VV9" s="33">
        <f>VV8*VV7</f>
        <v/>
      </c>
      <c r="VW9" s="33">
        <f>VW8*VW7</f>
        <v/>
      </c>
      <c r="VX9" s="33">
        <f>VX8*VX7</f>
        <v/>
      </c>
      <c r="VY9" s="33">
        <f>VY8*VY7</f>
        <v/>
      </c>
      <c r="VZ9" s="33">
        <f>VZ8*VZ7</f>
        <v/>
      </c>
      <c r="WA9" s="127">
        <f>WA8*WA7</f>
        <v/>
      </c>
      <c r="WB9" s="33">
        <f>WB8*WB7</f>
        <v/>
      </c>
      <c r="WC9" s="33">
        <f>WC8*WC7</f>
        <v/>
      </c>
      <c r="WD9" s="33">
        <f>WD8*WD7</f>
        <v/>
      </c>
      <c r="WE9" s="33">
        <f>WE8*WE7</f>
        <v/>
      </c>
      <c r="WF9" s="33">
        <f>WF8*WF7</f>
        <v/>
      </c>
      <c r="WG9" s="33">
        <f>WG8*WG7</f>
        <v/>
      </c>
      <c r="WH9" s="33">
        <f>WH8*WH7</f>
        <v/>
      </c>
      <c r="WI9" s="33">
        <f>WI8*WI7</f>
        <v/>
      </c>
      <c r="WJ9" s="33">
        <f>WJ8*WJ7</f>
        <v/>
      </c>
      <c r="WK9" s="33">
        <f>WK8*WK7</f>
        <v/>
      </c>
      <c r="WL9" s="33">
        <f>WL8*WL7</f>
        <v/>
      </c>
      <c r="WM9" s="33">
        <f>WM8*WM7</f>
        <v/>
      </c>
      <c r="WN9" s="33">
        <f>WN8*WN7</f>
        <v/>
      </c>
      <c r="WO9" s="33">
        <f>WO8*WO7</f>
        <v/>
      </c>
      <c r="WP9" s="33">
        <f>WP8*WP7</f>
        <v/>
      </c>
      <c r="WQ9" s="33">
        <f>WQ8*WQ7</f>
        <v/>
      </c>
      <c r="WR9" s="33">
        <f>WR8*WR7</f>
        <v/>
      </c>
      <c r="WS9" s="33">
        <f>WS8*WS7</f>
        <v/>
      </c>
      <c r="WT9" s="33">
        <f>WT8*WT7</f>
        <v/>
      </c>
      <c r="WU9" s="33">
        <f>WU8*WU7</f>
        <v/>
      </c>
      <c r="WV9" s="33">
        <f>WV8*WV7</f>
        <v/>
      </c>
      <c r="WW9" s="33">
        <f>WW8*WW7</f>
        <v/>
      </c>
      <c r="WX9" s="33">
        <f>WX8*WX7</f>
        <v/>
      </c>
      <c r="WY9" s="33">
        <f>WY8*WY7</f>
        <v/>
      </c>
      <c r="WZ9" s="33">
        <f>WZ8*WZ7</f>
        <v/>
      </c>
      <c r="XA9" s="33">
        <f>XA8*XA7</f>
        <v/>
      </c>
      <c r="XB9" s="33">
        <f>XB8*XB7</f>
        <v/>
      </c>
      <c r="XC9" s="33">
        <f>XC8*XC7</f>
        <v/>
      </c>
      <c r="XD9" s="33">
        <f>XD8*XD7</f>
        <v/>
      </c>
      <c r="XE9" s="33">
        <f>XE8*XE7</f>
        <v/>
      </c>
      <c r="XF9" s="33">
        <f>XF8*XF7</f>
        <v/>
      </c>
      <c r="XG9" s="127">
        <f>SUM(WB9:XF9)</f>
        <v/>
      </c>
      <c r="XH9" s="33">
        <f>XH8*XH7</f>
        <v/>
      </c>
      <c r="XI9" s="33">
        <f>XI8*XI7</f>
        <v/>
      </c>
      <c r="XJ9" s="33">
        <f>XJ8*XJ7</f>
        <v/>
      </c>
      <c r="XK9" s="33">
        <f>XK8*XK7</f>
        <v/>
      </c>
      <c r="XL9" s="33">
        <f>XL8*XL7</f>
        <v/>
      </c>
      <c r="XM9" s="33">
        <f>XM8*XM7</f>
        <v/>
      </c>
      <c r="XN9" s="33">
        <f>XN8*XN7</f>
        <v/>
      </c>
      <c r="XO9" s="33">
        <f>XO8*XO7</f>
        <v/>
      </c>
      <c r="XP9" s="33">
        <f>XP8*XP7</f>
        <v/>
      </c>
      <c r="XQ9" s="33">
        <f>XQ8*XQ7</f>
        <v/>
      </c>
      <c r="XR9" s="33">
        <f>XR8*XR7</f>
        <v/>
      </c>
      <c r="XS9" s="33">
        <f>XS8*XS7</f>
        <v/>
      </c>
      <c r="XT9" s="33">
        <f>XT8*XT7</f>
        <v/>
      </c>
      <c r="XU9" s="33">
        <f>XU8*XU7</f>
        <v/>
      </c>
      <c r="XV9" s="33">
        <f>XV8*XV7</f>
        <v/>
      </c>
      <c r="XW9" s="33">
        <f>XW8*XW7</f>
        <v/>
      </c>
      <c r="XX9" s="33">
        <f>XX8*XX7</f>
        <v/>
      </c>
      <c r="XY9" s="33">
        <f>XY8*XY7</f>
        <v/>
      </c>
      <c r="XZ9" s="33">
        <f>XZ8*XZ7</f>
        <v/>
      </c>
      <c r="YA9" s="33">
        <f>YA8*YA7</f>
        <v/>
      </c>
      <c r="YB9" s="33">
        <f>YB8*YB7</f>
        <v/>
      </c>
      <c r="YC9" s="33">
        <f>YC8*YC7</f>
        <v/>
      </c>
      <c r="YD9" s="33">
        <f>YD8*YD7</f>
        <v/>
      </c>
      <c r="YE9" s="33">
        <f>YE8*YE7</f>
        <v/>
      </c>
      <c r="YF9" s="33">
        <f>YF8*YF7</f>
        <v/>
      </c>
      <c r="YG9" s="33">
        <f>YG8*YG7</f>
        <v/>
      </c>
      <c r="YH9" s="33">
        <f>YH8*YH7</f>
        <v/>
      </c>
      <c r="YI9" s="33">
        <f>YI8*YI7</f>
        <v/>
      </c>
      <c r="YJ9" s="33">
        <f>YJ8*YJ7</f>
        <v/>
      </c>
      <c r="YK9" s="33">
        <f>YK8*YK7</f>
        <v/>
      </c>
      <c r="YL9" s="127">
        <f>SUM(XH9:YK9)</f>
        <v/>
      </c>
      <c r="YM9" s="33">
        <f>YM8*YM7</f>
        <v/>
      </c>
      <c r="YN9" s="33">
        <f>YN8*YN7</f>
        <v/>
      </c>
      <c r="YO9" s="33">
        <f>YO8*YO7</f>
        <v/>
      </c>
      <c r="YP9" s="33">
        <f>YP8*YP7</f>
        <v/>
      </c>
      <c r="YQ9" s="33">
        <f>YQ8*YQ7</f>
        <v/>
      </c>
      <c r="YR9" s="33">
        <f>YR8*YR7</f>
        <v/>
      </c>
      <c r="YS9" s="33">
        <f>YS8*YS7</f>
        <v/>
      </c>
      <c r="YT9" s="33">
        <f>YT8*YT7</f>
        <v/>
      </c>
      <c r="YU9" s="33">
        <f>YU8*YU7</f>
        <v/>
      </c>
      <c r="YV9" s="33">
        <f>YV8*YV7</f>
        <v/>
      </c>
      <c r="YW9" s="33">
        <f>YW8*YW7</f>
        <v/>
      </c>
      <c r="YX9" s="33">
        <f>YX8*YX7</f>
        <v/>
      </c>
      <c r="YY9" s="33">
        <f>YY8*YY7</f>
        <v/>
      </c>
      <c r="YZ9" s="33">
        <f>YZ8*YZ7</f>
        <v/>
      </c>
      <c r="ZA9" s="33">
        <f>ZA8*ZA7</f>
        <v/>
      </c>
      <c r="ZB9" s="33">
        <f>ZB8*ZB7</f>
        <v/>
      </c>
      <c r="ZC9" s="33">
        <f>ZC8*ZC7</f>
        <v/>
      </c>
      <c r="ZD9" s="33">
        <f>ZD8*ZD7</f>
        <v/>
      </c>
      <c r="ZE9" s="33">
        <f>ZE8*ZE7</f>
        <v/>
      </c>
      <c r="ZF9" s="33">
        <f>ZF8*ZF7</f>
        <v/>
      </c>
      <c r="ZG9" s="33">
        <f>ZG8*ZG7</f>
        <v/>
      </c>
      <c r="ZH9" s="33">
        <f>ZH8*ZH7</f>
        <v/>
      </c>
      <c r="ZI9" s="33">
        <f>ZI8*ZI7</f>
        <v/>
      </c>
      <c r="ZJ9" s="33">
        <f>ZJ8*ZJ7</f>
        <v/>
      </c>
      <c r="ZK9" s="33">
        <f>ZK8*ZK7</f>
        <v/>
      </c>
      <c r="ZL9" s="33">
        <f>ZL8*ZL7</f>
        <v/>
      </c>
      <c r="ZM9" s="33">
        <f>ZM8*ZM7</f>
        <v/>
      </c>
      <c r="ZN9" s="33">
        <f>ZN8*ZN7</f>
        <v/>
      </c>
      <c r="ZO9" s="33">
        <f>ZO8*ZO7</f>
        <v/>
      </c>
      <c r="ZP9" s="33">
        <f>ZP8*ZP7</f>
        <v/>
      </c>
      <c r="ZQ9" s="33">
        <f>ZQ8*ZQ7</f>
        <v/>
      </c>
      <c r="ZR9" s="127">
        <f>SUM(YN9:ZQ9)</f>
        <v/>
      </c>
      <c r="ZS9" s="33">
        <f>ZS8*ZS7</f>
        <v/>
      </c>
      <c r="ZT9" s="33">
        <f>ZT8*ZT7</f>
        <v/>
      </c>
      <c r="ZU9" s="33">
        <f>ZU8*ZU7</f>
        <v/>
      </c>
      <c r="ZV9" s="33">
        <f>ZV8*ZV7</f>
        <v/>
      </c>
      <c r="ZW9" s="33">
        <f>ZW8*ZW7</f>
        <v/>
      </c>
      <c r="ZX9" s="33">
        <f>ZX8*ZX7</f>
        <v/>
      </c>
      <c r="ZY9" s="33">
        <f>ZY8*ZY7</f>
        <v/>
      </c>
      <c r="ZZ9" s="33">
        <f>ZZ8*ZZ7</f>
        <v/>
      </c>
      <c r="AAA9" s="33">
        <f>AAA8*AAA7</f>
        <v/>
      </c>
      <c r="AAB9" s="33">
        <f>AAB8*AAB7</f>
        <v/>
      </c>
      <c r="AAC9" s="33">
        <f>AAC8*AAC7</f>
        <v/>
      </c>
      <c r="AAD9" s="33">
        <f>AAD8*AAD7</f>
        <v/>
      </c>
      <c r="AAE9" s="33">
        <f>AAE8*AAE7</f>
        <v/>
      </c>
      <c r="AAF9" s="33">
        <f>AAF8*AAF7</f>
        <v/>
      </c>
      <c r="AAG9" s="33">
        <f>AAG8*AAG7</f>
        <v/>
      </c>
      <c r="AAH9" s="33">
        <f>AAH8*AAH7</f>
        <v/>
      </c>
      <c r="AAI9" s="33">
        <f>AAI8*AAI7</f>
        <v/>
      </c>
      <c r="AAJ9" s="33">
        <f>AAJ8*AAJ7</f>
        <v/>
      </c>
      <c r="AAK9" s="33">
        <f>AAK8*AAK7</f>
        <v/>
      </c>
      <c r="AAL9" s="33">
        <f>AAL8*AAL7</f>
        <v/>
      </c>
      <c r="AAM9" s="33">
        <f>AAM8*AAM7</f>
        <v/>
      </c>
      <c r="AAN9" s="33">
        <f>AAN8*AAN7</f>
        <v/>
      </c>
      <c r="AAO9" s="33">
        <f>AAO8*AAO7</f>
        <v/>
      </c>
      <c r="AAP9" s="33">
        <f>AAP8*AAP7</f>
        <v/>
      </c>
      <c r="AAQ9" s="33">
        <f>AAQ8*AAQ7</f>
        <v/>
      </c>
      <c r="AAR9" s="33">
        <f>AAR8*AAR7</f>
        <v/>
      </c>
      <c r="AAS9" s="33">
        <f>AAS8*AAS7</f>
        <v/>
      </c>
      <c r="AAT9" s="33">
        <f>AAT8*AAT7</f>
        <v/>
      </c>
      <c r="AAU9" s="33">
        <f>AAU8*AAU7</f>
        <v/>
      </c>
      <c r="AAV9" s="33">
        <f>AAV8*AAV7</f>
        <v/>
      </c>
      <c r="AAW9" s="127">
        <f>SUM(ZS9:AAV9)</f>
        <v/>
      </c>
      <c r="AAX9" s="33">
        <f>AAX8*AAX7</f>
        <v/>
      </c>
      <c r="AAY9" s="33">
        <f>AAY8*AAY7</f>
        <v/>
      </c>
      <c r="AAZ9" s="33">
        <f>AAZ8*AAZ7</f>
        <v/>
      </c>
      <c r="ABA9" s="33">
        <f>ABA8*ABA7</f>
        <v/>
      </c>
      <c r="ABB9" s="33">
        <f>ABB8*ABB7</f>
        <v/>
      </c>
      <c r="ABC9" s="33">
        <f>ABC8*ABC7</f>
        <v/>
      </c>
      <c r="ABD9" s="33">
        <f>ABD8*ABD7</f>
        <v/>
      </c>
      <c r="ABE9" s="33">
        <f>ABE8*ABE7</f>
        <v/>
      </c>
      <c r="ABF9" s="33">
        <f>ABF8*ABF7</f>
        <v/>
      </c>
      <c r="ABG9" s="33">
        <f>ABG8*ABG7</f>
        <v/>
      </c>
      <c r="ABH9" s="33">
        <f>ABH8*ABH7</f>
        <v/>
      </c>
      <c r="ABI9" s="33">
        <f>ABI8*ABI7</f>
        <v/>
      </c>
      <c r="ABJ9" s="33">
        <f>ABJ8*ABJ7</f>
        <v/>
      </c>
      <c r="ABK9" s="33">
        <f>ABK8*ABK7</f>
        <v/>
      </c>
      <c r="ABL9" s="33">
        <f>ABL8*ABL7</f>
        <v/>
      </c>
      <c r="ABM9" s="33">
        <f>ABM8*ABM7</f>
        <v/>
      </c>
      <c r="ABN9" s="33">
        <f>ABN8*ABN7</f>
        <v/>
      </c>
      <c r="ABO9" s="33">
        <f>ABO8*ABO7</f>
        <v/>
      </c>
      <c r="ABP9" s="33">
        <f>ABP8*ABP7</f>
        <v/>
      </c>
      <c r="ABQ9" s="33">
        <f>ABQ8*ABQ7</f>
        <v/>
      </c>
      <c r="ABR9" s="33">
        <f>ABR8*ABR7</f>
        <v/>
      </c>
      <c r="ABS9" s="33">
        <f>ABS8*ABS7</f>
        <v/>
      </c>
      <c r="ABT9" s="33">
        <f>ABT8*ABT7</f>
        <v/>
      </c>
      <c r="ABU9" s="33">
        <f>ABU8*ABU7</f>
        <v/>
      </c>
      <c r="ABV9" s="33">
        <f>ABV8*ABV7</f>
        <v/>
      </c>
      <c r="ABW9" s="33">
        <f>ABW8*ABW7</f>
        <v/>
      </c>
      <c r="ABX9" s="33">
        <f>ABX8*ABX7</f>
        <v/>
      </c>
      <c r="ABY9" s="33">
        <f>ABY8*ABY7</f>
        <v/>
      </c>
      <c r="ABZ9" s="33">
        <f>ABZ8*ABZ7</f>
        <v/>
      </c>
      <c r="ACA9" s="33">
        <f>ACA8*ACA7</f>
        <v/>
      </c>
      <c r="ACB9" s="33">
        <f>ACB8*ACB7</f>
        <v/>
      </c>
      <c r="ACC9" s="127">
        <f>SUM(AAX9:ACB9)</f>
        <v/>
      </c>
      <c r="ACD9" s="33">
        <f>ACD8*ACD7</f>
        <v/>
      </c>
      <c r="ACE9" s="33">
        <f>ACE8*ACE7</f>
        <v/>
      </c>
      <c r="ACF9" s="33">
        <f>ACF8*ACF7</f>
        <v/>
      </c>
      <c r="ACG9" s="33">
        <f>ACG8*ACG7</f>
        <v/>
      </c>
      <c r="ACH9" s="33">
        <f>ACH8*ACH7</f>
        <v/>
      </c>
      <c r="ACI9" s="33">
        <f>ACI8*ACI7</f>
        <v/>
      </c>
      <c r="ACJ9" s="33">
        <f>ACJ8*ACJ7</f>
        <v/>
      </c>
      <c r="ACK9" s="33">
        <f>ACK8*ACK7</f>
        <v/>
      </c>
      <c r="ACL9" s="33">
        <f>ACL8*ACL7</f>
        <v/>
      </c>
      <c r="ACM9" s="33">
        <f>ACM8*ACM7</f>
        <v/>
      </c>
      <c r="ACN9" s="33">
        <f>ACN8*ACN7</f>
        <v/>
      </c>
      <c r="ACO9" s="33">
        <f>ACO8*ACO7</f>
        <v/>
      </c>
      <c r="ACP9" s="33">
        <f>ACP8*ACP7</f>
        <v/>
      </c>
      <c r="ACQ9" s="33">
        <f>ACQ8*ACQ7</f>
        <v/>
      </c>
      <c r="ACR9" s="33">
        <f>ACR8*ACR7</f>
        <v/>
      </c>
      <c r="ACS9" s="33">
        <f>ACS8*ACS7</f>
        <v/>
      </c>
      <c r="ACT9" s="33">
        <f>ACT8*ACT7</f>
        <v/>
      </c>
      <c r="ACU9" s="33">
        <f>ACU8*ACU7</f>
        <v/>
      </c>
      <c r="ACV9" s="33">
        <f>ACV8*ACV7</f>
        <v/>
      </c>
      <c r="ACW9" s="33">
        <f>ACW8*ACW7</f>
        <v/>
      </c>
      <c r="ACX9" s="33">
        <f>ACX8*ACX7</f>
        <v/>
      </c>
      <c r="ACY9" s="33">
        <f>ACY8*ACY7</f>
        <v/>
      </c>
      <c r="ACZ9" s="33">
        <f>ACZ8*ACZ7</f>
        <v/>
      </c>
      <c r="ADA9" s="33">
        <f>ADA8*ADA7</f>
        <v/>
      </c>
      <c r="ADB9" s="33">
        <f>ADB8*ADB7</f>
        <v/>
      </c>
      <c r="ADC9" s="33">
        <f>ADC8*ADC7</f>
        <v/>
      </c>
      <c r="ADD9" s="33">
        <f>ADD8*ADD7</f>
        <v/>
      </c>
      <c r="ADE9" s="33">
        <f>ADE8*ADE7</f>
        <v/>
      </c>
      <c r="ADF9" s="33">
        <f>ADF8*ADF7</f>
        <v/>
      </c>
      <c r="ADG9" s="33">
        <f>ADG8*ADG7</f>
        <v/>
      </c>
      <c r="ADH9" s="33">
        <f>ADH8*ADH7</f>
        <v/>
      </c>
      <c r="ADI9" s="127">
        <f>SUM(ACD9:ADH9)</f>
        <v/>
      </c>
      <c r="ADJ9" s="33">
        <f>ADJ8*ADJ7</f>
        <v/>
      </c>
      <c r="ADK9" s="33">
        <f>ADK8*ADK7</f>
        <v/>
      </c>
      <c r="ADL9" s="33">
        <f>ADL8*ADL7</f>
        <v/>
      </c>
      <c r="ADM9" s="33">
        <f>ADM8*ADM7</f>
        <v/>
      </c>
      <c r="ADN9" s="33">
        <f>ADN8*ADN7</f>
        <v/>
      </c>
      <c r="ADO9" s="33">
        <f>ADO8*ADO7</f>
        <v/>
      </c>
      <c r="ADP9" s="33">
        <f>ADP8*ADP7</f>
        <v/>
      </c>
      <c r="ADQ9" s="33">
        <f>ADQ8*ADQ7</f>
        <v/>
      </c>
      <c r="ADR9" s="33">
        <f>ADR8*ADR7</f>
        <v/>
      </c>
      <c r="ADS9" s="33">
        <f>ADS8*ADS7</f>
        <v/>
      </c>
      <c r="ADT9" s="33">
        <f>ADT8*ADT7</f>
        <v/>
      </c>
      <c r="ADU9" s="33">
        <f>ADU8*ADU7</f>
        <v/>
      </c>
      <c r="ADV9" s="33">
        <f>ADV8*ADV7</f>
        <v/>
      </c>
      <c r="ADW9" s="33">
        <f>ADW8*ADW7</f>
        <v/>
      </c>
      <c r="ADX9" s="33">
        <f>ADX8*ADX7</f>
        <v/>
      </c>
      <c r="ADY9" s="33">
        <f>ADY8*ADY7</f>
        <v/>
      </c>
      <c r="ADZ9" s="33">
        <f>ADZ8*ADZ7</f>
        <v/>
      </c>
      <c r="AEA9" s="33">
        <f>AEA8*AEA7</f>
        <v/>
      </c>
      <c r="AEB9" s="33">
        <f>AEB8*AEB7</f>
        <v/>
      </c>
      <c r="AEC9" s="33">
        <f>AEC8*AEC7</f>
        <v/>
      </c>
      <c r="AED9" s="33">
        <f>AED8*AED7</f>
        <v/>
      </c>
      <c r="AEE9" s="33">
        <f>AEE8*AEE7</f>
        <v/>
      </c>
      <c r="AEF9" s="33">
        <f>AEF8*AEF7</f>
        <v/>
      </c>
      <c r="AEG9" s="33">
        <f>AEG8*AEG7</f>
        <v/>
      </c>
      <c r="AEH9" s="33">
        <f>AEH8*AEH7</f>
        <v/>
      </c>
      <c r="AEI9" s="33">
        <f>AEI8*AEI7</f>
        <v/>
      </c>
      <c r="AEJ9" s="33">
        <f>AEJ8*AEJ7</f>
        <v/>
      </c>
      <c r="AEK9" s="33">
        <f>AEK8*AEK7</f>
        <v/>
      </c>
      <c r="AEL9" s="33">
        <f>AEL8*AEL7</f>
        <v/>
      </c>
      <c r="AEM9" s="33">
        <f>AEM8*AEM7</f>
        <v/>
      </c>
      <c r="AEN9" s="127">
        <f>SUM(ADJ9:AEM9)</f>
        <v/>
      </c>
      <c r="AEO9" s="33">
        <f>AEO8*AEO7</f>
        <v/>
      </c>
      <c r="AEP9" s="33">
        <f>AEP8*AEP7</f>
        <v/>
      </c>
      <c r="AEQ9" s="33">
        <f>AEQ8*AEQ7</f>
        <v/>
      </c>
      <c r="AER9" s="33">
        <f>AER8*AER7</f>
        <v/>
      </c>
      <c r="AES9" s="33">
        <f>AES8*AES7</f>
        <v/>
      </c>
      <c r="AET9" s="33">
        <f>AET8*AET7</f>
        <v/>
      </c>
      <c r="AEU9" s="33">
        <f>AEU8*AEU7</f>
        <v/>
      </c>
      <c r="AEV9" s="33">
        <f>AEV8*AEV7</f>
        <v/>
      </c>
      <c r="AEW9" s="33">
        <f>AEW8*AEW7</f>
        <v/>
      </c>
      <c r="AEX9" s="33">
        <f>AEX8*AEX7</f>
        <v/>
      </c>
      <c r="AEY9" s="33">
        <f>AEY8*AEY7</f>
        <v/>
      </c>
      <c r="AEZ9" s="33">
        <f>AEZ8*AEZ7</f>
        <v/>
      </c>
      <c r="AFA9" s="33">
        <f>AFA8*AFA7</f>
        <v/>
      </c>
      <c r="AFB9" s="33">
        <f>AFB8*AFB7</f>
        <v/>
      </c>
      <c r="AFC9" s="33">
        <f>AFC8*AFC7</f>
        <v/>
      </c>
      <c r="AFD9" s="33">
        <f>AFD8*AFD7</f>
        <v/>
      </c>
      <c r="AFE9" s="33">
        <f>AFE8*AFE7</f>
        <v/>
      </c>
      <c r="AFF9" s="33">
        <f>AFF8*AFF7</f>
        <v/>
      </c>
      <c r="AFG9" s="33">
        <f>AFG8*AFG7</f>
        <v/>
      </c>
      <c r="AFH9" s="33">
        <f>AFH8*AFH7</f>
        <v/>
      </c>
      <c r="AFI9" s="33">
        <f>AFI8*AFI7</f>
        <v/>
      </c>
      <c r="AFJ9" s="33">
        <f>AFJ8*AFJ7</f>
        <v/>
      </c>
      <c r="AFK9" s="33">
        <f>AFK8*AFK7</f>
        <v/>
      </c>
      <c r="AFL9" s="33">
        <f>AFL8*AFL7</f>
        <v/>
      </c>
      <c r="AFM9" s="33">
        <f>AFM8*AFM7</f>
        <v/>
      </c>
      <c r="AFN9" s="33">
        <f>AFN8*AFN7</f>
        <v/>
      </c>
      <c r="AFO9" s="33">
        <f>AFO8*AFO7</f>
        <v/>
      </c>
      <c r="AFP9" s="33">
        <f>AFP8*AFP7</f>
        <v/>
      </c>
      <c r="AFQ9" s="33">
        <f>AFQ8*AFQ7</f>
        <v/>
      </c>
      <c r="AFR9" s="33">
        <f>AFR8*AFR7</f>
        <v/>
      </c>
      <c r="AFS9" s="33">
        <f>AFS8*AFS7</f>
        <v/>
      </c>
      <c r="AFT9" s="127">
        <f>SUM(AEO9:AFS9)</f>
        <v/>
      </c>
      <c r="AFU9" s="33">
        <f>AFU8*AFU7</f>
        <v/>
      </c>
      <c r="AFV9" s="33">
        <f>AFV8*AFV7</f>
        <v/>
      </c>
      <c r="AFW9" s="33">
        <f>AFW8*AFW7</f>
        <v/>
      </c>
      <c r="AFX9" s="33">
        <f>AFX8*AFX7</f>
        <v/>
      </c>
      <c r="AFY9" s="33">
        <f>AFY8*AFY7</f>
        <v/>
      </c>
      <c r="AFZ9" s="33">
        <f>AFZ8*AFZ7</f>
        <v/>
      </c>
      <c r="AGA9" s="33">
        <f>AGA8*AGA7</f>
        <v/>
      </c>
      <c r="AGB9" s="33">
        <f>AGB8*AGB7</f>
        <v/>
      </c>
      <c r="AGC9" s="33">
        <f>AGC8*AGC7</f>
        <v/>
      </c>
      <c r="AGD9" s="33">
        <f>AGD8*AGD7</f>
        <v/>
      </c>
      <c r="AGE9" s="33">
        <f>AGE8*AGE7</f>
        <v/>
      </c>
      <c r="AGF9" s="33">
        <f>AGF8*AGF7</f>
        <v/>
      </c>
      <c r="AGG9" s="33">
        <f>AGG8*AGG7</f>
        <v/>
      </c>
      <c r="AGH9" s="33">
        <f>AGH8*AGH7</f>
        <v/>
      </c>
      <c r="AGI9" s="33">
        <f>AGI8*AGI7</f>
        <v/>
      </c>
      <c r="AGJ9" s="33">
        <f>AGJ8*AGJ7</f>
        <v/>
      </c>
      <c r="AGK9" s="33">
        <f>AGK8*AGK7</f>
        <v/>
      </c>
      <c r="AGL9" s="33">
        <f>AGL8*AGL7</f>
        <v/>
      </c>
      <c r="AGM9" s="33">
        <f>AGM8*AGM7</f>
        <v/>
      </c>
      <c r="AGN9" s="33">
        <f>AGN8*AGN7</f>
        <v/>
      </c>
      <c r="AGO9" s="33">
        <f>AGO8*AGO7</f>
        <v/>
      </c>
      <c r="AGP9" s="33">
        <f>AGP8*AGP7</f>
        <v/>
      </c>
      <c r="AGQ9" s="33">
        <f>AGQ8*AGQ7</f>
        <v/>
      </c>
      <c r="AGR9" s="33">
        <f>AGR8*AGR7</f>
        <v/>
      </c>
      <c r="AGS9" s="33">
        <f>AGS8*AGS7</f>
        <v/>
      </c>
      <c r="AGT9" s="33">
        <f>AGT8*AGT7</f>
        <v/>
      </c>
      <c r="AGU9" s="33">
        <f>AGU8*AGU7</f>
        <v/>
      </c>
      <c r="AGV9" s="33">
        <f>AGV8*AGV7</f>
        <v/>
      </c>
      <c r="AGW9" s="33">
        <f>AGW8*AGW7</f>
        <v/>
      </c>
      <c r="AGX9" s="33">
        <f>AGX8*AGX7</f>
        <v/>
      </c>
      <c r="AGY9" s="127">
        <f>SUM(AFU9:AGX9)</f>
        <v/>
      </c>
      <c r="AGZ9" s="33">
        <f>AGZ8*AGZ7</f>
        <v/>
      </c>
      <c r="AHA9" s="33">
        <f>AHA8*AHA7</f>
        <v/>
      </c>
      <c r="AHB9" s="33">
        <f>AHB8*AHB7</f>
        <v/>
      </c>
      <c r="AHC9" s="33">
        <f>AHC8*AHC7</f>
        <v/>
      </c>
      <c r="AHD9" s="33">
        <f>AHD8*AHD7</f>
        <v/>
      </c>
      <c r="AHE9" s="33">
        <f>AHE8*AHE7</f>
        <v/>
      </c>
      <c r="AHF9" s="33">
        <f>AHF8*AHF7</f>
        <v/>
      </c>
      <c r="AHG9" s="33">
        <f>AHG8*AHG7</f>
        <v/>
      </c>
      <c r="AHH9" s="33">
        <f>AHH8*AHH7</f>
        <v/>
      </c>
      <c r="AHI9" s="33">
        <f>AHI8*AHI7</f>
        <v/>
      </c>
      <c r="AHJ9" s="33">
        <f>AHJ8*AHJ7</f>
        <v/>
      </c>
      <c r="AHK9" s="33">
        <f>AHK8*AHK7</f>
        <v/>
      </c>
      <c r="AHL9" s="33">
        <f>AHL8*AHL7</f>
        <v/>
      </c>
      <c r="AHM9" s="33">
        <f>AHM8*AHM7</f>
        <v/>
      </c>
      <c r="AHN9" s="33">
        <f>AHN8*AHN7</f>
        <v/>
      </c>
      <c r="AHO9" s="33">
        <f>AHO8*AHO7</f>
        <v/>
      </c>
      <c r="AHP9" s="33">
        <f>AHP8*AHP7</f>
        <v/>
      </c>
      <c r="AHQ9" s="33">
        <f>AHQ8*AHQ7</f>
        <v/>
      </c>
      <c r="AHR9" s="33">
        <f>AHR8*AHR7</f>
        <v/>
      </c>
      <c r="AHS9" s="33">
        <f>AHS8*AHS7</f>
        <v/>
      </c>
      <c r="AHT9" s="33">
        <f>AHT8*AHT7</f>
        <v/>
      </c>
      <c r="AHU9" s="33">
        <f>AHU8*AHU7</f>
        <v/>
      </c>
      <c r="AHV9" s="33">
        <f>AHV8*AHV7</f>
        <v/>
      </c>
      <c r="AHW9" s="33">
        <f>AHW8*AHW7</f>
        <v/>
      </c>
      <c r="AHX9" s="33">
        <f>AHX8*AHX7</f>
        <v/>
      </c>
      <c r="AHY9" s="33">
        <f>AHY8*AHY7</f>
        <v/>
      </c>
      <c r="AHZ9" s="33">
        <f>AHZ8*AHZ7</f>
        <v/>
      </c>
      <c r="AIA9" s="33">
        <f>AIA8*AIA7</f>
        <v/>
      </c>
      <c r="AIB9" s="33">
        <f>AIB8*AIB7</f>
        <v/>
      </c>
      <c r="AIC9" s="33">
        <f>AIC8*AIC7</f>
        <v/>
      </c>
      <c r="AID9" s="33">
        <f>AID8*AID7</f>
        <v/>
      </c>
      <c r="AIE9" s="127">
        <f>SUM(AGZ9:AID9)</f>
        <v/>
      </c>
      <c r="AIF9" s="33">
        <f>AIF8*AIF7</f>
        <v/>
      </c>
      <c r="AIG9" s="33">
        <f>AIG8*AIG7</f>
        <v/>
      </c>
      <c r="AIH9" s="33">
        <f>AIH8*AIH7</f>
        <v/>
      </c>
      <c r="AII9" s="33">
        <f>AII8*AII7</f>
        <v/>
      </c>
      <c r="AIJ9" s="33">
        <f>AIJ8*AIJ7</f>
        <v/>
      </c>
      <c r="AIK9" s="33">
        <f>AIK8*AIK7</f>
        <v/>
      </c>
      <c r="AIL9" s="33">
        <f>AIL8*AIL7</f>
        <v/>
      </c>
      <c r="AIM9" s="33">
        <f>AIM8*AIM7</f>
        <v/>
      </c>
      <c r="AIN9" s="33">
        <f>AIN8*AIN7</f>
        <v/>
      </c>
      <c r="AIO9" s="33">
        <f>AIO8*AIO7</f>
        <v/>
      </c>
      <c r="AIP9" s="33">
        <f>AIP8*AIP7</f>
        <v/>
      </c>
      <c r="AIQ9" s="33">
        <f>AIQ8*AIQ7</f>
        <v/>
      </c>
      <c r="AIR9" s="33">
        <f>AIR8*AIR7</f>
        <v/>
      </c>
      <c r="AIS9" s="33">
        <f>AIS8*AIS7</f>
        <v/>
      </c>
      <c r="AIT9" s="33">
        <f>AIT8*AIT7</f>
        <v/>
      </c>
      <c r="AIU9" s="33">
        <f>AIU8*AIU7</f>
        <v/>
      </c>
      <c r="AIV9" s="33">
        <f>AIV8*AIV7</f>
        <v/>
      </c>
      <c r="AIW9" s="33">
        <f>AIW8*AIW7</f>
        <v/>
      </c>
      <c r="AIX9" s="33">
        <f>AIX8*AIX7</f>
        <v/>
      </c>
      <c r="AIY9" s="33">
        <f>AIY8*AIY7</f>
        <v/>
      </c>
      <c r="AIZ9" s="33">
        <f>AIZ8*AIZ7</f>
        <v/>
      </c>
      <c r="AJA9" s="33">
        <f>AJA8*AJA7</f>
        <v/>
      </c>
      <c r="AJB9" s="33">
        <f>AJB8*AJB7</f>
        <v/>
      </c>
      <c r="AJC9" s="33">
        <f>AJC8*AJC7</f>
        <v/>
      </c>
      <c r="AJD9" s="33">
        <f>AJD8*AJD7</f>
        <v/>
      </c>
      <c r="AJE9" s="33">
        <f>AJE8*AJE7</f>
        <v/>
      </c>
      <c r="AJF9" s="33">
        <f>AJF8*AJF7</f>
        <v/>
      </c>
      <c r="AJG9" s="33">
        <f>AJG8*AJG7</f>
        <v/>
      </c>
      <c r="AJH9" s="33">
        <f>AJH8*AJH7</f>
        <v/>
      </c>
      <c r="AJI9" s="33">
        <f>AJI8*AJI7</f>
        <v/>
      </c>
      <c r="AJJ9" s="33">
        <f>AJJ8*AJJ7</f>
        <v/>
      </c>
      <c r="AJK9" s="127">
        <f>SUM(AIF9:AJJ9)</f>
        <v/>
      </c>
      <c r="AJL9" s="33">
        <f>AJL8*AJL7</f>
        <v/>
      </c>
      <c r="AJM9" s="33">
        <f>AJM8*AJM7</f>
        <v/>
      </c>
      <c r="AJN9" s="33">
        <f>AJN8*AJN7</f>
        <v/>
      </c>
      <c r="AJO9" s="33">
        <f>AJO8*AJO7</f>
        <v/>
      </c>
      <c r="AJP9" s="33">
        <f>AJP8*AJP7</f>
        <v/>
      </c>
      <c r="AJQ9" s="33">
        <f>AJQ8*AJQ7</f>
        <v/>
      </c>
      <c r="AJR9" s="33">
        <f>AJR8*AJR7</f>
        <v/>
      </c>
      <c r="AJS9" s="33">
        <f>AJS8*AJS7</f>
        <v/>
      </c>
      <c r="AJT9" s="33">
        <f>AJT8*AJT7</f>
        <v/>
      </c>
      <c r="AJU9" s="33">
        <f>AJU8*AJU7</f>
        <v/>
      </c>
      <c r="AJV9" s="33">
        <f>AJV8*AJV7</f>
        <v/>
      </c>
      <c r="AJW9" s="33">
        <f>AJW8*AJW7</f>
        <v/>
      </c>
      <c r="AJX9" s="33">
        <f>AJX8*AJX7</f>
        <v/>
      </c>
      <c r="AJY9" s="33">
        <f>AJY8*AJY7</f>
        <v/>
      </c>
      <c r="AJZ9" s="33">
        <f>AJZ8*AJZ7</f>
        <v/>
      </c>
      <c r="AKA9" s="33">
        <f>AKA8*AKA7</f>
        <v/>
      </c>
      <c r="AKB9" s="33">
        <f>AKB8*AKB7</f>
        <v/>
      </c>
      <c r="AKC9" s="33">
        <f>AKC8*AKC7</f>
        <v/>
      </c>
      <c r="AKD9" s="33">
        <f>AKD8*AKD7</f>
        <v/>
      </c>
      <c r="AKE9" s="33">
        <f>AKE8*AKE7</f>
        <v/>
      </c>
      <c r="AKF9" s="33">
        <f>AKF8*AKF7</f>
        <v/>
      </c>
      <c r="AKG9" s="33">
        <f>AKG8*AKG7</f>
        <v/>
      </c>
      <c r="AKH9" s="33">
        <f>AKH8*AKH7</f>
        <v/>
      </c>
      <c r="AKI9" s="33">
        <f>AKI8*AKI7</f>
        <v/>
      </c>
      <c r="AKJ9" s="33">
        <f>AKJ8*AKJ7</f>
        <v/>
      </c>
      <c r="AKK9" s="33">
        <f>AKK8*AKK7</f>
        <v/>
      </c>
      <c r="AKL9" s="33">
        <f>AKL8*AKL7</f>
        <v/>
      </c>
      <c r="AKM9" s="33">
        <f>AKM8*AKM7</f>
        <v/>
      </c>
      <c r="AKN9" s="127">
        <f>SUM(AJL9:AKM9)</f>
        <v/>
      </c>
      <c r="AKO9" s="33">
        <f>AKO8*AKO7</f>
        <v/>
      </c>
      <c r="AKP9" s="33">
        <f>AKP8*AKP7</f>
        <v/>
      </c>
      <c r="AKQ9" s="33">
        <f>AKQ8*AKQ7</f>
        <v/>
      </c>
      <c r="AKR9" s="33">
        <f>AKR8*AKR7</f>
        <v/>
      </c>
      <c r="AKS9" s="33">
        <f>AKS8*AKS7</f>
        <v/>
      </c>
      <c r="AKT9" s="33">
        <f>AKT8*AKT7</f>
        <v/>
      </c>
      <c r="AKU9" s="33">
        <f>AKU8*AKU7</f>
        <v/>
      </c>
      <c r="AKV9" s="33">
        <f>AKV8*AKV7</f>
        <v/>
      </c>
      <c r="AKW9" s="33">
        <f>AKW8*AKW7</f>
        <v/>
      </c>
      <c r="AKX9" s="33">
        <f>AKX8*AKX7</f>
        <v/>
      </c>
      <c r="AKY9" s="33">
        <f>AKY8*AKY7</f>
        <v/>
      </c>
      <c r="AKZ9" s="33">
        <f>AKZ8*AKZ7</f>
        <v/>
      </c>
      <c r="ALA9" s="33">
        <f>ALA8*ALA7</f>
        <v/>
      </c>
      <c r="ALB9" s="33">
        <f>ALB8*ALB7</f>
        <v/>
      </c>
      <c r="ALC9" s="33">
        <f>ALC8*ALC7</f>
        <v/>
      </c>
      <c r="ALD9" s="33">
        <f>ALD8*ALD7</f>
        <v/>
      </c>
      <c r="ALE9" s="33">
        <f>ALE8*ALE7</f>
        <v/>
      </c>
      <c r="ALF9" s="33">
        <f>ALF8*ALF7</f>
        <v/>
      </c>
      <c r="ALG9" s="33">
        <f>ALG8*ALG7</f>
        <v/>
      </c>
      <c r="ALH9" s="33">
        <f>ALH8*ALH7</f>
        <v/>
      </c>
      <c r="ALI9" s="33">
        <f>ALI8*ALI7</f>
        <v/>
      </c>
      <c r="ALJ9" s="33">
        <f>ALJ8*ALJ7</f>
        <v/>
      </c>
      <c r="ALK9" s="33">
        <f>ALK8*ALK7</f>
        <v/>
      </c>
      <c r="ALL9" s="33">
        <f>ALL8*ALL7</f>
        <v/>
      </c>
      <c r="ALM9" s="33">
        <f>ALM8*ALM7</f>
        <v/>
      </c>
      <c r="ALN9" s="33">
        <f>ALN8*ALN7</f>
        <v/>
      </c>
      <c r="ALO9" s="33">
        <f>ALO8*ALO7</f>
        <v/>
      </c>
      <c r="ALP9" s="33">
        <f>ALP8*ALP7</f>
        <v/>
      </c>
      <c r="ALQ9" s="33">
        <f>ALQ8*ALQ7</f>
        <v/>
      </c>
      <c r="ALR9" s="33">
        <f>ALR8*ALR7</f>
        <v/>
      </c>
      <c r="ALS9" s="33">
        <f>ALS8*ALS7</f>
        <v/>
      </c>
      <c r="ALT9" s="127">
        <f>SUM(AKO9:ALS9)</f>
        <v/>
      </c>
      <c r="ALU9" s="33">
        <f>ALU8*ALU7</f>
        <v/>
      </c>
      <c r="ALV9" s="33">
        <f>ALV8*ALV7</f>
        <v/>
      </c>
      <c r="ALW9" s="33">
        <f>ALW8*ALW7</f>
        <v/>
      </c>
      <c r="ALX9" s="33">
        <f>ALX8*ALX7</f>
        <v/>
      </c>
      <c r="ALY9" s="33">
        <f>ALY8*ALY7</f>
        <v/>
      </c>
      <c r="ALZ9" s="33">
        <f>ALZ8*ALZ7</f>
        <v/>
      </c>
      <c r="AMA9" s="33">
        <f>AMA8*AMA7</f>
        <v/>
      </c>
      <c r="AMB9" s="33">
        <f>AMB8*AMB7</f>
        <v/>
      </c>
      <c r="AMC9" s="33">
        <f>AMC8*AMC7</f>
        <v/>
      </c>
      <c r="AMD9" s="33">
        <f>AMD8*AMD7</f>
        <v/>
      </c>
      <c r="AME9" s="33">
        <f>AME8*AME7</f>
        <v/>
      </c>
      <c r="AMF9" s="33">
        <f>AMF8*AMF7</f>
        <v/>
      </c>
      <c r="AMG9" s="33">
        <f>AMG8*AMG7</f>
        <v/>
      </c>
      <c r="AMH9" s="33">
        <f>AMH8*AMH7</f>
        <v/>
      </c>
      <c r="AMI9" s="33">
        <f>AMI8*AMI7</f>
        <v/>
      </c>
      <c r="AMJ9" s="33">
        <f>AMJ8*AMJ7</f>
        <v/>
      </c>
      <c r="AMK9" s="33">
        <f>AMK8*AMK7</f>
        <v/>
      </c>
      <c r="AML9" s="33">
        <f>AML8*AML7</f>
        <v/>
      </c>
      <c r="AMM9" s="33">
        <f>AMM8*AMM7</f>
        <v/>
      </c>
      <c r="AMN9" s="33">
        <f>AMN8*AMN7</f>
        <v/>
      </c>
      <c r="AMO9" s="33">
        <f>AMO8*AMO7</f>
        <v/>
      </c>
      <c r="AMP9" s="33">
        <f>AMP8*AMP7</f>
        <v/>
      </c>
      <c r="AMQ9" s="33">
        <f>AMQ8*AMQ7</f>
        <v/>
      </c>
      <c r="AMR9" s="33">
        <f>AMR8*AMR7</f>
        <v/>
      </c>
      <c r="AMS9" s="33">
        <f>AMS8*AMS7</f>
        <v/>
      </c>
      <c r="AMT9" s="33">
        <f>AMT8*AMT7</f>
        <v/>
      </c>
      <c r="AMU9" s="33">
        <f>AMU8*AMU7</f>
        <v/>
      </c>
      <c r="AMV9" s="33">
        <f>AMV8*AMV7</f>
        <v/>
      </c>
      <c r="AMW9" s="33">
        <f>AMW8*AMW7</f>
        <v/>
      </c>
      <c r="AMX9" s="33">
        <f>AMX8*AMX7</f>
        <v/>
      </c>
      <c r="AMY9" s="127">
        <f>SUM(ALU9:AMX9)</f>
        <v/>
      </c>
      <c r="AMZ9" s="33">
        <f>AMZ8*AMZ7</f>
        <v/>
      </c>
      <c r="ANA9" s="33">
        <f>ANA8*ANA7</f>
        <v/>
      </c>
      <c r="ANB9" s="33">
        <f>ANB8*ANB7</f>
        <v/>
      </c>
      <c r="ANC9" s="33">
        <f>ANC8*ANC7</f>
        <v/>
      </c>
      <c r="AND9" s="33">
        <f>AND8*AND7</f>
        <v/>
      </c>
      <c r="ANE9" s="33">
        <f>ANE8*ANE7</f>
        <v/>
      </c>
      <c r="ANF9" s="33">
        <f>ANF8*ANF7</f>
        <v/>
      </c>
      <c r="ANG9" s="33">
        <f>ANG8*ANG7</f>
        <v/>
      </c>
      <c r="ANH9" s="33">
        <f>ANH8*ANH7</f>
        <v/>
      </c>
      <c r="ANI9" s="33">
        <f>ANI8*ANI7</f>
        <v/>
      </c>
      <c r="ANJ9" s="33">
        <f>ANJ8*ANJ7</f>
        <v/>
      </c>
      <c r="ANK9" s="33">
        <f>ANK8*ANK7</f>
        <v/>
      </c>
      <c r="ANL9" s="33">
        <f>ANL8*ANL7</f>
        <v/>
      </c>
      <c r="ANM9" s="33">
        <f>ANM8*ANM7</f>
        <v/>
      </c>
      <c r="ANN9" s="33">
        <f>ANN8*ANN7</f>
        <v/>
      </c>
      <c r="ANO9" s="33">
        <f>ANO8*ANO7</f>
        <v/>
      </c>
      <c r="ANP9" s="33">
        <f>ANP8*ANP7</f>
        <v/>
      </c>
      <c r="ANQ9" s="33">
        <f>ANQ8*ANQ7</f>
        <v/>
      </c>
      <c r="ANR9" s="33">
        <f>ANR8*ANR7</f>
        <v/>
      </c>
      <c r="ANS9" s="33">
        <f>ANS8*ANS7</f>
        <v/>
      </c>
      <c r="ANT9" s="33">
        <f>ANT8*ANT7</f>
        <v/>
      </c>
      <c r="ANU9" s="33">
        <f>ANU8*ANU7</f>
        <v/>
      </c>
      <c r="ANV9" s="33">
        <f>ANV8*ANV7</f>
        <v/>
      </c>
      <c r="ANW9" s="33">
        <f>ANW8*ANW7</f>
        <v/>
      </c>
      <c r="ANX9" s="33">
        <f>ANX8*ANX7</f>
        <v/>
      </c>
      <c r="ANY9" s="33">
        <f>ANY8*ANY7</f>
        <v/>
      </c>
      <c r="ANZ9" s="33">
        <f>ANZ8*ANZ7</f>
        <v/>
      </c>
      <c r="AOA9" s="33">
        <f>AOA8*AOA7</f>
        <v/>
      </c>
      <c r="AOB9" s="33">
        <f>AOB8*AOB7</f>
        <v/>
      </c>
      <c r="AOC9" s="33">
        <f>AOC8*AOC7</f>
        <v/>
      </c>
    </row>
    <row r="10">
      <c r="B10" s="5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94" t="n"/>
      <c r="BM10" s="97" t="n"/>
      <c r="CS10" s="111">
        <f>SUM(BN10:CR10)</f>
        <v/>
      </c>
      <c r="DX10" s="117" t="n"/>
      <c r="FD10" s="128" t="n"/>
      <c r="GJ10" s="126" t="n"/>
      <c r="HN10" s="126" t="n"/>
      <c r="IT10" s="127">
        <f>SUM(HO10:IS10)</f>
        <v/>
      </c>
      <c r="JY10" s="127">
        <f>SUM(IU10:JX10)</f>
        <v/>
      </c>
      <c r="LE10" s="127">
        <f>SUM(KA10:LD10)</f>
        <v/>
      </c>
      <c r="MJ10" s="127">
        <f>SUM(LF10:MI10)</f>
        <v/>
      </c>
      <c r="NP10" s="127">
        <f>SUM(ML10:NO10)</f>
        <v/>
      </c>
      <c r="OV10" s="127">
        <f>SUM(NR10:OU10)</f>
        <v/>
      </c>
      <c r="QA10" s="127">
        <f>SUM(OW10:PZ10)</f>
        <v/>
      </c>
      <c r="RG10" s="127">
        <f>SUM(QC10:RF10)</f>
        <v/>
      </c>
      <c r="SL10" s="127">
        <f>SUM(RH10:SK10)</f>
        <v/>
      </c>
      <c r="TR10" s="127">
        <f>SUM(SN10:TQ10)</f>
        <v/>
      </c>
      <c r="UX10" s="127">
        <f>SUM(TT10:UW10)</f>
        <v/>
      </c>
      <c r="WA10" s="127">
        <f>SUM(UW10:VZ10)</f>
        <v/>
      </c>
      <c r="XG10" s="127">
        <f>SUM(WC10:XF10)</f>
        <v/>
      </c>
      <c r="YL10" s="127">
        <f>SUM(XI10:YK10)</f>
        <v/>
      </c>
      <c r="ZR10" s="127">
        <f>SUM(YO10:ZQ10)</f>
        <v/>
      </c>
      <c r="AAW10" s="127">
        <f>SUM(ZT10:AAV10)</f>
        <v/>
      </c>
      <c r="ACC10" s="127">
        <f>SUM(AAZ10:ACB10)</f>
        <v/>
      </c>
      <c r="ADI10" s="127">
        <f>SUM(ACF10:ADH10)</f>
        <v/>
      </c>
      <c r="AEN10" s="127">
        <f>SUM(ADK10:AEM10)</f>
        <v/>
      </c>
      <c r="AFT10" s="127">
        <f>SUM(AEQ10:AFS10)</f>
        <v/>
      </c>
      <c r="AGY10" s="127">
        <f>SUM(AFV10:AGX10)</f>
        <v/>
      </c>
      <c r="AIE10" s="127">
        <f>SUM(AHB10:AID10)</f>
        <v/>
      </c>
      <c r="AJK10" s="127">
        <f>SUM(AIH10:AJJ10)</f>
        <v/>
      </c>
      <c r="AKN10" s="127">
        <f>SUM(AJL10:AKM10)</f>
        <v/>
      </c>
      <c r="ALT10" s="127">
        <f>SUM(AKO10:ALS10)</f>
        <v/>
      </c>
      <c r="AMY10" s="127">
        <f>SUM(ALU10:AMX10)</f>
        <v/>
      </c>
    </row>
    <row r="11">
      <c r="B11" s="6" t="inlineStr">
        <is>
          <t>TOTALS SALES QTY</t>
        </is>
      </c>
      <c r="C11" s="16">
        <f>C7+C4</f>
        <v/>
      </c>
      <c r="D11" s="16">
        <f>D7+D4</f>
        <v/>
      </c>
      <c r="E11" s="16">
        <f>E7+E4</f>
        <v/>
      </c>
      <c r="F11" s="16">
        <f>F7+F4</f>
        <v/>
      </c>
      <c r="G11" s="16">
        <f>G7+G4</f>
        <v/>
      </c>
      <c r="H11" s="16">
        <f>H7+H4</f>
        <v/>
      </c>
      <c r="I11" s="16">
        <f>I7+I4</f>
        <v/>
      </c>
      <c r="J11" s="16">
        <f>J7+J4</f>
        <v/>
      </c>
      <c r="K11" s="16">
        <f>K7+K4</f>
        <v/>
      </c>
      <c r="L11" s="16">
        <f>L7+L4</f>
        <v/>
      </c>
      <c r="M11" s="16">
        <f>M7+M4</f>
        <v/>
      </c>
      <c r="N11" s="16">
        <f>N7+N4</f>
        <v/>
      </c>
      <c r="O11" s="16">
        <f>O7+O4</f>
        <v/>
      </c>
      <c r="P11" s="16">
        <f>P7+P4</f>
        <v/>
      </c>
      <c r="Q11" s="16">
        <f>Q7+Q4</f>
        <v/>
      </c>
      <c r="R11" s="16">
        <f>R7+R4</f>
        <v/>
      </c>
      <c r="S11" s="16">
        <f>S7+S4</f>
        <v/>
      </c>
      <c r="T11" s="16">
        <f>T7+T4</f>
        <v/>
      </c>
      <c r="U11" s="16">
        <f>U7+U4</f>
        <v/>
      </c>
      <c r="V11" s="16">
        <f>V7+V4</f>
        <v/>
      </c>
      <c r="W11" s="16">
        <f>W7+W4</f>
        <v/>
      </c>
      <c r="X11" s="16">
        <f>X7+X4</f>
        <v/>
      </c>
      <c r="Y11" s="16">
        <f>Y7+Y4</f>
        <v/>
      </c>
      <c r="Z11" s="16">
        <f>Z7+Z4</f>
        <v/>
      </c>
      <c r="AA11" s="16">
        <f>AA7+AA4</f>
        <v/>
      </c>
      <c r="AB11" s="16">
        <f>AB7+AB4</f>
        <v/>
      </c>
      <c r="AC11" s="16">
        <f>AC7+AC4</f>
        <v/>
      </c>
      <c r="AD11" s="16">
        <f>AD7+AD4</f>
        <v/>
      </c>
      <c r="AE11" s="16">
        <f>AE7+AE4</f>
        <v/>
      </c>
      <c r="AF11" s="16">
        <f>AF7+AF4</f>
        <v/>
      </c>
      <c r="AG11" s="16">
        <f>AG7+AG4</f>
        <v/>
      </c>
      <c r="AH11" s="94">
        <f>SUM(C11:AG11)</f>
        <v/>
      </c>
      <c r="AI11" s="16">
        <f>AI7+AI4</f>
        <v/>
      </c>
      <c r="AJ11" s="16">
        <f>AJ7+AJ4</f>
        <v/>
      </c>
      <c r="AK11" s="16">
        <f>AK7+AK4</f>
        <v/>
      </c>
      <c r="AL11" s="16">
        <f>AL7+AL4</f>
        <v/>
      </c>
      <c r="AM11" s="16">
        <f>AM7+AM4</f>
        <v/>
      </c>
      <c r="AN11" s="16">
        <f>AN7+AN4</f>
        <v/>
      </c>
      <c r="AO11" s="16">
        <f>AO7+AO4</f>
        <v/>
      </c>
      <c r="AP11" s="16">
        <f>AP7+AP4</f>
        <v/>
      </c>
      <c r="AQ11" s="16">
        <f>AQ7+AQ4</f>
        <v/>
      </c>
      <c r="AR11" s="16">
        <f>AR7+AR4</f>
        <v/>
      </c>
      <c r="AS11" s="16">
        <f>AS7+AS4</f>
        <v/>
      </c>
      <c r="AT11" s="16">
        <f>AT7+AT4</f>
        <v/>
      </c>
      <c r="AU11" s="16">
        <f>AU7+AU4</f>
        <v/>
      </c>
      <c r="AV11" s="16">
        <f>AV7+AV4</f>
        <v/>
      </c>
      <c r="AW11" s="16">
        <f>AW7+AW4</f>
        <v/>
      </c>
      <c r="AX11" s="16">
        <f>AX7+AX4</f>
        <v/>
      </c>
      <c r="AY11" s="16">
        <f>AY7+AY4</f>
        <v/>
      </c>
      <c r="AZ11" s="16">
        <f>AZ7+AZ4</f>
        <v/>
      </c>
      <c r="BA11" s="16">
        <f>BA7+BA4</f>
        <v/>
      </c>
      <c r="BB11" s="16">
        <f>BB7+BB4</f>
        <v/>
      </c>
      <c r="BC11" s="16">
        <f>BC7+BC4</f>
        <v/>
      </c>
      <c r="BD11" s="16">
        <f>BD7+BD4</f>
        <v/>
      </c>
      <c r="BE11" s="16">
        <f>BE7+BE4</f>
        <v/>
      </c>
      <c r="BF11" s="16">
        <f>BF7+BF4</f>
        <v/>
      </c>
      <c r="BG11" s="16">
        <f>BG7+BG4</f>
        <v/>
      </c>
      <c r="BH11" s="16">
        <f>BH7+BH4</f>
        <v/>
      </c>
      <c r="BI11" s="16">
        <f>BI7+BI4</f>
        <v/>
      </c>
      <c r="BJ11" s="16">
        <f>BJ7+BJ4</f>
        <v/>
      </c>
      <c r="BK11" s="16">
        <f>BK7+BK4</f>
        <v/>
      </c>
      <c r="BL11" s="16">
        <f>BL7+BL4</f>
        <v/>
      </c>
      <c r="BM11" s="97">
        <f>SUM(AI11:BL11)</f>
        <v/>
      </c>
      <c r="BN11" s="16">
        <f>BN7+BN4</f>
        <v/>
      </c>
      <c r="BO11" s="16">
        <f>BO7+BO4</f>
        <v/>
      </c>
      <c r="BP11" s="16">
        <f>BP7+BP4</f>
        <v/>
      </c>
      <c r="BQ11" s="16">
        <f>BQ7+BQ4</f>
        <v/>
      </c>
      <c r="BR11" s="16">
        <f>BR7+BR4</f>
        <v/>
      </c>
      <c r="BS11" s="16">
        <f>BS7+BS4</f>
        <v/>
      </c>
      <c r="BT11" s="16">
        <f>BT7+BT4</f>
        <v/>
      </c>
      <c r="BU11" s="16">
        <f>BU7+BU4</f>
        <v/>
      </c>
      <c r="BV11" s="16">
        <f>BV7+BV4</f>
        <v/>
      </c>
      <c r="BW11" s="16">
        <f>BW7+BW4</f>
        <v/>
      </c>
      <c r="BX11" s="16">
        <f>BX7+BX4</f>
        <v/>
      </c>
      <c r="BY11" s="16">
        <f>BY7+BY4</f>
        <v/>
      </c>
      <c r="BZ11" s="16">
        <f>BZ7+BZ4</f>
        <v/>
      </c>
      <c r="CA11" s="16">
        <f>CA7+CA4</f>
        <v/>
      </c>
      <c r="CB11" s="16">
        <f>CB7+CB4</f>
        <v/>
      </c>
      <c r="CC11" s="16">
        <f>CC7+CC4</f>
        <v/>
      </c>
      <c r="CD11" s="16">
        <f>CD7+CD4</f>
        <v/>
      </c>
      <c r="CE11" s="16">
        <f>CE7+CE4</f>
        <v/>
      </c>
      <c r="CF11" s="16">
        <f>CF7+CF4</f>
        <v/>
      </c>
      <c r="CG11" s="16">
        <f>CG7+CG4</f>
        <v/>
      </c>
      <c r="CH11" s="16">
        <f>CH7+CH4</f>
        <v/>
      </c>
      <c r="CI11" s="16">
        <f>CI7+CI4</f>
        <v/>
      </c>
      <c r="CJ11" s="16">
        <f>CJ7+CJ4</f>
        <v/>
      </c>
      <c r="CK11" s="16">
        <f>CK7+CK4</f>
        <v/>
      </c>
      <c r="CL11" s="16">
        <f>CL7+CL4</f>
        <v/>
      </c>
      <c r="CM11" s="16">
        <f>CM7+CM4</f>
        <v/>
      </c>
      <c r="CN11" s="16">
        <f>CN7+CN4</f>
        <v/>
      </c>
      <c r="CO11" s="16">
        <f>CO7+CO4</f>
        <v/>
      </c>
      <c r="CP11" s="16">
        <f>CP7+CP4</f>
        <v/>
      </c>
      <c r="CQ11" s="16">
        <f>CQ7+CQ4</f>
        <v/>
      </c>
      <c r="CR11" s="16">
        <f>CR7+CR4</f>
        <v/>
      </c>
      <c r="CS11" s="111">
        <f>SUM(BN11:CR11)</f>
        <v/>
      </c>
      <c r="CT11" s="16">
        <f>CT7+CT4</f>
        <v/>
      </c>
      <c r="CU11" s="16">
        <f>CU7+CU4</f>
        <v/>
      </c>
      <c r="CV11" s="16">
        <f>CV7+CV4</f>
        <v/>
      </c>
      <c r="CW11" s="16">
        <f>CW7+CW4</f>
        <v/>
      </c>
      <c r="CX11" s="16">
        <f>CX7+CX4</f>
        <v/>
      </c>
      <c r="CY11" s="16">
        <f>CY7+CY4</f>
        <v/>
      </c>
      <c r="CZ11" s="16">
        <f>CZ7+CZ4</f>
        <v/>
      </c>
      <c r="DA11" s="16">
        <f>DA7+DA4</f>
        <v/>
      </c>
      <c r="DB11" s="16">
        <f>DB7+DB4</f>
        <v/>
      </c>
      <c r="DC11" s="16">
        <f>DC7+DC4</f>
        <v/>
      </c>
      <c r="DD11" s="16">
        <f>DD7+DD4</f>
        <v/>
      </c>
      <c r="DE11" s="16">
        <f>DE7+DE4</f>
        <v/>
      </c>
      <c r="DF11" s="16">
        <f>DF7+DF4</f>
        <v/>
      </c>
      <c r="DG11" s="16">
        <f>DG7+DG4</f>
        <v/>
      </c>
      <c r="DH11" s="16">
        <f>DH7+DH4</f>
        <v/>
      </c>
      <c r="DI11" s="16">
        <f>DI7+DI4</f>
        <v/>
      </c>
      <c r="DJ11" s="16">
        <f>DJ7+DJ4</f>
        <v/>
      </c>
      <c r="DK11" s="16">
        <f>DK7+DK4</f>
        <v/>
      </c>
      <c r="DL11" s="16">
        <f>DL7+DL4</f>
        <v/>
      </c>
      <c r="DM11" s="16">
        <f>DM7+DM4</f>
        <v/>
      </c>
      <c r="DN11" s="16">
        <f>DN7+DN4</f>
        <v/>
      </c>
      <c r="DO11" s="16">
        <f>DO7+DO4</f>
        <v/>
      </c>
      <c r="DP11" s="16">
        <f>DP7+DP4</f>
        <v/>
      </c>
      <c r="DQ11" s="16">
        <f>DQ7+DQ4</f>
        <v/>
      </c>
      <c r="DR11" s="16">
        <f>DR7+DR4</f>
        <v/>
      </c>
      <c r="DS11" s="16">
        <f>DS7+DS4</f>
        <v/>
      </c>
      <c r="DT11" s="16">
        <f>DT7+DT4</f>
        <v/>
      </c>
      <c r="DU11" s="16">
        <f>DU7+DU4</f>
        <v/>
      </c>
      <c r="DV11" s="16">
        <f>DV7+DV4</f>
        <v/>
      </c>
      <c r="DW11" s="16">
        <f>DW7+DW4</f>
        <v/>
      </c>
      <c r="DX11" s="119">
        <f>SUM(CT11:DW11)</f>
        <v/>
      </c>
      <c r="DY11" s="16">
        <f>DY7+DY4</f>
        <v/>
      </c>
      <c r="DZ11" s="16">
        <f>DZ7+DZ4</f>
        <v/>
      </c>
      <c r="EA11" s="16">
        <f>EA7+EA4</f>
        <v/>
      </c>
      <c r="EB11" s="16">
        <f>EB7+EB4</f>
        <v/>
      </c>
      <c r="EC11" s="16">
        <f>EC7+EC4</f>
        <v/>
      </c>
      <c r="ED11" s="16">
        <f>ED7+ED4</f>
        <v/>
      </c>
      <c r="EE11" s="16">
        <f>EE7+EE4</f>
        <v/>
      </c>
      <c r="EF11" s="16">
        <f>EF7+EF4</f>
        <v/>
      </c>
      <c r="EG11" s="16">
        <f>EG7+EG4</f>
        <v/>
      </c>
      <c r="EH11" s="16">
        <f>EH7+EH4</f>
        <v/>
      </c>
      <c r="EI11" s="16">
        <f>EI7+EI4</f>
        <v/>
      </c>
      <c r="EJ11" s="16">
        <f>EJ7+EJ4</f>
        <v/>
      </c>
      <c r="EK11" s="16">
        <f>EK7+EK4</f>
        <v/>
      </c>
      <c r="EL11" s="16">
        <f>EL7+EL4</f>
        <v/>
      </c>
      <c r="EM11" s="16">
        <f>EM7+EM4</f>
        <v/>
      </c>
      <c r="EN11" s="16">
        <f>EN7+EN4</f>
        <v/>
      </c>
      <c r="EO11" s="16">
        <f>EO7+EO4</f>
        <v/>
      </c>
      <c r="EP11" s="16">
        <f>EP7+EP4</f>
        <v/>
      </c>
      <c r="EQ11" s="16">
        <f>EQ7+EQ4</f>
        <v/>
      </c>
      <c r="ER11" s="16">
        <f>ER7+ER4</f>
        <v/>
      </c>
      <c r="ES11" s="16">
        <f>ES7+ES4</f>
        <v/>
      </c>
      <c r="ET11" s="16">
        <f>ET7+ET4</f>
        <v/>
      </c>
      <c r="EU11" s="16">
        <f>EU7+EU4</f>
        <v/>
      </c>
      <c r="EV11" s="16">
        <f>EV7+EV4</f>
        <v/>
      </c>
      <c r="EW11" s="16">
        <f>EW7+EW4</f>
        <v/>
      </c>
      <c r="EX11" s="16">
        <f>EX7+EX4</f>
        <v/>
      </c>
      <c r="EY11" s="16">
        <f>EY7+EY4</f>
        <v/>
      </c>
      <c r="EZ11" s="16">
        <f>EZ7+EZ4</f>
        <v/>
      </c>
      <c r="FA11" s="16">
        <f>FA7+FA4</f>
        <v/>
      </c>
      <c r="FB11" s="16">
        <f>FB7+FB4</f>
        <v/>
      </c>
      <c r="FC11" s="16">
        <f>FC7+FC4</f>
        <v/>
      </c>
      <c r="FD11" s="128">
        <f>SUM(DY11:FC11)</f>
        <v/>
      </c>
      <c r="FE11" s="16">
        <f>FE7+FE4</f>
        <v/>
      </c>
      <c r="FF11" s="16">
        <f>FF7+FF4</f>
        <v/>
      </c>
      <c r="FG11" s="16">
        <f>FG7+FG4</f>
        <v/>
      </c>
      <c r="FH11" s="16">
        <f>FH7+FH4</f>
        <v/>
      </c>
      <c r="FI11" s="16">
        <f>FI7+FI4</f>
        <v/>
      </c>
      <c r="FJ11" s="16">
        <f>FJ7+FJ4</f>
        <v/>
      </c>
      <c r="FK11" s="16">
        <f>FK7+FK4</f>
        <v/>
      </c>
      <c r="FL11" s="16">
        <f>FL7+FL4</f>
        <v/>
      </c>
      <c r="FM11" s="16">
        <f>FM7+FM4</f>
        <v/>
      </c>
      <c r="FN11" s="16">
        <f>FN7+FN4</f>
        <v/>
      </c>
      <c r="FO11" s="16">
        <f>FO7+FO4</f>
        <v/>
      </c>
      <c r="FP11" s="16">
        <f>FP7+FP4</f>
        <v/>
      </c>
      <c r="FQ11" s="16">
        <f>FQ7+FQ4</f>
        <v/>
      </c>
      <c r="FR11" s="16">
        <f>FR7+FR4</f>
        <v/>
      </c>
      <c r="FS11" s="16">
        <f>FS7+FS4</f>
        <v/>
      </c>
      <c r="FT11" s="16">
        <f>FT7+FT4</f>
        <v/>
      </c>
      <c r="FU11" s="16">
        <f>FU7+FU4</f>
        <v/>
      </c>
      <c r="FV11" s="16">
        <f>FV7+FV4</f>
        <v/>
      </c>
      <c r="FW11" s="16">
        <f>FW7+FW4</f>
        <v/>
      </c>
      <c r="FX11" s="16">
        <f>FX7+FX4</f>
        <v/>
      </c>
      <c r="FY11" s="16">
        <f>FY7+FY4</f>
        <v/>
      </c>
      <c r="FZ11" s="16">
        <f>FZ7+FZ4</f>
        <v/>
      </c>
      <c r="GA11" s="16">
        <f>GA7+GA4</f>
        <v/>
      </c>
      <c r="GB11" s="16">
        <f>GB7+GB4</f>
        <v/>
      </c>
      <c r="GC11" s="16">
        <f>GC7+GC4</f>
        <v/>
      </c>
      <c r="GD11" s="16">
        <f>GD7+GD4</f>
        <v/>
      </c>
      <c r="GE11" s="16">
        <f>GE7+GE4</f>
        <v/>
      </c>
      <c r="GF11" s="16">
        <f>GF7+GF4</f>
        <v/>
      </c>
      <c r="GG11" s="16">
        <f>GG7+GG4</f>
        <v/>
      </c>
      <c r="GH11" s="16">
        <f>GH7+GH4</f>
        <v/>
      </c>
      <c r="GI11" s="16">
        <f>GI7+GI4</f>
        <v/>
      </c>
      <c r="GJ11" s="127">
        <f>SUM(FE11:GI11)</f>
        <v/>
      </c>
      <c r="GK11" s="16">
        <f>GK7+GK4</f>
        <v/>
      </c>
      <c r="GL11" s="16">
        <f>GL7+GL4</f>
        <v/>
      </c>
      <c r="GM11" s="16">
        <f>GM7+GM4</f>
        <v/>
      </c>
      <c r="GN11" s="16">
        <f>GN7+GN4</f>
        <v/>
      </c>
      <c r="GO11" s="16">
        <f>GO7+GO4</f>
        <v/>
      </c>
      <c r="GP11" s="16">
        <f>GP7+GP4</f>
        <v/>
      </c>
      <c r="GQ11" s="16">
        <f>GQ7+GQ4</f>
        <v/>
      </c>
      <c r="GR11" s="16">
        <f>GR7+GR4</f>
        <v/>
      </c>
      <c r="GS11" s="16">
        <f>GS7+GS4</f>
        <v/>
      </c>
      <c r="GT11" s="16">
        <f>GT7+GT4</f>
        <v/>
      </c>
      <c r="GU11" s="16">
        <f>GU7+GU4</f>
        <v/>
      </c>
      <c r="GV11" s="16">
        <f>GV7+GV4</f>
        <v/>
      </c>
      <c r="GW11" s="16">
        <f>GW7+GW4</f>
        <v/>
      </c>
      <c r="GX11" s="16">
        <f>GX7+GX4</f>
        <v/>
      </c>
      <c r="GY11" s="16">
        <f>GY7+GY4</f>
        <v/>
      </c>
      <c r="GZ11" s="16">
        <f>GZ7+GZ4</f>
        <v/>
      </c>
      <c r="HA11" s="16">
        <f>HA7+HA4</f>
        <v/>
      </c>
      <c r="HB11" s="16">
        <f>HB7+HB4</f>
        <v/>
      </c>
      <c r="HC11" s="16">
        <f>HC7+HC4</f>
        <v/>
      </c>
      <c r="HD11" s="16">
        <f>HD7+HD4</f>
        <v/>
      </c>
      <c r="HE11" s="16">
        <f>HE7+HE4</f>
        <v/>
      </c>
      <c r="HF11" s="16">
        <f>HF7+HF4</f>
        <v/>
      </c>
      <c r="HG11" s="16">
        <f>HG7+HG4</f>
        <v/>
      </c>
      <c r="HH11" s="16">
        <f>HH7+HH4</f>
        <v/>
      </c>
      <c r="HI11" s="16">
        <f>HI7+HI4</f>
        <v/>
      </c>
      <c r="HJ11" s="16">
        <f>HJ7+HJ4</f>
        <v/>
      </c>
      <c r="HK11" s="16">
        <f>HK7+HK4</f>
        <v/>
      </c>
      <c r="HL11" s="16">
        <f>HL7+HL4</f>
        <v/>
      </c>
      <c r="HM11" s="16">
        <f>HM7+HM4</f>
        <v/>
      </c>
      <c r="HN11" s="127">
        <f>SUM(GK11:HM11)</f>
        <v/>
      </c>
      <c r="HO11" s="16">
        <f>HO7+HO4</f>
        <v/>
      </c>
      <c r="HP11" s="16">
        <f>HP7+HP4</f>
        <v/>
      </c>
      <c r="HQ11" s="16">
        <f>HQ7+HQ4</f>
        <v/>
      </c>
      <c r="HR11" s="16">
        <f>HR7+HR4</f>
        <v/>
      </c>
      <c r="HS11" s="16">
        <f>HS7+HS4</f>
        <v/>
      </c>
      <c r="HT11" s="16">
        <f>HT7+HT4</f>
        <v/>
      </c>
      <c r="HU11" s="16">
        <f>HU7+HU4</f>
        <v/>
      </c>
      <c r="HV11" s="16">
        <f>HV7+HV4</f>
        <v/>
      </c>
      <c r="HW11" s="16">
        <f>HW7+HW4</f>
        <v/>
      </c>
      <c r="HX11" s="16">
        <f>HX7+HX4</f>
        <v/>
      </c>
      <c r="HY11" s="16">
        <f>HY7+HY4</f>
        <v/>
      </c>
      <c r="HZ11" s="16">
        <f>HZ7+HZ4</f>
        <v/>
      </c>
      <c r="IA11" s="16">
        <f>IA7+IA4</f>
        <v/>
      </c>
      <c r="IB11" s="16">
        <f>IB7+IB4</f>
        <v/>
      </c>
      <c r="IC11" s="16">
        <f>IC7+IC4</f>
        <v/>
      </c>
      <c r="ID11" s="16">
        <f>ID7+ID4</f>
        <v/>
      </c>
      <c r="IE11" s="16">
        <f>IE7+IE4</f>
        <v/>
      </c>
      <c r="IF11" s="16">
        <f>IF7+IF4</f>
        <v/>
      </c>
      <c r="IG11" s="16">
        <f>IG7+IG4</f>
        <v/>
      </c>
      <c r="IH11" s="16">
        <f>IH7+IH4</f>
        <v/>
      </c>
      <c r="II11" s="16">
        <f>II7+II4</f>
        <v/>
      </c>
      <c r="IJ11" s="16">
        <f>IJ7+IJ4</f>
        <v/>
      </c>
      <c r="IK11" s="16">
        <f>IK7+IK4</f>
        <v/>
      </c>
      <c r="IL11" s="16">
        <f>IL7+IL4</f>
        <v/>
      </c>
      <c r="IM11" s="16">
        <f>IM7+IM4</f>
        <v/>
      </c>
      <c r="IN11" s="16">
        <f>IN7+IN4</f>
        <v/>
      </c>
      <c r="IO11" s="16">
        <f>IO7+IO4</f>
        <v/>
      </c>
      <c r="IP11" s="16">
        <f>IP7+IP4</f>
        <v/>
      </c>
      <c r="IQ11" s="16">
        <f>IQ7+IQ4</f>
        <v/>
      </c>
      <c r="IR11" s="16">
        <f>IR7+IR4</f>
        <v/>
      </c>
      <c r="IS11" s="16">
        <f>IS7+IS4</f>
        <v/>
      </c>
      <c r="IT11" s="127">
        <f>SUM(HO11:IS11)</f>
        <v/>
      </c>
      <c r="IU11" s="16">
        <f>IU7+IU4</f>
        <v/>
      </c>
      <c r="IV11" s="16">
        <f>IV7+IV4</f>
        <v/>
      </c>
      <c r="IW11" s="16">
        <f>IW7+IW4</f>
        <v/>
      </c>
      <c r="IX11" s="16">
        <f>IX7+IX4</f>
        <v/>
      </c>
      <c r="IY11" s="16">
        <f>IY7+IY4</f>
        <v/>
      </c>
      <c r="IZ11" s="16">
        <f>IZ7+IZ4</f>
        <v/>
      </c>
      <c r="JA11" s="16">
        <f>JA7+JA4</f>
        <v/>
      </c>
      <c r="JB11" s="16">
        <f>JB7+JB4</f>
        <v/>
      </c>
      <c r="JC11" s="16">
        <f>JC7+JC4</f>
        <v/>
      </c>
      <c r="JD11" s="16">
        <f>JD7+JD4</f>
        <v/>
      </c>
      <c r="JE11" s="16">
        <f>JE7+JE4</f>
        <v/>
      </c>
      <c r="JF11" s="16">
        <f>JF7+JF4</f>
        <v/>
      </c>
      <c r="JG11" s="16">
        <f>JG7+JG4</f>
        <v/>
      </c>
      <c r="JH11" s="16">
        <f>JH7+JH4</f>
        <v/>
      </c>
      <c r="JI11" s="16">
        <f>JI7+JI4</f>
        <v/>
      </c>
      <c r="JJ11" s="16">
        <f>JJ7+JJ4</f>
        <v/>
      </c>
      <c r="JK11" s="16">
        <f>JK7+JK4</f>
        <v/>
      </c>
      <c r="JL11" s="16">
        <f>JL7+JL4</f>
        <v/>
      </c>
      <c r="JM11" s="16">
        <f>JM7+JM4</f>
        <v/>
      </c>
      <c r="JN11" s="16">
        <f>JN7+JN4</f>
        <v/>
      </c>
      <c r="JO11" s="16">
        <f>JO7+JO4</f>
        <v/>
      </c>
      <c r="JP11" s="16">
        <f>JP7+JP4</f>
        <v/>
      </c>
      <c r="JQ11" s="16">
        <f>JQ7+JQ4</f>
        <v/>
      </c>
      <c r="JR11" s="16">
        <f>JR7+JR4</f>
        <v/>
      </c>
      <c r="JS11" s="16">
        <f>JS7+JS4</f>
        <v/>
      </c>
      <c r="JT11" s="16">
        <f>JT7+JT4</f>
        <v/>
      </c>
      <c r="JU11" s="16">
        <f>JU7+JU4</f>
        <v/>
      </c>
      <c r="JV11" s="16">
        <f>JV7+JV4</f>
        <v/>
      </c>
      <c r="JW11" s="16">
        <f>JW7+JW4</f>
        <v/>
      </c>
      <c r="JX11" s="16">
        <f>JX7+JX4</f>
        <v/>
      </c>
      <c r="JY11" s="127">
        <f>SUM(IU11:JX11)</f>
        <v/>
      </c>
      <c r="JZ11" s="16">
        <f>JZ7+JZ4</f>
        <v/>
      </c>
      <c r="KA11" s="16">
        <f>KA7+KA4</f>
        <v/>
      </c>
      <c r="KB11" s="16">
        <f>KB7+KB4</f>
        <v/>
      </c>
      <c r="KC11" s="16">
        <f>KC7+KC4</f>
        <v/>
      </c>
      <c r="KD11" s="16">
        <f>KD7+KD4</f>
        <v/>
      </c>
      <c r="KE11" s="16">
        <f>KE7+KE4</f>
        <v/>
      </c>
      <c r="KF11" s="16">
        <f>KF7+KF4</f>
        <v/>
      </c>
      <c r="KG11" s="16">
        <f>KG7+KG4</f>
        <v/>
      </c>
      <c r="KH11" s="16">
        <f>KH7+KH4</f>
        <v/>
      </c>
      <c r="KI11" s="16">
        <f>KI7+KI4</f>
        <v/>
      </c>
      <c r="KJ11" s="16">
        <f>KJ7+KJ4</f>
        <v/>
      </c>
      <c r="KK11" s="16">
        <f>KK7+KK4</f>
        <v/>
      </c>
      <c r="KL11" s="16">
        <f>KL7+KL4</f>
        <v/>
      </c>
      <c r="KM11" s="16">
        <f>KM7+KM4</f>
        <v/>
      </c>
      <c r="KN11" s="16">
        <f>KN7+KN4</f>
        <v/>
      </c>
      <c r="KO11" s="16">
        <f>KO7+KO4</f>
        <v/>
      </c>
      <c r="KP11" s="16">
        <f>KP7+KP4</f>
        <v/>
      </c>
      <c r="KQ11" s="16">
        <f>KQ7+KQ4</f>
        <v/>
      </c>
      <c r="KR11" s="16">
        <f>KR7+KR4</f>
        <v/>
      </c>
      <c r="KS11" s="16">
        <f>KS7+KS4</f>
        <v/>
      </c>
      <c r="KT11" s="16">
        <f>KT7+KT4</f>
        <v/>
      </c>
      <c r="KU11" s="16">
        <f>KU7+KU4</f>
        <v/>
      </c>
      <c r="KV11" s="16">
        <f>KV7+KV4</f>
        <v/>
      </c>
      <c r="KW11" s="16">
        <f>KW7+KW4</f>
        <v/>
      </c>
      <c r="KX11" s="16">
        <f>KX7+KX4</f>
        <v/>
      </c>
      <c r="KY11" s="16">
        <f>KY7+KY4</f>
        <v/>
      </c>
      <c r="KZ11" s="16">
        <f>KZ7+KZ4</f>
        <v/>
      </c>
      <c r="LA11" s="16">
        <f>LA7+LA4</f>
        <v/>
      </c>
      <c r="LB11" s="16">
        <f>LB7+LB4</f>
        <v/>
      </c>
      <c r="LC11" s="16">
        <f>LC7+LC4</f>
        <v/>
      </c>
      <c r="LD11" s="16">
        <f>LD7+LD4</f>
        <v/>
      </c>
      <c r="LE11" s="127">
        <f>SUM(KA11:LD11)</f>
        <v/>
      </c>
      <c r="LF11" s="16">
        <f>LF7+LF4</f>
        <v/>
      </c>
      <c r="LG11" s="16">
        <f>LG7+LG4</f>
        <v/>
      </c>
      <c r="LH11" s="16">
        <f>LH7+LH4</f>
        <v/>
      </c>
      <c r="LI11" s="16">
        <f>LI7+LI4</f>
        <v/>
      </c>
      <c r="LJ11" s="16">
        <f>LJ7+LJ4</f>
        <v/>
      </c>
      <c r="LK11" s="16">
        <f>LK7+LK4</f>
        <v/>
      </c>
      <c r="LL11" s="16">
        <f>LL7+LL4</f>
        <v/>
      </c>
      <c r="LM11" s="16">
        <f>LM7+LM4</f>
        <v/>
      </c>
      <c r="LN11" s="16">
        <f>LN7+LN4</f>
        <v/>
      </c>
      <c r="LO11" s="16">
        <f>LO7+LO4</f>
        <v/>
      </c>
      <c r="LP11" s="16">
        <f>LP7+LP4</f>
        <v/>
      </c>
      <c r="LQ11" s="16">
        <f>LQ7+LQ4</f>
        <v/>
      </c>
      <c r="LR11" s="16">
        <f>LR7+LR4</f>
        <v/>
      </c>
      <c r="LS11" s="16">
        <f>LS7+LS4</f>
        <v/>
      </c>
      <c r="LT11" s="16">
        <f>LT7+LT4</f>
        <v/>
      </c>
      <c r="LU11" s="16">
        <f>LU7+LU4</f>
        <v/>
      </c>
      <c r="LV11" s="16">
        <f>LV7+LV4</f>
        <v/>
      </c>
      <c r="LW11" s="16">
        <f>LW7+LW4</f>
        <v/>
      </c>
      <c r="LX11" s="16">
        <f>LX7+LX4</f>
        <v/>
      </c>
      <c r="LY11" s="16">
        <f>LY7+LY4</f>
        <v/>
      </c>
      <c r="LZ11" s="16">
        <f>LZ7+LZ4</f>
        <v/>
      </c>
      <c r="MA11" s="16">
        <f>MA7+MA4</f>
        <v/>
      </c>
      <c r="MB11" s="16">
        <f>MB7+MB4</f>
        <v/>
      </c>
      <c r="MC11" s="16">
        <f>MC7+MC4</f>
        <v/>
      </c>
      <c r="MD11" s="16">
        <f>MD7+MD4</f>
        <v/>
      </c>
      <c r="ME11" s="16">
        <f>ME7+ME4</f>
        <v/>
      </c>
      <c r="MF11" s="16">
        <f>MF7+MF4</f>
        <v/>
      </c>
      <c r="MG11" s="16">
        <f>MG7+MG4</f>
        <v/>
      </c>
      <c r="MH11" s="16">
        <f>MH7+MH4</f>
        <v/>
      </c>
      <c r="MI11" s="16">
        <f>MI7+MI4</f>
        <v/>
      </c>
      <c r="MJ11" s="127">
        <f>SUM(LF11:MI11)</f>
        <v/>
      </c>
      <c r="MK11" s="16">
        <f>MK7+MK4</f>
        <v/>
      </c>
      <c r="ML11" s="16">
        <f>ML7+ML4</f>
        <v/>
      </c>
      <c r="MM11" s="16">
        <f>MM7+MM4</f>
        <v/>
      </c>
      <c r="MN11" s="16">
        <f>MN7+MN4</f>
        <v/>
      </c>
      <c r="MO11" s="16">
        <f>MO7+MO4</f>
        <v/>
      </c>
      <c r="MP11" s="16">
        <f>MP7+MP4</f>
        <v/>
      </c>
      <c r="MQ11" s="16">
        <f>MQ7+MQ4</f>
        <v/>
      </c>
      <c r="MR11" s="16">
        <f>MR7+MR4</f>
        <v/>
      </c>
      <c r="MS11" s="16">
        <f>MS7+MS4</f>
        <v/>
      </c>
      <c r="MT11" s="16">
        <f>MT7+MT4</f>
        <v/>
      </c>
      <c r="MU11" s="16">
        <f>MU7+MU4</f>
        <v/>
      </c>
      <c r="MV11" s="16">
        <f>MV7+MV4</f>
        <v/>
      </c>
      <c r="MW11" s="16">
        <f>MW7+MW4</f>
        <v/>
      </c>
      <c r="MX11" s="16">
        <f>MX7+MX4</f>
        <v/>
      </c>
      <c r="MY11" s="16">
        <f>MY7+MY4</f>
        <v/>
      </c>
      <c r="MZ11" s="16">
        <f>MZ7+MZ4</f>
        <v/>
      </c>
      <c r="NA11" s="16">
        <f>NA7+NA4</f>
        <v/>
      </c>
      <c r="NB11" s="16">
        <f>NB7+NB4</f>
        <v/>
      </c>
      <c r="NC11" s="16">
        <f>NC7+NC4</f>
        <v/>
      </c>
      <c r="ND11" s="16">
        <f>ND7+ND4</f>
        <v/>
      </c>
      <c r="NE11" s="16">
        <f>NE7+NE4</f>
        <v/>
      </c>
      <c r="NF11" s="16">
        <f>NF7+NF4</f>
        <v/>
      </c>
      <c r="NG11" s="16">
        <f>NG7+NG4</f>
        <v/>
      </c>
      <c r="NH11" s="16">
        <f>NH7+NH4</f>
        <v/>
      </c>
      <c r="NI11" s="16">
        <f>NI7+NI4</f>
        <v/>
      </c>
      <c r="NJ11" s="16">
        <f>NJ7+NJ4</f>
        <v/>
      </c>
      <c r="NK11" s="16">
        <f>NK7+NK4</f>
        <v/>
      </c>
      <c r="NL11" s="16">
        <f>NL7+NL4</f>
        <v/>
      </c>
      <c r="NM11" s="16">
        <f>NM7+NM4</f>
        <v/>
      </c>
      <c r="NN11" s="16">
        <f>NN7+NN4</f>
        <v/>
      </c>
      <c r="NO11" s="16">
        <f>NO7+NO4</f>
        <v/>
      </c>
      <c r="NP11" s="127">
        <f>SUM(ML11:NO11)</f>
        <v/>
      </c>
      <c r="NQ11" s="16">
        <f>NQ7+NQ4</f>
        <v/>
      </c>
      <c r="NR11" s="16">
        <f>NR7+NR4</f>
        <v/>
      </c>
      <c r="NS11" s="16">
        <f>NS7+NS4</f>
        <v/>
      </c>
      <c r="NT11" s="16">
        <f>NT7+NT4</f>
        <v/>
      </c>
      <c r="NU11" s="16">
        <f>NU7+NU4</f>
        <v/>
      </c>
      <c r="NV11" s="16">
        <f>NV7+NV4</f>
        <v/>
      </c>
      <c r="NW11" s="16">
        <f>NW7+NW4</f>
        <v/>
      </c>
      <c r="NX11" s="16">
        <f>NX7+NX4</f>
        <v/>
      </c>
      <c r="NY11" s="16">
        <f>NY7+NY4</f>
        <v/>
      </c>
      <c r="NZ11" s="16">
        <f>NZ7+NZ4</f>
        <v/>
      </c>
      <c r="OA11" s="16">
        <f>OA7+OA4</f>
        <v/>
      </c>
      <c r="OB11" s="16">
        <f>OB7+OB4</f>
        <v/>
      </c>
      <c r="OC11" s="16">
        <f>OC7+OC4</f>
        <v/>
      </c>
      <c r="OD11" s="16">
        <f>OD7+OD4</f>
        <v/>
      </c>
      <c r="OE11" s="16">
        <f>OE7+OE4</f>
        <v/>
      </c>
      <c r="OF11" s="16">
        <f>OF7+OF4</f>
        <v/>
      </c>
      <c r="OG11" s="16">
        <f>OG7+OG4</f>
        <v/>
      </c>
      <c r="OH11" s="16">
        <f>OH7+OH4</f>
        <v/>
      </c>
      <c r="OI11" s="16">
        <f>OI7+OI4</f>
        <v/>
      </c>
      <c r="OJ11" s="16">
        <f>OJ7+OJ4</f>
        <v/>
      </c>
      <c r="OK11" s="16">
        <f>OK7+OK4</f>
        <v/>
      </c>
      <c r="OL11" s="16">
        <f>OL7+OL4</f>
        <v/>
      </c>
      <c r="OM11" s="16">
        <f>OM7+OM4</f>
        <v/>
      </c>
      <c r="ON11" s="16">
        <f>ON7+ON4</f>
        <v/>
      </c>
      <c r="OO11" s="16">
        <f>OO7+OO4</f>
        <v/>
      </c>
      <c r="OP11" s="16">
        <f>OP7+OP4</f>
        <v/>
      </c>
      <c r="OQ11" s="16">
        <f>OQ7+OQ4</f>
        <v/>
      </c>
      <c r="OR11" s="16">
        <f>OR7+OR4</f>
        <v/>
      </c>
      <c r="OS11" s="16">
        <f>OS7+OS4</f>
        <v/>
      </c>
      <c r="OT11" s="16">
        <f>OT7+OT4</f>
        <v/>
      </c>
      <c r="OU11" s="16">
        <f>OU7+OU4</f>
        <v/>
      </c>
      <c r="OV11" s="127">
        <f>SUM(NR11:OU11)</f>
        <v/>
      </c>
      <c r="OW11" s="16">
        <f>OW7+OW4</f>
        <v/>
      </c>
      <c r="OX11" s="16">
        <f>OX7+OX4</f>
        <v/>
      </c>
      <c r="OY11" s="16">
        <f>OY7+OY4</f>
        <v/>
      </c>
      <c r="OZ11" s="16">
        <f>OZ7+OZ4</f>
        <v/>
      </c>
      <c r="PA11" s="16">
        <f>PA7+PA4</f>
        <v/>
      </c>
      <c r="PB11" s="16">
        <f>PB7+PB4</f>
        <v/>
      </c>
      <c r="PC11" s="16">
        <f>PC7+PC4</f>
        <v/>
      </c>
      <c r="PD11" s="16">
        <f>PD7+PD4</f>
        <v/>
      </c>
      <c r="PE11" s="16">
        <f>PE7+PE4</f>
        <v/>
      </c>
      <c r="PF11" s="16">
        <f>PF7+PF4</f>
        <v/>
      </c>
      <c r="PG11" s="16">
        <f>PG7+PG4</f>
        <v/>
      </c>
      <c r="PH11" s="16">
        <f>PH7+PH4</f>
        <v/>
      </c>
      <c r="PI11" s="16">
        <f>PI7+PI4</f>
        <v/>
      </c>
      <c r="PJ11" s="16">
        <f>PJ7+PJ4</f>
        <v/>
      </c>
      <c r="PK11" s="16">
        <f>PK7+PK4</f>
        <v/>
      </c>
      <c r="PL11" s="16">
        <f>PL7+PL4</f>
        <v/>
      </c>
      <c r="PM11" s="16">
        <f>PM7+PM4</f>
        <v/>
      </c>
      <c r="PN11" s="16">
        <f>PN7+PN4</f>
        <v/>
      </c>
      <c r="PO11" s="16">
        <f>PO7+PO4</f>
        <v/>
      </c>
      <c r="PP11" s="16">
        <f>PP7+PP4</f>
        <v/>
      </c>
      <c r="PQ11" s="16">
        <f>PQ7+PQ4</f>
        <v/>
      </c>
      <c r="PR11" s="16">
        <f>PR7+PR4</f>
        <v/>
      </c>
      <c r="PS11" s="16">
        <f>PS7+PS4</f>
        <v/>
      </c>
      <c r="PT11" s="16">
        <f>PT7+PT4</f>
        <v/>
      </c>
      <c r="PU11" s="16">
        <f>PU7+PU4</f>
        <v/>
      </c>
      <c r="PV11" s="16">
        <f>PV7+PV4</f>
        <v/>
      </c>
      <c r="PW11" s="16">
        <f>PW7+PW4</f>
        <v/>
      </c>
      <c r="PX11" s="16">
        <f>PX7+PX4</f>
        <v/>
      </c>
      <c r="PY11" s="16">
        <f>PY7+PY4</f>
        <v/>
      </c>
      <c r="PZ11" s="16">
        <f>PZ7+PZ4</f>
        <v/>
      </c>
      <c r="QA11" s="127">
        <f>SUM(OW11:PZ11)</f>
        <v/>
      </c>
      <c r="QB11" s="16">
        <f>QB7+QB4</f>
        <v/>
      </c>
      <c r="QC11" s="16">
        <f>QC7+QC4</f>
        <v/>
      </c>
      <c r="QD11" s="16">
        <f>QD7+QD4</f>
        <v/>
      </c>
      <c r="QE11" s="16">
        <f>QE7+QE4</f>
        <v/>
      </c>
      <c r="QF11" s="16">
        <f>QF7+QF4</f>
        <v/>
      </c>
      <c r="QG11" s="16">
        <f>QG7+QG4</f>
        <v/>
      </c>
      <c r="QH11" s="16">
        <f>QH7+QH4</f>
        <v/>
      </c>
      <c r="QI11" s="16">
        <f>QI7+QI4</f>
        <v/>
      </c>
      <c r="QJ11" s="16">
        <f>QJ7+QJ4</f>
        <v/>
      </c>
      <c r="QK11" s="16">
        <f>QK7+QK4</f>
        <v/>
      </c>
      <c r="QL11" s="16">
        <f>QL7+QL4</f>
        <v/>
      </c>
      <c r="QM11" s="16">
        <f>QM7+QM4</f>
        <v/>
      </c>
      <c r="QN11" s="16">
        <f>QN7+QN4</f>
        <v/>
      </c>
      <c r="QO11" s="16">
        <f>QO7+QO4</f>
        <v/>
      </c>
      <c r="QP11" s="16">
        <f>QP7+QP4</f>
        <v/>
      </c>
      <c r="QQ11" s="16">
        <f>QQ7+QQ4</f>
        <v/>
      </c>
      <c r="QR11" s="16">
        <f>QR7+QR4</f>
        <v/>
      </c>
      <c r="QS11" s="16">
        <f>QS7+QS4</f>
        <v/>
      </c>
      <c r="QT11" s="16">
        <f>QT7+QT4</f>
        <v/>
      </c>
      <c r="QU11" s="16">
        <f>QU7+QU4</f>
        <v/>
      </c>
      <c r="QV11" s="16">
        <f>QV7+QV4</f>
        <v/>
      </c>
      <c r="QW11" s="16">
        <f>QW7+QW4</f>
        <v/>
      </c>
      <c r="QX11" s="16">
        <f>QX7+QX4</f>
        <v/>
      </c>
      <c r="QY11" s="16">
        <f>QY7+QY4</f>
        <v/>
      </c>
      <c r="QZ11" s="16">
        <f>QZ7+QZ4</f>
        <v/>
      </c>
      <c r="RA11" s="16">
        <f>RA7+RA4</f>
        <v/>
      </c>
      <c r="RB11" s="16">
        <f>RB7+RB4</f>
        <v/>
      </c>
      <c r="RC11" s="16">
        <f>RC7+RC4</f>
        <v/>
      </c>
      <c r="RD11" s="16">
        <f>RD7+RD4</f>
        <v/>
      </c>
      <c r="RE11" s="16">
        <f>RE7+RE4</f>
        <v/>
      </c>
      <c r="RF11" s="16">
        <f>RF7+RF4</f>
        <v/>
      </c>
      <c r="RG11" s="127">
        <f>RG7+RG4</f>
        <v/>
      </c>
      <c r="RH11" s="16">
        <f>RH7+RH4</f>
        <v/>
      </c>
      <c r="RI11" s="16">
        <f>RI7+RI4</f>
        <v/>
      </c>
      <c r="RJ11" s="16">
        <f>RJ7+RJ4</f>
        <v/>
      </c>
      <c r="RK11" s="16">
        <f>RK7+RK4</f>
        <v/>
      </c>
      <c r="RL11" s="16">
        <f>RL7+RL4</f>
        <v/>
      </c>
      <c r="RM11" s="16">
        <f>RM7+RM4</f>
        <v/>
      </c>
      <c r="RN11" s="16">
        <f>RN7+RN4</f>
        <v/>
      </c>
      <c r="RO11" s="16">
        <f>RO7+RO4</f>
        <v/>
      </c>
      <c r="RP11" s="16">
        <f>RP7+RP4</f>
        <v/>
      </c>
      <c r="RQ11" s="16">
        <f>RQ7+RQ4</f>
        <v/>
      </c>
      <c r="RR11" s="16">
        <f>RR7+RR4</f>
        <v/>
      </c>
      <c r="RS11" s="16">
        <f>RS7+RS4</f>
        <v/>
      </c>
      <c r="RT11" s="16">
        <f>RT7+RT4</f>
        <v/>
      </c>
      <c r="RU11" s="16">
        <f>RU7+RU4</f>
        <v/>
      </c>
      <c r="RV11" s="16">
        <f>RV7+RV4</f>
        <v/>
      </c>
      <c r="RW11" s="16">
        <f>RW7+RW4</f>
        <v/>
      </c>
      <c r="RX11" s="16">
        <f>RX7+RX4</f>
        <v/>
      </c>
      <c r="RY11" s="16">
        <f>RY7+RY4</f>
        <v/>
      </c>
      <c r="RZ11" s="16">
        <f>RZ7+RZ4</f>
        <v/>
      </c>
      <c r="SA11" s="16">
        <f>SA7+SA4</f>
        <v/>
      </c>
      <c r="SB11" s="16">
        <f>SB7+SB4</f>
        <v/>
      </c>
      <c r="SC11" s="16">
        <f>SC7+SC4</f>
        <v/>
      </c>
      <c r="SD11" s="16">
        <f>SD7+SD4</f>
        <v/>
      </c>
      <c r="SE11" s="16">
        <f>SE7+SE4</f>
        <v/>
      </c>
      <c r="SF11" s="16">
        <f>SF7+SF4</f>
        <v/>
      </c>
      <c r="SG11" s="16">
        <f>SG7+SG4</f>
        <v/>
      </c>
      <c r="SH11" s="16">
        <f>SH7+SH4</f>
        <v/>
      </c>
      <c r="SI11" s="16">
        <f>SI7+SI4</f>
        <v/>
      </c>
      <c r="SJ11" s="16">
        <f>SJ7+SJ4</f>
        <v/>
      </c>
      <c r="SK11" s="16">
        <f>SK7+SK4</f>
        <v/>
      </c>
      <c r="SL11" s="127">
        <f>SL7+SL4</f>
        <v/>
      </c>
      <c r="SM11" s="16">
        <f>SM7+SM4</f>
        <v/>
      </c>
      <c r="SN11" s="16">
        <f>SN7+SN4</f>
        <v/>
      </c>
      <c r="SO11" s="16">
        <f>SO7+SO4</f>
        <v/>
      </c>
      <c r="SP11" s="16">
        <f>SP7+SP4</f>
        <v/>
      </c>
      <c r="SQ11" s="16">
        <f>SQ7+SQ4</f>
        <v/>
      </c>
      <c r="SR11" s="16">
        <f>SR7+SR4</f>
        <v/>
      </c>
      <c r="SS11" s="16">
        <f>SS7+SS4</f>
        <v/>
      </c>
      <c r="ST11" s="16">
        <f>ST7+ST4</f>
        <v/>
      </c>
      <c r="SU11" s="16">
        <f>SU7+SU4</f>
        <v/>
      </c>
      <c r="SV11" s="16">
        <f>SV7+SV4</f>
        <v/>
      </c>
      <c r="SW11" s="16">
        <f>SW7+SW4</f>
        <v/>
      </c>
      <c r="SX11" s="16">
        <f>SX7+SX4</f>
        <v/>
      </c>
      <c r="SY11" s="16">
        <f>SY7+SY4</f>
        <v/>
      </c>
      <c r="SZ11" s="16">
        <f>SZ7+SZ4</f>
        <v/>
      </c>
      <c r="TA11" s="16">
        <f>TA7+TA4</f>
        <v/>
      </c>
      <c r="TB11" s="16">
        <f>TB7+TB4</f>
        <v/>
      </c>
      <c r="TC11" s="16">
        <f>TC7+TC4</f>
        <v/>
      </c>
      <c r="TD11" s="16">
        <f>TD7+TD4</f>
        <v/>
      </c>
      <c r="TE11" s="16">
        <f>TE7+TE4</f>
        <v/>
      </c>
      <c r="TF11" s="16">
        <f>TF7+TF4</f>
        <v/>
      </c>
      <c r="TG11" s="16">
        <f>TG7+TG4</f>
        <v/>
      </c>
      <c r="TH11" s="16">
        <f>TH7+TH4</f>
        <v/>
      </c>
      <c r="TI11" s="16">
        <f>TI7+TI4</f>
        <v/>
      </c>
      <c r="TJ11" s="16">
        <f>TJ7+TJ4</f>
        <v/>
      </c>
      <c r="TK11" s="16">
        <f>TK7+TK4</f>
        <v/>
      </c>
      <c r="TL11" s="16">
        <f>TL7+TL4</f>
        <v/>
      </c>
      <c r="TM11" s="16">
        <f>TM7+TM4</f>
        <v/>
      </c>
      <c r="TN11" s="16">
        <f>TN7+TN4</f>
        <v/>
      </c>
      <c r="TO11" s="16">
        <f>TO7+TO4</f>
        <v/>
      </c>
      <c r="TP11" s="16">
        <f>TP7+TP4</f>
        <v/>
      </c>
      <c r="TQ11" s="16">
        <f>TQ7+TQ4</f>
        <v/>
      </c>
      <c r="TR11" s="127">
        <f>TR7+TR4</f>
        <v/>
      </c>
      <c r="TS11" s="16">
        <f>TS7+TS4</f>
        <v/>
      </c>
      <c r="TT11" s="16">
        <f>TT7+TT4</f>
        <v/>
      </c>
      <c r="TU11" s="16">
        <f>TU7+TU4</f>
        <v/>
      </c>
      <c r="TV11" s="16">
        <f>TV7+TV4</f>
        <v/>
      </c>
      <c r="TW11" s="16">
        <f>TW7+TW4</f>
        <v/>
      </c>
      <c r="TX11" s="16">
        <f>TX7+TX4</f>
        <v/>
      </c>
      <c r="TY11" s="16">
        <f>TY7+TY4</f>
        <v/>
      </c>
      <c r="TZ11" s="16">
        <f>TZ7+TZ4</f>
        <v/>
      </c>
      <c r="UA11" s="16">
        <f>UA7+UA4</f>
        <v/>
      </c>
      <c r="UB11" s="16">
        <f>UB7+UB4</f>
        <v/>
      </c>
      <c r="UC11" s="16">
        <f>UC7+UC4</f>
        <v/>
      </c>
      <c r="UD11" s="16">
        <f>UD7+UD4</f>
        <v/>
      </c>
      <c r="UE11" s="16">
        <f>UE7+UE4</f>
        <v/>
      </c>
      <c r="UF11" s="16">
        <f>UF7+UF4</f>
        <v/>
      </c>
      <c r="UG11" s="16">
        <f>UG7+UG4</f>
        <v/>
      </c>
      <c r="UH11" s="16">
        <f>UH7+UH4</f>
        <v/>
      </c>
      <c r="UI11" s="16">
        <f>UI7+UI4</f>
        <v/>
      </c>
      <c r="UJ11" s="16">
        <f>UJ7+UJ4</f>
        <v/>
      </c>
      <c r="UK11" s="16">
        <f>UK7+UK4</f>
        <v/>
      </c>
      <c r="UL11" s="16">
        <f>UL7+UL4</f>
        <v/>
      </c>
      <c r="UM11" s="16">
        <f>UM7+UM4</f>
        <v/>
      </c>
      <c r="UN11" s="16">
        <f>UN7+UN4</f>
        <v/>
      </c>
      <c r="UO11" s="16">
        <f>UO7+UO4</f>
        <v/>
      </c>
      <c r="UP11" s="16">
        <f>UP7+UP4</f>
        <v/>
      </c>
      <c r="UQ11" s="16">
        <f>UQ7+UQ4</f>
        <v/>
      </c>
      <c r="UR11" s="16">
        <f>UR7+UR4</f>
        <v/>
      </c>
      <c r="US11" s="16">
        <f>US7+US4</f>
        <v/>
      </c>
      <c r="UT11" s="16">
        <f>UT7+UT4</f>
        <v/>
      </c>
      <c r="UU11" s="16">
        <f>UU7+UU4</f>
        <v/>
      </c>
      <c r="UV11" s="16">
        <f>UV7+UV4</f>
        <v/>
      </c>
      <c r="UW11" s="16">
        <f>UW7+UW4</f>
        <v/>
      </c>
      <c r="UX11" s="127">
        <f>UX7+UX4</f>
        <v/>
      </c>
      <c r="UY11" s="16">
        <f>UY7+UY4</f>
        <v/>
      </c>
      <c r="UZ11" s="16">
        <f>UZ7+UZ4</f>
        <v/>
      </c>
      <c r="VA11" s="16">
        <f>VA7+VA4</f>
        <v/>
      </c>
      <c r="VB11" s="16">
        <f>VB7+VB4</f>
        <v/>
      </c>
      <c r="VC11" s="16">
        <f>VC7+VC4</f>
        <v/>
      </c>
      <c r="VD11" s="16">
        <f>VD7+VD4</f>
        <v/>
      </c>
      <c r="VE11" s="16">
        <f>VE7+VE4</f>
        <v/>
      </c>
      <c r="VF11" s="16">
        <f>VF7+VF4</f>
        <v/>
      </c>
      <c r="VG11" s="16">
        <f>VG7+VG4</f>
        <v/>
      </c>
      <c r="VH11" s="16">
        <f>VH7+VH4</f>
        <v/>
      </c>
      <c r="VI11" s="16">
        <f>VI7+VI4</f>
        <v/>
      </c>
      <c r="VJ11" s="16">
        <f>VJ7+VJ4</f>
        <v/>
      </c>
      <c r="VK11" s="16">
        <f>VK7+VK4</f>
        <v/>
      </c>
      <c r="VL11" s="16">
        <f>VL7+VL4</f>
        <v/>
      </c>
      <c r="VM11" s="16">
        <f>VM7+VM4</f>
        <v/>
      </c>
      <c r="VN11" s="16">
        <f>VN7+VN4</f>
        <v/>
      </c>
      <c r="VO11" s="16">
        <f>VO7+VO4</f>
        <v/>
      </c>
      <c r="VP11" s="16">
        <f>VP7+VP4</f>
        <v/>
      </c>
      <c r="VQ11" s="16">
        <f>VQ7+VQ4</f>
        <v/>
      </c>
      <c r="VR11" s="16">
        <f>VR7+VR4</f>
        <v/>
      </c>
      <c r="VS11" s="16">
        <f>VS7+VS4</f>
        <v/>
      </c>
      <c r="VT11" s="16">
        <f>VT7+VT4</f>
        <v/>
      </c>
      <c r="VU11" s="16">
        <f>VU7+VU4</f>
        <v/>
      </c>
      <c r="VV11" s="16">
        <f>VV7+VV4</f>
        <v/>
      </c>
      <c r="VW11" s="16">
        <f>VW7+VW4</f>
        <v/>
      </c>
      <c r="VX11" s="16">
        <f>VX7+VX4</f>
        <v/>
      </c>
      <c r="VY11" s="16">
        <f>VY7+VY4</f>
        <v/>
      </c>
      <c r="VZ11" s="16">
        <f>VZ7+VZ4</f>
        <v/>
      </c>
      <c r="WA11" s="127">
        <f>WA7+WA4</f>
        <v/>
      </c>
      <c r="WB11" s="16">
        <f>WB7+WB4</f>
        <v/>
      </c>
      <c r="WC11" s="16">
        <f>WC7+WC4</f>
        <v/>
      </c>
      <c r="WD11" s="16">
        <f>WD7+WD4</f>
        <v/>
      </c>
      <c r="WE11" s="16">
        <f>WE7+WE4</f>
        <v/>
      </c>
      <c r="WF11" s="16">
        <f>WF7+WF4</f>
        <v/>
      </c>
      <c r="WG11" s="16">
        <f>WG7+WG4</f>
        <v/>
      </c>
      <c r="WH11" s="16">
        <f>WH7+WH4</f>
        <v/>
      </c>
      <c r="WI11" s="16">
        <f>WI7+WI4</f>
        <v/>
      </c>
      <c r="WJ11" s="16">
        <f>WJ7+WJ4</f>
        <v/>
      </c>
      <c r="WK11" s="16">
        <f>WK7+WK4</f>
        <v/>
      </c>
      <c r="WL11" s="16">
        <f>WL7+WL4</f>
        <v/>
      </c>
      <c r="WM11" s="16">
        <f>WM7+WM4</f>
        <v/>
      </c>
      <c r="WN11" s="16">
        <f>WN7+WN4</f>
        <v/>
      </c>
      <c r="WO11" s="16">
        <f>WO7+WO4</f>
        <v/>
      </c>
      <c r="WP11" s="16">
        <f>WP7+WP4</f>
        <v/>
      </c>
      <c r="WQ11" s="16">
        <f>WQ7+WQ4</f>
        <v/>
      </c>
      <c r="WR11" s="16">
        <f>WR7+WR4</f>
        <v/>
      </c>
      <c r="WS11" s="16">
        <f>WS7+WS4</f>
        <v/>
      </c>
      <c r="WT11" s="16">
        <f>WT7+WT4</f>
        <v/>
      </c>
      <c r="WU11" s="16">
        <f>WU7+WU4</f>
        <v/>
      </c>
      <c r="WV11" s="16">
        <f>WV7+WV4</f>
        <v/>
      </c>
      <c r="WW11" s="16">
        <f>WW7+WW4</f>
        <v/>
      </c>
      <c r="WX11" s="16">
        <f>WX7+WX4</f>
        <v/>
      </c>
      <c r="WY11" s="16">
        <f>WY7+WY4</f>
        <v/>
      </c>
      <c r="WZ11" s="16">
        <f>WZ7+WZ4</f>
        <v/>
      </c>
      <c r="XA11" s="16">
        <f>XA7+XA4</f>
        <v/>
      </c>
      <c r="XB11" s="16">
        <f>XB7+XB4</f>
        <v/>
      </c>
      <c r="XC11" s="16">
        <f>XC7+XC4</f>
        <v/>
      </c>
      <c r="XD11" s="16">
        <f>XD7+XD4</f>
        <v/>
      </c>
      <c r="XE11" s="16">
        <f>XE7+XE4</f>
        <v/>
      </c>
      <c r="XF11" s="16">
        <f>XF7+XF4</f>
        <v/>
      </c>
      <c r="XG11" s="127">
        <f>XG7+XG4</f>
        <v/>
      </c>
      <c r="XH11" s="16">
        <f>XH7+XH4</f>
        <v/>
      </c>
      <c r="XI11" s="16">
        <f>XI7+XI4</f>
        <v/>
      </c>
      <c r="XJ11" s="16">
        <f>XJ7+XJ4</f>
        <v/>
      </c>
      <c r="XK11" s="16">
        <f>XK7+XK4</f>
        <v/>
      </c>
      <c r="XL11" s="16">
        <f>XL7+XL4</f>
        <v/>
      </c>
      <c r="XM11" s="16">
        <f>XM7+XM4</f>
        <v/>
      </c>
      <c r="XN11" s="16">
        <f>XN7+XN4</f>
        <v/>
      </c>
      <c r="XO11" s="16">
        <f>XO7+XO4</f>
        <v/>
      </c>
      <c r="XP11" s="16">
        <f>XP7+XP4</f>
        <v/>
      </c>
      <c r="XQ11" s="16">
        <f>XQ7+XQ4</f>
        <v/>
      </c>
      <c r="XR11" s="16">
        <f>XR7+XR4</f>
        <v/>
      </c>
      <c r="XS11" s="16">
        <f>XS7+XS4</f>
        <v/>
      </c>
      <c r="XT11" s="16">
        <f>XT7+XT4</f>
        <v/>
      </c>
      <c r="XU11" s="16">
        <f>XU7+XU4</f>
        <v/>
      </c>
      <c r="XV11" s="16">
        <f>XV7+XV4</f>
        <v/>
      </c>
      <c r="XW11" s="16">
        <f>XW7+XW4</f>
        <v/>
      </c>
      <c r="XX11" s="16">
        <f>XX7+XX4</f>
        <v/>
      </c>
      <c r="XY11" s="16">
        <f>XY7+XY4</f>
        <v/>
      </c>
      <c r="XZ11" s="16">
        <f>XZ7+XZ4</f>
        <v/>
      </c>
      <c r="YA11" s="16">
        <f>YA7+YA4</f>
        <v/>
      </c>
      <c r="YB11" s="16">
        <f>YB7+YB4</f>
        <v/>
      </c>
      <c r="YC11" s="16">
        <f>YC7+YC4</f>
        <v/>
      </c>
      <c r="YD11" s="16">
        <f>YD7+YD4</f>
        <v/>
      </c>
      <c r="YE11" s="16">
        <f>YE7+YE4</f>
        <v/>
      </c>
      <c r="YF11" s="16">
        <f>YF7+YF4</f>
        <v/>
      </c>
      <c r="YG11" s="16">
        <f>YG7+YG4</f>
        <v/>
      </c>
      <c r="YH11" s="16">
        <f>YH7+YH4</f>
        <v/>
      </c>
      <c r="YI11" s="16">
        <f>YI7+YI4</f>
        <v/>
      </c>
      <c r="YJ11" s="16">
        <f>YJ7+YJ4</f>
        <v/>
      </c>
      <c r="YK11" s="16">
        <f>YK7+YK4</f>
        <v/>
      </c>
      <c r="YL11" s="127">
        <f>YL7+YL4</f>
        <v/>
      </c>
      <c r="YM11" s="16">
        <f>YM7+YM4</f>
        <v/>
      </c>
      <c r="YN11" s="16">
        <f>YN7+YN4</f>
        <v/>
      </c>
      <c r="YO11" s="16">
        <f>YO7+YO4</f>
        <v/>
      </c>
      <c r="YP11" s="16">
        <f>YP7+YP4</f>
        <v/>
      </c>
      <c r="YQ11" s="16">
        <f>YQ7+YQ4</f>
        <v/>
      </c>
      <c r="YR11" s="16">
        <f>YR7+YR4</f>
        <v/>
      </c>
      <c r="YS11" s="16">
        <f>YS7+YS4</f>
        <v/>
      </c>
      <c r="YT11" s="16">
        <f>YT7+YT4</f>
        <v/>
      </c>
      <c r="YU11" s="16">
        <f>YU7+YU4</f>
        <v/>
      </c>
      <c r="YV11" s="16">
        <f>YV7+YV4</f>
        <v/>
      </c>
      <c r="YW11" s="16">
        <f>YW7+YW4</f>
        <v/>
      </c>
      <c r="YX11" s="16">
        <f>YX7+YX4</f>
        <v/>
      </c>
      <c r="YY11" s="16">
        <f>YY7+YY4</f>
        <v/>
      </c>
      <c r="YZ11" s="16">
        <f>YZ7+YZ4</f>
        <v/>
      </c>
      <c r="ZA11" s="16">
        <f>ZA7+ZA4</f>
        <v/>
      </c>
      <c r="ZB11" s="16">
        <f>ZB7+ZB4</f>
        <v/>
      </c>
      <c r="ZC11" s="16">
        <f>ZC7+ZC4</f>
        <v/>
      </c>
      <c r="ZD11" s="16">
        <f>ZD7+ZD4</f>
        <v/>
      </c>
      <c r="ZE11" s="16">
        <f>ZE7+ZE4</f>
        <v/>
      </c>
      <c r="ZF11" s="16">
        <f>ZF7+ZF4</f>
        <v/>
      </c>
      <c r="ZG11" s="16">
        <f>ZG7+ZG4</f>
        <v/>
      </c>
      <c r="ZH11" s="16">
        <f>ZH7+ZH4</f>
        <v/>
      </c>
      <c r="ZI11" s="16">
        <f>ZI7+ZI4</f>
        <v/>
      </c>
      <c r="ZJ11" s="16">
        <f>ZJ7+ZJ4</f>
        <v/>
      </c>
      <c r="ZK11" s="16">
        <f>ZK7+ZK4</f>
        <v/>
      </c>
      <c r="ZL11" s="16">
        <f>ZL7+ZL4</f>
        <v/>
      </c>
      <c r="ZM11" s="16">
        <f>ZM7+ZM4</f>
        <v/>
      </c>
      <c r="ZN11" s="16">
        <f>ZN7+ZN4</f>
        <v/>
      </c>
      <c r="ZO11" s="16">
        <f>ZO7+ZO4</f>
        <v/>
      </c>
      <c r="ZP11" s="16">
        <f>ZP7+ZP4</f>
        <v/>
      </c>
      <c r="ZQ11" s="16">
        <f>ZQ7+ZQ4</f>
        <v/>
      </c>
      <c r="ZR11" s="127">
        <f>SUM(YM11:ZQ11)</f>
        <v/>
      </c>
      <c r="ZS11" s="16">
        <f>ZS7+ZS4</f>
        <v/>
      </c>
      <c r="ZT11" s="16">
        <f>ZT7+ZT4</f>
        <v/>
      </c>
      <c r="ZU11" s="16">
        <f>ZU7+ZU4</f>
        <v/>
      </c>
      <c r="ZV11" s="16">
        <f>ZV7+ZV4</f>
        <v/>
      </c>
      <c r="ZW11" s="16">
        <f>ZW7+ZW4</f>
        <v/>
      </c>
      <c r="ZX11" s="16">
        <f>ZX7+ZX4</f>
        <v/>
      </c>
      <c r="ZY11" s="16">
        <f>ZY7+ZY4</f>
        <v/>
      </c>
      <c r="ZZ11" s="16">
        <f>ZZ7+ZZ4</f>
        <v/>
      </c>
      <c r="AAA11" s="16">
        <f>AAA7+AAA4</f>
        <v/>
      </c>
      <c r="AAB11" s="16">
        <f>AAB7+AAB4</f>
        <v/>
      </c>
      <c r="AAC11" s="16">
        <f>AAC7+AAC4</f>
        <v/>
      </c>
      <c r="AAD11" s="16">
        <f>AAD7+AAD4</f>
        <v/>
      </c>
      <c r="AAE11" s="16">
        <f>AAE7+AAE4</f>
        <v/>
      </c>
      <c r="AAF11" s="16">
        <f>AAF7+AAF4</f>
        <v/>
      </c>
      <c r="AAG11" s="16">
        <f>AAG7+AAG4</f>
        <v/>
      </c>
      <c r="AAH11" s="16">
        <f>AAH7+AAH4</f>
        <v/>
      </c>
      <c r="AAI11" s="16">
        <f>AAI7+AAI4</f>
        <v/>
      </c>
      <c r="AAJ11" s="16">
        <f>AAJ7+AAJ4</f>
        <v/>
      </c>
      <c r="AAK11" s="16">
        <f>AAK7+AAK4</f>
        <v/>
      </c>
      <c r="AAL11" s="16">
        <f>AAL7+AAL4</f>
        <v/>
      </c>
      <c r="AAM11" s="16">
        <f>AAM7+AAM4</f>
        <v/>
      </c>
      <c r="AAN11" s="16">
        <f>AAN7+AAN4</f>
        <v/>
      </c>
      <c r="AAO11" s="16">
        <f>AAO7+AAO4</f>
        <v/>
      </c>
      <c r="AAP11" s="16">
        <f>AAP7+AAP4</f>
        <v/>
      </c>
      <c r="AAQ11" s="16">
        <f>AAQ7+AAQ4</f>
        <v/>
      </c>
      <c r="AAR11" s="16">
        <f>AAR7+AAR4</f>
        <v/>
      </c>
      <c r="AAS11" s="16">
        <f>AAS7+AAS4</f>
        <v/>
      </c>
      <c r="AAT11" s="16">
        <f>AAT7+AAT4</f>
        <v/>
      </c>
      <c r="AAU11" s="16">
        <f>AAU7+AAU4</f>
        <v/>
      </c>
      <c r="AAV11" s="16">
        <f>AAV7+AAV4</f>
        <v/>
      </c>
      <c r="AAW11" s="127">
        <f>SUM(ZS11:AAV11)</f>
        <v/>
      </c>
      <c r="AAX11" s="16">
        <f>AAX7+AAX4</f>
        <v/>
      </c>
      <c r="AAY11" s="16">
        <f>AAY7+AAY4</f>
        <v/>
      </c>
      <c r="AAZ11" s="16">
        <f>AAZ7+AAZ4</f>
        <v/>
      </c>
      <c r="ABA11" s="16">
        <f>ABA7+ABA4</f>
        <v/>
      </c>
      <c r="ABB11" s="16">
        <f>ABB7+ABB4</f>
        <v/>
      </c>
      <c r="ABC11" s="16">
        <f>ABC7+ABC4</f>
        <v/>
      </c>
      <c r="ABD11" s="16">
        <f>ABD7+ABD4</f>
        <v/>
      </c>
      <c r="ABE11" s="16">
        <f>ABE7+ABE4</f>
        <v/>
      </c>
      <c r="ABF11" s="16">
        <f>ABF7+ABF4</f>
        <v/>
      </c>
      <c r="ABG11" s="16">
        <f>ABG7+ABG4</f>
        <v/>
      </c>
      <c r="ABH11" s="16">
        <f>ABH7+ABH4</f>
        <v/>
      </c>
      <c r="ABI11" s="16">
        <f>ABI7+ABI4</f>
        <v/>
      </c>
      <c r="ABJ11" s="16">
        <f>ABJ7+ABJ4</f>
        <v/>
      </c>
      <c r="ABK11" s="16">
        <f>ABK7+ABK4</f>
        <v/>
      </c>
      <c r="ABL11" s="16">
        <f>ABL7+ABL4</f>
        <v/>
      </c>
      <c r="ABM11" s="16">
        <f>ABM7+ABM4</f>
        <v/>
      </c>
      <c r="ABN11" s="16">
        <f>ABN7+ABN4</f>
        <v/>
      </c>
      <c r="ABO11" s="16">
        <f>ABO7+ABO4</f>
        <v/>
      </c>
      <c r="ABP11" s="16">
        <f>ABP7+ABP4</f>
        <v/>
      </c>
      <c r="ABQ11" s="16">
        <f>ABQ7+ABQ4</f>
        <v/>
      </c>
      <c r="ABR11" s="16">
        <f>ABR7+ABR4</f>
        <v/>
      </c>
      <c r="ABS11" s="16">
        <f>ABS7+ABS4</f>
        <v/>
      </c>
      <c r="ABT11" s="16">
        <f>ABT7+ABT4</f>
        <v/>
      </c>
      <c r="ABU11" s="16">
        <f>ABU7+ABU4</f>
        <v/>
      </c>
      <c r="ABV11" s="16">
        <f>ABV7+ABV4</f>
        <v/>
      </c>
      <c r="ABW11" s="16">
        <f>ABW7+ABW4</f>
        <v/>
      </c>
      <c r="ABX11" s="16">
        <f>ABX7+ABX4</f>
        <v/>
      </c>
      <c r="ABY11" s="16">
        <f>ABY7+ABY4</f>
        <v/>
      </c>
      <c r="ABZ11" s="16">
        <f>ABZ7+ABZ4</f>
        <v/>
      </c>
      <c r="ACA11" s="16">
        <f>ACA7+ACA4</f>
        <v/>
      </c>
      <c r="ACB11" s="16">
        <f>ACB7+ACB4</f>
        <v/>
      </c>
      <c r="ACC11" s="127">
        <f>SUM(AAX11:ACB11)</f>
        <v/>
      </c>
      <c r="ACD11" s="16">
        <f>ACD7+ACD4</f>
        <v/>
      </c>
      <c r="ACE11" s="16">
        <f>ACE7+ACE4</f>
        <v/>
      </c>
      <c r="ACF11" s="16">
        <f>ACF7+ACF4</f>
        <v/>
      </c>
      <c r="ACG11" s="16">
        <f>ACG7+ACG4</f>
        <v/>
      </c>
      <c r="ACH11" s="16">
        <f>ACH7+ACH4</f>
        <v/>
      </c>
      <c r="ACI11" s="16">
        <f>ACI7+ACI4</f>
        <v/>
      </c>
      <c r="ACJ11" s="16">
        <f>ACJ7+ACJ4</f>
        <v/>
      </c>
      <c r="ACK11" s="16">
        <f>ACK7+ACK4</f>
        <v/>
      </c>
      <c r="ACL11" s="16">
        <f>ACL7+ACL4</f>
        <v/>
      </c>
      <c r="ACM11" s="16">
        <f>ACM7+ACM4</f>
        <v/>
      </c>
      <c r="ACN11" s="16">
        <f>ACN7+ACN4</f>
        <v/>
      </c>
      <c r="ACO11" s="16">
        <f>ACO7+ACO4</f>
        <v/>
      </c>
      <c r="ACP11" s="16">
        <f>ACP7+ACP4</f>
        <v/>
      </c>
      <c r="ACQ11" s="16">
        <f>ACQ7+ACQ4</f>
        <v/>
      </c>
      <c r="ACR11" s="16">
        <f>ACR7+ACR4</f>
        <v/>
      </c>
      <c r="ACS11" s="16">
        <f>ACS7+ACS4</f>
        <v/>
      </c>
      <c r="ACT11" s="16">
        <f>ACT7+ACT4</f>
        <v/>
      </c>
      <c r="ACU11" s="16">
        <f>ACU7+ACU4</f>
        <v/>
      </c>
      <c r="ACV11" s="16">
        <f>ACV7+ACV4</f>
        <v/>
      </c>
      <c r="ACW11" s="16">
        <f>ACW7+ACW4</f>
        <v/>
      </c>
      <c r="ACX11" s="16">
        <f>ACX7+ACX4</f>
        <v/>
      </c>
      <c r="ACY11" s="16">
        <f>ACY7+ACY4</f>
        <v/>
      </c>
      <c r="ACZ11" s="16">
        <f>ACZ7+ACZ4</f>
        <v/>
      </c>
      <c r="ADA11" s="16">
        <f>ADA7+ADA4</f>
        <v/>
      </c>
      <c r="ADB11" s="16">
        <f>ADB7+ADB4</f>
        <v/>
      </c>
      <c r="ADC11" s="16">
        <f>ADC7+ADC4</f>
        <v/>
      </c>
      <c r="ADD11" s="16">
        <f>ADD7+ADD4</f>
        <v/>
      </c>
      <c r="ADE11" s="16">
        <f>ADE7+ADE4</f>
        <v/>
      </c>
      <c r="ADF11" s="16">
        <f>ADF7+ADF4</f>
        <v/>
      </c>
      <c r="ADG11" s="16">
        <f>ADG7+ADG4</f>
        <v/>
      </c>
      <c r="ADH11" s="16">
        <f>ADH7+ADH4</f>
        <v/>
      </c>
      <c r="ADI11" s="127">
        <f>SUM(ACD11:ADH11)</f>
        <v/>
      </c>
      <c r="ADJ11" s="16">
        <f>ADJ7+ADJ4</f>
        <v/>
      </c>
      <c r="ADK11" s="16">
        <f>ADK7+ADK4</f>
        <v/>
      </c>
      <c r="ADL11" s="16">
        <f>ADL7+ADL4</f>
        <v/>
      </c>
      <c r="ADM11" s="16">
        <f>ADM7+ADM4</f>
        <v/>
      </c>
      <c r="ADN11" s="16">
        <f>ADN7+ADN4</f>
        <v/>
      </c>
      <c r="ADO11" s="16">
        <f>ADO7+ADO4</f>
        <v/>
      </c>
      <c r="ADP11" s="16">
        <f>ADP7+ADP4</f>
        <v/>
      </c>
      <c r="ADQ11" s="16">
        <f>ADQ7+ADQ4</f>
        <v/>
      </c>
      <c r="ADR11" s="16">
        <f>ADR7+ADR4</f>
        <v/>
      </c>
      <c r="ADS11" s="16">
        <f>ADS7+ADS4</f>
        <v/>
      </c>
      <c r="ADT11" s="16">
        <f>ADT7+ADT4</f>
        <v/>
      </c>
      <c r="ADU11" s="16">
        <f>ADU7+ADU4</f>
        <v/>
      </c>
      <c r="ADV11" s="16">
        <f>ADV7+ADV4</f>
        <v/>
      </c>
      <c r="ADW11" s="16">
        <f>ADW7+ADW4</f>
        <v/>
      </c>
      <c r="ADX11" s="16">
        <f>ADX7+ADX4</f>
        <v/>
      </c>
      <c r="ADY11" s="16">
        <f>ADY7+ADY4</f>
        <v/>
      </c>
      <c r="ADZ11" s="16">
        <f>ADZ7+ADZ4</f>
        <v/>
      </c>
      <c r="AEA11" s="16">
        <f>AEA7+AEA4</f>
        <v/>
      </c>
      <c r="AEB11" s="16">
        <f>AEB7+AEB4</f>
        <v/>
      </c>
      <c r="AEC11" s="16">
        <f>AEC7+AEC4</f>
        <v/>
      </c>
      <c r="AED11" s="16">
        <f>AED7+AED4</f>
        <v/>
      </c>
      <c r="AEE11" s="16">
        <f>AEE7+AEE4</f>
        <v/>
      </c>
      <c r="AEF11" s="16">
        <f>AEF7+AEF4</f>
        <v/>
      </c>
      <c r="AEG11" s="16">
        <f>AEG7+AEG4</f>
        <v/>
      </c>
      <c r="AEH11" s="16">
        <f>AEH7+AEH4</f>
        <v/>
      </c>
      <c r="AEI11" s="16">
        <f>AEI7+AEI4</f>
        <v/>
      </c>
      <c r="AEJ11" s="16">
        <f>AEJ7+AEJ4</f>
        <v/>
      </c>
      <c r="AEK11" s="16">
        <f>AEK7+AEK4</f>
        <v/>
      </c>
      <c r="AEL11" s="16">
        <f>AEL7+AEL4</f>
        <v/>
      </c>
      <c r="AEM11" s="16">
        <f>AEM7+AEM4</f>
        <v/>
      </c>
      <c r="AEN11" s="127">
        <f>SUM(ADJ11:AEM11)</f>
        <v/>
      </c>
      <c r="AEO11" s="16">
        <f>AEO7+AEO4</f>
        <v/>
      </c>
      <c r="AEP11" s="16">
        <f>AEP7+AEP4</f>
        <v/>
      </c>
      <c r="AEQ11" s="16">
        <f>AEQ7+AEQ4</f>
        <v/>
      </c>
      <c r="AER11" s="16">
        <f>AER7+AER4</f>
        <v/>
      </c>
      <c r="AES11" s="16">
        <f>AES7+AES4</f>
        <v/>
      </c>
      <c r="AET11" s="16">
        <f>AET7+AET4</f>
        <v/>
      </c>
      <c r="AEU11" s="16">
        <f>AEU7+AEU4</f>
        <v/>
      </c>
      <c r="AEV11" s="16">
        <f>AEV7+AEV4</f>
        <v/>
      </c>
      <c r="AEW11" s="16">
        <f>AEW7+AEW4</f>
        <v/>
      </c>
      <c r="AEX11" s="16">
        <f>AEX7+AEX4</f>
        <v/>
      </c>
      <c r="AEY11" s="16">
        <f>AEY7+AEY4</f>
        <v/>
      </c>
      <c r="AEZ11" s="16">
        <f>AEZ7+AEZ4</f>
        <v/>
      </c>
      <c r="AFA11" s="16">
        <f>AFA7+AFA4</f>
        <v/>
      </c>
      <c r="AFB11" s="16">
        <f>AFB7+AFB4</f>
        <v/>
      </c>
      <c r="AFC11" s="16">
        <f>AFC7+AFC4</f>
        <v/>
      </c>
      <c r="AFD11" s="16">
        <f>AFD7+AFD4</f>
        <v/>
      </c>
      <c r="AFE11" s="16">
        <f>AFE7+AFE4</f>
        <v/>
      </c>
      <c r="AFF11" s="16">
        <f>AFF7+AFF4</f>
        <v/>
      </c>
      <c r="AFG11" s="16">
        <f>AFG7+AFG4</f>
        <v/>
      </c>
      <c r="AFH11" s="16">
        <f>AFH7+AFH4</f>
        <v/>
      </c>
      <c r="AFI11" s="16">
        <f>AFI7+AFI4</f>
        <v/>
      </c>
      <c r="AFJ11" s="16">
        <f>AFJ7+AFJ4</f>
        <v/>
      </c>
      <c r="AFK11" s="16">
        <f>AFK7+AFK4</f>
        <v/>
      </c>
      <c r="AFL11" s="16">
        <f>AFL7+AFL4</f>
        <v/>
      </c>
      <c r="AFM11" s="16">
        <f>AFM7+AFM4</f>
        <v/>
      </c>
      <c r="AFN11" s="16">
        <f>AFN7+AFN4</f>
        <v/>
      </c>
      <c r="AFO11" s="16">
        <f>AFO7+AFO4</f>
        <v/>
      </c>
      <c r="AFP11" s="16">
        <f>AFP7+AFP4</f>
        <v/>
      </c>
      <c r="AFQ11" s="16">
        <f>AFQ7+AFQ4</f>
        <v/>
      </c>
      <c r="AFR11" s="16">
        <f>AFR7+AFR4</f>
        <v/>
      </c>
      <c r="AFS11" s="16">
        <f>AFS7+AFS4</f>
        <v/>
      </c>
      <c r="AFT11" s="127">
        <f>SUM(AEO11:AFS11)</f>
        <v/>
      </c>
      <c r="AFU11" s="16">
        <f>AFU7+AFU4</f>
        <v/>
      </c>
      <c r="AFV11" s="16">
        <f>AFV7+AFV4</f>
        <v/>
      </c>
      <c r="AFW11" s="16">
        <f>AFW7+AFW4</f>
        <v/>
      </c>
      <c r="AFX11" s="16">
        <f>AFX7+AFX4</f>
        <v/>
      </c>
      <c r="AFY11" s="16">
        <f>AFY7+AFY4</f>
        <v/>
      </c>
      <c r="AFZ11" s="16">
        <f>AFZ7+AFZ4</f>
        <v/>
      </c>
      <c r="AGA11" s="16">
        <f>AGA7+AGA4</f>
        <v/>
      </c>
      <c r="AGB11" s="16">
        <f>AGB7+AGB4</f>
        <v/>
      </c>
      <c r="AGC11" s="16">
        <f>AGC7+AGC4</f>
        <v/>
      </c>
      <c r="AGD11" s="16">
        <f>AGD7+AGD4</f>
        <v/>
      </c>
      <c r="AGE11" s="16">
        <f>AGE7+AGE4</f>
        <v/>
      </c>
      <c r="AGF11" s="16">
        <f>AGF7+AGF4</f>
        <v/>
      </c>
      <c r="AGG11" s="16">
        <f>AGG7+AGG4</f>
        <v/>
      </c>
      <c r="AGH11" s="16">
        <f>AGH7+AGH4</f>
        <v/>
      </c>
      <c r="AGI11" s="16">
        <f>AGI7+AGI4</f>
        <v/>
      </c>
      <c r="AGJ11" s="16">
        <f>AGJ7+AGJ4</f>
        <v/>
      </c>
      <c r="AGK11" s="16">
        <f>AGK7+AGK4</f>
        <v/>
      </c>
      <c r="AGL11" s="16">
        <f>AGL7+AGL4</f>
        <v/>
      </c>
      <c r="AGM11" s="16">
        <f>AGM7+AGM4</f>
        <v/>
      </c>
      <c r="AGN11" s="16">
        <f>AGN7+AGN4</f>
        <v/>
      </c>
      <c r="AGO11" s="16">
        <f>AGO7+AGO4</f>
        <v/>
      </c>
      <c r="AGP11" s="16">
        <f>AGP7+AGP4</f>
        <v/>
      </c>
      <c r="AGQ11" s="16">
        <f>AGQ7+AGQ4</f>
        <v/>
      </c>
      <c r="AGR11" s="16">
        <f>AGR7+AGR4</f>
        <v/>
      </c>
      <c r="AGS11" s="16">
        <f>AGS7+AGS4</f>
        <v/>
      </c>
      <c r="AGT11" s="16">
        <f>AGT7+AGT4</f>
        <v/>
      </c>
      <c r="AGU11" s="16">
        <f>AGU7+AGU4</f>
        <v/>
      </c>
      <c r="AGV11" s="16">
        <f>AGV7+AGV4</f>
        <v/>
      </c>
      <c r="AGW11" s="16">
        <f>AGW7+AGW4</f>
        <v/>
      </c>
      <c r="AGX11" s="16">
        <f>AGX7+AGX4</f>
        <v/>
      </c>
      <c r="AGY11" s="127">
        <f>SUM(AFU11:AGX11)</f>
        <v/>
      </c>
      <c r="AGZ11" s="16">
        <f>AGZ7+AGZ4</f>
        <v/>
      </c>
      <c r="AHA11" s="16">
        <f>AHA7+AHA4</f>
        <v/>
      </c>
      <c r="AHB11" s="16">
        <f>AHB7+AHB4</f>
        <v/>
      </c>
      <c r="AHC11" s="16">
        <f>AHC7+AHC4</f>
        <v/>
      </c>
      <c r="AHD11" s="16">
        <f>AHD7+AHD4</f>
        <v/>
      </c>
      <c r="AHE11" s="16">
        <f>AHE7+AHE4</f>
        <v/>
      </c>
      <c r="AHF11" s="16">
        <f>AHF7+AHF4</f>
        <v/>
      </c>
      <c r="AHG11" s="16">
        <f>AHG7+AHG4</f>
        <v/>
      </c>
      <c r="AHH11" s="16">
        <f>AHH7+AHH4</f>
        <v/>
      </c>
      <c r="AHI11" s="16">
        <f>AHI7+AHI4</f>
        <v/>
      </c>
      <c r="AHJ11" s="16">
        <f>AHJ7+AHJ4</f>
        <v/>
      </c>
      <c r="AHK11" s="16">
        <f>AHK7+AHK4</f>
        <v/>
      </c>
      <c r="AHL11" s="16">
        <f>AHL7+AHL4</f>
        <v/>
      </c>
      <c r="AHM11" s="16">
        <f>AHM7+AHM4</f>
        <v/>
      </c>
      <c r="AHN11" s="16">
        <f>AHN7+AHN4</f>
        <v/>
      </c>
      <c r="AHO11" s="16">
        <f>AHO7+AHO4</f>
        <v/>
      </c>
      <c r="AHP11" s="16">
        <f>AHP7+AHP4</f>
        <v/>
      </c>
      <c r="AHQ11" s="16">
        <f>AHQ7+AHQ4</f>
        <v/>
      </c>
      <c r="AHR11" s="16">
        <f>AHR7+AHR4</f>
        <v/>
      </c>
      <c r="AHS11" s="16">
        <f>AHS7+AHS4</f>
        <v/>
      </c>
      <c r="AHT11" s="16">
        <f>AHT7+AHT4</f>
        <v/>
      </c>
      <c r="AHU11" s="16">
        <f>AHU7+AHU4</f>
        <v/>
      </c>
      <c r="AHV11" s="16">
        <f>AHV7+AHV4</f>
        <v/>
      </c>
      <c r="AHW11" s="16">
        <f>AHW7+AHW4</f>
        <v/>
      </c>
      <c r="AHX11" s="16">
        <f>AHX7+AHX4</f>
        <v/>
      </c>
      <c r="AHY11" s="16">
        <f>AHY7+AHY4</f>
        <v/>
      </c>
      <c r="AHZ11" s="16">
        <f>AHZ7+AHZ4</f>
        <v/>
      </c>
      <c r="AIA11" s="16">
        <f>AIA7+AIA4</f>
        <v/>
      </c>
      <c r="AIB11" s="16">
        <f>AIB7+AIB4</f>
        <v/>
      </c>
      <c r="AIC11" s="16">
        <f>AIC7+AIC4</f>
        <v/>
      </c>
      <c r="AID11" s="16">
        <f>AID7+AID4</f>
        <v/>
      </c>
      <c r="AIE11" s="127">
        <f>SUM(AGZ11:AID11)</f>
        <v/>
      </c>
      <c r="AIF11" s="16">
        <f>AIF7+AIF4</f>
        <v/>
      </c>
      <c r="AIG11" s="16">
        <f>AIG7+AIG4</f>
        <v/>
      </c>
      <c r="AIH11" s="16">
        <f>AIH7+AIH4</f>
        <v/>
      </c>
      <c r="AII11" s="16">
        <f>AII7+AII4</f>
        <v/>
      </c>
      <c r="AIJ11" s="16">
        <f>AIJ7+AIJ4</f>
        <v/>
      </c>
      <c r="AIK11" s="16">
        <f>AIK7+AIK4</f>
        <v/>
      </c>
      <c r="AIL11" s="16">
        <f>AIL7+AIL4</f>
        <v/>
      </c>
      <c r="AIM11" s="16">
        <f>AIM7+AIM4</f>
        <v/>
      </c>
      <c r="AIN11" s="16">
        <f>AIN7+AIN4</f>
        <v/>
      </c>
      <c r="AIO11" s="16">
        <f>AIO7+AIO4</f>
        <v/>
      </c>
      <c r="AIP11" s="16">
        <f>AIP7+AIP4</f>
        <v/>
      </c>
      <c r="AIQ11" s="16">
        <f>AIQ7+AIQ4</f>
        <v/>
      </c>
      <c r="AIR11" s="16">
        <f>AIR7+AIR4</f>
        <v/>
      </c>
      <c r="AIS11" s="16">
        <f>AIS7+AIS4</f>
        <v/>
      </c>
      <c r="AIT11" s="16">
        <f>AIT7+AIT4</f>
        <v/>
      </c>
      <c r="AIU11" s="16">
        <f>AIU7+AIU4</f>
        <v/>
      </c>
      <c r="AIV11" s="16">
        <f>AIV7+AIV4</f>
        <v/>
      </c>
      <c r="AIW11" s="16">
        <f>AIW7+AIW4</f>
        <v/>
      </c>
      <c r="AIX11" s="16">
        <f>AIX7+AIX4</f>
        <v/>
      </c>
      <c r="AIY11" s="16">
        <f>AIY7+AIY4</f>
        <v/>
      </c>
      <c r="AIZ11" s="16">
        <f>AIZ7+AIZ4</f>
        <v/>
      </c>
      <c r="AJA11" s="16">
        <f>AJA7+AJA4</f>
        <v/>
      </c>
      <c r="AJB11" s="16">
        <f>AJB7+AJB4</f>
        <v/>
      </c>
      <c r="AJC11" s="16">
        <f>AJC7+AJC4</f>
        <v/>
      </c>
      <c r="AJD11" s="16">
        <f>AJD7+AJD4</f>
        <v/>
      </c>
      <c r="AJE11" s="16">
        <f>AJE7+AJE4</f>
        <v/>
      </c>
      <c r="AJF11" s="16">
        <f>AJF7+AJF4</f>
        <v/>
      </c>
      <c r="AJG11" s="16">
        <f>AJG7+AJG4</f>
        <v/>
      </c>
      <c r="AJH11" s="16">
        <f>AJH7+AJH4</f>
        <v/>
      </c>
      <c r="AJI11" s="16">
        <f>AJI7+AJI4</f>
        <v/>
      </c>
      <c r="AJJ11" s="16">
        <f>AJJ7+AJJ4</f>
        <v/>
      </c>
      <c r="AJK11" s="127">
        <f>SUM(AIF11:AJJ11)</f>
        <v/>
      </c>
      <c r="AJL11" s="16">
        <f>AJL7+AJL4</f>
        <v/>
      </c>
      <c r="AJM11" s="16">
        <f>AJM7+AJM4</f>
        <v/>
      </c>
      <c r="AJN11" s="16">
        <f>AJN7+AJN4</f>
        <v/>
      </c>
      <c r="AJO11" s="16">
        <f>AJO7+AJO4</f>
        <v/>
      </c>
      <c r="AJP11" s="16">
        <f>AJP7+AJP4</f>
        <v/>
      </c>
      <c r="AJQ11" s="16">
        <f>AJQ7+AJQ4</f>
        <v/>
      </c>
      <c r="AJR11" s="16">
        <f>AJR7+AJR4</f>
        <v/>
      </c>
      <c r="AJS11" s="16">
        <f>AJS7+AJS4</f>
        <v/>
      </c>
      <c r="AJT11" s="16">
        <f>AJT7+AJT4</f>
        <v/>
      </c>
      <c r="AJU11" s="16">
        <f>AJU7+AJU4</f>
        <v/>
      </c>
      <c r="AJV11" s="16">
        <f>AJV7+AJV4</f>
        <v/>
      </c>
      <c r="AJW11" s="16">
        <f>AJW7+AJW4</f>
        <v/>
      </c>
      <c r="AJX11" s="16">
        <f>AJX7+AJX4</f>
        <v/>
      </c>
      <c r="AJY11" s="16">
        <f>AJY7+AJY4</f>
        <v/>
      </c>
      <c r="AJZ11" s="16">
        <f>AJZ7+AJZ4</f>
        <v/>
      </c>
      <c r="AKA11" s="16">
        <f>AKA7+AKA4</f>
        <v/>
      </c>
      <c r="AKB11" s="16">
        <f>AKB7+AKB4</f>
        <v/>
      </c>
      <c r="AKC11" s="16">
        <f>AKC7+AKC4</f>
        <v/>
      </c>
      <c r="AKD11" s="16">
        <f>AKD7+AKD4</f>
        <v/>
      </c>
      <c r="AKE11" s="16">
        <f>AKE7+AKE4</f>
        <v/>
      </c>
      <c r="AKF11" s="16">
        <f>AKF7+AKF4</f>
        <v/>
      </c>
      <c r="AKG11" s="16">
        <f>AKG7+AKG4</f>
        <v/>
      </c>
      <c r="AKH11" s="16">
        <f>AKH7+AKH4</f>
        <v/>
      </c>
      <c r="AKI11" s="16">
        <f>AKI7+AKI4</f>
        <v/>
      </c>
      <c r="AKJ11" s="16">
        <f>AKJ7+AKJ4</f>
        <v/>
      </c>
      <c r="AKK11" s="16">
        <f>AKK7+AKK4</f>
        <v/>
      </c>
      <c r="AKL11" s="16">
        <f>AKL7+AKL4</f>
        <v/>
      </c>
      <c r="AKM11" s="16">
        <f>AKM7+AKM4</f>
        <v/>
      </c>
      <c r="AKN11" s="127">
        <f>SUM(AJL11:AKM11)</f>
        <v/>
      </c>
      <c r="AKO11" s="16">
        <f>AKO7+AKO4</f>
        <v/>
      </c>
      <c r="AKP11" s="16">
        <f>AKP7+AKP4</f>
        <v/>
      </c>
      <c r="AKQ11" s="16">
        <f>AKQ7+AKQ4</f>
        <v/>
      </c>
      <c r="AKR11" s="16">
        <f>AKR7+AKR4</f>
        <v/>
      </c>
      <c r="AKS11" s="16">
        <f>AKS7+AKS4</f>
        <v/>
      </c>
      <c r="AKT11" s="16">
        <f>AKT7+AKT4</f>
        <v/>
      </c>
      <c r="AKU11" s="16">
        <f>AKU7+AKU4</f>
        <v/>
      </c>
      <c r="AKV11" s="16">
        <f>AKV7+AKV4</f>
        <v/>
      </c>
      <c r="AKW11" s="16">
        <f>AKW7+AKW4</f>
        <v/>
      </c>
      <c r="AKX11" s="16">
        <f>AKX7+AKX4</f>
        <v/>
      </c>
      <c r="AKY11" s="16">
        <f>AKY7+AKY4</f>
        <v/>
      </c>
      <c r="AKZ11" s="16">
        <f>AKZ7+AKZ4</f>
        <v/>
      </c>
      <c r="ALA11" s="16">
        <f>ALA7+ALA4</f>
        <v/>
      </c>
      <c r="ALB11" s="16">
        <f>ALB7+ALB4</f>
        <v/>
      </c>
      <c r="ALC11" s="16">
        <f>ALC7+ALC4</f>
        <v/>
      </c>
      <c r="ALD11" s="16">
        <f>ALD7+ALD4</f>
        <v/>
      </c>
      <c r="ALE11" s="16">
        <f>ALE7+ALE4</f>
        <v/>
      </c>
      <c r="ALF11" s="16">
        <f>ALF7+ALF4</f>
        <v/>
      </c>
      <c r="ALG11" s="16">
        <f>ALG7+ALG4</f>
        <v/>
      </c>
      <c r="ALH11" s="16">
        <f>ALH7+ALH4</f>
        <v/>
      </c>
      <c r="ALI11" s="16">
        <f>ALI7+ALI4</f>
        <v/>
      </c>
      <c r="ALJ11" s="16">
        <f>ALJ7+ALJ4</f>
        <v/>
      </c>
      <c r="ALK11" s="16">
        <f>ALK7+ALK4</f>
        <v/>
      </c>
      <c r="ALL11" s="16">
        <f>ALL7+ALL4</f>
        <v/>
      </c>
      <c r="ALM11" s="16">
        <f>ALM7+ALM4</f>
        <v/>
      </c>
      <c r="ALN11" s="16">
        <f>ALN7+ALN4</f>
        <v/>
      </c>
      <c r="ALO11" s="16">
        <f>ALO7+ALO4</f>
        <v/>
      </c>
      <c r="ALP11" s="16">
        <f>ALP7+ALP4</f>
        <v/>
      </c>
      <c r="ALQ11" s="16">
        <f>ALQ7+ALQ4</f>
        <v/>
      </c>
      <c r="ALR11" s="16">
        <f>ALR7+ALR4</f>
        <v/>
      </c>
      <c r="ALS11" s="16">
        <f>ALS7+ALS4</f>
        <v/>
      </c>
      <c r="ALT11" s="127">
        <f>SUM(AKO11:ALS11)</f>
        <v/>
      </c>
      <c r="ALU11" s="16">
        <f>ALU7+ALU4</f>
        <v/>
      </c>
      <c r="ALV11" s="16">
        <f>ALV7+ALV4</f>
        <v/>
      </c>
      <c r="ALW11" s="16">
        <f>ALW7+ALW4</f>
        <v/>
      </c>
      <c r="ALX11" s="16">
        <f>ALX7+ALX4</f>
        <v/>
      </c>
      <c r="ALY11" s="16">
        <f>ALY7+ALY4</f>
        <v/>
      </c>
      <c r="ALZ11" s="16">
        <f>ALZ7+ALZ4</f>
        <v/>
      </c>
      <c r="AMA11" s="16">
        <f>AMA7+AMA4</f>
        <v/>
      </c>
      <c r="AMB11" s="16">
        <f>AMB7+AMB4</f>
        <v/>
      </c>
      <c r="AMC11" s="16">
        <f>AMC7+AMC4</f>
        <v/>
      </c>
      <c r="AMD11" s="16">
        <f>AMD7+AMD4</f>
        <v/>
      </c>
      <c r="AME11" s="16">
        <f>AME7+AME4</f>
        <v/>
      </c>
      <c r="AMF11" s="16">
        <f>AMF7+AMF4</f>
        <v/>
      </c>
      <c r="AMG11" s="16">
        <f>AMG7+AMG4</f>
        <v/>
      </c>
      <c r="AMH11" s="16">
        <f>AMH7+AMH4</f>
        <v/>
      </c>
      <c r="AMI11" s="16">
        <f>AMI7+AMI4</f>
        <v/>
      </c>
      <c r="AMJ11" s="16">
        <f>AMJ7+AMJ4</f>
        <v/>
      </c>
      <c r="AMK11" s="16">
        <f>AMK7+AMK4</f>
        <v/>
      </c>
      <c r="AML11" s="16">
        <f>AML7+AML4</f>
        <v/>
      </c>
      <c r="AMM11" s="16">
        <f>AMM7+AMM4</f>
        <v/>
      </c>
      <c r="AMN11" s="16">
        <f>AMN7+AMN4</f>
        <v/>
      </c>
      <c r="AMO11" s="16">
        <f>AMO7+AMO4</f>
        <v/>
      </c>
      <c r="AMP11" s="16">
        <f>AMP7+AMP4</f>
        <v/>
      </c>
      <c r="AMQ11" s="16">
        <f>AMQ7+AMQ4</f>
        <v/>
      </c>
      <c r="AMR11" s="16">
        <f>AMR7+AMR4</f>
        <v/>
      </c>
      <c r="AMS11" s="16">
        <f>AMS7+AMS4</f>
        <v/>
      </c>
      <c r="AMT11" s="16">
        <f>AMT7+AMT4</f>
        <v/>
      </c>
      <c r="AMU11" s="16">
        <f>AMU7+AMU4</f>
        <v/>
      </c>
      <c r="AMV11" s="16">
        <f>AMV7+AMV4</f>
        <v/>
      </c>
      <c r="AMW11" s="16">
        <f>AMW7+AMW4</f>
        <v/>
      </c>
      <c r="AMX11" s="16">
        <f>AMX7+AMX4</f>
        <v/>
      </c>
      <c r="AMY11" s="127">
        <f>SUM(ALU11:AMX11)</f>
        <v/>
      </c>
      <c r="AMZ11" s="16">
        <f>AMZ7+AMZ4</f>
        <v/>
      </c>
      <c r="ANA11" s="16">
        <f>ANA7+ANA4</f>
        <v/>
      </c>
      <c r="ANB11" s="16">
        <f>ANB7+ANB4</f>
        <v/>
      </c>
      <c r="ANC11" s="16">
        <f>ANC7+ANC4</f>
        <v/>
      </c>
      <c r="AND11" s="16">
        <f>AND7+AND4</f>
        <v/>
      </c>
      <c r="ANE11" s="16">
        <f>ANE7+ANE4</f>
        <v/>
      </c>
      <c r="ANF11" s="16">
        <f>ANF7+ANF4</f>
        <v/>
      </c>
      <c r="ANG11" s="16">
        <f>ANG7+ANG4</f>
        <v/>
      </c>
      <c r="ANH11" s="16">
        <f>ANH7+ANH4</f>
        <v/>
      </c>
      <c r="ANI11" s="16">
        <f>ANI7+ANI4</f>
        <v/>
      </c>
      <c r="ANJ11" s="16">
        <f>ANJ7+ANJ4</f>
        <v/>
      </c>
      <c r="ANK11" s="16">
        <f>ANK7+ANK4</f>
        <v/>
      </c>
      <c r="ANL11" s="16">
        <f>ANL7+ANL4</f>
        <v/>
      </c>
      <c r="ANM11" s="16">
        <f>ANM7+ANM4</f>
        <v/>
      </c>
      <c r="ANN11" s="16">
        <f>ANN7+ANN4</f>
        <v/>
      </c>
      <c r="ANO11" s="16">
        <f>ANO7+ANO4</f>
        <v/>
      </c>
      <c r="ANP11" s="16">
        <f>ANP7+ANP4</f>
        <v/>
      </c>
      <c r="ANQ11" s="16">
        <f>ANQ7+ANQ4</f>
        <v/>
      </c>
      <c r="ANR11" s="16">
        <f>ANR7+ANR4</f>
        <v/>
      </c>
      <c r="ANS11" s="16">
        <f>ANS7+ANS4</f>
        <v/>
      </c>
      <c r="ANT11" s="16">
        <f>ANT7+ANT4</f>
        <v/>
      </c>
      <c r="ANU11" s="16">
        <f>ANU7+ANU4</f>
        <v/>
      </c>
      <c r="ANV11" s="16">
        <f>ANV7+ANV4</f>
        <v/>
      </c>
      <c r="ANW11" s="16">
        <f>ANW7+ANW4</f>
        <v/>
      </c>
      <c r="ANX11" s="16">
        <f>ANX7+ANX4</f>
        <v/>
      </c>
      <c r="ANY11" s="16">
        <f>ANY7+ANY4</f>
        <v/>
      </c>
      <c r="ANZ11" s="16">
        <f>ANZ7+ANZ4</f>
        <v/>
      </c>
      <c r="AOA11" s="16">
        <f>AOA7+AOA4</f>
        <v/>
      </c>
      <c r="AOB11" s="16">
        <f>AOB7+AOB4</f>
        <v/>
      </c>
      <c r="AOC11" s="16">
        <f>AOC7+AOC4</f>
        <v/>
      </c>
    </row>
    <row r="12">
      <c r="B12" s="6" t="inlineStr">
        <is>
          <t>TOTAL SALES UGX</t>
        </is>
      </c>
      <c r="C12" s="21">
        <f>C9+C6</f>
        <v/>
      </c>
      <c r="D12" s="21">
        <f>D9+D6</f>
        <v/>
      </c>
      <c r="E12" s="21">
        <f>E9+E6</f>
        <v/>
      </c>
      <c r="F12" s="21">
        <f>F9+F6</f>
        <v/>
      </c>
      <c r="G12" s="21">
        <f>G9+G6</f>
        <v/>
      </c>
      <c r="H12" s="21">
        <f>H9+H6</f>
        <v/>
      </c>
      <c r="I12" s="21">
        <f>I9+I6</f>
        <v/>
      </c>
      <c r="J12" s="21">
        <f>J9+J6</f>
        <v/>
      </c>
      <c r="K12" s="21">
        <f>K9+K6</f>
        <v/>
      </c>
      <c r="L12" s="21">
        <f>L9+L6</f>
        <v/>
      </c>
      <c r="M12" s="21">
        <f>M9+M6</f>
        <v/>
      </c>
      <c r="N12" s="21">
        <f>N9+N6</f>
        <v/>
      </c>
      <c r="O12" s="21">
        <f>O9+O6</f>
        <v/>
      </c>
      <c r="P12" s="21">
        <f>P9+P6</f>
        <v/>
      </c>
      <c r="Q12" s="21">
        <f>Q9+Q6</f>
        <v/>
      </c>
      <c r="R12" s="21">
        <f>R9+R6</f>
        <v/>
      </c>
      <c r="S12" s="21">
        <f>S9+S6</f>
        <v/>
      </c>
      <c r="T12" s="21">
        <f>T9+T6</f>
        <v/>
      </c>
      <c r="U12" s="21">
        <f>U9+U6</f>
        <v/>
      </c>
      <c r="V12" s="21">
        <f>V9+V6</f>
        <v/>
      </c>
      <c r="W12" s="21">
        <f>W9+W6</f>
        <v/>
      </c>
      <c r="X12" s="21">
        <f>X9+X6</f>
        <v/>
      </c>
      <c r="Y12" s="21">
        <f>Y9+Y6</f>
        <v/>
      </c>
      <c r="Z12" s="21">
        <f>Z9+Z6</f>
        <v/>
      </c>
      <c r="AA12" s="21">
        <f>AA9+AA6</f>
        <v/>
      </c>
      <c r="AB12" s="21">
        <f>AB9+AB6</f>
        <v/>
      </c>
      <c r="AC12" s="21">
        <f>AC9+AC6</f>
        <v/>
      </c>
      <c r="AD12" s="21">
        <f>AD9+AD6</f>
        <v/>
      </c>
      <c r="AE12" s="21">
        <f>AE9+AE6</f>
        <v/>
      </c>
      <c r="AF12" s="21">
        <f>AF9+AF6</f>
        <v/>
      </c>
      <c r="AG12" s="21">
        <f>AG9+AG6</f>
        <v/>
      </c>
      <c r="AH12" s="94">
        <f>SUM(C12:AG12)</f>
        <v/>
      </c>
      <c r="AI12" s="21">
        <f>AI9+AI6</f>
        <v/>
      </c>
      <c r="AJ12" s="21">
        <f>AJ9+AJ6</f>
        <v/>
      </c>
      <c r="AK12" s="21">
        <f>AK9+AK6</f>
        <v/>
      </c>
      <c r="AL12" s="21">
        <f>AL9+AL6</f>
        <v/>
      </c>
      <c r="AM12" s="21">
        <f>AM9+AM6</f>
        <v/>
      </c>
      <c r="AN12" s="21">
        <f>AN9+AN6</f>
        <v/>
      </c>
      <c r="AO12" s="21">
        <f>AO9+AO6</f>
        <v/>
      </c>
      <c r="AP12" s="21">
        <f>AP9+AP6</f>
        <v/>
      </c>
      <c r="AQ12" s="21">
        <f>AQ9+AQ6</f>
        <v/>
      </c>
      <c r="AR12" s="21">
        <f>AR9+AR6</f>
        <v/>
      </c>
      <c r="AS12" s="21">
        <f>AS9+AS6</f>
        <v/>
      </c>
      <c r="AT12" s="21">
        <f>AT9+AT6</f>
        <v/>
      </c>
      <c r="AU12" s="21">
        <f>AU9+AU6</f>
        <v/>
      </c>
      <c r="AV12" s="21">
        <f>AV9+AV6</f>
        <v/>
      </c>
      <c r="AW12" s="21">
        <f>AW9+AW6</f>
        <v/>
      </c>
      <c r="AX12" s="21">
        <f>AX9+AX6</f>
        <v/>
      </c>
      <c r="AY12" s="21">
        <f>AY9+AY6</f>
        <v/>
      </c>
      <c r="AZ12" s="21">
        <f>AZ9+AZ6</f>
        <v/>
      </c>
      <c r="BA12" s="21">
        <f>BA9+BA6</f>
        <v/>
      </c>
      <c r="BB12" s="21">
        <f>BB9+BB6</f>
        <v/>
      </c>
      <c r="BC12" s="21">
        <f>BC9+BC6</f>
        <v/>
      </c>
      <c r="BD12" s="21">
        <f>BD9+BD6</f>
        <v/>
      </c>
      <c r="BE12" s="21">
        <f>BE9+BE6</f>
        <v/>
      </c>
      <c r="BF12" s="21">
        <f>BF9+BF6</f>
        <v/>
      </c>
      <c r="BG12" s="21">
        <f>BG9+BG6</f>
        <v/>
      </c>
      <c r="BH12" s="21">
        <f>BH9+BH6</f>
        <v/>
      </c>
      <c r="BI12" s="21">
        <f>BI9+BI6</f>
        <v/>
      </c>
      <c r="BJ12" s="21">
        <f>BJ9+BJ6</f>
        <v/>
      </c>
      <c r="BK12" s="21">
        <f>BK9+BK6</f>
        <v/>
      </c>
      <c r="BL12" s="21">
        <f>BL9+BL6</f>
        <v/>
      </c>
      <c r="BM12" s="97">
        <f>SUM(AI12:BL12)</f>
        <v/>
      </c>
      <c r="BN12" s="21">
        <f>BN9+BN6</f>
        <v/>
      </c>
      <c r="BO12" s="21">
        <f>BO9+BO6</f>
        <v/>
      </c>
      <c r="BP12" s="21">
        <f>BP9+BP6</f>
        <v/>
      </c>
      <c r="BQ12" s="21">
        <f>BQ9+BQ6</f>
        <v/>
      </c>
      <c r="BR12" s="21">
        <f>BR9+BR6</f>
        <v/>
      </c>
      <c r="BS12" s="21">
        <f>BS9+BS6</f>
        <v/>
      </c>
      <c r="BT12" s="21">
        <f>BT9+BT6</f>
        <v/>
      </c>
      <c r="BU12" s="21">
        <f>BU9+BU6</f>
        <v/>
      </c>
      <c r="BV12" s="21">
        <f>BV9+BV6</f>
        <v/>
      </c>
      <c r="BW12" s="21">
        <f>BW9+BW6</f>
        <v/>
      </c>
      <c r="BX12" s="21">
        <f>BX9+BX6</f>
        <v/>
      </c>
      <c r="BY12" s="21">
        <f>BY9+BY6</f>
        <v/>
      </c>
      <c r="BZ12" s="21">
        <f>BZ9+BZ6</f>
        <v/>
      </c>
      <c r="CA12" s="21">
        <f>CA9+CA6</f>
        <v/>
      </c>
      <c r="CB12" s="21">
        <f>CB9+CB6</f>
        <v/>
      </c>
      <c r="CC12" s="21">
        <f>CC9+CC6</f>
        <v/>
      </c>
      <c r="CD12" s="21">
        <f>CD9+CD6</f>
        <v/>
      </c>
      <c r="CE12" s="21">
        <f>CE9+CE6</f>
        <v/>
      </c>
      <c r="CF12" s="21">
        <f>CF9+CF6</f>
        <v/>
      </c>
      <c r="CG12" s="21">
        <f>CG9+CG6</f>
        <v/>
      </c>
      <c r="CH12" s="21">
        <f>CH9+CH6</f>
        <v/>
      </c>
      <c r="CI12" s="21">
        <f>CI9+CI6</f>
        <v/>
      </c>
      <c r="CJ12" s="21">
        <f>CJ9+CJ6</f>
        <v/>
      </c>
      <c r="CK12" s="21">
        <f>CK9+CK6</f>
        <v/>
      </c>
      <c r="CL12" s="21">
        <f>CL9+CL6</f>
        <v/>
      </c>
      <c r="CM12" s="21">
        <f>CM9+CM6</f>
        <v/>
      </c>
      <c r="CN12" s="21">
        <f>CN9+CN6</f>
        <v/>
      </c>
      <c r="CO12" s="21">
        <f>CO9+CO6</f>
        <v/>
      </c>
      <c r="CP12" s="21">
        <f>CP9+CP6</f>
        <v/>
      </c>
      <c r="CQ12" s="21">
        <f>CQ9+CQ6</f>
        <v/>
      </c>
      <c r="CR12" s="21">
        <f>CR9+CR6</f>
        <v/>
      </c>
      <c r="CS12" s="111">
        <f>SUM(BN12:CR12)</f>
        <v/>
      </c>
      <c r="CT12" s="21">
        <f>CT9+CT6</f>
        <v/>
      </c>
      <c r="CU12" s="21">
        <f>CU9+CU6</f>
        <v/>
      </c>
      <c r="CV12" s="21">
        <f>CV9+CV6</f>
        <v/>
      </c>
      <c r="CW12" s="21">
        <f>CW9+CW6</f>
        <v/>
      </c>
      <c r="CX12" s="21">
        <f>CX9+CX6</f>
        <v/>
      </c>
      <c r="CY12" s="21">
        <f>CY9+CY6</f>
        <v/>
      </c>
      <c r="CZ12" s="21">
        <f>CZ9+CZ6</f>
        <v/>
      </c>
      <c r="DA12" s="21">
        <f>DA9+DA6</f>
        <v/>
      </c>
      <c r="DB12" s="21">
        <f>DB9+DB6</f>
        <v/>
      </c>
      <c r="DC12" s="21">
        <f>DC9+DC6</f>
        <v/>
      </c>
      <c r="DD12" s="21">
        <f>DD9+DD6</f>
        <v/>
      </c>
      <c r="DE12" s="21">
        <f>DE9+DE6</f>
        <v/>
      </c>
      <c r="DF12" s="21">
        <f>DF9+DF6</f>
        <v/>
      </c>
      <c r="DG12" s="21">
        <f>DG9+DG6</f>
        <v/>
      </c>
      <c r="DH12" s="21">
        <f>DH9+DH6</f>
        <v/>
      </c>
      <c r="DI12" s="21">
        <f>DI9+DI6</f>
        <v/>
      </c>
      <c r="DJ12" s="21">
        <f>DJ9+DJ6</f>
        <v/>
      </c>
      <c r="DK12" s="21">
        <f>DK9+DK6</f>
        <v/>
      </c>
      <c r="DL12" s="21">
        <f>DL9+DL6</f>
        <v/>
      </c>
      <c r="DM12" s="21">
        <f>DM9+DM6</f>
        <v/>
      </c>
      <c r="DN12" s="21">
        <f>DN9+DN6</f>
        <v/>
      </c>
      <c r="DO12" s="21">
        <f>DO9+DO6</f>
        <v/>
      </c>
      <c r="DP12" s="21">
        <f>DP9+DP6</f>
        <v/>
      </c>
      <c r="DQ12" s="21">
        <f>DQ9+DQ6</f>
        <v/>
      </c>
      <c r="DR12" s="21">
        <f>DR9+DR6</f>
        <v/>
      </c>
      <c r="DS12" s="21">
        <f>DS9+DS6</f>
        <v/>
      </c>
      <c r="DT12" s="21">
        <f>DT9+DT6</f>
        <v/>
      </c>
      <c r="DU12" s="21">
        <f>DU9+DU6</f>
        <v/>
      </c>
      <c r="DV12" s="21">
        <f>DV9+DV6</f>
        <v/>
      </c>
      <c r="DW12" s="21">
        <f>DW9+DW6</f>
        <v/>
      </c>
      <c r="DX12" s="119">
        <f>SUM(CT12:DW12)</f>
        <v/>
      </c>
      <c r="DY12" s="21">
        <f>DY9+DY6</f>
        <v/>
      </c>
      <c r="DZ12" s="21">
        <f>DZ9+DZ6</f>
        <v/>
      </c>
      <c r="EA12" s="21">
        <f>EA9+EA6</f>
        <v/>
      </c>
      <c r="EB12" s="21">
        <f>EB9+EB6</f>
        <v/>
      </c>
      <c r="EC12" s="21">
        <f>EC9+EC6</f>
        <v/>
      </c>
      <c r="ED12" s="21">
        <f>ED9+ED6</f>
        <v/>
      </c>
      <c r="EE12" s="21">
        <f>EE9+EE6</f>
        <v/>
      </c>
      <c r="EF12" s="21">
        <f>EF9+EF6</f>
        <v/>
      </c>
      <c r="EG12" s="21">
        <f>EG9+EG6</f>
        <v/>
      </c>
      <c r="EH12" s="21">
        <f>EH9+EH6</f>
        <v/>
      </c>
      <c r="EI12" s="21">
        <f>EI9+EI6</f>
        <v/>
      </c>
      <c r="EJ12" s="21">
        <f>EJ9+EJ6</f>
        <v/>
      </c>
      <c r="EK12" s="21">
        <f>EK9+EK6</f>
        <v/>
      </c>
      <c r="EL12" s="21">
        <f>EL9+EL6</f>
        <v/>
      </c>
      <c r="EM12" s="21">
        <f>EM9+EM6</f>
        <v/>
      </c>
      <c r="EN12" s="21">
        <f>EN9+EN6</f>
        <v/>
      </c>
      <c r="EO12" s="21">
        <f>EO9+EO6</f>
        <v/>
      </c>
      <c r="EP12" s="21">
        <f>EP9+EP6</f>
        <v/>
      </c>
      <c r="EQ12" s="21">
        <f>EQ9+EQ6</f>
        <v/>
      </c>
      <c r="ER12" s="21">
        <f>ER9+ER6</f>
        <v/>
      </c>
      <c r="ES12" s="21">
        <f>ES9+ES6</f>
        <v/>
      </c>
      <c r="ET12" s="21">
        <f>ET9+ET6</f>
        <v/>
      </c>
      <c r="EU12" s="21">
        <f>EU9+EU6</f>
        <v/>
      </c>
      <c r="EV12" s="21">
        <f>EV9+EV6</f>
        <v/>
      </c>
      <c r="EW12" s="21">
        <f>EW9+EW6</f>
        <v/>
      </c>
      <c r="EX12" s="21">
        <f>EX9+EX6</f>
        <v/>
      </c>
      <c r="EY12" s="21">
        <f>EY9+EY6</f>
        <v/>
      </c>
      <c r="EZ12" s="21">
        <f>EZ9+EZ6</f>
        <v/>
      </c>
      <c r="FA12" s="21">
        <f>FA9+FA6</f>
        <v/>
      </c>
      <c r="FB12" s="21">
        <f>FB9+FB6</f>
        <v/>
      </c>
      <c r="FC12" s="21">
        <f>FC9+FC6</f>
        <v/>
      </c>
      <c r="FD12" s="128">
        <f>SUM(DY12:FC12)</f>
        <v/>
      </c>
      <c r="FE12" s="21">
        <f>FE9+FE6</f>
        <v/>
      </c>
      <c r="FF12" s="21">
        <f>FF9+FF6</f>
        <v/>
      </c>
      <c r="FG12" s="21">
        <f>FG9+FG6</f>
        <v/>
      </c>
      <c r="FH12" s="21">
        <f>FH9+FH6</f>
        <v/>
      </c>
      <c r="FI12" s="21">
        <f>FI9+FI6</f>
        <v/>
      </c>
      <c r="FJ12" s="21">
        <f>FJ9+FJ6</f>
        <v/>
      </c>
      <c r="FK12" s="21">
        <f>FK9+FK6</f>
        <v/>
      </c>
      <c r="FL12" s="21">
        <f>FL9+FL6</f>
        <v/>
      </c>
      <c r="FM12" s="21">
        <f>FM9+FM6</f>
        <v/>
      </c>
      <c r="FN12" s="21">
        <f>FN9+FN6</f>
        <v/>
      </c>
      <c r="FO12" s="21">
        <f>FO9+FO6</f>
        <v/>
      </c>
      <c r="FP12" s="21">
        <f>FP9+FP6</f>
        <v/>
      </c>
      <c r="FQ12" s="21">
        <f>FQ9+FQ6</f>
        <v/>
      </c>
      <c r="FR12" s="21">
        <f>FR9+FR6</f>
        <v/>
      </c>
      <c r="FS12" s="21">
        <f>FS9+FS6</f>
        <v/>
      </c>
      <c r="FT12" s="21">
        <f>FT9+FT6</f>
        <v/>
      </c>
      <c r="FU12" s="21">
        <f>FU9+FU6</f>
        <v/>
      </c>
      <c r="FV12" s="21">
        <f>FV9+FV6</f>
        <v/>
      </c>
      <c r="FW12" s="21">
        <f>FW9+FW6</f>
        <v/>
      </c>
      <c r="FX12" s="21">
        <f>FX9+FX6</f>
        <v/>
      </c>
      <c r="FY12" s="21">
        <f>FY9+FY6</f>
        <v/>
      </c>
      <c r="FZ12" s="21">
        <f>FZ9+FZ6</f>
        <v/>
      </c>
      <c r="GA12" s="21">
        <f>GA9+GA6</f>
        <v/>
      </c>
      <c r="GB12" s="21">
        <f>GB9+GB6</f>
        <v/>
      </c>
      <c r="GC12" s="21">
        <f>GC9+GC6</f>
        <v/>
      </c>
      <c r="GD12" s="21">
        <f>GD9+GD6</f>
        <v/>
      </c>
      <c r="GE12" s="21">
        <f>GE9+GE6</f>
        <v/>
      </c>
      <c r="GF12" s="21">
        <f>GF9+GF6</f>
        <v/>
      </c>
      <c r="GG12" s="21">
        <f>GG9+GG6</f>
        <v/>
      </c>
      <c r="GH12" s="21">
        <f>GH9+GH6</f>
        <v/>
      </c>
      <c r="GI12" s="21">
        <f>GI9+GI6</f>
        <v/>
      </c>
      <c r="GJ12" s="127">
        <f>SUM(FE12:GI12)</f>
        <v/>
      </c>
      <c r="GK12" s="21">
        <f>GK9+GK6</f>
        <v/>
      </c>
      <c r="GL12" s="21">
        <f>GL9+GL6</f>
        <v/>
      </c>
      <c r="GM12" s="21">
        <f>GM9+GM6</f>
        <v/>
      </c>
      <c r="GN12" s="21">
        <f>GN9+GN6</f>
        <v/>
      </c>
      <c r="GO12" s="21">
        <f>GO9+GO6</f>
        <v/>
      </c>
      <c r="GP12" s="21">
        <f>GP9+GP6</f>
        <v/>
      </c>
      <c r="GQ12" s="21">
        <f>GQ9+GQ6</f>
        <v/>
      </c>
      <c r="GR12" s="21">
        <f>GR9+GR6</f>
        <v/>
      </c>
      <c r="GS12" s="21">
        <f>GS9+GS6</f>
        <v/>
      </c>
      <c r="GT12" s="21">
        <f>GT9+GT6</f>
        <v/>
      </c>
      <c r="GU12" s="21">
        <f>GU9+GU6</f>
        <v/>
      </c>
      <c r="GV12" s="21">
        <f>GV9+GV6</f>
        <v/>
      </c>
      <c r="GW12" s="21">
        <f>GW9+GW6</f>
        <v/>
      </c>
      <c r="GX12" s="21">
        <f>GX9+GX6</f>
        <v/>
      </c>
      <c r="GY12" s="21">
        <f>GY9+GY6</f>
        <v/>
      </c>
      <c r="GZ12" s="21">
        <f>GZ9+GZ6</f>
        <v/>
      </c>
      <c r="HA12" s="21">
        <f>HA9+HA6</f>
        <v/>
      </c>
      <c r="HB12" s="21">
        <f>HB9+HB6</f>
        <v/>
      </c>
      <c r="HC12" s="21">
        <f>HC9+HC6</f>
        <v/>
      </c>
      <c r="HD12" s="21">
        <f>HD9+HD6</f>
        <v/>
      </c>
      <c r="HE12" s="21">
        <f>HE9+HE6</f>
        <v/>
      </c>
      <c r="HF12" s="21">
        <f>HF9+HF6</f>
        <v/>
      </c>
      <c r="HG12" s="21">
        <f>HG9+HG6</f>
        <v/>
      </c>
      <c r="HH12" s="21">
        <f>HH9+HH6</f>
        <v/>
      </c>
      <c r="HI12" s="21">
        <f>HI9+HI6</f>
        <v/>
      </c>
      <c r="HJ12" s="21">
        <f>HJ9+HJ6</f>
        <v/>
      </c>
      <c r="HK12" s="21">
        <f>HK9+HK6</f>
        <v/>
      </c>
      <c r="HL12" s="21">
        <f>HL9+HL6</f>
        <v/>
      </c>
      <c r="HM12" s="21">
        <f>HM9+HM6</f>
        <v/>
      </c>
      <c r="HN12" s="127">
        <f>SUM(GK12:HM12)</f>
        <v/>
      </c>
      <c r="HO12" s="21">
        <f>HO9+HO6</f>
        <v/>
      </c>
      <c r="HP12" s="21">
        <f>HP9+HP6</f>
        <v/>
      </c>
      <c r="HQ12" s="21">
        <f>HQ9+HQ6</f>
        <v/>
      </c>
      <c r="HR12" s="21">
        <f>HR9+HR6</f>
        <v/>
      </c>
      <c r="HS12" s="21">
        <f>HS9+HS6</f>
        <v/>
      </c>
      <c r="HT12" s="21">
        <f>HT9+HT6</f>
        <v/>
      </c>
      <c r="HU12" s="21">
        <f>HU9+HU6</f>
        <v/>
      </c>
      <c r="HV12" s="21">
        <f>HV9+HV6</f>
        <v/>
      </c>
      <c r="HW12" s="21">
        <f>HW9+HW6</f>
        <v/>
      </c>
      <c r="HX12" s="21">
        <f>HX9+HX6</f>
        <v/>
      </c>
      <c r="HY12" s="21">
        <f>HY9+HY6</f>
        <v/>
      </c>
      <c r="HZ12" s="21">
        <f>HZ9+HZ6</f>
        <v/>
      </c>
      <c r="IA12" s="21">
        <f>IA9+IA6</f>
        <v/>
      </c>
      <c r="IB12" s="21">
        <f>IB9+IB6</f>
        <v/>
      </c>
      <c r="IC12" s="21">
        <f>IC9+IC6</f>
        <v/>
      </c>
      <c r="ID12" s="21">
        <f>ID9+ID6</f>
        <v/>
      </c>
      <c r="IE12" s="21">
        <f>IE9+IE6</f>
        <v/>
      </c>
      <c r="IF12" s="21">
        <f>IF9+IF6</f>
        <v/>
      </c>
      <c r="IG12" s="21">
        <f>IG9+IG6</f>
        <v/>
      </c>
      <c r="IH12" s="21">
        <f>IH9+IH6</f>
        <v/>
      </c>
      <c r="II12" s="21">
        <f>II9+II6</f>
        <v/>
      </c>
      <c r="IJ12" s="21">
        <f>IJ9+IJ6</f>
        <v/>
      </c>
      <c r="IK12" s="21">
        <f>IK9+IK6</f>
        <v/>
      </c>
      <c r="IL12" s="21">
        <f>IL9+IL6</f>
        <v/>
      </c>
      <c r="IM12" s="21">
        <f>IM9+IM6</f>
        <v/>
      </c>
      <c r="IN12" s="21">
        <f>IN9+IN6</f>
        <v/>
      </c>
      <c r="IO12" s="21">
        <f>IO9+IO6</f>
        <v/>
      </c>
      <c r="IP12" s="21">
        <f>IP9+IP6</f>
        <v/>
      </c>
      <c r="IQ12" s="21">
        <f>IQ9+IQ6</f>
        <v/>
      </c>
      <c r="IR12" s="21">
        <f>IR9+IR6</f>
        <v/>
      </c>
      <c r="IS12" s="21">
        <f>IS9+IS6</f>
        <v/>
      </c>
      <c r="IT12" s="127">
        <f>SUM(HO12:IS12)</f>
        <v/>
      </c>
      <c r="IU12" s="21">
        <f>IU9+IU6</f>
        <v/>
      </c>
      <c r="IV12" s="21">
        <f>IV9+IV6</f>
        <v/>
      </c>
      <c r="IW12" s="21">
        <f>IW9+IW6</f>
        <v/>
      </c>
      <c r="IX12" s="21">
        <f>IX9+IX6</f>
        <v/>
      </c>
      <c r="IY12" s="21">
        <f>IY9+IY6</f>
        <v/>
      </c>
      <c r="IZ12" s="21">
        <f>IZ9+IZ6</f>
        <v/>
      </c>
      <c r="JA12" s="21">
        <f>JA9+JA6</f>
        <v/>
      </c>
      <c r="JB12" s="21">
        <f>JB9+JB6</f>
        <v/>
      </c>
      <c r="JC12" s="21">
        <f>JC9+JC6</f>
        <v/>
      </c>
      <c r="JD12" s="21">
        <f>JD9+JD6</f>
        <v/>
      </c>
      <c r="JE12" s="21">
        <f>JE9+JE6</f>
        <v/>
      </c>
      <c r="JF12" s="21">
        <f>JF9+JF6</f>
        <v/>
      </c>
      <c r="JG12" s="21">
        <f>JG9+JG6</f>
        <v/>
      </c>
      <c r="JH12" s="21">
        <f>JH9+JH6</f>
        <v/>
      </c>
      <c r="JI12" s="21">
        <f>JI9+JI6</f>
        <v/>
      </c>
      <c r="JJ12" s="21">
        <f>JJ9+JJ6</f>
        <v/>
      </c>
      <c r="JK12" s="21">
        <f>JK9+JK6</f>
        <v/>
      </c>
      <c r="JL12" s="21">
        <f>JL9+JL6</f>
        <v/>
      </c>
      <c r="JM12" s="21">
        <f>JM9+JM6</f>
        <v/>
      </c>
      <c r="JN12" s="21">
        <f>JN9+JN6</f>
        <v/>
      </c>
      <c r="JO12" s="21">
        <f>JO9+JO6</f>
        <v/>
      </c>
      <c r="JP12" s="21">
        <f>JP9+JP6</f>
        <v/>
      </c>
      <c r="JQ12" s="21">
        <f>JQ9+JQ6</f>
        <v/>
      </c>
      <c r="JR12" s="21">
        <f>JR9+JR6</f>
        <v/>
      </c>
      <c r="JS12" s="21">
        <f>JS9+JS6</f>
        <v/>
      </c>
      <c r="JT12" s="21">
        <f>JT9+JT6</f>
        <v/>
      </c>
      <c r="JU12" s="21">
        <f>JU9+JU6</f>
        <v/>
      </c>
      <c r="JV12" s="21">
        <f>JV9+JV6</f>
        <v/>
      </c>
      <c r="JW12" s="21">
        <f>JW9+JW6</f>
        <v/>
      </c>
      <c r="JX12" s="21">
        <f>JX9+JX6</f>
        <v/>
      </c>
      <c r="JY12" s="127">
        <f>SUM(IU12:JX12)</f>
        <v/>
      </c>
      <c r="JZ12" s="21">
        <f>JZ9+JZ6</f>
        <v/>
      </c>
      <c r="KA12" s="21">
        <f>KA9+KA6</f>
        <v/>
      </c>
      <c r="KB12" s="21">
        <f>KB9+KB6</f>
        <v/>
      </c>
      <c r="KC12" s="21">
        <f>KC9+KC6</f>
        <v/>
      </c>
      <c r="KD12" s="21">
        <f>KD9+KD6</f>
        <v/>
      </c>
      <c r="KE12" s="21">
        <f>KE9+KE6</f>
        <v/>
      </c>
      <c r="KF12" s="21">
        <f>KF9+KF6</f>
        <v/>
      </c>
      <c r="KG12" s="21">
        <f>KG9+KG6</f>
        <v/>
      </c>
      <c r="KH12" s="21">
        <f>KH9+KH6</f>
        <v/>
      </c>
      <c r="KI12" s="21">
        <f>KI9+KI6</f>
        <v/>
      </c>
      <c r="KJ12" s="21">
        <f>KJ9+KJ6</f>
        <v/>
      </c>
      <c r="KK12" s="21">
        <f>KK9+KK6</f>
        <v/>
      </c>
      <c r="KL12" s="21">
        <f>KL9+KL6</f>
        <v/>
      </c>
      <c r="KM12" s="21">
        <f>KM9+KM6</f>
        <v/>
      </c>
      <c r="KN12" s="21">
        <f>KN9+KN6</f>
        <v/>
      </c>
      <c r="KO12" s="21">
        <f>KO9+KO6</f>
        <v/>
      </c>
      <c r="KP12" s="21">
        <f>KP9+KP6</f>
        <v/>
      </c>
      <c r="KQ12" s="21">
        <f>KQ9+KQ6</f>
        <v/>
      </c>
      <c r="KR12" s="21">
        <f>KR9+KR6</f>
        <v/>
      </c>
      <c r="KS12" s="21">
        <f>KS9+KS6</f>
        <v/>
      </c>
      <c r="KT12" s="21">
        <f>KT9+KT6</f>
        <v/>
      </c>
      <c r="KU12" s="21">
        <f>KU9+KU6</f>
        <v/>
      </c>
      <c r="KV12" s="21">
        <f>KV9+KV6</f>
        <v/>
      </c>
      <c r="KW12" s="21">
        <f>KW9+KW6</f>
        <v/>
      </c>
      <c r="KX12" s="21">
        <f>KX9+KX6</f>
        <v/>
      </c>
      <c r="KY12" s="21">
        <f>KY9+KY6</f>
        <v/>
      </c>
      <c r="KZ12" s="21">
        <f>KZ9+KZ6</f>
        <v/>
      </c>
      <c r="LA12" s="21">
        <f>LA9+LA6</f>
        <v/>
      </c>
      <c r="LB12" s="21">
        <f>LB9+LB6</f>
        <v/>
      </c>
      <c r="LC12" s="21">
        <f>LC9+LC6</f>
        <v/>
      </c>
      <c r="LD12" s="21">
        <f>LD9+LD6</f>
        <v/>
      </c>
      <c r="LE12" s="127">
        <f>SUM(KA12:LD12)</f>
        <v/>
      </c>
      <c r="LF12" s="21">
        <f>LF9+LF6</f>
        <v/>
      </c>
      <c r="LG12" s="21">
        <f>LG9+LG6</f>
        <v/>
      </c>
      <c r="LH12" s="21">
        <f>LH9+LH6</f>
        <v/>
      </c>
      <c r="LI12" s="21">
        <f>LI9+LI6</f>
        <v/>
      </c>
      <c r="LJ12" s="21">
        <f>LJ9+LJ6</f>
        <v/>
      </c>
      <c r="LK12" s="21">
        <f>LK9+LK6</f>
        <v/>
      </c>
      <c r="LL12" s="21">
        <f>LL9+LL6</f>
        <v/>
      </c>
      <c r="LM12" s="21">
        <f>LM9+LM6</f>
        <v/>
      </c>
      <c r="LN12" s="21">
        <f>LN9+LN6</f>
        <v/>
      </c>
      <c r="LO12" s="21">
        <f>LO9+LO6</f>
        <v/>
      </c>
      <c r="LP12" s="21">
        <f>LP9+LP6</f>
        <v/>
      </c>
      <c r="LQ12" s="21">
        <f>LQ9+LQ6</f>
        <v/>
      </c>
      <c r="LR12" s="21">
        <f>LR9+LR6</f>
        <v/>
      </c>
      <c r="LS12" s="21">
        <f>LS9+LS6</f>
        <v/>
      </c>
      <c r="LT12" s="21">
        <f>LT9+LT6</f>
        <v/>
      </c>
      <c r="LU12" s="21">
        <f>LU9+LU6</f>
        <v/>
      </c>
      <c r="LV12" s="21">
        <f>LV9+LV6</f>
        <v/>
      </c>
      <c r="LW12" s="21">
        <f>LW9+LW6</f>
        <v/>
      </c>
      <c r="LX12" s="21">
        <f>LX9+LX6</f>
        <v/>
      </c>
      <c r="LY12" s="21">
        <f>LY9+LY6</f>
        <v/>
      </c>
      <c r="LZ12" s="21">
        <f>LZ9+LZ6</f>
        <v/>
      </c>
      <c r="MA12" s="21">
        <f>MA9+MA6</f>
        <v/>
      </c>
      <c r="MB12" s="21">
        <f>MB9+MB6</f>
        <v/>
      </c>
      <c r="MC12" s="21">
        <f>MC9+MC6</f>
        <v/>
      </c>
      <c r="MD12" s="21">
        <f>MD9+MD6</f>
        <v/>
      </c>
      <c r="ME12" s="21">
        <f>ME9+ME6</f>
        <v/>
      </c>
      <c r="MF12" s="21">
        <f>MF9+MF6</f>
        <v/>
      </c>
      <c r="MG12" s="21">
        <f>MG9+MG6</f>
        <v/>
      </c>
      <c r="MH12" s="21">
        <f>MH9+MH6</f>
        <v/>
      </c>
      <c r="MI12" s="21">
        <f>MI9+MI6</f>
        <v/>
      </c>
      <c r="MJ12" s="127">
        <f>SUM(LF12:MI12)</f>
        <v/>
      </c>
      <c r="MK12" s="21">
        <f>MK9+MK6</f>
        <v/>
      </c>
      <c r="ML12" s="21">
        <f>ML9+ML6</f>
        <v/>
      </c>
      <c r="MM12" s="21">
        <f>MM9+MM6</f>
        <v/>
      </c>
      <c r="MN12" s="21">
        <f>MN9+MN6</f>
        <v/>
      </c>
      <c r="MO12" s="21">
        <f>MO9+MO6</f>
        <v/>
      </c>
      <c r="MP12" s="21">
        <f>MP9+MP6</f>
        <v/>
      </c>
      <c r="MQ12" s="21">
        <f>MQ9+MQ6</f>
        <v/>
      </c>
      <c r="MR12" s="21">
        <f>MR9+MR6</f>
        <v/>
      </c>
      <c r="MS12" s="21">
        <f>MS9+MS6</f>
        <v/>
      </c>
      <c r="MT12" s="21">
        <f>MT9+MT6</f>
        <v/>
      </c>
      <c r="MU12" s="21">
        <f>MU9+MU6</f>
        <v/>
      </c>
      <c r="MV12" s="21">
        <f>MV9+MV6</f>
        <v/>
      </c>
      <c r="MW12" s="21">
        <f>MW9+MW6</f>
        <v/>
      </c>
      <c r="MX12" s="21">
        <f>MX9+MX6</f>
        <v/>
      </c>
      <c r="MY12" s="21">
        <f>MY9+MY6</f>
        <v/>
      </c>
      <c r="MZ12" s="21">
        <f>MZ9+MZ6</f>
        <v/>
      </c>
      <c r="NA12" s="21">
        <f>NA9+NA6</f>
        <v/>
      </c>
      <c r="NB12" s="21">
        <f>NB9+NB6</f>
        <v/>
      </c>
      <c r="NC12" s="21">
        <f>NC9+NC6</f>
        <v/>
      </c>
      <c r="ND12" s="21">
        <f>ND9+ND6</f>
        <v/>
      </c>
      <c r="NE12" s="21">
        <f>NE9+NE6</f>
        <v/>
      </c>
      <c r="NF12" s="21">
        <f>NF9+NF6</f>
        <v/>
      </c>
      <c r="NG12" s="21">
        <f>NG9+NG6</f>
        <v/>
      </c>
      <c r="NH12" s="21">
        <f>NH9+NH6</f>
        <v/>
      </c>
      <c r="NI12" s="21">
        <f>NI9+NI6</f>
        <v/>
      </c>
      <c r="NJ12" s="21">
        <f>NJ9+NJ6</f>
        <v/>
      </c>
      <c r="NK12" s="21">
        <f>NK9+NK6</f>
        <v/>
      </c>
      <c r="NL12" s="21">
        <f>NL9+NL6</f>
        <v/>
      </c>
      <c r="NM12" s="21">
        <f>NM9+NM6</f>
        <v/>
      </c>
      <c r="NN12" s="21">
        <f>NN9+NN6</f>
        <v/>
      </c>
      <c r="NO12" s="21">
        <f>NO9+NO6</f>
        <v/>
      </c>
      <c r="NP12" s="127">
        <f>SUM(ML12:NO12)</f>
        <v/>
      </c>
      <c r="NQ12" s="21">
        <f>NQ9+NQ6</f>
        <v/>
      </c>
      <c r="NR12" s="21">
        <f>NR9+NR6</f>
        <v/>
      </c>
      <c r="NS12" s="21">
        <f>NS9+NS6</f>
        <v/>
      </c>
      <c r="NT12" s="21">
        <f>NT9+NT6</f>
        <v/>
      </c>
      <c r="NU12" s="21">
        <f>NU9+NU6</f>
        <v/>
      </c>
      <c r="NV12" s="21">
        <f>NV9+NV6</f>
        <v/>
      </c>
      <c r="NW12" s="21">
        <f>NW9+NW6</f>
        <v/>
      </c>
      <c r="NX12" s="21">
        <f>NX9+NX6</f>
        <v/>
      </c>
      <c r="NY12" s="21">
        <f>NY9+NY6</f>
        <v/>
      </c>
      <c r="NZ12" s="21">
        <f>NZ9+NZ6</f>
        <v/>
      </c>
      <c r="OA12" s="21">
        <f>OA9+OA6</f>
        <v/>
      </c>
      <c r="OB12" s="21">
        <f>OB9+OB6</f>
        <v/>
      </c>
      <c r="OC12" s="21">
        <f>OC9+OC6</f>
        <v/>
      </c>
      <c r="OD12" s="21">
        <f>OD9+OD6</f>
        <v/>
      </c>
      <c r="OE12" s="21">
        <f>OE9+OE6</f>
        <v/>
      </c>
      <c r="OF12" s="21">
        <f>OF9+OF6</f>
        <v/>
      </c>
      <c r="OG12" s="21">
        <f>OG9+OG6</f>
        <v/>
      </c>
      <c r="OH12" s="21">
        <f>OH9+OH6</f>
        <v/>
      </c>
      <c r="OI12" s="21">
        <f>OI9+OI6</f>
        <v/>
      </c>
      <c r="OJ12" s="21">
        <f>OJ9+OJ6</f>
        <v/>
      </c>
      <c r="OK12" s="21">
        <f>OK9+OK6</f>
        <v/>
      </c>
      <c r="OL12" s="21">
        <f>OL9+OL6</f>
        <v/>
      </c>
      <c r="OM12" s="21">
        <f>OM9+OM6</f>
        <v/>
      </c>
      <c r="ON12" s="21">
        <f>ON9+ON6</f>
        <v/>
      </c>
      <c r="OO12" s="21">
        <f>OO9+OO6</f>
        <v/>
      </c>
      <c r="OP12" s="21">
        <f>OP9+OP6</f>
        <v/>
      </c>
      <c r="OQ12" s="21">
        <f>OQ9+OQ6</f>
        <v/>
      </c>
      <c r="OR12" s="21">
        <f>OR9+OR6</f>
        <v/>
      </c>
      <c r="OS12" s="21">
        <f>OS9+OS6</f>
        <v/>
      </c>
      <c r="OT12" s="21">
        <f>OT9+OT6</f>
        <v/>
      </c>
      <c r="OU12" s="21">
        <f>OU9+OU6</f>
        <v/>
      </c>
      <c r="OV12" s="127">
        <f>SUM(NR12:OU12)</f>
        <v/>
      </c>
      <c r="OW12" s="21">
        <f>OW9+OW6</f>
        <v/>
      </c>
      <c r="OX12" s="21">
        <f>OX9+OX6</f>
        <v/>
      </c>
      <c r="OY12" s="21">
        <f>OY9+OY6</f>
        <v/>
      </c>
      <c r="OZ12" s="21">
        <f>OZ9+OZ6</f>
        <v/>
      </c>
      <c r="PA12" s="21">
        <f>PA9+PA6</f>
        <v/>
      </c>
      <c r="PB12" s="21">
        <f>PB9+PB6</f>
        <v/>
      </c>
      <c r="PC12" s="21">
        <f>PC9+PC6</f>
        <v/>
      </c>
      <c r="PD12" s="21">
        <f>PD9+PD6</f>
        <v/>
      </c>
      <c r="PE12" s="21">
        <f>PE9+PE6</f>
        <v/>
      </c>
      <c r="PF12" s="21">
        <f>PF9+PF6</f>
        <v/>
      </c>
      <c r="PG12" s="21">
        <f>PG9+PG6</f>
        <v/>
      </c>
      <c r="PH12" s="21">
        <f>PH9+PH6</f>
        <v/>
      </c>
      <c r="PI12" s="21">
        <f>PI9+PI6</f>
        <v/>
      </c>
      <c r="PJ12" s="21">
        <f>PJ9+PJ6</f>
        <v/>
      </c>
      <c r="PK12" s="21">
        <f>PK9+PK6</f>
        <v/>
      </c>
      <c r="PL12" s="21">
        <f>PL9+PL6</f>
        <v/>
      </c>
      <c r="PM12" s="21">
        <f>PM9+PM6</f>
        <v/>
      </c>
      <c r="PN12" s="21">
        <f>PN9+PN6</f>
        <v/>
      </c>
      <c r="PO12" s="21">
        <f>PO9+PO6</f>
        <v/>
      </c>
      <c r="PP12" s="21">
        <f>PP9+PP6</f>
        <v/>
      </c>
      <c r="PQ12" s="21">
        <f>PQ9+PQ6</f>
        <v/>
      </c>
      <c r="PR12" s="21">
        <f>PR9+PR6</f>
        <v/>
      </c>
      <c r="PS12" s="21">
        <f>PS9+PS6</f>
        <v/>
      </c>
      <c r="PT12" s="21">
        <f>PT9+PT6</f>
        <v/>
      </c>
      <c r="PU12" s="21">
        <f>PU9+PU6</f>
        <v/>
      </c>
      <c r="PV12" s="21">
        <f>PV9+PV6</f>
        <v/>
      </c>
      <c r="PW12" s="21">
        <f>PW9+PW6</f>
        <v/>
      </c>
      <c r="PX12" s="21">
        <f>PX9+PX6</f>
        <v/>
      </c>
      <c r="PY12" s="21">
        <f>PY9+PY6</f>
        <v/>
      </c>
      <c r="PZ12" s="21">
        <f>PZ9+PZ6</f>
        <v/>
      </c>
      <c r="QA12" s="127">
        <f>SUM(OW12:PZ12)</f>
        <v/>
      </c>
      <c r="QB12" s="21">
        <f>QB9+QB6</f>
        <v/>
      </c>
      <c r="QC12" s="21">
        <f>QC9+QC6</f>
        <v/>
      </c>
      <c r="QD12" s="21">
        <f>QD9+QD6</f>
        <v/>
      </c>
      <c r="QE12" s="21">
        <f>QE9+QE6</f>
        <v/>
      </c>
      <c r="QF12" s="21">
        <f>QF9+QF6</f>
        <v/>
      </c>
      <c r="QG12" s="21">
        <f>QG9+QG6</f>
        <v/>
      </c>
      <c r="QH12" s="21">
        <f>QH9+QH6</f>
        <v/>
      </c>
      <c r="QI12" s="21">
        <f>QI9+QI6</f>
        <v/>
      </c>
      <c r="QJ12" s="21">
        <f>QJ9+QJ6</f>
        <v/>
      </c>
      <c r="QK12" s="21">
        <f>QK9+QK6</f>
        <v/>
      </c>
      <c r="QL12" s="21">
        <f>QL9+QL6</f>
        <v/>
      </c>
      <c r="QM12" s="21">
        <f>QM9+QM6</f>
        <v/>
      </c>
      <c r="QN12" s="21">
        <f>QN9+QN6</f>
        <v/>
      </c>
      <c r="QO12" s="21">
        <f>QO9+QO6</f>
        <v/>
      </c>
      <c r="QP12" s="21">
        <f>QP9+QP6</f>
        <v/>
      </c>
      <c r="QQ12" s="21">
        <f>QQ9+QQ6</f>
        <v/>
      </c>
      <c r="QR12" s="21">
        <f>QR9+QR6</f>
        <v/>
      </c>
      <c r="QS12" s="21">
        <f>QS9+QS6</f>
        <v/>
      </c>
      <c r="QT12" s="21">
        <f>QT9+QT6</f>
        <v/>
      </c>
      <c r="QU12" s="21">
        <f>QU9+QU6</f>
        <v/>
      </c>
      <c r="QV12" s="21">
        <f>QV9+QV6</f>
        <v/>
      </c>
      <c r="QW12" s="21">
        <f>QW9+QW6</f>
        <v/>
      </c>
      <c r="QX12" s="21">
        <f>QX9+QX6</f>
        <v/>
      </c>
      <c r="QY12" s="21">
        <f>QY9+QY6</f>
        <v/>
      </c>
      <c r="QZ12" s="21">
        <f>QZ9+QZ6</f>
        <v/>
      </c>
      <c r="RA12" s="21">
        <f>RA9+RA6</f>
        <v/>
      </c>
      <c r="RB12" s="21">
        <f>RB9+RB6</f>
        <v/>
      </c>
      <c r="RC12" s="21">
        <f>RC9+RC6</f>
        <v/>
      </c>
      <c r="RD12" s="21">
        <f>RD9+RD6</f>
        <v/>
      </c>
      <c r="RE12" s="21">
        <f>RE9+RE6</f>
        <v/>
      </c>
      <c r="RF12" s="21">
        <f>RF9+RF6</f>
        <v/>
      </c>
      <c r="RG12" s="127">
        <f>SUM(QC12:RF12)</f>
        <v/>
      </c>
      <c r="RH12" s="21">
        <f>RH9+RH6</f>
        <v/>
      </c>
      <c r="RI12" s="21">
        <f>RI9+RI6</f>
        <v/>
      </c>
      <c r="RJ12" s="21">
        <f>RJ9+RJ6</f>
        <v/>
      </c>
      <c r="RK12" s="21">
        <f>RK9+RK6</f>
        <v/>
      </c>
      <c r="RL12" s="21">
        <f>RL9+RL6</f>
        <v/>
      </c>
      <c r="RM12" s="21">
        <f>RM9+RM6</f>
        <v/>
      </c>
      <c r="RN12" s="21">
        <f>RN9+RN6</f>
        <v/>
      </c>
      <c r="RO12" s="21">
        <f>RO9+RO6</f>
        <v/>
      </c>
      <c r="RP12" s="21">
        <f>RP9+RP6</f>
        <v/>
      </c>
      <c r="RQ12" s="21">
        <f>RQ9+RQ6</f>
        <v/>
      </c>
      <c r="RR12" s="21">
        <f>RR9+RR6</f>
        <v/>
      </c>
      <c r="RS12" s="21">
        <f>RS9+RS6</f>
        <v/>
      </c>
      <c r="RT12" s="21">
        <f>RT9+RT6</f>
        <v/>
      </c>
      <c r="RU12" s="21">
        <f>RU9+RU6</f>
        <v/>
      </c>
      <c r="RV12" s="21">
        <f>RV9+RV6</f>
        <v/>
      </c>
      <c r="RW12" s="21">
        <f>RW9+RW6</f>
        <v/>
      </c>
      <c r="RX12" s="21">
        <f>RX9+RX6</f>
        <v/>
      </c>
      <c r="RY12" s="21">
        <f>RY9+RY6</f>
        <v/>
      </c>
      <c r="RZ12" s="21">
        <f>RZ9+RZ6</f>
        <v/>
      </c>
      <c r="SA12" s="21">
        <f>SA9+SA6</f>
        <v/>
      </c>
      <c r="SB12" s="21">
        <f>SB9+SB6</f>
        <v/>
      </c>
      <c r="SC12" s="21">
        <f>SC9+SC6</f>
        <v/>
      </c>
      <c r="SD12" s="21">
        <f>SD9+SD6</f>
        <v/>
      </c>
      <c r="SE12" s="21">
        <f>SE9+SE6</f>
        <v/>
      </c>
      <c r="SF12" s="21">
        <f>SF9+SF6</f>
        <v/>
      </c>
      <c r="SG12" s="21">
        <f>SG9+SG6</f>
        <v/>
      </c>
      <c r="SH12" s="21">
        <f>SH9+SH6</f>
        <v/>
      </c>
      <c r="SI12" s="21">
        <f>SI9+SI6</f>
        <v/>
      </c>
      <c r="SJ12" s="21">
        <f>SJ9+SJ6</f>
        <v/>
      </c>
      <c r="SK12" s="21">
        <f>SK9+SK6</f>
        <v/>
      </c>
      <c r="SL12" s="127">
        <f>SUM(RH12:SK12)</f>
        <v/>
      </c>
      <c r="SM12" s="21">
        <f>SM9+SM6</f>
        <v/>
      </c>
      <c r="SN12" s="21">
        <f>SN9+SN6</f>
        <v/>
      </c>
      <c r="SO12" s="21">
        <f>SO9+SO6</f>
        <v/>
      </c>
      <c r="SP12" s="21">
        <f>SP9+SP6</f>
        <v/>
      </c>
      <c r="SQ12" s="21">
        <f>SQ9+SQ6</f>
        <v/>
      </c>
      <c r="SR12" s="21">
        <f>SR9+SR6</f>
        <v/>
      </c>
      <c r="SS12" s="21">
        <f>SS9+SS6</f>
        <v/>
      </c>
      <c r="ST12" s="21">
        <f>ST9+ST6</f>
        <v/>
      </c>
      <c r="SU12" s="21">
        <f>SU9+SU6</f>
        <v/>
      </c>
      <c r="SV12" s="21">
        <f>SV9+SV6</f>
        <v/>
      </c>
      <c r="SW12" s="21">
        <f>SW9+SW6</f>
        <v/>
      </c>
      <c r="SX12" s="21">
        <f>SX9+SX6</f>
        <v/>
      </c>
      <c r="SY12" s="21">
        <f>SY9+SY6</f>
        <v/>
      </c>
      <c r="SZ12" s="21">
        <f>SZ9+SZ6</f>
        <v/>
      </c>
      <c r="TA12" s="21">
        <f>TA9+TA6</f>
        <v/>
      </c>
      <c r="TB12" s="21">
        <f>TB9+TB6</f>
        <v/>
      </c>
      <c r="TC12" s="21">
        <f>TC9+TC6</f>
        <v/>
      </c>
      <c r="TD12" s="21">
        <f>TD9+TD6</f>
        <v/>
      </c>
      <c r="TE12" s="21">
        <f>TE9+TE6</f>
        <v/>
      </c>
      <c r="TF12" s="21">
        <f>TF9+TF6</f>
        <v/>
      </c>
      <c r="TG12" s="21">
        <f>TG9+TG6</f>
        <v/>
      </c>
      <c r="TH12" s="21">
        <f>TH9+TH6</f>
        <v/>
      </c>
      <c r="TI12" s="21">
        <f>TI9+TI6</f>
        <v/>
      </c>
      <c r="TJ12" s="21">
        <f>TJ9+TJ6</f>
        <v/>
      </c>
      <c r="TK12" s="21">
        <f>TK9+TK6</f>
        <v/>
      </c>
      <c r="TL12" s="21">
        <f>TL9+TL6</f>
        <v/>
      </c>
      <c r="TM12" s="21">
        <f>TM9+TM6</f>
        <v/>
      </c>
      <c r="TN12" s="21">
        <f>TN9+TN6</f>
        <v/>
      </c>
      <c r="TO12" s="21">
        <f>TO9+TO6</f>
        <v/>
      </c>
      <c r="TP12" s="21">
        <f>TP9+TP6</f>
        <v/>
      </c>
      <c r="TQ12" s="21">
        <f>TQ9+TQ6</f>
        <v/>
      </c>
      <c r="TR12" s="127">
        <f>SUM(SN12:TQ12)</f>
        <v/>
      </c>
      <c r="TS12" s="21">
        <f>TS9+TS6</f>
        <v/>
      </c>
      <c r="TT12" s="21">
        <f>TT9+TT6</f>
        <v/>
      </c>
      <c r="TU12" s="21">
        <f>TU9+TU6</f>
        <v/>
      </c>
      <c r="TV12" s="21">
        <f>TV9+TV6</f>
        <v/>
      </c>
      <c r="TW12" s="21">
        <f>TW9+TW6</f>
        <v/>
      </c>
      <c r="TX12" s="21">
        <f>TX9+TX6</f>
        <v/>
      </c>
      <c r="TY12" s="21">
        <f>TY9+TY6</f>
        <v/>
      </c>
      <c r="TZ12" s="21">
        <f>TZ9+TZ6</f>
        <v/>
      </c>
      <c r="UA12" s="21">
        <f>UA9+UA6</f>
        <v/>
      </c>
      <c r="UB12" s="21">
        <f>UB9+UB6</f>
        <v/>
      </c>
      <c r="UC12" s="21">
        <f>UC9+UC6</f>
        <v/>
      </c>
      <c r="UD12" s="21">
        <f>UD9+UD6</f>
        <v/>
      </c>
      <c r="UE12" s="21">
        <f>UE9+UE6</f>
        <v/>
      </c>
      <c r="UF12" s="21">
        <f>UF9+UF6</f>
        <v/>
      </c>
      <c r="UG12" s="21">
        <f>UG9+UG6</f>
        <v/>
      </c>
      <c r="UH12" s="21">
        <f>UH9+UH6</f>
        <v/>
      </c>
      <c r="UI12" s="21">
        <f>UI9+UI6</f>
        <v/>
      </c>
      <c r="UJ12" s="21">
        <f>UJ9+UJ6</f>
        <v/>
      </c>
      <c r="UK12" s="21">
        <f>UK9+UK6</f>
        <v/>
      </c>
      <c r="UL12" s="21">
        <f>UL9+UL6</f>
        <v/>
      </c>
      <c r="UM12" s="21">
        <f>UM9+UM6</f>
        <v/>
      </c>
      <c r="UN12" s="21">
        <f>UN9+UN6</f>
        <v/>
      </c>
      <c r="UO12" s="21">
        <f>UO9+UO6</f>
        <v/>
      </c>
      <c r="UP12" s="21">
        <f>UP9+UP6</f>
        <v/>
      </c>
      <c r="UQ12" s="21">
        <f>UQ9+UQ6</f>
        <v/>
      </c>
      <c r="UR12" s="21">
        <f>UR9+UR6</f>
        <v/>
      </c>
      <c r="US12" s="21">
        <f>US9+US6</f>
        <v/>
      </c>
      <c r="UT12" s="21">
        <f>UT9+UT6</f>
        <v/>
      </c>
      <c r="UU12" s="21">
        <f>UU9+UU6</f>
        <v/>
      </c>
      <c r="UV12" s="21">
        <f>UV9+UV6</f>
        <v/>
      </c>
      <c r="UW12" s="21">
        <f>UW9+UW6</f>
        <v/>
      </c>
      <c r="UX12" s="127">
        <f>SUM(TT12:UW12)</f>
        <v/>
      </c>
      <c r="UY12" s="21">
        <f>UY9+UY6</f>
        <v/>
      </c>
      <c r="UZ12" s="21">
        <f>UZ9+UZ6</f>
        <v/>
      </c>
      <c r="VA12" s="21">
        <f>VA9+VA6</f>
        <v/>
      </c>
      <c r="VB12" s="21">
        <f>VB9+VB6</f>
        <v/>
      </c>
      <c r="VC12" s="21">
        <f>VC9+VC6</f>
        <v/>
      </c>
      <c r="VD12" s="21">
        <f>VD9+VD6</f>
        <v/>
      </c>
      <c r="VE12" s="21">
        <f>VE9+VE6</f>
        <v/>
      </c>
      <c r="VF12" s="21">
        <f>VF9+VF6</f>
        <v/>
      </c>
      <c r="VG12" s="21">
        <f>VG9+VG6</f>
        <v/>
      </c>
      <c r="VH12" s="21">
        <f>VH9+VH6</f>
        <v/>
      </c>
      <c r="VI12" s="21">
        <f>VI9+VI6</f>
        <v/>
      </c>
      <c r="VJ12" s="21">
        <f>VJ9+VJ6</f>
        <v/>
      </c>
      <c r="VK12" s="21">
        <f>VK9+VK6</f>
        <v/>
      </c>
      <c r="VL12" s="21">
        <f>VL9+VL6</f>
        <v/>
      </c>
      <c r="VM12" s="21">
        <f>VM9+VM6</f>
        <v/>
      </c>
      <c r="VN12" s="21">
        <f>VN9+VN6</f>
        <v/>
      </c>
      <c r="VO12" s="21">
        <f>VO9+VO6</f>
        <v/>
      </c>
      <c r="VP12" s="21">
        <f>VP9+VP6</f>
        <v/>
      </c>
      <c r="VQ12" s="21">
        <f>VQ9+VQ6</f>
        <v/>
      </c>
      <c r="VR12" s="21">
        <f>VR9+VR6</f>
        <v/>
      </c>
      <c r="VS12" s="21">
        <f>VS9+VS6</f>
        <v/>
      </c>
      <c r="VT12" s="21">
        <f>VT9+VT6</f>
        <v/>
      </c>
      <c r="VU12" s="21">
        <f>VU9+VU6</f>
        <v/>
      </c>
      <c r="VV12" s="21">
        <f>VV9+VV6</f>
        <v/>
      </c>
      <c r="VW12" s="21">
        <f>VW9+VW6</f>
        <v/>
      </c>
      <c r="VX12" s="21">
        <f>VX9+VX6</f>
        <v/>
      </c>
      <c r="VY12" s="21">
        <f>VY9+VY6</f>
        <v/>
      </c>
      <c r="VZ12" s="21">
        <f>VZ9+VZ6</f>
        <v/>
      </c>
      <c r="WA12" s="127">
        <f>SUM(UY12:VZ12)</f>
        <v/>
      </c>
      <c r="WB12" s="21">
        <f>WB9+WB6</f>
        <v/>
      </c>
      <c r="WC12" s="21">
        <f>WC9+WC6</f>
        <v/>
      </c>
      <c r="WD12" s="21">
        <f>WD9+WD6</f>
        <v/>
      </c>
      <c r="WE12" s="21">
        <f>WE9+WE6</f>
        <v/>
      </c>
      <c r="WF12" s="21">
        <f>WF9+WF6</f>
        <v/>
      </c>
      <c r="WG12" s="21">
        <f>WG9+WG6</f>
        <v/>
      </c>
      <c r="WH12" s="21">
        <f>WH9+WH6</f>
        <v/>
      </c>
      <c r="WI12" s="21">
        <f>WI9+WI6</f>
        <v/>
      </c>
      <c r="WJ12" s="21">
        <f>WJ9+WJ6</f>
        <v/>
      </c>
      <c r="WK12" s="21">
        <f>WK9+WK6</f>
        <v/>
      </c>
      <c r="WL12" s="21">
        <f>WL9+WL6</f>
        <v/>
      </c>
      <c r="WM12" s="21">
        <f>WM9+WM6</f>
        <v/>
      </c>
      <c r="WN12" s="21">
        <f>WN9+WN6</f>
        <v/>
      </c>
      <c r="WO12" s="21">
        <f>WO9+WO6</f>
        <v/>
      </c>
      <c r="WP12" s="21">
        <f>WP9+WP6</f>
        <v/>
      </c>
      <c r="WQ12" s="21">
        <f>WQ9+WQ6</f>
        <v/>
      </c>
      <c r="WR12" s="21">
        <f>WR9+WR6</f>
        <v/>
      </c>
      <c r="WS12" s="21">
        <f>WS9+WS6</f>
        <v/>
      </c>
      <c r="WT12" s="21">
        <f>WT9+WT6</f>
        <v/>
      </c>
      <c r="WU12" s="21">
        <f>WU9+WU6</f>
        <v/>
      </c>
      <c r="WV12" s="21">
        <f>WV9+WV6</f>
        <v/>
      </c>
      <c r="WW12" s="21">
        <f>WW9+WW6</f>
        <v/>
      </c>
      <c r="WX12" s="21">
        <f>WX9+WX6</f>
        <v/>
      </c>
      <c r="WY12" s="21">
        <f>WY9+WY6</f>
        <v/>
      </c>
      <c r="WZ12" s="21">
        <f>WZ9+WZ6</f>
        <v/>
      </c>
      <c r="XA12" s="21">
        <f>XA9+XA6</f>
        <v/>
      </c>
      <c r="XB12" s="21">
        <f>XB9+XB6</f>
        <v/>
      </c>
      <c r="XC12" s="21">
        <f>XC9+XC6</f>
        <v/>
      </c>
      <c r="XD12" s="21">
        <f>XD9+XD6</f>
        <v/>
      </c>
      <c r="XE12" s="21">
        <f>XE9+XE6</f>
        <v/>
      </c>
      <c r="XF12" s="21">
        <f>XF9+XF6</f>
        <v/>
      </c>
      <c r="XG12" s="127">
        <f>SUM(WB12:XF12)</f>
        <v/>
      </c>
      <c r="XH12" s="21">
        <f>XH9+XH6</f>
        <v/>
      </c>
      <c r="XI12" s="21">
        <f>XI9+XI6</f>
        <v/>
      </c>
      <c r="XJ12" s="21">
        <f>XJ9+XJ6</f>
        <v/>
      </c>
      <c r="XK12" s="21">
        <f>XK9+XK6</f>
        <v/>
      </c>
      <c r="XL12" s="21">
        <f>XL9+XL6</f>
        <v/>
      </c>
      <c r="XM12" s="21">
        <f>XM9+XM6</f>
        <v/>
      </c>
      <c r="XN12" s="21">
        <f>XN9+XN6</f>
        <v/>
      </c>
      <c r="XO12" s="21">
        <f>XO9+XO6</f>
        <v/>
      </c>
      <c r="XP12" s="21">
        <f>XP9+XP6</f>
        <v/>
      </c>
      <c r="XQ12" s="21">
        <f>XQ9+XQ6</f>
        <v/>
      </c>
      <c r="XR12" s="21">
        <f>XR9+XR6</f>
        <v/>
      </c>
      <c r="XS12" s="21">
        <f>XS9+XS6</f>
        <v/>
      </c>
      <c r="XT12" s="21">
        <f>XT9+XT6</f>
        <v/>
      </c>
      <c r="XU12" s="21">
        <f>XU9+XU6</f>
        <v/>
      </c>
      <c r="XV12" s="21">
        <f>XV9+XV6</f>
        <v/>
      </c>
      <c r="XW12" s="21">
        <f>XW9+XW6</f>
        <v/>
      </c>
      <c r="XX12" s="21">
        <f>XX9+XX6</f>
        <v/>
      </c>
      <c r="XY12" s="21">
        <f>XY9+XY6</f>
        <v/>
      </c>
      <c r="XZ12" s="21">
        <f>XZ9+XZ6</f>
        <v/>
      </c>
      <c r="YA12" s="21">
        <f>YA9+YA6</f>
        <v/>
      </c>
      <c r="YB12" s="21">
        <f>YB9+YB6</f>
        <v/>
      </c>
      <c r="YC12" s="21">
        <f>YC9+YC6</f>
        <v/>
      </c>
      <c r="YD12" s="21">
        <f>YD9+YD6</f>
        <v/>
      </c>
      <c r="YE12" s="21">
        <f>YE9+YE6</f>
        <v/>
      </c>
      <c r="YF12" s="21">
        <f>YF9+YF6</f>
        <v/>
      </c>
      <c r="YG12" s="21">
        <f>YG9+YG6</f>
        <v/>
      </c>
      <c r="YH12" s="21">
        <f>YH9+YH6</f>
        <v/>
      </c>
      <c r="YI12" s="21">
        <f>YI9+YI6</f>
        <v/>
      </c>
      <c r="YJ12" s="21">
        <f>YJ9+YJ6</f>
        <v/>
      </c>
      <c r="YK12" s="21">
        <f>YK9+YK6</f>
        <v/>
      </c>
      <c r="YL12" s="127">
        <f>SUM(XH12:YK12)</f>
        <v/>
      </c>
      <c r="YM12" s="21">
        <f>YM9+YM6</f>
        <v/>
      </c>
      <c r="YN12" s="21">
        <f>YN9+YN6</f>
        <v/>
      </c>
      <c r="YO12" s="21">
        <f>YO9+YO6</f>
        <v/>
      </c>
      <c r="YP12" s="21">
        <f>YP9+YP6</f>
        <v/>
      </c>
      <c r="YQ12" s="21">
        <f>YQ9+YQ6</f>
        <v/>
      </c>
      <c r="YR12" s="21">
        <f>YR9+YR6</f>
        <v/>
      </c>
      <c r="YS12" s="21">
        <f>YS9+YS6</f>
        <v/>
      </c>
      <c r="YT12" s="21">
        <f>YT9+YT6</f>
        <v/>
      </c>
      <c r="YU12" s="21">
        <f>YU9+YU6</f>
        <v/>
      </c>
      <c r="YV12" s="21">
        <f>YV9+YV6</f>
        <v/>
      </c>
      <c r="YW12" s="21">
        <f>YW9+YW6</f>
        <v/>
      </c>
      <c r="YX12" s="21">
        <f>YX9+YX6</f>
        <v/>
      </c>
      <c r="YY12" s="21">
        <f>YY9+YY6</f>
        <v/>
      </c>
      <c r="YZ12" s="21">
        <f>YZ9+YZ6</f>
        <v/>
      </c>
      <c r="ZA12" s="21">
        <f>ZA9+ZA6</f>
        <v/>
      </c>
      <c r="ZB12" s="21">
        <f>ZB9+ZB6</f>
        <v/>
      </c>
      <c r="ZC12" s="21">
        <f>ZC9+ZC6</f>
        <v/>
      </c>
      <c r="ZD12" s="21">
        <f>ZD9+ZD6</f>
        <v/>
      </c>
      <c r="ZE12" s="21">
        <f>ZE9+ZE6</f>
        <v/>
      </c>
      <c r="ZF12" s="21">
        <f>ZF9+ZF6</f>
        <v/>
      </c>
      <c r="ZG12" s="21">
        <f>ZG9+ZG6</f>
        <v/>
      </c>
      <c r="ZH12" s="21">
        <f>ZH9+ZH6</f>
        <v/>
      </c>
      <c r="ZI12" s="21">
        <f>ZI9+ZI6</f>
        <v/>
      </c>
      <c r="ZJ12" s="21">
        <f>ZJ9+ZJ6</f>
        <v/>
      </c>
      <c r="ZK12" s="21">
        <f>ZK9+ZK6</f>
        <v/>
      </c>
      <c r="ZL12" s="21">
        <f>ZL9+ZL6</f>
        <v/>
      </c>
      <c r="ZM12" s="21">
        <f>ZM9+ZM6</f>
        <v/>
      </c>
      <c r="ZN12" s="21">
        <f>ZN9+ZN6</f>
        <v/>
      </c>
      <c r="ZO12" s="21">
        <f>ZO9+ZO6</f>
        <v/>
      </c>
      <c r="ZP12" s="21">
        <f>ZP9+ZP6</f>
        <v/>
      </c>
      <c r="ZQ12" s="21">
        <f>ZQ9+ZQ6</f>
        <v/>
      </c>
      <c r="ZR12" s="127">
        <f>SUM(YM12:ZQ12)</f>
        <v/>
      </c>
      <c r="ZS12" s="21">
        <f>ZS9+ZS6</f>
        <v/>
      </c>
      <c r="ZT12" s="21">
        <f>ZT9+ZT6</f>
        <v/>
      </c>
      <c r="ZU12" s="21">
        <f>ZU9+ZU6</f>
        <v/>
      </c>
      <c r="ZV12" s="21">
        <f>ZV9+ZV6</f>
        <v/>
      </c>
      <c r="ZW12" s="21">
        <f>ZW9+ZW6</f>
        <v/>
      </c>
      <c r="ZX12" s="21">
        <f>ZX9+ZX6</f>
        <v/>
      </c>
      <c r="ZY12" s="21">
        <f>ZY9+ZY6</f>
        <v/>
      </c>
      <c r="ZZ12" s="21">
        <f>ZZ9+ZZ6</f>
        <v/>
      </c>
      <c r="AAA12" s="21">
        <f>AAA9+AAA6</f>
        <v/>
      </c>
      <c r="AAB12" s="21">
        <f>AAB9+AAB6</f>
        <v/>
      </c>
      <c r="AAC12" s="21">
        <f>AAC9+AAC6</f>
        <v/>
      </c>
      <c r="AAD12" s="21">
        <f>AAD9+AAD6</f>
        <v/>
      </c>
      <c r="AAE12" s="21">
        <f>AAE9+AAE6</f>
        <v/>
      </c>
      <c r="AAF12" s="21">
        <f>AAF9+AAF6</f>
        <v/>
      </c>
      <c r="AAG12" s="21">
        <f>AAG9+AAG6</f>
        <v/>
      </c>
      <c r="AAH12" s="21">
        <f>AAH9+AAH6</f>
        <v/>
      </c>
      <c r="AAI12" s="21">
        <f>AAI9+AAI6</f>
        <v/>
      </c>
      <c r="AAJ12" s="21">
        <f>AAJ9+AAJ6</f>
        <v/>
      </c>
      <c r="AAK12" s="21">
        <f>AAK9+AAK6</f>
        <v/>
      </c>
      <c r="AAL12" s="21">
        <f>AAL9+AAL6</f>
        <v/>
      </c>
      <c r="AAM12" s="21">
        <f>AAM9+AAM6</f>
        <v/>
      </c>
      <c r="AAN12" s="21">
        <f>AAN9+AAN6</f>
        <v/>
      </c>
      <c r="AAO12" s="21">
        <f>AAO9+AAO6</f>
        <v/>
      </c>
      <c r="AAP12" s="21">
        <f>AAP9+AAP6</f>
        <v/>
      </c>
      <c r="AAQ12" s="21">
        <f>AAQ9+AAQ6</f>
        <v/>
      </c>
      <c r="AAR12" s="21">
        <f>AAR9+AAR6</f>
        <v/>
      </c>
      <c r="AAS12" s="21">
        <f>AAS9+AAS6</f>
        <v/>
      </c>
      <c r="AAT12" s="21">
        <f>AAT9+AAT6</f>
        <v/>
      </c>
      <c r="AAU12" s="21">
        <f>AAU9+AAU6</f>
        <v/>
      </c>
      <c r="AAV12" s="21">
        <f>AAV9+AAV6</f>
        <v/>
      </c>
      <c r="AAW12" s="127">
        <f>SUM(ZS12:AAV12)</f>
        <v/>
      </c>
      <c r="AAX12" s="21">
        <f>AAX9+AAX6</f>
        <v/>
      </c>
      <c r="AAY12" s="21">
        <f>AAY9+AAY6</f>
        <v/>
      </c>
      <c r="AAZ12" s="21">
        <f>AAZ9+AAZ6</f>
        <v/>
      </c>
      <c r="ABA12" s="21">
        <f>ABA9+ABA6</f>
        <v/>
      </c>
      <c r="ABB12" s="21">
        <f>ABB9+ABB6</f>
        <v/>
      </c>
      <c r="ABC12" s="21">
        <f>ABC9+ABC6</f>
        <v/>
      </c>
      <c r="ABD12" s="21">
        <f>ABD9+ABD6</f>
        <v/>
      </c>
      <c r="ABE12" s="21">
        <f>ABE9+ABE6</f>
        <v/>
      </c>
      <c r="ABF12" s="21">
        <f>ABF9+ABF6</f>
        <v/>
      </c>
      <c r="ABG12" s="21">
        <f>ABG9+ABG6</f>
        <v/>
      </c>
      <c r="ABH12" s="21">
        <f>ABH9+ABH6</f>
        <v/>
      </c>
      <c r="ABI12" s="21">
        <f>ABI9+ABI6</f>
        <v/>
      </c>
      <c r="ABJ12" s="21">
        <f>ABJ9+ABJ6</f>
        <v/>
      </c>
      <c r="ABK12" s="21">
        <f>ABK9+ABK6</f>
        <v/>
      </c>
      <c r="ABL12" s="21">
        <f>ABL9+ABL6</f>
        <v/>
      </c>
      <c r="ABM12" s="21">
        <f>ABM9+ABM6</f>
        <v/>
      </c>
      <c r="ABN12" s="21">
        <f>ABN9+ABN6</f>
        <v/>
      </c>
      <c r="ABO12" s="21">
        <f>ABO9+ABO6</f>
        <v/>
      </c>
      <c r="ABP12" s="21">
        <f>ABP9+ABP6</f>
        <v/>
      </c>
      <c r="ABQ12" s="21">
        <f>ABQ9+ABQ6</f>
        <v/>
      </c>
      <c r="ABR12" s="21">
        <f>ABR9+ABR6</f>
        <v/>
      </c>
      <c r="ABS12" s="21">
        <f>ABS9+ABS6</f>
        <v/>
      </c>
      <c r="ABT12" s="21">
        <f>ABT9+ABT6</f>
        <v/>
      </c>
      <c r="ABU12" s="21">
        <f>ABU9+ABU6</f>
        <v/>
      </c>
      <c r="ABV12" s="21">
        <f>ABV9+ABV6</f>
        <v/>
      </c>
      <c r="ABW12" s="21">
        <f>ABW9+ABW6</f>
        <v/>
      </c>
      <c r="ABX12" s="21">
        <f>ABX9+ABX6</f>
        <v/>
      </c>
      <c r="ABY12" s="21">
        <f>ABY9+ABY6</f>
        <v/>
      </c>
      <c r="ABZ12" s="21">
        <f>ABZ9+ABZ6</f>
        <v/>
      </c>
      <c r="ACA12" s="21">
        <f>ACA9+ACA6</f>
        <v/>
      </c>
      <c r="ACB12" s="21">
        <f>ACB9+ACB6</f>
        <v/>
      </c>
      <c r="ACC12" s="127">
        <f>SUM(AAX12:ACB12)</f>
        <v/>
      </c>
      <c r="ACD12" s="21">
        <f>ACD9+ACD6</f>
        <v/>
      </c>
      <c r="ACE12" s="21">
        <f>ACE9+ACE6</f>
        <v/>
      </c>
      <c r="ACF12" s="21">
        <f>ACF9+ACF6</f>
        <v/>
      </c>
      <c r="ACG12" s="21">
        <f>ACG9+ACG6</f>
        <v/>
      </c>
      <c r="ACH12" s="21">
        <f>ACH9+ACH6</f>
        <v/>
      </c>
      <c r="ACI12" s="21">
        <f>ACI9+ACI6</f>
        <v/>
      </c>
      <c r="ACJ12" s="21">
        <f>ACJ9+ACJ6</f>
        <v/>
      </c>
      <c r="ACK12" s="21">
        <f>ACK9+ACK6</f>
        <v/>
      </c>
      <c r="ACL12" s="21">
        <f>ACL9+ACL6</f>
        <v/>
      </c>
      <c r="ACM12" s="21">
        <f>ACM9+ACM6</f>
        <v/>
      </c>
      <c r="ACN12" s="21">
        <f>ACN9+ACN6</f>
        <v/>
      </c>
      <c r="ACO12" s="21">
        <f>ACO9+ACO6</f>
        <v/>
      </c>
      <c r="ACP12" s="21">
        <f>ACP9+ACP6</f>
        <v/>
      </c>
      <c r="ACQ12" s="21">
        <f>ACQ9+ACQ6</f>
        <v/>
      </c>
      <c r="ACR12" s="21">
        <f>ACR9+ACR6</f>
        <v/>
      </c>
      <c r="ACS12" s="21">
        <f>ACS9+ACS6</f>
        <v/>
      </c>
      <c r="ACT12" s="21">
        <f>ACT9+ACT6</f>
        <v/>
      </c>
      <c r="ACU12" s="21">
        <f>ACU9+ACU6</f>
        <v/>
      </c>
      <c r="ACV12" s="21">
        <f>ACV9+ACV6</f>
        <v/>
      </c>
      <c r="ACW12" s="21">
        <f>ACW9+ACW6</f>
        <v/>
      </c>
      <c r="ACX12" s="21">
        <f>ACX9+ACX6</f>
        <v/>
      </c>
      <c r="ACY12" s="21">
        <f>ACY9+ACY6</f>
        <v/>
      </c>
      <c r="ACZ12" s="21">
        <f>ACZ9+ACZ6</f>
        <v/>
      </c>
      <c r="ADA12" s="21">
        <f>ADA9+ADA6</f>
        <v/>
      </c>
      <c r="ADB12" s="21">
        <f>ADB9+ADB6</f>
        <v/>
      </c>
      <c r="ADC12" s="21">
        <f>ADC9+ADC6</f>
        <v/>
      </c>
      <c r="ADD12" s="21">
        <f>ADD9+ADD6</f>
        <v/>
      </c>
      <c r="ADE12" s="21">
        <f>ADE9+ADE6</f>
        <v/>
      </c>
      <c r="ADF12" s="21">
        <f>ADF9+ADF6</f>
        <v/>
      </c>
      <c r="ADG12" s="21">
        <f>ADG9+ADG6</f>
        <v/>
      </c>
      <c r="ADH12" s="21">
        <f>ADH9+ADH6</f>
        <v/>
      </c>
      <c r="ADI12" s="127">
        <f>SUM(ACD12:ADH12)</f>
        <v/>
      </c>
      <c r="ADJ12" s="21">
        <f>ADJ9+ADJ6</f>
        <v/>
      </c>
      <c r="ADK12" s="21">
        <f>ADK9+ADK6</f>
        <v/>
      </c>
      <c r="ADL12" s="21">
        <f>ADL9+ADL6</f>
        <v/>
      </c>
      <c r="ADM12" s="21">
        <f>ADM9+ADM6</f>
        <v/>
      </c>
      <c r="ADN12" s="21">
        <f>ADN9+ADN6</f>
        <v/>
      </c>
      <c r="ADO12" s="21">
        <f>ADO9+ADO6</f>
        <v/>
      </c>
      <c r="ADP12" s="21">
        <f>ADP9+ADP6</f>
        <v/>
      </c>
      <c r="ADQ12" s="21">
        <f>ADQ9+ADQ6</f>
        <v/>
      </c>
      <c r="ADR12" s="21">
        <f>ADR9+ADR6</f>
        <v/>
      </c>
      <c r="ADS12" s="21">
        <f>ADS9+ADS6</f>
        <v/>
      </c>
      <c r="ADT12" s="21">
        <f>ADT9+ADT6</f>
        <v/>
      </c>
      <c r="ADU12" s="21">
        <f>ADU9+ADU6</f>
        <v/>
      </c>
      <c r="ADV12" s="21">
        <f>ADV9+ADV6</f>
        <v/>
      </c>
      <c r="ADW12" s="21">
        <f>ADW9+ADW6</f>
        <v/>
      </c>
      <c r="ADX12" s="21">
        <f>ADX9+ADX6</f>
        <v/>
      </c>
      <c r="ADY12" s="21">
        <f>ADY9+ADY6</f>
        <v/>
      </c>
      <c r="ADZ12" s="21">
        <f>ADZ9+ADZ6</f>
        <v/>
      </c>
      <c r="AEA12" s="21">
        <f>AEA9+AEA6</f>
        <v/>
      </c>
      <c r="AEB12" s="21">
        <f>AEB9+AEB6</f>
        <v/>
      </c>
      <c r="AEC12" s="21">
        <f>AEC9+AEC6</f>
        <v/>
      </c>
      <c r="AED12" s="21">
        <f>AED9+AED6</f>
        <v/>
      </c>
      <c r="AEE12" s="21">
        <f>AEE9+AEE6</f>
        <v/>
      </c>
      <c r="AEF12" s="21">
        <f>AEF9+AEF6</f>
        <v/>
      </c>
      <c r="AEG12" s="21">
        <f>AEG9+AEG6</f>
        <v/>
      </c>
      <c r="AEH12" s="21">
        <f>AEH9+AEH6</f>
        <v/>
      </c>
      <c r="AEI12" s="21">
        <f>AEI9+AEI6</f>
        <v/>
      </c>
      <c r="AEJ12" s="21">
        <f>AEJ9+AEJ6</f>
        <v/>
      </c>
      <c r="AEK12" s="21">
        <f>AEK9+AEK6</f>
        <v/>
      </c>
      <c r="AEL12" s="21">
        <f>AEL9+AEL6</f>
        <v/>
      </c>
      <c r="AEM12" s="21">
        <f>AEM9+AEM6</f>
        <v/>
      </c>
      <c r="AEN12" s="127">
        <f>SUM(ADJ12:AEM12)</f>
        <v/>
      </c>
      <c r="AEO12" s="21">
        <f>AEO9+AEO6</f>
        <v/>
      </c>
      <c r="AEP12" s="21">
        <f>AEP9+AEP6</f>
        <v/>
      </c>
      <c r="AEQ12" s="21">
        <f>AEQ9+AEQ6</f>
        <v/>
      </c>
      <c r="AER12" s="21">
        <f>AER9+AER6</f>
        <v/>
      </c>
      <c r="AES12" s="21">
        <f>AES9+AES6</f>
        <v/>
      </c>
      <c r="AET12" s="21">
        <f>AET9+AET6</f>
        <v/>
      </c>
      <c r="AEU12" s="21">
        <f>AEU9+AEU6</f>
        <v/>
      </c>
      <c r="AEV12" s="21">
        <f>AEV9+AEV6</f>
        <v/>
      </c>
      <c r="AEW12" s="21">
        <f>AEW9+AEW6</f>
        <v/>
      </c>
      <c r="AEX12" s="21">
        <f>AEX9+AEX6</f>
        <v/>
      </c>
      <c r="AEY12" s="21">
        <f>AEY9+AEY6</f>
        <v/>
      </c>
      <c r="AEZ12" s="21">
        <f>AEZ9+AEZ6</f>
        <v/>
      </c>
      <c r="AFA12" s="21">
        <f>AFA9+AFA6</f>
        <v/>
      </c>
      <c r="AFB12" s="21">
        <f>AFB9+AFB6</f>
        <v/>
      </c>
      <c r="AFC12" s="21">
        <f>AFC9+AFC6</f>
        <v/>
      </c>
      <c r="AFD12" s="21">
        <f>AFD9+AFD6</f>
        <v/>
      </c>
      <c r="AFE12" s="21">
        <f>AFE9+AFE6</f>
        <v/>
      </c>
      <c r="AFF12" s="21">
        <f>AFF9+AFF6</f>
        <v/>
      </c>
      <c r="AFG12" s="21">
        <f>AFG9+AFG6</f>
        <v/>
      </c>
      <c r="AFH12" s="21">
        <f>AFH9+AFH6</f>
        <v/>
      </c>
      <c r="AFI12" s="21">
        <f>AFI9+AFI6</f>
        <v/>
      </c>
      <c r="AFJ12" s="21">
        <f>AFJ9+AFJ6</f>
        <v/>
      </c>
      <c r="AFK12" s="21">
        <f>AFK9+AFK6</f>
        <v/>
      </c>
      <c r="AFL12" s="21">
        <f>AFL9+AFL6</f>
        <v/>
      </c>
      <c r="AFM12" s="21">
        <f>AFM9+AFM6</f>
        <v/>
      </c>
      <c r="AFN12" s="21">
        <f>AFN9+AFN6</f>
        <v/>
      </c>
      <c r="AFO12" s="21">
        <f>AFO9+AFO6</f>
        <v/>
      </c>
      <c r="AFP12" s="21">
        <f>AFP9+AFP6</f>
        <v/>
      </c>
      <c r="AFQ12" s="21">
        <f>AFQ9+AFQ6</f>
        <v/>
      </c>
      <c r="AFR12" s="21">
        <f>AFR9+AFR6</f>
        <v/>
      </c>
      <c r="AFS12" s="21">
        <f>AFS9+AFS6</f>
        <v/>
      </c>
      <c r="AFT12" s="127">
        <f>SUM(AEO12:AFS12)</f>
        <v/>
      </c>
      <c r="AFU12" s="21">
        <f>AFU9+AFU6</f>
        <v/>
      </c>
      <c r="AFV12" s="21">
        <f>AFV9+AFV6</f>
        <v/>
      </c>
      <c r="AFW12" s="21">
        <f>AFW9+AFW6</f>
        <v/>
      </c>
      <c r="AFX12" s="21">
        <f>AFX9+AFX6</f>
        <v/>
      </c>
      <c r="AFY12" s="21">
        <f>AFY9+AFY6</f>
        <v/>
      </c>
      <c r="AFZ12" s="21">
        <f>AFZ9+AFZ6</f>
        <v/>
      </c>
      <c r="AGA12" s="21">
        <f>AGA9+AGA6</f>
        <v/>
      </c>
      <c r="AGB12" s="21">
        <f>AGB9+AGB6</f>
        <v/>
      </c>
      <c r="AGC12" s="21">
        <f>AGC9+AGC6</f>
        <v/>
      </c>
      <c r="AGD12" s="21">
        <f>AGD9+AGD6</f>
        <v/>
      </c>
      <c r="AGE12" s="21">
        <f>AGE9+AGE6</f>
        <v/>
      </c>
      <c r="AGF12" s="21">
        <f>AGF9+AGF6</f>
        <v/>
      </c>
      <c r="AGG12" s="21">
        <f>AGG9+AGG6</f>
        <v/>
      </c>
      <c r="AGH12" s="21">
        <f>AGH9+AGH6</f>
        <v/>
      </c>
      <c r="AGI12" s="21">
        <f>AGI9+AGI6</f>
        <v/>
      </c>
      <c r="AGJ12" s="21">
        <f>AGJ9+AGJ6</f>
        <v/>
      </c>
      <c r="AGK12" s="21">
        <f>AGK9+AGK6</f>
        <v/>
      </c>
      <c r="AGL12" s="21">
        <f>AGL9+AGL6</f>
        <v/>
      </c>
      <c r="AGM12" s="21">
        <f>AGM9+AGM6</f>
        <v/>
      </c>
      <c r="AGN12" s="21">
        <f>AGN9+AGN6</f>
        <v/>
      </c>
      <c r="AGO12" s="21">
        <f>AGO9+AGO6</f>
        <v/>
      </c>
      <c r="AGP12" s="21">
        <f>AGP9+AGP6</f>
        <v/>
      </c>
      <c r="AGQ12" s="21">
        <f>AGQ9+AGQ6</f>
        <v/>
      </c>
      <c r="AGR12" s="21">
        <f>AGR9+AGR6</f>
        <v/>
      </c>
      <c r="AGS12" s="21">
        <f>AGS9+AGS6</f>
        <v/>
      </c>
      <c r="AGT12" s="21">
        <f>AGT9+AGT6</f>
        <v/>
      </c>
      <c r="AGU12" s="21">
        <f>AGU9+AGU6</f>
        <v/>
      </c>
      <c r="AGV12" s="21">
        <f>AGV9+AGV6</f>
        <v/>
      </c>
      <c r="AGW12" s="21">
        <f>AGW9+AGW6</f>
        <v/>
      </c>
      <c r="AGX12" s="21">
        <f>AGX9+AGX6</f>
        <v/>
      </c>
      <c r="AGY12" s="127">
        <f>SUM(AFU12:AGX12)</f>
        <v/>
      </c>
      <c r="AGZ12" s="21">
        <f>AGZ9+AGZ6</f>
        <v/>
      </c>
      <c r="AHA12" s="21">
        <f>AHA9+AHA6</f>
        <v/>
      </c>
      <c r="AHB12" s="21">
        <f>AHB9+AHB6</f>
        <v/>
      </c>
      <c r="AHC12" s="21">
        <f>AHC9+AHC6</f>
        <v/>
      </c>
      <c r="AHD12" s="21">
        <f>AHD9+AHD6</f>
        <v/>
      </c>
      <c r="AHE12" s="21">
        <f>AHE9+AHE6</f>
        <v/>
      </c>
      <c r="AHF12" s="21">
        <f>AHF9+AHF6</f>
        <v/>
      </c>
      <c r="AHG12" s="21">
        <f>AHG9+AHG6</f>
        <v/>
      </c>
      <c r="AHH12" s="21">
        <f>AHH9+AHH6</f>
        <v/>
      </c>
      <c r="AHI12" s="21">
        <f>AHI9+AHI6</f>
        <v/>
      </c>
      <c r="AHJ12" s="21">
        <f>AHJ9+AHJ6</f>
        <v/>
      </c>
      <c r="AHK12" s="21">
        <f>AHK9+AHK6</f>
        <v/>
      </c>
      <c r="AHL12" s="21">
        <f>AHL9+AHL6</f>
        <v/>
      </c>
      <c r="AHM12" s="21">
        <f>AHM9+AHM6</f>
        <v/>
      </c>
      <c r="AHN12" s="21">
        <f>AHN9+AHN6</f>
        <v/>
      </c>
      <c r="AHO12" s="21">
        <f>AHO9+AHO6</f>
        <v/>
      </c>
      <c r="AHP12" s="21">
        <f>AHP9+AHP6</f>
        <v/>
      </c>
      <c r="AHQ12" s="21">
        <f>AHQ9+AHQ6</f>
        <v/>
      </c>
      <c r="AHR12" s="21">
        <f>AHR9+AHR6</f>
        <v/>
      </c>
      <c r="AHS12" s="21">
        <f>AHS9+AHS6</f>
        <v/>
      </c>
      <c r="AHT12" s="21">
        <f>AHT9+AHT6</f>
        <v/>
      </c>
      <c r="AHU12" s="21">
        <f>AHU9+AHU6</f>
        <v/>
      </c>
      <c r="AHV12" s="21">
        <f>AHV9+AHV6</f>
        <v/>
      </c>
      <c r="AHW12" s="21">
        <f>AHW9+AHW6</f>
        <v/>
      </c>
      <c r="AHX12" s="21">
        <f>AHX9+AHX6</f>
        <v/>
      </c>
      <c r="AHY12" s="21">
        <f>AHY9+AHY6</f>
        <v/>
      </c>
      <c r="AHZ12" s="21">
        <f>AHZ9+AHZ6</f>
        <v/>
      </c>
      <c r="AIA12" s="21">
        <f>AIA9+AIA6</f>
        <v/>
      </c>
      <c r="AIB12" s="21">
        <f>AIB9+AIB6</f>
        <v/>
      </c>
      <c r="AIC12" s="21">
        <f>AIC9+AIC6</f>
        <v/>
      </c>
      <c r="AID12" s="21">
        <f>AID9+AID6</f>
        <v/>
      </c>
      <c r="AIE12" s="127">
        <f>SUM(AGZ12:AID12)</f>
        <v/>
      </c>
      <c r="AIF12" s="21">
        <f>AIF9+AIF6</f>
        <v/>
      </c>
      <c r="AIG12" s="21">
        <f>AIG9+AIG6</f>
        <v/>
      </c>
      <c r="AIH12" s="21">
        <f>AIH9+AIH6</f>
        <v/>
      </c>
      <c r="AII12" s="21">
        <f>AII9+AII6</f>
        <v/>
      </c>
      <c r="AIJ12" s="21">
        <f>AIJ9+AIJ6</f>
        <v/>
      </c>
      <c r="AIK12" s="21">
        <f>AIK9+AIK6</f>
        <v/>
      </c>
      <c r="AIL12" s="21">
        <f>AIL9+AIL6</f>
        <v/>
      </c>
      <c r="AIM12" s="21">
        <f>AIM9+AIM6</f>
        <v/>
      </c>
      <c r="AIN12" s="21">
        <f>AIN9+AIN6</f>
        <v/>
      </c>
      <c r="AIO12" s="21">
        <f>AIO9+AIO6</f>
        <v/>
      </c>
      <c r="AIP12" s="21">
        <f>AIP9+AIP6</f>
        <v/>
      </c>
      <c r="AIQ12" s="21">
        <f>AIQ9+AIQ6</f>
        <v/>
      </c>
      <c r="AIR12" s="21">
        <f>AIR9+AIR6</f>
        <v/>
      </c>
      <c r="AIS12" s="21">
        <f>AIS9+AIS6</f>
        <v/>
      </c>
      <c r="AIT12" s="21">
        <f>AIT9+AIT6</f>
        <v/>
      </c>
      <c r="AIU12" s="21">
        <f>AIU9+AIU6</f>
        <v/>
      </c>
      <c r="AIV12" s="21">
        <f>AIV9+AIV6</f>
        <v/>
      </c>
      <c r="AIW12" s="21">
        <f>AIW9+AIW6</f>
        <v/>
      </c>
      <c r="AIX12" s="21">
        <f>AIX9+AIX6</f>
        <v/>
      </c>
      <c r="AIY12" s="21">
        <f>AIY9+AIY6</f>
        <v/>
      </c>
      <c r="AIZ12" s="21">
        <f>AIZ9+AIZ6</f>
        <v/>
      </c>
      <c r="AJA12" s="21">
        <f>AJA9+AJA6</f>
        <v/>
      </c>
      <c r="AJB12" s="21">
        <f>AJB9+AJB6</f>
        <v/>
      </c>
      <c r="AJC12" s="21">
        <f>AJC9+AJC6</f>
        <v/>
      </c>
      <c r="AJD12" s="21">
        <f>AJD9+AJD6</f>
        <v/>
      </c>
      <c r="AJE12" s="21">
        <f>AJE9+AJE6</f>
        <v/>
      </c>
      <c r="AJF12" s="21">
        <f>AJF9+AJF6</f>
        <v/>
      </c>
      <c r="AJG12" s="21">
        <f>AJG9+AJG6</f>
        <v/>
      </c>
      <c r="AJH12" s="21">
        <f>AJH9+AJH6</f>
        <v/>
      </c>
      <c r="AJI12" s="21">
        <f>AJI9+AJI6</f>
        <v/>
      </c>
      <c r="AJJ12" s="21">
        <f>AJJ9+AJJ6</f>
        <v/>
      </c>
      <c r="AJK12" s="127">
        <f>SUM(AIF12:AJJ12)</f>
        <v/>
      </c>
      <c r="AJL12" s="21">
        <f>AJL9+AJL6</f>
        <v/>
      </c>
      <c r="AJM12" s="21">
        <f>AJM9+AJM6</f>
        <v/>
      </c>
      <c r="AJN12" s="21">
        <f>AJN9+AJN6</f>
        <v/>
      </c>
      <c r="AJO12" s="21">
        <f>AJO9+AJO6</f>
        <v/>
      </c>
      <c r="AJP12" s="21">
        <f>AJP9+AJP6</f>
        <v/>
      </c>
      <c r="AJQ12" s="21">
        <f>AJQ9+AJQ6</f>
        <v/>
      </c>
      <c r="AJR12" s="21">
        <f>AJR9+AJR6</f>
        <v/>
      </c>
      <c r="AJS12" s="21">
        <f>AJS9+AJS6</f>
        <v/>
      </c>
      <c r="AJT12" s="21">
        <f>AJT9+AJT6</f>
        <v/>
      </c>
      <c r="AJU12" s="21">
        <f>AJU9+AJU6</f>
        <v/>
      </c>
      <c r="AJV12" s="21">
        <f>AJV9+AJV6</f>
        <v/>
      </c>
      <c r="AJW12" s="21">
        <f>AJW9+AJW6</f>
        <v/>
      </c>
      <c r="AJX12" s="21">
        <f>AJX9+AJX6</f>
        <v/>
      </c>
      <c r="AJY12" s="21">
        <f>AJY9+AJY6</f>
        <v/>
      </c>
      <c r="AJZ12" s="21">
        <f>AJZ9+AJZ6</f>
        <v/>
      </c>
      <c r="AKA12" s="21">
        <f>AKA9+AKA6</f>
        <v/>
      </c>
      <c r="AKB12" s="21">
        <f>AKB9+AKB6</f>
        <v/>
      </c>
      <c r="AKC12" s="21">
        <f>AKC9+AKC6</f>
        <v/>
      </c>
      <c r="AKD12" s="21">
        <f>AKD9+AKD6</f>
        <v/>
      </c>
      <c r="AKE12" s="21">
        <f>AKE9+AKE6</f>
        <v/>
      </c>
      <c r="AKF12" s="21">
        <f>AKF9+AKF6</f>
        <v/>
      </c>
      <c r="AKG12" s="21">
        <f>AKG9+AKG6</f>
        <v/>
      </c>
      <c r="AKH12" s="21">
        <f>AKH9+AKH6</f>
        <v/>
      </c>
      <c r="AKI12" s="21">
        <f>AKI9+AKI6</f>
        <v/>
      </c>
      <c r="AKJ12" s="21">
        <f>AKJ9+AKJ6</f>
        <v/>
      </c>
      <c r="AKK12" s="21">
        <f>AKK9+AKK6</f>
        <v/>
      </c>
      <c r="AKL12" s="21">
        <f>AKL9+AKL6</f>
        <v/>
      </c>
      <c r="AKM12" s="21">
        <f>AKM9+AKM6</f>
        <v/>
      </c>
      <c r="AKN12" s="127">
        <f>SUM(AJL12:AKM12)</f>
        <v/>
      </c>
      <c r="AKO12" s="21">
        <f>AKO9+AKO6</f>
        <v/>
      </c>
      <c r="AKP12" s="21">
        <f>AKP9+AKP6</f>
        <v/>
      </c>
      <c r="AKQ12" s="21">
        <f>AKQ9+AKQ6</f>
        <v/>
      </c>
      <c r="AKR12" s="21">
        <f>AKR9+AKR6</f>
        <v/>
      </c>
      <c r="AKS12" s="21">
        <f>AKS9+AKS6</f>
        <v/>
      </c>
      <c r="AKT12" s="21">
        <f>AKT9+AKT6</f>
        <v/>
      </c>
      <c r="AKU12" s="21">
        <f>AKU9+AKU6</f>
        <v/>
      </c>
      <c r="AKV12" s="21">
        <f>AKV9+AKV6</f>
        <v/>
      </c>
      <c r="AKW12" s="21">
        <f>AKW9+AKW6</f>
        <v/>
      </c>
      <c r="AKX12" s="21">
        <f>AKX9+AKX6</f>
        <v/>
      </c>
      <c r="AKY12" s="21">
        <f>AKY9+AKY6</f>
        <v/>
      </c>
      <c r="AKZ12" s="21">
        <f>AKZ9+AKZ6</f>
        <v/>
      </c>
      <c r="ALA12" s="21">
        <f>ALA9+ALA6</f>
        <v/>
      </c>
      <c r="ALB12" s="21">
        <f>ALB9+ALB6</f>
        <v/>
      </c>
      <c r="ALC12" s="21">
        <f>ALC9+ALC6</f>
        <v/>
      </c>
      <c r="ALD12" s="21">
        <f>ALD9+ALD6</f>
        <v/>
      </c>
      <c r="ALE12" s="21">
        <f>ALE9+ALE6</f>
        <v/>
      </c>
      <c r="ALF12" s="21">
        <f>ALF9+ALF6</f>
        <v/>
      </c>
      <c r="ALG12" s="21">
        <f>ALG9+ALG6</f>
        <v/>
      </c>
      <c r="ALH12" s="21">
        <f>ALH9+ALH6</f>
        <v/>
      </c>
      <c r="ALI12" s="21">
        <f>ALI9+ALI6</f>
        <v/>
      </c>
      <c r="ALJ12" s="21">
        <f>ALJ9+ALJ6</f>
        <v/>
      </c>
      <c r="ALK12" s="21">
        <f>ALK9+ALK6</f>
        <v/>
      </c>
      <c r="ALL12" s="21">
        <f>ALL9+ALL6</f>
        <v/>
      </c>
      <c r="ALM12" s="21">
        <f>ALM9+ALM6</f>
        <v/>
      </c>
      <c r="ALN12" s="21">
        <f>ALN9+ALN6</f>
        <v/>
      </c>
      <c r="ALO12" s="21">
        <f>ALO9+ALO6</f>
        <v/>
      </c>
      <c r="ALP12" s="21">
        <f>ALP9+ALP6</f>
        <v/>
      </c>
      <c r="ALQ12" s="21">
        <f>ALQ9+ALQ6</f>
        <v/>
      </c>
      <c r="ALR12" s="21">
        <f>ALR9+ALR6</f>
        <v/>
      </c>
      <c r="ALS12" s="21">
        <f>ALS9+ALS6</f>
        <v/>
      </c>
      <c r="ALT12" s="127">
        <f>SUM(AKO12:ALS12)</f>
        <v/>
      </c>
      <c r="ALU12" s="21">
        <f>ALU9+ALU6</f>
        <v/>
      </c>
      <c r="ALV12" s="21">
        <f>ALV9+ALV6</f>
        <v/>
      </c>
      <c r="ALW12" s="21">
        <f>ALW9+ALW6</f>
        <v/>
      </c>
      <c r="ALX12" s="21">
        <f>ALX9+ALX6</f>
        <v/>
      </c>
      <c r="ALY12" s="21">
        <f>ALY9+ALY6</f>
        <v/>
      </c>
      <c r="ALZ12" s="21">
        <f>ALZ9+ALZ6</f>
        <v/>
      </c>
      <c r="AMA12" s="21">
        <f>AMA9+AMA6</f>
        <v/>
      </c>
      <c r="AMB12" s="21">
        <f>AMB9+AMB6</f>
        <v/>
      </c>
      <c r="AMC12" s="21">
        <f>AMC9+AMC6</f>
        <v/>
      </c>
      <c r="AMD12" s="21">
        <f>AMD9+AMD6</f>
        <v/>
      </c>
      <c r="AME12" s="21">
        <f>AME9+AME6</f>
        <v/>
      </c>
      <c r="AMF12" s="21">
        <f>AMF9+AMF6</f>
        <v/>
      </c>
      <c r="AMG12" s="21">
        <f>AMG9+AMG6</f>
        <v/>
      </c>
      <c r="AMH12" s="21">
        <f>AMH9+AMH6</f>
        <v/>
      </c>
      <c r="AMI12" s="21">
        <f>AMI9+AMI6</f>
        <v/>
      </c>
      <c r="AMJ12" s="21">
        <f>AMJ9+AMJ6</f>
        <v/>
      </c>
      <c r="AMK12" s="21">
        <f>AMK9+AMK6</f>
        <v/>
      </c>
      <c r="AML12" s="21">
        <f>AML9+AML6</f>
        <v/>
      </c>
      <c r="AMM12" s="21">
        <f>AMM9+AMM6</f>
        <v/>
      </c>
      <c r="AMN12" s="21">
        <f>AMN9+AMN6</f>
        <v/>
      </c>
      <c r="AMO12" s="21">
        <f>AMO9+AMO6</f>
        <v/>
      </c>
      <c r="AMP12" s="21">
        <f>AMP9+AMP6</f>
        <v/>
      </c>
      <c r="AMQ12" s="21">
        <f>AMQ9+AMQ6</f>
        <v/>
      </c>
      <c r="AMR12" s="21">
        <f>AMR9+AMR6</f>
        <v/>
      </c>
      <c r="AMS12" s="21">
        <f>AMS9+AMS6</f>
        <v/>
      </c>
      <c r="AMT12" s="21">
        <f>AMT9+AMT6</f>
        <v/>
      </c>
      <c r="AMU12" s="21">
        <f>AMU9+AMU6</f>
        <v/>
      </c>
      <c r="AMV12" s="21">
        <f>AMV9+AMV6</f>
        <v/>
      </c>
      <c r="AMW12" s="21">
        <f>AMW9+AMW6</f>
        <v/>
      </c>
      <c r="AMX12" s="21">
        <f>AMX9+AMX6</f>
        <v/>
      </c>
      <c r="AMY12" s="127">
        <f>SUM(ALU12:AMX12)</f>
        <v/>
      </c>
      <c r="AMZ12" s="21">
        <f>AMZ9+AMZ6</f>
        <v/>
      </c>
      <c r="ANA12" s="21">
        <f>ANA9+ANA6</f>
        <v/>
      </c>
      <c r="ANB12" s="21">
        <f>ANB9+ANB6</f>
        <v/>
      </c>
      <c r="ANC12" s="21">
        <f>ANC9+ANC6</f>
        <v/>
      </c>
      <c r="AND12" s="21">
        <f>AND9+AND6</f>
        <v/>
      </c>
      <c r="ANE12" s="21">
        <f>ANE9+ANE6</f>
        <v/>
      </c>
      <c r="ANF12" s="21">
        <f>ANF9+ANF6</f>
        <v/>
      </c>
      <c r="ANG12" s="21">
        <f>ANG9+ANG6</f>
        <v/>
      </c>
      <c r="ANH12" s="21">
        <f>ANH9+ANH6</f>
        <v/>
      </c>
      <c r="ANI12" s="21">
        <f>ANI9+ANI6</f>
        <v/>
      </c>
      <c r="ANJ12" s="21">
        <f>ANJ9+ANJ6</f>
        <v/>
      </c>
      <c r="ANK12" s="21">
        <f>ANK9+ANK6</f>
        <v/>
      </c>
      <c r="ANL12" s="21">
        <f>ANL9+ANL6</f>
        <v/>
      </c>
      <c r="ANM12" s="21">
        <f>ANM9+ANM6</f>
        <v/>
      </c>
      <c r="ANN12" s="21">
        <f>ANN9+ANN6</f>
        <v/>
      </c>
      <c r="ANO12" s="21">
        <f>ANO9+ANO6</f>
        <v/>
      </c>
      <c r="ANP12" s="21">
        <f>ANP9+ANP6</f>
        <v/>
      </c>
      <c r="ANQ12" s="21">
        <f>ANQ9+ANQ6</f>
        <v/>
      </c>
      <c r="ANR12" s="21">
        <f>ANR9+ANR6</f>
        <v/>
      </c>
      <c r="ANS12" s="21">
        <f>ANS9+ANS6</f>
        <v/>
      </c>
      <c r="ANT12" s="21">
        <f>ANT9+ANT6</f>
        <v/>
      </c>
      <c r="ANU12" s="21">
        <f>ANU9+ANU6</f>
        <v/>
      </c>
      <c r="ANV12" s="21">
        <f>ANV9+ANV6</f>
        <v/>
      </c>
      <c r="ANW12" s="21">
        <f>ANW9+ANW6</f>
        <v/>
      </c>
      <c r="ANX12" s="21">
        <f>ANX9+ANX6</f>
        <v/>
      </c>
      <c r="ANY12" s="21">
        <f>ANY9+ANY6</f>
        <v/>
      </c>
      <c r="ANZ12" s="21">
        <f>ANZ9+ANZ6</f>
        <v/>
      </c>
      <c r="AOA12" s="21">
        <f>AOA9+AOA6</f>
        <v/>
      </c>
      <c r="AOB12" s="21">
        <f>AOB9+AOB6</f>
        <v/>
      </c>
      <c r="AOC12" s="21">
        <f>AOC9+AOC6</f>
        <v/>
      </c>
    </row>
    <row r="13">
      <c r="A13" s="165" t="inlineStr">
        <is>
          <t>ELECTRONIC SALES</t>
        </is>
      </c>
      <c r="B13" s="5" t="inlineStr">
        <is>
          <t>MOMO PAY</t>
        </is>
      </c>
      <c r="C13" s="22">
        <f>'MOMO,AIRTEL,CARDS'!B4</f>
        <v/>
      </c>
      <c r="D13" s="22">
        <f>'MOMO,AIRTEL,CARDS'!C4</f>
        <v/>
      </c>
      <c r="E13" s="22">
        <f>'MOMO,AIRTEL,CARDS'!D4</f>
        <v/>
      </c>
      <c r="F13" s="22">
        <f>'MOMO,AIRTEL,CARDS'!E4</f>
        <v/>
      </c>
      <c r="G13" s="22">
        <f>'MOMO,AIRTEL,CARDS'!F4</f>
        <v/>
      </c>
      <c r="H13" s="22">
        <f>'MOMO,AIRTEL,CARDS'!G4</f>
        <v/>
      </c>
      <c r="I13" s="22">
        <f>'MOMO,AIRTEL,CARDS'!H4</f>
        <v/>
      </c>
      <c r="J13" s="22">
        <f>'MOMO,AIRTEL,CARDS'!I4</f>
        <v/>
      </c>
      <c r="K13" s="22">
        <f>'MOMO,AIRTEL,CARDS'!J4</f>
        <v/>
      </c>
      <c r="L13" s="22">
        <f>'MOMO,AIRTEL,CARDS'!K4</f>
        <v/>
      </c>
      <c r="M13" s="22">
        <f>'MOMO,AIRTEL,CARDS'!L4</f>
        <v/>
      </c>
      <c r="N13" s="22">
        <f>'MOMO,AIRTEL,CARDS'!M4</f>
        <v/>
      </c>
      <c r="O13" s="22">
        <f>'MOMO,AIRTEL,CARDS'!N4</f>
        <v/>
      </c>
      <c r="P13" s="22">
        <f>'MOMO,AIRTEL,CARDS'!O4</f>
        <v/>
      </c>
      <c r="Q13" s="22">
        <f>'MOMO,AIRTEL,CARDS'!P4</f>
        <v/>
      </c>
      <c r="R13" s="22">
        <f>'MOMO,AIRTEL,CARDS'!Q4</f>
        <v/>
      </c>
      <c r="S13" s="22">
        <f>'MOMO,AIRTEL,CARDS'!R4</f>
        <v/>
      </c>
      <c r="T13" s="22">
        <f>'MOMO,AIRTEL,CARDS'!S4</f>
        <v/>
      </c>
      <c r="U13" s="22">
        <f>'MOMO,AIRTEL,CARDS'!T4</f>
        <v/>
      </c>
      <c r="V13" s="22">
        <f>'MOMO,AIRTEL,CARDS'!U4</f>
        <v/>
      </c>
      <c r="W13" s="22">
        <f>'MOMO,AIRTEL,CARDS'!V4</f>
        <v/>
      </c>
      <c r="X13" s="22">
        <f>'MOMO,AIRTEL,CARDS'!W4</f>
        <v/>
      </c>
      <c r="Y13" s="22">
        <f>'MOMO,AIRTEL,CARDS'!X4</f>
        <v/>
      </c>
      <c r="Z13" s="22">
        <f>'MOMO,AIRTEL,CARDS'!Y4</f>
        <v/>
      </c>
      <c r="AA13" s="22">
        <f>'MOMO,AIRTEL,CARDS'!Z4</f>
        <v/>
      </c>
      <c r="AB13" s="22">
        <f>'MOMO,AIRTEL,CARDS'!AA4</f>
        <v/>
      </c>
      <c r="AC13" s="22">
        <f>'MOMO,AIRTEL,CARDS'!AB4</f>
        <v/>
      </c>
      <c r="AD13" s="22">
        <f>'MOMO,AIRTEL,CARDS'!AC4</f>
        <v/>
      </c>
      <c r="AE13" s="22">
        <f>'MOMO,AIRTEL,CARDS'!AD4</f>
        <v/>
      </c>
      <c r="AF13" s="22">
        <f>'MOMO,AIRTEL,CARDS'!AE4</f>
        <v/>
      </c>
      <c r="AG13" s="22">
        <f>'MOMO,AIRTEL,CARDS'!AF4</f>
        <v/>
      </c>
      <c r="AH13" s="94">
        <f>SUM(C13:AG13)</f>
        <v/>
      </c>
      <c r="AI13" s="22">
        <f>'MOMO,AIRTEL,CARDS'!AH4</f>
        <v/>
      </c>
      <c r="AJ13" s="22">
        <f>'MOMO,AIRTEL,CARDS'!AI4</f>
        <v/>
      </c>
      <c r="AK13" s="22">
        <f>'MOMO,AIRTEL,CARDS'!AJ4</f>
        <v/>
      </c>
      <c r="AL13" s="22">
        <f>'MOMO,AIRTEL,CARDS'!AK4</f>
        <v/>
      </c>
      <c r="AM13" s="22">
        <f>'MOMO,AIRTEL,CARDS'!AL4</f>
        <v/>
      </c>
      <c r="AN13" s="22">
        <f>'MOMO,AIRTEL,CARDS'!AM4</f>
        <v/>
      </c>
      <c r="AO13" s="22">
        <f>'MOMO,AIRTEL,CARDS'!AN4</f>
        <v/>
      </c>
      <c r="AP13" s="22">
        <f>'MOMO,AIRTEL,CARDS'!AO4</f>
        <v/>
      </c>
      <c r="AQ13" s="22">
        <f>'MOMO,AIRTEL,CARDS'!AP4</f>
        <v/>
      </c>
      <c r="AR13" s="22">
        <f>'MOMO,AIRTEL,CARDS'!AQ4</f>
        <v/>
      </c>
      <c r="AS13" s="22">
        <f>'MOMO,AIRTEL,CARDS'!AR4</f>
        <v/>
      </c>
      <c r="AT13" s="22">
        <f>'MOMO,AIRTEL,CARDS'!AS4</f>
        <v/>
      </c>
      <c r="AU13" s="22">
        <f>'MOMO,AIRTEL,CARDS'!AT4</f>
        <v/>
      </c>
      <c r="AV13" s="22">
        <f>'MOMO,AIRTEL,CARDS'!AU4</f>
        <v/>
      </c>
      <c r="AW13" s="22">
        <f>'MOMO,AIRTEL,CARDS'!AV4</f>
        <v/>
      </c>
      <c r="AX13" s="22">
        <f>'MOMO,AIRTEL,CARDS'!AW4</f>
        <v/>
      </c>
      <c r="AY13" s="22">
        <f>'MOMO,AIRTEL,CARDS'!AX4</f>
        <v/>
      </c>
      <c r="AZ13" s="22">
        <f>'MOMO,AIRTEL,CARDS'!AY4</f>
        <v/>
      </c>
      <c r="BA13" s="22">
        <f>'MOMO,AIRTEL,CARDS'!AZ4</f>
        <v/>
      </c>
      <c r="BB13" s="22">
        <f>'MOMO,AIRTEL,CARDS'!BA4</f>
        <v/>
      </c>
      <c r="BC13" s="22">
        <f>'MOMO,AIRTEL,CARDS'!BB4</f>
        <v/>
      </c>
      <c r="BD13" s="22">
        <f>'MOMO,AIRTEL,CARDS'!BC4</f>
        <v/>
      </c>
      <c r="BE13" s="22">
        <f>'MOMO,AIRTEL,CARDS'!BD4</f>
        <v/>
      </c>
      <c r="BF13" s="22">
        <f>'MOMO,AIRTEL,CARDS'!BE4</f>
        <v/>
      </c>
      <c r="BG13" s="22">
        <f>'MOMO,AIRTEL,CARDS'!BF4</f>
        <v/>
      </c>
      <c r="BH13" s="22">
        <f>'MOMO,AIRTEL,CARDS'!BG4</f>
        <v/>
      </c>
      <c r="BI13" s="22">
        <f>'MOMO,AIRTEL,CARDS'!BH4</f>
        <v/>
      </c>
      <c r="BJ13" s="22">
        <f>'MOMO,AIRTEL,CARDS'!BI4</f>
        <v/>
      </c>
      <c r="BK13" s="22">
        <f>'MOMO,AIRTEL,CARDS'!BJ4</f>
        <v/>
      </c>
      <c r="BL13" s="22">
        <f>'MOMO,AIRTEL,CARDS'!BK4</f>
        <v/>
      </c>
      <c r="BM13" s="97">
        <f>SUM(AI13:BL13)</f>
        <v/>
      </c>
      <c r="BN13" s="22">
        <f>'MOMO,AIRTEL,CARDS'!BM4</f>
        <v/>
      </c>
      <c r="BO13" s="22">
        <f>'MOMO,AIRTEL,CARDS'!BN4</f>
        <v/>
      </c>
      <c r="BP13" s="22">
        <f>'MOMO,AIRTEL,CARDS'!BO4</f>
        <v/>
      </c>
      <c r="BQ13" s="22">
        <f>'MOMO,AIRTEL,CARDS'!BP4</f>
        <v/>
      </c>
      <c r="BR13" s="22">
        <f>'MOMO,AIRTEL,CARDS'!BQ4</f>
        <v/>
      </c>
      <c r="BS13" s="22">
        <f>'MOMO,AIRTEL,CARDS'!BR4</f>
        <v/>
      </c>
      <c r="BT13" s="22">
        <f>'MOMO,AIRTEL,CARDS'!BS4</f>
        <v/>
      </c>
      <c r="BU13" s="22">
        <f>'MOMO,AIRTEL,CARDS'!BT4</f>
        <v/>
      </c>
      <c r="BV13" s="22">
        <f>'MOMO,AIRTEL,CARDS'!BU4</f>
        <v/>
      </c>
      <c r="BW13" s="22">
        <f>'MOMO,AIRTEL,CARDS'!BV4</f>
        <v/>
      </c>
      <c r="BX13" s="22">
        <f>'MOMO,AIRTEL,CARDS'!BW4</f>
        <v/>
      </c>
      <c r="BY13" s="22">
        <f>'MOMO,AIRTEL,CARDS'!BX4</f>
        <v/>
      </c>
      <c r="BZ13" s="22">
        <f>'MOMO,AIRTEL,CARDS'!BY4</f>
        <v/>
      </c>
      <c r="CA13" s="22">
        <f>'MOMO,AIRTEL,CARDS'!BZ4</f>
        <v/>
      </c>
      <c r="CB13" s="22">
        <f>'MOMO,AIRTEL,CARDS'!CA4</f>
        <v/>
      </c>
      <c r="CC13" s="22">
        <f>'MOMO,AIRTEL,CARDS'!CB4</f>
        <v/>
      </c>
      <c r="CD13" s="22">
        <f>'MOMO,AIRTEL,CARDS'!CC4</f>
        <v/>
      </c>
      <c r="CE13" s="22">
        <f>'MOMO,AIRTEL,CARDS'!CD4</f>
        <v/>
      </c>
      <c r="CF13" s="22">
        <f>'MOMO,AIRTEL,CARDS'!CE4</f>
        <v/>
      </c>
      <c r="CG13" s="22">
        <f>'MOMO,AIRTEL,CARDS'!CF4</f>
        <v/>
      </c>
      <c r="CH13" s="22">
        <f>'MOMO,AIRTEL,CARDS'!CG4</f>
        <v/>
      </c>
      <c r="CI13" s="22">
        <f>'MOMO,AIRTEL,CARDS'!CH4</f>
        <v/>
      </c>
      <c r="CJ13" s="22">
        <f>'MOMO,AIRTEL,CARDS'!CI4</f>
        <v/>
      </c>
      <c r="CK13" s="22">
        <f>'MOMO,AIRTEL,CARDS'!CJ4</f>
        <v/>
      </c>
      <c r="CL13" s="22">
        <f>'MOMO,AIRTEL,CARDS'!CK4</f>
        <v/>
      </c>
      <c r="CM13" s="22">
        <f>'MOMO,AIRTEL,CARDS'!CL4</f>
        <v/>
      </c>
      <c r="CN13" s="22">
        <f>'MOMO,AIRTEL,CARDS'!CM4</f>
        <v/>
      </c>
      <c r="CO13" s="22">
        <f>'MOMO,AIRTEL,CARDS'!CN4</f>
        <v/>
      </c>
      <c r="CP13" s="22">
        <f>'MOMO,AIRTEL,CARDS'!CO4</f>
        <v/>
      </c>
      <c r="CQ13" s="22">
        <f>'MOMO,AIRTEL,CARDS'!CP4</f>
        <v/>
      </c>
      <c r="CR13" s="22">
        <f>'MOMO,AIRTEL,CARDS'!CQ4</f>
        <v/>
      </c>
      <c r="CS13" s="111">
        <f>SUM(BN13:CR13)</f>
        <v/>
      </c>
      <c r="CT13" s="22">
        <f>'MOMO,AIRTEL,CARDS'!CS4</f>
        <v/>
      </c>
      <c r="CU13" s="22">
        <f>'MOMO,AIRTEL,CARDS'!CT4</f>
        <v/>
      </c>
      <c r="CV13" s="22">
        <f>'MOMO,AIRTEL,CARDS'!CU4</f>
        <v/>
      </c>
      <c r="CW13" s="22">
        <f>'MOMO,AIRTEL,CARDS'!CV4</f>
        <v/>
      </c>
      <c r="CX13" s="22">
        <f>'MOMO,AIRTEL,CARDS'!CW4</f>
        <v/>
      </c>
      <c r="CY13" s="22">
        <f>'MOMO,AIRTEL,CARDS'!CX4</f>
        <v/>
      </c>
      <c r="CZ13" s="22">
        <f>'MOMO,AIRTEL,CARDS'!CY4</f>
        <v/>
      </c>
      <c r="DA13" s="22">
        <f>'MOMO,AIRTEL,CARDS'!CZ4</f>
        <v/>
      </c>
      <c r="DB13" s="22">
        <f>'MOMO,AIRTEL,CARDS'!DA4</f>
        <v/>
      </c>
      <c r="DC13" s="22">
        <f>'MOMO,AIRTEL,CARDS'!DB4</f>
        <v/>
      </c>
      <c r="DD13" s="22">
        <f>'MOMO,AIRTEL,CARDS'!DC4</f>
        <v/>
      </c>
      <c r="DE13" s="22">
        <f>'MOMO,AIRTEL,CARDS'!DD4</f>
        <v/>
      </c>
      <c r="DF13" s="22">
        <f>'MOMO,AIRTEL,CARDS'!DE4</f>
        <v/>
      </c>
      <c r="DG13" s="22">
        <f>'MOMO,AIRTEL,CARDS'!DF4</f>
        <v/>
      </c>
      <c r="DH13" s="22">
        <f>'MOMO,AIRTEL,CARDS'!DG4</f>
        <v/>
      </c>
      <c r="DI13" s="22">
        <f>'MOMO,AIRTEL,CARDS'!DH4</f>
        <v/>
      </c>
      <c r="DJ13" s="22">
        <f>'MOMO,AIRTEL,CARDS'!DI4</f>
        <v/>
      </c>
      <c r="DK13" s="22">
        <f>'MOMO,AIRTEL,CARDS'!DJ4</f>
        <v/>
      </c>
      <c r="DL13" s="22">
        <f>'MOMO,AIRTEL,CARDS'!DK4</f>
        <v/>
      </c>
      <c r="DM13" s="22">
        <f>'MOMO,AIRTEL,CARDS'!DL4</f>
        <v/>
      </c>
      <c r="DN13" s="22">
        <f>'MOMO,AIRTEL,CARDS'!DM4</f>
        <v/>
      </c>
      <c r="DO13" s="22">
        <f>'MOMO,AIRTEL,CARDS'!DN4</f>
        <v/>
      </c>
      <c r="DP13" s="22">
        <f>'MOMO,AIRTEL,CARDS'!DO4</f>
        <v/>
      </c>
      <c r="DQ13" s="22">
        <f>'MOMO,AIRTEL,CARDS'!DP4</f>
        <v/>
      </c>
      <c r="DR13" s="22">
        <f>'MOMO,AIRTEL,CARDS'!DQ4</f>
        <v/>
      </c>
      <c r="DS13" s="22">
        <f>'MOMO,AIRTEL,CARDS'!DR4</f>
        <v/>
      </c>
      <c r="DT13" s="22">
        <f>'MOMO,AIRTEL,CARDS'!DS4</f>
        <v/>
      </c>
      <c r="DU13" s="22">
        <f>'MOMO,AIRTEL,CARDS'!DT4</f>
        <v/>
      </c>
      <c r="DV13" s="22">
        <f>'MOMO,AIRTEL,CARDS'!DU4</f>
        <v/>
      </c>
      <c r="DW13" s="22">
        <f>'MOMO,AIRTEL,CARDS'!DV4</f>
        <v/>
      </c>
      <c r="DX13" s="119">
        <f>SUM(CT13:DW13)</f>
        <v/>
      </c>
      <c r="DY13" s="22">
        <f>'MOMO,AIRTEL,CARDS'!DX4</f>
        <v/>
      </c>
      <c r="DZ13" s="22">
        <f>'MOMO,AIRTEL,CARDS'!DY4</f>
        <v/>
      </c>
      <c r="EA13" s="22">
        <f>'MOMO,AIRTEL,CARDS'!DZ4</f>
        <v/>
      </c>
      <c r="EB13" s="22">
        <f>'MOMO,AIRTEL,CARDS'!EA4</f>
        <v/>
      </c>
      <c r="EC13" s="22">
        <f>'MOMO,AIRTEL,CARDS'!EB4</f>
        <v/>
      </c>
      <c r="ED13" s="22">
        <f>'MOMO,AIRTEL,CARDS'!EC4</f>
        <v/>
      </c>
      <c r="EE13" s="22">
        <f>'MOMO,AIRTEL,CARDS'!ED4</f>
        <v/>
      </c>
      <c r="EF13" s="22">
        <f>'MOMO,AIRTEL,CARDS'!EE4</f>
        <v/>
      </c>
      <c r="EG13" s="22">
        <f>'MOMO,AIRTEL,CARDS'!EF4</f>
        <v/>
      </c>
      <c r="EH13" s="22">
        <f>'MOMO,AIRTEL,CARDS'!EG4</f>
        <v/>
      </c>
      <c r="EI13" s="22">
        <f>'MOMO,AIRTEL,CARDS'!EH4</f>
        <v/>
      </c>
      <c r="EJ13" s="22">
        <f>'MOMO,AIRTEL,CARDS'!EI4</f>
        <v/>
      </c>
      <c r="EK13" s="22">
        <f>'MOMO,AIRTEL,CARDS'!EJ4</f>
        <v/>
      </c>
      <c r="EL13" s="22">
        <f>'MOMO,AIRTEL,CARDS'!EK4</f>
        <v/>
      </c>
      <c r="EM13" s="22">
        <f>'MOMO,AIRTEL,CARDS'!EL4</f>
        <v/>
      </c>
      <c r="EN13" s="22">
        <f>'MOMO,AIRTEL,CARDS'!EM4</f>
        <v/>
      </c>
      <c r="EO13" s="22">
        <f>'MOMO,AIRTEL,CARDS'!EN4</f>
        <v/>
      </c>
      <c r="EP13" s="22">
        <f>'MOMO,AIRTEL,CARDS'!EO4</f>
        <v/>
      </c>
      <c r="EQ13" s="22">
        <f>'MOMO,AIRTEL,CARDS'!EP4</f>
        <v/>
      </c>
      <c r="ER13" s="22">
        <f>'MOMO,AIRTEL,CARDS'!EQ4</f>
        <v/>
      </c>
      <c r="ES13" s="22">
        <f>'MOMO,AIRTEL,CARDS'!ER4</f>
        <v/>
      </c>
      <c r="ET13" s="22">
        <f>'MOMO,AIRTEL,CARDS'!ES4</f>
        <v/>
      </c>
      <c r="EU13" s="22">
        <f>'MOMO,AIRTEL,CARDS'!ET4</f>
        <v/>
      </c>
      <c r="EV13" s="22">
        <f>'MOMO,AIRTEL,CARDS'!EU4</f>
        <v/>
      </c>
      <c r="EW13" s="22">
        <f>'MOMO,AIRTEL,CARDS'!EV4</f>
        <v/>
      </c>
      <c r="EX13" s="22">
        <f>'MOMO,AIRTEL,CARDS'!EW4</f>
        <v/>
      </c>
      <c r="EY13" s="22">
        <f>'MOMO,AIRTEL,CARDS'!EX4</f>
        <v/>
      </c>
      <c r="EZ13" s="22">
        <f>'MOMO,AIRTEL,CARDS'!EY4</f>
        <v/>
      </c>
      <c r="FA13" s="22">
        <f>'MOMO,AIRTEL,CARDS'!EZ4</f>
        <v/>
      </c>
      <c r="FB13" s="22">
        <f>'MOMO,AIRTEL,CARDS'!FA4</f>
        <v/>
      </c>
      <c r="FC13" s="22">
        <f>'MOMO,AIRTEL,CARDS'!FB4</f>
        <v/>
      </c>
      <c r="FD13" s="128">
        <f>SUM(DY13:FC13)</f>
        <v/>
      </c>
      <c r="FE13" s="22">
        <f>'MOMO,AIRTEL,CARDS'!FD4</f>
        <v/>
      </c>
      <c r="FF13" s="22">
        <f>'MOMO,AIRTEL,CARDS'!FE4</f>
        <v/>
      </c>
      <c r="FG13" s="22">
        <f>'MOMO,AIRTEL,CARDS'!FF4</f>
        <v/>
      </c>
      <c r="FH13" s="22">
        <f>'MOMO,AIRTEL,CARDS'!FG4</f>
        <v/>
      </c>
      <c r="FI13" s="22">
        <f>'MOMO,AIRTEL,CARDS'!FH4</f>
        <v/>
      </c>
      <c r="FJ13" s="22">
        <f>'MOMO,AIRTEL,CARDS'!FI4</f>
        <v/>
      </c>
      <c r="FK13" s="22">
        <f>'MOMO,AIRTEL,CARDS'!FJ4</f>
        <v/>
      </c>
      <c r="FL13" s="22">
        <f>'MOMO,AIRTEL,CARDS'!FK4</f>
        <v/>
      </c>
      <c r="FM13" s="22">
        <f>'MOMO,AIRTEL,CARDS'!FL4</f>
        <v/>
      </c>
      <c r="FN13" s="22">
        <f>'MOMO,AIRTEL,CARDS'!FM4</f>
        <v/>
      </c>
      <c r="FO13" s="22">
        <f>'MOMO,AIRTEL,CARDS'!FN4</f>
        <v/>
      </c>
      <c r="FP13" s="22">
        <f>'MOMO,AIRTEL,CARDS'!FO4</f>
        <v/>
      </c>
      <c r="FQ13" s="22">
        <f>'MOMO,AIRTEL,CARDS'!FP4</f>
        <v/>
      </c>
      <c r="FR13" s="22">
        <f>'MOMO,AIRTEL,CARDS'!FQ4</f>
        <v/>
      </c>
      <c r="FS13" s="22">
        <f>'MOMO,AIRTEL,CARDS'!FR4</f>
        <v/>
      </c>
      <c r="FT13" s="22">
        <f>'MOMO,AIRTEL,CARDS'!FS4</f>
        <v/>
      </c>
      <c r="FU13" s="22">
        <f>'MOMO,AIRTEL,CARDS'!FT4</f>
        <v/>
      </c>
      <c r="FV13" s="22">
        <f>'MOMO,AIRTEL,CARDS'!FU4</f>
        <v/>
      </c>
      <c r="FW13" s="22">
        <f>'MOMO,AIRTEL,CARDS'!FV4</f>
        <v/>
      </c>
      <c r="FX13" s="22">
        <f>'MOMO,AIRTEL,CARDS'!FW4</f>
        <v/>
      </c>
      <c r="FY13" s="22">
        <f>'MOMO,AIRTEL,CARDS'!FX4</f>
        <v/>
      </c>
      <c r="FZ13" s="22">
        <f>'MOMO,AIRTEL,CARDS'!FY4</f>
        <v/>
      </c>
      <c r="GA13" s="22">
        <f>'MOMO,AIRTEL,CARDS'!FZ4</f>
        <v/>
      </c>
      <c r="GB13" s="22">
        <f>'MOMO,AIRTEL,CARDS'!GA4</f>
        <v/>
      </c>
      <c r="GC13" s="22">
        <f>'MOMO,AIRTEL,CARDS'!GB4</f>
        <v/>
      </c>
      <c r="GD13" s="22">
        <f>'MOMO,AIRTEL,CARDS'!GC4</f>
        <v/>
      </c>
      <c r="GE13" s="22">
        <f>'MOMO,AIRTEL,CARDS'!GD4</f>
        <v/>
      </c>
      <c r="GF13" s="22">
        <f>'MOMO,AIRTEL,CARDS'!GE4</f>
        <v/>
      </c>
      <c r="GG13" s="22">
        <f>'MOMO,AIRTEL,CARDS'!GF4</f>
        <v/>
      </c>
      <c r="GH13" s="22">
        <f>'MOMO,AIRTEL,CARDS'!GG4</f>
        <v/>
      </c>
      <c r="GI13" s="22">
        <f>'MOMO,AIRTEL,CARDS'!GH4</f>
        <v/>
      </c>
      <c r="GJ13" s="127">
        <f>SUM(FE13:GI13)</f>
        <v/>
      </c>
      <c r="GK13" s="22">
        <f>'MOMO,AIRTEL,CARDS'!GJ4</f>
        <v/>
      </c>
      <c r="GL13" s="22">
        <f>'MOMO,AIRTEL,CARDS'!GK4</f>
        <v/>
      </c>
      <c r="GM13" s="22">
        <f>'MOMO,AIRTEL,CARDS'!GL4</f>
        <v/>
      </c>
      <c r="GN13" s="22">
        <f>'MOMO,AIRTEL,CARDS'!GM4</f>
        <v/>
      </c>
      <c r="GO13" s="22">
        <f>'MOMO,AIRTEL,CARDS'!GN4</f>
        <v/>
      </c>
      <c r="GP13" s="22">
        <f>'MOMO,AIRTEL,CARDS'!GO4</f>
        <v/>
      </c>
      <c r="GQ13" s="22">
        <f>'MOMO,AIRTEL,CARDS'!GP4</f>
        <v/>
      </c>
      <c r="GR13" s="22">
        <f>'MOMO,AIRTEL,CARDS'!GQ4</f>
        <v/>
      </c>
      <c r="GS13" s="22">
        <f>'MOMO,AIRTEL,CARDS'!GR4</f>
        <v/>
      </c>
      <c r="GT13" s="22">
        <f>'MOMO,AIRTEL,CARDS'!GS4</f>
        <v/>
      </c>
      <c r="GU13" s="22">
        <f>'MOMO,AIRTEL,CARDS'!GT4</f>
        <v/>
      </c>
      <c r="GV13" s="22">
        <f>'MOMO,AIRTEL,CARDS'!GU4</f>
        <v/>
      </c>
      <c r="GW13" s="22">
        <f>'MOMO,AIRTEL,CARDS'!GV4</f>
        <v/>
      </c>
      <c r="GX13" s="22">
        <f>'MOMO,AIRTEL,CARDS'!GW4</f>
        <v/>
      </c>
      <c r="GY13" s="22">
        <f>'MOMO,AIRTEL,CARDS'!GX4</f>
        <v/>
      </c>
      <c r="GZ13" s="22">
        <f>'MOMO,AIRTEL,CARDS'!GY4</f>
        <v/>
      </c>
      <c r="HA13" s="22">
        <f>'MOMO,AIRTEL,CARDS'!GZ4</f>
        <v/>
      </c>
      <c r="HB13" s="22">
        <f>'MOMO,AIRTEL,CARDS'!HA4</f>
        <v/>
      </c>
      <c r="HC13" s="22">
        <f>'MOMO,AIRTEL,CARDS'!HB4</f>
        <v/>
      </c>
      <c r="HD13" s="22">
        <f>'MOMO,AIRTEL,CARDS'!HC4</f>
        <v/>
      </c>
      <c r="HE13" s="22">
        <f>'MOMO,AIRTEL,CARDS'!HD4</f>
        <v/>
      </c>
      <c r="HF13" s="22">
        <f>'MOMO,AIRTEL,CARDS'!HE4</f>
        <v/>
      </c>
      <c r="HG13" s="22">
        <f>'MOMO,AIRTEL,CARDS'!HF4</f>
        <v/>
      </c>
      <c r="HH13" s="22">
        <f>'MOMO,AIRTEL,CARDS'!HG4</f>
        <v/>
      </c>
      <c r="HI13" s="22">
        <f>'MOMO,AIRTEL,CARDS'!HH4</f>
        <v/>
      </c>
      <c r="HJ13" s="22">
        <f>'MOMO,AIRTEL,CARDS'!HI4</f>
        <v/>
      </c>
      <c r="HK13" s="22">
        <f>'MOMO,AIRTEL,CARDS'!HJ4</f>
        <v/>
      </c>
      <c r="HL13" s="22">
        <f>'MOMO,AIRTEL,CARDS'!HK4</f>
        <v/>
      </c>
      <c r="HM13" s="22">
        <f>'MOMO,AIRTEL,CARDS'!HL4</f>
        <v/>
      </c>
      <c r="HN13" s="127">
        <f>SUM(GK13:HM13)</f>
        <v/>
      </c>
      <c r="HO13" s="22">
        <f>'MOMO,AIRTEL,CARDS'!HN4</f>
        <v/>
      </c>
      <c r="HP13" s="22">
        <f>'MOMO,AIRTEL,CARDS'!HO4</f>
        <v/>
      </c>
      <c r="HQ13" s="22">
        <f>'MOMO,AIRTEL,CARDS'!HP4</f>
        <v/>
      </c>
      <c r="HR13" s="22">
        <f>'MOMO,AIRTEL,CARDS'!HQ4</f>
        <v/>
      </c>
      <c r="HS13" s="22">
        <f>'MOMO,AIRTEL,CARDS'!HR4</f>
        <v/>
      </c>
      <c r="HT13" s="22">
        <f>'MOMO,AIRTEL,CARDS'!HS4</f>
        <v/>
      </c>
      <c r="HU13" s="22">
        <f>'MOMO,AIRTEL,CARDS'!HT4</f>
        <v/>
      </c>
      <c r="HV13" s="22">
        <f>'MOMO,AIRTEL,CARDS'!HU4</f>
        <v/>
      </c>
      <c r="HW13" s="22">
        <f>'MOMO,AIRTEL,CARDS'!HV4</f>
        <v/>
      </c>
      <c r="HX13" s="22">
        <f>'MOMO,AIRTEL,CARDS'!HW4</f>
        <v/>
      </c>
      <c r="HY13" s="22">
        <f>'MOMO,AIRTEL,CARDS'!HX4</f>
        <v/>
      </c>
      <c r="HZ13" s="22">
        <f>'MOMO,AIRTEL,CARDS'!HY4</f>
        <v/>
      </c>
      <c r="IA13" s="22">
        <f>'MOMO,AIRTEL,CARDS'!HZ4</f>
        <v/>
      </c>
      <c r="IB13" s="22">
        <f>'MOMO,AIRTEL,CARDS'!IA4</f>
        <v/>
      </c>
      <c r="IC13" s="22">
        <f>'MOMO,AIRTEL,CARDS'!IB4</f>
        <v/>
      </c>
      <c r="ID13" s="22">
        <f>'MOMO,AIRTEL,CARDS'!IC4</f>
        <v/>
      </c>
      <c r="IE13" s="22">
        <f>'MOMO,AIRTEL,CARDS'!ID4</f>
        <v/>
      </c>
      <c r="IF13" s="22">
        <f>'MOMO,AIRTEL,CARDS'!IE4</f>
        <v/>
      </c>
      <c r="IG13" s="22">
        <f>'MOMO,AIRTEL,CARDS'!IF4</f>
        <v/>
      </c>
      <c r="IH13" s="22">
        <f>'MOMO,AIRTEL,CARDS'!IG4</f>
        <v/>
      </c>
      <c r="II13" s="22">
        <f>'MOMO,AIRTEL,CARDS'!IH4</f>
        <v/>
      </c>
      <c r="IJ13" s="22">
        <f>'MOMO,AIRTEL,CARDS'!II4</f>
        <v/>
      </c>
      <c r="IK13" s="22">
        <f>'MOMO,AIRTEL,CARDS'!IJ4</f>
        <v/>
      </c>
      <c r="IL13" s="22">
        <f>'MOMO,AIRTEL,CARDS'!IK4</f>
        <v/>
      </c>
      <c r="IM13" s="22">
        <f>'MOMO,AIRTEL,CARDS'!IL4</f>
        <v/>
      </c>
      <c r="IN13" s="22">
        <f>'MOMO,AIRTEL,CARDS'!IM4</f>
        <v/>
      </c>
      <c r="IO13" s="22">
        <f>'MOMO,AIRTEL,CARDS'!IN4</f>
        <v/>
      </c>
      <c r="IP13" s="22">
        <f>'MOMO,AIRTEL,CARDS'!IO4</f>
        <v/>
      </c>
      <c r="IQ13" s="22">
        <f>'MOMO,AIRTEL,CARDS'!IP4</f>
        <v/>
      </c>
      <c r="IR13" s="22">
        <f>'MOMO,AIRTEL,CARDS'!IQ4</f>
        <v/>
      </c>
      <c r="IS13" s="22">
        <f>'MOMO,AIRTEL,CARDS'!IR4</f>
        <v/>
      </c>
      <c r="IT13" s="127">
        <f>SUM(HO13:IS13)</f>
        <v/>
      </c>
      <c r="IU13" s="22">
        <f>'MOMO,AIRTEL,CARDS'!IT4</f>
        <v/>
      </c>
      <c r="IV13" s="22">
        <f>'MOMO,AIRTEL,CARDS'!IU4</f>
        <v/>
      </c>
      <c r="IW13" s="22">
        <f>'MOMO,AIRTEL,CARDS'!IV4</f>
        <v/>
      </c>
      <c r="IX13" s="22">
        <f>'MOMO,AIRTEL,CARDS'!IW4</f>
        <v/>
      </c>
      <c r="IY13" s="22">
        <f>'MOMO,AIRTEL,CARDS'!IX4</f>
        <v/>
      </c>
      <c r="IZ13" s="22">
        <f>'MOMO,AIRTEL,CARDS'!IY4</f>
        <v/>
      </c>
      <c r="JA13" s="22">
        <f>'MOMO,AIRTEL,CARDS'!IZ4</f>
        <v/>
      </c>
      <c r="JB13" s="22">
        <f>'MOMO,AIRTEL,CARDS'!JA4</f>
        <v/>
      </c>
      <c r="JC13" s="22">
        <f>'MOMO,AIRTEL,CARDS'!JB4</f>
        <v/>
      </c>
      <c r="JD13" s="22">
        <f>'MOMO,AIRTEL,CARDS'!JC4</f>
        <v/>
      </c>
      <c r="JE13" s="22">
        <f>'MOMO,AIRTEL,CARDS'!JD4</f>
        <v/>
      </c>
      <c r="JF13" s="22">
        <f>'MOMO,AIRTEL,CARDS'!JE4</f>
        <v/>
      </c>
      <c r="JG13" s="22">
        <f>'MOMO,AIRTEL,CARDS'!JF4</f>
        <v/>
      </c>
      <c r="JH13" s="22">
        <f>'MOMO,AIRTEL,CARDS'!JG4</f>
        <v/>
      </c>
      <c r="JI13" s="22">
        <f>'MOMO,AIRTEL,CARDS'!JH4</f>
        <v/>
      </c>
      <c r="JJ13" s="22">
        <f>'MOMO,AIRTEL,CARDS'!JI4</f>
        <v/>
      </c>
      <c r="JK13" s="22">
        <f>'MOMO,AIRTEL,CARDS'!JJ4</f>
        <v/>
      </c>
      <c r="JL13" s="22">
        <f>'MOMO,AIRTEL,CARDS'!JK4</f>
        <v/>
      </c>
      <c r="JM13" s="22">
        <f>'MOMO,AIRTEL,CARDS'!JL4</f>
        <v/>
      </c>
      <c r="JN13" s="22">
        <f>'MOMO,AIRTEL,CARDS'!JM4</f>
        <v/>
      </c>
      <c r="JO13" s="22">
        <f>'MOMO,AIRTEL,CARDS'!JN4</f>
        <v/>
      </c>
      <c r="JP13" s="22">
        <f>'MOMO,AIRTEL,CARDS'!JO4</f>
        <v/>
      </c>
      <c r="JQ13" s="22">
        <f>'MOMO,AIRTEL,CARDS'!JP4</f>
        <v/>
      </c>
      <c r="JR13" s="22">
        <f>'MOMO,AIRTEL,CARDS'!JQ4</f>
        <v/>
      </c>
      <c r="JS13" s="22">
        <f>'MOMO,AIRTEL,CARDS'!JR4</f>
        <v/>
      </c>
      <c r="JT13" s="22">
        <f>'MOMO,AIRTEL,CARDS'!JS4</f>
        <v/>
      </c>
      <c r="JU13" s="22">
        <f>'MOMO,AIRTEL,CARDS'!JT4</f>
        <v/>
      </c>
      <c r="JV13" s="22">
        <f>'MOMO,AIRTEL,CARDS'!JU4</f>
        <v/>
      </c>
      <c r="JW13" s="22">
        <f>'MOMO,AIRTEL,CARDS'!JV4</f>
        <v/>
      </c>
      <c r="JX13" s="22">
        <f>'MOMO,AIRTEL,CARDS'!JW4</f>
        <v/>
      </c>
      <c r="JY13" s="127">
        <f>SUM(IU13:JX13)</f>
        <v/>
      </c>
      <c r="JZ13" s="22">
        <f>'MOMO,AIRTEL,CARDS'!JY4</f>
        <v/>
      </c>
      <c r="KA13" s="22">
        <f>'MOMO,AIRTEL,CARDS'!JZ4</f>
        <v/>
      </c>
      <c r="KB13" s="22">
        <f>'MOMO,AIRTEL,CARDS'!KA4</f>
        <v/>
      </c>
      <c r="KC13" s="22">
        <f>'MOMO,AIRTEL,CARDS'!KB4</f>
        <v/>
      </c>
      <c r="KD13" s="22">
        <f>'MOMO,AIRTEL,CARDS'!KC4</f>
        <v/>
      </c>
      <c r="KE13" s="22">
        <f>'MOMO,AIRTEL,CARDS'!KD4</f>
        <v/>
      </c>
      <c r="KF13" s="22">
        <f>'MOMO,AIRTEL,CARDS'!KE4</f>
        <v/>
      </c>
      <c r="KG13" s="22">
        <f>'MOMO,AIRTEL,CARDS'!KF4</f>
        <v/>
      </c>
      <c r="KH13" s="22">
        <f>'MOMO,AIRTEL,CARDS'!KG4</f>
        <v/>
      </c>
      <c r="KI13" s="22">
        <f>'MOMO,AIRTEL,CARDS'!KH4</f>
        <v/>
      </c>
      <c r="KJ13" s="22">
        <f>'MOMO,AIRTEL,CARDS'!KI4</f>
        <v/>
      </c>
      <c r="KK13" s="22">
        <f>'MOMO,AIRTEL,CARDS'!KJ4</f>
        <v/>
      </c>
      <c r="KL13" s="22">
        <f>'MOMO,AIRTEL,CARDS'!KK4</f>
        <v/>
      </c>
      <c r="KM13" s="22">
        <f>'MOMO,AIRTEL,CARDS'!KL4</f>
        <v/>
      </c>
      <c r="KN13" s="22">
        <f>'MOMO,AIRTEL,CARDS'!KM4</f>
        <v/>
      </c>
      <c r="KO13" s="22">
        <f>'MOMO,AIRTEL,CARDS'!KN4</f>
        <v/>
      </c>
      <c r="KP13" s="22">
        <f>'MOMO,AIRTEL,CARDS'!KO4</f>
        <v/>
      </c>
      <c r="KQ13" s="22">
        <f>'MOMO,AIRTEL,CARDS'!KP4</f>
        <v/>
      </c>
      <c r="KR13" s="22">
        <f>'MOMO,AIRTEL,CARDS'!KQ4</f>
        <v/>
      </c>
      <c r="KS13" s="22">
        <f>'MOMO,AIRTEL,CARDS'!KR4</f>
        <v/>
      </c>
      <c r="KT13" s="22">
        <f>'MOMO,AIRTEL,CARDS'!KS4</f>
        <v/>
      </c>
      <c r="KU13" s="22">
        <f>'MOMO,AIRTEL,CARDS'!KT4</f>
        <v/>
      </c>
      <c r="KV13" s="22">
        <f>'MOMO,AIRTEL,CARDS'!KU4</f>
        <v/>
      </c>
      <c r="KW13" s="22">
        <f>'MOMO,AIRTEL,CARDS'!KV4</f>
        <v/>
      </c>
      <c r="KX13" s="22">
        <f>'MOMO,AIRTEL,CARDS'!KW4</f>
        <v/>
      </c>
      <c r="KY13" s="22">
        <f>'MOMO,AIRTEL,CARDS'!KX4</f>
        <v/>
      </c>
      <c r="KZ13" s="22">
        <f>'MOMO,AIRTEL,CARDS'!KY4</f>
        <v/>
      </c>
      <c r="LA13" s="22">
        <f>'MOMO,AIRTEL,CARDS'!KZ4</f>
        <v/>
      </c>
      <c r="LB13" s="22">
        <f>'MOMO,AIRTEL,CARDS'!LA4</f>
        <v/>
      </c>
      <c r="LC13" s="22">
        <f>'MOMO,AIRTEL,CARDS'!LB4</f>
        <v/>
      </c>
      <c r="LD13" s="22">
        <f>'MOMO,AIRTEL,CARDS'!LC4</f>
        <v/>
      </c>
      <c r="LE13" s="127">
        <f>SUM(KA13:LD13)</f>
        <v/>
      </c>
      <c r="LF13" s="22">
        <f>'MOMO,AIRTEL,CARDS'!LE4</f>
        <v/>
      </c>
      <c r="LG13" s="22">
        <f>'MOMO,AIRTEL,CARDS'!LF4</f>
        <v/>
      </c>
      <c r="LH13" s="22">
        <f>'MOMO,AIRTEL,CARDS'!LG4</f>
        <v/>
      </c>
      <c r="LI13" s="22">
        <f>'MOMO,AIRTEL,CARDS'!LH4</f>
        <v/>
      </c>
      <c r="LJ13" s="22">
        <f>'MOMO,AIRTEL,CARDS'!LI4</f>
        <v/>
      </c>
      <c r="LK13" s="22">
        <f>'MOMO,AIRTEL,CARDS'!LJ4</f>
        <v/>
      </c>
      <c r="LL13" s="22">
        <f>'MOMO,AIRTEL,CARDS'!LK4</f>
        <v/>
      </c>
      <c r="LM13" s="22">
        <f>'MOMO,AIRTEL,CARDS'!LL4</f>
        <v/>
      </c>
      <c r="LN13" s="22">
        <f>'MOMO,AIRTEL,CARDS'!LM4</f>
        <v/>
      </c>
      <c r="LO13" s="22">
        <f>'MOMO,AIRTEL,CARDS'!LN4</f>
        <v/>
      </c>
      <c r="LP13" s="22">
        <f>'MOMO,AIRTEL,CARDS'!LO4</f>
        <v/>
      </c>
      <c r="LQ13" s="22">
        <f>'MOMO,AIRTEL,CARDS'!LP4</f>
        <v/>
      </c>
      <c r="LR13" s="22">
        <f>'MOMO,AIRTEL,CARDS'!LQ4</f>
        <v/>
      </c>
      <c r="LS13" s="22">
        <f>'MOMO,AIRTEL,CARDS'!LR4</f>
        <v/>
      </c>
      <c r="LT13" s="22">
        <f>'MOMO,AIRTEL,CARDS'!LS4</f>
        <v/>
      </c>
      <c r="LU13" s="22">
        <f>'MOMO,AIRTEL,CARDS'!LT4</f>
        <v/>
      </c>
      <c r="LV13" s="22">
        <f>'MOMO,AIRTEL,CARDS'!LU4</f>
        <v/>
      </c>
      <c r="LW13" s="22">
        <f>'MOMO,AIRTEL,CARDS'!LV4</f>
        <v/>
      </c>
      <c r="LX13" s="22">
        <f>'MOMO,AIRTEL,CARDS'!LW4</f>
        <v/>
      </c>
      <c r="LY13" s="22">
        <f>'MOMO,AIRTEL,CARDS'!LX4</f>
        <v/>
      </c>
      <c r="LZ13" s="22">
        <f>'MOMO,AIRTEL,CARDS'!LY4</f>
        <v/>
      </c>
      <c r="MA13" s="22">
        <f>'MOMO,AIRTEL,CARDS'!LZ4</f>
        <v/>
      </c>
      <c r="MB13" s="22">
        <f>'MOMO,AIRTEL,CARDS'!MA4</f>
        <v/>
      </c>
      <c r="MC13" s="22">
        <f>'MOMO,AIRTEL,CARDS'!MB4</f>
        <v/>
      </c>
      <c r="MD13" s="22">
        <f>'MOMO,AIRTEL,CARDS'!MC4</f>
        <v/>
      </c>
      <c r="ME13" s="22">
        <f>'MOMO,AIRTEL,CARDS'!MD4</f>
        <v/>
      </c>
      <c r="MF13" s="22">
        <f>'MOMO,AIRTEL,CARDS'!ME4</f>
        <v/>
      </c>
      <c r="MG13" s="22">
        <f>'MOMO,AIRTEL,CARDS'!MF4</f>
        <v/>
      </c>
      <c r="MH13" s="22">
        <f>'MOMO,AIRTEL,CARDS'!MG4</f>
        <v/>
      </c>
      <c r="MI13" s="22">
        <f>'MOMO,AIRTEL,CARDS'!MH4</f>
        <v/>
      </c>
      <c r="MJ13" s="127">
        <f>SUM(LF13:MI13)</f>
        <v/>
      </c>
      <c r="MK13" s="22">
        <f>'MOMO,AIRTEL,CARDS'!MJ4</f>
        <v/>
      </c>
      <c r="ML13" s="22">
        <f>'MOMO,AIRTEL,CARDS'!MK4</f>
        <v/>
      </c>
      <c r="MM13" s="22">
        <f>'MOMO,AIRTEL,CARDS'!ML4</f>
        <v/>
      </c>
      <c r="MN13" s="22">
        <f>'MOMO,AIRTEL,CARDS'!MM4</f>
        <v/>
      </c>
      <c r="MO13" s="22">
        <f>'MOMO,AIRTEL,CARDS'!MN4</f>
        <v/>
      </c>
      <c r="MP13" s="22">
        <f>'MOMO,AIRTEL,CARDS'!MO4</f>
        <v/>
      </c>
      <c r="MQ13" s="22">
        <f>'MOMO,AIRTEL,CARDS'!MP4</f>
        <v/>
      </c>
      <c r="MR13" s="22">
        <f>'MOMO,AIRTEL,CARDS'!MQ4</f>
        <v/>
      </c>
      <c r="MS13" s="22">
        <f>'MOMO,AIRTEL,CARDS'!MR4</f>
        <v/>
      </c>
      <c r="MT13" s="22">
        <f>'MOMO,AIRTEL,CARDS'!MS4</f>
        <v/>
      </c>
      <c r="MU13" s="22">
        <f>'MOMO,AIRTEL,CARDS'!MT4</f>
        <v/>
      </c>
      <c r="MV13" s="22">
        <f>'MOMO,AIRTEL,CARDS'!MU4</f>
        <v/>
      </c>
      <c r="MW13" s="22">
        <f>'MOMO,AIRTEL,CARDS'!MV4</f>
        <v/>
      </c>
      <c r="MX13" s="22">
        <f>'MOMO,AIRTEL,CARDS'!MW4</f>
        <v/>
      </c>
      <c r="MY13" s="22">
        <f>'MOMO,AIRTEL,CARDS'!MX4</f>
        <v/>
      </c>
      <c r="MZ13" s="22">
        <f>'MOMO,AIRTEL,CARDS'!MY4</f>
        <v/>
      </c>
      <c r="NA13" s="22">
        <f>'MOMO,AIRTEL,CARDS'!MZ4</f>
        <v/>
      </c>
      <c r="NB13" s="22">
        <f>'MOMO,AIRTEL,CARDS'!NA4</f>
        <v/>
      </c>
      <c r="NC13" s="22">
        <f>'MOMO,AIRTEL,CARDS'!NB4</f>
        <v/>
      </c>
      <c r="ND13" s="22">
        <f>'MOMO,AIRTEL,CARDS'!NC4</f>
        <v/>
      </c>
      <c r="NE13" s="22">
        <f>'MOMO,AIRTEL,CARDS'!ND4</f>
        <v/>
      </c>
      <c r="NF13" s="22">
        <f>'MOMO,AIRTEL,CARDS'!NE4</f>
        <v/>
      </c>
      <c r="NG13" s="22">
        <f>'MOMO,AIRTEL,CARDS'!NF4</f>
        <v/>
      </c>
      <c r="NH13" s="22">
        <f>'MOMO,AIRTEL,CARDS'!NG4</f>
        <v/>
      </c>
      <c r="NI13" s="22">
        <f>'MOMO,AIRTEL,CARDS'!NH4</f>
        <v/>
      </c>
      <c r="NJ13" s="22">
        <f>'MOMO,AIRTEL,CARDS'!NI4</f>
        <v/>
      </c>
      <c r="NK13" s="22">
        <f>'MOMO,AIRTEL,CARDS'!NJ4</f>
        <v/>
      </c>
      <c r="NL13" s="22">
        <f>'MOMO,AIRTEL,CARDS'!NK4</f>
        <v/>
      </c>
      <c r="NM13" s="22">
        <f>'MOMO,AIRTEL,CARDS'!NL4</f>
        <v/>
      </c>
      <c r="NN13" s="22">
        <f>'MOMO,AIRTEL,CARDS'!NM4</f>
        <v/>
      </c>
      <c r="NO13" s="22">
        <f>'MOMO,AIRTEL,CARDS'!NN4</f>
        <v/>
      </c>
      <c r="NP13" s="127">
        <f>SUM(ML13:NO13)</f>
        <v/>
      </c>
      <c r="NQ13" s="22">
        <f>'MOMO,AIRTEL,CARDS'!NP4</f>
        <v/>
      </c>
      <c r="NR13" s="22">
        <f>'MOMO,AIRTEL,CARDS'!NQ4</f>
        <v/>
      </c>
      <c r="NS13" s="22">
        <f>'MOMO,AIRTEL,CARDS'!NR4</f>
        <v/>
      </c>
      <c r="NT13" s="22">
        <f>'MOMO,AIRTEL,CARDS'!NS4</f>
        <v/>
      </c>
      <c r="NU13" s="22">
        <f>'MOMO,AIRTEL,CARDS'!NT4</f>
        <v/>
      </c>
      <c r="NV13" s="22">
        <f>'MOMO,AIRTEL,CARDS'!NU4</f>
        <v/>
      </c>
      <c r="NW13" s="22">
        <f>'MOMO,AIRTEL,CARDS'!NV4</f>
        <v/>
      </c>
      <c r="NX13" s="22">
        <f>'MOMO,AIRTEL,CARDS'!NW4</f>
        <v/>
      </c>
      <c r="NY13" s="22">
        <f>'MOMO,AIRTEL,CARDS'!NX4</f>
        <v/>
      </c>
      <c r="NZ13" s="22">
        <f>'MOMO,AIRTEL,CARDS'!NY4</f>
        <v/>
      </c>
      <c r="OA13" s="22">
        <f>'MOMO,AIRTEL,CARDS'!NZ4</f>
        <v/>
      </c>
      <c r="OB13" s="22">
        <f>'MOMO,AIRTEL,CARDS'!OA4</f>
        <v/>
      </c>
      <c r="OC13" s="22">
        <f>'MOMO,AIRTEL,CARDS'!OB4</f>
        <v/>
      </c>
      <c r="OD13" s="22">
        <f>'MOMO,AIRTEL,CARDS'!OC4</f>
        <v/>
      </c>
      <c r="OE13" s="22">
        <f>'MOMO,AIRTEL,CARDS'!OD4</f>
        <v/>
      </c>
      <c r="OF13" s="22">
        <f>'MOMO,AIRTEL,CARDS'!OE4</f>
        <v/>
      </c>
      <c r="OG13" s="22">
        <f>'MOMO,AIRTEL,CARDS'!OF4</f>
        <v/>
      </c>
      <c r="OH13" s="22">
        <f>'MOMO,AIRTEL,CARDS'!OG4</f>
        <v/>
      </c>
      <c r="OI13" s="22">
        <f>'MOMO,AIRTEL,CARDS'!OH4</f>
        <v/>
      </c>
      <c r="OJ13" s="22">
        <f>'MOMO,AIRTEL,CARDS'!OI4</f>
        <v/>
      </c>
      <c r="OK13" s="22">
        <f>'MOMO,AIRTEL,CARDS'!OJ4</f>
        <v/>
      </c>
      <c r="OL13" s="22">
        <f>'MOMO,AIRTEL,CARDS'!OK4</f>
        <v/>
      </c>
      <c r="OM13" s="22">
        <f>'MOMO,AIRTEL,CARDS'!OL4</f>
        <v/>
      </c>
      <c r="ON13" s="22">
        <f>'MOMO,AIRTEL,CARDS'!OM4</f>
        <v/>
      </c>
      <c r="OO13" s="22">
        <f>'MOMO,AIRTEL,CARDS'!ON4</f>
        <v/>
      </c>
      <c r="OP13" s="22">
        <f>'MOMO,AIRTEL,CARDS'!OO4</f>
        <v/>
      </c>
      <c r="OQ13" s="22">
        <f>'MOMO,AIRTEL,CARDS'!OP4</f>
        <v/>
      </c>
      <c r="OR13" s="22">
        <f>'MOMO,AIRTEL,CARDS'!OQ4</f>
        <v/>
      </c>
      <c r="OS13" s="22">
        <f>'MOMO,AIRTEL,CARDS'!OR4</f>
        <v/>
      </c>
      <c r="OT13" s="22">
        <f>'MOMO,AIRTEL,CARDS'!OS4</f>
        <v/>
      </c>
      <c r="OU13" s="22">
        <f>'MOMO,AIRTEL,CARDS'!OT4</f>
        <v/>
      </c>
      <c r="OV13" s="127">
        <f>SUM(NR13:OU13)</f>
        <v/>
      </c>
      <c r="OW13" s="22">
        <f>'MOMO,AIRTEL,CARDS'!OV4</f>
        <v/>
      </c>
      <c r="OX13" s="22">
        <f>'MOMO,AIRTEL,CARDS'!OW4</f>
        <v/>
      </c>
      <c r="OY13" s="22">
        <f>'MOMO,AIRTEL,CARDS'!OX4</f>
        <v/>
      </c>
      <c r="OZ13" s="22">
        <f>'MOMO,AIRTEL,CARDS'!OY4</f>
        <v/>
      </c>
      <c r="PA13" s="22">
        <f>'MOMO,AIRTEL,CARDS'!OZ4</f>
        <v/>
      </c>
      <c r="PB13" s="22">
        <f>'MOMO,AIRTEL,CARDS'!PA4</f>
        <v/>
      </c>
      <c r="PC13" s="22">
        <f>'MOMO,AIRTEL,CARDS'!PB4</f>
        <v/>
      </c>
      <c r="PD13" s="22">
        <f>'MOMO,AIRTEL,CARDS'!PC4</f>
        <v/>
      </c>
      <c r="PE13" s="22">
        <f>'MOMO,AIRTEL,CARDS'!PD4</f>
        <v/>
      </c>
      <c r="PF13" s="22">
        <f>'MOMO,AIRTEL,CARDS'!PE4</f>
        <v/>
      </c>
      <c r="PG13" s="22">
        <f>'MOMO,AIRTEL,CARDS'!PF4</f>
        <v/>
      </c>
      <c r="PH13" s="22">
        <f>'MOMO,AIRTEL,CARDS'!PG4</f>
        <v/>
      </c>
      <c r="PI13" s="22">
        <f>'MOMO,AIRTEL,CARDS'!PH4</f>
        <v/>
      </c>
      <c r="PJ13" s="22">
        <f>'MOMO,AIRTEL,CARDS'!PI4</f>
        <v/>
      </c>
      <c r="PK13" s="22">
        <f>'MOMO,AIRTEL,CARDS'!PJ4</f>
        <v/>
      </c>
      <c r="PL13" s="22">
        <f>'MOMO,AIRTEL,CARDS'!PK4</f>
        <v/>
      </c>
      <c r="PM13" s="22">
        <f>'MOMO,AIRTEL,CARDS'!PL4</f>
        <v/>
      </c>
      <c r="PN13" s="22">
        <f>'MOMO,AIRTEL,CARDS'!PM4</f>
        <v/>
      </c>
      <c r="PO13" s="22">
        <f>'MOMO,AIRTEL,CARDS'!PN4</f>
        <v/>
      </c>
      <c r="PP13" s="22">
        <f>'MOMO,AIRTEL,CARDS'!PO4</f>
        <v/>
      </c>
      <c r="PQ13" s="22">
        <f>'MOMO,AIRTEL,CARDS'!PP4</f>
        <v/>
      </c>
      <c r="PR13" s="22">
        <f>'MOMO,AIRTEL,CARDS'!PQ4</f>
        <v/>
      </c>
      <c r="PS13" s="22">
        <f>'MOMO,AIRTEL,CARDS'!PR4</f>
        <v/>
      </c>
      <c r="PT13" s="22">
        <f>'MOMO,AIRTEL,CARDS'!PS4</f>
        <v/>
      </c>
      <c r="PU13" s="22">
        <f>'MOMO,AIRTEL,CARDS'!PT4</f>
        <v/>
      </c>
      <c r="PV13" s="22">
        <f>'MOMO,AIRTEL,CARDS'!PU4</f>
        <v/>
      </c>
      <c r="PW13" s="22">
        <f>'MOMO,AIRTEL,CARDS'!PV4</f>
        <v/>
      </c>
      <c r="PX13" s="22">
        <f>'MOMO,AIRTEL,CARDS'!PW4</f>
        <v/>
      </c>
      <c r="PY13" s="22">
        <f>'MOMO,AIRTEL,CARDS'!PX4</f>
        <v/>
      </c>
      <c r="PZ13" s="22">
        <f>'MOMO,AIRTEL,CARDS'!PY4</f>
        <v/>
      </c>
      <c r="QA13" s="127">
        <f>SUM(OW13:PZ13)</f>
        <v/>
      </c>
      <c r="QB13" s="22">
        <f>'MOMO,AIRTEL,CARDS'!QA4</f>
        <v/>
      </c>
      <c r="QC13" s="22">
        <f>'MOMO,AIRTEL,CARDS'!QB4</f>
        <v/>
      </c>
      <c r="QD13" s="22">
        <f>'MOMO,AIRTEL,CARDS'!QC4</f>
        <v/>
      </c>
      <c r="QE13" s="22">
        <f>'MOMO,AIRTEL,CARDS'!QD4</f>
        <v/>
      </c>
      <c r="QF13" s="22">
        <f>'MOMO,AIRTEL,CARDS'!QE4</f>
        <v/>
      </c>
      <c r="QG13" s="22">
        <f>'MOMO,AIRTEL,CARDS'!QF4</f>
        <v/>
      </c>
      <c r="QH13" s="22">
        <f>'MOMO,AIRTEL,CARDS'!QG4</f>
        <v/>
      </c>
      <c r="QI13" s="22">
        <f>'MOMO,AIRTEL,CARDS'!QH4</f>
        <v/>
      </c>
      <c r="QJ13" s="22">
        <f>'MOMO,AIRTEL,CARDS'!QI4</f>
        <v/>
      </c>
      <c r="QK13" s="22">
        <f>'MOMO,AIRTEL,CARDS'!QJ4</f>
        <v/>
      </c>
      <c r="QL13" s="22">
        <f>'MOMO,AIRTEL,CARDS'!QK4</f>
        <v/>
      </c>
      <c r="QM13" s="22">
        <f>'MOMO,AIRTEL,CARDS'!QL4</f>
        <v/>
      </c>
      <c r="QN13" s="22">
        <f>'MOMO,AIRTEL,CARDS'!QM4</f>
        <v/>
      </c>
      <c r="QO13" s="22">
        <f>'MOMO,AIRTEL,CARDS'!QN4</f>
        <v/>
      </c>
      <c r="QP13" s="22">
        <f>'MOMO,AIRTEL,CARDS'!QO4</f>
        <v/>
      </c>
      <c r="QQ13" s="22">
        <f>'MOMO,AIRTEL,CARDS'!QP4</f>
        <v/>
      </c>
      <c r="QR13" s="22">
        <f>'MOMO,AIRTEL,CARDS'!QQ4</f>
        <v/>
      </c>
      <c r="QS13" s="22">
        <f>'MOMO,AIRTEL,CARDS'!QR4</f>
        <v/>
      </c>
      <c r="QT13" s="22">
        <f>'MOMO,AIRTEL,CARDS'!QS4</f>
        <v/>
      </c>
      <c r="QU13" s="22">
        <f>'MOMO,AIRTEL,CARDS'!QT4</f>
        <v/>
      </c>
      <c r="QV13" s="22">
        <f>'MOMO,AIRTEL,CARDS'!QU4</f>
        <v/>
      </c>
      <c r="QW13" s="22">
        <f>'MOMO,AIRTEL,CARDS'!QV4</f>
        <v/>
      </c>
      <c r="QX13" s="22">
        <f>'MOMO,AIRTEL,CARDS'!QW4</f>
        <v/>
      </c>
      <c r="QY13" s="22">
        <f>'MOMO,AIRTEL,CARDS'!QX4</f>
        <v/>
      </c>
      <c r="QZ13" s="22">
        <f>'MOMO,AIRTEL,CARDS'!QY4</f>
        <v/>
      </c>
      <c r="RA13" s="22">
        <f>'MOMO,AIRTEL,CARDS'!QZ4</f>
        <v/>
      </c>
      <c r="RB13" s="22">
        <f>'MOMO,AIRTEL,CARDS'!RA4</f>
        <v/>
      </c>
      <c r="RC13" s="22">
        <f>'MOMO,AIRTEL,CARDS'!RB4</f>
        <v/>
      </c>
      <c r="RD13" s="22">
        <f>'MOMO,AIRTEL,CARDS'!RC4</f>
        <v/>
      </c>
      <c r="RE13" s="22">
        <f>'MOMO,AIRTEL,CARDS'!RD4</f>
        <v/>
      </c>
      <c r="RF13" s="22">
        <f>'MOMO,AIRTEL,CARDS'!RE4</f>
        <v/>
      </c>
      <c r="RG13" s="127">
        <f>SUM(QC13:RF13)</f>
        <v/>
      </c>
      <c r="RH13" s="22">
        <f>'MOMO,AIRTEL,CARDS'!RG4</f>
        <v/>
      </c>
      <c r="RI13" s="22">
        <f>'MOMO,AIRTEL,CARDS'!RH4</f>
        <v/>
      </c>
      <c r="RJ13" s="22">
        <f>'MOMO,AIRTEL,CARDS'!RI4</f>
        <v/>
      </c>
      <c r="RK13" s="22">
        <f>'MOMO,AIRTEL,CARDS'!RJ4</f>
        <v/>
      </c>
      <c r="RL13" s="22">
        <f>'MOMO,AIRTEL,CARDS'!RK4</f>
        <v/>
      </c>
      <c r="RM13" s="22">
        <f>'MOMO,AIRTEL,CARDS'!RL4</f>
        <v/>
      </c>
      <c r="RN13" s="22">
        <f>'MOMO,AIRTEL,CARDS'!RM4</f>
        <v/>
      </c>
      <c r="RO13" s="22">
        <f>'MOMO,AIRTEL,CARDS'!RN4</f>
        <v/>
      </c>
      <c r="RP13" s="22">
        <f>'MOMO,AIRTEL,CARDS'!RO4</f>
        <v/>
      </c>
      <c r="RQ13" s="22">
        <f>'MOMO,AIRTEL,CARDS'!RP4</f>
        <v/>
      </c>
      <c r="RR13" s="22">
        <f>'MOMO,AIRTEL,CARDS'!RQ4</f>
        <v/>
      </c>
      <c r="RS13" s="22">
        <f>'MOMO,AIRTEL,CARDS'!RR4</f>
        <v/>
      </c>
      <c r="RT13" s="22">
        <f>'MOMO,AIRTEL,CARDS'!RS4</f>
        <v/>
      </c>
      <c r="RU13" s="22">
        <f>'MOMO,AIRTEL,CARDS'!RT4</f>
        <v/>
      </c>
      <c r="RV13" s="22">
        <f>'MOMO,AIRTEL,CARDS'!RU4</f>
        <v/>
      </c>
      <c r="RW13" s="22">
        <f>'MOMO,AIRTEL,CARDS'!RV4</f>
        <v/>
      </c>
      <c r="RX13" s="22">
        <f>'MOMO,AIRTEL,CARDS'!RW4</f>
        <v/>
      </c>
      <c r="RY13" s="22">
        <f>'MOMO,AIRTEL,CARDS'!RX4</f>
        <v/>
      </c>
      <c r="RZ13" s="22">
        <f>'MOMO,AIRTEL,CARDS'!RY4</f>
        <v/>
      </c>
      <c r="SA13" s="22">
        <f>'MOMO,AIRTEL,CARDS'!RZ4</f>
        <v/>
      </c>
      <c r="SB13" s="22">
        <f>'MOMO,AIRTEL,CARDS'!SA4</f>
        <v/>
      </c>
      <c r="SC13" s="22">
        <f>'MOMO,AIRTEL,CARDS'!SB4</f>
        <v/>
      </c>
      <c r="SD13" s="22">
        <f>'MOMO,AIRTEL,CARDS'!SC4</f>
        <v/>
      </c>
      <c r="SE13" s="22">
        <f>'MOMO,AIRTEL,CARDS'!SD4</f>
        <v/>
      </c>
      <c r="SF13" s="22">
        <f>'MOMO,AIRTEL,CARDS'!SE4</f>
        <v/>
      </c>
      <c r="SG13" s="22">
        <f>'MOMO,AIRTEL,CARDS'!SF4</f>
        <v/>
      </c>
      <c r="SH13" s="22">
        <f>'MOMO,AIRTEL,CARDS'!SG4</f>
        <v/>
      </c>
      <c r="SI13" s="22">
        <f>'MOMO,AIRTEL,CARDS'!SH4</f>
        <v/>
      </c>
      <c r="SJ13" s="22">
        <f>'MOMO,AIRTEL,CARDS'!SI4</f>
        <v/>
      </c>
      <c r="SK13" s="22">
        <f>'MOMO,AIRTEL,CARDS'!SJ4</f>
        <v/>
      </c>
      <c r="SL13" s="127">
        <f>SUM(RH13:SK13)</f>
        <v/>
      </c>
      <c r="SM13" s="22">
        <f>'MOMO,AIRTEL,CARDS'!SL4</f>
        <v/>
      </c>
      <c r="SN13" s="22">
        <f>'MOMO,AIRTEL,CARDS'!SM4</f>
        <v/>
      </c>
      <c r="SO13" s="22">
        <f>'MOMO,AIRTEL,CARDS'!SN4</f>
        <v/>
      </c>
      <c r="SP13" s="22">
        <f>'MOMO,AIRTEL,CARDS'!SO4</f>
        <v/>
      </c>
      <c r="SQ13" s="22">
        <f>'MOMO,AIRTEL,CARDS'!SP4</f>
        <v/>
      </c>
      <c r="SR13" s="22">
        <f>'MOMO,AIRTEL,CARDS'!SQ4</f>
        <v/>
      </c>
      <c r="SS13" s="22">
        <f>'MOMO,AIRTEL,CARDS'!SR4</f>
        <v/>
      </c>
      <c r="ST13" s="22">
        <f>'MOMO,AIRTEL,CARDS'!SS4</f>
        <v/>
      </c>
      <c r="SU13" s="22">
        <f>'MOMO,AIRTEL,CARDS'!ST4</f>
        <v/>
      </c>
      <c r="SV13" s="22">
        <f>'MOMO,AIRTEL,CARDS'!SU4</f>
        <v/>
      </c>
      <c r="SW13" s="22">
        <f>'MOMO,AIRTEL,CARDS'!SV4</f>
        <v/>
      </c>
      <c r="SX13" s="22">
        <f>'MOMO,AIRTEL,CARDS'!SW4</f>
        <v/>
      </c>
      <c r="SY13" s="22">
        <f>'MOMO,AIRTEL,CARDS'!SX4</f>
        <v/>
      </c>
      <c r="SZ13" s="22">
        <f>'MOMO,AIRTEL,CARDS'!SY4</f>
        <v/>
      </c>
      <c r="TA13" s="22">
        <f>'MOMO,AIRTEL,CARDS'!SZ4</f>
        <v/>
      </c>
      <c r="TB13" s="22">
        <f>'MOMO,AIRTEL,CARDS'!TA4</f>
        <v/>
      </c>
      <c r="TC13" s="22">
        <f>'MOMO,AIRTEL,CARDS'!TB4</f>
        <v/>
      </c>
      <c r="TD13" s="22">
        <f>'MOMO,AIRTEL,CARDS'!TC4</f>
        <v/>
      </c>
      <c r="TE13" s="22">
        <f>'MOMO,AIRTEL,CARDS'!TD4</f>
        <v/>
      </c>
      <c r="TF13" s="22">
        <f>'MOMO,AIRTEL,CARDS'!TE4</f>
        <v/>
      </c>
      <c r="TG13" s="22">
        <f>'MOMO,AIRTEL,CARDS'!TF4</f>
        <v/>
      </c>
      <c r="TH13" s="22">
        <f>'MOMO,AIRTEL,CARDS'!TG4</f>
        <v/>
      </c>
      <c r="TI13" s="22">
        <f>'MOMO,AIRTEL,CARDS'!TH4</f>
        <v/>
      </c>
      <c r="TJ13" s="22">
        <f>'MOMO,AIRTEL,CARDS'!TI4</f>
        <v/>
      </c>
      <c r="TK13" s="22">
        <f>'MOMO,AIRTEL,CARDS'!TJ4</f>
        <v/>
      </c>
      <c r="TL13" s="22">
        <f>'MOMO,AIRTEL,CARDS'!TK4</f>
        <v/>
      </c>
      <c r="TM13" s="22">
        <f>'MOMO,AIRTEL,CARDS'!TL4</f>
        <v/>
      </c>
      <c r="TN13" s="22">
        <f>'MOMO,AIRTEL,CARDS'!TM4</f>
        <v/>
      </c>
      <c r="TO13" s="22">
        <f>'MOMO,AIRTEL,CARDS'!TN4</f>
        <v/>
      </c>
      <c r="TP13" s="22">
        <f>'MOMO,AIRTEL,CARDS'!TO4</f>
        <v/>
      </c>
      <c r="TQ13" s="22">
        <f>'MOMO,AIRTEL,CARDS'!TP4</f>
        <v/>
      </c>
      <c r="TR13" s="127">
        <f>SUM(SN13:TQ13)</f>
        <v/>
      </c>
      <c r="TS13" s="22">
        <f>'MOMO,AIRTEL,CARDS'!TR4</f>
        <v/>
      </c>
      <c r="TT13" s="22">
        <f>'MOMO,AIRTEL,CARDS'!TS4</f>
        <v/>
      </c>
      <c r="TU13" s="22">
        <f>'MOMO,AIRTEL,CARDS'!TT4</f>
        <v/>
      </c>
      <c r="TV13" s="22">
        <f>'MOMO,AIRTEL,CARDS'!TU4</f>
        <v/>
      </c>
      <c r="TW13" s="22">
        <f>'MOMO,AIRTEL,CARDS'!TV4</f>
        <v/>
      </c>
      <c r="TX13" s="22">
        <f>'MOMO,AIRTEL,CARDS'!TW4</f>
        <v/>
      </c>
      <c r="TY13" s="22">
        <f>'MOMO,AIRTEL,CARDS'!TX4</f>
        <v/>
      </c>
      <c r="TZ13" s="22">
        <f>'MOMO,AIRTEL,CARDS'!TY4</f>
        <v/>
      </c>
      <c r="UA13" s="22">
        <f>'MOMO,AIRTEL,CARDS'!TZ4</f>
        <v/>
      </c>
      <c r="UB13" s="22">
        <f>'MOMO,AIRTEL,CARDS'!UA4</f>
        <v/>
      </c>
      <c r="UC13" s="22">
        <f>'MOMO,AIRTEL,CARDS'!UB4</f>
        <v/>
      </c>
      <c r="UD13" s="22">
        <f>'MOMO,AIRTEL,CARDS'!UC4</f>
        <v/>
      </c>
      <c r="UE13" s="22">
        <f>'MOMO,AIRTEL,CARDS'!UD4</f>
        <v/>
      </c>
      <c r="UF13" s="22">
        <f>'MOMO,AIRTEL,CARDS'!UE4</f>
        <v/>
      </c>
      <c r="UG13" s="22">
        <f>'MOMO,AIRTEL,CARDS'!UF4</f>
        <v/>
      </c>
      <c r="UH13" s="22">
        <f>'MOMO,AIRTEL,CARDS'!UG4</f>
        <v/>
      </c>
      <c r="UI13" s="22">
        <f>'MOMO,AIRTEL,CARDS'!UH4</f>
        <v/>
      </c>
      <c r="UJ13" s="22">
        <f>'MOMO,AIRTEL,CARDS'!UI4</f>
        <v/>
      </c>
      <c r="UK13" s="22">
        <f>'MOMO,AIRTEL,CARDS'!UJ4</f>
        <v/>
      </c>
      <c r="UL13" s="22">
        <f>'MOMO,AIRTEL,CARDS'!UK4</f>
        <v/>
      </c>
      <c r="UM13" s="22">
        <f>'MOMO,AIRTEL,CARDS'!UL4</f>
        <v/>
      </c>
      <c r="UN13" s="22">
        <f>'MOMO,AIRTEL,CARDS'!UM4</f>
        <v/>
      </c>
      <c r="UO13" s="22">
        <f>'MOMO,AIRTEL,CARDS'!UN4</f>
        <v/>
      </c>
      <c r="UP13" s="22">
        <f>'MOMO,AIRTEL,CARDS'!UO4</f>
        <v/>
      </c>
      <c r="UQ13" s="22">
        <f>'MOMO,AIRTEL,CARDS'!UP4</f>
        <v/>
      </c>
      <c r="UR13" s="22">
        <f>'MOMO,AIRTEL,CARDS'!UQ4</f>
        <v/>
      </c>
      <c r="US13" s="22">
        <f>'MOMO,AIRTEL,CARDS'!UR4</f>
        <v/>
      </c>
      <c r="UT13" s="22">
        <f>'MOMO,AIRTEL,CARDS'!US4</f>
        <v/>
      </c>
      <c r="UU13" s="22">
        <f>'MOMO,AIRTEL,CARDS'!UT4</f>
        <v/>
      </c>
      <c r="UV13" s="22">
        <f>'MOMO,AIRTEL,CARDS'!UU4</f>
        <v/>
      </c>
      <c r="UW13" s="22">
        <f>'MOMO,AIRTEL,CARDS'!UV4</f>
        <v/>
      </c>
      <c r="UX13" s="127">
        <f>SUM(TT13:UW13)</f>
        <v/>
      </c>
      <c r="UY13" s="22">
        <f>'MOMO,AIRTEL,CARDS'!UX4</f>
        <v/>
      </c>
      <c r="UZ13" s="22">
        <f>'MOMO,AIRTEL,CARDS'!UY4</f>
        <v/>
      </c>
      <c r="VA13" s="22">
        <f>'MOMO,AIRTEL,CARDS'!UZ4</f>
        <v/>
      </c>
      <c r="VB13" s="22">
        <f>'MOMO,AIRTEL,CARDS'!VA4</f>
        <v/>
      </c>
      <c r="VC13" s="22">
        <f>'MOMO,AIRTEL,CARDS'!VB4</f>
        <v/>
      </c>
      <c r="VD13" s="22">
        <f>'MOMO,AIRTEL,CARDS'!VC4</f>
        <v/>
      </c>
      <c r="VE13" s="22">
        <f>'MOMO,AIRTEL,CARDS'!VD4</f>
        <v/>
      </c>
      <c r="VF13" s="22">
        <f>'MOMO,AIRTEL,CARDS'!VE4</f>
        <v/>
      </c>
      <c r="VG13" s="22">
        <f>'MOMO,AIRTEL,CARDS'!VF4</f>
        <v/>
      </c>
      <c r="VH13" s="22">
        <f>'MOMO,AIRTEL,CARDS'!VG4</f>
        <v/>
      </c>
      <c r="VI13" s="22">
        <f>'MOMO,AIRTEL,CARDS'!VH4</f>
        <v/>
      </c>
      <c r="VJ13" s="22">
        <f>'MOMO,AIRTEL,CARDS'!VI4</f>
        <v/>
      </c>
      <c r="VK13" s="22">
        <f>'MOMO,AIRTEL,CARDS'!VJ4</f>
        <v/>
      </c>
      <c r="VL13" s="22">
        <f>'MOMO,AIRTEL,CARDS'!VK4</f>
        <v/>
      </c>
      <c r="VM13" s="22">
        <f>'MOMO,AIRTEL,CARDS'!VL4</f>
        <v/>
      </c>
      <c r="VN13" s="22">
        <f>'MOMO,AIRTEL,CARDS'!VM4</f>
        <v/>
      </c>
      <c r="VO13" s="22">
        <f>'MOMO,AIRTEL,CARDS'!VN4</f>
        <v/>
      </c>
      <c r="VP13" s="22">
        <f>'MOMO,AIRTEL,CARDS'!VO4</f>
        <v/>
      </c>
      <c r="VQ13" s="22">
        <f>'MOMO,AIRTEL,CARDS'!VP4</f>
        <v/>
      </c>
      <c r="VR13" s="22">
        <f>'MOMO,AIRTEL,CARDS'!VQ4</f>
        <v/>
      </c>
      <c r="VS13" s="22">
        <f>'MOMO,AIRTEL,CARDS'!VR4</f>
        <v/>
      </c>
      <c r="VT13" s="22">
        <f>'MOMO,AIRTEL,CARDS'!VS4</f>
        <v/>
      </c>
      <c r="VU13" s="22">
        <f>'MOMO,AIRTEL,CARDS'!VT4</f>
        <v/>
      </c>
      <c r="VV13" s="22">
        <f>'MOMO,AIRTEL,CARDS'!VU4</f>
        <v/>
      </c>
      <c r="VW13" s="22">
        <f>'MOMO,AIRTEL,CARDS'!VV4</f>
        <v/>
      </c>
      <c r="VX13" s="22">
        <f>'MOMO,AIRTEL,CARDS'!VW4</f>
        <v/>
      </c>
      <c r="VY13" s="22">
        <f>'MOMO,AIRTEL,CARDS'!VX4</f>
        <v/>
      </c>
      <c r="VZ13" s="22">
        <f>'MOMO,AIRTEL,CARDS'!VY4</f>
        <v/>
      </c>
      <c r="WA13" s="127">
        <f>SUM(UY13:VZ13)</f>
        <v/>
      </c>
      <c r="WB13" s="22">
        <f>'MOMO,AIRTEL,CARDS'!WA4</f>
        <v/>
      </c>
      <c r="WC13" s="22">
        <f>'MOMO,AIRTEL,CARDS'!WB4</f>
        <v/>
      </c>
      <c r="WD13" s="22">
        <f>'MOMO,AIRTEL,CARDS'!WC4</f>
        <v/>
      </c>
      <c r="WE13" s="22">
        <f>'MOMO,AIRTEL,CARDS'!WD4</f>
        <v/>
      </c>
      <c r="WF13" s="22">
        <f>'MOMO,AIRTEL,CARDS'!WE4</f>
        <v/>
      </c>
      <c r="WG13" s="22">
        <f>'MOMO,AIRTEL,CARDS'!WF4</f>
        <v/>
      </c>
      <c r="WH13" s="22">
        <f>'MOMO,AIRTEL,CARDS'!WG4</f>
        <v/>
      </c>
      <c r="WI13" s="22">
        <f>'MOMO,AIRTEL,CARDS'!WH4</f>
        <v/>
      </c>
      <c r="WJ13" s="22">
        <f>'MOMO,AIRTEL,CARDS'!WI4</f>
        <v/>
      </c>
      <c r="WK13" s="22">
        <f>'MOMO,AIRTEL,CARDS'!WJ4</f>
        <v/>
      </c>
      <c r="WL13" s="22">
        <f>'MOMO,AIRTEL,CARDS'!WK4</f>
        <v/>
      </c>
      <c r="WM13" s="22">
        <f>'MOMO,AIRTEL,CARDS'!WL4</f>
        <v/>
      </c>
      <c r="WN13" s="22">
        <f>'MOMO,AIRTEL,CARDS'!WM4</f>
        <v/>
      </c>
      <c r="WO13" s="22">
        <f>'MOMO,AIRTEL,CARDS'!WN4</f>
        <v/>
      </c>
      <c r="WP13" s="22">
        <f>'MOMO,AIRTEL,CARDS'!WO4</f>
        <v/>
      </c>
      <c r="WQ13" s="22">
        <f>'MOMO,AIRTEL,CARDS'!WP4</f>
        <v/>
      </c>
      <c r="WR13" s="22">
        <f>'MOMO,AIRTEL,CARDS'!WQ4</f>
        <v/>
      </c>
      <c r="WS13" s="22">
        <f>'MOMO,AIRTEL,CARDS'!WR4</f>
        <v/>
      </c>
      <c r="WT13" s="22">
        <f>'MOMO,AIRTEL,CARDS'!WS4</f>
        <v/>
      </c>
      <c r="WU13" s="22">
        <f>'MOMO,AIRTEL,CARDS'!WT4</f>
        <v/>
      </c>
      <c r="WV13" s="22">
        <f>'MOMO,AIRTEL,CARDS'!WU4</f>
        <v/>
      </c>
      <c r="WW13" s="22">
        <f>'MOMO,AIRTEL,CARDS'!WV4</f>
        <v/>
      </c>
      <c r="WX13" s="22">
        <f>'MOMO,AIRTEL,CARDS'!WW4</f>
        <v/>
      </c>
      <c r="WY13" s="22">
        <f>'MOMO,AIRTEL,CARDS'!WX4</f>
        <v/>
      </c>
      <c r="WZ13" s="22">
        <f>'MOMO,AIRTEL,CARDS'!WY4</f>
        <v/>
      </c>
      <c r="XA13" s="22">
        <f>'MOMO,AIRTEL,CARDS'!WZ4</f>
        <v/>
      </c>
      <c r="XB13" s="22">
        <f>'MOMO,AIRTEL,CARDS'!XA4</f>
        <v/>
      </c>
      <c r="XC13" s="22">
        <f>'MOMO,AIRTEL,CARDS'!XB4</f>
        <v/>
      </c>
      <c r="XD13" s="22">
        <f>'MOMO,AIRTEL,CARDS'!XC4</f>
        <v/>
      </c>
      <c r="XE13" s="22">
        <f>'MOMO,AIRTEL,CARDS'!XD4</f>
        <v/>
      </c>
      <c r="XF13" s="22">
        <f>'MOMO,AIRTEL,CARDS'!XE4</f>
        <v/>
      </c>
      <c r="XG13" s="127">
        <f>SUM(WB13:XF13)</f>
        <v/>
      </c>
      <c r="XH13" s="22">
        <f>'MOMO,AIRTEL,CARDS'!XG4</f>
        <v/>
      </c>
      <c r="XI13" s="22">
        <f>'MOMO,AIRTEL,CARDS'!XH4</f>
        <v/>
      </c>
      <c r="XJ13" s="22">
        <f>'MOMO,AIRTEL,CARDS'!XI4</f>
        <v/>
      </c>
      <c r="XK13" s="22">
        <f>'MOMO,AIRTEL,CARDS'!XJ4</f>
        <v/>
      </c>
      <c r="XL13" s="22">
        <f>'MOMO,AIRTEL,CARDS'!XK4</f>
        <v/>
      </c>
      <c r="XM13" s="22">
        <f>'MOMO,AIRTEL,CARDS'!XL4</f>
        <v/>
      </c>
      <c r="XN13" s="22">
        <f>'MOMO,AIRTEL,CARDS'!XM4</f>
        <v/>
      </c>
      <c r="XO13" s="22">
        <f>'MOMO,AIRTEL,CARDS'!XN4</f>
        <v/>
      </c>
      <c r="XP13" s="22">
        <f>'MOMO,AIRTEL,CARDS'!XO4</f>
        <v/>
      </c>
      <c r="XQ13" s="22">
        <f>'MOMO,AIRTEL,CARDS'!XP4</f>
        <v/>
      </c>
      <c r="XR13" s="22">
        <f>'MOMO,AIRTEL,CARDS'!XQ4</f>
        <v/>
      </c>
      <c r="XS13" s="22">
        <f>'MOMO,AIRTEL,CARDS'!XR4</f>
        <v/>
      </c>
      <c r="XT13" s="22">
        <f>'MOMO,AIRTEL,CARDS'!XS4</f>
        <v/>
      </c>
      <c r="XU13" s="22">
        <f>'MOMO,AIRTEL,CARDS'!XT4</f>
        <v/>
      </c>
      <c r="XV13" s="22">
        <f>'MOMO,AIRTEL,CARDS'!XU4</f>
        <v/>
      </c>
      <c r="XW13" s="22">
        <f>'MOMO,AIRTEL,CARDS'!XV4</f>
        <v/>
      </c>
      <c r="XX13" s="22">
        <f>'MOMO,AIRTEL,CARDS'!XW4</f>
        <v/>
      </c>
      <c r="XY13" s="22">
        <f>'MOMO,AIRTEL,CARDS'!XX4</f>
        <v/>
      </c>
      <c r="XZ13" s="22">
        <f>'MOMO,AIRTEL,CARDS'!XY4</f>
        <v/>
      </c>
      <c r="YA13" s="22">
        <f>'MOMO,AIRTEL,CARDS'!XZ4</f>
        <v/>
      </c>
      <c r="YB13" s="22">
        <f>'MOMO,AIRTEL,CARDS'!YA4</f>
        <v/>
      </c>
      <c r="YC13" s="22">
        <f>'MOMO,AIRTEL,CARDS'!YB4</f>
        <v/>
      </c>
      <c r="YD13" s="22">
        <f>'MOMO,AIRTEL,CARDS'!YC4</f>
        <v/>
      </c>
      <c r="YE13" s="22">
        <f>'MOMO,AIRTEL,CARDS'!YD4</f>
        <v/>
      </c>
      <c r="YF13" s="22">
        <f>'MOMO,AIRTEL,CARDS'!YE4</f>
        <v/>
      </c>
      <c r="YG13" s="22">
        <f>'MOMO,AIRTEL,CARDS'!YF4</f>
        <v/>
      </c>
      <c r="YH13" s="22">
        <f>'MOMO,AIRTEL,CARDS'!YG4</f>
        <v/>
      </c>
      <c r="YI13" s="22">
        <f>'MOMO,AIRTEL,CARDS'!YH4</f>
        <v/>
      </c>
      <c r="YJ13" s="22">
        <f>'MOMO,AIRTEL,CARDS'!YI4</f>
        <v/>
      </c>
      <c r="YK13" s="22">
        <f>'MOMO,AIRTEL,CARDS'!YJ4</f>
        <v/>
      </c>
      <c r="YL13" s="127">
        <f>SUM(XH13:YK13)</f>
        <v/>
      </c>
      <c r="YM13" s="22">
        <f>'MOMO,AIRTEL,CARDS'!YL4</f>
        <v/>
      </c>
      <c r="YN13" s="22">
        <f>'MOMO,AIRTEL,CARDS'!YM4</f>
        <v/>
      </c>
      <c r="YO13" s="22">
        <f>'MOMO,AIRTEL,CARDS'!YN4</f>
        <v/>
      </c>
      <c r="YP13" s="22">
        <f>'MOMO,AIRTEL,CARDS'!YO4</f>
        <v/>
      </c>
      <c r="YQ13" s="22">
        <f>'MOMO,AIRTEL,CARDS'!YP4</f>
        <v/>
      </c>
      <c r="YR13" s="22">
        <f>'MOMO,AIRTEL,CARDS'!YQ4</f>
        <v/>
      </c>
      <c r="YS13" s="22">
        <f>'MOMO,AIRTEL,CARDS'!YR4</f>
        <v/>
      </c>
      <c r="YT13" s="22">
        <f>'MOMO,AIRTEL,CARDS'!YS4</f>
        <v/>
      </c>
      <c r="YU13" s="22">
        <f>'MOMO,AIRTEL,CARDS'!YT4</f>
        <v/>
      </c>
      <c r="YV13" s="22">
        <f>'MOMO,AIRTEL,CARDS'!YU4</f>
        <v/>
      </c>
      <c r="YW13" s="22">
        <f>'MOMO,AIRTEL,CARDS'!YV4</f>
        <v/>
      </c>
      <c r="YX13" s="22">
        <f>'MOMO,AIRTEL,CARDS'!YW4</f>
        <v/>
      </c>
      <c r="YY13" s="22">
        <f>'MOMO,AIRTEL,CARDS'!YX4</f>
        <v/>
      </c>
      <c r="YZ13" s="22">
        <f>'MOMO,AIRTEL,CARDS'!YY4</f>
        <v/>
      </c>
      <c r="ZA13" s="22">
        <f>'MOMO,AIRTEL,CARDS'!YZ4</f>
        <v/>
      </c>
      <c r="ZB13" s="22">
        <f>'MOMO,AIRTEL,CARDS'!ZA4</f>
        <v/>
      </c>
      <c r="ZC13" s="22">
        <f>'MOMO,AIRTEL,CARDS'!ZB4</f>
        <v/>
      </c>
      <c r="ZD13" s="22">
        <f>'MOMO,AIRTEL,CARDS'!ZC4</f>
        <v/>
      </c>
      <c r="ZE13" s="22">
        <f>'MOMO,AIRTEL,CARDS'!ZD4</f>
        <v/>
      </c>
      <c r="ZF13" s="22">
        <f>'MOMO,AIRTEL,CARDS'!ZE4</f>
        <v/>
      </c>
      <c r="ZG13" s="22">
        <f>'MOMO,AIRTEL,CARDS'!ZF4</f>
        <v/>
      </c>
      <c r="ZH13" s="22">
        <f>'MOMO,AIRTEL,CARDS'!ZG4</f>
        <v/>
      </c>
      <c r="ZI13" s="22">
        <f>'MOMO,AIRTEL,CARDS'!ZH4</f>
        <v/>
      </c>
      <c r="ZJ13" s="22">
        <f>'MOMO,AIRTEL,CARDS'!ZI4</f>
        <v/>
      </c>
      <c r="ZK13" s="22">
        <f>'MOMO,AIRTEL,CARDS'!ZJ4</f>
        <v/>
      </c>
      <c r="ZL13" s="22">
        <f>'MOMO,AIRTEL,CARDS'!ZK4</f>
        <v/>
      </c>
      <c r="ZM13" s="22">
        <f>'MOMO,AIRTEL,CARDS'!ZL4</f>
        <v/>
      </c>
      <c r="ZN13" s="22">
        <f>'MOMO,AIRTEL,CARDS'!ZM4</f>
        <v/>
      </c>
      <c r="ZO13" s="22">
        <f>'MOMO,AIRTEL,CARDS'!ZN4</f>
        <v/>
      </c>
      <c r="ZP13" s="22">
        <f>'MOMO,AIRTEL,CARDS'!ZO4</f>
        <v/>
      </c>
      <c r="ZQ13" s="22">
        <f>'MOMO,AIRTEL,CARDS'!ZP4</f>
        <v/>
      </c>
      <c r="ZR13" s="127">
        <f>SUM(YM13:ZQ13)</f>
        <v/>
      </c>
      <c r="ZS13" s="22">
        <f>'MOMO,AIRTEL,CARDS'!ZR4</f>
        <v/>
      </c>
      <c r="ZT13" s="22">
        <f>'MOMO,AIRTEL,CARDS'!ZS4</f>
        <v/>
      </c>
      <c r="ZU13" s="22">
        <f>'MOMO,AIRTEL,CARDS'!ZT4</f>
        <v/>
      </c>
      <c r="ZV13" s="22">
        <f>'MOMO,AIRTEL,CARDS'!ZU4</f>
        <v/>
      </c>
      <c r="ZW13" s="22">
        <f>'MOMO,AIRTEL,CARDS'!ZV4</f>
        <v/>
      </c>
      <c r="ZX13" s="22">
        <f>'MOMO,AIRTEL,CARDS'!ZW4</f>
        <v/>
      </c>
      <c r="ZY13" s="22">
        <f>'MOMO,AIRTEL,CARDS'!ZX4</f>
        <v/>
      </c>
      <c r="ZZ13" s="22">
        <f>'MOMO,AIRTEL,CARDS'!ZY4</f>
        <v/>
      </c>
      <c r="AAA13" s="22">
        <f>'MOMO,AIRTEL,CARDS'!ZZ4</f>
        <v/>
      </c>
      <c r="AAB13" s="22">
        <f>'MOMO,AIRTEL,CARDS'!AAA4</f>
        <v/>
      </c>
      <c r="AAC13" s="22">
        <f>'MOMO,AIRTEL,CARDS'!AAB4</f>
        <v/>
      </c>
      <c r="AAD13" s="22">
        <f>'MOMO,AIRTEL,CARDS'!AAC4</f>
        <v/>
      </c>
      <c r="AAE13" s="22">
        <f>'MOMO,AIRTEL,CARDS'!AAD4</f>
        <v/>
      </c>
      <c r="AAF13" s="22">
        <f>'MOMO,AIRTEL,CARDS'!AAE4</f>
        <v/>
      </c>
      <c r="AAG13" s="22">
        <f>'MOMO,AIRTEL,CARDS'!AAF4</f>
        <v/>
      </c>
      <c r="AAH13" s="22">
        <f>'MOMO,AIRTEL,CARDS'!AAG4</f>
        <v/>
      </c>
      <c r="AAI13" s="22">
        <f>'MOMO,AIRTEL,CARDS'!AAH4</f>
        <v/>
      </c>
      <c r="AAJ13" s="22">
        <f>'MOMO,AIRTEL,CARDS'!AAI4</f>
        <v/>
      </c>
      <c r="AAK13" s="22">
        <f>'MOMO,AIRTEL,CARDS'!AAJ4</f>
        <v/>
      </c>
      <c r="AAL13" s="22">
        <f>'MOMO,AIRTEL,CARDS'!AAK4</f>
        <v/>
      </c>
      <c r="AAM13" s="22">
        <f>'MOMO,AIRTEL,CARDS'!AAL4</f>
        <v/>
      </c>
      <c r="AAN13" s="22">
        <f>'MOMO,AIRTEL,CARDS'!AAM4</f>
        <v/>
      </c>
      <c r="AAO13" s="22">
        <f>'MOMO,AIRTEL,CARDS'!AAN4</f>
        <v/>
      </c>
      <c r="AAP13" s="22">
        <f>'MOMO,AIRTEL,CARDS'!AAO4</f>
        <v/>
      </c>
      <c r="AAQ13" s="22">
        <f>'MOMO,AIRTEL,CARDS'!AAP4</f>
        <v/>
      </c>
      <c r="AAR13" s="22">
        <f>'MOMO,AIRTEL,CARDS'!AAQ4</f>
        <v/>
      </c>
      <c r="AAS13" s="22">
        <f>'MOMO,AIRTEL,CARDS'!AAR4</f>
        <v/>
      </c>
      <c r="AAT13" s="22">
        <f>'MOMO,AIRTEL,CARDS'!AAS4</f>
        <v/>
      </c>
      <c r="AAU13" s="22">
        <f>'MOMO,AIRTEL,CARDS'!AAT4</f>
        <v/>
      </c>
      <c r="AAV13" s="22">
        <f>'MOMO,AIRTEL,CARDS'!AAU4</f>
        <v/>
      </c>
      <c r="AAW13" s="127">
        <f>SUM(ZS13:AAV13)</f>
        <v/>
      </c>
      <c r="AAX13" s="22">
        <f>'MOMO,AIRTEL,CARDS'!AAW4</f>
        <v/>
      </c>
      <c r="AAY13" s="22">
        <f>'MOMO,AIRTEL,CARDS'!AAX4</f>
        <v/>
      </c>
      <c r="AAZ13" s="22">
        <f>'MOMO,AIRTEL,CARDS'!AAY4</f>
        <v/>
      </c>
      <c r="ABA13" s="22">
        <f>'MOMO,AIRTEL,CARDS'!AAZ4</f>
        <v/>
      </c>
      <c r="ABB13" s="22">
        <f>'MOMO,AIRTEL,CARDS'!ABA4</f>
        <v/>
      </c>
      <c r="ABC13" s="22">
        <f>'MOMO,AIRTEL,CARDS'!ABB4</f>
        <v/>
      </c>
      <c r="ABD13" s="22">
        <f>'MOMO,AIRTEL,CARDS'!ABC4</f>
        <v/>
      </c>
      <c r="ABE13" s="22">
        <f>'MOMO,AIRTEL,CARDS'!ABD4</f>
        <v/>
      </c>
      <c r="ABF13" s="22">
        <f>'MOMO,AIRTEL,CARDS'!ABE4</f>
        <v/>
      </c>
      <c r="ABG13" s="22">
        <f>'MOMO,AIRTEL,CARDS'!ABF4</f>
        <v/>
      </c>
      <c r="ABH13" s="22">
        <f>'MOMO,AIRTEL,CARDS'!ABG4</f>
        <v/>
      </c>
      <c r="ABI13" s="22">
        <f>'MOMO,AIRTEL,CARDS'!ABH4</f>
        <v/>
      </c>
      <c r="ABJ13" s="22">
        <f>'MOMO,AIRTEL,CARDS'!ABI4</f>
        <v/>
      </c>
      <c r="ABK13" s="22">
        <f>'MOMO,AIRTEL,CARDS'!ABJ4</f>
        <v/>
      </c>
      <c r="ABL13" s="22">
        <f>'MOMO,AIRTEL,CARDS'!ABK4</f>
        <v/>
      </c>
      <c r="ABM13" s="22">
        <f>'MOMO,AIRTEL,CARDS'!ABL4</f>
        <v/>
      </c>
      <c r="ABN13" s="22">
        <f>'MOMO,AIRTEL,CARDS'!ABM4</f>
        <v/>
      </c>
      <c r="ABO13" s="22">
        <f>'MOMO,AIRTEL,CARDS'!ABN4</f>
        <v/>
      </c>
      <c r="ABP13" s="22">
        <f>'MOMO,AIRTEL,CARDS'!ABO4</f>
        <v/>
      </c>
      <c r="ABQ13" s="22">
        <f>'MOMO,AIRTEL,CARDS'!ABP4</f>
        <v/>
      </c>
      <c r="ABR13" s="22">
        <f>'MOMO,AIRTEL,CARDS'!ABQ4</f>
        <v/>
      </c>
      <c r="ABS13" s="22">
        <f>'MOMO,AIRTEL,CARDS'!ABR4</f>
        <v/>
      </c>
      <c r="ABT13" s="22">
        <f>'MOMO,AIRTEL,CARDS'!ABS4</f>
        <v/>
      </c>
      <c r="ABU13" s="22">
        <f>'MOMO,AIRTEL,CARDS'!ABT4</f>
        <v/>
      </c>
      <c r="ABV13" s="22">
        <f>'MOMO,AIRTEL,CARDS'!ABU4</f>
        <v/>
      </c>
      <c r="ABW13" s="22">
        <f>'MOMO,AIRTEL,CARDS'!ABV4</f>
        <v/>
      </c>
      <c r="ABX13" s="22">
        <f>'MOMO,AIRTEL,CARDS'!ABW4</f>
        <v/>
      </c>
      <c r="ABY13" s="22">
        <f>'MOMO,AIRTEL,CARDS'!ABX4</f>
        <v/>
      </c>
      <c r="ABZ13" s="22">
        <f>'MOMO,AIRTEL,CARDS'!ABY4</f>
        <v/>
      </c>
      <c r="ACA13" s="22">
        <f>'MOMO,AIRTEL,CARDS'!ABZ4</f>
        <v/>
      </c>
      <c r="ACB13" s="22">
        <f>'MOMO,AIRTEL,CARDS'!ACA4</f>
        <v/>
      </c>
      <c r="ACC13" s="127">
        <f>SUM(AAX13:ACB13)</f>
        <v/>
      </c>
      <c r="ACD13" s="22">
        <f>'MOMO,AIRTEL,CARDS'!ACC4</f>
        <v/>
      </c>
      <c r="ACE13" s="22">
        <f>'MOMO,AIRTEL,CARDS'!ACD4</f>
        <v/>
      </c>
      <c r="ACF13" s="22">
        <f>'MOMO,AIRTEL,CARDS'!ACE4</f>
        <v/>
      </c>
      <c r="ACG13" s="22">
        <f>'MOMO,AIRTEL,CARDS'!ACF4</f>
        <v/>
      </c>
      <c r="ACH13" s="22">
        <f>'MOMO,AIRTEL,CARDS'!ACG4</f>
        <v/>
      </c>
      <c r="ACI13" s="22">
        <f>'MOMO,AIRTEL,CARDS'!ACH4</f>
        <v/>
      </c>
      <c r="ACJ13" s="22">
        <f>'MOMO,AIRTEL,CARDS'!ACI4</f>
        <v/>
      </c>
      <c r="ACK13" s="22">
        <f>'MOMO,AIRTEL,CARDS'!ACJ4</f>
        <v/>
      </c>
      <c r="ACL13" s="22">
        <f>'MOMO,AIRTEL,CARDS'!ACK4</f>
        <v/>
      </c>
      <c r="ACM13" s="22">
        <f>'MOMO,AIRTEL,CARDS'!ACL4</f>
        <v/>
      </c>
      <c r="ACN13" s="22">
        <f>'MOMO,AIRTEL,CARDS'!ACM4</f>
        <v/>
      </c>
      <c r="ACO13" s="22">
        <f>'MOMO,AIRTEL,CARDS'!ACN4</f>
        <v/>
      </c>
      <c r="ACP13" s="22">
        <f>'MOMO,AIRTEL,CARDS'!ACO4</f>
        <v/>
      </c>
      <c r="ACQ13" s="22">
        <f>'MOMO,AIRTEL,CARDS'!ACP4</f>
        <v/>
      </c>
      <c r="ACR13" s="22">
        <f>'MOMO,AIRTEL,CARDS'!ACQ4</f>
        <v/>
      </c>
      <c r="ACS13" s="22">
        <f>'MOMO,AIRTEL,CARDS'!ACR4</f>
        <v/>
      </c>
      <c r="ACT13" s="22">
        <f>'MOMO,AIRTEL,CARDS'!ACS4</f>
        <v/>
      </c>
      <c r="ACU13" s="22">
        <f>'MOMO,AIRTEL,CARDS'!ACT4</f>
        <v/>
      </c>
      <c r="ACV13" s="22">
        <f>'MOMO,AIRTEL,CARDS'!ACU4</f>
        <v/>
      </c>
      <c r="ACW13" s="22">
        <f>'MOMO,AIRTEL,CARDS'!ACV4</f>
        <v/>
      </c>
      <c r="ACX13" s="22">
        <f>'MOMO,AIRTEL,CARDS'!ACW4</f>
        <v/>
      </c>
      <c r="ACY13" s="22">
        <f>'MOMO,AIRTEL,CARDS'!ACX4</f>
        <v/>
      </c>
      <c r="ACZ13" s="22">
        <f>'MOMO,AIRTEL,CARDS'!ACY4</f>
        <v/>
      </c>
      <c r="ADA13" s="22">
        <f>'MOMO,AIRTEL,CARDS'!ACZ4</f>
        <v/>
      </c>
      <c r="ADB13" s="22">
        <f>'MOMO,AIRTEL,CARDS'!ADA4</f>
        <v/>
      </c>
      <c r="ADC13" s="22">
        <f>'MOMO,AIRTEL,CARDS'!ADB4</f>
        <v/>
      </c>
      <c r="ADD13" s="22">
        <f>'MOMO,AIRTEL,CARDS'!ADC4</f>
        <v/>
      </c>
      <c r="ADE13" s="22">
        <f>'MOMO,AIRTEL,CARDS'!ADD4</f>
        <v/>
      </c>
      <c r="ADF13" s="22">
        <f>'MOMO,AIRTEL,CARDS'!ADE4</f>
        <v/>
      </c>
      <c r="ADG13" s="22">
        <f>'MOMO,AIRTEL,CARDS'!ADF4</f>
        <v/>
      </c>
      <c r="ADH13" s="22">
        <f>'MOMO,AIRTEL,CARDS'!ADG4</f>
        <v/>
      </c>
      <c r="ADI13" s="127">
        <f>SUM(ACD13:ADH13)</f>
        <v/>
      </c>
      <c r="ADJ13" s="22">
        <f>'MOMO,AIRTEL,CARDS'!ADI4</f>
        <v/>
      </c>
      <c r="ADK13" s="22">
        <f>'MOMO,AIRTEL,CARDS'!ADJ4</f>
        <v/>
      </c>
      <c r="ADL13" s="22">
        <f>'MOMO,AIRTEL,CARDS'!ADK4</f>
        <v/>
      </c>
      <c r="ADM13" s="22">
        <f>'MOMO,AIRTEL,CARDS'!ADL4</f>
        <v/>
      </c>
      <c r="ADN13" s="22">
        <f>'MOMO,AIRTEL,CARDS'!ADM4</f>
        <v/>
      </c>
      <c r="ADO13" s="22">
        <f>'MOMO,AIRTEL,CARDS'!ADN4</f>
        <v/>
      </c>
      <c r="ADP13" s="22">
        <f>'MOMO,AIRTEL,CARDS'!ADO4</f>
        <v/>
      </c>
      <c r="ADQ13" s="22">
        <f>'MOMO,AIRTEL,CARDS'!ADP4</f>
        <v/>
      </c>
      <c r="ADR13" s="22">
        <f>'MOMO,AIRTEL,CARDS'!ADQ4</f>
        <v/>
      </c>
      <c r="ADS13" s="22">
        <f>'MOMO,AIRTEL,CARDS'!ADR4</f>
        <v/>
      </c>
      <c r="ADT13" s="22">
        <f>'MOMO,AIRTEL,CARDS'!ADS4</f>
        <v/>
      </c>
      <c r="ADU13" s="22">
        <f>'MOMO,AIRTEL,CARDS'!ADT4</f>
        <v/>
      </c>
      <c r="ADV13" s="22">
        <f>'MOMO,AIRTEL,CARDS'!ADU4</f>
        <v/>
      </c>
      <c r="ADW13" s="22">
        <f>'MOMO,AIRTEL,CARDS'!ADV4</f>
        <v/>
      </c>
      <c r="ADX13" s="22">
        <f>'MOMO,AIRTEL,CARDS'!ADW4</f>
        <v/>
      </c>
      <c r="ADY13" s="22">
        <f>'MOMO,AIRTEL,CARDS'!ADX4</f>
        <v/>
      </c>
      <c r="ADZ13" s="22">
        <f>'MOMO,AIRTEL,CARDS'!ADY4</f>
        <v/>
      </c>
      <c r="AEA13" s="22">
        <f>'MOMO,AIRTEL,CARDS'!ADZ4</f>
        <v/>
      </c>
      <c r="AEB13" s="22">
        <f>'MOMO,AIRTEL,CARDS'!AEA4</f>
        <v/>
      </c>
      <c r="AEC13" s="22">
        <f>'MOMO,AIRTEL,CARDS'!AEB4</f>
        <v/>
      </c>
      <c r="AED13" s="22">
        <f>'MOMO,AIRTEL,CARDS'!AEC4</f>
        <v/>
      </c>
      <c r="AEE13" s="22">
        <f>'MOMO,AIRTEL,CARDS'!AED4</f>
        <v/>
      </c>
      <c r="AEF13" s="22">
        <f>'MOMO,AIRTEL,CARDS'!AEE4</f>
        <v/>
      </c>
      <c r="AEG13" s="22">
        <f>'MOMO,AIRTEL,CARDS'!AEF4</f>
        <v/>
      </c>
      <c r="AEH13" s="22">
        <f>'MOMO,AIRTEL,CARDS'!AEG4</f>
        <v/>
      </c>
      <c r="AEI13" s="22">
        <f>'MOMO,AIRTEL,CARDS'!AEH4</f>
        <v/>
      </c>
      <c r="AEJ13" s="22">
        <f>'MOMO,AIRTEL,CARDS'!AEI4</f>
        <v/>
      </c>
      <c r="AEK13" s="22">
        <f>'MOMO,AIRTEL,CARDS'!AEJ4</f>
        <v/>
      </c>
      <c r="AEL13" s="22">
        <f>'MOMO,AIRTEL,CARDS'!AEK4</f>
        <v/>
      </c>
      <c r="AEM13" s="22">
        <f>'MOMO,AIRTEL,CARDS'!AEL4</f>
        <v/>
      </c>
      <c r="AEN13" s="127">
        <f>SUM(ADJ13:AEM13)</f>
        <v/>
      </c>
      <c r="AEO13" s="22">
        <f>'MOMO,AIRTEL,CARDS'!AEN4</f>
        <v/>
      </c>
      <c r="AEP13" s="22">
        <f>'MOMO,AIRTEL,CARDS'!AEO4</f>
        <v/>
      </c>
      <c r="AEQ13" s="22">
        <f>'MOMO,AIRTEL,CARDS'!AEP4</f>
        <v/>
      </c>
      <c r="AER13" s="22">
        <f>'MOMO,AIRTEL,CARDS'!AEQ4</f>
        <v/>
      </c>
      <c r="AES13" s="22">
        <f>'MOMO,AIRTEL,CARDS'!AER4</f>
        <v/>
      </c>
      <c r="AET13" s="22">
        <f>'MOMO,AIRTEL,CARDS'!AES4</f>
        <v/>
      </c>
      <c r="AEU13" s="22">
        <f>'MOMO,AIRTEL,CARDS'!AET4</f>
        <v/>
      </c>
      <c r="AEV13" s="22">
        <f>'MOMO,AIRTEL,CARDS'!AEU4</f>
        <v/>
      </c>
      <c r="AEW13" s="22">
        <f>'MOMO,AIRTEL,CARDS'!AEV4</f>
        <v/>
      </c>
      <c r="AEX13" s="22">
        <f>'MOMO,AIRTEL,CARDS'!AEW4</f>
        <v/>
      </c>
      <c r="AEY13" s="22">
        <f>'MOMO,AIRTEL,CARDS'!AEX4</f>
        <v/>
      </c>
      <c r="AEZ13" s="22">
        <f>'MOMO,AIRTEL,CARDS'!AEY4</f>
        <v/>
      </c>
      <c r="AFA13" s="22">
        <f>'MOMO,AIRTEL,CARDS'!AEZ4</f>
        <v/>
      </c>
      <c r="AFB13" s="22">
        <f>'MOMO,AIRTEL,CARDS'!AFA4</f>
        <v/>
      </c>
      <c r="AFC13" s="22">
        <f>'MOMO,AIRTEL,CARDS'!AFB4</f>
        <v/>
      </c>
      <c r="AFD13" s="22">
        <f>'MOMO,AIRTEL,CARDS'!AFC4</f>
        <v/>
      </c>
      <c r="AFE13" s="22">
        <f>'MOMO,AIRTEL,CARDS'!AFD4</f>
        <v/>
      </c>
      <c r="AFF13" s="22">
        <f>'MOMO,AIRTEL,CARDS'!AFE4</f>
        <v/>
      </c>
      <c r="AFG13" s="22">
        <f>'MOMO,AIRTEL,CARDS'!AFF4</f>
        <v/>
      </c>
      <c r="AFH13" s="22">
        <f>'MOMO,AIRTEL,CARDS'!AFG4</f>
        <v/>
      </c>
      <c r="AFI13" s="22">
        <f>'MOMO,AIRTEL,CARDS'!AFH4</f>
        <v/>
      </c>
      <c r="AFJ13" s="22">
        <f>'MOMO,AIRTEL,CARDS'!AFI4</f>
        <v/>
      </c>
      <c r="AFK13" s="22">
        <f>'MOMO,AIRTEL,CARDS'!AFJ4</f>
        <v/>
      </c>
      <c r="AFL13" s="22">
        <f>'MOMO,AIRTEL,CARDS'!AFK4</f>
        <v/>
      </c>
      <c r="AFM13" s="22">
        <f>'MOMO,AIRTEL,CARDS'!AFL4</f>
        <v/>
      </c>
      <c r="AFN13" s="22">
        <f>'MOMO,AIRTEL,CARDS'!AFM4</f>
        <v/>
      </c>
      <c r="AFO13" s="22">
        <f>'MOMO,AIRTEL,CARDS'!AFN4</f>
        <v/>
      </c>
      <c r="AFP13" s="22">
        <f>'MOMO,AIRTEL,CARDS'!AFO4</f>
        <v/>
      </c>
      <c r="AFQ13" s="22">
        <f>'MOMO,AIRTEL,CARDS'!AFP4</f>
        <v/>
      </c>
      <c r="AFR13" s="22">
        <f>'MOMO,AIRTEL,CARDS'!AFQ4</f>
        <v/>
      </c>
      <c r="AFS13" s="22">
        <f>'MOMO,AIRTEL,CARDS'!AFR4</f>
        <v/>
      </c>
      <c r="AFT13" s="127">
        <f>SUM(AEO13:AFS13)</f>
        <v/>
      </c>
      <c r="AFU13" s="22">
        <f>'MOMO,AIRTEL,CARDS'!AFT4</f>
        <v/>
      </c>
      <c r="AFV13" s="22">
        <f>'MOMO,AIRTEL,CARDS'!AFU4</f>
        <v/>
      </c>
      <c r="AFW13" s="22">
        <f>'MOMO,AIRTEL,CARDS'!AFV4</f>
        <v/>
      </c>
      <c r="AFX13" s="22">
        <f>'MOMO,AIRTEL,CARDS'!AFW4</f>
        <v/>
      </c>
      <c r="AFY13" s="22">
        <f>'MOMO,AIRTEL,CARDS'!AFX4</f>
        <v/>
      </c>
      <c r="AFZ13" s="22">
        <f>'MOMO,AIRTEL,CARDS'!AFY4</f>
        <v/>
      </c>
      <c r="AGA13" s="22">
        <f>'MOMO,AIRTEL,CARDS'!AFZ4</f>
        <v/>
      </c>
      <c r="AGB13" s="22">
        <f>'MOMO,AIRTEL,CARDS'!AGA4</f>
        <v/>
      </c>
      <c r="AGC13" s="22">
        <f>'MOMO,AIRTEL,CARDS'!AGB4</f>
        <v/>
      </c>
      <c r="AGD13" s="22">
        <f>'MOMO,AIRTEL,CARDS'!AGC4</f>
        <v/>
      </c>
      <c r="AGE13" s="22">
        <f>'MOMO,AIRTEL,CARDS'!AGD4</f>
        <v/>
      </c>
      <c r="AGF13" s="22">
        <f>'MOMO,AIRTEL,CARDS'!AGE4</f>
        <v/>
      </c>
      <c r="AGG13" s="22">
        <f>'MOMO,AIRTEL,CARDS'!AGF4</f>
        <v/>
      </c>
      <c r="AGH13" s="22">
        <f>'MOMO,AIRTEL,CARDS'!AGG4</f>
        <v/>
      </c>
      <c r="AGI13" s="22">
        <f>'MOMO,AIRTEL,CARDS'!AGH4</f>
        <v/>
      </c>
      <c r="AGJ13" s="22">
        <f>'MOMO,AIRTEL,CARDS'!AGI4</f>
        <v/>
      </c>
      <c r="AGK13" s="22">
        <f>'MOMO,AIRTEL,CARDS'!AGJ4</f>
        <v/>
      </c>
      <c r="AGL13" s="22">
        <f>'MOMO,AIRTEL,CARDS'!AGK4</f>
        <v/>
      </c>
      <c r="AGM13" s="22">
        <f>'MOMO,AIRTEL,CARDS'!AGL4</f>
        <v/>
      </c>
      <c r="AGN13" s="22">
        <f>'MOMO,AIRTEL,CARDS'!AGM4</f>
        <v/>
      </c>
      <c r="AGO13" s="22">
        <f>'MOMO,AIRTEL,CARDS'!AGN4</f>
        <v/>
      </c>
      <c r="AGP13" s="22">
        <f>'MOMO,AIRTEL,CARDS'!AGO4</f>
        <v/>
      </c>
      <c r="AGQ13" s="22">
        <f>'MOMO,AIRTEL,CARDS'!AGP4</f>
        <v/>
      </c>
      <c r="AGR13" s="22">
        <f>'MOMO,AIRTEL,CARDS'!AGQ4</f>
        <v/>
      </c>
      <c r="AGS13" s="22">
        <f>'MOMO,AIRTEL,CARDS'!AGR4</f>
        <v/>
      </c>
      <c r="AGT13" s="22">
        <f>'MOMO,AIRTEL,CARDS'!AGS4</f>
        <v/>
      </c>
      <c r="AGU13" s="22">
        <f>'MOMO,AIRTEL,CARDS'!AGT4</f>
        <v/>
      </c>
      <c r="AGV13" s="22">
        <f>'MOMO,AIRTEL,CARDS'!AGU4</f>
        <v/>
      </c>
      <c r="AGW13" s="22">
        <f>'MOMO,AIRTEL,CARDS'!AGV4</f>
        <v/>
      </c>
      <c r="AGX13" s="22">
        <f>'MOMO,AIRTEL,CARDS'!AGW4</f>
        <v/>
      </c>
      <c r="AGY13" s="127">
        <f>SUM(AFU13:AGX13)</f>
        <v/>
      </c>
      <c r="AGZ13" s="22">
        <f>'MOMO,AIRTEL,CARDS'!AGY4</f>
        <v/>
      </c>
      <c r="AHA13" s="22">
        <f>'MOMO,AIRTEL,CARDS'!AGZ4</f>
        <v/>
      </c>
      <c r="AHB13" s="22">
        <f>'MOMO,AIRTEL,CARDS'!AHA4</f>
        <v/>
      </c>
      <c r="AHC13" s="22">
        <f>'MOMO,AIRTEL,CARDS'!AHB4</f>
        <v/>
      </c>
      <c r="AHD13" s="22">
        <f>'MOMO,AIRTEL,CARDS'!AHC4</f>
        <v/>
      </c>
      <c r="AHE13" s="22">
        <f>'MOMO,AIRTEL,CARDS'!AHD4</f>
        <v/>
      </c>
      <c r="AHF13" s="22">
        <f>'MOMO,AIRTEL,CARDS'!AHE4</f>
        <v/>
      </c>
      <c r="AHG13" s="22">
        <f>'MOMO,AIRTEL,CARDS'!AHF4</f>
        <v/>
      </c>
      <c r="AHH13" s="22">
        <f>'MOMO,AIRTEL,CARDS'!AHG4</f>
        <v/>
      </c>
      <c r="AHI13" s="22">
        <f>'MOMO,AIRTEL,CARDS'!AHH4</f>
        <v/>
      </c>
      <c r="AHJ13" s="22">
        <f>'MOMO,AIRTEL,CARDS'!AHI4</f>
        <v/>
      </c>
      <c r="AHK13" s="22">
        <f>'MOMO,AIRTEL,CARDS'!AHJ4</f>
        <v/>
      </c>
      <c r="AHL13" s="22">
        <f>'MOMO,AIRTEL,CARDS'!AHK4</f>
        <v/>
      </c>
      <c r="AHM13" s="22">
        <f>'MOMO,AIRTEL,CARDS'!AHL4</f>
        <v/>
      </c>
      <c r="AHN13" s="22">
        <f>'MOMO,AIRTEL,CARDS'!AHM4</f>
        <v/>
      </c>
      <c r="AHO13" s="22">
        <f>'MOMO,AIRTEL,CARDS'!AHN4</f>
        <v/>
      </c>
      <c r="AHP13" s="22">
        <f>'MOMO,AIRTEL,CARDS'!AHO4</f>
        <v/>
      </c>
      <c r="AHQ13" s="22">
        <f>'MOMO,AIRTEL,CARDS'!AHP4</f>
        <v/>
      </c>
      <c r="AHR13" s="22">
        <f>'MOMO,AIRTEL,CARDS'!AHQ4</f>
        <v/>
      </c>
      <c r="AHS13" s="22">
        <f>'MOMO,AIRTEL,CARDS'!AHR4</f>
        <v/>
      </c>
      <c r="AHT13" s="22">
        <f>'MOMO,AIRTEL,CARDS'!AHS4</f>
        <v/>
      </c>
      <c r="AHU13" s="22">
        <f>'MOMO,AIRTEL,CARDS'!AHT4</f>
        <v/>
      </c>
      <c r="AHV13" s="22">
        <f>'MOMO,AIRTEL,CARDS'!AHU4</f>
        <v/>
      </c>
      <c r="AHW13" s="22">
        <f>'MOMO,AIRTEL,CARDS'!AHV4</f>
        <v/>
      </c>
      <c r="AHX13" s="22">
        <f>'MOMO,AIRTEL,CARDS'!AHW4</f>
        <v/>
      </c>
      <c r="AHY13" s="22">
        <f>'MOMO,AIRTEL,CARDS'!AHX4</f>
        <v/>
      </c>
      <c r="AHZ13" s="22">
        <f>'MOMO,AIRTEL,CARDS'!AHY4</f>
        <v/>
      </c>
      <c r="AIA13" s="22">
        <f>'MOMO,AIRTEL,CARDS'!AHZ4</f>
        <v/>
      </c>
      <c r="AIB13" s="22">
        <f>'MOMO,AIRTEL,CARDS'!AIA4</f>
        <v/>
      </c>
      <c r="AIC13" s="22">
        <f>'MOMO,AIRTEL,CARDS'!AIB4</f>
        <v/>
      </c>
      <c r="AID13" s="22">
        <f>'MOMO,AIRTEL,CARDS'!AIC4</f>
        <v/>
      </c>
      <c r="AIE13" s="127">
        <f>SUM(AHA13:AID13)</f>
        <v/>
      </c>
      <c r="AIF13" s="22">
        <f>'MOMO,AIRTEL,CARDS'!AIE4</f>
        <v/>
      </c>
      <c r="AIG13" s="22">
        <f>'MOMO,AIRTEL,CARDS'!AIF4</f>
        <v/>
      </c>
      <c r="AIH13" s="22">
        <f>'MOMO,AIRTEL,CARDS'!AIG4</f>
        <v/>
      </c>
      <c r="AII13" s="22">
        <f>'MOMO,AIRTEL,CARDS'!AIH4</f>
        <v/>
      </c>
      <c r="AIJ13" s="22">
        <f>'MOMO,AIRTEL,CARDS'!AII4</f>
        <v/>
      </c>
      <c r="AIK13" s="22">
        <f>'MOMO,AIRTEL,CARDS'!AIJ4</f>
        <v/>
      </c>
      <c r="AIL13" s="22">
        <f>'MOMO,AIRTEL,CARDS'!AIK4</f>
        <v/>
      </c>
      <c r="AIM13" s="22">
        <f>'MOMO,AIRTEL,CARDS'!AIL4</f>
        <v/>
      </c>
      <c r="AIN13" s="22">
        <f>'MOMO,AIRTEL,CARDS'!AIM4</f>
        <v/>
      </c>
      <c r="AIO13" s="22">
        <f>'MOMO,AIRTEL,CARDS'!AIN4</f>
        <v/>
      </c>
      <c r="AIP13" s="22">
        <f>'MOMO,AIRTEL,CARDS'!AIO4</f>
        <v/>
      </c>
      <c r="AIQ13" s="22">
        <f>'MOMO,AIRTEL,CARDS'!AIP4</f>
        <v/>
      </c>
      <c r="AIR13" s="22">
        <f>'MOMO,AIRTEL,CARDS'!AIQ4</f>
        <v/>
      </c>
      <c r="AIS13" s="22">
        <f>'MOMO,AIRTEL,CARDS'!AIR4</f>
        <v/>
      </c>
      <c r="AIT13" s="22">
        <f>'MOMO,AIRTEL,CARDS'!AIS4</f>
        <v/>
      </c>
      <c r="AIU13" s="22">
        <f>'MOMO,AIRTEL,CARDS'!AIT4</f>
        <v/>
      </c>
      <c r="AIV13" s="22">
        <f>'MOMO,AIRTEL,CARDS'!AIU4</f>
        <v/>
      </c>
      <c r="AIW13" s="22">
        <f>'MOMO,AIRTEL,CARDS'!AIV4</f>
        <v/>
      </c>
      <c r="AIX13" s="22">
        <f>'MOMO,AIRTEL,CARDS'!AIW4</f>
        <v/>
      </c>
      <c r="AIY13" s="22">
        <f>'MOMO,AIRTEL,CARDS'!AIX4</f>
        <v/>
      </c>
      <c r="AIZ13" s="22">
        <f>'MOMO,AIRTEL,CARDS'!AIY4</f>
        <v/>
      </c>
      <c r="AJA13" s="22">
        <f>'MOMO,AIRTEL,CARDS'!AIZ4</f>
        <v/>
      </c>
      <c r="AJB13" s="22">
        <f>'MOMO,AIRTEL,CARDS'!AJA4</f>
        <v/>
      </c>
      <c r="AJC13" s="22">
        <f>'MOMO,AIRTEL,CARDS'!AJB4</f>
        <v/>
      </c>
      <c r="AJD13" s="22">
        <f>'MOMO,AIRTEL,CARDS'!AJC4</f>
        <v/>
      </c>
      <c r="AJE13" s="22">
        <f>'MOMO,AIRTEL,CARDS'!AJD4</f>
        <v/>
      </c>
      <c r="AJF13" s="22">
        <f>'MOMO,AIRTEL,CARDS'!AJE4</f>
        <v/>
      </c>
      <c r="AJG13" s="22">
        <f>'MOMO,AIRTEL,CARDS'!AJF4</f>
        <v/>
      </c>
      <c r="AJH13" s="22">
        <f>'MOMO,AIRTEL,CARDS'!AJG4</f>
        <v/>
      </c>
      <c r="AJI13" s="22">
        <f>'MOMO,AIRTEL,CARDS'!AJH4</f>
        <v/>
      </c>
      <c r="AJJ13" s="22">
        <f>'MOMO,AIRTEL,CARDS'!AJI4</f>
        <v/>
      </c>
      <c r="AJK13" s="127">
        <f>SUM(AIG13:AJJ13)</f>
        <v/>
      </c>
      <c r="AJL13" s="22">
        <f>'MOMO,AIRTEL,CARDS'!AJK4</f>
        <v/>
      </c>
      <c r="AJM13" s="22">
        <f>'MOMO,AIRTEL,CARDS'!AJL4</f>
        <v/>
      </c>
      <c r="AJN13" s="22">
        <f>'MOMO,AIRTEL,CARDS'!AJM4</f>
        <v/>
      </c>
      <c r="AJO13" s="22">
        <f>'MOMO,AIRTEL,CARDS'!AJN4</f>
        <v/>
      </c>
      <c r="AJP13" s="22">
        <f>'MOMO,AIRTEL,CARDS'!AJO4</f>
        <v/>
      </c>
      <c r="AJQ13" s="22">
        <f>'MOMO,AIRTEL,CARDS'!AJP4</f>
        <v/>
      </c>
      <c r="AJR13" s="22">
        <f>'MOMO,AIRTEL,CARDS'!AJQ4</f>
        <v/>
      </c>
      <c r="AJS13" s="22">
        <f>'MOMO,AIRTEL,CARDS'!AJR4</f>
        <v/>
      </c>
      <c r="AJT13" s="22">
        <f>'MOMO,AIRTEL,CARDS'!AJS4</f>
        <v/>
      </c>
      <c r="AJU13" s="22">
        <f>'MOMO,AIRTEL,CARDS'!AJT4</f>
        <v/>
      </c>
      <c r="AJV13" s="22">
        <f>'MOMO,AIRTEL,CARDS'!AJU4</f>
        <v/>
      </c>
      <c r="AJW13" s="22">
        <f>'MOMO,AIRTEL,CARDS'!AJV4</f>
        <v/>
      </c>
      <c r="AJX13" s="22">
        <f>'MOMO,AIRTEL,CARDS'!AJW4</f>
        <v/>
      </c>
      <c r="AJY13" s="22">
        <f>'MOMO,AIRTEL,CARDS'!AJX4</f>
        <v/>
      </c>
      <c r="AJZ13" s="22">
        <f>'MOMO,AIRTEL,CARDS'!AJY4</f>
        <v/>
      </c>
      <c r="AKA13" s="22">
        <f>'MOMO,AIRTEL,CARDS'!AJZ4</f>
        <v/>
      </c>
      <c r="AKB13" s="22">
        <f>'MOMO,AIRTEL,CARDS'!AKA4</f>
        <v/>
      </c>
      <c r="AKC13" s="22">
        <f>'MOMO,AIRTEL,CARDS'!AKB4</f>
        <v/>
      </c>
      <c r="AKD13" s="22">
        <f>'MOMO,AIRTEL,CARDS'!AKC4</f>
        <v/>
      </c>
      <c r="AKE13" s="22">
        <f>'MOMO,AIRTEL,CARDS'!AKD4</f>
        <v/>
      </c>
      <c r="AKF13" s="22">
        <f>'MOMO,AIRTEL,CARDS'!AKE4</f>
        <v/>
      </c>
      <c r="AKG13" s="22">
        <f>'MOMO,AIRTEL,CARDS'!AKF4</f>
        <v/>
      </c>
      <c r="AKH13" s="22">
        <f>'MOMO,AIRTEL,CARDS'!AKG4</f>
        <v/>
      </c>
      <c r="AKI13" s="22">
        <f>'MOMO,AIRTEL,CARDS'!AKH4</f>
        <v/>
      </c>
      <c r="AKJ13" s="22">
        <f>'MOMO,AIRTEL,CARDS'!AKI4</f>
        <v/>
      </c>
      <c r="AKK13" s="22">
        <f>'MOMO,AIRTEL,CARDS'!AKJ4</f>
        <v/>
      </c>
      <c r="AKL13" s="22">
        <f>'MOMO,AIRTEL,CARDS'!AKK4</f>
        <v/>
      </c>
      <c r="AKM13" s="22">
        <f>'MOMO,AIRTEL,CARDS'!AKL4</f>
        <v/>
      </c>
      <c r="AKN13" s="127">
        <f>SUM(AJL13:AKM13)</f>
        <v/>
      </c>
      <c r="AKO13" s="22">
        <f>'MOMO,AIRTEL,CARDS'!AKN4</f>
        <v/>
      </c>
      <c r="AKP13" s="22">
        <f>'MOMO,AIRTEL,CARDS'!AKO4</f>
        <v/>
      </c>
      <c r="AKQ13" s="22">
        <f>'MOMO,AIRTEL,CARDS'!AKP4</f>
        <v/>
      </c>
      <c r="AKR13" s="22">
        <f>'MOMO,AIRTEL,CARDS'!AKQ4</f>
        <v/>
      </c>
      <c r="AKS13" s="22">
        <f>'MOMO,AIRTEL,CARDS'!AKR4</f>
        <v/>
      </c>
      <c r="AKT13" s="22">
        <f>'MOMO,AIRTEL,CARDS'!AKS4</f>
        <v/>
      </c>
      <c r="AKU13" s="22">
        <f>'MOMO,AIRTEL,CARDS'!AKT4</f>
        <v/>
      </c>
      <c r="AKV13" s="22">
        <f>'MOMO,AIRTEL,CARDS'!AKU4</f>
        <v/>
      </c>
      <c r="AKW13" s="22">
        <f>'MOMO,AIRTEL,CARDS'!AKV4</f>
        <v/>
      </c>
      <c r="AKX13" s="22">
        <f>'MOMO,AIRTEL,CARDS'!AKW4</f>
        <v/>
      </c>
      <c r="AKY13" s="22">
        <f>'MOMO,AIRTEL,CARDS'!AKX4</f>
        <v/>
      </c>
      <c r="AKZ13" s="22">
        <f>'MOMO,AIRTEL,CARDS'!AKY4</f>
        <v/>
      </c>
      <c r="ALA13" s="22">
        <f>'MOMO,AIRTEL,CARDS'!AKZ4</f>
        <v/>
      </c>
      <c r="ALB13" s="22">
        <f>'MOMO,AIRTEL,CARDS'!ALA4</f>
        <v/>
      </c>
      <c r="ALC13" s="22">
        <f>'MOMO,AIRTEL,CARDS'!ALB4</f>
        <v/>
      </c>
      <c r="ALD13" s="22">
        <f>'MOMO,AIRTEL,CARDS'!ALC4</f>
        <v/>
      </c>
      <c r="ALE13" s="22">
        <f>'MOMO,AIRTEL,CARDS'!ALD4</f>
        <v/>
      </c>
      <c r="ALF13" s="22">
        <f>'MOMO,AIRTEL,CARDS'!ALE4</f>
        <v/>
      </c>
      <c r="ALG13" s="22">
        <f>'MOMO,AIRTEL,CARDS'!ALF4</f>
        <v/>
      </c>
      <c r="ALH13" s="22">
        <f>'MOMO,AIRTEL,CARDS'!ALG4</f>
        <v/>
      </c>
      <c r="ALI13" s="22">
        <f>'MOMO,AIRTEL,CARDS'!ALH4</f>
        <v/>
      </c>
      <c r="ALJ13" s="22">
        <f>'MOMO,AIRTEL,CARDS'!ALI4</f>
        <v/>
      </c>
      <c r="ALK13" s="22">
        <f>'MOMO,AIRTEL,CARDS'!ALJ4</f>
        <v/>
      </c>
      <c r="ALL13" s="22">
        <f>'MOMO,AIRTEL,CARDS'!ALK4</f>
        <v/>
      </c>
      <c r="ALM13" s="22">
        <f>'MOMO,AIRTEL,CARDS'!ALL4</f>
        <v/>
      </c>
      <c r="ALN13" s="22">
        <f>'MOMO,AIRTEL,CARDS'!ALM4</f>
        <v/>
      </c>
      <c r="ALO13" s="22">
        <f>'MOMO,AIRTEL,CARDS'!ALN4</f>
        <v/>
      </c>
      <c r="ALP13" s="22">
        <f>'MOMO,AIRTEL,CARDS'!ALO4</f>
        <v/>
      </c>
      <c r="ALQ13" s="22">
        <f>'MOMO,AIRTEL,CARDS'!ALP4</f>
        <v/>
      </c>
      <c r="ALR13" s="22">
        <f>'MOMO,AIRTEL,CARDS'!ALQ4</f>
        <v/>
      </c>
      <c r="ALS13" s="22">
        <f>'MOMO,AIRTEL,CARDS'!ALR4</f>
        <v/>
      </c>
      <c r="ALT13" s="127">
        <f>SUM(AKO13:ALS13)</f>
        <v/>
      </c>
      <c r="ALU13" s="22">
        <f>'MOMO,AIRTEL,CARDS'!ALT4</f>
        <v/>
      </c>
      <c r="ALV13" s="22">
        <f>'MOMO,AIRTEL,CARDS'!ALU4</f>
        <v/>
      </c>
      <c r="ALW13" s="22">
        <f>'MOMO,AIRTEL,CARDS'!ALV4</f>
        <v/>
      </c>
      <c r="ALX13" s="22">
        <f>'MOMO,AIRTEL,CARDS'!ALW4</f>
        <v/>
      </c>
      <c r="ALY13" s="22">
        <f>'MOMO,AIRTEL,CARDS'!ALX4</f>
        <v/>
      </c>
      <c r="ALZ13" s="22">
        <f>'MOMO,AIRTEL,CARDS'!ALY4</f>
        <v/>
      </c>
      <c r="AMA13" s="22">
        <f>'MOMO,AIRTEL,CARDS'!ALZ4</f>
        <v/>
      </c>
      <c r="AMB13" s="22">
        <f>'MOMO,AIRTEL,CARDS'!AMA4</f>
        <v/>
      </c>
      <c r="AMC13" s="22">
        <f>'MOMO,AIRTEL,CARDS'!AMB4</f>
        <v/>
      </c>
      <c r="AMD13" s="22">
        <f>'MOMO,AIRTEL,CARDS'!AMC4</f>
        <v/>
      </c>
      <c r="AME13" s="22">
        <f>'MOMO,AIRTEL,CARDS'!AMD4</f>
        <v/>
      </c>
      <c r="AMF13" s="22">
        <f>'MOMO,AIRTEL,CARDS'!AME4</f>
        <v/>
      </c>
      <c r="AMG13" s="22">
        <f>'MOMO,AIRTEL,CARDS'!AMF4</f>
        <v/>
      </c>
      <c r="AMH13" s="22">
        <f>'MOMO,AIRTEL,CARDS'!AMG4</f>
        <v/>
      </c>
      <c r="AMI13" s="22">
        <f>'MOMO,AIRTEL,CARDS'!AMH4</f>
        <v/>
      </c>
      <c r="AMJ13" s="22">
        <f>'MOMO,AIRTEL,CARDS'!AMI4</f>
        <v/>
      </c>
      <c r="AMK13" s="22">
        <f>'MOMO,AIRTEL,CARDS'!AMJ4</f>
        <v/>
      </c>
      <c r="AML13" s="22">
        <f>'MOMO,AIRTEL,CARDS'!AMK4</f>
        <v/>
      </c>
      <c r="AMM13" s="22">
        <f>'MOMO,AIRTEL,CARDS'!AML4</f>
        <v/>
      </c>
      <c r="AMN13" s="22">
        <f>'MOMO,AIRTEL,CARDS'!AMM4</f>
        <v/>
      </c>
      <c r="AMO13" s="22">
        <f>'MOMO,AIRTEL,CARDS'!AMN4</f>
        <v/>
      </c>
      <c r="AMP13" s="22">
        <f>'MOMO,AIRTEL,CARDS'!AMO4</f>
        <v/>
      </c>
      <c r="AMQ13" s="22">
        <f>'MOMO,AIRTEL,CARDS'!AMP4</f>
        <v/>
      </c>
      <c r="AMR13" s="22">
        <f>'MOMO,AIRTEL,CARDS'!AMQ4</f>
        <v/>
      </c>
      <c r="AMS13" s="22">
        <f>'MOMO,AIRTEL,CARDS'!AMR4</f>
        <v/>
      </c>
      <c r="AMT13" s="22">
        <f>'MOMO,AIRTEL,CARDS'!AMS4</f>
        <v/>
      </c>
      <c r="AMU13" s="22">
        <f>'MOMO,AIRTEL,CARDS'!AMT4</f>
        <v/>
      </c>
      <c r="AMV13" s="22">
        <f>'MOMO,AIRTEL,CARDS'!AMU4</f>
        <v/>
      </c>
      <c r="AMW13" s="22">
        <f>'MOMO,AIRTEL,CARDS'!AMV4</f>
        <v/>
      </c>
      <c r="AMX13" s="22">
        <f>'MOMO,AIRTEL,CARDS'!AMW4</f>
        <v/>
      </c>
      <c r="AMY13" s="127">
        <f>SUM(ALU13:AMX13)</f>
        <v/>
      </c>
      <c r="AMZ13" s="22">
        <f>'MOMO,AIRTEL,CARDS'!AMY4</f>
        <v/>
      </c>
      <c r="ANA13" s="22">
        <f>'MOMO,AIRTEL,CARDS'!AMZ4</f>
        <v/>
      </c>
      <c r="ANB13" s="22">
        <f>'MOMO,AIRTEL,CARDS'!ANA4</f>
        <v/>
      </c>
      <c r="ANC13" s="22">
        <f>'MOMO,AIRTEL,CARDS'!ANB4</f>
        <v/>
      </c>
      <c r="AND13" s="22">
        <f>'MOMO,AIRTEL,CARDS'!ANC4</f>
        <v/>
      </c>
      <c r="ANE13" s="22">
        <f>'MOMO,AIRTEL,CARDS'!AND4</f>
        <v/>
      </c>
      <c r="ANF13" s="22">
        <f>'MOMO,AIRTEL,CARDS'!ANE4</f>
        <v/>
      </c>
      <c r="ANG13" s="22">
        <f>'MOMO,AIRTEL,CARDS'!ANF4</f>
        <v/>
      </c>
      <c r="ANH13" s="22">
        <f>'MOMO,AIRTEL,CARDS'!ANG4</f>
        <v/>
      </c>
      <c r="ANI13" s="22">
        <f>'MOMO,AIRTEL,CARDS'!ANH4</f>
        <v/>
      </c>
      <c r="ANJ13" s="22">
        <f>'MOMO,AIRTEL,CARDS'!ANI4</f>
        <v/>
      </c>
      <c r="ANK13" s="22">
        <f>'MOMO,AIRTEL,CARDS'!ANJ4</f>
        <v/>
      </c>
      <c r="ANL13" s="22">
        <f>'MOMO,AIRTEL,CARDS'!ANK4</f>
        <v/>
      </c>
      <c r="ANM13" s="22">
        <f>'MOMO,AIRTEL,CARDS'!ANL4</f>
        <v/>
      </c>
      <c r="ANN13" s="22">
        <f>'MOMO,AIRTEL,CARDS'!ANM4</f>
        <v/>
      </c>
      <c r="ANO13" s="22">
        <f>'MOMO,AIRTEL,CARDS'!ANN4</f>
        <v/>
      </c>
      <c r="ANP13" s="22">
        <f>'MOMO,AIRTEL,CARDS'!ANO4</f>
        <v/>
      </c>
      <c r="ANQ13" s="22">
        <f>'MOMO,AIRTEL,CARDS'!ANP4</f>
        <v/>
      </c>
      <c r="ANR13" s="22">
        <f>'MOMO,AIRTEL,CARDS'!ANQ4</f>
        <v/>
      </c>
      <c r="ANS13" s="22">
        <f>'MOMO,AIRTEL,CARDS'!ANR4</f>
        <v/>
      </c>
      <c r="ANT13" s="22">
        <f>'MOMO,AIRTEL,CARDS'!ANS4</f>
        <v/>
      </c>
      <c r="ANU13" s="22">
        <f>'MOMO,AIRTEL,CARDS'!ANT4</f>
        <v/>
      </c>
      <c r="ANV13" s="22">
        <f>'MOMO,AIRTEL,CARDS'!ANU4</f>
        <v/>
      </c>
      <c r="ANW13" s="22">
        <f>'MOMO,AIRTEL,CARDS'!ANV4</f>
        <v/>
      </c>
      <c r="ANX13" s="22">
        <f>'MOMO,AIRTEL,CARDS'!ANW4</f>
        <v/>
      </c>
      <c r="ANY13" s="22">
        <f>'MOMO,AIRTEL,CARDS'!ANX4</f>
        <v/>
      </c>
      <c r="ANZ13" s="22">
        <f>'MOMO,AIRTEL,CARDS'!ANY4</f>
        <v/>
      </c>
      <c r="AOA13" s="22">
        <f>'MOMO,AIRTEL,CARDS'!ANZ4</f>
        <v/>
      </c>
      <c r="AOB13" s="22">
        <f>'MOMO,AIRTEL,CARDS'!AOA4</f>
        <v/>
      </c>
      <c r="AOC13" s="22">
        <f>'MOMO,AIRTEL,CARDS'!AOB4</f>
        <v/>
      </c>
    </row>
    <row r="14">
      <c r="B14" s="5" t="inlineStr">
        <is>
          <t>AIRTEL</t>
        </is>
      </c>
      <c r="C14" s="22">
        <f>'MOMO,AIRTEL,CARDS'!B5</f>
        <v/>
      </c>
      <c r="D14" s="22">
        <f>'MOMO,AIRTEL,CARDS'!C5</f>
        <v/>
      </c>
      <c r="E14" s="22">
        <f>'MOMO,AIRTEL,CARDS'!D5</f>
        <v/>
      </c>
      <c r="F14" s="22">
        <f>'MOMO,AIRTEL,CARDS'!E5</f>
        <v/>
      </c>
      <c r="G14" s="22">
        <f>'MOMO,AIRTEL,CARDS'!F5</f>
        <v/>
      </c>
      <c r="H14" s="22">
        <f>'MOMO,AIRTEL,CARDS'!G5</f>
        <v/>
      </c>
      <c r="I14" s="22">
        <f>'MOMO,AIRTEL,CARDS'!H5</f>
        <v/>
      </c>
      <c r="J14" s="22">
        <f>'MOMO,AIRTEL,CARDS'!I5</f>
        <v/>
      </c>
      <c r="K14" s="22">
        <f>'MOMO,AIRTEL,CARDS'!J5</f>
        <v/>
      </c>
      <c r="L14" s="22">
        <f>'MOMO,AIRTEL,CARDS'!K5</f>
        <v/>
      </c>
      <c r="M14" s="22">
        <f>'MOMO,AIRTEL,CARDS'!L5</f>
        <v/>
      </c>
      <c r="N14" s="22">
        <f>'MOMO,AIRTEL,CARDS'!M5</f>
        <v/>
      </c>
      <c r="O14" s="22">
        <f>'MOMO,AIRTEL,CARDS'!N5</f>
        <v/>
      </c>
      <c r="P14" s="22">
        <f>'MOMO,AIRTEL,CARDS'!O5</f>
        <v/>
      </c>
      <c r="Q14" s="22">
        <f>'MOMO,AIRTEL,CARDS'!P5</f>
        <v/>
      </c>
      <c r="R14" s="22">
        <f>'MOMO,AIRTEL,CARDS'!Q5</f>
        <v/>
      </c>
      <c r="S14" s="22">
        <f>'MOMO,AIRTEL,CARDS'!R5</f>
        <v/>
      </c>
      <c r="T14" s="22">
        <f>'MOMO,AIRTEL,CARDS'!S5</f>
        <v/>
      </c>
      <c r="U14" s="22">
        <f>'MOMO,AIRTEL,CARDS'!T5</f>
        <v/>
      </c>
      <c r="V14" s="22">
        <f>'MOMO,AIRTEL,CARDS'!U5</f>
        <v/>
      </c>
      <c r="W14" s="22">
        <f>'MOMO,AIRTEL,CARDS'!V5</f>
        <v/>
      </c>
      <c r="X14" s="22">
        <f>'MOMO,AIRTEL,CARDS'!W5</f>
        <v/>
      </c>
      <c r="Y14" s="22">
        <f>'MOMO,AIRTEL,CARDS'!X5</f>
        <v/>
      </c>
      <c r="Z14" s="22">
        <f>'MOMO,AIRTEL,CARDS'!Y5</f>
        <v/>
      </c>
      <c r="AA14" s="22">
        <f>'MOMO,AIRTEL,CARDS'!Z5</f>
        <v/>
      </c>
      <c r="AB14" s="22">
        <f>'MOMO,AIRTEL,CARDS'!AA5</f>
        <v/>
      </c>
      <c r="AC14" s="22">
        <f>'MOMO,AIRTEL,CARDS'!AB5</f>
        <v/>
      </c>
      <c r="AD14" s="22">
        <f>'MOMO,AIRTEL,CARDS'!AC5</f>
        <v/>
      </c>
      <c r="AE14" s="22">
        <f>'MOMO,AIRTEL,CARDS'!AD5</f>
        <v/>
      </c>
      <c r="AF14" s="22">
        <f>'MOMO,AIRTEL,CARDS'!AE5</f>
        <v/>
      </c>
      <c r="AG14" s="22">
        <f>'MOMO,AIRTEL,CARDS'!AF5</f>
        <v/>
      </c>
      <c r="AH14" s="94">
        <f>SUM(C14:AG14)</f>
        <v/>
      </c>
      <c r="AI14" s="22">
        <f>'MOMO,AIRTEL,CARDS'!AH5</f>
        <v/>
      </c>
      <c r="AJ14" s="22">
        <f>'MOMO,AIRTEL,CARDS'!AI5</f>
        <v/>
      </c>
      <c r="AK14" s="22">
        <f>'MOMO,AIRTEL,CARDS'!AJ5</f>
        <v/>
      </c>
      <c r="AL14" s="22">
        <f>'MOMO,AIRTEL,CARDS'!AK5</f>
        <v/>
      </c>
      <c r="AM14" s="22">
        <f>'MOMO,AIRTEL,CARDS'!AL5</f>
        <v/>
      </c>
      <c r="AN14" s="22">
        <f>'MOMO,AIRTEL,CARDS'!AM5</f>
        <v/>
      </c>
      <c r="AO14" s="22">
        <f>'MOMO,AIRTEL,CARDS'!AN5</f>
        <v/>
      </c>
      <c r="AP14" s="22">
        <f>'MOMO,AIRTEL,CARDS'!AO5</f>
        <v/>
      </c>
      <c r="AQ14" s="22">
        <f>'MOMO,AIRTEL,CARDS'!AP5</f>
        <v/>
      </c>
      <c r="AR14" s="22">
        <f>'MOMO,AIRTEL,CARDS'!AQ5</f>
        <v/>
      </c>
      <c r="AS14" s="22">
        <f>'MOMO,AIRTEL,CARDS'!AR5</f>
        <v/>
      </c>
      <c r="AT14" s="22">
        <f>'MOMO,AIRTEL,CARDS'!AS5</f>
        <v/>
      </c>
      <c r="AU14" s="22">
        <f>'MOMO,AIRTEL,CARDS'!AT5</f>
        <v/>
      </c>
      <c r="AV14" s="22">
        <f>'MOMO,AIRTEL,CARDS'!AU5</f>
        <v/>
      </c>
      <c r="AW14" s="22">
        <f>'MOMO,AIRTEL,CARDS'!AV5</f>
        <v/>
      </c>
      <c r="AX14" s="22">
        <f>'MOMO,AIRTEL,CARDS'!AW5</f>
        <v/>
      </c>
      <c r="AY14" s="22">
        <f>'MOMO,AIRTEL,CARDS'!AX5</f>
        <v/>
      </c>
      <c r="AZ14" s="22">
        <f>'MOMO,AIRTEL,CARDS'!AY5</f>
        <v/>
      </c>
      <c r="BA14" s="22">
        <f>'MOMO,AIRTEL,CARDS'!AZ5</f>
        <v/>
      </c>
      <c r="BB14" s="22">
        <f>'MOMO,AIRTEL,CARDS'!BA5</f>
        <v/>
      </c>
      <c r="BC14" s="22">
        <f>'MOMO,AIRTEL,CARDS'!BB5</f>
        <v/>
      </c>
      <c r="BD14" s="22">
        <f>'MOMO,AIRTEL,CARDS'!BC5</f>
        <v/>
      </c>
      <c r="BE14" s="22">
        <f>'MOMO,AIRTEL,CARDS'!BD5</f>
        <v/>
      </c>
      <c r="BF14" s="22">
        <f>'MOMO,AIRTEL,CARDS'!BE5</f>
        <v/>
      </c>
      <c r="BG14" s="22">
        <f>'MOMO,AIRTEL,CARDS'!BF5</f>
        <v/>
      </c>
      <c r="BH14" s="22">
        <f>'MOMO,AIRTEL,CARDS'!BG5</f>
        <v/>
      </c>
      <c r="BI14" s="22">
        <f>'MOMO,AIRTEL,CARDS'!BH5</f>
        <v/>
      </c>
      <c r="BJ14" s="22">
        <f>'MOMO,AIRTEL,CARDS'!BI5</f>
        <v/>
      </c>
      <c r="BK14" s="22">
        <f>'MOMO,AIRTEL,CARDS'!BJ5</f>
        <v/>
      </c>
      <c r="BL14" s="22">
        <f>'MOMO,AIRTEL,CARDS'!BK5</f>
        <v/>
      </c>
      <c r="BM14" s="97">
        <f>SUM(AI14:BL14)</f>
        <v/>
      </c>
      <c r="BN14" s="22">
        <f>'MOMO,AIRTEL,CARDS'!BM5</f>
        <v/>
      </c>
      <c r="BO14" s="22">
        <f>'MOMO,AIRTEL,CARDS'!BN5</f>
        <v/>
      </c>
      <c r="BP14" s="22">
        <f>'MOMO,AIRTEL,CARDS'!BO5</f>
        <v/>
      </c>
      <c r="BQ14" s="22">
        <f>'MOMO,AIRTEL,CARDS'!BP5</f>
        <v/>
      </c>
      <c r="BR14" s="22">
        <f>'MOMO,AIRTEL,CARDS'!BQ5</f>
        <v/>
      </c>
      <c r="BS14" s="22">
        <f>'MOMO,AIRTEL,CARDS'!BR5</f>
        <v/>
      </c>
      <c r="BT14" s="22">
        <f>'MOMO,AIRTEL,CARDS'!BS5</f>
        <v/>
      </c>
      <c r="BU14" s="22">
        <f>'MOMO,AIRTEL,CARDS'!BT5</f>
        <v/>
      </c>
      <c r="BV14" s="22">
        <f>'MOMO,AIRTEL,CARDS'!BU5</f>
        <v/>
      </c>
      <c r="BW14" s="22">
        <f>'MOMO,AIRTEL,CARDS'!BV5</f>
        <v/>
      </c>
      <c r="BX14" s="22">
        <f>'MOMO,AIRTEL,CARDS'!BW5</f>
        <v/>
      </c>
      <c r="BY14" s="22">
        <f>'MOMO,AIRTEL,CARDS'!BX5</f>
        <v/>
      </c>
      <c r="BZ14" s="22">
        <f>'MOMO,AIRTEL,CARDS'!BY5</f>
        <v/>
      </c>
      <c r="CA14" s="22">
        <f>'MOMO,AIRTEL,CARDS'!BZ5</f>
        <v/>
      </c>
      <c r="CB14" s="22">
        <f>'MOMO,AIRTEL,CARDS'!CA5</f>
        <v/>
      </c>
      <c r="CC14" s="22">
        <f>'MOMO,AIRTEL,CARDS'!CB5</f>
        <v/>
      </c>
      <c r="CD14" s="22">
        <f>'MOMO,AIRTEL,CARDS'!CC5</f>
        <v/>
      </c>
      <c r="CE14" s="22">
        <f>'MOMO,AIRTEL,CARDS'!CD5</f>
        <v/>
      </c>
      <c r="CF14" s="22">
        <f>'MOMO,AIRTEL,CARDS'!CE5</f>
        <v/>
      </c>
      <c r="CG14" s="22">
        <f>'MOMO,AIRTEL,CARDS'!CF5</f>
        <v/>
      </c>
      <c r="CH14" s="22">
        <f>'MOMO,AIRTEL,CARDS'!CG5</f>
        <v/>
      </c>
      <c r="CI14" s="22">
        <f>'MOMO,AIRTEL,CARDS'!CH5</f>
        <v/>
      </c>
      <c r="CJ14" s="22">
        <f>'MOMO,AIRTEL,CARDS'!CI5</f>
        <v/>
      </c>
      <c r="CK14" s="22">
        <f>'MOMO,AIRTEL,CARDS'!CJ5</f>
        <v/>
      </c>
      <c r="CL14" s="22">
        <f>'MOMO,AIRTEL,CARDS'!CK5</f>
        <v/>
      </c>
      <c r="CM14" s="22">
        <f>'MOMO,AIRTEL,CARDS'!CL5</f>
        <v/>
      </c>
      <c r="CN14" s="22">
        <f>'MOMO,AIRTEL,CARDS'!CM5</f>
        <v/>
      </c>
      <c r="CO14" s="22">
        <f>'MOMO,AIRTEL,CARDS'!CN5</f>
        <v/>
      </c>
      <c r="CP14" s="22">
        <f>'MOMO,AIRTEL,CARDS'!CO5</f>
        <v/>
      </c>
      <c r="CQ14" s="22">
        <f>'MOMO,AIRTEL,CARDS'!CP5</f>
        <v/>
      </c>
      <c r="CR14" s="22">
        <f>'MOMO,AIRTEL,CARDS'!CQ5</f>
        <v/>
      </c>
      <c r="CS14" s="111">
        <f>SUM(BN14:CR14)</f>
        <v/>
      </c>
      <c r="CT14" s="22">
        <f>'MOMO,AIRTEL,CARDS'!CS5</f>
        <v/>
      </c>
      <c r="CU14" s="22">
        <f>'MOMO,AIRTEL,CARDS'!CT5</f>
        <v/>
      </c>
      <c r="CV14" s="22">
        <f>'MOMO,AIRTEL,CARDS'!CU5</f>
        <v/>
      </c>
      <c r="CW14" s="22">
        <f>'MOMO,AIRTEL,CARDS'!CV5</f>
        <v/>
      </c>
      <c r="CX14" s="22">
        <f>'MOMO,AIRTEL,CARDS'!CW5</f>
        <v/>
      </c>
      <c r="CY14" s="22">
        <f>'MOMO,AIRTEL,CARDS'!CX5</f>
        <v/>
      </c>
      <c r="CZ14" s="22">
        <f>'MOMO,AIRTEL,CARDS'!CY5</f>
        <v/>
      </c>
      <c r="DA14" s="22">
        <f>'MOMO,AIRTEL,CARDS'!CZ5</f>
        <v/>
      </c>
      <c r="DB14" s="22">
        <f>'MOMO,AIRTEL,CARDS'!DA5</f>
        <v/>
      </c>
      <c r="DC14" s="22">
        <f>'MOMO,AIRTEL,CARDS'!DB5</f>
        <v/>
      </c>
      <c r="DD14" s="22">
        <f>'MOMO,AIRTEL,CARDS'!DC5</f>
        <v/>
      </c>
      <c r="DE14" s="22">
        <f>'MOMO,AIRTEL,CARDS'!DD5</f>
        <v/>
      </c>
      <c r="DF14" s="22">
        <f>'MOMO,AIRTEL,CARDS'!DE5</f>
        <v/>
      </c>
      <c r="DG14" s="22">
        <f>'MOMO,AIRTEL,CARDS'!DF5</f>
        <v/>
      </c>
      <c r="DH14" s="22">
        <f>'MOMO,AIRTEL,CARDS'!DG5</f>
        <v/>
      </c>
      <c r="DI14" s="22">
        <f>'MOMO,AIRTEL,CARDS'!DH5</f>
        <v/>
      </c>
      <c r="DJ14" s="22">
        <f>'MOMO,AIRTEL,CARDS'!DI5</f>
        <v/>
      </c>
      <c r="DK14" s="22">
        <f>'MOMO,AIRTEL,CARDS'!DJ5</f>
        <v/>
      </c>
      <c r="DL14" s="22">
        <f>'MOMO,AIRTEL,CARDS'!DK5</f>
        <v/>
      </c>
      <c r="DM14" s="22">
        <f>'MOMO,AIRTEL,CARDS'!DL5</f>
        <v/>
      </c>
      <c r="DN14" s="22">
        <f>'MOMO,AIRTEL,CARDS'!DM5</f>
        <v/>
      </c>
      <c r="DO14" s="22">
        <f>'MOMO,AIRTEL,CARDS'!DN5</f>
        <v/>
      </c>
      <c r="DP14" s="22">
        <f>'MOMO,AIRTEL,CARDS'!DO5</f>
        <v/>
      </c>
      <c r="DQ14" s="22">
        <f>'MOMO,AIRTEL,CARDS'!DP5</f>
        <v/>
      </c>
      <c r="DR14" s="22">
        <f>'MOMO,AIRTEL,CARDS'!DQ5</f>
        <v/>
      </c>
      <c r="DS14" s="22">
        <f>'MOMO,AIRTEL,CARDS'!DR5</f>
        <v/>
      </c>
      <c r="DT14" s="22">
        <f>'MOMO,AIRTEL,CARDS'!DS5</f>
        <v/>
      </c>
      <c r="DU14" s="22">
        <f>'MOMO,AIRTEL,CARDS'!DT5</f>
        <v/>
      </c>
      <c r="DV14" s="22">
        <f>'MOMO,AIRTEL,CARDS'!DU5</f>
        <v/>
      </c>
      <c r="DW14" s="22">
        <f>'MOMO,AIRTEL,CARDS'!DV5</f>
        <v/>
      </c>
      <c r="DX14" s="119">
        <f>SUM(CT14:DW14)</f>
        <v/>
      </c>
      <c r="DY14" s="22">
        <f>'MOMO,AIRTEL,CARDS'!DX5</f>
        <v/>
      </c>
      <c r="DZ14" s="22">
        <f>'MOMO,AIRTEL,CARDS'!DY5</f>
        <v/>
      </c>
      <c r="EA14" s="22">
        <f>'MOMO,AIRTEL,CARDS'!DZ5</f>
        <v/>
      </c>
      <c r="EB14" s="22">
        <f>'MOMO,AIRTEL,CARDS'!EA5</f>
        <v/>
      </c>
      <c r="EC14" s="22">
        <f>'MOMO,AIRTEL,CARDS'!EB5</f>
        <v/>
      </c>
      <c r="ED14" s="22">
        <f>'MOMO,AIRTEL,CARDS'!EC5</f>
        <v/>
      </c>
      <c r="EE14" s="22">
        <f>'MOMO,AIRTEL,CARDS'!ED5</f>
        <v/>
      </c>
      <c r="EF14" s="22">
        <f>'MOMO,AIRTEL,CARDS'!EE5</f>
        <v/>
      </c>
      <c r="EG14" s="22">
        <f>'MOMO,AIRTEL,CARDS'!EF5</f>
        <v/>
      </c>
      <c r="EH14" s="22">
        <f>'MOMO,AIRTEL,CARDS'!EG5</f>
        <v/>
      </c>
      <c r="EI14" s="22">
        <f>'MOMO,AIRTEL,CARDS'!EH5</f>
        <v/>
      </c>
      <c r="EJ14" s="22">
        <f>'MOMO,AIRTEL,CARDS'!EI5</f>
        <v/>
      </c>
      <c r="EK14" s="22">
        <f>'MOMO,AIRTEL,CARDS'!EJ5</f>
        <v/>
      </c>
      <c r="EL14" s="22">
        <f>'MOMO,AIRTEL,CARDS'!EK5</f>
        <v/>
      </c>
      <c r="EM14" s="22">
        <f>'MOMO,AIRTEL,CARDS'!EL5</f>
        <v/>
      </c>
      <c r="EN14" s="22">
        <f>'MOMO,AIRTEL,CARDS'!EM5</f>
        <v/>
      </c>
      <c r="EO14" s="22">
        <f>'MOMO,AIRTEL,CARDS'!EN5</f>
        <v/>
      </c>
      <c r="EP14" s="22">
        <f>'MOMO,AIRTEL,CARDS'!EO5</f>
        <v/>
      </c>
      <c r="EQ14" s="22">
        <f>'MOMO,AIRTEL,CARDS'!EP5</f>
        <v/>
      </c>
      <c r="ER14" s="22">
        <f>'MOMO,AIRTEL,CARDS'!EQ5</f>
        <v/>
      </c>
      <c r="ES14" s="22">
        <f>'MOMO,AIRTEL,CARDS'!ER5</f>
        <v/>
      </c>
      <c r="ET14" s="22">
        <f>'MOMO,AIRTEL,CARDS'!ES5</f>
        <v/>
      </c>
      <c r="EU14" s="22">
        <f>'MOMO,AIRTEL,CARDS'!ET5</f>
        <v/>
      </c>
      <c r="EV14" s="22">
        <f>'MOMO,AIRTEL,CARDS'!EU5</f>
        <v/>
      </c>
      <c r="EW14" s="22">
        <f>'MOMO,AIRTEL,CARDS'!EV5</f>
        <v/>
      </c>
      <c r="EX14" s="22">
        <f>'MOMO,AIRTEL,CARDS'!EW5</f>
        <v/>
      </c>
      <c r="EY14" s="22">
        <f>'MOMO,AIRTEL,CARDS'!EX5</f>
        <v/>
      </c>
      <c r="EZ14" s="22">
        <f>'MOMO,AIRTEL,CARDS'!EY5</f>
        <v/>
      </c>
      <c r="FA14" s="22">
        <f>'MOMO,AIRTEL,CARDS'!EZ5</f>
        <v/>
      </c>
      <c r="FB14" s="22">
        <f>'MOMO,AIRTEL,CARDS'!FA5</f>
        <v/>
      </c>
      <c r="FC14" s="22">
        <f>'MOMO,AIRTEL,CARDS'!FB5</f>
        <v/>
      </c>
      <c r="FD14" s="128">
        <f>SUM(DY14:FC14)</f>
        <v/>
      </c>
      <c r="FE14" s="22">
        <f>'MOMO,AIRTEL,CARDS'!FD5</f>
        <v/>
      </c>
      <c r="FF14" s="22">
        <f>'MOMO,AIRTEL,CARDS'!FE5</f>
        <v/>
      </c>
      <c r="FG14" s="22">
        <f>'MOMO,AIRTEL,CARDS'!FF5</f>
        <v/>
      </c>
      <c r="FH14" s="22">
        <f>'MOMO,AIRTEL,CARDS'!FG5</f>
        <v/>
      </c>
      <c r="FI14" s="22">
        <f>'MOMO,AIRTEL,CARDS'!FH5</f>
        <v/>
      </c>
      <c r="FJ14" s="22">
        <f>'MOMO,AIRTEL,CARDS'!FI5</f>
        <v/>
      </c>
      <c r="FK14" s="22">
        <f>'MOMO,AIRTEL,CARDS'!FJ5</f>
        <v/>
      </c>
      <c r="FL14" s="22">
        <f>'MOMO,AIRTEL,CARDS'!FK5</f>
        <v/>
      </c>
      <c r="FM14" s="22">
        <f>'MOMO,AIRTEL,CARDS'!FL5</f>
        <v/>
      </c>
      <c r="FN14" s="22">
        <f>'MOMO,AIRTEL,CARDS'!FM5</f>
        <v/>
      </c>
      <c r="FO14" s="22">
        <f>'MOMO,AIRTEL,CARDS'!FN5</f>
        <v/>
      </c>
      <c r="FP14" s="22">
        <f>'MOMO,AIRTEL,CARDS'!FO5</f>
        <v/>
      </c>
      <c r="FQ14" s="22">
        <f>'MOMO,AIRTEL,CARDS'!FP5</f>
        <v/>
      </c>
      <c r="FR14" s="22">
        <f>'MOMO,AIRTEL,CARDS'!FQ5</f>
        <v/>
      </c>
      <c r="FS14" s="22">
        <f>'MOMO,AIRTEL,CARDS'!FR5</f>
        <v/>
      </c>
      <c r="FT14" s="22">
        <f>'MOMO,AIRTEL,CARDS'!FS5</f>
        <v/>
      </c>
      <c r="FU14" s="22">
        <f>'MOMO,AIRTEL,CARDS'!FT5</f>
        <v/>
      </c>
      <c r="FV14" s="22">
        <f>'MOMO,AIRTEL,CARDS'!FU5</f>
        <v/>
      </c>
      <c r="FW14" s="22">
        <f>'MOMO,AIRTEL,CARDS'!FV5</f>
        <v/>
      </c>
      <c r="FX14" s="22">
        <f>'MOMO,AIRTEL,CARDS'!FW5</f>
        <v/>
      </c>
      <c r="FY14" s="22">
        <f>'MOMO,AIRTEL,CARDS'!FX5</f>
        <v/>
      </c>
      <c r="FZ14" s="22">
        <f>'MOMO,AIRTEL,CARDS'!FY5</f>
        <v/>
      </c>
      <c r="GA14" s="22">
        <f>'MOMO,AIRTEL,CARDS'!FZ5</f>
        <v/>
      </c>
      <c r="GB14" s="22">
        <f>'MOMO,AIRTEL,CARDS'!GA5</f>
        <v/>
      </c>
      <c r="GC14" s="22">
        <f>'MOMO,AIRTEL,CARDS'!GB5</f>
        <v/>
      </c>
      <c r="GD14" s="22">
        <f>'MOMO,AIRTEL,CARDS'!GC5</f>
        <v/>
      </c>
      <c r="GE14" s="22">
        <f>'MOMO,AIRTEL,CARDS'!GD5</f>
        <v/>
      </c>
      <c r="GF14" s="22">
        <f>'MOMO,AIRTEL,CARDS'!GE5</f>
        <v/>
      </c>
      <c r="GG14" s="22">
        <f>'MOMO,AIRTEL,CARDS'!GF5</f>
        <v/>
      </c>
      <c r="GH14" s="22">
        <f>'MOMO,AIRTEL,CARDS'!GG5</f>
        <v/>
      </c>
      <c r="GI14" s="22">
        <f>'MOMO,AIRTEL,CARDS'!GH5</f>
        <v/>
      </c>
      <c r="GJ14" s="127">
        <f>SUM(FE14:GI14)</f>
        <v/>
      </c>
      <c r="GK14" s="22">
        <f>'MOMO,AIRTEL,CARDS'!GJ5</f>
        <v/>
      </c>
      <c r="GL14" s="22">
        <f>'MOMO,AIRTEL,CARDS'!GK5</f>
        <v/>
      </c>
      <c r="GM14" s="22">
        <f>'MOMO,AIRTEL,CARDS'!GL5</f>
        <v/>
      </c>
      <c r="GN14" s="22">
        <f>'MOMO,AIRTEL,CARDS'!GM5</f>
        <v/>
      </c>
      <c r="GO14" s="22">
        <f>'MOMO,AIRTEL,CARDS'!GN5</f>
        <v/>
      </c>
      <c r="GP14" s="22">
        <f>'MOMO,AIRTEL,CARDS'!GO5</f>
        <v/>
      </c>
      <c r="GQ14" s="22">
        <f>'MOMO,AIRTEL,CARDS'!GP5</f>
        <v/>
      </c>
      <c r="GR14" s="22">
        <f>'MOMO,AIRTEL,CARDS'!GQ5</f>
        <v/>
      </c>
      <c r="GS14" s="22">
        <f>'MOMO,AIRTEL,CARDS'!GR5</f>
        <v/>
      </c>
      <c r="GT14" s="22">
        <f>'MOMO,AIRTEL,CARDS'!GS5</f>
        <v/>
      </c>
      <c r="GU14" s="22">
        <f>'MOMO,AIRTEL,CARDS'!GT5</f>
        <v/>
      </c>
      <c r="GV14" s="22">
        <f>'MOMO,AIRTEL,CARDS'!GU5</f>
        <v/>
      </c>
      <c r="GW14" s="22">
        <f>'MOMO,AIRTEL,CARDS'!GV5</f>
        <v/>
      </c>
      <c r="GX14" s="22">
        <f>'MOMO,AIRTEL,CARDS'!GW5</f>
        <v/>
      </c>
      <c r="GY14" s="22">
        <f>'MOMO,AIRTEL,CARDS'!GX5</f>
        <v/>
      </c>
      <c r="GZ14" s="22">
        <f>'MOMO,AIRTEL,CARDS'!GY5</f>
        <v/>
      </c>
      <c r="HA14" s="22">
        <f>'MOMO,AIRTEL,CARDS'!GZ5</f>
        <v/>
      </c>
      <c r="HB14" s="22">
        <f>'MOMO,AIRTEL,CARDS'!HA5</f>
        <v/>
      </c>
      <c r="HC14" s="22">
        <f>'MOMO,AIRTEL,CARDS'!HB5</f>
        <v/>
      </c>
      <c r="HD14" s="22">
        <f>'MOMO,AIRTEL,CARDS'!HC5</f>
        <v/>
      </c>
      <c r="HE14" s="22">
        <f>'MOMO,AIRTEL,CARDS'!HD5</f>
        <v/>
      </c>
      <c r="HF14" s="22">
        <f>'MOMO,AIRTEL,CARDS'!HE5</f>
        <v/>
      </c>
      <c r="HG14" s="22">
        <f>'MOMO,AIRTEL,CARDS'!HF5</f>
        <v/>
      </c>
      <c r="HH14" s="22">
        <f>'MOMO,AIRTEL,CARDS'!HG5</f>
        <v/>
      </c>
      <c r="HI14" s="22">
        <f>'MOMO,AIRTEL,CARDS'!HH5</f>
        <v/>
      </c>
      <c r="HJ14" s="22">
        <f>'MOMO,AIRTEL,CARDS'!HI5</f>
        <v/>
      </c>
      <c r="HK14" s="22">
        <f>'MOMO,AIRTEL,CARDS'!HJ5</f>
        <v/>
      </c>
      <c r="HL14" s="22">
        <f>'MOMO,AIRTEL,CARDS'!HK5</f>
        <v/>
      </c>
      <c r="HM14" s="22">
        <f>'MOMO,AIRTEL,CARDS'!HL5</f>
        <v/>
      </c>
      <c r="HN14" s="127">
        <f>SUM(GK14:HM14)</f>
        <v/>
      </c>
      <c r="HO14" s="22">
        <f>'MOMO,AIRTEL,CARDS'!HN5</f>
        <v/>
      </c>
      <c r="HP14" s="22">
        <f>'MOMO,AIRTEL,CARDS'!HO5</f>
        <v/>
      </c>
      <c r="HQ14" s="22">
        <f>'MOMO,AIRTEL,CARDS'!HP5</f>
        <v/>
      </c>
      <c r="HR14" s="22">
        <f>'MOMO,AIRTEL,CARDS'!HQ5</f>
        <v/>
      </c>
      <c r="HS14" s="22">
        <f>'MOMO,AIRTEL,CARDS'!HR5</f>
        <v/>
      </c>
      <c r="HT14" s="22">
        <f>'MOMO,AIRTEL,CARDS'!HS5</f>
        <v/>
      </c>
      <c r="HU14" s="22">
        <f>'MOMO,AIRTEL,CARDS'!HT5</f>
        <v/>
      </c>
      <c r="HV14" s="22">
        <f>'MOMO,AIRTEL,CARDS'!HU5</f>
        <v/>
      </c>
      <c r="HW14" s="22">
        <f>'MOMO,AIRTEL,CARDS'!HV5</f>
        <v/>
      </c>
      <c r="HX14" s="22">
        <f>'MOMO,AIRTEL,CARDS'!HW5</f>
        <v/>
      </c>
      <c r="HY14" s="22">
        <f>'MOMO,AIRTEL,CARDS'!HX5</f>
        <v/>
      </c>
      <c r="HZ14" s="22">
        <f>'MOMO,AIRTEL,CARDS'!HY5</f>
        <v/>
      </c>
      <c r="IA14" s="22">
        <f>'MOMO,AIRTEL,CARDS'!HZ5</f>
        <v/>
      </c>
      <c r="IB14" s="22">
        <f>'MOMO,AIRTEL,CARDS'!IA5</f>
        <v/>
      </c>
      <c r="IC14" s="22">
        <f>'MOMO,AIRTEL,CARDS'!IB5</f>
        <v/>
      </c>
      <c r="ID14" s="22">
        <f>'MOMO,AIRTEL,CARDS'!IC5</f>
        <v/>
      </c>
      <c r="IE14" s="22">
        <f>'MOMO,AIRTEL,CARDS'!ID5</f>
        <v/>
      </c>
      <c r="IF14" s="22">
        <f>'MOMO,AIRTEL,CARDS'!IE5</f>
        <v/>
      </c>
      <c r="IG14" s="22">
        <f>'MOMO,AIRTEL,CARDS'!IF5</f>
        <v/>
      </c>
      <c r="IH14" s="22">
        <f>'MOMO,AIRTEL,CARDS'!IG5</f>
        <v/>
      </c>
      <c r="II14" s="22">
        <f>'MOMO,AIRTEL,CARDS'!IH5</f>
        <v/>
      </c>
      <c r="IJ14" s="22">
        <f>'MOMO,AIRTEL,CARDS'!II5</f>
        <v/>
      </c>
      <c r="IK14" s="22">
        <f>'MOMO,AIRTEL,CARDS'!IJ5</f>
        <v/>
      </c>
      <c r="IL14" s="22">
        <f>'MOMO,AIRTEL,CARDS'!IK5</f>
        <v/>
      </c>
      <c r="IM14" s="22">
        <f>'MOMO,AIRTEL,CARDS'!IL5</f>
        <v/>
      </c>
      <c r="IN14" s="22">
        <f>'MOMO,AIRTEL,CARDS'!IM5</f>
        <v/>
      </c>
      <c r="IO14" s="22">
        <f>'MOMO,AIRTEL,CARDS'!IN5</f>
        <v/>
      </c>
      <c r="IP14" s="22">
        <f>'MOMO,AIRTEL,CARDS'!IO5</f>
        <v/>
      </c>
      <c r="IQ14" s="22">
        <f>'MOMO,AIRTEL,CARDS'!IP5</f>
        <v/>
      </c>
      <c r="IR14" s="22">
        <f>'MOMO,AIRTEL,CARDS'!IQ5</f>
        <v/>
      </c>
      <c r="IS14" s="22">
        <f>'MOMO,AIRTEL,CARDS'!IR5</f>
        <v/>
      </c>
      <c r="IT14" s="127">
        <f>SUM(HO14:IS14)</f>
        <v/>
      </c>
      <c r="IU14" s="22">
        <f>'MOMO,AIRTEL,CARDS'!IT5</f>
        <v/>
      </c>
      <c r="IV14" s="22">
        <f>'MOMO,AIRTEL,CARDS'!IU5</f>
        <v/>
      </c>
      <c r="IW14" s="22">
        <f>'MOMO,AIRTEL,CARDS'!IV5</f>
        <v/>
      </c>
      <c r="IX14" s="22">
        <f>'MOMO,AIRTEL,CARDS'!IW5</f>
        <v/>
      </c>
      <c r="IY14" s="22">
        <f>'MOMO,AIRTEL,CARDS'!IX5</f>
        <v/>
      </c>
      <c r="IZ14" s="22">
        <f>'MOMO,AIRTEL,CARDS'!IY5</f>
        <v/>
      </c>
      <c r="JA14" s="22">
        <f>'MOMO,AIRTEL,CARDS'!IZ5</f>
        <v/>
      </c>
      <c r="JB14" s="22">
        <f>'MOMO,AIRTEL,CARDS'!JA5</f>
        <v/>
      </c>
      <c r="JC14" s="22">
        <f>'MOMO,AIRTEL,CARDS'!JB5</f>
        <v/>
      </c>
      <c r="JD14" s="22">
        <f>'MOMO,AIRTEL,CARDS'!JC5</f>
        <v/>
      </c>
      <c r="JE14" s="22">
        <f>'MOMO,AIRTEL,CARDS'!JD5</f>
        <v/>
      </c>
      <c r="JF14" s="22">
        <f>'MOMO,AIRTEL,CARDS'!JE5</f>
        <v/>
      </c>
      <c r="JG14" s="22">
        <f>'MOMO,AIRTEL,CARDS'!JF5</f>
        <v/>
      </c>
      <c r="JH14" s="22">
        <f>'MOMO,AIRTEL,CARDS'!JG5</f>
        <v/>
      </c>
      <c r="JI14" s="22">
        <f>'MOMO,AIRTEL,CARDS'!JH5</f>
        <v/>
      </c>
      <c r="JJ14" s="22">
        <f>'MOMO,AIRTEL,CARDS'!JI5</f>
        <v/>
      </c>
      <c r="JK14" s="22">
        <f>'MOMO,AIRTEL,CARDS'!JJ5</f>
        <v/>
      </c>
      <c r="JL14" s="22">
        <f>'MOMO,AIRTEL,CARDS'!JK5</f>
        <v/>
      </c>
      <c r="JM14" s="22">
        <f>'MOMO,AIRTEL,CARDS'!JL5</f>
        <v/>
      </c>
      <c r="JN14" s="22">
        <f>'MOMO,AIRTEL,CARDS'!JM5</f>
        <v/>
      </c>
      <c r="JO14" s="22">
        <f>'MOMO,AIRTEL,CARDS'!JN5</f>
        <v/>
      </c>
      <c r="JP14" s="22">
        <f>'MOMO,AIRTEL,CARDS'!JO5</f>
        <v/>
      </c>
      <c r="JQ14" s="22">
        <f>'MOMO,AIRTEL,CARDS'!JP5</f>
        <v/>
      </c>
      <c r="JR14" s="22">
        <f>'MOMO,AIRTEL,CARDS'!JQ5</f>
        <v/>
      </c>
      <c r="JS14" s="22">
        <f>'MOMO,AIRTEL,CARDS'!JR5</f>
        <v/>
      </c>
      <c r="JT14" s="22">
        <f>'MOMO,AIRTEL,CARDS'!JS5</f>
        <v/>
      </c>
      <c r="JU14" s="22">
        <f>'MOMO,AIRTEL,CARDS'!JT5</f>
        <v/>
      </c>
      <c r="JV14" s="22">
        <f>'MOMO,AIRTEL,CARDS'!JU5</f>
        <v/>
      </c>
      <c r="JW14" s="22">
        <f>'MOMO,AIRTEL,CARDS'!JV5</f>
        <v/>
      </c>
      <c r="JX14" s="22">
        <f>'MOMO,AIRTEL,CARDS'!JW5</f>
        <v/>
      </c>
      <c r="JY14" s="127">
        <f>SUM(IU14:JX14)</f>
        <v/>
      </c>
      <c r="JZ14" s="22">
        <f>'MOMO,AIRTEL,CARDS'!JY5</f>
        <v/>
      </c>
      <c r="KA14" s="22">
        <f>'MOMO,AIRTEL,CARDS'!JZ5</f>
        <v/>
      </c>
      <c r="KB14" s="22">
        <f>'MOMO,AIRTEL,CARDS'!KA5</f>
        <v/>
      </c>
      <c r="KC14" s="22">
        <f>'MOMO,AIRTEL,CARDS'!KB5</f>
        <v/>
      </c>
      <c r="KD14" s="22">
        <f>'MOMO,AIRTEL,CARDS'!KC5</f>
        <v/>
      </c>
      <c r="KE14" s="22">
        <f>'MOMO,AIRTEL,CARDS'!KD5</f>
        <v/>
      </c>
      <c r="KF14" s="22">
        <f>'MOMO,AIRTEL,CARDS'!KE5</f>
        <v/>
      </c>
      <c r="KG14" s="22">
        <f>'MOMO,AIRTEL,CARDS'!KF5</f>
        <v/>
      </c>
      <c r="KH14" s="22">
        <f>'MOMO,AIRTEL,CARDS'!KG5</f>
        <v/>
      </c>
      <c r="KI14" s="22">
        <f>'MOMO,AIRTEL,CARDS'!KH5</f>
        <v/>
      </c>
      <c r="KJ14" s="22">
        <f>'MOMO,AIRTEL,CARDS'!KI5</f>
        <v/>
      </c>
      <c r="KK14" s="22">
        <f>'MOMO,AIRTEL,CARDS'!KJ5</f>
        <v/>
      </c>
      <c r="KL14" s="22">
        <f>'MOMO,AIRTEL,CARDS'!KK5</f>
        <v/>
      </c>
      <c r="KM14" s="22">
        <f>'MOMO,AIRTEL,CARDS'!KL5</f>
        <v/>
      </c>
      <c r="KN14" s="22">
        <f>'MOMO,AIRTEL,CARDS'!KM5</f>
        <v/>
      </c>
      <c r="KO14" s="22">
        <f>'MOMO,AIRTEL,CARDS'!KN5</f>
        <v/>
      </c>
      <c r="KP14" s="22">
        <f>'MOMO,AIRTEL,CARDS'!KO5</f>
        <v/>
      </c>
      <c r="KQ14" s="22">
        <f>'MOMO,AIRTEL,CARDS'!KP5</f>
        <v/>
      </c>
      <c r="KR14" s="22">
        <f>'MOMO,AIRTEL,CARDS'!KQ5</f>
        <v/>
      </c>
      <c r="KS14" s="22">
        <f>'MOMO,AIRTEL,CARDS'!KR5</f>
        <v/>
      </c>
      <c r="KT14" s="22">
        <f>'MOMO,AIRTEL,CARDS'!KS5</f>
        <v/>
      </c>
      <c r="KU14" s="22">
        <f>'MOMO,AIRTEL,CARDS'!KT5</f>
        <v/>
      </c>
      <c r="KV14" s="22">
        <f>'MOMO,AIRTEL,CARDS'!KU5</f>
        <v/>
      </c>
      <c r="KW14" s="22">
        <f>'MOMO,AIRTEL,CARDS'!KV5</f>
        <v/>
      </c>
      <c r="KX14" s="22">
        <f>'MOMO,AIRTEL,CARDS'!KW5</f>
        <v/>
      </c>
      <c r="KY14" s="22">
        <f>'MOMO,AIRTEL,CARDS'!KX5</f>
        <v/>
      </c>
      <c r="KZ14" s="22">
        <f>'MOMO,AIRTEL,CARDS'!KY5</f>
        <v/>
      </c>
      <c r="LA14" s="22">
        <f>'MOMO,AIRTEL,CARDS'!KZ5</f>
        <v/>
      </c>
      <c r="LB14" s="22">
        <f>'MOMO,AIRTEL,CARDS'!LA5</f>
        <v/>
      </c>
      <c r="LC14" s="22">
        <f>'MOMO,AIRTEL,CARDS'!LB5</f>
        <v/>
      </c>
      <c r="LD14" s="22">
        <f>'MOMO,AIRTEL,CARDS'!LC5</f>
        <v/>
      </c>
      <c r="LE14" s="127">
        <f>SUM(KA14:LD14)</f>
        <v/>
      </c>
      <c r="LF14" s="22">
        <f>'MOMO,AIRTEL,CARDS'!LE5</f>
        <v/>
      </c>
      <c r="LG14" s="22">
        <f>'MOMO,AIRTEL,CARDS'!LF5</f>
        <v/>
      </c>
      <c r="LH14" s="22">
        <f>'MOMO,AIRTEL,CARDS'!LG5</f>
        <v/>
      </c>
      <c r="LI14" s="22">
        <f>'MOMO,AIRTEL,CARDS'!LH5</f>
        <v/>
      </c>
      <c r="LJ14" s="22">
        <f>'MOMO,AIRTEL,CARDS'!LI5</f>
        <v/>
      </c>
      <c r="LK14" s="22">
        <f>'MOMO,AIRTEL,CARDS'!LJ5</f>
        <v/>
      </c>
      <c r="LL14" s="22">
        <f>'MOMO,AIRTEL,CARDS'!LK5</f>
        <v/>
      </c>
      <c r="LM14" s="22">
        <f>'MOMO,AIRTEL,CARDS'!LL5</f>
        <v/>
      </c>
      <c r="LN14" s="22">
        <f>'MOMO,AIRTEL,CARDS'!LM5</f>
        <v/>
      </c>
      <c r="LO14" s="22">
        <f>'MOMO,AIRTEL,CARDS'!LN5</f>
        <v/>
      </c>
      <c r="LP14" s="22">
        <f>'MOMO,AIRTEL,CARDS'!LO5</f>
        <v/>
      </c>
      <c r="LQ14" s="22">
        <f>'MOMO,AIRTEL,CARDS'!LP5</f>
        <v/>
      </c>
      <c r="LR14" s="22">
        <f>'MOMO,AIRTEL,CARDS'!LQ5</f>
        <v/>
      </c>
      <c r="LS14" s="22">
        <f>'MOMO,AIRTEL,CARDS'!LR5</f>
        <v/>
      </c>
      <c r="LT14" s="22">
        <f>'MOMO,AIRTEL,CARDS'!LS5</f>
        <v/>
      </c>
      <c r="LU14" s="22">
        <f>'MOMO,AIRTEL,CARDS'!LT5</f>
        <v/>
      </c>
      <c r="LV14" s="22">
        <f>'MOMO,AIRTEL,CARDS'!LU5</f>
        <v/>
      </c>
      <c r="LW14" s="22">
        <f>'MOMO,AIRTEL,CARDS'!LV5</f>
        <v/>
      </c>
      <c r="LX14" s="22">
        <f>'MOMO,AIRTEL,CARDS'!LW5</f>
        <v/>
      </c>
      <c r="LY14" s="22">
        <f>'MOMO,AIRTEL,CARDS'!LX5</f>
        <v/>
      </c>
      <c r="LZ14" s="22">
        <f>'MOMO,AIRTEL,CARDS'!LY5</f>
        <v/>
      </c>
      <c r="MA14" s="22">
        <f>'MOMO,AIRTEL,CARDS'!LZ5</f>
        <v/>
      </c>
      <c r="MB14" s="22">
        <f>'MOMO,AIRTEL,CARDS'!MA5</f>
        <v/>
      </c>
      <c r="MC14" s="22">
        <f>'MOMO,AIRTEL,CARDS'!MB5</f>
        <v/>
      </c>
      <c r="MD14" s="22">
        <f>'MOMO,AIRTEL,CARDS'!MC5</f>
        <v/>
      </c>
      <c r="ME14" s="22">
        <f>'MOMO,AIRTEL,CARDS'!MD5</f>
        <v/>
      </c>
      <c r="MF14" s="22">
        <f>'MOMO,AIRTEL,CARDS'!ME5</f>
        <v/>
      </c>
      <c r="MG14" s="22">
        <f>'MOMO,AIRTEL,CARDS'!MF5</f>
        <v/>
      </c>
      <c r="MH14" s="22">
        <f>'MOMO,AIRTEL,CARDS'!MG5</f>
        <v/>
      </c>
      <c r="MI14" s="22">
        <f>'MOMO,AIRTEL,CARDS'!MH5</f>
        <v/>
      </c>
      <c r="MJ14" s="127">
        <f>SUM(LF14:MI14)</f>
        <v/>
      </c>
      <c r="MK14" s="22">
        <f>'MOMO,AIRTEL,CARDS'!MJ5</f>
        <v/>
      </c>
      <c r="ML14" s="22">
        <f>'MOMO,AIRTEL,CARDS'!MK5</f>
        <v/>
      </c>
      <c r="MM14" s="22">
        <f>'MOMO,AIRTEL,CARDS'!ML5</f>
        <v/>
      </c>
      <c r="MN14" s="22">
        <f>'MOMO,AIRTEL,CARDS'!MM5</f>
        <v/>
      </c>
      <c r="MO14" s="22">
        <f>'MOMO,AIRTEL,CARDS'!MN5</f>
        <v/>
      </c>
      <c r="MP14" s="22">
        <f>'MOMO,AIRTEL,CARDS'!MO5</f>
        <v/>
      </c>
      <c r="MQ14" s="22">
        <f>'MOMO,AIRTEL,CARDS'!MP5</f>
        <v/>
      </c>
      <c r="MR14" s="22">
        <f>'MOMO,AIRTEL,CARDS'!MQ5</f>
        <v/>
      </c>
      <c r="MS14" s="22">
        <f>'MOMO,AIRTEL,CARDS'!MR5</f>
        <v/>
      </c>
      <c r="MT14" s="22">
        <f>'MOMO,AIRTEL,CARDS'!MS5</f>
        <v/>
      </c>
      <c r="MU14" s="22">
        <f>'MOMO,AIRTEL,CARDS'!MT5</f>
        <v/>
      </c>
      <c r="MV14" s="22">
        <f>'MOMO,AIRTEL,CARDS'!MU5</f>
        <v/>
      </c>
      <c r="MW14" s="22">
        <f>'MOMO,AIRTEL,CARDS'!MV5</f>
        <v/>
      </c>
      <c r="MX14" s="22">
        <f>'MOMO,AIRTEL,CARDS'!MW5</f>
        <v/>
      </c>
      <c r="MY14" s="22">
        <f>'MOMO,AIRTEL,CARDS'!MX5</f>
        <v/>
      </c>
      <c r="MZ14" s="22">
        <f>'MOMO,AIRTEL,CARDS'!MY5</f>
        <v/>
      </c>
      <c r="NA14" s="22">
        <f>'MOMO,AIRTEL,CARDS'!MZ5</f>
        <v/>
      </c>
      <c r="NB14" s="22">
        <f>'MOMO,AIRTEL,CARDS'!NA5</f>
        <v/>
      </c>
      <c r="NC14" s="22">
        <f>'MOMO,AIRTEL,CARDS'!NB5</f>
        <v/>
      </c>
      <c r="ND14" s="22">
        <f>'MOMO,AIRTEL,CARDS'!NC5</f>
        <v/>
      </c>
      <c r="NE14" s="22">
        <f>'MOMO,AIRTEL,CARDS'!ND5</f>
        <v/>
      </c>
      <c r="NF14" s="22">
        <f>'MOMO,AIRTEL,CARDS'!NE5</f>
        <v/>
      </c>
      <c r="NG14" s="22">
        <f>'MOMO,AIRTEL,CARDS'!NF5</f>
        <v/>
      </c>
      <c r="NH14" s="22">
        <f>'MOMO,AIRTEL,CARDS'!NG5</f>
        <v/>
      </c>
      <c r="NI14" s="22">
        <f>'MOMO,AIRTEL,CARDS'!NH5</f>
        <v/>
      </c>
      <c r="NJ14" s="22">
        <f>'MOMO,AIRTEL,CARDS'!NI5</f>
        <v/>
      </c>
      <c r="NK14" s="22">
        <f>'MOMO,AIRTEL,CARDS'!NJ5</f>
        <v/>
      </c>
      <c r="NL14" s="22">
        <f>'MOMO,AIRTEL,CARDS'!NK5</f>
        <v/>
      </c>
      <c r="NM14" s="22">
        <f>'MOMO,AIRTEL,CARDS'!NL5</f>
        <v/>
      </c>
      <c r="NN14" s="22">
        <f>'MOMO,AIRTEL,CARDS'!NM5</f>
        <v/>
      </c>
      <c r="NO14" s="22">
        <f>'MOMO,AIRTEL,CARDS'!NN5</f>
        <v/>
      </c>
      <c r="NP14" s="127">
        <f>SUM(ML14:NO14)</f>
        <v/>
      </c>
      <c r="NQ14" s="22">
        <f>'MOMO,AIRTEL,CARDS'!NP5</f>
        <v/>
      </c>
      <c r="NR14" s="22">
        <f>'MOMO,AIRTEL,CARDS'!NQ5</f>
        <v/>
      </c>
      <c r="NS14" s="22">
        <f>'MOMO,AIRTEL,CARDS'!NR5</f>
        <v/>
      </c>
      <c r="NT14" s="22">
        <f>'MOMO,AIRTEL,CARDS'!NS5</f>
        <v/>
      </c>
      <c r="NU14" s="22">
        <f>'MOMO,AIRTEL,CARDS'!NT5</f>
        <v/>
      </c>
      <c r="NV14" s="22">
        <f>'MOMO,AIRTEL,CARDS'!NU5</f>
        <v/>
      </c>
      <c r="NW14" s="22">
        <f>'MOMO,AIRTEL,CARDS'!NV5</f>
        <v/>
      </c>
      <c r="NX14" s="22">
        <f>'MOMO,AIRTEL,CARDS'!NW5</f>
        <v/>
      </c>
      <c r="NY14" s="22">
        <f>'MOMO,AIRTEL,CARDS'!NX5</f>
        <v/>
      </c>
      <c r="NZ14" s="22">
        <f>'MOMO,AIRTEL,CARDS'!NY5</f>
        <v/>
      </c>
      <c r="OA14" s="22">
        <f>'MOMO,AIRTEL,CARDS'!NZ5</f>
        <v/>
      </c>
      <c r="OB14" s="22">
        <f>'MOMO,AIRTEL,CARDS'!OA5</f>
        <v/>
      </c>
      <c r="OC14" s="22">
        <f>'MOMO,AIRTEL,CARDS'!OB5</f>
        <v/>
      </c>
      <c r="OD14" s="22">
        <f>'MOMO,AIRTEL,CARDS'!OC5</f>
        <v/>
      </c>
      <c r="OE14" s="22">
        <f>'MOMO,AIRTEL,CARDS'!OD5</f>
        <v/>
      </c>
      <c r="OF14" s="22">
        <f>'MOMO,AIRTEL,CARDS'!OE5</f>
        <v/>
      </c>
      <c r="OG14" s="22">
        <f>'MOMO,AIRTEL,CARDS'!OF5</f>
        <v/>
      </c>
      <c r="OH14" s="22">
        <f>'MOMO,AIRTEL,CARDS'!OG5</f>
        <v/>
      </c>
      <c r="OI14" s="22">
        <f>'MOMO,AIRTEL,CARDS'!OH5</f>
        <v/>
      </c>
      <c r="OJ14" s="22">
        <f>'MOMO,AIRTEL,CARDS'!OI5</f>
        <v/>
      </c>
      <c r="OK14" s="22">
        <f>'MOMO,AIRTEL,CARDS'!OJ5</f>
        <v/>
      </c>
      <c r="OL14" s="22">
        <f>'MOMO,AIRTEL,CARDS'!OK5</f>
        <v/>
      </c>
      <c r="OM14" s="22">
        <f>'MOMO,AIRTEL,CARDS'!OL5</f>
        <v/>
      </c>
      <c r="ON14" s="22">
        <f>'MOMO,AIRTEL,CARDS'!OM5</f>
        <v/>
      </c>
      <c r="OO14" s="22">
        <f>'MOMO,AIRTEL,CARDS'!ON5</f>
        <v/>
      </c>
      <c r="OP14" s="22">
        <f>'MOMO,AIRTEL,CARDS'!OO5</f>
        <v/>
      </c>
      <c r="OQ14" s="22">
        <f>'MOMO,AIRTEL,CARDS'!OP5</f>
        <v/>
      </c>
      <c r="OR14" s="22">
        <f>'MOMO,AIRTEL,CARDS'!OQ5</f>
        <v/>
      </c>
      <c r="OS14" s="22">
        <f>'MOMO,AIRTEL,CARDS'!OR5</f>
        <v/>
      </c>
      <c r="OT14" s="22">
        <f>'MOMO,AIRTEL,CARDS'!OS5</f>
        <v/>
      </c>
      <c r="OU14" s="22">
        <f>'MOMO,AIRTEL,CARDS'!OT5</f>
        <v/>
      </c>
      <c r="OV14" s="127">
        <f>SUM(NR14:OU14)</f>
        <v/>
      </c>
      <c r="OW14" s="22">
        <f>'MOMO,AIRTEL,CARDS'!OV5</f>
        <v/>
      </c>
      <c r="OX14" s="22">
        <f>'MOMO,AIRTEL,CARDS'!OW5</f>
        <v/>
      </c>
      <c r="OY14" s="22">
        <f>'MOMO,AIRTEL,CARDS'!OX5</f>
        <v/>
      </c>
      <c r="OZ14" s="22">
        <f>'MOMO,AIRTEL,CARDS'!OY5</f>
        <v/>
      </c>
      <c r="PA14" s="22">
        <f>'MOMO,AIRTEL,CARDS'!OZ5</f>
        <v/>
      </c>
      <c r="PB14" s="22">
        <f>'MOMO,AIRTEL,CARDS'!PA5</f>
        <v/>
      </c>
      <c r="PC14" s="22">
        <f>'MOMO,AIRTEL,CARDS'!PB5</f>
        <v/>
      </c>
      <c r="PD14" s="22">
        <f>'MOMO,AIRTEL,CARDS'!PC5</f>
        <v/>
      </c>
      <c r="PE14" s="22">
        <f>'MOMO,AIRTEL,CARDS'!PD5</f>
        <v/>
      </c>
      <c r="PF14" s="22">
        <f>'MOMO,AIRTEL,CARDS'!PE5</f>
        <v/>
      </c>
      <c r="PG14" s="22">
        <f>'MOMO,AIRTEL,CARDS'!PF5</f>
        <v/>
      </c>
      <c r="PH14" s="22">
        <f>'MOMO,AIRTEL,CARDS'!PG5</f>
        <v/>
      </c>
      <c r="PI14" s="22">
        <f>'MOMO,AIRTEL,CARDS'!PH5</f>
        <v/>
      </c>
      <c r="PJ14" s="22">
        <f>'MOMO,AIRTEL,CARDS'!PI5</f>
        <v/>
      </c>
      <c r="PK14" s="22">
        <f>'MOMO,AIRTEL,CARDS'!PJ5</f>
        <v/>
      </c>
      <c r="PL14" s="22">
        <f>'MOMO,AIRTEL,CARDS'!PK5</f>
        <v/>
      </c>
      <c r="PM14" s="22">
        <f>'MOMO,AIRTEL,CARDS'!PL5</f>
        <v/>
      </c>
      <c r="PN14" s="22">
        <f>'MOMO,AIRTEL,CARDS'!PM5</f>
        <v/>
      </c>
      <c r="PO14" s="22">
        <f>'MOMO,AIRTEL,CARDS'!PN5</f>
        <v/>
      </c>
      <c r="PP14" s="22">
        <f>'MOMO,AIRTEL,CARDS'!PO5</f>
        <v/>
      </c>
      <c r="PQ14" s="22">
        <f>'MOMO,AIRTEL,CARDS'!PP5</f>
        <v/>
      </c>
      <c r="PR14" s="22">
        <f>'MOMO,AIRTEL,CARDS'!PQ5</f>
        <v/>
      </c>
      <c r="PS14" s="22">
        <f>'MOMO,AIRTEL,CARDS'!PR5</f>
        <v/>
      </c>
      <c r="PT14" s="22">
        <f>'MOMO,AIRTEL,CARDS'!PS5</f>
        <v/>
      </c>
      <c r="PU14" s="22">
        <f>'MOMO,AIRTEL,CARDS'!PT5</f>
        <v/>
      </c>
      <c r="PV14" s="22">
        <f>'MOMO,AIRTEL,CARDS'!PU5</f>
        <v/>
      </c>
      <c r="PW14" s="22">
        <f>'MOMO,AIRTEL,CARDS'!PV5</f>
        <v/>
      </c>
      <c r="PX14" s="22">
        <f>'MOMO,AIRTEL,CARDS'!PW5</f>
        <v/>
      </c>
      <c r="PY14" s="22">
        <f>'MOMO,AIRTEL,CARDS'!PX5</f>
        <v/>
      </c>
      <c r="PZ14" s="22">
        <f>'MOMO,AIRTEL,CARDS'!PY5</f>
        <v/>
      </c>
      <c r="QA14" s="127">
        <f>SUM(OW14:PZ14)</f>
        <v/>
      </c>
      <c r="QB14" s="22">
        <f>'MOMO,AIRTEL,CARDS'!QA5</f>
        <v/>
      </c>
      <c r="QC14" s="22">
        <f>'MOMO,AIRTEL,CARDS'!QB5</f>
        <v/>
      </c>
      <c r="QD14" s="22">
        <f>'MOMO,AIRTEL,CARDS'!QC5</f>
        <v/>
      </c>
      <c r="QE14" s="22">
        <f>'MOMO,AIRTEL,CARDS'!QD5</f>
        <v/>
      </c>
      <c r="QF14" s="22">
        <f>'MOMO,AIRTEL,CARDS'!QE5</f>
        <v/>
      </c>
      <c r="QG14" s="22">
        <f>'MOMO,AIRTEL,CARDS'!QF5</f>
        <v/>
      </c>
      <c r="QH14" s="22">
        <f>'MOMO,AIRTEL,CARDS'!QG5</f>
        <v/>
      </c>
      <c r="QI14" s="22">
        <f>'MOMO,AIRTEL,CARDS'!QH5</f>
        <v/>
      </c>
      <c r="QJ14" s="22">
        <f>'MOMO,AIRTEL,CARDS'!QI5</f>
        <v/>
      </c>
      <c r="QK14" s="22">
        <f>'MOMO,AIRTEL,CARDS'!QJ5</f>
        <v/>
      </c>
      <c r="QL14" s="22">
        <f>'MOMO,AIRTEL,CARDS'!QK5</f>
        <v/>
      </c>
      <c r="QM14" s="22">
        <f>'MOMO,AIRTEL,CARDS'!QL5</f>
        <v/>
      </c>
      <c r="QN14" s="22">
        <f>'MOMO,AIRTEL,CARDS'!QM5</f>
        <v/>
      </c>
      <c r="QO14" s="22">
        <f>'MOMO,AIRTEL,CARDS'!QN5</f>
        <v/>
      </c>
      <c r="QP14" s="22">
        <f>'MOMO,AIRTEL,CARDS'!QO5</f>
        <v/>
      </c>
      <c r="QQ14" s="22">
        <f>'MOMO,AIRTEL,CARDS'!QP5</f>
        <v/>
      </c>
      <c r="QR14" s="22">
        <f>'MOMO,AIRTEL,CARDS'!QQ5</f>
        <v/>
      </c>
      <c r="QS14" s="22">
        <f>'MOMO,AIRTEL,CARDS'!QR5</f>
        <v/>
      </c>
      <c r="QT14" s="22">
        <f>'MOMO,AIRTEL,CARDS'!QS5</f>
        <v/>
      </c>
      <c r="QU14" s="22">
        <f>'MOMO,AIRTEL,CARDS'!QT5</f>
        <v/>
      </c>
      <c r="QV14" s="22">
        <f>'MOMO,AIRTEL,CARDS'!QU5</f>
        <v/>
      </c>
      <c r="QW14" s="22">
        <f>'MOMO,AIRTEL,CARDS'!QV5</f>
        <v/>
      </c>
      <c r="QX14" s="22">
        <f>'MOMO,AIRTEL,CARDS'!QW5</f>
        <v/>
      </c>
      <c r="QY14" s="22">
        <f>'MOMO,AIRTEL,CARDS'!QX5</f>
        <v/>
      </c>
      <c r="QZ14" s="22">
        <f>'MOMO,AIRTEL,CARDS'!QY5</f>
        <v/>
      </c>
      <c r="RA14" s="22">
        <f>'MOMO,AIRTEL,CARDS'!QZ5</f>
        <v/>
      </c>
      <c r="RB14" s="22">
        <f>'MOMO,AIRTEL,CARDS'!RA5</f>
        <v/>
      </c>
      <c r="RC14" s="22">
        <f>'MOMO,AIRTEL,CARDS'!RB5</f>
        <v/>
      </c>
      <c r="RD14" s="22">
        <f>'MOMO,AIRTEL,CARDS'!RC5</f>
        <v/>
      </c>
      <c r="RE14" s="22">
        <f>'MOMO,AIRTEL,CARDS'!RD5</f>
        <v/>
      </c>
      <c r="RF14" s="22">
        <f>'MOMO,AIRTEL,CARDS'!RE5</f>
        <v/>
      </c>
      <c r="RG14" s="127">
        <f>SUM(QC14:RF14)</f>
        <v/>
      </c>
      <c r="RH14" s="22">
        <f>'MOMO,AIRTEL,CARDS'!RG5</f>
        <v/>
      </c>
      <c r="RI14" s="22">
        <f>'MOMO,AIRTEL,CARDS'!RH5</f>
        <v/>
      </c>
      <c r="RJ14" s="22">
        <f>'MOMO,AIRTEL,CARDS'!RI5</f>
        <v/>
      </c>
      <c r="RK14" s="22">
        <f>'MOMO,AIRTEL,CARDS'!RJ5</f>
        <v/>
      </c>
      <c r="RL14" s="22">
        <f>'MOMO,AIRTEL,CARDS'!RK5</f>
        <v/>
      </c>
      <c r="RM14" s="22">
        <f>'MOMO,AIRTEL,CARDS'!RL5</f>
        <v/>
      </c>
      <c r="RN14" s="22">
        <f>'MOMO,AIRTEL,CARDS'!RM5</f>
        <v/>
      </c>
      <c r="RO14" s="22">
        <f>'MOMO,AIRTEL,CARDS'!RN5</f>
        <v/>
      </c>
      <c r="RP14" s="22">
        <f>'MOMO,AIRTEL,CARDS'!RO5</f>
        <v/>
      </c>
      <c r="RQ14" s="22">
        <f>'MOMO,AIRTEL,CARDS'!RP5</f>
        <v/>
      </c>
      <c r="RR14" s="22">
        <f>'MOMO,AIRTEL,CARDS'!RQ5</f>
        <v/>
      </c>
      <c r="RS14" s="22">
        <f>'MOMO,AIRTEL,CARDS'!RR5</f>
        <v/>
      </c>
      <c r="RT14" s="22">
        <f>'MOMO,AIRTEL,CARDS'!RS5</f>
        <v/>
      </c>
      <c r="RU14" s="22">
        <f>'MOMO,AIRTEL,CARDS'!RT5</f>
        <v/>
      </c>
      <c r="RV14" s="22">
        <f>'MOMO,AIRTEL,CARDS'!RU5</f>
        <v/>
      </c>
      <c r="RW14" s="22">
        <f>'MOMO,AIRTEL,CARDS'!RV5</f>
        <v/>
      </c>
      <c r="RX14" s="22">
        <f>'MOMO,AIRTEL,CARDS'!RW5</f>
        <v/>
      </c>
      <c r="RY14" s="22">
        <f>'MOMO,AIRTEL,CARDS'!RX5</f>
        <v/>
      </c>
      <c r="RZ14" s="22">
        <f>'MOMO,AIRTEL,CARDS'!RY5</f>
        <v/>
      </c>
      <c r="SA14" s="22">
        <f>'MOMO,AIRTEL,CARDS'!RZ5</f>
        <v/>
      </c>
      <c r="SB14" s="22">
        <f>'MOMO,AIRTEL,CARDS'!SA5</f>
        <v/>
      </c>
      <c r="SC14" s="22">
        <f>'MOMO,AIRTEL,CARDS'!SB5</f>
        <v/>
      </c>
      <c r="SD14" s="22">
        <f>'MOMO,AIRTEL,CARDS'!SC5</f>
        <v/>
      </c>
      <c r="SE14" s="22">
        <f>'MOMO,AIRTEL,CARDS'!SD5</f>
        <v/>
      </c>
      <c r="SF14" s="22">
        <f>'MOMO,AIRTEL,CARDS'!SE5</f>
        <v/>
      </c>
      <c r="SG14" s="22">
        <f>'MOMO,AIRTEL,CARDS'!SF5</f>
        <v/>
      </c>
      <c r="SH14" s="22">
        <f>'MOMO,AIRTEL,CARDS'!SG5</f>
        <v/>
      </c>
      <c r="SI14" s="22">
        <f>'MOMO,AIRTEL,CARDS'!SH5</f>
        <v/>
      </c>
      <c r="SJ14" s="22">
        <f>'MOMO,AIRTEL,CARDS'!SI5</f>
        <v/>
      </c>
      <c r="SK14" s="22">
        <f>'MOMO,AIRTEL,CARDS'!SJ5</f>
        <v/>
      </c>
      <c r="SL14" s="127">
        <f>SUM(RH14:SK14)</f>
        <v/>
      </c>
      <c r="SM14" s="22">
        <f>'MOMO,AIRTEL,CARDS'!SL5</f>
        <v/>
      </c>
      <c r="SN14" s="22">
        <f>'MOMO,AIRTEL,CARDS'!SM5</f>
        <v/>
      </c>
      <c r="SO14" s="22">
        <f>'MOMO,AIRTEL,CARDS'!SN5</f>
        <v/>
      </c>
      <c r="SP14" s="22">
        <f>'MOMO,AIRTEL,CARDS'!SO5</f>
        <v/>
      </c>
      <c r="SQ14" s="22">
        <f>'MOMO,AIRTEL,CARDS'!SP5</f>
        <v/>
      </c>
      <c r="SR14" s="22">
        <f>'MOMO,AIRTEL,CARDS'!SQ5</f>
        <v/>
      </c>
      <c r="SS14" s="22">
        <f>'MOMO,AIRTEL,CARDS'!SR5</f>
        <v/>
      </c>
      <c r="ST14" s="22">
        <f>'MOMO,AIRTEL,CARDS'!SS5</f>
        <v/>
      </c>
      <c r="SU14" s="22">
        <f>'MOMO,AIRTEL,CARDS'!ST5</f>
        <v/>
      </c>
      <c r="SV14" s="22">
        <f>'MOMO,AIRTEL,CARDS'!SU5</f>
        <v/>
      </c>
      <c r="SW14" s="22">
        <f>'MOMO,AIRTEL,CARDS'!SV5</f>
        <v/>
      </c>
      <c r="SX14" s="22">
        <f>'MOMO,AIRTEL,CARDS'!SW5</f>
        <v/>
      </c>
      <c r="SY14" s="22">
        <f>'MOMO,AIRTEL,CARDS'!SX5</f>
        <v/>
      </c>
      <c r="SZ14" s="22">
        <f>'MOMO,AIRTEL,CARDS'!SY5</f>
        <v/>
      </c>
      <c r="TA14" s="22">
        <f>'MOMO,AIRTEL,CARDS'!SZ5</f>
        <v/>
      </c>
      <c r="TB14" s="22">
        <f>'MOMO,AIRTEL,CARDS'!TA5</f>
        <v/>
      </c>
      <c r="TC14" s="22">
        <f>'MOMO,AIRTEL,CARDS'!TB5</f>
        <v/>
      </c>
      <c r="TD14" s="22">
        <f>'MOMO,AIRTEL,CARDS'!TC5</f>
        <v/>
      </c>
      <c r="TE14" s="22">
        <f>'MOMO,AIRTEL,CARDS'!TD5</f>
        <v/>
      </c>
      <c r="TF14" s="22">
        <f>'MOMO,AIRTEL,CARDS'!TE5</f>
        <v/>
      </c>
      <c r="TG14" s="22">
        <f>'MOMO,AIRTEL,CARDS'!TF5</f>
        <v/>
      </c>
      <c r="TH14" s="22">
        <f>'MOMO,AIRTEL,CARDS'!TG5</f>
        <v/>
      </c>
      <c r="TI14" s="22">
        <f>'MOMO,AIRTEL,CARDS'!TH5</f>
        <v/>
      </c>
      <c r="TJ14" s="22">
        <f>'MOMO,AIRTEL,CARDS'!TI5</f>
        <v/>
      </c>
      <c r="TK14" s="22">
        <f>'MOMO,AIRTEL,CARDS'!TJ5</f>
        <v/>
      </c>
      <c r="TL14" s="22">
        <f>'MOMO,AIRTEL,CARDS'!TK5</f>
        <v/>
      </c>
      <c r="TM14" s="22">
        <f>'MOMO,AIRTEL,CARDS'!TL5</f>
        <v/>
      </c>
      <c r="TN14" s="22">
        <f>'MOMO,AIRTEL,CARDS'!TM5</f>
        <v/>
      </c>
      <c r="TO14" s="22">
        <f>'MOMO,AIRTEL,CARDS'!TN5</f>
        <v/>
      </c>
      <c r="TP14" s="22">
        <f>'MOMO,AIRTEL,CARDS'!TO5</f>
        <v/>
      </c>
      <c r="TQ14" s="22">
        <f>'MOMO,AIRTEL,CARDS'!TP5</f>
        <v/>
      </c>
      <c r="TR14" s="127">
        <f>SUM(SN14:TQ14)</f>
        <v/>
      </c>
      <c r="TS14" s="22">
        <f>'MOMO,AIRTEL,CARDS'!TR5</f>
        <v/>
      </c>
      <c r="TT14" s="22">
        <f>'MOMO,AIRTEL,CARDS'!TS5</f>
        <v/>
      </c>
      <c r="TU14" s="22">
        <f>'MOMO,AIRTEL,CARDS'!TT5</f>
        <v/>
      </c>
      <c r="TV14" s="22">
        <f>'MOMO,AIRTEL,CARDS'!TU5</f>
        <v/>
      </c>
      <c r="TW14" s="22">
        <f>'MOMO,AIRTEL,CARDS'!TV5</f>
        <v/>
      </c>
      <c r="TX14" s="22">
        <f>'MOMO,AIRTEL,CARDS'!TW5</f>
        <v/>
      </c>
      <c r="TY14" s="22">
        <f>'MOMO,AIRTEL,CARDS'!TX5</f>
        <v/>
      </c>
      <c r="TZ14" s="22">
        <f>'MOMO,AIRTEL,CARDS'!TY5</f>
        <v/>
      </c>
      <c r="UA14" s="22">
        <f>'MOMO,AIRTEL,CARDS'!TZ5</f>
        <v/>
      </c>
      <c r="UB14" s="22">
        <f>'MOMO,AIRTEL,CARDS'!UA5</f>
        <v/>
      </c>
      <c r="UC14" s="22">
        <f>'MOMO,AIRTEL,CARDS'!UB5</f>
        <v/>
      </c>
      <c r="UD14" s="22">
        <f>'MOMO,AIRTEL,CARDS'!UC5</f>
        <v/>
      </c>
      <c r="UE14" s="22">
        <f>'MOMO,AIRTEL,CARDS'!UD5</f>
        <v/>
      </c>
      <c r="UF14" s="22">
        <f>'MOMO,AIRTEL,CARDS'!UE5</f>
        <v/>
      </c>
      <c r="UG14" s="22">
        <f>'MOMO,AIRTEL,CARDS'!UF5</f>
        <v/>
      </c>
      <c r="UH14" s="22">
        <f>'MOMO,AIRTEL,CARDS'!UG5</f>
        <v/>
      </c>
      <c r="UI14" s="22">
        <f>'MOMO,AIRTEL,CARDS'!UH5</f>
        <v/>
      </c>
      <c r="UJ14" s="22">
        <f>'MOMO,AIRTEL,CARDS'!UI5</f>
        <v/>
      </c>
      <c r="UK14" s="22">
        <f>'MOMO,AIRTEL,CARDS'!UJ5</f>
        <v/>
      </c>
      <c r="UL14" s="22">
        <f>'MOMO,AIRTEL,CARDS'!UK5</f>
        <v/>
      </c>
      <c r="UM14" s="22">
        <f>'MOMO,AIRTEL,CARDS'!UL5</f>
        <v/>
      </c>
      <c r="UN14" s="22">
        <f>'MOMO,AIRTEL,CARDS'!UM5</f>
        <v/>
      </c>
      <c r="UO14" s="22">
        <f>'MOMO,AIRTEL,CARDS'!UN5</f>
        <v/>
      </c>
      <c r="UP14" s="22">
        <f>'MOMO,AIRTEL,CARDS'!UO5</f>
        <v/>
      </c>
      <c r="UQ14" s="22">
        <f>'MOMO,AIRTEL,CARDS'!UP5</f>
        <v/>
      </c>
      <c r="UR14" s="22">
        <f>'MOMO,AIRTEL,CARDS'!UQ5</f>
        <v/>
      </c>
      <c r="US14" s="22">
        <f>'MOMO,AIRTEL,CARDS'!UR5</f>
        <v/>
      </c>
      <c r="UT14" s="22">
        <f>'MOMO,AIRTEL,CARDS'!US5</f>
        <v/>
      </c>
      <c r="UU14" s="22">
        <f>'MOMO,AIRTEL,CARDS'!UT5</f>
        <v/>
      </c>
      <c r="UV14" s="22">
        <f>'MOMO,AIRTEL,CARDS'!UU5</f>
        <v/>
      </c>
      <c r="UW14" s="22">
        <f>'MOMO,AIRTEL,CARDS'!UV5</f>
        <v/>
      </c>
      <c r="UX14" s="127">
        <f>SUM(TT14:UW14)</f>
        <v/>
      </c>
      <c r="UY14" s="22">
        <f>'MOMO,AIRTEL,CARDS'!UX5</f>
        <v/>
      </c>
      <c r="UZ14" s="22">
        <f>'MOMO,AIRTEL,CARDS'!UY5</f>
        <v/>
      </c>
      <c r="VA14" s="22">
        <f>'MOMO,AIRTEL,CARDS'!UZ5</f>
        <v/>
      </c>
      <c r="VB14" s="22">
        <f>'MOMO,AIRTEL,CARDS'!VA5</f>
        <v/>
      </c>
      <c r="VC14" s="22">
        <f>'MOMO,AIRTEL,CARDS'!VB5</f>
        <v/>
      </c>
      <c r="VD14" s="22">
        <f>'MOMO,AIRTEL,CARDS'!VC5</f>
        <v/>
      </c>
      <c r="VE14" s="22">
        <f>'MOMO,AIRTEL,CARDS'!VD5</f>
        <v/>
      </c>
      <c r="VF14" s="22">
        <f>'MOMO,AIRTEL,CARDS'!VE5</f>
        <v/>
      </c>
      <c r="VG14" s="22">
        <f>'MOMO,AIRTEL,CARDS'!VF5</f>
        <v/>
      </c>
      <c r="VH14" s="22">
        <f>'MOMO,AIRTEL,CARDS'!VG5</f>
        <v/>
      </c>
      <c r="VI14" s="22">
        <f>'MOMO,AIRTEL,CARDS'!VH5</f>
        <v/>
      </c>
      <c r="VJ14" s="22">
        <f>'MOMO,AIRTEL,CARDS'!VI5</f>
        <v/>
      </c>
      <c r="VK14" s="22">
        <f>'MOMO,AIRTEL,CARDS'!VJ5</f>
        <v/>
      </c>
      <c r="VL14" s="22">
        <f>'MOMO,AIRTEL,CARDS'!VK5</f>
        <v/>
      </c>
      <c r="VM14" s="22">
        <f>'MOMO,AIRTEL,CARDS'!VL5</f>
        <v/>
      </c>
      <c r="VN14" s="22">
        <f>'MOMO,AIRTEL,CARDS'!VM5</f>
        <v/>
      </c>
      <c r="VO14" s="22">
        <f>'MOMO,AIRTEL,CARDS'!VN5</f>
        <v/>
      </c>
      <c r="VP14" s="22">
        <f>'MOMO,AIRTEL,CARDS'!VO5</f>
        <v/>
      </c>
      <c r="VQ14" s="22">
        <f>'MOMO,AIRTEL,CARDS'!VP5</f>
        <v/>
      </c>
      <c r="VR14" s="22">
        <f>'MOMO,AIRTEL,CARDS'!VQ5</f>
        <v/>
      </c>
      <c r="VS14" s="22">
        <f>'MOMO,AIRTEL,CARDS'!VR5</f>
        <v/>
      </c>
      <c r="VT14" s="22">
        <f>'MOMO,AIRTEL,CARDS'!VS5</f>
        <v/>
      </c>
      <c r="VU14" s="22">
        <f>'MOMO,AIRTEL,CARDS'!VT5</f>
        <v/>
      </c>
      <c r="VV14" s="22">
        <f>'MOMO,AIRTEL,CARDS'!VU5</f>
        <v/>
      </c>
      <c r="VW14" s="22">
        <f>'MOMO,AIRTEL,CARDS'!VV5</f>
        <v/>
      </c>
      <c r="VX14" s="22">
        <f>'MOMO,AIRTEL,CARDS'!VW5</f>
        <v/>
      </c>
      <c r="VY14" s="22">
        <f>'MOMO,AIRTEL,CARDS'!VX5</f>
        <v/>
      </c>
      <c r="VZ14" s="22">
        <f>'MOMO,AIRTEL,CARDS'!VY5</f>
        <v/>
      </c>
      <c r="WA14" s="127">
        <f>SUM(UY14:VZ14)</f>
        <v/>
      </c>
      <c r="WB14" s="22">
        <f>'MOMO,AIRTEL,CARDS'!WA5</f>
        <v/>
      </c>
      <c r="WC14" s="22">
        <f>'MOMO,AIRTEL,CARDS'!WB5</f>
        <v/>
      </c>
      <c r="WD14" s="22">
        <f>'MOMO,AIRTEL,CARDS'!WC5</f>
        <v/>
      </c>
      <c r="WE14" s="22">
        <f>'MOMO,AIRTEL,CARDS'!WD5</f>
        <v/>
      </c>
      <c r="WF14" s="22">
        <f>'MOMO,AIRTEL,CARDS'!WE5</f>
        <v/>
      </c>
      <c r="WG14" s="22">
        <f>'MOMO,AIRTEL,CARDS'!WF5</f>
        <v/>
      </c>
      <c r="WH14" s="22">
        <f>'MOMO,AIRTEL,CARDS'!WG5</f>
        <v/>
      </c>
      <c r="WI14" s="22">
        <f>'MOMO,AIRTEL,CARDS'!WH5</f>
        <v/>
      </c>
      <c r="WJ14" s="22">
        <f>'MOMO,AIRTEL,CARDS'!WI5</f>
        <v/>
      </c>
      <c r="WK14" s="22">
        <f>'MOMO,AIRTEL,CARDS'!WJ5</f>
        <v/>
      </c>
      <c r="WL14" s="22">
        <f>'MOMO,AIRTEL,CARDS'!WK5</f>
        <v/>
      </c>
      <c r="WM14" s="22">
        <f>'MOMO,AIRTEL,CARDS'!WL5</f>
        <v/>
      </c>
      <c r="WN14" s="22">
        <f>'MOMO,AIRTEL,CARDS'!WM5</f>
        <v/>
      </c>
      <c r="WO14" s="22">
        <f>'MOMO,AIRTEL,CARDS'!WN5</f>
        <v/>
      </c>
      <c r="WP14" s="22">
        <f>'MOMO,AIRTEL,CARDS'!WO5</f>
        <v/>
      </c>
      <c r="WQ14" s="22">
        <f>'MOMO,AIRTEL,CARDS'!WP5</f>
        <v/>
      </c>
      <c r="WR14" s="22">
        <f>'MOMO,AIRTEL,CARDS'!WQ5</f>
        <v/>
      </c>
      <c r="WS14" s="22">
        <f>'MOMO,AIRTEL,CARDS'!WR5</f>
        <v/>
      </c>
      <c r="WT14" s="22">
        <f>'MOMO,AIRTEL,CARDS'!WS5</f>
        <v/>
      </c>
      <c r="WU14" s="22">
        <f>'MOMO,AIRTEL,CARDS'!WT5</f>
        <v/>
      </c>
      <c r="WV14" s="22">
        <f>'MOMO,AIRTEL,CARDS'!WU5</f>
        <v/>
      </c>
      <c r="WW14" s="22">
        <f>'MOMO,AIRTEL,CARDS'!WV5</f>
        <v/>
      </c>
      <c r="WX14" s="22">
        <f>'MOMO,AIRTEL,CARDS'!WW5</f>
        <v/>
      </c>
      <c r="WY14" s="22">
        <f>'MOMO,AIRTEL,CARDS'!WX5</f>
        <v/>
      </c>
      <c r="WZ14" s="22">
        <f>'MOMO,AIRTEL,CARDS'!WY5</f>
        <v/>
      </c>
      <c r="XA14" s="22">
        <f>'MOMO,AIRTEL,CARDS'!WZ5</f>
        <v/>
      </c>
      <c r="XB14" s="22">
        <f>'MOMO,AIRTEL,CARDS'!XA5</f>
        <v/>
      </c>
      <c r="XC14" s="22">
        <f>'MOMO,AIRTEL,CARDS'!XB5</f>
        <v/>
      </c>
      <c r="XD14" s="22">
        <f>'MOMO,AIRTEL,CARDS'!XC5</f>
        <v/>
      </c>
      <c r="XE14" s="22">
        <f>'MOMO,AIRTEL,CARDS'!XD5</f>
        <v/>
      </c>
      <c r="XF14" s="22">
        <f>'MOMO,AIRTEL,CARDS'!XE5</f>
        <v/>
      </c>
      <c r="XG14" s="127">
        <f>SUM(WB14:XF14)</f>
        <v/>
      </c>
      <c r="XH14" s="22">
        <f>'MOMO,AIRTEL,CARDS'!XG5</f>
        <v/>
      </c>
      <c r="XI14" s="22">
        <f>'MOMO,AIRTEL,CARDS'!XH5</f>
        <v/>
      </c>
      <c r="XJ14" s="22">
        <f>'MOMO,AIRTEL,CARDS'!XI5</f>
        <v/>
      </c>
      <c r="XK14" s="22">
        <f>'MOMO,AIRTEL,CARDS'!XJ5</f>
        <v/>
      </c>
      <c r="XL14" s="22">
        <f>'MOMO,AIRTEL,CARDS'!XK5</f>
        <v/>
      </c>
      <c r="XM14" s="22">
        <f>'MOMO,AIRTEL,CARDS'!XL5</f>
        <v/>
      </c>
      <c r="XN14" s="22">
        <f>'MOMO,AIRTEL,CARDS'!XM5</f>
        <v/>
      </c>
      <c r="XO14" s="22">
        <f>'MOMO,AIRTEL,CARDS'!XN5</f>
        <v/>
      </c>
      <c r="XP14" s="22">
        <f>'MOMO,AIRTEL,CARDS'!XO5</f>
        <v/>
      </c>
      <c r="XQ14" s="22">
        <f>'MOMO,AIRTEL,CARDS'!XP5</f>
        <v/>
      </c>
      <c r="XR14" s="22">
        <f>'MOMO,AIRTEL,CARDS'!XQ5</f>
        <v/>
      </c>
      <c r="XS14" s="22">
        <f>'MOMO,AIRTEL,CARDS'!XR5</f>
        <v/>
      </c>
      <c r="XT14" s="22">
        <f>'MOMO,AIRTEL,CARDS'!XS5</f>
        <v/>
      </c>
      <c r="XU14" s="22">
        <f>'MOMO,AIRTEL,CARDS'!XT5</f>
        <v/>
      </c>
      <c r="XV14" s="22">
        <f>'MOMO,AIRTEL,CARDS'!XU5</f>
        <v/>
      </c>
      <c r="XW14" s="22">
        <f>'MOMO,AIRTEL,CARDS'!XV5</f>
        <v/>
      </c>
      <c r="XX14" s="22">
        <f>'MOMO,AIRTEL,CARDS'!XW5</f>
        <v/>
      </c>
      <c r="XY14" s="22">
        <f>'MOMO,AIRTEL,CARDS'!XX5</f>
        <v/>
      </c>
      <c r="XZ14" s="22">
        <f>'MOMO,AIRTEL,CARDS'!XY5</f>
        <v/>
      </c>
      <c r="YA14" s="22">
        <f>'MOMO,AIRTEL,CARDS'!XZ5</f>
        <v/>
      </c>
      <c r="YB14" s="22">
        <f>'MOMO,AIRTEL,CARDS'!YA5</f>
        <v/>
      </c>
      <c r="YC14" s="22">
        <f>'MOMO,AIRTEL,CARDS'!YB5</f>
        <v/>
      </c>
      <c r="YD14" s="22">
        <f>'MOMO,AIRTEL,CARDS'!YC5</f>
        <v/>
      </c>
      <c r="YE14" s="22">
        <f>'MOMO,AIRTEL,CARDS'!YD5</f>
        <v/>
      </c>
      <c r="YF14" s="22">
        <f>'MOMO,AIRTEL,CARDS'!YE5</f>
        <v/>
      </c>
      <c r="YG14" s="22">
        <f>'MOMO,AIRTEL,CARDS'!YF5</f>
        <v/>
      </c>
      <c r="YH14" s="22">
        <f>'MOMO,AIRTEL,CARDS'!YG5</f>
        <v/>
      </c>
      <c r="YI14" s="22">
        <f>'MOMO,AIRTEL,CARDS'!YH5</f>
        <v/>
      </c>
      <c r="YJ14" s="22">
        <f>'MOMO,AIRTEL,CARDS'!YI5</f>
        <v/>
      </c>
      <c r="YK14" s="22">
        <f>'MOMO,AIRTEL,CARDS'!YJ5</f>
        <v/>
      </c>
      <c r="YL14" s="127">
        <f>SUM(XH14:YK14)</f>
        <v/>
      </c>
      <c r="YM14" s="22">
        <f>'MOMO,AIRTEL,CARDS'!YL5</f>
        <v/>
      </c>
      <c r="YN14" s="22">
        <f>'MOMO,AIRTEL,CARDS'!YM5</f>
        <v/>
      </c>
      <c r="YO14" s="22">
        <f>'MOMO,AIRTEL,CARDS'!YN5</f>
        <v/>
      </c>
      <c r="YP14" s="22">
        <f>'MOMO,AIRTEL,CARDS'!YO5</f>
        <v/>
      </c>
      <c r="YQ14" s="22">
        <f>'MOMO,AIRTEL,CARDS'!YP5</f>
        <v/>
      </c>
      <c r="YR14" s="22">
        <f>'MOMO,AIRTEL,CARDS'!YQ5</f>
        <v/>
      </c>
      <c r="YS14" s="22">
        <f>'MOMO,AIRTEL,CARDS'!YR5</f>
        <v/>
      </c>
      <c r="YT14" s="22">
        <f>'MOMO,AIRTEL,CARDS'!YS5</f>
        <v/>
      </c>
      <c r="YU14" s="22">
        <f>'MOMO,AIRTEL,CARDS'!YT5</f>
        <v/>
      </c>
      <c r="YV14" s="22">
        <f>'MOMO,AIRTEL,CARDS'!YU5</f>
        <v/>
      </c>
      <c r="YW14" s="22">
        <f>'MOMO,AIRTEL,CARDS'!YV5</f>
        <v/>
      </c>
      <c r="YX14" s="22">
        <f>'MOMO,AIRTEL,CARDS'!YW5</f>
        <v/>
      </c>
      <c r="YY14" s="22">
        <f>'MOMO,AIRTEL,CARDS'!YX5</f>
        <v/>
      </c>
      <c r="YZ14" s="22">
        <f>'MOMO,AIRTEL,CARDS'!YY5</f>
        <v/>
      </c>
      <c r="ZA14" s="22">
        <f>'MOMO,AIRTEL,CARDS'!YZ5</f>
        <v/>
      </c>
      <c r="ZB14" s="22">
        <f>'MOMO,AIRTEL,CARDS'!ZA5</f>
        <v/>
      </c>
      <c r="ZC14" s="22">
        <f>'MOMO,AIRTEL,CARDS'!ZB5</f>
        <v/>
      </c>
      <c r="ZD14" s="22">
        <f>'MOMO,AIRTEL,CARDS'!ZC5</f>
        <v/>
      </c>
      <c r="ZE14" s="22">
        <f>'MOMO,AIRTEL,CARDS'!ZD5</f>
        <v/>
      </c>
      <c r="ZF14" s="22">
        <f>'MOMO,AIRTEL,CARDS'!ZE5</f>
        <v/>
      </c>
      <c r="ZG14" s="22">
        <f>'MOMO,AIRTEL,CARDS'!ZF5</f>
        <v/>
      </c>
      <c r="ZH14" s="22">
        <f>'MOMO,AIRTEL,CARDS'!ZG5</f>
        <v/>
      </c>
      <c r="ZI14" s="22">
        <f>'MOMO,AIRTEL,CARDS'!ZH5</f>
        <v/>
      </c>
      <c r="ZJ14" s="22">
        <f>'MOMO,AIRTEL,CARDS'!ZI5</f>
        <v/>
      </c>
      <c r="ZK14" s="22">
        <f>'MOMO,AIRTEL,CARDS'!ZJ5</f>
        <v/>
      </c>
      <c r="ZL14" s="22">
        <f>'MOMO,AIRTEL,CARDS'!ZK5</f>
        <v/>
      </c>
      <c r="ZM14" s="22">
        <f>'MOMO,AIRTEL,CARDS'!ZL5</f>
        <v/>
      </c>
      <c r="ZN14" s="22">
        <f>'MOMO,AIRTEL,CARDS'!ZM5</f>
        <v/>
      </c>
      <c r="ZO14" s="22">
        <f>'MOMO,AIRTEL,CARDS'!ZN5</f>
        <v/>
      </c>
      <c r="ZP14" s="22">
        <f>'MOMO,AIRTEL,CARDS'!ZO5</f>
        <v/>
      </c>
      <c r="ZQ14" s="22">
        <f>'MOMO,AIRTEL,CARDS'!ZP5</f>
        <v/>
      </c>
      <c r="ZR14" s="127">
        <f>SUM(YM14:ZQ14)</f>
        <v/>
      </c>
      <c r="ZS14" s="22">
        <f>'MOMO,AIRTEL,CARDS'!ZR5</f>
        <v/>
      </c>
      <c r="ZT14" s="22">
        <f>'MOMO,AIRTEL,CARDS'!ZS5</f>
        <v/>
      </c>
      <c r="ZU14" s="22">
        <f>'MOMO,AIRTEL,CARDS'!ZT5</f>
        <v/>
      </c>
      <c r="ZV14" s="22">
        <f>'MOMO,AIRTEL,CARDS'!ZU5</f>
        <v/>
      </c>
      <c r="ZW14" s="22">
        <f>'MOMO,AIRTEL,CARDS'!ZV5</f>
        <v/>
      </c>
      <c r="ZX14" s="22">
        <f>'MOMO,AIRTEL,CARDS'!ZW5</f>
        <v/>
      </c>
      <c r="ZY14" s="22">
        <f>'MOMO,AIRTEL,CARDS'!ZX5</f>
        <v/>
      </c>
      <c r="ZZ14" s="22">
        <f>'MOMO,AIRTEL,CARDS'!ZY5</f>
        <v/>
      </c>
      <c r="AAA14" s="22">
        <f>'MOMO,AIRTEL,CARDS'!ZZ5</f>
        <v/>
      </c>
      <c r="AAB14" s="22">
        <f>'MOMO,AIRTEL,CARDS'!AAA5</f>
        <v/>
      </c>
      <c r="AAC14" s="22">
        <f>'MOMO,AIRTEL,CARDS'!AAB5</f>
        <v/>
      </c>
      <c r="AAD14" s="22">
        <f>'MOMO,AIRTEL,CARDS'!AAC5</f>
        <v/>
      </c>
      <c r="AAE14" s="22">
        <f>'MOMO,AIRTEL,CARDS'!AAD5</f>
        <v/>
      </c>
      <c r="AAF14" s="22">
        <f>'MOMO,AIRTEL,CARDS'!AAE5</f>
        <v/>
      </c>
      <c r="AAG14" s="22">
        <f>'MOMO,AIRTEL,CARDS'!AAF5</f>
        <v/>
      </c>
      <c r="AAH14" s="22">
        <f>'MOMO,AIRTEL,CARDS'!AAG5</f>
        <v/>
      </c>
      <c r="AAI14" s="22">
        <f>'MOMO,AIRTEL,CARDS'!AAH5</f>
        <v/>
      </c>
      <c r="AAJ14" s="22">
        <f>'MOMO,AIRTEL,CARDS'!AAI5</f>
        <v/>
      </c>
      <c r="AAK14" s="22">
        <f>'MOMO,AIRTEL,CARDS'!AAJ5</f>
        <v/>
      </c>
      <c r="AAL14" s="22">
        <f>'MOMO,AIRTEL,CARDS'!AAK5</f>
        <v/>
      </c>
      <c r="AAM14" s="22">
        <f>'MOMO,AIRTEL,CARDS'!AAL5</f>
        <v/>
      </c>
      <c r="AAN14" s="22">
        <f>'MOMO,AIRTEL,CARDS'!AAM5</f>
        <v/>
      </c>
      <c r="AAO14" s="22">
        <f>'MOMO,AIRTEL,CARDS'!AAN5</f>
        <v/>
      </c>
      <c r="AAP14" s="22">
        <f>'MOMO,AIRTEL,CARDS'!AAO5</f>
        <v/>
      </c>
      <c r="AAQ14" s="22">
        <f>'MOMO,AIRTEL,CARDS'!AAP5</f>
        <v/>
      </c>
      <c r="AAR14" s="22">
        <f>'MOMO,AIRTEL,CARDS'!AAQ5</f>
        <v/>
      </c>
      <c r="AAS14" s="22">
        <f>'MOMO,AIRTEL,CARDS'!AAR5</f>
        <v/>
      </c>
      <c r="AAT14" s="22">
        <f>'MOMO,AIRTEL,CARDS'!AAS5</f>
        <v/>
      </c>
      <c r="AAU14" s="22">
        <f>'MOMO,AIRTEL,CARDS'!AAT5</f>
        <v/>
      </c>
      <c r="AAV14" s="22">
        <f>'MOMO,AIRTEL,CARDS'!AAU5</f>
        <v/>
      </c>
      <c r="AAW14" s="127">
        <f>SUM(ZS14:AAV14)</f>
        <v/>
      </c>
      <c r="AAX14" s="22">
        <f>'MOMO,AIRTEL,CARDS'!AAW5</f>
        <v/>
      </c>
      <c r="AAY14" s="22">
        <f>'MOMO,AIRTEL,CARDS'!AAX5</f>
        <v/>
      </c>
      <c r="AAZ14" s="22">
        <f>'MOMO,AIRTEL,CARDS'!AAY5</f>
        <v/>
      </c>
      <c r="ABA14" s="22">
        <f>'MOMO,AIRTEL,CARDS'!AAZ5</f>
        <v/>
      </c>
      <c r="ABB14" s="22">
        <f>'MOMO,AIRTEL,CARDS'!ABA5</f>
        <v/>
      </c>
      <c r="ABC14" s="22">
        <f>'MOMO,AIRTEL,CARDS'!ABB5</f>
        <v/>
      </c>
      <c r="ABD14" s="22">
        <f>'MOMO,AIRTEL,CARDS'!ABC5</f>
        <v/>
      </c>
      <c r="ABE14" s="22">
        <f>'MOMO,AIRTEL,CARDS'!ABD5</f>
        <v/>
      </c>
      <c r="ABF14" s="22">
        <f>'MOMO,AIRTEL,CARDS'!ABE5</f>
        <v/>
      </c>
      <c r="ABG14" s="22">
        <f>'MOMO,AIRTEL,CARDS'!ABF5</f>
        <v/>
      </c>
      <c r="ABH14" s="22">
        <f>'MOMO,AIRTEL,CARDS'!ABG5</f>
        <v/>
      </c>
      <c r="ABI14" s="22">
        <f>'MOMO,AIRTEL,CARDS'!ABH5</f>
        <v/>
      </c>
      <c r="ABJ14" s="22">
        <f>'MOMO,AIRTEL,CARDS'!ABI5</f>
        <v/>
      </c>
      <c r="ABK14" s="22">
        <f>'MOMO,AIRTEL,CARDS'!ABJ5</f>
        <v/>
      </c>
      <c r="ABL14" s="22">
        <f>'MOMO,AIRTEL,CARDS'!ABK5</f>
        <v/>
      </c>
      <c r="ABM14" s="22">
        <f>'MOMO,AIRTEL,CARDS'!ABL5</f>
        <v/>
      </c>
      <c r="ABN14" s="22">
        <f>'MOMO,AIRTEL,CARDS'!ABM5</f>
        <v/>
      </c>
      <c r="ABO14" s="22">
        <f>'MOMO,AIRTEL,CARDS'!ABN5</f>
        <v/>
      </c>
      <c r="ABP14" s="22">
        <f>'MOMO,AIRTEL,CARDS'!ABO5</f>
        <v/>
      </c>
      <c r="ABQ14" s="22">
        <f>'MOMO,AIRTEL,CARDS'!ABP5</f>
        <v/>
      </c>
      <c r="ABR14" s="22">
        <f>'MOMO,AIRTEL,CARDS'!ABQ5</f>
        <v/>
      </c>
      <c r="ABS14" s="22">
        <f>'MOMO,AIRTEL,CARDS'!ABR5</f>
        <v/>
      </c>
      <c r="ABT14" s="22">
        <f>'MOMO,AIRTEL,CARDS'!ABS5</f>
        <v/>
      </c>
      <c r="ABU14" s="22">
        <f>'MOMO,AIRTEL,CARDS'!ABT5</f>
        <v/>
      </c>
      <c r="ABV14" s="22">
        <f>'MOMO,AIRTEL,CARDS'!ABU5</f>
        <v/>
      </c>
      <c r="ABW14" s="22">
        <f>'MOMO,AIRTEL,CARDS'!ABV5</f>
        <v/>
      </c>
      <c r="ABX14" s="22">
        <f>'MOMO,AIRTEL,CARDS'!ABW5</f>
        <v/>
      </c>
      <c r="ABY14" s="22">
        <f>'MOMO,AIRTEL,CARDS'!ABX5</f>
        <v/>
      </c>
      <c r="ABZ14" s="22">
        <f>'MOMO,AIRTEL,CARDS'!ABY5</f>
        <v/>
      </c>
      <c r="ACA14" s="22">
        <f>'MOMO,AIRTEL,CARDS'!ABZ5</f>
        <v/>
      </c>
      <c r="ACB14" s="22">
        <f>'MOMO,AIRTEL,CARDS'!ACA5</f>
        <v/>
      </c>
      <c r="ACC14" s="127">
        <f>SUM(AAX14:ACB14)</f>
        <v/>
      </c>
      <c r="ACD14" s="22">
        <f>'MOMO,AIRTEL,CARDS'!ACC5</f>
        <v/>
      </c>
      <c r="ACE14" s="22">
        <f>'MOMO,AIRTEL,CARDS'!ACD5</f>
        <v/>
      </c>
      <c r="ACF14" s="22">
        <f>'MOMO,AIRTEL,CARDS'!ACE5</f>
        <v/>
      </c>
      <c r="ACG14" s="22">
        <f>'MOMO,AIRTEL,CARDS'!ACF5</f>
        <v/>
      </c>
      <c r="ACH14" s="22">
        <f>'MOMO,AIRTEL,CARDS'!ACG5</f>
        <v/>
      </c>
      <c r="ACI14" s="22">
        <f>'MOMO,AIRTEL,CARDS'!ACH5</f>
        <v/>
      </c>
      <c r="ACJ14" s="22">
        <f>'MOMO,AIRTEL,CARDS'!ACI5</f>
        <v/>
      </c>
      <c r="ACK14" s="22">
        <f>'MOMO,AIRTEL,CARDS'!ACJ5</f>
        <v/>
      </c>
      <c r="ACL14" s="22">
        <f>'MOMO,AIRTEL,CARDS'!ACK5</f>
        <v/>
      </c>
      <c r="ACM14" s="22">
        <f>'MOMO,AIRTEL,CARDS'!ACL5</f>
        <v/>
      </c>
      <c r="ACN14" s="22">
        <f>'MOMO,AIRTEL,CARDS'!ACM5</f>
        <v/>
      </c>
      <c r="ACO14" s="22">
        <f>'MOMO,AIRTEL,CARDS'!ACN5</f>
        <v/>
      </c>
      <c r="ACP14" s="22">
        <f>'MOMO,AIRTEL,CARDS'!ACO5</f>
        <v/>
      </c>
      <c r="ACQ14" s="22">
        <f>'MOMO,AIRTEL,CARDS'!ACP5</f>
        <v/>
      </c>
      <c r="ACR14" s="22">
        <f>'MOMO,AIRTEL,CARDS'!ACQ5</f>
        <v/>
      </c>
      <c r="ACS14" s="22">
        <f>'MOMO,AIRTEL,CARDS'!ACR5</f>
        <v/>
      </c>
      <c r="ACT14" s="22">
        <f>'MOMO,AIRTEL,CARDS'!ACS5</f>
        <v/>
      </c>
      <c r="ACU14" s="22">
        <f>'MOMO,AIRTEL,CARDS'!ACT5</f>
        <v/>
      </c>
      <c r="ACV14" s="22">
        <f>'MOMO,AIRTEL,CARDS'!ACU5</f>
        <v/>
      </c>
      <c r="ACW14" s="22">
        <f>'MOMO,AIRTEL,CARDS'!ACV5</f>
        <v/>
      </c>
      <c r="ACX14" s="22">
        <f>'MOMO,AIRTEL,CARDS'!ACW5</f>
        <v/>
      </c>
      <c r="ACY14" s="22">
        <f>'MOMO,AIRTEL,CARDS'!ACX5</f>
        <v/>
      </c>
      <c r="ACZ14" s="22">
        <f>'MOMO,AIRTEL,CARDS'!ACY5</f>
        <v/>
      </c>
      <c r="ADA14" s="22">
        <f>'MOMO,AIRTEL,CARDS'!ACZ5</f>
        <v/>
      </c>
      <c r="ADB14" s="22">
        <f>'MOMO,AIRTEL,CARDS'!ADA5</f>
        <v/>
      </c>
      <c r="ADC14" s="22">
        <f>'MOMO,AIRTEL,CARDS'!ADB5</f>
        <v/>
      </c>
      <c r="ADD14" s="22">
        <f>'MOMO,AIRTEL,CARDS'!ADC5</f>
        <v/>
      </c>
      <c r="ADE14" s="22">
        <f>'MOMO,AIRTEL,CARDS'!ADD5</f>
        <v/>
      </c>
      <c r="ADF14" s="22">
        <f>'MOMO,AIRTEL,CARDS'!ADE5</f>
        <v/>
      </c>
      <c r="ADG14" s="22">
        <f>'MOMO,AIRTEL,CARDS'!ADF5</f>
        <v/>
      </c>
      <c r="ADH14" s="22">
        <f>'MOMO,AIRTEL,CARDS'!ADG5</f>
        <v/>
      </c>
      <c r="ADI14" s="127">
        <f>SUM(ACD14:ADH14)</f>
        <v/>
      </c>
      <c r="ADJ14" s="22">
        <f>'MOMO,AIRTEL,CARDS'!ADI5</f>
        <v/>
      </c>
      <c r="ADK14" s="22">
        <f>'MOMO,AIRTEL,CARDS'!ADJ5</f>
        <v/>
      </c>
      <c r="ADL14" s="22">
        <f>'MOMO,AIRTEL,CARDS'!ADK5</f>
        <v/>
      </c>
      <c r="ADM14" s="22">
        <f>'MOMO,AIRTEL,CARDS'!ADL5</f>
        <v/>
      </c>
      <c r="ADN14" s="22">
        <f>'MOMO,AIRTEL,CARDS'!ADM5</f>
        <v/>
      </c>
      <c r="ADO14" s="22">
        <f>'MOMO,AIRTEL,CARDS'!ADN5</f>
        <v/>
      </c>
      <c r="ADP14" s="22">
        <f>'MOMO,AIRTEL,CARDS'!ADO5</f>
        <v/>
      </c>
      <c r="ADQ14" s="22">
        <f>'MOMO,AIRTEL,CARDS'!ADP5</f>
        <v/>
      </c>
      <c r="ADR14" s="22">
        <f>'MOMO,AIRTEL,CARDS'!ADQ5</f>
        <v/>
      </c>
      <c r="ADS14" s="22">
        <f>'MOMO,AIRTEL,CARDS'!ADR5</f>
        <v/>
      </c>
      <c r="ADT14" s="22">
        <f>'MOMO,AIRTEL,CARDS'!ADS5</f>
        <v/>
      </c>
      <c r="ADU14" s="22">
        <f>'MOMO,AIRTEL,CARDS'!ADT5</f>
        <v/>
      </c>
      <c r="ADV14" s="22">
        <f>'MOMO,AIRTEL,CARDS'!ADU5</f>
        <v/>
      </c>
      <c r="ADW14" s="22">
        <f>'MOMO,AIRTEL,CARDS'!ADV5</f>
        <v/>
      </c>
      <c r="ADX14" s="22">
        <f>'MOMO,AIRTEL,CARDS'!ADW5</f>
        <v/>
      </c>
      <c r="ADY14" s="22">
        <f>'MOMO,AIRTEL,CARDS'!ADX5</f>
        <v/>
      </c>
      <c r="ADZ14" s="22">
        <f>'MOMO,AIRTEL,CARDS'!ADY5</f>
        <v/>
      </c>
      <c r="AEA14" s="22">
        <f>'MOMO,AIRTEL,CARDS'!ADZ5</f>
        <v/>
      </c>
      <c r="AEB14" s="22">
        <f>'MOMO,AIRTEL,CARDS'!AEA5</f>
        <v/>
      </c>
      <c r="AEC14" s="22">
        <f>'MOMO,AIRTEL,CARDS'!AEB5</f>
        <v/>
      </c>
      <c r="AED14" s="22">
        <f>'MOMO,AIRTEL,CARDS'!AEC5</f>
        <v/>
      </c>
      <c r="AEE14" s="22">
        <f>'MOMO,AIRTEL,CARDS'!AED5</f>
        <v/>
      </c>
      <c r="AEF14" s="22">
        <f>'MOMO,AIRTEL,CARDS'!AEE5</f>
        <v/>
      </c>
      <c r="AEG14" s="22">
        <f>'MOMO,AIRTEL,CARDS'!AEF5</f>
        <v/>
      </c>
      <c r="AEH14" s="22">
        <f>'MOMO,AIRTEL,CARDS'!AEG5</f>
        <v/>
      </c>
      <c r="AEI14" s="22">
        <f>'MOMO,AIRTEL,CARDS'!AEH5</f>
        <v/>
      </c>
      <c r="AEJ14" s="22">
        <f>'MOMO,AIRTEL,CARDS'!AEI5</f>
        <v/>
      </c>
      <c r="AEK14" s="22">
        <f>'MOMO,AIRTEL,CARDS'!AEJ5</f>
        <v/>
      </c>
      <c r="AEL14" s="22">
        <f>'MOMO,AIRTEL,CARDS'!AEK5</f>
        <v/>
      </c>
      <c r="AEM14" s="22">
        <f>'MOMO,AIRTEL,CARDS'!AEL5</f>
        <v/>
      </c>
      <c r="AEN14" s="127">
        <f>SUM(ADJ14:AEM14)</f>
        <v/>
      </c>
      <c r="AEO14" s="22">
        <f>'MOMO,AIRTEL,CARDS'!AEN5</f>
        <v/>
      </c>
      <c r="AEP14" s="22">
        <f>'MOMO,AIRTEL,CARDS'!AEO5</f>
        <v/>
      </c>
      <c r="AEQ14" s="22">
        <f>'MOMO,AIRTEL,CARDS'!AEP5</f>
        <v/>
      </c>
      <c r="AER14" s="22">
        <f>'MOMO,AIRTEL,CARDS'!AEQ5</f>
        <v/>
      </c>
      <c r="AES14" s="22">
        <f>'MOMO,AIRTEL,CARDS'!AER5</f>
        <v/>
      </c>
      <c r="AET14" s="22">
        <f>'MOMO,AIRTEL,CARDS'!AES5</f>
        <v/>
      </c>
      <c r="AEU14" s="22">
        <f>'MOMO,AIRTEL,CARDS'!AET5</f>
        <v/>
      </c>
      <c r="AEV14" s="22">
        <f>'MOMO,AIRTEL,CARDS'!AEU5</f>
        <v/>
      </c>
      <c r="AEW14" s="22">
        <f>'MOMO,AIRTEL,CARDS'!AEV5</f>
        <v/>
      </c>
      <c r="AEX14" s="22">
        <f>'MOMO,AIRTEL,CARDS'!AEW5</f>
        <v/>
      </c>
      <c r="AEY14" s="22">
        <f>'MOMO,AIRTEL,CARDS'!AEX5</f>
        <v/>
      </c>
      <c r="AEZ14" s="22">
        <f>'MOMO,AIRTEL,CARDS'!AEY5</f>
        <v/>
      </c>
      <c r="AFA14" s="22">
        <f>'MOMO,AIRTEL,CARDS'!AEZ5</f>
        <v/>
      </c>
      <c r="AFB14" s="22">
        <f>'MOMO,AIRTEL,CARDS'!AFA5</f>
        <v/>
      </c>
      <c r="AFC14" s="22">
        <f>'MOMO,AIRTEL,CARDS'!AFB5</f>
        <v/>
      </c>
      <c r="AFD14" s="22">
        <f>'MOMO,AIRTEL,CARDS'!AFC5</f>
        <v/>
      </c>
      <c r="AFE14" s="22">
        <f>'MOMO,AIRTEL,CARDS'!AFD5</f>
        <v/>
      </c>
      <c r="AFF14" s="22">
        <f>'MOMO,AIRTEL,CARDS'!AFE5</f>
        <v/>
      </c>
      <c r="AFG14" s="22">
        <f>'MOMO,AIRTEL,CARDS'!AFF5</f>
        <v/>
      </c>
      <c r="AFH14" s="22">
        <f>'MOMO,AIRTEL,CARDS'!AFG5</f>
        <v/>
      </c>
      <c r="AFI14" s="22">
        <f>'MOMO,AIRTEL,CARDS'!AFH5</f>
        <v/>
      </c>
      <c r="AFJ14" s="22">
        <f>'MOMO,AIRTEL,CARDS'!AFI5</f>
        <v/>
      </c>
      <c r="AFK14" s="22">
        <f>'MOMO,AIRTEL,CARDS'!AFJ5</f>
        <v/>
      </c>
      <c r="AFL14" s="22">
        <f>'MOMO,AIRTEL,CARDS'!AFK5</f>
        <v/>
      </c>
      <c r="AFM14" s="22">
        <f>'MOMO,AIRTEL,CARDS'!AFL5</f>
        <v/>
      </c>
      <c r="AFN14" s="22">
        <f>'MOMO,AIRTEL,CARDS'!AFM5</f>
        <v/>
      </c>
      <c r="AFO14" s="22">
        <f>'MOMO,AIRTEL,CARDS'!AFN5</f>
        <v/>
      </c>
      <c r="AFP14" s="22">
        <f>'MOMO,AIRTEL,CARDS'!AFO5</f>
        <v/>
      </c>
      <c r="AFQ14" s="22">
        <f>'MOMO,AIRTEL,CARDS'!AFP5</f>
        <v/>
      </c>
      <c r="AFR14" s="22">
        <f>'MOMO,AIRTEL,CARDS'!AFQ5</f>
        <v/>
      </c>
      <c r="AFS14" s="22">
        <f>'MOMO,AIRTEL,CARDS'!AFR5</f>
        <v/>
      </c>
      <c r="AFT14" s="127">
        <f>SUM(AEO14:AFS14)</f>
        <v/>
      </c>
      <c r="AFU14" s="22">
        <f>'MOMO,AIRTEL,CARDS'!AFT5</f>
        <v/>
      </c>
      <c r="AFV14" s="22">
        <f>'MOMO,AIRTEL,CARDS'!AFU5</f>
        <v/>
      </c>
      <c r="AFW14" s="22">
        <f>'MOMO,AIRTEL,CARDS'!AFV5</f>
        <v/>
      </c>
      <c r="AFX14" s="22">
        <f>'MOMO,AIRTEL,CARDS'!AFW5</f>
        <v/>
      </c>
      <c r="AFY14" s="22">
        <f>'MOMO,AIRTEL,CARDS'!AFX5</f>
        <v/>
      </c>
      <c r="AFZ14" s="22">
        <f>'MOMO,AIRTEL,CARDS'!AFY5</f>
        <v/>
      </c>
      <c r="AGA14" s="22">
        <f>'MOMO,AIRTEL,CARDS'!AFZ5</f>
        <v/>
      </c>
      <c r="AGB14" s="22">
        <f>'MOMO,AIRTEL,CARDS'!AGA5</f>
        <v/>
      </c>
      <c r="AGC14" s="22">
        <f>'MOMO,AIRTEL,CARDS'!AGB5</f>
        <v/>
      </c>
      <c r="AGD14" s="22">
        <f>'MOMO,AIRTEL,CARDS'!AGC5</f>
        <v/>
      </c>
      <c r="AGE14" s="22">
        <f>'MOMO,AIRTEL,CARDS'!AGD5</f>
        <v/>
      </c>
      <c r="AGF14" s="22">
        <f>'MOMO,AIRTEL,CARDS'!AGE5</f>
        <v/>
      </c>
      <c r="AGG14" s="22">
        <f>'MOMO,AIRTEL,CARDS'!AGF5</f>
        <v/>
      </c>
      <c r="AGH14" s="22">
        <f>'MOMO,AIRTEL,CARDS'!AGG5</f>
        <v/>
      </c>
      <c r="AGI14" s="22">
        <f>'MOMO,AIRTEL,CARDS'!AGH5</f>
        <v/>
      </c>
      <c r="AGJ14" s="22">
        <f>'MOMO,AIRTEL,CARDS'!AGI5</f>
        <v/>
      </c>
      <c r="AGK14" s="22">
        <f>'MOMO,AIRTEL,CARDS'!AGJ5</f>
        <v/>
      </c>
      <c r="AGL14" s="22">
        <f>'MOMO,AIRTEL,CARDS'!AGK5</f>
        <v/>
      </c>
      <c r="AGM14" s="22">
        <f>'MOMO,AIRTEL,CARDS'!AGL5</f>
        <v/>
      </c>
      <c r="AGN14" s="22">
        <f>'MOMO,AIRTEL,CARDS'!AGM5</f>
        <v/>
      </c>
      <c r="AGO14" s="22">
        <f>'MOMO,AIRTEL,CARDS'!AGN5</f>
        <v/>
      </c>
      <c r="AGP14" s="22">
        <f>'MOMO,AIRTEL,CARDS'!AGO5</f>
        <v/>
      </c>
      <c r="AGQ14" s="22">
        <f>'MOMO,AIRTEL,CARDS'!AGP5</f>
        <v/>
      </c>
      <c r="AGR14" s="22">
        <f>'MOMO,AIRTEL,CARDS'!AGQ5</f>
        <v/>
      </c>
      <c r="AGS14" s="22">
        <f>'MOMO,AIRTEL,CARDS'!AGR5</f>
        <v/>
      </c>
      <c r="AGT14" s="22">
        <f>'MOMO,AIRTEL,CARDS'!AGS5</f>
        <v/>
      </c>
      <c r="AGU14" s="22">
        <f>'MOMO,AIRTEL,CARDS'!AGT5</f>
        <v/>
      </c>
      <c r="AGV14" s="22">
        <f>'MOMO,AIRTEL,CARDS'!AGU5</f>
        <v/>
      </c>
      <c r="AGW14" s="22">
        <f>'MOMO,AIRTEL,CARDS'!AGV5</f>
        <v/>
      </c>
      <c r="AGX14" s="22">
        <f>'MOMO,AIRTEL,CARDS'!AGW5</f>
        <v/>
      </c>
      <c r="AGY14" s="127">
        <f>SUM(AFU14:AGX14)</f>
        <v/>
      </c>
      <c r="AGZ14" s="22">
        <f>'MOMO,AIRTEL,CARDS'!AGY5</f>
        <v/>
      </c>
      <c r="AHA14" s="22">
        <f>'MOMO,AIRTEL,CARDS'!AGZ5</f>
        <v/>
      </c>
      <c r="AHB14" s="22">
        <f>'MOMO,AIRTEL,CARDS'!AHA5</f>
        <v/>
      </c>
      <c r="AHC14" s="22">
        <f>'MOMO,AIRTEL,CARDS'!AHB5</f>
        <v/>
      </c>
      <c r="AHD14" s="22">
        <f>'MOMO,AIRTEL,CARDS'!AHC5</f>
        <v/>
      </c>
      <c r="AHE14" s="22">
        <f>'MOMO,AIRTEL,CARDS'!AHD5</f>
        <v/>
      </c>
      <c r="AHF14" s="22">
        <f>'MOMO,AIRTEL,CARDS'!AHE5</f>
        <v/>
      </c>
      <c r="AHG14" s="22">
        <f>'MOMO,AIRTEL,CARDS'!AHF5</f>
        <v/>
      </c>
      <c r="AHH14" s="22">
        <f>'MOMO,AIRTEL,CARDS'!AHG5</f>
        <v/>
      </c>
      <c r="AHI14" s="22">
        <f>'MOMO,AIRTEL,CARDS'!AHH5</f>
        <v/>
      </c>
      <c r="AHJ14" s="22">
        <f>'MOMO,AIRTEL,CARDS'!AHI5</f>
        <v/>
      </c>
      <c r="AHK14" s="22">
        <f>'MOMO,AIRTEL,CARDS'!AHJ5</f>
        <v/>
      </c>
      <c r="AHL14" s="22">
        <f>'MOMO,AIRTEL,CARDS'!AHK5</f>
        <v/>
      </c>
      <c r="AHM14" s="22">
        <f>'MOMO,AIRTEL,CARDS'!AHL5</f>
        <v/>
      </c>
      <c r="AHN14" s="22">
        <f>'MOMO,AIRTEL,CARDS'!AHM5</f>
        <v/>
      </c>
      <c r="AHO14" s="22">
        <f>'MOMO,AIRTEL,CARDS'!AHN5</f>
        <v/>
      </c>
      <c r="AHP14" s="22">
        <f>'MOMO,AIRTEL,CARDS'!AHO5</f>
        <v/>
      </c>
      <c r="AHQ14" s="22">
        <f>'MOMO,AIRTEL,CARDS'!AHP5</f>
        <v/>
      </c>
      <c r="AHR14" s="22">
        <f>'MOMO,AIRTEL,CARDS'!AHQ5</f>
        <v/>
      </c>
      <c r="AHS14" s="22">
        <f>'MOMO,AIRTEL,CARDS'!AHR5</f>
        <v/>
      </c>
      <c r="AHT14" s="22">
        <f>'MOMO,AIRTEL,CARDS'!AHS5</f>
        <v/>
      </c>
      <c r="AHU14" s="22">
        <f>'MOMO,AIRTEL,CARDS'!AHT5</f>
        <v/>
      </c>
      <c r="AHV14" s="22">
        <f>'MOMO,AIRTEL,CARDS'!AHU5</f>
        <v/>
      </c>
      <c r="AHW14" s="22">
        <f>'MOMO,AIRTEL,CARDS'!AHV5</f>
        <v/>
      </c>
      <c r="AHX14" s="22">
        <f>'MOMO,AIRTEL,CARDS'!AHW5</f>
        <v/>
      </c>
      <c r="AHY14" s="22">
        <f>'MOMO,AIRTEL,CARDS'!AHX5</f>
        <v/>
      </c>
      <c r="AHZ14" s="22">
        <f>'MOMO,AIRTEL,CARDS'!AHY5</f>
        <v/>
      </c>
      <c r="AIA14" s="22">
        <f>'MOMO,AIRTEL,CARDS'!AHZ5</f>
        <v/>
      </c>
      <c r="AIB14" s="22">
        <f>'MOMO,AIRTEL,CARDS'!AIA5</f>
        <v/>
      </c>
      <c r="AIC14" s="22">
        <f>'MOMO,AIRTEL,CARDS'!AIB5</f>
        <v/>
      </c>
      <c r="AID14" s="22">
        <f>'MOMO,AIRTEL,CARDS'!AIC5</f>
        <v/>
      </c>
      <c r="AIE14" s="127">
        <f>SUM(AHA14:AID14)</f>
        <v/>
      </c>
      <c r="AIF14" s="22">
        <f>'MOMO,AIRTEL,CARDS'!AIE5</f>
        <v/>
      </c>
      <c r="AIG14" s="22">
        <f>'MOMO,AIRTEL,CARDS'!AIF5</f>
        <v/>
      </c>
      <c r="AIH14" s="22">
        <f>'MOMO,AIRTEL,CARDS'!AIG5</f>
        <v/>
      </c>
      <c r="AII14" s="22">
        <f>'MOMO,AIRTEL,CARDS'!AIH5</f>
        <v/>
      </c>
      <c r="AIJ14" s="22">
        <f>'MOMO,AIRTEL,CARDS'!AII5</f>
        <v/>
      </c>
      <c r="AIK14" s="22">
        <f>'MOMO,AIRTEL,CARDS'!AIJ5</f>
        <v/>
      </c>
      <c r="AIL14" s="22">
        <f>'MOMO,AIRTEL,CARDS'!AIK5</f>
        <v/>
      </c>
      <c r="AIM14" s="22">
        <f>'MOMO,AIRTEL,CARDS'!AIL5</f>
        <v/>
      </c>
      <c r="AIN14" s="22">
        <f>'MOMO,AIRTEL,CARDS'!AIM5</f>
        <v/>
      </c>
      <c r="AIO14" s="22">
        <f>'MOMO,AIRTEL,CARDS'!AIN5</f>
        <v/>
      </c>
      <c r="AIP14" s="22">
        <f>'MOMO,AIRTEL,CARDS'!AIO5</f>
        <v/>
      </c>
      <c r="AIQ14" s="22">
        <f>'MOMO,AIRTEL,CARDS'!AIP5</f>
        <v/>
      </c>
      <c r="AIR14" s="22">
        <f>'MOMO,AIRTEL,CARDS'!AIQ5</f>
        <v/>
      </c>
      <c r="AIS14" s="22">
        <f>'MOMO,AIRTEL,CARDS'!AIR5</f>
        <v/>
      </c>
      <c r="AIT14" s="22">
        <f>'MOMO,AIRTEL,CARDS'!AIS5</f>
        <v/>
      </c>
      <c r="AIU14" s="22">
        <f>'MOMO,AIRTEL,CARDS'!AIT5</f>
        <v/>
      </c>
      <c r="AIV14" s="22">
        <f>'MOMO,AIRTEL,CARDS'!AIU5</f>
        <v/>
      </c>
      <c r="AIW14" s="22">
        <f>'MOMO,AIRTEL,CARDS'!AIV5</f>
        <v/>
      </c>
      <c r="AIX14" s="22">
        <f>'MOMO,AIRTEL,CARDS'!AIW5</f>
        <v/>
      </c>
      <c r="AIY14" s="22">
        <f>'MOMO,AIRTEL,CARDS'!AIX5</f>
        <v/>
      </c>
      <c r="AIZ14" s="22">
        <f>'MOMO,AIRTEL,CARDS'!AIY5</f>
        <v/>
      </c>
      <c r="AJA14" s="22">
        <f>'MOMO,AIRTEL,CARDS'!AIZ5</f>
        <v/>
      </c>
      <c r="AJB14" s="22">
        <f>'MOMO,AIRTEL,CARDS'!AJA5</f>
        <v/>
      </c>
      <c r="AJC14" s="22">
        <f>'MOMO,AIRTEL,CARDS'!AJB5</f>
        <v/>
      </c>
      <c r="AJD14" s="22">
        <f>'MOMO,AIRTEL,CARDS'!AJC5</f>
        <v/>
      </c>
      <c r="AJE14" s="22">
        <f>'MOMO,AIRTEL,CARDS'!AJD5</f>
        <v/>
      </c>
      <c r="AJF14" s="22">
        <f>'MOMO,AIRTEL,CARDS'!AJE5</f>
        <v/>
      </c>
      <c r="AJG14" s="22">
        <f>'MOMO,AIRTEL,CARDS'!AJF5</f>
        <v/>
      </c>
      <c r="AJH14" s="22">
        <f>'MOMO,AIRTEL,CARDS'!AJG5</f>
        <v/>
      </c>
      <c r="AJI14" s="22">
        <f>'MOMO,AIRTEL,CARDS'!AJH5</f>
        <v/>
      </c>
      <c r="AJJ14" s="22">
        <f>'MOMO,AIRTEL,CARDS'!AJI5</f>
        <v/>
      </c>
      <c r="AJK14" s="127">
        <f>SUM(AIG14:AJJ14)</f>
        <v/>
      </c>
      <c r="AJL14" s="22">
        <f>'MOMO,AIRTEL,CARDS'!AJK5</f>
        <v/>
      </c>
      <c r="AJM14" s="22">
        <f>'MOMO,AIRTEL,CARDS'!AJL5</f>
        <v/>
      </c>
      <c r="AJN14" s="22">
        <f>'MOMO,AIRTEL,CARDS'!AJM5</f>
        <v/>
      </c>
      <c r="AJO14" s="22">
        <f>'MOMO,AIRTEL,CARDS'!AJN5</f>
        <v/>
      </c>
      <c r="AJP14" s="22">
        <f>'MOMO,AIRTEL,CARDS'!AJO5</f>
        <v/>
      </c>
      <c r="AJQ14" s="22">
        <f>'MOMO,AIRTEL,CARDS'!AJP5</f>
        <v/>
      </c>
      <c r="AJR14" s="22">
        <f>'MOMO,AIRTEL,CARDS'!AJQ5</f>
        <v/>
      </c>
      <c r="AJS14" s="22">
        <f>'MOMO,AIRTEL,CARDS'!AJR5</f>
        <v/>
      </c>
      <c r="AJT14" s="22">
        <f>'MOMO,AIRTEL,CARDS'!AJS5</f>
        <v/>
      </c>
      <c r="AJU14" s="22">
        <f>'MOMO,AIRTEL,CARDS'!AJT5</f>
        <v/>
      </c>
      <c r="AJV14" s="22">
        <f>'MOMO,AIRTEL,CARDS'!AJU5</f>
        <v/>
      </c>
      <c r="AJW14" s="22">
        <f>'MOMO,AIRTEL,CARDS'!AJV5</f>
        <v/>
      </c>
      <c r="AJX14" s="22">
        <f>'MOMO,AIRTEL,CARDS'!AJW5</f>
        <v/>
      </c>
      <c r="AJY14" s="22">
        <f>'MOMO,AIRTEL,CARDS'!AJX5</f>
        <v/>
      </c>
      <c r="AJZ14" s="22">
        <f>'MOMO,AIRTEL,CARDS'!AJY5</f>
        <v/>
      </c>
      <c r="AKA14" s="22">
        <f>'MOMO,AIRTEL,CARDS'!AJZ5</f>
        <v/>
      </c>
      <c r="AKB14" s="22">
        <f>'MOMO,AIRTEL,CARDS'!AKA5</f>
        <v/>
      </c>
      <c r="AKC14" s="22">
        <f>'MOMO,AIRTEL,CARDS'!AKB5</f>
        <v/>
      </c>
      <c r="AKD14" s="22">
        <f>'MOMO,AIRTEL,CARDS'!AKC5</f>
        <v/>
      </c>
      <c r="AKE14" s="22">
        <f>'MOMO,AIRTEL,CARDS'!AKD5</f>
        <v/>
      </c>
      <c r="AKF14" s="22">
        <f>'MOMO,AIRTEL,CARDS'!AKE5</f>
        <v/>
      </c>
      <c r="AKG14" s="22">
        <f>'MOMO,AIRTEL,CARDS'!AKF5</f>
        <v/>
      </c>
      <c r="AKH14" s="22">
        <f>'MOMO,AIRTEL,CARDS'!AKG5</f>
        <v/>
      </c>
      <c r="AKI14" s="22">
        <f>'MOMO,AIRTEL,CARDS'!AKH5</f>
        <v/>
      </c>
      <c r="AKJ14" s="22">
        <f>'MOMO,AIRTEL,CARDS'!AKI5</f>
        <v/>
      </c>
      <c r="AKK14" s="22">
        <f>'MOMO,AIRTEL,CARDS'!AKJ5</f>
        <v/>
      </c>
      <c r="AKL14" s="22">
        <f>'MOMO,AIRTEL,CARDS'!AKK5</f>
        <v/>
      </c>
      <c r="AKM14" s="22">
        <f>'MOMO,AIRTEL,CARDS'!AKL5</f>
        <v/>
      </c>
      <c r="AKN14" s="127">
        <f>SUM(AJL14:AKM14)</f>
        <v/>
      </c>
      <c r="AKO14" s="22">
        <f>'MOMO,AIRTEL,CARDS'!AKN5</f>
        <v/>
      </c>
      <c r="AKP14" s="22">
        <f>'MOMO,AIRTEL,CARDS'!AKO5</f>
        <v/>
      </c>
      <c r="AKQ14" s="22">
        <f>'MOMO,AIRTEL,CARDS'!AKP5</f>
        <v/>
      </c>
      <c r="AKR14" s="22">
        <f>'MOMO,AIRTEL,CARDS'!AKQ5</f>
        <v/>
      </c>
      <c r="AKS14" s="22">
        <f>'MOMO,AIRTEL,CARDS'!AKR5</f>
        <v/>
      </c>
      <c r="AKT14" s="22">
        <f>'MOMO,AIRTEL,CARDS'!AKS5</f>
        <v/>
      </c>
      <c r="AKU14" s="22">
        <f>'MOMO,AIRTEL,CARDS'!AKT5</f>
        <v/>
      </c>
      <c r="AKV14" s="22">
        <f>'MOMO,AIRTEL,CARDS'!AKU5</f>
        <v/>
      </c>
      <c r="AKW14" s="22">
        <f>'MOMO,AIRTEL,CARDS'!AKV5</f>
        <v/>
      </c>
      <c r="AKX14" s="22">
        <f>'MOMO,AIRTEL,CARDS'!AKW5</f>
        <v/>
      </c>
      <c r="AKY14" s="22">
        <f>'MOMO,AIRTEL,CARDS'!AKX5</f>
        <v/>
      </c>
      <c r="AKZ14" s="22">
        <f>'MOMO,AIRTEL,CARDS'!AKY5</f>
        <v/>
      </c>
      <c r="ALA14" s="22">
        <f>'MOMO,AIRTEL,CARDS'!AKZ5</f>
        <v/>
      </c>
      <c r="ALB14" s="22">
        <f>'MOMO,AIRTEL,CARDS'!ALA5</f>
        <v/>
      </c>
      <c r="ALC14" s="22">
        <f>'MOMO,AIRTEL,CARDS'!ALB5</f>
        <v/>
      </c>
      <c r="ALD14" s="22">
        <f>'MOMO,AIRTEL,CARDS'!ALC5</f>
        <v/>
      </c>
      <c r="ALE14" s="22">
        <f>'MOMO,AIRTEL,CARDS'!ALD5</f>
        <v/>
      </c>
      <c r="ALF14" s="22">
        <f>'MOMO,AIRTEL,CARDS'!ALE5</f>
        <v/>
      </c>
      <c r="ALG14" s="22">
        <f>'MOMO,AIRTEL,CARDS'!ALF5</f>
        <v/>
      </c>
      <c r="ALH14" s="22">
        <f>'MOMO,AIRTEL,CARDS'!ALG5</f>
        <v/>
      </c>
      <c r="ALI14" s="22">
        <f>'MOMO,AIRTEL,CARDS'!ALH5</f>
        <v/>
      </c>
      <c r="ALJ14" s="22">
        <f>'MOMO,AIRTEL,CARDS'!ALI5</f>
        <v/>
      </c>
      <c r="ALK14" s="22">
        <f>'MOMO,AIRTEL,CARDS'!ALJ5</f>
        <v/>
      </c>
      <c r="ALL14" s="22">
        <f>'MOMO,AIRTEL,CARDS'!ALK5</f>
        <v/>
      </c>
      <c r="ALM14" s="22">
        <f>'MOMO,AIRTEL,CARDS'!ALL5</f>
        <v/>
      </c>
      <c r="ALN14" s="22">
        <f>'MOMO,AIRTEL,CARDS'!ALM5</f>
        <v/>
      </c>
      <c r="ALO14" s="22">
        <f>'MOMO,AIRTEL,CARDS'!ALN5</f>
        <v/>
      </c>
      <c r="ALP14" s="22">
        <f>'MOMO,AIRTEL,CARDS'!ALO5</f>
        <v/>
      </c>
      <c r="ALQ14" s="22">
        <f>'MOMO,AIRTEL,CARDS'!ALP5</f>
        <v/>
      </c>
      <c r="ALR14" s="22">
        <f>'MOMO,AIRTEL,CARDS'!ALQ5</f>
        <v/>
      </c>
      <c r="ALS14" s="22">
        <f>'MOMO,AIRTEL,CARDS'!ALR5</f>
        <v/>
      </c>
      <c r="ALT14" s="127">
        <f>SUM(AKO14:ALS14)</f>
        <v/>
      </c>
      <c r="ALU14" s="22">
        <f>'MOMO,AIRTEL,CARDS'!ALT5</f>
        <v/>
      </c>
      <c r="ALV14" s="22">
        <f>'MOMO,AIRTEL,CARDS'!ALU5</f>
        <v/>
      </c>
      <c r="ALW14" s="22">
        <f>'MOMO,AIRTEL,CARDS'!ALV5</f>
        <v/>
      </c>
      <c r="ALX14" s="22">
        <f>'MOMO,AIRTEL,CARDS'!ALW5</f>
        <v/>
      </c>
      <c r="ALY14" s="22">
        <f>'MOMO,AIRTEL,CARDS'!ALX5</f>
        <v/>
      </c>
      <c r="ALZ14" s="22">
        <f>'MOMO,AIRTEL,CARDS'!ALY5</f>
        <v/>
      </c>
      <c r="AMA14" s="22">
        <f>'MOMO,AIRTEL,CARDS'!ALZ5</f>
        <v/>
      </c>
      <c r="AMB14" s="22">
        <f>'MOMO,AIRTEL,CARDS'!AMA5</f>
        <v/>
      </c>
      <c r="AMC14" s="22">
        <f>'MOMO,AIRTEL,CARDS'!AMB5</f>
        <v/>
      </c>
      <c r="AMD14" s="22">
        <f>'MOMO,AIRTEL,CARDS'!AMC5</f>
        <v/>
      </c>
      <c r="AME14" s="22">
        <f>'MOMO,AIRTEL,CARDS'!AMD5</f>
        <v/>
      </c>
      <c r="AMF14" s="22">
        <f>'MOMO,AIRTEL,CARDS'!AME5</f>
        <v/>
      </c>
      <c r="AMG14" s="22">
        <f>'MOMO,AIRTEL,CARDS'!AMF5</f>
        <v/>
      </c>
      <c r="AMH14" s="22">
        <f>'MOMO,AIRTEL,CARDS'!AMG5</f>
        <v/>
      </c>
      <c r="AMI14" s="22">
        <f>'MOMO,AIRTEL,CARDS'!AMH5</f>
        <v/>
      </c>
      <c r="AMJ14" s="22">
        <f>'MOMO,AIRTEL,CARDS'!AMI5</f>
        <v/>
      </c>
      <c r="AMK14" s="22">
        <f>'MOMO,AIRTEL,CARDS'!AMJ5</f>
        <v/>
      </c>
      <c r="AML14" s="22">
        <f>'MOMO,AIRTEL,CARDS'!AMK5</f>
        <v/>
      </c>
      <c r="AMM14" s="22">
        <f>'MOMO,AIRTEL,CARDS'!AML5</f>
        <v/>
      </c>
      <c r="AMN14" s="22">
        <f>'MOMO,AIRTEL,CARDS'!AMM5</f>
        <v/>
      </c>
      <c r="AMO14" s="22">
        <f>'MOMO,AIRTEL,CARDS'!AMN5</f>
        <v/>
      </c>
      <c r="AMP14" s="22">
        <f>'MOMO,AIRTEL,CARDS'!AMO5</f>
        <v/>
      </c>
      <c r="AMQ14" s="22">
        <f>'MOMO,AIRTEL,CARDS'!AMP5</f>
        <v/>
      </c>
      <c r="AMR14" s="22">
        <f>'MOMO,AIRTEL,CARDS'!AMQ5</f>
        <v/>
      </c>
      <c r="AMS14" s="22">
        <f>'MOMO,AIRTEL,CARDS'!AMR5</f>
        <v/>
      </c>
      <c r="AMT14" s="22">
        <f>'MOMO,AIRTEL,CARDS'!AMS5</f>
        <v/>
      </c>
      <c r="AMU14" s="22">
        <f>'MOMO,AIRTEL,CARDS'!AMT5</f>
        <v/>
      </c>
      <c r="AMV14" s="22">
        <f>'MOMO,AIRTEL,CARDS'!AMU5</f>
        <v/>
      </c>
      <c r="AMW14" s="22">
        <f>'MOMO,AIRTEL,CARDS'!AMV5</f>
        <v/>
      </c>
      <c r="AMX14" s="22">
        <f>'MOMO,AIRTEL,CARDS'!AMW5</f>
        <v/>
      </c>
      <c r="AMY14" s="127">
        <f>SUM(ALU14:AMX14)</f>
        <v/>
      </c>
      <c r="AMZ14" s="22">
        <f>'MOMO,AIRTEL,CARDS'!AMY5</f>
        <v/>
      </c>
      <c r="ANA14" s="22">
        <f>'MOMO,AIRTEL,CARDS'!AMZ5</f>
        <v/>
      </c>
      <c r="ANB14" s="22">
        <f>'MOMO,AIRTEL,CARDS'!ANA5</f>
        <v/>
      </c>
      <c r="ANC14" s="22">
        <f>'MOMO,AIRTEL,CARDS'!ANB5</f>
        <v/>
      </c>
      <c r="AND14" s="22">
        <f>'MOMO,AIRTEL,CARDS'!ANC5</f>
        <v/>
      </c>
      <c r="ANE14" s="22">
        <f>'MOMO,AIRTEL,CARDS'!AND5</f>
        <v/>
      </c>
      <c r="ANF14" s="22">
        <f>'MOMO,AIRTEL,CARDS'!ANE5</f>
        <v/>
      </c>
      <c r="ANG14" s="22">
        <f>'MOMO,AIRTEL,CARDS'!ANF5</f>
        <v/>
      </c>
      <c r="ANH14" s="22">
        <f>'MOMO,AIRTEL,CARDS'!ANG5</f>
        <v/>
      </c>
      <c r="ANI14" s="22">
        <f>'MOMO,AIRTEL,CARDS'!ANH5</f>
        <v/>
      </c>
      <c r="ANJ14" s="22">
        <f>'MOMO,AIRTEL,CARDS'!ANI5</f>
        <v/>
      </c>
      <c r="ANK14" s="22">
        <f>'MOMO,AIRTEL,CARDS'!ANJ5</f>
        <v/>
      </c>
      <c r="ANL14" s="22">
        <f>'MOMO,AIRTEL,CARDS'!ANK5</f>
        <v/>
      </c>
      <c r="ANM14" s="22">
        <f>'MOMO,AIRTEL,CARDS'!ANL5</f>
        <v/>
      </c>
      <c r="ANN14" s="22">
        <f>'MOMO,AIRTEL,CARDS'!ANM5</f>
        <v/>
      </c>
      <c r="ANO14" s="22">
        <f>'MOMO,AIRTEL,CARDS'!ANN5</f>
        <v/>
      </c>
      <c r="ANP14" s="22">
        <f>'MOMO,AIRTEL,CARDS'!ANO5</f>
        <v/>
      </c>
      <c r="ANQ14" s="22">
        <f>'MOMO,AIRTEL,CARDS'!ANP5</f>
        <v/>
      </c>
      <c r="ANR14" s="22">
        <f>'MOMO,AIRTEL,CARDS'!ANQ5</f>
        <v/>
      </c>
      <c r="ANS14" s="22">
        <f>'MOMO,AIRTEL,CARDS'!ANR5</f>
        <v/>
      </c>
      <c r="ANT14" s="22">
        <f>'MOMO,AIRTEL,CARDS'!ANS5</f>
        <v/>
      </c>
      <c r="ANU14" s="22">
        <f>'MOMO,AIRTEL,CARDS'!ANT5</f>
        <v/>
      </c>
      <c r="ANV14" s="22">
        <f>'MOMO,AIRTEL,CARDS'!ANU5</f>
        <v/>
      </c>
      <c r="ANW14" s="22">
        <f>'MOMO,AIRTEL,CARDS'!ANV5</f>
        <v/>
      </c>
      <c r="ANX14" s="22">
        <f>'MOMO,AIRTEL,CARDS'!ANW5</f>
        <v/>
      </c>
      <c r="ANY14" s="22">
        <f>'MOMO,AIRTEL,CARDS'!ANX5</f>
        <v/>
      </c>
      <c r="ANZ14" s="22">
        <f>'MOMO,AIRTEL,CARDS'!ANY5</f>
        <v/>
      </c>
      <c r="AOA14" s="22">
        <f>'MOMO,AIRTEL,CARDS'!ANZ5</f>
        <v/>
      </c>
      <c r="AOB14" s="22">
        <f>'MOMO,AIRTEL,CARDS'!AOA5</f>
        <v/>
      </c>
      <c r="AOC14" s="22">
        <f>'MOMO,AIRTEL,CARDS'!AOB5</f>
        <v/>
      </c>
    </row>
    <row r="15">
      <c r="B15" s="5" t="inlineStr">
        <is>
          <t>VISA CARD</t>
        </is>
      </c>
      <c r="C15" s="22">
        <f>'MOMO,AIRTEL,CARDS'!B6</f>
        <v/>
      </c>
      <c r="D15" s="22">
        <f>'MOMO,AIRTEL,CARDS'!C6</f>
        <v/>
      </c>
      <c r="E15" s="22">
        <f>'MOMO,AIRTEL,CARDS'!D6</f>
        <v/>
      </c>
      <c r="F15" s="22">
        <f>'MOMO,AIRTEL,CARDS'!E6</f>
        <v/>
      </c>
      <c r="G15" s="22">
        <f>'MOMO,AIRTEL,CARDS'!F6</f>
        <v/>
      </c>
      <c r="H15" s="22">
        <f>'MOMO,AIRTEL,CARDS'!G6</f>
        <v/>
      </c>
      <c r="I15" s="22">
        <f>'MOMO,AIRTEL,CARDS'!H6</f>
        <v/>
      </c>
      <c r="J15" s="22">
        <f>'MOMO,AIRTEL,CARDS'!I6</f>
        <v/>
      </c>
      <c r="K15" s="22">
        <f>'MOMO,AIRTEL,CARDS'!J6</f>
        <v/>
      </c>
      <c r="L15" s="22">
        <f>'MOMO,AIRTEL,CARDS'!K6</f>
        <v/>
      </c>
      <c r="M15" s="22">
        <f>'MOMO,AIRTEL,CARDS'!L6</f>
        <v/>
      </c>
      <c r="N15" s="22">
        <f>'MOMO,AIRTEL,CARDS'!M6</f>
        <v/>
      </c>
      <c r="O15" s="22">
        <f>'MOMO,AIRTEL,CARDS'!N6</f>
        <v/>
      </c>
      <c r="P15" s="22">
        <f>'MOMO,AIRTEL,CARDS'!O6</f>
        <v/>
      </c>
      <c r="Q15" s="22">
        <f>'MOMO,AIRTEL,CARDS'!P6</f>
        <v/>
      </c>
      <c r="R15" s="22">
        <f>'MOMO,AIRTEL,CARDS'!Q6</f>
        <v/>
      </c>
      <c r="S15" s="22">
        <f>'MOMO,AIRTEL,CARDS'!R6</f>
        <v/>
      </c>
      <c r="T15" s="22">
        <f>'MOMO,AIRTEL,CARDS'!S6</f>
        <v/>
      </c>
      <c r="U15" s="22">
        <f>'MOMO,AIRTEL,CARDS'!T6</f>
        <v/>
      </c>
      <c r="V15" s="22">
        <f>'MOMO,AIRTEL,CARDS'!U6</f>
        <v/>
      </c>
      <c r="W15" s="22">
        <f>'MOMO,AIRTEL,CARDS'!V6</f>
        <v/>
      </c>
      <c r="X15" s="22">
        <f>'MOMO,AIRTEL,CARDS'!W6</f>
        <v/>
      </c>
      <c r="Y15" s="22">
        <f>'MOMO,AIRTEL,CARDS'!X6</f>
        <v/>
      </c>
      <c r="Z15" s="22">
        <f>'MOMO,AIRTEL,CARDS'!Y6</f>
        <v/>
      </c>
      <c r="AA15" s="22">
        <f>'MOMO,AIRTEL,CARDS'!Z6</f>
        <v/>
      </c>
      <c r="AB15" s="22">
        <f>'MOMO,AIRTEL,CARDS'!AA6</f>
        <v/>
      </c>
      <c r="AC15" s="22">
        <f>'MOMO,AIRTEL,CARDS'!AB6</f>
        <v/>
      </c>
      <c r="AD15" s="22">
        <f>'MOMO,AIRTEL,CARDS'!AC6</f>
        <v/>
      </c>
      <c r="AE15" s="22">
        <f>'MOMO,AIRTEL,CARDS'!AD6</f>
        <v/>
      </c>
      <c r="AF15" s="22">
        <f>'MOMO,AIRTEL,CARDS'!AE6</f>
        <v/>
      </c>
      <c r="AG15" s="22">
        <f>'MOMO,AIRTEL,CARDS'!AF6</f>
        <v/>
      </c>
      <c r="AH15" s="94">
        <f>SUM(C15:AG15)</f>
        <v/>
      </c>
      <c r="AI15" s="22">
        <f>'MOMO,AIRTEL,CARDS'!AH6</f>
        <v/>
      </c>
      <c r="AJ15" s="22">
        <f>'MOMO,AIRTEL,CARDS'!AI6</f>
        <v/>
      </c>
      <c r="AK15" s="22">
        <f>'MOMO,AIRTEL,CARDS'!AJ6</f>
        <v/>
      </c>
      <c r="AL15" s="22">
        <f>'MOMO,AIRTEL,CARDS'!AK6</f>
        <v/>
      </c>
      <c r="AM15" s="22">
        <f>'MOMO,AIRTEL,CARDS'!AL6</f>
        <v/>
      </c>
      <c r="AN15" s="22">
        <f>'MOMO,AIRTEL,CARDS'!AM6</f>
        <v/>
      </c>
      <c r="AO15" s="22">
        <f>'MOMO,AIRTEL,CARDS'!AN6</f>
        <v/>
      </c>
      <c r="AP15" s="22">
        <f>'MOMO,AIRTEL,CARDS'!AO6</f>
        <v/>
      </c>
      <c r="AQ15" s="22">
        <f>'MOMO,AIRTEL,CARDS'!AP6</f>
        <v/>
      </c>
      <c r="AR15" s="22">
        <f>'MOMO,AIRTEL,CARDS'!AQ6</f>
        <v/>
      </c>
      <c r="AS15" s="22">
        <f>'MOMO,AIRTEL,CARDS'!AR6</f>
        <v/>
      </c>
      <c r="AT15" s="22">
        <f>'MOMO,AIRTEL,CARDS'!AS6</f>
        <v/>
      </c>
      <c r="AU15" s="22">
        <f>'MOMO,AIRTEL,CARDS'!AT6</f>
        <v/>
      </c>
      <c r="AV15" s="22">
        <f>'MOMO,AIRTEL,CARDS'!AU6</f>
        <v/>
      </c>
      <c r="AW15" s="22">
        <f>'MOMO,AIRTEL,CARDS'!AV6</f>
        <v/>
      </c>
      <c r="AX15" s="22">
        <f>'MOMO,AIRTEL,CARDS'!AW6</f>
        <v/>
      </c>
      <c r="AY15" s="22">
        <f>'MOMO,AIRTEL,CARDS'!AX6</f>
        <v/>
      </c>
      <c r="AZ15" s="22">
        <f>'MOMO,AIRTEL,CARDS'!AY6</f>
        <v/>
      </c>
      <c r="BA15" s="22">
        <f>'MOMO,AIRTEL,CARDS'!AZ6</f>
        <v/>
      </c>
      <c r="BB15" s="22">
        <f>'MOMO,AIRTEL,CARDS'!BA6</f>
        <v/>
      </c>
      <c r="BC15" s="22">
        <f>'MOMO,AIRTEL,CARDS'!BB6</f>
        <v/>
      </c>
      <c r="BD15" s="22">
        <f>'MOMO,AIRTEL,CARDS'!BC6</f>
        <v/>
      </c>
      <c r="BE15" s="22">
        <f>'MOMO,AIRTEL,CARDS'!BD6</f>
        <v/>
      </c>
      <c r="BF15" s="22">
        <f>'MOMO,AIRTEL,CARDS'!BE6</f>
        <v/>
      </c>
      <c r="BG15" s="22">
        <f>'MOMO,AIRTEL,CARDS'!BF6</f>
        <v/>
      </c>
      <c r="BH15" s="22">
        <f>'MOMO,AIRTEL,CARDS'!BG6</f>
        <v/>
      </c>
      <c r="BI15" s="22">
        <f>'MOMO,AIRTEL,CARDS'!BH6</f>
        <v/>
      </c>
      <c r="BJ15" s="22">
        <f>'MOMO,AIRTEL,CARDS'!BI6</f>
        <v/>
      </c>
      <c r="BK15" s="22">
        <f>'MOMO,AIRTEL,CARDS'!BJ6</f>
        <v/>
      </c>
      <c r="BL15" s="22">
        <f>'MOMO,AIRTEL,CARDS'!BK6</f>
        <v/>
      </c>
      <c r="BM15" s="97">
        <f>SUM(AI15:BL15)</f>
        <v/>
      </c>
      <c r="BN15" s="22">
        <f>'MOMO,AIRTEL,CARDS'!BM6</f>
        <v/>
      </c>
      <c r="BO15" s="22">
        <f>'MOMO,AIRTEL,CARDS'!BN6</f>
        <v/>
      </c>
      <c r="BP15" s="22">
        <f>'MOMO,AIRTEL,CARDS'!BO6</f>
        <v/>
      </c>
      <c r="BQ15" s="22">
        <f>'MOMO,AIRTEL,CARDS'!BP6</f>
        <v/>
      </c>
      <c r="BR15" s="22">
        <f>'MOMO,AIRTEL,CARDS'!BQ6</f>
        <v/>
      </c>
      <c r="BS15" s="22">
        <f>'MOMO,AIRTEL,CARDS'!BR6</f>
        <v/>
      </c>
      <c r="BT15" s="22">
        <f>'MOMO,AIRTEL,CARDS'!BS6</f>
        <v/>
      </c>
      <c r="BU15" s="22">
        <f>'MOMO,AIRTEL,CARDS'!BT6</f>
        <v/>
      </c>
      <c r="BV15" s="22">
        <f>'MOMO,AIRTEL,CARDS'!BU6</f>
        <v/>
      </c>
      <c r="BW15" s="22">
        <f>'MOMO,AIRTEL,CARDS'!BV6</f>
        <v/>
      </c>
      <c r="BX15" s="22">
        <f>'MOMO,AIRTEL,CARDS'!BW6</f>
        <v/>
      </c>
      <c r="BY15" s="22">
        <f>'MOMO,AIRTEL,CARDS'!BX6</f>
        <v/>
      </c>
      <c r="BZ15" s="22">
        <f>'MOMO,AIRTEL,CARDS'!BY6</f>
        <v/>
      </c>
      <c r="CA15" s="22">
        <f>'MOMO,AIRTEL,CARDS'!BZ6</f>
        <v/>
      </c>
      <c r="CB15" s="22">
        <f>'MOMO,AIRTEL,CARDS'!CA6</f>
        <v/>
      </c>
      <c r="CC15" s="22">
        <f>'MOMO,AIRTEL,CARDS'!CB6</f>
        <v/>
      </c>
      <c r="CD15" s="22">
        <f>'MOMO,AIRTEL,CARDS'!CC6</f>
        <v/>
      </c>
      <c r="CE15" s="22">
        <f>'MOMO,AIRTEL,CARDS'!CD6</f>
        <v/>
      </c>
      <c r="CF15" s="22">
        <f>'MOMO,AIRTEL,CARDS'!CE6</f>
        <v/>
      </c>
      <c r="CG15" s="22">
        <f>'MOMO,AIRTEL,CARDS'!CF6</f>
        <v/>
      </c>
      <c r="CH15" s="22">
        <f>'MOMO,AIRTEL,CARDS'!CG6</f>
        <v/>
      </c>
      <c r="CI15" s="22">
        <f>'MOMO,AIRTEL,CARDS'!CH6</f>
        <v/>
      </c>
      <c r="CJ15" s="22">
        <f>'MOMO,AIRTEL,CARDS'!CI6</f>
        <v/>
      </c>
      <c r="CK15" s="22">
        <f>'MOMO,AIRTEL,CARDS'!CJ6</f>
        <v/>
      </c>
      <c r="CL15" s="22">
        <f>'MOMO,AIRTEL,CARDS'!CK6</f>
        <v/>
      </c>
      <c r="CM15" s="22">
        <f>'MOMO,AIRTEL,CARDS'!CL6</f>
        <v/>
      </c>
      <c r="CN15" s="22">
        <f>'MOMO,AIRTEL,CARDS'!CM6</f>
        <v/>
      </c>
      <c r="CO15" s="22">
        <f>'MOMO,AIRTEL,CARDS'!CN6</f>
        <v/>
      </c>
      <c r="CP15" s="22">
        <f>'MOMO,AIRTEL,CARDS'!CO6</f>
        <v/>
      </c>
      <c r="CQ15" s="22">
        <f>'MOMO,AIRTEL,CARDS'!CP6</f>
        <v/>
      </c>
      <c r="CR15" s="22">
        <f>'MOMO,AIRTEL,CARDS'!CQ6</f>
        <v/>
      </c>
      <c r="CS15" s="111">
        <f>SUM(BN15:CR15)</f>
        <v/>
      </c>
      <c r="CT15" s="22">
        <f>'MOMO,AIRTEL,CARDS'!CS6</f>
        <v/>
      </c>
      <c r="CU15" s="22">
        <f>'MOMO,AIRTEL,CARDS'!CT6</f>
        <v/>
      </c>
      <c r="CV15" s="22">
        <f>'MOMO,AIRTEL,CARDS'!CU6</f>
        <v/>
      </c>
      <c r="CW15" s="22">
        <f>'MOMO,AIRTEL,CARDS'!CV6</f>
        <v/>
      </c>
      <c r="CX15" s="22">
        <f>'MOMO,AIRTEL,CARDS'!CW6</f>
        <v/>
      </c>
      <c r="CY15" s="22">
        <f>'MOMO,AIRTEL,CARDS'!CX6</f>
        <v/>
      </c>
      <c r="CZ15" s="22">
        <f>'MOMO,AIRTEL,CARDS'!CY6</f>
        <v/>
      </c>
      <c r="DA15" s="22">
        <f>'MOMO,AIRTEL,CARDS'!CZ6</f>
        <v/>
      </c>
      <c r="DB15" s="22">
        <f>'MOMO,AIRTEL,CARDS'!DA6</f>
        <v/>
      </c>
      <c r="DC15" s="22">
        <f>'MOMO,AIRTEL,CARDS'!DB6</f>
        <v/>
      </c>
      <c r="DD15" s="22">
        <f>'MOMO,AIRTEL,CARDS'!DC6</f>
        <v/>
      </c>
      <c r="DE15" s="22">
        <f>'MOMO,AIRTEL,CARDS'!DD6</f>
        <v/>
      </c>
      <c r="DF15" s="22">
        <f>'MOMO,AIRTEL,CARDS'!DE6</f>
        <v/>
      </c>
      <c r="DG15" s="22">
        <f>'MOMO,AIRTEL,CARDS'!DF6</f>
        <v/>
      </c>
      <c r="DH15" s="22">
        <f>'MOMO,AIRTEL,CARDS'!DG6</f>
        <v/>
      </c>
      <c r="DI15" s="22">
        <f>'MOMO,AIRTEL,CARDS'!DH6</f>
        <v/>
      </c>
      <c r="DJ15" s="22">
        <f>'MOMO,AIRTEL,CARDS'!DI6</f>
        <v/>
      </c>
      <c r="DK15" s="22">
        <f>'MOMO,AIRTEL,CARDS'!DJ6</f>
        <v/>
      </c>
      <c r="DL15" s="22">
        <f>'MOMO,AIRTEL,CARDS'!DK6</f>
        <v/>
      </c>
      <c r="DM15" s="22">
        <f>'MOMO,AIRTEL,CARDS'!DL6</f>
        <v/>
      </c>
      <c r="DN15" s="22">
        <f>'MOMO,AIRTEL,CARDS'!DM6</f>
        <v/>
      </c>
      <c r="DO15" s="22">
        <f>'MOMO,AIRTEL,CARDS'!DN6</f>
        <v/>
      </c>
      <c r="DP15" s="22">
        <f>'MOMO,AIRTEL,CARDS'!DO6</f>
        <v/>
      </c>
      <c r="DQ15" s="22">
        <f>'MOMO,AIRTEL,CARDS'!DP6</f>
        <v/>
      </c>
      <c r="DR15" s="22">
        <f>'MOMO,AIRTEL,CARDS'!DQ6</f>
        <v/>
      </c>
      <c r="DS15" s="22">
        <f>'MOMO,AIRTEL,CARDS'!DR6</f>
        <v/>
      </c>
      <c r="DT15" s="22">
        <f>'MOMO,AIRTEL,CARDS'!DS6</f>
        <v/>
      </c>
      <c r="DU15" s="22">
        <f>'MOMO,AIRTEL,CARDS'!DT6</f>
        <v/>
      </c>
      <c r="DV15" s="22">
        <f>'MOMO,AIRTEL,CARDS'!DU6</f>
        <v/>
      </c>
      <c r="DW15" s="22">
        <f>'MOMO,AIRTEL,CARDS'!DV6</f>
        <v/>
      </c>
      <c r="DX15" s="119">
        <f>SUM(CT15:DW15)</f>
        <v/>
      </c>
      <c r="DY15" s="22">
        <f>'MOMO,AIRTEL,CARDS'!DX6</f>
        <v/>
      </c>
      <c r="DZ15" s="22">
        <f>'MOMO,AIRTEL,CARDS'!DY6</f>
        <v/>
      </c>
      <c r="EA15" s="22">
        <f>'MOMO,AIRTEL,CARDS'!DZ6</f>
        <v/>
      </c>
      <c r="EB15" s="22">
        <f>'MOMO,AIRTEL,CARDS'!EA6</f>
        <v/>
      </c>
      <c r="EC15" s="22">
        <f>'MOMO,AIRTEL,CARDS'!EB6</f>
        <v/>
      </c>
      <c r="ED15" s="22">
        <f>'MOMO,AIRTEL,CARDS'!EC6</f>
        <v/>
      </c>
      <c r="EE15" s="22">
        <f>'MOMO,AIRTEL,CARDS'!ED6</f>
        <v/>
      </c>
      <c r="EF15" s="22">
        <f>'MOMO,AIRTEL,CARDS'!EE6</f>
        <v/>
      </c>
      <c r="EG15" s="22">
        <f>'MOMO,AIRTEL,CARDS'!EF6</f>
        <v/>
      </c>
      <c r="EH15" s="22">
        <f>'MOMO,AIRTEL,CARDS'!EG6</f>
        <v/>
      </c>
      <c r="EI15" s="22">
        <f>'MOMO,AIRTEL,CARDS'!EH6</f>
        <v/>
      </c>
      <c r="EJ15" s="22">
        <f>'MOMO,AIRTEL,CARDS'!EI6</f>
        <v/>
      </c>
      <c r="EK15" s="22">
        <f>'MOMO,AIRTEL,CARDS'!EJ6</f>
        <v/>
      </c>
      <c r="EL15" s="22">
        <f>'MOMO,AIRTEL,CARDS'!EK6</f>
        <v/>
      </c>
      <c r="EM15" s="22">
        <f>'MOMO,AIRTEL,CARDS'!EL6</f>
        <v/>
      </c>
      <c r="EN15" s="22">
        <f>'MOMO,AIRTEL,CARDS'!EM6</f>
        <v/>
      </c>
      <c r="EO15" s="22">
        <f>'MOMO,AIRTEL,CARDS'!EN6</f>
        <v/>
      </c>
      <c r="EP15" s="22">
        <f>'MOMO,AIRTEL,CARDS'!EO6</f>
        <v/>
      </c>
      <c r="EQ15" s="22">
        <f>'MOMO,AIRTEL,CARDS'!EP6</f>
        <v/>
      </c>
      <c r="ER15" s="22">
        <f>'MOMO,AIRTEL,CARDS'!EQ6</f>
        <v/>
      </c>
      <c r="ES15" s="22">
        <f>'MOMO,AIRTEL,CARDS'!ER6</f>
        <v/>
      </c>
      <c r="ET15" s="22">
        <f>'MOMO,AIRTEL,CARDS'!ES6</f>
        <v/>
      </c>
      <c r="EU15" s="22">
        <f>'MOMO,AIRTEL,CARDS'!ET6</f>
        <v/>
      </c>
      <c r="EV15" s="22">
        <f>'MOMO,AIRTEL,CARDS'!EU6</f>
        <v/>
      </c>
      <c r="EW15" s="22">
        <f>'MOMO,AIRTEL,CARDS'!EV6</f>
        <v/>
      </c>
      <c r="EX15" s="22">
        <f>'MOMO,AIRTEL,CARDS'!EW6</f>
        <v/>
      </c>
      <c r="EY15" s="22">
        <f>'MOMO,AIRTEL,CARDS'!EX6</f>
        <v/>
      </c>
      <c r="EZ15" s="22">
        <f>'MOMO,AIRTEL,CARDS'!EY6</f>
        <v/>
      </c>
      <c r="FA15" s="22">
        <f>'MOMO,AIRTEL,CARDS'!EZ6</f>
        <v/>
      </c>
      <c r="FB15" s="22">
        <f>'MOMO,AIRTEL,CARDS'!FA6</f>
        <v/>
      </c>
      <c r="FC15" s="22">
        <f>'MOMO,AIRTEL,CARDS'!FB6</f>
        <v/>
      </c>
      <c r="FD15" s="128">
        <f>SUM(DY15:FC15)</f>
        <v/>
      </c>
      <c r="FE15" s="22">
        <f>'MOMO,AIRTEL,CARDS'!FD6</f>
        <v/>
      </c>
      <c r="FF15" s="22">
        <f>'MOMO,AIRTEL,CARDS'!FE6</f>
        <v/>
      </c>
      <c r="FG15" s="22">
        <f>'MOMO,AIRTEL,CARDS'!FF6</f>
        <v/>
      </c>
      <c r="FH15" s="22">
        <f>'MOMO,AIRTEL,CARDS'!FG6</f>
        <v/>
      </c>
      <c r="FI15" s="22">
        <f>'MOMO,AIRTEL,CARDS'!FH6</f>
        <v/>
      </c>
      <c r="FJ15" s="22">
        <f>'MOMO,AIRTEL,CARDS'!FI6</f>
        <v/>
      </c>
      <c r="FK15" s="22">
        <f>'MOMO,AIRTEL,CARDS'!FJ6</f>
        <v/>
      </c>
      <c r="FL15" s="22">
        <f>'MOMO,AIRTEL,CARDS'!FK6</f>
        <v/>
      </c>
      <c r="FM15" s="22">
        <f>'MOMO,AIRTEL,CARDS'!FL6</f>
        <v/>
      </c>
      <c r="FN15" s="22">
        <f>'MOMO,AIRTEL,CARDS'!FM6</f>
        <v/>
      </c>
      <c r="FO15" s="22">
        <f>'MOMO,AIRTEL,CARDS'!FN6</f>
        <v/>
      </c>
      <c r="FP15" s="22">
        <f>'MOMO,AIRTEL,CARDS'!FO6</f>
        <v/>
      </c>
      <c r="FQ15" s="22">
        <f>'MOMO,AIRTEL,CARDS'!FP6</f>
        <v/>
      </c>
      <c r="FR15" s="22">
        <f>'MOMO,AIRTEL,CARDS'!FQ6</f>
        <v/>
      </c>
      <c r="FS15" s="22">
        <f>'MOMO,AIRTEL,CARDS'!FR6</f>
        <v/>
      </c>
      <c r="FT15" s="22">
        <f>'MOMO,AIRTEL,CARDS'!FS6</f>
        <v/>
      </c>
      <c r="FU15" s="22">
        <f>'MOMO,AIRTEL,CARDS'!FT6</f>
        <v/>
      </c>
      <c r="FV15" s="22">
        <f>'MOMO,AIRTEL,CARDS'!FU6</f>
        <v/>
      </c>
      <c r="FW15" s="22">
        <f>'MOMO,AIRTEL,CARDS'!FV6</f>
        <v/>
      </c>
      <c r="FX15" s="22">
        <f>'MOMO,AIRTEL,CARDS'!FW6</f>
        <v/>
      </c>
      <c r="FY15" s="22">
        <f>'MOMO,AIRTEL,CARDS'!FX6</f>
        <v/>
      </c>
      <c r="FZ15" s="22">
        <f>'MOMO,AIRTEL,CARDS'!FY6</f>
        <v/>
      </c>
      <c r="GA15" s="22">
        <f>'MOMO,AIRTEL,CARDS'!FZ6</f>
        <v/>
      </c>
      <c r="GB15" s="22">
        <f>'MOMO,AIRTEL,CARDS'!GA6</f>
        <v/>
      </c>
      <c r="GC15" s="22">
        <f>'MOMO,AIRTEL,CARDS'!GB6</f>
        <v/>
      </c>
      <c r="GD15" s="22">
        <f>'MOMO,AIRTEL,CARDS'!GC6</f>
        <v/>
      </c>
      <c r="GE15" s="22">
        <f>'MOMO,AIRTEL,CARDS'!GD6</f>
        <v/>
      </c>
      <c r="GF15" s="22">
        <f>'MOMO,AIRTEL,CARDS'!GE6</f>
        <v/>
      </c>
      <c r="GG15" s="22">
        <f>'MOMO,AIRTEL,CARDS'!GF6</f>
        <v/>
      </c>
      <c r="GH15" s="22">
        <f>'MOMO,AIRTEL,CARDS'!GG6</f>
        <v/>
      </c>
      <c r="GI15" s="22">
        <f>'MOMO,AIRTEL,CARDS'!GH6</f>
        <v/>
      </c>
      <c r="GJ15" s="127">
        <f>SUM(FE15:GI15)</f>
        <v/>
      </c>
      <c r="GK15" s="22">
        <f>'MOMO,AIRTEL,CARDS'!GJ6</f>
        <v/>
      </c>
      <c r="GL15" s="22">
        <f>'MOMO,AIRTEL,CARDS'!GK6</f>
        <v/>
      </c>
      <c r="GM15" s="22">
        <f>'MOMO,AIRTEL,CARDS'!GL6</f>
        <v/>
      </c>
      <c r="GN15" s="22">
        <f>'MOMO,AIRTEL,CARDS'!GM6</f>
        <v/>
      </c>
      <c r="GO15" s="22">
        <f>'MOMO,AIRTEL,CARDS'!GN6</f>
        <v/>
      </c>
      <c r="GP15" s="22">
        <f>'MOMO,AIRTEL,CARDS'!GO6</f>
        <v/>
      </c>
      <c r="GQ15" s="22">
        <f>'MOMO,AIRTEL,CARDS'!GP6</f>
        <v/>
      </c>
      <c r="GR15" s="22">
        <f>'MOMO,AIRTEL,CARDS'!GQ6</f>
        <v/>
      </c>
      <c r="GS15" s="22">
        <f>'MOMO,AIRTEL,CARDS'!GR6</f>
        <v/>
      </c>
      <c r="GT15" s="22">
        <f>'MOMO,AIRTEL,CARDS'!GS6</f>
        <v/>
      </c>
      <c r="GU15" s="22">
        <f>'MOMO,AIRTEL,CARDS'!GT6</f>
        <v/>
      </c>
      <c r="GV15" s="22">
        <f>'MOMO,AIRTEL,CARDS'!GU6</f>
        <v/>
      </c>
      <c r="GW15" s="22">
        <f>'MOMO,AIRTEL,CARDS'!GV6</f>
        <v/>
      </c>
      <c r="GX15" s="22">
        <f>'MOMO,AIRTEL,CARDS'!GW6</f>
        <v/>
      </c>
      <c r="GY15" s="22">
        <f>'MOMO,AIRTEL,CARDS'!GX6</f>
        <v/>
      </c>
      <c r="GZ15" s="22">
        <f>'MOMO,AIRTEL,CARDS'!GY6</f>
        <v/>
      </c>
      <c r="HA15" s="22">
        <f>'MOMO,AIRTEL,CARDS'!GZ6</f>
        <v/>
      </c>
      <c r="HB15" s="22">
        <f>'MOMO,AIRTEL,CARDS'!HA6</f>
        <v/>
      </c>
      <c r="HC15" s="22">
        <f>'MOMO,AIRTEL,CARDS'!HB6</f>
        <v/>
      </c>
      <c r="HD15" s="22">
        <f>'MOMO,AIRTEL,CARDS'!HC6</f>
        <v/>
      </c>
      <c r="HE15" s="22">
        <f>'MOMO,AIRTEL,CARDS'!HD6</f>
        <v/>
      </c>
      <c r="HF15" s="22">
        <f>'MOMO,AIRTEL,CARDS'!HE6</f>
        <v/>
      </c>
      <c r="HG15" s="22">
        <f>'MOMO,AIRTEL,CARDS'!HF6</f>
        <v/>
      </c>
      <c r="HH15" s="22">
        <f>'MOMO,AIRTEL,CARDS'!HG6</f>
        <v/>
      </c>
      <c r="HI15" s="22">
        <f>'MOMO,AIRTEL,CARDS'!HH6</f>
        <v/>
      </c>
      <c r="HJ15" s="22">
        <f>'MOMO,AIRTEL,CARDS'!HI6</f>
        <v/>
      </c>
      <c r="HK15" s="22">
        <f>'MOMO,AIRTEL,CARDS'!HJ6</f>
        <v/>
      </c>
      <c r="HL15" s="22">
        <f>'MOMO,AIRTEL,CARDS'!HK6</f>
        <v/>
      </c>
      <c r="HM15" s="22">
        <f>'MOMO,AIRTEL,CARDS'!HL6</f>
        <v/>
      </c>
      <c r="HN15" s="127">
        <f>SUM(GK15:HM15)</f>
        <v/>
      </c>
      <c r="HO15" s="22">
        <f>'MOMO,AIRTEL,CARDS'!HN6</f>
        <v/>
      </c>
      <c r="HP15" s="22">
        <f>'MOMO,AIRTEL,CARDS'!HO6</f>
        <v/>
      </c>
      <c r="HQ15" s="22">
        <f>'MOMO,AIRTEL,CARDS'!HP6</f>
        <v/>
      </c>
      <c r="HR15" s="22">
        <f>'MOMO,AIRTEL,CARDS'!HQ6</f>
        <v/>
      </c>
      <c r="HS15" s="22">
        <f>'MOMO,AIRTEL,CARDS'!HR6</f>
        <v/>
      </c>
      <c r="HT15" s="22">
        <f>'MOMO,AIRTEL,CARDS'!HS6</f>
        <v/>
      </c>
      <c r="HU15" s="22">
        <f>'MOMO,AIRTEL,CARDS'!HT6</f>
        <v/>
      </c>
      <c r="HV15" s="22">
        <f>'MOMO,AIRTEL,CARDS'!HU6</f>
        <v/>
      </c>
      <c r="HW15" s="22">
        <f>'MOMO,AIRTEL,CARDS'!HV6</f>
        <v/>
      </c>
      <c r="HX15" s="22">
        <f>'MOMO,AIRTEL,CARDS'!HW6</f>
        <v/>
      </c>
      <c r="HY15" s="22">
        <f>'MOMO,AIRTEL,CARDS'!HX6</f>
        <v/>
      </c>
      <c r="HZ15" s="22">
        <f>'MOMO,AIRTEL,CARDS'!HY6</f>
        <v/>
      </c>
      <c r="IA15" s="22">
        <f>'MOMO,AIRTEL,CARDS'!HZ6</f>
        <v/>
      </c>
      <c r="IB15" s="22">
        <f>'MOMO,AIRTEL,CARDS'!IA6</f>
        <v/>
      </c>
      <c r="IC15" s="22">
        <f>'MOMO,AIRTEL,CARDS'!IB6</f>
        <v/>
      </c>
      <c r="ID15" s="22">
        <f>'MOMO,AIRTEL,CARDS'!IC6</f>
        <v/>
      </c>
      <c r="IE15" s="22">
        <f>'MOMO,AIRTEL,CARDS'!ID6</f>
        <v/>
      </c>
      <c r="IF15" s="22">
        <f>'MOMO,AIRTEL,CARDS'!IE6</f>
        <v/>
      </c>
      <c r="IG15" s="22">
        <f>'MOMO,AIRTEL,CARDS'!IF6</f>
        <v/>
      </c>
      <c r="IH15" s="22">
        <f>'MOMO,AIRTEL,CARDS'!IG6</f>
        <v/>
      </c>
      <c r="II15" s="22">
        <f>'MOMO,AIRTEL,CARDS'!IH6</f>
        <v/>
      </c>
      <c r="IJ15" s="22">
        <f>'MOMO,AIRTEL,CARDS'!II6</f>
        <v/>
      </c>
      <c r="IK15" s="22">
        <f>'MOMO,AIRTEL,CARDS'!IJ6</f>
        <v/>
      </c>
      <c r="IL15" s="22">
        <f>'MOMO,AIRTEL,CARDS'!IK6</f>
        <v/>
      </c>
      <c r="IM15" s="22">
        <f>'MOMO,AIRTEL,CARDS'!IL6</f>
        <v/>
      </c>
      <c r="IN15" s="22">
        <f>'MOMO,AIRTEL,CARDS'!IM6</f>
        <v/>
      </c>
      <c r="IO15" s="22">
        <f>'MOMO,AIRTEL,CARDS'!IN6</f>
        <v/>
      </c>
      <c r="IP15" s="22">
        <f>'MOMO,AIRTEL,CARDS'!IO6</f>
        <v/>
      </c>
      <c r="IQ15" s="22">
        <f>'MOMO,AIRTEL,CARDS'!IP6</f>
        <v/>
      </c>
      <c r="IR15" s="22">
        <f>'MOMO,AIRTEL,CARDS'!IQ6</f>
        <v/>
      </c>
      <c r="IS15" s="22">
        <f>'MOMO,AIRTEL,CARDS'!IR6</f>
        <v/>
      </c>
      <c r="IT15" s="127">
        <f>SUM(HO15:IS15)</f>
        <v/>
      </c>
      <c r="IU15" s="22">
        <f>'MOMO,AIRTEL,CARDS'!IT6</f>
        <v/>
      </c>
      <c r="IV15" s="22">
        <f>'MOMO,AIRTEL,CARDS'!IU6</f>
        <v/>
      </c>
      <c r="IW15" s="22">
        <f>'MOMO,AIRTEL,CARDS'!IV6</f>
        <v/>
      </c>
      <c r="IX15" s="22">
        <f>'MOMO,AIRTEL,CARDS'!IW6</f>
        <v/>
      </c>
      <c r="IY15" s="22">
        <f>'MOMO,AIRTEL,CARDS'!IX6</f>
        <v/>
      </c>
      <c r="IZ15" s="22">
        <f>'MOMO,AIRTEL,CARDS'!IY6</f>
        <v/>
      </c>
      <c r="JA15" s="22">
        <f>'MOMO,AIRTEL,CARDS'!IZ6</f>
        <v/>
      </c>
      <c r="JB15" s="22">
        <f>'MOMO,AIRTEL,CARDS'!JA6</f>
        <v/>
      </c>
      <c r="JC15" s="22">
        <f>'MOMO,AIRTEL,CARDS'!JB6</f>
        <v/>
      </c>
      <c r="JD15" s="22">
        <f>'MOMO,AIRTEL,CARDS'!JC6</f>
        <v/>
      </c>
      <c r="JE15" s="22">
        <f>'MOMO,AIRTEL,CARDS'!JD6</f>
        <v/>
      </c>
      <c r="JF15" s="22">
        <f>'MOMO,AIRTEL,CARDS'!JE6</f>
        <v/>
      </c>
      <c r="JG15" s="22">
        <f>'MOMO,AIRTEL,CARDS'!JF6</f>
        <v/>
      </c>
      <c r="JH15" s="22">
        <f>'MOMO,AIRTEL,CARDS'!JG6</f>
        <v/>
      </c>
      <c r="JI15" s="22">
        <f>'MOMO,AIRTEL,CARDS'!JH6</f>
        <v/>
      </c>
      <c r="JJ15" s="22">
        <f>'MOMO,AIRTEL,CARDS'!JI6</f>
        <v/>
      </c>
      <c r="JK15" s="22">
        <f>'MOMO,AIRTEL,CARDS'!JJ6</f>
        <v/>
      </c>
      <c r="JL15" s="22">
        <f>'MOMO,AIRTEL,CARDS'!JK6</f>
        <v/>
      </c>
      <c r="JM15" s="22">
        <f>'MOMO,AIRTEL,CARDS'!JL6</f>
        <v/>
      </c>
      <c r="JN15" s="22">
        <f>'MOMO,AIRTEL,CARDS'!JM6</f>
        <v/>
      </c>
      <c r="JO15" s="22">
        <f>'MOMO,AIRTEL,CARDS'!JN6</f>
        <v/>
      </c>
      <c r="JP15" s="22">
        <f>'MOMO,AIRTEL,CARDS'!JO6</f>
        <v/>
      </c>
      <c r="JQ15" s="22">
        <f>'MOMO,AIRTEL,CARDS'!JP6</f>
        <v/>
      </c>
      <c r="JR15" s="22">
        <f>'MOMO,AIRTEL,CARDS'!JQ6</f>
        <v/>
      </c>
      <c r="JS15" s="22">
        <f>'MOMO,AIRTEL,CARDS'!JR6</f>
        <v/>
      </c>
      <c r="JT15" s="22">
        <f>'MOMO,AIRTEL,CARDS'!JS6</f>
        <v/>
      </c>
      <c r="JU15" s="22">
        <f>'MOMO,AIRTEL,CARDS'!JT6</f>
        <v/>
      </c>
      <c r="JV15" s="22">
        <f>'MOMO,AIRTEL,CARDS'!JU6</f>
        <v/>
      </c>
      <c r="JW15" s="22">
        <f>'MOMO,AIRTEL,CARDS'!JV6</f>
        <v/>
      </c>
      <c r="JX15" s="22">
        <f>'MOMO,AIRTEL,CARDS'!JW6</f>
        <v/>
      </c>
      <c r="JY15" s="127">
        <f>SUM(IU15:JX15)</f>
        <v/>
      </c>
      <c r="JZ15" s="22">
        <f>'MOMO,AIRTEL,CARDS'!JY6</f>
        <v/>
      </c>
      <c r="KA15" s="22">
        <f>'MOMO,AIRTEL,CARDS'!JZ6</f>
        <v/>
      </c>
      <c r="KB15" s="22">
        <f>'MOMO,AIRTEL,CARDS'!KA6</f>
        <v/>
      </c>
      <c r="KC15" s="22">
        <f>'MOMO,AIRTEL,CARDS'!KB6</f>
        <v/>
      </c>
      <c r="KD15" s="22">
        <f>'MOMO,AIRTEL,CARDS'!KC6</f>
        <v/>
      </c>
      <c r="KE15" s="22">
        <f>'MOMO,AIRTEL,CARDS'!KD6</f>
        <v/>
      </c>
      <c r="KF15" s="22">
        <f>'MOMO,AIRTEL,CARDS'!KE6</f>
        <v/>
      </c>
      <c r="KG15" s="22">
        <f>'MOMO,AIRTEL,CARDS'!KF6</f>
        <v/>
      </c>
      <c r="KH15" s="22">
        <f>'MOMO,AIRTEL,CARDS'!KG6</f>
        <v/>
      </c>
      <c r="KI15" s="22">
        <f>'MOMO,AIRTEL,CARDS'!KH6</f>
        <v/>
      </c>
      <c r="KJ15" s="22">
        <f>'MOMO,AIRTEL,CARDS'!KI6</f>
        <v/>
      </c>
      <c r="KK15" s="22">
        <f>'MOMO,AIRTEL,CARDS'!KJ6</f>
        <v/>
      </c>
      <c r="KL15" s="22">
        <f>'MOMO,AIRTEL,CARDS'!KK6</f>
        <v/>
      </c>
      <c r="KM15" s="22">
        <f>'MOMO,AIRTEL,CARDS'!KL6</f>
        <v/>
      </c>
      <c r="KN15" s="22">
        <f>'MOMO,AIRTEL,CARDS'!KM6</f>
        <v/>
      </c>
      <c r="KO15" s="22">
        <f>'MOMO,AIRTEL,CARDS'!KN6</f>
        <v/>
      </c>
      <c r="KP15" s="22">
        <f>'MOMO,AIRTEL,CARDS'!KO6</f>
        <v/>
      </c>
      <c r="KQ15" s="22">
        <f>'MOMO,AIRTEL,CARDS'!KP6</f>
        <v/>
      </c>
      <c r="KR15" s="22">
        <f>'MOMO,AIRTEL,CARDS'!KQ6</f>
        <v/>
      </c>
      <c r="KS15" s="22">
        <f>'MOMO,AIRTEL,CARDS'!KR6</f>
        <v/>
      </c>
      <c r="KT15" s="22">
        <f>'MOMO,AIRTEL,CARDS'!KS6</f>
        <v/>
      </c>
      <c r="KU15" s="22">
        <f>'MOMO,AIRTEL,CARDS'!KT6</f>
        <v/>
      </c>
      <c r="KV15" s="22">
        <f>'MOMO,AIRTEL,CARDS'!KU6</f>
        <v/>
      </c>
      <c r="KW15" s="22">
        <f>'MOMO,AIRTEL,CARDS'!KV6</f>
        <v/>
      </c>
      <c r="KX15" s="22">
        <f>'MOMO,AIRTEL,CARDS'!KW6</f>
        <v/>
      </c>
      <c r="KY15" s="22">
        <f>'MOMO,AIRTEL,CARDS'!KX6</f>
        <v/>
      </c>
      <c r="KZ15" s="22">
        <f>'MOMO,AIRTEL,CARDS'!KY6</f>
        <v/>
      </c>
      <c r="LA15" s="22">
        <f>'MOMO,AIRTEL,CARDS'!KZ6</f>
        <v/>
      </c>
      <c r="LB15" s="22">
        <f>'MOMO,AIRTEL,CARDS'!LA6</f>
        <v/>
      </c>
      <c r="LC15" s="22">
        <f>'MOMO,AIRTEL,CARDS'!LB6</f>
        <v/>
      </c>
      <c r="LD15" s="22">
        <f>'MOMO,AIRTEL,CARDS'!LC6</f>
        <v/>
      </c>
      <c r="LE15" s="127">
        <f>SUM(KA15:LD15)</f>
        <v/>
      </c>
      <c r="LF15" s="22">
        <f>'MOMO,AIRTEL,CARDS'!LE6</f>
        <v/>
      </c>
      <c r="LG15" s="22">
        <f>'MOMO,AIRTEL,CARDS'!LF6</f>
        <v/>
      </c>
      <c r="LH15" s="22">
        <f>'MOMO,AIRTEL,CARDS'!LG6</f>
        <v/>
      </c>
      <c r="LI15" s="22">
        <f>'MOMO,AIRTEL,CARDS'!LH6</f>
        <v/>
      </c>
      <c r="LJ15" s="22">
        <f>'MOMO,AIRTEL,CARDS'!LI6</f>
        <v/>
      </c>
      <c r="LK15" s="22">
        <f>'MOMO,AIRTEL,CARDS'!LJ6</f>
        <v/>
      </c>
      <c r="LL15" s="22">
        <f>'MOMO,AIRTEL,CARDS'!LK6</f>
        <v/>
      </c>
      <c r="LM15" s="22">
        <f>'MOMO,AIRTEL,CARDS'!LL6</f>
        <v/>
      </c>
      <c r="LN15" s="22">
        <f>'MOMO,AIRTEL,CARDS'!LM6</f>
        <v/>
      </c>
      <c r="LO15" s="22">
        <f>'MOMO,AIRTEL,CARDS'!LN6</f>
        <v/>
      </c>
      <c r="LP15" s="22">
        <f>'MOMO,AIRTEL,CARDS'!LO6</f>
        <v/>
      </c>
      <c r="LQ15" s="22">
        <f>'MOMO,AIRTEL,CARDS'!LP6</f>
        <v/>
      </c>
      <c r="LR15" s="22">
        <f>'MOMO,AIRTEL,CARDS'!LQ6</f>
        <v/>
      </c>
      <c r="LS15" s="22">
        <f>'MOMO,AIRTEL,CARDS'!LR6</f>
        <v/>
      </c>
      <c r="LT15" s="22">
        <f>'MOMO,AIRTEL,CARDS'!LS6</f>
        <v/>
      </c>
      <c r="LU15" s="22">
        <f>'MOMO,AIRTEL,CARDS'!LT6</f>
        <v/>
      </c>
      <c r="LV15" s="22">
        <f>'MOMO,AIRTEL,CARDS'!LU6</f>
        <v/>
      </c>
      <c r="LW15" s="22">
        <f>'MOMO,AIRTEL,CARDS'!LV6</f>
        <v/>
      </c>
      <c r="LX15" s="22">
        <f>'MOMO,AIRTEL,CARDS'!LW6</f>
        <v/>
      </c>
      <c r="LY15" s="22">
        <f>'MOMO,AIRTEL,CARDS'!LX6</f>
        <v/>
      </c>
      <c r="LZ15" s="22">
        <f>'MOMO,AIRTEL,CARDS'!LY6</f>
        <v/>
      </c>
      <c r="MA15" s="22">
        <f>'MOMO,AIRTEL,CARDS'!LZ6</f>
        <v/>
      </c>
      <c r="MB15" s="22">
        <f>'MOMO,AIRTEL,CARDS'!MA6</f>
        <v/>
      </c>
      <c r="MC15" s="22">
        <f>'MOMO,AIRTEL,CARDS'!MB6</f>
        <v/>
      </c>
      <c r="MD15" s="22">
        <f>'MOMO,AIRTEL,CARDS'!MC6</f>
        <v/>
      </c>
      <c r="ME15" s="22">
        <f>'MOMO,AIRTEL,CARDS'!MD6</f>
        <v/>
      </c>
      <c r="MF15" s="22">
        <f>'MOMO,AIRTEL,CARDS'!ME6</f>
        <v/>
      </c>
      <c r="MG15" s="22">
        <f>'MOMO,AIRTEL,CARDS'!MF6</f>
        <v/>
      </c>
      <c r="MH15" s="22">
        <f>'MOMO,AIRTEL,CARDS'!MG6</f>
        <v/>
      </c>
      <c r="MI15" s="22">
        <f>'MOMO,AIRTEL,CARDS'!MH6</f>
        <v/>
      </c>
      <c r="MJ15" s="127">
        <f>SUM(LF15:MI15)</f>
        <v/>
      </c>
      <c r="MK15" s="22">
        <f>'MOMO,AIRTEL,CARDS'!MJ6</f>
        <v/>
      </c>
      <c r="ML15" s="22">
        <f>'MOMO,AIRTEL,CARDS'!MK6</f>
        <v/>
      </c>
      <c r="MM15" s="22">
        <f>'MOMO,AIRTEL,CARDS'!ML6</f>
        <v/>
      </c>
      <c r="MN15" s="22">
        <f>'MOMO,AIRTEL,CARDS'!MM6</f>
        <v/>
      </c>
      <c r="MO15" s="22">
        <f>'MOMO,AIRTEL,CARDS'!MN6</f>
        <v/>
      </c>
      <c r="MP15" s="22">
        <f>'MOMO,AIRTEL,CARDS'!MO6</f>
        <v/>
      </c>
      <c r="MQ15" s="22">
        <f>'MOMO,AIRTEL,CARDS'!MP6</f>
        <v/>
      </c>
      <c r="MR15" s="22">
        <f>'MOMO,AIRTEL,CARDS'!MQ6</f>
        <v/>
      </c>
      <c r="MS15" s="22">
        <f>'MOMO,AIRTEL,CARDS'!MR6</f>
        <v/>
      </c>
      <c r="MT15" s="22">
        <f>'MOMO,AIRTEL,CARDS'!MS6</f>
        <v/>
      </c>
      <c r="MU15" s="22">
        <f>'MOMO,AIRTEL,CARDS'!MT6</f>
        <v/>
      </c>
      <c r="MV15" s="22">
        <f>'MOMO,AIRTEL,CARDS'!MU6</f>
        <v/>
      </c>
      <c r="MW15" s="22">
        <f>'MOMO,AIRTEL,CARDS'!MV6</f>
        <v/>
      </c>
      <c r="MX15" s="22">
        <f>'MOMO,AIRTEL,CARDS'!MW6</f>
        <v/>
      </c>
      <c r="MY15" s="22">
        <f>'MOMO,AIRTEL,CARDS'!MX6</f>
        <v/>
      </c>
      <c r="MZ15" s="22">
        <f>'MOMO,AIRTEL,CARDS'!MY6</f>
        <v/>
      </c>
      <c r="NA15" s="22">
        <f>'MOMO,AIRTEL,CARDS'!MZ6</f>
        <v/>
      </c>
      <c r="NB15" s="22">
        <f>'MOMO,AIRTEL,CARDS'!NA6</f>
        <v/>
      </c>
      <c r="NC15" s="22">
        <f>'MOMO,AIRTEL,CARDS'!NB6</f>
        <v/>
      </c>
      <c r="ND15" s="22">
        <f>'MOMO,AIRTEL,CARDS'!NC6</f>
        <v/>
      </c>
      <c r="NE15" s="22">
        <f>'MOMO,AIRTEL,CARDS'!ND6</f>
        <v/>
      </c>
      <c r="NF15" s="22">
        <f>'MOMO,AIRTEL,CARDS'!NE6</f>
        <v/>
      </c>
      <c r="NG15" s="22">
        <f>'MOMO,AIRTEL,CARDS'!NF6</f>
        <v/>
      </c>
      <c r="NH15" s="22">
        <f>'MOMO,AIRTEL,CARDS'!NG6</f>
        <v/>
      </c>
      <c r="NI15" s="22">
        <f>'MOMO,AIRTEL,CARDS'!NH6</f>
        <v/>
      </c>
      <c r="NJ15" s="22">
        <f>'MOMO,AIRTEL,CARDS'!NI6</f>
        <v/>
      </c>
      <c r="NK15" s="22">
        <f>'MOMO,AIRTEL,CARDS'!NJ6</f>
        <v/>
      </c>
      <c r="NL15" s="22">
        <f>'MOMO,AIRTEL,CARDS'!NK6</f>
        <v/>
      </c>
      <c r="NM15" s="22">
        <f>'MOMO,AIRTEL,CARDS'!NL6</f>
        <v/>
      </c>
      <c r="NN15" s="22">
        <f>'MOMO,AIRTEL,CARDS'!NM6</f>
        <v/>
      </c>
      <c r="NO15" s="22">
        <f>'MOMO,AIRTEL,CARDS'!NN6</f>
        <v/>
      </c>
      <c r="NP15" s="127">
        <f>SUM(ML15:NO15)</f>
        <v/>
      </c>
      <c r="NQ15" s="22">
        <f>'MOMO,AIRTEL,CARDS'!NP6</f>
        <v/>
      </c>
      <c r="NR15" s="22">
        <f>'MOMO,AIRTEL,CARDS'!NQ6</f>
        <v/>
      </c>
      <c r="NS15" s="22">
        <f>'MOMO,AIRTEL,CARDS'!NR6</f>
        <v/>
      </c>
      <c r="NT15" s="22">
        <f>'MOMO,AIRTEL,CARDS'!NS6</f>
        <v/>
      </c>
      <c r="NU15" s="22">
        <f>'MOMO,AIRTEL,CARDS'!NT6</f>
        <v/>
      </c>
      <c r="NV15" s="22">
        <f>'MOMO,AIRTEL,CARDS'!NU6</f>
        <v/>
      </c>
      <c r="NW15" s="22">
        <f>'MOMO,AIRTEL,CARDS'!NV6</f>
        <v/>
      </c>
      <c r="NX15" s="22">
        <f>'MOMO,AIRTEL,CARDS'!NW6</f>
        <v/>
      </c>
      <c r="NY15" s="22">
        <f>'MOMO,AIRTEL,CARDS'!NX6</f>
        <v/>
      </c>
      <c r="NZ15" s="22">
        <f>'MOMO,AIRTEL,CARDS'!NY6</f>
        <v/>
      </c>
      <c r="OA15" s="22">
        <f>'MOMO,AIRTEL,CARDS'!NZ6</f>
        <v/>
      </c>
      <c r="OB15" s="22">
        <f>'MOMO,AIRTEL,CARDS'!OA6</f>
        <v/>
      </c>
      <c r="OC15" s="22">
        <f>'MOMO,AIRTEL,CARDS'!OB6</f>
        <v/>
      </c>
      <c r="OD15" s="22">
        <f>'MOMO,AIRTEL,CARDS'!OC6</f>
        <v/>
      </c>
      <c r="OE15" s="22">
        <f>'MOMO,AIRTEL,CARDS'!OD6</f>
        <v/>
      </c>
      <c r="OF15" s="22">
        <f>'MOMO,AIRTEL,CARDS'!OE6</f>
        <v/>
      </c>
      <c r="OG15" s="22">
        <f>'MOMO,AIRTEL,CARDS'!OF6</f>
        <v/>
      </c>
      <c r="OH15" s="22">
        <f>'MOMO,AIRTEL,CARDS'!OG6</f>
        <v/>
      </c>
      <c r="OI15" s="22">
        <f>'MOMO,AIRTEL,CARDS'!OH6</f>
        <v/>
      </c>
      <c r="OJ15" s="22">
        <f>'MOMO,AIRTEL,CARDS'!OI6</f>
        <v/>
      </c>
      <c r="OK15" s="22">
        <f>'MOMO,AIRTEL,CARDS'!OJ6</f>
        <v/>
      </c>
      <c r="OL15" s="22">
        <f>'MOMO,AIRTEL,CARDS'!OK6</f>
        <v/>
      </c>
      <c r="OM15" s="22">
        <f>'MOMO,AIRTEL,CARDS'!OL6</f>
        <v/>
      </c>
      <c r="ON15" s="22">
        <f>'MOMO,AIRTEL,CARDS'!OM6</f>
        <v/>
      </c>
      <c r="OO15" s="22">
        <f>'MOMO,AIRTEL,CARDS'!ON6</f>
        <v/>
      </c>
      <c r="OP15" s="22">
        <f>'MOMO,AIRTEL,CARDS'!OO6</f>
        <v/>
      </c>
      <c r="OQ15" s="22">
        <f>'MOMO,AIRTEL,CARDS'!OP6</f>
        <v/>
      </c>
      <c r="OR15" s="22">
        <f>'MOMO,AIRTEL,CARDS'!OQ6</f>
        <v/>
      </c>
      <c r="OS15" s="22">
        <f>'MOMO,AIRTEL,CARDS'!OR6</f>
        <v/>
      </c>
      <c r="OT15" s="22">
        <f>'MOMO,AIRTEL,CARDS'!OS6</f>
        <v/>
      </c>
      <c r="OU15" s="22">
        <f>'MOMO,AIRTEL,CARDS'!OT6</f>
        <v/>
      </c>
      <c r="OV15" s="127">
        <f>SUM(NR15:OU15)</f>
        <v/>
      </c>
      <c r="OW15" s="22">
        <f>'MOMO,AIRTEL,CARDS'!OV6</f>
        <v/>
      </c>
      <c r="OX15" s="22">
        <f>'MOMO,AIRTEL,CARDS'!OW6</f>
        <v/>
      </c>
      <c r="OY15" s="22">
        <f>'MOMO,AIRTEL,CARDS'!OX6</f>
        <v/>
      </c>
      <c r="OZ15" s="22">
        <f>'MOMO,AIRTEL,CARDS'!OY6</f>
        <v/>
      </c>
      <c r="PA15" s="22">
        <f>'MOMO,AIRTEL,CARDS'!OZ6</f>
        <v/>
      </c>
      <c r="PB15" s="22">
        <f>'MOMO,AIRTEL,CARDS'!PA6</f>
        <v/>
      </c>
      <c r="PC15" s="22">
        <f>'MOMO,AIRTEL,CARDS'!PB6</f>
        <v/>
      </c>
      <c r="PD15" s="22">
        <f>'MOMO,AIRTEL,CARDS'!PC6</f>
        <v/>
      </c>
      <c r="PE15" s="22">
        <f>'MOMO,AIRTEL,CARDS'!PD6</f>
        <v/>
      </c>
      <c r="PF15" s="22">
        <f>'MOMO,AIRTEL,CARDS'!PE6</f>
        <v/>
      </c>
      <c r="PG15" s="22">
        <f>'MOMO,AIRTEL,CARDS'!PF6</f>
        <v/>
      </c>
      <c r="PH15" s="22">
        <f>'MOMO,AIRTEL,CARDS'!PG6</f>
        <v/>
      </c>
      <c r="PI15" s="22">
        <f>'MOMO,AIRTEL,CARDS'!PH6</f>
        <v/>
      </c>
      <c r="PJ15" s="22">
        <f>'MOMO,AIRTEL,CARDS'!PI6</f>
        <v/>
      </c>
      <c r="PK15" s="22">
        <f>'MOMO,AIRTEL,CARDS'!PJ6</f>
        <v/>
      </c>
      <c r="PL15" s="22">
        <f>'MOMO,AIRTEL,CARDS'!PK6</f>
        <v/>
      </c>
      <c r="PM15" s="22">
        <f>'MOMO,AIRTEL,CARDS'!PL6</f>
        <v/>
      </c>
      <c r="PN15" s="22">
        <f>'MOMO,AIRTEL,CARDS'!PM6</f>
        <v/>
      </c>
      <c r="PO15" s="22">
        <f>'MOMO,AIRTEL,CARDS'!PN6</f>
        <v/>
      </c>
      <c r="PP15" s="22">
        <f>'MOMO,AIRTEL,CARDS'!PO6</f>
        <v/>
      </c>
      <c r="PQ15" s="22">
        <f>'MOMO,AIRTEL,CARDS'!PP6</f>
        <v/>
      </c>
      <c r="PR15" s="22">
        <f>'MOMO,AIRTEL,CARDS'!PQ6</f>
        <v/>
      </c>
      <c r="PS15" s="22">
        <f>'MOMO,AIRTEL,CARDS'!PR6</f>
        <v/>
      </c>
      <c r="PT15" s="22">
        <f>'MOMO,AIRTEL,CARDS'!PS6</f>
        <v/>
      </c>
      <c r="PU15" s="22">
        <f>'MOMO,AIRTEL,CARDS'!PT6</f>
        <v/>
      </c>
      <c r="PV15" s="22">
        <f>'MOMO,AIRTEL,CARDS'!PU6</f>
        <v/>
      </c>
      <c r="PW15" s="22">
        <f>'MOMO,AIRTEL,CARDS'!PV6</f>
        <v/>
      </c>
      <c r="PX15" s="22">
        <f>'MOMO,AIRTEL,CARDS'!PW6</f>
        <v/>
      </c>
      <c r="PY15" s="22">
        <f>'MOMO,AIRTEL,CARDS'!PX6</f>
        <v/>
      </c>
      <c r="PZ15" s="22">
        <f>'MOMO,AIRTEL,CARDS'!PY6</f>
        <v/>
      </c>
      <c r="QA15" s="127">
        <f>SUM(OW15:PZ15)</f>
        <v/>
      </c>
      <c r="QB15" s="22">
        <f>'MOMO,AIRTEL,CARDS'!QA6</f>
        <v/>
      </c>
      <c r="QC15" s="22">
        <f>'MOMO,AIRTEL,CARDS'!QB6</f>
        <v/>
      </c>
      <c r="QD15" s="22">
        <f>'MOMO,AIRTEL,CARDS'!QC6</f>
        <v/>
      </c>
      <c r="QE15" s="22">
        <f>'MOMO,AIRTEL,CARDS'!QD6</f>
        <v/>
      </c>
      <c r="QF15" s="22">
        <f>'MOMO,AIRTEL,CARDS'!QE6</f>
        <v/>
      </c>
      <c r="QG15" s="22">
        <f>'MOMO,AIRTEL,CARDS'!QF6</f>
        <v/>
      </c>
      <c r="QH15" s="22">
        <f>'MOMO,AIRTEL,CARDS'!QG6</f>
        <v/>
      </c>
      <c r="QI15" s="22">
        <f>'MOMO,AIRTEL,CARDS'!QH6</f>
        <v/>
      </c>
      <c r="QJ15" s="22">
        <f>'MOMO,AIRTEL,CARDS'!QI6</f>
        <v/>
      </c>
      <c r="QK15" s="22">
        <f>'MOMO,AIRTEL,CARDS'!QJ6</f>
        <v/>
      </c>
      <c r="QL15" s="22">
        <f>'MOMO,AIRTEL,CARDS'!QK6</f>
        <v/>
      </c>
      <c r="QM15" s="22">
        <f>'MOMO,AIRTEL,CARDS'!QL6</f>
        <v/>
      </c>
      <c r="QN15" s="22">
        <f>'MOMO,AIRTEL,CARDS'!QM6</f>
        <v/>
      </c>
      <c r="QO15" s="22">
        <f>'MOMO,AIRTEL,CARDS'!QN6</f>
        <v/>
      </c>
      <c r="QP15" s="22">
        <f>'MOMO,AIRTEL,CARDS'!QO6</f>
        <v/>
      </c>
      <c r="QQ15" s="22">
        <f>'MOMO,AIRTEL,CARDS'!QP6</f>
        <v/>
      </c>
      <c r="QR15" s="22">
        <f>'MOMO,AIRTEL,CARDS'!QQ6</f>
        <v/>
      </c>
      <c r="QS15" s="22">
        <f>'MOMO,AIRTEL,CARDS'!QR6</f>
        <v/>
      </c>
      <c r="QT15" s="22">
        <f>'MOMO,AIRTEL,CARDS'!QS6</f>
        <v/>
      </c>
      <c r="QU15" s="22">
        <f>'MOMO,AIRTEL,CARDS'!QT6</f>
        <v/>
      </c>
      <c r="QV15" s="22">
        <f>'MOMO,AIRTEL,CARDS'!QU6</f>
        <v/>
      </c>
      <c r="QW15" s="22">
        <f>'MOMO,AIRTEL,CARDS'!QV6</f>
        <v/>
      </c>
      <c r="QX15" s="22">
        <f>'MOMO,AIRTEL,CARDS'!QW6</f>
        <v/>
      </c>
      <c r="QY15" s="22">
        <f>'MOMO,AIRTEL,CARDS'!QX6</f>
        <v/>
      </c>
      <c r="QZ15" s="22">
        <f>'MOMO,AIRTEL,CARDS'!QY6</f>
        <v/>
      </c>
      <c r="RA15" s="22">
        <f>'MOMO,AIRTEL,CARDS'!QZ6</f>
        <v/>
      </c>
      <c r="RB15" s="22">
        <f>'MOMO,AIRTEL,CARDS'!RA6</f>
        <v/>
      </c>
      <c r="RC15" s="22">
        <f>'MOMO,AIRTEL,CARDS'!RB6</f>
        <v/>
      </c>
      <c r="RD15" s="22">
        <f>'MOMO,AIRTEL,CARDS'!RC6</f>
        <v/>
      </c>
      <c r="RE15" s="22">
        <f>'MOMO,AIRTEL,CARDS'!RD6</f>
        <v/>
      </c>
      <c r="RF15" s="22">
        <f>'MOMO,AIRTEL,CARDS'!RE6</f>
        <v/>
      </c>
      <c r="RG15" s="127">
        <f>SUM(QC15:RF15)</f>
        <v/>
      </c>
      <c r="RH15" s="22">
        <f>'MOMO,AIRTEL,CARDS'!RG6</f>
        <v/>
      </c>
      <c r="RI15" s="22">
        <f>'MOMO,AIRTEL,CARDS'!RH6</f>
        <v/>
      </c>
      <c r="RJ15" s="22">
        <f>'MOMO,AIRTEL,CARDS'!RI6</f>
        <v/>
      </c>
      <c r="RK15" s="22">
        <f>'MOMO,AIRTEL,CARDS'!RJ6</f>
        <v/>
      </c>
      <c r="RL15" s="22">
        <f>'MOMO,AIRTEL,CARDS'!RK6</f>
        <v/>
      </c>
      <c r="RM15" s="22">
        <f>'MOMO,AIRTEL,CARDS'!RL6</f>
        <v/>
      </c>
      <c r="RN15" s="22">
        <f>'MOMO,AIRTEL,CARDS'!RM6</f>
        <v/>
      </c>
      <c r="RO15" s="22">
        <f>'MOMO,AIRTEL,CARDS'!RN6</f>
        <v/>
      </c>
      <c r="RP15" s="22">
        <f>'MOMO,AIRTEL,CARDS'!RO6</f>
        <v/>
      </c>
      <c r="RQ15" s="22">
        <f>'MOMO,AIRTEL,CARDS'!RP6</f>
        <v/>
      </c>
      <c r="RR15" s="22">
        <f>'MOMO,AIRTEL,CARDS'!RQ6</f>
        <v/>
      </c>
      <c r="RS15" s="22">
        <f>'MOMO,AIRTEL,CARDS'!RR6</f>
        <v/>
      </c>
      <c r="RT15" s="22">
        <f>'MOMO,AIRTEL,CARDS'!RS6</f>
        <v/>
      </c>
      <c r="RU15" s="22">
        <f>'MOMO,AIRTEL,CARDS'!RT6</f>
        <v/>
      </c>
      <c r="RV15" s="22">
        <f>'MOMO,AIRTEL,CARDS'!RU6</f>
        <v/>
      </c>
      <c r="RW15" s="22">
        <f>'MOMO,AIRTEL,CARDS'!RV6</f>
        <v/>
      </c>
      <c r="RX15" s="22">
        <f>'MOMO,AIRTEL,CARDS'!RW6</f>
        <v/>
      </c>
      <c r="RY15" s="22">
        <f>'MOMO,AIRTEL,CARDS'!RX6</f>
        <v/>
      </c>
      <c r="RZ15" s="22">
        <f>'MOMO,AIRTEL,CARDS'!RY6</f>
        <v/>
      </c>
      <c r="SA15" s="22">
        <f>'MOMO,AIRTEL,CARDS'!RZ6</f>
        <v/>
      </c>
      <c r="SB15" s="22">
        <f>'MOMO,AIRTEL,CARDS'!SA6</f>
        <v/>
      </c>
      <c r="SC15" s="22">
        <f>'MOMO,AIRTEL,CARDS'!SB6</f>
        <v/>
      </c>
      <c r="SD15" s="22">
        <f>'MOMO,AIRTEL,CARDS'!SC6</f>
        <v/>
      </c>
      <c r="SE15" s="22">
        <f>'MOMO,AIRTEL,CARDS'!SD6</f>
        <v/>
      </c>
      <c r="SF15" s="22">
        <f>'MOMO,AIRTEL,CARDS'!SE6</f>
        <v/>
      </c>
      <c r="SG15" s="22">
        <f>'MOMO,AIRTEL,CARDS'!SF6</f>
        <v/>
      </c>
      <c r="SH15" s="22">
        <f>'MOMO,AIRTEL,CARDS'!SG6</f>
        <v/>
      </c>
      <c r="SI15" s="22">
        <f>'MOMO,AIRTEL,CARDS'!SH6</f>
        <v/>
      </c>
      <c r="SJ15" s="22">
        <f>'MOMO,AIRTEL,CARDS'!SI6</f>
        <v/>
      </c>
      <c r="SK15" s="22">
        <f>'MOMO,AIRTEL,CARDS'!SJ6</f>
        <v/>
      </c>
      <c r="SL15" s="127">
        <f>SUM(RH15:SK15)</f>
        <v/>
      </c>
      <c r="SM15" s="22">
        <f>'MOMO,AIRTEL,CARDS'!SL6</f>
        <v/>
      </c>
      <c r="SN15" s="22">
        <f>'MOMO,AIRTEL,CARDS'!SM6</f>
        <v/>
      </c>
      <c r="SO15" s="22">
        <f>'MOMO,AIRTEL,CARDS'!SN6</f>
        <v/>
      </c>
      <c r="SP15" s="22">
        <f>'MOMO,AIRTEL,CARDS'!SO6</f>
        <v/>
      </c>
      <c r="SQ15" s="22">
        <f>'MOMO,AIRTEL,CARDS'!SP6</f>
        <v/>
      </c>
      <c r="SR15" s="22">
        <f>'MOMO,AIRTEL,CARDS'!SQ6</f>
        <v/>
      </c>
      <c r="SS15" s="22">
        <f>'MOMO,AIRTEL,CARDS'!SR6</f>
        <v/>
      </c>
      <c r="ST15" s="22">
        <f>'MOMO,AIRTEL,CARDS'!SS6</f>
        <v/>
      </c>
      <c r="SU15" s="22">
        <f>'MOMO,AIRTEL,CARDS'!ST6</f>
        <v/>
      </c>
      <c r="SV15" s="22">
        <f>'MOMO,AIRTEL,CARDS'!SU6</f>
        <v/>
      </c>
      <c r="SW15" s="22">
        <f>'MOMO,AIRTEL,CARDS'!SV6</f>
        <v/>
      </c>
      <c r="SX15" s="22">
        <f>'MOMO,AIRTEL,CARDS'!SW6</f>
        <v/>
      </c>
      <c r="SY15" s="22">
        <f>'MOMO,AIRTEL,CARDS'!SX6</f>
        <v/>
      </c>
      <c r="SZ15" s="22">
        <f>'MOMO,AIRTEL,CARDS'!SY6</f>
        <v/>
      </c>
      <c r="TA15" s="22">
        <f>'MOMO,AIRTEL,CARDS'!SZ6</f>
        <v/>
      </c>
      <c r="TB15" s="22">
        <f>'MOMO,AIRTEL,CARDS'!TA6</f>
        <v/>
      </c>
      <c r="TC15" s="22">
        <f>'MOMO,AIRTEL,CARDS'!TB6</f>
        <v/>
      </c>
      <c r="TD15" s="22">
        <f>'MOMO,AIRTEL,CARDS'!TC6</f>
        <v/>
      </c>
      <c r="TE15" s="22">
        <f>'MOMO,AIRTEL,CARDS'!TD6</f>
        <v/>
      </c>
      <c r="TF15" s="22">
        <f>'MOMO,AIRTEL,CARDS'!TE6</f>
        <v/>
      </c>
      <c r="TG15" s="22">
        <f>'MOMO,AIRTEL,CARDS'!TF6</f>
        <v/>
      </c>
      <c r="TH15" s="22">
        <f>'MOMO,AIRTEL,CARDS'!TG6</f>
        <v/>
      </c>
      <c r="TI15" s="22">
        <f>'MOMO,AIRTEL,CARDS'!TH6</f>
        <v/>
      </c>
      <c r="TJ15" s="22">
        <f>'MOMO,AIRTEL,CARDS'!TI6</f>
        <v/>
      </c>
      <c r="TK15" s="22">
        <f>'MOMO,AIRTEL,CARDS'!TJ6</f>
        <v/>
      </c>
      <c r="TL15" s="22">
        <f>'MOMO,AIRTEL,CARDS'!TK6</f>
        <v/>
      </c>
      <c r="TM15" s="22">
        <f>'MOMO,AIRTEL,CARDS'!TL6</f>
        <v/>
      </c>
      <c r="TN15" s="22">
        <f>'MOMO,AIRTEL,CARDS'!TM6</f>
        <v/>
      </c>
      <c r="TO15" s="22">
        <f>'MOMO,AIRTEL,CARDS'!TN6</f>
        <v/>
      </c>
      <c r="TP15" s="22">
        <f>'MOMO,AIRTEL,CARDS'!TO6</f>
        <v/>
      </c>
      <c r="TQ15" s="22">
        <f>'MOMO,AIRTEL,CARDS'!TP6</f>
        <v/>
      </c>
      <c r="TR15" s="127">
        <f>SUM(SN15:TQ15)</f>
        <v/>
      </c>
      <c r="TS15" s="22">
        <f>'MOMO,AIRTEL,CARDS'!TR6</f>
        <v/>
      </c>
      <c r="TT15" s="22">
        <f>'MOMO,AIRTEL,CARDS'!TS6</f>
        <v/>
      </c>
      <c r="TU15" s="22">
        <f>'MOMO,AIRTEL,CARDS'!TT6</f>
        <v/>
      </c>
      <c r="TV15" s="22">
        <f>'MOMO,AIRTEL,CARDS'!TU6</f>
        <v/>
      </c>
      <c r="TW15" s="22">
        <f>'MOMO,AIRTEL,CARDS'!TV6</f>
        <v/>
      </c>
      <c r="TX15" s="22">
        <f>'MOMO,AIRTEL,CARDS'!TW6</f>
        <v/>
      </c>
      <c r="TY15" s="22">
        <f>'MOMO,AIRTEL,CARDS'!TX6</f>
        <v/>
      </c>
      <c r="TZ15" s="22">
        <f>'MOMO,AIRTEL,CARDS'!TY6</f>
        <v/>
      </c>
      <c r="UA15" s="22">
        <f>'MOMO,AIRTEL,CARDS'!TZ6</f>
        <v/>
      </c>
      <c r="UB15" s="22">
        <f>'MOMO,AIRTEL,CARDS'!UA6</f>
        <v/>
      </c>
      <c r="UC15" s="22">
        <f>'MOMO,AIRTEL,CARDS'!UB6</f>
        <v/>
      </c>
      <c r="UD15" s="22">
        <f>'MOMO,AIRTEL,CARDS'!UC6</f>
        <v/>
      </c>
      <c r="UE15" s="22">
        <f>'MOMO,AIRTEL,CARDS'!UD6</f>
        <v/>
      </c>
      <c r="UF15" s="22">
        <f>'MOMO,AIRTEL,CARDS'!UE6</f>
        <v/>
      </c>
      <c r="UG15" s="22">
        <f>'MOMO,AIRTEL,CARDS'!UF6</f>
        <v/>
      </c>
      <c r="UH15" s="22">
        <f>'MOMO,AIRTEL,CARDS'!UG6</f>
        <v/>
      </c>
      <c r="UI15" s="22">
        <f>'MOMO,AIRTEL,CARDS'!UH6</f>
        <v/>
      </c>
      <c r="UJ15" s="22">
        <f>'MOMO,AIRTEL,CARDS'!UI6</f>
        <v/>
      </c>
      <c r="UK15" s="22">
        <f>'MOMO,AIRTEL,CARDS'!UJ6</f>
        <v/>
      </c>
      <c r="UL15" s="22">
        <f>'MOMO,AIRTEL,CARDS'!UK6</f>
        <v/>
      </c>
      <c r="UM15" s="22">
        <f>'MOMO,AIRTEL,CARDS'!UL6</f>
        <v/>
      </c>
      <c r="UN15" s="22">
        <f>'MOMO,AIRTEL,CARDS'!UM6</f>
        <v/>
      </c>
      <c r="UO15" s="22">
        <f>'MOMO,AIRTEL,CARDS'!UN6</f>
        <v/>
      </c>
      <c r="UP15" s="22">
        <f>'MOMO,AIRTEL,CARDS'!UO6</f>
        <v/>
      </c>
      <c r="UQ15" s="22">
        <f>'MOMO,AIRTEL,CARDS'!UP6</f>
        <v/>
      </c>
      <c r="UR15" s="22">
        <f>'MOMO,AIRTEL,CARDS'!UQ6</f>
        <v/>
      </c>
      <c r="US15" s="22">
        <f>'MOMO,AIRTEL,CARDS'!UR6</f>
        <v/>
      </c>
      <c r="UT15" s="22">
        <f>'MOMO,AIRTEL,CARDS'!US6</f>
        <v/>
      </c>
      <c r="UU15" s="22">
        <f>'MOMO,AIRTEL,CARDS'!UT6</f>
        <v/>
      </c>
      <c r="UV15" s="22">
        <f>'MOMO,AIRTEL,CARDS'!UU6</f>
        <v/>
      </c>
      <c r="UW15" s="22">
        <f>'MOMO,AIRTEL,CARDS'!UV6</f>
        <v/>
      </c>
      <c r="UX15" s="127">
        <f>SUM(TT15:UW15)</f>
        <v/>
      </c>
      <c r="UY15" s="22">
        <f>'MOMO,AIRTEL,CARDS'!UX6</f>
        <v/>
      </c>
      <c r="UZ15" s="22">
        <f>'MOMO,AIRTEL,CARDS'!UY6</f>
        <v/>
      </c>
      <c r="VA15" s="22">
        <f>'MOMO,AIRTEL,CARDS'!UZ6</f>
        <v/>
      </c>
      <c r="VB15" s="22">
        <f>'MOMO,AIRTEL,CARDS'!VA6</f>
        <v/>
      </c>
      <c r="VC15" s="22">
        <f>'MOMO,AIRTEL,CARDS'!VB6</f>
        <v/>
      </c>
      <c r="VD15" s="22">
        <f>'MOMO,AIRTEL,CARDS'!VC6</f>
        <v/>
      </c>
      <c r="VE15" s="22">
        <f>'MOMO,AIRTEL,CARDS'!VD6</f>
        <v/>
      </c>
      <c r="VF15" s="22">
        <f>'MOMO,AIRTEL,CARDS'!VE6</f>
        <v/>
      </c>
      <c r="VG15" s="22">
        <f>'MOMO,AIRTEL,CARDS'!VF6</f>
        <v/>
      </c>
      <c r="VH15" s="22">
        <f>'MOMO,AIRTEL,CARDS'!VG6</f>
        <v/>
      </c>
      <c r="VI15" s="22">
        <f>'MOMO,AIRTEL,CARDS'!VH6</f>
        <v/>
      </c>
      <c r="VJ15" s="22">
        <f>'MOMO,AIRTEL,CARDS'!VI6</f>
        <v/>
      </c>
      <c r="VK15" s="22">
        <f>'MOMO,AIRTEL,CARDS'!VJ6</f>
        <v/>
      </c>
      <c r="VL15" s="22">
        <f>'MOMO,AIRTEL,CARDS'!VK6</f>
        <v/>
      </c>
      <c r="VM15" s="22">
        <f>'MOMO,AIRTEL,CARDS'!VL6</f>
        <v/>
      </c>
      <c r="VN15" s="22">
        <f>'MOMO,AIRTEL,CARDS'!VM6</f>
        <v/>
      </c>
      <c r="VO15" s="22">
        <f>'MOMO,AIRTEL,CARDS'!VN6</f>
        <v/>
      </c>
      <c r="VP15" s="22">
        <f>'MOMO,AIRTEL,CARDS'!VO6</f>
        <v/>
      </c>
      <c r="VQ15" s="22">
        <f>'MOMO,AIRTEL,CARDS'!VP6</f>
        <v/>
      </c>
      <c r="VR15" s="22">
        <f>'MOMO,AIRTEL,CARDS'!VQ6</f>
        <v/>
      </c>
      <c r="VS15" s="22">
        <f>'MOMO,AIRTEL,CARDS'!VR6</f>
        <v/>
      </c>
      <c r="VT15" s="22">
        <f>'MOMO,AIRTEL,CARDS'!VS6</f>
        <v/>
      </c>
      <c r="VU15" s="22">
        <f>'MOMO,AIRTEL,CARDS'!VT6</f>
        <v/>
      </c>
      <c r="VV15" s="22">
        <f>'MOMO,AIRTEL,CARDS'!VU6</f>
        <v/>
      </c>
      <c r="VW15" s="22">
        <f>'MOMO,AIRTEL,CARDS'!VV6</f>
        <v/>
      </c>
      <c r="VX15" s="22">
        <f>'MOMO,AIRTEL,CARDS'!VW6</f>
        <v/>
      </c>
      <c r="VY15" s="22">
        <f>'MOMO,AIRTEL,CARDS'!VX6</f>
        <v/>
      </c>
      <c r="VZ15" s="22">
        <f>'MOMO,AIRTEL,CARDS'!VY6</f>
        <v/>
      </c>
      <c r="WA15" s="127">
        <f>SUM(UY15:VZ15)</f>
        <v/>
      </c>
      <c r="WB15" s="22">
        <f>'MOMO,AIRTEL,CARDS'!WA6</f>
        <v/>
      </c>
      <c r="WC15" s="22">
        <f>'MOMO,AIRTEL,CARDS'!WB6</f>
        <v/>
      </c>
      <c r="WD15" s="22">
        <f>'MOMO,AIRTEL,CARDS'!WC6</f>
        <v/>
      </c>
      <c r="WE15" s="22">
        <f>'MOMO,AIRTEL,CARDS'!WD6</f>
        <v/>
      </c>
      <c r="WF15" s="22">
        <f>'MOMO,AIRTEL,CARDS'!WE6</f>
        <v/>
      </c>
      <c r="WG15" s="22">
        <f>'MOMO,AIRTEL,CARDS'!WF6</f>
        <v/>
      </c>
      <c r="WH15" s="22">
        <f>'MOMO,AIRTEL,CARDS'!WG6</f>
        <v/>
      </c>
      <c r="WI15" s="22">
        <f>'MOMO,AIRTEL,CARDS'!WH6</f>
        <v/>
      </c>
      <c r="WJ15" s="22">
        <f>'MOMO,AIRTEL,CARDS'!WI6</f>
        <v/>
      </c>
      <c r="WK15" s="22">
        <f>'MOMO,AIRTEL,CARDS'!WJ6</f>
        <v/>
      </c>
      <c r="WL15" s="22">
        <f>'MOMO,AIRTEL,CARDS'!WK6</f>
        <v/>
      </c>
      <c r="WM15" s="22">
        <f>'MOMO,AIRTEL,CARDS'!WL6</f>
        <v/>
      </c>
      <c r="WN15" s="22">
        <f>'MOMO,AIRTEL,CARDS'!WM6</f>
        <v/>
      </c>
      <c r="WO15" s="22">
        <f>'MOMO,AIRTEL,CARDS'!WN6</f>
        <v/>
      </c>
      <c r="WP15" s="22">
        <f>'MOMO,AIRTEL,CARDS'!WO6</f>
        <v/>
      </c>
      <c r="WQ15" s="22">
        <f>'MOMO,AIRTEL,CARDS'!WP6</f>
        <v/>
      </c>
      <c r="WR15" s="22">
        <f>'MOMO,AIRTEL,CARDS'!WQ6</f>
        <v/>
      </c>
      <c r="WS15" s="22">
        <f>'MOMO,AIRTEL,CARDS'!WR6</f>
        <v/>
      </c>
      <c r="WT15" s="22">
        <f>'MOMO,AIRTEL,CARDS'!WS6</f>
        <v/>
      </c>
      <c r="WU15" s="22">
        <f>'MOMO,AIRTEL,CARDS'!WT6</f>
        <v/>
      </c>
      <c r="WV15" s="22">
        <f>'MOMO,AIRTEL,CARDS'!WU6</f>
        <v/>
      </c>
      <c r="WW15" s="22">
        <f>'MOMO,AIRTEL,CARDS'!WV6</f>
        <v/>
      </c>
      <c r="WX15" s="22">
        <f>'MOMO,AIRTEL,CARDS'!WW6</f>
        <v/>
      </c>
      <c r="WY15" s="22">
        <f>'MOMO,AIRTEL,CARDS'!WX6</f>
        <v/>
      </c>
      <c r="WZ15" s="22">
        <f>'MOMO,AIRTEL,CARDS'!WY6</f>
        <v/>
      </c>
      <c r="XA15" s="22">
        <f>'MOMO,AIRTEL,CARDS'!WZ6</f>
        <v/>
      </c>
      <c r="XB15" s="22">
        <f>'MOMO,AIRTEL,CARDS'!XA6</f>
        <v/>
      </c>
      <c r="XC15" s="22">
        <f>'MOMO,AIRTEL,CARDS'!XB6</f>
        <v/>
      </c>
      <c r="XD15" s="22">
        <f>'MOMO,AIRTEL,CARDS'!XC6</f>
        <v/>
      </c>
      <c r="XE15" s="22">
        <f>'MOMO,AIRTEL,CARDS'!XD6</f>
        <v/>
      </c>
      <c r="XF15" s="22">
        <f>'MOMO,AIRTEL,CARDS'!XE6</f>
        <v/>
      </c>
      <c r="XG15" s="127">
        <f>SUM(WB15:XF15)</f>
        <v/>
      </c>
      <c r="XH15" s="22">
        <f>'MOMO,AIRTEL,CARDS'!XG6</f>
        <v/>
      </c>
      <c r="XI15" s="22">
        <f>'MOMO,AIRTEL,CARDS'!XH6</f>
        <v/>
      </c>
      <c r="XJ15" s="22">
        <f>'MOMO,AIRTEL,CARDS'!XI6</f>
        <v/>
      </c>
      <c r="XK15" s="22">
        <f>'MOMO,AIRTEL,CARDS'!XJ6</f>
        <v/>
      </c>
      <c r="XL15" s="22">
        <f>'MOMO,AIRTEL,CARDS'!XK6</f>
        <v/>
      </c>
      <c r="XM15" s="22">
        <f>'MOMO,AIRTEL,CARDS'!XL6</f>
        <v/>
      </c>
      <c r="XN15" s="22">
        <f>'MOMO,AIRTEL,CARDS'!XM6</f>
        <v/>
      </c>
      <c r="XO15" s="22">
        <f>'MOMO,AIRTEL,CARDS'!XN6</f>
        <v/>
      </c>
      <c r="XP15" s="22">
        <f>'MOMO,AIRTEL,CARDS'!XO6</f>
        <v/>
      </c>
      <c r="XQ15" s="22">
        <f>'MOMO,AIRTEL,CARDS'!XP6</f>
        <v/>
      </c>
      <c r="XR15" s="22">
        <f>'MOMO,AIRTEL,CARDS'!XQ6</f>
        <v/>
      </c>
      <c r="XS15" s="22">
        <f>'MOMO,AIRTEL,CARDS'!XR6</f>
        <v/>
      </c>
      <c r="XT15" s="22">
        <f>'MOMO,AIRTEL,CARDS'!XS6</f>
        <v/>
      </c>
      <c r="XU15" s="22">
        <f>'MOMO,AIRTEL,CARDS'!XT6</f>
        <v/>
      </c>
      <c r="XV15" s="22">
        <f>'MOMO,AIRTEL,CARDS'!XU6</f>
        <v/>
      </c>
      <c r="XW15" s="22">
        <f>'MOMO,AIRTEL,CARDS'!XV6</f>
        <v/>
      </c>
      <c r="XX15" s="22">
        <f>'MOMO,AIRTEL,CARDS'!XW6</f>
        <v/>
      </c>
      <c r="XY15" s="22">
        <f>'MOMO,AIRTEL,CARDS'!XX6</f>
        <v/>
      </c>
      <c r="XZ15" s="22">
        <f>'MOMO,AIRTEL,CARDS'!XY6</f>
        <v/>
      </c>
      <c r="YA15" s="22">
        <f>'MOMO,AIRTEL,CARDS'!XZ6</f>
        <v/>
      </c>
      <c r="YB15" s="22">
        <f>'MOMO,AIRTEL,CARDS'!YA6</f>
        <v/>
      </c>
      <c r="YC15" s="22">
        <f>'MOMO,AIRTEL,CARDS'!YB6</f>
        <v/>
      </c>
      <c r="YD15" s="22">
        <f>'MOMO,AIRTEL,CARDS'!YC6</f>
        <v/>
      </c>
      <c r="YE15" s="22">
        <f>'MOMO,AIRTEL,CARDS'!YD6</f>
        <v/>
      </c>
      <c r="YF15" s="22">
        <f>'MOMO,AIRTEL,CARDS'!YE6</f>
        <v/>
      </c>
      <c r="YG15" s="22">
        <f>'MOMO,AIRTEL,CARDS'!YF6</f>
        <v/>
      </c>
      <c r="YH15" s="22">
        <f>'MOMO,AIRTEL,CARDS'!YG6</f>
        <v/>
      </c>
      <c r="YI15" s="22">
        <f>'MOMO,AIRTEL,CARDS'!YH6</f>
        <v/>
      </c>
      <c r="YJ15" s="22">
        <f>'MOMO,AIRTEL,CARDS'!YI6</f>
        <v/>
      </c>
      <c r="YK15" s="22">
        <f>'MOMO,AIRTEL,CARDS'!YJ6</f>
        <v/>
      </c>
      <c r="YL15" s="127">
        <f>SUM(XH15:YK15)</f>
        <v/>
      </c>
      <c r="YM15" s="22">
        <f>'MOMO,AIRTEL,CARDS'!YL6</f>
        <v/>
      </c>
      <c r="YN15" s="22">
        <f>'MOMO,AIRTEL,CARDS'!YM6</f>
        <v/>
      </c>
      <c r="YO15" s="22">
        <f>'MOMO,AIRTEL,CARDS'!YN6</f>
        <v/>
      </c>
      <c r="YP15" s="22">
        <f>'MOMO,AIRTEL,CARDS'!YO6</f>
        <v/>
      </c>
      <c r="YQ15" s="22">
        <f>'MOMO,AIRTEL,CARDS'!YP6</f>
        <v/>
      </c>
      <c r="YR15" s="22">
        <f>'MOMO,AIRTEL,CARDS'!YQ6</f>
        <v/>
      </c>
      <c r="YS15" s="22">
        <f>'MOMO,AIRTEL,CARDS'!YR6</f>
        <v/>
      </c>
      <c r="YT15" s="22">
        <f>'MOMO,AIRTEL,CARDS'!YS6</f>
        <v/>
      </c>
      <c r="YU15" s="22">
        <f>'MOMO,AIRTEL,CARDS'!YT6</f>
        <v/>
      </c>
      <c r="YV15" s="22">
        <f>'MOMO,AIRTEL,CARDS'!YU6</f>
        <v/>
      </c>
      <c r="YW15" s="22">
        <f>'MOMO,AIRTEL,CARDS'!YV6</f>
        <v/>
      </c>
      <c r="YX15" s="22">
        <f>'MOMO,AIRTEL,CARDS'!YW6</f>
        <v/>
      </c>
      <c r="YY15" s="22">
        <f>'MOMO,AIRTEL,CARDS'!YX6</f>
        <v/>
      </c>
      <c r="YZ15" s="22">
        <f>'MOMO,AIRTEL,CARDS'!YY6</f>
        <v/>
      </c>
      <c r="ZA15" s="22">
        <f>'MOMO,AIRTEL,CARDS'!YZ6</f>
        <v/>
      </c>
      <c r="ZB15" s="22">
        <f>'MOMO,AIRTEL,CARDS'!ZA6</f>
        <v/>
      </c>
      <c r="ZC15" s="22">
        <f>'MOMO,AIRTEL,CARDS'!ZB6</f>
        <v/>
      </c>
      <c r="ZD15" s="22">
        <f>'MOMO,AIRTEL,CARDS'!ZC6</f>
        <v/>
      </c>
      <c r="ZE15" s="22">
        <f>'MOMO,AIRTEL,CARDS'!ZD6</f>
        <v/>
      </c>
      <c r="ZF15" s="22">
        <f>'MOMO,AIRTEL,CARDS'!ZE6</f>
        <v/>
      </c>
      <c r="ZG15" s="22">
        <f>'MOMO,AIRTEL,CARDS'!ZF6</f>
        <v/>
      </c>
      <c r="ZH15" s="22">
        <f>'MOMO,AIRTEL,CARDS'!ZG6</f>
        <v/>
      </c>
      <c r="ZI15" s="22">
        <f>'MOMO,AIRTEL,CARDS'!ZH6</f>
        <v/>
      </c>
      <c r="ZJ15" s="22">
        <f>'MOMO,AIRTEL,CARDS'!ZI6</f>
        <v/>
      </c>
      <c r="ZK15" s="22">
        <f>'MOMO,AIRTEL,CARDS'!ZJ6</f>
        <v/>
      </c>
      <c r="ZL15" s="22">
        <f>'MOMO,AIRTEL,CARDS'!ZK6</f>
        <v/>
      </c>
      <c r="ZM15" s="22">
        <f>'MOMO,AIRTEL,CARDS'!ZL6</f>
        <v/>
      </c>
      <c r="ZN15" s="22">
        <f>'MOMO,AIRTEL,CARDS'!ZM6</f>
        <v/>
      </c>
      <c r="ZO15" s="22">
        <f>'MOMO,AIRTEL,CARDS'!ZN6</f>
        <v/>
      </c>
      <c r="ZP15" s="22">
        <f>'MOMO,AIRTEL,CARDS'!ZO6</f>
        <v/>
      </c>
      <c r="ZQ15" s="22">
        <f>'MOMO,AIRTEL,CARDS'!ZP6</f>
        <v/>
      </c>
      <c r="ZR15" s="127">
        <f>SUM(YM15:ZQ15)</f>
        <v/>
      </c>
      <c r="ZS15" s="22">
        <f>'MOMO,AIRTEL,CARDS'!ZR6</f>
        <v/>
      </c>
      <c r="ZT15" s="22">
        <f>'MOMO,AIRTEL,CARDS'!ZS6</f>
        <v/>
      </c>
      <c r="ZU15" s="22">
        <f>'MOMO,AIRTEL,CARDS'!ZT6</f>
        <v/>
      </c>
      <c r="ZV15" s="22">
        <f>'MOMO,AIRTEL,CARDS'!ZU6</f>
        <v/>
      </c>
      <c r="ZW15" s="22">
        <f>'MOMO,AIRTEL,CARDS'!ZV6</f>
        <v/>
      </c>
      <c r="ZX15" s="22">
        <f>'MOMO,AIRTEL,CARDS'!ZW6</f>
        <v/>
      </c>
      <c r="ZY15" s="22">
        <f>'MOMO,AIRTEL,CARDS'!ZX6</f>
        <v/>
      </c>
      <c r="ZZ15" s="22">
        <f>'MOMO,AIRTEL,CARDS'!ZY6</f>
        <v/>
      </c>
      <c r="AAA15" s="22">
        <f>'MOMO,AIRTEL,CARDS'!ZZ6</f>
        <v/>
      </c>
      <c r="AAB15" s="22">
        <f>'MOMO,AIRTEL,CARDS'!AAA6</f>
        <v/>
      </c>
      <c r="AAC15" s="22">
        <f>'MOMO,AIRTEL,CARDS'!AAB6</f>
        <v/>
      </c>
      <c r="AAD15" s="22">
        <f>'MOMO,AIRTEL,CARDS'!AAC6</f>
        <v/>
      </c>
      <c r="AAE15" s="22">
        <f>'MOMO,AIRTEL,CARDS'!AAD6</f>
        <v/>
      </c>
      <c r="AAF15" s="22">
        <f>'MOMO,AIRTEL,CARDS'!AAE6</f>
        <v/>
      </c>
      <c r="AAG15" s="22">
        <f>'MOMO,AIRTEL,CARDS'!AAF6</f>
        <v/>
      </c>
      <c r="AAH15" s="22">
        <f>'MOMO,AIRTEL,CARDS'!AAG6</f>
        <v/>
      </c>
      <c r="AAI15" s="22">
        <f>'MOMO,AIRTEL,CARDS'!AAH6</f>
        <v/>
      </c>
      <c r="AAJ15" s="22">
        <f>'MOMO,AIRTEL,CARDS'!AAI6</f>
        <v/>
      </c>
      <c r="AAK15" s="22">
        <f>'MOMO,AIRTEL,CARDS'!AAJ6</f>
        <v/>
      </c>
      <c r="AAL15" s="22">
        <f>'MOMO,AIRTEL,CARDS'!AAK6</f>
        <v/>
      </c>
      <c r="AAM15" s="22">
        <f>'MOMO,AIRTEL,CARDS'!AAL6</f>
        <v/>
      </c>
      <c r="AAN15" s="22">
        <f>'MOMO,AIRTEL,CARDS'!AAM6</f>
        <v/>
      </c>
      <c r="AAO15" s="22">
        <f>'MOMO,AIRTEL,CARDS'!AAN6</f>
        <v/>
      </c>
      <c r="AAP15" s="22">
        <f>'MOMO,AIRTEL,CARDS'!AAO6</f>
        <v/>
      </c>
      <c r="AAQ15" s="22">
        <f>'MOMO,AIRTEL,CARDS'!AAP6</f>
        <v/>
      </c>
      <c r="AAR15" s="22">
        <f>'MOMO,AIRTEL,CARDS'!AAQ6</f>
        <v/>
      </c>
      <c r="AAS15" s="22">
        <f>'MOMO,AIRTEL,CARDS'!AAR6</f>
        <v/>
      </c>
      <c r="AAT15" s="22">
        <f>'MOMO,AIRTEL,CARDS'!AAS6</f>
        <v/>
      </c>
      <c r="AAU15" s="22">
        <f>'MOMO,AIRTEL,CARDS'!AAT6</f>
        <v/>
      </c>
      <c r="AAV15" s="22">
        <f>'MOMO,AIRTEL,CARDS'!AAU6</f>
        <v/>
      </c>
      <c r="AAW15" s="127">
        <f>SUM(ZS15:AAV15)</f>
        <v/>
      </c>
      <c r="AAX15" s="22">
        <f>'MOMO,AIRTEL,CARDS'!AAW6</f>
        <v/>
      </c>
      <c r="AAY15" s="22">
        <f>'MOMO,AIRTEL,CARDS'!AAX6</f>
        <v/>
      </c>
      <c r="AAZ15" s="22">
        <f>'MOMO,AIRTEL,CARDS'!AAY6</f>
        <v/>
      </c>
      <c r="ABA15" s="22">
        <f>'MOMO,AIRTEL,CARDS'!AAZ6</f>
        <v/>
      </c>
      <c r="ABB15" s="22">
        <f>'MOMO,AIRTEL,CARDS'!ABA6</f>
        <v/>
      </c>
      <c r="ABC15" s="22">
        <f>'MOMO,AIRTEL,CARDS'!ABB6</f>
        <v/>
      </c>
      <c r="ABD15" s="22">
        <f>'MOMO,AIRTEL,CARDS'!ABC6</f>
        <v/>
      </c>
      <c r="ABE15" s="22">
        <f>'MOMO,AIRTEL,CARDS'!ABD6</f>
        <v/>
      </c>
      <c r="ABF15" s="22">
        <f>'MOMO,AIRTEL,CARDS'!ABE6</f>
        <v/>
      </c>
      <c r="ABG15" s="22">
        <f>'MOMO,AIRTEL,CARDS'!ABF6</f>
        <v/>
      </c>
      <c r="ABH15" s="22">
        <f>'MOMO,AIRTEL,CARDS'!ABG6</f>
        <v/>
      </c>
      <c r="ABI15" s="22">
        <f>'MOMO,AIRTEL,CARDS'!ABH6</f>
        <v/>
      </c>
      <c r="ABJ15" s="22">
        <f>'MOMO,AIRTEL,CARDS'!ABI6</f>
        <v/>
      </c>
      <c r="ABK15" s="22">
        <f>'MOMO,AIRTEL,CARDS'!ABJ6</f>
        <v/>
      </c>
      <c r="ABL15" s="22">
        <f>'MOMO,AIRTEL,CARDS'!ABK6</f>
        <v/>
      </c>
      <c r="ABM15" s="22">
        <f>'MOMO,AIRTEL,CARDS'!ABL6</f>
        <v/>
      </c>
      <c r="ABN15" s="22">
        <f>'MOMO,AIRTEL,CARDS'!ABM6</f>
        <v/>
      </c>
      <c r="ABO15" s="22">
        <f>'MOMO,AIRTEL,CARDS'!ABN6</f>
        <v/>
      </c>
      <c r="ABP15" s="22">
        <f>'MOMO,AIRTEL,CARDS'!ABO6</f>
        <v/>
      </c>
      <c r="ABQ15" s="22">
        <f>'MOMO,AIRTEL,CARDS'!ABP6</f>
        <v/>
      </c>
      <c r="ABR15" s="22">
        <f>'MOMO,AIRTEL,CARDS'!ABQ6</f>
        <v/>
      </c>
      <c r="ABS15" s="22">
        <f>'MOMO,AIRTEL,CARDS'!ABR6</f>
        <v/>
      </c>
      <c r="ABT15" s="22">
        <f>'MOMO,AIRTEL,CARDS'!ABS6</f>
        <v/>
      </c>
      <c r="ABU15" s="22">
        <f>'MOMO,AIRTEL,CARDS'!ABT6</f>
        <v/>
      </c>
      <c r="ABV15" s="22">
        <f>'MOMO,AIRTEL,CARDS'!ABU6</f>
        <v/>
      </c>
      <c r="ABW15" s="22">
        <f>'MOMO,AIRTEL,CARDS'!ABV6</f>
        <v/>
      </c>
      <c r="ABX15" s="22">
        <f>'MOMO,AIRTEL,CARDS'!ABW6</f>
        <v/>
      </c>
      <c r="ABY15" s="22">
        <f>'MOMO,AIRTEL,CARDS'!ABX6</f>
        <v/>
      </c>
      <c r="ABZ15" s="22">
        <f>'MOMO,AIRTEL,CARDS'!ABY6</f>
        <v/>
      </c>
      <c r="ACA15" s="22">
        <f>'MOMO,AIRTEL,CARDS'!ABZ6</f>
        <v/>
      </c>
      <c r="ACB15" s="22">
        <f>'MOMO,AIRTEL,CARDS'!ACA6</f>
        <v/>
      </c>
      <c r="ACC15" s="127">
        <f>SUM(AAX15:ACB15)</f>
        <v/>
      </c>
      <c r="ACD15" s="22">
        <f>'MOMO,AIRTEL,CARDS'!ACC6</f>
        <v/>
      </c>
      <c r="ACE15" s="22">
        <f>'MOMO,AIRTEL,CARDS'!ACD6</f>
        <v/>
      </c>
      <c r="ACF15" s="22">
        <f>'MOMO,AIRTEL,CARDS'!ACE6</f>
        <v/>
      </c>
      <c r="ACG15" s="22">
        <f>'MOMO,AIRTEL,CARDS'!ACF6</f>
        <v/>
      </c>
      <c r="ACH15" s="22">
        <f>'MOMO,AIRTEL,CARDS'!ACG6</f>
        <v/>
      </c>
      <c r="ACI15" s="22">
        <f>'MOMO,AIRTEL,CARDS'!ACH6</f>
        <v/>
      </c>
      <c r="ACJ15" s="22">
        <f>'MOMO,AIRTEL,CARDS'!ACI6</f>
        <v/>
      </c>
      <c r="ACK15" s="22">
        <f>'MOMO,AIRTEL,CARDS'!ACJ6</f>
        <v/>
      </c>
      <c r="ACL15" s="22">
        <f>'MOMO,AIRTEL,CARDS'!ACK6</f>
        <v/>
      </c>
      <c r="ACM15" s="22">
        <f>'MOMO,AIRTEL,CARDS'!ACL6</f>
        <v/>
      </c>
      <c r="ACN15" s="22">
        <f>'MOMO,AIRTEL,CARDS'!ACM6</f>
        <v/>
      </c>
      <c r="ACO15" s="22">
        <f>'MOMO,AIRTEL,CARDS'!ACN6</f>
        <v/>
      </c>
      <c r="ACP15" s="22">
        <f>'MOMO,AIRTEL,CARDS'!ACO6</f>
        <v/>
      </c>
      <c r="ACQ15" s="22">
        <f>'MOMO,AIRTEL,CARDS'!ACP6</f>
        <v/>
      </c>
      <c r="ACR15" s="22">
        <f>'MOMO,AIRTEL,CARDS'!ACQ6</f>
        <v/>
      </c>
      <c r="ACS15" s="22">
        <f>'MOMO,AIRTEL,CARDS'!ACR6</f>
        <v/>
      </c>
      <c r="ACT15" s="22">
        <f>'MOMO,AIRTEL,CARDS'!ACS6</f>
        <v/>
      </c>
      <c r="ACU15" s="22">
        <f>'MOMO,AIRTEL,CARDS'!ACT6</f>
        <v/>
      </c>
      <c r="ACV15" s="22">
        <f>'MOMO,AIRTEL,CARDS'!ACU6</f>
        <v/>
      </c>
      <c r="ACW15" s="22">
        <f>'MOMO,AIRTEL,CARDS'!ACV6</f>
        <v/>
      </c>
      <c r="ACX15" s="22">
        <f>'MOMO,AIRTEL,CARDS'!ACW6</f>
        <v/>
      </c>
      <c r="ACY15" s="22">
        <f>'MOMO,AIRTEL,CARDS'!ACX6</f>
        <v/>
      </c>
      <c r="ACZ15" s="22">
        <f>'MOMO,AIRTEL,CARDS'!ACY6</f>
        <v/>
      </c>
      <c r="ADA15" s="22">
        <f>'MOMO,AIRTEL,CARDS'!ACZ6</f>
        <v/>
      </c>
      <c r="ADB15" s="22">
        <f>'MOMO,AIRTEL,CARDS'!ADA6</f>
        <v/>
      </c>
      <c r="ADC15" s="22">
        <f>'MOMO,AIRTEL,CARDS'!ADB6</f>
        <v/>
      </c>
      <c r="ADD15" s="22">
        <f>'MOMO,AIRTEL,CARDS'!ADC6</f>
        <v/>
      </c>
      <c r="ADE15" s="22">
        <f>'MOMO,AIRTEL,CARDS'!ADD6</f>
        <v/>
      </c>
      <c r="ADF15" s="22">
        <f>'MOMO,AIRTEL,CARDS'!ADE6</f>
        <v/>
      </c>
      <c r="ADG15" s="22">
        <f>'MOMO,AIRTEL,CARDS'!ADF6</f>
        <v/>
      </c>
      <c r="ADH15" s="22">
        <f>'MOMO,AIRTEL,CARDS'!ADG6</f>
        <v/>
      </c>
      <c r="ADI15" s="127">
        <f>SUM(ACD15:ADH15)</f>
        <v/>
      </c>
      <c r="ADJ15" s="22">
        <f>'MOMO,AIRTEL,CARDS'!ADI6</f>
        <v/>
      </c>
      <c r="ADK15" s="22">
        <f>'MOMO,AIRTEL,CARDS'!ADJ6</f>
        <v/>
      </c>
      <c r="ADL15" s="22">
        <f>'MOMO,AIRTEL,CARDS'!ADK6</f>
        <v/>
      </c>
      <c r="ADM15" s="22">
        <f>'MOMO,AIRTEL,CARDS'!ADL6</f>
        <v/>
      </c>
      <c r="ADN15" s="22">
        <f>'MOMO,AIRTEL,CARDS'!ADM6</f>
        <v/>
      </c>
      <c r="ADO15" s="22">
        <f>'MOMO,AIRTEL,CARDS'!ADN6</f>
        <v/>
      </c>
      <c r="ADP15" s="22">
        <f>'MOMO,AIRTEL,CARDS'!ADO6</f>
        <v/>
      </c>
      <c r="ADQ15" s="22">
        <f>'MOMO,AIRTEL,CARDS'!ADP6</f>
        <v/>
      </c>
      <c r="ADR15" s="22">
        <f>'MOMO,AIRTEL,CARDS'!ADQ6</f>
        <v/>
      </c>
      <c r="ADS15" s="22">
        <f>'MOMO,AIRTEL,CARDS'!ADR6</f>
        <v/>
      </c>
      <c r="ADT15" s="22">
        <f>'MOMO,AIRTEL,CARDS'!ADS6</f>
        <v/>
      </c>
      <c r="ADU15" s="22">
        <f>'MOMO,AIRTEL,CARDS'!ADT6</f>
        <v/>
      </c>
      <c r="ADV15" s="22">
        <f>'MOMO,AIRTEL,CARDS'!ADU6</f>
        <v/>
      </c>
      <c r="ADW15" s="22">
        <f>'MOMO,AIRTEL,CARDS'!ADV6</f>
        <v/>
      </c>
      <c r="ADX15" s="22">
        <f>'MOMO,AIRTEL,CARDS'!ADW6</f>
        <v/>
      </c>
      <c r="ADY15" s="22">
        <f>'MOMO,AIRTEL,CARDS'!ADX6</f>
        <v/>
      </c>
      <c r="ADZ15" s="22">
        <f>'MOMO,AIRTEL,CARDS'!ADY6</f>
        <v/>
      </c>
      <c r="AEA15" s="22">
        <f>'MOMO,AIRTEL,CARDS'!ADZ6</f>
        <v/>
      </c>
      <c r="AEB15" s="22">
        <f>'MOMO,AIRTEL,CARDS'!AEA6</f>
        <v/>
      </c>
      <c r="AEC15" s="22">
        <f>'MOMO,AIRTEL,CARDS'!AEB6</f>
        <v/>
      </c>
      <c r="AED15" s="22">
        <f>'MOMO,AIRTEL,CARDS'!AEC6</f>
        <v/>
      </c>
      <c r="AEE15" s="22">
        <f>'MOMO,AIRTEL,CARDS'!AED6</f>
        <v/>
      </c>
      <c r="AEF15" s="22">
        <f>'MOMO,AIRTEL,CARDS'!AEE6</f>
        <v/>
      </c>
      <c r="AEG15" s="22">
        <f>'MOMO,AIRTEL,CARDS'!AEF6</f>
        <v/>
      </c>
      <c r="AEH15" s="22">
        <f>'MOMO,AIRTEL,CARDS'!AEG6</f>
        <v/>
      </c>
      <c r="AEI15" s="22">
        <f>'MOMO,AIRTEL,CARDS'!AEH6</f>
        <v/>
      </c>
      <c r="AEJ15" s="22">
        <f>'MOMO,AIRTEL,CARDS'!AEI6</f>
        <v/>
      </c>
      <c r="AEK15" s="22">
        <f>'MOMO,AIRTEL,CARDS'!AEJ6</f>
        <v/>
      </c>
      <c r="AEL15" s="22">
        <f>'MOMO,AIRTEL,CARDS'!AEK6</f>
        <v/>
      </c>
      <c r="AEM15" s="22">
        <f>'MOMO,AIRTEL,CARDS'!AEL6</f>
        <v/>
      </c>
      <c r="AEN15" s="127">
        <f>SUM(ADJ15:AEM15)</f>
        <v/>
      </c>
      <c r="AEO15" s="22">
        <f>'MOMO,AIRTEL,CARDS'!AEN6</f>
        <v/>
      </c>
      <c r="AEP15" s="22">
        <f>'MOMO,AIRTEL,CARDS'!AEO6</f>
        <v/>
      </c>
      <c r="AEQ15" s="22">
        <f>'MOMO,AIRTEL,CARDS'!AEP6</f>
        <v/>
      </c>
      <c r="AER15" s="22">
        <f>'MOMO,AIRTEL,CARDS'!AEQ6</f>
        <v/>
      </c>
      <c r="AES15" s="22">
        <f>'MOMO,AIRTEL,CARDS'!AER6</f>
        <v/>
      </c>
      <c r="AET15" s="22">
        <f>'MOMO,AIRTEL,CARDS'!AES6</f>
        <v/>
      </c>
      <c r="AEU15" s="22">
        <f>'MOMO,AIRTEL,CARDS'!AET6</f>
        <v/>
      </c>
      <c r="AEV15" s="22">
        <f>'MOMO,AIRTEL,CARDS'!AEU6</f>
        <v/>
      </c>
      <c r="AEW15" s="22">
        <f>'MOMO,AIRTEL,CARDS'!AEV6</f>
        <v/>
      </c>
      <c r="AEX15" s="22">
        <f>'MOMO,AIRTEL,CARDS'!AEW6</f>
        <v/>
      </c>
      <c r="AEY15" s="22">
        <f>'MOMO,AIRTEL,CARDS'!AEX6</f>
        <v/>
      </c>
      <c r="AEZ15" s="22">
        <f>'MOMO,AIRTEL,CARDS'!AEY6</f>
        <v/>
      </c>
      <c r="AFA15" s="22">
        <f>'MOMO,AIRTEL,CARDS'!AEZ6</f>
        <v/>
      </c>
      <c r="AFB15" s="22">
        <f>'MOMO,AIRTEL,CARDS'!AFA6</f>
        <v/>
      </c>
      <c r="AFC15" s="22">
        <f>'MOMO,AIRTEL,CARDS'!AFB6</f>
        <v/>
      </c>
      <c r="AFD15" s="22">
        <f>'MOMO,AIRTEL,CARDS'!AFC6</f>
        <v/>
      </c>
      <c r="AFE15" s="22">
        <f>'MOMO,AIRTEL,CARDS'!AFD6</f>
        <v/>
      </c>
      <c r="AFF15" s="22">
        <f>'MOMO,AIRTEL,CARDS'!AFE6</f>
        <v/>
      </c>
      <c r="AFG15" s="22">
        <f>'MOMO,AIRTEL,CARDS'!AFF6</f>
        <v/>
      </c>
      <c r="AFH15" s="22">
        <f>'MOMO,AIRTEL,CARDS'!AFG6</f>
        <v/>
      </c>
      <c r="AFI15" s="22">
        <f>'MOMO,AIRTEL,CARDS'!AFH6</f>
        <v/>
      </c>
      <c r="AFJ15" s="22">
        <f>'MOMO,AIRTEL,CARDS'!AFI6</f>
        <v/>
      </c>
      <c r="AFK15" s="22">
        <f>'MOMO,AIRTEL,CARDS'!AFJ6</f>
        <v/>
      </c>
      <c r="AFL15" s="22">
        <f>'MOMO,AIRTEL,CARDS'!AFK6</f>
        <v/>
      </c>
      <c r="AFM15" s="22">
        <f>'MOMO,AIRTEL,CARDS'!AFL6</f>
        <v/>
      </c>
      <c r="AFN15" s="22">
        <f>'MOMO,AIRTEL,CARDS'!AFM6</f>
        <v/>
      </c>
      <c r="AFO15" s="22">
        <f>'MOMO,AIRTEL,CARDS'!AFN6</f>
        <v/>
      </c>
      <c r="AFP15" s="22">
        <f>'MOMO,AIRTEL,CARDS'!AFO6</f>
        <v/>
      </c>
      <c r="AFQ15" s="22">
        <f>'MOMO,AIRTEL,CARDS'!AFP6</f>
        <v/>
      </c>
      <c r="AFR15" s="22">
        <f>'MOMO,AIRTEL,CARDS'!AFQ6</f>
        <v/>
      </c>
      <c r="AFS15" s="22">
        <f>'MOMO,AIRTEL,CARDS'!AFR6</f>
        <v/>
      </c>
      <c r="AFT15" s="127">
        <f>SUM(AEO15:AFS15)</f>
        <v/>
      </c>
      <c r="AFU15" s="22">
        <f>'MOMO,AIRTEL,CARDS'!AFT6</f>
        <v/>
      </c>
      <c r="AFV15" s="22">
        <f>'MOMO,AIRTEL,CARDS'!AFU6</f>
        <v/>
      </c>
      <c r="AFW15" s="22">
        <f>'MOMO,AIRTEL,CARDS'!AFV6</f>
        <v/>
      </c>
      <c r="AFX15" s="22">
        <f>'MOMO,AIRTEL,CARDS'!AFW6</f>
        <v/>
      </c>
      <c r="AFY15" s="22">
        <f>'MOMO,AIRTEL,CARDS'!AFX6</f>
        <v/>
      </c>
      <c r="AFZ15" s="22">
        <f>'MOMO,AIRTEL,CARDS'!AFY6</f>
        <v/>
      </c>
      <c r="AGA15" s="22">
        <f>'MOMO,AIRTEL,CARDS'!AFZ6</f>
        <v/>
      </c>
      <c r="AGB15" s="22">
        <f>'MOMO,AIRTEL,CARDS'!AGA6</f>
        <v/>
      </c>
      <c r="AGC15" s="22">
        <f>'MOMO,AIRTEL,CARDS'!AGB6</f>
        <v/>
      </c>
      <c r="AGD15" s="22">
        <f>'MOMO,AIRTEL,CARDS'!AGC6</f>
        <v/>
      </c>
      <c r="AGE15" s="22">
        <f>'MOMO,AIRTEL,CARDS'!AGD6</f>
        <v/>
      </c>
      <c r="AGF15" s="22">
        <f>'MOMO,AIRTEL,CARDS'!AGE6</f>
        <v/>
      </c>
      <c r="AGG15" s="22">
        <f>'MOMO,AIRTEL,CARDS'!AGF6</f>
        <v/>
      </c>
      <c r="AGH15" s="22">
        <f>'MOMO,AIRTEL,CARDS'!AGG6</f>
        <v/>
      </c>
      <c r="AGI15" s="22">
        <f>'MOMO,AIRTEL,CARDS'!AGH6</f>
        <v/>
      </c>
      <c r="AGJ15" s="22">
        <f>'MOMO,AIRTEL,CARDS'!AGI6</f>
        <v/>
      </c>
      <c r="AGK15" s="22">
        <f>'MOMO,AIRTEL,CARDS'!AGJ6</f>
        <v/>
      </c>
      <c r="AGL15" s="22">
        <f>'MOMO,AIRTEL,CARDS'!AGK6</f>
        <v/>
      </c>
      <c r="AGM15" s="22">
        <f>'MOMO,AIRTEL,CARDS'!AGL6</f>
        <v/>
      </c>
      <c r="AGN15" s="22">
        <f>'MOMO,AIRTEL,CARDS'!AGM6</f>
        <v/>
      </c>
      <c r="AGO15" s="22">
        <f>'MOMO,AIRTEL,CARDS'!AGN6</f>
        <v/>
      </c>
      <c r="AGP15" s="22">
        <f>'MOMO,AIRTEL,CARDS'!AGO6</f>
        <v/>
      </c>
      <c r="AGQ15" s="22">
        <f>'MOMO,AIRTEL,CARDS'!AGP6</f>
        <v/>
      </c>
      <c r="AGR15" s="22">
        <f>'MOMO,AIRTEL,CARDS'!AGQ6</f>
        <v/>
      </c>
      <c r="AGS15" s="22">
        <f>'MOMO,AIRTEL,CARDS'!AGR6</f>
        <v/>
      </c>
      <c r="AGT15" s="22">
        <f>'MOMO,AIRTEL,CARDS'!AGS6</f>
        <v/>
      </c>
      <c r="AGU15" s="22">
        <f>'MOMO,AIRTEL,CARDS'!AGT6</f>
        <v/>
      </c>
      <c r="AGV15" s="22">
        <f>'MOMO,AIRTEL,CARDS'!AGU6</f>
        <v/>
      </c>
      <c r="AGW15" s="22">
        <f>'MOMO,AIRTEL,CARDS'!AGV6</f>
        <v/>
      </c>
      <c r="AGX15" s="22">
        <f>'MOMO,AIRTEL,CARDS'!AGW6</f>
        <v/>
      </c>
      <c r="AGY15" s="127">
        <f>SUM(AFU15:AGX15)</f>
        <v/>
      </c>
      <c r="AGZ15" s="22">
        <f>'MOMO,AIRTEL,CARDS'!AGY6</f>
        <v/>
      </c>
      <c r="AHA15" s="22">
        <f>'MOMO,AIRTEL,CARDS'!AGZ6</f>
        <v/>
      </c>
      <c r="AHB15" s="22">
        <f>'MOMO,AIRTEL,CARDS'!AHA6</f>
        <v/>
      </c>
      <c r="AHC15" s="22">
        <f>'MOMO,AIRTEL,CARDS'!AHB6</f>
        <v/>
      </c>
      <c r="AHD15" s="22">
        <f>'MOMO,AIRTEL,CARDS'!AHC6</f>
        <v/>
      </c>
      <c r="AHE15" s="22">
        <f>'MOMO,AIRTEL,CARDS'!AHD6</f>
        <v/>
      </c>
      <c r="AHF15" s="22">
        <f>'MOMO,AIRTEL,CARDS'!AHE6</f>
        <v/>
      </c>
      <c r="AHG15" s="22">
        <f>'MOMO,AIRTEL,CARDS'!AHF6</f>
        <v/>
      </c>
      <c r="AHH15" s="22">
        <f>'MOMO,AIRTEL,CARDS'!AHG6</f>
        <v/>
      </c>
      <c r="AHI15" s="22">
        <f>'MOMO,AIRTEL,CARDS'!AHH6</f>
        <v/>
      </c>
      <c r="AHJ15" s="22">
        <f>'MOMO,AIRTEL,CARDS'!AHI6</f>
        <v/>
      </c>
      <c r="AHK15" s="22">
        <f>'MOMO,AIRTEL,CARDS'!AHJ6</f>
        <v/>
      </c>
      <c r="AHL15" s="22">
        <f>'MOMO,AIRTEL,CARDS'!AHK6</f>
        <v/>
      </c>
      <c r="AHM15" s="22">
        <f>'MOMO,AIRTEL,CARDS'!AHL6</f>
        <v/>
      </c>
      <c r="AHN15" s="22">
        <f>'MOMO,AIRTEL,CARDS'!AHM6</f>
        <v/>
      </c>
      <c r="AHO15" s="22">
        <f>'MOMO,AIRTEL,CARDS'!AHN6</f>
        <v/>
      </c>
      <c r="AHP15" s="22">
        <f>'MOMO,AIRTEL,CARDS'!AHO6</f>
        <v/>
      </c>
      <c r="AHQ15" s="22">
        <f>'MOMO,AIRTEL,CARDS'!AHP6</f>
        <v/>
      </c>
      <c r="AHR15" s="22">
        <f>'MOMO,AIRTEL,CARDS'!AHQ6</f>
        <v/>
      </c>
      <c r="AHS15" s="22">
        <f>'MOMO,AIRTEL,CARDS'!AHR6</f>
        <v/>
      </c>
      <c r="AHT15" s="22">
        <f>'MOMO,AIRTEL,CARDS'!AHS6</f>
        <v/>
      </c>
      <c r="AHU15" s="22">
        <f>'MOMO,AIRTEL,CARDS'!AHT6</f>
        <v/>
      </c>
      <c r="AHV15" s="22">
        <f>'MOMO,AIRTEL,CARDS'!AHU6</f>
        <v/>
      </c>
      <c r="AHW15" s="22">
        <f>'MOMO,AIRTEL,CARDS'!AHV6</f>
        <v/>
      </c>
      <c r="AHX15" s="22">
        <f>'MOMO,AIRTEL,CARDS'!AHW6</f>
        <v/>
      </c>
      <c r="AHY15" s="22">
        <f>'MOMO,AIRTEL,CARDS'!AHX6</f>
        <v/>
      </c>
      <c r="AHZ15" s="22">
        <f>'MOMO,AIRTEL,CARDS'!AHY6</f>
        <v/>
      </c>
      <c r="AIA15" s="22">
        <f>'MOMO,AIRTEL,CARDS'!AHZ6</f>
        <v/>
      </c>
      <c r="AIB15" s="22">
        <f>'MOMO,AIRTEL,CARDS'!AIA6</f>
        <v/>
      </c>
      <c r="AIC15" s="22">
        <f>'MOMO,AIRTEL,CARDS'!AIB6</f>
        <v/>
      </c>
      <c r="AID15" s="22">
        <f>'MOMO,AIRTEL,CARDS'!AIC6</f>
        <v/>
      </c>
      <c r="AIE15" s="127">
        <f>SUM(AGZ15:AID15)</f>
        <v/>
      </c>
      <c r="AIF15" s="22">
        <f>'MOMO,AIRTEL,CARDS'!AIE6</f>
        <v/>
      </c>
      <c r="AIG15" s="22">
        <f>'MOMO,AIRTEL,CARDS'!AIF6</f>
        <v/>
      </c>
      <c r="AIH15" s="22">
        <f>'MOMO,AIRTEL,CARDS'!AIG6</f>
        <v/>
      </c>
      <c r="AII15" s="22">
        <f>'MOMO,AIRTEL,CARDS'!AIH6</f>
        <v/>
      </c>
      <c r="AIJ15" s="22">
        <f>'MOMO,AIRTEL,CARDS'!AII6</f>
        <v/>
      </c>
      <c r="AIK15" s="22">
        <f>'MOMO,AIRTEL,CARDS'!AIJ6</f>
        <v/>
      </c>
      <c r="AIL15" s="22">
        <f>'MOMO,AIRTEL,CARDS'!AIK6</f>
        <v/>
      </c>
      <c r="AIM15" s="22">
        <f>'MOMO,AIRTEL,CARDS'!AIL6</f>
        <v/>
      </c>
      <c r="AIN15" s="22">
        <f>'MOMO,AIRTEL,CARDS'!AIM6</f>
        <v/>
      </c>
      <c r="AIO15" s="22">
        <f>'MOMO,AIRTEL,CARDS'!AIN6</f>
        <v/>
      </c>
      <c r="AIP15" s="22">
        <f>'MOMO,AIRTEL,CARDS'!AIO6</f>
        <v/>
      </c>
      <c r="AIQ15" s="22">
        <f>'MOMO,AIRTEL,CARDS'!AIP6</f>
        <v/>
      </c>
      <c r="AIR15" s="22">
        <f>'MOMO,AIRTEL,CARDS'!AIQ6</f>
        <v/>
      </c>
      <c r="AIS15" s="22">
        <f>'MOMO,AIRTEL,CARDS'!AIR6</f>
        <v/>
      </c>
      <c r="AIT15" s="22">
        <f>'MOMO,AIRTEL,CARDS'!AIS6</f>
        <v/>
      </c>
      <c r="AIU15" s="22">
        <f>'MOMO,AIRTEL,CARDS'!AIT6</f>
        <v/>
      </c>
      <c r="AIV15" s="22">
        <f>'MOMO,AIRTEL,CARDS'!AIU6</f>
        <v/>
      </c>
      <c r="AIW15" s="22">
        <f>'MOMO,AIRTEL,CARDS'!AIV6</f>
        <v/>
      </c>
      <c r="AIX15" s="22">
        <f>'MOMO,AIRTEL,CARDS'!AIW6</f>
        <v/>
      </c>
      <c r="AIY15" s="22">
        <f>'MOMO,AIRTEL,CARDS'!AIX6</f>
        <v/>
      </c>
      <c r="AIZ15" s="22">
        <f>'MOMO,AIRTEL,CARDS'!AIY6</f>
        <v/>
      </c>
      <c r="AJA15" s="22">
        <f>'MOMO,AIRTEL,CARDS'!AIZ6</f>
        <v/>
      </c>
      <c r="AJB15" s="22">
        <f>'MOMO,AIRTEL,CARDS'!AJA6</f>
        <v/>
      </c>
      <c r="AJC15" s="22">
        <f>'MOMO,AIRTEL,CARDS'!AJB6</f>
        <v/>
      </c>
      <c r="AJD15" s="22">
        <f>'MOMO,AIRTEL,CARDS'!AJC6</f>
        <v/>
      </c>
      <c r="AJE15" s="22">
        <f>'MOMO,AIRTEL,CARDS'!AJD6</f>
        <v/>
      </c>
      <c r="AJF15" s="22">
        <f>'MOMO,AIRTEL,CARDS'!AJE6</f>
        <v/>
      </c>
      <c r="AJG15" s="22">
        <f>'MOMO,AIRTEL,CARDS'!AJF6</f>
        <v/>
      </c>
      <c r="AJH15" s="22">
        <f>'MOMO,AIRTEL,CARDS'!AJG6</f>
        <v/>
      </c>
      <c r="AJI15" s="22">
        <f>'MOMO,AIRTEL,CARDS'!AJH6</f>
        <v/>
      </c>
      <c r="AJJ15" s="22">
        <f>'MOMO,AIRTEL,CARDS'!AJI6</f>
        <v/>
      </c>
      <c r="AJK15" s="127">
        <f>SUM(AIF15:AJJ15)</f>
        <v/>
      </c>
      <c r="AJL15" s="22">
        <f>'MOMO,AIRTEL,CARDS'!AJK6</f>
        <v/>
      </c>
      <c r="AJM15" s="22">
        <f>'MOMO,AIRTEL,CARDS'!AJL6</f>
        <v/>
      </c>
      <c r="AJN15" s="22">
        <f>'MOMO,AIRTEL,CARDS'!AJM6</f>
        <v/>
      </c>
      <c r="AJO15" s="22">
        <f>'MOMO,AIRTEL,CARDS'!AJN6</f>
        <v/>
      </c>
      <c r="AJP15" s="22">
        <f>'MOMO,AIRTEL,CARDS'!AJO6</f>
        <v/>
      </c>
      <c r="AJQ15" s="22">
        <f>'MOMO,AIRTEL,CARDS'!AJP6</f>
        <v/>
      </c>
      <c r="AJR15" s="22">
        <f>'MOMO,AIRTEL,CARDS'!AJQ6</f>
        <v/>
      </c>
      <c r="AJS15" s="22">
        <f>'MOMO,AIRTEL,CARDS'!AJR6</f>
        <v/>
      </c>
      <c r="AJT15" s="22">
        <f>'MOMO,AIRTEL,CARDS'!AJS6</f>
        <v/>
      </c>
      <c r="AJU15" s="22">
        <f>'MOMO,AIRTEL,CARDS'!AJT6</f>
        <v/>
      </c>
      <c r="AJV15" s="22">
        <f>'MOMO,AIRTEL,CARDS'!AJU6</f>
        <v/>
      </c>
      <c r="AJW15" s="22">
        <f>'MOMO,AIRTEL,CARDS'!AJV6</f>
        <v/>
      </c>
      <c r="AJX15" s="22">
        <f>'MOMO,AIRTEL,CARDS'!AJW6</f>
        <v/>
      </c>
      <c r="AJY15" s="22">
        <f>'MOMO,AIRTEL,CARDS'!AJX6</f>
        <v/>
      </c>
      <c r="AJZ15" s="22">
        <f>'MOMO,AIRTEL,CARDS'!AJY6</f>
        <v/>
      </c>
      <c r="AKA15" s="22">
        <f>'MOMO,AIRTEL,CARDS'!AJZ6</f>
        <v/>
      </c>
      <c r="AKB15" s="22">
        <f>'MOMO,AIRTEL,CARDS'!AKA6</f>
        <v/>
      </c>
      <c r="AKC15" s="22">
        <f>'MOMO,AIRTEL,CARDS'!AKB6</f>
        <v/>
      </c>
      <c r="AKD15" s="22">
        <f>'MOMO,AIRTEL,CARDS'!AKC6</f>
        <v/>
      </c>
      <c r="AKE15" s="22">
        <f>'MOMO,AIRTEL,CARDS'!AKD6</f>
        <v/>
      </c>
      <c r="AKF15" s="22">
        <f>'MOMO,AIRTEL,CARDS'!AKE6</f>
        <v/>
      </c>
      <c r="AKG15" s="22">
        <f>'MOMO,AIRTEL,CARDS'!AKF6</f>
        <v/>
      </c>
      <c r="AKH15" s="22">
        <f>'MOMO,AIRTEL,CARDS'!AKG6</f>
        <v/>
      </c>
      <c r="AKI15" s="22">
        <f>'MOMO,AIRTEL,CARDS'!AKH6</f>
        <v/>
      </c>
      <c r="AKJ15" s="22">
        <f>'MOMO,AIRTEL,CARDS'!AKI6</f>
        <v/>
      </c>
      <c r="AKK15" s="22">
        <f>'MOMO,AIRTEL,CARDS'!AKJ6</f>
        <v/>
      </c>
      <c r="AKL15" s="22">
        <f>'MOMO,AIRTEL,CARDS'!AKK6</f>
        <v/>
      </c>
      <c r="AKM15" s="22">
        <f>'MOMO,AIRTEL,CARDS'!AKL6</f>
        <v/>
      </c>
      <c r="AKN15" s="127">
        <f>SUM(AJL15:AKM15)</f>
        <v/>
      </c>
      <c r="AKO15" s="22">
        <f>'MOMO,AIRTEL,CARDS'!AKN6</f>
        <v/>
      </c>
      <c r="AKP15" s="22">
        <f>'MOMO,AIRTEL,CARDS'!AKO6</f>
        <v/>
      </c>
      <c r="AKQ15" s="22">
        <f>'MOMO,AIRTEL,CARDS'!AKP6</f>
        <v/>
      </c>
      <c r="AKR15" s="22">
        <f>'MOMO,AIRTEL,CARDS'!AKQ6</f>
        <v/>
      </c>
      <c r="AKS15" s="22">
        <f>'MOMO,AIRTEL,CARDS'!AKR6</f>
        <v/>
      </c>
      <c r="AKT15" s="22">
        <f>'MOMO,AIRTEL,CARDS'!AKS6</f>
        <v/>
      </c>
      <c r="AKU15" s="22">
        <f>'MOMO,AIRTEL,CARDS'!AKT6</f>
        <v/>
      </c>
      <c r="AKV15" s="22">
        <f>'MOMO,AIRTEL,CARDS'!AKU6</f>
        <v/>
      </c>
      <c r="AKW15" s="22">
        <f>'MOMO,AIRTEL,CARDS'!AKV6</f>
        <v/>
      </c>
      <c r="AKX15" s="22">
        <f>'MOMO,AIRTEL,CARDS'!AKW6</f>
        <v/>
      </c>
      <c r="AKY15" s="22">
        <f>'MOMO,AIRTEL,CARDS'!AKX6</f>
        <v/>
      </c>
      <c r="AKZ15" s="22">
        <f>'MOMO,AIRTEL,CARDS'!AKY6</f>
        <v/>
      </c>
      <c r="ALA15" s="22">
        <f>'MOMO,AIRTEL,CARDS'!AKZ6</f>
        <v/>
      </c>
      <c r="ALB15" s="22">
        <f>'MOMO,AIRTEL,CARDS'!ALA6</f>
        <v/>
      </c>
      <c r="ALC15" s="22">
        <f>'MOMO,AIRTEL,CARDS'!ALB6</f>
        <v/>
      </c>
      <c r="ALD15" s="22">
        <f>'MOMO,AIRTEL,CARDS'!ALC6</f>
        <v/>
      </c>
      <c r="ALE15" s="22">
        <f>'MOMO,AIRTEL,CARDS'!ALD6</f>
        <v/>
      </c>
      <c r="ALF15" s="22">
        <f>'MOMO,AIRTEL,CARDS'!ALE6</f>
        <v/>
      </c>
      <c r="ALG15" s="22">
        <f>'MOMO,AIRTEL,CARDS'!ALF6</f>
        <v/>
      </c>
      <c r="ALH15" s="22">
        <f>'MOMO,AIRTEL,CARDS'!ALG6</f>
        <v/>
      </c>
      <c r="ALI15" s="22">
        <f>'MOMO,AIRTEL,CARDS'!ALH6</f>
        <v/>
      </c>
      <c r="ALJ15" s="22">
        <f>'MOMO,AIRTEL,CARDS'!ALI6</f>
        <v/>
      </c>
      <c r="ALK15" s="22">
        <f>'MOMO,AIRTEL,CARDS'!ALJ6</f>
        <v/>
      </c>
      <c r="ALL15" s="22">
        <f>'MOMO,AIRTEL,CARDS'!ALK6</f>
        <v/>
      </c>
      <c r="ALM15" s="22">
        <f>'MOMO,AIRTEL,CARDS'!ALL6</f>
        <v/>
      </c>
      <c r="ALN15" s="22">
        <f>'MOMO,AIRTEL,CARDS'!ALM6</f>
        <v/>
      </c>
      <c r="ALO15" s="22">
        <f>'MOMO,AIRTEL,CARDS'!ALN6</f>
        <v/>
      </c>
      <c r="ALP15" s="22">
        <f>'MOMO,AIRTEL,CARDS'!ALO6</f>
        <v/>
      </c>
      <c r="ALQ15" s="22">
        <f>'MOMO,AIRTEL,CARDS'!ALP6</f>
        <v/>
      </c>
      <c r="ALR15" s="22">
        <f>'MOMO,AIRTEL,CARDS'!ALQ6</f>
        <v/>
      </c>
      <c r="ALS15" s="22">
        <f>'MOMO,AIRTEL,CARDS'!ALR6</f>
        <v/>
      </c>
      <c r="ALT15" s="127">
        <f>SUM(AKO15:ALS15)</f>
        <v/>
      </c>
      <c r="ALU15" s="22">
        <f>'MOMO,AIRTEL,CARDS'!ALT6</f>
        <v/>
      </c>
      <c r="ALV15" s="22">
        <f>'MOMO,AIRTEL,CARDS'!ALU6</f>
        <v/>
      </c>
      <c r="ALW15" s="22">
        <f>'MOMO,AIRTEL,CARDS'!ALV6</f>
        <v/>
      </c>
      <c r="ALX15" s="22">
        <f>'MOMO,AIRTEL,CARDS'!ALW6</f>
        <v/>
      </c>
      <c r="ALY15" s="22">
        <f>'MOMO,AIRTEL,CARDS'!ALX6</f>
        <v/>
      </c>
      <c r="ALZ15" s="22">
        <f>'MOMO,AIRTEL,CARDS'!ALY6</f>
        <v/>
      </c>
      <c r="AMA15" s="22">
        <f>'MOMO,AIRTEL,CARDS'!ALZ6</f>
        <v/>
      </c>
      <c r="AMB15" s="22">
        <f>'MOMO,AIRTEL,CARDS'!AMA6</f>
        <v/>
      </c>
      <c r="AMC15" s="22">
        <f>'MOMO,AIRTEL,CARDS'!AMB6</f>
        <v/>
      </c>
      <c r="AMD15" s="22">
        <f>'MOMO,AIRTEL,CARDS'!AMC6</f>
        <v/>
      </c>
      <c r="AME15" s="22">
        <f>'MOMO,AIRTEL,CARDS'!AMD6</f>
        <v/>
      </c>
      <c r="AMF15" s="22">
        <f>'MOMO,AIRTEL,CARDS'!AME6</f>
        <v/>
      </c>
      <c r="AMG15" s="22">
        <f>'MOMO,AIRTEL,CARDS'!AMF6</f>
        <v/>
      </c>
      <c r="AMH15" s="22">
        <f>'MOMO,AIRTEL,CARDS'!AMG6</f>
        <v/>
      </c>
      <c r="AMI15" s="22">
        <f>'MOMO,AIRTEL,CARDS'!AMH6</f>
        <v/>
      </c>
      <c r="AMJ15" s="22">
        <f>'MOMO,AIRTEL,CARDS'!AMI6</f>
        <v/>
      </c>
      <c r="AMK15" s="22">
        <f>'MOMO,AIRTEL,CARDS'!AMJ6</f>
        <v/>
      </c>
      <c r="AML15" s="22">
        <f>'MOMO,AIRTEL,CARDS'!AMK6</f>
        <v/>
      </c>
      <c r="AMM15" s="22">
        <f>'MOMO,AIRTEL,CARDS'!AML6</f>
        <v/>
      </c>
      <c r="AMN15" s="22">
        <f>'MOMO,AIRTEL,CARDS'!AMM6</f>
        <v/>
      </c>
      <c r="AMO15" s="22">
        <f>'MOMO,AIRTEL,CARDS'!AMN6</f>
        <v/>
      </c>
      <c r="AMP15" s="22">
        <f>'MOMO,AIRTEL,CARDS'!AMO6</f>
        <v/>
      </c>
      <c r="AMQ15" s="22">
        <f>'MOMO,AIRTEL,CARDS'!AMP6</f>
        <v/>
      </c>
      <c r="AMR15" s="22">
        <f>'MOMO,AIRTEL,CARDS'!AMQ6</f>
        <v/>
      </c>
      <c r="AMS15" s="22">
        <f>'MOMO,AIRTEL,CARDS'!AMR6</f>
        <v/>
      </c>
      <c r="AMT15" s="22">
        <f>'MOMO,AIRTEL,CARDS'!AMS6</f>
        <v/>
      </c>
      <c r="AMU15" s="22">
        <f>'MOMO,AIRTEL,CARDS'!AMT6</f>
        <v/>
      </c>
      <c r="AMV15" s="22">
        <f>'MOMO,AIRTEL,CARDS'!AMU6</f>
        <v/>
      </c>
      <c r="AMW15" s="22">
        <f>'MOMO,AIRTEL,CARDS'!AMV6</f>
        <v/>
      </c>
      <c r="AMX15" s="22">
        <f>'MOMO,AIRTEL,CARDS'!AMW6</f>
        <v/>
      </c>
      <c r="AMY15" s="127">
        <f>SUM(ALU15:AMX15)</f>
        <v/>
      </c>
      <c r="AMZ15" s="22">
        <f>'MOMO,AIRTEL,CARDS'!AMY6</f>
        <v/>
      </c>
      <c r="ANA15" s="22">
        <f>'MOMO,AIRTEL,CARDS'!AMZ6</f>
        <v/>
      </c>
      <c r="ANB15" s="22">
        <f>'MOMO,AIRTEL,CARDS'!ANA6</f>
        <v/>
      </c>
      <c r="ANC15" s="22">
        <f>'MOMO,AIRTEL,CARDS'!ANB6</f>
        <v/>
      </c>
      <c r="AND15" s="22">
        <f>'MOMO,AIRTEL,CARDS'!ANC6</f>
        <v/>
      </c>
      <c r="ANE15" s="22">
        <f>'MOMO,AIRTEL,CARDS'!AND6</f>
        <v/>
      </c>
      <c r="ANF15" s="22">
        <f>'MOMO,AIRTEL,CARDS'!ANE6</f>
        <v/>
      </c>
      <c r="ANG15" s="22">
        <f>'MOMO,AIRTEL,CARDS'!ANF6</f>
        <v/>
      </c>
      <c r="ANH15" s="22">
        <f>'MOMO,AIRTEL,CARDS'!ANG6</f>
        <v/>
      </c>
      <c r="ANI15" s="22">
        <f>'MOMO,AIRTEL,CARDS'!ANH6</f>
        <v/>
      </c>
      <c r="ANJ15" s="22">
        <f>'MOMO,AIRTEL,CARDS'!ANI6</f>
        <v/>
      </c>
      <c r="ANK15" s="22">
        <f>'MOMO,AIRTEL,CARDS'!ANJ6</f>
        <v/>
      </c>
      <c r="ANL15" s="22">
        <f>'MOMO,AIRTEL,CARDS'!ANK6</f>
        <v/>
      </c>
      <c r="ANM15" s="22">
        <f>'MOMO,AIRTEL,CARDS'!ANL6</f>
        <v/>
      </c>
      <c r="ANN15" s="22">
        <f>'MOMO,AIRTEL,CARDS'!ANM6</f>
        <v/>
      </c>
      <c r="ANO15" s="22">
        <f>'MOMO,AIRTEL,CARDS'!ANN6</f>
        <v/>
      </c>
      <c r="ANP15" s="22">
        <f>'MOMO,AIRTEL,CARDS'!ANO6</f>
        <v/>
      </c>
      <c r="ANQ15" s="22">
        <f>'MOMO,AIRTEL,CARDS'!ANP6</f>
        <v/>
      </c>
      <c r="ANR15" s="22">
        <f>'MOMO,AIRTEL,CARDS'!ANQ6</f>
        <v/>
      </c>
      <c r="ANS15" s="22">
        <f>'MOMO,AIRTEL,CARDS'!ANR6</f>
        <v/>
      </c>
      <c r="ANT15" s="22">
        <f>'MOMO,AIRTEL,CARDS'!ANS6</f>
        <v/>
      </c>
      <c r="ANU15" s="22">
        <f>'MOMO,AIRTEL,CARDS'!ANT6</f>
        <v/>
      </c>
      <c r="ANV15" s="22">
        <f>'MOMO,AIRTEL,CARDS'!ANU6</f>
        <v/>
      </c>
      <c r="ANW15" s="22">
        <f>'MOMO,AIRTEL,CARDS'!ANV6</f>
        <v/>
      </c>
      <c r="ANX15" s="22">
        <f>'MOMO,AIRTEL,CARDS'!ANW6</f>
        <v/>
      </c>
      <c r="ANY15" s="22">
        <f>'MOMO,AIRTEL,CARDS'!ANX6</f>
        <v/>
      </c>
      <c r="ANZ15" s="22">
        <f>'MOMO,AIRTEL,CARDS'!ANY6</f>
        <v/>
      </c>
      <c r="AOA15" s="22">
        <f>'MOMO,AIRTEL,CARDS'!ANZ6</f>
        <v/>
      </c>
      <c r="AOB15" s="22">
        <f>'MOMO,AIRTEL,CARDS'!AOA6</f>
        <v/>
      </c>
      <c r="AOC15" s="22">
        <f>'MOMO,AIRTEL,CARDS'!AOB6</f>
        <v/>
      </c>
    </row>
    <row r="16">
      <c r="B16" s="5" t="inlineStr">
        <is>
          <t>RUBIS CARD</t>
        </is>
      </c>
      <c r="C16" s="22">
        <f>'MOMO,AIRTEL,CARDS'!B7</f>
        <v/>
      </c>
      <c r="D16" s="22">
        <f>'MOMO,AIRTEL,CARDS'!C7</f>
        <v/>
      </c>
      <c r="E16" s="22">
        <f>'MOMO,AIRTEL,CARDS'!D7</f>
        <v/>
      </c>
      <c r="F16" s="22">
        <f>'MOMO,AIRTEL,CARDS'!E7</f>
        <v/>
      </c>
      <c r="G16" s="22">
        <f>'MOMO,AIRTEL,CARDS'!F7</f>
        <v/>
      </c>
      <c r="H16" s="22">
        <f>'MOMO,AIRTEL,CARDS'!G7</f>
        <v/>
      </c>
      <c r="I16" s="22">
        <f>'MOMO,AIRTEL,CARDS'!H7</f>
        <v/>
      </c>
      <c r="J16" s="22">
        <f>'MOMO,AIRTEL,CARDS'!I7</f>
        <v/>
      </c>
      <c r="K16" s="22">
        <f>'MOMO,AIRTEL,CARDS'!J7</f>
        <v/>
      </c>
      <c r="L16" s="22">
        <f>'MOMO,AIRTEL,CARDS'!K7</f>
        <v/>
      </c>
      <c r="M16" s="22">
        <f>'MOMO,AIRTEL,CARDS'!L7</f>
        <v/>
      </c>
      <c r="N16" s="22">
        <f>'MOMO,AIRTEL,CARDS'!M7</f>
        <v/>
      </c>
      <c r="O16" s="22">
        <f>'MOMO,AIRTEL,CARDS'!N7</f>
        <v/>
      </c>
      <c r="P16" s="22">
        <f>'MOMO,AIRTEL,CARDS'!O7</f>
        <v/>
      </c>
      <c r="Q16" s="22">
        <f>'MOMO,AIRTEL,CARDS'!P7</f>
        <v/>
      </c>
      <c r="R16" s="22">
        <f>'MOMO,AIRTEL,CARDS'!Q7</f>
        <v/>
      </c>
      <c r="S16" s="22">
        <f>'MOMO,AIRTEL,CARDS'!R7</f>
        <v/>
      </c>
      <c r="T16" s="22">
        <f>'MOMO,AIRTEL,CARDS'!S7</f>
        <v/>
      </c>
      <c r="U16" s="22">
        <f>'MOMO,AIRTEL,CARDS'!T7</f>
        <v/>
      </c>
      <c r="V16" s="22">
        <f>'MOMO,AIRTEL,CARDS'!U7</f>
        <v/>
      </c>
      <c r="W16" s="22">
        <f>'MOMO,AIRTEL,CARDS'!V7</f>
        <v/>
      </c>
      <c r="X16" s="22">
        <f>'MOMO,AIRTEL,CARDS'!W7</f>
        <v/>
      </c>
      <c r="Y16" s="22">
        <f>'MOMO,AIRTEL,CARDS'!X7</f>
        <v/>
      </c>
      <c r="Z16" s="22">
        <f>'MOMO,AIRTEL,CARDS'!Y7</f>
        <v/>
      </c>
      <c r="AA16" s="22">
        <f>'MOMO,AIRTEL,CARDS'!Z7</f>
        <v/>
      </c>
      <c r="AB16" s="22">
        <f>'MOMO,AIRTEL,CARDS'!AA7</f>
        <v/>
      </c>
      <c r="AC16" s="22">
        <f>'MOMO,AIRTEL,CARDS'!AB7</f>
        <v/>
      </c>
      <c r="AD16" s="22">
        <f>'MOMO,AIRTEL,CARDS'!AC7</f>
        <v/>
      </c>
      <c r="AE16" s="22">
        <f>'MOMO,AIRTEL,CARDS'!AD7</f>
        <v/>
      </c>
      <c r="AF16" s="22">
        <f>'MOMO,AIRTEL,CARDS'!AE7</f>
        <v/>
      </c>
      <c r="AG16" s="22">
        <f>'MOMO,AIRTEL,CARDS'!AF7</f>
        <v/>
      </c>
      <c r="AH16" s="94">
        <f>SUM(C16:AG16)</f>
        <v/>
      </c>
      <c r="AI16" s="22">
        <f>'MOMO,AIRTEL,CARDS'!AH7</f>
        <v/>
      </c>
      <c r="AJ16" s="22">
        <f>'MOMO,AIRTEL,CARDS'!AI7</f>
        <v/>
      </c>
      <c r="AK16" s="22">
        <f>'MOMO,AIRTEL,CARDS'!AJ7</f>
        <v/>
      </c>
      <c r="AL16" s="22">
        <f>'MOMO,AIRTEL,CARDS'!AK7</f>
        <v/>
      </c>
      <c r="AM16" s="22">
        <f>'MOMO,AIRTEL,CARDS'!AL7</f>
        <v/>
      </c>
      <c r="AN16" s="22">
        <f>'MOMO,AIRTEL,CARDS'!AM7</f>
        <v/>
      </c>
      <c r="AO16" s="22">
        <f>'MOMO,AIRTEL,CARDS'!AN7</f>
        <v/>
      </c>
      <c r="AP16" s="22">
        <f>'MOMO,AIRTEL,CARDS'!AO7</f>
        <v/>
      </c>
      <c r="AQ16" s="22">
        <f>'MOMO,AIRTEL,CARDS'!AP7</f>
        <v/>
      </c>
      <c r="AR16" s="22">
        <f>'MOMO,AIRTEL,CARDS'!AQ7</f>
        <v/>
      </c>
      <c r="AS16" s="22">
        <f>'MOMO,AIRTEL,CARDS'!AR7</f>
        <v/>
      </c>
      <c r="AT16" s="22">
        <f>'MOMO,AIRTEL,CARDS'!AS7</f>
        <v/>
      </c>
      <c r="AU16" s="22">
        <f>'MOMO,AIRTEL,CARDS'!AT7</f>
        <v/>
      </c>
      <c r="AV16" s="22">
        <f>'MOMO,AIRTEL,CARDS'!AU7</f>
        <v/>
      </c>
      <c r="AW16" s="22">
        <f>'MOMO,AIRTEL,CARDS'!AV7</f>
        <v/>
      </c>
      <c r="AX16" s="22">
        <f>'MOMO,AIRTEL,CARDS'!AW7</f>
        <v/>
      </c>
      <c r="AY16" s="22">
        <f>'MOMO,AIRTEL,CARDS'!AX7</f>
        <v/>
      </c>
      <c r="AZ16" s="22">
        <f>'MOMO,AIRTEL,CARDS'!AY7</f>
        <v/>
      </c>
      <c r="BA16" s="22">
        <f>'MOMO,AIRTEL,CARDS'!AZ7</f>
        <v/>
      </c>
      <c r="BB16" s="22">
        <f>'MOMO,AIRTEL,CARDS'!BA7</f>
        <v/>
      </c>
      <c r="BC16" s="22">
        <f>'MOMO,AIRTEL,CARDS'!BB7</f>
        <v/>
      </c>
      <c r="BD16" s="22">
        <f>'MOMO,AIRTEL,CARDS'!BC7</f>
        <v/>
      </c>
      <c r="BE16" s="22">
        <f>'MOMO,AIRTEL,CARDS'!BD7</f>
        <v/>
      </c>
      <c r="BF16" s="22">
        <f>'MOMO,AIRTEL,CARDS'!BE7</f>
        <v/>
      </c>
      <c r="BG16" s="22">
        <f>'MOMO,AIRTEL,CARDS'!BF7</f>
        <v/>
      </c>
      <c r="BH16" s="22">
        <f>'MOMO,AIRTEL,CARDS'!BG7</f>
        <v/>
      </c>
      <c r="BI16" s="22">
        <f>'MOMO,AIRTEL,CARDS'!BH7</f>
        <v/>
      </c>
      <c r="BJ16" s="22">
        <f>'MOMO,AIRTEL,CARDS'!BI7</f>
        <v/>
      </c>
      <c r="BK16" s="22">
        <f>'MOMO,AIRTEL,CARDS'!BJ7</f>
        <v/>
      </c>
      <c r="BL16" s="22">
        <f>'MOMO,AIRTEL,CARDS'!BK7</f>
        <v/>
      </c>
      <c r="BM16" s="97">
        <f>SUM(AI16:BL16)</f>
        <v/>
      </c>
      <c r="BN16" s="22">
        <f>'MOMO,AIRTEL,CARDS'!BM7</f>
        <v/>
      </c>
      <c r="BO16" s="22">
        <f>'MOMO,AIRTEL,CARDS'!BN7</f>
        <v/>
      </c>
      <c r="BP16" s="22">
        <f>'MOMO,AIRTEL,CARDS'!BO7</f>
        <v/>
      </c>
      <c r="BQ16" s="22">
        <f>'MOMO,AIRTEL,CARDS'!BP7</f>
        <v/>
      </c>
      <c r="BR16" s="22">
        <f>'MOMO,AIRTEL,CARDS'!BQ7</f>
        <v/>
      </c>
      <c r="BS16" s="22">
        <f>'MOMO,AIRTEL,CARDS'!BR7</f>
        <v/>
      </c>
      <c r="BT16" s="22">
        <f>'MOMO,AIRTEL,CARDS'!BS7</f>
        <v/>
      </c>
      <c r="BU16" s="22">
        <f>'MOMO,AIRTEL,CARDS'!BT7</f>
        <v/>
      </c>
      <c r="BV16" s="22">
        <f>'MOMO,AIRTEL,CARDS'!BU7</f>
        <v/>
      </c>
      <c r="BW16" s="22">
        <f>'MOMO,AIRTEL,CARDS'!BV7</f>
        <v/>
      </c>
      <c r="BX16" s="22">
        <f>'MOMO,AIRTEL,CARDS'!BW7</f>
        <v/>
      </c>
      <c r="BY16" s="22">
        <f>'MOMO,AIRTEL,CARDS'!BX7</f>
        <v/>
      </c>
      <c r="BZ16" s="22">
        <f>'MOMO,AIRTEL,CARDS'!BY7</f>
        <v/>
      </c>
      <c r="CA16" s="22">
        <f>'MOMO,AIRTEL,CARDS'!BZ7</f>
        <v/>
      </c>
      <c r="CB16" s="22">
        <f>'MOMO,AIRTEL,CARDS'!CA7</f>
        <v/>
      </c>
      <c r="CC16" s="22">
        <f>'MOMO,AIRTEL,CARDS'!CB7</f>
        <v/>
      </c>
      <c r="CD16" s="22">
        <f>'MOMO,AIRTEL,CARDS'!CC7</f>
        <v/>
      </c>
      <c r="CE16" s="22">
        <f>'MOMO,AIRTEL,CARDS'!CD7</f>
        <v/>
      </c>
      <c r="CF16" s="22">
        <f>'MOMO,AIRTEL,CARDS'!CE7</f>
        <v/>
      </c>
      <c r="CG16" s="22">
        <f>'MOMO,AIRTEL,CARDS'!CF7</f>
        <v/>
      </c>
      <c r="CH16" s="22">
        <f>'MOMO,AIRTEL,CARDS'!CG7</f>
        <v/>
      </c>
      <c r="CI16" s="22">
        <f>'MOMO,AIRTEL,CARDS'!CH7</f>
        <v/>
      </c>
      <c r="CJ16" s="22">
        <f>'MOMO,AIRTEL,CARDS'!CI7</f>
        <v/>
      </c>
      <c r="CK16" s="22">
        <f>'MOMO,AIRTEL,CARDS'!CJ7</f>
        <v/>
      </c>
      <c r="CL16" s="22">
        <f>'MOMO,AIRTEL,CARDS'!CK7</f>
        <v/>
      </c>
      <c r="CM16" s="22">
        <f>'MOMO,AIRTEL,CARDS'!CL7</f>
        <v/>
      </c>
      <c r="CN16" s="22">
        <f>'MOMO,AIRTEL,CARDS'!CM7</f>
        <v/>
      </c>
      <c r="CO16" s="22">
        <f>'MOMO,AIRTEL,CARDS'!CN7</f>
        <v/>
      </c>
      <c r="CP16" s="22">
        <f>'MOMO,AIRTEL,CARDS'!CO7</f>
        <v/>
      </c>
      <c r="CQ16" s="22">
        <f>'MOMO,AIRTEL,CARDS'!CP7</f>
        <v/>
      </c>
      <c r="CR16" s="22">
        <f>'MOMO,AIRTEL,CARDS'!CQ7</f>
        <v/>
      </c>
      <c r="CS16" s="111">
        <f>SUM(BN16:CR16)</f>
        <v/>
      </c>
      <c r="CT16" s="22">
        <f>'MOMO,AIRTEL,CARDS'!CS7</f>
        <v/>
      </c>
      <c r="CU16" s="22">
        <f>'MOMO,AIRTEL,CARDS'!CT7</f>
        <v/>
      </c>
      <c r="CV16" s="22">
        <f>'MOMO,AIRTEL,CARDS'!CU7</f>
        <v/>
      </c>
      <c r="CW16" s="22">
        <f>'MOMO,AIRTEL,CARDS'!CV7</f>
        <v/>
      </c>
      <c r="CX16" s="22">
        <f>'MOMO,AIRTEL,CARDS'!CW7</f>
        <v/>
      </c>
      <c r="CY16" s="22">
        <f>'MOMO,AIRTEL,CARDS'!CX7</f>
        <v/>
      </c>
      <c r="CZ16" s="22">
        <f>'MOMO,AIRTEL,CARDS'!CY7</f>
        <v/>
      </c>
      <c r="DA16" s="22">
        <f>'MOMO,AIRTEL,CARDS'!CZ7</f>
        <v/>
      </c>
      <c r="DB16" s="22">
        <f>'MOMO,AIRTEL,CARDS'!DA7</f>
        <v/>
      </c>
      <c r="DC16" s="22">
        <f>'MOMO,AIRTEL,CARDS'!DB7</f>
        <v/>
      </c>
      <c r="DD16" s="22">
        <f>'MOMO,AIRTEL,CARDS'!DC7</f>
        <v/>
      </c>
      <c r="DE16" s="22">
        <f>'MOMO,AIRTEL,CARDS'!DD7</f>
        <v/>
      </c>
      <c r="DF16" s="22">
        <f>'MOMO,AIRTEL,CARDS'!DE7</f>
        <v/>
      </c>
      <c r="DG16" s="22">
        <f>'MOMO,AIRTEL,CARDS'!DF7</f>
        <v/>
      </c>
      <c r="DH16" s="22">
        <f>'MOMO,AIRTEL,CARDS'!DG7</f>
        <v/>
      </c>
      <c r="DI16" s="22">
        <f>'MOMO,AIRTEL,CARDS'!DH7</f>
        <v/>
      </c>
      <c r="DJ16" s="22">
        <f>'MOMO,AIRTEL,CARDS'!DI7</f>
        <v/>
      </c>
      <c r="DK16" s="22">
        <f>'MOMO,AIRTEL,CARDS'!DJ7</f>
        <v/>
      </c>
      <c r="DL16" s="22">
        <f>'MOMO,AIRTEL,CARDS'!DK7</f>
        <v/>
      </c>
      <c r="DM16" s="22">
        <f>'MOMO,AIRTEL,CARDS'!DL7</f>
        <v/>
      </c>
      <c r="DN16" s="22">
        <f>'MOMO,AIRTEL,CARDS'!DM7</f>
        <v/>
      </c>
      <c r="DO16" s="22">
        <f>'MOMO,AIRTEL,CARDS'!DN7</f>
        <v/>
      </c>
      <c r="DP16" s="22">
        <f>'MOMO,AIRTEL,CARDS'!DO7</f>
        <v/>
      </c>
      <c r="DQ16" s="22">
        <f>'MOMO,AIRTEL,CARDS'!DP7</f>
        <v/>
      </c>
      <c r="DR16" s="22">
        <f>'MOMO,AIRTEL,CARDS'!DQ7</f>
        <v/>
      </c>
      <c r="DS16" s="22">
        <f>'MOMO,AIRTEL,CARDS'!DR7</f>
        <v/>
      </c>
      <c r="DT16" s="22">
        <f>'MOMO,AIRTEL,CARDS'!DS7</f>
        <v/>
      </c>
      <c r="DU16" s="22">
        <f>'MOMO,AIRTEL,CARDS'!DT7</f>
        <v/>
      </c>
      <c r="DV16" s="22">
        <f>'MOMO,AIRTEL,CARDS'!DU7</f>
        <v/>
      </c>
      <c r="DW16" s="22">
        <f>'MOMO,AIRTEL,CARDS'!DV7</f>
        <v/>
      </c>
      <c r="DX16" s="119">
        <f>SUM(CT16:DW16)</f>
        <v/>
      </c>
      <c r="DY16" s="22">
        <f>'MOMO,AIRTEL,CARDS'!DX7</f>
        <v/>
      </c>
      <c r="DZ16" s="22">
        <f>'MOMO,AIRTEL,CARDS'!DY7</f>
        <v/>
      </c>
      <c r="EA16" s="22">
        <f>'MOMO,AIRTEL,CARDS'!DZ7</f>
        <v/>
      </c>
      <c r="EB16" s="22">
        <f>'MOMO,AIRTEL,CARDS'!EA7</f>
        <v/>
      </c>
      <c r="EC16" s="22">
        <f>'MOMO,AIRTEL,CARDS'!EB7</f>
        <v/>
      </c>
      <c r="ED16" s="22">
        <f>'MOMO,AIRTEL,CARDS'!EC7</f>
        <v/>
      </c>
      <c r="EE16" s="22">
        <f>'MOMO,AIRTEL,CARDS'!ED7</f>
        <v/>
      </c>
      <c r="EF16" s="22">
        <f>'MOMO,AIRTEL,CARDS'!EE7</f>
        <v/>
      </c>
      <c r="EG16" s="22">
        <f>'MOMO,AIRTEL,CARDS'!EF7</f>
        <v/>
      </c>
      <c r="EH16" s="22">
        <f>'MOMO,AIRTEL,CARDS'!EG7</f>
        <v/>
      </c>
      <c r="EI16" s="22">
        <f>'MOMO,AIRTEL,CARDS'!EH7</f>
        <v/>
      </c>
      <c r="EJ16" s="22">
        <f>'MOMO,AIRTEL,CARDS'!EI7</f>
        <v/>
      </c>
      <c r="EK16" s="22">
        <f>'MOMO,AIRTEL,CARDS'!EJ7</f>
        <v/>
      </c>
      <c r="EL16" s="22">
        <f>'MOMO,AIRTEL,CARDS'!EK7</f>
        <v/>
      </c>
      <c r="EM16" s="22">
        <f>'MOMO,AIRTEL,CARDS'!EL7</f>
        <v/>
      </c>
      <c r="EN16" s="22">
        <f>'MOMO,AIRTEL,CARDS'!EM7</f>
        <v/>
      </c>
      <c r="EO16" s="22">
        <f>'MOMO,AIRTEL,CARDS'!EN7</f>
        <v/>
      </c>
      <c r="EP16" s="22">
        <f>'MOMO,AIRTEL,CARDS'!EO7</f>
        <v/>
      </c>
      <c r="EQ16" s="22">
        <f>'MOMO,AIRTEL,CARDS'!EP7</f>
        <v/>
      </c>
      <c r="ER16" s="22">
        <f>'MOMO,AIRTEL,CARDS'!EQ7</f>
        <v/>
      </c>
      <c r="ES16" s="22">
        <f>'MOMO,AIRTEL,CARDS'!ER7</f>
        <v/>
      </c>
      <c r="ET16" s="22">
        <f>'MOMO,AIRTEL,CARDS'!ES7</f>
        <v/>
      </c>
      <c r="EU16" s="22">
        <f>'MOMO,AIRTEL,CARDS'!ET7</f>
        <v/>
      </c>
      <c r="EV16" s="22">
        <f>'MOMO,AIRTEL,CARDS'!EU7</f>
        <v/>
      </c>
      <c r="EW16" s="22">
        <f>'MOMO,AIRTEL,CARDS'!EV7</f>
        <v/>
      </c>
      <c r="EX16" s="22">
        <f>'MOMO,AIRTEL,CARDS'!EW7</f>
        <v/>
      </c>
      <c r="EY16" s="22">
        <f>'MOMO,AIRTEL,CARDS'!EX7</f>
        <v/>
      </c>
      <c r="EZ16" s="22">
        <f>'MOMO,AIRTEL,CARDS'!EY7</f>
        <v/>
      </c>
      <c r="FA16" s="22">
        <f>'MOMO,AIRTEL,CARDS'!EZ7</f>
        <v/>
      </c>
      <c r="FB16" s="22">
        <f>'MOMO,AIRTEL,CARDS'!FA7</f>
        <v/>
      </c>
      <c r="FC16" s="22">
        <f>'MOMO,AIRTEL,CARDS'!FB7</f>
        <v/>
      </c>
      <c r="FD16" s="128">
        <f>SUM(DY16:FC16)</f>
        <v/>
      </c>
      <c r="FE16" s="22">
        <f>'MOMO,AIRTEL,CARDS'!FD7</f>
        <v/>
      </c>
      <c r="FF16" s="22">
        <f>'MOMO,AIRTEL,CARDS'!FE7</f>
        <v/>
      </c>
      <c r="FG16" s="22">
        <f>'MOMO,AIRTEL,CARDS'!FF7</f>
        <v/>
      </c>
      <c r="FH16" s="22">
        <f>'MOMO,AIRTEL,CARDS'!FG7</f>
        <v/>
      </c>
      <c r="FI16" s="22">
        <f>'MOMO,AIRTEL,CARDS'!FH7</f>
        <v/>
      </c>
      <c r="FJ16" s="22">
        <f>'MOMO,AIRTEL,CARDS'!FI7</f>
        <v/>
      </c>
      <c r="FK16" s="22">
        <f>'MOMO,AIRTEL,CARDS'!FJ7</f>
        <v/>
      </c>
      <c r="FL16" s="22">
        <f>'MOMO,AIRTEL,CARDS'!FK7</f>
        <v/>
      </c>
      <c r="FM16" s="22">
        <f>'MOMO,AIRTEL,CARDS'!FL7</f>
        <v/>
      </c>
      <c r="FN16" s="22">
        <f>'MOMO,AIRTEL,CARDS'!FM7</f>
        <v/>
      </c>
      <c r="FO16" s="22">
        <f>'MOMO,AIRTEL,CARDS'!FN7</f>
        <v/>
      </c>
      <c r="FP16" s="22">
        <f>'MOMO,AIRTEL,CARDS'!FO7</f>
        <v/>
      </c>
      <c r="FQ16" s="22">
        <f>'MOMO,AIRTEL,CARDS'!FP7</f>
        <v/>
      </c>
      <c r="FR16" s="22">
        <f>'MOMO,AIRTEL,CARDS'!FQ7</f>
        <v/>
      </c>
      <c r="FS16" s="22">
        <f>'MOMO,AIRTEL,CARDS'!FR7</f>
        <v/>
      </c>
      <c r="FT16" s="22">
        <f>'MOMO,AIRTEL,CARDS'!FS7</f>
        <v/>
      </c>
      <c r="FU16" s="22">
        <f>'MOMO,AIRTEL,CARDS'!FT7</f>
        <v/>
      </c>
      <c r="FV16" s="22" t="n">
        <v>445250</v>
      </c>
      <c r="FW16" s="22">
        <f>'MOMO,AIRTEL,CARDS'!FV7</f>
        <v/>
      </c>
      <c r="FX16" s="22">
        <f>'MOMO,AIRTEL,CARDS'!FW7</f>
        <v/>
      </c>
      <c r="FY16" s="22">
        <f>'MOMO,AIRTEL,CARDS'!FX7</f>
        <v/>
      </c>
      <c r="FZ16" s="22">
        <f>'MOMO,AIRTEL,CARDS'!FY7</f>
        <v/>
      </c>
      <c r="GA16" s="22">
        <f>'MOMO,AIRTEL,CARDS'!FZ7</f>
        <v/>
      </c>
      <c r="GB16" s="22">
        <f>'MOMO,AIRTEL,CARDS'!GA7</f>
        <v/>
      </c>
      <c r="GC16" s="22">
        <f>'MOMO,AIRTEL,CARDS'!GB7</f>
        <v/>
      </c>
      <c r="GD16" s="22">
        <f>'MOMO,AIRTEL,CARDS'!GC7</f>
        <v/>
      </c>
      <c r="GE16" s="22">
        <f>'MOMO,AIRTEL,CARDS'!GD7</f>
        <v/>
      </c>
      <c r="GF16" s="22">
        <f>'MOMO,AIRTEL,CARDS'!GE7</f>
        <v/>
      </c>
      <c r="GG16" s="22">
        <f>'MOMO,AIRTEL,CARDS'!GF7</f>
        <v/>
      </c>
      <c r="GH16" s="22">
        <f>'MOMO,AIRTEL,CARDS'!GG7</f>
        <v/>
      </c>
      <c r="GI16" s="22">
        <f>'MOMO,AIRTEL,CARDS'!GH7</f>
        <v/>
      </c>
      <c r="GJ16" s="127">
        <f>SUM(FE16:GI16)</f>
        <v/>
      </c>
      <c r="GK16" s="22">
        <f>'MOMO,AIRTEL,CARDS'!GJ7</f>
        <v/>
      </c>
      <c r="GL16" s="22">
        <f>'MOMO,AIRTEL,CARDS'!GK7</f>
        <v/>
      </c>
      <c r="GM16" s="22">
        <f>'MOMO,AIRTEL,CARDS'!GL7</f>
        <v/>
      </c>
      <c r="GN16" s="22">
        <f>'MOMO,AIRTEL,CARDS'!GM7</f>
        <v/>
      </c>
      <c r="GO16" s="22">
        <f>'MOMO,AIRTEL,CARDS'!GN7</f>
        <v/>
      </c>
      <c r="GP16" s="22">
        <f>'MOMO,AIRTEL,CARDS'!GO7</f>
        <v/>
      </c>
      <c r="GQ16" s="22">
        <f>'MOMO,AIRTEL,CARDS'!GP7</f>
        <v/>
      </c>
      <c r="GR16" s="22">
        <f>'MOMO,AIRTEL,CARDS'!GQ7</f>
        <v/>
      </c>
      <c r="GS16" s="22">
        <f>'MOMO,AIRTEL,CARDS'!GR7</f>
        <v/>
      </c>
      <c r="GT16" s="22">
        <f>'MOMO,AIRTEL,CARDS'!GS7</f>
        <v/>
      </c>
      <c r="GU16" s="22">
        <f>'MOMO,AIRTEL,CARDS'!GT7</f>
        <v/>
      </c>
      <c r="GV16" s="22">
        <f>'MOMO,AIRTEL,CARDS'!GU7</f>
        <v/>
      </c>
      <c r="GW16" s="22">
        <f>'MOMO,AIRTEL,CARDS'!GV7</f>
        <v/>
      </c>
      <c r="GX16" s="22">
        <f>'MOMO,AIRTEL,CARDS'!GW7</f>
        <v/>
      </c>
      <c r="GY16" s="22">
        <f>'MOMO,AIRTEL,CARDS'!GX7</f>
        <v/>
      </c>
      <c r="GZ16" s="22">
        <f>'MOMO,AIRTEL,CARDS'!GY7</f>
        <v/>
      </c>
      <c r="HA16" s="22">
        <f>'MOMO,AIRTEL,CARDS'!GZ7</f>
        <v/>
      </c>
      <c r="HB16" s="22">
        <f>'MOMO,AIRTEL,CARDS'!HA7</f>
        <v/>
      </c>
      <c r="HC16" s="22">
        <f>'MOMO,AIRTEL,CARDS'!HB7</f>
        <v/>
      </c>
      <c r="HD16" s="22">
        <f>'MOMO,AIRTEL,CARDS'!HC7</f>
        <v/>
      </c>
      <c r="HE16" s="22">
        <f>'MOMO,AIRTEL,CARDS'!HD7</f>
        <v/>
      </c>
      <c r="HF16" s="22">
        <f>'MOMO,AIRTEL,CARDS'!HE7</f>
        <v/>
      </c>
      <c r="HG16" s="22">
        <f>'MOMO,AIRTEL,CARDS'!HF7</f>
        <v/>
      </c>
      <c r="HH16" s="22">
        <f>'MOMO,AIRTEL,CARDS'!HG7</f>
        <v/>
      </c>
      <c r="HI16" s="22">
        <f>'MOMO,AIRTEL,CARDS'!HH7</f>
        <v/>
      </c>
      <c r="HJ16" s="22">
        <f>'MOMO,AIRTEL,CARDS'!HI7</f>
        <v/>
      </c>
      <c r="HK16" s="22">
        <f>'MOMO,AIRTEL,CARDS'!HJ7</f>
        <v/>
      </c>
      <c r="HL16" s="22">
        <f>'MOMO,AIRTEL,CARDS'!HK7</f>
        <v/>
      </c>
      <c r="HM16" s="22">
        <f>'MOMO,AIRTEL,CARDS'!HL7</f>
        <v/>
      </c>
      <c r="HN16" s="127">
        <f>SUM(GK16:HM16)</f>
        <v/>
      </c>
      <c r="HO16" s="22">
        <f>'MOMO,AIRTEL,CARDS'!HN7</f>
        <v/>
      </c>
      <c r="HP16" s="22">
        <f>'MOMO,AIRTEL,CARDS'!HO7</f>
        <v/>
      </c>
      <c r="HQ16" s="22">
        <f>'MOMO,AIRTEL,CARDS'!HP7</f>
        <v/>
      </c>
      <c r="HR16" s="22">
        <f>'MOMO,AIRTEL,CARDS'!HQ7</f>
        <v/>
      </c>
      <c r="HS16" s="22">
        <f>'MOMO,AIRTEL,CARDS'!HR7</f>
        <v/>
      </c>
      <c r="HT16" s="22">
        <f>'MOMO,AIRTEL,CARDS'!HS7</f>
        <v/>
      </c>
      <c r="HU16" s="22">
        <f>'MOMO,AIRTEL,CARDS'!HT7</f>
        <v/>
      </c>
      <c r="HV16" s="22">
        <f>'MOMO,AIRTEL,CARDS'!HU7</f>
        <v/>
      </c>
      <c r="HW16" s="22">
        <f>'MOMO,AIRTEL,CARDS'!HV7</f>
        <v/>
      </c>
      <c r="HX16" s="22">
        <f>'MOMO,AIRTEL,CARDS'!HW7</f>
        <v/>
      </c>
      <c r="HY16" s="22">
        <f>'MOMO,AIRTEL,CARDS'!HX7</f>
        <v/>
      </c>
      <c r="HZ16" s="22">
        <f>'MOMO,AIRTEL,CARDS'!HY7</f>
        <v/>
      </c>
      <c r="IA16" s="22">
        <f>'MOMO,AIRTEL,CARDS'!HZ7</f>
        <v/>
      </c>
      <c r="IB16" s="22">
        <f>'MOMO,AIRTEL,CARDS'!IA7</f>
        <v/>
      </c>
      <c r="IC16" s="22">
        <f>'MOMO,AIRTEL,CARDS'!IB7</f>
        <v/>
      </c>
      <c r="ID16" s="22">
        <f>'MOMO,AIRTEL,CARDS'!IC7</f>
        <v/>
      </c>
      <c r="IE16" s="22">
        <f>'MOMO,AIRTEL,CARDS'!ID7</f>
        <v/>
      </c>
      <c r="IF16" s="22">
        <f>'MOMO,AIRTEL,CARDS'!IE7</f>
        <v/>
      </c>
      <c r="IG16" s="22">
        <f>'MOMO,AIRTEL,CARDS'!IF7</f>
        <v/>
      </c>
      <c r="IH16" s="22">
        <f>'MOMO,AIRTEL,CARDS'!IG7</f>
        <v/>
      </c>
      <c r="II16" s="22">
        <f>'MOMO,AIRTEL,CARDS'!IH7</f>
        <v/>
      </c>
      <c r="IJ16" s="22">
        <f>'MOMO,AIRTEL,CARDS'!II7</f>
        <v/>
      </c>
      <c r="IK16" s="22">
        <f>'MOMO,AIRTEL,CARDS'!IJ7</f>
        <v/>
      </c>
      <c r="IL16" s="22">
        <f>'MOMO,AIRTEL,CARDS'!IK7</f>
        <v/>
      </c>
      <c r="IM16" s="22">
        <f>'MOMO,AIRTEL,CARDS'!IL7</f>
        <v/>
      </c>
      <c r="IN16" s="22">
        <f>'MOMO,AIRTEL,CARDS'!IM7</f>
        <v/>
      </c>
      <c r="IO16" s="22">
        <f>'MOMO,AIRTEL,CARDS'!IN7</f>
        <v/>
      </c>
      <c r="IP16" s="22">
        <f>'MOMO,AIRTEL,CARDS'!IO7</f>
        <v/>
      </c>
      <c r="IQ16" s="22">
        <f>'MOMO,AIRTEL,CARDS'!IP7</f>
        <v/>
      </c>
      <c r="IR16" s="22">
        <f>'MOMO,AIRTEL,CARDS'!IQ7</f>
        <v/>
      </c>
      <c r="IS16" s="22">
        <f>'MOMO,AIRTEL,CARDS'!IR7</f>
        <v/>
      </c>
      <c r="IT16" s="127">
        <f>SUM(HO16:IS16)</f>
        <v/>
      </c>
      <c r="IU16" s="22">
        <f>'MOMO,AIRTEL,CARDS'!IT7</f>
        <v/>
      </c>
      <c r="IV16" s="22">
        <f>'MOMO,AIRTEL,CARDS'!IU7</f>
        <v/>
      </c>
      <c r="IW16" s="22">
        <f>'MOMO,AIRTEL,CARDS'!IV7</f>
        <v/>
      </c>
      <c r="IX16" s="22">
        <f>'MOMO,AIRTEL,CARDS'!IW7</f>
        <v/>
      </c>
      <c r="IY16" s="22">
        <f>'MOMO,AIRTEL,CARDS'!IX7</f>
        <v/>
      </c>
      <c r="IZ16" s="22">
        <f>'MOMO,AIRTEL,CARDS'!IY7</f>
        <v/>
      </c>
      <c r="JA16" s="22">
        <f>'MOMO,AIRTEL,CARDS'!IZ7</f>
        <v/>
      </c>
      <c r="JB16" s="22">
        <f>'MOMO,AIRTEL,CARDS'!JA7</f>
        <v/>
      </c>
      <c r="JC16" s="22">
        <f>'MOMO,AIRTEL,CARDS'!JB7</f>
        <v/>
      </c>
      <c r="JD16" s="22">
        <f>'MOMO,AIRTEL,CARDS'!JC7</f>
        <v/>
      </c>
      <c r="JE16" s="22">
        <f>'MOMO,AIRTEL,CARDS'!JD7</f>
        <v/>
      </c>
      <c r="JF16" s="22">
        <f>'MOMO,AIRTEL,CARDS'!JE7</f>
        <v/>
      </c>
      <c r="JG16" s="22">
        <f>'MOMO,AIRTEL,CARDS'!JF7</f>
        <v/>
      </c>
      <c r="JH16" s="22">
        <f>'MOMO,AIRTEL,CARDS'!JG7</f>
        <v/>
      </c>
      <c r="JI16" s="22">
        <f>'MOMO,AIRTEL,CARDS'!JH7</f>
        <v/>
      </c>
      <c r="JJ16" s="22">
        <f>'MOMO,AIRTEL,CARDS'!JI7</f>
        <v/>
      </c>
      <c r="JK16" s="22">
        <f>'MOMO,AIRTEL,CARDS'!JJ7</f>
        <v/>
      </c>
      <c r="JL16" s="22">
        <f>'MOMO,AIRTEL,CARDS'!JK7</f>
        <v/>
      </c>
      <c r="JM16" s="22">
        <f>'MOMO,AIRTEL,CARDS'!JL7</f>
        <v/>
      </c>
      <c r="JN16" s="22">
        <f>'MOMO,AIRTEL,CARDS'!JM7</f>
        <v/>
      </c>
      <c r="JO16" s="22">
        <f>'MOMO,AIRTEL,CARDS'!JN7</f>
        <v/>
      </c>
      <c r="JP16" s="22">
        <f>'MOMO,AIRTEL,CARDS'!JO7</f>
        <v/>
      </c>
      <c r="JQ16" s="22">
        <f>'MOMO,AIRTEL,CARDS'!JP7</f>
        <v/>
      </c>
      <c r="JR16" s="22">
        <f>'MOMO,AIRTEL,CARDS'!JQ7</f>
        <v/>
      </c>
      <c r="JS16" s="22">
        <f>'MOMO,AIRTEL,CARDS'!JR7</f>
        <v/>
      </c>
      <c r="JT16" s="22">
        <f>'MOMO,AIRTEL,CARDS'!JS7</f>
        <v/>
      </c>
      <c r="JU16" s="22">
        <f>'MOMO,AIRTEL,CARDS'!JT7</f>
        <v/>
      </c>
      <c r="JV16" s="22">
        <f>'MOMO,AIRTEL,CARDS'!JU7</f>
        <v/>
      </c>
      <c r="JW16" s="22">
        <f>'MOMO,AIRTEL,CARDS'!JV7</f>
        <v/>
      </c>
      <c r="JX16" s="22">
        <f>'MOMO,AIRTEL,CARDS'!JW7</f>
        <v/>
      </c>
      <c r="JY16" s="127">
        <f>SUM(IU16:JX16)</f>
        <v/>
      </c>
      <c r="JZ16" s="22">
        <f>'MOMO,AIRTEL,CARDS'!JY7</f>
        <v/>
      </c>
      <c r="KA16" s="22">
        <f>'MOMO,AIRTEL,CARDS'!JZ7</f>
        <v/>
      </c>
      <c r="KB16" s="22">
        <f>'MOMO,AIRTEL,CARDS'!KA7</f>
        <v/>
      </c>
      <c r="KC16" s="22">
        <f>'MOMO,AIRTEL,CARDS'!KB7</f>
        <v/>
      </c>
      <c r="KD16" s="22">
        <f>'MOMO,AIRTEL,CARDS'!KC7</f>
        <v/>
      </c>
      <c r="KE16" s="22">
        <f>'MOMO,AIRTEL,CARDS'!KD7</f>
        <v/>
      </c>
      <c r="KF16" s="22">
        <f>'MOMO,AIRTEL,CARDS'!KE7</f>
        <v/>
      </c>
      <c r="KG16" s="22">
        <f>'MOMO,AIRTEL,CARDS'!KF7</f>
        <v/>
      </c>
      <c r="KH16" s="22">
        <f>'MOMO,AIRTEL,CARDS'!KG7</f>
        <v/>
      </c>
      <c r="KI16" s="22">
        <f>'MOMO,AIRTEL,CARDS'!KH7</f>
        <v/>
      </c>
      <c r="KJ16" s="22">
        <f>'MOMO,AIRTEL,CARDS'!KI7</f>
        <v/>
      </c>
      <c r="KK16" s="22">
        <f>'MOMO,AIRTEL,CARDS'!KJ7</f>
        <v/>
      </c>
      <c r="KL16" s="22">
        <f>'MOMO,AIRTEL,CARDS'!KK7</f>
        <v/>
      </c>
      <c r="KM16" s="22">
        <f>'MOMO,AIRTEL,CARDS'!KL7</f>
        <v/>
      </c>
      <c r="KN16" s="22">
        <f>'MOMO,AIRTEL,CARDS'!KM7</f>
        <v/>
      </c>
      <c r="KO16" s="22">
        <f>'MOMO,AIRTEL,CARDS'!KN7</f>
        <v/>
      </c>
      <c r="KP16" s="22">
        <f>'MOMO,AIRTEL,CARDS'!KO7</f>
        <v/>
      </c>
      <c r="KQ16" s="22">
        <f>'MOMO,AIRTEL,CARDS'!KP7</f>
        <v/>
      </c>
      <c r="KR16" s="22">
        <f>'MOMO,AIRTEL,CARDS'!KQ7</f>
        <v/>
      </c>
      <c r="KS16" s="22">
        <f>'MOMO,AIRTEL,CARDS'!KR7</f>
        <v/>
      </c>
      <c r="KT16" s="22">
        <f>'MOMO,AIRTEL,CARDS'!KS7</f>
        <v/>
      </c>
      <c r="KU16" s="22">
        <f>'MOMO,AIRTEL,CARDS'!KT7</f>
        <v/>
      </c>
      <c r="KV16" s="22">
        <f>'MOMO,AIRTEL,CARDS'!KU7</f>
        <v/>
      </c>
      <c r="KW16" s="22">
        <f>'MOMO,AIRTEL,CARDS'!KV7</f>
        <v/>
      </c>
      <c r="KX16" s="22">
        <f>'MOMO,AIRTEL,CARDS'!KW7</f>
        <v/>
      </c>
      <c r="KY16" s="22">
        <f>'MOMO,AIRTEL,CARDS'!KX7</f>
        <v/>
      </c>
      <c r="KZ16" s="22">
        <f>'MOMO,AIRTEL,CARDS'!KY7</f>
        <v/>
      </c>
      <c r="LA16" s="22">
        <f>'MOMO,AIRTEL,CARDS'!KZ7</f>
        <v/>
      </c>
      <c r="LB16" s="22">
        <f>'MOMO,AIRTEL,CARDS'!LA7</f>
        <v/>
      </c>
      <c r="LC16" s="22">
        <f>'MOMO,AIRTEL,CARDS'!LB7</f>
        <v/>
      </c>
      <c r="LD16" s="22">
        <f>'MOMO,AIRTEL,CARDS'!LC7</f>
        <v/>
      </c>
      <c r="LE16" s="127">
        <f>SUM(KA16:LD16)</f>
        <v/>
      </c>
      <c r="LF16" s="22">
        <f>'MOMO,AIRTEL,CARDS'!LE7</f>
        <v/>
      </c>
      <c r="LG16" s="22">
        <f>'MOMO,AIRTEL,CARDS'!LF7</f>
        <v/>
      </c>
      <c r="LH16" s="22">
        <f>'MOMO,AIRTEL,CARDS'!LG7</f>
        <v/>
      </c>
      <c r="LI16" s="22">
        <f>'MOMO,AIRTEL,CARDS'!LH7</f>
        <v/>
      </c>
      <c r="LJ16" s="22">
        <f>'MOMO,AIRTEL,CARDS'!LI7</f>
        <v/>
      </c>
      <c r="LK16" s="22">
        <f>'MOMO,AIRTEL,CARDS'!LJ7</f>
        <v/>
      </c>
      <c r="LL16" s="22">
        <f>'MOMO,AIRTEL,CARDS'!LK7</f>
        <v/>
      </c>
      <c r="LM16" s="22">
        <f>'MOMO,AIRTEL,CARDS'!LL7</f>
        <v/>
      </c>
      <c r="LN16" s="22">
        <f>'MOMO,AIRTEL,CARDS'!LM7</f>
        <v/>
      </c>
      <c r="LO16" s="22">
        <f>'MOMO,AIRTEL,CARDS'!LN7</f>
        <v/>
      </c>
      <c r="LP16" s="22">
        <f>'MOMO,AIRTEL,CARDS'!LO7</f>
        <v/>
      </c>
      <c r="LQ16" s="22">
        <f>'MOMO,AIRTEL,CARDS'!LP7</f>
        <v/>
      </c>
      <c r="LR16" s="22">
        <f>'MOMO,AIRTEL,CARDS'!LQ7</f>
        <v/>
      </c>
      <c r="LS16" s="22">
        <f>'MOMO,AIRTEL,CARDS'!LR7</f>
        <v/>
      </c>
      <c r="LT16" s="22">
        <f>'MOMO,AIRTEL,CARDS'!LS7</f>
        <v/>
      </c>
      <c r="LU16" s="22">
        <f>'MOMO,AIRTEL,CARDS'!LT7</f>
        <v/>
      </c>
      <c r="LV16" s="22">
        <f>'MOMO,AIRTEL,CARDS'!LU7</f>
        <v/>
      </c>
      <c r="LW16" s="22">
        <f>'MOMO,AIRTEL,CARDS'!LV7</f>
        <v/>
      </c>
      <c r="LX16" s="22">
        <f>'MOMO,AIRTEL,CARDS'!LW7</f>
        <v/>
      </c>
      <c r="LY16" s="22">
        <f>'MOMO,AIRTEL,CARDS'!LX7</f>
        <v/>
      </c>
      <c r="LZ16" s="22">
        <f>'MOMO,AIRTEL,CARDS'!LY7</f>
        <v/>
      </c>
      <c r="MA16" s="22">
        <f>'MOMO,AIRTEL,CARDS'!LZ7</f>
        <v/>
      </c>
      <c r="MB16" s="22">
        <f>'MOMO,AIRTEL,CARDS'!MA7</f>
        <v/>
      </c>
      <c r="MC16" s="22">
        <f>'MOMO,AIRTEL,CARDS'!MB7</f>
        <v/>
      </c>
      <c r="MD16" s="22">
        <f>'MOMO,AIRTEL,CARDS'!MC7</f>
        <v/>
      </c>
      <c r="ME16" s="22">
        <f>'MOMO,AIRTEL,CARDS'!MD7</f>
        <v/>
      </c>
      <c r="MF16" s="22">
        <f>'MOMO,AIRTEL,CARDS'!ME7</f>
        <v/>
      </c>
      <c r="MG16" s="22">
        <f>'MOMO,AIRTEL,CARDS'!MF7</f>
        <v/>
      </c>
      <c r="MH16" s="22">
        <f>'MOMO,AIRTEL,CARDS'!MG7</f>
        <v/>
      </c>
      <c r="MI16" s="22">
        <f>'MOMO,AIRTEL,CARDS'!MH7</f>
        <v/>
      </c>
      <c r="MJ16" s="127">
        <f>SUM(LF16:MI16)</f>
        <v/>
      </c>
      <c r="MK16" s="22">
        <f>'MOMO,AIRTEL,CARDS'!MJ7</f>
        <v/>
      </c>
      <c r="ML16" s="22">
        <f>'MOMO,AIRTEL,CARDS'!MK7</f>
        <v/>
      </c>
      <c r="MM16" s="22">
        <f>'MOMO,AIRTEL,CARDS'!ML7</f>
        <v/>
      </c>
      <c r="MN16" s="22">
        <f>'MOMO,AIRTEL,CARDS'!MM7</f>
        <v/>
      </c>
      <c r="MO16" s="22">
        <f>'MOMO,AIRTEL,CARDS'!MN7</f>
        <v/>
      </c>
      <c r="MP16" s="22">
        <f>'MOMO,AIRTEL,CARDS'!MO7</f>
        <v/>
      </c>
      <c r="MQ16" s="22">
        <f>'MOMO,AIRTEL,CARDS'!MP7</f>
        <v/>
      </c>
      <c r="MR16" s="22">
        <f>'MOMO,AIRTEL,CARDS'!MQ7</f>
        <v/>
      </c>
      <c r="MS16" s="22">
        <f>'MOMO,AIRTEL,CARDS'!MR7</f>
        <v/>
      </c>
      <c r="MT16" s="22">
        <f>'MOMO,AIRTEL,CARDS'!MS7</f>
        <v/>
      </c>
      <c r="MU16" s="22">
        <f>'MOMO,AIRTEL,CARDS'!MT7</f>
        <v/>
      </c>
      <c r="MV16" s="22">
        <f>'MOMO,AIRTEL,CARDS'!MU7</f>
        <v/>
      </c>
      <c r="MW16" s="22">
        <f>'MOMO,AIRTEL,CARDS'!MV7</f>
        <v/>
      </c>
      <c r="MX16" s="22">
        <f>'MOMO,AIRTEL,CARDS'!MW7</f>
        <v/>
      </c>
      <c r="MY16" s="22">
        <f>'MOMO,AIRTEL,CARDS'!MX7</f>
        <v/>
      </c>
      <c r="MZ16" s="22">
        <f>'MOMO,AIRTEL,CARDS'!MY7</f>
        <v/>
      </c>
      <c r="NA16" s="22">
        <f>'MOMO,AIRTEL,CARDS'!MZ7</f>
        <v/>
      </c>
      <c r="NB16" s="22">
        <f>'MOMO,AIRTEL,CARDS'!NA7</f>
        <v/>
      </c>
      <c r="NC16" s="22">
        <f>'MOMO,AIRTEL,CARDS'!NB7</f>
        <v/>
      </c>
      <c r="ND16" s="22">
        <f>'MOMO,AIRTEL,CARDS'!NC7</f>
        <v/>
      </c>
      <c r="NE16" s="22">
        <f>'MOMO,AIRTEL,CARDS'!ND7</f>
        <v/>
      </c>
      <c r="NF16" s="22">
        <f>'MOMO,AIRTEL,CARDS'!NE7</f>
        <v/>
      </c>
      <c r="NG16" s="22">
        <f>'MOMO,AIRTEL,CARDS'!NF7</f>
        <v/>
      </c>
      <c r="NH16" s="22">
        <f>'MOMO,AIRTEL,CARDS'!NG7</f>
        <v/>
      </c>
      <c r="NI16" s="22">
        <f>'MOMO,AIRTEL,CARDS'!NH7</f>
        <v/>
      </c>
      <c r="NJ16" s="22">
        <f>'MOMO,AIRTEL,CARDS'!NI7</f>
        <v/>
      </c>
      <c r="NK16" s="22">
        <f>'MOMO,AIRTEL,CARDS'!NJ7</f>
        <v/>
      </c>
      <c r="NL16" s="22">
        <f>'MOMO,AIRTEL,CARDS'!NK7</f>
        <v/>
      </c>
      <c r="NM16" s="22">
        <f>'MOMO,AIRTEL,CARDS'!NL7</f>
        <v/>
      </c>
      <c r="NN16" s="22">
        <f>'MOMO,AIRTEL,CARDS'!NM7</f>
        <v/>
      </c>
      <c r="NO16" s="22">
        <f>'MOMO,AIRTEL,CARDS'!NN7</f>
        <v/>
      </c>
      <c r="NP16" s="127">
        <f>SUM(ML16:NO16)</f>
        <v/>
      </c>
      <c r="NQ16" s="22">
        <f>'MOMO,AIRTEL,CARDS'!NP7</f>
        <v/>
      </c>
      <c r="NR16" s="22">
        <f>'MOMO,AIRTEL,CARDS'!NQ7</f>
        <v/>
      </c>
      <c r="NS16" s="22">
        <f>'MOMO,AIRTEL,CARDS'!NR7</f>
        <v/>
      </c>
      <c r="NT16" s="22">
        <f>'MOMO,AIRTEL,CARDS'!NS7</f>
        <v/>
      </c>
      <c r="NU16" s="22">
        <f>'MOMO,AIRTEL,CARDS'!NT7</f>
        <v/>
      </c>
      <c r="NV16" s="22">
        <f>'MOMO,AIRTEL,CARDS'!NU7</f>
        <v/>
      </c>
      <c r="NW16" s="22">
        <f>'MOMO,AIRTEL,CARDS'!NV7</f>
        <v/>
      </c>
      <c r="NX16" s="22">
        <f>'MOMO,AIRTEL,CARDS'!NW7</f>
        <v/>
      </c>
      <c r="NY16" s="22">
        <f>'MOMO,AIRTEL,CARDS'!NX7</f>
        <v/>
      </c>
      <c r="NZ16" s="22">
        <f>'MOMO,AIRTEL,CARDS'!NY7</f>
        <v/>
      </c>
      <c r="OA16" s="22">
        <f>'MOMO,AIRTEL,CARDS'!NZ7</f>
        <v/>
      </c>
      <c r="OB16" s="22">
        <f>'MOMO,AIRTEL,CARDS'!OA7</f>
        <v/>
      </c>
      <c r="OC16" s="22">
        <f>'MOMO,AIRTEL,CARDS'!OB7</f>
        <v/>
      </c>
      <c r="OD16" s="22">
        <f>'MOMO,AIRTEL,CARDS'!OC7</f>
        <v/>
      </c>
      <c r="OE16" s="22">
        <f>'MOMO,AIRTEL,CARDS'!OD7</f>
        <v/>
      </c>
      <c r="OF16" s="22">
        <f>'MOMO,AIRTEL,CARDS'!OE7</f>
        <v/>
      </c>
      <c r="OG16" s="22">
        <f>'MOMO,AIRTEL,CARDS'!OF7</f>
        <v/>
      </c>
      <c r="OH16" s="22">
        <f>'MOMO,AIRTEL,CARDS'!OG7</f>
        <v/>
      </c>
      <c r="OI16" s="22">
        <f>'MOMO,AIRTEL,CARDS'!OH7</f>
        <v/>
      </c>
      <c r="OJ16" s="22">
        <f>'MOMO,AIRTEL,CARDS'!OI7</f>
        <v/>
      </c>
      <c r="OK16" s="22">
        <f>'MOMO,AIRTEL,CARDS'!OJ7</f>
        <v/>
      </c>
      <c r="OL16" s="22">
        <f>'MOMO,AIRTEL,CARDS'!OK7</f>
        <v/>
      </c>
      <c r="OM16" s="22">
        <f>'MOMO,AIRTEL,CARDS'!OL7</f>
        <v/>
      </c>
      <c r="ON16" s="22">
        <f>'MOMO,AIRTEL,CARDS'!OM7</f>
        <v/>
      </c>
      <c r="OO16" s="22">
        <f>'MOMO,AIRTEL,CARDS'!ON7</f>
        <v/>
      </c>
      <c r="OP16" s="22">
        <f>'MOMO,AIRTEL,CARDS'!OO7</f>
        <v/>
      </c>
      <c r="OQ16" s="22">
        <f>'MOMO,AIRTEL,CARDS'!OP7</f>
        <v/>
      </c>
      <c r="OR16" s="22">
        <f>'MOMO,AIRTEL,CARDS'!OQ7</f>
        <v/>
      </c>
      <c r="OS16" s="22">
        <f>'MOMO,AIRTEL,CARDS'!OR7</f>
        <v/>
      </c>
      <c r="OT16" s="22">
        <f>'MOMO,AIRTEL,CARDS'!OS7</f>
        <v/>
      </c>
      <c r="OU16" s="22">
        <f>'MOMO,AIRTEL,CARDS'!OT7</f>
        <v/>
      </c>
      <c r="OV16" s="127">
        <f>SUM(NR16:OU16)</f>
        <v/>
      </c>
      <c r="OW16" s="22">
        <f>'MOMO,AIRTEL,CARDS'!OV7</f>
        <v/>
      </c>
      <c r="OX16" s="22">
        <f>'MOMO,AIRTEL,CARDS'!OW7</f>
        <v/>
      </c>
      <c r="OY16" s="22">
        <f>'MOMO,AIRTEL,CARDS'!OX7</f>
        <v/>
      </c>
      <c r="OZ16" s="22">
        <f>'MOMO,AIRTEL,CARDS'!OY7</f>
        <v/>
      </c>
      <c r="PA16" s="22">
        <f>'MOMO,AIRTEL,CARDS'!OZ7</f>
        <v/>
      </c>
      <c r="PB16" s="22">
        <f>'MOMO,AIRTEL,CARDS'!PA7</f>
        <v/>
      </c>
      <c r="PC16" s="22">
        <f>'MOMO,AIRTEL,CARDS'!PB7</f>
        <v/>
      </c>
      <c r="PD16" s="22">
        <f>'MOMO,AIRTEL,CARDS'!PC7</f>
        <v/>
      </c>
      <c r="PE16" s="22">
        <f>'MOMO,AIRTEL,CARDS'!PD7</f>
        <v/>
      </c>
      <c r="PF16" s="22">
        <f>'MOMO,AIRTEL,CARDS'!PE7</f>
        <v/>
      </c>
      <c r="PG16" s="22">
        <f>'MOMO,AIRTEL,CARDS'!PF7</f>
        <v/>
      </c>
      <c r="PH16" s="22">
        <f>'MOMO,AIRTEL,CARDS'!PG7</f>
        <v/>
      </c>
      <c r="PI16" s="22">
        <f>'MOMO,AIRTEL,CARDS'!PH7</f>
        <v/>
      </c>
      <c r="PJ16" s="22">
        <f>'MOMO,AIRTEL,CARDS'!PI7</f>
        <v/>
      </c>
      <c r="PK16" s="22">
        <f>'MOMO,AIRTEL,CARDS'!PJ7</f>
        <v/>
      </c>
      <c r="PL16" s="22">
        <f>'MOMO,AIRTEL,CARDS'!PK7</f>
        <v/>
      </c>
      <c r="PM16" s="22">
        <f>'MOMO,AIRTEL,CARDS'!PL7</f>
        <v/>
      </c>
      <c r="PN16" s="22">
        <f>'MOMO,AIRTEL,CARDS'!PM7</f>
        <v/>
      </c>
      <c r="PO16" s="22">
        <f>'MOMO,AIRTEL,CARDS'!PN7</f>
        <v/>
      </c>
      <c r="PP16" s="22">
        <f>'MOMO,AIRTEL,CARDS'!PO7</f>
        <v/>
      </c>
      <c r="PQ16" s="22">
        <f>'MOMO,AIRTEL,CARDS'!PP7</f>
        <v/>
      </c>
      <c r="PR16" s="22">
        <f>'MOMO,AIRTEL,CARDS'!PQ7</f>
        <v/>
      </c>
      <c r="PS16" s="22">
        <f>'MOMO,AIRTEL,CARDS'!PR7</f>
        <v/>
      </c>
      <c r="PT16" s="22">
        <f>'MOMO,AIRTEL,CARDS'!PS7</f>
        <v/>
      </c>
      <c r="PU16" s="22">
        <f>'MOMO,AIRTEL,CARDS'!PT7</f>
        <v/>
      </c>
      <c r="PV16" s="22">
        <f>'MOMO,AIRTEL,CARDS'!PU7</f>
        <v/>
      </c>
      <c r="PW16" s="22">
        <f>'MOMO,AIRTEL,CARDS'!PV7</f>
        <v/>
      </c>
      <c r="PX16" s="22">
        <f>'MOMO,AIRTEL,CARDS'!PW7</f>
        <v/>
      </c>
      <c r="PY16" s="22">
        <f>'MOMO,AIRTEL,CARDS'!PX7</f>
        <v/>
      </c>
      <c r="PZ16" s="22">
        <f>'MOMO,AIRTEL,CARDS'!PY7</f>
        <v/>
      </c>
      <c r="QA16" s="127">
        <f>SUM(OW16:PZ16)</f>
        <v/>
      </c>
      <c r="QB16" s="22">
        <f>'MOMO,AIRTEL,CARDS'!QA7</f>
        <v/>
      </c>
      <c r="QC16" s="22">
        <f>'MOMO,AIRTEL,CARDS'!QB7</f>
        <v/>
      </c>
      <c r="QD16" s="22">
        <f>'MOMO,AIRTEL,CARDS'!QC7</f>
        <v/>
      </c>
      <c r="QE16" s="22">
        <f>'MOMO,AIRTEL,CARDS'!QD7</f>
        <v/>
      </c>
      <c r="QF16" s="22">
        <f>'MOMO,AIRTEL,CARDS'!QE7</f>
        <v/>
      </c>
      <c r="QG16" s="22">
        <f>'MOMO,AIRTEL,CARDS'!QF7</f>
        <v/>
      </c>
      <c r="QH16" s="22">
        <f>'MOMO,AIRTEL,CARDS'!QG7</f>
        <v/>
      </c>
      <c r="QI16" s="22">
        <f>'MOMO,AIRTEL,CARDS'!QH7</f>
        <v/>
      </c>
      <c r="QJ16" s="22">
        <f>'MOMO,AIRTEL,CARDS'!QI7</f>
        <v/>
      </c>
      <c r="QK16" s="22">
        <f>'MOMO,AIRTEL,CARDS'!QJ7</f>
        <v/>
      </c>
      <c r="QL16" s="22">
        <f>'MOMO,AIRTEL,CARDS'!QK7</f>
        <v/>
      </c>
      <c r="QM16" s="22">
        <f>'MOMO,AIRTEL,CARDS'!QL7</f>
        <v/>
      </c>
      <c r="QN16" s="22">
        <f>'MOMO,AIRTEL,CARDS'!QM7</f>
        <v/>
      </c>
      <c r="QO16" s="22">
        <f>'MOMO,AIRTEL,CARDS'!QN7</f>
        <v/>
      </c>
      <c r="QP16" s="22">
        <f>'MOMO,AIRTEL,CARDS'!QO7</f>
        <v/>
      </c>
      <c r="QQ16" s="22">
        <f>'MOMO,AIRTEL,CARDS'!QP7</f>
        <v/>
      </c>
      <c r="QR16" s="22">
        <f>'MOMO,AIRTEL,CARDS'!QQ7</f>
        <v/>
      </c>
      <c r="QS16" s="22">
        <f>'MOMO,AIRTEL,CARDS'!QR7</f>
        <v/>
      </c>
      <c r="QT16" s="22">
        <f>'MOMO,AIRTEL,CARDS'!QS7</f>
        <v/>
      </c>
      <c r="QU16" s="22">
        <f>'MOMO,AIRTEL,CARDS'!QT7</f>
        <v/>
      </c>
      <c r="QV16" s="22">
        <f>'MOMO,AIRTEL,CARDS'!QU7</f>
        <v/>
      </c>
      <c r="QW16" s="22">
        <f>'MOMO,AIRTEL,CARDS'!QV7</f>
        <v/>
      </c>
      <c r="QX16" s="22">
        <f>'MOMO,AIRTEL,CARDS'!QW7</f>
        <v/>
      </c>
      <c r="QY16" s="22">
        <f>'MOMO,AIRTEL,CARDS'!QX7</f>
        <v/>
      </c>
      <c r="QZ16" s="22">
        <f>'MOMO,AIRTEL,CARDS'!QY7</f>
        <v/>
      </c>
      <c r="RA16" s="22">
        <f>'MOMO,AIRTEL,CARDS'!QZ7</f>
        <v/>
      </c>
      <c r="RB16" s="22">
        <f>'MOMO,AIRTEL,CARDS'!RA7</f>
        <v/>
      </c>
      <c r="RC16" s="22">
        <f>'MOMO,AIRTEL,CARDS'!RB7</f>
        <v/>
      </c>
      <c r="RD16" s="22">
        <f>'MOMO,AIRTEL,CARDS'!RC7</f>
        <v/>
      </c>
      <c r="RE16" s="22">
        <f>'MOMO,AIRTEL,CARDS'!RD7</f>
        <v/>
      </c>
      <c r="RF16" s="22">
        <f>'MOMO,AIRTEL,CARDS'!RE7</f>
        <v/>
      </c>
      <c r="RG16" s="127">
        <f>SUM(QC16:RF16)</f>
        <v/>
      </c>
      <c r="RH16" s="22">
        <f>'MOMO,AIRTEL,CARDS'!RG7</f>
        <v/>
      </c>
      <c r="RI16" s="22">
        <f>'MOMO,AIRTEL,CARDS'!RH7</f>
        <v/>
      </c>
      <c r="RJ16" s="22">
        <f>'MOMO,AIRTEL,CARDS'!RI7</f>
        <v/>
      </c>
      <c r="RK16" s="22">
        <f>'MOMO,AIRTEL,CARDS'!RJ7</f>
        <v/>
      </c>
      <c r="RL16" s="22">
        <f>'MOMO,AIRTEL,CARDS'!RK7</f>
        <v/>
      </c>
      <c r="RM16" s="22">
        <f>'MOMO,AIRTEL,CARDS'!RL7</f>
        <v/>
      </c>
      <c r="RN16" s="22">
        <f>'MOMO,AIRTEL,CARDS'!RM7</f>
        <v/>
      </c>
      <c r="RO16" s="22">
        <f>'MOMO,AIRTEL,CARDS'!RN7</f>
        <v/>
      </c>
      <c r="RP16" s="22">
        <f>'MOMO,AIRTEL,CARDS'!RO7</f>
        <v/>
      </c>
      <c r="RQ16" s="22">
        <f>'MOMO,AIRTEL,CARDS'!RP7</f>
        <v/>
      </c>
      <c r="RR16" s="22">
        <f>'MOMO,AIRTEL,CARDS'!RQ7</f>
        <v/>
      </c>
      <c r="RS16" s="22">
        <f>'MOMO,AIRTEL,CARDS'!RR7</f>
        <v/>
      </c>
      <c r="RT16" s="22">
        <f>'MOMO,AIRTEL,CARDS'!RS7</f>
        <v/>
      </c>
      <c r="RU16" s="22">
        <f>'MOMO,AIRTEL,CARDS'!RT7</f>
        <v/>
      </c>
      <c r="RV16" s="22">
        <f>'MOMO,AIRTEL,CARDS'!RU7</f>
        <v/>
      </c>
      <c r="RW16" s="22">
        <f>'MOMO,AIRTEL,CARDS'!RV7</f>
        <v/>
      </c>
      <c r="RX16" s="22">
        <f>'MOMO,AIRTEL,CARDS'!RW7</f>
        <v/>
      </c>
      <c r="RY16" s="22">
        <f>'MOMO,AIRTEL,CARDS'!RX7</f>
        <v/>
      </c>
      <c r="RZ16" s="22">
        <f>'MOMO,AIRTEL,CARDS'!RY7</f>
        <v/>
      </c>
      <c r="SA16" s="22">
        <f>'MOMO,AIRTEL,CARDS'!RZ7</f>
        <v/>
      </c>
      <c r="SB16" s="22">
        <f>'MOMO,AIRTEL,CARDS'!SA7</f>
        <v/>
      </c>
      <c r="SC16" s="22">
        <f>'MOMO,AIRTEL,CARDS'!SB7</f>
        <v/>
      </c>
      <c r="SD16" s="22">
        <f>'MOMO,AIRTEL,CARDS'!SC7</f>
        <v/>
      </c>
      <c r="SE16" s="22">
        <f>'MOMO,AIRTEL,CARDS'!SD7</f>
        <v/>
      </c>
      <c r="SF16" s="22">
        <f>'MOMO,AIRTEL,CARDS'!SE7</f>
        <v/>
      </c>
      <c r="SG16" s="22">
        <f>'MOMO,AIRTEL,CARDS'!SF7</f>
        <v/>
      </c>
      <c r="SH16" s="22">
        <f>'MOMO,AIRTEL,CARDS'!SG7</f>
        <v/>
      </c>
      <c r="SI16" s="22">
        <f>'MOMO,AIRTEL,CARDS'!SH7</f>
        <v/>
      </c>
      <c r="SJ16" s="22">
        <f>'MOMO,AIRTEL,CARDS'!SI7</f>
        <v/>
      </c>
      <c r="SK16" s="22">
        <f>'MOMO,AIRTEL,CARDS'!SJ7</f>
        <v/>
      </c>
      <c r="SL16" s="127">
        <f>SUM(RH16:SK16)</f>
        <v/>
      </c>
      <c r="SM16" s="22">
        <f>'MOMO,AIRTEL,CARDS'!SL7</f>
        <v/>
      </c>
      <c r="SN16" s="22">
        <f>'MOMO,AIRTEL,CARDS'!SM7</f>
        <v/>
      </c>
      <c r="SO16" s="22">
        <f>'MOMO,AIRTEL,CARDS'!SN7</f>
        <v/>
      </c>
      <c r="SP16" s="22">
        <f>'MOMO,AIRTEL,CARDS'!SO7</f>
        <v/>
      </c>
      <c r="SQ16" s="22">
        <f>'MOMO,AIRTEL,CARDS'!SP7</f>
        <v/>
      </c>
      <c r="SR16" s="22">
        <f>'MOMO,AIRTEL,CARDS'!SQ7</f>
        <v/>
      </c>
      <c r="SS16" s="22">
        <f>'MOMO,AIRTEL,CARDS'!SR7</f>
        <v/>
      </c>
      <c r="ST16" s="22">
        <f>'MOMO,AIRTEL,CARDS'!SS7</f>
        <v/>
      </c>
      <c r="SU16" s="22">
        <f>'MOMO,AIRTEL,CARDS'!ST7</f>
        <v/>
      </c>
      <c r="SV16" s="22">
        <f>'MOMO,AIRTEL,CARDS'!SU7</f>
        <v/>
      </c>
      <c r="SW16" s="22">
        <f>'MOMO,AIRTEL,CARDS'!SV7</f>
        <v/>
      </c>
      <c r="SX16" s="22">
        <f>'MOMO,AIRTEL,CARDS'!SW7</f>
        <v/>
      </c>
      <c r="SY16" s="22">
        <f>'MOMO,AIRTEL,CARDS'!SX7</f>
        <v/>
      </c>
      <c r="SZ16" s="22">
        <f>'MOMO,AIRTEL,CARDS'!SY7</f>
        <v/>
      </c>
      <c r="TA16" s="22">
        <f>'MOMO,AIRTEL,CARDS'!SZ7</f>
        <v/>
      </c>
      <c r="TB16" s="22">
        <f>'MOMO,AIRTEL,CARDS'!TA7</f>
        <v/>
      </c>
      <c r="TC16" s="22">
        <f>'MOMO,AIRTEL,CARDS'!TB7</f>
        <v/>
      </c>
      <c r="TD16" s="22">
        <f>'MOMO,AIRTEL,CARDS'!TC7</f>
        <v/>
      </c>
      <c r="TE16" s="22">
        <f>'MOMO,AIRTEL,CARDS'!TD7</f>
        <v/>
      </c>
      <c r="TF16" s="22">
        <f>'MOMO,AIRTEL,CARDS'!TE7</f>
        <v/>
      </c>
      <c r="TG16" s="22">
        <f>'MOMO,AIRTEL,CARDS'!TF7</f>
        <v/>
      </c>
      <c r="TH16" s="22">
        <f>'MOMO,AIRTEL,CARDS'!TG7</f>
        <v/>
      </c>
      <c r="TI16" s="22">
        <f>'MOMO,AIRTEL,CARDS'!TH7</f>
        <v/>
      </c>
      <c r="TJ16" s="22">
        <f>'MOMO,AIRTEL,CARDS'!TI7</f>
        <v/>
      </c>
      <c r="TK16" s="22">
        <f>'MOMO,AIRTEL,CARDS'!TJ7</f>
        <v/>
      </c>
      <c r="TL16" s="22">
        <f>'MOMO,AIRTEL,CARDS'!TK7</f>
        <v/>
      </c>
      <c r="TM16" s="22">
        <f>'MOMO,AIRTEL,CARDS'!TL7</f>
        <v/>
      </c>
      <c r="TN16" s="22">
        <f>'MOMO,AIRTEL,CARDS'!TM7</f>
        <v/>
      </c>
      <c r="TO16" s="22">
        <f>'MOMO,AIRTEL,CARDS'!TN7</f>
        <v/>
      </c>
      <c r="TP16" s="22">
        <f>'MOMO,AIRTEL,CARDS'!TO7</f>
        <v/>
      </c>
      <c r="TQ16" s="22">
        <f>'MOMO,AIRTEL,CARDS'!TP7</f>
        <v/>
      </c>
      <c r="TR16" s="127">
        <f>SUM(SN16:TQ16)</f>
        <v/>
      </c>
      <c r="TS16" s="22">
        <f>'MOMO,AIRTEL,CARDS'!TR7</f>
        <v/>
      </c>
      <c r="TT16" s="22">
        <f>'MOMO,AIRTEL,CARDS'!TS7</f>
        <v/>
      </c>
      <c r="TU16" s="22">
        <f>'MOMO,AIRTEL,CARDS'!TT7</f>
        <v/>
      </c>
      <c r="TV16" s="22">
        <f>'MOMO,AIRTEL,CARDS'!TU7</f>
        <v/>
      </c>
      <c r="TW16" s="22">
        <f>'MOMO,AIRTEL,CARDS'!TV7</f>
        <v/>
      </c>
      <c r="TX16" s="22">
        <f>'MOMO,AIRTEL,CARDS'!TW7</f>
        <v/>
      </c>
      <c r="TY16" s="22">
        <f>'MOMO,AIRTEL,CARDS'!TX7</f>
        <v/>
      </c>
      <c r="TZ16" s="22">
        <f>'MOMO,AIRTEL,CARDS'!TY7</f>
        <v/>
      </c>
      <c r="UA16" s="22">
        <f>'MOMO,AIRTEL,CARDS'!TZ7</f>
        <v/>
      </c>
      <c r="UB16" s="22">
        <f>'MOMO,AIRTEL,CARDS'!UA7</f>
        <v/>
      </c>
      <c r="UC16" s="22">
        <f>'MOMO,AIRTEL,CARDS'!UB7</f>
        <v/>
      </c>
      <c r="UD16" s="22">
        <f>'MOMO,AIRTEL,CARDS'!UC7</f>
        <v/>
      </c>
      <c r="UE16" s="22">
        <f>'MOMO,AIRTEL,CARDS'!UD7</f>
        <v/>
      </c>
      <c r="UF16" s="22">
        <f>'MOMO,AIRTEL,CARDS'!UE7</f>
        <v/>
      </c>
      <c r="UG16" s="22">
        <f>'MOMO,AIRTEL,CARDS'!UF7</f>
        <v/>
      </c>
      <c r="UH16" s="22">
        <f>'MOMO,AIRTEL,CARDS'!UG7</f>
        <v/>
      </c>
      <c r="UI16" s="22">
        <f>'MOMO,AIRTEL,CARDS'!UH7</f>
        <v/>
      </c>
      <c r="UJ16" s="22">
        <f>'MOMO,AIRTEL,CARDS'!UI7</f>
        <v/>
      </c>
      <c r="UK16" s="22">
        <f>'MOMO,AIRTEL,CARDS'!UJ7</f>
        <v/>
      </c>
      <c r="UL16" s="22">
        <f>'MOMO,AIRTEL,CARDS'!UK7</f>
        <v/>
      </c>
      <c r="UM16" s="22">
        <f>'MOMO,AIRTEL,CARDS'!UL7</f>
        <v/>
      </c>
      <c r="UN16" s="22">
        <f>'MOMO,AIRTEL,CARDS'!UM7</f>
        <v/>
      </c>
      <c r="UO16" s="22">
        <f>'MOMO,AIRTEL,CARDS'!UN7</f>
        <v/>
      </c>
      <c r="UP16" s="22">
        <f>'MOMO,AIRTEL,CARDS'!UO7</f>
        <v/>
      </c>
      <c r="UQ16" s="22">
        <f>'MOMO,AIRTEL,CARDS'!UP7</f>
        <v/>
      </c>
      <c r="UR16" s="22">
        <f>'MOMO,AIRTEL,CARDS'!UQ7</f>
        <v/>
      </c>
      <c r="US16" s="22">
        <f>'MOMO,AIRTEL,CARDS'!UR7</f>
        <v/>
      </c>
      <c r="UT16" s="22">
        <f>'MOMO,AIRTEL,CARDS'!US7</f>
        <v/>
      </c>
      <c r="UU16" s="22">
        <f>'MOMO,AIRTEL,CARDS'!UT7</f>
        <v/>
      </c>
      <c r="UV16" s="22">
        <f>'MOMO,AIRTEL,CARDS'!UU7</f>
        <v/>
      </c>
      <c r="UW16" s="22">
        <f>'MOMO,AIRTEL,CARDS'!UV7</f>
        <v/>
      </c>
      <c r="UX16" s="127">
        <f>SUM(TT16:UW16)</f>
        <v/>
      </c>
      <c r="UY16" s="22">
        <f>'MOMO,AIRTEL,CARDS'!UX7</f>
        <v/>
      </c>
      <c r="UZ16" s="22">
        <f>'MOMO,AIRTEL,CARDS'!UY7</f>
        <v/>
      </c>
      <c r="VA16" s="22">
        <f>'MOMO,AIRTEL,CARDS'!UZ7</f>
        <v/>
      </c>
      <c r="VB16" s="22">
        <f>'MOMO,AIRTEL,CARDS'!VA7</f>
        <v/>
      </c>
      <c r="VC16" s="22">
        <f>'MOMO,AIRTEL,CARDS'!VB7</f>
        <v/>
      </c>
      <c r="VD16" s="22">
        <f>'MOMO,AIRTEL,CARDS'!VC7</f>
        <v/>
      </c>
      <c r="VE16" s="22">
        <f>'MOMO,AIRTEL,CARDS'!VD7</f>
        <v/>
      </c>
      <c r="VF16" s="22">
        <f>'MOMO,AIRTEL,CARDS'!VE7</f>
        <v/>
      </c>
      <c r="VG16" s="22">
        <f>'MOMO,AIRTEL,CARDS'!VF7</f>
        <v/>
      </c>
      <c r="VH16" s="22">
        <f>'MOMO,AIRTEL,CARDS'!VG7</f>
        <v/>
      </c>
      <c r="VI16" s="22">
        <f>'MOMO,AIRTEL,CARDS'!VH7</f>
        <v/>
      </c>
      <c r="VJ16" s="22">
        <f>'MOMO,AIRTEL,CARDS'!VI7</f>
        <v/>
      </c>
      <c r="VK16" s="22">
        <f>'MOMO,AIRTEL,CARDS'!VJ7</f>
        <v/>
      </c>
      <c r="VL16" s="22">
        <f>'MOMO,AIRTEL,CARDS'!VK7</f>
        <v/>
      </c>
      <c r="VM16" s="22">
        <f>'MOMO,AIRTEL,CARDS'!VL7</f>
        <v/>
      </c>
      <c r="VN16" s="22">
        <f>'MOMO,AIRTEL,CARDS'!VM7</f>
        <v/>
      </c>
      <c r="VO16" s="22">
        <f>'MOMO,AIRTEL,CARDS'!VN7</f>
        <v/>
      </c>
      <c r="VP16" s="22">
        <f>'MOMO,AIRTEL,CARDS'!VO7</f>
        <v/>
      </c>
      <c r="VQ16" s="22">
        <f>'MOMO,AIRTEL,CARDS'!VP7</f>
        <v/>
      </c>
      <c r="VR16" s="22">
        <f>'MOMO,AIRTEL,CARDS'!VQ7</f>
        <v/>
      </c>
      <c r="VS16" s="22">
        <f>'MOMO,AIRTEL,CARDS'!VR7</f>
        <v/>
      </c>
      <c r="VT16" s="22">
        <f>'MOMO,AIRTEL,CARDS'!VS7</f>
        <v/>
      </c>
      <c r="VU16" s="22">
        <f>'MOMO,AIRTEL,CARDS'!VT7</f>
        <v/>
      </c>
      <c r="VV16" s="22">
        <f>'MOMO,AIRTEL,CARDS'!VU7</f>
        <v/>
      </c>
      <c r="VW16" s="22">
        <f>'MOMO,AIRTEL,CARDS'!VV7</f>
        <v/>
      </c>
      <c r="VX16" s="22">
        <f>'MOMO,AIRTEL,CARDS'!VW7</f>
        <v/>
      </c>
      <c r="VY16" s="22">
        <f>'MOMO,AIRTEL,CARDS'!VX7</f>
        <v/>
      </c>
      <c r="VZ16" s="22">
        <f>'MOMO,AIRTEL,CARDS'!VY7</f>
        <v/>
      </c>
      <c r="WA16" s="127">
        <f>SUM(UY16:VZ16)</f>
        <v/>
      </c>
      <c r="WB16" s="22">
        <f>'MOMO,AIRTEL,CARDS'!WA7</f>
        <v/>
      </c>
      <c r="WC16" s="22">
        <f>'MOMO,AIRTEL,CARDS'!WB7</f>
        <v/>
      </c>
      <c r="WD16" s="22">
        <f>'MOMO,AIRTEL,CARDS'!WC7</f>
        <v/>
      </c>
      <c r="WE16" s="22">
        <f>'MOMO,AIRTEL,CARDS'!WD7</f>
        <v/>
      </c>
      <c r="WF16" s="22">
        <f>'MOMO,AIRTEL,CARDS'!WE7</f>
        <v/>
      </c>
      <c r="WG16" s="22">
        <f>'MOMO,AIRTEL,CARDS'!WF7</f>
        <v/>
      </c>
      <c r="WH16" s="22">
        <f>'MOMO,AIRTEL,CARDS'!WG7</f>
        <v/>
      </c>
      <c r="WI16" s="22">
        <f>'MOMO,AIRTEL,CARDS'!WH7</f>
        <v/>
      </c>
      <c r="WJ16" s="22">
        <f>'MOMO,AIRTEL,CARDS'!WI7</f>
        <v/>
      </c>
      <c r="WK16" s="22">
        <f>'MOMO,AIRTEL,CARDS'!WJ7</f>
        <v/>
      </c>
      <c r="WL16" s="22">
        <f>'MOMO,AIRTEL,CARDS'!WK7</f>
        <v/>
      </c>
      <c r="WM16" s="22">
        <f>'MOMO,AIRTEL,CARDS'!WL7</f>
        <v/>
      </c>
      <c r="WN16" s="22">
        <f>'MOMO,AIRTEL,CARDS'!WM7</f>
        <v/>
      </c>
      <c r="WO16" s="22">
        <f>'MOMO,AIRTEL,CARDS'!WN7</f>
        <v/>
      </c>
      <c r="WP16" s="22">
        <f>'MOMO,AIRTEL,CARDS'!WO7</f>
        <v/>
      </c>
      <c r="WQ16" s="22">
        <f>'MOMO,AIRTEL,CARDS'!WP7</f>
        <v/>
      </c>
      <c r="WR16" s="22">
        <f>'MOMO,AIRTEL,CARDS'!WQ7</f>
        <v/>
      </c>
      <c r="WS16" s="22">
        <f>'MOMO,AIRTEL,CARDS'!WR7</f>
        <v/>
      </c>
      <c r="WT16" s="22">
        <f>'MOMO,AIRTEL,CARDS'!WS7</f>
        <v/>
      </c>
      <c r="WU16" s="22">
        <f>'MOMO,AIRTEL,CARDS'!WT7</f>
        <v/>
      </c>
      <c r="WV16" s="22">
        <f>'MOMO,AIRTEL,CARDS'!WU7</f>
        <v/>
      </c>
      <c r="WW16" s="22">
        <f>'MOMO,AIRTEL,CARDS'!WV7</f>
        <v/>
      </c>
      <c r="WX16" s="22">
        <f>'MOMO,AIRTEL,CARDS'!WW7</f>
        <v/>
      </c>
      <c r="WY16" s="22">
        <f>'MOMO,AIRTEL,CARDS'!WX7</f>
        <v/>
      </c>
      <c r="WZ16" s="22">
        <f>'MOMO,AIRTEL,CARDS'!WY7</f>
        <v/>
      </c>
      <c r="XA16" s="22">
        <f>'MOMO,AIRTEL,CARDS'!WZ7</f>
        <v/>
      </c>
      <c r="XB16" s="22">
        <f>'MOMO,AIRTEL,CARDS'!XA7</f>
        <v/>
      </c>
      <c r="XC16" s="22">
        <f>'MOMO,AIRTEL,CARDS'!XB7</f>
        <v/>
      </c>
      <c r="XD16" s="22">
        <f>'MOMO,AIRTEL,CARDS'!XC7</f>
        <v/>
      </c>
      <c r="XE16" s="22">
        <f>'MOMO,AIRTEL,CARDS'!XD7</f>
        <v/>
      </c>
      <c r="XF16" s="22">
        <f>'MOMO,AIRTEL,CARDS'!XE7</f>
        <v/>
      </c>
      <c r="XG16" s="127">
        <f>SUM(WB16:XF16)</f>
        <v/>
      </c>
      <c r="XH16" s="22">
        <f>'MOMO,AIRTEL,CARDS'!XG7</f>
        <v/>
      </c>
      <c r="XI16" s="22">
        <f>'MOMO,AIRTEL,CARDS'!XH7</f>
        <v/>
      </c>
      <c r="XJ16" s="22">
        <f>'MOMO,AIRTEL,CARDS'!XI7</f>
        <v/>
      </c>
      <c r="XK16" s="22">
        <f>'MOMO,AIRTEL,CARDS'!XJ7</f>
        <v/>
      </c>
      <c r="XL16" s="22">
        <f>'MOMO,AIRTEL,CARDS'!XK7</f>
        <v/>
      </c>
      <c r="XM16" s="22">
        <f>'MOMO,AIRTEL,CARDS'!XL7</f>
        <v/>
      </c>
      <c r="XN16" s="22">
        <f>'MOMO,AIRTEL,CARDS'!XM7</f>
        <v/>
      </c>
      <c r="XO16" s="22">
        <f>'MOMO,AIRTEL,CARDS'!XN7</f>
        <v/>
      </c>
      <c r="XP16" s="22">
        <f>'MOMO,AIRTEL,CARDS'!XO7</f>
        <v/>
      </c>
      <c r="XQ16" s="22">
        <f>'MOMO,AIRTEL,CARDS'!XP7</f>
        <v/>
      </c>
      <c r="XR16" s="22">
        <f>'MOMO,AIRTEL,CARDS'!XQ7</f>
        <v/>
      </c>
      <c r="XS16" s="22">
        <f>'MOMO,AIRTEL,CARDS'!XR7</f>
        <v/>
      </c>
      <c r="XT16" s="22">
        <f>'MOMO,AIRTEL,CARDS'!XS7</f>
        <v/>
      </c>
      <c r="XU16" s="22">
        <f>'MOMO,AIRTEL,CARDS'!XT7</f>
        <v/>
      </c>
      <c r="XV16" s="22">
        <f>'MOMO,AIRTEL,CARDS'!XU7</f>
        <v/>
      </c>
      <c r="XW16" s="22">
        <f>'MOMO,AIRTEL,CARDS'!XV7</f>
        <v/>
      </c>
      <c r="XX16" s="22">
        <f>'MOMO,AIRTEL,CARDS'!XW7</f>
        <v/>
      </c>
      <c r="XY16" s="22">
        <f>'MOMO,AIRTEL,CARDS'!XX7</f>
        <v/>
      </c>
      <c r="XZ16" s="22">
        <f>'MOMO,AIRTEL,CARDS'!XY7</f>
        <v/>
      </c>
      <c r="YA16" s="22">
        <f>'MOMO,AIRTEL,CARDS'!XZ7</f>
        <v/>
      </c>
      <c r="YB16" s="22">
        <f>'MOMO,AIRTEL,CARDS'!YA7</f>
        <v/>
      </c>
      <c r="YC16" s="22">
        <f>'MOMO,AIRTEL,CARDS'!YB7</f>
        <v/>
      </c>
      <c r="YD16" s="22">
        <f>'MOMO,AIRTEL,CARDS'!YC7</f>
        <v/>
      </c>
      <c r="YE16" s="22">
        <f>'MOMO,AIRTEL,CARDS'!YD7</f>
        <v/>
      </c>
      <c r="YF16" s="22">
        <f>'MOMO,AIRTEL,CARDS'!YE7</f>
        <v/>
      </c>
      <c r="YG16" s="22">
        <f>'MOMO,AIRTEL,CARDS'!YF7</f>
        <v/>
      </c>
      <c r="YH16" s="22">
        <f>'MOMO,AIRTEL,CARDS'!YG7</f>
        <v/>
      </c>
      <c r="YI16" s="22">
        <f>'MOMO,AIRTEL,CARDS'!YH7</f>
        <v/>
      </c>
      <c r="YJ16" s="22">
        <f>'MOMO,AIRTEL,CARDS'!YI7</f>
        <v/>
      </c>
      <c r="YK16" s="22">
        <f>'MOMO,AIRTEL,CARDS'!YJ7</f>
        <v/>
      </c>
      <c r="YL16" s="127">
        <f>SUM(XH16:YK16)</f>
        <v/>
      </c>
      <c r="YM16" s="22">
        <f>'MOMO,AIRTEL,CARDS'!YL7</f>
        <v/>
      </c>
      <c r="YN16" s="22">
        <f>'MOMO,AIRTEL,CARDS'!YM7</f>
        <v/>
      </c>
      <c r="YO16" s="22">
        <f>'MOMO,AIRTEL,CARDS'!YN7</f>
        <v/>
      </c>
      <c r="YP16" s="22">
        <f>'MOMO,AIRTEL,CARDS'!YO7</f>
        <v/>
      </c>
      <c r="YQ16" s="22">
        <f>'MOMO,AIRTEL,CARDS'!YP7</f>
        <v/>
      </c>
      <c r="YR16" s="22">
        <f>'MOMO,AIRTEL,CARDS'!YQ7</f>
        <v/>
      </c>
      <c r="YS16" s="22">
        <f>'MOMO,AIRTEL,CARDS'!YR7</f>
        <v/>
      </c>
      <c r="YT16" s="22">
        <f>'MOMO,AIRTEL,CARDS'!YS7</f>
        <v/>
      </c>
      <c r="YU16" s="22">
        <f>'MOMO,AIRTEL,CARDS'!YT7</f>
        <v/>
      </c>
      <c r="YV16" s="22">
        <f>'MOMO,AIRTEL,CARDS'!YU7</f>
        <v/>
      </c>
      <c r="YW16" s="22">
        <f>'MOMO,AIRTEL,CARDS'!YV7</f>
        <v/>
      </c>
      <c r="YX16" s="22">
        <f>'MOMO,AIRTEL,CARDS'!YW7</f>
        <v/>
      </c>
      <c r="YY16" s="22">
        <f>'MOMO,AIRTEL,CARDS'!YX7</f>
        <v/>
      </c>
      <c r="YZ16" s="22">
        <f>'MOMO,AIRTEL,CARDS'!YY7</f>
        <v/>
      </c>
      <c r="ZA16" s="22">
        <f>'MOMO,AIRTEL,CARDS'!YZ7</f>
        <v/>
      </c>
      <c r="ZB16" s="22">
        <f>'MOMO,AIRTEL,CARDS'!ZA7</f>
        <v/>
      </c>
      <c r="ZC16" s="22">
        <f>'MOMO,AIRTEL,CARDS'!ZB7</f>
        <v/>
      </c>
      <c r="ZD16" s="22">
        <f>'MOMO,AIRTEL,CARDS'!ZC7</f>
        <v/>
      </c>
      <c r="ZE16" s="22">
        <f>'MOMO,AIRTEL,CARDS'!ZD7</f>
        <v/>
      </c>
      <c r="ZF16" s="22">
        <f>'MOMO,AIRTEL,CARDS'!ZE7</f>
        <v/>
      </c>
      <c r="ZG16" s="22">
        <f>'MOMO,AIRTEL,CARDS'!ZF7</f>
        <v/>
      </c>
      <c r="ZH16" s="22">
        <f>'MOMO,AIRTEL,CARDS'!ZG7</f>
        <v/>
      </c>
      <c r="ZI16" s="22">
        <f>'MOMO,AIRTEL,CARDS'!ZH7</f>
        <v/>
      </c>
      <c r="ZJ16" s="22">
        <f>'MOMO,AIRTEL,CARDS'!ZI7</f>
        <v/>
      </c>
      <c r="ZK16" s="22">
        <f>'MOMO,AIRTEL,CARDS'!ZJ7</f>
        <v/>
      </c>
      <c r="ZL16" s="22">
        <f>'MOMO,AIRTEL,CARDS'!ZK7</f>
        <v/>
      </c>
      <c r="ZM16" s="22">
        <f>'MOMO,AIRTEL,CARDS'!ZL7</f>
        <v/>
      </c>
      <c r="ZN16" s="22">
        <f>'MOMO,AIRTEL,CARDS'!ZM7</f>
        <v/>
      </c>
      <c r="ZO16" s="22">
        <f>'MOMO,AIRTEL,CARDS'!ZN7</f>
        <v/>
      </c>
      <c r="ZP16" s="22">
        <f>'MOMO,AIRTEL,CARDS'!ZO7</f>
        <v/>
      </c>
      <c r="ZQ16" s="22">
        <f>'MOMO,AIRTEL,CARDS'!ZP7</f>
        <v/>
      </c>
      <c r="ZR16" s="127">
        <f>SUM(YM16:ZQ16)</f>
        <v/>
      </c>
      <c r="ZS16" s="22">
        <f>'MOMO,AIRTEL,CARDS'!ZR7</f>
        <v/>
      </c>
      <c r="ZT16" s="22">
        <f>'MOMO,AIRTEL,CARDS'!ZS7</f>
        <v/>
      </c>
      <c r="ZU16" s="22">
        <f>'MOMO,AIRTEL,CARDS'!ZT7</f>
        <v/>
      </c>
      <c r="ZV16" s="22">
        <f>'MOMO,AIRTEL,CARDS'!ZU7</f>
        <v/>
      </c>
      <c r="ZW16" s="22">
        <f>'MOMO,AIRTEL,CARDS'!ZV7</f>
        <v/>
      </c>
      <c r="ZX16" s="22">
        <f>'MOMO,AIRTEL,CARDS'!ZW7</f>
        <v/>
      </c>
      <c r="ZY16" s="22">
        <f>'MOMO,AIRTEL,CARDS'!ZX7</f>
        <v/>
      </c>
      <c r="ZZ16" s="22">
        <f>'MOMO,AIRTEL,CARDS'!ZY7</f>
        <v/>
      </c>
      <c r="AAA16" s="22">
        <f>'MOMO,AIRTEL,CARDS'!ZZ7</f>
        <v/>
      </c>
      <c r="AAB16" s="22">
        <f>'MOMO,AIRTEL,CARDS'!AAA7</f>
        <v/>
      </c>
      <c r="AAC16" s="22">
        <f>'MOMO,AIRTEL,CARDS'!AAB7</f>
        <v/>
      </c>
      <c r="AAD16" s="22">
        <f>'MOMO,AIRTEL,CARDS'!AAC7</f>
        <v/>
      </c>
      <c r="AAE16" s="22">
        <f>'MOMO,AIRTEL,CARDS'!AAD7</f>
        <v/>
      </c>
      <c r="AAF16" s="22">
        <f>'MOMO,AIRTEL,CARDS'!AAE7</f>
        <v/>
      </c>
      <c r="AAG16" s="22">
        <f>'MOMO,AIRTEL,CARDS'!AAF7</f>
        <v/>
      </c>
      <c r="AAH16" s="22">
        <f>'MOMO,AIRTEL,CARDS'!AAG7</f>
        <v/>
      </c>
      <c r="AAI16" s="22">
        <f>'MOMO,AIRTEL,CARDS'!AAH7</f>
        <v/>
      </c>
      <c r="AAJ16" s="22">
        <f>'MOMO,AIRTEL,CARDS'!AAI7</f>
        <v/>
      </c>
      <c r="AAK16" s="22">
        <f>'MOMO,AIRTEL,CARDS'!AAJ7</f>
        <v/>
      </c>
      <c r="AAL16" s="22">
        <f>'MOMO,AIRTEL,CARDS'!AAK7</f>
        <v/>
      </c>
      <c r="AAM16" s="22">
        <f>'MOMO,AIRTEL,CARDS'!AAL7</f>
        <v/>
      </c>
      <c r="AAN16" s="22">
        <f>'MOMO,AIRTEL,CARDS'!AAM7</f>
        <v/>
      </c>
      <c r="AAO16" s="22">
        <f>'MOMO,AIRTEL,CARDS'!AAN7</f>
        <v/>
      </c>
      <c r="AAP16" s="22">
        <f>'MOMO,AIRTEL,CARDS'!AAO7</f>
        <v/>
      </c>
      <c r="AAQ16" s="22">
        <f>'MOMO,AIRTEL,CARDS'!AAP7</f>
        <v/>
      </c>
      <c r="AAR16" s="22">
        <f>'MOMO,AIRTEL,CARDS'!AAQ7</f>
        <v/>
      </c>
      <c r="AAS16" s="22">
        <f>'MOMO,AIRTEL,CARDS'!AAR7</f>
        <v/>
      </c>
      <c r="AAT16" s="22">
        <f>'MOMO,AIRTEL,CARDS'!AAS7</f>
        <v/>
      </c>
      <c r="AAU16" s="22">
        <f>'MOMO,AIRTEL,CARDS'!AAT7</f>
        <v/>
      </c>
      <c r="AAV16" s="22">
        <f>'MOMO,AIRTEL,CARDS'!AAU7</f>
        <v/>
      </c>
      <c r="AAW16" s="127">
        <f>SUM(ZS16:AAV16)</f>
        <v/>
      </c>
      <c r="AAX16" s="22">
        <f>'MOMO,AIRTEL,CARDS'!AAW7</f>
        <v/>
      </c>
      <c r="AAY16" s="22">
        <f>'MOMO,AIRTEL,CARDS'!AAX7</f>
        <v/>
      </c>
      <c r="AAZ16" s="22">
        <f>'MOMO,AIRTEL,CARDS'!AAY7</f>
        <v/>
      </c>
      <c r="ABA16" s="22">
        <f>'MOMO,AIRTEL,CARDS'!AAZ7</f>
        <v/>
      </c>
      <c r="ABB16" s="22">
        <f>'MOMO,AIRTEL,CARDS'!ABA7</f>
        <v/>
      </c>
      <c r="ABC16" s="22">
        <f>'MOMO,AIRTEL,CARDS'!ABB7</f>
        <v/>
      </c>
      <c r="ABD16" s="22">
        <f>'MOMO,AIRTEL,CARDS'!ABC7</f>
        <v/>
      </c>
      <c r="ABE16" s="22">
        <f>'MOMO,AIRTEL,CARDS'!ABD7</f>
        <v/>
      </c>
      <c r="ABF16" s="22">
        <f>'MOMO,AIRTEL,CARDS'!ABE7</f>
        <v/>
      </c>
      <c r="ABG16" s="22">
        <f>'MOMO,AIRTEL,CARDS'!ABF7</f>
        <v/>
      </c>
      <c r="ABH16" s="22">
        <f>'MOMO,AIRTEL,CARDS'!ABG7</f>
        <v/>
      </c>
      <c r="ABI16" s="22">
        <f>'MOMO,AIRTEL,CARDS'!ABH7</f>
        <v/>
      </c>
      <c r="ABJ16" s="22">
        <f>'MOMO,AIRTEL,CARDS'!ABI7</f>
        <v/>
      </c>
      <c r="ABK16" s="22">
        <f>'MOMO,AIRTEL,CARDS'!ABJ7</f>
        <v/>
      </c>
      <c r="ABL16" s="22">
        <f>'MOMO,AIRTEL,CARDS'!ABK7</f>
        <v/>
      </c>
      <c r="ABM16" s="22">
        <f>'MOMO,AIRTEL,CARDS'!ABL7</f>
        <v/>
      </c>
      <c r="ABN16" s="22">
        <f>'MOMO,AIRTEL,CARDS'!ABM7</f>
        <v/>
      </c>
      <c r="ABO16" s="22">
        <f>'MOMO,AIRTEL,CARDS'!ABN7</f>
        <v/>
      </c>
      <c r="ABP16" s="22">
        <f>'MOMO,AIRTEL,CARDS'!ABO7</f>
        <v/>
      </c>
      <c r="ABQ16" s="22">
        <f>'MOMO,AIRTEL,CARDS'!ABP7</f>
        <v/>
      </c>
      <c r="ABR16" s="22">
        <f>'MOMO,AIRTEL,CARDS'!ABQ7</f>
        <v/>
      </c>
      <c r="ABS16" s="22">
        <f>'MOMO,AIRTEL,CARDS'!ABR7</f>
        <v/>
      </c>
      <c r="ABT16" s="22">
        <f>'MOMO,AIRTEL,CARDS'!ABS7</f>
        <v/>
      </c>
      <c r="ABU16" s="22">
        <f>'MOMO,AIRTEL,CARDS'!ABT7</f>
        <v/>
      </c>
      <c r="ABV16" s="22">
        <f>'MOMO,AIRTEL,CARDS'!ABU7</f>
        <v/>
      </c>
      <c r="ABW16" s="22">
        <f>'MOMO,AIRTEL,CARDS'!ABV7</f>
        <v/>
      </c>
      <c r="ABX16" s="22">
        <f>'MOMO,AIRTEL,CARDS'!ABW7</f>
        <v/>
      </c>
      <c r="ABY16" s="22">
        <f>'MOMO,AIRTEL,CARDS'!ABX7</f>
        <v/>
      </c>
      <c r="ABZ16" s="22">
        <f>'MOMO,AIRTEL,CARDS'!ABY7</f>
        <v/>
      </c>
      <c r="ACA16" s="22">
        <f>'MOMO,AIRTEL,CARDS'!ABZ7</f>
        <v/>
      </c>
      <c r="ACB16" s="22">
        <f>'MOMO,AIRTEL,CARDS'!ACA7</f>
        <v/>
      </c>
      <c r="ACC16" s="127">
        <f>SUM(AAX16:ACB16)</f>
        <v/>
      </c>
      <c r="ACD16" s="22">
        <f>'MOMO,AIRTEL,CARDS'!ACC7</f>
        <v/>
      </c>
      <c r="ACE16" s="22">
        <f>'MOMO,AIRTEL,CARDS'!ACD7</f>
        <v/>
      </c>
      <c r="ACF16" s="22">
        <f>'MOMO,AIRTEL,CARDS'!ACE7</f>
        <v/>
      </c>
      <c r="ACG16" s="22">
        <f>'MOMO,AIRTEL,CARDS'!ACF7</f>
        <v/>
      </c>
      <c r="ACH16" s="22">
        <f>'MOMO,AIRTEL,CARDS'!ACG7</f>
        <v/>
      </c>
      <c r="ACI16" s="22">
        <f>'MOMO,AIRTEL,CARDS'!ACH7</f>
        <v/>
      </c>
      <c r="ACJ16" s="22">
        <f>'MOMO,AIRTEL,CARDS'!ACI7</f>
        <v/>
      </c>
      <c r="ACK16" s="22">
        <f>'MOMO,AIRTEL,CARDS'!ACJ7</f>
        <v/>
      </c>
      <c r="ACL16" s="22">
        <f>'MOMO,AIRTEL,CARDS'!ACK7</f>
        <v/>
      </c>
      <c r="ACM16" s="22">
        <f>'MOMO,AIRTEL,CARDS'!ACL7</f>
        <v/>
      </c>
      <c r="ACN16" s="22">
        <f>'MOMO,AIRTEL,CARDS'!ACM7</f>
        <v/>
      </c>
      <c r="ACO16" s="22">
        <f>'MOMO,AIRTEL,CARDS'!ACN7</f>
        <v/>
      </c>
      <c r="ACP16" s="22">
        <f>'MOMO,AIRTEL,CARDS'!ACO7</f>
        <v/>
      </c>
      <c r="ACQ16" s="22">
        <f>'MOMO,AIRTEL,CARDS'!ACP7</f>
        <v/>
      </c>
      <c r="ACR16" s="22">
        <f>'MOMO,AIRTEL,CARDS'!ACQ7</f>
        <v/>
      </c>
      <c r="ACS16" s="22">
        <f>'MOMO,AIRTEL,CARDS'!ACR7</f>
        <v/>
      </c>
      <c r="ACT16" s="22">
        <f>'MOMO,AIRTEL,CARDS'!ACS7</f>
        <v/>
      </c>
      <c r="ACU16" s="22">
        <f>'MOMO,AIRTEL,CARDS'!ACT7</f>
        <v/>
      </c>
      <c r="ACV16" s="22">
        <f>'MOMO,AIRTEL,CARDS'!ACU7</f>
        <v/>
      </c>
      <c r="ACW16" s="22">
        <f>'MOMO,AIRTEL,CARDS'!ACV7</f>
        <v/>
      </c>
      <c r="ACX16" s="22">
        <f>'MOMO,AIRTEL,CARDS'!ACW7</f>
        <v/>
      </c>
      <c r="ACY16" s="22">
        <f>'MOMO,AIRTEL,CARDS'!ACX7</f>
        <v/>
      </c>
      <c r="ACZ16" s="22">
        <f>'MOMO,AIRTEL,CARDS'!ACY7</f>
        <v/>
      </c>
      <c r="ADA16" s="22">
        <f>'MOMO,AIRTEL,CARDS'!ACZ7</f>
        <v/>
      </c>
      <c r="ADB16" s="22">
        <f>'MOMO,AIRTEL,CARDS'!ADA7</f>
        <v/>
      </c>
      <c r="ADC16" s="22">
        <f>'MOMO,AIRTEL,CARDS'!ADB7</f>
        <v/>
      </c>
      <c r="ADD16" s="22">
        <f>'MOMO,AIRTEL,CARDS'!ADC7</f>
        <v/>
      </c>
      <c r="ADE16" s="22">
        <f>'MOMO,AIRTEL,CARDS'!ADD7</f>
        <v/>
      </c>
      <c r="ADF16" s="22">
        <f>'MOMO,AIRTEL,CARDS'!ADE7</f>
        <v/>
      </c>
      <c r="ADG16" s="22">
        <f>'MOMO,AIRTEL,CARDS'!ADF7</f>
        <v/>
      </c>
      <c r="ADH16" s="22">
        <f>'MOMO,AIRTEL,CARDS'!ADG7</f>
        <v/>
      </c>
      <c r="ADI16" s="127">
        <f>SUM(ACD16:ADH16)</f>
        <v/>
      </c>
      <c r="ADJ16" s="22">
        <f>'MOMO,AIRTEL,CARDS'!ADI7</f>
        <v/>
      </c>
      <c r="ADK16" s="22">
        <f>'MOMO,AIRTEL,CARDS'!ADJ7</f>
        <v/>
      </c>
      <c r="ADL16" s="22">
        <f>'MOMO,AIRTEL,CARDS'!ADK7</f>
        <v/>
      </c>
      <c r="ADM16" s="22">
        <f>'MOMO,AIRTEL,CARDS'!ADL7</f>
        <v/>
      </c>
      <c r="ADN16" s="22">
        <f>'MOMO,AIRTEL,CARDS'!ADM7</f>
        <v/>
      </c>
      <c r="ADO16" s="22">
        <f>'MOMO,AIRTEL,CARDS'!ADN7</f>
        <v/>
      </c>
      <c r="ADP16" s="22">
        <f>'MOMO,AIRTEL,CARDS'!ADO7</f>
        <v/>
      </c>
      <c r="ADQ16" s="22">
        <f>'MOMO,AIRTEL,CARDS'!ADP7</f>
        <v/>
      </c>
      <c r="ADR16" s="22">
        <f>'MOMO,AIRTEL,CARDS'!ADQ7</f>
        <v/>
      </c>
      <c r="ADS16" s="22">
        <f>'MOMO,AIRTEL,CARDS'!ADR7</f>
        <v/>
      </c>
      <c r="ADT16" s="22">
        <f>'MOMO,AIRTEL,CARDS'!ADS7</f>
        <v/>
      </c>
      <c r="ADU16" s="22">
        <f>'MOMO,AIRTEL,CARDS'!ADT7</f>
        <v/>
      </c>
      <c r="ADV16" s="22">
        <f>'MOMO,AIRTEL,CARDS'!ADU7</f>
        <v/>
      </c>
      <c r="ADW16" s="22">
        <f>'MOMO,AIRTEL,CARDS'!ADV7</f>
        <v/>
      </c>
      <c r="ADX16" s="22">
        <f>'MOMO,AIRTEL,CARDS'!ADW7</f>
        <v/>
      </c>
      <c r="ADY16" s="22">
        <f>'MOMO,AIRTEL,CARDS'!ADX7</f>
        <v/>
      </c>
      <c r="ADZ16" s="22">
        <f>'MOMO,AIRTEL,CARDS'!ADY7</f>
        <v/>
      </c>
      <c r="AEA16" s="22">
        <f>'MOMO,AIRTEL,CARDS'!ADZ7</f>
        <v/>
      </c>
      <c r="AEB16" s="22">
        <f>'MOMO,AIRTEL,CARDS'!AEA7</f>
        <v/>
      </c>
      <c r="AEC16" s="22">
        <f>'MOMO,AIRTEL,CARDS'!AEB7</f>
        <v/>
      </c>
      <c r="AED16" s="22">
        <f>'MOMO,AIRTEL,CARDS'!AEC7</f>
        <v/>
      </c>
      <c r="AEE16" s="22">
        <f>'MOMO,AIRTEL,CARDS'!AED7</f>
        <v/>
      </c>
      <c r="AEF16" s="22">
        <f>'MOMO,AIRTEL,CARDS'!AEE7</f>
        <v/>
      </c>
      <c r="AEG16" s="22">
        <f>'MOMO,AIRTEL,CARDS'!AEF7</f>
        <v/>
      </c>
      <c r="AEH16" s="22">
        <f>'MOMO,AIRTEL,CARDS'!AEG7</f>
        <v/>
      </c>
      <c r="AEI16" s="22">
        <f>'MOMO,AIRTEL,CARDS'!AEH7</f>
        <v/>
      </c>
      <c r="AEJ16" s="22">
        <f>'MOMO,AIRTEL,CARDS'!AEI7</f>
        <v/>
      </c>
      <c r="AEK16" s="22">
        <f>'MOMO,AIRTEL,CARDS'!AEJ7</f>
        <v/>
      </c>
      <c r="AEL16" s="22">
        <f>'MOMO,AIRTEL,CARDS'!AEK7</f>
        <v/>
      </c>
      <c r="AEM16" s="22">
        <f>'MOMO,AIRTEL,CARDS'!AEL7</f>
        <v/>
      </c>
      <c r="AEN16" s="127">
        <f>SUM(ADJ16:AEM16)</f>
        <v/>
      </c>
      <c r="AEO16" s="22">
        <f>'MOMO,AIRTEL,CARDS'!AEN7</f>
        <v/>
      </c>
      <c r="AEP16" s="22">
        <f>'MOMO,AIRTEL,CARDS'!AEO7</f>
        <v/>
      </c>
      <c r="AEQ16" s="22">
        <f>'MOMO,AIRTEL,CARDS'!AEP7</f>
        <v/>
      </c>
      <c r="AER16" s="22">
        <f>'MOMO,AIRTEL,CARDS'!AEQ7</f>
        <v/>
      </c>
      <c r="AES16" s="22">
        <f>'MOMO,AIRTEL,CARDS'!AER7</f>
        <v/>
      </c>
      <c r="AET16" s="22">
        <f>'MOMO,AIRTEL,CARDS'!AES7</f>
        <v/>
      </c>
      <c r="AEU16" s="22">
        <f>'MOMO,AIRTEL,CARDS'!AET7</f>
        <v/>
      </c>
      <c r="AEV16" s="22">
        <f>'MOMO,AIRTEL,CARDS'!AEU7</f>
        <v/>
      </c>
      <c r="AEW16" s="22">
        <f>'MOMO,AIRTEL,CARDS'!AEV7</f>
        <v/>
      </c>
      <c r="AEX16" s="22">
        <f>'MOMO,AIRTEL,CARDS'!AEW7</f>
        <v/>
      </c>
      <c r="AEY16" s="22">
        <f>'MOMO,AIRTEL,CARDS'!AEX7</f>
        <v/>
      </c>
      <c r="AEZ16" s="22">
        <f>'MOMO,AIRTEL,CARDS'!AEY7</f>
        <v/>
      </c>
      <c r="AFA16" s="22">
        <f>'MOMO,AIRTEL,CARDS'!AEZ7</f>
        <v/>
      </c>
      <c r="AFB16" s="22">
        <f>'MOMO,AIRTEL,CARDS'!AFA7</f>
        <v/>
      </c>
      <c r="AFC16" s="22">
        <f>'MOMO,AIRTEL,CARDS'!AFB7</f>
        <v/>
      </c>
      <c r="AFD16" s="22">
        <f>'MOMO,AIRTEL,CARDS'!AFC7</f>
        <v/>
      </c>
      <c r="AFE16" s="22">
        <f>'MOMO,AIRTEL,CARDS'!AFD7</f>
        <v/>
      </c>
      <c r="AFF16" s="22">
        <f>'MOMO,AIRTEL,CARDS'!AFE7</f>
        <v/>
      </c>
      <c r="AFG16" s="22">
        <f>'MOMO,AIRTEL,CARDS'!AFF7</f>
        <v/>
      </c>
      <c r="AFH16" s="22">
        <f>'MOMO,AIRTEL,CARDS'!AFG7</f>
        <v/>
      </c>
      <c r="AFI16" s="22">
        <f>'MOMO,AIRTEL,CARDS'!AFH7</f>
        <v/>
      </c>
      <c r="AFJ16" s="22">
        <f>'MOMO,AIRTEL,CARDS'!AFI7</f>
        <v/>
      </c>
      <c r="AFK16" s="22">
        <f>'MOMO,AIRTEL,CARDS'!AFJ7</f>
        <v/>
      </c>
      <c r="AFL16" s="22">
        <f>'MOMO,AIRTEL,CARDS'!AFK7</f>
        <v/>
      </c>
      <c r="AFM16" s="22">
        <f>'MOMO,AIRTEL,CARDS'!AFL7</f>
        <v/>
      </c>
      <c r="AFN16" s="22">
        <f>'MOMO,AIRTEL,CARDS'!AFM7</f>
        <v/>
      </c>
      <c r="AFO16" s="22">
        <f>'MOMO,AIRTEL,CARDS'!AFN7</f>
        <v/>
      </c>
      <c r="AFP16" s="22">
        <f>'MOMO,AIRTEL,CARDS'!AFO7</f>
        <v/>
      </c>
      <c r="AFQ16" s="22">
        <f>'MOMO,AIRTEL,CARDS'!AFP7</f>
        <v/>
      </c>
      <c r="AFR16" s="22">
        <f>'MOMO,AIRTEL,CARDS'!AFQ7</f>
        <v/>
      </c>
      <c r="AFS16" s="22">
        <f>'MOMO,AIRTEL,CARDS'!AFR7</f>
        <v/>
      </c>
      <c r="AFT16" s="127">
        <f>SUM(AEO16:AFS16)</f>
        <v/>
      </c>
      <c r="AFU16" s="22">
        <f>'MOMO,AIRTEL,CARDS'!AFT7</f>
        <v/>
      </c>
      <c r="AFV16" s="22">
        <f>'MOMO,AIRTEL,CARDS'!AFU7</f>
        <v/>
      </c>
      <c r="AFW16" s="22">
        <f>'MOMO,AIRTEL,CARDS'!AFV7</f>
        <v/>
      </c>
      <c r="AFX16" s="22">
        <f>'MOMO,AIRTEL,CARDS'!AFW7</f>
        <v/>
      </c>
      <c r="AFY16" s="22">
        <f>'MOMO,AIRTEL,CARDS'!AFX7</f>
        <v/>
      </c>
      <c r="AFZ16" s="22">
        <f>'MOMO,AIRTEL,CARDS'!AFY7</f>
        <v/>
      </c>
      <c r="AGA16" s="22">
        <f>'MOMO,AIRTEL,CARDS'!AFZ7</f>
        <v/>
      </c>
      <c r="AGB16" s="22">
        <f>'MOMO,AIRTEL,CARDS'!AGA7</f>
        <v/>
      </c>
      <c r="AGC16" s="22">
        <f>'MOMO,AIRTEL,CARDS'!AGB7</f>
        <v/>
      </c>
      <c r="AGD16" s="22">
        <f>'MOMO,AIRTEL,CARDS'!AGC7</f>
        <v/>
      </c>
      <c r="AGE16" s="22">
        <f>'MOMO,AIRTEL,CARDS'!AGD7</f>
        <v/>
      </c>
      <c r="AGF16" s="22">
        <f>'MOMO,AIRTEL,CARDS'!AGE7</f>
        <v/>
      </c>
      <c r="AGG16" s="22">
        <f>'MOMO,AIRTEL,CARDS'!AGF7</f>
        <v/>
      </c>
      <c r="AGH16" s="22">
        <f>'MOMO,AIRTEL,CARDS'!AGG7</f>
        <v/>
      </c>
      <c r="AGI16" s="22">
        <f>'MOMO,AIRTEL,CARDS'!AGH7</f>
        <v/>
      </c>
      <c r="AGJ16" s="22">
        <f>'MOMO,AIRTEL,CARDS'!AGI7</f>
        <v/>
      </c>
      <c r="AGK16" s="22">
        <f>'MOMO,AIRTEL,CARDS'!AGJ7</f>
        <v/>
      </c>
      <c r="AGL16" s="22">
        <f>'MOMO,AIRTEL,CARDS'!AGK7</f>
        <v/>
      </c>
      <c r="AGM16" s="22">
        <f>'MOMO,AIRTEL,CARDS'!AGL7</f>
        <v/>
      </c>
      <c r="AGN16" s="22">
        <f>'MOMO,AIRTEL,CARDS'!AGM7</f>
        <v/>
      </c>
      <c r="AGO16" s="22">
        <f>'MOMO,AIRTEL,CARDS'!AGN7</f>
        <v/>
      </c>
      <c r="AGP16" s="22">
        <f>'MOMO,AIRTEL,CARDS'!AGO7</f>
        <v/>
      </c>
      <c r="AGQ16" s="22">
        <f>'MOMO,AIRTEL,CARDS'!AGP7</f>
        <v/>
      </c>
      <c r="AGR16" s="22">
        <f>'MOMO,AIRTEL,CARDS'!AGQ7</f>
        <v/>
      </c>
      <c r="AGS16" s="22">
        <f>'MOMO,AIRTEL,CARDS'!AGR7</f>
        <v/>
      </c>
      <c r="AGT16" s="22">
        <f>'MOMO,AIRTEL,CARDS'!AGS7</f>
        <v/>
      </c>
      <c r="AGU16" s="22">
        <f>'MOMO,AIRTEL,CARDS'!AGT7</f>
        <v/>
      </c>
      <c r="AGV16" s="22">
        <f>'MOMO,AIRTEL,CARDS'!AGU7</f>
        <v/>
      </c>
      <c r="AGW16" s="22">
        <f>'MOMO,AIRTEL,CARDS'!AGV7</f>
        <v/>
      </c>
      <c r="AGX16" s="22">
        <f>'MOMO,AIRTEL,CARDS'!AGW7</f>
        <v/>
      </c>
      <c r="AGY16" s="127">
        <f>SUM(AFU16:AGX16)</f>
        <v/>
      </c>
      <c r="AGZ16" s="22">
        <f>'MOMO,AIRTEL,CARDS'!AGY7</f>
        <v/>
      </c>
      <c r="AHA16" s="22">
        <f>'MOMO,AIRTEL,CARDS'!AGZ7</f>
        <v/>
      </c>
      <c r="AHB16" s="22">
        <f>'MOMO,AIRTEL,CARDS'!AHA7</f>
        <v/>
      </c>
      <c r="AHC16" s="22">
        <f>'MOMO,AIRTEL,CARDS'!AHB7</f>
        <v/>
      </c>
      <c r="AHD16" s="22">
        <f>'MOMO,AIRTEL,CARDS'!AHC7</f>
        <v/>
      </c>
      <c r="AHE16" s="22">
        <f>'MOMO,AIRTEL,CARDS'!AHD7</f>
        <v/>
      </c>
      <c r="AHF16" s="22">
        <f>'MOMO,AIRTEL,CARDS'!AHE7</f>
        <v/>
      </c>
      <c r="AHG16" s="22">
        <f>'MOMO,AIRTEL,CARDS'!AHF7</f>
        <v/>
      </c>
      <c r="AHH16" s="22">
        <f>'MOMO,AIRTEL,CARDS'!AHG7</f>
        <v/>
      </c>
      <c r="AHI16" s="22">
        <f>'MOMO,AIRTEL,CARDS'!AHH7</f>
        <v/>
      </c>
      <c r="AHJ16" s="22">
        <f>'MOMO,AIRTEL,CARDS'!AHI7</f>
        <v/>
      </c>
      <c r="AHK16" s="22">
        <f>'MOMO,AIRTEL,CARDS'!AHJ7</f>
        <v/>
      </c>
      <c r="AHL16" s="22">
        <f>'MOMO,AIRTEL,CARDS'!AHK7</f>
        <v/>
      </c>
      <c r="AHM16" s="22">
        <f>'MOMO,AIRTEL,CARDS'!AHL7</f>
        <v/>
      </c>
      <c r="AHN16" s="22">
        <f>'MOMO,AIRTEL,CARDS'!AHM7</f>
        <v/>
      </c>
      <c r="AHO16" s="22">
        <f>'MOMO,AIRTEL,CARDS'!AHN7</f>
        <v/>
      </c>
      <c r="AHP16" s="22">
        <f>'MOMO,AIRTEL,CARDS'!AHO7</f>
        <v/>
      </c>
      <c r="AHQ16" s="22">
        <f>'MOMO,AIRTEL,CARDS'!AHP7</f>
        <v/>
      </c>
      <c r="AHR16" s="22">
        <f>'MOMO,AIRTEL,CARDS'!AHQ7</f>
        <v/>
      </c>
      <c r="AHS16" s="22">
        <f>'MOMO,AIRTEL,CARDS'!AHR7</f>
        <v/>
      </c>
      <c r="AHT16" s="22">
        <f>'MOMO,AIRTEL,CARDS'!AHS7</f>
        <v/>
      </c>
      <c r="AHU16" s="22">
        <f>'MOMO,AIRTEL,CARDS'!AHT7</f>
        <v/>
      </c>
      <c r="AHV16" s="22">
        <f>'MOMO,AIRTEL,CARDS'!AHU7</f>
        <v/>
      </c>
      <c r="AHW16" s="22">
        <f>'MOMO,AIRTEL,CARDS'!AHV7</f>
        <v/>
      </c>
      <c r="AHX16" s="22">
        <f>'MOMO,AIRTEL,CARDS'!AHW7</f>
        <v/>
      </c>
      <c r="AHY16" s="22">
        <f>'MOMO,AIRTEL,CARDS'!AHX7</f>
        <v/>
      </c>
      <c r="AHZ16" s="22">
        <f>'MOMO,AIRTEL,CARDS'!AHY7</f>
        <v/>
      </c>
      <c r="AIA16" s="22">
        <f>'MOMO,AIRTEL,CARDS'!AHZ7</f>
        <v/>
      </c>
      <c r="AIB16" s="22">
        <f>'MOMO,AIRTEL,CARDS'!AIA7</f>
        <v/>
      </c>
      <c r="AIC16" s="22">
        <f>'MOMO,AIRTEL,CARDS'!AIB7</f>
        <v/>
      </c>
      <c r="AID16" s="22">
        <f>'MOMO,AIRTEL,CARDS'!AIC7</f>
        <v/>
      </c>
      <c r="AIE16" s="127">
        <f>SUM(AGZ16:AID16)</f>
        <v/>
      </c>
      <c r="AIF16" s="22">
        <f>'MOMO,AIRTEL,CARDS'!AIE7</f>
        <v/>
      </c>
      <c r="AIG16" s="22">
        <f>'MOMO,AIRTEL,CARDS'!AIF7</f>
        <v/>
      </c>
      <c r="AIH16" s="22">
        <f>'MOMO,AIRTEL,CARDS'!AIG7</f>
        <v/>
      </c>
      <c r="AII16" s="22">
        <f>'MOMO,AIRTEL,CARDS'!AIH7</f>
        <v/>
      </c>
      <c r="AIJ16" s="22">
        <f>'MOMO,AIRTEL,CARDS'!AII7</f>
        <v/>
      </c>
      <c r="AIK16" s="22">
        <f>'MOMO,AIRTEL,CARDS'!AIJ7</f>
        <v/>
      </c>
      <c r="AIL16" s="22">
        <f>'MOMO,AIRTEL,CARDS'!AIK7</f>
        <v/>
      </c>
      <c r="AIM16" s="22">
        <f>'MOMO,AIRTEL,CARDS'!AIL7</f>
        <v/>
      </c>
      <c r="AIN16" s="22">
        <f>'MOMO,AIRTEL,CARDS'!AIM7</f>
        <v/>
      </c>
      <c r="AIO16" s="22">
        <f>'MOMO,AIRTEL,CARDS'!AIN7</f>
        <v/>
      </c>
      <c r="AIP16" s="22">
        <f>'MOMO,AIRTEL,CARDS'!AIO7</f>
        <v/>
      </c>
      <c r="AIQ16" s="22">
        <f>'MOMO,AIRTEL,CARDS'!AIP7</f>
        <v/>
      </c>
      <c r="AIR16" s="22">
        <f>'MOMO,AIRTEL,CARDS'!AIQ7</f>
        <v/>
      </c>
      <c r="AIS16" s="22">
        <f>'MOMO,AIRTEL,CARDS'!AIR7</f>
        <v/>
      </c>
      <c r="AIT16" s="22">
        <f>'MOMO,AIRTEL,CARDS'!AIS7</f>
        <v/>
      </c>
      <c r="AIU16" s="22">
        <f>'MOMO,AIRTEL,CARDS'!AIT7</f>
        <v/>
      </c>
      <c r="AIV16" s="22">
        <f>'MOMO,AIRTEL,CARDS'!AIU7</f>
        <v/>
      </c>
      <c r="AIW16" s="22">
        <f>'MOMO,AIRTEL,CARDS'!AIV7</f>
        <v/>
      </c>
      <c r="AIX16" s="22">
        <f>'MOMO,AIRTEL,CARDS'!AIW7</f>
        <v/>
      </c>
      <c r="AIY16" s="22">
        <f>'MOMO,AIRTEL,CARDS'!AIX7</f>
        <v/>
      </c>
      <c r="AIZ16" s="22">
        <f>'MOMO,AIRTEL,CARDS'!AIY7</f>
        <v/>
      </c>
      <c r="AJA16" s="22">
        <f>'MOMO,AIRTEL,CARDS'!AIZ7</f>
        <v/>
      </c>
      <c r="AJB16" s="22">
        <f>'MOMO,AIRTEL,CARDS'!AJA7</f>
        <v/>
      </c>
      <c r="AJC16" s="22">
        <f>'MOMO,AIRTEL,CARDS'!AJB7</f>
        <v/>
      </c>
      <c r="AJD16" s="22">
        <f>'MOMO,AIRTEL,CARDS'!AJC7</f>
        <v/>
      </c>
      <c r="AJE16" s="22">
        <f>'MOMO,AIRTEL,CARDS'!AJD7</f>
        <v/>
      </c>
      <c r="AJF16" s="22">
        <f>'MOMO,AIRTEL,CARDS'!AJE7</f>
        <v/>
      </c>
      <c r="AJG16" s="22">
        <f>'MOMO,AIRTEL,CARDS'!AJF7</f>
        <v/>
      </c>
      <c r="AJH16" s="22">
        <f>'MOMO,AIRTEL,CARDS'!AJG7</f>
        <v/>
      </c>
      <c r="AJI16" s="22">
        <f>'MOMO,AIRTEL,CARDS'!AJH7</f>
        <v/>
      </c>
      <c r="AJJ16" s="22">
        <f>'MOMO,AIRTEL,CARDS'!AJI7</f>
        <v/>
      </c>
      <c r="AJK16" s="127">
        <f>SUM(AIF16:AJJ16)</f>
        <v/>
      </c>
      <c r="AJL16" s="22">
        <f>'MOMO,AIRTEL,CARDS'!AJK7</f>
        <v/>
      </c>
      <c r="AJM16" s="22">
        <f>'MOMO,AIRTEL,CARDS'!AJL7</f>
        <v/>
      </c>
      <c r="AJN16" s="22">
        <f>'MOMO,AIRTEL,CARDS'!AJM7</f>
        <v/>
      </c>
      <c r="AJO16" s="22">
        <f>'MOMO,AIRTEL,CARDS'!AJN7</f>
        <v/>
      </c>
      <c r="AJP16" s="22">
        <f>'MOMO,AIRTEL,CARDS'!AJO7</f>
        <v/>
      </c>
      <c r="AJQ16" s="22">
        <f>'MOMO,AIRTEL,CARDS'!AJP7</f>
        <v/>
      </c>
      <c r="AJR16" s="22">
        <f>'MOMO,AIRTEL,CARDS'!AJQ7</f>
        <v/>
      </c>
      <c r="AJS16" s="22">
        <f>'MOMO,AIRTEL,CARDS'!AJR7</f>
        <v/>
      </c>
      <c r="AJT16" s="22">
        <f>'MOMO,AIRTEL,CARDS'!AJS7</f>
        <v/>
      </c>
      <c r="AJU16" s="22">
        <f>'MOMO,AIRTEL,CARDS'!AJT7</f>
        <v/>
      </c>
      <c r="AJV16" s="22">
        <f>'MOMO,AIRTEL,CARDS'!AJU7</f>
        <v/>
      </c>
      <c r="AJW16" s="22">
        <f>'MOMO,AIRTEL,CARDS'!AJV7</f>
        <v/>
      </c>
      <c r="AJX16" s="22">
        <f>'MOMO,AIRTEL,CARDS'!AJW7</f>
        <v/>
      </c>
      <c r="AJY16" s="22">
        <f>'MOMO,AIRTEL,CARDS'!AJX7</f>
        <v/>
      </c>
      <c r="AJZ16" s="22">
        <f>'MOMO,AIRTEL,CARDS'!AJY7</f>
        <v/>
      </c>
      <c r="AKA16" s="22">
        <f>'MOMO,AIRTEL,CARDS'!AJZ7</f>
        <v/>
      </c>
      <c r="AKB16" s="22">
        <f>'MOMO,AIRTEL,CARDS'!AKA7</f>
        <v/>
      </c>
      <c r="AKC16" s="22">
        <f>'MOMO,AIRTEL,CARDS'!AKB7</f>
        <v/>
      </c>
      <c r="AKD16" s="22">
        <f>'MOMO,AIRTEL,CARDS'!AKC7</f>
        <v/>
      </c>
      <c r="AKE16" s="22">
        <f>'MOMO,AIRTEL,CARDS'!AKD7</f>
        <v/>
      </c>
      <c r="AKF16" s="22">
        <f>'MOMO,AIRTEL,CARDS'!AKE7</f>
        <v/>
      </c>
      <c r="AKG16" s="22">
        <f>'MOMO,AIRTEL,CARDS'!AKF7</f>
        <v/>
      </c>
      <c r="AKH16" s="22">
        <f>'MOMO,AIRTEL,CARDS'!AKG7</f>
        <v/>
      </c>
      <c r="AKI16" s="22">
        <f>'MOMO,AIRTEL,CARDS'!AKH7</f>
        <v/>
      </c>
      <c r="AKJ16" s="22">
        <f>'MOMO,AIRTEL,CARDS'!AKI7</f>
        <v/>
      </c>
      <c r="AKK16" s="22">
        <f>'MOMO,AIRTEL,CARDS'!AKJ7</f>
        <v/>
      </c>
      <c r="AKL16" s="22">
        <f>'MOMO,AIRTEL,CARDS'!AKK7</f>
        <v/>
      </c>
      <c r="AKM16" s="22">
        <f>'MOMO,AIRTEL,CARDS'!AKL7</f>
        <v/>
      </c>
      <c r="AKN16" s="127">
        <f>SUM(AJL16:AKM16)</f>
        <v/>
      </c>
      <c r="AKO16" s="22">
        <f>'MOMO,AIRTEL,CARDS'!AKN7</f>
        <v/>
      </c>
      <c r="AKP16" s="22">
        <f>'MOMO,AIRTEL,CARDS'!AKO7</f>
        <v/>
      </c>
      <c r="AKQ16" s="22">
        <f>'MOMO,AIRTEL,CARDS'!AKP7</f>
        <v/>
      </c>
      <c r="AKR16" s="22">
        <f>'MOMO,AIRTEL,CARDS'!AKQ7</f>
        <v/>
      </c>
      <c r="AKS16" s="22">
        <f>'MOMO,AIRTEL,CARDS'!AKR7</f>
        <v/>
      </c>
      <c r="AKT16" s="22">
        <f>'MOMO,AIRTEL,CARDS'!AKS7</f>
        <v/>
      </c>
      <c r="AKU16" s="22">
        <f>'MOMO,AIRTEL,CARDS'!AKT7</f>
        <v/>
      </c>
      <c r="AKV16" s="22">
        <f>'MOMO,AIRTEL,CARDS'!AKU7</f>
        <v/>
      </c>
      <c r="AKW16" s="22">
        <f>'MOMO,AIRTEL,CARDS'!AKV7</f>
        <v/>
      </c>
      <c r="AKX16" s="22">
        <f>'MOMO,AIRTEL,CARDS'!AKW7</f>
        <v/>
      </c>
      <c r="AKY16" s="22">
        <f>'MOMO,AIRTEL,CARDS'!AKX7</f>
        <v/>
      </c>
      <c r="AKZ16" s="22">
        <f>'MOMO,AIRTEL,CARDS'!AKY7</f>
        <v/>
      </c>
      <c r="ALA16" s="22">
        <f>'MOMO,AIRTEL,CARDS'!AKZ7</f>
        <v/>
      </c>
      <c r="ALB16" s="22">
        <f>'MOMO,AIRTEL,CARDS'!ALA7</f>
        <v/>
      </c>
      <c r="ALC16" s="22">
        <f>'MOMO,AIRTEL,CARDS'!ALB7</f>
        <v/>
      </c>
      <c r="ALD16" s="22">
        <f>'MOMO,AIRTEL,CARDS'!ALC7</f>
        <v/>
      </c>
      <c r="ALE16" s="22">
        <f>'MOMO,AIRTEL,CARDS'!ALD7</f>
        <v/>
      </c>
      <c r="ALF16" s="22">
        <f>'MOMO,AIRTEL,CARDS'!ALE7</f>
        <v/>
      </c>
      <c r="ALG16" s="22">
        <f>'MOMO,AIRTEL,CARDS'!ALF7</f>
        <v/>
      </c>
      <c r="ALH16" s="22">
        <f>'MOMO,AIRTEL,CARDS'!ALG7</f>
        <v/>
      </c>
      <c r="ALI16" s="22">
        <f>'MOMO,AIRTEL,CARDS'!ALH7</f>
        <v/>
      </c>
      <c r="ALJ16" s="22">
        <f>'MOMO,AIRTEL,CARDS'!ALI7</f>
        <v/>
      </c>
      <c r="ALK16" s="22">
        <f>'MOMO,AIRTEL,CARDS'!ALJ7</f>
        <v/>
      </c>
      <c r="ALL16" s="22">
        <f>'MOMO,AIRTEL,CARDS'!ALK7</f>
        <v/>
      </c>
      <c r="ALM16" s="22">
        <f>'MOMO,AIRTEL,CARDS'!ALL7</f>
        <v/>
      </c>
      <c r="ALN16" s="22">
        <f>'MOMO,AIRTEL,CARDS'!ALM7</f>
        <v/>
      </c>
      <c r="ALO16" s="22">
        <f>'MOMO,AIRTEL,CARDS'!ALN7</f>
        <v/>
      </c>
      <c r="ALP16" s="22">
        <f>'MOMO,AIRTEL,CARDS'!ALO7</f>
        <v/>
      </c>
      <c r="ALQ16" s="22">
        <f>'MOMO,AIRTEL,CARDS'!ALP7</f>
        <v/>
      </c>
      <c r="ALR16" s="22">
        <f>'MOMO,AIRTEL,CARDS'!ALQ7</f>
        <v/>
      </c>
      <c r="ALS16" s="22">
        <f>'MOMO,AIRTEL,CARDS'!ALR7</f>
        <v/>
      </c>
      <c r="ALT16" s="127">
        <f>SUM(AKO16:ALS16)</f>
        <v/>
      </c>
      <c r="ALU16" s="22">
        <f>'MOMO,AIRTEL,CARDS'!ALT7</f>
        <v/>
      </c>
      <c r="ALV16" s="22">
        <f>'MOMO,AIRTEL,CARDS'!ALU7</f>
        <v/>
      </c>
      <c r="ALW16" s="22">
        <f>'MOMO,AIRTEL,CARDS'!ALV7</f>
        <v/>
      </c>
      <c r="ALX16" s="22">
        <f>'MOMO,AIRTEL,CARDS'!ALW7</f>
        <v/>
      </c>
      <c r="ALY16" s="22">
        <f>'MOMO,AIRTEL,CARDS'!ALX7</f>
        <v/>
      </c>
      <c r="ALZ16" s="22">
        <f>'MOMO,AIRTEL,CARDS'!ALY7</f>
        <v/>
      </c>
      <c r="AMA16" s="22">
        <f>'MOMO,AIRTEL,CARDS'!ALZ7</f>
        <v/>
      </c>
      <c r="AMB16" s="22">
        <f>'MOMO,AIRTEL,CARDS'!AMA7</f>
        <v/>
      </c>
      <c r="AMC16" s="22">
        <f>'MOMO,AIRTEL,CARDS'!AMB7</f>
        <v/>
      </c>
      <c r="AMD16" s="22">
        <f>'MOMO,AIRTEL,CARDS'!AMC7</f>
        <v/>
      </c>
      <c r="AME16" s="22">
        <f>'MOMO,AIRTEL,CARDS'!AMD7</f>
        <v/>
      </c>
      <c r="AMF16" s="22">
        <f>'MOMO,AIRTEL,CARDS'!AME7</f>
        <v/>
      </c>
      <c r="AMG16" s="22">
        <f>'MOMO,AIRTEL,CARDS'!AMF7</f>
        <v/>
      </c>
      <c r="AMH16" s="22">
        <f>'MOMO,AIRTEL,CARDS'!AMG7</f>
        <v/>
      </c>
      <c r="AMI16" s="22">
        <f>'MOMO,AIRTEL,CARDS'!AMH7</f>
        <v/>
      </c>
      <c r="AMJ16" s="22">
        <f>'MOMO,AIRTEL,CARDS'!AMI7</f>
        <v/>
      </c>
      <c r="AMK16" s="22">
        <f>'MOMO,AIRTEL,CARDS'!AMJ7</f>
        <v/>
      </c>
      <c r="AML16" s="22">
        <f>'MOMO,AIRTEL,CARDS'!AMK7</f>
        <v/>
      </c>
      <c r="AMM16" s="22">
        <f>'MOMO,AIRTEL,CARDS'!AML7</f>
        <v/>
      </c>
      <c r="AMN16" s="22">
        <f>'MOMO,AIRTEL,CARDS'!AMM7</f>
        <v/>
      </c>
      <c r="AMO16" s="22">
        <f>'MOMO,AIRTEL,CARDS'!AMN7</f>
        <v/>
      </c>
      <c r="AMP16" s="22">
        <f>'MOMO,AIRTEL,CARDS'!AMO7</f>
        <v/>
      </c>
      <c r="AMQ16" s="22">
        <f>'MOMO,AIRTEL,CARDS'!AMP7</f>
        <v/>
      </c>
      <c r="AMR16" s="22">
        <f>'MOMO,AIRTEL,CARDS'!AMQ7</f>
        <v/>
      </c>
      <c r="AMS16" s="22">
        <f>'MOMO,AIRTEL,CARDS'!AMR7</f>
        <v/>
      </c>
      <c r="AMT16" s="22">
        <f>'MOMO,AIRTEL,CARDS'!AMS7</f>
        <v/>
      </c>
      <c r="AMU16" s="22">
        <f>'MOMO,AIRTEL,CARDS'!AMT7</f>
        <v/>
      </c>
      <c r="AMV16" s="22">
        <f>'MOMO,AIRTEL,CARDS'!AMU7</f>
        <v/>
      </c>
      <c r="AMW16" s="22">
        <f>'MOMO,AIRTEL,CARDS'!AMV7</f>
        <v/>
      </c>
      <c r="AMX16" s="22">
        <f>'MOMO,AIRTEL,CARDS'!AMW7</f>
        <v/>
      </c>
      <c r="AMY16" s="127">
        <f>SUM(ALU16:AMX16)</f>
        <v/>
      </c>
      <c r="AMZ16" s="22">
        <f>'MOMO,AIRTEL,CARDS'!AMY7</f>
        <v/>
      </c>
      <c r="ANA16" s="22">
        <f>'MOMO,AIRTEL,CARDS'!AMZ7</f>
        <v/>
      </c>
      <c r="ANB16" s="22">
        <f>'MOMO,AIRTEL,CARDS'!ANA7</f>
        <v/>
      </c>
      <c r="ANC16" s="22">
        <f>'MOMO,AIRTEL,CARDS'!ANB7</f>
        <v/>
      </c>
      <c r="AND16" s="22">
        <f>'MOMO,AIRTEL,CARDS'!ANC7</f>
        <v/>
      </c>
      <c r="ANE16" s="22">
        <f>'MOMO,AIRTEL,CARDS'!AND7</f>
        <v/>
      </c>
      <c r="ANF16" s="22">
        <f>'MOMO,AIRTEL,CARDS'!ANE7</f>
        <v/>
      </c>
      <c r="ANG16" s="22">
        <f>'MOMO,AIRTEL,CARDS'!ANF7</f>
        <v/>
      </c>
      <c r="ANH16" s="22">
        <f>'MOMO,AIRTEL,CARDS'!ANG7</f>
        <v/>
      </c>
      <c r="ANI16" s="22">
        <f>'MOMO,AIRTEL,CARDS'!ANH7</f>
        <v/>
      </c>
      <c r="ANJ16" s="22">
        <f>'MOMO,AIRTEL,CARDS'!ANI7</f>
        <v/>
      </c>
      <c r="ANK16" s="22">
        <f>'MOMO,AIRTEL,CARDS'!ANJ7</f>
        <v/>
      </c>
      <c r="ANL16" s="22">
        <f>'MOMO,AIRTEL,CARDS'!ANK7</f>
        <v/>
      </c>
      <c r="ANM16" s="22">
        <f>'MOMO,AIRTEL,CARDS'!ANL7</f>
        <v/>
      </c>
      <c r="ANN16" s="22">
        <f>'MOMO,AIRTEL,CARDS'!ANM7</f>
        <v/>
      </c>
      <c r="ANO16" s="22">
        <f>'MOMO,AIRTEL,CARDS'!ANN7</f>
        <v/>
      </c>
      <c r="ANP16" s="22">
        <f>'MOMO,AIRTEL,CARDS'!ANO7</f>
        <v/>
      </c>
      <c r="ANQ16" s="22">
        <f>'MOMO,AIRTEL,CARDS'!ANP7</f>
        <v/>
      </c>
      <c r="ANR16" s="22">
        <f>'MOMO,AIRTEL,CARDS'!ANQ7</f>
        <v/>
      </c>
      <c r="ANS16" s="22">
        <f>'MOMO,AIRTEL,CARDS'!ANR7</f>
        <v/>
      </c>
      <c r="ANT16" s="22">
        <f>'MOMO,AIRTEL,CARDS'!ANS7</f>
        <v/>
      </c>
      <c r="ANU16" s="22">
        <f>'MOMO,AIRTEL,CARDS'!ANT7</f>
        <v/>
      </c>
      <c r="ANV16" s="22">
        <f>'MOMO,AIRTEL,CARDS'!ANU7</f>
        <v/>
      </c>
      <c r="ANW16" s="22">
        <f>'MOMO,AIRTEL,CARDS'!ANV7</f>
        <v/>
      </c>
      <c r="ANX16" s="22">
        <f>'MOMO,AIRTEL,CARDS'!ANW7</f>
        <v/>
      </c>
      <c r="ANY16" s="22">
        <f>'MOMO,AIRTEL,CARDS'!ANX7</f>
        <v/>
      </c>
      <c r="ANZ16" s="22">
        <f>'MOMO,AIRTEL,CARDS'!ANY7</f>
        <v/>
      </c>
      <c r="AOA16" s="22">
        <f>'MOMO,AIRTEL,CARDS'!ANZ7</f>
        <v/>
      </c>
      <c r="AOB16" s="22">
        <f>'MOMO,AIRTEL,CARDS'!AOA7</f>
        <v/>
      </c>
      <c r="AOC16" s="22">
        <f>'MOMO,AIRTEL,CARDS'!AOB7</f>
        <v/>
      </c>
    </row>
    <row r="17">
      <c r="B17" s="5" t="inlineStr">
        <is>
          <t>RUBIS APP</t>
        </is>
      </c>
      <c r="C17" s="22">
        <f>'MOMO,AIRTEL,CARDS'!B8</f>
        <v/>
      </c>
      <c r="D17" s="22">
        <f>'MOMO,AIRTEL,CARDS'!C8</f>
        <v/>
      </c>
      <c r="E17" s="22">
        <f>'MOMO,AIRTEL,CARDS'!D8</f>
        <v/>
      </c>
      <c r="F17" s="22">
        <f>'MOMO,AIRTEL,CARDS'!E8</f>
        <v/>
      </c>
      <c r="G17" s="22">
        <f>'MOMO,AIRTEL,CARDS'!F8</f>
        <v/>
      </c>
      <c r="H17" s="22">
        <f>'MOMO,AIRTEL,CARDS'!G8</f>
        <v/>
      </c>
      <c r="I17" s="22">
        <f>'MOMO,AIRTEL,CARDS'!H8</f>
        <v/>
      </c>
      <c r="J17" s="22">
        <f>'MOMO,AIRTEL,CARDS'!I8</f>
        <v/>
      </c>
      <c r="K17" s="22">
        <f>'MOMO,AIRTEL,CARDS'!J8</f>
        <v/>
      </c>
      <c r="L17" s="22">
        <f>'MOMO,AIRTEL,CARDS'!K8</f>
        <v/>
      </c>
      <c r="M17" s="22">
        <f>'MOMO,AIRTEL,CARDS'!L8</f>
        <v/>
      </c>
      <c r="N17" s="22">
        <f>'MOMO,AIRTEL,CARDS'!M8</f>
        <v/>
      </c>
      <c r="O17" s="22">
        <f>'MOMO,AIRTEL,CARDS'!N8</f>
        <v/>
      </c>
      <c r="P17" s="22">
        <f>'MOMO,AIRTEL,CARDS'!O8</f>
        <v/>
      </c>
      <c r="Q17" s="22">
        <f>'MOMO,AIRTEL,CARDS'!P8</f>
        <v/>
      </c>
      <c r="R17" s="22">
        <f>'MOMO,AIRTEL,CARDS'!Q8</f>
        <v/>
      </c>
      <c r="S17" s="22">
        <f>'MOMO,AIRTEL,CARDS'!R8</f>
        <v/>
      </c>
      <c r="T17" s="22">
        <f>'MOMO,AIRTEL,CARDS'!S8</f>
        <v/>
      </c>
      <c r="U17" s="22">
        <f>'MOMO,AIRTEL,CARDS'!T8</f>
        <v/>
      </c>
      <c r="V17" s="22">
        <f>'MOMO,AIRTEL,CARDS'!U8</f>
        <v/>
      </c>
      <c r="W17" s="22">
        <f>'MOMO,AIRTEL,CARDS'!V8</f>
        <v/>
      </c>
      <c r="X17" s="22">
        <f>'MOMO,AIRTEL,CARDS'!W8</f>
        <v/>
      </c>
      <c r="Y17" s="22">
        <f>'MOMO,AIRTEL,CARDS'!X8</f>
        <v/>
      </c>
      <c r="Z17" s="22">
        <f>'MOMO,AIRTEL,CARDS'!Y8</f>
        <v/>
      </c>
      <c r="AA17" s="22">
        <f>'MOMO,AIRTEL,CARDS'!Z8</f>
        <v/>
      </c>
      <c r="AB17" s="22">
        <f>'MOMO,AIRTEL,CARDS'!AA8</f>
        <v/>
      </c>
      <c r="AC17" s="22">
        <f>'MOMO,AIRTEL,CARDS'!AB8</f>
        <v/>
      </c>
      <c r="AD17" s="22">
        <f>'MOMO,AIRTEL,CARDS'!AC8</f>
        <v/>
      </c>
      <c r="AE17" s="22">
        <f>'MOMO,AIRTEL,CARDS'!AD8</f>
        <v/>
      </c>
      <c r="AF17" s="22">
        <f>'MOMO,AIRTEL,CARDS'!AE8</f>
        <v/>
      </c>
      <c r="AG17" s="22">
        <f>'MOMO,AIRTEL,CARDS'!AF8</f>
        <v/>
      </c>
      <c r="AH17" s="94">
        <f>SUM(C17:AG17)</f>
        <v/>
      </c>
      <c r="AI17" s="22">
        <f>'MOMO,AIRTEL,CARDS'!AH8</f>
        <v/>
      </c>
      <c r="AJ17" s="22">
        <f>'MOMO,AIRTEL,CARDS'!AI8</f>
        <v/>
      </c>
      <c r="AK17" s="22">
        <f>'MOMO,AIRTEL,CARDS'!AJ8</f>
        <v/>
      </c>
      <c r="AL17" s="22">
        <f>'MOMO,AIRTEL,CARDS'!AK8</f>
        <v/>
      </c>
      <c r="AM17" s="22">
        <f>'MOMO,AIRTEL,CARDS'!AL8</f>
        <v/>
      </c>
      <c r="AN17" s="22">
        <f>'MOMO,AIRTEL,CARDS'!AM8</f>
        <v/>
      </c>
      <c r="AO17" s="22">
        <f>'MOMO,AIRTEL,CARDS'!AN8</f>
        <v/>
      </c>
      <c r="AP17" s="22">
        <f>'MOMO,AIRTEL,CARDS'!AO8</f>
        <v/>
      </c>
      <c r="AQ17" s="22">
        <f>'MOMO,AIRTEL,CARDS'!AP8</f>
        <v/>
      </c>
      <c r="AR17" s="22">
        <f>'MOMO,AIRTEL,CARDS'!AQ8</f>
        <v/>
      </c>
      <c r="AS17" s="22">
        <f>'MOMO,AIRTEL,CARDS'!AR8</f>
        <v/>
      </c>
      <c r="AT17" s="22">
        <f>'MOMO,AIRTEL,CARDS'!AS8</f>
        <v/>
      </c>
      <c r="AU17" s="22">
        <f>'MOMO,AIRTEL,CARDS'!AT8</f>
        <v/>
      </c>
      <c r="AV17" s="22">
        <f>'MOMO,AIRTEL,CARDS'!AU8</f>
        <v/>
      </c>
      <c r="AW17" s="22">
        <f>'MOMO,AIRTEL,CARDS'!AV8</f>
        <v/>
      </c>
      <c r="AX17" s="22">
        <f>'MOMO,AIRTEL,CARDS'!AW8</f>
        <v/>
      </c>
      <c r="AY17" s="22">
        <f>'MOMO,AIRTEL,CARDS'!AX8</f>
        <v/>
      </c>
      <c r="AZ17" s="22">
        <f>'MOMO,AIRTEL,CARDS'!AY8</f>
        <v/>
      </c>
      <c r="BA17" s="22">
        <f>'MOMO,AIRTEL,CARDS'!AZ8</f>
        <v/>
      </c>
      <c r="BB17" s="22">
        <f>'MOMO,AIRTEL,CARDS'!BA8</f>
        <v/>
      </c>
      <c r="BC17" s="22">
        <f>'MOMO,AIRTEL,CARDS'!BB8</f>
        <v/>
      </c>
      <c r="BD17" s="22">
        <f>'MOMO,AIRTEL,CARDS'!BC8</f>
        <v/>
      </c>
      <c r="BE17" s="22">
        <f>'MOMO,AIRTEL,CARDS'!BD8</f>
        <v/>
      </c>
      <c r="BF17" s="22">
        <f>'MOMO,AIRTEL,CARDS'!BE8</f>
        <v/>
      </c>
      <c r="BG17" s="22">
        <f>'MOMO,AIRTEL,CARDS'!BF8</f>
        <v/>
      </c>
      <c r="BH17" s="22">
        <f>'MOMO,AIRTEL,CARDS'!BG8</f>
        <v/>
      </c>
      <c r="BI17" s="22">
        <f>'MOMO,AIRTEL,CARDS'!BH8</f>
        <v/>
      </c>
      <c r="BJ17" s="22">
        <f>'MOMO,AIRTEL,CARDS'!BI8</f>
        <v/>
      </c>
      <c r="BK17" s="22">
        <f>'MOMO,AIRTEL,CARDS'!BJ8</f>
        <v/>
      </c>
      <c r="BL17" s="22">
        <f>'MOMO,AIRTEL,CARDS'!BK8</f>
        <v/>
      </c>
      <c r="BM17" s="97">
        <f>SUM(AI17:BL17)</f>
        <v/>
      </c>
      <c r="CN17" s="22">
        <f>'MOMO,AIRTEL,CARDS'!CM8</f>
        <v/>
      </c>
      <c r="CS17" s="111">
        <f>SUM(BN17:CR17)</f>
        <v/>
      </c>
      <c r="CT17" s="22">
        <f>'MOMO,AIRTEL,CARDS'!CS8</f>
        <v/>
      </c>
      <c r="CU17" s="22">
        <f>'MOMO,AIRTEL,CARDS'!CT8</f>
        <v/>
      </c>
      <c r="CV17" s="22">
        <f>'MOMO,AIRTEL,CARDS'!CU8</f>
        <v/>
      </c>
      <c r="CW17" s="22">
        <f>'MOMO,AIRTEL,CARDS'!CV8</f>
        <v/>
      </c>
      <c r="CX17" s="22">
        <f>'MOMO,AIRTEL,CARDS'!CW8</f>
        <v/>
      </c>
      <c r="CY17" s="22">
        <f>'MOMO,AIRTEL,CARDS'!CX8</f>
        <v/>
      </c>
      <c r="CZ17" s="22">
        <f>'MOMO,AIRTEL,CARDS'!CY8</f>
        <v/>
      </c>
      <c r="DA17" s="22">
        <f>'MOMO,AIRTEL,CARDS'!CZ8</f>
        <v/>
      </c>
      <c r="DB17" s="22">
        <f>'MOMO,AIRTEL,CARDS'!DA8</f>
        <v/>
      </c>
      <c r="DC17" s="22">
        <f>'MOMO,AIRTEL,CARDS'!DB8</f>
        <v/>
      </c>
      <c r="DD17" s="22">
        <f>'MOMO,AIRTEL,CARDS'!DC8</f>
        <v/>
      </c>
      <c r="DE17" s="22">
        <f>'MOMO,AIRTEL,CARDS'!DD8</f>
        <v/>
      </c>
      <c r="DF17" s="22">
        <f>'MOMO,AIRTEL,CARDS'!DE8</f>
        <v/>
      </c>
      <c r="DG17" s="22">
        <f>'MOMO,AIRTEL,CARDS'!DF8</f>
        <v/>
      </c>
      <c r="DH17" s="22">
        <f>'MOMO,AIRTEL,CARDS'!DG8</f>
        <v/>
      </c>
      <c r="DI17" s="22">
        <f>'MOMO,AIRTEL,CARDS'!DH8</f>
        <v/>
      </c>
      <c r="DJ17" s="22">
        <f>'MOMO,AIRTEL,CARDS'!DI8</f>
        <v/>
      </c>
      <c r="DK17" s="22">
        <f>'MOMO,AIRTEL,CARDS'!DJ8</f>
        <v/>
      </c>
      <c r="DL17" s="22">
        <f>'MOMO,AIRTEL,CARDS'!DK8</f>
        <v/>
      </c>
      <c r="DM17" s="22">
        <f>'MOMO,AIRTEL,CARDS'!DL8</f>
        <v/>
      </c>
      <c r="DN17" s="22">
        <f>'MOMO,AIRTEL,CARDS'!DM8</f>
        <v/>
      </c>
      <c r="DO17" s="22">
        <f>'MOMO,AIRTEL,CARDS'!DN8</f>
        <v/>
      </c>
      <c r="DP17" s="22">
        <f>'MOMO,AIRTEL,CARDS'!DO8</f>
        <v/>
      </c>
      <c r="DQ17" s="22">
        <f>'MOMO,AIRTEL,CARDS'!DP8</f>
        <v/>
      </c>
      <c r="DR17" s="22">
        <f>'MOMO,AIRTEL,CARDS'!DQ8</f>
        <v/>
      </c>
      <c r="DS17" s="22">
        <f>'MOMO,AIRTEL,CARDS'!DR8</f>
        <v/>
      </c>
      <c r="DT17" s="22">
        <f>'MOMO,AIRTEL,CARDS'!DS8</f>
        <v/>
      </c>
      <c r="DU17" s="22">
        <f>'MOMO,AIRTEL,CARDS'!DT8</f>
        <v/>
      </c>
      <c r="DV17" s="22">
        <f>'MOMO,AIRTEL,CARDS'!DU8</f>
        <v/>
      </c>
      <c r="DW17" s="22">
        <f>'MOMO,AIRTEL,CARDS'!DV8</f>
        <v/>
      </c>
      <c r="DX17" s="119">
        <f>SUM(CT17:DW17)</f>
        <v/>
      </c>
      <c r="FD17" s="128" t="n"/>
      <c r="GJ17" s="127">
        <f>SUM(FE17:GI17)</f>
        <v/>
      </c>
      <c r="HF17" s="22">
        <f>'MOMO,AIRTEL,CARDS'!HE8</f>
        <v/>
      </c>
      <c r="HG17" s="22">
        <f>'MOMO,AIRTEL,CARDS'!HF8</f>
        <v/>
      </c>
      <c r="HJ17" s="22">
        <f>'MOMO,AIRTEL,CARDS'!HI8</f>
        <v/>
      </c>
      <c r="HM17" s="22">
        <f>'MOMO,AIRTEL,CARDS'!HL8</f>
        <v/>
      </c>
      <c r="HN17" s="127">
        <f>SUM(GK17:HM17)</f>
        <v/>
      </c>
      <c r="HO17" s="22">
        <f>'MOMO,AIRTEL,CARDS'!HN8</f>
        <v/>
      </c>
      <c r="HP17" s="22">
        <f>'MOMO,AIRTEL,CARDS'!HO8</f>
        <v/>
      </c>
      <c r="HQ17" s="22">
        <f>'MOMO,AIRTEL,CARDS'!HP8</f>
        <v/>
      </c>
      <c r="HR17" s="22">
        <f>'MOMO,AIRTEL,CARDS'!HQ8</f>
        <v/>
      </c>
      <c r="HS17" s="22">
        <f>'MOMO,AIRTEL,CARDS'!HR8</f>
        <v/>
      </c>
      <c r="HT17" s="22">
        <f>'MOMO,AIRTEL,CARDS'!HS8</f>
        <v/>
      </c>
      <c r="HU17" s="22">
        <f>'MOMO,AIRTEL,CARDS'!HT8</f>
        <v/>
      </c>
      <c r="HV17" s="22">
        <f>'MOMO,AIRTEL,CARDS'!HU8</f>
        <v/>
      </c>
      <c r="HW17" s="22">
        <f>'MOMO,AIRTEL,CARDS'!HV8</f>
        <v/>
      </c>
      <c r="HX17" s="22">
        <f>'MOMO,AIRTEL,CARDS'!HW8</f>
        <v/>
      </c>
      <c r="HY17" s="22">
        <f>'MOMO,AIRTEL,CARDS'!HX8</f>
        <v/>
      </c>
      <c r="HZ17" s="22">
        <f>'MOMO,AIRTEL,CARDS'!HY8</f>
        <v/>
      </c>
      <c r="IA17" s="22">
        <f>'MOMO,AIRTEL,CARDS'!HZ8</f>
        <v/>
      </c>
      <c r="IB17" s="22">
        <f>'MOMO,AIRTEL,CARDS'!IA8</f>
        <v/>
      </c>
      <c r="IC17" s="22">
        <f>'MOMO,AIRTEL,CARDS'!IB8</f>
        <v/>
      </c>
      <c r="ID17" s="22">
        <f>'MOMO,AIRTEL,CARDS'!IC8</f>
        <v/>
      </c>
      <c r="IE17" s="22">
        <f>'MOMO,AIRTEL,CARDS'!ID8</f>
        <v/>
      </c>
      <c r="IF17" s="22">
        <f>'MOMO,AIRTEL,CARDS'!IE8</f>
        <v/>
      </c>
      <c r="IG17" s="22">
        <f>'MOMO,AIRTEL,CARDS'!IF8</f>
        <v/>
      </c>
      <c r="IH17" s="22">
        <f>'MOMO,AIRTEL,CARDS'!IG8</f>
        <v/>
      </c>
      <c r="II17" s="22">
        <f>'MOMO,AIRTEL,CARDS'!IH8</f>
        <v/>
      </c>
      <c r="IJ17" s="22">
        <f>'MOMO,AIRTEL,CARDS'!II8</f>
        <v/>
      </c>
      <c r="IK17" s="22">
        <f>'MOMO,AIRTEL,CARDS'!IJ8</f>
        <v/>
      </c>
      <c r="IL17" s="22">
        <f>'MOMO,AIRTEL,CARDS'!IK8</f>
        <v/>
      </c>
      <c r="IM17" s="22">
        <f>'MOMO,AIRTEL,CARDS'!IL8</f>
        <v/>
      </c>
      <c r="IN17" s="22">
        <f>'MOMO,AIRTEL,CARDS'!IM8</f>
        <v/>
      </c>
      <c r="IO17" s="22">
        <f>'MOMO,AIRTEL,CARDS'!IN8</f>
        <v/>
      </c>
      <c r="IP17" s="22">
        <f>'MOMO,AIRTEL,CARDS'!IO8</f>
        <v/>
      </c>
      <c r="IQ17" s="22">
        <f>'MOMO,AIRTEL,CARDS'!IP8</f>
        <v/>
      </c>
      <c r="IR17" s="22">
        <f>'MOMO,AIRTEL,CARDS'!IQ8</f>
        <v/>
      </c>
      <c r="IS17" s="22">
        <f>'MOMO,AIRTEL,CARDS'!IR8</f>
        <v/>
      </c>
      <c r="IT17" s="127">
        <f>SUM(HO17:IS17)</f>
        <v/>
      </c>
      <c r="IU17" s="22">
        <f>'MOMO,AIRTEL,CARDS'!IT8</f>
        <v/>
      </c>
      <c r="IV17" s="22">
        <f>'MOMO,AIRTEL,CARDS'!IU8</f>
        <v/>
      </c>
      <c r="IW17" s="22">
        <f>'MOMO,AIRTEL,CARDS'!IV8</f>
        <v/>
      </c>
      <c r="IX17" s="22">
        <f>'MOMO,AIRTEL,CARDS'!IW8</f>
        <v/>
      </c>
      <c r="IY17" s="22">
        <f>'MOMO,AIRTEL,CARDS'!IX8</f>
        <v/>
      </c>
      <c r="IZ17" s="22">
        <f>'MOMO,AIRTEL,CARDS'!IY8</f>
        <v/>
      </c>
      <c r="JA17" s="22">
        <f>'MOMO,AIRTEL,CARDS'!IZ8</f>
        <v/>
      </c>
      <c r="JB17" s="22">
        <f>'MOMO,AIRTEL,CARDS'!JA8</f>
        <v/>
      </c>
      <c r="JC17" s="22">
        <f>'MOMO,AIRTEL,CARDS'!JB8</f>
        <v/>
      </c>
      <c r="JD17" s="22">
        <f>'MOMO,AIRTEL,CARDS'!JC8</f>
        <v/>
      </c>
      <c r="JE17" s="22">
        <f>'MOMO,AIRTEL,CARDS'!JD8</f>
        <v/>
      </c>
      <c r="JF17" s="22">
        <f>'MOMO,AIRTEL,CARDS'!JE8</f>
        <v/>
      </c>
      <c r="JG17" s="22">
        <f>'MOMO,AIRTEL,CARDS'!JF8</f>
        <v/>
      </c>
      <c r="JH17" s="22">
        <f>'MOMO,AIRTEL,CARDS'!JG8</f>
        <v/>
      </c>
      <c r="JI17" s="22">
        <f>'MOMO,AIRTEL,CARDS'!JH8</f>
        <v/>
      </c>
      <c r="JJ17" s="22">
        <f>'MOMO,AIRTEL,CARDS'!JI8</f>
        <v/>
      </c>
      <c r="JK17" s="22">
        <f>'MOMO,AIRTEL,CARDS'!JJ8</f>
        <v/>
      </c>
      <c r="JL17" s="22">
        <f>'MOMO,AIRTEL,CARDS'!JK8</f>
        <v/>
      </c>
      <c r="JM17" s="22">
        <f>'MOMO,AIRTEL,CARDS'!JL8</f>
        <v/>
      </c>
      <c r="JN17" s="22">
        <f>'MOMO,AIRTEL,CARDS'!JM8</f>
        <v/>
      </c>
      <c r="JO17" s="22">
        <f>'MOMO,AIRTEL,CARDS'!JN8</f>
        <v/>
      </c>
      <c r="JP17" s="22">
        <f>'MOMO,AIRTEL,CARDS'!JO8</f>
        <v/>
      </c>
      <c r="JQ17" s="22">
        <f>'MOMO,AIRTEL,CARDS'!JP8</f>
        <v/>
      </c>
      <c r="JR17" s="22">
        <f>'MOMO,AIRTEL,CARDS'!JQ8</f>
        <v/>
      </c>
      <c r="JS17" s="22">
        <f>'MOMO,AIRTEL,CARDS'!JR8</f>
        <v/>
      </c>
      <c r="JT17" s="22">
        <f>'MOMO,AIRTEL,CARDS'!JS8</f>
        <v/>
      </c>
      <c r="JU17" s="22">
        <f>'MOMO,AIRTEL,CARDS'!JT8</f>
        <v/>
      </c>
      <c r="JV17" s="22">
        <f>'MOMO,AIRTEL,CARDS'!JU8</f>
        <v/>
      </c>
      <c r="JW17" s="22">
        <f>'MOMO,AIRTEL,CARDS'!JV8</f>
        <v/>
      </c>
      <c r="JX17" s="22">
        <f>'MOMO,AIRTEL,CARDS'!JW8</f>
        <v/>
      </c>
      <c r="JY17" s="127">
        <f>SUM(IU17:JX17)</f>
        <v/>
      </c>
      <c r="JZ17" s="22">
        <f>'MOMO,AIRTEL,CARDS'!JY8</f>
        <v/>
      </c>
      <c r="KA17" s="22">
        <f>'MOMO,AIRTEL,CARDS'!JZ8</f>
        <v/>
      </c>
      <c r="KB17" s="22">
        <f>'MOMO,AIRTEL,CARDS'!KA8</f>
        <v/>
      </c>
      <c r="KC17" s="22">
        <f>'MOMO,AIRTEL,CARDS'!KB8</f>
        <v/>
      </c>
      <c r="KD17" s="22">
        <f>'MOMO,AIRTEL,CARDS'!KC8</f>
        <v/>
      </c>
      <c r="KE17" s="22">
        <f>'MOMO,AIRTEL,CARDS'!KD8</f>
        <v/>
      </c>
      <c r="KF17" s="22">
        <f>'MOMO,AIRTEL,CARDS'!KE8</f>
        <v/>
      </c>
      <c r="KG17" s="22">
        <f>'MOMO,AIRTEL,CARDS'!KF8</f>
        <v/>
      </c>
      <c r="KH17" s="22">
        <f>'MOMO,AIRTEL,CARDS'!KG8</f>
        <v/>
      </c>
      <c r="KI17" s="22">
        <f>'MOMO,AIRTEL,CARDS'!KH8</f>
        <v/>
      </c>
      <c r="KJ17" s="22">
        <f>'MOMO,AIRTEL,CARDS'!KI8</f>
        <v/>
      </c>
      <c r="KK17" s="22">
        <f>'MOMO,AIRTEL,CARDS'!KJ8</f>
        <v/>
      </c>
      <c r="KL17" s="22">
        <f>'MOMO,AIRTEL,CARDS'!KK8</f>
        <v/>
      </c>
      <c r="KM17" s="22">
        <f>'MOMO,AIRTEL,CARDS'!KL8</f>
        <v/>
      </c>
      <c r="KN17" s="22">
        <f>'MOMO,AIRTEL,CARDS'!KM8</f>
        <v/>
      </c>
      <c r="KO17" s="22">
        <f>'MOMO,AIRTEL,CARDS'!KN8</f>
        <v/>
      </c>
      <c r="KP17" s="22">
        <f>'MOMO,AIRTEL,CARDS'!KO8</f>
        <v/>
      </c>
      <c r="KQ17" s="22">
        <f>'MOMO,AIRTEL,CARDS'!KP8</f>
        <v/>
      </c>
      <c r="KR17" s="22">
        <f>'MOMO,AIRTEL,CARDS'!KQ8</f>
        <v/>
      </c>
      <c r="KS17" s="22">
        <f>'MOMO,AIRTEL,CARDS'!KR8</f>
        <v/>
      </c>
      <c r="KT17" s="22">
        <f>'MOMO,AIRTEL,CARDS'!KS8</f>
        <v/>
      </c>
      <c r="KU17" s="22">
        <f>'MOMO,AIRTEL,CARDS'!KT8</f>
        <v/>
      </c>
      <c r="KV17" s="22">
        <f>'MOMO,AIRTEL,CARDS'!KU8</f>
        <v/>
      </c>
      <c r="KW17" s="22">
        <f>'MOMO,AIRTEL,CARDS'!KV8</f>
        <v/>
      </c>
      <c r="KX17" s="22">
        <f>'MOMO,AIRTEL,CARDS'!KW8</f>
        <v/>
      </c>
      <c r="KY17" s="22">
        <f>'MOMO,AIRTEL,CARDS'!KX8</f>
        <v/>
      </c>
      <c r="KZ17" s="22">
        <f>'MOMO,AIRTEL,CARDS'!KY8</f>
        <v/>
      </c>
      <c r="LA17" s="22">
        <f>'MOMO,AIRTEL,CARDS'!KZ8</f>
        <v/>
      </c>
      <c r="LB17" s="22">
        <f>'MOMO,AIRTEL,CARDS'!LA8</f>
        <v/>
      </c>
      <c r="LC17" s="22">
        <f>'MOMO,AIRTEL,CARDS'!LB8</f>
        <v/>
      </c>
      <c r="LD17" s="22">
        <f>'MOMO,AIRTEL,CARDS'!LC8</f>
        <v/>
      </c>
      <c r="LE17" s="127">
        <f>SUM(KA17:LD17)</f>
        <v/>
      </c>
      <c r="LF17" s="22">
        <f>'MOMO,AIRTEL,CARDS'!LE8</f>
        <v/>
      </c>
      <c r="LG17" s="22">
        <f>'MOMO,AIRTEL,CARDS'!LF8</f>
        <v/>
      </c>
      <c r="LH17" s="22">
        <f>'MOMO,AIRTEL,CARDS'!LG8</f>
        <v/>
      </c>
      <c r="LI17" s="22">
        <f>'MOMO,AIRTEL,CARDS'!LH8</f>
        <v/>
      </c>
      <c r="LJ17" s="22">
        <f>'MOMO,AIRTEL,CARDS'!LI8</f>
        <v/>
      </c>
      <c r="LK17" s="22">
        <f>'MOMO,AIRTEL,CARDS'!LJ8</f>
        <v/>
      </c>
      <c r="LL17" s="22">
        <f>'MOMO,AIRTEL,CARDS'!LK8</f>
        <v/>
      </c>
      <c r="LM17" s="22">
        <f>'MOMO,AIRTEL,CARDS'!LL8</f>
        <v/>
      </c>
      <c r="LN17" s="22">
        <f>'MOMO,AIRTEL,CARDS'!LM8</f>
        <v/>
      </c>
      <c r="LO17" s="22">
        <f>'MOMO,AIRTEL,CARDS'!LN8</f>
        <v/>
      </c>
      <c r="LP17" s="22">
        <f>'MOMO,AIRTEL,CARDS'!LO8</f>
        <v/>
      </c>
      <c r="LQ17" s="22">
        <f>'MOMO,AIRTEL,CARDS'!LP8</f>
        <v/>
      </c>
      <c r="LR17" s="22">
        <f>'MOMO,AIRTEL,CARDS'!LQ8</f>
        <v/>
      </c>
      <c r="LS17" s="22">
        <f>'MOMO,AIRTEL,CARDS'!LR8</f>
        <v/>
      </c>
      <c r="LT17" s="22">
        <f>'MOMO,AIRTEL,CARDS'!LS8</f>
        <v/>
      </c>
      <c r="LU17" s="22">
        <f>'MOMO,AIRTEL,CARDS'!LT8</f>
        <v/>
      </c>
      <c r="LV17" s="22">
        <f>'MOMO,AIRTEL,CARDS'!LU8</f>
        <v/>
      </c>
      <c r="LW17" s="22">
        <f>'MOMO,AIRTEL,CARDS'!LV8</f>
        <v/>
      </c>
      <c r="LX17" s="22">
        <f>'MOMO,AIRTEL,CARDS'!LW8</f>
        <v/>
      </c>
      <c r="LY17" s="22">
        <f>'MOMO,AIRTEL,CARDS'!LX8</f>
        <v/>
      </c>
      <c r="LZ17" s="22">
        <f>'MOMO,AIRTEL,CARDS'!LY8</f>
        <v/>
      </c>
      <c r="MA17" s="22">
        <f>'MOMO,AIRTEL,CARDS'!LZ8</f>
        <v/>
      </c>
      <c r="MB17" s="22">
        <f>'MOMO,AIRTEL,CARDS'!MA8</f>
        <v/>
      </c>
      <c r="MC17" s="22">
        <f>'MOMO,AIRTEL,CARDS'!MB8</f>
        <v/>
      </c>
      <c r="MD17" s="22">
        <f>'MOMO,AIRTEL,CARDS'!MC8</f>
        <v/>
      </c>
      <c r="ME17" s="22">
        <f>'MOMO,AIRTEL,CARDS'!MD8</f>
        <v/>
      </c>
      <c r="MF17" s="22">
        <f>'MOMO,AIRTEL,CARDS'!ME8</f>
        <v/>
      </c>
      <c r="MG17" s="22">
        <f>'MOMO,AIRTEL,CARDS'!MF8</f>
        <v/>
      </c>
      <c r="MH17" s="22">
        <f>'MOMO,AIRTEL,CARDS'!MG8</f>
        <v/>
      </c>
      <c r="MI17" s="22">
        <f>'MOMO,AIRTEL,CARDS'!MH8</f>
        <v/>
      </c>
      <c r="MJ17" s="127">
        <f>SUM(LF17:MI17)</f>
        <v/>
      </c>
      <c r="MK17" s="22">
        <f>'MOMO,AIRTEL,CARDS'!MJ8</f>
        <v/>
      </c>
      <c r="ML17" s="22">
        <f>'MOMO,AIRTEL,CARDS'!MK8</f>
        <v/>
      </c>
      <c r="MM17" s="22">
        <f>'MOMO,AIRTEL,CARDS'!ML8</f>
        <v/>
      </c>
      <c r="MN17" s="22">
        <f>'MOMO,AIRTEL,CARDS'!MM8</f>
        <v/>
      </c>
      <c r="MO17" s="22">
        <f>'MOMO,AIRTEL,CARDS'!MN8</f>
        <v/>
      </c>
      <c r="MP17" s="22">
        <f>'MOMO,AIRTEL,CARDS'!MO8</f>
        <v/>
      </c>
      <c r="MQ17" s="22">
        <f>'MOMO,AIRTEL,CARDS'!MP8</f>
        <v/>
      </c>
      <c r="MR17" s="22">
        <f>'MOMO,AIRTEL,CARDS'!MQ8</f>
        <v/>
      </c>
      <c r="MS17" s="22">
        <f>'MOMO,AIRTEL,CARDS'!MR8</f>
        <v/>
      </c>
      <c r="MT17" s="22">
        <f>'MOMO,AIRTEL,CARDS'!MS8</f>
        <v/>
      </c>
      <c r="MU17" s="22">
        <f>'MOMO,AIRTEL,CARDS'!MT8</f>
        <v/>
      </c>
      <c r="MV17" s="22">
        <f>'MOMO,AIRTEL,CARDS'!MU8</f>
        <v/>
      </c>
      <c r="MW17" s="22">
        <f>'MOMO,AIRTEL,CARDS'!MV8</f>
        <v/>
      </c>
      <c r="MX17" s="22">
        <f>'MOMO,AIRTEL,CARDS'!MW8</f>
        <v/>
      </c>
      <c r="MY17" s="22">
        <f>'MOMO,AIRTEL,CARDS'!MX8</f>
        <v/>
      </c>
      <c r="MZ17" s="22">
        <f>'MOMO,AIRTEL,CARDS'!MY8</f>
        <v/>
      </c>
      <c r="NA17" s="22">
        <f>'MOMO,AIRTEL,CARDS'!MZ8</f>
        <v/>
      </c>
      <c r="NB17" s="22">
        <f>'MOMO,AIRTEL,CARDS'!NA8</f>
        <v/>
      </c>
      <c r="NC17" s="22">
        <f>'MOMO,AIRTEL,CARDS'!NB8</f>
        <v/>
      </c>
      <c r="ND17" s="22">
        <f>'MOMO,AIRTEL,CARDS'!NC8</f>
        <v/>
      </c>
      <c r="NE17" s="22">
        <f>'MOMO,AIRTEL,CARDS'!ND8</f>
        <v/>
      </c>
      <c r="NF17" s="22">
        <f>'MOMO,AIRTEL,CARDS'!NE8</f>
        <v/>
      </c>
      <c r="NG17" s="22">
        <f>'MOMO,AIRTEL,CARDS'!NF8</f>
        <v/>
      </c>
      <c r="NH17" s="22">
        <f>'MOMO,AIRTEL,CARDS'!NG8</f>
        <v/>
      </c>
      <c r="NI17" s="22">
        <f>'MOMO,AIRTEL,CARDS'!NH8</f>
        <v/>
      </c>
      <c r="NJ17" s="22">
        <f>'MOMO,AIRTEL,CARDS'!NI8</f>
        <v/>
      </c>
      <c r="NK17" s="22">
        <f>'MOMO,AIRTEL,CARDS'!NJ8</f>
        <v/>
      </c>
      <c r="NL17" s="22">
        <f>'MOMO,AIRTEL,CARDS'!NK8</f>
        <v/>
      </c>
      <c r="NM17" s="22">
        <f>'MOMO,AIRTEL,CARDS'!NL8</f>
        <v/>
      </c>
      <c r="NN17" s="22">
        <f>'MOMO,AIRTEL,CARDS'!NM8</f>
        <v/>
      </c>
      <c r="NO17" s="22">
        <f>'MOMO,AIRTEL,CARDS'!NN8</f>
        <v/>
      </c>
      <c r="NP17" s="127">
        <f>SUM(ML17:NO17)</f>
        <v/>
      </c>
      <c r="NQ17" s="22">
        <f>'MOMO,AIRTEL,CARDS'!NP8</f>
        <v/>
      </c>
      <c r="NR17" s="22">
        <f>'MOMO,AIRTEL,CARDS'!NQ8</f>
        <v/>
      </c>
      <c r="NS17" s="22">
        <f>'MOMO,AIRTEL,CARDS'!NR8</f>
        <v/>
      </c>
      <c r="NT17" s="22">
        <f>'MOMO,AIRTEL,CARDS'!NS8</f>
        <v/>
      </c>
      <c r="NU17" s="22">
        <f>'MOMO,AIRTEL,CARDS'!NT8</f>
        <v/>
      </c>
      <c r="NV17" s="22">
        <f>'MOMO,AIRTEL,CARDS'!NU8</f>
        <v/>
      </c>
      <c r="NW17" s="22">
        <f>'MOMO,AIRTEL,CARDS'!NV8</f>
        <v/>
      </c>
      <c r="NX17" s="22">
        <f>'MOMO,AIRTEL,CARDS'!NW8</f>
        <v/>
      </c>
      <c r="NY17" s="22">
        <f>'MOMO,AIRTEL,CARDS'!NX8</f>
        <v/>
      </c>
      <c r="NZ17" s="22">
        <f>'MOMO,AIRTEL,CARDS'!NY8</f>
        <v/>
      </c>
      <c r="OA17" s="22">
        <f>'MOMO,AIRTEL,CARDS'!NZ8</f>
        <v/>
      </c>
      <c r="OB17" s="22">
        <f>'MOMO,AIRTEL,CARDS'!OA8</f>
        <v/>
      </c>
      <c r="OC17" s="22">
        <f>'MOMO,AIRTEL,CARDS'!OB8</f>
        <v/>
      </c>
      <c r="OD17" s="22">
        <f>'MOMO,AIRTEL,CARDS'!OC8</f>
        <v/>
      </c>
      <c r="OE17" s="22">
        <f>'MOMO,AIRTEL,CARDS'!OD8</f>
        <v/>
      </c>
      <c r="OF17" s="22">
        <f>'MOMO,AIRTEL,CARDS'!OE8</f>
        <v/>
      </c>
      <c r="OG17" s="22">
        <f>'MOMO,AIRTEL,CARDS'!OF8</f>
        <v/>
      </c>
      <c r="OH17" s="22">
        <f>'MOMO,AIRTEL,CARDS'!OG8</f>
        <v/>
      </c>
      <c r="OI17" s="22">
        <f>'MOMO,AIRTEL,CARDS'!OH8</f>
        <v/>
      </c>
      <c r="OJ17" s="22">
        <f>'MOMO,AIRTEL,CARDS'!OI8</f>
        <v/>
      </c>
      <c r="OK17" s="22">
        <f>'MOMO,AIRTEL,CARDS'!OJ8</f>
        <v/>
      </c>
      <c r="OL17" s="22">
        <f>'MOMO,AIRTEL,CARDS'!OK8</f>
        <v/>
      </c>
      <c r="OM17" s="22">
        <f>'MOMO,AIRTEL,CARDS'!OL8</f>
        <v/>
      </c>
      <c r="ON17" s="22">
        <f>'MOMO,AIRTEL,CARDS'!OM8</f>
        <v/>
      </c>
      <c r="OO17" s="22">
        <f>'MOMO,AIRTEL,CARDS'!ON8</f>
        <v/>
      </c>
      <c r="OP17" s="22">
        <f>'MOMO,AIRTEL,CARDS'!OO8</f>
        <v/>
      </c>
      <c r="OQ17" s="22">
        <f>'MOMO,AIRTEL,CARDS'!OP8</f>
        <v/>
      </c>
      <c r="OR17" s="22">
        <f>'MOMO,AIRTEL,CARDS'!OQ8</f>
        <v/>
      </c>
      <c r="OS17" s="22">
        <f>'MOMO,AIRTEL,CARDS'!OR8</f>
        <v/>
      </c>
      <c r="OT17" s="22">
        <f>'MOMO,AIRTEL,CARDS'!OS8</f>
        <v/>
      </c>
      <c r="OU17" s="22">
        <f>'MOMO,AIRTEL,CARDS'!OT8</f>
        <v/>
      </c>
      <c r="OV17" s="127">
        <f>SUM(NR17:OU17)</f>
        <v/>
      </c>
      <c r="OW17" s="22">
        <f>'MOMO,AIRTEL,CARDS'!OV8</f>
        <v/>
      </c>
      <c r="OX17" s="22">
        <f>'MOMO,AIRTEL,CARDS'!OW8</f>
        <v/>
      </c>
      <c r="OY17" s="22">
        <f>'MOMO,AIRTEL,CARDS'!OX8</f>
        <v/>
      </c>
      <c r="OZ17" s="22">
        <f>'MOMO,AIRTEL,CARDS'!OY8</f>
        <v/>
      </c>
      <c r="PA17" s="22">
        <f>'MOMO,AIRTEL,CARDS'!OZ8</f>
        <v/>
      </c>
      <c r="PB17" s="22">
        <f>'MOMO,AIRTEL,CARDS'!PA8</f>
        <v/>
      </c>
      <c r="PC17" s="22">
        <f>'MOMO,AIRTEL,CARDS'!PB8</f>
        <v/>
      </c>
      <c r="PD17" s="22">
        <f>'MOMO,AIRTEL,CARDS'!PC8</f>
        <v/>
      </c>
      <c r="PE17" s="22">
        <f>'MOMO,AIRTEL,CARDS'!PD8</f>
        <v/>
      </c>
      <c r="PF17" s="22">
        <f>'MOMO,AIRTEL,CARDS'!PE8</f>
        <v/>
      </c>
      <c r="PG17" s="22">
        <f>'MOMO,AIRTEL,CARDS'!PF8</f>
        <v/>
      </c>
      <c r="PH17" s="22">
        <f>'MOMO,AIRTEL,CARDS'!PG8</f>
        <v/>
      </c>
      <c r="PI17" s="22">
        <f>'MOMO,AIRTEL,CARDS'!PH8</f>
        <v/>
      </c>
      <c r="PJ17" s="22">
        <f>'MOMO,AIRTEL,CARDS'!PI8</f>
        <v/>
      </c>
      <c r="PK17" s="22">
        <f>'MOMO,AIRTEL,CARDS'!PJ8</f>
        <v/>
      </c>
      <c r="PL17" s="22">
        <f>'MOMO,AIRTEL,CARDS'!PK8</f>
        <v/>
      </c>
      <c r="PM17" s="22">
        <f>'MOMO,AIRTEL,CARDS'!PL8</f>
        <v/>
      </c>
      <c r="PN17" s="22">
        <f>'MOMO,AIRTEL,CARDS'!PM8</f>
        <v/>
      </c>
      <c r="PO17" s="22">
        <f>'MOMO,AIRTEL,CARDS'!PN8</f>
        <v/>
      </c>
      <c r="PP17" s="22">
        <f>'MOMO,AIRTEL,CARDS'!PO8</f>
        <v/>
      </c>
      <c r="PQ17" s="22">
        <f>'MOMO,AIRTEL,CARDS'!PP8</f>
        <v/>
      </c>
      <c r="PR17" s="22">
        <f>'MOMO,AIRTEL,CARDS'!PQ8</f>
        <v/>
      </c>
      <c r="PS17" s="22">
        <f>'MOMO,AIRTEL,CARDS'!PR8</f>
        <v/>
      </c>
      <c r="PT17" s="22">
        <f>'MOMO,AIRTEL,CARDS'!PS8</f>
        <v/>
      </c>
      <c r="PU17" s="22">
        <f>'MOMO,AIRTEL,CARDS'!PT8</f>
        <v/>
      </c>
      <c r="PV17" s="22">
        <f>'MOMO,AIRTEL,CARDS'!PU8</f>
        <v/>
      </c>
      <c r="PW17" s="22">
        <f>'MOMO,AIRTEL,CARDS'!PV8</f>
        <v/>
      </c>
      <c r="PX17" s="22">
        <f>'MOMO,AIRTEL,CARDS'!PW8</f>
        <v/>
      </c>
      <c r="PY17" s="22">
        <f>'MOMO,AIRTEL,CARDS'!PX8</f>
        <v/>
      </c>
      <c r="PZ17" s="22">
        <f>'MOMO,AIRTEL,CARDS'!PY8</f>
        <v/>
      </c>
      <c r="QA17" s="127">
        <f>SUM(OW17:PZ17)</f>
        <v/>
      </c>
      <c r="QB17" s="22">
        <f>'MOMO,AIRTEL,CARDS'!QA8</f>
        <v/>
      </c>
      <c r="QC17" s="22">
        <f>'MOMO,AIRTEL,CARDS'!QB8</f>
        <v/>
      </c>
      <c r="QD17" s="22">
        <f>'MOMO,AIRTEL,CARDS'!QC8</f>
        <v/>
      </c>
      <c r="QE17" s="22">
        <f>'MOMO,AIRTEL,CARDS'!QD8</f>
        <v/>
      </c>
      <c r="QF17" s="22">
        <f>'MOMO,AIRTEL,CARDS'!QE8</f>
        <v/>
      </c>
      <c r="QG17" s="22">
        <f>'MOMO,AIRTEL,CARDS'!QF8</f>
        <v/>
      </c>
      <c r="QH17" s="22">
        <f>'MOMO,AIRTEL,CARDS'!QG8</f>
        <v/>
      </c>
      <c r="QI17" s="22">
        <f>'MOMO,AIRTEL,CARDS'!QH8</f>
        <v/>
      </c>
      <c r="QJ17" s="22">
        <f>'MOMO,AIRTEL,CARDS'!QI8</f>
        <v/>
      </c>
      <c r="QK17" s="22">
        <f>'MOMO,AIRTEL,CARDS'!QJ8</f>
        <v/>
      </c>
      <c r="QL17" s="22">
        <f>'MOMO,AIRTEL,CARDS'!QK8</f>
        <v/>
      </c>
      <c r="QM17" s="22">
        <f>'MOMO,AIRTEL,CARDS'!QL8</f>
        <v/>
      </c>
      <c r="QN17" s="22">
        <f>'MOMO,AIRTEL,CARDS'!QM8</f>
        <v/>
      </c>
      <c r="QO17" s="22">
        <f>'MOMO,AIRTEL,CARDS'!QN8</f>
        <v/>
      </c>
      <c r="QP17" s="22">
        <f>'MOMO,AIRTEL,CARDS'!QO8</f>
        <v/>
      </c>
      <c r="QQ17" s="22">
        <f>'MOMO,AIRTEL,CARDS'!QP8</f>
        <v/>
      </c>
      <c r="QR17" s="22">
        <f>'MOMO,AIRTEL,CARDS'!QQ8</f>
        <v/>
      </c>
      <c r="QS17" s="22">
        <f>'MOMO,AIRTEL,CARDS'!QR8</f>
        <v/>
      </c>
      <c r="QT17" s="22">
        <f>'MOMO,AIRTEL,CARDS'!QS8</f>
        <v/>
      </c>
      <c r="QU17" s="22">
        <f>'MOMO,AIRTEL,CARDS'!QT8</f>
        <v/>
      </c>
      <c r="QV17" s="22">
        <f>'MOMO,AIRTEL,CARDS'!QU8</f>
        <v/>
      </c>
      <c r="QW17" s="22">
        <f>'MOMO,AIRTEL,CARDS'!QV8</f>
        <v/>
      </c>
      <c r="QX17" s="22">
        <f>'MOMO,AIRTEL,CARDS'!QW8</f>
        <v/>
      </c>
      <c r="QY17" s="22">
        <f>'MOMO,AIRTEL,CARDS'!QX8</f>
        <v/>
      </c>
      <c r="QZ17" s="22">
        <f>'MOMO,AIRTEL,CARDS'!QY8</f>
        <v/>
      </c>
      <c r="RA17" s="22">
        <f>'MOMO,AIRTEL,CARDS'!QZ8</f>
        <v/>
      </c>
      <c r="RB17" s="22">
        <f>'MOMO,AIRTEL,CARDS'!RA8</f>
        <v/>
      </c>
      <c r="RC17" s="22">
        <f>'MOMO,AIRTEL,CARDS'!RB8</f>
        <v/>
      </c>
      <c r="RD17" s="22">
        <f>'MOMO,AIRTEL,CARDS'!RC8</f>
        <v/>
      </c>
      <c r="RE17" s="22">
        <f>'MOMO,AIRTEL,CARDS'!RD8</f>
        <v/>
      </c>
      <c r="RF17" s="22">
        <f>'MOMO,AIRTEL,CARDS'!RE8</f>
        <v/>
      </c>
      <c r="RG17" s="127">
        <f>SUM(QC17:RF17)</f>
        <v/>
      </c>
      <c r="RH17" s="22">
        <f>'MOMO,AIRTEL,CARDS'!RG8</f>
        <v/>
      </c>
      <c r="RI17" s="22">
        <f>'MOMO,AIRTEL,CARDS'!RH8</f>
        <v/>
      </c>
      <c r="RJ17" s="22">
        <f>'MOMO,AIRTEL,CARDS'!RI8</f>
        <v/>
      </c>
      <c r="RK17" s="22">
        <f>'MOMO,AIRTEL,CARDS'!RJ8</f>
        <v/>
      </c>
      <c r="RL17" s="22">
        <f>'MOMO,AIRTEL,CARDS'!RK8</f>
        <v/>
      </c>
      <c r="RM17" s="22">
        <f>'MOMO,AIRTEL,CARDS'!RL8</f>
        <v/>
      </c>
      <c r="RN17" s="22">
        <f>'MOMO,AIRTEL,CARDS'!RM8</f>
        <v/>
      </c>
      <c r="RO17" s="22">
        <f>'MOMO,AIRTEL,CARDS'!RN8</f>
        <v/>
      </c>
      <c r="RP17" s="22">
        <f>'MOMO,AIRTEL,CARDS'!RO8</f>
        <v/>
      </c>
      <c r="RQ17" s="22">
        <f>'MOMO,AIRTEL,CARDS'!RP8</f>
        <v/>
      </c>
      <c r="RR17" s="22">
        <f>'MOMO,AIRTEL,CARDS'!RQ8</f>
        <v/>
      </c>
      <c r="RS17" s="22">
        <f>'MOMO,AIRTEL,CARDS'!RR8</f>
        <v/>
      </c>
      <c r="RT17" s="22">
        <f>'MOMO,AIRTEL,CARDS'!RS8</f>
        <v/>
      </c>
      <c r="RU17" s="22">
        <f>'MOMO,AIRTEL,CARDS'!RT8</f>
        <v/>
      </c>
      <c r="RV17" s="22">
        <f>'MOMO,AIRTEL,CARDS'!RU8</f>
        <v/>
      </c>
      <c r="RW17" s="22">
        <f>'MOMO,AIRTEL,CARDS'!RV8</f>
        <v/>
      </c>
      <c r="RX17" s="22">
        <f>'MOMO,AIRTEL,CARDS'!RW8</f>
        <v/>
      </c>
      <c r="RY17" s="22">
        <f>'MOMO,AIRTEL,CARDS'!RX8</f>
        <v/>
      </c>
      <c r="RZ17" s="22">
        <f>'MOMO,AIRTEL,CARDS'!RY8</f>
        <v/>
      </c>
      <c r="SA17" s="22">
        <f>'MOMO,AIRTEL,CARDS'!RZ8</f>
        <v/>
      </c>
      <c r="SB17" s="22">
        <f>'MOMO,AIRTEL,CARDS'!SA8</f>
        <v/>
      </c>
      <c r="SC17" s="22">
        <f>'MOMO,AIRTEL,CARDS'!SB8</f>
        <v/>
      </c>
      <c r="SD17" s="22">
        <f>'MOMO,AIRTEL,CARDS'!SC8</f>
        <v/>
      </c>
      <c r="SE17" s="22">
        <f>'MOMO,AIRTEL,CARDS'!SD8</f>
        <v/>
      </c>
      <c r="SF17" s="22">
        <f>'MOMO,AIRTEL,CARDS'!SE8</f>
        <v/>
      </c>
      <c r="SG17" s="22">
        <f>'MOMO,AIRTEL,CARDS'!SF8</f>
        <v/>
      </c>
      <c r="SH17" s="22">
        <f>'MOMO,AIRTEL,CARDS'!SG8</f>
        <v/>
      </c>
      <c r="SI17" s="22">
        <f>'MOMO,AIRTEL,CARDS'!SH8</f>
        <v/>
      </c>
      <c r="SJ17" s="22">
        <f>'MOMO,AIRTEL,CARDS'!SI8</f>
        <v/>
      </c>
      <c r="SK17" s="22">
        <f>'MOMO,AIRTEL,CARDS'!SJ8</f>
        <v/>
      </c>
      <c r="SL17" s="127">
        <f>SUM(RH17:SK17)</f>
        <v/>
      </c>
      <c r="SM17" s="22">
        <f>'MOMO,AIRTEL,CARDS'!SL8</f>
        <v/>
      </c>
      <c r="SN17" s="22">
        <f>'MOMO,AIRTEL,CARDS'!SM8</f>
        <v/>
      </c>
      <c r="SO17" s="22">
        <f>'MOMO,AIRTEL,CARDS'!SN8</f>
        <v/>
      </c>
      <c r="SP17" s="22">
        <f>'MOMO,AIRTEL,CARDS'!SO8</f>
        <v/>
      </c>
      <c r="SQ17" s="22">
        <f>'MOMO,AIRTEL,CARDS'!SP8</f>
        <v/>
      </c>
      <c r="SR17" s="22">
        <f>'MOMO,AIRTEL,CARDS'!SQ8</f>
        <v/>
      </c>
      <c r="SS17" s="22">
        <f>'MOMO,AIRTEL,CARDS'!SR8</f>
        <v/>
      </c>
      <c r="ST17" s="22">
        <f>'MOMO,AIRTEL,CARDS'!SS8</f>
        <v/>
      </c>
      <c r="SU17" s="22">
        <f>'MOMO,AIRTEL,CARDS'!ST8</f>
        <v/>
      </c>
      <c r="SV17" s="22">
        <f>'MOMO,AIRTEL,CARDS'!SU8</f>
        <v/>
      </c>
      <c r="SW17" s="22">
        <f>'MOMO,AIRTEL,CARDS'!SV8</f>
        <v/>
      </c>
      <c r="SX17" s="22">
        <f>'MOMO,AIRTEL,CARDS'!SW8</f>
        <v/>
      </c>
      <c r="SY17" s="22">
        <f>'MOMO,AIRTEL,CARDS'!SX8</f>
        <v/>
      </c>
      <c r="SZ17" s="22">
        <f>'MOMO,AIRTEL,CARDS'!SY8</f>
        <v/>
      </c>
      <c r="TA17" s="22">
        <f>'MOMO,AIRTEL,CARDS'!SZ8</f>
        <v/>
      </c>
      <c r="TB17" s="22">
        <f>'MOMO,AIRTEL,CARDS'!TA8</f>
        <v/>
      </c>
      <c r="TC17" s="22">
        <f>'MOMO,AIRTEL,CARDS'!TB8</f>
        <v/>
      </c>
      <c r="TD17" s="22">
        <f>'MOMO,AIRTEL,CARDS'!TC8</f>
        <v/>
      </c>
      <c r="TE17" s="22">
        <f>'MOMO,AIRTEL,CARDS'!TD8</f>
        <v/>
      </c>
      <c r="TF17" s="22">
        <f>'MOMO,AIRTEL,CARDS'!TE8</f>
        <v/>
      </c>
      <c r="TG17" s="22">
        <f>'MOMO,AIRTEL,CARDS'!TF8</f>
        <v/>
      </c>
      <c r="TH17" s="22">
        <f>'MOMO,AIRTEL,CARDS'!TG8</f>
        <v/>
      </c>
      <c r="TI17" s="22">
        <f>'MOMO,AIRTEL,CARDS'!TH8</f>
        <v/>
      </c>
      <c r="TJ17" s="22">
        <f>'MOMO,AIRTEL,CARDS'!TI8</f>
        <v/>
      </c>
      <c r="TK17" s="22">
        <f>'MOMO,AIRTEL,CARDS'!TJ8</f>
        <v/>
      </c>
      <c r="TL17" s="22">
        <f>'MOMO,AIRTEL,CARDS'!TK8</f>
        <v/>
      </c>
      <c r="TM17" s="22">
        <f>'MOMO,AIRTEL,CARDS'!TL8</f>
        <v/>
      </c>
      <c r="TN17" s="22">
        <f>'MOMO,AIRTEL,CARDS'!TM8</f>
        <v/>
      </c>
      <c r="TO17" s="22">
        <f>'MOMO,AIRTEL,CARDS'!TN8</f>
        <v/>
      </c>
      <c r="TP17" s="22">
        <f>'MOMO,AIRTEL,CARDS'!TO8</f>
        <v/>
      </c>
      <c r="TQ17" s="22">
        <f>'MOMO,AIRTEL,CARDS'!TP8</f>
        <v/>
      </c>
      <c r="TR17" s="127">
        <f>SUM(SN17:TQ17)</f>
        <v/>
      </c>
      <c r="TS17" s="22">
        <f>'MOMO,AIRTEL,CARDS'!TR8</f>
        <v/>
      </c>
      <c r="TT17" s="22">
        <f>'MOMO,AIRTEL,CARDS'!TS8</f>
        <v/>
      </c>
      <c r="TU17" s="22">
        <f>'MOMO,AIRTEL,CARDS'!TT8</f>
        <v/>
      </c>
      <c r="TV17" s="22">
        <f>'MOMO,AIRTEL,CARDS'!TU8</f>
        <v/>
      </c>
      <c r="TW17" s="22">
        <f>'MOMO,AIRTEL,CARDS'!TV8</f>
        <v/>
      </c>
      <c r="TX17" s="22">
        <f>'MOMO,AIRTEL,CARDS'!TW8</f>
        <v/>
      </c>
      <c r="TY17" s="22">
        <f>'MOMO,AIRTEL,CARDS'!TX8</f>
        <v/>
      </c>
      <c r="TZ17" s="22">
        <f>'MOMO,AIRTEL,CARDS'!TY8</f>
        <v/>
      </c>
      <c r="UA17" s="22">
        <f>'MOMO,AIRTEL,CARDS'!TZ8</f>
        <v/>
      </c>
      <c r="UB17" s="22">
        <f>'MOMO,AIRTEL,CARDS'!UA8</f>
        <v/>
      </c>
      <c r="UC17" s="22">
        <f>'MOMO,AIRTEL,CARDS'!UB8</f>
        <v/>
      </c>
      <c r="UD17" s="22">
        <f>'MOMO,AIRTEL,CARDS'!UC8</f>
        <v/>
      </c>
      <c r="UE17" s="22">
        <f>'MOMO,AIRTEL,CARDS'!UD8</f>
        <v/>
      </c>
      <c r="UF17" s="22">
        <f>'MOMO,AIRTEL,CARDS'!UE8</f>
        <v/>
      </c>
      <c r="UG17" s="22">
        <f>'MOMO,AIRTEL,CARDS'!UF8</f>
        <v/>
      </c>
      <c r="UH17" s="22">
        <f>'MOMO,AIRTEL,CARDS'!UG8</f>
        <v/>
      </c>
      <c r="UI17" s="22">
        <f>'MOMO,AIRTEL,CARDS'!UH8</f>
        <v/>
      </c>
      <c r="UJ17" s="22">
        <f>'MOMO,AIRTEL,CARDS'!UI8</f>
        <v/>
      </c>
      <c r="UK17" s="22">
        <f>'MOMO,AIRTEL,CARDS'!UJ8</f>
        <v/>
      </c>
      <c r="UL17" s="22">
        <f>'MOMO,AIRTEL,CARDS'!UK8</f>
        <v/>
      </c>
      <c r="UM17" s="22">
        <f>'MOMO,AIRTEL,CARDS'!UL8</f>
        <v/>
      </c>
      <c r="UN17" s="22">
        <f>'MOMO,AIRTEL,CARDS'!UM8</f>
        <v/>
      </c>
      <c r="UO17" s="22">
        <f>'MOMO,AIRTEL,CARDS'!UN8</f>
        <v/>
      </c>
      <c r="UP17" s="22">
        <f>'MOMO,AIRTEL,CARDS'!UO8</f>
        <v/>
      </c>
      <c r="UQ17" s="22">
        <f>'MOMO,AIRTEL,CARDS'!UP8</f>
        <v/>
      </c>
      <c r="UR17" s="22">
        <f>'MOMO,AIRTEL,CARDS'!UQ8</f>
        <v/>
      </c>
      <c r="US17" s="22">
        <f>'MOMO,AIRTEL,CARDS'!UR8</f>
        <v/>
      </c>
      <c r="UT17" s="22">
        <f>'MOMO,AIRTEL,CARDS'!US8</f>
        <v/>
      </c>
      <c r="UU17" s="22">
        <f>'MOMO,AIRTEL,CARDS'!UT8</f>
        <v/>
      </c>
      <c r="UV17" s="22">
        <f>'MOMO,AIRTEL,CARDS'!UU8</f>
        <v/>
      </c>
      <c r="UW17" s="22">
        <f>'MOMO,AIRTEL,CARDS'!UV8</f>
        <v/>
      </c>
      <c r="UX17" s="127">
        <f>SUM(TT17:UW17)</f>
        <v/>
      </c>
      <c r="UY17" s="22">
        <f>'MOMO,AIRTEL,CARDS'!UX8</f>
        <v/>
      </c>
      <c r="UZ17" s="22">
        <f>'MOMO,AIRTEL,CARDS'!UY8</f>
        <v/>
      </c>
      <c r="VA17" s="22">
        <f>'MOMO,AIRTEL,CARDS'!UZ8</f>
        <v/>
      </c>
      <c r="VB17" s="22">
        <f>'MOMO,AIRTEL,CARDS'!VA8</f>
        <v/>
      </c>
      <c r="VC17" s="22">
        <f>'MOMO,AIRTEL,CARDS'!VB8</f>
        <v/>
      </c>
      <c r="VD17" s="22">
        <f>'MOMO,AIRTEL,CARDS'!VC8</f>
        <v/>
      </c>
      <c r="VE17" s="22">
        <f>'MOMO,AIRTEL,CARDS'!VD8</f>
        <v/>
      </c>
      <c r="VF17" s="22">
        <f>'MOMO,AIRTEL,CARDS'!VE8</f>
        <v/>
      </c>
      <c r="VG17" s="22">
        <f>'MOMO,AIRTEL,CARDS'!VF8</f>
        <v/>
      </c>
      <c r="VH17" s="22">
        <f>'MOMO,AIRTEL,CARDS'!VG8</f>
        <v/>
      </c>
      <c r="VI17" s="22">
        <f>'MOMO,AIRTEL,CARDS'!VH8</f>
        <v/>
      </c>
      <c r="VJ17" s="22">
        <f>'MOMO,AIRTEL,CARDS'!VI8</f>
        <v/>
      </c>
      <c r="VK17" s="22">
        <f>'MOMO,AIRTEL,CARDS'!VJ8</f>
        <v/>
      </c>
      <c r="VL17" s="22">
        <f>'MOMO,AIRTEL,CARDS'!VK8</f>
        <v/>
      </c>
      <c r="VM17" s="22">
        <f>'MOMO,AIRTEL,CARDS'!VL8</f>
        <v/>
      </c>
      <c r="VN17" s="22">
        <f>'MOMO,AIRTEL,CARDS'!VM8</f>
        <v/>
      </c>
      <c r="VO17" s="22">
        <f>'MOMO,AIRTEL,CARDS'!VN8</f>
        <v/>
      </c>
      <c r="VP17" s="22">
        <f>'MOMO,AIRTEL,CARDS'!VO8</f>
        <v/>
      </c>
      <c r="VQ17" s="22">
        <f>'MOMO,AIRTEL,CARDS'!VP8</f>
        <v/>
      </c>
      <c r="VR17" s="22">
        <f>'MOMO,AIRTEL,CARDS'!VQ8</f>
        <v/>
      </c>
      <c r="VS17" s="22">
        <f>'MOMO,AIRTEL,CARDS'!VR8</f>
        <v/>
      </c>
      <c r="VT17" s="22">
        <f>'MOMO,AIRTEL,CARDS'!VS8</f>
        <v/>
      </c>
      <c r="VU17" s="22">
        <f>'MOMO,AIRTEL,CARDS'!VT8</f>
        <v/>
      </c>
      <c r="VV17" s="22">
        <f>'MOMO,AIRTEL,CARDS'!VU8</f>
        <v/>
      </c>
      <c r="VW17" s="22">
        <f>'MOMO,AIRTEL,CARDS'!VV8</f>
        <v/>
      </c>
      <c r="VX17" s="22">
        <f>'MOMO,AIRTEL,CARDS'!VW8</f>
        <v/>
      </c>
      <c r="VY17" s="22">
        <f>'MOMO,AIRTEL,CARDS'!VX8</f>
        <v/>
      </c>
      <c r="VZ17" s="22">
        <f>'MOMO,AIRTEL,CARDS'!VY8</f>
        <v/>
      </c>
      <c r="WA17" s="127">
        <f>SUM(UW17:VZ17)</f>
        <v/>
      </c>
      <c r="WB17" s="22">
        <f>'MOMO,AIRTEL,CARDS'!WA8</f>
        <v/>
      </c>
      <c r="WC17" s="22">
        <f>'MOMO,AIRTEL,CARDS'!WB8</f>
        <v/>
      </c>
      <c r="WD17" s="22">
        <f>'MOMO,AIRTEL,CARDS'!WC8</f>
        <v/>
      </c>
      <c r="WE17" s="22">
        <f>'MOMO,AIRTEL,CARDS'!WD8</f>
        <v/>
      </c>
      <c r="WF17" s="22">
        <f>'MOMO,AIRTEL,CARDS'!WE8</f>
        <v/>
      </c>
      <c r="WG17" s="22">
        <f>'MOMO,AIRTEL,CARDS'!WF8</f>
        <v/>
      </c>
      <c r="WH17" s="22">
        <f>'MOMO,AIRTEL,CARDS'!WG8</f>
        <v/>
      </c>
      <c r="WI17" s="22">
        <f>'MOMO,AIRTEL,CARDS'!WH8</f>
        <v/>
      </c>
      <c r="WJ17" s="22">
        <f>'MOMO,AIRTEL,CARDS'!WI8</f>
        <v/>
      </c>
      <c r="WK17" s="22">
        <f>'MOMO,AIRTEL,CARDS'!WJ8</f>
        <v/>
      </c>
      <c r="WL17" s="22">
        <f>'MOMO,AIRTEL,CARDS'!WK8</f>
        <v/>
      </c>
      <c r="WM17" s="22">
        <f>'MOMO,AIRTEL,CARDS'!WL8</f>
        <v/>
      </c>
      <c r="WN17" s="22">
        <f>'MOMO,AIRTEL,CARDS'!WM8</f>
        <v/>
      </c>
      <c r="WO17" s="22">
        <f>'MOMO,AIRTEL,CARDS'!WN8</f>
        <v/>
      </c>
      <c r="WP17" s="22">
        <f>'MOMO,AIRTEL,CARDS'!WO8</f>
        <v/>
      </c>
      <c r="WQ17" s="22">
        <f>'MOMO,AIRTEL,CARDS'!WP8</f>
        <v/>
      </c>
      <c r="WR17" s="22">
        <f>'MOMO,AIRTEL,CARDS'!WQ8</f>
        <v/>
      </c>
      <c r="WS17" s="22">
        <f>'MOMO,AIRTEL,CARDS'!WR8</f>
        <v/>
      </c>
      <c r="WT17" s="22">
        <f>'MOMO,AIRTEL,CARDS'!WS8</f>
        <v/>
      </c>
      <c r="WU17" s="22">
        <f>'MOMO,AIRTEL,CARDS'!WT8</f>
        <v/>
      </c>
      <c r="WV17" s="22">
        <f>'MOMO,AIRTEL,CARDS'!WU8</f>
        <v/>
      </c>
      <c r="WW17" s="22">
        <f>'MOMO,AIRTEL,CARDS'!WV8</f>
        <v/>
      </c>
      <c r="WX17" s="22">
        <f>'MOMO,AIRTEL,CARDS'!WW8</f>
        <v/>
      </c>
      <c r="WY17" s="22">
        <f>'MOMO,AIRTEL,CARDS'!WX8</f>
        <v/>
      </c>
      <c r="WZ17" s="22">
        <f>'MOMO,AIRTEL,CARDS'!WY8</f>
        <v/>
      </c>
      <c r="XA17" s="22">
        <f>'MOMO,AIRTEL,CARDS'!WZ8</f>
        <v/>
      </c>
      <c r="XB17" s="22">
        <f>'MOMO,AIRTEL,CARDS'!XA8</f>
        <v/>
      </c>
      <c r="XC17" s="22">
        <f>'MOMO,AIRTEL,CARDS'!XB8</f>
        <v/>
      </c>
      <c r="XD17" s="22">
        <f>'MOMO,AIRTEL,CARDS'!XC8</f>
        <v/>
      </c>
      <c r="XE17" s="22">
        <f>'MOMO,AIRTEL,CARDS'!XD8</f>
        <v/>
      </c>
      <c r="XF17" s="22">
        <f>'MOMO,AIRTEL,CARDS'!XE8</f>
        <v/>
      </c>
      <c r="XG17" s="127">
        <f>SUM(WB17:XF17)</f>
        <v/>
      </c>
      <c r="XH17" s="22">
        <f>'MOMO,AIRTEL,CARDS'!XG8</f>
        <v/>
      </c>
      <c r="XI17" s="22">
        <f>'MOMO,AIRTEL,CARDS'!XH8</f>
        <v/>
      </c>
      <c r="XJ17" s="22">
        <f>'MOMO,AIRTEL,CARDS'!XI8</f>
        <v/>
      </c>
      <c r="XK17" s="22">
        <f>'MOMO,AIRTEL,CARDS'!XJ8</f>
        <v/>
      </c>
      <c r="XL17" s="22">
        <f>'MOMO,AIRTEL,CARDS'!XK8</f>
        <v/>
      </c>
      <c r="XM17" s="22">
        <f>'MOMO,AIRTEL,CARDS'!XL8</f>
        <v/>
      </c>
      <c r="XN17" s="22">
        <f>'MOMO,AIRTEL,CARDS'!XM8</f>
        <v/>
      </c>
      <c r="XO17" s="22">
        <f>'MOMO,AIRTEL,CARDS'!XN8</f>
        <v/>
      </c>
      <c r="XP17" s="22">
        <f>'MOMO,AIRTEL,CARDS'!XO8</f>
        <v/>
      </c>
      <c r="XQ17" s="22">
        <f>'MOMO,AIRTEL,CARDS'!XP8</f>
        <v/>
      </c>
      <c r="XR17" s="22">
        <f>'MOMO,AIRTEL,CARDS'!XQ8</f>
        <v/>
      </c>
      <c r="XS17" s="22">
        <f>'MOMO,AIRTEL,CARDS'!XR8</f>
        <v/>
      </c>
      <c r="XT17" s="22">
        <f>'MOMO,AIRTEL,CARDS'!XS8</f>
        <v/>
      </c>
      <c r="XU17" s="22">
        <f>'MOMO,AIRTEL,CARDS'!XT8</f>
        <v/>
      </c>
      <c r="XV17" s="22">
        <f>'MOMO,AIRTEL,CARDS'!XU8</f>
        <v/>
      </c>
      <c r="XW17" s="22">
        <f>'MOMO,AIRTEL,CARDS'!XV8</f>
        <v/>
      </c>
      <c r="XX17" s="22">
        <f>'MOMO,AIRTEL,CARDS'!XW8</f>
        <v/>
      </c>
      <c r="XY17" s="22">
        <f>'MOMO,AIRTEL,CARDS'!XX8</f>
        <v/>
      </c>
      <c r="XZ17" s="22">
        <f>'MOMO,AIRTEL,CARDS'!XY8</f>
        <v/>
      </c>
      <c r="YA17" s="22">
        <f>'MOMO,AIRTEL,CARDS'!XZ8</f>
        <v/>
      </c>
      <c r="YB17" s="22">
        <f>'MOMO,AIRTEL,CARDS'!YA8</f>
        <v/>
      </c>
      <c r="YC17" s="22">
        <f>'MOMO,AIRTEL,CARDS'!YB8</f>
        <v/>
      </c>
      <c r="YD17" s="22">
        <f>'MOMO,AIRTEL,CARDS'!YC8</f>
        <v/>
      </c>
      <c r="YE17" s="22">
        <f>'MOMO,AIRTEL,CARDS'!YD8</f>
        <v/>
      </c>
      <c r="YF17" s="22">
        <f>'MOMO,AIRTEL,CARDS'!YE8</f>
        <v/>
      </c>
      <c r="YG17" s="22">
        <f>'MOMO,AIRTEL,CARDS'!YF8</f>
        <v/>
      </c>
      <c r="YH17" s="22">
        <f>'MOMO,AIRTEL,CARDS'!YG8</f>
        <v/>
      </c>
      <c r="YI17" s="22">
        <f>'MOMO,AIRTEL,CARDS'!YH8</f>
        <v/>
      </c>
      <c r="YJ17" s="22">
        <f>'MOMO,AIRTEL,CARDS'!YI8</f>
        <v/>
      </c>
      <c r="YK17" s="22">
        <f>'MOMO,AIRTEL,CARDS'!YJ8</f>
        <v/>
      </c>
      <c r="YL17" s="127">
        <f>SUM(XH17:YK17)</f>
        <v/>
      </c>
      <c r="YM17" s="22">
        <f>'MOMO,AIRTEL,CARDS'!YL8</f>
        <v/>
      </c>
      <c r="YN17" s="22">
        <f>'MOMO,AIRTEL,CARDS'!YM8</f>
        <v/>
      </c>
      <c r="YO17" s="22">
        <f>'MOMO,AIRTEL,CARDS'!YN8</f>
        <v/>
      </c>
      <c r="YP17" s="22">
        <f>'MOMO,AIRTEL,CARDS'!YO8</f>
        <v/>
      </c>
      <c r="YQ17" s="22">
        <f>'MOMO,AIRTEL,CARDS'!YP8</f>
        <v/>
      </c>
      <c r="YR17" s="22">
        <f>'MOMO,AIRTEL,CARDS'!YQ8</f>
        <v/>
      </c>
      <c r="YS17" s="22">
        <f>'MOMO,AIRTEL,CARDS'!YR8</f>
        <v/>
      </c>
      <c r="YT17" s="22">
        <f>'MOMO,AIRTEL,CARDS'!YS8</f>
        <v/>
      </c>
      <c r="YU17" s="22">
        <f>'MOMO,AIRTEL,CARDS'!YT8</f>
        <v/>
      </c>
      <c r="YV17" s="22">
        <f>'MOMO,AIRTEL,CARDS'!YU8</f>
        <v/>
      </c>
      <c r="YW17" s="22">
        <f>'MOMO,AIRTEL,CARDS'!YV8</f>
        <v/>
      </c>
      <c r="YX17" s="22">
        <f>'MOMO,AIRTEL,CARDS'!YW8</f>
        <v/>
      </c>
      <c r="YY17" s="22">
        <f>'MOMO,AIRTEL,CARDS'!YX8</f>
        <v/>
      </c>
      <c r="YZ17" s="22">
        <f>'MOMO,AIRTEL,CARDS'!YY8</f>
        <v/>
      </c>
      <c r="ZA17" s="22">
        <f>'MOMO,AIRTEL,CARDS'!YZ8</f>
        <v/>
      </c>
      <c r="ZB17" s="22">
        <f>'MOMO,AIRTEL,CARDS'!ZA8</f>
        <v/>
      </c>
      <c r="ZC17" s="22">
        <f>'MOMO,AIRTEL,CARDS'!ZB8</f>
        <v/>
      </c>
      <c r="ZD17" s="22">
        <f>'MOMO,AIRTEL,CARDS'!ZC8</f>
        <v/>
      </c>
      <c r="ZE17" s="22">
        <f>'MOMO,AIRTEL,CARDS'!ZD8</f>
        <v/>
      </c>
      <c r="ZF17" s="22">
        <f>'MOMO,AIRTEL,CARDS'!ZE8</f>
        <v/>
      </c>
      <c r="ZG17" s="22">
        <f>'MOMO,AIRTEL,CARDS'!ZF8</f>
        <v/>
      </c>
      <c r="ZH17" s="22">
        <f>'MOMO,AIRTEL,CARDS'!ZG8</f>
        <v/>
      </c>
      <c r="ZI17" s="22">
        <f>'MOMO,AIRTEL,CARDS'!ZH8</f>
        <v/>
      </c>
      <c r="ZJ17" s="22">
        <f>'MOMO,AIRTEL,CARDS'!ZI8</f>
        <v/>
      </c>
      <c r="ZK17" s="22">
        <f>'MOMO,AIRTEL,CARDS'!ZJ8</f>
        <v/>
      </c>
      <c r="ZL17" s="22">
        <f>'MOMO,AIRTEL,CARDS'!ZK8</f>
        <v/>
      </c>
      <c r="ZM17" s="22">
        <f>'MOMO,AIRTEL,CARDS'!ZL8</f>
        <v/>
      </c>
      <c r="ZN17" s="22">
        <f>'MOMO,AIRTEL,CARDS'!ZM8</f>
        <v/>
      </c>
      <c r="ZO17" s="22">
        <f>'MOMO,AIRTEL,CARDS'!ZN8</f>
        <v/>
      </c>
      <c r="ZP17" s="22">
        <f>'MOMO,AIRTEL,CARDS'!ZO8</f>
        <v/>
      </c>
      <c r="ZQ17" s="22">
        <f>'MOMO,AIRTEL,CARDS'!ZP8</f>
        <v/>
      </c>
      <c r="ZR17" s="127">
        <f>SUM(YM17:ZQ17)</f>
        <v/>
      </c>
      <c r="ZS17" s="22">
        <f>'MOMO,AIRTEL,CARDS'!ZR8</f>
        <v/>
      </c>
      <c r="ZT17" s="22">
        <f>'MOMO,AIRTEL,CARDS'!ZS8</f>
        <v/>
      </c>
      <c r="ZU17" s="22">
        <f>'MOMO,AIRTEL,CARDS'!ZT8</f>
        <v/>
      </c>
      <c r="ZV17" s="22">
        <f>'MOMO,AIRTEL,CARDS'!ZU8</f>
        <v/>
      </c>
      <c r="ZW17" s="22">
        <f>'MOMO,AIRTEL,CARDS'!ZV8</f>
        <v/>
      </c>
      <c r="ZX17" s="22">
        <f>'MOMO,AIRTEL,CARDS'!ZW8</f>
        <v/>
      </c>
      <c r="ZY17" s="22">
        <f>'MOMO,AIRTEL,CARDS'!ZX8</f>
        <v/>
      </c>
      <c r="ZZ17" s="22">
        <f>'MOMO,AIRTEL,CARDS'!ZY8</f>
        <v/>
      </c>
      <c r="AAA17" s="22">
        <f>'MOMO,AIRTEL,CARDS'!ZZ8</f>
        <v/>
      </c>
      <c r="AAB17" s="22">
        <f>'MOMO,AIRTEL,CARDS'!AAA8</f>
        <v/>
      </c>
      <c r="AAC17" s="22">
        <f>'MOMO,AIRTEL,CARDS'!AAB8</f>
        <v/>
      </c>
      <c r="AAD17" s="22">
        <f>'MOMO,AIRTEL,CARDS'!AAC8</f>
        <v/>
      </c>
      <c r="AAE17" s="22">
        <f>'MOMO,AIRTEL,CARDS'!AAD8</f>
        <v/>
      </c>
      <c r="AAF17" s="22">
        <f>'MOMO,AIRTEL,CARDS'!AAE8</f>
        <v/>
      </c>
      <c r="AAG17" s="22">
        <f>'MOMO,AIRTEL,CARDS'!AAF8</f>
        <v/>
      </c>
      <c r="AAH17" s="22">
        <f>'MOMO,AIRTEL,CARDS'!AAG8</f>
        <v/>
      </c>
      <c r="AAI17" s="22">
        <f>'MOMO,AIRTEL,CARDS'!AAH8</f>
        <v/>
      </c>
      <c r="AAJ17" s="22">
        <f>'MOMO,AIRTEL,CARDS'!AAI8</f>
        <v/>
      </c>
      <c r="AAK17" s="22">
        <f>'MOMO,AIRTEL,CARDS'!AAJ8</f>
        <v/>
      </c>
      <c r="AAL17" s="22">
        <f>'MOMO,AIRTEL,CARDS'!AAK8</f>
        <v/>
      </c>
      <c r="AAM17" s="22">
        <f>'MOMO,AIRTEL,CARDS'!AAL8</f>
        <v/>
      </c>
      <c r="AAN17" s="22">
        <f>'MOMO,AIRTEL,CARDS'!AAM8</f>
        <v/>
      </c>
      <c r="AAO17" s="22">
        <f>'MOMO,AIRTEL,CARDS'!AAN8</f>
        <v/>
      </c>
      <c r="AAP17" s="22">
        <f>'MOMO,AIRTEL,CARDS'!AAO8</f>
        <v/>
      </c>
      <c r="AAQ17" s="22">
        <f>'MOMO,AIRTEL,CARDS'!AAP8</f>
        <v/>
      </c>
      <c r="AAR17" s="22">
        <f>'MOMO,AIRTEL,CARDS'!AAQ8</f>
        <v/>
      </c>
      <c r="AAS17" s="22">
        <f>'MOMO,AIRTEL,CARDS'!AAR8</f>
        <v/>
      </c>
      <c r="AAT17" s="22">
        <f>'MOMO,AIRTEL,CARDS'!AAS8</f>
        <v/>
      </c>
      <c r="AAU17" s="22">
        <f>'MOMO,AIRTEL,CARDS'!AAT8</f>
        <v/>
      </c>
      <c r="AAV17" s="22">
        <f>'MOMO,AIRTEL,CARDS'!AAU8</f>
        <v/>
      </c>
      <c r="AAW17" s="127">
        <f>SUM(ZS17:AAV17)</f>
        <v/>
      </c>
      <c r="AAX17" s="22">
        <f>'MOMO,AIRTEL,CARDS'!AAW8</f>
        <v/>
      </c>
      <c r="AAY17" s="22">
        <f>'MOMO,AIRTEL,CARDS'!AAX8</f>
        <v/>
      </c>
      <c r="AAZ17" s="22">
        <f>'MOMO,AIRTEL,CARDS'!AAY8</f>
        <v/>
      </c>
      <c r="ABA17" s="22">
        <f>'MOMO,AIRTEL,CARDS'!AAZ8</f>
        <v/>
      </c>
      <c r="ABB17" s="22">
        <f>'MOMO,AIRTEL,CARDS'!ABA8</f>
        <v/>
      </c>
      <c r="ABC17" s="22">
        <f>'MOMO,AIRTEL,CARDS'!ABB8</f>
        <v/>
      </c>
      <c r="ABD17" s="22">
        <f>'MOMO,AIRTEL,CARDS'!ABC8</f>
        <v/>
      </c>
      <c r="ABE17" s="22">
        <f>'MOMO,AIRTEL,CARDS'!ABD8</f>
        <v/>
      </c>
      <c r="ABF17" s="22">
        <f>'MOMO,AIRTEL,CARDS'!ABE8</f>
        <v/>
      </c>
      <c r="ABG17" s="22">
        <f>'MOMO,AIRTEL,CARDS'!ABF8</f>
        <v/>
      </c>
      <c r="ABH17" s="22">
        <f>'MOMO,AIRTEL,CARDS'!ABG8</f>
        <v/>
      </c>
      <c r="ABI17" s="22">
        <f>'MOMO,AIRTEL,CARDS'!ABH8</f>
        <v/>
      </c>
      <c r="ABJ17" s="22">
        <f>'MOMO,AIRTEL,CARDS'!ABI8</f>
        <v/>
      </c>
      <c r="ABK17" s="22">
        <f>'MOMO,AIRTEL,CARDS'!ABJ8</f>
        <v/>
      </c>
      <c r="ABL17" s="22">
        <f>'MOMO,AIRTEL,CARDS'!ABK8</f>
        <v/>
      </c>
      <c r="ABM17" s="22">
        <f>'MOMO,AIRTEL,CARDS'!ABL8</f>
        <v/>
      </c>
      <c r="ABN17" s="22">
        <f>'MOMO,AIRTEL,CARDS'!ABM8</f>
        <v/>
      </c>
      <c r="ABO17" s="22">
        <f>'MOMO,AIRTEL,CARDS'!ABN8</f>
        <v/>
      </c>
      <c r="ABP17" s="22">
        <f>'MOMO,AIRTEL,CARDS'!ABO8</f>
        <v/>
      </c>
      <c r="ABQ17" s="22">
        <f>'MOMO,AIRTEL,CARDS'!ABP8</f>
        <v/>
      </c>
      <c r="ABR17" s="22">
        <f>'MOMO,AIRTEL,CARDS'!ABQ8</f>
        <v/>
      </c>
      <c r="ABS17" s="22">
        <f>'MOMO,AIRTEL,CARDS'!ABR8</f>
        <v/>
      </c>
      <c r="ABT17" s="22">
        <f>'MOMO,AIRTEL,CARDS'!ABS8</f>
        <v/>
      </c>
      <c r="ABU17" s="22">
        <f>'MOMO,AIRTEL,CARDS'!ABT8</f>
        <v/>
      </c>
      <c r="ABV17" s="22">
        <f>'MOMO,AIRTEL,CARDS'!ABU8</f>
        <v/>
      </c>
      <c r="ABW17" s="22">
        <f>'MOMO,AIRTEL,CARDS'!ABV8</f>
        <v/>
      </c>
      <c r="ABX17" s="22">
        <f>'MOMO,AIRTEL,CARDS'!ABW8</f>
        <v/>
      </c>
      <c r="ABY17" s="22">
        <f>'MOMO,AIRTEL,CARDS'!ABX8</f>
        <v/>
      </c>
      <c r="ABZ17" s="22">
        <f>'MOMO,AIRTEL,CARDS'!ABY8</f>
        <v/>
      </c>
      <c r="ACA17" s="22">
        <f>'MOMO,AIRTEL,CARDS'!ABZ8</f>
        <v/>
      </c>
      <c r="ACB17" s="22">
        <f>'MOMO,AIRTEL,CARDS'!ACA8</f>
        <v/>
      </c>
      <c r="ACC17" s="127">
        <f>SUM(AAY17:ACB17)</f>
        <v/>
      </c>
      <c r="ACD17" s="22">
        <f>'MOMO,AIRTEL,CARDS'!ACC8</f>
        <v/>
      </c>
      <c r="ACE17" s="22">
        <f>'MOMO,AIRTEL,CARDS'!ACD8</f>
        <v/>
      </c>
      <c r="ACF17" s="22">
        <f>'MOMO,AIRTEL,CARDS'!ACE8</f>
        <v/>
      </c>
      <c r="ACG17" s="22">
        <f>'MOMO,AIRTEL,CARDS'!ACF8</f>
        <v/>
      </c>
      <c r="ACH17" s="22">
        <f>'MOMO,AIRTEL,CARDS'!ACG8</f>
        <v/>
      </c>
      <c r="ACI17" s="22">
        <f>'MOMO,AIRTEL,CARDS'!ACH8</f>
        <v/>
      </c>
      <c r="ACJ17" s="22">
        <f>'MOMO,AIRTEL,CARDS'!ACI8</f>
        <v/>
      </c>
      <c r="ACK17" s="22">
        <f>'MOMO,AIRTEL,CARDS'!ACJ8</f>
        <v/>
      </c>
      <c r="ACL17" s="22">
        <f>'MOMO,AIRTEL,CARDS'!ACK8</f>
        <v/>
      </c>
      <c r="ACM17" s="22">
        <f>'MOMO,AIRTEL,CARDS'!ACL8</f>
        <v/>
      </c>
      <c r="ACN17" s="22">
        <f>'MOMO,AIRTEL,CARDS'!ACM8</f>
        <v/>
      </c>
      <c r="ACO17" s="22">
        <f>'MOMO,AIRTEL,CARDS'!ACN8</f>
        <v/>
      </c>
      <c r="ACP17" s="22">
        <f>'MOMO,AIRTEL,CARDS'!ACO8</f>
        <v/>
      </c>
      <c r="ACQ17" s="22">
        <f>'MOMO,AIRTEL,CARDS'!ACP8</f>
        <v/>
      </c>
      <c r="ACR17" s="22">
        <f>'MOMO,AIRTEL,CARDS'!ACQ8</f>
        <v/>
      </c>
      <c r="ACS17" s="22">
        <f>'MOMO,AIRTEL,CARDS'!ACR8</f>
        <v/>
      </c>
      <c r="ACT17" s="22">
        <f>'MOMO,AIRTEL,CARDS'!ACS8</f>
        <v/>
      </c>
      <c r="ACU17" s="22">
        <f>'MOMO,AIRTEL,CARDS'!ACT8</f>
        <v/>
      </c>
      <c r="ACV17" s="22">
        <f>'MOMO,AIRTEL,CARDS'!ACU8</f>
        <v/>
      </c>
      <c r="ACW17" s="22">
        <f>'MOMO,AIRTEL,CARDS'!ACV8</f>
        <v/>
      </c>
      <c r="ACX17" s="22">
        <f>'MOMO,AIRTEL,CARDS'!ACW8</f>
        <v/>
      </c>
      <c r="ACY17" s="22">
        <f>'MOMO,AIRTEL,CARDS'!ACX8</f>
        <v/>
      </c>
      <c r="ACZ17" s="22">
        <f>'MOMO,AIRTEL,CARDS'!ACY8</f>
        <v/>
      </c>
      <c r="ADA17" s="22">
        <f>'MOMO,AIRTEL,CARDS'!ACZ8</f>
        <v/>
      </c>
      <c r="ADB17" s="22">
        <f>'MOMO,AIRTEL,CARDS'!ADA8</f>
        <v/>
      </c>
      <c r="ADC17" s="22">
        <f>'MOMO,AIRTEL,CARDS'!ADB8</f>
        <v/>
      </c>
      <c r="ADD17" s="22">
        <f>'MOMO,AIRTEL,CARDS'!ADC8</f>
        <v/>
      </c>
      <c r="ADE17" s="22">
        <f>'MOMO,AIRTEL,CARDS'!ADD8</f>
        <v/>
      </c>
      <c r="ADF17" s="22">
        <f>'MOMO,AIRTEL,CARDS'!ADE8</f>
        <v/>
      </c>
      <c r="ADG17" s="22">
        <f>'MOMO,AIRTEL,CARDS'!ADF8</f>
        <v/>
      </c>
      <c r="ADH17" s="22">
        <f>'MOMO,AIRTEL,CARDS'!ADG8</f>
        <v/>
      </c>
      <c r="ADI17" s="127">
        <f>SUM(ACE17:ADH17)</f>
        <v/>
      </c>
      <c r="ADJ17" s="22">
        <f>'MOMO,AIRTEL,CARDS'!ADI8</f>
        <v/>
      </c>
      <c r="ADK17" s="22">
        <f>'MOMO,AIRTEL,CARDS'!ADJ8</f>
        <v/>
      </c>
      <c r="ADL17" s="22">
        <f>'MOMO,AIRTEL,CARDS'!ADK8</f>
        <v/>
      </c>
      <c r="ADM17" s="22">
        <f>'MOMO,AIRTEL,CARDS'!ADL8</f>
        <v/>
      </c>
      <c r="ADN17" s="22">
        <f>'MOMO,AIRTEL,CARDS'!ADM8</f>
        <v/>
      </c>
      <c r="ADO17" s="22">
        <f>'MOMO,AIRTEL,CARDS'!ADN8</f>
        <v/>
      </c>
      <c r="ADP17" s="22">
        <f>'MOMO,AIRTEL,CARDS'!ADO8</f>
        <v/>
      </c>
      <c r="ADQ17" s="22">
        <f>'MOMO,AIRTEL,CARDS'!ADP8</f>
        <v/>
      </c>
      <c r="ADR17" s="22">
        <f>'MOMO,AIRTEL,CARDS'!ADQ8</f>
        <v/>
      </c>
      <c r="ADS17" s="22">
        <f>'MOMO,AIRTEL,CARDS'!ADR8</f>
        <v/>
      </c>
      <c r="ADT17" s="22">
        <f>'MOMO,AIRTEL,CARDS'!ADS8</f>
        <v/>
      </c>
      <c r="ADU17" s="22">
        <f>'MOMO,AIRTEL,CARDS'!ADT8</f>
        <v/>
      </c>
      <c r="ADV17" s="22">
        <f>'MOMO,AIRTEL,CARDS'!ADU8</f>
        <v/>
      </c>
      <c r="ADW17" s="22">
        <f>'MOMO,AIRTEL,CARDS'!ADV8</f>
        <v/>
      </c>
      <c r="ADX17" s="22">
        <f>'MOMO,AIRTEL,CARDS'!ADW8</f>
        <v/>
      </c>
      <c r="ADY17" s="22">
        <f>'MOMO,AIRTEL,CARDS'!ADX8</f>
        <v/>
      </c>
      <c r="ADZ17" s="22">
        <f>'MOMO,AIRTEL,CARDS'!ADY8</f>
        <v/>
      </c>
      <c r="AEA17" s="22">
        <f>'MOMO,AIRTEL,CARDS'!ADZ8</f>
        <v/>
      </c>
      <c r="AEB17" s="22">
        <f>'MOMO,AIRTEL,CARDS'!AEA8</f>
        <v/>
      </c>
      <c r="AEC17" s="22">
        <f>'MOMO,AIRTEL,CARDS'!AEB8</f>
        <v/>
      </c>
      <c r="AED17" s="22">
        <f>'MOMO,AIRTEL,CARDS'!AEC8</f>
        <v/>
      </c>
      <c r="AEE17" s="22">
        <f>'MOMO,AIRTEL,CARDS'!AED8</f>
        <v/>
      </c>
      <c r="AEF17" s="22">
        <f>'MOMO,AIRTEL,CARDS'!AEE8</f>
        <v/>
      </c>
      <c r="AEG17" s="22">
        <f>'MOMO,AIRTEL,CARDS'!AEF8</f>
        <v/>
      </c>
      <c r="AEH17" s="22">
        <f>'MOMO,AIRTEL,CARDS'!AEG8</f>
        <v/>
      </c>
      <c r="AEI17" s="22">
        <f>'MOMO,AIRTEL,CARDS'!AEH8</f>
        <v/>
      </c>
      <c r="AEJ17" s="22">
        <f>'MOMO,AIRTEL,CARDS'!AEI8</f>
        <v/>
      </c>
      <c r="AEK17" s="22">
        <f>'MOMO,AIRTEL,CARDS'!AEJ8</f>
        <v/>
      </c>
      <c r="AEL17" s="22">
        <f>'MOMO,AIRTEL,CARDS'!AEK8</f>
        <v/>
      </c>
      <c r="AEM17" s="22">
        <f>'MOMO,AIRTEL,CARDS'!AEL8</f>
        <v/>
      </c>
      <c r="AEN17" s="127">
        <f>SUM(ADJ17:AEM17)</f>
        <v/>
      </c>
      <c r="AEO17" s="22">
        <f>'MOMO,AIRTEL,CARDS'!AEN8</f>
        <v/>
      </c>
      <c r="AEP17" s="22">
        <f>'MOMO,AIRTEL,CARDS'!AEO8</f>
        <v/>
      </c>
      <c r="AEQ17" s="22">
        <f>'MOMO,AIRTEL,CARDS'!AEP8</f>
        <v/>
      </c>
      <c r="AER17" s="22">
        <f>'MOMO,AIRTEL,CARDS'!AEQ8</f>
        <v/>
      </c>
      <c r="AES17" s="22">
        <f>'MOMO,AIRTEL,CARDS'!AER8</f>
        <v/>
      </c>
      <c r="AET17" s="22">
        <f>'MOMO,AIRTEL,CARDS'!AES8</f>
        <v/>
      </c>
      <c r="AEU17" s="22">
        <f>'MOMO,AIRTEL,CARDS'!AET8</f>
        <v/>
      </c>
      <c r="AEV17" s="22">
        <f>'MOMO,AIRTEL,CARDS'!AEU8</f>
        <v/>
      </c>
      <c r="AEW17" s="22">
        <f>'MOMO,AIRTEL,CARDS'!AEV8</f>
        <v/>
      </c>
      <c r="AEX17" s="22">
        <f>'MOMO,AIRTEL,CARDS'!AEW8</f>
        <v/>
      </c>
      <c r="AEY17" s="22">
        <f>'MOMO,AIRTEL,CARDS'!AEX8</f>
        <v/>
      </c>
      <c r="AEZ17" s="22">
        <f>'MOMO,AIRTEL,CARDS'!AEY8</f>
        <v/>
      </c>
      <c r="AFA17" s="22">
        <f>'MOMO,AIRTEL,CARDS'!AEZ8</f>
        <v/>
      </c>
      <c r="AFB17" s="22">
        <f>'MOMO,AIRTEL,CARDS'!AFA8</f>
        <v/>
      </c>
      <c r="AFC17" s="22">
        <f>'MOMO,AIRTEL,CARDS'!AFB8</f>
        <v/>
      </c>
      <c r="AFD17" s="22">
        <f>'MOMO,AIRTEL,CARDS'!AFC8</f>
        <v/>
      </c>
      <c r="AFE17" s="22">
        <f>'MOMO,AIRTEL,CARDS'!AFD8</f>
        <v/>
      </c>
      <c r="AFF17" s="22">
        <f>'MOMO,AIRTEL,CARDS'!AFE8</f>
        <v/>
      </c>
      <c r="AFG17" s="22">
        <f>'MOMO,AIRTEL,CARDS'!AFF8</f>
        <v/>
      </c>
      <c r="AFH17" s="22">
        <f>'MOMO,AIRTEL,CARDS'!AFG8</f>
        <v/>
      </c>
      <c r="AFI17" s="22">
        <f>'MOMO,AIRTEL,CARDS'!AFH8</f>
        <v/>
      </c>
      <c r="AFJ17" s="22">
        <f>'MOMO,AIRTEL,CARDS'!AFI8</f>
        <v/>
      </c>
      <c r="AFK17" s="22">
        <f>'MOMO,AIRTEL,CARDS'!AFJ8</f>
        <v/>
      </c>
      <c r="AFL17" s="22">
        <f>'MOMO,AIRTEL,CARDS'!AFK8</f>
        <v/>
      </c>
      <c r="AFM17" s="22">
        <f>'MOMO,AIRTEL,CARDS'!AFL8</f>
        <v/>
      </c>
      <c r="AFN17" s="22">
        <f>'MOMO,AIRTEL,CARDS'!AFM8</f>
        <v/>
      </c>
      <c r="AFO17" s="22">
        <f>'MOMO,AIRTEL,CARDS'!AFN8</f>
        <v/>
      </c>
      <c r="AFP17" s="22">
        <f>'MOMO,AIRTEL,CARDS'!AFO8</f>
        <v/>
      </c>
      <c r="AFQ17" s="22">
        <f>'MOMO,AIRTEL,CARDS'!AFP8</f>
        <v/>
      </c>
      <c r="AFR17" s="22">
        <f>'MOMO,AIRTEL,CARDS'!AFQ8</f>
        <v/>
      </c>
      <c r="AFS17" s="22">
        <f>'MOMO,AIRTEL,CARDS'!AFR8</f>
        <v/>
      </c>
      <c r="AFT17" s="127">
        <f>SUM(AEP17:AFS17)</f>
        <v/>
      </c>
      <c r="AFU17" s="22">
        <f>'MOMO,AIRTEL,CARDS'!AFT8</f>
        <v/>
      </c>
      <c r="AFV17" s="22">
        <f>'MOMO,AIRTEL,CARDS'!AFU8</f>
        <v/>
      </c>
      <c r="AFW17" s="22">
        <f>'MOMO,AIRTEL,CARDS'!AFV8</f>
        <v/>
      </c>
      <c r="AFX17" s="22">
        <f>'MOMO,AIRTEL,CARDS'!AFW8</f>
        <v/>
      </c>
      <c r="AFY17" s="22">
        <f>'MOMO,AIRTEL,CARDS'!AFX8</f>
        <v/>
      </c>
      <c r="AFZ17" s="22">
        <f>'MOMO,AIRTEL,CARDS'!AFY8</f>
        <v/>
      </c>
      <c r="AGA17" s="22">
        <f>'MOMO,AIRTEL,CARDS'!AFZ8</f>
        <v/>
      </c>
      <c r="AGB17" s="22">
        <f>'MOMO,AIRTEL,CARDS'!AGA8</f>
        <v/>
      </c>
      <c r="AGC17" s="22">
        <f>'MOMO,AIRTEL,CARDS'!AGB8</f>
        <v/>
      </c>
      <c r="AGD17" s="22">
        <f>'MOMO,AIRTEL,CARDS'!AGC8</f>
        <v/>
      </c>
      <c r="AGE17" s="22">
        <f>'MOMO,AIRTEL,CARDS'!AGD8</f>
        <v/>
      </c>
      <c r="AGF17" s="22">
        <f>'MOMO,AIRTEL,CARDS'!AGE8</f>
        <v/>
      </c>
      <c r="AGG17" s="22">
        <f>'MOMO,AIRTEL,CARDS'!AGF8</f>
        <v/>
      </c>
      <c r="AGH17" s="22">
        <f>'MOMO,AIRTEL,CARDS'!AGG8</f>
        <v/>
      </c>
      <c r="AGI17" s="22">
        <f>'MOMO,AIRTEL,CARDS'!AGH8</f>
        <v/>
      </c>
      <c r="AGJ17" s="22">
        <f>'MOMO,AIRTEL,CARDS'!AGI8</f>
        <v/>
      </c>
      <c r="AGK17" s="22">
        <f>'MOMO,AIRTEL,CARDS'!AGJ8</f>
        <v/>
      </c>
      <c r="AGL17" s="22">
        <f>'MOMO,AIRTEL,CARDS'!AGK8</f>
        <v/>
      </c>
      <c r="AGM17" s="22">
        <f>'MOMO,AIRTEL,CARDS'!AGL8</f>
        <v/>
      </c>
      <c r="AGN17" s="22">
        <f>'MOMO,AIRTEL,CARDS'!AGM8</f>
        <v/>
      </c>
      <c r="AGO17" s="22">
        <f>'MOMO,AIRTEL,CARDS'!AGN8</f>
        <v/>
      </c>
      <c r="AGP17" s="22">
        <f>'MOMO,AIRTEL,CARDS'!AGO8</f>
        <v/>
      </c>
      <c r="AGQ17" s="22">
        <f>'MOMO,AIRTEL,CARDS'!AGP8</f>
        <v/>
      </c>
      <c r="AGR17" s="22">
        <f>'MOMO,AIRTEL,CARDS'!AGQ8</f>
        <v/>
      </c>
      <c r="AGS17" s="22">
        <f>'MOMO,AIRTEL,CARDS'!AGR8</f>
        <v/>
      </c>
      <c r="AGT17" s="22">
        <f>'MOMO,AIRTEL,CARDS'!AGS8</f>
        <v/>
      </c>
      <c r="AGU17" s="22">
        <f>'MOMO,AIRTEL,CARDS'!AGT8</f>
        <v/>
      </c>
      <c r="AGV17" s="22">
        <f>'MOMO,AIRTEL,CARDS'!AGU8</f>
        <v/>
      </c>
      <c r="AGW17" s="22">
        <f>'MOMO,AIRTEL,CARDS'!AGV8</f>
        <v/>
      </c>
      <c r="AGX17" s="22">
        <f>'MOMO,AIRTEL,CARDS'!AGW8</f>
        <v/>
      </c>
      <c r="AGY17" s="127">
        <f>SUM(AFU17:AGX17)</f>
        <v/>
      </c>
      <c r="AGZ17" s="22">
        <f>'MOMO,AIRTEL,CARDS'!AGY8</f>
        <v/>
      </c>
      <c r="AHA17" s="22">
        <f>'MOMO,AIRTEL,CARDS'!AGZ8</f>
        <v/>
      </c>
      <c r="AHB17" s="22">
        <f>'MOMO,AIRTEL,CARDS'!AHA8</f>
        <v/>
      </c>
      <c r="AHC17" s="22">
        <f>'MOMO,AIRTEL,CARDS'!AHB8</f>
        <v/>
      </c>
      <c r="AHD17" s="22">
        <f>'MOMO,AIRTEL,CARDS'!AHC8</f>
        <v/>
      </c>
      <c r="AHE17" s="22">
        <f>'MOMO,AIRTEL,CARDS'!AHD8</f>
        <v/>
      </c>
      <c r="AHF17" s="22">
        <f>'MOMO,AIRTEL,CARDS'!AHE8</f>
        <v/>
      </c>
      <c r="AHG17" s="22">
        <f>'MOMO,AIRTEL,CARDS'!AHF8</f>
        <v/>
      </c>
      <c r="AHH17" s="22">
        <f>'MOMO,AIRTEL,CARDS'!AHG8</f>
        <v/>
      </c>
      <c r="AHI17" s="22">
        <f>'MOMO,AIRTEL,CARDS'!AHH8</f>
        <v/>
      </c>
      <c r="AHJ17" s="22">
        <f>'MOMO,AIRTEL,CARDS'!AHI8</f>
        <v/>
      </c>
      <c r="AHK17" s="22">
        <f>'MOMO,AIRTEL,CARDS'!AHJ8</f>
        <v/>
      </c>
      <c r="AHL17" s="22">
        <f>'MOMO,AIRTEL,CARDS'!AHK8</f>
        <v/>
      </c>
      <c r="AHM17" s="22">
        <f>'MOMO,AIRTEL,CARDS'!AHL8</f>
        <v/>
      </c>
      <c r="AHN17" s="22">
        <f>'MOMO,AIRTEL,CARDS'!AHM8</f>
        <v/>
      </c>
      <c r="AHO17" s="22">
        <f>'MOMO,AIRTEL,CARDS'!AHN8</f>
        <v/>
      </c>
      <c r="AHP17" s="22">
        <f>'MOMO,AIRTEL,CARDS'!AHO8</f>
        <v/>
      </c>
      <c r="AHQ17" s="22">
        <f>'MOMO,AIRTEL,CARDS'!AHP8</f>
        <v/>
      </c>
      <c r="AHR17" s="22">
        <f>'MOMO,AIRTEL,CARDS'!AHQ8</f>
        <v/>
      </c>
      <c r="AHS17" s="22">
        <f>'MOMO,AIRTEL,CARDS'!AHR8</f>
        <v/>
      </c>
      <c r="AHT17" s="22">
        <f>'MOMO,AIRTEL,CARDS'!AHS8</f>
        <v/>
      </c>
      <c r="AHU17" s="22">
        <f>'MOMO,AIRTEL,CARDS'!AHT8</f>
        <v/>
      </c>
      <c r="AHV17" s="22">
        <f>'MOMO,AIRTEL,CARDS'!AHU8</f>
        <v/>
      </c>
      <c r="AHW17" s="22">
        <f>'MOMO,AIRTEL,CARDS'!AHV8</f>
        <v/>
      </c>
      <c r="AHX17" s="22">
        <f>'MOMO,AIRTEL,CARDS'!AHW8</f>
        <v/>
      </c>
      <c r="AHY17" s="22">
        <f>'MOMO,AIRTEL,CARDS'!AHX8</f>
        <v/>
      </c>
      <c r="AHZ17" s="22">
        <f>'MOMO,AIRTEL,CARDS'!AHY8</f>
        <v/>
      </c>
      <c r="AIA17" s="22">
        <f>'MOMO,AIRTEL,CARDS'!AHZ8</f>
        <v/>
      </c>
      <c r="AIB17" s="22">
        <f>'MOMO,AIRTEL,CARDS'!AIA8</f>
        <v/>
      </c>
      <c r="AIC17" s="22">
        <f>'MOMO,AIRTEL,CARDS'!AIB8</f>
        <v/>
      </c>
      <c r="AID17" s="22">
        <f>'MOMO,AIRTEL,CARDS'!AIC8</f>
        <v/>
      </c>
      <c r="AIE17" s="127">
        <f>SUM(AHA17:AID17)</f>
        <v/>
      </c>
      <c r="AIF17" s="22">
        <f>'MOMO,AIRTEL,CARDS'!AIE8</f>
        <v/>
      </c>
      <c r="AIG17" s="22">
        <f>'MOMO,AIRTEL,CARDS'!AIF8</f>
        <v/>
      </c>
      <c r="AIH17" s="22">
        <f>'MOMO,AIRTEL,CARDS'!AIG8</f>
        <v/>
      </c>
      <c r="AII17" s="22">
        <f>'MOMO,AIRTEL,CARDS'!AIH8</f>
        <v/>
      </c>
      <c r="AIJ17" s="22">
        <f>'MOMO,AIRTEL,CARDS'!AII8</f>
        <v/>
      </c>
      <c r="AIK17" s="22">
        <f>'MOMO,AIRTEL,CARDS'!AIJ8</f>
        <v/>
      </c>
      <c r="AIL17" s="22">
        <f>'MOMO,AIRTEL,CARDS'!AIK8</f>
        <v/>
      </c>
      <c r="AIM17" s="22">
        <f>'MOMO,AIRTEL,CARDS'!AIL8</f>
        <v/>
      </c>
      <c r="AIN17" s="22">
        <f>'MOMO,AIRTEL,CARDS'!AIM8</f>
        <v/>
      </c>
      <c r="AIO17" s="22">
        <f>'MOMO,AIRTEL,CARDS'!AIN8</f>
        <v/>
      </c>
      <c r="AIP17" s="22">
        <f>'MOMO,AIRTEL,CARDS'!AIO8</f>
        <v/>
      </c>
      <c r="AIQ17" s="22">
        <f>'MOMO,AIRTEL,CARDS'!AIP8</f>
        <v/>
      </c>
      <c r="AIR17" s="22">
        <f>'MOMO,AIRTEL,CARDS'!AIQ8</f>
        <v/>
      </c>
      <c r="AIS17" s="22">
        <f>'MOMO,AIRTEL,CARDS'!AIR8</f>
        <v/>
      </c>
      <c r="AIT17" s="22">
        <f>'MOMO,AIRTEL,CARDS'!AIS8</f>
        <v/>
      </c>
      <c r="AIU17" s="22">
        <f>'MOMO,AIRTEL,CARDS'!AIT8</f>
        <v/>
      </c>
      <c r="AIV17" s="22">
        <f>'MOMO,AIRTEL,CARDS'!AIU8</f>
        <v/>
      </c>
      <c r="AIW17" s="22">
        <f>'MOMO,AIRTEL,CARDS'!AIV8</f>
        <v/>
      </c>
      <c r="AIX17" s="22">
        <f>'MOMO,AIRTEL,CARDS'!AIW8</f>
        <v/>
      </c>
      <c r="AIY17" s="22">
        <f>'MOMO,AIRTEL,CARDS'!AIX8</f>
        <v/>
      </c>
      <c r="AIZ17" s="22">
        <f>'MOMO,AIRTEL,CARDS'!AIY8</f>
        <v/>
      </c>
      <c r="AJA17" s="22">
        <f>'MOMO,AIRTEL,CARDS'!AIZ8</f>
        <v/>
      </c>
      <c r="AJB17" s="22">
        <f>'MOMO,AIRTEL,CARDS'!AJA8</f>
        <v/>
      </c>
      <c r="AJC17" s="22">
        <f>'MOMO,AIRTEL,CARDS'!AJB8</f>
        <v/>
      </c>
      <c r="AJD17" s="22">
        <f>'MOMO,AIRTEL,CARDS'!AJC8</f>
        <v/>
      </c>
      <c r="AJE17" s="22">
        <f>'MOMO,AIRTEL,CARDS'!AJD8</f>
        <v/>
      </c>
      <c r="AJF17" s="22">
        <f>'MOMO,AIRTEL,CARDS'!AJE8</f>
        <v/>
      </c>
      <c r="AJG17" s="22">
        <f>'MOMO,AIRTEL,CARDS'!AJF8</f>
        <v/>
      </c>
      <c r="AJH17" s="22">
        <f>'MOMO,AIRTEL,CARDS'!AJG8</f>
        <v/>
      </c>
      <c r="AJI17" s="22">
        <f>'MOMO,AIRTEL,CARDS'!AJH8</f>
        <v/>
      </c>
      <c r="AJJ17" s="22">
        <f>'MOMO,AIRTEL,CARDS'!AJI8</f>
        <v/>
      </c>
      <c r="AJK17" s="127">
        <f>SUM(AIG17:AJJ17)</f>
        <v/>
      </c>
      <c r="AJL17" s="22">
        <f>'MOMO,AIRTEL,CARDS'!AJK8</f>
        <v/>
      </c>
      <c r="AJM17" s="22">
        <f>'MOMO,AIRTEL,CARDS'!AJL8</f>
        <v/>
      </c>
      <c r="AJN17" s="22">
        <f>'MOMO,AIRTEL,CARDS'!AJM8</f>
        <v/>
      </c>
      <c r="AJO17" s="22">
        <f>'MOMO,AIRTEL,CARDS'!AJN8</f>
        <v/>
      </c>
      <c r="AJP17" s="22">
        <f>'MOMO,AIRTEL,CARDS'!AJO8</f>
        <v/>
      </c>
      <c r="AJQ17" s="22">
        <f>'MOMO,AIRTEL,CARDS'!AJP8</f>
        <v/>
      </c>
      <c r="AJR17" s="22">
        <f>'MOMO,AIRTEL,CARDS'!AJQ8</f>
        <v/>
      </c>
      <c r="AJS17" s="22">
        <f>'MOMO,AIRTEL,CARDS'!AJR8</f>
        <v/>
      </c>
      <c r="AJT17" s="22">
        <f>'MOMO,AIRTEL,CARDS'!AJS8</f>
        <v/>
      </c>
      <c r="AJU17" s="22">
        <f>'MOMO,AIRTEL,CARDS'!AJT8</f>
        <v/>
      </c>
      <c r="AJV17" s="22">
        <f>'MOMO,AIRTEL,CARDS'!AJU8</f>
        <v/>
      </c>
      <c r="AJW17" s="22">
        <f>'MOMO,AIRTEL,CARDS'!AJV8</f>
        <v/>
      </c>
      <c r="AJX17" s="22">
        <f>'MOMO,AIRTEL,CARDS'!AJW8</f>
        <v/>
      </c>
      <c r="AJY17" s="22">
        <f>'MOMO,AIRTEL,CARDS'!AJX8</f>
        <v/>
      </c>
      <c r="AJZ17" s="22">
        <f>'MOMO,AIRTEL,CARDS'!AJY8</f>
        <v/>
      </c>
      <c r="AKA17" s="22">
        <f>'MOMO,AIRTEL,CARDS'!AJZ8</f>
        <v/>
      </c>
      <c r="AKB17" s="22">
        <f>'MOMO,AIRTEL,CARDS'!AKA8</f>
        <v/>
      </c>
      <c r="AKC17" s="22">
        <f>'MOMO,AIRTEL,CARDS'!AKB8</f>
        <v/>
      </c>
      <c r="AKD17" s="22">
        <f>'MOMO,AIRTEL,CARDS'!AKC8</f>
        <v/>
      </c>
      <c r="AKE17" s="22">
        <f>'MOMO,AIRTEL,CARDS'!AKD8</f>
        <v/>
      </c>
      <c r="AKF17" s="22">
        <f>'MOMO,AIRTEL,CARDS'!AKE8</f>
        <v/>
      </c>
      <c r="AKG17" s="22">
        <f>'MOMO,AIRTEL,CARDS'!AKF8</f>
        <v/>
      </c>
      <c r="AKH17" s="22">
        <f>'MOMO,AIRTEL,CARDS'!AKG8</f>
        <v/>
      </c>
      <c r="AKI17" s="22">
        <f>'MOMO,AIRTEL,CARDS'!AKH8</f>
        <v/>
      </c>
      <c r="AKJ17" s="22">
        <f>'MOMO,AIRTEL,CARDS'!AKI8</f>
        <v/>
      </c>
      <c r="AKK17" s="22">
        <f>'MOMO,AIRTEL,CARDS'!AKJ8</f>
        <v/>
      </c>
      <c r="AKL17" s="22">
        <f>'MOMO,AIRTEL,CARDS'!AKK8</f>
        <v/>
      </c>
      <c r="AKM17" s="22">
        <f>'MOMO,AIRTEL,CARDS'!AKL8</f>
        <v/>
      </c>
      <c r="AKN17" s="127">
        <f>SUM(AJL17:AKM17)</f>
        <v/>
      </c>
      <c r="AKO17" s="22">
        <f>'MOMO,AIRTEL,CARDS'!AKN8</f>
        <v/>
      </c>
      <c r="AKP17" s="22">
        <f>'MOMO,AIRTEL,CARDS'!AKO8</f>
        <v/>
      </c>
      <c r="AKQ17" s="22">
        <f>'MOMO,AIRTEL,CARDS'!AKP8</f>
        <v/>
      </c>
      <c r="AKR17" s="22">
        <f>'MOMO,AIRTEL,CARDS'!AKQ8</f>
        <v/>
      </c>
      <c r="AKS17" s="22">
        <f>'MOMO,AIRTEL,CARDS'!AKR8</f>
        <v/>
      </c>
      <c r="AKT17" s="22">
        <f>'MOMO,AIRTEL,CARDS'!AKS8</f>
        <v/>
      </c>
      <c r="AKU17" s="22">
        <f>'MOMO,AIRTEL,CARDS'!AKT8</f>
        <v/>
      </c>
      <c r="AKV17" s="22">
        <f>'MOMO,AIRTEL,CARDS'!AKU8</f>
        <v/>
      </c>
      <c r="AKW17" s="22">
        <f>'MOMO,AIRTEL,CARDS'!AKV8</f>
        <v/>
      </c>
      <c r="AKX17" s="22">
        <f>'MOMO,AIRTEL,CARDS'!AKW8</f>
        <v/>
      </c>
      <c r="AKY17" s="22">
        <f>'MOMO,AIRTEL,CARDS'!AKX8</f>
        <v/>
      </c>
      <c r="AKZ17" s="22">
        <f>'MOMO,AIRTEL,CARDS'!AKY8</f>
        <v/>
      </c>
      <c r="ALA17" s="22">
        <f>'MOMO,AIRTEL,CARDS'!AKZ8</f>
        <v/>
      </c>
      <c r="ALB17" s="22">
        <f>'MOMO,AIRTEL,CARDS'!ALA8</f>
        <v/>
      </c>
      <c r="ALC17" s="22">
        <f>'MOMO,AIRTEL,CARDS'!ALB8</f>
        <v/>
      </c>
      <c r="ALD17" s="22">
        <f>'MOMO,AIRTEL,CARDS'!ALC8</f>
        <v/>
      </c>
      <c r="ALE17" s="22">
        <f>'MOMO,AIRTEL,CARDS'!ALD8</f>
        <v/>
      </c>
      <c r="ALF17" s="22">
        <f>'MOMO,AIRTEL,CARDS'!ALE8</f>
        <v/>
      </c>
      <c r="ALG17" s="22">
        <f>'MOMO,AIRTEL,CARDS'!ALF8</f>
        <v/>
      </c>
      <c r="ALH17" s="22">
        <f>'MOMO,AIRTEL,CARDS'!ALG8</f>
        <v/>
      </c>
      <c r="ALI17" s="22">
        <f>'MOMO,AIRTEL,CARDS'!ALH8</f>
        <v/>
      </c>
      <c r="ALJ17" s="22">
        <f>'MOMO,AIRTEL,CARDS'!ALI8</f>
        <v/>
      </c>
      <c r="ALK17" s="22">
        <f>'MOMO,AIRTEL,CARDS'!ALJ8</f>
        <v/>
      </c>
      <c r="ALL17" s="22">
        <f>'MOMO,AIRTEL,CARDS'!ALK8</f>
        <v/>
      </c>
      <c r="ALM17" s="22">
        <f>'MOMO,AIRTEL,CARDS'!ALL8</f>
        <v/>
      </c>
      <c r="ALN17" s="22">
        <f>'MOMO,AIRTEL,CARDS'!ALM8</f>
        <v/>
      </c>
      <c r="ALO17" s="22">
        <f>'MOMO,AIRTEL,CARDS'!ALN8</f>
        <v/>
      </c>
      <c r="ALP17" s="22">
        <f>'MOMO,AIRTEL,CARDS'!ALO8</f>
        <v/>
      </c>
      <c r="ALQ17" s="22">
        <f>'MOMO,AIRTEL,CARDS'!ALP8</f>
        <v/>
      </c>
      <c r="ALR17" s="22">
        <f>'MOMO,AIRTEL,CARDS'!ALQ8</f>
        <v/>
      </c>
      <c r="ALS17" s="22">
        <f>'MOMO,AIRTEL,CARDS'!ALR8</f>
        <v/>
      </c>
      <c r="ALT17" s="127">
        <f>SUM(AKO17:ALS17)</f>
        <v/>
      </c>
      <c r="ALU17" s="22">
        <f>'MOMO,AIRTEL,CARDS'!ALT8</f>
        <v/>
      </c>
      <c r="ALV17" s="22">
        <f>'MOMO,AIRTEL,CARDS'!ALU8</f>
        <v/>
      </c>
      <c r="ALW17" s="22">
        <f>'MOMO,AIRTEL,CARDS'!ALV8</f>
        <v/>
      </c>
      <c r="ALX17" s="22">
        <f>'MOMO,AIRTEL,CARDS'!ALW8</f>
        <v/>
      </c>
      <c r="ALY17" s="22">
        <f>'MOMO,AIRTEL,CARDS'!ALX8</f>
        <v/>
      </c>
      <c r="ALZ17" s="22">
        <f>'MOMO,AIRTEL,CARDS'!ALY8</f>
        <v/>
      </c>
      <c r="AMA17" s="22">
        <f>'MOMO,AIRTEL,CARDS'!ALZ8</f>
        <v/>
      </c>
      <c r="AMB17" s="22">
        <f>'MOMO,AIRTEL,CARDS'!AMA8</f>
        <v/>
      </c>
      <c r="AMC17" s="22">
        <f>'MOMO,AIRTEL,CARDS'!AMB8</f>
        <v/>
      </c>
      <c r="AMD17" s="22">
        <f>'MOMO,AIRTEL,CARDS'!AMC8</f>
        <v/>
      </c>
      <c r="AME17" s="22">
        <f>'MOMO,AIRTEL,CARDS'!AMD8</f>
        <v/>
      </c>
      <c r="AMF17" s="22">
        <f>'MOMO,AIRTEL,CARDS'!AME8</f>
        <v/>
      </c>
      <c r="AMG17" s="22">
        <f>'MOMO,AIRTEL,CARDS'!AMF8</f>
        <v/>
      </c>
      <c r="AMH17" s="22">
        <f>'MOMO,AIRTEL,CARDS'!AMG8</f>
        <v/>
      </c>
      <c r="AMI17" s="22">
        <f>'MOMO,AIRTEL,CARDS'!AMH8</f>
        <v/>
      </c>
      <c r="AMJ17" s="22">
        <f>'MOMO,AIRTEL,CARDS'!AMI8</f>
        <v/>
      </c>
      <c r="AMK17" s="22">
        <f>'MOMO,AIRTEL,CARDS'!AMJ8</f>
        <v/>
      </c>
      <c r="AML17" s="22">
        <f>'MOMO,AIRTEL,CARDS'!AMK8</f>
        <v/>
      </c>
      <c r="AMM17" s="22">
        <f>'MOMO,AIRTEL,CARDS'!AML8</f>
        <v/>
      </c>
      <c r="AMN17" s="22">
        <f>'MOMO,AIRTEL,CARDS'!AMM8</f>
        <v/>
      </c>
      <c r="AMO17" s="22">
        <f>'MOMO,AIRTEL,CARDS'!AMN8</f>
        <v/>
      </c>
      <c r="AMP17" s="22">
        <f>'MOMO,AIRTEL,CARDS'!AMO8</f>
        <v/>
      </c>
      <c r="AMQ17" s="22">
        <f>'MOMO,AIRTEL,CARDS'!AMP8</f>
        <v/>
      </c>
      <c r="AMR17" s="22">
        <f>'MOMO,AIRTEL,CARDS'!AMQ8</f>
        <v/>
      </c>
      <c r="AMS17" s="22">
        <f>'MOMO,AIRTEL,CARDS'!AMR8</f>
        <v/>
      </c>
      <c r="AMT17" s="22">
        <f>'MOMO,AIRTEL,CARDS'!AMS8</f>
        <v/>
      </c>
      <c r="AMU17" s="22">
        <f>'MOMO,AIRTEL,CARDS'!AMT8</f>
        <v/>
      </c>
      <c r="AMV17" s="22">
        <f>'MOMO,AIRTEL,CARDS'!AMU8</f>
        <v/>
      </c>
      <c r="AMW17" s="22">
        <f>'MOMO,AIRTEL,CARDS'!AMV8</f>
        <v/>
      </c>
      <c r="AMX17" s="22">
        <f>'MOMO,AIRTEL,CARDS'!AMW8</f>
        <v/>
      </c>
      <c r="AMY17" s="127">
        <f>SUM(ALU17:AMX17)</f>
        <v/>
      </c>
      <c r="AMZ17" s="22">
        <f>'MOMO,AIRTEL,CARDS'!AMY8</f>
        <v/>
      </c>
      <c r="ANA17" s="22">
        <f>'MOMO,AIRTEL,CARDS'!AMZ8</f>
        <v/>
      </c>
      <c r="ANB17" s="22">
        <f>'MOMO,AIRTEL,CARDS'!ANA8</f>
        <v/>
      </c>
      <c r="ANC17" s="22">
        <f>'MOMO,AIRTEL,CARDS'!ANB8</f>
        <v/>
      </c>
      <c r="AND17" s="22">
        <f>'MOMO,AIRTEL,CARDS'!ANC8</f>
        <v/>
      </c>
      <c r="ANE17" s="22">
        <f>'MOMO,AIRTEL,CARDS'!AND8</f>
        <v/>
      </c>
      <c r="ANF17" s="22">
        <f>'MOMO,AIRTEL,CARDS'!ANE8</f>
        <v/>
      </c>
      <c r="ANG17" s="22">
        <f>'MOMO,AIRTEL,CARDS'!ANF8</f>
        <v/>
      </c>
      <c r="ANH17" s="22">
        <f>'MOMO,AIRTEL,CARDS'!ANG8</f>
        <v/>
      </c>
      <c r="ANI17" s="22">
        <f>'MOMO,AIRTEL,CARDS'!ANH8</f>
        <v/>
      </c>
      <c r="ANJ17" s="22">
        <f>'MOMO,AIRTEL,CARDS'!ANI8</f>
        <v/>
      </c>
      <c r="ANK17" s="22">
        <f>'MOMO,AIRTEL,CARDS'!ANJ8</f>
        <v/>
      </c>
      <c r="ANL17" s="22">
        <f>'MOMO,AIRTEL,CARDS'!ANK8</f>
        <v/>
      </c>
      <c r="ANM17" s="22">
        <f>'MOMO,AIRTEL,CARDS'!ANL8</f>
        <v/>
      </c>
      <c r="ANN17" s="22">
        <f>'MOMO,AIRTEL,CARDS'!ANM8</f>
        <v/>
      </c>
      <c r="ANO17" s="22">
        <f>'MOMO,AIRTEL,CARDS'!ANN8</f>
        <v/>
      </c>
      <c r="ANP17" s="22">
        <f>'MOMO,AIRTEL,CARDS'!ANO8</f>
        <v/>
      </c>
      <c r="ANQ17" s="22">
        <f>'MOMO,AIRTEL,CARDS'!ANP8</f>
        <v/>
      </c>
      <c r="ANR17" s="22">
        <f>'MOMO,AIRTEL,CARDS'!ANQ8</f>
        <v/>
      </c>
      <c r="ANS17" s="22">
        <f>'MOMO,AIRTEL,CARDS'!ANR8</f>
        <v/>
      </c>
      <c r="ANT17" s="22">
        <f>'MOMO,AIRTEL,CARDS'!ANS8</f>
        <v/>
      </c>
      <c r="ANU17" s="22">
        <f>'MOMO,AIRTEL,CARDS'!ANT8</f>
        <v/>
      </c>
      <c r="ANV17" s="22">
        <f>'MOMO,AIRTEL,CARDS'!ANU8</f>
        <v/>
      </c>
      <c r="ANW17" s="22">
        <f>'MOMO,AIRTEL,CARDS'!ANV8</f>
        <v/>
      </c>
      <c r="ANX17" s="22">
        <f>'MOMO,AIRTEL,CARDS'!ANW8</f>
        <v/>
      </c>
      <c r="ANY17" s="22">
        <f>'MOMO,AIRTEL,CARDS'!ANX8</f>
        <v/>
      </c>
      <c r="ANZ17" s="22">
        <f>'MOMO,AIRTEL,CARDS'!ANY8</f>
        <v/>
      </c>
      <c r="AOA17" s="22">
        <f>'MOMO,AIRTEL,CARDS'!ANZ8</f>
        <v/>
      </c>
      <c r="AOB17" s="22">
        <f>'MOMO,AIRTEL,CARDS'!AOA8</f>
        <v/>
      </c>
      <c r="AOC17" s="22">
        <f>'MOMO,AIRTEL,CARDS'!AOB8</f>
        <v/>
      </c>
    </row>
    <row r="18">
      <c r="B18" s="23" t="inlineStr">
        <is>
          <t>TOTAL ELECTRONIC SALES</t>
        </is>
      </c>
      <c r="C18" s="24">
        <f>SUM(C13:C17)</f>
        <v/>
      </c>
      <c r="D18" s="24">
        <f>SUM(D13:D17)</f>
        <v/>
      </c>
      <c r="E18" s="24">
        <f>SUM(E13:E17)</f>
        <v/>
      </c>
      <c r="F18" s="24">
        <f>SUM(F13:F17)</f>
        <v/>
      </c>
      <c r="G18" s="24">
        <f>SUM(G13:G17)</f>
        <v/>
      </c>
      <c r="H18" s="24">
        <f>SUM(H13:H17)</f>
        <v/>
      </c>
      <c r="I18" s="24">
        <f>SUM(I13:I17)</f>
        <v/>
      </c>
      <c r="J18" s="24">
        <f>SUM(J13:J17)</f>
        <v/>
      </c>
      <c r="K18" s="24">
        <f>SUM(K13:K17)</f>
        <v/>
      </c>
      <c r="L18" s="24">
        <f>SUM(L13:L17)</f>
        <v/>
      </c>
      <c r="M18" s="24">
        <f>SUM(M13:M17)</f>
        <v/>
      </c>
      <c r="N18" s="24">
        <f>SUM(N13:N17)</f>
        <v/>
      </c>
      <c r="O18" s="24">
        <f>SUM(O13:O17)</f>
        <v/>
      </c>
      <c r="P18" s="24">
        <f>SUM(P13:P17)</f>
        <v/>
      </c>
      <c r="Q18" s="24">
        <f>SUM(Q13:Q17)</f>
        <v/>
      </c>
      <c r="R18" s="24">
        <f>SUM(R13:R17)</f>
        <v/>
      </c>
      <c r="S18" s="24">
        <f>SUM(S13:S17)</f>
        <v/>
      </c>
      <c r="T18" s="24">
        <f>SUM(T13:T17)</f>
        <v/>
      </c>
      <c r="U18" s="24">
        <f>SUM(U13:U17)</f>
        <v/>
      </c>
      <c r="V18" s="24">
        <f>SUM(V13:V17)</f>
        <v/>
      </c>
      <c r="W18" s="24">
        <f>SUM(W13:W17)</f>
        <v/>
      </c>
      <c r="X18" s="24">
        <f>SUM(X13:X17)</f>
        <v/>
      </c>
      <c r="Y18" s="24">
        <f>SUM(Y13:Y17)</f>
        <v/>
      </c>
      <c r="Z18" s="24">
        <f>SUM(Z13:Z17)</f>
        <v/>
      </c>
      <c r="AA18" s="24">
        <f>SUM(AA13:AA17)</f>
        <v/>
      </c>
      <c r="AB18" s="24">
        <f>SUM(AB13:AB17)</f>
        <v/>
      </c>
      <c r="AC18" s="24">
        <f>SUM(AC13:AC17)</f>
        <v/>
      </c>
      <c r="AD18" s="24">
        <f>SUM(AD13:AD17)</f>
        <v/>
      </c>
      <c r="AE18" s="24">
        <f>SUM(AE13:AE17)</f>
        <v/>
      </c>
      <c r="AF18" s="24">
        <f>SUM(AF13:AF17)</f>
        <v/>
      </c>
      <c r="AG18" s="24">
        <f>SUM(AG13:AG17)</f>
        <v/>
      </c>
      <c r="AH18" s="94">
        <f>SUM(C18:AG18)</f>
        <v/>
      </c>
      <c r="AI18" s="24">
        <f>SUM(AI13:AI17)</f>
        <v/>
      </c>
      <c r="AJ18" s="24">
        <f>SUM(AJ13:AJ17)</f>
        <v/>
      </c>
      <c r="AK18" s="24">
        <f>SUM(AK13:AK17)</f>
        <v/>
      </c>
      <c r="AL18" s="24">
        <f>SUM(AL13:AL17)</f>
        <v/>
      </c>
      <c r="AM18" s="24">
        <f>SUM(AM13:AM17)</f>
        <v/>
      </c>
      <c r="AN18" s="24">
        <f>SUM(AN13:AN17)</f>
        <v/>
      </c>
      <c r="AO18" s="24">
        <f>SUM(AO13:AO17)</f>
        <v/>
      </c>
      <c r="AP18" s="24">
        <f>SUM(AP13:AP17)</f>
        <v/>
      </c>
      <c r="AQ18" s="24">
        <f>SUM(AQ13:AQ17)</f>
        <v/>
      </c>
      <c r="AR18" s="24">
        <f>SUM(AR13:AR17)</f>
        <v/>
      </c>
      <c r="AS18" s="24">
        <f>SUM(AS13:AS17)</f>
        <v/>
      </c>
      <c r="AT18" s="24">
        <f>SUM(AT13:AT17)</f>
        <v/>
      </c>
      <c r="AU18" s="24">
        <f>SUM(AU13:AU17)</f>
        <v/>
      </c>
      <c r="AV18" s="24">
        <f>SUM(AV13:AV17)</f>
        <v/>
      </c>
      <c r="AW18" s="24">
        <f>SUM(AW13:AW17)</f>
        <v/>
      </c>
      <c r="AX18" s="24">
        <f>SUM(AX13:AX17)</f>
        <v/>
      </c>
      <c r="AY18" s="24">
        <f>SUM(AY13:AY17)</f>
        <v/>
      </c>
      <c r="AZ18" s="24">
        <f>SUM(AZ13:AZ17)</f>
        <v/>
      </c>
      <c r="BA18" s="24">
        <f>SUM(BA13:BA17)</f>
        <v/>
      </c>
      <c r="BB18" s="24">
        <f>SUM(BB13:BB17)</f>
        <v/>
      </c>
      <c r="BC18" s="24">
        <f>SUM(BC13:BC17)</f>
        <v/>
      </c>
      <c r="BD18" s="24">
        <f>SUM(BD13:BD17)</f>
        <v/>
      </c>
      <c r="BE18" s="24">
        <f>SUM(BE13:BE17)</f>
        <v/>
      </c>
      <c r="BF18" s="24">
        <f>SUM(BF13:BF17)</f>
        <v/>
      </c>
      <c r="BG18" s="24">
        <f>SUM(BG13:BG17)</f>
        <v/>
      </c>
      <c r="BH18" s="24">
        <f>SUM(BH13:BH17)</f>
        <v/>
      </c>
      <c r="BI18" s="24">
        <f>SUM(BI13:BI17)</f>
        <v/>
      </c>
      <c r="BJ18" s="24">
        <f>SUM(BJ13:BJ17)</f>
        <v/>
      </c>
      <c r="BK18" s="24">
        <f>SUM(BK13:BK17)</f>
        <v/>
      </c>
      <c r="BL18" s="24">
        <f>SUM(BL13:BL17)</f>
        <v/>
      </c>
      <c r="BM18" s="97">
        <f>SUM(AI18:BL18)</f>
        <v/>
      </c>
      <c r="BN18" s="24">
        <f>SUM(BN13:BN17)</f>
        <v/>
      </c>
      <c r="BO18" s="24">
        <f>SUM(BO13:BO17)</f>
        <v/>
      </c>
      <c r="BP18" s="24">
        <f>SUM(BP13:BP17)</f>
        <v/>
      </c>
      <c r="BQ18" s="24">
        <f>SUM(BQ13:BQ17)</f>
        <v/>
      </c>
      <c r="BR18" s="24">
        <f>SUM(BR13:BR17)</f>
        <v/>
      </c>
      <c r="BS18" s="24">
        <f>SUM(BS13:BS17)</f>
        <v/>
      </c>
      <c r="BT18" s="24">
        <f>SUM(BT13:BT17)</f>
        <v/>
      </c>
      <c r="BU18" s="24">
        <f>SUM(BU13:BU17)</f>
        <v/>
      </c>
      <c r="BV18" s="24">
        <f>SUM(BV13:BV17)</f>
        <v/>
      </c>
      <c r="BW18" s="24">
        <f>SUM(BW13:BW17)</f>
        <v/>
      </c>
      <c r="BX18" s="24">
        <f>SUM(BX13:BX17)</f>
        <v/>
      </c>
      <c r="BY18" s="24">
        <f>SUM(BY13:BY17)</f>
        <v/>
      </c>
      <c r="BZ18" s="24">
        <f>SUM(BZ13:BZ17)</f>
        <v/>
      </c>
      <c r="CA18" s="24">
        <f>SUM(CA13:CA17)</f>
        <v/>
      </c>
      <c r="CB18" s="24">
        <f>SUM(CB13:CB17)</f>
        <v/>
      </c>
      <c r="CC18" s="24">
        <f>SUM(CC13:CC17)</f>
        <v/>
      </c>
      <c r="CD18" s="24">
        <f>SUM(CD13:CD17)</f>
        <v/>
      </c>
      <c r="CE18" s="24">
        <f>SUM(CE13:CE17)</f>
        <v/>
      </c>
      <c r="CF18" s="24">
        <f>SUM(CF13:CF17)</f>
        <v/>
      </c>
      <c r="CG18" s="24">
        <f>SUM(CG13:CG17)</f>
        <v/>
      </c>
      <c r="CH18" s="24">
        <f>SUM(CH13:CH17)</f>
        <v/>
      </c>
      <c r="CI18" s="24">
        <f>SUM(CI13:CI17)</f>
        <v/>
      </c>
      <c r="CJ18" s="24">
        <f>SUM(CJ13:CJ17)</f>
        <v/>
      </c>
      <c r="CK18" s="24">
        <f>SUM(CK13:CK17)</f>
        <v/>
      </c>
      <c r="CL18" s="24">
        <f>SUM(CL13:CL17)</f>
        <v/>
      </c>
      <c r="CM18" s="24">
        <f>SUM(CM13:CM17)</f>
        <v/>
      </c>
      <c r="CN18" s="24">
        <f>SUM(CN13:CN17)</f>
        <v/>
      </c>
      <c r="CO18" s="24">
        <f>SUM(CO13:CO17)</f>
        <v/>
      </c>
      <c r="CP18" s="24">
        <f>SUM(CP13:CP17)</f>
        <v/>
      </c>
      <c r="CQ18" s="24">
        <f>SUM(CQ13:CQ17)</f>
        <v/>
      </c>
      <c r="CR18" s="24">
        <f>SUM(CR13:CR17)</f>
        <v/>
      </c>
      <c r="CS18" s="111">
        <f>SUM(BN18:CR18)</f>
        <v/>
      </c>
      <c r="CT18" s="24">
        <f>SUM(CT13:CT17)</f>
        <v/>
      </c>
      <c r="CU18" s="24">
        <f>SUM(CU13:CU17)</f>
        <v/>
      </c>
      <c r="CV18" s="24">
        <f>SUM(CV13:CV17)</f>
        <v/>
      </c>
      <c r="CW18" s="24">
        <f>SUM(CW13:CW17)</f>
        <v/>
      </c>
      <c r="CX18" s="24">
        <f>SUM(CX13:CX17)</f>
        <v/>
      </c>
      <c r="CY18" s="24">
        <f>SUM(CY13:CY17)</f>
        <v/>
      </c>
      <c r="CZ18" s="24">
        <f>SUM(CZ13:CZ17)</f>
        <v/>
      </c>
      <c r="DA18" s="24">
        <f>SUM(DA13:DA17)</f>
        <v/>
      </c>
      <c r="DB18" s="24">
        <f>SUM(DB13:DB17)</f>
        <v/>
      </c>
      <c r="DC18" s="24">
        <f>SUM(DC13:DC17)</f>
        <v/>
      </c>
      <c r="DD18" s="24">
        <f>SUM(DD13:DD17)</f>
        <v/>
      </c>
      <c r="DE18" s="24">
        <f>SUM(DE13:DE17)</f>
        <v/>
      </c>
      <c r="DF18" s="24">
        <f>SUM(DF13:DF17)</f>
        <v/>
      </c>
      <c r="DG18" s="24">
        <f>SUM(DG13:DG17)</f>
        <v/>
      </c>
      <c r="DH18" s="24">
        <f>SUM(DH13:DH17)</f>
        <v/>
      </c>
      <c r="DI18" s="24">
        <f>SUM(DI13:DI17)</f>
        <v/>
      </c>
      <c r="DJ18" s="24">
        <f>SUM(DJ13:DJ17)</f>
        <v/>
      </c>
      <c r="DK18" s="24">
        <f>SUM(DK13:DK17)</f>
        <v/>
      </c>
      <c r="DL18" s="24">
        <f>SUM(DL13:DL17)</f>
        <v/>
      </c>
      <c r="DM18" s="24">
        <f>SUM(DM13:DM17)</f>
        <v/>
      </c>
      <c r="DN18" s="24">
        <f>SUM(DN13:DN17)</f>
        <v/>
      </c>
      <c r="DO18" s="24">
        <f>SUM(DO13:DO17)</f>
        <v/>
      </c>
      <c r="DP18" s="24">
        <f>SUM(DP13:DP17)</f>
        <v/>
      </c>
      <c r="DQ18" s="24">
        <f>SUM(DQ13:DQ17)</f>
        <v/>
      </c>
      <c r="DR18" s="24">
        <f>SUM(DR13:DR17)</f>
        <v/>
      </c>
      <c r="DS18" s="24">
        <f>SUM(DS13:DS17)</f>
        <v/>
      </c>
      <c r="DT18" s="24">
        <f>SUM(DT13:DT17)</f>
        <v/>
      </c>
      <c r="DU18" s="24">
        <f>SUM(DU13:DU17)</f>
        <v/>
      </c>
      <c r="DV18" s="24">
        <f>SUM(DV13:DV17)</f>
        <v/>
      </c>
      <c r="DW18" s="24">
        <f>SUM(DW13:DW17)</f>
        <v/>
      </c>
      <c r="DX18" s="119">
        <f>SUM(CT18:DW18)</f>
        <v/>
      </c>
      <c r="DY18" s="24">
        <f>SUM(DY13:DY17)</f>
        <v/>
      </c>
      <c r="DZ18" s="24">
        <f>SUM(DZ13:DZ17)</f>
        <v/>
      </c>
      <c r="EA18" s="24">
        <f>SUM(EA13:EA17)</f>
        <v/>
      </c>
      <c r="EB18" s="24">
        <f>SUM(EB13:EB17)</f>
        <v/>
      </c>
      <c r="EC18" s="24">
        <f>SUM(EC13:EC17)</f>
        <v/>
      </c>
      <c r="ED18" s="24">
        <f>SUM(ED13:ED17)</f>
        <v/>
      </c>
      <c r="EE18" s="24">
        <f>SUM(EE13:EE17)</f>
        <v/>
      </c>
      <c r="EF18" s="24">
        <f>SUM(EF13:EF17)</f>
        <v/>
      </c>
      <c r="EG18" s="24">
        <f>SUM(EG13:EG17)</f>
        <v/>
      </c>
      <c r="EH18" s="24">
        <f>SUM(EH13:EH17)</f>
        <v/>
      </c>
      <c r="EI18" s="24">
        <f>SUM(EI13:EI17)</f>
        <v/>
      </c>
      <c r="EJ18" s="24">
        <f>SUM(EJ13:EJ17)</f>
        <v/>
      </c>
      <c r="EK18" s="24">
        <f>SUM(EK13:EK17)</f>
        <v/>
      </c>
      <c r="EL18" s="24">
        <f>SUM(EL13:EL17)</f>
        <v/>
      </c>
      <c r="EM18" s="24">
        <f>SUM(EM13:EM17)</f>
        <v/>
      </c>
      <c r="EN18" s="24">
        <f>SUM(EN13:EN17)</f>
        <v/>
      </c>
      <c r="EO18" s="24">
        <f>SUM(EO13:EO17)</f>
        <v/>
      </c>
      <c r="EP18" s="24">
        <f>SUM(EP13:EP17)</f>
        <v/>
      </c>
      <c r="EQ18" s="24">
        <f>SUM(EQ13:EQ17)</f>
        <v/>
      </c>
      <c r="ER18" s="24">
        <f>SUM(ER13:ER17)</f>
        <v/>
      </c>
      <c r="ES18" s="24">
        <f>SUM(ES13:ES17)</f>
        <v/>
      </c>
      <c r="ET18" s="24">
        <f>SUM(ET13:ET17)</f>
        <v/>
      </c>
      <c r="EU18" s="24">
        <f>SUM(EU13:EU17)</f>
        <v/>
      </c>
      <c r="EV18" s="24">
        <f>SUM(EV13:EV17)</f>
        <v/>
      </c>
      <c r="EW18" s="24">
        <f>SUM(EW13:EW17)</f>
        <v/>
      </c>
      <c r="EX18" s="24">
        <f>SUM(EX13:EX17)</f>
        <v/>
      </c>
      <c r="EY18" s="24">
        <f>SUM(EY13:EY17)</f>
        <v/>
      </c>
      <c r="EZ18" s="24">
        <f>SUM(EZ13:EZ17)</f>
        <v/>
      </c>
      <c r="FA18" s="24">
        <f>SUM(FA13:FA17)</f>
        <v/>
      </c>
      <c r="FB18" s="24">
        <f>SUM(FB13:FB17)</f>
        <v/>
      </c>
      <c r="FC18" s="24">
        <f>SUM(FC13:FC17)</f>
        <v/>
      </c>
      <c r="FD18" s="128">
        <f>SUM(DY18:FC18)</f>
        <v/>
      </c>
      <c r="FE18" s="24">
        <f>SUM(FE13:FE17)</f>
        <v/>
      </c>
      <c r="FF18" s="24">
        <f>SUM(FF13:FF17)</f>
        <v/>
      </c>
      <c r="FG18" s="24">
        <f>SUM(FG13:FG17)</f>
        <v/>
      </c>
      <c r="FH18" s="24">
        <f>SUM(FH13:FH17)</f>
        <v/>
      </c>
      <c r="FI18" s="24">
        <f>SUM(FI13:FI17)</f>
        <v/>
      </c>
      <c r="FJ18" s="24">
        <f>SUM(FJ13:FJ17)</f>
        <v/>
      </c>
      <c r="FK18" s="24">
        <f>SUM(FK13:FK17)</f>
        <v/>
      </c>
      <c r="FL18" s="24">
        <f>SUM(FL13:FL17)</f>
        <v/>
      </c>
      <c r="FM18" s="24">
        <f>SUM(FM13:FM17)</f>
        <v/>
      </c>
      <c r="FN18" s="24">
        <f>SUM(FN13:FN17)</f>
        <v/>
      </c>
      <c r="FO18" s="24">
        <f>SUM(FO13:FO17)</f>
        <v/>
      </c>
      <c r="FP18" s="24">
        <f>SUM(FP13:FP17)</f>
        <v/>
      </c>
      <c r="FQ18" s="24">
        <f>SUM(FQ13:FQ17)</f>
        <v/>
      </c>
      <c r="FR18" s="24">
        <f>SUM(FR13:FR17)</f>
        <v/>
      </c>
      <c r="FS18" s="24">
        <f>SUM(FS13:FS17)</f>
        <v/>
      </c>
      <c r="FT18" s="24">
        <f>SUM(FT13:FT17)</f>
        <v/>
      </c>
      <c r="FU18" s="24">
        <f>SUM(FU13:FU17)</f>
        <v/>
      </c>
      <c r="FV18" s="24">
        <f>SUM(FV13:FV17)</f>
        <v/>
      </c>
      <c r="FW18" s="24">
        <f>SUM(FW13:FW17)</f>
        <v/>
      </c>
      <c r="FX18" s="24">
        <f>SUM(FX13:FX17)</f>
        <v/>
      </c>
      <c r="FY18" s="24">
        <f>SUM(FY13:FY17)</f>
        <v/>
      </c>
      <c r="FZ18" s="24">
        <f>SUM(FZ13:FZ17)</f>
        <v/>
      </c>
      <c r="GA18" s="24">
        <f>SUM(GA13:GA17)</f>
        <v/>
      </c>
      <c r="GB18" s="24">
        <f>SUM(GB13:GB17)</f>
        <v/>
      </c>
      <c r="GC18" s="24">
        <f>SUM(GC13:GC17)</f>
        <v/>
      </c>
      <c r="GD18" s="24">
        <f>SUM(GD13:GD17)</f>
        <v/>
      </c>
      <c r="GE18" s="24">
        <f>SUM(GE13:GE17)</f>
        <v/>
      </c>
      <c r="GF18" s="24">
        <f>SUM(GF13:GF17)</f>
        <v/>
      </c>
      <c r="GG18" s="24">
        <f>SUM(GG13:GG17)</f>
        <v/>
      </c>
      <c r="GH18" s="24">
        <f>SUM(GH13:GH17)</f>
        <v/>
      </c>
      <c r="GI18" s="24">
        <f>SUM(GI13:GI17)</f>
        <v/>
      </c>
      <c r="GJ18" s="127">
        <f>SUM(FE18:GI18)</f>
        <v/>
      </c>
      <c r="GK18" s="24">
        <f>SUM(GK13:GK17)</f>
        <v/>
      </c>
      <c r="GL18" s="24">
        <f>SUM(GL13:GL17)</f>
        <v/>
      </c>
      <c r="GM18" s="24">
        <f>SUM(GM13:GM17)</f>
        <v/>
      </c>
      <c r="GN18" s="24">
        <f>SUM(GN13:GN17)</f>
        <v/>
      </c>
      <c r="GO18" s="24">
        <f>SUM(GO13:GO17)</f>
        <v/>
      </c>
      <c r="GP18" s="24">
        <f>SUM(GP13:GP17)</f>
        <v/>
      </c>
      <c r="GQ18" s="24">
        <f>SUM(GQ13:GQ17)</f>
        <v/>
      </c>
      <c r="GR18" s="24">
        <f>SUM(GR13:GR17)</f>
        <v/>
      </c>
      <c r="GS18" s="24">
        <f>SUM(GS13:GS17)</f>
        <v/>
      </c>
      <c r="GT18" s="24">
        <f>SUM(GT13:GT17)</f>
        <v/>
      </c>
      <c r="GU18" s="24">
        <f>SUM(GU13:GU17)</f>
        <v/>
      </c>
      <c r="GV18" s="24">
        <f>SUM(GV13:GV17)</f>
        <v/>
      </c>
      <c r="GW18" s="24">
        <f>SUM(GW13:GW17)</f>
        <v/>
      </c>
      <c r="GX18" s="24">
        <f>SUM(GX13:GX17)</f>
        <v/>
      </c>
      <c r="GY18" s="24">
        <f>SUM(GY13:GY17)</f>
        <v/>
      </c>
      <c r="GZ18" s="24">
        <f>SUM(GZ13:GZ17)</f>
        <v/>
      </c>
      <c r="HA18" s="24">
        <f>SUM(HA13:HA17)</f>
        <v/>
      </c>
      <c r="HB18" s="24">
        <f>SUM(HB13:HB17)</f>
        <v/>
      </c>
      <c r="HC18" s="24">
        <f>SUM(HC13:HC17)</f>
        <v/>
      </c>
      <c r="HD18" s="24">
        <f>SUM(HD13:HD17)</f>
        <v/>
      </c>
      <c r="HE18" s="24">
        <f>SUM(HE13:HE17)</f>
        <v/>
      </c>
      <c r="HF18" s="24">
        <f>SUM(HF13:HF17)</f>
        <v/>
      </c>
      <c r="HG18" s="24">
        <f>SUM(HG13:HG17)</f>
        <v/>
      </c>
      <c r="HH18" s="24">
        <f>SUM(HH13:HH17)</f>
        <v/>
      </c>
      <c r="HI18" s="24">
        <f>SUM(HI13:HI17)</f>
        <v/>
      </c>
      <c r="HJ18" s="24">
        <f>SUM(HJ13:HJ17)</f>
        <v/>
      </c>
      <c r="HK18" s="24">
        <f>SUM(HK13:HK17)</f>
        <v/>
      </c>
      <c r="HL18" s="24">
        <f>SUM(HL13:HL17)</f>
        <v/>
      </c>
      <c r="HM18" s="24">
        <f>SUM(HM13:HM17)</f>
        <v/>
      </c>
      <c r="HN18" s="127">
        <f>SUM(GK18:HM18)</f>
        <v/>
      </c>
      <c r="HO18" s="24">
        <f>SUM(HO13:HO17)</f>
        <v/>
      </c>
      <c r="HP18" s="24">
        <f>SUM(HP13:HP17)</f>
        <v/>
      </c>
      <c r="HQ18" s="24">
        <f>SUM(HQ13:HQ17)</f>
        <v/>
      </c>
      <c r="HR18" s="24">
        <f>SUM(HR13:HR17)</f>
        <v/>
      </c>
      <c r="HS18" s="24">
        <f>SUM(HS13:HS17)</f>
        <v/>
      </c>
      <c r="HT18" s="24">
        <f>SUM(HT13:HT17)</f>
        <v/>
      </c>
      <c r="HU18" s="24">
        <f>SUM(HU13:HU17)</f>
        <v/>
      </c>
      <c r="HV18" s="24">
        <f>SUM(HV13:HV17)</f>
        <v/>
      </c>
      <c r="HW18" s="24">
        <f>SUM(HW13:HW17)</f>
        <v/>
      </c>
      <c r="HX18" s="24">
        <f>SUM(HX13:HX17)</f>
        <v/>
      </c>
      <c r="HY18" s="24">
        <f>SUM(HY13:HY17)</f>
        <v/>
      </c>
      <c r="HZ18" s="24">
        <f>SUM(HZ13:HZ17)</f>
        <v/>
      </c>
      <c r="IA18" s="24">
        <f>SUM(IA13:IA17)</f>
        <v/>
      </c>
      <c r="IB18" s="24">
        <f>SUM(IB13:IB17)</f>
        <v/>
      </c>
      <c r="IC18" s="24">
        <f>SUM(IC13:IC17)</f>
        <v/>
      </c>
      <c r="ID18" s="24">
        <f>SUM(ID13:ID17)</f>
        <v/>
      </c>
      <c r="IE18" s="24">
        <f>SUM(IE13:IE17)</f>
        <v/>
      </c>
      <c r="IF18" s="24">
        <f>SUM(IF13:IF17)</f>
        <v/>
      </c>
      <c r="IG18" s="24">
        <f>SUM(IG13:IG17)</f>
        <v/>
      </c>
      <c r="IH18" s="24">
        <f>SUM(IH13:IH17)</f>
        <v/>
      </c>
      <c r="II18" s="24">
        <f>SUM(II13:II17)</f>
        <v/>
      </c>
      <c r="IJ18" s="24">
        <f>SUM(IJ13:IJ17)</f>
        <v/>
      </c>
      <c r="IK18" s="24">
        <f>SUM(IK13:IK17)</f>
        <v/>
      </c>
      <c r="IL18" s="24">
        <f>SUM(IL13:IL17)</f>
        <v/>
      </c>
      <c r="IM18" s="24">
        <f>SUM(IM13:IM17)</f>
        <v/>
      </c>
      <c r="IN18" s="24">
        <f>SUM(IN13:IN17)</f>
        <v/>
      </c>
      <c r="IO18" s="24">
        <f>SUM(IO13:IO17)</f>
        <v/>
      </c>
      <c r="IP18" s="24">
        <f>SUM(IP13:IP17)</f>
        <v/>
      </c>
      <c r="IQ18" s="24">
        <f>SUM(IQ13:IQ17)</f>
        <v/>
      </c>
      <c r="IR18" s="24">
        <f>SUM(IR13:IR17)</f>
        <v/>
      </c>
      <c r="IS18" s="24">
        <f>SUM(IS13:IS17)</f>
        <v/>
      </c>
      <c r="IT18" s="127">
        <f>SUM(HO18:IS18)</f>
        <v/>
      </c>
      <c r="IU18" s="24">
        <f>SUM(IU13:IU17)</f>
        <v/>
      </c>
      <c r="IV18" s="24">
        <f>SUM(IV13:IV17)</f>
        <v/>
      </c>
      <c r="IW18" s="24">
        <f>SUM(IW13:IW17)</f>
        <v/>
      </c>
      <c r="IX18" s="24">
        <f>SUM(IX13:IX17)</f>
        <v/>
      </c>
      <c r="IY18" s="24">
        <f>SUM(IY13:IY17)</f>
        <v/>
      </c>
      <c r="IZ18" s="24">
        <f>SUM(IZ13:IZ17)</f>
        <v/>
      </c>
      <c r="JA18" s="24">
        <f>SUM(JA13:JA17)</f>
        <v/>
      </c>
      <c r="JB18" s="24">
        <f>SUM(JB13:JB17)</f>
        <v/>
      </c>
      <c r="JC18" s="24">
        <f>SUM(JC13:JC17)</f>
        <v/>
      </c>
      <c r="JD18" s="24">
        <f>SUM(JD13:JD17)</f>
        <v/>
      </c>
      <c r="JE18" s="24">
        <f>SUM(JE13:JE17)</f>
        <v/>
      </c>
      <c r="JF18" s="24">
        <f>SUM(JF13:JF17)</f>
        <v/>
      </c>
      <c r="JG18" s="24">
        <f>SUM(JG13:JG17)</f>
        <v/>
      </c>
      <c r="JH18" s="24">
        <f>SUM(JH13:JH17)</f>
        <v/>
      </c>
      <c r="JI18" s="24">
        <f>SUM(JI13:JI17)</f>
        <v/>
      </c>
      <c r="JJ18" s="24">
        <f>SUM(JJ13:JJ17)</f>
        <v/>
      </c>
      <c r="JK18" s="24">
        <f>SUM(JK13:JK17)</f>
        <v/>
      </c>
      <c r="JL18" s="24">
        <f>SUM(JL13:JL17)</f>
        <v/>
      </c>
      <c r="JM18" s="24">
        <f>SUM(JM13:JM17)</f>
        <v/>
      </c>
      <c r="JN18" s="24">
        <f>SUM(JN13:JN17)</f>
        <v/>
      </c>
      <c r="JO18" s="24">
        <f>SUM(JO13:JO17)</f>
        <v/>
      </c>
      <c r="JP18" s="24">
        <f>SUM(JP13:JP17)</f>
        <v/>
      </c>
      <c r="JQ18" s="24">
        <f>SUM(JQ13:JQ17)</f>
        <v/>
      </c>
      <c r="JR18" s="24">
        <f>SUM(JR13:JR17)</f>
        <v/>
      </c>
      <c r="JS18" s="24">
        <f>SUM(JS13:JS17)</f>
        <v/>
      </c>
      <c r="JT18" s="24">
        <f>SUM(JT13:JT17)</f>
        <v/>
      </c>
      <c r="JU18" s="24">
        <f>SUM(JU13:JU17)</f>
        <v/>
      </c>
      <c r="JV18" s="24">
        <f>SUM(JV13:JV17)</f>
        <v/>
      </c>
      <c r="JW18" s="24">
        <f>SUM(JW13:JW17)</f>
        <v/>
      </c>
      <c r="JX18" s="24">
        <f>SUM(JX13:JX17)</f>
        <v/>
      </c>
      <c r="JY18" s="127">
        <f>SUM(IU18:JX18)</f>
        <v/>
      </c>
      <c r="JZ18" s="24">
        <f>SUM(JZ13:JZ17)</f>
        <v/>
      </c>
      <c r="KA18" s="24">
        <f>SUM(KA13:KA17)</f>
        <v/>
      </c>
      <c r="KB18" s="24">
        <f>SUM(KB13:KB17)</f>
        <v/>
      </c>
      <c r="KC18" s="24">
        <f>SUM(KC13:KC17)</f>
        <v/>
      </c>
      <c r="KD18" s="24">
        <f>SUM(KD13:KD17)</f>
        <v/>
      </c>
      <c r="KE18" s="24">
        <f>SUM(KE13:KE17)</f>
        <v/>
      </c>
      <c r="KF18" s="24">
        <f>SUM(KF13:KF17)</f>
        <v/>
      </c>
      <c r="KG18" s="24">
        <f>SUM(KG13:KG17)</f>
        <v/>
      </c>
      <c r="KH18" s="24">
        <f>SUM(KH13:KH17)</f>
        <v/>
      </c>
      <c r="KI18" s="24">
        <f>SUM(KI13:KI17)</f>
        <v/>
      </c>
      <c r="KJ18" s="24">
        <f>SUM(KJ13:KJ17)</f>
        <v/>
      </c>
      <c r="KK18" s="24">
        <f>SUM(KK13:KK17)</f>
        <v/>
      </c>
      <c r="KL18" s="24">
        <f>SUM(KL13:KL17)</f>
        <v/>
      </c>
      <c r="KM18" s="24">
        <f>SUM(KM13:KM17)</f>
        <v/>
      </c>
      <c r="KN18" s="24">
        <f>SUM(KN13:KN17)</f>
        <v/>
      </c>
      <c r="KO18" s="24">
        <f>SUM(KO13:KO17)</f>
        <v/>
      </c>
      <c r="KP18" s="24">
        <f>SUM(KP13:KP17)</f>
        <v/>
      </c>
      <c r="KQ18" s="24">
        <f>SUM(KQ13:KQ17)</f>
        <v/>
      </c>
      <c r="KR18" s="24">
        <f>SUM(KR13:KR17)</f>
        <v/>
      </c>
      <c r="KS18" s="24">
        <f>SUM(KS13:KS17)</f>
        <v/>
      </c>
      <c r="KT18" s="24">
        <f>SUM(KT13:KT17)</f>
        <v/>
      </c>
      <c r="KU18" s="24">
        <f>SUM(KU13:KU17)</f>
        <v/>
      </c>
      <c r="KV18" s="24">
        <f>SUM(KV13:KV17)</f>
        <v/>
      </c>
      <c r="KW18" s="24">
        <f>SUM(KW13:KW17)</f>
        <v/>
      </c>
      <c r="KX18" s="24">
        <f>SUM(KX13:KX17)</f>
        <v/>
      </c>
      <c r="KY18" s="24">
        <f>SUM(KY13:KY17)</f>
        <v/>
      </c>
      <c r="KZ18" s="24">
        <f>SUM(KZ13:KZ17)</f>
        <v/>
      </c>
      <c r="LA18" s="24">
        <f>SUM(LA13:LA17)</f>
        <v/>
      </c>
      <c r="LB18" s="24">
        <f>SUM(LB13:LB17)</f>
        <v/>
      </c>
      <c r="LC18" s="24">
        <f>SUM(LC13:LC17)</f>
        <v/>
      </c>
      <c r="LD18" s="24">
        <f>SUM(LD13:LD17)</f>
        <v/>
      </c>
      <c r="LE18" s="127">
        <f>SUM(KA18:LD18)</f>
        <v/>
      </c>
      <c r="LF18" s="24">
        <f>SUM(LF13:LF17)</f>
        <v/>
      </c>
      <c r="LG18" s="24">
        <f>SUM(LG13:LG17)</f>
        <v/>
      </c>
      <c r="LH18" s="24">
        <f>SUM(LH13:LH17)</f>
        <v/>
      </c>
      <c r="LI18" s="24">
        <f>SUM(LI13:LI17)</f>
        <v/>
      </c>
      <c r="LJ18" s="24">
        <f>SUM(LJ13:LJ17)</f>
        <v/>
      </c>
      <c r="LK18" s="24">
        <f>SUM(LK13:LK17)</f>
        <v/>
      </c>
      <c r="LL18" s="24">
        <f>SUM(LL13:LL17)</f>
        <v/>
      </c>
      <c r="LM18" s="24">
        <f>SUM(LM13:LM17)</f>
        <v/>
      </c>
      <c r="LN18" s="24">
        <f>SUM(LN13:LN17)</f>
        <v/>
      </c>
      <c r="LO18" s="24">
        <f>SUM(LO13:LO17)</f>
        <v/>
      </c>
      <c r="LP18" s="24">
        <f>SUM(LP13:LP17)</f>
        <v/>
      </c>
      <c r="LQ18" s="24">
        <f>SUM(LQ13:LQ17)</f>
        <v/>
      </c>
      <c r="LR18" s="24">
        <f>SUM(LR13:LR17)</f>
        <v/>
      </c>
      <c r="LS18" s="24">
        <f>SUM(LS13:LS17)</f>
        <v/>
      </c>
      <c r="LT18" s="24">
        <f>SUM(LT13:LT17)</f>
        <v/>
      </c>
      <c r="LU18" s="24">
        <f>SUM(LU13:LU17)</f>
        <v/>
      </c>
      <c r="LV18" s="24">
        <f>SUM(LV13:LV17)</f>
        <v/>
      </c>
      <c r="LW18" s="24">
        <f>SUM(LW13:LW17)</f>
        <v/>
      </c>
      <c r="LX18" s="24">
        <f>SUM(LX13:LX17)</f>
        <v/>
      </c>
      <c r="LY18" s="24">
        <f>SUM(LY13:LY17)</f>
        <v/>
      </c>
      <c r="LZ18" s="24">
        <f>SUM(LZ13:LZ17)</f>
        <v/>
      </c>
      <c r="MA18" s="24">
        <f>SUM(MA13:MA17)</f>
        <v/>
      </c>
      <c r="MB18" s="24">
        <f>SUM(MB13:MB17)</f>
        <v/>
      </c>
      <c r="MC18" s="24">
        <f>SUM(MC13:MC17)</f>
        <v/>
      </c>
      <c r="MD18" s="24">
        <f>SUM(MD13:MD17)</f>
        <v/>
      </c>
      <c r="ME18" s="24">
        <f>SUM(ME13:ME17)</f>
        <v/>
      </c>
      <c r="MF18" s="24">
        <f>SUM(MF13:MF17)</f>
        <v/>
      </c>
      <c r="MG18" s="24">
        <f>SUM(MG13:MG17)</f>
        <v/>
      </c>
      <c r="MH18" s="24">
        <f>SUM(MH13:MH17)</f>
        <v/>
      </c>
      <c r="MI18" s="24">
        <f>SUM(MI13:MI17)</f>
        <v/>
      </c>
      <c r="MJ18" s="127">
        <f>SUM(LF18:MI18)</f>
        <v/>
      </c>
      <c r="MK18" s="24">
        <f>SUM(MK13:MK17)</f>
        <v/>
      </c>
      <c r="ML18" s="24">
        <f>SUM(ML13:ML17)</f>
        <v/>
      </c>
      <c r="MM18" s="24">
        <f>SUM(MM13:MM17)</f>
        <v/>
      </c>
      <c r="MN18" s="24">
        <f>SUM(MN13:MN17)</f>
        <v/>
      </c>
      <c r="MO18" s="24">
        <f>SUM(MO13:MO17)</f>
        <v/>
      </c>
      <c r="MP18" s="24">
        <f>SUM(MP13:MP17)</f>
        <v/>
      </c>
      <c r="MQ18" s="24">
        <f>SUM(MQ13:MQ17)</f>
        <v/>
      </c>
      <c r="MR18" s="24">
        <f>SUM(MR13:MR17)</f>
        <v/>
      </c>
      <c r="MS18" s="24">
        <f>SUM(MS13:MS17)</f>
        <v/>
      </c>
      <c r="MT18" s="24">
        <f>SUM(MT13:MT17)</f>
        <v/>
      </c>
      <c r="MU18" s="24">
        <f>SUM(MU13:MU17)</f>
        <v/>
      </c>
      <c r="MV18" s="24">
        <f>SUM(MV13:MV17)</f>
        <v/>
      </c>
      <c r="MW18" s="24">
        <f>SUM(MW13:MW17)</f>
        <v/>
      </c>
      <c r="MX18" s="24">
        <f>SUM(MX13:MX17)</f>
        <v/>
      </c>
      <c r="MY18" s="24">
        <f>SUM(MY13:MY17)</f>
        <v/>
      </c>
      <c r="MZ18" s="24">
        <f>SUM(MZ13:MZ17)</f>
        <v/>
      </c>
      <c r="NA18" s="24">
        <f>SUM(NA13:NA17)</f>
        <v/>
      </c>
      <c r="NB18" s="24">
        <f>SUM(NB13:NB17)</f>
        <v/>
      </c>
      <c r="NC18" s="24">
        <f>SUM(NC13:NC17)</f>
        <v/>
      </c>
      <c r="ND18" s="24">
        <f>SUM(ND13:ND17)</f>
        <v/>
      </c>
      <c r="NE18" s="24">
        <f>SUM(NE13:NE17)</f>
        <v/>
      </c>
      <c r="NF18" s="24">
        <f>SUM(NF13:NF17)</f>
        <v/>
      </c>
      <c r="NG18" s="24">
        <f>SUM(NG13:NG17)</f>
        <v/>
      </c>
      <c r="NH18" s="24">
        <f>SUM(NH13:NH17)</f>
        <v/>
      </c>
      <c r="NI18" s="24">
        <f>SUM(NI13:NI17)</f>
        <v/>
      </c>
      <c r="NJ18" s="24">
        <f>SUM(NJ13:NJ17)</f>
        <v/>
      </c>
      <c r="NK18" s="24">
        <f>SUM(NK13:NK17)</f>
        <v/>
      </c>
      <c r="NL18" s="24">
        <f>SUM(NL13:NL17)</f>
        <v/>
      </c>
      <c r="NM18" s="24">
        <f>SUM(NM13:NM17)</f>
        <v/>
      </c>
      <c r="NN18" s="24">
        <f>SUM(NN13:NN17)</f>
        <v/>
      </c>
      <c r="NO18" s="24">
        <f>SUM(NO13:NO17)</f>
        <v/>
      </c>
      <c r="NP18" s="127">
        <f>SUM(ML18:NO18)</f>
        <v/>
      </c>
      <c r="NQ18" s="24">
        <f>SUM(NQ13:NQ17)</f>
        <v/>
      </c>
      <c r="NR18" s="24">
        <f>SUM(NR13:NR17)</f>
        <v/>
      </c>
      <c r="NS18" s="24">
        <f>SUM(NS13:NS17)</f>
        <v/>
      </c>
      <c r="NT18" s="24">
        <f>SUM(NT13:NT17)</f>
        <v/>
      </c>
      <c r="NU18" s="24">
        <f>SUM(NU13:NU17)</f>
        <v/>
      </c>
      <c r="NV18" s="24">
        <f>SUM(NV13:NV17)</f>
        <v/>
      </c>
      <c r="NW18" s="24">
        <f>SUM(NW13:NW17)</f>
        <v/>
      </c>
      <c r="NX18" s="24">
        <f>SUM(NX13:NX17)</f>
        <v/>
      </c>
      <c r="NY18" s="24">
        <f>SUM(NY13:NY17)</f>
        <v/>
      </c>
      <c r="NZ18" s="24">
        <f>SUM(NZ13:NZ17)</f>
        <v/>
      </c>
      <c r="OA18" s="24">
        <f>SUM(OA13:OA17)</f>
        <v/>
      </c>
      <c r="OB18" s="24">
        <f>SUM(OB13:OB17)</f>
        <v/>
      </c>
      <c r="OC18" s="24">
        <f>SUM(OC13:OC17)</f>
        <v/>
      </c>
      <c r="OD18" s="24">
        <f>SUM(OD13:OD17)</f>
        <v/>
      </c>
      <c r="OE18" s="24">
        <f>SUM(OE13:OE17)</f>
        <v/>
      </c>
      <c r="OF18" s="24">
        <f>SUM(OF13:OF17)</f>
        <v/>
      </c>
      <c r="OG18" s="24">
        <f>SUM(OG13:OG17)</f>
        <v/>
      </c>
      <c r="OH18" s="24">
        <f>SUM(OH13:OH17)</f>
        <v/>
      </c>
      <c r="OI18" s="24">
        <f>SUM(OI13:OI17)</f>
        <v/>
      </c>
      <c r="OJ18" s="24">
        <f>SUM(OJ13:OJ17)</f>
        <v/>
      </c>
      <c r="OK18" s="24">
        <f>SUM(OK13:OK17)</f>
        <v/>
      </c>
      <c r="OL18" s="24">
        <f>SUM(OL13:OL17)</f>
        <v/>
      </c>
      <c r="OM18" s="24">
        <f>SUM(OM13:OM17)</f>
        <v/>
      </c>
      <c r="ON18" s="24">
        <f>SUM(ON13:ON17)</f>
        <v/>
      </c>
      <c r="OO18" s="24">
        <f>SUM(OO13:OO17)</f>
        <v/>
      </c>
      <c r="OP18" s="24">
        <f>SUM(OP13:OP17)</f>
        <v/>
      </c>
      <c r="OQ18" s="24">
        <f>SUM(OQ13:OQ17)</f>
        <v/>
      </c>
      <c r="OR18" s="24">
        <f>SUM(OR13:OR17)</f>
        <v/>
      </c>
      <c r="OS18" s="24">
        <f>SUM(OS13:OS17)</f>
        <v/>
      </c>
      <c r="OT18" s="24">
        <f>SUM(OT13:OT17)</f>
        <v/>
      </c>
      <c r="OU18" s="24">
        <f>SUM(OU13:OU17)</f>
        <v/>
      </c>
      <c r="OV18" s="127">
        <f>SUM(NR18:OU18)</f>
        <v/>
      </c>
      <c r="OW18" s="24">
        <f>SUM(OW13:OW17)</f>
        <v/>
      </c>
      <c r="OX18" s="24">
        <f>SUM(OX13:OX17)</f>
        <v/>
      </c>
      <c r="OY18" s="24">
        <f>SUM(OY13:OY17)</f>
        <v/>
      </c>
      <c r="OZ18" s="24">
        <f>SUM(OZ13:OZ17)</f>
        <v/>
      </c>
      <c r="PA18" s="24">
        <f>SUM(PA13:PA17)</f>
        <v/>
      </c>
      <c r="PB18" s="24">
        <f>SUM(PB13:PB17)</f>
        <v/>
      </c>
      <c r="PC18" s="24">
        <f>SUM(PC13:PC17)</f>
        <v/>
      </c>
      <c r="PD18" s="24">
        <f>SUM(PD13:PD17)</f>
        <v/>
      </c>
      <c r="PE18" s="24">
        <f>SUM(PE13:PE17)</f>
        <v/>
      </c>
      <c r="PF18" s="24">
        <f>SUM(PF13:PF17)</f>
        <v/>
      </c>
      <c r="PG18" s="24">
        <f>SUM(PG13:PG17)</f>
        <v/>
      </c>
      <c r="PH18" s="24">
        <f>SUM(PH13:PH17)</f>
        <v/>
      </c>
      <c r="PI18" s="24">
        <f>SUM(PI13:PI17)</f>
        <v/>
      </c>
      <c r="PJ18" s="24">
        <f>SUM(PJ13:PJ17)</f>
        <v/>
      </c>
      <c r="PK18" s="24">
        <f>SUM(PK13:PK17)</f>
        <v/>
      </c>
      <c r="PL18" s="24">
        <f>SUM(PL13:PL17)</f>
        <v/>
      </c>
      <c r="PM18" s="24">
        <f>SUM(PM13:PM17)</f>
        <v/>
      </c>
      <c r="PN18" s="24">
        <f>SUM(PN13:PN17)</f>
        <v/>
      </c>
      <c r="PO18" s="24">
        <f>SUM(PO13:PO17)</f>
        <v/>
      </c>
      <c r="PP18" s="24">
        <f>SUM(PP13:PP17)</f>
        <v/>
      </c>
      <c r="PQ18" s="24">
        <f>SUM(PQ13:PQ17)</f>
        <v/>
      </c>
      <c r="PR18" s="24">
        <f>SUM(PR13:PR17)</f>
        <v/>
      </c>
      <c r="PS18" s="24">
        <f>SUM(PS13:PS17)</f>
        <v/>
      </c>
      <c r="PT18" s="24">
        <f>SUM(PT13:PT17)</f>
        <v/>
      </c>
      <c r="PU18" s="24">
        <f>SUM(PU13:PU17)</f>
        <v/>
      </c>
      <c r="PV18" s="24">
        <f>SUM(PV13:PV17)</f>
        <v/>
      </c>
      <c r="PW18" s="24">
        <f>SUM(PW13:PW17)</f>
        <v/>
      </c>
      <c r="PX18" s="24">
        <f>SUM(PX13:PX17)</f>
        <v/>
      </c>
      <c r="PY18" s="24">
        <f>SUM(PY13:PY17)</f>
        <v/>
      </c>
      <c r="PZ18" s="24">
        <f>SUM(PZ13:PZ17)</f>
        <v/>
      </c>
      <c r="QA18" s="127">
        <f>SUM(OW18:PZ18)</f>
        <v/>
      </c>
      <c r="QB18" s="24">
        <f>SUM(QB13:QB17)</f>
        <v/>
      </c>
      <c r="QC18" s="24">
        <f>SUM(QC13:QC17)</f>
        <v/>
      </c>
      <c r="QD18" s="24">
        <f>SUM(QD13:QD17)</f>
        <v/>
      </c>
      <c r="QE18" s="24">
        <f>SUM(QE13:QE17)</f>
        <v/>
      </c>
      <c r="QF18" s="24">
        <f>SUM(QF13:QF17)</f>
        <v/>
      </c>
      <c r="QG18" s="24">
        <f>SUM(QG13:QG17)</f>
        <v/>
      </c>
      <c r="QH18" s="24">
        <f>SUM(QH13:QH17)</f>
        <v/>
      </c>
      <c r="QI18" s="24">
        <f>SUM(QI13:QI17)</f>
        <v/>
      </c>
      <c r="QJ18" s="24">
        <f>SUM(QJ13:QJ17)</f>
        <v/>
      </c>
      <c r="QK18" s="24">
        <f>SUM(QK13:QK17)</f>
        <v/>
      </c>
      <c r="QL18" s="24">
        <f>SUM(QL13:QL17)</f>
        <v/>
      </c>
      <c r="QM18" s="24">
        <f>SUM(QM13:QM17)</f>
        <v/>
      </c>
      <c r="QN18" s="24">
        <f>SUM(QN13:QN17)</f>
        <v/>
      </c>
      <c r="QO18" s="24">
        <f>SUM(QO13:QO17)</f>
        <v/>
      </c>
      <c r="QP18" s="24">
        <f>SUM(QP13:QP17)</f>
        <v/>
      </c>
      <c r="QQ18" s="24">
        <f>SUM(QQ13:QQ17)</f>
        <v/>
      </c>
      <c r="QR18" s="24">
        <f>SUM(QR13:QR17)</f>
        <v/>
      </c>
      <c r="QS18" s="24">
        <f>SUM(QS13:QS17)</f>
        <v/>
      </c>
      <c r="QT18" s="24">
        <f>SUM(QT13:QT17)</f>
        <v/>
      </c>
      <c r="QU18" s="24">
        <f>SUM(QU13:QU17)</f>
        <v/>
      </c>
      <c r="QV18" s="24">
        <f>SUM(QV13:QV17)</f>
        <v/>
      </c>
      <c r="QW18" s="24">
        <f>SUM(QW13:QW17)</f>
        <v/>
      </c>
      <c r="QX18" s="24">
        <f>SUM(QX13:QX17)</f>
        <v/>
      </c>
      <c r="QY18" s="24">
        <f>SUM(QY13:QY17)</f>
        <v/>
      </c>
      <c r="QZ18" s="24">
        <f>SUM(QZ13:QZ17)</f>
        <v/>
      </c>
      <c r="RA18" s="24">
        <f>SUM(RA13:RA17)</f>
        <v/>
      </c>
      <c r="RB18" s="24">
        <f>SUM(RB13:RB17)</f>
        <v/>
      </c>
      <c r="RC18" s="24">
        <f>SUM(RC13:RC17)</f>
        <v/>
      </c>
      <c r="RD18" s="24">
        <f>SUM(RD13:RD17)</f>
        <v/>
      </c>
      <c r="RE18" s="24">
        <f>SUM(RE13:RE17)</f>
        <v/>
      </c>
      <c r="RF18" s="24">
        <f>SUM(RF13:RF17)</f>
        <v/>
      </c>
      <c r="RG18" s="127">
        <f>SUM(QC18:RF18)</f>
        <v/>
      </c>
      <c r="RH18" s="24">
        <f>SUM(RH13:RH17)</f>
        <v/>
      </c>
      <c r="RI18" s="24">
        <f>SUM(RI13:RI17)</f>
        <v/>
      </c>
      <c r="RJ18" s="24">
        <f>SUM(RJ13:RJ17)</f>
        <v/>
      </c>
      <c r="RK18" s="24">
        <f>SUM(RK13:RK17)</f>
        <v/>
      </c>
      <c r="RL18" s="24">
        <f>SUM(RL13:RL17)</f>
        <v/>
      </c>
      <c r="RM18" s="24">
        <f>SUM(RM13:RM17)</f>
        <v/>
      </c>
      <c r="RN18" s="24">
        <f>SUM(RN13:RN17)</f>
        <v/>
      </c>
      <c r="RO18" s="24">
        <f>SUM(RO13:RO17)</f>
        <v/>
      </c>
      <c r="RP18" s="24">
        <f>SUM(RP13:RP17)</f>
        <v/>
      </c>
      <c r="RQ18" s="24">
        <f>SUM(RQ13:RQ17)</f>
        <v/>
      </c>
      <c r="RR18" s="24">
        <f>SUM(RR13:RR17)</f>
        <v/>
      </c>
      <c r="RS18" s="24">
        <f>SUM(RS13:RS17)</f>
        <v/>
      </c>
      <c r="RT18" s="24">
        <f>SUM(RT13:RT17)</f>
        <v/>
      </c>
      <c r="RU18" s="24">
        <f>SUM(RU13:RU17)</f>
        <v/>
      </c>
      <c r="RV18" s="24">
        <f>SUM(RV13:RV17)</f>
        <v/>
      </c>
      <c r="RW18" s="24">
        <f>SUM(RW13:RW17)</f>
        <v/>
      </c>
      <c r="RX18" s="24">
        <f>SUM(RX13:RX17)</f>
        <v/>
      </c>
      <c r="RY18" s="24">
        <f>SUM(RY13:RY17)</f>
        <v/>
      </c>
      <c r="RZ18" s="24">
        <f>SUM(RZ13:RZ17)</f>
        <v/>
      </c>
      <c r="SA18" s="24">
        <f>SUM(SA13:SA17)</f>
        <v/>
      </c>
      <c r="SB18" s="24">
        <f>SUM(SB13:SB17)</f>
        <v/>
      </c>
      <c r="SC18" s="24">
        <f>SUM(SC13:SC17)</f>
        <v/>
      </c>
      <c r="SD18" s="24">
        <f>SUM(SD13:SD17)</f>
        <v/>
      </c>
      <c r="SE18" s="24">
        <f>SUM(SE13:SE17)</f>
        <v/>
      </c>
      <c r="SF18" s="24">
        <f>SUM(SF13:SF17)</f>
        <v/>
      </c>
      <c r="SG18" s="24">
        <f>SUM(SG13:SG17)</f>
        <v/>
      </c>
      <c r="SH18" s="24">
        <f>SUM(SH13:SH17)</f>
        <v/>
      </c>
      <c r="SI18" s="24">
        <f>SUM(SI13:SI17)</f>
        <v/>
      </c>
      <c r="SJ18" s="24">
        <f>SUM(SJ13:SJ17)</f>
        <v/>
      </c>
      <c r="SK18" s="24">
        <f>SUM(SK13:SK17)</f>
        <v/>
      </c>
      <c r="SL18" s="127">
        <f>SUM(SL13:SL17)</f>
        <v/>
      </c>
      <c r="SM18" s="24">
        <f>SUM(SM13:SM17)</f>
        <v/>
      </c>
      <c r="SN18" s="24">
        <f>SUM(SN13:SN17)</f>
        <v/>
      </c>
      <c r="SO18" s="24">
        <f>SUM(SO13:SO17)</f>
        <v/>
      </c>
      <c r="SP18" s="24">
        <f>SUM(SP13:SP17)</f>
        <v/>
      </c>
      <c r="SQ18" s="24">
        <f>SUM(SQ13:SQ17)</f>
        <v/>
      </c>
      <c r="SR18" s="24">
        <f>SUM(SR13:SR17)</f>
        <v/>
      </c>
      <c r="SS18" s="24">
        <f>SUM(SS13:SS17)</f>
        <v/>
      </c>
      <c r="ST18" s="24">
        <f>SUM(ST13:ST17)</f>
        <v/>
      </c>
      <c r="SU18" s="24">
        <f>SUM(SU13:SU17)</f>
        <v/>
      </c>
      <c r="SV18" s="24">
        <f>SUM(SV13:SV17)</f>
        <v/>
      </c>
      <c r="SW18" s="24">
        <f>SUM(SW13:SW17)</f>
        <v/>
      </c>
      <c r="SX18" s="24">
        <f>SUM(SX13:SX17)</f>
        <v/>
      </c>
      <c r="SY18" s="24">
        <f>SUM(SY13:SY17)</f>
        <v/>
      </c>
      <c r="SZ18" s="24">
        <f>SUM(SZ13:SZ17)</f>
        <v/>
      </c>
      <c r="TA18" s="24">
        <f>SUM(TA13:TA17)</f>
        <v/>
      </c>
      <c r="TB18" s="24">
        <f>SUM(TB13:TB17)</f>
        <v/>
      </c>
      <c r="TC18" s="24">
        <f>SUM(TC13:TC17)</f>
        <v/>
      </c>
      <c r="TD18" s="24">
        <f>SUM(TD13:TD17)</f>
        <v/>
      </c>
      <c r="TE18" s="24">
        <f>SUM(TE13:TE17)</f>
        <v/>
      </c>
      <c r="TF18" s="24">
        <f>SUM(TF13:TF17)</f>
        <v/>
      </c>
      <c r="TG18" s="24">
        <f>SUM(TG13:TG17)</f>
        <v/>
      </c>
      <c r="TH18" s="24">
        <f>SUM(TH13:TH17)</f>
        <v/>
      </c>
      <c r="TI18" s="24">
        <f>SUM(TI13:TI17)</f>
        <v/>
      </c>
      <c r="TJ18" s="24">
        <f>SUM(TJ13:TJ17)</f>
        <v/>
      </c>
      <c r="TK18" s="24">
        <f>SUM(TK13:TK17)</f>
        <v/>
      </c>
      <c r="TL18" s="24">
        <f>SUM(TL13:TL17)</f>
        <v/>
      </c>
      <c r="TM18" s="24">
        <f>SUM(TM13:TM17)</f>
        <v/>
      </c>
      <c r="TN18" s="24">
        <f>SUM(TN13:TN17)</f>
        <v/>
      </c>
      <c r="TO18" s="24">
        <f>SUM(TO13:TO17)</f>
        <v/>
      </c>
      <c r="TP18" s="24">
        <f>SUM(TP13:TP17)</f>
        <v/>
      </c>
      <c r="TQ18" s="24">
        <f>SUM(TQ13:TQ17)</f>
        <v/>
      </c>
      <c r="TR18" s="127">
        <f>SUM(TR13:TR17)</f>
        <v/>
      </c>
      <c r="TS18" s="24">
        <f>SUM(TS13:TS17)</f>
        <v/>
      </c>
      <c r="TT18" s="24">
        <f>SUM(TT13:TT17)</f>
        <v/>
      </c>
      <c r="TU18" s="24">
        <f>SUM(TU13:TU17)</f>
        <v/>
      </c>
      <c r="TV18" s="24">
        <f>SUM(TV13:TV17)</f>
        <v/>
      </c>
      <c r="TW18" s="24">
        <f>SUM(TW13:TW17)</f>
        <v/>
      </c>
      <c r="TX18" s="24">
        <f>SUM(TX13:TX17)</f>
        <v/>
      </c>
      <c r="TY18" s="24">
        <f>SUM(TY13:TY17)</f>
        <v/>
      </c>
      <c r="TZ18" s="24">
        <f>SUM(TZ13:TZ17)</f>
        <v/>
      </c>
      <c r="UA18" s="24">
        <f>SUM(UA13:UA17)</f>
        <v/>
      </c>
      <c r="UB18" s="24">
        <f>SUM(UB13:UB17)</f>
        <v/>
      </c>
      <c r="UC18" s="24">
        <f>SUM(UC13:UC17)</f>
        <v/>
      </c>
      <c r="UD18" s="24">
        <f>SUM(UD13:UD17)</f>
        <v/>
      </c>
      <c r="UE18" s="24">
        <f>SUM(UE13:UE17)</f>
        <v/>
      </c>
      <c r="UF18" s="24">
        <f>SUM(UF13:UF17)</f>
        <v/>
      </c>
      <c r="UG18" s="24">
        <f>SUM(UG13:UG17)</f>
        <v/>
      </c>
      <c r="UH18" s="24">
        <f>SUM(UH13:UH17)</f>
        <v/>
      </c>
      <c r="UI18" s="24">
        <f>SUM(UI13:UI17)</f>
        <v/>
      </c>
      <c r="UJ18" s="24">
        <f>SUM(UJ13:UJ17)</f>
        <v/>
      </c>
      <c r="UK18" s="24">
        <f>SUM(UK13:UK17)</f>
        <v/>
      </c>
      <c r="UL18" s="24">
        <f>SUM(UL13:UL17)</f>
        <v/>
      </c>
      <c r="UM18" s="24">
        <f>SUM(UM13:UM17)</f>
        <v/>
      </c>
      <c r="UN18" s="24">
        <f>SUM(UN13:UN17)</f>
        <v/>
      </c>
      <c r="UO18" s="24">
        <f>SUM(UO13:UO17)</f>
        <v/>
      </c>
      <c r="UP18" s="24">
        <f>SUM(UP13:UP17)</f>
        <v/>
      </c>
      <c r="UQ18" s="24">
        <f>SUM(UQ13:UQ17)</f>
        <v/>
      </c>
      <c r="UR18" s="24">
        <f>SUM(UR13:UR17)</f>
        <v/>
      </c>
      <c r="US18" s="24">
        <f>SUM(US13:US17)</f>
        <v/>
      </c>
      <c r="UT18" s="24">
        <f>SUM(UT13:UT17)</f>
        <v/>
      </c>
      <c r="UU18" s="24">
        <f>SUM(UU13:UU17)</f>
        <v/>
      </c>
      <c r="UV18" s="24">
        <f>SUM(UV13:UV17)</f>
        <v/>
      </c>
      <c r="UW18" s="24">
        <f>SUM(UW13:UW17)</f>
        <v/>
      </c>
      <c r="UX18" s="127">
        <f>SUM(UX13:UX17)</f>
        <v/>
      </c>
      <c r="UY18" s="24">
        <f>SUM(UY13:UY17)</f>
        <v/>
      </c>
      <c r="UZ18" s="24">
        <f>SUM(UZ13:UZ17)</f>
        <v/>
      </c>
      <c r="VA18" s="24">
        <f>SUM(VA13:VA17)</f>
        <v/>
      </c>
      <c r="VB18" s="24">
        <f>SUM(VB13:VB17)</f>
        <v/>
      </c>
      <c r="VC18" s="24">
        <f>SUM(VC13:VC17)</f>
        <v/>
      </c>
      <c r="VD18" s="24">
        <f>SUM(VD13:VD17)</f>
        <v/>
      </c>
      <c r="VE18" s="24">
        <f>SUM(VE13:VE17)</f>
        <v/>
      </c>
      <c r="VF18" s="24">
        <f>SUM(VF13:VF17)</f>
        <v/>
      </c>
      <c r="VG18" s="24">
        <f>SUM(VG13:VG17)</f>
        <v/>
      </c>
      <c r="VH18" s="24">
        <f>SUM(VH13:VH17)</f>
        <v/>
      </c>
      <c r="VI18" s="24">
        <f>SUM(VI13:VI17)</f>
        <v/>
      </c>
      <c r="VJ18" s="24">
        <f>SUM(VJ13:VJ17)</f>
        <v/>
      </c>
      <c r="VK18" s="24">
        <f>SUM(VK13:VK17)</f>
        <v/>
      </c>
      <c r="VL18" s="24">
        <f>SUM(VL13:VL17)</f>
        <v/>
      </c>
      <c r="VM18" s="24">
        <f>SUM(VM13:VM17)</f>
        <v/>
      </c>
      <c r="VN18" s="24">
        <f>SUM(VN13:VN17)</f>
        <v/>
      </c>
      <c r="VO18" s="24">
        <f>SUM(VO13:VO17)</f>
        <v/>
      </c>
      <c r="VP18" s="24">
        <f>SUM(VP13:VP17)</f>
        <v/>
      </c>
      <c r="VQ18" s="24">
        <f>SUM(VQ13:VQ17)</f>
        <v/>
      </c>
      <c r="VR18" s="24">
        <f>SUM(VR13:VR17)</f>
        <v/>
      </c>
      <c r="VS18" s="24">
        <f>SUM(VS13:VS17)</f>
        <v/>
      </c>
      <c r="VT18" s="24">
        <f>SUM(VT13:VT17)</f>
        <v/>
      </c>
      <c r="VU18" s="24">
        <f>SUM(VU13:VU17)</f>
        <v/>
      </c>
      <c r="VV18" s="24">
        <f>SUM(VV13:VV17)</f>
        <v/>
      </c>
      <c r="VW18" s="24">
        <f>SUM(VW13:VW17)</f>
        <v/>
      </c>
      <c r="VX18" s="24">
        <f>SUM(VX13:VX17)</f>
        <v/>
      </c>
      <c r="VY18" s="24">
        <f>SUM(VY13:VY17)</f>
        <v/>
      </c>
      <c r="VZ18" s="24">
        <f>SUM(VZ13:VZ17)</f>
        <v/>
      </c>
      <c r="WA18" s="127">
        <f>SUM(WA13:WA17)</f>
        <v/>
      </c>
      <c r="WB18" s="24">
        <f>SUM(WB13:WB17)</f>
        <v/>
      </c>
      <c r="WC18" s="24">
        <f>SUM(WC13:WC17)</f>
        <v/>
      </c>
      <c r="WD18" s="24">
        <f>SUM(WD13:WD17)</f>
        <v/>
      </c>
      <c r="WE18" s="24">
        <f>SUM(WE13:WE17)</f>
        <v/>
      </c>
      <c r="WF18" s="24">
        <f>SUM(WF13:WF17)</f>
        <v/>
      </c>
      <c r="WG18" s="24">
        <f>SUM(WG13:WG17)</f>
        <v/>
      </c>
      <c r="WH18" s="24">
        <f>SUM(WH13:WH17)</f>
        <v/>
      </c>
      <c r="WI18" s="24">
        <f>SUM(WI13:WI17)</f>
        <v/>
      </c>
      <c r="WJ18" s="24">
        <f>SUM(WJ13:WJ17)</f>
        <v/>
      </c>
      <c r="WK18" s="24">
        <f>SUM(WK13:WK17)</f>
        <v/>
      </c>
      <c r="WL18" s="24">
        <f>SUM(WL13:WL17)</f>
        <v/>
      </c>
      <c r="WM18" s="24">
        <f>SUM(WM13:WM17)</f>
        <v/>
      </c>
      <c r="WN18" s="24">
        <f>SUM(WN13:WN17)</f>
        <v/>
      </c>
      <c r="WO18" s="24">
        <f>SUM(WO13:WO17)</f>
        <v/>
      </c>
      <c r="WP18" s="24">
        <f>SUM(WP13:WP17)</f>
        <v/>
      </c>
      <c r="WQ18" s="24">
        <f>SUM(WQ13:WQ17)</f>
        <v/>
      </c>
      <c r="WR18" s="24">
        <f>SUM(WR13:WR17)</f>
        <v/>
      </c>
      <c r="WS18" s="24">
        <f>SUM(WS13:WS17)</f>
        <v/>
      </c>
      <c r="WT18" s="24">
        <f>SUM(WT13:WT17)</f>
        <v/>
      </c>
      <c r="WU18" s="24">
        <f>SUM(WU13:WU17)</f>
        <v/>
      </c>
      <c r="WV18" s="24">
        <f>SUM(WV13:WV17)</f>
        <v/>
      </c>
      <c r="WW18" s="24">
        <f>SUM(WW13:WW17)</f>
        <v/>
      </c>
      <c r="WX18" s="24">
        <f>SUM(WX13:WX17)</f>
        <v/>
      </c>
      <c r="WY18" s="24">
        <f>SUM(WY13:WY17)</f>
        <v/>
      </c>
      <c r="WZ18" s="24">
        <f>SUM(WZ13:WZ17)</f>
        <v/>
      </c>
      <c r="XA18" s="24">
        <f>SUM(XA13:XA17)</f>
        <v/>
      </c>
      <c r="XB18" s="24">
        <f>SUM(XB13:XB17)</f>
        <v/>
      </c>
      <c r="XC18" s="24">
        <f>SUM(XC13:XC17)</f>
        <v/>
      </c>
      <c r="XD18" s="24">
        <f>SUM(XD13:XD17)</f>
        <v/>
      </c>
      <c r="XE18" s="24">
        <f>SUM(XE13:XE17)</f>
        <v/>
      </c>
      <c r="XF18" s="24">
        <f>SUM(XF13:XF17)</f>
        <v/>
      </c>
      <c r="XG18" s="127">
        <f>SUM(WB18:XF18)</f>
        <v/>
      </c>
      <c r="XH18" s="24">
        <f>SUM(XH13:XH17)</f>
        <v/>
      </c>
      <c r="XI18" s="24">
        <f>SUM(XI13:XI17)</f>
        <v/>
      </c>
      <c r="XJ18" s="24">
        <f>SUM(XJ13:XJ17)</f>
        <v/>
      </c>
      <c r="XK18" s="24">
        <f>SUM(XK13:XK17)</f>
        <v/>
      </c>
      <c r="XL18" s="24">
        <f>SUM(XL13:XL17)</f>
        <v/>
      </c>
      <c r="XM18" s="24">
        <f>SUM(XM13:XM17)</f>
        <v/>
      </c>
      <c r="XN18" s="24">
        <f>SUM(XN13:XN17)</f>
        <v/>
      </c>
      <c r="XO18" s="24">
        <f>SUM(XO13:XO17)</f>
        <v/>
      </c>
      <c r="XP18" s="24">
        <f>SUM(XP13:XP17)</f>
        <v/>
      </c>
      <c r="XQ18" s="24">
        <f>SUM(XQ13:XQ17)</f>
        <v/>
      </c>
      <c r="XR18" s="24">
        <f>SUM(XR13:XR17)</f>
        <v/>
      </c>
      <c r="XS18" s="24">
        <f>SUM(XS13:XS17)</f>
        <v/>
      </c>
      <c r="XT18" s="24">
        <f>SUM(XT13:XT17)</f>
        <v/>
      </c>
      <c r="XU18" s="24">
        <f>SUM(XU13:XU17)</f>
        <v/>
      </c>
      <c r="XV18" s="24">
        <f>SUM(XV13:XV17)</f>
        <v/>
      </c>
      <c r="XW18" s="24">
        <f>SUM(XW13:XW17)</f>
        <v/>
      </c>
      <c r="XX18" s="24">
        <f>SUM(XX13:XX17)</f>
        <v/>
      </c>
      <c r="XY18" s="24">
        <f>SUM(XY13:XY17)</f>
        <v/>
      </c>
      <c r="XZ18" s="24">
        <f>SUM(XZ13:XZ17)</f>
        <v/>
      </c>
      <c r="YA18" s="24">
        <f>SUM(YA13:YA17)</f>
        <v/>
      </c>
      <c r="YB18" s="24">
        <f>SUM(YB13:YB17)</f>
        <v/>
      </c>
      <c r="YC18" s="24">
        <f>SUM(YC13:YC17)</f>
        <v/>
      </c>
      <c r="YD18" s="24">
        <f>SUM(YD13:YD17)</f>
        <v/>
      </c>
      <c r="YE18" s="24">
        <f>SUM(YE13:YE17)</f>
        <v/>
      </c>
      <c r="YF18" s="24">
        <f>SUM(YF13:YF17)</f>
        <v/>
      </c>
      <c r="YG18" s="24">
        <f>SUM(YG13:YG17)</f>
        <v/>
      </c>
      <c r="YH18" s="24">
        <f>SUM(YH13:YH17)</f>
        <v/>
      </c>
      <c r="YI18" s="24">
        <f>SUM(YI13:YI17)</f>
        <v/>
      </c>
      <c r="YJ18" s="24">
        <f>SUM(YJ13:YJ17)</f>
        <v/>
      </c>
      <c r="YK18" s="24">
        <f>SUM(YK13:YK17)</f>
        <v/>
      </c>
      <c r="YL18" s="127">
        <f>SUM(XH18:YK18)</f>
        <v/>
      </c>
      <c r="YM18" s="24">
        <f>SUM(YM13:YM17)</f>
        <v/>
      </c>
      <c r="YN18" s="24">
        <f>SUM(YN13:YN17)</f>
        <v/>
      </c>
      <c r="YO18" s="24">
        <f>SUM(YO13:YO17)</f>
        <v/>
      </c>
      <c r="YP18" s="24">
        <f>SUM(YP13:YP17)</f>
        <v/>
      </c>
      <c r="YQ18" s="24">
        <f>SUM(YQ13:YQ17)</f>
        <v/>
      </c>
      <c r="YR18" s="24">
        <f>SUM(YR13:YR17)</f>
        <v/>
      </c>
      <c r="YS18" s="24">
        <f>SUM(YS13:YS17)</f>
        <v/>
      </c>
      <c r="YT18" s="24">
        <f>SUM(YT13:YT17)</f>
        <v/>
      </c>
      <c r="YU18" s="24">
        <f>SUM(YU13:YU17)</f>
        <v/>
      </c>
      <c r="YV18" s="24">
        <f>SUM(YV13:YV17)</f>
        <v/>
      </c>
      <c r="YW18" s="24">
        <f>SUM(YW13:YW17)</f>
        <v/>
      </c>
      <c r="YX18" s="24">
        <f>SUM(YX13:YX17)</f>
        <v/>
      </c>
      <c r="YY18" s="24">
        <f>SUM(YY13:YY17)</f>
        <v/>
      </c>
      <c r="YZ18" s="24">
        <f>SUM(YZ13:YZ17)</f>
        <v/>
      </c>
      <c r="ZA18" s="24">
        <f>SUM(ZA13:ZA17)</f>
        <v/>
      </c>
      <c r="ZB18" s="24">
        <f>SUM(ZB13:ZB17)</f>
        <v/>
      </c>
      <c r="ZC18" s="24">
        <f>SUM(ZC13:ZC17)</f>
        <v/>
      </c>
      <c r="ZD18" s="24">
        <f>SUM(ZD13:ZD17)</f>
        <v/>
      </c>
      <c r="ZE18" s="24">
        <f>SUM(ZE13:ZE17)</f>
        <v/>
      </c>
      <c r="ZF18" s="24">
        <f>SUM(ZF13:ZF17)</f>
        <v/>
      </c>
      <c r="ZG18" s="24">
        <f>SUM(ZG13:ZG17)</f>
        <v/>
      </c>
      <c r="ZH18" s="24">
        <f>SUM(ZH13:ZH17)</f>
        <v/>
      </c>
      <c r="ZI18" s="24">
        <f>SUM(ZI13:ZI17)</f>
        <v/>
      </c>
      <c r="ZJ18" s="24">
        <f>SUM(ZJ13:ZJ17)</f>
        <v/>
      </c>
      <c r="ZK18" s="24">
        <f>SUM(ZK13:ZK17)</f>
        <v/>
      </c>
      <c r="ZL18" s="24">
        <f>SUM(ZL13:ZL17)</f>
        <v/>
      </c>
      <c r="ZM18" s="24">
        <f>SUM(ZM13:ZM17)</f>
        <v/>
      </c>
      <c r="ZN18" s="24">
        <f>SUM(ZN13:ZN17)</f>
        <v/>
      </c>
      <c r="ZO18" s="24">
        <f>SUM(ZO13:ZO17)</f>
        <v/>
      </c>
      <c r="ZP18" s="24">
        <f>SUM(ZP13:ZP17)</f>
        <v/>
      </c>
      <c r="ZQ18" s="24">
        <f>SUM(ZQ13:ZQ17)</f>
        <v/>
      </c>
      <c r="ZR18" s="127">
        <f>SUM(YM18:ZQ18)</f>
        <v/>
      </c>
      <c r="ZS18" s="24">
        <f>SUM(ZS13:ZS17)</f>
        <v/>
      </c>
      <c r="ZT18" s="24">
        <f>SUM(ZT13:ZT17)</f>
        <v/>
      </c>
      <c r="ZU18" s="24">
        <f>SUM(ZU13:ZU17)</f>
        <v/>
      </c>
      <c r="ZV18" s="24">
        <f>SUM(ZV13:ZV17)</f>
        <v/>
      </c>
      <c r="ZW18" s="24">
        <f>SUM(ZW13:ZW17)</f>
        <v/>
      </c>
      <c r="ZX18" s="24">
        <f>SUM(ZX13:ZX17)</f>
        <v/>
      </c>
      <c r="ZY18" s="24">
        <f>SUM(ZY13:ZY17)</f>
        <v/>
      </c>
      <c r="ZZ18" s="24">
        <f>SUM(ZZ13:ZZ17)</f>
        <v/>
      </c>
      <c r="AAA18" s="24">
        <f>SUM(AAA13:AAA17)</f>
        <v/>
      </c>
      <c r="AAB18" s="24">
        <f>SUM(AAB13:AAB17)</f>
        <v/>
      </c>
      <c r="AAC18" s="24">
        <f>SUM(AAC13:AAC17)</f>
        <v/>
      </c>
      <c r="AAD18" s="24">
        <f>SUM(AAD13:AAD17)</f>
        <v/>
      </c>
      <c r="AAE18" s="24">
        <f>SUM(AAE13:AAE17)</f>
        <v/>
      </c>
      <c r="AAF18" s="24">
        <f>SUM(AAF13:AAF17)</f>
        <v/>
      </c>
      <c r="AAG18" s="24">
        <f>SUM(AAG13:AAG17)</f>
        <v/>
      </c>
      <c r="AAH18" s="24">
        <f>SUM(AAH13:AAH17)</f>
        <v/>
      </c>
      <c r="AAI18" s="24">
        <f>SUM(AAI13:AAI17)</f>
        <v/>
      </c>
      <c r="AAJ18" s="24">
        <f>SUM(AAJ13:AAJ17)</f>
        <v/>
      </c>
      <c r="AAK18" s="24">
        <f>SUM(AAK13:AAK17)</f>
        <v/>
      </c>
      <c r="AAL18" s="24">
        <f>SUM(AAL13:AAL17)</f>
        <v/>
      </c>
      <c r="AAM18" s="24">
        <f>SUM(AAM13:AAM17)</f>
        <v/>
      </c>
      <c r="AAN18" s="24">
        <f>SUM(AAN13:AAN17)</f>
        <v/>
      </c>
      <c r="AAO18" s="24">
        <f>SUM(AAO13:AAO17)</f>
        <v/>
      </c>
      <c r="AAP18" s="24">
        <f>SUM(AAP13:AAP17)</f>
        <v/>
      </c>
      <c r="AAQ18" s="24">
        <f>SUM(AAQ13:AAQ17)</f>
        <v/>
      </c>
      <c r="AAR18" s="24">
        <f>SUM(AAR13:AAR17)</f>
        <v/>
      </c>
      <c r="AAS18" s="24">
        <f>SUM(AAS13:AAS17)</f>
        <v/>
      </c>
      <c r="AAT18" s="24">
        <f>SUM(AAT13:AAT17)</f>
        <v/>
      </c>
      <c r="AAU18" s="24">
        <f>SUM(AAU13:AAU17)</f>
        <v/>
      </c>
      <c r="AAV18" s="24">
        <f>SUM(AAV13:AAV17)</f>
        <v/>
      </c>
      <c r="AAW18" s="127">
        <f>SUM(ZS18:AAV18)</f>
        <v/>
      </c>
      <c r="AAX18" s="24">
        <f>SUM(AAX13:AAX17)</f>
        <v/>
      </c>
      <c r="AAY18" s="24">
        <f>SUM(AAY13:AAY17)</f>
        <v/>
      </c>
      <c r="AAZ18" s="24">
        <f>SUM(AAZ13:AAZ17)</f>
        <v/>
      </c>
      <c r="ABA18" s="24">
        <f>SUM(ABA13:ABA17)</f>
        <v/>
      </c>
      <c r="ABB18" s="24">
        <f>SUM(ABB13:ABB17)</f>
        <v/>
      </c>
      <c r="ABC18" s="24">
        <f>SUM(ABC13:ABC17)</f>
        <v/>
      </c>
      <c r="ABD18" s="24">
        <f>SUM(ABD13:ABD17)</f>
        <v/>
      </c>
      <c r="ABE18" s="24">
        <f>SUM(ABE13:ABE17)</f>
        <v/>
      </c>
      <c r="ABF18" s="24">
        <f>SUM(ABF13:ABF17)</f>
        <v/>
      </c>
      <c r="ABG18" s="24">
        <f>SUM(ABG13:ABG17)</f>
        <v/>
      </c>
      <c r="ABH18" s="24">
        <f>SUM(ABH13:ABH17)</f>
        <v/>
      </c>
      <c r="ABI18" s="24">
        <f>SUM(ABI13:ABI17)</f>
        <v/>
      </c>
      <c r="ABJ18" s="24">
        <f>SUM(ABJ13:ABJ17)</f>
        <v/>
      </c>
      <c r="ABK18" s="24">
        <f>SUM(ABK13:ABK17)</f>
        <v/>
      </c>
      <c r="ABL18" s="24">
        <f>SUM(ABL13:ABL17)</f>
        <v/>
      </c>
      <c r="ABM18" s="24">
        <f>SUM(ABM13:ABM17)</f>
        <v/>
      </c>
      <c r="ABN18" s="24">
        <f>SUM(ABN13:ABN17)</f>
        <v/>
      </c>
      <c r="ABO18" s="24">
        <f>SUM(ABO13:ABO17)</f>
        <v/>
      </c>
      <c r="ABP18" s="24">
        <f>SUM(ABP13:ABP17)</f>
        <v/>
      </c>
      <c r="ABQ18" s="24">
        <f>SUM(ABQ13:ABQ17)</f>
        <v/>
      </c>
      <c r="ABR18" s="24">
        <f>SUM(ABR13:ABR17)</f>
        <v/>
      </c>
      <c r="ABS18" s="24">
        <f>SUM(ABS13:ABS17)</f>
        <v/>
      </c>
      <c r="ABT18" s="24">
        <f>SUM(ABT13:ABT17)</f>
        <v/>
      </c>
      <c r="ABU18" s="24">
        <f>SUM(ABU13:ABU17)</f>
        <v/>
      </c>
      <c r="ABV18" s="24">
        <f>SUM(ABV13:ABV17)</f>
        <v/>
      </c>
      <c r="ABW18" s="24">
        <f>SUM(ABW13:ABW17)</f>
        <v/>
      </c>
      <c r="ABX18" s="24">
        <f>SUM(ABX13:ABX17)</f>
        <v/>
      </c>
      <c r="ABY18" s="24">
        <f>SUM(ABY13:ABY17)</f>
        <v/>
      </c>
      <c r="ABZ18" s="24">
        <f>SUM(ABZ13:ABZ17)</f>
        <v/>
      </c>
      <c r="ACA18" s="24">
        <f>SUM(ACA13:ACA17)</f>
        <v/>
      </c>
      <c r="ACB18" s="24">
        <f>SUM(ACB13:ACB17)</f>
        <v/>
      </c>
      <c r="ACC18" s="127">
        <f>SUM(AAX18:ACB18)</f>
        <v/>
      </c>
      <c r="ACD18" s="24">
        <f>SUM(ACD13:ACD17)</f>
        <v/>
      </c>
      <c r="ACE18" s="24">
        <f>SUM(ACE13:ACE17)</f>
        <v/>
      </c>
      <c r="ACF18" s="24">
        <f>SUM(ACF13:ACF17)</f>
        <v/>
      </c>
      <c r="ACG18" s="24">
        <f>SUM(ACG13:ACG17)</f>
        <v/>
      </c>
      <c r="ACH18" s="24">
        <f>SUM(ACH13:ACH17)</f>
        <v/>
      </c>
      <c r="ACI18" s="24">
        <f>SUM(ACI13:ACI17)</f>
        <v/>
      </c>
      <c r="ACJ18" s="24">
        <f>SUM(ACJ13:ACJ17)</f>
        <v/>
      </c>
      <c r="ACK18" s="24">
        <f>SUM(ACK13:ACK17)</f>
        <v/>
      </c>
      <c r="ACL18" s="24">
        <f>SUM(ACL13:ACL17)</f>
        <v/>
      </c>
      <c r="ACM18" s="24">
        <f>SUM(ACM13:ACM17)</f>
        <v/>
      </c>
      <c r="ACN18" s="24">
        <f>SUM(ACN13:ACN17)</f>
        <v/>
      </c>
      <c r="ACO18" s="24">
        <f>SUM(ACO13:ACO17)</f>
        <v/>
      </c>
      <c r="ACP18" s="24">
        <f>SUM(ACP13:ACP17)</f>
        <v/>
      </c>
      <c r="ACQ18" s="24">
        <f>SUM(ACQ13:ACQ17)</f>
        <v/>
      </c>
      <c r="ACR18" s="24">
        <f>SUM(ACR13:ACR17)</f>
        <v/>
      </c>
      <c r="ACS18" s="24">
        <f>SUM(ACS13:ACS17)</f>
        <v/>
      </c>
      <c r="ACT18" s="24">
        <f>SUM(ACT13:ACT17)</f>
        <v/>
      </c>
      <c r="ACU18" s="24">
        <f>SUM(ACU13:ACU17)</f>
        <v/>
      </c>
      <c r="ACV18" s="24">
        <f>SUM(ACV13:ACV17)</f>
        <v/>
      </c>
      <c r="ACW18" s="24">
        <f>SUM(ACW13:ACW17)</f>
        <v/>
      </c>
      <c r="ACX18" s="24">
        <f>SUM(ACX13:ACX17)</f>
        <v/>
      </c>
      <c r="ACY18" s="24">
        <f>SUM(ACY13:ACY17)</f>
        <v/>
      </c>
      <c r="ACZ18" s="24">
        <f>SUM(ACZ13:ACZ17)</f>
        <v/>
      </c>
      <c r="ADA18" s="24">
        <f>SUM(ADA13:ADA17)</f>
        <v/>
      </c>
      <c r="ADB18" s="24">
        <f>SUM(ADB13:ADB17)</f>
        <v/>
      </c>
      <c r="ADC18" s="24">
        <f>SUM(ADC13:ADC17)</f>
        <v/>
      </c>
      <c r="ADD18" s="24">
        <f>SUM(ADD13:ADD17)</f>
        <v/>
      </c>
      <c r="ADE18" s="24">
        <f>SUM(ADE13:ADE17)</f>
        <v/>
      </c>
      <c r="ADF18" s="24">
        <f>SUM(ADF13:ADF17)</f>
        <v/>
      </c>
      <c r="ADG18" s="24">
        <f>SUM(ADG13:ADG17)</f>
        <v/>
      </c>
      <c r="ADH18" s="24">
        <f>SUM(ADH13:ADH17)</f>
        <v/>
      </c>
      <c r="ADI18" s="127">
        <f>SUM(ACD18:ADH18)</f>
        <v/>
      </c>
      <c r="ADJ18" s="24">
        <f>SUM(ADJ13:ADJ17)</f>
        <v/>
      </c>
      <c r="ADK18" s="24">
        <f>SUM(ADK13:ADK17)</f>
        <v/>
      </c>
      <c r="ADL18" s="24">
        <f>SUM(ADL13:ADL17)</f>
        <v/>
      </c>
      <c r="ADM18" s="24">
        <f>SUM(ADM13:ADM17)</f>
        <v/>
      </c>
      <c r="ADN18" s="24">
        <f>SUM(ADN13:ADN17)</f>
        <v/>
      </c>
      <c r="ADO18" s="24">
        <f>SUM(ADO13:ADO17)</f>
        <v/>
      </c>
      <c r="ADP18" s="24">
        <f>SUM(ADP13:ADP17)</f>
        <v/>
      </c>
      <c r="ADQ18" s="24">
        <f>SUM(ADQ13:ADQ17)</f>
        <v/>
      </c>
      <c r="ADR18" s="24">
        <f>SUM(ADR13:ADR17)</f>
        <v/>
      </c>
      <c r="ADS18" s="24">
        <f>SUM(ADS13:ADS17)</f>
        <v/>
      </c>
      <c r="ADT18" s="24">
        <f>SUM(ADT13:ADT17)</f>
        <v/>
      </c>
      <c r="ADU18" s="24">
        <f>SUM(ADU13:ADU17)</f>
        <v/>
      </c>
      <c r="ADV18" s="24">
        <f>SUM(ADV13:ADV17)</f>
        <v/>
      </c>
      <c r="ADW18" s="24">
        <f>SUM(ADW13:ADW17)</f>
        <v/>
      </c>
      <c r="ADX18" s="24">
        <f>SUM(ADX13:ADX17)</f>
        <v/>
      </c>
      <c r="ADY18" s="24">
        <f>SUM(ADY13:ADY17)</f>
        <v/>
      </c>
      <c r="ADZ18" s="24">
        <f>SUM(ADZ13:ADZ17)</f>
        <v/>
      </c>
      <c r="AEA18" s="24">
        <f>SUM(AEA13:AEA17)</f>
        <v/>
      </c>
      <c r="AEB18" s="24">
        <f>SUM(AEB13:AEB17)</f>
        <v/>
      </c>
      <c r="AEC18" s="24">
        <f>SUM(AEC13:AEC17)</f>
        <v/>
      </c>
      <c r="AED18" s="24">
        <f>SUM(AED13:AED17)</f>
        <v/>
      </c>
      <c r="AEE18" s="24">
        <f>SUM(AEE13:AEE17)</f>
        <v/>
      </c>
      <c r="AEF18" s="24">
        <f>SUM(AEF13:AEF17)</f>
        <v/>
      </c>
      <c r="AEG18" s="24">
        <f>SUM(AEG13:AEG17)</f>
        <v/>
      </c>
      <c r="AEH18" s="24">
        <f>SUM(AEH13:AEH17)</f>
        <v/>
      </c>
      <c r="AEI18" s="24">
        <f>SUM(AEI13:AEI17)</f>
        <v/>
      </c>
      <c r="AEJ18" s="24">
        <f>SUM(AEJ13:AEJ17)</f>
        <v/>
      </c>
      <c r="AEK18" s="24">
        <f>SUM(AEK13:AEK17)</f>
        <v/>
      </c>
      <c r="AEL18" s="24">
        <f>SUM(AEL13:AEL17)</f>
        <v/>
      </c>
      <c r="AEM18" s="24">
        <f>SUM(AEM13:AEM17)</f>
        <v/>
      </c>
      <c r="AEN18" s="127">
        <f>SUM(ADJ18:AEM18)</f>
        <v/>
      </c>
      <c r="AEO18" s="24">
        <f>SUM(AEO13:AEO17)</f>
        <v/>
      </c>
      <c r="AEP18" s="24">
        <f>SUM(AEP13:AEP17)</f>
        <v/>
      </c>
      <c r="AEQ18" s="24">
        <f>SUM(AEQ13:AEQ17)</f>
        <v/>
      </c>
      <c r="AER18" s="24">
        <f>SUM(AER13:AER17)</f>
        <v/>
      </c>
      <c r="AES18" s="24">
        <f>SUM(AES13:AES17)</f>
        <v/>
      </c>
      <c r="AET18" s="24">
        <f>SUM(AET13:AET17)</f>
        <v/>
      </c>
      <c r="AEU18" s="24">
        <f>SUM(AEU13:AEU17)</f>
        <v/>
      </c>
      <c r="AEV18" s="24">
        <f>SUM(AEV13:AEV17)</f>
        <v/>
      </c>
      <c r="AEW18" s="24">
        <f>SUM(AEW13:AEW17)</f>
        <v/>
      </c>
      <c r="AEX18" s="24">
        <f>SUM(AEX13:AEX17)</f>
        <v/>
      </c>
      <c r="AEY18" s="24">
        <f>SUM(AEY13:AEY17)</f>
        <v/>
      </c>
      <c r="AEZ18" s="24">
        <f>SUM(AEZ13:AEZ17)</f>
        <v/>
      </c>
      <c r="AFA18" s="24">
        <f>SUM(AFA13:AFA17)</f>
        <v/>
      </c>
      <c r="AFB18" s="24">
        <f>SUM(AFB13:AFB17)</f>
        <v/>
      </c>
      <c r="AFC18" s="24">
        <f>SUM(AFC13:AFC17)</f>
        <v/>
      </c>
      <c r="AFD18" s="24">
        <f>SUM(AFD13:AFD17)</f>
        <v/>
      </c>
      <c r="AFE18" s="24">
        <f>SUM(AFE13:AFE17)</f>
        <v/>
      </c>
      <c r="AFF18" s="24">
        <f>SUM(AFF13:AFF17)</f>
        <v/>
      </c>
      <c r="AFG18" s="24">
        <f>SUM(AFG13:AFG17)</f>
        <v/>
      </c>
      <c r="AFH18" s="24">
        <f>SUM(AFH13:AFH17)</f>
        <v/>
      </c>
      <c r="AFI18" s="24">
        <f>SUM(AFI13:AFI17)</f>
        <v/>
      </c>
      <c r="AFJ18" s="24">
        <f>SUM(AFJ13:AFJ17)</f>
        <v/>
      </c>
      <c r="AFK18" s="24">
        <f>SUM(AFK13:AFK17)</f>
        <v/>
      </c>
      <c r="AFL18" s="24">
        <f>SUM(AFL13:AFL17)</f>
        <v/>
      </c>
      <c r="AFM18" s="24">
        <f>SUM(AFM13:AFM17)</f>
        <v/>
      </c>
      <c r="AFN18" s="24">
        <f>SUM(AFN13:AFN17)</f>
        <v/>
      </c>
      <c r="AFO18" s="24">
        <f>SUM(AFO13:AFO17)</f>
        <v/>
      </c>
      <c r="AFP18" s="24">
        <f>SUM(AFP13:AFP17)</f>
        <v/>
      </c>
      <c r="AFQ18" s="24">
        <f>SUM(AFQ13:AFQ17)</f>
        <v/>
      </c>
      <c r="AFR18" s="24">
        <f>SUM(AFR13:AFR17)</f>
        <v/>
      </c>
      <c r="AFS18" s="24">
        <f>SUM(AFS13:AFS17)</f>
        <v/>
      </c>
      <c r="AFT18" s="127">
        <f>SUM(AEO18:AFS18)</f>
        <v/>
      </c>
      <c r="AFU18" s="24">
        <f>SUM(AFU13:AFU17)</f>
        <v/>
      </c>
      <c r="AFV18" s="24">
        <f>SUM(AFV13:AFV17)</f>
        <v/>
      </c>
      <c r="AFW18" s="24">
        <f>SUM(AFW13:AFW17)</f>
        <v/>
      </c>
      <c r="AFX18" s="24">
        <f>SUM(AFX13:AFX17)</f>
        <v/>
      </c>
      <c r="AFY18" s="24">
        <f>SUM(AFY13:AFY17)</f>
        <v/>
      </c>
      <c r="AFZ18" s="24">
        <f>SUM(AFZ13:AFZ17)</f>
        <v/>
      </c>
      <c r="AGA18" s="24">
        <f>SUM(AGA13:AGA17)</f>
        <v/>
      </c>
      <c r="AGB18" s="24">
        <f>SUM(AGB13:AGB17)</f>
        <v/>
      </c>
      <c r="AGC18" s="24">
        <f>SUM(AGC13:AGC17)</f>
        <v/>
      </c>
      <c r="AGD18" s="24">
        <f>SUM(AGD13:AGD17)</f>
        <v/>
      </c>
      <c r="AGE18" s="24">
        <f>SUM(AGE13:AGE17)</f>
        <v/>
      </c>
      <c r="AGF18" s="24">
        <f>SUM(AGF13:AGF17)</f>
        <v/>
      </c>
      <c r="AGG18" s="24">
        <f>SUM(AGG13:AGG17)</f>
        <v/>
      </c>
      <c r="AGH18" s="24">
        <f>SUM(AGH13:AGH17)</f>
        <v/>
      </c>
      <c r="AGI18" s="24">
        <f>SUM(AGI13:AGI17)</f>
        <v/>
      </c>
      <c r="AGJ18" s="24">
        <f>SUM(AGJ13:AGJ17)</f>
        <v/>
      </c>
      <c r="AGK18" s="24">
        <f>SUM(AGK13:AGK17)</f>
        <v/>
      </c>
      <c r="AGL18" s="24">
        <f>SUM(AGL13:AGL17)</f>
        <v/>
      </c>
      <c r="AGM18" s="24">
        <f>SUM(AGM13:AGM17)</f>
        <v/>
      </c>
      <c r="AGN18" s="24">
        <f>SUM(AGN13:AGN17)</f>
        <v/>
      </c>
      <c r="AGO18" s="24">
        <f>SUM(AGO13:AGO17)</f>
        <v/>
      </c>
      <c r="AGP18" s="24">
        <f>SUM(AGP13:AGP17)</f>
        <v/>
      </c>
      <c r="AGQ18" s="24">
        <f>SUM(AGQ13:AGQ17)</f>
        <v/>
      </c>
      <c r="AGR18" s="24">
        <f>SUM(AGR13:AGR17)</f>
        <v/>
      </c>
      <c r="AGS18" s="24">
        <f>SUM(AGS13:AGS17)</f>
        <v/>
      </c>
      <c r="AGT18" s="24">
        <f>SUM(AGT13:AGT17)</f>
        <v/>
      </c>
      <c r="AGU18" s="24">
        <f>SUM(AGU13:AGU17)</f>
        <v/>
      </c>
      <c r="AGV18" s="24">
        <f>SUM(AGV13:AGV17)</f>
        <v/>
      </c>
      <c r="AGW18" s="24">
        <f>SUM(AGW13:AGW17)</f>
        <v/>
      </c>
      <c r="AGX18" s="24">
        <f>SUM(AGX13:AGX17)</f>
        <v/>
      </c>
      <c r="AGY18" s="127">
        <f>SUM(AFU18:AGX18)</f>
        <v/>
      </c>
      <c r="AGZ18" s="24">
        <f>SUM(AGZ13:AGZ17)</f>
        <v/>
      </c>
      <c r="AHA18" s="24">
        <f>SUM(AHA13:AHA17)</f>
        <v/>
      </c>
      <c r="AHB18" s="24">
        <f>SUM(AHB13:AHB17)</f>
        <v/>
      </c>
      <c r="AHC18" s="24">
        <f>SUM(AHC13:AHC17)</f>
        <v/>
      </c>
      <c r="AHD18" s="24">
        <f>SUM(AHD13:AHD17)</f>
        <v/>
      </c>
      <c r="AHE18" s="24">
        <f>SUM(AHE13:AHE17)</f>
        <v/>
      </c>
      <c r="AHF18" s="24">
        <f>SUM(AHF13:AHF17)</f>
        <v/>
      </c>
      <c r="AHG18" s="24">
        <f>SUM(AHG13:AHG17)</f>
        <v/>
      </c>
      <c r="AHH18" s="24">
        <f>SUM(AHH13:AHH17)</f>
        <v/>
      </c>
      <c r="AHI18" s="24">
        <f>SUM(AHI13:AHI17)</f>
        <v/>
      </c>
      <c r="AHJ18" s="24">
        <f>SUM(AHJ13:AHJ17)</f>
        <v/>
      </c>
      <c r="AHK18" s="24">
        <f>SUM(AHK13:AHK17)</f>
        <v/>
      </c>
      <c r="AHL18" s="24">
        <f>SUM(AHL13:AHL17)</f>
        <v/>
      </c>
      <c r="AHM18" s="24">
        <f>SUM(AHM13:AHM17)</f>
        <v/>
      </c>
      <c r="AHN18" s="24">
        <f>SUM(AHN13:AHN17)</f>
        <v/>
      </c>
      <c r="AHO18" s="24">
        <f>SUM(AHO13:AHO17)</f>
        <v/>
      </c>
      <c r="AHP18" s="24">
        <f>SUM(AHP13:AHP17)</f>
        <v/>
      </c>
      <c r="AHQ18" s="24">
        <f>SUM(AHQ13:AHQ17)</f>
        <v/>
      </c>
      <c r="AHR18" s="24">
        <f>SUM(AHR13:AHR17)</f>
        <v/>
      </c>
      <c r="AHS18" s="24">
        <f>SUM(AHS13:AHS17)</f>
        <v/>
      </c>
      <c r="AHT18" s="24">
        <f>SUM(AHT13:AHT17)</f>
        <v/>
      </c>
      <c r="AHU18" s="24">
        <f>SUM(AHU13:AHU17)</f>
        <v/>
      </c>
      <c r="AHV18" s="24">
        <f>SUM(AHV13:AHV17)</f>
        <v/>
      </c>
      <c r="AHW18" s="24">
        <f>SUM(AHW13:AHW17)</f>
        <v/>
      </c>
      <c r="AHX18" s="24">
        <f>SUM(AHX13:AHX17)</f>
        <v/>
      </c>
      <c r="AHY18" s="24">
        <f>SUM(AHY13:AHY17)</f>
        <v/>
      </c>
      <c r="AHZ18" s="24">
        <f>SUM(AHZ13:AHZ17)</f>
        <v/>
      </c>
      <c r="AIA18" s="24">
        <f>SUM(AIA13:AIA17)</f>
        <v/>
      </c>
      <c r="AIB18" s="24">
        <f>SUM(AIB13:AIB17)</f>
        <v/>
      </c>
      <c r="AIC18" s="24">
        <f>SUM(AIC13:AIC17)</f>
        <v/>
      </c>
      <c r="AID18" s="24">
        <f>SUM(AID13:AID17)</f>
        <v/>
      </c>
      <c r="AIE18" s="127">
        <f>SUM(AGZ18:AID18)</f>
        <v/>
      </c>
      <c r="AIF18" s="24">
        <f>SUM(AIF13:AIF17)</f>
        <v/>
      </c>
      <c r="AIG18" s="24">
        <f>SUM(AIG13:AIG17)</f>
        <v/>
      </c>
      <c r="AIH18" s="24">
        <f>SUM(AIH13:AIH17)</f>
        <v/>
      </c>
      <c r="AII18" s="24">
        <f>SUM(AII13:AII17)</f>
        <v/>
      </c>
      <c r="AIJ18" s="24">
        <f>SUM(AIJ13:AIJ17)</f>
        <v/>
      </c>
      <c r="AIK18" s="24">
        <f>SUM(AIK13:AIK17)</f>
        <v/>
      </c>
      <c r="AIL18" s="24">
        <f>SUM(AIL13:AIL17)</f>
        <v/>
      </c>
      <c r="AIM18" s="24">
        <f>SUM(AIM13:AIM17)</f>
        <v/>
      </c>
      <c r="AIN18" s="24">
        <f>SUM(AIN13:AIN17)</f>
        <v/>
      </c>
      <c r="AIO18" s="24">
        <f>SUM(AIO13:AIO17)</f>
        <v/>
      </c>
      <c r="AIP18" s="24">
        <f>SUM(AIP13:AIP17)</f>
        <v/>
      </c>
      <c r="AIQ18" s="24">
        <f>SUM(AIQ13:AIQ17)</f>
        <v/>
      </c>
      <c r="AIR18" s="24">
        <f>SUM(AIR13:AIR17)</f>
        <v/>
      </c>
      <c r="AIS18" s="24">
        <f>SUM(AIS13:AIS17)</f>
        <v/>
      </c>
      <c r="AIT18" s="24">
        <f>SUM(AIT13:AIT17)</f>
        <v/>
      </c>
      <c r="AIU18" s="24">
        <f>SUM(AIU13:AIU17)</f>
        <v/>
      </c>
      <c r="AIV18" s="24">
        <f>SUM(AIV13:AIV17)</f>
        <v/>
      </c>
      <c r="AIW18" s="24">
        <f>SUM(AIW13:AIW17)</f>
        <v/>
      </c>
      <c r="AIX18" s="24">
        <f>SUM(AIX13:AIX17)</f>
        <v/>
      </c>
      <c r="AIY18" s="24">
        <f>SUM(AIY13:AIY17)</f>
        <v/>
      </c>
      <c r="AIZ18" s="24">
        <f>SUM(AIZ13:AIZ17)</f>
        <v/>
      </c>
      <c r="AJA18" s="24">
        <f>SUM(AJA13:AJA17)</f>
        <v/>
      </c>
      <c r="AJB18" s="24">
        <f>SUM(AJB13:AJB17)</f>
        <v/>
      </c>
      <c r="AJC18" s="24">
        <f>SUM(AJC13:AJC17)</f>
        <v/>
      </c>
      <c r="AJD18" s="24">
        <f>SUM(AJD13:AJD17)</f>
        <v/>
      </c>
      <c r="AJE18" s="24">
        <f>SUM(AJE13:AJE17)</f>
        <v/>
      </c>
      <c r="AJF18" s="24">
        <f>SUM(AJF13:AJF17)</f>
        <v/>
      </c>
      <c r="AJG18" s="24">
        <f>SUM(AJG13:AJG17)</f>
        <v/>
      </c>
      <c r="AJH18" s="24">
        <f>SUM(AJH13:AJH17)</f>
        <v/>
      </c>
      <c r="AJI18" s="24">
        <f>SUM(AJI13:AJI17)</f>
        <v/>
      </c>
      <c r="AJJ18" s="24">
        <f>SUM(AJJ13:AJJ17)</f>
        <v/>
      </c>
      <c r="AJK18" s="127">
        <f>SUM(AIF18:AJJ18)</f>
        <v/>
      </c>
      <c r="AJL18" s="24">
        <f>SUM(AJL13:AJL17)</f>
        <v/>
      </c>
      <c r="AJM18" s="24">
        <f>SUM(AJM13:AJM17)</f>
        <v/>
      </c>
      <c r="AJN18" s="24">
        <f>SUM(AJN13:AJN17)</f>
        <v/>
      </c>
      <c r="AJO18" s="24">
        <f>SUM(AJO13:AJO17)</f>
        <v/>
      </c>
      <c r="AJP18" s="24">
        <f>SUM(AJP13:AJP17)</f>
        <v/>
      </c>
      <c r="AJQ18" s="24">
        <f>SUM(AJQ13:AJQ17)</f>
        <v/>
      </c>
      <c r="AJR18" s="24">
        <f>SUM(AJR13:AJR17)</f>
        <v/>
      </c>
      <c r="AJS18" s="24">
        <f>SUM(AJS13:AJS17)</f>
        <v/>
      </c>
      <c r="AJT18" s="24">
        <f>SUM(AJT13:AJT17)</f>
        <v/>
      </c>
      <c r="AJU18" s="24">
        <f>SUM(AJU13:AJU17)</f>
        <v/>
      </c>
      <c r="AJV18" s="24">
        <f>SUM(AJV13:AJV17)</f>
        <v/>
      </c>
      <c r="AJW18" s="24">
        <f>SUM(AJW13:AJW17)</f>
        <v/>
      </c>
      <c r="AJX18" s="24">
        <f>SUM(AJX13:AJX17)</f>
        <v/>
      </c>
      <c r="AJY18" s="24">
        <f>SUM(AJY13:AJY17)</f>
        <v/>
      </c>
      <c r="AJZ18" s="24">
        <f>SUM(AJZ13:AJZ17)</f>
        <v/>
      </c>
      <c r="AKA18" s="24">
        <f>SUM(AKA13:AKA17)</f>
        <v/>
      </c>
      <c r="AKB18" s="24">
        <f>SUM(AKB13:AKB17)</f>
        <v/>
      </c>
      <c r="AKC18" s="24">
        <f>SUM(AKC13:AKC17)</f>
        <v/>
      </c>
      <c r="AKD18" s="24">
        <f>SUM(AKD13:AKD17)</f>
        <v/>
      </c>
      <c r="AKE18" s="24">
        <f>SUM(AKE13:AKE17)</f>
        <v/>
      </c>
      <c r="AKF18" s="24">
        <f>SUM(AKF13:AKF17)</f>
        <v/>
      </c>
      <c r="AKG18" s="24">
        <f>SUM(AKG13:AKG17)</f>
        <v/>
      </c>
      <c r="AKH18" s="24">
        <f>SUM(AKH13:AKH17)</f>
        <v/>
      </c>
      <c r="AKI18" s="24">
        <f>SUM(AKI13:AKI17)</f>
        <v/>
      </c>
      <c r="AKJ18" s="24">
        <f>SUM(AKJ13:AKJ17)</f>
        <v/>
      </c>
      <c r="AKK18" s="24">
        <f>SUM(AKK13:AKK17)</f>
        <v/>
      </c>
      <c r="AKL18" s="24">
        <f>SUM(AKL13:AKL17)</f>
        <v/>
      </c>
      <c r="AKM18" s="24">
        <f>SUM(AKM13:AKM17)</f>
        <v/>
      </c>
      <c r="AKN18" s="127">
        <f>SUM(AJL18:AKM18)</f>
        <v/>
      </c>
      <c r="AKO18" s="24">
        <f>SUM(AKO13:AKO17)</f>
        <v/>
      </c>
      <c r="AKP18" s="24">
        <f>SUM(AKP13:AKP17)</f>
        <v/>
      </c>
      <c r="AKQ18" s="24">
        <f>SUM(AKQ13:AKQ17)</f>
        <v/>
      </c>
      <c r="AKR18" s="24">
        <f>SUM(AKR13:AKR17)</f>
        <v/>
      </c>
      <c r="AKS18" s="24">
        <f>SUM(AKS13:AKS17)</f>
        <v/>
      </c>
      <c r="AKT18" s="24">
        <f>SUM(AKT13:AKT17)</f>
        <v/>
      </c>
      <c r="AKU18" s="24">
        <f>SUM(AKU13:AKU17)</f>
        <v/>
      </c>
      <c r="AKV18" s="24">
        <f>SUM(AKV13:AKV17)</f>
        <v/>
      </c>
      <c r="AKW18" s="24">
        <f>SUM(AKW13:AKW17)</f>
        <v/>
      </c>
      <c r="AKX18" s="24">
        <f>SUM(AKX13:AKX17)</f>
        <v/>
      </c>
      <c r="AKY18" s="24">
        <f>SUM(AKY13:AKY17)</f>
        <v/>
      </c>
      <c r="AKZ18" s="24">
        <f>SUM(AKZ13:AKZ17)</f>
        <v/>
      </c>
      <c r="ALA18" s="24">
        <f>SUM(ALA13:ALA17)</f>
        <v/>
      </c>
      <c r="ALB18" s="24">
        <f>SUM(ALB13:ALB17)</f>
        <v/>
      </c>
      <c r="ALC18" s="24">
        <f>SUM(ALC13:ALC17)</f>
        <v/>
      </c>
      <c r="ALD18" s="24">
        <f>SUM(ALD13:ALD17)</f>
        <v/>
      </c>
      <c r="ALE18" s="24">
        <f>SUM(ALE13:ALE17)</f>
        <v/>
      </c>
      <c r="ALF18" s="24">
        <f>SUM(ALF13:ALF17)</f>
        <v/>
      </c>
      <c r="ALG18" s="24">
        <f>SUM(ALG13:ALG17)</f>
        <v/>
      </c>
      <c r="ALH18" s="24">
        <f>SUM(ALH13:ALH17)</f>
        <v/>
      </c>
      <c r="ALI18" s="24">
        <f>SUM(ALI13:ALI17)</f>
        <v/>
      </c>
      <c r="ALJ18" s="24">
        <f>SUM(ALJ13:ALJ17)</f>
        <v/>
      </c>
      <c r="ALK18" s="24">
        <f>SUM(ALK13:ALK17)</f>
        <v/>
      </c>
      <c r="ALL18" s="24">
        <f>SUM(ALL13:ALL17)</f>
        <v/>
      </c>
      <c r="ALM18" s="24">
        <f>SUM(ALM13:ALM17)</f>
        <v/>
      </c>
      <c r="ALN18" s="24">
        <f>SUM(ALN13:ALN17)</f>
        <v/>
      </c>
      <c r="ALO18" s="24">
        <f>SUM(ALO13:ALO17)</f>
        <v/>
      </c>
      <c r="ALP18" s="24">
        <f>SUM(ALP13:ALP17)</f>
        <v/>
      </c>
      <c r="ALQ18" s="24">
        <f>SUM(ALQ13:ALQ17)</f>
        <v/>
      </c>
      <c r="ALR18" s="24">
        <f>SUM(ALR13:ALR17)</f>
        <v/>
      </c>
      <c r="ALS18" s="24">
        <f>SUM(ALS13:ALS17)</f>
        <v/>
      </c>
      <c r="ALT18" s="127">
        <f>SUM(AKO18:ALS18)</f>
        <v/>
      </c>
      <c r="ALU18" s="24">
        <f>SUM(ALU13:ALU17)</f>
        <v/>
      </c>
      <c r="ALV18" s="24">
        <f>SUM(ALV13:ALV17)</f>
        <v/>
      </c>
      <c r="ALW18" s="24">
        <f>SUM(ALW13:ALW17)</f>
        <v/>
      </c>
      <c r="ALX18" s="24">
        <f>SUM(ALX13:ALX17)</f>
        <v/>
      </c>
      <c r="ALY18" s="24">
        <f>SUM(ALY13:ALY17)</f>
        <v/>
      </c>
      <c r="ALZ18" s="24">
        <f>SUM(ALZ13:ALZ17)</f>
        <v/>
      </c>
      <c r="AMA18" s="24">
        <f>SUM(AMA13:AMA17)</f>
        <v/>
      </c>
      <c r="AMB18" s="24">
        <f>SUM(AMB13:AMB17)</f>
        <v/>
      </c>
      <c r="AMC18" s="24">
        <f>SUM(AMC13:AMC17)</f>
        <v/>
      </c>
      <c r="AMD18" s="24">
        <f>SUM(AMD13:AMD17)</f>
        <v/>
      </c>
      <c r="AME18" s="24">
        <f>SUM(AME13:AME17)</f>
        <v/>
      </c>
      <c r="AMF18" s="24">
        <f>SUM(AMF13:AMF17)</f>
        <v/>
      </c>
      <c r="AMG18" s="24">
        <f>SUM(AMG13:AMG17)</f>
        <v/>
      </c>
      <c r="AMH18" s="24">
        <f>SUM(AMH13:AMH17)</f>
        <v/>
      </c>
      <c r="AMI18" s="24">
        <f>SUM(AMI13:AMI17)</f>
        <v/>
      </c>
      <c r="AMJ18" s="24">
        <f>SUM(AMJ13:AMJ17)</f>
        <v/>
      </c>
      <c r="AMK18" s="24">
        <f>SUM(AMK13:AMK17)</f>
        <v/>
      </c>
      <c r="AML18" s="24">
        <f>SUM(AML13:AML17)</f>
        <v/>
      </c>
      <c r="AMM18" s="24">
        <f>SUM(AMM13:AMM17)</f>
        <v/>
      </c>
      <c r="AMN18" s="24">
        <f>SUM(AMN13:AMN17)</f>
        <v/>
      </c>
      <c r="AMO18" s="24">
        <f>SUM(AMO13:AMO17)</f>
        <v/>
      </c>
      <c r="AMP18" s="24">
        <f>SUM(AMP13:AMP17)</f>
        <v/>
      </c>
      <c r="AMQ18" s="24">
        <f>SUM(AMQ13:AMQ17)</f>
        <v/>
      </c>
      <c r="AMR18" s="24">
        <f>SUM(AMR13:AMR17)</f>
        <v/>
      </c>
      <c r="AMS18" s="24">
        <f>SUM(AMS13:AMS17)</f>
        <v/>
      </c>
      <c r="AMT18" s="24">
        <f>SUM(AMT13:AMT17)</f>
        <v/>
      </c>
      <c r="AMU18" s="24">
        <f>SUM(AMU13:AMU17)</f>
        <v/>
      </c>
      <c r="AMV18" s="24">
        <f>SUM(AMV13:AMV17)</f>
        <v/>
      </c>
      <c r="AMW18" s="24">
        <f>SUM(AMW13:AMW17)</f>
        <v/>
      </c>
      <c r="AMX18" s="24">
        <f>SUM(AMX13:AMX17)</f>
        <v/>
      </c>
      <c r="AMY18" s="127">
        <f>SUM(ALU18:AMX18)</f>
        <v/>
      </c>
      <c r="AMZ18" s="24">
        <f>SUM(AMZ13:AMZ17)</f>
        <v/>
      </c>
      <c r="ANA18" s="24">
        <f>SUM(ANA13:ANA17)</f>
        <v/>
      </c>
      <c r="ANB18" s="24">
        <f>SUM(ANB13:ANB17)</f>
        <v/>
      </c>
      <c r="ANC18" s="24">
        <f>SUM(ANC13:ANC17)</f>
        <v/>
      </c>
      <c r="AND18" s="24">
        <f>SUM(AND13:AND17)</f>
        <v/>
      </c>
      <c r="ANE18" s="24">
        <f>SUM(ANE13:ANE17)</f>
        <v/>
      </c>
      <c r="ANF18" s="24">
        <f>SUM(ANF13:ANF17)</f>
        <v/>
      </c>
      <c r="ANG18" s="24">
        <f>SUM(ANG13:ANG17)</f>
        <v/>
      </c>
      <c r="ANH18" s="24">
        <f>SUM(ANH13:ANH17)</f>
        <v/>
      </c>
      <c r="ANI18" s="24">
        <f>SUM(ANI13:ANI17)</f>
        <v/>
      </c>
      <c r="ANJ18" s="24">
        <f>SUM(ANJ13:ANJ17)</f>
        <v/>
      </c>
      <c r="ANK18" s="24">
        <f>SUM(ANK13:ANK17)</f>
        <v/>
      </c>
      <c r="ANL18" s="24">
        <f>SUM(ANL13:ANL17)</f>
        <v/>
      </c>
      <c r="ANM18" s="24">
        <f>SUM(ANM13:ANM17)</f>
        <v/>
      </c>
      <c r="ANN18" s="24">
        <f>SUM(ANN13:ANN17)</f>
        <v/>
      </c>
      <c r="ANO18" s="24">
        <f>SUM(ANO13:ANO17)</f>
        <v/>
      </c>
      <c r="ANP18" s="24">
        <f>SUM(ANP13:ANP17)</f>
        <v/>
      </c>
      <c r="ANQ18" s="24">
        <f>SUM(ANQ13:ANQ17)</f>
        <v/>
      </c>
      <c r="ANR18" s="24">
        <f>SUM(ANR13:ANR17)</f>
        <v/>
      </c>
      <c r="ANS18" s="24">
        <f>SUM(ANS13:ANS17)</f>
        <v/>
      </c>
      <c r="ANT18" s="24">
        <f>SUM(ANT13:ANT17)</f>
        <v/>
      </c>
      <c r="ANU18" s="24">
        <f>SUM(ANU13:ANU17)</f>
        <v/>
      </c>
      <c r="ANV18" s="24">
        <f>SUM(ANV13:ANV17)</f>
        <v/>
      </c>
      <c r="ANW18" s="24">
        <f>SUM(ANW13:ANW17)</f>
        <v/>
      </c>
      <c r="ANX18" s="24">
        <f>SUM(ANX13:ANX17)</f>
        <v/>
      </c>
      <c r="ANY18" s="24">
        <f>SUM(ANY13:ANY17)</f>
        <v/>
      </c>
      <c r="ANZ18" s="24">
        <f>SUM(ANZ13:ANZ17)</f>
        <v/>
      </c>
      <c r="AOA18" s="24">
        <f>SUM(AOA13:AOA17)</f>
        <v/>
      </c>
      <c r="AOB18" s="24">
        <f>SUM(AOB13:AOB17)</f>
        <v/>
      </c>
      <c r="AOC18" s="24">
        <f>SUM(AOC13:AOC17)</f>
        <v/>
      </c>
    </row>
    <row r="19" ht="15" customHeight="1" s="160">
      <c r="A19" s="169" t="inlineStr">
        <is>
          <t>OTHER SALES</t>
        </is>
      </c>
      <c r="B19" s="5" t="inlineStr">
        <is>
          <t>LUBES</t>
        </is>
      </c>
      <c r="C19" s="22" t="n">
        <v>99000</v>
      </c>
      <c r="D19" s="22" t="n">
        <v>0</v>
      </c>
      <c r="E19" s="22">
        <f>160000+22000+12000+20000</f>
        <v/>
      </c>
      <c r="F19" s="22" t="n">
        <v>80000</v>
      </c>
      <c r="G19" s="22">
        <f>320000+44000+10000</f>
        <v/>
      </c>
      <c r="H19" s="22" t="n">
        <v>24000</v>
      </c>
      <c r="I19" s="22" t="n">
        <v>0</v>
      </c>
      <c r="J19" s="22">
        <f>160000+36000</f>
        <v/>
      </c>
      <c r="K19" s="22">
        <f>80000+22000+9500</f>
        <v/>
      </c>
      <c r="L19" s="22">
        <f>22000+11000</f>
        <v/>
      </c>
      <c r="M19" s="22">
        <f>22000+80000+90000+300000</f>
        <v/>
      </c>
      <c r="N19" s="22">
        <f>72000+27500</f>
        <v/>
      </c>
      <c r="O19" s="22">
        <f>144000+26000</f>
        <v/>
      </c>
      <c r="P19" s="22">
        <f>18000+10000</f>
        <v/>
      </c>
      <c r="Q19" s="22">
        <f>72000+200000+88000+48000</f>
        <v/>
      </c>
      <c r="R19" s="22">
        <f>18000+80000+11000+9500</f>
        <v/>
      </c>
      <c r="S19" s="22" t="n">
        <v>72000</v>
      </c>
      <c r="T19" s="22">
        <f>36000+100000+44000+9500+27500</f>
        <v/>
      </c>
      <c r="U19" s="22">
        <f>18000+27500</f>
        <v/>
      </c>
      <c r="V19" s="22">
        <f>80000+100000+27500</f>
        <v/>
      </c>
      <c r="W19" s="22">
        <f>80000+100000+20000+9500</f>
        <v/>
      </c>
      <c r="X19" s="22" t="n">
        <v>10000</v>
      </c>
      <c r="Y19" s="22">
        <f>20000+36000+72000</f>
        <v/>
      </c>
      <c r="Z19" s="22">
        <f>100000+44000+11000</f>
        <v/>
      </c>
      <c r="AA19" s="22">
        <f>10000+19000</f>
        <v/>
      </c>
      <c r="AB19" s="22">
        <f>100000+88000+36000+19000+8000</f>
        <v/>
      </c>
      <c r="AC19" s="22">
        <f>72000+9500</f>
        <v/>
      </c>
      <c r="AD19" s="22" t="n">
        <v>254000</v>
      </c>
      <c r="AE19" s="22" t="n">
        <v>10000</v>
      </c>
      <c r="AF19" s="22">
        <f>72000+18000+22000+22000+24000+80000</f>
        <v/>
      </c>
      <c r="AG19" s="22">
        <f>160000+10000+10000+9500</f>
        <v/>
      </c>
      <c r="AH19" s="94">
        <f>SUM(C19:AG19)</f>
        <v/>
      </c>
      <c r="AI19">
        <f>160000+11000+72000+39000</f>
        <v/>
      </c>
      <c r="AJ19">
        <f>72000+12000+9500</f>
        <v/>
      </c>
      <c r="AK19">
        <f>144000+12000</f>
        <v/>
      </c>
      <c r="AL19">
        <f>18000+12000</f>
        <v/>
      </c>
      <c r="AM19">
        <f>36000+9500</f>
        <v/>
      </c>
      <c r="AN19" t="n">
        <v>72000</v>
      </c>
      <c r="AO19" t="n">
        <v>0</v>
      </c>
      <c r="AP19">
        <f>72000+20000</f>
        <v/>
      </c>
      <c r="AQ19">
        <f>72000+84000+9500+36000+22000+58500</f>
        <v/>
      </c>
      <c r="AR19">
        <f>100000+44000+9500+27500</f>
        <v/>
      </c>
      <c r="AS19">
        <f>80000+72000+36000</f>
        <v/>
      </c>
      <c r="AT19">
        <f>80000+11000+18000+216000+18000+95000+39000</f>
        <v/>
      </c>
      <c r="AU19">
        <f>95000+78000+100000+44000+9500+27500</f>
        <v/>
      </c>
      <c r="AV19">
        <f>18000+144000</f>
        <v/>
      </c>
      <c r="AW19">
        <f>95000+39000+12000+11000</f>
        <v/>
      </c>
      <c r="AX19">
        <f>100000+22000+110000+11000</f>
        <v/>
      </c>
      <c r="AY19">
        <f>39000+72000+36000+19000+10000</f>
        <v/>
      </c>
      <c r="AZ19">
        <f>72000+22000</f>
        <v/>
      </c>
      <c r="BA19">
        <f>54000+10000+95000+58500+80000+100000+44000</f>
        <v/>
      </c>
      <c r="BB19">
        <f>12000+95000+144000+18000</f>
        <v/>
      </c>
      <c r="BC19">
        <f>24000+80000+44000</f>
        <v/>
      </c>
      <c r="BD19" t="n">
        <v>0</v>
      </c>
      <c r="BE19">
        <f>95000+58500+216000+18000+10000+9500+36000</f>
        <v/>
      </c>
      <c r="BF19" t="n">
        <v>0</v>
      </c>
      <c r="BG19">
        <f>108000+20000+80000+11000</f>
        <v/>
      </c>
      <c r="BH19">
        <f>36000+95000+19500+144000+160000+11000</f>
        <v/>
      </c>
      <c r="BI19">
        <f>100000+44000+190000+58500+36000+24000</f>
        <v/>
      </c>
      <c r="BJ19">
        <f>54000+20000+18000+60000</f>
        <v/>
      </c>
      <c r="BK19">
        <f>18000+30000+18000+120000+11000</f>
        <v/>
      </c>
      <c r="BL19">
        <f>44000+30000+19000+400000+22000</f>
        <v/>
      </c>
      <c r="BM19" s="97">
        <f>SUM(AI19:BL19)</f>
        <v/>
      </c>
      <c r="BN19">
        <f>80000+20000+9500</f>
        <v/>
      </c>
      <c r="BO19">
        <f>11000+70000</f>
        <v/>
      </c>
      <c r="BP19">
        <f>80000+19000</f>
        <v/>
      </c>
      <c r="BQ19">
        <f>285000+19500+18000+10000+160000+11000+24000</f>
        <v/>
      </c>
      <c r="BR19">
        <f>80000+10000+18000+10000</f>
        <v/>
      </c>
      <c r="BS19">
        <f>80000+10000+18000+9500+12000</f>
        <v/>
      </c>
      <c r="BT19">
        <f>132000+80000+12000+22000+80000</f>
        <v/>
      </c>
      <c r="BU19">
        <f>110000+11000+120000+10000</f>
        <v/>
      </c>
      <c r="BV19" t="n">
        <v>19000</v>
      </c>
      <c r="BW19">
        <f>154000+18000+39000+22000</f>
        <v/>
      </c>
      <c r="BX19">
        <f>77000+36000</f>
        <v/>
      </c>
      <c r="BY19">
        <f>80000+22000+176000+190000+156000</f>
        <v/>
      </c>
      <c r="BZ19" t="n">
        <v>58500</v>
      </c>
      <c r="CA19">
        <f>72000+76000</f>
        <v/>
      </c>
      <c r="CB19">
        <f>12000+20000+72000+18000</f>
        <v/>
      </c>
      <c r="CC19" t="n">
        <v>46000</v>
      </c>
      <c r="CD19">
        <f>448000+92000+24000+76000+10000</f>
        <v/>
      </c>
      <c r="CF19">
        <f>120000+36000+24000+10000</f>
        <v/>
      </c>
      <c r="CG19">
        <f>20000+48000</f>
        <v/>
      </c>
      <c r="CH19">
        <f>380000+20000+107000+44000</f>
        <v/>
      </c>
      <c r="CI19">
        <f>76000+10000+72000+56000</f>
        <v/>
      </c>
      <c r="CJ19">
        <f>76000+30000+200000</f>
        <v/>
      </c>
      <c r="CK19">
        <f>76000+30000+12000+112000+46000</f>
        <v/>
      </c>
      <c r="CL19">
        <f>56000+40000+160000</f>
        <v/>
      </c>
      <c r="CM19" t="n">
        <v>56000</v>
      </c>
      <c r="CN19">
        <f>152000+30000+48000</f>
        <v/>
      </c>
      <c r="CO19">
        <f>20000+144000+45000</f>
        <v/>
      </c>
      <c r="CP19">
        <f>152000+50000+72000+27500+10000</f>
        <v/>
      </c>
      <c r="CQ19">
        <f>20000+20000+200000+40000+190000</f>
        <v/>
      </c>
      <c r="CR19">
        <f>152000+20000+50000+20000+10000+72000</f>
        <v/>
      </c>
      <c r="CS19" s="111">
        <f>SUM(BN19:CR19)</f>
        <v/>
      </c>
      <c r="CT19">
        <f>36000+896000+56000+92000+12000+10000+76000</f>
        <v/>
      </c>
      <c r="CU19">
        <f>200000+150000</f>
        <v/>
      </c>
      <c r="CV19">
        <f>10000+12000+70000+76000+72000+350000</f>
        <v/>
      </c>
      <c r="CW19">
        <f>280000+684000+672000+100000+400000+40000+72000+12000</f>
        <v/>
      </c>
      <c r="CX19">
        <f>200000+50000+112000+69000+24000+40000+76000+224000+112000</f>
        <v/>
      </c>
      <c r="CY19">
        <f>152000+20000+112000+24000+92000+10000</f>
        <v/>
      </c>
      <c r="CZ19">
        <f>40000+60000+10000</f>
        <v/>
      </c>
      <c r="DA19">
        <f>20000+76000+20000+20000+112000+22000+448000</f>
        <v/>
      </c>
      <c r="DB19">
        <f>100000+76000+216000+20000+40000+36000+10000+24000</f>
        <v/>
      </c>
      <c r="DC19">
        <f>72000+130000+160000+20000+18000+20000</f>
        <v/>
      </c>
      <c r="DD19">
        <f>12000+40000+80000+18000</f>
        <v/>
      </c>
      <c r="DE19">
        <f>12000+160000+160000+95000+20000+224000+224000+144000+10000+200000+27500+20000</f>
        <v/>
      </c>
      <c r="DF19">
        <f>30000+80000+72000</f>
        <v/>
      </c>
      <c r="DG19">
        <f>120000+224000+56000+160000+40000+18000+200000</f>
        <v/>
      </c>
      <c r="DH19">
        <f>80000+72000+224000+56000+10000+20000</f>
        <v/>
      </c>
      <c r="DI19">
        <f>100000+10000+12000</f>
        <v/>
      </c>
      <c r="DJ19">
        <f>112000+220000+10000+18000+320000+40000</f>
        <v/>
      </c>
      <c r="DK19">
        <f>214000+36000+80000+200000+150000+69000</f>
        <v/>
      </c>
      <c r="DL19">
        <f>160000+18000+50000+10000</f>
        <v/>
      </c>
      <c r="DM19">
        <f>60000+72000+200000+20000+190000</f>
        <v/>
      </c>
      <c r="DN19">
        <f>72000+115000+224000+56000+160000+20000</f>
        <v/>
      </c>
      <c r="DO19">
        <f>72000+224000+224000</f>
        <v/>
      </c>
      <c r="DP19">
        <f>144000+120000+160000</f>
        <v/>
      </c>
      <c r="DQ19">
        <f>144000+46000+112000</f>
        <v/>
      </c>
      <c r="DR19">
        <f>480000+40000+60000+95000+105000+44000+72000</f>
        <v/>
      </c>
      <c r="DS19">
        <f>72000+20000+36000</f>
        <v/>
      </c>
      <c r="DT19">
        <f>288000+66000+10000</f>
        <v/>
      </c>
      <c r="DU19">
        <f>144000+160000+40000+22000</f>
        <v/>
      </c>
      <c r="DV19">
        <f>72000+54000+40000+475000+80000</f>
        <v/>
      </c>
      <c r="DW19">
        <f>216000+18000+50000</f>
        <v/>
      </c>
      <c r="DX19" s="119">
        <f>SUM(CT19:DW19)</f>
        <v/>
      </c>
      <c r="DY19">
        <f>80000+160000+22000</f>
        <v/>
      </c>
      <c r="DZ19">
        <f>40000+95000+10000+50000</f>
        <v/>
      </c>
      <c r="EA19">
        <f>10000+95000+40000+144000+22000+80000</f>
        <v/>
      </c>
      <c r="EB19">
        <f>20000+20000+150000+72000+160000+12000</f>
        <v/>
      </c>
      <c r="EC19">
        <f>144000+107000+44000+22000</f>
        <v/>
      </c>
      <c r="ED19">
        <f>144000+22000+20000+36000+80000+100000+95000</f>
        <v/>
      </c>
      <c r="EE19">
        <f>66000+107000+400000+50000+320000+40000</f>
        <v/>
      </c>
      <c r="EF19">
        <f>432000+40000+200000+200000+285000+36000+10000+11000</f>
        <v/>
      </c>
      <c r="EG19">
        <f>30000+72000+200000+12000</f>
        <v/>
      </c>
      <c r="EH19">
        <f>18000+72000+22000</f>
        <v/>
      </c>
      <c r="EI19" t="n">
        <v>36000</v>
      </c>
      <c r="EJ19">
        <f>144000+60000+320000+20000+56000+224000</f>
        <v/>
      </c>
      <c r="EK19">
        <f>144000+240000+22000+10000+36000</f>
        <v/>
      </c>
      <c r="EL19">
        <f>90000+200000+240000</f>
        <v/>
      </c>
      <c r="EM19">
        <f>18000+144000+95000+60000</f>
        <v/>
      </c>
      <c r="EN19">
        <f>10000+115000+46000+22000+72000+50000</f>
        <v/>
      </c>
      <c r="EO19">
        <f>112000+224000+200000+120000</f>
        <v/>
      </c>
      <c r="EP19">
        <f>216000+18000+12000+22000+150000+200000+56000+224000</f>
        <v/>
      </c>
      <c r="EQ19">
        <f>10000+12000+144000+300000+107000+44000</f>
        <v/>
      </c>
      <c r="ER19">
        <f>216000+400000+23000+112000</f>
        <v/>
      </c>
      <c r="ES19">
        <f>72000+50000+336000+224000+112000+10000+152000+22000</f>
        <v/>
      </c>
      <c r="ET19">
        <f>214000+110000+250000+56000+20000+152000+100000+95000</f>
        <v/>
      </c>
      <c r="EU19">
        <f>110000+76000+108000+224000+20000+24000+10000</f>
        <v/>
      </c>
      <c r="EV19">
        <f>304000+80000+44000+18000+44000</f>
        <v/>
      </c>
      <c r="EW19">
        <f>20000+56000</f>
        <v/>
      </c>
      <c r="EX19">
        <f>90000+152000+40000+500000</f>
        <v/>
      </c>
      <c r="EY19">
        <f>70000+76000+36000+56000+132000+22000</f>
        <v/>
      </c>
      <c r="EZ19">
        <f>80000+152000+168000+224000+22000+24000+50000</f>
        <v/>
      </c>
      <c r="FA19">
        <f>80000+56000+40000+160000+10000+22000+107000+44000+18000</f>
        <v/>
      </c>
      <c r="FB19">
        <f>90000+152000+20000+160000+107000</f>
        <v/>
      </c>
      <c r="FC19" t="n">
        <v>100000</v>
      </c>
      <c r="FD19" s="128">
        <f>SUM(DY19:FC19)</f>
        <v/>
      </c>
      <c r="FE19">
        <f>70000+46000+112000+36000+285000+224000+56000</f>
        <v/>
      </c>
      <c r="FF19">
        <f>20000+95000</f>
        <v/>
      </c>
      <c r="FG19">
        <f>54000+10000+20000+56000</f>
        <v/>
      </c>
      <c r="FH19">
        <f>72000+160000+20000+20000</f>
        <v/>
      </c>
      <c r="FI19">
        <f>180000+320000+22000+200000+285000+22000+10000</f>
        <v/>
      </c>
      <c r="FJ19">
        <f>168000+20000+10000+36000+112000+115000+22000</f>
        <v/>
      </c>
      <c r="FK19">
        <f>18000+160000+96000</f>
        <v/>
      </c>
      <c r="FL19" t="n">
        <v>0</v>
      </c>
      <c r="FM19">
        <f>12000+56000+160000+112000+23000+22000</f>
        <v/>
      </c>
      <c r="FN19">
        <f>36000+76000+20000+11000</f>
        <v/>
      </c>
      <c r="FO19">
        <f>76000+10000+24000</f>
        <v/>
      </c>
      <c r="FP19">
        <f>76000+10000+18000+92000+112000</f>
        <v/>
      </c>
      <c r="FQ19">
        <f>168000+80000+10000+72000</f>
        <v/>
      </c>
      <c r="FR19">
        <f>23000+112000+152000+60000+18000+20000</f>
        <v/>
      </c>
      <c r="FS19">
        <f>228000+10000+190000+80000+10000+672000+112000</f>
        <v/>
      </c>
      <c r="FT19">
        <f>76000+224000+56000+18000+107000</f>
        <v/>
      </c>
      <c r="FU19">
        <f>152000+20000+30000+23000+10000</f>
        <v/>
      </c>
      <c r="FV19">
        <f>10000+22000+190000+100000+44000+107000</f>
        <v/>
      </c>
      <c r="FW19">
        <f>304000+50000+95000+20000+44000+107000+18000</f>
        <v/>
      </c>
      <c r="FX19">
        <f>152000+30000+160000+20000+24000</f>
        <v/>
      </c>
      <c r="FY19">
        <f>20000+151000</f>
        <v/>
      </c>
      <c r="FZ19">
        <f>95000+60000+22000+320000+54000+10000</f>
        <v/>
      </c>
      <c r="GA19">
        <f>36000+76000+20000</f>
        <v/>
      </c>
      <c r="GB19">
        <f>95000+20000+10000</f>
        <v/>
      </c>
      <c r="GC19">
        <f>160000+40000+10000+76000+20000+11000</f>
        <v/>
      </c>
      <c r="GD19">
        <f>214000+22000+20000+76000+18000+150000+285000+250000</f>
        <v/>
      </c>
      <c r="GE19">
        <f>684000+20000+480000+56000+224000+24000+22000</f>
        <v/>
      </c>
      <c r="GF19">
        <f>70000+27500</f>
        <v/>
      </c>
      <c r="GG19">
        <f>120000+10000+160000</f>
        <v/>
      </c>
      <c r="GH19" t="n">
        <v>20000</v>
      </c>
      <c r="GI19">
        <f>40000+76000+107000+44000+40000+95000</f>
        <v/>
      </c>
      <c r="GJ19" s="127">
        <f>SUM(FE19:GI19)</f>
        <v/>
      </c>
      <c r="GK19">
        <f>20000+76000+120000+18000</f>
        <v/>
      </c>
      <c r="GL19">
        <f>20000+228000+22000+56000+18000+160000+120000+10000</f>
        <v/>
      </c>
      <c r="GM19">
        <f>228000+30000+107000+44000</f>
        <v/>
      </c>
      <c r="GN19" t="n">
        <v>76000</v>
      </c>
      <c r="GO19">
        <f>76000+70000+72000+22000</f>
        <v/>
      </c>
      <c r="GP19">
        <f>76000+30000+18000+95000+160000+40000</f>
        <v/>
      </c>
      <c r="GQ19">
        <f>160000+18000+95000+60000+10000</f>
        <v/>
      </c>
      <c r="GR19" t="n">
        <v>80000</v>
      </c>
      <c r="GS19">
        <f>50000+160000+80000+112000</f>
        <v/>
      </c>
      <c r="GT19">
        <f>100000+280000</f>
        <v/>
      </c>
      <c r="GU19">
        <f>50000+320000+18000</f>
        <v/>
      </c>
      <c r="GV19">
        <f>60000+76000+380000+1280000+10000</f>
        <v/>
      </c>
      <c r="GW19">
        <f>60000+76000+95000+60000+22000+448000</f>
        <v/>
      </c>
      <c r="GX19">
        <f>161000+12000+40000</f>
        <v/>
      </c>
      <c r="GY19">
        <f>40000+36000+36000</f>
        <v/>
      </c>
      <c r="GZ19">
        <f>105000+30000+30000+161000+90000+120000+160000+224000+112000</f>
        <v/>
      </c>
      <c r="HA19">
        <f>95000+40000+600000+200000+240000+228000+100000+36000</f>
        <v/>
      </c>
      <c r="HB19">
        <f>70000+76000+160000+161000+12000</f>
        <v/>
      </c>
      <c r="HC19">
        <f>10000+10000+95000+224000</f>
        <v/>
      </c>
      <c r="HD19">
        <f>60000+228000+18000</f>
        <v/>
      </c>
      <c r="HE19">
        <f>12000+18000+10000+100000+224000</f>
        <v/>
      </c>
      <c r="HF19">
        <f>76000+30000+40000+320000+24000</f>
        <v/>
      </c>
      <c r="HG19">
        <f>200000+200000+18000+112000+224000+112000+46000</f>
        <v/>
      </c>
      <c r="HH19">
        <f>160000+160000+200000+112000+224000</f>
        <v/>
      </c>
      <c r="HI19">
        <f>100000+200000+152000+10000+23000+10000+18000</f>
        <v/>
      </c>
      <c r="HJ19">
        <f>250000+600000+50000+40000+76000</f>
        <v/>
      </c>
      <c r="HK19">
        <f>23000+18000+40000+76000+50000+200000</f>
        <v/>
      </c>
      <c r="HL19">
        <f>20000+304000+24000+50000+200000</f>
        <v/>
      </c>
      <c r="HM19">
        <f>80000+95000+250000</f>
        <v/>
      </c>
      <c r="HN19" s="127">
        <f>SUM(GK19:HM19)</f>
        <v/>
      </c>
      <c r="HO19">
        <f>30000+152000+20000+10000+44000+40000+18000+400000</f>
        <v/>
      </c>
      <c r="HP19">
        <f>69000+112000+10000+10000+18000+44000</f>
        <v/>
      </c>
      <c r="HQ19">
        <f>320000+10000+112000+69000+200000+100000+80000+160000+95000+40000+224000+69000</f>
        <v/>
      </c>
      <c r="HR19">
        <f>40000+36000+40000+10000+20000</f>
        <v/>
      </c>
      <c r="HS19">
        <f>76000+60000+190000</f>
        <v/>
      </c>
      <c r="HT19">
        <f>76000+640000+22000+20000</f>
        <v/>
      </c>
      <c r="HU19" t="n">
        <v>228000</v>
      </c>
      <c r="HV19">
        <f>228000+50000+224000+56000+200000+100000+20000+10000+18000</f>
        <v/>
      </c>
      <c r="HW19">
        <f>69000+112000+10000+228000</f>
        <v/>
      </c>
      <c r="HX19">
        <f>10000+76000</f>
        <v/>
      </c>
      <c r="HY19">
        <f>152000+80000+160000+40000+24000+36000+105000+44000+46000+112000+107000+88000</f>
        <v/>
      </c>
      <c r="HZ19">
        <f>160000+40000+448000+168000</f>
        <v/>
      </c>
      <c r="IA19">
        <f>112000+224000+10000+76000+44000+107000+10000</f>
        <v/>
      </c>
      <c r="IB19">
        <f>100000+200000+12000+10000+66000+40000+95000</f>
        <v/>
      </c>
      <c r="IC19">
        <f>240000+76000+20000+54000+24000</f>
        <v/>
      </c>
      <c r="ID19">
        <f>70000+18000+112000+224000+160000+40000</f>
        <v/>
      </c>
      <c r="IE19">
        <f>36000+24000+10000+20000+100000+200000</f>
        <v/>
      </c>
      <c r="IF19">
        <f>160000+120000+400000+112000+46000+22000+228000</f>
        <v/>
      </c>
      <c r="IH19">
        <f>80000+190000+160000+40000+10000</f>
        <v/>
      </c>
      <c r="II19">
        <f>20000+95000+160000+40000+56000+224000</f>
        <v/>
      </c>
      <c r="IJ19">
        <f>60000+95000+46000+112000+214000+10000</f>
        <v/>
      </c>
      <c r="IK19">
        <f>50000+66000+30000+320000+22000+60000+190000+76000</f>
        <v/>
      </c>
      <c r="IL19">
        <f>70000+152000+12000+10000+100000</f>
        <v/>
      </c>
      <c r="IM19">
        <f>40000+76000+18000+50000+112000+95000</f>
        <v/>
      </c>
      <c r="IN19">
        <f>152000+50000+80000+160000+60000+95000+10000</f>
        <v/>
      </c>
      <c r="IO19">
        <f>80000+228000</f>
        <v/>
      </c>
      <c r="IP19">
        <f>76000+56000+448000+46000+112000+54000+20000</f>
        <v/>
      </c>
      <c r="IQ19">
        <f>228000+40000+100000+400000+10000+40000</f>
        <v/>
      </c>
      <c r="IR19">
        <f>30000+20000</f>
        <v/>
      </c>
      <c r="IS19">
        <f>20000+12000+69000+112000</f>
        <v/>
      </c>
      <c r="IT19" s="127">
        <f>SUM(HO19:IS19)</f>
        <v/>
      </c>
      <c r="IU19">
        <f>107000+22000+50000+18000+200000+50000+10000+40000+95000</f>
        <v/>
      </c>
      <c r="IV19">
        <f>448000+80000+190000+18000+10000</f>
        <v/>
      </c>
      <c r="IW19">
        <f>20000+95000+40000+250000+160000+80000+108000+200000+50000+20000+76000</f>
        <v/>
      </c>
      <c r="IX19">
        <f>60000+76000+50000+400000+20000+23000+10000</f>
        <v/>
      </c>
      <c r="IY19">
        <f>50000+76000+200000+400000+285000</f>
        <v/>
      </c>
      <c r="IZ19">
        <f>40000+76000+50000+600000+56000</f>
        <v/>
      </c>
      <c r="JA19">
        <f>10000+76000+224000+56000+200000+10000+140000+22000</f>
        <v/>
      </c>
      <c r="JB19">
        <f>90000+20000+46000+112000+448000+56000</f>
        <v/>
      </c>
      <c r="JC19">
        <f>110000+76000+107000+44000</f>
        <v/>
      </c>
      <c r="JD19">
        <f>150000+152000+80000+50000</f>
        <v/>
      </c>
      <c r="JE19">
        <f>48000+160000+22000+200000+50000+112000+224000</f>
        <v/>
      </c>
      <c r="JF19">
        <f>228000+224000+18000</f>
        <v/>
      </c>
      <c r="JG19">
        <f>95000+60000+336000+46000+22000+18000</f>
        <v/>
      </c>
      <c r="JH19">
        <f>10000+76000+12000+27500</f>
        <v/>
      </c>
      <c r="JI19">
        <f>50000+152000+56000+100000+80000+18000</f>
        <v/>
      </c>
      <c r="JJ19">
        <f>20000+76000+50000+160000+12000</f>
        <v/>
      </c>
      <c r="JK19">
        <f>30000+304000+160000+10000+20000+95000+22000+44000</f>
        <v/>
      </c>
      <c r="JL19">
        <f>10000+12000</f>
        <v/>
      </c>
      <c r="JM19">
        <f>76000+44000+40000+320000+224000+92000</f>
        <v/>
      </c>
      <c r="JN19">
        <f>200000+50000+10000+304000+40000+224000+56000</f>
        <v/>
      </c>
      <c r="JO19">
        <f>224000+112000</f>
        <v/>
      </c>
      <c r="JP19">
        <f>10000+12000+40000+56000</f>
        <v/>
      </c>
      <c r="JQ19">
        <f>152000+10000+80000+36000+100000+12000</f>
        <v/>
      </c>
      <c r="JR19">
        <f>76000+50000+10000+160000</f>
        <v/>
      </c>
      <c r="JS19">
        <f>30000+48000+36000</f>
        <v/>
      </c>
      <c r="JT19">
        <f>152000+48000+20000</f>
        <v/>
      </c>
      <c r="JU19">
        <f>152000+50000+200000+50000+18000+250000</f>
        <v/>
      </c>
      <c r="JV19">
        <f>50000+304000+50000+12000+45000</f>
        <v/>
      </c>
      <c r="JW19">
        <f>40000+228000+50000+40000</f>
        <v/>
      </c>
      <c r="JX19">
        <f>20000+76000+320000+40000+12000+95000+18000</f>
        <v/>
      </c>
      <c r="JY19" s="127">
        <f>SUM(IU19:JX19)</f>
        <v/>
      </c>
      <c r="JZ19">
        <f>40000+22000+480000+120000+10000+36000</f>
        <v/>
      </c>
      <c r="KA19">
        <f>76000+20000+160000+40000</f>
        <v/>
      </c>
      <c r="KB19">
        <f>100000+152000+224000+200000+50000+95000+44000+336000+40000</f>
        <v/>
      </c>
      <c r="KC19">
        <f>107000+88000+152000+60000+224000+12000</f>
        <v/>
      </c>
      <c r="KD19">
        <f>76000+10000+11000+112000+40000</f>
        <v/>
      </c>
      <c r="KE19">
        <f>76000+224000+56000+50000+190000+760000</f>
        <v/>
      </c>
      <c r="KF19" t="n">
        <v>10000</v>
      </c>
      <c r="KG19">
        <f>22000+95000*8</f>
        <v/>
      </c>
      <c r="KH19">
        <f>448000+48000+228000+22000+36000+100000</f>
        <v/>
      </c>
      <c r="KI19">
        <f>304000+80000+224000+112000+120000+72000+50000+200000+20000+106000+1086000</f>
        <v/>
      </c>
      <c r="KJ19">
        <f>200000+152000+20000+320000+120000+18000</f>
        <v/>
      </c>
      <c r="KK19">
        <f>228000+10000+36000+10000+112000+46000</f>
        <v/>
      </c>
      <c r="KL19">
        <f>76000+40000+36000</f>
        <v/>
      </c>
      <c r="KM19">
        <f>40000+18000+112000+44000+224000+56000+76000+30000</f>
        <v/>
      </c>
      <c r="KN19">
        <f>76000+18000+160000+40000+10000+224000+50000+181000</f>
        <v/>
      </c>
      <c r="KO19">
        <f>152000+60000+80000+12000</f>
        <v/>
      </c>
      <c r="KP19">
        <f>228000+110000+80000+320000+190000+48000+20000+807000+45000+30000+45000</f>
        <v/>
      </c>
      <c r="KQ19">
        <f>304000+80000</f>
        <v/>
      </c>
      <c r="KR19">
        <f>152000+40000+10000+22000+100000+200000</f>
        <v/>
      </c>
      <c r="KS19">
        <f>76000+30000+46000+50000+200000+12000+190000</f>
        <v/>
      </c>
      <c r="KT19">
        <f>152000+10000+112000+69000</f>
        <v/>
      </c>
      <c r="KU19">
        <f>76000+60000+224000+112000+12000+54000+10000</f>
        <v/>
      </c>
      <c r="KV19">
        <f>10000+24000+18000+320000+112000+46000</f>
        <v/>
      </c>
      <c r="KW19">
        <f>40000+20000+22000+40000+160000+50000+200000</f>
        <v/>
      </c>
      <c r="KX19">
        <f>80000+76000+36000+112000+46000+20000+10000+69000+224000</f>
        <v/>
      </c>
      <c r="KY19">
        <f>160000+72000+107000+88000+45000</f>
        <v/>
      </c>
      <c r="KZ19">
        <f>30000+228000+320000+18000+20000+84000</f>
        <v/>
      </c>
      <c r="LA19">
        <f>76000+160000+22000+30000+50000+112000+224000</f>
        <v/>
      </c>
      <c r="LB19">
        <f>56000+228000+22000+160000+80000</f>
        <v/>
      </c>
      <c r="LC19">
        <f>130000+152000+10000+72000+100000+190000+224000+56000+112000+69000+18000+10000+321000+105000+66000</f>
        <v/>
      </c>
      <c r="LD19">
        <f>60000+76000+50000+200000+30000+72000</f>
        <v/>
      </c>
      <c r="LE19" s="127">
        <f>SUM(KA19:LD19)</f>
        <v/>
      </c>
      <c r="LF19">
        <f>480000+40000+22000+200000+150000+224000+448000+152000+80000+18000+23000</f>
        <v/>
      </c>
      <c r="LG19" t="n">
        <v>0</v>
      </c>
      <c r="LH19">
        <f>20000+24000+10000+100000+200000+76000</f>
        <v/>
      </c>
      <c r="LI19">
        <f>152000+108000+107000+44000+200000+108000</f>
        <v/>
      </c>
      <c r="LJ19">
        <f>152000+40000+160000+95000+22000+12000+88000+107000+107000+44000</f>
        <v/>
      </c>
      <c r="LK19">
        <f>56000+224000+18000+44000</f>
        <v/>
      </c>
      <c r="LL19" t="n">
        <v>36000</v>
      </c>
      <c r="LM19">
        <f>60000+22000+200000+50000</f>
        <v/>
      </c>
      <c r="LN19" t="n">
        <v>18000</v>
      </c>
      <c r="LO19">
        <f>214000+22000+200000+80000+30000+20000+76000</f>
        <v/>
      </c>
      <c r="LP19">
        <f>107000+44000+12000+80000+160000+76000</f>
        <v/>
      </c>
      <c r="LQ19">
        <f>40000+22000+100000+200000+46000+112000+72000+228000+44000</f>
        <v/>
      </c>
      <c r="LR19">
        <f>76000+24000+112000+10000</f>
        <v/>
      </c>
      <c r="LS19">
        <f>20000+50000+11000+44000+24000+210000+330000+535000</f>
        <v/>
      </c>
      <c r="LT19">
        <f>30000+200000+100000+160000</f>
        <v/>
      </c>
      <c r="LU19">
        <f>10000+40000</f>
        <v/>
      </c>
      <c r="LV19">
        <f>20000+304000+336000+36000</f>
        <v/>
      </c>
      <c r="LW19">
        <f>20000+76000</f>
        <v/>
      </c>
      <c r="LX19">
        <f>40000+152000+24000+66000+56000+100000+200000</f>
        <v/>
      </c>
      <c r="LY19">
        <f>76000+112000+44000+112000+69000</f>
        <v/>
      </c>
      <c r="LZ19">
        <f>20000+200000+400000+129000</f>
        <v/>
      </c>
      <c r="MA19">
        <f>480000+40000+200000+100000+36000+20000+18000</f>
        <v/>
      </c>
      <c r="MB19">
        <f>152000+40000+160000+40000+22000+224000</f>
        <v/>
      </c>
      <c r="MC19">
        <f>214000+320000+76000</f>
        <v/>
      </c>
      <c r="MD19">
        <f>40000+152000+320000+112000+46000</f>
        <v/>
      </c>
      <c r="ME19">
        <f>100000+228000+44000+107000+80000+160000+50000+112000+224000</f>
        <v/>
      </c>
      <c r="MF19">
        <f>80000+76000+46000+112000+300000+400000+10000</f>
        <v/>
      </c>
      <c r="MG19">
        <f>76000+22000+107000+18000+100000+160000</f>
        <v/>
      </c>
      <c r="MH19">
        <f>304000+22000+40000+224000+112000+112000+23000+24000+10000+107000+44000</f>
        <v/>
      </c>
      <c r="MI19">
        <f>228000+12000</f>
        <v/>
      </c>
      <c r="MJ19" s="127">
        <f>SUM(LF19:MI19)</f>
        <v/>
      </c>
      <c r="MK19">
        <f>228000+20000+22000+107000+856000+210000</f>
        <v/>
      </c>
      <c r="ML19">
        <f>76000+40000+54000+50000</f>
        <v/>
      </c>
      <c r="MM19">
        <f>40000+36000+214000</f>
        <v/>
      </c>
      <c r="MN19">
        <f>80000+228000+18000+50000+320000</f>
        <v/>
      </c>
      <c r="MO19">
        <f>304000+80000+30000+23000+18000</f>
        <v/>
      </c>
      <c r="MP19">
        <f>214000+88000+160000+60000+23000+76000+18000</f>
        <v/>
      </c>
      <c r="MQ19">
        <f>152000+20000+30000+10000+36000+112000+224000+46000+320000+80000+560000</f>
        <v/>
      </c>
      <c r="MR19">
        <f>60000+152000+15000+54000+66000+107000</f>
        <v/>
      </c>
      <c r="MS19">
        <f>20000+228000+10000+90000+40000+480000</f>
        <v/>
      </c>
      <c r="MT19">
        <f>80000+76000+18000+46000+50000+200000</f>
        <v/>
      </c>
      <c r="MU19">
        <f>120000+76000+18000+90000+105000</f>
        <v/>
      </c>
      <c r="MV19">
        <f>40000+304000+40000+160000+44000+107000</f>
        <v/>
      </c>
      <c r="MW19">
        <f>140000+152000+56000</f>
        <v/>
      </c>
      <c r="MX19">
        <f>20000+152000+80000+160000+112000+224000+10000</f>
        <v/>
      </c>
      <c r="MY19">
        <f>40000+76000</f>
        <v/>
      </c>
      <c r="MZ19">
        <f>76000+54000+336000+23000</f>
        <v/>
      </c>
      <c r="NA19">
        <f>228000+88000+856000+420000</f>
        <v/>
      </c>
      <c r="NB19">
        <f>20000+152000+66000+107000+30000+46000+456000+56000+224000</f>
        <v/>
      </c>
      <c r="NC19">
        <f>120000+152000+88000+107000+10000+40000+50000+200000</f>
        <v/>
      </c>
      <c r="ND19">
        <f>140000+228000+214000+22000</f>
        <v/>
      </c>
      <c r="NE19">
        <f>40000+228000+36000</f>
        <v/>
      </c>
      <c r="NF19">
        <f>80000+321000+88000</f>
        <v/>
      </c>
      <c r="NG19">
        <f>100000+76000+120000+10000+46000</f>
        <v/>
      </c>
      <c r="NH19">
        <f>40000+152000+320000+36000+11000+15000</f>
        <v/>
      </c>
      <c r="NI19">
        <f>152000+50000+22000+10000</f>
        <v/>
      </c>
      <c r="NJ19">
        <f>228000+40000+15000</f>
        <v/>
      </c>
      <c r="NK19">
        <f>160000+400000+18000</f>
        <v/>
      </c>
      <c r="NL19">
        <f>160000+224000+224000+80000+20000+36000+20000+23000+107000+44000</f>
        <v/>
      </c>
      <c r="NM19">
        <f>224000+30000+22000+11000</f>
        <v/>
      </c>
      <c r="NN19">
        <f>224000+46000+90000+76000+20000+15000+856000+210000+15000+20000</f>
        <v/>
      </c>
      <c r="NO19">
        <f>40000+152000+80000+160000+50000+200000+18000</f>
        <v/>
      </c>
      <c r="NP19" s="127">
        <f>SUM(ML19:NO19)</f>
        <v/>
      </c>
      <c r="NQ19">
        <f>20000+50000+200000</f>
        <v/>
      </c>
      <c r="NR19">
        <f>160000+107000+44000+22000+112000+23000+18000+120000+45000</f>
        <v/>
      </c>
      <c r="NS19">
        <f>304000+22000+10000</f>
        <v/>
      </c>
      <c r="NT19">
        <f>152000+60000</f>
        <v/>
      </c>
      <c r="NU19">
        <f>152000+320000+30000+200000</f>
        <v/>
      </c>
      <c r="NV19">
        <f>228000+20000+15000+23000+44000+20000</f>
        <v/>
      </c>
      <c r="NW19">
        <f>60000+228000+36000+15000+80000</f>
        <v/>
      </c>
      <c r="NX19">
        <f>20000+320000+30000+224000+56000</f>
        <v/>
      </c>
      <c r="NY19">
        <f>100000+10000+380000</f>
        <v/>
      </c>
      <c r="NZ19">
        <f>228000+20000+228000+23000+18000+17000</f>
        <v/>
      </c>
      <c r="OA19">
        <f>80000+152000+10000</f>
        <v/>
      </c>
      <c r="OB19">
        <f>76000+160000+80000</f>
        <v/>
      </c>
      <c r="OC19">
        <f>220000+380000+448000</f>
        <v/>
      </c>
      <c r="OD19">
        <f>160000+76000+44000+214000</f>
        <v/>
      </c>
      <c r="OE19">
        <f>60000+22000+214000+15000+100000+10000</f>
        <v/>
      </c>
      <c r="OF19">
        <f>40000+152000+136000+428000+23000+112000</f>
        <v/>
      </c>
      <c r="OG19">
        <f>380000+22000</f>
        <v/>
      </c>
      <c r="OH19">
        <f>76000+40000+107000</f>
        <v/>
      </c>
      <c r="OI19">
        <f>40000+152000+18000+30000+30000+112000+69000</f>
        <v/>
      </c>
      <c r="OJ19">
        <f>60000+228000+228000+60000+120000+160000+92000+224000</f>
        <v/>
      </c>
      <c r="OK19">
        <f>60000+228000</f>
        <v/>
      </c>
      <c r="OL19">
        <f>220000+76000+44000+214000+46000+112000+18000+30000</f>
        <v/>
      </c>
      <c r="OM19">
        <f>220000+152000+22000+18000+55000+214000+66000+105000</f>
        <v/>
      </c>
      <c r="ON19">
        <f>160000+228000+200000+18000</f>
        <v/>
      </c>
      <c r="OO19">
        <f>60000+304000+69000+112000+110000+18000</f>
        <v/>
      </c>
      <c r="OP19">
        <f>100000+46000+112000</f>
        <v/>
      </c>
      <c r="OQ19">
        <f>200000+10000+22000+535000+856000</f>
        <v/>
      </c>
      <c r="OR19">
        <f>20000+120000</f>
        <v/>
      </c>
      <c r="OS19">
        <f>80000+304000+138000+224000+66000+107000</f>
        <v/>
      </c>
      <c r="OT19">
        <f>120000+380000+40000+66000+214000+220000+642000</f>
        <v/>
      </c>
      <c r="OU19">
        <f>40000+380000+480000+308000+112000+224000+10000+112000+46000+18000+44000+100000+120000</f>
        <v/>
      </c>
      <c r="OV19" s="127">
        <f>SUM(NR19:OU19)</f>
        <v/>
      </c>
      <c r="OW19">
        <f>40000+152000+56000+214000+88000+112000+46000+72000+33000+10000</f>
        <v/>
      </c>
      <c r="OX19">
        <f>40000+304000+15000+112000+23000+448000+214000</f>
        <v/>
      </c>
      <c r="OY19">
        <f>80000+152000+10000</f>
        <v/>
      </c>
      <c r="OZ19">
        <f>60000+228000+23000+50000+200000+320000</f>
        <v/>
      </c>
      <c r="PA19">
        <f>60000+152000+23000+150000+320000+30000+228000</f>
        <v/>
      </c>
      <c r="PB19">
        <f>120000+76000+40000+480000+46000+112000+72000+856000+105000+220000</f>
        <v/>
      </c>
      <c r="PC19">
        <f>40000+304000+54000+30000+23000+30000+56000</f>
        <v/>
      </c>
      <c r="PD19">
        <f>140000+152000+46000+112000+88000+160000+40000+107000+44000</f>
        <v/>
      </c>
      <c r="PE19">
        <f>100000+228000+200000+107000+321000</f>
        <v/>
      </c>
      <c r="PF19">
        <f>76000+18000+856000</f>
        <v/>
      </c>
      <c r="PG19">
        <f>140000+304000+120000+56000</f>
        <v/>
      </c>
      <c r="PH19">
        <f>60000+76000+18000+224000+15000+40000</f>
        <v/>
      </c>
      <c r="PI19">
        <f>20000+228000+30000+22000</f>
        <v/>
      </c>
      <c r="PJ19">
        <f>100000+380000+15000+160000+80000</f>
        <v/>
      </c>
      <c r="PK19">
        <f>40000+76000+160000+10000+15000</f>
        <v/>
      </c>
      <c r="PL19">
        <f>20000+152000+80000+160000+23000</f>
        <v/>
      </c>
      <c r="PM19" t="n">
        <v>80000</v>
      </c>
      <c r="PN19">
        <f>10000+20000+152000+400000+132000+18000</f>
        <v/>
      </c>
      <c r="PO19">
        <f>80000+152000+100000+40000+209000+15000+66000+107000</f>
        <v/>
      </c>
      <c r="PP19">
        <f>20000+40000+228000+56000+112000+15000</f>
        <v/>
      </c>
      <c r="PQ19">
        <f>56000+76000+112000</f>
        <v/>
      </c>
      <c r="PR19">
        <f>40000+152000+20000</f>
        <v/>
      </c>
      <c r="PS19">
        <f>40000+60000+228000+40000+320000+69000+112000+88000+44000</f>
        <v/>
      </c>
      <c r="PT19">
        <f>36000+200000</f>
        <v/>
      </c>
      <c r="PU19">
        <f>46000+112000+20000+160000+66000</f>
        <v/>
      </c>
      <c r="PV19">
        <f>152000+107000+44000</f>
        <v/>
      </c>
      <c r="PW19">
        <f>54000+20000+60000+152000+56000+224000</f>
        <v/>
      </c>
      <c r="PX19">
        <f>380000+40000+320000+80000+50000</f>
        <v/>
      </c>
      <c r="PY19">
        <f>10000+60000+228000+56000+224000+15000+50000</f>
        <v/>
      </c>
      <c r="PZ19">
        <f>80000+112000</f>
        <v/>
      </c>
      <c r="QA19" s="127">
        <f>SUM(OW19:PZ19)</f>
        <v/>
      </c>
      <c r="QB19">
        <f>20000+480000+76000+54000+112000+224000+132000+321000</f>
        <v/>
      </c>
      <c r="QC19">
        <f>60000+80000+120000+160000+23000</f>
        <v/>
      </c>
      <c r="QD19">
        <f>120000+80000</f>
        <v/>
      </c>
      <c r="QE19">
        <f>120000+17000</f>
        <v/>
      </c>
      <c r="QF19">
        <f>160000+23000+18000</f>
        <v/>
      </c>
      <c r="QG19">
        <f>60000+23000+112000+135000</f>
        <v/>
      </c>
      <c r="QH19">
        <f>180000+23000</f>
        <v/>
      </c>
      <c r="QI19">
        <f>10000+140000+228000+320000+30000+46000+112000</f>
        <v/>
      </c>
      <c r="QJ19">
        <f>10000+40000+76000+76000+400000+69000+112000+66000</f>
        <v/>
      </c>
      <c r="QK19">
        <f>100000+380000+56000+54000</f>
        <v/>
      </c>
      <c r="QL19">
        <f>100000+532000+120000+160000</f>
        <v/>
      </c>
      <c r="QM19">
        <f>40000+228000+224000+168000+36000+120000+44000</f>
        <v/>
      </c>
      <c r="QN19">
        <f>10000+60000+152000+168000</f>
        <v/>
      </c>
      <c r="QO19">
        <f>20000+100000+23000+15000+80000+160000+66000+535000</f>
        <v/>
      </c>
      <c r="QP19">
        <f>152000+896000+112000+18000+10000</f>
        <v/>
      </c>
      <c r="QQ19" t="n">
        <v>152000</v>
      </c>
      <c r="QR19">
        <f>110000+120000+456000+18000+200000+11000+30000</f>
        <v/>
      </c>
      <c r="QS19">
        <f>20000+152000+23000</f>
        <v/>
      </c>
      <c r="QT19">
        <f>140000+76000+56000+600000+100000+160000+120000+44000+107000</f>
        <v/>
      </c>
      <c r="QU19">
        <f>40000+224000+238000</f>
        <v/>
      </c>
      <c r="QV19">
        <f>30000+100000+152000+22000</f>
        <v/>
      </c>
      <c r="QW19">
        <f>10000+20000+250000+400000+23000</f>
        <v/>
      </c>
      <c r="QX19">
        <f>20000+20000+76000+18000+10000+66000+214000+69000+224000</f>
        <v/>
      </c>
      <c r="QY19">
        <f>20000+60000+304000+100000+200000+22000+23000+160000+80000</f>
        <v/>
      </c>
      <c r="QZ19">
        <f>10000+20000+152000+200000+400000+280000+69000+112000</f>
        <v/>
      </c>
      <c r="RA19">
        <f>20000+152000+18000+15000+11000+30000+112000+46000</f>
        <v/>
      </c>
      <c r="RB19">
        <f>40000+152000+10000+214000+66000+10000+400000</f>
        <v/>
      </c>
      <c r="RC19">
        <f>10000+60000+152000+30000</f>
        <v/>
      </c>
      <c r="RD19">
        <f>10000+80000+304000+15000+150000+40000+160000</f>
        <v/>
      </c>
      <c r="RE19">
        <f>20000+20000+380000+450000+22000</f>
        <v/>
      </c>
      <c r="RF19">
        <f>80000+76000+80000+480000</f>
        <v/>
      </c>
      <c r="RG19" s="127">
        <f>SUM(QC19:RF19)</f>
        <v/>
      </c>
      <c r="RH19">
        <f>20000+550000+36000+15000+20000</f>
        <v/>
      </c>
      <c r="RI19">
        <f>60000+76000+10000+40000+18000+22000+23000</f>
        <v/>
      </c>
      <c r="RJ19">
        <f>60000+152000+66000+107000+250000+44000+107000</f>
        <v/>
      </c>
      <c r="RK19" t="n">
        <v>10000</v>
      </c>
      <c r="RL19">
        <f>50000+18000+23000+112000+10000+60000+76000</f>
        <v/>
      </c>
      <c r="RM19">
        <f>20000+76000+30000</f>
        <v/>
      </c>
      <c r="RN19">
        <f>30000+60000+76000+10000+18000+23000+44000+168000+224000</f>
        <v/>
      </c>
      <c r="RO19">
        <f>10000+40000+228000+30000+23000</f>
        <v/>
      </c>
      <c r="RP19">
        <f>100000+228000+10000+50000+15000+214000+88000</f>
        <v/>
      </c>
      <c r="RQ19">
        <f>40000+20000+228000+200000</f>
        <v/>
      </c>
      <c r="RR19">
        <f>10000+20000+152000+88000+22000+10000+18000</f>
        <v/>
      </c>
      <c r="RS19">
        <f>10000+60000+15000+66000+214000</f>
        <v/>
      </c>
      <c r="RT19">
        <f>60000+152000+22000+160000+36000+44000+650000+224000</f>
        <v/>
      </c>
      <c r="RU19">
        <f>30000+120000+380000+108000</f>
        <v/>
      </c>
      <c r="RV19">
        <f>40000+152000+50000+448000</f>
        <v/>
      </c>
      <c r="RW19">
        <f>336000+46000+22000+152000+60000+10000+15000+224000+18000</f>
        <v/>
      </c>
      <c r="RX19">
        <f>250000+152000+180000</f>
        <v/>
      </c>
      <c r="RY19">
        <f>20000+420000+50000+224000+72000</f>
        <v/>
      </c>
      <c r="RZ19">
        <f>70000+180000+76000+160000+40000</f>
        <v/>
      </c>
      <c r="SA19">
        <f>20000+80000+214000+22000+250000</f>
        <v/>
      </c>
      <c r="SB19">
        <f>140000+224000+46000+112000+120000+160000+10000</f>
        <v/>
      </c>
      <c r="SC19">
        <f>20000+300000+15000+54000</f>
        <v/>
      </c>
      <c r="SD19">
        <f>532000+60000</f>
        <v/>
      </c>
      <c r="SE19">
        <f>152000+20000+321000+36000</f>
        <v/>
      </c>
      <c r="SF19">
        <f>10000+80000+76000+80000+160000+66000+214000</f>
        <v/>
      </c>
      <c r="SG19">
        <f>40000+140000+154000+40000+160000+22000+110000+321000+46000+112000</f>
        <v/>
      </c>
      <c r="SH19">
        <f>30000+60000+304000+50000+107000</f>
        <v/>
      </c>
      <c r="SI19">
        <f>60000+380000+320000+80000+209000+45000</f>
        <v/>
      </c>
      <c r="SJ19">
        <f>70000+154000+120000+23000</f>
        <v/>
      </c>
      <c r="SK19">
        <f>304000+20000+112000+46000+22000</f>
        <v/>
      </c>
      <c r="SL19" s="127">
        <f>SUM(RH19:SK19)</f>
        <v/>
      </c>
      <c r="SM19">
        <f>100000+76000+36000</f>
        <v/>
      </c>
      <c r="SN19">
        <f>40000+22000+107000</f>
        <v/>
      </c>
      <c r="SO19">
        <f>152000+92000+112000+18000</f>
        <v/>
      </c>
      <c r="SP19">
        <f>180000+228000+80000+160000+69000+224000</f>
        <v/>
      </c>
      <c r="SQ19">
        <f>100000+160000+54000</f>
        <v/>
      </c>
      <c r="SR19">
        <f>100000+228000+110000+321000+115000+112000+18000</f>
        <v/>
      </c>
      <c r="SS19">
        <f>304000+120000+72000+20000+40000</f>
        <v/>
      </c>
      <c r="ST19">
        <f>80000+228000+44000+160000</f>
        <v/>
      </c>
      <c r="SU19">
        <f>60000+304000+20000+40000+54000+224000+50000</f>
        <v/>
      </c>
      <c r="SV19">
        <f>20000+60000+228000+10000+46000+112000</f>
        <v/>
      </c>
      <c r="SW19">
        <f>10000+76000+54000</f>
        <v/>
      </c>
      <c r="SX19">
        <f>20000+60000+76000+40000</f>
        <v/>
      </c>
      <c r="SY19">
        <f>40000+20000+380000+40000+20000+44000</f>
        <v/>
      </c>
      <c r="SZ19">
        <f>304000+100000+20000+108000+214000+66000+40000+160000</f>
        <v/>
      </c>
      <c r="TA19">
        <f>76000+160000+30000+10000</f>
        <v/>
      </c>
      <c r="TB19">
        <f>20000+40000+76000+23000</f>
        <v/>
      </c>
      <c r="TC19">
        <f>120000+20000</f>
        <v/>
      </c>
      <c r="TD19">
        <f>214000+66000+228000+180000+10000+10000+15000</f>
        <v/>
      </c>
      <c r="TE19">
        <f>220000+228000+46000+112000</f>
        <v/>
      </c>
      <c r="TF19">
        <f>228000+10000+10000+160000+40000+23000</f>
        <v/>
      </c>
      <c r="TG19">
        <f>684000+30000+260000+160000+40000+22000+18000+10000</f>
        <v/>
      </c>
      <c r="TH19">
        <f>10000+180000+380000+22000+107000+90000+160000+480000+44000+15000</f>
        <v/>
      </c>
      <c r="TI19">
        <f>30000+220000+152000+11000+18000+160000+160000+10000</f>
        <v/>
      </c>
      <c r="TJ19">
        <f>240000+100000+36000</f>
        <v/>
      </c>
      <c r="TK19">
        <f>50000+30000+88000+15000</f>
        <v/>
      </c>
      <c r="TL19">
        <f>470000+80000+160000+44000+107000</f>
        <v/>
      </c>
      <c r="TM19">
        <f>60000+76000+40000+640000+23000</f>
        <v/>
      </c>
      <c r="TN19">
        <f>320000+76000+80000+10000</f>
        <v/>
      </c>
      <c r="TO19">
        <f>160000+40000+228000+20000+69000+112000</f>
        <v/>
      </c>
      <c r="TP19">
        <f>100000+152000+40000+44000+107000+22000+10000</f>
        <v/>
      </c>
      <c r="TQ19">
        <f>76000+40000+10000</f>
        <v/>
      </c>
      <c r="TR19" s="127">
        <f>SUM(SM19:TQ19)</f>
        <v/>
      </c>
      <c r="TS19">
        <f>80000+40000+76000+92000+224000+18000</f>
        <v/>
      </c>
      <c r="TT19">
        <f>45000+10000+152000+18000+320000+23000+112000</f>
        <v/>
      </c>
      <c r="TU19">
        <f>20000+20000+152000+30000+20000+80000+46000+112000</f>
        <v/>
      </c>
      <c r="TV19">
        <f>304000+80000+46000+336000+22000+80000+54000+10000</f>
        <v/>
      </c>
      <c r="TW19">
        <f>152000+40000+46000+112000+40000</f>
        <v/>
      </c>
      <c r="TX19">
        <f>80000+228000+69000+112000</f>
        <v/>
      </c>
      <c r="TY19">
        <f>60000+76000+160000+36000+15000</f>
        <v/>
      </c>
      <c r="TZ19">
        <f>20000+76000+40000+36000</f>
        <v/>
      </c>
      <c r="UA19">
        <f>20000+36000+105000+214000+66000</f>
        <v/>
      </c>
      <c r="UB19">
        <f>100000+18000+20000+304000+46000+40000+160000</f>
        <v/>
      </c>
      <c r="UC19">
        <f>10000+80000+380000+10000+46000+15000</f>
        <v/>
      </c>
      <c r="UD19">
        <f>40000+152000+18000</f>
        <v/>
      </c>
      <c r="UE19">
        <f>10000+120000+228000+10000+321000</f>
        <v/>
      </c>
      <c r="UF19">
        <f>20000+20000+152000+10000+120000+160000+112000+44000+107000</f>
        <v/>
      </c>
      <c r="UG19">
        <f>20000+152000+40000</f>
        <v/>
      </c>
      <c r="UH19">
        <f>60000+18000+44000+107000</f>
        <v/>
      </c>
      <c r="UI19">
        <f>40000+180000+228000+44000+107000</f>
        <v/>
      </c>
      <c r="UJ19">
        <f>152000+40000+10000+15000</f>
        <v/>
      </c>
      <c r="UK19">
        <f>100000+152000+40000+160000+150000+36000+105000</f>
        <v/>
      </c>
      <c r="UL19">
        <f>30000+80000+76000+80000+160000+69000+112000</f>
        <v/>
      </c>
      <c r="UM19">
        <f>10000+40000+304000+40000+480000+46000+112000+44000+107000+30000</f>
        <v/>
      </c>
      <c r="UN19">
        <f>10000+80000+152000+40000+160000+92000+112000+15000</f>
        <v/>
      </c>
      <c r="UO19">
        <f>170000+152000</f>
        <v/>
      </c>
      <c r="UP19">
        <f>80000+120000+320000+30000+44000+107000+23000+218000</f>
        <v/>
      </c>
      <c r="UQ19">
        <f>304000+80000+40000+107000+44000+20000</f>
        <v/>
      </c>
      <c r="UR19">
        <f>304000+60000</f>
        <v/>
      </c>
      <c r="US19">
        <f>40000+76000+22000</f>
        <v/>
      </c>
      <c r="UT19">
        <f>40000+76000+336000+50000+18000</f>
        <v/>
      </c>
      <c r="UU19">
        <f>20000+140000+380000+112000+46000+18000</f>
        <v/>
      </c>
      <c r="UV19">
        <f>20000+60000+228000+110000</f>
        <v/>
      </c>
      <c r="UW19">
        <f>76000+66000+749000+40000+10000+22000</f>
        <v/>
      </c>
      <c r="UX19" s="127">
        <f>SUM(TS19:UW19)</f>
        <v/>
      </c>
      <c r="UY19">
        <f>76000+20000+36000+56000+160000+15000</f>
        <v/>
      </c>
      <c r="UZ19">
        <f>152000+60000+20000+120000+132000</f>
        <v/>
      </c>
      <c r="VA19">
        <f>20000+160000+380000+154000+105000+15000</f>
        <v/>
      </c>
      <c r="VB19">
        <f>30000+40000+304000+154000+108000+10000+160000</f>
        <v/>
      </c>
      <c r="VC19">
        <f>40000+152000+154000+224000+92000+11000</f>
        <v/>
      </c>
      <c r="VD19">
        <f>20000+76000+264000+46000+112000+56000+200000</f>
        <v/>
      </c>
      <c r="VE19">
        <f>160000+380000+184000+112000</f>
        <v/>
      </c>
      <c r="VF19">
        <f>456000+120000+160000+126000+10000</f>
        <v/>
      </c>
      <c r="VG19">
        <f>304000+60000+40000+112000+69000</f>
        <v/>
      </c>
      <c r="VH19">
        <f>160000+40000+112000+46000+44000+20000+10000+36000</f>
        <v/>
      </c>
      <c r="VI19">
        <f>10000+228000+22000+69000+112000</f>
        <v/>
      </c>
      <c r="VJ19">
        <f>20000+152000+80000+160000+56000+50000+200000+10000</f>
        <v/>
      </c>
      <c r="VK19">
        <f>60000+380000+40000+160000+36000+10000</f>
        <v/>
      </c>
      <c r="VL19">
        <f>100000+20000+152000+23000+112000+36000+40000+30000+23000+107000</f>
        <v/>
      </c>
      <c r="VM19">
        <f>18000+112000+69000+304000+40000+60000+107000+22000+22000</f>
        <v/>
      </c>
      <c r="VN19">
        <f>10000+80000+304000+22000+107000+11000+40000</f>
        <v/>
      </c>
      <c r="VO19">
        <f>50000+76000+56000+10000</f>
        <v/>
      </c>
      <c r="VP19">
        <f>20000+76000+66000+107000+112000+10000</f>
        <v/>
      </c>
      <c r="VQ19">
        <f>40000+214000+100000+200000+69000+112000</f>
        <v/>
      </c>
      <c r="VR19">
        <f>40000+152000+150000+200000+54000</f>
        <v/>
      </c>
      <c r="VS19">
        <f>30000+160000+380000+50000+36000+40000+23000</f>
        <v/>
      </c>
      <c r="VT19">
        <f>22000+140000+76000+112000+46000+15000+40000</f>
        <v/>
      </c>
      <c r="VU19">
        <f>200000+100000+152000+20000+66000+18000+44000</f>
        <v/>
      </c>
      <c r="VV19">
        <f>50000+100000+228000+22000+90000</f>
        <v/>
      </c>
      <c r="VW19">
        <f>10000+40000+152000+40000+160000+30000+18000</f>
        <v/>
      </c>
      <c r="VX19">
        <f>10000+80000+228000+20000+50000+112000+224000+112000+46000</f>
        <v/>
      </c>
      <c r="VY19">
        <f>50000+60000+76000+66000</f>
        <v/>
      </c>
      <c r="WA19" s="127">
        <f>SUM(UY19:VZ19)</f>
        <v/>
      </c>
      <c r="WB19">
        <f>224000+112000+304000+140000+107000+22000+54000+23000+160000+40000</f>
        <v/>
      </c>
      <c r="WC19">
        <f>400000+100000+304000+70000+40000+18000</f>
        <v/>
      </c>
      <c r="WD19">
        <f>70000+40000+160000+160000+15000+18000</f>
        <v/>
      </c>
      <c r="WE19">
        <f>20000+76000+40000+160000+15000+108000+10000+112000+44000+107000</f>
        <v/>
      </c>
      <c r="WF19">
        <f>80000+20000+456000+50000+200000</f>
        <v/>
      </c>
      <c r="WG19">
        <f>160000+456000+160000+22000</f>
        <v/>
      </c>
      <c r="WH19">
        <f>76000+66000+214000+77000+10000</f>
        <v/>
      </c>
      <c r="WI19">
        <f>532000+130000+20000+160000+40000+214000+88000+20000+33000+54000</f>
        <v/>
      </c>
      <c r="WJ19" t="n">
        <v>228000</v>
      </c>
      <c r="WK19">
        <f>152000+50000+10000</f>
        <v/>
      </c>
      <c r="WL19">
        <f>304000+40000+10000</f>
        <v/>
      </c>
      <c r="WM19">
        <f>228000+160000+160000+88000+214000+23000</f>
        <v/>
      </c>
      <c r="WN19">
        <f>228000+535000+66000+112000+46000+72000+56000</f>
        <v/>
      </c>
      <c r="WO19">
        <f>228000+20000</f>
        <v/>
      </c>
      <c r="WP19">
        <f>380000+140000+40000+200000+150000+15000</f>
        <v/>
      </c>
      <c r="WQ19">
        <f>50000+20000</f>
        <v/>
      </c>
      <c r="WR19">
        <f>400000+22000+107000</f>
        <v/>
      </c>
      <c r="WS19">
        <f>180000+40000+160000+23000+112000+18000+11000+10000+56000</f>
        <v/>
      </c>
      <c r="WT19">
        <f>360000+224000+112000</f>
        <v/>
      </c>
      <c r="WU19">
        <f>40000+152000+214000+44000+105000+22000</f>
        <v/>
      </c>
      <c r="WW19">
        <f>380000+20000+50000+80000+112000+30000+22000</f>
        <v/>
      </c>
      <c r="WX19">
        <f>152000+20000+107000+44000+200000+200000+160000+36000+10000</f>
        <v/>
      </c>
      <c r="WY19">
        <f>60000+152000+56000+22000+107000+15000</f>
        <v/>
      </c>
      <c r="WZ19">
        <f>30000+40000+152000+45000+600000+72000+10000+88000+214000</f>
        <v/>
      </c>
      <c r="XA19">
        <f>304000+40000+160000+400000+22000+107000+23000</f>
        <v/>
      </c>
      <c r="XB19">
        <f>90000+456000+80000+50000+200000+23000</f>
        <v/>
      </c>
      <c r="XC19">
        <f>110000+456000+46000+112000+20000+15000</f>
        <v/>
      </c>
      <c r="XD19">
        <f>380000+20000+100000+214000+88000+26000+24000</f>
        <v/>
      </c>
      <c r="XE19">
        <f>152000+20000+112000+16000+224000</f>
        <v/>
      </c>
      <c r="XF19">
        <f>76000+80000+160000+80000+112000+23000+22000+150000</f>
        <v/>
      </c>
      <c r="XG19" s="127">
        <f>SUM(WB19:XF19)</f>
        <v/>
      </c>
      <c r="XH19">
        <f>40000+532000+44000+107000+18000</f>
        <v/>
      </c>
      <c r="XI19">
        <f>140000+304000+600000+100000+46000+30000+10000</f>
        <v/>
      </c>
      <c r="XJ19">
        <f>60000+152000+107000+44000</f>
        <v/>
      </c>
      <c r="XK19">
        <f>100000+152000+40000+44000+138000+112000</f>
        <v/>
      </c>
      <c r="XL19">
        <f>228000+100000+44000+10000</f>
        <v/>
      </c>
      <c r="XM19">
        <f>304000+60000+10000</f>
        <v/>
      </c>
      <c r="XN19">
        <f>20000+20000+228000+400000+110000+107000+23000+54000</f>
        <v/>
      </c>
      <c r="XO19">
        <f>60000+304000+23000+50000</f>
        <v/>
      </c>
      <c r="XP19">
        <f>10000+20000+66000+214000+23000+105000+46000</f>
        <v/>
      </c>
      <c r="XQ19">
        <f>80000+228000+22000+120000</f>
        <v/>
      </c>
      <c r="XR19">
        <f>20000+80000+228000+40000+160000+214000+22000+10000</f>
        <v/>
      </c>
      <c r="XS19">
        <f>60000+152000+23000+214000+72000+15000+10000</f>
        <v/>
      </c>
      <c r="XT19">
        <f>60000+304000+20000+224000+46000+160000+10000</f>
        <v/>
      </c>
      <c r="XU19">
        <f>40000+200000+152000+80000+160000+214000+66000+23000</f>
        <v/>
      </c>
      <c r="XV19">
        <f>20000+80000+228000+22000+336000+69000+56000+20000+18000</f>
        <v/>
      </c>
      <c r="XW19">
        <f>20000+100000+228000+18000</f>
        <v/>
      </c>
      <c r="XX19">
        <f>10000+60000+152000+66000</f>
        <v/>
      </c>
      <c r="XY19">
        <f>10000+160000+304000+112000+23000+105000+18000+15000</f>
        <v/>
      </c>
      <c r="XZ19">
        <f>40000+304000+40000+112000+69000+36000+10000</f>
        <v/>
      </c>
      <c r="YA19">
        <f>22000+112000+46000+160000+40000</f>
        <v/>
      </c>
      <c r="YB19">
        <f>140000+380000+15000+105000+22000+20000</f>
        <v/>
      </c>
      <c r="YC19">
        <f>10000+120000+36000+22000+107000</f>
        <v/>
      </c>
      <c r="YD19">
        <f>20000+100000+152000+10000</f>
        <v/>
      </c>
      <c r="YE19">
        <f>76000+10000+50000+400000+45000</f>
        <v/>
      </c>
      <c r="YF19">
        <f>80000+152000+50000</f>
        <v/>
      </c>
      <c r="YG19">
        <f>152000+20000+400000+100000+22000+15000+105000+18000+46000</f>
        <v/>
      </c>
      <c r="YH19">
        <f>92000+224000+380000+120000+50000+18000</f>
        <v/>
      </c>
      <c r="YI19">
        <f>224000+69000+10000+22000</f>
        <v/>
      </c>
      <c r="YJ19">
        <f>140000+152000+46000</f>
        <v/>
      </c>
      <c r="YK19">
        <f>10000+20000+152000+56000+224000+54000+46000+66000</f>
        <v/>
      </c>
      <c r="YL19" s="127">
        <f>SUM(XH19:YK19)</f>
        <v/>
      </c>
      <c r="YM19">
        <f>40000+152000+56000+224000+400000+44000+46000+112000+40000</f>
        <v/>
      </c>
      <c r="YN19">
        <f>92000+224000+228000+280000+30000+22000+44000+15000</f>
        <v/>
      </c>
      <c r="YO19">
        <f>112000+92000+304000+120000+10000+44000+107000+160000+20000</f>
        <v/>
      </c>
      <c r="YP19">
        <f>18000+60000+228000+20000+214000+44000</f>
        <v/>
      </c>
      <c r="YQ19">
        <f>456000+100000+23000</f>
        <v/>
      </c>
      <c r="YR19">
        <f>228000+120000+18000</f>
        <v/>
      </c>
      <c r="YS19">
        <f>76000+60000+100000+10000</f>
        <v/>
      </c>
      <c r="YT19">
        <f>200000+150000+120000+76000+20000+224000+56000</f>
        <v/>
      </c>
      <c r="YU19">
        <f>321000+110000+224000+56000+304000+180000+10000+55000</f>
        <v/>
      </c>
      <c r="YV19">
        <f>44000+161000+380000+140000+350000+18000</f>
        <v/>
      </c>
      <c r="YW19">
        <f>228000+40000+112000+92000</f>
        <v/>
      </c>
      <c r="YX19">
        <f>76000+20000+448000+92000</f>
        <v/>
      </c>
      <c r="YY19">
        <f>228000+90000+200000+50000+320000+36000</f>
        <v/>
      </c>
      <c r="YZ19">
        <f>152000+110000+224000+56000+50000+160000+162000+23000+321000+22000</f>
        <v/>
      </c>
      <c r="ZA19">
        <f>90000+152000+168000+224000+15000+107000+44000+90000</f>
        <v/>
      </c>
      <c r="ZB19">
        <f>80000+228000+22000+107000+105000+400000+112000+23000</f>
        <v/>
      </c>
      <c r="ZC19">
        <f>76000+60000+321000+44000+160000+40000+108000</f>
        <v/>
      </c>
      <c r="ZD19">
        <f>304000+60000+20000+23000</f>
        <v/>
      </c>
      <c r="ZE19">
        <f>114000+144000+180000+190000+55000+33000+125000</f>
        <v/>
      </c>
      <c r="ZF19">
        <f>76000+360000+20000+55000</f>
        <v/>
      </c>
      <c r="ZG19">
        <f>38000+144000+46000+110000+15000</f>
        <v/>
      </c>
      <c r="ZH19">
        <f>20000+57000+216000+220000</f>
        <v/>
      </c>
      <c r="ZI19">
        <f>171000+144000+36000+33000+40000+95000</f>
        <v/>
      </c>
      <c r="ZJ19">
        <f>144000+95000+40000+95000+46000+110000</f>
        <v/>
      </c>
      <c r="ZK19">
        <f>144000+38000+40000+95000</f>
        <v/>
      </c>
      <c r="ZL19">
        <f>57000+144000+40000</f>
        <v/>
      </c>
      <c r="ZM19">
        <f>133000+216000+100000+950000+55000+215000+350000+110000+95000</f>
        <v/>
      </c>
      <c r="ZN19">
        <f>57000+360000+80000+95000+23000+115000</f>
        <v/>
      </c>
      <c r="ZO19">
        <f>10000+57000+72000+60000+95000+66000+125000+100000+190000+36000+15000</f>
        <v/>
      </c>
      <c r="ZP19">
        <f>95000+144000+33000+125000+23000</f>
        <v/>
      </c>
      <c r="ZQ19">
        <f>144000+38000+60000+20000+110000+69000+190000+50000+250000+54000</f>
        <v/>
      </c>
      <c r="ZR19" s="127">
        <f>SUM(YM19:ZQ19)</f>
        <v/>
      </c>
      <c r="ZS19">
        <f>288000+133000+110000+42000+95000+23000+125000+66000</f>
        <v/>
      </c>
      <c r="ZT19">
        <f>10000+175000+216000+50000</f>
        <v/>
      </c>
      <c r="ZU19">
        <f>10000+95000+144000+18000+15000+23000+110000</f>
        <v/>
      </c>
      <c r="ZV19">
        <f>20000+133000+432000+140000+380000</f>
        <v/>
      </c>
      <c r="ZW19">
        <f>144000+76000+95000+40000</f>
        <v/>
      </c>
      <c r="ZX19">
        <f>360000+57000+10000+48000+50000</f>
        <v/>
      </c>
      <c r="ZY19">
        <f>432000+228000+55000+18000+45000</f>
        <v/>
      </c>
      <c r="ZZ19">
        <f>360000+57000+190000+90000+95000+40000</f>
        <v/>
      </c>
      <c r="AAA19">
        <f>76000+144000+60000+190000+18000+30000</f>
        <v/>
      </c>
      <c r="AAB19">
        <f>76000+72000+125000</f>
        <v/>
      </c>
      <c r="AAC19">
        <f>38000+72000+55000+66000</f>
        <v/>
      </c>
      <c r="AAD19">
        <f>38000+216000+69000+220000</f>
        <v/>
      </c>
      <c r="AAE19">
        <f>10000+38000+144000+120000+190000+33000+36000+55000</f>
        <v/>
      </c>
      <c r="AAF19">
        <f>144000+95000+10000+50000+95000+20000+10000</f>
        <v/>
      </c>
      <c r="AAG19">
        <f>72000+57000+10000</f>
        <v/>
      </c>
      <c r="AAH19">
        <f>360000+20000+100000+18000</f>
        <v/>
      </c>
      <c r="AAI19">
        <f>38000+33000+250000+40000+95000+15000</f>
        <v/>
      </c>
      <c r="AAJ19">
        <f>19000+144000+125000+560000+60000+95000+18000</f>
        <v/>
      </c>
      <c r="AAK19">
        <f>57000+288000+110000+40000+10000</f>
        <v/>
      </c>
      <c r="AAL19">
        <f>19000+144000+100000+40000+95000+10000</f>
        <v/>
      </c>
      <c r="AAM19">
        <f>216000+19000+215000+55000+190000+100000+380000+60000+99000+125000+69000+110000+10000</f>
        <v/>
      </c>
      <c r="AAN19">
        <f>72000+57000+36000+210000</f>
        <v/>
      </c>
      <c r="AAO19">
        <f>57000+72000+54000</f>
        <v/>
      </c>
      <c r="AAP19">
        <f>19000+72000+18000+210000+15000</f>
        <v/>
      </c>
      <c r="AAQ19">
        <f>10000+152000+432000+215000+55000+125000+190000+50000</f>
        <v/>
      </c>
      <c r="AAR19">
        <f>30000+361000+648000</f>
        <v/>
      </c>
      <c r="AAS19">
        <f>190000+15000+18000+40000</f>
        <v/>
      </c>
      <c r="AAT19">
        <f>513000+20000+95000+40000+15000+10000</f>
        <v/>
      </c>
      <c r="AAU19">
        <f>38000+144000+95000+20000+15000+10000</f>
        <v/>
      </c>
      <c r="AAV19">
        <f>20000+76000+504000+10000+60000+285000+215000+50000</f>
        <v/>
      </c>
      <c r="AAW19" s="127">
        <f>SUM(ZS19:AAV19)</f>
        <v/>
      </c>
      <c r="AAX19">
        <f>10000+152000+216000+125000+69000+220000+90000</f>
        <v/>
      </c>
      <c r="AAY19">
        <f>125000+33000+60000+48000+216000+19000</f>
        <v/>
      </c>
      <c r="AAZ19">
        <f>10000+114000+216000+55000+40000+95000</f>
        <v/>
      </c>
      <c r="ABA19">
        <f>57000+216000+40000+95000+15000+10000</f>
        <v/>
      </c>
      <c r="ABB19">
        <f>250000+38000+15000+23000</f>
        <v/>
      </c>
      <c r="ABC19">
        <f>144000+171000+10000+95000+40000+18000+10000</f>
        <v/>
      </c>
      <c r="ABD19">
        <f>19000+125000+69000+110000</f>
        <v/>
      </c>
      <c r="ABE19">
        <f>133000+144000+55000+215000+46000+110000+10000</f>
        <v/>
      </c>
      <c r="ABF19">
        <f>152000+144000+33000+15000</f>
        <v/>
      </c>
      <c r="ABG19">
        <f>76000+216000+250000+50000+55000+60000+95000+72000</f>
        <v/>
      </c>
      <c r="ABH19">
        <f>76000+288000+66000+125000+20000+190000+54000</f>
        <v/>
      </c>
      <c r="ABI19">
        <f>576000+133000+105000+190000+40000+36000+92000+30000</f>
        <v/>
      </c>
      <c r="ABJ19">
        <f>504000+209000+95000+40000+33000</f>
        <v/>
      </c>
      <c r="ABK19">
        <f>38000+216000+33000+125000+215000+15000</f>
        <v/>
      </c>
      <c r="ABL19">
        <f>10000+114000+216000+50000+55000+215000+46000+110000+60000+95000</f>
        <v/>
      </c>
      <c r="ABM19">
        <f>10000+114000+144000+570000+48000</f>
        <v/>
      </c>
      <c r="ABN19">
        <f>10000+19000+216000+50000+190000+36000</f>
        <v/>
      </c>
      <c r="ABO19">
        <f>57000+288000+46000+20000</f>
        <v/>
      </c>
      <c r="ABP19">
        <f>288000+19000+190000+23000+20000</f>
        <v/>
      </c>
      <c r="ABQ19">
        <f>144000+114000+10000+100000+55000+70000+125000+33000+20000+95000+10000</f>
        <v/>
      </c>
      <c r="ABR19">
        <f>10000+95000+144000+150000+190000+125000+15000+20000+215000</f>
        <v/>
      </c>
      <c r="ABS19">
        <f>19000+72000+100000+190000</f>
        <v/>
      </c>
      <c r="ABT19">
        <f>19000+72000+18000+60000+10000</f>
        <v/>
      </c>
      <c r="ABU19">
        <f>209000+216000+18000+150000+190000+20000+30000+220000</f>
        <v/>
      </c>
      <c r="ABV19">
        <f>76000+190000+288000+55000+40000+95000</f>
        <v/>
      </c>
      <c r="ABW19">
        <f>72000+95000+10000+770000+95000+20000+20000+15000+99000</f>
        <v/>
      </c>
      <c r="ABX19">
        <f>216000+209000+30000+380000+150000+110000+23000+36000+95000+40000</f>
        <v/>
      </c>
      <c r="ABY19">
        <f>72000+55000+215000+10000+46000+110000</f>
        <v/>
      </c>
      <c r="ABZ19">
        <f>40000+114000+72000+18000+15000+33000</f>
        <v/>
      </c>
      <c r="ACA19">
        <f>60000+19000+72000+190000+10000+95000</f>
        <v/>
      </c>
      <c r="ACB19">
        <f>19000+216000+95000+69000+110000</f>
        <v/>
      </c>
      <c r="ACC19" s="127">
        <f>SUM(AAX19:ACB19)</f>
        <v/>
      </c>
      <c r="ACD19">
        <f>20000+144000+20000</f>
        <v/>
      </c>
      <c r="ACE19">
        <f>576000+96000+30000+30000+99000+36000</f>
        <v/>
      </c>
      <c r="ACF19">
        <f>72000+76000+10000+125000+33000+215000+55000+10000</f>
        <v/>
      </c>
      <c r="ACG19">
        <f>76000+144000+90000+33000+125000</f>
        <v/>
      </c>
      <c r="ACH19">
        <f>10000+57000+216000+33000+250000+36000+110000+46000</f>
        <v/>
      </c>
      <c r="ACI19">
        <f>30000+95000+360000+33000+125000+15000+84000+20000+138000+220000</f>
        <v/>
      </c>
      <c r="ACJ19">
        <f>133000+216000+380000+30000+100000+285000</f>
        <v/>
      </c>
      <c r="ACK19">
        <f>144000+19000+125000+144000+215000+10000</f>
        <v/>
      </c>
      <c r="ACL19">
        <f>216000+152000+125000+645000+55000+95000+40000+48000+30000</f>
        <v/>
      </c>
      <c r="ACM19">
        <f>504000+38000+215000+55000+70000+144000</f>
        <v/>
      </c>
      <c r="ACN19">
        <f>432000+95000+215000+55000+190000+100000+105000+23000+250000+40000+40000</f>
        <v/>
      </c>
      <c r="ACO19">
        <f>216000+114000+430000+165000+108000+24000</f>
        <v/>
      </c>
      <c r="ACP19">
        <f>20000+76000+72000+50000</f>
        <v/>
      </c>
      <c r="ACQ19">
        <f>152000+576000+72000+20000+10000</f>
        <v/>
      </c>
      <c r="ACR19">
        <f>10000+57000+432000+40000+95000+10000+23000</f>
        <v/>
      </c>
      <c r="ACS19">
        <f>288000+95000+215000</f>
        <v/>
      </c>
      <c r="ACT19">
        <f>216000+76000+18000+95000+20000+20000</f>
        <v/>
      </c>
      <c r="ACU19">
        <f>20000+76000+288000+20000+95000+10000+54000+110000</f>
        <v/>
      </c>
      <c r="ACV19">
        <f>19000+72000+54000+110000+215000</f>
        <v/>
      </c>
      <c r="ACW19">
        <f>20000+114000+360000+120000+190000+30000+55000+215000</f>
        <v/>
      </c>
      <c r="ACX19">
        <f>38000+72000+50000+110000</f>
        <v/>
      </c>
      <c r="ACY19">
        <f>10000+76000+288000+215000+150000+190000+33000+125000+60000+95000+36000+10000</f>
        <v/>
      </c>
      <c r="ACZ19">
        <f>432000+133000+50000</f>
        <v/>
      </c>
      <c r="ADA19">
        <f>288000+152000+215000+125000+10000+110000</f>
        <v/>
      </c>
      <c r="ADB19">
        <f>19000+144000+33000+125000+69000+110000+18000+10000+40000+95000</f>
        <v/>
      </c>
      <c r="ADC19">
        <f>38000+360000+55000+215000</f>
        <v/>
      </c>
      <c r="ADD19">
        <f>10000+76000+360000+220000</f>
        <v/>
      </c>
      <c r="ADE19">
        <f>10000+76000+288000+40000+285000+125000+15000</f>
        <v/>
      </c>
      <c r="ADF19">
        <f>10000+38000+288000+60000+100000+54000</f>
        <v/>
      </c>
      <c r="ADG19">
        <f>216000+57000+190000+100000+18000+48000</f>
        <v/>
      </c>
      <c r="ADH19">
        <f>72000+95000+10000+350000+24000</f>
        <v/>
      </c>
      <c r="ADI19" s="127">
        <f>SUM(ACD19:ADH19)</f>
        <v/>
      </c>
      <c r="ADJ19">
        <f>10000+144000+18000</f>
        <v/>
      </c>
      <c r="ADK19">
        <f>10000+209000+216000+20000+33000</f>
        <v/>
      </c>
      <c r="ADL19">
        <f>20000+114000+216000+60000+285000+33000+125000+110000</f>
        <v/>
      </c>
      <c r="ADM19">
        <f>57000+432000+40000+380000+380000+90000+46000+110000</f>
        <v/>
      </c>
      <c r="ADN19">
        <f>30000+133000+288000+100000+380000+120000+46000+110000</f>
        <v/>
      </c>
      <c r="ADO19">
        <f>216000+114000+10000+120000+200000+36000</f>
        <v/>
      </c>
      <c r="ADP19">
        <f>288000+38000+125000+190000+20000+110000</f>
        <v/>
      </c>
      <c r="ADQ19">
        <f>171000+288000+72000</f>
        <v/>
      </c>
      <c r="ADR19">
        <f>38000+288000+55000+36000+46000+110000+50000</f>
        <v/>
      </c>
      <c r="ADS19">
        <f>10000+209000+72000+220000+380000+125000+10000</f>
        <v/>
      </c>
      <c r="ADT19">
        <f>38000+288000+18000+15000</f>
        <v/>
      </c>
      <c r="ADU19">
        <f>38000+432000+125000+66000+110000+100000+285000+69000+110000+12000+10000</f>
        <v/>
      </c>
      <c r="ADV19">
        <f>360000+95000+190000+100000+55000+18000+95000+20000+110000+46000</f>
        <v/>
      </c>
      <c r="ADW19">
        <f>144000+57000+20000+72000+24000+20000</f>
        <v/>
      </c>
      <c r="ADX19">
        <f>10000+19000+110000+350000+40000+95000</f>
        <v/>
      </c>
      <c r="ADY19">
        <f>209000+288000+50000+190000+36000+375000</f>
        <v/>
      </c>
      <c r="ADZ19">
        <f>20000+38000+432000+50000+30000+60000+95000+110000</f>
        <v/>
      </c>
      <c r="AEA19">
        <f>57000+144000+46000+110000+55000</f>
        <v/>
      </c>
      <c r="AEB19">
        <f>95000+144000+66000+125000+54000</f>
        <v/>
      </c>
      <c r="AEC19">
        <f>144000+95000+80000+95000+120000+190000+50000+12000</f>
        <v/>
      </c>
      <c r="AED19">
        <f>216000+76000+10000+125000+18000+15000</f>
        <v/>
      </c>
      <c r="AEE19">
        <f>288000+57000+40000+95000+40000+50000</f>
        <v/>
      </c>
      <c r="AEF19">
        <f>10000+76000+144000+38000+110000+10000</f>
        <v/>
      </c>
      <c r="AEG19">
        <f>20000+38000+20000+23000</f>
        <v/>
      </c>
      <c r="AEH19">
        <f>10000+76000+360000+100000+190000+20000+36000+10000</f>
        <v/>
      </c>
      <c r="AEI19">
        <f>10000+76000+216000+50000+36000</f>
        <v/>
      </c>
      <c r="AEJ19">
        <f>432000+152000+10000+95000+20000+36000+110000+125000+429000</f>
        <v/>
      </c>
      <c r="AEK19">
        <f>72000+76000+95000+40000+18000</f>
        <v/>
      </c>
      <c r="AEL19">
        <f>10000+57000+144000+15000+60000+95000+18000</f>
        <v/>
      </c>
      <c r="AEM19">
        <f>240000+40000+46000+105000+275000+10000+18000+125000</f>
        <v/>
      </c>
      <c r="AEN19" s="127">
        <f>SUM(ADJ19:AEM19)</f>
        <v/>
      </c>
      <c r="AEO19">
        <f>95000+360000+66000+250000+50000+190000+385000+120000+285000</f>
        <v/>
      </c>
      <c r="AEP19">
        <f>10000+19000+115000+220000+15000</f>
        <v/>
      </c>
      <c r="AEQ19">
        <f>10000+57000+144000+92000+770000+45000+60000+190000+18000</f>
        <v/>
      </c>
      <c r="AER19">
        <f>360000+171000+700000+216000+46000+110000+20000+120000+10000</f>
        <v/>
      </c>
      <c r="AES19">
        <f>144000+38000+190000+100000+125000+18000</f>
        <v/>
      </c>
      <c r="AET19">
        <f>10000+38000+216000+125000+10000</f>
        <v/>
      </c>
      <c r="AEU19">
        <f>10000+38000+288000+46000+110000+80000+95000+105000+12000+60000</f>
        <v/>
      </c>
      <c r="AEV19">
        <f>10000+38000+288000+100000+18000+69000+110000</f>
        <v/>
      </c>
      <c r="AEW19">
        <f>10000+76000+144000+20000+250000+330000+54000</f>
        <v/>
      </c>
      <c r="AEX19">
        <f>350000+40000+95000+30000+19000+72000</f>
        <v/>
      </c>
      <c r="AEY19">
        <f>288000+57000+54000+33000+15000+110000+46000</f>
        <v/>
      </c>
      <c r="AEZ19">
        <f>144000+76000+215000+55000+105000+125000+100000</f>
        <v/>
      </c>
      <c r="AFA19">
        <f>76000+216000+10000+60000+285000+33000+125000</f>
        <v/>
      </c>
      <c r="AFB19">
        <f>95000+216000+60000+110000</f>
        <v/>
      </c>
      <c r="AFC19">
        <f>10000+38000+144000+33000</f>
        <v/>
      </c>
      <c r="AFD19">
        <f>10000+95000+288000+125000+55000+215000+50000+60000+95000+72000</f>
        <v/>
      </c>
      <c r="AFE19">
        <f>10000+76000+432000+72000</f>
        <v/>
      </c>
      <c r="AFF19">
        <f>144000+95000+10000+23000+55000+16000+10000</f>
        <v/>
      </c>
      <c r="AFG19">
        <f>216000+57000+95000+60000</f>
        <v/>
      </c>
      <c r="AFH19">
        <f>10000+38000+144000+100000+190000</f>
        <v/>
      </c>
      <c r="AFI19">
        <f>95000+288000+220000+215000+380000+46000+125000+32000+10000</f>
        <v/>
      </c>
      <c r="AFJ19">
        <f>57000+144000+18000+46000+110000+100000</f>
        <v/>
      </c>
      <c r="AFK19">
        <f>20000+72000+36000+55000+95000</f>
        <v/>
      </c>
      <c r="AFL19">
        <f>76000+72000+220000+215000+95000+15000</f>
        <v/>
      </c>
      <c r="AFM19">
        <f>288000+38000+125000+220000+50000</f>
        <v/>
      </c>
      <c r="AFN19">
        <f>72000+152000+125000+66000+80000+95000+350000+36000</f>
        <v/>
      </c>
      <c r="AFO19">
        <f>580000+66000+125000+46000+110000+16000+10000</f>
        <v/>
      </c>
      <c r="AFP19">
        <f>99000+24000+11000</f>
        <v/>
      </c>
      <c r="AFQ19">
        <f>250000+66000+215000+55000+190000+150000+80000+10000</f>
        <v/>
      </c>
      <c r="AFR19">
        <f>190000+200000+220000+46000+19000+72000+10000+350000</f>
        <v/>
      </c>
      <c r="AFS19">
        <f>360000+38000+125000+99000+215000+110000+46000+120000</f>
        <v/>
      </c>
      <c r="AFT19" s="127">
        <f>SUM(AEO19:AFS19)</f>
        <v/>
      </c>
      <c r="AFU19">
        <f>432000+114000+330000+46000+95000+40000</f>
        <v/>
      </c>
      <c r="AFV19">
        <f>576000+95000+125000+33000+380000+100000+50000+40000+10000+15000</f>
        <v/>
      </c>
      <c r="AFW19">
        <f>216000+38000+48000+40000</f>
        <v/>
      </c>
      <c r="AFX19">
        <f>110000+215000+23000+110000+250000+40000+95000+72000+57000+70000+18000</f>
        <v/>
      </c>
      <c r="AFY19">
        <f>144000+38000+480000+10000+33000+110000+215000</f>
        <v/>
      </c>
      <c r="AFZ19">
        <f>144000+133000+215000+100000+24000+60000+70000+40000+45000+10000+95000+18000</f>
        <v/>
      </c>
      <c r="AGA19">
        <f>76000+288000+32000+115000+105000+69000+110000+55000</f>
        <v/>
      </c>
      <c r="AGB19">
        <f>288000+57000+860000+190000+45000+760000</f>
        <v/>
      </c>
      <c r="AGC19">
        <f>72000+10000+32000+125000</f>
        <v/>
      </c>
      <c r="AGD19">
        <f>114000+360000+10000+18000</f>
        <v/>
      </c>
      <c r="AGE19">
        <f>10000+76000+432000+90000+69000+110000</f>
        <v/>
      </c>
      <c r="AGF19">
        <f>133000+216000+108000+20000+125000</f>
        <v/>
      </c>
      <c r="AGG19">
        <f>10000+152000+432000+190000</f>
        <v/>
      </c>
      <c r="AGH19">
        <f>50000+144000+40000+95000+16000+60000</f>
        <v/>
      </c>
      <c r="AGI19">
        <f>432000+100000+32000+380000</f>
        <v/>
      </c>
      <c r="AGJ19">
        <f>144000+130000+16000+15000</f>
        <v/>
      </c>
      <c r="AGK19">
        <f>90000+432000+20000+250000</f>
        <v/>
      </c>
      <c r="AGL19">
        <f>144000+72000+69000+110000+36000+10000+32000</f>
        <v/>
      </c>
      <c r="AGM19">
        <f>144000+250000+55000+215000+350000+69000+110000+18000</f>
        <v/>
      </c>
      <c r="AGN19">
        <f>38000+288000+30000</f>
        <v/>
      </c>
      <c r="AGO19">
        <f>144000+133000+10000+55000+215000+32000+20000+250000</f>
        <v/>
      </c>
      <c r="AGP19">
        <f>360000+209000+30000+375000+33000+110000+92000+16000+50000+18000+20000</f>
        <v/>
      </c>
      <c r="AGQ19">
        <f>72000+114000+48000+48000</f>
        <v/>
      </c>
      <c r="AGR19">
        <f>38000+288000+36000+16000+50000+23000</f>
        <v/>
      </c>
      <c r="AGS19">
        <f>10000+38000+144000+16000+20000+190000+46000+110000</f>
        <v/>
      </c>
      <c r="AGT19">
        <f>10000+57000+504000+10000+20000+95000+330000+150000+190000+375000+33000</f>
        <v/>
      </c>
      <c r="AGU19">
        <f>10000+114000+144000+140000+95000+220000+36000</f>
        <v/>
      </c>
      <c r="AGV19">
        <f>95000+720000+90000+110000+72000+10000+99000</f>
        <v/>
      </c>
      <c r="AGW19">
        <f>216000+95000+20000+132000+95000+60000</f>
        <v/>
      </c>
      <c r="AGX19">
        <f>360000+57000+330000+161000+16000+72000+20000</f>
        <v/>
      </c>
      <c r="AGY19" s="127">
        <f>SUM(AFU19:AGX19)</f>
        <v/>
      </c>
      <c r="AGZ19">
        <f>10000+19000+288000+36000+16000+240000</f>
        <v/>
      </c>
      <c r="AHA19">
        <f>76000+72000+48000+300000+16000+210000+18000+30000</f>
        <v/>
      </c>
      <c r="AHB19">
        <f>504000+76000+30000+48000+360000+110000+30000+20000+50000</f>
        <v/>
      </c>
      <c r="AHC19">
        <f>57000+216000+380000</f>
        <v/>
      </c>
      <c r="AHD19">
        <f>360000+95000+350000+16000</f>
        <v/>
      </c>
      <c r="AHE19">
        <f>216000+19000+50000+36000</f>
        <v/>
      </c>
      <c r="AHF19">
        <f>216000+190000+10000+55000+125000+220000+18000+16000</f>
        <v/>
      </c>
      <c r="AHG19">
        <f>240000+57000+110000+18000+48000+20000+10000+33000+125000</f>
        <v/>
      </c>
      <c r="AHH19">
        <f>250000+32000+10000+23000</f>
        <v/>
      </c>
      <c r="AHI19">
        <f>10000+152000+432000+55000+215000+16000</f>
        <v/>
      </c>
      <c r="AHJ19">
        <f>10000+171000+288000+70000+33000+135000+24000+140000+95000</f>
        <v/>
      </c>
      <c r="AHK19">
        <f>144000+19000+54000+430000+125000+20000+105000</f>
        <v/>
      </c>
      <c r="AHL19">
        <f>216000+19000+54000+95000</f>
        <v/>
      </c>
      <c r="AHM19">
        <f>72000+76000+10000+54000+100000+95000+190000+32000+20000</f>
        <v/>
      </c>
      <c r="AHN19">
        <f>19000+216000+80000+95000+46000+16000+10000</f>
        <v/>
      </c>
      <c r="AHO19">
        <f>20000+38000+216000+15000+40000+95000+105000+16000</f>
        <v/>
      </c>
      <c r="AHP19">
        <f>76000+432000+33000+20000+100000+380000+110000+430000+24000+16000+110000</f>
        <v/>
      </c>
      <c r="AHQ19">
        <f>228000+432000+50000+18000+15000+20000+190000+16000</f>
        <v/>
      </c>
      <c r="AHR19">
        <f>57000+216000+100000+190000+330000+215000+18000+16000+10000+115000+110000+33000+350000+60000+95000+72000+105000</f>
        <v/>
      </c>
      <c r="AHS19">
        <f>144000+38000+270000+220000+69000+125000+33000+48000+55000+9000+190000+20000</f>
        <v/>
      </c>
      <c r="AHT19">
        <f>216000+114000+10000+23000+125000+33000+48000+95000+20000+10000+54000</f>
        <v/>
      </c>
      <c r="AHU19">
        <f>19000+288000+105000+110000+92000+40000+190000+36000</f>
        <v/>
      </c>
      <c r="AHV19">
        <f>30000+209000+288000+380000+99000+30000+100000+140000+16000+10000</f>
        <v/>
      </c>
      <c r="AHW19">
        <f>20000+133000+432000+50000+15000+55000+430000+66000+125000+69000+110000+36000+48000+20000</f>
        <v/>
      </c>
      <c r="AHX19">
        <f>288000+76000+190000+80000+125000+46000+110000+16000+18000+15000</f>
        <v/>
      </c>
      <c r="AHY19">
        <f>114000+34000+16000+360000+23000+40000+150000+190000</f>
        <v/>
      </c>
      <c r="AHZ19">
        <f>360000+38000+10000+110000+46000+15000+120000</f>
        <v/>
      </c>
      <c r="AIA19">
        <f>216000+80000+215000+55000+33000</f>
        <v/>
      </c>
      <c r="AIB19">
        <f>10000+152000+288000+45000+66000+250000+10000+55000+215000+50000+190000</f>
        <v/>
      </c>
      <c r="AIC19">
        <f>76000+432000+50000+190000+20000</f>
        <v/>
      </c>
      <c r="AID19">
        <f>57000+288000+132000+125000+40000+95000+10000</f>
        <v/>
      </c>
      <c r="AIE19" s="127">
        <f>SUM(AGZ19:AID19)</f>
        <v/>
      </c>
      <c r="AIF19">
        <f>216000+66000+240000+95000+19000</f>
        <v/>
      </c>
      <c r="AIG19">
        <f>133000+144000+50000+16000+72000+250000+55000+215000</f>
        <v/>
      </c>
      <c r="AIH19">
        <f>432000+10000+125000+33000+40000+50000+10000</f>
        <v/>
      </c>
      <c r="AII19" t="n">
        <v>72000</v>
      </c>
      <c r="AIJ19">
        <f>125000+165000+40000+54000</f>
        <v/>
      </c>
      <c r="AIK19">
        <f>38000+144000+16000+285000+10000+36000</f>
        <v/>
      </c>
      <c r="AIL19">
        <f>10000+72000+18000</f>
        <v/>
      </c>
      <c r="AIM19">
        <f>10000+152000+144000+20000+32000+18000+50000+190000+33000+100000+190000+15000</f>
        <v/>
      </c>
      <c r="AIN19">
        <f>19000+144000+36000+80000+95000+100000+380000+33000+125000</f>
        <v/>
      </c>
      <c r="AIO19">
        <f>360000+38000+10000+250000+33000+70000+190000+50000+18000</f>
        <v/>
      </c>
      <c r="AIP19">
        <f>216000+19000+50000+16000+770000</f>
        <v/>
      </c>
      <c r="AIQ19">
        <f>19000+216000+30000</f>
        <v/>
      </c>
      <c r="AIR19">
        <f>19000+144000+125000+50000+55000+215000+18000+32000</f>
        <v/>
      </c>
      <c r="AIS19">
        <f>57000+144000+54000+16000+125000+55000+50000+380000</f>
        <v/>
      </c>
      <c r="AIT19">
        <f>10000+19000+144000+50000+16000+18000</f>
        <v/>
      </c>
      <c r="AIU19" t="n">
        <v>10000</v>
      </c>
      <c r="AIV19">
        <f>76000+72000</f>
        <v/>
      </c>
      <c r="AIW19">
        <f>32000+150000+190000+120000</f>
        <v/>
      </c>
      <c r="AIX19">
        <f>216000+40000+95000+50000</f>
        <v/>
      </c>
      <c r="AIY19">
        <f>10000+95000+288000+200000+190000+32000+10000+125000</f>
        <v/>
      </c>
      <c r="AIZ19">
        <f>10000+133000+144000+50000+16000+60000+95000</f>
        <v/>
      </c>
      <c r="AJA19">
        <f>10000+114000+360000+32000+10000+18000+40000+95000+69000+110000</f>
        <v/>
      </c>
      <c r="AJB19">
        <f>250000+76000+72000+30000+50000+190000+36000</f>
        <v/>
      </c>
      <c r="AJC19">
        <f>144000+57000+10000+110000+95000+40000+18000+33000</f>
        <v/>
      </c>
      <c r="AJD19">
        <f>360000+95000+32000+15000+125000</f>
        <v/>
      </c>
      <c r="AJE19">
        <f>100000+190000</f>
        <v/>
      </c>
      <c r="AJF19">
        <f>152000+360000+66000+125000+18000+16000</f>
        <v/>
      </c>
      <c r="AJG19">
        <f>57000+72000+55000+18000</f>
        <v/>
      </c>
      <c r="AJH19">
        <f>114000+216000+215000+48000+10000+20000+190000+66000+110000</f>
        <v/>
      </c>
      <c r="AJI19">
        <f>20000+76000+72000+55000+40000+95000</f>
        <v/>
      </c>
      <c r="AJJ19">
        <f>76000+360000+150000+190000+120000+92000+110000+36000+10000+15000+32000</f>
        <v/>
      </c>
      <c r="AJK19" s="127">
        <f>SUM(AIF19:AJJ19)</f>
        <v/>
      </c>
      <c r="AJL19">
        <f>20000+133000+144000+110000+215000+18000</f>
        <v/>
      </c>
      <c r="AJM19">
        <f>10000+171000+144000+32000+10000+220000+250000+66000+60000+95000+150000+190000</f>
        <v/>
      </c>
      <c r="AJN19">
        <f>114000+72000+48000+100000+190000+55000</f>
        <v/>
      </c>
      <c r="AJO19">
        <f>20000+76000+360000+350000+92000+220000+40000+95000+16000+33000+125000+55000+430000+20000</f>
        <v/>
      </c>
      <c r="AJP19">
        <f>20000+38000+288000+72000+48000+33000+250000+50000+55000+220000+15000+10000</f>
        <v/>
      </c>
      <c r="AJQ19">
        <f>20000+576000+40000+95000+20000+48000</f>
        <v/>
      </c>
      <c r="AJR19">
        <f>60000+360000+125000+40000+95000+72000+10000</f>
        <v/>
      </c>
      <c r="AJS19">
        <f>30000+216000+46000+18000+20000+16000</f>
        <v/>
      </c>
      <c r="AJT19">
        <f>70000+288000+32000+20000+23000+110000+33000+125000+36000</f>
        <v/>
      </c>
      <c r="AJU19">
        <f>288000+150000+380000+110000+860000+190000+100000+92000+220000+125000+54000+15000+10000</f>
        <v/>
      </c>
      <c r="AJV19">
        <f>288000+125000+20000+95000+220000+12000+16000+260000</f>
        <v/>
      </c>
      <c r="AJW19">
        <f>10000+76000+360000+55000+215000+54000+760000+46000+110000+20000</f>
        <v/>
      </c>
      <c r="AJX19">
        <f>20000+144000+18000+40000+95000+660000+350000+190000+60000</f>
        <v/>
      </c>
      <c r="AJY19">
        <f>20000+38000+72000+66000+125000+190000+16000</f>
        <v/>
      </c>
      <c r="AJZ19">
        <f>20000+76000+216000+33000+55000+54000+32000</f>
        <v/>
      </c>
      <c r="AKA19">
        <f>19000+432000+99000+250000+80000+190000+36000+40000</f>
        <v/>
      </c>
      <c r="AKB19">
        <f>95000+360000+66000+60000+95000+69000+110000+20000+15000</f>
        <v/>
      </c>
      <c r="AKC19">
        <f>10000+114000+216000+350000+20000+15000</f>
        <v/>
      </c>
      <c r="AKD19">
        <f>20000+95000+360000+125000+46000+110000+50000+18000+16000</f>
        <v/>
      </c>
      <c r="AKE19">
        <f>10000+152000+144000+95000+66000+125000+16000</f>
        <v/>
      </c>
      <c r="AKF19">
        <f>30000+171000+144000+99000+125000+46000+110000+10000+15000+36000+55000+215000</f>
        <v/>
      </c>
      <c r="AKG19">
        <f>20000+133000+432000+50000+190000+125000+46000+18000+24000+16000+20000</f>
        <v/>
      </c>
      <c r="AKH19">
        <f>38000+288000+66000+125000+165000+645000+80000+190000+92000+220000+16000</f>
        <v/>
      </c>
      <c r="AKI19">
        <f>10000+57000+216000+33000+50000+40000+95000+110000+12000+120000+20000+48000</f>
        <v/>
      </c>
      <c r="AKJ19">
        <f>19000+288000+50000+190000+110000+215000+69000+220000+50000+16000</f>
        <v/>
      </c>
      <c r="AKK19">
        <f>20000+57000+216000+66000+125000+60000+95000+46000+110000+16000</f>
        <v/>
      </c>
      <c r="AKL19">
        <f>100000+432000+40000+95000+16000+380000+50000+215000+250000+10000+48000</f>
        <v/>
      </c>
      <c r="AKM19">
        <f>40000+231000+375000+380000+150000+40000+95000+16000</f>
        <v/>
      </c>
      <c r="AKN19" s="127">
        <f>SUM(AJL19:AKM19)</f>
        <v/>
      </c>
      <c r="AKO19">
        <f>33000+125000+55000+126000+16000</f>
        <v/>
      </c>
      <c r="AKP19">
        <f>20000+19000+360000+20000+215000+96000</f>
        <v/>
      </c>
      <c r="AKQ19">
        <f>10000+216000+100000+190000+36000+30000+10000</f>
        <v/>
      </c>
      <c r="AKR19">
        <f>20000+95000+360000+20000+95000+15000+96000</f>
        <v/>
      </c>
      <c r="AKS19">
        <f>10000+57000+360000+54000+16000</f>
        <v/>
      </c>
      <c r="AKT19">
        <f>38000+288000+33000+18000+215000+55000</f>
        <v/>
      </c>
      <c r="AKU19">
        <f>247000+432000+50000+190000+16000+23000</f>
        <v/>
      </c>
      <c r="AKV19">
        <f>20000+76000+432000+198000+250000+55000+50000+10000+48000</f>
        <v/>
      </c>
      <c r="AKW19">
        <f>171000+288000+125000+55000+215000+69000+110000+90000+16000</f>
        <v/>
      </c>
      <c r="AKX19">
        <f>95000+288000+120000+95000+76000</f>
        <v/>
      </c>
      <c r="AKY19">
        <f>76000+288000+40000+95000+36000+200000+55000+270000+33000+32000</f>
        <v/>
      </c>
      <c r="AKZ19">
        <f>20000+95000+432000+20000+36000+30000+20000</f>
        <v/>
      </c>
      <c r="ALA19">
        <f>10000+133000+288000+150000+380000+55000+215000+80000+95000+30000+16000</f>
        <v/>
      </c>
      <c r="ALB19">
        <f>57000+288000+100000+60000+190000+18000+15000+9000+32000</f>
        <v/>
      </c>
      <c r="ALC19">
        <f>10000+19000+72000+20000+46000+110000+12000+20000</f>
        <v/>
      </c>
      <c r="ALD19">
        <f>20000+209000+216000+46000+110000+125000+18000+55000+350000+50000+16000</f>
        <v/>
      </c>
      <c r="ALE19">
        <f>76000+288000+250000+18000+105000+60000+20000+64000</f>
        <v/>
      </c>
      <c r="ALF19">
        <f>57000+288000+20000+75000+110000+36000+110000+32000+285000+10000</f>
        <v/>
      </c>
      <c r="ALG19">
        <f>20000+19000+144000+250000+46000+110000+110000+215000+300000+20000</f>
        <v/>
      </c>
      <c r="ALH19">
        <f>72000+125000+92000+110000+32000</f>
        <v/>
      </c>
      <c r="ALI19">
        <f>20000+95000+288000+50000+40000+18000+10000+15000+9000</f>
        <v/>
      </c>
      <c r="ALJ19">
        <f>10000+76000+216000+40000+138000+440000+360000+10000</f>
        <v/>
      </c>
      <c r="ALK19">
        <f>10000+114000+576000+190000+80000+46000+110000+18000+10000+16000</f>
        <v/>
      </c>
      <c r="ALL19">
        <f>76000+144000+215000+250000+20000+95000+220000+12000+72000+20000</f>
        <v/>
      </c>
      <c r="ALM19">
        <f>20000+38000+216000+100000+190000+110000+16000</f>
        <v/>
      </c>
      <c r="ALN19">
        <f>10000+190000+432000+33000+125000+60000+285000+110000+16000</f>
        <v/>
      </c>
      <c r="ALO19">
        <f>10000+19000+216099+215000+132000+100000+285000+30000+10000</f>
        <v/>
      </c>
      <c r="ALP19">
        <f>114000+432000+50000+220000+215000+90000+100000+95000+16000</f>
        <v/>
      </c>
      <c r="ALQ19">
        <f>20000+38000+288000+50000+190000+55000+30000+220000+20000+16000+30000</f>
        <v/>
      </c>
      <c r="ALR19">
        <f>10000+152000+216000+40000+95000+110000+10000</f>
        <v/>
      </c>
      <c r="ALS19">
        <f>19000+360000+150000+40000+161000+330000+240000+36000+30000+32000</f>
        <v/>
      </c>
      <c r="ALT19" s="127">
        <f>SUM(AKO19:ALS19)</f>
        <v/>
      </c>
      <c r="ALU19">
        <f>10000+95000+288000+125000+50000+10000+36000+32000</f>
        <v/>
      </c>
      <c r="ALV19">
        <f>10000+152000+360000+125000+40000+95000+110000+36000+20000</f>
        <v/>
      </c>
      <c r="ALW19">
        <f>10000+114000+432000+33000+50000+190000+40000+46000+110000+36000+110000+20000</f>
        <v/>
      </c>
      <c r="ALX19">
        <f>20000+38000+360000+80000+95000+36000+33000+48000</f>
        <v/>
      </c>
      <c r="ALY19">
        <f>152000+432000+165000+46000+110000+18000+30000</f>
        <v/>
      </c>
      <c r="ALZ19">
        <f>95000+360000+33000+55000+20000+75000+18000</f>
        <v/>
      </c>
      <c r="AMA19">
        <f>19000+216000+72000</f>
        <v/>
      </c>
      <c r="AMB19">
        <f>95000+360000+18000+110000+80000+190000+46000+110000+15000+30000+32000</f>
        <v/>
      </c>
      <c r="AMC19">
        <f>20000+76000+432000+33000+125000+60000+95000+32000+30000</f>
        <v/>
      </c>
      <c r="AMD19">
        <f>57000+288000+33000+125000+50000+190000+240000+18000+16000+10000</f>
        <v/>
      </c>
      <c r="AME19">
        <f>10000+76000+432000+108000+48000+110000+215000+23000+110000+180000+10000+30000+48000</f>
        <v/>
      </c>
      <c r="AMF19">
        <f>10000+19000+216000+33000+24000+10000</f>
        <v/>
      </c>
      <c r="AMG19">
        <f>10000+38000+72000+37000+46000+110000+40000+55000+18000+20000+16000</f>
        <v/>
      </c>
      <c r="AMH19">
        <f>38000+288000+200000+190000+46000+220000</f>
        <v/>
      </c>
      <c r="AMI19">
        <f>144000+190000+33000+125000+190000+15000+10000+60000+180000+16000</f>
        <v/>
      </c>
      <c r="AMJ19">
        <f>10000+38000+432000+46000+15000</f>
        <v/>
      </c>
      <c r="AMK19">
        <f>10000+114000+288000+69000+220000+125000+18000+20000</f>
        <v/>
      </c>
      <c r="AML19">
        <f>10000+133000+46000+220000+36000+10000+50000+60000+95000+144000</f>
        <v/>
      </c>
      <c r="AMM19">
        <f>10000+190000+360000+125000+40000+95000+16000</f>
        <v/>
      </c>
      <c r="AMN19">
        <f>10000+95000+216000+23000+110000+55000+215000+40000+95000+18000+20000+16000</f>
        <v/>
      </c>
      <c r="AMO19">
        <f>10000+152000+360000+23000+220000+18000+16000+20000+30000</f>
        <v/>
      </c>
      <c r="AMP19">
        <f>288000+69000+330000+36000+16000+55000+215000+10000</f>
        <v/>
      </c>
      <c r="AMQ19">
        <f>10000+190000+144000+16000+55000+430000+23000+110000+18000+30000+45000</f>
        <v/>
      </c>
      <c r="AMR19">
        <f>10000+551000+144000+50000+190000+55000+215000+66000+250000+20000+95000+15000+110000+16000</f>
        <v/>
      </c>
      <c r="AMS19">
        <f>20000+114000+216000+150000+380000+60000+95000+32000+30000</f>
        <v/>
      </c>
      <c r="AMT19">
        <f>57000+144000+100000+190000+55000+33000+125000+161000+330000+105000+110000</f>
        <v/>
      </c>
      <c r="AMU19">
        <f>190000+288000+33000+46000+105000+80000+190000+18000+16000</f>
        <v/>
      </c>
      <c r="AMV19">
        <f>95000+288000+55000+50000+190000+48000+12000+95000+20000+64000+10000</f>
        <v/>
      </c>
      <c r="AMW19">
        <f>133000+144000+110000+215000+40000+46000+110000+15000</f>
        <v/>
      </c>
      <c r="AMX19">
        <f>10000+190000+432000+95000+69000+110000+50000+190000+18000+20000+16000</f>
        <v/>
      </c>
      <c r="AMY19" s="127">
        <f>SUM(ALU19:AMX19)</f>
        <v/>
      </c>
      <c r="AMZ19">
        <f>10000+95000+288000+50000+92000+220000+18000</f>
        <v/>
      </c>
      <c r="ANA19">
        <f>10000+95000+360000+100000+110000+16000+15000</f>
        <v/>
      </c>
      <c r="ANB19">
        <f>95000+144000+80000+48000+10000+18000+30000</f>
        <v/>
      </c>
      <c r="ANC19">
        <f>30000+114000+288000+55000+215000+200000+380000+69000+24000+32000+36000</f>
        <v/>
      </c>
      <c r="AND19">
        <f>76000+504000+55000+215000+100000+190000+190000+100000+72000+120000</f>
        <v/>
      </c>
      <c r="ANE19">
        <f>171000+288000+33000+55000+215000+190000+60000+16000</f>
        <v/>
      </c>
      <c r="ANF19">
        <f>10000+19000+144000+40000+190000+16000+18000</f>
        <v/>
      </c>
      <c r="ANG19">
        <f>10000+152000+288000+66000+250000+50000+190000+110000+215000+60000+23000+110000+36000+45000+10000+32000</f>
        <v/>
      </c>
      <c r="ANH19">
        <f>114000+144000+110000+430000+190000+140000+110000+48000+20000+36000</f>
        <v/>
      </c>
      <c r="ANI19">
        <f>10000+114000+432000+125000+100000+380000+15000+10000</f>
        <v/>
      </c>
      <c r="ANJ19">
        <f>10000+114000+360000+125000+69000+110000+95000+18000+15000+10000</f>
        <v/>
      </c>
      <c r="ANK19">
        <f>76000+216000+20000+92000+110000+110000</f>
        <v/>
      </c>
      <c r="ANL19">
        <f>152000+360000+20000+95000+46000+110000+144000+15000+20000+16000</f>
        <v/>
      </c>
      <c r="ANM19">
        <f>38000+144000+125000+330000+215000+20000+18000+20000</f>
        <v/>
      </c>
      <c r="ANN19">
        <f>10000+95000+504000+125000+110000+215000+60000+570000+23000</f>
        <v/>
      </c>
      <c r="ANO19">
        <f>20000+38000+216000+33000+125000+55000+100000+190000+30000+110000+10000</f>
        <v/>
      </c>
      <c r="ANP19">
        <f>10000+114000+216000+190000+60000+190000+46000+110000+30000</f>
        <v/>
      </c>
      <c r="ANQ19">
        <f>10000+38000+288000+50000+40000+110000+32000</f>
        <v/>
      </c>
      <c r="ANR19">
        <f>20000+133000+576000+33000+125000+50000+144000</f>
        <v/>
      </c>
      <c r="ANS19">
        <f>10000+95000+144000+99000+250000+20000+23000+220000+20000+48000</f>
        <v/>
      </c>
      <c r="ANT19">
        <f>10000+19000+216000+50000+165000+40000+95000+36000</f>
        <v/>
      </c>
      <c r="ANU19">
        <f>10000+57000+216000+99000+125000+50000+190000+140000+285000+92000+220000+16000</f>
        <v/>
      </c>
      <c r="ANV19">
        <f>20000+57000+504000+33000+60000+665000+110000+48000+36000+45000</f>
        <v/>
      </c>
      <c r="ANW19">
        <f>10000+76000+216000+110000+215000+50000+32000+54000+200000+380000+15000</f>
        <v/>
      </c>
      <c r="ANX19">
        <f>30000+133000+360000+55000+215000+50000+380000+560000+48000+144000+110000+30000</f>
        <v/>
      </c>
      <c r="ANY19">
        <f>57000+216000+110000+100000+110000+92000+10000+32000+16000+15000</f>
        <v/>
      </c>
      <c r="ANZ19">
        <f>30000+19000+360000+95000+54000+15000</f>
        <v/>
      </c>
      <c r="AOA19">
        <f>209000+360000+99000+250000</f>
        <v/>
      </c>
      <c r="AOB19">
        <f>10000+57000+288000+95000+161000+110000+18000+30000+10000</f>
        <v/>
      </c>
      <c r="AOC19">
        <f>38000+144000+100000+33000+125000+69000+110000+54000+60000+240000+16000</f>
        <v/>
      </c>
    </row>
    <row r="20" ht="15" customHeight="1" s="160">
      <c r="B20" s="5" t="inlineStr">
        <is>
          <t>OTHER CASH COLLECTION</t>
        </is>
      </c>
      <c r="C20" s="22" t="n"/>
      <c r="D20" s="22" t="n">
        <v>225000</v>
      </c>
      <c r="E20" s="22" t="n"/>
      <c r="F20" s="22" t="n">
        <v>10000</v>
      </c>
      <c r="G20" s="22">
        <f>10000+8000</f>
        <v/>
      </c>
      <c r="H20" s="22" t="n"/>
      <c r="I20" s="87" t="n">
        <v>235218</v>
      </c>
      <c r="J20" s="22" t="n">
        <v>8000</v>
      </c>
      <c r="K20" s="22" t="n"/>
      <c r="L20" s="22" t="n"/>
      <c r="M20" s="22" t="n">
        <v>8000</v>
      </c>
      <c r="N20" s="22" t="n">
        <v>8000</v>
      </c>
      <c r="O20" s="22" t="n">
        <v>8000</v>
      </c>
      <c r="P20" s="22" t="n"/>
      <c r="Q20" s="22" t="n"/>
      <c r="R20" s="22" t="n"/>
      <c r="S20" s="22">
        <f>210000+8000</f>
        <v/>
      </c>
      <c r="T20" s="22">
        <f>1155.347*40</f>
        <v/>
      </c>
      <c r="U20" s="22" t="n"/>
      <c r="V20" s="22" t="n"/>
      <c r="W20" s="22" t="n">
        <v>8000</v>
      </c>
      <c r="X20" s="22" t="n">
        <v>42506</v>
      </c>
      <c r="Y20" s="22" t="n"/>
      <c r="Z20" s="22" t="n"/>
      <c r="AA20" s="22" t="n"/>
      <c r="AB20" s="22" t="n"/>
      <c r="AC20" s="22" t="n">
        <v>8000</v>
      </c>
      <c r="AD20" s="22" t="n">
        <v>528000</v>
      </c>
      <c r="AE20" s="22" t="n">
        <v>142888</v>
      </c>
      <c r="AF20" s="22" t="n">
        <v>10000</v>
      </c>
      <c r="AG20" s="22" t="n"/>
      <c r="AH20" s="94" t="n"/>
      <c r="AI20" s="22" t="n">
        <v>0</v>
      </c>
      <c r="AK20" t="n">
        <v>16000</v>
      </c>
      <c r="AL20" t="n">
        <v>114096</v>
      </c>
      <c r="AN20" t="n">
        <v>8000</v>
      </c>
      <c r="AP20" t="n">
        <v>284069</v>
      </c>
      <c r="AQ20" t="n">
        <v>8000</v>
      </c>
      <c r="AS20" t="n">
        <v>64538</v>
      </c>
      <c r="AT20" t="n">
        <v>16000</v>
      </c>
      <c r="AU20" t="n">
        <v>20035</v>
      </c>
      <c r="AV20" t="n">
        <v>10000</v>
      </c>
      <c r="AW20" t="n">
        <v>0</v>
      </c>
      <c r="AZ20" t="n">
        <v>8000</v>
      </c>
      <c r="BA20" t="n">
        <v>8000</v>
      </c>
      <c r="BE20" t="n">
        <v>8000</v>
      </c>
      <c r="BF20" t="n">
        <v>45000</v>
      </c>
      <c r="BG20">
        <f>8000+39085</f>
        <v/>
      </c>
      <c r="BH20" t="n">
        <v>16000</v>
      </c>
      <c r="BM20" s="97" t="n"/>
      <c r="BO20" t="n">
        <v>8000</v>
      </c>
      <c r="BP20" t="n">
        <v>0</v>
      </c>
      <c r="BQ20" t="n">
        <v>60000</v>
      </c>
      <c r="BR20" t="n">
        <v>100000</v>
      </c>
      <c r="BT20" t="n">
        <v>8000</v>
      </c>
      <c r="BU20">
        <f>20000+8000</f>
        <v/>
      </c>
      <c r="BW20" t="n">
        <v>100000</v>
      </c>
      <c r="BX20" t="n">
        <v>16000</v>
      </c>
      <c r="BY20" t="n">
        <v>16000</v>
      </c>
      <c r="CA20" t="n">
        <v>10000</v>
      </c>
      <c r="CB20" t="n">
        <v>8000</v>
      </c>
      <c r="CD20" t="n">
        <v>8000</v>
      </c>
      <c r="CH20" t="n">
        <v>20000</v>
      </c>
      <c r="CI20" t="n">
        <v>0</v>
      </c>
      <c r="CQ20" t="n">
        <v>100000</v>
      </c>
      <c r="CS20" s="111">
        <f>SUM(BN20:CR20)</f>
        <v/>
      </c>
      <c r="CV20" t="n">
        <v>100000</v>
      </c>
      <c r="CY20" t="n">
        <v>120000</v>
      </c>
      <c r="DU20" t="n">
        <v>100000</v>
      </c>
      <c r="DX20" s="119">
        <f>SUM(CT20:DW20)</f>
        <v/>
      </c>
      <c r="EB20" t="n">
        <v>100000</v>
      </c>
      <c r="EG20" t="n">
        <v>227000</v>
      </c>
      <c r="EK20" t="n">
        <v>10000</v>
      </c>
      <c r="EL20" t="n">
        <v>372350</v>
      </c>
      <c r="EU20" t="n">
        <v>450000</v>
      </c>
      <c r="FB20" t="n">
        <v>397000</v>
      </c>
      <c r="FD20" s="128">
        <f>SUM(DY20:FC20)</f>
        <v/>
      </c>
      <c r="FI20" t="n">
        <v>238000</v>
      </c>
      <c r="FJ20" t="n">
        <v>100000</v>
      </c>
      <c r="FQ20" t="n">
        <v>224000</v>
      </c>
      <c r="FW20" t="n">
        <v>789739</v>
      </c>
      <c r="GH20" t="n">
        <v>600000</v>
      </c>
      <c r="GJ20" s="127">
        <f>SUM(FE20:GI20)</f>
        <v/>
      </c>
      <c r="GQ20" t="n">
        <v>100000</v>
      </c>
      <c r="GZ20" t="n">
        <v>600000</v>
      </c>
      <c r="HG20" t="n">
        <v>440000</v>
      </c>
      <c r="HN20" s="127">
        <f>SUM(GK20:HM20)</f>
        <v/>
      </c>
      <c r="HQ20" t="n">
        <v>183000</v>
      </c>
      <c r="HR20">
        <f>500300+152900</f>
        <v/>
      </c>
      <c r="HY20" t="n">
        <v>105000</v>
      </c>
      <c r="IB20" t="n">
        <v>100000</v>
      </c>
      <c r="IJ20" t="n">
        <v>250000</v>
      </c>
      <c r="IM20" t="n">
        <v>150000</v>
      </c>
      <c r="IN20" t="n">
        <v>34000</v>
      </c>
      <c r="IT20" s="127">
        <f>SUM(HO20:IS20)</f>
        <v/>
      </c>
      <c r="IV20" t="n">
        <v>500000</v>
      </c>
      <c r="JG20" t="n">
        <v>450000</v>
      </c>
      <c r="JJ20" t="n">
        <v>100000</v>
      </c>
      <c r="JY20" s="127">
        <f>SUM(IU20:JX20)</f>
        <v/>
      </c>
      <c r="KB20">
        <f>26750+40000</f>
        <v/>
      </c>
      <c r="KF20" t="n">
        <v>600000</v>
      </c>
      <c r="KL20">
        <f>350000+100000</f>
        <v/>
      </c>
      <c r="KT20">
        <f>695000+96000</f>
        <v/>
      </c>
      <c r="LB20" t="n">
        <v>0</v>
      </c>
      <c r="LE20" s="127">
        <f>SUM(KA20:LD20)</f>
        <v/>
      </c>
      <c r="LS20" t="n">
        <v>700000</v>
      </c>
      <c r="LV20" t="n">
        <v>400000</v>
      </c>
      <c r="LY20" t="n">
        <v>350000</v>
      </c>
      <c r="MD20" t="n">
        <v>350000</v>
      </c>
      <c r="MG20" t="n">
        <v>400000</v>
      </c>
      <c r="MJ20" s="127">
        <f>SUM(LF20:MI20)</f>
        <v/>
      </c>
      <c r="MU20" t="n">
        <v>400000</v>
      </c>
      <c r="NB20" t="n">
        <v>400000</v>
      </c>
      <c r="NP20" s="127">
        <f>SUM(ML20:NO20)</f>
        <v/>
      </c>
      <c r="NX20" t="n">
        <v>500000</v>
      </c>
      <c r="OH20" t="n">
        <v>500000</v>
      </c>
      <c r="OV20" s="127">
        <f>SUM(NR20:OU20)</f>
        <v/>
      </c>
      <c r="OX20">
        <f>506495+57500</f>
        <v/>
      </c>
      <c r="OY20" t="n">
        <v>430000</v>
      </c>
      <c r="PO20" t="n">
        <v>2000000</v>
      </c>
      <c r="PS20" t="n">
        <v>900000</v>
      </c>
      <c r="QA20" s="127">
        <f>SUM(OW20:PZ20)</f>
        <v/>
      </c>
      <c r="QO20" t="n">
        <v>500000</v>
      </c>
      <c r="QS20" t="n">
        <v>2000000</v>
      </c>
      <c r="RD20" t="n">
        <v>300000</v>
      </c>
      <c r="RE20" t="n">
        <v>450000</v>
      </c>
      <c r="RG20" s="127">
        <f>SUM(QC20:RF20)</f>
        <v/>
      </c>
      <c r="SL20" s="127">
        <f>SUM(RH20:SK20)</f>
        <v/>
      </c>
      <c r="SO20" t="n">
        <v>100000</v>
      </c>
      <c r="TA20" t="n">
        <v>0</v>
      </c>
      <c r="TR20" s="127">
        <f>SUM(SN20:TQ20)</f>
        <v/>
      </c>
      <c r="UG20" t="n">
        <v>700000</v>
      </c>
      <c r="UX20" s="127">
        <f>SUM(TT20:UW20)</f>
        <v/>
      </c>
      <c r="WA20" s="127">
        <f>SUM(UY20:VZ20)</f>
        <v/>
      </c>
      <c r="XB20" t="n">
        <v>600000</v>
      </c>
      <c r="XG20" s="127">
        <f>SUM(WB20:XF20)</f>
        <v/>
      </c>
      <c r="XX20" t="n">
        <v>14655</v>
      </c>
      <c r="YL20" s="127">
        <f>SUM(XH20:YK20)</f>
        <v/>
      </c>
      <c r="YS20" t="n">
        <v>96000</v>
      </c>
      <c r="ZH20" t="n">
        <v>200000</v>
      </c>
      <c r="ZR20" s="127">
        <f>SUM(YM20:ZQ20)</f>
        <v/>
      </c>
      <c r="ZS20" t="n">
        <v>10000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406000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s="127">
        <f>SUM(ZS20:AAV20)</f>
        <v/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s="127">
        <f>SUM(AAY20:ACB20)</f>
        <v/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26000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600000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280000</v>
      </c>
      <c r="ADG20" t="n">
        <v>0</v>
      </c>
      <c r="ADH20" t="n">
        <v>0</v>
      </c>
      <c r="ADI20" s="127">
        <f>SUM(ACE20:ADH20)</f>
        <v/>
      </c>
      <c r="ADJ20" t="n">
        <v>0</v>
      </c>
      <c r="ADK20" t="n">
        <v>0</v>
      </c>
      <c r="ADL20" t="n">
        <v>200000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180000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s="127">
        <f>SUM(ADJ20:AEM20)</f>
        <v/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s="127">
        <f>SUM(AEP20:AFS20)</f>
        <v/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100000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222700</v>
      </c>
      <c r="AGU20" t="n">
        <v>0</v>
      </c>
      <c r="AGV20" t="n">
        <v>0</v>
      </c>
      <c r="AGW20" t="n">
        <v>0</v>
      </c>
      <c r="AGX20" t="n">
        <v>16000</v>
      </c>
      <c r="AGY20" s="127">
        <f>SUM(AFU20:AGX20)</f>
        <v/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320000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s="127">
        <f>SUM(AGZ20:AID20)</f>
        <v/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48000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6500</v>
      </c>
      <c r="AJH20" t="n">
        <v>0</v>
      </c>
      <c r="AJI20" t="n">
        <v>0</v>
      </c>
      <c r="AJJ20" t="n">
        <v>0</v>
      </c>
      <c r="AJK20" s="127">
        <f>SUM(AIF20:AJJ20)</f>
        <v/>
      </c>
      <c r="AJL20" t="n">
        <v>0</v>
      </c>
      <c r="AJM20" t="n">
        <v>0</v>
      </c>
      <c r="AJN20" t="n">
        <v>0</v>
      </c>
      <c r="AJO20" t="n">
        <v>95000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s="127">
        <f>SUM(AJL20:AKM20)</f>
        <v/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400000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s="127">
        <f>SUM(AKO20:ALS20)</f>
        <v/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53000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200000</v>
      </c>
      <c r="AMX20" t="n">
        <v>0</v>
      </c>
      <c r="AMY20" s="127">
        <f>SUM(ALU20:AMX20)</f>
        <v/>
      </c>
      <c r="AMZ20" t="n">
        <v>148000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452303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179542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118527</v>
      </c>
      <c r="AOB20" t="n">
        <v>63000</v>
      </c>
      <c r="AOC20" t="n">
        <v>0</v>
      </c>
    </row>
    <row r="21" ht="17.75" customHeight="1" s="160">
      <c r="B21" s="5" t="inlineStr">
        <is>
          <t>Topup</t>
        </is>
      </c>
      <c r="C21" s="22" t="n"/>
      <c r="D21" s="22" t="n"/>
      <c r="E21" s="22" t="n"/>
      <c r="F21" s="22" t="n"/>
      <c r="G21" s="22" t="n"/>
      <c r="H21" s="22" t="n"/>
      <c r="I21" s="87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94" t="n"/>
      <c r="AI21" s="22" t="n"/>
      <c r="BM21" s="97" t="n"/>
      <c r="CS21" s="111" t="n"/>
      <c r="DA21" t="n">
        <v>570000</v>
      </c>
      <c r="DD21" t="n">
        <v>210000</v>
      </c>
      <c r="DX21" s="119">
        <f>SUM(CT21:DW21)</f>
        <v/>
      </c>
      <c r="EN21" t="n">
        <v>150000</v>
      </c>
      <c r="FD21" s="128">
        <f>SUM(DY21:FC21)</f>
        <v/>
      </c>
      <c r="GJ21" s="127">
        <f>SUM(FE21:GI21)</f>
        <v/>
      </c>
      <c r="GQ21" t="n">
        <v>200000</v>
      </c>
      <c r="HA21" t="n">
        <v>200000</v>
      </c>
      <c r="HM21" t="n">
        <v>500000</v>
      </c>
      <c r="HN21" s="127">
        <f>SUM(GK21:HM21)</f>
        <v/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270000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150000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150000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s="127">
        <f>SUM(HO21:IS21)</f>
        <v/>
      </c>
      <c r="IU21" t="n">
        <v>0</v>
      </c>
      <c r="IV21" t="n">
        <v>500000</v>
      </c>
      <c r="JY21" s="127">
        <f>SUM(IU21:JX21)</f>
        <v/>
      </c>
      <c r="KG21" t="n">
        <v>500000</v>
      </c>
      <c r="LB21" t="n">
        <v>46000</v>
      </c>
      <c r="LE21" s="127">
        <f>SUM(KA21:LD21)</f>
        <v/>
      </c>
      <c r="MJ21" s="127">
        <f>SUM(LF21:MI21)</f>
        <v/>
      </c>
      <c r="NP21" s="127">
        <f>SUM(ML21:NO21)</f>
        <v/>
      </c>
      <c r="OJ21" t="n">
        <v>31360</v>
      </c>
      <c r="OV21" s="127">
        <f>SUM(NR21:OU21)</f>
        <v/>
      </c>
      <c r="QA21" s="127">
        <f>SUM(OW21:PZ21)</f>
        <v/>
      </c>
      <c r="RG21" s="127">
        <f>SUM(QC21:RF21)</f>
        <v/>
      </c>
      <c r="SL21" s="127">
        <f>SUM(RH21:SK21)</f>
        <v/>
      </c>
      <c r="TR21" s="127">
        <f>SUM(SN21:TQ21)</f>
        <v/>
      </c>
      <c r="UX21" s="127">
        <f>SUM(TT21:UW21)</f>
        <v/>
      </c>
      <c r="WA21" s="127">
        <f>SUM(UW21:VZ21)</f>
        <v/>
      </c>
      <c r="XG21" s="127">
        <f>SUM(WC21:XF21)</f>
        <v/>
      </c>
      <c r="YL21" s="127">
        <f>SUM(XI21:YK21)</f>
        <v/>
      </c>
      <c r="YP21" t="n">
        <v>877000</v>
      </c>
      <c r="YS21" t="n">
        <v>878000</v>
      </c>
      <c r="YV21" t="n">
        <v>987000</v>
      </c>
      <c r="YX21" t="n">
        <v>876400</v>
      </c>
      <c r="ZR21" s="127">
        <f>SUM(YM21:ZQ21)</f>
        <v/>
      </c>
      <c r="AAW21" s="127">
        <f>SUM(ZS21:AAV21)</f>
        <v/>
      </c>
      <c r="ACC21" s="127">
        <f>SUM(AAY21:ACB21)</f>
        <v/>
      </c>
      <c r="ADI21" s="127">
        <f>SUM(ACE21:ADH21)</f>
        <v/>
      </c>
      <c r="AEN21" s="127">
        <f>SUM(ADJ21:AEM21)</f>
        <v/>
      </c>
      <c r="AFT21" s="127">
        <f>SUM(AEP21:AFS21)</f>
        <v/>
      </c>
      <c r="AGY21" s="127">
        <f>SUM(AFU21:AGX21)</f>
        <v/>
      </c>
      <c r="AIE21" s="127">
        <f>SUM(AHA21:AID21)</f>
        <v/>
      </c>
      <c r="AJK21" s="127">
        <f>SUM(AIG21:AJJ21)</f>
        <v/>
      </c>
      <c r="AKN21" s="127">
        <f>SUM(AJL21:AKM21)</f>
        <v/>
      </c>
      <c r="ALT21" s="127">
        <f>SUM(AKO21:ALS21)</f>
        <v/>
      </c>
      <c r="AMY21" s="127">
        <f>SUM(ALU21:AMX21)</f>
        <v/>
      </c>
    </row>
    <row r="22" ht="20.75" customHeight="1" s="160">
      <c r="B22" s="5" t="inlineStr">
        <is>
          <t>Filter</t>
        </is>
      </c>
      <c r="C22" s="22" t="n"/>
      <c r="D22" s="22" t="n"/>
      <c r="E22" s="22" t="n"/>
      <c r="F22" s="22" t="n"/>
      <c r="G22" s="22" t="n"/>
      <c r="H22" s="22" t="n"/>
      <c r="I22" s="87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94" t="n"/>
      <c r="AI22" s="22" t="n"/>
      <c r="BM22" s="97" t="n"/>
      <c r="CI22" t="n">
        <v>20000</v>
      </c>
      <c r="CK22" t="n">
        <v>10000</v>
      </c>
      <c r="CO22" t="n">
        <v>10000</v>
      </c>
      <c r="CR22" t="n">
        <v>20000</v>
      </c>
      <c r="CS22" s="111">
        <f>SUM(BN22:CR22)</f>
        <v/>
      </c>
      <c r="CT22" t="n">
        <v>10000</v>
      </c>
      <c r="CV22" t="n">
        <v>10000</v>
      </c>
      <c r="CW22" t="n">
        <v>30000</v>
      </c>
      <c r="DC22" t="n">
        <v>10000</v>
      </c>
      <c r="DD22" t="n">
        <v>10000</v>
      </c>
      <c r="DN22">
        <f>20000+10000+10000</f>
        <v/>
      </c>
      <c r="DP22" t="n">
        <v>10000</v>
      </c>
      <c r="DQ22" t="n">
        <v>0</v>
      </c>
      <c r="DV22" t="n">
        <v>10000</v>
      </c>
      <c r="DX22" s="119">
        <f>SUM(CT22:DW22)</f>
        <v/>
      </c>
      <c r="DZ22" t="n">
        <v>12000</v>
      </c>
      <c r="EC22" t="n">
        <v>10000</v>
      </c>
      <c r="EK22" t="n">
        <v>10000</v>
      </c>
      <c r="EP22" t="n">
        <v>10000</v>
      </c>
      <c r="ES22" t="n">
        <v>10000</v>
      </c>
      <c r="ET22" t="n">
        <v>20000</v>
      </c>
      <c r="FD22" s="128">
        <f>SUM(DY22:FC22)</f>
        <v/>
      </c>
      <c r="FS22" t="n">
        <v>10000</v>
      </c>
      <c r="GJ22" s="127">
        <f>SUM(FE22:GI22)</f>
        <v/>
      </c>
      <c r="GO22">
        <f>10000+20000</f>
        <v/>
      </c>
      <c r="GR22" t="n">
        <v>10000</v>
      </c>
      <c r="GT22" t="n">
        <v>10000</v>
      </c>
      <c r="GW22" t="n">
        <v>30000</v>
      </c>
      <c r="HF22" t="n">
        <v>10000</v>
      </c>
      <c r="HH22" t="n">
        <v>8000</v>
      </c>
      <c r="HJ22" t="n">
        <v>8000</v>
      </c>
      <c r="HL22" t="n">
        <v>8000</v>
      </c>
      <c r="HN22" s="127">
        <f>SUM(GK22:HM22)</f>
        <v/>
      </c>
      <c r="HV22" t="n">
        <v>8000</v>
      </c>
      <c r="HW22" t="n">
        <v>16000</v>
      </c>
      <c r="HZ22" t="n">
        <v>27500</v>
      </c>
      <c r="IC22" t="n">
        <v>8000</v>
      </c>
      <c r="IL22" t="n">
        <v>8000</v>
      </c>
      <c r="IM22" t="n">
        <v>8000</v>
      </c>
      <c r="IN22" t="n">
        <v>8000</v>
      </c>
      <c r="IO22" t="n">
        <v>16000</v>
      </c>
      <c r="IR22" t="n">
        <v>0</v>
      </c>
      <c r="IT22" s="127">
        <f>SUM(HO22:IS22)</f>
        <v/>
      </c>
      <c r="IX22" t="n">
        <v>12000</v>
      </c>
      <c r="IY22" t="n">
        <v>12000</v>
      </c>
      <c r="JK22">
        <f>24000+20000</f>
        <v/>
      </c>
      <c r="JM22" t="n">
        <v>12000</v>
      </c>
      <c r="JN22" t="n">
        <v>8000</v>
      </c>
      <c r="JQ22" t="n">
        <v>8000</v>
      </c>
      <c r="JW22" t="n">
        <v>8000</v>
      </c>
      <c r="JY22" s="127">
        <f>SUM(IU22:JX22)</f>
        <v/>
      </c>
      <c r="KA22" t="n">
        <v>8000</v>
      </c>
      <c r="KB22" t="n">
        <v>8000</v>
      </c>
      <c r="KC22" t="n">
        <v>8000</v>
      </c>
      <c r="KI22" t="n">
        <v>16000</v>
      </c>
      <c r="KJ22" t="n">
        <v>16000</v>
      </c>
      <c r="KK22" t="n">
        <v>8000</v>
      </c>
      <c r="KL22" t="n">
        <v>8000</v>
      </c>
      <c r="KS22" t="n">
        <v>8000</v>
      </c>
      <c r="KT22" t="n">
        <v>8000</v>
      </c>
      <c r="KZ22" t="n">
        <v>24000</v>
      </c>
      <c r="LE22" s="127">
        <f>SUM(KA22:LD22)</f>
        <v/>
      </c>
      <c r="LF22" t="n">
        <v>8000</v>
      </c>
      <c r="LG22" t="n">
        <v>8000</v>
      </c>
      <c r="LH22" t="n">
        <v>0</v>
      </c>
      <c r="LI22" t="n">
        <v>8000</v>
      </c>
      <c r="LJ22" t="n">
        <v>8000</v>
      </c>
      <c r="LK22" t="n">
        <v>0</v>
      </c>
      <c r="LL22" t="n">
        <v>0</v>
      </c>
      <c r="LM22" t="n">
        <v>0</v>
      </c>
      <c r="LN22" t="n">
        <v>0</v>
      </c>
      <c r="LO22" t="n">
        <v>8000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8000</v>
      </c>
      <c r="LY22" t="n">
        <v>0</v>
      </c>
      <c r="LZ22" t="n">
        <v>0</v>
      </c>
      <c r="MA22" t="n">
        <v>0</v>
      </c>
      <c r="MB22" t="n">
        <v>8000</v>
      </c>
      <c r="MC22" t="n">
        <v>0</v>
      </c>
      <c r="MD22" t="n">
        <v>8000</v>
      </c>
      <c r="ME22" t="n">
        <v>8000</v>
      </c>
      <c r="MF22" t="n">
        <v>0</v>
      </c>
      <c r="MG22" t="n">
        <v>0</v>
      </c>
      <c r="MH22" t="n">
        <v>0</v>
      </c>
      <c r="MI22" t="n">
        <v>0</v>
      </c>
      <c r="MJ22" s="127">
        <f>SUM(LF22:MI22)</f>
        <v/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20000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s="127">
        <f>SUM(ML22:NO22)</f>
        <v/>
      </c>
      <c r="NQ22" t="n">
        <v>0</v>
      </c>
      <c r="NR22" t="n">
        <v>10000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s="117" t="n">
        <v>20000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20000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8000</v>
      </c>
      <c r="OU22" t="n">
        <v>0</v>
      </c>
      <c r="OV22" s="127">
        <f>SUM(NR22:OU22)</f>
        <v/>
      </c>
      <c r="OW22" t="n">
        <v>0</v>
      </c>
      <c r="OX22" t="n">
        <v>8000</v>
      </c>
      <c r="OY22" t="n">
        <v>0</v>
      </c>
      <c r="OZ22" t="n">
        <v>8000</v>
      </c>
      <c r="PA22" t="n">
        <v>0</v>
      </c>
      <c r="PB22" t="n">
        <v>0</v>
      </c>
      <c r="PC22" t="n">
        <v>16000</v>
      </c>
      <c r="PD22" t="n">
        <v>8000</v>
      </c>
      <c r="PE22" t="n">
        <v>0</v>
      </c>
      <c r="PF22" t="n">
        <v>0</v>
      </c>
      <c r="PG22" t="n">
        <v>8000</v>
      </c>
      <c r="PH22" t="n">
        <v>0</v>
      </c>
      <c r="PI22" t="n">
        <v>0</v>
      </c>
      <c r="PJ22" t="n">
        <v>0</v>
      </c>
      <c r="PK22" t="n">
        <v>0</v>
      </c>
      <c r="PL22" t="n">
        <v>8000</v>
      </c>
      <c r="PM22" t="n">
        <v>20000</v>
      </c>
      <c r="PN22" t="n">
        <v>0</v>
      </c>
      <c r="PO22">
        <f>8000+20000</f>
        <v/>
      </c>
      <c r="PP22">
        <f>8000+40000</f>
        <v/>
      </c>
      <c r="PQ22" t="n">
        <v>0</v>
      </c>
      <c r="PR22" t="n">
        <v>8000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8000</v>
      </c>
      <c r="PY22" t="n">
        <v>0</v>
      </c>
      <c r="PZ22" t="n">
        <v>0</v>
      </c>
      <c r="QA22" s="127">
        <f>SUM(OW22:PZ22)</f>
        <v/>
      </c>
      <c r="QB22" t="n">
        <v>8000</v>
      </c>
      <c r="QC22">
        <f>8000+20000</f>
        <v/>
      </c>
      <c r="QD22" t="n">
        <v>8000</v>
      </c>
      <c r="QE22" t="n">
        <v>0</v>
      </c>
      <c r="QF22" t="n">
        <v>16000</v>
      </c>
      <c r="QG22" t="n">
        <v>0</v>
      </c>
      <c r="QH22" t="n">
        <v>0</v>
      </c>
      <c r="QI22" t="n">
        <v>0</v>
      </c>
      <c r="QJ22" t="n">
        <v>0</v>
      </c>
      <c r="QK22" t="n">
        <v>8000</v>
      </c>
      <c r="QL22" t="n">
        <v>0</v>
      </c>
      <c r="QM22" t="n">
        <v>8000</v>
      </c>
      <c r="QN22" t="n">
        <v>0</v>
      </c>
      <c r="QO22" t="n">
        <v>8000</v>
      </c>
      <c r="QQ22" t="n">
        <v>8000</v>
      </c>
      <c r="QR22" t="n">
        <v>0</v>
      </c>
      <c r="QS22" t="n">
        <v>8000</v>
      </c>
      <c r="QT22" t="n">
        <v>0</v>
      </c>
      <c r="QV22" t="n">
        <v>0</v>
      </c>
      <c r="QW22" t="n">
        <v>0</v>
      </c>
      <c r="QX22" t="n">
        <v>0</v>
      </c>
      <c r="QY22" t="n">
        <v>16000</v>
      </c>
      <c r="QZ22" t="n">
        <v>0</v>
      </c>
      <c r="RA22" t="n">
        <v>16000</v>
      </c>
      <c r="RB22" t="n">
        <v>0</v>
      </c>
      <c r="RC22" t="n">
        <v>8000</v>
      </c>
      <c r="RD22" t="n">
        <v>16000</v>
      </c>
      <c r="RE22" t="n">
        <v>8000</v>
      </c>
      <c r="RF22" t="n">
        <v>0</v>
      </c>
      <c r="RG22" s="127">
        <f>SUM(QC22:RF22)</f>
        <v/>
      </c>
      <c r="RH22" t="n">
        <v>0</v>
      </c>
      <c r="RI22" t="n">
        <v>8000</v>
      </c>
      <c r="RJ22" t="n">
        <v>8000</v>
      </c>
      <c r="RK22" t="n">
        <v>0</v>
      </c>
      <c r="RL22" t="n">
        <v>0</v>
      </c>
      <c r="RM22" t="n">
        <v>0</v>
      </c>
      <c r="RN22" t="n">
        <v>8000</v>
      </c>
      <c r="RO22" t="n">
        <v>16000</v>
      </c>
      <c r="RP22" t="n">
        <v>0</v>
      </c>
      <c r="RQ22" t="n">
        <v>16000</v>
      </c>
      <c r="RR22" t="n">
        <v>0</v>
      </c>
      <c r="RS22" t="n">
        <v>0</v>
      </c>
      <c r="RT22" t="n">
        <v>8000</v>
      </c>
      <c r="RU22" t="n">
        <v>16000</v>
      </c>
      <c r="RV22" t="n">
        <v>0</v>
      </c>
      <c r="RW22" t="n">
        <v>8000</v>
      </c>
      <c r="RX22" t="n">
        <v>16000</v>
      </c>
      <c r="RY22" t="n">
        <v>16000</v>
      </c>
      <c r="RZ22" t="n">
        <v>8000</v>
      </c>
      <c r="SA22" t="n">
        <v>8000</v>
      </c>
      <c r="SB22">
        <f>20000+8000</f>
        <v/>
      </c>
      <c r="SC22" t="n">
        <v>0</v>
      </c>
      <c r="SD22">
        <f>16000+20000</f>
        <v/>
      </c>
      <c r="SE22" t="n">
        <v>0</v>
      </c>
      <c r="SF22" t="n">
        <v>0</v>
      </c>
      <c r="SG22" t="n">
        <v>0</v>
      </c>
      <c r="SH22" t="n">
        <v>8000</v>
      </c>
      <c r="SI22">
        <f>40000+16000</f>
        <v/>
      </c>
      <c r="SJ22" t="n">
        <v>0</v>
      </c>
      <c r="SK22">
        <f>24000+20000</f>
        <v/>
      </c>
      <c r="SL22" s="127">
        <f>SUM(RH22:SK22)</f>
        <v/>
      </c>
      <c r="SM22" t="n">
        <v>0</v>
      </c>
      <c r="SN22" t="n">
        <v>0</v>
      </c>
      <c r="SO22" t="n">
        <v>8000</v>
      </c>
      <c r="SP22" t="n">
        <v>0</v>
      </c>
      <c r="SQ22" t="n">
        <v>0</v>
      </c>
      <c r="SR22">
        <f>8000+20000</f>
        <v/>
      </c>
      <c r="SS22" t="n">
        <v>15000</v>
      </c>
      <c r="ST22">
        <f>8000+15000</f>
        <v/>
      </c>
      <c r="SU22" t="n">
        <v>16000</v>
      </c>
      <c r="SV22" t="n">
        <v>15000</v>
      </c>
      <c r="SW22" t="n">
        <v>0</v>
      </c>
      <c r="SX22" t="n">
        <v>0</v>
      </c>
      <c r="SY22" t="n">
        <v>15000</v>
      </c>
      <c r="SZ22" t="n">
        <v>8000</v>
      </c>
      <c r="TA22" t="n">
        <v>8000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>
        <f>8000+30000</f>
        <v/>
      </c>
      <c r="TH22" t="n">
        <v>16000</v>
      </c>
      <c r="TI22" t="n">
        <v>16000</v>
      </c>
      <c r="TJ22" t="n">
        <v>16000</v>
      </c>
      <c r="TK22" t="n">
        <v>0</v>
      </c>
      <c r="TL22" t="n">
        <v>16000</v>
      </c>
      <c r="TM22" t="n">
        <v>8000</v>
      </c>
      <c r="TN22" t="n">
        <v>0</v>
      </c>
      <c r="TO22" t="n">
        <v>0</v>
      </c>
      <c r="TP22" t="n">
        <v>15000</v>
      </c>
      <c r="TQ22" t="n">
        <v>0</v>
      </c>
      <c r="TR22" s="127">
        <f>SUM(SN22:TQ22)</f>
        <v/>
      </c>
      <c r="TS22" t="n">
        <v>8000</v>
      </c>
      <c r="TT22" t="n">
        <v>0</v>
      </c>
      <c r="TU22" t="n">
        <v>0</v>
      </c>
      <c r="TV22" t="n">
        <v>8000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10000</v>
      </c>
      <c r="UC22" t="n">
        <v>20000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8000</v>
      </c>
      <c r="UK22" t="n">
        <v>0</v>
      </c>
      <c r="UL22" t="n">
        <v>0</v>
      </c>
      <c r="UM22">
        <f>8000+8000</f>
        <v/>
      </c>
      <c r="UN22" t="n">
        <v>0</v>
      </c>
      <c r="UO22" t="n">
        <v>0</v>
      </c>
      <c r="UP22" t="n">
        <v>0</v>
      </c>
      <c r="UQ22" t="n">
        <v>30000</v>
      </c>
      <c r="UR22" t="n">
        <v>16000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s="127">
        <f>SUM(TT22:UW22)</f>
        <v/>
      </c>
      <c r="UY22" t="n">
        <v>0</v>
      </c>
      <c r="UZ22" t="n">
        <v>0</v>
      </c>
      <c r="VA22" t="n">
        <v>0</v>
      </c>
      <c r="VB22" t="n">
        <v>8000</v>
      </c>
      <c r="VC22" t="n">
        <v>0</v>
      </c>
      <c r="VD22" t="n">
        <v>0</v>
      </c>
      <c r="VE22" t="n">
        <v>16000</v>
      </c>
      <c r="VF22" t="n">
        <v>8000</v>
      </c>
      <c r="VG22" t="n">
        <v>8000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8000</v>
      </c>
      <c r="VN22" t="n">
        <v>0</v>
      </c>
      <c r="VO22" t="n">
        <v>8000</v>
      </c>
      <c r="VP22" t="n">
        <v>8000</v>
      </c>
      <c r="VQ22" t="n">
        <v>0</v>
      </c>
      <c r="VR22" t="n">
        <v>8000</v>
      </c>
      <c r="VS22" t="n">
        <v>0</v>
      </c>
      <c r="VT22" t="n">
        <v>16000</v>
      </c>
      <c r="VU22" t="n">
        <v>8000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s="127">
        <f>SUM(UY22:VZ22)</f>
        <v/>
      </c>
      <c r="WB22" t="n">
        <v>8000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16000</v>
      </c>
      <c r="WX22" t="n">
        <v>8000</v>
      </c>
      <c r="WY22" t="n">
        <v>0</v>
      </c>
      <c r="WZ22" t="n">
        <v>8000</v>
      </c>
      <c r="XA22" t="n">
        <v>8000</v>
      </c>
      <c r="XB22" t="n">
        <v>8000</v>
      </c>
      <c r="XC22" t="n">
        <v>0</v>
      </c>
      <c r="XD22" t="n">
        <v>24000</v>
      </c>
      <c r="XE22" t="n">
        <v>16000</v>
      </c>
      <c r="XF22" t="n">
        <v>0</v>
      </c>
      <c r="XG22" s="127">
        <f>SUM(WB22:XF22)</f>
        <v/>
      </c>
      <c r="XH22" t="n">
        <v>0</v>
      </c>
      <c r="XI22" t="n">
        <v>16000</v>
      </c>
      <c r="XJ22" t="n">
        <v>0</v>
      </c>
      <c r="XK22" t="n">
        <v>8000</v>
      </c>
      <c r="XL22" t="n">
        <v>0</v>
      </c>
      <c r="XM22" t="n">
        <v>8000</v>
      </c>
      <c r="XN22" t="n">
        <v>0</v>
      </c>
      <c r="XO22" t="n">
        <v>0</v>
      </c>
      <c r="XP22" t="n">
        <v>0</v>
      </c>
      <c r="XQ22" t="n">
        <v>0</v>
      </c>
      <c r="XR22" t="n">
        <v>8000</v>
      </c>
      <c r="XS22" t="n">
        <v>0</v>
      </c>
      <c r="XT22" t="n">
        <v>8000</v>
      </c>
      <c r="XU22" t="n">
        <v>8000</v>
      </c>
      <c r="XV22" t="n">
        <v>8000</v>
      </c>
      <c r="XW22" t="n">
        <v>0</v>
      </c>
      <c r="XX22" t="n">
        <v>0</v>
      </c>
      <c r="XY22" t="n">
        <v>8000</v>
      </c>
      <c r="XZ22" t="n">
        <v>0</v>
      </c>
      <c r="YA22" t="n">
        <v>8000</v>
      </c>
      <c r="YB22" t="n">
        <v>0</v>
      </c>
      <c r="YC22" t="n">
        <v>0</v>
      </c>
      <c r="YD22" t="n">
        <v>0</v>
      </c>
      <c r="YE22" t="n">
        <v>8000</v>
      </c>
      <c r="YF22" t="n">
        <v>0</v>
      </c>
      <c r="YG22" t="n">
        <v>16000</v>
      </c>
      <c r="YH22" t="n">
        <v>8000</v>
      </c>
      <c r="YI22" t="n">
        <v>0</v>
      </c>
      <c r="YJ22" t="n">
        <v>0</v>
      </c>
      <c r="YK22" t="n">
        <v>0</v>
      </c>
      <c r="YL22" s="127">
        <f>SUM(XH22:YK22)</f>
        <v/>
      </c>
      <c r="YM22" t="n">
        <v>0</v>
      </c>
      <c r="YN22" t="n">
        <v>0</v>
      </c>
      <c r="YO22" t="n">
        <v>8000</v>
      </c>
      <c r="YP22" t="n">
        <v>0</v>
      </c>
      <c r="YQ22" t="n">
        <v>0</v>
      </c>
      <c r="YR22" t="n">
        <v>8000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8000</v>
      </c>
      <c r="ZA22" t="n">
        <v>16000</v>
      </c>
      <c r="ZB22" t="n">
        <v>0</v>
      </c>
      <c r="ZC22" t="n">
        <v>8000</v>
      </c>
      <c r="ZD22" t="n">
        <v>8000</v>
      </c>
      <c r="ZE22" t="n">
        <v>8000</v>
      </c>
      <c r="ZF22" t="n">
        <v>8000</v>
      </c>
      <c r="ZG22" t="n">
        <v>0</v>
      </c>
      <c r="ZH22" t="n">
        <v>0</v>
      </c>
      <c r="ZI22" t="n">
        <v>8000</v>
      </c>
      <c r="ZJ22" t="n">
        <v>8000</v>
      </c>
      <c r="ZK22" t="n">
        <v>0</v>
      </c>
      <c r="ZL22" t="n">
        <v>0</v>
      </c>
      <c r="ZM22" t="n">
        <v>0</v>
      </c>
      <c r="ZN22" t="n">
        <v>8000</v>
      </c>
      <c r="ZO22" t="n">
        <v>0</v>
      </c>
      <c r="ZP22" t="n">
        <v>8000</v>
      </c>
      <c r="ZQ22" t="n">
        <v>0</v>
      </c>
      <c r="ZR22" s="127">
        <f>SUM(YM22:ZQ22)</f>
        <v/>
      </c>
      <c r="ZS22" t="n">
        <v>8000</v>
      </c>
      <c r="ZT22" t="n">
        <v>16000</v>
      </c>
      <c r="ZU22" t="n">
        <v>0</v>
      </c>
      <c r="ZV22" t="n">
        <v>24000</v>
      </c>
      <c r="ZW22" t="n">
        <v>0</v>
      </c>
      <c r="ZX22" t="n">
        <v>8000</v>
      </c>
      <c r="ZZ22" t="n">
        <v>0</v>
      </c>
      <c r="AAA22" t="n">
        <v>8000</v>
      </c>
      <c r="AAB22" t="n">
        <v>8000</v>
      </c>
      <c r="AAC22" t="n">
        <v>8000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>
        <f>20000+8000</f>
        <v/>
      </c>
      <c r="AAM22" t="n">
        <v>8000</v>
      </c>
      <c r="AAN22" t="n">
        <v>0</v>
      </c>
      <c r="AAO22" t="n">
        <v>0</v>
      </c>
      <c r="AAQ22" t="n">
        <v>8000</v>
      </c>
      <c r="AAR22" t="n">
        <v>0</v>
      </c>
      <c r="AAS22" t="n">
        <v>0</v>
      </c>
      <c r="AAU22" t="n">
        <v>0</v>
      </c>
      <c r="AAV22" t="n">
        <v>0</v>
      </c>
      <c r="AAW22" s="127">
        <f>SUM(ZS22:AAV22)</f>
        <v/>
      </c>
      <c r="AAX22" t="n">
        <v>8000</v>
      </c>
      <c r="AAY22" t="n">
        <v>8000</v>
      </c>
      <c r="AAZ22" t="n">
        <v>0</v>
      </c>
      <c r="ABA22" t="n">
        <v>24000</v>
      </c>
      <c r="ABB22" t="n">
        <v>20000</v>
      </c>
      <c r="ABC22" t="n">
        <v>8000</v>
      </c>
      <c r="ABD22">
        <f>8000+20000</f>
        <v/>
      </c>
      <c r="ABE22" t="n">
        <v>0</v>
      </c>
      <c r="ABF22" t="n">
        <v>0</v>
      </c>
      <c r="ABG22">
        <f>8000+20000</f>
        <v/>
      </c>
      <c r="ABH22" t="n">
        <v>8000</v>
      </c>
      <c r="ABI22" t="n">
        <v>8000</v>
      </c>
      <c r="ABJ22" t="n">
        <v>24000</v>
      </c>
      <c r="ABK22" t="n">
        <v>8000</v>
      </c>
      <c r="ABL22" t="n">
        <v>8000</v>
      </c>
      <c r="ABM22" t="n">
        <v>0</v>
      </c>
      <c r="ABN22" t="n">
        <v>0</v>
      </c>
      <c r="ABO22" t="n">
        <v>8000</v>
      </c>
      <c r="ABP22" t="n">
        <v>8000</v>
      </c>
      <c r="ABQ22" t="n">
        <v>0</v>
      </c>
      <c r="ABR22" t="n">
        <v>0</v>
      </c>
      <c r="ABS22" t="n">
        <v>0</v>
      </c>
      <c r="ABT22" t="n">
        <v>0</v>
      </c>
      <c r="ABU22" t="n">
        <v>8000</v>
      </c>
      <c r="ABV22" t="n">
        <v>16000</v>
      </c>
      <c r="ABW22" t="n">
        <v>8000</v>
      </c>
      <c r="ABX22" t="n">
        <v>8000</v>
      </c>
      <c r="ABY22" t="n">
        <v>0</v>
      </c>
      <c r="ABZ22" t="n">
        <v>0</v>
      </c>
      <c r="ACA22" t="n">
        <v>0</v>
      </c>
      <c r="ACB22" t="n">
        <v>16000</v>
      </c>
      <c r="ACC22" s="127">
        <f>SUM(AAX22:ACB22)</f>
        <v/>
      </c>
      <c r="ACD22" t="n">
        <v>8000</v>
      </c>
      <c r="ACE22" t="n">
        <v>24000</v>
      </c>
      <c r="ACF22" t="n">
        <v>0</v>
      </c>
      <c r="ACG22" t="n">
        <v>0</v>
      </c>
      <c r="ACH22">
        <f>8000+20000</f>
        <v/>
      </c>
      <c r="ACI22" t="n">
        <v>0</v>
      </c>
      <c r="ACJ22" t="n">
        <v>8000</v>
      </c>
      <c r="ACK22" t="n">
        <v>0</v>
      </c>
      <c r="ACL22" t="n">
        <v>8000</v>
      </c>
      <c r="ACM22" t="n">
        <v>0</v>
      </c>
      <c r="ACN22" t="n">
        <v>8000</v>
      </c>
      <c r="ACO22" t="n">
        <v>0</v>
      </c>
      <c r="ACP22" t="n">
        <v>0</v>
      </c>
      <c r="ACQ22" t="n">
        <v>16000</v>
      </c>
      <c r="ACR22" t="n">
        <v>0</v>
      </c>
      <c r="ACS22" t="n">
        <v>8000</v>
      </c>
      <c r="ACT22" t="n">
        <v>0</v>
      </c>
      <c r="ACU22" t="n">
        <v>8000</v>
      </c>
      <c r="ACV22" t="n">
        <v>0</v>
      </c>
      <c r="ACW22" t="n">
        <v>0</v>
      </c>
      <c r="ACX22" t="n">
        <v>0</v>
      </c>
      <c r="ACY22" t="n">
        <v>8000</v>
      </c>
      <c r="ACZ22" t="n">
        <v>0</v>
      </c>
      <c r="ADA22" t="n">
        <v>0</v>
      </c>
      <c r="ADB22" t="n">
        <v>0</v>
      </c>
      <c r="ADC22" t="n">
        <v>8000</v>
      </c>
      <c r="ADD22" t="n">
        <v>0</v>
      </c>
      <c r="ADE22" t="n">
        <v>0</v>
      </c>
      <c r="ADF22" t="n">
        <v>28000</v>
      </c>
      <c r="ADG22">
        <f>16000+20000</f>
        <v/>
      </c>
      <c r="ADH22" t="n">
        <v>0</v>
      </c>
      <c r="ADI22" s="127">
        <f>SUM(ACD22:ADH22)</f>
        <v/>
      </c>
      <c r="ADJ22" t="n">
        <v>8000</v>
      </c>
      <c r="ADK22" t="n">
        <v>0</v>
      </c>
      <c r="ADL22" t="n">
        <v>0</v>
      </c>
      <c r="ADM22" t="n">
        <v>16000</v>
      </c>
      <c r="ADN22" t="n">
        <v>8000</v>
      </c>
      <c r="ADO22" t="n">
        <v>8000</v>
      </c>
      <c r="ADP22" t="n">
        <v>16000</v>
      </c>
      <c r="ADQ22" t="n">
        <v>8000</v>
      </c>
      <c r="ADR22" t="n">
        <v>0</v>
      </c>
      <c r="ADS22" t="n">
        <v>0</v>
      </c>
      <c r="ADT22" t="n">
        <v>0</v>
      </c>
      <c r="ADU22" t="n">
        <v>0</v>
      </c>
      <c r="ADV22" t="n">
        <v>8000</v>
      </c>
      <c r="ADW22" t="n">
        <v>8000</v>
      </c>
      <c r="ADX22" t="n">
        <v>0</v>
      </c>
      <c r="ADY22" t="n">
        <v>0</v>
      </c>
      <c r="ADZ22" t="n">
        <v>10000</v>
      </c>
      <c r="AEA22" t="n">
        <v>0</v>
      </c>
      <c r="AEB22" t="n">
        <v>8000</v>
      </c>
      <c r="AEC22" t="n">
        <v>0</v>
      </c>
      <c r="AED22" t="n">
        <v>24000</v>
      </c>
      <c r="AEE22" t="n">
        <v>0</v>
      </c>
      <c r="AEF22" t="n">
        <v>10000</v>
      </c>
      <c r="AEG22" t="n">
        <v>20000</v>
      </c>
      <c r="AEH22" t="n">
        <v>24000</v>
      </c>
      <c r="AEI22" t="n">
        <v>8000</v>
      </c>
      <c r="AEJ22" t="n">
        <v>0</v>
      </c>
      <c r="AEK22" t="n">
        <v>0</v>
      </c>
      <c r="AEL22" t="n">
        <v>8000</v>
      </c>
      <c r="AEM22" t="n">
        <v>0</v>
      </c>
      <c r="AEN22" s="127">
        <f>SUM(ADJ22:AEM22)</f>
        <v/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8000</v>
      </c>
      <c r="AEZ22" t="n">
        <v>16000</v>
      </c>
      <c r="AFA22" t="n">
        <v>0</v>
      </c>
      <c r="AFB22" t="n">
        <v>0</v>
      </c>
      <c r="AFC22" t="n">
        <v>0</v>
      </c>
      <c r="AFD22" t="n">
        <v>20000</v>
      </c>
      <c r="AFE22" t="n">
        <v>8000</v>
      </c>
      <c r="AFF22" t="n">
        <v>8000</v>
      </c>
      <c r="AFG22" t="n">
        <v>0</v>
      </c>
      <c r="AFH22" t="n">
        <v>0</v>
      </c>
      <c r="AFI22" t="n">
        <v>0</v>
      </c>
      <c r="AFJ22" t="n">
        <v>16000</v>
      </c>
      <c r="AFK22" t="n">
        <v>8000</v>
      </c>
      <c r="AFL22" t="n">
        <v>8000</v>
      </c>
      <c r="AFM22" t="n">
        <v>0</v>
      </c>
      <c r="AFN22" t="n">
        <v>0</v>
      </c>
      <c r="AFO22" t="n">
        <v>8000</v>
      </c>
      <c r="AFP22" t="n">
        <v>0</v>
      </c>
      <c r="AFQ22" t="n">
        <v>0</v>
      </c>
      <c r="AFR22" t="n">
        <v>0</v>
      </c>
      <c r="AFS22" t="n">
        <v>8000</v>
      </c>
      <c r="AFT22" s="127">
        <f>SUM(AEO22:AFS22)</f>
        <v/>
      </c>
      <c r="AFU22" t="n">
        <v>0</v>
      </c>
      <c r="AFV22" t="n">
        <v>16000</v>
      </c>
      <c r="AFW22" t="n">
        <v>8000</v>
      </c>
      <c r="AFX22" t="n">
        <v>0</v>
      </c>
      <c r="AFY22" t="n">
        <v>0</v>
      </c>
      <c r="AFZ22" t="n">
        <v>0</v>
      </c>
      <c r="AGA22" s="130" t="n">
        <v>8000</v>
      </c>
      <c r="AGB22" t="n">
        <v>0</v>
      </c>
      <c r="AGC22" t="n">
        <v>8000</v>
      </c>
      <c r="AGD22" t="n">
        <v>8000</v>
      </c>
      <c r="AGE22" t="n">
        <v>8000</v>
      </c>
      <c r="AGF22" t="n">
        <v>8000</v>
      </c>
      <c r="AGG22" t="n">
        <v>8000</v>
      </c>
      <c r="AGH22" t="n">
        <v>0</v>
      </c>
      <c r="AGI22" t="n">
        <v>0</v>
      </c>
      <c r="AGJ22" t="n">
        <v>0</v>
      </c>
      <c r="AGK22" t="n">
        <v>8000</v>
      </c>
      <c r="AGL22" t="n">
        <v>0</v>
      </c>
      <c r="AGM22" t="n">
        <v>8000</v>
      </c>
      <c r="AGN22" t="n">
        <v>0</v>
      </c>
      <c r="AGO22" t="n">
        <v>0</v>
      </c>
      <c r="AGP22" t="n">
        <v>16000</v>
      </c>
      <c r="AGQ22" t="n">
        <v>8000</v>
      </c>
      <c r="AGR22" t="n">
        <v>8000</v>
      </c>
      <c r="AGS22" t="n">
        <v>0</v>
      </c>
      <c r="AGT22" t="n">
        <v>24000</v>
      </c>
      <c r="AGU22" t="n">
        <v>0</v>
      </c>
      <c r="AGV22" t="n">
        <v>32000</v>
      </c>
      <c r="AGW22" t="n">
        <v>8000</v>
      </c>
      <c r="AGX22" t="n">
        <v>0</v>
      </c>
      <c r="AGY22" s="127">
        <f>SUM(AFU22:AGX22)</f>
        <v/>
      </c>
      <c r="AGZ22" t="n">
        <v>0</v>
      </c>
      <c r="AHA22" t="n">
        <v>0</v>
      </c>
      <c r="AHB22" t="n">
        <v>20000</v>
      </c>
      <c r="AHC22" t="n">
        <v>8000</v>
      </c>
      <c r="AHD22" t="n">
        <v>8000</v>
      </c>
      <c r="AHE22" t="n">
        <v>0</v>
      </c>
      <c r="AHF22" t="n">
        <v>16000</v>
      </c>
      <c r="AHG22" t="n">
        <v>8000</v>
      </c>
      <c r="AHH22" t="n">
        <v>0</v>
      </c>
      <c r="AHI22" t="n">
        <v>0</v>
      </c>
      <c r="AHJ22" t="n">
        <v>0</v>
      </c>
      <c r="AHK22" t="n">
        <v>8000</v>
      </c>
      <c r="AHL22" t="n">
        <v>0</v>
      </c>
      <c r="AHM22" t="n">
        <v>0</v>
      </c>
      <c r="AHN22" t="n">
        <v>40000</v>
      </c>
      <c r="AHO22" t="n">
        <v>0</v>
      </c>
      <c r="AHP22" t="n">
        <v>0</v>
      </c>
      <c r="AHQ22" t="n">
        <v>8000</v>
      </c>
      <c r="AHR22" t="n">
        <v>20000</v>
      </c>
      <c r="AHS22" t="n">
        <v>0</v>
      </c>
      <c r="AHT22" t="n">
        <v>0</v>
      </c>
      <c r="AHU22" t="n">
        <v>8000</v>
      </c>
      <c r="AHV22">
        <f>8000+20000</f>
        <v/>
      </c>
      <c r="AHW22" t="n">
        <v>8000</v>
      </c>
      <c r="AHX22" t="n">
        <v>8000</v>
      </c>
      <c r="AHY22" t="n">
        <v>0</v>
      </c>
      <c r="AHZ22" t="n">
        <v>0</v>
      </c>
      <c r="AIA22" t="n">
        <v>8000</v>
      </c>
      <c r="AIB22" t="n">
        <v>8000</v>
      </c>
      <c r="AIC22" t="n">
        <v>8000</v>
      </c>
      <c r="AID22" t="n">
        <v>16000</v>
      </c>
      <c r="AIE22" s="127">
        <f>SUM(AGZ22:AID22)</f>
        <v/>
      </c>
      <c r="AIF22" t="n">
        <v>0</v>
      </c>
      <c r="AIG22" t="n">
        <v>0</v>
      </c>
      <c r="AIH22" t="n">
        <v>0</v>
      </c>
      <c r="AII22" t="n">
        <v>0</v>
      </c>
      <c r="AIJ22" t="n">
        <v>16000</v>
      </c>
      <c r="AIK22" t="n">
        <v>0</v>
      </c>
      <c r="AIL22" t="n">
        <v>8000</v>
      </c>
      <c r="AIM22" t="n">
        <v>16000</v>
      </c>
      <c r="AIN22" t="n">
        <v>0</v>
      </c>
      <c r="AIO22" t="n">
        <v>8000</v>
      </c>
      <c r="AIP22" t="n">
        <v>0</v>
      </c>
      <c r="AIQ22" t="n">
        <v>0</v>
      </c>
      <c r="AIR22" t="n">
        <v>0</v>
      </c>
      <c r="AIS22" t="n">
        <v>16000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>
        <f>20000+16000</f>
        <v/>
      </c>
      <c r="AJC22" t="n">
        <v>8000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8000</v>
      </c>
      <c r="AJK22" s="127">
        <f>SUM(AIF22:AJJ22)</f>
        <v/>
      </c>
      <c r="AJL22" t="n">
        <v>8000</v>
      </c>
      <c r="AJM22" t="n">
        <v>0</v>
      </c>
      <c r="AJN22" t="n">
        <v>0</v>
      </c>
      <c r="AJO22" t="n">
        <v>8000</v>
      </c>
      <c r="AJP22" t="n">
        <v>8000</v>
      </c>
      <c r="AJQ22" t="n">
        <v>8000</v>
      </c>
      <c r="AJR22" t="n">
        <v>8000</v>
      </c>
      <c r="AJS22" t="n">
        <v>0</v>
      </c>
      <c r="AJT22" t="n">
        <v>0</v>
      </c>
      <c r="AJU22" t="n">
        <v>0</v>
      </c>
      <c r="AJV22" t="n">
        <v>0</v>
      </c>
      <c r="AJW22" t="n">
        <v>20000</v>
      </c>
      <c r="AJX22" t="n">
        <v>0</v>
      </c>
      <c r="AJY22" t="n">
        <v>0</v>
      </c>
      <c r="AJZ22" t="n">
        <v>0</v>
      </c>
      <c r="AKA22" t="n">
        <v>16000</v>
      </c>
      <c r="AKB22" t="n">
        <v>0</v>
      </c>
      <c r="AKC22" t="n">
        <v>0</v>
      </c>
      <c r="AKD22" t="n">
        <v>16000</v>
      </c>
      <c r="AKE22" t="n">
        <v>0</v>
      </c>
      <c r="AKF22" t="n">
        <v>8000</v>
      </c>
      <c r="AKG22" t="n">
        <v>0</v>
      </c>
      <c r="AKH22" t="n">
        <v>0</v>
      </c>
      <c r="AKI22" t="n">
        <v>20000</v>
      </c>
      <c r="AKJ22" t="n">
        <v>8000</v>
      </c>
      <c r="AKK22" t="n">
        <v>0</v>
      </c>
      <c r="AKL22" t="n">
        <v>0</v>
      </c>
      <c r="AKM22" t="n">
        <v>0</v>
      </c>
      <c r="AKN22" s="127">
        <f>SUM(AJL22:AKM22)</f>
        <v/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16000</v>
      </c>
      <c r="AKU22" t="n">
        <v>0</v>
      </c>
      <c r="AKV22" t="n">
        <v>8000</v>
      </c>
      <c r="AKW22" t="n">
        <v>0</v>
      </c>
      <c r="AKX22" t="n">
        <v>8000</v>
      </c>
      <c r="AKY22" t="n">
        <v>0</v>
      </c>
      <c r="AKZ22" t="n">
        <v>0</v>
      </c>
      <c r="ALA22" t="n">
        <v>0</v>
      </c>
      <c r="ALB22" t="n">
        <v>8000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16000</v>
      </c>
      <c r="ALS22" t="n">
        <v>20000</v>
      </c>
      <c r="ALT22" s="127">
        <f>SUM(AKO22:ALS22)</f>
        <v/>
      </c>
      <c r="ALU22" t="n">
        <v>0</v>
      </c>
      <c r="ALV22" t="n">
        <v>0</v>
      </c>
      <c r="ALW22">
        <f>12000+20000</f>
        <v/>
      </c>
      <c r="ALX22" t="n">
        <v>8000</v>
      </c>
      <c r="ALY22">
        <f>16000+20000</f>
        <v/>
      </c>
      <c r="ALZ22" t="n">
        <v>0</v>
      </c>
      <c r="AMA22" t="n">
        <v>8000</v>
      </c>
      <c r="AMB22" t="n">
        <v>0</v>
      </c>
      <c r="AMC22" t="n">
        <v>0</v>
      </c>
      <c r="AMD22" t="n">
        <v>0</v>
      </c>
      <c r="AME22" t="n">
        <v>20000</v>
      </c>
      <c r="AMF22" t="n">
        <v>0</v>
      </c>
      <c r="AMG22" t="n">
        <v>12000</v>
      </c>
      <c r="AMH22">
        <f>8000+12000</f>
        <v/>
      </c>
      <c r="AMI22" t="n">
        <v>0</v>
      </c>
      <c r="AMJ22" t="n">
        <v>20000</v>
      </c>
      <c r="AMK22" t="n">
        <v>0</v>
      </c>
      <c r="AML22" t="n">
        <v>0</v>
      </c>
      <c r="AMM22">
        <f>8000+12000</f>
        <v/>
      </c>
      <c r="AMN22" t="n">
        <v>0</v>
      </c>
      <c r="AMO22" t="n">
        <v>16000</v>
      </c>
      <c r="AMP22" t="n">
        <v>0</v>
      </c>
      <c r="AMQ22" t="n">
        <v>8000</v>
      </c>
      <c r="AMR22" t="n">
        <v>0</v>
      </c>
      <c r="AMS22" t="n">
        <v>8000</v>
      </c>
      <c r="AMT22" t="n">
        <v>8000</v>
      </c>
      <c r="AMU22" t="n">
        <v>16000</v>
      </c>
      <c r="AMV22" t="n">
        <v>20000</v>
      </c>
      <c r="AMW22" t="n">
        <v>0</v>
      </c>
      <c r="AMX22" t="n">
        <v>16000</v>
      </c>
      <c r="AMY22" s="127">
        <f>SUM(ALU22:AMX22)</f>
        <v/>
      </c>
      <c r="AMZ22" t="n">
        <v>8000</v>
      </c>
      <c r="ANA22" t="n">
        <v>8000</v>
      </c>
      <c r="ANB22" t="n">
        <v>0</v>
      </c>
      <c r="ANC22" t="n">
        <v>0</v>
      </c>
      <c r="AND22" t="n">
        <v>8000</v>
      </c>
      <c r="ANE22" t="n">
        <v>0</v>
      </c>
      <c r="ANF22" t="n">
        <v>8000</v>
      </c>
      <c r="ANG22" t="n">
        <v>8000</v>
      </c>
      <c r="ANH22" t="n">
        <v>0</v>
      </c>
      <c r="ANI22" t="n">
        <v>16000</v>
      </c>
      <c r="ANJ22" t="n">
        <v>0</v>
      </c>
      <c r="ANK22" t="n">
        <v>0</v>
      </c>
      <c r="ANL22" t="n">
        <v>16000</v>
      </c>
      <c r="ANM22" t="n">
        <v>0</v>
      </c>
      <c r="ANN22" t="n">
        <v>0</v>
      </c>
      <c r="ANO22" t="n">
        <v>8000</v>
      </c>
      <c r="ANP22" t="n">
        <v>0</v>
      </c>
      <c r="ANQ22" t="n">
        <v>8000</v>
      </c>
      <c r="ANR22" t="n">
        <v>8000</v>
      </c>
      <c r="ANS22" t="n">
        <v>0</v>
      </c>
      <c r="ANT22" t="n">
        <v>0</v>
      </c>
      <c r="ANU22" t="n">
        <v>0</v>
      </c>
      <c r="ANV22">
        <f>24000+20000</f>
        <v/>
      </c>
      <c r="ANW22" t="n">
        <v>0</v>
      </c>
      <c r="ANX22" t="n">
        <v>8000</v>
      </c>
      <c r="ANY22" t="n">
        <v>0</v>
      </c>
      <c r="ANZ22" t="n">
        <v>24000</v>
      </c>
      <c r="AOA22" t="n">
        <v>8000</v>
      </c>
      <c r="AOB22" t="n">
        <v>8000</v>
      </c>
      <c r="AOC22" t="n">
        <v>0</v>
      </c>
    </row>
    <row r="23" ht="18" customHeight="1" s="160">
      <c r="B23" s="5" t="inlineStr">
        <is>
          <t>GAS</t>
        </is>
      </c>
      <c r="C23" s="22" t="n">
        <v>0</v>
      </c>
      <c r="D23" s="22" t="n">
        <v>0</v>
      </c>
      <c r="E23" s="22">
        <f>105000+55000</f>
        <v/>
      </c>
      <c r="F23" s="22" t="n">
        <v>0</v>
      </c>
      <c r="G23" s="22">
        <f>165000+105000</f>
        <v/>
      </c>
      <c r="H23" s="22">
        <f>110000+175000</f>
        <v/>
      </c>
      <c r="I23" s="22">
        <f>165000+105000</f>
        <v/>
      </c>
      <c r="J23" s="22" t="n"/>
      <c r="K23" s="22" t="n">
        <v>55000</v>
      </c>
      <c r="L23" s="22">
        <f>55000+175000</f>
        <v/>
      </c>
      <c r="M23" s="22" t="n"/>
      <c r="N23" s="22" t="n">
        <v>55000</v>
      </c>
      <c r="O23" s="22" t="n">
        <v>210000</v>
      </c>
      <c r="P23" s="22" t="n">
        <v>55000</v>
      </c>
      <c r="Q23" s="22" t="n">
        <v>110000</v>
      </c>
      <c r="R23" s="22" t="n">
        <v>55000</v>
      </c>
      <c r="S23" s="22" t="n">
        <v>55000</v>
      </c>
      <c r="T23" s="22" t="n">
        <v>110000</v>
      </c>
      <c r="U23" s="22" t="n">
        <v>110000</v>
      </c>
      <c r="V23" s="22" t="n">
        <v>175000</v>
      </c>
      <c r="W23" s="22">
        <f>175000+202500</f>
        <v/>
      </c>
      <c r="X23" s="22" t="n">
        <v>55000</v>
      </c>
      <c r="Y23" s="22">
        <f>55000+105000</f>
        <v/>
      </c>
      <c r="Z23" s="22" t="n">
        <v>165000</v>
      </c>
      <c r="AA23" s="22" t="n">
        <v>0</v>
      </c>
      <c r="AB23" s="22" t="n">
        <v>175000</v>
      </c>
      <c r="AC23" s="22" t="n"/>
      <c r="AD23" s="22" t="n">
        <v>320000</v>
      </c>
      <c r="AE23" s="22" t="n">
        <v>55000</v>
      </c>
      <c r="AF23" s="22" t="n">
        <v>55000</v>
      </c>
      <c r="AG23" s="22">
        <f>110000+175000</f>
        <v/>
      </c>
      <c r="AH23" s="94">
        <f>SUM(C23:AG23)</f>
        <v/>
      </c>
      <c r="AI23" s="22" t="n">
        <v>105000</v>
      </c>
      <c r="AJ23" s="22" t="n">
        <v>110000</v>
      </c>
      <c r="AK23" s="22" t="n">
        <v>55000</v>
      </c>
      <c r="AL23" s="22" t="n">
        <v>105000</v>
      </c>
      <c r="AN23" s="22" t="n">
        <v>110000</v>
      </c>
      <c r="AO23">
        <f>55000+313000+175000</f>
        <v/>
      </c>
      <c r="AP23" s="22">
        <f>55000+8000</f>
        <v/>
      </c>
      <c r="AQ23" t="n">
        <v>55000</v>
      </c>
      <c r="AR23" t="n">
        <v>220000</v>
      </c>
      <c r="AS23" t="n">
        <v>105000</v>
      </c>
      <c r="AT23" t="n">
        <v>55000</v>
      </c>
      <c r="AU23">
        <f>55000+175000</f>
        <v/>
      </c>
      <c r="AV23">
        <f>210000+55000</f>
        <v/>
      </c>
      <c r="AW23" t="n">
        <v>0</v>
      </c>
      <c r="AX23" t="n">
        <v>55000</v>
      </c>
      <c r="AY23" t="n">
        <v>0</v>
      </c>
      <c r="AZ23" t="n">
        <v>55000</v>
      </c>
      <c r="BB23" t="n">
        <v>55000</v>
      </c>
      <c r="BC23" t="n">
        <v>110000</v>
      </c>
      <c r="BD23" t="n">
        <v>210000</v>
      </c>
      <c r="BE23" t="n">
        <v>55000</v>
      </c>
      <c r="BF23">
        <f>105000+55000</f>
        <v/>
      </c>
      <c r="BG23" t="n">
        <v>210000</v>
      </c>
      <c r="BH23" t="n">
        <v>55000</v>
      </c>
      <c r="BI23" t="n">
        <v>110000</v>
      </c>
      <c r="BJ23">
        <f>105000+55000</f>
        <v/>
      </c>
      <c r="BK23" t="n">
        <v>55000</v>
      </c>
      <c r="BL23">
        <f>55000*5</f>
        <v/>
      </c>
      <c r="BM23" s="97">
        <f>SUM(AI23:BL23)</f>
        <v/>
      </c>
      <c r="BN23" s="97" t="n">
        <v>55000</v>
      </c>
      <c r="BO23" s="97">
        <f>210000+175000</f>
        <v/>
      </c>
      <c r="BP23" s="97" t="n">
        <v>110000</v>
      </c>
      <c r="BQ23" s="97">
        <f>110000+155000+175000</f>
        <v/>
      </c>
      <c r="BR23" s="97" t="n">
        <v>110000</v>
      </c>
      <c r="BS23" s="97" t="n">
        <v>175000</v>
      </c>
      <c r="BT23" s="97">
        <f>55000+210000</f>
        <v/>
      </c>
      <c r="BU23" s="97" t="n"/>
      <c r="BV23" s="97" t="n"/>
      <c r="BW23" s="97" t="n"/>
      <c r="BX23" s="97" t="n"/>
      <c r="BY23" s="97" t="n">
        <v>165000</v>
      </c>
      <c r="BZ23" s="97" t="n">
        <v>55000</v>
      </c>
      <c r="CA23" s="97" t="n">
        <v>110000</v>
      </c>
      <c r="CB23" s="97" t="n">
        <v>105000</v>
      </c>
      <c r="CC23" s="97" t="n">
        <v>175000</v>
      </c>
      <c r="CD23" s="97" t="n">
        <v>55000</v>
      </c>
      <c r="CE23" s="97" t="n"/>
      <c r="CF23" s="97">
        <f>55000+105000</f>
        <v/>
      </c>
      <c r="CG23" s="97">
        <f>110000+105000</f>
        <v/>
      </c>
      <c r="CH23" s="97" t="n">
        <v>110000</v>
      </c>
      <c r="CI23" s="97" t="n">
        <v>165000</v>
      </c>
      <c r="CJ23" s="97" t="n">
        <v>55000</v>
      </c>
      <c r="CK23" s="97" t="n">
        <v>105000</v>
      </c>
      <c r="CL23" s="97">
        <f>105000+55000</f>
        <v/>
      </c>
      <c r="CM23" s="97" t="n">
        <v>110000</v>
      </c>
      <c r="CN23" s="97" t="n">
        <v>27500</v>
      </c>
      <c r="CO23" s="97" t="n">
        <v>210000</v>
      </c>
      <c r="CP23" s="97">
        <f>210000+110000</f>
        <v/>
      </c>
      <c r="CQ23" s="97">
        <f>105000+55000</f>
        <v/>
      </c>
      <c r="CR23" s="97" t="n">
        <v>105000</v>
      </c>
      <c r="CS23" s="111">
        <f>SUM(BN23:CR23)</f>
        <v/>
      </c>
      <c r="CT23" s="97">
        <f>105000+110000</f>
        <v/>
      </c>
      <c r="CU23" s="97" t="n">
        <v>105000</v>
      </c>
      <c r="CV23" s="97" t="n">
        <v>105000</v>
      </c>
      <c r="CW23" s="97">
        <f>105000+110000</f>
        <v/>
      </c>
      <c r="CX23" s="97" t="n">
        <v>110000</v>
      </c>
      <c r="CY23" s="97" t="n"/>
      <c r="CZ23" s="97">
        <f>55000+210000+175000+55000+20000</f>
        <v/>
      </c>
      <c r="DA23" s="97" t="n">
        <v>110000</v>
      </c>
      <c r="DB23" s="97">
        <f>110000+175000</f>
        <v/>
      </c>
      <c r="DC23" s="97" t="n">
        <v>105000</v>
      </c>
      <c r="DD23" s="97" t="n">
        <v>210000</v>
      </c>
      <c r="DE23" s="97" t="n"/>
      <c r="DF23" s="97" t="n"/>
      <c r="DG23" s="97">
        <f>105000+110000</f>
        <v/>
      </c>
      <c r="DH23" s="97">
        <f>210000+55000</f>
        <v/>
      </c>
      <c r="DI23" s="97" t="n"/>
      <c r="DJ23" s="97">
        <f>105000+55000</f>
        <v/>
      </c>
      <c r="DK23" s="97">
        <f>55000+210000</f>
        <v/>
      </c>
      <c r="DL23" s="97">
        <f>105000+55000</f>
        <v/>
      </c>
      <c r="DM23" s="97">
        <f>210000+55000</f>
        <v/>
      </c>
      <c r="DN23" s="97" t="n"/>
      <c r="DO23" s="97" t="n">
        <v>55000</v>
      </c>
      <c r="DP23" s="97" t="n">
        <v>55000</v>
      </c>
      <c r="DQ23" s="97" t="n">
        <v>110000</v>
      </c>
      <c r="DR23" s="97" t="n">
        <v>110000</v>
      </c>
      <c r="DS23" s="97" t="n"/>
      <c r="DT23" s="97">
        <f>110000+105000</f>
        <v/>
      </c>
      <c r="DU23" s="97" t="n">
        <v>210000</v>
      </c>
      <c r="DV23" s="97" t="n">
        <v>55000</v>
      </c>
      <c r="DW23" s="97" t="n">
        <v>275000</v>
      </c>
      <c r="DX23" s="119">
        <f>SUM(CT23:DW23)</f>
        <v/>
      </c>
      <c r="DY23" s="121">
        <f>165000+202500</f>
        <v/>
      </c>
      <c r="DZ23" s="121" t="n">
        <v>55000</v>
      </c>
      <c r="EA23" s="121" t="n">
        <v>165000</v>
      </c>
      <c r="EB23" s="121" t="n">
        <v>110000</v>
      </c>
      <c r="EC23" s="121">
        <f>55000+105000</f>
        <v/>
      </c>
      <c r="ED23" s="121" t="n">
        <v>55000</v>
      </c>
      <c r="EE23" s="121" t="n">
        <v>210000</v>
      </c>
      <c r="EF23" s="121">
        <f>175000+55000</f>
        <v/>
      </c>
      <c r="EG23" s="121">
        <f>55000+105000</f>
        <v/>
      </c>
      <c r="EH23" s="121" t="n">
        <v>105000</v>
      </c>
      <c r="EI23" s="121" t="n">
        <v>165000</v>
      </c>
      <c r="EJ23" s="121">
        <f>55000+105000</f>
        <v/>
      </c>
      <c r="EK23" t="n">
        <v>105000</v>
      </c>
      <c r="EN23">
        <f>210000+110000</f>
        <v/>
      </c>
      <c r="EO23" t="n">
        <v>55000</v>
      </c>
      <c r="EQ23" t="n">
        <v>55000</v>
      </c>
      <c r="ER23">
        <f>110000+105000</f>
        <v/>
      </c>
      <c r="ES23">
        <f>330000+105000+27500</f>
        <v/>
      </c>
      <c r="ET23">
        <f>55000+105000</f>
        <v/>
      </c>
      <c r="EU23">
        <f>275000+105000+175000</f>
        <v/>
      </c>
      <c r="EV23" t="n">
        <v>210000</v>
      </c>
      <c r="EW23">
        <f>165000+105000</f>
        <v/>
      </c>
      <c r="EY23" t="n">
        <v>105000</v>
      </c>
      <c r="EZ23" t="n">
        <v>55000</v>
      </c>
      <c r="FA23">
        <f>55000+210000+245000</f>
        <v/>
      </c>
      <c r="FB23">
        <f>110000+105000</f>
        <v/>
      </c>
      <c r="FC23" t="n">
        <v>110000</v>
      </c>
      <c r="FD23" s="128">
        <f>SUM(DY23:FC23)</f>
        <v/>
      </c>
      <c r="FE23" t="n">
        <v>110000</v>
      </c>
      <c r="FF23">
        <f>165000+210000</f>
        <v/>
      </c>
      <c r="FG23" t="n">
        <v>55000</v>
      </c>
      <c r="FH23">
        <f>165000+210000+175000</f>
        <v/>
      </c>
      <c r="FI23" t="n">
        <v>55000</v>
      </c>
      <c r="FJ23">
        <f>110000+105000+45000+27500</f>
        <v/>
      </c>
      <c r="FK23" t="n">
        <v>110000</v>
      </c>
      <c r="FL23">
        <f>165000+105000</f>
        <v/>
      </c>
      <c r="FM23">
        <f>165000+105000</f>
        <v/>
      </c>
      <c r="FN23" t="n">
        <v>105000</v>
      </c>
      <c r="FO23" t="n">
        <v>0</v>
      </c>
      <c r="FP23">
        <f>55000+105000+27500</f>
        <v/>
      </c>
      <c r="FQ23" t="n">
        <v>165000</v>
      </c>
      <c r="FR23" t="n">
        <v>175000</v>
      </c>
      <c r="FS23" t="n">
        <v>110000</v>
      </c>
      <c r="FT23" t="n">
        <v>210000</v>
      </c>
      <c r="FU23" t="n">
        <v>55000</v>
      </c>
      <c r="FW23" t="n">
        <v>105000</v>
      </c>
      <c r="FX23">
        <f>110000+175000</f>
        <v/>
      </c>
      <c r="FY23">
        <f>55000+105000+175000+398000+45000+26000</f>
        <v/>
      </c>
      <c r="FZ23" t="n">
        <v>55000</v>
      </c>
      <c r="GA23" t="n">
        <v>105000</v>
      </c>
      <c r="GB23">
        <f>105000+55000</f>
        <v/>
      </c>
      <c r="GC23" t="n">
        <v>55000</v>
      </c>
      <c r="GD23" t="n">
        <v>210000</v>
      </c>
      <c r="GE23" t="n">
        <v>105000</v>
      </c>
      <c r="GF23" t="n">
        <v>165000</v>
      </c>
      <c r="GG23" t="n">
        <v>165000</v>
      </c>
      <c r="GI23" t="n">
        <v>175000</v>
      </c>
      <c r="GJ23" s="127">
        <f>SUM(FE23:GI23)</f>
        <v/>
      </c>
      <c r="GK23">
        <f>175000+105000</f>
        <v/>
      </c>
      <c r="GL23" t="n">
        <v>27500</v>
      </c>
      <c r="GM23">
        <f>110000+105000+175000</f>
        <v/>
      </c>
      <c r="GN23">
        <f>110000+210000+27500</f>
        <v/>
      </c>
      <c r="GO23">
        <f>55000+175000+27500</f>
        <v/>
      </c>
      <c r="GP23">
        <f>55000+210000</f>
        <v/>
      </c>
      <c r="GQ23" t="n">
        <v>55000</v>
      </c>
      <c r="GS23">
        <f>55000+105000</f>
        <v/>
      </c>
      <c r="GT23">
        <f>55000+105000</f>
        <v/>
      </c>
      <c r="GU23" t="n">
        <v>110000</v>
      </c>
      <c r="GW23" t="n">
        <v>220000</v>
      </c>
      <c r="GY23">
        <f>55000+175000</f>
        <v/>
      </c>
      <c r="GZ23" t="n">
        <v>110000</v>
      </c>
      <c r="HA23">
        <f>175000+105000</f>
        <v/>
      </c>
      <c r="HB23">
        <f>220000+105000</f>
        <v/>
      </c>
      <c r="HD23" t="n">
        <v>55000</v>
      </c>
      <c r="HE23">
        <f>110000+105000</f>
        <v/>
      </c>
      <c r="HF23">
        <f>55000+105000</f>
        <v/>
      </c>
      <c r="HG23">
        <f>110000+105000</f>
        <v/>
      </c>
      <c r="HH23">
        <f>55000+105000</f>
        <v/>
      </c>
      <c r="HI23" t="n">
        <v>110000</v>
      </c>
      <c r="HJ23">
        <f>55000+245000</f>
        <v/>
      </c>
      <c r="HK23">
        <f>55000+105000</f>
        <v/>
      </c>
      <c r="HM23" t="n">
        <v>110000</v>
      </c>
      <c r="HN23" s="127">
        <f>SUM(GK23:HM23)</f>
        <v/>
      </c>
      <c r="HO23" t="n">
        <v>105000</v>
      </c>
      <c r="HP23" t="n">
        <v>0</v>
      </c>
      <c r="HQ23">
        <f>315000+110000</f>
        <v/>
      </c>
      <c r="HR23" t="n">
        <v>0</v>
      </c>
      <c r="HS23">
        <f>105000+55000</f>
        <v/>
      </c>
      <c r="HT23" t="n">
        <v>0</v>
      </c>
      <c r="HU23" t="n">
        <v>0</v>
      </c>
      <c r="HV23">
        <f>55000+105000+175000</f>
        <v/>
      </c>
      <c r="HW23" t="n">
        <v>110000</v>
      </c>
      <c r="HX23" t="n">
        <v>0</v>
      </c>
      <c r="HY23">
        <f>55000+105000</f>
        <v/>
      </c>
      <c r="HZ23" t="n">
        <v>110000</v>
      </c>
      <c r="IA23" t="n">
        <v>0</v>
      </c>
      <c r="IB23">
        <f>147500+55000+105000</f>
        <v/>
      </c>
      <c r="IC23">
        <f>110000+105000</f>
        <v/>
      </c>
      <c r="ID23" t="n">
        <v>105000</v>
      </c>
      <c r="IE23">
        <f>55000+105000</f>
        <v/>
      </c>
      <c r="IF23" t="n">
        <v>55000</v>
      </c>
      <c r="IG23" t="n">
        <v>105000</v>
      </c>
      <c r="IH23" t="n">
        <v>175000</v>
      </c>
      <c r="II23">
        <f>105000+55000</f>
        <v/>
      </c>
      <c r="IJ23" t="n">
        <v>105000</v>
      </c>
      <c r="IK23">
        <f>55000+202500+105000+175000</f>
        <v/>
      </c>
      <c r="IL23">
        <f>105000+55000</f>
        <v/>
      </c>
      <c r="IM23">
        <f>175000+202500</f>
        <v/>
      </c>
      <c r="IN23" t="n">
        <v>0</v>
      </c>
      <c r="IO23" t="n">
        <v>0</v>
      </c>
      <c r="IP23" t="n">
        <v>175000</v>
      </c>
      <c r="IQ23">
        <f>175000+55000</f>
        <v/>
      </c>
      <c r="IR23">
        <f>55000+45000</f>
        <v/>
      </c>
      <c r="IS23" t="n">
        <v>0</v>
      </c>
      <c r="IT23" s="127">
        <f>SUM(HO23:IS23)</f>
        <v/>
      </c>
      <c r="IU23" t="n">
        <v>55000</v>
      </c>
      <c r="IV23" t="n">
        <v>165000</v>
      </c>
      <c r="IW23" t="n">
        <v>55000</v>
      </c>
      <c r="IX23" t="n">
        <v>165000</v>
      </c>
      <c r="JA23" t="n">
        <v>175000</v>
      </c>
      <c r="JB23" t="n">
        <v>110000</v>
      </c>
      <c r="JC23" t="n">
        <v>55000</v>
      </c>
      <c r="JD23">
        <f>55000+242000+105000</f>
        <v/>
      </c>
      <c r="JE23">
        <f>55000+210000</f>
        <v/>
      </c>
      <c r="JF23" t="n">
        <v>0</v>
      </c>
      <c r="JG23">
        <f>105000+55000</f>
        <v/>
      </c>
      <c r="JH23">
        <f>55000+210000</f>
        <v/>
      </c>
      <c r="JI23">
        <f>55000+482000</f>
        <v/>
      </c>
      <c r="JL23" t="n">
        <v>220000</v>
      </c>
      <c r="JM23">
        <f>55000+105000</f>
        <v/>
      </c>
      <c r="JN23">
        <f>105000+245000</f>
        <v/>
      </c>
      <c r="JO23">
        <f>55000+105000</f>
        <v/>
      </c>
      <c r="JP23" t="n">
        <v>110000</v>
      </c>
      <c r="JQ23">
        <f>55000+105000</f>
        <v/>
      </c>
      <c r="JR23">
        <f>55000+105000+175000</f>
        <v/>
      </c>
      <c r="JS23">
        <f>165000+175000</f>
        <v/>
      </c>
      <c r="JT23" t="n">
        <v>105000</v>
      </c>
      <c r="JU23" t="n">
        <v>105000</v>
      </c>
      <c r="JV23">
        <f>210000+175000</f>
        <v/>
      </c>
      <c r="JW23" t="n">
        <v>110000</v>
      </c>
      <c r="JY23" s="127">
        <f>SUM(IU23:JX23)</f>
        <v/>
      </c>
      <c r="JZ23">
        <f>105000+55000</f>
        <v/>
      </c>
      <c r="KA23">
        <f>210000+220000</f>
        <v/>
      </c>
      <c r="KB23">
        <f>105000+110000</f>
        <v/>
      </c>
      <c r="KC23" t="n">
        <v>0</v>
      </c>
      <c r="KD23" t="n">
        <v>105000</v>
      </c>
      <c r="KE23" t="n">
        <v>0</v>
      </c>
      <c r="KF23">
        <f>105000+110000</f>
        <v/>
      </c>
      <c r="KG23" t="n">
        <v>0</v>
      </c>
      <c r="KH23" t="n">
        <v>165000</v>
      </c>
      <c r="KI23" t="n">
        <v>105000</v>
      </c>
      <c r="KJ23" t="n">
        <v>55000</v>
      </c>
      <c r="KK23" t="n">
        <v>110000</v>
      </c>
      <c r="KL23">
        <f>55000+242000</f>
        <v/>
      </c>
      <c r="KM23" t="n">
        <v>0</v>
      </c>
      <c r="KN23">
        <f>105000+55000</f>
        <v/>
      </c>
      <c r="KO23" t="n">
        <v>110000</v>
      </c>
      <c r="KP23" t="n">
        <v>105000</v>
      </c>
      <c r="KQ23">
        <f>55000+105000</f>
        <v/>
      </c>
      <c r="KR23" t="n">
        <v>0</v>
      </c>
      <c r="KS23" t="n">
        <v>0</v>
      </c>
      <c r="KT23" t="n">
        <v>105000</v>
      </c>
      <c r="KU23">
        <f>105000+55000</f>
        <v/>
      </c>
      <c r="KV23" t="n">
        <v>0</v>
      </c>
      <c r="KW23" t="n">
        <v>0</v>
      </c>
      <c r="KX23">
        <f>55000+105000</f>
        <v/>
      </c>
      <c r="KY23">
        <f>55000+105000</f>
        <v/>
      </c>
      <c r="KZ23">
        <f>105000+55000</f>
        <v/>
      </c>
      <c r="LA23" t="n">
        <v>55000</v>
      </c>
      <c r="LB23" t="n">
        <v>55000</v>
      </c>
      <c r="LC23">
        <f>110000+210000</f>
        <v/>
      </c>
      <c r="LD23" t="n">
        <v>210000</v>
      </c>
      <c r="LE23" s="127">
        <f>SUM(KA23:LD23)</f>
        <v/>
      </c>
      <c r="LF23">
        <f>55000+105000</f>
        <v/>
      </c>
      <c r="LG23" t="n">
        <v>0</v>
      </c>
      <c r="LH23">
        <f>55000+105000</f>
        <v/>
      </c>
      <c r="LI23" t="n">
        <v>0</v>
      </c>
      <c r="LJ23" t="n">
        <v>0</v>
      </c>
      <c r="LK23" t="n">
        <v>0</v>
      </c>
      <c r="LL23" t="n">
        <v>0</v>
      </c>
      <c r="LM23" t="n">
        <v>105000</v>
      </c>
      <c r="LN23">
        <f>110000+105000+175000</f>
        <v/>
      </c>
      <c r="LO23" t="n">
        <v>175000</v>
      </c>
      <c r="LP23" t="n">
        <v>165000</v>
      </c>
      <c r="LQ23" t="n">
        <v>0</v>
      </c>
      <c r="LR23" t="n">
        <v>55000</v>
      </c>
      <c r="LS23">
        <f>53000+102000+175000</f>
        <v/>
      </c>
      <c r="LT23">
        <f>53000+102000</f>
        <v/>
      </c>
      <c r="LU23">
        <f>106000+204000</f>
        <v/>
      </c>
      <c r="LV23">
        <f>106000</f>
        <v/>
      </c>
      <c r="LW23" t="n">
        <v>102000</v>
      </c>
      <c r="LX23" t="n">
        <v>175000</v>
      </c>
      <c r="LY23" t="n">
        <v>175000</v>
      </c>
      <c r="LZ23" t="n">
        <v>102000</v>
      </c>
      <c r="MA23" t="n">
        <v>0</v>
      </c>
      <c r="MB23" t="n">
        <v>0</v>
      </c>
      <c r="MC23" t="n">
        <v>53000</v>
      </c>
      <c r="MD23" t="n">
        <v>0</v>
      </c>
      <c r="ME23" t="n">
        <v>0</v>
      </c>
      <c r="MF23" t="n">
        <v>53000</v>
      </c>
      <c r="MG23">
        <f>53000+102000</f>
        <v/>
      </c>
      <c r="MH23" t="n">
        <v>53000</v>
      </c>
      <c r="MI23">
        <f>53000+102000+175000</f>
        <v/>
      </c>
      <c r="MJ23" s="127">
        <f>SUM(LF23:MI23)</f>
        <v/>
      </c>
      <c r="MK23" t="n">
        <v>102000</v>
      </c>
      <c r="ML23" t="n">
        <v>53000</v>
      </c>
      <c r="MM23">
        <f>102000+53000</f>
        <v/>
      </c>
      <c r="MN23" t="n">
        <v>153000</v>
      </c>
      <c r="MO23">
        <f>53000+102000</f>
        <v/>
      </c>
      <c r="MP23" t="n">
        <v>0</v>
      </c>
      <c r="MQ23">
        <f>106000+102000+36000+17000+15000</f>
        <v/>
      </c>
      <c r="MR23">
        <f>53000+102000</f>
        <v/>
      </c>
      <c r="MS23">
        <f>185000+102000</f>
        <v/>
      </c>
      <c r="MT23" t="n">
        <v>0</v>
      </c>
      <c r="MU23">
        <f>53000+102000</f>
        <v/>
      </c>
      <c r="MV23">
        <f>53000+204000</f>
        <v/>
      </c>
      <c r="MW23">
        <f>106000+102000+17000</f>
        <v/>
      </c>
      <c r="MX23" t="n">
        <v>106000</v>
      </c>
      <c r="MY23" t="n">
        <v>159000</v>
      </c>
      <c r="MZ23" t="n">
        <v>53000</v>
      </c>
      <c r="NA23" t="n">
        <v>0</v>
      </c>
      <c r="NB23" t="n">
        <v>170000</v>
      </c>
      <c r="NC23" t="n">
        <v>106000</v>
      </c>
      <c r="ND23" t="n">
        <v>0</v>
      </c>
      <c r="NE23">
        <f>53000+204000+175000</f>
        <v/>
      </c>
      <c r="NF23" t="n">
        <v>53000</v>
      </c>
      <c r="NG23">
        <f>106000+17000</f>
        <v/>
      </c>
      <c r="NH23">
        <f>106000+102000</f>
        <v/>
      </c>
      <c r="NI23" t="n">
        <v>204000</v>
      </c>
      <c r="NJ23" t="n">
        <v>0</v>
      </c>
      <c r="NK23" t="n">
        <v>106000</v>
      </c>
      <c r="NL23" t="n">
        <v>106000</v>
      </c>
      <c r="NM23" t="n">
        <v>0</v>
      </c>
      <c r="NN23" t="n">
        <v>0</v>
      </c>
      <c r="NO23">
        <f>106000+102000+175000</f>
        <v/>
      </c>
      <c r="NP23" s="127">
        <f>SUM(ML23:NO23)</f>
        <v/>
      </c>
      <c r="NQ23">
        <f>53000+204000</f>
        <v/>
      </c>
      <c r="NR23" t="n">
        <v>0</v>
      </c>
      <c r="NS23" t="n">
        <v>0</v>
      </c>
      <c r="NT23" t="n">
        <v>0</v>
      </c>
      <c r="NU23">
        <f>106000+36000+16000</f>
        <v/>
      </c>
      <c r="NV23" t="n">
        <v>53000</v>
      </c>
      <c r="NW23">
        <f>170000+159000</f>
        <v/>
      </c>
      <c r="NX23" t="n">
        <v>204000</v>
      </c>
      <c r="NY23" t="n">
        <v>53000</v>
      </c>
      <c r="NZ23" t="n">
        <v>102000</v>
      </c>
      <c r="OA23" t="n">
        <v>17000</v>
      </c>
      <c r="OB23" t="n">
        <v>17000</v>
      </c>
      <c r="OC23" t="n">
        <v>106000</v>
      </c>
      <c r="OD23" t="n">
        <v>106000</v>
      </c>
      <c r="OE23" t="n">
        <v>0</v>
      </c>
      <c r="OF23" t="n">
        <v>106000</v>
      </c>
      <c r="OG23" t="n">
        <v>159000</v>
      </c>
      <c r="OH23" t="n">
        <v>159000</v>
      </c>
      <c r="OI23">
        <f>170000+53000+540000</f>
        <v/>
      </c>
      <c r="OJ23" t="n">
        <v>53000</v>
      </c>
      <c r="OK23">
        <f>102000+53000</f>
        <v/>
      </c>
      <c r="OL23">
        <f>53000+102000</f>
        <v/>
      </c>
      <c r="OM23" t="n">
        <v>306000</v>
      </c>
      <c r="ON23" t="n">
        <v>53000</v>
      </c>
      <c r="OO23">
        <f>204000+53000</f>
        <v/>
      </c>
      <c r="OP23" t="n">
        <v>245000</v>
      </c>
      <c r="OQ23">
        <f>159000+102000</f>
        <v/>
      </c>
      <c r="OR23" t="n">
        <v>53000</v>
      </c>
      <c r="OS23" t="n">
        <v>0</v>
      </c>
      <c r="OT23">
        <f>53000+175000</f>
        <v/>
      </c>
      <c r="OU23" t="n">
        <v>0</v>
      </c>
      <c r="OV23" s="127">
        <f>SUM(NR23:OU23)</f>
        <v/>
      </c>
      <c r="OW23">
        <f>53000+102000+175000</f>
        <v/>
      </c>
      <c r="OX23">
        <f>106000+306000+17000</f>
        <v/>
      </c>
      <c r="OY23" t="n">
        <v>53000</v>
      </c>
      <c r="OZ23">
        <f>159000+102000+17000</f>
        <v/>
      </c>
      <c r="PA23" t="n">
        <v>0</v>
      </c>
      <c r="PB23" t="n">
        <v>53000</v>
      </c>
      <c r="PC23" t="n">
        <v>106000</v>
      </c>
      <c r="PD23" t="n">
        <v>0</v>
      </c>
      <c r="PE23" t="n">
        <v>102000</v>
      </c>
      <c r="PF23">
        <f>102000+106000</f>
        <v/>
      </c>
      <c r="PG23" t="n">
        <v>0</v>
      </c>
      <c r="PH23" t="n">
        <v>159000</v>
      </c>
      <c r="PI23">
        <f>53000+102000</f>
        <v/>
      </c>
      <c r="PJ23" t="n">
        <v>0</v>
      </c>
      <c r="PK23">
        <f>53000+175000</f>
        <v/>
      </c>
      <c r="PL23" t="n">
        <v>204000</v>
      </c>
      <c r="PM23" t="n">
        <v>53000</v>
      </c>
      <c r="PN23">
        <f>53000+102000</f>
        <v/>
      </c>
      <c r="PO23">
        <f>106000+102000</f>
        <v/>
      </c>
      <c r="PP23" t="n">
        <v>204000</v>
      </c>
      <c r="PQ23" t="n">
        <v>53000</v>
      </c>
      <c r="PR23">
        <f>53000+102000</f>
        <v/>
      </c>
      <c r="PS23" t="n">
        <v>53000</v>
      </c>
      <c r="PT23" t="n">
        <v>0</v>
      </c>
      <c r="PU23">
        <f>53000+239000+102000</f>
        <v/>
      </c>
      <c r="PV23" t="n">
        <v>53000</v>
      </c>
      <c r="PW23" t="n">
        <v>0</v>
      </c>
      <c r="PX23">
        <f>53000+102000+102000</f>
        <v/>
      </c>
      <c r="PY23" t="n">
        <v>53000</v>
      </c>
      <c r="PZ23" t="n">
        <v>175000</v>
      </c>
      <c r="QA23" s="127">
        <f>SUM(OW23:PZ23)</f>
        <v/>
      </c>
      <c r="QB23" t="n">
        <v>53000</v>
      </c>
      <c r="QC23">
        <f>53000+204000+175000</f>
        <v/>
      </c>
      <c r="QD23" t="n">
        <v>53000</v>
      </c>
      <c r="QE23" t="n">
        <v>53000</v>
      </c>
      <c r="QF23" t="n">
        <v>53000</v>
      </c>
      <c r="QG23" t="n">
        <v>0</v>
      </c>
      <c r="QH23" t="n">
        <v>102000</v>
      </c>
      <c r="QI23" t="n">
        <v>102000</v>
      </c>
      <c r="QJ23" t="n">
        <v>102000</v>
      </c>
      <c r="QK23" t="n">
        <v>102000</v>
      </c>
      <c r="QL23">
        <f>53000+17000+36000</f>
        <v/>
      </c>
      <c r="QM23" t="n">
        <v>102000</v>
      </c>
      <c r="QN23" t="n">
        <v>212000</v>
      </c>
      <c r="QO23">
        <f>53000+102000</f>
        <v/>
      </c>
      <c r="QP23">
        <f>153000+102000</f>
        <v/>
      </c>
      <c r="QQ23" t="n">
        <v>0</v>
      </c>
      <c r="QR23" t="n">
        <v>102000</v>
      </c>
      <c r="QS23">
        <f>306000+106000</f>
        <v/>
      </c>
      <c r="QT23" t="n">
        <v>102000</v>
      </c>
      <c r="QU23">
        <f>102000+106000</f>
        <v/>
      </c>
      <c r="QV23" t="n">
        <v>212000</v>
      </c>
      <c r="QW23" t="n">
        <v>53000</v>
      </c>
      <c r="QX23" t="n">
        <v>0</v>
      </c>
      <c r="QY23" t="n">
        <v>0</v>
      </c>
      <c r="QZ23" t="n">
        <v>102000</v>
      </c>
      <c r="RA23">
        <f>102000+159000</f>
        <v/>
      </c>
      <c r="RB23">
        <f>102000+53000</f>
        <v/>
      </c>
      <c r="RC23" t="n">
        <v>0</v>
      </c>
      <c r="RD23">
        <f>53000+102000</f>
        <v/>
      </c>
      <c r="RE23" t="n">
        <v>53000</v>
      </c>
      <c r="RF23" t="n">
        <v>53000</v>
      </c>
      <c r="RG23" s="127">
        <f>SUM(QC23:RF23)</f>
        <v/>
      </c>
      <c r="RH23">
        <f>53000+102000</f>
        <v/>
      </c>
      <c r="RI23">
        <f>102000+159000+175000</f>
        <v/>
      </c>
      <c r="RJ23" t="n">
        <v>102000</v>
      </c>
      <c r="RK23">
        <f>106000+17000</f>
        <v/>
      </c>
      <c r="RL23">
        <f>53000+102000+36000+16000</f>
        <v/>
      </c>
      <c r="RM23" t="n">
        <v>102000</v>
      </c>
      <c r="RN23">
        <f>204000+106000+17000</f>
        <v/>
      </c>
      <c r="RO23" t="n">
        <v>0</v>
      </c>
      <c r="RP23" t="n">
        <v>0</v>
      </c>
      <c r="RQ23">
        <f>53000+102000+175000</f>
        <v/>
      </c>
      <c r="RR23" t="n">
        <v>0</v>
      </c>
      <c r="RS23">
        <f>53000+245000</f>
        <v/>
      </c>
      <c r="RT23" t="n">
        <v>53000</v>
      </c>
      <c r="RU23">
        <f>53000+53000</f>
        <v/>
      </c>
      <c r="RV23">
        <f>53000+204000</f>
        <v/>
      </c>
      <c r="RW23">
        <f>53000+17000</f>
        <v/>
      </c>
      <c r="RX23" t="n">
        <v>159000</v>
      </c>
      <c r="RY23" t="n">
        <v>0</v>
      </c>
      <c r="RZ23">
        <f>53000+17000</f>
        <v/>
      </c>
      <c r="SA23" t="n">
        <v>102000</v>
      </c>
      <c r="SB23">
        <f>102000+53000</f>
        <v/>
      </c>
      <c r="SC23">
        <f>102000+53000</f>
        <v/>
      </c>
      <c r="SD23" t="n">
        <v>204000</v>
      </c>
      <c r="SE23" t="n">
        <v>102000</v>
      </c>
      <c r="SF23">
        <f>102000+53000</f>
        <v/>
      </c>
      <c r="SG23" t="n">
        <v>53000</v>
      </c>
      <c r="SH23">
        <f>53000+36000</f>
        <v/>
      </c>
      <c r="SI23">
        <f>53000+175000</f>
        <v/>
      </c>
      <c r="SJ23">
        <f>185000+102000</f>
        <v/>
      </c>
      <c r="SK23" t="n">
        <v>0</v>
      </c>
      <c r="SL23" s="127">
        <f>SUM(RH23:SK23)</f>
        <v/>
      </c>
      <c r="SM23" t="n">
        <v>159000</v>
      </c>
      <c r="SN23" t="n">
        <v>53000</v>
      </c>
      <c r="SO23">
        <f>106000+102000</f>
        <v/>
      </c>
      <c r="SP23" t="n">
        <v>53000</v>
      </c>
      <c r="SQ23" t="n">
        <v>106000</v>
      </c>
      <c r="SR23" t="n">
        <v>106000</v>
      </c>
      <c r="SS23" t="n">
        <v>102000</v>
      </c>
      <c r="ST23">
        <f>159000+102000+175000</f>
        <v/>
      </c>
      <c r="SU23">
        <f>159000+102000+175000</f>
        <v/>
      </c>
      <c r="SV23">
        <f>106000+102000</f>
        <v/>
      </c>
      <c r="SW23" t="n">
        <v>102000</v>
      </c>
      <c r="SX23" t="n">
        <v>102000</v>
      </c>
      <c r="SY23" t="n">
        <v>102000</v>
      </c>
      <c r="SZ23" t="n">
        <v>106000</v>
      </c>
      <c r="TA23">
        <f>53000+17000</f>
        <v/>
      </c>
      <c r="TB23">
        <f>106000+199000+175000</f>
        <v/>
      </c>
      <c r="TC23" t="n">
        <v>204000</v>
      </c>
      <c r="TD23" t="n">
        <v>102000</v>
      </c>
      <c r="TE23" t="n">
        <v>53000</v>
      </c>
      <c r="TF23">
        <f>53000+204000</f>
        <v/>
      </c>
      <c r="TG23" t="n">
        <v>150000</v>
      </c>
      <c r="TH23">
        <f>53000+204000</f>
        <v/>
      </c>
      <c r="TI23" t="n">
        <v>53000</v>
      </c>
      <c r="TJ23">
        <f>53000+102000+175000+34000</f>
        <v/>
      </c>
      <c r="TK23">
        <f>106000+102000+175000</f>
        <v/>
      </c>
      <c r="TL23">
        <f>53000+306000+175000</f>
        <v/>
      </c>
      <c r="TM23">
        <f>106000+204000</f>
        <v/>
      </c>
      <c r="TN23" t="n">
        <v>0</v>
      </c>
      <c r="TO23">
        <f>53000+17000</f>
        <v/>
      </c>
      <c r="TP23" t="n">
        <v>0</v>
      </c>
      <c r="TQ23" t="n">
        <v>106000</v>
      </c>
      <c r="TR23" s="127">
        <f>SUM(SM23:TQ23)</f>
        <v/>
      </c>
      <c r="TS23" t="n">
        <v>53000</v>
      </c>
      <c r="TT23" t="n">
        <v>0</v>
      </c>
      <c r="TU23">
        <f>53000+102000</f>
        <v/>
      </c>
      <c r="TV23" t="n">
        <v>0</v>
      </c>
      <c r="TW23">
        <f>106000+204000+17000</f>
        <v/>
      </c>
      <c r="TX23">
        <f>159000+102000</f>
        <v/>
      </c>
      <c r="TY23">
        <f>212000+17000</f>
        <v/>
      </c>
      <c r="TZ23" t="n">
        <v>0</v>
      </c>
      <c r="UA23">
        <f>175000+17000</f>
        <v/>
      </c>
      <c r="UB23" t="n">
        <v>204000</v>
      </c>
      <c r="UC23" t="n">
        <v>0</v>
      </c>
      <c r="UD23">
        <f>212000+204000+175000</f>
        <v/>
      </c>
      <c r="UE23">
        <f>53000+102000+175000</f>
        <v/>
      </c>
      <c r="UF23" t="n">
        <v>102000</v>
      </c>
      <c r="UG23">
        <f>53000+102000</f>
        <v/>
      </c>
      <c r="UH23">
        <f>53000+102000</f>
        <v/>
      </c>
      <c r="UI23">
        <f>159000+539000</f>
        <v/>
      </c>
      <c r="UJ23">
        <f>53000+102000</f>
        <v/>
      </c>
      <c r="UK23">
        <f>53000+102000</f>
        <v/>
      </c>
      <c r="UL23" t="n">
        <v>0</v>
      </c>
      <c r="UM23" t="n">
        <v>102000</v>
      </c>
      <c r="UN23" t="n">
        <v>159000</v>
      </c>
      <c r="UO23" t="n">
        <v>0</v>
      </c>
      <c r="UP23" t="n">
        <v>53000</v>
      </c>
      <c r="UQ23" t="n">
        <v>53000</v>
      </c>
      <c r="UR23" t="n">
        <v>106000</v>
      </c>
      <c r="US23" t="n">
        <v>102000</v>
      </c>
      <c r="UT23" t="n">
        <v>175000</v>
      </c>
      <c r="UU23" t="n">
        <v>0</v>
      </c>
      <c r="UV23" t="n">
        <v>53000</v>
      </c>
      <c r="UW23" t="n">
        <v>53000</v>
      </c>
      <c r="UX23" s="127">
        <f>SUM(TS23:UW23)</f>
        <v/>
      </c>
      <c r="UY23">
        <f>53000+306000</f>
        <v/>
      </c>
      <c r="UZ23">
        <f>106000+204000</f>
        <v/>
      </c>
      <c r="VA23" t="n">
        <v>102000</v>
      </c>
      <c r="VB23" t="n">
        <v>102000</v>
      </c>
      <c r="VC23" t="n">
        <v>53000</v>
      </c>
      <c r="VD23" t="n">
        <v>53000</v>
      </c>
      <c r="VE23" t="n">
        <v>0</v>
      </c>
      <c r="VF23">
        <f>106000+204000</f>
        <v/>
      </c>
      <c r="VG23" t="n">
        <v>106000</v>
      </c>
      <c r="VH23">
        <f>106000+240000</f>
        <v/>
      </c>
      <c r="VI23">
        <f>17000+53000</f>
        <v/>
      </c>
      <c r="VJ23">
        <f>53000+102000+270000</f>
        <v/>
      </c>
      <c r="VK23">
        <f>53000+175000</f>
        <v/>
      </c>
      <c r="VL23" t="n">
        <v>0</v>
      </c>
      <c r="VM23">
        <f>53000+204000+175000</f>
        <v/>
      </c>
      <c r="VN23" t="n">
        <v>53000</v>
      </c>
      <c r="VO23" t="n">
        <v>175000</v>
      </c>
      <c r="VP23" t="n">
        <v>36000</v>
      </c>
      <c r="VQ23" t="n">
        <v>53000</v>
      </c>
      <c r="VR23" t="n">
        <v>106000</v>
      </c>
      <c r="VS23" t="n">
        <v>306000</v>
      </c>
      <c r="VT23">
        <f>53000+150000+30000+102000</f>
        <v/>
      </c>
      <c r="VU23" t="n">
        <v>204000</v>
      </c>
      <c r="VV23" t="n">
        <v>159000</v>
      </c>
      <c r="VW23" t="n">
        <v>0</v>
      </c>
      <c r="VX23" t="n">
        <v>0</v>
      </c>
      <c r="VY23" t="n">
        <v>30000</v>
      </c>
      <c r="VZ23">
        <f>159000+204000</f>
        <v/>
      </c>
      <c r="WA23" s="127">
        <f>SUM(UY23:VZ23)</f>
        <v/>
      </c>
      <c r="WB23">
        <f>102000+106000</f>
        <v/>
      </c>
      <c r="WC23">
        <f>102000+159000+175000+17000</f>
        <v/>
      </c>
      <c r="WD23">
        <f>53000+175000</f>
        <v/>
      </c>
      <c r="WE23">
        <f>106000+102000+175000</f>
        <v/>
      </c>
      <c r="WF23" t="n">
        <v>102000</v>
      </c>
      <c r="WG23" t="n">
        <v>159000</v>
      </c>
      <c r="WH23" t="n">
        <v>175000</v>
      </c>
      <c r="WI23">
        <f>102000+53000</f>
        <v/>
      </c>
      <c r="WJ23" t="n">
        <v>0</v>
      </c>
      <c r="WK23" t="n">
        <v>53000</v>
      </c>
      <c r="WL23" t="n">
        <v>106000</v>
      </c>
      <c r="WM23" t="n">
        <v>106000</v>
      </c>
      <c r="WN23">
        <f>159000+17000</f>
        <v/>
      </c>
      <c r="WO23">
        <f>106000+204000+17000+53000</f>
        <v/>
      </c>
      <c r="WP23" t="n">
        <v>0</v>
      </c>
      <c r="WQ23" t="n">
        <v>150000</v>
      </c>
      <c r="WR23">
        <f>53000+175000</f>
        <v/>
      </c>
      <c r="WS23" t="n">
        <v>17000</v>
      </c>
      <c r="WT23" t="n">
        <v>0</v>
      </c>
      <c r="WU23" t="n">
        <v>0</v>
      </c>
      <c r="WV23" t="n">
        <v>106000</v>
      </c>
      <c r="WW23" t="n">
        <v>53000</v>
      </c>
      <c r="WX23" t="n">
        <v>106000</v>
      </c>
      <c r="WY23" t="n">
        <v>0</v>
      </c>
      <c r="WZ23" t="n">
        <v>0</v>
      </c>
      <c r="XA23">
        <f>106000+204000</f>
        <v/>
      </c>
      <c r="XB23" t="n">
        <v>102000</v>
      </c>
      <c r="XC23">
        <f>53000+175000+53000</f>
        <v/>
      </c>
      <c r="XD23" t="n">
        <v>102000</v>
      </c>
      <c r="XE23">
        <f>204000+240000+53000</f>
        <v/>
      </c>
      <c r="XF23" t="n">
        <v>53000</v>
      </c>
      <c r="XG23" s="127">
        <f>SUM(WB23:XF23)</f>
        <v/>
      </c>
      <c r="XH23" t="n">
        <v>0</v>
      </c>
      <c r="XI23">
        <f>53000+102000+240000</f>
        <v/>
      </c>
      <c r="XJ23" t="n">
        <v>204000</v>
      </c>
      <c r="XK23" t="n">
        <v>0</v>
      </c>
      <c r="XL23" t="n">
        <v>0</v>
      </c>
      <c r="XM23">
        <f>106000+53000+612000</f>
        <v/>
      </c>
      <c r="XN23" t="n">
        <v>53000</v>
      </c>
      <c r="XO23" t="n">
        <v>0</v>
      </c>
      <c r="XP23" t="n">
        <v>53000</v>
      </c>
      <c r="XQ23">
        <f>106000+102000+160000</f>
        <v/>
      </c>
      <c r="XR23" t="n">
        <v>0</v>
      </c>
      <c r="XS23">
        <f>106000+102000</f>
        <v/>
      </c>
      <c r="XT23" t="n">
        <v>106000</v>
      </c>
      <c r="XU23">
        <f>102000+160000</f>
        <v/>
      </c>
      <c r="XV23" t="n">
        <v>102000</v>
      </c>
      <c r="XW23">
        <f>102000+53000</f>
        <v/>
      </c>
      <c r="XX23" t="n">
        <v>53000</v>
      </c>
      <c r="XY23">
        <f>53000+102000</f>
        <v/>
      </c>
      <c r="XZ23" t="n">
        <v>102000</v>
      </c>
      <c r="YA23" t="n">
        <v>0</v>
      </c>
      <c r="YB23" t="n">
        <v>0</v>
      </c>
      <c r="YC23" t="n">
        <v>0</v>
      </c>
      <c r="YD23" t="n">
        <v>0</v>
      </c>
      <c r="YE23" t="n">
        <v>159000</v>
      </c>
      <c r="YF23" t="n">
        <v>53000</v>
      </c>
      <c r="YG23" t="n">
        <v>0</v>
      </c>
      <c r="YH23" t="n">
        <v>0</v>
      </c>
      <c r="YI23" t="n">
        <v>200000</v>
      </c>
      <c r="YJ23">
        <f>53000+204000</f>
        <v/>
      </c>
      <c r="YK23" t="n">
        <v>160000</v>
      </c>
      <c r="YL23" s="127">
        <f>SUM(XH23:YK23)</f>
        <v/>
      </c>
      <c r="YM23">
        <f>53000+17000</f>
        <v/>
      </c>
      <c r="YN23" t="n">
        <v>106000</v>
      </c>
      <c r="YO23" t="n">
        <v>0</v>
      </c>
      <c r="YP23" t="n">
        <v>0</v>
      </c>
      <c r="YQ23" t="n">
        <v>102000</v>
      </c>
      <c r="YR23" t="n">
        <v>0</v>
      </c>
      <c r="YS23" t="n">
        <v>106000</v>
      </c>
      <c r="YT23">
        <f>178000+102000</f>
        <v/>
      </c>
      <c r="YU23" t="n">
        <v>53000</v>
      </c>
      <c r="YV23">
        <f>53000+30000</f>
        <v/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>
        <f>102000+159000</f>
        <v/>
      </c>
      <c r="ZD23" t="n">
        <v>159000</v>
      </c>
      <c r="ZE23" t="n">
        <v>53000</v>
      </c>
      <c r="ZF23">
        <f>102000+160000</f>
        <v/>
      </c>
      <c r="ZG23" t="n">
        <v>102000</v>
      </c>
      <c r="ZH23">
        <f>53000+102000</f>
        <v/>
      </c>
      <c r="ZI23">
        <f>53000+306000</f>
        <v/>
      </c>
      <c r="ZJ23">
        <f>106000+30000</f>
        <v/>
      </c>
      <c r="ZK23" t="n">
        <v>53000</v>
      </c>
      <c r="ZL23" t="n">
        <v>106000</v>
      </c>
      <c r="ZM23">
        <f>53000+160000</f>
        <v/>
      </c>
      <c r="ZN23">
        <f>106000+102000+17000</f>
        <v/>
      </c>
      <c r="ZO23">
        <f>178000+102000</f>
        <v/>
      </c>
      <c r="ZP23">
        <f>53000+102000</f>
        <v/>
      </c>
      <c r="ZQ23" t="n">
        <v>102000</v>
      </c>
      <c r="ZR23" s="127">
        <f>SUM(YM23:ZQ23)</f>
        <v/>
      </c>
      <c r="ZS23">
        <f>102000+53000</f>
        <v/>
      </c>
      <c r="ZT23" t="n">
        <v>102000</v>
      </c>
      <c r="ZU23">
        <f>159000+204000</f>
        <v/>
      </c>
      <c r="ZV23" t="n">
        <v>102000</v>
      </c>
      <c r="ZW23" t="n">
        <v>53000</v>
      </c>
      <c r="ZX23">
        <f>102000+160000</f>
        <v/>
      </c>
      <c r="ZY23">
        <f>102000+53000</f>
        <v/>
      </c>
      <c r="ZZ23">
        <f>102000+53000</f>
        <v/>
      </c>
      <c r="AAA23" t="n">
        <v>200000</v>
      </c>
      <c r="AAB23" t="n">
        <v>212000</v>
      </c>
      <c r="AAC23">
        <f>53000+102000</f>
        <v/>
      </c>
      <c r="AAD23" t="n">
        <v>53000</v>
      </c>
      <c r="AAE23" t="n">
        <v>160000</v>
      </c>
      <c r="AAF23" t="n">
        <v>53000</v>
      </c>
      <c r="AAG23">
        <f>102000+53000</f>
        <v/>
      </c>
      <c r="AAH23" t="n">
        <v>53000</v>
      </c>
      <c r="AAI23" t="n">
        <v>102000</v>
      </c>
      <c r="AAJ23">
        <f>159000+102000</f>
        <v/>
      </c>
      <c r="AAK23" t="n">
        <v>102000</v>
      </c>
      <c r="AAL23" t="n">
        <v>17000</v>
      </c>
      <c r="AAM23" t="n">
        <v>0</v>
      </c>
      <c r="AAN23" t="n">
        <v>53000</v>
      </c>
      <c r="AAO23" t="n">
        <v>102000</v>
      </c>
      <c r="AAP23" t="n">
        <v>0</v>
      </c>
      <c r="AAQ23" t="n">
        <v>102000</v>
      </c>
      <c r="AAR23" t="n">
        <v>102000</v>
      </c>
      <c r="AAS23">
        <f>102000+53000</f>
        <v/>
      </c>
      <c r="AAT23" t="n">
        <v>36000</v>
      </c>
      <c r="AAU23" t="n">
        <v>53000</v>
      </c>
      <c r="AAV23" t="n">
        <v>53000</v>
      </c>
      <c r="AAW23" s="127">
        <f>SUM(ZS23:AAV23)</f>
        <v/>
      </c>
      <c r="AAX23" t="n">
        <v>0</v>
      </c>
      <c r="AAY23" t="n">
        <v>53000</v>
      </c>
      <c r="AAZ23">
        <f>53000+178000+16000</f>
        <v/>
      </c>
      <c r="ABA23" t="n">
        <v>17000</v>
      </c>
      <c r="ABB23">
        <f>53000+102000</f>
        <v/>
      </c>
      <c r="ABC23" t="n">
        <v>0</v>
      </c>
      <c r="ABD23">
        <f>53000+204000</f>
        <v/>
      </c>
      <c r="ABE23">
        <f>204000+160000</f>
        <v/>
      </c>
      <c r="ABF23" t="n">
        <v>106000</v>
      </c>
      <c r="ABG23">
        <f>53000+102000</f>
        <v/>
      </c>
      <c r="ABH23">
        <f>53000+102000</f>
        <v/>
      </c>
      <c r="ABI23" t="n">
        <v>53000</v>
      </c>
      <c r="ABJ23">
        <f>159000+102000+36000</f>
        <v/>
      </c>
      <c r="ABK23" t="n">
        <v>102000</v>
      </c>
      <c r="ABL23" t="n">
        <v>53000</v>
      </c>
      <c r="ABM23" t="n">
        <v>106000</v>
      </c>
      <c r="ABN23">
        <f>34000+15000</f>
        <v/>
      </c>
      <c r="ABO23" t="n">
        <v>15000</v>
      </c>
      <c r="ABP23" t="n">
        <v>53000</v>
      </c>
      <c r="ABQ23" t="n">
        <v>204000</v>
      </c>
      <c r="ABR23" t="n">
        <v>204000</v>
      </c>
      <c r="ABS23" t="n">
        <v>106000</v>
      </c>
      <c r="ABT23">
        <f>106000+204000+36000</f>
        <v/>
      </c>
      <c r="ABU23" t="n">
        <v>53000</v>
      </c>
      <c r="ABV23">
        <f>106000+200000</f>
        <v/>
      </c>
      <c r="ABW23" t="n">
        <v>0</v>
      </c>
      <c r="ABX23" t="n">
        <v>53000</v>
      </c>
      <c r="ABY23" t="n">
        <v>106000</v>
      </c>
      <c r="ABZ23">
        <f>102000+160000</f>
        <v/>
      </c>
      <c r="ACA23" t="n">
        <v>53000</v>
      </c>
      <c r="ACB23" t="n">
        <v>102000</v>
      </c>
      <c r="ACC23" s="127">
        <f>SUM(AAX23:ACB23)</f>
        <v/>
      </c>
      <c r="ACD23">
        <f>106000+204000</f>
        <v/>
      </c>
      <c r="ACE23" t="n">
        <v>0</v>
      </c>
      <c r="ACF23" t="n">
        <v>30000</v>
      </c>
      <c r="ACG23" t="n">
        <v>30000</v>
      </c>
      <c r="ACH23" t="n">
        <v>0</v>
      </c>
      <c r="ACI23" t="n">
        <v>159000</v>
      </c>
      <c r="ACJ23" t="n">
        <v>53000</v>
      </c>
      <c r="ACK23" t="n">
        <v>53000</v>
      </c>
      <c r="ACL23">
        <f>160000+17000</f>
        <v/>
      </c>
      <c r="ACM23" t="n">
        <v>0</v>
      </c>
      <c r="ACN23" t="n">
        <v>160000</v>
      </c>
      <c r="ACO23">
        <f>102000+53000</f>
        <v/>
      </c>
      <c r="ACP23" t="n">
        <v>102000</v>
      </c>
      <c r="ACQ23" t="n">
        <v>0</v>
      </c>
      <c r="ACR23" t="n">
        <v>17000</v>
      </c>
      <c r="ACS23" t="n">
        <v>17000</v>
      </c>
      <c r="ACT23" t="n">
        <v>53000</v>
      </c>
      <c r="ACU23" t="n">
        <v>106000</v>
      </c>
      <c r="ACV23" t="n">
        <v>53000</v>
      </c>
      <c r="ACW23" t="n">
        <v>0</v>
      </c>
      <c r="ACX23" t="n">
        <v>204000</v>
      </c>
      <c r="ACY23" t="n">
        <v>0</v>
      </c>
      <c r="ACZ23" t="n">
        <v>0</v>
      </c>
      <c r="ADA23">
        <f>106000+102000</f>
        <v/>
      </c>
      <c r="ADB23" t="n">
        <v>53000</v>
      </c>
      <c r="ADC23">
        <f>106000+204000</f>
        <v/>
      </c>
      <c r="ADD23">
        <f>106000+160000</f>
        <v/>
      </c>
      <c r="ADE23" t="n">
        <v>53000</v>
      </c>
      <c r="ADF23" t="n">
        <v>160000</v>
      </c>
      <c r="ADG23" t="n">
        <v>53000</v>
      </c>
      <c r="ADH23">
        <f>53000+102000</f>
        <v/>
      </c>
      <c r="ADI23" s="127">
        <f>SUM(ACD23:ADH23)</f>
        <v/>
      </c>
      <c r="ADJ23" t="n">
        <v>53000</v>
      </c>
      <c r="ADK23" t="n">
        <v>53000</v>
      </c>
      <c r="ADL23" t="n">
        <v>102000</v>
      </c>
      <c r="ADM23" t="n">
        <v>0</v>
      </c>
      <c r="ADN23" t="n">
        <v>102000</v>
      </c>
      <c r="ADO23">
        <f>53000+102000+17000</f>
        <v/>
      </c>
      <c r="ADP23">
        <f>53000+30000</f>
        <v/>
      </c>
      <c r="ADQ23">
        <f>159000+34000</f>
        <v/>
      </c>
      <c r="ADR23" t="n">
        <v>0</v>
      </c>
      <c r="ADS23">
        <f>53000+17000</f>
        <v/>
      </c>
      <c r="ADT23" t="n">
        <v>0</v>
      </c>
      <c r="ADU23">
        <f>106000+17000+15000</f>
        <v/>
      </c>
      <c r="ADV23" t="n">
        <v>106000</v>
      </c>
      <c r="ADW23" t="n">
        <v>53000</v>
      </c>
      <c r="ADX23">
        <f>53000+160000</f>
        <v/>
      </c>
      <c r="ADY23">
        <f>53000+102000</f>
        <v/>
      </c>
      <c r="ADZ23">
        <f>159000+17000</f>
        <v/>
      </c>
      <c r="AEA23" t="n">
        <v>53000</v>
      </c>
      <c r="AEB23" t="n">
        <v>34000</v>
      </c>
      <c r="AEC23">
        <f>53000+200000</f>
        <v/>
      </c>
      <c r="AED23" t="n">
        <v>0</v>
      </c>
      <c r="AEE23" t="n">
        <v>53000</v>
      </c>
      <c r="AEF23" t="n">
        <v>53000</v>
      </c>
      <c r="AEG23" t="n">
        <v>0</v>
      </c>
      <c r="AEH23" t="n">
        <v>0</v>
      </c>
      <c r="AEI23" t="n">
        <v>102000</v>
      </c>
      <c r="AEJ23" t="n">
        <v>106000</v>
      </c>
      <c r="AEK23">
        <f>53000+102000</f>
        <v/>
      </c>
      <c r="AEL23" t="n">
        <v>102000</v>
      </c>
      <c r="AEM23">
        <f>53000+102000</f>
        <v/>
      </c>
      <c r="AEN23" s="127">
        <f>SUM(ADJ23:AEM23)</f>
        <v/>
      </c>
      <c r="AEO23">
        <f>53000+102000</f>
        <v/>
      </c>
      <c r="AEP23" t="n">
        <v>0</v>
      </c>
      <c r="AEQ23" t="n">
        <v>0</v>
      </c>
      <c r="AER23" t="n">
        <v>53000</v>
      </c>
      <c r="AES23">
        <f>178000+102000</f>
        <v/>
      </c>
      <c r="AET23" t="n">
        <v>53000</v>
      </c>
      <c r="AEU23" t="n">
        <v>0</v>
      </c>
      <c r="AEV23" t="n">
        <v>102000</v>
      </c>
      <c r="AEW23">
        <f>53000+102000</f>
        <v/>
      </c>
      <c r="AEX23" t="n">
        <v>0</v>
      </c>
      <c r="AEY23" t="n">
        <v>0</v>
      </c>
      <c r="AEZ23" t="n">
        <v>106000</v>
      </c>
      <c r="AFA23" t="n">
        <v>53000</v>
      </c>
      <c r="AFB23">
        <f>53000+102000</f>
        <v/>
      </c>
      <c r="AFC23">
        <f>53000+160000</f>
        <v/>
      </c>
      <c r="AFD23" t="n">
        <v>0</v>
      </c>
      <c r="AFE23" t="n">
        <v>159000</v>
      </c>
      <c r="AFF23" t="n">
        <v>0</v>
      </c>
      <c r="AFG23" t="n">
        <v>102000</v>
      </c>
      <c r="AFH23" t="n">
        <v>106000</v>
      </c>
      <c r="AFI23" t="n">
        <v>102000</v>
      </c>
      <c r="AFJ23" t="n">
        <v>102000</v>
      </c>
      <c r="AFK23" t="n">
        <v>0</v>
      </c>
      <c r="AFL23" t="n">
        <v>0</v>
      </c>
      <c r="AFM23" t="n">
        <v>0</v>
      </c>
      <c r="AFN23" t="n">
        <v>106000</v>
      </c>
      <c r="AFO23">
        <f>106000+102000</f>
        <v/>
      </c>
      <c r="AFP23" t="n">
        <v>102000</v>
      </c>
      <c r="AFQ23">
        <f>53000+102000</f>
        <v/>
      </c>
      <c r="AFR23" t="n">
        <v>16000</v>
      </c>
      <c r="AFS23">
        <f>17000+212000+102000</f>
        <v/>
      </c>
      <c r="AFT23" s="127">
        <f>SUM(AEO23:AFS23)</f>
        <v/>
      </c>
      <c r="AFU23" t="n">
        <v>102000</v>
      </c>
      <c r="AFV23" t="n">
        <v>53000</v>
      </c>
      <c r="AFW23">
        <f>102000+53000</f>
        <v/>
      </c>
      <c r="AFX23" t="n">
        <v>53000</v>
      </c>
      <c r="AFY23" t="n">
        <v>53000</v>
      </c>
      <c r="AFZ23" t="n">
        <v>53000</v>
      </c>
      <c r="AGA23" t="n">
        <v>0</v>
      </c>
      <c r="AGB23" t="n">
        <v>53000</v>
      </c>
      <c r="AGC23">
        <f>53000+102000</f>
        <v/>
      </c>
      <c r="AGD23" t="n">
        <v>53000</v>
      </c>
      <c r="AGE23" t="n">
        <v>0</v>
      </c>
      <c r="AGF23" t="n">
        <v>0</v>
      </c>
      <c r="AGG23">
        <f>53000+204000</f>
        <v/>
      </c>
      <c r="AGH23" t="n">
        <v>0</v>
      </c>
      <c r="AGI23" t="n">
        <v>0</v>
      </c>
      <c r="AGJ23" t="n">
        <v>0</v>
      </c>
      <c r="AGK23" t="n">
        <v>53000</v>
      </c>
      <c r="AGL23" t="n">
        <v>0</v>
      </c>
      <c r="AGM23" t="n">
        <v>0</v>
      </c>
      <c r="AGN23" t="n">
        <v>106000</v>
      </c>
      <c r="AGO23" t="n">
        <v>102000</v>
      </c>
      <c r="AGP23" t="n">
        <v>106000</v>
      </c>
      <c r="AGQ23">
        <f>53000+102000</f>
        <v/>
      </c>
      <c r="AGR23" t="n">
        <v>0</v>
      </c>
      <c r="AGS23" t="n">
        <v>102000</v>
      </c>
      <c r="AGT23">
        <f>102000+17000</f>
        <v/>
      </c>
      <c r="AGU23" t="n">
        <v>53000</v>
      </c>
      <c r="AGV23">
        <f>159000+306000+200000</f>
        <v/>
      </c>
      <c r="AGW23">
        <f>106000+160000</f>
        <v/>
      </c>
      <c r="AGX23" t="n">
        <v>53000</v>
      </c>
      <c r="AGY23" s="127">
        <f>SUM(AFU23:AGX23)</f>
        <v/>
      </c>
      <c r="AGZ23" t="n">
        <v>0</v>
      </c>
      <c r="AHA23">
        <f>106000+204000</f>
        <v/>
      </c>
      <c r="AHB23" t="n">
        <v>0</v>
      </c>
      <c r="AHC23">
        <f>53000+102000</f>
        <v/>
      </c>
      <c r="AHD23" t="n">
        <v>0</v>
      </c>
      <c r="AHE23" s="147" t="n">
        <v>45000</v>
      </c>
      <c r="AHF23" t="n">
        <v>45000</v>
      </c>
      <c r="AHH23" t="n">
        <v>0</v>
      </c>
      <c r="AHI23" t="n">
        <v>285000</v>
      </c>
      <c r="AHJ23" t="n">
        <v>0</v>
      </c>
      <c r="AHK23" t="n">
        <v>45000</v>
      </c>
      <c r="AHL23" t="n">
        <v>0</v>
      </c>
      <c r="AHM23" t="n">
        <v>180000</v>
      </c>
      <c r="AHN23" t="n">
        <v>45000</v>
      </c>
      <c r="AHO23" t="n">
        <v>0</v>
      </c>
      <c r="AHP23" t="n">
        <v>135000</v>
      </c>
      <c r="AHQ23" t="n">
        <v>0</v>
      </c>
      <c r="AHR23">
        <f>45000+150000</f>
        <v/>
      </c>
      <c r="AHS23">
        <f>135000+95000</f>
        <v/>
      </c>
      <c r="AHT23" t="n">
        <v>190000</v>
      </c>
      <c r="AHU23" t="n">
        <v>90000</v>
      </c>
      <c r="AHV23">
        <f>45000+280000+95000</f>
        <v/>
      </c>
      <c r="AHW23">
        <f>135000+170000+17000</f>
        <v/>
      </c>
      <c r="AHX23">
        <f>45000+95000</f>
        <v/>
      </c>
      <c r="AHY23" t="n">
        <v>0</v>
      </c>
      <c r="AHZ23" t="n">
        <v>45000</v>
      </c>
      <c r="AIA23" t="n">
        <v>90000</v>
      </c>
      <c r="AIB23" t="n">
        <v>45000</v>
      </c>
      <c r="AIC23">
        <f>45000+95000</f>
        <v/>
      </c>
      <c r="AID23" t="n">
        <v>0</v>
      </c>
      <c r="AIE23" s="127">
        <f>SUM(AGZ23:AID23)</f>
        <v/>
      </c>
      <c r="AIF23" t="n">
        <v>90000</v>
      </c>
      <c r="AIG23" t="n">
        <v>45000</v>
      </c>
      <c r="AIH23">
        <f>45000+17000</f>
        <v/>
      </c>
      <c r="AII23" t="n">
        <v>0</v>
      </c>
      <c r="AIJ23">
        <f>90000+190000</f>
        <v/>
      </c>
      <c r="AIK23">
        <f>45000+150000</f>
        <v/>
      </c>
      <c r="AIL23" t="n">
        <v>0</v>
      </c>
      <c r="AIM23" t="n">
        <v>0</v>
      </c>
      <c r="AIN23" t="n">
        <v>90000</v>
      </c>
      <c r="AIO23" t="n">
        <v>45000</v>
      </c>
      <c r="AIP23" t="n">
        <v>45000</v>
      </c>
      <c r="AIQ23" t="n">
        <v>45000</v>
      </c>
      <c r="AIR23">
        <f>190000+150000</f>
        <v/>
      </c>
      <c r="AIS23" t="n">
        <v>95000</v>
      </c>
      <c r="AIT23" t="n">
        <v>90000</v>
      </c>
      <c r="AIU23" t="n">
        <v>0</v>
      </c>
      <c r="AIV23">
        <f>45000+185000</f>
        <v/>
      </c>
      <c r="AIW23" t="n">
        <v>90000</v>
      </c>
      <c r="AIX23" t="n">
        <v>95000</v>
      </c>
      <c r="AIY23">
        <f>150000+45000</f>
        <v/>
      </c>
      <c r="AIZ23">
        <f>135000+17000</f>
        <v/>
      </c>
      <c r="AJA23" t="n">
        <v>0</v>
      </c>
      <c r="AJB23" t="n">
        <v>0</v>
      </c>
      <c r="AJC23" t="n">
        <v>95000</v>
      </c>
      <c r="AJD23" t="n">
        <v>90000</v>
      </c>
      <c r="AJE23" t="n">
        <v>0</v>
      </c>
      <c r="AJF23" t="n">
        <v>45000</v>
      </c>
      <c r="AJG23">
        <f>45000+190000+17000</f>
        <v/>
      </c>
      <c r="AJH23" t="n">
        <v>90000</v>
      </c>
      <c r="AJI23" t="n">
        <v>45000</v>
      </c>
      <c r="AJJ23" t="n">
        <v>90000</v>
      </c>
      <c r="AJK23" s="127">
        <f>SUM(AIF23:AJJ23)</f>
        <v/>
      </c>
      <c r="AJL23">
        <f>53000+204000</f>
        <v/>
      </c>
      <c r="AJM23" t="n">
        <v>106000</v>
      </c>
      <c r="AJN23" t="n">
        <v>53000</v>
      </c>
      <c r="AJO23">
        <f>53000+160000</f>
        <v/>
      </c>
      <c r="AJP23" t="n">
        <v>0</v>
      </c>
      <c r="AJQ23" t="n">
        <v>102000</v>
      </c>
      <c r="AJR23" t="n">
        <v>106000</v>
      </c>
      <c r="AJS23">
        <f>106000+102000</f>
        <v/>
      </c>
      <c r="AJT23" t="n">
        <v>53000</v>
      </c>
      <c r="AJU23" t="n">
        <v>106000</v>
      </c>
      <c r="AJV23" t="n">
        <v>0</v>
      </c>
      <c r="AJW23">
        <f>53000+102000</f>
        <v/>
      </c>
      <c r="AJX23" t="n">
        <v>106000</v>
      </c>
      <c r="AJY23">
        <f>106000+204000</f>
        <v/>
      </c>
      <c r="AJZ23" t="n">
        <v>0</v>
      </c>
      <c r="AKA23">
        <f>102000+160000</f>
        <v/>
      </c>
      <c r="AKB23" t="n">
        <v>53000</v>
      </c>
      <c r="AKC23" t="n">
        <v>102000</v>
      </c>
      <c r="AKD23">
        <f>53000+102000</f>
        <v/>
      </c>
      <c r="AKE23" t="n">
        <v>0</v>
      </c>
      <c r="AKF23" t="n">
        <v>53000</v>
      </c>
      <c r="AKG23" t="n">
        <v>106000</v>
      </c>
      <c r="AKH23">
        <f>102000+160000</f>
        <v/>
      </c>
      <c r="AKI23" t="n">
        <v>0</v>
      </c>
      <c r="AKJ23" t="n">
        <v>102000</v>
      </c>
      <c r="AKK23" t="n">
        <v>0</v>
      </c>
      <c r="AKL23">
        <f>106000+17000</f>
        <v/>
      </c>
      <c r="AKM23" t="n">
        <v>53000</v>
      </c>
      <c r="AKN23" s="127">
        <f>SUM(AJL23:AKM23)</f>
        <v/>
      </c>
      <c r="AKO23" t="n">
        <v>0</v>
      </c>
      <c r="AKP23" t="n">
        <v>24000</v>
      </c>
      <c r="AKQ23" t="n">
        <v>0</v>
      </c>
      <c r="AKR23" t="n">
        <v>53000</v>
      </c>
      <c r="AKS23" t="n">
        <v>106000</v>
      </c>
      <c r="AKT23" t="n">
        <v>53000</v>
      </c>
      <c r="AKU23">
        <f>53000+102000</f>
        <v/>
      </c>
      <c r="AKV23">
        <f>53000+102000</f>
        <v/>
      </c>
      <c r="AKW23" t="n">
        <v>0</v>
      </c>
      <c r="AKX23" t="n">
        <v>106000</v>
      </c>
      <c r="AKY23">
        <f>53000+200000</f>
        <v/>
      </c>
      <c r="AKZ23" t="n">
        <v>53000</v>
      </c>
      <c r="ALA23" t="n">
        <v>53000</v>
      </c>
      <c r="ALB23" t="n">
        <v>102000</v>
      </c>
      <c r="ALC23" t="n">
        <v>160000</v>
      </c>
      <c r="ALD23" t="n">
        <v>0</v>
      </c>
      <c r="ALE23" t="n">
        <v>102000</v>
      </c>
      <c r="ALF23" t="n">
        <v>8000</v>
      </c>
      <c r="ALG23" t="n">
        <v>102000</v>
      </c>
      <c r="ALH23">
        <f>159000+17000</f>
        <v/>
      </c>
      <c r="ALI23" t="n">
        <v>102000</v>
      </c>
      <c r="ALJ23" t="n">
        <v>53000</v>
      </c>
      <c r="ALK23" t="n">
        <v>53000</v>
      </c>
      <c r="ALL23" t="n">
        <v>102000</v>
      </c>
      <c r="ALM23" t="n">
        <v>106000</v>
      </c>
      <c r="ALN23" t="n">
        <v>34000</v>
      </c>
      <c r="ALO23" t="n">
        <v>102000</v>
      </c>
      <c r="ALP23" t="n">
        <v>106000</v>
      </c>
      <c r="ALQ23">
        <f>106000+102000</f>
        <v/>
      </c>
      <c r="ALR23" t="n">
        <v>0</v>
      </c>
      <c r="ALS23" t="n">
        <v>102000</v>
      </c>
      <c r="ALT23" s="127">
        <f>SUM(AKO23:ALS23)</f>
        <v/>
      </c>
      <c r="ALU23" t="n">
        <v>53000</v>
      </c>
      <c r="ALV23" t="n">
        <v>0</v>
      </c>
      <c r="ALW23" t="n">
        <v>0</v>
      </c>
      <c r="ALX23">
        <f>106000+102000+160000</f>
        <v/>
      </c>
      <c r="ALY23">
        <f>106000+204000</f>
        <v/>
      </c>
      <c r="ALZ23">
        <f>106000+204000+160000</f>
        <v/>
      </c>
      <c r="AMA23" t="n">
        <v>106000</v>
      </c>
      <c r="AMB23">
        <f>95000+200000</f>
        <v/>
      </c>
      <c r="AMC23" t="n">
        <v>0</v>
      </c>
      <c r="AMD23" t="n">
        <v>0</v>
      </c>
      <c r="AME23" t="n">
        <v>53000</v>
      </c>
      <c r="AMF23" t="n">
        <v>0</v>
      </c>
      <c r="AMG23" t="n">
        <v>106000</v>
      </c>
      <c r="AMH23">
        <f>106000+102000</f>
        <v/>
      </c>
      <c r="AMI23" t="n">
        <v>112000</v>
      </c>
      <c r="AMJ23">
        <f>60000+95000+224000</f>
        <v/>
      </c>
      <c r="AMK23" t="n">
        <v>0</v>
      </c>
      <c r="AML23" t="n">
        <v>112000</v>
      </c>
      <c r="AMM23" t="n">
        <v>224000</v>
      </c>
      <c r="AMN23" t="n">
        <v>60000</v>
      </c>
      <c r="AMO23">
        <f>120000+30000+17000</f>
        <v/>
      </c>
      <c r="AMP23">
        <f>180000+112000</f>
        <v/>
      </c>
      <c r="AMQ23">
        <f>112000+60000</f>
        <v/>
      </c>
      <c r="AMR23" t="n">
        <v>60000</v>
      </c>
      <c r="AMS23" t="n">
        <v>0</v>
      </c>
      <c r="AMT23" t="n">
        <v>0</v>
      </c>
      <c r="AMU23" t="n">
        <v>0</v>
      </c>
      <c r="AMV23" t="n">
        <v>0</v>
      </c>
      <c r="AMW23" t="n">
        <v>180000</v>
      </c>
      <c r="AMX23">
        <f>120000+112000</f>
        <v/>
      </c>
      <c r="AMY23" s="127">
        <f>SUM(ALU23:AMX23)</f>
        <v/>
      </c>
      <c r="AMZ23" t="n">
        <v>0</v>
      </c>
      <c r="ANA23" t="n">
        <v>120000</v>
      </c>
      <c r="ANB23" t="n">
        <v>112000</v>
      </c>
      <c r="ANC23" t="n">
        <v>60000</v>
      </c>
      <c r="AND23" t="n">
        <v>112000</v>
      </c>
      <c r="ANE23" t="n">
        <v>240000</v>
      </c>
      <c r="ANF23" t="n">
        <v>0</v>
      </c>
      <c r="ANG23" t="n">
        <v>0</v>
      </c>
      <c r="ANH23" t="n">
        <v>17000</v>
      </c>
      <c r="ANI23" t="n">
        <v>180000</v>
      </c>
      <c r="ANJ23">
        <f>60000+17000</f>
        <v/>
      </c>
      <c r="ANK23" t="n">
        <v>0</v>
      </c>
      <c r="ANL23" t="n">
        <v>225000</v>
      </c>
      <c r="ANM23" t="n">
        <v>448000</v>
      </c>
      <c r="ANN23" t="n">
        <v>112000</v>
      </c>
      <c r="ANO23" t="n">
        <v>60000</v>
      </c>
      <c r="ANP23" t="n">
        <v>60000</v>
      </c>
      <c r="ANQ23" t="n">
        <v>60000</v>
      </c>
      <c r="ANR23" t="n">
        <v>0</v>
      </c>
      <c r="ANS23" t="n">
        <v>0</v>
      </c>
      <c r="ANT23" t="n">
        <v>0</v>
      </c>
      <c r="ANU23" t="n">
        <v>0</v>
      </c>
      <c r="ANV23" t="n">
        <v>112000</v>
      </c>
      <c r="ANW23" t="n">
        <v>60000</v>
      </c>
      <c r="ANX23">
        <f>60000+17000</f>
        <v/>
      </c>
      <c r="ANY23" t="n">
        <v>360000</v>
      </c>
      <c r="ANZ23">
        <f>60000+224000</f>
        <v/>
      </c>
      <c r="AOA23" t="n">
        <v>224000</v>
      </c>
      <c r="AOB23" t="n">
        <v>0</v>
      </c>
      <c r="AOC23" t="n">
        <v>0</v>
      </c>
    </row>
    <row r="24">
      <c r="B24" s="25" t="inlineStr">
        <is>
          <t>TOTAL</t>
        </is>
      </c>
      <c r="C24" s="26">
        <f>SUM(C19:C23)</f>
        <v/>
      </c>
      <c r="D24" s="26">
        <f>SUM(D19:D23)</f>
        <v/>
      </c>
      <c r="E24" s="26">
        <f>SUM(E19:E23)</f>
        <v/>
      </c>
      <c r="F24" s="26">
        <f>SUM(F19:F23)</f>
        <v/>
      </c>
      <c r="G24" s="26">
        <f>SUM(G19:G23)</f>
        <v/>
      </c>
      <c r="H24" s="26">
        <f>SUM(H19:H23)</f>
        <v/>
      </c>
      <c r="I24" s="26">
        <f>SUM(I19:I23)</f>
        <v/>
      </c>
      <c r="J24" s="26">
        <f>SUM(J19:J23)</f>
        <v/>
      </c>
      <c r="K24" s="26">
        <f>SUM(K19:K23)</f>
        <v/>
      </c>
      <c r="L24" s="26">
        <f>SUM(L19:L23)</f>
        <v/>
      </c>
      <c r="M24" s="26">
        <f>SUM(M19:M23)</f>
        <v/>
      </c>
      <c r="N24" s="26">
        <f>SUM(N19:N23)</f>
        <v/>
      </c>
      <c r="O24" s="26">
        <f>SUM(O19:O23)</f>
        <v/>
      </c>
      <c r="P24" s="26">
        <f>SUM(P19:P23)</f>
        <v/>
      </c>
      <c r="Q24" s="26">
        <f>SUM(Q19:Q23)</f>
        <v/>
      </c>
      <c r="R24" s="26">
        <f>SUM(R19:R23)</f>
        <v/>
      </c>
      <c r="S24" s="26">
        <f>SUM(S19:S23)</f>
        <v/>
      </c>
      <c r="T24" s="26">
        <f>SUM(T19:T23)</f>
        <v/>
      </c>
      <c r="U24" s="26">
        <f>SUM(U19:U23)</f>
        <v/>
      </c>
      <c r="V24" s="26">
        <f>SUM(V19:V23)</f>
        <v/>
      </c>
      <c r="W24" s="26">
        <f>SUM(W19:W23)</f>
        <v/>
      </c>
      <c r="X24" s="26">
        <f>SUM(X19:X23)</f>
        <v/>
      </c>
      <c r="Y24" s="26">
        <f>SUM(Y19:Y23)</f>
        <v/>
      </c>
      <c r="Z24" s="26">
        <f>SUM(Z19:Z23)</f>
        <v/>
      </c>
      <c r="AA24" s="26">
        <f>SUM(AA19:AA23)</f>
        <v/>
      </c>
      <c r="AB24" s="26">
        <f>SUM(AB19:AB23)</f>
        <v/>
      </c>
      <c r="AC24" s="26">
        <f>SUM(AC19:AC23)</f>
        <v/>
      </c>
      <c r="AD24" s="26">
        <f>SUM(AD19:AD23)</f>
        <v/>
      </c>
      <c r="AE24" s="26">
        <f>SUM(AE19:AE23)</f>
        <v/>
      </c>
      <c r="AF24" s="26">
        <f>SUM(AF19:AF23)</f>
        <v/>
      </c>
      <c r="AG24" s="26">
        <f>SUM(AG19:AG23)</f>
        <v/>
      </c>
      <c r="AH24" s="94">
        <f>SUM(C24:AG24)</f>
        <v/>
      </c>
      <c r="AI24" s="26">
        <f>SUM(AI19:AI23)</f>
        <v/>
      </c>
      <c r="AJ24" s="26">
        <f>SUM(AJ19:AJ23)</f>
        <v/>
      </c>
      <c r="AK24" s="26">
        <f>SUM(AK19:AK23)</f>
        <v/>
      </c>
      <c r="AL24" s="26">
        <f>SUM(AL19:AL23)</f>
        <v/>
      </c>
      <c r="AM24" s="26">
        <f>SUM(AM19:AM23)</f>
        <v/>
      </c>
      <c r="AN24" s="26">
        <f>SUM(AN19:AN23)</f>
        <v/>
      </c>
      <c r="AO24" s="26">
        <f>SUM(AO19:AO23)</f>
        <v/>
      </c>
      <c r="AP24" s="26">
        <f>SUM(AP19:AP23)</f>
        <v/>
      </c>
      <c r="AQ24" s="26">
        <f>SUM(AQ19:AQ23)</f>
        <v/>
      </c>
      <c r="AR24" s="26">
        <f>SUM(AR19:AR23)</f>
        <v/>
      </c>
      <c r="AS24" s="26">
        <f>SUM(AS19:AS23)</f>
        <v/>
      </c>
      <c r="AT24" s="26">
        <f>SUM(AT19:AT23)</f>
        <v/>
      </c>
      <c r="AU24" s="26">
        <f>SUM(AU19:AU23)</f>
        <v/>
      </c>
      <c r="AV24" s="26">
        <f>SUM(AV19:AV23)</f>
        <v/>
      </c>
      <c r="AW24" s="26">
        <f>SUM(AW19:AW23)</f>
        <v/>
      </c>
      <c r="AX24" s="26">
        <f>SUM(AX19:AX23)</f>
        <v/>
      </c>
      <c r="AY24" s="26">
        <f>SUM(AY19:AY23)</f>
        <v/>
      </c>
      <c r="AZ24" s="26">
        <f>SUM(AZ19:AZ23)</f>
        <v/>
      </c>
      <c r="BA24" s="26">
        <f>SUM(BA19:BA23)</f>
        <v/>
      </c>
      <c r="BB24" s="26">
        <f>SUM(BB19:BB23)</f>
        <v/>
      </c>
      <c r="BC24" s="26">
        <f>SUM(BC19:BC23)</f>
        <v/>
      </c>
      <c r="BD24" s="26">
        <f>SUM(BD19:BD23)</f>
        <v/>
      </c>
      <c r="BE24" s="26">
        <f>SUM(BE19:BE23)</f>
        <v/>
      </c>
      <c r="BF24" s="26">
        <f>SUM(BF19:BF23)</f>
        <v/>
      </c>
      <c r="BG24" s="26">
        <f>SUM(BG19:BG23)</f>
        <v/>
      </c>
      <c r="BH24" s="26">
        <f>SUM(BH19:BH23)</f>
        <v/>
      </c>
      <c r="BI24" s="26">
        <f>SUM(BI19:BI23)</f>
        <v/>
      </c>
      <c r="BJ24" s="26">
        <f>SUM(BJ19:BJ23)</f>
        <v/>
      </c>
      <c r="BK24" s="26">
        <f>SUM(BK19:BK23)</f>
        <v/>
      </c>
      <c r="BL24" s="26">
        <f>SUM(BL19:BL23)</f>
        <v/>
      </c>
      <c r="BM24" s="97">
        <f>SUM(AI24:BL24)</f>
        <v/>
      </c>
      <c r="BN24" s="26">
        <f>SUM(BN19:BN23)</f>
        <v/>
      </c>
      <c r="BO24" s="26">
        <f>SUM(BO19:BO23)</f>
        <v/>
      </c>
      <c r="BP24" s="26">
        <f>SUM(BP19:BP23)</f>
        <v/>
      </c>
      <c r="BQ24" s="26">
        <f>SUM(BQ19:BQ23)</f>
        <v/>
      </c>
      <c r="BR24" s="26">
        <f>SUM(BR19:BR23)</f>
        <v/>
      </c>
      <c r="BS24" s="26">
        <f>SUM(BS19:BS23)</f>
        <v/>
      </c>
      <c r="BT24" s="26">
        <f>SUM(BT19:BT23)</f>
        <v/>
      </c>
      <c r="BU24" s="26">
        <f>SUM(BU19:BU23)</f>
        <v/>
      </c>
      <c r="BV24" s="26">
        <f>SUM(BV19:BV23)</f>
        <v/>
      </c>
      <c r="BW24" s="26">
        <f>SUM(BW19:BW23)</f>
        <v/>
      </c>
      <c r="BX24" s="26">
        <f>SUM(BX19:BX23)</f>
        <v/>
      </c>
      <c r="BY24" s="26">
        <f>SUM(BY19:BY23)</f>
        <v/>
      </c>
      <c r="BZ24" s="26">
        <f>SUM(BZ19:BZ23)</f>
        <v/>
      </c>
      <c r="CA24" s="26">
        <f>SUM(CA19:CA23)</f>
        <v/>
      </c>
      <c r="CB24" s="26">
        <f>SUM(CB19:CB23)</f>
        <v/>
      </c>
      <c r="CC24" s="26">
        <f>SUM(CC19:CC23)</f>
        <v/>
      </c>
      <c r="CD24" s="26">
        <f>SUM(CD19:CD23)</f>
        <v/>
      </c>
      <c r="CE24" s="26">
        <f>SUM(CE19:CE23)</f>
        <v/>
      </c>
      <c r="CF24" s="26">
        <f>SUM(CF19:CF23)</f>
        <v/>
      </c>
      <c r="CG24" s="26">
        <f>SUM(CG19:CG23)</f>
        <v/>
      </c>
      <c r="CH24" s="26">
        <f>SUM(CH19:CH23)</f>
        <v/>
      </c>
      <c r="CI24" s="26">
        <f>SUM(CI19:CI23)</f>
        <v/>
      </c>
      <c r="CJ24" s="26">
        <f>SUM(CJ19:CJ23)</f>
        <v/>
      </c>
      <c r="CK24" s="26">
        <f>SUM(CK19:CK23)</f>
        <v/>
      </c>
      <c r="CL24" s="26">
        <f>SUM(CL19:CL23)</f>
        <v/>
      </c>
      <c r="CM24" s="26">
        <f>SUM(CM19:CM23)</f>
        <v/>
      </c>
      <c r="CN24" s="26">
        <f>SUM(CN19:CN23)</f>
        <v/>
      </c>
      <c r="CO24" s="26">
        <f>SUM(CO19:CO23)</f>
        <v/>
      </c>
      <c r="CP24" s="26">
        <f>SUM(CP19:CP23)</f>
        <v/>
      </c>
      <c r="CQ24" s="26">
        <f>SUM(CQ19:CQ23)</f>
        <v/>
      </c>
      <c r="CR24" s="26">
        <f>SUM(CR19:CR23)</f>
        <v/>
      </c>
      <c r="CS24" s="111">
        <f>SUM(BN24:CR24)</f>
        <v/>
      </c>
      <c r="CT24" s="26">
        <f>SUM(CT19:CT23)</f>
        <v/>
      </c>
      <c r="CU24" s="26">
        <f>SUM(CU19:CU23)</f>
        <v/>
      </c>
      <c r="CV24" s="26">
        <f>SUM(CV19:CV23)</f>
        <v/>
      </c>
      <c r="CW24" s="26">
        <f>SUM(CW19:CW23)</f>
        <v/>
      </c>
      <c r="CX24" s="26">
        <f>SUM(CX19:CX23)</f>
        <v/>
      </c>
      <c r="CY24" s="26">
        <f>SUM(CY19:CY23)</f>
        <v/>
      </c>
      <c r="CZ24" s="26">
        <f>SUM(CZ19:CZ23)</f>
        <v/>
      </c>
      <c r="DA24" s="26">
        <f>SUM(DA19:DA23)</f>
        <v/>
      </c>
      <c r="DB24" s="26">
        <f>SUM(DB19:DB23)</f>
        <v/>
      </c>
      <c r="DC24" s="26">
        <f>SUM(DC19:DC23)</f>
        <v/>
      </c>
      <c r="DD24" s="26">
        <f>SUM(DD19:DD23)</f>
        <v/>
      </c>
      <c r="DE24" s="26">
        <f>SUM(DE19:DE23)</f>
        <v/>
      </c>
      <c r="DF24" s="26">
        <f>SUM(DF19:DF23)</f>
        <v/>
      </c>
      <c r="DG24" s="26">
        <f>SUM(DG19:DG23)</f>
        <v/>
      </c>
      <c r="DH24" s="26">
        <f>SUM(DH19:DH23)</f>
        <v/>
      </c>
      <c r="DI24" s="26">
        <f>SUM(DI19:DI23)</f>
        <v/>
      </c>
      <c r="DJ24" s="26">
        <f>SUM(DJ19:DJ23)</f>
        <v/>
      </c>
      <c r="DK24" s="26">
        <f>SUM(DK19:DK23)</f>
        <v/>
      </c>
      <c r="DL24" s="26">
        <f>SUM(DL19:DL23)</f>
        <v/>
      </c>
      <c r="DM24" s="26">
        <f>SUM(DM19:DM23)</f>
        <v/>
      </c>
      <c r="DN24" s="26">
        <f>SUM(DN19:DN23)</f>
        <v/>
      </c>
      <c r="DO24" s="26">
        <f>SUM(DO19:DO23)</f>
        <v/>
      </c>
      <c r="DP24" s="26">
        <f>SUM(DP19:DP23)</f>
        <v/>
      </c>
      <c r="DQ24" s="26">
        <f>SUM(DQ19:DQ23)</f>
        <v/>
      </c>
      <c r="DR24" s="26">
        <f>SUM(DR19:DR23)</f>
        <v/>
      </c>
      <c r="DS24" s="26">
        <f>SUM(DS19:DS23)</f>
        <v/>
      </c>
      <c r="DT24" s="26">
        <f>SUM(DT19:DT23)</f>
        <v/>
      </c>
      <c r="DU24" s="26">
        <f>SUM(DU19:DU23)</f>
        <v/>
      </c>
      <c r="DV24" s="26">
        <f>SUM(DV19:DV23)</f>
        <v/>
      </c>
      <c r="DW24" s="26">
        <f>SUM(DW19:DW23)</f>
        <v/>
      </c>
      <c r="DX24" s="119">
        <f>SUM(CT24:DW24)</f>
        <v/>
      </c>
      <c r="DY24" s="26">
        <f>SUM(DY19:DY23)</f>
        <v/>
      </c>
      <c r="DZ24" s="26">
        <f>SUM(DZ19:DZ23)</f>
        <v/>
      </c>
      <c r="EA24" s="26">
        <f>SUM(EA19:EA23)</f>
        <v/>
      </c>
      <c r="EB24" s="26">
        <f>SUM(EB19:EB23)</f>
        <v/>
      </c>
      <c r="EC24" s="26">
        <f>SUM(EC19:EC23)</f>
        <v/>
      </c>
      <c r="ED24" s="26">
        <f>SUM(ED19:ED23)</f>
        <v/>
      </c>
      <c r="EE24" s="26">
        <f>SUM(EE19:EE23)</f>
        <v/>
      </c>
      <c r="EF24" s="26">
        <f>SUM(EF19:EF23)</f>
        <v/>
      </c>
      <c r="EG24" s="26">
        <f>SUM(EG19:EG23)</f>
        <v/>
      </c>
      <c r="EH24" s="26">
        <f>SUM(EH19:EH23)</f>
        <v/>
      </c>
      <c r="EI24" s="26">
        <f>SUM(EI19:EI23)</f>
        <v/>
      </c>
      <c r="EJ24" s="26">
        <f>SUM(EJ19:EJ23)</f>
        <v/>
      </c>
      <c r="EK24" s="26">
        <f>SUM(EK19:EK23)</f>
        <v/>
      </c>
      <c r="EL24" s="26">
        <f>SUM(EL19:EL23)</f>
        <v/>
      </c>
      <c r="EM24" s="26">
        <f>SUM(EM19:EM23)</f>
        <v/>
      </c>
      <c r="EN24" s="26">
        <f>SUM(EN19:EN23)</f>
        <v/>
      </c>
      <c r="EO24" s="26">
        <f>SUM(EO19:EO23)</f>
        <v/>
      </c>
      <c r="EP24" s="26">
        <f>SUM(EP19:EP23)</f>
        <v/>
      </c>
      <c r="EQ24" s="26">
        <f>SUM(EQ19:EQ23)</f>
        <v/>
      </c>
      <c r="ER24" s="26">
        <f>SUM(ER19:ER23)</f>
        <v/>
      </c>
      <c r="ES24" s="26">
        <f>SUM(ES19:ES23)</f>
        <v/>
      </c>
      <c r="ET24" s="26">
        <f>SUM(ET19:ET23)</f>
        <v/>
      </c>
      <c r="EU24" s="26">
        <f>SUM(EU19:EU23)</f>
        <v/>
      </c>
      <c r="EV24" s="26">
        <f>SUM(EV19:EV23)</f>
        <v/>
      </c>
      <c r="EW24" s="26">
        <f>SUM(EW19:EW23)</f>
        <v/>
      </c>
      <c r="EX24" s="26">
        <f>SUM(EX19:EX23)</f>
        <v/>
      </c>
      <c r="EY24" s="26">
        <f>SUM(EY19:EY23)</f>
        <v/>
      </c>
      <c r="EZ24" s="26">
        <f>SUM(EZ19:EZ23)</f>
        <v/>
      </c>
      <c r="FA24" s="26">
        <f>SUM(FA19:FA23)</f>
        <v/>
      </c>
      <c r="FB24" s="26">
        <f>SUM(FB19:FB23)</f>
        <v/>
      </c>
      <c r="FC24" s="26">
        <f>SUM(FC19:FC23)</f>
        <v/>
      </c>
      <c r="FD24" s="128">
        <f>SUM(DY24:FC24)</f>
        <v/>
      </c>
      <c r="FE24" s="26">
        <f>SUM(FE19:FE23)</f>
        <v/>
      </c>
      <c r="FF24" s="26">
        <f>SUM(FF19:FF23)</f>
        <v/>
      </c>
      <c r="FG24" s="26">
        <f>SUM(FG19:FG23)</f>
        <v/>
      </c>
      <c r="FH24" s="26">
        <f>SUM(FH19:FH23)</f>
        <v/>
      </c>
      <c r="FI24" s="26">
        <f>SUM(FI19:FI23)</f>
        <v/>
      </c>
      <c r="FJ24" s="26">
        <f>SUM(FJ19:FJ23)</f>
        <v/>
      </c>
      <c r="FK24" s="26">
        <f>SUM(FK19:FK23)</f>
        <v/>
      </c>
      <c r="FL24" s="26">
        <f>SUM(FL19:FL23)</f>
        <v/>
      </c>
      <c r="FM24" s="26">
        <f>SUM(FM19:FM23)</f>
        <v/>
      </c>
      <c r="FN24" s="26">
        <f>SUM(FN19:FN23)</f>
        <v/>
      </c>
      <c r="FO24" s="26">
        <f>SUM(FO19:FO23)</f>
        <v/>
      </c>
      <c r="FP24" s="26">
        <f>SUM(FP19:FP23)</f>
        <v/>
      </c>
      <c r="FQ24" s="26">
        <f>SUM(FQ19:FQ23)</f>
        <v/>
      </c>
      <c r="FR24" s="26">
        <f>SUM(FR19:FR23)</f>
        <v/>
      </c>
      <c r="FS24" s="26">
        <f>SUM(FS19:FS23)</f>
        <v/>
      </c>
      <c r="FT24" s="26">
        <f>SUM(FT19:FT23)</f>
        <v/>
      </c>
      <c r="FU24" s="26">
        <f>SUM(FU19:FU23)</f>
        <v/>
      </c>
      <c r="FV24" s="26">
        <f>SUM(FV19:FV23)</f>
        <v/>
      </c>
      <c r="FW24" s="26">
        <f>SUM(FW19:FW23)</f>
        <v/>
      </c>
      <c r="FX24" s="26">
        <f>SUM(FX19:FX23)</f>
        <v/>
      </c>
      <c r="FY24" s="26">
        <f>SUM(FY19:FY23)</f>
        <v/>
      </c>
      <c r="FZ24" s="26">
        <f>SUM(FZ19:FZ23)</f>
        <v/>
      </c>
      <c r="GA24" s="26">
        <f>SUM(GA19:GA23)</f>
        <v/>
      </c>
      <c r="GB24" s="26">
        <f>SUM(GB19:GB23)</f>
        <v/>
      </c>
      <c r="GC24" s="26">
        <f>SUM(GC19:GC23)</f>
        <v/>
      </c>
      <c r="GD24" s="26">
        <f>SUM(GD19:GD23)</f>
        <v/>
      </c>
      <c r="GE24" s="26">
        <f>SUM(GE19:GE23)</f>
        <v/>
      </c>
      <c r="GF24" s="26">
        <f>SUM(GF19:GF23)</f>
        <v/>
      </c>
      <c r="GG24" s="26">
        <f>SUM(GG19:GG23)</f>
        <v/>
      </c>
      <c r="GH24" s="26">
        <f>SUM(GH19:GH23)</f>
        <v/>
      </c>
      <c r="GI24" s="26">
        <f>SUM(GI19:GI23)</f>
        <v/>
      </c>
      <c r="GJ24" s="127">
        <f>SUM(FE24:GI24)</f>
        <v/>
      </c>
      <c r="GK24" s="26">
        <f>SUM(GK19:GK23)</f>
        <v/>
      </c>
      <c r="GL24" s="26">
        <f>SUM(GL19:GL23)</f>
        <v/>
      </c>
      <c r="GM24" s="26">
        <f>SUM(GM19:GM23)</f>
        <v/>
      </c>
      <c r="GN24" s="26">
        <f>SUM(GN19:GN23)</f>
        <v/>
      </c>
      <c r="GO24" s="26">
        <f>SUM(GO19:GO23)</f>
        <v/>
      </c>
      <c r="GP24" s="26">
        <f>SUM(GP19:GP23)</f>
        <v/>
      </c>
      <c r="GQ24" s="26">
        <f>SUM(GQ19:GQ23)</f>
        <v/>
      </c>
      <c r="GR24" s="26">
        <f>SUM(GR19:GR23)</f>
        <v/>
      </c>
      <c r="GS24" s="26">
        <f>SUM(GS19:GS23)</f>
        <v/>
      </c>
      <c r="GT24" s="26">
        <f>SUM(GT19:GT23)</f>
        <v/>
      </c>
      <c r="GU24" s="26">
        <f>SUM(GU19:GU23)</f>
        <v/>
      </c>
      <c r="GV24" s="26">
        <f>SUM(GV19:GV23)</f>
        <v/>
      </c>
      <c r="GW24" s="26">
        <f>SUM(GW19:GW23)</f>
        <v/>
      </c>
      <c r="GX24" s="26">
        <f>SUM(GX19:GX23)</f>
        <v/>
      </c>
      <c r="GY24" s="26">
        <f>SUM(GY19:GY23)</f>
        <v/>
      </c>
      <c r="GZ24" s="26">
        <f>SUM(GZ19:GZ23)</f>
        <v/>
      </c>
      <c r="HA24" s="26">
        <f>SUM(HA19:HA23)</f>
        <v/>
      </c>
      <c r="HB24" s="26">
        <f>SUM(HB19:HB23)</f>
        <v/>
      </c>
      <c r="HC24" s="26">
        <f>SUM(HC19:HC23)</f>
        <v/>
      </c>
      <c r="HD24" s="26">
        <f>SUM(HD19:HD23)</f>
        <v/>
      </c>
      <c r="HE24" s="26">
        <f>SUM(HE19:HE23)</f>
        <v/>
      </c>
      <c r="HF24" s="26">
        <f>SUM(HF19:HF23)</f>
        <v/>
      </c>
      <c r="HG24" s="26">
        <f>SUM(HG19:HG23)</f>
        <v/>
      </c>
      <c r="HH24" s="26">
        <f>SUM(HH19:HH23)</f>
        <v/>
      </c>
      <c r="HI24" s="26">
        <f>SUM(HI19:HI23)</f>
        <v/>
      </c>
      <c r="HJ24" s="26">
        <f>SUM(HJ19:HJ23)</f>
        <v/>
      </c>
      <c r="HK24" s="26">
        <f>SUM(HK19:HK23)</f>
        <v/>
      </c>
      <c r="HL24" s="26">
        <f>SUM(HL19:HL23)</f>
        <v/>
      </c>
      <c r="HM24" s="26">
        <f>SUM(HM19:HM23)</f>
        <v/>
      </c>
      <c r="HN24" s="127">
        <f>SUM(GK24:HM24)</f>
        <v/>
      </c>
      <c r="HO24" s="26">
        <f>SUM(HO19:HO23)</f>
        <v/>
      </c>
      <c r="HP24" s="26">
        <f>SUM(HP19:HP23)</f>
        <v/>
      </c>
      <c r="HQ24" s="26">
        <f>SUM(HQ19:HQ23)</f>
        <v/>
      </c>
      <c r="HR24" s="26">
        <f>SUM(HR19:HR23)</f>
        <v/>
      </c>
      <c r="HS24" s="26">
        <f>SUM(HS19:HS23)</f>
        <v/>
      </c>
      <c r="HT24" s="26">
        <f>SUM(HT19:HT23)</f>
        <v/>
      </c>
      <c r="HU24" s="26">
        <f>SUM(HU19:HU23)</f>
        <v/>
      </c>
      <c r="HV24" s="26">
        <f>SUM(HV19:HV23)</f>
        <v/>
      </c>
      <c r="HW24" s="26">
        <f>SUM(HW19:HW23)</f>
        <v/>
      </c>
      <c r="HX24" s="26">
        <f>SUM(HX19:HX23)</f>
        <v/>
      </c>
      <c r="HY24" s="26">
        <f>SUM(HY19:HY23)</f>
        <v/>
      </c>
      <c r="HZ24" s="26">
        <f>SUM(HZ19:HZ23)</f>
        <v/>
      </c>
      <c r="IA24" s="26">
        <f>SUM(IA19:IA23)</f>
        <v/>
      </c>
      <c r="IB24" s="26">
        <f>SUM(IB19:IB23)</f>
        <v/>
      </c>
      <c r="IC24" s="26">
        <f>SUM(IC19:IC23)</f>
        <v/>
      </c>
      <c r="ID24" s="26">
        <f>SUM(ID19:ID23)</f>
        <v/>
      </c>
      <c r="IE24" s="26">
        <f>SUM(IE19:IE23)</f>
        <v/>
      </c>
      <c r="IF24" s="26">
        <f>SUM(IF19:IF23)</f>
        <v/>
      </c>
      <c r="IG24" s="26">
        <f>SUM(IG19:IG23)</f>
        <v/>
      </c>
      <c r="IH24" s="26">
        <f>SUM(IH19:IH23)</f>
        <v/>
      </c>
      <c r="II24" s="26">
        <f>SUM(II19:II23)</f>
        <v/>
      </c>
      <c r="IJ24" s="26">
        <f>SUM(IJ19:IJ23)</f>
        <v/>
      </c>
      <c r="IK24" s="26">
        <f>SUM(IK19:IK23)</f>
        <v/>
      </c>
      <c r="IL24" s="26">
        <f>SUM(IL19:IL23)</f>
        <v/>
      </c>
      <c r="IM24" s="26">
        <f>SUM(IM19:IM23)</f>
        <v/>
      </c>
      <c r="IN24" s="26">
        <f>SUM(IN19:IN23)</f>
        <v/>
      </c>
      <c r="IO24" s="26">
        <f>SUM(IO19:IO23)</f>
        <v/>
      </c>
      <c r="IP24" s="26">
        <f>SUM(IP19:IP23)</f>
        <v/>
      </c>
      <c r="IQ24" s="26">
        <f>SUM(IQ19:IQ23)</f>
        <v/>
      </c>
      <c r="IR24" s="26">
        <f>SUM(IR19:IR23)</f>
        <v/>
      </c>
      <c r="IS24" s="26">
        <f>SUM(IS19:IS23)</f>
        <v/>
      </c>
      <c r="IT24" s="127">
        <f>SUM(HO24:IS24)</f>
        <v/>
      </c>
      <c r="IU24" s="26">
        <f>SUM(IU19:IU23)</f>
        <v/>
      </c>
      <c r="IV24" s="26">
        <f>SUM(IV19:IV23)</f>
        <v/>
      </c>
      <c r="IW24" s="26">
        <f>SUM(IW19:IW23)</f>
        <v/>
      </c>
      <c r="IX24" s="26">
        <f>SUM(IX19:IX23)</f>
        <v/>
      </c>
      <c r="IY24" s="26">
        <f>SUM(IY19:IY23)</f>
        <v/>
      </c>
      <c r="IZ24" s="26">
        <f>SUM(IZ19:IZ23)</f>
        <v/>
      </c>
      <c r="JA24" s="26">
        <f>SUM(JA19:JA23)</f>
        <v/>
      </c>
      <c r="JB24" s="26">
        <f>SUM(JB19:JB23)</f>
        <v/>
      </c>
      <c r="JC24" s="26">
        <f>SUM(JC19:JC23)</f>
        <v/>
      </c>
      <c r="JD24" s="26">
        <f>SUM(JD19:JD23)</f>
        <v/>
      </c>
      <c r="JE24" s="26">
        <f>SUM(JE19:JE23)</f>
        <v/>
      </c>
      <c r="JF24" s="26">
        <f>SUM(JF19:JF23)</f>
        <v/>
      </c>
      <c r="JG24" s="26">
        <f>SUM(JG19:JG23)</f>
        <v/>
      </c>
      <c r="JH24" s="26">
        <f>SUM(JH19:JH23)</f>
        <v/>
      </c>
      <c r="JI24" s="26">
        <f>SUM(JI19:JI23)</f>
        <v/>
      </c>
      <c r="JJ24" s="26">
        <f>SUM(JJ19:JJ23)</f>
        <v/>
      </c>
      <c r="JK24" s="26">
        <f>SUM(JK19:JK23)</f>
        <v/>
      </c>
      <c r="JL24" s="26">
        <f>SUM(JL19:JL23)</f>
        <v/>
      </c>
      <c r="JM24" s="26">
        <f>SUM(JM19:JM23)</f>
        <v/>
      </c>
      <c r="JN24" s="26">
        <f>SUM(JN19:JN23)</f>
        <v/>
      </c>
      <c r="JO24" s="26">
        <f>SUM(JO19:JO23)</f>
        <v/>
      </c>
      <c r="JP24" s="26">
        <f>SUM(JP19:JP23)</f>
        <v/>
      </c>
      <c r="JQ24" s="26">
        <f>SUM(JQ19:JQ23)</f>
        <v/>
      </c>
      <c r="JR24" s="26">
        <f>SUM(JR19:JR23)</f>
        <v/>
      </c>
      <c r="JS24" s="26">
        <f>SUM(JS19:JS23)</f>
        <v/>
      </c>
      <c r="JT24" s="26">
        <f>SUM(JT19:JT23)</f>
        <v/>
      </c>
      <c r="JU24" s="26">
        <f>SUM(JU19:JU23)</f>
        <v/>
      </c>
      <c r="JV24" s="26">
        <f>SUM(JV19:JV23)</f>
        <v/>
      </c>
      <c r="JW24" s="26">
        <f>SUM(JW19:JW23)</f>
        <v/>
      </c>
      <c r="JX24" s="26">
        <f>SUM(JX19:JX23)</f>
        <v/>
      </c>
      <c r="JY24" s="127">
        <f>SUM(IU24:JX24)</f>
        <v/>
      </c>
      <c r="JZ24" s="26">
        <f>SUM(JZ19:JZ23)</f>
        <v/>
      </c>
      <c r="KA24" s="26">
        <f>SUM(KA19:KA23)</f>
        <v/>
      </c>
      <c r="KB24" s="26">
        <f>SUM(KB19:KB23)</f>
        <v/>
      </c>
      <c r="KC24" s="26">
        <f>SUM(KC19:KC23)</f>
        <v/>
      </c>
      <c r="KD24" s="26">
        <f>SUM(KD19:KD23)</f>
        <v/>
      </c>
      <c r="KE24" s="26">
        <f>SUM(KE19:KE23)</f>
        <v/>
      </c>
      <c r="KF24" s="26">
        <f>SUM(KF19:KF23)</f>
        <v/>
      </c>
      <c r="KG24" s="26">
        <f>SUM(KG19:KG23)</f>
        <v/>
      </c>
      <c r="KH24" s="26">
        <f>SUM(KH19:KH23)</f>
        <v/>
      </c>
      <c r="KI24" s="26">
        <f>SUM(KI19:KI23)</f>
        <v/>
      </c>
      <c r="KJ24" s="26">
        <f>SUM(KJ19:KJ23)</f>
        <v/>
      </c>
      <c r="KK24" s="26">
        <f>SUM(KK19:KK23)</f>
        <v/>
      </c>
      <c r="KL24" s="26">
        <f>SUM(KL19:KL23)</f>
        <v/>
      </c>
      <c r="KM24" s="26">
        <f>SUM(KM19:KM23)</f>
        <v/>
      </c>
      <c r="KN24" s="26">
        <f>SUM(KN19:KN23)</f>
        <v/>
      </c>
      <c r="KO24" s="26">
        <f>SUM(KO19:KO23)</f>
        <v/>
      </c>
      <c r="KP24" s="26">
        <f>SUM(KP19:KP23)</f>
        <v/>
      </c>
      <c r="KQ24" s="26">
        <f>SUM(KQ19:KQ23)</f>
        <v/>
      </c>
      <c r="KR24" s="26">
        <f>SUM(KR19:KR23)</f>
        <v/>
      </c>
      <c r="KS24" s="26">
        <f>SUM(KS19:KS23)</f>
        <v/>
      </c>
      <c r="KT24" s="26">
        <f>SUM(KT19:KT23)</f>
        <v/>
      </c>
      <c r="KU24" s="26">
        <f>SUM(KU19:KU23)</f>
        <v/>
      </c>
      <c r="KV24" s="26">
        <f>SUM(KV19:KV23)</f>
        <v/>
      </c>
      <c r="KW24" s="26">
        <f>SUM(KW19:KW23)</f>
        <v/>
      </c>
      <c r="KX24" s="26">
        <f>SUM(KX19:KX23)</f>
        <v/>
      </c>
      <c r="KY24" s="26">
        <f>SUM(KY19:KY23)</f>
        <v/>
      </c>
      <c r="KZ24" s="26">
        <f>SUM(KZ19:KZ23)</f>
        <v/>
      </c>
      <c r="LA24" s="26">
        <f>SUM(LA19:LA23)</f>
        <v/>
      </c>
      <c r="LB24" s="26">
        <f>SUM(LB19:LB23)</f>
        <v/>
      </c>
      <c r="LC24" s="26">
        <f>SUM(LC19:LC23)</f>
        <v/>
      </c>
      <c r="LD24" s="26">
        <f>SUM(LD19:LD23)</f>
        <v/>
      </c>
      <c r="LE24" s="127">
        <f>SUM(KA24:LD24)</f>
        <v/>
      </c>
      <c r="LF24" s="26">
        <f>SUM(LF19:LF23)</f>
        <v/>
      </c>
      <c r="LG24" s="26">
        <f>SUM(LG19:LG23)</f>
        <v/>
      </c>
      <c r="LH24" s="26">
        <f>SUM(LH19:LH23)</f>
        <v/>
      </c>
      <c r="LI24" s="26">
        <f>SUM(LI19:LI23)</f>
        <v/>
      </c>
      <c r="LJ24" s="26">
        <f>SUM(LJ19:LJ23)</f>
        <v/>
      </c>
      <c r="LK24" s="26">
        <f>SUM(LK19:LK23)</f>
        <v/>
      </c>
      <c r="LL24" s="26">
        <f>SUM(LL19:LL23)</f>
        <v/>
      </c>
      <c r="LM24" s="26">
        <f>SUM(LM19:LM23)</f>
        <v/>
      </c>
      <c r="LN24" s="26">
        <f>SUM(LN19:LN23)</f>
        <v/>
      </c>
      <c r="LO24" s="26">
        <f>SUM(LO19:LO23)</f>
        <v/>
      </c>
      <c r="LP24" s="26">
        <f>SUM(LP19:LP23)</f>
        <v/>
      </c>
      <c r="LQ24" s="26">
        <f>SUM(LQ19:LQ23)</f>
        <v/>
      </c>
      <c r="LR24" s="26">
        <f>SUM(LR19:LR23)</f>
        <v/>
      </c>
      <c r="LS24" s="26">
        <f>SUM(LS19:LS23)</f>
        <v/>
      </c>
      <c r="LT24" s="26">
        <f>SUM(LT19:LT23)</f>
        <v/>
      </c>
      <c r="LU24" s="26">
        <f>SUM(LU19:LU23)</f>
        <v/>
      </c>
      <c r="LV24" s="26">
        <f>SUM(LV19:LV23)</f>
        <v/>
      </c>
      <c r="LW24" s="26">
        <f>SUM(LW19:LW23)</f>
        <v/>
      </c>
      <c r="LX24" s="26">
        <f>SUM(LX19:LX23)</f>
        <v/>
      </c>
      <c r="LY24" s="26">
        <f>SUM(LY19:LY23)</f>
        <v/>
      </c>
      <c r="LZ24" s="26">
        <f>SUM(LZ19:LZ23)</f>
        <v/>
      </c>
      <c r="MA24" s="26">
        <f>SUM(MA19:MA23)</f>
        <v/>
      </c>
      <c r="MB24" s="26">
        <f>SUM(MB19:MB23)</f>
        <v/>
      </c>
      <c r="MC24" s="26">
        <f>SUM(MC19:MC23)</f>
        <v/>
      </c>
      <c r="MD24" s="26">
        <f>SUM(MD19:MD23)</f>
        <v/>
      </c>
      <c r="ME24" s="26">
        <f>SUM(ME19:ME23)</f>
        <v/>
      </c>
      <c r="MF24" s="26">
        <f>SUM(MF19:MF23)</f>
        <v/>
      </c>
      <c r="MG24" s="26">
        <f>SUM(MG19:MG23)</f>
        <v/>
      </c>
      <c r="MH24" s="26">
        <f>SUM(MH19:MH23)</f>
        <v/>
      </c>
      <c r="MI24" s="26">
        <f>SUM(MI19:MI23)</f>
        <v/>
      </c>
      <c r="MJ24" s="127">
        <f>SUM(LF24:MI24)</f>
        <v/>
      </c>
      <c r="MK24" s="26">
        <f>SUM(MK19:MK23)</f>
        <v/>
      </c>
      <c r="ML24" s="26">
        <f>SUM(ML19:ML23)</f>
        <v/>
      </c>
      <c r="MM24" s="26">
        <f>SUM(MM19:MM23)</f>
        <v/>
      </c>
      <c r="MN24" s="26">
        <f>SUM(MN19:MN23)</f>
        <v/>
      </c>
      <c r="MO24" s="26">
        <f>SUM(MO19:MO23)</f>
        <v/>
      </c>
      <c r="MP24" s="26">
        <f>SUM(MP19:MP23)</f>
        <v/>
      </c>
      <c r="MQ24" s="26">
        <f>SUM(MQ19:MQ23)</f>
        <v/>
      </c>
      <c r="MR24" s="26">
        <f>SUM(MR19:MR23)</f>
        <v/>
      </c>
      <c r="MS24" s="26">
        <f>SUM(MS19:MS23)</f>
        <v/>
      </c>
      <c r="MT24" s="26">
        <f>SUM(MT19:MT23)</f>
        <v/>
      </c>
      <c r="MU24" s="26">
        <f>SUM(MU19:MU23)</f>
        <v/>
      </c>
      <c r="MV24" s="26">
        <f>SUM(MV19:MV23)</f>
        <v/>
      </c>
      <c r="MW24" s="26">
        <f>SUM(MW19:MW23)</f>
        <v/>
      </c>
      <c r="MX24" s="26">
        <f>SUM(MX19:MX23)</f>
        <v/>
      </c>
      <c r="MY24" s="26">
        <f>SUM(MY19:MY23)</f>
        <v/>
      </c>
      <c r="MZ24" s="26">
        <f>SUM(MZ19:MZ23)</f>
        <v/>
      </c>
      <c r="NA24" s="26">
        <f>SUM(NA19:NA23)</f>
        <v/>
      </c>
      <c r="NB24" s="26">
        <f>SUM(NB19:NB23)</f>
        <v/>
      </c>
      <c r="NC24" s="26">
        <f>SUM(NC19:NC23)</f>
        <v/>
      </c>
      <c r="ND24" s="26">
        <f>SUM(ND19:ND23)</f>
        <v/>
      </c>
      <c r="NE24" s="26">
        <f>SUM(NE19:NE23)</f>
        <v/>
      </c>
      <c r="NF24" s="26">
        <f>SUM(NF19:NF23)</f>
        <v/>
      </c>
      <c r="NG24" s="26">
        <f>SUM(NG19:NG23)</f>
        <v/>
      </c>
      <c r="NH24" s="26">
        <f>SUM(NH19:NH23)</f>
        <v/>
      </c>
      <c r="NI24" s="26">
        <f>SUM(NI19:NI23)</f>
        <v/>
      </c>
      <c r="NJ24" s="26">
        <f>SUM(NJ19:NJ23)</f>
        <v/>
      </c>
      <c r="NK24" s="26">
        <f>SUM(NK19:NK23)</f>
        <v/>
      </c>
      <c r="NL24" s="26">
        <f>SUM(NL19:NL23)</f>
        <v/>
      </c>
      <c r="NM24" s="26">
        <f>SUM(NM19:NM23)</f>
        <v/>
      </c>
      <c r="NN24" s="26">
        <f>SUM(NN19:NN23)</f>
        <v/>
      </c>
      <c r="NO24" s="26">
        <f>SUM(NO19:NO23)</f>
        <v/>
      </c>
      <c r="NP24" s="127">
        <f>SUM(ML24:NO24)</f>
        <v/>
      </c>
      <c r="NQ24" s="26">
        <f>SUM(NQ19:NQ23)</f>
        <v/>
      </c>
      <c r="NR24" s="26">
        <f>SUM(NR19:NR23)</f>
        <v/>
      </c>
      <c r="NS24" s="26">
        <f>SUM(NS19:NS23)</f>
        <v/>
      </c>
      <c r="NT24" s="26">
        <f>SUM(NT19:NT23)</f>
        <v/>
      </c>
      <c r="NU24" s="26">
        <f>SUM(NU19:NU23)</f>
        <v/>
      </c>
      <c r="NV24" s="26">
        <f>SUM(NV19:NV23)</f>
        <v/>
      </c>
      <c r="NW24" s="26">
        <f>SUM(NW19:NW23)</f>
        <v/>
      </c>
      <c r="NX24" s="26">
        <f>SUM(NX19:NX23)</f>
        <v/>
      </c>
      <c r="NY24" s="26">
        <f>SUM(NY19:NY23)</f>
        <v/>
      </c>
      <c r="NZ24" s="26">
        <f>SUM(NZ19:NZ23)</f>
        <v/>
      </c>
      <c r="OA24" s="26">
        <f>SUM(OA19:OA23)</f>
        <v/>
      </c>
      <c r="OB24" s="26">
        <f>SUM(OB19:OB23)</f>
        <v/>
      </c>
      <c r="OC24" s="26">
        <f>SUM(OC19:OC23)</f>
        <v/>
      </c>
      <c r="OD24" s="26">
        <f>SUM(OD19:OD23)</f>
        <v/>
      </c>
      <c r="OE24" s="26">
        <f>SUM(OE19:OE23)</f>
        <v/>
      </c>
      <c r="OF24" s="26">
        <f>SUM(OF19:OF23)</f>
        <v/>
      </c>
      <c r="OG24" s="26">
        <f>SUM(OG19:OG23)</f>
        <v/>
      </c>
      <c r="OH24" s="26">
        <f>SUM(OH19:OH23)</f>
        <v/>
      </c>
      <c r="OI24" s="26">
        <f>SUM(OI19:OI23)</f>
        <v/>
      </c>
      <c r="OJ24" s="26">
        <f>SUM(OJ19:OJ23)</f>
        <v/>
      </c>
      <c r="OK24" s="26">
        <f>SUM(OK19:OK23)</f>
        <v/>
      </c>
      <c r="OL24" s="26">
        <f>SUM(OL19:OL23)</f>
        <v/>
      </c>
      <c r="OM24" s="26">
        <f>SUM(OM19:OM23)</f>
        <v/>
      </c>
      <c r="ON24" s="26">
        <f>SUM(ON19:ON23)</f>
        <v/>
      </c>
      <c r="OO24" s="26">
        <f>SUM(OO19:OO23)</f>
        <v/>
      </c>
      <c r="OP24" s="26">
        <f>SUM(OP19:OP23)</f>
        <v/>
      </c>
      <c r="OQ24" s="26">
        <f>SUM(OQ19:OQ23)</f>
        <v/>
      </c>
      <c r="OR24" s="26">
        <f>SUM(OR19:OR23)</f>
        <v/>
      </c>
      <c r="OS24" s="26">
        <f>SUM(OS19:OS23)</f>
        <v/>
      </c>
      <c r="OT24" s="26">
        <f>SUM(OT19:OT23)</f>
        <v/>
      </c>
      <c r="OU24" s="26">
        <f>SUM(OU19:OU23)</f>
        <v/>
      </c>
      <c r="OV24" s="127">
        <f>SUM(NR24:OU24)</f>
        <v/>
      </c>
      <c r="OW24" s="26">
        <f>SUM(OW19:OW23)</f>
        <v/>
      </c>
      <c r="OX24" s="26">
        <f>SUM(OX19:OX23)</f>
        <v/>
      </c>
      <c r="OY24" s="26">
        <f>SUM(OY19:OY23)</f>
        <v/>
      </c>
      <c r="OZ24" s="26">
        <f>SUM(OZ19:OZ23)</f>
        <v/>
      </c>
      <c r="PA24" s="26">
        <f>SUM(PA19:PA23)</f>
        <v/>
      </c>
      <c r="PB24" s="26">
        <f>SUM(PB19:PB23)</f>
        <v/>
      </c>
      <c r="PC24" s="26">
        <f>SUM(PC19:PC23)</f>
        <v/>
      </c>
      <c r="PD24" s="26">
        <f>SUM(PD19:PD23)</f>
        <v/>
      </c>
      <c r="PE24" s="26">
        <f>SUM(PE19:PE23)</f>
        <v/>
      </c>
      <c r="PF24" s="26">
        <f>SUM(PF19:PF23)</f>
        <v/>
      </c>
      <c r="PG24" s="26">
        <f>SUM(PG19:PG23)</f>
        <v/>
      </c>
      <c r="PH24" s="26">
        <f>SUM(PH19:PH23)</f>
        <v/>
      </c>
      <c r="PI24" s="26">
        <f>SUM(PI19:PI23)</f>
        <v/>
      </c>
      <c r="PJ24" s="26">
        <f>SUM(PJ19:PJ23)</f>
        <v/>
      </c>
      <c r="PK24" s="26">
        <f>SUM(PK19:PK23)</f>
        <v/>
      </c>
      <c r="PL24" s="26">
        <f>SUM(PL19:PL23)</f>
        <v/>
      </c>
      <c r="PM24" s="26">
        <f>SUM(PM19:PM23)</f>
        <v/>
      </c>
      <c r="PN24" s="26">
        <f>SUM(PN19:PN23)</f>
        <v/>
      </c>
      <c r="PO24" s="26">
        <f>SUM(PO19:PO23)</f>
        <v/>
      </c>
      <c r="PP24" s="26">
        <f>SUM(PP19:PP23)</f>
        <v/>
      </c>
      <c r="PQ24" s="26">
        <f>SUM(PQ19:PQ23)</f>
        <v/>
      </c>
      <c r="PR24" s="26">
        <f>SUM(PR19:PR23)</f>
        <v/>
      </c>
      <c r="PS24" s="26">
        <f>SUM(PS19:PS23)</f>
        <v/>
      </c>
      <c r="PT24" s="26">
        <f>SUM(PT19:PT23)</f>
        <v/>
      </c>
      <c r="PU24" s="26">
        <f>SUM(PU19:PU23)</f>
        <v/>
      </c>
      <c r="PV24" s="26">
        <f>SUM(PV19:PV23)</f>
        <v/>
      </c>
      <c r="PW24" s="26">
        <f>SUM(PW19:PW23)</f>
        <v/>
      </c>
      <c r="PX24" s="26">
        <f>SUM(PX19:PX23)</f>
        <v/>
      </c>
      <c r="PY24" s="26">
        <f>SUM(PY19:PY23)</f>
        <v/>
      </c>
      <c r="PZ24" s="26">
        <f>SUM(PZ19:PZ23)</f>
        <v/>
      </c>
      <c r="QA24" s="127">
        <f>SUM(OW24:PZ24)</f>
        <v/>
      </c>
      <c r="QB24" s="26">
        <f>SUM(QB19:QB23)</f>
        <v/>
      </c>
      <c r="QC24" s="26">
        <f>SUM(QC19:QC23)</f>
        <v/>
      </c>
      <c r="QD24" s="26">
        <f>SUM(QD19:QD23)</f>
        <v/>
      </c>
      <c r="QE24" s="26">
        <f>SUM(QE19:QE23)</f>
        <v/>
      </c>
      <c r="QF24" s="26">
        <f>SUM(QF19:QF23)</f>
        <v/>
      </c>
      <c r="QG24" s="26">
        <f>SUM(QG19:QG23)</f>
        <v/>
      </c>
      <c r="QH24" s="26">
        <f>SUM(QH19:QH23)</f>
        <v/>
      </c>
      <c r="QI24" s="26">
        <f>SUM(QI19:QI23)</f>
        <v/>
      </c>
      <c r="QJ24" s="26">
        <f>SUM(QJ19:QJ23)</f>
        <v/>
      </c>
      <c r="QK24" s="26">
        <f>SUM(QK19:QK23)</f>
        <v/>
      </c>
      <c r="QL24" s="26">
        <f>SUM(QL19:QL23)</f>
        <v/>
      </c>
      <c r="QM24" s="26">
        <f>SUM(QM19:QM23)</f>
        <v/>
      </c>
      <c r="QN24" s="26">
        <f>SUM(QN19:QN23)</f>
        <v/>
      </c>
      <c r="QO24" s="26">
        <f>SUM(QO19:QO23)</f>
        <v/>
      </c>
      <c r="QP24" s="26">
        <f>SUM(QP19:QP23)</f>
        <v/>
      </c>
      <c r="QQ24" s="26">
        <f>SUM(QQ19:QQ23)</f>
        <v/>
      </c>
      <c r="QR24" s="26">
        <f>SUM(QR19:QR23)</f>
        <v/>
      </c>
      <c r="QS24" s="26">
        <f>SUM(QS19:QS23)</f>
        <v/>
      </c>
      <c r="QT24" s="26">
        <f>SUM(QT19:QT23)</f>
        <v/>
      </c>
      <c r="QU24" s="26">
        <f>SUM(QU19:QU23)</f>
        <v/>
      </c>
      <c r="QV24" s="26">
        <f>SUM(QV19:QV23)</f>
        <v/>
      </c>
      <c r="QW24" s="26">
        <f>SUM(QW19:QW23)</f>
        <v/>
      </c>
      <c r="QX24" s="26">
        <f>SUM(QX19:QX23)</f>
        <v/>
      </c>
      <c r="QY24" s="26">
        <f>SUM(QY19:QY23)</f>
        <v/>
      </c>
      <c r="QZ24" s="26">
        <f>SUM(QZ19:QZ23)</f>
        <v/>
      </c>
      <c r="RA24" s="26">
        <f>SUM(RA19:RA23)</f>
        <v/>
      </c>
      <c r="RB24" s="26">
        <f>SUM(RB19:RB23)</f>
        <v/>
      </c>
      <c r="RC24" s="26">
        <f>SUM(RC19:RC23)</f>
        <v/>
      </c>
      <c r="RD24" s="26">
        <f>SUM(RD19:RD23)</f>
        <v/>
      </c>
      <c r="RE24" s="26">
        <f>SUM(RE19:RE23)</f>
        <v/>
      </c>
      <c r="RF24" s="26">
        <f>SUM(RF19:RF23)</f>
        <v/>
      </c>
      <c r="RG24" s="127">
        <f>SUM(QC24:RF24)</f>
        <v/>
      </c>
      <c r="RH24" s="26">
        <f>SUM(RH19:RH23)</f>
        <v/>
      </c>
      <c r="RI24" s="26">
        <f>SUM(RI19:RI23)</f>
        <v/>
      </c>
      <c r="RJ24" s="26">
        <f>SUM(RJ19:RJ23)</f>
        <v/>
      </c>
      <c r="RK24" s="26">
        <f>SUM(RK19:RK23)</f>
        <v/>
      </c>
      <c r="RL24" s="26">
        <f>SUM(RL19:RL23)</f>
        <v/>
      </c>
      <c r="RM24" s="26">
        <f>SUM(RM19:RM23)</f>
        <v/>
      </c>
      <c r="RN24" s="26">
        <f>SUM(RN19:RN23)</f>
        <v/>
      </c>
      <c r="RO24" s="26">
        <f>SUM(RO19:RO23)</f>
        <v/>
      </c>
      <c r="RP24" s="26">
        <f>SUM(RP19:RP23)</f>
        <v/>
      </c>
      <c r="RQ24" s="26">
        <f>SUM(RQ19:RQ23)</f>
        <v/>
      </c>
      <c r="RR24" s="26">
        <f>SUM(RR19:RR23)</f>
        <v/>
      </c>
      <c r="RS24" s="26">
        <f>SUM(RS19:RS23)</f>
        <v/>
      </c>
      <c r="RT24" s="26">
        <f>SUM(RT19:RT23)</f>
        <v/>
      </c>
      <c r="RU24" s="26">
        <f>SUM(RU19:RU23)</f>
        <v/>
      </c>
      <c r="RV24" s="26">
        <f>SUM(RV19:RV23)</f>
        <v/>
      </c>
      <c r="RW24" s="26">
        <f>SUM(RW19:RW23)</f>
        <v/>
      </c>
      <c r="RX24" s="26">
        <f>SUM(RX19:RX23)</f>
        <v/>
      </c>
      <c r="RY24" s="26">
        <f>SUM(RY19:RY23)</f>
        <v/>
      </c>
      <c r="RZ24" s="26">
        <f>SUM(RZ19:RZ23)</f>
        <v/>
      </c>
      <c r="SA24" s="26">
        <f>SUM(SA19:SA23)</f>
        <v/>
      </c>
      <c r="SB24" s="26">
        <f>SUM(SB19:SB23)</f>
        <v/>
      </c>
      <c r="SC24" s="26">
        <f>SUM(SC19:SC23)</f>
        <v/>
      </c>
      <c r="SD24" s="26">
        <f>SUM(SD19:SD23)</f>
        <v/>
      </c>
      <c r="SE24" s="26">
        <f>SUM(SE19:SE23)</f>
        <v/>
      </c>
      <c r="SF24" s="26">
        <f>SUM(SF19:SF23)</f>
        <v/>
      </c>
      <c r="SG24" s="26">
        <f>SUM(SG19:SG23)</f>
        <v/>
      </c>
      <c r="SH24" s="26">
        <f>SUM(SH19:SH23)</f>
        <v/>
      </c>
      <c r="SI24" s="26">
        <f>SUM(SI19:SI23)</f>
        <v/>
      </c>
      <c r="SJ24" s="26">
        <f>SUM(SJ19:SJ23)</f>
        <v/>
      </c>
      <c r="SK24" s="26">
        <f>SUM(SK19:SK23)</f>
        <v/>
      </c>
      <c r="SL24" s="127">
        <f>SUM(RH24:SK24)</f>
        <v/>
      </c>
      <c r="SM24" s="26">
        <f>SUM(SM19:SM23)</f>
        <v/>
      </c>
      <c r="SN24" s="26">
        <f>SUM(SN19:SN23)</f>
        <v/>
      </c>
      <c r="SO24" s="26">
        <f>SUM(SO19:SO23)</f>
        <v/>
      </c>
      <c r="SP24" s="26">
        <f>SUM(SP19:SP23)</f>
        <v/>
      </c>
      <c r="SQ24" s="26">
        <f>SUM(SQ19:SQ23)</f>
        <v/>
      </c>
      <c r="SR24" s="26">
        <f>SUM(SR19:SR23)</f>
        <v/>
      </c>
      <c r="SS24" s="26">
        <f>SUM(SS19:SS23)</f>
        <v/>
      </c>
      <c r="ST24" s="26">
        <f>SUM(ST19:ST23)</f>
        <v/>
      </c>
      <c r="SU24" s="26">
        <f>SUM(SU19:SU23)</f>
        <v/>
      </c>
      <c r="SV24" s="26">
        <f>SUM(SV19:SV23)</f>
        <v/>
      </c>
      <c r="SW24" s="26">
        <f>SUM(SW19:SW23)</f>
        <v/>
      </c>
      <c r="SX24" s="26">
        <f>SUM(SX19:SX23)</f>
        <v/>
      </c>
      <c r="SY24" s="26">
        <f>SUM(SY19:SY23)</f>
        <v/>
      </c>
      <c r="SZ24" s="26">
        <f>SUM(SZ19:SZ23)</f>
        <v/>
      </c>
      <c r="TA24" s="26">
        <f>SUM(TA19:TA23)</f>
        <v/>
      </c>
      <c r="TB24" s="26">
        <f>SUM(TB19:TB23)</f>
        <v/>
      </c>
      <c r="TC24" s="26">
        <f>SUM(TC19:TC23)</f>
        <v/>
      </c>
      <c r="TD24" s="26">
        <f>SUM(TD19:TD23)</f>
        <v/>
      </c>
      <c r="TE24" s="26">
        <f>SUM(TE19:TE23)</f>
        <v/>
      </c>
      <c r="TF24" s="26">
        <f>SUM(TF19:TF23)</f>
        <v/>
      </c>
      <c r="TG24" s="26">
        <f>SUM(TG19:TG23)</f>
        <v/>
      </c>
      <c r="TH24" s="26">
        <f>SUM(TH19:TH23)</f>
        <v/>
      </c>
      <c r="TI24" s="26">
        <f>SUM(TI19:TI23)</f>
        <v/>
      </c>
      <c r="TJ24" s="26">
        <f>SUM(TJ19:TJ23)</f>
        <v/>
      </c>
      <c r="TK24" s="26">
        <f>SUM(TK19:TK23)</f>
        <v/>
      </c>
      <c r="TL24" s="26">
        <f>SUM(TL19:TL23)</f>
        <v/>
      </c>
      <c r="TM24" s="26">
        <f>SUM(TM19:TM23)</f>
        <v/>
      </c>
      <c r="TN24" s="26">
        <f>SUM(TN19:TN23)</f>
        <v/>
      </c>
      <c r="TO24" s="26">
        <f>SUM(TO19:TO23)</f>
        <v/>
      </c>
      <c r="TP24" s="26">
        <f>SUM(TP19:TP23)</f>
        <v/>
      </c>
      <c r="TQ24" s="26">
        <f>SUM(TQ19:TQ23)</f>
        <v/>
      </c>
      <c r="TR24" s="127">
        <f>SUM(SN24:TQ24)</f>
        <v/>
      </c>
      <c r="TS24" s="26">
        <f>SUM(TS19:TS23)</f>
        <v/>
      </c>
      <c r="TT24" s="26">
        <f>SUM(TT19:TT23)</f>
        <v/>
      </c>
      <c r="TU24" s="26">
        <f>SUM(TU19:TU23)</f>
        <v/>
      </c>
      <c r="TV24" s="26">
        <f>SUM(TV19:TV23)</f>
        <v/>
      </c>
      <c r="TW24" s="26">
        <f>SUM(TW19:TW23)</f>
        <v/>
      </c>
      <c r="TX24" s="26">
        <f>SUM(TX19:TX23)</f>
        <v/>
      </c>
      <c r="TY24" s="26">
        <f>SUM(TY19:TY23)</f>
        <v/>
      </c>
      <c r="TZ24" s="26">
        <f>SUM(TZ19:TZ23)</f>
        <v/>
      </c>
      <c r="UA24" s="26">
        <f>SUM(UA19:UA23)</f>
        <v/>
      </c>
      <c r="UB24" s="26">
        <f>SUM(UB19:UB23)</f>
        <v/>
      </c>
      <c r="UC24" s="26">
        <f>SUM(UC19:UC23)</f>
        <v/>
      </c>
      <c r="UD24" s="26">
        <f>SUM(UD19:UD23)</f>
        <v/>
      </c>
      <c r="UE24" s="26">
        <f>SUM(UE19:UE23)</f>
        <v/>
      </c>
      <c r="UF24" s="26">
        <f>SUM(UF19:UF23)</f>
        <v/>
      </c>
      <c r="UG24" s="26">
        <f>SUM(UG19:UG23)</f>
        <v/>
      </c>
      <c r="UH24" s="26">
        <f>SUM(UH19:UH23)</f>
        <v/>
      </c>
      <c r="UI24" s="26">
        <f>SUM(UI19:UI23)</f>
        <v/>
      </c>
      <c r="UJ24" s="26">
        <f>SUM(UJ19:UJ23)</f>
        <v/>
      </c>
      <c r="UK24" s="26">
        <f>SUM(UK19:UK23)</f>
        <v/>
      </c>
      <c r="UL24" s="26">
        <f>SUM(UL19:UL23)</f>
        <v/>
      </c>
      <c r="UM24" s="26">
        <f>SUM(UM19:UM23)</f>
        <v/>
      </c>
      <c r="UN24" s="26">
        <f>SUM(UN19:UN23)</f>
        <v/>
      </c>
      <c r="UO24" s="26">
        <f>SUM(UO19:UO23)</f>
        <v/>
      </c>
      <c r="UP24" s="26">
        <f>SUM(UP19:UP23)</f>
        <v/>
      </c>
      <c r="UQ24" s="26">
        <f>SUM(UQ19:UQ23)</f>
        <v/>
      </c>
      <c r="UR24" s="26">
        <f>SUM(UR19:UR23)</f>
        <v/>
      </c>
      <c r="US24" s="26">
        <f>SUM(US19:US23)</f>
        <v/>
      </c>
      <c r="UT24" s="26">
        <f>SUM(UT19:UT23)</f>
        <v/>
      </c>
      <c r="UU24" s="26">
        <f>SUM(UU19:UU23)</f>
        <v/>
      </c>
      <c r="UV24" s="26">
        <f>SUM(UV19:UV23)</f>
        <v/>
      </c>
      <c r="UW24" s="26">
        <f>SUM(UW19:UW23)</f>
        <v/>
      </c>
      <c r="UX24" s="127">
        <f>SUM(TT24:UW24)</f>
        <v/>
      </c>
      <c r="UY24" s="26">
        <f>SUM(UY19:UY23)</f>
        <v/>
      </c>
      <c r="UZ24" s="26">
        <f>SUM(UZ19:UZ23)</f>
        <v/>
      </c>
      <c r="VA24" s="26">
        <f>SUM(VA19:VA23)</f>
        <v/>
      </c>
      <c r="VB24" s="26">
        <f>SUM(VB19:VB23)</f>
        <v/>
      </c>
      <c r="VC24" s="26">
        <f>SUM(VC19:VC23)</f>
        <v/>
      </c>
      <c r="VD24" s="26">
        <f>SUM(VD19:VD23)</f>
        <v/>
      </c>
      <c r="VE24" s="26">
        <f>SUM(VE19:VE23)</f>
        <v/>
      </c>
      <c r="VF24" s="26">
        <f>SUM(VF19:VF23)</f>
        <v/>
      </c>
      <c r="VG24" s="26">
        <f>SUM(VG19:VG23)</f>
        <v/>
      </c>
      <c r="VH24" s="26">
        <f>SUM(VH19:VH23)</f>
        <v/>
      </c>
      <c r="VI24" s="26">
        <f>SUM(VI19:VI23)</f>
        <v/>
      </c>
      <c r="VJ24" s="26">
        <f>SUM(VJ19:VJ23)</f>
        <v/>
      </c>
      <c r="VK24" s="26">
        <f>SUM(VK19:VK23)</f>
        <v/>
      </c>
      <c r="VL24" s="26">
        <f>SUM(VL19:VL23)</f>
        <v/>
      </c>
      <c r="VM24" s="26">
        <f>SUM(VM19:VM23)</f>
        <v/>
      </c>
      <c r="VN24" s="26">
        <f>SUM(VN19:VN23)</f>
        <v/>
      </c>
      <c r="VO24" s="26">
        <f>SUM(VO19:VO23)</f>
        <v/>
      </c>
      <c r="VP24" s="26">
        <f>SUM(VP19:VP23)</f>
        <v/>
      </c>
      <c r="VQ24" s="26">
        <f>SUM(VQ19:VQ23)</f>
        <v/>
      </c>
      <c r="VR24" s="26">
        <f>SUM(VR19:VR23)</f>
        <v/>
      </c>
      <c r="VS24" s="26">
        <f>SUM(VS19:VS23)</f>
        <v/>
      </c>
      <c r="VT24" s="26">
        <f>SUM(VT19:VT23)</f>
        <v/>
      </c>
      <c r="VU24" s="26">
        <f>SUM(VU19:VU23)</f>
        <v/>
      </c>
      <c r="VV24" s="26">
        <f>SUM(VV19:VV23)</f>
        <v/>
      </c>
      <c r="VW24" s="26">
        <f>SUM(VW19:VW23)</f>
        <v/>
      </c>
      <c r="VX24" s="26">
        <f>SUM(VX19:VX23)</f>
        <v/>
      </c>
      <c r="VY24" s="26">
        <f>SUM(VY19:VY23)</f>
        <v/>
      </c>
      <c r="VZ24" s="26">
        <f>SUM(VZ19:VZ23)</f>
        <v/>
      </c>
      <c r="WA24" s="127">
        <f>SUM(UW24:VZ24)</f>
        <v/>
      </c>
      <c r="WB24" s="26">
        <f>SUM(WB19:WB23)</f>
        <v/>
      </c>
      <c r="WC24" s="26">
        <f>SUM(WC19:WC23)</f>
        <v/>
      </c>
      <c r="WD24" s="26">
        <f>SUM(WD19:WD23)</f>
        <v/>
      </c>
      <c r="WE24" s="26">
        <f>SUM(WE19:WE23)</f>
        <v/>
      </c>
      <c r="WF24" s="26">
        <f>SUM(WF19:WF23)</f>
        <v/>
      </c>
      <c r="WG24" s="26">
        <f>SUM(WG19:WG23)</f>
        <v/>
      </c>
      <c r="WH24" s="26">
        <f>SUM(WH19:WH23)</f>
        <v/>
      </c>
      <c r="WI24" s="26">
        <f>SUM(WI19:WI23)</f>
        <v/>
      </c>
      <c r="WJ24" s="26">
        <f>SUM(WJ19:WJ23)</f>
        <v/>
      </c>
      <c r="WK24" s="26">
        <f>SUM(WK19:WK23)</f>
        <v/>
      </c>
      <c r="WL24" s="26">
        <f>SUM(WL19:WL23)</f>
        <v/>
      </c>
      <c r="WM24" s="26">
        <f>SUM(WM19:WM23)</f>
        <v/>
      </c>
      <c r="WN24" s="26">
        <f>SUM(WN19:WN23)</f>
        <v/>
      </c>
      <c r="WO24" s="26">
        <f>SUM(WO19:WO23)</f>
        <v/>
      </c>
      <c r="WP24" s="26">
        <f>SUM(WP19:WP23)</f>
        <v/>
      </c>
      <c r="WQ24" s="26">
        <f>SUM(WQ19:WQ23)</f>
        <v/>
      </c>
      <c r="WR24" s="26">
        <f>SUM(WR19:WR23)</f>
        <v/>
      </c>
      <c r="WS24" s="26">
        <f>SUM(WS19:WS23)</f>
        <v/>
      </c>
      <c r="WT24" s="26">
        <f>SUM(WT19:WT23)</f>
        <v/>
      </c>
      <c r="WU24" s="26">
        <f>SUM(WU19:WU23)</f>
        <v/>
      </c>
      <c r="WV24" s="26">
        <f>SUM(WV19:WV23)</f>
        <v/>
      </c>
      <c r="WW24" s="26">
        <f>SUM(WW19:WW23)</f>
        <v/>
      </c>
      <c r="WX24" s="26">
        <f>SUM(WX19:WX23)</f>
        <v/>
      </c>
      <c r="WY24" s="26">
        <f>SUM(WY19:WY23)</f>
        <v/>
      </c>
      <c r="WZ24" s="26">
        <f>SUM(WZ19:WZ23)</f>
        <v/>
      </c>
      <c r="XA24" s="26">
        <f>SUM(XA19:XA23)</f>
        <v/>
      </c>
      <c r="XB24" s="26">
        <f>SUM(XB19:XB23)</f>
        <v/>
      </c>
      <c r="XC24" s="26">
        <f>SUM(XC19:XC23)</f>
        <v/>
      </c>
      <c r="XD24" s="26">
        <f>SUM(XD19:XD23)</f>
        <v/>
      </c>
      <c r="XE24" s="26">
        <f>SUM(XE19:XE23)</f>
        <v/>
      </c>
      <c r="XF24" s="26">
        <f>SUM(XF19:XF23)</f>
        <v/>
      </c>
      <c r="XG24" s="127">
        <f>SUM(WB24:XF24)</f>
        <v/>
      </c>
      <c r="XH24" s="26">
        <f>SUM(XH19:XH23)</f>
        <v/>
      </c>
      <c r="XI24" s="26">
        <f>SUM(XI19:XI23)</f>
        <v/>
      </c>
      <c r="XJ24" s="26">
        <f>SUM(XJ19:XJ23)</f>
        <v/>
      </c>
      <c r="XK24" s="26">
        <f>SUM(XK19:XK23)</f>
        <v/>
      </c>
      <c r="XL24" s="26">
        <f>SUM(XL19:XL23)</f>
        <v/>
      </c>
      <c r="XM24" s="26">
        <f>SUM(XM19:XM23)</f>
        <v/>
      </c>
      <c r="XN24" s="26">
        <f>SUM(XN19:XN23)</f>
        <v/>
      </c>
      <c r="XO24" s="26">
        <f>SUM(XO19:XO23)</f>
        <v/>
      </c>
      <c r="XP24" s="26">
        <f>SUM(XP19:XP23)</f>
        <v/>
      </c>
      <c r="XQ24" s="26">
        <f>SUM(XQ19:XQ23)</f>
        <v/>
      </c>
      <c r="XR24" s="26">
        <f>SUM(XR19:XR23)</f>
        <v/>
      </c>
      <c r="XS24" s="26">
        <f>SUM(XS19:XS23)</f>
        <v/>
      </c>
      <c r="XT24" s="26">
        <f>SUM(XT19:XT23)</f>
        <v/>
      </c>
      <c r="XU24" s="26">
        <f>SUM(XU19:XU23)</f>
        <v/>
      </c>
      <c r="XV24" s="26">
        <f>SUM(XV19:XV23)</f>
        <v/>
      </c>
      <c r="XW24" s="26">
        <f>SUM(XW19:XW23)</f>
        <v/>
      </c>
      <c r="XX24" s="26">
        <f>SUM(XX19:XX23)</f>
        <v/>
      </c>
      <c r="XY24" s="26">
        <f>SUM(XY19:XY23)</f>
        <v/>
      </c>
      <c r="XZ24" s="26">
        <f>SUM(XZ19:XZ23)</f>
        <v/>
      </c>
      <c r="YA24" s="26">
        <f>SUM(YA19:YA23)</f>
        <v/>
      </c>
      <c r="YB24" s="26">
        <f>SUM(YB19:YB23)</f>
        <v/>
      </c>
      <c r="YC24" s="26">
        <f>SUM(YC19:YC23)</f>
        <v/>
      </c>
      <c r="YD24" s="26">
        <f>SUM(YD19:YD23)</f>
        <v/>
      </c>
      <c r="YE24" s="26">
        <f>SUM(YE19:YE23)</f>
        <v/>
      </c>
      <c r="YF24" s="26">
        <f>SUM(YF19:YF23)</f>
        <v/>
      </c>
      <c r="YG24" s="26">
        <f>SUM(YG19:YG23)</f>
        <v/>
      </c>
      <c r="YH24" s="26">
        <f>SUM(YH19:YH23)</f>
        <v/>
      </c>
      <c r="YI24" s="26">
        <f>SUM(YI19:YI23)</f>
        <v/>
      </c>
      <c r="YJ24" s="26">
        <f>SUM(YJ19:YJ23)</f>
        <v/>
      </c>
      <c r="YK24" s="26">
        <f>SUM(YK19:YK23)</f>
        <v/>
      </c>
      <c r="YL24" s="127">
        <f>SUM(XH24:YK24)</f>
        <v/>
      </c>
      <c r="YM24" s="26">
        <f>SUM(YM19:YM23)</f>
        <v/>
      </c>
      <c r="YN24" s="26">
        <f>SUM(YN19:YN23)</f>
        <v/>
      </c>
      <c r="YO24" s="26">
        <f>SUM(YO19:YO23)</f>
        <v/>
      </c>
      <c r="YP24" s="26">
        <f>SUM(YP19:YP23)</f>
        <v/>
      </c>
      <c r="YQ24" s="26">
        <f>SUM(YQ19:YQ23)</f>
        <v/>
      </c>
      <c r="YR24" s="26">
        <f>SUM(YR19:YR23)</f>
        <v/>
      </c>
      <c r="YS24" s="26">
        <f>SUM(YS19:YS23)</f>
        <v/>
      </c>
      <c r="YT24" s="26">
        <f>SUM(YT19:YT23)</f>
        <v/>
      </c>
      <c r="YU24" s="26">
        <f>SUM(YU19:YU23)</f>
        <v/>
      </c>
      <c r="YV24" s="26">
        <f>SUM(YV19:YV23)</f>
        <v/>
      </c>
      <c r="YW24" s="26">
        <f>SUM(YW19:YW23)</f>
        <v/>
      </c>
      <c r="YX24" s="26">
        <f>SUM(YX19:YX23)</f>
        <v/>
      </c>
      <c r="YY24" s="26">
        <f>SUM(YY19:YY23)</f>
        <v/>
      </c>
      <c r="YZ24" s="26">
        <f>SUM(YZ19:YZ23)</f>
        <v/>
      </c>
      <c r="ZA24" s="26">
        <f>SUM(ZA19:ZA23)</f>
        <v/>
      </c>
      <c r="ZB24" s="26">
        <f>SUM(ZB19:ZB23)</f>
        <v/>
      </c>
      <c r="ZC24" s="26">
        <f>SUM(ZC19:ZC23)</f>
        <v/>
      </c>
      <c r="ZD24" s="26">
        <f>SUM(ZD19:ZD23)</f>
        <v/>
      </c>
      <c r="ZE24" s="26">
        <f>SUM(ZE19:ZE23)</f>
        <v/>
      </c>
      <c r="ZF24" s="26">
        <f>SUM(ZF19:ZF23)</f>
        <v/>
      </c>
      <c r="ZG24" s="26">
        <f>SUM(ZG19:ZG23)</f>
        <v/>
      </c>
      <c r="ZH24" s="26">
        <f>SUM(ZH19:ZH23)</f>
        <v/>
      </c>
      <c r="ZI24" s="26">
        <f>SUM(ZI19:ZI23)</f>
        <v/>
      </c>
      <c r="ZJ24" s="26">
        <f>SUM(ZJ19:ZJ23)</f>
        <v/>
      </c>
      <c r="ZK24" s="26">
        <f>SUM(ZK19:ZK23)</f>
        <v/>
      </c>
      <c r="ZL24" s="26">
        <f>SUM(ZL19:ZL23)</f>
        <v/>
      </c>
      <c r="ZM24" s="26">
        <f>SUM(ZM19:ZM23)</f>
        <v/>
      </c>
      <c r="ZN24" s="26">
        <f>SUM(ZN19:ZN23)</f>
        <v/>
      </c>
      <c r="ZO24" s="26">
        <f>SUM(ZO19:ZO23)</f>
        <v/>
      </c>
      <c r="ZP24" s="26">
        <f>SUM(ZP19:ZP23)</f>
        <v/>
      </c>
      <c r="ZQ24" s="26">
        <f>SUM(ZQ19:ZQ23)</f>
        <v/>
      </c>
      <c r="ZR24" s="127">
        <f>SUM(YM24:ZQ24)</f>
        <v/>
      </c>
      <c r="ZS24" s="26">
        <f>SUM(ZS19:ZS23)</f>
        <v/>
      </c>
      <c r="ZT24" s="26">
        <f>SUM(ZT19:ZT23)</f>
        <v/>
      </c>
      <c r="ZU24" s="26">
        <f>SUM(ZU19:ZU23)</f>
        <v/>
      </c>
      <c r="ZV24" s="26">
        <f>SUM(ZV19:ZV23)</f>
        <v/>
      </c>
      <c r="ZW24" s="26">
        <f>SUM(ZW19:ZW23)</f>
        <v/>
      </c>
      <c r="ZX24" s="26">
        <f>SUM(ZX19:ZX23)</f>
        <v/>
      </c>
      <c r="ZY24" s="26">
        <f>SUM(ZY19:ZY23)</f>
        <v/>
      </c>
      <c r="ZZ24" s="26">
        <f>SUM(ZZ19:ZZ23)</f>
        <v/>
      </c>
      <c r="AAA24" s="26">
        <f>SUM(AAA19:AAA23)</f>
        <v/>
      </c>
      <c r="AAB24" s="26">
        <f>SUM(AAB19:AAB23)</f>
        <v/>
      </c>
      <c r="AAC24" s="26">
        <f>SUM(AAC19:AAC23)</f>
        <v/>
      </c>
      <c r="AAD24" s="26">
        <f>SUM(AAD19:AAD23)</f>
        <v/>
      </c>
      <c r="AAE24" s="26">
        <f>SUM(AAE19:AAE23)</f>
        <v/>
      </c>
      <c r="AAF24" s="26">
        <f>SUM(AAF19:AAF23)</f>
        <v/>
      </c>
      <c r="AAG24" s="26">
        <f>SUM(AAG19:AAG23)</f>
        <v/>
      </c>
      <c r="AAH24" s="26">
        <f>SUM(AAH19:AAH23)</f>
        <v/>
      </c>
      <c r="AAI24" s="26">
        <f>SUM(AAI19:AAI23)</f>
        <v/>
      </c>
      <c r="AAJ24" s="26">
        <f>SUM(AAJ19:AAJ23)</f>
        <v/>
      </c>
      <c r="AAK24" s="26">
        <f>SUM(AAK19:AAK23)</f>
        <v/>
      </c>
      <c r="AAL24" s="26">
        <f>SUM(AAL19:AAL23)</f>
        <v/>
      </c>
      <c r="AAM24" s="26">
        <f>SUM(AAM19:AAM23)</f>
        <v/>
      </c>
      <c r="AAN24" s="26">
        <f>SUM(AAN19:AAN23)</f>
        <v/>
      </c>
      <c r="AAO24" s="26">
        <f>SUM(AAO19:AAO23)</f>
        <v/>
      </c>
      <c r="AAP24" s="26">
        <f>SUM(AAP19:AAP23)</f>
        <v/>
      </c>
      <c r="AAQ24" s="26">
        <f>SUM(AAQ19:AAQ23)</f>
        <v/>
      </c>
      <c r="AAR24" s="26">
        <f>SUM(AAR19:AAR23)</f>
        <v/>
      </c>
      <c r="AAS24" s="26">
        <f>SUM(AAS19:AAS23)</f>
        <v/>
      </c>
      <c r="AAT24" s="26">
        <f>SUM(AAT19:AAT23)</f>
        <v/>
      </c>
      <c r="AAU24" s="26">
        <f>SUM(AAU19:AAU23)</f>
        <v/>
      </c>
      <c r="AAV24" s="26">
        <f>SUM(AAV19:AAV23)</f>
        <v/>
      </c>
      <c r="AAW24" s="127">
        <f>SUM(ZS24:AAV24)</f>
        <v/>
      </c>
      <c r="AAX24" s="26">
        <f>SUM(AAX19:AAX23)</f>
        <v/>
      </c>
      <c r="AAY24" s="26">
        <f>SUM(AAY19:AAY23)</f>
        <v/>
      </c>
      <c r="AAZ24" s="26">
        <f>SUM(AAZ19:AAZ23)</f>
        <v/>
      </c>
      <c r="ABA24" s="26">
        <f>SUM(ABA19:ABA23)</f>
        <v/>
      </c>
      <c r="ABB24" s="26">
        <f>SUM(ABB19:ABB23)</f>
        <v/>
      </c>
      <c r="ABC24" s="26">
        <f>SUM(ABC19:ABC23)</f>
        <v/>
      </c>
      <c r="ABD24" s="26">
        <f>SUM(ABD19:ABD23)</f>
        <v/>
      </c>
      <c r="ABE24" s="26">
        <f>SUM(ABE19:ABE23)</f>
        <v/>
      </c>
      <c r="ABF24" s="26">
        <f>SUM(ABF19:ABF23)</f>
        <v/>
      </c>
      <c r="ABG24" s="26">
        <f>SUM(ABG19:ABG23)</f>
        <v/>
      </c>
      <c r="ABH24" s="26">
        <f>SUM(ABH19:ABH23)</f>
        <v/>
      </c>
      <c r="ABI24" s="26">
        <f>SUM(ABI19:ABI23)</f>
        <v/>
      </c>
      <c r="ABJ24" s="26">
        <f>SUM(ABJ19:ABJ23)</f>
        <v/>
      </c>
      <c r="ABK24" s="26">
        <f>SUM(ABK19:ABK23)</f>
        <v/>
      </c>
      <c r="ABL24" s="26">
        <f>SUM(ABL19:ABL23)</f>
        <v/>
      </c>
      <c r="ABM24" s="26">
        <f>SUM(ABM19:ABM23)</f>
        <v/>
      </c>
      <c r="ABN24" s="26">
        <f>SUM(ABN19:ABN23)</f>
        <v/>
      </c>
      <c r="ABO24" s="26">
        <f>SUM(ABO19:ABO23)</f>
        <v/>
      </c>
      <c r="ABP24" s="26">
        <f>SUM(ABP19:ABP23)</f>
        <v/>
      </c>
      <c r="ABQ24" s="26">
        <f>SUM(ABQ19:ABQ23)</f>
        <v/>
      </c>
      <c r="ABR24" s="26">
        <f>SUM(ABR19:ABR23)</f>
        <v/>
      </c>
      <c r="ABS24" s="26">
        <f>SUM(ABS19:ABS23)</f>
        <v/>
      </c>
      <c r="ABT24" s="26">
        <f>SUM(ABT19:ABT23)</f>
        <v/>
      </c>
      <c r="ABU24" s="26">
        <f>SUM(ABU19:ABU23)</f>
        <v/>
      </c>
      <c r="ABV24" s="26">
        <f>SUM(ABV19:ABV23)</f>
        <v/>
      </c>
      <c r="ABW24" s="26">
        <f>SUM(ABW19:ABW23)</f>
        <v/>
      </c>
      <c r="ABX24" s="26">
        <f>SUM(ABX19:ABX23)</f>
        <v/>
      </c>
      <c r="ABY24" s="26">
        <f>SUM(ABY19:ABY23)</f>
        <v/>
      </c>
      <c r="ABZ24" s="26">
        <f>SUM(ABZ19:ABZ23)</f>
        <v/>
      </c>
      <c r="ACA24" s="26">
        <f>SUM(ACA19:ACA23)</f>
        <v/>
      </c>
      <c r="ACB24" s="26">
        <f>SUM(ACB19:ACB23)</f>
        <v/>
      </c>
      <c r="ACC24" s="127">
        <f>SUM(AAX24:ACB24)</f>
        <v/>
      </c>
      <c r="ACD24" s="26">
        <f>SUM(ACD19:ACD23)</f>
        <v/>
      </c>
      <c r="ACE24" s="26">
        <f>SUM(ACE19:ACE23)</f>
        <v/>
      </c>
      <c r="ACF24" s="26">
        <f>SUM(ACF19:ACF23)</f>
        <v/>
      </c>
      <c r="ACG24" s="26">
        <f>SUM(ACG19:ACG23)</f>
        <v/>
      </c>
      <c r="ACH24" s="26">
        <f>SUM(ACH19:ACH23)</f>
        <v/>
      </c>
      <c r="ACI24" s="26">
        <f>SUM(ACI19:ACI23)</f>
        <v/>
      </c>
      <c r="ACJ24" s="26">
        <f>SUM(ACJ19:ACJ23)</f>
        <v/>
      </c>
      <c r="ACK24" s="26">
        <f>SUM(ACK19:ACK23)</f>
        <v/>
      </c>
      <c r="ACL24" s="26">
        <f>SUM(ACL19:ACL23)</f>
        <v/>
      </c>
      <c r="ACM24" s="26">
        <f>SUM(ACM19:ACM23)</f>
        <v/>
      </c>
      <c r="ACN24" s="26">
        <f>SUM(ACN19:ACN23)</f>
        <v/>
      </c>
      <c r="ACO24" s="26">
        <f>SUM(ACO19:ACO23)</f>
        <v/>
      </c>
      <c r="ACP24" s="26">
        <f>SUM(ACP19:ACP23)</f>
        <v/>
      </c>
      <c r="ACQ24" s="26">
        <f>SUM(ACQ19:ACQ23)</f>
        <v/>
      </c>
      <c r="ACR24" s="26">
        <f>SUM(ACR19:ACR23)</f>
        <v/>
      </c>
      <c r="ACS24" s="26">
        <f>SUM(ACS19:ACS23)</f>
        <v/>
      </c>
      <c r="ACT24" s="26">
        <f>SUM(ACT19:ACT23)</f>
        <v/>
      </c>
      <c r="ACU24" s="26">
        <f>SUM(ACU19:ACU23)</f>
        <v/>
      </c>
      <c r="ACV24" s="26">
        <f>SUM(ACV19:ACV23)</f>
        <v/>
      </c>
      <c r="ACW24" s="26">
        <f>SUM(ACW19:ACW23)</f>
        <v/>
      </c>
      <c r="ACX24" s="26">
        <f>SUM(ACX19:ACX23)</f>
        <v/>
      </c>
      <c r="ACY24" s="26">
        <f>SUM(ACY19:ACY23)</f>
        <v/>
      </c>
      <c r="ACZ24" s="26">
        <f>SUM(ACZ19:ACZ23)</f>
        <v/>
      </c>
      <c r="ADA24" s="26">
        <f>SUM(ADA19:ADA23)</f>
        <v/>
      </c>
      <c r="ADB24" s="26">
        <f>SUM(ADB19:ADB23)</f>
        <v/>
      </c>
      <c r="ADC24" s="26">
        <f>SUM(ADC19:ADC23)</f>
        <v/>
      </c>
      <c r="ADD24" s="26">
        <f>SUM(ADD19:ADD23)</f>
        <v/>
      </c>
      <c r="ADE24" s="26">
        <f>SUM(ADE19:ADE23)</f>
        <v/>
      </c>
      <c r="ADF24" s="26">
        <f>SUM(ADF19:ADF23)</f>
        <v/>
      </c>
      <c r="ADG24" s="26">
        <f>SUM(ADG19:ADG23)</f>
        <v/>
      </c>
      <c r="ADH24" s="26">
        <f>SUM(ADH19:ADH23)</f>
        <v/>
      </c>
      <c r="ADI24" s="127">
        <f>SUM(ACD24:ADH24)</f>
        <v/>
      </c>
      <c r="ADJ24" s="26">
        <f>SUM(ADJ19:ADJ23)</f>
        <v/>
      </c>
      <c r="ADK24" s="26">
        <f>SUM(ADK19:ADK23)</f>
        <v/>
      </c>
      <c r="ADL24" s="26">
        <f>SUM(ADL19:ADL23)</f>
        <v/>
      </c>
      <c r="ADM24" s="26">
        <f>SUM(ADM19:ADM23)</f>
        <v/>
      </c>
      <c r="ADN24" s="26">
        <f>SUM(ADN19:ADN23)</f>
        <v/>
      </c>
      <c r="ADO24" s="26">
        <f>SUM(ADO19:ADO23)</f>
        <v/>
      </c>
      <c r="ADP24" s="26">
        <f>SUM(ADP19:ADP23)</f>
        <v/>
      </c>
      <c r="ADQ24" s="26">
        <f>SUM(ADQ19:ADQ23)</f>
        <v/>
      </c>
      <c r="ADR24" s="26">
        <f>SUM(ADR19:ADR23)</f>
        <v/>
      </c>
      <c r="ADS24" s="26">
        <f>SUM(ADS19:ADS23)</f>
        <v/>
      </c>
      <c r="ADT24" s="26">
        <f>SUM(ADT19:ADT23)</f>
        <v/>
      </c>
      <c r="ADU24" s="26">
        <f>SUM(ADU19:ADU23)</f>
        <v/>
      </c>
      <c r="ADV24" s="26">
        <f>SUM(ADV19:ADV23)</f>
        <v/>
      </c>
      <c r="ADW24" s="26">
        <f>SUM(ADW19:ADW23)</f>
        <v/>
      </c>
      <c r="ADX24" s="26">
        <f>SUM(ADX19:ADX23)</f>
        <v/>
      </c>
      <c r="ADY24" s="26">
        <f>SUM(ADY19:ADY23)</f>
        <v/>
      </c>
      <c r="ADZ24" s="26">
        <f>SUM(ADZ19:ADZ23)</f>
        <v/>
      </c>
      <c r="AEA24" s="26">
        <f>SUM(AEA19:AEA23)</f>
        <v/>
      </c>
      <c r="AEB24" s="26">
        <f>SUM(AEB19:AEB23)</f>
        <v/>
      </c>
      <c r="AEC24" s="26">
        <f>SUM(AEC19:AEC23)</f>
        <v/>
      </c>
      <c r="AED24" s="26">
        <f>SUM(AED19:AED23)</f>
        <v/>
      </c>
      <c r="AEE24" s="26">
        <f>SUM(AEE19:AEE23)</f>
        <v/>
      </c>
      <c r="AEF24" s="26">
        <f>SUM(AEF19:AEF23)</f>
        <v/>
      </c>
      <c r="AEG24" s="26">
        <f>SUM(AEG19:AEG23)</f>
        <v/>
      </c>
      <c r="AEH24" s="26">
        <f>SUM(AEH19:AEH23)</f>
        <v/>
      </c>
      <c r="AEI24" s="26">
        <f>SUM(AEI19:AEI23)</f>
        <v/>
      </c>
      <c r="AEJ24" s="26">
        <f>SUM(AEJ19:AEJ23)</f>
        <v/>
      </c>
      <c r="AEK24" s="26">
        <f>SUM(AEK19:AEK23)</f>
        <v/>
      </c>
      <c r="AEL24" s="26">
        <f>SUM(AEL19:AEL23)</f>
        <v/>
      </c>
      <c r="AEM24" s="26">
        <f>SUM(AEM19:AEM23)</f>
        <v/>
      </c>
      <c r="AEN24" s="127">
        <f>SUM(ADJ24:AEM24)</f>
        <v/>
      </c>
      <c r="AEO24" s="26">
        <f>SUM(AEO19:AEO23)</f>
        <v/>
      </c>
      <c r="AEP24" s="26">
        <f>SUM(AEP19:AEP23)</f>
        <v/>
      </c>
      <c r="AEQ24" s="26">
        <f>SUM(AEQ19:AEQ23)</f>
        <v/>
      </c>
      <c r="AER24" s="26">
        <f>SUM(AER19:AER23)</f>
        <v/>
      </c>
      <c r="AES24" s="26">
        <f>SUM(AES19:AES23)</f>
        <v/>
      </c>
      <c r="AET24" s="26">
        <f>SUM(AET19:AET23)</f>
        <v/>
      </c>
      <c r="AEU24" s="26">
        <f>SUM(AEU19:AEU23)</f>
        <v/>
      </c>
      <c r="AEV24" s="26">
        <f>SUM(AEV19:AEV23)</f>
        <v/>
      </c>
      <c r="AEW24" s="26">
        <f>SUM(AEW19:AEW23)</f>
        <v/>
      </c>
      <c r="AEX24" s="26">
        <f>SUM(AEX19:AEX23)</f>
        <v/>
      </c>
      <c r="AEY24" s="26">
        <f>SUM(AEY19:AEY23)</f>
        <v/>
      </c>
      <c r="AEZ24" s="26">
        <f>SUM(AEZ19:AEZ23)</f>
        <v/>
      </c>
      <c r="AFA24" s="26">
        <f>SUM(AFA19:AFA23)</f>
        <v/>
      </c>
      <c r="AFB24" s="26">
        <f>SUM(AFB19:AFB23)</f>
        <v/>
      </c>
      <c r="AFC24" s="26">
        <f>SUM(AFC19:AFC23)</f>
        <v/>
      </c>
      <c r="AFD24" s="26">
        <f>SUM(AFD19:AFD23)</f>
        <v/>
      </c>
      <c r="AFE24" s="26">
        <f>SUM(AFE19:AFE23)</f>
        <v/>
      </c>
      <c r="AFF24" s="26">
        <f>SUM(AFF19:AFF23)</f>
        <v/>
      </c>
      <c r="AFG24" s="26">
        <f>SUM(AFG19:AFG23)</f>
        <v/>
      </c>
      <c r="AFH24" s="26">
        <f>SUM(AFH19:AFH23)</f>
        <v/>
      </c>
      <c r="AFI24" s="26">
        <f>SUM(AFI19:AFI23)</f>
        <v/>
      </c>
      <c r="AFJ24" s="26">
        <f>SUM(AFJ19:AFJ23)</f>
        <v/>
      </c>
      <c r="AFK24" s="26">
        <f>SUM(AFK19:AFK23)</f>
        <v/>
      </c>
      <c r="AFL24" s="26">
        <f>SUM(AFL19:AFL23)</f>
        <v/>
      </c>
      <c r="AFM24" s="26">
        <f>SUM(AFM19:AFM23)</f>
        <v/>
      </c>
      <c r="AFN24" s="26">
        <f>SUM(AFN19:AFN23)</f>
        <v/>
      </c>
      <c r="AFO24" s="26">
        <f>SUM(AFO19:AFO23)</f>
        <v/>
      </c>
      <c r="AFP24" s="26">
        <f>SUM(AFP19:AFP23)</f>
        <v/>
      </c>
      <c r="AFQ24" s="26">
        <f>SUM(AFQ19:AFQ23)</f>
        <v/>
      </c>
      <c r="AFR24" s="26">
        <f>SUM(AFR19:AFR23)</f>
        <v/>
      </c>
      <c r="AFS24" s="26">
        <f>SUM(AFS19:AFS23)</f>
        <v/>
      </c>
      <c r="AFT24" s="127">
        <f>SUM(AEO24:AFS24)</f>
        <v/>
      </c>
      <c r="AFU24" s="26">
        <f>SUM(AFU19:AFU23)</f>
        <v/>
      </c>
      <c r="AFV24" s="26">
        <f>SUM(AFV19:AFV23)</f>
        <v/>
      </c>
      <c r="AFW24" s="26">
        <f>SUM(AFW19:AFW23)</f>
        <v/>
      </c>
      <c r="AFX24" s="26">
        <f>SUM(AFX19:AFX23)</f>
        <v/>
      </c>
      <c r="AFY24" s="26">
        <f>SUM(AFY19:AFY23)</f>
        <v/>
      </c>
      <c r="AFZ24" s="26">
        <f>SUM(AFZ19:AFZ23)</f>
        <v/>
      </c>
      <c r="AGA24" s="26">
        <f>SUM(AGA19:AGA23)</f>
        <v/>
      </c>
      <c r="AGB24" s="26">
        <f>SUM(AGB19:AGB23)</f>
        <v/>
      </c>
      <c r="AGC24" s="26">
        <f>SUM(AGC19:AGC23)</f>
        <v/>
      </c>
      <c r="AGD24" s="26">
        <f>SUM(AGD19:AGD23)</f>
        <v/>
      </c>
      <c r="AGE24" s="26">
        <f>SUM(AGE19:AGE23)</f>
        <v/>
      </c>
      <c r="AGF24" s="26">
        <f>SUM(AGF19:AGF23)</f>
        <v/>
      </c>
      <c r="AGG24" s="26">
        <f>SUM(AGG19:AGG23)</f>
        <v/>
      </c>
      <c r="AGH24" s="26">
        <f>SUM(AGH19:AGH23)</f>
        <v/>
      </c>
      <c r="AGI24" s="26">
        <f>SUM(AGI19:AGI23)</f>
        <v/>
      </c>
      <c r="AGJ24" s="26">
        <f>SUM(AGJ19:AGJ23)</f>
        <v/>
      </c>
      <c r="AGK24" s="26">
        <f>SUM(AGK19:AGK23)</f>
        <v/>
      </c>
      <c r="AGL24" s="26">
        <f>SUM(AGL19:AGL23)</f>
        <v/>
      </c>
      <c r="AGM24" s="26">
        <f>SUM(AGM19:AGM23)</f>
        <v/>
      </c>
      <c r="AGN24" s="26">
        <f>SUM(AGN19:AGN23)</f>
        <v/>
      </c>
      <c r="AGO24" s="26">
        <f>SUM(AGO19:AGO23)</f>
        <v/>
      </c>
      <c r="AGP24" s="26">
        <f>SUM(AGP19:AGP23)</f>
        <v/>
      </c>
      <c r="AGQ24" s="26">
        <f>SUM(AGQ19:AGQ23)</f>
        <v/>
      </c>
      <c r="AGR24" s="26">
        <f>SUM(AGR19:AGR23)</f>
        <v/>
      </c>
      <c r="AGS24" s="26">
        <f>SUM(AGS19:AGS23)</f>
        <v/>
      </c>
      <c r="AGT24" s="26">
        <f>SUM(AGT19:AGT23)</f>
        <v/>
      </c>
      <c r="AGU24" s="26">
        <f>SUM(AGU19:AGU23)</f>
        <v/>
      </c>
      <c r="AGV24" s="26">
        <f>SUM(AGV19:AGV23)</f>
        <v/>
      </c>
      <c r="AGW24" s="26">
        <f>SUM(AGW19:AGW23)</f>
        <v/>
      </c>
      <c r="AGX24" s="26">
        <f>SUM(AGX19:AGX23)</f>
        <v/>
      </c>
      <c r="AGY24" s="127">
        <f>SUM(AFU24:AGX24)</f>
        <v/>
      </c>
      <c r="AGZ24" s="26">
        <f>SUM(AGZ19:AGZ23)</f>
        <v/>
      </c>
      <c r="AHA24" s="26">
        <f>SUM(AHA19:AHA23)</f>
        <v/>
      </c>
      <c r="AHB24" s="26">
        <f>SUM(AHB19:AHB23)</f>
        <v/>
      </c>
      <c r="AHC24" s="26">
        <f>SUM(AHC19:AHC23)</f>
        <v/>
      </c>
      <c r="AHD24" s="26">
        <f>SUM(AHD19:AHD23)</f>
        <v/>
      </c>
      <c r="AHE24" s="26">
        <f>SUM(AHE19:AHE23)</f>
        <v/>
      </c>
      <c r="AHF24" s="26">
        <f>SUM(AHF19:AHF23)</f>
        <v/>
      </c>
      <c r="AHG24" s="26">
        <f>SUM(AHG19:AHG23)</f>
        <v/>
      </c>
      <c r="AHH24" s="26">
        <f>SUM(AHH19:AHH23)</f>
        <v/>
      </c>
      <c r="AHI24" s="26">
        <f>SUM(AHI19:AHI23)</f>
        <v/>
      </c>
      <c r="AHJ24" s="26">
        <f>SUM(AHJ19:AHJ23)</f>
        <v/>
      </c>
      <c r="AHK24" s="26">
        <f>SUM(AHK19:AHK23)</f>
        <v/>
      </c>
      <c r="AHL24" s="26">
        <f>SUM(AHL19:AHL23)</f>
        <v/>
      </c>
      <c r="AHM24" s="26">
        <f>SUM(AHM19:AHM23)</f>
        <v/>
      </c>
      <c r="AHN24" s="26">
        <f>SUM(AHN19:AHN23)</f>
        <v/>
      </c>
      <c r="AHO24" s="26">
        <f>SUM(AHO19:AHO23)</f>
        <v/>
      </c>
      <c r="AHP24" s="26">
        <f>SUM(AHP19:AHP23)</f>
        <v/>
      </c>
      <c r="AHQ24" s="26">
        <f>SUM(AHQ19:AHQ23)</f>
        <v/>
      </c>
      <c r="AHR24" s="26">
        <f>SUM(AHR19:AHR23)</f>
        <v/>
      </c>
      <c r="AHS24" s="26">
        <f>SUM(AHS19:AHS23)</f>
        <v/>
      </c>
      <c r="AHT24" s="26">
        <f>SUM(AHT19:AHT23)</f>
        <v/>
      </c>
      <c r="AHU24" s="26">
        <f>SUM(AHU19:AHU23)</f>
        <v/>
      </c>
      <c r="AHV24" s="26">
        <f>SUM(AHV19:AHV23)</f>
        <v/>
      </c>
      <c r="AHW24" s="26">
        <f>SUM(AHW19:AHW23)</f>
        <v/>
      </c>
      <c r="AHX24" s="26">
        <f>SUM(AHX19:AHX23)</f>
        <v/>
      </c>
      <c r="AHY24" s="26">
        <f>SUM(AHY19:AHY23)</f>
        <v/>
      </c>
      <c r="AHZ24" s="26">
        <f>SUM(AHZ19:AHZ23)</f>
        <v/>
      </c>
      <c r="AIA24" s="26">
        <f>SUM(AIA19:AIA23)</f>
        <v/>
      </c>
      <c r="AIB24" s="26">
        <f>SUM(AIB19:AIB23)</f>
        <v/>
      </c>
      <c r="AIC24" s="26">
        <f>SUM(AIC19:AIC23)</f>
        <v/>
      </c>
      <c r="AID24" s="26">
        <f>SUM(AID19:AID23)</f>
        <v/>
      </c>
      <c r="AIE24" s="127">
        <f>SUM(AGZ24:AID24)</f>
        <v/>
      </c>
      <c r="AIF24" s="26">
        <f>SUM(AIF19:AIF23)</f>
        <v/>
      </c>
      <c r="AIG24" s="26">
        <f>SUM(AIG19:AIG23)</f>
        <v/>
      </c>
      <c r="AIH24" s="26">
        <f>SUM(AIH19:AIH23)</f>
        <v/>
      </c>
      <c r="AII24" s="26">
        <f>SUM(AII19:AII23)</f>
        <v/>
      </c>
      <c r="AIJ24" s="26">
        <f>SUM(AIJ19:AIJ23)</f>
        <v/>
      </c>
      <c r="AIK24" s="26">
        <f>SUM(AIK19:AIK23)</f>
        <v/>
      </c>
      <c r="AIL24" s="26">
        <f>SUM(AIL19:AIL23)</f>
        <v/>
      </c>
      <c r="AIM24" s="26">
        <f>SUM(AIM19:AIM23)</f>
        <v/>
      </c>
      <c r="AIN24" s="26">
        <f>SUM(AIN19:AIN23)</f>
        <v/>
      </c>
      <c r="AIO24" s="26">
        <f>SUM(AIO19:AIO23)</f>
        <v/>
      </c>
      <c r="AIP24" s="26">
        <f>SUM(AIP19:AIP23)</f>
        <v/>
      </c>
      <c r="AIQ24" s="26">
        <f>SUM(AIQ19:AIQ23)</f>
        <v/>
      </c>
      <c r="AIR24" s="26">
        <f>SUM(AIR19:AIR23)</f>
        <v/>
      </c>
      <c r="AIS24" s="26">
        <f>SUM(AIS19:AIS23)</f>
        <v/>
      </c>
      <c r="AIT24" s="26">
        <f>SUM(AIT19:AIT23)</f>
        <v/>
      </c>
      <c r="AIU24" s="26">
        <f>SUM(AIU19:AIU23)</f>
        <v/>
      </c>
      <c r="AIV24" s="26">
        <f>SUM(AIV19:AIV23)</f>
        <v/>
      </c>
      <c r="AIW24" s="26">
        <f>SUM(AIW19:AIW23)</f>
        <v/>
      </c>
      <c r="AIX24" s="26">
        <f>SUM(AIX19:AIX23)</f>
        <v/>
      </c>
      <c r="AIY24" s="26">
        <f>SUM(AIY19:AIY23)</f>
        <v/>
      </c>
      <c r="AIZ24" s="26">
        <f>SUM(AIZ19:AIZ23)</f>
        <v/>
      </c>
      <c r="AJA24" s="26">
        <f>SUM(AJA19:AJA23)</f>
        <v/>
      </c>
      <c r="AJB24" s="26">
        <f>SUM(AJB19:AJB23)</f>
        <v/>
      </c>
      <c r="AJC24" s="26">
        <f>SUM(AJC19:AJC23)</f>
        <v/>
      </c>
      <c r="AJD24" s="26">
        <f>SUM(AJD19:AJD23)</f>
        <v/>
      </c>
      <c r="AJE24" s="26">
        <f>SUM(AJE19:AJE23)</f>
        <v/>
      </c>
      <c r="AJF24" s="26">
        <f>SUM(AJF19:AJF23)</f>
        <v/>
      </c>
      <c r="AJG24" s="26">
        <f>SUM(AJG19:AJG23)</f>
        <v/>
      </c>
      <c r="AJH24" s="26">
        <f>SUM(AJH19:AJH23)</f>
        <v/>
      </c>
      <c r="AJI24" s="26">
        <f>SUM(AJI19:AJI23)</f>
        <v/>
      </c>
      <c r="AJJ24" s="26">
        <f>SUM(AJJ19:AJJ23)</f>
        <v/>
      </c>
      <c r="AJK24" s="127">
        <f>SUM(AIF24:AJJ24)</f>
        <v/>
      </c>
      <c r="AJL24" s="26">
        <f>SUM(AJL19:AJL23)</f>
        <v/>
      </c>
      <c r="AJM24" s="26">
        <f>SUM(AJM19:AJM23)</f>
        <v/>
      </c>
      <c r="AJN24" s="26">
        <f>SUM(AJN19:AJN23)</f>
        <v/>
      </c>
      <c r="AJO24" s="26">
        <f>SUM(AJO19:AJO23)</f>
        <v/>
      </c>
      <c r="AJP24" s="26">
        <f>SUM(AJP19:AJP23)</f>
        <v/>
      </c>
      <c r="AJQ24" s="26">
        <f>SUM(AJQ19:AJQ23)</f>
        <v/>
      </c>
      <c r="AJR24" s="26">
        <f>SUM(AJR19:AJR23)</f>
        <v/>
      </c>
      <c r="AJS24" s="26">
        <f>SUM(AJS19:AJS23)</f>
        <v/>
      </c>
      <c r="AJT24" s="26">
        <f>SUM(AJT19:AJT23)</f>
        <v/>
      </c>
      <c r="AJU24" s="26">
        <f>SUM(AJU19:AJU23)</f>
        <v/>
      </c>
      <c r="AJV24" s="26">
        <f>SUM(AJV19:AJV23)</f>
        <v/>
      </c>
      <c r="AJW24" s="26">
        <f>SUM(AJW19:AJW23)</f>
        <v/>
      </c>
      <c r="AJX24" s="26">
        <f>SUM(AJX19:AJX23)</f>
        <v/>
      </c>
      <c r="AJY24" s="26">
        <f>SUM(AJY19:AJY23)</f>
        <v/>
      </c>
      <c r="AJZ24" s="26">
        <f>SUM(AJZ19:AJZ23)</f>
        <v/>
      </c>
      <c r="AKA24" s="26">
        <f>SUM(AKA19:AKA23)</f>
        <v/>
      </c>
      <c r="AKB24" s="26">
        <f>SUM(AKB19:AKB23)</f>
        <v/>
      </c>
      <c r="AKC24" s="26">
        <f>SUM(AKC19:AKC23)</f>
        <v/>
      </c>
      <c r="AKD24" s="26">
        <f>SUM(AKD19:AKD23)</f>
        <v/>
      </c>
      <c r="AKE24" s="26">
        <f>SUM(AKE19:AKE23)</f>
        <v/>
      </c>
      <c r="AKF24" s="26">
        <f>SUM(AKF19:AKF23)</f>
        <v/>
      </c>
      <c r="AKG24" s="26">
        <f>SUM(AKG19:AKG23)</f>
        <v/>
      </c>
      <c r="AKH24" s="26">
        <f>SUM(AKH19:AKH23)</f>
        <v/>
      </c>
      <c r="AKI24" s="26">
        <f>SUM(AKI19:AKI23)</f>
        <v/>
      </c>
      <c r="AKJ24" s="26">
        <f>SUM(AKJ19:AKJ23)</f>
        <v/>
      </c>
      <c r="AKK24" s="26">
        <f>SUM(AKK19:AKK23)</f>
        <v/>
      </c>
      <c r="AKL24" s="26">
        <f>SUM(AKL19:AKL23)</f>
        <v/>
      </c>
      <c r="AKM24" s="26">
        <f>SUM(AKM19:AKM23)</f>
        <v/>
      </c>
      <c r="AKN24" s="127">
        <f>SUM(AJL24:AKM24)</f>
        <v/>
      </c>
      <c r="AKO24" s="26">
        <f>SUM(AKO19:AKO23)</f>
        <v/>
      </c>
      <c r="AKP24" s="26">
        <f>SUM(AKP19:AKP23)</f>
        <v/>
      </c>
      <c r="AKQ24" s="26">
        <f>SUM(AKQ19:AKQ23)</f>
        <v/>
      </c>
      <c r="AKR24" s="26">
        <f>SUM(AKR19:AKR23)</f>
        <v/>
      </c>
      <c r="AKS24" s="26">
        <f>SUM(AKS19:AKS23)</f>
        <v/>
      </c>
      <c r="AKT24" s="26">
        <f>SUM(AKT19:AKT23)</f>
        <v/>
      </c>
      <c r="AKU24" s="26">
        <f>SUM(AKU19:AKU23)</f>
        <v/>
      </c>
      <c r="AKV24" s="26">
        <f>SUM(AKV19:AKV23)</f>
        <v/>
      </c>
      <c r="AKW24" s="26">
        <f>SUM(AKW19:AKW23)</f>
        <v/>
      </c>
      <c r="AKX24" s="26">
        <f>SUM(AKX19:AKX23)</f>
        <v/>
      </c>
      <c r="AKY24" s="26">
        <f>SUM(AKY19:AKY23)</f>
        <v/>
      </c>
      <c r="AKZ24" s="26">
        <f>SUM(AKZ19:AKZ23)</f>
        <v/>
      </c>
      <c r="ALA24" s="26">
        <f>SUM(ALA19:ALA23)</f>
        <v/>
      </c>
      <c r="ALB24" s="26">
        <f>SUM(ALB19:ALB23)</f>
        <v/>
      </c>
      <c r="ALC24" s="26">
        <f>SUM(ALC19:ALC23)</f>
        <v/>
      </c>
      <c r="ALD24" s="26">
        <f>SUM(ALD19:ALD23)</f>
        <v/>
      </c>
      <c r="ALE24" s="26">
        <f>SUM(ALE19:ALE23)</f>
        <v/>
      </c>
      <c r="ALF24" s="26">
        <f>SUM(ALF19:ALF23)</f>
        <v/>
      </c>
      <c r="ALG24" s="26">
        <f>SUM(ALG19:ALG23)</f>
        <v/>
      </c>
      <c r="ALH24" s="26">
        <f>SUM(ALH19:ALH23)</f>
        <v/>
      </c>
      <c r="ALI24" s="26">
        <f>SUM(ALI19:ALI23)</f>
        <v/>
      </c>
      <c r="ALJ24" s="26">
        <f>SUM(ALJ19:ALJ23)</f>
        <v/>
      </c>
      <c r="ALK24" s="26">
        <f>SUM(ALK19:ALK23)</f>
        <v/>
      </c>
      <c r="ALL24" s="26">
        <f>SUM(ALL19:ALL23)</f>
        <v/>
      </c>
      <c r="ALM24" s="26">
        <f>SUM(ALM19:ALM23)</f>
        <v/>
      </c>
      <c r="ALN24" s="26">
        <f>SUM(ALN19:ALN23)</f>
        <v/>
      </c>
      <c r="ALO24" s="26">
        <f>SUM(ALO19:ALO23)</f>
        <v/>
      </c>
      <c r="ALP24" s="26">
        <f>SUM(ALP19:ALP23)</f>
        <v/>
      </c>
      <c r="ALQ24" s="26">
        <f>SUM(ALQ19:ALQ23)</f>
        <v/>
      </c>
      <c r="ALR24" s="26">
        <f>SUM(ALR19:ALR23)</f>
        <v/>
      </c>
      <c r="ALS24" s="26">
        <f>SUM(ALS19:ALS23)</f>
        <v/>
      </c>
      <c r="ALT24" s="127">
        <f>SUM(AKO24:ALS24)</f>
        <v/>
      </c>
      <c r="ALU24" s="26">
        <f>SUM(ALU19:ALU23)</f>
        <v/>
      </c>
      <c r="ALV24" s="26">
        <f>SUM(ALV19:ALV23)</f>
        <v/>
      </c>
      <c r="ALW24" s="26">
        <f>SUM(ALW19:ALW23)</f>
        <v/>
      </c>
      <c r="ALX24" s="26">
        <f>SUM(ALX19:ALX23)</f>
        <v/>
      </c>
      <c r="ALY24" s="26">
        <f>SUM(ALY19:ALY23)</f>
        <v/>
      </c>
      <c r="ALZ24" s="26">
        <f>SUM(ALZ19:ALZ23)</f>
        <v/>
      </c>
      <c r="AMA24" s="26">
        <f>SUM(AMA19:AMA23)</f>
        <v/>
      </c>
      <c r="AMB24" s="26">
        <f>SUM(AMB19:AMB23)</f>
        <v/>
      </c>
      <c r="AMC24" s="26">
        <f>SUM(AMC19:AMC23)</f>
        <v/>
      </c>
      <c r="AMD24" s="26">
        <f>SUM(AMD19:AMD23)</f>
        <v/>
      </c>
      <c r="AME24" s="26">
        <f>SUM(AME19:AME23)</f>
        <v/>
      </c>
      <c r="AMF24" s="26">
        <f>SUM(AMF19:AMF23)</f>
        <v/>
      </c>
      <c r="AMG24" s="26">
        <f>SUM(AMG19:AMG23)</f>
        <v/>
      </c>
      <c r="AMH24" s="26">
        <f>SUM(AMH19:AMH23)</f>
        <v/>
      </c>
      <c r="AMI24" s="26">
        <f>SUM(AMI19:AMI23)</f>
        <v/>
      </c>
      <c r="AMJ24" s="26">
        <f>SUM(AMJ19:AMJ23)</f>
        <v/>
      </c>
      <c r="AMK24" s="26">
        <f>SUM(AMK19:AMK23)</f>
        <v/>
      </c>
      <c r="AML24" s="26">
        <f>SUM(AML19:AML23)</f>
        <v/>
      </c>
      <c r="AMM24" s="26">
        <f>SUM(AMM19:AMM23)</f>
        <v/>
      </c>
      <c r="AMN24" s="26">
        <f>SUM(AMN19:AMN23)</f>
        <v/>
      </c>
      <c r="AMO24" s="26">
        <f>SUM(AMO19:AMO23)</f>
        <v/>
      </c>
      <c r="AMP24" s="26">
        <f>SUM(AMP19:AMP23)</f>
        <v/>
      </c>
      <c r="AMQ24" s="26">
        <f>SUM(AMQ19:AMQ23)</f>
        <v/>
      </c>
      <c r="AMR24" s="26">
        <f>SUM(AMR19:AMR23)</f>
        <v/>
      </c>
      <c r="AMS24" s="26">
        <f>SUM(AMS19:AMS23)</f>
        <v/>
      </c>
      <c r="AMT24" s="26">
        <f>SUM(AMT19:AMT23)</f>
        <v/>
      </c>
      <c r="AMU24" s="26">
        <f>SUM(AMU19:AMU23)</f>
        <v/>
      </c>
      <c r="AMV24" s="26">
        <f>SUM(AMV19:AMV23)</f>
        <v/>
      </c>
      <c r="AMW24" s="26">
        <f>SUM(AMW19:AMW23)</f>
        <v/>
      </c>
      <c r="AMX24" s="26">
        <f>SUM(AMX19:AMX23)</f>
        <v/>
      </c>
      <c r="AMY24" s="127">
        <f>SUM(ALU24:AMX24)</f>
        <v/>
      </c>
      <c r="AMZ24" s="26">
        <f>SUM(AMZ19:AMZ23)</f>
        <v/>
      </c>
      <c r="ANA24" s="26">
        <f>SUM(ANA19:ANA23)</f>
        <v/>
      </c>
      <c r="ANB24" s="26">
        <f>SUM(ANB19:ANB23)</f>
        <v/>
      </c>
      <c r="ANC24" s="26">
        <f>SUM(ANC19:ANC23)</f>
        <v/>
      </c>
      <c r="AND24" s="26">
        <f>SUM(AND19:AND23)</f>
        <v/>
      </c>
      <c r="ANE24" s="26">
        <f>SUM(ANE19:ANE23)</f>
        <v/>
      </c>
      <c r="ANF24" s="26">
        <f>SUM(ANF19:ANF23)</f>
        <v/>
      </c>
      <c r="ANG24" s="26">
        <f>SUM(ANG19:ANG23)</f>
        <v/>
      </c>
      <c r="ANH24" s="26">
        <f>SUM(ANH19:ANH23)</f>
        <v/>
      </c>
      <c r="ANI24" s="26">
        <f>SUM(ANI19:ANI23)</f>
        <v/>
      </c>
      <c r="ANJ24" s="26">
        <f>SUM(ANJ19:ANJ23)</f>
        <v/>
      </c>
      <c r="ANK24" s="26">
        <f>SUM(ANK19:ANK23)</f>
        <v/>
      </c>
      <c r="ANL24" s="26">
        <f>SUM(ANL19:ANL23)</f>
        <v/>
      </c>
      <c r="ANM24" s="26">
        <f>SUM(ANM19:ANM23)</f>
        <v/>
      </c>
      <c r="ANN24" s="26">
        <f>SUM(ANN19:ANN23)</f>
        <v/>
      </c>
      <c r="ANO24" s="26">
        <f>SUM(ANO19:ANO23)</f>
        <v/>
      </c>
      <c r="ANP24" s="26">
        <f>SUM(ANP19:ANP23)</f>
        <v/>
      </c>
      <c r="ANQ24" s="26">
        <f>SUM(ANQ19:ANQ23)</f>
        <v/>
      </c>
      <c r="ANR24" s="26">
        <f>SUM(ANR19:ANR23)</f>
        <v/>
      </c>
      <c r="ANS24" s="26">
        <f>SUM(ANS19:ANS23)</f>
        <v/>
      </c>
      <c r="ANT24" s="26">
        <f>SUM(ANT19:ANT23)</f>
        <v/>
      </c>
      <c r="ANU24" s="26">
        <f>SUM(ANU19:ANU23)</f>
        <v/>
      </c>
      <c r="ANV24" s="26">
        <f>SUM(ANV19:ANV23)</f>
        <v/>
      </c>
      <c r="ANW24" s="26">
        <f>SUM(ANW19:ANW23)</f>
        <v/>
      </c>
      <c r="ANX24" s="26">
        <f>SUM(ANX19:ANX23)</f>
        <v/>
      </c>
      <c r="ANY24" s="26">
        <f>SUM(ANY19:ANY23)</f>
        <v/>
      </c>
      <c r="ANZ24" s="26">
        <f>SUM(ANZ19:ANZ23)</f>
        <v/>
      </c>
      <c r="AOA24" s="26">
        <f>SUM(AOA19:AOA23)</f>
        <v/>
      </c>
      <c r="AOB24" s="26">
        <f>SUM(AOB19:AOB23)</f>
        <v/>
      </c>
      <c r="AOC24" s="26">
        <f>SUM(AOC19:AOC23)</f>
        <v/>
      </c>
    </row>
    <row r="25">
      <c r="A25" s="76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95" t="n"/>
      <c r="BM25" s="97" t="n"/>
      <c r="CS25" s="111">
        <f>SUM(BN25:CR25)</f>
        <v/>
      </c>
      <c r="DX25" s="117" t="n"/>
      <c r="FD25" s="128" t="n"/>
      <c r="GJ25" s="127">
        <f>SUM(FE25:GI25)</f>
        <v/>
      </c>
      <c r="HN25" s="127">
        <f>SUM(GK25:HM25)</f>
        <v/>
      </c>
      <c r="IT25" s="127">
        <f>SUM(HO25:IS25)</f>
        <v/>
      </c>
      <c r="JY25" s="127">
        <f>SUM(IU25:JX25)</f>
        <v/>
      </c>
      <c r="LE25" s="127">
        <f>SUM(KA25:LD25)</f>
        <v/>
      </c>
      <c r="MJ25" s="127">
        <f>SUM(LF25:MI25)</f>
        <v/>
      </c>
      <c r="NP25" s="127">
        <f>SUM(ML25:NO25)</f>
        <v/>
      </c>
      <c r="OV25" s="127">
        <f>SUM(NR25:OU25)</f>
        <v/>
      </c>
      <c r="QA25" s="127">
        <f>SUM(OW25:PZ25)</f>
        <v/>
      </c>
      <c r="RG25" s="127">
        <f>SUM(QC25:RF25)</f>
        <v/>
      </c>
      <c r="SL25" s="127">
        <f>SUM(RH25:SK25)</f>
        <v/>
      </c>
      <c r="TR25" s="127">
        <f>SUM(SN25:TQ25)</f>
        <v/>
      </c>
      <c r="UX25" s="127">
        <f>SUM(TT25:UW25)</f>
        <v/>
      </c>
      <c r="WA25" s="127">
        <f>SUM(UW25:VZ25)</f>
        <v/>
      </c>
      <c r="XG25" s="127">
        <f>SUM(WC25:XF25)</f>
        <v/>
      </c>
      <c r="YL25" s="127">
        <f>SUM(XI25:YK25)</f>
        <v/>
      </c>
      <c r="ZR25" s="127">
        <f>SUM(YO25:ZQ25)</f>
        <v/>
      </c>
      <c r="AAW25" s="127">
        <f>SUM(ZT25:AAV25)</f>
        <v/>
      </c>
      <c r="ACC25" s="127">
        <f>SUM(AAZ25:ACB25)</f>
        <v/>
      </c>
      <c r="ADI25" s="127">
        <f>SUM(ACF25:ADH25)</f>
        <v/>
      </c>
      <c r="AEN25" s="127">
        <f>SUM(ADK25:AEM25)</f>
        <v/>
      </c>
      <c r="AFT25" s="127">
        <f>SUM(AEQ25:AFS25)</f>
        <v/>
      </c>
      <c r="AGY25" s="127">
        <f>SUM(AFV25:AGX25)</f>
        <v/>
      </c>
      <c r="AIE25" s="127">
        <f>SUM(AHB25:AID25)</f>
        <v/>
      </c>
      <c r="AJK25" s="127">
        <f>SUM(AIH25:AJJ25)</f>
        <v/>
      </c>
      <c r="AKN25" s="127">
        <f>SUM(AJL25:AKM25)</f>
        <v/>
      </c>
      <c r="ALT25" s="127">
        <f>SUM(AKO25:ALS25)</f>
        <v/>
      </c>
      <c r="AMY25" s="127">
        <f>SUM(ALU25:AMX25)</f>
        <v/>
      </c>
    </row>
    <row r="26">
      <c r="A26" s="164" t="inlineStr">
        <is>
          <t>TOTAL EXPENSES</t>
        </is>
      </c>
      <c r="C26" s="28">
        <f>EXPENSES!C32</f>
        <v/>
      </c>
      <c r="D26" s="28">
        <f>EXPENSES!D32</f>
        <v/>
      </c>
      <c r="E26" s="28">
        <f>EXPENSES!E32</f>
        <v/>
      </c>
      <c r="F26" s="28">
        <f>EXPENSES!F32</f>
        <v/>
      </c>
      <c r="G26" s="28">
        <f>EXPENSES!G32</f>
        <v/>
      </c>
      <c r="H26" s="28">
        <f>EXPENSES!H32</f>
        <v/>
      </c>
      <c r="I26" s="28">
        <f>EXPENSES!I32</f>
        <v/>
      </c>
      <c r="J26" s="28">
        <f>EXPENSES!J32</f>
        <v/>
      </c>
      <c r="K26" s="28">
        <f>EXPENSES!K32</f>
        <v/>
      </c>
      <c r="L26" s="28">
        <f>EXPENSES!L32</f>
        <v/>
      </c>
      <c r="M26" s="28">
        <f>EXPENSES!M32</f>
        <v/>
      </c>
      <c r="N26" s="28">
        <f>EXPENSES!N32</f>
        <v/>
      </c>
      <c r="O26" s="28">
        <f>EXPENSES!O32</f>
        <v/>
      </c>
      <c r="P26" s="28">
        <f>EXPENSES!P32</f>
        <v/>
      </c>
      <c r="Q26" s="28">
        <f>EXPENSES!Q32</f>
        <v/>
      </c>
      <c r="R26" s="28">
        <f>EXPENSES!R32</f>
        <v/>
      </c>
      <c r="S26" s="28">
        <f>EXPENSES!S32</f>
        <v/>
      </c>
      <c r="T26" s="28">
        <f>EXPENSES!T32</f>
        <v/>
      </c>
      <c r="U26" s="28">
        <f>EXPENSES!U32</f>
        <v/>
      </c>
      <c r="V26" s="28">
        <f>EXPENSES!V32</f>
        <v/>
      </c>
      <c r="W26" s="28">
        <f>EXPENSES!W32</f>
        <v/>
      </c>
      <c r="X26" s="28">
        <f>EXPENSES!X32</f>
        <v/>
      </c>
      <c r="Y26" s="28">
        <f>EXPENSES!Y32</f>
        <v/>
      </c>
      <c r="Z26" s="28">
        <f>EXPENSES!Z32</f>
        <v/>
      </c>
      <c r="AA26" s="28">
        <f>EXPENSES!AA32</f>
        <v/>
      </c>
      <c r="AB26" s="28">
        <f>EXPENSES!AB32</f>
        <v/>
      </c>
      <c r="AC26" s="28">
        <f>EXPENSES!AC32</f>
        <v/>
      </c>
      <c r="AD26" s="28">
        <f>EXPENSES!AD32</f>
        <v/>
      </c>
      <c r="AE26" s="28">
        <f>EXPENSES!AE32</f>
        <v/>
      </c>
      <c r="AF26" s="28">
        <f>EXPENSES!AF32</f>
        <v/>
      </c>
      <c r="AG26" s="28">
        <f>EXPENSES!AG32</f>
        <v/>
      </c>
      <c r="AH26" s="94">
        <f>SUM(C26:AG26)</f>
        <v/>
      </c>
      <c r="AI26" s="28">
        <f>EXPENSES!AI32</f>
        <v/>
      </c>
      <c r="AJ26" s="28">
        <f>EXPENSES!AJ32</f>
        <v/>
      </c>
      <c r="AK26" s="28">
        <f>EXPENSES!AK32</f>
        <v/>
      </c>
      <c r="AL26" s="28">
        <f>EXPENSES!AL32</f>
        <v/>
      </c>
      <c r="AM26" s="28">
        <f>EXPENSES!AM32</f>
        <v/>
      </c>
      <c r="AN26" s="28">
        <f>EXPENSES!AN32</f>
        <v/>
      </c>
      <c r="AO26" s="28">
        <f>EXPENSES!AO32</f>
        <v/>
      </c>
      <c r="AP26" s="28">
        <f>EXPENSES!AP32</f>
        <v/>
      </c>
      <c r="AQ26" s="28">
        <f>EXPENSES!AQ32</f>
        <v/>
      </c>
      <c r="AR26" s="28">
        <f>EXPENSES!AR32</f>
        <v/>
      </c>
      <c r="AS26" s="28">
        <f>EXPENSES!AS32</f>
        <v/>
      </c>
      <c r="AT26" s="28">
        <f>EXPENSES!AT32</f>
        <v/>
      </c>
      <c r="AU26" s="28">
        <f>EXPENSES!AU32</f>
        <v/>
      </c>
      <c r="AV26" s="28">
        <f>EXPENSES!AV32</f>
        <v/>
      </c>
      <c r="AW26" s="28">
        <f>EXPENSES!AW32</f>
        <v/>
      </c>
      <c r="AX26" s="28">
        <f>EXPENSES!AX32</f>
        <v/>
      </c>
      <c r="AY26" s="28">
        <f>EXPENSES!AY32</f>
        <v/>
      </c>
      <c r="AZ26" s="28">
        <f>EXPENSES!AZ32</f>
        <v/>
      </c>
      <c r="BA26" s="28">
        <f>EXPENSES!BA32</f>
        <v/>
      </c>
      <c r="BB26" s="28">
        <f>EXPENSES!BB32</f>
        <v/>
      </c>
      <c r="BC26" s="28">
        <f>EXPENSES!BC32</f>
        <v/>
      </c>
      <c r="BD26" s="28">
        <f>EXPENSES!BD32</f>
        <v/>
      </c>
      <c r="BE26" s="28">
        <f>EXPENSES!BE32</f>
        <v/>
      </c>
      <c r="BF26" s="28">
        <f>EXPENSES!BF32</f>
        <v/>
      </c>
      <c r="BG26" s="28">
        <f>EXPENSES!BG32</f>
        <v/>
      </c>
      <c r="BH26" s="28">
        <f>EXPENSES!BH32</f>
        <v/>
      </c>
      <c r="BI26" s="28">
        <f>EXPENSES!BI32</f>
        <v/>
      </c>
      <c r="BJ26" s="28">
        <f>EXPENSES!BJ32</f>
        <v/>
      </c>
      <c r="BK26" s="28">
        <f>EXPENSES!BK32</f>
        <v/>
      </c>
      <c r="BL26" s="28">
        <f>EXPENSES!BL32</f>
        <v/>
      </c>
      <c r="BM26" s="97">
        <f>SUM(AI26:BL26)</f>
        <v/>
      </c>
      <c r="BN26" s="28">
        <f>EXPENSES!BN32</f>
        <v/>
      </c>
      <c r="BO26" s="28">
        <f>EXPENSES!BO32</f>
        <v/>
      </c>
      <c r="BP26" s="28">
        <f>EXPENSES!BP32</f>
        <v/>
      </c>
      <c r="BQ26" s="28">
        <f>EXPENSES!BQ32</f>
        <v/>
      </c>
      <c r="BR26" s="28">
        <f>EXPENSES!BR32</f>
        <v/>
      </c>
      <c r="BS26" s="28">
        <f>EXPENSES!BS32</f>
        <v/>
      </c>
      <c r="BT26" s="28">
        <f>EXPENSES!BT32</f>
        <v/>
      </c>
      <c r="BU26" s="28">
        <f>EXPENSES!BU32</f>
        <v/>
      </c>
      <c r="BV26" s="28">
        <f>EXPENSES!BV32</f>
        <v/>
      </c>
      <c r="BW26" s="28">
        <f>EXPENSES!BW32</f>
        <v/>
      </c>
      <c r="BX26" s="28">
        <f>EXPENSES!BX32</f>
        <v/>
      </c>
      <c r="BY26" s="28">
        <f>EXPENSES!BY32</f>
        <v/>
      </c>
      <c r="BZ26" s="28">
        <f>EXPENSES!BZ32</f>
        <v/>
      </c>
      <c r="CA26" s="28">
        <f>EXPENSES!CA32</f>
        <v/>
      </c>
      <c r="CB26" s="28">
        <f>EXPENSES!CB32</f>
        <v/>
      </c>
      <c r="CC26" s="28">
        <f>EXPENSES!CC32</f>
        <v/>
      </c>
      <c r="CD26" s="28">
        <f>EXPENSES!CD32</f>
        <v/>
      </c>
      <c r="CE26" s="28">
        <f>EXPENSES!CE32</f>
        <v/>
      </c>
      <c r="CF26" s="28">
        <f>EXPENSES!CF32</f>
        <v/>
      </c>
      <c r="CG26" s="28">
        <f>EXPENSES!CG32</f>
        <v/>
      </c>
      <c r="CH26" s="28">
        <f>EXPENSES!CH32</f>
        <v/>
      </c>
      <c r="CI26" s="28">
        <f>EXPENSES!CI32</f>
        <v/>
      </c>
      <c r="CJ26" s="28">
        <f>EXPENSES!CJ32</f>
        <v/>
      </c>
      <c r="CK26" s="28">
        <f>EXPENSES!CK33</f>
        <v/>
      </c>
      <c r="CL26" s="28">
        <f>EXPENSES!CL32</f>
        <v/>
      </c>
      <c r="CM26" s="28">
        <f>EXPENSES!CM32</f>
        <v/>
      </c>
      <c r="CN26" s="28">
        <f>EXPENSES!CN32</f>
        <v/>
      </c>
      <c r="CO26" s="28">
        <f>EXPENSES!CO32</f>
        <v/>
      </c>
      <c r="CP26" s="28">
        <f>EXPENSES!CP32</f>
        <v/>
      </c>
      <c r="CQ26" s="28">
        <f>EXPENSES!CQ32</f>
        <v/>
      </c>
      <c r="CR26" s="28">
        <f>EXPENSES!CR32</f>
        <v/>
      </c>
      <c r="CS26" s="111">
        <f>SUM(BN26:CR26)</f>
        <v/>
      </c>
      <c r="CT26" s="28">
        <f>EXPENSES!CT32</f>
        <v/>
      </c>
      <c r="CU26" s="28">
        <f>EXPENSES!CU32</f>
        <v/>
      </c>
      <c r="CV26" s="28">
        <f>EXPENSES!CV32</f>
        <v/>
      </c>
      <c r="CW26" s="28">
        <f>EXPENSES!CW32</f>
        <v/>
      </c>
      <c r="CX26" s="28">
        <f>EXPENSES!CX32</f>
        <v/>
      </c>
      <c r="CY26" s="28">
        <f>EXPENSES!CY32</f>
        <v/>
      </c>
      <c r="CZ26" s="28">
        <f>EXPENSES!CZ32</f>
        <v/>
      </c>
      <c r="DA26" s="28">
        <f>EXPENSES!DA32</f>
        <v/>
      </c>
      <c r="DB26" s="28">
        <f>EXPENSES!DB32</f>
        <v/>
      </c>
      <c r="DC26" s="28">
        <f>EXPENSES!DC32</f>
        <v/>
      </c>
      <c r="DD26" s="28">
        <f>EXPENSES!DD32</f>
        <v/>
      </c>
      <c r="DE26" s="28">
        <f>EXPENSES!DE32</f>
        <v/>
      </c>
      <c r="DF26" s="28">
        <f>EXPENSES!DF32</f>
        <v/>
      </c>
      <c r="DG26" s="28">
        <f>EXPENSES!DG32</f>
        <v/>
      </c>
      <c r="DH26" s="28">
        <f>EXPENSES!DH32</f>
        <v/>
      </c>
      <c r="DI26" s="28">
        <f>EXPENSES!DI32</f>
        <v/>
      </c>
      <c r="DJ26" s="28">
        <f>EXPENSES!DJ32</f>
        <v/>
      </c>
      <c r="DK26" s="28">
        <f>EXPENSES!DK32</f>
        <v/>
      </c>
      <c r="DL26" s="28">
        <f>EXPENSES!DL32</f>
        <v/>
      </c>
      <c r="DM26" s="28">
        <f>EXPENSES!DM32</f>
        <v/>
      </c>
      <c r="DN26" s="28">
        <f>EXPENSES!DN32</f>
        <v/>
      </c>
      <c r="DO26" s="28">
        <f>EXPENSES!DO32</f>
        <v/>
      </c>
      <c r="DP26" s="28">
        <f>EXPENSES!DP32</f>
        <v/>
      </c>
      <c r="DQ26" s="28">
        <f>EXPENSES!DQ32</f>
        <v/>
      </c>
      <c r="DR26" s="28">
        <f>EXPENSES!DR32</f>
        <v/>
      </c>
      <c r="DS26" s="28">
        <f>EXPENSES!DS32</f>
        <v/>
      </c>
      <c r="DT26" s="28">
        <f>EXPENSES!DT32</f>
        <v/>
      </c>
      <c r="DU26" s="28">
        <f>EXPENSES!DU32</f>
        <v/>
      </c>
      <c r="DV26" s="28">
        <f>EXPENSES!DV32</f>
        <v/>
      </c>
      <c r="DW26" s="28">
        <f>EXPENSES!DW32</f>
        <v/>
      </c>
      <c r="DX26" s="119">
        <f>SUM(CT26:DW26)</f>
        <v/>
      </c>
      <c r="DY26" s="28">
        <f>EXPENSES!DY32</f>
        <v/>
      </c>
      <c r="DZ26" s="28">
        <f>EXPENSES!DZ32</f>
        <v/>
      </c>
      <c r="EA26" s="28">
        <f>EXPENSES!EA32</f>
        <v/>
      </c>
      <c r="EB26" s="28">
        <f>EXPENSES!EB32</f>
        <v/>
      </c>
      <c r="EC26" s="28">
        <f>EXPENSES!EC32</f>
        <v/>
      </c>
      <c r="ED26" s="28">
        <f>EXPENSES!ED32</f>
        <v/>
      </c>
      <c r="EE26" s="28">
        <f>EXPENSES!EE32</f>
        <v/>
      </c>
      <c r="EF26" s="28">
        <f>EXPENSES!EF32</f>
        <v/>
      </c>
      <c r="EG26" s="28">
        <f>EXPENSES!EG32</f>
        <v/>
      </c>
      <c r="EH26" s="28">
        <f>EXPENSES!EH32</f>
        <v/>
      </c>
      <c r="EI26" s="28">
        <f>EXPENSES!EI32</f>
        <v/>
      </c>
      <c r="EJ26" s="28">
        <f>EXPENSES!EJ32</f>
        <v/>
      </c>
      <c r="EK26" s="28">
        <f>EXPENSES!EK32</f>
        <v/>
      </c>
      <c r="EL26" s="28">
        <f>EXPENSES!EL32</f>
        <v/>
      </c>
      <c r="EM26" s="28">
        <f>EXPENSES!EM32</f>
        <v/>
      </c>
      <c r="EN26" s="28">
        <f>EXPENSES!EN32</f>
        <v/>
      </c>
      <c r="EO26" s="28">
        <f>EXPENSES!EO32</f>
        <v/>
      </c>
      <c r="EP26" s="28">
        <f>EXPENSES!EP32</f>
        <v/>
      </c>
      <c r="EQ26" s="28">
        <f>EXPENSES!EQ32</f>
        <v/>
      </c>
      <c r="ER26" s="28">
        <f>EXPENSES!ER32</f>
        <v/>
      </c>
      <c r="ES26" s="28">
        <f>EXPENSES!ES32</f>
        <v/>
      </c>
      <c r="ET26" s="28">
        <f>EXPENSES!ET32</f>
        <v/>
      </c>
      <c r="EU26" s="28">
        <f>EXPENSES!EU32</f>
        <v/>
      </c>
      <c r="EV26" s="28">
        <f>EXPENSES!EV32</f>
        <v/>
      </c>
      <c r="EW26" s="28">
        <f>EXPENSES!EW32</f>
        <v/>
      </c>
      <c r="EX26" s="28">
        <f>EXPENSES!EX32</f>
        <v/>
      </c>
      <c r="EY26" s="28">
        <f>EXPENSES!EY32</f>
        <v/>
      </c>
      <c r="EZ26" s="28">
        <f>EXPENSES!EZ32</f>
        <v/>
      </c>
      <c r="FA26" s="28">
        <f>EXPENSES!FA32</f>
        <v/>
      </c>
      <c r="FB26" s="28">
        <f>EXPENSES!FB32</f>
        <v/>
      </c>
      <c r="FC26" s="28">
        <f>EXPENSES!FC32</f>
        <v/>
      </c>
      <c r="FD26" s="128">
        <f>SUM(DY26:FC26)</f>
        <v/>
      </c>
      <c r="FE26" s="28">
        <f>EXPENSES!FE32</f>
        <v/>
      </c>
      <c r="FF26" s="28">
        <f>EXPENSES!FF32</f>
        <v/>
      </c>
      <c r="FG26" s="28">
        <f>EXPENSES!FG32</f>
        <v/>
      </c>
      <c r="FH26" s="28">
        <f>EXPENSES!FH32</f>
        <v/>
      </c>
      <c r="FI26" s="28">
        <f>EXPENSES!FI32</f>
        <v/>
      </c>
      <c r="FJ26" s="28">
        <f>EXPENSES!FJ32</f>
        <v/>
      </c>
      <c r="FK26" s="28">
        <f>EXPENSES!FK32</f>
        <v/>
      </c>
      <c r="FL26" s="28">
        <f>EXPENSES!FL32</f>
        <v/>
      </c>
      <c r="FM26" s="28">
        <f>EXPENSES!FM32</f>
        <v/>
      </c>
      <c r="FN26" s="28">
        <f>EXPENSES!FN32</f>
        <v/>
      </c>
      <c r="FO26" s="28">
        <f>EXPENSES!FO32</f>
        <v/>
      </c>
      <c r="FP26" s="28">
        <f>EXPENSES!FP32</f>
        <v/>
      </c>
      <c r="FQ26" s="28">
        <f>EXPENSES!FQ32</f>
        <v/>
      </c>
      <c r="FR26" s="28">
        <f>EXPENSES!FR32</f>
        <v/>
      </c>
      <c r="FS26" s="28">
        <f>EXPENSES!FS32</f>
        <v/>
      </c>
      <c r="FT26" s="28">
        <f>EXPENSES!FT32</f>
        <v/>
      </c>
      <c r="FU26" s="28">
        <f>EXPENSES!FU32</f>
        <v/>
      </c>
      <c r="FV26" s="28">
        <f>EXPENSES!FV32</f>
        <v/>
      </c>
      <c r="FW26" s="28">
        <f>EXPENSES!FW32</f>
        <v/>
      </c>
      <c r="FX26" s="28">
        <f>EXPENSES!FX32</f>
        <v/>
      </c>
      <c r="FY26" s="28">
        <f>EXPENSES!FY32</f>
        <v/>
      </c>
      <c r="FZ26" s="28">
        <f>EXPENSES!FZ32</f>
        <v/>
      </c>
      <c r="GA26" s="28">
        <f>EXPENSES!GA32</f>
        <v/>
      </c>
      <c r="GB26" s="28">
        <f>EXPENSES!GB32</f>
        <v/>
      </c>
      <c r="GC26" s="28">
        <f>EXPENSES!GC32</f>
        <v/>
      </c>
      <c r="GD26" s="28">
        <f>EXPENSES!GD32</f>
        <v/>
      </c>
      <c r="GE26" s="28">
        <f>EXPENSES!GE32</f>
        <v/>
      </c>
      <c r="GF26" s="28">
        <f>EXPENSES!GF32</f>
        <v/>
      </c>
      <c r="GG26" s="28">
        <f>EXPENSES!GG32</f>
        <v/>
      </c>
      <c r="GH26" s="28">
        <f>EXPENSES!GH32</f>
        <v/>
      </c>
      <c r="GI26" s="28">
        <f>EXPENSES!GI32</f>
        <v/>
      </c>
      <c r="GJ26" s="127">
        <f>SUM(FE26:GI26)</f>
        <v/>
      </c>
      <c r="GK26" s="28">
        <f>EXPENSES!GK32</f>
        <v/>
      </c>
      <c r="GL26" s="28">
        <f>EXPENSES!GL32</f>
        <v/>
      </c>
      <c r="GM26" s="28">
        <f>EXPENSES!GM32</f>
        <v/>
      </c>
      <c r="GN26" s="28">
        <f>EXPENSES!GN32</f>
        <v/>
      </c>
      <c r="GO26" s="28">
        <f>EXPENSES!GO32</f>
        <v/>
      </c>
      <c r="GP26" s="28">
        <f>EXPENSES!GP32</f>
        <v/>
      </c>
      <c r="GQ26" s="28">
        <f>EXPENSES!GQ32</f>
        <v/>
      </c>
      <c r="GR26" s="28">
        <f>EXPENSES!GR32</f>
        <v/>
      </c>
      <c r="GS26" s="28">
        <f>EXPENSES!GS32</f>
        <v/>
      </c>
      <c r="GT26" s="28">
        <f>EXPENSES!GT32</f>
        <v/>
      </c>
      <c r="GU26" s="28">
        <f>EXPENSES!GU32</f>
        <v/>
      </c>
      <c r="GV26" s="28">
        <f>EXPENSES!GV32</f>
        <v/>
      </c>
      <c r="GW26" s="28">
        <f>EXPENSES!GW32</f>
        <v/>
      </c>
      <c r="GX26" s="28">
        <f>EXPENSES!GX32</f>
        <v/>
      </c>
      <c r="GY26" s="28">
        <f>EXPENSES!GY32</f>
        <v/>
      </c>
      <c r="GZ26" s="28">
        <f>EXPENSES!GZ32</f>
        <v/>
      </c>
      <c r="HA26" s="28">
        <f>EXPENSES!HA32</f>
        <v/>
      </c>
      <c r="HB26" s="28">
        <f>EXPENSES!HB32</f>
        <v/>
      </c>
      <c r="HC26" s="28">
        <f>EXPENSES!HC32</f>
        <v/>
      </c>
      <c r="HD26" s="28">
        <f>EXPENSES!HD32</f>
        <v/>
      </c>
      <c r="HE26" s="28">
        <f>EXPENSES!HE32</f>
        <v/>
      </c>
      <c r="HF26" s="28">
        <f>EXPENSES!HF32</f>
        <v/>
      </c>
      <c r="HG26" s="28">
        <f>EXPENSES!HG32</f>
        <v/>
      </c>
      <c r="HH26" s="28">
        <f>EXPENSES!HH32</f>
        <v/>
      </c>
      <c r="HI26" s="28">
        <f>EXPENSES!HI32</f>
        <v/>
      </c>
      <c r="HJ26" s="28">
        <f>EXPENSES!HJ32</f>
        <v/>
      </c>
      <c r="HK26" s="28">
        <f>EXPENSES!HK32</f>
        <v/>
      </c>
      <c r="HL26" s="28">
        <f>EXPENSES!HL32</f>
        <v/>
      </c>
      <c r="HM26" s="28">
        <f>EXPENSES!HM32</f>
        <v/>
      </c>
      <c r="HN26" s="127">
        <f>SUM(GK26:HM26)</f>
        <v/>
      </c>
      <c r="HO26" s="28">
        <f>EXPENSES!HO32</f>
        <v/>
      </c>
      <c r="HP26" s="28">
        <f>EXPENSES!HP32</f>
        <v/>
      </c>
      <c r="HQ26" s="28">
        <f>EXPENSES!HQ32</f>
        <v/>
      </c>
      <c r="HR26" s="28">
        <f>EXPENSES!HR32</f>
        <v/>
      </c>
      <c r="HS26" s="28">
        <f>EXPENSES!HS32</f>
        <v/>
      </c>
      <c r="HT26" s="28">
        <f>EXPENSES!HT32</f>
        <v/>
      </c>
      <c r="HU26" s="28">
        <f>EXPENSES!HU32</f>
        <v/>
      </c>
      <c r="HV26" s="28">
        <f>EXPENSES!HV32</f>
        <v/>
      </c>
      <c r="HW26" s="28">
        <f>EXPENSES!HW32</f>
        <v/>
      </c>
      <c r="HX26" s="28">
        <f>EXPENSES!HX32</f>
        <v/>
      </c>
      <c r="HY26" s="28">
        <f>EXPENSES!HY32</f>
        <v/>
      </c>
      <c r="HZ26" s="28">
        <f>EXPENSES!HZ32</f>
        <v/>
      </c>
      <c r="IA26" s="28">
        <f>EXPENSES!IA32</f>
        <v/>
      </c>
      <c r="IB26" s="28">
        <f>EXPENSES!IB32</f>
        <v/>
      </c>
      <c r="IC26" s="28">
        <f>EXPENSES!IC32</f>
        <v/>
      </c>
      <c r="ID26" s="28">
        <f>EXPENSES!ID32</f>
        <v/>
      </c>
      <c r="IE26" s="28">
        <f>EXPENSES!IE32</f>
        <v/>
      </c>
      <c r="IF26" s="28">
        <f>EXPENSES!IF32</f>
        <v/>
      </c>
      <c r="IG26" s="28">
        <f>EXPENSES!IG32</f>
        <v/>
      </c>
      <c r="IH26" s="28">
        <f>EXPENSES!IH32</f>
        <v/>
      </c>
      <c r="II26" s="28">
        <f>EXPENSES!II32</f>
        <v/>
      </c>
      <c r="IJ26" s="28">
        <f>EXPENSES!IJ32</f>
        <v/>
      </c>
      <c r="IK26" s="28">
        <f>EXPENSES!IK32</f>
        <v/>
      </c>
      <c r="IL26" s="28">
        <f>EXPENSES!IL32</f>
        <v/>
      </c>
      <c r="IM26" s="28">
        <f>EXPENSES!IM32</f>
        <v/>
      </c>
      <c r="IN26" s="28">
        <f>EXPENSES!IN32</f>
        <v/>
      </c>
      <c r="IO26" s="28">
        <f>EXPENSES!IO32</f>
        <v/>
      </c>
      <c r="IP26" s="28">
        <f>EXPENSES!IP32</f>
        <v/>
      </c>
      <c r="IQ26" s="28">
        <f>EXPENSES!IQ32</f>
        <v/>
      </c>
      <c r="IR26" s="28">
        <f>EXPENSES!IR32</f>
        <v/>
      </c>
      <c r="IS26" s="28">
        <f>EXPENSES!IS32</f>
        <v/>
      </c>
      <c r="IT26" s="127">
        <f>SUM(HO26:IS26)</f>
        <v/>
      </c>
      <c r="IU26" s="28">
        <f>EXPENSES!IU32</f>
        <v/>
      </c>
      <c r="IV26" s="28">
        <f>EXPENSES!IV32</f>
        <v/>
      </c>
      <c r="IW26" s="28">
        <f>EXPENSES!IW32</f>
        <v/>
      </c>
      <c r="IX26" s="28">
        <f>EXPENSES!IX32</f>
        <v/>
      </c>
      <c r="IY26" s="28">
        <f>EXPENSES!IY32</f>
        <v/>
      </c>
      <c r="IZ26" s="28">
        <f>EXPENSES!IZ32</f>
        <v/>
      </c>
      <c r="JA26" s="28">
        <f>EXPENSES!JA32</f>
        <v/>
      </c>
      <c r="JB26" s="28">
        <f>EXPENSES!JB32</f>
        <v/>
      </c>
      <c r="JC26" s="28">
        <f>EXPENSES!JC32</f>
        <v/>
      </c>
      <c r="JD26" s="28">
        <f>EXPENSES!JD32</f>
        <v/>
      </c>
      <c r="JE26" s="28">
        <f>EXPENSES!JE32</f>
        <v/>
      </c>
      <c r="JF26" s="28">
        <f>EXPENSES!JF32</f>
        <v/>
      </c>
      <c r="JG26" s="28">
        <f>EXPENSES!JG32</f>
        <v/>
      </c>
      <c r="JH26" s="28">
        <f>EXPENSES!JH32</f>
        <v/>
      </c>
      <c r="JI26" s="28">
        <f>EXPENSES!JI32</f>
        <v/>
      </c>
      <c r="JJ26" s="28">
        <f>EXPENSES!JJ32</f>
        <v/>
      </c>
      <c r="JK26" s="28">
        <f>EXPENSES!JK32</f>
        <v/>
      </c>
      <c r="JL26" s="28">
        <f>EXPENSES!JL32</f>
        <v/>
      </c>
      <c r="JM26" s="28">
        <f>EXPENSES!JM32</f>
        <v/>
      </c>
      <c r="JN26" s="28">
        <f>EXPENSES!JN32</f>
        <v/>
      </c>
      <c r="JO26" s="28">
        <f>EXPENSES!JO32</f>
        <v/>
      </c>
      <c r="JP26" s="28">
        <f>EXPENSES!JP32</f>
        <v/>
      </c>
      <c r="JQ26" s="28">
        <f>EXPENSES!JQ32</f>
        <v/>
      </c>
      <c r="JR26" s="28">
        <f>EXPENSES!JR32</f>
        <v/>
      </c>
      <c r="JS26" s="28">
        <f>EXPENSES!JS32</f>
        <v/>
      </c>
      <c r="JT26" s="28">
        <f>EXPENSES!JT32</f>
        <v/>
      </c>
      <c r="JU26" s="28">
        <f>EXPENSES!JU32</f>
        <v/>
      </c>
      <c r="JV26" s="28">
        <f>EXPENSES!JV32</f>
        <v/>
      </c>
      <c r="JW26" s="28">
        <f>EXPENSES!JW32</f>
        <v/>
      </c>
      <c r="JX26" s="28">
        <f>EXPENSES!JX32</f>
        <v/>
      </c>
      <c r="JY26" s="127">
        <f>SUM(IU26:JX26)</f>
        <v/>
      </c>
      <c r="JZ26" s="28">
        <f>EXPENSES!JZ32</f>
        <v/>
      </c>
      <c r="KA26" s="28">
        <f>EXPENSES!KA32</f>
        <v/>
      </c>
      <c r="KB26" s="28">
        <f>EXPENSES!KB32</f>
        <v/>
      </c>
      <c r="KC26" s="28">
        <f>EXPENSES!KC32</f>
        <v/>
      </c>
      <c r="KD26" s="28">
        <f>EXPENSES!KD32</f>
        <v/>
      </c>
      <c r="KE26" s="28">
        <f>EXPENSES!KE32</f>
        <v/>
      </c>
      <c r="KF26" s="28">
        <f>EXPENSES!KF32</f>
        <v/>
      </c>
      <c r="KG26" s="28">
        <f>EXPENSES!KG32</f>
        <v/>
      </c>
      <c r="KH26" s="28">
        <f>EXPENSES!KH32</f>
        <v/>
      </c>
      <c r="KI26" s="28">
        <f>EXPENSES!KI32</f>
        <v/>
      </c>
      <c r="KJ26" s="28">
        <f>EXPENSES!KJ32</f>
        <v/>
      </c>
      <c r="KK26" s="28">
        <f>EXPENSES!KK32</f>
        <v/>
      </c>
      <c r="KL26" s="28">
        <f>EXPENSES!KL32</f>
        <v/>
      </c>
      <c r="KM26" s="28">
        <f>EXPENSES!KM32</f>
        <v/>
      </c>
      <c r="KN26" s="28">
        <f>EXPENSES!KN32</f>
        <v/>
      </c>
      <c r="KO26" s="28">
        <f>EXPENSES!KO32</f>
        <v/>
      </c>
      <c r="KP26" s="28">
        <f>EXPENSES!KP32</f>
        <v/>
      </c>
      <c r="KQ26" s="28">
        <f>EXPENSES!KQ32</f>
        <v/>
      </c>
      <c r="KR26" s="28">
        <f>EXPENSES!KR32</f>
        <v/>
      </c>
      <c r="KS26" s="28">
        <f>EXPENSES!KS32</f>
        <v/>
      </c>
      <c r="KT26" s="28">
        <f>EXPENSES!KT32</f>
        <v/>
      </c>
      <c r="KU26" s="28">
        <f>EXPENSES!KU32</f>
        <v/>
      </c>
      <c r="KV26" s="28">
        <f>EXPENSES!KV32</f>
        <v/>
      </c>
      <c r="KW26" s="28">
        <f>EXPENSES!KW32</f>
        <v/>
      </c>
      <c r="KX26" s="28">
        <f>EXPENSES!KX32</f>
        <v/>
      </c>
      <c r="KY26" s="28">
        <f>EXPENSES!KY32</f>
        <v/>
      </c>
      <c r="KZ26" s="28">
        <f>EXPENSES!KZ32</f>
        <v/>
      </c>
      <c r="LA26" s="28">
        <f>EXPENSES!LA32</f>
        <v/>
      </c>
      <c r="LB26" s="28">
        <f>EXPENSES!LB32</f>
        <v/>
      </c>
      <c r="LC26" s="28">
        <f>EXPENSES!LC32</f>
        <v/>
      </c>
      <c r="LD26" s="28">
        <f>EXPENSES!LD32</f>
        <v/>
      </c>
      <c r="LE26" s="127">
        <f>SUM(KA26:LD26)</f>
        <v/>
      </c>
      <c r="LF26" s="28">
        <f>EXPENSES!LF32</f>
        <v/>
      </c>
      <c r="LG26" s="28">
        <f>EXPENSES!LG32</f>
        <v/>
      </c>
      <c r="LH26" s="28">
        <f>EXPENSES!LH32</f>
        <v/>
      </c>
      <c r="LI26" s="28">
        <f>EXPENSES!LI32</f>
        <v/>
      </c>
      <c r="LJ26" s="28">
        <f>EXPENSES!LJ32</f>
        <v/>
      </c>
      <c r="LK26" s="28">
        <f>EXPENSES!LK32</f>
        <v/>
      </c>
      <c r="LL26" s="28">
        <f>EXPENSES!LL32</f>
        <v/>
      </c>
      <c r="LM26" s="28">
        <f>EXPENSES!LM32</f>
        <v/>
      </c>
      <c r="LN26" s="28">
        <f>EXPENSES!LN32</f>
        <v/>
      </c>
      <c r="LO26" s="28">
        <f>EXPENSES!LO32</f>
        <v/>
      </c>
      <c r="LP26" s="28">
        <f>EXPENSES!LP32</f>
        <v/>
      </c>
      <c r="LQ26" s="28">
        <f>EXPENSES!LQ32</f>
        <v/>
      </c>
      <c r="LR26" s="28">
        <f>EXPENSES!LR32</f>
        <v/>
      </c>
      <c r="LS26" s="28">
        <f>EXPENSES!LS32</f>
        <v/>
      </c>
      <c r="LT26" s="28">
        <f>EXPENSES!LT32</f>
        <v/>
      </c>
      <c r="LU26" s="28">
        <f>EXPENSES!LU32</f>
        <v/>
      </c>
      <c r="LV26" s="28">
        <f>EXPENSES!LV32</f>
        <v/>
      </c>
      <c r="LW26" s="28">
        <f>EXPENSES!LW32</f>
        <v/>
      </c>
      <c r="LX26" s="28">
        <f>EXPENSES!LX32</f>
        <v/>
      </c>
      <c r="LY26" s="28">
        <f>EXPENSES!LY32</f>
        <v/>
      </c>
      <c r="LZ26" s="28">
        <f>EXPENSES!LZ32</f>
        <v/>
      </c>
      <c r="MA26" s="28">
        <f>EXPENSES!MA32</f>
        <v/>
      </c>
      <c r="MB26" s="28">
        <f>EXPENSES!MB32</f>
        <v/>
      </c>
      <c r="MC26" s="28">
        <f>EXPENSES!MC32</f>
        <v/>
      </c>
      <c r="MD26" s="28">
        <f>EXPENSES!MD32</f>
        <v/>
      </c>
      <c r="ME26" s="28">
        <f>EXPENSES!ME32</f>
        <v/>
      </c>
      <c r="MF26" s="28">
        <f>EXPENSES!MF32</f>
        <v/>
      </c>
      <c r="MG26" s="28">
        <f>EXPENSES!MG32</f>
        <v/>
      </c>
      <c r="MH26" s="28">
        <f>EXPENSES!MH32</f>
        <v/>
      </c>
      <c r="MI26" s="28">
        <f>EXPENSES!MI32</f>
        <v/>
      </c>
      <c r="MJ26" s="127">
        <f>SUM(LF26:MI26)</f>
        <v/>
      </c>
      <c r="MK26" s="28">
        <f>EXPENSES!MK32</f>
        <v/>
      </c>
      <c r="ML26" s="28">
        <f>EXPENSES!ML32</f>
        <v/>
      </c>
      <c r="MM26" s="28">
        <f>EXPENSES!MM32</f>
        <v/>
      </c>
      <c r="MN26" s="28">
        <f>EXPENSES!MN32</f>
        <v/>
      </c>
      <c r="MO26" s="28">
        <f>EXPENSES!MO32</f>
        <v/>
      </c>
      <c r="MP26" s="28">
        <f>EXPENSES!MP32</f>
        <v/>
      </c>
      <c r="MQ26" s="28">
        <f>EXPENSES!MQ32</f>
        <v/>
      </c>
      <c r="MR26" s="28">
        <f>EXPENSES!MR32</f>
        <v/>
      </c>
      <c r="MS26" s="28">
        <f>EXPENSES!MS32</f>
        <v/>
      </c>
      <c r="MT26" s="28">
        <f>EXPENSES!MT32</f>
        <v/>
      </c>
      <c r="MU26" s="28">
        <f>EXPENSES!MU32</f>
        <v/>
      </c>
      <c r="MV26" s="28">
        <f>EXPENSES!MV32</f>
        <v/>
      </c>
      <c r="MW26" s="28">
        <f>EXPENSES!MW32</f>
        <v/>
      </c>
      <c r="MX26" s="28">
        <f>EXPENSES!MX32</f>
        <v/>
      </c>
      <c r="MY26" s="28">
        <f>EXPENSES!MY32</f>
        <v/>
      </c>
      <c r="MZ26" s="28">
        <f>EXPENSES!MZ32</f>
        <v/>
      </c>
      <c r="NA26" s="28">
        <f>EXPENSES!NA32</f>
        <v/>
      </c>
      <c r="NB26" s="28">
        <f>EXPENSES!NB32</f>
        <v/>
      </c>
      <c r="NC26" s="28">
        <f>EXPENSES!NC32</f>
        <v/>
      </c>
      <c r="ND26" s="28">
        <f>EXPENSES!ND32</f>
        <v/>
      </c>
      <c r="NE26" s="28">
        <f>EXPENSES!NE32</f>
        <v/>
      </c>
      <c r="NF26" s="28">
        <f>EXPENSES!NF32</f>
        <v/>
      </c>
      <c r="NG26" s="28">
        <f>EXPENSES!NG32</f>
        <v/>
      </c>
      <c r="NH26" s="28">
        <f>EXPENSES!NH32</f>
        <v/>
      </c>
      <c r="NI26" s="28">
        <f>EXPENSES!NI32</f>
        <v/>
      </c>
      <c r="NJ26" s="28">
        <f>EXPENSES!NJ32</f>
        <v/>
      </c>
      <c r="NK26" s="28">
        <f>EXPENSES!NK32</f>
        <v/>
      </c>
      <c r="NL26" s="28">
        <f>EXPENSES!NL32</f>
        <v/>
      </c>
      <c r="NM26" s="28">
        <f>EXPENSES!NM32</f>
        <v/>
      </c>
      <c r="NN26" s="28">
        <f>EXPENSES!NN32</f>
        <v/>
      </c>
      <c r="NO26" s="28">
        <f>EXPENSES!NO32</f>
        <v/>
      </c>
      <c r="NP26" s="127">
        <f>SUM(ML26:NO26)</f>
        <v/>
      </c>
      <c r="NQ26" s="28">
        <f>EXPENSES!NQ32</f>
        <v/>
      </c>
      <c r="NR26" s="28">
        <f>EXPENSES!NR32</f>
        <v/>
      </c>
      <c r="NS26" s="28">
        <f>EXPENSES!NS32</f>
        <v/>
      </c>
      <c r="NT26" s="28">
        <f>EXPENSES!NT32</f>
        <v/>
      </c>
      <c r="NU26" s="28">
        <f>EXPENSES!NU32</f>
        <v/>
      </c>
      <c r="NV26" s="28">
        <f>EXPENSES!NV32</f>
        <v/>
      </c>
      <c r="NW26" s="28">
        <f>EXPENSES!NW32</f>
        <v/>
      </c>
      <c r="NX26" s="28">
        <f>EXPENSES!NX32</f>
        <v/>
      </c>
      <c r="NY26" s="28">
        <f>EXPENSES!NY32</f>
        <v/>
      </c>
      <c r="NZ26" s="28">
        <f>EXPENSES!NZ32</f>
        <v/>
      </c>
      <c r="OA26" s="28">
        <f>EXPENSES!OA32</f>
        <v/>
      </c>
      <c r="OB26" s="28">
        <f>EXPENSES!OB32</f>
        <v/>
      </c>
      <c r="OC26" s="28">
        <f>EXPENSES!OC32</f>
        <v/>
      </c>
      <c r="OD26" s="28">
        <f>EXPENSES!OD32</f>
        <v/>
      </c>
      <c r="OE26" s="28">
        <f>EXPENSES!OE32</f>
        <v/>
      </c>
      <c r="OF26" s="28">
        <f>EXPENSES!OF32</f>
        <v/>
      </c>
      <c r="OG26" s="28">
        <f>EXPENSES!OG32</f>
        <v/>
      </c>
      <c r="OH26" s="28">
        <f>EXPENSES!OH32</f>
        <v/>
      </c>
      <c r="OI26" s="28">
        <f>EXPENSES!OI32</f>
        <v/>
      </c>
      <c r="OJ26" s="28">
        <f>EXPENSES!OJ32</f>
        <v/>
      </c>
      <c r="OK26" s="28">
        <f>EXPENSES!OK32</f>
        <v/>
      </c>
      <c r="OL26" s="28">
        <f>EXPENSES!OL32</f>
        <v/>
      </c>
      <c r="OM26" s="28">
        <f>EXPENSES!OM32</f>
        <v/>
      </c>
      <c r="ON26" s="28">
        <f>EXPENSES!ON32</f>
        <v/>
      </c>
      <c r="OO26" s="28">
        <f>EXPENSES!OO32</f>
        <v/>
      </c>
      <c r="OP26" s="28">
        <f>EXPENSES!OP32</f>
        <v/>
      </c>
      <c r="OQ26" s="28">
        <f>EXPENSES!OQ32</f>
        <v/>
      </c>
      <c r="OR26" s="28">
        <f>EXPENSES!OR32</f>
        <v/>
      </c>
      <c r="OS26" s="28">
        <f>EXPENSES!OS32</f>
        <v/>
      </c>
      <c r="OT26" s="28">
        <f>EXPENSES!OT32</f>
        <v/>
      </c>
      <c r="OU26" s="28">
        <f>EXPENSES!OU32</f>
        <v/>
      </c>
      <c r="OV26" s="127">
        <f>SUM(NR26:OU26)</f>
        <v/>
      </c>
      <c r="OW26" s="28">
        <f>EXPENSES!OW32</f>
        <v/>
      </c>
      <c r="OX26" s="28">
        <f>EXPENSES!OX32</f>
        <v/>
      </c>
      <c r="OY26" s="28">
        <f>EXPENSES!OY32</f>
        <v/>
      </c>
      <c r="OZ26" s="28">
        <f>EXPENSES!OZ32</f>
        <v/>
      </c>
      <c r="PA26" s="28">
        <f>EXPENSES!PA32</f>
        <v/>
      </c>
      <c r="PB26" s="28">
        <f>EXPENSES!PB32</f>
        <v/>
      </c>
      <c r="PC26" s="28">
        <f>EXPENSES!PC32</f>
        <v/>
      </c>
      <c r="PD26" s="28">
        <f>EXPENSES!PD32</f>
        <v/>
      </c>
      <c r="PE26" s="28">
        <f>EXPENSES!PE32</f>
        <v/>
      </c>
      <c r="PF26" s="28">
        <f>EXPENSES!PF32</f>
        <v/>
      </c>
      <c r="PG26" s="28">
        <f>EXPENSES!PG32</f>
        <v/>
      </c>
      <c r="PH26" s="28">
        <f>EXPENSES!PH32</f>
        <v/>
      </c>
      <c r="PI26" s="28">
        <f>EXPENSES!PI32</f>
        <v/>
      </c>
      <c r="PJ26" s="28">
        <f>EXPENSES!PJ32</f>
        <v/>
      </c>
      <c r="PK26" s="28">
        <f>EXPENSES!PK32</f>
        <v/>
      </c>
      <c r="PL26" s="28">
        <f>EXPENSES!PL32</f>
        <v/>
      </c>
      <c r="PM26" s="28">
        <f>EXPENSES!PM32</f>
        <v/>
      </c>
      <c r="PN26" s="28">
        <f>EXPENSES!PN32</f>
        <v/>
      </c>
      <c r="PO26" s="28">
        <f>EXPENSES!PO32</f>
        <v/>
      </c>
      <c r="PP26" s="28">
        <f>EXPENSES!PP32</f>
        <v/>
      </c>
      <c r="PQ26" s="28">
        <f>EXPENSES!PQ32</f>
        <v/>
      </c>
      <c r="PR26" s="28">
        <f>EXPENSES!PR32</f>
        <v/>
      </c>
      <c r="PS26" s="28">
        <f>EXPENSES!PS32</f>
        <v/>
      </c>
      <c r="PT26" s="28">
        <f>EXPENSES!PT32</f>
        <v/>
      </c>
      <c r="PU26" s="28">
        <f>EXPENSES!PU32</f>
        <v/>
      </c>
      <c r="PV26" s="28">
        <f>EXPENSES!PV32</f>
        <v/>
      </c>
      <c r="PW26" s="28">
        <f>EXPENSES!PW32</f>
        <v/>
      </c>
      <c r="PX26" s="28">
        <f>EXPENSES!PX32</f>
        <v/>
      </c>
      <c r="PY26" s="28">
        <f>EXPENSES!PY32</f>
        <v/>
      </c>
      <c r="PZ26" s="28">
        <f>EXPENSES!PZ32</f>
        <v/>
      </c>
      <c r="QA26" s="127">
        <f>SUM(OW26:PZ26)</f>
        <v/>
      </c>
      <c r="QB26" s="28">
        <f>EXPENSES!QB32</f>
        <v/>
      </c>
      <c r="QC26" s="28">
        <f>EXPENSES!QC32</f>
        <v/>
      </c>
      <c r="QD26" s="28">
        <f>EXPENSES!QD32</f>
        <v/>
      </c>
      <c r="QE26" s="28">
        <f>EXPENSES!QE32</f>
        <v/>
      </c>
      <c r="QF26" s="28">
        <f>EXPENSES!QF32</f>
        <v/>
      </c>
      <c r="QG26" s="28">
        <f>EXPENSES!QG32</f>
        <v/>
      </c>
      <c r="QH26" s="28">
        <f>EXPENSES!QH32</f>
        <v/>
      </c>
      <c r="QI26" s="28">
        <f>EXPENSES!QI32</f>
        <v/>
      </c>
      <c r="QJ26" s="28">
        <f>EXPENSES!QJ32</f>
        <v/>
      </c>
      <c r="QK26" s="28">
        <f>EXPENSES!QK32</f>
        <v/>
      </c>
      <c r="QL26" s="28">
        <f>EXPENSES!QL32</f>
        <v/>
      </c>
      <c r="QM26" s="28">
        <f>EXPENSES!QM32</f>
        <v/>
      </c>
      <c r="QN26" s="28">
        <f>EXPENSES!QN32</f>
        <v/>
      </c>
      <c r="QO26" s="28">
        <f>EXPENSES!QO32</f>
        <v/>
      </c>
      <c r="QP26" s="28">
        <f>EXPENSES!QP32</f>
        <v/>
      </c>
      <c r="QQ26" s="28">
        <f>EXPENSES!QQ32</f>
        <v/>
      </c>
      <c r="QR26" s="28">
        <f>EXPENSES!QR32</f>
        <v/>
      </c>
      <c r="QS26" s="28">
        <f>EXPENSES!QS32</f>
        <v/>
      </c>
      <c r="QT26" s="28">
        <f>EXPENSES!QT32</f>
        <v/>
      </c>
      <c r="QU26" s="28">
        <f>EXPENSES!QU32</f>
        <v/>
      </c>
      <c r="QV26" s="28">
        <f>EXPENSES!QV32</f>
        <v/>
      </c>
      <c r="QW26" s="28">
        <f>EXPENSES!QW32</f>
        <v/>
      </c>
      <c r="QX26" s="28">
        <f>EXPENSES!QX32</f>
        <v/>
      </c>
      <c r="QY26" s="28">
        <f>EXPENSES!QY32</f>
        <v/>
      </c>
      <c r="QZ26" s="28">
        <f>EXPENSES!QZ32</f>
        <v/>
      </c>
      <c r="RA26" s="28">
        <f>EXPENSES!RA32</f>
        <v/>
      </c>
      <c r="RB26" s="28">
        <f>EXPENSES!RB32</f>
        <v/>
      </c>
      <c r="RC26" s="28">
        <f>EXPENSES!RC32</f>
        <v/>
      </c>
      <c r="RD26" s="28">
        <f>EXPENSES!RD32</f>
        <v/>
      </c>
      <c r="RE26" s="28">
        <f>EXPENSES!RE32</f>
        <v/>
      </c>
      <c r="RF26" s="28">
        <f>EXPENSES!RF32</f>
        <v/>
      </c>
      <c r="RG26" s="127">
        <f>SUM(QC26:RF26)</f>
        <v/>
      </c>
      <c r="RH26" s="28">
        <f>EXPENSES!RH32</f>
        <v/>
      </c>
      <c r="RI26" s="28">
        <f>EXPENSES!RI32</f>
        <v/>
      </c>
      <c r="RJ26" s="28">
        <f>EXPENSES!RJ32</f>
        <v/>
      </c>
      <c r="RK26" s="28">
        <f>EXPENSES!RK32</f>
        <v/>
      </c>
      <c r="RL26" s="28">
        <f>EXPENSES!RL32</f>
        <v/>
      </c>
      <c r="RM26" s="28">
        <f>EXPENSES!RM32</f>
        <v/>
      </c>
      <c r="RN26" s="28">
        <f>EXPENSES!RN32</f>
        <v/>
      </c>
      <c r="RO26" s="28">
        <f>EXPENSES!RO32</f>
        <v/>
      </c>
      <c r="RP26" s="28">
        <f>EXPENSES!RP32</f>
        <v/>
      </c>
      <c r="RQ26" s="28">
        <f>EXPENSES!RQ32</f>
        <v/>
      </c>
      <c r="RR26" s="28">
        <f>EXPENSES!RR32</f>
        <v/>
      </c>
      <c r="RS26" s="28">
        <f>EXPENSES!RS32</f>
        <v/>
      </c>
      <c r="RT26" s="28">
        <f>EXPENSES!RT32</f>
        <v/>
      </c>
      <c r="RU26" s="28">
        <f>EXPENSES!RU32</f>
        <v/>
      </c>
      <c r="RV26" s="28">
        <f>EXPENSES!RV32</f>
        <v/>
      </c>
      <c r="RW26" s="28">
        <f>EXPENSES!RW32</f>
        <v/>
      </c>
      <c r="RX26" s="28">
        <f>EXPENSES!RX32</f>
        <v/>
      </c>
      <c r="RY26" s="28">
        <f>EXPENSES!RY32</f>
        <v/>
      </c>
      <c r="RZ26" s="28">
        <f>EXPENSES!RZ32</f>
        <v/>
      </c>
      <c r="SA26" s="28">
        <f>EXPENSES!SA32</f>
        <v/>
      </c>
      <c r="SB26" s="28">
        <f>EXPENSES!SB32</f>
        <v/>
      </c>
      <c r="SC26" s="28">
        <f>EXPENSES!SC32</f>
        <v/>
      </c>
      <c r="SD26" s="28">
        <f>EXPENSES!SD32</f>
        <v/>
      </c>
      <c r="SE26" s="28">
        <f>EXPENSES!SE32</f>
        <v/>
      </c>
      <c r="SF26" s="28">
        <f>EXPENSES!SF32</f>
        <v/>
      </c>
      <c r="SG26" s="28">
        <f>EXPENSES!SG32</f>
        <v/>
      </c>
      <c r="SH26" s="28">
        <f>EXPENSES!SH32</f>
        <v/>
      </c>
      <c r="SI26" s="28">
        <f>EXPENSES!SI32</f>
        <v/>
      </c>
      <c r="SJ26" s="28">
        <f>EXPENSES!SJ32</f>
        <v/>
      </c>
      <c r="SK26" s="28">
        <f>EXPENSES!SK32</f>
        <v/>
      </c>
      <c r="SL26" s="127">
        <f>SUM(RH26:SK26)</f>
        <v/>
      </c>
      <c r="SM26" s="28">
        <f>EXPENSES!SN32</f>
        <v/>
      </c>
      <c r="SN26" s="28">
        <f>EXPENSES!SO32</f>
        <v/>
      </c>
      <c r="SO26" s="28">
        <f>EXPENSES!SP32</f>
        <v/>
      </c>
      <c r="SP26" s="28">
        <f>EXPENSES!SQ32</f>
        <v/>
      </c>
      <c r="SQ26" s="28">
        <f>EXPENSES!SR32</f>
        <v/>
      </c>
      <c r="SR26" s="28">
        <f>EXPENSES!SS32</f>
        <v/>
      </c>
      <c r="SS26" s="28">
        <f>EXPENSES!ST32</f>
        <v/>
      </c>
      <c r="ST26" s="28">
        <f>EXPENSES!SU32</f>
        <v/>
      </c>
      <c r="SU26" s="28">
        <f>EXPENSES!SV32</f>
        <v/>
      </c>
      <c r="SV26" s="28">
        <f>EXPENSES!SW32</f>
        <v/>
      </c>
      <c r="SW26" s="28">
        <f>EXPENSES!SX32</f>
        <v/>
      </c>
      <c r="SX26" s="28">
        <f>EXPENSES!SY32</f>
        <v/>
      </c>
      <c r="SY26" s="28">
        <f>EXPENSES!SZ32</f>
        <v/>
      </c>
      <c r="SZ26" s="28">
        <f>EXPENSES!TA32</f>
        <v/>
      </c>
      <c r="TA26" s="28">
        <f>EXPENSES!TB32</f>
        <v/>
      </c>
      <c r="TB26" s="28">
        <f>EXPENSES!TC32</f>
        <v/>
      </c>
      <c r="TC26" s="28">
        <f>EXPENSES!TD32</f>
        <v/>
      </c>
      <c r="TD26" s="28">
        <f>EXPENSES!TE32</f>
        <v/>
      </c>
      <c r="TE26" s="28">
        <f>EXPENSES!TF32</f>
        <v/>
      </c>
      <c r="TF26" s="28">
        <f>EXPENSES!TG32</f>
        <v/>
      </c>
      <c r="TG26" s="28">
        <f>EXPENSES!TH32</f>
        <v/>
      </c>
      <c r="TH26" s="28">
        <f>EXPENSES!TI32</f>
        <v/>
      </c>
      <c r="TI26" s="28">
        <f>EXPENSES!TJ32</f>
        <v/>
      </c>
      <c r="TJ26" s="28">
        <f>EXPENSES!TK32</f>
        <v/>
      </c>
      <c r="TK26" s="28">
        <f>EXPENSES!TL32</f>
        <v/>
      </c>
      <c r="TL26" s="28">
        <f>EXPENSES!TM32</f>
        <v/>
      </c>
      <c r="TM26" s="28">
        <f>EXPENSES!TN32</f>
        <v/>
      </c>
      <c r="TN26" s="28">
        <f>EXPENSES!TO32</f>
        <v/>
      </c>
      <c r="TO26" s="28">
        <f>EXPENSES!TP32</f>
        <v/>
      </c>
      <c r="TP26" s="28">
        <f>EXPENSES!TQ32</f>
        <v/>
      </c>
      <c r="TQ26" s="28">
        <f>EXPENSES!TR32</f>
        <v/>
      </c>
      <c r="TR26" s="127">
        <f>SUM(SN26:TQ26)</f>
        <v/>
      </c>
      <c r="TS26" s="28">
        <f>EXPENSES!TT32</f>
        <v/>
      </c>
      <c r="TT26" s="28">
        <f>EXPENSES!TU32</f>
        <v/>
      </c>
      <c r="TU26" s="28">
        <f>EXPENSES!TV32</f>
        <v/>
      </c>
      <c r="TV26" s="28">
        <f>EXPENSES!TW32</f>
        <v/>
      </c>
      <c r="TW26" s="28">
        <f>EXPENSES!TX32</f>
        <v/>
      </c>
      <c r="TX26" s="28">
        <f>EXPENSES!TY32</f>
        <v/>
      </c>
      <c r="TY26" s="28">
        <f>EXPENSES!TZ32</f>
        <v/>
      </c>
      <c r="TZ26" s="28">
        <f>EXPENSES!UA32</f>
        <v/>
      </c>
      <c r="UA26" s="28">
        <f>EXPENSES!UB32</f>
        <v/>
      </c>
      <c r="UB26" s="28">
        <f>EXPENSES!UC32</f>
        <v/>
      </c>
      <c r="UC26" s="28">
        <f>EXPENSES!UD32</f>
        <v/>
      </c>
      <c r="UD26" s="28">
        <f>EXPENSES!UE32</f>
        <v/>
      </c>
      <c r="UE26" s="28">
        <f>EXPENSES!UF32</f>
        <v/>
      </c>
      <c r="UF26" s="28">
        <f>EXPENSES!UG32</f>
        <v/>
      </c>
      <c r="UG26" s="28">
        <f>EXPENSES!UH32</f>
        <v/>
      </c>
      <c r="UH26" s="28">
        <f>EXPENSES!UI32</f>
        <v/>
      </c>
      <c r="UI26" s="28">
        <f>EXPENSES!UJ32</f>
        <v/>
      </c>
      <c r="UJ26" s="28">
        <f>EXPENSES!UK32</f>
        <v/>
      </c>
      <c r="UK26" s="28">
        <f>EXPENSES!UL32</f>
        <v/>
      </c>
      <c r="UL26" s="28">
        <f>EXPENSES!UM32</f>
        <v/>
      </c>
      <c r="UM26" s="28">
        <f>EXPENSES!UN32</f>
        <v/>
      </c>
      <c r="UN26" s="28">
        <f>EXPENSES!UO32</f>
        <v/>
      </c>
      <c r="UO26" s="28">
        <f>EXPENSES!UP32</f>
        <v/>
      </c>
      <c r="UP26" s="28">
        <f>EXPENSES!UQ32</f>
        <v/>
      </c>
      <c r="UQ26" s="28">
        <f>EXPENSES!UR32</f>
        <v/>
      </c>
      <c r="UR26" s="28">
        <f>EXPENSES!US32</f>
        <v/>
      </c>
      <c r="US26" s="28">
        <f>EXPENSES!UT32</f>
        <v/>
      </c>
      <c r="UT26" s="28">
        <f>EXPENSES!UU32</f>
        <v/>
      </c>
      <c r="UU26" s="28">
        <f>EXPENSES!UV32</f>
        <v/>
      </c>
      <c r="UV26" s="28">
        <f>EXPENSES!UW32</f>
        <v/>
      </c>
      <c r="UW26" s="28">
        <f>EXPENSES!UX32</f>
        <v/>
      </c>
      <c r="UX26" s="127">
        <f>SUM(TT26:UW26)</f>
        <v/>
      </c>
      <c r="UY26" s="28">
        <f>EXPENSES!UZ32</f>
        <v/>
      </c>
      <c r="UZ26" s="28">
        <f>EXPENSES!VA32</f>
        <v/>
      </c>
      <c r="VA26" s="28">
        <f>EXPENSES!VB32</f>
        <v/>
      </c>
      <c r="VB26" s="28">
        <f>EXPENSES!VC32</f>
        <v/>
      </c>
      <c r="VC26" s="28">
        <f>EXPENSES!VD32</f>
        <v/>
      </c>
      <c r="VD26" s="28">
        <f>EXPENSES!VE32</f>
        <v/>
      </c>
      <c r="VE26" s="28">
        <f>EXPENSES!VF32</f>
        <v/>
      </c>
      <c r="VF26" s="28">
        <f>EXPENSES!VG32</f>
        <v/>
      </c>
      <c r="VG26" s="28">
        <f>EXPENSES!VH32</f>
        <v/>
      </c>
      <c r="VH26" s="28">
        <f>EXPENSES!VI32</f>
        <v/>
      </c>
      <c r="VI26" s="28">
        <f>EXPENSES!VJ32</f>
        <v/>
      </c>
      <c r="VJ26" s="28">
        <f>EXPENSES!VK32</f>
        <v/>
      </c>
      <c r="VK26" s="28">
        <f>EXPENSES!VL32</f>
        <v/>
      </c>
      <c r="VL26" s="28">
        <f>EXPENSES!VM32</f>
        <v/>
      </c>
      <c r="VM26" s="28">
        <f>EXPENSES!VN32</f>
        <v/>
      </c>
      <c r="VN26" s="28">
        <f>EXPENSES!VO32</f>
        <v/>
      </c>
      <c r="VO26" s="28">
        <f>EXPENSES!VP32</f>
        <v/>
      </c>
      <c r="VP26" s="28">
        <f>EXPENSES!VQ32</f>
        <v/>
      </c>
      <c r="VQ26" s="28">
        <f>EXPENSES!VR32</f>
        <v/>
      </c>
      <c r="VR26" s="28">
        <f>EXPENSES!VS32</f>
        <v/>
      </c>
      <c r="VS26" s="28">
        <f>EXPENSES!VT32</f>
        <v/>
      </c>
      <c r="VT26" s="28">
        <f>EXPENSES!VU32</f>
        <v/>
      </c>
      <c r="VU26" s="28">
        <f>EXPENSES!VV32</f>
        <v/>
      </c>
      <c r="VV26" s="28">
        <f>EXPENSES!VW32</f>
        <v/>
      </c>
      <c r="VW26" s="28">
        <f>EXPENSES!VX32</f>
        <v/>
      </c>
      <c r="VX26" s="28">
        <f>EXPENSES!VY32</f>
        <v/>
      </c>
      <c r="VY26" s="28">
        <f>EXPENSES!VZ32</f>
        <v/>
      </c>
      <c r="VZ26" s="28">
        <f>EXPENSES!WA32</f>
        <v/>
      </c>
      <c r="WA26" s="127">
        <f>SUM(UY26:VZ26)</f>
        <v/>
      </c>
      <c r="WB26" s="28">
        <f>EXPENSES!WC32</f>
        <v/>
      </c>
      <c r="WC26" s="28">
        <f>EXPENSES!WD32</f>
        <v/>
      </c>
      <c r="WD26" s="28">
        <f>EXPENSES!WE32</f>
        <v/>
      </c>
      <c r="WE26" s="28">
        <f>EXPENSES!WF32</f>
        <v/>
      </c>
      <c r="WF26" s="28">
        <f>EXPENSES!WG32</f>
        <v/>
      </c>
      <c r="WG26" s="28">
        <f>EXPENSES!WH32</f>
        <v/>
      </c>
      <c r="WH26" s="28">
        <f>EXPENSES!WI32</f>
        <v/>
      </c>
      <c r="WI26" s="28">
        <f>EXPENSES!WJ32</f>
        <v/>
      </c>
      <c r="WJ26" s="28">
        <f>EXPENSES!WK32</f>
        <v/>
      </c>
      <c r="WK26" s="28">
        <f>EXPENSES!WL32</f>
        <v/>
      </c>
      <c r="WL26" s="28">
        <f>EXPENSES!WM32</f>
        <v/>
      </c>
      <c r="WM26" s="28">
        <f>EXPENSES!WN32</f>
        <v/>
      </c>
      <c r="WN26" s="28">
        <f>EXPENSES!WO32</f>
        <v/>
      </c>
      <c r="WO26" s="28">
        <f>EXPENSES!WP32</f>
        <v/>
      </c>
      <c r="WP26" s="28">
        <f>EXPENSES!WQ32</f>
        <v/>
      </c>
      <c r="WQ26" s="28">
        <f>EXPENSES!WR32</f>
        <v/>
      </c>
      <c r="WR26" s="28">
        <f>EXPENSES!WS32</f>
        <v/>
      </c>
      <c r="WS26" s="28">
        <f>EXPENSES!WT32</f>
        <v/>
      </c>
      <c r="WT26" s="28">
        <f>EXPENSES!WU32</f>
        <v/>
      </c>
      <c r="WU26" s="28">
        <f>EXPENSES!WV32</f>
        <v/>
      </c>
      <c r="WV26" s="28">
        <f>EXPENSES!WW32</f>
        <v/>
      </c>
      <c r="WW26" s="28">
        <f>EXPENSES!WX32</f>
        <v/>
      </c>
      <c r="WX26" s="28">
        <f>EXPENSES!WY32</f>
        <v/>
      </c>
      <c r="WY26" s="28">
        <f>EXPENSES!WZ32</f>
        <v/>
      </c>
      <c r="WZ26" s="28">
        <f>EXPENSES!XA32</f>
        <v/>
      </c>
      <c r="XA26" s="28">
        <f>EXPENSES!XB32</f>
        <v/>
      </c>
      <c r="XB26" s="28">
        <f>EXPENSES!XC32</f>
        <v/>
      </c>
      <c r="XC26" s="28">
        <f>EXPENSES!XD32</f>
        <v/>
      </c>
      <c r="XD26" s="28">
        <f>EXPENSES!XE32</f>
        <v/>
      </c>
      <c r="XE26" s="28">
        <f>EXPENSES!XF32</f>
        <v/>
      </c>
      <c r="XF26" s="28">
        <f>EXPENSES!XG32</f>
        <v/>
      </c>
      <c r="XG26" s="127">
        <f>SUM(WB26:XF26)</f>
        <v/>
      </c>
      <c r="XH26" s="28">
        <f>EXPENSES!XI32</f>
        <v/>
      </c>
      <c r="XI26" s="28">
        <f>EXPENSES!XJ32</f>
        <v/>
      </c>
      <c r="XJ26" s="28">
        <f>EXPENSES!XK32</f>
        <v/>
      </c>
      <c r="XK26" s="28">
        <f>EXPENSES!XL32</f>
        <v/>
      </c>
      <c r="XL26" s="28">
        <f>EXPENSES!XM32</f>
        <v/>
      </c>
      <c r="XM26" s="28">
        <f>EXPENSES!XN32</f>
        <v/>
      </c>
      <c r="XN26" s="28">
        <f>EXPENSES!XO32</f>
        <v/>
      </c>
      <c r="XO26" s="28">
        <f>EXPENSES!XP32</f>
        <v/>
      </c>
      <c r="XP26" s="28">
        <f>EXPENSES!XQ32</f>
        <v/>
      </c>
      <c r="XQ26" s="28">
        <f>EXPENSES!XR32</f>
        <v/>
      </c>
      <c r="XR26" s="28">
        <f>EXPENSES!XS32</f>
        <v/>
      </c>
      <c r="XS26" s="28">
        <f>EXPENSES!XT32</f>
        <v/>
      </c>
      <c r="XT26" s="28">
        <f>EXPENSES!XU32</f>
        <v/>
      </c>
      <c r="XU26" s="28">
        <f>EXPENSES!XV32</f>
        <v/>
      </c>
      <c r="XV26" s="28">
        <f>EXPENSES!XW32</f>
        <v/>
      </c>
      <c r="XW26" s="28">
        <f>EXPENSES!XX32</f>
        <v/>
      </c>
      <c r="XX26" s="28">
        <f>EXPENSES!XY32</f>
        <v/>
      </c>
      <c r="XY26" s="28">
        <f>EXPENSES!XZ32</f>
        <v/>
      </c>
      <c r="XZ26" s="28">
        <f>EXPENSES!YA32</f>
        <v/>
      </c>
      <c r="YA26" s="28">
        <f>EXPENSES!YB32</f>
        <v/>
      </c>
      <c r="YB26" s="28">
        <f>EXPENSES!YC32</f>
        <v/>
      </c>
      <c r="YC26" s="28">
        <f>EXPENSES!YD32</f>
        <v/>
      </c>
      <c r="YD26" s="28">
        <f>EXPENSES!YE32</f>
        <v/>
      </c>
      <c r="YE26" s="28">
        <f>EXPENSES!YF32</f>
        <v/>
      </c>
      <c r="YF26" s="28">
        <f>EXPENSES!YG32</f>
        <v/>
      </c>
      <c r="YG26" s="28">
        <f>EXPENSES!YH32</f>
        <v/>
      </c>
      <c r="YH26" s="28">
        <f>EXPENSES!YI32</f>
        <v/>
      </c>
      <c r="YI26" s="28">
        <f>EXPENSES!YJ32</f>
        <v/>
      </c>
      <c r="YJ26" s="28">
        <f>EXPENSES!YK32</f>
        <v/>
      </c>
      <c r="YK26" s="28">
        <f>EXPENSES!YL32</f>
        <v/>
      </c>
      <c r="YL26" s="127">
        <f>SUM(XH26:YK26)</f>
        <v/>
      </c>
      <c r="YM26" s="28">
        <f>EXPENSES!YN32</f>
        <v/>
      </c>
      <c r="YN26" s="28">
        <f>EXPENSES!YO32</f>
        <v/>
      </c>
      <c r="YO26" s="28">
        <f>EXPENSES!YP32</f>
        <v/>
      </c>
      <c r="YP26" s="28">
        <f>EXPENSES!YQ32</f>
        <v/>
      </c>
      <c r="YQ26" s="28">
        <f>EXPENSES!YR32</f>
        <v/>
      </c>
      <c r="YR26" s="28">
        <f>EXPENSES!YS32</f>
        <v/>
      </c>
      <c r="YS26" s="28">
        <f>EXPENSES!YT32</f>
        <v/>
      </c>
      <c r="YT26" s="28">
        <f>EXPENSES!YU32</f>
        <v/>
      </c>
      <c r="YU26" s="28">
        <f>EXPENSES!YV32</f>
        <v/>
      </c>
      <c r="YV26" s="28">
        <f>EXPENSES!YW32</f>
        <v/>
      </c>
      <c r="YW26" s="28">
        <f>EXPENSES!YX32</f>
        <v/>
      </c>
      <c r="YX26" s="28">
        <f>EXPENSES!YY32</f>
        <v/>
      </c>
      <c r="YY26" s="28">
        <f>EXPENSES!YZ32</f>
        <v/>
      </c>
      <c r="YZ26" s="28">
        <f>EXPENSES!ZA32</f>
        <v/>
      </c>
      <c r="ZA26" s="28">
        <f>EXPENSES!ZB32</f>
        <v/>
      </c>
      <c r="ZB26" s="28">
        <f>EXPENSES!ZC32</f>
        <v/>
      </c>
      <c r="ZC26" s="28">
        <f>EXPENSES!ZD32</f>
        <v/>
      </c>
      <c r="ZD26" s="28">
        <f>EXPENSES!ZE32</f>
        <v/>
      </c>
      <c r="ZE26" s="28">
        <f>EXPENSES!ZF32</f>
        <v/>
      </c>
      <c r="ZF26" s="28">
        <f>EXPENSES!ZG32</f>
        <v/>
      </c>
      <c r="ZG26" s="28">
        <f>EXPENSES!ZH32</f>
        <v/>
      </c>
      <c r="ZH26" s="28">
        <f>EXPENSES!ZI32</f>
        <v/>
      </c>
      <c r="ZI26" s="28">
        <f>EXPENSES!ZJ32</f>
        <v/>
      </c>
      <c r="ZJ26" s="28">
        <f>EXPENSES!ZK32</f>
        <v/>
      </c>
      <c r="ZK26" s="28">
        <f>EXPENSES!ZL32</f>
        <v/>
      </c>
      <c r="ZL26" s="28">
        <f>EXPENSES!ZM32</f>
        <v/>
      </c>
      <c r="ZM26" s="28">
        <f>EXPENSES!ZN32</f>
        <v/>
      </c>
      <c r="ZN26" s="28">
        <f>EXPENSES!ZO32</f>
        <v/>
      </c>
      <c r="ZO26" s="28">
        <f>EXPENSES!ZP32</f>
        <v/>
      </c>
      <c r="ZP26" s="28">
        <f>EXPENSES!ZQ32</f>
        <v/>
      </c>
      <c r="ZQ26" s="28">
        <f>EXPENSES!ZR32</f>
        <v/>
      </c>
      <c r="ZR26" s="127">
        <f>SUM(YM26:ZQ26)</f>
        <v/>
      </c>
      <c r="ZS26" s="28">
        <f>EXPENSES!ZT32</f>
        <v/>
      </c>
      <c r="ZT26" s="28">
        <f>EXPENSES!ZU32</f>
        <v/>
      </c>
      <c r="ZU26" s="28">
        <f>EXPENSES!ZV32</f>
        <v/>
      </c>
      <c r="ZV26" s="28">
        <f>EXPENSES!ZW32</f>
        <v/>
      </c>
      <c r="ZW26" s="28">
        <f>EXPENSES!ZX32</f>
        <v/>
      </c>
      <c r="ZX26" s="28">
        <f>EXPENSES!ZY32</f>
        <v/>
      </c>
      <c r="ZY26" s="28">
        <f>EXPENSES!ZZ32</f>
        <v/>
      </c>
      <c r="ZZ26" s="28">
        <f>EXPENSES!AAA32</f>
        <v/>
      </c>
      <c r="AAA26" s="28">
        <f>EXPENSES!AAB32</f>
        <v/>
      </c>
      <c r="AAB26" s="28">
        <f>EXPENSES!AAC32</f>
        <v/>
      </c>
      <c r="AAC26" s="28">
        <f>EXPENSES!AAD32</f>
        <v/>
      </c>
      <c r="AAD26" s="28">
        <f>EXPENSES!AAE32</f>
        <v/>
      </c>
      <c r="AAE26" s="28">
        <f>EXPENSES!AAF32</f>
        <v/>
      </c>
      <c r="AAF26" s="28">
        <f>EXPENSES!AAG32</f>
        <v/>
      </c>
      <c r="AAG26" s="28">
        <f>EXPENSES!AAH32</f>
        <v/>
      </c>
      <c r="AAH26" s="28">
        <f>EXPENSES!AAI32</f>
        <v/>
      </c>
      <c r="AAI26" s="28">
        <f>EXPENSES!AAJ32</f>
        <v/>
      </c>
      <c r="AAJ26" s="28">
        <f>EXPENSES!AAK32</f>
        <v/>
      </c>
      <c r="AAK26" s="28">
        <f>EXPENSES!AAL32</f>
        <v/>
      </c>
      <c r="AAL26" s="28">
        <f>EXPENSES!AAM32</f>
        <v/>
      </c>
      <c r="AAM26" s="28">
        <f>EXPENSES!AAN32</f>
        <v/>
      </c>
      <c r="AAN26" s="28">
        <f>EXPENSES!AAO32</f>
        <v/>
      </c>
      <c r="AAO26" s="28">
        <f>EXPENSES!AAP32</f>
        <v/>
      </c>
      <c r="AAP26" s="28">
        <f>EXPENSES!AAQ32</f>
        <v/>
      </c>
      <c r="AAQ26" s="28">
        <f>EXPENSES!AAR32</f>
        <v/>
      </c>
      <c r="AAR26" s="28">
        <f>EXPENSES!AAS32</f>
        <v/>
      </c>
      <c r="AAS26" s="28">
        <f>EXPENSES!AAT32</f>
        <v/>
      </c>
      <c r="AAT26" s="28">
        <f>EXPENSES!AAU32</f>
        <v/>
      </c>
      <c r="AAU26" s="28">
        <f>EXPENSES!AAV32</f>
        <v/>
      </c>
      <c r="AAV26" s="28">
        <f>EXPENSES!AAW32</f>
        <v/>
      </c>
      <c r="AAW26" s="127">
        <f>SUM(ZS26:AAV26)</f>
        <v/>
      </c>
      <c r="AAX26" s="28">
        <f>EXPENSES!AAY32</f>
        <v/>
      </c>
      <c r="AAY26" s="28">
        <f>EXPENSES!AAZ32</f>
        <v/>
      </c>
      <c r="AAZ26" s="28">
        <f>EXPENSES!ABA32</f>
        <v/>
      </c>
      <c r="ABA26" s="28">
        <f>EXPENSES!ABB32</f>
        <v/>
      </c>
      <c r="ABB26" s="28">
        <f>EXPENSES!ABC32</f>
        <v/>
      </c>
      <c r="ABC26" s="28">
        <f>EXPENSES!ABD32</f>
        <v/>
      </c>
      <c r="ABD26" s="28">
        <f>EXPENSES!ABE32</f>
        <v/>
      </c>
      <c r="ABE26" s="28">
        <f>EXPENSES!ABF32</f>
        <v/>
      </c>
      <c r="ABF26" s="28">
        <f>EXPENSES!ABG32</f>
        <v/>
      </c>
      <c r="ABG26" s="28">
        <f>EXPENSES!ABH32</f>
        <v/>
      </c>
      <c r="ABH26" s="28">
        <f>EXPENSES!ABI32</f>
        <v/>
      </c>
      <c r="ABI26" s="28">
        <f>EXPENSES!ABJ32</f>
        <v/>
      </c>
      <c r="ABJ26" s="28">
        <f>EXPENSES!ABK32</f>
        <v/>
      </c>
      <c r="ABK26" s="28">
        <f>EXPENSES!ABL32</f>
        <v/>
      </c>
      <c r="ABL26" s="28">
        <f>EXPENSES!ABM32</f>
        <v/>
      </c>
      <c r="ABM26" s="28">
        <f>EXPENSES!ABN32</f>
        <v/>
      </c>
      <c r="ABN26" s="28">
        <f>EXPENSES!ABO32</f>
        <v/>
      </c>
      <c r="ABO26" s="28">
        <f>EXPENSES!ABP32</f>
        <v/>
      </c>
      <c r="ABP26" s="28">
        <f>EXPENSES!ABQ32</f>
        <v/>
      </c>
      <c r="ABQ26" s="28">
        <f>EXPENSES!ABR32</f>
        <v/>
      </c>
      <c r="ABR26" s="28">
        <f>EXPENSES!ABS32</f>
        <v/>
      </c>
      <c r="ABS26" s="28">
        <f>EXPENSES!ABT32</f>
        <v/>
      </c>
      <c r="ABT26" s="28">
        <f>EXPENSES!ABU32</f>
        <v/>
      </c>
      <c r="ABU26" s="28">
        <f>EXPENSES!ABV32</f>
        <v/>
      </c>
      <c r="ABV26" s="28">
        <f>EXPENSES!ABW32</f>
        <v/>
      </c>
      <c r="ABW26" s="28">
        <f>EXPENSES!ABX32</f>
        <v/>
      </c>
      <c r="ABX26" s="28">
        <f>EXPENSES!ABY32</f>
        <v/>
      </c>
      <c r="ABY26" s="28">
        <f>EXPENSES!ABZ32</f>
        <v/>
      </c>
      <c r="ABZ26" s="28">
        <f>EXPENSES!ACA32</f>
        <v/>
      </c>
      <c r="ACA26" s="28">
        <f>EXPENSES!ACB32</f>
        <v/>
      </c>
      <c r="ACB26" s="28">
        <f>EXPENSES!ACC32</f>
        <v/>
      </c>
      <c r="ACC26" s="127">
        <f>SUM(AAX26:ACB26)</f>
        <v/>
      </c>
      <c r="ACD26" s="28">
        <f>EXPENSES!ACE32</f>
        <v/>
      </c>
      <c r="ACE26" s="28">
        <f>EXPENSES!ACF32</f>
        <v/>
      </c>
      <c r="ACF26" s="28">
        <f>EXPENSES!ACG32</f>
        <v/>
      </c>
      <c r="ACG26" s="28">
        <f>EXPENSES!ACH32</f>
        <v/>
      </c>
      <c r="ACH26" s="28">
        <f>EXPENSES!ACI32</f>
        <v/>
      </c>
      <c r="ACI26" s="28">
        <f>EXPENSES!ACJ32</f>
        <v/>
      </c>
      <c r="ACJ26" s="28">
        <f>EXPENSES!ACK32</f>
        <v/>
      </c>
      <c r="ACK26" s="28">
        <f>EXPENSES!ACL32</f>
        <v/>
      </c>
      <c r="ACL26" s="28">
        <f>EXPENSES!ACM32</f>
        <v/>
      </c>
      <c r="ACM26" s="28">
        <f>EXPENSES!ACN32</f>
        <v/>
      </c>
      <c r="ACN26" s="28">
        <f>EXPENSES!ACO32</f>
        <v/>
      </c>
      <c r="ACO26" s="28">
        <f>EXPENSES!ACP32</f>
        <v/>
      </c>
      <c r="ACP26" s="28">
        <f>EXPENSES!ACQ32</f>
        <v/>
      </c>
      <c r="ACQ26" s="28">
        <f>EXPENSES!ACR32</f>
        <v/>
      </c>
      <c r="ACR26" s="28">
        <f>EXPENSES!ACS32</f>
        <v/>
      </c>
      <c r="ACS26" s="28">
        <f>EXPENSES!ACT32</f>
        <v/>
      </c>
      <c r="ACT26" s="28">
        <f>EXPENSES!ACU32</f>
        <v/>
      </c>
      <c r="ACU26" s="28">
        <f>EXPENSES!ACV32</f>
        <v/>
      </c>
      <c r="ACV26" s="28">
        <f>EXPENSES!ACW32</f>
        <v/>
      </c>
      <c r="ACW26" s="28">
        <f>EXPENSES!ACX32</f>
        <v/>
      </c>
      <c r="ACX26" s="28">
        <f>EXPENSES!ACY32</f>
        <v/>
      </c>
      <c r="ACY26" s="28">
        <f>EXPENSES!ACZ32</f>
        <v/>
      </c>
      <c r="ACZ26" s="28">
        <f>EXPENSES!ADA32</f>
        <v/>
      </c>
      <c r="ADA26" s="28">
        <f>EXPENSES!ADB32</f>
        <v/>
      </c>
      <c r="ADB26" s="28">
        <f>EXPENSES!ADC32</f>
        <v/>
      </c>
      <c r="ADC26" s="28">
        <f>EXPENSES!ADD32</f>
        <v/>
      </c>
      <c r="ADD26" s="28">
        <f>EXPENSES!ADE32</f>
        <v/>
      </c>
      <c r="ADE26" s="28">
        <f>EXPENSES!ADF32</f>
        <v/>
      </c>
      <c r="ADF26" s="28">
        <f>EXPENSES!ADG32</f>
        <v/>
      </c>
      <c r="ADG26" s="28">
        <f>EXPENSES!ADH32</f>
        <v/>
      </c>
      <c r="ADH26" s="28">
        <f>EXPENSES!ADI32</f>
        <v/>
      </c>
      <c r="ADI26" s="127">
        <f>SUM(ACD26:ADH26)</f>
        <v/>
      </c>
      <c r="ADJ26" s="28">
        <f>EXPENSES!ADK32</f>
        <v/>
      </c>
      <c r="ADK26" s="28">
        <f>EXPENSES!ADL32</f>
        <v/>
      </c>
      <c r="ADL26" s="28">
        <f>EXPENSES!ADM32</f>
        <v/>
      </c>
      <c r="ADM26" s="28">
        <f>EXPENSES!ADN32</f>
        <v/>
      </c>
      <c r="ADN26" s="28">
        <f>EXPENSES!ADO32</f>
        <v/>
      </c>
      <c r="ADO26" s="28">
        <f>EXPENSES!ADP32</f>
        <v/>
      </c>
      <c r="ADP26" s="28">
        <f>EXPENSES!ADQ32</f>
        <v/>
      </c>
      <c r="ADQ26" s="28">
        <f>EXPENSES!ADR32</f>
        <v/>
      </c>
      <c r="ADR26" s="28">
        <f>EXPENSES!ADS32</f>
        <v/>
      </c>
      <c r="ADS26" s="28">
        <f>EXPENSES!ADT32</f>
        <v/>
      </c>
      <c r="ADT26" s="28">
        <f>EXPENSES!ADU32</f>
        <v/>
      </c>
      <c r="ADU26" s="28">
        <f>EXPENSES!ADV32</f>
        <v/>
      </c>
      <c r="ADV26" s="28">
        <f>EXPENSES!ADW32</f>
        <v/>
      </c>
      <c r="ADW26" s="28">
        <f>EXPENSES!ADX32</f>
        <v/>
      </c>
      <c r="ADX26" s="28">
        <f>EXPENSES!ADY32</f>
        <v/>
      </c>
      <c r="ADY26" s="28">
        <f>EXPENSES!ADZ32</f>
        <v/>
      </c>
      <c r="ADZ26" s="28">
        <f>EXPENSES!AEA32</f>
        <v/>
      </c>
      <c r="AEA26" s="28">
        <f>EXPENSES!AEB32</f>
        <v/>
      </c>
      <c r="AEB26" s="28">
        <f>EXPENSES!AEC32</f>
        <v/>
      </c>
      <c r="AEC26" s="28">
        <f>EXPENSES!AED32</f>
        <v/>
      </c>
      <c r="AED26" s="28">
        <f>EXPENSES!AEE32</f>
        <v/>
      </c>
      <c r="AEE26" s="28">
        <f>EXPENSES!AEF32</f>
        <v/>
      </c>
      <c r="AEF26" s="28">
        <f>EXPENSES!AEG32</f>
        <v/>
      </c>
      <c r="AEG26" s="28">
        <f>EXPENSES!AEH32</f>
        <v/>
      </c>
      <c r="AEH26" s="28">
        <f>EXPENSES!AEI32</f>
        <v/>
      </c>
      <c r="AEI26" s="28">
        <f>EXPENSES!AEJ32</f>
        <v/>
      </c>
      <c r="AEJ26" s="28">
        <f>EXPENSES!AEK32</f>
        <v/>
      </c>
      <c r="AEK26" s="28">
        <f>EXPENSES!AEL32</f>
        <v/>
      </c>
      <c r="AEL26" s="28">
        <f>EXPENSES!AEM32</f>
        <v/>
      </c>
      <c r="AEM26" s="28">
        <f>EXPENSES!AEN32</f>
        <v/>
      </c>
      <c r="AEN26" s="127">
        <f>SUM(ADJ26:AEM26)</f>
        <v/>
      </c>
      <c r="AEO26" s="28">
        <f>EXPENSES!AEP32</f>
        <v/>
      </c>
      <c r="AEP26" s="28">
        <f>EXPENSES!AEQ32</f>
        <v/>
      </c>
      <c r="AEQ26" s="28">
        <f>EXPENSES!AER32</f>
        <v/>
      </c>
      <c r="AER26" s="28">
        <f>EXPENSES!AES32</f>
        <v/>
      </c>
      <c r="AES26" s="28">
        <f>EXPENSES!AET32</f>
        <v/>
      </c>
      <c r="AET26" s="28">
        <f>EXPENSES!AEU32</f>
        <v/>
      </c>
      <c r="AEU26" s="28">
        <f>EXPENSES!AEV32</f>
        <v/>
      </c>
      <c r="AEV26" s="28">
        <f>EXPENSES!AEW32</f>
        <v/>
      </c>
      <c r="AEW26" s="28">
        <f>EXPENSES!AEX32</f>
        <v/>
      </c>
      <c r="AEX26" s="28">
        <f>EXPENSES!AEY32</f>
        <v/>
      </c>
      <c r="AEY26" s="28">
        <f>EXPENSES!AEZ32</f>
        <v/>
      </c>
      <c r="AEZ26" s="28">
        <f>EXPENSES!AFA32</f>
        <v/>
      </c>
      <c r="AFA26" s="28">
        <f>EXPENSES!AFB32</f>
        <v/>
      </c>
      <c r="AFB26" s="28">
        <f>EXPENSES!AFC32</f>
        <v/>
      </c>
      <c r="AFC26" s="28">
        <f>EXPENSES!AFD32</f>
        <v/>
      </c>
      <c r="AFD26" s="28">
        <f>EXPENSES!AFE32</f>
        <v/>
      </c>
      <c r="AFE26" s="28">
        <f>EXPENSES!AFF32</f>
        <v/>
      </c>
      <c r="AFF26" s="28">
        <f>EXPENSES!AFG32</f>
        <v/>
      </c>
      <c r="AFG26" s="28">
        <f>EXPENSES!AFH32</f>
        <v/>
      </c>
      <c r="AFH26" s="28">
        <f>EXPENSES!AFI32</f>
        <v/>
      </c>
      <c r="AFI26" s="28">
        <f>EXPENSES!AFJ32</f>
        <v/>
      </c>
      <c r="AFJ26" s="28">
        <f>EXPENSES!AFK32</f>
        <v/>
      </c>
      <c r="AFK26" s="28">
        <f>EXPENSES!AFL32</f>
        <v/>
      </c>
      <c r="AFL26" s="28">
        <f>EXPENSES!AFM32</f>
        <v/>
      </c>
      <c r="AFM26" s="28">
        <f>EXPENSES!AFN32</f>
        <v/>
      </c>
      <c r="AFN26" s="28">
        <f>EXPENSES!AFO32</f>
        <v/>
      </c>
      <c r="AFO26" s="28">
        <f>EXPENSES!AFP32</f>
        <v/>
      </c>
      <c r="AFP26" s="28">
        <f>EXPENSES!AFQ32</f>
        <v/>
      </c>
      <c r="AFQ26" s="28">
        <f>EXPENSES!AFR32</f>
        <v/>
      </c>
      <c r="AFR26" s="28">
        <f>EXPENSES!AFS32</f>
        <v/>
      </c>
      <c r="AFS26" s="28">
        <f>EXPENSES!AFT32</f>
        <v/>
      </c>
      <c r="AFT26" s="127">
        <f>SUM(AEO26:AFS26)</f>
        <v/>
      </c>
      <c r="AFU26" s="28">
        <f>EXPENSES!AFV32</f>
        <v/>
      </c>
      <c r="AFV26" s="28">
        <f>EXPENSES!AFW32</f>
        <v/>
      </c>
      <c r="AFW26" s="28">
        <f>EXPENSES!AFX32</f>
        <v/>
      </c>
      <c r="AFX26" s="28">
        <f>EXPENSES!AFY32</f>
        <v/>
      </c>
      <c r="AFY26" s="28">
        <f>EXPENSES!AFZ32</f>
        <v/>
      </c>
      <c r="AFZ26" s="28">
        <f>EXPENSES!AGA32</f>
        <v/>
      </c>
      <c r="AGA26" s="28">
        <f>EXPENSES!AGB32</f>
        <v/>
      </c>
      <c r="AGB26" s="28">
        <f>EXPENSES!AGC32</f>
        <v/>
      </c>
      <c r="AGC26" s="28">
        <f>EXPENSES!AGD32</f>
        <v/>
      </c>
      <c r="AGD26" s="28">
        <f>EXPENSES!AGE32</f>
        <v/>
      </c>
      <c r="AGE26" s="28">
        <f>EXPENSES!AGF32</f>
        <v/>
      </c>
      <c r="AGF26" s="28">
        <f>EXPENSES!AGG32</f>
        <v/>
      </c>
      <c r="AGG26" s="28">
        <f>EXPENSES!AGH32</f>
        <v/>
      </c>
      <c r="AGH26" s="28">
        <f>EXPENSES!AGI32</f>
        <v/>
      </c>
      <c r="AGI26" s="28">
        <f>EXPENSES!AGJ32</f>
        <v/>
      </c>
      <c r="AGJ26" s="28">
        <f>EXPENSES!AGK32</f>
        <v/>
      </c>
      <c r="AGK26" s="28">
        <f>EXPENSES!AGL32</f>
        <v/>
      </c>
      <c r="AGL26" s="28">
        <f>EXPENSES!AGM32</f>
        <v/>
      </c>
      <c r="AGM26" s="28">
        <f>EXPENSES!AGN32</f>
        <v/>
      </c>
      <c r="AGN26" s="28">
        <f>EXPENSES!AGO32</f>
        <v/>
      </c>
      <c r="AGO26" s="28">
        <f>EXPENSES!AGP32</f>
        <v/>
      </c>
      <c r="AGP26" s="28">
        <f>EXPENSES!AGQ32</f>
        <v/>
      </c>
      <c r="AGQ26" s="28">
        <f>EXPENSES!AGR32</f>
        <v/>
      </c>
      <c r="AGR26" s="28">
        <f>EXPENSES!AGS32</f>
        <v/>
      </c>
      <c r="AGS26" s="28">
        <f>EXPENSES!AGT32</f>
        <v/>
      </c>
      <c r="AGT26" s="28">
        <f>EXPENSES!AGU32</f>
        <v/>
      </c>
      <c r="AGU26" s="28">
        <f>EXPENSES!AGV32</f>
        <v/>
      </c>
      <c r="AGV26" s="28">
        <f>EXPENSES!AGW32</f>
        <v/>
      </c>
      <c r="AGW26" s="28">
        <f>EXPENSES!AGX32</f>
        <v/>
      </c>
      <c r="AGX26" s="28">
        <f>EXPENSES!AGY32</f>
        <v/>
      </c>
      <c r="AGY26" s="127">
        <f>SUM(AFU26:AGX26)</f>
        <v/>
      </c>
      <c r="AGZ26" s="28">
        <f>EXPENSES!AHA32</f>
        <v/>
      </c>
      <c r="AHA26" s="28">
        <f>EXPENSES!AHB32</f>
        <v/>
      </c>
      <c r="AHB26" s="28">
        <f>EXPENSES!AHC32</f>
        <v/>
      </c>
      <c r="AHC26" s="28">
        <f>EXPENSES!AHD32</f>
        <v/>
      </c>
      <c r="AHD26" s="28">
        <f>EXPENSES!AHE32</f>
        <v/>
      </c>
      <c r="AHE26" s="28">
        <f>EXPENSES!AHF32</f>
        <v/>
      </c>
      <c r="AHF26" s="28">
        <f>EXPENSES!AHG32</f>
        <v/>
      </c>
      <c r="AHG26" s="28">
        <f>EXPENSES!AHH32</f>
        <v/>
      </c>
      <c r="AHH26" s="28">
        <f>EXPENSES!AHI32</f>
        <v/>
      </c>
      <c r="AHI26" s="28">
        <f>EXPENSES!AHJ32</f>
        <v/>
      </c>
      <c r="AHJ26" s="28">
        <f>EXPENSES!AHK32</f>
        <v/>
      </c>
      <c r="AHK26" s="28">
        <f>EXPENSES!AHL32</f>
        <v/>
      </c>
      <c r="AHL26" s="28">
        <f>EXPENSES!AHM32</f>
        <v/>
      </c>
      <c r="AHM26" s="28">
        <f>EXPENSES!AHN32</f>
        <v/>
      </c>
      <c r="AHN26" s="28">
        <f>EXPENSES!AHO32</f>
        <v/>
      </c>
      <c r="AHO26" s="28">
        <f>EXPENSES!AHP32</f>
        <v/>
      </c>
      <c r="AHP26" s="28">
        <f>EXPENSES!AHQ32</f>
        <v/>
      </c>
      <c r="AHQ26" s="28">
        <f>EXPENSES!AHR32</f>
        <v/>
      </c>
      <c r="AHR26" s="28">
        <f>EXPENSES!AHS32</f>
        <v/>
      </c>
      <c r="AHS26" s="28">
        <f>EXPENSES!AHT32</f>
        <v/>
      </c>
      <c r="AHT26" s="28">
        <f>EXPENSES!AHU32</f>
        <v/>
      </c>
      <c r="AHU26" s="28">
        <f>EXPENSES!AHV32</f>
        <v/>
      </c>
      <c r="AHV26" s="28">
        <f>EXPENSES!AHW32</f>
        <v/>
      </c>
      <c r="AHW26" s="28">
        <f>EXPENSES!AHX32</f>
        <v/>
      </c>
      <c r="AHX26" s="28">
        <f>EXPENSES!AHY32</f>
        <v/>
      </c>
      <c r="AHY26" s="28">
        <f>EXPENSES!AHZ32</f>
        <v/>
      </c>
      <c r="AHZ26" s="28">
        <f>EXPENSES!AIA32</f>
        <v/>
      </c>
      <c r="AIA26" s="28">
        <f>EXPENSES!AIB32</f>
        <v/>
      </c>
      <c r="AIB26" s="28">
        <f>EXPENSES!AIC32</f>
        <v/>
      </c>
      <c r="AIC26" s="28">
        <f>EXPENSES!AID32</f>
        <v/>
      </c>
      <c r="AID26" s="28">
        <f>EXPENSES!AIE32</f>
        <v/>
      </c>
      <c r="AIE26" s="127">
        <f>SUM(AHA26:AID26)</f>
        <v/>
      </c>
      <c r="AIF26" s="28">
        <f>EXPENSES!AIG32</f>
        <v/>
      </c>
      <c r="AIG26" s="28">
        <f>EXPENSES!AIH32</f>
        <v/>
      </c>
      <c r="AIH26" s="28">
        <f>EXPENSES!AII32</f>
        <v/>
      </c>
      <c r="AII26" s="28">
        <f>EXPENSES!AIJ32</f>
        <v/>
      </c>
      <c r="AIJ26" s="28">
        <f>EXPENSES!AIK32</f>
        <v/>
      </c>
      <c r="AIK26" s="28">
        <f>EXPENSES!AIL32</f>
        <v/>
      </c>
      <c r="AIL26" s="28">
        <f>EXPENSES!AIM32</f>
        <v/>
      </c>
      <c r="AIM26" s="28">
        <f>EXPENSES!AIN32</f>
        <v/>
      </c>
      <c r="AIN26" s="28">
        <f>EXPENSES!AIO32</f>
        <v/>
      </c>
      <c r="AIO26" s="28">
        <f>EXPENSES!AIP32</f>
        <v/>
      </c>
      <c r="AIP26" s="28">
        <f>EXPENSES!AIQ32</f>
        <v/>
      </c>
      <c r="AIQ26" s="28">
        <f>EXPENSES!AIR32</f>
        <v/>
      </c>
      <c r="AIR26" s="28">
        <f>EXPENSES!AIS32</f>
        <v/>
      </c>
      <c r="AIS26" s="28">
        <f>EXPENSES!AIT32</f>
        <v/>
      </c>
      <c r="AIT26" s="28">
        <f>EXPENSES!AIU32</f>
        <v/>
      </c>
      <c r="AIU26" s="28">
        <f>EXPENSES!AIV32</f>
        <v/>
      </c>
      <c r="AIV26" s="28">
        <f>EXPENSES!AIW32</f>
        <v/>
      </c>
      <c r="AIW26" s="28">
        <f>EXPENSES!AIX32</f>
        <v/>
      </c>
      <c r="AIX26" s="28">
        <f>EXPENSES!AIY32</f>
        <v/>
      </c>
      <c r="AIY26" s="28">
        <f>EXPENSES!AIZ32</f>
        <v/>
      </c>
      <c r="AIZ26" s="28">
        <f>EXPENSES!AJA32</f>
        <v/>
      </c>
      <c r="AJA26" s="28">
        <f>EXPENSES!AJB32</f>
        <v/>
      </c>
      <c r="AJB26" s="28">
        <f>EXPENSES!AJC32</f>
        <v/>
      </c>
      <c r="AJC26" s="28">
        <f>EXPENSES!AJD32</f>
        <v/>
      </c>
      <c r="AJD26" s="28">
        <f>EXPENSES!AJE32</f>
        <v/>
      </c>
      <c r="AJE26" s="28">
        <f>EXPENSES!AJF32</f>
        <v/>
      </c>
      <c r="AJF26" s="28">
        <f>EXPENSES!AJG32</f>
        <v/>
      </c>
      <c r="AJG26" s="28">
        <f>EXPENSES!AJH32</f>
        <v/>
      </c>
      <c r="AJH26" s="28">
        <f>EXPENSES!AJI32</f>
        <v/>
      </c>
      <c r="AJI26" s="28">
        <f>EXPENSES!AJJ32</f>
        <v/>
      </c>
      <c r="AJJ26" s="28">
        <f>EXPENSES!AJK32</f>
        <v/>
      </c>
      <c r="AJK26" s="127">
        <f>SUM(AIG26:AJJ26)</f>
        <v/>
      </c>
      <c r="AJL26" s="28">
        <f>EXPENSES!AJM32</f>
        <v/>
      </c>
      <c r="AJM26" s="28">
        <f>EXPENSES!AJN32</f>
        <v/>
      </c>
      <c r="AJN26" s="28">
        <f>EXPENSES!AJO32</f>
        <v/>
      </c>
      <c r="AJO26" s="28">
        <f>EXPENSES!AJP32</f>
        <v/>
      </c>
      <c r="AJP26" s="28">
        <f>EXPENSES!AJQ32</f>
        <v/>
      </c>
      <c r="AJQ26" s="28">
        <f>EXPENSES!AJR32</f>
        <v/>
      </c>
      <c r="AJR26" s="28">
        <f>EXPENSES!AJS32</f>
        <v/>
      </c>
      <c r="AJS26" s="28">
        <f>EXPENSES!AJT32</f>
        <v/>
      </c>
      <c r="AJT26" s="28">
        <f>EXPENSES!AJU32</f>
        <v/>
      </c>
      <c r="AJU26" s="28">
        <f>EXPENSES!AJV32</f>
        <v/>
      </c>
      <c r="AJV26" s="28">
        <f>EXPENSES!AJW32</f>
        <v/>
      </c>
      <c r="AJW26" s="28">
        <f>EXPENSES!AJX32</f>
        <v/>
      </c>
      <c r="AJX26" s="28">
        <f>EXPENSES!AJY32</f>
        <v/>
      </c>
      <c r="AJY26" s="28">
        <f>EXPENSES!AJZ32</f>
        <v/>
      </c>
      <c r="AJZ26" s="28">
        <f>EXPENSES!AKA32</f>
        <v/>
      </c>
      <c r="AKA26" s="28">
        <f>EXPENSES!AKB32</f>
        <v/>
      </c>
      <c r="AKB26" s="28">
        <f>EXPENSES!AKC32</f>
        <v/>
      </c>
      <c r="AKC26" s="28">
        <f>EXPENSES!AKD32</f>
        <v/>
      </c>
      <c r="AKD26" s="28">
        <f>EXPENSES!AKE32</f>
        <v/>
      </c>
      <c r="AKE26" s="28">
        <f>EXPENSES!AKF32</f>
        <v/>
      </c>
      <c r="AKF26" s="28">
        <f>EXPENSES!AKG32</f>
        <v/>
      </c>
      <c r="AKG26" s="28">
        <f>EXPENSES!AKH32</f>
        <v/>
      </c>
      <c r="AKH26" s="28">
        <f>EXPENSES!AKI32</f>
        <v/>
      </c>
      <c r="AKI26" s="28">
        <f>EXPENSES!AKJ32</f>
        <v/>
      </c>
      <c r="AKJ26" s="28">
        <f>EXPENSES!AKK32</f>
        <v/>
      </c>
      <c r="AKK26" s="28">
        <f>EXPENSES!AKL32</f>
        <v/>
      </c>
      <c r="AKL26" s="28">
        <f>EXPENSES!AKM32</f>
        <v/>
      </c>
      <c r="AKM26" s="28">
        <f>EXPENSES!AKN32</f>
        <v/>
      </c>
      <c r="AKN26" s="127">
        <f>SUM(AJL26:AKM26)</f>
        <v/>
      </c>
      <c r="AKO26" s="28">
        <f>EXPENSES!AKP32</f>
        <v/>
      </c>
      <c r="AKP26" s="28">
        <f>EXPENSES!AKQ32</f>
        <v/>
      </c>
      <c r="AKQ26" s="28">
        <f>EXPENSES!AKR32</f>
        <v/>
      </c>
      <c r="AKR26" s="28">
        <f>EXPENSES!AKS32</f>
        <v/>
      </c>
      <c r="AKS26" s="28">
        <f>EXPENSES!AKT32</f>
        <v/>
      </c>
      <c r="AKT26" s="28">
        <f>EXPENSES!AKU32</f>
        <v/>
      </c>
      <c r="AKU26" s="28">
        <f>EXPENSES!AKV32</f>
        <v/>
      </c>
      <c r="AKV26" s="28">
        <f>EXPENSES!AKW32</f>
        <v/>
      </c>
      <c r="AKW26" s="28">
        <f>EXPENSES!AKX32</f>
        <v/>
      </c>
      <c r="AKX26" s="28">
        <f>EXPENSES!AKY32</f>
        <v/>
      </c>
      <c r="AKY26" s="28">
        <f>EXPENSES!AKZ32</f>
        <v/>
      </c>
      <c r="AKZ26" s="28">
        <f>EXPENSES!ALA32</f>
        <v/>
      </c>
      <c r="ALA26" s="28">
        <f>EXPENSES!ALB32</f>
        <v/>
      </c>
      <c r="ALB26" s="28">
        <f>EXPENSES!ALC32</f>
        <v/>
      </c>
      <c r="ALC26" s="28">
        <f>EXPENSES!ALD32</f>
        <v/>
      </c>
      <c r="ALD26" s="28">
        <f>EXPENSES!ALE32</f>
        <v/>
      </c>
      <c r="ALE26" s="28">
        <f>EXPENSES!ALF32</f>
        <v/>
      </c>
      <c r="ALF26" s="28">
        <f>EXPENSES!ALG32</f>
        <v/>
      </c>
      <c r="ALG26" s="28">
        <f>EXPENSES!ALH32</f>
        <v/>
      </c>
      <c r="ALH26" s="28">
        <f>EXPENSES!ALI32</f>
        <v/>
      </c>
      <c r="ALI26" s="28">
        <f>EXPENSES!ALJ32</f>
        <v/>
      </c>
      <c r="ALJ26" s="28">
        <f>EXPENSES!ALK32</f>
        <v/>
      </c>
      <c r="ALK26" s="28">
        <f>EXPENSES!ALL32</f>
        <v/>
      </c>
      <c r="ALL26" s="28">
        <f>EXPENSES!ALM32</f>
        <v/>
      </c>
      <c r="ALM26" s="28">
        <f>EXPENSES!ALN32</f>
        <v/>
      </c>
      <c r="ALN26" s="28">
        <f>EXPENSES!ALO32</f>
        <v/>
      </c>
      <c r="ALO26" s="28">
        <f>EXPENSES!ALP32</f>
        <v/>
      </c>
      <c r="ALP26" s="28">
        <f>EXPENSES!ALQ32</f>
        <v/>
      </c>
      <c r="ALQ26" s="28">
        <f>EXPENSES!ALR32</f>
        <v/>
      </c>
      <c r="ALR26" s="28">
        <f>EXPENSES!ALS32</f>
        <v/>
      </c>
      <c r="ALS26" s="28">
        <f>EXPENSES!ALT32</f>
        <v/>
      </c>
      <c r="ALT26" s="127">
        <f>SUM(AKO26:ALS26)</f>
        <v/>
      </c>
      <c r="ALU26" s="28">
        <f>EXPENSES!ALV32</f>
        <v/>
      </c>
      <c r="ALV26" s="28">
        <f>EXPENSES!ALW32</f>
        <v/>
      </c>
      <c r="ALW26" s="28">
        <f>EXPENSES!ALX32</f>
        <v/>
      </c>
      <c r="ALX26" s="28">
        <f>EXPENSES!ALY32</f>
        <v/>
      </c>
      <c r="ALY26" s="28">
        <f>EXPENSES!ALZ32</f>
        <v/>
      </c>
      <c r="ALZ26" s="28">
        <f>EXPENSES!AMA32</f>
        <v/>
      </c>
      <c r="AMA26" s="28">
        <f>EXPENSES!AMB32</f>
        <v/>
      </c>
      <c r="AMB26" s="28">
        <f>EXPENSES!AMC32</f>
        <v/>
      </c>
      <c r="AMC26" s="28">
        <f>EXPENSES!AMD32</f>
        <v/>
      </c>
      <c r="AMD26" s="28">
        <f>EXPENSES!AME32</f>
        <v/>
      </c>
      <c r="AME26" s="28">
        <f>EXPENSES!AMF32</f>
        <v/>
      </c>
      <c r="AMF26" s="28">
        <f>EXPENSES!AMG32</f>
        <v/>
      </c>
      <c r="AMG26" s="28">
        <f>EXPENSES!AMH32</f>
        <v/>
      </c>
      <c r="AMH26" s="28">
        <f>EXPENSES!AMI32</f>
        <v/>
      </c>
      <c r="AMI26" s="28">
        <f>EXPENSES!AMJ32</f>
        <v/>
      </c>
      <c r="AMJ26" s="28">
        <f>EXPENSES!AMK32</f>
        <v/>
      </c>
      <c r="AMK26" s="28">
        <f>EXPENSES!AML32</f>
        <v/>
      </c>
      <c r="AML26" s="28">
        <f>EXPENSES!AMM32</f>
        <v/>
      </c>
      <c r="AMM26" s="28">
        <f>EXPENSES!AMN32</f>
        <v/>
      </c>
      <c r="AMN26" s="28">
        <f>EXPENSES!AMO32</f>
        <v/>
      </c>
      <c r="AMO26" s="28">
        <f>EXPENSES!AMP32</f>
        <v/>
      </c>
      <c r="AMP26" s="28">
        <f>EXPENSES!AMQ32</f>
        <v/>
      </c>
      <c r="AMQ26" s="28">
        <f>EXPENSES!AMR32</f>
        <v/>
      </c>
      <c r="AMR26" s="28">
        <f>EXPENSES!AMS32</f>
        <v/>
      </c>
      <c r="AMS26" s="28">
        <f>EXPENSES!AMT32</f>
        <v/>
      </c>
      <c r="AMT26" s="28">
        <f>EXPENSES!AMU32</f>
        <v/>
      </c>
      <c r="AMU26" s="28">
        <f>EXPENSES!AMV32</f>
        <v/>
      </c>
      <c r="AMV26" s="28">
        <f>EXPENSES!AMW32</f>
        <v/>
      </c>
      <c r="AMW26" s="28">
        <f>EXPENSES!AMX32</f>
        <v/>
      </c>
      <c r="AMX26" s="28">
        <f>EXPENSES!AMY32</f>
        <v/>
      </c>
      <c r="AMY26" s="127">
        <f>SUM(ALU26:AMX26)</f>
        <v/>
      </c>
      <c r="AMZ26" s="28">
        <f>EXPENSES!ANA32</f>
        <v/>
      </c>
      <c r="ANA26" s="28">
        <f>EXPENSES!ANB32</f>
        <v/>
      </c>
      <c r="ANB26" s="28">
        <f>EXPENSES!ANC32</f>
        <v/>
      </c>
      <c r="ANC26" s="28">
        <f>EXPENSES!AND32</f>
        <v/>
      </c>
      <c r="AND26" s="28">
        <f>EXPENSES!ANE32</f>
        <v/>
      </c>
      <c r="ANE26" s="28">
        <f>EXPENSES!ANF32</f>
        <v/>
      </c>
      <c r="ANF26" s="28">
        <f>EXPENSES!ANG32</f>
        <v/>
      </c>
      <c r="ANG26" s="28">
        <f>EXPENSES!ANH32</f>
        <v/>
      </c>
      <c r="ANH26" s="28">
        <f>EXPENSES!ANI32</f>
        <v/>
      </c>
      <c r="ANI26" s="28">
        <f>EXPENSES!ANJ32</f>
        <v/>
      </c>
      <c r="ANJ26" s="28">
        <f>EXPENSES!ANK32</f>
        <v/>
      </c>
      <c r="ANK26" s="28">
        <f>EXPENSES!ANL32</f>
        <v/>
      </c>
      <c r="ANL26" s="28">
        <f>EXPENSES!ANM32</f>
        <v/>
      </c>
      <c r="ANM26" s="28">
        <f>EXPENSES!ANN32</f>
        <v/>
      </c>
      <c r="ANN26" s="28">
        <f>EXPENSES!ANO32</f>
        <v/>
      </c>
      <c r="ANO26" s="28">
        <f>EXPENSES!ANP32</f>
        <v/>
      </c>
      <c r="ANP26" s="28">
        <f>EXPENSES!ANQ32</f>
        <v/>
      </c>
      <c r="ANQ26" s="28">
        <f>EXPENSES!ANR32</f>
        <v/>
      </c>
      <c r="ANR26" s="28">
        <f>EXPENSES!ANS32</f>
        <v/>
      </c>
      <c r="ANS26" s="28">
        <f>EXPENSES!ANT32</f>
        <v/>
      </c>
      <c r="ANT26" s="28">
        <f>EXPENSES!ANU32</f>
        <v/>
      </c>
      <c r="ANU26" s="28">
        <f>EXPENSES!ANV32</f>
        <v/>
      </c>
      <c r="ANV26" s="28">
        <f>EXPENSES!ANW32</f>
        <v/>
      </c>
      <c r="ANW26" s="28">
        <f>EXPENSES!ANX32</f>
        <v/>
      </c>
      <c r="ANX26" s="28">
        <f>EXPENSES!ANY32</f>
        <v/>
      </c>
      <c r="ANY26" s="28">
        <f>EXPENSES!ANZ32</f>
        <v/>
      </c>
      <c r="ANZ26" s="28">
        <f>EXPENSES!AOA32</f>
        <v/>
      </c>
      <c r="AOA26" s="28">
        <f>EXPENSES!AOB32</f>
        <v/>
      </c>
      <c r="AOB26" s="28">
        <f>EXPENSES!AOC32</f>
        <v/>
      </c>
      <c r="AOC26" s="28">
        <f>EXPENSES!AOD32</f>
        <v/>
      </c>
    </row>
    <row r="27">
      <c r="A27" s="4" t="n"/>
      <c r="B27" s="5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94" t="n"/>
      <c r="BM27" s="97" t="n"/>
      <c r="CS27" s="111">
        <f>SUM(BN27:CR27)</f>
        <v/>
      </c>
      <c r="DX27" s="117" t="n"/>
      <c r="FD27" s="128" t="n"/>
      <c r="GJ27" s="127">
        <f>SUM(FE27:GI27)</f>
        <v/>
      </c>
      <c r="HN27" s="127">
        <f>SUM(GI27:HM27)</f>
        <v/>
      </c>
      <c r="IT27" s="127">
        <f>SUM(HO27:IS27)</f>
        <v/>
      </c>
      <c r="JY27" s="127">
        <f>SUM(IU27:JX27)</f>
        <v/>
      </c>
      <c r="LE27" s="127">
        <f>SUM(KA27:LD27)</f>
        <v/>
      </c>
      <c r="MJ27" s="127">
        <f>SUM(LF27:MI27)</f>
        <v/>
      </c>
      <c r="NP27" s="127">
        <f>SUM(ML27:NO27)</f>
        <v/>
      </c>
      <c r="OV27" s="127">
        <f>SUM(NR27:OU27)</f>
        <v/>
      </c>
      <c r="QA27" s="127">
        <f>SUM(OW27:PZ27)</f>
        <v/>
      </c>
      <c r="RG27" s="127">
        <f>SUM(QC27:RF27)</f>
        <v/>
      </c>
      <c r="SL27" s="127">
        <f>SUM(RH27:SK27)</f>
        <v/>
      </c>
      <c r="TR27" s="127">
        <f>SUM(SN27:TQ27)</f>
        <v/>
      </c>
      <c r="UX27" s="127">
        <f>SUM(TT27:UW27)</f>
        <v/>
      </c>
      <c r="WA27" s="127">
        <f>SUM(UW27:VZ27)</f>
        <v/>
      </c>
      <c r="XG27" s="127">
        <f>SUM(WC27:XF27)</f>
        <v/>
      </c>
      <c r="YL27" s="127">
        <f>SUM(XI27:YK27)</f>
        <v/>
      </c>
      <c r="ZR27" s="127">
        <f>SUM(YO27:ZQ27)</f>
        <v/>
      </c>
      <c r="AAW27" s="127">
        <f>SUM(ZT27:AAV27)</f>
        <v/>
      </c>
      <c r="ACC27" s="127">
        <f>SUM(AAZ27:ACB27)</f>
        <v/>
      </c>
      <c r="ADI27" s="127">
        <f>SUM(ACF27:ADH27)</f>
        <v/>
      </c>
      <c r="AEN27" s="127">
        <f>SUM(ADK27:AEM27)</f>
        <v/>
      </c>
      <c r="AFT27" s="127">
        <f>SUM(AEQ27:AFS27)</f>
        <v/>
      </c>
      <c r="AGY27" s="127">
        <f>SUM(AFV27:AGX27)</f>
        <v/>
      </c>
      <c r="AIE27" s="127">
        <f>SUM(AHB27:AID27)</f>
        <v/>
      </c>
      <c r="AJK27" s="127">
        <f>SUM(AIH27:AJJ27)</f>
        <v/>
      </c>
      <c r="AKN27" s="127">
        <f>SUM(AJL27:AKM27)</f>
        <v/>
      </c>
      <c r="ALT27" s="127">
        <f>SUM(AKO27:ALS27)</f>
        <v/>
      </c>
      <c r="AMY27" s="127">
        <f>SUM(ALU27:AMX27)</f>
        <v/>
      </c>
    </row>
    <row r="28">
      <c r="A28" s="167" t="inlineStr">
        <is>
          <t>BANKING</t>
        </is>
      </c>
      <c r="C28" s="30">
        <f>C12+C24-C18-C26</f>
        <v/>
      </c>
      <c r="D28" s="30">
        <f>D12+D24-D18-D26</f>
        <v/>
      </c>
      <c r="E28" s="30">
        <f>E12+E24-E18-E26</f>
        <v/>
      </c>
      <c r="F28" s="30">
        <f>F12+F24-F18-F26</f>
        <v/>
      </c>
      <c r="G28" s="30">
        <f>G12+G24-G18-G26</f>
        <v/>
      </c>
      <c r="H28" s="30">
        <f>H12+H24-H18-H26</f>
        <v/>
      </c>
      <c r="I28" s="30">
        <f>I12+I24-I18-I26</f>
        <v/>
      </c>
      <c r="J28" s="30">
        <f>J12+J24-J18-J26</f>
        <v/>
      </c>
      <c r="K28" s="30">
        <f>K12+K24-K18-K26</f>
        <v/>
      </c>
      <c r="L28" s="30">
        <f>L12+L24-L18-L26</f>
        <v/>
      </c>
      <c r="M28" s="30">
        <f>M12+M24-M18-M26</f>
        <v/>
      </c>
      <c r="N28" s="30">
        <f>N12+N24-N18-N26</f>
        <v/>
      </c>
      <c r="O28" s="30">
        <f>O12+O24-O18-O26</f>
        <v/>
      </c>
      <c r="P28" s="30">
        <f>P12+P24-P18-P26</f>
        <v/>
      </c>
      <c r="Q28" s="30">
        <f>Q12+Q24-Q18-Q26</f>
        <v/>
      </c>
      <c r="R28" s="30">
        <f>R12+R24-R18-R26</f>
        <v/>
      </c>
      <c r="S28" s="30">
        <f>S12+S24-S18-S26</f>
        <v/>
      </c>
      <c r="T28" s="30">
        <f>T12+T24-T18-T26</f>
        <v/>
      </c>
      <c r="U28" s="30">
        <f>U12+U24-U18-U26</f>
        <v/>
      </c>
      <c r="V28" s="30">
        <f>V12+V24-V18-V26</f>
        <v/>
      </c>
      <c r="W28" s="30">
        <f>W12+W24-W18-W26</f>
        <v/>
      </c>
      <c r="X28" s="30">
        <f>X12+X24-X18-X26</f>
        <v/>
      </c>
      <c r="Y28" s="30">
        <f>Y12+Y24-Y18-Y26</f>
        <v/>
      </c>
      <c r="Z28" s="30">
        <f>Z12+Z24-Z18-Z26</f>
        <v/>
      </c>
      <c r="AA28" s="30">
        <f>AA12+AA24-AA18-AA26</f>
        <v/>
      </c>
      <c r="AB28" s="30">
        <f>AB12+AB24-AB18-AB26</f>
        <v/>
      </c>
      <c r="AC28" s="30">
        <f>AC12+AC24-AC18-AC26</f>
        <v/>
      </c>
      <c r="AD28" s="30">
        <f>AD12+AD24-AD18-AD26</f>
        <v/>
      </c>
      <c r="AE28" s="30">
        <f>AE12+AE24-AE18-AE26</f>
        <v/>
      </c>
      <c r="AF28" s="30">
        <f>AF12+AF24-AF18-AF26</f>
        <v/>
      </c>
      <c r="AG28" s="30">
        <f>AG12+AG24-AG18-AG26</f>
        <v/>
      </c>
      <c r="AH28" s="94">
        <f>SUM(C28:AG28)</f>
        <v/>
      </c>
      <c r="AI28" s="30">
        <f>AI12+AI24-AI18-AI26</f>
        <v/>
      </c>
      <c r="AJ28" s="30">
        <f>AJ12+AJ24-AJ18-AJ26</f>
        <v/>
      </c>
      <c r="AK28" s="30">
        <f>AK12+AK24-AK18-AK26</f>
        <v/>
      </c>
      <c r="AL28" s="30">
        <f>AL12+AL24-AL18-AL26</f>
        <v/>
      </c>
      <c r="AM28" s="30">
        <f>AM12+AM24-AM18-AM26</f>
        <v/>
      </c>
      <c r="AN28" s="30">
        <f>AN12+AN24-AN18-AN26</f>
        <v/>
      </c>
      <c r="AO28" s="30">
        <f>AO12+AO24-AO18-AO26</f>
        <v/>
      </c>
      <c r="AP28" s="30">
        <f>AP12+AP24-AP18-AP26</f>
        <v/>
      </c>
      <c r="AQ28" s="30">
        <f>AQ12+AQ24-AQ18-AQ26</f>
        <v/>
      </c>
      <c r="AR28" s="30">
        <f>AR12+AR24-AR18-AR26</f>
        <v/>
      </c>
      <c r="AS28" s="30">
        <f>AS12+AS24-AS18-AS26</f>
        <v/>
      </c>
      <c r="AT28" s="30">
        <f>AT12+AT24-AT18-AT26</f>
        <v/>
      </c>
      <c r="AU28" s="30">
        <f>AU12+AU24-AU18-AU26</f>
        <v/>
      </c>
      <c r="AV28" s="30">
        <f>AV12+AV24-AV18-AV26</f>
        <v/>
      </c>
      <c r="AW28" s="30">
        <f>AW12+AW24-AW18-AW26</f>
        <v/>
      </c>
      <c r="AX28" s="30">
        <f>AX12+AX24-AX18-AX26</f>
        <v/>
      </c>
      <c r="AY28" s="30">
        <f>AY12+AY24-AY18-AY26</f>
        <v/>
      </c>
      <c r="AZ28" s="30">
        <f>AZ12+AZ24-AZ18-AZ26</f>
        <v/>
      </c>
      <c r="BA28" s="30">
        <f>BA12+BA24-BA18-BA26</f>
        <v/>
      </c>
      <c r="BB28" s="30">
        <f>BB12+BB24-BB18-BB26</f>
        <v/>
      </c>
      <c r="BC28" s="30">
        <f>BC12+BC24-BC18-BC26</f>
        <v/>
      </c>
      <c r="BD28" s="30">
        <f>BD12+BD24-BD18-BD26</f>
        <v/>
      </c>
      <c r="BE28" s="30">
        <f>BE12+BE24-BE18-BE26</f>
        <v/>
      </c>
      <c r="BF28" s="30">
        <f>BF12+BF24-BF18-BF26</f>
        <v/>
      </c>
      <c r="BG28" s="30">
        <f>BG12+BG24-BG18-BG26</f>
        <v/>
      </c>
      <c r="BH28" s="30">
        <f>BH12+BH24-BH18-BH26</f>
        <v/>
      </c>
      <c r="BI28" s="30">
        <f>BI12+BI24-BI18-BI26</f>
        <v/>
      </c>
      <c r="BJ28" s="30">
        <f>BJ12+BJ24-BJ18-BJ26</f>
        <v/>
      </c>
      <c r="BK28" s="30">
        <f>BK12+BK24-BK18-BK26</f>
        <v/>
      </c>
      <c r="BL28" s="30">
        <f>BL12+BL24-BL18-BL26</f>
        <v/>
      </c>
      <c r="BM28" s="97">
        <f>SUM(AI28:BL28)</f>
        <v/>
      </c>
      <c r="BN28" s="30">
        <f>BN12+BN24-BN18-BN26</f>
        <v/>
      </c>
      <c r="BO28" s="30">
        <f>BO12+BO24-BO18-BO26</f>
        <v/>
      </c>
      <c r="BP28" s="30">
        <f>BP12+BP24-BP18-BP26</f>
        <v/>
      </c>
      <c r="BQ28" s="30">
        <f>BQ12+BQ24-BQ18-BQ26</f>
        <v/>
      </c>
      <c r="BR28" s="30">
        <f>BR12+BR24-BR18-BR26</f>
        <v/>
      </c>
      <c r="BS28" s="30">
        <f>BS12+BS24-BS18-BS26</f>
        <v/>
      </c>
      <c r="BT28" s="30">
        <f>BT12+BT24-BT18-BT26</f>
        <v/>
      </c>
      <c r="BU28" s="30">
        <f>BU12+BU24-BU18-BU26</f>
        <v/>
      </c>
      <c r="BV28" s="30">
        <f>BV12+BV24-BV18-BV26</f>
        <v/>
      </c>
      <c r="BW28" s="30">
        <f>BW12+BW24-BW18-BW26</f>
        <v/>
      </c>
      <c r="BX28" s="30">
        <f>BX12+BX24-BX18-BX26</f>
        <v/>
      </c>
      <c r="BY28" s="30">
        <f>BY12+BY24-BY18-BY26</f>
        <v/>
      </c>
      <c r="BZ28" s="30">
        <f>BZ12+BZ24-BZ18-BZ26</f>
        <v/>
      </c>
      <c r="CA28" s="30">
        <f>CA12+CA24-CA18-CA26</f>
        <v/>
      </c>
      <c r="CB28" s="30">
        <f>CB12+CB24-CB18-CB26</f>
        <v/>
      </c>
      <c r="CC28" s="30">
        <f>CC12+CC24-CC18-CC26</f>
        <v/>
      </c>
      <c r="CD28" s="30">
        <f>CD12+CD24-CD18-CD26</f>
        <v/>
      </c>
      <c r="CE28" s="30">
        <f>CE12+CE24-CE18-CE26</f>
        <v/>
      </c>
      <c r="CF28" s="30">
        <f>CF12+CF24-CF18-CF26</f>
        <v/>
      </c>
      <c r="CG28" s="30">
        <f>CG12+CG24-CG18-CG26</f>
        <v/>
      </c>
      <c r="CH28" s="30">
        <f>CH12+CH24-CH18-CH26</f>
        <v/>
      </c>
      <c r="CI28" s="30">
        <f>CI12+CI24-CI18-CI26</f>
        <v/>
      </c>
      <c r="CJ28" s="30">
        <f>CJ12+CJ24-CJ18-CJ26</f>
        <v/>
      </c>
      <c r="CK28" s="30">
        <f>CK12+CK24-CK18-CK26</f>
        <v/>
      </c>
      <c r="CL28" s="30">
        <f>CL12+CL24-CL18-CL26</f>
        <v/>
      </c>
      <c r="CM28" s="30">
        <f>CM12+CM24-CM18-CM26</f>
        <v/>
      </c>
      <c r="CN28" s="30">
        <f>CN12+CN24-CN18-CN26</f>
        <v/>
      </c>
      <c r="CO28" s="30">
        <f>CO12+CO24-CO18-CO26</f>
        <v/>
      </c>
      <c r="CP28" s="30">
        <f>CP12+CP24-CP18-CP26</f>
        <v/>
      </c>
      <c r="CQ28" s="30">
        <f>CQ12+CQ24-CQ18-CQ26</f>
        <v/>
      </c>
      <c r="CR28" s="30">
        <f>CR12+CR24-CR18-CR26</f>
        <v/>
      </c>
      <c r="CS28" s="111">
        <f>SUM(BN28:CR28)</f>
        <v/>
      </c>
      <c r="CT28" s="30">
        <f>CT12+CT24-CT18-CT26</f>
        <v/>
      </c>
      <c r="CU28" s="30">
        <f>CU12+CU24-CU18-CU26</f>
        <v/>
      </c>
      <c r="CV28" s="30">
        <f>CV12+CV24-CV18-CV26</f>
        <v/>
      </c>
      <c r="CW28" s="30">
        <f>CW12+CW24-CW18-CW26</f>
        <v/>
      </c>
      <c r="CX28" s="30">
        <f>CX12+CX24-CX18-CX26</f>
        <v/>
      </c>
      <c r="CY28" s="30">
        <f>CY12+CY24-CY18-CY26</f>
        <v/>
      </c>
      <c r="CZ28" s="30">
        <f>CZ12+CZ24-CZ18-CZ26</f>
        <v/>
      </c>
      <c r="DA28" s="30">
        <f>DA12+DA24-DA18-DA26</f>
        <v/>
      </c>
      <c r="DB28" s="30">
        <f>DB12+DB24-DB18-DB26</f>
        <v/>
      </c>
      <c r="DC28" s="30">
        <f>DC12+DC24-DC18-DC26</f>
        <v/>
      </c>
      <c r="DD28" s="30">
        <f>DD12+DD24-DD18-DD26</f>
        <v/>
      </c>
      <c r="DE28" s="30">
        <f>DE12+DE24-DE18-DE26</f>
        <v/>
      </c>
      <c r="DF28" s="30">
        <f>DF12+DF24-DF18-DF26</f>
        <v/>
      </c>
      <c r="DG28" s="30">
        <f>DG12+DG24-DG18-DG26</f>
        <v/>
      </c>
      <c r="DH28" s="30">
        <f>DH12+DH24-DH18-DH26</f>
        <v/>
      </c>
      <c r="DI28" s="30">
        <f>DI12+DI24-DI18-DI26</f>
        <v/>
      </c>
      <c r="DJ28" s="30">
        <f>DJ12+DJ24-DJ18-DJ26</f>
        <v/>
      </c>
      <c r="DK28" s="30">
        <f>DK12+DK24-DK18-DK26</f>
        <v/>
      </c>
      <c r="DL28" s="30">
        <f>DL12+DL24-DL18-DL26</f>
        <v/>
      </c>
      <c r="DM28" s="30">
        <f>DM12+DM24-DM18-DM26</f>
        <v/>
      </c>
      <c r="DN28" s="30">
        <f>DN12+DN24-DN18-DN26</f>
        <v/>
      </c>
      <c r="DO28" s="30">
        <f>DO12+DO24-DO18-DO26</f>
        <v/>
      </c>
      <c r="DP28" s="30">
        <f>DP12+DP24-DP18-DP26</f>
        <v/>
      </c>
      <c r="DQ28" s="30">
        <f>DQ12+DQ24-DQ18-DQ26</f>
        <v/>
      </c>
      <c r="DR28" s="30">
        <f>DR12+DR24-DR18-DR26</f>
        <v/>
      </c>
      <c r="DS28" s="30">
        <f>DS12+DS24-DS18-DS26</f>
        <v/>
      </c>
      <c r="DT28" s="30">
        <f>DT12+DT24-DT18-DT26</f>
        <v/>
      </c>
      <c r="DU28" s="30">
        <f>DU12+DU24-DU18-DU26</f>
        <v/>
      </c>
      <c r="DV28" s="30">
        <f>DV12+DV24-DV18-DV26</f>
        <v/>
      </c>
      <c r="DW28" s="30">
        <f>DW12+DW24-DW18-DW26</f>
        <v/>
      </c>
      <c r="DX28" s="119">
        <f>SUM(CT28:DW28)</f>
        <v/>
      </c>
      <c r="DY28" s="30">
        <f>DY12+DY24-DY18-DY26</f>
        <v/>
      </c>
      <c r="DZ28" s="30">
        <f>DZ12+DZ24-DZ18-DZ26</f>
        <v/>
      </c>
      <c r="EA28" s="30">
        <f>EA12+EA24-EA18-EA26</f>
        <v/>
      </c>
      <c r="EB28" s="30">
        <f>EB12+EB24-EB18-EB26</f>
        <v/>
      </c>
      <c r="EC28" s="30">
        <f>EC12+EC24-EC18-EC26</f>
        <v/>
      </c>
      <c r="ED28" s="30">
        <f>ED12+ED24-ED18-ED26</f>
        <v/>
      </c>
      <c r="EE28" s="30">
        <f>EE12+EE24-EE18-EE26</f>
        <v/>
      </c>
      <c r="EF28" s="30">
        <f>EF12+EF24-EF18-EF26</f>
        <v/>
      </c>
      <c r="EG28" s="30">
        <f>EG12+EG24-EG18-EG26</f>
        <v/>
      </c>
      <c r="EH28" s="30">
        <f>EH12+EH24-EH18-EH26</f>
        <v/>
      </c>
      <c r="EI28" s="30">
        <f>EI12+EI24-EI18-EI26</f>
        <v/>
      </c>
      <c r="EJ28" s="30">
        <f>EJ12+EJ24-EJ18-EJ26</f>
        <v/>
      </c>
      <c r="EK28" s="30">
        <f>EK12+EK24-EK18-EK26</f>
        <v/>
      </c>
      <c r="EL28" s="30">
        <f>EL12+EL24-EL18-EL26</f>
        <v/>
      </c>
      <c r="EM28" s="30">
        <f>EM12+EM24-EM18-EM26</f>
        <v/>
      </c>
      <c r="EN28" s="30">
        <f>EN12+EN24-EN18-EN26</f>
        <v/>
      </c>
      <c r="EO28" s="30">
        <f>EO12+EO24-EO18-EO26</f>
        <v/>
      </c>
      <c r="EP28" s="30">
        <f>EP12+EP24-EP18-EP26</f>
        <v/>
      </c>
      <c r="EQ28" s="30">
        <f>EQ12+EQ24-EQ18-EQ26</f>
        <v/>
      </c>
      <c r="ER28" s="30">
        <f>ER12+ER24-ER18-ER26</f>
        <v/>
      </c>
      <c r="ES28" s="30">
        <f>ES12+ES24-ES18-ES26</f>
        <v/>
      </c>
      <c r="ET28" s="30">
        <f>ET12+ET24-ET18-ET26</f>
        <v/>
      </c>
      <c r="EU28" s="30">
        <f>EU12+EU24-EU18-EU26</f>
        <v/>
      </c>
      <c r="EV28" s="30">
        <f>EV12+EV24-EV18-EV26</f>
        <v/>
      </c>
      <c r="EW28" s="30">
        <f>EW12+EW24-EW18-EW26</f>
        <v/>
      </c>
      <c r="EX28" s="30">
        <f>EX12+EX24-EX18-EX26</f>
        <v/>
      </c>
      <c r="EY28" s="30">
        <f>EY12+EY24-EY18-EY26</f>
        <v/>
      </c>
      <c r="EZ28" s="30">
        <f>EZ12+EZ24-EZ18-EZ26</f>
        <v/>
      </c>
      <c r="FA28" s="30">
        <f>FA12+FA24-FA18-FA26</f>
        <v/>
      </c>
      <c r="FB28" s="30">
        <f>FB12+FB24-FB18-FB26</f>
        <v/>
      </c>
      <c r="FC28" s="30">
        <f>FC12+FC24-FC18-FC26</f>
        <v/>
      </c>
      <c r="FD28" s="128">
        <f>SUM(DY28:FC28)</f>
        <v/>
      </c>
      <c r="FE28" s="30">
        <f>FE12+FE24-FE18-FE26</f>
        <v/>
      </c>
      <c r="FF28" s="30">
        <f>FF12+FF24-FF18-FF26</f>
        <v/>
      </c>
      <c r="FG28" s="30">
        <f>FG12+FG24-FG18-FG26</f>
        <v/>
      </c>
      <c r="FH28" s="30">
        <f>FH12+FH24-FH18-FH26</f>
        <v/>
      </c>
      <c r="FI28" s="30">
        <f>FI12+FI24-FI18-FI26</f>
        <v/>
      </c>
      <c r="FJ28" s="30">
        <f>FJ12+FJ24-FJ18-FJ26</f>
        <v/>
      </c>
      <c r="FK28" s="30">
        <f>FK12+FK24-FK18-FK26</f>
        <v/>
      </c>
      <c r="FL28" s="30">
        <f>FL12+FL24-FL18-FL26</f>
        <v/>
      </c>
      <c r="FM28" s="30">
        <f>FM12+FM24-FM18-FM26</f>
        <v/>
      </c>
      <c r="FN28" s="30">
        <f>FN12+FN24-FN18-FN26</f>
        <v/>
      </c>
      <c r="FO28" s="30">
        <f>FO12+FO24-FO18-FO26</f>
        <v/>
      </c>
      <c r="FP28" s="30">
        <f>FP12+FP24-FP18-FP26</f>
        <v/>
      </c>
      <c r="FQ28" s="30">
        <f>FQ12+FQ24-FQ18-FQ26</f>
        <v/>
      </c>
      <c r="FR28" s="30">
        <f>FR12+FR24-FR18-FR26</f>
        <v/>
      </c>
      <c r="FS28" s="30">
        <f>FS12+FS24-FS18-FS26</f>
        <v/>
      </c>
      <c r="FT28" s="30">
        <f>FT12+FT24-FT18-FT26</f>
        <v/>
      </c>
      <c r="FU28" s="30">
        <f>FU12+FU24-FU18-FU26</f>
        <v/>
      </c>
      <c r="FV28" s="30">
        <f>FV12+FV24-FV18-FV26</f>
        <v/>
      </c>
      <c r="FW28" s="30">
        <f>FW12+FW24-FW18-FW26</f>
        <v/>
      </c>
      <c r="FX28" s="30">
        <f>FX12+FX24-FX18-FX26</f>
        <v/>
      </c>
      <c r="FY28" s="30">
        <f>FY12+FY24-FY18-FY26</f>
        <v/>
      </c>
      <c r="FZ28" s="30">
        <f>FZ12+FZ24-FZ18-FZ26</f>
        <v/>
      </c>
      <c r="GA28" s="30">
        <f>GA12+GA24-GA18-GA26</f>
        <v/>
      </c>
      <c r="GB28" s="30">
        <f>GB12+GB24-GB18-GB26</f>
        <v/>
      </c>
      <c r="GC28" s="30">
        <f>GC12+GC24-GC18-GC26</f>
        <v/>
      </c>
      <c r="GD28" s="30">
        <f>GD12+GD24-GD18-GD26</f>
        <v/>
      </c>
      <c r="GE28" s="30">
        <f>GE12+GE24-GE18-GE26</f>
        <v/>
      </c>
      <c r="GF28" s="30">
        <f>GF12+GF24-GF18-GF26</f>
        <v/>
      </c>
      <c r="GG28" s="30">
        <f>GG12+GG24-GG18-GG26</f>
        <v/>
      </c>
      <c r="GH28" s="30">
        <f>GH12+GH24-GH18-GH26</f>
        <v/>
      </c>
      <c r="GI28" s="30">
        <f>GI12+GI24-GI18-GI26</f>
        <v/>
      </c>
      <c r="GJ28" s="127">
        <f>SUM(FE28:GI28)</f>
        <v/>
      </c>
      <c r="GK28" s="30">
        <f>GK12+GK24-GK18-GK26</f>
        <v/>
      </c>
      <c r="GL28" s="30">
        <f>GL12+GL24-GL18-GL26</f>
        <v/>
      </c>
      <c r="GM28" s="30">
        <f>GM12+GM24-GM18-GM26</f>
        <v/>
      </c>
      <c r="GN28" s="30">
        <f>GN12+GN24-GN18-GN26</f>
        <v/>
      </c>
      <c r="GO28" s="30">
        <f>GO12+GO24-GO18-GO26</f>
        <v/>
      </c>
      <c r="GP28" s="30">
        <f>GP12+GP24-GP18-GP26</f>
        <v/>
      </c>
      <c r="GQ28" s="30">
        <f>GQ12+GQ24-GQ18-GQ26</f>
        <v/>
      </c>
      <c r="GR28" s="30">
        <f>GR12+GR24-GR18-GR26</f>
        <v/>
      </c>
      <c r="GS28" s="30">
        <f>GS12+GS24-GS18-GS26</f>
        <v/>
      </c>
      <c r="GT28" s="30">
        <f>GT12+GT24-GT18-GT26</f>
        <v/>
      </c>
      <c r="GU28" s="30">
        <f>GU12+GU24-GU18-GU26</f>
        <v/>
      </c>
      <c r="GV28" s="30">
        <f>GV12+GV24-GV18-GV26</f>
        <v/>
      </c>
      <c r="GW28" s="30">
        <f>GW12+GW24-GW18-GW26</f>
        <v/>
      </c>
      <c r="GX28" s="30">
        <f>GX12+GX24-GX18-GX26</f>
        <v/>
      </c>
      <c r="GY28" s="30">
        <f>GY12+GY24-GY18-GY26</f>
        <v/>
      </c>
      <c r="GZ28" s="30">
        <f>GZ12+GZ24-GZ18-GZ26</f>
        <v/>
      </c>
      <c r="HA28" s="30">
        <f>HA12+HA24-HA18-HA26</f>
        <v/>
      </c>
      <c r="HB28" s="30">
        <f>HB12+HB24-HB18-HB26</f>
        <v/>
      </c>
      <c r="HC28" s="30">
        <f>HC12+HC24-HC18-HC26</f>
        <v/>
      </c>
      <c r="HD28" s="30">
        <f>HD12+HD24-HD18-HD26</f>
        <v/>
      </c>
      <c r="HE28" s="30">
        <f>HE12+HE24-HE18-HE26</f>
        <v/>
      </c>
      <c r="HF28" s="30">
        <f>HF12+HF24-HF18-HF26</f>
        <v/>
      </c>
      <c r="HG28" s="30">
        <f>HG12+HG24-HG18-HG26</f>
        <v/>
      </c>
      <c r="HH28" s="30">
        <f>HH12+HH24-HH18-HH26</f>
        <v/>
      </c>
      <c r="HI28" s="30">
        <f>HI12+HI24-HI18-HI26</f>
        <v/>
      </c>
      <c r="HJ28" s="30">
        <f>HJ12+HJ24-HJ18-HJ26</f>
        <v/>
      </c>
      <c r="HK28" s="30">
        <f>HK12+HK24-HK18-HK26</f>
        <v/>
      </c>
      <c r="HL28" s="30">
        <f>HL12+HL24-HL18-HL26</f>
        <v/>
      </c>
      <c r="HM28" s="30">
        <f>HM12+HM24-HM18-HM26</f>
        <v/>
      </c>
      <c r="HN28" s="127">
        <f>SUM(GK28:HM28)</f>
        <v/>
      </c>
      <c r="HO28" s="30">
        <f>HO12+HO24-HO18-HO26</f>
        <v/>
      </c>
      <c r="HP28" s="30">
        <f>HP12+HP24-HP18-HP26</f>
        <v/>
      </c>
      <c r="HQ28" s="30">
        <f>HQ12+HQ24-HQ18-HQ26</f>
        <v/>
      </c>
      <c r="HR28" s="30">
        <f>HR12+HR24-HR18-HR26</f>
        <v/>
      </c>
      <c r="HS28" s="30">
        <f>HS12+HS24-HS18-HS26</f>
        <v/>
      </c>
      <c r="HT28" s="30">
        <f>HT12+HT24-HT18-HT26</f>
        <v/>
      </c>
      <c r="HU28" s="30">
        <f>HU12+HU24-HU18-HU26</f>
        <v/>
      </c>
      <c r="HV28" s="30">
        <f>HV12+HV24-HV18-HV26</f>
        <v/>
      </c>
      <c r="HW28" s="30">
        <f>HW12+HW24-HW18-HW26</f>
        <v/>
      </c>
      <c r="HX28" s="30">
        <f>HX12+HX24-HX18-HX26</f>
        <v/>
      </c>
      <c r="HY28" s="30">
        <f>HY12+HY24-HY18-HY26</f>
        <v/>
      </c>
      <c r="HZ28" s="30">
        <f>HZ12+HZ24-HZ18-HZ26</f>
        <v/>
      </c>
      <c r="IA28" s="30">
        <f>IA12+IA24-IA18-IA26</f>
        <v/>
      </c>
      <c r="IB28" s="30">
        <f>IB12+IB24-IB18-IB26</f>
        <v/>
      </c>
      <c r="IC28" s="30">
        <f>IC12+IC24-IC18-IC26</f>
        <v/>
      </c>
      <c r="ID28" s="30">
        <f>ID12+ID24-ID18-ID26</f>
        <v/>
      </c>
      <c r="IE28" s="30">
        <f>IE12+IE24-IE18-IE26</f>
        <v/>
      </c>
      <c r="IF28" s="30">
        <f>IF12+IF24-IF18-IF26</f>
        <v/>
      </c>
      <c r="IG28" s="30">
        <f>IG12+IG24-IG18-IG26</f>
        <v/>
      </c>
      <c r="IH28" s="30">
        <f>IH12+IH24-IH18-IH26</f>
        <v/>
      </c>
      <c r="II28" s="30">
        <f>II12+II24-II18-II26</f>
        <v/>
      </c>
      <c r="IJ28" s="30">
        <f>IJ12+IJ24-IJ18-IJ26</f>
        <v/>
      </c>
      <c r="IK28" s="30">
        <f>IK12+IK24-IK18-IK26</f>
        <v/>
      </c>
      <c r="IL28" s="30">
        <f>IL12+IL24-IL18-IL26</f>
        <v/>
      </c>
      <c r="IM28" s="30">
        <f>IM12+IM24-IM18-IM26</f>
        <v/>
      </c>
      <c r="IN28" s="30">
        <f>IN12+IN24-IN18-IN26</f>
        <v/>
      </c>
      <c r="IO28" s="30">
        <f>IO12+IO24-IO18-IO26</f>
        <v/>
      </c>
      <c r="IP28" s="30">
        <f>IP12+IP24-IP18-IP26</f>
        <v/>
      </c>
      <c r="IQ28" s="30">
        <f>IQ12+IQ24-IQ18-IQ26</f>
        <v/>
      </c>
      <c r="IR28" s="30">
        <f>IR12+IR24-IR18-IR26</f>
        <v/>
      </c>
      <c r="IS28" s="30">
        <f>IS12+IS24-IS18-IS26</f>
        <v/>
      </c>
      <c r="IT28" s="127">
        <f>SUM(HO28:IS28)</f>
        <v/>
      </c>
      <c r="IU28" s="30">
        <f>IU12+IU24-IU18-IU26</f>
        <v/>
      </c>
      <c r="IV28" s="30">
        <f>IV12+IV24-IV18-IV26</f>
        <v/>
      </c>
      <c r="IW28" s="30">
        <f>IW12+IW24-IW18-IW26</f>
        <v/>
      </c>
      <c r="IX28" s="30">
        <f>IX12+IX24-IX18-IX26</f>
        <v/>
      </c>
      <c r="IY28" s="30">
        <f>IY12+IY24-IY18-IY26</f>
        <v/>
      </c>
      <c r="IZ28" s="30">
        <f>IZ12+IZ24-IZ18-IZ26</f>
        <v/>
      </c>
      <c r="JA28" s="30">
        <f>JA12+JA24-JA18-JA26</f>
        <v/>
      </c>
      <c r="JB28" s="30">
        <f>JB12+JB24-JB18-JB26</f>
        <v/>
      </c>
      <c r="JC28" s="30">
        <f>JC12+JC24-JC18-JC26</f>
        <v/>
      </c>
      <c r="JD28" s="30">
        <f>JD12+JD24-JD18-JD26</f>
        <v/>
      </c>
      <c r="JE28" s="30">
        <f>JE12+JE24-JE18-JE26</f>
        <v/>
      </c>
      <c r="JF28" s="30">
        <f>JF12+JF24-JF18-JF26</f>
        <v/>
      </c>
      <c r="JG28" s="30">
        <f>JG12+JG24-JG18-JG26</f>
        <v/>
      </c>
      <c r="JH28" s="30">
        <f>JH12+JH24-JH18-JH26</f>
        <v/>
      </c>
      <c r="JI28" s="30">
        <f>JI12+JI24-JI18-JI26</f>
        <v/>
      </c>
      <c r="JJ28" s="30">
        <f>JJ12+JJ24-JJ18-JJ26</f>
        <v/>
      </c>
      <c r="JK28" s="30">
        <f>JK12+JK24-JK18-JK26</f>
        <v/>
      </c>
      <c r="JL28" s="30">
        <f>JL12+JL24-JL18-JL26</f>
        <v/>
      </c>
      <c r="JM28" s="30">
        <f>JM12+JM24-JM18-JM26</f>
        <v/>
      </c>
      <c r="JN28" s="30">
        <f>JN12+JN24-JN18-JN26</f>
        <v/>
      </c>
      <c r="JO28" s="30">
        <f>JO12+JO24-JO18-JO26</f>
        <v/>
      </c>
      <c r="JP28" s="30">
        <f>JP12+JP24-JP18-JP26</f>
        <v/>
      </c>
      <c r="JQ28" s="30">
        <f>JQ12+JQ24-JQ18-JQ26</f>
        <v/>
      </c>
      <c r="JR28" s="30">
        <f>JR12+JR24-JR18-JR26</f>
        <v/>
      </c>
      <c r="JS28" s="30">
        <f>JS12+JS24-JS18-JS26</f>
        <v/>
      </c>
      <c r="JT28" s="30">
        <f>JT12+JT24-JT18-JT26</f>
        <v/>
      </c>
      <c r="JU28" s="30">
        <f>JU12+JU24-JU18-JU26</f>
        <v/>
      </c>
      <c r="JV28" s="30">
        <f>JV12+JV24-JV18-JV26</f>
        <v/>
      </c>
      <c r="JW28" s="30">
        <f>JW12+JW24-JW18-JW26</f>
        <v/>
      </c>
      <c r="JX28" s="30">
        <f>JX12+JX24-JX18-JX26</f>
        <v/>
      </c>
      <c r="JY28" s="127">
        <f>SUM(IU28:JX28)</f>
        <v/>
      </c>
      <c r="JZ28" s="30">
        <f>JZ12+JZ24-JZ18-JZ26</f>
        <v/>
      </c>
      <c r="KA28" s="30">
        <f>KA12+KA24-KA18-KA26</f>
        <v/>
      </c>
      <c r="KB28" s="30">
        <f>KB12+KB24-KB18-KB26</f>
        <v/>
      </c>
      <c r="KC28" s="30">
        <f>KC12+KC24-KC18-KC26</f>
        <v/>
      </c>
      <c r="KD28" s="30">
        <f>KD12+KD24-KD18-KD26</f>
        <v/>
      </c>
      <c r="KE28" s="30">
        <f>KE12+KE24-KE18-KE26</f>
        <v/>
      </c>
      <c r="KF28" s="30">
        <f>KF12+KF24-KF18-KF26</f>
        <v/>
      </c>
      <c r="KG28" s="30">
        <f>KG12+KG24-KG18-KG26</f>
        <v/>
      </c>
      <c r="KH28" s="30">
        <f>KH12+KH24-KH18-KH26</f>
        <v/>
      </c>
      <c r="KI28" s="30">
        <f>KI12+KI24-KI18-KI26</f>
        <v/>
      </c>
      <c r="KJ28" s="30">
        <f>KJ12+KJ24-KJ18-KJ26</f>
        <v/>
      </c>
      <c r="KK28" s="30">
        <f>KK12+KK24-KK18-KK26</f>
        <v/>
      </c>
      <c r="KL28" s="30">
        <f>KL12+KL24-KL18-KL26</f>
        <v/>
      </c>
      <c r="KM28" s="30">
        <f>KM12+KM24-KM18-KM26</f>
        <v/>
      </c>
      <c r="KN28" s="30">
        <f>KN12+KN24-KN18-KN26</f>
        <v/>
      </c>
      <c r="KO28" s="30">
        <f>KO12+KO24-KO18-KO26</f>
        <v/>
      </c>
      <c r="KP28" s="30">
        <f>KP12+KP24-KP18-KP26</f>
        <v/>
      </c>
      <c r="KQ28" s="30">
        <f>KQ12+KQ24-KQ18-KQ26</f>
        <v/>
      </c>
      <c r="KR28" s="30">
        <f>KR12+KR24-KR18-KR26</f>
        <v/>
      </c>
      <c r="KS28" s="30">
        <f>KS12+KS24-KS18-KS26</f>
        <v/>
      </c>
      <c r="KT28" s="30">
        <f>KT12+KT24-KT18-KT26</f>
        <v/>
      </c>
      <c r="KU28" s="30">
        <f>KU12+KU24-KU18-KU26</f>
        <v/>
      </c>
      <c r="KV28" s="30">
        <f>KV12+KV24-KV18-KV26</f>
        <v/>
      </c>
      <c r="KW28" s="30">
        <f>KW12+KW24-KW18-KW26</f>
        <v/>
      </c>
      <c r="KX28" s="30">
        <f>KX12+KX24-KX18-KX26</f>
        <v/>
      </c>
      <c r="KY28" s="30">
        <f>KY12+KY24-KY18-KY26</f>
        <v/>
      </c>
      <c r="KZ28" s="30">
        <f>KZ12+KZ24-KZ18-KZ26</f>
        <v/>
      </c>
      <c r="LA28" s="30">
        <f>LA12+LA24-LA18-LA26</f>
        <v/>
      </c>
      <c r="LB28" s="30">
        <f>LB12+LB24-LB18-LB26</f>
        <v/>
      </c>
      <c r="LC28" s="30">
        <f>LC12+LC24-LC18-LC26</f>
        <v/>
      </c>
      <c r="LD28" s="30">
        <f>LD12+LD24-LD18-LD26</f>
        <v/>
      </c>
      <c r="LE28" s="127">
        <f>SUM(KA28:LD28)</f>
        <v/>
      </c>
      <c r="LF28" s="30">
        <f>LF12+LF24-LF18-LF26</f>
        <v/>
      </c>
      <c r="LG28" s="30">
        <f>LG12+LG24-LG18-LG26</f>
        <v/>
      </c>
      <c r="LH28" s="30">
        <f>LH12+LH24-LH18-LH26</f>
        <v/>
      </c>
      <c r="LI28" s="30">
        <f>LI12+LI24-LI18-LI26</f>
        <v/>
      </c>
      <c r="LJ28" s="30">
        <f>LJ12+LJ24-LJ18-LJ26</f>
        <v/>
      </c>
      <c r="LK28" s="30">
        <f>LK12+LK24-LK18-LK26</f>
        <v/>
      </c>
      <c r="LL28" s="30">
        <f>LL12+LL24-LL18-LL26</f>
        <v/>
      </c>
      <c r="LM28" s="30">
        <f>LM12+LM24-LM18-LM26</f>
        <v/>
      </c>
      <c r="LN28" s="30">
        <f>LN12+LN24-LN18-LN26</f>
        <v/>
      </c>
      <c r="LO28" s="30">
        <f>LO12+LO24-LO18-LO26</f>
        <v/>
      </c>
      <c r="LP28" s="30">
        <f>LP12+LP24-LP18-LP26</f>
        <v/>
      </c>
      <c r="LQ28" s="30">
        <f>LQ12+LQ24-LQ18-LQ26</f>
        <v/>
      </c>
      <c r="LR28" s="30">
        <f>LR12+LR24-LR18-LR26</f>
        <v/>
      </c>
      <c r="LS28" s="30">
        <f>LS12+LS24-LS18-LS26</f>
        <v/>
      </c>
      <c r="LT28" s="30">
        <f>LT12+LT24-LT18-LT26</f>
        <v/>
      </c>
      <c r="LU28" s="30">
        <f>LU12+LU24-LU18-LU26</f>
        <v/>
      </c>
      <c r="LV28" s="30">
        <f>LV12+LV24-LV18-LV26</f>
        <v/>
      </c>
      <c r="LW28" s="30">
        <f>LW12+LW24-LW18-LW26</f>
        <v/>
      </c>
      <c r="LX28" s="30">
        <f>LX12+LX24-LX18-LX26</f>
        <v/>
      </c>
      <c r="LY28" s="30">
        <f>LY12+LY24-LY18-LY26</f>
        <v/>
      </c>
      <c r="LZ28" s="30">
        <f>LZ12+LZ24-LZ18-LZ26</f>
        <v/>
      </c>
      <c r="MA28" s="30">
        <f>MA12+MA24-MA18-MA26</f>
        <v/>
      </c>
      <c r="MB28" s="30">
        <f>MB12+MB24-MB18-MB26</f>
        <v/>
      </c>
      <c r="MC28" s="30">
        <f>MC12+MC24-MC18-MC26</f>
        <v/>
      </c>
      <c r="MD28" s="30">
        <f>MD12+MD24-MD18-MD26</f>
        <v/>
      </c>
      <c r="ME28" s="30">
        <f>ME12+ME24-ME18-ME26</f>
        <v/>
      </c>
      <c r="MF28" s="30">
        <f>MF12+MF24-MF18-MF26</f>
        <v/>
      </c>
      <c r="MG28" s="30">
        <f>MG12+MG24-MG18-MG26</f>
        <v/>
      </c>
      <c r="MH28" s="30">
        <f>MH12+MH24-MH18-MH26</f>
        <v/>
      </c>
      <c r="MI28" s="30">
        <f>MI12+MI24-MI18-MI26</f>
        <v/>
      </c>
      <c r="MJ28" s="127">
        <f>SUM(LF28:MI28)</f>
        <v/>
      </c>
      <c r="MK28" s="30">
        <f>MK12+MK24-MK18-MK26</f>
        <v/>
      </c>
      <c r="ML28" s="30">
        <f>ML12+ML24-ML18-ML26</f>
        <v/>
      </c>
      <c r="MM28" s="30">
        <f>MM12+MM24-MM18-MM26</f>
        <v/>
      </c>
      <c r="MN28" s="30">
        <f>MN12+MN24-MN18-MN26</f>
        <v/>
      </c>
      <c r="MO28" s="30">
        <f>MO12+MO24-MO18-MO26</f>
        <v/>
      </c>
      <c r="MP28" s="30">
        <f>MP12+MP24-MP18-MP26</f>
        <v/>
      </c>
      <c r="MQ28" s="30">
        <f>MQ12+MQ24-MQ18-MQ26</f>
        <v/>
      </c>
      <c r="MR28" s="30">
        <f>MR12+MR24-MR18-MR26</f>
        <v/>
      </c>
      <c r="MS28" s="30">
        <f>MS12+MS24-MS18-MS26</f>
        <v/>
      </c>
      <c r="MT28" s="30">
        <f>MT12+MT24-MT18-MT26</f>
        <v/>
      </c>
      <c r="MU28" s="30">
        <f>MU12+MU24-MU18-MU26</f>
        <v/>
      </c>
      <c r="MV28" s="30">
        <f>MV12+MV24-MV18-MV26</f>
        <v/>
      </c>
      <c r="MW28" s="30">
        <f>MW12+MW24-MW18-MW26</f>
        <v/>
      </c>
      <c r="MX28" s="30">
        <f>MX12+MX24-MX18-MX26</f>
        <v/>
      </c>
      <c r="MY28" s="30">
        <f>MY12+MY24-MY18-MY26</f>
        <v/>
      </c>
      <c r="MZ28" s="30">
        <f>MZ12+MZ24-MZ18-MZ26</f>
        <v/>
      </c>
      <c r="NA28" s="30">
        <f>NA12+NA24-NA18-NA26</f>
        <v/>
      </c>
      <c r="NB28" s="30">
        <f>NB12+NB24-NB18-NB26</f>
        <v/>
      </c>
      <c r="NC28" s="30">
        <f>NC12+NC24-NC18-NC26</f>
        <v/>
      </c>
      <c r="ND28" s="30">
        <f>ND12+ND24-ND18-ND26</f>
        <v/>
      </c>
      <c r="NE28" s="30">
        <f>NE12+NE24-NE18-NE26</f>
        <v/>
      </c>
      <c r="NF28" s="30">
        <f>NF12+NF24-NF18-NF26</f>
        <v/>
      </c>
      <c r="NG28" s="30">
        <f>NG12+NG24-NG18-NG26</f>
        <v/>
      </c>
      <c r="NH28" s="30">
        <f>NH12+NH24-NH18-NH26</f>
        <v/>
      </c>
      <c r="NI28" s="30">
        <f>NI12+NI24-NI18-NI26</f>
        <v/>
      </c>
      <c r="NJ28" s="30">
        <f>NJ12+NJ24-NJ18-NJ26</f>
        <v/>
      </c>
      <c r="NK28" s="30">
        <f>NK12+NK24-NK18-NK26</f>
        <v/>
      </c>
      <c r="NL28" s="30">
        <f>NL12+NL24-NL18-NL26</f>
        <v/>
      </c>
      <c r="NM28" s="30">
        <f>NM12+NM24-NM18-NM26</f>
        <v/>
      </c>
      <c r="NN28" s="30">
        <f>NN12+NN24-NN18-NN26</f>
        <v/>
      </c>
      <c r="NO28" s="30">
        <f>NO12+NO24-NO18-NO26</f>
        <v/>
      </c>
      <c r="NP28" s="127">
        <f>SUM(ML28:NO28)</f>
        <v/>
      </c>
      <c r="NQ28" s="30">
        <f>NQ12+NQ24-NQ18-NQ26</f>
        <v/>
      </c>
      <c r="NR28" s="30">
        <f>NR12+NR24-NR18-NR26</f>
        <v/>
      </c>
      <c r="NS28" s="30">
        <f>NS12+NS24-NS18-NS26</f>
        <v/>
      </c>
      <c r="NT28" s="30">
        <f>NT12+NT24-NT18-NT26</f>
        <v/>
      </c>
      <c r="NU28" s="30">
        <f>NU12+NU24-NU18-NU26</f>
        <v/>
      </c>
      <c r="NV28" s="30">
        <f>NV12+NV24-NV18-NV26</f>
        <v/>
      </c>
      <c r="NW28" s="30">
        <f>NW12+NW24-NW18-NW26</f>
        <v/>
      </c>
      <c r="NX28" s="30">
        <f>NX12+NX24-NX18-NX26</f>
        <v/>
      </c>
      <c r="NY28" s="30">
        <f>NY12+NY24-NY18-NY26</f>
        <v/>
      </c>
      <c r="NZ28" s="30">
        <f>NZ12+NZ24-NZ18-NZ26</f>
        <v/>
      </c>
      <c r="OA28" s="30">
        <f>OA12+OA24-OA18-OA26</f>
        <v/>
      </c>
      <c r="OB28" s="30">
        <f>OB12+OB24-OB18-OB26</f>
        <v/>
      </c>
      <c r="OC28" s="30">
        <f>OC12+OC24-OC18-OC26</f>
        <v/>
      </c>
      <c r="OD28" s="30">
        <f>OD12+OD24-OD18-OD26</f>
        <v/>
      </c>
      <c r="OE28" s="30">
        <f>OE12+OE24-OE18-OE26</f>
        <v/>
      </c>
      <c r="OF28" s="30">
        <f>OF12+OF24-OF18-OF26</f>
        <v/>
      </c>
      <c r="OG28" s="30">
        <f>OG12+OG24-OG18-OG26</f>
        <v/>
      </c>
      <c r="OH28" s="30">
        <f>OH12+OH24-OH18-OH26</f>
        <v/>
      </c>
      <c r="OI28" s="30">
        <f>OI12+OI24-OI18-OI26</f>
        <v/>
      </c>
      <c r="OJ28" s="30">
        <f>OJ12+OJ24-OJ18-OJ26</f>
        <v/>
      </c>
      <c r="OK28" s="30">
        <f>OK12+OK24-OK18-OK26</f>
        <v/>
      </c>
      <c r="OL28" s="30">
        <f>OL12+OL24-OL18-OL26</f>
        <v/>
      </c>
      <c r="OM28" s="30">
        <f>OM12+OM24-OM18-OM26</f>
        <v/>
      </c>
      <c r="ON28" s="30">
        <f>ON12+ON24-ON18-ON26</f>
        <v/>
      </c>
      <c r="OO28" s="30">
        <f>OO12+OO24-OO18-OO26</f>
        <v/>
      </c>
      <c r="OP28" s="30">
        <f>OP12+OP24-OP18-OP26</f>
        <v/>
      </c>
      <c r="OQ28" s="30">
        <f>OQ12+OQ24-OQ18-OQ26</f>
        <v/>
      </c>
      <c r="OR28" s="30">
        <f>OR12+OR24-OR18-OR26</f>
        <v/>
      </c>
      <c r="OS28" s="30">
        <f>OS12+OS24-OS18-OS26</f>
        <v/>
      </c>
      <c r="OT28" s="30">
        <f>OT12+OT24-OT18-OT26</f>
        <v/>
      </c>
      <c r="OU28" s="30">
        <f>OU12+OU24-OU18-OU26</f>
        <v/>
      </c>
      <c r="OV28" s="127">
        <f>SUM(NR28:OU28)</f>
        <v/>
      </c>
      <c r="OW28" s="30">
        <f>OW12+OW24-OW18-OW26</f>
        <v/>
      </c>
      <c r="OX28" s="30">
        <f>OX12+OX24-OX18-OX26</f>
        <v/>
      </c>
      <c r="OY28" s="30">
        <f>OY12+OY24-OY18-OY26</f>
        <v/>
      </c>
      <c r="OZ28" s="30">
        <f>OZ12+OZ24-OZ18-OZ26</f>
        <v/>
      </c>
      <c r="PA28" s="30">
        <f>PA12+PA24-PA18-PA26</f>
        <v/>
      </c>
      <c r="PB28" s="30">
        <f>PB12+PB24-PB18-PB26</f>
        <v/>
      </c>
      <c r="PC28" s="30">
        <f>PC12+PC24-PC18-PC26</f>
        <v/>
      </c>
      <c r="PD28" s="30">
        <f>PD12+PD24-PD18-PD26</f>
        <v/>
      </c>
      <c r="PE28" s="30">
        <f>PE12+PE24-PE18-PE26</f>
        <v/>
      </c>
      <c r="PF28" s="30">
        <f>PF12+PF24-PF18-PF26</f>
        <v/>
      </c>
      <c r="PG28" s="30">
        <f>PG12+PG24-PG18-PG26</f>
        <v/>
      </c>
      <c r="PH28" s="30">
        <f>PH12+PH24-PH18-PH26</f>
        <v/>
      </c>
      <c r="PI28" s="30">
        <f>PI12+PI24-PI18-PI26</f>
        <v/>
      </c>
      <c r="PJ28" s="30">
        <f>PJ12+PJ24-PJ18-PJ26</f>
        <v/>
      </c>
      <c r="PK28" s="30">
        <f>PK12+PK24-PK18-PK26</f>
        <v/>
      </c>
      <c r="PL28" s="30">
        <f>PL12+PL24-PL18-PL26</f>
        <v/>
      </c>
      <c r="PM28" s="30">
        <f>PM12+PM24-PM18-PM26</f>
        <v/>
      </c>
      <c r="PN28" s="30">
        <f>PN12+PN24-PN18-PN26</f>
        <v/>
      </c>
      <c r="PO28" s="30">
        <f>PO12+PO24-PO18-PO26</f>
        <v/>
      </c>
      <c r="PP28" s="30">
        <f>PP12+PP24-PP18-PP26</f>
        <v/>
      </c>
      <c r="PQ28" s="30">
        <f>PQ12+PQ24-PQ18-PQ26</f>
        <v/>
      </c>
      <c r="PR28" s="30">
        <f>PR12+PR24-PR18-PR26</f>
        <v/>
      </c>
      <c r="PS28" s="30">
        <f>PS12+PS24-PS18-PS26</f>
        <v/>
      </c>
      <c r="PT28" s="30">
        <f>PT12+PT24-PT18-PT26</f>
        <v/>
      </c>
      <c r="PU28" s="30">
        <f>PU12+PU24-PU18-PU26</f>
        <v/>
      </c>
      <c r="PV28" s="30">
        <f>PV12+PV24-PV18-PV26</f>
        <v/>
      </c>
      <c r="PW28" s="30">
        <f>PW12+PW24-PW18-PW26</f>
        <v/>
      </c>
      <c r="PX28" s="30">
        <f>PX12+PX24-PX18-PX26</f>
        <v/>
      </c>
      <c r="PY28" s="30">
        <f>PY12+PY24-PY18-PY26</f>
        <v/>
      </c>
      <c r="PZ28" s="30">
        <f>PZ12+PZ24-PZ18-PZ26</f>
        <v/>
      </c>
      <c r="QA28" s="127">
        <f>SUM(OW28:PZ28)</f>
        <v/>
      </c>
      <c r="QB28" s="30">
        <f>QB12+QB24-QB18-QB26</f>
        <v/>
      </c>
      <c r="QC28" s="30">
        <f>QC12+QC24-QC18-QC26</f>
        <v/>
      </c>
      <c r="QD28" s="30">
        <f>QD12+QD24-QD18-QD26</f>
        <v/>
      </c>
      <c r="QE28" s="30">
        <f>QE12+QE24-QE18-QE26</f>
        <v/>
      </c>
      <c r="QF28" s="30">
        <f>QF12+QF24-QF18-QF26</f>
        <v/>
      </c>
      <c r="QG28" s="30">
        <f>QG12+QG24-QG18-QG26</f>
        <v/>
      </c>
      <c r="QH28" s="30">
        <f>QH12+QH24-QH18-QH26</f>
        <v/>
      </c>
      <c r="QI28" s="30">
        <f>QI12+QI24-QI18-QI26</f>
        <v/>
      </c>
      <c r="QJ28" s="30">
        <f>QJ12+QJ24-QJ18-QJ26</f>
        <v/>
      </c>
      <c r="QK28" s="30">
        <f>QK12+QK24-QK18-QK26</f>
        <v/>
      </c>
      <c r="QL28" s="30">
        <f>QL12+QL24-QL18-QL26</f>
        <v/>
      </c>
      <c r="QM28" s="30">
        <f>QM12+QM24-QM18-QM26</f>
        <v/>
      </c>
      <c r="QN28" s="30">
        <f>QN12+QN24-QN18-QN26</f>
        <v/>
      </c>
      <c r="QO28" s="30">
        <f>QO12+QO24-QO18-QO26</f>
        <v/>
      </c>
      <c r="QP28" s="30">
        <f>QP12+QP24-QP18-QP26</f>
        <v/>
      </c>
      <c r="QQ28" s="30">
        <f>QQ12+QQ24-QQ18-QQ26</f>
        <v/>
      </c>
      <c r="QR28" s="30">
        <f>QR12+QR24-QR18-QR26</f>
        <v/>
      </c>
      <c r="QS28" s="30">
        <f>QS12+QS24-QS18-QS26</f>
        <v/>
      </c>
      <c r="QT28" s="30">
        <f>QT12+QT24-QT18-QT26</f>
        <v/>
      </c>
      <c r="QU28" s="30">
        <f>QU12+QU24-QU18-QU26</f>
        <v/>
      </c>
      <c r="QV28" s="30">
        <f>QV12+QV24-QV18-QV26</f>
        <v/>
      </c>
      <c r="QW28" s="30">
        <f>QW12+QW24-QW18-QW26</f>
        <v/>
      </c>
      <c r="QX28" s="30">
        <f>QX12+QX24-QX18-QX26</f>
        <v/>
      </c>
      <c r="QY28" s="30">
        <f>QY12+QY24-QY18-QY26</f>
        <v/>
      </c>
      <c r="QZ28" s="30">
        <f>QZ12+QZ24-QZ18-QZ26</f>
        <v/>
      </c>
      <c r="RA28" s="30">
        <f>RA12+RA24-RA18-RA26</f>
        <v/>
      </c>
      <c r="RB28" s="30">
        <f>RB12+RB24-RB18-RB26</f>
        <v/>
      </c>
      <c r="RC28" s="30">
        <f>RC12+RC24-RC18-RC26</f>
        <v/>
      </c>
      <c r="RD28" s="30">
        <f>RD12+RD24-RD18-RD26</f>
        <v/>
      </c>
      <c r="RE28" s="30">
        <f>RE12+RE24-RE18-RE26</f>
        <v/>
      </c>
      <c r="RF28" s="30">
        <f>RF12+RF24-RF18-RF26</f>
        <v/>
      </c>
      <c r="RG28" s="127">
        <f>SUM(QC28:RF28)</f>
        <v/>
      </c>
      <c r="RH28" s="30">
        <f>RH12+RH24-RH18-RH26</f>
        <v/>
      </c>
      <c r="RI28" s="30">
        <f>RI12+RI24-RI18-RI26</f>
        <v/>
      </c>
      <c r="RJ28" s="30">
        <f>RJ12+RJ24-RJ18-RJ26</f>
        <v/>
      </c>
      <c r="RK28" s="30">
        <f>RK12+RK24-RK18-RK26</f>
        <v/>
      </c>
      <c r="RL28" s="30">
        <f>RL12+RL24-RL18-RL26</f>
        <v/>
      </c>
      <c r="RM28" s="30">
        <f>RM12+RM24-RM18-RM26</f>
        <v/>
      </c>
      <c r="RN28" s="30">
        <f>RN12+RN24-RN18-RN26</f>
        <v/>
      </c>
      <c r="RO28" s="30">
        <f>RO12+RO24-RO18-RO26</f>
        <v/>
      </c>
      <c r="RP28" s="30">
        <f>RP12+RP24-RP18-RP26</f>
        <v/>
      </c>
      <c r="RQ28" s="30">
        <f>RQ12+RQ24-RQ18-RQ26</f>
        <v/>
      </c>
      <c r="RR28" s="30">
        <f>RR12+RR24-RR18-RR26</f>
        <v/>
      </c>
      <c r="RS28" s="30">
        <f>RS12+RS24-RS18-RS26</f>
        <v/>
      </c>
      <c r="RT28" s="30">
        <f>RT12+RT24-RT18-RT26</f>
        <v/>
      </c>
      <c r="RU28" s="30">
        <f>RU12+RU24-RU18-RU26</f>
        <v/>
      </c>
      <c r="RV28" s="30">
        <f>RV12+RV24-RV18-RV26</f>
        <v/>
      </c>
      <c r="RW28" s="30">
        <f>RW12+RW24-RW18-RW26</f>
        <v/>
      </c>
      <c r="RX28" s="30">
        <f>RX12+RX24-RX18-RX26</f>
        <v/>
      </c>
      <c r="RY28" s="30">
        <f>RY12+RY24-RY18-RY26</f>
        <v/>
      </c>
      <c r="RZ28" s="30">
        <f>RZ12+RZ24-RZ18-RZ26</f>
        <v/>
      </c>
      <c r="SA28" s="30">
        <f>SA12+SA24-SA18-SA26</f>
        <v/>
      </c>
      <c r="SB28" s="30">
        <f>SB12+SB24-SB18-SB26</f>
        <v/>
      </c>
      <c r="SC28" s="30">
        <f>SC12+SC24-SC18-SC26</f>
        <v/>
      </c>
      <c r="SD28" s="30">
        <f>SD12+SD24-SD18-SD26</f>
        <v/>
      </c>
      <c r="SE28" s="30">
        <f>SE12+SE24-SE18-SE26</f>
        <v/>
      </c>
      <c r="SF28" s="30">
        <f>SF12+SF24-SF18-SF26</f>
        <v/>
      </c>
      <c r="SG28" s="30">
        <f>SG12+SG24-SG18-SG26</f>
        <v/>
      </c>
      <c r="SH28" s="30">
        <f>SH12+SH24-SH18-SH26</f>
        <v/>
      </c>
      <c r="SI28" s="30">
        <f>SI12+SI24-SI18-SI26</f>
        <v/>
      </c>
      <c r="SJ28" s="30">
        <f>SJ12+SJ24-SJ18-SJ26</f>
        <v/>
      </c>
      <c r="SK28" s="30">
        <f>SK12+SK24-SK18-SK26</f>
        <v/>
      </c>
      <c r="SL28" s="127">
        <f>SUM(RH28:SK28)</f>
        <v/>
      </c>
      <c r="SM28" s="30">
        <f>SM12+SM24-SM18-SM26</f>
        <v/>
      </c>
      <c r="SN28" s="30">
        <f>SN12+SN24-SN18-SN26</f>
        <v/>
      </c>
      <c r="SO28" s="30">
        <f>SO12+SO24-SO18-SO26</f>
        <v/>
      </c>
      <c r="SP28" s="30">
        <f>SP12+SP24-SP18-SP26</f>
        <v/>
      </c>
      <c r="SQ28" s="30">
        <f>SQ12+SQ24-SQ18-SQ26</f>
        <v/>
      </c>
      <c r="SR28" s="30">
        <f>SR12+SR24-SR18-SR26</f>
        <v/>
      </c>
      <c r="SS28" s="30">
        <f>SS12+SS24-SS18-SS26</f>
        <v/>
      </c>
      <c r="ST28" s="30">
        <f>ST12+ST24-ST18-ST26</f>
        <v/>
      </c>
      <c r="SU28" s="30">
        <f>SU12+SU24-SU18-SU26</f>
        <v/>
      </c>
      <c r="SV28" s="30">
        <f>SV12+SV24-SV18-SV26</f>
        <v/>
      </c>
      <c r="SW28" s="30">
        <f>SW12+SW24-SW18-SW26</f>
        <v/>
      </c>
      <c r="SX28" s="30">
        <f>SX12+SX24-SX18-SX26</f>
        <v/>
      </c>
      <c r="SY28" s="30">
        <f>SY12+SY24-SY18-SY26</f>
        <v/>
      </c>
      <c r="SZ28" s="30">
        <f>SZ12+SZ24-SZ18-SZ26</f>
        <v/>
      </c>
      <c r="TA28" s="30">
        <f>TA12+TA24-TA18-TA26</f>
        <v/>
      </c>
      <c r="TB28" s="30">
        <f>TB12+TB24-TB18-TB26</f>
        <v/>
      </c>
      <c r="TC28" s="30">
        <f>TC12+TC24-TC18-TC26</f>
        <v/>
      </c>
      <c r="TD28" s="30">
        <f>TD12+TD24-TD18-TD26</f>
        <v/>
      </c>
      <c r="TE28" s="30">
        <f>TE12+TE24-TE18-TE26</f>
        <v/>
      </c>
      <c r="TF28" s="30">
        <f>TF12+TF24-TF18-TF26</f>
        <v/>
      </c>
      <c r="TG28" s="30">
        <f>TG12+TG24-TG18-TG26</f>
        <v/>
      </c>
      <c r="TH28" s="30">
        <f>TH12+TH24-TH18-TH26</f>
        <v/>
      </c>
      <c r="TI28" s="30">
        <f>TI12+TI24-TI18-TI26</f>
        <v/>
      </c>
      <c r="TJ28" s="30">
        <f>TJ12+TJ24-TJ18-TJ26</f>
        <v/>
      </c>
      <c r="TK28" s="30">
        <f>TK12+TK24-TK18-TK26</f>
        <v/>
      </c>
      <c r="TL28" s="30">
        <f>TL12+TL24-TL18-TL26</f>
        <v/>
      </c>
      <c r="TM28" s="30">
        <f>TM12+TM24-TM18-TM26</f>
        <v/>
      </c>
      <c r="TN28" s="30">
        <f>TN12+TN24-TN18-TN26</f>
        <v/>
      </c>
      <c r="TO28" s="30">
        <f>TO12+TO24-TO18-TO26</f>
        <v/>
      </c>
      <c r="TP28" s="30">
        <f>TP12+TP24-TP18-TP26</f>
        <v/>
      </c>
      <c r="TQ28" s="30">
        <f>TQ12+TQ24-TQ18-TQ26</f>
        <v/>
      </c>
      <c r="TR28" s="127">
        <f>SUM(SN28:TQ28)</f>
        <v/>
      </c>
      <c r="TS28" s="30">
        <f>TS12+TS24-TS18-TS26</f>
        <v/>
      </c>
      <c r="TT28" s="30">
        <f>TT12+TT24-TT18-TT26</f>
        <v/>
      </c>
      <c r="TU28" s="30">
        <f>TU12+TU24-TU18-TU26</f>
        <v/>
      </c>
      <c r="TV28" s="30">
        <f>TV12+TV24-TV18-TV26</f>
        <v/>
      </c>
      <c r="TW28" s="30">
        <f>TW12+TW24-TW18-TW26</f>
        <v/>
      </c>
      <c r="TX28" s="30">
        <f>TX12+TX24-TX18-TX26</f>
        <v/>
      </c>
      <c r="TY28" s="30">
        <f>TY12+TY24-TY18-TY26</f>
        <v/>
      </c>
      <c r="TZ28" s="30">
        <f>TZ12+TZ24-TZ18-TZ26</f>
        <v/>
      </c>
      <c r="UA28" s="30">
        <f>UA12+UA24-UA18-UA26</f>
        <v/>
      </c>
      <c r="UB28" s="30">
        <f>UB12+UB24-UB18-UB26</f>
        <v/>
      </c>
      <c r="UC28" s="30">
        <f>UC12+UC24-UC18-UC26</f>
        <v/>
      </c>
      <c r="UD28" s="30">
        <f>UD12+UD24-UD18-UD26</f>
        <v/>
      </c>
      <c r="UE28" s="30">
        <f>UE12+UE24-UE18-UE26</f>
        <v/>
      </c>
      <c r="UF28" s="30">
        <f>UF12+UF24-UF18-UF26</f>
        <v/>
      </c>
      <c r="UG28" s="30">
        <f>UG12+UG24-UG18-UG26</f>
        <v/>
      </c>
      <c r="UH28" s="30">
        <f>UH12+UH24-UH18-UH26</f>
        <v/>
      </c>
      <c r="UI28" s="30">
        <f>UI12+UI24-UI18-UI26</f>
        <v/>
      </c>
      <c r="UJ28" s="30">
        <f>UJ12+UJ24-UJ18-UJ26</f>
        <v/>
      </c>
      <c r="UK28" s="30">
        <f>UK12+UK24-UK18-UK26</f>
        <v/>
      </c>
      <c r="UL28" s="30">
        <f>UL12+UL24-UL18-UL26</f>
        <v/>
      </c>
      <c r="UM28" s="30">
        <f>UM12+UM24-UM18-UM26</f>
        <v/>
      </c>
      <c r="UN28" s="30">
        <f>UN12+UN24-UN18-UN26</f>
        <v/>
      </c>
      <c r="UO28" s="30">
        <f>UO12+UO24-UO18-UO26</f>
        <v/>
      </c>
      <c r="UP28" s="30">
        <f>UP12+UP24-UP18-UP26</f>
        <v/>
      </c>
      <c r="UQ28" s="30">
        <f>UQ12+UQ24-UQ18-UQ26</f>
        <v/>
      </c>
      <c r="UR28" s="30">
        <f>UR12+UR24-UR18-UR26</f>
        <v/>
      </c>
      <c r="US28" s="30">
        <f>US12+US24-US18-US26</f>
        <v/>
      </c>
      <c r="UT28" s="30">
        <f>UT12+UT24-UT18-UT26</f>
        <v/>
      </c>
      <c r="UU28" s="30">
        <f>UU12+UU24-UU18-UU26</f>
        <v/>
      </c>
      <c r="UV28" s="30">
        <f>UV12+UV24-UV18-UV26</f>
        <v/>
      </c>
      <c r="UW28" s="30">
        <f>UW12+UW24-UW18-UW26</f>
        <v/>
      </c>
      <c r="UX28" s="127">
        <f>SUM(TT28:UW28)</f>
        <v/>
      </c>
      <c r="UY28" s="30">
        <f>UY12+UY24-UY18-UY26</f>
        <v/>
      </c>
      <c r="UZ28" s="30">
        <f>UZ12+UZ24-UZ18-UZ26</f>
        <v/>
      </c>
      <c r="VA28" s="30">
        <f>VA12+VA24-VA18-VA26</f>
        <v/>
      </c>
      <c r="VB28" s="30">
        <f>VB12+VB24-VB18-VB26</f>
        <v/>
      </c>
      <c r="VC28" s="30">
        <f>VC12+VC24-VC18-VC26</f>
        <v/>
      </c>
      <c r="VD28" s="30">
        <f>VD12+VD24-VD18-VD26</f>
        <v/>
      </c>
      <c r="VE28" s="30">
        <f>VE12+VE24-VE18-VE26</f>
        <v/>
      </c>
      <c r="VF28" s="30">
        <f>VF12+VF24-VF18-VF26</f>
        <v/>
      </c>
      <c r="VG28" s="30">
        <f>VG12+VG24-VG18-VG26</f>
        <v/>
      </c>
      <c r="VH28" s="30">
        <f>VH12+VH24-VH18-VH26</f>
        <v/>
      </c>
      <c r="VI28" s="30">
        <f>VI12+VI24-VI18-VI26</f>
        <v/>
      </c>
      <c r="VJ28" s="30">
        <f>VJ12+VJ24-VJ18-VJ26</f>
        <v/>
      </c>
      <c r="VK28" s="30">
        <f>VK12+VK24-VK18-VK26</f>
        <v/>
      </c>
      <c r="VL28" s="30">
        <f>VL12+VL24-VL18-VL26</f>
        <v/>
      </c>
      <c r="VM28" s="30">
        <f>VM12+VM24-VM18-VM26</f>
        <v/>
      </c>
      <c r="VN28" s="30">
        <f>VN12+VN24-VN18-VN26</f>
        <v/>
      </c>
      <c r="VO28" s="30">
        <f>VO12+VO24-VO18-VO26</f>
        <v/>
      </c>
      <c r="VP28" s="30">
        <f>VP12+VP24-VP18-VP26</f>
        <v/>
      </c>
      <c r="VQ28" s="30">
        <f>VQ12+VQ24-VQ18-VQ26</f>
        <v/>
      </c>
      <c r="VR28" s="30">
        <f>VR12+VR24-VR18-VR26</f>
        <v/>
      </c>
      <c r="VS28" s="30">
        <f>VS12+VS24-VS18-VS26</f>
        <v/>
      </c>
      <c r="VT28" s="30">
        <f>VT12+VT24-VT18-VT26</f>
        <v/>
      </c>
      <c r="VU28" s="30">
        <f>VU12+VU24-VU18-VU26</f>
        <v/>
      </c>
      <c r="VV28" s="30">
        <f>VV12+VV24-VV18-VV26</f>
        <v/>
      </c>
      <c r="VW28" s="30">
        <f>VW12+VW24-VW18-VW26</f>
        <v/>
      </c>
      <c r="VX28" s="30">
        <f>VX12+VX24-VX18-VX26</f>
        <v/>
      </c>
      <c r="VY28" s="30">
        <f>VY12+VY24-VY18-VY26</f>
        <v/>
      </c>
      <c r="VZ28" s="30">
        <f>VZ12+VZ24-VZ18-VZ26</f>
        <v/>
      </c>
      <c r="WA28" s="127">
        <f>SUM(UY28:VZ28)</f>
        <v/>
      </c>
      <c r="WB28" s="30">
        <f>WB12+WB24-WB18-WB26</f>
        <v/>
      </c>
      <c r="WC28" s="30">
        <f>WC12+WC24-WC18-WC26</f>
        <v/>
      </c>
      <c r="WD28" s="30">
        <f>WD12+WD24-WD18-WD26</f>
        <v/>
      </c>
      <c r="WE28" s="30">
        <f>WE12+WE24-WE18-WE26</f>
        <v/>
      </c>
      <c r="WF28" s="30">
        <f>WF12+WF24-WF18-WF26</f>
        <v/>
      </c>
      <c r="WG28" s="30">
        <f>WG12+WG24-WG18-WG26</f>
        <v/>
      </c>
      <c r="WH28" s="30">
        <f>WH12+WH24-WH18-WH26</f>
        <v/>
      </c>
      <c r="WI28" s="30">
        <f>WI12+WI24-WI18-WI26</f>
        <v/>
      </c>
      <c r="WJ28" s="30">
        <f>WJ12+WJ24-WJ18-WJ26</f>
        <v/>
      </c>
      <c r="WK28" s="30">
        <f>WK12+WK24-WK18-WK26</f>
        <v/>
      </c>
      <c r="WL28" s="30">
        <f>WL12+WL24-WL18-WL26</f>
        <v/>
      </c>
      <c r="WM28" s="30">
        <f>WM12+WM24-WM18-WM26</f>
        <v/>
      </c>
      <c r="WN28" s="30">
        <f>WN12+WN24-WN18-WN26</f>
        <v/>
      </c>
      <c r="WO28" s="30">
        <f>WO12+WO24-WO18-WO26</f>
        <v/>
      </c>
      <c r="WP28" s="30">
        <f>WP12+WP24-WP18-WP26</f>
        <v/>
      </c>
      <c r="WQ28" s="30">
        <f>WQ12+WQ24-WQ18-WQ26</f>
        <v/>
      </c>
      <c r="WR28" s="30">
        <f>WR12+WR24-WR18-WR26</f>
        <v/>
      </c>
      <c r="WS28" s="30">
        <f>WS12+WS24-WS18-WS26</f>
        <v/>
      </c>
      <c r="WT28" s="30">
        <f>WT12+WT24-WT18-WT26</f>
        <v/>
      </c>
      <c r="WU28" s="30">
        <f>WU12+WU24-WU18-WU26</f>
        <v/>
      </c>
      <c r="WV28" s="30">
        <f>WV12+WV24-WV18-WV26</f>
        <v/>
      </c>
      <c r="WW28" s="30">
        <f>WW12+WW24-WW18-WW26</f>
        <v/>
      </c>
      <c r="WX28" s="30">
        <f>WX12+WX24-WX18-WX26</f>
        <v/>
      </c>
      <c r="WY28" s="30">
        <f>WY12+WY24-WY18-WY26</f>
        <v/>
      </c>
      <c r="WZ28" s="30">
        <f>WZ12+WZ24-WZ18-WZ26</f>
        <v/>
      </c>
      <c r="XA28" s="30">
        <f>XA12+XA24-XA18-XA26</f>
        <v/>
      </c>
      <c r="XB28" s="30">
        <f>XB12+XB24-XB18-XB26</f>
        <v/>
      </c>
      <c r="XC28" s="30">
        <f>XC12+XC24-XC18-XC26</f>
        <v/>
      </c>
      <c r="XD28" s="30">
        <f>XD12+XD24-XD18-XD26</f>
        <v/>
      </c>
      <c r="XE28" s="30">
        <f>XE12+XE24-XE18-XE26</f>
        <v/>
      </c>
      <c r="XF28" s="30">
        <f>XF12+XF24-XF18-XF26</f>
        <v/>
      </c>
      <c r="XG28" s="127">
        <f>SUM(WB28:XF28)</f>
        <v/>
      </c>
      <c r="XH28" s="30">
        <f>XH12+XH24-XH18-XH26</f>
        <v/>
      </c>
      <c r="XI28" s="30">
        <f>XI12+XI24-XI18-XI26</f>
        <v/>
      </c>
      <c r="XJ28" s="30">
        <f>XJ12+XJ24-XJ18-XJ26</f>
        <v/>
      </c>
      <c r="XK28" s="30">
        <f>XK12+XK24-XK18-XK26</f>
        <v/>
      </c>
      <c r="XL28" s="30">
        <f>XL12+XL24-XL18-XL26</f>
        <v/>
      </c>
      <c r="XM28" s="30">
        <f>XM12+XM24-XM18-XM26</f>
        <v/>
      </c>
      <c r="XN28" s="30">
        <f>XN12+XN24-XN18-XN26</f>
        <v/>
      </c>
      <c r="XO28" s="30">
        <f>XO12+XO24-XO18-XO26</f>
        <v/>
      </c>
      <c r="XP28" s="30">
        <f>XP12+XP24-XP18-XP26</f>
        <v/>
      </c>
      <c r="XQ28" s="30">
        <f>XQ12+XQ24-XQ18-XQ26</f>
        <v/>
      </c>
      <c r="XR28" s="30">
        <f>XR12+XR24-XR18-XR26</f>
        <v/>
      </c>
      <c r="XS28" s="30">
        <f>XS12+XS24-XS18-XS26</f>
        <v/>
      </c>
      <c r="XT28" s="30">
        <f>XT12+XT24-XT18-XT26</f>
        <v/>
      </c>
      <c r="XU28" s="30">
        <f>XU12+XU24-XU18-XU26</f>
        <v/>
      </c>
      <c r="XV28" s="30">
        <f>XV12+XV24-XV18-XV26</f>
        <v/>
      </c>
      <c r="XW28" s="30">
        <f>XW12+XW24-XW18-XW26</f>
        <v/>
      </c>
      <c r="XX28" s="30">
        <f>XX12+XX24-XX18-XX26</f>
        <v/>
      </c>
      <c r="XY28" s="30">
        <f>XY12+XY24-XY18-XY26</f>
        <v/>
      </c>
      <c r="XZ28" s="30">
        <f>XZ12+XZ24-XZ18-XZ26</f>
        <v/>
      </c>
      <c r="YA28" s="30">
        <f>YA12+YA24-YA18-YA26</f>
        <v/>
      </c>
      <c r="YB28" s="30">
        <f>YB12+YB24-YB18-YB26</f>
        <v/>
      </c>
      <c r="YC28" s="30">
        <f>YC12+YC24-YC18-YC26</f>
        <v/>
      </c>
      <c r="YD28" s="30">
        <f>YD12+YD24-YD18-YD26</f>
        <v/>
      </c>
      <c r="YE28" s="30">
        <f>YE12+YE24-YE18-YE26</f>
        <v/>
      </c>
      <c r="YF28" s="30">
        <f>YF12+YF24-YF18-YF26</f>
        <v/>
      </c>
      <c r="YG28" s="30">
        <f>YG12+YG24-YG18-YG26</f>
        <v/>
      </c>
      <c r="YH28" s="30">
        <f>YH12+YH24-YH18-YH26</f>
        <v/>
      </c>
      <c r="YI28" s="30">
        <f>YI12+YI24-YI18-YI26</f>
        <v/>
      </c>
      <c r="YJ28" s="30">
        <f>YJ12+YJ24-YJ18-YJ26</f>
        <v/>
      </c>
      <c r="YK28" s="30">
        <f>YK12+YK24-YK18-YK26</f>
        <v/>
      </c>
      <c r="YL28" s="127">
        <f>SUM(XH28:YK28)</f>
        <v/>
      </c>
      <c r="YM28" s="30">
        <f>YM12+YM24-YM18-YM26</f>
        <v/>
      </c>
      <c r="YN28" s="30">
        <f>YN12+YN24-YN18-YN26</f>
        <v/>
      </c>
      <c r="YO28" s="30">
        <f>YO12+YO24-YO18-YO26</f>
        <v/>
      </c>
      <c r="YP28" s="30">
        <f>YP12+YP24-YP18-YP26</f>
        <v/>
      </c>
      <c r="YQ28" s="30">
        <f>YQ12+YQ24-YQ18-YQ26</f>
        <v/>
      </c>
      <c r="YR28" s="30">
        <f>YR12+YR24-YR18-YR26</f>
        <v/>
      </c>
      <c r="YS28" s="30">
        <f>YS12+YS24-YS18-YS26</f>
        <v/>
      </c>
      <c r="YT28" s="30">
        <f>YT12+YT24-YT18-YT26</f>
        <v/>
      </c>
      <c r="YU28" s="30">
        <f>YU12+YU24-YU18-YU26</f>
        <v/>
      </c>
      <c r="YV28" s="30">
        <f>YV12+YV24-YV18-YV26</f>
        <v/>
      </c>
      <c r="YW28" s="30">
        <f>YW12+YW24-YW18-YW26</f>
        <v/>
      </c>
      <c r="YX28" s="30">
        <f>YX12+YX24-YX18-YX26</f>
        <v/>
      </c>
      <c r="YY28" s="30">
        <f>YY12+YY24-YY18-YY26</f>
        <v/>
      </c>
      <c r="YZ28" s="30">
        <f>YZ12+YZ24-YZ18-YZ26</f>
        <v/>
      </c>
      <c r="ZA28" s="30">
        <f>ZA12+ZA24-ZA18-ZA26</f>
        <v/>
      </c>
      <c r="ZB28" s="30">
        <f>ZB12+ZB24-ZB18-ZB26</f>
        <v/>
      </c>
      <c r="ZC28" s="30">
        <f>ZC12+ZC24-ZC18-ZC26</f>
        <v/>
      </c>
      <c r="ZD28" s="30">
        <f>ZD12+ZD24-ZD18-ZD26</f>
        <v/>
      </c>
      <c r="ZE28" s="30">
        <f>ZE12+ZE24-ZE18-ZE26</f>
        <v/>
      </c>
      <c r="ZF28" s="30">
        <f>ZF12+ZF24-ZF18-ZF26</f>
        <v/>
      </c>
      <c r="ZG28" s="30">
        <f>ZG12+ZG24-ZG18-ZG26</f>
        <v/>
      </c>
      <c r="ZH28" s="30">
        <f>ZH12+ZH24-ZH18-ZH26</f>
        <v/>
      </c>
      <c r="ZI28" s="30">
        <f>ZI12+ZI24-ZI18-ZI26</f>
        <v/>
      </c>
      <c r="ZJ28" s="30">
        <f>ZJ12+ZJ24-ZJ18-ZJ26</f>
        <v/>
      </c>
      <c r="ZK28" s="30">
        <f>ZK12+ZK24-ZK18-ZK26</f>
        <v/>
      </c>
      <c r="ZL28" s="30">
        <f>ZL12+ZL24-ZL18-ZL26</f>
        <v/>
      </c>
      <c r="ZM28" s="30">
        <f>ZM12+ZM24-ZM18-ZM26</f>
        <v/>
      </c>
      <c r="ZN28" s="30">
        <f>ZN12+ZN24-ZN18-ZN26</f>
        <v/>
      </c>
      <c r="ZO28" s="30">
        <f>ZO12+ZO24-ZO18-ZO26</f>
        <v/>
      </c>
      <c r="ZP28" s="30">
        <f>ZP12+ZP24-ZP18-ZP26</f>
        <v/>
      </c>
      <c r="ZQ28" s="30">
        <f>ZQ12+ZQ24-ZQ18-ZQ26</f>
        <v/>
      </c>
      <c r="ZR28" s="127">
        <f>SUM(YM28:ZQ28)</f>
        <v/>
      </c>
      <c r="ZS28" s="30">
        <f>ZS12+ZS24-ZS18-ZS26</f>
        <v/>
      </c>
      <c r="ZT28" s="30">
        <f>ZT12+ZT24-ZT18-ZT26</f>
        <v/>
      </c>
      <c r="ZU28" s="30">
        <f>ZU12+ZU24-ZU18-ZU26</f>
        <v/>
      </c>
      <c r="ZV28" s="30">
        <f>ZV12+ZV24-ZV18-ZV26</f>
        <v/>
      </c>
      <c r="ZW28" s="30">
        <f>ZW12+ZW24-ZW18-ZW26</f>
        <v/>
      </c>
      <c r="ZX28" s="30">
        <f>ZX12+ZX24-ZX18-ZX26</f>
        <v/>
      </c>
      <c r="ZY28" s="30">
        <f>ZY12+ZY24-ZY18-ZY26</f>
        <v/>
      </c>
      <c r="ZZ28" s="30">
        <f>ZZ12+ZZ24-ZZ18-ZZ26</f>
        <v/>
      </c>
      <c r="AAA28" s="30">
        <f>AAA12+AAA24-AAA18-AAA26</f>
        <v/>
      </c>
      <c r="AAB28" s="30">
        <f>AAB12+AAB24-AAB18-AAB26</f>
        <v/>
      </c>
      <c r="AAC28" s="30">
        <f>AAC12+AAC24-AAC18-AAC26</f>
        <v/>
      </c>
      <c r="AAD28" s="30">
        <f>AAD12+AAD24-AAD18-AAD26</f>
        <v/>
      </c>
      <c r="AAE28" s="30">
        <f>AAE12+AAE24-AAE18-AAE26</f>
        <v/>
      </c>
      <c r="AAF28" s="30">
        <f>AAF12+AAF24-AAF18-AAF26</f>
        <v/>
      </c>
      <c r="AAG28" s="30">
        <f>AAG12+AAG24-AAG18-AAG26</f>
        <v/>
      </c>
      <c r="AAH28" s="30">
        <f>AAH12+AAH24-AAH18-AAH26</f>
        <v/>
      </c>
      <c r="AAI28" s="30">
        <f>AAI12+AAI24-AAI18-AAI26</f>
        <v/>
      </c>
      <c r="AAJ28" s="30">
        <f>AAJ12+AAJ24-AAJ18-AAJ26</f>
        <v/>
      </c>
      <c r="AAK28" s="30">
        <f>AAK12+AAK24-AAK18-AAK26</f>
        <v/>
      </c>
      <c r="AAL28" s="30">
        <f>AAL12+AAL24-AAL18-AAL26</f>
        <v/>
      </c>
      <c r="AAM28" s="30">
        <f>AAM12+AAM24-AAM18-AAM26</f>
        <v/>
      </c>
      <c r="AAN28" s="30">
        <f>AAN12+AAN24-AAN18-AAN26</f>
        <v/>
      </c>
      <c r="AAO28" s="30">
        <f>AAO12+AAO24-AAO18-AAO26</f>
        <v/>
      </c>
      <c r="AAP28" s="30">
        <f>AAP12+AAP24-AAP18-AAP26</f>
        <v/>
      </c>
      <c r="AAQ28" s="30">
        <f>AAQ12+AAQ24-AAQ18-AAQ26</f>
        <v/>
      </c>
      <c r="AAR28" s="30">
        <f>AAR12+AAR24-AAR18-AAR26</f>
        <v/>
      </c>
      <c r="AAS28" s="30">
        <f>AAS12+AAS24-AAS18-AAS26</f>
        <v/>
      </c>
      <c r="AAT28" s="30">
        <f>AAT12+AAT24-AAT18-AAT26</f>
        <v/>
      </c>
      <c r="AAU28" s="30">
        <f>AAU12+AAU24-AAU18-AAU26</f>
        <v/>
      </c>
      <c r="AAV28" s="30">
        <f>AAV12+AAV24-AAV18-AAV26</f>
        <v/>
      </c>
      <c r="AAW28" s="127">
        <f>SUM(ZS28:AAV28)</f>
        <v/>
      </c>
      <c r="AAX28" s="30">
        <f>AAX12+AAX24-AAX18-AAX26</f>
        <v/>
      </c>
      <c r="AAY28" s="30">
        <f>AAY12+AAY24-AAY18-AAY26</f>
        <v/>
      </c>
      <c r="AAZ28" s="30">
        <f>AAZ12+AAZ24-AAZ18-AAZ26</f>
        <v/>
      </c>
      <c r="ABA28" s="30">
        <f>ABA12+ABA24-ABA18-ABA26</f>
        <v/>
      </c>
      <c r="ABB28" s="30">
        <f>ABB12+ABB24-ABB18-ABB26</f>
        <v/>
      </c>
      <c r="ABC28" s="30">
        <f>ABC12+ABC24-ABC18-ABC26</f>
        <v/>
      </c>
      <c r="ABD28" s="30">
        <f>ABD12+ABD24-ABD18-ABD26</f>
        <v/>
      </c>
      <c r="ABE28" s="30">
        <f>ABE12+ABE24-ABE18-ABE26</f>
        <v/>
      </c>
      <c r="ABF28" s="30">
        <f>ABF12+ABF24-ABF18-ABF26</f>
        <v/>
      </c>
      <c r="ABG28" s="30">
        <f>ABG12+ABG24-ABG18-ABG26</f>
        <v/>
      </c>
      <c r="ABH28" s="30">
        <f>ABH12+ABH24-ABH18-ABH26</f>
        <v/>
      </c>
      <c r="ABI28" s="30">
        <f>ABI12+ABI24-ABI18-ABI26</f>
        <v/>
      </c>
      <c r="ABJ28" s="30">
        <f>ABJ12+ABJ24-ABJ18-ABJ26</f>
        <v/>
      </c>
      <c r="ABK28" s="30">
        <f>ABK12+ABK24-ABK18-ABK26</f>
        <v/>
      </c>
      <c r="ABL28" s="30">
        <f>ABL12+ABL24-ABL18-ABL26</f>
        <v/>
      </c>
      <c r="ABM28" s="30">
        <f>ABM12+ABM24-ABM18-ABM26</f>
        <v/>
      </c>
      <c r="ABN28" s="30">
        <f>ABN12+ABN24-ABN18-ABN26</f>
        <v/>
      </c>
      <c r="ABO28" s="30">
        <f>ABO12+ABO24-ABO18-ABO26</f>
        <v/>
      </c>
      <c r="ABP28" s="30">
        <f>ABP12+ABP24-ABP18-ABP26</f>
        <v/>
      </c>
      <c r="ABQ28" s="30">
        <f>ABQ12+ABQ24-ABQ18-ABQ26</f>
        <v/>
      </c>
      <c r="ABR28" s="30">
        <f>ABR12+ABR24-ABR18-ABR26</f>
        <v/>
      </c>
      <c r="ABS28" s="30">
        <f>ABS12+ABS24-ABS18-ABS26</f>
        <v/>
      </c>
      <c r="ABT28" s="30">
        <f>ABT12+ABT24-ABT18-ABT26</f>
        <v/>
      </c>
      <c r="ABU28" s="30">
        <f>ABU12+ABU24-ABU18-ABU26</f>
        <v/>
      </c>
      <c r="ABV28" s="30">
        <f>ABV12+ABV24-ABV18-ABV26</f>
        <v/>
      </c>
      <c r="ABW28" s="30">
        <f>ABW12+ABW24-ABW18-ABW26</f>
        <v/>
      </c>
      <c r="ABX28" s="30">
        <f>ABX12+ABX24-ABX18-ABX26</f>
        <v/>
      </c>
      <c r="ABY28" s="30">
        <f>ABY12+ABY24-ABY18-ABY26</f>
        <v/>
      </c>
      <c r="ABZ28" s="30">
        <f>ABZ12+ABZ24-ABZ18-ABZ26</f>
        <v/>
      </c>
      <c r="ACA28" s="30">
        <f>ACA12+ACA24-ACA18-ACA26</f>
        <v/>
      </c>
      <c r="ACB28" s="30">
        <f>ACB12+ACB24-ACB18-ACB26</f>
        <v/>
      </c>
      <c r="ACC28" s="127">
        <f>SUM(AAX28:ACB28)</f>
        <v/>
      </c>
      <c r="ACD28" s="30">
        <f>ACD12+ACD24-ACD18-ACD26</f>
        <v/>
      </c>
      <c r="ACE28" s="30">
        <f>ACE12+ACE24-ACE18-ACE26</f>
        <v/>
      </c>
      <c r="ACF28" s="30">
        <f>ACF12+ACF24-ACF18-ACF26</f>
        <v/>
      </c>
      <c r="ACG28" s="30">
        <f>ACG12+ACG24-ACG18-ACG26</f>
        <v/>
      </c>
      <c r="ACH28" s="30">
        <f>ACH12+ACH24-ACH18-ACH26</f>
        <v/>
      </c>
      <c r="ACI28" s="30">
        <f>ACI12+ACI24-ACI18-ACI26</f>
        <v/>
      </c>
      <c r="ACJ28" s="30">
        <f>ACJ12+ACJ24-ACJ18-ACJ26</f>
        <v/>
      </c>
      <c r="ACK28" s="30">
        <f>ACK12+ACK24-ACK18-ACK26</f>
        <v/>
      </c>
      <c r="ACL28" s="30">
        <f>ACL12+ACL24-ACL18-ACL26</f>
        <v/>
      </c>
      <c r="ACM28" s="30">
        <f>ACM12+ACM24-ACM18-ACM26</f>
        <v/>
      </c>
      <c r="ACN28" s="30">
        <f>ACN12+ACN24-ACN18-ACN26</f>
        <v/>
      </c>
      <c r="ACO28" s="30">
        <f>ACO12+ACO24-ACO18-ACO26</f>
        <v/>
      </c>
      <c r="ACP28" s="30">
        <f>ACP12+ACP24-ACP18-ACP26</f>
        <v/>
      </c>
      <c r="ACQ28" s="30">
        <f>ACQ12+ACQ24-ACQ18-ACQ26</f>
        <v/>
      </c>
      <c r="ACR28" s="30">
        <f>ACR12+ACR24-ACR18-ACR26</f>
        <v/>
      </c>
      <c r="ACS28" s="30">
        <f>ACS12+ACS24-ACS18-ACS26</f>
        <v/>
      </c>
      <c r="ACT28" s="30">
        <f>ACT12+ACT24-ACT18-ACT26</f>
        <v/>
      </c>
      <c r="ACU28" s="30">
        <f>ACU12+ACU24-ACU18-ACU26</f>
        <v/>
      </c>
      <c r="ACV28" s="30">
        <f>ACV12+ACV24-ACV18-ACV26</f>
        <v/>
      </c>
      <c r="ACW28" s="30">
        <f>ACW12+ACW24-ACW18-ACW26</f>
        <v/>
      </c>
      <c r="ACX28" s="30">
        <f>ACX12+ACX24-ACX18-ACX26</f>
        <v/>
      </c>
      <c r="ACY28" s="30">
        <f>ACY12+ACY24-ACY18-ACY26</f>
        <v/>
      </c>
      <c r="ACZ28" s="30">
        <f>ACZ12+ACZ24-ACZ18-ACZ26</f>
        <v/>
      </c>
      <c r="ADA28" s="30">
        <f>ADA12+ADA24-ADA18-ADA26</f>
        <v/>
      </c>
      <c r="ADB28" s="30">
        <f>ADB12+ADB24-ADB18-ADB26</f>
        <v/>
      </c>
      <c r="ADC28" s="30">
        <f>ADC12+ADC24-ADC18-ADC26</f>
        <v/>
      </c>
      <c r="ADD28" s="30">
        <f>ADD12+ADD24-ADD18-ADD26</f>
        <v/>
      </c>
      <c r="ADE28" s="30">
        <f>ADE12+ADE24-ADE18-ADE26</f>
        <v/>
      </c>
      <c r="ADF28" s="30">
        <f>ADF12+ADF24-ADF18-ADF26</f>
        <v/>
      </c>
      <c r="ADG28" s="30">
        <f>ADG12+ADG24-ADG18-ADG26</f>
        <v/>
      </c>
      <c r="ADH28" s="30">
        <f>ADH12+ADH24-ADH18-ADH26</f>
        <v/>
      </c>
      <c r="ADI28" s="127">
        <f>SUM(ACD28:ADH28)</f>
        <v/>
      </c>
      <c r="ADJ28" s="30">
        <f>ADJ12+ADJ24-ADJ18-ADJ26</f>
        <v/>
      </c>
      <c r="ADK28" s="30">
        <f>ADK12+ADK24-ADK18-ADK26</f>
        <v/>
      </c>
      <c r="ADL28" s="30">
        <f>ADL12+ADL24-ADL18-ADL26</f>
        <v/>
      </c>
      <c r="ADM28" s="30">
        <f>ADM12+ADM24-ADM18-ADM26</f>
        <v/>
      </c>
      <c r="ADN28" s="30">
        <f>ADN12+ADN24-ADN18-ADN26</f>
        <v/>
      </c>
      <c r="ADO28" s="30">
        <f>ADO12+ADO24-ADO18-ADO26</f>
        <v/>
      </c>
      <c r="ADP28" s="30">
        <f>ADP12+ADP24-ADP18-ADP26</f>
        <v/>
      </c>
      <c r="ADQ28" s="30">
        <f>ADQ12+ADQ24-ADQ18-ADQ26</f>
        <v/>
      </c>
      <c r="ADR28" s="30">
        <f>ADR12+ADR24-ADR18-ADR26</f>
        <v/>
      </c>
      <c r="ADS28" s="30">
        <f>ADS12+ADS24-ADS18-ADS26</f>
        <v/>
      </c>
      <c r="ADT28" s="30">
        <f>ADT12+ADT24-ADT18-ADT26</f>
        <v/>
      </c>
      <c r="ADU28" s="30">
        <f>ADU12+ADU24-ADU18-ADU26</f>
        <v/>
      </c>
      <c r="ADV28" s="30">
        <f>ADV12+ADV24-ADV18-ADV26</f>
        <v/>
      </c>
      <c r="ADW28" s="30">
        <f>ADW12+ADW24-ADW18-ADW26</f>
        <v/>
      </c>
      <c r="ADX28" s="30">
        <f>ADX12+ADX24-ADX18-ADX26</f>
        <v/>
      </c>
      <c r="ADY28" s="30">
        <f>ADY12+ADY24-ADY18-ADY26</f>
        <v/>
      </c>
      <c r="ADZ28" s="30">
        <f>ADZ12+ADZ24-ADZ18-ADZ26</f>
        <v/>
      </c>
      <c r="AEA28" s="30">
        <f>AEA12+AEA24-AEA18-AEA26</f>
        <v/>
      </c>
      <c r="AEB28" s="30">
        <f>AEB12+AEB24-AEB18-AEB26</f>
        <v/>
      </c>
      <c r="AEC28" s="30">
        <f>AEC12+AEC24-AEC18-AEC26</f>
        <v/>
      </c>
      <c r="AED28" s="30">
        <f>AED12+AED24-AED18-AED26</f>
        <v/>
      </c>
      <c r="AEE28" s="30">
        <f>AEE12+AEE24-AEE18-AEE26</f>
        <v/>
      </c>
      <c r="AEF28" s="30">
        <f>AEF12+AEF24-AEF18-AEF26</f>
        <v/>
      </c>
      <c r="AEG28" s="30">
        <f>AEG12+AEG24-AEG18-AEG26</f>
        <v/>
      </c>
      <c r="AEH28" s="30">
        <f>AEH12+AEH24-AEH18-AEH26</f>
        <v/>
      </c>
      <c r="AEI28" s="30">
        <f>AEI12+AEI24-AEI18-AEI26</f>
        <v/>
      </c>
      <c r="AEJ28" s="30">
        <f>AEJ12+AEJ24-AEJ18-AEJ26</f>
        <v/>
      </c>
      <c r="AEK28" s="30">
        <f>AEK12+AEK24-AEK18-AEK26</f>
        <v/>
      </c>
      <c r="AEL28" s="30">
        <f>AEL12+AEL24-AEL18-AEL26</f>
        <v/>
      </c>
      <c r="AEM28" s="30">
        <f>AEM12+AEM24-AEM18-AEM26</f>
        <v/>
      </c>
      <c r="AEN28" s="127">
        <f>SUM(ADJ28:AEM28)</f>
        <v/>
      </c>
      <c r="AEO28" s="30">
        <f>AEO12+AEO24-AEO18-AEO26</f>
        <v/>
      </c>
      <c r="AEP28" s="30">
        <f>AEP12+AEP24-AEP18-AEP26</f>
        <v/>
      </c>
      <c r="AEQ28" s="30">
        <f>AEQ12+AEQ24-AEQ18-AEQ26</f>
        <v/>
      </c>
      <c r="AER28" s="30">
        <f>AER12+AER24-AER18-AER26</f>
        <v/>
      </c>
      <c r="AES28" s="30">
        <f>AES12+AES24-AES18-AES26</f>
        <v/>
      </c>
      <c r="AET28" s="30">
        <f>AET12+AET24-AET18-AET26</f>
        <v/>
      </c>
      <c r="AEU28" s="30">
        <f>AEU12+AEU24-AEU18-AEU26</f>
        <v/>
      </c>
      <c r="AEV28" s="30">
        <f>AEV12+AEV24-AEV18-AEV26</f>
        <v/>
      </c>
      <c r="AEW28" s="30">
        <f>AEW12+AEW24-AEW18-AEW26</f>
        <v/>
      </c>
      <c r="AEX28" s="30">
        <f>AEX12+AEX24-AEX18-AEX26</f>
        <v/>
      </c>
      <c r="AEY28" s="30">
        <f>AEY12+AEY24-AEY18-AEY26</f>
        <v/>
      </c>
      <c r="AEZ28" s="30">
        <f>AEZ12+AEZ24-AEZ18-AEZ26</f>
        <v/>
      </c>
      <c r="AFA28" s="30">
        <f>AFA12+AFA24-AFA18-AFA26</f>
        <v/>
      </c>
      <c r="AFB28" s="30">
        <f>AFB12+AFB24-AFB18-AFB26</f>
        <v/>
      </c>
      <c r="AFC28" s="30">
        <f>AFC12+AFC24-AFC18-AFC26</f>
        <v/>
      </c>
      <c r="AFD28" s="30">
        <f>AFD12+AFD24-AFD18-AFD26</f>
        <v/>
      </c>
      <c r="AFE28" s="30">
        <f>AFE12+AFE24-AFE18-AFE26</f>
        <v/>
      </c>
      <c r="AFF28" s="30">
        <f>AFF12+AFF24-AFF18-AFF26</f>
        <v/>
      </c>
      <c r="AFG28" s="30">
        <f>AFG12+AFG24-AFG18-AFG26</f>
        <v/>
      </c>
      <c r="AFH28" s="30">
        <f>AFH12+AFH24-AFH18-AFH26</f>
        <v/>
      </c>
      <c r="AFI28" s="30">
        <f>AFI12+AFI24-AFI18-AFI26</f>
        <v/>
      </c>
      <c r="AFJ28" s="30">
        <f>AFJ12+AFJ24-AFJ18-AFJ26</f>
        <v/>
      </c>
      <c r="AFK28" s="30">
        <f>AFK12+AFK24-AFK18-AFK26</f>
        <v/>
      </c>
      <c r="AFL28" s="30">
        <f>AFL12+AFL24-AFL18-AFL26</f>
        <v/>
      </c>
      <c r="AFM28" s="30">
        <f>AFM12+AFM24-AFM18-AFM26</f>
        <v/>
      </c>
      <c r="AFN28" s="30">
        <f>AFN12+AFN24-AFN18-AFN26</f>
        <v/>
      </c>
      <c r="AFO28" s="30">
        <f>AFO12+AFO24-AFO18-AFO26</f>
        <v/>
      </c>
      <c r="AFP28" s="30">
        <f>AFP12+AFP24-AFP18-AFP26</f>
        <v/>
      </c>
      <c r="AFQ28" s="30">
        <f>AFQ12+AFQ24-AFQ18-AFQ26</f>
        <v/>
      </c>
      <c r="AFR28" s="30">
        <f>AFR12+AFR24-AFR18-AFR26</f>
        <v/>
      </c>
      <c r="AFS28" s="30">
        <f>AFS12+AFS24-AFS18-AFS26</f>
        <v/>
      </c>
      <c r="AFT28" s="127">
        <f>SUM(AEO28:AFS28)</f>
        <v/>
      </c>
      <c r="AFU28" s="30">
        <f>AFU12+AFU24-AFU18-AFU26</f>
        <v/>
      </c>
      <c r="AFV28" s="30">
        <f>AFV12+AFV24-AFV18-AFV26</f>
        <v/>
      </c>
      <c r="AFW28" s="30">
        <f>AFW12+AFW24-AFW18-AFW26</f>
        <v/>
      </c>
      <c r="AFX28" s="30">
        <f>AFX12+AFX24-AFX18-AFX26</f>
        <v/>
      </c>
      <c r="AFY28" s="30">
        <f>AFY12+AFY24-AFY18-AFY26</f>
        <v/>
      </c>
      <c r="AFZ28" s="30">
        <f>AFZ12+AFZ24-AFZ18-AFZ26</f>
        <v/>
      </c>
      <c r="AGA28" s="30">
        <f>AGA12+AGA24-AGA18-AGA26</f>
        <v/>
      </c>
      <c r="AGB28" s="30">
        <f>AGB12+AGB24-AGB18-AGB26</f>
        <v/>
      </c>
      <c r="AGC28" s="30">
        <f>AGC12+AGC24-AGC18-AGC26</f>
        <v/>
      </c>
      <c r="AGD28" s="30">
        <f>AGD12+AGD24-AGD18-AGD26</f>
        <v/>
      </c>
      <c r="AGE28" s="30">
        <f>AGE12+AGE24-AGE18-AGE26</f>
        <v/>
      </c>
      <c r="AGF28" s="30">
        <f>AGF12+AGF24-AGF18-AGF26</f>
        <v/>
      </c>
      <c r="AGG28" s="30">
        <f>AGG12+AGG24-AGG18-AGG26</f>
        <v/>
      </c>
      <c r="AGH28" s="30">
        <f>AGH12+AGH24-AGH18-AGH26</f>
        <v/>
      </c>
      <c r="AGI28" s="30">
        <f>AGI12+AGI24-AGI18-AGI26</f>
        <v/>
      </c>
      <c r="AGJ28" s="30">
        <f>AGJ12+AGJ24-AGJ18-AGJ26</f>
        <v/>
      </c>
      <c r="AGK28" s="30">
        <f>AGK12+AGK24-AGK18-AGK26</f>
        <v/>
      </c>
      <c r="AGL28" s="30">
        <f>AGL12+AGL24-AGL18-AGL26</f>
        <v/>
      </c>
      <c r="AGM28" s="30">
        <f>AGM12+AGM24-AGM18-AGM26</f>
        <v/>
      </c>
      <c r="AGN28" s="30">
        <f>AGN12+AGN24-AGN18-AGN26</f>
        <v/>
      </c>
      <c r="AGO28" s="30">
        <f>AGO12+AGO24-AGO18-AGO26</f>
        <v/>
      </c>
      <c r="AGP28" s="30">
        <f>AGP12+AGP24-AGP18-AGP26</f>
        <v/>
      </c>
      <c r="AGQ28" s="30">
        <f>AGQ12+AGQ24-AGQ18-AGQ26</f>
        <v/>
      </c>
      <c r="AGR28" s="30">
        <f>AGR12+AGR24-AGR18-AGR26</f>
        <v/>
      </c>
      <c r="AGS28" s="30">
        <f>AGS12+AGS24-AGS18-AGS26</f>
        <v/>
      </c>
      <c r="AGT28" s="30">
        <f>AGT12+AGT24-AGT18-AGT26</f>
        <v/>
      </c>
      <c r="AGU28" s="30">
        <f>AGU12+AGU24-AGU18-AGU26</f>
        <v/>
      </c>
      <c r="AGV28" s="30">
        <f>AGV12+AGV24-AGV18-AGV26</f>
        <v/>
      </c>
      <c r="AGW28" s="30">
        <f>AGW12+AGW24-AGW18-AGW26</f>
        <v/>
      </c>
      <c r="AGX28" s="30">
        <f>AGX12+AGX24-AGX18-AGX26</f>
        <v/>
      </c>
      <c r="AGY28" s="127">
        <f>SUM(AFU28:AGX28)</f>
        <v/>
      </c>
      <c r="AGZ28" s="30">
        <f>AGZ12+AGZ24-AGZ18-AGZ26</f>
        <v/>
      </c>
      <c r="AHA28" s="30">
        <f>AHA12+AHA24-AHA18-AHA26</f>
        <v/>
      </c>
      <c r="AHB28" s="30">
        <f>AHB12+AHB24-AHB18-AHB26</f>
        <v/>
      </c>
      <c r="AHC28" s="30">
        <f>AHC12+AHC24-AHC18-AHC26</f>
        <v/>
      </c>
      <c r="AHD28" s="30">
        <f>AHD12+AHD24-AHD18-AHD26</f>
        <v/>
      </c>
      <c r="AHE28" s="30">
        <f>AHE12+AHE24-AHE18-AHE26</f>
        <v/>
      </c>
      <c r="AHF28" s="30">
        <f>AHF12+AHF24-AHF18-AHF26</f>
        <v/>
      </c>
      <c r="AHG28" s="30">
        <f>AHG12+AHG24-AHG18-AHG26</f>
        <v/>
      </c>
      <c r="AHH28" s="30">
        <f>AHH12+AHH24-AHH18-AHH26</f>
        <v/>
      </c>
      <c r="AHI28" s="30">
        <f>AHI12+AHI24-AHI18-AHI26</f>
        <v/>
      </c>
      <c r="AHJ28" s="30">
        <f>AHJ12+AHJ24-AHJ18-AHJ26</f>
        <v/>
      </c>
      <c r="AHK28" s="30">
        <f>AHK12+AHK24-AHK18-AHK26</f>
        <v/>
      </c>
      <c r="AHL28" s="30">
        <f>AHL12+AHL24-AHL18-AHL26</f>
        <v/>
      </c>
      <c r="AHM28" s="30">
        <f>AHM12+AHM24-AHM18-AHM26</f>
        <v/>
      </c>
      <c r="AHN28" s="30">
        <f>AHN12+AHN24-AHN18-AHN26</f>
        <v/>
      </c>
      <c r="AHO28" s="30">
        <f>AHO12+AHO24-AHO18-AHO26</f>
        <v/>
      </c>
      <c r="AHP28" s="30">
        <f>AHP12+AHP24-AHP18-AHP26</f>
        <v/>
      </c>
      <c r="AHQ28" s="30">
        <f>AHQ12+AHQ24-AHQ18-AHQ26</f>
        <v/>
      </c>
      <c r="AHR28" s="30">
        <f>AHR12+AHR24-AHR18-AHR26</f>
        <v/>
      </c>
      <c r="AHS28" s="30">
        <f>AHS12+AHS24-AHS18-AHS26</f>
        <v/>
      </c>
      <c r="AHT28" s="30">
        <f>AHT12+AHT24-AHT18-AHT26</f>
        <v/>
      </c>
      <c r="AHU28" s="30">
        <f>AHU12+AHU24-AHU18-AHU26</f>
        <v/>
      </c>
      <c r="AHV28" s="30">
        <f>AHV12+AHV24-AHV18-AHV26</f>
        <v/>
      </c>
      <c r="AHW28" s="30">
        <f>AHW12+AHW24-AHW18-AHW26</f>
        <v/>
      </c>
      <c r="AHX28" s="30">
        <f>AHX12+AHX24-AHX18-AHX26</f>
        <v/>
      </c>
      <c r="AHY28" s="30">
        <f>AHY12+AHY24-AHY18-AHY26</f>
        <v/>
      </c>
      <c r="AHZ28" s="30">
        <f>AHZ12+AHZ24-AHZ18-AHZ26</f>
        <v/>
      </c>
      <c r="AIA28" s="30">
        <f>AIA12+AIA24-AIA18-AIA26</f>
        <v/>
      </c>
      <c r="AIB28" s="30">
        <f>AIB12+AIB24-AIB18-AIB26</f>
        <v/>
      </c>
      <c r="AIC28" s="30">
        <f>AIC12+AIC24-AIC18-AIC26</f>
        <v/>
      </c>
      <c r="AID28" s="30">
        <f>AID12+AID24-AID18-AID26</f>
        <v/>
      </c>
      <c r="AIE28" s="127">
        <f>SUM(AGZ28:AID28)</f>
        <v/>
      </c>
      <c r="AIF28" s="30">
        <f>AIF12+AIF24-AIF18-AIF26</f>
        <v/>
      </c>
      <c r="AIG28" s="30">
        <f>AIG12+AIG24-AIG18-AIG26</f>
        <v/>
      </c>
      <c r="AIH28" s="30">
        <f>AIH12+AIH24-AIH18-AIH26</f>
        <v/>
      </c>
      <c r="AII28" s="30">
        <f>AII12+AII24-AII18-AII26</f>
        <v/>
      </c>
      <c r="AIJ28" s="30">
        <f>AIJ12+AIJ24-AIJ18-AIJ26</f>
        <v/>
      </c>
      <c r="AIK28" s="30">
        <f>AIK12+AIK24-AIK18-AIK26</f>
        <v/>
      </c>
      <c r="AIL28" s="30">
        <f>AIL12+AIL24-AIL18-AIL26</f>
        <v/>
      </c>
      <c r="AIM28" s="30">
        <f>AIM12+AIM24-AIM18-AIM26</f>
        <v/>
      </c>
      <c r="AIN28" s="30">
        <f>AIN12+AIN24-AIN18-AIN26</f>
        <v/>
      </c>
      <c r="AIO28" s="30">
        <f>AIO12+AIO24-AIO18-AIO26</f>
        <v/>
      </c>
      <c r="AIP28" s="30">
        <f>AIP12+AIP24-AIP18-AIP26</f>
        <v/>
      </c>
      <c r="AIQ28" s="30">
        <f>AIQ12+AIQ24-AIQ18-AIQ26</f>
        <v/>
      </c>
      <c r="AIR28" s="30">
        <f>AIR12+AIR24-AIR18-AIR26</f>
        <v/>
      </c>
      <c r="AIS28" s="30">
        <f>AIS12+AIS24-AIS18-AIS26</f>
        <v/>
      </c>
      <c r="AIT28" s="30">
        <f>AIT12+AIT24-AIT18-AIT26</f>
        <v/>
      </c>
      <c r="AIU28" s="30">
        <f>AIU12+AIU24-AIU18-AIU26</f>
        <v/>
      </c>
      <c r="AIV28" s="30">
        <f>AIV12+AIV24-AIV18-AIV26</f>
        <v/>
      </c>
      <c r="AIW28" s="30">
        <f>AIW12+AIW24-AIW18-AIW26</f>
        <v/>
      </c>
      <c r="AIX28" s="30">
        <f>AIX12+AIX24-AIX18-AIX26</f>
        <v/>
      </c>
      <c r="AIY28" s="30">
        <f>AIY12+AIY24-AIY18-AIY26</f>
        <v/>
      </c>
      <c r="AIZ28" s="30">
        <f>AIZ12+AIZ24-AIZ18-AIZ26</f>
        <v/>
      </c>
      <c r="AJA28" s="30">
        <f>AJA12+AJA24-AJA18-AJA26</f>
        <v/>
      </c>
      <c r="AJB28" s="30">
        <f>AJB12+AJB24-AJB18-AJB26</f>
        <v/>
      </c>
      <c r="AJC28" s="30">
        <f>AJC12+AJC24-AJC18-AJC26</f>
        <v/>
      </c>
      <c r="AJD28" s="30">
        <f>AJD12+AJD24-AJD18-AJD26</f>
        <v/>
      </c>
      <c r="AJE28" s="30">
        <f>AJE12+AJE24-AJE18-AJE26</f>
        <v/>
      </c>
      <c r="AJF28" s="30">
        <f>AJF12+AJF24-AJF18-AJF26</f>
        <v/>
      </c>
      <c r="AJG28" s="30">
        <f>AJG12+AJG24-AJG18-AJG26</f>
        <v/>
      </c>
      <c r="AJH28" s="30">
        <f>AJH12+AJH24-AJH18-AJH26</f>
        <v/>
      </c>
      <c r="AJI28" s="30">
        <f>AJI12+AJI24-AJI18-AJI26</f>
        <v/>
      </c>
      <c r="AJJ28" s="30">
        <f>AJJ12+AJJ24-AJJ18-AJJ26</f>
        <v/>
      </c>
      <c r="AJK28" s="127">
        <f>SUM(AIF28:AJJ28)</f>
        <v/>
      </c>
      <c r="AJL28" s="30">
        <f>AJL12+AJL24-AJL18-AJL26</f>
        <v/>
      </c>
      <c r="AJM28" s="30">
        <f>AJM12+AJM24-AJM18-AJM26</f>
        <v/>
      </c>
      <c r="AJN28" s="30">
        <f>AJN12+AJN24-AJN18-AJN26</f>
        <v/>
      </c>
      <c r="AJO28" s="30">
        <f>AJO12+AJO24-AJO18-AJO26</f>
        <v/>
      </c>
      <c r="AJP28" s="30">
        <f>AJP12+AJP24-AJP18-AJP26</f>
        <v/>
      </c>
      <c r="AJQ28" s="30">
        <f>AJQ12+AJQ24-AJQ18-AJQ26</f>
        <v/>
      </c>
      <c r="AJR28" s="30">
        <f>AJR12+AJR24-AJR18-AJR26</f>
        <v/>
      </c>
      <c r="AJS28" s="30">
        <f>AJS12+AJS24-AJS18-AJS26</f>
        <v/>
      </c>
      <c r="AJT28" s="30">
        <f>AJT12+AJT24-AJT18-AJT26</f>
        <v/>
      </c>
      <c r="AJU28" s="30">
        <f>AJU12+AJU24-AJU18-AJU26</f>
        <v/>
      </c>
      <c r="AJV28" s="30">
        <f>AJV12+AJV24-AJV18-AJV26</f>
        <v/>
      </c>
      <c r="AJW28" s="30">
        <f>AJW12+AJW24-AJW18-AJW26</f>
        <v/>
      </c>
      <c r="AJX28" s="30">
        <f>AJX12+AJX24-AJX18-AJX26</f>
        <v/>
      </c>
      <c r="AJY28" s="30">
        <f>AJY12+AJY24-AJY18-AJY26</f>
        <v/>
      </c>
      <c r="AJZ28" s="30">
        <f>AJZ12+AJZ24-AJZ18-AJZ26</f>
        <v/>
      </c>
      <c r="AKA28" s="30">
        <f>AKA12+AKA24-AKA18-AKA26</f>
        <v/>
      </c>
      <c r="AKB28" s="30">
        <f>AKB12+AKB24-AKB18-AKB26</f>
        <v/>
      </c>
      <c r="AKC28" s="30">
        <f>AKC12+AKC24-AKC18-AKC26</f>
        <v/>
      </c>
      <c r="AKD28" s="30">
        <f>AKD12+AKD24-AKD18-AKD26</f>
        <v/>
      </c>
      <c r="AKE28" s="30">
        <f>AKE12+AKE24-AKE18-AKE26</f>
        <v/>
      </c>
      <c r="AKF28" s="30">
        <f>AKF12+AKF24-AKF18-AKF26</f>
        <v/>
      </c>
      <c r="AKG28" s="30">
        <f>AKG12+AKG24-AKG18-AKG26</f>
        <v/>
      </c>
      <c r="AKH28" s="30">
        <f>AKH12+AKH24-AKH18-AKH26</f>
        <v/>
      </c>
      <c r="AKI28" s="30">
        <f>AKI12+AKI24-AKI18-AKI26</f>
        <v/>
      </c>
      <c r="AKJ28" s="30">
        <f>AKJ12+AKJ24-AKJ18-AKJ26</f>
        <v/>
      </c>
      <c r="AKK28" s="30">
        <f>AKK12+AKK24-AKK18-AKK26</f>
        <v/>
      </c>
      <c r="AKL28" s="30">
        <f>AKL12+AKL24-AKL18-AKL26</f>
        <v/>
      </c>
      <c r="AKM28" s="30">
        <f>AKM12+AKM24-AKM18-AKM26</f>
        <v/>
      </c>
      <c r="AKN28" s="127">
        <f>SUM(AJL28:AKM28)</f>
        <v/>
      </c>
      <c r="AKO28" s="30">
        <f>AKO12+AKO24-AKO18-AKO26</f>
        <v/>
      </c>
      <c r="AKP28" s="30">
        <f>AKP12+AKP24-AKP18-AKP26</f>
        <v/>
      </c>
      <c r="AKQ28" s="30">
        <f>AKQ12+AKQ24-AKQ18-AKQ26</f>
        <v/>
      </c>
      <c r="AKR28" s="30">
        <f>AKR12+AKR24-AKR18-AKR26</f>
        <v/>
      </c>
      <c r="AKS28" s="30">
        <f>AKS12+AKS24-AKS18-AKS26</f>
        <v/>
      </c>
      <c r="AKT28" s="30">
        <f>AKT12+AKT24-AKT18-AKT26</f>
        <v/>
      </c>
      <c r="AKU28" s="30">
        <f>AKU12+AKU24-AKU18-AKU26</f>
        <v/>
      </c>
      <c r="AKV28" s="30">
        <f>AKV12+AKV24-AKV18-AKV26</f>
        <v/>
      </c>
      <c r="AKW28" s="30">
        <f>AKW12+AKW24-AKW18-AKW26</f>
        <v/>
      </c>
      <c r="AKX28" s="30">
        <f>AKX12+AKX24-AKX18-AKX26</f>
        <v/>
      </c>
      <c r="AKY28" s="30">
        <f>AKY12+AKY24-AKY18-AKY26</f>
        <v/>
      </c>
      <c r="AKZ28" s="30">
        <f>AKZ12+AKZ24-AKZ18-AKZ26</f>
        <v/>
      </c>
      <c r="ALA28" s="30">
        <f>ALA12+ALA24-ALA18-ALA26</f>
        <v/>
      </c>
      <c r="ALB28" s="30">
        <f>ALB12+ALB24-ALB18-ALB26</f>
        <v/>
      </c>
      <c r="ALC28" s="30">
        <f>ALC12+ALC24-ALC18-ALC26</f>
        <v/>
      </c>
      <c r="ALD28" s="30">
        <f>ALD12+ALD24-ALD18-ALD26</f>
        <v/>
      </c>
      <c r="ALE28" s="30">
        <f>ALE12+ALE24-ALE18-ALE26</f>
        <v/>
      </c>
      <c r="ALF28" s="30">
        <f>ALF12+ALF24-ALF18-ALF26</f>
        <v/>
      </c>
      <c r="ALG28" s="30">
        <f>ALG12+ALG24-ALG18-ALG26</f>
        <v/>
      </c>
      <c r="ALH28" s="30">
        <f>ALH12+ALH24-ALH18-ALH26</f>
        <v/>
      </c>
      <c r="ALI28" s="30">
        <f>ALI12+ALI24-ALI18-ALI26</f>
        <v/>
      </c>
      <c r="ALJ28" s="30">
        <f>ALJ12+ALJ24-ALJ18-ALJ26</f>
        <v/>
      </c>
      <c r="ALK28" s="30">
        <f>ALK12+ALK24-ALK18-ALK26</f>
        <v/>
      </c>
      <c r="ALL28" s="30">
        <f>ALL12+ALL24-ALL18-ALL26</f>
        <v/>
      </c>
      <c r="ALM28" s="30">
        <f>ALM12+ALM24-ALM18-ALM26</f>
        <v/>
      </c>
      <c r="ALN28" s="30">
        <f>ALN12+ALN24-ALN18-ALN26</f>
        <v/>
      </c>
      <c r="ALO28" s="30">
        <f>ALO12+ALO24-ALO18-ALO26</f>
        <v/>
      </c>
      <c r="ALP28" s="30">
        <f>ALP12+ALP24-ALP18-ALP26</f>
        <v/>
      </c>
      <c r="ALQ28" s="30">
        <f>ALQ12+ALQ24-ALQ18-ALQ26</f>
        <v/>
      </c>
      <c r="ALR28" s="30">
        <f>ALR12+ALR24-ALR18-ALR26</f>
        <v/>
      </c>
      <c r="ALS28" s="30">
        <f>ALS12+ALS24-ALS18-ALS26</f>
        <v/>
      </c>
      <c r="ALT28" s="127">
        <f>SUM(AKO28:ALS28)</f>
        <v/>
      </c>
      <c r="ALU28" s="30">
        <f>ALU12+ALU24-ALU18-ALU26</f>
        <v/>
      </c>
      <c r="ALV28" s="30">
        <f>ALV12+ALV24-ALV18-ALV26</f>
        <v/>
      </c>
      <c r="ALW28" s="30">
        <f>ALW12+ALW24-ALW18-ALW26</f>
        <v/>
      </c>
      <c r="ALX28" s="30">
        <f>ALX12+ALX24-ALX18-ALX26</f>
        <v/>
      </c>
      <c r="ALY28" s="30">
        <f>ALY12+ALY24-ALY18-ALY26</f>
        <v/>
      </c>
      <c r="ALZ28" s="30">
        <f>ALZ12+ALZ24-ALZ18-ALZ26</f>
        <v/>
      </c>
      <c r="AMA28" s="30">
        <f>AMA12+AMA24-AMA18-AMA26</f>
        <v/>
      </c>
      <c r="AMB28" s="30">
        <f>AMB12+AMB24-AMB18-AMB26</f>
        <v/>
      </c>
      <c r="AMC28" s="30">
        <f>AMC12+AMC24-AMC18-AMC26</f>
        <v/>
      </c>
      <c r="AMD28" s="30">
        <f>AMD12+AMD24-AMD18-AMD26</f>
        <v/>
      </c>
      <c r="AME28" s="30">
        <f>AME12+AME24-AME18-AME26</f>
        <v/>
      </c>
      <c r="AMF28" s="30">
        <f>AMF12+AMF24-AMF18-AMF26</f>
        <v/>
      </c>
      <c r="AMG28" s="30">
        <f>AMG12+AMG24-AMG18-AMG26</f>
        <v/>
      </c>
      <c r="AMH28" s="30">
        <f>AMH12+AMH24-AMH18-AMH26</f>
        <v/>
      </c>
      <c r="AMI28" s="30">
        <f>AMI12+AMI24-AMI18-AMI26</f>
        <v/>
      </c>
      <c r="AMJ28" s="30">
        <f>AMJ12+AMJ24-AMJ18-AMJ26</f>
        <v/>
      </c>
      <c r="AMK28" s="30">
        <f>AMK12+AMK24-AMK18-AMK26</f>
        <v/>
      </c>
      <c r="AML28" s="30">
        <f>AML12+AML24-AML18-AML26</f>
        <v/>
      </c>
      <c r="AMM28" s="30">
        <f>AMM12+AMM24-AMM18-AMM26</f>
        <v/>
      </c>
      <c r="AMN28" s="30">
        <f>AMN12+AMN24-AMN18-AMN26</f>
        <v/>
      </c>
      <c r="AMO28" s="30">
        <f>AMO12+AMO24-AMO18-AMO26</f>
        <v/>
      </c>
      <c r="AMP28" s="30">
        <f>AMP12+AMP24-AMP18-AMP26</f>
        <v/>
      </c>
      <c r="AMQ28" s="30">
        <f>AMQ12+AMQ24-AMQ18-AMQ26</f>
        <v/>
      </c>
      <c r="AMR28" s="30">
        <f>AMR12+AMR24-AMR18-AMR26</f>
        <v/>
      </c>
      <c r="AMS28" s="30">
        <f>AMS12+AMS24-AMS18-AMS26</f>
        <v/>
      </c>
      <c r="AMT28" s="30">
        <f>AMT12+AMT24-AMT18-AMT26</f>
        <v/>
      </c>
      <c r="AMU28" s="30">
        <f>AMU12+AMU24-AMU18-AMU26</f>
        <v/>
      </c>
      <c r="AMV28" s="30">
        <f>AMV12+AMV24-AMV18-AMV26</f>
        <v/>
      </c>
      <c r="AMW28" s="30">
        <f>AMW12+AMW24-AMW18-AMW26</f>
        <v/>
      </c>
      <c r="AMX28" s="30">
        <f>AMX12+AMX24-AMX18-AMX26</f>
        <v/>
      </c>
      <c r="AMY28" s="127">
        <f>SUM(ALU28:AMX28)</f>
        <v/>
      </c>
      <c r="AMZ28" s="30">
        <f>AMZ12+AMZ24-AMZ18-AMZ26</f>
        <v/>
      </c>
      <c r="ANA28" s="30">
        <f>ANA12+ANA24-ANA18-ANA26</f>
        <v/>
      </c>
      <c r="ANB28" s="30">
        <f>ANB12+ANB24-ANB18-ANB26</f>
        <v/>
      </c>
      <c r="ANC28" s="30">
        <f>ANC12+ANC24-ANC18-ANC26</f>
        <v/>
      </c>
      <c r="AND28" s="30">
        <f>AND12+AND24-AND18-AND26</f>
        <v/>
      </c>
      <c r="ANE28" s="30">
        <f>ANE12+ANE24-ANE18-ANE26</f>
        <v/>
      </c>
      <c r="ANF28" s="30">
        <f>ANF12+ANF24-ANF18-ANF26</f>
        <v/>
      </c>
      <c r="ANG28" s="30">
        <f>ANG12+ANG24-ANG18-ANG26</f>
        <v/>
      </c>
      <c r="ANH28" s="30">
        <f>ANH12+ANH24-ANH18-ANH26</f>
        <v/>
      </c>
      <c r="ANI28" s="30">
        <f>ANI12+ANI24-ANI18-ANI26</f>
        <v/>
      </c>
      <c r="ANJ28" s="30">
        <f>ANJ12+ANJ24-ANJ18-ANJ26</f>
        <v/>
      </c>
      <c r="ANK28" s="30">
        <f>ANK12+ANK24-ANK18-ANK26</f>
        <v/>
      </c>
      <c r="ANL28" s="30">
        <f>ANL12+ANL24-ANL18-ANL26</f>
        <v/>
      </c>
      <c r="ANM28" s="30">
        <f>ANM12+ANM24-ANM18-ANM26</f>
        <v/>
      </c>
      <c r="ANN28" s="30">
        <f>ANN12+ANN24-ANN18-ANN26</f>
        <v/>
      </c>
      <c r="ANO28" s="30">
        <f>ANO12+ANO24-ANO18-ANO26</f>
        <v/>
      </c>
      <c r="ANP28" s="30">
        <f>ANP12+ANP24-ANP18-ANP26</f>
        <v/>
      </c>
      <c r="ANQ28" s="30">
        <f>ANQ12+ANQ24-ANQ18-ANQ26</f>
        <v/>
      </c>
      <c r="ANR28" s="30">
        <f>ANR12+ANR24-ANR18-ANR26</f>
        <v/>
      </c>
      <c r="ANS28" s="30">
        <f>ANS12+ANS24-ANS18-ANS26</f>
        <v/>
      </c>
      <c r="ANT28" s="30">
        <f>ANT12+ANT24-ANT18-ANT26</f>
        <v/>
      </c>
      <c r="ANU28" s="30">
        <f>ANU12+ANU24-ANU18-ANU26</f>
        <v/>
      </c>
      <c r="ANV28" s="30">
        <f>ANV12+ANV24-ANV18-ANV26</f>
        <v/>
      </c>
      <c r="ANW28" s="30">
        <f>ANW12+ANW24-ANW18-ANW26</f>
        <v/>
      </c>
      <c r="ANX28" s="30">
        <f>ANX12+ANX24-ANX18-ANX26</f>
        <v/>
      </c>
      <c r="ANY28" s="30">
        <f>ANY12+ANY24-ANY18-ANY26</f>
        <v/>
      </c>
      <c r="ANZ28" s="30">
        <f>ANZ12+ANZ24-ANZ18-ANZ26</f>
        <v/>
      </c>
      <c r="AOA28" s="30">
        <f>AOA12+AOA24-AOA18-AOA26</f>
        <v/>
      </c>
      <c r="AOB28" s="30">
        <f>AOB12+AOB24-AOB18-AOB26</f>
        <v/>
      </c>
      <c r="AOC28" s="30">
        <f>AOC12+AOC24-AOC18-AOC26</f>
        <v/>
      </c>
    </row>
    <row r="29">
      <c r="A29" s="77" t="inlineStr">
        <is>
          <t>BANKING AS PER THE STTAION</t>
        </is>
      </c>
      <c r="B29" s="77" t="n"/>
      <c r="C29" s="12" t="n"/>
      <c r="D29" s="12" t="n"/>
      <c r="E29" s="12" t="n"/>
      <c r="F29" s="12" t="n"/>
      <c r="G29" s="12" t="n">
        <v>14175000</v>
      </c>
      <c r="H29" s="12" t="n">
        <v>12440000</v>
      </c>
      <c r="I29" s="12" t="n">
        <v>13890000</v>
      </c>
      <c r="J29" s="12" t="n">
        <v>10970000</v>
      </c>
      <c r="K29" s="12" t="n">
        <v>8865000</v>
      </c>
      <c r="L29" s="12" t="n">
        <v>12139000</v>
      </c>
      <c r="M29" s="12" t="n">
        <v>11308000</v>
      </c>
      <c r="N29" s="12" t="n">
        <v>12997000</v>
      </c>
      <c r="O29" s="12" t="n">
        <v>12787000</v>
      </c>
      <c r="P29" s="12" t="n">
        <v>14044000</v>
      </c>
      <c r="Q29" s="12" t="n">
        <v>11548000</v>
      </c>
      <c r="R29" s="12" t="n">
        <v>13030000</v>
      </c>
      <c r="S29" s="12" t="n">
        <v>12646000</v>
      </c>
      <c r="T29" s="12" t="n">
        <v>14458000</v>
      </c>
      <c r="U29" s="12" t="n">
        <v>11715000</v>
      </c>
      <c r="V29" s="12" t="n">
        <v>12600000</v>
      </c>
      <c r="W29" s="12" t="n">
        <v>10272000</v>
      </c>
      <c r="X29" s="12" t="n">
        <v>12062000</v>
      </c>
      <c r="Y29" s="12" t="n">
        <v>10314000</v>
      </c>
      <c r="Z29" s="12" t="n">
        <v>11277000</v>
      </c>
      <c r="AA29" s="12" t="n">
        <v>14775000</v>
      </c>
      <c r="AB29" s="12" t="n">
        <v>16299000</v>
      </c>
      <c r="AC29" s="12" t="n">
        <v>11350000</v>
      </c>
      <c r="AD29" s="12" t="n">
        <v>12866000</v>
      </c>
      <c r="AE29" s="12" t="n">
        <v>13061000</v>
      </c>
      <c r="AF29" s="12" t="n">
        <v>14231000</v>
      </c>
      <c r="AG29" s="12" t="n">
        <v>15245000</v>
      </c>
      <c r="AH29" s="94">
        <f>SUM(C29:AG29)</f>
        <v/>
      </c>
      <c r="AI29" s="12" t="n">
        <v>17181000</v>
      </c>
      <c r="AJ29" s="12" t="n">
        <v>17509000</v>
      </c>
      <c r="AK29" s="12" t="n">
        <v>15246000</v>
      </c>
      <c r="AL29" s="12" t="n">
        <v>12739000</v>
      </c>
      <c r="AM29" s="12" t="n">
        <v>15447000</v>
      </c>
      <c r="AN29" s="12" t="n">
        <v>8783000</v>
      </c>
      <c r="AO29" s="12" t="n">
        <v>16467000</v>
      </c>
      <c r="AP29" s="12" t="n">
        <v>19822000</v>
      </c>
      <c r="AQ29" s="12" t="n">
        <v>15782000</v>
      </c>
      <c r="AR29" s="12" t="n">
        <v>13794000</v>
      </c>
      <c r="AS29" s="12" t="n">
        <v>14977000</v>
      </c>
      <c r="AT29" s="12" t="n">
        <v>12993000</v>
      </c>
      <c r="AU29" s="12" t="n">
        <v>12466000</v>
      </c>
      <c r="AV29" s="12" t="n">
        <v>12198000</v>
      </c>
      <c r="AW29" s="12" t="n">
        <v>13081000</v>
      </c>
      <c r="AX29" s="12" t="n">
        <v>13507000</v>
      </c>
      <c r="AY29" s="12" t="n">
        <v>12821000</v>
      </c>
      <c r="AZ29" s="12" t="n">
        <v>13420000</v>
      </c>
      <c r="BA29" s="12" t="n">
        <v>11922000</v>
      </c>
      <c r="BB29" s="12" t="n">
        <v>12286000</v>
      </c>
      <c r="BC29" s="12" t="n">
        <v>12948000</v>
      </c>
      <c r="BD29" s="12" t="n">
        <v>15147000</v>
      </c>
      <c r="BE29" s="12" t="n">
        <v>15345000</v>
      </c>
      <c r="BF29" s="12" t="n">
        <v>12493000</v>
      </c>
      <c r="BG29" s="12" t="n">
        <v>13342000</v>
      </c>
      <c r="BH29" s="12" t="n">
        <v>12456000</v>
      </c>
      <c r="BI29" s="12" t="n">
        <v>13911000</v>
      </c>
      <c r="BJ29" s="12" t="n">
        <v>12472000</v>
      </c>
      <c r="BK29" s="12" t="n">
        <v>13400000</v>
      </c>
      <c r="BL29" s="12" t="n">
        <v>13813000</v>
      </c>
      <c r="BM29" s="97">
        <f>SUM(AI29:BL29)</f>
        <v/>
      </c>
      <c r="BN29" s="12" t="n">
        <v>12117000</v>
      </c>
      <c r="BO29" s="12" t="n">
        <v>12873000</v>
      </c>
      <c r="BP29" s="12" t="n">
        <v>9297000</v>
      </c>
      <c r="BQ29" s="12" t="n">
        <v>13199000</v>
      </c>
      <c r="BR29" s="12" t="n">
        <v>12883000</v>
      </c>
      <c r="BS29" s="12" t="n">
        <v>14132000</v>
      </c>
      <c r="BT29" s="12" t="n">
        <v>11821000</v>
      </c>
      <c r="BU29" s="12" t="n">
        <v>12779000</v>
      </c>
      <c r="BV29" s="12" t="n">
        <v>11734000</v>
      </c>
      <c r="BW29" s="12" t="n">
        <v>11325000</v>
      </c>
      <c r="BX29" s="12" t="n">
        <v>11616000</v>
      </c>
      <c r="BY29" s="12" t="n">
        <v>10980000</v>
      </c>
      <c r="BZ29" s="12" t="n">
        <v>12978000</v>
      </c>
      <c r="CA29" s="12" t="n">
        <v>12025000</v>
      </c>
      <c r="CB29" s="12" t="n">
        <v>11642000</v>
      </c>
      <c r="CC29" s="12" t="n">
        <v>12116000</v>
      </c>
      <c r="CD29" s="12" t="n">
        <v>13826000</v>
      </c>
      <c r="CE29" s="12" t="n">
        <v>10493000</v>
      </c>
      <c r="CF29" s="12" t="n">
        <v>10299000</v>
      </c>
      <c r="CG29" s="12" t="n">
        <v>12586000</v>
      </c>
      <c r="CH29" s="12" t="n">
        <v>12720000</v>
      </c>
      <c r="CI29" s="12" t="n">
        <v>12908000</v>
      </c>
      <c r="CJ29" s="12" t="n">
        <v>12081000</v>
      </c>
      <c r="CK29" s="12" t="n">
        <v>13196000</v>
      </c>
      <c r="CL29" s="12" t="n">
        <v>9913000</v>
      </c>
      <c r="CM29" s="12" t="n">
        <v>10698000</v>
      </c>
      <c r="CN29" s="12" t="n">
        <v>11301000</v>
      </c>
      <c r="CO29" s="12" t="n">
        <v>14194000</v>
      </c>
      <c r="CP29" s="12" t="n">
        <v>12437000</v>
      </c>
      <c r="CQ29" s="12" t="n">
        <v>12291000</v>
      </c>
      <c r="CR29" s="12" t="n">
        <v>12167000</v>
      </c>
      <c r="CS29" s="111">
        <f>SUM(BN29:CR29)</f>
        <v/>
      </c>
      <c r="CT29" s="12" t="n">
        <v>12855000</v>
      </c>
      <c r="CU29" s="12" t="n">
        <v>10748000</v>
      </c>
      <c r="CV29" s="12" t="n">
        <v>10833000</v>
      </c>
      <c r="CW29" s="12" t="n">
        <v>18666000</v>
      </c>
      <c r="CX29" s="12" t="n">
        <v>14386000</v>
      </c>
      <c r="CY29" s="12" t="n">
        <v>11913000</v>
      </c>
      <c r="CZ29" s="12" t="n">
        <v>11275000</v>
      </c>
      <c r="DA29" s="12" t="n">
        <v>14633000</v>
      </c>
      <c r="DB29" s="12" t="n">
        <v>12327000</v>
      </c>
      <c r="DC29" s="12" t="n">
        <v>13583000</v>
      </c>
      <c r="DD29" s="12" t="n">
        <v>15452000</v>
      </c>
      <c r="DE29" s="12" t="n">
        <v>11696000</v>
      </c>
      <c r="DF29" s="12" t="n">
        <v>9439000</v>
      </c>
      <c r="DG29" s="12" t="n">
        <v>13029000</v>
      </c>
      <c r="DH29" s="12" t="n">
        <v>10375000</v>
      </c>
      <c r="DI29" s="12" t="n">
        <v>8679000</v>
      </c>
      <c r="DJ29" s="12" t="n">
        <v>9956000</v>
      </c>
      <c r="DK29" s="12" t="n">
        <v>13153000</v>
      </c>
      <c r="DL29" s="12" t="n">
        <v>9538000</v>
      </c>
      <c r="DM29" s="12" t="n">
        <v>12050000</v>
      </c>
      <c r="DN29" s="12" t="n">
        <v>9748000</v>
      </c>
      <c r="DO29" s="12" t="n">
        <v>12075000</v>
      </c>
      <c r="DP29" s="12" t="n">
        <v>10954000</v>
      </c>
      <c r="DQ29" s="12" t="n">
        <v>13235000</v>
      </c>
      <c r="DR29" s="12" t="n">
        <v>12484000</v>
      </c>
      <c r="DS29" s="12" t="n">
        <v>11834000</v>
      </c>
      <c r="DT29" s="12" t="n">
        <v>7756000</v>
      </c>
      <c r="DU29" s="12" t="n">
        <v>10985000</v>
      </c>
      <c r="DV29" s="12" t="n">
        <v>11877000</v>
      </c>
      <c r="DW29" s="12" t="n">
        <v>12246000</v>
      </c>
      <c r="DX29" s="119">
        <f>SUM(CT29:DW29)</f>
        <v/>
      </c>
      <c r="DY29" s="12" t="n">
        <v>11460000</v>
      </c>
      <c r="DZ29" s="12" t="n">
        <v>11577000</v>
      </c>
      <c r="EA29" s="12" t="n">
        <v>10711000</v>
      </c>
      <c r="EB29" s="12" t="n">
        <v>9586000</v>
      </c>
      <c r="EC29" s="12" t="n">
        <v>10322000</v>
      </c>
      <c r="ED29" s="12" t="n">
        <v>12058000</v>
      </c>
      <c r="EE29" s="12" t="n">
        <v>12958000</v>
      </c>
      <c r="EF29" s="12" t="n">
        <v>13866000</v>
      </c>
      <c r="EG29" s="12" t="n">
        <v>15017000</v>
      </c>
      <c r="EH29" s="12" t="n">
        <v>12583000</v>
      </c>
      <c r="EI29" s="12" t="n">
        <v>11145000</v>
      </c>
      <c r="EJ29" s="12" t="n">
        <v>13158000</v>
      </c>
      <c r="EK29" s="12" t="n">
        <v>11877000</v>
      </c>
      <c r="EL29" s="12" t="n">
        <v>14577000</v>
      </c>
      <c r="EM29" s="12" t="n">
        <v>14327000</v>
      </c>
      <c r="EN29" s="12" t="n">
        <v>15057000</v>
      </c>
      <c r="EO29" s="12" t="n">
        <v>13543000</v>
      </c>
      <c r="EP29" s="12" t="n">
        <v>14814000</v>
      </c>
      <c r="EQ29" s="12" t="n">
        <v>12151000</v>
      </c>
      <c r="ER29" s="12" t="n">
        <v>15818000</v>
      </c>
      <c r="ES29" s="12" t="n">
        <v>16039000</v>
      </c>
      <c r="ET29" s="12" t="n">
        <v>20165000</v>
      </c>
      <c r="EU29" s="12" t="n">
        <v>21037000</v>
      </c>
      <c r="EV29" s="12" t="n">
        <v>17008000</v>
      </c>
      <c r="EW29" s="12" t="n">
        <v>9268000</v>
      </c>
      <c r="EX29" s="12" t="n">
        <v>10733000</v>
      </c>
      <c r="EY29" s="12" t="n">
        <v>11797000</v>
      </c>
      <c r="EZ29" s="12" t="n">
        <v>10595000</v>
      </c>
      <c r="FA29" s="12" t="n">
        <v>11609000</v>
      </c>
      <c r="FB29" s="12" t="n">
        <v>13000000</v>
      </c>
      <c r="FC29" s="12" t="n">
        <v>13170000</v>
      </c>
      <c r="FD29" s="128">
        <f>SUM(DY29:FC29)</f>
        <v/>
      </c>
      <c r="FE29" s="12" t="n">
        <v>12062000</v>
      </c>
      <c r="FF29" s="12" t="n">
        <v>11292000</v>
      </c>
      <c r="FG29" s="12" t="n">
        <v>10814000</v>
      </c>
      <c r="FH29" s="12" t="n">
        <v>11507000</v>
      </c>
      <c r="FI29" s="12" t="n">
        <v>14246000</v>
      </c>
      <c r="FJ29" s="12" t="n">
        <v>13429000</v>
      </c>
      <c r="FK29" s="12" t="n">
        <v>12405000</v>
      </c>
      <c r="FL29" s="12" t="n">
        <v>12100000</v>
      </c>
      <c r="FM29" s="12" t="n">
        <v>13632000</v>
      </c>
      <c r="FN29" s="12" t="n">
        <v>10089000</v>
      </c>
      <c r="FO29" s="12" t="n">
        <v>11681000</v>
      </c>
      <c r="FP29" s="12" t="n">
        <v>13195000</v>
      </c>
      <c r="FQ29" s="12" t="n">
        <v>12793000</v>
      </c>
      <c r="FR29" s="12" t="n">
        <v>12291000</v>
      </c>
      <c r="FS29" s="12" t="n">
        <v>11280000</v>
      </c>
      <c r="FT29" s="12" t="n">
        <v>13145000</v>
      </c>
      <c r="FU29" s="12" t="n">
        <v>9949000</v>
      </c>
      <c r="FV29" s="12" t="n">
        <v>10830000</v>
      </c>
      <c r="FW29" s="12" t="n">
        <v>14911000</v>
      </c>
      <c r="FX29" s="12" t="n">
        <v>15756000</v>
      </c>
      <c r="FY29" s="12" t="n">
        <v>12178000</v>
      </c>
      <c r="FZ29" s="12" t="n">
        <v>11773000</v>
      </c>
      <c r="GA29" s="12" t="n">
        <v>12320000</v>
      </c>
      <c r="GB29" s="12" t="n">
        <v>10643000</v>
      </c>
      <c r="GC29" s="12" t="n">
        <v>13362000</v>
      </c>
      <c r="GD29" s="12" t="n">
        <v>12570000</v>
      </c>
      <c r="GE29" s="12" t="n">
        <v>11807000</v>
      </c>
      <c r="GF29" s="12" t="n">
        <v>11510000</v>
      </c>
      <c r="GG29" s="12" t="n">
        <v>14436000</v>
      </c>
      <c r="GH29" s="12" t="n">
        <v>12821000</v>
      </c>
      <c r="GI29" s="12" t="n">
        <v>10395000</v>
      </c>
      <c r="GJ29" s="127">
        <f>SUM(FE29:GI29)</f>
        <v/>
      </c>
      <c r="GK29" s="12" t="n">
        <v>11409000</v>
      </c>
      <c r="GL29" s="12" t="n">
        <v>12982000</v>
      </c>
      <c r="GM29" s="12" t="n">
        <v>16727000</v>
      </c>
      <c r="GN29" s="12" t="n">
        <v>13751000</v>
      </c>
      <c r="GO29" s="12" t="n">
        <v>10733000</v>
      </c>
      <c r="GP29" s="12" t="n">
        <v>11424000</v>
      </c>
      <c r="GQ29" s="12" t="n">
        <v>13808000</v>
      </c>
      <c r="GR29" s="12" t="n">
        <v>12252000</v>
      </c>
      <c r="GS29" s="12" t="n">
        <v>11992000</v>
      </c>
      <c r="GT29" s="12" t="n">
        <v>12002000</v>
      </c>
      <c r="GU29" s="12" t="n">
        <v>11556000</v>
      </c>
      <c r="GV29" s="12" t="n">
        <v>13642000</v>
      </c>
      <c r="GW29" s="12" t="n">
        <v>13487000</v>
      </c>
      <c r="GX29" s="12" t="n">
        <v>11699000</v>
      </c>
      <c r="GY29" s="12" t="n">
        <v>11277000</v>
      </c>
      <c r="GZ29" s="12" t="n">
        <v>13081000</v>
      </c>
      <c r="HA29" s="12" t="n">
        <v>12533000</v>
      </c>
      <c r="HB29" s="12" t="n">
        <v>11555000</v>
      </c>
      <c r="HC29" s="12" t="n">
        <v>12074000</v>
      </c>
      <c r="HD29" s="12" t="n">
        <v>10799000</v>
      </c>
      <c r="HE29" s="12" t="n">
        <v>11511000</v>
      </c>
      <c r="HF29" s="12" t="n">
        <v>13270000</v>
      </c>
      <c r="HG29" s="12" t="n">
        <v>11616000</v>
      </c>
      <c r="HH29" s="12" t="n">
        <v>13705000</v>
      </c>
      <c r="HI29" s="12" t="n">
        <v>10618000</v>
      </c>
      <c r="HJ29" s="12" t="n">
        <v>13208000</v>
      </c>
      <c r="HK29" s="12" t="n">
        <v>12139000</v>
      </c>
      <c r="HL29" s="12" t="n">
        <v>9754000</v>
      </c>
      <c r="HM29" s="12" t="n">
        <v>12642000</v>
      </c>
      <c r="HN29" s="127">
        <f>SUM(GK29:HM29)</f>
        <v/>
      </c>
      <c r="HO29" s="12" t="n">
        <v>12764000</v>
      </c>
      <c r="HP29" s="12" t="n">
        <v>14724000</v>
      </c>
      <c r="HQ29" s="12" t="n">
        <v>14219000</v>
      </c>
      <c r="HR29" s="12" t="n">
        <v>10200000</v>
      </c>
      <c r="HS29" s="12" t="n">
        <v>11437000</v>
      </c>
      <c r="HT29" s="12" t="n">
        <v>14282000</v>
      </c>
      <c r="HU29" s="12" t="n">
        <v>15205000</v>
      </c>
      <c r="HV29" s="12" t="n">
        <v>12081000</v>
      </c>
      <c r="HW29" s="12" t="n">
        <v>12584000</v>
      </c>
      <c r="HX29" s="12" t="n">
        <v>12817000</v>
      </c>
      <c r="HY29" s="12" t="n">
        <v>13368000</v>
      </c>
      <c r="HZ29" s="12" t="n">
        <v>12583000</v>
      </c>
      <c r="IA29" s="12" t="n">
        <v>10460000</v>
      </c>
      <c r="IB29" s="12" t="n">
        <v>10967000</v>
      </c>
      <c r="IC29" s="12" t="n">
        <v>11681000</v>
      </c>
      <c r="ID29" s="12" t="n">
        <v>11829000</v>
      </c>
      <c r="IE29" s="12" t="n">
        <v>12195000</v>
      </c>
      <c r="IF29" s="12" t="n">
        <v>13583000</v>
      </c>
      <c r="IG29" s="12" t="n">
        <v>11495000</v>
      </c>
      <c r="IH29" s="12" t="n">
        <v>11369000</v>
      </c>
      <c r="II29" s="12" t="n">
        <v>10694000</v>
      </c>
      <c r="IJ29" s="12" t="n">
        <v>13436000</v>
      </c>
      <c r="IK29" s="12" t="n">
        <v>14183000</v>
      </c>
      <c r="IL29" s="12" t="n">
        <v>11260000</v>
      </c>
      <c r="IM29" s="12" t="n">
        <v>11737000</v>
      </c>
      <c r="IN29" s="12" t="n">
        <v>11561000</v>
      </c>
      <c r="IO29" s="12" t="n">
        <v>13263000</v>
      </c>
      <c r="IP29" s="12" t="n">
        <v>12722000</v>
      </c>
      <c r="IQ29" s="12" t="n">
        <v>13075000</v>
      </c>
      <c r="IR29" s="12" t="n">
        <v>11447000</v>
      </c>
      <c r="IS29" s="12" t="n">
        <v>9604000</v>
      </c>
      <c r="IT29" s="127">
        <f>SUM(HO29:IS29)</f>
        <v/>
      </c>
      <c r="IU29" s="12" t="n">
        <v>9934000</v>
      </c>
      <c r="IV29" s="12" t="n">
        <v>11323000</v>
      </c>
      <c r="IW29" s="12" t="n">
        <v>10298000</v>
      </c>
      <c r="IX29" s="12" t="n">
        <v>10701000</v>
      </c>
      <c r="IY29" s="12" t="n">
        <v>12263000</v>
      </c>
      <c r="IZ29" s="12" t="n">
        <v>11396000</v>
      </c>
      <c r="JA29" s="12" t="n">
        <v>9705000</v>
      </c>
      <c r="JB29" s="12" t="n">
        <v>11507000</v>
      </c>
      <c r="JC29" s="12" t="n">
        <v>10559000</v>
      </c>
      <c r="JD29" s="12" t="n">
        <v>12979000</v>
      </c>
      <c r="JE29" s="12" t="n">
        <v>10677000</v>
      </c>
      <c r="JF29" s="12" t="n">
        <v>11433000</v>
      </c>
      <c r="JG29" s="12" t="n">
        <v>9800000</v>
      </c>
      <c r="JH29" s="12" t="n">
        <v>8648000</v>
      </c>
      <c r="JI29" s="12" t="n">
        <v>13086000</v>
      </c>
      <c r="JJ29" s="12" t="n">
        <v>10986000</v>
      </c>
      <c r="JK29" s="12" t="n">
        <v>10718000</v>
      </c>
      <c r="JL29" s="12" t="n">
        <v>10860000</v>
      </c>
      <c r="JM29" s="12" t="n">
        <v>11476000</v>
      </c>
      <c r="JN29" s="12" t="n">
        <v>12436000</v>
      </c>
      <c r="JO29" s="12" t="n">
        <v>8859000</v>
      </c>
      <c r="JP29" s="12" t="n">
        <v>8487000</v>
      </c>
      <c r="JQ29" s="12" t="n">
        <v>10169000</v>
      </c>
      <c r="JR29" s="12" t="n">
        <v>11127000</v>
      </c>
      <c r="JS29" s="12" t="n">
        <v>10642000</v>
      </c>
      <c r="JT29" s="12" t="n">
        <v>12208000</v>
      </c>
      <c r="JU29" s="12" t="n">
        <v>12103000</v>
      </c>
      <c r="JV29" s="12" t="n">
        <v>11764000</v>
      </c>
      <c r="JW29" s="12" t="n">
        <v>9113000</v>
      </c>
      <c r="JX29" s="12" t="n">
        <v>11153000</v>
      </c>
      <c r="JY29" s="127">
        <f>SUM(IU29:JX29)</f>
        <v/>
      </c>
      <c r="JZ29" s="12" t="n">
        <v>9995000</v>
      </c>
      <c r="KA29" s="12" t="n">
        <v>11392000</v>
      </c>
      <c r="KB29" s="12" t="n">
        <v>9919000</v>
      </c>
      <c r="KC29" s="12" t="n">
        <v>11031000</v>
      </c>
      <c r="KD29" s="12" t="n">
        <v>12229000</v>
      </c>
      <c r="KE29" s="12" t="n">
        <v>10716000</v>
      </c>
      <c r="KF29" s="12" t="n">
        <v>8765000</v>
      </c>
      <c r="KG29" s="12" t="n">
        <v>10572000</v>
      </c>
      <c r="KH29" s="12" t="n">
        <v>12319000</v>
      </c>
      <c r="KI29" s="12" t="n">
        <v>12160000</v>
      </c>
      <c r="KJ29" s="12" t="n">
        <v>13769000</v>
      </c>
      <c r="KK29" s="12" t="n">
        <v>11632000</v>
      </c>
      <c r="KL29" s="12" t="n">
        <v>10496000</v>
      </c>
      <c r="KM29" s="12" t="n">
        <v>10789000</v>
      </c>
      <c r="KN29" s="12" t="n">
        <v>9836000</v>
      </c>
      <c r="KO29" s="12" t="n">
        <v>8588000</v>
      </c>
      <c r="KP29" s="12" t="n">
        <v>13480000</v>
      </c>
      <c r="KQ29" s="12" t="n">
        <v>12056000</v>
      </c>
      <c r="KR29" s="12" t="n">
        <v>11454000</v>
      </c>
      <c r="KS29" s="12" t="n">
        <v>12516000</v>
      </c>
      <c r="KT29" s="12" t="n">
        <v>10223000</v>
      </c>
      <c r="KU29" s="12" t="n">
        <v>10259000</v>
      </c>
      <c r="KV29" s="12" t="n">
        <v>13700000</v>
      </c>
      <c r="KW29" s="12" t="n">
        <v>13176000</v>
      </c>
      <c r="KX29" s="12" t="n">
        <v>11690000</v>
      </c>
      <c r="KY29" s="12" t="n">
        <v>11995000</v>
      </c>
      <c r="KZ29" s="12" t="n">
        <v>11089000</v>
      </c>
      <c r="LA29" s="12" t="n">
        <v>12133000</v>
      </c>
      <c r="LB29" s="12" t="n">
        <v>12260000</v>
      </c>
      <c r="LC29" s="12" t="n">
        <v>9658000</v>
      </c>
      <c r="LD29" s="12" t="n">
        <v>14879000</v>
      </c>
      <c r="LE29" s="127">
        <f>SUM(KA29:LD29)</f>
        <v/>
      </c>
      <c r="LF29" s="12" t="n">
        <v>13748000</v>
      </c>
      <c r="LG29" s="12" t="n">
        <v>11843000</v>
      </c>
      <c r="LH29" s="12" t="n">
        <v>13035000</v>
      </c>
      <c r="LI29" s="12" t="n">
        <v>13453000</v>
      </c>
      <c r="LJ29" s="12" t="n">
        <v>12657000</v>
      </c>
      <c r="LK29" s="12" t="n">
        <v>12168000</v>
      </c>
      <c r="LL29" s="12" t="n">
        <v>14268000</v>
      </c>
      <c r="LM29" s="12" t="n">
        <v>15733000</v>
      </c>
      <c r="LN29" s="12" t="n">
        <v>13556000</v>
      </c>
      <c r="LO29" s="12" t="n">
        <v>14297000</v>
      </c>
      <c r="LP29" s="12" t="n">
        <v>12044000</v>
      </c>
      <c r="LQ29" s="12" t="n">
        <v>12840000</v>
      </c>
      <c r="LR29" s="12" t="n">
        <v>13365000</v>
      </c>
      <c r="LS29" s="12" t="n">
        <v>14851000</v>
      </c>
      <c r="LT29" s="12" t="n">
        <v>14552000</v>
      </c>
      <c r="LU29" s="12" t="n">
        <v>13255000</v>
      </c>
      <c r="LV29" s="12" t="n">
        <v>11001000</v>
      </c>
      <c r="LW29" s="12" t="n">
        <v>10754000</v>
      </c>
      <c r="LX29" s="12" t="n">
        <v>11929000</v>
      </c>
      <c r="LY29" s="12" t="n">
        <v>13301000</v>
      </c>
      <c r="LZ29" s="12" t="n">
        <v>11160000</v>
      </c>
      <c r="MA29" s="12" t="n">
        <v>13741000</v>
      </c>
      <c r="MB29" s="12" t="n">
        <v>13008000</v>
      </c>
      <c r="MC29" s="12" t="n">
        <v>13331000</v>
      </c>
      <c r="MD29" s="12" t="n">
        <v>12894000</v>
      </c>
      <c r="ME29" s="12" t="n">
        <v>12041000</v>
      </c>
      <c r="MF29" s="12" t="n">
        <v>12715000</v>
      </c>
      <c r="MG29" s="12" t="n">
        <v>10515000</v>
      </c>
      <c r="MH29" s="12" t="n">
        <v>13633000</v>
      </c>
      <c r="MI29" s="12" t="n">
        <v>12382000</v>
      </c>
      <c r="MJ29" s="127">
        <f>SUM(LF29:MI29)</f>
        <v/>
      </c>
      <c r="MK29" s="12" t="n">
        <v>12905000</v>
      </c>
      <c r="ML29" s="12" t="n">
        <v>11384000</v>
      </c>
      <c r="MM29" s="12" t="n">
        <v>8244000</v>
      </c>
      <c r="MN29" s="12" t="n">
        <v>12700000</v>
      </c>
      <c r="MO29" s="12" t="n">
        <v>12825000</v>
      </c>
      <c r="MP29" s="12" t="n">
        <v>11935000</v>
      </c>
      <c r="MQ29" s="12" t="n">
        <v>13984000</v>
      </c>
      <c r="MR29" s="12" t="n">
        <v>11184000</v>
      </c>
      <c r="MS29" s="12" t="n">
        <v>10843000</v>
      </c>
      <c r="MT29" s="12" t="n">
        <v>8055000</v>
      </c>
      <c r="MU29" s="12" t="n">
        <v>10519000</v>
      </c>
      <c r="MV29" s="12" t="n">
        <v>10877000</v>
      </c>
      <c r="MW29" s="12" t="n">
        <v>13624000</v>
      </c>
      <c r="MX29" s="12" t="n">
        <v>10356000</v>
      </c>
      <c r="MY29" s="12" t="n">
        <v>10715000</v>
      </c>
      <c r="MZ29" s="12" t="n">
        <v>12695000</v>
      </c>
      <c r="NA29" s="12" t="n">
        <v>11678000</v>
      </c>
      <c r="NB29" s="12" t="n">
        <v>12688000</v>
      </c>
      <c r="NC29" s="12" t="n">
        <v>12543000</v>
      </c>
      <c r="ND29" s="12" t="n">
        <v>13315000</v>
      </c>
      <c r="NE29" s="12" t="n">
        <v>8806000</v>
      </c>
      <c r="NF29" s="12" t="n">
        <v>10136000</v>
      </c>
      <c r="NG29" s="12" t="n">
        <v>9113000</v>
      </c>
      <c r="NH29" s="12" t="n">
        <v>10128000</v>
      </c>
      <c r="NI29" s="12" t="n">
        <v>11446000</v>
      </c>
      <c r="NJ29" s="12" t="n">
        <v>11864000</v>
      </c>
      <c r="NK29" s="12" t="n">
        <v>12735000</v>
      </c>
      <c r="NL29" s="12" t="n">
        <v>11076000</v>
      </c>
      <c r="NM29" s="12" t="n">
        <v>11808000</v>
      </c>
      <c r="NN29" s="12" t="n">
        <v>11037000</v>
      </c>
      <c r="NO29" s="12" t="n">
        <v>9399000</v>
      </c>
      <c r="NP29" s="127">
        <f>SUM(ML29:NO29)</f>
        <v/>
      </c>
      <c r="NQ29" s="12" t="n">
        <v>11444000</v>
      </c>
      <c r="NR29" s="12" t="n">
        <v>8416000</v>
      </c>
      <c r="NS29" s="12" t="n">
        <v>10327000</v>
      </c>
      <c r="NT29" s="12" t="n">
        <v>9624000</v>
      </c>
      <c r="NU29" s="12" t="n">
        <v>11128000</v>
      </c>
      <c r="NV29" s="12" t="n">
        <v>13273000</v>
      </c>
      <c r="NW29" s="12" t="n">
        <v>11357000</v>
      </c>
      <c r="NX29" s="12" t="n">
        <v>11293000</v>
      </c>
      <c r="NY29" s="12" t="n">
        <v>11262000</v>
      </c>
      <c r="NZ29" s="12" t="n">
        <v>12364000</v>
      </c>
      <c r="OA29" s="12" t="n">
        <v>11028000</v>
      </c>
      <c r="OB29" s="12" t="n">
        <v>9837000</v>
      </c>
      <c r="OC29" s="12" t="n">
        <v>12711000</v>
      </c>
      <c r="OD29" s="12" t="n">
        <v>12147000</v>
      </c>
      <c r="OE29" s="12" t="n">
        <v>12256000</v>
      </c>
      <c r="OF29" s="12" t="n">
        <v>11085000</v>
      </c>
      <c r="OG29" s="12" t="n">
        <v>12050000</v>
      </c>
      <c r="OH29" s="12" t="n">
        <v>12219000</v>
      </c>
      <c r="OI29" s="12" t="n">
        <v>13874000</v>
      </c>
      <c r="OJ29" s="12" t="n">
        <v>12145000</v>
      </c>
      <c r="OK29" s="12" t="n">
        <v>11019000</v>
      </c>
      <c r="OL29" s="12" t="n">
        <v>14539000</v>
      </c>
      <c r="OM29" s="12" t="n">
        <v>13768000</v>
      </c>
      <c r="ON29" s="12" t="n">
        <v>13888000</v>
      </c>
      <c r="OO29" s="12" t="n">
        <v>10316000</v>
      </c>
      <c r="OP29" s="12" t="n">
        <v>10535000</v>
      </c>
      <c r="OQ29" s="12" t="n">
        <v>11146000</v>
      </c>
      <c r="OR29" s="12" t="n">
        <v>11583000</v>
      </c>
      <c r="OS29" s="12" t="n">
        <v>12308000</v>
      </c>
      <c r="OT29" s="12" t="n">
        <v>12863000</v>
      </c>
      <c r="OU29" s="12" t="n">
        <v>13900000</v>
      </c>
      <c r="OV29" s="127">
        <f>SUM(NR29:OU29)</f>
        <v/>
      </c>
      <c r="OW29" s="12" t="n">
        <v>11205000</v>
      </c>
      <c r="OX29" s="12" t="n">
        <v>11624000</v>
      </c>
      <c r="OY29" s="12" t="n">
        <v>11297000</v>
      </c>
      <c r="OZ29" s="12" t="n">
        <v>10076000</v>
      </c>
      <c r="PA29" s="12" t="n">
        <v>12175000</v>
      </c>
      <c r="PB29" s="12" t="n">
        <v>12658000</v>
      </c>
      <c r="PC29" s="12" t="n">
        <v>13787000</v>
      </c>
      <c r="PD29" s="12" t="n">
        <v>11475000</v>
      </c>
      <c r="PE29" s="12" t="n">
        <v>10800000</v>
      </c>
      <c r="PF29" s="12" t="n">
        <v>10283000</v>
      </c>
      <c r="PG29" s="12" t="n">
        <v>10529000</v>
      </c>
      <c r="PH29" s="12" t="n">
        <v>10719000</v>
      </c>
      <c r="PI29" s="12" t="n">
        <v>12943000</v>
      </c>
      <c r="PJ29" s="12" t="n">
        <v>14227000</v>
      </c>
      <c r="PK29" s="12" t="n">
        <v>10082000</v>
      </c>
      <c r="PL29" s="12" t="n">
        <v>12251000</v>
      </c>
      <c r="PM29" s="12" t="n">
        <v>11483000</v>
      </c>
      <c r="PN29" s="12" t="n">
        <v>8940000</v>
      </c>
      <c r="PO29" s="12" t="n">
        <v>11760000</v>
      </c>
      <c r="PP29" s="12" t="n">
        <v>9422000</v>
      </c>
      <c r="PQ29" s="12" t="n">
        <v>10401000</v>
      </c>
      <c r="PR29" s="12" t="n">
        <v>8844000</v>
      </c>
      <c r="PS29" s="12" t="n">
        <v>11924000</v>
      </c>
      <c r="PT29" s="12" t="n">
        <v>10073000</v>
      </c>
      <c r="PU29" s="12" t="n">
        <v>10037000</v>
      </c>
      <c r="PV29" s="12" t="n">
        <v>9293000</v>
      </c>
      <c r="PW29" s="12" t="n">
        <v>11840000</v>
      </c>
      <c r="PX29" s="12" t="n">
        <v>11144000</v>
      </c>
      <c r="PY29" s="12" t="n">
        <v>6018000</v>
      </c>
      <c r="PZ29" s="12" t="n">
        <v>10749000</v>
      </c>
      <c r="QA29" s="127">
        <f>SUM(OW29:PZ29)</f>
        <v/>
      </c>
      <c r="QB29" s="12" t="n">
        <v>11611000</v>
      </c>
      <c r="QC29" s="12" t="n">
        <v>7347000</v>
      </c>
      <c r="QD29" s="12" t="n">
        <v>8894000</v>
      </c>
      <c r="QE29" s="12" t="n">
        <v>12212000</v>
      </c>
      <c r="QF29" s="12" t="n">
        <v>13196000</v>
      </c>
      <c r="QG29" s="12" t="n">
        <v>8730000</v>
      </c>
      <c r="QH29" s="12" t="n">
        <v>12312000</v>
      </c>
      <c r="QI29" s="12" t="n">
        <v>11884000</v>
      </c>
      <c r="QJ29" s="12" t="n">
        <v>11884000</v>
      </c>
      <c r="QK29" s="12" t="n">
        <v>11570000</v>
      </c>
      <c r="QL29" s="12" t="n">
        <v>12834000</v>
      </c>
      <c r="QM29" s="12" t="n">
        <v>12745000</v>
      </c>
      <c r="QN29" s="12" t="n">
        <v>10369000</v>
      </c>
      <c r="QO29" s="12" t="n">
        <v>12220000</v>
      </c>
      <c r="QP29" s="12" t="n">
        <v>11432000</v>
      </c>
      <c r="QQ29" s="12" t="n">
        <v>7339000</v>
      </c>
      <c r="QR29" s="12" t="n">
        <v>10208000</v>
      </c>
      <c r="QS29" s="12" t="n">
        <v>15278000</v>
      </c>
      <c r="QT29" s="12" t="n">
        <v>9165000</v>
      </c>
      <c r="QU29" s="12" t="n">
        <v>9440000</v>
      </c>
      <c r="QV29" s="12" t="n">
        <v>10790000</v>
      </c>
      <c r="QW29" s="12" t="n">
        <v>9727000</v>
      </c>
      <c r="QX29" s="12" t="n">
        <v>10724000</v>
      </c>
      <c r="QY29" s="12" t="n">
        <v>10562000</v>
      </c>
      <c r="QZ29" s="12" t="n">
        <v>12201000</v>
      </c>
      <c r="RA29" s="12" t="n">
        <v>10064000</v>
      </c>
      <c r="RB29" s="12" t="n">
        <v>9928000</v>
      </c>
      <c r="RC29" s="12" t="n">
        <v>7744000</v>
      </c>
      <c r="RD29" s="12" t="n">
        <v>9177000</v>
      </c>
      <c r="RE29" s="12" t="n">
        <v>8320000</v>
      </c>
      <c r="RF29" s="12" t="n">
        <v>11183000</v>
      </c>
      <c r="RG29" s="127">
        <f>SUM(QC29:RF29)</f>
        <v/>
      </c>
      <c r="RH29" s="12" t="n">
        <v>11754000</v>
      </c>
      <c r="RI29" s="12" t="n">
        <v>10281000</v>
      </c>
      <c r="RJ29" s="12" t="n">
        <v>10348000</v>
      </c>
      <c r="RK29" s="12" t="n">
        <v>11085000</v>
      </c>
      <c r="RL29" s="12" t="n">
        <v>11181000</v>
      </c>
      <c r="RM29" s="12" t="n">
        <v>7853000</v>
      </c>
      <c r="RN29" s="12" t="n">
        <v>7202000</v>
      </c>
      <c r="RO29" s="12" t="n">
        <v>10817000</v>
      </c>
      <c r="RP29" s="12" t="n">
        <v>10767000</v>
      </c>
      <c r="RQ29" s="12" t="n">
        <v>10338000</v>
      </c>
      <c r="RR29" s="12" t="n">
        <v>10552000</v>
      </c>
      <c r="RS29" s="12" t="n">
        <v>7585000</v>
      </c>
      <c r="RT29" s="12" t="n">
        <v>10661000</v>
      </c>
      <c r="RU29" s="12" t="n">
        <v>9112000</v>
      </c>
      <c r="RV29" s="12" t="n">
        <v>10678000</v>
      </c>
      <c r="RW29" s="12" t="n">
        <v>9941000</v>
      </c>
      <c r="RX29" s="12" t="n">
        <v>8747000</v>
      </c>
      <c r="RY29" s="12" t="n">
        <v>8092000</v>
      </c>
      <c r="RZ29" s="12" t="n">
        <v>8608000</v>
      </c>
      <c r="SA29" s="12" t="n">
        <v>7138000</v>
      </c>
      <c r="SB29" s="12" t="n">
        <v>9098000</v>
      </c>
      <c r="SC29" s="12" t="n">
        <v>11332000</v>
      </c>
      <c r="SD29" s="12" t="n">
        <v>12219000</v>
      </c>
      <c r="SE29" s="12" t="n">
        <v>8100000</v>
      </c>
      <c r="SF29" s="12" t="n">
        <v>7957000</v>
      </c>
      <c r="SG29" s="12" t="n">
        <v>11721000</v>
      </c>
      <c r="SH29" s="12" t="n">
        <v>8794000</v>
      </c>
      <c r="SI29" s="12" t="n">
        <v>12376000</v>
      </c>
      <c r="SJ29" s="12" t="n">
        <v>11135000</v>
      </c>
      <c r="SK29" s="12" t="n">
        <v>11835000</v>
      </c>
      <c r="SL29" s="127">
        <f>SUM(RH29:SK29)</f>
        <v/>
      </c>
      <c r="SM29" s="12" t="n">
        <v>8635000</v>
      </c>
      <c r="SN29" s="12" t="n">
        <v>11505000</v>
      </c>
      <c r="SO29" s="12" t="n">
        <v>9808000</v>
      </c>
      <c r="SP29" s="12" t="n">
        <v>8193000</v>
      </c>
      <c r="SQ29" s="12" t="n">
        <v>9572000</v>
      </c>
      <c r="SR29" s="12" t="n">
        <v>11042000</v>
      </c>
      <c r="SS29" s="12" t="n">
        <v>11951000</v>
      </c>
      <c r="ST29" s="12" t="n">
        <v>11024000</v>
      </c>
      <c r="SU29" s="12" t="n">
        <v>11383000</v>
      </c>
      <c r="SV29" s="12" t="n">
        <v>10005000</v>
      </c>
      <c r="SW29" s="12" t="n">
        <v>9773000</v>
      </c>
      <c r="SX29" s="12" t="n">
        <v>9972000</v>
      </c>
      <c r="SY29" s="12" t="n">
        <v>12028000</v>
      </c>
      <c r="SZ29" s="12" t="n">
        <v>12947000</v>
      </c>
      <c r="TA29" s="12" t="n">
        <v>9085000</v>
      </c>
      <c r="TB29" s="12" t="n">
        <v>10007000</v>
      </c>
      <c r="TC29" s="12" t="n">
        <v>10032000</v>
      </c>
      <c r="TD29" s="12" t="n">
        <v>11354000</v>
      </c>
      <c r="TE29" s="12" t="n">
        <v>9584000</v>
      </c>
      <c r="TF29" s="12" t="n">
        <v>12965000</v>
      </c>
      <c r="TG29" s="12" t="n">
        <v>13251000</v>
      </c>
      <c r="TH29" s="12" t="n">
        <v>11965000</v>
      </c>
      <c r="TI29" s="12" t="n">
        <v>12663000</v>
      </c>
      <c r="TJ29" s="12" t="n">
        <v>12174000</v>
      </c>
      <c r="TK29" s="12" t="n">
        <v>8040000</v>
      </c>
      <c r="TL29" s="12" t="n">
        <v>9918000</v>
      </c>
      <c r="TM29" s="12" t="n">
        <v>9391000</v>
      </c>
      <c r="TN29" s="12" t="n">
        <v>9062000</v>
      </c>
      <c r="TO29" s="12" t="n">
        <v>8091000</v>
      </c>
      <c r="TP29" s="12" t="n">
        <v>10967000</v>
      </c>
      <c r="TQ29" s="12" t="n">
        <v>9328000</v>
      </c>
      <c r="TR29" s="127">
        <f>SUM(SN29:TQ29)</f>
        <v/>
      </c>
      <c r="TS29" s="12" t="n">
        <v>2408000</v>
      </c>
      <c r="TT29" s="12" t="n">
        <v>9691000</v>
      </c>
      <c r="TU29" s="12" t="n">
        <v>7797000</v>
      </c>
      <c r="TV29" s="12" t="n">
        <v>10334000</v>
      </c>
      <c r="TW29" s="12" t="n">
        <v>7260000</v>
      </c>
      <c r="TX29" s="12" t="n">
        <v>10835000</v>
      </c>
      <c r="TY29" s="12" t="n">
        <v>11118000</v>
      </c>
      <c r="TZ29" s="12" t="n">
        <v>9334000</v>
      </c>
      <c r="UA29" s="12" t="n">
        <v>10458000</v>
      </c>
      <c r="UB29" s="12" t="n">
        <v>9592000</v>
      </c>
      <c r="UC29" s="12" t="n">
        <v>11775000</v>
      </c>
      <c r="UD29" s="12" t="n">
        <v>9301000</v>
      </c>
      <c r="UE29" s="12" t="n">
        <v>12090000</v>
      </c>
      <c r="UF29" s="12" t="n">
        <v>8306000</v>
      </c>
      <c r="UG29" s="12" t="n">
        <v>9959000</v>
      </c>
      <c r="UH29" s="12" t="n">
        <v>9629000</v>
      </c>
      <c r="UI29" s="12" t="n">
        <v>12020000</v>
      </c>
      <c r="UJ29" s="12" t="n">
        <v>10541000</v>
      </c>
      <c r="UK29" s="12" t="n">
        <v>11296000</v>
      </c>
      <c r="UL29" s="12" t="n">
        <v>9924000</v>
      </c>
      <c r="UM29" s="12" t="n">
        <v>10034000</v>
      </c>
      <c r="UN29" s="12" t="n">
        <v>11825000</v>
      </c>
      <c r="UO29" s="12" t="n">
        <v>9681000</v>
      </c>
      <c r="UP29" s="12" t="n">
        <v>12545000</v>
      </c>
      <c r="UQ29" s="12" t="n">
        <v>11277000</v>
      </c>
      <c r="UR29" s="12" t="n">
        <v>10733000</v>
      </c>
      <c r="US29" s="12" t="n">
        <v>9142000</v>
      </c>
      <c r="UT29" s="12" t="n">
        <v>9377000</v>
      </c>
      <c r="UU29" s="12" t="n">
        <v>7067000</v>
      </c>
      <c r="UV29" s="12" t="n">
        <v>9772000</v>
      </c>
      <c r="UW29" s="12" t="n">
        <v>12505000</v>
      </c>
      <c r="UX29" s="127">
        <f>SUM(TT29:UW29)</f>
        <v/>
      </c>
      <c r="UY29" s="12" t="n">
        <v>11507000</v>
      </c>
      <c r="UZ29" s="12" t="n">
        <v>9733000</v>
      </c>
      <c r="VA29" s="12" t="n">
        <v>10252000</v>
      </c>
      <c r="VB29" s="12" t="n">
        <v>7808000</v>
      </c>
      <c r="VC29" s="12" t="n">
        <v>11058000</v>
      </c>
      <c r="VD29" s="12" t="n">
        <v>10092000</v>
      </c>
      <c r="VE29" s="12" t="n">
        <v>12523000</v>
      </c>
      <c r="VF29" s="12" t="n">
        <v>11867000</v>
      </c>
      <c r="VG29" s="12" t="n">
        <v>9529000</v>
      </c>
      <c r="VH29" s="12" t="n">
        <v>10774000</v>
      </c>
      <c r="VI29" s="12" t="n">
        <v>8215000</v>
      </c>
      <c r="VJ29" s="12" t="n">
        <v>10605000</v>
      </c>
      <c r="VK29" s="12" t="n">
        <v>11065000</v>
      </c>
      <c r="VL29" s="12" t="n">
        <v>14191000</v>
      </c>
      <c r="VM29" s="12" t="n">
        <v>9643000</v>
      </c>
      <c r="VN29" s="12" t="n">
        <v>9332000</v>
      </c>
      <c r="VO29" s="12" t="n">
        <v>11843000</v>
      </c>
      <c r="VP29" s="12" t="n">
        <v>11239000</v>
      </c>
      <c r="VQ29" s="12" t="n">
        <v>11887000</v>
      </c>
      <c r="VR29" s="12" t="n">
        <v>10647000</v>
      </c>
      <c r="VS29" s="12" t="n">
        <v>10419000</v>
      </c>
      <c r="VT29" s="12" t="n">
        <v>11657000</v>
      </c>
      <c r="VU29" s="12" t="n">
        <v>9764000</v>
      </c>
      <c r="VV29" s="12" t="n">
        <v>10760000</v>
      </c>
      <c r="VW29" s="12" t="n">
        <v>8048000</v>
      </c>
      <c r="VX29" s="12" t="n">
        <v>10038000</v>
      </c>
      <c r="VY29" s="12" t="n">
        <v>8578000</v>
      </c>
      <c r="VZ29" s="12" t="n">
        <v>10195000</v>
      </c>
      <c r="WA29" s="127">
        <f>SUM(UY29:VZ29)</f>
        <v/>
      </c>
      <c r="WB29" s="12" t="n">
        <v>12074000</v>
      </c>
      <c r="WC29" s="12" t="n">
        <v>9230000</v>
      </c>
      <c r="WD29" s="12" t="n">
        <v>7211000</v>
      </c>
      <c r="WE29" s="12" t="n">
        <v>7503000</v>
      </c>
      <c r="WF29" s="12" t="n">
        <v>8334000</v>
      </c>
      <c r="WG29" s="12" t="n">
        <v>6354000</v>
      </c>
      <c r="WH29" s="12" t="n">
        <v>9713000</v>
      </c>
      <c r="WI29" s="12" t="n">
        <v>11431000</v>
      </c>
      <c r="WJ29" s="12" t="n">
        <v>10217000</v>
      </c>
      <c r="WK29" s="12" t="n">
        <v>10438000</v>
      </c>
      <c r="WL29" s="12" t="n">
        <v>9739000</v>
      </c>
      <c r="WM29" s="12" t="n">
        <v>9227000</v>
      </c>
      <c r="WN29" s="12" t="n">
        <v>8761000</v>
      </c>
      <c r="WO29" s="12" t="n">
        <v>9734000</v>
      </c>
      <c r="WP29" s="12" t="n">
        <v>11680000</v>
      </c>
      <c r="WQ29" s="12" t="n">
        <v>7501000</v>
      </c>
      <c r="WR29" s="12" t="n">
        <v>10768000</v>
      </c>
      <c r="WS29" s="12" t="n">
        <v>10369000</v>
      </c>
      <c r="WT29" s="12" t="n">
        <v>11062000</v>
      </c>
      <c r="WU29" s="12" t="n">
        <v>10261000</v>
      </c>
      <c r="WV29" s="12" t="n">
        <v>9979000</v>
      </c>
      <c r="WW29" s="12" t="n">
        <v>9502000</v>
      </c>
      <c r="WX29" s="12" t="n">
        <v>9691000</v>
      </c>
      <c r="WY29" s="12" t="n">
        <v>10008000</v>
      </c>
      <c r="WZ29" s="12" t="n">
        <v>9157000</v>
      </c>
      <c r="XA29" s="12" t="n">
        <v>9099000</v>
      </c>
      <c r="XB29" s="12" t="n">
        <v>11054000</v>
      </c>
      <c r="XC29" s="12" t="n">
        <v>11678000</v>
      </c>
      <c r="XD29" s="12" t="n">
        <v>13785000</v>
      </c>
      <c r="XE29" s="12" t="n">
        <v>9760000</v>
      </c>
      <c r="XF29" s="12" t="n">
        <v>9804000</v>
      </c>
      <c r="XG29" s="127">
        <f>SUM(WB29:XF29)</f>
        <v/>
      </c>
      <c r="XH29" s="12" t="n">
        <v>9058000</v>
      </c>
      <c r="XI29" s="12" t="n">
        <v>9573000</v>
      </c>
      <c r="XJ29" s="12" t="n">
        <v>8768000</v>
      </c>
      <c r="XK29" s="12" t="n">
        <v>8512000</v>
      </c>
      <c r="XL29" s="12" t="n">
        <v>11993000</v>
      </c>
      <c r="XM29" s="12" t="n">
        <v>9011000</v>
      </c>
      <c r="XN29" s="12" t="n">
        <v>11618000</v>
      </c>
      <c r="XO29" s="12" t="n">
        <v>10240000</v>
      </c>
      <c r="XP29" s="12" t="n">
        <v>9317000</v>
      </c>
      <c r="XQ29" s="12" t="n">
        <v>11629000</v>
      </c>
      <c r="XR29" s="12" t="n">
        <v>9471000</v>
      </c>
      <c r="XS29" s="12" t="n">
        <v>10277000</v>
      </c>
      <c r="XT29" s="12" t="n">
        <v>9981000</v>
      </c>
      <c r="XU29" s="12" t="n">
        <v>9826000</v>
      </c>
      <c r="XV29" s="12" t="n">
        <v>10248000</v>
      </c>
      <c r="XW29" s="12" t="n">
        <v>11844000</v>
      </c>
      <c r="XX29" s="12" t="n">
        <v>10785000</v>
      </c>
      <c r="XY29" s="12" t="n">
        <v>9667000</v>
      </c>
      <c r="XZ29" s="12" t="n">
        <v>11166000</v>
      </c>
      <c r="YA29" s="12" t="n">
        <v>7571000</v>
      </c>
      <c r="YB29" s="12" t="n">
        <v>9029000</v>
      </c>
      <c r="YC29" s="12" t="n">
        <v>10494000</v>
      </c>
      <c r="YD29" s="12" t="n">
        <v>8787000</v>
      </c>
      <c r="YE29" s="12" t="n">
        <v>10280000</v>
      </c>
      <c r="YF29" s="12" t="n">
        <v>9240000</v>
      </c>
      <c r="YG29" s="12" t="n">
        <v>10746000</v>
      </c>
      <c r="YH29" s="12" t="n">
        <v>9785000</v>
      </c>
      <c r="YI29" s="12" t="n">
        <v>10102000</v>
      </c>
      <c r="YJ29" s="12" t="n">
        <v>10046000</v>
      </c>
      <c r="YK29" s="12" t="n">
        <v>9663000</v>
      </c>
      <c r="YL29" s="127">
        <f>SUM(XH29:YK29)</f>
        <v/>
      </c>
      <c r="YM29" s="12" t="n">
        <v>8103000</v>
      </c>
      <c r="YN29" s="12" t="n">
        <v>11304000</v>
      </c>
      <c r="YO29" s="12" t="n">
        <v>11123000</v>
      </c>
      <c r="YP29" s="12" t="n">
        <v>12334000</v>
      </c>
      <c r="YQ29" s="12" t="n">
        <v>11644000</v>
      </c>
      <c r="YR29" s="12" t="n">
        <v>9975000</v>
      </c>
      <c r="YS29" s="12" t="n">
        <v>9168000</v>
      </c>
      <c r="YT29" s="12" t="n">
        <v>1778000</v>
      </c>
      <c r="YU29" s="12" t="n">
        <v>8041000</v>
      </c>
      <c r="YV29" s="12" t="n">
        <v>11775000</v>
      </c>
      <c r="YW29" s="12" t="n">
        <v>8403000</v>
      </c>
      <c r="YX29" s="12" t="n">
        <v>9840000</v>
      </c>
      <c r="YY29" s="12" t="n">
        <v>9651000</v>
      </c>
      <c r="YZ29" s="12" t="n">
        <v>11280000</v>
      </c>
      <c r="ZA29" s="12" t="n">
        <v>9463000</v>
      </c>
      <c r="ZB29" s="12" t="n">
        <v>9552000</v>
      </c>
      <c r="ZC29" s="12" t="n">
        <v>12895000</v>
      </c>
      <c r="ZD29" s="12" t="n">
        <v>9994000</v>
      </c>
      <c r="ZE29" s="12" t="n">
        <v>11801000</v>
      </c>
      <c r="ZF29" s="12" t="n">
        <v>10461000</v>
      </c>
      <c r="ZG29" s="12" t="n">
        <v>10340000</v>
      </c>
      <c r="ZH29" s="12" t="n">
        <v>11864000</v>
      </c>
      <c r="ZI29" s="12" t="n">
        <v>12727000</v>
      </c>
      <c r="ZJ29" s="12" t="n">
        <v>14383000</v>
      </c>
      <c r="ZK29" s="12" t="n">
        <v>12550000</v>
      </c>
      <c r="ZL29" s="12" t="n">
        <v>11785000</v>
      </c>
      <c r="ZM29" s="12" t="n">
        <v>11749000</v>
      </c>
      <c r="ZN29" s="12" t="n">
        <v>12737000</v>
      </c>
      <c r="ZO29" s="12" t="n">
        <v>10042000</v>
      </c>
      <c r="ZP29" s="12" t="n">
        <v>12400000</v>
      </c>
      <c r="ZQ29" s="12" t="n">
        <v>13047000</v>
      </c>
      <c r="ZR29" s="127">
        <f>SUM(YM29:ZQ29)</f>
        <v/>
      </c>
      <c r="ZS29" s="12" t="n">
        <v>10273000</v>
      </c>
      <c r="ZT29" s="12" t="n">
        <v>9791000</v>
      </c>
      <c r="ZU29" s="12" t="n">
        <v>9745000</v>
      </c>
      <c r="ZV29" s="12" t="n">
        <v>9120000</v>
      </c>
      <c r="ZW29" s="12" t="n">
        <v>12086000</v>
      </c>
      <c r="ZX29" s="12" t="n">
        <v>11065000</v>
      </c>
      <c r="ZY29" s="12" t="n">
        <v>13438000</v>
      </c>
      <c r="ZZ29" s="12" t="n">
        <v>12698000</v>
      </c>
      <c r="AAA29" s="12" t="n">
        <v>10313000</v>
      </c>
      <c r="AAB29" s="12" t="n">
        <v>11678000</v>
      </c>
      <c r="AAC29" s="12" t="n">
        <v>11188000</v>
      </c>
      <c r="AAD29" s="12" t="n">
        <v>10126000</v>
      </c>
      <c r="AAE29" s="12" t="n">
        <v>13752000</v>
      </c>
      <c r="AAF29" s="12" t="n">
        <v>11819000</v>
      </c>
      <c r="AAG29" s="12" t="n">
        <v>10490000</v>
      </c>
      <c r="AAH29" s="12" t="n">
        <v>12221000</v>
      </c>
      <c r="AAI29" s="12" t="n">
        <v>11018000</v>
      </c>
      <c r="AAJ29" s="12" t="n">
        <v>13861000</v>
      </c>
      <c r="AAK29" s="12" t="n">
        <v>10169000</v>
      </c>
      <c r="AAL29" s="12" t="n">
        <v>8579000</v>
      </c>
      <c r="AAM29" s="12" t="n">
        <v>13262000</v>
      </c>
      <c r="AAN29" s="12" t="n">
        <v>7907000</v>
      </c>
      <c r="AAO29" s="12" t="n">
        <v>12382000</v>
      </c>
      <c r="AAP29" s="12" t="n">
        <v>10700000</v>
      </c>
      <c r="AAQ29" s="12" t="n">
        <v>11438000</v>
      </c>
      <c r="AAR29" s="12" t="n">
        <v>10458000</v>
      </c>
      <c r="AAS29" s="12" t="n">
        <v>12019000</v>
      </c>
      <c r="AAT29" s="12" t="n">
        <v>11649000</v>
      </c>
      <c r="AAU29" s="12" t="n">
        <v>10359000</v>
      </c>
      <c r="AAV29" s="12" t="n">
        <v>10216000</v>
      </c>
      <c r="AAW29" s="127">
        <f>SUM(ZS29:AAV29)</f>
        <v/>
      </c>
      <c r="AAX29" s="12" t="n">
        <v>10081000</v>
      </c>
      <c r="AAY29" s="12" t="n">
        <v>7459000</v>
      </c>
      <c r="AAZ29" s="12" t="n">
        <v>12059000</v>
      </c>
      <c r="ABA29" s="12" t="n">
        <v>11176000</v>
      </c>
      <c r="ABB29" s="12" t="n">
        <v>13190000</v>
      </c>
      <c r="ABC29" s="12" t="n">
        <v>11118000</v>
      </c>
      <c r="ABD29" s="12" t="n">
        <v>13204000</v>
      </c>
      <c r="ABE29" s="12" t="n">
        <v>11130000</v>
      </c>
      <c r="ABF29" s="12" t="n">
        <v>11105000</v>
      </c>
      <c r="ABG29" s="12" t="n">
        <v>13756000</v>
      </c>
      <c r="ABH29" s="12" t="n">
        <v>11093000</v>
      </c>
      <c r="ABI29" s="12" t="n">
        <v>6734000</v>
      </c>
      <c r="ABJ29" s="12" t="n">
        <v>10725000</v>
      </c>
      <c r="ABK29" s="12" t="n">
        <v>11338000</v>
      </c>
      <c r="ABL29" s="12" t="n">
        <v>11512000</v>
      </c>
      <c r="ABM29" s="12" t="n">
        <v>12167000</v>
      </c>
      <c r="ABN29" s="12" t="n">
        <v>11490000</v>
      </c>
      <c r="ABO29" s="12" t="n">
        <v>12244000</v>
      </c>
      <c r="ABP29" s="12" t="n">
        <v>11430000</v>
      </c>
      <c r="ABQ29" s="12" t="n">
        <v>11420000</v>
      </c>
      <c r="ABR29" s="12" t="n">
        <v>10466000</v>
      </c>
      <c r="ABS29" s="12" t="n">
        <v>9689000</v>
      </c>
      <c r="ABT29" s="12" t="n">
        <v>11960000</v>
      </c>
      <c r="ABU29" s="12" t="n">
        <v>12737000</v>
      </c>
      <c r="ABV29" s="12" t="n">
        <v>12732000</v>
      </c>
      <c r="ABW29" s="12" t="n">
        <v>11407000</v>
      </c>
      <c r="ABX29" s="12" t="n">
        <v>10969000</v>
      </c>
      <c r="ABY29" s="12" t="n">
        <v>11253000</v>
      </c>
      <c r="ABZ29" s="12" t="n">
        <v>10497000</v>
      </c>
      <c r="ACA29" s="12" t="n">
        <v>10370000</v>
      </c>
      <c r="ACB29" s="12" t="n">
        <v>10790000</v>
      </c>
      <c r="ACC29" s="127">
        <f>SUM(AAX29:ACB29)</f>
        <v/>
      </c>
      <c r="ACD29" s="12" t="n">
        <v>13237000</v>
      </c>
      <c r="ACE29" s="12" t="n">
        <v>12500000</v>
      </c>
      <c r="ACF29" s="12" t="n">
        <v>13174000</v>
      </c>
      <c r="ACG29" s="12" t="n">
        <v>7225000</v>
      </c>
      <c r="ACH29" s="12" t="n">
        <v>13163000</v>
      </c>
      <c r="ACI29" s="12" t="n">
        <v>9366000</v>
      </c>
      <c r="ACJ29" s="12" t="n">
        <v>10723000</v>
      </c>
      <c r="ACK29" s="12" t="n">
        <v>11528000</v>
      </c>
      <c r="ACL29" s="12" t="n">
        <v>11758000</v>
      </c>
      <c r="ACM29" s="12" t="n">
        <v>10287000</v>
      </c>
      <c r="ACN29" s="12" t="n">
        <v>13351000</v>
      </c>
      <c r="ACO29" s="12" t="n">
        <v>10297000</v>
      </c>
      <c r="ACP29" s="12" t="n">
        <v>8672000</v>
      </c>
      <c r="ACQ29" s="12" t="n">
        <v>12381000</v>
      </c>
      <c r="ACR29" s="12" t="n">
        <v>12381000</v>
      </c>
      <c r="ACS29" s="12" t="n">
        <v>9643000</v>
      </c>
      <c r="ACT29" s="12" t="n">
        <v>9219000</v>
      </c>
      <c r="ACU29" s="12" t="n">
        <v>11479000</v>
      </c>
      <c r="ACV29" s="12" t="n">
        <v>9923000</v>
      </c>
      <c r="ACW29" s="12" t="n">
        <v>11303000</v>
      </c>
      <c r="ACX29" s="12" t="n">
        <v>10438000</v>
      </c>
      <c r="ACY29" s="12" t="n">
        <v>11122000</v>
      </c>
      <c r="ACZ29" s="12" t="n">
        <v>11139000</v>
      </c>
      <c r="ADA29" s="12" t="n">
        <v>9781000</v>
      </c>
      <c r="ADB29" s="12" t="n">
        <v>8771000</v>
      </c>
      <c r="ADC29" s="12" t="n">
        <v>10420000</v>
      </c>
      <c r="ADD29" s="12" t="n">
        <v>11530000</v>
      </c>
      <c r="ADE29" s="12" t="n">
        <v>9981000</v>
      </c>
      <c r="ADF29" s="12" t="n">
        <v>10990000</v>
      </c>
      <c r="ADG29" s="12" t="n">
        <v>11399000</v>
      </c>
      <c r="ADH29" s="12" t="n">
        <v>9652000</v>
      </c>
      <c r="ADI29" s="127">
        <f>SUM(ACD29:ADH29)</f>
        <v/>
      </c>
      <c r="ADJ29" s="12" t="n">
        <v>9185000</v>
      </c>
      <c r="ADK29" s="12" t="n">
        <v>9035000</v>
      </c>
      <c r="ADL29" s="12" t="n">
        <v>7595000</v>
      </c>
      <c r="ADM29" s="12" t="n">
        <v>12223000</v>
      </c>
      <c r="ADN29" s="12" t="n">
        <v>12312000</v>
      </c>
      <c r="ADO29" s="12" t="n">
        <v>12201000</v>
      </c>
      <c r="ADP29" s="12" t="n">
        <v>10568000</v>
      </c>
      <c r="ADQ29" s="12" t="n">
        <v>9659000</v>
      </c>
      <c r="ADR29" s="12" t="n">
        <v>9527000</v>
      </c>
      <c r="ADS29" s="12" t="n">
        <v>8387000</v>
      </c>
      <c r="ADT29" s="12" t="n">
        <v>9530000</v>
      </c>
      <c r="ADU29" s="12" t="n">
        <v>9370000</v>
      </c>
      <c r="ADV29" s="12" t="n">
        <v>12200000</v>
      </c>
      <c r="ADW29" s="12" t="n">
        <v>8343000</v>
      </c>
      <c r="ADX29" s="12" t="n">
        <v>11210000</v>
      </c>
      <c r="ADY29" s="12" t="n">
        <v>11149000</v>
      </c>
      <c r="ADZ29" s="12" t="n">
        <v>8399000</v>
      </c>
      <c r="AEA29" s="12" t="n">
        <v>9575000</v>
      </c>
      <c r="AEB29" s="12" t="n">
        <v>8665000</v>
      </c>
      <c r="AEC29" s="12" t="n">
        <v>10147000</v>
      </c>
      <c r="AED29" s="12" t="n">
        <v>8897000</v>
      </c>
      <c r="AEE29" s="12" t="n">
        <v>10412000</v>
      </c>
      <c r="AEF29" s="12" t="n">
        <v>9739000</v>
      </c>
      <c r="AEG29" s="12" t="n">
        <v>8457000</v>
      </c>
      <c r="AEH29" s="12" t="n">
        <v>8009000</v>
      </c>
      <c r="AEI29" s="12" t="n">
        <v>11345000</v>
      </c>
      <c r="AEJ29" s="12" t="n">
        <v>10945000</v>
      </c>
      <c r="AEK29" s="12" t="n">
        <v>9213000</v>
      </c>
      <c r="AEL29" s="12" t="n">
        <v>10176000</v>
      </c>
      <c r="AEM29" s="12" t="n">
        <v>8157000</v>
      </c>
      <c r="AEN29" s="127">
        <f>SUM(ADJ29:AEM29)</f>
        <v/>
      </c>
      <c r="AEO29" s="12" t="n">
        <v>9534000</v>
      </c>
      <c r="AEP29" s="12" t="n">
        <v>9490000</v>
      </c>
      <c r="AEQ29" s="12" t="n">
        <v>11136000</v>
      </c>
      <c r="AER29" s="12" t="n">
        <v>8402000</v>
      </c>
      <c r="AES29" s="12" t="n">
        <v>9094000</v>
      </c>
      <c r="AET29" s="12" t="n">
        <v>11327000</v>
      </c>
      <c r="AEU29" s="12" t="n">
        <v>10307000</v>
      </c>
      <c r="AEV29" s="12" t="n">
        <v>8417000</v>
      </c>
      <c r="AEW29" s="12" t="n">
        <v>8611000</v>
      </c>
      <c r="AEX29" s="12" t="n">
        <v>10082000</v>
      </c>
      <c r="AEY29" s="12" t="n">
        <v>9384000</v>
      </c>
      <c r="AEZ29" s="12" t="n">
        <v>8127000</v>
      </c>
      <c r="AFA29" s="12" t="n">
        <v>8192000</v>
      </c>
      <c r="AFB29" s="12" t="n">
        <v>8873000</v>
      </c>
      <c r="AFC29" s="12" t="n">
        <v>10326000</v>
      </c>
      <c r="AFD29" s="12" t="n">
        <v>11163000</v>
      </c>
      <c r="AFE29" s="12" t="n">
        <v>10650000</v>
      </c>
      <c r="AFF29" s="12" t="n">
        <v>10367000</v>
      </c>
      <c r="AFG29" s="12" t="n">
        <v>10057000</v>
      </c>
      <c r="AFH29" s="12" t="n">
        <v>10384000</v>
      </c>
      <c r="AFI29" s="12" t="n">
        <v>11250000</v>
      </c>
      <c r="AFJ29" s="12" t="n">
        <v>8038000</v>
      </c>
      <c r="AFK29" s="12" t="n">
        <v>7998000</v>
      </c>
      <c r="AFL29" s="12" t="n">
        <v>8870000</v>
      </c>
      <c r="AFM29" s="12" t="n">
        <v>11540000</v>
      </c>
      <c r="AFN29" s="12" t="n">
        <v>7935000</v>
      </c>
      <c r="AFO29" s="12" t="n">
        <v>10515000</v>
      </c>
      <c r="AFP29" s="12" t="n">
        <v>10139000</v>
      </c>
      <c r="AFQ29" s="12" t="n">
        <v>7842000</v>
      </c>
      <c r="AFR29" s="12" t="n">
        <v>8230000</v>
      </c>
      <c r="AFS29" s="12" t="n">
        <v>9786000</v>
      </c>
      <c r="AFT29" s="127">
        <f>SUM(AEO29:AFS29)</f>
        <v/>
      </c>
      <c r="AFU29" s="12" t="n">
        <v>8085000</v>
      </c>
      <c r="AFV29" s="12" t="n">
        <v>9803000</v>
      </c>
      <c r="AFW29" s="12" t="n">
        <v>9782000</v>
      </c>
      <c r="AFX29" s="12" t="n">
        <v>9433000</v>
      </c>
      <c r="AFY29" s="12" t="n">
        <v>7050000</v>
      </c>
      <c r="AFZ29" s="12" t="n">
        <v>8732000</v>
      </c>
      <c r="AGA29" s="12" t="n">
        <v>11884000</v>
      </c>
      <c r="AGB29" s="12" t="n">
        <v>12293000</v>
      </c>
      <c r="AGC29" s="12" t="n">
        <v>12362000</v>
      </c>
      <c r="AGD29" s="12" t="n">
        <v>12363000</v>
      </c>
      <c r="AGE29" s="12" t="n">
        <v>12046000</v>
      </c>
      <c r="AGF29" s="12" t="n">
        <v>10532000</v>
      </c>
      <c r="AGG29" s="12" t="n">
        <v>11473000</v>
      </c>
      <c r="AGH29" s="12" t="n">
        <v>11643000</v>
      </c>
      <c r="AGI29" s="12" t="n">
        <v>11111000</v>
      </c>
      <c r="AGJ29" s="12" t="n">
        <v>10390000</v>
      </c>
      <c r="AGK29" s="12" t="n">
        <v>11836000</v>
      </c>
      <c r="AGL29" s="12" t="n">
        <v>12011000</v>
      </c>
      <c r="AGM29" s="12" t="n">
        <v>12341000</v>
      </c>
      <c r="AGN29" s="12" t="n">
        <v>13481000</v>
      </c>
      <c r="AGO29" s="12" t="n">
        <v>13447000</v>
      </c>
      <c r="AGP29" s="12" t="n">
        <v>15828000</v>
      </c>
      <c r="AGQ29" s="12" t="n">
        <v>11668000</v>
      </c>
      <c r="AGR29" s="12" t="n">
        <v>11142000</v>
      </c>
      <c r="AGS29" s="12" t="n">
        <v>12393000</v>
      </c>
      <c r="AGT29" s="12" t="n">
        <v>14279000</v>
      </c>
      <c r="AGU29" s="12" t="n">
        <v>13012000</v>
      </c>
      <c r="AGV29" s="12" t="n">
        <v>16759000</v>
      </c>
      <c r="AGW29" s="12" t="n">
        <v>15331000</v>
      </c>
      <c r="AGX29" s="12" t="n">
        <v>12681000</v>
      </c>
      <c r="AGY29" s="127">
        <f>SUM(AFU29:AGX29)</f>
        <v/>
      </c>
      <c r="AGZ29" s="12" t="n">
        <v>13053000</v>
      </c>
      <c r="AHA29" s="12" t="n">
        <v>13290000</v>
      </c>
      <c r="AHB29" s="12" t="n">
        <v>11273000</v>
      </c>
      <c r="AHC29" s="12" t="n">
        <v>14072000</v>
      </c>
      <c r="AHD29" s="12" t="n">
        <v>16805000</v>
      </c>
      <c r="AHE29" s="12" t="n">
        <v>12341000</v>
      </c>
      <c r="AHF29" s="12" t="n">
        <v>12177000</v>
      </c>
      <c r="AHG29" s="12" t="n">
        <v>13671000</v>
      </c>
      <c r="AHH29" s="12" t="n">
        <v>12768000</v>
      </c>
      <c r="AHI29" s="12" t="n">
        <v>12275000</v>
      </c>
      <c r="AHJ29" s="12" t="n">
        <v>12761000</v>
      </c>
      <c r="AHK29" s="12" t="n">
        <v>15460000</v>
      </c>
      <c r="AHL29" s="12" t="n">
        <v>14316000</v>
      </c>
      <c r="AHM29" s="12" t="n">
        <v>11001000</v>
      </c>
      <c r="AHN29" s="12" t="n">
        <v>13535000</v>
      </c>
      <c r="AHO29" s="12" t="n">
        <v>12901000</v>
      </c>
      <c r="AHP29" s="12" t="n">
        <v>12755000</v>
      </c>
      <c r="AHQ29" s="12" t="n">
        <v>15492000</v>
      </c>
      <c r="AHR29" s="12" t="n">
        <v>15915000</v>
      </c>
      <c r="AHS29" s="12" t="n">
        <v>13800000</v>
      </c>
      <c r="AHT29" s="12" t="n">
        <v>13857000</v>
      </c>
      <c r="AHU29" s="12" t="n">
        <v>15295000</v>
      </c>
      <c r="AHV29" s="12" t="n">
        <v>18099000</v>
      </c>
      <c r="AHW29" s="12" t="n">
        <v>17148000</v>
      </c>
      <c r="AHX29" s="12" t="n">
        <v>11671000</v>
      </c>
      <c r="AHY29" s="12" t="n">
        <v>11002000</v>
      </c>
      <c r="AHZ29" s="12" t="n">
        <v>10863000</v>
      </c>
      <c r="AIA29" s="12" t="n">
        <v>9208000</v>
      </c>
      <c r="AIB29" s="12" t="n">
        <v>11540000</v>
      </c>
      <c r="AIC29" s="12" t="n">
        <v>11814000</v>
      </c>
      <c r="AID29" s="12" t="n">
        <v>14848000</v>
      </c>
      <c r="AIE29" s="127">
        <f>SUM(AGZ29:AID29)</f>
        <v/>
      </c>
      <c r="AIF29" s="12" t="n">
        <v>11030000</v>
      </c>
      <c r="AIG29" s="12" t="n">
        <v>11780000</v>
      </c>
      <c r="AIH29" s="12" t="n">
        <v>12343000</v>
      </c>
      <c r="AII29" s="12" t="n">
        <v>10204000</v>
      </c>
      <c r="AIJ29" s="12" t="n">
        <v>12640000</v>
      </c>
      <c r="AIK29" s="12" t="n">
        <v>14217000</v>
      </c>
      <c r="AIL29" s="12" t="n">
        <v>9494000</v>
      </c>
      <c r="AIM29" s="12" t="n">
        <v>9893000</v>
      </c>
      <c r="AIN29" s="12" t="n">
        <v>12459000</v>
      </c>
      <c r="AIO29" s="12" t="n">
        <v>15187000</v>
      </c>
      <c r="AIP29" s="12" t="n">
        <v>12494000</v>
      </c>
      <c r="AIQ29" s="12" t="n">
        <v>10522000</v>
      </c>
      <c r="AIR29" s="12" t="n">
        <v>6351000</v>
      </c>
      <c r="AIS29" s="12" t="n">
        <v>12895000</v>
      </c>
      <c r="AIT29" s="12" t="n">
        <v>7040000</v>
      </c>
      <c r="AIU29" s="12" t="n">
        <v>8868000</v>
      </c>
      <c r="AIV29" s="12" t="n">
        <v>6027000</v>
      </c>
      <c r="AIW29" s="12" t="n">
        <v>7296000</v>
      </c>
      <c r="AIX29" s="12" t="n">
        <v>11321000</v>
      </c>
      <c r="AIY29" s="12" t="n">
        <v>12384000</v>
      </c>
      <c r="AIZ29" s="12" t="n">
        <v>13389000</v>
      </c>
      <c r="AJA29" s="12" t="n">
        <v>11952000</v>
      </c>
      <c r="AJB29" s="12" t="n">
        <v>13212000</v>
      </c>
      <c r="AJC29" s="12" t="n">
        <v>13854000</v>
      </c>
      <c r="AJD29" s="12" t="n">
        <v>11729000</v>
      </c>
      <c r="AJE29" s="12" t="n">
        <v>11384000</v>
      </c>
      <c r="AJF29" s="12" t="n">
        <v>13177000</v>
      </c>
      <c r="AJG29" s="12" t="n">
        <v>11138000</v>
      </c>
      <c r="AJH29" s="12" t="n">
        <v>12484000</v>
      </c>
      <c r="AJI29" s="12" t="n">
        <v>11655000</v>
      </c>
      <c r="AJJ29" s="12" t="n">
        <v>13091000</v>
      </c>
      <c r="AJK29" s="127">
        <f>SUM(AIF29:AJJ29)</f>
        <v/>
      </c>
      <c r="AJL29" s="12" t="n">
        <v>10934000</v>
      </c>
      <c r="AJM29" s="12" t="n">
        <v>13410000</v>
      </c>
      <c r="AJN29" s="12" t="n">
        <v>12544000</v>
      </c>
      <c r="AJO29" s="12" t="n">
        <v>10443000</v>
      </c>
      <c r="AJP29" s="12" t="n">
        <v>13415000</v>
      </c>
      <c r="AJQ29" s="12" t="n">
        <v>11154000</v>
      </c>
      <c r="AJR29" s="12" t="n">
        <v>13317000</v>
      </c>
      <c r="AJS29" s="12" t="n">
        <v>12361000</v>
      </c>
      <c r="AJT29" s="12" t="n">
        <v>13847000</v>
      </c>
      <c r="AJU29" s="12" t="n">
        <v>14989000</v>
      </c>
      <c r="AJV29" s="12" t="n">
        <v>12852000</v>
      </c>
      <c r="AJW29" s="12" t="n">
        <v>15204000</v>
      </c>
      <c r="AJX29" s="12" t="n">
        <v>15307000</v>
      </c>
      <c r="AJY29" s="12" t="n">
        <v>12397000</v>
      </c>
      <c r="AJZ29" s="12" t="n">
        <v>11572000</v>
      </c>
      <c r="AKA29" s="12" t="n">
        <v>12166000</v>
      </c>
      <c r="AKB29" s="12" t="n">
        <v>12828000</v>
      </c>
      <c r="AKC29" s="12" t="n">
        <v>11810000</v>
      </c>
      <c r="AKD29" s="12" t="n">
        <v>10871000</v>
      </c>
      <c r="AKE29" s="12" t="n">
        <v>11029000</v>
      </c>
      <c r="AKF29" s="12" t="n">
        <v>12170000</v>
      </c>
      <c r="AKG29" s="12" t="n">
        <v>9822000</v>
      </c>
      <c r="AKH29" s="12" t="n">
        <v>13180000</v>
      </c>
      <c r="AKI29" s="12" t="n">
        <v>11866000</v>
      </c>
      <c r="AKJ29" s="12" t="n">
        <v>12481000</v>
      </c>
      <c r="AKK29" s="12" t="n">
        <v>10787000</v>
      </c>
      <c r="AKL29" s="12" t="n">
        <v>11470000</v>
      </c>
      <c r="AKM29" s="12" t="n">
        <v>11668000</v>
      </c>
      <c r="AKN29" s="127">
        <f>SUM(AJL29:AKM29)</f>
        <v/>
      </c>
      <c r="AKO29" s="12" t="n">
        <v>5408000</v>
      </c>
      <c r="AKP29" s="12" t="n">
        <v>11824000</v>
      </c>
      <c r="AKQ29" s="12" t="n">
        <v>11288000</v>
      </c>
      <c r="AKR29" s="12" t="n">
        <v>7841000</v>
      </c>
      <c r="AKS29" s="12" t="n">
        <v>11388000</v>
      </c>
      <c r="AKT29" s="12" t="n">
        <v>10405000</v>
      </c>
      <c r="AKU29" s="12" t="n">
        <v>12462000</v>
      </c>
      <c r="AKV29" s="12" t="n">
        <v>13087000</v>
      </c>
      <c r="AKW29" s="12" t="n">
        <v>11459000</v>
      </c>
      <c r="AKX29" s="12" t="n">
        <v>9745000</v>
      </c>
      <c r="AKY29" s="12" t="n">
        <v>11091000</v>
      </c>
      <c r="AKZ29" s="12" t="n">
        <v>11380000</v>
      </c>
      <c r="ALA29" s="12" t="n">
        <v>13837000</v>
      </c>
      <c r="ALB29" s="12" t="n">
        <v>14537249</v>
      </c>
      <c r="ALC29" s="12" t="n">
        <v>12947000</v>
      </c>
      <c r="ALD29" s="12" t="n">
        <v>14723000</v>
      </c>
      <c r="ALE29" s="12" t="n">
        <v>13717000</v>
      </c>
      <c r="ALF29" s="12" t="n">
        <v>12650000</v>
      </c>
      <c r="ALG29" s="12" t="n">
        <v>13628000</v>
      </c>
      <c r="ALH29" s="12" t="n">
        <v>12033000</v>
      </c>
      <c r="ALI29" s="12" t="n">
        <v>14249000</v>
      </c>
      <c r="ALJ29" s="12" t="n">
        <v>13443000</v>
      </c>
      <c r="ALK29" s="12" t="n">
        <v>34505000</v>
      </c>
      <c r="ALL29" s="12" t="n">
        <v>13759000</v>
      </c>
      <c r="ALM29" s="12" t="n">
        <v>14265000</v>
      </c>
      <c r="ALN29" s="12" t="n">
        <v>13942000</v>
      </c>
      <c r="ALO29" s="12" t="n">
        <v>14745000</v>
      </c>
      <c r="ALP29" s="12" t="n">
        <v>15121000</v>
      </c>
      <c r="ALQ29" s="12" t="n">
        <v>16446000</v>
      </c>
      <c r="ALR29" s="12" t="n">
        <v>16127000</v>
      </c>
      <c r="ALS29" s="12" t="n">
        <v>13697000</v>
      </c>
      <c r="ALT29" s="127">
        <f>SUM(AKO29:ALS29)</f>
        <v/>
      </c>
      <c r="ALU29" s="12" t="n">
        <v>16773000</v>
      </c>
      <c r="ALV29" s="12" t="n">
        <v>13890000</v>
      </c>
      <c r="ALW29" s="12" t="n">
        <v>13063000</v>
      </c>
      <c r="ALX29" s="12" t="n">
        <v>16182000</v>
      </c>
      <c r="ALY29" s="12" t="n">
        <v>9387000</v>
      </c>
      <c r="ALZ29" s="12" t="n">
        <v>10236000</v>
      </c>
      <c r="AMA29" s="12" t="n">
        <v>15163000</v>
      </c>
      <c r="AMB29" s="12" t="n">
        <v>14538000</v>
      </c>
      <c r="AMC29" s="12" t="n">
        <v>15195000</v>
      </c>
      <c r="AMD29" s="12" t="n">
        <v>15883000</v>
      </c>
      <c r="AME29" s="12" t="n">
        <v>18259000</v>
      </c>
      <c r="AMF29" s="12" t="n">
        <v>15909000</v>
      </c>
      <c r="AMG29" s="12" t="n">
        <v>14856000</v>
      </c>
      <c r="AMH29" s="12" t="n">
        <v>13001000</v>
      </c>
      <c r="AMI29" s="12" t="n">
        <v>15006000</v>
      </c>
      <c r="AMJ29" s="12" t="n">
        <v>15391000</v>
      </c>
      <c r="AMK29" s="12" t="n">
        <v>14829000</v>
      </c>
      <c r="AML29" s="12" t="n">
        <v>16950000</v>
      </c>
      <c r="AMM29" s="12" t="n">
        <v>16428000</v>
      </c>
      <c r="AMN29" s="12" t="n">
        <v>24821000</v>
      </c>
      <c r="AMO29" s="12" t="n">
        <v>29632000</v>
      </c>
      <c r="AMP29" s="12" t="n">
        <v>21966000</v>
      </c>
      <c r="AMQ29" s="12" t="n">
        <v>29781000</v>
      </c>
      <c r="AMR29" s="12" t="n">
        <v>31045000</v>
      </c>
      <c r="AMS29" s="12" t="n">
        <v>32084000</v>
      </c>
      <c r="AMT29" s="12" t="n">
        <v>28068000</v>
      </c>
      <c r="AMU29" s="12" t="n">
        <v>15903000</v>
      </c>
      <c r="AMV29" s="12" t="n">
        <v>15544000</v>
      </c>
      <c r="AMW29" s="12" t="n">
        <v>26995000</v>
      </c>
      <c r="AMX29" s="12" t="n">
        <v>22711000</v>
      </c>
      <c r="AMY29" s="127">
        <f>SUM(ALU29:AMX29)</f>
        <v/>
      </c>
      <c r="AMZ29" s="12" t="n">
        <v>13668000</v>
      </c>
      <c r="ANA29" s="12" t="n">
        <v>14605000</v>
      </c>
      <c r="ANB29" s="12" t="n">
        <v>12411000</v>
      </c>
      <c r="ANC29" s="12" t="n">
        <v>13908000</v>
      </c>
      <c r="AND29" s="12" t="n">
        <v>13822000</v>
      </c>
      <c r="ANE29" s="12" t="n">
        <v>15910000</v>
      </c>
      <c r="ANF29" s="12" t="n">
        <v>12168000</v>
      </c>
      <c r="ANG29" s="12" t="n">
        <v>15276000</v>
      </c>
      <c r="ANH29" s="12" t="n">
        <v>16677000</v>
      </c>
      <c r="ANI29" s="12" t="n">
        <v>14368000</v>
      </c>
      <c r="ANJ29" s="12" t="n">
        <v>15013000</v>
      </c>
      <c r="ANK29" s="12" t="n">
        <v>12484000</v>
      </c>
      <c r="ANL29" s="12" t="n">
        <v>15729000</v>
      </c>
      <c r="ANM29" s="12" t="n">
        <v>16843000</v>
      </c>
      <c r="ANN29" s="12" t="n">
        <v>18049000</v>
      </c>
      <c r="ANO29" s="12" t="n">
        <v>14411000</v>
      </c>
      <c r="ANP29" s="12" t="n">
        <v>10110000</v>
      </c>
      <c r="ANQ29" s="12" t="n">
        <v>12576000</v>
      </c>
      <c r="ANR29" s="12" t="n">
        <v>11400000</v>
      </c>
      <c r="ANS29" s="12" t="n">
        <v>12019000</v>
      </c>
      <c r="ANT29" s="12" t="n">
        <v>10628000</v>
      </c>
      <c r="ANU29" s="12" t="n">
        <v>16930000</v>
      </c>
      <c r="ANV29" s="12" t="n">
        <v>13452000</v>
      </c>
      <c r="ANW29" s="12" t="n">
        <v>12485000</v>
      </c>
      <c r="ANX29" s="12" t="n">
        <v>13578000</v>
      </c>
      <c r="ANY29" s="12" t="n">
        <v>16583000</v>
      </c>
      <c r="ANZ29" s="12" t="n">
        <v>12500000</v>
      </c>
      <c r="AOA29" s="12" t="n">
        <v>11978000</v>
      </c>
      <c r="AOB29" s="12" t="n">
        <v>15765000</v>
      </c>
      <c r="AOC29" s="12" t="n">
        <v>15669000</v>
      </c>
    </row>
    <row r="30">
      <c r="A30" s="78" t="inlineStr">
        <is>
          <t>DIFFERENCE</t>
        </is>
      </c>
      <c r="B30" s="79" t="n"/>
      <c r="C30" s="80" t="n"/>
      <c r="D30" s="80" t="n"/>
      <c r="E30" s="80" t="n"/>
      <c r="F30" s="80" t="n"/>
      <c r="G30" s="80">
        <f>G29-G28</f>
        <v/>
      </c>
      <c r="H30" s="80">
        <f>H29-H28</f>
        <v/>
      </c>
      <c r="I30" s="80">
        <f>I29-I28</f>
        <v/>
      </c>
      <c r="J30" s="80">
        <f>J29-J28</f>
        <v/>
      </c>
      <c r="K30" s="80">
        <f>K29-K28</f>
        <v/>
      </c>
      <c r="L30" s="80">
        <f>L29-L28</f>
        <v/>
      </c>
      <c r="M30" s="80">
        <f>M29-M28</f>
        <v/>
      </c>
      <c r="N30" s="80">
        <f>N29-N28</f>
        <v/>
      </c>
      <c r="O30" s="80">
        <f>O29-O28</f>
        <v/>
      </c>
      <c r="P30" s="80">
        <f>P29-P28</f>
        <v/>
      </c>
      <c r="Q30" s="80">
        <f>Q29-Q28</f>
        <v/>
      </c>
      <c r="R30" s="80">
        <f>R29-R28</f>
        <v/>
      </c>
      <c r="S30" s="80">
        <f>S29-S28</f>
        <v/>
      </c>
      <c r="T30" s="80">
        <f>T29-T28</f>
        <v/>
      </c>
      <c r="U30" s="80">
        <f>U29-U28</f>
        <v/>
      </c>
      <c r="V30" s="80">
        <f>V29-V28</f>
        <v/>
      </c>
      <c r="W30" s="80">
        <f>W29-W28</f>
        <v/>
      </c>
      <c r="X30" s="80">
        <f>X29-X28</f>
        <v/>
      </c>
      <c r="Y30" s="80">
        <f>Y29-Y28</f>
        <v/>
      </c>
      <c r="Z30" s="80">
        <f>Z29-Z28</f>
        <v/>
      </c>
      <c r="AA30" s="80">
        <f>AA29-AA28</f>
        <v/>
      </c>
      <c r="AB30" s="80">
        <f>AB29-AB28</f>
        <v/>
      </c>
      <c r="AC30" s="80">
        <f>AC29-AC28</f>
        <v/>
      </c>
      <c r="AD30" s="80">
        <f>AD29-AD28</f>
        <v/>
      </c>
      <c r="AE30" s="80">
        <f>AE29-AE28</f>
        <v/>
      </c>
      <c r="AF30" s="80">
        <f>AF29-AF28</f>
        <v/>
      </c>
      <c r="AG30" s="80">
        <f>AG29-AG28</f>
        <v/>
      </c>
      <c r="AH30" s="80">
        <f>AH29-AH28</f>
        <v/>
      </c>
      <c r="AI30" s="80">
        <f>AI29-AI28</f>
        <v/>
      </c>
      <c r="AJ30" s="80">
        <f>AJ29-AJ28</f>
        <v/>
      </c>
      <c r="AK30" s="80">
        <f>AK29-AK28</f>
        <v/>
      </c>
      <c r="AL30" s="80">
        <f>AL29-AL28</f>
        <v/>
      </c>
      <c r="AM30" s="80">
        <f>AM29-AM28</f>
        <v/>
      </c>
      <c r="AN30" s="80">
        <f>AN29-AN28</f>
        <v/>
      </c>
      <c r="AO30" s="80">
        <f>AO29-AO28</f>
        <v/>
      </c>
      <c r="AP30" s="80">
        <f>AP29-AP28</f>
        <v/>
      </c>
      <c r="AQ30" s="80">
        <f>AQ29-AQ28</f>
        <v/>
      </c>
      <c r="AR30" s="80">
        <f>AR29-AR28</f>
        <v/>
      </c>
      <c r="AS30" s="80">
        <f>AS29-AS28</f>
        <v/>
      </c>
      <c r="AT30" s="80">
        <f>AT29-AT28</f>
        <v/>
      </c>
      <c r="AU30" s="80">
        <f>AU29-AU28</f>
        <v/>
      </c>
      <c r="AV30" s="80">
        <f>AV29-AV28</f>
        <v/>
      </c>
      <c r="AW30" s="80">
        <f>AW29-AW28</f>
        <v/>
      </c>
      <c r="AX30" s="80">
        <f>AX29-AX28</f>
        <v/>
      </c>
      <c r="AY30" s="80">
        <f>AY29-AY28</f>
        <v/>
      </c>
      <c r="AZ30" s="80">
        <f>AZ29-AZ28</f>
        <v/>
      </c>
      <c r="BA30" s="80">
        <f>BA29-BA28</f>
        <v/>
      </c>
      <c r="BB30" s="80">
        <f>BB29-BB28</f>
        <v/>
      </c>
      <c r="BC30" s="80">
        <f>BC29-BC28</f>
        <v/>
      </c>
      <c r="BD30" s="80">
        <f>BD29-BD28</f>
        <v/>
      </c>
      <c r="BE30" s="80">
        <f>BE29-BE28</f>
        <v/>
      </c>
      <c r="BF30" s="80">
        <f>BF29-BF28</f>
        <v/>
      </c>
      <c r="BG30" s="80">
        <f>BG29-BG28</f>
        <v/>
      </c>
      <c r="BH30" s="80">
        <f>BH29-BH28</f>
        <v/>
      </c>
      <c r="BI30" s="80">
        <f>BI29-BI28</f>
        <v/>
      </c>
      <c r="BJ30" s="80">
        <f>BJ29-BJ28</f>
        <v/>
      </c>
      <c r="BK30" s="80">
        <f>BK29-BK28</f>
        <v/>
      </c>
      <c r="BL30" s="80">
        <f>BL29-BL28</f>
        <v/>
      </c>
      <c r="BM30" s="97">
        <f>SUM(AI30:BL30)</f>
        <v/>
      </c>
      <c r="BN30" s="80">
        <f>BN29-BN28</f>
        <v/>
      </c>
      <c r="BO30" s="80">
        <f>BO29-BO28</f>
        <v/>
      </c>
      <c r="BP30" s="80">
        <f>BP29-BP28</f>
        <v/>
      </c>
      <c r="BQ30" s="80">
        <f>BQ29-BQ28</f>
        <v/>
      </c>
      <c r="BR30" s="80">
        <f>BR29-BR28</f>
        <v/>
      </c>
      <c r="BS30" s="80">
        <f>BS29-BS28</f>
        <v/>
      </c>
      <c r="BT30" s="80">
        <f>BT29-BT28</f>
        <v/>
      </c>
      <c r="BU30" s="80">
        <f>BU29-BU28</f>
        <v/>
      </c>
      <c r="BV30" s="80">
        <f>BV29-BV28</f>
        <v/>
      </c>
      <c r="BW30" s="80">
        <f>BW29-BW28</f>
        <v/>
      </c>
      <c r="BX30" s="80">
        <f>BX29-BX28</f>
        <v/>
      </c>
      <c r="BY30" s="80">
        <f>BY29-BY28</f>
        <v/>
      </c>
      <c r="BZ30" s="80">
        <f>BZ29-BZ28</f>
        <v/>
      </c>
      <c r="CA30" s="80">
        <f>CA29-CA28</f>
        <v/>
      </c>
      <c r="CB30" s="80">
        <f>CB29-CB28</f>
        <v/>
      </c>
      <c r="CC30" s="80">
        <f>CC29-CC28</f>
        <v/>
      </c>
      <c r="CD30" s="80">
        <f>CD29-CD28</f>
        <v/>
      </c>
      <c r="CE30" s="80">
        <f>CE29-CE28</f>
        <v/>
      </c>
      <c r="CF30" s="80">
        <f>CF29-CF28</f>
        <v/>
      </c>
      <c r="CG30" s="80">
        <f>CG29-CG28</f>
        <v/>
      </c>
      <c r="CH30" s="80">
        <f>CH29-CH28</f>
        <v/>
      </c>
      <c r="CI30" s="80">
        <f>CI29-CI28</f>
        <v/>
      </c>
      <c r="CJ30" s="80">
        <f>CJ29-CJ28</f>
        <v/>
      </c>
      <c r="CK30" s="80">
        <f>CK29-CK28</f>
        <v/>
      </c>
      <c r="CL30" s="80">
        <f>CL29-CL28</f>
        <v/>
      </c>
      <c r="CM30" s="80">
        <f>CM29-CM28</f>
        <v/>
      </c>
      <c r="CN30" s="80">
        <f>CN29-CN28</f>
        <v/>
      </c>
      <c r="CO30" s="80">
        <f>CO29-CO28</f>
        <v/>
      </c>
      <c r="CP30" s="80">
        <f>CP29-CP28</f>
        <v/>
      </c>
      <c r="CQ30" s="80">
        <f>CQ29-CQ28</f>
        <v/>
      </c>
      <c r="CR30" s="80">
        <f>CR29-CR28</f>
        <v/>
      </c>
      <c r="CS30" s="111">
        <f>SUM(BN30:CR30)</f>
        <v/>
      </c>
      <c r="CT30" s="80">
        <f>CT29-CT28</f>
        <v/>
      </c>
      <c r="CU30" s="80">
        <f>CU29-CU28</f>
        <v/>
      </c>
      <c r="CV30" s="80">
        <f>CV29-CV28</f>
        <v/>
      </c>
      <c r="CW30" s="80">
        <f>CW29-CW28</f>
        <v/>
      </c>
      <c r="CX30" s="80">
        <f>CX29-CX28</f>
        <v/>
      </c>
      <c r="CY30" s="80">
        <f>CY29-CY28</f>
        <v/>
      </c>
      <c r="CZ30" s="80">
        <f>CZ29-CZ28</f>
        <v/>
      </c>
      <c r="DA30" s="80">
        <f>DA29-DA28</f>
        <v/>
      </c>
      <c r="DB30" s="80">
        <f>DB29-DB28</f>
        <v/>
      </c>
      <c r="DC30" s="80">
        <f>DC29-DC28</f>
        <v/>
      </c>
      <c r="DD30" s="80">
        <f>DD29-DD28</f>
        <v/>
      </c>
      <c r="DE30" s="80">
        <f>DE29-DE28</f>
        <v/>
      </c>
      <c r="DF30" s="80">
        <f>DF29-DF28</f>
        <v/>
      </c>
      <c r="DG30" s="80">
        <f>DG29-DG28</f>
        <v/>
      </c>
      <c r="DH30" s="80">
        <f>DH29-DH28</f>
        <v/>
      </c>
      <c r="DI30" s="80">
        <f>DI29-DI28</f>
        <v/>
      </c>
      <c r="DJ30" s="80">
        <f>DJ29-DJ28</f>
        <v/>
      </c>
      <c r="DK30" s="80">
        <f>DK29-DK28</f>
        <v/>
      </c>
      <c r="DL30" s="80">
        <f>DL29-DL28</f>
        <v/>
      </c>
      <c r="DM30" s="80">
        <f>DM29-DM28</f>
        <v/>
      </c>
      <c r="DN30" s="80">
        <f>DN29-DN28</f>
        <v/>
      </c>
      <c r="DO30" s="80">
        <f>DO29-DO28</f>
        <v/>
      </c>
      <c r="DP30" s="80">
        <f>DP29-DP28</f>
        <v/>
      </c>
      <c r="DQ30" s="80">
        <f>DQ29-DQ28</f>
        <v/>
      </c>
      <c r="DR30" s="80">
        <f>DR29-DR28</f>
        <v/>
      </c>
      <c r="DS30" s="80">
        <f>DS29-DS28</f>
        <v/>
      </c>
      <c r="DT30" s="80">
        <f>DT29-DT28</f>
        <v/>
      </c>
      <c r="DU30" s="80">
        <f>DU29-DU28</f>
        <v/>
      </c>
      <c r="DV30" s="80">
        <f>DV29-DV28</f>
        <v/>
      </c>
      <c r="DW30" s="80">
        <f>DW29-DW28</f>
        <v/>
      </c>
      <c r="DX30" s="120" t="n"/>
      <c r="DY30" s="80">
        <f>DY29-DY28</f>
        <v/>
      </c>
      <c r="DZ30" s="80">
        <f>DZ29-DZ28</f>
        <v/>
      </c>
      <c r="EA30" s="80">
        <f>EA29-EA28</f>
        <v/>
      </c>
      <c r="EB30" s="80">
        <f>EB29-EB28</f>
        <v/>
      </c>
      <c r="EC30" s="80">
        <f>EC29-EC28</f>
        <v/>
      </c>
      <c r="ED30" s="80">
        <f>ED29-ED28</f>
        <v/>
      </c>
      <c r="EE30" s="80">
        <f>EE29-EE28</f>
        <v/>
      </c>
      <c r="EF30" s="80">
        <f>EF29-EF28</f>
        <v/>
      </c>
      <c r="EG30" s="80">
        <f>EG29-EG28</f>
        <v/>
      </c>
      <c r="EH30" s="80">
        <f>EH29-EH28</f>
        <v/>
      </c>
      <c r="EI30" s="80">
        <f>EI29-EI28</f>
        <v/>
      </c>
      <c r="EJ30" s="80">
        <f>EJ29-EJ28</f>
        <v/>
      </c>
      <c r="EK30" s="80">
        <f>EK29-EK28</f>
        <v/>
      </c>
      <c r="EL30" s="80">
        <f>EL29-EL28</f>
        <v/>
      </c>
      <c r="EM30" s="80">
        <f>EM29-EM28</f>
        <v/>
      </c>
      <c r="EN30" s="80">
        <f>EN29-EN28</f>
        <v/>
      </c>
      <c r="EO30" s="80">
        <f>EO29-EO28</f>
        <v/>
      </c>
      <c r="EP30" s="80">
        <f>EP29-EP28</f>
        <v/>
      </c>
      <c r="EQ30" s="80">
        <f>EQ29-EQ28</f>
        <v/>
      </c>
      <c r="ER30" s="80">
        <f>ER29-ER28</f>
        <v/>
      </c>
      <c r="ES30" s="80">
        <f>ES29-ES28</f>
        <v/>
      </c>
      <c r="ET30" s="80">
        <f>ET29-ET28</f>
        <v/>
      </c>
      <c r="EU30" s="80">
        <f>EU29-EU28</f>
        <v/>
      </c>
      <c r="EV30" s="80">
        <f>EV29-EV28</f>
        <v/>
      </c>
      <c r="EW30" s="80">
        <f>EW29-EW28</f>
        <v/>
      </c>
      <c r="EX30" s="80">
        <f>EX29-EX28</f>
        <v/>
      </c>
      <c r="EY30" s="80">
        <f>EY29-EY28</f>
        <v/>
      </c>
      <c r="EZ30" s="80">
        <f>EZ29-EZ28</f>
        <v/>
      </c>
      <c r="FA30" s="80">
        <f>FA29-FA28</f>
        <v/>
      </c>
      <c r="FB30" s="80">
        <f>FB29-FB28</f>
        <v/>
      </c>
      <c r="FC30" s="80">
        <f>FC29-FC28</f>
        <v/>
      </c>
      <c r="FD30" s="128">
        <f>SUM(DY30:FC30)</f>
        <v/>
      </c>
      <c r="FE30" s="80">
        <f>FE29-FE28</f>
        <v/>
      </c>
      <c r="FF30" s="80">
        <f>FF29-FF28</f>
        <v/>
      </c>
      <c r="FG30" s="80">
        <f>FG29-FG28</f>
        <v/>
      </c>
      <c r="FH30" s="80">
        <f>FH29-FH28</f>
        <v/>
      </c>
      <c r="FI30" s="80">
        <f>FI29-FI28</f>
        <v/>
      </c>
      <c r="FJ30" s="80">
        <f>FJ29-FJ28</f>
        <v/>
      </c>
      <c r="FK30" s="80">
        <f>FK29-FK28</f>
        <v/>
      </c>
      <c r="FL30" s="80">
        <f>FL29-FL28</f>
        <v/>
      </c>
      <c r="FM30" s="80">
        <f>FM29-FM28</f>
        <v/>
      </c>
      <c r="FN30" s="80">
        <f>FN29-FN28</f>
        <v/>
      </c>
      <c r="FO30" s="80">
        <f>FO29-FO28</f>
        <v/>
      </c>
      <c r="FP30" s="80">
        <f>FP29-FP28</f>
        <v/>
      </c>
      <c r="FQ30" s="80">
        <f>FQ29-FQ28</f>
        <v/>
      </c>
      <c r="FR30" s="80">
        <f>FR29-FR28</f>
        <v/>
      </c>
      <c r="FS30" s="80">
        <f>FS29-FS28</f>
        <v/>
      </c>
      <c r="FT30" s="80">
        <f>FT29-FT28</f>
        <v/>
      </c>
      <c r="FU30" s="80">
        <f>FU29-FU28</f>
        <v/>
      </c>
      <c r="FV30" s="80">
        <f>FV29-FV28</f>
        <v/>
      </c>
      <c r="FW30" s="80">
        <f>FW29-FW28</f>
        <v/>
      </c>
      <c r="FX30" s="80">
        <f>FX29-FX28</f>
        <v/>
      </c>
      <c r="FY30" s="80">
        <f>FY29-FY28</f>
        <v/>
      </c>
      <c r="FZ30" s="80">
        <f>FZ29-FZ28</f>
        <v/>
      </c>
      <c r="GA30" s="80">
        <f>GA29-GA28</f>
        <v/>
      </c>
      <c r="GB30" s="80">
        <f>GB29-GB28</f>
        <v/>
      </c>
      <c r="GC30" s="80">
        <f>GC29-GC28</f>
        <v/>
      </c>
      <c r="GD30" s="80">
        <f>GD29-GD28</f>
        <v/>
      </c>
      <c r="GE30" s="80">
        <f>GE29-GE28</f>
        <v/>
      </c>
      <c r="GF30" s="80">
        <f>GF29-GF28</f>
        <v/>
      </c>
      <c r="GG30" s="80">
        <f>GG29-GG28</f>
        <v/>
      </c>
      <c r="GH30" s="80">
        <f>GH29-GH28</f>
        <v/>
      </c>
      <c r="GI30" s="80">
        <f>GI29-GI28</f>
        <v/>
      </c>
      <c r="GJ30" s="127">
        <f>SUM(FE30:GI30)</f>
        <v/>
      </c>
      <c r="GK30" s="80">
        <f>GK29-GK28</f>
        <v/>
      </c>
      <c r="GL30" s="80">
        <f>GL29-GL28</f>
        <v/>
      </c>
      <c r="GM30" s="80">
        <f>GM29-GM28</f>
        <v/>
      </c>
      <c r="GN30" s="80">
        <f>GN29-GN28</f>
        <v/>
      </c>
      <c r="GO30" s="80">
        <f>GO29-GO28</f>
        <v/>
      </c>
      <c r="GP30" s="80">
        <f>GP29-GP28</f>
        <v/>
      </c>
      <c r="GQ30" s="80">
        <f>GQ29-GQ28</f>
        <v/>
      </c>
      <c r="GR30" s="80">
        <f>GR29-GR28</f>
        <v/>
      </c>
      <c r="GS30" s="80">
        <f>GS29-GS28</f>
        <v/>
      </c>
      <c r="GT30" s="80">
        <f>GT29-GT28</f>
        <v/>
      </c>
      <c r="GU30" s="80">
        <f>GU29-GU28</f>
        <v/>
      </c>
      <c r="GV30" s="80">
        <f>GV29-GV28</f>
        <v/>
      </c>
      <c r="GW30" s="80">
        <f>GW29-GW28</f>
        <v/>
      </c>
      <c r="GX30" s="80">
        <f>GX29-GX28</f>
        <v/>
      </c>
      <c r="GY30" s="80">
        <f>GY29-GY28</f>
        <v/>
      </c>
      <c r="GZ30" s="80">
        <f>GZ29-GZ28</f>
        <v/>
      </c>
      <c r="HA30" s="80">
        <f>HA29-HA28</f>
        <v/>
      </c>
      <c r="HB30" s="80">
        <f>HB29-HB28</f>
        <v/>
      </c>
      <c r="HC30" s="80">
        <f>HC29-HC28</f>
        <v/>
      </c>
      <c r="HD30" s="80">
        <f>HD29-HD28</f>
        <v/>
      </c>
      <c r="HE30" s="80">
        <f>HE29-HE28</f>
        <v/>
      </c>
      <c r="HF30" s="80">
        <f>HF29-HF28</f>
        <v/>
      </c>
      <c r="HG30" s="80">
        <f>HG29-HG28</f>
        <v/>
      </c>
      <c r="HH30" s="80">
        <f>HH29-HH28</f>
        <v/>
      </c>
      <c r="HI30" s="80">
        <f>HI29-HI28</f>
        <v/>
      </c>
      <c r="HJ30" s="80">
        <f>HJ29-HJ28</f>
        <v/>
      </c>
      <c r="HK30" s="80">
        <f>HK29-HK28</f>
        <v/>
      </c>
      <c r="HL30" s="80">
        <f>HL29-HL28</f>
        <v/>
      </c>
      <c r="HM30" s="80">
        <f>HM29-HM28</f>
        <v/>
      </c>
      <c r="HN30" s="127">
        <f>SUM(GK30:HM30)</f>
        <v/>
      </c>
      <c r="HO30" s="80">
        <f>HO29-HO28</f>
        <v/>
      </c>
      <c r="HP30" s="80">
        <f>HP29-HP28</f>
        <v/>
      </c>
      <c r="HQ30" s="80">
        <f>HQ29-HQ28</f>
        <v/>
      </c>
      <c r="HR30" s="80">
        <f>HR29-HR28</f>
        <v/>
      </c>
      <c r="HS30" s="80">
        <f>HS29-HS28</f>
        <v/>
      </c>
      <c r="HT30" s="80">
        <f>HT29-HT28</f>
        <v/>
      </c>
      <c r="HU30" s="80">
        <f>HU29-HU28</f>
        <v/>
      </c>
      <c r="HV30" s="80">
        <f>HV29-HV28</f>
        <v/>
      </c>
      <c r="HW30" s="80">
        <f>HW29-HW28</f>
        <v/>
      </c>
      <c r="HX30" s="80">
        <f>HX29-HX28</f>
        <v/>
      </c>
      <c r="HY30" s="80">
        <f>HY29-HY28</f>
        <v/>
      </c>
      <c r="HZ30" s="80">
        <f>HZ29-HZ28</f>
        <v/>
      </c>
      <c r="IA30" s="80">
        <f>IA29-IA28</f>
        <v/>
      </c>
      <c r="IB30" s="80">
        <f>IB29-IB28</f>
        <v/>
      </c>
      <c r="IC30" s="80">
        <f>IC29-IC28</f>
        <v/>
      </c>
      <c r="ID30" s="80">
        <f>ID29-ID28</f>
        <v/>
      </c>
      <c r="IE30" s="80">
        <f>IE29-IE28</f>
        <v/>
      </c>
      <c r="IF30" s="80">
        <f>IF29-IF28</f>
        <v/>
      </c>
      <c r="IG30" s="80">
        <f>IG29-IG28</f>
        <v/>
      </c>
      <c r="IH30" s="80">
        <f>IH29-IH28</f>
        <v/>
      </c>
      <c r="II30" s="80">
        <f>II29-II28</f>
        <v/>
      </c>
      <c r="IJ30" s="80">
        <f>IJ29-IJ28</f>
        <v/>
      </c>
      <c r="IK30" s="80">
        <f>IK29-IK28</f>
        <v/>
      </c>
      <c r="IL30" s="80">
        <f>IL29-IL28</f>
        <v/>
      </c>
      <c r="IM30" s="80">
        <f>IM29-IM28</f>
        <v/>
      </c>
      <c r="IN30" s="80">
        <f>IN29-IN28</f>
        <v/>
      </c>
      <c r="IO30" s="80">
        <f>IO29-IO28</f>
        <v/>
      </c>
      <c r="IP30" s="80">
        <f>IP29-IP28</f>
        <v/>
      </c>
      <c r="IQ30" s="80">
        <f>IQ29-IQ28</f>
        <v/>
      </c>
      <c r="IR30" s="80">
        <f>IR29-IR28</f>
        <v/>
      </c>
      <c r="IS30" s="80">
        <f>IS29-IS28</f>
        <v/>
      </c>
      <c r="IT30" s="127">
        <f>SUM(HO30:IS30)</f>
        <v/>
      </c>
      <c r="IU30" s="80">
        <f>IU29-IU28</f>
        <v/>
      </c>
      <c r="IV30" s="80">
        <f>IV29-IV28</f>
        <v/>
      </c>
      <c r="IW30" s="80">
        <f>IW29-IW28</f>
        <v/>
      </c>
      <c r="IX30" s="80">
        <f>IX29-IX28</f>
        <v/>
      </c>
      <c r="IY30" s="80">
        <f>IY29-IY28</f>
        <v/>
      </c>
      <c r="IZ30" s="80">
        <f>IZ29-IZ28</f>
        <v/>
      </c>
      <c r="JA30" s="80">
        <f>JA29-JA28</f>
        <v/>
      </c>
      <c r="JB30" s="80">
        <f>JB29-JB28</f>
        <v/>
      </c>
      <c r="JC30" s="80">
        <f>JC29-JC28</f>
        <v/>
      </c>
      <c r="JD30" s="80">
        <f>JD29-JD28</f>
        <v/>
      </c>
      <c r="JE30" s="80">
        <f>JE29-JE28</f>
        <v/>
      </c>
      <c r="JF30" s="80">
        <f>JF29-JF28</f>
        <v/>
      </c>
      <c r="JG30" s="80">
        <f>JG29-JG28</f>
        <v/>
      </c>
      <c r="JH30" s="80">
        <f>JH29-JH28</f>
        <v/>
      </c>
      <c r="JI30" s="80">
        <f>JI29-JI28</f>
        <v/>
      </c>
      <c r="JJ30" s="80">
        <f>JJ29-JJ28</f>
        <v/>
      </c>
      <c r="JK30" s="80">
        <f>JK29-JK28</f>
        <v/>
      </c>
      <c r="JL30" s="80">
        <f>JL29-JL28</f>
        <v/>
      </c>
      <c r="JM30" s="80">
        <f>JM29-JM28</f>
        <v/>
      </c>
      <c r="JN30" s="80">
        <f>JN29-JN28</f>
        <v/>
      </c>
      <c r="JO30" s="80">
        <f>JO29-JO28</f>
        <v/>
      </c>
      <c r="JP30" s="80">
        <f>JP29-JP28</f>
        <v/>
      </c>
      <c r="JQ30" s="80">
        <f>JQ29-JQ28</f>
        <v/>
      </c>
      <c r="JR30" s="80">
        <f>JR29-JR28</f>
        <v/>
      </c>
      <c r="JS30" s="80">
        <f>JS29-JS28</f>
        <v/>
      </c>
      <c r="JT30" s="80">
        <f>JT29-JT28</f>
        <v/>
      </c>
      <c r="JU30" s="80">
        <f>JU29-JU28</f>
        <v/>
      </c>
      <c r="JV30" s="80">
        <f>JV29-JV28</f>
        <v/>
      </c>
      <c r="JW30" s="80">
        <f>JW29-JW28</f>
        <v/>
      </c>
      <c r="JX30" s="80">
        <f>JX29-JX28</f>
        <v/>
      </c>
      <c r="JY30" s="127">
        <f>SUM(IU30:JX30)</f>
        <v/>
      </c>
      <c r="JZ30" s="80">
        <f>JZ29-JZ28</f>
        <v/>
      </c>
      <c r="KA30" s="80">
        <f>KA29-KA28</f>
        <v/>
      </c>
      <c r="KB30" s="80">
        <f>KB29-KB28</f>
        <v/>
      </c>
      <c r="KC30" s="80">
        <f>KC29-KC28</f>
        <v/>
      </c>
      <c r="KD30" s="80">
        <f>KD29-KD28</f>
        <v/>
      </c>
      <c r="KE30" s="80">
        <f>KE29-KE28</f>
        <v/>
      </c>
      <c r="KF30" s="80">
        <f>KF29-KF28</f>
        <v/>
      </c>
      <c r="KG30" s="80">
        <f>KG29-KG28</f>
        <v/>
      </c>
      <c r="KH30" s="80">
        <f>KH29-KH28</f>
        <v/>
      </c>
      <c r="KI30" s="80">
        <f>KI29-KI28</f>
        <v/>
      </c>
      <c r="KJ30" s="80">
        <f>KJ29-KJ28</f>
        <v/>
      </c>
      <c r="KK30" s="80">
        <f>KK29-KK28</f>
        <v/>
      </c>
      <c r="KL30" s="80">
        <f>KL29-KL28</f>
        <v/>
      </c>
      <c r="KM30" s="80">
        <f>KM29-KM28</f>
        <v/>
      </c>
      <c r="KN30" s="80">
        <f>KN29-KN28</f>
        <v/>
      </c>
      <c r="KO30" s="80">
        <f>KO29-KO28</f>
        <v/>
      </c>
      <c r="KP30" s="80">
        <f>KP29-KP28</f>
        <v/>
      </c>
      <c r="KQ30" s="80">
        <f>KQ29-KQ28</f>
        <v/>
      </c>
      <c r="KR30" s="80">
        <f>KR29-KR28</f>
        <v/>
      </c>
      <c r="KS30" s="80">
        <f>KS29-KS28</f>
        <v/>
      </c>
      <c r="KT30" s="80">
        <f>KT29-KT28</f>
        <v/>
      </c>
      <c r="KU30" s="80">
        <f>KU29-KU28</f>
        <v/>
      </c>
      <c r="KV30" s="80">
        <f>KV29-KV28</f>
        <v/>
      </c>
      <c r="KW30" s="80">
        <f>KW29-KW28</f>
        <v/>
      </c>
      <c r="KX30" s="80">
        <f>KX29-KX28</f>
        <v/>
      </c>
      <c r="KY30" s="80">
        <f>KY29-KY28</f>
        <v/>
      </c>
      <c r="KZ30" s="80">
        <f>KZ29-KZ28</f>
        <v/>
      </c>
      <c r="LA30" s="80">
        <f>LA29-LA28</f>
        <v/>
      </c>
      <c r="LB30" s="80">
        <f>LB29-LB28</f>
        <v/>
      </c>
      <c r="LC30" s="80">
        <f>LC29-LC28</f>
        <v/>
      </c>
      <c r="LD30" s="80">
        <f>LD29-LD28</f>
        <v/>
      </c>
      <c r="LE30" s="127">
        <f>SUM(KA30:LD30)</f>
        <v/>
      </c>
      <c r="LF30" s="80">
        <f>LF29-LF28</f>
        <v/>
      </c>
      <c r="LG30" s="80">
        <f>LG29-LG28</f>
        <v/>
      </c>
      <c r="LH30" s="80">
        <f>LH29-LH28</f>
        <v/>
      </c>
      <c r="LI30" s="80">
        <f>LI29-LI28</f>
        <v/>
      </c>
      <c r="LJ30" s="80">
        <f>LJ29-LJ28</f>
        <v/>
      </c>
      <c r="LK30" s="80">
        <f>LK29-LK28</f>
        <v/>
      </c>
      <c r="LL30" s="80">
        <f>LL29-LL28</f>
        <v/>
      </c>
      <c r="LM30" s="80">
        <f>LM29-LM28</f>
        <v/>
      </c>
      <c r="LN30" s="80">
        <f>LN29-LN28</f>
        <v/>
      </c>
      <c r="LO30" s="80">
        <f>LO29-LO28</f>
        <v/>
      </c>
      <c r="LP30" s="80">
        <f>LP29-LP28</f>
        <v/>
      </c>
      <c r="LQ30" s="80">
        <f>LQ29-LQ28</f>
        <v/>
      </c>
      <c r="LR30" s="80">
        <f>LR29-LR28</f>
        <v/>
      </c>
      <c r="LS30" s="80">
        <f>LS29-LS28</f>
        <v/>
      </c>
      <c r="LT30" s="80">
        <f>LT29-LT28</f>
        <v/>
      </c>
      <c r="LU30" s="80">
        <f>LU29-LU28</f>
        <v/>
      </c>
      <c r="LV30" s="80">
        <f>LV29-LV28</f>
        <v/>
      </c>
      <c r="LW30" s="80">
        <f>LW29-LW28</f>
        <v/>
      </c>
      <c r="LX30" s="80">
        <f>LX29-LX28</f>
        <v/>
      </c>
      <c r="LY30" s="80">
        <f>LY29-LY28</f>
        <v/>
      </c>
      <c r="LZ30" s="80">
        <f>LZ29-LZ28</f>
        <v/>
      </c>
      <c r="MA30" s="80">
        <f>MA29-MA28</f>
        <v/>
      </c>
      <c r="MB30" s="80">
        <f>MB29-MB28</f>
        <v/>
      </c>
      <c r="MC30" s="80">
        <f>MC29-MC28</f>
        <v/>
      </c>
      <c r="MD30" s="80">
        <f>MD29-MD28</f>
        <v/>
      </c>
      <c r="ME30" s="80">
        <f>ME29-ME28</f>
        <v/>
      </c>
      <c r="MF30" s="80">
        <f>MF29-MF28</f>
        <v/>
      </c>
      <c r="MG30" s="80">
        <f>MG29-MG28</f>
        <v/>
      </c>
      <c r="MH30" s="80">
        <f>MH29-MH28</f>
        <v/>
      </c>
      <c r="MI30" s="80">
        <f>MI29-MI28</f>
        <v/>
      </c>
      <c r="MJ30" s="127">
        <f>SUM(LF30:MI30)</f>
        <v/>
      </c>
      <c r="MK30" s="80">
        <f>MK29-MK28</f>
        <v/>
      </c>
      <c r="ML30" s="80">
        <f>ML29-ML28</f>
        <v/>
      </c>
      <c r="MM30" s="80">
        <f>MM29-MM28</f>
        <v/>
      </c>
      <c r="MN30" s="80">
        <f>MN29-MN28</f>
        <v/>
      </c>
      <c r="MO30" s="80">
        <f>MO29-MO28</f>
        <v/>
      </c>
      <c r="MP30" s="80">
        <f>MP29-MP28</f>
        <v/>
      </c>
      <c r="MQ30" s="80">
        <f>MQ29-MQ28</f>
        <v/>
      </c>
      <c r="MR30" s="80">
        <f>MR29-MR28</f>
        <v/>
      </c>
      <c r="MS30" s="80">
        <f>MS29-MS28</f>
        <v/>
      </c>
      <c r="MT30" s="80">
        <f>MT29-MT28</f>
        <v/>
      </c>
      <c r="MU30" s="80">
        <f>MU29-MU28</f>
        <v/>
      </c>
      <c r="MV30" s="80">
        <f>MV29-MV28</f>
        <v/>
      </c>
      <c r="MW30" s="80">
        <f>MW29-MW28</f>
        <v/>
      </c>
      <c r="MX30" s="80">
        <f>MX29-MX28</f>
        <v/>
      </c>
      <c r="MY30" s="80">
        <f>MY29-MY28</f>
        <v/>
      </c>
      <c r="MZ30" s="80">
        <f>MZ29-MZ28</f>
        <v/>
      </c>
      <c r="NA30" s="80">
        <f>NA29-NA28</f>
        <v/>
      </c>
      <c r="NB30" s="80">
        <f>NB29-NB28</f>
        <v/>
      </c>
      <c r="NC30" s="80">
        <f>NC29-NC28</f>
        <v/>
      </c>
      <c r="ND30" s="80">
        <f>ND29-ND28</f>
        <v/>
      </c>
      <c r="NE30" s="80">
        <f>NE29-NE28</f>
        <v/>
      </c>
      <c r="NF30" s="80">
        <f>NF29-NF28</f>
        <v/>
      </c>
      <c r="NG30" s="80">
        <f>NG29-NG28</f>
        <v/>
      </c>
      <c r="NH30" s="80">
        <f>NH29-NH28</f>
        <v/>
      </c>
      <c r="NI30" s="80">
        <f>NI29-NI28</f>
        <v/>
      </c>
      <c r="NJ30" s="80">
        <f>NJ29-NJ28</f>
        <v/>
      </c>
      <c r="NK30" s="80">
        <f>NK29-NK28</f>
        <v/>
      </c>
      <c r="NL30" s="80">
        <f>NL29-NL28</f>
        <v/>
      </c>
      <c r="NM30" s="80">
        <f>NM29-NM28</f>
        <v/>
      </c>
      <c r="NN30" s="80">
        <f>NN29-NN28</f>
        <v/>
      </c>
      <c r="NO30" s="80">
        <f>NO29-NO28</f>
        <v/>
      </c>
      <c r="NP30" s="127">
        <f>SUM(ML30:NO30)</f>
        <v/>
      </c>
      <c r="NQ30" s="80">
        <f>NQ29-NQ28</f>
        <v/>
      </c>
      <c r="NR30" s="80">
        <f>NR29-NR28</f>
        <v/>
      </c>
      <c r="NS30" s="80">
        <f>NS29-NS28</f>
        <v/>
      </c>
      <c r="NT30" s="80">
        <f>NT29-NT28</f>
        <v/>
      </c>
      <c r="NU30" s="80">
        <f>NU29-NU28</f>
        <v/>
      </c>
      <c r="NV30" s="80">
        <f>NV29-NV28</f>
        <v/>
      </c>
      <c r="NW30" s="80">
        <f>NW29-NW28</f>
        <v/>
      </c>
      <c r="NX30" s="80">
        <f>NX29-NX28</f>
        <v/>
      </c>
      <c r="NY30" s="80">
        <f>NY29-NY28</f>
        <v/>
      </c>
      <c r="NZ30" s="80">
        <f>NZ29-NZ28</f>
        <v/>
      </c>
      <c r="OA30" s="80">
        <f>OA29-OA28</f>
        <v/>
      </c>
      <c r="OB30" s="80">
        <f>OB29-OB28</f>
        <v/>
      </c>
      <c r="OC30" s="80">
        <f>OC29-OC28</f>
        <v/>
      </c>
      <c r="OD30" s="80">
        <f>OD29-OD28</f>
        <v/>
      </c>
      <c r="OE30" s="80">
        <f>OE29-OE28</f>
        <v/>
      </c>
      <c r="OF30" s="80">
        <f>OF29-OF28</f>
        <v/>
      </c>
      <c r="OG30" s="80">
        <f>OG29-OG28</f>
        <v/>
      </c>
      <c r="OH30" s="80">
        <f>OH29-OH28</f>
        <v/>
      </c>
      <c r="OI30" s="80">
        <f>OI29-OI28</f>
        <v/>
      </c>
      <c r="OJ30" s="80">
        <f>OJ29-OJ28</f>
        <v/>
      </c>
      <c r="OK30" s="80">
        <f>OK29-OK28</f>
        <v/>
      </c>
      <c r="OL30" s="80">
        <f>OL29-OL28</f>
        <v/>
      </c>
      <c r="OM30" s="80">
        <f>OM29-OM28</f>
        <v/>
      </c>
      <c r="ON30" s="80">
        <f>ON29-ON28</f>
        <v/>
      </c>
      <c r="OO30" s="80">
        <f>OO29-OO28</f>
        <v/>
      </c>
      <c r="OP30" s="80">
        <f>OP29-OP28</f>
        <v/>
      </c>
      <c r="OQ30" s="80">
        <f>OQ29-OQ28</f>
        <v/>
      </c>
      <c r="OR30" s="80">
        <f>OR29-OR28</f>
        <v/>
      </c>
      <c r="OS30" s="80">
        <f>OS29-OS28</f>
        <v/>
      </c>
      <c r="OT30" s="80">
        <f>OT29-OT28</f>
        <v/>
      </c>
      <c r="OU30" s="80">
        <f>OU29-OU28</f>
        <v/>
      </c>
      <c r="OV30" s="127">
        <f>SUM(NR30:OU30)</f>
        <v/>
      </c>
      <c r="OW30" s="80">
        <f>OW29-OW28</f>
        <v/>
      </c>
      <c r="OX30" s="80">
        <f>OX29-OX28</f>
        <v/>
      </c>
      <c r="OY30" s="80">
        <f>OY29-OY28</f>
        <v/>
      </c>
      <c r="OZ30" s="80">
        <f>OZ29-OZ28</f>
        <v/>
      </c>
      <c r="PA30" s="80">
        <f>PA29-PA28</f>
        <v/>
      </c>
      <c r="PB30" s="80">
        <f>PB29-PB28</f>
        <v/>
      </c>
      <c r="PC30" s="80">
        <f>PC29-PC28</f>
        <v/>
      </c>
      <c r="PD30" s="80">
        <f>PD29-PD28</f>
        <v/>
      </c>
      <c r="PE30" s="80">
        <f>PE29-PE28</f>
        <v/>
      </c>
      <c r="PF30" s="80">
        <f>PF29-PF28</f>
        <v/>
      </c>
      <c r="PG30" s="80">
        <f>PG29-PG28</f>
        <v/>
      </c>
      <c r="PH30" s="80">
        <f>PH29-PH28</f>
        <v/>
      </c>
      <c r="PI30" s="80">
        <f>PI29-PI28</f>
        <v/>
      </c>
      <c r="PJ30" s="80">
        <f>PJ29-PJ28</f>
        <v/>
      </c>
      <c r="PK30" s="80">
        <f>PK29-PK28</f>
        <v/>
      </c>
      <c r="PL30" s="80">
        <f>PL29-PL28</f>
        <v/>
      </c>
      <c r="PM30" s="80">
        <f>PM29-PM28</f>
        <v/>
      </c>
      <c r="PN30" s="80">
        <f>PN29-PN28</f>
        <v/>
      </c>
      <c r="PO30" s="80">
        <f>PO29-PO28</f>
        <v/>
      </c>
      <c r="PP30" s="80">
        <f>PP29-PP28</f>
        <v/>
      </c>
      <c r="PQ30" s="80">
        <f>PQ29-PQ28</f>
        <v/>
      </c>
      <c r="PR30" s="80">
        <f>PR29-PR28</f>
        <v/>
      </c>
      <c r="PS30" s="80">
        <f>PS29-PS28</f>
        <v/>
      </c>
      <c r="PT30" s="80">
        <f>PT29-PT28</f>
        <v/>
      </c>
      <c r="PU30" s="80">
        <f>PU29-PU28</f>
        <v/>
      </c>
      <c r="PV30" s="80">
        <f>PV29-PV28</f>
        <v/>
      </c>
      <c r="PW30" s="80">
        <f>PW29-PW28</f>
        <v/>
      </c>
      <c r="PX30" s="80">
        <f>PX29-PX28</f>
        <v/>
      </c>
      <c r="PY30" s="80">
        <f>PY29-PY28</f>
        <v/>
      </c>
      <c r="PZ30" s="80">
        <f>PZ29-PZ28</f>
        <v/>
      </c>
      <c r="QA30" s="127">
        <f>SUM(OW30:PZ30)</f>
        <v/>
      </c>
      <c r="QB30" s="80">
        <f>QB29-QB28</f>
        <v/>
      </c>
      <c r="QC30" s="80">
        <f>QC29-QC28</f>
        <v/>
      </c>
      <c r="QD30" s="80">
        <f>QD29-QD28</f>
        <v/>
      </c>
      <c r="QE30" s="80">
        <f>QE29-QE28</f>
        <v/>
      </c>
      <c r="QF30" s="80">
        <f>QF29-QF28</f>
        <v/>
      </c>
      <c r="QG30" s="80">
        <f>QG29-QG28</f>
        <v/>
      </c>
      <c r="QH30" s="80">
        <f>QH29-QH28</f>
        <v/>
      </c>
      <c r="QI30" s="80">
        <f>QI29-QI28</f>
        <v/>
      </c>
      <c r="QJ30" s="80">
        <f>QJ29-QJ28</f>
        <v/>
      </c>
      <c r="QK30" s="80">
        <f>QK29-QK28</f>
        <v/>
      </c>
      <c r="QL30" s="80">
        <f>QL29-QL28</f>
        <v/>
      </c>
      <c r="QM30" s="80">
        <f>QM29-QM28</f>
        <v/>
      </c>
      <c r="QN30" s="80">
        <f>QN29-QN28</f>
        <v/>
      </c>
      <c r="QO30" s="80">
        <f>QO29-QO28</f>
        <v/>
      </c>
      <c r="QP30" s="80">
        <f>QP29-QP28</f>
        <v/>
      </c>
      <c r="QQ30" s="80">
        <f>QQ29-QQ28</f>
        <v/>
      </c>
      <c r="QR30" s="80">
        <f>QR29-QR28</f>
        <v/>
      </c>
      <c r="QS30" s="80">
        <f>QS29-QS28</f>
        <v/>
      </c>
      <c r="QT30" s="80">
        <f>QT29-QT28</f>
        <v/>
      </c>
      <c r="QU30" s="80">
        <f>QU29-QU28</f>
        <v/>
      </c>
      <c r="QV30" s="80">
        <f>QV29-QV28</f>
        <v/>
      </c>
      <c r="QW30" s="80">
        <f>QW29-QW28</f>
        <v/>
      </c>
      <c r="QX30" s="80">
        <f>QX29-QX28</f>
        <v/>
      </c>
      <c r="QY30" s="80">
        <f>QY29-QY28</f>
        <v/>
      </c>
      <c r="QZ30" s="80">
        <f>QZ29-QZ28</f>
        <v/>
      </c>
      <c r="RA30" s="80">
        <f>RA29-RA28</f>
        <v/>
      </c>
      <c r="RB30" s="80">
        <f>RB29-RB28</f>
        <v/>
      </c>
      <c r="RC30" s="80">
        <f>RC29-RC28</f>
        <v/>
      </c>
      <c r="RD30" s="80">
        <f>RD29-RD28</f>
        <v/>
      </c>
      <c r="RE30" s="80">
        <f>RE29-RE28</f>
        <v/>
      </c>
      <c r="RF30" s="80">
        <f>RF29-RF28</f>
        <v/>
      </c>
      <c r="RG30" s="127">
        <f>SUM(QC30:RF30)</f>
        <v/>
      </c>
      <c r="RH30" s="80">
        <f>RH29-RH28</f>
        <v/>
      </c>
      <c r="RI30" s="80">
        <f>RI29-RI28</f>
        <v/>
      </c>
      <c r="RJ30" s="80">
        <f>RJ29-RJ28</f>
        <v/>
      </c>
      <c r="RK30" s="80">
        <f>RK29-RK28</f>
        <v/>
      </c>
      <c r="RL30" s="80">
        <f>RL29-RL28</f>
        <v/>
      </c>
      <c r="RM30" s="80">
        <f>RM29-RM28</f>
        <v/>
      </c>
      <c r="RN30" s="80">
        <f>RN29-RN28</f>
        <v/>
      </c>
      <c r="RO30" s="80">
        <f>RO29-RO28</f>
        <v/>
      </c>
      <c r="RP30" s="80">
        <f>RP29-RP28</f>
        <v/>
      </c>
      <c r="RQ30" s="80">
        <f>RQ29-RQ28</f>
        <v/>
      </c>
      <c r="RR30" s="80">
        <f>RR29-RR28</f>
        <v/>
      </c>
      <c r="RS30" s="80">
        <f>RS29-RS28</f>
        <v/>
      </c>
      <c r="RT30" s="80">
        <f>RT29-RT28</f>
        <v/>
      </c>
      <c r="RU30" s="80">
        <f>RU29-RU28</f>
        <v/>
      </c>
      <c r="RV30" s="80">
        <f>RV29-RV28</f>
        <v/>
      </c>
      <c r="RW30" s="80">
        <f>RW29-RW28</f>
        <v/>
      </c>
      <c r="RX30" s="80">
        <f>RX29-RX28</f>
        <v/>
      </c>
      <c r="RY30" s="80">
        <f>RY29-RY28</f>
        <v/>
      </c>
      <c r="RZ30" s="80">
        <f>RZ29-RZ28</f>
        <v/>
      </c>
      <c r="SA30" s="80">
        <f>SA29-SA28</f>
        <v/>
      </c>
      <c r="SB30" s="80">
        <f>SB29-SB28</f>
        <v/>
      </c>
      <c r="SC30" s="80">
        <f>SC29-SC28</f>
        <v/>
      </c>
      <c r="SD30" s="80">
        <f>SD29-SD28</f>
        <v/>
      </c>
      <c r="SE30" s="80">
        <f>SE29-SE28</f>
        <v/>
      </c>
      <c r="SF30" s="80">
        <f>SF29-SF28</f>
        <v/>
      </c>
      <c r="SG30" s="80">
        <f>SG29-SG28</f>
        <v/>
      </c>
      <c r="SH30" s="80">
        <f>SH29-SH28</f>
        <v/>
      </c>
      <c r="SI30" s="80">
        <f>SI29-SI28</f>
        <v/>
      </c>
      <c r="SJ30" s="80">
        <f>SJ29-SJ28</f>
        <v/>
      </c>
      <c r="SK30" s="80">
        <f>SK29-SK28</f>
        <v/>
      </c>
      <c r="SL30" s="127">
        <f>SUM(RH30:SK30)</f>
        <v/>
      </c>
      <c r="SM30" s="80">
        <f>SM29-SM28</f>
        <v/>
      </c>
      <c r="SN30" s="80">
        <f>SN29-SN28</f>
        <v/>
      </c>
      <c r="SO30" s="80">
        <f>SO29-SO28</f>
        <v/>
      </c>
      <c r="SP30" s="80">
        <f>SP29-SP28</f>
        <v/>
      </c>
      <c r="SQ30" s="80">
        <f>SQ29-SQ28</f>
        <v/>
      </c>
      <c r="SR30" s="80">
        <f>SR29-SR28</f>
        <v/>
      </c>
      <c r="SS30" s="80">
        <f>SS29-SS28</f>
        <v/>
      </c>
      <c r="ST30" s="80">
        <f>ST29-ST28</f>
        <v/>
      </c>
      <c r="SU30" s="80">
        <f>SU29-SU28</f>
        <v/>
      </c>
      <c r="SV30" s="80">
        <f>SV29-SV28</f>
        <v/>
      </c>
      <c r="SW30" s="80">
        <f>SW29-SW28</f>
        <v/>
      </c>
      <c r="SX30" s="80">
        <f>SX29-SX28</f>
        <v/>
      </c>
      <c r="SY30" s="80">
        <f>SY29-SY28</f>
        <v/>
      </c>
      <c r="SZ30" s="80">
        <f>SZ29-SZ28</f>
        <v/>
      </c>
      <c r="TA30" s="80">
        <f>TA29-TA28</f>
        <v/>
      </c>
      <c r="TB30" s="80">
        <f>TB29-TB28</f>
        <v/>
      </c>
      <c r="TC30" s="80">
        <f>TC29-TC28</f>
        <v/>
      </c>
      <c r="TD30" s="80">
        <f>TD29-TD28</f>
        <v/>
      </c>
      <c r="TE30" s="80">
        <f>TE29-TE28</f>
        <v/>
      </c>
      <c r="TF30" s="80">
        <f>TF29-TF28</f>
        <v/>
      </c>
      <c r="TG30" s="80">
        <f>TG29-TG28</f>
        <v/>
      </c>
      <c r="TH30" s="80">
        <f>TH29-TH28</f>
        <v/>
      </c>
      <c r="TI30" s="80">
        <f>TI29-TI28</f>
        <v/>
      </c>
      <c r="TJ30" s="80">
        <f>TJ29-TJ28</f>
        <v/>
      </c>
      <c r="TK30" s="80">
        <f>TK29-TK28</f>
        <v/>
      </c>
      <c r="TL30" s="80">
        <f>TL29-TL28</f>
        <v/>
      </c>
      <c r="TM30" s="80">
        <f>TM29-TM28</f>
        <v/>
      </c>
      <c r="TN30" s="80">
        <f>TN29-TN28</f>
        <v/>
      </c>
      <c r="TO30" s="80">
        <f>TO29-TO28</f>
        <v/>
      </c>
      <c r="TP30" s="80">
        <f>TP29-TP28</f>
        <v/>
      </c>
      <c r="TQ30" s="80">
        <f>TQ29-TQ28</f>
        <v/>
      </c>
      <c r="TR30" s="127">
        <f>SUM(SN30:TQ30)</f>
        <v/>
      </c>
      <c r="TS30" s="80">
        <f>TS29-TS28</f>
        <v/>
      </c>
      <c r="TT30" s="80">
        <f>TT29-TT28</f>
        <v/>
      </c>
      <c r="TU30" s="80">
        <f>TU29-TU28</f>
        <v/>
      </c>
      <c r="TV30" s="80">
        <f>TV29-TV28</f>
        <v/>
      </c>
      <c r="TW30" s="80">
        <f>TW29-TW28</f>
        <v/>
      </c>
      <c r="TX30" s="80">
        <f>TX29-TX28</f>
        <v/>
      </c>
      <c r="TY30" s="80">
        <f>TY29-TY28</f>
        <v/>
      </c>
      <c r="TZ30" s="80">
        <f>TZ29-TZ28</f>
        <v/>
      </c>
      <c r="UA30" s="80">
        <f>UA29-UA28</f>
        <v/>
      </c>
      <c r="UB30" s="80">
        <f>UB29-UB28</f>
        <v/>
      </c>
      <c r="UC30" s="80">
        <f>UC29-UC28</f>
        <v/>
      </c>
      <c r="UD30" s="80">
        <f>UD29-UD28</f>
        <v/>
      </c>
      <c r="UE30" s="80">
        <f>UE29-UE28</f>
        <v/>
      </c>
      <c r="UF30" s="80">
        <f>UF29-UF28</f>
        <v/>
      </c>
      <c r="UG30" s="80">
        <f>UG29-UG28</f>
        <v/>
      </c>
      <c r="UH30" s="80">
        <f>UH29-UH28</f>
        <v/>
      </c>
      <c r="UI30" s="80">
        <f>UI29-UI28</f>
        <v/>
      </c>
      <c r="UJ30" s="80">
        <f>UJ29-UJ28</f>
        <v/>
      </c>
      <c r="UK30" s="80">
        <f>UK29-UK28</f>
        <v/>
      </c>
      <c r="UL30" s="80">
        <f>UL29-UL28</f>
        <v/>
      </c>
      <c r="UM30" s="80">
        <f>UM29-UM28</f>
        <v/>
      </c>
      <c r="UN30" s="80">
        <f>UN29-UN28</f>
        <v/>
      </c>
      <c r="UO30" s="80">
        <f>UO29-UO28</f>
        <v/>
      </c>
      <c r="UP30" s="80">
        <f>UP29-UP28</f>
        <v/>
      </c>
      <c r="UQ30" s="80">
        <f>UQ29-UQ28</f>
        <v/>
      </c>
      <c r="UR30" s="80">
        <f>UR29-UR28</f>
        <v/>
      </c>
      <c r="US30" s="80">
        <f>US29-US28</f>
        <v/>
      </c>
      <c r="UT30" s="80">
        <f>UT29-UT28</f>
        <v/>
      </c>
      <c r="UU30" s="80">
        <f>UU29-UU28</f>
        <v/>
      </c>
      <c r="UV30" s="80">
        <f>UV29-UV28</f>
        <v/>
      </c>
      <c r="UW30" s="80">
        <f>UW29-UW28</f>
        <v/>
      </c>
      <c r="UX30" s="127">
        <f>SUM(TT30:UW30)</f>
        <v/>
      </c>
      <c r="UY30" s="80">
        <f>UY29-UY28</f>
        <v/>
      </c>
      <c r="UZ30" s="80">
        <f>UZ29-UZ28</f>
        <v/>
      </c>
      <c r="VA30" s="80">
        <f>VA29-VA28</f>
        <v/>
      </c>
      <c r="VB30" s="80">
        <f>VB29-VB28</f>
        <v/>
      </c>
      <c r="VC30" s="80">
        <f>VC29-VC28</f>
        <v/>
      </c>
      <c r="VD30" s="80">
        <f>VD29-VD28</f>
        <v/>
      </c>
      <c r="VE30" s="80">
        <f>VE29-VE28</f>
        <v/>
      </c>
      <c r="VF30" s="80">
        <f>VF29-VF28</f>
        <v/>
      </c>
      <c r="VG30" s="80">
        <f>VG29-VG28</f>
        <v/>
      </c>
      <c r="VH30" s="80">
        <f>VH29-VH28</f>
        <v/>
      </c>
      <c r="VI30" s="80">
        <f>VI29-VI28</f>
        <v/>
      </c>
      <c r="VJ30" s="80">
        <f>VJ29-VJ28</f>
        <v/>
      </c>
      <c r="VK30" s="80">
        <f>VK29-VK28</f>
        <v/>
      </c>
      <c r="VL30" s="80">
        <f>VL29-VL28</f>
        <v/>
      </c>
      <c r="VM30" s="80">
        <f>VM29-VM28</f>
        <v/>
      </c>
      <c r="VN30" s="80">
        <f>VN29-VN28</f>
        <v/>
      </c>
      <c r="VO30" s="80">
        <f>VO29-VO28</f>
        <v/>
      </c>
      <c r="VP30" s="80">
        <f>VP29-VP28</f>
        <v/>
      </c>
      <c r="VQ30" s="80">
        <f>VQ29-VQ28</f>
        <v/>
      </c>
      <c r="VR30" s="80">
        <f>VR29-VR28</f>
        <v/>
      </c>
      <c r="VS30" s="80">
        <f>VS29-VS28</f>
        <v/>
      </c>
      <c r="VT30" s="80">
        <f>VT29-VT28</f>
        <v/>
      </c>
      <c r="VU30" s="80">
        <f>VU29-VU28</f>
        <v/>
      </c>
      <c r="VV30" s="80">
        <f>VV29-VV28</f>
        <v/>
      </c>
      <c r="VW30" s="80">
        <f>VW29-VW28</f>
        <v/>
      </c>
      <c r="VX30" s="80">
        <f>VX29-VX28</f>
        <v/>
      </c>
      <c r="VY30" s="80">
        <f>VY29-VY28</f>
        <v/>
      </c>
      <c r="VZ30" s="80">
        <f>VZ29-VZ28</f>
        <v/>
      </c>
      <c r="WA30" s="127">
        <f>SUM(UW30:VZ30)</f>
        <v/>
      </c>
      <c r="WB30" s="80">
        <f>WB29-WB28</f>
        <v/>
      </c>
      <c r="WC30" s="80">
        <f>WC29-WC28</f>
        <v/>
      </c>
      <c r="WD30" s="80">
        <f>WD29-WD28</f>
        <v/>
      </c>
      <c r="WE30" s="80">
        <f>WE29-WE28</f>
        <v/>
      </c>
      <c r="WF30" s="80">
        <f>WF29-WF28</f>
        <v/>
      </c>
      <c r="WG30" s="80">
        <f>WG29-WG28</f>
        <v/>
      </c>
      <c r="WH30" s="80">
        <f>WH29-WH28</f>
        <v/>
      </c>
      <c r="WI30" s="80">
        <f>WI29-WI28</f>
        <v/>
      </c>
      <c r="WJ30" s="80">
        <f>WJ29-WJ28</f>
        <v/>
      </c>
      <c r="WK30" s="80">
        <f>WK29-WK28</f>
        <v/>
      </c>
      <c r="WL30" s="80">
        <f>WL29-WL28</f>
        <v/>
      </c>
      <c r="WM30" s="80">
        <f>WM29-WM28</f>
        <v/>
      </c>
      <c r="WN30" s="80">
        <f>WN29-WN28</f>
        <v/>
      </c>
      <c r="WO30" s="80">
        <f>WO29-WO28</f>
        <v/>
      </c>
      <c r="WP30" s="80">
        <f>WP29-WP28</f>
        <v/>
      </c>
      <c r="WQ30" s="80">
        <f>WQ29-WQ28</f>
        <v/>
      </c>
      <c r="WR30" s="80">
        <f>WR29-WR28</f>
        <v/>
      </c>
      <c r="WS30" s="80">
        <f>WS29-WS28</f>
        <v/>
      </c>
      <c r="WT30" s="80">
        <f>WT29-WT28</f>
        <v/>
      </c>
      <c r="WU30" s="80">
        <f>WU29-WU28</f>
        <v/>
      </c>
      <c r="WV30" s="80">
        <f>WV29-WV28</f>
        <v/>
      </c>
      <c r="WW30" s="80">
        <f>WW29-WW28</f>
        <v/>
      </c>
      <c r="WX30" s="80">
        <f>WX29-WX28</f>
        <v/>
      </c>
      <c r="WY30" s="80">
        <f>WY29-WY28</f>
        <v/>
      </c>
      <c r="WZ30" s="80">
        <f>WZ29-WZ28</f>
        <v/>
      </c>
      <c r="XA30" s="80">
        <f>XA29-XA28</f>
        <v/>
      </c>
      <c r="XB30" s="80">
        <f>XB29-XB28</f>
        <v/>
      </c>
      <c r="XC30" s="80">
        <f>XC29-XC28</f>
        <v/>
      </c>
      <c r="XD30" s="80">
        <f>XD29-XD28</f>
        <v/>
      </c>
      <c r="XE30" s="80">
        <f>XE29-XE28</f>
        <v/>
      </c>
      <c r="XF30" s="80">
        <f>XF29-XF28</f>
        <v/>
      </c>
      <c r="XG30" s="127">
        <f>SUM(WB30:XF30)</f>
        <v/>
      </c>
      <c r="XH30" s="80">
        <f>XH29-XH28</f>
        <v/>
      </c>
      <c r="XI30" s="80">
        <f>XI29-XI28</f>
        <v/>
      </c>
      <c r="XJ30" s="80">
        <f>XJ29-XJ28</f>
        <v/>
      </c>
      <c r="XK30" s="80">
        <f>XK29-XK28</f>
        <v/>
      </c>
      <c r="XL30" s="80">
        <f>XL29-XL28</f>
        <v/>
      </c>
      <c r="XM30" s="80">
        <f>XM29-XM28</f>
        <v/>
      </c>
      <c r="XN30" s="80">
        <f>XN29-XN28</f>
        <v/>
      </c>
      <c r="XO30" s="80">
        <f>XO29-XO28</f>
        <v/>
      </c>
      <c r="XP30" s="80">
        <f>XP29-XP28</f>
        <v/>
      </c>
      <c r="XQ30" s="80">
        <f>XQ29-XQ28</f>
        <v/>
      </c>
      <c r="XR30" s="80">
        <f>XR29-XR28</f>
        <v/>
      </c>
      <c r="XS30" s="80">
        <f>XS29-XS28</f>
        <v/>
      </c>
      <c r="XT30" s="80">
        <f>XT29-XT28</f>
        <v/>
      </c>
      <c r="XU30" s="80">
        <f>XU29-XU28</f>
        <v/>
      </c>
      <c r="XV30" s="80">
        <f>XV29-XV28</f>
        <v/>
      </c>
      <c r="XW30" s="80">
        <f>XW29-XW28</f>
        <v/>
      </c>
      <c r="XX30" s="80">
        <f>XX29-XX28</f>
        <v/>
      </c>
      <c r="XY30" s="80">
        <f>XY29-XY28</f>
        <v/>
      </c>
      <c r="XZ30" s="80">
        <f>XZ29-XZ28</f>
        <v/>
      </c>
      <c r="YA30" s="80">
        <f>YA29-YA28</f>
        <v/>
      </c>
      <c r="YB30" s="80">
        <f>YB29-YB28</f>
        <v/>
      </c>
      <c r="YC30" s="80">
        <f>YC29-YC28</f>
        <v/>
      </c>
      <c r="YD30" s="80">
        <f>YD29-YD28</f>
        <v/>
      </c>
      <c r="YE30" s="80">
        <f>YE29-YE28</f>
        <v/>
      </c>
      <c r="YF30" s="80">
        <f>YF29-YF28</f>
        <v/>
      </c>
      <c r="YG30" s="80">
        <f>YG29-YG28</f>
        <v/>
      </c>
      <c r="YH30" s="80">
        <f>YH29-YH28</f>
        <v/>
      </c>
      <c r="YI30" s="80">
        <f>YI29-YI28</f>
        <v/>
      </c>
      <c r="YJ30" s="80">
        <f>YJ29-YJ28</f>
        <v/>
      </c>
      <c r="YK30" s="80">
        <f>YK29-YK28</f>
        <v/>
      </c>
      <c r="YL30" s="127">
        <f>SUM(XH30:YK30)</f>
        <v/>
      </c>
      <c r="YM30" s="80">
        <f>YM29-YM28</f>
        <v/>
      </c>
      <c r="YN30" s="80">
        <f>YN29-YN28</f>
        <v/>
      </c>
      <c r="YO30" s="80">
        <f>YO29-YO28</f>
        <v/>
      </c>
      <c r="YP30" s="80">
        <f>YP29-YP28</f>
        <v/>
      </c>
      <c r="YQ30" s="80">
        <f>YQ29-YQ28</f>
        <v/>
      </c>
      <c r="YR30" s="80">
        <f>YR29-YR28</f>
        <v/>
      </c>
      <c r="YS30" s="80">
        <f>YS29-YS28</f>
        <v/>
      </c>
      <c r="YT30" s="80">
        <f>YT29-YT28</f>
        <v/>
      </c>
      <c r="YU30" s="80">
        <f>YU29-YU28</f>
        <v/>
      </c>
      <c r="YV30" s="80">
        <f>YV29-YV28</f>
        <v/>
      </c>
      <c r="YW30" s="80">
        <f>YW29-YW28</f>
        <v/>
      </c>
      <c r="YX30" s="80">
        <f>YX29-YX28</f>
        <v/>
      </c>
      <c r="YY30" s="80">
        <f>YY29-YY28</f>
        <v/>
      </c>
      <c r="YZ30" s="80">
        <f>YZ29-YZ28</f>
        <v/>
      </c>
      <c r="ZA30" s="80">
        <f>ZA29-ZA28</f>
        <v/>
      </c>
      <c r="ZB30" s="80">
        <f>ZB29-ZB28</f>
        <v/>
      </c>
      <c r="ZC30" s="80">
        <f>ZC29-ZC28</f>
        <v/>
      </c>
      <c r="ZD30" s="80">
        <f>ZD29-ZD28</f>
        <v/>
      </c>
      <c r="ZE30" s="80">
        <f>ZE29-ZE28</f>
        <v/>
      </c>
      <c r="ZF30" s="80">
        <f>ZF29-ZF28</f>
        <v/>
      </c>
      <c r="ZG30" s="80">
        <f>ZG29-ZG28</f>
        <v/>
      </c>
      <c r="ZH30" s="80">
        <f>ZH29-ZH28</f>
        <v/>
      </c>
      <c r="ZI30" s="80">
        <f>ZI29-ZI28</f>
        <v/>
      </c>
      <c r="ZJ30" s="80">
        <f>ZJ29-ZJ28</f>
        <v/>
      </c>
      <c r="ZK30" s="80">
        <f>ZK29-ZK28</f>
        <v/>
      </c>
      <c r="ZL30" s="80">
        <f>ZL29-ZL28</f>
        <v/>
      </c>
      <c r="ZM30" s="80">
        <f>ZM29-ZM28</f>
        <v/>
      </c>
      <c r="ZN30" s="80">
        <f>ZN29-ZN28</f>
        <v/>
      </c>
      <c r="ZO30" s="80">
        <f>ZO29-ZO28</f>
        <v/>
      </c>
      <c r="ZP30" s="80">
        <f>ZP29-ZP28</f>
        <v/>
      </c>
      <c r="ZQ30" s="80">
        <f>ZQ29-ZQ28</f>
        <v/>
      </c>
      <c r="ZR30" s="127">
        <f>SUM(YN30:ZQ30)</f>
        <v/>
      </c>
      <c r="ZS30" s="80">
        <f>ZS29-ZS28</f>
        <v/>
      </c>
      <c r="ZT30" s="80">
        <f>ZT29-ZT28</f>
        <v/>
      </c>
      <c r="ZU30" s="80">
        <f>ZU29-ZU28</f>
        <v/>
      </c>
      <c r="ZV30" s="80">
        <f>ZV29-ZV28</f>
        <v/>
      </c>
      <c r="ZW30" s="80">
        <f>ZW29-ZW28</f>
        <v/>
      </c>
      <c r="ZX30" s="80">
        <f>ZX29-ZX28</f>
        <v/>
      </c>
      <c r="ZY30" s="80">
        <f>ZY29-ZY28</f>
        <v/>
      </c>
      <c r="ZZ30" s="80">
        <f>ZZ29-ZZ28</f>
        <v/>
      </c>
      <c r="AAA30" s="80">
        <f>AAA29-AAA28</f>
        <v/>
      </c>
      <c r="AAB30" s="80">
        <f>AAB29-AAB28</f>
        <v/>
      </c>
      <c r="AAC30" s="80">
        <f>AAC29-AAC28</f>
        <v/>
      </c>
      <c r="AAD30" s="80">
        <f>AAD29-AAD28</f>
        <v/>
      </c>
      <c r="AAE30" s="80">
        <f>AAE29-AAE28</f>
        <v/>
      </c>
      <c r="AAF30" s="80">
        <f>AAF29-AAF28</f>
        <v/>
      </c>
      <c r="AAG30" s="80">
        <f>AAG29-AAG28</f>
        <v/>
      </c>
      <c r="AAH30" s="80">
        <f>AAH29-AAH28</f>
        <v/>
      </c>
      <c r="AAI30" s="80">
        <f>AAI29-AAI28</f>
        <v/>
      </c>
      <c r="AAJ30" s="80">
        <f>AAJ29-AAJ28</f>
        <v/>
      </c>
      <c r="AAK30" s="80">
        <f>AAK29-AAK28</f>
        <v/>
      </c>
      <c r="AAL30" s="80">
        <f>AAL29-AAL28</f>
        <v/>
      </c>
      <c r="AAM30" s="80">
        <f>AAM29-AAM28</f>
        <v/>
      </c>
      <c r="AAN30" s="80">
        <f>AAN29-AAN28</f>
        <v/>
      </c>
      <c r="AAO30" s="80">
        <f>AAO29-AAO28</f>
        <v/>
      </c>
      <c r="AAP30" s="80">
        <f>AAP29-AAP28</f>
        <v/>
      </c>
      <c r="AAQ30" s="80">
        <f>AAQ29-AAQ28</f>
        <v/>
      </c>
      <c r="AAR30" s="80">
        <f>AAR29-AAR28</f>
        <v/>
      </c>
      <c r="AAS30" s="80">
        <f>AAS29-AAS28</f>
        <v/>
      </c>
      <c r="AAT30" s="80">
        <f>AAT29-AAT28</f>
        <v/>
      </c>
      <c r="AAU30" s="80">
        <f>AAU29-AAU28</f>
        <v/>
      </c>
      <c r="AAV30" s="80">
        <f>AAV29-AAV28</f>
        <v/>
      </c>
      <c r="AAW30" s="127">
        <f>SUM(ZS30:AAV30)</f>
        <v/>
      </c>
      <c r="AAX30" s="80">
        <f>AAX29-AAX28</f>
        <v/>
      </c>
      <c r="AAY30" s="80">
        <f>AAY29-AAY28</f>
        <v/>
      </c>
      <c r="AAZ30" s="80">
        <f>AAZ29-AAZ28</f>
        <v/>
      </c>
      <c r="ABA30" s="80">
        <f>ABA29-ABA28</f>
        <v/>
      </c>
      <c r="ABB30" s="80">
        <f>ABB29-ABB28</f>
        <v/>
      </c>
      <c r="ABC30" s="80">
        <f>ABC29-ABC28</f>
        <v/>
      </c>
      <c r="ABD30" s="80">
        <f>ABD29-ABD28</f>
        <v/>
      </c>
      <c r="ABE30" s="80">
        <f>ABE29-ABE28</f>
        <v/>
      </c>
      <c r="ABF30" s="80">
        <f>ABF29-ABF28</f>
        <v/>
      </c>
      <c r="ABG30" s="80">
        <f>ABG29-ABG28</f>
        <v/>
      </c>
      <c r="ABH30" s="80">
        <f>ABH29-ABH28</f>
        <v/>
      </c>
      <c r="ABI30" s="80">
        <f>ABI29-ABI28</f>
        <v/>
      </c>
      <c r="ABJ30" s="80">
        <f>ABJ29-ABJ28</f>
        <v/>
      </c>
      <c r="ABK30" s="80">
        <f>ABK29-ABK28</f>
        <v/>
      </c>
      <c r="ABL30" s="80">
        <f>ABL29-ABL28</f>
        <v/>
      </c>
      <c r="ABM30" s="80">
        <f>ABM29-ABM28</f>
        <v/>
      </c>
      <c r="ABN30" s="80">
        <f>ABN29-ABN28</f>
        <v/>
      </c>
      <c r="ABO30" s="80">
        <f>ABO29-ABO28</f>
        <v/>
      </c>
      <c r="ABP30" s="80">
        <f>ABP29-ABP28</f>
        <v/>
      </c>
      <c r="ABQ30" s="80">
        <f>ABQ29-ABQ28</f>
        <v/>
      </c>
      <c r="ABR30" s="80">
        <f>ABR29-ABR28</f>
        <v/>
      </c>
      <c r="ABS30" s="80">
        <f>ABS29-ABS28</f>
        <v/>
      </c>
      <c r="ABT30" s="80">
        <f>ABT29-ABT28</f>
        <v/>
      </c>
      <c r="ABU30" s="80">
        <f>ABU29-ABU28</f>
        <v/>
      </c>
      <c r="ABV30" s="80">
        <f>ABV29-ABV28</f>
        <v/>
      </c>
      <c r="ABW30" s="80">
        <f>ABW29-ABW28</f>
        <v/>
      </c>
      <c r="ABX30" s="80">
        <f>ABX29-ABX28</f>
        <v/>
      </c>
      <c r="ABY30" s="80">
        <f>ABY29-ABY28</f>
        <v/>
      </c>
      <c r="ABZ30" s="80">
        <f>ABZ29-ABZ28</f>
        <v/>
      </c>
      <c r="ACA30" s="80">
        <f>ACA29-ACA28</f>
        <v/>
      </c>
      <c r="ACB30" s="80">
        <f>ACB29-ACB28</f>
        <v/>
      </c>
      <c r="ACC30" s="127">
        <f>SUM(AAX30:ACB30)</f>
        <v/>
      </c>
      <c r="ACD30" s="80">
        <f>ACD29-ACD28</f>
        <v/>
      </c>
      <c r="ACE30" s="80">
        <f>ACE29-ACE28</f>
        <v/>
      </c>
      <c r="ACF30" s="80">
        <f>ACF29-ACF28</f>
        <v/>
      </c>
      <c r="ACG30" s="80">
        <f>ACG29-ACG28</f>
        <v/>
      </c>
      <c r="ACH30" s="80">
        <f>ACH29-ACH28</f>
        <v/>
      </c>
      <c r="ACI30" s="80">
        <f>ACI29-ACI28</f>
        <v/>
      </c>
      <c r="ACJ30" s="80">
        <f>ACJ29-ACJ28</f>
        <v/>
      </c>
      <c r="ACK30" s="80">
        <f>ACK29-ACK28</f>
        <v/>
      </c>
      <c r="ACL30" s="80">
        <f>ACL29-ACL28</f>
        <v/>
      </c>
      <c r="ACM30" s="80">
        <f>ACM29-ACM28</f>
        <v/>
      </c>
      <c r="ACN30" s="80">
        <f>ACN29-ACN28</f>
        <v/>
      </c>
      <c r="ACO30" s="80">
        <f>ACO29-ACO28</f>
        <v/>
      </c>
      <c r="ACP30" s="80">
        <f>ACP29-ACP28</f>
        <v/>
      </c>
      <c r="ACQ30" s="80">
        <f>ACQ29-ACQ28</f>
        <v/>
      </c>
      <c r="ACR30" s="80">
        <f>ACR29-ACR28</f>
        <v/>
      </c>
      <c r="ACS30" s="80">
        <f>ACS29-ACS28</f>
        <v/>
      </c>
      <c r="ACT30" s="80">
        <f>ACT29-ACT28</f>
        <v/>
      </c>
      <c r="ACU30" s="80">
        <f>ACU29-ACU28</f>
        <v/>
      </c>
      <c r="ACV30" s="80">
        <f>ACV29-ACV28</f>
        <v/>
      </c>
      <c r="ACW30" s="80">
        <f>ACW29-ACW28</f>
        <v/>
      </c>
      <c r="ACX30" s="80">
        <f>ACX29-ACX28</f>
        <v/>
      </c>
      <c r="ACY30" s="80">
        <f>ACY29-ACY28</f>
        <v/>
      </c>
      <c r="ACZ30" s="80">
        <f>ACZ29-ACZ28</f>
        <v/>
      </c>
      <c r="ADA30" s="80">
        <f>ADA29-ADA28</f>
        <v/>
      </c>
      <c r="ADB30" s="80">
        <f>ADB29-ADB28</f>
        <v/>
      </c>
      <c r="ADC30" s="80">
        <f>ADC29-ADC28</f>
        <v/>
      </c>
      <c r="ADD30" s="80">
        <f>ADD29-ADD28</f>
        <v/>
      </c>
      <c r="ADE30" s="80">
        <f>ADE29-ADE28</f>
        <v/>
      </c>
      <c r="ADF30" s="80">
        <f>ADF29-ADF28</f>
        <v/>
      </c>
      <c r="ADG30" s="80">
        <f>ADG29-ADG28</f>
        <v/>
      </c>
      <c r="ADH30" s="80">
        <f>ADH29-ADH28</f>
        <v/>
      </c>
      <c r="ADI30" s="127">
        <f>SUM(ACD30:ADH30)</f>
        <v/>
      </c>
      <c r="ADJ30" s="80">
        <f>ADJ29-ADJ28</f>
        <v/>
      </c>
      <c r="ADK30" s="80">
        <f>ADK29-ADK28</f>
        <v/>
      </c>
      <c r="ADL30" s="80">
        <f>ADL29-ADL28</f>
        <v/>
      </c>
      <c r="ADM30" s="80">
        <f>ADM29-ADM28</f>
        <v/>
      </c>
      <c r="ADN30" s="80">
        <f>ADN29-ADN28</f>
        <v/>
      </c>
      <c r="ADO30" s="80">
        <f>ADO29-ADO28</f>
        <v/>
      </c>
      <c r="ADP30" s="80">
        <f>ADP29-ADP28</f>
        <v/>
      </c>
      <c r="ADQ30" s="80">
        <f>ADQ29-ADQ28</f>
        <v/>
      </c>
      <c r="ADR30" s="80">
        <f>ADR29-ADR28</f>
        <v/>
      </c>
      <c r="ADS30" s="80">
        <f>ADS29-ADS28</f>
        <v/>
      </c>
      <c r="ADT30" s="80">
        <f>ADT29-ADT28</f>
        <v/>
      </c>
      <c r="ADU30" s="80">
        <f>ADU29-ADU28</f>
        <v/>
      </c>
      <c r="ADV30" s="80">
        <f>ADV29-ADV28</f>
        <v/>
      </c>
      <c r="ADW30" s="80">
        <f>ADW29-ADW28</f>
        <v/>
      </c>
      <c r="ADX30" s="80">
        <f>ADX29-ADX28</f>
        <v/>
      </c>
      <c r="ADY30" s="80">
        <f>ADY29-ADY28</f>
        <v/>
      </c>
      <c r="ADZ30" s="80">
        <f>ADZ29-ADZ28</f>
        <v/>
      </c>
      <c r="AEA30" s="80">
        <f>AEA29-AEA28</f>
        <v/>
      </c>
      <c r="AEB30" s="80">
        <f>AEB29-AEB28</f>
        <v/>
      </c>
      <c r="AEC30" s="80">
        <f>AEC29-AEC28</f>
        <v/>
      </c>
      <c r="AED30" s="80">
        <f>AED29-AED28</f>
        <v/>
      </c>
      <c r="AEE30" s="80">
        <f>AEE29-AEE28</f>
        <v/>
      </c>
      <c r="AEF30" s="80">
        <f>AEF29-AEF28</f>
        <v/>
      </c>
      <c r="AEG30" s="80">
        <f>AEG29-AEG28</f>
        <v/>
      </c>
      <c r="AEH30" s="80">
        <f>AEH29-AEH28</f>
        <v/>
      </c>
      <c r="AEI30" s="80">
        <f>AEI29-AEI28</f>
        <v/>
      </c>
      <c r="AEJ30" s="80">
        <f>AEJ29-AEJ28</f>
        <v/>
      </c>
      <c r="AEK30" s="80">
        <f>AEK29-AEK28</f>
        <v/>
      </c>
      <c r="AEL30" s="80">
        <f>AEL29-AEL28</f>
        <v/>
      </c>
      <c r="AEM30" s="80">
        <f>AEM29-AEM28</f>
        <v/>
      </c>
      <c r="AEN30" s="127">
        <f>SUM(ADI30:AEM30)</f>
        <v/>
      </c>
      <c r="AEO30" s="80">
        <f>AEO29-AEO28</f>
        <v/>
      </c>
      <c r="AEP30" s="80">
        <f>AEP29-AEP28</f>
        <v/>
      </c>
      <c r="AEQ30" s="80">
        <f>AEQ29-AEQ28</f>
        <v/>
      </c>
      <c r="AER30" s="80">
        <f>AER29-AER28</f>
        <v/>
      </c>
      <c r="AES30" s="80">
        <f>AES29-AES28</f>
        <v/>
      </c>
      <c r="AET30" s="80">
        <f>AET29-AET28</f>
        <v/>
      </c>
      <c r="AEU30" s="80">
        <f>AEU29-AEU28</f>
        <v/>
      </c>
      <c r="AEV30" s="80">
        <f>AEV29-AEV28</f>
        <v/>
      </c>
      <c r="AEW30" s="80">
        <f>AEW29-AEW28</f>
        <v/>
      </c>
      <c r="AEX30" s="80">
        <f>AEX29-AEX28</f>
        <v/>
      </c>
      <c r="AEY30" s="80">
        <f>AEY29-AEY28</f>
        <v/>
      </c>
      <c r="AEZ30" s="80">
        <f>AEZ29-AEZ28</f>
        <v/>
      </c>
      <c r="AFA30" s="80">
        <f>AFA29-AFA28</f>
        <v/>
      </c>
      <c r="AFB30" s="80">
        <f>AFB29-AFB28</f>
        <v/>
      </c>
      <c r="AFC30" s="80">
        <f>AFC29-AFC28</f>
        <v/>
      </c>
      <c r="AFD30" s="80">
        <f>AFD29-AFD28</f>
        <v/>
      </c>
      <c r="AFE30" s="80">
        <f>AFE29-AFE28</f>
        <v/>
      </c>
      <c r="AFF30" s="80">
        <f>AFF29-AFF28</f>
        <v/>
      </c>
      <c r="AFG30" s="80">
        <f>AFG29-AFG28</f>
        <v/>
      </c>
      <c r="AFH30" s="80">
        <f>AFH29-AFH28</f>
        <v/>
      </c>
      <c r="AFI30" s="80">
        <f>AFI29-AFI28</f>
        <v/>
      </c>
      <c r="AFJ30" s="80">
        <f>AFJ29-AFJ28</f>
        <v/>
      </c>
      <c r="AFK30" s="80">
        <f>AFK29-AFK28</f>
        <v/>
      </c>
      <c r="AFL30" s="80">
        <f>AFL29-AFL28</f>
        <v/>
      </c>
      <c r="AFM30" s="80">
        <f>AFM29-AFM28</f>
        <v/>
      </c>
      <c r="AFN30" s="80">
        <f>AFN29-AFN28</f>
        <v/>
      </c>
      <c r="AFO30" s="80">
        <f>AFO29-AFO28</f>
        <v/>
      </c>
      <c r="AFP30" s="80">
        <f>AFP29-AFP28</f>
        <v/>
      </c>
      <c r="AFQ30" s="80">
        <f>AFQ29-AFQ28</f>
        <v/>
      </c>
      <c r="AFR30" s="80">
        <f>AFR29-AFR28</f>
        <v/>
      </c>
      <c r="AFS30" s="80">
        <f>AFS29-AFS28</f>
        <v/>
      </c>
      <c r="AFT30" s="127">
        <f>SUM(AEO30:AFS30)</f>
        <v/>
      </c>
      <c r="AFU30" s="80">
        <f>AFU29-AFU28</f>
        <v/>
      </c>
      <c r="AFV30" s="80">
        <f>AFV29-AFV28</f>
        <v/>
      </c>
      <c r="AFW30" s="80">
        <f>AFW29-AFW28</f>
        <v/>
      </c>
      <c r="AFX30" s="80">
        <f>AFX29-AFX28</f>
        <v/>
      </c>
      <c r="AFY30" s="80">
        <f>AFY29-AFY28</f>
        <v/>
      </c>
      <c r="AFZ30" s="80">
        <f>AFZ29-AFZ28</f>
        <v/>
      </c>
      <c r="AGA30" s="80">
        <f>AGA29-AGA28</f>
        <v/>
      </c>
      <c r="AGB30" s="80">
        <f>AGB29-AGB28</f>
        <v/>
      </c>
      <c r="AGC30" s="80">
        <f>AGC29-AGC28</f>
        <v/>
      </c>
      <c r="AGD30" s="80">
        <f>AGD29-AGD28</f>
        <v/>
      </c>
      <c r="AGE30" s="80">
        <f>AGE29-AGE28</f>
        <v/>
      </c>
      <c r="AGF30" s="80">
        <f>AGF29-AGF28</f>
        <v/>
      </c>
      <c r="AGG30" s="80">
        <f>AGG29-AGG28</f>
        <v/>
      </c>
      <c r="AGH30" s="80">
        <f>AGH29-AGH28</f>
        <v/>
      </c>
      <c r="AGI30" s="80">
        <f>AGI29-AGI28</f>
        <v/>
      </c>
      <c r="AGJ30" s="80">
        <f>AGJ29-AGJ28</f>
        <v/>
      </c>
      <c r="AGK30" s="80">
        <f>AGK29-AGK28</f>
        <v/>
      </c>
      <c r="AGL30" s="80">
        <f>AGL29-AGL28</f>
        <v/>
      </c>
      <c r="AGM30" s="80">
        <f>AGM29-AGM28</f>
        <v/>
      </c>
      <c r="AGN30" s="80">
        <f>AGN29-AGN28</f>
        <v/>
      </c>
      <c r="AGO30" s="80">
        <f>AGO29-AGO28</f>
        <v/>
      </c>
      <c r="AGP30" s="80">
        <f>AGP29-AGP28</f>
        <v/>
      </c>
      <c r="AGQ30" s="80">
        <f>AGQ29-AGQ28</f>
        <v/>
      </c>
      <c r="AGR30" s="80">
        <f>AGR29-AGR28</f>
        <v/>
      </c>
      <c r="AGS30" s="80">
        <f>AGS29-AGS28</f>
        <v/>
      </c>
      <c r="AGT30" s="80">
        <f>AGT29-AGT28</f>
        <v/>
      </c>
      <c r="AGU30" s="80">
        <f>AGU29-AGU28</f>
        <v/>
      </c>
      <c r="AGV30" s="80">
        <f>AGV29-AGV28</f>
        <v/>
      </c>
      <c r="AGW30" s="80">
        <f>AGW29-AGW28</f>
        <v/>
      </c>
      <c r="AGX30" s="80">
        <f>AGX29-AGX28</f>
        <v/>
      </c>
      <c r="AGY30" s="127">
        <f>SUM(AFU30:AGX30)</f>
        <v/>
      </c>
      <c r="AGZ30" s="80">
        <f>AGZ29-AGZ28</f>
        <v/>
      </c>
      <c r="AHA30" s="80">
        <f>AHA29-AHA28</f>
        <v/>
      </c>
      <c r="AHB30" s="80">
        <f>AHB29-AHB28</f>
        <v/>
      </c>
      <c r="AHC30" s="80">
        <f>AHC29-AHC28</f>
        <v/>
      </c>
      <c r="AHD30" s="80">
        <f>AHD29-AHD28</f>
        <v/>
      </c>
      <c r="AHE30" s="80">
        <f>AHE29-AHE28</f>
        <v/>
      </c>
      <c r="AHF30" s="80">
        <f>AHF29-AHF28</f>
        <v/>
      </c>
      <c r="AHG30" s="80">
        <f>AHG29-AHG28</f>
        <v/>
      </c>
      <c r="AHH30" s="80">
        <f>AHH29-AHH28</f>
        <v/>
      </c>
      <c r="AHI30" s="80">
        <f>AHI29-AHI28</f>
        <v/>
      </c>
      <c r="AHJ30" s="80">
        <f>AHJ29-AHJ28</f>
        <v/>
      </c>
      <c r="AHK30" s="80">
        <f>AHK29-AHK28</f>
        <v/>
      </c>
      <c r="AHL30" s="80">
        <f>AHL29-AHL28</f>
        <v/>
      </c>
      <c r="AHM30" s="80">
        <f>AHM29-AHM28</f>
        <v/>
      </c>
      <c r="AHN30" s="80">
        <f>AHN29-AHN28</f>
        <v/>
      </c>
      <c r="AHO30" s="80">
        <f>AHO29-AHO28</f>
        <v/>
      </c>
      <c r="AHP30" s="80">
        <f>AHP29-AHP28</f>
        <v/>
      </c>
      <c r="AHQ30" s="80">
        <f>AHQ29-AHQ28</f>
        <v/>
      </c>
      <c r="AHR30" s="80">
        <f>AHR29-AHR28</f>
        <v/>
      </c>
      <c r="AHS30" s="80">
        <f>AHS29-AHS28</f>
        <v/>
      </c>
      <c r="AHT30" s="80">
        <f>AHT29-AHT28</f>
        <v/>
      </c>
      <c r="AHU30" s="80">
        <f>AHU29-AHU28</f>
        <v/>
      </c>
      <c r="AHV30" s="80">
        <f>AHV29-AHV28</f>
        <v/>
      </c>
      <c r="AHW30" s="80">
        <f>AHW29-AHW28</f>
        <v/>
      </c>
      <c r="AHX30" s="80">
        <f>AHX29-AHX28</f>
        <v/>
      </c>
      <c r="AHY30" s="80">
        <f>AHY29-AHY28</f>
        <v/>
      </c>
      <c r="AHZ30" s="80">
        <f>AHZ29-AHZ28</f>
        <v/>
      </c>
      <c r="AIA30" s="80">
        <f>AIA29-AIA28</f>
        <v/>
      </c>
      <c r="AIB30" s="80">
        <f>AIB29-AIB28</f>
        <v/>
      </c>
      <c r="AIC30" s="80">
        <f>AIC29-AIC28</f>
        <v/>
      </c>
      <c r="AID30" s="80">
        <f>AID29-AID28</f>
        <v/>
      </c>
      <c r="AIE30" s="127">
        <f>SUM(AGZ30:AID30)</f>
        <v/>
      </c>
      <c r="AIF30" s="80">
        <f>AIF29-AIF28</f>
        <v/>
      </c>
      <c r="AIG30" s="80">
        <f>AIG29-AIG28</f>
        <v/>
      </c>
      <c r="AIH30" s="80">
        <f>AIH29-AIH28</f>
        <v/>
      </c>
      <c r="AII30" s="80">
        <f>AII29-AII28</f>
        <v/>
      </c>
      <c r="AIJ30" s="80">
        <f>AIJ29-AIJ28</f>
        <v/>
      </c>
      <c r="AIK30" s="80">
        <f>AIK29-AIK28</f>
        <v/>
      </c>
      <c r="AIL30" s="80">
        <f>AIL29-AIL28</f>
        <v/>
      </c>
      <c r="AIM30" s="80">
        <f>AIM29-AIM28</f>
        <v/>
      </c>
      <c r="AIN30" s="80">
        <f>AIN29-AIN28</f>
        <v/>
      </c>
      <c r="AIO30" s="80">
        <f>AIO29-AIO28</f>
        <v/>
      </c>
      <c r="AIP30" s="80">
        <f>AIP29-AIP28</f>
        <v/>
      </c>
      <c r="AIQ30" s="80">
        <f>AIQ29-AIQ28</f>
        <v/>
      </c>
      <c r="AIR30" s="80">
        <f>AIR29-AIR28</f>
        <v/>
      </c>
      <c r="AIS30" s="80">
        <f>AIS29-AIS28</f>
        <v/>
      </c>
      <c r="AIT30" s="80">
        <f>AIT29-AIT28</f>
        <v/>
      </c>
      <c r="AIU30" s="80">
        <f>AIU29-AIU28</f>
        <v/>
      </c>
      <c r="AIV30" s="80">
        <f>AIV29-AIV28</f>
        <v/>
      </c>
      <c r="AIW30" s="80">
        <f>AIW29-AIW28</f>
        <v/>
      </c>
      <c r="AIX30" s="80">
        <f>AIX29-AIX28</f>
        <v/>
      </c>
      <c r="AIY30" s="80">
        <f>AIY29-AIY28</f>
        <v/>
      </c>
      <c r="AIZ30" s="80">
        <f>AIZ29-AIZ28</f>
        <v/>
      </c>
      <c r="AJA30" s="80">
        <f>AJA29-AJA28</f>
        <v/>
      </c>
      <c r="AJB30" s="80">
        <f>AJB29-AJB28</f>
        <v/>
      </c>
      <c r="AJC30" s="80">
        <f>AJC29-AJC28</f>
        <v/>
      </c>
      <c r="AJD30" s="80">
        <f>AJD29-AJD28</f>
        <v/>
      </c>
      <c r="AJE30" s="80">
        <f>AJE29-AJE28</f>
        <v/>
      </c>
      <c r="AJF30" s="80">
        <f>AJF29-AJF28</f>
        <v/>
      </c>
      <c r="AJG30" s="80">
        <f>AJG29-AJG28</f>
        <v/>
      </c>
      <c r="AJH30" s="80">
        <f>AJH29-AJH28</f>
        <v/>
      </c>
      <c r="AJI30" s="80">
        <f>AJI29-AJI28</f>
        <v/>
      </c>
      <c r="AJJ30" s="80">
        <f>AJJ29-AJJ28</f>
        <v/>
      </c>
      <c r="AJK30" s="127">
        <f>SUM(AIF30:AJJ30)</f>
        <v/>
      </c>
      <c r="AJL30" s="80">
        <f>AJL29-AJL28</f>
        <v/>
      </c>
      <c r="AJM30" s="80">
        <f>AJM29-AJM28</f>
        <v/>
      </c>
      <c r="AJN30" s="80">
        <f>AJN29-AJN28</f>
        <v/>
      </c>
      <c r="AJO30" s="80">
        <f>AJO29-AJO28</f>
        <v/>
      </c>
      <c r="AJP30" s="80">
        <f>AJP29-AJP28</f>
        <v/>
      </c>
      <c r="AJQ30" s="80">
        <f>AJQ29-AJQ28</f>
        <v/>
      </c>
      <c r="AJR30" s="80">
        <f>AJR29-AJR28</f>
        <v/>
      </c>
      <c r="AJS30" s="80">
        <f>AJS29-AJS28</f>
        <v/>
      </c>
      <c r="AJT30" s="80">
        <f>AJT29-AJT28</f>
        <v/>
      </c>
      <c r="AJU30" s="80">
        <f>AJU29-AJU28</f>
        <v/>
      </c>
      <c r="AJV30" s="80">
        <f>AJV29-AJV28</f>
        <v/>
      </c>
      <c r="AJW30" s="80">
        <f>AJW29-AJW28</f>
        <v/>
      </c>
      <c r="AJX30" s="80">
        <f>AJX29-AJX28</f>
        <v/>
      </c>
      <c r="AJY30" s="80">
        <f>AJY29-AJY28</f>
        <v/>
      </c>
      <c r="AJZ30" s="80">
        <f>AJZ29-AJZ28</f>
        <v/>
      </c>
      <c r="AKA30" s="80">
        <f>AKA29-AKA28</f>
        <v/>
      </c>
      <c r="AKB30" s="80">
        <f>AKB29-AKB28</f>
        <v/>
      </c>
      <c r="AKC30" s="80">
        <f>AKC29-AKC28</f>
        <v/>
      </c>
      <c r="AKD30" s="80">
        <f>AKD29-AKD28</f>
        <v/>
      </c>
      <c r="AKE30" s="80">
        <f>AKE29-AKE28</f>
        <v/>
      </c>
      <c r="AKF30" s="80">
        <f>AKF29-AKF28</f>
        <v/>
      </c>
      <c r="AKG30" s="80">
        <f>AKG29-AKG28</f>
        <v/>
      </c>
      <c r="AKH30" s="80">
        <f>AKH29-AKH28</f>
        <v/>
      </c>
      <c r="AKI30" s="80">
        <f>AKI29-AKI28</f>
        <v/>
      </c>
      <c r="AKJ30" s="80">
        <f>AKJ29-AKJ28</f>
        <v/>
      </c>
      <c r="AKK30" s="80">
        <f>AKK29-AKK28</f>
        <v/>
      </c>
      <c r="AKL30" s="80">
        <f>AKL29-AKL28</f>
        <v/>
      </c>
      <c r="AKM30" s="80">
        <f>AKM29-AKM28</f>
        <v/>
      </c>
      <c r="AKN30" s="127">
        <f>SUM(AJL30:AKM30)</f>
        <v/>
      </c>
      <c r="AKO30" s="80">
        <f>AKO29-AKO28</f>
        <v/>
      </c>
      <c r="AKP30" s="80">
        <f>AKP29-AKP28</f>
        <v/>
      </c>
      <c r="AKQ30" s="80">
        <f>AKQ29-AKQ28</f>
        <v/>
      </c>
      <c r="AKR30" s="80">
        <f>AKR29-AKR28</f>
        <v/>
      </c>
      <c r="AKS30" s="80">
        <f>AKS29-AKS28</f>
        <v/>
      </c>
      <c r="AKT30" s="80">
        <f>AKT29-AKT28</f>
        <v/>
      </c>
      <c r="AKU30" s="80">
        <f>AKU29-AKU28</f>
        <v/>
      </c>
      <c r="AKV30" s="80">
        <f>AKV29-AKV28</f>
        <v/>
      </c>
      <c r="AKW30" s="80">
        <f>AKW29-AKW28</f>
        <v/>
      </c>
      <c r="AKX30" s="80">
        <f>AKX29-AKX28</f>
        <v/>
      </c>
      <c r="AKY30" s="80">
        <f>AKY29-AKY28</f>
        <v/>
      </c>
      <c r="AKZ30" s="80">
        <f>AKZ29-AKZ28</f>
        <v/>
      </c>
      <c r="ALA30" s="80">
        <f>ALA29-ALA28</f>
        <v/>
      </c>
      <c r="ALB30" s="80">
        <f>ALB29-ALB28</f>
        <v/>
      </c>
      <c r="ALC30" s="80">
        <f>ALC29-ALC28</f>
        <v/>
      </c>
      <c r="ALD30" s="80">
        <f>ALD29-ALD28</f>
        <v/>
      </c>
      <c r="ALE30" s="80">
        <f>ALE29-ALE28</f>
        <v/>
      </c>
      <c r="ALF30" s="80">
        <f>ALF29-ALF28</f>
        <v/>
      </c>
      <c r="ALG30" s="80">
        <f>ALG29-ALG28</f>
        <v/>
      </c>
      <c r="ALH30" s="80">
        <f>ALH29-ALH28</f>
        <v/>
      </c>
      <c r="ALI30" s="80">
        <f>ALI29-ALI28</f>
        <v/>
      </c>
      <c r="ALJ30" s="80">
        <f>ALJ29-ALJ28</f>
        <v/>
      </c>
      <c r="ALK30" s="80">
        <f>ALK29-ALK28</f>
        <v/>
      </c>
      <c r="ALL30" s="80">
        <f>ALL29-ALL28</f>
        <v/>
      </c>
      <c r="ALM30" s="80">
        <f>ALM29-ALM28</f>
        <v/>
      </c>
      <c r="ALN30" s="80">
        <f>ALN29-ALN28</f>
        <v/>
      </c>
      <c r="ALO30" s="80">
        <f>ALO29-ALO28</f>
        <v/>
      </c>
      <c r="ALP30" s="80">
        <f>ALP29-ALP28</f>
        <v/>
      </c>
      <c r="ALQ30" s="80">
        <f>ALQ29-ALQ28</f>
        <v/>
      </c>
      <c r="ALR30" s="80">
        <f>ALR29-ALR28</f>
        <v/>
      </c>
      <c r="ALS30" s="80">
        <f>ALS29-ALS28</f>
        <v/>
      </c>
      <c r="ALT30" s="127">
        <f>SUM(AKO30:ALS30)</f>
        <v/>
      </c>
      <c r="ALU30" s="80">
        <f>ALU29-ALU28</f>
        <v/>
      </c>
      <c r="ALV30" s="80">
        <f>ALV29-ALV28</f>
        <v/>
      </c>
      <c r="ALW30" s="80">
        <f>ALW29-ALW28</f>
        <v/>
      </c>
      <c r="ALX30" s="80">
        <f>ALX29-ALX28</f>
        <v/>
      </c>
      <c r="ALY30" s="80">
        <f>ALY29-ALY28</f>
        <v/>
      </c>
      <c r="ALZ30" s="80">
        <f>ALZ29-ALZ28</f>
        <v/>
      </c>
      <c r="AMA30" s="80">
        <f>AMA29-AMA28</f>
        <v/>
      </c>
      <c r="AMB30" s="80">
        <f>AMB29-AMB28</f>
        <v/>
      </c>
      <c r="AMC30" s="80">
        <f>AMC29-AMC28</f>
        <v/>
      </c>
      <c r="AMD30" s="80">
        <f>AMD29-AMD28</f>
        <v/>
      </c>
      <c r="AME30" s="80">
        <f>AME29-AME28</f>
        <v/>
      </c>
      <c r="AMF30" s="80">
        <f>AMF29-AMF28</f>
        <v/>
      </c>
      <c r="AMG30" s="80">
        <f>AMG29-AMG28</f>
        <v/>
      </c>
      <c r="AMH30" s="80">
        <f>AMH29-AMH28</f>
        <v/>
      </c>
      <c r="AMI30" s="80">
        <f>AMI29-AMI28</f>
        <v/>
      </c>
      <c r="AMJ30" s="80">
        <f>AMJ29-AMJ28</f>
        <v/>
      </c>
      <c r="AMK30" s="80">
        <f>AMK29-AMK28</f>
        <v/>
      </c>
      <c r="AML30" s="80">
        <f>AML29-AML28</f>
        <v/>
      </c>
      <c r="AMM30" s="80">
        <f>AMM29-AMM28</f>
        <v/>
      </c>
      <c r="AMN30" s="80">
        <f>AMN29-AMN28</f>
        <v/>
      </c>
      <c r="AMO30" s="80">
        <f>AMO29-AMO28</f>
        <v/>
      </c>
      <c r="AMP30" s="80">
        <f>AMP29-AMP28</f>
        <v/>
      </c>
      <c r="AMQ30" s="80">
        <f>AMQ29-AMQ28</f>
        <v/>
      </c>
      <c r="AMR30" s="80">
        <f>AMR29-AMR28</f>
        <v/>
      </c>
      <c r="AMS30" s="80">
        <f>AMS29-AMS28</f>
        <v/>
      </c>
      <c r="AMT30" s="80">
        <f>AMT29-AMT28</f>
        <v/>
      </c>
      <c r="AMU30" s="80">
        <f>AMU29-AMU28</f>
        <v/>
      </c>
      <c r="AMV30" s="80">
        <f>AMV29-AMV28</f>
        <v/>
      </c>
      <c r="AMW30" s="80">
        <f>AMW29-AMW28</f>
        <v/>
      </c>
      <c r="AMX30" s="80">
        <f>AMX29-AMX28</f>
        <v/>
      </c>
      <c r="AMY30" s="127">
        <f>SUM(ALU30:AMX30)</f>
        <v/>
      </c>
      <c r="AMZ30" s="80">
        <f>AMZ29-AMZ28</f>
        <v/>
      </c>
      <c r="ANA30" s="80">
        <f>ANA29-ANA28</f>
        <v/>
      </c>
      <c r="ANB30" s="80">
        <f>ANB29-ANB28</f>
        <v/>
      </c>
      <c r="ANC30" s="80">
        <f>ANC29-ANC28</f>
        <v/>
      </c>
      <c r="AND30" s="80">
        <f>AND29-AND28</f>
        <v/>
      </c>
      <c r="ANE30" s="80">
        <f>ANE29-ANE28</f>
        <v/>
      </c>
      <c r="ANF30" s="80">
        <f>ANF29-ANF28</f>
        <v/>
      </c>
      <c r="ANG30" s="80">
        <f>ANG29-ANG28</f>
        <v/>
      </c>
      <c r="ANH30" s="80">
        <f>ANH29-ANH28</f>
        <v/>
      </c>
      <c r="ANI30" s="80">
        <f>ANI29-ANI28</f>
        <v/>
      </c>
      <c r="ANJ30" s="80">
        <f>ANJ29-ANJ28</f>
        <v/>
      </c>
      <c r="ANK30" s="80">
        <f>ANK29-ANK28</f>
        <v/>
      </c>
      <c r="ANL30" s="80">
        <f>ANL29-ANL28</f>
        <v/>
      </c>
      <c r="ANM30" s="80">
        <f>ANM29-ANM28</f>
        <v/>
      </c>
      <c r="ANN30" s="80">
        <f>ANN29-ANN28</f>
        <v/>
      </c>
      <c r="ANO30" s="80">
        <f>ANO29-ANO28</f>
        <v/>
      </c>
      <c r="ANP30" s="80">
        <f>ANP29-ANP28</f>
        <v/>
      </c>
      <c r="ANQ30" s="80">
        <f>ANQ29-ANQ28</f>
        <v/>
      </c>
      <c r="ANR30" s="80">
        <f>ANR29-ANR28</f>
        <v/>
      </c>
      <c r="ANS30" s="80">
        <f>ANS29-ANS28</f>
        <v/>
      </c>
      <c r="ANT30" s="80">
        <f>ANT29-ANT28</f>
        <v/>
      </c>
      <c r="ANU30" s="80">
        <f>ANU29-ANU28</f>
        <v/>
      </c>
      <c r="ANV30" s="80">
        <f>ANV29-ANV28</f>
        <v/>
      </c>
      <c r="ANW30" s="80">
        <f>ANW29-ANW28</f>
        <v/>
      </c>
      <c r="ANX30" s="80">
        <f>ANX29-ANX28</f>
        <v/>
      </c>
      <c r="ANY30" s="80">
        <f>ANY29-ANY28</f>
        <v/>
      </c>
      <c r="ANZ30" s="80">
        <f>ANZ29-ANZ28</f>
        <v/>
      </c>
      <c r="AOA30" s="80">
        <f>AOA29-AOA28</f>
        <v/>
      </c>
      <c r="AOB30" s="80">
        <f>AOB29-AOB28</f>
        <v/>
      </c>
      <c r="AOC30" s="80">
        <f>AOC29-AOC28</f>
        <v/>
      </c>
    </row>
    <row r="31">
      <c r="A31" s="163" t="inlineStr">
        <is>
          <t>SHORTAGE PMS</t>
        </is>
      </c>
      <c r="B31" s="5" t="inlineStr">
        <is>
          <t>OPENING STOCK</t>
        </is>
      </c>
      <c r="C31" s="20" t="n">
        <v>17317</v>
      </c>
      <c r="D31" s="20" t="n">
        <v>14780</v>
      </c>
      <c r="E31" s="20" t="n">
        <v>12200</v>
      </c>
      <c r="F31" s="20">
        <f>E34</f>
        <v/>
      </c>
      <c r="G31" s="20">
        <f>F34+7902</f>
        <v/>
      </c>
      <c r="H31" s="20">
        <f>G34</f>
        <v/>
      </c>
      <c r="I31" s="20">
        <f>H34</f>
        <v/>
      </c>
      <c r="J31" s="20">
        <f>I34</f>
        <v/>
      </c>
      <c r="K31" s="20">
        <f>J34+14000</f>
        <v/>
      </c>
      <c r="L31" s="20" t="n">
        <v>16495</v>
      </c>
      <c r="M31" s="20" t="n">
        <v>14155</v>
      </c>
      <c r="N31" s="20">
        <f>M34</f>
        <v/>
      </c>
      <c r="O31" s="20">
        <f>N34</f>
        <v/>
      </c>
      <c r="P31" s="20">
        <f>O34</f>
        <v/>
      </c>
      <c r="Q31" s="20">
        <f>P34+12953</f>
        <v/>
      </c>
      <c r="R31" s="20">
        <f>Q34</f>
        <v/>
      </c>
      <c r="S31" s="20">
        <f>R34</f>
        <v/>
      </c>
      <c r="T31" s="20">
        <f>S34</f>
        <v/>
      </c>
      <c r="U31" s="20">
        <f>T34</f>
        <v/>
      </c>
      <c r="V31" s="20">
        <f>U34</f>
        <v/>
      </c>
      <c r="W31" s="20">
        <f>V34+16811</f>
        <v/>
      </c>
      <c r="X31" s="20">
        <f>W34</f>
        <v/>
      </c>
      <c r="Y31" s="20">
        <f>X34</f>
        <v/>
      </c>
      <c r="Z31" s="20">
        <f>Y34</f>
        <v/>
      </c>
      <c r="AA31" s="20">
        <f>Z34</f>
        <v/>
      </c>
      <c r="AB31" s="20">
        <f>AA34+9939</f>
        <v/>
      </c>
      <c r="AC31" s="20">
        <f>AB34</f>
        <v/>
      </c>
      <c r="AD31" s="20">
        <f>AC34</f>
        <v/>
      </c>
      <c r="AE31" s="20">
        <f>AD34</f>
        <v/>
      </c>
      <c r="AF31" s="20">
        <f>AE34</f>
        <v/>
      </c>
      <c r="AG31" s="20">
        <f>AF34</f>
        <v/>
      </c>
      <c r="AH31" s="94">
        <f>SUM(C31:AG31)</f>
        <v/>
      </c>
      <c r="AI31" s="20">
        <f>AG34</f>
        <v/>
      </c>
      <c r="AJ31" s="20">
        <f>AI34+12849</f>
        <v/>
      </c>
      <c r="AK31" s="20">
        <f>AJ34</f>
        <v/>
      </c>
      <c r="AL31" s="20">
        <f>AK34</f>
        <v/>
      </c>
      <c r="AM31" s="20">
        <f>AL34</f>
        <v/>
      </c>
      <c r="AN31" s="20">
        <f>AM34+11942</f>
        <v/>
      </c>
      <c r="AO31" s="20">
        <f>AN34+9000</f>
        <v/>
      </c>
      <c r="AP31" s="20">
        <f>AO34</f>
        <v/>
      </c>
      <c r="AQ31" s="20">
        <f>AP34</f>
        <v/>
      </c>
      <c r="AR31" s="20">
        <f>AQ34</f>
        <v/>
      </c>
      <c r="AS31" s="20">
        <f>AR34</f>
        <v/>
      </c>
      <c r="AT31" s="20">
        <f>AS34+9978</f>
        <v/>
      </c>
      <c r="AU31" s="20">
        <f>AT34+10965</f>
        <v/>
      </c>
      <c r="AV31" s="20">
        <f>AU34+4000+7985</f>
        <v/>
      </c>
      <c r="AW31" s="20">
        <f>AV34</f>
        <v/>
      </c>
      <c r="AX31" s="20">
        <f>AW34</f>
        <v/>
      </c>
      <c r="AY31" s="20">
        <f>AX34</f>
        <v/>
      </c>
      <c r="AZ31" s="20">
        <f>AY34</f>
        <v/>
      </c>
      <c r="BA31" s="20">
        <f>AZ34</f>
        <v/>
      </c>
      <c r="BB31" s="20">
        <f>BA34+8977</f>
        <v/>
      </c>
      <c r="BC31" s="20">
        <f>BB34</f>
        <v/>
      </c>
      <c r="BD31" s="20">
        <f>BC34</f>
        <v/>
      </c>
      <c r="BE31" s="20">
        <f>BD34</f>
        <v/>
      </c>
      <c r="BF31" s="20">
        <f>BE34</f>
        <v/>
      </c>
      <c r="BG31" s="20">
        <f>BF34</f>
        <v/>
      </c>
      <c r="BH31" s="20">
        <f>BG34+15818</f>
        <v/>
      </c>
      <c r="BI31" s="20">
        <f>BH34</f>
        <v/>
      </c>
      <c r="BJ31" s="20">
        <f>BI34</f>
        <v/>
      </c>
      <c r="BK31" s="20">
        <f>BJ34</f>
        <v/>
      </c>
      <c r="BL31" s="20">
        <f>BK34</f>
        <v/>
      </c>
      <c r="BM31" s="97">
        <f>SUM(AI31:BL31)</f>
        <v/>
      </c>
      <c r="BN31" s="89">
        <f>BL34+8899</f>
        <v/>
      </c>
      <c r="BO31" s="89">
        <f>BN34</f>
        <v/>
      </c>
      <c r="BP31" s="89">
        <f>BO34</f>
        <v/>
      </c>
      <c r="BQ31" s="89">
        <f>BP34</f>
        <v/>
      </c>
      <c r="BR31" s="89">
        <f>BQ34</f>
        <v/>
      </c>
      <c r="BS31" s="89">
        <f>BR34</f>
        <v/>
      </c>
      <c r="BT31" s="109">
        <f>BS34+9961</f>
        <v/>
      </c>
      <c r="BU31" s="89">
        <f>BT34</f>
        <v/>
      </c>
      <c r="BV31" s="89">
        <f>BU34</f>
        <v/>
      </c>
      <c r="BW31" s="89">
        <f>BV34</f>
        <v/>
      </c>
      <c r="BX31" s="89">
        <f>BW34</f>
        <v/>
      </c>
      <c r="BY31" s="89">
        <f>BX34</f>
        <v/>
      </c>
      <c r="BZ31" s="89">
        <f>BY34</f>
        <v/>
      </c>
      <c r="CA31" s="89">
        <f>BZ34+10000</f>
        <v/>
      </c>
      <c r="CB31" s="89">
        <f>CA34</f>
        <v/>
      </c>
      <c r="CC31" s="89">
        <f>CB34</f>
        <v/>
      </c>
      <c r="CD31" s="89">
        <f>CC34</f>
        <v/>
      </c>
      <c r="CE31" s="89">
        <f>CD34+6000</f>
        <v/>
      </c>
      <c r="CF31" s="89">
        <f>CE34</f>
        <v/>
      </c>
      <c r="CG31" s="89">
        <f>CF34</f>
        <v/>
      </c>
      <c r="CH31" s="89">
        <f>CG34+12842</f>
        <v/>
      </c>
      <c r="CI31" s="89">
        <f>CH34</f>
        <v/>
      </c>
      <c r="CJ31" s="89">
        <f>CI34</f>
        <v/>
      </c>
      <c r="CK31" s="89">
        <f>CJ34</f>
        <v/>
      </c>
      <c r="CL31" s="89">
        <f>CK34</f>
        <v/>
      </c>
      <c r="CM31" s="89">
        <f>CL34</f>
        <v/>
      </c>
      <c r="CN31" s="89">
        <f>CM34</f>
        <v/>
      </c>
      <c r="CO31" s="89">
        <f>CN34+8000</f>
        <v/>
      </c>
      <c r="CP31" s="89">
        <f>CO34</f>
        <v/>
      </c>
      <c r="CQ31" s="89">
        <f>CP34</f>
        <v/>
      </c>
      <c r="CR31" s="89">
        <f>CQ34</f>
        <v/>
      </c>
      <c r="CS31" s="111">
        <f>SUM(BN31:CR31)</f>
        <v/>
      </c>
      <c r="CT31" s="89">
        <f>CR34</f>
        <v/>
      </c>
      <c r="CU31" s="89">
        <f>CT34+12000</f>
        <v/>
      </c>
      <c r="CV31" s="89">
        <f>CU34</f>
        <v/>
      </c>
      <c r="CW31" s="89">
        <f>CV34</f>
        <v/>
      </c>
      <c r="CX31" s="89">
        <f>CW34</f>
        <v/>
      </c>
      <c r="CY31" s="89">
        <f>CX34</f>
        <v/>
      </c>
      <c r="CZ31" s="89">
        <f>CY34+8924</f>
        <v/>
      </c>
      <c r="DA31" s="89">
        <f>CZ34</f>
        <v/>
      </c>
      <c r="DB31" s="89">
        <f>DA34</f>
        <v/>
      </c>
      <c r="DC31" s="89">
        <f>DB34</f>
        <v/>
      </c>
      <c r="DD31" s="89">
        <f>DC34+10957</f>
        <v/>
      </c>
      <c r="DE31" s="89">
        <f>DD34</f>
        <v/>
      </c>
      <c r="DF31" s="89">
        <f>DE34</f>
        <v/>
      </c>
      <c r="DG31" s="89">
        <f>DF34</f>
        <v/>
      </c>
      <c r="DH31" s="89">
        <f>DG34</f>
        <v/>
      </c>
      <c r="DI31" s="89">
        <f>DH34+12890</f>
        <v/>
      </c>
      <c r="DJ31" s="89">
        <f>DI34</f>
        <v/>
      </c>
      <c r="DK31" s="89">
        <f>DJ34</f>
        <v/>
      </c>
      <c r="DL31" s="89">
        <f>DK34</f>
        <v/>
      </c>
      <c r="DM31" s="89">
        <f>DL34</f>
        <v/>
      </c>
      <c r="DN31" s="89">
        <f>DM34</f>
        <v/>
      </c>
      <c r="DO31" s="89">
        <f>DN34</f>
        <v/>
      </c>
      <c r="DP31" s="89">
        <f>DO34</f>
        <v/>
      </c>
      <c r="DQ31" s="89">
        <f>DP34+8920</f>
        <v/>
      </c>
      <c r="DR31" s="89">
        <f>DQ34</f>
        <v/>
      </c>
      <c r="DS31" s="89">
        <f>DR34</f>
        <v/>
      </c>
      <c r="DT31" s="89">
        <f>DS34</f>
        <v/>
      </c>
      <c r="DU31" s="89">
        <f>DT34</f>
        <v/>
      </c>
      <c r="DV31" s="89">
        <f>DU34</f>
        <v/>
      </c>
      <c r="DW31" s="89">
        <f>DV34</f>
        <v/>
      </c>
      <c r="DX31" s="116" t="n"/>
      <c r="DY31" s="89">
        <f>DW34</f>
        <v/>
      </c>
      <c r="DZ31" s="89">
        <f>DY34</f>
        <v/>
      </c>
      <c r="EA31" s="89">
        <f>DZ34+9924</f>
        <v/>
      </c>
      <c r="EB31" s="89">
        <f>EA34</f>
        <v/>
      </c>
      <c r="EC31" s="89">
        <f>EB34</f>
        <v/>
      </c>
      <c r="ED31" s="89">
        <f>EC34</f>
        <v/>
      </c>
      <c r="EE31" s="89">
        <f>ED34+7000</f>
        <v/>
      </c>
      <c r="EF31" s="89">
        <f>EE34</f>
        <v/>
      </c>
      <c r="EG31" s="89">
        <f>EF34</f>
        <v/>
      </c>
      <c r="EH31" s="89">
        <f>EG34</f>
        <v/>
      </c>
      <c r="EI31" s="89">
        <f>EH34+11965</f>
        <v/>
      </c>
      <c r="EJ31" s="89">
        <f>EI34</f>
        <v/>
      </c>
      <c r="EK31" s="89">
        <f>EJ34</f>
        <v/>
      </c>
      <c r="EL31" s="89">
        <f>EK34</f>
        <v/>
      </c>
      <c r="EM31" s="89">
        <f>EL34+8979</f>
        <v/>
      </c>
      <c r="EN31" s="89">
        <f>EM34</f>
        <v/>
      </c>
      <c r="EO31" s="89">
        <f>EN34</f>
        <v/>
      </c>
      <c r="EP31" s="89">
        <f>EO34</f>
        <v/>
      </c>
      <c r="EQ31" s="89">
        <f>EP34+10874</f>
        <v/>
      </c>
      <c r="ER31" s="89">
        <f>EQ34</f>
        <v/>
      </c>
      <c r="ES31" s="89">
        <f>ER34</f>
        <v/>
      </c>
      <c r="ET31" s="89">
        <f>ES34</f>
        <v/>
      </c>
      <c r="EU31" s="89">
        <f>ET34+9863</f>
        <v/>
      </c>
      <c r="EV31" s="89">
        <f>EU34</f>
        <v/>
      </c>
      <c r="EW31" s="89">
        <f>EV34</f>
        <v/>
      </c>
      <c r="EX31" s="89">
        <f>EW34</f>
        <v/>
      </c>
      <c r="EY31" s="89">
        <f>EX34</f>
        <v/>
      </c>
      <c r="EZ31" s="89">
        <f>EY34+10850</f>
        <v/>
      </c>
      <c r="FA31" s="89">
        <f>EZ34</f>
        <v/>
      </c>
      <c r="FB31" s="89">
        <f>FA34</f>
        <v/>
      </c>
      <c r="FC31" s="89">
        <f>FB34</f>
        <v/>
      </c>
      <c r="FD31" s="128" t="n"/>
      <c r="FE31" s="89">
        <f>FC34</f>
        <v/>
      </c>
      <c r="FF31" s="89">
        <f>FE34</f>
        <v/>
      </c>
      <c r="FG31" s="89">
        <f>FF34</f>
        <v/>
      </c>
      <c r="FH31" s="89">
        <f>FG34</f>
        <v/>
      </c>
      <c r="FI31" s="89">
        <f>FH34</f>
        <v/>
      </c>
      <c r="FJ31" s="89">
        <f>FI34+13943</f>
        <v/>
      </c>
      <c r="FK31" s="89">
        <f>FJ34</f>
        <v/>
      </c>
      <c r="FL31" s="89">
        <f>FK34</f>
        <v/>
      </c>
      <c r="FM31" s="89">
        <f>FL34</f>
        <v/>
      </c>
      <c r="FN31" s="89">
        <f>FM34</f>
        <v/>
      </c>
      <c r="FO31" s="89">
        <f>FN34+11867</f>
        <v/>
      </c>
      <c r="FP31" s="89">
        <f>FO34</f>
        <v/>
      </c>
      <c r="FQ31" s="89">
        <f>FP34</f>
        <v/>
      </c>
      <c r="FR31" s="89">
        <f>FQ34</f>
        <v/>
      </c>
      <c r="FS31" s="89">
        <f>FR34</f>
        <v/>
      </c>
      <c r="FT31" s="89">
        <f>FS34</f>
        <v/>
      </c>
      <c r="FU31" s="89">
        <f>FT34+10907</f>
        <v/>
      </c>
      <c r="FV31" s="89">
        <f>FU34</f>
        <v/>
      </c>
      <c r="FW31" s="89">
        <f>FV34</f>
        <v/>
      </c>
      <c r="FX31" s="89">
        <f>FW34</f>
        <v/>
      </c>
      <c r="FY31" s="89">
        <f>FX34</f>
        <v/>
      </c>
      <c r="FZ31" s="89">
        <f>FY34</f>
        <v/>
      </c>
      <c r="GA31" s="89">
        <f>FZ34</f>
        <v/>
      </c>
      <c r="GB31" s="89">
        <f>GA34+11854</f>
        <v/>
      </c>
      <c r="GC31" s="89">
        <f>GB34</f>
        <v/>
      </c>
      <c r="GD31" s="89">
        <f>GC34</f>
        <v/>
      </c>
      <c r="GE31" s="89">
        <f>GD34</f>
        <v/>
      </c>
      <c r="GF31" s="89">
        <f>GE34</f>
        <v/>
      </c>
      <c r="GG31" s="89">
        <f>GF34</f>
        <v/>
      </c>
      <c r="GH31" s="89">
        <f>GG34</f>
        <v/>
      </c>
      <c r="GI31" s="89">
        <f>GH34+10851</f>
        <v/>
      </c>
      <c r="GJ31" s="127">
        <f>SUM(FE31:GI31)</f>
        <v/>
      </c>
      <c r="GK31" s="89">
        <f>GI34</f>
        <v/>
      </c>
      <c r="GL31" s="89">
        <f>GK34</f>
        <v/>
      </c>
      <c r="GM31" s="89">
        <f>GL34</f>
        <v/>
      </c>
      <c r="GN31" s="89">
        <f>GM34</f>
        <v/>
      </c>
      <c r="GO31" s="89">
        <f>GN34</f>
        <v/>
      </c>
      <c r="GP31" s="89">
        <f>GO34+9920</f>
        <v/>
      </c>
      <c r="GQ31" s="89">
        <f>GP34</f>
        <v/>
      </c>
      <c r="GR31" s="89">
        <f>GQ34</f>
        <v/>
      </c>
      <c r="GS31" s="89">
        <f>GR34</f>
        <v/>
      </c>
      <c r="GT31" s="89">
        <f>GS34+11869</f>
        <v/>
      </c>
      <c r="GU31" s="89">
        <f>GT34</f>
        <v/>
      </c>
      <c r="GV31" s="89">
        <f>GU34</f>
        <v/>
      </c>
      <c r="GW31" s="89">
        <f>GV34</f>
        <v/>
      </c>
      <c r="GX31" s="89">
        <f>GW34</f>
        <v/>
      </c>
      <c r="GY31" s="89">
        <f>GX34</f>
        <v/>
      </c>
      <c r="GZ31" s="89">
        <f>GY34+12848</f>
        <v/>
      </c>
      <c r="HA31" s="89">
        <f>GZ34</f>
        <v/>
      </c>
      <c r="HB31" s="89">
        <f>HA34</f>
        <v/>
      </c>
      <c r="HC31" s="89">
        <f>HB34</f>
        <v/>
      </c>
      <c r="HD31" s="89">
        <f>HC34</f>
        <v/>
      </c>
      <c r="HE31" s="89">
        <f>HD34</f>
        <v/>
      </c>
      <c r="HF31" s="89">
        <f>HE34</f>
        <v/>
      </c>
      <c r="HG31" s="89">
        <f>HF34+12841</f>
        <v/>
      </c>
      <c r="HH31" s="89">
        <f>HG34</f>
        <v/>
      </c>
      <c r="HI31" s="89">
        <f>HH34</f>
        <v/>
      </c>
      <c r="HJ31" s="89">
        <f>HI34</f>
        <v/>
      </c>
      <c r="HK31" s="89">
        <f>HJ34</f>
        <v/>
      </c>
      <c r="HL31" s="89">
        <f>HK34+9892</f>
        <v/>
      </c>
      <c r="HM31" s="89">
        <f>HL34</f>
        <v/>
      </c>
      <c r="HN31" s="127">
        <f>SUM(GK31:HM31)</f>
        <v/>
      </c>
      <c r="HO31" s="89">
        <f>HM34</f>
        <v/>
      </c>
      <c r="HP31" s="89">
        <f>HO34</f>
        <v/>
      </c>
      <c r="HQ31" s="89">
        <f>HP34</f>
        <v/>
      </c>
      <c r="HR31" s="89">
        <f>HQ34</f>
        <v/>
      </c>
      <c r="HS31" s="89">
        <f>HR34+11853</f>
        <v/>
      </c>
      <c r="HT31" s="89">
        <f>HS34</f>
        <v/>
      </c>
      <c r="HU31" s="89">
        <f>HT34</f>
        <v/>
      </c>
      <c r="HV31" s="89">
        <f>HU34</f>
        <v/>
      </c>
      <c r="HW31" s="89">
        <f>HV34</f>
        <v/>
      </c>
      <c r="HX31" s="89">
        <f>HW34</f>
        <v/>
      </c>
      <c r="HY31" s="89">
        <f>HX34+11866</f>
        <v/>
      </c>
      <c r="HZ31" s="89">
        <f>HY34</f>
        <v/>
      </c>
      <c r="IA31" s="89">
        <f>HZ34</f>
        <v/>
      </c>
      <c r="IB31" s="89">
        <f>IA34</f>
        <v/>
      </c>
      <c r="IC31" s="89">
        <f>IB34</f>
        <v/>
      </c>
      <c r="ID31" s="89">
        <f>IC34+11847</f>
        <v/>
      </c>
      <c r="IE31" s="89">
        <f>ID34</f>
        <v/>
      </c>
      <c r="IF31" s="89">
        <f>IE34</f>
        <v/>
      </c>
      <c r="IG31" s="89">
        <f>IF34</f>
        <v/>
      </c>
      <c r="IH31" s="89">
        <f>IG34</f>
        <v/>
      </c>
      <c r="II31" s="89">
        <f>IH34</f>
        <v/>
      </c>
      <c r="IJ31" s="89">
        <f>II34</f>
        <v/>
      </c>
      <c r="IK31" s="89">
        <f>IJ34+9881</f>
        <v/>
      </c>
      <c r="IL31" s="89">
        <f>IK34</f>
        <v/>
      </c>
      <c r="IM31" s="89">
        <f>IL34</f>
        <v/>
      </c>
      <c r="IN31" s="89">
        <f>IM34</f>
        <v/>
      </c>
      <c r="IO31" s="89">
        <f>IN34</f>
        <v/>
      </c>
      <c r="IP31" s="89">
        <f>IO34</f>
        <v/>
      </c>
      <c r="IQ31" s="89">
        <f>IP34+12850</f>
        <v/>
      </c>
      <c r="IR31" s="89">
        <f>IQ34</f>
        <v/>
      </c>
      <c r="IS31" s="89">
        <f>IR34</f>
        <v/>
      </c>
      <c r="IT31" s="127">
        <f>SUM(HO31:IS31)</f>
        <v/>
      </c>
      <c r="IU31" s="89">
        <f>IS34</f>
        <v/>
      </c>
      <c r="IV31" s="89">
        <f>IU34</f>
        <v/>
      </c>
      <c r="IW31" s="89">
        <f>IV34</f>
        <v/>
      </c>
      <c r="IX31" s="89">
        <f>IW34</f>
        <v/>
      </c>
      <c r="IY31" s="89">
        <f>IX34</f>
        <v/>
      </c>
      <c r="IZ31" s="89">
        <f>IY34</f>
        <v/>
      </c>
      <c r="JA31" s="89">
        <f>IZ34+11853</f>
        <v/>
      </c>
      <c r="JB31" s="89">
        <f>JA34</f>
        <v/>
      </c>
      <c r="JC31" s="89">
        <f>JB34</f>
        <v/>
      </c>
      <c r="JD31" s="89">
        <f>JC34</f>
        <v/>
      </c>
      <c r="JE31" s="89">
        <f>JD34</f>
        <v/>
      </c>
      <c r="JF31" s="89">
        <f>JE34</f>
        <v/>
      </c>
      <c r="JG31" s="89">
        <f>JF34</f>
        <v/>
      </c>
      <c r="JH31" s="89">
        <f>JG34+11851</f>
        <v/>
      </c>
      <c r="JI31" s="89">
        <f>JH34</f>
        <v/>
      </c>
      <c r="JJ31" s="89">
        <f>JI34</f>
        <v/>
      </c>
      <c r="JK31" s="89">
        <f>JJ34</f>
        <v/>
      </c>
      <c r="JL31" s="89">
        <f>JK34</f>
        <v/>
      </c>
      <c r="JM31" s="89">
        <f>JL34</f>
        <v/>
      </c>
      <c r="JN31" s="89">
        <f>JM34+12892</f>
        <v/>
      </c>
      <c r="JO31" s="89">
        <f>JN34</f>
        <v/>
      </c>
      <c r="JP31" s="89">
        <f>JO34</f>
        <v/>
      </c>
      <c r="JQ31" s="89">
        <f>JP34</f>
        <v/>
      </c>
      <c r="JR31" s="89">
        <f>JQ34</f>
        <v/>
      </c>
      <c r="JS31" s="89">
        <f>JR34</f>
        <v/>
      </c>
      <c r="JT31" s="89">
        <f>JS34</f>
        <v/>
      </c>
      <c r="JU31" s="89">
        <f>JT34</f>
        <v/>
      </c>
      <c r="JV31" s="89">
        <f>JU34+10866</f>
        <v/>
      </c>
      <c r="JW31" s="89">
        <f>JV34</f>
        <v/>
      </c>
      <c r="JX31" s="89">
        <f>JW34</f>
        <v/>
      </c>
      <c r="JY31" s="127">
        <f>SUM(IU31:JX31)</f>
        <v/>
      </c>
      <c r="JZ31" s="89">
        <f>JX34</f>
        <v/>
      </c>
      <c r="KA31" s="89">
        <f>JZ34</f>
        <v/>
      </c>
      <c r="KB31" s="89">
        <f>KA34</f>
        <v/>
      </c>
      <c r="KC31" s="89">
        <f>KB34+9879</f>
        <v/>
      </c>
      <c r="KD31" s="89">
        <f>KC34</f>
        <v/>
      </c>
      <c r="KE31" s="89">
        <f>KD34</f>
        <v/>
      </c>
      <c r="KF31" s="89">
        <f>KE34</f>
        <v/>
      </c>
      <c r="KG31" s="89">
        <f>KF34</f>
        <v/>
      </c>
      <c r="KH31" s="89">
        <f>KG34</f>
        <v/>
      </c>
      <c r="KI31" s="89">
        <f>KH34+14823</f>
        <v/>
      </c>
      <c r="KJ31" s="89">
        <f>KI34</f>
        <v/>
      </c>
      <c r="KK31" s="89">
        <f>KJ34</f>
        <v/>
      </c>
      <c r="KL31" s="89">
        <f>KK34</f>
        <v/>
      </c>
      <c r="KM31" s="89">
        <f>KL34</f>
        <v/>
      </c>
      <c r="KN31" s="89">
        <f>KM34</f>
        <v/>
      </c>
      <c r="KO31" s="89">
        <f>KN34</f>
        <v/>
      </c>
      <c r="KP31" s="89">
        <f>KO34</f>
        <v/>
      </c>
      <c r="KQ31" s="89">
        <f>KP34</f>
        <v/>
      </c>
      <c r="KR31" s="89">
        <f>KQ34+10000</f>
        <v/>
      </c>
      <c r="KS31" s="89">
        <f>KR34</f>
        <v/>
      </c>
      <c r="KT31" s="89">
        <f>KS34+3000</f>
        <v/>
      </c>
      <c r="KU31" s="89">
        <f>KT34+6000</f>
        <v/>
      </c>
      <c r="KV31" s="89">
        <f>KU34</f>
        <v/>
      </c>
      <c r="KW31" s="89">
        <f>KV34</f>
        <v/>
      </c>
      <c r="KX31" s="89">
        <f>KW34+7902</f>
        <v/>
      </c>
      <c r="KY31" s="89">
        <f>KX34</f>
        <v/>
      </c>
      <c r="KZ31" s="89">
        <f>KY34</f>
        <v/>
      </c>
      <c r="LA31" s="89">
        <f>KZ34</f>
        <v/>
      </c>
      <c r="LB31" s="89">
        <f>LA34</f>
        <v/>
      </c>
      <c r="LC31" s="89">
        <f>LB34+8962</f>
        <v/>
      </c>
      <c r="LD31" s="89">
        <f>LC34</f>
        <v/>
      </c>
      <c r="LE31" s="127">
        <f>SUM(KA31:LD31)</f>
        <v/>
      </c>
      <c r="LF31" s="89">
        <f>LD34</f>
        <v/>
      </c>
      <c r="LG31" s="89">
        <f>LF34</f>
        <v/>
      </c>
      <c r="LH31" s="89">
        <f>LG34</f>
        <v/>
      </c>
      <c r="LI31" s="89">
        <f>LH34</f>
        <v/>
      </c>
      <c r="LJ31" s="89">
        <f>LI34</f>
        <v/>
      </c>
      <c r="LK31" s="89">
        <f>LJ34+11851</f>
        <v/>
      </c>
      <c r="LL31" s="89">
        <f>LK34</f>
        <v/>
      </c>
      <c r="LM31" s="89">
        <f>LL34</f>
        <v/>
      </c>
      <c r="LN31" s="89">
        <f>LM34</f>
        <v/>
      </c>
      <c r="LO31" s="89">
        <f>LN34</f>
        <v/>
      </c>
      <c r="LP31" s="89">
        <f>LO34+9898</f>
        <v/>
      </c>
      <c r="LQ31" s="89">
        <f>LP34</f>
        <v/>
      </c>
      <c r="LR31" s="89">
        <f>LQ34</f>
        <v/>
      </c>
      <c r="LS31" s="89">
        <f>LR34+7917</f>
        <v/>
      </c>
      <c r="LT31" s="89">
        <f>LS34</f>
        <v/>
      </c>
      <c r="LU31" s="89">
        <f>LT34</f>
        <v/>
      </c>
      <c r="LV31" s="89">
        <f>LU34</f>
        <v/>
      </c>
      <c r="LW31" s="89">
        <f>LV34</f>
        <v/>
      </c>
      <c r="LX31" s="89">
        <f>LW34</f>
        <v/>
      </c>
      <c r="LY31" s="89">
        <f>LX34</f>
        <v/>
      </c>
      <c r="LZ31" s="89">
        <f>LY34+10898</f>
        <v/>
      </c>
      <c r="MA31" s="89">
        <f>LZ34</f>
        <v/>
      </c>
      <c r="MB31" s="89">
        <f>MA34</f>
        <v/>
      </c>
      <c r="MC31" s="89">
        <f>MB34</f>
        <v/>
      </c>
      <c r="MD31" s="89">
        <f>MC34</f>
        <v/>
      </c>
      <c r="ME31" s="89">
        <f>MD34</f>
        <v/>
      </c>
      <c r="MF31" s="89">
        <f>ME34+12827</f>
        <v/>
      </c>
      <c r="MG31" s="89">
        <f>MF34</f>
        <v/>
      </c>
      <c r="MH31" s="89">
        <f>MG34</f>
        <v/>
      </c>
      <c r="MI31" s="89">
        <f>MH34+8911</f>
        <v/>
      </c>
      <c r="MJ31" s="127">
        <f>SUM(LF31:MI31)</f>
        <v/>
      </c>
      <c r="MK31" s="89">
        <f>MI34</f>
        <v/>
      </c>
      <c r="ML31" s="89">
        <f>MK34</f>
        <v/>
      </c>
      <c r="MM31" s="89">
        <f>ML34</f>
        <v/>
      </c>
      <c r="MN31" s="89">
        <f>MM34</f>
        <v/>
      </c>
      <c r="MO31" s="89">
        <f>MN34</f>
        <v/>
      </c>
      <c r="MP31" s="89">
        <f>MO34+7909</f>
        <v/>
      </c>
      <c r="MQ31" s="89">
        <f>MP34+2000</f>
        <v/>
      </c>
      <c r="MR31" s="89">
        <f>MQ34</f>
        <v/>
      </c>
      <c r="MS31" s="89">
        <f>MR34</f>
        <v/>
      </c>
      <c r="MT31" s="89">
        <f>MS34</f>
        <v/>
      </c>
      <c r="MU31" s="89">
        <f>MT34</f>
        <v/>
      </c>
      <c r="MV31" s="89">
        <f>MU34+14000</f>
        <v/>
      </c>
      <c r="MW31" s="89">
        <f>MV34</f>
        <v/>
      </c>
      <c r="MX31" s="89">
        <f>MW34</f>
        <v/>
      </c>
      <c r="MY31" s="89">
        <f>MX34</f>
        <v/>
      </c>
      <c r="MZ31" s="89">
        <f>MY34</f>
        <v/>
      </c>
      <c r="NA31" s="89">
        <f>MZ34</f>
        <v/>
      </c>
      <c r="NB31" s="89">
        <f>NA34</f>
        <v/>
      </c>
      <c r="NC31" s="89">
        <f>NB34</f>
        <v/>
      </c>
      <c r="ND31" s="89">
        <f>NC34</f>
        <v/>
      </c>
      <c r="NE31" s="89">
        <f>ND34+9975</f>
        <v/>
      </c>
      <c r="NF31" s="89">
        <f>NE34</f>
        <v/>
      </c>
      <c r="NG31" s="89">
        <f>NF34</f>
        <v/>
      </c>
      <c r="NH31" s="89">
        <f>NG34</f>
        <v/>
      </c>
      <c r="NI31" s="89">
        <f>NH34+11876</f>
        <v/>
      </c>
      <c r="NJ31" s="89">
        <f>NI34</f>
        <v/>
      </c>
      <c r="NK31" s="89">
        <f>NJ34</f>
        <v/>
      </c>
      <c r="NL31" s="89">
        <f>NK34</f>
        <v/>
      </c>
      <c r="NM31" s="89">
        <f>NL34</f>
        <v/>
      </c>
      <c r="NN31" s="89">
        <f>NM34</f>
        <v/>
      </c>
      <c r="NO31" s="89">
        <f>NN34+9902</f>
        <v/>
      </c>
      <c r="NP31" s="127">
        <f>SUM(ML31:NO31)</f>
        <v/>
      </c>
      <c r="NQ31" s="89">
        <f>NO34</f>
        <v/>
      </c>
      <c r="NR31" s="89">
        <f>NQ34</f>
        <v/>
      </c>
      <c r="NS31" s="89">
        <f>NR34</f>
        <v/>
      </c>
      <c r="NT31" s="89">
        <f>NS34</f>
        <v/>
      </c>
      <c r="NU31" s="89">
        <f>NT34</f>
        <v/>
      </c>
      <c r="NV31" s="89">
        <f>NU34</f>
        <v/>
      </c>
      <c r="NW31" s="89">
        <f>NV34+10000</f>
        <v/>
      </c>
      <c r="NX31" s="89">
        <f>NW34</f>
        <v/>
      </c>
      <c r="NY31" s="89">
        <f>NX34</f>
        <v/>
      </c>
      <c r="NZ31" s="89">
        <f>NY34</f>
        <v/>
      </c>
      <c r="OA31" s="89">
        <f>NZ34+9900</f>
        <v/>
      </c>
      <c r="OB31" s="89">
        <f>OA34</f>
        <v/>
      </c>
      <c r="OC31" s="89">
        <f>OB34</f>
        <v/>
      </c>
      <c r="OD31" s="89">
        <f>OC34</f>
        <v/>
      </c>
      <c r="OE31" s="89">
        <f>OD34</f>
        <v/>
      </c>
      <c r="OF31" s="89">
        <f>OE34+8934</f>
        <v/>
      </c>
      <c r="OG31" s="89">
        <f>OF34</f>
        <v/>
      </c>
      <c r="OH31" s="89">
        <f>OG34</f>
        <v/>
      </c>
      <c r="OI31" s="89">
        <f>OH34</f>
        <v/>
      </c>
      <c r="OJ31" s="89">
        <f>OI34</f>
        <v/>
      </c>
      <c r="OK31" s="89">
        <f>OJ34+11933</f>
        <v/>
      </c>
      <c r="OL31" s="89">
        <f>OK34</f>
        <v/>
      </c>
      <c r="OM31" s="89">
        <f>OL34</f>
        <v/>
      </c>
      <c r="ON31" s="89">
        <f>OM34</f>
        <v/>
      </c>
      <c r="OO31" s="89">
        <f>ON34</f>
        <v/>
      </c>
      <c r="OP31" s="89">
        <f>OO34</f>
        <v/>
      </c>
      <c r="OQ31" s="89">
        <f>OP34</f>
        <v/>
      </c>
      <c r="OR31" s="89">
        <f>OQ34</f>
        <v/>
      </c>
      <c r="OS31" s="89">
        <f>OR34</f>
        <v/>
      </c>
      <c r="OT31" s="89">
        <f>OS34+11946</f>
        <v/>
      </c>
      <c r="OU31" s="89">
        <f>OT34</f>
        <v/>
      </c>
      <c r="OV31" s="127">
        <f>SUM(NR31:OU31)</f>
        <v/>
      </c>
      <c r="OW31" s="89">
        <f>OU34</f>
        <v/>
      </c>
      <c r="OX31" s="89">
        <f>OW34</f>
        <v/>
      </c>
      <c r="OY31" s="89">
        <f>OX34</f>
        <v/>
      </c>
      <c r="OZ31" s="89">
        <f>OY34+12868</f>
        <v/>
      </c>
      <c r="PA31" s="89">
        <f>OZ34</f>
        <v/>
      </c>
      <c r="PB31" s="89">
        <f>PA34</f>
        <v/>
      </c>
      <c r="PC31" s="89">
        <f>PB34</f>
        <v/>
      </c>
      <c r="PD31" s="89">
        <f>PC34</f>
        <v/>
      </c>
      <c r="PE31" s="89">
        <f>PD34</f>
        <v/>
      </c>
      <c r="PF31" s="89">
        <f>PE34</f>
        <v/>
      </c>
      <c r="PG31" s="89">
        <f>PF34+6000</f>
        <v/>
      </c>
      <c r="PH31" s="89">
        <f>PG34</f>
        <v/>
      </c>
      <c r="PI31" s="89">
        <f>PH34</f>
        <v/>
      </c>
      <c r="PJ31" s="89">
        <f>PI34+11871</f>
        <v/>
      </c>
      <c r="PK31" s="89">
        <f>PJ34</f>
        <v/>
      </c>
      <c r="PL31" s="89">
        <f>PK34</f>
        <v/>
      </c>
      <c r="PM31" s="89">
        <f>PL34</f>
        <v/>
      </c>
      <c r="PN31" s="89">
        <f>PM34</f>
        <v/>
      </c>
      <c r="PO31" s="89">
        <f>PN34</f>
        <v/>
      </c>
      <c r="PP31" s="89">
        <f>PO34</f>
        <v/>
      </c>
      <c r="PQ31" s="89">
        <f>PP34+11864</f>
        <v/>
      </c>
      <c r="PR31" s="89">
        <f>PQ34</f>
        <v/>
      </c>
      <c r="PS31" s="89">
        <f>PR34</f>
        <v/>
      </c>
      <c r="PT31" s="89">
        <f>PS34</f>
        <v/>
      </c>
      <c r="PU31" s="89">
        <f>PT34</f>
        <v/>
      </c>
      <c r="PV31" s="89">
        <f>PU34</f>
        <v/>
      </c>
      <c r="PW31" s="89">
        <f>PV34</f>
        <v/>
      </c>
      <c r="PX31" s="89">
        <f>PW34+9882</f>
        <v/>
      </c>
      <c r="PY31" s="89">
        <f>PX34</f>
        <v/>
      </c>
      <c r="PZ31" s="89">
        <f>PY34</f>
        <v/>
      </c>
      <c r="QA31" s="127">
        <f>SUM(OW31:PZ31)</f>
        <v/>
      </c>
      <c r="QB31" s="89">
        <f>PZ34</f>
        <v/>
      </c>
      <c r="QC31" s="89">
        <f>QB34</f>
        <v/>
      </c>
      <c r="QD31" s="89">
        <f>QC34+8987</f>
        <v/>
      </c>
      <c r="QE31" s="89">
        <f>QD34</f>
        <v/>
      </c>
      <c r="QF31" s="89">
        <f>QE34</f>
        <v/>
      </c>
      <c r="QG31" s="89">
        <f>QF34</f>
        <v/>
      </c>
      <c r="QH31" s="89">
        <f>QG34</f>
        <v/>
      </c>
      <c r="QI31" s="89">
        <f>QH34</f>
        <v/>
      </c>
      <c r="QJ31" s="89">
        <f>QI34+9971</f>
        <v/>
      </c>
      <c r="QK31" s="89">
        <f>QJ34</f>
        <v/>
      </c>
      <c r="QL31" s="89">
        <f>QK34</f>
        <v/>
      </c>
      <c r="QM31" s="89">
        <f>QL34</f>
        <v/>
      </c>
      <c r="QN31" s="89">
        <f>QM34</f>
        <v/>
      </c>
      <c r="QO31" s="89">
        <f>QN34</f>
        <v/>
      </c>
      <c r="QP31" s="89">
        <f>QO34</f>
        <v/>
      </c>
      <c r="QQ31" s="89">
        <f>QP34+12975</f>
        <v/>
      </c>
      <c r="QR31" s="89">
        <f>QQ34</f>
        <v/>
      </c>
      <c r="QS31" s="89">
        <f>QR34</f>
        <v/>
      </c>
      <c r="QT31" s="89">
        <f>QS34</f>
        <v/>
      </c>
      <c r="QU31" s="89">
        <f>QT34</f>
        <v/>
      </c>
      <c r="QV31" s="89">
        <f>QU34</f>
        <v/>
      </c>
      <c r="QW31" s="89">
        <f>QV34</f>
        <v/>
      </c>
      <c r="QX31" s="89">
        <f>QW34</f>
        <v/>
      </c>
      <c r="QY31" s="89">
        <f>QX34+11971</f>
        <v/>
      </c>
      <c r="QZ31" s="89">
        <f>QY34</f>
        <v/>
      </c>
      <c r="RA31" s="89">
        <f>QZ34</f>
        <v/>
      </c>
      <c r="RB31" s="89">
        <f>RA34</f>
        <v/>
      </c>
      <c r="RC31" s="89">
        <f>RB34</f>
        <v/>
      </c>
      <c r="RD31" s="89">
        <f>RC34</f>
        <v/>
      </c>
      <c r="RE31" s="89">
        <f>RD34+12862</f>
        <v/>
      </c>
      <c r="RF31" s="89">
        <f>RE34</f>
        <v/>
      </c>
      <c r="RG31" s="127">
        <f>SUM(QC31:RF31)</f>
        <v/>
      </c>
      <c r="RH31" s="89">
        <f>RF34</f>
        <v/>
      </c>
      <c r="RI31" s="89">
        <f>RH34</f>
        <v/>
      </c>
      <c r="RJ31" s="89">
        <f>RI34</f>
        <v/>
      </c>
      <c r="RK31" s="89">
        <f>RJ34</f>
        <v/>
      </c>
      <c r="RL31" s="89">
        <f>RK34</f>
        <v/>
      </c>
      <c r="RM31" s="89">
        <f>RL34</f>
        <v/>
      </c>
      <c r="RN31" s="89">
        <f>RM34+11940</f>
        <v/>
      </c>
      <c r="RO31" s="89">
        <f>RN34</f>
        <v/>
      </c>
      <c r="RP31" s="89">
        <f>RO34</f>
        <v/>
      </c>
      <c r="RQ31" s="89">
        <f>RP34</f>
        <v/>
      </c>
      <c r="RR31" s="89">
        <f>RQ34</f>
        <v/>
      </c>
      <c r="RS31" s="89">
        <f>RR34+9887</f>
        <v/>
      </c>
      <c r="RT31" s="89">
        <f>RS34</f>
        <v/>
      </c>
      <c r="RU31" s="89">
        <f>RT34</f>
        <v/>
      </c>
      <c r="RV31" s="89">
        <f>RU34</f>
        <v/>
      </c>
      <c r="RW31" s="89">
        <f>RV34</f>
        <v/>
      </c>
      <c r="RX31" s="89">
        <f>RW34</f>
        <v/>
      </c>
      <c r="RY31" s="89">
        <f>RX34</f>
        <v/>
      </c>
      <c r="RZ31" s="89">
        <f>RY34</f>
        <v/>
      </c>
      <c r="SA31" s="89">
        <f>RZ34+10864</f>
        <v/>
      </c>
      <c r="SB31" s="89">
        <f>SA34</f>
        <v/>
      </c>
      <c r="SC31" s="89">
        <f>SB34</f>
        <v/>
      </c>
      <c r="SD31" s="89">
        <f>SC34</f>
        <v/>
      </c>
      <c r="SE31" s="89">
        <f>SD34+7904</f>
        <v/>
      </c>
      <c r="SF31" s="89">
        <f>SE34</f>
        <v/>
      </c>
      <c r="SG31" s="89">
        <f>SF34</f>
        <v/>
      </c>
      <c r="SH31" s="89">
        <f>SG34</f>
        <v/>
      </c>
      <c r="SI31" s="89">
        <f>SH34</f>
        <v/>
      </c>
      <c r="SJ31" s="89">
        <f>SI34</f>
        <v/>
      </c>
      <c r="SK31" s="89">
        <f>SJ34</f>
        <v/>
      </c>
      <c r="SL31" s="127">
        <f>SUM(RH31:SK31)</f>
        <v/>
      </c>
      <c r="SM31" s="89">
        <f>SK34+12863</f>
        <v/>
      </c>
      <c r="SN31" s="89">
        <f>SM34</f>
        <v/>
      </c>
      <c r="SO31" s="89">
        <f>SN34</f>
        <v/>
      </c>
      <c r="SP31" s="89">
        <f>SO34</f>
        <v/>
      </c>
      <c r="SQ31" s="89">
        <f>SP34</f>
        <v/>
      </c>
      <c r="SR31" s="89">
        <f>SQ34+8906</f>
        <v/>
      </c>
      <c r="SS31" s="89">
        <f>SR34</f>
        <v/>
      </c>
      <c r="ST31" s="89">
        <f>SS34</f>
        <v/>
      </c>
      <c r="SU31" s="89">
        <f>ST34</f>
        <v/>
      </c>
      <c r="SV31" s="89">
        <f>SU34</f>
        <v/>
      </c>
      <c r="SW31" s="89">
        <f>SV34</f>
        <v/>
      </c>
      <c r="SX31" s="89">
        <f>SW34+7916</f>
        <v/>
      </c>
      <c r="SY31" s="89">
        <f>SX34</f>
        <v/>
      </c>
      <c r="SZ31" s="89">
        <f>SY34</f>
        <v/>
      </c>
      <c r="TA31" s="89">
        <f>SZ34</f>
        <v/>
      </c>
      <c r="TB31" s="89">
        <f>TA34</f>
        <v/>
      </c>
      <c r="TC31" s="89">
        <f>TB34</f>
        <v/>
      </c>
      <c r="TD31" s="89">
        <f>TC34</f>
        <v/>
      </c>
      <c r="TE31" s="89">
        <f>TD34+10882</f>
        <v/>
      </c>
      <c r="TF31" s="89">
        <f>TE34</f>
        <v/>
      </c>
      <c r="TG31" s="89">
        <f>TF34</f>
        <v/>
      </c>
      <c r="TH31" s="89">
        <f>TG34</f>
        <v/>
      </c>
      <c r="TI31" s="89">
        <f>TH34</f>
        <v/>
      </c>
      <c r="TJ31" s="89">
        <f>TI34+14802</f>
        <v/>
      </c>
      <c r="TK31" s="89">
        <f>TJ34</f>
        <v/>
      </c>
      <c r="TL31" s="89">
        <f>TK34</f>
        <v/>
      </c>
      <c r="TM31" s="89">
        <f>TL34</f>
        <v/>
      </c>
      <c r="TN31" s="89">
        <f>TM34</f>
        <v/>
      </c>
      <c r="TO31" s="89">
        <f>TN34</f>
        <v/>
      </c>
      <c r="TP31" s="89">
        <f>TO34</f>
        <v/>
      </c>
      <c r="TQ31" s="89">
        <f>TP34</f>
        <v/>
      </c>
      <c r="TR31" s="127">
        <f>SUM(SN31:TQ31)</f>
        <v/>
      </c>
      <c r="TS31" s="89">
        <f>TQ34+10907</f>
        <v/>
      </c>
      <c r="TT31" s="89">
        <f>TS34</f>
        <v/>
      </c>
      <c r="TU31" s="89">
        <f>TT34</f>
        <v/>
      </c>
      <c r="TV31" s="89">
        <f>TU34</f>
        <v/>
      </c>
      <c r="TW31" s="89">
        <f>TV34+8871</f>
        <v/>
      </c>
      <c r="TX31" s="89">
        <f>TW34</f>
        <v/>
      </c>
      <c r="TY31" s="89">
        <f>TX34</f>
        <v/>
      </c>
      <c r="TZ31" s="89">
        <f>TY34</f>
        <v/>
      </c>
      <c r="UA31" s="89">
        <f>TZ34</f>
        <v/>
      </c>
      <c r="UB31" s="89">
        <f>UA34</f>
        <v/>
      </c>
      <c r="UC31" s="89">
        <f>UB34</f>
        <v/>
      </c>
      <c r="UD31" s="89">
        <f>UC34+8882</f>
        <v/>
      </c>
      <c r="UE31" s="89">
        <f>UD34</f>
        <v/>
      </c>
      <c r="UF31" s="89">
        <f>UE34</f>
        <v/>
      </c>
      <c r="UG31" s="89">
        <f>UF34</f>
        <v/>
      </c>
      <c r="UH31" s="89">
        <f>UG34</f>
        <v/>
      </c>
      <c r="UI31" s="89">
        <f>UH34</f>
        <v/>
      </c>
      <c r="UJ31" s="89">
        <f>UI34</f>
        <v/>
      </c>
      <c r="UK31" s="89">
        <f>UJ34</f>
        <v/>
      </c>
      <c r="UL31" s="89">
        <f>UK34+9885</f>
        <v/>
      </c>
      <c r="UM31" s="89">
        <f>UL34</f>
        <v/>
      </c>
      <c r="UN31" s="89">
        <f>UM34</f>
        <v/>
      </c>
      <c r="UO31" s="89">
        <f>UN34</f>
        <v/>
      </c>
      <c r="UP31" s="89">
        <f>UO34+7913</f>
        <v/>
      </c>
      <c r="UQ31" s="89">
        <f>UP34</f>
        <v/>
      </c>
      <c r="UR31" s="89">
        <f>UQ34</f>
        <v/>
      </c>
      <c r="US31" s="89">
        <f>UR34</f>
        <v/>
      </c>
      <c r="UT31" s="89">
        <f>US34</f>
        <v/>
      </c>
      <c r="UU31" s="89">
        <f>UT34+10864</f>
        <v/>
      </c>
      <c r="UV31" s="89">
        <f>UU34</f>
        <v/>
      </c>
      <c r="UW31" s="89">
        <f>UV34</f>
        <v/>
      </c>
      <c r="UX31" s="127">
        <f>SUM(TT31:UW31)</f>
        <v/>
      </c>
      <c r="UY31" s="89">
        <f>UW34</f>
        <v/>
      </c>
      <c r="UZ31" s="89">
        <f>UY34</f>
        <v/>
      </c>
      <c r="VA31" s="89">
        <f>UZ34</f>
        <v/>
      </c>
      <c r="VB31" s="89">
        <f>VA34+12977</f>
        <v/>
      </c>
      <c r="VC31" s="89">
        <f>VB34</f>
        <v/>
      </c>
      <c r="VD31" s="89">
        <f>VC34</f>
        <v/>
      </c>
      <c r="VE31" s="89">
        <f>VD34</f>
        <v/>
      </c>
      <c r="VF31" s="89">
        <f>VE34</f>
        <v/>
      </c>
      <c r="VG31" s="89">
        <f>VF34</f>
        <v/>
      </c>
      <c r="VH31" s="89">
        <f>VG34</f>
        <v/>
      </c>
      <c r="VI31" s="89">
        <f>VH34+12854</f>
        <v/>
      </c>
      <c r="VJ31" s="89">
        <f>VI34</f>
        <v/>
      </c>
      <c r="VK31" s="89">
        <f>VJ34</f>
        <v/>
      </c>
      <c r="VL31" s="89">
        <f>VK34</f>
        <v/>
      </c>
      <c r="VM31" s="89">
        <f>VL34+7907</f>
        <v/>
      </c>
      <c r="VN31" s="89">
        <f>VM34</f>
        <v/>
      </c>
      <c r="VO31" s="89">
        <f>VN34</f>
        <v/>
      </c>
      <c r="VP31" s="89">
        <f>VO34</f>
        <v/>
      </c>
      <c r="VQ31" s="89">
        <f>VP34+6926</f>
        <v/>
      </c>
      <c r="VR31" s="89">
        <f>VQ34</f>
        <v/>
      </c>
      <c r="VS31" s="89">
        <f>VR34</f>
        <v/>
      </c>
      <c r="VT31" s="89">
        <f>VS34</f>
        <v/>
      </c>
      <c r="VU31" s="89">
        <f>VT34</f>
        <v/>
      </c>
      <c r="VV31" s="89">
        <f>VU34</f>
        <v/>
      </c>
      <c r="VW31" s="89">
        <f>VV34</f>
        <v/>
      </c>
      <c r="VX31" s="89">
        <f>VW34</f>
        <v/>
      </c>
      <c r="VY31" s="89">
        <f>VX34+11856</f>
        <v/>
      </c>
      <c r="VZ31" s="89">
        <f>VY34</f>
        <v/>
      </c>
      <c r="WA31" s="127">
        <f>SUM(UW31:VZ31)</f>
        <v/>
      </c>
      <c r="WB31" s="89">
        <f>VZ34</f>
        <v/>
      </c>
      <c r="WC31" s="89">
        <f>WB34</f>
        <v/>
      </c>
      <c r="WD31" s="89">
        <f>WC34</f>
        <v/>
      </c>
      <c r="WE31" s="89">
        <f>WD34</f>
        <v/>
      </c>
      <c r="WF31" s="89">
        <f>WE34</f>
        <v/>
      </c>
      <c r="WG31" s="89">
        <f>WF34</f>
        <v/>
      </c>
      <c r="WH31" s="89">
        <f>WG34+15787</f>
        <v/>
      </c>
      <c r="WI31" s="89">
        <f>WH34</f>
        <v/>
      </c>
      <c r="WJ31" s="89">
        <f>WI34</f>
        <v/>
      </c>
      <c r="WK31" s="89">
        <f>WJ34</f>
        <v/>
      </c>
      <c r="WL31" s="89">
        <f>WK34</f>
        <v/>
      </c>
      <c r="WM31" s="89">
        <f>WL34</f>
        <v/>
      </c>
      <c r="WN31" s="89">
        <f>WM34</f>
        <v/>
      </c>
      <c r="WO31" s="89">
        <f>WN34</f>
        <v/>
      </c>
      <c r="WP31" s="89">
        <f>WO34</f>
        <v/>
      </c>
      <c r="WQ31" s="89">
        <f>WP34+14838</f>
        <v/>
      </c>
      <c r="WR31" s="89">
        <f>WQ34</f>
        <v/>
      </c>
      <c r="WS31" s="89">
        <f>WR34</f>
        <v/>
      </c>
      <c r="WT31" s="89">
        <f>WS34</f>
        <v/>
      </c>
      <c r="WU31" s="89">
        <f>WT34</f>
        <v/>
      </c>
      <c r="WV31" s="89">
        <f>WU34</f>
        <v/>
      </c>
      <c r="WW31" s="89">
        <f>WV34</f>
        <v/>
      </c>
      <c r="WX31" s="89">
        <f>WW34</f>
        <v/>
      </c>
      <c r="WY31" s="89">
        <f>WX34</f>
        <v/>
      </c>
      <c r="WZ31" s="89">
        <f>WY34</f>
        <v/>
      </c>
      <c r="XA31" s="89">
        <f>WZ34+11873</f>
        <v/>
      </c>
      <c r="XB31" s="89">
        <f>XA34</f>
        <v/>
      </c>
      <c r="XC31" s="89">
        <f>XB34</f>
        <v/>
      </c>
      <c r="XD31" s="89">
        <f>XC34</f>
        <v/>
      </c>
      <c r="XE31" s="89">
        <f>XD34</f>
        <v/>
      </c>
      <c r="XF31" s="89">
        <f>XE34+13867</f>
        <v/>
      </c>
      <c r="XG31" s="127">
        <f>SUM(WB31:XF31)</f>
        <v/>
      </c>
      <c r="XH31" s="89">
        <f>XF34</f>
        <v/>
      </c>
      <c r="XI31" s="89">
        <f>XH34</f>
        <v/>
      </c>
      <c r="XJ31" s="89">
        <f>XI34</f>
        <v/>
      </c>
      <c r="XK31" s="89">
        <f>XJ34</f>
        <v/>
      </c>
      <c r="XL31" s="89">
        <f>XK34</f>
        <v/>
      </c>
      <c r="XM31" s="89">
        <f>XL34</f>
        <v/>
      </c>
      <c r="XN31" s="89">
        <f>XM34</f>
        <v/>
      </c>
      <c r="XO31" s="89">
        <f>XN34</f>
        <v/>
      </c>
      <c r="XP31" s="89">
        <f>XO34+14000</f>
        <v/>
      </c>
      <c r="XQ31" s="89">
        <f>XP34</f>
        <v/>
      </c>
      <c r="XR31" s="89">
        <f>XQ34</f>
        <v/>
      </c>
      <c r="XS31" s="89">
        <f>XR34</f>
        <v/>
      </c>
      <c r="XT31" s="89">
        <f>XS34</f>
        <v/>
      </c>
      <c r="XU31" s="89">
        <f>XT34</f>
        <v/>
      </c>
      <c r="XV31" s="89">
        <f>XU34+7904</f>
        <v/>
      </c>
      <c r="XW31" s="89">
        <f>XV34</f>
        <v/>
      </c>
      <c r="XX31" s="89">
        <f>XW34</f>
        <v/>
      </c>
      <c r="XY31" s="89">
        <f>XX34+7899</f>
        <v/>
      </c>
      <c r="XZ31" s="89">
        <f>XY34</f>
        <v/>
      </c>
      <c r="YA31" s="89">
        <f>XZ34</f>
        <v/>
      </c>
      <c r="YB31" s="89">
        <f>YA34</f>
        <v/>
      </c>
      <c r="YC31" s="89">
        <f>YB34</f>
        <v/>
      </c>
      <c r="YD31" s="89">
        <f>YC34+7910</f>
        <v/>
      </c>
      <c r="YE31" s="89">
        <f>YD34</f>
        <v/>
      </c>
      <c r="YF31" s="89">
        <f>YE34</f>
        <v/>
      </c>
      <c r="YG31" s="89">
        <f>YF34</f>
        <v/>
      </c>
      <c r="YH31" s="89">
        <f>YG34</f>
        <v/>
      </c>
      <c r="YI31" s="89">
        <f>YH34</f>
        <v/>
      </c>
      <c r="YJ31" s="89">
        <f>YI34+8957</f>
        <v/>
      </c>
      <c r="YK31" s="89">
        <f>YJ34</f>
        <v/>
      </c>
      <c r="YL31" s="127">
        <f>SUM(XH31:YK31)</f>
        <v/>
      </c>
      <c r="YM31" s="89">
        <f>YK34</f>
        <v/>
      </c>
      <c r="YN31" s="89">
        <f>YM34</f>
        <v/>
      </c>
      <c r="YO31" s="89">
        <f>YN34</f>
        <v/>
      </c>
      <c r="YP31" s="89">
        <f>YO34</f>
        <v/>
      </c>
      <c r="YQ31" s="89">
        <f>YP34</f>
        <v/>
      </c>
      <c r="YR31" s="89">
        <f>YQ34</f>
        <v/>
      </c>
      <c r="YS31" s="89">
        <f>YR34</f>
        <v/>
      </c>
      <c r="YT31" s="89">
        <f>YS34</f>
        <v/>
      </c>
      <c r="YU31" s="89">
        <f>YT34+8000</f>
        <v/>
      </c>
      <c r="YV31" s="89">
        <f>YU34</f>
        <v/>
      </c>
      <c r="YW31" s="89">
        <f>YV34+7000</f>
        <v/>
      </c>
      <c r="YX31" s="89">
        <f>YW34</f>
        <v/>
      </c>
      <c r="YY31" s="89">
        <f>YX34</f>
        <v/>
      </c>
      <c r="YZ31" s="89">
        <f>YY34</f>
        <v/>
      </c>
      <c r="ZA31" s="89">
        <f>YZ34</f>
        <v/>
      </c>
      <c r="ZB31" s="89">
        <f>ZA34+12881</f>
        <v/>
      </c>
      <c r="ZC31" s="89">
        <f>ZB34</f>
        <v/>
      </c>
      <c r="ZD31" s="89">
        <f>ZC34</f>
        <v/>
      </c>
      <c r="ZE31" s="89">
        <f>ZD34</f>
        <v/>
      </c>
      <c r="ZF31" s="89">
        <f>ZE34</f>
        <v/>
      </c>
      <c r="ZG31" s="89">
        <f>ZF34</f>
        <v/>
      </c>
      <c r="ZH31" s="89">
        <f>ZG34+6938</f>
        <v/>
      </c>
      <c r="ZI31" s="89">
        <f>ZH34</f>
        <v/>
      </c>
      <c r="ZJ31" s="89">
        <f>ZI34</f>
        <v/>
      </c>
      <c r="ZK31" s="89">
        <f>ZJ34</f>
        <v/>
      </c>
      <c r="ZL31" s="89">
        <f>ZK34</f>
        <v/>
      </c>
      <c r="ZM31" s="89">
        <f>ZL34+12894</f>
        <v/>
      </c>
      <c r="ZN31" s="89">
        <f>ZM34</f>
        <v/>
      </c>
      <c r="ZO31" s="89">
        <f>ZN34+7921</f>
        <v/>
      </c>
      <c r="ZP31" s="89">
        <f>ZO34</f>
        <v/>
      </c>
      <c r="ZQ31" s="89">
        <f>ZP34</f>
        <v/>
      </c>
      <c r="ZR31" s="127">
        <f>SUM(YM31:ZQ31)</f>
        <v/>
      </c>
      <c r="ZS31" s="89">
        <f>ZQ34</f>
        <v/>
      </c>
      <c r="ZT31" s="89">
        <f>ZS34</f>
        <v/>
      </c>
      <c r="ZU31" s="89">
        <f>ZT34</f>
        <v/>
      </c>
      <c r="ZV31" s="89">
        <f>ZU34</f>
        <v/>
      </c>
      <c r="ZW31" s="89">
        <f>ZV34</f>
        <v/>
      </c>
      <c r="ZX31" s="89">
        <f>ZW34+12855</f>
        <v/>
      </c>
      <c r="ZY31" s="89">
        <f>ZX34</f>
        <v/>
      </c>
      <c r="ZZ31" s="89">
        <f>ZY34</f>
        <v/>
      </c>
      <c r="AAA31" s="89">
        <f>ZZ34</f>
        <v/>
      </c>
      <c r="AAB31" s="89">
        <f>AAA34</f>
        <v/>
      </c>
      <c r="AAC31" s="89">
        <f>AAB34</f>
        <v/>
      </c>
      <c r="AAD31" s="89">
        <f>AAC34+12877</f>
        <v/>
      </c>
      <c r="AAE31" s="89">
        <f>AAD34</f>
        <v/>
      </c>
      <c r="AAF31" s="89">
        <f>AAE34</f>
        <v/>
      </c>
      <c r="AAG31" s="89">
        <f>AAF34</f>
        <v/>
      </c>
      <c r="AAH31" s="89">
        <f>AAG34</f>
        <v/>
      </c>
      <c r="AAI31" s="89">
        <f>AAH34</f>
        <v/>
      </c>
      <c r="AAJ31" s="89">
        <f>AAI34+11933</f>
        <v/>
      </c>
      <c r="AAK31" s="89">
        <f>AAJ34</f>
        <v/>
      </c>
      <c r="AAL31" s="89">
        <f>AAK34</f>
        <v/>
      </c>
      <c r="AAM31" s="89">
        <f>AAL34</f>
        <v/>
      </c>
      <c r="AAN31" s="89">
        <f>AAM34</f>
        <v/>
      </c>
      <c r="AAO31" s="89">
        <f>AAN34</f>
        <v/>
      </c>
      <c r="AAP31" s="89">
        <f>AAO34+12882</f>
        <v/>
      </c>
      <c r="AAQ31" s="89">
        <f>AAP34</f>
        <v/>
      </c>
      <c r="AAR31" s="89">
        <f>AAQ34</f>
        <v/>
      </c>
      <c r="AAS31" s="89">
        <f>AAR34</f>
        <v/>
      </c>
      <c r="AAT31" s="89">
        <f>AAS34</f>
        <v/>
      </c>
      <c r="AAU31" s="89">
        <f>AAT34</f>
        <v/>
      </c>
      <c r="AAV31" s="89">
        <f>AAU34</f>
        <v/>
      </c>
      <c r="AAW31" s="127">
        <f>SUM(ZS31:AAV31)</f>
        <v/>
      </c>
      <c r="AAX31" s="89">
        <f>AAV34+12408</f>
        <v/>
      </c>
      <c r="AAY31" s="89">
        <f>AAX34</f>
        <v/>
      </c>
      <c r="AAZ31" s="89">
        <f>AAY34</f>
        <v/>
      </c>
      <c r="ABA31" s="89">
        <f>AAZ34</f>
        <v/>
      </c>
      <c r="ABB31" s="89">
        <f>ABA34</f>
        <v/>
      </c>
      <c r="ABC31" s="89">
        <f>ABB34</f>
        <v/>
      </c>
      <c r="ABD31" s="89">
        <f>ABC34</f>
        <v/>
      </c>
      <c r="ABE31" s="89">
        <f>ABD34+11887</f>
        <v/>
      </c>
      <c r="ABF31" s="89">
        <f>ABE34</f>
        <v/>
      </c>
      <c r="ABG31" s="89">
        <f>ABF34</f>
        <v/>
      </c>
      <c r="ABH31" s="89">
        <f>ABG34</f>
        <v/>
      </c>
      <c r="ABI31" s="89">
        <f>ABH34</f>
        <v/>
      </c>
      <c r="ABJ31" s="89">
        <f>ABI34</f>
        <v/>
      </c>
      <c r="ABK31" s="89">
        <f>ABJ34</f>
        <v/>
      </c>
      <c r="ABL31" s="89">
        <f>ABK34</f>
        <v/>
      </c>
      <c r="ABM31" s="89">
        <f>ABL34+14901</f>
        <v/>
      </c>
      <c r="ABN31" s="89">
        <f>ABM34</f>
        <v/>
      </c>
      <c r="ABO31" s="89">
        <f>ABN34</f>
        <v/>
      </c>
      <c r="ABP31" s="89">
        <f>ABO34+8000</f>
        <v/>
      </c>
      <c r="ABQ31" s="89">
        <f>ABP34</f>
        <v/>
      </c>
      <c r="ABR31" s="89">
        <f>ABQ34</f>
        <v/>
      </c>
      <c r="ABS31" s="89">
        <f>ABR34</f>
        <v/>
      </c>
      <c r="ABT31" s="89">
        <f>ABS34</f>
        <v/>
      </c>
      <c r="ABU31" s="89">
        <f>ABT34</f>
        <v/>
      </c>
      <c r="ABV31" s="89">
        <f>ABU34+12350</f>
        <v/>
      </c>
      <c r="ABW31" s="89">
        <f>ABV34</f>
        <v/>
      </c>
      <c r="ABX31" s="89">
        <f>ABW34</f>
        <v/>
      </c>
      <c r="ABY31" s="89">
        <f>ABX34</f>
        <v/>
      </c>
      <c r="ABZ31" s="89">
        <f>ABY34+7933</f>
        <v/>
      </c>
      <c r="ACA31" s="89">
        <f>ABZ34</f>
        <v/>
      </c>
      <c r="ACB31" s="89">
        <f>ACA34</f>
        <v/>
      </c>
      <c r="ACC31" s="127">
        <f>SUM(AAX31:ACB31)</f>
        <v/>
      </c>
      <c r="ACD31" s="89">
        <f>ACB34</f>
        <v/>
      </c>
      <c r="ACE31" s="89">
        <f>ACD34</f>
        <v/>
      </c>
      <c r="ACF31" s="89">
        <f>ACE34</f>
        <v/>
      </c>
      <c r="ACG31" s="89">
        <f>ACF34</f>
        <v/>
      </c>
      <c r="ACH31" s="89">
        <f>ACG34</f>
        <v/>
      </c>
      <c r="ACI31" s="89">
        <f>ACH34+12983</f>
        <v/>
      </c>
      <c r="ACJ31" s="89">
        <f>ACI34</f>
        <v/>
      </c>
      <c r="ACK31" s="89">
        <f>ACJ34</f>
        <v/>
      </c>
      <c r="ACL31" s="89">
        <f>ACK34</f>
        <v/>
      </c>
      <c r="ACM31" s="89">
        <f>ACL34</f>
        <v/>
      </c>
      <c r="ACN31" s="89">
        <f>ACM34</f>
        <v/>
      </c>
      <c r="ACO31" s="89">
        <f>ACN34</f>
        <v/>
      </c>
      <c r="ACP31" s="89">
        <f>ACO34+16978</f>
        <v/>
      </c>
      <c r="ACQ31" s="89">
        <f>ACP34</f>
        <v/>
      </c>
      <c r="ACR31" s="89">
        <f>ACQ34</f>
        <v/>
      </c>
      <c r="ACS31" s="89">
        <f>ACR34</f>
        <v/>
      </c>
      <c r="ACT31" s="89">
        <f>ACS34</f>
        <v/>
      </c>
      <c r="ACU31" s="89">
        <f>ACT34</f>
        <v/>
      </c>
      <c r="ACV31" s="89">
        <f>ACU34+10380</f>
        <v/>
      </c>
      <c r="ACW31" s="89">
        <f>ACV34</f>
        <v/>
      </c>
      <c r="ACX31" s="89">
        <f>ACW34</f>
        <v/>
      </c>
      <c r="ACY31" s="89">
        <f>ACX34</f>
        <v/>
      </c>
      <c r="ACZ31" s="89">
        <f>ACY34</f>
        <v/>
      </c>
      <c r="ADA31" s="89">
        <f>ACZ34</f>
        <v/>
      </c>
      <c r="ADB31" s="89">
        <f>ADA34+8946</f>
        <v/>
      </c>
      <c r="ADC31" s="89">
        <f>ADB34</f>
        <v/>
      </c>
      <c r="ADD31" s="89">
        <f>ADC34</f>
        <v/>
      </c>
      <c r="ADE31" s="89">
        <f>ADD34</f>
        <v/>
      </c>
      <c r="ADF31" s="89">
        <f>ADE34</f>
        <v/>
      </c>
      <c r="ADG31" s="89">
        <f>ADF34+7910</f>
        <v/>
      </c>
      <c r="ADH31" s="89">
        <f>ADG34</f>
        <v/>
      </c>
      <c r="ADI31" s="127">
        <f>SUM(ACD31:ADH31)</f>
        <v/>
      </c>
      <c r="ADJ31" s="89">
        <f>ADH34</f>
        <v/>
      </c>
      <c r="ADK31" s="89">
        <f>ADJ34</f>
        <v/>
      </c>
      <c r="ADL31" s="89">
        <f>ADK34</f>
        <v/>
      </c>
      <c r="ADM31" s="89">
        <f>ADL34</f>
        <v/>
      </c>
      <c r="ADN31" s="89">
        <f>ADM34+11865</f>
        <v/>
      </c>
      <c r="ADO31" s="89">
        <f>ADN34</f>
        <v/>
      </c>
      <c r="ADP31" s="89">
        <f>ADO34</f>
        <v/>
      </c>
      <c r="ADQ31" s="89">
        <f>ADP34</f>
        <v/>
      </c>
      <c r="ADR31" s="89">
        <f>ADQ34</f>
        <v/>
      </c>
      <c r="ADS31" s="89">
        <f>ADR34</f>
        <v/>
      </c>
      <c r="ADT31" s="89">
        <f>ADS34</f>
        <v/>
      </c>
      <c r="ADU31" s="89">
        <f>ADT34+12870</f>
        <v/>
      </c>
      <c r="ADV31" s="89">
        <f>ADU34</f>
        <v/>
      </c>
      <c r="ADW31" s="89">
        <f>ADV34</f>
        <v/>
      </c>
      <c r="ADX31" s="89">
        <f>ADW34</f>
        <v/>
      </c>
      <c r="ADY31" s="89">
        <f>ADX34</f>
        <v/>
      </c>
      <c r="ADZ31" s="89">
        <f>ADY34</f>
        <v/>
      </c>
      <c r="AEA31" s="89">
        <f>ADZ34</f>
        <v/>
      </c>
      <c r="AEB31" s="89">
        <f>AEA34</f>
        <v/>
      </c>
      <c r="AEC31" s="89">
        <f>AEB34+10908</f>
        <v/>
      </c>
      <c r="AED31" s="89">
        <f>AEC34</f>
        <v/>
      </c>
      <c r="AEE31" s="89">
        <f>AED34</f>
        <v/>
      </c>
      <c r="AEF31" s="89">
        <f>AEE34</f>
        <v/>
      </c>
      <c r="AEG31" s="89">
        <f>AEF34</f>
        <v/>
      </c>
      <c r="AEH31" s="89">
        <f>AEG34</f>
        <v/>
      </c>
      <c r="AEI31" s="89">
        <f>AEH34</f>
        <v/>
      </c>
      <c r="AEJ31" s="89">
        <f>AEI34+7973</f>
        <v/>
      </c>
      <c r="AEK31" s="89">
        <f>AEJ34</f>
        <v/>
      </c>
      <c r="AEL31" s="89">
        <f>AEK34</f>
        <v/>
      </c>
      <c r="AEM31" s="89">
        <f>AEL34+8914</f>
        <v/>
      </c>
      <c r="AEN31" s="127">
        <f>SUM(ADJ31:AEM31)</f>
        <v/>
      </c>
      <c r="AEO31" s="89">
        <f>AEM34</f>
        <v/>
      </c>
      <c r="AEP31" s="89">
        <f>AEO34</f>
        <v/>
      </c>
      <c r="AEQ31" s="89">
        <f>AEP34</f>
        <v/>
      </c>
      <c r="AER31" s="89">
        <f>AEQ34</f>
        <v/>
      </c>
      <c r="AES31" s="89">
        <f>AER34</f>
        <v/>
      </c>
      <c r="AET31" s="89">
        <f>AES34</f>
        <v/>
      </c>
      <c r="AEU31" s="89">
        <f>AET34</f>
        <v/>
      </c>
      <c r="AEV31" s="89">
        <f>AEU34+7896</f>
        <v/>
      </c>
      <c r="AEW31" s="89">
        <f>AEV34</f>
        <v/>
      </c>
      <c r="AEX31" s="89">
        <f>AEW34</f>
        <v/>
      </c>
      <c r="AEY31" s="89">
        <f>AEX34</f>
        <v/>
      </c>
      <c r="AEZ31" s="89">
        <f>AEY34</f>
        <v/>
      </c>
      <c r="AFA31" s="89">
        <f>AEZ34</f>
        <v/>
      </c>
      <c r="AFB31" s="89">
        <f>AFA34+12891</f>
        <v/>
      </c>
      <c r="AFC31" s="89">
        <f>AFB34</f>
        <v/>
      </c>
      <c r="AFD31" s="89">
        <f>AFC34</f>
        <v/>
      </c>
      <c r="AFE31" s="89">
        <f>AFD34</f>
        <v/>
      </c>
      <c r="AFF31" s="89">
        <f>AFE34+7914</f>
        <v/>
      </c>
      <c r="AFG31" s="89">
        <f>AFF34</f>
        <v/>
      </c>
      <c r="AFH31" s="89">
        <f>AFG34</f>
        <v/>
      </c>
      <c r="AFI31" s="89">
        <f>AFH34</f>
        <v/>
      </c>
      <c r="AFJ31" s="89">
        <f>AFI34</f>
        <v/>
      </c>
      <c r="AFK31" s="89">
        <f>AFJ34</f>
        <v/>
      </c>
      <c r="AFL31" s="89">
        <f>AFK34+8000</f>
        <v/>
      </c>
      <c r="AFM31" s="89">
        <f>AFL34</f>
        <v/>
      </c>
      <c r="AFN31" s="89">
        <f>AFM34</f>
        <v/>
      </c>
      <c r="AFO31" s="89">
        <f>AFN34</f>
        <v/>
      </c>
      <c r="AFP31" s="89">
        <f>AFO34</f>
        <v/>
      </c>
      <c r="AFQ31" s="89">
        <f>AFP34</f>
        <v/>
      </c>
      <c r="AFR31" s="89">
        <f>AFQ34</f>
        <v/>
      </c>
      <c r="AFS31" s="89">
        <f>AFR34</f>
        <v/>
      </c>
      <c r="AFT31" s="127">
        <f>SUM(AEO31:AFS31)</f>
        <v/>
      </c>
      <c r="AFU31" s="89">
        <f>AFS34+11846</f>
        <v/>
      </c>
      <c r="AFV31" s="89">
        <f>AFU34</f>
        <v/>
      </c>
      <c r="AFW31" s="89">
        <f>AFV34</f>
        <v/>
      </c>
      <c r="AFX31" s="89">
        <f>AFW34</f>
        <v/>
      </c>
      <c r="AFY31" s="89">
        <f>AFX34</f>
        <v/>
      </c>
      <c r="AFZ31" s="89">
        <f>AFY34+9915</f>
        <v/>
      </c>
      <c r="AGA31" s="89">
        <f>AFZ34</f>
        <v/>
      </c>
      <c r="AGB31" s="89">
        <f>AGA34</f>
        <v/>
      </c>
      <c r="AGC31" s="89">
        <f>AGB34</f>
        <v/>
      </c>
      <c r="AGD31" s="89">
        <f>AGC34</f>
        <v/>
      </c>
      <c r="AGE31" s="89">
        <f>AGD34</f>
        <v/>
      </c>
      <c r="AGF31" s="89">
        <f>AGE34+12839</f>
        <v/>
      </c>
      <c r="AGG31" s="89">
        <f>AGF34</f>
        <v/>
      </c>
      <c r="AGH31" s="89">
        <f>AGG34</f>
        <v/>
      </c>
      <c r="AGI31" s="89">
        <f>AGH34</f>
        <v/>
      </c>
      <c r="AGJ31" s="89">
        <f>AGI34</f>
        <v/>
      </c>
      <c r="AGK31" s="89">
        <f>AGJ34</f>
        <v/>
      </c>
      <c r="AGL31" s="89">
        <f>AGK34</f>
        <v/>
      </c>
      <c r="AGM31" s="89">
        <f>AGL34</f>
        <v/>
      </c>
      <c r="AGN31" s="89">
        <f>AGM34</f>
        <v/>
      </c>
      <c r="AGO31" s="89">
        <f>AGN34+12802</f>
        <v/>
      </c>
      <c r="AGP31" s="89">
        <f>AGO34</f>
        <v/>
      </c>
      <c r="AGQ31" s="89">
        <f>AGP34</f>
        <v/>
      </c>
      <c r="AGR31" s="89">
        <f>AGQ34</f>
        <v/>
      </c>
      <c r="AGS31" s="89">
        <f>AGR34</f>
        <v/>
      </c>
      <c r="AGT31" s="89">
        <f>AGS34+8852</f>
        <v/>
      </c>
      <c r="AGU31" s="89">
        <f>AGT34</f>
        <v/>
      </c>
      <c r="AGV31" s="89">
        <f>AGU34</f>
        <v/>
      </c>
      <c r="AGW31" s="89">
        <f>AGV34</f>
        <v/>
      </c>
      <c r="AGX31" s="89">
        <f>AGW34</f>
        <v/>
      </c>
      <c r="AGY31" s="127">
        <f>SUM(AFU31:AGX31)</f>
        <v/>
      </c>
      <c r="AGZ31" s="89">
        <f>AGX34</f>
        <v/>
      </c>
      <c r="AHA31" s="89">
        <f>AGZ34</f>
        <v/>
      </c>
      <c r="AHB31" s="89">
        <f>AHA34+12798</f>
        <v/>
      </c>
      <c r="AHC31" s="89">
        <f>AHB34</f>
        <v/>
      </c>
      <c r="AHD31" s="89">
        <f>AHC34</f>
        <v/>
      </c>
      <c r="AHE31" s="89">
        <f>AHD34</f>
        <v/>
      </c>
      <c r="AHF31" s="89">
        <f>AHE34</f>
        <v/>
      </c>
      <c r="AHG31" s="89">
        <f>AHF34</f>
        <v/>
      </c>
      <c r="AHH31" s="89">
        <f>AHG34</f>
        <v/>
      </c>
      <c r="AHI31" s="89">
        <f>AHH34</f>
        <v/>
      </c>
      <c r="AHJ31" s="89">
        <f>AHI34+12802</f>
        <v/>
      </c>
      <c r="AHK31" s="89">
        <f>AHJ34</f>
        <v/>
      </c>
      <c r="AHL31" s="89">
        <f>AHK34</f>
        <v/>
      </c>
      <c r="AHM31" s="89">
        <f>AHL34</f>
        <v/>
      </c>
      <c r="AHN31" s="89">
        <f>AHM34</f>
        <v/>
      </c>
      <c r="AHO31" s="89">
        <f>AHN34</f>
        <v/>
      </c>
      <c r="AHP31" s="89">
        <f>AHO34+13926</f>
        <v/>
      </c>
      <c r="AHQ31" s="89">
        <f>AHP34</f>
        <v/>
      </c>
      <c r="AHR31" s="89">
        <f>AHQ34</f>
        <v/>
      </c>
      <c r="AHS31" s="89">
        <f>AHR34</f>
        <v/>
      </c>
      <c r="AHT31" s="89">
        <f>AHS34</f>
        <v/>
      </c>
      <c r="AHU31" s="89">
        <f>AHT34</f>
        <v/>
      </c>
      <c r="AHV31" s="89">
        <f>AHU34</f>
        <v/>
      </c>
      <c r="AHW31" s="89">
        <f>AHV34+13843</f>
        <v/>
      </c>
      <c r="AHX31" s="89">
        <f>AHW34</f>
        <v/>
      </c>
      <c r="AHY31" s="89">
        <f>AHX34</f>
        <v/>
      </c>
      <c r="AHZ31" s="89">
        <f>AHY34</f>
        <v/>
      </c>
      <c r="AIA31" s="89">
        <f>AHZ34</f>
        <v/>
      </c>
      <c r="AIB31" s="89">
        <f>AIA34</f>
        <v/>
      </c>
      <c r="AIC31" s="89">
        <f>AIB34</f>
        <v/>
      </c>
      <c r="AID31" s="89">
        <f>AIC34+4973+4984</f>
        <v/>
      </c>
      <c r="AIE31" s="127">
        <f>SUM(AGZ31:AID31)</f>
        <v/>
      </c>
      <c r="AIF31" s="89">
        <f>AID34</f>
        <v/>
      </c>
      <c r="AIG31" s="89">
        <f>AIF34</f>
        <v/>
      </c>
      <c r="AIH31" s="89">
        <f>AIG34</f>
        <v/>
      </c>
      <c r="AII31" s="89">
        <f>AIH34</f>
        <v/>
      </c>
      <c r="AIJ31" s="89">
        <f>AII34</f>
        <v/>
      </c>
      <c r="AIK31" s="89">
        <f>AIJ34+9927</f>
        <v/>
      </c>
      <c r="AIL31" s="89">
        <f>AIK34</f>
        <v/>
      </c>
      <c r="AIM31" s="89">
        <f>AIL34</f>
        <v/>
      </c>
      <c r="AIN31" s="89">
        <f>AIM34+8420</f>
        <v/>
      </c>
      <c r="AIO31" s="89">
        <f>AIN34</f>
        <v/>
      </c>
      <c r="AIP31" s="89">
        <f>AIO34</f>
        <v/>
      </c>
      <c r="AIQ31" s="89">
        <f>AIP34</f>
        <v/>
      </c>
      <c r="AIR31" s="89">
        <f>AIQ34</f>
        <v/>
      </c>
      <c r="AIS31" s="89">
        <f>AIR34</f>
        <v/>
      </c>
      <c r="AIT31" s="89">
        <f>AIS34</f>
        <v/>
      </c>
      <c r="AIU31" s="89">
        <f>AIT34</f>
        <v/>
      </c>
      <c r="AIV31" s="89">
        <f>AIU34</f>
        <v/>
      </c>
      <c r="AIW31" s="89">
        <f>AIV34</f>
        <v/>
      </c>
      <c r="AIX31" s="89">
        <f>AIW34+4942</f>
        <v/>
      </c>
      <c r="AIY31" s="89">
        <f>AIX34</f>
        <v/>
      </c>
      <c r="AIZ31" s="89">
        <f>AIY34</f>
        <v/>
      </c>
      <c r="AJA31" s="89">
        <f>AIZ34+10864</f>
        <v/>
      </c>
      <c r="AJB31" s="89">
        <f>AJA34</f>
        <v/>
      </c>
      <c r="AJC31" s="89">
        <f>AJB34</f>
        <v/>
      </c>
      <c r="AJD31" s="89">
        <f>AJC34+5000</f>
        <v/>
      </c>
      <c r="AJE31" s="89">
        <f>AJD34</f>
        <v/>
      </c>
      <c r="AJF31" s="89">
        <f>AJE34</f>
        <v/>
      </c>
      <c r="AJG31" s="89">
        <f>AJF34</f>
        <v/>
      </c>
      <c r="AJH31" s="89">
        <f>AJG34</f>
        <v/>
      </c>
      <c r="AJI31" s="89">
        <f>AJH34+9395</f>
        <v/>
      </c>
      <c r="AJJ31" s="89">
        <f>AJI34</f>
        <v/>
      </c>
      <c r="AJK31" s="127">
        <f>SUM(AIF31:AJJ31)</f>
        <v/>
      </c>
      <c r="AJL31" s="89">
        <f>AJJ34</f>
        <v/>
      </c>
      <c r="AJM31" s="89">
        <f>AJL34</f>
        <v/>
      </c>
      <c r="AJN31" s="89">
        <f>AJM34</f>
        <v/>
      </c>
      <c r="AJO31" s="89">
        <f>AJN34</f>
        <v/>
      </c>
      <c r="AJP31" s="89">
        <f>AJO34</f>
        <v/>
      </c>
      <c r="AJQ31" s="89">
        <f>AJP34+8913</f>
        <v/>
      </c>
      <c r="AJR31" s="89">
        <f>AJQ34+7969</f>
        <v/>
      </c>
      <c r="AJS31" s="89">
        <f>AJR34</f>
        <v/>
      </c>
      <c r="AJT31" s="89">
        <f>AJS34</f>
        <v/>
      </c>
      <c r="AJU31" s="89">
        <f>AJT34</f>
        <v/>
      </c>
      <c r="AJV31" s="89">
        <f>AJU34</f>
        <v/>
      </c>
      <c r="AJW31" s="89">
        <f>AJV34</f>
        <v/>
      </c>
      <c r="AJX31" s="89">
        <f>AJW34</f>
        <v/>
      </c>
      <c r="AJY31" s="89">
        <f>AJX34+11924</f>
        <v/>
      </c>
      <c r="AJZ31" s="89">
        <f>AJY34</f>
        <v/>
      </c>
      <c r="AKA31" s="89">
        <f>AJZ34</f>
        <v/>
      </c>
      <c r="AKB31" s="89">
        <f>AKA34</f>
        <v/>
      </c>
      <c r="AKC31" s="89">
        <f>AKB34</f>
        <v/>
      </c>
      <c r="AKD31" s="89">
        <f>AKC34+7907</f>
        <v/>
      </c>
      <c r="AKE31" s="89">
        <f>AKD34</f>
        <v/>
      </c>
      <c r="AKF31" s="89">
        <f>AKE34</f>
        <v/>
      </c>
      <c r="AKG31" s="89">
        <f>AKF34</f>
        <v/>
      </c>
      <c r="AKH31" s="89">
        <f>AKG34</f>
        <v/>
      </c>
      <c r="AKI31" s="89">
        <f>AKH34</f>
        <v/>
      </c>
      <c r="AKJ31" s="89">
        <f>AKI34</f>
        <v/>
      </c>
      <c r="AKK31" s="89">
        <f>AKJ34</f>
        <v/>
      </c>
      <c r="AKL31" s="89">
        <f>AKK34</f>
        <v/>
      </c>
      <c r="AKM31" s="89">
        <f>AKL34+12868</f>
        <v/>
      </c>
      <c r="AKN31" s="127">
        <f>SUM(AJL31:AKM31)</f>
        <v/>
      </c>
      <c r="AKO31" s="89">
        <f>AKM34</f>
        <v/>
      </c>
      <c r="AKP31" s="89">
        <f>AKO34</f>
        <v/>
      </c>
      <c r="AKQ31" s="89">
        <f>AKP34</f>
        <v/>
      </c>
      <c r="AKR31" s="89">
        <f>AKQ34</f>
        <v/>
      </c>
      <c r="AKS31" s="89">
        <f>AKR34</f>
        <v/>
      </c>
      <c r="AKT31" s="89">
        <f>AKS34+10962</f>
        <v/>
      </c>
      <c r="AKU31" s="89">
        <f>AKT34</f>
        <v/>
      </c>
      <c r="AKV31" s="89">
        <f>AKU34</f>
        <v/>
      </c>
      <c r="AKW31" s="89">
        <f>AKV34</f>
        <v/>
      </c>
      <c r="AKX31" s="89">
        <f>AKW34</f>
        <v/>
      </c>
      <c r="AKY31" s="89">
        <f>AKX34</f>
        <v/>
      </c>
      <c r="AKZ31" s="89">
        <f>AKY34</f>
        <v/>
      </c>
      <c r="ALA31" s="89">
        <f>AKZ34+9842</f>
        <v/>
      </c>
      <c r="ALB31" s="89">
        <f>ALA34</f>
        <v/>
      </c>
      <c r="ALC31" s="89">
        <f>ALB34</f>
        <v/>
      </c>
      <c r="ALD31" s="89">
        <f>ALC34</f>
        <v/>
      </c>
      <c r="ALE31" s="89">
        <f>ALD34</f>
        <v/>
      </c>
      <c r="ALF31" s="89">
        <f>ALE34</f>
        <v/>
      </c>
      <c r="ALG31" s="89">
        <f>ALF34</f>
        <v/>
      </c>
      <c r="ALH31" s="89">
        <f>ALG34+12898</f>
        <v/>
      </c>
      <c r="ALI31" s="89">
        <f>ALH34</f>
        <v/>
      </c>
      <c r="ALJ31" s="89">
        <f>ALI34</f>
        <v/>
      </c>
      <c r="ALK31" s="89">
        <f>ALJ34</f>
        <v/>
      </c>
      <c r="ALL31" s="89">
        <f>ALK34</f>
        <v/>
      </c>
      <c r="ALM31" s="89">
        <f>ALL34</f>
        <v/>
      </c>
      <c r="ALN31" s="89">
        <f>ALM34+7946</f>
        <v/>
      </c>
      <c r="ALO31" s="89">
        <f>ALN34</f>
        <v/>
      </c>
      <c r="ALP31" s="89">
        <f>ALO34+7446</f>
        <v/>
      </c>
      <c r="ALQ31" s="89">
        <f>ALP34</f>
        <v/>
      </c>
      <c r="ALR31" s="89">
        <f>ALQ34</f>
        <v/>
      </c>
      <c r="ALS31" s="89">
        <f>ALR34</f>
        <v/>
      </c>
      <c r="ALT31" s="127">
        <f>SUM(AKO31:ALS31)</f>
        <v/>
      </c>
      <c r="ALU31" s="89">
        <f>ALS34</f>
        <v/>
      </c>
      <c r="ALV31" s="89">
        <f>ALU34+7415</f>
        <v/>
      </c>
      <c r="ALW31" s="89">
        <f>ALV34+5000</f>
        <v/>
      </c>
      <c r="ALX31" s="89">
        <f>ALW34</f>
        <v/>
      </c>
      <c r="ALY31" s="89">
        <f>ALX34</f>
        <v/>
      </c>
      <c r="ALZ31" s="89">
        <f>ALY34</f>
        <v/>
      </c>
      <c r="AMA31" s="89">
        <f>ALZ34</f>
        <v/>
      </c>
      <c r="AMB31" s="89">
        <f>AMA34</f>
        <v/>
      </c>
      <c r="AMC31" s="89">
        <f>AMB34</f>
        <v/>
      </c>
      <c r="AMD31" s="89">
        <f>AMC34</f>
        <v/>
      </c>
      <c r="AME31" s="89">
        <f>AMD34</f>
        <v/>
      </c>
      <c r="AMF31" s="89">
        <f>AME34+9910</f>
        <v/>
      </c>
      <c r="AMG31" s="89">
        <f>AMF34</f>
        <v/>
      </c>
      <c r="AMH31" s="89">
        <f>AMG34+7870</f>
        <v/>
      </c>
      <c r="AMI31" s="89">
        <f>AMH34</f>
        <v/>
      </c>
      <c r="AMJ31" s="89">
        <f>AMI34</f>
        <v/>
      </c>
      <c r="AMK31" s="89">
        <f>AMJ34+7945</f>
        <v/>
      </c>
      <c r="AML31" s="89">
        <f>AMK34</f>
        <v/>
      </c>
      <c r="AMM31" s="89">
        <f>AML34</f>
        <v/>
      </c>
      <c r="AMN31" s="89">
        <f>AMM34</f>
        <v/>
      </c>
      <c r="AMO31" s="89">
        <f>AMN34+8834</f>
        <v/>
      </c>
      <c r="AMP31" s="89">
        <f>AMO34</f>
        <v/>
      </c>
      <c r="AMQ31" s="89">
        <f>AMP34</f>
        <v/>
      </c>
      <c r="AMR31" s="89">
        <f>AMQ34+12852</f>
        <v/>
      </c>
      <c r="AMS31" s="89">
        <f>AMR34</f>
        <v/>
      </c>
      <c r="AMT31" s="89">
        <f>AMS34</f>
        <v/>
      </c>
      <c r="AMU31" s="89">
        <f>AMT34</f>
        <v/>
      </c>
      <c r="AMV31" s="89">
        <f>AMU34+7940</f>
        <v/>
      </c>
      <c r="AMW31" s="89">
        <f>AMV34</f>
        <v/>
      </c>
      <c r="AMX31" s="89">
        <f>AMW34+9850</f>
        <v/>
      </c>
      <c r="AMY31" s="127">
        <f>SUM(ALU31:AMX31)</f>
        <v/>
      </c>
      <c r="AMZ31" s="89">
        <f>AMX34+7974</f>
        <v/>
      </c>
      <c r="ANA31" s="89">
        <f>AMZ34</f>
        <v/>
      </c>
      <c r="ANB31" s="89">
        <f>ANA34</f>
        <v/>
      </c>
      <c r="ANC31" s="89">
        <f>ANB34</f>
        <v/>
      </c>
      <c r="AND31" s="89">
        <f>ANC34+7930</f>
        <v/>
      </c>
      <c r="ANE31" s="89">
        <f>AND34</f>
        <v/>
      </c>
      <c r="ANF31" s="89">
        <f>ANE34</f>
        <v/>
      </c>
      <c r="ANG31" s="89">
        <f>ANF34+6933</f>
        <v/>
      </c>
      <c r="ANH31" s="89">
        <f>ANG34</f>
        <v/>
      </c>
      <c r="ANI31" s="89">
        <f>ANH34</f>
        <v/>
      </c>
      <c r="ANJ31" s="89">
        <f>ANI34</f>
        <v/>
      </c>
      <c r="ANK31" s="89">
        <f>ANJ34</f>
        <v/>
      </c>
      <c r="ANL31" s="89">
        <f>ANK34</f>
        <v/>
      </c>
      <c r="ANM31" s="89">
        <f>ANL34+6911</f>
        <v/>
      </c>
      <c r="ANN31" s="89">
        <f>ANM34</f>
        <v/>
      </c>
      <c r="ANO31" s="89">
        <f>ANN34</f>
        <v/>
      </c>
      <c r="ANP31" s="89">
        <f>ANO34+4913</f>
        <v/>
      </c>
      <c r="ANQ31" s="89">
        <f>ANP34</f>
        <v/>
      </c>
      <c r="ANR31" s="89">
        <f>ANQ34</f>
        <v/>
      </c>
      <c r="ANS31" s="89">
        <f>ANR34+9836</f>
        <v/>
      </c>
      <c r="ANT31" s="89">
        <f>ANS34</f>
        <v/>
      </c>
      <c r="ANU31" s="89">
        <f>ANT34</f>
        <v/>
      </c>
      <c r="ANV31" s="89">
        <f>ANU34</f>
        <v/>
      </c>
      <c r="ANW31" s="89">
        <f>ANV34</f>
        <v/>
      </c>
      <c r="ANX31" s="89">
        <f>ANW34</f>
        <v/>
      </c>
      <c r="ANY31" s="89">
        <f>ANX34</f>
        <v/>
      </c>
      <c r="ANZ31" s="89">
        <f>ANY34+8846</f>
        <v/>
      </c>
      <c r="AOA31" s="89">
        <f>ANZ34</f>
        <v/>
      </c>
      <c r="AOB31" s="89">
        <f>AOA34</f>
        <v/>
      </c>
      <c r="AOC31" s="89">
        <f>AOB34+3934+2950</f>
        <v/>
      </c>
    </row>
    <row r="32">
      <c r="B32" s="5" t="inlineStr">
        <is>
          <t xml:space="preserve">SALES </t>
        </is>
      </c>
      <c r="C32" s="20" t="n">
        <v>2515.992</v>
      </c>
      <c r="D32" s="20" t="n">
        <v>2602.712</v>
      </c>
      <c r="E32" s="20" t="n">
        <v>2463.933</v>
      </c>
      <c r="F32" s="20" t="n">
        <v>2646.835</v>
      </c>
      <c r="G32" s="20">
        <f>G4</f>
        <v/>
      </c>
      <c r="H32" s="20">
        <f>H4</f>
        <v/>
      </c>
      <c r="I32" s="20">
        <f>I4</f>
        <v/>
      </c>
      <c r="J32" s="20">
        <f>J4</f>
        <v/>
      </c>
      <c r="K32" s="20">
        <f>K4</f>
        <v/>
      </c>
      <c r="L32" s="20">
        <f>L4</f>
        <v/>
      </c>
      <c r="M32" s="20">
        <f>M4</f>
        <v/>
      </c>
      <c r="N32" s="20">
        <f>N4</f>
        <v/>
      </c>
      <c r="O32" s="20">
        <f>O4</f>
        <v/>
      </c>
      <c r="P32" s="20">
        <f>P4</f>
        <v/>
      </c>
      <c r="Q32" s="20">
        <f>Q4</f>
        <v/>
      </c>
      <c r="R32" s="20">
        <f>R4</f>
        <v/>
      </c>
      <c r="S32" s="20">
        <f>S4</f>
        <v/>
      </c>
      <c r="T32" s="20">
        <f>T4</f>
        <v/>
      </c>
      <c r="U32" s="20">
        <f>U4</f>
        <v/>
      </c>
      <c r="V32" s="20">
        <f>V4</f>
        <v/>
      </c>
      <c r="W32" s="20">
        <f>W4</f>
        <v/>
      </c>
      <c r="X32" s="20">
        <f>X4</f>
        <v/>
      </c>
      <c r="Y32" s="20">
        <f>Y4</f>
        <v/>
      </c>
      <c r="Z32" s="20">
        <f>Z4</f>
        <v/>
      </c>
      <c r="AA32" s="20">
        <f>AA4</f>
        <v/>
      </c>
      <c r="AB32" s="20">
        <f>AB4</f>
        <v/>
      </c>
      <c r="AC32" s="20">
        <f>AC4</f>
        <v/>
      </c>
      <c r="AD32" s="20">
        <f>AD4</f>
        <v/>
      </c>
      <c r="AE32" s="20">
        <f>AE4</f>
        <v/>
      </c>
      <c r="AF32" s="20">
        <f>AF4</f>
        <v/>
      </c>
      <c r="AG32" s="20">
        <f>AG4</f>
        <v/>
      </c>
      <c r="AH32" s="94">
        <f>SUM(C32:AG32)</f>
        <v/>
      </c>
      <c r="AI32" s="20">
        <f>AI4</f>
        <v/>
      </c>
      <c r="AJ32" s="20">
        <f>AJ4</f>
        <v/>
      </c>
      <c r="AK32" s="20">
        <f>AK4</f>
        <v/>
      </c>
      <c r="AL32" s="20">
        <f>AL4</f>
        <v/>
      </c>
      <c r="AM32" s="20">
        <f>AM4</f>
        <v/>
      </c>
      <c r="AN32" s="20">
        <f>AN4</f>
        <v/>
      </c>
      <c r="AO32" s="20">
        <f>AO4</f>
        <v/>
      </c>
      <c r="AP32" s="20">
        <f>AP4</f>
        <v/>
      </c>
      <c r="AQ32" s="20">
        <f>AQ4</f>
        <v/>
      </c>
      <c r="AR32" s="20">
        <f>AR4</f>
        <v/>
      </c>
      <c r="AS32" s="20">
        <f>AS4</f>
        <v/>
      </c>
      <c r="AT32" s="20">
        <f>AT4</f>
        <v/>
      </c>
      <c r="AU32" s="20">
        <f>AU4</f>
        <v/>
      </c>
      <c r="AV32" s="20">
        <f>AV4</f>
        <v/>
      </c>
      <c r="AW32" s="20">
        <f>AW4</f>
        <v/>
      </c>
      <c r="AX32" s="20">
        <f>AX4</f>
        <v/>
      </c>
      <c r="AY32" s="20">
        <f>AY4</f>
        <v/>
      </c>
      <c r="AZ32" s="20">
        <f>AZ4</f>
        <v/>
      </c>
      <c r="BA32" s="20">
        <f>BA4</f>
        <v/>
      </c>
      <c r="BB32" s="20">
        <f>BB4</f>
        <v/>
      </c>
      <c r="BC32" s="20">
        <f>BC4</f>
        <v/>
      </c>
      <c r="BD32" s="20">
        <f>BD4</f>
        <v/>
      </c>
      <c r="BE32" s="20">
        <f>BE4</f>
        <v/>
      </c>
      <c r="BF32" s="20">
        <f>BF4</f>
        <v/>
      </c>
      <c r="BG32" s="20">
        <f>BG4</f>
        <v/>
      </c>
      <c r="BH32" s="20">
        <f>BH4</f>
        <v/>
      </c>
      <c r="BI32" s="20">
        <f>BI4</f>
        <v/>
      </c>
      <c r="BJ32" s="20">
        <f>BJ4</f>
        <v/>
      </c>
      <c r="BK32" s="20">
        <f>BK4</f>
        <v/>
      </c>
      <c r="BL32" s="20">
        <f>BL4</f>
        <v/>
      </c>
      <c r="BM32" s="97">
        <f>SUM(AI32:BL32)</f>
        <v/>
      </c>
      <c r="BN32" s="20">
        <f>BN4</f>
        <v/>
      </c>
      <c r="BO32" s="20">
        <f>BO4</f>
        <v/>
      </c>
      <c r="BP32" s="20">
        <f>BP4</f>
        <v/>
      </c>
      <c r="BQ32" s="20">
        <f>BQ4</f>
        <v/>
      </c>
      <c r="BR32" s="20">
        <f>BR4</f>
        <v/>
      </c>
      <c r="BS32" s="20">
        <f>BS4</f>
        <v/>
      </c>
      <c r="BT32" s="20">
        <f>BT4</f>
        <v/>
      </c>
      <c r="BU32" s="20">
        <f>BU4</f>
        <v/>
      </c>
      <c r="BV32" s="20">
        <f>BV4</f>
        <v/>
      </c>
      <c r="BW32" s="20">
        <f>BW4</f>
        <v/>
      </c>
      <c r="BX32" s="20">
        <f>BX4</f>
        <v/>
      </c>
      <c r="BY32" s="20">
        <f>BY4</f>
        <v/>
      </c>
      <c r="BZ32" s="20">
        <f>BZ4</f>
        <v/>
      </c>
      <c r="CA32" s="20">
        <f>CA4</f>
        <v/>
      </c>
      <c r="CB32" s="20">
        <f>CB4</f>
        <v/>
      </c>
      <c r="CC32" s="20">
        <f>CC4</f>
        <v/>
      </c>
      <c r="CD32" s="20">
        <f>CD4</f>
        <v/>
      </c>
      <c r="CE32" s="20">
        <f>CE4</f>
        <v/>
      </c>
      <c r="CF32" s="20">
        <f>CF4</f>
        <v/>
      </c>
      <c r="CG32" s="20">
        <f>CG4</f>
        <v/>
      </c>
      <c r="CH32" s="20">
        <f>CH4</f>
        <v/>
      </c>
      <c r="CI32" s="20">
        <f>CI4</f>
        <v/>
      </c>
      <c r="CJ32" s="20">
        <f>CJ4</f>
        <v/>
      </c>
      <c r="CK32" s="20">
        <f>CK4</f>
        <v/>
      </c>
      <c r="CL32" s="20">
        <f>CL4</f>
        <v/>
      </c>
      <c r="CM32" s="20">
        <f>CM4</f>
        <v/>
      </c>
      <c r="CN32" s="20">
        <f>CN4</f>
        <v/>
      </c>
      <c r="CO32" s="20">
        <f>CO4</f>
        <v/>
      </c>
      <c r="CP32" s="20">
        <f>CP4</f>
        <v/>
      </c>
      <c r="CQ32" s="20">
        <f>CQ4</f>
        <v/>
      </c>
      <c r="CR32" s="20">
        <f>CR4</f>
        <v/>
      </c>
      <c r="CS32" s="111">
        <f>SUM(BN32:CR32)</f>
        <v/>
      </c>
      <c r="CT32" s="20">
        <f>CT4</f>
        <v/>
      </c>
      <c r="CU32" s="20">
        <f>CU4</f>
        <v/>
      </c>
      <c r="CV32" s="20">
        <f>CV4</f>
        <v/>
      </c>
      <c r="CW32" s="20">
        <f>CW4</f>
        <v/>
      </c>
      <c r="CX32" s="20">
        <f>CX4</f>
        <v/>
      </c>
      <c r="CY32" s="20">
        <f>CY4</f>
        <v/>
      </c>
      <c r="CZ32" s="20">
        <f>CZ4</f>
        <v/>
      </c>
      <c r="DA32" s="20">
        <f>DA4</f>
        <v/>
      </c>
      <c r="DB32" s="20">
        <f>DB4</f>
        <v/>
      </c>
      <c r="DC32" s="20">
        <f>DC4</f>
        <v/>
      </c>
      <c r="DD32" s="20">
        <f>DD4</f>
        <v/>
      </c>
      <c r="DE32" s="20">
        <f>DE4</f>
        <v/>
      </c>
      <c r="DF32" s="20">
        <f>DF4</f>
        <v/>
      </c>
      <c r="DG32" s="20">
        <f>DG4</f>
        <v/>
      </c>
      <c r="DH32" s="20">
        <f>DH4</f>
        <v/>
      </c>
      <c r="DI32" s="20">
        <f>DI4</f>
        <v/>
      </c>
      <c r="DJ32" s="20">
        <f>DJ4</f>
        <v/>
      </c>
      <c r="DK32" s="20">
        <f>DK4</f>
        <v/>
      </c>
      <c r="DL32" s="20">
        <f>DL4</f>
        <v/>
      </c>
      <c r="DM32" s="20">
        <f>DM4</f>
        <v/>
      </c>
      <c r="DN32" s="20">
        <f>DN4</f>
        <v/>
      </c>
      <c r="DO32" s="20">
        <f>DO4</f>
        <v/>
      </c>
      <c r="DP32" s="20">
        <f>DP4</f>
        <v/>
      </c>
      <c r="DQ32" s="20">
        <f>DQ4</f>
        <v/>
      </c>
      <c r="DR32" s="20">
        <f>DR4</f>
        <v/>
      </c>
      <c r="DS32" s="20">
        <f>DS4</f>
        <v/>
      </c>
      <c r="DT32" s="20">
        <f>DT4</f>
        <v/>
      </c>
      <c r="DU32" s="20">
        <f>DU4</f>
        <v/>
      </c>
      <c r="DV32" s="20">
        <f>DV4</f>
        <v/>
      </c>
      <c r="DW32" s="20">
        <f>DW4</f>
        <v/>
      </c>
      <c r="DX32" s="119" t="n"/>
      <c r="DY32" s="20">
        <f>DY4</f>
        <v/>
      </c>
      <c r="DZ32" s="20">
        <f>DZ4</f>
        <v/>
      </c>
      <c r="EA32" s="20">
        <f>EA4</f>
        <v/>
      </c>
      <c r="EB32" s="20">
        <f>EB4</f>
        <v/>
      </c>
      <c r="EC32" s="20">
        <f>EC4</f>
        <v/>
      </c>
      <c r="ED32" s="20">
        <f>ED4</f>
        <v/>
      </c>
      <c r="EE32" s="20">
        <f>EE4</f>
        <v/>
      </c>
      <c r="EF32" s="20">
        <f>EF4</f>
        <v/>
      </c>
      <c r="EG32" s="20">
        <f>EG4</f>
        <v/>
      </c>
      <c r="EH32" s="20">
        <f>EH4</f>
        <v/>
      </c>
      <c r="EI32" s="20">
        <f>EI4</f>
        <v/>
      </c>
      <c r="EJ32" s="20">
        <f>EJ4</f>
        <v/>
      </c>
      <c r="EK32" s="20">
        <f>EK4</f>
        <v/>
      </c>
      <c r="EL32" s="20">
        <f>EL4</f>
        <v/>
      </c>
      <c r="EM32" s="20">
        <f>EM4</f>
        <v/>
      </c>
      <c r="EN32" s="20">
        <f>EN4</f>
        <v/>
      </c>
      <c r="EO32" s="20">
        <f>EO4</f>
        <v/>
      </c>
      <c r="EP32" s="20">
        <f>EP4</f>
        <v/>
      </c>
      <c r="EQ32" s="20">
        <f>EQ4</f>
        <v/>
      </c>
      <c r="ER32" s="20">
        <f>ER4</f>
        <v/>
      </c>
      <c r="ES32" s="20">
        <f>ES4</f>
        <v/>
      </c>
      <c r="ET32" s="20">
        <f>ET4</f>
        <v/>
      </c>
      <c r="EU32" s="20">
        <f>EU4</f>
        <v/>
      </c>
      <c r="EV32" s="20">
        <f>EV4</f>
        <v/>
      </c>
      <c r="EW32" s="20">
        <f>EW4</f>
        <v/>
      </c>
      <c r="EX32" s="20">
        <f>EX4</f>
        <v/>
      </c>
      <c r="EY32" s="20">
        <f>EY4</f>
        <v/>
      </c>
      <c r="EZ32" s="20">
        <f>EZ4</f>
        <v/>
      </c>
      <c r="FA32" s="20">
        <f>FA4</f>
        <v/>
      </c>
      <c r="FB32" s="20">
        <f>FB4</f>
        <v/>
      </c>
      <c r="FC32" s="20">
        <f>FC4</f>
        <v/>
      </c>
      <c r="FD32" s="128" t="n"/>
      <c r="FE32" s="20">
        <f>FE4</f>
        <v/>
      </c>
      <c r="FF32" s="20">
        <f>FF4</f>
        <v/>
      </c>
      <c r="FG32" s="20">
        <f>FG4</f>
        <v/>
      </c>
      <c r="FH32" s="20">
        <f>FH4</f>
        <v/>
      </c>
      <c r="FI32" s="20">
        <f>FI4</f>
        <v/>
      </c>
      <c r="FJ32" s="20">
        <f>FJ4</f>
        <v/>
      </c>
      <c r="FK32" s="20">
        <f>FK4</f>
        <v/>
      </c>
      <c r="FL32" s="20">
        <f>FL4</f>
        <v/>
      </c>
      <c r="FM32" s="20">
        <f>FM4</f>
        <v/>
      </c>
      <c r="FN32" s="20">
        <f>FN4</f>
        <v/>
      </c>
      <c r="FO32" s="20">
        <f>FO4</f>
        <v/>
      </c>
      <c r="FP32" s="20">
        <f>FP4</f>
        <v/>
      </c>
      <c r="FQ32" s="20">
        <f>FQ4</f>
        <v/>
      </c>
      <c r="FR32" s="20">
        <f>FR4</f>
        <v/>
      </c>
      <c r="FS32" s="20">
        <f>FS4</f>
        <v/>
      </c>
      <c r="FT32" s="20">
        <f>FT4</f>
        <v/>
      </c>
      <c r="FU32" s="20">
        <f>FU4</f>
        <v/>
      </c>
      <c r="FV32" s="20">
        <f>FV4</f>
        <v/>
      </c>
      <c r="FW32" s="20">
        <f>FW4</f>
        <v/>
      </c>
      <c r="FX32" s="20">
        <f>FX4</f>
        <v/>
      </c>
      <c r="FY32" s="20">
        <f>FY4</f>
        <v/>
      </c>
      <c r="FZ32" s="20">
        <f>FZ4</f>
        <v/>
      </c>
      <c r="GA32" s="20">
        <f>GA4</f>
        <v/>
      </c>
      <c r="GB32" s="20">
        <f>GB4</f>
        <v/>
      </c>
      <c r="GC32" s="20">
        <f>GC4</f>
        <v/>
      </c>
      <c r="GD32" s="20">
        <f>GD4</f>
        <v/>
      </c>
      <c r="GE32" s="20">
        <f>GE4</f>
        <v/>
      </c>
      <c r="GF32" s="20">
        <f>GF4</f>
        <v/>
      </c>
      <c r="GG32" s="20">
        <f>GG4</f>
        <v/>
      </c>
      <c r="GH32" s="20">
        <f>GH4</f>
        <v/>
      </c>
      <c r="GI32" s="20">
        <f>GI4</f>
        <v/>
      </c>
      <c r="GJ32" s="127">
        <f>SUM(FE32:GI32)</f>
        <v/>
      </c>
      <c r="GK32" s="20">
        <f>GK4</f>
        <v/>
      </c>
      <c r="GL32" s="20">
        <f>GL4</f>
        <v/>
      </c>
      <c r="GM32" s="20">
        <f>GM4</f>
        <v/>
      </c>
      <c r="GN32" s="20">
        <f>GN4</f>
        <v/>
      </c>
      <c r="GO32" s="20">
        <f>GO4</f>
        <v/>
      </c>
      <c r="GP32" s="20">
        <f>GP4</f>
        <v/>
      </c>
      <c r="GQ32" s="20">
        <f>GQ4</f>
        <v/>
      </c>
      <c r="GR32" s="20">
        <f>GR4</f>
        <v/>
      </c>
      <c r="GS32" s="20">
        <f>GS4</f>
        <v/>
      </c>
      <c r="GT32" s="20">
        <f>GT4</f>
        <v/>
      </c>
      <c r="GU32" s="20">
        <f>GU4</f>
        <v/>
      </c>
      <c r="GV32" s="20">
        <f>GV4</f>
        <v/>
      </c>
      <c r="GW32" s="20">
        <f>GW4</f>
        <v/>
      </c>
      <c r="GX32" s="20">
        <f>GX4</f>
        <v/>
      </c>
      <c r="GY32" s="20">
        <f>GY4</f>
        <v/>
      </c>
      <c r="GZ32" s="20">
        <f>GZ4</f>
        <v/>
      </c>
      <c r="HA32" s="20">
        <f>HA4</f>
        <v/>
      </c>
      <c r="HB32" s="20">
        <f>HB4</f>
        <v/>
      </c>
      <c r="HC32" s="20">
        <f>HC4</f>
        <v/>
      </c>
      <c r="HD32" s="20">
        <f>HD4</f>
        <v/>
      </c>
      <c r="HE32" s="20">
        <f>HE4</f>
        <v/>
      </c>
      <c r="HF32" s="20">
        <f>HF4</f>
        <v/>
      </c>
      <c r="HG32" s="20">
        <f>HG4</f>
        <v/>
      </c>
      <c r="HH32" s="20">
        <f>HH4</f>
        <v/>
      </c>
      <c r="HI32" s="20">
        <f>HI4</f>
        <v/>
      </c>
      <c r="HJ32" s="20">
        <f>HJ4</f>
        <v/>
      </c>
      <c r="HK32" s="20">
        <f>HK4</f>
        <v/>
      </c>
      <c r="HL32" s="20">
        <f>HL4</f>
        <v/>
      </c>
      <c r="HM32" s="20">
        <f>HM4</f>
        <v/>
      </c>
      <c r="HN32" s="127">
        <f>SUM(GK32:HM32)</f>
        <v/>
      </c>
      <c r="HO32" s="20">
        <f>HO4</f>
        <v/>
      </c>
      <c r="HP32" s="20">
        <f>HP4</f>
        <v/>
      </c>
      <c r="HQ32" s="20">
        <f>HQ4</f>
        <v/>
      </c>
      <c r="HR32" s="20">
        <f>HR4</f>
        <v/>
      </c>
      <c r="HS32" s="20">
        <f>HS4</f>
        <v/>
      </c>
      <c r="HT32" s="20">
        <f>HT4</f>
        <v/>
      </c>
      <c r="HU32" s="20">
        <f>HU4</f>
        <v/>
      </c>
      <c r="HV32" s="20">
        <f>HV4</f>
        <v/>
      </c>
      <c r="HW32" s="20">
        <f>HW4</f>
        <v/>
      </c>
      <c r="HX32" s="20">
        <f>HX4</f>
        <v/>
      </c>
      <c r="HY32" s="20">
        <f>HY4</f>
        <v/>
      </c>
      <c r="HZ32" s="20">
        <f>HZ4</f>
        <v/>
      </c>
      <c r="IA32" s="20">
        <f>IA4</f>
        <v/>
      </c>
      <c r="IB32" s="20">
        <f>IB4</f>
        <v/>
      </c>
      <c r="IC32" s="20">
        <f>IC4</f>
        <v/>
      </c>
      <c r="ID32" s="20">
        <f>ID4</f>
        <v/>
      </c>
      <c r="IE32" s="20">
        <f>IE4</f>
        <v/>
      </c>
      <c r="IF32" s="20">
        <f>IF4</f>
        <v/>
      </c>
      <c r="IG32" s="20">
        <f>IG4</f>
        <v/>
      </c>
      <c r="IH32" s="20">
        <f>IH4</f>
        <v/>
      </c>
      <c r="II32" s="20">
        <f>II4</f>
        <v/>
      </c>
      <c r="IJ32" s="20">
        <f>IJ4</f>
        <v/>
      </c>
      <c r="IK32" s="20">
        <f>IK4</f>
        <v/>
      </c>
      <c r="IL32" s="20">
        <f>IL4</f>
        <v/>
      </c>
      <c r="IM32" s="20">
        <f>IM4</f>
        <v/>
      </c>
      <c r="IN32" s="20">
        <f>IN4</f>
        <v/>
      </c>
      <c r="IO32" s="20">
        <f>IO4</f>
        <v/>
      </c>
      <c r="IP32" s="20">
        <f>IP4</f>
        <v/>
      </c>
      <c r="IQ32" s="20">
        <f>IQ4</f>
        <v/>
      </c>
      <c r="IR32" s="20">
        <f>IR4</f>
        <v/>
      </c>
      <c r="IS32" s="20">
        <f>IS4</f>
        <v/>
      </c>
      <c r="IT32" s="127">
        <f>SUM(HO32:IS32)</f>
        <v/>
      </c>
      <c r="IU32" s="20">
        <f>IU4</f>
        <v/>
      </c>
      <c r="IV32" s="20">
        <f>IV4</f>
        <v/>
      </c>
      <c r="IW32" s="20">
        <f>IW4</f>
        <v/>
      </c>
      <c r="IX32" s="20">
        <f>IX4</f>
        <v/>
      </c>
      <c r="IY32" s="20">
        <f>IY4</f>
        <v/>
      </c>
      <c r="IZ32" s="20">
        <f>IZ4</f>
        <v/>
      </c>
      <c r="JA32" s="20">
        <f>JA4</f>
        <v/>
      </c>
      <c r="JB32" s="20">
        <f>JB4</f>
        <v/>
      </c>
      <c r="JC32" s="20">
        <f>JC4</f>
        <v/>
      </c>
      <c r="JD32" s="20">
        <f>JD4</f>
        <v/>
      </c>
      <c r="JE32" s="20">
        <f>JE4</f>
        <v/>
      </c>
      <c r="JF32" s="20">
        <f>JF4</f>
        <v/>
      </c>
      <c r="JG32" s="20">
        <f>JG4</f>
        <v/>
      </c>
      <c r="JH32" s="20">
        <f>JH4</f>
        <v/>
      </c>
      <c r="JI32" s="20">
        <f>JI4</f>
        <v/>
      </c>
      <c r="JJ32" s="20">
        <f>JJ4</f>
        <v/>
      </c>
      <c r="JK32" s="20">
        <f>JK4</f>
        <v/>
      </c>
      <c r="JL32" s="20">
        <f>JL4</f>
        <v/>
      </c>
      <c r="JM32" s="20">
        <f>JM4</f>
        <v/>
      </c>
      <c r="JN32" s="20">
        <f>JN4</f>
        <v/>
      </c>
      <c r="JO32" s="20">
        <f>JO4</f>
        <v/>
      </c>
      <c r="JP32" s="20">
        <f>JP4</f>
        <v/>
      </c>
      <c r="JQ32" s="20">
        <f>JQ4</f>
        <v/>
      </c>
      <c r="JR32" s="20">
        <f>JR4</f>
        <v/>
      </c>
      <c r="JS32" s="20">
        <f>JS4</f>
        <v/>
      </c>
      <c r="JT32" s="20">
        <f>JT4</f>
        <v/>
      </c>
      <c r="JU32" s="20">
        <f>JU4</f>
        <v/>
      </c>
      <c r="JV32" s="20">
        <f>JV4</f>
        <v/>
      </c>
      <c r="JW32" s="20">
        <f>JW4</f>
        <v/>
      </c>
      <c r="JX32" s="20">
        <f>JX4</f>
        <v/>
      </c>
      <c r="JY32" s="127">
        <f>SUM(IU32:JX32)</f>
        <v/>
      </c>
      <c r="JZ32" s="20">
        <f>JZ4</f>
        <v/>
      </c>
      <c r="KA32" s="20">
        <f>KA4</f>
        <v/>
      </c>
      <c r="KB32" s="20">
        <f>KB4</f>
        <v/>
      </c>
      <c r="KC32" s="20">
        <f>KC4</f>
        <v/>
      </c>
      <c r="KD32" s="20">
        <f>KD4</f>
        <v/>
      </c>
      <c r="KE32" s="20">
        <f>KE4</f>
        <v/>
      </c>
      <c r="KF32" s="20">
        <f>KF4</f>
        <v/>
      </c>
      <c r="KG32" s="20">
        <f>KG4</f>
        <v/>
      </c>
      <c r="KH32" s="20">
        <f>KH4</f>
        <v/>
      </c>
      <c r="KI32" s="20">
        <f>KI4</f>
        <v/>
      </c>
      <c r="KJ32" s="20">
        <f>KJ4</f>
        <v/>
      </c>
      <c r="KK32" s="20">
        <f>KK4</f>
        <v/>
      </c>
      <c r="KL32" s="20">
        <f>KL4</f>
        <v/>
      </c>
      <c r="KM32" s="20">
        <f>KM4</f>
        <v/>
      </c>
      <c r="KN32" s="20">
        <f>KN4</f>
        <v/>
      </c>
      <c r="KO32" s="20">
        <f>KO4</f>
        <v/>
      </c>
      <c r="KP32" s="20">
        <f>KP4</f>
        <v/>
      </c>
      <c r="KQ32" s="20">
        <f>KQ4</f>
        <v/>
      </c>
      <c r="KR32" s="20">
        <f>KR4</f>
        <v/>
      </c>
      <c r="KS32" s="20">
        <f>KS4</f>
        <v/>
      </c>
      <c r="KT32" s="20">
        <f>KT4</f>
        <v/>
      </c>
      <c r="KU32" s="20">
        <f>KU4</f>
        <v/>
      </c>
      <c r="KV32" s="20">
        <f>KV4</f>
        <v/>
      </c>
      <c r="KW32" s="20">
        <f>KW4</f>
        <v/>
      </c>
      <c r="KX32" s="20">
        <f>KX4</f>
        <v/>
      </c>
      <c r="KY32" s="20">
        <f>KY4</f>
        <v/>
      </c>
      <c r="KZ32" s="20">
        <f>KZ4</f>
        <v/>
      </c>
      <c r="LA32" s="20">
        <f>LA4</f>
        <v/>
      </c>
      <c r="LB32" s="20">
        <f>LB4</f>
        <v/>
      </c>
      <c r="LC32" s="20">
        <f>LC4</f>
        <v/>
      </c>
      <c r="LD32" s="20">
        <f>LD4</f>
        <v/>
      </c>
      <c r="LE32" s="127">
        <f>SUM(KA32:LD32)</f>
        <v/>
      </c>
      <c r="LF32" s="20">
        <f>LF4</f>
        <v/>
      </c>
      <c r="LG32" s="20">
        <f>LG4</f>
        <v/>
      </c>
      <c r="LH32" s="20">
        <f>LH4</f>
        <v/>
      </c>
      <c r="LI32" s="20">
        <f>LI4</f>
        <v/>
      </c>
      <c r="LJ32" s="20">
        <f>LJ4</f>
        <v/>
      </c>
      <c r="LK32" s="20">
        <f>LK4</f>
        <v/>
      </c>
      <c r="LL32" s="20">
        <f>LL4</f>
        <v/>
      </c>
      <c r="LM32" s="20">
        <f>LM4</f>
        <v/>
      </c>
      <c r="LN32" s="20">
        <f>LN4</f>
        <v/>
      </c>
      <c r="LO32" s="20">
        <f>LO4</f>
        <v/>
      </c>
      <c r="LP32" s="20">
        <f>LP4</f>
        <v/>
      </c>
      <c r="LQ32" s="20">
        <f>LQ4</f>
        <v/>
      </c>
      <c r="LR32" s="20">
        <f>LR4</f>
        <v/>
      </c>
      <c r="LS32" s="20">
        <f>LS4</f>
        <v/>
      </c>
      <c r="LT32" s="20">
        <f>LT4</f>
        <v/>
      </c>
      <c r="LU32" s="20">
        <f>LU4</f>
        <v/>
      </c>
      <c r="LV32" s="20">
        <f>LV4</f>
        <v/>
      </c>
      <c r="LW32" s="20">
        <f>LW4</f>
        <v/>
      </c>
      <c r="LX32" s="20">
        <f>LX4</f>
        <v/>
      </c>
      <c r="LY32" s="20">
        <f>LY4</f>
        <v/>
      </c>
      <c r="LZ32" s="20">
        <f>LZ4</f>
        <v/>
      </c>
      <c r="MA32" s="20">
        <f>MA4</f>
        <v/>
      </c>
      <c r="MB32" s="20">
        <f>MB4</f>
        <v/>
      </c>
      <c r="MC32" s="20">
        <f>MC4</f>
        <v/>
      </c>
      <c r="MD32" s="20">
        <f>MD4</f>
        <v/>
      </c>
      <c r="ME32" s="20">
        <f>ME4</f>
        <v/>
      </c>
      <c r="MF32" s="20">
        <f>MF4</f>
        <v/>
      </c>
      <c r="MG32" s="20">
        <f>MG4</f>
        <v/>
      </c>
      <c r="MH32" s="20">
        <f>MH4</f>
        <v/>
      </c>
      <c r="MI32" s="20">
        <f>MI4</f>
        <v/>
      </c>
      <c r="MJ32" s="127">
        <f>SUM(LF32:MI32)</f>
        <v/>
      </c>
      <c r="MK32" s="20">
        <f>MK4</f>
        <v/>
      </c>
      <c r="ML32" s="20">
        <f>ML4</f>
        <v/>
      </c>
      <c r="MM32" s="20">
        <f>MM4</f>
        <v/>
      </c>
      <c r="MN32" s="20">
        <f>MN4</f>
        <v/>
      </c>
      <c r="MO32" s="20">
        <f>MO4</f>
        <v/>
      </c>
      <c r="MP32" s="20">
        <f>MP4</f>
        <v/>
      </c>
      <c r="MQ32" s="20">
        <f>MQ4</f>
        <v/>
      </c>
      <c r="MR32" s="20">
        <f>MR4</f>
        <v/>
      </c>
      <c r="MS32" s="20">
        <f>MS4</f>
        <v/>
      </c>
      <c r="MT32" s="20">
        <f>MT4</f>
        <v/>
      </c>
      <c r="MU32" s="20">
        <f>MU4</f>
        <v/>
      </c>
      <c r="MV32" s="20">
        <f>MV4</f>
        <v/>
      </c>
      <c r="MW32" s="20">
        <f>MW4</f>
        <v/>
      </c>
      <c r="MX32" s="20">
        <f>MX4</f>
        <v/>
      </c>
      <c r="MY32" s="20">
        <f>MY4</f>
        <v/>
      </c>
      <c r="MZ32" s="20">
        <f>MZ4</f>
        <v/>
      </c>
      <c r="NA32" s="20">
        <f>NA4</f>
        <v/>
      </c>
      <c r="NB32" s="20">
        <f>NB4</f>
        <v/>
      </c>
      <c r="NC32" s="20">
        <f>NC4</f>
        <v/>
      </c>
      <c r="ND32" s="20">
        <f>ND4</f>
        <v/>
      </c>
      <c r="NE32" s="20">
        <f>NE4</f>
        <v/>
      </c>
      <c r="NF32" s="20">
        <f>NF4</f>
        <v/>
      </c>
      <c r="NG32" s="20">
        <f>NG4</f>
        <v/>
      </c>
      <c r="NH32" s="20">
        <f>NH4</f>
        <v/>
      </c>
      <c r="NI32" s="20">
        <f>NI4</f>
        <v/>
      </c>
      <c r="NJ32" s="20">
        <f>NJ4</f>
        <v/>
      </c>
      <c r="NK32" s="20">
        <f>NK4</f>
        <v/>
      </c>
      <c r="NL32" s="20">
        <f>NL4</f>
        <v/>
      </c>
      <c r="NM32" s="20">
        <f>NM4</f>
        <v/>
      </c>
      <c r="NN32" s="20">
        <f>NN4</f>
        <v/>
      </c>
      <c r="NO32" s="20">
        <f>NO4</f>
        <v/>
      </c>
      <c r="NP32" s="127">
        <f>SUM(ML32:NO32)</f>
        <v/>
      </c>
      <c r="NQ32" s="20">
        <f>NQ4</f>
        <v/>
      </c>
      <c r="NR32" s="20">
        <f>NR4</f>
        <v/>
      </c>
      <c r="NS32" s="20">
        <f>NS4</f>
        <v/>
      </c>
      <c r="NT32" s="20">
        <f>NT4</f>
        <v/>
      </c>
      <c r="NU32" s="20">
        <f>NU4</f>
        <v/>
      </c>
      <c r="NV32" s="20">
        <f>NV4</f>
        <v/>
      </c>
      <c r="NW32" s="20">
        <f>NW4</f>
        <v/>
      </c>
      <c r="NX32" s="20">
        <f>NX4</f>
        <v/>
      </c>
      <c r="NY32" s="20">
        <f>NY4</f>
        <v/>
      </c>
      <c r="NZ32" s="20">
        <f>NZ4</f>
        <v/>
      </c>
      <c r="OA32" s="20">
        <f>OA4</f>
        <v/>
      </c>
      <c r="OB32" s="20">
        <f>OB4</f>
        <v/>
      </c>
      <c r="OC32" s="20">
        <f>OC4</f>
        <v/>
      </c>
      <c r="OD32" s="20">
        <f>OD4</f>
        <v/>
      </c>
      <c r="OE32" s="20">
        <f>OE4</f>
        <v/>
      </c>
      <c r="OF32" s="20">
        <f>OF4</f>
        <v/>
      </c>
      <c r="OG32" s="20">
        <f>OG4</f>
        <v/>
      </c>
      <c r="OH32" s="20">
        <f>OH4</f>
        <v/>
      </c>
      <c r="OI32" s="20">
        <f>OI4</f>
        <v/>
      </c>
      <c r="OJ32" s="20">
        <f>OJ4</f>
        <v/>
      </c>
      <c r="OK32" s="20">
        <f>OK4</f>
        <v/>
      </c>
      <c r="OL32" s="20">
        <f>OL4</f>
        <v/>
      </c>
      <c r="OM32" s="20">
        <f>OM4</f>
        <v/>
      </c>
      <c r="ON32" s="20">
        <f>ON4</f>
        <v/>
      </c>
      <c r="OO32" s="20">
        <f>OO4</f>
        <v/>
      </c>
      <c r="OP32" s="20">
        <f>OP4</f>
        <v/>
      </c>
      <c r="OQ32" s="20">
        <f>OQ4</f>
        <v/>
      </c>
      <c r="OR32" s="20">
        <f>OR4</f>
        <v/>
      </c>
      <c r="OS32" s="20">
        <f>OS4</f>
        <v/>
      </c>
      <c r="OT32" s="20">
        <f>OT4</f>
        <v/>
      </c>
      <c r="OU32" s="20">
        <f>OU4</f>
        <v/>
      </c>
      <c r="OV32" s="127">
        <f>SUM(NR32:OU32)</f>
        <v/>
      </c>
      <c r="OW32" s="20">
        <f>OW4</f>
        <v/>
      </c>
      <c r="OX32" s="20">
        <f>OX4</f>
        <v/>
      </c>
      <c r="OY32" s="20">
        <f>OY4</f>
        <v/>
      </c>
      <c r="OZ32" s="20">
        <f>OZ4</f>
        <v/>
      </c>
      <c r="PA32" s="20">
        <f>PA4</f>
        <v/>
      </c>
      <c r="PB32" s="20">
        <f>PB4</f>
        <v/>
      </c>
      <c r="PC32" s="20">
        <f>PC4</f>
        <v/>
      </c>
      <c r="PD32" s="20">
        <f>PD4</f>
        <v/>
      </c>
      <c r="PE32" s="20">
        <f>PE4</f>
        <v/>
      </c>
      <c r="PF32" s="20">
        <f>PF4</f>
        <v/>
      </c>
      <c r="PG32" s="20">
        <f>PG4</f>
        <v/>
      </c>
      <c r="PH32" s="20">
        <f>PH4</f>
        <v/>
      </c>
      <c r="PI32" s="20">
        <f>PI4</f>
        <v/>
      </c>
      <c r="PJ32" s="20">
        <f>PJ4</f>
        <v/>
      </c>
      <c r="PK32" s="20">
        <f>PK4</f>
        <v/>
      </c>
      <c r="PL32" s="20">
        <f>PL4</f>
        <v/>
      </c>
      <c r="PM32" s="20">
        <f>PM4</f>
        <v/>
      </c>
      <c r="PN32" s="20">
        <f>PN4</f>
        <v/>
      </c>
      <c r="PO32" s="20">
        <f>PO4</f>
        <v/>
      </c>
      <c r="PP32" s="20">
        <f>PP4</f>
        <v/>
      </c>
      <c r="PQ32" s="20">
        <f>PQ4</f>
        <v/>
      </c>
      <c r="PR32" s="20">
        <f>PR4</f>
        <v/>
      </c>
      <c r="PS32" s="20">
        <f>PS4</f>
        <v/>
      </c>
      <c r="PT32" s="20">
        <f>PT4</f>
        <v/>
      </c>
      <c r="PU32" s="20">
        <f>PU4</f>
        <v/>
      </c>
      <c r="PV32" s="20">
        <f>PV4</f>
        <v/>
      </c>
      <c r="PW32" s="20">
        <f>PW4</f>
        <v/>
      </c>
      <c r="PX32" s="20">
        <f>PX4</f>
        <v/>
      </c>
      <c r="PY32" s="20">
        <f>PY4</f>
        <v/>
      </c>
      <c r="PZ32" s="20">
        <f>PZ4</f>
        <v/>
      </c>
      <c r="QA32" s="127">
        <f>SUM(OW32:PZ32)</f>
        <v/>
      </c>
      <c r="QB32" s="20">
        <f>QB4</f>
        <v/>
      </c>
      <c r="QC32" s="20">
        <f>QC4</f>
        <v/>
      </c>
      <c r="QD32" s="20">
        <f>QD4</f>
        <v/>
      </c>
      <c r="QE32" s="20">
        <f>QE4</f>
        <v/>
      </c>
      <c r="QF32" s="20">
        <f>QF4</f>
        <v/>
      </c>
      <c r="QG32" s="20">
        <f>QG4</f>
        <v/>
      </c>
      <c r="QH32" s="20">
        <f>QH4</f>
        <v/>
      </c>
      <c r="QI32" s="20">
        <f>QI4</f>
        <v/>
      </c>
      <c r="QJ32" s="20">
        <f>QJ4</f>
        <v/>
      </c>
      <c r="QK32" s="20">
        <f>QK4</f>
        <v/>
      </c>
      <c r="QL32" s="20">
        <f>QL4</f>
        <v/>
      </c>
      <c r="QM32" s="20">
        <f>QM4</f>
        <v/>
      </c>
      <c r="QN32" s="20">
        <f>QN4</f>
        <v/>
      </c>
      <c r="QO32" s="20">
        <f>QO4</f>
        <v/>
      </c>
      <c r="QP32" s="20">
        <f>QP4</f>
        <v/>
      </c>
      <c r="QQ32" s="20">
        <f>QQ4</f>
        <v/>
      </c>
      <c r="QR32" s="20">
        <f>QR4</f>
        <v/>
      </c>
      <c r="QS32" s="20">
        <f>QS4</f>
        <v/>
      </c>
      <c r="QT32" s="20">
        <f>QT4</f>
        <v/>
      </c>
      <c r="QU32" s="20">
        <f>QU4</f>
        <v/>
      </c>
      <c r="QV32" s="20">
        <f>QV4</f>
        <v/>
      </c>
      <c r="QW32" s="20">
        <f>QW4</f>
        <v/>
      </c>
      <c r="QX32" s="20">
        <f>QX4</f>
        <v/>
      </c>
      <c r="QY32" s="20">
        <f>QY4</f>
        <v/>
      </c>
      <c r="QZ32" s="20">
        <f>QZ4</f>
        <v/>
      </c>
      <c r="RA32" s="20">
        <f>RA4</f>
        <v/>
      </c>
      <c r="RB32" s="20">
        <f>RB4</f>
        <v/>
      </c>
      <c r="RC32" s="20">
        <f>RC4</f>
        <v/>
      </c>
      <c r="RD32" s="20">
        <f>RD4</f>
        <v/>
      </c>
      <c r="RE32" s="20">
        <f>RE4</f>
        <v/>
      </c>
      <c r="RF32" s="20">
        <f>RF4</f>
        <v/>
      </c>
      <c r="RG32" s="127">
        <f>SUM(QC32:RF32)</f>
        <v/>
      </c>
      <c r="RH32" s="20">
        <f>RH4</f>
        <v/>
      </c>
      <c r="RI32" s="20">
        <f>RI4</f>
        <v/>
      </c>
      <c r="RJ32" s="20">
        <f>RJ4</f>
        <v/>
      </c>
      <c r="RK32" s="20">
        <f>RK4</f>
        <v/>
      </c>
      <c r="RL32" s="20">
        <f>RL4</f>
        <v/>
      </c>
      <c r="RM32" s="20">
        <f>RM4</f>
        <v/>
      </c>
      <c r="RN32" s="20">
        <f>RN4</f>
        <v/>
      </c>
      <c r="RO32" s="20">
        <f>RO4</f>
        <v/>
      </c>
      <c r="RP32" s="20">
        <f>RP4</f>
        <v/>
      </c>
      <c r="RQ32" s="20">
        <f>RQ4</f>
        <v/>
      </c>
      <c r="RR32" s="20">
        <f>RR4</f>
        <v/>
      </c>
      <c r="RS32" s="20">
        <f>RS4</f>
        <v/>
      </c>
      <c r="RT32" s="20">
        <f>RT4</f>
        <v/>
      </c>
      <c r="RU32" s="20">
        <f>RU4</f>
        <v/>
      </c>
      <c r="RV32" s="20">
        <f>RV4</f>
        <v/>
      </c>
      <c r="RW32" s="20">
        <f>RW4</f>
        <v/>
      </c>
      <c r="RX32" s="20">
        <f>RX4</f>
        <v/>
      </c>
      <c r="RY32" s="20">
        <f>RY4</f>
        <v/>
      </c>
      <c r="RZ32" s="20">
        <f>RZ4</f>
        <v/>
      </c>
      <c r="SA32" s="20">
        <f>SA4</f>
        <v/>
      </c>
      <c r="SB32" s="20">
        <f>SB4</f>
        <v/>
      </c>
      <c r="SC32" s="20">
        <f>SC4</f>
        <v/>
      </c>
      <c r="SD32" s="20">
        <f>SD4</f>
        <v/>
      </c>
      <c r="SE32" s="20">
        <f>SE4</f>
        <v/>
      </c>
      <c r="SF32" s="20">
        <f>SF4</f>
        <v/>
      </c>
      <c r="SG32" s="20">
        <f>SG4</f>
        <v/>
      </c>
      <c r="SH32" s="20">
        <f>SH4</f>
        <v/>
      </c>
      <c r="SI32" s="20">
        <f>SI4</f>
        <v/>
      </c>
      <c r="SJ32" s="20">
        <f>SJ4</f>
        <v/>
      </c>
      <c r="SK32" s="20">
        <f>SK4</f>
        <v/>
      </c>
      <c r="SL32" s="127">
        <f>SUM(RH32:SK32)</f>
        <v/>
      </c>
      <c r="SM32" s="20">
        <f>SM4</f>
        <v/>
      </c>
      <c r="SN32" s="20">
        <f>SN4</f>
        <v/>
      </c>
      <c r="SO32" s="20">
        <f>SO4</f>
        <v/>
      </c>
      <c r="SP32" s="20">
        <f>SP4</f>
        <v/>
      </c>
      <c r="SQ32" s="20">
        <f>SQ4</f>
        <v/>
      </c>
      <c r="SR32" s="20">
        <f>SR4</f>
        <v/>
      </c>
      <c r="SS32" s="20">
        <f>SS4</f>
        <v/>
      </c>
      <c r="ST32" s="20">
        <f>ST4</f>
        <v/>
      </c>
      <c r="SU32" s="20">
        <f>SU4</f>
        <v/>
      </c>
      <c r="SV32" s="20">
        <f>SV4</f>
        <v/>
      </c>
      <c r="SW32" s="20">
        <f>SW4</f>
        <v/>
      </c>
      <c r="SX32" s="20">
        <f>SX4</f>
        <v/>
      </c>
      <c r="SY32" s="20">
        <f>SY4</f>
        <v/>
      </c>
      <c r="SZ32" s="20">
        <f>SZ4</f>
        <v/>
      </c>
      <c r="TA32" s="20">
        <f>TA4</f>
        <v/>
      </c>
      <c r="TB32" s="20">
        <f>TB4</f>
        <v/>
      </c>
      <c r="TC32" s="20">
        <f>TC4</f>
        <v/>
      </c>
      <c r="TD32" s="20">
        <f>TD4</f>
        <v/>
      </c>
      <c r="TE32" s="20">
        <f>TE4</f>
        <v/>
      </c>
      <c r="TF32" s="20">
        <f>TF4</f>
        <v/>
      </c>
      <c r="TG32" s="20">
        <f>TG4</f>
        <v/>
      </c>
      <c r="TH32" s="20">
        <f>TH4</f>
        <v/>
      </c>
      <c r="TI32" s="20">
        <f>TI4</f>
        <v/>
      </c>
      <c r="TJ32" s="20">
        <f>TJ4</f>
        <v/>
      </c>
      <c r="TK32" s="20">
        <f>TK4</f>
        <v/>
      </c>
      <c r="TL32" s="20">
        <f>TL4</f>
        <v/>
      </c>
      <c r="TM32" s="20">
        <f>TM4</f>
        <v/>
      </c>
      <c r="TN32" s="20">
        <f>TN4</f>
        <v/>
      </c>
      <c r="TO32" s="20">
        <f>TO4</f>
        <v/>
      </c>
      <c r="TP32" s="20">
        <f>TP4</f>
        <v/>
      </c>
      <c r="TQ32" s="20">
        <f>TQ4</f>
        <v/>
      </c>
      <c r="TR32" s="127">
        <f>SUM(SN32:TQ32)</f>
        <v/>
      </c>
      <c r="TS32" s="20">
        <f>TS4</f>
        <v/>
      </c>
      <c r="TT32" s="20">
        <f>TT4</f>
        <v/>
      </c>
      <c r="TU32" s="20">
        <f>TU4</f>
        <v/>
      </c>
      <c r="TV32" s="20">
        <f>TV4</f>
        <v/>
      </c>
      <c r="TW32" s="20">
        <f>TW4</f>
        <v/>
      </c>
      <c r="TX32" s="20">
        <f>TX4</f>
        <v/>
      </c>
      <c r="TY32" s="20">
        <f>TY4</f>
        <v/>
      </c>
      <c r="TZ32" s="20">
        <f>TZ4</f>
        <v/>
      </c>
      <c r="UA32" s="20">
        <f>UA4</f>
        <v/>
      </c>
      <c r="UB32" s="20">
        <f>UB4</f>
        <v/>
      </c>
      <c r="UC32" s="20">
        <f>UC4</f>
        <v/>
      </c>
      <c r="UD32" s="20">
        <f>UD4</f>
        <v/>
      </c>
      <c r="UE32" s="20">
        <f>UE4</f>
        <v/>
      </c>
      <c r="UF32" s="20">
        <f>UF4</f>
        <v/>
      </c>
      <c r="UG32" s="20">
        <f>UG4</f>
        <v/>
      </c>
      <c r="UH32" s="20">
        <f>UH4</f>
        <v/>
      </c>
      <c r="UI32" s="20">
        <f>UI4</f>
        <v/>
      </c>
      <c r="UJ32" s="20">
        <f>UJ4</f>
        <v/>
      </c>
      <c r="UK32" s="20">
        <f>UK4</f>
        <v/>
      </c>
      <c r="UL32" s="20">
        <f>UL4</f>
        <v/>
      </c>
      <c r="UM32" s="20">
        <f>UM4</f>
        <v/>
      </c>
      <c r="UN32" s="20">
        <f>UN4</f>
        <v/>
      </c>
      <c r="UO32" s="20">
        <f>UO4</f>
        <v/>
      </c>
      <c r="UP32" s="20">
        <f>UP4</f>
        <v/>
      </c>
      <c r="UQ32" s="20">
        <f>UQ4</f>
        <v/>
      </c>
      <c r="UR32" s="20">
        <f>UR4</f>
        <v/>
      </c>
      <c r="US32" s="20">
        <f>US4</f>
        <v/>
      </c>
      <c r="UT32" s="20">
        <f>UT4</f>
        <v/>
      </c>
      <c r="UU32" s="20">
        <f>UU4</f>
        <v/>
      </c>
      <c r="UV32" s="20">
        <f>UV4</f>
        <v/>
      </c>
      <c r="UW32" s="20">
        <f>UW4</f>
        <v/>
      </c>
      <c r="UX32" s="127">
        <f>SUM(TT32:UW32)</f>
        <v/>
      </c>
      <c r="UY32" s="20">
        <f>UY4</f>
        <v/>
      </c>
      <c r="UZ32" s="20">
        <f>UZ4</f>
        <v/>
      </c>
      <c r="VA32" s="20">
        <f>VA4</f>
        <v/>
      </c>
      <c r="VB32" s="20">
        <f>VB4</f>
        <v/>
      </c>
      <c r="VC32" s="20">
        <f>VC4</f>
        <v/>
      </c>
      <c r="VD32" s="20">
        <f>VD4</f>
        <v/>
      </c>
      <c r="VE32" s="20">
        <f>VE4</f>
        <v/>
      </c>
      <c r="VF32" s="20">
        <f>VF4</f>
        <v/>
      </c>
      <c r="VG32" s="20">
        <f>VG4</f>
        <v/>
      </c>
      <c r="VH32" s="20">
        <f>VH4</f>
        <v/>
      </c>
      <c r="VI32" s="20">
        <f>VI4</f>
        <v/>
      </c>
      <c r="VJ32" s="20">
        <f>VJ4</f>
        <v/>
      </c>
      <c r="VK32" s="20">
        <f>VK4</f>
        <v/>
      </c>
      <c r="VL32" s="20">
        <f>VL4</f>
        <v/>
      </c>
      <c r="VM32" s="20">
        <f>VM4</f>
        <v/>
      </c>
      <c r="VN32" s="20">
        <f>VN4</f>
        <v/>
      </c>
      <c r="VO32" s="20">
        <f>VO4</f>
        <v/>
      </c>
      <c r="VP32" s="20">
        <f>VP4</f>
        <v/>
      </c>
      <c r="VQ32" s="20">
        <f>VQ4</f>
        <v/>
      </c>
      <c r="VR32" s="20">
        <f>VR4</f>
        <v/>
      </c>
      <c r="VS32" s="20">
        <f>VS4</f>
        <v/>
      </c>
      <c r="VT32" s="20">
        <f>VT4</f>
        <v/>
      </c>
      <c r="VU32" s="20">
        <f>VU4</f>
        <v/>
      </c>
      <c r="VV32" s="20">
        <f>VV4</f>
        <v/>
      </c>
      <c r="VW32" s="20">
        <f>VW4</f>
        <v/>
      </c>
      <c r="VX32" s="20">
        <f>VX4</f>
        <v/>
      </c>
      <c r="VY32" s="20">
        <f>VY4</f>
        <v/>
      </c>
      <c r="VZ32" s="20">
        <f>VZ4</f>
        <v/>
      </c>
      <c r="WA32" s="127">
        <f>SUM(UW32:VZ32)</f>
        <v/>
      </c>
      <c r="WB32" s="20">
        <f>WB4</f>
        <v/>
      </c>
      <c r="WC32" s="20">
        <f>WC4</f>
        <v/>
      </c>
      <c r="WD32" s="20">
        <f>WD4</f>
        <v/>
      </c>
      <c r="WE32" s="20">
        <f>WE4</f>
        <v/>
      </c>
      <c r="WF32" s="20">
        <f>WF4</f>
        <v/>
      </c>
      <c r="WG32" s="20">
        <f>WG4</f>
        <v/>
      </c>
      <c r="WH32" s="20">
        <f>WH4</f>
        <v/>
      </c>
      <c r="WI32" s="20">
        <f>WI4</f>
        <v/>
      </c>
      <c r="WJ32" s="20">
        <f>WJ4</f>
        <v/>
      </c>
      <c r="WK32" s="20">
        <f>WK4</f>
        <v/>
      </c>
      <c r="WL32" s="20">
        <f>WL4</f>
        <v/>
      </c>
      <c r="WM32" s="20">
        <f>WM4</f>
        <v/>
      </c>
      <c r="WN32" s="20">
        <f>WN4</f>
        <v/>
      </c>
      <c r="WO32" s="20">
        <f>WO4</f>
        <v/>
      </c>
      <c r="WP32" s="20">
        <f>WP4</f>
        <v/>
      </c>
      <c r="WQ32" s="20">
        <f>WQ4</f>
        <v/>
      </c>
      <c r="WR32" s="20">
        <f>WR4</f>
        <v/>
      </c>
      <c r="WS32" s="20">
        <f>WS4</f>
        <v/>
      </c>
      <c r="WT32" s="20">
        <f>WT4</f>
        <v/>
      </c>
      <c r="WU32" s="20">
        <f>WU4</f>
        <v/>
      </c>
      <c r="WV32" s="20">
        <f>WV4</f>
        <v/>
      </c>
      <c r="WW32" s="20">
        <f>WW4</f>
        <v/>
      </c>
      <c r="WX32" s="20">
        <f>WX4</f>
        <v/>
      </c>
      <c r="WY32" s="20">
        <f>WY4</f>
        <v/>
      </c>
      <c r="WZ32" s="20">
        <f>WZ4</f>
        <v/>
      </c>
      <c r="XA32" s="20">
        <f>XA4</f>
        <v/>
      </c>
      <c r="XB32" s="20">
        <f>XB4</f>
        <v/>
      </c>
      <c r="XC32" s="20">
        <f>XC4</f>
        <v/>
      </c>
      <c r="XD32" s="20">
        <f>XD4</f>
        <v/>
      </c>
      <c r="XE32" s="20">
        <f>XE4</f>
        <v/>
      </c>
      <c r="XF32" s="20">
        <f>XF4</f>
        <v/>
      </c>
      <c r="XG32" s="127">
        <f>SUM(WB32:XF32)</f>
        <v/>
      </c>
      <c r="XH32" s="20">
        <f>XH4</f>
        <v/>
      </c>
      <c r="XI32" s="20">
        <f>XI4</f>
        <v/>
      </c>
      <c r="XJ32" s="20">
        <f>XJ4</f>
        <v/>
      </c>
      <c r="XK32" s="20">
        <f>XK4</f>
        <v/>
      </c>
      <c r="XL32" s="20">
        <f>XL4</f>
        <v/>
      </c>
      <c r="XM32" s="20">
        <f>XM4</f>
        <v/>
      </c>
      <c r="XN32" s="20">
        <f>XN4</f>
        <v/>
      </c>
      <c r="XO32" s="20">
        <f>XO4</f>
        <v/>
      </c>
      <c r="XP32" s="20">
        <f>XP4</f>
        <v/>
      </c>
      <c r="XQ32" s="20">
        <f>XQ4</f>
        <v/>
      </c>
      <c r="XR32" s="20">
        <f>XR4</f>
        <v/>
      </c>
      <c r="XS32" s="20">
        <f>XS4</f>
        <v/>
      </c>
      <c r="XT32" s="20">
        <f>XT4</f>
        <v/>
      </c>
      <c r="XU32" s="20">
        <f>XU4</f>
        <v/>
      </c>
      <c r="XV32" s="20">
        <f>XV4</f>
        <v/>
      </c>
      <c r="XW32" s="20">
        <f>XW4</f>
        <v/>
      </c>
      <c r="XX32" s="20">
        <f>XX4</f>
        <v/>
      </c>
      <c r="XY32" s="20">
        <f>XY4</f>
        <v/>
      </c>
      <c r="XZ32" s="20">
        <f>XZ4</f>
        <v/>
      </c>
      <c r="YA32" s="20">
        <f>YA4</f>
        <v/>
      </c>
      <c r="YB32" s="20">
        <f>YB4</f>
        <v/>
      </c>
      <c r="YC32" s="20">
        <f>YC4</f>
        <v/>
      </c>
      <c r="YD32" s="20">
        <f>YD4</f>
        <v/>
      </c>
      <c r="YE32" s="20">
        <f>YE4</f>
        <v/>
      </c>
      <c r="YF32" s="20">
        <f>YF4</f>
        <v/>
      </c>
      <c r="YG32" s="20">
        <f>YG4</f>
        <v/>
      </c>
      <c r="YH32" s="20">
        <f>YH4</f>
        <v/>
      </c>
      <c r="YI32" s="20">
        <f>YI4</f>
        <v/>
      </c>
      <c r="YJ32" s="20">
        <f>YJ4</f>
        <v/>
      </c>
      <c r="YK32" s="20">
        <f>YK4</f>
        <v/>
      </c>
      <c r="YL32" s="127">
        <f>SUM(XH32:YK32)</f>
        <v/>
      </c>
      <c r="YM32" s="20">
        <f>YM4</f>
        <v/>
      </c>
      <c r="YN32" s="20">
        <f>YN4</f>
        <v/>
      </c>
      <c r="YO32" s="20">
        <f>YO4</f>
        <v/>
      </c>
      <c r="YP32" s="20">
        <f>YP4</f>
        <v/>
      </c>
      <c r="YQ32" s="20">
        <f>YQ4</f>
        <v/>
      </c>
      <c r="YR32" s="20">
        <f>YR4</f>
        <v/>
      </c>
      <c r="YS32" s="20">
        <f>YS4</f>
        <v/>
      </c>
      <c r="YT32" s="20">
        <f>YT4</f>
        <v/>
      </c>
      <c r="YU32" s="20">
        <f>YU4</f>
        <v/>
      </c>
      <c r="YV32" s="20">
        <f>YV4</f>
        <v/>
      </c>
      <c r="YW32" s="20">
        <f>YW4</f>
        <v/>
      </c>
      <c r="YX32" s="20">
        <f>YX4</f>
        <v/>
      </c>
      <c r="YY32" s="20">
        <f>YY4</f>
        <v/>
      </c>
      <c r="YZ32" s="20">
        <f>YZ4</f>
        <v/>
      </c>
      <c r="ZA32" s="20">
        <f>ZA4</f>
        <v/>
      </c>
      <c r="ZB32" s="20">
        <f>ZB4</f>
        <v/>
      </c>
      <c r="ZC32" s="20">
        <f>ZC4</f>
        <v/>
      </c>
      <c r="ZD32" s="20">
        <f>ZD4</f>
        <v/>
      </c>
      <c r="ZE32" s="20">
        <f>ZE4</f>
        <v/>
      </c>
      <c r="ZF32" s="20">
        <f>ZF4</f>
        <v/>
      </c>
      <c r="ZG32" s="20">
        <f>ZG4</f>
        <v/>
      </c>
      <c r="ZH32" s="20">
        <f>ZH4</f>
        <v/>
      </c>
      <c r="ZI32" s="20">
        <f>ZI4</f>
        <v/>
      </c>
      <c r="ZJ32" s="20">
        <f>ZJ4</f>
        <v/>
      </c>
      <c r="ZK32" s="20">
        <f>ZK4</f>
        <v/>
      </c>
      <c r="ZL32" s="20">
        <f>ZL4</f>
        <v/>
      </c>
      <c r="ZM32" s="20">
        <f>ZM4</f>
        <v/>
      </c>
      <c r="ZN32" s="20">
        <f>ZN4</f>
        <v/>
      </c>
      <c r="ZO32" s="20">
        <f>ZO4</f>
        <v/>
      </c>
      <c r="ZP32" s="20">
        <f>ZP4</f>
        <v/>
      </c>
      <c r="ZQ32" s="20">
        <f>ZQ4</f>
        <v/>
      </c>
      <c r="ZR32" s="127">
        <f>SUM(YM32:ZQ32)</f>
        <v/>
      </c>
      <c r="ZS32" s="20">
        <f>ZS4</f>
        <v/>
      </c>
      <c r="ZT32" s="20">
        <f>ZT4</f>
        <v/>
      </c>
      <c r="ZU32" s="20">
        <f>ZU4</f>
        <v/>
      </c>
      <c r="ZV32" s="20">
        <f>ZV4</f>
        <v/>
      </c>
      <c r="ZW32" s="20">
        <f>ZW4</f>
        <v/>
      </c>
      <c r="ZX32" s="20">
        <f>ZX4</f>
        <v/>
      </c>
      <c r="ZY32" s="20">
        <f>ZY4</f>
        <v/>
      </c>
      <c r="ZZ32" s="20">
        <f>ZZ4</f>
        <v/>
      </c>
      <c r="AAA32" s="20">
        <f>AAA4</f>
        <v/>
      </c>
      <c r="AAB32" s="20">
        <f>AAB4</f>
        <v/>
      </c>
      <c r="AAC32" s="20">
        <f>AAC4</f>
        <v/>
      </c>
      <c r="AAD32" s="20">
        <f>AAD4</f>
        <v/>
      </c>
      <c r="AAE32" s="20">
        <f>AAE4</f>
        <v/>
      </c>
      <c r="AAF32" s="20">
        <f>AAF4</f>
        <v/>
      </c>
      <c r="AAG32" s="20">
        <f>AAG4</f>
        <v/>
      </c>
      <c r="AAH32" s="20">
        <f>AAH4</f>
        <v/>
      </c>
      <c r="AAI32" s="20">
        <f>AAI4</f>
        <v/>
      </c>
      <c r="AAJ32" s="20">
        <f>AAJ4</f>
        <v/>
      </c>
      <c r="AAK32" s="20">
        <f>AAK4</f>
        <v/>
      </c>
      <c r="AAL32" s="20">
        <f>AAL4</f>
        <v/>
      </c>
      <c r="AAM32" s="20">
        <f>AAM4</f>
        <v/>
      </c>
      <c r="AAN32" s="20">
        <f>AAN4</f>
        <v/>
      </c>
      <c r="AAO32" s="20">
        <f>AAO4</f>
        <v/>
      </c>
      <c r="AAP32" s="20">
        <f>AAP4</f>
        <v/>
      </c>
      <c r="AAQ32" s="20">
        <f>AAQ4</f>
        <v/>
      </c>
      <c r="AAR32" s="20">
        <f>AAR4</f>
        <v/>
      </c>
      <c r="AAS32" s="20">
        <f>AAS4</f>
        <v/>
      </c>
      <c r="AAT32" s="20">
        <f>AAT4</f>
        <v/>
      </c>
      <c r="AAU32" s="20">
        <f>AAU4</f>
        <v/>
      </c>
      <c r="AAV32" s="20">
        <f>AAV4</f>
        <v/>
      </c>
      <c r="AAW32" s="127">
        <f>SUM(ZS32:AAV32)</f>
        <v/>
      </c>
      <c r="AAX32" s="20">
        <f>AAX4</f>
        <v/>
      </c>
      <c r="AAY32" s="20">
        <f>AAY4</f>
        <v/>
      </c>
      <c r="AAZ32" s="20">
        <f>AAZ4</f>
        <v/>
      </c>
      <c r="ABA32" s="20">
        <f>ABA4</f>
        <v/>
      </c>
      <c r="ABB32" s="20">
        <f>ABB4</f>
        <v/>
      </c>
      <c r="ABC32" s="20">
        <f>ABC4</f>
        <v/>
      </c>
      <c r="ABD32" s="20">
        <f>ABD4</f>
        <v/>
      </c>
      <c r="ABE32" s="20">
        <f>ABE4</f>
        <v/>
      </c>
      <c r="ABF32" s="20">
        <f>ABF4</f>
        <v/>
      </c>
      <c r="ABG32" s="20">
        <f>ABG4</f>
        <v/>
      </c>
      <c r="ABH32" s="20">
        <f>ABH4</f>
        <v/>
      </c>
      <c r="ABI32" s="20">
        <f>ABI4</f>
        <v/>
      </c>
      <c r="ABJ32" s="20">
        <f>ABJ4</f>
        <v/>
      </c>
      <c r="ABK32" s="20">
        <f>ABK4</f>
        <v/>
      </c>
      <c r="ABL32" s="20">
        <f>ABL4</f>
        <v/>
      </c>
      <c r="ABM32" s="20">
        <f>ABM4</f>
        <v/>
      </c>
      <c r="ABN32" s="20">
        <f>ABN4</f>
        <v/>
      </c>
      <c r="ABO32" s="20">
        <f>ABO4</f>
        <v/>
      </c>
      <c r="ABP32" s="20">
        <f>ABP4</f>
        <v/>
      </c>
      <c r="ABQ32" s="20">
        <f>ABQ4</f>
        <v/>
      </c>
      <c r="ABR32" s="20">
        <f>ABR4</f>
        <v/>
      </c>
      <c r="ABS32" s="20">
        <f>ABS4</f>
        <v/>
      </c>
      <c r="ABT32" s="20">
        <f>ABT4</f>
        <v/>
      </c>
      <c r="ABU32" s="20">
        <f>ABU4</f>
        <v/>
      </c>
      <c r="ABV32" s="20">
        <f>ABV4</f>
        <v/>
      </c>
      <c r="ABW32" s="20">
        <f>ABW4</f>
        <v/>
      </c>
      <c r="ABX32" s="20">
        <f>ABX4</f>
        <v/>
      </c>
      <c r="ABY32" s="20">
        <f>ABY4</f>
        <v/>
      </c>
      <c r="ABZ32" s="20">
        <f>ABZ4</f>
        <v/>
      </c>
      <c r="ACA32" s="20">
        <f>ACA4</f>
        <v/>
      </c>
      <c r="ACB32" s="20">
        <f>ACB4</f>
        <v/>
      </c>
      <c r="ACC32" s="127">
        <f>SUM(AAX32:ACB32)</f>
        <v/>
      </c>
      <c r="ACD32" s="20">
        <f>ACD4</f>
        <v/>
      </c>
      <c r="ACE32" s="20">
        <f>ACE4</f>
        <v/>
      </c>
      <c r="ACF32" s="20">
        <f>ACF4</f>
        <v/>
      </c>
      <c r="ACG32" s="20">
        <f>ACG4</f>
        <v/>
      </c>
      <c r="ACH32" s="20">
        <f>ACH4</f>
        <v/>
      </c>
      <c r="ACI32" s="20">
        <f>ACI4</f>
        <v/>
      </c>
      <c r="ACJ32" s="20">
        <f>ACJ4</f>
        <v/>
      </c>
      <c r="ACK32" s="20">
        <f>ACK4</f>
        <v/>
      </c>
      <c r="ACL32" s="20">
        <f>ACL4</f>
        <v/>
      </c>
      <c r="ACM32" s="20">
        <f>ACM4</f>
        <v/>
      </c>
      <c r="ACN32" s="20">
        <f>ACN4</f>
        <v/>
      </c>
      <c r="ACO32" s="20">
        <f>ACO4</f>
        <v/>
      </c>
      <c r="ACP32" s="20">
        <f>ACP4</f>
        <v/>
      </c>
      <c r="ACQ32" s="20">
        <f>ACQ4</f>
        <v/>
      </c>
      <c r="ACR32" s="20">
        <f>ACR4</f>
        <v/>
      </c>
      <c r="ACS32" s="20">
        <f>ACS4</f>
        <v/>
      </c>
      <c r="ACT32" s="20">
        <f>ACT4</f>
        <v/>
      </c>
      <c r="ACU32" s="20">
        <f>ACU4</f>
        <v/>
      </c>
      <c r="ACV32" s="20">
        <f>ACV4</f>
        <v/>
      </c>
      <c r="ACW32" s="20">
        <f>ACW4</f>
        <v/>
      </c>
      <c r="ACX32" s="20">
        <f>ACX4</f>
        <v/>
      </c>
      <c r="ACY32" s="20">
        <f>ACY4</f>
        <v/>
      </c>
      <c r="ACZ32" s="20">
        <f>ACZ4</f>
        <v/>
      </c>
      <c r="ADA32" s="20">
        <f>ADA4</f>
        <v/>
      </c>
      <c r="ADB32" s="20">
        <f>ADB4</f>
        <v/>
      </c>
      <c r="ADC32" s="20">
        <f>ADC4</f>
        <v/>
      </c>
      <c r="ADD32" s="20">
        <f>ADD4</f>
        <v/>
      </c>
      <c r="ADE32" s="20">
        <f>ADE4</f>
        <v/>
      </c>
      <c r="ADF32" s="20">
        <f>ADF4</f>
        <v/>
      </c>
      <c r="ADG32" s="20">
        <f>ADG4</f>
        <v/>
      </c>
      <c r="ADH32" s="20">
        <f>ADH4</f>
        <v/>
      </c>
      <c r="ADI32" s="127">
        <f>SUM(ACD32:ADH32)</f>
        <v/>
      </c>
      <c r="ADJ32" s="20">
        <f>ADJ4</f>
        <v/>
      </c>
      <c r="ADK32" s="20">
        <f>ADK4</f>
        <v/>
      </c>
      <c r="ADL32" s="20">
        <f>ADL4</f>
        <v/>
      </c>
      <c r="ADM32" s="20">
        <f>ADM4</f>
        <v/>
      </c>
      <c r="ADN32" s="20">
        <f>ADN4</f>
        <v/>
      </c>
      <c r="ADO32" s="20">
        <f>ADO4</f>
        <v/>
      </c>
      <c r="ADP32" s="20">
        <f>ADP4</f>
        <v/>
      </c>
      <c r="ADQ32" s="20">
        <f>ADQ4</f>
        <v/>
      </c>
      <c r="ADR32" s="20">
        <f>ADR4</f>
        <v/>
      </c>
      <c r="ADS32" s="20">
        <f>ADS4</f>
        <v/>
      </c>
      <c r="ADT32" s="20">
        <f>ADT4</f>
        <v/>
      </c>
      <c r="ADU32" s="20">
        <f>ADU4</f>
        <v/>
      </c>
      <c r="ADV32" s="20">
        <f>ADV4</f>
        <v/>
      </c>
      <c r="ADW32" s="20">
        <f>ADW4</f>
        <v/>
      </c>
      <c r="ADX32" s="20">
        <f>ADX4</f>
        <v/>
      </c>
      <c r="ADY32" s="20">
        <f>ADY4</f>
        <v/>
      </c>
      <c r="ADZ32" s="20">
        <f>ADZ4</f>
        <v/>
      </c>
      <c r="AEA32" s="20">
        <f>AEA4</f>
        <v/>
      </c>
      <c r="AEB32" s="20">
        <f>AEB4</f>
        <v/>
      </c>
      <c r="AEC32" s="20">
        <f>AEC4</f>
        <v/>
      </c>
      <c r="AED32" s="20">
        <f>AED4</f>
        <v/>
      </c>
      <c r="AEE32" s="20">
        <f>AEE4</f>
        <v/>
      </c>
      <c r="AEF32" s="20">
        <f>AEF4</f>
        <v/>
      </c>
      <c r="AEG32" s="20">
        <f>AEG4</f>
        <v/>
      </c>
      <c r="AEH32" s="20">
        <f>AEH4</f>
        <v/>
      </c>
      <c r="AEI32" s="20">
        <f>AEI4</f>
        <v/>
      </c>
      <c r="AEJ32" s="20">
        <f>AEJ4</f>
        <v/>
      </c>
      <c r="AEK32" s="20">
        <f>AEK4</f>
        <v/>
      </c>
      <c r="AEL32" s="20">
        <f>AEL4</f>
        <v/>
      </c>
      <c r="AEM32" s="20">
        <f>AEM4</f>
        <v/>
      </c>
      <c r="AEN32" s="127">
        <f>SUM(ADJ32:AEM32)</f>
        <v/>
      </c>
      <c r="AEO32" s="20">
        <f>AEO4</f>
        <v/>
      </c>
      <c r="AEP32" s="20">
        <f>AEP4</f>
        <v/>
      </c>
      <c r="AEQ32" s="20">
        <f>AEQ4</f>
        <v/>
      </c>
      <c r="AER32" s="20">
        <f>AER4</f>
        <v/>
      </c>
      <c r="AES32" s="20">
        <f>AES4</f>
        <v/>
      </c>
      <c r="AET32" s="20">
        <f>AET4</f>
        <v/>
      </c>
      <c r="AEU32" s="20">
        <f>AEU4</f>
        <v/>
      </c>
      <c r="AEV32" s="20">
        <f>AEV4</f>
        <v/>
      </c>
      <c r="AEW32" s="20">
        <f>AEW4</f>
        <v/>
      </c>
      <c r="AEX32" s="20">
        <f>AEX4</f>
        <v/>
      </c>
      <c r="AEY32" s="20">
        <f>AEY4</f>
        <v/>
      </c>
      <c r="AEZ32" s="20">
        <f>AEZ4</f>
        <v/>
      </c>
      <c r="AFA32" s="20">
        <f>AFA4</f>
        <v/>
      </c>
      <c r="AFB32" s="20">
        <f>AFB4</f>
        <v/>
      </c>
      <c r="AFC32" s="20">
        <f>AFC4</f>
        <v/>
      </c>
      <c r="AFD32" s="20">
        <f>AFD4</f>
        <v/>
      </c>
      <c r="AFE32" s="20">
        <f>AFE4</f>
        <v/>
      </c>
      <c r="AFF32" s="20">
        <f>AFF4</f>
        <v/>
      </c>
      <c r="AFG32" s="20">
        <f>AFG4</f>
        <v/>
      </c>
      <c r="AFH32" s="20">
        <f>AFH4</f>
        <v/>
      </c>
      <c r="AFI32" s="20">
        <f>AFI4</f>
        <v/>
      </c>
      <c r="AFJ32" s="20">
        <f>AFJ4</f>
        <v/>
      </c>
      <c r="AFK32" s="20">
        <f>AFK4</f>
        <v/>
      </c>
      <c r="AFL32" s="20">
        <f>AFL4</f>
        <v/>
      </c>
      <c r="AFM32" s="20">
        <f>AFM4</f>
        <v/>
      </c>
      <c r="AFN32" s="20">
        <f>AFN4</f>
        <v/>
      </c>
      <c r="AFO32" s="20">
        <f>AFO4</f>
        <v/>
      </c>
      <c r="AFP32" s="20">
        <f>AFP4</f>
        <v/>
      </c>
      <c r="AFQ32" s="20">
        <f>AFQ4</f>
        <v/>
      </c>
      <c r="AFR32" s="20">
        <f>AFR4</f>
        <v/>
      </c>
      <c r="AFS32" s="20">
        <f>AFS4</f>
        <v/>
      </c>
      <c r="AFT32" s="127">
        <f>SUM(AEO32:AFS32)</f>
        <v/>
      </c>
      <c r="AFU32" s="20">
        <f>AFU4</f>
        <v/>
      </c>
      <c r="AFV32" s="20">
        <f>AFV4</f>
        <v/>
      </c>
      <c r="AFW32" s="20">
        <f>AFW4</f>
        <v/>
      </c>
      <c r="AFX32" s="20">
        <f>AFX4</f>
        <v/>
      </c>
      <c r="AFY32" s="20">
        <f>AFY4</f>
        <v/>
      </c>
      <c r="AFZ32" s="20">
        <f>AFZ4</f>
        <v/>
      </c>
      <c r="AGA32" s="20">
        <f>AGA4</f>
        <v/>
      </c>
      <c r="AGB32" s="20">
        <f>AGB4</f>
        <v/>
      </c>
      <c r="AGC32" s="20">
        <f>AGC4</f>
        <v/>
      </c>
      <c r="AGD32" s="20">
        <f>AGD4</f>
        <v/>
      </c>
      <c r="AGE32" s="20">
        <f>AGE4</f>
        <v/>
      </c>
      <c r="AGF32" s="20">
        <f>AGF4</f>
        <v/>
      </c>
      <c r="AGG32" s="20">
        <f>AGG4</f>
        <v/>
      </c>
      <c r="AGH32" s="20">
        <f>AGH4</f>
        <v/>
      </c>
      <c r="AGI32" s="20">
        <f>AGI4</f>
        <v/>
      </c>
      <c r="AGJ32" s="20">
        <f>AGJ4</f>
        <v/>
      </c>
      <c r="AGK32" s="20">
        <f>AGK4</f>
        <v/>
      </c>
      <c r="AGL32" s="20">
        <f>AGL4</f>
        <v/>
      </c>
      <c r="AGM32" s="20">
        <f>AGM4</f>
        <v/>
      </c>
      <c r="AGN32" s="20">
        <f>AGN4</f>
        <v/>
      </c>
      <c r="AGO32" s="20">
        <f>AGO4</f>
        <v/>
      </c>
      <c r="AGP32" s="20">
        <f>AGP4</f>
        <v/>
      </c>
      <c r="AGQ32" s="20">
        <f>AGQ4</f>
        <v/>
      </c>
      <c r="AGR32" s="20">
        <f>AGR4</f>
        <v/>
      </c>
      <c r="AGS32" s="20">
        <f>AGS4</f>
        <v/>
      </c>
      <c r="AGT32" s="20">
        <f>AGT4</f>
        <v/>
      </c>
      <c r="AGU32" s="20">
        <f>AGU4</f>
        <v/>
      </c>
      <c r="AGV32" s="20">
        <f>AGV4</f>
        <v/>
      </c>
      <c r="AGW32" s="20">
        <f>AGW4</f>
        <v/>
      </c>
      <c r="AGX32" s="20">
        <f>AGX4</f>
        <v/>
      </c>
      <c r="AGY32" s="127">
        <f>SUM(AFU32:AGX32)</f>
        <v/>
      </c>
      <c r="AGZ32" s="20">
        <f>AGZ4</f>
        <v/>
      </c>
      <c r="AHA32" s="20">
        <f>AHA4</f>
        <v/>
      </c>
      <c r="AHB32" s="20">
        <f>AHB4</f>
        <v/>
      </c>
      <c r="AHC32" s="20">
        <f>AHC4</f>
        <v/>
      </c>
      <c r="AHD32" s="20">
        <f>AHD4</f>
        <v/>
      </c>
      <c r="AHE32" s="20">
        <f>AHE4</f>
        <v/>
      </c>
      <c r="AHF32" s="20">
        <f>AHF4</f>
        <v/>
      </c>
      <c r="AHG32" s="20">
        <f>AHG4</f>
        <v/>
      </c>
      <c r="AHH32" s="20">
        <f>AHH4</f>
        <v/>
      </c>
      <c r="AHI32" s="20">
        <f>AHI4</f>
        <v/>
      </c>
      <c r="AHJ32" s="20">
        <f>AHJ4</f>
        <v/>
      </c>
      <c r="AHK32" s="20">
        <f>AHK4</f>
        <v/>
      </c>
      <c r="AHL32" s="20">
        <f>AHL4</f>
        <v/>
      </c>
      <c r="AHM32" s="20">
        <f>AHM4</f>
        <v/>
      </c>
      <c r="AHN32" s="20">
        <f>AHN4</f>
        <v/>
      </c>
      <c r="AHO32" s="20">
        <f>AHO4</f>
        <v/>
      </c>
      <c r="AHP32" s="20">
        <f>AHP4</f>
        <v/>
      </c>
      <c r="AHQ32" s="20">
        <f>AHQ4</f>
        <v/>
      </c>
      <c r="AHR32" s="20">
        <f>AHR4</f>
        <v/>
      </c>
      <c r="AHS32" s="20">
        <f>AHS4</f>
        <v/>
      </c>
      <c r="AHT32" s="20">
        <f>AHT4</f>
        <v/>
      </c>
      <c r="AHU32" s="20">
        <f>AHU4</f>
        <v/>
      </c>
      <c r="AHV32" s="20">
        <f>AHV4</f>
        <v/>
      </c>
      <c r="AHW32" s="20">
        <f>AHW4</f>
        <v/>
      </c>
      <c r="AHX32" s="20">
        <f>AHX4</f>
        <v/>
      </c>
      <c r="AHY32" s="20">
        <f>AHY4</f>
        <v/>
      </c>
      <c r="AHZ32" s="20">
        <f>AHZ4</f>
        <v/>
      </c>
      <c r="AIA32" s="20">
        <f>AIA4</f>
        <v/>
      </c>
      <c r="AIB32" s="20">
        <f>AIB4</f>
        <v/>
      </c>
      <c r="AIC32" s="20">
        <f>AIC4</f>
        <v/>
      </c>
      <c r="AID32" s="20">
        <f>AID4</f>
        <v/>
      </c>
      <c r="AIE32" s="127">
        <f>SUM(AGZ32:AID32)</f>
        <v/>
      </c>
      <c r="AIF32" s="20">
        <f>AIF4</f>
        <v/>
      </c>
      <c r="AIG32" s="20">
        <f>AIG4</f>
        <v/>
      </c>
      <c r="AIH32" s="20">
        <f>AIH4</f>
        <v/>
      </c>
      <c r="AII32" s="20">
        <f>AII4</f>
        <v/>
      </c>
      <c r="AIJ32" s="20">
        <f>AIJ4</f>
        <v/>
      </c>
      <c r="AIK32" s="20">
        <f>AIK4</f>
        <v/>
      </c>
      <c r="AIL32" s="20">
        <f>AIL4</f>
        <v/>
      </c>
      <c r="AIM32" s="20">
        <f>AIM4</f>
        <v/>
      </c>
      <c r="AIN32" s="20">
        <f>AIN4</f>
        <v/>
      </c>
      <c r="AIO32" s="20">
        <f>AIO4</f>
        <v/>
      </c>
      <c r="AIP32" s="20">
        <f>AIP4</f>
        <v/>
      </c>
      <c r="AIQ32" s="20">
        <f>AIQ4</f>
        <v/>
      </c>
      <c r="AIR32" s="20">
        <f>AIR4</f>
        <v/>
      </c>
      <c r="AIS32" s="20">
        <f>AIS4</f>
        <v/>
      </c>
      <c r="AIT32" s="20">
        <f>AIT4</f>
        <v/>
      </c>
      <c r="AIU32" s="20">
        <f>AIU4</f>
        <v/>
      </c>
      <c r="AIV32" s="20">
        <f>AIV4</f>
        <v/>
      </c>
      <c r="AIW32" s="20">
        <f>AIW4</f>
        <v/>
      </c>
      <c r="AIX32" s="20">
        <f>AIX4</f>
        <v/>
      </c>
      <c r="AIY32" s="20">
        <f>AIY4</f>
        <v/>
      </c>
      <c r="AIZ32" s="20">
        <f>AIZ4</f>
        <v/>
      </c>
      <c r="AJA32" s="20">
        <f>AJA4</f>
        <v/>
      </c>
      <c r="AJB32" s="20">
        <f>AJB4</f>
        <v/>
      </c>
      <c r="AJC32" s="20">
        <f>AJC4</f>
        <v/>
      </c>
      <c r="AJD32" s="20">
        <f>AJD4</f>
        <v/>
      </c>
      <c r="AJE32" s="20">
        <f>AJE4</f>
        <v/>
      </c>
      <c r="AJF32" s="20">
        <f>AJF4</f>
        <v/>
      </c>
      <c r="AJG32" s="20">
        <f>AJG4</f>
        <v/>
      </c>
      <c r="AJH32" s="20">
        <f>AJH4</f>
        <v/>
      </c>
      <c r="AJI32" s="20">
        <f>AJI4</f>
        <v/>
      </c>
      <c r="AJJ32" s="20">
        <f>AJJ4</f>
        <v/>
      </c>
      <c r="AJK32" s="127">
        <f>SUM(AIF32:AJJ32)</f>
        <v/>
      </c>
      <c r="AJL32" s="20">
        <f>AJL4</f>
        <v/>
      </c>
      <c r="AJM32" s="20">
        <f>AJM4</f>
        <v/>
      </c>
      <c r="AJN32" s="20">
        <f>AJN4</f>
        <v/>
      </c>
      <c r="AJO32" s="20">
        <f>AJO4</f>
        <v/>
      </c>
      <c r="AJP32" s="20">
        <f>AJP4</f>
        <v/>
      </c>
      <c r="AJQ32" s="20">
        <f>AJQ4</f>
        <v/>
      </c>
      <c r="AJR32" s="20">
        <f>AJR4</f>
        <v/>
      </c>
      <c r="AJS32" s="20">
        <f>AJS4</f>
        <v/>
      </c>
      <c r="AJT32" s="20">
        <f>AJT4</f>
        <v/>
      </c>
      <c r="AJU32" s="20">
        <f>AJU4</f>
        <v/>
      </c>
      <c r="AJV32" s="20">
        <f>AJV4</f>
        <v/>
      </c>
      <c r="AJW32" s="20">
        <f>AJW4</f>
        <v/>
      </c>
      <c r="AJX32" s="20">
        <f>AJX4</f>
        <v/>
      </c>
      <c r="AJY32" s="20">
        <f>AJY4</f>
        <v/>
      </c>
      <c r="AJZ32" s="20">
        <f>AJZ4</f>
        <v/>
      </c>
      <c r="AKA32" s="20">
        <f>AKA4</f>
        <v/>
      </c>
      <c r="AKB32" s="20">
        <f>AKB4</f>
        <v/>
      </c>
      <c r="AKC32" s="20">
        <f>AKC4</f>
        <v/>
      </c>
      <c r="AKD32" s="20">
        <f>AKD4</f>
        <v/>
      </c>
      <c r="AKE32" s="20">
        <f>AKE4</f>
        <v/>
      </c>
      <c r="AKF32" s="20">
        <f>AKF4</f>
        <v/>
      </c>
      <c r="AKG32" s="20">
        <f>AKG4</f>
        <v/>
      </c>
      <c r="AKH32" s="20">
        <f>AKH4</f>
        <v/>
      </c>
      <c r="AKI32" s="20">
        <f>AKI4</f>
        <v/>
      </c>
      <c r="AKJ32" s="20">
        <f>AKJ4</f>
        <v/>
      </c>
      <c r="AKK32" s="20">
        <f>AKK4</f>
        <v/>
      </c>
      <c r="AKL32" s="20">
        <f>AKL4</f>
        <v/>
      </c>
      <c r="AKM32" s="20">
        <f>AKM4</f>
        <v/>
      </c>
      <c r="AKN32" s="127">
        <f>SUM(AJL32:AKM32)</f>
        <v/>
      </c>
      <c r="AKO32" s="20">
        <f>AKO4</f>
        <v/>
      </c>
      <c r="AKP32" s="20">
        <f>AKP4</f>
        <v/>
      </c>
      <c r="AKQ32" s="20">
        <f>AKQ4</f>
        <v/>
      </c>
      <c r="AKR32" s="20">
        <f>AKR4</f>
        <v/>
      </c>
      <c r="AKS32" s="20">
        <f>AKS4</f>
        <v/>
      </c>
      <c r="AKT32" s="20">
        <f>AKT4</f>
        <v/>
      </c>
      <c r="AKU32" s="20">
        <f>AKU4</f>
        <v/>
      </c>
      <c r="AKV32" s="20">
        <f>AKV4</f>
        <v/>
      </c>
      <c r="AKW32" s="20">
        <f>AKW4</f>
        <v/>
      </c>
      <c r="AKX32" s="20">
        <f>AKX4</f>
        <v/>
      </c>
      <c r="AKY32" s="20">
        <f>AKY4</f>
        <v/>
      </c>
      <c r="AKZ32" s="20">
        <f>AKZ4</f>
        <v/>
      </c>
      <c r="ALA32" s="20">
        <f>ALA4</f>
        <v/>
      </c>
      <c r="ALB32" s="20">
        <f>ALB4</f>
        <v/>
      </c>
      <c r="ALC32" s="20">
        <f>ALC4</f>
        <v/>
      </c>
      <c r="ALD32" s="20">
        <f>ALD4</f>
        <v/>
      </c>
      <c r="ALE32" s="20">
        <f>ALE4</f>
        <v/>
      </c>
      <c r="ALF32" s="20">
        <f>ALF4</f>
        <v/>
      </c>
      <c r="ALG32" s="20">
        <f>ALG4</f>
        <v/>
      </c>
      <c r="ALH32" s="20">
        <f>ALH4</f>
        <v/>
      </c>
      <c r="ALI32" s="20">
        <f>ALI4</f>
        <v/>
      </c>
      <c r="ALJ32" s="20">
        <f>ALJ4</f>
        <v/>
      </c>
      <c r="ALK32" s="20">
        <f>ALK4</f>
        <v/>
      </c>
      <c r="ALL32" s="20">
        <f>ALL4</f>
        <v/>
      </c>
      <c r="ALM32" s="20">
        <f>ALM4</f>
        <v/>
      </c>
      <c r="ALN32" s="20">
        <f>ALN4</f>
        <v/>
      </c>
      <c r="ALO32" s="20">
        <f>ALO4</f>
        <v/>
      </c>
      <c r="ALP32" s="20">
        <f>ALP4</f>
        <v/>
      </c>
      <c r="ALQ32" s="20">
        <f>ALQ4</f>
        <v/>
      </c>
      <c r="ALR32" s="20">
        <f>ALR4</f>
        <v/>
      </c>
      <c r="ALS32" s="20">
        <f>ALS4</f>
        <v/>
      </c>
      <c r="ALT32" s="127">
        <f>SUM(AKO32:ALS32)</f>
        <v/>
      </c>
      <c r="ALU32" s="20">
        <f>ALU4</f>
        <v/>
      </c>
      <c r="ALV32" s="20">
        <f>ALV4</f>
        <v/>
      </c>
      <c r="ALW32" s="20">
        <f>ALW4</f>
        <v/>
      </c>
      <c r="ALX32" s="20">
        <f>ALX4</f>
        <v/>
      </c>
      <c r="ALY32" s="20">
        <f>ALY4</f>
        <v/>
      </c>
      <c r="ALZ32" s="20">
        <f>ALZ4</f>
        <v/>
      </c>
      <c r="AMA32" s="20">
        <f>AMA4</f>
        <v/>
      </c>
      <c r="AMB32" s="20">
        <f>AMB4</f>
        <v/>
      </c>
      <c r="AMC32" s="20">
        <f>AMC4</f>
        <v/>
      </c>
      <c r="AMD32" s="20">
        <f>AMD4</f>
        <v/>
      </c>
      <c r="AME32" s="20">
        <f>AME4</f>
        <v/>
      </c>
      <c r="AMF32" s="20">
        <f>AMF4</f>
        <v/>
      </c>
      <c r="AMG32" s="20">
        <f>AMG4</f>
        <v/>
      </c>
      <c r="AMH32" s="20">
        <f>AMH4</f>
        <v/>
      </c>
      <c r="AMI32" s="20">
        <f>AMI4</f>
        <v/>
      </c>
      <c r="AMJ32" s="20">
        <f>AMJ4</f>
        <v/>
      </c>
      <c r="AMK32" s="20">
        <f>AMK4</f>
        <v/>
      </c>
      <c r="AML32" s="20">
        <f>AML4</f>
        <v/>
      </c>
      <c r="AMM32" s="20">
        <f>AMM4</f>
        <v/>
      </c>
      <c r="AMN32" s="20">
        <f>AMN4</f>
        <v/>
      </c>
      <c r="AMO32" s="20">
        <f>AMO4</f>
        <v/>
      </c>
      <c r="AMP32" s="20">
        <f>AMP4</f>
        <v/>
      </c>
      <c r="AMQ32" s="20">
        <f>AMQ4</f>
        <v/>
      </c>
      <c r="AMR32" s="20">
        <f>AMR4</f>
        <v/>
      </c>
      <c r="AMS32" s="20">
        <f>AMS4</f>
        <v/>
      </c>
      <c r="AMT32" s="20">
        <f>AMT4</f>
        <v/>
      </c>
      <c r="AMU32" s="20">
        <f>AMU4</f>
        <v/>
      </c>
      <c r="AMV32" s="20">
        <f>AMV4</f>
        <v/>
      </c>
      <c r="AMW32" s="20">
        <f>AMW4</f>
        <v/>
      </c>
      <c r="AMX32" s="20">
        <f>AMX4</f>
        <v/>
      </c>
      <c r="AMY32" s="127">
        <f>SUM(ALU32:AMX32)</f>
        <v/>
      </c>
      <c r="AMZ32" s="20">
        <f>AMZ4</f>
        <v/>
      </c>
      <c r="ANA32" s="20">
        <f>ANA4</f>
        <v/>
      </c>
      <c r="ANB32" s="20">
        <f>ANB4</f>
        <v/>
      </c>
      <c r="ANC32" s="20">
        <f>ANC4</f>
        <v/>
      </c>
      <c r="AND32" s="20">
        <f>AND4</f>
        <v/>
      </c>
      <c r="ANE32" s="20">
        <f>ANE4</f>
        <v/>
      </c>
      <c r="ANF32" s="20">
        <f>ANF4</f>
        <v/>
      </c>
      <c r="ANG32" s="20">
        <f>ANG4</f>
        <v/>
      </c>
      <c r="ANH32" s="20">
        <f>ANH4</f>
        <v/>
      </c>
      <c r="ANI32" s="20">
        <f>ANI4</f>
        <v/>
      </c>
      <c r="ANJ32" s="20">
        <f>ANJ4</f>
        <v/>
      </c>
      <c r="ANK32" s="20">
        <f>ANK4</f>
        <v/>
      </c>
      <c r="ANL32" s="20">
        <f>ANL4</f>
        <v/>
      </c>
      <c r="ANM32" s="20">
        <f>ANM4</f>
        <v/>
      </c>
      <c r="ANN32" s="20">
        <f>ANN4</f>
        <v/>
      </c>
      <c r="ANO32" s="20">
        <f>ANO4</f>
        <v/>
      </c>
      <c r="ANP32" s="20">
        <f>ANP4</f>
        <v/>
      </c>
      <c r="ANQ32" s="20">
        <f>ANQ4</f>
        <v/>
      </c>
      <c r="ANR32" s="20">
        <f>ANR4</f>
        <v/>
      </c>
      <c r="ANS32" s="20">
        <f>ANS4</f>
        <v/>
      </c>
      <c r="ANT32" s="20">
        <f>ANT4</f>
        <v/>
      </c>
      <c r="ANU32" s="20">
        <f>ANU4</f>
        <v/>
      </c>
      <c r="ANV32" s="20">
        <f>ANV4</f>
        <v/>
      </c>
      <c r="ANW32" s="20">
        <f>ANW4</f>
        <v/>
      </c>
      <c r="ANX32" s="20">
        <f>ANX4</f>
        <v/>
      </c>
      <c r="ANY32" s="20">
        <f>ANY4</f>
        <v/>
      </c>
      <c r="ANZ32" s="20">
        <f>ANZ4</f>
        <v/>
      </c>
      <c r="AOA32" s="20">
        <f>AOA4</f>
        <v/>
      </c>
      <c r="AOB32" s="20">
        <f>AOB4</f>
        <v/>
      </c>
      <c r="AOC32" s="20">
        <f>AOC4</f>
        <v/>
      </c>
    </row>
    <row r="33">
      <c r="B33" s="34" t="inlineStr">
        <is>
          <t>CLOSING STOCK</t>
        </is>
      </c>
      <c r="C33" s="35">
        <f>C31-C32</f>
        <v/>
      </c>
      <c r="D33" s="35">
        <f>D31-D32</f>
        <v/>
      </c>
      <c r="E33" s="35">
        <f>E31-E32</f>
        <v/>
      </c>
      <c r="F33" s="35">
        <f>F31-F32</f>
        <v/>
      </c>
      <c r="G33" s="35">
        <f>G31-G32</f>
        <v/>
      </c>
      <c r="H33" s="35">
        <f>H31-H32</f>
        <v/>
      </c>
      <c r="I33" s="35">
        <f>I31-I32</f>
        <v/>
      </c>
      <c r="J33" s="35">
        <f>J31-J32</f>
        <v/>
      </c>
      <c r="K33" s="35">
        <f>K31-K32</f>
        <v/>
      </c>
      <c r="L33" s="35">
        <f>L31-L32</f>
        <v/>
      </c>
      <c r="M33" s="35">
        <f>M31-M32</f>
        <v/>
      </c>
      <c r="N33" s="35">
        <f>N31-N32</f>
        <v/>
      </c>
      <c r="O33" s="35">
        <f>O31-O32</f>
        <v/>
      </c>
      <c r="P33" s="35">
        <f>P31-P32</f>
        <v/>
      </c>
      <c r="Q33" s="35">
        <f>Q31-Q32</f>
        <v/>
      </c>
      <c r="R33" s="35">
        <f>R31-R32</f>
        <v/>
      </c>
      <c r="S33" s="35">
        <f>S31-S32</f>
        <v/>
      </c>
      <c r="T33" s="35">
        <f>T31-T32</f>
        <v/>
      </c>
      <c r="U33" s="35">
        <f>U31-U32</f>
        <v/>
      </c>
      <c r="V33" s="35">
        <f>V31-V32</f>
        <v/>
      </c>
      <c r="W33" s="35">
        <f>W31-W32</f>
        <v/>
      </c>
      <c r="X33" s="35">
        <f>X31-X32</f>
        <v/>
      </c>
      <c r="Y33" s="35">
        <f>Y31-Y32</f>
        <v/>
      </c>
      <c r="Z33" s="35">
        <f>Z31-Z32</f>
        <v/>
      </c>
      <c r="AA33" s="35">
        <f>AA31-AA32</f>
        <v/>
      </c>
      <c r="AB33" s="35">
        <f>AB31-AB32</f>
        <v/>
      </c>
      <c r="AC33" s="35">
        <f>AC31-AC32</f>
        <v/>
      </c>
      <c r="AD33" s="35">
        <f>AD31-AD32</f>
        <v/>
      </c>
      <c r="AE33" s="35">
        <f>AE31-AE32</f>
        <v/>
      </c>
      <c r="AF33" s="35">
        <f>AF31-AF32</f>
        <v/>
      </c>
      <c r="AG33" s="35">
        <f>AG31-AG32</f>
        <v/>
      </c>
      <c r="AH33" s="94">
        <f>SUM(C33:AG33)</f>
        <v/>
      </c>
      <c r="AI33" s="35">
        <f>AI31-AI32</f>
        <v/>
      </c>
      <c r="AJ33" s="35">
        <f>AJ31-AJ32</f>
        <v/>
      </c>
      <c r="AK33" s="35">
        <f>AK31-AK32</f>
        <v/>
      </c>
      <c r="AL33" s="35">
        <f>AL31-AL32</f>
        <v/>
      </c>
      <c r="AM33" s="35">
        <f>AM31-AM32</f>
        <v/>
      </c>
      <c r="AN33" s="35">
        <f>AN31-AN32</f>
        <v/>
      </c>
      <c r="AO33" s="35">
        <f>AO31-AO32</f>
        <v/>
      </c>
      <c r="AP33" s="35">
        <f>AP31-AP32</f>
        <v/>
      </c>
      <c r="AQ33" s="35">
        <f>AQ31-AQ32</f>
        <v/>
      </c>
      <c r="AR33" s="35">
        <f>AR31-AR32</f>
        <v/>
      </c>
      <c r="AS33" s="35">
        <f>AS31-AS32</f>
        <v/>
      </c>
      <c r="AT33" s="35">
        <f>AT31-AT32</f>
        <v/>
      </c>
      <c r="AU33" s="35">
        <f>AU31-AU32</f>
        <v/>
      </c>
      <c r="AV33" s="35">
        <f>AV31-AV32</f>
        <v/>
      </c>
      <c r="AW33" s="35">
        <f>AW31-AW32</f>
        <v/>
      </c>
      <c r="AX33" s="35">
        <f>AX31-AX32</f>
        <v/>
      </c>
      <c r="AY33" s="35">
        <f>AY31-AY32</f>
        <v/>
      </c>
      <c r="AZ33" s="35">
        <f>AZ31-AZ32</f>
        <v/>
      </c>
      <c r="BA33" s="35">
        <f>BA31-BA32</f>
        <v/>
      </c>
      <c r="BB33" s="35">
        <f>BB31-BB32</f>
        <v/>
      </c>
      <c r="BC33" s="35">
        <f>BC31-BC32</f>
        <v/>
      </c>
      <c r="BD33" s="35">
        <f>BD31-BD32</f>
        <v/>
      </c>
      <c r="BE33" s="35">
        <f>BE31-BE32</f>
        <v/>
      </c>
      <c r="BF33" s="35">
        <f>BF31-BF32</f>
        <v/>
      </c>
      <c r="BG33" s="35">
        <f>BG31-BG32</f>
        <v/>
      </c>
      <c r="BH33" s="35">
        <f>BH31-BH32</f>
        <v/>
      </c>
      <c r="BI33" s="35">
        <f>BI31-BI32</f>
        <v/>
      </c>
      <c r="BJ33" s="35">
        <f>BJ31-BJ32</f>
        <v/>
      </c>
      <c r="BK33" s="35">
        <f>BK31-BK32</f>
        <v/>
      </c>
      <c r="BL33" s="35">
        <f>BL31-BL32</f>
        <v/>
      </c>
      <c r="BM33" s="97">
        <f>SUM(AI33:BL33)</f>
        <v/>
      </c>
      <c r="BN33" s="35">
        <f>BN31-BN32</f>
        <v/>
      </c>
      <c r="BO33" s="35">
        <f>BO31-BO32</f>
        <v/>
      </c>
      <c r="BP33" s="35">
        <f>BP31-BP32</f>
        <v/>
      </c>
      <c r="BQ33" s="35">
        <f>BQ31-BQ32</f>
        <v/>
      </c>
      <c r="BR33" s="35">
        <f>BR31-BR32</f>
        <v/>
      </c>
      <c r="BS33" s="35">
        <f>BS31-BS32</f>
        <v/>
      </c>
      <c r="BT33" s="35">
        <f>BT31-BT32</f>
        <v/>
      </c>
      <c r="BU33" s="35">
        <f>BU31-BU32</f>
        <v/>
      </c>
      <c r="BV33" s="35">
        <f>BV31-BV32</f>
        <v/>
      </c>
      <c r="BW33" s="35">
        <f>BW31-BW32</f>
        <v/>
      </c>
      <c r="BX33" s="35">
        <f>BX31-BX32</f>
        <v/>
      </c>
      <c r="BY33" s="35">
        <f>BY31-BY32</f>
        <v/>
      </c>
      <c r="BZ33" s="35">
        <f>BZ31-BZ32</f>
        <v/>
      </c>
      <c r="CA33" s="35">
        <f>CA31-CA32</f>
        <v/>
      </c>
      <c r="CB33" s="35">
        <f>CB31-CB32</f>
        <v/>
      </c>
      <c r="CC33" s="35">
        <f>CC31-CC32</f>
        <v/>
      </c>
      <c r="CD33" s="35">
        <f>CD31-CD32</f>
        <v/>
      </c>
      <c r="CE33" s="35">
        <f>CE31-CE32</f>
        <v/>
      </c>
      <c r="CF33" s="35">
        <f>CF31-CF32</f>
        <v/>
      </c>
      <c r="CG33" s="35">
        <f>CG31-CG32</f>
        <v/>
      </c>
      <c r="CH33" s="35">
        <f>CH31-CH32</f>
        <v/>
      </c>
      <c r="CI33" s="35">
        <f>CI31-CI32</f>
        <v/>
      </c>
      <c r="CJ33" s="35">
        <f>CJ31-CJ32</f>
        <v/>
      </c>
      <c r="CK33" s="35">
        <f>CK31-CK32</f>
        <v/>
      </c>
      <c r="CL33" s="35">
        <f>CL31-CL32</f>
        <v/>
      </c>
      <c r="CM33" s="35">
        <f>CM31-CM32</f>
        <v/>
      </c>
      <c r="CN33" s="35">
        <f>CN31-CN32</f>
        <v/>
      </c>
      <c r="CO33" s="35">
        <f>CO31-CO32</f>
        <v/>
      </c>
      <c r="CP33" s="35">
        <f>CP31-CP32</f>
        <v/>
      </c>
      <c r="CQ33" s="35">
        <f>CQ31-CQ32</f>
        <v/>
      </c>
      <c r="CR33" s="35">
        <f>CR31-CR32</f>
        <v/>
      </c>
      <c r="CS33" s="111">
        <f>SUM(BN33:CR33)</f>
        <v/>
      </c>
      <c r="CT33" s="35">
        <f>CT31-CT32</f>
        <v/>
      </c>
      <c r="CU33" s="35">
        <f>CU31-CU32</f>
        <v/>
      </c>
      <c r="CV33" s="35">
        <f>CV31-CV32</f>
        <v/>
      </c>
      <c r="CW33" s="35">
        <f>CW31-CW32</f>
        <v/>
      </c>
      <c r="CX33" s="35">
        <f>CX31-CX32</f>
        <v/>
      </c>
      <c r="CY33" s="35">
        <f>CY31-CY32</f>
        <v/>
      </c>
      <c r="CZ33" s="35">
        <f>CZ31-CZ32</f>
        <v/>
      </c>
      <c r="DA33" s="35">
        <f>DA31-DA32</f>
        <v/>
      </c>
      <c r="DB33" s="35">
        <f>DB31-DB32</f>
        <v/>
      </c>
      <c r="DC33" s="35">
        <f>DC31-DC32</f>
        <v/>
      </c>
      <c r="DD33" s="35">
        <f>DD31-DD32</f>
        <v/>
      </c>
      <c r="DE33" s="35">
        <f>DE31-DE32</f>
        <v/>
      </c>
      <c r="DF33" s="35">
        <f>DF31-DF32</f>
        <v/>
      </c>
      <c r="DG33" s="35">
        <f>DG31-DG32</f>
        <v/>
      </c>
      <c r="DH33" s="35">
        <f>DH31-DH32</f>
        <v/>
      </c>
      <c r="DI33" s="35">
        <f>DI31-DI32</f>
        <v/>
      </c>
      <c r="DJ33" s="35">
        <f>DJ31-DJ32</f>
        <v/>
      </c>
      <c r="DK33" s="35">
        <f>DK31-DK32</f>
        <v/>
      </c>
      <c r="DL33" s="35">
        <f>DL31-DL32</f>
        <v/>
      </c>
      <c r="DM33" s="35">
        <f>DM31-DM32</f>
        <v/>
      </c>
      <c r="DN33" s="35">
        <f>DN31-DN32</f>
        <v/>
      </c>
      <c r="DO33" s="35">
        <f>DO31-DO32</f>
        <v/>
      </c>
      <c r="DP33" s="35">
        <f>DP31-DP32</f>
        <v/>
      </c>
      <c r="DQ33" s="35">
        <f>DQ31-DQ32</f>
        <v/>
      </c>
      <c r="DR33" s="35">
        <f>DR31-DR32</f>
        <v/>
      </c>
      <c r="DS33" s="35">
        <f>DS31-DS32</f>
        <v/>
      </c>
      <c r="DT33" s="35">
        <f>DT31-DT32</f>
        <v/>
      </c>
      <c r="DU33" s="35">
        <f>DU31-DU32</f>
        <v/>
      </c>
      <c r="DV33" s="35">
        <f>DV31-DV32</f>
        <v/>
      </c>
      <c r="DW33" s="35">
        <f>DW31-DW32</f>
        <v/>
      </c>
      <c r="DX33" s="119" t="n"/>
      <c r="DY33" s="35">
        <f>DY31-DY32</f>
        <v/>
      </c>
      <c r="DZ33" s="35">
        <f>DZ31-DZ32</f>
        <v/>
      </c>
      <c r="EA33" s="35">
        <f>EA31-EA32</f>
        <v/>
      </c>
      <c r="EB33" s="35">
        <f>EB31-EB32</f>
        <v/>
      </c>
      <c r="EC33" s="35">
        <f>EC31-EC32</f>
        <v/>
      </c>
      <c r="ED33" s="35">
        <f>ED31-ED32</f>
        <v/>
      </c>
      <c r="EE33" s="35">
        <f>EE31-EE32</f>
        <v/>
      </c>
      <c r="EF33" s="35">
        <f>EF31-EF32</f>
        <v/>
      </c>
      <c r="EG33" s="35">
        <f>EG31-EG32</f>
        <v/>
      </c>
      <c r="EH33" s="35">
        <f>EH31-EH32</f>
        <v/>
      </c>
      <c r="EI33" s="35">
        <f>EI31-EI32</f>
        <v/>
      </c>
      <c r="EJ33" s="35">
        <f>EJ31-EJ32</f>
        <v/>
      </c>
      <c r="EK33" s="35">
        <f>EK31-EK32</f>
        <v/>
      </c>
      <c r="EL33" s="35">
        <f>EL31-EL32</f>
        <v/>
      </c>
      <c r="EM33" s="35">
        <f>EM31-EM32</f>
        <v/>
      </c>
      <c r="EN33" s="35">
        <f>EN31-EN32</f>
        <v/>
      </c>
      <c r="EO33" s="35">
        <f>EO31-EO32</f>
        <v/>
      </c>
      <c r="EP33" s="35">
        <f>EP31-EP32</f>
        <v/>
      </c>
      <c r="EQ33" s="35">
        <f>EQ31-EQ32</f>
        <v/>
      </c>
      <c r="ER33" s="35">
        <f>ER31-ER32</f>
        <v/>
      </c>
      <c r="ES33" s="35">
        <f>ES31-ES32</f>
        <v/>
      </c>
      <c r="ET33" s="35">
        <f>ET31-ET32</f>
        <v/>
      </c>
      <c r="EU33" s="35">
        <f>EU31-EU32</f>
        <v/>
      </c>
      <c r="EV33" s="35">
        <f>EV31-EV32</f>
        <v/>
      </c>
      <c r="EW33" s="35">
        <f>EW31-EW32</f>
        <v/>
      </c>
      <c r="EX33" s="35">
        <f>EX31-EX32</f>
        <v/>
      </c>
      <c r="EY33" s="35">
        <f>EY31-EY32</f>
        <v/>
      </c>
      <c r="EZ33" s="35">
        <f>EZ31-EZ32</f>
        <v/>
      </c>
      <c r="FA33" s="35">
        <f>FA31-FA32</f>
        <v/>
      </c>
      <c r="FB33" s="35">
        <f>FB31-FB32</f>
        <v/>
      </c>
      <c r="FC33" s="35">
        <f>FC31-FC32</f>
        <v/>
      </c>
      <c r="FD33" s="128" t="n"/>
      <c r="FE33" s="35">
        <f>FE31-FE32</f>
        <v/>
      </c>
      <c r="FF33" s="35">
        <f>FF31-FF32</f>
        <v/>
      </c>
      <c r="FG33" s="35">
        <f>FG31-FG32</f>
        <v/>
      </c>
      <c r="FH33" s="35">
        <f>FH31-FH32</f>
        <v/>
      </c>
      <c r="FI33" s="35">
        <f>FI31-FI32</f>
        <v/>
      </c>
      <c r="FJ33" s="35">
        <f>FJ31-FJ32</f>
        <v/>
      </c>
      <c r="FK33" s="35">
        <f>FK31-FK32</f>
        <v/>
      </c>
      <c r="FL33" s="35">
        <f>FL31-FL32</f>
        <v/>
      </c>
      <c r="FM33" s="35">
        <f>FM31-FM32</f>
        <v/>
      </c>
      <c r="FN33" s="35">
        <f>FN31-FN32</f>
        <v/>
      </c>
      <c r="FO33" s="35">
        <f>FO31-FO32</f>
        <v/>
      </c>
      <c r="FP33" s="35">
        <f>FP31-FP32</f>
        <v/>
      </c>
      <c r="FQ33" s="35">
        <f>FQ31-FQ32</f>
        <v/>
      </c>
      <c r="FR33" s="35">
        <f>FR31-FR32</f>
        <v/>
      </c>
      <c r="FS33" s="35">
        <f>FS31-FS32</f>
        <v/>
      </c>
      <c r="FT33" s="35">
        <f>FT31-FT32</f>
        <v/>
      </c>
      <c r="FU33" s="35">
        <f>FU31-FU32</f>
        <v/>
      </c>
      <c r="FV33" s="35">
        <f>FV31-FV32</f>
        <v/>
      </c>
      <c r="FW33" s="35">
        <f>FW31-FW32</f>
        <v/>
      </c>
      <c r="FX33" s="35">
        <f>FX31-FX32</f>
        <v/>
      </c>
      <c r="FY33" s="35">
        <f>FY31-FY32</f>
        <v/>
      </c>
      <c r="FZ33" s="35">
        <f>FZ31-FZ32</f>
        <v/>
      </c>
      <c r="GA33" s="35">
        <f>GA31-GA32</f>
        <v/>
      </c>
      <c r="GB33" s="35">
        <f>GB31-GB32</f>
        <v/>
      </c>
      <c r="GC33" s="35">
        <f>GC31-GC32</f>
        <v/>
      </c>
      <c r="GD33" s="35">
        <f>GD31-GD32</f>
        <v/>
      </c>
      <c r="GE33" s="35">
        <f>GE31-GE32</f>
        <v/>
      </c>
      <c r="GF33" s="35">
        <f>GF31-GF32</f>
        <v/>
      </c>
      <c r="GG33" s="35">
        <f>GG31-GG32</f>
        <v/>
      </c>
      <c r="GH33" s="35">
        <f>GH31-GH32</f>
        <v/>
      </c>
      <c r="GI33" s="35">
        <f>GI31-GI32</f>
        <v/>
      </c>
      <c r="GJ33" s="127">
        <f>SUM(FE33:GI33)</f>
        <v/>
      </c>
      <c r="GK33" s="35">
        <f>GK31-GK32</f>
        <v/>
      </c>
      <c r="GL33" s="35">
        <f>GL31-GL32</f>
        <v/>
      </c>
      <c r="GM33" s="35">
        <f>GM31-GM32</f>
        <v/>
      </c>
      <c r="GN33" s="35">
        <f>GN31-GN32</f>
        <v/>
      </c>
      <c r="GO33" s="35">
        <f>GO31-GO32</f>
        <v/>
      </c>
      <c r="GP33" s="35">
        <f>GP31-GP32</f>
        <v/>
      </c>
      <c r="GQ33" s="35">
        <f>GQ31-GQ32</f>
        <v/>
      </c>
      <c r="GR33" s="35">
        <f>GR31-GR32</f>
        <v/>
      </c>
      <c r="GS33" s="35">
        <f>GS31-GS32</f>
        <v/>
      </c>
      <c r="GT33" s="35">
        <f>GT31-GT32</f>
        <v/>
      </c>
      <c r="GU33" s="35">
        <f>GU31-GU32</f>
        <v/>
      </c>
      <c r="GV33" s="35">
        <f>GV31-GV32</f>
        <v/>
      </c>
      <c r="GW33" s="35">
        <f>GW31-GW32</f>
        <v/>
      </c>
      <c r="GX33" s="35">
        <f>GX31-GX32</f>
        <v/>
      </c>
      <c r="GY33" s="35">
        <f>GY31-GY32</f>
        <v/>
      </c>
      <c r="GZ33" s="35">
        <f>GZ31-GZ32</f>
        <v/>
      </c>
      <c r="HA33" s="35">
        <f>HA31-HA32</f>
        <v/>
      </c>
      <c r="HB33" s="35">
        <f>HB31-HB32</f>
        <v/>
      </c>
      <c r="HC33" s="35">
        <f>HC31-HC32</f>
        <v/>
      </c>
      <c r="HD33" s="35">
        <f>HD31-HD32</f>
        <v/>
      </c>
      <c r="HE33" s="35">
        <f>HE31-HE32</f>
        <v/>
      </c>
      <c r="HF33" s="35">
        <f>HF31-HF32</f>
        <v/>
      </c>
      <c r="HG33" s="35">
        <f>HG31-HG32</f>
        <v/>
      </c>
      <c r="HH33" s="35">
        <f>HH31-HH32</f>
        <v/>
      </c>
      <c r="HI33" s="35">
        <f>HI31-HI32</f>
        <v/>
      </c>
      <c r="HJ33" s="35">
        <f>HJ31-HJ32</f>
        <v/>
      </c>
      <c r="HK33" s="35">
        <f>HK31-HK32</f>
        <v/>
      </c>
      <c r="HL33" s="35">
        <f>HL31-HL32</f>
        <v/>
      </c>
      <c r="HM33" s="35">
        <f>HM31-HM32</f>
        <v/>
      </c>
      <c r="HN33" s="127">
        <f>SUM(GK33:HM33)</f>
        <v/>
      </c>
      <c r="HO33" s="35">
        <f>HO31-HO32</f>
        <v/>
      </c>
      <c r="HP33" s="35">
        <f>HP31-HP32</f>
        <v/>
      </c>
      <c r="HQ33" s="35">
        <f>HQ31-HQ32</f>
        <v/>
      </c>
      <c r="HR33" s="35">
        <f>HR31-HR32</f>
        <v/>
      </c>
      <c r="HS33" s="35">
        <f>HS31-HS32</f>
        <v/>
      </c>
      <c r="HT33" s="35">
        <f>HT31-HT32</f>
        <v/>
      </c>
      <c r="HU33" s="35">
        <f>HU31-HU32</f>
        <v/>
      </c>
      <c r="HV33" s="35">
        <f>HV31-HV32</f>
        <v/>
      </c>
      <c r="HW33" s="35">
        <f>HW31-HW32</f>
        <v/>
      </c>
      <c r="HX33" s="35">
        <f>HX31-HX32</f>
        <v/>
      </c>
      <c r="HY33" s="35">
        <f>HY31-HY32</f>
        <v/>
      </c>
      <c r="HZ33" s="35">
        <f>HZ31-HZ32</f>
        <v/>
      </c>
      <c r="IA33" s="35">
        <f>IA31-IA32</f>
        <v/>
      </c>
      <c r="IB33" s="35">
        <f>IB31-IB32</f>
        <v/>
      </c>
      <c r="IC33" s="35">
        <f>IC31-IC32</f>
        <v/>
      </c>
      <c r="ID33" s="35">
        <f>ID31-ID32</f>
        <v/>
      </c>
      <c r="IE33" s="35">
        <f>IE31-IE32</f>
        <v/>
      </c>
      <c r="IF33" s="35">
        <f>IF31-IF32</f>
        <v/>
      </c>
      <c r="IG33" s="35">
        <f>IG31-IG32</f>
        <v/>
      </c>
      <c r="IH33" s="35">
        <f>IH31-IH32</f>
        <v/>
      </c>
      <c r="II33" s="35">
        <f>II31-II32</f>
        <v/>
      </c>
      <c r="IJ33" s="35">
        <f>IJ31-IJ32</f>
        <v/>
      </c>
      <c r="IK33" s="35">
        <f>IK31-IK32</f>
        <v/>
      </c>
      <c r="IL33" s="35">
        <f>IL31-IL32</f>
        <v/>
      </c>
      <c r="IM33" s="35">
        <f>IM31-IM32</f>
        <v/>
      </c>
      <c r="IN33" s="35">
        <f>IN31-IN32</f>
        <v/>
      </c>
      <c r="IO33" s="35">
        <f>IO31-IO32</f>
        <v/>
      </c>
      <c r="IP33" s="35">
        <f>IP31-IP32</f>
        <v/>
      </c>
      <c r="IQ33" s="35">
        <f>IQ31-IQ32</f>
        <v/>
      </c>
      <c r="IR33" s="35">
        <f>IR31-IR32</f>
        <v/>
      </c>
      <c r="IS33" s="35">
        <f>IS31-IS32</f>
        <v/>
      </c>
      <c r="IT33" s="127">
        <f>SUM(HO33:IS33)</f>
        <v/>
      </c>
      <c r="IU33" s="35">
        <f>IU31-IU32</f>
        <v/>
      </c>
      <c r="IV33" s="35">
        <f>IV31-IV32</f>
        <v/>
      </c>
      <c r="IW33" s="35">
        <f>IW31-IW32</f>
        <v/>
      </c>
      <c r="IX33" s="35">
        <f>IX31-IX32</f>
        <v/>
      </c>
      <c r="IY33" s="35">
        <f>IY31-IY32</f>
        <v/>
      </c>
      <c r="IZ33" s="35">
        <f>IZ31-IZ32</f>
        <v/>
      </c>
      <c r="JA33" s="35">
        <f>JA31-JA32</f>
        <v/>
      </c>
      <c r="JB33" s="35">
        <f>JB31-JB32</f>
        <v/>
      </c>
      <c r="JC33" s="35">
        <f>JC31-JC32</f>
        <v/>
      </c>
      <c r="JD33" s="35">
        <f>JD31-JD32</f>
        <v/>
      </c>
      <c r="JE33" s="35">
        <f>JE31-JE32</f>
        <v/>
      </c>
      <c r="JF33" s="35">
        <f>JF31-JF32</f>
        <v/>
      </c>
      <c r="JG33" s="35">
        <f>JG31-JG32</f>
        <v/>
      </c>
      <c r="JH33" s="35">
        <f>JH31-JH32</f>
        <v/>
      </c>
      <c r="JI33" s="35">
        <f>JI31-JI32</f>
        <v/>
      </c>
      <c r="JJ33" s="35">
        <f>JJ31-JJ32</f>
        <v/>
      </c>
      <c r="JK33" s="35">
        <f>JK31-JK32</f>
        <v/>
      </c>
      <c r="JL33" s="35">
        <f>JL31-JL32</f>
        <v/>
      </c>
      <c r="JM33" s="35">
        <f>JM31-JM32</f>
        <v/>
      </c>
      <c r="JN33" s="35">
        <f>JN31-JN32</f>
        <v/>
      </c>
      <c r="JO33" s="35">
        <f>JO31-JO32</f>
        <v/>
      </c>
      <c r="JP33" s="35">
        <f>JP31-JP32</f>
        <v/>
      </c>
      <c r="JQ33" s="35">
        <f>JQ31-JQ32</f>
        <v/>
      </c>
      <c r="JR33" s="35">
        <f>JR31-JR32</f>
        <v/>
      </c>
      <c r="JS33" s="35">
        <f>JS31-JS32</f>
        <v/>
      </c>
      <c r="JT33" s="35">
        <f>JT31-JT32</f>
        <v/>
      </c>
      <c r="JU33" s="35">
        <f>JU31-JU32</f>
        <v/>
      </c>
      <c r="JV33" s="35">
        <f>JV31-JV32</f>
        <v/>
      </c>
      <c r="JW33" s="35">
        <f>JW31-JW32</f>
        <v/>
      </c>
      <c r="JX33" s="35">
        <f>JX31-JX32</f>
        <v/>
      </c>
      <c r="JY33" s="127">
        <f>SUM(IU33:JX33)</f>
        <v/>
      </c>
      <c r="JZ33" s="35">
        <f>JZ31-JZ32</f>
        <v/>
      </c>
      <c r="KA33" s="35">
        <f>KA31-KA32</f>
        <v/>
      </c>
      <c r="KB33" s="35">
        <f>KB31-KB32</f>
        <v/>
      </c>
      <c r="KC33" s="35">
        <f>KC31-KC32</f>
        <v/>
      </c>
      <c r="KD33" s="35">
        <f>KD31-KD32</f>
        <v/>
      </c>
      <c r="KE33" s="35">
        <f>KE31-KE32</f>
        <v/>
      </c>
      <c r="KF33" s="35">
        <f>KF31-KF32</f>
        <v/>
      </c>
      <c r="KG33" s="35">
        <f>KG31-KG32</f>
        <v/>
      </c>
      <c r="KH33" s="35">
        <f>KH31-KH32</f>
        <v/>
      </c>
      <c r="KI33" s="35">
        <f>KI31-KI32</f>
        <v/>
      </c>
      <c r="KJ33" s="35">
        <f>KJ31-KJ32</f>
        <v/>
      </c>
      <c r="KK33" s="35">
        <f>KK31-KK32</f>
        <v/>
      </c>
      <c r="KL33" s="35">
        <f>KL31-KL32</f>
        <v/>
      </c>
      <c r="KM33" s="35">
        <f>KM31-KM32</f>
        <v/>
      </c>
      <c r="KN33" s="35">
        <f>KN31-KN32</f>
        <v/>
      </c>
      <c r="KO33" s="35">
        <f>KO31-KO32</f>
        <v/>
      </c>
      <c r="KP33" s="35">
        <f>KP31-KP32</f>
        <v/>
      </c>
      <c r="KQ33" s="35">
        <f>KQ31-KQ32</f>
        <v/>
      </c>
      <c r="KR33" s="35">
        <f>KR31-KR32</f>
        <v/>
      </c>
      <c r="KS33" s="35">
        <f>KS31-KS32</f>
        <v/>
      </c>
      <c r="KT33" s="35">
        <f>KT31-KT32</f>
        <v/>
      </c>
      <c r="KU33" s="35">
        <f>KU31-KU32</f>
        <v/>
      </c>
      <c r="KV33" s="35">
        <f>KV31-KV32</f>
        <v/>
      </c>
      <c r="KW33" s="35">
        <f>KW31-KW32</f>
        <v/>
      </c>
      <c r="KX33" s="35">
        <f>KX31-KX32</f>
        <v/>
      </c>
      <c r="KY33" s="35">
        <f>KY31-KY32</f>
        <v/>
      </c>
      <c r="KZ33" s="35">
        <f>KZ31-KZ32</f>
        <v/>
      </c>
      <c r="LA33" s="35">
        <f>LA31-LA32</f>
        <v/>
      </c>
      <c r="LB33" s="35">
        <f>LB31-LB32</f>
        <v/>
      </c>
      <c r="LC33" s="35">
        <f>LC31-LC32</f>
        <v/>
      </c>
      <c r="LD33" s="35">
        <f>LD31-LD32</f>
        <v/>
      </c>
      <c r="LE33" s="127">
        <f>SUM(KA33:LD33)</f>
        <v/>
      </c>
      <c r="LF33" s="35">
        <f>LF31-LF32</f>
        <v/>
      </c>
      <c r="LG33" s="35">
        <f>LG31-LG32</f>
        <v/>
      </c>
      <c r="LH33" s="35">
        <f>LH31-LH32</f>
        <v/>
      </c>
      <c r="LI33" s="35">
        <f>LI31-LI32</f>
        <v/>
      </c>
      <c r="LJ33" s="35">
        <f>LJ31-LJ32</f>
        <v/>
      </c>
      <c r="LK33" s="35">
        <f>LK31-LK32</f>
        <v/>
      </c>
      <c r="LL33" s="35">
        <f>LL31-LL32</f>
        <v/>
      </c>
      <c r="LM33" s="35">
        <f>LM31-LM32</f>
        <v/>
      </c>
      <c r="LN33" s="35">
        <f>LN31-LN32</f>
        <v/>
      </c>
      <c r="LO33" s="35">
        <f>LO31-LO32</f>
        <v/>
      </c>
      <c r="LP33" s="35">
        <f>LP31-LP32</f>
        <v/>
      </c>
      <c r="LQ33" s="35">
        <f>LQ31-LQ32</f>
        <v/>
      </c>
      <c r="LR33" s="35">
        <f>LR31-LR32</f>
        <v/>
      </c>
      <c r="LS33" s="35">
        <f>LS31-LS32</f>
        <v/>
      </c>
      <c r="LT33" s="35">
        <f>LT31-LT32</f>
        <v/>
      </c>
      <c r="LU33" s="35">
        <f>LU31-LU32</f>
        <v/>
      </c>
      <c r="LV33" s="35">
        <f>LV31-LV32</f>
        <v/>
      </c>
      <c r="LW33" s="35">
        <f>LW31-LW32</f>
        <v/>
      </c>
      <c r="LX33" s="35">
        <f>LX31-LX32</f>
        <v/>
      </c>
      <c r="LY33" s="35">
        <f>LY31-LY32</f>
        <v/>
      </c>
      <c r="LZ33" s="35">
        <f>LZ31-LZ32</f>
        <v/>
      </c>
      <c r="MA33" s="35">
        <f>MA31-MA32</f>
        <v/>
      </c>
      <c r="MB33" s="35">
        <f>MB31-MB32</f>
        <v/>
      </c>
      <c r="MC33" s="35">
        <f>MC31-MC32</f>
        <v/>
      </c>
      <c r="MD33" s="35">
        <f>MD31-MD32</f>
        <v/>
      </c>
      <c r="ME33" s="35">
        <f>ME31-ME32</f>
        <v/>
      </c>
      <c r="MF33" s="35">
        <f>MF31-MF32</f>
        <v/>
      </c>
      <c r="MG33" s="35">
        <f>MG31-MG32</f>
        <v/>
      </c>
      <c r="MH33" s="35">
        <f>MH31-MH32</f>
        <v/>
      </c>
      <c r="MI33" s="35">
        <f>MI31-MI32</f>
        <v/>
      </c>
      <c r="MJ33" s="127">
        <f>SUM(LF33:MI33)</f>
        <v/>
      </c>
      <c r="MK33" s="35">
        <f>MK31-MK32</f>
        <v/>
      </c>
      <c r="ML33" s="35">
        <f>ML31-ML32</f>
        <v/>
      </c>
      <c r="MM33" s="35">
        <f>MM31-MM32</f>
        <v/>
      </c>
      <c r="MN33" s="35">
        <f>MN31-MN32</f>
        <v/>
      </c>
      <c r="MO33" s="35">
        <f>MO31-MO32</f>
        <v/>
      </c>
      <c r="MP33" s="35">
        <f>MP31-MP32</f>
        <v/>
      </c>
      <c r="MQ33" s="35">
        <f>MQ31-MQ32</f>
        <v/>
      </c>
      <c r="MR33" s="35">
        <f>MR31-MR32</f>
        <v/>
      </c>
      <c r="MS33" s="35">
        <f>MS31-MS32</f>
        <v/>
      </c>
      <c r="MT33" s="35">
        <f>MT31-MT32</f>
        <v/>
      </c>
      <c r="MU33" s="35">
        <f>MU31-MU32</f>
        <v/>
      </c>
      <c r="MV33" s="35">
        <f>MV31-MV32</f>
        <v/>
      </c>
      <c r="MW33" s="35">
        <f>MW31-MW32</f>
        <v/>
      </c>
      <c r="MX33" s="35">
        <f>MX31-MX32</f>
        <v/>
      </c>
      <c r="MY33" s="35">
        <f>MY31-MY32</f>
        <v/>
      </c>
      <c r="MZ33" s="35">
        <f>MZ31-MZ32</f>
        <v/>
      </c>
      <c r="NA33" s="35">
        <f>NA31-NA32</f>
        <v/>
      </c>
      <c r="NB33" s="35">
        <f>NB31-NB32</f>
        <v/>
      </c>
      <c r="NC33" s="35">
        <f>NC31-NC32</f>
        <v/>
      </c>
      <c r="ND33" s="35">
        <f>ND31-ND32</f>
        <v/>
      </c>
      <c r="NE33" s="35">
        <f>NE31-NE32</f>
        <v/>
      </c>
      <c r="NF33" s="35">
        <f>NF31-NF32</f>
        <v/>
      </c>
      <c r="NG33" s="35">
        <f>NG31-NG32</f>
        <v/>
      </c>
      <c r="NH33" s="35">
        <f>NH31-NH32</f>
        <v/>
      </c>
      <c r="NI33" s="35">
        <f>NI31-NI32</f>
        <v/>
      </c>
      <c r="NJ33" s="35">
        <f>NJ31-NJ32</f>
        <v/>
      </c>
      <c r="NK33" s="35">
        <f>NK31-NK32</f>
        <v/>
      </c>
      <c r="NL33" s="35">
        <f>NL31-NL32</f>
        <v/>
      </c>
      <c r="NM33" s="35">
        <f>NM31-NM32</f>
        <v/>
      </c>
      <c r="NN33" s="35">
        <f>NN31-NN32</f>
        <v/>
      </c>
      <c r="NO33" s="35">
        <f>NO31-NO32</f>
        <v/>
      </c>
      <c r="NP33" s="127">
        <f>SUM(ML33:NO33)</f>
        <v/>
      </c>
      <c r="NQ33" s="35">
        <f>NQ31-NQ32</f>
        <v/>
      </c>
      <c r="NR33" s="35">
        <f>NR31-NR32</f>
        <v/>
      </c>
      <c r="NS33" s="35">
        <f>NS31-NS32</f>
        <v/>
      </c>
      <c r="NT33" s="35">
        <f>NT31-NT32</f>
        <v/>
      </c>
      <c r="NU33" s="35">
        <f>NU31-NU32</f>
        <v/>
      </c>
      <c r="NV33" s="35">
        <f>NV31-NV32</f>
        <v/>
      </c>
      <c r="NW33" s="35">
        <f>NW31-NW32</f>
        <v/>
      </c>
      <c r="NX33" s="35">
        <f>NX31-NX32</f>
        <v/>
      </c>
      <c r="NY33" s="35">
        <f>NY31-NY32</f>
        <v/>
      </c>
      <c r="NZ33" s="35">
        <f>NZ31-NZ32</f>
        <v/>
      </c>
      <c r="OA33" s="35">
        <f>OA31-OA32</f>
        <v/>
      </c>
      <c r="OB33" s="35">
        <f>OB31-OB32</f>
        <v/>
      </c>
      <c r="OC33" s="35">
        <f>OC31-OC32</f>
        <v/>
      </c>
      <c r="OD33" s="35">
        <f>OD31-OD32</f>
        <v/>
      </c>
      <c r="OE33" s="35">
        <f>OE31-OE32</f>
        <v/>
      </c>
      <c r="OF33" s="35">
        <f>OF31-OF32</f>
        <v/>
      </c>
      <c r="OG33" s="35">
        <f>OG31-OG32</f>
        <v/>
      </c>
      <c r="OH33" s="35">
        <f>OH31-OH32</f>
        <v/>
      </c>
      <c r="OI33" s="35">
        <f>OI31-OI32</f>
        <v/>
      </c>
      <c r="OJ33" s="35">
        <f>OJ31-OJ32</f>
        <v/>
      </c>
      <c r="OK33" s="35">
        <f>OK31-OK32</f>
        <v/>
      </c>
      <c r="OL33" s="35">
        <f>OL31-OL32</f>
        <v/>
      </c>
      <c r="OM33" s="35">
        <f>OM31-OM32</f>
        <v/>
      </c>
      <c r="ON33" s="35">
        <f>ON31-ON32</f>
        <v/>
      </c>
      <c r="OO33" s="35">
        <f>OO31-OO32</f>
        <v/>
      </c>
      <c r="OP33" s="35">
        <f>OP31-OP32</f>
        <v/>
      </c>
      <c r="OQ33" s="35">
        <f>OQ31-OQ32</f>
        <v/>
      </c>
      <c r="OR33" s="35">
        <f>OR31-OR32</f>
        <v/>
      </c>
      <c r="OS33" s="35">
        <f>OS31-OS32</f>
        <v/>
      </c>
      <c r="OT33" s="35">
        <f>OT31-OT32</f>
        <v/>
      </c>
      <c r="OU33" s="35">
        <f>OU31-OU32</f>
        <v/>
      </c>
      <c r="OV33" s="127">
        <f>SUM(NR33:OU33)</f>
        <v/>
      </c>
      <c r="OW33" s="35">
        <f>OW31-OW32</f>
        <v/>
      </c>
      <c r="OX33" s="35">
        <f>OX31-OX32</f>
        <v/>
      </c>
      <c r="OY33" s="35">
        <f>OY31-OY32</f>
        <v/>
      </c>
      <c r="OZ33" s="35">
        <f>OZ31-OZ32</f>
        <v/>
      </c>
      <c r="PA33" s="35">
        <f>PA31-PA32</f>
        <v/>
      </c>
      <c r="PB33" s="35">
        <f>PB31-PB32</f>
        <v/>
      </c>
      <c r="PC33" s="35">
        <f>PC31-PC32</f>
        <v/>
      </c>
      <c r="PD33" s="35">
        <f>PD31-PD32</f>
        <v/>
      </c>
      <c r="PE33" s="35">
        <f>PE31-PE32</f>
        <v/>
      </c>
      <c r="PF33" s="35">
        <f>PF31-PF32</f>
        <v/>
      </c>
      <c r="PG33" s="35">
        <f>PG31-PG32</f>
        <v/>
      </c>
      <c r="PH33" s="35">
        <f>PH31-PH32</f>
        <v/>
      </c>
      <c r="PI33" s="35">
        <f>PI31-PI32</f>
        <v/>
      </c>
      <c r="PJ33" s="35">
        <f>PJ31-PJ32</f>
        <v/>
      </c>
      <c r="PK33" s="35">
        <f>PK31-PK32</f>
        <v/>
      </c>
      <c r="PL33" s="35">
        <f>PL31-PL32</f>
        <v/>
      </c>
      <c r="PM33" s="35">
        <f>PM31-PM32</f>
        <v/>
      </c>
      <c r="PN33" s="35">
        <f>PN31-PN32</f>
        <v/>
      </c>
      <c r="PO33" s="35">
        <f>PO31-PO32</f>
        <v/>
      </c>
      <c r="PP33" s="35">
        <f>PP31-PP32</f>
        <v/>
      </c>
      <c r="PQ33" s="35">
        <f>PQ31-PQ32</f>
        <v/>
      </c>
      <c r="PR33" s="35">
        <f>PR31-PR32</f>
        <v/>
      </c>
      <c r="PS33" s="35">
        <f>PS31-PS32</f>
        <v/>
      </c>
      <c r="PT33" s="35">
        <f>PT31-PT32</f>
        <v/>
      </c>
      <c r="PU33" s="35">
        <f>PU31-PU32</f>
        <v/>
      </c>
      <c r="PV33" s="35">
        <f>PV31-PV32</f>
        <v/>
      </c>
      <c r="PW33" s="35">
        <f>PW31-PW32</f>
        <v/>
      </c>
      <c r="PX33" s="35">
        <f>PX31-PX32</f>
        <v/>
      </c>
      <c r="PY33" s="35">
        <f>PY31-PY32</f>
        <v/>
      </c>
      <c r="PZ33" s="35">
        <f>PZ31-PZ32</f>
        <v/>
      </c>
      <c r="QA33" s="127">
        <f>SUM(OW33:PZ33)</f>
        <v/>
      </c>
      <c r="QB33" s="35">
        <f>QB31-QB32</f>
        <v/>
      </c>
      <c r="QC33" s="35">
        <f>QC31-QC32</f>
        <v/>
      </c>
      <c r="QD33" s="35">
        <f>QD31-QD32</f>
        <v/>
      </c>
      <c r="QE33" s="35">
        <f>QE31-QE32</f>
        <v/>
      </c>
      <c r="QF33" s="35">
        <f>QF31-QF32</f>
        <v/>
      </c>
      <c r="QG33" s="35">
        <f>QG31-QG32</f>
        <v/>
      </c>
      <c r="QH33" s="35">
        <f>QH31-QH32</f>
        <v/>
      </c>
      <c r="QI33" s="35">
        <f>QI31-QI32</f>
        <v/>
      </c>
      <c r="QJ33" s="35">
        <f>QJ31-QJ32</f>
        <v/>
      </c>
      <c r="QK33" s="35">
        <f>QK31-QK32</f>
        <v/>
      </c>
      <c r="QL33" s="35">
        <f>QL31-QL32</f>
        <v/>
      </c>
      <c r="QM33" s="35">
        <f>QM31-QM32</f>
        <v/>
      </c>
      <c r="QN33" s="35">
        <f>QN31-QN32</f>
        <v/>
      </c>
      <c r="QO33" s="35">
        <f>QO31-QO32</f>
        <v/>
      </c>
      <c r="QP33" s="35">
        <f>QP31-QP32</f>
        <v/>
      </c>
      <c r="QQ33" s="35">
        <f>QQ31-QQ32</f>
        <v/>
      </c>
      <c r="QR33" s="35">
        <f>QR31-QR32</f>
        <v/>
      </c>
      <c r="QS33" s="35">
        <f>QS31-QS32</f>
        <v/>
      </c>
      <c r="QT33" s="35">
        <f>QT31-QT32</f>
        <v/>
      </c>
      <c r="QU33" s="35">
        <f>QU31-QU32</f>
        <v/>
      </c>
      <c r="QV33" s="35">
        <f>QV31-QV32</f>
        <v/>
      </c>
      <c r="QW33" s="35">
        <f>QW31-QW32</f>
        <v/>
      </c>
      <c r="QX33" s="35">
        <f>QX31-QX32</f>
        <v/>
      </c>
      <c r="QY33" s="35">
        <f>QY31-QY32</f>
        <v/>
      </c>
      <c r="QZ33" s="35">
        <f>QZ31-QZ32</f>
        <v/>
      </c>
      <c r="RA33" s="35">
        <f>RA31-RA32</f>
        <v/>
      </c>
      <c r="RB33" s="35">
        <f>RB31-RB32</f>
        <v/>
      </c>
      <c r="RC33" s="35">
        <f>RC31-RC32</f>
        <v/>
      </c>
      <c r="RD33" s="35">
        <f>RD31-RD32</f>
        <v/>
      </c>
      <c r="RE33" s="35">
        <f>RE31-RE32</f>
        <v/>
      </c>
      <c r="RF33" s="35">
        <f>RF31-RF32</f>
        <v/>
      </c>
      <c r="RG33" s="127">
        <f>SUM(QC33:RF33)</f>
        <v/>
      </c>
      <c r="RH33" s="35">
        <f>RH31-RH32</f>
        <v/>
      </c>
      <c r="RI33" s="35">
        <f>RI31-RI32</f>
        <v/>
      </c>
      <c r="RJ33" s="35">
        <f>RJ31-RJ32</f>
        <v/>
      </c>
      <c r="RK33" s="35">
        <f>RK31-RK32</f>
        <v/>
      </c>
      <c r="RL33" s="35">
        <f>RL31-RL32</f>
        <v/>
      </c>
      <c r="RM33" s="35">
        <f>RM31-RM32</f>
        <v/>
      </c>
      <c r="RN33" s="35">
        <f>RN31-RN32</f>
        <v/>
      </c>
      <c r="RO33" s="35">
        <f>RO31-RO32</f>
        <v/>
      </c>
      <c r="RP33" s="35">
        <f>RP31-RP32</f>
        <v/>
      </c>
      <c r="RQ33" s="35">
        <f>RQ31-RQ32</f>
        <v/>
      </c>
      <c r="RR33" s="35">
        <f>RR31-RR32</f>
        <v/>
      </c>
      <c r="RS33" s="35">
        <f>RS31-RS32</f>
        <v/>
      </c>
      <c r="RT33" s="35">
        <f>RT31-RT32</f>
        <v/>
      </c>
      <c r="RU33" s="35">
        <f>RU31-RU32</f>
        <v/>
      </c>
      <c r="RV33" s="35">
        <f>RV31-RV32</f>
        <v/>
      </c>
      <c r="RW33" s="35">
        <f>RW31-RW32</f>
        <v/>
      </c>
      <c r="RX33" s="35">
        <f>RX31-RX32</f>
        <v/>
      </c>
      <c r="RY33" s="35">
        <f>RY31-RY32</f>
        <v/>
      </c>
      <c r="RZ33" s="35">
        <f>RZ31-RZ32</f>
        <v/>
      </c>
      <c r="SA33" s="35">
        <f>SA31-SA32</f>
        <v/>
      </c>
      <c r="SB33" s="35">
        <f>SB31-SB32</f>
        <v/>
      </c>
      <c r="SC33" s="35">
        <f>SC31-SC32</f>
        <v/>
      </c>
      <c r="SD33" s="35">
        <f>SD31-SD32</f>
        <v/>
      </c>
      <c r="SE33" s="35">
        <f>SE31-SE32</f>
        <v/>
      </c>
      <c r="SF33" s="35">
        <f>SF31-SF32</f>
        <v/>
      </c>
      <c r="SG33" s="35">
        <f>SG31-SG32</f>
        <v/>
      </c>
      <c r="SH33" s="35">
        <f>SH31-SH32</f>
        <v/>
      </c>
      <c r="SI33" s="35">
        <f>SI31-SI32</f>
        <v/>
      </c>
      <c r="SJ33" s="35">
        <f>SJ31-SJ32</f>
        <v/>
      </c>
      <c r="SK33" s="35">
        <f>SK31-SK32</f>
        <v/>
      </c>
      <c r="SL33" s="127">
        <f>SUM(RH33:SK33)</f>
        <v/>
      </c>
      <c r="SM33" s="35">
        <f>SM31-SM32</f>
        <v/>
      </c>
      <c r="SN33" s="35">
        <f>SN31-SN32</f>
        <v/>
      </c>
      <c r="SO33" s="35">
        <f>SO31-SO32</f>
        <v/>
      </c>
      <c r="SP33" s="35">
        <f>SP31-SP32</f>
        <v/>
      </c>
      <c r="SQ33" s="35">
        <f>SQ31-SQ32</f>
        <v/>
      </c>
      <c r="SR33" s="35">
        <f>SR31-SR32</f>
        <v/>
      </c>
      <c r="SS33" s="35">
        <f>SS31-SS32</f>
        <v/>
      </c>
      <c r="ST33" s="35">
        <f>ST31-ST32</f>
        <v/>
      </c>
      <c r="SU33" s="35">
        <f>SU31-SU32</f>
        <v/>
      </c>
      <c r="SV33" s="35">
        <f>SV31-SV32</f>
        <v/>
      </c>
      <c r="SW33" s="35">
        <f>SW31-SW32</f>
        <v/>
      </c>
      <c r="SX33" s="35">
        <f>SX31-SX32</f>
        <v/>
      </c>
      <c r="SY33" s="35">
        <f>SY31-SY32</f>
        <v/>
      </c>
      <c r="SZ33" s="35">
        <f>SZ31-SZ32</f>
        <v/>
      </c>
      <c r="TA33" s="35">
        <f>TA31-TA32</f>
        <v/>
      </c>
      <c r="TB33" s="35">
        <f>TB31-TB32</f>
        <v/>
      </c>
      <c r="TC33" s="35">
        <f>TC31-TC32</f>
        <v/>
      </c>
      <c r="TD33" s="35">
        <f>TD31-TD32</f>
        <v/>
      </c>
      <c r="TE33" s="35">
        <f>TE31-TE32</f>
        <v/>
      </c>
      <c r="TF33" s="35">
        <f>TF31-TF32</f>
        <v/>
      </c>
      <c r="TG33" s="35">
        <f>TG31-TG32</f>
        <v/>
      </c>
      <c r="TH33" s="35">
        <f>TH31-TH32</f>
        <v/>
      </c>
      <c r="TI33" s="35">
        <f>TI31-TI32</f>
        <v/>
      </c>
      <c r="TJ33" s="35">
        <f>TJ31-TJ32</f>
        <v/>
      </c>
      <c r="TK33" s="35">
        <f>TK31-TK32</f>
        <v/>
      </c>
      <c r="TL33" s="35">
        <f>TL31-TL32</f>
        <v/>
      </c>
      <c r="TM33" s="35">
        <f>TM31-TM32</f>
        <v/>
      </c>
      <c r="TN33" s="35">
        <f>TN31-TN32</f>
        <v/>
      </c>
      <c r="TO33" s="35">
        <f>TO31-TO32</f>
        <v/>
      </c>
      <c r="TP33" s="35">
        <f>TP31-TP32</f>
        <v/>
      </c>
      <c r="TQ33" s="35">
        <f>TQ31-TQ32</f>
        <v/>
      </c>
      <c r="TR33" s="127">
        <f>SUM(SN33:TQ33)</f>
        <v/>
      </c>
      <c r="TS33" s="35">
        <f>TS31-TS32</f>
        <v/>
      </c>
      <c r="TT33" s="35">
        <f>TT31-TT32</f>
        <v/>
      </c>
      <c r="TU33" s="35">
        <f>TU31-TU32</f>
        <v/>
      </c>
      <c r="TV33" s="35">
        <f>TV31-TV32</f>
        <v/>
      </c>
      <c r="TW33" s="35">
        <f>TW31-TW32</f>
        <v/>
      </c>
      <c r="TX33" s="35">
        <f>TX31-TX32</f>
        <v/>
      </c>
      <c r="TY33" s="35">
        <f>TY31-TY32</f>
        <v/>
      </c>
      <c r="TZ33" s="35">
        <f>TZ31-TZ32</f>
        <v/>
      </c>
      <c r="UA33" s="35">
        <f>UA31-UA32</f>
        <v/>
      </c>
      <c r="UB33" s="35">
        <f>UB31-UB32</f>
        <v/>
      </c>
      <c r="UC33" s="35">
        <f>UC31-UC32</f>
        <v/>
      </c>
      <c r="UD33" s="35">
        <f>UD31-UD32</f>
        <v/>
      </c>
      <c r="UE33" s="35">
        <f>UE31-UE32</f>
        <v/>
      </c>
      <c r="UF33" s="35">
        <f>UF31-UF32</f>
        <v/>
      </c>
      <c r="UG33" s="35">
        <f>UG31-UG32</f>
        <v/>
      </c>
      <c r="UH33" s="35">
        <f>UH31-UH32</f>
        <v/>
      </c>
      <c r="UI33" s="35">
        <f>UI31-UI32</f>
        <v/>
      </c>
      <c r="UJ33" s="35">
        <f>UJ31-UJ32</f>
        <v/>
      </c>
      <c r="UK33" s="35">
        <f>UK31-UK32</f>
        <v/>
      </c>
      <c r="UL33" s="35">
        <f>UL31-UL32</f>
        <v/>
      </c>
      <c r="UM33" s="35">
        <f>UM31-UM32</f>
        <v/>
      </c>
      <c r="UN33" s="35">
        <f>UN31-UN32</f>
        <v/>
      </c>
      <c r="UO33" s="35">
        <f>UO31-UO32</f>
        <v/>
      </c>
      <c r="UP33" s="35">
        <f>UP31-UP32</f>
        <v/>
      </c>
      <c r="UQ33" s="35">
        <f>UQ31-UQ32</f>
        <v/>
      </c>
      <c r="UR33" s="35">
        <f>UR31-UR32</f>
        <v/>
      </c>
      <c r="US33" s="35">
        <f>US31-US32</f>
        <v/>
      </c>
      <c r="UT33" s="35">
        <f>UT31-UT32</f>
        <v/>
      </c>
      <c r="UU33" s="35">
        <f>UU31-UU32</f>
        <v/>
      </c>
      <c r="UV33" s="35">
        <f>UV31-UV32</f>
        <v/>
      </c>
      <c r="UW33" s="35">
        <f>UW31-UW32</f>
        <v/>
      </c>
      <c r="UX33" s="127">
        <f>SUM(TT33:UW33)</f>
        <v/>
      </c>
      <c r="UY33" s="35">
        <f>UY31-UY32</f>
        <v/>
      </c>
      <c r="UZ33" s="35">
        <f>UZ31-UZ32</f>
        <v/>
      </c>
      <c r="VA33" s="35">
        <f>VA31-VA32</f>
        <v/>
      </c>
      <c r="VB33" s="35">
        <f>VB31-VB32</f>
        <v/>
      </c>
      <c r="VC33" s="35">
        <f>VC31-VC32</f>
        <v/>
      </c>
      <c r="VD33" s="35">
        <f>VD31-VD32</f>
        <v/>
      </c>
      <c r="VE33" s="35">
        <f>VE31-VE32</f>
        <v/>
      </c>
      <c r="VF33" s="35">
        <f>VF31-VF32</f>
        <v/>
      </c>
      <c r="VG33" s="35">
        <f>VG31-VG32</f>
        <v/>
      </c>
      <c r="VH33" s="35">
        <f>VH31-VH32</f>
        <v/>
      </c>
      <c r="VI33" s="35">
        <f>VI31-VI32</f>
        <v/>
      </c>
      <c r="VJ33" s="35">
        <f>VJ31-VJ32</f>
        <v/>
      </c>
      <c r="VK33" s="35">
        <f>VK31-VK32</f>
        <v/>
      </c>
      <c r="VL33" s="35">
        <f>VL31-VL32</f>
        <v/>
      </c>
      <c r="VM33" s="35">
        <f>VM31-VM32</f>
        <v/>
      </c>
      <c r="VN33" s="35">
        <f>VN31-VN32</f>
        <v/>
      </c>
      <c r="VO33" s="35">
        <f>VO31-VO32</f>
        <v/>
      </c>
      <c r="VP33" s="35">
        <f>VP31-VP32</f>
        <v/>
      </c>
      <c r="VQ33" s="35">
        <f>VQ31-VQ32</f>
        <v/>
      </c>
      <c r="VR33" s="35">
        <f>VR31-VR32</f>
        <v/>
      </c>
      <c r="VS33" s="35">
        <f>VS31-VS32</f>
        <v/>
      </c>
      <c r="VT33" s="35">
        <f>VT31-VT32</f>
        <v/>
      </c>
      <c r="VU33" s="35">
        <f>VU31-VU32</f>
        <v/>
      </c>
      <c r="VV33" s="35">
        <f>VV31-VV32</f>
        <v/>
      </c>
      <c r="VW33" s="35">
        <f>VW31-VW32</f>
        <v/>
      </c>
      <c r="VX33" s="35">
        <f>VX31-VX32</f>
        <v/>
      </c>
      <c r="VY33" s="35">
        <f>VY31-VY32</f>
        <v/>
      </c>
      <c r="VZ33" s="35">
        <f>VZ31-VZ32</f>
        <v/>
      </c>
      <c r="WA33" s="127">
        <f>SUM(UW33:VZ33)</f>
        <v/>
      </c>
      <c r="WB33" s="35">
        <f>WB31-WB32</f>
        <v/>
      </c>
      <c r="WC33" s="35">
        <f>WC31-WC32</f>
        <v/>
      </c>
      <c r="WD33" s="35">
        <f>WD31-WD32</f>
        <v/>
      </c>
      <c r="WE33" s="35">
        <f>WE31-WE32</f>
        <v/>
      </c>
      <c r="WF33" s="35">
        <f>WF31-WF32</f>
        <v/>
      </c>
      <c r="WG33" s="35">
        <f>WG31-WG32</f>
        <v/>
      </c>
      <c r="WH33" s="35">
        <f>WH31-WH32</f>
        <v/>
      </c>
      <c r="WI33" s="35">
        <f>WI31-WI32</f>
        <v/>
      </c>
      <c r="WJ33" s="35">
        <f>WJ31-WJ32</f>
        <v/>
      </c>
      <c r="WK33" s="35">
        <f>WK31-WK32</f>
        <v/>
      </c>
      <c r="WL33" s="35">
        <f>WL31-WL32</f>
        <v/>
      </c>
      <c r="WM33" s="35">
        <f>WM31-WM32</f>
        <v/>
      </c>
      <c r="WN33" s="35">
        <f>WN31-WN32</f>
        <v/>
      </c>
      <c r="WO33" s="35">
        <f>WO31-WO32</f>
        <v/>
      </c>
      <c r="WP33" s="35">
        <f>WP31-WP32</f>
        <v/>
      </c>
      <c r="WQ33" s="35">
        <f>WQ31-WQ32</f>
        <v/>
      </c>
      <c r="WR33" s="35">
        <f>WR31-WR32</f>
        <v/>
      </c>
      <c r="WS33" s="35">
        <f>WS31-WS32</f>
        <v/>
      </c>
      <c r="WT33" s="35">
        <f>WT31-WT32</f>
        <v/>
      </c>
      <c r="WU33" s="35">
        <f>WU31-WU32</f>
        <v/>
      </c>
      <c r="WV33" s="35">
        <f>WV31-WV32</f>
        <v/>
      </c>
      <c r="WW33" s="35">
        <f>WW31-WW32</f>
        <v/>
      </c>
      <c r="WX33" s="35">
        <f>WX31-WX32</f>
        <v/>
      </c>
      <c r="WY33" s="35">
        <f>WY31-WY32</f>
        <v/>
      </c>
      <c r="WZ33" s="35">
        <f>WZ31-WZ32</f>
        <v/>
      </c>
      <c r="XA33" s="35">
        <f>XA31-XA32</f>
        <v/>
      </c>
      <c r="XB33" s="35">
        <f>XB31-XB32</f>
        <v/>
      </c>
      <c r="XC33" s="35">
        <f>XC31-XC32</f>
        <v/>
      </c>
      <c r="XD33" s="35">
        <f>XD31-XD32</f>
        <v/>
      </c>
      <c r="XE33" s="35">
        <f>XE31-XE32</f>
        <v/>
      </c>
      <c r="XF33" s="35">
        <f>XF31-XF32</f>
        <v/>
      </c>
      <c r="XG33" s="127">
        <f>SUM(WB33:XF33)</f>
        <v/>
      </c>
      <c r="XH33" s="35">
        <f>XH31-XH32</f>
        <v/>
      </c>
      <c r="XI33" s="35">
        <f>XI31-XI32</f>
        <v/>
      </c>
      <c r="XJ33" s="35">
        <f>XJ31-XJ32</f>
        <v/>
      </c>
      <c r="XK33" s="35">
        <f>XK31-XK32</f>
        <v/>
      </c>
      <c r="XL33" s="35">
        <f>XL31-XL32</f>
        <v/>
      </c>
      <c r="XM33" s="35">
        <f>XM31-XM32</f>
        <v/>
      </c>
      <c r="XN33" s="35">
        <f>XN31-XN32</f>
        <v/>
      </c>
      <c r="XO33" s="35">
        <f>XO31-XO32</f>
        <v/>
      </c>
      <c r="XP33" s="35">
        <f>XP31-XP32</f>
        <v/>
      </c>
      <c r="XQ33" s="35">
        <f>XQ31-XQ32</f>
        <v/>
      </c>
      <c r="XR33" s="35">
        <f>XR31-XR32</f>
        <v/>
      </c>
      <c r="XS33" s="35">
        <f>XS31-XS32</f>
        <v/>
      </c>
      <c r="XT33" s="35">
        <f>XT31-XT32</f>
        <v/>
      </c>
      <c r="XU33" s="35">
        <f>XU31-XU32</f>
        <v/>
      </c>
      <c r="XV33" s="35">
        <f>XV31-XV32</f>
        <v/>
      </c>
      <c r="XW33" s="35">
        <f>XW31-XW32</f>
        <v/>
      </c>
      <c r="XX33" s="35">
        <f>XX31-XX32</f>
        <v/>
      </c>
      <c r="XY33" s="35">
        <f>XY31-XY32</f>
        <v/>
      </c>
      <c r="XZ33" s="35">
        <f>XZ31-XZ32</f>
        <v/>
      </c>
      <c r="YA33" s="35">
        <f>YA31-YA32</f>
        <v/>
      </c>
      <c r="YB33" s="35">
        <f>YB31-YB32</f>
        <v/>
      </c>
      <c r="YC33" s="35">
        <f>YC31-YC32</f>
        <v/>
      </c>
      <c r="YD33" s="35">
        <f>YD31-YD32</f>
        <v/>
      </c>
      <c r="YE33" s="35">
        <f>YE31-YE32</f>
        <v/>
      </c>
      <c r="YF33" s="35">
        <f>YF31-YF32</f>
        <v/>
      </c>
      <c r="YG33" s="35">
        <f>YG31-YG32</f>
        <v/>
      </c>
      <c r="YH33" s="35">
        <f>YH31-YH32</f>
        <v/>
      </c>
      <c r="YI33" s="35">
        <f>YI31-YI32</f>
        <v/>
      </c>
      <c r="YJ33" s="35">
        <f>YJ31-YJ32</f>
        <v/>
      </c>
      <c r="YK33" s="35">
        <f>YK31-YK32</f>
        <v/>
      </c>
      <c r="YL33" s="127">
        <f>SUM(XH33:YK33)</f>
        <v/>
      </c>
      <c r="YM33" s="35">
        <f>YM31-YM32</f>
        <v/>
      </c>
      <c r="YN33" s="35">
        <f>YN31-YN32</f>
        <v/>
      </c>
      <c r="YO33" s="35">
        <f>YO31-YO32</f>
        <v/>
      </c>
      <c r="YP33" s="35">
        <f>YP31-YP32</f>
        <v/>
      </c>
      <c r="YQ33" s="35">
        <f>YQ31-YQ32</f>
        <v/>
      </c>
      <c r="YR33" s="35">
        <f>YR31-YR32</f>
        <v/>
      </c>
      <c r="YS33" s="35">
        <f>YS31-YS32</f>
        <v/>
      </c>
      <c r="YT33" s="35">
        <f>YT31-YT32</f>
        <v/>
      </c>
      <c r="YU33" s="35">
        <f>YU31-YU32</f>
        <v/>
      </c>
      <c r="YV33" s="35">
        <f>YV31-YV32</f>
        <v/>
      </c>
      <c r="YW33" s="35">
        <f>YW31-YW32</f>
        <v/>
      </c>
      <c r="YX33" s="35">
        <f>YX31-YX32</f>
        <v/>
      </c>
      <c r="YY33" s="35">
        <f>YY31-YY32</f>
        <v/>
      </c>
      <c r="YZ33" s="35">
        <f>YZ31-YZ32</f>
        <v/>
      </c>
      <c r="ZA33" s="35">
        <f>ZA31-ZA32</f>
        <v/>
      </c>
      <c r="ZB33" s="35">
        <f>ZB31-ZB32</f>
        <v/>
      </c>
      <c r="ZC33" s="35">
        <f>ZC31-ZC32</f>
        <v/>
      </c>
      <c r="ZD33" s="35">
        <f>ZD31-ZD32</f>
        <v/>
      </c>
      <c r="ZE33" s="35">
        <f>ZE31-ZE32</f>
        <v/>
      </c>
      <c r="ZF33" s="35">
        <f>ZF31-ZF32</f>
        <v/>
      </c>
      <c r="ZG33" s="35">
        <f>ZG31-ZG32</f>
        <v/>
      </c>
      <c r="ZH33" s="35">
        <f>ZH31-ZH32</f>
        <v/>
      </c>
      <c r="ZI33" s="35">
        <f>ZI31-ZI32</f>
        <v/>
      </c>
      <c r="ZJ33" s="35">
        <f>ZJ31-ZJ32</f>
        <v/>
      </c>
      <c r="ZK33" s="35">
        <f>ZK31-ZK32</f>
        <v/>
      </c>
      <c r="ZL33" s="35">
        <f>ZL31-ZL32</f>
        <v/>
      </c>
      <c r="ZM33" s="35">
        <f>ZM31-ZM32</f>
        <v/>
      </c>
      <c r="ZN33" s="35">
        <f>ZN31-ZN32</f>
        <v/>
      </c>
      <c r="ZO33" s="35">
        <f>ZO31-ZO32</f>
        <v/>
      </c>
      <c r="ZP33" s="35">
        <f>ZP31-ZP32</f>
        <v/>
      </c>
      <c r="ZQ33" s="35">
        <f>ZQ31-ZQ32</f>
        <v/>
      </c>
      <c r="ZR33" s="127">
        <f>SUM(YM33:ZQ33)</f>
        <v/>
      </c>
      <c r="ZS33" s="35">
        <f>ZS31-ZS32</f>
        <v/>
      </c>
      <c r="ZT33" s="35">
        <f>ZT31-ZT32</f>
        <v/>
      </c>
      <c r="ZU33" s="35">
        <f>ZU31-ZU32</f>
        <v/>
      </c>
      <c r="ZV33" s="35">
        <f>ZV31-ZV32</f>
        <v/>
      </c>
      <c r="ZW33" s="35">
        <f>ZW31-ZW32</f>
        <v/>
      </c>
      <c r="ZX33" s="35">
        <f>ZX31-ZX32</f>
        <v/>
      </c>
      <c r="ZY33" s="35">
        <f>ZY31-ZY32</f>
        <v/>
      </c>
      <c r="ZZ33" s="35">
        <f>ZZ31-ZZ32</f>
        <v/>
      </c>
      <c r="AAA33" s="35">
        <f>AAA31-AAA32</f>
        <v/>
      </c>
      <c r="AAB33" s="35">
        <f>AAB31-AAB32</f>
        <v/>
      </c>
      <c r="AAC33" s="35">
        <f>AAC31-AAC32</f>
        <v/>
      </c>
      <c r="AAD33" s="35">
        <f>AAD31-AAD32</f>
        <v/>
      </c>
      <c r="AAE33" s="35">
        <f>AAE31-AAE32</f>
        <v/>
      </c>
      <c r="AAF33" s="35">
        <f>AAF31-AAF32</f>
        <v/>
      </c>
      <c r="AAG33" s="35">
        <f>AAG31-AAG32</f>
        <v/>
      </c>
      <c r="AAH33" s="35">
        <f>AAH31-AAH32</f>
        <v/>
      </c>
      <c r="AAI33" s="35">
        <f>AAI31-AAI32</f>
        <v/>
      </c>
      <c r="AAJ33" s="35">
        <f>AAJ31-AAJ32</f>
        <v/>
      </c>
      <c r="AAK33" s="35">
        <f>AAK31-AAK32</f>
        <v/>
      </c>
      <c r="AAL33" s="35">
        <f>AAL31-AAL32</f>
        <v/>
      </c>
      <c r="AAM33" s="35">
        <f>AAM31-AAM32</f>
        <v/>
      </c>
      <c r="AAN33" s="35">
        <f>AAN31-AAN32</f>
        <v/>
      </c>
      <c r="AAO33" s="35">
        <f>AAO31-AAO32</f>
        <v/>
      </c>
      <c r="AAP33" s="35">
        <f>AAP31-AAP32</f>
        <v/>
      </c>
      <c r="AAQ33" s="35">
        <f>AAQ31-AAQ32</f>
        <v/>
      </c>
      <c r="AAR33" s="35">
        <f>AAR31-AAR32</f>
        <v/>
      </c>
      <c r="AAS33" s="35">
        <f>AAS31-AAS32</f>
        <v/>
      </c>
      <c r="AAT33" s="35">
        <f>AAT31-AAT32</f>
        <v/>
      </c>
      <c r="AAU33" s="35">
        <f>AAU31-AAU32</f>
        <v/>
      </c>
      <c r="AAV33" s="35">
        <f>AAV31-AAV32</f>
        <v/>
      </c>
      <c r="AAW33" s="127">
        <f>SUM(ZS33:AAV33)</f>
        <v/>
      </c>
      <c r="AAX33" s="35">
        <f>AAX31-AAX32</f>
        <v/>
      </c>
      <c r="AAY33" s="35">
        <f>AAY31-AAY32</f>
        <v/>
      </c>
      <c r="AAZ33" s="35">
        <f>AAZ31-AAZ32</f>
        <v/>
      </c>
      <c r="ABA33" s="35">
        <f>ABA31-ABA32</f>
        <v/>
      </c>
      <c r="ABB33" s="35">
        <f>ABB31-ABB32</f>
        <v/>
      </c>
      <c r="ABC33" s="35">
        <f>ABC31-ABC32</f>
        <v/>
      </c>
      <c r="ABD33" s="35">
        <f>ABD31-ABD32</f>
        <v/>
      </c>
      <c r="ABE33" s="35">
        <f>ABE31-ABE32</f>
        <v/>
      </c>
      <c r="ABF33" s="35">
        <f>ABF31-ABF32</f>
        <v/>
      </c>
      <c r="ABG33" s="35">
        <f>ABG31-ABG32</f>
        <v/>
      </c>
      <c r="ABH33" s="35">
        <f>ABH31-ABH32</f>
        <v/>
      </c>
      <c r="ABI33" s="35">
        <f>ABI31-ABI32</f>
        <v/>
      </c>
      <c r="ABJ33" s="35">
        <f>ABJ31-ABJ32</f>
        <v/>
      </c>
      <c r="ABK33" s="35">
        <f>ABK31-ABK32</f>
        <v/>
      </c>
      <c r="ABL33" s="35">
        <f>ABL31-ABL32</f>
        <v/>
      </c>
      <c r="ABM33" s="35">
        <f>ABM31-ABM32</f>
        <v/>
      </c>
      <c r="ABN33" s="35">
        <f>ABN31-ABN32</f>
        <v/>
      </c>
      <c r="ABO33" s="35">
        <f>ABO31-ABO32</f>
        <v/>
      </c>
      <c r="ABP33" s="35">
        <f>ABP31-ABP32</f>
        <v/>
      </c>
      <c r="ABQ33" s="35">
        <f>ABQ31-ABQ32</f>
        <v/>
      </c>
      <c r="ABR33" s="35">
        <f>ABR31-ABR32</f>
        <v/>
      </c>
      <c r="ABS33" s="35">
        <f>ABS31-ABS32</f>
        <v/>
      </c>
      <c r="ABT33" s="35">
        <f>ABT31-ABT32</f>
        <v/>
      </c>
      <c r="ABU33" s="35">
        <f>ABU31-ABU32</f>
        <v/>
      </c>
      <c r="ABV33" s="35">
        <f>ABV31-ABV32</f>
        <v/>
      </c>
      <c r="ABW33" s="35">
        <f>ABW31-ABW32</f>
        <v/>
      </c>
      <c r="ABX33" s="35">
        <f>ABX31-ABX32</f>
        <v/>
      </c>
      <c r="ABY33" s="35">
        <f>ABY31-ABY32</f>
        <v/>
      </c>
      <c r="ABZ33" s="35">
        <f>ABZ31-ABZ32</f>
        <v/>
      </c>
      <c r="ACA33" s="35">
        <f>ACA31-ACA32</f>
        <v/>
      </c>
      <c r="ACB33" s="35">
        <f>ACB31-ACB32</f>
        <v/>
      </c>
      <c r="ACC33" s="127">
        <f>SUM(AAX33:ACB33)</f>
        <v/>
      </c>
      <c r="ACD33" s="35">
        <f>ACD31-ACD32</f>
        <v/>
      </c>
      <c r="ACE33" s="35">
        <f>ACE31-ACE32</f>
        <v/>
      </c>
      <c r="ACF33" s="35">
        <f>ACF31-ACF32</f>
        <v/>
      </c>
      <c r="ACG33" s="35">
        <f>ACG31-ACG32</f>
        <v/>
      </c>
      <c r="ACH33" s="35">
        <f>ACH31-ACH32</f>
        <v/>
      </c>
      <c r="ACI33" s="35">
        <f>ACI31-ACI32</f>
        <v/>
      </c>
      <c r="ACJ33" s="35">
        <f>ACJ31-ACJ32</f>
        <v/>
      </c>
      <c r="ACK33" s="35">
        <f>ACK31-ACK32</f>
        <v/>
      </c>
      <c r="ACL33" s="35">
        <f>ACL31-ACL32</f>
        <v/>
      </c>
      <c r="ACM33" s="35">
        <f>ACM31-ACM32</f>
        <v/>
      </c>
      <c r="ACN33" s="35">
        <f>ACN31-ACN32</f>
        <v/>
      </c>
      <c r="ACO33" s="35">
        <f>ACO31-ACO32</f>
        <v/>
      </c>
      <c r="ACP33" s="35">
        <f>ACP31-ACP32</f>
        <v/>
      </c>
      <c r="ACQ33" s="35">
        <f>ACQ31-ACQ32</f>
        <v/>
      </c>
      <c r="ACR33" s="35">
        <f>ACR31-ACR32</f>
        <v/>
      </c>
      <c r="ACS33" s="35">
        <f>ACS31-ACS32</f>
        <v/>
      </c>
      <c r="ACT33" s="35">
        <f>ACT31-ACT32</f>
        <v/>
      </c>
      <c r="ACU33" s="35">
        <f>ACU31-ACU32</f>
        <v/>
      </c>
      <c r="ACV33" s="35">
        <f>ACV31-ACV32</f>
        <v/>
      </c>
      <c r="ACW33" s="35">
        <f>ACW31-ACW32</f>
        <v/>
      </c>
      <c r="ACX33" s="35">
        <f>ACX31-ACX32</f>
        <v/>
      </c>
      <c r="ACY33" s="35">
        <f>ACY31-ACY32</f>
        <v/>
      </c>
      <c r="ACZ33" s="35">
        <f>ACZ31-ACZ32</f>
        <v/>
      </c>
      <c r="ADA33" s="35">
        <f>ADA31-ADA32</f>
        <v/>
      </c>
      <c r="ADB33" s="35">
        <f>ADB31-ADB32</f>
        <v/>
      </c>
      <c r="ADC33" s="35">
        <f>ADC31-ADC32</f>
        <v/>
      </c>
      <c r="ADD33" s="35">
        <f>ADD31-ADD32</f>
        <v/>
      </c>
      <c r="ADE33" s="35">
        <f>ADE31-ADE32</f>
        <v/>
      </c>
      <c r="ADF33" s="35">
        <f>ADF31-ADF32</f>
        <v/>
      </c>
      <c r="ADG33" s="35">
        <f>ADG31-ADG32</f>
        <v/>
      </c>
      <c r="ADH33" s="35">
        <f>ADH31-ADH32</f>
        <v/>
      </c>
      <c r="ADI33" s="127">
        <f>SUM(ACD33:ADH33)</f>
        <v/>
      </c>
      <c r="ADJ33" s="35">
        <f>ADJ31-ADJ32</f>
        <v/>
      </c>
      <c r="ADK33" s="35">
        <f>ADK31-ADK32</f>
        <v/>
      </c>
      <c r="ADL33" s="35">
        <f>ADL31-ADL32</f>
        <v/>
      </c>
      <c r="ADM33" s="35">
        <f>ADM31-ADM32</f>
        <v/>
      </c>
      <c r="ADN33" s="35">
        <f>ADN31-ADN32</f>
        <v/>
      </c>
      <c r="ADO33" s="35">
        <f>ADO31-ADO32</f>
        <v/>
      </c>
      <c r="ADP33" s="35">
        <f>ADP31-ADP32</f>
        <v/>
      </c>
      <c r="ADQ33" s="35">
        <f>ADQ31-ADQ32</f>
        <v/>
      </c>
      <c r="ADR33" s="35">
        <f>ADR31-ADR32</f>
        <v/>
      </c>
      <c r="ADS33" s="35">
        <f>ADS31-ADS32</f>
        <v/>
      </c>
      <c r="ADT33" s="35">
        <f>ADT31-ADT32</f>
        <v/>
      </c>
      <c r="ADU33" s="35">
        <f>ADU31-ADU32</f>
        <v/>
      </c>
      <c r="ADV33" s="35">
        <f>ADV31-ADV32</f>
        <v/>
      </c>
      <c r="ADW33" s="35">
        <f>ADW31-ADW32</f>
        <v/>
      </c>
      <c r="ADX33" s="35">
        <f>ADX31-ADX32</f>
        <v/>
      </c>
      <c r="ADY33" s="35">
        <f>ADY31-ADY32</f>
        <v/>
      </c>
      <c r="ADZ33" s="35">
        <f>ADZ31-ADZ32</f>
        <v/>
      </c>
      <c r="AEA33" s="35">
        <f>AEA31-AEA32</f>
        <v/>
      </c>
      <c r="AEB33" s="35">
        <f>AEB31-AEB32</f>
        <v/>
      </c>
      <c r="AEC33" s="35">
        <f>AEC31-AEC32</f>
        <v/>
      </c>
      <c r="AED33" s="35">
        <f>AED31-AED32</f>
        <v/>
      </c>
      <c r="AEE33" s="35">
        <f>AEE31-AEE32</f>
        <v/>
      </c>
      <c r="AEF33" s="35">
        <f>AEF31-AEF32</f>
        <v/>
      </c>
      <c r="AEG33" s="35">
        <f>AEG31-AEG32</f>
        <v/>
      </c>
      <c r="AEH33" s="35">
        <f>AEH31-AEH32</f>
        <v/>
      </c>
      <c r="AEI33" s="35">
        <f>AEI31-AEI32</f>
        <v/>
      </c>
      <c r="AEJ33" s="35">
        <f>AEJ31-AEJ32</f>
        <v/>
      </c>
      <c r="AEK33" s="35">
        <f>AEK31-AEK32</f>
        <v/>
      </c>
      <c r="AEL33" s="35">
        <f>AEL31-AEL32</f>
        <v/>
      </c>
      <c r="AEM33" s="35">
        <f>AEM31-AEM32</f>
        <v/>
      </c>
      <c r="AEN33" s="127">
        <f>SUM(ADJ33:AEM33)</f>
        <v/>
      </c>
      <c r="AEO33" s="35">
        <f>AEO31-AEO32</f>
        <v/>
      </c>
      <c r="AEP33" s="35">
        <f>AEP31-AEP32</f>
        <v/>
      </c>
      <c r="AEQ33" s="35">
        <f>AEQ31-AEQ32</f>
        <v/>
      </c>
      <c r="AER33" s="35">
        <f>AER31-AER32</f>
        <v/>
      </c>
      <c r="AES33" s="35">
        <f>AES31-AES32</f>
        <v/>
      </c>
      <c r="AET33" s="35">
        <f>AET31-AET32</f>
        <v/>
      </c>
      <c r="AEU33" s="35">
        <f>AEU31-AEU32</f>
        <v/>
      </c>
      <c r="AEV33" s="35">
        <f>AEV31-AEV32</f>
        <v/>
      </c>
      <c r="AEW33" s="35">
        <f>AEW31-AEW32</f>
        <v/>
      </c>
      <c r="AEX33" s="35">
        <f>AEX31-AEX32</f>
        <v/>
      </c>
      <c r="AEY33" s="35">
        <f>AEY31-AEY32</f>
        <v/>
      </c>
      <c r="AEZ33" s="35">
        <f>AEZ31-AEZ32</f>
        <v/>
      </c>
      <c r="AFA33" s="35">
        <f>AFA31-AFA32</f>
        <v/>
      </c>
      <c r="AFB33" s="35">
        <f>AFB31-AFB32</f>
        <v/>
      </c>
      <c r="AFC33" s="35">
        <f>AFC31-AFC32</f>
        <v/>
      </c>
      <c r="AFD33" s="35">
        <f>AFD31-AFD32</f>
        <v/>
      </c>
      <c r="AFE33" s="35">
        <f>AFE31-AFE32</f>
        <v/>
      </c>
      <c r="AFF33" s="35">
        <f>AFF31-AFF32</f>
        <v/>
      </c>
      <c r="AFG33" s="35">
        <f>AFG31-AFG32</f>
        <v/>
      </c>
      <c r="AFH33" s="35">
        <f>AFH31-AFH32</f>
        <v/>
      </c>
      <c r="AFI33" s="35">
        <f>AFI31-AFI32</f>
        <v/>
      </c>
      <c r="AFJ33" s="35">
        <f>AFJ31-AFJ32</f>
        <v/>
      </c>
      <c r="AFK33" s="35">
        <f>AFK31-AFK32</f>
        <v/>
      </c>
      <c r="AFL33" s="35">
        <f>AFL31-AFL32</f>
        <v/>
      </c>
      <c r="AFM33" s="35">
        <f>AFM31-AFM32</f>
        <v/>
      </c>
      <c r="AFN33" s="35">
        <f>AFN31-AFN32</f>
        <v/>
      </c>
      <c r="AFO33" s="35">
        <f>AFO31-AFO32</f>
        <v/>
      </c>
      <c r="AFP33" s="35">
        <f>AFP31-AFP32</f>
        <v/>
      </c>
      <c r="AFQ33" s="35">
        <f>AFQ31-AFQ32</f>
        <v/>
      </c>
      <c r="AFR33" s="35">
        <f>AFR31-AFR32</f>
        <v/>
      </c>
      <c r="AFS33" s="35">
        <f>AFS31-AFS32</f>
        <v/>
      </c>
      <c r="AFT33" s="127">
        <f>SUM(AEO33:AFS33)</f>
        <v/>
      </c>
      <c r="AFU33" s="35">
        <f>AFU31-AFU32</f>
        <v/>
      </c>
      <c r="AFV33" s="35">
        <f>AFV31-AFV32</f>
        <v/>
      </c>
      <c r="AFW33" s="35">
        <f>AFW31-AFW32</f>
        <v/>
      </c>
      <c r="AFX33" s="35">
        <f>AFX31-AFX32</f>
        <v/>
      </c>
      <c r="AFY33" s="35">
        <f>AFY31-AFY32</f>
        <v/>
      </c>
      <c r="AFZ33" s="35">
        <f>AFZ31-AFZ32</f>
        <v/>
      </c>
      <c r="AGA33" s="35">
        <f>AGA31-AGA32</f>
        <v/>
      </c>
      <c r="AGB33" s="35">
        <f>AGB31-AGB32</f>
        <v/>
      </c>
      <c r="AGC33" s="35">
        <f>AGC31-AGC32</f>
        <v/>
      </c>
      <c r="AGD33" s="35">
        <f>AGD31-AGD32</f>
        <v/>
      </c>
      <c r="AGE33" s="35">
        <f>AGE31-AGE32</f>
        <v/>
      </c>
      <c r="AGF33" s="35">
        <f>AGF31-AGF32</f>
        <v/>
      </c>
      <c r="AGG33" s="35">
        <f>AGG31-AGG32</f>
        <v/>
      </c>
      <c r="AGH33" s="35">
        <f>AGH31-AGH32</f>
        <v/>
      </c>
      <c r="AGI33" s="35">
        <f>AGI31-AGI32</f>
        <v/>
      </c>
      <c r="AGJ33" s="35">
        <f>AGJ31-AGJ32</f>
        <v/>
      </c>
      <c r="AGK33" s="35">
        <f>AGK31-AGK32</f>
        <v/>
      </c>
      <c r="AGL33" s="35">
        <f>AGL31-AGL32</f>
        <v/>
      </c>
      <c r="AGM33" s="35">
        <f>AGM31-AGM32</f>
        <v/>
      </c>
      <c r="AGN33" s="35">
        <f>AGN31-AGN32</f>
        <v/>
      </c>
      <c r="AGO33" s="35">
        <f>AGO31-AGO32</f>
        <v/>
      </c>
      <c r="AGP33" s="35">
        <f>AGP31-AGP32</f>
        <v/>
      </c>
      <c r="AGQ33" s="35">
        <f>AGQ31-AGQ32</f>
        <v/>
      </c>
      <c r="AGR33" s="35">
        <f>AGR31-AGR32</f>
        <v/>
      </c>
      <c r="AGS33" s="35">
        <f>AGS31-AGS32</f>
        <v/>
      </c>
      <c r="AGT33" s="35">
        <f>AGT31-AGT32</f>
        <v/>
      </c>
      <c r="AGU33" s="35">
        <f>AGU31-AGU32</f>
        <v/>
      </c>
      <c r="AGV33" s="35">
        <f>AGV31-AGV32</f>
        <v/>
      </c>
      <c r="AGW33" s="35">
        <f>AGW31-AGW32</f>
        <v/>
      </c>
      <c r="AGX33" s="35">
        <f>AGX31-AGX32</f>
        <v/>
      </c>
      <c r="AGY33" s="127">
        <f>SUM(AFU33:AGX33)</f>
        <v/>
      </c>
      <c r="AGZ33" s="35">
        <f>AGZ31-AGZ32</f>
        <v/>
      </c>
      <c r="AHA33" s="35">
        <f>AHA31-AHA32</f>
        <v/>
      </c>
      <c r="AHB33" s="35">
        <f>AHB31-AHB32</f>
        <v/>
      </c>
      <c r="AHC33" s="35">
        <f>AHC31-AHC32</f>
        <v/>
      </c>
      <c r="AHD33" s="35">
        <f>AHD31-AHD32</f>
        <v/>
      </c>
      <c r="AHE33" s="35">
        <f>AHE31-AHE32</f>
        <v/>
      </c>
      <c r="AHF33" s="35">
        <f>AHF31-AHF32</f>
        <v/>
      </c>
      <c r="AHG33" s="35">
        <f>AHG31-AHG32</f>
        <v/>
      </c>
      <c r="AHH33" s="35">
        <f>AHH31-AHH32</f>
        <v/>
      </c>
      <c r="AHI33" s="35">
        <f>AHI31-AHI32</f>
        <v/>
      </c>
      <c r="AHJ33" s="35">
        <f>AHJ31-AHJ32</f>
        <v/>
      </c>
      <c r="AHK33" s="35">
        <f>AHK31-AHK32</f>
        <v/>
      </c>
      <c r="AHL33" s="35">
        <f>AHL31-AHL32</f>
        <v/>
      </c>
      <c r="AHM33" s="35">
        <f>AHM31-AHM32</f>
        <v/>
      </c>
      <c r="AHN33" s="35">
        <f>AHN31-AHN32</f>
        <v/>
      </c>
      <c r="AHO33" s="35">
        <f>AHO31-AHO32</f>
        <v/>
      </c>
      <c r="AHP33" s="35">
        <f>AHP31-AHP32</f>
        <v/>
      </c>
      <c r="AHQ33" s="35">
        <f>AHQ31-AHQ32</f>
        <v/>
      </c>
      <c r="AHR33" s="35">
        <f>AHR31-AHR32</f>
        <v/>
      </c>
      <c r="AHS33" s="35">
        <f>AHS31-AHS32</f>
        <v/>
      </c>
      <c r="AHT33" s="35">
        <f>AHT31-AHT32</f>
        <v/>
      </c>
      <c r="AHU33" s="35">
        <f>AHU31-AHU32</f>
        <v/>
      </c>
      <c r="AHV33" s="35">
        <f>AHV31-AHV32</f>
        <v/>
      </c>
      <c r="AHW33" s="35">
        <f>AHW31-AHW32</f>
        <v/>
      </c>
      <c r="AHX33" s="35">
        <f>AHX31-AHX32</f>
        <v/>
      </c>
      <c r="AHY33" s="35">
        <f>AHY31-AHY32</f>
        <v/>
      </c>
      <c r="AHZ33" s="35">
        <f>AHZ31-AHZ32</f>
        <v/>
      </c>
      <c r="AIA33" s="35">
        <f>AIA31-AIA32</f>
        <v/>
      </c>
      <c r="AIB33" s="35">
        <f>AIB31-AIB32</f>
        <v/>
      </c>
      <c r="AIC33" s="35">
        <f>AIC31-AIC32</f>
        <v/>
      </c>
      <c r="AID33" s="35">
        <f>AID31-AID32</f>
        <v/>
      </c>
      <c r="AIE33" s="127">
        <f>SUM(AGZ33:AID33)</f>
        <v/>
      </c>
      <c r="AIF33" s="35">
        <f>AIF31-AIF32</f>
        <v/>
      </c>
      <c r="AIG33" s="35">
        <f>AIG31-AIG32</f>
        <v/>
      </c>
      <c r="AIH33" s="35">
        <f>AIH31-AIH32</f>
        <v/>
      </c>
      <c r="AII33" s="35">
        <f>AII31-AII32</f>
        <v/>
      </c>
      <c r="AIJ33" s="35">
        <f>AIJ31-AIJ32</f>
        <v/>
      </c>
      <c r="AIK33" s="35">
        <f>AIK31-AIK32</f>
        <v/>
      </c>
      <c r="AIL33" s="35">
        <f>AIL31-AIL32</f>
        <v/>
      </c>
      <c r="AIM33" s="35">
        <f>AIM31-AIM32</f>
        <v/>
      </c>
      <c r="AIN33" s="35">
        <f>AIN31-AIN32</f>
        <v/>
      </c>
      <c r="AIO33" s="35">
        <f>AIO31-AIO32</f>
        <v/>
      </c>
      <c r="AIP33" s="35">
        <f>AIP31-AIP32</f>
        <v/>
      </c>
      <c r="AIQ33" s="35">
        <f>AIQ31-AIQ32</f>
        <v/>
      </c>
      <c r="AIR33" s="35">
        <f>AIR31-AIR32</f>
        <v/>
      </c>
      <c r="AIS33" s="35">
        <f>AIS31-AIS32</f>
        <v/>
      </c>
      <c r="AIT33" s="35">
        <f>AIT31-AIT32</f>
        <v/>
      </c>
      <c r="AIU33" s="35">
        <f>AIU31-AIU32</f>
        <v/>
      </c>
      <c r="AIV33" s="35">
        <f>AIV31-AIV32</f>
        <v/>
      </c>
      <c r="AIW33" s="35">
        <f>AIW31-AIW32</f>
        <v/>
      </c>
      <c r="AIX33" s="35">
        <f>AIX31-AIX32</f>
        <v/>
      </c>
      <c r="AIY33" s="35">
        <f>AIY31-AIY32</f>
        <v/>
      </c>
      <c r="AIZ33" s="35">
        <f>AIZ31-AIZ32</f>
        <v/>
      </c>
      <c r="AJA33" s="35">
        <f>AJA31-AJA32</f>
        <v/>
      </c>
      <c r="AJB33" s="35">
        <f>AJB31-AJB32</f>
        <v/>
      </c>
      <c r="AJC33" s="35">
        <f>AJC31-AJC32</f>
        <v/>
      </c>
      <c r="AJD33" s="35">
        <f>AJD31-AJD32</f>
        <v/>
      </c>
      <c r="AJE33" s="35">
        <f>AJE31-AJE32</f>
        <v/>
      </c>
      <c r="AJF33" s="35">
        <f>AJF31-AJF32</f>
        <v/>
      </c>
      <c r="AJG33" s="35">
        <f>AJG31-AJG32</f>
        <v/>
      </c>
      <c r="AJH33" s="35">
        <f>AJH31-AJH32</f>
        <v/>
      </c>
      <c r="AJI33" s="35">
        <f>AJI31-AJI32</f>
        <v/>
      </c>
      <c r="AJJ33" s="35">
        <f>AJJ31-AJJ32</f>
        <v/>
      </c>
      <c r="AJK33" s="127">
        <f>SUM(AIF33:AJJ33)</f>
        <v/>
      </c>
      <c r="AJL33" s="35">
        <f>AJL31-AJL32</f>
        <v/>
      </c>
      <c r="AJM33" s="35">
        <f>AJM31-AJM32</f>
        <v/>
      </c>
      <c r="AJN33" s="35">
        <f>AJN31-AJN32</f>
        <v/>
      </c>
      <c r="AJO33" s="35">
        <f>AJO31-AJO32</f>
        <v/>
      </c>
      <c r="AJP33" s="35">
        <f>AJP31-AJP32</f>
        <v/>
      </c>
      <c r="AJQ33" s="35">
        <f>AJQ31-AJQ32</f>
        <v/>
      </c>
      <c r="AJR33" s="35">
        <f>AJR31-AJR32</f>
        <v/>
      </c>
      <c r="AJS33" s="35">
        <f>AJS31-AJS32</f>
        <v/>
      </c>
      <c r="AJT33" s="35">
        <f>AJT31-AJT32</f>
        <v/>
      </c>
      <c r="AJU33" s="35">
        <f>AJU31-AJU32</f>
        <v/>
      </c>
      <c r="AJV33" s="35">
        <f>AJV31-AJV32</f>
        <v/>
      </c>
      <c r="AJW33" s="35">
        <f>AJW31-AJW32</f>
        <v/>
      </c>
      <c r="AJX33" s="35">
        <f>AJX31-AJX32</f>
        <v/>
      </c>
      <c r="AJY33" s="35">
        <f>AJY31-AJY32</f>
        <v/>
      </c>
      <c r="AJZ33" s="35">
        <f>AJZ31-AJZ32</f>
        <v/>
      </c>
      <c r="AKA33" s="35">
        <f>AKA31-AKA32</f>
        <v/>
      </c>
      <c r="AKB33" s="35">
        <f>AKB31-AKB32</f>
        <v/>
      </c>
      <c r="AKC33" s="35">
        <f>AKC31-AKC32</f>
        <v/>
      </c>
      <c r="AKD33" s="35">
        <f>AKD31-AKD32</f>
        <v/>
      </c>
      <c r="AKE33" s="35">
        <f>AKE31-AKE32</f>
        <v/>
      </c>
      <c r="AKF33" s="35">
        <f>AKF31-AKF32</f>
        <v/>
      </c>
      <c r="AKG33" s="35">
        <f>AKG31-AKG32</f>
        <v/>
      </c>
      <c r="AKH33" s="35">
        <f>AKH31-AKH32</f>
        <v/>
      </c>
      <c r="AKI33" s="35">
        <f>AKI31-AKI32</f>
        <v/>
      </c>
      <c r="AKJ33" s="35">
        <f>AKJ31-AKJ32</f>
        <v/>
      </c>
      <c r="AKK33" s="35">
        <f>AKK31-AKK32</f>
        <v/>
      </c>
      <c r="AKL33" s="35">
        <f>AKL31-AKL32</f>
        <v/>
      </c>
      <c r="AKM33" s="35">
        <f>AKM31-AKM32</f>
        <v/>
      </c>
      <c r="AKN33" s="127">
        <f>SUM(AJL33:AKM33)</f>
        <v/>
      </c>
      <c r="AKO33" s="35">
        <f>AKO31-AKO32</f>
        <v/>
      </c>
      <c r="AKP33" s="35">
        <f>AKP31-AKP32</f>
        <v/>
      </c>
      <c r="AKQ33" s="35">
        <f>AKQ31-AKQ32</f>
        <v/>
      </c>
      <c r="AKR33" s="35">
        <f>AKR31-AKR32</f>
        <v/>
      </c>
      <c r="AKS33" s="35">
        <f>AKS31-AKS32</f>
        <v/>
      </c>
      <c r="AKT33" s="35">
        <f>AKT31-AKT32</f>
        <v/>
      </c>
      <c r="AKU33" s="35">
        <f>AKU31-AKU32</f>
        <v/>
      </c>
      <c r="AKV33" s="35">
        <f>AKV31-AKV32</f>
        <v/>
      </c>
      <c r="AKW33" s="35">
        <f>AKW31-AKW32</f>
        <v/>
      </c>
      <c r="AKX33" s="35">
        <f>AKX31-AKX32</f>
        <v/>
      </c>
      <c r="AKY33" s="35">
        <f>AKY31-AKY32</f>
        <v/>
      </c>
      <c r="AKZ33" s="35">
        <f>AKZ31-AKZ32</f>
        <v/>
      </c>
      <c r="ALA33" s="35">
        <f>ALA31-ALA32</f>
        <v/>
      </c>
      <c r="ALB33" s="35">
        <f>ALB31-ALB32</f>
        <v/>
      </c>
      <c r="ALC33" s="35">
        <f>ALC31-ALC32</f>
        <v/>
      </c>
      <c r="ALD33" s="35">
        <f>ALD31-ALD32</f>
        <v/>
      </c>
      <c r="ALE33" s="35">
        <f>ALE31-ALE32</f>
        <v/>
      </c>
      <c r="ALF33" s="35">
        <f>ALF31-ALF32</f>
        <v/>
      </c>
      <c r="ALG33" s="35">
        <f>ALG31-ALG32</f>
        <v/>
      </c>
      <c r="ALH33" s="35">
        <f>ALH31-ALH32</f>
        <v/>
      </c>
      <c r="ALI33" s="35">
        <f>ALI31-ALI32</f>
        <v/>
      </c>
      <c r="ALJ33" s="35">
        <f>ALJ31-ALJ32</f>
        <v/>
      </c>
      <c r="ALK33" s="35">
        <f>ALK31-ALK32</f>
        <v/>
      </c>
      <c r="ALL33" s="35">
        <f>ALL31-ALL32</f>
        <v/>
      </c>
      <c r="ALM33" s="35">
        <f>ALM31-ALM32</f>
        <v/>
      </c>
      <c r="ALN33" s="35">
        <f>ALN31-ALN32</f>
        <v/>
      </c>
      <c r="ALO33" s="35">
        <f>ALO31-ALO32</f>
        <v/>
      </c>
      <c r="ALP33" s="35">
        <f>ALP31-ALP32</f>
        <v/>
      </c>
      <c r="ALQ33" s="35">
        <f>ALQ31-ALQ32</f>
        <v/>
      </c>
      <c r="ALR33" s="35">
        <f>ALR31-ALR32</f>
        <v/>
      </c>
      <c r="ALS33" s="35">
        <f>ALS31-ALS32</f>
        <v/>
      </c>
      <c r="ALT33" s="127">
        <f>SUM(AKO33:ALS33)</f>
        <v/>
      </c>
      <c r="ALU33" s="35">
        <f>ALU31-ALU32</f>
        <v/>
      </c>
      <c r="ALV33" s="35">
        <f>ALV31-ALV32</f>
        <v/>
      </c>
      <c r="ALW33" s="35">
        <f>ALW31-ALW32</f>
        <v/>
      </c>
      <c r="ALX33" s="35">
        <f>ALX31-ALX32</f>
        <v/>
      </c>
      <c r="ALY33" s="35">
        <f>ALY31-ALY32</f>
        <v/>
      </c>
      <c r="ALZ33" s="35">
        <f>ALZ31-ALZ32</f>
        <v/>
      </c>
      <c r="AMA33" s="35">
        <f>AMA31-AMA32</f>
        <v/>
      </c>
      <c r="AMB33" s="35">
        <f>AMB31-AMB32</f>
        <v/>
      </c>
      <c r="AMC33" s="35">
        <f>AMC31-AMC32</f>
        <v/>
      </c>
      <c r="AMD33" s="35">
        <f>AMD31-AMD32</f>
        <v/>
      </c>
      <c r="AME33" s="35">
        <f>AME31-AME32</f>
        <v/>
      </c>
      <c r="AMF33" s="35">
        <f>AMF31-AMF32</f>
        <v/>
      </c>
      <c r="AMG33" s="35">
        <f>AMG31-AMG32</f>
        <v/>
      </c>
      <c r="AMH33" s="35">
        <f>AMH31-AMH32</f>
        <v/>
      </c>
      <c r="AMI33" s="35">
        <f>AMI31-AMI32</f>
        <v/>
      </c>
      <c r="AMJ33" s="35">
        <f>AMJ31-AMJ32</f>
        <v/>
      </c>
      <c r="AMK33" s="35">
        <f>AMK31-AMK32</f>
        <v/>
      </c>
      <c r="AML33" s="35">
        <f>AML31-AML32</f>
        <v/>
      </c>
      <c r="AMM33" s="35">
        <f>AMM31-AMM32</f>
        <v/>
      </c>
      <c r="AMN33" s="35">
        <f>AMN31-AMN32</f>
        <v/>
      </c>
      <c r="AMO33" s="35">
        <f>AMO31-AMO32</f>
        <v/>
      </c>
      <c r="AMP33" s="35">
        <f>AMP31-AMP32</f>
        <v/>
      </c>
      <c r="AMQ33" s="35">
        <f>AMQ31-AMQ32</f>
        <v/>
      </c>
      <c r="AMR33" s="35">
        <f>AMR31-AMR32</f>
        <v/>
      </c>
      <c r="AMS33" s="35">
        <f>AMS31-AMS32</f>
        <v/>
      </c>
      <c r="AMT33" s="35">
        <f>AMT31-AMT32</f>
        <v/>
      </c>
      <c r="AMU33" s="35">
        <f>AMU31-AMU32</f>
        <v/>
      </c>
      <c r="AMV33" s="35">
        <f>AMV31-AMV32</f>
        <v/>
      </c>
      <c r="AMW33" s="35">
        <f>AMW31-AMW32</f>
        <v/>
      </c>
      <c r="AMX33" s="35">
        <f>AMX31-AMX32</f>
        <v/>
      </c>
      <c r="AMY33" s="127">
        <f>SUM(ALU33:AMX33)</f>
        <v/>
      </c>
      <c r="AMZ33" s="35">
        <f>AMZ31-AMZ32</f>
        <v/>
      </c>
      <c r="ANA33" s="35">
        <f>ANA31-ANA32</f>
        <v/>
      </c>
      <c r="ANB33" s="35">
        <f>ANB31-ANB32</f>
        <v/>
      </c>
      <c r="ANC33" s="35">
        <f>ANC31-ANC32</f>
        <v/>
      </c>
      <c r="AND33" s="35">
        <f>AND31-AND32</f>
        <v/>
      </c>
      <c r="ANE33" s="35">
        <f>ANE31-ANE32</f>
        <v/>
      </c>
      <c r="ANF33" s="35">
        <f>ANF31-ANF32</f>
        <v/>
      </c>
      <c r="ANG33" s="35">
        <f>ANG31-ANG32</f>
        <v/>
      </c>
      <c r="ANH33" s="35">
        <f>ANH31-ANH32</f>
        <v/>
      </c>
      <c r="ANI33" s="35">
        <f>ANI31-ANI32</f>
        <v/>
      </c>
      <c r="ANJ33" s="35">
        <f>ANJ31-ANJ32</f>
        <v/>
      </c>
      <c r="ANK33" s="35">
        <f>ANK31-ANK32</f>
        <v/>
      </c>
      <c r="ANL33" s="35">
        <f>ANL31-ANL32</f>
        <v/>
      </c>
      <c r="ANM33" s="35">
        <f>ANM31-ANM32</f>
        <v/>
      </c>
      <c r="ANN33" s="35">
        <f>ANN31-ANN32</f>
        <v/>
      </c>
      <c r="ANO33" s="35">
        <f>ANO31-ANO32</f>
        <v/>
      </c>
      <c r="ANP33" s="35">
        <f>ANP31-ANP32</f>
        <v/>
      </c>
      <c r="ANQ33" s="35">
        <f>ANQ31-ANQ32</f>
        <v/>
      </c>
      <c r="ANR33" s="35">
        <f>ANR31-ANR32</f>
        <v/>
      </c>
      <c r="ANS33" s="35">
        <f>ANS31-ANS32</f>
        <v/>
      </c>
      <c r="ANT33" s="35">
        <f>ANT31-ANT32</f>
        <v/>
      </c>
      <c r="ANU33" s="35">
        <f>ANU31-ANU32</f>
        <v/>
      </c>
      <c r="ANV33" s="35">
        <f>ANV31-ANV32</f>
        <v/>
      </c>
      <c r="ANW33" s="35">
        <f>ANW31-ANW32</f>
        <v/>
      </c>
      <c r="ANX33" s="35">
        <f>ANX31-ANX32</f>
        <v/>
      </c>
      <c r="ANY33" s="35">
        <f>ANY31-ANY32</f>
        <v/>
      </c>
      <c r="ANZ33" s="35">
        <f>ANZ31-ANZ32</f>
        <v/>
      </c>
      <c r="AOA33" s="35">
        <f>AOA31-AOA32</f>
        <v/>
      </c>
      <c r="AOB33" s="35">
        <f>AOB31-AOB32</f>
        <v/>
      </c>
      <c r="AOC33" s="35">
        <f>AOC31-AOC32</f>
        <v/>
      </c>
    </row>
    <row r="34">
      <c r="B34" s="5" t="inlineStr">
        <is>
          <t>DIPPING</t>
        </is>
      </c>
      <c r="C34" s="20" t="n">
        <v>14780</v>
      </c>
      <c r="D34" s="20" t="n">
        <v>12200</v>
      </c>
      <c r="E34" s="20" t="n">
        <v>9726</v>
      </c>
      <c r="F34" s="20" t="n">
        <v>7052</v>
      </c>
      <c r="G34" s="20" t="n">
        <v>12305.26</v>
      </c>
      <c r="H34" s="20" t="n">
        <v>9347.360000000001</v>
      </c>
      <c r="I34" s="20" t="n">
        <v>6836.36</v>
      </c>
      <c r="J34" s="20" t="n">
        <v>4760</v>
      </c>
      <c r="K34" s="20" t="n">
        <v>16495</v>
      </c>
      <c r="L34" s="20" t="n">
        <v>14155</v>
      </c>
      <c r="M34" s="20" t="n">
        <v>11777</v>
      </c>
      <c r="N34" s="20" t="n">
        <v>9011</v>
      </c>
      <c r="O34" s="20" t="n">
        <v>6588</v>
      </c>
      <c r="P34" s="20" t="n">
        <v>3870</v>
      </c>
      <c r="Q34" s="20" t="n">
        <v>14610</v>
      </c>
      <c r="R34" s="20" t="n">
        <v>12187</v>
      </c>
      <c r="S34" s="20" t="n">
        <v>9800</v>
      </c>
      <c r="T34" s="20" t="n">
        <v>6963</v>
      </c>
      <c r="U34" s="20" t="n">
        <v>4561</v>
      </c>
      <c r="V34" s="20" t="n">
        <v>2483</v>
      </c>
      <c r="W34" s="20" t="n">
        <v>17391</v>
      </c>
      <c r="X34" s="20" t="n">
        <v>15300</v>
      </c>
      <c r="Y34" s="20" t="n">
        <v>13042</v>
      </c>
      <c r="Z34" s="20" t="n">
        <v>10722</v>
      </c>
      <c r="AA34" s="20" t="n">
        <v>7950</v>
      </c>
      <c r="AB34" s="20" t="n">
        <v>15094</v>
      </c>
      <c r="AC34" s="20" t="n">
        <v>12536</v>
      </c>
      <c r="AD34" s="20" t="n">
        <v>10390</v>
      </c>
      <c r="AE34" s="20" t="n">
        <v>8270</v>
      </c>
      <c r="AF34" s="20" t="n">
        <v>6130</v>
      </c>
      <c r="AG34" s="20" t="n">
        <v>3643</v>
      </c>
      <c r="AH34" s="94">
        <f>SUM(C34:AG34)</f>
        <v/>
      </c>
      <c r="AI34" s="20" t="n">
        <v>675</v>
      </c>
      <c r="AJ34" s="20" t="n">
        <v>10933</v>
      </c>
      <c r="AK34" s="20" t="n">
        <v>8352</v>
      </c>
      <c r="AL34" s="20" t="n">
        <v>5883</v>
      </c>
      <c r="AM34" s="20" t="n">
        <v>3443</v>
      </c>
      <c r="AN34" s="20" t="n">
        <v>13552</v>
      </c>
      <c r="AO34" s="20" t="n">
        <v>10144</v>
      </c>
      <c r="AP34" s="20" t="n">
        <v>7166</v>
      </c>
      <c r="AQ34" s="20" t="n">
        <v>4567</v>
      </c>
      <c r="AR34" s="20" t="n">
        <v>2408</v>
      </c>
      <c r="AS34" s="20" t="n">
        <v>354</v>
      </c>
      <c r="AT34" s="20" t="n">
        <v>8776</v>
      </c>
      <c r="AU34" s="20" t="n">
        <v>7830</v>
      </c>
      <c r="AV34" s="20" t="n">
        <v>17666</v>
      </c>
      <c r="AW34" s="20" t="n">
        <v>15518</v>
      </c>
      <c r="AX34" s="20" t="n">
        <v>13294</v>
      </c>
      <c r="AY34" s="20" t="n">
        <v>11300</v>
      </c>
      <c r="AZ34" s="20" t="n">
        <v>9144</v>
      </c>
      <c r="BA34" s="20" t="n">
        <v>7305</v>
      </c>
      <c r="BB34" s="20" t="n">
        <v>14273</v>
      </c>
      <c r="BC34" s="20" t="n">
        <v>12357</v>
      </c>
      <c r="BD34" s="20" t="n">
        <v>10033</v>
      </c>
      <c r="BE34" s="20" t="n">
        <v>7800</v>
      </c>
      <c r="BF34" s="20" t="n">
        <v>5855</v>
      </c>
      <c r="BG34" s="20" t="n">
        <v>3831</v>
      </c>
      <c r="BH34" s="20" t="n">
        <v>17808</v>
      </c>
      <c r="BI34" s="20" t="n">
        <v>15809</v>
      </c>
      <c r="BJ34" s="20" t="n">
        <v>13977</v>
      </c>
      <c r="BK34" s="20" t="n">
        <v>11960</v>
      </c>
      <c r="BL34" s="20" t="n">
        <v>9747</v>
      </c>
      <c r="BM34" s="97">
        <f>SUM(AI34:BL34)</f>
        <v/>
      </c>
      <c r="BN34" s="20" t="n">
        <v>16652</v>
      </c>
      <c r="BO34" s="20" t="n">
        <v>14631</v>
      </c>
      <c r="BP34" s="20" t="n">
        <v>12623</v>
      </c>
      <c r="BQ34" s="20" t="n">
        <v>10741</v>
      </c>
      <c r="BR34" s="20" t="n">
        <v>8960</v>
      </c>
      <c r="BS34" s="20" t="n">
        <v>6852</v>
      </c>
      <c r="BT34" s="20" t="n">
        <v>15084</v>
      </c>
      <c r="BU34" s="20" t="n">
        <v>13000</v>
      </c>
      <c r="BV34" s="20" t="n">
        <v>11063</v>
      </c>
      <c r="BW34" s="20" t="n">
        <v>9294</v>
      </c>
      <c r="BX34" s="20" t="n">
        <v>7575</v>
      </c>
      <c r="BY34" s="20" t="n">
        <v>5768</v>
      </c>
      <c r="BZ34" s="20" t="n">
        <v>3713</v>
      </c>
      <c r="CA34" s="20" t="n">
        <v>11576</v>
      </c>
      <c r="CB34" s="20" t="n">
        <v>9609</v>
      </c>
      <c r="CC34" s="20" t="n">
        <v>7722</v>
      </c>
      <c r="CD34" s="20" t="n">
        <v>5726</v>
      </c>
      <c r="CE34" s="20" t="n">
        <v>9929</v>
      </c>
      <c r="CF34" s="20" t="n">
        <v>8164</v>
      </c>
      <c r="CG34" s="20" t="n">
        <v>6262</v>
      </c>
      <c r="CH34" s="20" t="n">
        <v>17200</v>
      </c>
      <c r="CI34" s="20" t="n">
        <v>15136</v>
      </c>
      <c r="CJ34" s="20" t="n">
        <v>13357</v>
      </c>
      <c r="CK34" s="20" t="n">
        <v>11423</v>
      </c>
      <c r="CL34" s="20" t="n">
        <v>9586</v>
      </c>
      <c r="CM34" s="20" t="n">
        <v>7711</v>
      </c>
      <c r="CN34" s="20" t="n">
        <v>5737</v>
      </c>
      <c r="CO34" s="20" t="n">
        <v>11482</v>
      </c>
      <c r="CP34" s="20" t="n">
        <v>9600</v>
      </c>
      <c r="CQ34" s="20" t="n">
        <v>7635</v>
      </c>
      <c r="CR34" s="20" t="n">
        <v>5778</v>
      </c>
      <c r="CS34" s="111">
        <f>SUM(BN34:CR34)</f>
        <v/>
      </c>
      <c r="CT34" s="20" t="n">
        <v>3800</v>
      </c>
      <c r="CU34" s="20" t="n">
        <v>13867</v>
      </c>
      <c r="CV34" s="20" t="n">
        <v>11850</v>
      </c>
      <c r="CW34" s="20" t="n">
        <v>9263</v>
      </c>
      <c r="CX34" s="20" t="n">
        <v>7063</v>
      </c>
      <c r="CY34" s="20" t="n">
        <v>5109</v>
      </c>
      <c r="CZ34" s="20" t="n">
        <v>12062</v>
      </c>
      <c r="DA34" s="20" t="n">
        <v>10136</v>
      </c>
      <c r="DB34" s="20" t="n">
        <v>8082</v>
      </c>
      <c r="DC34" s="20" t="n">
        <v>5944</v>
      </c>
      <c r="DD34" s="20" t="n">
        <v>14694</v>
      </c>
      <c r="DE34" s="20" t="n">
        <v>12812</v>
      </c>
      <c r="DF34" s="20" t="n">
        <v>11000</v>
      </c>
      <c r="DG34" s="20" t="n">
        <v>8920</v>
      </c>
      <c r="DH34" s="20" t="n">
        <v>7092</v>
      </c>
      <c r="DI34" s="20" t="n">
        <v>18843</v>
      </c>
      <c r="DJ34" s="20" t="n">
        <v>17509</v>
      </c>
      <c r="DK34" s="20" t="n">
        <v>15655</v>
      </c>
      <c r="DL34" s="20" t="n">
        <v>14055</v>
      </c>
      <c r="DM34" s="20" t="n">
        <v>12347</v>
      </c>
      <c r="DN34" s="20" t="n">
        <v>10920</v>
      </c>
      <c r="DO34" s="20" t="n">
        <v>9133</v>
      </c>
      <c r="DP34" s="20" t="n">
        <v>7270</v>
      </c>
      <c r="DQ34" s="20" t="n">
        <v>14400</v>
      </c>
      <c r="DR34" s="20" t="n">
        <v>12326</v>
      </c>
      <c r="DS34" s="20" t="n">
        <v>10600</v>
      </c>
      <c r="DT34" s="20" t="n">
        <v>9021</v>
      </c>
      <c r="DU34" s="20" t="n">
        <v>7562</v>
      </c>
      <c r="DV34" s="20" t="n">
        <v>6200</v>
      </c>
      <c r="DW34" s="20" t="n">
        <v>4503</v>
      </c>
      <c r="DX34" s="119" t="n"/>
      <c r="DY34" s="20" t="n">
        <v>2491</v>
      </c>
      <c r="DZ34" s="20" t="n">
        <v>775</v>
      </c>
      <c r="EA34" s="20" t="n">
        <v>9242</v>
      </c>
      <c r="EB34" s="20" t="n">
        <v>7766</v>
      </c>
      <c r="EC34" s="20" t="n">
        <v>6200</v>
      </c>
      <c r="ED34" s="20" t="n">
        <v>4509</v>
      </c>
      <c r="EE34" s="20" t="n">
        <v>9811</v>
      </c>
      <c r="EF34" s="20" t="n">
        <v>7930</v>
      </c>
      <c r="EG34" s="20" t="n">
        <v>5757</v>
      </c>
      <c r="EH34" s="20" t="n">
        <v>3733</v>
      </c>
      <c r="EI34" s="20" t="n">
        <v>13955</v>
      </c>
      <c r="EJ34" s="20" t="n">
        <v>11930</v>
      </c>
      <c r="EK34" s="20" t="n">
        <v>10011</v>
      </c>
      <c r="EL34" s="20" t="n">
        <v>8176</v>
      </c>
      <c r="EM34" s="20" t="n">
        <v>14770</v>
      </c>
      <c r="EN34" s="20" t="n">
        <v>12315</v>
      </c>
      <c r="EO34" s="20" t="n">
        <v>10270</v>
      </c>
      <c r="EP34" s="20" t="n">
        <v>7970</v>
      </c>
      <c r="EQ34" s="20" t="n">
        <v>17130</v>
      </c>
      <c r="ER34" s="20" t="n">
        <v>14877</v>
      </c>
      <c r="ES34" s="20" t="n">
        <v>12455</v>
      </c>
      <c r="ET34" s="20" t="n">
        <v>9655</v>
      </c>
      <c r="EU34" s="20" t="n">
        <v>16800</v>
      </c>
      <c r="EV34" s="20" t="n">
        <v>14210</v>
      </c>
      <c r="EW34" s="20" t="n">
        <v>12305</v>
      </c>
      <c r="EX34" s="20" t="n">
        <v>10733</v>
      </c>
      <c r="EY34" s="20" t="n">
        <v>8970</v>
      </c>
      <c r="EZ34" s="20" t="n">
        <v>18104</v>
      </c>
      <c r="FA34" s="20" t="n">
        <v>16104</v>
      </c>
      <c r="FB34" s="20" t="n">
        <v>14200</v>
      </c>
      <c r="FC34" s="20" t="n">
        <v>12062</v>
      </c>
      <c r="FD34" s="128" t="n"/>
      <c r="FE34" s="20" t="n">
        <v>10230</v>
      </c>
      <c r="FF34" s="20" t="n">
        <v>8270</v>
      </c>
      <c r="FG34" s="20" t="n">
        <v>6700</v>
      </c>
      <c r="FH34" s="20" t="n">
        <v>4680</v>
      </c>
      <c r="FI34" s="20" t="n">
        <v>2678</v>
      </c>
      <c r="FJ34" s="20" t="n">
        <v>14715</v>
      </c>
      <c r="FK34" s="20" t="n">
        <v>12821</v>
      </c>
      <c r="FL34" s="20" t="n">
        <v>10813</v>
      </c>
      <c r="FM34" s="20" t="n">
        <v>8920</v>
      </c>
      <c r="FN34" s="20" t="n">
        <v>7077</v>
      </c>
      <c r="FO34" s="20" t="n">
        <v>17234</v>
      </c>
      <c r="FP34" s="20" t="n">
        <v>15350</v>
      </c>
      <c r="FQ34" s="20" t="n">
        <v>13284</v>
      </c>
      <c r="FR34" s="20" t="n">
        <v>11564</v>
      </c>
      <c r="FS34" s="20" t="n">
        <v>9988</v>
      </c>
      <c r="FT34" s="20" t="n">
        <v>8117</v>
      </c>
      <c r="FU34" s="20" t="n">
        <v>17590</v>
      </c>
      <c r="FV34" s="20" t="n">
        <v>15866</v>
      </c>
      <c r="FW34" s="20" t="n">
        <v>13844</v>
      </c>
      <c r="FX34" s="20" t="n">
        <v>11666</v>
      </c>
      <c r="FY34" s="20" t="n">
        <v>9768</v>
      </c>
      <c r="FZ34" s="20" t="n">
        <v>8105</v>
      </c>
      <c r="GA34" s="20" t="n">
        <v>6271</v>
      </c>
      <c r="GB34" s="20" t="n">
        <v>16552</v>
      </c>
      <c r="GC34" s="20" t="n">
        <v>14326</v>
      </c>
      <c r="GD34" s="20" t="n">
        <v>12347</v>
      </c>
      <c r="GE34" s="20" t="n">
        <v>10633</v>
      </c>
      <c r="GF34" s="20" t="n">
        <v>8890</v>
      </c>
      <c r="GG34" s="20" t="n">
        <v>6827</v>
      </c>
      <c r="GH34" s="20" t="n">
        <v>5109</v>
      </c>
      <c r="GI34" s="20" t="n">
        <v>14263</v>
      </c>
      <c r="GJ34" s="127">
        <f>SUM(FE34:GI34)</f>
        <v/>
      </c>
      <c r="GK34" s="20" t="n">
        <v>12431</v>
      </c>
      <c r="GL34" s="20" t="n">
        <v>10505</v>
      </c>
      <c r="GM34" s="20" t="n">
        <v>7870</v>
      </c>
      <c r="GN34" s="20" t="n">
        <v>5557</v>
      </c>
      <c r="GO34" s="20" t="n">
        <v>3469</v>
      </c>
      <c r="GP34" s="20" t="n">
        <v>11212</v>
      </c>
      <c r="GQ34" s="20" t="n">
        <v>8870</v>
      </c>
      <c r="GR34" s="20" t="n">
        <v>6869</v>
      </c>
      <c r="GS34" s="20" t="n">
        <v>4831</v>
      </c>
      <c r="GT34" s="20" t="n">
        <v>14866</v>
      </c>
      <c r="GU34" s="20" t="n">
        <v>12955</v>
      </c>
      <c r="GV34" s="20" t="n">
        <v>11000</v>
      </c>
      <c r="GW34" s="20" t="n">
        <v>8810</v>
      </c>
      <c r="GX34" s="20" t="n">
        <v>6809</v>
      </c>
      <c r="GY34" s="20" t="n">
        <v>5027</v>
      </c>
      <c r="GZ34" s="20" t="n">
        <v>16090</v>
      </c>
      <c r="HA34" s="20" t="n">
        <v>14022</v>
      </c>
      <c r="HB34" s="20" t="n">
        <v>12252</v>
      </c>
      <c r="HC34" s="20" t="n">
        <v>10535</v>
      </c>
      <c r="HD34" s="20" t="n">
        <v>8444</v>
      </c>
      <c r="HE34" s="20" t="n">
        <v>6578</v>
      </c>
      <c r="HF34" s="20" t="n">
        <v>4703</v>
      </c>
      <c r="HG34" s="20" t="n">
        <v>15744</v>
      </c>
      <c r="HH34" s="20" t="n">
        <v>13811</v>
      </c>
      <c r="HI34" s="20" t="n">
        <v>12336</v>
      </c>
      <c r="HJ34" s="20" t="n">
        <v>10347</v>
      </c>
      <c r="HK34" s="20" t="n">
        <v>8552</v>
      </c>
      <c r="HL34" s="20" t="n">
        <v>16715</v>
      </c>
      <c r="HM34" s="20" t="n">
        <v>14684.21</v>
      </c>
      <c r="HN34" s="127">
        <f>SUM(GK34:HM34)</f>
        <v/>
      </c>
      <c r="HO34" s="20" t="n">
        <v>12411</v>
      </c>
      <c r="HP34" s="20" t="n">
        <v>10105</v>
      </c>
      <c r="HQ34" s="20" t="n">
        <v>7894</v>
      </c>
      <c r="HR34" s="20" t="n">
        <v>5778</v>
      </c>
      <c r="HS34" s="20" t="n">
        <v>15600</v>
      </c>
      <c r="HT34" s="20" t="n">
        <v>13566</v>
      </c>
      <c r="HU34" s="20" t="n">
        <v>11200</v>
      </c>
      <c r="HV34" s="20" t="n">
        <v>9111</v>
      </c>
      <c r="HW34" s="20" t="n">
        <v>7122</v>
      </c>
      <c r="HX34" s="20" t="n">
        <v>5252</v>
      </c>
      <c r="HY34" s="20" t="n">
        <v>15178</v>
      </c>
      <c r="HZ34" s="20" t="n">
        <v>13422</v>
      </c>
      <c r="IA34" s="20" t="n">
        <v>11810</v>
      </c>
      <c r="IB34" s="20" t="n">
        <v>10220</v>
      </c>
      <c r="IC34" s="20" t="n">
        <v>8129</v>
      </c>
      <c r="ID34" s="20" t="n">
        <v>18113</v>
      </c>
      <c r="IE34" s="20" t="n">
        <v>16277</v>
      </c>
      <c r="IF34" s="20" t="n">
        <v>14255</v>
      </c>
      <c r="IG34" s="20" t="n">
        <v>12433</v>
      </c>
      <c r="IH34" s="20" t="n">
        <v>10588</v>
      </c>
      <c r="II34" s="20" t="n">
        <v>8940</v>
      </c>
      <c r="IJ34" s="20" t="n">
        <v>6918</v>
      </c>
      <c r="IK34" s="20" t="n">
        <v>14833</v>
      </c>
      <c r="IL34" s="20" t="n">
        <v>13042</v>
      </c>
      <c r="IM34" s="20" t="n">
        <v>11126</v>
      </c>
      <c r="IN34" s="20" t="n">
        <v>9466</v>
      </c>
      <c r="IO34" s="20" t="n">
        <v>7575</v>
      </c>
      <c r="IP34" s="20" t="n">
        <v>5736</v>
      </c>
      <c r="IQ34" s="20" t="n">
        <v>16981</v>
      </c>
      <c r="IR34" s="20" t="n">
        <v>15063</v>
      </c>
      <c r="IS34" s="20" t="n">
        <v>13688</v>
      </c>
      <c r="IT34" s="127">
        <f>SUM(HO34:IS34)</f>
        <v/>
      </c>
      <c r="IU34" s="20" t="n">
        <v>12242</v>
      </c>
      <c r="IV34" s="20" t="n">
        <v>10350</v>
      </c>
      <c r="IW34" s="20" t="n">
        <v>8717</v>
      </c>
      <c r="IX34" s="20" t="n">
        <v>7022</v>
      </c>
      <c r="IY34" s="20" t="n">
        <v>5200</v>
      </c>
      <c r="IZ34" s="20" t="n">
        <v>3120</v>
      </c>
      <c r="JA34" s="20" t="n">
        <v>13358</v>
      </c>
      <c r="JB34" s="20" t="n">
        <v>11517</v>
      </c>
      <c r="JC34" s="20" t="n">
        <v>9922</v>
      </c>
      <c r="JD34" s="20" t="n">
        <v>7950</v>
      </c>
      <c r="JE34" s="20" t="n">
        <v>6362</v>
      </c>
      <c r="JF34" s="20" t="n">
        <v>4580</v>
      </c>
      <c r="JG34" s="20" t="n">
        <v>2885</v>
      </c>
      <c r="JH34" s="20" t="n">
        <v>13389</v>
      </c>
      <c r="JI34" s="20" t="n">
        <v>11505</v>
      </c>
      <c r="JJ34" s="20" t="n">
        <v>9855</v>
      </c>
      <c r="JK34" s="20" t="n">
        <v>8317</v>
      </c>
      <c r="JL34" s="20" t="n">
        <v>6755</v>
      </c>
      <c r="JM34" s="20" t="n">
        <v>4907</v>
      </c>
      <c r="JN34" s="20" t="n">
        <v>16221</v>
      </c>
      <c r="JO34" s="20" t="n">
        <v>14789</v>
      </c>
      <c r="JP34" s="20" t="n">
        <v>13042</v>
      </c>
      <c r="JQ34" s="20" t="n">
        <v>11576</v>
      </c>
      <c r="JR34" s="20" t="n">
        <v>9822</v>
      </c>
      <c r="JS34" s="20" t="n">
        <v>8117</v>
      </c>
      <c r="JT34" s="20" t="n">
        <v>6121</v>
      </c>
      <c r="JU34" s="20" t="n">
        <v>3626</v>
      </c>
      <c r="JV34" s="20" t="n">
        <v>12729</v>
      </c>
      <c r="JW34" s="20" t="n">
        <v>11157</v>
      </c>
      <c r="JX34" s="20" t="n">
        <v>9388</v>
      </c>
      <c r="JY34" s="127">
        <f>SUM(IU34:JX34)</f>
        <v/>
      </c>
      <c r="JZ34" s="20" t="n">
        <v>7655</v>
      </c>
      <c r="KA34" s="20" t="n">
        <v>5800</v>
      </c>
      <c r="KB34" s="20" t="n">
        <v>4123</v>
      </c>
      <c r="KC34" s="20" t="n">
        <v>12175</v>
      </c>
      <c r="KD34" s="20" t="n">
        <v>10290</v>
      </c>
      <c r="KE34" s="20" t="n">
        <v>8511</v>
      </c>
      <c r="KF34" s="20" t="n">
        <v>6666</v>
      </c>
      <c r="KG34" s="20" t="n">
        <v>5127</v>
      </c>
      <c r="KH34" s="20" t="n">
        <v>3341</v>
      </c>
      <c r="KI34" s="20" t="n">
        <v>16447</v>
      </c>
      <c r="KJ34" s="20" t="n">
        <v>14455</v>
      </c>
      <c r="KK34" s="20" t="n">
        <v>12682</v>
      </c>
      <c r="KL34" s="20" t="n">
        <v>10666</v>
      </c>
      <c r="KM34" s="20" t="n">
        <v>9010</v>
      </c>
      <c r="KN34" s="20" t="n">
        <v>7475</v>
      </c>
      <c r="KO34" s="20" t="n">
        <v>5705</v>
      </c>
      <c r="KP34" s="20" t="n">
        <v>4047</v>
      </c>
      <c r="KQ34" s="20" t="n">
        <v>2272</v>
      </c>
      <c r="KR34" s="20" t="n">
        <v>10494</v>
      </c>
      <c r="KS34" s="20" t="n">
        <v>8588</v>
      </c>
      <c r="KT34" s="20" t="n">
        <v>10128</v>
      </c>
      <c r="KU34" s="20" t="n">
        <v>14455</v>
      </c>
      <c r="KV34" s="20" t="n">
        <v>12623</v>
      </c>
      <c r="KW34" s="20" t="n">
        <v>10611</v>
      </c>
      <c r="KX34" s="20" t="n">
        <v>16827</v>
      </c>
      <c r="KY34" s="20" t="n">
        <v>14900</v>
      </c>
      <c r="KZ34" s="20" t="n">
        <v>13052</v>
      </c>
      <c r="LA34" s="20" t="n">
        <v>11262</v>
      </c>
      <c r="LB34" s="20" t="n">
        <v>9546</v>
      </c>
      <c r="LC34" s="20" t="n">
        <v>16715</v>
      </c>
      <c r="LD34" s="20" t="n">
        <v>14477</v>
      </c>
      <c r="LE34" s="127">
        <f>SUM(KA34:LD34)</f>
        <v/>
      </c>
      <c r="LF34" s="20" t="n">
        <v>12050</v>
      </c>
      <c r="LG34" s="20" t="n">
        <v>10200</v>
      </c>
      <c r="LH34" s="20" t="n">
        <v>8070</v>
      </c>
      <c r="LI34" s="20" t="n">
        <v>5855</v>
      </c>
      <c r="LJ34" s="20" t="n">
        <v>4060</v>
      </c>
      <c r="LK34" s="20" t="n">
        <v>14177</v>
      </c>
      <c r="LL34" s="20" t="n">
        <v>11960</v>
      </c>
      <c r="LM34" s="20" t="n">
        <v>9380</v>
      </c>
      <c r="LN34" s="20" t="n">
        <v>7364</v>
      </c>
      <c r="LO34" s="20" t="n">
        <v>5326</v>
      </c>
      <c r="LP34" s="20" t="n">
        <v>13357</v>
      </c>
      <c r="LQ34" s="20" t="n">
        <v>11529</v>
      </c>
      <c r="LR34" s="20" t="n">
        <v>9655</v>
      </c>
      <c r="LS34" s="20" t="n">
        <v>15472</v>
      </c>
      <c r="LT34" s="20" t="n">
        <v>12933</v>
      </c>
      <c r="LU34" s="20" t="n">
        <v>10893</v>
      </c>
      <c r="LV34" s="20" t="n">
        <v>9088</v>
      </c>
      <c r="LW34" s="20" t="n">
        <v>7044</v>
      </c>
      <c r="LX34" s="20" t="n">
        <v>5231</v>
      </c>
      <c r="LY34" s="20" t="n">
        <v>3235</v>
      </c>
      <c r="LZ34" s="20" t="n">
        <v>12137</v>
      </c>
      <c r="MA34" s="20" t="n">
        <v>10133</v>
      </c>
      <c r="MB34" s="20" t="n">
        <v>8070</v>
      </c>
      <c r="MC34" s="20" t="n">
        <v>5811</v>
      </c>
      <c r="MD34" s="20" t="n">
        <v>4066</v>
      </c>
      <c r="ME34" s="20" t="n">
        <v>2172</v>
      </c>
      <c r="MF34" s="20" t="n">
        <v>13577</v>
      </c>
      <c r="MG34" s="20" t="n">
        <v>11655</v>
      </c>
      <c r="MH34" s="20" t="n">
        <v>9663</v>
      </c>
      <c r="MI34" s="20" t="n">
        <v>16809</v>
      </c>
      <c r="MJ34" s="127">
        <f>SUM(LF34:MI34)</f>
        <v/>
      </c>
      <c r="MK34" s="20" t="n">
        <v>14631</v>
      </c>
      <c r="ML34" s="20" t="n">
        <v>12729</v>
      </c>
      <c r="MM34" s="20" t="n">
        <v>10946</v>
      </c>
      <c r="MN34" s="20" t="n">
        <v>9111</v>
      </c>
      <c r="MO34" s="20" t="n">
        <v>7066</v>
      </c>
      <c r="MP34" s="20" t="n">
        <v>13000</v>
      </c>
      <c r="MQ34" s="20" t="n">
        <v>12955</v>
      </c>
      <c r="MR34" s="20" t="n">
        <v>11094</v>
      </c>
      <c r="MS34" s="20" t="n">
        <v>9350</v>
      </c>
      <c r="MT34" s="20" t="n">
        <v>7820</v>
      </c>
      <c r="MU34" s="20" t="n">
        <v>6050</v>
      </c>
      <c r="MV34" s="20" t="n">
        <v>17933</v>
      </c>
      <c r="MW34" s="20" t="n">
        <v>15490</v>
      </c>
      <c r="MX34" s="20" t="n">
        <v>14033</v>
      </c>
      <c r="MY34" s="20" t="n">
        <v>12389</v>
      </c>
      <c r="MZ34" s="20" t="n">
        <v>10350</v>
      </c>
      <c r="NA34" s="20" t="n">
        <v>8705</v>
      </c>
      <c r="NB34" s="20" t="n">
        <v>6722</v>
      </c>
      <c r="NC34" s="20" t="n">
        <v>4863</v>
      </c>
      <c r="ND34" s="20" t="n">
        <v>2847</v>
      </c>
      <c r="NE34" s="20" t="n">
        <v>11387</v>
      </c>
      <c r="NF34" s="20" t="n">
        <v>9673</v>
      </c>
      <c r="NG34" s="20" t="n">
        <v>8141</v>
      </c>
      <c r="NH34" s="20" t="n">
        <v>6575</v>
      </c>
      <c r="NI34" s="20" t="n">
        <v>16652</v>
      </c>
      <c r="NJ34" s="20" t="n">
        <v>14768</v>
      </c>
      <c r="NK34" s="20" t="n">
        <v>12463</v>
      </c>
      <c r="NL34" s="20" t="n">
        <v>11042</v>
      </c>
      <c r="NM34" s="20" t="n">
        <v>9088</v>
      </c>
      <c r="NN34" s="20" t="n">
        <v>7317</v>
      </c>
      <c r="NO34" s="20" t="n">
        <v>15866</v>
      </c>
      <c r="NP34" s="127">
        <f>SUM(ML34:NO34)</f>
        <v/>
      </c>
      <c r="NQ34" s="20" t="n">
        <v>14077</v>
      </c>
      <c r="NR34" s="20" t="n">
        <v>12315</v>
      </c>
      <c r="NS34" s="20" t="n">
        <v>10155</v>
      </c>
      <c r="NT34" s="20" t="n">
        <v>8400</v>
      </c>
      <c r="NU34" s="20" t="n">
        <v>6526</v>
      </c>
      <c r="NV34" s="20" t="n">
        <v>4336</v>
      </c>
      <c r="NW34" s="20" t="n">
        <v>12555</v>
      </c>
      <c r="NX34" s="20" t="n">
        <v>10666</v>
      </c>
      <c r="NY34" s="20" t="n">
        <v>8577</v>
      </c>
      <c r="NZ34" s="20" t="n">
        <v>6484</v>
      </c>
      <c r="OA34" s="20" t="n">
        <v>14663</v>
      </c>
      <c r="OB34" s="20" t="n">
        <v>12855</v>
      </c>
      <c r="OC34" s="20" t="n">
        <v>10973</v>
      </c>
      <c r="OD34" s="20" t="n">
        <v>8990</v>
      </c>
      <c r="OE34" s="20" t="n">
        <v>7066</v>
      </c>
      <c r="OF34" s="20" t="n">
        <v>13988</v>
      </c>
      <c r="OG34" s="20" t="n">
        <v>11870</v>
      </c>
      <c r="OH34" s="20" t="n">
        <v>10094</v>
      </c>
      <c r="OI34" s="20" t="n">
        <v>8094</v>
      </c>
      <c r="OJ34" s="20" t="n">
        <v>6287</v>
      </c>
      <c r="OK34" s="20" t="n">
        <v>16523</v>
      </c>
      <c r="OL34" s="20" t="n">
        <v>14600</v>
      </c>
      <c r="OM34" s="20" t="n">
        <v>12822</v>
      </c>
      <c r="ON34" s="20" t="n">
        <v>10764</v>
      </c>
      <c r="OO34" s="20" t="n">
        <v>9378</v>
      </c>
      <c r="OP34" s="20" t="n">
        <v>7600</v>
      </c>
      <c r="OQ34" s="20" t="n">
        <v>5715</v>
      </c>
      <c r="OR34" s="20" t="n">
        <v>4123</v>
      </c>
      <c r="OS34" s="20" t="n">
        <v>2172</v>
      </c>
      <c r="OT34" s="20" t="n">
        <v>12294</v>
      </c>
      <c r="OU34" s="20" t="n">
        <v>10176</v>
      </c>
      <c r="OV34" s="127">
        <f>SUM(NR34:OU34)</f>
        <v/>
      </c>
      <c r="OW34" s="20" t="n">
        <v>8477</v>
      </c>
      <c r="OX34" s="20" t="n">
        <v>6547</v>
      </c>
      <c r="OY34" s="20" t="n">
        <v>4676</v>
      </c>
      <c r="OZ34" s="20" t="n">
        <v>15800</v>
      </c>
      <c r="PA34" s="20" t="n">
        <v>13975</v>
      </c>
      <c r="PB34" s="20" t="n">
        <v>12012</v>
      </c>
      <c r="PC34" s="20" t="n">
        <v>9988</v>
      </c>
      <c r="PD34" s="20" t="n">
        <v>8258</v>
      </c>
      <c r="PE34" s="20" t="n">
        <v>6180</v>
      </c>
      <c r="PF34" s="20" t="n">
        <v>4438</v>
      </c>
      <c r="PG34" s="20" t="n">
        <v>8840</v>
      </c>
      <c r="PH34" s="20" t="n">
        <v>7249</v>
      </c>
      <c r="PI34" s="20" t="n">
        <v>5112</v>
      </c>
      <c r="PJ34" s="20" t="n">
        <v>15021</v>
      </c>
      <c r="PK34" s="20" t="n">
        <v>13455</v>
      </c>
      <c r="PL34" s="20" t="n">
        <v>11482</v>
      </c>
      <c r="PM34" s="20" t="n">
        <v>9705</v>
      </c>
      <c r="PN34" s="20" t="n">
        <v>8033</v>
      </c>
      <c r="PO34" s="20" t="n">
        <v>6494</v>
      </c>
      <c r="PP34" s="20" t="n">
        <v>4852</v>
      </c>
      <c r="PQ34" s="20" t="n">
        <v>15330</v>
      </c>
      <c r="PR34" s="20" t="n">
        <v>13955</v>
      </c>
      <c r="PS34" s="20" t="n">
        <v>12389</v>
      </c>
      <c r="PT34" s="20" t="n">
        <v>10688</v>
      </c>
      <c r="PU34" s="20" t="n">
        <v>9315</v>
      </c>
      <c r="PV34" s="20" t="n">
        <v>7990</v>
      </c>
      <c r="PW34" s="20" t="n">
        <v>6262</v>
      </c>
      <c r="PX34" s="20" t="n">
        <v>14715</v>
      </c>
      <c r="PY34" s="20" t="n">
        <v>13822</v>
      </c>
      <c r="PZ34" s="20" t="n">
        <v>12200</v>
      </c>
      <c r="QA34" s="127">
        <f>SUM(OW34:PZ34)</f>
        <v/>
      </c>
      <c r="QB34" s="20" t="n">
        <v>10717</v>
      </c>
      <c r="QC34" s="20" t="n">
        <v>9335</v>
      </c>
      <c r="QD34" s="20" t="n">
        <v>16705</v>
      </c>
      <c r="QE34" s="20" t="n">
        <v>14544</v>
      </c>
      <c r="QF34" s="20" t="n">
        <v>12305</v>
      </c>
      <c r="QG34" s="20" t="n">
        <v>10611</v>
      </c>
      <c r="QH34" s="20" t="n">
        <v>8466</v>
      </c>
      <c r="QI34" s="20" t="n">
        <v>6717</v>
      </c>
      <c r="QJ34" s="20" t="n">
        <v>14922</v>
      </c>
      <c r="QK34" s="20" t="n">
        <v>13200</v>
      </c>
      <c r="QL34" s="20" t="n">
        <v>11042</v>
      </c>
      <c r="QM34" s="20" t="n">
        <v>9077</v>
      </c>
      <c r="QN34" s="20" t="n">
        <v>7235</v>
      </c>
      <c r="QO34" s="20" t="n">
        <v>5127</v>
      </c>
      <c r="QP34" s="20" t="n">
        <v>3317</v>
      </c>
      <c r="QQ34" s="20" t="n">
        <v>14877</v>
      </c>
      <c r="QR34" s="20" t="n">
        <v>13210</v>
      </c>
      <c r="QS34" s="20" t="n">
        <v>11212</v>
      </c>
      <c r="QT34" s="20" t="n">
        <v>9305</v>
      </c>
      <c r="QU34" s="20" t="n">
        <v>7677</v>
      </c>
      <c r="QV34" s="20" t="n">
        <v>6080</v>
      </c>
      <c r="QW34" s="20" t="n">
        <v>4593</v>
      </c>
      <c r="QX34" s="20" t="n">
        <v>3032</v>
      </c>
      <c r="QY34" s="20" t="n">
        <v>13466</v>
      </c>
      <c r="QZ34" s="20" t="n">
        <v>11189</v>
      </c>
      <c r="RA34" s="20" t="n">
        <v>9496</v>
      </c>
      <c r="RB34" s="20" t="n">
        <v>7990</v>
      </c>
      <c r="RC34" s="20" t="n">
        <v>6375</v>
      </c>
      <c r="RD34" s="20" t="n">
        <v>4771</v>
      </c>
      <c r="RE34" s="20" t="n">
        <v>16457</v>
      </c>
      <c r="RF34" s="20" t="n">
        <v>14736</v>
      </c>
      <c r="RG34" s="127">
        <f>SUM(QC34:RF34)</f>
        <v/>
      </c>
      <c r="RH34" s="20" t="n">
        <v>12800</v>
      </c>
      <c r="RI34" s="20" t="n">
        <v>10866</v>
      </c>
      <c r="RJ34" s="20" t="n">
        <v>9273</v>
      </c>
      <c r="RK34" s="20" t="n">
        <v>7312</v>
      </c>
      <c r="RL34" s="20" t="n">
        <v>5768</v>
      </c>
      <c r="RM34" s="20" t="n">
        <v>4315</v>
      </c>
      <c r="RN34" s="20" t="n">
        <v>15000</v>
      </c>
      <c r="RO34" s="20" t="n">
        <v>13280</v>
      </c>
      <c r="RP34" s="20" t="n">
        <v>11564</v>
      </c>
      <c r="RQ34" s="20" t="n">
        <v>9941</v>
      </c>
      <c r="RR34" s="20" t="n">
        <v>8275</v>
      </c>
      <c r="RS34" s="20" t="n">
        <v>16644</v>
      </c>
      <c r="RT34" s="20" t="n">
        <v>15085</v>
      </c>
      <c r="RU34" s="20" t="n">
        <v>13699</v>
      </c>
      <c r="RV34" s="20" t="n">
        <v>11990</v>
      </c>
      <c r="RW34" s="20" t="n">
        <v>10330</v>
      </c>
      <c r="RX34" s="20" t="n">
        <v>8850</v>
      </c>
      <c r="RY34" s="20" t="n">
        <v>7200</v>
      </c>
      <c r="RZ34" s="20" t="n">
        <v>5273</v>
      </c>
      <c r="SA34" s="20" t="n">
        <v>14600</v>
      </c>
      <c r="SB34" s="20" t="n">
        <v>13105</v>
      </c>
      <c r="SC34" s="20" t="n">
        <v>11155</v>
      </c>
      <c r="SD34" s="20" t="n">
        <v>9188</v>
      </c>
      <c r="SE34" s="20" t="n">
        <v>15554</v>
      </c>
      <c r="SF34" s="20" t="n">
        <v>13888</v>
      </c>
      <c r="SG34" s="20" t="n">
        <v>12125</v>
      </c>
      <c r="SH34" s="20" t="n">
        <v>10458</v>
      </c>
      <c r="SI34" s="20" t="n">
        <v>8752</v>
      </c>
      <c r="SJ34" s="20" t="n">
        <v>6900</v>
      </c>
      <c r="SK34" s="20" t="n">
        <v>4822</v>
      </c>
      <c r="SL34" s="127">
        <f>SUM(RH34:SK34)</f>
        <v/>
      </c>
      <c r="SM34" s="20" t="n">
        <v>16104</v>
      </c>
      <c r="SN34" s="20" t="n">
        <v>14336</v>
      </c>
      <c r="SO34" s="20" t="n">
        <v>12766</v>
      </c>
      <c r="SP34" s="20" t="n">
        <v>11063</v>
      </c>
      <c r="SQ34" s="20" t="n">
        <v>9493</v>
      </c>
      <c r="SR34" s="20" t="n">
        <v>16552</v>
      </c>
      <c r="SS34" s="20" t="n">
        <v>14400</v>
      </c>
      <c r="ST34" s="20" t="n">
        <v>12717</v>
      </c>
      <c r="SU34" s="20" t="n">
        <v>10800</v>
      </c>
      <c r="SV34" s="20" t="n">
        <v>9155</v>
      </c>
      <c r="SW34" s="20" t="n">
        <v>7400</v>
      </c>
      <c r="SX34" s="20" t="n">
        <v>13522</v>
      </c>
      <c r="SY34" s="20" t="n">
        <v>11517</v>
      </c>
      <c r="SZ34" s="20" t="n">
        <v>9533</v>
      </c>
      <c r="TA34" s="20" t="n">
        <v>7947</v>
      </c>
      <c r="TB34" s="20" t="n">
        <v>6200</v>
      </c>
      <c r="TC34" s="20" t="n">
        <v>4368</v>
      </c>
      <c r="TD34" s="20" t="n">
        <v>2584</v>
      </c>
      <c r="TE34" s="20" t="n">
        <v>11529</v>
      </c>
      <c r="TF34" s="20" t="n">
        <v>9600</v>
      </c>
      <c r="TG34" s="20" t="n">
        <v>7462</v>
      </c>
      <c r="TH34" s="20" t="n">
        <v>5400</v>
      </c>
      <c r="TI34" s="20" t="n">
        <v>3325</v>
      </c>
      <c r="TJ34" s="20" t="n">
        <v>16120</v>
      </c>
      <c r="TK34" s="20" t="n">
        <v>14477</v>
      </c>
      <c r="TL34" s="20" t="n">
        <v>13010</v>
      </c>
      <c r="TM34" s="20" t="n">
        <v>11400</v>
      </c>
      <c r="TN34" s="20" t="n">
        <v>9788</v>
      </c>
      <c r="TO34" s="20" t="n">
        <v>8411</v>
      </c>
      <c r="TP34" s="20" t="n">
        <v>6755</v>
      </c>
      <c r="TQ34" s="20" t="n">
        <v>4957</v>
      </c>
      <c r="TR34" s="127">
        <f>SUM(SN34:TQ34)</f>
        <v/>
      </c>
      <c r="TS34" s="20" t="n">
        <v>14577</v>
      </c>
      <c r="TT34" s="20" t="n">
        <v>13115</v>
      </c>
      <c r="TU34" s="20" t="n">
        <v>11588</v>
      </c>
      <c r="TV34" s="20" t="n">
        <v>9888</v>
      </c>
      <c r="TW34" s="20" t="n">
        <v>17150</v>
      </c>
      <c r="TX34" s="20" t="n">
        <v>15380</v>
      </c>
      <c r="TY34" s="20" t="n">
        <v>13500</v>
      </c>
      <c r="TZ34" s="20" t="n">
        <v>11860</v>
      </c>
      <c r="UA34" s="20" t="n">
        <v>10200</v>
      </c>
      <c r="UB34" s="20" t="n">
        <v>8411</v>
      </c>
      <c r="UC34" s="20" t="n">
        <v>6463</v>
      </c>
      <c r="UD34" s="20" t="n">
        <v>13877</v>
      </c>
      <c r="UE34" s="20" t="n">
        <v>12210</v>
      </c>
      <c r="UF34" s="20" t="n">
        <v>10370</v>
      </c>
      <c r="UG34" s="20" t="n">
        <v>8544</v>
      </c>
      <c r="UH34" s="20" t="n">
        <v>6800</v>
      </c>
      <c r="UI34" s="20" t="n">
        <v>4900</v>
      </c>
      <c r="UJ34" s="20" t="n">
        <v>3008</v>
      </c>
      <c r="UK34" s="20" t="n">
        <v>1135</v>
      </c>
      <c r="UL34" s="20" t="n">
        <v>9485</v>
      </c>
      <c r="UM34" s="20" t="n">
        <v>7910</v>
      </c>
      <c r="UN34" s="20" t="n">
        <v>6140</v>
      </c>
      <c r="UO34" s="20" t="n">
        <v>4432</v>
      </c>
      <c r="UP34" s="20" t="n">
        <v>10270</v>
      </c>
      <c r="UQ34" s="20" t="n">
        <v>8544</v>
      </c>
      <c r="UR34" s="20" t="n">
        <v>6872</v>
      </c>
      <c r="US34" s="20" t="n">
        <v>5045</v>
      </c>
      <c r="UT34" s="20" t="n">
        <v>3400</v>
      </c>
      <c r="UU34" s="20" t="n">
        <v>12566</v>
      </c>
      <c r="UV34" s="20" t="n">
        <v>10866</v>
      </c>
      <c r="UW34" s="20" t="n">
        <v>8970</v>
      </c>
      <c r="UX34" s="127">
        <f>SUM(TT34:UW34)</f>
        <v/>
      </c>
      <c r="UY34" s="20" t="n">
        <v>7000</v>
      </c>
      <c r="UZ34" s="20" t="n">
        <v>5336</v>
      </c>
      <c r="VA34" s="20" t="n">
        <v>3408</v>
      </c>
      <c r="VB34" s="20" t="n">
        <v>14822</v>
      </c>
      <c r="VC34" s="20" t="n">
        <v>13021</v>
      </c>
      <c r="VD34" s="20" t="n">
        <v>11275</v>
      </c>
      <c r="VE34" s="20" t="n">
        <v>9388</v>
      </c>
      <c r="VF34" s="20" t="n">
        <v>7677</v>
      </c>
      <c r="VG34" s="20" t="n">
        <v>6030</v>
      </c>
      <c r="VH34" s="20" t="n">
        <v>4294</v>
      </c>
      <c r="VI34" s="20" t="n">
        <v>15590</v>
      </c>
      <c r="VJ34" s="20" t="n">
        <v>13955</v>
      </c>
      <c r="VK34" s="20" t="n">
        <v>12300</v>
      </c>
      <c r="VL34" s="20" t="n">
        <v>9977</v>
      </c>
      <c r="VM34" s="20" t="n">
        <v>16438</v>
      </c>
      <c r="VN34" s="20" t="n">
        <v>14500</v>
      </c>
      <c r="VO34" s="20" t="n">
        <v>12611</v>
      </c>
      <c r="VP34" s="20" t="n">
        <v>10986</v>
      </c>
      <c r="VQ34" s="20" t="n">
        <v>16244</v>
      </c>
      <c r="VR34" s="20" t="n">
        <v>14588</v>
      </c>
      <c r="VS34" s="20" t="n">
        <v>12888</v>
      </c>
      <c r="VT34" s="20" t="n">
        <v>10866</v>
      </c>
      <c r="VU34" s="20" t="n">
        <v>9326</v>
      </c>
      <c r="VV34" s="20" t="n">
        <v>7700</v>
      </c>
      <c r="VW34" s="20" t="n">
        <v>6010</v>
      </c>
      <c r="VX34" s="20" t="n">
        <v>4464</v>
      </c>
      <c r="VY34" s="20" t="n">
        <v>14547</v>
      </c>
      <c r="VZ34" s="20" t="n">
        <v>12944</v>
      </c>
      <c r="WA34" s="127">
        <f>SUM(UW34:VZ34)</f>
        <v/>
      </c>
      <c r="WB34" s="20" t="n">
        <v>11000</v>
      </c>
      <c r="WC34" s="20" t="n">
        <v>9480</v>
      </c>
      <c r="WD34" s="20" t="n">
        <v>7850</v>
      </c>
      <c r="WE34" s="20" t="n">
        <v>6271</v>
      </c>
      <c r="WF34" s="20" t="n">
        <v>4936</v>
      </c>
      <c r="WG34" s="20" t="n">
        <v>3341</v>
      </c>
      <c r="WH34" s="20" t="n">
        <v>17400</v>
      </c>
      <c r="WI34" s="20" t="n">
        <v>15866</v>
      </c>
      <c r="WJ34" s="20" t="n">
        <v>14263</v>
      </c>
      <c r="WK34" s="20" t="n">
        <v>12452</v>
      </c>
      <c r="WL34" s="20" t="n">
        <v>10577</v>
      </c>
      <c r="WM34" s="20" t="n">
        <v>9133</v>
      </c>
      <c r="WN34" s="20" t="n">
        <v>7717</v>
      </c>
      <c r="WO34" s="20" t="n">
        <v>5977</v>
      </c>
      <c r="WP34" s="20" t="n">
        <v>4095</v>
      </c>
      <c r="WQ34" s="20" t="n">
        <v>17500</v>
      </c>
      <c r="WR34" s="20" t="n">
        <v>16095</v>
      </c>
      <c r="WS34" s="20" t="n">
        <v>14663.15</v>
      </c>
      <c r="WT34" s="20" t="n">
        <v>12977</v>
      </c>
      <c r="WU34" s="20" t="n">
        <v>11477</v>
      </c>
      <c r="WV34" s="20" t="n">
        <v>9900</v>
      </c>
      <c r="WW34" s="20" t="n">
        <v>8070</v>
      </c>
      <c r="WX34" s="20" t="n">
        <v>6410</v>
      </c>
      <c r="WY34" s="20" t="n">
        <v>4700</v>
      </c>
      <c r="WZ34" s="20" t="n">
        <v>3161</v>
      </c>
      <c r="XA34" s="20" t="n">
        <v>13477</v>
      </c>
      <c r="XB34" s="20" t="n">
        <v>11666</v>
      </c>
      <c r="XC34" s="20" t="n">
        <v>9611</v>
      </c>
      <c r="XD34" s="20" t="n">
        <v>7537</v>
      </c>
      <c r="XE34" s="20" t="n">
        <v>5800</v>
      </c>
      <c r="XF34" s="20" t="n">
        <v>18392</v>
      </c>
      <c r="XG34" s="127">
        <f>SUM(WB34:XF34)</f>
        <v/>
      </c>
      <c r="XH34" s="20" t="n">
        <v>16705</v>
      </c>
      <c r="XI34" s="20" t="n">
        <v>15220</v>
      </c>
      <c r="XJ34" s="20" t="n">
        <v>13466</v>
      </c>
      <c r="XK34" s="20" t="n">
        <v>11820</v>
      </c>
      <c r="XL34" s="20" t="n">
        <v>9986</v>
      </c>
      <c r="XM34" s="20" t="n">
        <v>8411</v>
      </c>
      <c r="XN34" s="20" t="n">
        <v>6494</v>
      </c>
      <c r="XO34" s="20" t="n">
        <v>4933</v>
      </c>
      <c r="XP34" s="20" t="n">
        <v>17286</v>
      </c>
      <c r="XQ34" s="20" t="n">
        <v>15518</v>
      </c>
      <c r="XR34" s="20" t="n">
        <v>13633</v>
      </c>
      <c r="XS34" s="20" t="n">
        <v>11820</v>
      </c>
      <c r="XT34" s="20" t="n">
        <v>10111</v>
      </c>
      <c r="XU34" s="20" t="n">
        <v>8544</v>
      </c>
      <c r="XV34" s="20" t="n">
        <v>14768</v>
      </c>
      <c r="XW34" s="20" t="n">
        <v>12855</v>
      </c>
      <c r="XX34" s="20" t="n">
        <v>11052</v>
      </c>
      <c r="XY34" s="20" t="n">
        <v>17280</v>
      </c>
      <c r="XZ34" s="20" t="n">
        <v>15140</v>
      </c>
      <c r="YA34" s="20" t="n">
        <v>13822</v>
      </c>
      <c r="YB34" s="20" t="n">
        <v>12210</v>
      </c>
      <c r="YC34" s="20" t="n">
        <v>10544</v>
      </c>
      <c r="YD34" s="20" t="n">
        <v>16973</v>
      </c>
      <c r="YE34" s="20" t="n">
        <v>15200</v>
      </c>
      <c r="YF34" s="20" t="n">
        <v>13178</v>
      </c>
      <c r="YG34" s="20" t="n">
        <v>11362</v>
      </c>
      <c r="YH34" s="20" t="n">
        <v>9700</v>
      </c>
      <c r="YI34" s="20" t="n">
        <v>8129</v>
      </c>
      <c r="YJ34" s="20" t="n">
        <v>15481</v>
      </c>
      <c r="YK34" s="20" t="n">
        <v>13811</v>
      </c>
      <c r="YL34" s="127">
        <f>SUM(XH34:YK34)</f>
        <v/>
      </c>
      <c r="YM34" s="20" t="n">
        <v>12190</v>
      </c>
      <c r="YN34" s="20" t="n">
        <v>10066</v>
      </c>
      <c r="YO34" s="20" t="n">
        <v>8211</v>
      </c>
      <c r="YP34" s="20" t="n">
        <v>6170</v>
      </c>
      <c r="YQ34" s="20" t="n">
        <v>3930</v>
      </c>
      <c r="YR34" s="20" t="n">
        <v>1778</v>
      </c>
      <c r="YS34" s="20" t="n">
        <v>245</v>
      </c>
      <c r="YT34" s="20" t="n">
        <v>245</v>
      </c>
      <c r="YU34" s="20" t="n">
        <v>7000</v>
      </c>
      <c r="YV34" s="20" t="n">
        <v>4831</v>
      </c>
      <c r="YW34" s="20" t="n">
        <v>10729</v>
      </c>
      <c r="YX34" s="20" t="n">
        <v>8900</v>
      </c>
      <c r="YY34" s="20" t="n">
        <v>7437</v>
      </c>
      <c r="YZ34" s="20" t="n">
        <v>5855</v>
      </c>
      <c r="ZA34" s="20" t="n">
        <v>4123</v>
      </c>
      <c r="ZB34" s="20" t="n">
        <v>15445</v>
      </c>
      <c r="ZC34" s="20" t="n">
        <v>13555</v>
      </c>
      <c r="ZD34" s="20" t="n">
        <v>11777</v>
      </c>
      <c r="ZE34" s="20" t="n">
        <v>9833</v>
      </c>
      <c r="ZF34" s="20" t="n">
        <v>8023</v>
      </c>
      <c r="ZG34" s="20" t="n">
        <v>6275</v>
      </c>
      <c r="ZH34" s="20" t="n">
        <v>11447</v>
      </c>
      <c r="ZI34" s="20" t="n">
        <v>9242</v>
      </c>
      <c r="ZJ34" s="20" t="n">
        <v>6911</v>
      </c>
      <c r="ZK34" s="20" t="n">
        <v>4503</v>
      </c>
      <c r="ZL34" s="20" t="n">
        <v>2441</v>
      </c>
      <c r="ZM34" s="20" t="n">
        <v>13631</v>
      </c>
      <c r="ZN34" s="20" t="n">
        <v>11576</v>
      </c>
      <c r="ZO34" s="20" t="n">
        <v>17619</v>
      </c>
      <c r="ZP34" s="20" t="n">
        <v>15622</v>
      </c>
      <c r="ZQ34" s="20" t="n">
        <v>13555</v>
      </c>
      <c r="ZR34" s="127">
        <f>SUM(YM34:ZQ34)</f>
        <v/>
      </c>
      <c r="ZS34" s="20" t="n">
        <v>11744</v>
      </c>
      <c r="ZT34" s="20" t="n">
        <v>9863</v>
      </c>
      <c r="ZU34" s="20" t="n">
        <v>7840</v>
      </c>
      <c r="ZV34" s="20" t="n">
        <v>5911</v>
      </c>
      <c r="ZW34" s="20" t="n">
        <v>3721</v>
      </c>
      <c r="ZX34" s="20" t="n">
        <v>14630</v>
      </c>
      <c r="ZY34" s="20" t="n">
        <v>12623</v>
      </c>
      <c r="ZZ34" s="20" t="n">
        <v>10670</v>
      </c>
      <c r="AAA34" s="20" t="n">
        <v>8930</v>
      </c>
      <c r="AAB34" s="20" t="n">
        <v>7010</v>
      </c>
      <c r="AAC34" s="20" t="n">
        <v>5294</v>
      </c>
      <c r="AAD34" s="20" t="n">
        <v>16610</v>
      </c>
      <c r="AAE34" s="20" t="n">
        <v>14378</v>
      </c>
      <c r="AAF34" s="20" t="n">
        <v>12150</v>
      </c>
      <c r="AAG34" s="20" t="n">
        <v>10155</v>
      </c>
      <c r="AAH34" s="20" t="n">
        <v>8211</v>
      </c>
      <c r="AAI34" s="20" t="n">
        <v>6258</v>
      </c>
      <c r="AAJ34" s="20" t="n">
        <v>16388</v>
      </c>
      <c r="AAK34" s="20" t="n">
        <v>14326</v>
      </c>
      <c r="AAL34" s="20" t="n">
        <v>12389</v>
      </c>
      <c r="AAM34" s="20" t="n">
        <v>10177</v>
      </c>
      <c r="AAN34" s="20" t="n">
        <v>8544</v>
      </c>
      <c r="AAO34" s="20" t="n">
        <v>6655</v>
      </c>
      <c r="AAP34" s="20" t="n">
        <v>17742</v>
      </c>
      <c r="AAQ34" s="20" t="n">
        <v>15755</v>
      </c>
      <c r="AAR34" s="20" t="n">
        <v>13855</v>
      </c>
      <c r="AAS34" s="20" t="n">
        <v>11810</v>
      </c>
      <c r="AAT34" s="20" t="n">
        <v>9560</v>
      </c>
      <c r="AAU34" s="20" t="n">
        <v>7726</v>
      </c>
      <c r="AAV34" s="20" t="n">
        <v>5855</v>
      </c>
      <c r="AAW34" s="127">
        <f>SUM(ZS34:AAV34)</f>
        <v/>
      </c>
      <c r="AAX34" s="20" t="n">
        <v>16252</v>
      </c>
      <c r="AAY34" s="20" t="n">
        <v>14555</v>
      </c>
      <c r="AAZ34" s="20" t="n">
        <v>12764</v>
      </c>
      <c r="ABA34" s="20" t="n">
        <v>10700</v>
      </c>
      <c r="ABB34" s="20" t="n">
        <v>8082</v>
      </c>
      <c r="ABC34" s="20" t="n">
        <v>5966</v>
      </c>
      <c r="ABD34" s="20" t="n">
        <v>4133</v>
      </c>
      <c r="ABE34" s="20" t="n">
        <v>14022</v>
      </c>
      <c r="ABF34" s="20" t="n">
        <v>12152</v>
      </c>
      <c r="ABG34" s="20" t="n">
        <v>10300</v>
      </c>
      <c r="ABH34" s="20" t="n">
        <v>8305</v>
      </c>
      <c r="ABI34" s="20" t="n">
        <v>7055</v>
      </c>
      <c r="ABJ34" s="20" t="n">
        <v>5063</v>
      </c>
      <c r="ABK34" s="20" t="n">
        <v>3247</v>
      </c>
      <c r="ABL34" s="20" t="n">
        <v>1311</v>
      </c>
      <c r="ABM34" s="20" t="n">
        <v>14294</v>
      </c>
      <c r="ABN34" s="20" t="n">
        <v>12326</v>
      </c>
      <c r="ABO34" s="20" t="n">
        <v>10240</v>
      </c>
      <c r="ABP34" s="20" t="n">
        <v>16190</v>
      </c>
      <c r="ABQ34" s="20" t="n">
        <v>14188</v>
      </c>
      <c r="ABR34" s="20" t="n">
        <v>12284</v>
      </c>
      <c r="ABS34" s="20" t="n">
        <v>10400</v>
      </c>
      <c r="ABT34" s="20" t="n">
        <v>8433</v>
      </c>
      <c r="ABU34" s="20" t="n">
        <v>6350</v>
      </c>
      <c r="ABV34" s="20" t="n">
        <v>16284</v>
      </c>
      <c r="ABW34" s="20" t="n">
        <v>14122</v>
      </c>
      <c r="ABX34" s="20" t="n">
        <v>12252</v>
      </c>
      <c r="ABY34" s="20" t="n">
        <v>10240</v>
      </c>
      <c r="ABZ34" s="20" t="n">
        <v>16398</v>
      </c>
      <c r="ACA34" s="20" t="n">
        <v>14610</v>
      </c>
      <c r="ACB34" s="20" t="n">
        <v>12658</v>
      </c>
      <c r="ACC34" s="127">
        <f>SUM(AAX34:ACB34)</f>
        <v/>
      </c>
      <c r="ACD34" s="20" t="n">
        <v>10684</v>
      </c>
      <c r="ACE34" s="20" t="n">
        <v>8305</v>
      </c>
      <c r="ACF34" s="20" t="n">
        <v>6150</v>
      </c>
      <c r="ACG34" s="20" t="n">
        <v>4009</v>
      </c>
      <c r="ACH34" s="20" t="n">
        <v>1703</v>
      </c>
      <c r="ACI34" s="20" t="n">
        <v>13200</v>
      </c>
      <c r="ACJ34" s="20" t="n">
        <v>11200</v>
      </c>
      <c r="ACK34" s="20" t="n">
        <v>9144</v>
      </c>
      <c r="ACL34" s="20" t="n">
        <v>7305</v>
      </c>
      <c r="ACM34" s="20" t="n">
        <v>5633</v>
      </c>
      <c r="ACN34" s="20" t="n">
        <v>3495</v>
      </c>
      <c r="ACO34" s="20" t="n">
        <v>1850</v>
      </c>
      <c r="ACP34" s="20" t="n">
        <v>17330</v>
      </c>
      <c r="ACQ34" s="20" t="n">
        <v>15454</v>
      </c>
      <c r="ACR34" s="20" t="n">
        <v>13368</v>
      </c>
      <c r="ACS34" s="20" t="n">
        <v>11755</v>
      </c>
      <c r="ACT34" s="20" t="n">
        <v>9900</v>
      </c>
      <c r="ACU34" s="20" t="n">
        <v>8000</v>
      </c>
      <c r="ACV34" s="20" t="n">
        <v>16965</v>
      </c>
      <c r="ACW34" s="20" t="n">
        <v>15454</v>
      </c>
      <c r="ACX34" s="20" t="n">
        <v>13711</v>
      </c>
      <c r="ACY34" s="20" t="n">
        <v>11715</v>
      </c>
      <c r="ACZ34" s="20" t="n">
        <v>9900</v>
      </c>
      <c r="ADA34" s="20" t="n">
        <v>8364</v>
      </c>
      <c r="ADB34" s="20" t="n">
        <v>15885</v>
      </c>
      <c r="ADC34" s="20" t="n">
        <v>14177</v>
      </c>
      <c r="ADD34" s="20" t="n">
        <v>12410</v>
      </c>
      <c r="ADE34" s="20" t="n">
        <v>10960</v>
      </c>
      <c r="ADF34" s="20" t="n">
        <v>9033</v>
      </c>
      <c r="ADG34" s="20" t="n">
        <v>15031</v>
      </c>
      <c r="ADH34" s="20" t="n">
        <v>13368</v>
      </c>
      <c r="ADI34" s="127">
        <f>SUM(ACD34:ADH34)</f>
        <v/>
      </c>
      <c r="ADJ34" s="20" t="n">
        <v>11744</v>
      </c>
      <c r="ADK34" s="20" t="n">
        <v>10188</v>
      </c>
      <c r="ADL34" s="20" t="n">
        <v>8800</v>
      </c>
      <c r="ADM34" s="20" t="n">
        <v>6953</v>
      </c>
      <c r="ADN34" s="20" t="n">
        <v>17000</v>
      </c>
      <c r="ADO34" s="20" t="n">
        <v>15063</v>
      </c>
      <c r="ADP34" s="20" t="n">
        <v>13305</v>
      </c>
      <c r="ADQ34" s="20" t="n">
        <v>11600</v>
      </c>
      <c r="ADR34" s="20" t="n">
        <v>10064</v>
      </c>
      <c r="ADS34" s="20" t="n">
        <v>8687</v>
      </c>
      <c r="ADT34" s="20" t="n">
        <v>7088</v>
      </c>
      <c r="ADU34" s="20" t="n">
        <v>18280</v>
      </c>
      <c r="ADV34" s="20" t="n">
        <v>16426</v>
      </c>
      <c r="ADW34" s="20" t="n">
        <v>14877</v>
      </c>
      <c r="ADX34" s="20" t="n">
        <v>13126</v>
      </c>
      <c r="ADY34" s="20" t="n">
        <v>11652</v>
      </c>
      <c r="ADZ34" s="20" t="n">
        <v>10350</v>
      </c>
      <c r="AEA34" s="20" t="n">
        <v>8729</v>
      </c>
      <c r="AEB34" s="20" t="n">
        <v>7223</v>
      </c>
      <c r="AEC34" s="20" t="n">
        <v>16715</v>
      </c>
      <c r="AED34" s="20" t="n">
        <v>15230</v>
      </c>
      <c r="AEE34" s="20" t="n">
        <v>13588</v>
      </c>
      <c r="AEF34" s="20" t="n">
        <v>12082</v>
      </c>
      <c r="AEG34" s="20" t="n">
        <v>10574</v>
      </c>
      <c r="AEH34" s="20" t="n">
        <v>9022</v>
      </c>
      <c r="AEI34" s="20" t="n">
        <v>7179</v>
      </c>
      <c r="AEJ34" s="20" t="n">
        <v>13544</v>
      </c>
      <c r="AEK34" s="20" t="n">
        <v>11970</v>
      </c>
      <c r="AEL34" s="20" t="n">
        <v>10111</v>
      </c>
      <c r="AEM34" s="20" t="n">
        <v>17563</v>
      </c>
      <c r="AEN34" s="127">
        <f>SUM(ADJ34:AEM34)</f>
        <v/>
      </c>
      <c r="AEO34" s="20" t="n">
        <v>16142</v>
      </c>
      <c r="AEP34" s="20" t="n">
        <v>14642</v>
      </c>
      <c r="AEQ34" s="20" t="n">
        <v>12944</v>
      </c>
      <c r="AER34" s="20" t="n">
        <v>11105</v>
      </c>
      <c r="AES34" s="20" t="n">
        <v>9600</v>
      </c>
      <c r="AET34" s="20" t="n">
        <v>7925</v>
      </c>
      <c r="AEU34" s="20" t="n">
        <v>6400</v>
      </c>
      <c r="AEV34" s="20" t="n">
        <v>12739</v>
      </c>
      <c r="AEW34" s="20" t="n">
        <v>10866</v>
      </c>
      <c r="AEX34" s="20" t="n">
        <v>8880</v>
      </c>
      <c r="AEY34" s="20" t="n">
        <v>7166</v>
      </c>
      <c r="AEZ34" s="20" t="n">
        <v>5621</v>
      </c>
      <c r="AFA34" s="20" t="n">
        <v>4085</v>
      </c>
      <c r="AFB34" s="20" t="n">
        <v>15380</v>
      </c>
      <c r="AFC34" s="20" t="n">
        <v>13694</v>
      </c>
      <c r="AFD34" s="20" t="n">
        <v>12050</v>
      </c>
      <c r="AFE34" s="20" t="n">
        <v>10600</v>
      </c>
      <c r="AFF34" s="20" t="n">
        <v>16800</v>
      </c>
      <c r="AFG34" s="20" t="n">
        <v>15230</v>
      </c>
      <c r="AFH34" s="20" t="n">
        <v>13688</v>
      </c>
      <c r="AFI34" s="20" t="n">
        <v>11970</v>
      </c>
      <c r="AFJ34" s="20" t="n">
        <v>10411</v>
      </c>
      <c r="AFK34" s="20" t="n">
        <v>9022</v>
      </c>
      <c r="AFL34" s="20" t="n">
        <v>15260</v>
      </c>
      <c r="AFM34" s="20" t="n">
        <v>13242</v>
      </c>
      <c r="AFN34" s="20" t="n">
        <v>11576</v>
      </c>
      <c r="AFO34" s="20" t="n">
        <v>9933</v>
      </c>
      <c r="AFP34" s="20" t="n">
        <v>8411</v>
      </c>
      <c r="AFQ34" s="20" t="n">
        <v>6954</v>
      </c>
      <c r="AFR34" s="20" t="n">
        <v>5410</v>
      </c>
      <c r="AFS34" s="20" t="n">
        <v>3645</v>
      </c>
      <c r="AFT34" s="127">
        <f>SUM(AEO34:AFS34)</f>
        <v/>
      </c>
      <c r="AFU34" s="20" t="n">
        <v>13744</v>
      </c>
      <c r="AFV34" s="20" t="n">
        <v>11980</v>
      </c>
      <c r="AFW34" s="20" t="n">
        <v>10350</v>
      </c>
      <c r="AFX34" s="20" t="n">
        <v>8717</v>
      </c>
      <c r="AFY34" s="20" t="n">
        <v>6945</v>
      </c>
      <c r="AFZ34" s="20" t="n">
        <v>15210</v>
      </c>
      <c r="AGA34" s="20" t="n">
        <v>13411</v>
      </c>
      <c r="AGB34" s="20" t="n">
        <v>11990</v>
      </c>
      <c r="AGC34" s="20" t="n">
        <v>10133</v>
      </c>
      <c r="AGD34" s="20" t="n">
        <v>8341</v>
      </c>
      <c r="AGE34" s="20" t="n">
        <v>6789</v>
      </c>
      <c r="AGF34" s="20" t="n">
        <v>18264</v>
      </c>
      <c r="AGG34" s="20" t="n">
        <v>16684</v>
      </c>
      <c r="AGH34" s="20" t="n">
        <v>15170</v>
      </c>
      <c r="AGI34" s="20" t="n">
        <v>13500</v>
      </c>
      <c r="AGJ34" s="20" t="n">
        <v>11980</v>
      </c>
      <c r="AGK34" s="20" t="n">
        <v>10094</v>
      </c>
      <c r="AGL34" s="20" t="n">
        <v>8376</v>
      </c>
      <c r="AGM34" s="20" t="n">
        <v>6711</v>
      </c>
      <c r="AGN34" s="20" t="n">
        <v>4863</v>
      </c>
      <c r="AGO34" s="20" t="n">
        <v>15819</v>
      </c>
      <c r="AGP34" s="20" t="n">
        <v>13788</v>
      </c>
      <c r="AGQ34" s="20" t="n">
        <v>12273</v>
      </c>
      <c r="AGR34" s="20" t="n">
        <v>10661</v>
      </c>
      <c r="AGS34" s="20" t="n">
        <v>8752</v>
      </c>
      <c r="AGT34" s="20" t="n">
        <v>16019</v>
      </c>
      <c r="AGU34" s="20" t="n">
        <v>14221</v>
      </c>
      <c r="AGV34" s="20" t="n">
        <v>12137</v>
      </c>
      <c r="AGW34" s="20" t="n">
        <v>10077</v>
      </c>
      <c r="AGX34" s="20" t="n">
        <v>8364</v>
      </c>
      <c r="AGY34" s="127">
        <f>SUM(AFU34:AGX34)</f>
        <v/>
      </c>
      <c r="AGZ34" s="20" t="n">
        <v>6557</v>
      </c>
      <c r="AHA34" s="20" t="n">
        <v>4800</v>
      </c>
      <c r="AHB34" s="20" t="n">
        <v>16114</v>
      </c>
      <c r="AHC34" s="20" t="n">
        <v>14155</v>
      </c>
      <c r="AHD34" s="20" t="n">
        <v>12037</v>
      </c>
      <c r="AHE34" s="20" t="n">
        <v>10122</v>
      </c>
      <c r="AHF34" s="20" t="n">
        <v>8400</v>
      </c>
      <c r="AHG34" s="20" t="n">
        <v>6547</v>
      </c>
      <c r="AHH34" s="20" t="n">
        <v>5009</v>
      </c>
      <c r="AHI34" s="20" t="n">
        <v>3180</v>
      </c>
      <c r="AHJ34" s="20" t="n">
        <v>14077</v>
      </c>
      <c r="AHK34" s="20" t="n">
        <v>12037</v>
      </c>
      <c r="AHL34" s="20" t="n">
        <v>9944</v>
      </c>
      <c r="AHM34" s="20" t="n">
        <v>8188</v>
      </c>
      <c r="AHN34" s="20" t="n">
        <v>6400</v>
      </c>
      <c r="AHO34" s="20" t="n">
        <v>4680</v>
      </c>
      <c r="AHP34" s="20" t="n">
        <v>17000</v>
      </c>
      <c r="AHQ34" s="20" t="n">
        <v>15000</v>
      </c>
      <c r="AHR34" s="20" t="n">
        <v>12888</v>
      </c>
      <c r="AHS34" s="20" t="n">
        <v>10946</v>
      </c>
      <c r="AHT34" s="20" t="n">
        <v>8960</v>
      </c>
      <c r="AHU34" s="20" t="n">
        <v>6845</v>
      </c>
      <c r="AHV34" s="20" t="n">
        <v>4514</v>
      </c>
      <c r="AHW34" s="20" t="n">
        <v>16090</v>
      </c>
      <c r="AHX34" s="20" t="n">
        <v>14411</v>
      </c>
      <c r="AHY34" s="20" t="n">
        <v>12717</v>
      </c>
      <c r="AHZ34" s="20" t="n">
        <v>11200</v>
      </c>
      <c r="AIA34" s="20" t="n">
        <v>9844</v>
      </c>
      <c r="AIB34" s="20" t="n">
        <v>8400</v>
      </c>
      <c r="AIC34" s="20" t="n">
        <v>6700</v>
      </c>
      <c r="AID34" s="20" t="n">
        <v>14600</v>
      </c>
      <c r="AIE34" s="127">
        <f>SUM(AGZ34:AID34)</f>
        <v/>
      </c>
      <c r="AIF34" s="20" t="n">
        <v>13126</v>
      </c>
      <c r="AIG34" s="20" t="n">
        <v>11505</v>
      </c>
      <c r="AIH34" s="20" t="n">
        <v>9870</v>
      </c>
      <c r="AII34" s="20" t="n">
        <v>8122</v>
      </c>
      <c r="AIJ34" s="20" t="n">
        <v>6200</v>
      </c>
      <c r="AIK34" s="20" t="n">
        <v>14111</v>
      </c>
      <c r="AIL34" s="20" t="n">
        <v>12162</v>
      </c>
      <c r="AIM34" s="20" t="n">
        <v>10280</v>
      </c>
      <c r="AIN34" s="20" t="n">
        <v>17030</v>
      </c>
      <c r="AIO34" s="20" t="n">
        <v>14747</v>
      </c>
      <c r="AIP34" s="20" t="n">
        <v>12888</v>
      </c>
      <c r="AIQ34" s="20" t="n">
        <v>11189</v>
      </c>
      <c r="AIR34" s="20" t="n">
        <v>9284</v>
      </c>
      <c r="AIS34" s="20" t="n">
        <v>7545</v>
      </c>
      <c r="AIT34" s="20" t="n">
        <v>6452</v>
      </c>
      <c r="AIU34" s="20" t="n">
        <v>4926</v>
      </c>
      <c r="AIV34" s="20" t="n">
        <v>4047</v>
      </c>
      <c r="AIW34" s="20" t="n">
        <v>3024</v>
      </c>
      <c r="AIX34" s="20" t="n">
        <v>6325</v>
      </c>
      <c r="AIY34" s="20" t="n">
        <v>4638</v>
      </c>
      <c r="AIZ34" s="20" t="n">
        <v>2780</v>
      </c>
      <c r="AJA34" s="20" t="n">
        <v>12050</v>
      </c>
      <c r="AJB34" s="20" t="n">
        <v>10111</v>
      </c>
      <c r="AJC34" s="20" t="n">
        <v>8164</v>
      </c>
      <c r="AJD34" s="20" t="n">
        <v>11300</v>
      </c>
      <c r="AJE34" s="20" t="n">
        <v>9610</v>
      </c>
      <c r="AJF34" s="20" t="n">
        <v>7744</v>
      </c>
      <c r="AJG34" s="20" t="n">
        <v>6070</v>
      </c>
      <c r="AJH34" s="20" t="n">
        <v>4400</v>
      </c>
      <c r="AJI34" s="20" t="n">
        <v>12357</v>
      </c>
      <c r="AJJ34" s="20" t="n">
        <v>10662</v>
      </c>
      <c r="AJK34" s="127">
        <f>SUM(AIF34:AJJ34)</f>
        <v/>
      </c>
      <c r="AJL34" s="20" t="n">
        <v>9200</v>
      </c>
      <c r="AJM34" s="20" t="n">
        <v>7575</v>
      </c>
      <c r="AJN34" s="20" t="n">
        <v>5557</v>
      </c>
      <c r="AJO34" s="20" t="n">
        <v>3910</v>
      </c>
      <c r="AJP34" s="20" t="n">
        <v>2256</v>
      </c>
      <c r="AJQ34" s="20" t="n">
        <v>9736</v>
      </c>
      <c r="AJR34" s="20" t="n">
        <v>15554</v>
      </c>
      <c r="AJS34" s="20" t="n">
        <v>13852</v>
      </c>
      <c r="AJT34" s="20" t="n">
        <v>11980</v>
      </c>
      <c r="AJU34" s="20" t="n">
        <v>10228</v>
      </c>
      <c r="AJV34" s="20" t="n">
        <v>8600</v>
      </c>
      <c r="AJW34" s="20" t="n">
        <v>6845</v>
      </c>
      <c r="AJX34" s="20" t="n">
        <v>4907</v>
      </c>
      <c r="AJY34" s="20" t="n">
        <v>15147</v>
      </c>
      <c r="AJZ34" s="20" t="n">
        <v>13500</v>
      </c>
      <c r="AKA34" s="20" t="n">
        <v>11961</v>
      </c>
      <c r="AKB34" s="20" t="n">
        <v>10178</v>
      </c>
      <c r="AKC34" s="20" t="n">
        <v>8566</v>
      </c>
      <c r="AKD34" s="20" t="n">
        <v>15063</v>
      </c>
      <c r="AKE34" s="20" t="n">
        <v>13644</v>
      </c>
      <c r="AKF34" s="20" t="n">
        <v>11900</v>
      </c>
      <c r="AKG34" s="20" t="n">
        <v>10555</v>
      </c>
      <c r="AKH34" s="20" t="n">
        <v>9000</v>
      </c>
      <c r="AKI34" s="20" t="n">
        <v>7462</v>
      </c>
      <c r="AKJ34" s="20" t="n">
        <v>5877</v>
      </c>
      <c r="AKK34" s="20" t="n">
        <v>4389</v>
      </c>
      <c r="AKL34" s="20" t="n">
        <v>2952</v>
      </c>
      <c r="AKM34" s="20" t="n">
        <v>14488</v>
      </c>
      <c r="AKN34" s="127">
        <f>SUM(AJL34:AKM34)</f>
        <v/>
      </c>
      <c r="AKO34" s="20" t="n">
        <v>12863</v>
      </c>
      <c r="AKP34" s="20" t="n">
        <v>11444</v>
      </c>
      <c r="AKQ34" s="20" t="n">
        <v>9831</v>
      </c>
      <c r="AKR34" s="20" t="n">
        <v>8377</v>
      </c>
      <c r="AKS34" s="20" t="n">
        <v>6819</v>
      </c>
      <c r="AKT34" s="20" t="n">
        <v>16282</v>
      </c>
      <c r="AKU34" s="20" t="n">
        <v>14768</v>
      </c>
      <c r="AKV34" s="20" t="n">
        <v>13147</v>
      </c>
      <c r="AKW34" s="20" t="n">
        <v>11470</v>
      </c>
      <c r="AKX34" s="20" t="n">
        <v>9933</v>
      </c>
      <c r="AKY34" s="20" t="n">
        <v>8511</v>
      </c>
      <c r="AKZ34" s="20" t="n">
        <v>6909</v>
      </c>
      <c r="ALA34" s="20" t="n">
        <v>15136</v>
      </c>
      <c r="ALB34" s="20" t="n">
        <v>13157</v>
      </c>
      <c r="ALC34" s="20" t="n">
        <v>11564</v>
      </c>
      <c r="ALD34" s="20" t="n">
        <v>9326</v>
      </c>
      <c r="ALE34" s="20" t="n">
        <v>7458</v>
      </c>
      <c r="ALF34" s="20" t="n">
        <v>5977</v>
      </c>
      <c r="ALG34" s="20" t="n">
        <v>4057</v>
      </c>
      <c r="ALH34" s="20" t="n">
        <v>15280</v>
      </c>
      <c r="ALI34" s="20" t="n">
        <v>13511</v>
      </c>
      <c r="ALJ34" s="20" t="n">
        <v>12162</v>
      </c>
      <c r="ALK34" s="20" t="n">
        <v>10320</v>
      </c>
      <c r="ALL34" s="20" t="n">
        <v>8511</v>
      </c>
      <c r="ALM34" s="20" t="n">
        <v>6611</v>
      </c>
      <c r="ALN34" s="20" t="n">
        <v>12666</v>
      </c>
      <c r="ALO34" s="20" t="n">
        <v>10722</v>
      </c>
      <c r="ALP34" s="20" t="n">
        <v>16047</v>
      </c>
      <c r="ALQ34" s="20" t="n">
        <v>13633</v>
      </c>
      <c r="ALR34" s="20" t="n">
        <v>11287</v>
      </c>
      <c r="ALS34" s="20" t="n">
        <v>9560</v>
      </c>
      <c r="ALT34" s="127">
        <f>SUM(AKO34:ALS34)</f>
        <v/>
      </c>
      <c r="ALU34" s="20" t="n">
        <v>7189</v>
      </c>
      <c r="ALV34" s="20" t="n">
        <v>12855</v>
      </c>
      <c r="ALW34" s="20" t="n">
        <v>15857</v>
      </c>
      <c r="ALX34" s="20" t="n">
        <v>13911</v>
      </c>
      <c r="ALY34" s="20" t="n">
        <v>12705</v>
      </c>
      <c r="ALZ34" s="20" t="n">
        <v>11423</v>
      </c>
      <c r="AMA34" s="20" t="n">
        <v>9284</v>
      </c>
      <c r="AMB34" s="20" t="n">
        <v>7305</v>
      </c>
      <c r="AMC34" s="20" t="n">
        <v>5118</v>
      </c>
      <c r="AMD34" s="20" t="n">
        <v>2980</v>
      </c>
      <c r="AME34" s="20" t="n">
        <v>812</v>
      </c>
      <c r="AMF34" s="20" t="n">
        <v>8455</v>
      </c>
      <c r="AMG34" s="20" t="n">
        <v>6150</v>
      </c>
      <c r="AMH34" s="20" t="n">
        <v>12633</v>
      </c>
      <c r="AMI34" s="20" t="n">
        <v>10853</v>
      </c>
      <c r="AMJ34" s="20" t="n">
        <v>9177</v>
      </c>
      <c r="AMK34" s="20" t="n">
        <v>15178</v>
      </c>
      <c r="AML34" s="20" t="n">
        <v>12900</v>
      </c>
      <c r="AMM34" s="20" t="n">
        <v>10711</v>
      </c>
      <c r="AMN34" s="20" t="n">
        <v>6828</v>
      </c>
      <c r="AMO34" s="20" t="n">
        <v>10813</v>
      </c>
      <c r="AMP34" s="20" t="n">
        <v>7562</v>
      </c>
      <c r="AMQ34" s="20" t="n">
        <v>3152</v>
      </c>
      <c r="AMR34" s="20" t="n">
        <v>11375</v>
      </c>
      <c r="AMS34" s="20" t="n">
        <v>6568</v>
      </c>
      <c r="AMT34" s="20" t="n">
        <v>2336</v>
      </c>
      <c r="AMU34" s="20" t="n">
        <v>411</v>
      </c>
      <c r="AMV34" s="20" t="n">
        <v>6700</v>
      </c>
      <c r="AMW34" s="20" t="n">
        <v>2657</v>
      </c>
      <c r="AMX34" s="20" t="n">
        <v>9400</v>
      </c>
      <c r="AMY34" s="127">
        <f>SUM(ALU34:AMX34)</f>
        <v/>
      </c>
      <c r="AMZ34" s="20" t="n">
        <v>15572</v>
      </c>
      <c r="ANA34" s="20" t="n">
        <v>13477</v>
      </c>
      <c r="ANB34" s="20" t="n">
        <v>11766</v>
      </c>
      <c r="ANC34" s="20" t="n">
        <v>9546</v>
      </c>
      <c r="AND34" s="20" t="n">
        <v>15480</v>
      </c>
      <c r="ANE34" s="20" t="n">
        <v>13180</v>
      </c>
      <c r="ANF34" s="20" t="n">
        <v>11052</v>
      </c>
      <c r="ANG34" s="20" t="n">
        <v>15980</v>
      </c>
      <c r="ANH34" s="20" t="n">
        <v>13711</v>
      </c>
      <c r="ANI34" s="20" t="n">
        <v>11910</v>
      </c>
      <c r="ANJ34" s="20" t="n">
        <v>9866</v>
      </c>
      <c r="ANK34" s="20" t="n">
        <v>7950</v>
      </c>
      <c r="ANL34" s="20" t="n">
        <v>5911</v>
      </c>
      <c r="ANM34" s="20" t="n">
        <v>10435</v>
      </c>
      <c r="ANN34" s="20" t="n">
        <v>8282</v>
      </c>
      <c r="ANO34" s="20" t="n">
        <v>6688</v>
      </c>
      <c r="ANP34" s="20" t="n">
        <v>10557</v>
      </c>
      <c r="ANQ34" s="20" t="n">
        <v>9190</v>
      </c>
      <c r="ANR34" s="20" t="n">
        <v>7860</v>
      </c>
      <c r="ANS34" s="20" t="n">
        <v>16388</v>
      </c>
      <c r="ANT34" s="20" t="n">
        <v>15310</v>
      </c>
      <c r="ANU34" s="20" t="n">
        <v>13566</v>
      </c>
      <c r="ANV34" s="20" t="n">
        <v>12263</v>
      </c>
      <c r="ANW34" s="20" t="n">
        <v>10744</v>
      </c>
      <c r="ANX34" s="20" t="n">
        <v>9221</v>
      </c>
      <c r="ANY34" s="20" t="n">
        <v>7270</v>
      </c>
      <c r="ANZ34" s="20" t="n">
        <v>14877</v>
      </c>
      <c r="AOA34" s="20" t="n">
        <v>13600</v>
      </c>
      <c r="AOB34" s="20" t="n">
        <v>12100</v>
      </c>
      <c r="AOC34" s="20" t="n">
        <v>17160</v>
      </c>
    </row>
    <row r="35">
      <c r="B35" s="34" t="inlineStr">
        <is>
          <t>SHORTAGE/GAIN QTY</t>
        </is>
      </c>
      <c r="C35" s="35">
        <f>C34-C33</f>
        <v/>
      </c>
      <c r="D35" s="35">
        <f>D34-D33</f>
        <v/>
      </c>
      <c r="E35" s="35">
        <f>E34-E33</f>
        <v/>
      </c>
      <c r="F35" s="35">
        <f>F34-F33</f>
        <v/>
      </c>
      <c r="G35" s="35">
        <f>G34-G33</f>
        <v/>
      </c>
      <c r="H35" s="35">
        <f>H34-H33</f>
        <v/>
      </c>
      <c r="I35" s="35">
        <f>I34-I33</f>
        <v/>
      </c>
      <c r="J35" s="35">
        <f>J34-J33</f>
        <v/>
      </c>
      <c r="K35" s="35">
        <f>K34-K33</f>
        <v/>
      </c>
      <c r="L35" s="35">
        <f>L34-L33</f>
        <v/>
      </c>
      <c r="M35" s="35">
        <f>M34-M33</f>
        <v/>
      </c>
      <c r="N35" s="35">
        <f>N34-N33</f>
        <v/>
      </c>
      <c r="O35" s="35">
        <f>O34-O33</f>
        <v/>
      </c>
      <c r="P35" s="35">
        <f>P34-P33</f>
        <v/>
      </c>
      <c r="Q35" s="35">
        <f>Q34-Q33</f>
        <v/>
      </c>
      <c r="R35" s="35">
        <f>R34-R33</f>
        <v/>
      </c>
      <c r="S35" s="35">
        <f>S34-S33</f>
        <v/>
      </c>
      <c r="T35" s="35">
        <f>T34-T33</f>
        <v/>
      </c>
      <c r="U35" s="35">
        <f>U34-U33</f>
        <v/>
      </c>
      <c r="V35" s="35">
        <f>V34-V33</f>
        <v/>
      </c>
      <c r="W35" s="35">
        <f>W34-W33</f>
        <v/>
      </c>
      <c r="X35" s="35">
        <f>X34-X33</f>
        <v/>
      </c>
      <c r="Y35" s="35">
        <f>Y34-Y33</f>
        <v/>
      </c>
      <c r="Z35" s="35">
        <f>Z34-Z33</f>
        <v/>
      </c>
      <c r="AA35" s="35">
        <f>AA34-AA33</f>
        <v/>
      </c>
      <c r="AB35" s="35">
        <f>AB34-AB33</f>
        <v/>
      </c>
      <c r="AC35" s="35">
        <f>AC34-AC33</f>
        <v/>
      </c>
      <c r="AD35" s="35">
        <f>AD34-AD33</f>
        <v/>
      </c>
      <c r="AE35" s="35">
        <f>AE34-AE33</f>
        <v/>
      </c>
      <c r="AF35" s="35">
        <f>AF34-AF33</f>
        <v/>
      </c>
      <c r="AG35" s="35">
        <f>AG34-AG33</f>
        <v/>
      </c>
      <c r="AH35" s="94">
        <f>SUM(C35:AG35)</f>
        <v/>
      </c>
      <c r="AI35" s="35">
        <f>AI34-AI33</f>
        <v/>
      </c>
      <c r="AJ35" s="35">
        <f>AJ34-AJ33</f>
        <v/>
      </c>
      <c r="AK35" s="35">
        <f>AK34-AK33</f>
        <v/>
      </c>
      <c r="AL35" s="35">
        <f>AL34-AL33</f>
        <v/>
      </c>
      <c r="AM35" s="35">
        <f>AM34-AM33</f>
        <v/>
      </c>
      <c r="AN35" s="35">
        <f>AN34-AN33</f>
        <v/>
      </c>
      <c r="AO35" s="35">
        <f>AO34-AO33</f>
        <v/>
      </c>
      <c r="AP35" s="35">
        <f>AP34-AP33</f>
        <v/>
      </c>
      <c r="AQ35" s="35">
        <f>AQ34-AQ33</f>
        <v/>
      </c>
      <c r="AR35" s="35">
        <f>AR34-AR33</f>
        <v/>
      </c>
      <c r="AS35" s="35">
        <f>AS34-AS33</f>
        <v/>
      </c>
      <c r="AT35" s="35">
        <f>AT34-AT33</f>
        <v/>
      </c>
      <c r="AU35" s="35">
        <f>AU34-AU33</f>
        <v/>
      </c>
      <c r="AV35" s="35">
        <f>AV34-AV33</f>
        <v/>
      </c>
      <c r="AW35" s="35">
        <f>AW34-AW33</f>
        <v/>
      </c>
      <c r="AX35" s="35">
        <f>AX34-AX33</f>
        <v/>
      </c>
      <c r="AY35" s="35">
        <f>AY34-AY33</f>
        <v/>
      </c>
      <c r="AZ35" s="35">
        <f>AZ34-AZ33</f>
        <v/>
      </c>
      <c r="BA35" s="35">
        <f>BA34-BA33</f>
        <v/>
      </c>
      <c r="BB35" s="35">
        <f>BB34-BB33</f>
        <v/>
      </c>
      <c r="BC35" s="35">
        <f>BC34-BC33</f>
        <v/>
      </c>
      <c r="BD35" s="35">
        <f>BD34-BD33</f>
        <v/>
      </c>
      <c r="BE35" s="35">
        <f>BE34-BE33</f>
        <v/>
      </c>
      <c r="BF35" s="35">
        <f>BF34-BF33</f>
        <v/>
      </c>
      <c r="BG35" s="35">
        <f>BG34-BG33</f>
        <v/>
      </c>
      <c r="BH35" s="35">
        <f>BH34-BH33</f>
        <v/>
      </c>
      <c r="BI35" s="35">
        <f>BI34-BI33</f>
        <v/>
      </c>
      <c r="BJ35" s="35">
        <f>BJ34-BJ33</f>
        <v/>
      </c>
      <c r="BK35" s="35">
        <f>BK34-BK33</f>
        <v/>
      </c>
      <c r="BL35" s="35">
        <f>BL34-BL33</f>
        <v/>
      </c>
      <c r="BM35" s="97">
        <f>SUM(AI35:BL35)</f>
        <v/>
      </c>
      <c r="BN35" s="35">
        <f>BN34-BN33</f>
        <v/>
      </c>
      <c r="BO35" s="35">
        <f>BO34-BO33</f>
        <v/>
      </c>
      <c r="BP35" s="35">
        <f>BP34-BP33</f>
        <v/>
      </c>
      <c r="BQ35" s="35">
        <f>BQ34-BQ33</f>
        <v/>
      </c>
      <c r="BR35" s="35">
        <f>BR34-BR33</f>
        <v/>
      </c>
      <c r="BS35" s="35">
        <f>BS34-BS33</f>
        <v/>
      </c>
      <c r="BT35" s="35">
        <f>BT34-BT33</f>
        <v/>
      </c>
      <c r="BU35" s="35">
        <f>BU34-BU33</f>
        <v/>
      </c>
      <c r="BV35" s="35">
        <f>BV34-BV33</f>
        <v/>
      </c>
      <c r="BW35" s="35">
        <f>BW34-BW33</f>
        <v/>
      </c>
      <c r="BX35" s="35">
        <f>BX34-BX33</f>
        <v/>
      </c>
      <c r="BY35" s="35">
        <f>BY34-BY33</f>
        <v/>
      </c>
      <c r="BZ35" s="35">
        <f>BZ34-BZ33</f>
        <v/>
      </c>
      <c r="CA35" s="35">
        <f>CA34-CA33</f>
        <v/>
      </c>
      <c r="CB35" s="35">
        <f>CB34-CB33</f>
        <v/>
      </c>
      <c r="CC35" s="35">
        <f>CC34-CC33</f>
        <v/>
      </c>
      <c r="CD35" s="35">
        <f>CD34-CD33</f>
        <v/>
      </c>
      <c r="CE35" s="35">
        <f>CE34-CE33</f>
        <v/>
      </c>
      <c r="CF35" s="35">
        <f>CF34-CF33</f>
        <v/>
      </c>
      <c r="CG35" s="35">
        <f>CG34-CG33</f>
        <v/>
      </c>
      <c r="CH35" s="35">
        <f>CH34-CH33</f>
        <v/>
      </c>
      <c r="CI35" s="35">
        <f>CI34-CI33</f>
        <v/>
      </c>
      <c r="CJ35" s="35">
        <f>CJ34-CJ33</f>
        <v/>
      </c>
      <c r="CK35" s="35">
        <f>CK34-CK33</f>
        <v/>
      </c>
      <c r="CL35" s="35">
        <f>CL34-CL33</f>
        <v/>
      </c>
      <c r="CM35" s="35">
        <f>CM34-CM33</f>
        <v/>
      </c>
      <c r="CN35" s="35">
        <f>CN34-CN33</f>
        <v/>
      </c>
      <c r="CO35" s="35">
        <f>CO34-CO33</f>
        <v/>
      </c>
      <c r="CP35" s="35">
        <f>CP34-CP33</f>
        <v/>
      </c>
      <c r="CQ35" s="35">
        <f>CQ34-CQ33</f>
        <v/>
      </c>
      <c r="CR35" s="35">
        <f>CR34-CR33</f>
        <v/>
      </c>
      <c r="CS35" s="111">
        <f>SUM(BN35:CR35)</f>
        <v/>
      </c>
      <c r="CT35" s="35">
        <f>CT34-CT33</f>
        <v/>
      </c>
      <c r="CU35" s="35">
        <f>CU34-CU33</f>
        <v/>
      </c>
      <c r="CV35" s="35">
        <f>CV34-CV33</f>
        <v/>
      </c>
      <c r="CW35" s="35">
        <f>CW34-CW33</f>
        <v/>
      </c>
      <c r="CX35" s="35">
        <f>CX34-CX33</f>
        <v/>
      </c>
      <c r="CY35" s="35">
        <f>CY34-CY33</f>
        <v/>
      </c>
      <c r="CZ35" s="35">
        <f>CZ34-CZ33</f>
        <v/>
      </c>
      <c r="DA35" s="35">
        <f>DA34-DA33</f>
        <v/>
      </c>
      <c r="DB35" s="35">
        <f>DB34-DB33</f>
        <v/>
      </c>
      <c r="DC35" s="35">
        <f>DC34-DC33</f>
        <v/>
      </c>
      <c r="DD35" s="35">
        <f>DD34-DD33</f>
        <v/>
      </c>
      <c r="DE35" s="35">
        <f>DE34-DE33</f>
        <v/>
      </c>
      <c r="DF35" s="35">
        <f>DF34-DF33</f>
        <v/>
      </c>
      <c r="DG35" s="35">
        <f>DG34-DG33</f>
        <v/>
      </c>
      <c r="DH35" s="35">
        <f>DH34-DH33</f>
        <v/>
      </c>
      <c r="DI35" s="35">
        <f>DI34-DI33</f>
        <v/>
      </c>
      <c r="DJ35" s="35">
        <f>DJ34-DJ33</f>
        <v/>
      </c>
      <c r="DK35" s="35">
        <f>DK34-DK33</f>
        <v/>
      </c>
      <c r="DL35" s="35">
        <f>DL34-DL33</f>
        <v/>
      </c>
      <c r="DM35" s="35">
        <f>DM34-DM33</f>
        <v/>
      </c>
      <c r="DN35" s="35">
        <f>DN34-DN33</f>
        <v/>
      </c>
      <c r="DO35" s="35">
        <f>DO34-DO33</f>
        <v/>
      </c>
      <c r="DP35" s="35">
        <f>DP34-DP33</f>
        <v/>
      </c>
      <c r="DQ35" s="35">
        <f>DQ34-DQ33</f>
        <v/>
      </c>
      <c r="DR35" s="35">
        <f>DR34-DR33</f>
        <v/>
      </c>
      <c r="DS35" s="35">
        <f>DS34-DS33</f>
        <v/>
      </c>
      <c r="DT35" s="35">
        <f>DT34-DT33</f>
        <v/>
      </c>
      <c r="DU35" s="35">
        <f>DU34-DU33</f>
        <v/>
      </c>
      <c r="DV35" s="35">
        <f>DV34-DV33</f>
        <v/>
      </c>
      <c r="DW35" s="35">
        <f>DW34-DW33</f>
        <v/>
      </c>
      <c r="DX35" s="119">
        <f>SUM(CT35:DW35)</f>
        <v/>
      </c>
      <c r="DY35" s="35">
        <f>DY34-DY33</f>
        <v/>
      </c>
      <c r="DZ35" s="35">
        <f>DZ34-DZ33</f>
        <v/>
      </c>
      <c r="EA35" s="35">
        <f>EA34-EA33</f>
        <v/>
      </c>
      <c r="EB35" s="35">
        <f>EB34-EB33</f>
        <v/>
      </c>
      <c r="EC35" s="35">
        <f>EC34-EC33</f>
        <v/>
      </c>
      <c r="ED35" s="35">
        <f>ED34-ED33</f>
        <v/>
      </c>
      <c r="EE35" s="35">
        <f>EE34-EE33</f>
        <v/>
      </c>
      <c r="EF35" s="35">
        <f>EF34-EF33</f>
        <v/>
      </c>
      <c r="EG35" s="35">
        <f>EG34-EG33</f>
        <v/>
      </c>
      <c r="EH35" s="35">
        <f>EH34-EH33</f>
        <v/>
      </c>
      <c r="EI35" s="35">
        <f>EI34-EI33</f>
        <v/>
      </c>
      <c r="EJ35" s="35">
        <f>EJ34-EJ33</f>
        <v/>
      </c>
      <c r="EK35" s="35">
        <f>EK34-EK33</f>
        <v/>
      </c>
      <c r="EL35" s="35">
        <f>EL34-EL33</f>
        <v/>
      </c>
      <c r="EM35" s="35">
        <f>EM34-EM33</f>
        <v/>
      </c>
      <c r="EN35" s="35">
        <f>EN34-EN33</f>
        <v/>
      </c>
      <c r="EO35" s="35">
        <f>EO34-EO33</f>
        <v/>
      </c>
      <c r="EP35" s="35">
        <f>EP34-EP33</f>
        <v/>
      </c>
      <c r="EQ35" s="35">
        <f>EQ34-EQ33</f>
        <v/>
      </c>
      <c r="ER35" s="35">
        <f>ER34-ER33</f>
        <v/>
      </c>
      <c r="ES35" s="35">
        <f>ES34-ES33</f>
        <v/>
      </c>
      <c r="ET35" s="35">
        <f>ET34-ET33</f>
        <v/>
      </c>
      <c r="EU35" s="35">
        <f>EU34-EU33</f>
        <v/>
      </c>
      <c r="EV35" s="35">
        <f>EV34-EV33</f>
        <v/>
      </c>
      <c r="EW35" s="35">
        <f>EW34-EW33</f>
        <v/>
      </c>
      <c r="EX35" s="35">
        <f>EX34-EX33</f>
        <v/>
      </c>
      <c r="EY35" s="35">
        <f>EY34-EY33</f>
        <v/>
      </c>
      <c r="EZ35" s="35">
        <f>EZ34-EZ33</f>
        <v/>
      </c>
      <c r="FA35" s="35">
        <f>FA34-FA33</f>
        <v/>
      </c>
      <c r="FB35" s="35">
        <f>FB34-FB33</f>
        <v/>
      </c>
      <c r="FC35" s="35">
        <f>FC34-FC33</f>
        <v/>
      </c>
      <c r="FD35" s="128">
        <f>SUM(DY35:FC35)</f>
        <v/>
      </c>
      <c r="FE35" s="35">
        <f>FE34-FE33</f>
        <v/>
      </c>
      <c r="FF35" s="35">
        <f>FF34-FF33</f>
        <v/>
      </c>
      <c r="FG35" s="35">
        <f>FG34-FG33</f>
        <v/>
      </c>
      <c r="FH35" s="35">
        <f>FH34-FH33</f>
        <v/>
      </c>
      <c r="FI35" s="35">
        <f>FI34-FI33</f>
        <v/>
      </c>
      <c r="FJ35" s="35">
        <f>FJ34-FJ33</f>
        <v/>
      </c>
      <c r="FK35" s="35">
        <f>FK34-FK33</f>
        <v/>
      </c>
      <c r="FL35" s="35">
        <f>FL34-FL33</f>
        <v/>
      </c>
      <c r="FM35" s="35">
        <f>FM34-FM33</f>
        <v/>
      </c>
      <c r="FN35" s="35">
        <f>FN34-FN33</f>
        <v/>
      </c>
      <c r="FO35" s="35">
        <f>FO34-FO33</f>
        <v/>
      </c>
      <c r="FP35" s="35">
        <f>FP34-FP33</f>
        <v/>
      </c>
      <c r="FQ35" s="35">
        <f>FQ34-FQ33</f>
        <v/>
      </c>
      <c r="FR35" s="35">
        <f>FR34-FR33</f>
        <v/>
      </c>
      <c r="FS35" s="35">
        <f>FS34-FS33</f>
        <v/>
      </c>
      <c r="FT35" s="35">
        <f>FT34-FT33</f>
        <v/>
      </c>
      <c r="FU35" s="35">
        <f>FU34-FU33</f>
        <v/>
      </c>
      <c r="FV35" s="35">
        <f>FV34-FV33</f>
        <v/>
      </c>
      <c r="FW35" s="35">
        <f>FW34-FW33</f>
        <v/>
      </c>
      <c r="FX35" s="35">
        <f>FX34-FX33</f>
        <v/>
      </c>
      <c r="FY35" s="35">
        <f>FY34-FY33</f>
        <v/>
      </c>
      <c r="FZ35" s="35">
        <f>FZ34-FZ33</f>
        <v/>
      </c>
      <c r="GA35" s="35">
        <f>GA34-GA33</f>
        <v/>
      </c>
      <c r="GB35" s="35">
        <f>GB34-GB33</f>
        <v/>
      </c>
      <c r="GC35" s="35">
        <f>GC34-GC33</f>
        <v/>
      </c>
      <c r="GD35" s="35">
        <f>GD34-GD33</f>
        <v/>
      </c>
      <c r="GE35" s="35">
        <f>GE34-GE33</f>
        <v/>
      </c>
      <c r="GF35" s="35">
        <f>GF34-GF33</f>
        <v/>
      </c>
      <c r="GG35" s="35">
        <f>GG34-GG33</f>
        <v/>
      </c>
      <c r="GH35" s="35">
        <f>GH34-GH33</f>
        <v/>
      </c>
      <c r="GI35" s="35">
        <f>GI34-GI33</f>
        <v/>
      </c>
      <c r="GJ35" s="127">
        <f>SUM(FE35:GI35)</f>
        <v/>
      </c>
      <c r="GK35" s="35">
        <f>GK34-GK33</f>
        <v/>
      </c>
      <c r="GL35" s="35">
        <f>GL34-GL33</f>
        <v/>
      </c>
      <c r="GM35" s="35">
        <f>GM34-GM33</f>
        <v/>
      </c>
      <c r="GN35" s="35">
        <f>GN34-GN33</f>
        <v/>
      </c>
      <c r="GO35" s="35">
        <f>GO34-GO33</f>
        <v/>
      </c>
      <c r="GP35" s="35">
        <f>GP34-GP33</f>
        <v/>
      </c>
      <c r="GQ35" s="35">
        <f>GQ34-GQ33</f>
        <v/>
      </c>
      <c r="GR35" s="35">
        <f>GR34-GR33</f>
        <v/>
      </c>
      <c r="GS35" s="35">
        <f>GS34-GS33</f>
        <v/>
      </c>
      <c r="GT35" s="35">
        <f>GT34-GT33</f>
        <v/>
      </c>
      <c r="GU35" s="35">
        <f>GU34-GU33</f>
        <v/>
      </c>
      <c r="GV35" s="35">
        <f>GV34-GV33</f>
        <v/>
      </c>
      <c r="GW35" s="35">
        <f>GW34-GW33</f>
        <v/>
      </c>
      <c r="GX35" s="35">
        <f>GX34-GX33</f>
        <v/>
      </c>
      <c r="GY35" s="35">
        <f>GY34-GY33</f>
        <v/>
      </c>
      <c r="GZ35" s="35">
        <f>GZ34-GZ33</f>
        <v/>
      </c>
      <c r="HA35" s="35">
        <f>HA34-HA33</f>
        <v/>
      </c>
      <c r="HB35" s="35">
        <f>HB34-HB33</f>
        <v/>
      </c>
      <c r="HC35" s="35">
        <f>HC34-HC33</f>
        <v/>
      </c>
      <c r="HD35" s="35">
        <f>HD34-HD33</f>
        <v/>
      </c>
      <c r="HE35" s="35">
        <f>HE34-HE33</f>
        <v/>
      </c>
      <c r="HF35" s="35">
        <f>HF34-HF33</f>
        <v/>
      </c>
      <c r="HG35" s="35">
        <f>HG34-HG33</f>
        <v/>
      </c>
      <c r="HH35" s="35">
        <f>HH34-HH33</f>
        <v/>
      </c>
      <c r="HI35" s="35">
        <f>HI34-HI33</f>
        <v/>
      </c>
      <c r="HJ35" s="35">
        <f>HJ34-HJ33</f>
        <v/>
      </c>
      <c r="HK35" s="35">
        <f>HK34-HK33</f>
        <v/>
      </c>
      <c r="HL35" s="35">
        <f>HL34-HL33</f>
        <v/>
      </c>
      <c r="HM35" s="35">
        <f>HM34-HM33</f>
        <v/>
      </c>
      <c r="HN35" s="127">
        <f>SUM(GK35:HM35)</f>
        <v/>
      </c>
      <c r="HO35" s="35">
        <f>HO34-HO33</f>
        <v/>
      </c>
      <c r="HP35" s="35">
        <f>HP34-HP33</f>
        <v/>
      </c>
      <c r="HQ35" s="35">
        <f>HQ34-HQ33</f>
        <v/>
      </c>
      <c r="HR35" s="35">
        <f>HR34-HR33</f>
        <v/>
      </c>
      <c r="HS35" s="35">
        <f>HS34-HS33</f>
        <v/>
      </c>
      <c r="HT35" s="35">
        <f>HT34-HT33</f>
        <v/>
      </c>
      <c r="HU35" s="35">
        <f>HU34-HU33</f>
        <v/>
      </c>
      <c r="HV35" s="35">
        <f>HV34-HV33</f>
        <v/>
      </c>
      <c r="HW35" s="35">
        <f>HW34-HW33</f>
        <v/>
      </c>
      <c r="HX35" s="35">
        <f>HX34-HX33</f>
        <v/>
      </c>
      <c r="HY35" s="35">
        <f>HY34-HY33</f>
        <v/>
      </c>
      <c r="HZ35" s="35">
        <f>HZ34-HZ33</f>
        <v/>
      </c>
      <c r="IA35" s="35">
        <f>IA34-IA33</f>
        <v/>
      </c>
      <c r="IB35" s="35">
        <f>IB34-IB33</f>
        <v/>
      </c>
      <c r="IC35" s="35">
        <f>IC34-IC33</f>
        <v/>
      </c>
      <c r="ID35" s="35">
        <f>ID34-ID33</f>
        <v/>
      </c>
      <c r="IE35" s="35">
        <f>IE34-IE33</f>
        <v/>
      </c>
      <c r="IF35" s="35">
        <f>IF34-IF33</f>
        <v/>
      </c>
      <c r="IG35" s="35">
        <f>IG34-IG33</f>
        <v/>
      </c>
      <c r="IH35" s="35">
        <f>IH34-IH33</f>
        <v/>
      </c>
      <c r="II35" s="35">
        <f>II34-II33</f>
        <v/>
      </c>
      <c r="IJ35" s="35">
        <f>IJ34-IJ33</f>
        <v/>
      </c>
      <c r="IK35" s="35">
        <f>IK34-IK33</f>
        <v/>
      </c>
      <c r="IL35" s="35">
        <f>IL34-IL33</f>
        <v/>
      </c>
      <c r="IM35" s="35">
        <f>IM34-IM33</f>
        <v/>
      </c>
      <c r="IN35" s="35">
        <f>IN34-IN33</f>
        <v/>
      </c>
      <c r="IO35" s="35">
        <f>IO34-IO33</f>
        <v/>
      </c>
      <c r="IP35" s="35">
        <f>IP34-IP33</f>
        <v/>
      </c>
      <c r="IQ35" s="35">
        <f>IQ34-IQ33</f>
        <v/>
      </c>
      <c r="IR35" s="35">
        <f>IR34-IR33</f>
        <v/>
      </c>
      <c r="IS35" s="35">
        <f>IS34-IS33</f>
        <v/>
      </c>
      <c r="IT35" s="127">
        <f>SUM(HO35:IS35)</f>
        <v/>
      </c>
      <c r="IU35" s="35">
        <f>IU34-IU33</f>
        <v/>
      </c>
      <c r="IV35" s="35">
        <f>IV34-IV33</f>
        <v/>
      </c>
      <c r="IW35" s="35">
        <f>IW34-IW33</f>
        <v/>
      </c>
      <c r="IX35" s="35">
        <f>IX34-IX33</f>
        <v/>
      </c>
      <c r="IY35" s="35">
        <f>IY34-IY33</f>
        <v/>
      </c>
      <c r="IZ35" s="35">
        <f>IZ34-IZ33</f>
        <v/>
      </c>
      <c r="JA35" s="35">
        <f>JA34-JA33</f>
        <v/>
      </c>
      <c r="JB35" s="35">
        <f>JB34-JB33</f>
        <v/>
      </c>
      <c r="JC35" s="35">
        <f>JC34-JC33</f>
        <v/>
      </c>
      <c r="JD35" s="35">
        <f>JD34-JD33</f>
        <v/>
      </c>
      <c r="JE35" s="35">
        <f>JE34-JE33</f>
        <v/>
      </c>
      <c r="JF35" s="35">
        <f>JF34-JF33</f>
        <v/>
      </c>
      <c r="JG35" s="35">
        <f>JG34-JG33</f>
        <v/>
      </c>
      <c r="JH35" s="35">
        <f>JH34-JH33</f>
        <v/>
      </c>
      <c r="JI35" s="35">
        <f>JI34-JI33</f>
        <v/>
      </c>
      <c r="JJ35" s="35">
        <f>JJ34-JJ33</f>
        <v/>
      </c>
      <c r="JK35" s="35">
        <f>JK34-JK33</f>
        <v/>
      </c>
      <c r="JL35" s="35">
        <f>JL34-JL33</f>
        <v/>
      </c>
      <c r="JM35" s="35">
        <f>JM34-JM33</f>
        <v/>
      </c>
      <c r="JN35" s="35">
        <f>JN34-JN33</f>
        <v/>
      </c>
      <c r="JO35" s="35">
        <f>JO34-JO33</f>
        <v/>
      </c>
      <c r="JP35" s="35">
        <f>JP34-JP33</f>
        <v/>
      </c>
      <c r="JQ35" s="35">
        <f>JQ34-JQ33</f>
        <v/>
      </c>
      <c r="JR35" s="35">
        <f>JR34-JR33</f>
        <v/>
      </c>
      <c r="JS35" s="35">
        <f>JS34-JS33</f>
        <v/>
      </c>
      <c r="JT35" s="35">
        <f>JT34-JT33</f>
        <v/>
      </c>
      <c r="JU35" s="35">
        <f>JU34-JU33</f>
        <v/>
      </c>
      <c r="JV35" s="35">
        <f>JV34-JV33</f>
        <v/>
      </c>
      <c r="JW35" s="35">
        <f>JW34-JW33</f>
        <v/>
      </c>
      <c r="JX35" s="35">
        <f>JX34-JX33</f>
        <v/>
      </c>
      <c r="JY35" s="127">
        <f>SUM(IU35:JX35)</f>
        <v/>
      </c>
      <c r="JZ35" s="35">
        <f>JZ34-JZ33</f>
        <v/>
      </c>
      <c r="KA35" s="35">
        <f>KA34-KA33</f>
        <v/>
      </c>
      <c r="KB35" s="35">
        <f>KB34-KB33</f>
        <v/>
      </c>
      <c r="KC35" s="35">
        <f>KC34-KC33</f>
        <v/>
      </c>
      <c r="KD35" s="35">
        <f>KD34-KD33</f>
        <v/>
      </c>
      <c r="KE35" s="35">
        <f>KE34-KE33</f>
        <v/>
      </c>
      <c r="KF35" s="35">
        <f>KF34-KF33</f>
        <v/>
      </c>
      <c r="KG35" s="35">
        <f>KG34-KG33</f>
        <v/>
      </c>
      <c r="KH35" s="35">
        <f>KH34-KH33</f>
        <v/>
      </c>
      <c r="KI35" s="35">
        <f>KI34-KI33</f>
        <v/>
      </c>
      <c r="KJ35" s="35">
        <f>KJ34-KJ33</f>
        <v/>
      </c>
      <c r="KK35" s="35">
        <f>KK34-KK33</f>
        <v/>
      </c>
      <c r="KL35" s="35">
        <f>KL34-KL33</f>
        <v/>
      </c>
      <c r="KM35" s="35">
        <f>KM34-KM33</f>
        <v/>
      </c>
      <c r="KN35" s="35">
        <f>KN34-KN33</f>
        <v/>
      </c>
      <c r="KO35" s="35">
        <f>KO34-KO33</f>
        <v/>
      </c>
      <c r="KP35" s="35">
        <f>KP34-KP33</f>
        <v/>
      </c>
      <c r="KQ35" s="35">
        <f>KQ34-KQ33</f>
        <v/>
      </c>
      <c r="KR35" s="35">
        <f>KR34-KR33</f>
        <v/>
      </c>
      <c r="KS35" s="35">
        <f>KS34-KS33</f>
        <v/>
      </c>
      <c r="KT35" s="35">
        <f>KT34-KT33</f>
        <v/>
      </c>
      <c r="KU35" s="35">
        <f>KU34-KU33</f>
        <v/>
      </c>
      <c r="KV35" s="35">
        <f>KV34-KV33</f>
        <v/>
      </c>
      <c r="KW35" s="35">
        <f>KW34-KW33</f>
        <v/>
      </c>
      <c r="KX35" s="35">
        <f>KX34-KX33</f>
        <v/>
      </c>
      <c r="KY35" s="35">
        <f>KY34-KY33</f>
        <v/>
      </c>
      <c r="KZ35" s="35">
        <f>KZ34-KZ33</f>
        <v/>
      </c>
      <c r="LA35" s="35">
        <f>LA34-LA33</f>
        <v/>
      </c>
      <c r="LB35" s="35">
        <f>LB34-LB33</f>
        <v/>
      </c>
      <c r="LC35" s="35">
        <f>LC34-LC33</f>
        <v/>
      </c>
      <c r="LD35" s="35">
        <f>LD34-LD33</f>
        <v/>
      </c>
      <c r="LE35" s="127">
        <f>SUM(KA35:LD35)</f>
        <v/>
      </c>
      <c r="LF35" s="35">
        <f>LF34-LF33</f>
        <v/>
      </c>
      <c r="LG35" s="35">
        <f>LG34-LG33</f>
        <v/>
      </c>
      <c r="LH35" s="35">
        <f>LH34-LH33</f>
        <v/>
      </c>
      <c r="LI35" s="35">
        <f>LI34-LI33</f>
        <v/>
      </c>
      <c r="LJ35" s="35">
        <f>LJ34-LJ33</f>
        <v/>
      </c>
      <c r="LK35" s="35">
        <f>LK34-LK33</f>
        <v/>
      </c>
      <c r="LL35" s="35">
        <f>LL34-LL33</f>
        <v/>
      </c>
      <c r="LM35" s="35">
        <f>LM34-LM33</f>
        <v/>
      </c>
      <c r="LN35" s="35">
        <f>LN34-LN33</f>
        <v/>
      </c>
      <c r="LO35" s="35">
        <f>LO34-LO33</f>
        <v/>
      </c>
      <c r="LP35" s="35">
        <f>LP34-LP33</f>
        <v/>
      </c>
      <c r="LQ35" s="35">
        <f>LQ34-LQ33</f>
        <v/>
      </c>
      <c r="LR35" s="35">
        <f>LR34-LR33</f>
        <v/>
      </c>
      <c r="LS35" s="35">
        <f>LS34-LS33</f>
        <v/>
      </c>
      <c r="LT35" s="35">
        <f>LT34-LT33</f>
        <v/>
      </c>
      <c r="LU35" s="35">
        <f>LU34-LU33</f>
        <v/>
      </c>
      <c r="LV35" s="35">
        <f>LV34-LV33</f>
        <v/>
      </c>
      <c r="LW35" s="35">
        <f>LW34-LW33</f>
        <v/>
      </c>
      <c r="LX35" s="35">
        <f>LX34-LX33</f>
        <v/>
      </c>
      <c r="LY35" s="35">
        <f>LY34-LY33</f>
        <v/>
      </c>
      <c r="LZ35" s="35">
        <f>LZ34-LZ33</f>
        <v/>
      </c>
      <c r="MA35" s="35">
        <f>MA34-MA33</f>
        <v/>
      </c>
      <c r="MB35" s="35">
        <f>MB34-MB33</f>
        <v/>
      </c>
      <c r="MC35" s="35">
        <f>MC34-MC33</f>
        <v/>
      </c>
      <c r="MD35" s="35">
        <f>MD34-MD33</f>
        <v/>
      </c>
      <c r="ME35" s="35">
        <f>ME34-ME33</f>
        <v/>
      </c>
      <c r="MF35" s="35">
        <f>MF34-MF33</f>
        <v/>
      </c>
      <c r="MG35" s="35">
        <f>MG34-MG33</f>
        <v/>
      </c>
      <c r="MH35" s="35">
        <f>MH34-MH33</f>
        <v/>
      </c>
      <c r="MI35" s="35">
        <f>MI34-MI33</f>
        <v/>
      </c>
      <c r="MJ35" s="127">
        <f>SUM(LF35:MI35)</f>
        <v/>
      </c>
      <c r="MK35" s="35">
        <f>MK34-MK33</f>
        <v/>
      </c>
      <c r="ML35" s="35">
        <f>ML34-ML33</f>
        <v/>
      </c>
      <c r="MM35" s="35">
        <f>MM34-MM33</f>
        <v/>
      </c>
      <c r="MN35" s="35">
        <f>MN34-MN33</f>
        <v/>
      </c>
      <c r="MO35" s="35">
        <f>MO34-MO33</f>
        <v/>
      </c>
      <c r="MP35" s="35">
        <f>MP34-MP33</f>
        <v/>
      </c>
      <c r="MQ35" s="35">
        <f>MQ34-MQ33</f>
        <v/>
      </c>
      <c r="MR35" s="35">
        <f>MR34-MR33</f>
        <v/>
      </c>
      <c r="MS35" s="35">
        <f>MS34-MS33</f>
        <v/>
      </c>
      <c r="MT35" s="35">
        <f>MT34-MT33</f>
        <v/>
      </c>
      <c r="MU35" s="35">
        <f>MU34-MU33</f>
        <v/>
      </c>
      <c r="MV35" s="35">
        <f>MV34-MV33</f>
        <v/>
      </c>
      <c r="MW35" s="35">
        <f>MW34-MW33</f>
        <v/>
      </c>
      <c r="MX35" s="35">
        <f>MX34-MX33</f>
        <v/>
      </c>
      <c r="MY35" s="35">
        <f>MY34-MY33</f>
        <v/>
      </c>
      <c r="MZ35" s="35">
        <f>MZ34-MZ33</f>
        <v/>
      </c>
      <c r="NA35" s="35">
        <f>NA34-NA33</f>
        <v/>
      </c>
      <c r="NB35" s="35">
        <f>NB34-NB33</f>
        <v/>
      </c>
      <c r="NC35" s="35">
        <f>NC34-NC33</f>
        <v/>
      </c>
      <c r="ND35" s="35">
        <f>ND34-ND33</f>
        <v/>
      </c>
      <c r="NE35" s="35">
        <f>NE34-NE33</f>
        <v/>
      </c>
      <c r="NF35" s="35">
        <f>NF34-NF33</f>
        <v/>
      </c>
      <c r="NG35" s="35">
        <f>NG34-NG33</f>
        <v/>
      </c>
      <c r="NH35" s="35">
        <f>NH34-NH33</f>
        <v/>
      </c>
      <c r="NI35" s="35">
        <f>NI34-NI33</f>
        <v/>
      </c>
      <c r="NJ35" s="35">
        <f>NJ34-NJ33</f>
        <v/>
      </c>
      <c r="NK35" s="35">
        <f>NK34-NK33</f>
        <v/>
      </c>
      <c r="NL35" s="35">
        <f>NL34-NL33</f>
        <v/>
      </c>
      <c r="NM35" s="35">
        <f>NM34-NM33</f>
        <v/>
      </c>
      <c r="NN35" s="35">
        <f>NN34-NN33</f>
        <v/>
      </c>
      <c r="NO35" s="35">
        <f>NO34-NO33</f>
        <v/>
      </c>
      <c r="NP35" s="127">
        <f>SUM(ML35:NO35)</f>
        <v/>
      </c>
      <c r="NQ35" s="35">
        <f>NQ34-NQ33</f>
        <v/>
      </c>
      <c r="NR35" s="35">
        <f>NR34-NR33</f>
        <v/>
      </c>
      <c r="NS35" s="35">
        <f>NS34-NS33</f>
        <v/>
      </c>
      <c r="NT35" s="35">
        <f>NT34-NT33</f>
        <v/>
      </c>
      <c r="NU35" s="35">
        <f>NU34-NU33</f>
        <v/>
      </c>
      <c r="NV35" s="35">
        <f>NV34-NV33</f>
        <v/>
      </c>
      <c r="NW35" s="35">
        <f>NW34-NW33</f>
        <v/>
      </c>
      <c r="NX35" s="35">
        <f>NX34-NX33</f>
        <v/>
      </c>
      <c r="NY35" s="35">
        <f>NY34-NY33</f>
        <v/>
      </c>
      <c r="NZ35" s="35">
        <f>NZ34-NZ33</f>
        <v/>
      </c>
      <c r="OA35" s="35">
        <f>OA34-OA33</f>
        <v/>
      </c>
      <c r="OB35" s="35">
        <f>OB34-OB33</f>
        <v/>
      </c>
      <c r="OC35" s="35">
        <f>OC34-OC33</f>
        <v/>
      </c>
      <c r="OD35" s="35">
        <f>OD34-OD33</f>
        <v/>
      </c>
      <c r="OE35" s="35">
        <f>OE34-OE33</f>
        <v/>
      </c>
      <c r="OF35" s="35">
        <f>OF34-OF33</f>
        <v/>
      </c>
      <c r="OG35" s="35">
        <f>OG34-OG33</f>
        <v/>
      </c>
      <c r="OH35" s="35">
        <f>OH34-OH33</f>
        <v/>
      </c>
      <c r="OI35" s="35">
        <f>OI34-OI33</f>
        <v/>
      </c>
      <c r="OJ35" s="35">
        <f>OJ34-OJ33</f>
        <v/>
      </c>
      <c r="OK35" s="35">
        <f>OK34-OK33</f>
        <v/>
      </c>
      <c r="OL35" s="35">
        <f>OL34-OL33</f>
        <v/>
      </c>
      <c r="OM35" s="35">
        <f>OM34-OM33</f>
        <v/>
      </c>
      <c r="ON35" s="35">
        <f>ON34-ON33</f>
        <v/>
      </c>
      <c r="OO35" s="35">
        <f>OO34-OO33</f>
        <v/>
      </c>
      <c r="OP35" s="35">
        <f>OP34-OP33</f>
        <v/>
      </c>
      <c r="OQ35" s="35">
        <f>OQ34-OQ33</f>
        <v/>
      </c>
      <c r="OR35" s="35">
        <f>OR34-OR33</f>
        <v/>
      </c>
      <c r="OS35" s="35">
        <f>OS34-OS33</f>
        <v/>
      </c>
      <c r="OT35" s="35">
        <f>OT34-OT33</f>
        <v/>
      </c>
      <c r="OU35" s="35">
        <f>OU34-OU33</f>
        <v/>
      </c>
      <c r="OV35" s="127">
        <f>SUM(NR35:OU35)</f>
        <v/>
      </c>
      <c r="OW35" s="35">
        <f>OW34-OW33</f>
        <v/>
      </c>
      <c r="OX35" s="35">
        <f>OX34-OX33</f>
        <v/>
      </c>
      <c r="OY35" s="35">
        <f>OY34-OY33</f>
        <v/>
      </c>
      <c r="OZ35" s="35">
        <f>OZ34-OZ33</f>
        <v/>
      </c>
      <c r="PA35" s="35">
        <f>PA34-PA33</f>
        <v/>
      </c>
      <c r="PB35" s="35">
        <f>PB34-PB33</f>
        <v/>
      </c>
      <c r="PC35" s="35">
        <f>PC34-PC33</f>
        <v/>
      </c>
      <c r="PD35" s="35">
        <f>PD34-PD33</f>
        <v/>
      </c>
      <c r="PE35" s="35">
        <f>PE34-PE33</f>
        <v/>
      </c>
      <c r="PF35" s="35">
        <f>PF34-PF33</f>
        <v/>
      </c>
      <c r="PG35" s="35">
        <f>PG34-PG33</f>
        <v/>
      </c>
      <c r="PH35" s="35">
        <f>PH34-PH33</f>
        <v/>
      </c>
      <c r="PI35" s="35">
        <f>PI34-PI33</f>
        <v/>
      </c>
      <c r="PJ35" s="35">
        <f>PJ34-PJ33</f>
        <v/>
      </c>
      <c r="PK35" s="35">
        <f>PK34-PK33</f>
        <v/>
      </c>
      <c r="PL35" s="35">
        <f>PL34-PL33</f>
        <v/>
      </c>
      <c r="PM35" s="35">
        <f>PM34-PM33</f>
        <v/>
      </c>
      <c r="PN35" s="35">
        <f>PN34-PN33</f>
        <v/>
      </c>
      <c r="PO35" s="35">
        <f>PO34-PO33</f>
        <v/>
      </c>
      <c r="PP35" s="35">
        <f>PP34-PP33</f>
        <v/>
      </c>
      <c r="PQ35" s="35">
        <f>PQ34-PQ33</f>
        <v/>
      </c>
      <c r="PR35" s="35">
        <f>PR34-PR33</f>
        <v/>
      </c>
      <c r="PS35" s="35">
        <f>PS34-PS33</f>
        <v/>
      </c>
      <c r="PT35" s="35">
        <f>PT34-PT33</f>
        <v/>
      </c>
      <c r="PU35" s="35">
        <f>PU34-PU33</f>
        <v/>
      </c>
      <c r="PV35" s="35">
        <f>PV34-PV33</f>
        <v/>
      </c>
      <c r="PW35" s="35">
        <f>PW34-PW33</f>
        <v/>
      </c>
      <c r="PX35" s="35">
        <f>PX34-PX33</f>
        <v/>
      </c>
      <c r="PY35" s="35">
        <f>PY34-PY33</f>
        <v/>
      </c>
      <c r="PZ35" s="35">
        <f>PZ34-PZ33</f>
        <v/>
      </c>
      <c r="QA35" s="127">
        <f>SUM(OW35:PZ35)</f>
        <v/>
      </c>
      <c r="QB35" s="35">
        <f>QB34-QB33</f>
        <v/>
      </c>
      <c r="QC35" s="35">
        <f>QC34-QC33</f>
        <v/>
      </c>
      <c r="QD35" s="35">
        <f>QD34-QD33</f>
        <v/>
      </c>
      <c r="QE35" s="35">
        <f>QE34-QE33</f>
        <v/>
      </c>
      <c r="QF35" s="35">
        <f>QF34-QF33</f>
        <v/>
      </c>
      <c r="QG35" s="35">
        <f>QG34-QG33</f>
        <v/>
      </c>
      <c r="QH35" s="35">
        <f>QH34-QH33</f>
        <v/>
      </c>
      <c r="QI35" s="35">
        <f>QI34-QI33</f>
        <v/>
      </c>
      <c r="QJ35" s="35">
        <f>QJ34-QJ33</f>
        <v/>
      </c>
      <c r="QK35" s="35">
        <f>QK34-QK33</f>
        <v/>
      </c>
      <c r="QL35" s="35">
        <f>QL34-QL33</f>
        <v/>
      </c>
      <c r="QM35" s="35">
        <f>QM34-QM33</f>
        <v/>
      </c>
      <c r="QN35" s="35">
        <f>QN34-QN33</f>
        <v/>
      </c>
      <c r="QO35" s="35">
        <f>QO34-QO33</f>
        <v/>
      </c>
      <c r="QP35" s="35">
        <f>QP34-QP33</f>
        <v/>
      </c>
      <c r="QQ35" s="35">
        <f>QQ34-QQ33</f>
        <v/>
      </c>
      <c r="QR35" s="35">
        <f>QR34-QR33</f>
        <v/>
      </c>
      <c r="QS35" s="35">
        <f>QS34-QS33</f>
        <v/>
      </c>
      <c r="QT35" s="35">
        <f>QT34-QT33</f>
        <v/>
      </c>
      <c r="QU35" s="35">
        <f>QU34-QU33</f>
        <v/>
      </c>
      <c r="QV35" s="35">
        <f>QV34-QV33</f>
        <v/>
      </c>
      <c r="QW35" s="35">
        <f>QW34-QW33</f>
        <v/>
      </c>
      <c r="QX35" s="35">
        <f>QX34-QX33</f>
        <v/>
      </c>
      <c r="QY35" s="35">
        <f>QY34-QY33</f>
        <v/>
      </c>
      <c r="QZ35" s="35">
        <f>QZ34-QZ33</f>
        <v/>
      </c>
      <c r="RA35" s="35">
        <f>RA34-RA33</f>
        <v/>
      </c>
      <c r="RB35" s="35">
        <f>RB34-RB33</f>
        <v/>
      </c>
      <c r="RC35" s="35">
        <f>RC34-RC33</f>
        <v/>
      </c>
      <c r="RD35" s="35">
        <f>RD34-RD33</f>
        <v/>
      </c>
      <c r="RE35" s="35">
        <f>RE34-RE33</f>
        <v/>
      </c>
      <c r="RF35" s="35">
        <f>RF34-RF33</f>
        <v/>
      </c>
      <c r="RG35" s="127">
        <f>SUM(QB35:RF35)</f>
        <v/>
      </c>
      <c r="RH35" s="35">
        <f>RH34-RH33</f>
        <v/>
      </c>
      <c r="RI35" s="35">
        <f>RI34-RI33</f>
        <v/>
      </c>
      <c r="RJ35" s="35">
        <f>RJ34-RJ33</f>
        <v/>
      </c>
      <c r="RK35" s="35">
        <f>RK34-RK33</f>
        <v/>
      </c>
      <c r="RL35" s="35">
        <f>RL34-RL33</f>
        <v/>
      </c>
      <c r="RM35" s="35">
        <f>RM34-RM33</f>
        <v/>
      </c>
      <c r="RN35" s="35">
        <f>RN34-RN33</f>
        <v/>
      </c>
      <c r="RO35" s="35">
        <f>RO34-RO33</f>
        <v/>
      </c>
      <c r="RP35" s="35">
        <f>RP34-RP33</f>
        <v/>
      </c>
      <c r="RQ35" s="35">
        <f>RQ34-RQ33</f>
        <v/>
      </c>
      <c r="RR35" s="35">
        <f>RR34-RR33</f>
        <v/>
      </c>
      <c r="RS35" s="35">
        <f>RS34-RS33</f>
        <v/>
      </c>
      <c r="RT35" s="35">
        <f>RT34-RT33</f>
        <v/>
      </c>
      <c r="RU35" s="35">
        <f>RU34-RU33</f>
        <v/>
      </c>
      <c r="RV35" s="35">
        <f>RV34-RV33</f>
        <v/>
      </c>
      <c r="RW35" s="35">
        <f>RW34-RW33</f>
        <v/>
      </c>
      <c r="RX35" s="35">
        <f>RX34-RX33</f>
        <v/>
      </c>
      <c r="RY35" s="35">
        <f>RY34-RY33</f>
        <v/>
      </c>
      <c r="RZ35" s="35">
        <f>RZ34-RZ33</f>
        <v/>
      </c>
      <c r="SA35" s="35">
        <f>SA34-SA33</f>
        <v/>
      </c>
      <c r="SB35" s="35">
        <f>SB34-SB33</f>
        <v/>
      </c>
      <c r="SC35" s="35">
        <f>SC34-SC33</f>
        <v/>
      </c>
      <c r="SD35" s="35">
        <f>SD34-SD33</f>
        <v/>
      </c>
      <c r="SE35" s="35">
        <f>SE34-SE33</f>
        <v/>
      </c>
      <c r="SF35" s="35">
        <f>SF34-SF33</f>
        <v/>
      </c>
      <c r="SG35" s="35">
        <f>SG34-SG33</f>
        <v/>
      </c>
      <c r="SH35" s="35">
        <f>SH34-SH33</f>
        <v/>
      </c>
      <c r="SI35" s="35">
        <f>SI34-SI33</f>
        <v/>
      </c>
      <c r="SJ35" s="35">
        <f>SJ34-SJ33</f>
        <v/>
      </c>
      <c r="SK35" s="35">
        <f>SK34-SK33</f>
        <v/>
      </c>
      <c r="SL35" s="127">
        <f>SUM(RG35:SK35)</f>
        <v/>
      </c>
      <c r="SM35" s="35">
        <f>SM34-SM33</f>
        <v/>
      </c>
      <c r="SN35" s="35">
        <f>SN34-SN33</f>
        <v/>
      </c>
      <c r="SO35" s="35">
        <f>SO34-SO33</f>
        <v/>
      </c>
      <c r="SP35" s="35">
        <f>SP34-SP33</f>
        <v/>
      </c>
      <c r="SQ35" s="35">
        <f>SQ34-SQ33</f>
        <v/>
      </c>
      <c r="SR35" s="35">
        <f>SR34-SR33</f>
        <v/>
      </c>
      <c r="SS35" s="35">
        <f>SS34-SS33</f>
        <v/>
      </c>
      <c r="ST35" s="35">
        <f>ST34-ST33</f>
        <v/>
      </c>
      <c r="SU35" s="35">
        <f>SU34-SU33</f>
        <v/>
      </c>
      <c r="SV35" s="35">
        <f>SV34-SV33</f>
        <v/>
      </c>
      <c r="SW35" s="35">
        <f>SW34-SW33</f>
        <v/>
      </c>
      <c r="SX35" s="35">
        <f>SX34-SX33</f>
        <v/>
      </c>
      <c r="SY35" s="35">
        <f>SY34-SY33</f>
        <v/>
      </c>
      <c r="SZ35" s="35">
        <f>SZ34-SZ33</f>
        <v/>
      </c>
      <c r="TA35" s="35">
        <f>TA34-TA33</f>
        <v/>
      </c>
      <c r="TB35" s="35">
        <f>TB34-TB33</f>
        <v/>
      </c>
      <c r="TC35" s="35">
        <f>TC34-TC33</f>
        <v/>
      </c>
      <c r="TD35" s="35">
        <f>TD34-TD33</f>
        <v/>
      </c>
      <c r="TE35" s="35">
        <f>TE34-TE33</f>
        <v/>
      </c>
      <c r="TF35" s="35">
        <f>TF34-TF33</f>
        <v/>
      </c>
      <c r="TG35" s="35">
        <f>TG34-TG33</f>
        <v/>
      </c>
      <c r="TH35" s="35">
        <f>TH34-TH33</f>
        <v/>
      </c>
      <c r="TI35" s="35">
        <f>TI34-TI33</f>
        <v/>
      </c>
      <c r="TJ35" s="35">
        <f>TJ34-TJ33</f>
        <v/>
      </c>
      <c r="TK35" s="35">
        <f>TK34-TK33</f>
        <v/>
      </c>
      <c r="TL35" s="35">
        <f>TL34-TL33</f>
        <v/>
      </c>
      <c r="TM35" s="35">
        <f>TM34-TM33</f>
        <v/>
      </c>
      <c r="TN35" s="35">
        <f>TN34-TN33</f>
        <v/>
      </c>
      <c r="TO35" s="35">
        <f>TO34-TO33</f>
        <v/>
      </c>
      <c r="TP35" s="35">
        <f>TP34-TP33</f>
        <v/>
      </c>
      <c r="TQ35" s="35">
        <f>TQ34-TQ33</f>
        <v/>
      </c>
      <c r="TR35" s="127">
        <f>SUM(SM35:TQ35)</f>
        <v/>
      </c>
      <c r="TS35" s="35">
        <f>TS34-TS33</f>
        <v/>
      </c>
      <c r="TT35" s="35">
        <f>TT34-TT33</f>
        <v/>
      </c>
      <c r="TU35" s="35">
        <f>TU34-TU33</f>
        <v/>
      </c>
      <c r="TV35" s="35">
        <f>TV34-TV33</f>
        <v/>
      </c>
      <c r="TW35" s="35">
        <f>TW34-TW33</f>
        <v/>
      </c>
      <c r="TX35" s="35">
        <f>TX34-TX33</f>
        <v/>
      </c>
      <c r="TY35" s="35">
        <f>TY34-TY33</f>
        <v/>
      </c>
      <c r="TZ35" s="35">
        <f>TZ34-TZ33</f>
        <v/>
      </c>
      <c r="UA35" s="35">
        <f>UA34-UA33</f>
        <v/>
      </c>
      <c r="UB35" s="35">
        <f>UB34-UB33</f>
        <v/>
      </c>
      <c r="UC35" s="35">
        <f>UC34-UC33</f>
        <v/>
      </c>
      <c r="UD35" s="35">
        <f>UD34-UD33</f>
        <v/>
      </c>
      <c r="UE35" s="35">
        <f>UE34-UE33</f>
        <v/>
      </c>
      <c r="UF35" s="35">
        <f>UF34-UF33</f>
        <v/>
      </c>
      <c r="UG35" s="35">
        <f>UG34-UG33</f>
        <v/>
      </c>
      <c r="UH35" s="35">
        <f>UH34-UH33</f>
        <v/>
      </c>
      <c r="UI35" s="35">
        <f>UI34-UI33</f>
        <v/>
      </c>
      <c r="UJ35" s="35">
        <f>UJ34-UJ33</f>
        <v/>
      </c>
      <c r="UK35" s="35">
        <f>UK34-UK33</f>
        <v/>
      </c>
      <c r="UL35" s="35">
        <f>UL34-UL33</f>
        <v/>
      </c>
      <c r="UM35" s="35">
        <f>UM34-UM33</f>
        <v/>
      </c>
      <c r="UN35" s="35">
        <f>UN34-UN33</f>
        <v/>
      </c>
      <c r="UO35" s="35">
        <f>UO34-UO33</f>
        <v/>
      </c>
      <c r="UP35" s="35">
        <f>UP34-UP33</f>
        <v/>
      </c>
      <c r="UQ35" s="35">
        <f>UQ34-UQ33</f>
        <v/>
      </c>
      <c r="UR35" s="35">
        <f>UR34-UR33</f>
        <v/>
      </c>
      <c r="US35" s="35">
        <f>US34-US33</f>
        <v/>
      </c>
      <c r="UT35" s="35">
        <f>UT34-UT33</f>
        <v/>
      </c>
      <c r="UU35" s="35">
        <f>UU34-UU33</f>
        <v/>
      </c>
      <c r="UV35" s="35">
        <f>UV34-UV33</f>
        <v/>
      </c>
      <c r="UW35" s="35">
        <f>UW34-UW33</f>
        <v/>
      </c>
      <c r="UX35" s="127">
        <f>SUM(TS35:UW35)</f>
        <v/>
      </c>
      <c r="UY35" s="35">
        <f>UY34-UY33</f>
        <v/>
      </c>
      <c r="UZ35" s="35">
        <f>UZ34-UZ33</f>
        <v/>
      </c>
      <c r="VA35" s="35">
        <f>VA34-VA33</f>
        <v/>
      </c>
      <c r="VB35" s="35">
        <f>VB34-VB33</f>
        <v/>
      </c>
      <c r="VC35" s="35">
        <f>VC34-VC33</f>
        <v/>
      </c>
      <c r="VD35" s="35">
        <f>VD34-VD33</f>
        <v/>
      </c>
      <c r="VE35" s="35">
        <f>VE34-VE33</f>
        <v/>
      </c>
      <c r="VF35" s="35">
        <f>VF34-VF33</f>
        <v/>
      </c>
      <c r="VG35" s="35">
        <f>VG34-VG33</f>
        <v/>
      </c>
      <c r="VH35" s="35">
        <f>VH34-VH33</f>
        <v/>
      </c>
      <c r="VI35" s="35">
        <f>VI34-VI33</f>
        <v/>
      </c>
      <c r="VJ35" s="35">
        <f>VJ34-VJ33</f>
        <v/>
      </c>
      <c r="VK35" s="35">
        <f>VK34-VK33</f>
        <v/>
      </c>
      <c r="VL35" s="35">
        <f>VL34-VL33</f>
        <v/>
      </c>
      <c r="VM35" s="35">
        <f>VM34-VM33</f>
        <v/>
      </c>
      <c r="VN35" s="35">
        <f>VN34-VN33</f>
        <v/>
      </c>
      <c r="VO35" s="35">
        <f>VO34-VO33</f>
        <v/>
      </c>
      <c r="VP35" s="35">
        <f>VP34-VP33</f>
        <v/>
      </c>
      <c r="VQ35" s="35">
        <f>VQ34-VQ33</f>
        <v/>
      </c>
      <c r="VR35" s="35">
        <f>VR34-VR33</f>
        <v/>
      </c>
      <c r="VS35" s="35">
        <f>VS34-VS33</f>
        <v/>
      </c>
      <c r="VT35" s="35">
        <f>VT34-VT33</f>
        <v/>
      </c>
      <c r="VU35" s="35">
        <f>VU34-VU33</f>
        <v/>
      </c>
      <c r="VV35" s="35">
        <f>VV34-VV33</f>
        <v/>
      </c>
      <c r="VW35" s="35">
        <f>VW34-VW33</f>
        <v/>
      </c>
      <c r="VX35" s="35">
        <f>VX34-VX33</f>
        <v/>
      </c>
      <c r="VY35" s="35">
        <f>VY34-VY33</f>
        <v/>
      </c>
      <c r="VZ35" s="35">
        <f>VZ34-VZ33</f>
        <v/>
      </c>
      <c r="WA35" s="127">
        <f>SUM(UY35:VZ35)</f>
        <v/>
      </c>
      <c r="WB35" s="35">
        <f>WB34-WB33</f>
        <v/>
      </c>
      <c r="WC35" s="35">
        <f>WC34-WC33</f>
        <v/>
      </c>
      <c r="WD35" s="35">
        <f>WD34-WD33</f>
        <v/>
      </c>
      <c r="WE35" s="35">
        <f>WE34-WE33</f>
        <v/>
      </c>
      <c r="WF35" s="35">
        <f>WF34-WF33</f>
        <v/>
      </c>
      <c r="WG35" s="35">
        <f>WG34-WG33</f>
        <v/>
      </c>
      <c r="WH35" s="35">
        <f>WH34-WH33</f>
        <v/>
      </c>
      <c r="WI35" s="35">
        <f>WI34-WI33</f>
        <v/>
      </c>
      <c r="WJ35" s="35">
        <f>WJ34-WJ33</f>
        <v/>
      </c>
      <c r="WK35" s="35">
        <f>WK34-WK33</f>
        <v/>
      </c>
      <c r="WL35" s="35">
        <f>WL34-WL33</f>
        <v/>
      </c>
      <c r="WM35" s="35">
        <f>WM34-WM33</f>
        <v/>
      </c>
      <c r="WN35" s="35">
        <f>WN34-WN33</f>
        <v/>
      </c>
      <c r="WO35" s="35">
        <f>WO34-WO33</f>
        <v/>
      </c>
      <c r="WP35" s="35">
        <f>WP34-WP33</f>
        <v/>
      </c>
      <c r="WQ35" s="35">
        <f>WQ34-WQ33</f>
        <v/>
      </c>
      <c r="WR35" s="35">
        <f>WR34-WR33</f>
        <v/>
      </c>
      <c r="WS35" s="35">
        <f>WS34-WS33</f>
        <v/>
      </c>
      <c r="WT35" s="35">
        <f>WT34-WT33</f>
        <v/>
      </c>
      <c r="WU35" s="35">
        <f>WU34-WU33</f>
        <v/>
      </c>
      <c r="WV35" s="35">
        <f>WV34-WV33</f>
        <v/>
      </c>
      <c r="WW35" s="35">
        <f>WW34-WW33</f>
        <v/>
      </c>
      <c r="WX35" s="35">
        <f>WX34-WX33</f>
        <v/>
      </c>
      <c r="WY35" s="35">
        <f>WY34-WY33</f>
        <v/>
      </c>
      <c r="WZ35" s="35">
        <f>WZ34-WZ33</f>
        <v/>
      </c>
      <c r="XA35" s="35">
        <f>XA34-XA33</f>
        <v/>
      </c>
      <c r="XB35" s="35">
        <f>XB34-XB33</f>
        <v/>
      </c>
      <c r="XC35" s="35">
        <f>XC34-XC33</f>
        <v/>
      </c>
      <c r="XD35" s="35">
        <f>XD34-XD33</f>
        <v/>
      </c>
      <c r="XE35" s="35">
        <f>XE34-XE33</f>
        <v/>
      </c>
      <c r="XF35" s="35">
        <f>XF34-XF33</f>
        <v/>
      </c>
      <c r="XG35" s="127">
        <f>SUM(WB35:XF35)</f>
        <v/>
      </c>
      <c r="XH35" s="35">
        <f>XH34-XH33</f>
        <v/>
      </c>
      <c r="XI35" s="35">
        <f>XI34-XI33</f>
        <v/>
      </c>
      <c r="XJ35" s="35">
        <f>XJ34-XJ33</f>
        <v/>
      </c>
      <c r="XK35" s="35">
        <f>XK34-XK33</f>
        <v/>
      </c>
      <c r="XL35" s="35">
        <f>XL34-XL33</f>
        <v/>
      </c>
      <c r="XM35" s="35">
        <f>XM34-XM33</f>
        <v/>
      </c>
      <c r="XN35" s="35">
        <f>XN34-XN33</f>
        <v/>
      </c>
      <c r="XO35" s="35">
        <f>XO34-XO33</f>
        <v/>
      </c>
      <c r="XP35" s="35">
        <f>XP34-XP33</f>
        <v/>
      </c>
      <c r="XQ35" s="35">
        <f>XQ34-XQ33</f>
        <v/>
      </c>
      <c r="XR35" s="35">
        <f>XR34-XR33</f>
        <v/>
      </c>
      <c r="XS35" s="35">
        <f>XS34-XS33</f>
        <v/>
      </c>
      <c r="XT35" s="35">
        <f>XT34-XT33</f>
        <v/>
      </c>
      <c r="XU35" s="35">
        <f>XU34-XU33</f>
        <v/>
      </c>
      <c r="XV35" s="35">
        <f>XV34-XV33</f>
        <v/>
      </c>
      <c r="XW35" s="35">
        <f>XW34-XW33</f>
        <v/>
      </c>
      <c r="XX35" s="35">
        <f>XX34-XX33</f>
        <v/>
      </c>
      <c r="XY35" s="35">
        <f>XY34-XY33</f>
        <v/>
      </c>
      <c r="XZ35" s="35">
        <f>XZ34-XZ33</f>
        <v/>
      </c>
      <c r="YA35" s="35">
        <f>YA34-YA33</f>
        <v/>
      </c>
      <c r="YB35" s="35">
        <f>YB34-YB33</f>
        <v/>
      </c>
      <c r="YC35" s="35">
        <f>YC34-YC33</f>
        <v/>
      </c>
      <c r="YD35" s="35">
        <f>YD34-YD33</f>
        <v/>
      </c>
      <c r="YE35" s="35">
        <f>YE34-YE33</f>
        <v/>
      </c>
      <c r="YF35" s="35">
        <f>YF34-YF33</f>
        <v/>
      </c>
      <c r="YG35" s="35">
        <f>YG34-YG33</f>
        <v/>
      </c>
      <c r="YH35" s="35">
        <f>YH34-YH33</f>
        <v/>
      </c>
      <c r="YI35" s="35">
        <f>YI34-YI33</f>
        <v/>
      </c>
      <c r="YJ35" s="35">
        <f>YJ34-YJ33</f>
        <v/>
      </c>
      <c r="YK35" s="35">
        <f>YK34-YK33</f>
        <v/>
      </c>
      <c r="YL35" s="127">
        <f>SUM(XH35:YK35)</f>
        <v/>
      </c>
      <c r="YM35" s="35">
        <f>YM34-YM33</f>
        <v/>
      </c>
      <c r="YN35" s="35">
        <f>YN34-YN33</f>
        <v/>
      </c>
      <c r="YO35" s="35">
        <f>YO34-YO33</f>
        <v/>
      </c>
      <c r="YP35" s="35">
        <f>YP34-YP33</f>
        <v/>
      </c>
      <c r="YQ35" s="35">
        <f>YQ34-YQ33</f>
        <v/>
      </c>
      <c r="YR35" s="35">
        <f>YR34-YR33</f>
        <v/>
      </c>
      <c r="YS35" s="35">
        <f>YS34-YS33</f>
        <v/>
      </c>
      <c r="YT35" s="35">
        <f>YT34-YT33</f>
        <v/>
      </c>
      <c r="YU35" s="35">
        <f>YU34-YU33</f>
        <v/>
      </c>
      <c r="YV35" s="35">
        <f>YV34-YV33</f>
        <v/>
      </c>
      <c r="YW35" s="35">
        <f>YW34-YW33</f>
        <v/>
      </c>
      <c r="YX35" s="35">
        <f>YX34-YX33</f>
        <v/>
      </c>
      <c r="YY35" s="35">
        <f>YY34-YY33</f>
        <v/>
      </c>
      <c r="YZ35" s="35">
        <f>YZ34-YZ33</f>
        <v/>
      </c>
      <c r="ZA35" s="35">
        <f>ZA34-ZA33</f>
        <v/>
      </c>
      <c r="ZB35" s="35">
        <f>ZB34-ZB33</f>
        <v/>
      </c>
      <c r="ZC35" s="35">
        <f>ZC34-ZC33</f>
        <v/>
      </c>
      <c r="ZD35" s="35">
        <f>ZD34-ZD33</f>
        <v/>
      </c>
      <c r="ZE35" s="35">
        <f>ZE34-ZE33</f>
        <v/>
      </c>
      <c r="ZF35" s="35">
        <f>ZF34-ZF33</f>
        <v/>
      </c>
      <c r="ZG35" s="35">
        <f>ZG34-ZG33</f>
        <v/>
      </c>
      <c r="ZH35" s="35">
        <f>ZH34-ZH33</f>
        <v/>
      </c>
      <c r="ZI35" s="35">
        <f>ZI34-ZI33</f>
        <v/>
      </c>
      <c r="ZJ35" s="35">
        <f>ZJ34-ZJ33</f>
        <v/>
      </c>
      <c r="ZK35" s="35">
        <f>ZK34-ZK33</f>
        <v/>
      </c>
      <c r="ZL35" s="35">
        <f>ZL34-ZL33</f>
        <v/>
      </c>
      <c r="ZM35" s="35">
        <f>ZM34-ZM33</f>
        <v/>
      </c>
      <c r="ZN35" s="35">
        <f>ZN34-ZN33</f>
        <v/>
      </c>
      <c r="ZO35" s="35">
        <f>ZO34-ZO33</f>
        <v/>
      </c>
      <c r="ZP35" s="35">
        <f>ZP34-ZP33</f>
        <v/>
      </c>
      <c r="ZQ35" s="35">
        <f>ZQ34-ZQ33</f>
        <v/>
      </c>
      <c r="ZR35" s="127">
        <f>SUM(YM35:ZQ35)</f>
        <v/>
      </c>
      <c r="ZS35" s="35">
        <f>ZS34-ZS33</f>
        <v/>
      </c>
      <c r="ZT35" s="35">
        <f>ZT34-ZT33</f>
        <v/>
      </c>
      <c r="ZU35" s="35">
        <f>ZU34-ZU33</f>
        <v/>
      </c>
      <c r="ZV35" s="35">
        <f>ZV34-ZV33</f>
        <v/>
      </c>
      <c r="ZW35" s="35">
        <f>ZW34-ZW33</f>
        <v/>
      </c>
      <c r="ZX35" s="35">
        <f>ZX34-ZX33</f>
        <v/>
      </c>
      <c r="ZY35" s="35">
        <f>ZY34-ZY33</f>
        <v/>
      </c>
      <c r="ZZ35" s="35">
        <f>ZZ34-ZZ33</f>
        <v/>
      </c>
      <c r="AAA35" s="35">
        <f>AAA34-AAA33</f>
        <v/>
      </c>
      <c r="AAB35" s="35">
        <f>AAB34-AAB33</f>
        <v/>
      </c>
      <c r="AAC35" s="35">
        <f>AAC34-AAC33</f>
        <v/>
      </c>
      <c r="AAD35" s="35">
        <f>AAD34-AAD33</f>
        <v/>
      </c>
      <c r="AAE35" s="35">
        <f>AAE34-AAE33</f>
        <v/>
      </c>
      <c r="AAF35" s="35">
        <f>AAF34-AAF33</f>
        <v/>
      </c>
      <c r="AAG35" s="35">
        <f>AAG34-AAG33</f>
        <v/>
      </c>
      <c r="AAH35" s="35">
        <f>AAH34-AAH33</f>
        <v/>
      </c>
      <c r="AAI35" s="35">
        <f>AAI34-AAI33</f>
        <v/>
      </c>
      <c r="AAJ35" s="35">
        <f>AAJ34-AAJ33</f>
        <v/>
      </c>
      <c r="AAK35" s="35">
        <f>AAK34-AAK33</f>
        <v/>
      </c>
      <c r="AAL35" s="35">
        <f>AAL34-AAL33</f>
        <v/>
      </c>
      <c r="AAM35" s="35">
        <f>AAM34-AAM33</f>
        <v/>
      </c>
      <c r="AAN35" s="35">
        <f>AAN34-AAN33</f>
        <v/>
      </c>
      <c r="AAO35" s="35">
        <f>AAO34-AAO33</f>
        <v/>
      </c>
      <c r="AAP35" s="35">
        <f>AAP34-AAP33</f>
        <v/>
      </c>
      <c r="AAQ35" s="35">
        <f>AAQ34-AAQ33</f>
        <v/>
      </c>
      <c r="AAR35" s="35">
        <f>AAR34-AAR33</f>
        <v/>
      </c>
      <c r="AAS35" s="35">
        <f>AAS34-AAS33</f>
        <v/>
      </c>
      <c r="AAT35" s="35">
        <f>AAT34-AAT33</f>
        <v/>
      </c>
      <c r="AAU35" s="35">
        <f>AAU34-AAU33</f>
        <v/>
      </c>
      <c r="AAV35" s="35">
        <f>AAV34-AAV33</f>
        <v/>
      </c>
      <c r="AAW35" s="127">
        <f>SUM(ZS35:AAV35)</f>
        <v/>
      </c>
      <c r="AAX35" s="35">
        <f>AAX34-AAX33</f>
        <v/>
      </c>
      <c r="AAY35" s="35">
        <f>AAY34-AAY33</f>
        <v/>
      </c>
      <c r="AAZ35" s="35">
        <f>AAZ34-AAZ33</f>
        <v/>
      </c>
      <c r="ABA35" s="35">
        <f>ABA34-ABA33</f>
        <v/>
      </c>
      <c r="ABB35" s="35">
        <f>ABB34-ABB33</f>
        <v/>
      </c>
      <c r="ABC35" s="35">
        <f>ABC34-ABC33</f>
        <v/>
      </c>
      <c r="ABD35" s="35">
        <f>ABD34-ABD33</f>
        <v/>
      </c>
      <c r="ABE35" s="35">
        <f>ABE34-ABE33</f>
        <v/>
      </c>
      <c r="ABF35" s="35">
        <f>ABF34-ABF33</f>
        <v/>
      </c>
      <c r="ABG35" s="35">
        <f>ABG34-ABG33</f>
        <v/>
      </c>
      <c r="ABH35" s="35">
        <f>ABH34-ABH33</f>
        <v/>
      </c>
      <c r="ABI35" s="35">
        <f>ABI34-ABI33</f>
        <v/>
      </c>
      <c r="ABJ35" s="35">
        <f>ABJ34-ABJ33</f>
        <v/>
      </c>
      <c r="ABK35" s="35">
        <f>ABK34-ABK33</f>
        <v/>
      </c>
      <c r="ABL35" s="35">
        <f>ABL34-ABL33</f>
        <v/>
      </c>
      <c r="ABM35" s="35">
        <f>ABM34-ABM33</f>
        <v/>
      </c>
      <c r="ABN35" s="35">
        <f>ABN34-ABN33</f>
        <v/>
      </c>
      <c r="ABO35" s="35">
        <f>ABO34-ABO33</f>
        <v/>
      </c>
      <c r="ABP35" s="35">
        <f>ABP34-ABP33</f>
        <v/>
      </c>
      <c r="ABQ35" s="35">
        <f>ABQ34-ABQ33</f>
        <v/>
      </c>
      <c r="ABR35" s="35">
        <f>ABR34-ABR33</f>
        <v/>
      </c>
      <c r="ABS35" s="35">
        <f>ABS34-ABS33</f>
        <v/>
      </c>
      <c r="ABT35" s="35">
        <f>ABT34-ABT33</f>
        <v/>
      </c>
      <c r="ABU35" s="35">
        <f>ABU34-ABU33</f>
        <v/>
      </c>
      <c r="ABV35" s="35">
        <f>ABV34-ABV33</f>
        <v/>
      </c>
      <c r="ABW35" s="35">
        <f>ABW34-ABW33</f>
        <v/>
      </c>
      <c r="ABX35" s="35">
        <f>ABX34-ABX33</f>
        <v/>
      </c>
      <c r="ABY35" s="35">
        <f>ABY34-ABY33</f>
        <v/>
      </c>
      <c r="ABZ35" s="35">
        <f>ABZ34-ABZ33</f>
        <v/>
      </c>
      <c r="ACA35" s="35">
        <f>ACA34-ACA33</f>
        <v/>
      </c>
      <c r="ACB35" s="35">
        <f>ACB34-ACB33</f>
        <v/>
      </c>
      <c r="ACC35" s="127">
        <f>SUM(AAX35:ACB35)</f>
        <v/>
      </c>
      <c r="ACD35" s="35">
        <f>ACD34-ACD33</f>
        <v/>
      </c>
      <c r="ACE35" s="35">
        <f>ACE34-ACE33</f>
        <v/>
      </c>
      <c r="ACF35" s="35">
        <f>ACF34-ACF33</f>
        <v/>
      </c>
      <c r="ACG35" s="35">
        <f>ACG34-ACG33</f>
        <v/>
      </c>
      <c r="ACH35" s="35">
        <f>ACH34-ACH33</f>
        <v/>
      </c>
      <c r="ACI35" s="35">
        <f>ACI34-ACI33</f>
        <v/>
      </c>
      <c r="ACJ35" s="35">
        <f>ACJ34-ACJ33</f>
        <v/>
      </c>
      <c r="ACK35" s="35">
        <f>ACK34-ACK33</f>
        <v/>
      </c>
      <c r="ACL35" s="35">
        <f>ACL34-ACL33</f>
        <v/>
      </c>
      <c r="ACM35" s="35">
        <f>ACM34-ACM33</f>
        <v/>
      </c>
      <c r="ACN35" s="35">
        <f>ACN34-ACN33</f>
        <v/>
      </c>
      <c r="ACO35" s="35">
        <f>ACO34-ACO33</f>
        <v/>
      </c>
      <c r="ACP35" s="35">
        <f>ACP34-ACP33</f>
        <v/>
      </c>
      <c r="ACQ35" s="35">
        <f>ACQ34-ACQ33</f>
        <v/>
      </c>
      <c r="ACR35" s="35">
        <f>ACR34-ACR33</f>
        <v/>
      </c>
      <c r="ACS35" s="35">
        <f>ACS34-ACS33</f>
        <v/>
      </c>
      <c r="ACT35" s="35">
        <f>ACT34-ACT33</f>
        <v/>
      </c>
      <c r="ACU35" s="35">
        <f>ACU34-ACU33</f>
        <v/>
      </c>
      <c r="ACV35" s="35">
        <f>ACV34-ACV33</f>
        <v/>
      </c>
      <c r="ACW35" s="35">
        <f>ACW34-ACW33</f>
        <v/>
      </c>
      <c r="ACX35" s="35">
        <f>ACX34-ACX33</f>
        <v/>
      </c>
      <c r="ACY35" s="35">
        <f>ACY34-ACY33</f>
        <v/>
      </c>
      <c r="ACZ35" s="35">
        <f>ACZ34-ACZ33</f>
        <v/>
      </c>
      <c r="ADA35" s="35">
        <f>ADA34-ADA33</f>
        <v/>
      </c>
      <c r="ADB35" s="35">
        <f>ADB34-ADB33</f>
        <v/>
      </c>
      <c r="ADC35" s="35">
        <f>ADC34-ADC33</f>
        <v/>
      </c>
      <c r="ADD35" s="35">
        <f>ADD34-ADD33</f>
        <v/>
      </c>
      <c r="ADE35" s="35">
        <f>ADE34-ADE33</f>
        <v/>
      </c>
      <c r="ADF35" s="35">
        <f>ADF34-ADF33</f>
        <v/>
      </c>
      <c r="ADG35" s="35">
        <f>ADG34-ADG33</f>
        <v/>
      </c>
      <c r="ADH35" s="35">
        <f>ADH34-ADH33</f>
        <v/>
      </c>
      <c r="ADI35" s="127">
        <f>SUM(ACD35:ADH35)</f>
        <v/>
      </c>
      <c r="ADJ35" s="35">
        <f>ADJ34-ADJ33</f>
        <v/>
      </c>
      <c r="ADK35" s="35">
        <f>ADK34-ADK33</f>
        <v/>
      </c>
      <c r="ADL35" s="35">
        <f>ADL34-ADL33</f>
        <v/>
      </c>
      <c r="ADM35" s="35">
        <f>ADM34-ADM33</f>
        <v/>
      </c>
      <c r="ADN35" s="35">
        <f>ADN34-ADN33</f>
        <v/>
      </c>
      <c r="ADO35" s="35">
        <f>ADO34-ADO33</f>
        <v/>
      </c>
      <c r="ADP35" s="35">
        <f>ADP34-ADP33</f>
        <v/>
      </c>
      <c r="ADQ35" s="35">
        <f>ADQ34-ADQ33</f>
        <v/>
      </c>
      <c r="ADR35" s="35">
        <f>ADR34-ADR33</f>
        <v/>
      </c>
      <c r="ADS35" s="35">
        <f>ADS34-ADS33</f>
        <v/>
      </c>
      <c r="ADT35" s="35">
        <f>ADT34-ADT33</f>
        <v/>
      </c>
      <c r="ADU35" s="35">
        <f>ADU34-ADU33</f>
        <v/>
      </c>
      <c r="ADV35" s="35">
        <f>ADV34-ADV33</f>
        <v/>
      </c>
      <c r="ADW35" s="35">
        <f>ADW34-ADW33</f>
        <v/>
      </c>
      <c r="ADX35" s="35">
        <f>ADX34-ADX33</f>
        <v/>
      </c>
      <c r="ADY35" s="35">
        <f>ADY34-ADY33</f>
        <v/>
      </c>
      <c r="ADZ35" s="35">
        <f>ADZ34-ADZ33</f>
        <v/>
      </c>
      <c r="AEA35" s="35">
        <f>AEA34-AEA33</f>
        <v/>
      </c>
      <c r="AEB35" s="35">
        <f>AEB34-AEB33</f>
        <v/>
      </c>
      <c r="AEC35" s="35">
        <f>AEC34-AEC33</f>
        <v/>
      </c>
      <c r="AED35" s="35">
        <f>AED34-AED33</f>
        <v/>
      </c>
      <c r="AEE35" s="35">
        <f>AEE34-AEE33</f>
        <v/>
      </c>
      <c r="AEF35" s="35">
        <f>AEF34-AEF33</f>
        <v/>
      </c>
      <c r="AEG35" s="35">
        <f>AEG34-AEG33</f>
        <v/>
      </c>
      <c r="AEH35" s="35">
        <f>AEH34-AEH33</f>
        <v/>
      </c>
      <c r="AEI35" s="35">
        <f>AEI34-AEI33</f>
        <v/>
      </c>
      <c r="AEJ35" s="35">
        <f>AEJ34-AEJ33</f>
        <v/>
      </c>
      <c r="AEK35" s="35">
        <f>AEK34-AEK33</f>
        <v/>
      </c>
      <c r="AEL35" s="35">
        <f>AEL34-AEL33</f>
        <v/>
      </c>
      <c r="AEM35" s="35">
        <f>AEM34-AEM33</f>
        <v/>
      </c>
      <c r="AEN35" s="127">
        <f>SUM(ADJ35:AEM35)</f>
        <v/>
      </c>
      <c r="AEO35" s="35">
        <f>AEO34-AEO33</f>
        <v/>
      </c>
      <c r="AEP35" s="35">
        <f>AEP34-AEP33</f>
        <v/>
      </c>
      <c r="AEQ35" s="35">
        <f>AEQ34-AEQ33</f>
        <v/>
      </c>
      <c r="AER35" s="35">
        <f>AER34-AER33</f>
        <v/>
      </c>
      <c r="AES35" s="35">
        <f>AES34-AES33</f>
        <v/>
      </c>
      <c r="AET35" s="35">
        <f>AET34-AET33</f>
        <v/>
      </c>
      <c r="AEU35" s="35">
        <f>AEU34-AEU33</f>
        <v/>
      </c>
      <c r="AEV35" s="35">
        <f>AEV34-AEV33</f>
        <v/>
      </c>
      <c r="AEW35" s="35">
        <f>AEW34-AEW33</f>
        <v/>
      </c>
      <c r="AEX35" s="35">
        <f>AEX34-AEX33</f>
        <v/>
      </c>
      <c r="AEY35" s="35">
        <f>AEY34-AEY33</f>
        <v/>
      </c>
      <c r="AEZ35" s="35">
        <f>AEZ34-AEZ33</f>
        <v/>
      </c>
      <c r="AFA35" s="35">
        <f>AFA34-AFA33</f>
        <v/>
      </c>
      <c r="AFB35" s="35">
        <f>AFB34-AFB33</f>
        <v/>
      </c>
      <c r="AFC35" s="35">
        <f>AFC34-AFC33</f>
        <v/>
      </c>
      <c r="AFD35" s="35">
        <f>AFD34-AFD33</f>
        <v/>
      </c>
      <c r="AFE35" s="35">
        <f>AFE34-AFE33</f>
        <v/>
      </c>
      <c r="AFF35" s="35">
        <f>AFF34-AFF33</f>
        <v/>
      </c>
      <c r="AFG35" s="35">
        <f>AFG34-AFG33</f>
        <v/>
      </c>
      <c r="AFH35" s="35">
        <f>AFH34-AFH33</f>
        <v/>
      </c>
      <c r="AFI35" s="35">
        <f>AFI34-AFI33</f>
        <v/>
      </c>
      <c r="AFJ35" s="35">
        <f>AFJ34-AFJ33</f>
        <v/>
      </c>
      <c r="AFK35" s="35">
        <f>AFK34-AFK33</f>
        <v/>
      </c>
      <c r="AFL35" s="35">
        <f>AFL34-AFL33</f>
        <v/>
      </c>
      <c r="AFM35" s="35">
        <f>AFM34-AFM33</f>
        <v/>
      </c>
      <c r="AFN35" s="35">
        <f>AFN34-AFN33</f>
        <v/>
      </c>
      <c r="AFO35" s="35">
        <f>AFO34-AFO33</f>
        <v/>
      </c>
      <c r="AFP35" s="35">
        <f>AFP34-AFP33</f>
        <v/>
      </c>
      <c r="AFQ35" s="35">
        <f>AFQ34-AFQ33</f>
        <v/>
      </c>
      <c r="AFR35" s="35">
        <f>AFR34-AFR33</f>
        <v/>
      </c>
      <c r="AFS35" s="35">
        <f>AFS34-AFS33</f>
        <v/>
      </c>
      <c r="AFT35" s="127">
        <f>SUM(AEO35:AFS35)</f>
        <v/>
      </c>
      <c r="AFU35" s="35">
        <f>AFU34-AFU33</f>
        <v/>
      </c>
      <c r="AFV35" s="35">
        <f>AFV34-AFV33</f>
        <v/>
      </c>
      <c r="AFW35" s="35">
        <f>AFW34-AFW33</f>
        <v/>
      </c>
      <c r="AFX35" s="35">
        <f>AFX34-AFX33</f>
        <v/>
      </c>
      <c r="AFY35" s="35">
        <f>AFY34-AFY33</f>
        <v/>
      </c>
      <c r="AFZ35" s="35">
        <f>AFZ34-AFZ33</f>
        <v/>
      </c>
      <c r="AGA35" s="35">
        <f>AGA34-AGA33</f>
        <v/>
      </c>
      <c r="AGB35" s="35">
        <f>AGB34-AGB33</f>
        <v/>
      </c>
      <c r="AGC35" s="35">
        <f>AGC34-AGC33</f>
        <v/>
      </c>
      <c r="AGD35" s="35">
        <f>AGD34-AGD33</f>
        <v/>
      </c>
      <c r="AGE35" s="35">
        <f>AGE34-AGE33</f>
        <v/>
      </c>
      <c r="AGF35" s="35">
        <f>AGF34-AGF33</f>
        <v/>
      </c>
      <c r="AGG35" s="35">
        <f>AGG34-AGG33</f>
        <v/>
      </c>
      <c r="AGH35" s="35">
        <f>AGH34-AGH33</f>
        <v/>
      </c>
      <c r="AGI35" s="35">
        <f>AGI34-AGI33</f>
        <v/>
      </c>
      <c r="AGJ35" s="35">
        <f>AGJ34-AGJ33</f>
        <v/>
      </c>
      <c r="AGK35" s="35">
        <f>AGK34-AGK33</f>
        <v/>
      </c>
      <c r="AGL35" s="35">
        <f>AGL34-AGL33</f>
        <v/>
      </c>
      <c r="AGM35" s="35">
        <f>AGM34-AGM33</f>
        <v/>
      </c>
      <c r="AGN35" s="35">
        <f>AGN34-AGN33</f>
        <v/>
      </c>
      <c r="AGO35" s="35">
        <f>AGO34-AGO33</f>
        <v/>
      </c>
      <c r="AGP35" s="35">
        <f>AGP34-AGP33</f>
        <v/>
      </c>
      <c r="AGQ35" s="35">
        <f>AGQ34-AGQ33</f>
        <v/>
      </c>
      <c r="AGR35" s="35">
        <f>AGR34-AGR33</f>
        <v/>
      </c>
      <c r="AGS35" s="35">
        <f>AGS34-AGS33</f>
        <v/>
      </c>
      <c r="AGT35" s="35">
        <f>AGT34-AGT33</f>
        <v/>
      </c>
      <c r="AGU35" s="35">
        <f>AGU34-AGU33</f>
        <v/>
      </c>
      <c r="AGV35" s="35">
        <f>AGV34-AGV33</f>
        <v/>
      </c>
      <c r="AGW35" s="35">
        <f>AGW34-AGW33</f>
        <v/>
      </c>
      <c r="AGX35" s="35">
        <f>AGX34-AGX33</f>
        <v/>
      </c>
      <c r="AGY35" s="127">
        <f>SUM(AFU35:AGX35)</f>
        <v/>
      </c>
      <c r="AGZ35" s="35">
        <f>AGZ34-AGZ33</f>
        <v/>
      </c>
      <c r="AHA35" s="35">
        <f>AHA34-AHA33</f>
        <v/>
      </c>
      <c r="AHB35" s="35">
        <f>AHB34-AHB33</f>
        <v/>
      </c>
      <c r="AHC35" s="35">
        <f>AHC34-AHC33</f>
        <v/>
      </c>
      <c r="AHD35" s="35">
        <f>AHD34-AHD33</f>
        <v/>
      </c>
      <c r="AHE35" s="35">
        <f>AHE34-AHE33</f>
        <v/>
      </c>
      <c r="AHF35" s="35">
        <f>AHF34-AHF33</f>
        <v/>
      </c>
      <c r="AHG35" s="35">
        <f>AHG34-AHG33</f>
        <v/>
      </c>
      <c r="AHH35" s="35">
        <f>AHH34-AHH33</f>
        <v/>
      </c>
      <c r="AHI35" s="35">
        <f>AHI34-AHI33</f>
        <v/>
      </c>
      <c r="AHJ35" s="35">
        <f>AHJ34-AHJ33</f>
        <v/>
      </c>
      <c r="AHK35" s="35">
        <f>AHK34-AHK33</f>
        <v/>
      </c>
      <c r="AHL35" s="35">
        <f>AHL34-AHL33</f>
        <v/>
      </c>
      <c r="AHM35" s="35">
        <f>AHM34-AHM33</f>
        <v/>
      </c>
      <c r="AHN35" s="35">
        <f>AHN34-AHN33</f>
        <v/>
      </c>
      <c r="AHO35" s="35">
        <f>AHO34-AHO33</f>
        <v/>
      </c>
      <c r="AHP35" s="35">
        <f>AHP34-AHP33</f>
        <v/>
      </c>
      <c r="AHQ35" s="35">
        <f>AHQ34-AHQ33</f>
        <v/>
      </c>
      <c r="AHR35" s="35">
        <f>AHR34-AHR33</f>
        <v/>
      </c>
      <c r="AHS35" s="35">
        <f>AHS34-AHS33</f>
        <v/>
      </c>
      <c r="AHT35" s="35">
        <f>AHT34-AHT33</f>
        <v/>
      </c>
      <c r="AHU35" s="35">
        <f>AHU34-AHU33</f>
        <v/>
      </c>
      <c r="AHV35" s="35">
        <f>AHV34-AHV33</f>
        <v/>
      </c>
      <c r="AHW35" s="35">
        <f>AHW34-AHW33</f>
        <v/>
      </c>
      <c r="AHX35" s="35">
        <f>AHX34-AHX33</f>
        <v/>
      </c>
      <c r="AHY35" s="35">
        <f>AHY34-AHY33</f>
        <v/>
      </c>
      <c r="AHZ35" s="35">
        <f>AHZ34-AHZ33</f>
        <v/>
      </c>
      <c r="AIA35" s="35">
        <f>AIA34-AIA33</f>
        <v/>
      </c>
      <c r="AIB35" s="35">
        <f>AIB34-AIB33</f>
        <v/>
      </c>
      <c r="AIC35" s="35">
        <f>AIC34-AIC33</f>
        <v/>
      </c>
      <c r="AID35" s="35">
        <f>AID34-AID33</f>
        <v/>
      </c>
      <c r="AIE35" s="127">
        <f>SUM(AGZ35:AID35)</f>
        <v/>
      </c>
      <c r="AIF35" s="35">
        <f>AIF34-AIF33</f>
        <v/>
      </c>
      <c r="AIG35" s="35">
        <f>AIG34-AIG33</f>
        <v/>
      </c>
      <c r="AIH35" s="35">
        <f>AIH34-AIH33</f>
        <v/>
      </c>
      <c r="AII35" s="35">
        <f>AII34-AII33</f>
        <v/>
      </c>
      <c r="AIJ35" s="35">
        <f>AIJ34-AIJ33</f>
        <v/>
      </c>
      <c r="AIK35" s="35">
        <f>AIK34-AIK33</f>
        <v/>
      </c>
      <c r="AIL35" s="35">
        <f>AIL34-AIL33</f>
        <v/>
      </c>
      <c r="AIM35" s="35">
        <f>AIM34-AIM33</f>
        <v/>
      </c>
      <c r="AIN35" s="35">
        <f>AIN34-AIN33</f>
        <v/>
      </c>
      <c r="AIO35" s="35">
        <f>AIO34-AIO33</f>
        <v/>
      </c>
      <c r="AIP35" s="35">
        <f>AIP34-AIP33</f>
        <v/>
      </c>
      <c r="AIQ35" s="35">
        <f>AIQ34-AIQ33</f>
        <v/>
      </c>
      <c r="AIR35" s="35">
        <f>AIR34-AIR33</f>
        <v/>
      </c>
      <c r="AIS35" s="35">
        <f>AIS34-AIS33</f>
        <v/>
      </c>
      <c r="AIT35" s="35">
        <f>AIT34-AIT33</f>
        <v/>
      </c>
      <c r="AIU35" s="35">
        <f>AIU34-AIU33</f>
        <v/>
      </c>
      <c r="AIV35" s="35">
        <f>AIV34-AIV33</f>
        <v/>
      </c>
      <c r="AIW35" s="35">
        <f>AIW34-AIW33</f>
        <v/>
      </c>
      <c r="AIX35" s="35">
        <f>AIX34-AIX33</f>
        <v/>
      </c>
      <c r="AIY35" s="35">
        <f>AIY34-AIY33</f>
        <v/>
      </c>
      <c r="AIZ35" s="35">
        <f>AIZ34-AIZ33</f>
        <v/>
      </c>
      <c r="AJA35" s="35">
        <f>AJA34-AJA33</f>
        <v/>
      </c>
      <c r="AJB35" s="35">
        <f>AJB34-AJB33</f>
        <v/>
      </c>
      <c r="AJC35" s="35">
        <f>AJC34-AJC33</f>
        <v/>
      </c>
      <c r="AJD35" s="35">
        <f>AJD34-AJD33</f>
        <v/>
      </c>
      <c r="AJE35" s="35">
        <f>AJE34-AJE33</f>
        <v/>
      </c>
      <c r="AJF35" s="35">
        <f>AJF34-AJF33</f>
        <v/>
      </c>
      <c r="AJG35" s="35">
        <f>AJG34-AJG33</f>
        <v/>
      </c>
      <c r="AJH35" s="35">
        <f>AJH34-AJH33</f>
        <v/>
      </c>
      <c r="AJI35" s="35">
        <f>AJI34-AJI33</f>
        <v/>
      </c>
      <c r="AJJ35" s="35">
        <f>AJJ34-AJJ33</f>
        <v/>
      </c>
      <c r="AJK35" s="127">
        <f>SUM(AIF35:AJJ35)</f>
        <v/>
      </c>
      <c r="AJL35" s="35">
        <f>AJL34-AJL33</f>
        <v/>
      </c>
      <c r="AJM35" s="35">
        <f>AJM34-AJM33</f>
        <v/>
      </c>
      <c r="AJN35" s="35">
        <f>AJN34-AJN33</f>
        <v/>
      </c>
      <c r="AJO35" s="35">
        <f>AJO34-AJO33</f>
        <v/>
      </c>
      <c r="AJP35" s="35">
        <f>AJP34-AJP33</f>
        <v/>
      </c>
      <c r="AJQ35" s="35">
        <f>AJQ34-AJQ33</f>
        <v/>
      </c>
      <c r="AJR35" s="35">
        <f>AJR34-AJR33</f>
        <v/>
      </c>
      <c r="AJS35" s="35">
        <f>AJS34-AJS33</f>
        <v/>
      </c>
      <c r="AJT35" s="35">
        <f>AJT34-AJT33</f>
        <v/>
      </c>
      <c r="AJU35" s="35">
        <f>AJU34-AJU33</f>
        <v/>
      </c>
      <c r="AJV35" s="35">
        <f>AJV34-AJV33</f>
        <v/>
      </c>
      <c r="AJW35" s="35">
        <f>AJW34-AJW33</f>
        <v/>
      </c>
      <c r="AJX35" s="35">
        <f>AJX34-AJX33</f>
        <v/>
      </c>
      <c r="AJY35" s="35">
        <f>AJY34-AJY33</f>
        <v/>
      </c>
      <c r="AJZ35" s="35">
        <f>AJZ34-AJZ33</f>
        <v/>
      </c>
      <c r="AKA35" s="35">
        <f>AKA34-AKA33</f>
        <v/>
      </c>
      <c r="AKB35" s="35">
        <f>AKB34-AKB33</f>
        <v/>
      </c>
      <c r="AKC35" s="35">
        <f>AKC34-AKC33</f>
        <v/>
      </c>
      <c r="AKD35" s="35">
        <f>AKD34-AKD33</f>
        <v/>
      </c>
      <c r="AKE35" s="35">
        <f>AKE34-AKE33</f>
        <v/>
      </c>
      <c r="AKF35" s="35">
        <f>AKF34-AKF33</f>
        <v/>
      </c>
      <c r="AKG35" s="35">
        <f>AKG34-AKG33</f>
        <v/>
      </c>
      <c r="AKH35" s="35">
        <f>AKH34-AKH33</f>
        <v/>
      </c>
      <c r="AKI35" s="35">
        <f>AKI34-AKI33</f>
        <v/>
      </c>
      <c r="AKJ35" s="35">
        <f>AKJ34-AKJ33</f>
        <v/>
      </c>
      <c r="AKK35" s="35">
        <f>AKK34-AKK33</f>
        <v/>
      </c>
      <c r="AKL35" s="35">
        <f>AKL34-AKL33</f>
        <v/>
      </c>
      <c r="AKM35" s="35">
        <f>AKM34-AKM33</f>
        <v/>
      </c>
      <c r="AKN35" s="127">
        <f>SUM(AJL35:AKM35)</f>
        <v/>
      </c>
      <c r="AKO35" s="35">
        <f>AKO34-AKO33</f>
        <v/>
      </c>
      <c r="AKP35" s="35">
        <f>AKP34-AKP33</f>
        <v/>
      </c>
      <c r="AKQ35" s="35">
        <f>AKQ34-AKQ33</f>
        <v/>
      </c>
      <c r="AKR35" s="35">
        <f>AKR34-AKR33</f>
        <v/>
      </c>
      <c r="AKS35" s="35">
        <f>AKS34-AKS33</f>
        <v/>
      </c>
      <c r="AKT35" s="35">
        <f>AKT34-AKT33</f>
        <v/>
      </c>
      <c r="AKU35" s="35">
        <f>AKU34-AKU33</f>
        <v/>
      </c>
      <c r="AKV35" s="35">
        <f>AKV34-AKV33</f>
        <v/>
      </c>
      <c r="AKW35" s="35">
        <f>AKW34-AKW33</f>
        <v/>
      </c>
      <c r="AKX35" s="35">
        <f>AKX34-AKX33</f>
        <v/>
      </c>
      <c r="AKY35" s="35">
        <f>AKY34-AKY33</f>
        <v/>
      </c>
      <c r="AKZ35" s="35">
        <f>AKZ34-AKZ33</f>
        <v/>
      </c>
      <c r="ALA35" s="35">
        <f>ALA34-ALA33</f>
        <v/>
      </c>
      <c r="ALB35" s="35">
        <f>ALB34-ALB33</f>
        <v/>
      </c>
      <c r="ALC35" s="35">
        <f>ALC34-ALC33</f>
        <v/>
      </c>
      <c r="ALD35" s="35">
        <f>ALD34-ALD33</f>
        <v/>
      </c>
      <c r="ALE35" s="35">
        <f>ALE34-ALE33</f>
        <v/>
      </c>
      <c r="ALF35" s="35">
        <f>ALF34-ALF33</f>
        <v/>
      </c>
      <c r="ALG35" s="35">
        <f>ALG34-ALG33</f>
        <v/>
      </c>
      <c r="ALH35" s="35">
        <f>ALH34-ALH33</f>
        <v/>
      </c>
      <c r="ALI35" s="35">
        <f>ALI34-ALI33</f>
        <v/>
      </c>
      <c r="ALJ35" s="35">
        <f>ALJ34-ALJ33</f>
        <v/>
      </c>
      <c r="ALK35" s="35">
        <f>ALK34-ALK33</f>
        <v/>
      </c>
      <c r="ALL35" s="35">
        <f>ALL34-ALL33</f>
        <v/>
      </c>
      <c r="ALM35" s="35">
        <f>ALM34-ALM33</f>
        <v/>
      </c>
      <c r="ALN35" s="35">
        <f>ALN34-ALN33</f>
        <v/>
      </c>
      <c r="ALO35" s="35">
        <f>ALO34-ALO33</f>
        <v/>
      </c>
      <c r="ALP35" s="35">
        <f>ALP34-ALP33</f>
        <v/>
      </c>
      <c r="ALQ35" s="35">
        <f>ALQ34-ALQ33</f>
        <v/>
      </c>
      <c r="ALR35" s="35">
        <f>ALR34-ALR33</f>
        <v/>
      </c>
      <c r="ALS35" s="35">
        <f>ALS34-ALS33</f>
        <v/>
      </c>
      <c r="ALT35" s="127">
        <f>SUM(AKO35:ALS35)</f>
        <v/>
      </c>
      <c r="ALU35" s="35">
        <f>ALU34-ALU33</f>
        <v/>
      </c>
      <c r="ALV35" s="35">
        <f>ALV34-ALV33</f>
        <v/>
      </c>
      <c r="ALW35" s="35">
        <f>ALW34-ALW33</f>
        <v/>
      </c>
      <c r="ALX35" s="35">
        <f>ALX34-ALX33</f>
        <v/>
      </c>
      <c r="ALY35" s="35">
        <f>ALY34-ALY33</f>
        <v/>
      </c>
      <c r="ALZ35" s="35">
        <f>ALZ34-ALZ33</f>
        <v/>
      </c>
      <c r="AMA35" s="35">
        <f>AMA34-AMA33</f>
        <v/>
      </c>
      <c r="AMB35" s="35">
        <f>AMB34-AMB33</f>
        <v/>
      </c>
      <c r="AMC35" s="35">
        <f>AMC34-AMC33</f>
        <v/>
      </c>
      <c r="AMD35" s="35">
        <f>AMD34-AMD33</f>
        <v/>
      </c>
      <c r="AME35" s="35">
        <f>AME34-AME33</f>
        <v/>
      </c>
      <c r="AMF35" s="35">
        <f>AMF34-AMF33</f>
        <v/>
      </c>
      <c r="AMG35" s="35">
        <f>AMG34-AMG33</f>
        <v/>
      </c>
      <c r="AMH35" s="35">
        <f>AMH34-AMH33</f>
        <v/>
      </c>
      <c r="AMI35" s="35">
        <f>AMI34-AMI33</f>
        <v/>
      </c>
      <c r="AMJ35" s="35">
        <f>AMJ34-AMJ33</f>
        <v/>
      </c>
      <c r="AMK35" s="35">
        <f>AMK34-AMK33</f>
        <v/>
      </c>
      <c r="AML35" s="35">
        <f>AML34-AML33</f>
        <v/>
      </c>
      <c r="AMM35" s="35">
        <f>AMM34-AMM33</f>
        <v/>
      </c>
      <c r="AMN35" s="35">
        <f>AMN34-AMN33</f>
        <v/>
      </c>
      <c r="AMO35" s="35">
        <f>AMO34-AMO33</f>
        <v/>
      </c>
      <c r="AMP35" s="35">
        <f>AMP34-AMP33</f>
        <v/>
      </c>
      <c r="AMQ35" s="35">
        <f>AMQ34-AMQ33</f>
        <v/>
      </c>
      <c r="AMR35" s="35">
        <f>AMR34-AMR33</f>
        <v/>
      </c>
      <c r="AMS35" s="35">
        <f>AMS34-AMS33</f>
        <v/>
      </c>
      <c r="AMT35" s="35">
        <f>AMT34-AMT33</f>
        <v/>
      </c>
      <c r="AMU35" s="35">
        <f>AMU34-AMU33</f>
        <v/>
      </c>
      <c r="AMV35" s="35">
        <f>AMV34-AMV33</f>
        <v/>
      </c>
      <c r="AMW35" s="35">
        <f>AMW34-AMW33</f>
        <v/>
      </c>
      <c r="AMX35" s="35">
        <f>AMX34-AMX33</f>
        <v/>
      </c>
      <c r="AMY35" s="127">
        <f>SUM(ALU35:AMX35)</f>
        <v/>
      </c>
      <c r="AMZ35" s="35">
        <f>AMZ34-AMZ33</f>
        <v/>
      </c>
      <c r="ANA35" s="35">
        <f>ANA34-ANA33</f>
        <v/>
      </c>
      <c r="ANB35" s="35">
        <f>ANB34-ANB33</f>
        <v/>
      </c>
      <c r="ANC35" s="35">
        <f>ANC34-ANC33</f>
        <v/>
      </c>
      <c r="AND35" s="35">
        <f>AND34-AND33</f>
        <v/>
      </c>
      <c r="ANE35" s="35">
        <f>ANE34-ANE33</f>
        <v/>
      </c>
      <c r="ANF35" s="35">
        <f>ANF34-ANF33</f>
        <v/>
      </c>
      <c r="ANG35" s="35">
        <f>ANG34-ANG33</f>
        <v/>
      </c>
      <c r="ANH35" s="35">
        <f>ANH34-ANH33</f>
        <v/>
      </c>
      <c r="ANI35" s="35">
        <f>ANI34-ANI33</f>
        <v/>
      </c>
      <c r="ANJ35" s="35">
        <f>ANJ34-ANJ33</f>
        <v/>
      </c>
      <c r="ANK35" s="35">
        <f>ANK34-ANK33</f>
        <v/>
      </c>
      <c r="ANL35" s="35">
        <f>ANL34-ANL33</f>
        <v/>
      </c>
      <c r="ANM35" s="35">
        <f>ANM34-ANM33</f>
        <v/>
      </c>
      <c r="ANN35" s="35">
        <f>ANN34-ANN33</f>
        <v/>
      </c>
      <c r="ANO35" s="35">
        <f>ANO34-ANO33</f>
        <v/>
      </c>
      <c r="ANP35" s="35">
        <f>ANP34-ANP33</f>
        <v/>
      </c>
      <c r="ANQ35" s="35">
        <f>ANQ34-ANQ33</f>
        <v/>
      </c>
      <c r="ANR35" s="35">
        <f>ANR34-ANR33</f>
        <v/>
      </c>
      <c r="ANS35" s="35">
        <f>ANS34-ANS33</f>
        <v/>
      </c>
      <c r="ANT35" s="35">
        <f>ANT34-ANT33</f>
        <v/>
      </c>
      <c r="ANU35" s="35">
        <f>ANU34-ANU33</f>
        <v/>
      </c>
      <c r="ANV35" s="35">
        <f>ANV34-ANV33</f>
        <v/>
      </c>
      <c r="ANW35" s="35">
        <f>ANW34-ANW33</f>
        <v/>
      </c>
      <c r="ANX35" s="35">
        <f>ANX34-ANX33</f>
        <v/>
      </c>
      <c r="ANY35" s="35">
        <f>ANY34-ANY33</f>
        <v/>
      </c>
      <c r="ANZ35" s="35">
        <f>ANZ34-ANZ33</f>
        <v/>
      </c>
      <c r="AOA35" s="35">
        <f>AOA34-AOA33</f>
        <v/>
      </c>
      <c r="AOB35" s="35">
        <f>AOB34-AOB33</f>
        <v/>
      </c>
      <c r="AOC35" s="35">
        <f>AOC34-AOC33</f>
        <v/>
      </c>
    </row>
    <row r="36">
      <c r="B36" s="36" t="inlineStr">
        <is>
          <t>SHORTAGE/GAIN  VALUE</t>
        </is>
      </c>
      <c r="C36" s="37">
        <f>C35*C5</f>
        <v/>
      </c>
      <c r="D36" s="37">
        <f>D35*D5</f>
        <v/>
      </c>
      <c r="E36" s="37">
        <f>E35*E5</f>
        <v/>
      </c>
      <c r="F36" s="37">
        <f>F35*F5</f>
        <v/>
      </c>
      <c r="G36" s="37">
        <f>G35*G5</f>
        <v/>
      </c>
      <c r="H36" s="37">
        <f>H35*H5</f>
        <v/>
      </c>
      <c r="I36" s="37">
        <f>I35*I5</f>
        <v/>
      </c>
      <c r="J36" s="43">
        <f>J35*J5</f>
        <v/>
      </c>
      <c r="K36" s="37">
        <f>K35*K5</f>
        <v/>
      </c>
      <c r="L36" s="37">
        <f>L35*L5</f>
        <v/>
      </c>
      <c r="M36" s="37">
        <f>M35*M5</f>
        <v/>
      </c>
      <c r="N36" s="37">
        <f>N35*N5</f>
        <v/>
      </c>
      <c r="O36" s="37">
        <f>O35*O5</f>
        <v/>
      </c>
      <c r="P36" s="37">
        <f>P35*P5</f>
        <v/>
      </c>
      <c r="Q36" s="37">
        <f>Q35*Q5</f>
        <v/>
      </c>
      <c r="R36" s="37">
        <f>R35*R5</f>
        <v/>
      </c>
      <c r="S36" s="37">
        <f>S35*S5</f>
        <v/>
      </c>
      <c r="T36" s="37">
        <f>T35*T5</f>
        <v/>
      </c>
      <c r="U36" s="37">
        <f>U35*U5</f>
        <v/>
      </c>
      <c r="V36" s="37">
        <f>V35*V5</f>
        <v/>
      </c>
      <c r="W36" s="37">
        <f>W35*W5</f>
        <v/>
      </c>
      <c r="X36" s="37">
        <f>X35*X5</f>
        <v/>
      </c>
      <c r="Y36" s="37">
        <f>Y35*Y5</f>
        <v/>
      </c>
      <c r="Z36" s="37">
        <f>Z35*Z5</f>
        <v/>
      </c>
      <c r="AA36" s="37">
        <f>AA35*AA5</f>
        <v/>
      </c>
      <c r="AB36" s="37">
        <f>AB35*AB5</f>
        <v/>
      </c>
      <c r="AC36" s="37">
        <f>AC35*AC5</f>
        <v/>
      </c>
      <c r="AD36" s="37">
        <f>AD35*AD5</f>
        <v/>
      </c>
      <c r="AE36" s="37">
        <f>AE35*AE5</f>
        <v/>
      </c>
      <c r="AF36" s="37">
        <f>AF35*AF5</f>
        <v/>
      </c>
      <c r="AG36" s="37">
        <f>AG35*AG5</f>
        <v/>
      </c>
      <c r="AH36" s="94">
        <f>SUM(C36:AG36)</f>
        <v/>
      </c>
      <c r="AI36" s="37">
        <f>AI35*AI5</f>
        <v/>
      </c>
      <c r="AJ36" s="37">
        <f>AJ35*AJ5</f>
        <v/>
      </c>
      <c r="AK36" s="37">
        <f>AK35*AK5</f>
        <v/>
      </c>
      <c r="AL36" s="37">
        <f>AL35*AL5</f>
        <v/>
      </c>
      <c r="AM36" s="37">
        <f>AM35*AM5</f>
        <v/>
      </c>
      <c r="AN36" s="37">
        <f>AN35*AN5</f>
        <v/>
      </c>
      <c r="AO36" s="37">
        <f>AO35*AO5</f>
        <v/>
      </c>
      <c r="AP36" s="37">
        <f>AP35*AP5</f>
        <v/>
      </c>
      <c r="AQ36" s="37">
        <f>AQ35*AQ5</f>
        <v/>
      </c>
      <c r="AR36" s="37">
        <f>AR35*AR5</f>
        <v/>
      </c>
      <c r="AS36" s="37">
        <f>AS35*AS5</f>
        <v/>
      </c>
      <c r="AT36" s="37">
        <f>AT35*AT5</f>
        <v/>
      </c>
      <c r="AU36" s="37">
        <f>AU35*AU5</f>
        <v/>
      </c>
      <c r="AV36" s="37">
        <f>AV35*AV5</f>
        <v/>
      </c>
      <c r="AW36" s="37">
        <f>AW35*AW5</f>
        <v/>
      </c>
      <c r="AX36" s="37">
        <f>AX35*AX5</f>
        <v/>
      </c>
      <c r="AY36" s="37">
        <f>AY35*AY5</f>
        <v/>
      </c>
      <c r="AZ36" s="37">
        <f>AZ35*AZ5</f>
        <v/>
      </c>
      <c r="BA36" s="37">
        <f>BA35*BA5</f>
        <v/>
      </c>
      <c r="BB36" s="37">
        <f>BB35*BB5</f>
        <v/>
      </c>
      <c r="BC36" s="37">
        <f>BC35*BC5</f>
        <v/>
      </c>
      <c r="BD36" s="37">
        <f>BD35*BD5</f>
        <v/>
      </c>
      <c r="BE36" s="37">
        <f>BE35*BE5</f>
        <v/>
      </c>
      <c r="BF36" s="37">
        <f>BF35*BF5</f>
        <v/>
      </c>
      <c r="BG36" s="37">
        <f>BG35*BG5</f>
        <v/>
      </c>
      <c r="BH36" s="37">
        <f>BH35*BH5</f>
        <v/>
      </c>
      <c r="BI36" s="37">
        <f>BI35*BI5</f>
        <v/>
      </c>
      <c r="BJ36" s="37">
        <f>BJ35*BJ5</f>
        <v/>
      </c>
      <c r="BK36" s="37">
        <f>BK35*BK5</f>
        <v/>
      </c>
      <c r="BL36" s="37">
        <f>BL35*BL5</f>
        <v/>
      </c>
      <c r="BM36" s="97">
        <f>SUM(AI36:BL36)</f>
        <v/>
      </c>
      <c r="BN36" s="37">
        <f>BN35*BN5</f>
        <v/>
      </c>
      <c r="BO36" s="37">
        <f>BO35*BO5</f>
        <v/>
      </c>
      <c r="BP36" s="37">
        <f>BP35*BP5</f>
        <v/>
      </c>
      <c r="BQ36" s="37">
        <f>BQ35*BQ5</f>
        <v/>
      </c>
      <c r="BR36" s="37">
        <f>BR35*BR5</f>
        <v/>
      </c>
      <c r="BS36" s="37">
        <f>BS35*BS5</f>
        <v/>
      </c>
      <c r="BT36" s="37">
        <f>BT35*BT5</f>
        <v/>
      </c>
      <c r="BU36" s="37">
        <f>BU35*BU5</f>
        <v/>
      </c>
      <c r="BV36" s="37">
        <f>BV35*BV5</f>
        <v/>
      </c>
      <c r="BW36" s="37">
        <f>BW35*BW5</f>
        <v/>
      </c>
      <c r="BX36" s="37">
        <f>BX35*BX5</f>
        <v/>
      </c>
      <c r="BY36" s="37">
        <f>BY35*BY5</f>
        <v/>
      </c>
      <c r="BZ36" s="37">
        <f>BZ35*BZ5</f>
        <v/>
      </c>
      <c r="CA36" s="37">
        <f>CA35*CA5</f>
        <v/>
      </c>
      <c r="CB36" s="37">
        <f>CB35*CB5</f>
        <v/>
      </c>
      <c r="CC36" s="37">
        <f>CC35*CC5</f>
        <v/>
      </c>
      <c r="CD36" s="37">
        <f>CD35*CD5</f>
        <v/>
      </c>
      <c r="CE36" s="37">
        <f>CE35*CE5</f>
        <v/>
      </c>
      <c r="CF36" s="37">
        <f>CF35*CF5</f>
        <v/>
      </c>
      <c r="CG36" s="37">
        <f>CG35*CG5</f>
        <v/>
      </c>
      <c r="CH36" s="37">
        <f>CH35*CH5</f>
        <v/>
      </c>
      <c r="CI36" s="37">
        <f>CI35*CI5</f>
        <v/>
      </c>
      <c r="CJ36" s="37">
        <f>CJ35*CJ5</f>
        <v/>
      </c>
      <c r="CK36" s="37">
        <f>CK35*CK5</f>
        <v/>
      </c>
      <c r="CL36" s="37">
        <f>CL35*CL5</f>
        <v/>
      </c>
      <c r="CM36" s="37">
        <f>CM35*CM5</f>
        <v/>
      </c>
      <c r="CN36" s="37">
        <f>CN35*CN5</f>
        <v/>
      </c>
      <c r="CO36" s="37">
        <f>CO35*CO5</f>
        <v/>
      </c>
      <c r="CP36" s="37">
        <f>CP35*CP5</f>
        <v/>
      </c>
      <c r="CQ36" s="37">
        <f>CQ35*CQ5</f>
        <v/>
      </c>
      <c r="CR36" s="37">
        <f>CR35*CR5</f>
        <v/>
      </c>
      <c r="CS36" s="111">
        <f>SUM(BN36:CR36)</f>
        <v/>
      </c>
      <c r="CT36" s="37">
        <f>CT35*CT5</f>
        <v/>
      </c>
      <c r="CU36" s="37">
        <f>CU35*CU5</f>
        <v/>
      </c>
      <c r="CV36" s="37">
        <f>CV35*CV5</f>
        <v/>
      </c>
      <c r="CW36" s="37">
        <f>CW35*CW5</f>
        <v/>
      </c>
      <c r="CX36" s="37">
        <f>CX35*CX5</f>
        <v/>
      </c>
      <c r="CY36" s="37">
        <f>CY35*CY5</f>
        <v/>
      </c>
      <c r="CZ36" s="37">
        <f>CZ35*CZ5</f>
        <v/>
      </c>
      <c r="DA36" s="37">
        <f>DA35*DA5</f>
        <v/>
      </c>
      <c r="DB36" s="37">
        <f>DB35*DB5</f>
        <v/>
      </c>
      <c r="DC36" s="37">
        <f>DC35*DC5</f>
        <v/>
      </c>
      <c r="DD36" s="37">
        <f>DD35*DD5</f>
        <v/>
      </c>
      <c r="DE36" s="37">
        <f>DE35*DE5</f>
        <v/>
      </c>
      <c r="DF36" s="37">
        <f>DF35*DF5</f>
        <v/>
      </c>
      <c r="DG36" s="37">
        <f>DG35*DG5</f>
        <v/>
      </c>
      <c r="DH36" s="37">
        <f>DH35*DH5</f>
        <v/>
      </c>
      <c r="DI36" s="37">
        <f>DI35*DI5</f>
        <v/>
      </c>
      <c r="DJ36" s="37">
        <f>DJ35*DJ5</f>
        <v/>
      </c>
      <c r="DK36" s="37">
        <f>DK35*DK5</f>
        <v/>
      </c>
      <c r="DL36" s="37">
        <f>DL35*DL5</f>
        <v/>
      </c>
      <c r="DM36" s="37">
        <f>DM35*DM5</f>
        <v/>
      </c>
      <c r="DN36" s="37">
        <f>DN35*DN5</f>
        <v/>
      </c>
      <c r="DO36" s="37">
        <f>DO35*DO5</f>
        <v/>
      </c>
      <c r="DP36" s="37">
        <f>DP35*DP5</f>
        <v/>
      </c>
      <c r="DQ36" s="37">
        <f>DQ35*DQ5</f>
        <v/>
      </c>
      <c r="DR36" s="37">
        <f>DR35*DR5</f>
        <v/>
      </c>
      <c r="DS36" s="37">
        <f>DS35*DS5</f>
        <v/>
      </c>
      <c r="DT36" s="37">
        <f>DT35*DT5</f>
        <v/>
      </c>
      <c r="DU36" s="37">
        <f>DU35*DU5</f>
        <v/>
      </c>
      <c r="DV36" s="37">
        <f>DV35*DV5</f>
        <v/>
      </c>
      <c r="DW36" s="37">
        <f>DW35*DW5</f>
        <v/>
      </c>
      <c r="DX36" s="119">
        <f>SUM(CT36:DW36)</f>
        <v/>
      </c>
      <c r="DY36" s="37">
        <f>DY35*DY5</f>
        <v/>
      </c>
      <c r="DZ36" s="37">
        <f>DZ35*DZ5</f>
        <v/>
      </c>
      <c r="EA36" s="37">
        <f>EA35*EA5</f>
        <v/>
      </c>
      <c r="EB36" s="37">
        <f>EB35*EB5</f>
        <v/>
      </c>
      <c r="EC36" s="37">
        <f>EC35*EC5</f>
        <v/>
      </c>
      <c r="ED36" s="37">
        <f>ED35*ED5</f>
        <v/>
      </c>
      <c r="EE36" s="37">
        <f>EE35*EE5</f>
        <v/>
      </c>
      <c r="EF36" s="37">
        <f>EF35*EF5</f>
        <v/>
      </c>
      <c r="EG36" s="37">
        <f>EG35*EG5</f>
        <v/>
      </c>
      <c r="EH36" s="37">
        <f>EH35*EH5</f>
        <v/>
      </c>
      <c r="EI36" s="37">
        <f>EI35*EI5</f>
        <v/>
      </c>
      <c r="EJ36" s="37">
        <f>EJ35*EJ5</f>
        <v/>
      </c>
      <c r="EK36" s="37">
        <f>EK35*EK5</f>
        <v/>
      </c>
      <c r="EL36" s="37">
        <f>EL35*EL5</f>
        <v/>
      </c>
      <c r="EM36" s="37">
        <f>EM35*EM5</f>
        <v/>
      </c>
      <c r="EN36" s="37">
        <f>EN35*EN5</f>
        <v/>
      </c>
      <c r="EO36" s="37">
        <f>EO35*EO5</f>
        <v/>
      </c>
      <c r="EP36" s="37">
        <f>EP35*EP5</f>
        <v/>
      </c>
      <c r="EQ36" s="37">
        <f>EQ35*EQ5</f>
        <v/>
      </c>
      <c r="ER36" s="37">
        <f>ER35*ER5</f>
        <v/>
      </c>
      <c r="ES36" s="37">
        <f>ES35*ES5</f>
        <v/>
      </c>
      <c r="ET36" s="37">
        <f>ET35*ET5</f>
        <v/>
      </c>
      <c r="EU36" s="37">
        <f>EU35*EU5</f>
        <v/>
      </c>
      <c r="EV36" s="37">
        <f>EV35*EV5</f>
        <v/>
      </c>
      <c r="EW36" s="37">
        <f>EW35*EW5</f>
        <v/>
      </c>
      <c r="EX36" s="37">
        <f>EX35*EX5</f>
        <v/>
      </c>
      <c r="EY36" s="37">
        <f>EY35*EY5</f>
        <v/>
      </c>
      <c r="EZ36" s="37">
        <f>EZ35*EZ5</f>
        <v/>
      </c>
      <c r="FA36" s="37">
        <f>FA35*FA5</f>
        <v/>
      </c>
      <c r="FB36" s="37">
        <f>FB35*FB5</f>
        <v/>
      </c>
      <c r="FC36" s="37">
        <f>FC35*FC5</f>
        <v/>
      </c>
      <c r="FD36" s="128">
        <f>SUM(DY36:FC36)</f>
        <v/>
      </c>
      <c r="FE36" s="37">
        <f>FE35*FE5</f>
        <v/>
      </c>
      <c r="FF36" s="37">
        <f>FF35*FF5</f>
        <v/>
      </c>
      <c r="FG36" s="37">
        <f>FG35*FG5</f>
        <v/>
      </c>
      <c r="FH36" s="37">
        <f>FH35*FH5</f>
        <v/>
      </c>
      <c r="FI36" s="37">
        <f>FI35*FI5</f>
        <v/>
      </c>
      <c r="FJ36" s="37">
        <f>FJ35*FJ5</f>
        <v/>
      </c>
      <c r="FK36" s="37">
        <f>FK35*FK5</f>
        <v/>
      </c>
      <c r="FL36" s="37">
        <f>FL35*FL5</f>
        <v/>
      </c>
      <c r="FM36" s="37">
        <f>FM35*FM5</f>
        <v/>
      </c>
      <c r="FN36" s="37">
        <f>FN35*FN5</f>
        <v/>
      </c>
      <c r="FO36" s="37">
        <f>FO35*FO5</f>
        <v/>
      </c>
      <c r="FP36" s="37">
        <f>FP35*FP5</f>
        <v/>
      </c>
      <c r="FQ36" s="37">
        <f>FQ35*FQ5</f>
        <v/>
      </c>
      <c r="FR36" s="37">
        <f>FR35*FR5</f>
        <v/>
      </c>
      <c r="FS36" s="37">
        <f>FS35*FS5</f>
        <v/>
      </c>
      <c r="FT36" s="37">
        <f>FT35*FT5</f>
        <v/>
      </c>
      <c r="FU36" s="37">
        <f>FU35*FU5</f>
        <v/>
      </c>
      <c r="FV36" s="37">
        <f>FV35*FV5</f>
        <v/>
      </c>
      <c r="FW36" s="37">
        <f>FW35*FW5</f>
        <v/>
      </c>
      <c r="FX36" s="37">
        <f>FX35*FX5</f>
        <v/>
      </c>
      <c r="FY36" s="37">
        <f>FY35*FY5</f>
        <v/>
      </c>
      <c r="FZ36" s="37">
        <f>FZ35*FZ5</f>
        <v/>
      </c>
      <c r="GA36" s="37">
        <f>GA35*GA5</f>
        <v/>
      </c>
      <c r="GB36" s="37">
        <f>GB35*GB5</f>
        <v/>
      </c>
      <c r="GC36" s="37">
        <f>GC35*GC5</f>
        <v/>
      </c>
      <c r="GD36" s="37">
        <f>GD35*GD5</f>
        <v/>
      </c>
      <c r="GE36" s="37">
        <f>GE35*GE5</f>
        <v/>
      </c>
      <c r="GF36" s="37">
        <f>GF35*GF5</f>
        <v/>
      </c>
      <c r="GG36" s="37">
        <f>GG35*GG5</f>
        <v/>
      </c>
      <c r="GH36" s="37">
        <f>GH35*GH5</f>
        <v/>
      </c>
      <c r="GI36" s="37">
        <f>GI35*GI5</f>
        <v/>
      </c>
      <c r="GJ36" s="127">
        <f>SUM(FE36:GI36)</f>
        <v/>
      </c>
      <c r="GK36" s="37">
        <f>GK35*GK5</f>
        <v/>
      </c>
      <c r="GL36" s="37">
        <f>GL35*GL5</f>
        <v/>
      </c>
      <c r="GM36" s="37">
        <f>GM35*GM5</f>
        <v/>
      </c>
      <c r="GN36" s="37">
        <f>GN35*GN5</f>
        <v/>
      </c>
      <c r="GO36" s="37">
        <f>GO35*GO5</f>
        <v/>
      </c>
      <c r="GP36" s="37">
        <f>GP35*GP5</f>
        <v/>
      </c>
      <c r="GQ36" s="37">
        <f>GQ35*GQ5</f>
        <v/>
      </c>
      <c r="GR36" s="37">
        <f>GR35*GR5</f>
        <v/>
      </c>
      <c r="GS36" s="37">
        <f>GS35*GS5</f>
        <v/>
      </c>
      <c r="GT36" s="37">
        <f>GT35*GT5</f>
        <v/>
      </c>
      <c r="GU36" s="37">
        <f>GU35*GU5</f>
        <v/>
      </c>
      <c r="GV36" s="37">
        <f>GV35*GV5</f>
        <v/>
      </c>
      <c r="GW36" s="37">
        <f>GW35*GW5</f>
        <v/>
      </c>
      <c r="GX36" s="37">
        <f>GX35*GX5</f>
        <v/>
      </c>
      <c r="GY36" s="37">
        <f>GY35*GY5</f>
        <v/>
      </c>
      <c r="GZ36" s="37">
        <f>GZ35*GZ5</f>
        <v/>
      </c>
      <c r="HA36" s="37">
        <f>HA35*HA5</f>
        <v/>
      </c>
      <c r="HB36" s="37">
        <f>HB35*HB5</f>
        <v/>
      </c>
      <c r="HC36" s="37">
        <f>HC35*HC5</f>
        <v/>
      </c>
      <c r="HD36" s="37">
        <f>HD35*HD5</f>
        <v/>
      </c>
      <c r="HE36" s="37">
        <f>HE35*HE5</f>
        <v/>
      </c>
      <c r="HF36" s="37">
        <f>HF35*HF5</f>
        <v/>
      </c>
      <c r="HG36" s="37">
        <f>HG35*HG5</f>
        <v/>
      </c>
      <c r="HH36" s="37">
        <f>HH35*HH5</f>
        <v/>
      </c>
      <c r="HI36" s="37">
        <f>HI35*HI5</f>
        <v/>
      </c>
      <c r="HJ36" s="37">
        <f>HJ35*HJ5</f>
        <v/>
      </c>
      <c r="HK36" s="37">
        <f>HK35*HK5</f>
        <v/>
      </c>
      <c r="HL36" s="37">
        <f>HL35*HL5</f>
        <v/>
      </c>
      <c r="HM36" s="37">
        <f>HM35*HM5</f>
        <v/>
      </c>
      <c r="HN36" s="127">
        <f>SUM(GK36:HM36)</f>
        <v/>
      </c>
      <c r="HO36" s="37">
        <f>HO35*HO5</f>
        <v/>
      </c>
      <c r="HP36" s="37">
        <f>HP35*HP5</f>
        <v/>
      </c>
      <c r="HQ36" s="37">
        <f>HQ35*HQ5</f>
        <v/>
      </c>
      <c r="HR36" s="37">
        <f>HR35*HR5</f>
        <v/>
      </c>
      <c r="HS36" s="37">
        <f>HS35*HS5</f>
        <v/>
      </c>
      <c r="HT36" s="37">
        <f>HT35*HT5</f>
        <v/>
      </c>
      <c r="HU36" s="37">
        <f>HU35*HU5</f>
        <v/>
      </c>
      <c r="HV36" s="37">
        <f>HV35*HV5</f>
        <v/>
      </c>
      <c r="HW36" s="37">
        <f>HW35*HW5</f>
        <v/>
      </c>
      <c r="HX36" s="37">
        <f>HX35*HX5</f>
        <v/>
      </c>
      <c r="HY36" s="37">
        <f>HY35*HY5</f>
        <v/>
      </c>
      <c r="HZ36" s="37">
        <f>HZ35*HZ5</f>
        <v/>
      </c>
      <c r="IA36" s="37">
        <f>IA35*IA5</f>
        <v/>
      </c>
      <c r="IB36" s="37">
        <f>IB35*IB5</f>
        <v/>
      </c>
      <c r="IC36" s="37">
        <f>IC35*IC5</f>
        <v/>
      </c>
      <c r="ID36" s="37">
        <f>ID35*ID5</f>
        <v/>
      </c>
      <c r="IE36" s="37">
        <f>IE35*IE5</f>
        <v/>
      </c>
      <c r="IF36" s="37">
        <f>IF35*IF5</f>
        <v/>
      </c>
      <c r="IG36" s="37">
        <f>IG35*IG5</f>
        <v/>
      </c>
      <c r="IH36" s="37">
        <f>IH35*IH5</f>
        <v/>
      </c>
      <c r="II36" s="37">
        <f>II35*II5</f>
        <v/>
      </c>
      <c r="IJ36" s="37">
        <f>IJ35*IJ5</f>
        <v/>
      </c>
      <c r="IK36" s="37">
        <f>IK35*IK5</f>
        <v/>
      </c>
      <c r="IL36" s="37">
        <f>IL35*IL5</f>
        <v/>
      </c>
      <c r="IM36" s="37">
        <f>IM35*IM5</f>
        <v/>
      </c>
      <c r="IN36" s="37">
        <f>IN35*IN5</f>
        <v/>
      </c>
      <c r="IO36" s="37">
        <f>IO35*IO5</f>
        <v/>
      </c>
      <c r="IP36" s="37">
        <f>IP35*IP5</f>
        <v/>
      </c>
      <c r="IQ36" s="37">
        <f>IQ35*IQ5</f>
        <v/>
      </c>
      <c r="IR36" s="37">
        <f>IR35*IR5</f>
        <v/>
      </c>
      <c r="IS36" s="37">
        <f>IS35*IS5</f>
        <v/>
      </c>
      <c r="IT36" s="127">
        <f>SUM(HO36:IS36)</f>
        <v/>
      </c>
      <c r="IU36" s="37">
        <f>IU35*IU5</f>
        <v/>
      </c>
      <c r="IV36" s="37">
        <f>IV35*IV5</f>
        <v/>
      </c>
      <c r="IW36" s="37">
        <f>IW35*IW5</f>
        <v/>
      </c>
      <c r="IX36" s="37">
        <f>IX35*IX5</f>
        <v/>
      </c>
      <c r="IY36" s="37">
        <f>IY35*IY5</f>
        <v/>
      </c>
      <c r="IZ36" s="37">
        <f>IZ35*IZ5</f>
        <v/>
      </c>
      <c r="JA36" s="37">
        <f>JA35*JA5</f>
        <v/>
      </c>
      <c r="JB36" s="37">
        <f>JB35*JB5</f>
        <v/>
      </c>
      <c r="JC36" s="37">
        <f>JC35*JC5</f>
        <v/>
      </c>
      <c r="JD36" s="37">
        <f>JD35*JD5</f>
        <v/>
      </c>
      <c r="JE36" s="37">
        <f>JE35*JE5</f>
        <v/>
      </c>
      <c r="JF36" s="37">
        <f>JF35*JF5</f>
        <v/>
      </c>
      <c r="JG36" s="37">
        <f>JG35*JG5</f>
        <v/>
      </c>
      <c r="JH36" s="37">
        <f>JH35*JH5</f>
        <v/>
      </c>
      <c r="JI36" s="37">
        <f>JI35*JI5</f>
        <v/>
      </c>
      <c r="JJ36" s="37">
        <f>JJ35*JJ5</f>
        <v/>
      </c>
      <c r="JK36" s="37">
        <f>JK35*JK5</f>
        <v/>
      </c>
      <c r="JL36" s="37">
        <f>JL35*JL5</f>
        <v/>
      </c>
      <c r="JM36" s="37">
        <f>JM35*JM5</f>
        <v/>
      </c>
      <c r="JN36" s="37">
        <f>JN35*JN5</f>
        <v/>
      </c>
      <c r="JO36" s="37">
        <f>JO35*JO5</f>
        <v/>
      </c>
      <c r="JP36" s="37">
        <f>JP35*JP5</f>
        <v/>
      </c>
      <c r="JQ36" s="37">
        <f>JQ35*JQ5</f>
        <v/>
      </c>
      <c r="JR36" s="37">
        <f>JR35*JR5</f>
        <v/>
      </c>
      <c r="JS36" s="37">
        <f>JS35*JS5</f>
        <v/>
      </c>
      <c r="JT36" s="37">
        <f>JT35*JT5</f>
        <v/>
      </c>
      <c r="JU36" s="37">
        <f>JU35*JU5</f>
        <v/>
      </c>
      <c r="JV36" s="37">
        <f>JV35*JV5</f>
        <v/>
      </c>
      <c r="JW36" s="37">
        <f>JW35*JW5</f>
        <v/>
      </c>
      <c r="JX36" s="37">
        <f>JX35*JX5</f>
        <v/>
      </c>
      <c r="JY36" s="127">
        <f>SUM(IU36:JX36)</f>
        <v/>
      </c>
      <c r="JZ36" s="37">
        <f>JZ35*JZ5</f>
        <v/>
      </c>
      <c r="KA36" s="37">
        <f>KA35*KA5</f>
        <v/>
      </c>
      <c r="KB36" s="37">
        <f>KB35*KB5</f>
        <v/>
      </c>
      <c r="KC36" s="37">
        <f>KC35*KC5</f>
        <v/>
      </c>
      <c r="KD36" s="37">
        <f>KD35*KD5</f>
        <v/>
      </c>
      <c r="KE36" s="37">
        <f>KE35*KE5</f>
        <v/>
      </c>
      <c r="KF36" s="37">
        <f>KF35*KF5</f>
        <v/>
      </c>
      <c r="KG36" s="37">
        <f>KG35*KG5</f>
        <v/>
      </c>
      <c r="KH36" s="37">
        <f>KH35*KH5</f>
        <v/>
      </c>
      <c r="KI36" s="37">
        <f>KI35*KI5</f>
        <v/>
      </c>
      <c r="KJ36" s="37">
        <f>KJ35*KJ5</f>
        <v/>
      </c>
      <c r="KK36" s="37">
        <f>KK35*KK5</f>
        <v/>
      </c>
      <c r="KL36" s="37">
        <f>KL35*KL5</f>
        <v/>
      </c>
      <c r="KM36" s="37">
        <f>KM35*KM5</f>
        <v/>
      </c>
      <c r="KN36" s="37">
        <f>KN35*KN5</f>
        <v/>
      </c>
      <c r="KO36" s="37">
        <f>KO35*KO5</f>
        <v/>
      </c>
      <c r="KP36" s="37">
        <f>KP35*KP5</f>
        <v/>
      </c>
      <c r="KQ36" s="37">
        <f>KQ35*KQ5</f>
        <v/>
      </c>
      <c r="KR36" s="37">
        <f>KR35*KR5</f>
        <v/>
      </c>
      <c r="KS36" s="37">
        <f>KS35*KS5</f>
        <v/>
      </c>
      <c r="KT36" s="37">
        <f>KT35*KT5</f>
        <v/>
      </c>
      <c r="KU36" s="37">
        <f>KU35*KU5</f>
        <v/>
      </c>
      <c r="KV36" s="37">
        <f>KV35*KV5</f>
        <v/>
      </c>
      <c r="KW36" s="37">
        <f>KW35*KW5</f>
        <v/>
      </c>
      <c r="KX36" s="37">
        <f>KX35*KX5</f>
        <v/>
      </c>
      <c r="KY36" s="37">
        <f>KY35*KY5</f>
        <v/>
      </c>
      <c r="KZ36" s="37">
        <f>KZ35*KZ5</f>
        <v/>
      </c>
      <c r="LA36" s="37">
        <f>LA35*LA5</f>
        <v/>
      </c>
      <c r="LB36" s="37">
        <f>LB35*LB5</f>
        <v/>
      </c>
      <c r="LC36" s="37">
        <f>LC35*LC5</f>
        <v/>
      </c>
      <c r="LD36" s="37">
        <f>LD35*LD5</f>
        <v/>
      </c>
      <c r="LE36" s="127">
        <f>SUM(KA36:LD36)</f>
        <v/>
      </c>
      <c r="LF36" s="37">
        <f>LF35*LF5</f>
        <v/>
      </c>
      <c r="LG36" s="37">
        <f>LG35*LG5</f>
        <v/>
      </c>
      <c r="LH36" s="37">
        <f>LH35*LH5</f>
        <v/>
      </c>
      <c r="LI36" s="37">
        <f>LI35*LI5</f>
        <v/>
      </c>
      <c r="LJ36" s="37">
        <f>LJ35*LJ5</f>
        <v/>
      </c>
      <c r="LK36" s="37">
        <f>LK35*LK5</f>
        <v/>
      </c>
      <c r="LL36" s="37">
        <f>LL35*LL5</f>
        <v/>
      </c>
      <c r="LM36" s="37">
        <f>LM35*LM5</f>
        <v/>
      </c>
      <c r="LN36" s="37">
        <f>LN35*LN5</f>
        <v/>
      </c>
      <c r="LO36" s="37">
        <f>LO35*LO5</f>
        <v/>
      </c>
      <c r="LP36" s="37">
        <f>LP35*LP5</f>
        <v/>
      </c>
      <c r="LQ36" s="37">
        <f>LQ35*LQ5</f>
        <v/>
      </c>
      <c r="LR36" s="37">
        <f>LR35*LR5</f>
        <v/>
      </c>
      <c r="LS36" s="37">
        <f>LS35*LS5</f>
        <v/>
      </c>
      <c r="LT36" s="37">
        <f>LT35*LT5</f>
        <v/>
      </c>
      <c r="LU36" s="37">
        <f>LU35*LU5</f>
        <v/>
      </c>
      <c r="LV36" s="37">
        <f>LV35*LV5</f>
        <v/>
      </c>
      <c r="LW36" s="37">
        <f>LW35*LW5</f>
        <v/>
      </c>
      <c r="LX36" s="37">
        <f>LX35*LX5</f>
        <v/>
      </c>
      <c r="LY36" s="37">
        <f>LY35*LY5</f>
        <v/>
      </c>
      <c r="LZ36" s="37">
        <f>LZ35*LZ5</f>
        <v/>
      </c>
      <c r="MA36" s="37">
        <f>MA35*MA5</f>
        <v/>
      </c>
      <c r="MB36" s="37">
        <f>MB35*MB5</f>
        <v/>
      </c>
      <c r="MC36" s="37">
        <f>MC35*MC5</f>
        <v/>
      </c>
      <c r="MD36" s="37">
        <f>MD35*MD5</f>
        <v/>
      </c>
      <c r="ME36" s="37">
        <f>ME35*ME5</f>
        <v/>
      </c>
      <c r="MF36" s="37">
        <f>MF35*MF5</f>
        <v/>
      </c>
      <c r="MG36" s="37">
        <f>MG35*MG5</f>
        <v/>
      </c>
      <c r="MH36" s="37">
        <f>MH35*MH5</f>
        <v/>
      </c>
      <c r="MI36" s="37">
        <f>MI35*MI5</f>
        <v/>
      </c>
      <c r="MJ36" s="127">
        <f>SUM(LF36:MI36)</f>
        <v/>
      </c>
      <c r="MK36" s="37">
        <f>MK35*MK5</f>
        <v/>
      </c>
      <c r="ML36" s="37">
        <f>ML35*ML5</f>
        <v/>
      </c>
      <c r="MM36" s="37">
        <f>MM35*MM5</f>
        <v/>
      </c>
      <c r="MN36" s="37">
        <f>MN35*MN5</f>
        <v/>
      </c>
      <c r="MO36" s="37">
        <f>MO35*MO5</f>
        <v/>
      </c>
      <c r="MP36" s="37">
        <f>MP35*MP5</f>
        <v/>
      </c>
      <c r="MQ36" s="37">
        <f>MQ35*MQ5</f>
        <v/>
      </c>
      <c r="MR36" s="37">
        <f>MR35*MR5</f>
        <v/>
      </c>
      <c r="MS36" s="37">
        <f>MS35*MS5</f>
        <v/>
      </c>
      <c r="MT36" s="37">
        <f>MT35*MT5</f>
        <v/>
      </c>
      <c r="MU36" s="37">
        <f>MU35*MU5</f>
        <v/>
      </c>
      <c r="MV36" s="37">
        <f>MV35*MV5</f>
        <v/>
      </c>
      <c r="MW36" s="37">
        <f>MW35*MW5</f>
        <v/>
      </c>
      <c r="MX36" s="37">
        <f>MX35*MX5</f>
        <v/>
      </c>
      <c r="MY36" s="37">
        <f>MY35*MY5</f>
        <v/>
      </c>
      <c r="MZ36" s="37">
        <f>MZ35*MZ5</f>
        <v/>
      </c>
      <c r="NA36" s="37">
        <f>NA35*NA5</f>
        <v/>
      </c>
      <c r="NB36" s="37">
        <f>NB35*NB5</f>
        <v/>
      </c>
      <c r="NC36" s="37">
        <f>NC35*NC5</f>
        <v/>
      </c>
      <c r="ND36" s="37">
        <f>ND35*ND5</f>
        <v/>
      </c>
      <c r="NE36" s="37">
        <f>NE35*NE5</f>
        <v/>
      </c>
      <c r="NF36" s="37">
        <f>NF35*NF5</f>
        <v/>
      </c>
      <c r="NG36" s="37">
        <f>NG35*NG5</f>
        <v/>
      </c>
      <c r="NH36" s="37">
        <f>NH35*NH5</f>
        <v/>
      </c>
      <c r="NI36" s="37">
        <f>NI35*NI5</f>
        <v/>
      </c>
      <c r="NJ36" s="37">
        <f>NJ35*NJ5</f>
        <v/>
      </c>
      <c r="NK36" s="37">
        <f>NK35*NK5</f>
        <v/>
      </c>
      <c r="NL36" s="37">
        <f>NL35*NL5</f>
        <v/>
      </c>
      <c r="NM36" s="37">
        <f>NM35*NM5</f>
        <v/>
      </c>
      <c r="NN36" s="37">
        <f>NN35*NN5</f>
        <v/>
      </c>
      <c r="NO36" s="37">
        <f>NO35*NO5</f>
        <v/>
      </c>
      <c r="NP36" s="127">
        <f>SUM(ML36:NO36)</f>
        <v/>
      </c>
      <c r="NQ36" s="37">
        <f>NQ35*NQ5</f>
        <v/>
      </c>
      <c r="NR36" s="37">
        <f>NR35*NR5</f>
        <v/>
      </c>
      <c r="NS36" s="37">
        <f>NS35*NS5</f>
        <v/>
      </c>
      <c r="NT36" s="37">
        <f>NT35*NT5</f>
        <v/>
      </c>
      <c r="NU36" s="37">
        <f>NU35*NU5</f>
        <v/>
      </c>
      <c r="NV36" s="37">
        <f>NV35*NV5</f>
        <v/>
      </c>
      <c r="NW36" s="37">
        <f>NW35*NW5</f>
        <v/>
      </c>
      <c r="NX36" s="37">
        <f>NX35*NX5</f>
        <v/>
      </c>
      <c r="NY36" s="37">
        <f>NY35*NY5</f>
        <v/>
      </c>
      <c r="NZ36" s="37">
        <f>NZ35*NZ5</f>
        <v/>
      </c>
      <c r="OA36" s="37">
        <f>OA35*OA5</f>
        <v/>
      </c>
      <c r="OB36" s="37">
        <f>OB35*OB5</f>
        <v/>
      </c>
      <c r="OC36" s="37">
        <f>OC35*OC5</f>
        <v/>
      </c>
      <c r="OD36" s="37">
        <f>OD35*OD5</f>
        <v/>
      </c>
      <c r="OE36" s="37">
        <f>OE35*OE5</f>
        <v/>
      </c>
      <c r="OF36" s="37">
        <f>OF35*OF5</f>
        <v/>
      </c>
      <c r="OG36" s="37">
        <f>OG35*OG5</f>
        <v/>
      </c>
      <c r="OH36" s="37">
        <f>OH35*OH5</f>
        <v/>
      </c>
      <c r="OI36" s="37">
        <f>OI35*OI5</f>
        <v/>
      </c>
      <c r="OJ36" s="37">
        <f>OJ35*OJ5</f>
        <v/>
      </c>
      <c r="OK36" s="37">
        <f>OK35*OK5</f>
        <v/>
      </c>
      <c r="OL36" s="37">
        <f>OL35*OL5</f>
        <v/>
      </c>
      <c r="OM36" s="37">
        <f>OM35*OM5</f>
        <v/>
      </c>
      <c r="ON36" s="37">
        <f>ON35*ON5</f>
        <v/>
      </c>
      <c r="OO36" s="37">
        <f>OO35*OO5</f>
        <v/>
      </c>
      <c r="OP36" s="37">
        <f>OP35*OP5</f>
        <v/>
      </c>
      <c r="OQ36" s="37">
        <f>OQ35*OQ5</f>
        <v/>
      </c>
      <c r="OR36" s="37">
        <f>OR35*OR5</f>
        <v/>
      </c>
      <c r="OS36" s="37">
        <f>OS35*OS5</f>
        <v/>
      </c>
      <c r="OT36" s="37">
        <f>OT35*OT5</f>
        <v/>
      </c>
      <c r="OU36" s="37">
        <f>OU35*OU5</f>
        <v/>
      </c>
      <c r="OV36" s="127">
        <f>SUM(NR36:OU36)</f>
        <v/>
      </c>
      <c r="OW36" s="37">
        <f>OW35*OW5</f>
        <v/>
      </c>
      <c r="OX36" s="37">
        <f>OX35*OX5</f>
        <v/>
      </c>
      <c r="OY36" s="37">
        <f>OY35*OY5</f>
        <v/>
      </c>
      <c r="OZ36" s="37">
        <f>OZ35*OZ5</f>
        <v/>
      </c>
      <c r="PA36" s="37">
        <f>PA35*PA5</f>
        <v/>
      </c>
      <c r="PB36" s="37">
        <f>PB35*PB5</f>
        <v/>
      </c>
      <c r="PC36" s="37">
        <f>PC35*PC5</f>
        <v/>
      </c>
      <c r="PD36" s="37">
        <f>PD35*PD5</f>
        <v/>
      </c>
      <c r="PE36" s="37">
        <f>PE35*PE5</f>
        <v/>
      </c>
      <c r="PF36" s="37">
        <f>PF35*PF5</f>
        <v/>
      </c>
      <c r="PG36" s="37">
        <f>PG35*PG5</f>
        <v/>
      </c>
      <c r="PH36" s="37">
        <f>PH35*PH5</f>
        <v/>
      </c>
      <c r="PI36" s="37">
        <f>PI35*PI5</f>
        <v/>
      </c>
      <c r="PJ36" s="37">
        <f>PJ35*PJ5</f>
        <v/>
      </c>
      <c r="PK36" s="37">
        <f>PK35*PK5</f>
        <v/>
      </c>
      <c r="PL36" s="37">
        <f>PL35*PL5</f>
        <v/>
      </c>
      <c r="PM36" s="37">
        <f>PM35*PM5</f>
        <v/>
      </c>
      <c r="PN36" s="37">
        <f>PN35*PN5</f>
        <v/>
      </c>
      <c r="PO36" s="37">
        <f>PO35*PO5</f>
        <v/>
      </c>
      <c r="PP36" s="37">
        <f>PP35*PP5</f>
        <v/>
      </c>
      <c r="PQ36" s="37">
        <f>PQ35*PQ5</f>
        <v/>
      </c>
      <c r="PR36" s="37">
        <f>PR35*PR5</f>
        <v/>
      </c>
      <c r="PS36" s="37">
        <f>PS35*PS5</f>
        <v/>
      </c>
      <c r="PT36" s="37">
        <f>PT35*PT5</f>
        <v/>
      </c>
      <c r="PU36" s="37">
        <f>PU35*PU5</f>
        <v/>
      </c>
      <c r="PV36" s="37">
        <f>PV35*PV5</f>
        <v/>
      </c>
      <c r="PW36" s="37">
        <f>PW35*PW5</f>
        <v/>
      </c>
      <c r="PX36" s="37">
        <f>PX35*PX5</f>
        <v/>
      </c>
      <c r="PY36" s="37">
        <f>PY35*PY5</f>
        <v/>
      </c>
      <c r="PZ36" s="37">
        <f>PZ35*PZ5</f>
        <v/>
      </c>
      <c r="QA36" s="127">
        <f>SUM(OW36:PZ36)</f>
        <v/>
      </c>
      <c r="QB36" s="37">
        <f>QB35*QB5</f>
        <v/>
      </c>
      <c r="QC36" s="37">
        <f>QC35*QC5</f>
        <v/>
      </c>
      <c r="QD36" s="37">
        <f>QD35*QD5</f>
        <v/>
      </c>
      <c r="QE36" s="37">
        <f>QE35*QE5</f>
        <v/>
      </c>
      <c r="QF36" s="37">
        <f>QF35*QF5</f>
        <v/>
      </c>
      <c r="QG36" s="37">
        <f>QG35*QG5</f>
        <v/>
      </c>
      <c r="QH36" s="37">
        <f>QH35*QH5</f>
        <v/>
      </c>
      <c r="QI36" s="37">
        <f>QI35*QI5</f>
        <v/>
      </c>
      <c r="QJ36" s="37">
        <f>QJ35*QJ5</f>
        <v/>
      </c>
      <c r="QK36" s="37">
        <f>QK35*QK5</f>
        <v/>
      </c>
      <c r="QL36" s="37">
        <f>QL35*QL5</f>
        <v/>
      </c>
      <c r="QM36" s="37">
        <f>QM35*QM5</f>
        <v/>
      </c>
      <c r="QN36" s="37">
        <f>QN35*QN5</f>
        <v/>
      </c>
      <c r="QO36" s="37">
        <f>QO35*QO5</f>
        <v/>
      </c>
      <c r="QP36" s="37">
        <f>QP35*QP5</f>
        <v/>
      </c>
      <c r="QQ36" s="37">
        <f>QQ35*QQ5</f>
        <v/>
      </c>
      <c r="QR36" s="37">
        <f>QR35*QR5</f>
        <v/>
      </c>
      <c r="QS36" s="37">
        <f>QS35*QS5</f>
        <v/>
      </c>
      <c r="QT36" s="37">
        <f>QT35*QT5</f>
        <v/>
      </c>
      <c r="QU36" s="37">
        <f>QU35*QU5</f>
        <v/>
      </c>
      <c r="QV36" s="37">
        <f>QV35*QV5</f>
        <v/>
      </c>
      <c r="QW36" s="37">
        <f>QW35*QW5</f>
        <v/>
      </c>
      <c r="QX36" s="37">
        <f>QX35*QX5</f>
        <v/>
      </c>
      <c r="QY36" s="37">
        <f>QY35*QY5</f>
        <v/>
      </c>
      <c r="QZ36" s="37">
        <f>QZ35*QZ5</f>
        <v/>
      </c>
      <c r="RA36" s="37">
        <f>RA35*RA5</f>
        <v/>
      </c>
      <c r="RB36" s="37">
        <f>RB35*RB5</f>
        <v/>
      </c>
      <c r="RC36" s="37">
        <f>RC35*RC5</f>
        <v/>
      </c>
      <c r="RD36" s="37">
        <f>RD35*RD5</f>
        <v/>
      </c>
      <c r="RE36" s="37">
        <f>RE35*RE5</f>
        <v/>
      </c>
      <c r="RF36" s="37">
        <f>RF35*RF5</f>
        <v/>
      </c>
      <c r="RG36" s="127">
        <f>SUM(QC36:RF36)</f>
        <v/>
      </c>
      <c r="RH36" s="37">
        <f>RH35*RH5</f>
        <v/>
      </c>
      <c r="RI36" s="37">
        <f>RI35*RI5</f>
        <v/>
      </c>
      <c r="RJ36" s="37">
        <f>RJ35*RJ5</f>
        <v/>
      </c>
      <c r="RK36" s="37">
        <f>RK35*RK5</f>
        <v/>
      </c>
      <c r="RL36" s="37">
        <f>RL35*RL5</f>
        <v/>
      </c>
      <c r="RM36" s="37">
        <f>RM35*RM5</f>
        <v/>
      </c>
      <c r="RN36" s="37">
        <f>RN35*RN5</f>
        <v/>
      </c>
      <c r="RO36" s="37">
        <f>RO35*RO5</f>
        <v/>
      </c>
      <c r="RP36" s="37">
        <f>RP35*RP5</f>
        <v/>
      </c>
      <c r="RQ36" s="37">
        <f>RQ35*RQ5</f>
        <v/>
      </c>
      <c r="RR36" s="37">
        <f>RR35*RR5</f>
        <v/>
      </c>
      <c r="RS36" s="37">
        <f>RS35*RS5</f>
        <v/>
      </c>
      <c r="RT36" s="37">
        <f>RT35*RT5</f>
        <v/>
      </c>
      <c r="RU36" s="37">
        <f>RU35*RU5</f>
        <v/>
      </c>
      <c r="RV36" s="37">
        <f>RV35*RV5</f>
        <v/>
      </c>
      <c r="RW36" s="37">
        <f>RW35*RW5</f>
        <v/>
      </c>
      <c r="RX36" s="37">
        <f>RX35*RX5</f>
        <v/>
      </c>
      <c r="RY36" s="37">
        <f>RY35*RY5</f>
        <v/>
      </c>
      <c r="RZ36" s="37">
        <f>RZ35*RZ5</f>
        <v/>
      </c>
      <c r="SA36" s="37">
        <f>SA35*SA5</f>
        <v/>
      </c>
      <c r="SB36" s="37">
        <f>SB35*SB5</f>
        <v/>
      </c>
      <c r="SC36" s="37">
        <f>SC35*SC5</f>
        <v/>
      </c>
      <c r="SD36" s="37">
        <f>SD35*SD5</f>
        <v/>
      </c>
      <c r="SE36" s="37">
        <f>SE35*SE5</f>
        <v/>
      </c>
      <c r="SF36" s="37">
        <f>SF35*SF5</f>
        <v/>
      </c>
      <c r="SG36" s="37">
        <f>SG35*SG5</f>
        <v/>
      </c>
      <c r="SH36" s="37">
        <f>SH35*SH5</f>
        <v/>
      </c>
      <c r="SI36" s="37">
        <f>SI35*SI5</f>
        <v/>
      </c>
      <c r="SJ36" s="37">
        <f>SJ35*SJ5</f>
        <v/>
      </c>
      <c r="SK36" s="37">
        <f>SK35*SK5</f>
        <v/>
      </c>
      <c r="SL36" s="127">
        <f>SUM(RH36:SK36)</f>
        <v/>
      </c>
      <c r="SM36" s="37">
        <f>SM35*SM5</f>
        <v/>
      </c>
      <c r="SN36" s="37">
        <f>SN35*SN5</f>
        <v/>
      </c>
      <c r="SO36" s="37">
        <f>SO35*SO5</f>
        <v/>
      </c>
      <c r="SP36" s="37">
        <f>SP35*SP5</f>
        <v/>
      </c>
      <c r="SQ36" s="37">
        <f>SQ35*SQ5</f>
        <v/>
      </c>
      <c r="SR36" s="37">
        <f>SR35*SR5</f>
        <v/>
      </c>
      <c r="SS36" s="37">
        <f>SS35*SS5</f>
        <v/>
      </c>
      <c r="ST36" s="37">
        <f>ST35*ST5</f>
        <v/>
      </c>
      <c r="SU36" s="37">
        <f>SU35*SU5</f>
        <v/>
      </c>
      <c r="SV36" s="37">
        <f>SV35*SV5</f>
        <v/>
      </c>
      <c r="SW36" s="37">
        <f>SW35*SW5</f>
        <v/>
      </c>
      <c r="SX36" s="37">
        <f>SX35*SX5</f>
        <v/>
      </c>
      <c r="SY36" s="37">
        <f>SY35*SY5</f>
        <v/>
      </c>
      <c r="SZ36" s="37">
        <f>SZ35*SZ5</f>
        <v/>
      </c>
      <c r="TA36" s="37">
        <f>TA35*TA5</f>
        <v/>
      </c>
      <c r="TB36" s="37">
        <f>TB35*TB5</f>
        <v/>
      </c>
      <c r="TC36" s="37">
        <f>TC35*TC5</f>
        <v/>
      </c>
      <c r="TD36" s="37">
        <f>TD35*TD5</f>
        <v/>
      </c>
      <c r="TE36" s="37">
        <f>TE35*TE5</f>
        <v/>
      </c>
      <c r="TF36" s="37">
        <f>TF35*TF5</f>
        <v/>
      </c>
      <c r="TG36" s="37">
        <f>TG35*TG5</f>
        <v/>
      </c>
      <c r="TH36" s="37">
        <f>TH35*TH5</f>
        <v/>
      </c>
      <c r="TI36" s="37">
        <f>TI35*TI5</f>
        <v/>
      </c>
      <c r="TJ36" s="37">
        <f>TJ35*TJ5</f>
        <v/>
      </c>
      <c r="TK36" s="37">
        <f>TK35*TK5</f>
        <v/>
      </c>
      <c r="TL36" s="37">
        <f>TL35*TL5</f>
        <v/>
      </c>
      <c r="TM36" s="37">
        <f>TM35*TM5</f>
        <v/>
      </c>
      <c r="TN36" s="37">
        <f>TN35*TN5</f>
        <v/>
      </c>
      <c r="TO36" s="37">
        <f>TO35*TO5</f>
        <v/>
      </c>
      <c r="TP36" s="37">
        <f>TP35*TP5</f>
        <v/>
      </c>
      <c r="TQ36" s="37">
        <f>TQ35*TQ5</f>
        <v/>
      </c>
      <c r="TR36" s="127">
        <f>SUM(SN36:TQ36)</f>
        <v/>
      </c>
      <c r="TS36" s="37">
        <f>TS35*TS5</f>
        <v/>
      </c>
      <c r="TT36" s="37">
        <f>TT35*TT5</f>
        <v/>
      </c>
      <c r="TU36" s="37">
        <f>TU35*TU5</f>
        <v/>
      </c>
      <c r="TV36" s="37">
        <f>TV35*TV5</f>
        <v/>
      </c>
      <c r="TW36" s="37">
        <f>TW35*TW5</f>
        <v/>
      </c>
      <c r="TX36" s="37">
        <f>TX35*TX5</f>
        <v/>
      </c>
      <c r="TY36" s="37">
        <f>TY35*TY5</f>
        <v/>
      </c>
      <c r="TZ36" s="37">
        <f>TZ35*TZ5</f>
        <v/>
      </c>
      <c r="UA36" s="37">
        <f>UA35*UA5</f>
        <v/>
      </c>
      <c r="UB36" s="37">
        <f>UB35*UB5</f>
        <v/>
      </c>
      <c r="UC36" s="37">
        <f>UC35*UC5</f>
        <v/>
      </c>
      <c r="UD36" s="37">
        <f>UD35*UD5</f>
        <v/>
      </c>
      <c r="UE36" s="37">
        <f>UE35*UE5</f>
        <v/>
      </c>
      <c r="UF36" s="37">
        <f>UF35*UF5</f>
        <v/>
      </c>
      <c r="UG36" s="37">
        <f>UG35*UG5</f>
        <v/>
      </c>
      <c r="UH36" s="37">
        <f>UH35*UH5</f>
        <v/>
      </c>
      <c r="UI36" s="37">
        <f>UI35*UI5</f>
        <v/>
      </c>
      <c r="UJ36" s="37">
        <f>UJ35*UJ5</f>
        <v/>
      </c>
      <c r="UK36" s="37">
        <f>UK35*UK5</f>
        <v/>
      </c>
      <c r="UL36" s="37">
        <f>UL35*UL5</f>
        <v/>
      </c>
      <c r="UM36" s="37">
        <f>UM35*UM5</f>
        <v/>
      </c>
      <c r="UN36" s="37">
        <f>UN35*UN5</f>
        <v/>
      </c>
      <c r="UO36" s="37">
        <f>UO35*UO5</f>
        <v/>
      </c>
      <c r="UP36" s="37">
        <f>UP35*UP5</f>
        <v/>
      </c>
      <c r="UQ36" s="37">
        <f>UQ35*UQ5</f>
        <v/>
      </c>
      <c r="UR36" s="37">
        <f>UR35*UR5</f>
        <v/>
      </c>
      <c r="US36" s="37">
        <f>US35*US5</f>
        <v/>
      </c>
      <c r="UT36" s="37">
        <f>UT35*UT5</f>
        <v/>
      </c>
      <c r="UU36" s="37">
        <f>UU35*UU5</f>
        <v/>
      </c>
      <c r="UV36" s="37">
        <f>UV35*UV5</f>
        <v/>
      </c>
      <c r="UW36" s="37">
        <f>UW35*UW5</f>
        <v/>
      </c>
      <c r="UX36" s="127">
        <f>SUM(TT36:UW36)</f>
        <v/>
      </c>
      <c r="UY36" s="37">
        <f>UY35*UY5</f>
        <v/>
      </c>
      <c r="UZ36" s="37">
        <f>UZ35*UZ5</f>
        <v/>
      </c>
      <c r="VA36" s="37">
        <f>VA35*VA5</f>
        <v/>
      </c>
      <c r="VB36" s="37">
        <f>VB35*VB5</f>
        <v/>
      </c>
      <c r="VC36" s="37">
        <f>VC35*VC5</f>
        <v/>
      </c>
      <c r="VD36" s="37">
        <f>VD35*VD5</f>
        <v/>
      </c>
      <c r="VE36" s="37">
        <f>VE35*VE5</f>
        <v/>
      </c>
      <c r="VF36" s="37">
        <f>VF35*VF5</f>
        <v/>
      </c>
      <c r="VG36" s="37">
        <f>VG35*VG5</f>
        <v/>
      </c>
      <c r="VH36" s="37">
        <f>VH35*VH5</f>
        <v/>
      </c>
      <c r="VI36" s="37">
        <f>VI35*VI5</f>
        <v/>
      </c>
      <c r="VJ36" s="37">
        <f>VJ35*VJ5</f>
        <v/>
      </c>
      <c r="VK36" s="37">
        <f>VK35*VK5</f>
        <v/>
      </c>
      <c r="VL36" s="37">
        <f>VL35*VL5</f>
        <v/>
      </c>
      <c r="VM36" s="37">
        <f>VM35*VM5</f>
        <v/>
      </c>
      <c r="VN36" s="37">
        <f>VN35*VN5</f>
        <v/>
      </c>
      <c r="VO36" s="37">
        <f>VO35*VO5</f>
        <v/>
      </c>
      <c r="VP36" s="37">
        <f>VP35*VP5</f>
        <v/>
      </c>
      <c r="VQ36" s="37">
        <f>VQ35*VQ5</f>
        <v/>
      </c>
      <c r="VR36" s="37">
        <f>VR35*VR5</f>
        <v/>
      </c>
      <c r="VS36" s="37">
        <f>VS35*VS5</f>
        <v/>
      </c>
      <c r="VT36" s="37">
        <f>VT35*VT5</f>
        <v/>
      </c>
      <c r="VU36" s="37">
        <f>VU35*VU5</f>
        <v/>
      </c>
      <c r="VV36" s="37">
        <f>VV35*VV5</f>
        <v/>
      </c>
      <c r="VW36" s="37">
        <f>VW35*VW5</f>
        <v/>
      </c>
      <c r="VX36" s="37">
        <f>VX35*VX5</f>
        <v/>
      </c>
      <c r="VY36" s="37">
        <f>VY35*VY5</f>
        <v/>
      </c>
      <c r="VZ36" s="37">
        <f>VZ35*VZ5</f>
        <v/>
      </c>
      <c r="WA36" s="127">
        <f>SUM(UW36:VZ36)</f>
        <v/>
      </c>
      <c r="WB36" s="37">
        <f>WB35*WB5</f>
        <v/>
      </c>
      <c r="WC36" s="37">
        <f>WC35*WC5</f>
        <v/>
      </c>
      <c r="WD36" s="37">
        <f>WD35*WD5</f>
        <v/>
      </c>
      <c r="WE36" s="37">
        <f>WE35*WE5</f>
        <v/>
      </c>
      <c r="WF36" s="37">
        <f>WF35*WF5</f>
        <v/>
      </c>
      <c r="WG36" s="37">
        <f>WG35*WG5</f>
        <v/>
      </c>
      <c r="WH36" s="37">
        <f>WH35*WH5</f>
        <v/>
      </c>
      <c r="WI36" s="37">
        <f>WI35*WI5</f>
        <v/>
      </c>
      <c r="WJ36" s="37">
        <f>WJ35*WJ5</f>
        <v/>
      </c>
      <c r="WK36" s="37">
        <f>WK35*WK5</f>
        <v/>
      </c>
      <c r="WL36" s="37">
        <f>WL35*WL5</f>
        <v/>
      </c>
      <c r="WM36" s="37">
        <f>WM35*WM5</f>
        <v/>
      </c>
      <c r="WN36" s="37">
        <f>WN35*WN5</f>
        <v/>
      </c>
      <c r="WO36" s="37">
        <f>WO35*WO5</f>
        <v/>
      </c>
      <c r="WP36" s="37">
        <f>WP35*WP5</f>
        <v/>
      </c>
      <c r="WQ36" s="37">
        <f>WQ35*WQ5</f>
        <v/>
      </c>
      <c r="WR36" s="37">
        <f>WR35*WR5</f>
        <v/>
      </c>
      <c r="WS36" s="37">
        <f>WS35*WS5</f>
        <v/>
      </c>
      <c r="WT36" s="37">
        <f>WT35*WT5</f>
        <v/>
      </c>
      <c r="WU36" s="37">
        <f>WU35*WU5</f>
        <v/>
      </c>
      <c r="WV36" s="37">
        <f>WV35*WV5</f>
        <v/>
      </c>
      <c r="WW36" s="37">
        <f>WW35*WW5</f>
        <v/>
      </c>
      <c r="WX36" s="37">
        <f>WX35*WX5</f>
        <v/>
      </c>
      <c r="WY36" s="37">
        <f>WY35*WY5</f>
        <v/>
      </c>
      <c r="WZ36" s="37">
        <f>WZ35*WZ5</f>
        <v/>
      </c>
      <c r="XA36" s="37">
        <f>XA35*XA5</f>
        <v/>
      </c>
      <c r="XB36" s="37">
        <f>XB35*XB5</f>
        <v/>
      </c>
      <c r="XC36" s="37">
        <f>XC35*XC5</f>
        <v/>
      </c>
      <c r="XD36" s="37">
        <f>XD35*XD5</f>
        <v/>
      </c>
      <c r="XE36" s="37">
        <f>XE35*XE5</f>
        <v/>
      </c>
      <c r="XF36" s="37">
        <f>XF35*XF5</f>
        <v/>
      </c>
      <c r="XG36" s="127">
        <f>SUM(WB36:XF36)</f>
        <v/>
      </c>
      <c r="XH36" s="37">
        <f>XH35*XH5</f>
        <v/>
      </c>
      <c r="XI36" s="37">
        <f>XI35*XI5</f>
        <v/>
      </c>
      <c r="XJ36" s="37">
        <f>XJ35*XJ5</f>
        <v/>
      </c>
      <c r="XK36" s="37">
        <f>XK35*XK5</f>
        <v/>
      </c>
      <c r="XL36" s="37">
        <f>XL35*XL5</f>
        <v/>
      </c>
      <c r="XM36" s="37">
        <f>XM35*XM5</f>
        <v/>
      </c>
      <c r="XN36" s="37">
        <f>XN35*XN5</f>
        <v/>
      </c>
      <c r="XO36" s="37">
        <f>XO35*XO5</f>
        <v/>
      </c>
      <c r="XP36" s="37">
        <f>XP35*XP5</f>
        <v/>
      </c>
      <c r="XQ36" s="37">
        <f>XQ35*XQ5</f>
        <v/>
      </c>
      <c r="XR36" s="37">
        <f>XR35*XR5</f>
        <v/>
      </c>
      <c r="XS36" s="37">
        <f>XS35*XS5</f>
        <v/>
      </c>
      <c r="XT36" s="37">
        <f>XT35*XT5</f>
        <v/>
      </c>
      <c r="XU36" s="37">
        <f>XU35*XU5</f>
        <v/>
      </c>
      <c r="XV36" s="37">
        <f>XV35*XV5</f>
        <v/>
      </c>
      <c r="XW36" s="37">
        <f>XW35*XW5</f>
        <v/>
      </c>
      <c r="XX36" s="37">
        <f>XX35*XX5</f>
        <v/>
      </c>
      <c r="XY36" s="37">
        <f>XY35*XY5</f>
        <v/>
      </c>
      <c r="XZ36" s="37">
        <f>XZ35*XZ5</f>
        <v/>
      </c>
      <c r="YA36" s="37">
        <f>YA35*YA5</f>
        <v/>
      </c>
      <c r="YB36" s="37">
        <f>YB35*YB5</f>
        <v/>
      </c>
      <c r="YC36" s="37">
        <f>YC35*YC5</f>
        <v/>
      </c>
      <c r="YD36" s="37">
        <f>YD35*YD5</f>
        <v/>
      </c>
      <c r="YE36" s="37">
        <f>YE35*YE5</f>
        <v/>
      </c>
      <c r="YF36" s="37">
        <f>YF35*YF5</f>
        <v/>
      </c>
      <c r="YG36" s="37">
        <f>YG35*YG5</f>
        <v/>
      </c>
      <c r="YH36" s="37">
        <f>YH35*YH5</f>
        <v/>
      </c>
      <c r="YI36" s="37">
        <f>YI35*YI5</f>
        <v/>
      </c>
      <c r="YJ36" s="37">
        <f>YJ35*YJ5</f>
        <v/>
      </c>
      <c r="YK36" s="37">
        <f>YK35*YK5</f>
        <v/>
      </c>
      <c r="YL36" s="127">
        <f>SUM(XH36:YK36)</f>
        <v/>
      </c>
      <c r="YM36" s="37">
        <f>YM35*YM5</f>
        <v/>
      </c>
      <c r="YN36" s="37">
        <f>YN35*YN5</f>
        <v/>
      </c>
      <c r="YO36" s="37">
        <f>YO35*YO5</f>
        <v/>
      </c>
      <c r="YP36" s="37">
        <f>YP35*YP5</f>
        <v/>
      </c>
      <c r="YQ36" s="37">
        <f>YQ35*YQ5</f>
        <v/>
      </c>
      <c r="YR36" s="37">
        <f>YR35*YR5</f>
        <v/>
      </c>
      <c r="YS36" s="37">
        <f>YS35*YS5</f>
        <v/>
      </c>
      <c r="YT36" s="37">
        <f>YT35*YT5</f>
        <v/>
      </c>
      <c r="YU36" s="37">
        <f>YU35*YU5</f>
        <v/>
      </c>
      <c r="YV36" s="37">
        <f>YV35*YV5</f>
        <v/>
      </c>
      <c r="YW36" s="37">
        <f>YW35*YW5</f>
        <v/>
      </c>
      <c r="YX36" s="37">
        <f>YX35*YX5</f>
        <v/>
      </c>
      <c r="YY36" s="37">
        <f>YY35*YY5</f>
        <v/>
      </c>
      <c r="YZ36" s="37">
        <f>YZ35*YZ5</f>
        <v/>
      </c>
      <c r="ZA36" s="37">
        <f>ZA35*ZA5</f>
        <v/>
      </c>
      <c r="ZB36" s="37">
        <f>ZB35*ZB5</f>
        <v/>
      </c>
      <c r="ZC36" s="37">
        <f>ZC35*ZC5</f>
        <v/>
      </c>
      <c r="ZD36" s="37">
        <f>ZD35*ZD5</f>
        <v/>
      </c>
      <c r="ZE36" s="37">
        <f>ZE35*ZE5</f>
        <v/>
      </c>
      <c r="ZF36" s="37">
        <f>ZF35*ZF5</f>
        <v/>
      </c>
      <c r="ZG36" s="37">
        <f>ZG35*ZG5</f>
        <v/>
      </c>
      <c r="ZH36" s="37">
        <f>ZH35*ZH5</f>
        <v/>
      </c>
      <c r="ZI36" s="37">
        <f>ZI35*ZI5</f>
        <v/>
      </c>
      <c r="ZJ36" s="37">
        <f>ZJ35*ZJ5</f>
        <v/>
      </c>
      <c r="ZK36" s="37">
        <f>ZK35*ZK5</f>
        <v/>
      </c>
      <c r="ZL36" s="37">
        <f>ZL35*ZL5</f>
        <v/>
      </c>
      <c r="ZM36" s="37">
        <f>ZM35*ZM5</f>
        <v/>
      </c>
      <c r="ZN36" s="37">
        <f>ZN35*ZN5</f>
        <v/>
      </c>
      <c r="ZO36" s="37">
        <f>ZO35*ZO5</f>
        <v/>
      </c>
      <c r="ZP36" s="37">
        <f>ZP35*ZP5</f>
        <v/>
      </c>
      <c r="ZQ36" s="37">
        <f>ZQ35*ZQ5</f>
        <v/>
      </c>
      <c r="ZR36" s="127">
        <f>SUM(YM36:ZQ36)</f>
        <v/>
      </c>
      <c r="ZS36" s="37">
        <f>ZS35*ZS5</f>
        <v/>
      </c>
      <c r="ZT36" s="37">
        <f>ZT35*ZT5</f>
        <v/>
      </c>
      <c r="ZU36" s="37">
        <f>ZU35*ZU5</f>
        <v/>
      </c>
      <c r="ZV36" s="37">
        <f>ZV35*ZV5</f>
        <v/>
      </c>
      <c r="ZW36" s="37">
        <f>ZW35*ZW5</f>
        <v/>
      </c>
      <c r="ZX36" s="37">
        <f>ZX35*ZX5</f>
        <v/>
      </c>
      <c r="ZY36" s="37">
        <f>ZY35*ZY5</f>
        <v/>
      </c>
      <c r="ZZ36" s="37">
        <f>ZZ35*ZZ5</f>
        <v/>
      </c>
      <c r="AAA36" s="37">
        <f>AAA35*AAA5</f>
        <v/>
      </c>
      <c r="AAB36" s="37">
        <f>AAB35*AAB5</f>
        <v/>
      </c>
      <c r="AAC36" s="37">
        <f>AAC35*AAC5</f>
        <v/>
      </c>
      <c r="AAD36" s="37">
        <f>AAD35*AAD5</f>
        <v/>
      </c>
      <c r="AAE36" s="37">
        <f>AAE35*AAE5</f>
        <v/>
      </c>
      <c r="AAF36" s="37">
        <f>AAF35*AAF5</f>
        <v/>
      </c>
      <c r="AAG36" s="37">
        <f>AAG35*AAG5</f>
        <v/>
      </c>
      <c r="AAH36" s="37">
        <f>AAH35*AAH5</f>
        <v/>
      </c>
      <c r="AAI36" s="37">
        <f>AAI35*AAI5</f>
        <v/>
      </c>
      <c r="AAJ36" s="37">
        <f>AAJ35*AAJ5</f>
        <v/>
      </c>
      <c r="AAK36" s="37">
        <f>AAK35*AAK5</f>
        <v/>
      </c>
      <c r="AAL36" s="37">
        <f>AAL35*AAL5</f>
        <v/>
      </c>
      <c r="AAM36" s="37">
        <f>AAM35*AAM5</f>
        <v/>
      </c>
      <c r="AAN36" s="37">
        <f>AAN35*AAN5</f>
        <v/>
      </c>
      <c r="AAO36" s="37">
        <f>AAO35*AAO5</f>
        <v/>
      </c>
      <c r="AAP36" s="37">
        <f>AAP35*AAP5</f>
        <v/>
      </c>
      <c r="AAQ36" s="37">
        <f>AAQ35*AAQ5</f>
        <v/>
      </c>
      <c r="AAR36" s="37">
        <f>AAR35*AAR5</f>
        <v/>
      </c>
      <c r="AAS36" s="37">
        <f>AAS35*AAS5</f>
        <v/>
      </c>
      <c r="AAT36" s="37">
        <f>AAT35*AAT5</f>
        <v/>
      </c>
      <c r="AAU36" s="37">
        <f>AAU35*AAU5</f>
        <v/>
      </c>
      <c r="AAV36" s="37">
        <f>AAV35*AAV5</f>
        <v/>
      </c>
      <c r="AAW36" s="127">
        <f>SUM(ZS36:AAV36)</f>
        <v/>
      </c>
      <c r="AAX36" s="37">
        <f>AAX35*AAX5</f>
        <v/>
      </c>
      <c r="AAY36" s="37">
        <f>AAY35*AAY5</f>
        <v/>
      </c>
      <c r="AAZ36" s="37">
        <f>AAZ35*AAZ5</f>
        <v/>
      </c>
      <c r="ABA36" s="37">
        <f>ABA35*ABA5</f>
        <v/>
      </c>
      <c r="ABB36" s="37">
        <f>ABB35*ABB5</f>
        <v/>
      </c>
      <c r="ABC36" s="37">
        <f>ABC35*ABC5</f>
        <v/>
      </c>
      <c r="ABD36" s="37">
        <f>ABD35*ABD5</f>
        <v/>
      </c>
      <c r="ABE36" s="37">
        <f>ABE35*ABE5</f>
        <v/>
      </c>
      <c r="ABF36" s="37">
        <f>ABF35*ABF5</f>
        <v/>
      </c>
      <c r="ABG36" s="37">
        <f>ABG35*ABG5</f>
        <v/>
      </c>
      <c r="ABH36" s="37">
        <f>ABH35*ABH5</f>
        <v/>
      </c>
      <c r="ABI36" s="37">
        <f>ABI35*ABI5</f>
        <v/>
      </c>
      <c r="ABJ36" s="37">
        <f>ABJ35*ABJ5</f>
        <v/>
      </c>
      <c r="ABK36" s="37">
        <f>ABK35*ABK5</f>
        <v/>
      </c>
      <c r="ABL36" s="37">
        <f>ABL35*ABL5</f>
        <v/>
      </c>
      <c r="ABM36" s="37">
        <f>ABM35*ABM5</f>
        <v/>
      </c>
      <c r="ABN36" s="37">
        <f>ABN35*ABN5</f>
        <v/>
      </c>
      <c r="ABO36" s="37">
        <f>ABO35*ABO5</f>
        <v/>
      </c>
      <c r="ABP36" s="37">
        <f>ABP35*ABP5</f>
        <v/>
      </c>
      <c r="ABQ36" s="37">
        <f>ABQ35*ABQ5</f>
        <v/>
      </c>
      <c r="ABR36" s="37">
        <f>ABR35*ABR5</f>
        <v/>
      </c>
      <c r="ABS36" s="37">
        <f>ABS35*ABS5</f>
        <v/>
      </c>
      <c r="ABT36" s="37">
        <f>ABT35*ABT5</f>
        <v/>
      </c>
      <c r="ABU36" s="37">
        <f>ABU35*ABU5</f>
        <v/>
      </c>
      <c r="ABV36" s="37">
        <f>ABV35*ABV5</f>
        <v/>
      </c>
      <c r="ABW36" s="37">
        <f>ABW35*ABW5</f>
        <v/>
      </c>
      <c r="ABX36" s="37">
        <f>ABX35*ABX5</f>
        <v/>
      </c>
      <c r="ABY36" s="37">
        <f>ABY35*ABY5</f>
        <v/>
      </c>
      <c r="ABZ36" s="37">
        <f>ABZ35*ABZ5</f>
        <v/>
      </c>
      <c r="ACA36" s="37">
        <f>ACA35*ACA5</f>
        <v/>
      </c>
      <c r="ACB36" s="37">
        <f>ACB35*ACB5</f>
        <v/>
      </c>
      <c r="ACC36" s="127">
        <f>SUM(AAX36:ACB36)</f>
        <v/>
      </c>
      <c r="ACD36" s="37">
        <f>ACD35*ACD5</f>
        <v/>
      </c>
      <c r="ACE36" s="37">
        <f>ACE35*ACE5</f>
        <v/>
      </c>
      <c r="ACF36" s="37">
        <f>ACF35*ACF5</f>
        <v/>
      </c>
      <c r="ACG36" s="37">
        <f>ACG35*ACG5</f>
        <v/>
      </c>
      <c r="ACH36" s="37">
        <f>ACH35*ACH5</f>
        <v/>
      </c>
      <c r="ACI36" s="37">
        <f>ACI35*ACI5</f>
        <v/>
      </c>
      <c r="ACJ36" s="37">
        <f>ACJ35*ACJ5</f>
        <v/>
      </c>
      <c r="ACK36" s="37">
        <f>ACK35*ACK5</f>
        <v/>
      </c>
      <c r="ACL36" s="37">
        <f>ACL35*ACL5</f>
        <v/>
      </c>
      <c r="ACM36" s="37">
        <f>ACM35*ACM5</f>
        <v/>
      </c>
      <c r="ACN36" s="37">
        <f>ACN35*ACN5</f>
        <v/>
      </c>
      <c r="ACO36" s="37">
        <f>ACO35*ACO5</f>
        <v/>
      </c>
      <c r="ACP36" s="37">
        <f>ACP35*ACP5</f>
        <v/>
      </c>
      <c r="ACQ36" s="37">
        <f>ACQ35*ACQ5</f>
        <v/>
      </c>
      <c r="ACR36" s="37">
        <f>ACR35*ACR5</f>
        <v/>
      </c>
      <c r="ACS36" s="37">
        <f>ACS35*ACS5</f>
        <v/>
      </c>
      <c r="ACT36" s="37">
        <f>ACT35*ACT5</f>
        <v/>
      </c>
      <c r="ACU36" s="37">
        <f>ACU35*ACU5</f>
        <v/>
      </c>
      <c r="ACV36" s="37">
        <f>ACV35*ACV5</f>
        <v/>
      </c>
      <c r="ACW36" s="37">
        <f>ACW35*ACW5</f>
        <v/>
      </c>
      <c r="ACX36" s="37">
        <f>ACX35*ACX5</f>
        <v/>
      </c>
      <c r="ACY36" s="37">
        <f>ACY35*ACY5</f>
        <v/>
      </c>
      <c r="ACZ36" s="37">
        <f>ACZ35*ACZ5</f>
        <v/>
      </c>
      <c r="ADA36" s="37">
        <f>ADA35*ADA5</f>
        <v/>
      </c>
      <c r="ADB36" s="37">
        <f>ADB35*ADB5</f>
        <v/>
      </c>
      <c r="ADC36" s="37">
        <f>ADC35*ADC5</f>
        <v/>
      </c>
      <c r="ADD36" s="37">
        <f>ADD35*ADD5</f>
        <v/>
      </c>
      <c r="ADE36" s="37">
        <f>ADE35*ADE5</f>
        <v/>
      </c>
      <c r="ADF36" s="37">
        <f>ADF35*ADF5</f>
        <v/>
      </c>
      <c r="ADG36" s="37">
        <f>ADG35*ADG5</f>
        <v/>
      </c>
      <c r="ADH36" s="37">
        <f>ADH35*ADH5</f>
        <v/>
      </c>
      <c r="ADI36" s="127">
        <f>SUM(ACD36:ADH36)</f>
        <v/>
      </c>
      <c r="ADJ36" s="37">
        <f>ADJ35*ADJ5</f>
        <v/>
      </c>
      <c r="ADK36" s="37">
        <f>ADK35*ADK5</f>
        <v/>
      </c>
      <c r="ADL36" s="37">
        <f>ADL35*ADL5</f>
        <v/>
      </c>
      <c r="ADM36" s="37">
        <f>ADM35*ADM5</f>
        <v/>
      </c>
      <c r="ADN36" s="37">
        <f>ADN35*ADN5</f>
        <v/>
      </c>
      <c r="ADO36" s="37">
        <f>ADO35*ADO5</f>
        <v/>
      </c>
      <c r="ADP36" s="37">
        <f>ADP35*ADP5</f>
        <v/>
      </c>
      <c r="ADQ36" s="37">
        <f>ADQ35*ADQ5</f>
        <v/>
      </c>
      <c r="ADR36" s="37">
        <f>ADR35*ADR5</f>
        <v/>
      </c>
      <c r="ADS36" s="37">
        <f>ADS35*ADS5</f>
        <v/>
      </c>
      <c r="ADT36" s="37">
        <f>ADT35*ADT5</f>
        <v/>
      </c>
      <c r="ADU36" s="37">
        <f>ADU35*ADU5</f>
        <v/>
      </c>
      <c r="ADV36" s="37">
        <f>ADV35*ADV5</f>
        <v/>
      </c>
      <c r="ADW36" s="37">
        <f>ADW35*ADW5</f>
        <v/>
      </c>
      <c r="ADX36" s="37">
        <f>ADX35*ADX5</f>
        <v/>
      </c>
      <c r="ADY36" s="37">
        <f>ADY35*ADY5</f>
        <v/>
      </c>
      <c r="ADZ36" s="37">
        <f>ADZ35*ADZ5</f>
        <v/>
      </c>
      <c r="AEA36" s="37">
        <f>AEA35*AEA5</f>
        <v/>
      </c>
      <c r="AEB36" s="37">
        <f>AEB35*AEB5</f>
        <v/>
      </c>
      <c r="AEC36" s="37">
        <f>AEC35*AEC5</f>
        <v/>
      </c>
      <c r="AED36" s="37">
        <f>AED35*AED5</f>
        <v/>
      </c>
      <c r="AEE36" s="37">
        <f>AEE35*AEE5</f>
        <v/>
      </c>
      <c r="AEF36" s="37">
        <f>AEF35*AEF5</f>
        <v/>
      </c>
      <c r="AEG36" s="37">
        <f>AEG35*AEG5</f>
        <v/>
      </c>
      <c r="AEH36" s="37">
        <f>AEH35*AEH5</f>
        <v/>
      </c>
      <c r="AEI36" s="37">
        <f>AEI35*AEI5</f>
        <v/>
      </c>
      <c r="AEJ36" s="37">
        <f>AEJ35*AEJ5</f>
        <v/>
      </c>
      <c r="AEK36" s="37">
        <f>AEK35*AEK5</f>
        <v/>
      </c>
      <c r="AEL36" s="37">
        <f>AEL35*AEL5</f>
        <v/>
      </c>
      <c r="AEM36" s="37">
        <f>AEM35*AEM5</f>
        <v/>
      </c>
      <c r="AEN36" s="127">
        <f>SUM(ADJ36:AEM36)</f>
        <v/>
      </c>
      <c r="AEO36" s="37">
        <f>AEO35*AEO5</f>
        <v/>
      </c>
      <c r="AEP36" s="37">
        <f>AEP35*AEP5</f>
        <v/>
      </c>
      <c r="AEQ36" s="37">
        <f>AEQ35*AEQ5</f>
        <v/>
      </c>
      <c r="AER36" s="37">
        <f>AER35*AER5</f>
        <v/>
      </c>
      <c r="AES36" s="37">
        <f>AES35*AES5</f>
        <v/>
      </c>
      <c r="AET36" s="37">
        <f>AET35*AET5</f>
        <v/>
      </c>
      <c r="AEU36" s="37">
        <f>AEU35*AEU5</f>
        <v/>
      </c>
      <c r="AEV36" s="37">
        <f>AEV35*AEV5</f>
        <v/>
      </c>
      <c r="AEW36" s="37">
        <f>AEW35*AEW5</f>
        <v/>
      </c>
      <c r="AEX36" s="37">
        <f>AEX35*AEX5</f>
        <v/>
      </c>
      <c r="AEY36" s="37">
        <f>AEY35*AEY5</f>
        <v/>
      </c>
      <c r="AEZ36" s="37">
        <f>AEZ35*AEZ5</f>
        <v/>
      </c>
      <c r="AFA36" s="37">
        <f>AFA35*AFA5</f>
        <v/>
      </c>
      <c r="AFB36" s="37">
        <f>AFB35*AFB5</f>
        <v/>
      </c>
      <c r="AFC36" s="37">
        <f>AFC35*AFC5</f>
        <v/>
      </c>
      <c r="AFD36" s="37">
        <f>AFD35*AFD5</f>
        <v/>
      </c>
      <c r="AFE36" s="37">
        <f>AFE35*AFE5</f>
        <v/>
      </c>
      <c r="AFF36" s="37">
        <f>AFF35*AFF5</f>
        <v/>
      </c>
      <c r="AFG36" s="37">
        <f>AFG35*AFG5</f>
        <v/>
      </c>
      <c r="AFH36" s="37">
        <f>AFH35*AFH5</f>
        <v/>
      </c>
      <c r="AFI36" s="37">
        <f>AFI35*AFI5</f>
        <v/>
      </c>
      <c r="AFJ36" s="37">
        <f>AFJ35*AFJ5</f>
        <v/>
      </c>
      <c r="AFK36" s="37">
        <f>AFK35*AFK5</f>
        <v/>
      </c>
      <c r="AFL36" s="37">
        <f>AFL35*AFL5</f>
        <v/>
      </c>
      <c r="AFM36" s="37">
        <f>AFM35*AFM5</f>
        <v/>
      </c>
      <c r="AFN36" s="37">
        <f>AFN35*AFN5</f>
        <v/>
      </c>
      <c r="AFO36" s="37">
        <f>AFO35*AFO5</f>
        <v/>
      </c>
      <c r="AFP36" s="37">
        <f>AFP35*AFP5</f>
        <v/>
      </c>
      <c r="AFQ36" s="37">
        <f>AFQ35*AFQ5</f>
        <v/>
      </c>
      <c r="AFR36" s="37">
        <f>AFR35*AFR5</f>
        <v/>
      </c>
      <c r="AFS36" s="37">
        <f>AFS35*AFS5</f>
        <v/>
      </c>
      <c r="AFT36" s="127">
        <f>SUM(AEO36:AFS36)</f>
        <v/>
      </c>
      <c r="AFU36" s="37">
        <f>AFU35*AFU5</f>
        <v/>
      </c>
      <c r="AFV36" s="37">
        <f>AFV35*AFV5</f>
        <v/>
      </c>
      <c r="AFW36" s="37">
        <f>AFW35*AFW5</f>
        <v/>
      </c>
      <c r="AFX36" s="37">
        <f>AFX35*AFX5</f>
        <v/>
      </c>
      <c r="AFY36" s="37">
        <f>AFY35*AFY5</f>
        <v/>
      </c>
      <c r="AFZ36" s="37">
        <f>AFZ35*AFZ5</f>
        <v/>
      </c>
      <c r="AGA36" s="37">
        <f>AGA35*AGA5</f>
        <v/>
      </c>
      <c r="AGB36" s="37">
        <f>AGB35*AGB5</f>
        <v/>
      </c>
      <c r="AGC36" s="37">
        <f>AGC35*AGC5</f>
        <v/>
      </c>
      <c r="AGD36" s="37">
        <f>AGD35*AGD5</f>
        <v/>
      </c>
      <c r="AGE36" s="37">
        <f>AGE35*AGE5</f>
        <v/>
      </c>
      <c r="AGF36" s="37">
        <f>AGF35*AGF5</f>
        <v/>
      </c>
      <c r="AGG36" s="37">
        <f>AGG35*AGG5</f>
        <v/>
      </c>
      <c r="AGH36" s="37">
        <f>AGH35*AGH5</f>
        <v/>
      </c>
      <c r="AGI36" s="37">
        <f>AGI35*AGI5</f>
        <v/>
      </c>
      <c r="AGJ36" s="37">
        <f>AGJ35*AGJ5</f>
        <v/>
      </c>
      <c r="AGK36" s="37">
        <f>AGK35*AGK5</f>
        <v/>
      </c>
      <c r="AGL36" s="37">
        <f>AGL35*AGL5</f>
        <v/>
      </c>
      <c r="AGM36" s="37">
        <f>AGM35*AGM5</f>
        <v/>
      </c>
      <c r="AGN36" s="37">
        <f>AGN35*AGN5</f>
        <v/>
      </c>
      <c r="AGO36" s="37">
        <f>AGO35*AGO5</f>
        <v/>
      </c>
      <c r="AGP36" s="37">
        <f>AGP35*AGP5</f>
        <v/>
      </c>
      <c r="AGQ36" s="37">
        <f>AGQ35*AGQ5</f>
        <v/>
      </c>
      <c r="AGR36" s="37">
        <f>AGR35*AGR5</f>
        <v/>
      </c>
      <c r="AGS36" s="37">
        <f>AGS35*AGS5</f>
        <v/>
      </c>
      <c r="AGT36" s="37">
        <f>AGT35*AGT5</f>
        <v/>
      </c>
      <c r="AGU36" s="37">
        <f>AGU35*AGU5</f>
        <v/>
      </c>
      <c r="AGV36" s="37">
        <f>AGV35*AGV5</f>
        <v/>
      </c>
      <c r="AGW36" s="37">
        <f>AGW35*AGW5</f>
        <v/>
      </c>
      <c r="AGX36" s="37">
        <f>AGX35*AGX5</f>
        <v/>
      </c>
      <c r="AGY36" s="127">
        <f>SUM(AFU36:AGX36)</f>
        <v/>
      </c>
      <c r="AGZ36" s="37">
        <f>AGZ35*AGZ5</f>
        <v/>
      </c>
      <c r="AHA36" s="37">
        <f>AHA35*AHA5</f>
        <v/>
      </c>
      <c r="AHB36" s="37">
        <f>AHB35*AHB5</f>
        <v/>
      </c>
      <c r="AHC36" s="37">
        <f>AHC35*AHC5</f>
        <v/>
      </c>
      <c r="AHD36" s="37">
        <f>AHD35*AHD5</f>
        <v/>
      </c>
      <c r="AHE36" s="37">
        <f>AHE35*AHE5</f>
        <v/>
      </c>
      <c r="AHF36" s="37">
        <f>AHF35*AHF5</f>
        <v/>
      </c>
      <c r="AHG36" s="37">
        <f>AHG35*AHG5</f>
        <v/>
      </c>
      <c r="AHH36" s="37">
        <f>AHH35*AHH5</f>
        <v/>
      </c>
      <c r="AHI36" s="37">
        <f>AHI35*AHI5</f>
        <v/>
      </c>
      <c r="AHJ36" s="37">
        <f>AHJ35*AHJ5</f>
        <v/>
      </c>
      <c r="AHK36" s="37">
        <f>AHK35*AHK5</f>
        <v/>
      </c>
      <c r="AHL36" s="37">
        <f>AHL35*AHL5</f>
        <v/>
      </c>
      <c r="AHM36" s="37">
        <f>AHM35*AHM5</f>
        <v/>
      </c>
      <c r="AHN36" s="37">
        <f>AHN35*AHN5</f>
        <v/>
      </c>
      <c r="AHO36" s="37">
        <f>AHO35*AHO5</f>
        <v/>
      </c>
      <c r="AHP36" s="37">
        <f>AHP35*AHP5</f>
        <v/>
      </c>
      <c r="AHQ36" s="37">
        <f>AHQ35*AHQ5</f>
        <v/>
      </c>
      <c r="AHR36" s="37">
        <f>AHR35*AHR5</f>
        <v/>
      </c>
      <c r="AHS36" s="37">
        <f>AHS35*AHS5</f>
        <v/>
      </c>
      <c r="AHT36" s="37">
        <f>AHT35*AHT5</f>
        <v/>
      </c>
      <c r="AHU36" s="37">
        <f>AHU35*AHU5</f>
        <v/>
      </c>
      <c r="AHV36" s="37">
        <f>AHV35*AHV5</f>
        <v/>
      </c>
      <c r="AHW36" s="37">
        <f>AHW35*AHW5</f>
        <v/>
      </c>
      <c r="AHX36" s="37">
        <f>AHX35*AHX5</f>
        <v/>
      </c>
      <c r="AHY36" s="37">
        <f>AHY35*AHY5</f>
        <v/>
      </c>
      <c r="AHZ36" s="37">
        <f>AHZ35*AHZ5</f>
        <v/>
      </c>
      <c r="AIA36" s="37">
        <f>AIA35*AIA5</f>
        <v/>
      </c>
      <c r="AIB36" s="37">
        <f>AIB35*AIB5</f>
        <v/>
      </c>
      <c r="AIC36" s="37">
        <f>AIC35*AIC5</f>
        <v/>
      </c>
      <c r="AID36" s="37">
        <f>AID35*AID5</f>
        <v/>
      </c>
      <c r="AIE36" s="127">
        <f>SUM(AHA36:AID36)</f>
        <v/>
      </c>
      <c r="AIF36" s="37">
        <f>AIF35*AIF5</f>
        <v/>
      </c>
      <c r="AIG36" s="37">
        <f>AIG35*AIG5</f>
        <v/>
      </c>
      <c r="AIH36" s="37">
        <f>AIH35*AIH5</f>
        <v/>
      </c>
      <c r="AII36" s="37">
        <f>AII35*AII5</f>
        <v/>
      </c>
      <c r="AIJ36" s="37">
        <f>AIJ35*AIJ5</f>
        <v/>
      </c>
      <c r="AIK36" s="37">
        <f>AIK35*AIK5</f>
        <v/>
      </c>
      <c r="AIL36" s="37">
        <f>AIL35*AIL5</f>
        <v/>
      </c>
      <c r="AIM36" s="37">
        <f>AIM35*AIM5</f>
        <v/>
      </c>
      <c r="AIN36" s="37">
        <f>AIN35*AIN5</f>
        <v/>
      </c>
      <c r="AIO36" s="37">
        <f>AIO35*AIO5</f>
        <v/>
      </c>
      <c r="AIP36" s="37">
        <f>AIP35*AIP5</f>
        <v/>
      </c>
      <c r="AIQ36" s="37">
        <f>AIQ35*AIQ5</f>
        <v/>
      </c>
      <c r="AIR36" s="37">
        <f>AIR35*AIR5</f>
        <v/>
      </c>
      <c r="AIS36" s="37">
        <f>AIS35*AIS5</f>
        <v/>
      </c>
      <c r="AIT36" s="37">
        <f>AIT35*AIT5</f>
        <v/>
      </c>
      <c r="AIU36" s="37">
        <f>AIU35*AIU5</f>
        <v/>
      </c>
      <c r="AIV36" s="37">
        <f>AIV35*AIV5</f>
        <v/>
      </c>
      <c r="AIW36" s="37">
        <f>AIW35*AIW5</f>
        <v/>
      </c>
      <c r="AIX36" s="37">
        <f>AIX35*AIX5</f>
        <v/>
      </c>
      <c r="AIY36" s="37">
        <f>AIY35*AIY5</f>
        <v/>
      </c>
      <c r="AIZ36" s="37">
        <f>AIZ35*AIZ5</f>
        <v/>
      </c>
      <c r="AJA36" s="37">
        <f>AJA35*AJA5</f>
        <v/>
      </c>
      <c r="AJB36" s="37">
        <f>AJB35*AJB5</f>
        <v/>
      </c>
      <c r="AJC36" s="37">
        <f>AJC35*AJC5</f>
        <v/>
      </c>
      <c r="AJD36" s="37">
        <f>AJD35*AJD5</f>
        <v/>
      </c>
      <c r="AJE36" s="37">
        <f>AJE35*AJE5</f>
        <v/>
      </c>
      <c r="AJF36" s="37">
        <f>AJF35*AJF5</f>
        <v/>
      </c>
      <c r="AJG36" s="37">
        <f>AJG35*AJG5</f>
        <v/>
      </c>
      <c r="AJH36" s="37">
        <f>AJH35*AJH5</f>
        <v/>
      </c>
      <c r="AJI36" s="37">
        <f>AJI35*AJI5</f>
        <v/>
      </c>
      <c r="AJJ36" s="37">
        <f>AJJ35*AJJ5</f>
        <v/>
      </c>
      <c r="AJK36" s="127">
        <f>SUM(AIG36:AJJ36)</f>
        <v/>
      </c>
      <c r="AJL36" s="37">
        <f>AJL35*AJL5</f>
        <v/>
      </c>
      <c r="AJM36" s="37">
        <f>AJM35*AJM5</f>
        <v/>
      </c>
      <c r="AJN36" s="37">
        <f>AJN35*AJN5</f>
        <v/>
      </c>
      <c r="AJO36" s="37">
        <f>AJO35*AJO5</f>
        <v/>
      </c>
      <c r="AJP36" s="37">
        <f>AJP35*AJP5</f>
        <v/>
      </c>
      <c r="AJQ36" s="37">
        <f>AJQ35*AJQ5</f>
        <v/>
      </c>
      <c r="AJR36" s="37">
        <f>AJR35*AJR5</f>
        <v/>
      </c>
      <c r="AJS36" s="37">
        <f>AJS35*AJS5</f>
        <v/>
      </c>
      <c r="AJT36" s="37">
        <f>AJT35*AJT5</f>
        <v/>
      </c>
      <c r="AJU36" s="37">
        <f>AJU35*AJU5</f>
        <v/>
      </c>
      <c r="AJV36" s="37">
        <f>AJV35*AJV5</f>
        <v/>
      </c>
      <c r="AJW36" s="37">
        <f>AJW35*AJW5</f>
        <v/>
      </c>
      <c r="AJX36" s="37">
        <f>AJX35*AJX5</f>
        <v/>
      </c>
      <c r="AJY36" s="37">
        <f>AJY35*AJY5</f>
        <v/>
      </c>
      <c r="AJZ36" s="37">
        <f>AJZ35*AJZ5</f>
        <v/>
      </c>
      <c r="AKA36" s="37">
        <f>AKA35*AKA5</f>
        <v/>
      </c>
      <c r="AKB36" s="37">
        <f>AKB35*AKB5</f>
        <v/>
      </c>
      <c r="AKC36" s="37">
        <f>AKC35*AKC5</f>
        <v/>
      </c>
      <c r="AKD36" s="37">
        <f>AKD35*AKD5</f>
        <v/>
      </c>
      <c r="AKE36" s="37">
        <f>AKE35*AKE5</f>
        <v/>
      </c>
      <c r="AKF36" s="37">
        <f>AKF35*AKF5</f>
        <v/>
      </c>
      <c r="AKG36" s="37">
        <f>AKG35*AKG5</f>
        <v/>
      </c>
      <c r="AKH36" s="37">
        <f>AKH35*AKH5</f>
        <v/>
      </c>
      <c r="AKI36" s="37">
        <f>AKI35*AKI5</f>
        <v/>
      </c>
      <c r="AKJ36" s="37">
        <f>AKJ35*AKJ5</f>
        <v/>
      </c>
      <c r="AKK36" s="37">
        <f>AKK35*AKK5</f>
        <v/>
      </c>
      <c r="AKL36" s="37">
        <f>AKL35*AKL5</f>
        <v/>
      </c>
      <c r="AKM36" s="37">
        <f>AKM35*AKM5</f>
        <v/>
      </c>
      <c r="AKN36" s="127">
        <f>SUM(AJL36:AKM36)</f>
        <v/>
      </c>
      <c r="AKO36" s="37">
        <f>AKO35*AKO5</f>
        <v/>
      </c>
      <c r="AKP36" s="37">
        <f>AKP35*AKP5</f>
        <v/>
      </c>
      <c r="AKQ36" s="37">
        <f>AKQ35*AKQ5</f>
        <v/>
      </c>
      <c r="AKR36" s="37">
        <f>AKR35*AKR5</f>
        <v/>
      </c>
      <c r="AKS36" s="37">
        <f>AKS35*AKS5</f>
        <v/>
      </c>
      <c r="AKT36" s="37">
        <f>AKT35*AKT5</f>
        <v/>
      </c>
      <c r="AKU36" s="37">
        <f>AKU35*AKU5</f>
        <v/>
      </c>
      <c r="AKV36" s="37">
        <f>AKV35*AKV5</f>
        <v/>
      </c>
      <c r="AKW36" s="37">
        <f>AKW35*AKW5</f>
        <v/>
      </c>
      <c r="AKX36" s="37">
        <f>AKX35*AKX5</f>
        <v/>
      </c>
      <c r="AKY36" s="37">
        <f>AKY35*AKY5</f>
        <v/>
      </c>
      <c r="AKZ36" s="37">
        <f>AKZ35*AKZ5</f>
        <v/>
      </c>
      <c r="ALA36" s="37">
        <f>ALA35*ALA5</f>
        <v/>
      </c>
      <c r="ALB36" s="37">
        <f>ALB35*ALB5</f>
        <v/>
      </c>
      <c r="ALC36" s="37">
        <f>ALC35*ALC5</f>
        <v/>
      </c>
      <c r="ALD36" s="37">
        <f>ALD35*ALD5</f>
        <v/>
      </c>
      <c r="ALE36" s="37">
        <f>ALE35*ALE5</f>
        <v/>
      </c>
      <c r="ALF36" s="37">
        <f>ALF35*ALF5</f>
        <v/>
      </c>
      <c r="ALG36" s="37">
        <f>ALG35*ALG5</f>
        <v/>
      </c>
      <c r="ALH36" s="37">
        <f>ALH35*ALH5</f>
        <v/>
      </c>
      <c r="ALI36" s="37">
        <f>ALI35*ALI5</f>
        <v/>
      </c>
      <c r="ALJ36" s="37">
        <f>ALJ35*ALJ5</f>
        <v/>
      </c>
      <c r="ALK36" s="37">
        <f>ALK35*ALK5</f>
        <v/>
      </c>
      <c r="ALL36" s="37">
        <f>ALL35*ALL5</f>
        <v/>
      </c>
      <c r="ALM36" s="37">
        <f>ALM35*ALM5</f>
        <v/>
      </c>
      <c r="ALN36" s="37">
        <f>ALN35*ALN5</f>
        <v/>
      </c>
      <c r="ALO36" s="37">
        <f>ALO35*ALO5</f>
        <v/>
      </c>
      <c r="ALP36" s="37">
        <f>ALP35*ALP5</f>
        <v/>
      </c>
      <c r="ALQ36" s="37">
        <f>ALQ35*ALQ5</f>
        <v/>
      </c>
      <c r="ALR36" s="37">
        <f>ALR35*ALR5</f>
        <v/>
      </c>
      <c r="ALS36" s="37">
        <f>ALS35*ALS5</f>
        <v/>
      </c>
      <c r="ALT36" s="127">
        <f>SUM(AKO36:ALS36)</f>
        <v/>
      </c>
      <c r="ALU36" s="37">
        <f>ALU35*ALU5</f>
        <v/>
      </c>
      <c r="ALV36" s="37">
        <f>ALV35*ALV5</f>
        <v/>
      </c>
      <c r="ALW36" s="37">
        <f>ALW35*ALW5</f>
        <v/>
      </c>
      <c r="ALX36" s="37">
        <f>ALX35*ALX5</f>
        <v/>
      </c>
      <c r="ALY36" s="37">
        <f>ALY35*ALY5</f>
        <v/>
      </c>
      <c r="ALZ36" s="37">
        <f>ALZ35*ALZ5</f>
        <v/>
      </c>
      <c r="AMA36" s="37">
        <f>AMA35*AMA5</f>
        <v/>
      </c>
      <c r="AMB36" s="37">
        <f>AMB35*AMB5</f>
        <v/>
      </c>
      <c r="AMC36" s="37">
        <f>AMC35*AMC5</f>
        <v/>
      </c>
      <c r="AMD36" s="37">
        <f>AMD35*AMD5</f>
        <v/>
      </c>
      <c r="AME36" s="37">
        <f>AME35*AME5</f>
        <v/>
      </c>
      <c r="AMF36" s="37">
        <f>AMF35*AMF5</f>
        <v/>
      </c>
      <c r="AMG36" s="37">
        <f>AMG35*AMG5</f>
        <v/>
      </c>
      <c r="AMH36" s="37">
        <f>AMH35*AMH5</f>
        <v/>
      </c>
      <c r="AMI36" s="37">
        <f>AMI35*AMI5</f>
        <v/>
      </c>
      <c r="AMJ36" s="37">
        <f>AMJ35*AMJ5</f>
        <v/>
      </c>
      <c r="AMK36" s="37">
        <f>AMK35*AMK5</f>
        <v/>
      </c>
      <c r="AML36" s="37">
        <f>AML35*AML5</f>
        <v/>
      </c>
      <c r="AMM36" s="37">
        <f>AMM35*AMM5</f>
        <v/>
      </c>
      <c r="AMN36" s="37">
        <f>AMN35*AMN5</f>
        <v/>
      </c>
      <c r="AMO36" s="37">
        <f>AMO35*AMO5</f>
        <v/>
      </c>
      <c r="AMP36" s="37">
        <f>AMP35*AMP5</f>
        <v/>
      </c>
      <c r="AMQ36" s="37">
        <f>AMQ35*AMQ5</f>
        <v/>
      </c>
      <c r="AMR36" s="37">
        <f>AMR35*AMR5</f>
        <v/>
      </c>
      <c r="AMS36" s="37">
        <f>AMS35*AMS5</f>
        <v/>
      </c>
      <c r="AMT36" s="37">
        <f>AMT35*AMT5</f>
        <v/>
      </c>
      <c r="AMU36" s="37">
        <f>AMU35*AMU5</f>
        <v/>
      </c>
      <c r="AMV36" s="37">
        <f>AMV35*AMV5</f>
        <v/>
      </c>
      <c r="AMW36" s="37">
        <f>AMW35*AMW5</f>
        <v/>
      </c>
      <c r="AMX36" s="37">
        <f>AMX35*AMX5</f>
        <v/>
      </c>
      <c r="AMY36" s="127">
        <f>SUM(ALU36:AMX36)</f>
        <v/>
      </c>
      <c r="AMZ36" s="37">
        <f>AMZ35*AMZ5</f>
        <v/>
      </c>
      <c r="ANA36" s="37">
        <f>ANA35*ANA5</f>
        <v/>
      </c>
      <c r="ANB36" s="37">
        <f>ANB35*ANB5</f>
        <v/>
      </c>
      <c r="ANC36" s="37">
        <f>ANC35*ANC5</f>
        <v/>
      </c>
      <c r="AND36" s="37">
        <f>AND35*AND5</f>
        <v/>
      </c>
      <c r="ANE36" s="37">
        <f>ANE35*ANE5</f>
        <v/>
      </c>
      <c r="ANF36" s="37">
        <f>ANF35*ANF5</f>
        <v/>
      </c>
      <c r="ANG36" s="37">
        <f>ANG35*ANG5</f>
        <v/>
      </c>
      <c r="ANH36" s="37">
        <f>ANH35*ANH5</f>
        <v/>
      </c>
      <c r="ANI36" s="37">
        <f>ANI35*ANI5</f>
        <v/>
      </c>
      <c r="ANJ36" s="37">
        <f>ANJ35*ANJ5</f>
        <v/>
      </c>
      <c r="ANK36" s="37">
        <f>ANK35*ANK5</f>
        <v/>
      </c>
      <c r="ANL36" s="37">
        <f>ANL35*ANL5</f>
        <v/>
      </c>
      <c r="ANM36" s="37">
        <f>ANM35*ANM5</f>
        <v/>
      </c>
      <c r="ANN36" s="37">
        <f>ANN35*ANN5</f>
        <v/>
      </c>
      <c r="ANO36" s="37">
        <f>ANO35*ANO5</f>
        <v/>
      </c>
      <c r="ANP36" s="37">
        <f>ANP35*ANP5</f>
        <v/>
      </c>
      <c r="ANQ36" s="37">
        <f>ANQ35*ANQ5</f>
        <v/>
      </c>
      <c r="ANR36" s="37">
        <f>ANR35*ANR5</f>
        <v/>
      </c>
      <c r="ANS36" s="37">
        <f>ANS35*ANS5</f>
        <v/>
      </c>
      <c r="ANT36" s="37">
        <f>ANT35*ANT5</f>
        <v/>
      </c>
      <c r="ANU36" s="37">
        <f>ANU35*ANU5</f>
        <v/>
      </c>
      <c r="ANV36" s="37">
        <f>ANV35*ANV5</f>
        <v/>
      </c>
      <c r="ANW36" s="37">
        <f>ANW35*ANW5</f>
        <v/>
      </c>
      <c r="ANX36" s="37">
        <f>ANX35*ANX5</f>
        <v/>
      </c>
      <c r="ANY36" s="37">
        <f>ANY35*ANY5</f>
        <v/>
      </c>
      <c r="ANZ36" s="37">
        <f>ANZ35*ANZ5</f>
        <v/>
      </c>
      <c r="AOA36" s="37">
        <f>AOA35*AOA5</f>
        <v/>
      </c>
      <c r="AOB36" s="37">
        <f>AOB35*AOB5</f>
        <v/>
      </c>
      <c r="AOC36" s="37">
        <f>AOC35*AOC5</f>
        <v/>
      </c>
    </row>
    <row r="37">
      <c r="A37" s="4" t="n"/>
      <c r="B37" s="5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94" t="n"/>
      <c r="BM37" s="97" t="n"/>
      <c r="CS37" s="111">
        <f>SUM(BN37:CR37)</f>
        <v/>
      </c>
      <c r="DX37" s="117" t="n"/>
      <c r="FD37" s="128" t="n"/>
      <c r="GJ37" s="127">
        <f>SUM(FE37:GI37)</f>
        <v/>
      </c>
      <c r="HN37" s="127">
        <f>SUM(GK37:HM37)</f>
        <v/>
      </c>
      <c r="IT37" s="127">
        <f>SUM(HO37:IS37)</f>
        <v/>
      </c>
      <c r="JY37" s="127">
        <f>SUM(IU37:JX37)</f>
        <v/>
      </c>
      <c r="LE37" s="127">
        <f>SUM(KA37:LD37)</f>
        <v/>
      </c>
      <c r="MJ37" s="127">
        <f>SUM(LF37:MI37)</f>
        <v/>
      </c>
      <c r="NP37" s="127">
        <f>SUM(ML37:NO37)</f>
        <v/>
      </c>
      <c r="OV37" s="127">
        <f>SUM(NR37:OU37)</f>
        <v/>
      </c>
      <c r="QA37" s="127">
        <f>SUM(OW37:PZ37)</f>
        <v/>
      </c>
      <c r="RG37" s="127">
        <f>SUM(QC37:RF37)</f>
        <v/>
      </c>
      <c r="SL37" s="127">
        <f>SUM(RH37:SK37)</f>
        <v/>
      </c>
      <c r="TR37" s="127">
        <f>SUM(SN37:TQ37)</f>
        <v/>
      </c>
      <c r="UX37" s="127">
        <f>SUM(TT37:UW37)</f>
        <v/>
      </c>
      <c r="WA37" s="127">
        <f>SUM(UW37:VZ37)</f>
        <v/>
      </c>
      <c r="XG37" s="127">
        <f>SUM(WC37:XF37)</f>
        <v/>
      </c>
      <c r="YL37" s="127">
        <f>SUM(XI37:YK37)</f>
        <v/>
      </c>
      <c r="ZR37" s="127">
        <f>SUM(YM37:ZQ37)</f>
        <v/>
      </c>
      <c r="AAW37" s="127">
        <f>SUM(ZR37:AAV37)</f>
        <v/>
      </c>
      <c r="ACC37" s="127">
        <f>SUM(AAX37:ACB37)</f>
        <v/>
      </c>
      <c r="ADI37" s="127">
        <f>SUM(ACD37:ADH37)</f>
        <v/>
      </c>
      <c r="AEN37" s="127">
        <f>SUM(ADI37:AEM37)</f>
        <v/>
      </c>
      <c r="AFT37" s="127">
        <f>SUM(AEO37:AFS37)</f>
        <v/>
      </c>
      <c r="AGY37" s="127">
        <f>SUM(AFT37:AGX37)</f>
        <v/>
      </c>
      <c r="AIE37" s="127">
        <f>SUM(AGZ37:AID37)</f>
        <v/>
      </c>
      <c r="AJK37" s="127">
        <f>SUM(AIF37:AJJ37)</f>
        <v/>
      </c>
      <c r="AKN37" s="127">
        <f>SUM(AJL37:AKM37)</f>
        <v/>
      </c>
      <c r="ALT37" s="127">
        <f>SUM(AKO37:ALS37)</f>
        <v/>
      </c>
      <c r="AMY37" s="127">
        <f>SUM(ALU37:AMX37)</f>
        <v/>
      </c>
    </row>
    <row r="38">
      <c r="A38" s="168" t="inlineStr">
        <is>
          <t>SHORTAGE AGO</t>
        </is>
      </c>
      <c r="B38" s="5" t="inlineStr">
        <is>
          <t>OPENING STOCK</t>
        </is>
      </c>
      <c r="C38" s="20" t="n">
        <v>14545.45</v>
      </c>
      <c r="D38" s="20" t="n">
        <v>13333.33</v>
      </c>
      <c r="E38" s="20" t="n">
        <v>12320</v>
      </c>
      <c r="F38" s="20" t="n">
        <v>11640</v>
      </c>
      <c r="G38" s="20">
        <f>F41</f>
        <v/>
      </c>
      <c r="H38" s="20">
        <f>G41</f>
        <v/>
      </c>
      <c r="I38" s="20">
        <f>H41</f>
        <v/>
      </c>
      <c r="J38" s="20">
        <f>I41</f>
        <v/>
      </c>
      <c r="K38" s="20">
        <f>J41</f>
        <v/>
      </c>
      <c r="L38" s="20" t="n">
        <v>5480</v>
      </c>
      <c r="M38" s="20">
        <f>4600+12968</f>
        <v/>
      </c>
      <c r="N38" s="20" t="n">
        <v>16600</v>
      </c>
      <c r="O38" s="20">
        <f>N41</f>
        <v/>
      </c>
      <c r="P38" s="20">
        <f>O41</f>
        <v/>
      </c>
      <c r="Q38" s="20">
        <f>P41</f>
        <v/>
      </c>
      <c r="R38" s="20">
        <f>Q41</f>
        <v/>
      </c>
      <c r="S38" s="20">
        <f>R41</f>
        <v/>
      </c>
      <c r="T38" s="20">
        <f>S41</f>
        <v/>
      </c>
      <c r="U38" s="20">
        <f>T41</f>
        <v/>
      </c>
      <c r="V38" s="20">
        <f>U41</f>
        <v/>
      </c>
      <c r="W38" s="20">
        <f>V41</f>
        <v/>
      </c>
      <c r="X38" s="20">
        <f>W41</f>
        <v/>
      </c>
      <c r="Y38" s="20">
        <f>X41</f>
        <v/>
      </c>
      <c r="Z38" s="20">
        <f>Y41</f>
        <v/>
      </c>
      <c r="AA38" s="20">
        <f>Z41+9956</f>
        <v/>
      </c>
      <c r="AB38" s="20">
        <f>AA41</f>
        <v/>
      </c>
      <c r="AC38" s="20">
        <f>AB41</f>
        <v/>
      </c>
      <c r="AD38" s="20">
        <f>AC41</f>
        <v/>
      </c>
      <c r="AE38" s="20">
        <f>AD41</f>
        <v/>
      </c>
      <c r="AF38" s="20">
        <f>AE41</f>
        <v/>
      </c>
      <c r="AG38" s="20">
        <f>AF41</f>
        <v/>
      </c>
      <c r="AH38" s="94">
        <f>SUM(C38:AG38)</f>
        <v/>
      </c>
      <c r="AI38" s="89">
        <f>AG41+9961</f>
        <v/>
      </c>
      <c r="AJ38" s="89">
        <f>AI41</f>
        <v/>
      </c>
      <c r="AK38" s="89">
        <f>AJ41</f>
        <v/>
      </c>
      <c r="AL38" s="89">
        <f>AK41</f>
        <v/>
      </c>
      <c r="AM38" s="89">
        <f>AL41</f>
        <v/>
      </c>
      <c r="AN38" s="89">
        <f>AM41</f>
        <v/>
      </c>
      <c r="AO38" s="89">
        <f>AN41</f>
        <v/>
      </c>
      <c r="AP38" s="89">
        <f>AO41</f>
        <v/>
      </c>
      <c r="AQ38" s="89">
        <f>AP41+10000</f>
        <v/>
      </c>
      <c r="AR38" s="89">
        <f>AQ41</f>
        <v/>
      </c>
      <c r="AS38" s="89">
        <f>AR41</f>
        <v/>
      </c>
      <c r="AT38" s="89">
        <f>AS41</f>
        <v/>
      </c>
      <c r="AU38" s="89">
        <f>AT41</f>
        <v/>
      </c>
      <c r="AV38" s="89">
        <f>AU41</f>
        <v/>
      </c>
      <c r="AW38" s="89">
        <f>AV41</f>
        <v/>
      </c>
      <c r="AX38" s="89">
        <f>AW41</f>
        <v/>
      </c>
      <c r="AY38" s="89">
        <f>AX41</f>
        <v/>
      </c>
      <c r="AZ38" s="89">
        <f>AY41</f>
        <v/>
      </c>
      <c r="BA38" s="89">
        <f>AZ41</f>
        <v/>
      </c>
      <c r="BB38" s="89">
        <f>BA41+12971</f>
        <v/>
      </c>
      <c r="BC38" s="89">
        <f>BB41</f>
        <v/>
      </c>
      <c r="BD38" s="89">
        <f>BC41</f>
        <v/>
      </c>
      <c r="BE38" s="89">
        <f>BD41</f>
        <v/>
      </c>
      <c r="BF38" s="89">
        <f>BE41</f>
        <v/>
      </c>
      <c r="BG38" s="89">
        <f>BF41</f>
        <v/>
      </c>
      <c r="BH38" s="89">
        <f>BG41</f>
        <v/>
      </c>
      <c r="BI38" s="89">
        <f>BH41</f>
        <v/>
      </c>
      <c r="BJ38" s="89">
        <f>BI41</f>
        <v/>
      </c>
      <c r="BK38" s="89">
        <f>BJ41</f>
        <v/>
      </c>
      <c r="BL38" s="89">
        <f>BK41+11884</f>
        <v/>
      </c>
      <c r="BM38" s="97">
        <f>SUM(AI38:BL38)</f>
        <v/>
      </c>
      <c r="BN38" s="89">
        <f>BL41</f>
        <v/>
      </c>
      <c r="BO38" s="89">
        <f>BN41</f>
        <v/>
      </c>
      <c r="BP38" s="89">
        <f>BO41</f>
        <v/>
      </c>
      <c r="BQ38" s="89">
        <f>BP41</f>
        <v/>
      </c>
      <c r="BR38" s="89">
        <f>BQ41</f>
        <v/>
      </c>
      <c r="BS38" s="89">
        <f>BR41</f>
        <v/>
      </c>
      <c r="BT38" s="89">
        <f>BS41</f>
        <v/>
      </c>
      <c r="BU38" s="89">
        <f>BT41</f>
        <v/>
      </c>
      <c r="BV38" s="89">
        <f>BU41</f>
        <v/>
      </c>
      <c r="BW38" s="89">
        <f>BV41</f>
        <v/>
      </c>
      <c r="BX38" s="89">
        <f>BW41</f>
        <v/>
      </c>
      <c r="BY38" s="89">
        <f>BX41</f>
        <v/>
      </c>
      <c r="BZ38" s="89">
        <f>BY41</f>
        <v/>
      </c>
      <c r="CA38" s="89">
        <f>BZ41+5000</f>
        <v/>
      </c>
      <c r="CB38" s="89">
        <f>CA41</f>
        <v/>
      </c>
      <c r="CC38" s="89">
        <f>CB41</f>
        <v/>
      </c>
      <c r="CD38" s="89">
        <f>CC41</f>
        <v/>
      </c>
      <c r="CE38" s="89">
        <f>CD41+8908</f>
        <v/>
      </c>
      <c r="CF38" s="89">
        <f>CE41</f>
        <v/>
      </c>
      <c r="CG38" s="89">
        <f>CF41</f>
        <v/>
      </c>
      <c r="CH38" s="89">
        <f>CG41</f>
        <v/>
      </c>
      <c r="CI38" s="89">
        <f>CH41</f>
        <v/>
      </c>
      <c r="CJ38" s="89">
        <f>CI41</f>
        <v/>
      </c>
      <c r="CK38" s="89">
        <f>CJ41</f>
        <v/>
      </c>
      <c r="CL38" s="89">
        <f>CK41+9964</f>
        <v/>
      </c>
      <c r="CM38" s="89">
        <f>CL41</f>
        <v/>
      </c>
      <c r="CN38" s="89">
        <f>CM41</f>
        <v/>
      </c>
      <c r="CO38" s="89">
        <f>CN41</f>
        <v/>
      </c>
      <c r="CP38" s="89">
        <f>CO41</f>
        <v/>
      </c>
      <c r="CQ38" s="89">
        <f>CP41</f>
        <v/>
      </c>
      <c r="CR38" s="89">
        <f>CQ41</f>
        <v/>
      </c>
      <c r="CS38" s="111">
        <f>SUM(BN38:CR38)</f>
        <v/>
      </c>
      <c r="CT38" s="89">
        <f>CR41</f>
        <v/>
      </c>
      <c r="CU38" s="89">
        <f>CT41</f>
        <v/>
      </c>
      <c r="CV38" s="89">
        <f>CU41</f>
        <v/>
      </c>
      <c r="CW38" s="89">
        <f>CV41</f>
        <v/>
      </c>
      <c r="CX38" s="89">
        <f>CW41</f>
        <v/>
      </c>
      <c r="CY38" s="89">
        <f>CX41</f>
        <v/>
      </c>
      <c r="CZ38" s="89">
        <f>CY41+10000</f>
        <v/>
      </c>
      <c r="DA38" s="89">
        <f>CZ41</f>
        <v/>
      </c>
      <c r="DB38" s="89">
        <f>DA41</f>
        <v/>
      </c>
      <c r="DC38" s="89">
        <f>DB41</f>
        <v/>
      </c>
      <c r="DD38" s="89">
        <f>DC41</f>
        <v/>
      </c>
      <c r="DE38" s="89">
        <f>DD41</f>
        <v/>
      </c>
      <c r="DF38" s="89">
        <f>DE41</f>
        <v/>
      </c>
      <c r="DG38" s="89">
        <f>DF41</f>
        <v/>
      </c>
      <c r="DH38" s="89">
        <f>DG41+8981</f>
        <v/>
      </c>
      <c r="DI38" s="89">
        <f>DH41</f>
        <v/>
      </c>
      <c r="DJ38" s="89">
        <f>DI41</f>
        <v/>
      </c>
      <c r="DK38" s="89">
        <f>DJ41</f>
        <v/>
      </c>
      <c r="DL38" s="89">
        <f>DK41</f>
        <v/>
      </c>
      <c r="DM38" s="89">
        <f>DL41</f>
        <v/>
      </c>
      <c r="DN38" s="89">
        <f>DM41</f>
        <v/>
      </c>
      <c r="DO38" s="89">
        <f>DN41</f>
        <v/>
      </c>
      <c r="DP38" s="89">
        <f>DO41</f>
        <v/>
      </c>
      <c r="DQ38" s="89">
        <f>DP41</f>
        <v/>
      </c>
      <c r="DR38" s="89">
        <f>DQ41+8953</f>
        <v/>
      </c>
      <c r="DS38" s="89">
        <f>DR41</f>
        <v/>
      </c>
      <c r="DT38" s="89">
        <f>DS41</f>
        <v/>
      </c>
      <c r="DU38" s="89">
        <f>DT41</f>
        <v/>
      </c>
      <c r="DV38" s="89">
        <f>DU41</f>
        <v/>
      </c>
      <c r="DW38" s="89">
        <f>DV41</f>
        <v/>
      </c>
      <c r="DX38" s="116" t="n"/>
      <c r="DY38" s="89">
        <f>DW41</f>
        <v/>
      </c>
      <c r="DZ38" s="89">
        <f>DY41</f>
        <v/>
      </c>
      <c r="EA38" s="89">
        <f>DZ41</f>
        <v/>
      </c>
      <c r="EB38" s="89">
        <f>EA41</f>
        <v/>
      </c>
      <c r="EC38" s="89">
        <f>EB41</f>
        <v/>
      </c>
      <c r="ED38" s="89">
        <f>EC41</f>
        <v/>
      </c>
      <c r="EE38" s="89">
        <f>ED41+7000</f>
        <v/>
      </c>
      <c r="EF38" s="89">
        <f>EE41</f>
        <v/>
      </c>
      <c r="EG38" s="89">
        <f>EF41</f>
        <v/>
      </c>
      <c r="EH38" s="89">
        <f>EG41</f>
        <v/>
      </c>
      <c r="EI38" s="89">
        <f>EH41</f>
        <v/>
      </c>
      <c r="EJ38" s="89">
        <f>EI41</f>
        <v/>
      </c>
      <c r="EK38" s="89">
        <f>EJ41</f>
        <v/>
      </c>
      <c r="EL38" s="89">
        <f>EK41+10000</f>
        <v/>
      </c>
      <c r="EM38" s="89">
        <f>EL41</f>
        <v/>
      </c>
      <c r="EN38" s="89">
        <f>EM41</f>
        <v/>
      </c>
      <c r="EO38" s="89">
        <f>EN41</f>
        <v/>
      </c>
      <c r="EP38" s="89">
        <f>EO41</f>
        <v/>
      </c>
      <c r="EQ38" s="89">
        <f>EP41</f>
        <v/>
      </c>
      <c r="ER38" s="89">
        <f>EQ41+12941</f>
        <v/>
      </c>
      <c r="ES38" s="89">
        <f>ER41</f>
        <v/>
      </c>
      <c r="ET38" s="89">
        <f>ES41</f>
        <v/>
      </c>
      <c r="EU38" s="89">
        <f>ET41</f>
        <v/>
      </c>
      <c r="EV38" s="89">
        <f>EU41</f>
        <v/>
      </c>
      <c r="EW38" s="89">
        <f>EV41</f>
        <v/>
      </c>
      <c r="EX38" s="89">
        <f>EW41</f>
        <v/>
      </c>
      <c r="EY38" s="89">
        <f>EX41</f>
        <v/>
      </c>
      <c r="EZ38" s="89">
        <f>EY41</f>
        <v/>
      </c>
      <c r="FA38" s="89">
        <f>EZ41+10000</f>
        <v/>
      </c>
      <c r="FB38" s="89">
        <f>FA41</f>
        <v/>
      </c>
      <c r="FC38" s="89">
        <f>FB41</f>
        <v/>
      </c>
      <c r="FD38" s="128" t="n"/>
      <c r="FE38" s="89">
        <f>FC41</f>
        <v/>
      </c>
      <c r="FF38" s="89">
        <f>FE41</f>
        <v/>
      </c>
      <c r="FG38" s="89">
        <f>FF41</f>
        <v/>
      </c>
      <c r="FH38" s="89">
        <f>FG41</f>
        <v/>
      </c>
      <c r="FI38" s="89">
        <f>FH41</f>
        <v/>
      </c>
      <c r="FJ38" s="89">
        <f>FI41</f>
        <v/>
      </c>
      <c r="FK38" s="89">
        <f>FJ41</f>
        <v/>
      </c>
      <c r="FL38" s="89">
        <f>FK41</f>
        <v/>
      </c>
      <c r="FM38" s="89">
        <f>FL41</f>
        <v/>
      </c>
      <c r="FN38" s="89">
        <f>FM41</f>
        <v/>
      </c>
      <c r="FO38" s="89">
        <f>FN41+6941</f>
        <v/>
      </c>
      <c r="FP38" s="89">
        <f>FO41</f>
        <v/>
      </c>
      <c r="FQ38" s="89">
        <f>FP41</f>
        <v/>
      </c>
      <c r="FR38" s="89">
        <f>FQ41</f>
        <v/>
      </c>
      <c r="FS38" s="89">
        <f>FR41</f>
        <v/>
      </c>
      <c r="FT38" s="89">
        <f>FS41</f>
        <v/>
      </c>
      <c r="FU38" s="89">
        <f>FT41</f>
        <v/>
      </c>
      <c r="FV38" s="89">
        <f>FU41+7944</f>
        <v/>
      </c>
      <c r="FW38" s="89">
        <f>FV41</f>
        <v/>
      </c>
      <c r="FX38" s="89">
        <f>FW41</f>
        <v/>
      </c>
      <c r="FY38" s="89">
        <f>FX41</f>
        <v/>
      </c>
      <c r="FZ38" s="89">
        <f>FY41</f>
        <v/>
      </c>
      <c r="GA38" s="89">
        <f>FZ41</f>
        <v/>
      </c>
      <c r="GB38" s="89">
        <f>GA41+7944</f>
        <v/>
      </c>
      <c r="GC38" s="89">
        <f>GB41</f>
        <v/>
      </c>
      <c r="GD38" s="89">
        <f>GC41</f>
        <v/>
      </c>
      <c r="GE38" s="89">
        <f>GD41</f>
        <v/>
      </c>
      <c r="GF38" s="89">
        <f>GE41</f>
        <v/>
      </c>
      <c r="GG38" s="89">
        <f>GF41</f>
        <v/>
      </c>
      <c r="GH38" s="89">
        <f>GG41</f>
        <v/>
      </c>
      <c r="GI38" s="89">
        <f>GH41</f>
        <v/>
      </c>
      <c r="GJ38" s="127">
        <f>SUM(FE38:GI38)</f>
        <v/>
      </c>
      <c r="GK38" s="89">
        <f>GI41+8000</f>
        <v/>
      </c>
      <c r="GL38" s="89">
        <f>GK41</f>
        <v/>
      </c>
      <c r="GM38" s="89">
        <f>GL41</f>
        <v/>
      </c>
      <c r="GN38" s="89">
        <f>GM41</f>
        <v/>
      </c>
      <c r="GO38" s="89">
        <f>GN41</f>
        <v/>
      </c>
      <c r="GP38" s="89">
        <f>GO41+8000</f>
        <v/>
      </c>
      <c r="GQ38" s="89">
        <f>GP41</f>
        <v/>
      </c>
      <c r="GR38" s="89">
        <f>GQ41</f>
        <v/>
      </c>
      <c r="GS38" s="89">
        <f>GR41</f>
        <v/>
      </c>
      <c r="GT38" s="89">
        <f>GS41</f>
        <v/>
      </c>
      <c r="GU38" s="89">
        <f>GT41</f>
        <v/>
      </c>
      <c r="GV38" s="89">
        <f>GU41</f>
        <v/>
      </c>
      <c r="GW38" s="89">
        <f>GV41</f>
        <v/>
      </c>
      <c r="GX38" s="89">
        <f>GW41+8000</f>
        <v/>
      </c>
      <c r="GY38" s="89">
        <f>GX41</f>
        <v/>
      </c>
      <c r="GZ38" s="89">
        <f>GY41</f>
        <v/>
      </c>
      <c r="HA38" s="89">
        <f>GZ41</f>
        <v/>
      </c>
      <c r="HB38" s="89">
        <f>HA41</f>
        <v/>
      </c>
      <c r="HC38" s="89">
        <f>HB41</f>
        <v/>
      </c>
      <c r="HD38" s="89">
        <f>HC41+8000</f>
        <v/>
      </c>
      <c r="HE38" s="89">
        <f>HD41</f>
        <v/>
      </c>
      <c r="HF38" s="89">
        <f>HE41</f>
        <v/>
      </c>
      <c r="HG38" s="89">
        <f>HF41</f>
        <v/>
      </c>
      <c r="HH38" s="89">
        <f>HG41</f>
        <v/>
      </c>
      <c r="HI38" s="89">
        <f>HH41</f>
        <v/>
      </c>
      <c r="HJ38" s="89">
        <f>HI41</f>
        <v/>
      </c>
      <c r="HK38" s="89">
        <f>HJ41</f>
        <v/>
      </c>
      <c r="HL38" s="89">
        <f>HK41+12876</f>
        <v/>
      </c>
      <c r="HM38" s="89">
        <f>HL41</f>
        <v/>
      </c>
      <c r="HN38" s="127">
        <f>SUM(GK38:HM38)</f>
        <v/>
      </c>
      <c r="HO38" s="89">
        <f>HM41</f>
        <v/>
      </c>
      <c r="HP38" s="89">
        <f>HO41</f>
        <v/>
      </c>
      <c r="HQ38" s="89">
        <f>HP41</f>
        <v/>
      </c>
      <c r="HR38" s="89">
        <f>HQ41</f>
        <v/>
      </c>
      <c r="HS38" s="89">
        <f>HR41+7000</f>
        <v/>
      </c>
      <c r="HT38" s="89">
        <f>HS41</f>
        <v/>
      </c>
      <c r="HU38" s="89">
        <f>HT41</f>
        <v/>
      </c>
      <c r="HV38" s="89">
        <f>HU41</f>
        <v/>
      </c>
      <c r="HW38" s="89">
        <f>HV41</f>
        <v/>
      </c>
      <c r="HX38" s="89">
        <f>HW41</f>
        <v/>
      </c>
      <c r="HY38" s="89">
        <f>HX41</f>
        <v/>
      </c>
      <c r="HZ38" s="89">
        <f>HY41</f>
        <v/>
      </c>
      <c r="IA38" s="89">
        <f>HZ41</f>
        <v/>
      </c>
      <c r="IB38" s="89">
        <f>IA41</f>
        <v/>
      </c>
      <c r="IC38" s="89">
        <f>IB41</f>
        <v/>
      </c>
      <c r="ID38" s="89">
        <f>IC41+8913</f>
        <v/>
      </c>
      <c r="IE38" s="89">
        <f>ID41</f>
        <v/>
      </c>
      <c r="IF38" s="89">
        <f>IE41</f>
        <v/>
      </c>
      <c r="IG38" s="89">
        <f>IF41</f>
        <v/>
      </c>
      <c r="IH38" s="89">
        <f>IG41</f>
        <v/>
      </c>
      <c r="II38" s="89">
        <f>IH41</f>
        <v/>
      </c>
      <c r="IJ38" s="89">
        <f>II41</f>
        <v/>
      </c>
      <c r="IK38" s="89">
        <f>IJ41</f>
        <v/>
      </c>
      <c r="IL38" s="89">
        <f>IK41</f>
        <v/>
      </c>
      <c r="IM38" s="89">
        <f>IL41</f>
        <v/>
      </c>
      <c r="IN38" s="89">
        <f>IM41</f>
        <v/>
      </c>
      <c r="IO38" s="89">
        <f>IN41+10888</f>
        <v/>
      </c>
      <c r="IP38" s="89">
        <f>IO41</f>
        <v/>
      </c>
      <c r="IQ38" s="89">
        <f>IP41</f>
        <v/>
      </c>
      <c r="IR38" s="89">
        <f>IQ41</f>
        <v/>
      </c>
      <c r="IS38" s="89">
        <f>IR41</f>
        <v/>
      </c>
      <c r="IT38" s="127">
        <f>SUM(HO38:IS38)</f>
        <v/>
      </c>
      <c r="IU38" s="89">
        <f>IS41</f>
        <v/>
      </c>
      <c r="IV38" s="89">
        <f>IU41</f>
        <v/>
      </c>
      <c r="IW38" s="89">
        <f>IV41</f>
        <v/>
      </c>
      <c r="IX38" s="89">
        <f>IW41</f>
        <v/>
      </c>
      <c r="IY38" s="89">
        <f>IX41+8000</f>
        <v/>
      </c>
      <c r="IZ38" s="89">
        <f>IY41</f>
        <v/>
      </c>
      <c r="JA38" s="89">
        <f>IZ41</f>
        <v/>
      </c>
      <c r="JB38" s="89">
        <f>JA41</f>
        <v/>
      </c>
      <c r="JC38" s="89">
        <f>JB41+2000</f>
        <v/>
      </c>
      <c r="JD38" s="89">
        <f>JC41</f>
        <v/>
      </c>
      <c r="JE38" s="89">
        <f>JD41</f>
        <v/>
      </c>
      <c r="JF38" s="89">
        <f>JE41</f>
        <v/>
      </c>
      <c r="JG38" s="89">
        <f>JF41+11893</f>
        <v/>
      </c>
      <c r="JH38" s="89">
        <f>JG41</f>
        <v/>
      </c>
      <c r="JI38" s="89">
        <f>JH41</f>
        <v/>
      </c>
      <c r="JJ38" s="89">
        <f>JI41</f>
        <v/>
      </c>
      <c r="JK38" s="89">
        <f>JJ41</f>
        <v/>
      </c>
      <c r="JL38" s="89">
        <f>JK41</f>
        <v/>
      </c>
      <c r="JM38" s="89">
        <f>JL41</f>
        <v/>
      </c>
      <c r="JN38" s="89">
        <f>JM41</f>
        <v/>
      </c>
      <c r="JO38" s="89">
        <f>JN41</f>
        <v/>
      </c>
      <c r="JP38" s="89">
        <f>JO41</f>
        <v/>
      </c>
      <c r="JQ38" s="89">
        <f>JP41</f>
        <v/>
      </c>
      <c r="JR38" s="89">
        <f>JQ41</f>
        <v/>
      </c>
      <c r="JS38" s="89">
        <f>JR41</f>
        <v/>
      </c>
      <c r="JT38" s="89">
        <f>JS41</f>
        <v/>
      </c>
      <c r="JU38" s="89">
        <f>JT41+9908</f>
        <v/>
      </c>
      <c r="JV38" s="89">
        <f>JU41</f>
        <v/>
      </c>
      <c r="JW38" s="89">
        <f>JV41</f>
        <v/>
      </c>
      <c r="JX38" s="89">
        <f>JW41</f>
        <v/>
      </c>
      <c r="JY38" s="127">
        <f>SUM(IU38:JX38)</f>
        <v/>
      </c>
      <c r="JZ38" s="89">
        <f>JX41</f>
        <v/>
      </c>
      <c r="KA38" s="89">
        <f>JZ41</f>
        <v/>
      </c>
      <c r="KB38" s="89">
        <f>KA41+9902</f>
        <v/>
      </c>
      <c r="KC38" s="89">
        <f>KB41</f>
        <v/>
      </c>
      <c r="KD38" s="89">
        <f>KC41</f>
        <v/>
      </c>
      <c r="KE38" s="89">
        <f>KD41</f>
        <v/>
      </c>
      <c r="KF38" s="89">
        <f>KE41</f>
        <v/>
      </c>
      <c r="KG38" s="89">
        <f>KF41</f>
        <v/>
      </c>
      <c r="KH38" s="89">
        <f>KG41</f>
        <v/>
      </c>
      <c r="KI38" s="89">
        <f>KH41</f>
        <v/>
      </c>
      <c r="KJ38" s="89">
        <f>KI41</f>
        <v/>
      </c>
      <c r="KK38" s="89">
        <f>KJ41</f>
        <v/>
      </c>
      <c r="KL38" s="89">
        <f>KK41</f>
        <v/>
      </c>
      <c r="KM38" s="89">
        <f>KL41</f>
        <v/>
      </c>
      <c r="KN38" s="89">
        <f>KM41</f>
        <v/>
      </c>
      <c r="KO38" s="89">
        <f>KN41+10000</f>
        <v/>
      </c>
      <c r="KP38" s="89">
        <f>KO41</f>
        <v/>
      </c>
      <c r="KQ38" s="89">
        <f>KP41</f>
        <v/>
      </c>
      <c r="KR38" s="89">
        <f>KQ41</f>
        <v/>
      </c>
      <c r="KS38" s="89">
        <f>KR41</f>
        <v/>
      </c>
      <c r="KT38" s="89">
        <f>KS41</f>
        <v/>
      </c>
      <c r="KU38" s="89">
        <f>KT41+6000</f>
        <v/>
      </c>
      <c r="KV38" s="89">
        <f>KU41</f>
        <v/>
      </c>
      <c r="KW38" s="89">
        <f>KV41</f>
        <v/>
      </c>
      <c r="KX38" s="89">
        <f>KW41+7927</f>
        <v/>
      </c>
      <c r="KY38" s="89">
        <f>KX41</f>
        <v/>
      </c>
      <c r="KZ38" s="89">
        <f>KY41</f>
        <v/>
      </c>
      <c r="LA38" s="89">
        <f>KZ41</f>
        <v/>
      </c>
      <c r="LB38" s="89">
        <f>LA41</f>
        <v/>
      </c>
      <c r="LC38" s="89">
        <f>LB41+4966</f>
        <v/>
      </c>
      <c r="LD38" s="89">
        <f>LC41+5000</f>
        <v/>
      </c>
      <c r="LE38" s="127">
        <f>SUM(KA38:LD38)</f>
        <v/>
      </c>
      <c r="LF38" s="89">
        <f>LD41</f>
        <v/>
      </c>
      <c r="LG38" s="89">
        <f>LF41</f>
        <v/>
      </c>
      <c r="LH38" s="89">
        <f>LG41</f>
        <v/>
      </c>
      <c r="LI38" s="89">
        <f>LH41</f>
        <v/>
      </c>
      <c r="LJ38" s="89">
        <f>LI41</f>
        <v/>
      </c>
      <c r="LK38" s="89">
        <f>LJ41</f>
        <v/>
      </c>
      <c r="LL38" s="89">
        <f>LK41+10000</f>
        <v/>
      </c>
      <c r="LM38" s="89">
        <f>LL41</f>
        <v/>
      </c>
      <c r="LN38" s="89">
        <f>LM41</f>
        <v/>
      </c>
      <c r="LO38" s="89">
        <f>LN41</f>
        <v/>
      </c>
      <c r="LP38" s="89">
        <f>LO41</f>
        <v/>
      </c>
      <c r="LQ38" s="89">
        <f>LP41</f>
        <v/>
      </c>
      <c r="LR38" s="89">
        <f>LQ41</f>
        <v/>
      </c>
      <c r="LS38" s="89">
        <f>LR41+6939</f>
        <v/>
      </c>
      <c r="LT38" s="89">
        <f>LS41</f>
        <v/>
      </c>
      <c r="LU38" s="89">
        <f>LT41</f>
        <v/>
      </c>
      <c r="LV38" s="89">
        <f>LU41</f>
        <v/>
      </c>
      <c r="LW38" s="89">
        <f>LV41</f>
        <v/>
      </c>
      <c r="LX38" s="89">
        <f>LW41</f>
        <v/>
      </c>
      <c r="LY38" s="89">
        <f>LX41+8000</f>
        <v/>
      </c>
      <c r="LZ38" s="89">
        <f>LY41</f>
        <v/>
      </c>
      <c r="MA38" s="89">
        <f>LZ41</f>
        <v/>
      </c>
      <c r="MB38" s="89">
        <f>MA41</f>
        <v/>
      </c>
      <c r="MC38" s="89">
        <f>MB41</f>
        <v/>
      </c>
      <c r="MD38" s="89">
        <f>MC41</f>
        <v/>
      </c>
      <c r="ME38" s="89">
        <f>MD41+7000</f>
        <v/>
      </c>
      <c r="MF38" s="89">
        <f>ME41</f>
        <v/>
      </c>
      <c r="MG38" s="89">
        <f>MF41</f>
        <v/>
      </c>
      <c r="MH38" s="89">
        <f>MG41</f>
        <v/>
      </c>
      <c r="MI38" s="89">
        <f>MH41</f>
        <v/>
      </c>
      <c r="MJ38" s="127">
        <f>SUM(LF38:MI38)</f>
        <v/>
      </c>
      <c r="MK38" s="89">
        <f>MI41</f>
        <v/>
      </c>
      <c r="ML38" s="89">
        <f>MK41</f>
        <v/>
      </c>
      <c r="MM38" s="89">
        <f>ML41+5000</f>
        <v/>
      </c>
      <c r="MN38" s="89">
        <f>MM41</f>
        <v/>
      </c>
      <c r="MO38" s="89">
        <f>MN41</f>
        <v/>
      </c>
      <c r="MP38" s="89">
        <f>MO41+7926</f>
        <v/>
      </c>
      <c r="MQ38" s="89">
        <f>MP41</f>
        <v/>
      </c>
      <c r="MR38" s="89">
        <f>MQ41</f>
        <v/>
      </c>
      <c r="MS38" s="89">
        <f>MR41</f>
        <v/>
      </c>
      <c r="MT38" s="89">
        <f>MS41</f>
        <v/>
      </c>
      <c r="MU38" s="89">
        <f>MT41</f>
        <v/>
      </c>
      <c r="MV38" s="89">
        <f>MU41+5000</f>
        <v/>
      </c>
      <c r="MW38" s="89">
        <f>MV41</f>
        <v/>
      </c>
      <c r="MX38" s="89">
        <f>MW41</f>
        <v/>
      </c>
      <c r="MY38" s="89">
        <f>MX41</f>
        <v/>
      </c>
      <c r="MZ38" s="89">
        <f>MY41</f>
        <v/>
      </c>
      <c r="NA38" s="89">
        <f>MZ41</f>
        <v/>
      </c>
      <c r="NB38" s="89">
        <f>NA41</f>
        <v/>
      </c>
      <c r="NC38" s="89">
        <f>NB41+8000</f>
        <v/>
      </c>
      <c r="ND38" s="89">
        <f>NC41</f>
        <v/>
      </c>
      <c r="NE38" s="89">
        <f>ND41</f>
        <v/>
      </c>
      <c r="NF38" s="89">
        <f>NE41</f>
        <v/>
      </c>
      <c r="NG38" s="89">
        <f>NF41</f>
        <v/>
      </c>
      <c r="NH38" s="89">
        <f>NG41</f>
        <v/>
      </c>
      <c r="NI38" s="89">
        <f>NH41+10898</f>
        <v/>
      </c>
      <c r="NJ38" s="89">
        <f>NI41</f>
        <v/>
      </c>
      <c r="NK38" s="89">
        <f>NJ41</f>
        <v/>
      </c>
      <c r="NL38" s="89">
        <f>NK41</f>
        <v/>
      </c>
      <c r="NM38" s="89">
        <f>NL41</f>
        <v/>
      </c>
      <c r="NN38" s="89">
        <f>NM41</f>
        <v/>
      </c>
      <c r="NO38" s="89">
        <f>NN41</f>
        <v/>
      </c>
      <c r="NP38" s="127">
        <f>SUM(ML38:NO38)</f>
        <v/>
      </c>
      <c r="NQ38" s="89">
        <f>NO41</f>
        <v/>
      </c>
      <c r="NR38" s="89">
        <f>NQ41</f>
        <v/>
      </c>
      <c r="NS38" s="89">
        <f>NR41+7967</f>
        <v/>
      </c>
      <c r="NT38" s="89">
        <f>NS41</f>
        <v/>
      </c>
      <c r="NU38" s="89">
        <f>NT41</f>
        <v/>
      </c>
      <c r="NV38" s="89">
        <f>NU41</f>
        <v/>
      </c>
      <c r="NW38" s="89">
        <f>NV41</f>
        <v/>
      </c>
      <c r="NX38" s="89">
        <f>NW41</f>
        <v/>
      </c>
      <c r="NY38" s="89">
        <f>NX41</f>
        <v/>
      </c>
      <c r="NZ38" s="89">
        <f>NY41+4000</f>
        <v/>
      </c>
      <c r="OA38" s="89">
        <f>NZ41</f>
        <v/>
      </c>
      <c r="OB38" s="89">
        <f>OA41</f>
        <v/>
      </c>
      <c r="OC38" s="89">
        <f>OB41</f>
        <v/>
      </c>
      <c r="OD38" s="89">
        <f>OC41</f>
        <v/>
      </c>
      <c r="OE38" s="89">
        <f>OD41+6939</f>
        <v/>
      </c>
      <c r="OF38" s="89">
        <f>OE41</f>
        <v/>
      </c>
      <c r="OG38" s="89">
        <f>OF41</f>
        <v/>
      </c>
      <c r="OH38" s="89">
        <f>OG41</f>
        <v/>
      </c>
      <c r="OI38" s="89">
        <f>OH41</f>
        <v/>
      </c>
      <c r="OJ38" s="89">
        <f>OI41</f>
        <v/>
      </c>
      <c r="OK38" s="89">
        <f>OJ41+10000</f>
        <v/>
      </c>
      <c r="OL38" s="89">
        <f>OK41</f>
        <v/>
      </c>
      <c r="OM38" s="89">
        <f>OL41</f>
        <v/>
      </c>
      <c r="ON38" s="89">
        <f>OM41</f>
        <v/>
      </c>
      <c r="OO38" s="89">
        <f>ON41</f>
        <v/>
      </c>
      <c r="OP38" s="89">
        <f>OO41</f>
        <v/>
      </c>
      <c r="OQ38" s="89">
        <f>OP41</f>
        <v/>
      </c>
      <c r="OR38" s="89">
        <f>OQ41</f>
        <v/>
      </c>
      <c r="OS38" s="89">
        <f>OR41</f>
        <v/>
      </c>
      <c r="OT38" s="89">
        <f>OS41+12443</f>
        <v/>
      </c>
      <c r="OU38" s="89">
        <f>OT41</f>
        <v/>
      </c>
      <c r="OV38" s="127">
        <f>SUM(NR38:OU38)</f>
        <v/>
      </c>
      <c r="OW38" s="89">
        <f>OU41</f>
        <v/>
      </c>
      <c r="OX38" s="89">
        <f>OW41</f>
        <v/>
      </c>
      <c r="OY38" s="89">
        <f>OX41</f>
        <v/>
      </c>
      <c r="OZ38" s="89">
        <f>OY41</f>
        <v/>
      </c>
      <c r="PA38" s="89">
        <f>OZ41</f>
        <v/>
      </c>
      <c r="PB38" s="89">
        <f>PA41+9000</f>
        <v/>
      </c>
      <c r="PC38" s="89">
        <f>PB41</f>
        <v/>
      </c>
      <c r="PD38" s="89">
        <f>PC41</f>
        <v/>
      </c>
      <c r="PE38" s="89">
        <f>PD41</f>
        <v/>
      </c>
      <c r="PF38" s="89">
        <f>PE41</f>
        <v/>
      </c>
      <c r="PG38" s="89">
        <f>PF41</f>
        <v/>
      </c>
      <c r="PH38" s="89">
        <f>PG41</f>
        <v/>
      </c>
      <c r="PI38" s="89">
        <f>PH41</f>
        <v/>
      </c>
      <c r="PJ38" s="89">
        <f>PI41</f>
        <v/>
      </c>
      <c r="PK38" s="89">
        <f>PJ41</f>
        <v/>
      </c>
      <c r="PL38" s="89">
        <f>PK41</f>
        <v/>
      </c>
      <c r="PM38" s="89">
        <f>PL41</f>
        <v/>
      </c>
      <c r="PN38" s="89">
        <f>PM41+8000</f>
        <v/>
      </c>
      <c r="PO38" s="89">
        <f>PN41</f>
        <v/>
      </c>
      <c r="PP38" s="89">
        <f>PO41</f>
        <v/>
      </c>
      <c r="PQ38" s="89">
        <f>PP41</f>
        <v/>
      </c>
      <c r="PR38" s="89">
        <f>PQ41</f>
        <v/>
      </c>
      <c r="PS38" s="89">
        <f>PR41</f>
        <v/>
      </c>
      <c r="PT38" s="89">
        <f>PS41</f>
        <v/>
      </c>
      <c r="PU38" s="89">
        <f>PT41+10000</f>
        <v/>
      </c>
      <c r="PV38" s="89">
        <f>PU41</f>
        <v/>
      </c>
      <c r="PW38" s="89">
        <f>PV41</f>
        <v/>
      </c>
      <c r="PX38" s="89">
        <f>PW41</f>
        <v/>
      </c>
      <c r="PY38" s="89">
        <f>PX41</f>
        <v/>
      </c>
      <c r="PZ38" s="89">
        <f>PY41</f>
        <v/>
      </c>
      <c r="QA38" s="127">
        <f>SUM(OW38:PZ38)</f>
        <v/>
      </c>
      <c r="QB38" s="89">
        <f>PZ41</f>
        <v/>
      </c>
      <c r="QC38" s="89">
        <f>QB41</f>
        <v/>
      </c>
      <c r="QD38" s="89">
        <f>QC41</f>
        <v/>
      </c>
      <c r="QE38" s="89">
        <f>QD41+9977</f>
        <v/>
      </c>
      <c r="QF38" s="89">
        <f>QE41</f>
        <v/>
      </c>
      <c r="QG38" s="89">
        <f>QF41</f>
        <v/>
      </c>
      <c r="QH38" s="89">
        <f>QG41</f>
        <v/>
      </c>
      <c r="QI38" s="89">
        <f>QH41</f>
        <v/>
      </c>
      <c r="QJ38" s="89">
        <f>QI41</f>
        <v/>
      </c>
      <c r="QK38" s="89">
        <f>QJ41</f>
        <v/>
      </c>
      <c r="QL38" s="89">
        <f>QK41</f>
        <v/>
      </c>
      <c r="QM38" s="89">
        <f>QL41+10000</f>
        <v/>
      </c>
      <c r="QN38" s="89">
        <f>QM41</f>
        <v/>
      </c>
      <c r="QO38" s="89">
        <f>QN41</f>
        <v/>
      </c>
      <c r="QP38" s="89">
        <f>QO41</f>
        <v/>
      </c>
      <c r="QQ38" s="89">
        <f>QP41</f>
        <v/>
      </c>
      <c r="QR38" s="89">
        <f>QQ41</f>
        <v/>
      </c>
      <c r="QS38" s="89">
        <f>QR41</f>
        <v/>
      </c>
      <c r="QT38" s="89">
        <f>QS41+6973</f>
        <v/>
      </c>
      <c r="QU38" s="89">
        <f>QT41</f>
        <v/>
      </c>
      <c r="QV38" s="89">
        <f>QU41</f>
        <v/>
      </c>
      <c r="QW38" s="89">
        <f>QV41</f>
        <v/>
      </c>
      <c r="QX38" s="89">
        <f>QW41</f>
        <v/>
      </c>
      <c r="QY38" s="89">
        <f>QX41</f>
        <v/>
      </c>
      <c r="QZ38" s="89">
        <f>QY41</f>
        <v/>
      </c>
      <c r="RA38" s="89">
        <f>QZ41+8976</f>
        <v/>
      </c>
      <c r="RB38" s="89">
        <f>RA41</f>
        <v/>
      </c>
      <c r="RC38" s="89">
        <f>RB41</f>
        <v/>
      </c>
      <c r="RD38" s="89">
        <f>RC41</f>
        <v/>
      </c>
      <c r="RE38" s="89">
        <f>RD41</f>
        <v/>
      </c>
      <c r="RF38" s="89">
        <f>RE41</f>
        <v/>
      </c>
      <c r="RG38" s="127">
        <f>SUM(QC38:RF38)</f>
        <v/>
      </c>
      <c r="RH38" s="89">
        <f>RF41</f>
        <v/>
      </c>
      <c r="RI38" s="89">
        <f>RH41</f>
        <v/>
      </c>
      <c r="RJ38" s="89">
        <f>RI41</f>
        <v/>
      </c>
      <c r="RK38" s="89">
        <f>RJ41</f>
        <v/>
      </c>
      <c r="RL38" s="89">
        <f>RK41</f>
        <v/>
      </c>
      <c r="RM38" s="89">
        <f>RL41+8000</f>
        <v/>
      </c>
      <c r="RN38" s="89">
        <f>RM41</f>
        <v/>
      </c>
      <c r="RO38" s="89">
        <f>RN41</f>
        <v/>
      </c>
      <c r="RP38" s="89">
        <f>RO41</f>
        <v/>
      </c>
      <c r="RQ38" s="89">
        <f>RP41</f>
        <v/>
      </c>
      <c r="RR38" s="89">
        <f>RQ41</f>
        <v/>
      </c>
      <c r="RS38" s="89">
        <f>RR41</f>
        <v/>
      </c>
      <c r="RT38" s="89">
        <f>RS41</f>
        <v/>
      </c>
      <c r="RU38" s="89">
        <f>RT41+10000</f>
        <v/>
      </c>
      <c r="RV38" s="89">
        <f>RU41</f>
        <v/>
      </c>
      <c r="RW38" s="89">
        <f>RV41</f>
        <v/>
      </c>
      <c r="RX38" s="89">
        <f>RW41</f>
        <v/>
      </c>
      <c r="RY38" s="89">
        <f>RX41</f>
        <v/>
      </c>
      <c r="RZ38" s="89">
        <f>RY41</f>
        <v/>
      </c>
      <c r="SA38" s="89">
        <f>RZ41</f>
        <v/>
      </c>
      <c r="SB38" s="89">
        <f>SA41</f>
        <v/>
      </c>
      <c r="SC38" s="89">
        <f>SB41+10000</f>
        <v/>
      </c>
      <c r="SD38" s="89">
        <f>SC41</f>
        <v/>
      </c>
      <c r="SE38" s="89">
        <f>SD41</f>
        <v/>
      </c>
      <c r="SF38" s="89">
        <f>SE41</f>
        <v/>
      </c>
      <c r="SG38" s="89">
        <f>SF41</f>
        <v/>
      </c>
      <c r="SH38" s="89">
        <f>SG41</f>
        <v/>
      </c>
      <c r="SI38" s="89">
        <f>SH41</f>
        <v/>
      </c>
      <c r="SJ38" s="89">
        <f>SI41</f>
        <v/>
      </c>
      <c r="SK38" s="89">
        <f>SJ41+8000</f>
        <v/>
      </c>
      <c r="SL38" s="127">
        <f>SUM(RH38:SK38)</f>
        <v/>
      </c>
      <c r="SM38" s="89">
        <f>SK41</f>
        <v/>
      </c>
      <c r="SN38" s="89">
        <f>SM41</f>
        <v/>
      </c>
      <c r="SO38" s="89">
        <f>SN41</f>
        <v/>
      </c>
      <c r="SP38" s="89">
        <f>SO41</f>
        <v/>
      </c>
      <c r="SQ38" s="89">
        <f>SP41</f>
        <v/>
      </c>
      <c r="SR38" s="89">
        <f>SQ41</f>
        <v/>
      </c>
      <c r="SS38" s="89">
        <f>SR41+5000</f>
        <v/>
      </c>
      <c r="ST38" s="89">
        <f>SS41</f>
        <v/>
      </c>
      <c r="SU38" s="89">
        <f>ST41</f>
        <v/>
      </c>
      <c r="SV38" s="89">
        <f>SU41</f>
        <v/>
      </c>
      <c r="SW38" s="89">
        <f>SV41+12386</f>
        <v/>
      </c>
      <c r="SX38" s="89">
        <f>SW41</f>
        <v/>
      </c>
      <c r="SY38" s="89">
        <f>SX41</f>
        <v/>
      </c>
      <c r="SZ38" s="89">
        <f>SY41</f>
        <v/>
      </c>
      <c r="TA38" s="89">
        <f>SZ41</f>
        <v/>
      </c>
      <c r="TB38" s="89">
        <f>TA41</f>
        <v/>
      </c>
      <c r="TC38" s="89">
        <f>TB41</f>
        <v/>
      </c>
      <c r="TD38" s="89">
        <f>TC41</f>
        <v/>
      </c>
      <c r="TE38" s="89">
        <f>TD41</f>
        <v/>
      </c>
      <c r="TF38" s="89">
        <f>TE41+11886</f>
        <v/>
      </c>
      <c r="TG38" s="89">
        <f>TF41</f>
        <v/>
      </c>
      <c r="TH38" s="89">
        <f>TG41</f>
        <v/>
      </c>
      <c r="TI38" s="89">
        <f>TH41</f>
        <v/>
      </c>
      <c r="TJ38" s="89">
        <f>TI41</f>
        <v/>
      </c>
      <c r="TK38" s="89">
        <f>TJ41</f>
        <v/>
      </c>
      <c r="TL38" s="89">
        <f>TK41</f>
        <v/>
      </c>
      <c r="TM38" s="89">
        <f>TL41</f>
        <v/>
      </c>
      <c r="TN38" s="89">
        <f>TM41</f>
        <v/>
      </c>
      <c r="TO38" s="89">
        <f>TN41</f>
        <v/>
      </c>
      <c r="TP38" s="89">
        <f>TO41</f>
        <v/>
      </c>
      <c r="TQ38" s="89">
        <f>TP41+7000</f>
        <v/>
      </c>
      <c r="TR38" s="127">
        <f>SUM(SN38:TQ38)</f>
        <v/>
      </c>
      <c r="TS38" s="89">
        <f>TQ41</f>
        <v/>
      </c>
      <c r="TT38" s="89">
        <f>TS41</f>
        <v/>
      </c>
      <c r="TU38" s="89">
        <f>TT41</f>
        <v/>
      </c>
      <c r="TV38" s="89">
        <f>TU41</f>
        <v/>
      </c>
      <c r="TW38" s="89">
        <f>TV41</f>
        <v/>
      </c>
      <c r="TX38" s="89">
        <f>TW41</f>
        <v/>
      </c>
      <c r="TY38" s="89">
        <f>TX41</f>
        <v/>
      </c>
      <c r="TZ38" s="89">
        <f>TY41+10900</f>
        <v/>
      </c>
      <c r="UA38" s="89">
        <f>TZ41</f>
        <v/>
      </c>
      <c r="UB38" s="89">
        <f>UA41</f>
        <v/>
      </c>
      <c r="UC38" s="89">
        <f>UB41</f>
        <v/>
      </c>
      <c r="UD38" s="89">
        <f>UC41</f>
        <v/>
      </c>
      <c r="UE38" s="89">
        <f>UD41</f>
        <v/>
      </c>
      <c r="UF38" s="89">
        <f>UE41</f>
        <v/>
      </c>
      <c r="UG38" s="89">
        <f>UF41</f>
        <v/>
      </c>
      <c r="UH38" s="89">
        <f>UG41</f>
        <v/>
      </c>
      <c r="UI38" s="89">
        <f>UH41</f>
        <v/>
      </c>
      <c r="UJ38" s="89">
        <f>UI41+9908</f>
        <v/>
      </c>
      <c r="UK38" s="89">
        <f>UJ41</f>
        <v/>
      </c>
      <c r="UL38" s="89">
        <f>UK41</f>
        <v/>
      </c>
      <c r="UM38" s="89">
        <f>UL41</f>
        <v/>
      </c>
      <c r="UN38" s="89">
        <f>UM41</f>
        <v/>
      </c>
      <c r="UO38" s="89">
        <f>UN41</f>
        <v/>
      </c>
      <c r="UP38" s="89">
        <f>UO41</f>
        <v/>
      </c>
      <c r="UQ38" s="89">
        <f>UP41</f>
        <v/>
      </c>
      <c r="UR38" s="89">
        <f>UQ41</f>
        <v/>
      </c>
      <c r="US38" s="89">
        <f>UR41</f>
        <v/>
      </c>
      <c r="UT38" s="89">
        <f>US41</f>
        <v/>
      </c>
      <c r="UU38" s="89">
        <f>UT41</f>
        <v/>
      </c>
      <c r="UV38" s="89">
        <f>UU41+10000</f>
        <v/>
      </c>
      <c r="UW38" s="89">
        <f>UV41</f>
        <v/>
      </c>
      <c r="UX38" s="127">
        <f>SUM(TT38:UW38)</f>
        <v/>
      </c>
      <c r="UY38" s="89">
        <f>UW41</f>
        <v/>
      </c>
      <c r="UZ38" s="89">
        <f>UY41</f>
        <v/>
      </c>
      <c r="VA38" s="89">
        <f>UZ41</f>
        <v/>
      </c>
      <c r="VB38" s="89">
        <f>VA41+2979</f>
        <v/>
      </c>
      <c r="VC38" s="89">
        <f>VB41+4964</f>
        <v/>
      </c>
      <c r="VD38" s="89">
        <f>VC41</f>
        <v/>
      </c>
      <c r="VE38" s="89">
        <f>VD41</f>
        <v/>
      </c>
      <c r="VF38" s="89">
        <f>VE41</f>
        <v/>
      </c>
      <c r="VG38" s="89">
        <f>VF41</f>
        <v/>
      </c>
      <c r="VH38" s="89">
        <f>VG41</f>
        <v/>
      </c>
      <c r="VI38" s="89">
        <f>VH41+4976+2986</f>
        <v/>
      </c>
      <c r="VJ38" s="89">
        <f>VI41</f>
        <v/>
      </c>
      <c r="VK38" s="89">
        <f>VJ41</f>
        <v/>
      </c>
      <c r="VL38" s="89">
        <f>VK41</f>
        <v/>
      </c>
      <c r="VM38" s="89">
        <f>VL41</f>
        <v/>
      </c>
      <c r="VN38" s="89">
        <f>VM41</f>
        <v/>
      </c>
      <c r="VO38" s="89">
        <f>VN41</f>
        <v/>
      </c>
      <c r="VP38" s="89">
        <f>VO41</f>
        <v/>
      </c>
      <c r="VQ38" s="89">
        <f>VP41+7944</f>
        <v/>
      </c>
      <c r="VR38" s="89">
        <f>VQ41</f>
        <v/>
      </c>
      <c r="VS38" s="89">
        <f>VR41</f>
        <v/>
      </c>
      <c r="VT38" s="89">
        <f>VS41+6926</f>
        <v/>
      </c>
      <c r="VU38" s="89">
        <f>VT41</f>
        <v/>
      </c>
      <c r="VV38" s="89">
        <f>VU41</f>
        <v/>
      </c>
      <c r="VW38" s="89">
        <f>VV41</f>
        <v/>
      </c>
      <c r="VX38" s="89">
        <f>VW41</f>
        <v/>
      </c>
      <c r="VY38" s="89">
        <f>VX41</f>
        <v/>
      </c>
      <c r="VZ38" s="89">
        <f>VY41</f>
        <v/>
      </c>
      <c r="WA38" s="127">
        <f>SUM(UW38:VZ38)</f>
        <v/>
      </c>
      <c r="WB38" s="89">
        <f>VZ41</f>
        <v/>
      </c>
      <c r="WC38" s="89">
        <f>WB41</f>
        <v/>
      </c>
      <c r="WD38" s="89">
        <f>WC41</f>
        <v/>
      </c>
      <c r="WE38" s="89">
        <f>WD41</f>
        <v/>
      </c>
      <c r="WF38" s="89">
        <f>WE41</f>
        <v/>
      </c>
      <c r="WG38" s="89">
        <f>WF41</f>
        <v/>
      </c>
      <c r="WH38" s="89">
        <f>WG41+3970+3971</f>
        <v/>
      </c>
      <c r="WI38" s="89">
        <f>WH41</f>
        <v/>
      </c>
      <c r="WJ38" s="89">
        <f>WI41</f>
        <v/>
      </c>
      <c r="WK38" s="89">
        <f>WJ41</f>
        <v/>
      </c>
      <c r="WL38" s="89">
        <f>WK41+7947</f>
        <v/>
      </c>
      <c r="WM38" s="89">
        <f>WL41</f>
        <v/>
      </c>
      <c r="WN38" s="89">
        <f>WM41</f>
        <v/>
      </c>
      <c r="WO38" s="89">
        <f>WN41</f>
        <v/>
      </c>
      <c r="WP38" s="89">
        <f>WO41</f>
        <v/>
      </c>
      <c r="WQ38" s="89">
        <f>WP41</f>
        <v/>
      </c>
      <c r="WR38" s="89">
        <f>WQ41</f>
        <v/>
      </c>
      <c r="WS38" s="89">
        <f>WR41</f>
        <v/>
      </c>
      <c r="WT38" s="89">
        <f>WS41</f>
        <v/>
      </c>
      <c r="WU38" s="89">
        <f>WT41</f>
        <v/>
      </c>
      <c r="WV38" s="89">
        <f>WU41+8000</f>
        <v/>
      </c>
      <c r="WW38" s="89">
        <f>WV41</f>
        <v/>
      </c>
      <c r="WX38" s="89">
        <f>WW41</f>
        <v/>
      </c>
      <c r="WY38" s="89">
        <f>WX41</f>
        <v/>
      </c>
      <c r="WZ38" s="89">
        <f>WY41+8000</f>
        <v/>
      </c>
      <c r="XA38" s="89">
        <f>WZ41</f>
        <v/>
      </c>
      <c r="XB38" s="89">
        <f>XA41</f>
        <v/>
      </c>
      <c r="XC38" s="89">
        <f>XB41</f>
        <v/>
      </c>
      <c r="XD38" s="89">
        <f>XC41</f>
        <v/>
      </c>
      <c r="XE38" s="89">
        <f>XD41</f>
        <v/>
      </c>
      <c r="XF38" s="89">
        <f>XE41</f>
        <v/>
      </c>
      <c r="XG38" s="127">
        <f>SUM(WB38:XF38)</f>
        <v/>
      </c>
      <c r="XH38" s="89">
        <f>XF41+7998</f>
        <v/>
      </c>
      <c r="XI38" s="89">
        <f>XH41</f>
        <v/>
      </c>
      <c r="XJ38" s="89">
        <f>XI41</f>
        <v/>
      </c>
      <c r="XK38" s="89">
        <f>XJ41</f>
        <v/>
      </c>
      <c r="XL38" s="89">
        <f>XK41</f>
        <v/>
      </c>
      <c r="XM38" s="89">
        <f>XL41</f>
        <v/>
      </c>
      <c r="XN38" s="89">
        <f>XM41</f>
        <v/>
      </c>
      <c r="XO38" s="89">
        <f>XN41</f>
        <v/>
      </c>
      <c r="XP38" s="89">
        <f>XO41</f>
        <v/>
      </c>
      <c r="XQ38" s="89">
        <f>XP41</f>
        <v/>
      </c>
      <c r="XR38" s="89">
        <f>XQ41+7000</f>
        <v/>
      </c>
      <c r="XS38" s="89">
        <f>XR41</f>
        <v/>
      </c>
      <c r="XT38" s="89">
        <f>XS41</f>
        <v/>
      </c>
      <c r="XU38" s="89">
        <f>XT41</f>
        <v/>
      </c>
      <c r="XV38" s="89">
        <f>XU41</f>
        <v/>
      </c>
      <c r="XW38" s="89">
        <f>XV41</f>
        <v/>
      </c>
      <c r="XX38" s="89">
        <f>XW41</f>
        <v/>
      </c>
      <c r="XY38" s="89">
        <f>XX41</f>
        <v/>
      </c>
      <c r="XZ38" s="89">
        <f>XY41+7000</f>
        <v/>
      </c>
      <c r="YA38" s="89">
        <f>XZ41</f>
        <v/>
      </c>
      <c r="YB38" s="89">
        <f>YA41</f>
        <v/>
      </c>
      <c r="YC38" s="89">
        <f>YB41</f>
        <v/>
      </c>
      <c r="YD38" s="89">
        <f>YC41</f>
        <v/>
      </c>
      <c r="YE38" s="89">
        <f>YD41</f>
        <v/>
      </c>
      <c r="YF38" s="89">
        <f>YE41+9942</f>
        <v/>
      </c>
      <c r="YG38" s="89">
        <f>YF41</f>
        <v/>
      </c>
      <c r="YH38" s="89">
        <f>YG41</f>
        <v/>
      </c>
      <c r="YI38" s="89">
        <f>YH41</f>
        <v/>
      </c>
      <c r="YJ38" s="89">
        <f>YI41</f>
        <v/>
      </c>
      <c r="YK38" s="89">
        <f>YJ41</f>
        <v/>
      </c>
      <c r="YL38" s="127">
        <f>SUM(XH38:YK38)</f>
        <v/>
      </c>
      <c r="YM38" s="89">
        <f>YK41</f>
        <v/>
      </c>
      <c r="YN38" s="89">
        <f>YM41</f>
        <v/>
      </c>
      <c r="YO38" s="89">
        <f>YN41</f>
        <v/>
      </c>
      <c r="YP38" s="89">
        <f>YO41</f>
        <v/>
      </c>
      <c r="YQ38" s="89">
        <f>YP41</f>
        <v/>
      </c>
      <c r="YR38" s="89">
        <f>YQ41</f>
        <v/>
      </c>
      <c r="YS38" s="89">
        <f>YR41</f>
        <v/>
      </c>
      <c r="YT38" s="89">
        <f>YS41</f>
        <v/>
      </c>
      <c r="YU38" s="89">
        <f>YT41+7000</f>
        <v/>
      </c>
      <c r="YV38" s="89">
        <f>YU41</f>
        <v/>
      </c>
      <c r="YW38" s="89">
        <f>YV41</f>
        <v/>
      </c>
      <c r="YX38" s="89">
        <f>YW41+9914</f>
        <v/>
      </c>
      <c r="YY38" s="89">
        <f>YX41</f>
        <v/>
      </c>
      <c r="YZ38" s="89">
        <f>YY41</f>
        <v/>
      </c>
      <c r="ZA38" s="89">
        <f>YZ41</f>
        <v/>
      </c>
      <c r="ZB38" s="89">
        <f>ZA41</f>
        <v/>
      </c>
      <c r="ZC38" s="89">
        <f>ZB41</f>
        <v/>
      </c>
      <c r="ZD38" s="89">
        <f>ZC41</f>
        <v/>
      </c>
      <c r="ZE38" s="89">
        <f>ZD41</f>
        <v/>
      </c>
      <c r="ZF38" s="89">
        <f>ZE41</f>
        <v/>
      </c>
      <c r="ZG38" s="89">
        <f>ZF41</f>
        <v/>
      </c>
      <c r="ZH38" s="89">
        <f>ZG41</f>
        <v/>
      </c>
      <c r="ZI38" s="89">
        <f>ZH41+6000</f>
        <v/>
      </c>
      <c r="ZJ38" s="89">
        <f>ZI41</f>
        <v/>
      </c>
      <c r="ZK38" s="89">
        <f>ZJ41</f>
        <v/>
      </c>
      <c r="ZL38" s="89">
        <f>ZK41</f>
        <v/>
      </c>
      <c r="ZM38" s="89">
        <f>ZL41</f>
        <v/>
      </c>
      <c r="ZN38" s="89">
        <f>ZM41+9500</f>
        <v/>
      </c>
      <c r="ZO38" s="89">
        <f>ZN41</f>
        <v/>
      </c>
      <c r="ZP38" s="89">
        <f>ZO41</f>
        <v/>
      </c>
      <c r="ZQ38" s="89">
        <f>ZP41</f>
        <v/>
      </c>
      <c r="ZR38" s="127">
        <f>SUM(YM38:ZQ38)</f>
        <v/>
      </c>
      <c r="ZS38" s="89">
        <f>ZQ41</f>
        <v/>
      </c>
      <c r="ZT38" s="89">
        <f>ZS41</f>
        <v/>
      </c>
      <c r="ZU38" s="89">
        <f>ZT41</f>
        <v/>
      </c>
      <c r="ZV38" s="89">
        <f>ZU41</f>
        <v/>
      </c>
      <c r="ZW38" s="89">
        <f>ZV41+10000</f>
        <v/>
      </c>
      <c r="ZX38" s="89">
        <f>ZW41</f>
        <v/>
      </c>
      <c r="ZY38" s="89">
        <f>ZX41</f>
        <v/>
      </c>
      <c r="ZZ38" s="89">
        <f>ZY41</f>
        <v/>
      </c>
      <c r="AAA38" s="89">
        <f>ZZ41</f>
        <v/>
      </c>
      <c r="AAB38" s="89">
        <f>AAA41</f>
        <v/>
      </c>
      <c r="AAC38" s="89">
        <f>AAB41</f>
        <v/>
      </c>
      <c r="AAD38" s="89">
        <f>AAC41</f>
        <v/>
      </c>
      <c r="AAE38" s="89">
        <f>AAD41</f>
        <v/>
      </c>
      <c r="AAF38" s="89">
        <f>AAE41</f>
        <v/>
      </c>
      <c r="AAG38" s="89">
        <f>AAF41</f>
        <v/>
      </c>
      <c r="AAH38" s="89">
        <f>AAG41</f>
        <v/>
      </c>
      <c r="AAI38" s="89">
        <f>AAH41+9941</f>
        <v/>
      </c>
      <c r="AAJ38" s="89">
        <f>AAI41</f>
        <v/>
      </c>
      <c r="AAK38" s="89">
        <f>AAJ41</f>
        <v/>
      </c>
      <c r="AAL38" s="89">
        <f>AAK41</f>
        <v/>
      </c>
      <c r="AAM38" s="89">
        <f>AAL41</f>
        <v/>
      </c>
      <c r="AAN38" s="89">
        <f>AAM41</f>
        <v/>
      </c>
      <c r="AAO38" s="89">
        <f>AAN41</f>
        <v/>
      </c>
      <c r="AAP38" s="89">
        <f>AAO41</f>
        <v/>
      </c>
      <c r="AAQ38" s="89">
        <f>AAP41</f>
        <v/>
      </c>
      <c r="AAR38" s="89">
        <f>AAQ41+9932</f>
        <v/>
      </c>
      <c r="AAS38" s="89">
        <f>AAR41</f>
        <v/>
      </c>
      <c r="AAT38" s="89">
        <f>AAS41</f>
        <v/>
      </c>
      <c r="AAU38" s="89">
        <f>AAT41</f>
        <v/>
      </c>
      <c r="AAV38" s="89">
        <f>AAU41</f>
        <v/>
      </c>
      <c r="AAW38" s="127">
        <f>SUM(ZS38:AAV38)</f>
        <v/>
      </c>
      <c r="AAX38" s="89">
        <f>AAV41</f>
        <v/>
      </c>
      <c r="AAY38" s="89">
        <f>AAX41</f>
        <v/>
      </c>
      <c r="AAZ38" s="89">
        <f>AAY41</f>
        <v/>
      </c>
      <c r="ABA38" s="89">
        <f>AAZ41</f>
        <v/>
      </c>
      <c r="ABB38" s="89">
        <f>ABA41+8000</f>
        <v/>
      </c>
      <c r="ABC38" s="89">
        <f>ABB41</f>
        <v/>
      </c>
      <c r="ABD38" s="89">
        <f>ABC41</f>
        <v/>
      </c>
      <c r="ABE38" s="89">
        <f>ABD41</f>
        <v/>
      </c>
      <c r="ABF38" s="89">
        <f>ABE41</f>
        <v/>
      </c>
      <c r="ABG38" s="89">
        <f>ABF41+6000</f>
        <v/>
      </c>
      <c r="ABH38" s="89">
        <f>ABG41</f>
        <v/>
      </c>
      <c r="ABI38" s="89">
        <f>ABH41</f>
        <v/>
      </c>
      <c r="ABJ38" s="89">
        <f>ABI41</f>
        <v/>
      </c>
      <c r="ABK38" s="89">
        <f>ABJ41</f>
        <v/>
      </c>
      <c r="ABL38" s="89">
        <f>ABK41</f>
        <v/>
      </c>
      <c r="ABM38" s="89">
        <f>ABL41</f>
        <v/>
      </c>
      <c r="ABN38" s="89">
        <f>ABM41</f>
        <v/>
      </c>
      <c r="ABO38" s="89">
        <f>ABN41</f>
        <v/>
      </c>
      <c r="ABP38" s="89">
        <f>ABO41</f>
        <v/>
      </c>
      <c r="ABQ38" s="89">
        <f>ABP41+8000+1963</f>
        <v/>
      </c>
      <c r="ABR38" s="89">
        <f>ABQ41</f>
        <v/>
      </c>
      <c r="ABS38" s="89">
        <f>ABR41</f>
        <v/>
      </c>
      <c r="ABT38" s="89">
        <f>ABS41</f>
        <v/>
      </c>
      <c r="ABU38" s="89">
        <f>ABT41</f>
        <v/>
      </c>
      <c r="ABV38" s="89">
        <f>ABU41</f>
        <v/>
      </c>
      <c r="ABW38" s="89">
        <f>ABV41</f>
        <v/>
      </c>
      <c r="ABX38" s="89">
        <f>ABW41</f>
        <v/>
      </c>
      <c r="ABY38" s="89">
        <f>ABX41</f>
        <v/>
      </c>
      <c r="ABZ38" s="89">
        <f>ABY41</f>
        <v/>
      </c>
      <c r="ACA38" s="89">
        <f>ABZ41+11904</f>
        <v/>
      </c>
      <c r="ACB38" s="89">
        <f>ACA41</f>
        <v/>
      </c>
      <c r="ACC38" s="127">
        <f>SUM(AAX38:ACB38)</f>
        <v/>
      </c>
      <c r="ACD38" s="89">
        <f>ACB41</f>
        <v/>
      </c>
      <c r="ACE38" s="89">
        <f>ACD41</f>
        <v/>
      </c>
      <c r="ACF38" s="89">
        <f>ACE41</f>
        <v/>
      </c>
      <c r="ACG38" s="89">
        <f>ACF41</f>
        <v/>
      </c>
      <c r="ACH38" s="89">
        <f>ACG41</f>
        <v/>
      </c>
      <c r="ACI38" s="89">
        <f>ACH41</f>
        <v/>
      </c>
      <c r="ACJ38" s="89">
        <f>ACI41</f>
        <v/>
      </c>
      <c r="ACK38" s="89">
        <f>ACJ41</f>
        <v/>
      </c>
      <c r="ACL38" s="89">
        <f>ACK41+7943</f>
        <v/>
      </c>
      <c r="ACM38" s="89">
        <f>ACL41</f>
        <v/>
      </c>
      <c r="ACN38" s="89">
        <f>ACM41</f>
        <v/>
      </c>
      <c r="ACO38" s="89">
        <f>ACN41</f>
        <v/>
      </c>
      <c r="ACP38" s="89">
        <f>ACO41</f>
        <v/>
      </c>
      <c r="ACQ38" s="89">
        <f>ACP41</f>
        <v/>
      </c>
      <c r="ACR38" s="89">
        <f>ACQ41</f>
        <v/>
      </c>
      <c r="ACS38" s="89">
        <f>ACR41</f>
        <v/>
      </c>
      <c r="ACT38" s="89">
        <f>ACS41</f>
        <v/>
      </c>
      <c r="ACU38" s="89">
        <f>ACT41</f>
        <v/>
      </c>
      <c r="ACV38" s="89">
        <f>ACU41</f>
        <v/>
      </c>
      <c r="ACW38" s="89">
        <f>ACV41</f>
        <v/>
      </c>
      <c r="ACX38" s="89">
        <f>ACW41</f>
        <v/>
      </c>
      <c r="ACY38" s="89">
        <f>ACX41+9927</f>
        <v/>
      </c>
      <c r="ACZ38" s="89">
        <f>ACY41</f>
        <v/>
      </c>
      <c r="ADA38" s="89">
        <f>ACZ41</f>
        <v/>
      </c>
      <c r="ADB38" s="89">
        <f>ADA41</f>
        <v/>
      </c>
      <c r="ADC38" s="89">
        <f>ADB41+9931</f>
        <v/>
      </c>
      <c r="ADD38" s="89">
        <f>ADC41</f>
        <v/>
      </c>
      <c r="ADE38" s="89">
        <f>ADD41</f>
        <v/>
      </c>
      <c r="ADF38" s="89">
        <f>ADE41</f>
        <v/>
      </c>
      <c r="ADG38" s="89">
        <f>ADF41</f>
        <v/>
      </c>
      <c r="ADH38" s="89">
        <f>ADG41</f>
        <v/>
      </c>
      <c r="ADI38" s="127">
        <f>SUM(ACD38:ADH38)</f>
        <v/>
      </c>
      <c r="ADJ38" s="89">
        <f>ADH41</f>
        <v/>
      </c>
      <c r="ADK38" s="89">
        <f>ADJ41</f>
        <v/>
      </c>
      <c r="ADL38" s="89">
        <f>ADK41</f>
        <v/>
      </c>
      <c r="ADM38" s="89">
        <f>ADL41</f>
        <v/>
      </c>
      <c r="ADN38" s="89">
        <f>ADM41</f>
        <v/>
      </c>
      <c r="ADO38" s="89">
        <f>ADN41+8000</f>
        <v/>
      </c>
      <c r="ADP38" s="89">
        <f>ADO41</f>
        <v/>
      </c>
      <c r="ADQ38" s="89">
        <f>ADP41</f>
        <v/>
      </c>
      <c r="ADR38" s="89">
        <f>ADQ41</f>
        <v/>
      </c>
      <c r="ADS38" s="89">
        <f>ADR41</f>
        <v/>
      </c>
      <c r="ADT38" s="89">
        <f>ADS41</f>
        <v/>
      </c>
      <c r="ADU38" s="89">
        <f>ADT41</f>
        <v/>
      </c>
      <c r="ADV38" s="89">
        <f>ADU41</f>
        <v/>
      </c>
      <c r="ADW38" s="89">
        <f>ADV41</f>
        <v/>
      </c>
      <c r="ADX38" s="89">
        <f>ADW41</f>
        <v/>
      </c>
      <c r="ADY38" s="89">
        <f>ADX41+7968</f>
        <v/>
      </c>
      <c r="ADZ38" s="89">
        <f>ADY41</f>
        <v/>
      </c>
      <c r="AEA38" s="89">
        <f>ADZ41</f>
        <v/>
      </c>
      <c r="AEB38" s="89">
        <f>AEA41</f>
        <v/>
      </c>
      <c r="AEC38" s="89">
        <f>AEB41</f>
        <v/>
      </c>
      <c r="AED38" s="89">
        <f>AEC41</f>
        <v/>
      </c>
      <c r="AEE38" s="89">
        <f>AED41</f>
        <v/>
      </c>
      <c r="AEF38" s="89">
        <f>AEE41</f>
        <v/>
      </c>
      <c r="AEG38" s="89">
        <f>AEF41</f>
        <v/>
      </c>
      <c r="AEH38" s="89">
        <f>AEG41</f>
        <v/>
      </c>
      <c r="AEI38" s="89">
        <f>AEH41+8000</f>
        <v/>
      </c>
      <c r="AEJ38" s="89">
        <f>AEI41</f>
        <v/>
      </c>
      <c r="AEK38" s="89">
        <f>AEJ41</f>
        <v/>
      </c>
      <c r="AEL38" s="89">
        <f>AEK41</f>
        <v/>
      </c>
      <c r="AEM38" s="89">
        <f>AEL41</f>
        <v/>
      </c>
      <c r="AEN38" s="127">
        <f>SUM(ADJ38:AEM38)</f>
        <v/>
      </c>
      <c r="AEO38" s="89">
        <f>AEM41</f>
        <v/>
      </c>
      <c r="AEP38" s="89">
        <f>AEO41</f>
        <v/>
      </c>
      <c r="AEQ38" s="89">
        <f>AEP41+4973</f>
        <v/>
      </c>
      <c r="AER38" s="89">
        <f>AEQ41</f>
        <v/>
      </c>
      <c r="AES38" s="89">
        <f>AER41</f>
        <v/>
      </c>
      <c r="AET38" s="89">
        <f>AES41</f>
        <v/>
      </c>
      <c r="AEU38" s="89">
        <f>AET41</f>
        <v/>
      </c>
      <c r="AEV38" s="89">
        <f>AEU41</f>
        <v/>
      </c>
      <c r="AEW38" s="89">
        <f>AEV41</f>
        <v/>
      </c>
      <c r="AEX38" s="89">
        <f>AEW41</f>
        <v/>
      </c>
      <c r="AEY38" s="89">
        <f>AEX41+7950</f>
        <v/>
      </c>
      <c r="AEZ38" s="89">
        <f>AEY41</f>
        <v/>
      </c>
      <c r="AFA38" s="89">
        <f>AEZ41</f>
        <v/>
      </c>
      <c r="AFB38" s="89">
        <f>AFA41</f>
        <v/>
      </c>
      <c r="AFC38" s="89">
        <f>AFB41</f>
        <v/>
      </c>
      <c r="AFD38" s="89">
        <f>AFC41</f>
        <v/>
      </c>
      <c r="AFE38" s="89">
        <f>AFD41+7954</f>
        <v/>
      </c>
      <c r="AFF38" s="89">
        <f>AFE41</f>
        <v/>
      </c>
      <c r="AFG38" s="89">
        <f>AFF41</f>
        <v/>
      </c>
      <c r="AFH38" s="89">
        <f>AFG41</f>
        <v/>
      </c>
      <c r="AFI38" s="89">
        <f>AFH41</f>
        <v/>
      </c>
      <c r="AFJ38" s="89">
        <f>AFI41</f>
        <v/>
      </c>
      <c r="AFK38" s="89">
        <f>AFJ41</f>
        <v/>
      </c>
      <c r="AFL38" s="89">
        <f>AFK41</f>
        <v/>
      </c>
      <c r="AFM38" s="89">
        <f>AFL41</f>
        <v/>
      </c>
      <c r="AFN38" s="89">
        <f>AFM41</f>
        <v/>
      </c>
      <c r="AFO38" s="89">
        <f>AFN41</f>
        <v/>
      </c>
      <c r="AFP38" s="89">
        <f>AFO41</f>
        <v/>
      </c>
      <c r="AFQ38" s="89">
        <f>AFP41</f>
        <v/>
      </c>
      <c r="AFR38" s="89">
        <f>AFQ41</f>
        <v/>
      </c>
      <c r="AFS38" s="89">
        <f>AFR41</f>
        <v/>
      </c>
      <c r="AFT38" s="127">
        <f>SUM(AEO38:AFS38)</f>
        <v/>
      </c>
      <c r="AFU38" s="89">
        <f>AFS41+12932</f>
        <v/>
      </c>
      <c r="AFV38" s="89">
        <f>AFU41</f>
        <v/>
      </c>
      <c r="AFW38" s="89">
        <f>AFV41</f>
        <v/>
      </c>
      <c r="AFX38" s="89">
        <f>AFW41</f>
        <v/>
      </c>
      <c r="AFY38" s="89">
        <f>AFX41</f>
        <v/>
      </c>
      <c r="AFZ38" s="89">
        <f>AFY41</f>
        <v/>
      </c>
      <c r="AGA38" s="89">
        <f>AFZ41</f>
        <v/>
      </c>
      <c r="AGB38" s="89">
        <f>AGA41</f>
        <v/>
      </c>
      <c r="AGC38" s="89">
        <f>AGB41</f>
        <v/>
      </c>
      <c r="AGD38" s="89">
        <f>AGC41</f>
        <v/>
      </c>
      <c r="AGE38" s="89">
        <f>AGD41</f>
        <v/>
      </c>
      <c r="AGF38" s="89">
        <f>AGE41</f>
        <v/>
      </c>
      <c r="AGG38" s="89">
        <f>AGF41</f>
        <v/>
      </c>
      <c r="AGH38" s="89">
        <f>AGG41+7943</f>
        <v/>
      </c>
      <c r="AGI38" s="89">
        <f>AGH41</f>
        <v/>
      </c>
      <c r="AGJ38" s="89">
        <f>AGI41</f>
        <v/>
      </c>
      <c r="AGK38" s="89">
        <f>AGJ41</f>
        <v/>
      </c>
      <c r="AGL38" s="89">
        <f>AGK41</f>
        <v/>
      </c>
      <c r="AGM38" s="89">
        <f>AGL41</f>
        <v/>
      </c>
      <c r="AGN38" s="89">
        <f>AGM41</f>
        <v/>
      </c>
      <c r="AGO38" s="89">
        <f>AGN41</f>
        <v/>
      </c>
      <c r="AGP38" s="89">
        <f>AGO41</f>
        <v/>
      </c>
      <c r="AGQ38" s="89">
        <f>AGP41+4966</f>
        <v/>
      </c>
      <c r="AGR38" s="89">
        <f>AGQ41</f>
        <v/>
      </c>
      <c r="AGS38" s="89">
        <f>AGR41</f>
        <v/>
      </c>
      <c r="AGT38" s="89">
        <f>AGS41</f>
        <v/>
      </c>
      <c r="AGU38" s="89">
        <f>AGT41</f>
        <v/>
      </c>
      <c r="AGV38" s="89">
        <f>AGU41</f>
        <v/>
      </c>
      <c r="AGW38" s="89">
        <f>AGV41+6952</f>
        <v/>
      </c>
      <c r="AGX38" s="89">
        <f>AGW41</f>
        <v/>
      </c>
      <c r="AGY38" s="127">
        <f>SUM(AFU38:AGX38)</f>
        <v/>
      </c>
      <c r="AGZ38" s="89">
        <f>AGX41</f>
        <v/>
      </c>
      <c r="AHA38" s="89">
        <f>AGZ41</f>
        <v/>
      </c>
      <c r="AHB38" s="89">
        <f>AHA41</f>
        <v/>
      </c>
      <c r="AHC38" s="89">
        <f>AHB41</f>
        <v/>
      </c>
      <c r="AHD38" s="89">
        <f>AHC41</f>
        <v/>
      </c>
      <c r="AHE38" s="89">
        <f>AHD41+7941</f>
        <v/>
      </c>
      <c r="AHF38" s="89">
        <f>AHE41</f>
        <v/>
      </c>
      <c r="AHG38" s="89">
        <f>AHF41</f>
        <v/>
      </c>
      <c r="AHH38" s="89">
        <f>AHG41</f>
        <v/>
      </c>
      <c r="AHI38" s="89">
        <f>AHH41</f>
        <v/>
      </c>
      <c r="AHJ38" s="89">
        <f>AHI41+8000</f>
        <v/>
      </c>
      <c r="AHK38" s="89">
        <f>AHJ41</f>
        <v/>
      </c>
      <c r="AHL38" s="89">
        <f>AHK41</f>
        <v/>
      </c>
      <c r="AHM38" s="89">
        <f>AHL41</f>
        <v/>
      </c>
      <c r="AHN38" s="89">
        <f>AHM41</f>
        <v/>
      </c>
      <c r="AHO38" s="89">
        <f>AHN41</f>
        <v/>
      </c>
      <c r="AHP38" s="89">
        <f>AHO41</f>
        <v/>
      </c>
      <c r="AHQ38" s="89">
        <f>AHP41</f>
        <v/>
      </c>
      <c r="AHR38" s="89">
        <f>AHQ41</f>
        <v/>
      </c>
      <c r="AHS38" s="89">
        <f>AHR41</f>
        <v/>
      </c>
      <c r="AHT38" s="89">
        <f>AHS41</f>
        <v/>
      </c>
      <c r="AHU38" s="89">
        <f>AHT41</f>
        <v/>
      </c>
      <c r="AHV38" s="89">
        <f>AHU41</f>
        <v/>
      </c>
      <c r="AHW38" s="89">
        <f>AHV41+7951</f>
        <v/>
      </c>
      <c r="AHX38" s="89">
        <f>AHW41</f>
        <v/>
      </c>
      <c r="AHY38" s="89">
        <f>AHX41</f>
        <v/>
      </c>
      <c r="AHZ38" s="89">
        <f>AHY41</f>
        <v/>
      </c>
      <c r="AIA38" s="89">
        <f>AHZ41</f>
        <v/>
      </c>
      <c r="AIB38" s="89">
        <f>AIA41</f>
        <v/>
      </c>
      <c r="AIC38" s="89">
        <f>AIB41</f>
        <v/>
      </c>
      <c r="AID38" s="89">
        <f>AIC41+2988</f>
        <v/>
      </c>
      <c r="AIE38" s="127">
        <f>SUM(AGZ38:AID38)</f>
        <v/>
      </c>
      <c r="AIF38" s="89">
        <f>AID41</f>
        <v/>
      </c>
      <c r="AIG38" s="89">
        <f>AIF41</f>
        <v/>
      </c>
      <c r="AIH38" s="89">
        <f>AIG41</f>
        <v/>
      </c>
      <c r="AII38" s="89">
        <f>AIH41+2982</f>
        <v/>
      </c>
      <c r="AIJ38" s="89">
        <f>AII41</f>
        <v/>
      </c>
      <c r="AIK38" s="89">
        <f>AIJ41</f>
        <v/>
      </c>
      <c r="AIL38" s="89">
        <f>AIK41</f>
        <v/>
      </c>
      <c r="AIM38" s="89">
        <f>AIL41</f>
        <v/>
      </c>
      <c r="AIN38" s="89">
        <f>AIM41</f>
        <v/>
      </c>
      <c r="AIO38" s="89">
        <f>AIN41</f>
        <v/>
      </c>
      <c r="AIP38" s="89">
        <f>AIO41</f>
        <v/>
      </c>
      <c r="AIQ38" s="89">
        <f>AIP41</f>
        <v/>
      </c>
      <c r="AIR38" s="89">
        <f>AIQ41+4969</f>
        <v/>
      </c>
      <c r="AIS38" s="89">
        <f>AIR41</f>
        <v/>
      </c>
      <c r="AIT38" s="89">
        <f>AIS41</f>
        <v/>
      </c>
      <c r="AIU38" s="89">
        <f>AIT41</f>
        <v/>
      </c>
      <c r="AIV38" s="89">
        <f>AIU41</f>
        <v/>
      </c>
      <c r="AIW38" s="89">
        <f>AIV41</f>
        <v/>
      </c>
      <c r="AIX38" s="89">
        <f>AIW41</f>
        <v/>
      </c>
      <c r="AIY38" s="89">
        <f>AIX41</f>
        <v/>
      </c>
      <c r="AIZ38" s="89">
        <f>AIY41</f>
        <v/>
      </c>
      <c r="AJA38" s="89">
        <f>AIZ41</f>
        <v/>
      </c>
      <c r="AJB38" s="89">
        <f>AJA41+9927</f>
        <v/>
      </c>
      <c r="AJC38" s="89">
        <f>AJB41</f>
        <v/>
      </c>
      <c r="AJD38" s="89">
        <f>AJC41</f>
        <v/>
      </c>
      <c r="AJE38" s="89">
        <f>AJD41</f>
        <v/>
      </c>
      <c r="AJF38" s="89">
        <f>AJE41</f>
        <v/>
      </c>
      <c r="AJG38" s="89">
        <f>AJF41</f>
        <v/>
      </c>
      <c r="AJH38" s="89">
        <f>AJG41</f>
        <v/>
      </c>
      <c r="AJI38" s="89">
        <f>AJH41+6933</f>
        <v/>
      </c>
      <c r="AJJ38" s="89">
        <f>AJI41</f>
        <v/>
      </c>
      <c r="AJK38" s="127">
        <f>SUM(AIF38:AJJ38)</f>
        <v/>
      </c>
      <c r="AJL38" s="89">
        <f>AJJ41</f>
        <v/>
      </c>
      <c r="AJM38" s="89">
        <f>AJL41</f>
        <v/>
      </c>
      <c r="AJN38" s="89">
        <f>AJM41</f>
        <v/>
      </c>
      <c r="AJO38" s="89">
        <f>AJN41</f>
        <v/>
      </c>
      <c r="AJP38" s="89">
        <f>AJO41</f>
        <v/>
      </c>
      <c r="AJQ38" s="89">
        <f>AJP41</f>
        <v/>
      </c>
      <c r="AJR38" s="89">
        <f>AJQ41</f>
        <v/>
      </c>
      <c r="AJS38" s="89">
        <f>AJR41</f>
        <v/>
      </c>
      <c r="AJT38" s="89">
        <f>AJS41</f>
        <v/>
      </c>
      <c r="AJU38" s="89">
        <f>AJT41</f>
        <v/>
      </c>
      <c r="AJV38" s="89">
        <f>AJU41</f>
        <v/>
      </c>
      <c r="AJW38" s="89">
        <f>AJV41+4974</f>
        <v/>
      </c>
      <c r="AJX38" s="89">
        <f>AJW41</f>
        <v/>
      </c>
      <c r="AJY38" s="89">
        <f>AJX41</f>
        <v/>
      </c>
      <c r="AJZ38" s="89">
        <f>AJY41</f>
        <v/>
      </c>
      <c r="AKA38" s="89">
        <f>AJZ41</f>
        <v/>
      </c>
      <c r="AKB38" s="89">
        <f>AKA41</f>
        <v/>
      </c>
      <c r="AKC38" s="89">
        <f>AKB41</f>
        <v/>
      </c>
      <c r="AKD38" s="89">
        <f>AKC41+7459</f>
        <v/>
      </c>
      <c r="AKE38" s="89">
        <f>AKD41</f>
        <v/>
      </c>
      <c r="AKF38" s="89">
        <f>AKE41</f>
        <v/>
      </c>
      <c r="AKG38" s="89">
        <f>AKF41</f>
        <v/>
      </c>
      <c r="AKH38" s="89">
        <f>AKG41</f>
        <v/>
      </c>
      <c r="AKI38" s="89">
        <f>AKH41</f>
        <v/>
      </c>
      <c r="AKJ38" s="89">
        <f>AKI41</f>
        <v/>
      </c>
      <c r="AKK38" s="89">
        <f>AKJ41+4977</f>
        <v/>
      </c>
      <c r="AKL38" s="89">
        <f>AKK41</f>
        <v/>
      </c>
      <c r="AKM38" s="89">
        <f>AKL41</f>
        <v/>
      </c>
      <c r="AKN38" s="127">
        <f>SUM(AJL38:AKM38)</f>
        <v/>
      </c>
      <c r="AKO38" s="89">
        <f>AKM41</f>
        <v/>
      </c>
      <c r="AKP38" s="89">
        <f>AKO41</f>
        <v/>
      </c>
      <c r="AKQ38" s="89">
        <f>AKP41</f>
        <v/>
      </c>
      <c r="AKR38" s="89">
        <f>AKQ41</f>
        <v/>
      </c>
      <c r="AKS38" s="89">
        <f>AKR41</f>
        <v/>
      </c>
      <c r="AKT38" s="89">
        <f>AKS41</f>
        <v/>
      </c>
      <c r="AKU38" s="89">
        <f>AKT41+5980</f>
        <v/>
      </c>
      <c r="AKV38" s="89">
        <f>AKU41</f>
        <v/>
      </c>
      <c r="AKW38" s="89">
        <f>AKV41</f>
        <v/>
      </c>
      <c r="AKX38" s="89">
        <f>AKW41+9958</f>
        <v/>
      </c>
      <c r="AKY38" s="89">
        <f>AKX41</f>
        <v/>
      </c>
      <c r="AKZ38" s="89">
        <f>AKY41</f>
        <v/>
      </c>
      <c r="ALA38" s="89">
        <f>AKZ41</f>
        <v/>
      </c>
      <c r="ALB38" s="89">
        <f>ALA41</f>
        <v/>
      </c>
      <c r="ALC38" s="89">
        <f>ALB41</f>
        <v/>
      </c>
      <c r="ALD38" s="89">
        <f>ALC41</f>
        <v/>
      </c>
      <c r="ALE38" s="89">
        <f>ALD41</f>
        <v/>
      </c>
      <c r="ALF38" s="89">
        <f>ALE41</f>
        <v/>
      </c>
      <c r="ALG38" s="89">
        <f>ALF41+4970</f>
        <v/>
      </c>
      <c r="ALH38" s="89">
        <f>ALG41</f>
        <v/>
      </c>
      <c r="ALI38" s="89">
        <f>ALH41</f>
        <v/>
      </c>
      <c r="ALJ38" s="89">
        <f>ALI41</f>
        <v/>
      </c>
      <c r="ALK38" s="89">
        <f>ALJ41</f>
        <v/>
      </c>
      <c r="ALL38" s="89">
        <f>ALK41</f>
        <v/>
      </c>
      <c r="ALM38" s="89">
        <f>ALL41</f>
        <v/>
      </c>
      <c r="ALN38" s="89">
        <f>ALM41+11945</f>
        <v/>
      </c>
      <c r="ALO38" s="89">
        <f>ALN41</f>
        <v/>
      </c>
      <c r="ALP38" s="89">
        <f>ALO41</f>
        <v/>
      </c>
      <c r="ALQ38" s="89">
        <f>ALP41</f>
        <v/>
      </c>
      <c r="ALR38" s="89">
        <f>ALQ41</f>
        <v/>
      </c>
      <c r="ALS38" s="89">
        <f>ALR41</f>
        <v/>
      </c>
      <c r="ALT38" s="127">
        <f>SUM(AKO38:ALS38)</f>
        <v/>
      </c>
      <c r="ALU38" s="89">
        <f>ALS41</f>
        <v/>
      </c>
      <c r="ALV38" s="89">
        <f>ALU41+7457</f>
        <v/>
      </c>
      <c r="ALW38" s="89">
        <f>ALV41</f>
        <v/>
      </c>
      <c r="ALX38" s="89">
        <f>ALW41</f>
        <v/>
      </c>
      <c r="ALY38" s="89">
        <f>ALX41</f>
        <v/>
      </c>
      <c r="ALZ38" s="89">
        <f>ALY41</f>
        <v/>
      </c>
      <c r="AMA38" s="89">
        <f>ALZ41</f>
        <v/>
      </c>
      <c r="AMB38" s="89">
        <f>AMA41</f>
        <v/>
      </c>
      <c r="AMC38" s="89">
        <f>AMB41</f>
        <v/>
      </c>
      <c r="AMD38" s="89">
        <f>AMC41+4971</f>
        <v/>
      </c>
      <c r="AME38" s="89">
        <f>AMD41</f>
        <v/>
      </c>
      <c r="AMF38" s="89">
        <f>AME41</f>
        <v/>
      </c>
      <c r="AMG38" s="89">
        <f>AMF41</f>
        <v/>
      </c>
      <c r="AMH38" s="89">
        <f>AMG41</f>
        <v/>
      </c>
      <c r="AMI38" s="89">
        <f>AMH41</f>
        <v/>
      </c>
      <c r="AMJ38" s="89">
        <f>AMI41</f>
        <v/>
      </c>
      <c r="AMK38" s="89">
        <f>AMJ41</f>
        <v/>
      </c>
      <c r="AML38" s="89">
        <f>AMK41</f>
        <v/>
      </c>
      <c r="AMM38" s="89">
        <f>AML41</f>
        <v/>
      </c>
      <c r="AMN38" s="89">
        <f>AMM41</f>
        <v/>
      </c>
      <c r="AMO38" s="89">
        <f>AMN41+7961</f>
        <v/>
      </c>
      <c r="AMP38" s="89">
        <f>AMO41</f>
        <v/>
      </c>
      <c r="AMQ38" s="89">
        <f>AMP41</f>
        <v/>
      </c>
      <c r="AMR38" s="89">
        <f>AMQ41</f>
        <v/>
      </c>
      <c r="AMS38" s="89">
        <f>AMR41+7964</f>
        <v/>
      </c>
      <c r="AMT38" s="89">
        <f>AMS41</f>
        <v/>
      </c>
      <c r="AMU38" s="89">
        <f>AMT41</f>
        <v/>
      </c>
      <c r="AMV38" s="89">
        <f>AMU41</f>
        <v/>
      </c>
      <c r="AMW38" s="89">
        <f>AMV41</f>
        <v/>
      </c>
      <c r="AMX38" s="89">
        <f>AMW41</f>
        <v/>
      </c>
      <c r="AMY38" s="127">
        <f>SUM(ALU38:AMX38)</f>
        <v/>
      </c>
      <c r="AMZ38" s="89">
        <f>AMX41</f>
        <v/>
      </c>
      <c r="ANA38" s="89">
        <f>AMZ41</f>
        <v/>
      </c>
      <c r="ANB38" s="89">
        <f>ANA41</f>
        <v/>
      </c>
      <c r="ANC38" s="89">
        <f>ANB41</f>
        <v/>
      </c>
      <c r="AND38" s="89">
        <f>ANC41</f>
        <v/>
      </c>
      <c r="ANE38" s="89">
        <f>AND41+5000</f>
        <v/>
      </c>
      <c r="ANF38" s="89">
        <f>ANE41</f>
        <v/>
      </c>
      <c r="ANG38" s="89">
        <f>ANF41</f>
        <v/>
      </c>
      <c r="ANH38" s="89">
        <f>ANG41</f>
        <v/>
      </c>
      <c r="ANI38" s="89">
        <f>ANH41</f>
        <v/>
      </c>
      <c r="ANJ38" s="89">
        <f>ANI41</f>
        <v/>
      </c>
      <c r="ANK38" s="89">
        <f>ANJ41</f>
        <v/>
      </c>
      <c r="ANL38" s="89">
        <f>ANK41</f>
        <v/>
      </c>
      <c r="ANM38" s="89">
        <f>ANL41+4966</f>
        <v/>
      </c>
      <c r="ANN38" s="89">
        <f>ANM41</f>
        <v/>
      </c>
      <c r="ANO38" s="89">
        <f>ANN41</f>
        <v/>
      </c>
      <c r="ANP38" s="89">
        <f>ANO41</f>
        <v/>
      </c>
      <c r="ANQ38" s="89">
        <f>ANP41</f>
        <v/>
      </c>
      <c r="ANR38" s="89">
        <f>ANQ41</f>
        <v/>
      </c>
      <c r="ANS38" s="89">
        <f>ANR41</f>
        <v/>
      </c>
      <c r="ANT38" s="89">
        <f>ANS41</f>
        <v/>
      </c>
      <c r="ANU38" s="89">
        <f>ANT41+4974</f>
        <v/>
      </c>
      <c r="ANV38" s="89">
        <f>ANU41</f>
        <v/>
      </c>
      <c r="ANW38" s="89">
        <f>ANV41</f>
        <v/>
      </c>
      <c r="ANX38" s="89">
        <f>ANW41</f>
        <v/>
      </c>
      <c r="ANY38" s="89">
        <f>ANX41</f>
        <v/>
      </c>
      <c r="ANZ38" s="89">
        <f>ANY41</f>
        <v/>
      </c>
      <c r="AOA38" s="89">
        <f>ANZ41</f>
        <v/>
      </c>
      <c r="AOB38" s="89">
        <f>AOA41</f>
        <v/>
      </c>
      <c r="AOC38" s="89">
        <f>AOB41+7961</f>
        <v/>
      </c>
    </row>
    <row r="39">
      <c r="B39" s="5" t="inlineStr">
        <is>
          <t xml:space="preserve">SALES </t>
        </is>
      </c>
      <c r="C39" s="20" t="n">
        <v>1224.248</v>
      </c>
      <c r="D39" s="20" t="n">
        <v>1003.6</v>
      </c>
      <c r="E39" s="20" t="n">
        <v>696.245</v>
      </c>
      <c r="F39" s="20" t="n">
        <v>1041.627</v>
      </c>
      <c r="G39" s="20">
        <f>G7</f>
        <v/>
      </c>
      <c r="H39" s="20">
        <f>H7</f>
        <v/>
      </c>
      <c r="I39" s="20">
        <f>I7</f>
        <v/>
      </c>
      <c r="J39" s="20">
        <f>J7</f>
        <v/>
      </c>
      <c r="K39" s="20">
        <f>K7</f>
        <v/>
      </c>
      <c r="L39" s="20">
        <f>L7</f>
        <v/>
      </c>
      <c r="M39" s="20">
        <f>M7</f>
        <v/>
      </c>
      <c r="N39" s="20">
        <f>N7</f>
        <v/>
      </c>
      <c r="O39" s="20">
        <f>O7</f>
        <v/>
      </c>
      <c r="P39" s="20">
        <f>P7</f>
        <v/>
      </c>
      <c r="Q39" s="20">
        <f>Q7</f>
        <v/>
      </c>
      <c r="R39" s="20">
        <f>R7</f>
        <v/>
      </c>
      <c r="S39" s="20">
        <f>S7</f>
        <v/>
      </c>
      <c r="T39" s="20">
        <f>T7</f>
        <v/>
      </c>
      <c r="U39" s="20">
        <f>U7</f>
        <v/>
      </c>
      <c r="V39" s="20">
        <f>V7</f>
        <v/>
      </c>
      <c r="W39" s="20">
        <f>W7</f>
        <v/>
      </c>
      <c r="X39" s="20">
        <f>X7</f>
        <v/>
      </c>
      <c r="Y39" s="20">
        <f>Y7</f>
        <v/>
      </c>
      <c r="Z39" s="20">
        <f>Z7</f>
        <v/>
      </c>
      <c r="AA39" s="20">
        <f>AA7</f>
        <v/>
      </c>
      <c r="AB39" s="20">
        <f>AB7</f>
        <v/>
      </c>
      <c r="AC39" s="20">
        <f>AC7</f>
        <v/>
      </c>
      <c r="AD39" s="20">
        <f>AD7</f>
        <v/>
      </c>
      <c r="AE39" s="20">
        <f>AE7</f>
        <v/>
      </c>
      <c r="AF39" s="20">
        <f>AF7</f>
        <v/>
      </c>
      <c r="AG39" s="20">
        <f>AG7</f>
        <v/>
      </c>
      <c r="AH39" s="94">
        <f>SUM(C39:AG39)</f>
        <v/>
      </c>
      <c r="AI39" s="20">
        <f>AI7</f>
        <v/>
      </c>
      <c r="AJ39" s="20">
        <f>AJ7</f>
        <v/>
      </c>
      <c r="AK39" s="20">
        <f>AK7</f>
        <v/>
      </c>
      <c r="AL39" s="20">
        <f>AL7</f>
        <v/>
      </c>
      <c r="AM39" s="20">
        <f>AM7</f>
        <v/>
      </c>
      <c r="AN39" s="20">
        <f>AN7</f>
        <v/>
      </c>
      <c r="AO39" s="20">
        <f>AO7</f>
        <v/>
      </c>
      <c r="AP39" s="20">
        <f>AP7</f>
        <v/>
      </c>
      <c r="AQ39" s="20">
        <f>AQ7</f>
        <v/>
      </c>
      <c r="AR39" s="20">
        <f>AR7</f>
        <v/>
      </c>
      <c r="AS39" s="20">
        <f>AS7</f>
        <v/>
      </c>
      <c r="AT39" s="20">
        <f>AT7</f>
        <v/>
      </c>
      <c r="AU39" s="20">
        <f>AU7</f>
        <v/>
      </c>
      <c r="AV39" s="20">
        <f>AV7</f>
        <v/>
      </c>
      <c r="AW39" s="20">
        <f>AW7</f>
        <v/>
      </c>
      <c r="AX39" s="20">
        <f>AX7</f>
        <v/>
      </c>
      <c r="AY39" s="20">
        <f>AY7</f>
        <v/>
      </c>
      <c r="AZ39" s="20">
        <f>AZ7</f>
        <v/>
      </c>
      <c r="BA39" s="20">
        <f>BA7</f>
        <v/>
      </c>
      <c r="BB39" s="20">
        <f>BB7</f>
        <v/>
      </c>
      <c r="BC39" s="20">
        <f>BC7</f>
        <v/>
      </c>
      <c r="BD39" s="20">
        <f>BD7</f>
        <v/>
      </c>
      <c r="BE39" s="20">
        <f>BE7</f>
        <v/>
      </c>
      <c r="BF39" s="20">
        <f>BF7</f>
        <v/>
      </c>
      <c r="BG39" s="20">
        <f>BG7</f>
        <v/>
      </c>
      <c r="BH39" s="20">
        <f>BH7</f>
        <v/>
      </c>
      <c r="BI39" s="20">
        <f>BI7</f>
        <v/>
      </c>
      <c r="BJ39" s="20">
        <f>BJ7</f>
        <v/>
      </c>
      <c r="BK39" s="20">
        <f>BK7</f>
        <v/>
      </c>
      <c r="BL39" s="20">
        <f>BL7</f>
        <v/>
      </c>
      <c r="BM39" s="97">
        <f>SUM(AI39:BL39)</f>
        <v/>
      </c>
      <c r="BN39" s="20">
        <f>BN7</f>
        <v/>
      </c>
      <c r="BO39" s="20">
        <f>BO7</f>
        <v/>
      </c>
      <c r="BP39" s="20">
        <f>BP7</f>
        <v/>
      </c>
      <c r="BQ39" s="20">
        <f>BQ7</f>
        <v/>
      </c>
      <c r="BR39" s="20">
        <f>BR7</f>
        <v/>
      </c>
      <c r="BS39" s="20">
        <f>BS7</f>
        <v/>
      </c>
      <c r="BT39" s="20">
        <f>BT7</f>
        <v/>
      </c>
      <c r="BU39" s="20">
        <f>BU7</f>
        <v/>
      </c>
      <c r="BV39" s="20">
        <f>BV7</f>
        <v/>
      </c>
      <c r="BW39" s="20">
        <f>BW7</f>
        <v/>
      </c>
      <c r="BX39" s="20">
        <f>BX7</f>
        <v/>
      </c>
      <c r="BY39" s="20">
        <f>BY7</f>
        <v/>
      </c>
      <c r="BZ39" s="20">
        <f>BZ7</f>
        <v/>
      </c>
      <c r="CA39" s="20">
        <f>CA7</f>
        <v/>
      </c>
      <c r="CB39" s="20">
        <f>CB7</f>
        <v/>
      </c>
      <c r="CC39" s="20">
        <f>CC7</f>
        <v/>
      </c>
      <c r="CD39" s="20">
        <f>CD7</f>
        <v/>
      </c>
      <c r="CE39" s="20">
        <f>CE7</f>
        <v/>
      </c>
      <c r="CF39" s="20">
        <f>CF7</f>
        <v/>
      </c>
      <c r="CG39" s="20">
        <f>CG7</f>
        <v/>
      </c>
      <c r="CH39" s="20">
        <f>CH7</f>
        <v/>
      </c>
      <c r="CI39" s="20">
        <f>CI7</f>
        <v/>
      </c>
      <c r="CJ39" s="20">
        <f>CJ7</f>
        <v/>
      </c>
      <c r="CK39" s="20">
        <f>CK7</f>
        <v/>
      </c>
      <c r="CL39" s="20">
        <f>CL7</f>
        <v/>
      </c>
      <c r="CM39" s="20">
        <f>CM7</f>
        <v/>
      </c>
      <c r="CN39" s="20">
        <f>CN7</f>
        <v/>
      </c>
      <c r="CO39" s="20">
        <f>CO7</f>
        <v/>
      </c>
      <c r="CP39" s="20">
        <f>CP7</f>
        <v/>
      </c>
      <c r="CQ39" s="20">
        <f>CQ7</f>
        <v/>
      </c>
      <c r="CR39" s="20">
        <f>CR7</f>
        <v/>
      </c>
      <c r="CS39" s="111">
        <f>SUM(BN39:CR39)</f>
        <v/>
      </c>
      <c r="CT39" s="20">
        <f>CT7</f>
        <v/>
      </c>
      <c r="CU39" s="20">
        <f>CU7</f>
        <v/>
      </c>
      <c r="CV39" s="20">
        <f>CV7</f>
        <v/>
      </c>
      <c r="CW39" s="20">
        <f>CW7</f>
        <v/>
      </c>
      <c r="CX39" s="20">
        <f>CX7</f>
        <v/>
      </c>
      <c r="CY39" s="20">
        <f>CY7</f>
        <v/>
      </c>
      <c r="CZ39" s="20">
        <f>CZ7</f>
        <v/>
      </c>
      <c r="DA39" s="20">
        <f>DA7</f>
        <v/>
      </c>
      <c r="DB39" s="20">
        <f>DB7</f>
        <v/>
      </c>
      <c r="DC39" s="20">
        <f>DC7</f>
        <v/>
      </c>
      <c r="DD39" s="20">
        <f>DD7</f>
        <v/>
      </c>
      <c r="DE39" s="20">
        <f>DE7</f>
        <v/>
      </c>
      <c r="DF39" s="20">
        <f>DF7</f>
        <v/>
      </c>
      <c r="DG39" s="20">
        <f>DG7</f>
        <v/>
      </c>
      <c r="DH39" s="20">
        <f>DH7</f>
        <v/>
      </c>
      <c r="DI39" s="20">
        <f>DI7</f>
        <v/>
      </c>
      <c r="DJ39" s="20">
        <f>DJ7</f>
        <v/>
      </c>
      <c r="DK39" s="20">
        <f>DK7</f>
        <v/>
      </c>
      <c r="DL39" s="20">
        <f>DL7</f>
        <v/>
      </c>
      <c r="DM39" s="20">
        <f>DM7</f>
        <v/>
      </c>
      <c r="DN39" s="20">
        <f>DN7</f>
        <v/>
      </c>
      <c r="DO39" s="20">
        <f>DO7</f>
        <v/>
      </c>
      <c r="DP39" s="20">
        <f>DP7</f>
        <v/>
      </c>
      <c r="DQ39" s="20">
        <f>DQ7</f>
        <v/>
      </c>
      <c r="DR39" s="20">
        <f>DR7</f>
        <v/>
      </c>
      <c r="DS39" s="20">
        <f>DS7</f>
        <v/>
      </c>
      <c r="DT39" s="20">
        <f>DT7</f>
        <v/>
      </c>
      <c r="DU39" s="20">
        <f>DU7</f>
        <v/>
      </c>
      <c r="DV39" s="20">
        <f>DV7</f>
        <v/>
      </c>
      <c r="DW39" s="20">
        <f>DW7</f>
        <v/>
      </c>
      <c r="DX39" s="119" t="n"/>
      <c r="DY39" s="20">
        <f>DY7</f>
        <v/>
      </c>
      <c r="DZ39" s="20">
        <f>DZ7</f>
        <v/>
      </c>
      <c r="EA39" s="20">
        <f>EA7</f>
        <v/>
      </c>
      <c r="EB39" s="20">
        <f>EB7</f>
        <v/>
      </c>
      <c r="EC39" s="20">
        <f>EC7</f>
        <v/>
      </c>
      <c r="ED39" s="20">
        <f>ED7</f>
        <v/>
      </c>
      <c r="EE39" s="20">
        <f>EE7</f>
        <v/>
      </c>
      <c r="EF39" s="20">
        <f>EF7</f>
        <v/>
      </c>
      <c r="EG39" s="20">
        <f>EG7</f>
        <v/>
      </c>
      <c r="EH39" s="20">
        <f>EH7</f>
        <v/>
      </c>
      <c r="EI39" s="20">
        <f>EI7</f>
        <v/>
      </c>
      <c r="EJ39" s="20">
        <f>EJ7</f>
        <v/>
      </c>
      <c r="EK39" s="20">
        <f>EK7</f>
        <v/>
      </c>
      <c r="EL39" s="20">
        <f>EL7</f>
        <v/>
      </c>
      <c r="EM39" s="20">
        <f>EM7</f>
        <v/>
      </c>
      <c r="EN39" s="20">
        <f>EN7</f>
        <v/>
      </c>
      <c r="EO39" s="20">
        <f>EO7</f>
        <v/>
      </c>
      <c r="EP39" s="20">
        <f>EP7</f>
        <v/>
      </c>
      <c r="EQ39" s="20">
        <f>EQ7</f>
        <v/>
      </c>
      <c r="ER39" s="20">
        <f>ER7</f>
        <v/>
      </c>
      <c r="ES39" s="20">
        <f>ES7</f>
        <v/>
      </c>
      <c r="ET39" s="20">
        <f>ET7</f>
        <v/>
      </c>
      <c r="EU39" s="20">
        <f>EU7</f>
        <v/>
      </c>
      <c r="EV39" s="20">
        <f>EV7</f>
        <v/>
      </c>
      <c r="EW39" s="20">
        <f>EW7</f>
        <v/>
      </c>
      <c r="EX39" s="20">
        <f>EX7</f>
        <v/>
      </c>
      <c r="EY39" s="20">
        <f>EY7</f>
        <v/>
      </c>
      <c r="EZ39" s="20">
        <f>EZ7</f>
        <v/>
      </c>
      <c r="FA39" s="20">
        <f>FA7</f>
        <v/>
      </c>
      <c r="FB39" s="20">
        <f>FB7</f>
        <v/>
      </c>
      <c r="FC39" s="20">
        <f>FC7</f>
        <v/>
      </c>
      <c r="FD39" s="128" t="n"/>
      <c r="FE39" s="20">
        <f>FE7</f>
        <v/>
      </c>
      <c r="FF39" s="20">
        <f>FF7</f>
        <v/>
      </c>
      <c r="FG39" s="20">
        <f>FG7</f>
        <v/>
      </c>
      <c r="FH39" s="20">
        <f>FH7</f>
        <v/>
      </c>
      <c r="FI39" s="20">
        <f>FI7</f>
        <v/>
      </c>
      <c r="FJ39" s="20">
        <f>FJ7</f>
        <v/>
      </c>
      <c r="FK39" s="20">
        <f>FK7</f>
        <v/>
      </c>
      <c r="FL39" s="20">
        <f>FL7</f>
        <v/>
      </c>
      <c r="FM39" s="20">
        <f>FM7</f>
        <v/>
      </c>
      <c r="FN39" s="20">
        <f>FN7</f>
        <v/>
      </c>
      <c r="FO39" s="20">
        <f>FO7</f>
        <v/>
      </c>
      <c r="FP39" s="20">
        <f>FP7</f>
        <v/>
      </c>
      <c r="FQ39" s="20">
        <f>FQ7</f>
        <v/>
      </c>
      <c r="FR39" s="20">
        <f>FR7</f>
        <v/>
      </c>
      <c r="FS39" s="20">
        <f>FS7</f>
        <v/>
      </c>
      <c r="FT39" s="20">
        <f>FT7</f>
        <v/>
      </c>
      <c r="FU39" s="20">
        <f>FU7</f>
        <v/>
      </c>
      <c r="FV39" s="20">
        <f>FV7</f>
        <v/>
      </c>
      <c r="FW39" s="20">
        <f>FW7</f>
        <v/>
      </c>
      <c r="FX39" s="20">
        <f>FX7</f>
        <v/>
      </c>
      <c r="FY39" s="20">
        <f>FY7</f>
        <v/>
      </c>
      <c r="FZ39" s="20">
        <f>FZ7</f>
        <v/>
      </c>
      <c r="GA39" s="20">
        <f>GA7</f>
        <v/>
      </c>
      <c r="GB39" s="20">
        <f>GB7</f>
        <v/>
      </c>
      <c r="GC39" s="20">
        <f>GC7</f>
        <v/>
      </c>
      <c r="GD39" s="20">
        <f>GD7</f>
        <v/>
      </c>
      <c r="GE39" s="20">
        <f>GE7</f>
        <v/>
      </c>
      <c r="GF39" s="20">
        <f>GF7</f>
        <v/>
      </c>
      <c r="GG39" s="20">
        <f>GG7</f>
        <v/>
      </c>
      <c r="GH39" s="20">
        <f>GH7</f>
        <v/>
      </c>
      <c r="GI39" s="20">
        <f>GI7</f>
        <v/>
      </c>
      <c r="GJ39" s="127">
        <f>SUM(FE39:GI39)</f>
        <v/>
      </c>
      <c r="GK39" s="20">
        <f>GK7</f>
        <v/>
      </c>
      <c r="GL39" s="20">
        <f>GL7</f>
        <v/>
      </c>
      <c r="GM39" s="20">
        <f>GM7</f>
        <v/>
      </c>
      <c r="GN39" s="20">
        <f>GN7</f>
        <v/>
      </c>
      <c r="GO39" s="20">
        <f>GO7</f>
        <v/>
      </c>
      <c r="GP39" s="20">
        <f>GP7</f>
        <v/>
      </c>
      <c r="GQ39" s="20">
        <f>GQ7</f>
        <v/>
      </c>
      <c r="GR39" s="20">
        <f>GR7</f>
        <v/>
      </c>
      <c r="GS39" s="20">
        <f>GS7</f>
        <v/>
      </c>
      <c r="GT39" s="20">
        <f>GT7</f>
        <v/>
      </c>
      <c r="GU39" s="20">
        <f>GU7</f>
        <v/>
      </c>
      <c r="GV39" s="20">
        <f>GV7</f>
        <v/>
      </c>
      <c r="GW39" s="20">
        <f>GW7</f>
        <v/>
      </c>
      <c r="GX39" s="20">
        <f>GX7</f>
        <v/>
      </c>
      <c r="GY39" s="20">
        <f>GY7</f>
        <v/>
      </c>
      <c r="GZ39" s="20">
        <f>GZ7</f>
        <v/>
      </c>
      <c r="HA39" s="20">
        <f>HA7</f>
        <v/>
      </c>
      <c r="HB39" s="20">
        <f>HB7</f>
        <v/>
      </c>
      <c r="HC39" s="20">
        <f>HC7</f>
        <v/>
      </c>
      <c r="HD39" s="20">
        <f>HD7</f>
        <v/>
      </c>
      <c r="HE39" s="20">
        <f>HE7</f>
        <v/>
      </c>
      <c r="HF39" s="20">
        <f>HF7</f>
        <v/>
      </c>
      <c r="HG39" s="20">
        <f>HG7</f>
        <v/>
      </c>
      <c r="HH39" s="20">
        <f>HH7</f>
        <v/>
      </c>
      <c r="HI39" s="20">
        <f>HI7</f>
        <v/>
      </c>
      <c r="HJ39" s="20">
        <f>HJ7</f>
        <v/>
      </c>
      <c r="HK39" s="20">
        <f>HK7</f>
        <v/>
      </c>
      <c r="HL39" s="20">
        <f>HL7</f>
        <v/>
      </c>
      <c r="HM39" s="20">
        <f>HM7</f>
        <v/>
      </c>
      <c r="HN39" s="127">
        <f>SUM(GK39:HM39)</f>
        <v/>
      </c>
      <c r="HO39" s="20">
        <f>HO7</f>
        <v/>
      </c>
      <c r="HP39" s="20">
        <f>HP7</f>
        <v/>
      </c>
      <c r="HQ39" s="20">
        <f>HQ7</f>
        <v/>
      </c>
      <c r="HR39" s="20">
        <f>HR7</f>
        <v/>
      </c>
      <c r="HS39" s="20">
        <f>HS7</f>
        <v/>
      </c>
      <c r="HT39" s="20">
        <f>HT7</f>
        <v/>
      </c>
      <c r="HU39" s="20">
        <f>HU7</f>
        <v/>
      </c>
      <c r="HV39" s="20">
        <f>HV7</f>
        <v/>
      </c>
      <c r="HW39" s="20">
        <f>HW7</f>
        <v/>
      </c>
      <c r="HX39" s="20">
        <f>HX7</f>
        <v/>
      </c>
      <c r="HY39" s="20">
        <f>HY7</f>
        <v/>
      </c>
      <c r="HZ39" s="20">
        <f>HZ7</f>
        <v/>
      </c>
      <c r="IA39" s="20">
        <f>IA7</f>
        <v/>
      </c>
      <c r="IB39" s="20">
        <f>IB7</f>
        <v/>
      </c>
      <c r="IC39" s="20">
        <f>IC7</f>
        <v/>
      </c>
      <c r="ID39" s="20">
        <f>ID7</f>
        <v/>
      </c>
      <c r="IE39" s="20">
        <f>IE7</f>
        <v/>
      </c>
      <c r="IF39" s="20">
        <f>IF7</f>
        <v/>
      </c>
      <c r="IG39" s="20">
        <f>IG7</f>
        <v/>
      </c>
      <c r="IH39" s="20">
        <f>IH7</f>
        <v/>
      </c>
      <c r="II39" s="20">
        <f>II7</f>
        <v/>
      </c>
      <c r="IJ39" s="20">
        <f>IJ7</f>
        <v/>
      </c>
      <c r="IK39" s="20">
        <f>IK7</f>
        <v/>
      </c>
      <c r="IL39" s="20">
        <f>IL7</f>
        <v/>
      </c>
      <c r="IM39" s="20">
        <f>IM7</f>
        <v/>
      </c>
      <c r="IN39" s="20">
        <f>IN7</f>
        <v/>
      </c>
      <c r="IO39" s="20">
        <f>IO7</f>
        <v/>
      </c>
      <c r="IP39" s="20">
        <f>IP7</f>
        <v/>
      </c>
      <c r="IQ39" s="20">
        <f>IQ7</f>
        <v/>
      </c>
      <c r="IR39" s="20">
        <f>IR7</f>
        <v/>
      </c>
      <c r="IS39" s="20">
        <f>IS7</f>
        <v/>
      </c>
      <c r="IT39" s="127">
        <f>SUM(HO39:IS39)</f>
        <v/>
      </c>
      <c r="IU39" s="20">
        <f>IU7</f>
        <v/>
      </c>
      <c r="IV39" s="20">
        <f>IV7</f>
        <v/>
      </c>
      <c r="IW39" s="20">
        <f>IW7</f>
        <v/>
      </c>
      <c r="IX39" s="20">
        <f>IX7</f>
        <v/>
      </c>
      <c r="IY39" s="20">
        <f>IY7</f>
        <v/>
      </c>
      <c r="IZ39" s="20">
        <f>IZ7</f>
        <v/>
      </c>
      <c r="JA39" s="20">
        <f>JA7</f>
        <v/>
      </c>
      <c r="JB39" s="20">
        <f>JB7</f>
        <v/>
      </c>
      <c r="JC39" s="20">
        <f>JC7</f>
        <v/>
      </c>
      <c r="JD39" s="20">
        <f>JD7</f>
        <v/>
      </c>
      <c r="JE39" s="20">
        <f>JE7</f>
        <v/>
      </c>
      <c r="JF39" s="20">
        <f>JF7</f>
        <v/>
      </c>
      <c r="JG39" s="20">
        <f>JG7</f>
        <v/>
      </c>
      <c r="JH39" s="20">
        <f>JH7</f>
        <v/>
      </c>
      <c r="JI39" s="20">
        <f>JI7</f>
        <v/>
      </c>
      <c r="JJ39" s="20">
        <f>JJ7</f>
        <v/>
      </c>
      <c r="JK39" s="20">
        <f>JK7</f>
        <v/>
      </c>
      <c r="JL39" s="20">
        <f>JL7</f>
        <v/>
      </c>
      <c r="JM39" s="20">
        <f>JM7</f>
        <v/>
      </c>
      <c r="JN39" s="20">
        <f>JN7</f>
        <v/>
      </c>
      <c r="JO39" s="20">
        <f>JO7</f>
        <v/>
      </c>
      <c r="JP39" s="20">
        <f>JP7</f>
        <v/>
      </c>
      <c r="JQ39" s="20">
        <f>JQ7</f>
        <v/>
      </c>
      <c r="JR39" s="20">
        <f>JR7</f>
        <v/>
      </c>
      <c r="JS39" s="20">
        <f>JS7</f>
        <v/>
      </c>
      <c r="JT39" s="20">
        <f>JT7</f>
        <v/>
      </c>
      <c r="JU39" s="20">
        <f>JU7</f>
        <v/>
      </c>
      <c r="JV39" s="20">
        <f>JV7</f>
        <v/>
      </c>
      <c r="JW39" s="20">
        <f>JW7</f>
        <v/>
      </c>
      <c r="JX39" s="20">
        <f>JX7</f>
        <v/>
      </c>
      <c r="JY39" s="127">
        <f>SUM(IU39:JX39)</f>
        <v/>
      </c>
      <c r="JZ39" s="20">
        <f>JZ7</f>
        <v/>
      </c>
      <c r="KA39" s="20">
        <f>KA7</f>
        <v/>
      </c>
      <c r="KB39" s="20">
        <f>KB7</f>
        <v/>
      </c>
      <c r="KC39" s="20">
        <f>KC7</f>
        <v/>
      </c>
      <c r="KD39" s="20">
        <f>KD7</f>
        <v/>
      </c>
      <c r="KE39" s="20">
        <f>KE7</f>
        <v/>
      </c>
      <c r="KF39" s="20">
        <f>KF7</f>
        <v/>
      </c>
      <c r="KG39" s="20">
        <f>KG7</f>
        <v/>
      </c>
      <c r="KH39" s="20">
        <f>KH7</f>
        <v/>
      </c>
      <c r="KI39" s="20">
        <f>KI7</f>
        <v/>
      </c>
      <c r="KJ39" s="20">
        <f>KJ7</f>
        <v/>
      </c>
      <c r="KK39" s="20">
        <f>KK7</f>
        <v/>
      </c>
      <c r="KL39" s="20">
        <f>KL7</f>
        <v/>
      </c>
      <c r="KM39" s="20">
        <f>KM7</f>
        <v/>
      </c>
      <c r="KN39" s="20">
        <f>KN7</f>
        <v/>
      </c>
      <c r="KO39" s="20">
        <f>KO7</f>
        <v/>
      </c>
      <c r="KP39" s="20">
        <f>KP7</f>
        <v/>
      </c>
      <c r="KQ39" s="20">
        <f>KQ7</f>
        <v/>
      </c>
      <c r="KR39" s="20">
        <f>KR7</f>
        <v/>
      </c>
      <c r="KS39" s="20">
        <f>KS7</f>
        <v/>
      </c>
      <c r="KT39" s="20">
        <f>KT7</f>
        <v/>
      </c>
      <c r="KU39" s="20">
        <f>KU7</f>
        <v/>
      </c>
      <c r="KV39" s="20">
        <f>KV7</f>
        <v/>
      </c>
      <c r="KW39" s="20">
        <f>KW7</f>
        <v/>
      </c>
      <c r="KX39" s="20">
        <f>KX7</f>
        <v/>
      </c>
      <c r="KY39" s="20">
        <f>KY7</f>
        <v/>
      </c>
      <c r="KZ39" s="20">
        <f>KZ7</f>
        <v/>
      </c>
      <c r="LA39" s="20">
        <f>LA7</f>
        <v/>
      </c>
      <c r="LB39" s="20">
        <f>LB7</f>
        <v/>
      </c>
      <c r="LC39" s="20">
        <f>LC7</f>
        <v/>
      </c>
      <c r="LD39" s="20">
        <f>LD7</f>
        <v/>
      </c>
      <c r="LE39" s="127">
        <f>SUM(KA39:LD39)</f>
        <v/>
      </c>
      <c r="LF39" s="20">
        <f>LF7</f>
        <v/>
      </c>
      <c r="LG39" s="20">
        <f>LG7</f>
        <v/>
      </c>
      <c r="LH39" s="20">
        <f>LH7</f>
        <v/>
      </c>
      <c r="LI39" s="20">
        <f>LI7</f>
        <v/>
      </c>
      <c r="LJ39" s="20">
        <f>LJ7</f>
        <v/>
      </c>
      <c r="LK39" s="20">
        <f>LK7</f>
        <v/>
      </c>
      <c r="LL39" s="20">
        <f>LL7</f>
        <v/>
      </c>
      <c r="LM39" s="20">
        <f>LM7</f>
        <v/>
      </c>
      <c r="LN39" s="20">
        <f>LN7</f>
        <v/>
      </c>
      <c r="LO39" s="20">
        <f>LO7</f>
        <v/>
      </c>
      <c r="LP39" s="20">
        <f>LP7</f>
        <v/>
      </c>
      <c r="LQ39" s="20">
        <f>LQ7</f>
        <v/>
      </c>
      <c r="LR39" s="20">
        <f>LR7</f>
        <v/>
      </c>
      <c r="LS39" s="20">
        <f>LS7</f>
        <v/>
      </c>
      <c r="LT39" s="20">
        <f>LT7</f>
        <v/>
      </c>
      <c r="LU39" s="20">
        <f>LU7</f>
        <v/>
      </c>
      <c r="LV39" s="20">
        <f>LV7</f>
        <v/>
      </c>
      <c r="LW39" s="20">
        <f>LW7</f>
        <v/>
      </c>
      <c r="LX39" s="20">
        <f>LX7</f>
        <v/>
      </c>
      <c r="LY39" s="20">
        <f>LY7</f>
        <v/>
      </c>
      <c r="LZ39" s="20">
        <f>LZ7</f>
        <v/>
      </c>
      <c r="MA39" s="20">
        <f>MA7</f>
        <v/>
      </c>
      <c r="MB39" s="20">
        <f>MB7</f>
        <v/>
      </c>
      <c r="MC39" s="20">
        <f>MC7</f>
        <v/>
      </c>
      <c r="MD39" s="20">
        <f>MD7</f>
        <v/>
      </c>
      <c r="ME39" s="20">
        <f>ME7</f>
        <v/>
      </c>
      <c r="MF39" s="20">
        <f>MF7</f>
        <v/>
      </c>
      <c r="MG39" s="20">
        <f>MG7</f>
        <v/>
      </c>
      <c r="MH39" s="20">
        <f>MH7</f>
        <v/>
      </c>
      <c r="MI39" s="20">
        <f>MI7</f>
        <v/>
      </c>
      <c r="MJ39" s="127">
        <f>SUM(LF39:MI39)</f>
        <v/>
      </c>
      <c r="MK39" s="20">
        <f>MK7</f>
        <v/>
      </c>
      <c r="ML39" s="20">
        <f>ML7</f>
        <v/>
      </c>
      <c r="MM39" s="20">
        <f>MM7</f>
        <v/>
      </c>
      <c r="MN39" s="20">
        <f>MN7</f>
        <v/>
      </c>
      <c r="MO39" s="20">
        <f>MO7</f>
        <v/>
      </c>
      <c r="MP39" s="20">
        <f>MP7</f>
        <v/>
      </c>
      <c r="MQ39" s="20">
        <f>MQ7</f>
        <v/>
      </c>
      <c r="MR39" s="20">
        <f>MR7</f>
        <v/>
      </c>
      <c r="MS39" s="20">
        <f>MS7</f>
        <v/>
      </c>
      <c r="MT39" s="20">
        <f>MT7</f>
        <v/>
      </c>
      <c r="MU39" s="20">
        <f>MU7</f>
        <v/>
      </c>
      <c r="MV39" s="20">
        <f>MV7</f>
        <v/>
      </c>
      <c r="MW39" s="20">
        <f>MW7</f>
        <v/>
      </c>
      <c r="MX39" s="20">
        <f>MX7</f>
        <v/>
      </c>
      <c r="MY39" s="20">
        <f>MY7</f>
        <v/>
      </c>
      <c r="MZ39" s="20">
        <f>MZ7</f>
        <v/>
      </c>
      <c r="NA39" s="20">
        <f>NA7</f>
        <v/>
      </c>
      <c r="NB39" s="20">
        <f>NB7</f>
        <v/>
      </c>
      <c r="NC39" s="20">
        <f>NC7</f>
        <v/>
      </c>
      <c r="ND39" s="20">
        <f>ND7</f>
        <v/>
      </c>
      <c r="NE39" s="20">
        <f>NE7</f>
        <v/>
      </c>
      <c r="NF39" s="20">
        <f>NF7</f>
        <v/>
      </c>
      <c r="NG39" s="20">
        <f>NG7</f>
        <v/>
      </c>
      <c r="NH39" s="20">
        <f>NH7</f>
        <v/>
      </c>
      <c r="NI39" s="20">
        <f>NI7</f>
        <v/>
      </c>
      <c r="NJ39" s="20">
        <f>NJ7</f>
        <v/>
      </c>
      <c r="NK39" s="20">
        <f>NK7</f>
        <v/>
      </c>
      <c r="NL39" s="20">
        <f>NL7</f>
        <v/>
      </c>
      <c r="NM39" s="20">
        <f>NM7</f>
        <v/>
      </c>
      <c r="NN39" s="20">
        <f>NN7</f>
        <v/>
      </c>
      <c r="NO39" s="20">
        <f>NO7</f>
        <v/>
      </c>
      <c r="NP39" s="127">
        <f>SUM(ML39:NO39)</f>
        <v/>
      </c>
      <c r="NQ39" s="20">
        <f>NQ7</f>
        <v/>
      </c>
      <c r="NR39" s="20">
        <f>NR7</f>
        <v/>
      </c>
      <c r="NS39" s="20">
        <f>NS7</f>
        <v/>
      </c>
      <c r="NT39" s="20">
        <f>NT7</f>
        <v/>
      </c>
      <c r="NU39" s="20">
        <f>NU7</f>
        <v/>
      </c>
      <c r="NV39" s="20">
        <f>NV7</f>
        <v/>
      </c>
      <c r="NW39" s="20">
        <f>NW7</f>
        <v/>
      </c>
      <c r="NX39" s="20">
        <f>NX7</f>
        <v/>
      </c>
      <c r="NY39" s="20">
        <f>NY7</f>
        <v/>
      </c>
      <c r="NZ39" s="20">
        <f>NZ7</f>
        <v/>
      </c>
      <c r="OA39" s="20">
        <f>OA7</f>
        <v/>
      </c>
      <c r="OB39" s="20">
        <f>OB7</f>
        <v/>
      </c>
      <c r="OC39" s="20">
        <f>OC7</f>
        <v/>
      </c>
      <c r="OD39" s="20">
        <f>OD7</f>
        <v/>
      </c>
      <c r="OE39" s="20">
        <f>OE7</f>
        <v/>
      </c>
      <c r="OF39" s="20">
        <f>OF7</f>
        <v/>
      </c>
      <c r="OG39" s="20">
        <f>OG7</f>
        <v/>
      </c>
      <c r="OH39" s="20">
        <f>OH7</f>
        <v/>
      </c>
      <c r="OI39" s="20">
        <f>OI7</f>
        <v/>
      </c>
      <c r="OJ39" s="20">
        <f>OJ7</f>
        <v/>
      </c>
      <c r="OK39" s="20">
        <f>OK7</f>
        <v/>
      </c>
      <c r="OL39" s="20">
        <f>OL7</f>
        <v/>
      </c>
      <c r="OM39" s="20">
        <f>OM7</f>
        <v/>
      </c>
      <c r="ON39" s="20">
        <f>ON7</f>
        <v/>
      </c>
      <c r="OO39" s="20">
        <f>OO7</f>
        <v/>
      </c>
      <c r="OP39" s="20">
        <f>OP7</f>
        <v/>
      </c>
      <c r="OQ39" s="20">
        <f>OQ7</f>
        <v/>
      </c>
      <c r="OR39" s="20">
        <f>OR7</f>
        <v/>
      </c>
      <c r="OS39" s="20">
        <f>OS7</f>
        <v/>
      </c>
      <c r="OT39" s="20">
        <f>OT7</f>
        <v/>
      </c>
      <c r="OU39" s="20">
        <f>OU7</f>
        <v/>
      </c>
      <c r="OV39" s="127">
        <f>SUM(NR39:OU39)</f>
        <v/>
      </c>
      <c r="OW39" s="20">
        <f>OW7</f>
        <v/>
      </c>
      <c r="OX39" s="20">
        <f>OX7</f>
        <v/>
      </c>
      <c r="OY39" s="20">
        <f>OY7</f>
        <v/>
      </c>
      <c r="OZ39" s="20">
        <f>OZ7</f>
        <v/>
      </c>
      <c r="PA39" s="20">
        <f>PA7</f>
        <v/>
      </c>
      <c r="PB39" s="20">
        <f>PB7</f>
        <v/>
      </c>
      <c r="PC39" s="20">
        <f>PC7</f>
        <v/>
      </c>
      <c r="PD39" s="20">
        <f>PD7</f>
        <v/>
      </c>
      <c r="PE39" s="20">
        <f>PE7</f>
        <v/>
      </c>
      <c r="PF39" s="20">
        <f>PF7</f>
        <v/>
      </c>
      <c r="PG39" s="20">
        <f>PG7</f>
        <v/>
      </c>
      <c r="PH39" s="20">
        <f>PH7</f>
        <v/>
      </c>
      <c r="PI39" s="20">
        <f>PI7</f>
        <v/>
      </c>
      <c r="PJ39" s="20">
        <f>PJ7</f>
        <v/>
      </c>
      <c r="PK39" s="20">
        <f>PK7</f>
        <v/>
      </c>
      <c r="PL39" s="20">
        <f>PL7</f>
        <v/>
      </c>
      <c r="PM39" s="20">
        <f>PM7</f>
        <v/>
      </c>
      <c r="PN39" s="20">
        <f>PN7</f>
        <v/>
      </c>
      <c r="PO39" s="20">
        <f>PO7</f>
        <v/>
      </c>
      <c r="PP39" s="20">
        <f>PP7</f>
        <v/>
      </c>
      <c r="PQ39" s="20">
        <f>PQ7</f>
        <v/>
      </c>
      <c r="PR39" s="20">
        <f>PR7</f>
        <v/>
      </c>
      <c r="PS39" s="20">
        <f>PS7</f>
        <v/>
      </c>
      <c r="PT39" s="20">
        <f>PT7</f>
        <v/>
      </c>
      <c r="PU39" s="20">
        <f>PU7</f>
        <v/>
      </c>
      <c r="PV39" s="20">
        <f>PV7</f>
        <v/>
      </c>
      <c r="PW39" s="20">
        <f>PW7</f>
        <v/>
      </c>
      <c r="PX39" s="20">
        <f>PX7</f>
        <v/>
      </c>
      <c r="PY39" s="20">
        <f>PY7</f>
        <v/>
      </c>
      <c r="PZ39" s="20">
        <f>PZ7</f>
        <v/>
      </c>
      <c r="QA39" s="127">
        <f>SUM(OW39:PZ39)</f>
        <v/>
      </c>
      <c r="QB39" s="20">
        <f>QB7</f>
        <v/>
      </c>
      <c r="QC39" s="20">
        <f>QC7</f>
        <v/>
      </c>
      <c r="QD39" s="20">
        <f>QD7</f>
        <v/>
      </c>
      <c r="QE39" s="20">
        <f>QE7</f>
        <v/>
      </c>
      <c r="QF39" s="20">
        <f>QF7</f>
        <v/>
      </c>
      <c r="QG39" s="20">
        <f>QG7</f>
        <v/>
      </c>
      <c r="QH39" s="20">
        <f>QH7</f>
        <v/>
      </c>
      <c r="QI39" s="20">
        <f>QI7</f>
        <v/>
      </c>
      <c r="QJ39" s="20">
        <f>QJ7</f>
        <v/>
      </c>
      <c r="QK39" s="20">
        <f>QK7</f>
        <v/>
      </c>
      <c r="QL39" s="20">
        <f>QL7</f>
        <v/>
      </c>
      <c r="QM39" s="20">
        <f>QM7</f>
        <v/>
      </c>
      <c r="QN39" s="20">
        <f>QN7</f>
        <v/>
      </c>
      <c r="QO39" s="20">
        <f>QO7</f>
        <v/>
      </c>
      <c r="QP39" s="20">
        <f>QP7</f>
        <v/>
      </c>
      <c r="QQ39" s="20">
        <f>QQ7</f>
        <v/>
      </c>
      <c r="QR39" s="20">
        <f>QR7</f>
        <v/>
      </c>
      <c r="QS39" s="20">
        <f>QS7</f>
        <v/>
      </c>
      <c r="QT39" s="20">
        <f>QT7</f>
        <v/>
      </c>
      <c r="QU39" s="20">
        <f>QU7</f>
        <v/>
      </c>
      <c r="QV39" s="20">
        <f>QV7</f>
        <v/>
      </c>
      <c r="QW39" s="20">
        <f>QW7</f>
        <v/>
      </c>
      <c r="QX39" s="20">
        <f>QX7</f>
        <v/>
      </c>
      <c r="QY39" s="20">
        <f>QY7</f>
        <v/>
      </c>
      <c r="QZ39" s="20">
        <f>QZ7</f>
        <v/>
      </c>
      <c r="RA39" s="20">
        <f>RA7</f>
        <v/>
      </c>
      <c r="RB39" s="20">
        <f>RB7</f>
        <v/>
      </c>
      <c r="RC39" s="20">
        <f>RC7</f>
        <v/>
      </c>
      <c r="RD39" s="20">
        <f>RD7</f>
        <v/>
      </c>
      <c r="RE39" s="20">
        <f>RE7</f>
        <v/>
      </c>
      <c r="RF39" s="20">
        <f>RF7</f>
        <v/>
      </c>
      <c r="RG39" s="127">
        <f>SUM(QC39:RF39)</f>
        <v/>
      </c>
      <c r="RH39" s="20">
        <f>RH7</f>
        <v/>
      </c>
      <c r="RI39" s="20">
        <f>RI7</f>
        <v/>
      </c>
      <c r="RJ39" s="20">
        <f>RJ7</f>
        <v/>
      </c>
      <c r="RK39" s="20">
        <f>RK7</f>
        <v/>
      </c>
      <c r="RL39" s="20">
        <f>RL7</f>
        <v/>
      </c>
      <c r="RM39" s="20">
        <f>RM7</f>
        <v/>
      </c>
      <c r="RN39" s="20">
        <f>RN7</f>
        <v/>
      </c>
      <c r="RO39" s="20">
        <f>RO7</f>
        <v/>
      </c>
      <c r="RP39" s="20">
        <f>RP7</f>
        <v/>
      </c>
      <c r="RQ39" s="20">
        <f>RQ7</f>
        <v/>
      </c>
      <c r="RR39" s="20">
        <f>RR7</f>
        <v/>
      </c>
      <c r="RS39" s="20">
        <f>RS7</f>
        <v/>
      </c>
      <c r="RT39" s="20">
        <f>RT7</f>
        <v/>
      </c>
      <c r="RU39" s="20">
        <f>RU7</f>
        <v/>
      </c>
      <c r="RV39" s="20">
        <f>RV7</f>
        <v/>
      </c>
      <c r="RW39" s="20">
        <f>RW7</f>
        <v/>
      </c>
      <c r="RX39" s="20">
        <f>RX7</f>
        <v/>
      </c>
      <c r="RY39" s="20">
        <f>RY7</f>
        <v/>
      </c>
      <c r="RZ39" s="20">
        <f>RZ7</f>
        <v/>
      </c>
      <c r="SA39" s="20">
        <f>SA7</f>
        <v/>
      </c>
      <c r="SB39" s="20">
        <f>SB7</f>
        <v/>
      </c>
      <c r="SC39" s="20">
        <f>SC7</f>
        <v/>
      </c>
      <c r="SD39" s="20">
        <f>SD7</f>
        <v/>
      </c>
      <c r="SE39" s="20">
        <f>SE7</f>
        <v/>
      </c>
      <c r="SF39" s="20">
        <f>SF7</f>
        <v/>
      </c>
      <c r="SG39" s="20">
        <f>SG7</f>
        <v/>
      </c>
      <c r="SH39" s="20">
        <f>SH7</f>
        <v/>
      </c>
      <c r="SI39" s="20">
        <f>SI7</f>
        <v/>
      </c>
      <c r="SJ39" s="20">
        <f>SJ7</f>
        <v/>
      </c>
      <c r="SK39" s="20">
        <f>SK7</f>
        <v/>
      </c>
      <c r="SL39" s="127">
        <f>SUM(RH39:SK39)</f>
        <v/>
      </c>
      <c r="SM39" s="20">
        <f>SM7</f>
        <v/>
      </c>
      <c r="SN39" s="20">
        <f>SN7</f>
        <v/>
      </c>
      <c r="SO39" s="20">
        <f>SO7</f>
        <v/>
      </c>
      <c r="SP39" s="20">
        <f>SP7</f>
        <v/>
      </c>
      <c r="SQ39" s="20">
        <f>SQ7</f>
        <v/>
      </c>
      <c r="SR39" s="20">
        <f>SR7</f>
        <v/>
      </c>
      <c r="SS39" s="20">
        <f>SS7</f>
        <v/>
      </c>
      <c r="ST39" s="20">
        <f>ST7</f>
        <v/>
      </c>
      <c r="SU39" s="20">
        <f>SU7</f>
        <v/>
      </c>
      <c r="SV39" s="20">
        <f>SV7</f>
        <v/>
      </c>
      <c r="SW39" s="20">
        <f>SW7</f>
        <v/>
      </c>
      <c r="SX39" s="20">
        <f>SX7</f>
        <v/>
      </c>
      <c r="SY39" s="20">
        <f>SY7</f>
        <v/>
      </c>
      <c r="SZ39" s="20">
        <f>SZ7</f>
        <v/>
      </c>
      <c r="TA39" s="20">
        <f>TA7</f>
        <v/>
      </c>
      <c r="TB39" s="20">
        <f>TB7</f>
        <v/>
      </c>
      <c r="TC39" s="20">
        <f>TC7</f>
        <v/>
      </c>
      <c r="TD39" s="20">
        <f>TD7</f>
        <v/>
      </c>
      <c r="TE39" s="20">
        <f>TE7</f>
        <v/>
      </c>
      <c r="TF39" s="20">
        <f>TF7</f>
        <v/>
      </c>
      <c r="TG39" s="20">
        <f>TG7</f>
        <v/>
      </c>
      <c r="TH39" s="20">
        <f>TH7</f>
        <v/>
      </c>
      <c r="TI39" s="20">
        <f>TI7</f>
        <v/>
      </c>
      <c r="TJ39" s="20">
        <f>TJ7</f>
        <v/>
      </c>
      <c r="TK39" s="20">
        <f>TK7</f>
        <v/>
      </c>
      <c r="TL39" s="20">
        <f>TL7</f>
        <v/>
      </c>
      <c r="TM39" s="20">
        <f>TM7</f>
        <v/>
      </c>
      <c r="TN39" s="20">
        <f>TN7</f>
        <v/>
      </c>
      <c r="TO39" s="20">
        <f>TO7</f>
        <v/>
      </c>
      <c r="TP39" s="20">
        <f>TP7</f>
        <v/>
      </c>
      <c r="TQ39" s="20">
        <f>TQ7</f>
        <v/>
      </c>
      <c r="TR39" s="127">
        <f>SUM(SN39:TQ39)</f>
        <v/>
      </c>
      <c r="TS39" s="20">
        <f>TS7</f>
        <v/>
      </c>
      <c r="TT39" s="20">
        <f>TT7</f>
        <v/>
      </c>
      <c r="TU39" s="20">
        <f>TU7</f>
        <v/>
      </c>
      <c r="TV39" s="20">
        <f>TV7</f>
        <v/>
      </c>
      <c r="TW39" s="20">
        <f>TW7</f>
        <v/>
      </c>
      <c r="TX39" s="20">
        <f>TX7</f>
        <v/>
      </c>
      <c r="TY39" s="20">
        <f>TY7</f>
        <v/>
      </c>
      <c r="TZ39" s="20">
        <f>TZ7</f>
        <v/>
      </c>
      <c r="UA39" s="20">
        <f>UA7</f>
        <v/>
      </c>
      <c r="UB39" s="20">
        <f>UB7</f>
        <v/>
      </c>
      <c r="UC39" s="20">
        <f>UC7</f>
        <v/>
      </c>
      <c r="UD39" s="20">
        <f>UD7</f>
        <v/>
      </c>
      <c r="UE39" s="20">
        <f>UE7</f>
        <v/>
      </c>
      <c r="UF39" s="20">
        <f>UF7</f>
        <v/>
      </c>
      <c r="UG39" s="20">
        <f>UG7</f>
        <v/>
      </c>
      <c r="UH39" s="20">
        <f>UH7</f>
        <v/>
      </c>
      <c r="UI39" s="20">
        <f>UI7</f>
        <v/>
      </c>
      <c r="UJ39" s="20">
        <f>UJ7</f>
        <v/>
      </c>
      <c r="UK39" s="20">
        <f>UK7</f>
        <v/>
      </c>
      <c r="UL39" s="20">
        <f>UL7</f>
        <v/>
      </c>
      <c r="UM39" s="20">
        <f>UM7</f>
        <v/>
      </c>
      <c r="UN39" s="20">
        <f>UN7</f>
        <v/>
      </c>
      <c r="UO39" s="20">
        <f>UO7</f>
        <v/>
      </c>
      <c r="UP39" s="20">
        <f>UP7</f>
        <v/>
      </c>
      <c r="UQ39" s="20">
        <f>UQ7</f>
        <v/>
      </c>
      <c r="UR39" s="20">
        <f>UR7</f>
        <v/>
      </c>
      <c r="US39" s="20">
        <f>US7</f>
        <v/>
      </c>
      <c r="UT39" s="20">
        <f>UT7</f>
        <v/>
      </c>
      <c r="UU39" s="20">
        <f>UU7</f>
        <v/>
      </c>
      <c r="UV39" s="20">
        <f>UV7</f>
        <v/>
      </c>
      <c r="UW39" s="20">
        <f>UW7</f>
        <v/>
      </c>
      <c r="UX39" s="127">
        <f>SUM(TT39:UW39)</f>
        <v/>
      </c>
      <c r="UY39" s="20">
        <f>UY7</f>
        <v/>
      </c>
      <c r="UZ39" s="20">
        <f>UZ7</f>
        <v/>
      </c>
      <c r="VA39" s="20">
        <f>VA7</f>
        <v/>
      </c>
      <c r="VB39" s="20">
        <f>VB7</f>
        <v/>
      </c>
      <c r="VC39" s="20">
        <f>VC7</f>
        <v/>
      </c>
      <c r="VD39" s="20">
        <f>VD7</f>
        <v/>
      </c>
      <c r="VE39" s="20">
        <f>VE7</f>
        <v/>
      </c>
      <c r="VF39" s="20">
        <f>VF7</f>
        <v/>
      </c>
      <c r="VG39" s="20">
        <f>VG7</f>
        <v/>
      </c>
      <c r="VH39" s="20">
        <f>VH7</f>
        <v/>
      </c>
      <c r="VI39" s="20">
        <f>VI7</f>
        <v/>
      </c>
      <c r="VJ39" s="20">
        <f>VJ7</f>
        <v/>
      </c>
      <c r="VK39" s="20">
        <f>VK7</f>
        <v/>
      </c>
      <c r="VL39" s="20">
        <f>VL7</f>
        <v/>
      </c>
      <c r="VM39" s="20">
        <f>VM7</f>
        <v/>
      </c>
      <c r="VN39" s="20">
        <f>VN7</f>
        <v/>
      </c>
      <c r="VO39" s="20">
        <f>VO7</f>
        <v/>
      </c>
      <c r="VP39" s="20">
        <f>VP7</f>
        <v/>
      </c>
      <c r="VQ39" s="20">
        <f>VQ7</f>
        <v/>
      </c>
      <c r="VR39" s="20">
        <f>VR7</f>
        <v/>
      </c>
      <c r="VS39" s="20">
        <f>VS7</f>
        <v/>
      </c>
      <c r="VT39" s="20">
        <f>VT7</f>
        <v/>
      </c>
      <c r="VU39" s="20">
        <f>VU7</f>
        <v/>
      </c>
      <c r="VV39" s="20">
        <f>VV7</f>
        <v/>
      </c>
      <c r="VW39" s="20">
        <f>VW7</f>
        <v/>
      </c>
      <c r="VX39" s="20">
        <f>VX7</f>
        <v/>
      </c>
      <c r="VY39" s="20">
        <f>VY7</f>
        <v/>
      </c>
      <c r="VZ39" s="20">
        <f>VZ7</f>
        <v/>
      </c>
      <c r="WA39" s="127">
        <f>SUM(UW39:VZ39)</f>
        <v/>
      </c>
      <c r="WB39" s="20">
        <f>WB7</f>
        <v/>
      </c>
      <c r="WC39" s="20">
        <f>WC7</f>
        <v/>
      </c>
      <c r="WD39" s="20">
        <f>WD7</f>
        <v/>
      </c>
      <c r="WE39" s="20">
        <f>WE7</f>
        <v/>
      </c>
      <c r="WF39" s="20">
        <f>WF7</f>
        <v/>
      </c>
      <c r="WG39" s="20">
        <f>WG7</f>
        <v/>
      </c>
      <c r="WH39" s="20">
        <f>WH7</f>
        <v/>
      </c>
      <c r="WI39" s="20">
        <f>WI7</f>
        <v/>
      </c>
      <c r="WJ39" s="20">
        <f>WJ7</f>
        <v/>
      </c>
      <c r="WK39" s="20">
        <f>WK7</f>
        <v/>
      </c>
      <c r="WL39" s="20">
        <f>WL7</f>
        <v/>
      </c>
      <c r="WM39" s="20">
        <f>WM7</f>
        <v/>
      </c>
      <c r="WN39" s="20">
        <f>WN7</f>
        <v/>
      </c>
      <c r="WO39" s="20">
        <f>WO7</f>
        <v/>
      </c>
      <c r="WP39" s="20">
        <f>WP7</f>
        <v/>
      </c>
      <c r="WQ39" s="20">
        <f>WQ7</f>
        <v/>
      </c>
      <c r="WR39" s="20">
        <f>WR7</f>
        <v/>
      </c>
      <c r="WS39" s="20">
        <f>WS7</f>
        <v/>
      </c>
      <c r="WT39" s="20">
        <f>WT7</f>
        <v/>
      </c>
      <c r="WU39" s="20">
        <f>WU7</f>
        <v/>
      </c>
      <c r="WV39" s="20">
        <f>WV7</f>
        <v/>
      </c>
      <c r="WW39" s="20">
        <f>WW7</f>
        <v/>
      </c>
      <c r="WX39" s="20">
        <f>WX7</f>
        <v/>
      </c>
      <c r="WY39" s="20">
        <f>WY7</f>
        <v/>
      </c>
      <c r="WZ39" s="20">
        <f>WZ7</f>
        <v/>
      </c>
      <c r="XA39" s="20">
        <f>XA7</f>
        <v/>
      </c>
      <c r="XB39" s="20">
        <f>XB7</f>
        <v/>
      </c>
      <c r="XC39" s="20">
        <f>XC7</f>
        <v/>
      </c>
      <c r="XD39" s="20">
        <f>XD7</f>
        <v/>
      </c>
      <c r="XE39" s="20">
        <f>XE7</f>
        <v/>
      </c>
      <c r="XF39" s="20">
        <f>XF7</f>
        <v/>
      </c>
      <c r="XG39" s="127">
        <f>SUM(WB39:XF39)</f>
        <v/>
      </c>
      <c r="XH39" s="20">
        <f>XH7</f>
        <v/>
      </c>
      <c r="XI39" s="20">
        <f>XI7</f>
        <v/>
      </c>
      <c r="XJ39" s="20">
        <f>XJ7</f>
        <v/>
      </c>
      <c r="XK39" s="20">
        <f>XK7</f>
        <v/>
      </c>
      <c r="XL39" s="20">
        <f>XL7</f>
        <v/>
      </c>
      <c r="XM39" s="20">
        <f>XM7</f>
        <v/>
      </c>
      <c r="XN39" s="20">
        <f>XN7</f>
        <v/>
      </c>
      <c r="XO39" s="20">
        <f>XO7</f>
        <v/>
      </c>
      <c r="XP39" s="20">
        <f>XP7</f>
        <v/>
      </c>
      <c r="XQ39" s="20">
        <f>XQ7</f>
        <v/>
      </c>
      <c r="XR39" s="20">
        <f>XR7</f>
        <v/>
      </c>
      <c r="XS39" s="20">
        <f>XS7</f>
        <v/>
      </c>
      <c r="XT39" s="20">
        <f>XT7</f>
        <v/>
      </c>
      <c r="XU39" s="20">
        <f>XU7</f>
        <v/>
      </c>
      <c r="XV39" s="20">
        <f>XV7</f>
        <v/>
      </c>
      <c r="XW39" s="20">
        <f>XW7</f>
        <v/>
      </c>
      <c r="XX39" s="20">
        <f>XX7</f>
        <v/>
      </c>
      <c r="XY39" s="20">
        <f>XY7</f>
        <v/>
      </c>
      <c r="XZ39" s="20">
        <f>XZ7</f>
        <v/>
      </c>
      <c r="YA39" s="20">
        <f>YA7</f>
        <v/>
      </c>
      <c r="YB39" s="20">
        <f>YB7</f>
        <v/>
      </c>
      <c r="YC39" s="20">
        <f>YC7</f>
        <v/>
      </c>
      <c r="YD39" s="20">
        <f>YD7</f>
        <v/>
      </c>
      <c r="YE39" s="20">
        <f>YE7</f>
        <v/>
      </c>
      <c r="YF39" s="20">
        <f>YF7</f>
        <v/>
      </c>
      <c r="YG39" s="20">
        <f>YG7</f>
        <v/>
      </c>
      <c r="YH39" s="20">
        <f>YH7</f>
        <v/>
      </c>
      <c r="YI39" s="20">
        <f>YI7</f>
        <v/>
      </c>
      <c r="YJ39" s="20">
        <f>YJ7</f>
        <v/>
      </c>
      <c r="YK39" s="20">
        <f>YK7</f>
        <v/>
      </c>
      <c r="YL39" s="127">
        <f>SUM(XH39:YK39)</f>
        <v/>
      </c>
      <c r="YM39" s="20">
        <f>YM7</f>
        <v/>
      </c>
      <c r="YN39" s="20">
        <f>YN7</f>
        <v/>
      </c>
      <c r="YO39" s="20">
        <f>YO7</f>
        <v/>
      </c>
      <c r="YP39" s="20">
        <f>YP7</f>
        <v/>
      </c>
      <c r="YQ39" s="20">
        <f>YQ7</f>
        <v/>
      </c>
      <c r="YR39" s="20">
        <f>YR7</f>
        <v/>
      </c>
      <c r="YS39" s="20">
        <f>YS7</f>
        <v/>
      </c>
      <c r="YT39" s="20">
        <f>YT7</f>
        <v/>
      </c>
      <c r="YU39" s="20">
        <f>YU7</f>
        <v/>
      </c>
      <c r="YV39" s="20">
        <f>YV7</f>
        <v/>
      </c>
      <c r="YW39" s="20">
        <f>YW7</f>
        <v/>
      </c>
      <c r="YX39" s="20">
        <f>YX7</f>
        <v/>
      </c>
      <c r="YY39" s="20">
        <f>YY7</f>
        <v/>
      </c>
      <c r="YZ39" s="20">
        <f>YZ7</f>
        <v/>
      </c>
      <c r="ZA39" s="20">
        <f>ZA7</f>
        <v/>
      </c>
      <c r="ZB39" s="20">
        <f>ZB7</f>
        <v/>
      </c>
      <c r="ZC39" s="20">
        <f>ZC7</f>
        <v/>
      </c>
      <c r="ZD39" s="20">
        <f>ZD7</f>
        <v/>
      </c>
      <c r="ZE39" s="20">
        <f>ZE7</f>
        <v/>
      </c>
      <c r="ZF39" s="20">
        <f>ZF7</f>
        <v/>
      </c>
      <c r="ZG39" s="20">
        <f>ZG7</f>
        <v/>
      </c>
      <c r="ZH39" s="20">
        <f>ZH7</f>
        <v/>
      </c>
      <c r="ZI39" s="20">
        <f>ZI7</f>
        <v/>
      </c>
      <c r="ZJ39" s="20">
        <f>ZJ7</f>
        <v/>
      </c>
      <c r="ZK39" s="20">
        <f>ZK7</f>
        <v/>
      </c>
      <c r="ZL39" s="20">
        <f>ZL7</f>
        <v/>
      </c>
      <c r="ZM39" s="20">
        <f>ZM7</f>
        <v/>
      </c>
      <c r="ZN39" s="20">
        <f>ZN7</f>
        <v/>
      </c>
      <c r="ZO39" s="20">
        <f>ZO7</f>
        <v/>
      </c>
      <c r="ZP39" s="20">
        <f>ZP7</f>
        <v/>
      </c>
      <c r="ZQ39" s="20">
        <f>ZQ7</f>
        <v/>
      </c>
      <c r="ZR39" s="127">
        <f>SUM(YM39:ZQ39)</f>
        <v/>
      </c>
      <c r="ZS39" s="20">
        <f>ZS7</f>
        <v/>
      </c>
      <c r="ZT39" s="20">
        <f>ZT7</f>
        <v/>
      </c>
      <c r="ZU39" s="20">
        <f>ZU7</f>
        <v/>
      </c>
      <c r="ZV39" s="20">
        <f>ZV7</f>
        <v/>
      </c>
      <c r="ZW39" s="20">
        <f>ZW7</f>
        <v/>
      </c>
      <c r="ZX39" s="20">
        <f>ZX7</f>
        <v/>
      </c>
      <c r="ZY39" s="20">
        <f>ZY7</f>
        <v/>
      </c>
      <c r="ZZ39" s="20">
        <f>ZZ7</f>
        <v/>
      </c>
      <c r="AAA39" s="20">
        <f>AAA7</f>
        <v/>
      </c>
      <c r="AAB39" s="20">
        <f>AAB7</f>
        <v/>
      </c>
      <c r="AAC39" s="20">
        <f>AAC7</f>
        <v/>
      </c>
      <c r="AAD39" s="20">
        <f>AAD7</f>
        <v/>
      </c>
      <c r="AAE39" s="20">
        <f>AAE7</f>
        <v/>
      </c>
      <c r="AAF39" s="20">
        <f>AAF7</f>
        <v/>
      </c>
      <c r="AAG39" s="20">
        <f>AAG7</f>
        <v/>
      </c>
      <c r="AAH39" s="20">
        <f>AAH7</f>
        <v/>
      </c>
      <c r="AAI39" s="20">
        <f>AAI7</f>
        <v/>
      </c>
      <c r="AAJ39" s="20">
        <f>AAJ7</f>
        <v/>
      </c>
      <c r="AAK39" s="20">
        <f>AAK7</f>
        <v/>
      </c>
      <c r="AAL39" s="20">
        <f>AAL7</f>
        <v/>
      </c>
      <c r="AAM39" s="20">
        <f>AAM7</f>
        <v/>
      </c>
      <c r="AAN39" s="20">
        <f>AAN7</f>
        <v/>
      </c>
      <c r="AAO39" s="20">
        <f>AAO7</f>
        <v/>
      </c>
      <c r="AAP39" s="20">
        <f>AAP7</f>
        <v/>
      </c>
      <c r="AAQ39" s="20">
        <f>AAQ7</f>
        <v/>
      </c>
      <c r="AAR39" s="20">
        <f>AAR7</f>
        <v/>
      </c>
      <c r="AAS39" s="20">
        <f>AAS7</f>
        <v/>
      </c>
      <c r="AAT39" s="20">
        <f>AAT7</f>
        <v/>
      </c>
      <c r="AAU39" s="20">
        <f>AAU7</f>
        <v/>
      </c>
      <c r="AAV39" s="20">
        <f>AAV7</f>
        <v/>
      </c>
      <c r="AAW39" s="127">
        <f>SUM(ZS39:AAV39)</f>
        <v/>
      </c>
      <c r="AAX39" s="20">
        <f>AAX7</f>
        <v/>
      </c>
      <c r="AAY39" s="20">
        <f>AAY7</f>
        <v/>
      </c>
      <c r="AAZ39" s="20">
        <f>AAZ7</f>
        <v/>
      </c>
      <c r="ABA39" s="20">
        <f>ABA7</f>
        <v/>
      </c>
      <c r="ABB39" s="20">
        <f>ABB7</f>
        <v/>
      </c>
      <c r="ABC39" s="20">
        <f>ABC7</f>
        <v/>
      </c>
      <c r="ABD39" s="20">
        <f>ABD7</f>
        <v/>
      </c>
      <c r="ABE39" s="20">
        <f>ABE7</f>
        <v/>
      </c>
      <c r="ABF39" s="20">
        <f>ABF7</f>
        <v/>
      </c>
      <c r="ABG39" s="20">
        <f>ABG7</f>
        <v/>
      </c>
      <c r="ABH39" s="20">
        <f>ABH7</f>
        <v/>
      </c>
      <c r="ABI39" s="20">
        <f>ABI7</f>
        <v/>
      </c>
      <c r="ABJ39" s="20">
        <f>ABJ7</f>
        <v/>
      </c>
      <c r="ABK39" s="20">
        <f>ABK7</f>
        <v/>
      </c>
      <c r="ABL39" s="20">
        <f>ABL7</f>
        <v/>
      </c>
      <c r="ABM39" s="20">
        <f>ABM7</f>
        <v/>
      </c>
      <c r="ABN39" s="20">
        <f>ABN7</f>
        <v/>
      </c>
      <c r="ABO39" s="20">
        <f>ABO7</f>
        <v/>
      </c>
      <c r="ABP39" s="20">
        <f>ABP7</f>
        <v/>
      </c>
      <c r="ABQ39" s="20">
        <f>ABQ7</f>
        <v/>
      </c>
      <c r="ABR39" s="20">
        <f>ABR7</f>
        <v/>
      </c>
      <c r="ABS39" s="20">
        <f>ABS7</f>
        <v/>
      </c>
      <c r="ABT39" s="20">
        <f>ABT7</f>
        <v/>
      </c>
      <c r="ABU39" s="20">
        <f>ABU7</f>
        <v/>
      </c>
      <c r="ABV39" s="20">
        <f>ABV7</f>
        <v/>
      </c>
      <c r="ABW39" s="20">
        <f>ABW7</f>
        <v/>
      </c>
      <c r="ABX39" s="20">
        <f>ABX7</f>
        <v/>
      </c>
      <c r="ABY39" s="20">
        <f>ABY7</f>
        <v/>
      </c>
      <c r="ABZ39" s="20">
        <f>ABZ7</f>
        <v/>
      </c>
      <c r="ACA39" s="20">
        <f>ACA7</f>
        <v/>
      </c>
      <c r="ACB39" s="20">
        <f>ACB7</f>
        <v/>
      </c>
      <c r="ACC39" s="127">
        <f>SUM(AAX39:ACB39)</f>
        <v/>
      </c>
      <c r="ACD39" s="20">
        <f>ACD7</f>
        <v/>
      </c>
      <c r="ACE39" s="20">
        <f>ACE7</f>
        <v/>
      </c>
      <c r="ACF39" s="20">
        <f>ACF7</f>
        <v/>
      </c>
      <c r="ACG39" s="20">
        <f>ACG7</f>
        <v/>
      </c>
      <c r="ACH39" s="20">
        <f>ACH7</f>
        <v/>
      </c>
      <c r="ACI39" s="20">
        <f>ACI7</f>
        <v/>
      </c>
      <c r="ACJ39" s="20">
        <f>ACJ7</f>
        <v/>
      </c>
      <c r="ACK39" s="20">
        <f>ACK7</f>
        <v/>
      </c>
      <c r="ACL39" s="20">
        <f>ACL7</f>
        <v/>
      </c>
      <c r="ACM39" s="20">
        <f>ACM7</f>
        <v/>
      </c>
      <c r="ACN39" s="20">
        <f>ACN7</f>
        <v/>
      </c>
      <c r="ACO39" s="20">
        <f>ACO7</f>
        <v/>
      </c>
      <c r="ACP39" s="20">
        <f>ACP7</f>
        <v/>
      </c>
      <c r="ACQ39" s="20">
        <f>ACQ7</f>
        <v/>
      </c>
      <c r="ACR39" s="20">
        <f>ACR7</f>
        <v/>
      </c>
      <c r="ACS39" s="20">
        <f>ACS7</f>
        <v/>
      </c>
      <c r="ACT39" s="20">
        <f>ACT7</f>
        <v/>
      </c>
      <c r="ACU39" s="20">
        <f>ACU7</f>
        <v/>
      </c>
      <c r="ACV39" s="20">
        <f>ACV7</f>
        <v/>
      </c>
      <c r="ACW39" s="20">
        <f>ACW7</f>
        <v/>
      </c>
      <c r="ACX39" s="20">
        <f>ACX7</f>
        <v/>
      </c>
      <c r="ACY39" s="20">
        <f>ACY7</f>
        <v/>
      </c>
      <c r="ACZ39" s="20">
        <f>ACZ7</f>
        <v/>
      </c>
      <c r="ADA39" s="20">
        <f>ADA7</f>
        <v/>
      </c>
      <c r="ADB39" s="20">
        <f>ADB7</f>
        <v/>
      </c>
      <c r="ADC39" s="20">
        <f>ADC7</f>
        <v/>
      </c>
      <c r="ADD39" s="20">
        <f>ADD7</f>
        <v/>
      </c>
      <c r="ADE39" s="20">
        <f>ADE7</f>
        <v/>
      </c>
      <c r="ADF39" s="20">
        <f>ADF7</f>
        <v/>
      </c>
      <c r="ADG39" s="20">
        <f>ADG7</f>
        <v/>
      </c>
      <c r="ADH39" s="20">
        <f>ADH7</f>
        <v/>
      </c>
      <c r="ADI39" s="127">
        <f>SUM(ACD39:ADH39)</f>
        <v/>
      </c>
      <c r="ADJ39" s="20">
        <f>ADJ7</f>
        <v/>
      </c>
      <c r="ADK39" s="20">
        <f>ADK7</f>
        <v/>
      </c>
      <c r="ADL39" s="20">
        <f>ADL7</f>
        <v/>
      </c>
      <c r="ADM39" s="20">
        <f>ADM7</f>
        <v/>
      </c>
      <c r="ADN39" s="20">
        <f>ADN7</f>
        <v/>
      </c>
      <c r="ADO39" s="20">
        <f>ADO7</f>
        <v/>
      </c>
      <c r="ADP39" s="20">
        <f>ADP7</f>
        <v/>
      </c>
      <c r="ADQ39" s="20">
        <f>ADQ7</f>
        <v/>
      </c>
      <c r="ADR39" s="20">
        <f>ADR7</f>
        <v/>
      </c>
      <c r="ADS39" s="20">
        <f>ADS7</f>
        <v/>
      </c>
      <c r="ADT39" s="20">
        <f>ADT7</f>
        <v/>
      </c>
      <c r="ADU39" s="20">
        <f>ADU7</f>
        <v/>
      </c>
      <c r="ADV39" s="20">
        <f>ADV7</f>
        <v/>
      </c>
      <c r="ADW39" s="20">
        <f>ADW7</f>
        <v/>
      </c>
      <c r="ADX39" s="20">
        <f>ADX7</f>
        <v/>
      </c>
      <c r="ADY39" s="20">
        <f>ADY7</f>
        <v/>
      </c>
      <c r="ADZ39" s="20">
        <f>ADZ7</f>
        <v/>
      </c>
      <c r="AEA39" s="20">
        <f>AEA7</f>
        <v/>
      </c>
      <c r="AEB39" s="20">
        <f>AEB7</f>
        <v/>
      </c>
      <c r="AEC39" s="20">
        <f>AEC7</f>
        <v/>
      </c>
      <c r="AED39" s="20">
        <f>AED7</f>
        <v/>
      </c>
      <c r="AEE39" s="20">
        <f>AEE7</f>
        <v/>
      </c>
      <c r="AEF39" s="20">
        <f>AEF7</f>
        <v/>
      </c>
      <c r="AEG39" s="20">
        <f>AEG7</f>
        <v/>
      </c>
      <c r="AEH39" s="20">
        <f>AEH7</f>
        <v/>
      </c>
      <c r="AEI39" s="20">
        <f>AEI7</f>
        <v/>
      </c>
      <c r="AEJ39" s="20">
        <f>AEJ7</f>
        <v/>
      </c>
      <c r="AEK39" s="20">
        <f>AEK7</f>
        <v/>
      </c>
      <c r="AEL39" s="20">
        <f>AEL7</f>
        <v/>
      </c>
      <c r="AEM39" s="20">
        <f>AEM7</f>
        <v/>
      </c>
      <c r="AEN39" s="127">
        <f>SUM(ADJ39:AEM39)</f>
        <v/>
      </c>
      <c r="AEO39" s="20">
        <f>AEO7</f>
        <v/>
      </c>
      <c r="AEP39" s="20">
        <f>AEP7</f>
        <v/>
      </c>
      <c r="AEQ39" s="20">
        <f>AEQ7</f>
        <v/>
      </c>
      <c r="AER39" s="20">
        <f>AER7</f>
        <v/>
      </c>
      <c r="AES39" s="20">
        <f>AES7</f>
        <v/>
      </c>
      <c r="AET39" s="20">
        <f>AET7</f>
        <v/>
      </c>
      <c r="AEU39" s="20">
        <f>AEU7</f>
        <v/>
      </c>
      <c r="AEV39" s="20">
        <f>AEV7</f>
        <v/>
      </c>
      <c r="AEW39" s="20">
        <f>AEW7</f>
        <v/>
      </c>
      <c r="AEX39" s="20">
        <f>AEX7</f>
        <v/>
      </c>
      <c r="AEY39" s="20">
        <f>AEY7</f>
        <v/>
      </c>
      <c r="AEZ39" s="20">
        <f>AEZ7</f>
        <v/>
      </c>
      <c r="AFA39" s="20">
        <f>AFA7</f>
        <v/>
      </c>
      <c r="AFB39" s="20">
        <f>AFB7</f>
        <v/>
      </c>
      <c r="AFC39" s="20">
        <f>AFC7</f>
        <v/>
      </c>
      <c r="AFD39" s="20">
        <f>AFD7</f>
        <v/>
      </c>
      <c r="AFE39" s="20">
        <f>AFE7</f>
        <v/>
      </c>
      <c r="AFF39" s="20">
        <f>AFF7</f>
        <v/>
      </c>
      <c r="AFG39" s="20">
        <f>AFG7</f>
        <v/>
      </c>
      <c r="AFH39" s="20">
        <f>AFH7</f>
        <v/>
      </c>
      <c r="AFI39" s="20">
        <f>AFI7</f>
        <v/>
      </c>
      <c r="AFJ39" s="20">
        <f>AFJ7</f>
        <v/>
      </c>
      <c r="AFK39" s="20">
        <f>AFK7</f>
        <v/>
      </c>
      <c r="AFL39" s="20">
        <f>AFL7</f>
        <v/>
      </c>
      <c r="AFM39" s="20">
        <f>AFM7</f>
        <v/>
      </c>
      <c r="AFN39" s="20">
        <f>AFN7</f>
        <v/>
      </c>
      <c r="AFO39" s="20">
        <f>AFO7</f>
        <v/>
      </c>
      <c r="AFP39" s="20">
        <f>AFP7</f>
        <v/>
      </c>
      <c r="AFQ39" s="20">
        <f>AFQ7</f>
        <v/>
      </c>
      <c r="AFR39" s="20">
        <f>AFR7</f>
        <v/>
      </c>
      <c r="AFS39" s="20">
        <f>AFS7</f>
        <v/>
      </c>
      <c r="AFT39" s="127">
        <f>SUM(AEO39:AFS39)</f>
        <v/>
      </c>
      <c r="AFU39" s="20">
        <f>AFU7</f>
        <v/>
      </c>
      <c r="AFV39" s="20">
        <f>AFV7</f>
        <v/>
      </c>
      <c r="AFW39" s="20">
        <f>AFW7</f>
        <v/>
      </c>
      <c r="AFX39" s="20">
        <f>AFX7</f>
        <v/>
      </c>
      <c r="AFY39" s="20">
        <f>AFY7</f>
        <v/>
      </c>
      <c r="AFZ39" s="20">
        <f>AFZ7</f>
        <v/>
      </c>
      <c r="AGA39" s="20">
        <f>AGA7</f>
        <v/>
      </c>
      <c r="AGB39" s="20">
        <f>AGB7</f>
        <v/>
      </c>
      <c r="AGC39" s="20">
        <f>AGC7</f>
        <v/>
      </c>
      <c r="AGD39" s="20">
        <f>AGD7</f>
        <v/>
      </c>
      <c r="AGE39" s="20">
        <f>AGE7</f>
        <v/>
      </c>
      <c r="AGF39" s="20">
        <f>AGF7</f>
        <v/>
      </c>
      <c r="AGG39" s="20">
        <f>AGG7</f>
        <v/>
      </c>
      <c r="AGH39" s="20">
        <f>AGH7</f>
        <v/>
      </c>
      <c r="AGI39" s="20">
        <f>AGI7</f>
        <v/>
      </c>
      <c r="AGJ39" s="20">
        <f>AGJ7</f>
        <v/>
      </c>
      <c r="AGK39" s="20">
        <f>AGK7</f>
        <v/>
      </c>
      <c r="AGL39" s="20">
        <f>AGL7</f>
        <v/>
      </c>
      <c r="AGM39" s="20">
        <f>AGM7</f>
        <v/>
      </c>
      <c r="AGN39" s="20">
        <f>AGN7</f>
        <v/>
      </c>
      <c r="AGO39" s="20">
        <f>AGO7</f>
        <v/>
      </c>
      <c r="AGP39" s="20">
        <f>AGP7</f>
        <v/>
      </c>
      <c r="AGQ39" s="20">
        <f>AGQ7</f>
        <v/>
      </c>
      <c r="AGR39" s="20">
        <f>AGR7</f>
        <v/>
      </c>
      <c r="AGS39" s="20">
        <f>AGS7</f>
        <v/>
      </c>
      <c r="AGT39" s="20">
        <f>AGT7</f>
        <v/>
      </c>
      <c r="AGU39" s="20">
        <f>AGU7</f>
        <v/>
      </c>
      <c r="AGV39" s="20">
        <f>AGV7</f>
        <v/>
      </c>
      <c r="AGW39" s="20">
        <f>AGW7</f>
        <v/>
      </c>
      <c r="AGX39" s="20">
        <f>AGX7</f>
        <v/>
      </c>
      <c r="AGY39" s="127">
        <f>SUM(AFU39:AGX39)</f>
        <v/>
      </c>
      <c r="AGZ39" s="20">
        <f>AGZ7</f>
        <v/>
      </c>
      <c r="AHA39" s="20">
        <f>AHA7</f>
        <v/>
      </c>
      <c r="AHB39" s="20">
        <f>AHB7</f>
        <v/>
      </c>
      <c r="AHC39" s="20">
        <f>AHC7</f>
        <v/>
      </c>
      <c r="AHD39" s="20">
        <f>AHD7</f>
        <v/>
      </c>
      <c r="AHE39" s="20">
        <f>AHE7</f>
        <v/>
      </c>
      <c r="AHF39" s="20">
        <f>AHF7</f>
        <v/>
      </c>
      <c r="AHG39" s="20">
        <f>AHG7</f>
        <v/>
      </c>
      <c r="AHH39" s="20">
        <f>AHH7</f>
        <v/>
      </c>
      <c r="AHI39" s="20">
        <f>AHI7</f>
        <v/>
      </c>
      <c r="AHJ39" s="20">
        <f>AHJ7</f>
        <v/>
      </c>
      <c r="AHK39" s="20">
        <f>AHK7</f>
        <v/>
      </c>
      <c r="AHL39" s="20">
        <f>AHL7</f>
        <v/>
      </c>
      <c r="AHM39" s="20">
        <f>AHM7</f>
        <v/>
      </c>
      <c r="AHN39" s="20">
        <f>AHN7</f>
        <v/>
      </c>
      <c r="AHO39" s="20">
        <f>AHO7</f>
        <v/>
      </c>
      <c r="AHP39" s="20">
        <f>AHP7</f>
        <v/>
      </c>
      <c r="AHQ39" s="20">
        <f>AHQ7</f>
        <v/>
      </c>
      <c r="AHR39" s="20">
        <f>AHR7</f>
        <v/>
      </c>
      <c r="AHS39" s="20">
        <f>AHS7</f>
        <v/>
      </c>
      <c r="AHT39" s="20">
        <f>AHT7</f>
        <v/>
      </c>
      <c r="AHU39" s="20">
        <f>AHU7</f>
        <v/>
      </c>
      <c r="AHV39" s="20">
        <f>AHV7</f>
        <v/>
      </c>
      <c r="AHW39" s="20">
        <f>AHW7</f>
        <v/>
      </c>
      <c r="AHX39" s="20">
        <f>AHX7</f>
        <v/>
      </c>
      <c r="AHY39" s="20">
        <f>AHY7</f>
        <v/>
      </c>
      <c r="AHZ39" s="20">
        <f>AHZ7</f>
        <v/>
      </c>
      <c r="AIA39" s="20">
        <f>AIA7</f>
        <v/>
      </c>
      <c r="AIB39" s="20">
        <f>AIB7</f>
        <v/>
      </c>
      <c r="AIC39" s="20">
        <f>AIC7</f>
        <v/>
      </c>
      <c r="AID39" s="20">
        <f>AID7</f>
        <v/>
      </c>
      <c r="AIE39" s="127">
        <f>SUM(AGZ39:AID39)</f>
        <v/>
      </c>
      <c r="AIF39" s="20">
        <f>AIF7</f>
        <v/>
      </c>
      <c r="AIG39" s="20">
        <f>AIG7</f>
        <v/>
      </c>
      <c r="AIH39" s="20">
        <f>AIH7</f>
        <v/>
      </c>
      <c r="AII39" s="20">
        <f>AII7</f>
        <v/>
      </c>
      <c r="AIJ39" s="20">
        <f>AIJ7</f>
        <v/>
      </c>
      <c r="AIK39" s="20">
        <f>AIK7</f>
        <v/>
      </c>
      <c r="AIL39" s="20">
        <f>AIL7</f>
        <v/>
      </c>
      <c r="AIM39" s="20">
        <f>AIM7</f>
        <v/>
      </c>
      <c r="AIN39" s="20">
        <f>AIN7</f>
        <v/>
      </c>
      <c r="AIO39" s="20">
        <f>AIO7</f>
        <v/>
      </c>
      <c r="AIP39" s="20">
        <f>AIP7</f>
        <v/>
      </c>
      <c r="AIQ39" s="20">
        <f>AIQ7</f>
        <v/>
      </c>
      <c r="AIR39" s="20">
        <f>AIR7</f>
        <v/>
      </c>
      <c r="AIS39" s="20">
        <f>AIS7</f>
        <v/>
      </c>
      <c r="AIT39" s="20">
        <f>AIT7</f>
        <v/>
      </c>
      <c r="AIU39" s="20">
        <f>AIU7</f>
        <v/>
      </c>
      <c r="AIV39" s="20">
        <f>AIV7</f>
        <v/>
      </c>
      <c r="AIW39" s="20">
        <f>AIW7</f>
        <v/>
      </c>
      <c r="AIX39" s="20">
        <f>AIX7</f>
        <v/>
      </c>
      <c r="AIY39" s="20">
        <f>AIY7</f>
        <v/>
      </c>
      <c r="AIZ39" s="20">
        <f>AIZ7</f>
        <v/>
      </c>
      <c r="AJA39" s="20">
        <f>AJA7</f>
        <v/>
      </c>
      <c r="AJB39" s="20">
        <f>AJB7</f>
        <v/>
      </c>
      <c r="AJC39" s="20">
        <f>AJC7</f>
        <v/>
      </c>
      <c r="AJD39" s="20">
        <f>AJD7</f>
        <v/>
      </c>
      <c r="AJE39" s="20">
        <f>AJE7</f>
        <v/>
      </c>
      <c r="AJF39" s="20">
        <f>AJF7</f>
        <v/>
      </c>
      <c r="AJG39" s="20">
        <f>AJG7</f>
        <v/>
      </c>
      <c r="AJH39" s="20">
        <f>AJH7</f>
        <v/>
      </c>
      <c r="AJI39" s="20">
        <f>AJI7</f>
        <v/>
      </c>
      <c r="AJJ39" s="20">
        <f>AJJ7</f>
        <v/>
      </c>
      <c r="AJK39" s="127">
        <f>SUM(AIF39:AJJ39)</f>
        <v/>
      </c>
      <c r="AJL39" s="20">
        <f>AJL7</f>
        <v/>
      </c>
      <c r="AJM39" s="20">
        <f>AJM7</f>
        <v/>
      </c>
      <c r="AJN39" s="20">
        <f>AJN7</f>
        <v/>
      </c>
      <c r="AJO39" s="20">
        <f>AJO7</f>
        <v/>
      </c>
      <c r="AJP39" s="20">
        <f>AJP7</f>
        <v/>
      </c>
      <c r="AJQ39" s="20">
        <f>AJQ7</f>
        <v/>
      </c>
      <c r="AJR39" s="20">
        <f>AJR7</f>
        <v/>
      </c>
      <c r="AJS39" s="20">
        <f>AJS7</f>
        <v/>
      </c>
      <c r="AJT39" s="20">
        <f>AJT7</f>
        <v/>
      </c>
      <c r="AJU39" s="20">
        <f>AJU7</f>
        <v/>
      </c>
      <c r="AJV39" s="20">
        <f>AJV7</f>
        <v/>
      </c>
      <c r="AJW39" s="20">
        <f>AJW7</f>
        <v/>
      </c>
      <c r="AJX39" s="20">
        <f>AJX7</f>
        <v/>
      </c>
      <c r="AJY39" s="20">
        <f>AJY7</f>
        <v/>
      </c>
      <c r="AJZ39" s="20">
        <f>AJZ7</f>
        <v/>
      </c>
      <c r="AKA39" s="20">
        <f>AKA7</f>
        <v/>
      </c>
      <c r="AKB39" s="20">
        <f>AKB7</f>
        <v/>
      </c>
      <c r="AKC39" s="20">
        <f>AKC7</f>
        <v/>
      </c>
      <c r="AKD39" s="20">
        <f>AKD7</f>
        <v/>
      </c>
      <c r="AKE39" s="20">
        <f>AKE7</f>
        <v/>
      </c>
      <c r="AKF39" s="20">
        <f>AKF7</f>
        <v/>
      </c>
      <c r="AKG39" s="20">
        <f>AKG7</f>
        <v/>
      </c>
      <c r="AKH39" s="20">
        <f>AKH7</f>
        <v/>
      </c>
      <c r="AKI39" s="20">
        <f>AKI7</f>
        <v/>
      </c>
      <c r="AKJ39" s="20">
        <f>AKJ7</f>
        <v/>
      </c>
      <c r="AKK39" s="20">
        <f>AKK7</f>
        <v/>
      </c>
      <c r="AKL39" s="20">
        <f>AKL7</f>
        <v/>
      </c>
      <c r="AKM39" s="20">
        <f>AKM7</f>
        <v/>
      </c>
      <c r="AKN39" s="127">
        <f>SUM(AJL39:AKM39)</f>
        <v/>
      </c>
      <c r="AKO39" s="20">
        <f>AKO7</f>
        <v/>
      </c>
      <c r="AKP39" s="20">
        <f>AKP7</f>
        <v/>
      </c>
      <c r="AKQ39" s="20">
        <f>AKQ7</f>
        <v/>
      </c>
      <c r="AKR39" s="20">
        <f>AKR7</f>
        <v/>
      </c>
      <c r="AKS39" s="20">
        <f>AKS7</f>
        <v/>
      </c>
      <c r="AKT39" s="20">
        <f>AKT7</f>
        <v/>
      </c>
      <c r="AKU39" s="20">
        <f>AKU7</f>
        <v/>
      </c>
      <c r="AKV39" s="20">
        <f>AKV7</f>
        <v/>
      </c>
      <c r="AKW39" s="20">
        <f>AKW7</f>
        <v/>
      </c>
      <c r="AKX39" s="20">
        <f>AKX7</f>
        <v/>
      </c>
      <c r="AKY39" s="20">
        <f>AKY7</f>
        <v/>
      </c>
      <c r="AKZ39" s="20">
        <f>AKZ7</f>
        <v/>
      </c>
      <c r="ALA39" s="20">
        <f>ALA7</f>
        <v/>
      </c>
      <c r="ALB39" s="20">
        <f>ALB7</f>
        <v/>
      </c>
      <c r="ALC39" s="20">
        <f>ALC7</f>
        <v/>
      </c>
      <c r="ALD39" s="20">
        <f>ALD7</f>
        <v/>
      </c>
      <c r="ALE39" s="20">
        <f>ALE7</f>
        <v/>
      </c>
      <c r="ALF39" s="20">
        <f>ALF7</f>
        <v/>
      </c>
      <c r="ALG39" s="20">
        <f>ALG7</f>
        <v/>
      </c>
      <c r="ALH39" s="20">
        <f>ALH7</f>
        <v/>
      </c>
      <c r="ALI39" s="20">
        <f>ALI7</f>
        <v/>
      </c>
      <c r="ALJ39" s="20">
        <f>ALJ7</f>
        <v/>
      </c>
      <c r="ALK39" s="20">
        <f>ALK7</f>
        <v/>
      </c>
      <c r="ALL39" s="20">
        <f>ALL7</f>
        <v/>
      </c>
      <c r="ALM39" s="20">
        <f>ALM7</f>
        <v/>
      </c>
      <c r="ALN39" s="20">
        <f>ALN7</f>
        <v/>
      </c>
      <c r="ALO39" s="20">
        <f>ALO7</f>
        <v/>
      </c>
      <c r="ALP39" s="20">
        <f>ALP7</f>
        <v/>
      </c>
      <c r="ALQ39" s="20">
        <f>ALQ7</f>
        <v/>
      </c>
      <c r="ALR39" s="20">
        <f>ALR7</f>
        <v/>
      </c>
      <c r="ALS39" s="20">
        <f>ALS7</f>
        <v/>
      </c>
      <c r="ALT39" s="127">
        <f>SUM(AKO39:ALS39)</f>
        <v/>
      </c>
      <c r="ALU39" s="20">
        <f>ALU7</f>
        <v/>
      </c>
      <c r="ALV39" s="20">
        <f>ALV7</f>
        <v/>
      </c>
      <c r="ALW39" s="20">
        <f>ALW7</f>
        <v/>
      </c>
      <c r="ALX39" s="20">
        <f>ALX7</f>
        <v/>
      </c>
      <c r="ALY39" s="20">
        <f>ALY7</f>
        <v/>
      </c>
      <c r="ALZ39" s="20">
        <f>ALZ7</f>
        <v/>
      </c>
      <c r="AMA39" s="20">
        <f>AMA7</f>
        <v/>
      </c>
      <c r="AMB39" s="20">
        <f>AMB7</f>
        <v/>
      </c>
      <c r="AMC39" s="20">
        <f>AMC7</f>
        <v/>
      </c>
      <c r="AMD39" s="20">
        <f>AMD7</f>
        <v/>
      </c>
      <c r="AME39" s="20">
        <f>AME7</f>
        <v/>
      </c>
      <c r="AMF39" s="20">
        <f>AMF7</f>
        <v/>
      </c>
      <c r="AMG39" s="20">
        <f>AMG7</f>
        <v/>
      </c>
      <c r="AMH39" s="20">
        <f>AMH7</f>
        <v/>
      </c>
      <c r="AMI39" s="20">
        <f>AMI7</f>
        <v/>
      </c>
      <c r="AMJ39" s="20">
        <f>AMJ7</f>
        <v/>
      </c>
      <c r="AMK39" s="20">
        <f>AMK7</f>
        <v/>
      </c>
      <c r="AML39" s="20">
        <f>AML7</f>
        <v/>
      </c>
      <c r="AMM39" s="20">
        <f>AMM7</f>
        <v/>
      </c>
      <c r="AMN39" s="20">
        <f>AMN7</f>
        <v/>
      </c>
      <c r="AMO39" s="20">
        <f>AMO7</f>
        <v/>
      </c>
      <c r="AMP39" s="20">
        <f>AMP7</f>
        <v/>
      </c>
      <c r="AMQ39" s="20">
        <f>AMQ7</f>
        <v/>
      </c>
      <c r="AMR39" s="20">
        <f>AMR7</f>
        <v/>
      </c>
      <c r="AMS39" s="20">
        <f>AMS7</f>
        <v/>
      </c>
      <c r="AMT39" s="20">
        <f>AMT7</f>
        <v/>
      </c>
      <c r="AMU39" s="20">
        <f>AMU7</f>
        <v/>
      </c>
      <c r="AMV39" s="20">
        <f>AMV7</f>
        <v/>
      </c>
      <c r="AMW39" s="20">
        <f>AMW7</f>
        <v/>
      </c>
      <c r="AMX39" s="20">
        <f>AMX7</f>
        <v/>
      </c>
      <c r="AMY39" s="127">
        <f>SUM(ALU39:AMX39)</f>
        <v/>
      </c>
      <c r="AMZ39" s="20">
        <f>AMZ7</f>
        <v/>
      </c>
      <c r="ANA39" s="20">
        <f>ANA7</f>
        <v/>
      </c>
      <c r="ANB39" s="20">
        <f>ANB7</f>
        <v/>
      </c>
      <c r="ANC39" s="20">
        <f>ANC7</f>
        <v/>
      </c>
      <c r="AND39" s="20">
        <f>AND7</f>
        <v/>
      </c>
      <c r="ANE39" s="20">
        <f>ANE7</f>
        <v/>
      </c>
      <c r="ANF39" s="20">
        <f>ANF7</f>
        <v/>
      </c>
      <c r="ANG39" s="20">
        <f>ANG7</f>
        <v/>
      </c>
      <c r="ANH39" s="20">
        <f>ANH7</f>
        <v/>
      </c>
      <c r="ANI39" s="20">
        <f>ANI7</f>
        <v/>
      </c>
      <c r="ANJ39" s="20">
        <f>ANJ7</f>
        <v/>
      </c>
      <c r="ANK39" s="20">
        <f>ANK7</f>
        <v/>
      </c>
      <c r="ANL39" s="20">
        <f>ANL7</f>
        <v/>
      </c>
      <c r="ANM39" s="20">
        <f>ANM7</f>
        <v/>
      </c>
      <c r="ANN39" s="20">
        <f>ANN7</f>
        <v/>
      </c>
      <c r="ANO39" s="20">
        <f>ANO7</f>
        <v/>
      </c>
      <c r="ANP39" s="20">
        <f>ANP7</f>
        <v/>
      </c>
      <c r="ANQ39" s="20">
        <f>ANQ7</f>
        <v/>
      </c>
      <c r="ANR39" s="20">
        <f>ANR7</f>
        <v/>
      </c>
      <c r="ANS39" s="20">
        <f>ANS7</f>
        <v/>
      </c>
      <c r="ANT39" s="20">
        <f>ANT7</f>
        <v/>
      </c>
      <c r="ANU39" s="20">
        <f>ANU7</f>
        <v/>
      </c>
      <c r="ANV39" s="20">
        <f>ANV7</f>
        <v/>
      </c>
      <c r="ANW39" s="20">
        <f>ANW7</f>
        <v/>
      </c>
      <c r="ANX39" s="20">
        <f>ANX7</f>
        <v/>
      </c>
      <c r="ANY39" s="20">
        <f>ANY7</f>
        <v/>
      </c>
      <c r="ANZ39" s="20">
        <f>ANZ7</f>
        <v/>
      </c>
      <c r="AOA39" s="20">
        <f>AOA7</f>
        <v/>
      </c>
      <c r="AOB39" s="20">
        <f>AOB7</f>
        <v/>
      </c>
      <c r="AOC39" s="20">
        <f>AOC7</f>
        <v/>
      </c>
    </row>
    <row r="40">
      <c r="B40" s="34" t="inlineStr">
        <is>
          <t>CLOSING STOCK</t>
        </is>
      </c>
      <c r="C40" s="35">
        <f>C38-C39</f>
        <v/>
      </c>
      <c r="D40" s="35">
        <f>D38-D39</f>
        <v/>
      </c>
      <c r="E40" s="35">
        <f>E38-E39</f>
        <v/>
      </c>
      <c r="F40" s="35">
        <f>F38-F39</f>
        <v/>
      </c>
      <c r="G40" s="35">
        <f>G38-G39</f>
        <v/>
      </c>
      <c r="H40" s="35">
        <f>H38-H39</f>
        <v/>
      </c>
      <c r="I40" s="35">
        <f>I38-I39</f>
        <v/>
      </c>
      <c r="J40" s="35">
        <f>J38-J39</f>
        <v/>
      </c>
      <c r="K40" s="35">
        <f>K38-K39</f>
        <v/>
      </c>
      <c r="L40" s="35">
        <f>L38-L39</f>
        <v/>
      </c>
      <c r="M40" s="35">
        <f>M38-M39</f>
        <v/>
      </c>
      <c r="N40" s="35">
        <f>N38-N39</f>
        <v/>
      </c>
      <c r="O40" s="35">
        <f>O38-O39</f>
        <v/>
      </c>
      <c r="P40" s="35">
        <f>P38-P39</f>
        <v/>
      </c>
      <c r="Q40" s="35">
        <f>Q38-Q39</f>
        <v/>
      </c>
      <c r="R40" s="35">
        <f>R38-R39</f>
        <v/>
      </c>
      <c r="S40" s="35">
        <f>S38-S39</f>
        <v/>
      </c>
      <c r="T40" s="35">
        <f>T38-T39</f>
        <v/>
      </c>
      <c r="U40" s="35">
        <f>U38-U39</f>
        <v/>
      </c>
      <c r="V40" s="35">
        <f>V38-V39</f>
        <v/>
      </c>
      <c r="W40" s="35">
        <f>W38-W39</f>
        <v/>
      </c>
      <c r="X40" s="35">
        <f>X38-X39</f>
        <v/>
      </c>
      <c r="Y40" s="35">
        <f>Y38-Y39</f>
        <v/>
      </c>
      <c r="Z40" s="35">
        <f>Z38-Z39</f>
        <v/>
      </c>
      <c r="AA40" s="35">
        <f>AA38-AA39</f>
        <v/>
      </c>
      <c r="AB40" s="35">
        <f>AB38-AB39</f>
        <v/>
      </c>
      <c r="AC40" s="35">
        <f>AC38-AC39</f>
        <v/>
      </c>
      <c r="AD40" s="35">
        <f>AD38-AD39</f>
        <v/>
      </c>
      <c r="AE40" s="35">
        <f>AE38-AE39</f>
        <v/>
      </c>
      <c r="AF40" s="35">
        <f>AF38-AF39</f>
        <v/>
      </c>
      <c r="AG40" s="35">
        <f>AG38-AG39</f>
        <v/>
      </c>
      <c r="AH40" s="94">
        <f>SUM(C40:AG40)</f>
        <v/>
      </c>
      <c r="AI40" s="35">
        <f>AI38-AI39</f>
        <v/>
      </c>
      <c r="AJ40" s="35">
        <f>AJ38-AJ39</f>
        <v/>
      </c>
      <c r="AK40" s="35">
        <f>AK38-AK39</f>
        <v/>
      </c>
      <c r="AL40" s="35">
        <f>AL38-AL39</f>
        <v/>
      </c>
      <c r="AM40" s="35">
        <f>AM38-AM39</f>
        <v/>
      </c>
      <c r="AN40" s="35">
        <f>AN38-AN39</f>
        <v/>
      </c>
      <c r="AO40" s="35">
        <f>AO38-AO39</f>
        <v/>
      </c>
      <c r="AP40" s="35">
        <f>AP38-AP39</f>
        <v/>
      </c>
      <c r="AQ40" s="35">
        <f>AQ38-AQ39</f>
        <v/>
      </c>
      <c r="AR40" s="35">
        <f>AR38-AR39</f>
        <v/>
      </c>
      <c r="AS40" s="35">
        <f>AS38-AS39</f>
        <v/>
      </c>
      <c r="AT40" s="35">
        <f>AT38-AT39</f>
        <v/>
      </c>
      <c r="AU40" s="35">
        <f>AU38-AU39</f>
        <v/>
      </c>
      <c r="AV40" s="35">
        <f>AV38-AV39</f>
        <v/>
      </c>
      <c r="AW40" s="35">
        <f>AW38-AW39</f>
        <v/>
      </c>
      <c r="AX40" s="35">
        <f>AX38-AX39</f>
        <v/>
      </c>
      <c r="AY40" s="35">
        <f>AY38-AY39</f>
        <v/>
      </c>
      <c r="AZ40" s="35">
        <f>AZ38-AZ39</f>
        <v/>
      </c>
      <c r="BA40" s="35">
        <f>BA38-BA39</f>
        <v/>
      </c>
      <c r="BB40" s="35">
        <f>BB38-BB39</f>
        <v/>
      </c>
      <c r="BC40" s="35">
        <f>BC38-BC39</f>
        <v/>
      </c>
      <c r="BD40" s="35">
        <f>BD38-BD39</f>
        <v/>
      </c>
      <c r="BE40" s="35">
        <f>BE38-BE39</f>
        <v/>
      </c>
      <c r="BF40" s="35">
        <f>BF38-BF39</f>
        <v/>
      </c>
      <c r="BG40" s="35">
        <f>BG38-BG39</f>
        <v/>
      </c>
      <c r="BH40" s="35">
        <f>BH38-BH39</f>
        <v/>
      </c>
      <c r="BI40" s="35">
        <f>BI38-BI39</f>
        <v/>
      </c>
      <c r="BJ40" s="35">
        <f>BJ38-BJ39</f>
        <v/>
      </c>
      <c r="BK40" s="35">
        <f>BK38-BK39</f>
        <v/>
      </c>
      <c r="BL40" s="35">
        <f>BL38-BL39</f>
        <v/>
      </c>
      <c r="BM40" s="97">
        <f>SUM(AI40:BL40)</f>
        <v/>
      </c>
      <c r="BN40" s="35">
        <f>BN38-BN39</f>
        <v/>
      </c>
      <c r="BO40" s="35">
        <f>BO38-BO39</f>
        <v/>
      </c>
      <c r="BP40" s="35">
        <f>BP38-BP39</f>
        <v/>
      </c>
      <c r="BQ40" s="35">
        <f>BQ38-BQ39</f>
        <v/>
      </c>
      <c r="BR40" s="35">
        <f>BR38-BR39</f>
        <v/>
      </c>
      <c r="BS40" s="35">
        <f>BS38-BS39</f>
        <v/>
      </c>
      <c r="BT40" s="35">
        <f>BT38-BT39</f>
        <v/>
      </c>
      <c r="BU40" s="35">
        <f>BU38-BU39</f>
        <v/>
      </c>
      <c r="BV40" s="35">
        <f>BV38-BV39</f>
        <v/>
      </c>
      <c r="BW40" s="35">
        <f>BW38-BW39</f>
        <v/>
      </c>
      <c r="BX40" s="35">
        <f>BX38-BX39</f>
        <v/>
      </c>
      <c r="BY40" s="35">
        <f>BY38-BY39</f>
        <v/>
      </c>
      <c r="BZ40" s="35">
        <f>BZ38-BZ39</f>
        <v/>
      </c>
      <c r="CA40" s="35">
        <f>CA38-CA39</f>
        <v/>
      </c>
      <c r="CB40" s="35">
        <f>CB38-CB39</f>
        <v/>
      </c>
      <c r="CC40" s="35">
        <f>CC38-CC39</f>
        <v/>
      </c>
      <c r="CD40" s="35">
        <f>CD38-CD39</f>
        <v/>
      </c>
      <c r="CE40" s="35">
        <f>CE38-CE39</f>
        <v/>
      </c>
      <c r="CF40" s="35">
        <f>CF38-CF39</f>
        <v/>
      </c>
      <c r="CG40" s="35">
        <f>CG38-CG39</f>
        <v/>
      </c>
      <c r="CH40" s="35">
        <f>CH38-CH39</f>
        <v/>
      </c>
      <c r="CI40" s="35">
        <f>CI38-CI39</f>
        <v/>
      </c>
      <c r="CJ40" s="35">
        <f>CJ38-CJ39</f>
        <v/>
      </c>
      <c r="CK40" s="35">
        <f>CK38-CK39</f>
        <v/>
      </c>
      <c r="CL40" s="35">
        <f>CL38-CL39</f>
        <v/>
      </c>
      <c r="CM40" s="35">
        <f>CM38-CM39</f>
        <v/>
      </c>
      <c r="CN40" s="35">
        <f>CN38-CN39</f>
        <v/>
      </c>
      <c r="CO40" s="35">
        <f>CO38-CO39</f>
        <v/>
      </c>
      <c r="CP40" s="35">
        <f>CP38-CP39</f>
        <v/>
      </c>
      <c r="CQ40" s="35">
        <f>CQ38-CQ39</f>
        <v/>
      </c>
      <c r="CR40" s="35">
        <f>CR38-CR39</f>
        <v/>
      </c>
      <c r="CS40" s="111">
        <f>SUM(BN40:CR40)</f>
        <v/>
      </c>
      <c r="CT40" s="35">
        <f>CT38-CT39</f>
        <v/>
      </c>
      <c r="CU40" s="35">
        <f>CU38-CU39</f>
        <v/>
      </c>
      <c r="CV40" s="35">
        <f>CV38-CV39</f>
        <v/>
      </c>
      <c r="CW40" s="35">
        <f>CW38-CW39</f>
        <v/>
      </c>
      <c r="CX40" s="35">
        <f>CX38-CX39</f>
        <v/>
      </c>
      <c r="CY40" s="35">
        <f>CY38-CY39</f>
        <v/>
      </c>
      <c r="CZ40" s="35">
        <f>CZ38-CZ39</f>
        <v/>
      </c>
      <c r="DA40" s="35">
        <f>DA38-DA39</f>
        <v/>
      </c>
      <c r="DB40" s="35">
        <f>DB38-DB39</f>
        <v/>
      </c>
      <c r="DC40" s="35">
        <f>DC38-DC39</f>
        <v/>
      </c>
      <c r="DD40" s="35">
        <f>DD38-DD39</f>
        <v/>
      </c>
      <c r="DE40" s="35">
        <f>DE38-DE39</f>
        <v/>
      </c>
      <c r="DF40" s="35">
        <f>DF38-DF39</f>
        <v/>
      </c>
      <c r="DG40" s="35">
        <f>DG38-DG39</f>
        <v/>
      </c>
      <c r="DH40" s="35">
        <f>DH38-DH39</f>
        <v/>
      </c>
      <c r="DI40" s="35">
        <f>DI38-DI39</f>
        <v/>
      </c>
      <c r="DJ40" s="35">
        <f>DJ38-DJ39</f>
        <v/>
      </c>
      <c r="DK40" s="35">
        <f>DK38-DK39</f>
        <v/>
      </c>
      <c r="DL40" s="35">
        <f>DL38-DL39</f>
        <v/>
      </c>
      <c r="DM40" s="35">
        <f>DM38-DM39</f>
        <v/>
      </c>
      <c r="DN40" s="35">
        <f>DN38-DN39</f>
        <v/>
      </c>
      <c r="DO40" s="35">
        <f>DO38-DO39</f>
        <v/>
      </c>
      <c r="DP40" s="35">
        <f>DP38-DP39</f>
        <v/>
      </c>
      <c r="DQ40" s="35">
        <f>DQ38-DQ39</f>
        <v/>
      </c>
      <c r="DR40" s="35">
        <f>DR38-DR39</f>
        <v/>
      </c>
      <c r="DS40" s="35">
        <f>DS38-DS39</f>
        <v/>
      </c>
      <c r="DT40" s="35">
        <f>DT38-DT39</f>
        <v/>
      </c>
      <c r="DU40" s="35">
        <f>DU38-DU39</f>
        <v/>
      </c>
      <c r="DV40" s="35">
        <f>DV38-DV39</f>
        <v/>
      </c>
      <c r="DW40" s="35">
        <f>DW38-DW39</f>
        <v/>
      </c>
      <c r="DX40" s="119" t="n"/>
      <c r="DY40" s="35">
        <f>DY38-DY39</f>
        <v/>
      </c>
      <c r="DZ40" s="35">
        <f>DZ38-DZ39</f>
        <v/>
      </c>
      <c r="EA40" s="35">
        <f>EA38-EA39</f>
        <v/>
      </c>
      <c r="EB40" s="35">
        <f>EB38-EB39</f>
        <v/>
      </c>
      <c r="EC40" s="35">
        <f>EC38-EC39</f>
        <v/>
      </c>
      <c r="ED40" s="35">
        <f>ED38-ED39</f>
        <v/>
      </c>
      <c r="EE40" s="35">
        <f>EE38-EE39</f>
        <v/>
      </c>
      <c r="EF40" s="35">
        <f>EF38-EF39</f>
        <v/>
      </c>
      <c r="EG40" s="35">
        <f>EG38-EG39</f>
        <v/>
      </c>
      <c r="EH40" s="35">
        <f>EH38-EH39</f>
        <v/>
      </c>
      <c r="EI40" s="35">
        <f>EI38-EI39</f>
        <v/>
      </c>
      <c r="EJ40" s="35">
        <f>EJ38-EJ39</f>
        <v/>
      </c>
      <c r="EK40" s="35">
        <f>EK38-EK39</f>
        <v/>
      </c>
      <c r="EL40" s="35">
        <f>EL38-EL39</f>
        <v/>
      </c>
      <c r="EM40" s="35">
        <f>EM38-EM39</f>
        <v/>
      </c>
      <c r="EN40" s="35">
        <f>EN38-EN39</f>
        <v/>
      </c>
      <c r="EO40" s="35">
        <f>EO38-EO39</f>
        <v/>
      </c>
      <c r="EP40" s="35">
        <f>EP38-EP39</f>
        <v/>
      </c>
      <c r="EQ40" s="35">
        <f>EQ38-EQ39</f>
        <v/>
      </c>
      <c r="ER40" s="35">
        <f>ER38-ER39</f>
        <v/>
      </c>
      <c r="ES40" s="35">
        <f>ES38-ES39</f>
        <v/>
      </c>
      <c r="ET40" s="35">
        <f>ET38-ET39</f>
        <v/>
      </c>
      <c r="EU40" s="35">
        <f>EU38-EU39</f>
        <v/>
      </c>
      <c r="EV40" s="35">
        <f>EV38-EV39</f>
        <v/>
      </c>
      <c r="EW40" s="35">
        <f>EW38-EW39</f>
        <v/>
      </c>
      <c r="EX40" s="35">
        <f>EX38-EX39</f>
        <v/>
      </c>
      <c r="EY40" s="35">
        <f>EY38-EY39</f>
        <v/>
      </c>
      <c r="EZ40" s="35">
        <f>EZ38-EZ39</f>
        <v/>
      </c>
      <c r="FA40" s="35">
        <f>FA38-FA39</f>
        <v/>
      </c>
      <c r="FB40" s="35">
        <f>FB38-FB39</f>
        <v/>
      </c>
      <c r="FC40" s="35">
        <f>FC38-FC39</f>
        <v/>
      </c>
      <c r="FD40" s="128" t="n"/>
      <c r="FE40" s="35">
        <f>FE38-FE39</f>
        <v/>
      </c>
      <c r="FF40" s="35">
        <f>FF38-FF39</f>
        <v/>
      </c>
      <c r="FG40" s="35">
        <f>FG38-FG39</f>
        <v/>
      </c>
      <c r="FH40" s="35">
        <f>FH38-FH39</f>
        <v/>
      </c>
      <c r="FI40" s="35">
        <f>FI38-FI39</f>
        <v/>
      </c>
      <c r="FJ40" s="35">
        <f>FJ38-FJ39</f>
        <v/>
      </c>
      <c r="FK40" s="35">
        <f>FK38-FK39</f>
        <v/>
      </c>
      <c r="FL40" s="35">
        <f>FL38-FL39</f>
        <v/>
      </c>
      <c r="FM40" s="35">
        <f>FM38-FM39</f>
        <v/>
      </c>
      <c r="FN40" s="35">
        <f>FN38-FN39</f>
        <v/>
      </c>
      <c r="FO40" s="35">
        <f>FO38-FO39</f>
        <v/>
      </c>
      <c r="FP40" s="35">
        <f>FP38-FP39</f>
        <v/>
      </c>
      <c r="FQ40" s="35">
        <f>FQ38-FQ39</f>
        <v/>
      </c>
      <c r="FR40" s="35">
        <f>FR38-FR39</f>
        <v/>
      </c>
      <c r="FS40" s="35">
        <f>FS38-FS39</f>
        <v/>
      </c>
      <c r="FT40" s="35">
        <f>FT38-FT39</f>
        <v/>
      </c>
      <c r="FU40" s="35">
        <f>FU38-FU39</f>
        <v/>
      </c>
      <c r="FV40" s="35">
        <f>FV38-FV39</f>
        <v/>
      </c>
      <c r="FW40" s="35">
        <f>FW38-FW39</f>
        <v/>
      </c>
      <c r="FX40" s="35">
        <f>FX38-FX39</f>
        <v/>
      </c>
      <c r="FY40" s="35">
        <f>FY38-FY39</f>
        <v/>
      </c>
      <c r="FZ40" s="35">
        <f>FZ38-FZ39</f>
        <v/>
      </c>
      <c r="GA40" s="35">
        <f>GA38-GA39</f>
        <v/>
      </c>
      <c r="GB40" s="35">
        <f>GB38-GB39</f>
        <v/>
      </c>
      <c r="GC40" s="35">
        <f>GC38-GC39</f>
        <v/>
      </c>
      <c r="GD40" s="35">
        <f>GD38-GD39</f>
        <v/>
      </c>
      <c r="GE40" s="35">
        <f>GE38-GE39</f>
        <v/>
      </c>
      <c r="GF40" s="35">
        <f>GF38-GF39</f>
        <v/>
      </c>
      <c r="GG40" s="35">
        <f>GG38-GG39</f>
        <v/>
      </c>
      <c r="GH40" s="35">
        <f>GH38-GH39</f>
        <v/>
      </c>
      <c r="GI40" s="35">
        <f>GI38-GI39</f>
        <v/>
      </c>
      <c r="GJ40" s="127">
        <f>SUM(FE40:GI40)</f>
        <v/>
      </c>
      <c r="GK40" s="35">
        <f>GK38-GK39</f>
        <v/>
      </c>
      <c r="GL40" s="35">
        <f>GL38-GL39</f>
        <v/>
      </c>
      <c r="GM40" s="35">
        <f>GM38-GM39</f>
        <v/>
      </c>
      <c r="GN40" s="35">
        <f>GN38-GN39</f>
        <v/>
      </c>
      <c r="GO40" s="35">
        <f>GO38-GO39</f>
        <v/>
      </c>
      <c r="GP40" s="35">
        <f>GP38-GP39</f>
        <v/>
      </c>
      <c r="GQ40" s="35">
        <f>GQ38-GQ39</f>
        <v/>
      </c>
      <c r="GR40" s="35">
        <f>GR38-GR39</f>
        <v/>
      </c>
      <c r="GS40" s="35">
        <f>GS38-GS39</f>
        <v/>
      </c>
      <c r="GT40" s="35">
        <f>GT38-GT39</f>
        <v/>
      </c>
      <c r="GU40" s="35">
        <f>GU38-GU39</f>
        <v/>
      </c>
      <c r="GV40" s="35">
        <f>GV38-GV39</f>
        <v/>
      </c>
      <c r="GW40" s="35">
        <f>GW38-GW39</f>
        <v/>
      </c>
      <c r="GX40" s="35">
        <f>GX38-GX39</f>
        <v/>
      </c>
      <c r="GY40" s="35">
        <f>GY38-GY39</f>
        <v/>
      </c>
      <c r="GZ40" s="35">
        <f>GZ38-GZ39</f>
        <v/>
      </c>
      <c r="HA40" s="35">
        <f>HA38-HA39</f>
        <v/>
      </c>
      <c r="HB40" s="35">
        <f>HB38-HB39</f>
        <v/>
      </c>
      <c r="HC40" s="35">
        <f>HC38-HC39</f>
        <v/>
      </c>
      <c r="HD40" s="35">
        <f>HD38-HD39</f>
        <v/>
      </c>
      <c r="HE40" s="35">
        <f>HE38-HE39</f>
        <v/>
      </c>
      <c r="HF40" s="35">
        <f>HF38-HF39</f>
        <v/>
      </c>
      <c r="HG40" s="35">
        <f>HG38-HG39</f>
        <v/>
      </c>
      <c r="HH40" s="35">
        <f>HH38-HH39</f>
        <v/>
      </c>
      <c r="HI40" s="35">
        <f>HI38-HI39</f>
        <v/>
      </c>
      <c r="HJ40" s="35">
        <f>HJ38-HJ39</f>
        <v/>
      </c>
      <c r="HK40" s="35">
        <f>HK38-HK39</f>
        <v/>
      </c>
      <c r="HL40" s="35">
        <f>HL38-HL39</f>
        <v/>
      </c>
      <c r="HM40" s="35">
        <f>HM38-HM39</f>
        <v/>
      </c>
      <c r="HN40" s="127">
        <f>SUM(GK40:HM40)</f>
        <v/>
      </c>
      <c r="HO40" s="35">
        <f>HO38-HO39</f>
        <v/>
      </c>
      <c r="HP40" s="35">
        <f>HP38-HP39</f>
        <v/>
      </c>
      <c r="HQ40" s="35">
        <f>HQ38-HQ39</f>
        <v/>
      </c>
      <c r="HR40" s="35">
        <f>HR38-HR39</f>
        <v/>
      </c>
      <c r="HS40" s="35">
        <f>HS38-HS39</f>
        <v/>
      </c>
      <c r="HT40" s="35">
        <f>HT38-HT39</f>
        <v/>
      </c>
      <c r="HU40" s="35">
        <f>HU38-HU39</f>
        <v/>
      </c>
      <c r="HV40" s="35">
        <f>HV38-HV39</f>
        <v/>
      </c>
      <c r="HW40" s="35">
        <f>HW38-HW39</f>
        <v/>
      </c>
      <c r="HX40" s="35">
        <f>HX38-HX39</f>
        <v/>
      </c>
      <c r="HY40" s="35">
        <f>HY38-HY39</f>
        <v/>
      </c>
      <c r="HZ40" s="35">
        <f>HZ38-HZ39</f>
        <v/>
      </c>
      <c r="IA40" s="35">
        <f>IA38-IA39</f>
        <v/>
      </c>
      <c r="IB40" s="35">
        <f>IB38-IB39</f>
        <v/>
      </c>
      <c r="IC40" s="35">
        <f>IC38-IC39</f>
        <v/>
      </c>
      <c r="ID40" s="35">
        <f>ID38-ID39</f>
        <v/>
      </c>
      <c r="IE40" s="35">
        <f>IE38-IE39</f>
        <v/>
      </c>
      <c r="IF40" s="35">
        <f>IF38-IF39</f>
        <v/>
      </c>
      <c r="IG40" s="35">
        <f>IG38-IG39</f>
        <v/>
      </c>
      <c r="IH40" s="35">
        <f>IH38-IH39</f>
        <v/>
      </c>
      <c r="II40" s="35">
        <f>II38-II39</f>
        <v/>
      </c>
      <c r="IJ40" s="35">
        <f>IJ38-IJ39</f>
        <v/>
      </c>
      <c r="IK40" s="35">
        <f>IK38-IK39</f>
        <v/>
      </c>
      <c r="IL40" s="35">
        <f>IL38-IL39</f>
        <v/>
      </c>
      <c r="IM40" s="35">
        <f>IM38-IM39</f>
        <v/>
      </c>
      <c r="IN40" s="35">
        <f>IN38-IN39</f>
        <v/>
      </c>
      <c r="IO40" s="35">
        <f>IO38-IO39</f>
        <v/>
      </c>
      <c r="IP40" s="35">
        <f>IP38-IP39</f>
        <v/>
      </c>
      <c r="IQ40" s="35">
        <f>IQ38-IQ39</f>
        <v/>
      </c>
      <c r="IR40" s="35">
        <f>IR38-IR39</f>
        <v/>
      </c>
      <c r="IS40" s="35">
        <f>IS38-IS39</f>
        <v/>
      </c>
      <c r="IT40" s="127">
        <f>SUM(HO40:IS40)</f>
        <v/>
      </c>
      <c r="IU40" s="35">
        <f>IU38-IU39</f>
        <v/>
      </c>
      <c r="IV40" s="35">
        <f>IV38-IV39</f>
        <v/>
      </c>
      <c r="IW40" s="35">
        <f>IW38-IW39</f>
        <v/>
      </c>
      <c r="IX40" s="35">
        <f>IX38-IX39</f>
        <v/>
      </c>
      <c r="IY40" s="35">
        <f>IY38-IY39</f>
        <v/>
      </c>
      <c r="IZ40" s="35">
        <f>IZ38-IZ39</f>
        <v/>
      </c>
      <c r="JA40" s="35">
        <f>JA38-JA39</f>
        <v/>
      </c>
      <c r="JB40" s="35">
        <f>JB38-JB39</f>
        <v/>
      </c>
      <c r="JC40" s="35">
        <f>JC38-JC39</f>
        <v/>
      </c>
      <c r="JD40" s="35">
        <f>JD38-JD39</f>
        <v/>
      </c>
      <c r="JE40" s="35">
        <f>JE38-JE39</f>
        <v/>
      </c>
      <c r="JF40" s="35">
        <f>JF38-JF39</f>
        <v/>
      </c>
      <c r="JG40" s="35">
        <f>JG38-JG39</f>
        <v/>
      </c>
      <c r="JH40" s="35">
        <f>JH38-JH39</f>
        <v/>
      </c>
      <c r="JI40" s="35">
        <f>JI38-JI39</f>
        <v/>
      </c>
      <c r="JJ40" s="35">
        <f>JJ38-JJ39</f>
        <v/>
      </c>
      <c r="JK40" s="35">
        <f>JK38-JK39</f>
        <v/>
      </c>
      <c r="JL40" s="35">
        <f>JL38-JL39</f>
        <v/>
      </c>
      <c r="JM40" s="35">
        <f>JM38-JM39</f>
        <v/>
      </c>
      <c r="JN40" s="35">
        <f>JN38-JN39</f>
        <v/>
      </c>
      <c r="JO40" s="35">
        <f>JO38-JO39</f>
        <v/>
      </c>
      <c r="JP40" s="35">
        <f>JP38-JP39</f>
        <v/>
      </c>
      <c r="JQ40" s="35">
        <f>JQ38-JQ39</f>
        <v/>
      </c>
      <c r="JR40" s="35">
        <f>JR38-JR39</f>
        <v/>
      </c>
      <c r="JS40" s="35">
        <f>JS38-JS39</f>
        <v/>
      </c>
      <c r="JT40" s="35">
        <f>JT38-JT39</f>
        <v/>
      </c>
      <c r="JU40" s="35">
        <f>JU38-JU39</f>
        <v/>
      </c>
      <c r="JV40" s="35">
        <f>JV38-JV39</f>
        <v/>
      </c>
      <c r="JW40" s="35">
        <f>JW38-JW39</f>
        <v/>
      </c>
      <c r="JX40" s="35">
        <f>JX38-JX39</f>
        <v/>
      </c>
      <c r="JY40" s="127">
        <f>SUM(IU40:JX40)</f>
        <v/>
      </c>
      <c r="JZ40" s="35">
        <f>JZ38-JZ39</f>
        <v/>
      </c>
      <c r="KA40" s="35">
        <f>KA38-KA39</f>
        <v/>
      </c>
      <c r="KB40" s="35">
        <f>KB38-KB39</f>
        <v/>
      </c>
      <c r="KC40" s="35">
        <f>KC38-KC39</f>
        <v/>
      </c>
      <c r="KD40" s="35">
        <f>KD38-KD39</f>
        <v/>
      </c>
      <c r="KE40" s="35">
        <f>KE38-KE39</f>
        <v/>
      </c>
      <c r="KF40" s="35">
        <f>KF38-KF39</f>
        <v/>
      </c>
      <c r="KG40" s="35">
        <f>KG38-KG39</f>
        <v/>
      </c>
      <c r="KH40" s="35">
        <f>KH38-KH39</f>
        <v/>
      </c>
      <c r="KI40" s="35">
        <f>KI38-KI39</f>
        <v/>
      </c>
      <c r="KJ40" s="35">
        <f>KJ38-KJ39</f>
        <v/>
      </c>
      <c r="KK40" s="35">
        <f>KK38-KK39</f>
        <v/>
      </c>
      <c r="KL40" s="35">
        <f>KL38-KL39</f>
        <v/>
      </c>
      <c r="KM40" s="35">
        <f>KM38-KM39</f>
        <v/>
      </c>
      <c r="KN40" s="35">
        <f>KN38-KN39</f>
        <v/>
      </c>
      <c r="KO40" s="35">
        <f>KO38-KO39</f>
        <v/>
      </c>
      <c r="KP40" s="35">
        <f>KP38-KP39</f>
        <v/>
      </c>
      <c r="KQ40" s="35">
        <f>KQ38-KQ39</f>
        <v/>
      </c>
      <c r="KR40" s="35">
        <f>KR38-KR39</f>
        <v/>
      </c>
      <c r="KS40" s="35">
        <f>KS38-KS39</f>
        <v/>
      </c>
      <c r="KT40" s="35">
        <f>KT38-KT39</f>
        <v/>
      </c>
      <c r="KU40" s="35">
        <f>KU38-KU39</f>
        <v/>
      </c>
      <c r="KV40" s="35">
        <f>KV38-KV39</f>
        <v/>
      </c>
      <c r="KW40" s="35">
        <f>KW38-KW39</f>
        <v/>
      </c>
      <c r="KX40" s="35">
        <f>KX38-KX39</f>
        <v/>
      </c>
      <c r="KY40" s="35">
        <f>KY38-KY39</f>
        <v/>
      </c>
      <c r="KZ40" s="35">
        <f>KZ38-KZ39</f>
        <v/>
      </c>
      <c r="LA40" s="35">
        <f>LA38-LA39</f>
        <v/>
      </c>
      <c r="LB40" s="35">
        <f>LB38-LB39</f>
        <v/>
      </c>
      <c r="LC40" s="35">
        <f>LC38-LC39</f>
        <v/>
      </c>
      <c r="LD40" s="35">
        <f>LD38-LD39</f>
        <v/>
      </c>
      <c r="LE40" s="127">
        <f>SUM(KA40:LD40)</f>
        <v/>
      </c>
      <c r="LF40" s="35">
        <f>LF38-LF39</f>
        <v/>
      </c>
      <c r="LG40" s="35">
        <f>LG38-LG39</f>
        <v/>
      </c>
      <c r="LH40" s="35">
        <f>LH38-LH39</f>
        <v/>
      </c>
      <c r="LI40" s="35">
        <f>LI38-LI39</f>
        <v/>
      </c>
      <c r="LJ40" s="35">
        <f>LJ38-LJ39</f>
        <v/>
      </c>
      <c r="LK40" s="35">
        <f>LK38-LK39</f>
        <v/>
      </c>
      <c r="LL40" s="35">
        <f>LL38-LL39</f>
        <v/>
      </c>
      <c r="LM40" s="35">
        <f>LM38-LM39</f>
        <v/>
      </c>
      <c r="LN40" s="35">
        <f>LN38-LN39</f>
        <v/>
      </c>
      <c r="LO40" s="35">
        <f>LO38-LO39</f>
        <v/>
      </c>
      <c r="LP40" s="35">
        <f>LP38-LP39</f>
        <v/>
      </c>
      <c r="LQ40" s="35">
        <f>LQ38-LQ39</f>
        <v/>
      </c>
      <c r="LR40" s="35">
        <f>LR38-LR39</f>
        <v/>
      </c>
      <c r="LS40" s="35">
        <f>LS38-LS39</f>
        <v/>
      </c>
      <c r="LT40" s="35">
        <f>LT38-LT39</f>
        <v/>
      </c>
      <c r="LU40" s="35">
        <f>LU38-LU39</f>
        <v/>
      </c>
      <c r="LV40" s="35">
        <f>LV38-LV39</f>
        <v/>
      </c>
      <c r="LW40" s="35">
        <f>LW38-LW39</f>
        <v/>
      </c>
      <c r="LX40" s="35">
        <f>LX38-LX39</f>
        <v/>
      </c>
      <c r="LY40" s="35">
        <f>LY38-LY39</f>
        <v/>
      </c>
      <c r="LZ40" s="35">
        <f>LZ38-LZ39</f>
        <v/>
      </c>
      <c r="MA40" s="35">
        <f>MA38-MA39</f>
        <v/>
      </c>
      <c r="MB40" s="35">
        <f>MB38-MB39</f>
        <v/>
      </c>
      <c r="MC40" s="35">
        <f>MC38-MC39</f>
        <v/>
      </c>
      <c r="MD40" s="35">
        <f>MD38-MD39</f>
        <v/>
      </c>
      <c r="ME40" s="35">
        <f>ME38-ME39</f>
        <v/>
      </c>
      <c r="MF40" s="35">
        <f>MF38-MF39</f>
        <v/>
      </c>
      <c r="MG40" s="35">
        <f>MG38-MG39</f>
        <v/>
      </c>
      <c r="MH40" s="35">
        <f>MH38-MH39</f>
        <v/>
      </c>
      <c r="MI40" s="35">
        <f>MI38-MI39</f>
        <v/>
      </c>
      <c r="MJ40" s="127">
        <f>SUM(LF40:MI40)</f>
        <v/>
      </c>
      <c r="MK40" s="35">
        <f>MK38-MK39</f>
        <v/>
      </c>
      <c r="ML40" s="35">
        <f>ML38-ML39</f>
        <v/>
      </c>
      <c r="MM40" s="35">
        <f>MM38-MM39</f>
        <v/>
      </c>
      <c r="MN40" s="35">
        <f>MN38-MN39</f>
        <v/>
      </c>
      <c r="MO40" s="35">
        <f>MO38-MO39</f>
        <v/>
      </c>
      <c r="MP40" s="35">
        <f>MP38-MP39</f>
        <v/>
      </c>
      <c r="MQ40" s="35">
        <f>MQ38-MQ39</f>
        <v/>
      </c>
      <c r="MR40" s="35">
        <f>MR38-MR39</f>
        <v/>
      </c>
      <c r="MS40" s="35">
        <f>MS38-MS39</f>
        <v/>
      </c>
      <c r="MT40" s="35">
        <f>MT38-MT39</f>
        <v/>
      </c>
      <c r="MU40" s="35">
        <f>MU38-MU39</f>
        <v/>
      </c>
      <c r="MV40" s="35">
        <f>MV38-MV39</f>
        <v/>
      </c>
      <c r="MW40" s="35">
        <f>MW38-MW39</f>
        <v/>
      </c>
      <c r="MX40" s="35">
        <f>MX38-MX39</f>
        <v/>
      </c>
      <c r="MY40" s="35">
        <f>MY38-MY39</f>
        <v/>
      </c>
      <c r="MZ40" s="35">
        <f>MZ38-MZ39</f>
        <v/>
      </c>
      <c r="NA40" s="35">
        <f>NA38-NA39</f>
        <v/>
      </c>
      <c r="NB40" s="35">
        <f>NB38-NB39</f>
        <v/>
      </c>
      <c r="NC40" s="35">
        <f>NC38-NC39</f>
        <v/>
      </c>
      <c r="ND40" s="35">
        <f>ND38-ND39</f>
        <v/>
      </c>
      <c r="NE40" s="35">
        <f>NE38-NE39</f>
        <v/>
      </c>
      <c r="NF40" s="35">
        <f>NF38-NF39</f>
        <v/>
      </c>
      <c r="NG40" s="35">
        <f>NG38-NG39</f>
        <v/>
      </c>
      <c r="NH40" s="35">
        <f>NH38-NH39</f>
        <v/>
      </c>
      <c r="NI40" s="35">
        <f>NI38-NI39</f>
        <v/>
      </c>
      <c r="NJ40" s="35">
        <f>NJ38-NJ39</f>
        <v/>
      </c>
      <c r="NK40" s="35">
        <f>NK38-NK39</f>
        <v/>
      </c>
      <c r="NL40" s="35">
        <f>NL38-NL39</f>
        <v/>
      </c>
      <c r="NM40" s="35">
        <f>NM38-NM39</f>
        <v/>
      </c>
      <c r="NN40" s="35">
        <f>NN38-NN39</f>
        <v/>
      </c>
      <c r="NO40" s="35">
        <f>NO38-NO39</f>
        <v/>
      </c>
      <c r="NP40" s="127">
        <f>SUM(ML40:NO40)</f>
        <v/>
      </c>
      <c r="NQ40" s="35">
        <f>NQ38-NQ39</f>
        <v/>
      </c>
      <c r="NR40" s="35">
        <f>NR38-NR39</f>
        <v/>
      </c>
      <c r="NS40" s="35">
        <f>NS38-NS39</f>
        <v/>
      </c>
      <c r="NT40" s="35">
        <f>NT38-NT39</f>
        <v/>
      </c>
      <c r="NU40" s="35">
        <f>NU38-NU39</f>
        <v/>
      </c>
      <c r="NV40" s="35">
        <f>NV38-NV39</f>
        <v/>
      </c>
      <c r="NW40" s="35">
        <f>NW38-NW39</f>
        <v/>
      </c>
      <c r="NX40" s="35">
        <f>NX38-NX39</f>
        <v/>
      </c>
      <c r="NY40" s="35">
        <f>NY38-NY39</f>
        <v/>
      </c>
      <c r="NZ40" s="35">
        <f>NZ38-NZ39</f>
        <v/>
      </c>
      <c r="OA40" s="35">
        <f>OA38-OA39</f>
        <v/>
      </c>
      <c r="OB40" s="35">
        <f>OB38-OB39</f>
        <v/>
      </c>
      <c r="OC40" s="35">
        <f>OC38-OC39</f>
        <v/>
      </c>
      <c r="OD40" s="35">
        <f>OD38-OD39</f>
        <v/>
      </c>
      <c r="OE40" s="35">
        <f>OE38-OE39</f>
        <v/>
      </c>
      <c r="OF40" s="35">
        <f>OF38-OF39</f>
        <v/>
      </c>
      <c r="OG40" s="35">
        <f>OG38-OG39</f>
        <v/>
      </c>
      <c r="OH40" s="35">
        <f>OH38-OH39</f>
        <v/>
      </c>
      <c r="OI40" s="35">
        <f>OI38-OI39</f>
        <v/>
      </c>
      <c r="OJ40" s="35">
        <f>OJ38-OJ39</f>
        <v/>
      </c>
      <c r="OK40" s="35">
        <f>OK38-OK39</f>
        <v/>
      </c>
      <c r="OL40" s="35">
        <f>OL38-OL39</f>
        <v/>
      </c>
      <c r="OM40" s="35">
        <f>OM38-OM39</f>
        <v/>
      </c>
      <c r="ON40" s="35">
        <f>ON38-ON39</f>
        <v/>
      </c>
      <c r="OO40" s="35">
        <f>OO38-OO39</f>
        <v/>
      </c>
      <c r="OP40" s="35">
        <f>OP38-OP39</f>
        <v/>
      </c>
      <c r="OQ40" s="35">
        <f>OQ38-OQ39</f>
        <v/>
      </c>
      <c r="OR40" s="35">
        <f>OR38-OR39</f>
        <v/>
      </c>
      <c r="OS40" s="35">
        <f>OS38-OS39</f>
        <v/>
      </c>
      <c r="OT40" s="35">
        <f>OT38-OT39</f>
        <v/>
      </c>
      <c r="OU40" s="35">
        <f>OU38-OU39</f>
        <v/>
      </c>
      <c r="OV40" s="127">
        <f>SUM(NR40:OU40)</f>
        <v/>
      </c>
      <c r="OW40" s="35">
        <f>OW38-OW39</f>
        <v/>
      </c>
      <c r="OX40" s="35">
        <f>OX38-OX39</f>
        <v/>
      </c>
      <c r="OY40" s="35">
        <f>OY38-OY39</f>
        <v/>
      </c>
      <c r="OZ40" s="35">
        <f>OZ38-OZ39</f>
        <v/>
      </c>
      <c r="PA40" s="35">
        <f>PA38-PA39</f>
        <v/>
      </c>
      <c r="PB40" s="35">
        <f>PB38-PB39</f>
        <v/>
      </c>
      <c r="PC40" s="35">
        <f>PC38-PC39</f>
        <v/>
      </c>
      <c r="PD40" s="35">
        <f>PD38-PD39</f>
        <v/>
      </c>
      <c r="PE40" s="35">
        <f>PE38-PE39</f>
        <v/>
      </c>
      <c r="PF40" s="35">
        <f>PF38-PF39</f>
        <v/>
      </c>
      <c r="PG40" s="35">
        <f>PG38-PG39</f>
        <v/>
      </c>
      <c r="PH40" s="35">
        <f>PH38-PH39</f>
        <v/>
      </c>
      <c r="PI40" s="35">
        <f>PI38-PI39</f>
        <v/>
      </c>
      <c r="PJ40" s="35">
        <f>PJ38-PJ39</f>
        <v/>
      </c>
      <c r="PK40" s="35">
        <f>PK38-PK39</f>
        <v/>
      </c>
      <c r="PL40" s="35">
        <f>PL38-PL39</f>
        <v/>
      </c>
      <c r="PM40" s="35">
        <f>PM38-PM39</f>
        <v/>
      </c>
      <c r="PN40" s="35">
        <f>PN38-PN39</f>
        <v/>
      </c>
      <c r="PO40" s="35">
        <f>PO38-PO39</f>
        <v/>
      </c>
      <c r="PP40" s="35">
        <f>PP38-PP39</f>
        <v/>
      </c>
      <c r="PQ40" s="35">
        <f>PQ38-PQ39</f>
        <v/>
      </c>
      <c r="PR40" s="35">
        <f>PR38-PR39</f>
        <v/>
      </c>
      <c r="PS40" s="35">
        <f>PS38-PS39</f>
        <v/>
      </c>
      <c r="PT40" s="35">
        <f>PT38-PT39</f>
        <v/>
      </c>
      <c r="PU40" s="35">
        <f>PU38-PU39</f>
        <v/>
      </c>
      <c r="PV40" s="35">
        <f>PV38-PV39</f>
        <v/>
      </c>
      <c r="PW40" s="35">
        <f>PW38-PW39</f>
        <v/>
      </c>
      <c r="PX40" s="35">
        <f>PX38-PX39</f>
        <v/>
      </c>
      <c r="PY40" s="35">
        <f>PY38-PY39</f>
        <v/>
      </c>
      <c r="PZ40" s="35">
        <f>PZ38-PZ39</f>
        <v/>
      </c>
      <c r="QA40" s="127">
        <f>SUM(OW40:PZ40)</f>
        <v/>
      </c>
      <c r="QB40" s="35">
        <f>QB38-QB39</f>
        <v/>
      </c>
      <c r="QC40" s="35">
        <f>QC38-QC39</f>
        <v/>
      </c>
      <c r="QD40" s="35">
        <f>QD38-QD39</f>
        <v/>
      </c>
      <c r="QE40" s="35">
        <f>QE38-QE39</f>
        <v/>
      </c>
      <c r="QF40" s="35">
        <f>QF38-QF39</f>
        <v/>
      </c>
      <c r="QG40" s="35">
        <f>QG38-QG39</f>
        <v/>
      </c>
      <c r="QH40" s="35">
        <f>QH38-QH39</f>
        <v/>
      </c>
      <c r="QI40" s="35">
        <f>QI38-QI39</f>
        <v/>
      </c>
      <c r="QJ40" s="35">
        <f>QJ38-QJ39</f>
        <v/>
      </c>
      <c r="QK40" s="35">
        <f>QK38-QK39</f>
        <v/>
      </c>
      <c r="QL40" s="35">
        <f>QL38-QL39</f>
        <v/>
      </c>
      <c r="QM40" s="35">
        <f>QM38-QM39</f>
        <v/>
      </c>
      <c r="QN40" s="35">
        <f>QN38-QN39</f>
        <v/>
      </c>
      <c r="QO40" s="35">
        <f>QO38-QO39</f>
        <v/>
      </c>
      <c r="QP40" s="35">
        <f>QP38-QP39</f>
        <v/>
      </c>
      <c r="QQ40" s="35">
        <f>QQ38-QQ39</f>
        <v/>
      </c>
      <c r="QR40" s="35">
        <f>QR38-QR39</f>
        <v/>
      </c>
      <c r="QS40" s="35">
        <f>QS38-QS39</f>
        <v/>
      </c>
      <c r="QT40" s="35">
        <f>QT38-QT39</f>
        <v/>
      </c>
      <c r="QU40" s="35">
        <f>QU38-QU39</f>
        <v/>
      </c>
      <c r="QV40" s="35">
        <f>QV38-QV39</f>
        <v/>
      </c>
      <c r="QW40" s="35">
        <f>QW38-QW39</f>
        <v/>
      </c>
      <c r="QX40" s="35">
        <f>QX38-QX39</f>
        <v/>
      </c>
      <c r="QY40" s="35">
        <f>QY38-QY39</f>
        <v/>
      </c>
      <c r="QZ40" s="35">
        <f>QZ38-QZ39</f>
        <v/>
      </c>
      <c r="RA40" s="35">
        <f>RA38-RA39</f>
        <v/>
      </c>
      <c r="RB40" s="35">
        <f>RB38-RB39</f>
        <v/>
      </c>
      <c r="RC40" s="35">
        <f>RC38-RC39</f>
        <v/>
      </c>
      <c r="RD40" s="35">
        <f>RD38-RD39</f>
        <v/>
      </c>
      <c r="RE40" s="35">
        <f>RE38-RE39</f>
        <v/>
      </c>
      <c r="RF40" s="35">
        <f>RF38-RF39</f>
        <v/>
      </c>
      <c r="RG40" s="127">
        <f>SUM(QC40:RF40)</f>
        <v/>
      </c>
      <c r="RH40" s="35">
        <f>RH38-RH39</f>
        <v/>
      </c>
      <c r="RI40" s="35">
        <f>RI38-RI39</f>
        <v/>
      </c>
      <c r="RJ40" s="35">
        <f>RJ38-RJ39</f>
        <v/>
      </c>
      <c r="RK40" s="35">
        <f>RK38-RK39</f>
        <v/>
      </c>
      <c r="RL40" s="35">
        <f>RL38-RL39</f>
        <v/>
      </c>
      <c r="RM40" s="35">
        <f>RM38-RM39</f>
        <v/>
      </c>
      <c r="RN40" s="35">
        <f>RN38-RN39</f>
        <v/>
      </c>
      <c r="RO40" s="35">
        <f>RO38-RO39</f>
        <v/>
      </c>
      <c r="RP40" s="35">
        <f>RP38-RP39</f>
        <v/>
      </c>
      <c r="RQ40" s="35">
        <f>RQ38-RQ39</f>
        <v/>
      </c>
      <c r="RR40" s="35">
        <f>RR38-RR39</f>
        <v/>
      </c>
      <c r="RS40" s="35">
        <f>RS38-RS39</f>
        <v/>
      </c>
      <c r="RT40" s="35">
        <f>RT38-RT39</f>
        <v/>
      </c>
      <c r="RU40" s="35">
        <f>RU38-RU39</f>
        <v/>
      </c>
      <c r="RV40" s="35">
        <f>RV38-RV39</f>
        <v/>
      </c>
      <c r="RW40" s="35">
        <f>RW38-RW39</f>
        <v/>
      </c>
      <c r="RX40" s="35">
        <f>RX38-RX39</f>
        <v/>
      </c>
      <c r="RY40" s="35">
        <f>RY38-RY39</f>
        <v/>
      </c>
      <c r="RZ40" s="35">
        <f>RZ38-RZ39</f>
        <v/>
      </c>
      <c r="SA40" s="35">
        <f>SA38-SA39</f>
        <v/>
      </c>
      <c r="SB40" s="35">
        <f>SB38-SB39</f>
        <v/>
      </c>
      <c r="SC40" s="35">
        <f>SC38-SC39</f>
        <v/>
      </c>
      <c r="SD40" s="35">
        <f>SD38-SD39</f>
        <v/>
      </c>
      <c r="SE40" s="35">
        <f>SE38-SE39</f>
        <v/>
      </c>
      <c r="SF40" s="35">
        <f>SF38-SF39</f>
        <v/>
      </c>
      <c r="SG40" s="35">
        <f>SG38-SG39</f>
        <v/>
      </c>
      <c r="SH40" s="35">
        <f>SH38-SH39</f>
        <v/>
      </c>
      <c r="SI40" s="35">
        <f>SI38-SI39</f>
        <v/>
      </c>
      <c r="SJ40" s="35">
        <f>SJ38-SJ39</f>
        <v/>
      </c>
      <c r="SK40" s="35">
        <f>SK38-SK39</f>
        <v/>
      </c>
      <c r="SL40" s="127">
        <f>SUM(RH40:SK40)</f>
        <v/>
      </c>
      <c r="SM40" s="35">
        <f>SM38-SM39</f>
        <v/>
      </c>
      <c r="SN40" s="35">
        <f>SN38-SN39</f>
        <v/>
      </c>
      <c r="SO40" s="35">
        <f>SO38-SO39</f>
        <v/>
      </c>
      <c r="SP40" s="35">
        <f>SP38-SP39</f>
        <v/>
      </c>
      <c r="SQ40" s="35">
        <f>SQ38-SQ39</f>
        <v/>
      </c>
      <c r="SR40" s="35">
        <f>SR38-SR39</f>
        <v/>
      </c>
      <c r="SS40" s="35">
        <f>SS38-SS39</f>
        <v/>
      </c>
      <c r="ST40" s="35">
        <f>ST38-ST39</f>
        <v/>
      </c>
      <c r="SU40" s="35">
        <f>SU38-SU39</f>
        <v/>
      </c>
      <c r="SV40" s="35">
        <f>SV38-SV39</f>
        <v/>
      </c>
      <c r="SW40" s="35">
        <f>SW38-SW39</f>
        <v/>
      </c>
      <c r="SX40" s="35">
        <f>SX38-SX39</f>
        <v/>
      </c>
      <c r="SY40" s="35">
        <f>SY38-SY39</f>
        <v/>
      </c>
      <c r="SZ40" s="35">
        <f>SZ38-SZ39</f>
        <v/>
      </c>
      <c r="TA40" s="35">
        <f>TA38-TA39</f>
        <v/>
      </c>
      <c r="TB40" s="35">
        <f>TB38-TB39</f>
        <v/>
      </c>
      <c r="TC40" s="35">
        <f>TC38-TC39</f>
        <v/>
      </c>
      <c r="TD40" s="35">
        <f>TD38-TD39</f>
        <v/>
      </c>
      <c r="TE40" s="35">
        <f>TE38-TE39</f>
        <v/>
      </c>
      <c r="TF40" s="35">
        <f>TF38-TF39</f>
        <v/>
      </c>
      <c r="TG40" s="35">
        <f>TG38-TG39</f>
        <v/>
      </c>
      <c r="TH40" s="35">
        <f>TH38-TH39</f>
        <v/>
      </c>
      <c r="TI40" s="35">
        <f>TI38-TI39</f>
        <v/>
      </c>
      <c r="TJ40" s="35">
        <f>TJ38-TJ39</f>
        <v/>
      </c>
      <c r="TK40" s="35">
        <f>TK38-TK39</f>
        <v/>
      </c>
      <c r="TL40" s="35">
        <f>TL38-TL39</f>
        <v/>
      </c>
      <c r="TM40" s="35">
        <f>TM38-TM39</f>
        <v/>
      </c>
      <c r="TN40" s="35">
        <f>TN38-TN39</f>
        <v/>
      </c>
      <c r="TO40" s="35">
        <f>TO38-TO39</f>
        <v/>
      </c>
      <c r="TP40" s="35">
        <f>TP38-TP39</f>
        <v/>
      </c>
      <c r="TQ40" s="35">
        <f>TQ38-TQ39</f>
        <v/>
      </c>
      <c r="TR40" s="127">
        <f>SUM(SN40:TQ40)</f>
        <v/>
      </c>
      <c r="TS40" s="35">
        <f>TS38-TS39</f>
        <v/>
      </c>
      <c r="TT40" s="35">
        <f>TT38-TT39</f>
        <v/>
      </c>
      <c r="TU40" s="35">
        <f>TU38-TU39</f>
        <v/>
      </c>
      <c r="TV40" s="35">
        <f>TV38-TV39</f>
        <v/>
      </c>
      <c r="TW40" s="35">
        <f>TW38-TW39</f>
        <v/>
      </c>
      <c r="TX40" s="35">
        <f>TX38-TX39</f>
        <v/>
      </c>
      <c r="TY40" s="35">
        <f>TY38-TY39</f>
        <v/>
      </c>
      <c r="TZ40" s="35">
        <f>TZ38-TZ39</f>
        <v/>
      </c>
      <c r="UA40" s="35">
        <f>UA38-UA39</f>
        <v/>
      </c>
      <c r="UB40" s="35">
        <f>UB38-UB39</f>
        <v/>
      </c>
      <c r="UC40" s="35">
        <f>UC38-UC39</f>
        <v/>
      </c>
      <c r="UD40" s="35">
        <f>UD38-UD39</f>
        <v/>
      </c>
      <c r="UE40" s="35">
        <f>UE38-UE39</f>
        <v/>
      </c>
      <c r="UF40" s="35">
        <f>UF38-UF39</f>
        <v/>
      </c>
      <c r="UG40" s="35">
        <f>UG38-UG39</f>
        <v/>
      </c>
      <c r="UH40" s="35">
        <f>UH38-UH39</f>
        <v/>
      </c>
      <c r="UI40" s="35">
        <f>UI38-UI39</f>
        <v/>
      </c>
      <c r="UJ40" s="35">
        <f>UJ38-UJ39</f>
        <v/>
      </c>
      <c r="UK40" s="35">
        <f>UK38-UK39</f>
        <v/>
      </c>
      <c r="UL40" s="35">
        <f>UL38-UL39</f>
        <v/>
      </c>
      <c r="UM40" s="35">
        <f>UM38-UM39</f>
        <v/>
      </c>
      <c r="UN40" s="35">
        <f>UN38-UN39</f>
        <v/>
      </c>
      <c r="UO40" s="35">
        <f>UO38-UO39</f>
        <v/>
      </c>
      <c r="UP40" s="35">
        <f>UP38-UP39</f>
        <v/>
      </c>
      <c r="UQ40" s="35">
        <f>UQ38-UQ39</f>
        <v/>
      </c>
      <c r="UR40" s="35">
        <f>UR38-UR39</f>
        <v/>
      </c>
      <c r="US40" s="35">
        <f>US38-US39</f>
        <v/>
      </c>
      <c r="UT40" s="35">
        <f>UT38-UT39</f>
        <v/>
      </c>
      <c r="UU40" s="35">
        <f>UU38-UU39</f>
        <v/>
      </c>
      <c r="UV40" s="35">
        <f>UV38-UV39</f>
        <v/>
      </c>
      <c r="UW40" s="35">
        <f>UW38-UW39</f>
        <v/>
      </c>
      <c r="UX40" s="127">
        <f>SUM(TT40:UW40)</f>
        <v/>
      </c>
      <c r="UY40" s="35">
        <f>UY38-UY39</f>
        <v/>
      </c>
      <c r="UZ40" s="35">
        <f>UZ38-UZ39</f>
        <v/>
      </c>
      <c r="VA40" s="35">
        <f>VA38-VA39</f>
        <v/>
      </c>
      <c r="VB40" s="35">
        <f>VB38-VB39</f>
        <v/>
      </c>
      <c r="VC40" s="35">
        <f>VC38-VC39</f>
        <v/>
      </c>
      <c r="VD40" s="35">
        <f>VD38-VD39</f>
        <v/>
      </c>
      <c r="VE40" s="35">
        <f>VE38-VE39</f>
        <v/>
      </c>
      <c r="VF40" s="35">
        <f>VF38-VF39</f>
        <v/>
      </c>
      <c r="VG40" s="35">
        <f>VG38-VG39</f>
        <v/>
      </c>
      <c r="VH40" s="35">
        <f>VH38-VH39</f>
        <v/>
      </c>
      <c r="VI40" s="35">
        <f>VI38-VI39</f>
        <v/>
      </c>
      <c r="VJ40" s="35">
        <f>VJ38-VJ39</f>
        <v/>
      </c>
      <c r="VK40" s="35">
        <f>VK38-VK39</f>
        <v/>
      </c>
      <c r="VL40" s="35">
        <f>VL38-VL39</f>
        <v/>
      </c>
      <c r="VM40" s="35">
        <f>VM38-VM39</f>
        <v/>
      </c>
      <c r="VN40" s="35">
        <f>VN38-VN39</f>
        <v/>
      </c>
      <c r="VO40" s="35">
        <f>VO38-VO39</f>
        <v/>
      </c>
      <c r="VP40" s="35">
        <f>VP38-VP39</f>
        <v/>
      </c>
      <c r="VQ40" s="35">
        <f>VQ38-VQ39</f>
        <v/>
      </c>
      <c r="VR40" s="35">
        <f>VR38-VR39</f>
        <v/>
      </c>
      <c r="VS40" s="35">
        <f>VS38-VS39</f>
        <v/>
      </c>
      <c r="VT40" s="35">
        <f>VT38-VT39</f>
        <v/>
      </c>
      <c r="VU40" s="35">
        <f>VU38-VU39</f>
        <v/>
      </c>
      <c r="VV40" s="35">
        <f>VV38-VV39</f>
        <v/>
      </c>
      <c r="VW40" s="35">
        <f>VW38-VW39</f>
        <v/>
      </c>
      <c r="VX40" s="35">
        <f>VX38-VX39</f>
        <v/>
      </c>
      <c r="VY40" s="35">
        <f>VY38-VY39</f>
        <v/>
      </c>
      <c r="VZ40" s="35">
        <f>VZ38-VZ39</f>
        <v/>
      </c>
      <c r="WA40" s="127">
        <f>SUM(UW40:VZ40)</f>
        <v/>
      </c>
      <c r="WB40" s="35">
        <f>WB38-WB39</f>
        <v/>
      </c>
      <c r="WC40" s="35">
        <f>WC38-WC39</f>
        <v/>
      </c>
      <c r="WD40" s="35">
        <f>WD38-WD39</f>
        <v/>
      </c>
      <c r="WE40" s="35">
        <f>WE38-WE39</f>
        <v/>
      </c>
      <c r="WF40" s="35">
        <f>WF38-WF39</f>
        <v/>
      </c>
      <c r="WG40" s="35">
        <f>WG38-WG39</f>
        <v/>
      </c>
      <c r="WH40" s="35">
        <f>WH38-WH39</f>
        <v/>
      </c>
      <c r="WI40" s="35">
        <f>WI38-WI39</f>
        <v/>
      </c>
      <c r="WJ40" s="35">
        <f>WJ38-WJ39</f>
        <v/>
      </c>
      <c r="WK40" s="35">
        <f>WK38-WK39</f>
        <v/>
      </c>
      <c r="WL40" s="35">
        <f>WL38-WL39</f>
        <v/>
      </c>
      <c r="WM40" s="35">
        <f>WM38-WM39</f>
        <v/>
      </c>
      <c r="WN40" s="35">
        <f>WN38-WN39</f>
        <v/>
      </c>
      <c r="WO40" s="35">
        <f>WO38-WO39</f>
        <v/>
      </c>
      <c r="WP40" s="35">
        <f>WP38-WP39</f>
        <v/>
      </c>
      <c r="WQ40" s="35">
        <f>WQ38-WQ39</f>
        <v/>
      </c>
      <c r="WR40" s="35">
        <f>WR38-WR39</f>
        <v/>
      </c>
      <c r="WS40" s="35">
        <f>WS38-WS39</f>
        <v/>
      </c>
      <c r="WT40" s="35">
        <f>WT38-WT39</f>
        <v/>
      </c>
      <c r="WU40" s="35">
        <f>WU38-WU39</f>
        <v/>
      </c>
      <c r="WV40" s="35">
        <f>WV38-WV39</f>
        <v/>
      </c>
      <c r="WW40" s="35">
        <f>WW38-WW39</f>
        <v/>
      </c>
      <c r="WX40" s="35">
        <f>WX38-WX39</f>
        <v/>
      </c>
      <c r="WY40" s="35">
        <f>WY38-WY39</f>
        <v/>
      </c>
      <c r="WZ40" s="35">
        <f>WZ38-WZ39</f>
        <v/>
      </c>
      <c r="XA40" s="35">
        <f>XA38-XA39</f>
        <v/>
      </c>
      <c r="XB40" s="35">
        <f>XB38-XB39</f>
        <v/>
      </c>
      <c r="XC40" s="35">
        <f>XC38-XC39</f>
        <v/>
      </c>
      <c r="XD40" s="35">
        <f>XD38-XD39</f>
        <v/>
      </c>
      <c r="XE40" s="35">
        <f>XE38-XE39</f>
        <v/>
      </c>
      <c r="XF40" s="35">
        <f>XF38-XF39</f>
        <v/>
      </c>
      <c r="XG40" s="127">
        <f>SUM(WB40:XF40)</f>
        <v/>
      </c>
      <c r="XH40" s="35">
        <f>XH38-XH39</f>
        <v/>
      </c>
      <c r="XI40" s="35">
        <f>XI38-XI39</f>
        <v/>
      </c>
      <c r="XJ40" s="35">
        <f>XJ38-XJ39</f>
        <v/>
      </c>
      <c r="XK40" s="35">
        <f>XK38-XK39</f>
        <v/>
      </c>
      <c r="XL40" s="35">
        <f>XL38-XL39</f>
        <v/>
      </c>
      <c r="XM40" s="35">
        <f>XM38-XM39</f>
        <v/>
      </c>
      <c r="XN40" s="35">
        <f>XN38-XN39</f>
        <v/>
      </c>
      <c r="XO40" s="35">
        <f>XO38-XO39</f>
        <v/>
      </c>
      <c r="XP40" s="35">
        <f>XP38-XP39</f>
        <v/>
      </c>
      <c r="XQ40" s="35">
        <f>XQ38-XQ39</f>
        <v/>
      </c>
      <c r="XR40" s="35">
        <f>XR38-XR39</f>
        <v/>
      </c>
      <c r="XS40" s="35">
        <f>XS38-XS39</f>
        <v/>
      </c>
      <c r="XT40" s="35">
        <f>XT38-XT39</f>
        <v/>
      </c>
      <c r="XU40" s="35">
        <f>XU38-XU39</f>
        <v/>
      </c>
      <c r="XV40" s="35">
        <f>XV38-XV39</f>
        <v/>
      </c>
      <c r="XW40" s="35">
        <f>XW38-XW39</f>
        <v/>
      </c>
      <c r="XX40" s="35">
        <f>XX38-XX39</f>
        <v/>
      </c>
      <c r="XY40" s="35">
        <f>XY38-XY39</f>
        <v/>
      </c>
      <c r="XZ40" s="35">
        <f>XZ38-XZ39</f>
        <v/>
      </c>
      <c r="YA40" s="35">
        <f>YA38-YA39</f>
        <v/>
      </c>
      <c r="YB40" s="35">
        <f>YB38-YB39</f>
        <v/>
      </c>
      <c r="YC40" s="35">
        <f>YC38-YC39</f>
        <v/>
      </c>
      <c r="YD40" s="35">
        <f>YD38-YD39</f>
        <v/>
      </c>
      <c r="YE40" s="35">
        <f>YE38-YE39</f>
        <v/>
      </c>
      <c r="YF40" s="35">
        <f>YF38-YF39</f>
        <v/>
      </c>
      <c r="YG40" s="35">
        <f>YG38-YG39</f>
        <v/>
      </c>
      <c r="YH40" s="35">
        <f>YH38-YH39</f>
        <v/>
      </c>
      <c r="YI40" s="35">
        <f>YI38-YI39</f>
        <v/>
      </c>
      <c r="YJ40" s="35">
        <f>YJ38-YJ39</f>
        <v/>
      </c>
      <c r="YK40" s="35">
        <f>YK38-YK39</f>
        <v/>
      </c>
      <c r="YL40" s="127">
        <f>SUM(XH40:YK40)</f>
        <v/>
      </c>
      <c r="YM40" s="35">
        <f>YM38-YM39</f>
        <v/>
      </c>
      <c r="YN40" s="35">
        <f>YN38-YN39</f>
        <v/>
      </c>
      <c r="YO40" s="35">
        <f>YO38-YO39</f>
        <v/>
      </c>
      <c r="YP40" s="35">
        <f>YP38-YP39</f>
        <v/>
      </c>
      <c r="YQ40" s="35">
        <f>YQ38-YQ39</f>
        <v/>
      </c>
      <c r="YR40" s="35">
        <f>YR38-YR39</f>
        <v/>
      </c>
      <c r="YS40" s="35">
        <f>YS38-YS39</f>
        <v/>
      </c>
      <c r="YT40" s="35">
        <f>YT38-YT39</f>
        <v/>
      </c>
      <c r="YU40" s="35">
        <f>YU38-YU39</f>
        <v/>
      </c>
      <c r="YV40" s="35">
        <f>YV38-YV39</f>
        <v/>
      </c>
      <c r="YW40" s="35">
        <f>YW38-YW39</f>
        <v/>
      </c>
      <c r="YX40" s="35">
        <f>YX38-YX39</f>
        <v/>
      </c>
      <c r="YY40" s="35">
        <f>YY38-YY39</f>
        <v/>
      </c>
      <c r="YZ40" s="35">
        <f>YZ38-YZ39</f>
        <v/>
      </c>
      <c r="ZA40" s="35">
        <f>ZA38-ZA39</f>
        <v/>
      </c>
      <c r="ZB40" s="35">
        <f>ZB38-ZB39</f>
        <v/>
      </c>
      <c r="ZC40" s="35">
        <f>ZC38-ZC39</f>
        <v/>
      </c>
      <c r="ZD40" s="35">
        <f>ZD38-ZD39</f>
        <v/>
      </c>
      <c r="ZE40" s="35">
        <f>ZE38-ZE39</f>
        <v/>
      </c>
      <c r="ZF40" s="35">
        <f>ZF38-ZF39</f>
        <v/>
      </c>
      <c r="ZG40" s="35">
        <f>ZG38-ZG39</f>
        <v/>
      </c>
      <c r="ZH40" s="35">
        <f>ZH38-ZH39</f>
        <v/>
      </c>
      <c r="ZI40" s="35">
        <f>ZI38-ZI39</f>
        <v/>
      </c>
      <c r="ZJ40" s="35">
        <f>ZJ38-ZJ39</f>
        <v/>
      </c>
      <c r="ZK40" s="35">
        <f>ZK38-ZK39</f>
        <v/>
      </c>
      <c r="ZL40" s="35">
        <f>ZL38-ZL39</f>
        <v/>
      </c>
      <c r="ZM40" s="35">
        <f>ZM38-ZM39</f>
        <v/>
      </c>
      <c r="ZN40" s="35">
        <f>ZN38-ZN39</f>
        <v/>
      </c>
      <c r="ZO40" s="35">
        <f>ZO38-ZO39</f>
        <v/>
      </c>
      <c r="ZP40" s="35">
        <f>ZP38-ZP39</f>
        <v/>
      </c>
      <c r="ZQ40" s="35">
        <f>ZQ38-ZQ39</f>
        <v/>
      </c>
      <c r="ZR40" s="127">
        <f>SUM(YM40:ZQ40)</f>
        <v/>
      </c>
      <c r="ZS40" s="35">
        <f>ZS38-ZS39</f>
        <v/>
      </c>
      <c r="ZT40" s="35">
        <f>ZT38-ZT39</f>
        <v/>
      </c>
      <c r="ZU40" s="35">
        <f>ZU38-ZU39</f>
        <v/>
      </c>
      <c r="ZV40" s="35">
        <f>ZV38-ZV39</f>
        <v/>
      </c>
      <c r="ZW40" s="35">
        <f>ZW38-ZW39</f>
        <v/>
      </c>
      <c r="ZX40" s="35">
        <f>ZX38-ZX39</f>
        <v/>
      </c>
      <c r="ZY40" s="35">
        <f>ZY38-ZY39</f>
        <v/>
      </c>
      <c r="ZZ40" s="35">
        <f>ZZ38-ZZ39</f>
        <v/>
      </c>
      <c r="AAA40" s="35">
        <f>AAA38-AAA39</f>
        <v/>
      </c>
      <c r="AAB40" s="35">
        <f>AAB38-AAB39</f>
        <v/>
      </c>
      <c r="AAC40" s="35">
        <f>AAC38-AAC39</f>
        <v/>
      </c>
      <c r="AAD40" s="35">
        <f>AAD38-AAD39</f>
        <v/>
      </c>
      <c r="AAE40" s="35">
        <f>AAE38-AAE39</f>
        <v/>
      </c>
      <c r="AAF40" s="35">
        <f>AAF38-AAF39</f>
        <v/>
      </c>
      <c r="AAG40" s="35">
        <f>AAG38-AAG39</f>
        <v/>
      </c>
      <c r="AAH40" s="35">
        <f>AAH38-AAH39</f>
        <v/>
      </c>
      <c r="AAI40" s="35">
        <f>AAI38-AAI39</f>
        <v/>
      </c>
      <c r="AAJ40" s="35">
        <f>AAJ38-AAJ39</f>
        <v/>
      </c>
      <c r="AAK40" s="35">
        <f>AAK38-AAK39</f>
        <v/>
      </c>
      <c r="AAL40" s="35">
        <f>AAL38-AAL39</f>
        <v/>
      </c>
      <c r="AAM40" s="35">
        <f>AAM38-AAM39</f>
        <v/>
      </c>
      <c r="AAN40" s="35">
        <f>AAN38-AAN39</f>
        <v/>
      </c>
      <c r="AAO40" s="35">
        <f>AAO38-AAO39</f>
        <v/>
      </c>
      <c r="AAP40" s="35">
        <f>AAP38-AAP39</f>
        <v/>
      </c>
      <c r="AAQ40" s="35">
        <f>AAQ38-AAQ39</f>
        <v/>
      </c>
      <c r="AAR40" s="35">
        <f>AAR38-AAR39</f>
        <v/>
      </c>
      <c r="AAS40" s="35">
        <f>AAS38-AAS39</f>
        <v/>
      </c>
      <c r="AAT40" s="35">
        <f>AAT38-AAT39</f>
        <v/>
      </c>
      <c r="AAU40" s="35">
        <f>AAU38-AAU39</f>
        <v/>
      </c>
      <c r="AAV40" s="35">
        <f>AAV38-AAV39</f>
        <v/>
      </c>
      <c r="AAW40" s="127">
        <f>SUM(ZS40:AAV40)</f>
        <v/>
      </c>
      <c r="AAX40" s="35">
        <f>AAX38-AAX39</f>
        <v/>
      </c>
      <c r="AAY40" s="35">
        <f>AAY38-AAY39</f>
        <v/>
      </c>
      <c r="AAZ40" s="35">
        <f>AAZ38-AAZ39</f>
        <v/>
      </c>
      <c r="ABA40" s="35">
        <f>ABA38-ABA39</f>
        <v/>
      </c>
      <c r="ABB40" s="35">
        <f>ABB38-ABB39</f>
        <v/>
      </c>
      <c r="ABC40" s="35">
        <f>ABC38-ABC39</f>
        <v/>
      </c>
      <c r="ABD40" s="35">
        <f>ABD38-ABD39</f>
        <v/>
      </c>
      <c r="ABE40" s="35">
        <f>ABE38-ABE39</f>
        <v/>
      </c>
      <c r="ABF40" s="35">
        <f>ABF38-ABF39</f>
        <v/>
      </c>
      <c r="ABG40" s="35">
        <f>ABG38-ABG39</f>
        <v/>
      </c>
      <c r="ABH40" s="35">
        <f>ABH38-ABH39</f>
        <v/>
      </c>
      <c r="ABI40" s="35">
        <f>ABI38-ABI39</f>
        <v/>
      </c>
      <c r="ABJ40" s="35">
        <f>ABJ38-ABJ39</f>
        <v/>
      </c>
      <c r="ABK40" s="35">
        <f>ABK38-ABK39</f>
        <v/>
      </c>
      <c r="ABL40" s="35">
        <f>ABL38-ABL39</f>
        <v/>
      </c>
      <c r="ABM40" s="35">
        <f>ABM38-ABM39</f>
        <v/>
      </c>
      <c r="ABN40" s="35">
        <f>ABN38-ABN39</f>
        <v/>
      </c>
      <c r="ABO40" s="35">
        <f>ABO38-ABO39</f>
        <v/>
      </c>
      <c r="ABP40" s="35">
        <f>ABP38-ABP39</f>
        <v/>
      </c>
      <c r="ABQ40" s="35">
        <f>ABQ38-ABQ39</f>
        <v/>
      </c>
      <c r="ABR40" s="35">
        <f>ABR38-ABR39</f>
        <v/>
      </c>
      <c r="ABS40" s="35">
        <f>ABS38-ABS39</f>
        <v/>
      </c>
      <c r="ABT40" s="35">
        <f>ABT38-ABT39</f>
        <v/>
      </c>
      <c r="ABU40" s="35">
        <f>ABU38-ABU39</f>
        <v/>
      </c>
      <c r="ABV40" s="35">
        <f>ABV38-ABV39</f>
        <v/>
      </c>
      <c r="ABW40" s="35">
        <f>ABW38-ABW39</f>
        <v/>
      </c>
      <c r="ABX40" s="35">
        <f>ABX38-ABX39</f>
        <v/>
      </c>
      <c r="ABY40" s="35">
        <f>ABY38-ABY39</f>
        <v/>
      </c>
      <c r="ABZ40" s="35">
        <f>ABZ38-ABZ39</f>
        <v/>
      </c>
      <c r="ACA40" s="35">
        <f>ACA38-ACA39</f>
        <v/>
      </c>
      <c r="ACB40" s="35">
        <f>ACB38-ACB39</f>
        <v/>
      </c>
      <c r="ACC40" s="127">
        <f>SUM(AAX40:ACB40)</f>
        <v/>
      </c>
      <c r="ACD40" s="35">
        <f>ACD38-ACD39</f>
        <v/>
      </c>
      <c r="ACE40" s="35">
        <f>ACE38-ACE39</f>
        <v/>
      </c>
      <c r="ACF40" s="35">
        <f>ACF38-ACF39</f>
        <v/>
      </c>
      <c r="ACG40" s="35">
        <f>ACG38-ACG39</f>
        <v/>
      </c>
      <c r="ACH40" s="35">
        <f>ACH38-ACH39</f>
        <v/>
      </c>
      <c r="ACI40" s="35">
        <f>ACI38-ACI39</f>
        <v/>
      </c>
      <c r="ACJ40" s="35">
        <f>ACJ38-ACJ39</f>
        <v/>
      </c>
      <c r="ACK40" s="35">
        <f>ACK38-ACK39</f>
        <v/>
      </c>
      <c r="ACL40" s="35">
        <f>ACL38-ACL39</f>
        <v/>
      </c>
      <c r="ACM40" s="35">
        <f>ACM38-ACM39</f>
        <v/>
      </c>
      <c r="ACN40" s="35">
        <f>ACN38-ACN39</f>
        <v/>
      </c>
      <c r="ACO40" s="35">
        <f>ACO38-ACO39</f>
        <v/>
      </c>
      <c r="ACP40" s="35">
        <f>ACP38-ACP39</f>
        <v/>
      </c>
      <c r="ACQ40" s="35">
        <f>ACQ38-ACQ39</f>
        <v/>
      </c>
      <c r="ACR40" s="35">
        <f>ACR38-ACR39</f>
        <v/>
      </c>
      <c r="ACS40" s="35">
        <f>ACS38-ACS39</f>
        <v/>
      </c>
      <c r="ACT40" s="35">
        <f>ACT38-ACT39</f>
        <v/>
      </c>
      <c r="ACU40" s="35">
        <f>ACU38-ACU39</f>
        <v/>
      </c>
      <c r="ACV40" s="35">
        <f>ACV38-ACV39</f>
        <v/>
      </c>
      <c r="ACW40" s="35">
        <f>ACW38-ACW39</f>
        <v/>
      </c>
      <c r="ACX40" s="35">
        <f>ACX38-ACX39</f>
        <v/>
      </c>
      <c r="ACY40" s="35">
        <f>ACY38-ACY39</f>
        <v/>
      </c>
      <c r="ACZ40" s="35">
        <f>ACZ38-ACZ39</f>
        <v/>
      </c>
      <c r="ADA40" s="35">
        <f>ADA38-ADA39</f>
        <v/>
      </c>
      <c r="ADB40" s="35">
        <f>ADB38-ADB39</f>
        <v/>
      </c>
      <c r="ADC40" s="35">
        <f>ADC38-ADC39</f>
        <v/>
      </c>
      <c r="ADD40" s="35">
        <f>ADD38-ADD39</f>
        <v/>
      </c>
      <c r="ADE40" s="35">
        <f>ADE38-ADE39</f>
        <v/>
      </c>
      <c r="ADF40" s="35">
        <f>ADF38-ADF39</f>
        <v/>
      </c>
      <c r="ADG40" s="35">
        <f>ADG38-ADG39</f>
        <v/>
      </c>
      <c r="ADH40" s="35">
        <f>ADH38-ADH39</f>
        <v/>
      </c>
      <c r="ADI40" s="127">
        <f>SUM(ACD40:ADH40)</f>
        <v/>
      </c>
      <c r="ADJ40" s="35">
        <f>ADJ38-ADJ39</f>
        <v/>
      </c>
      <c r="ADK40" s="35">
        <f>ADK38-ADK39</f>
        <v/>
      </c>
      <c r="ADL40" s="35">
        <f>ADL38-ADL39</f>
        <v/>
      </c>
      <c r="ADM40" s="35">
        <f>ADM38-ADM39</f>
        <v/>
      </c>
      <c r="ADN40" s="35">
        <f>ADN38-ADN39</f>
        <v/>
      </c>
      <c r="ADO40" s="35">
        <f>ADO38-ADO39</f>
        <v/>
      </c>
      <c r="ADP40" s="35">
        <f>ADP38-ADP39</f>
        <v/>
      </c>
      <c r="ADQ40" s="35">
        <f>ADQ38-ADQ39</f>
        <v/>
      </c>
      <c r="ADR40" s="35">
        <f>ADR38-ADR39</f>
        <v/>
      </c>
      <c r="ADS40" s="35">
        <f>ADS38-ADS39</f>
        <v/>
      </c>
      <c r="ADT40" s="35">
        <f>ADT38-ADT39</f>
        <v/>
      </c>
      <c r="ADU40" s="35">
        <f>ADU38-ADU39</f>
        <v/>
      </c>
      <c r="ADV40" s="35">
        <f>ADV38-ADV39</f>
        <v/>
      </c>
      <c r="ADW40" s="35">
        <f>ADW38-ADW39</f>
        <v/>
      </c>
      <c r="ADX40" s="35">
        <f>ADX38-ADX39</f>
        <v/>
      </c>
      <c r="ADY40" s="35">
        <f>ADY38-ADY39</f>
        <v/>
      </c>
      <c r="ADZ40" s="35">
        <f>ADZ38-ADZ39</f>
        <v/>
      </c>
      <c r="AEA40" s="35">
        <f>AEA38-AEA39</f>
        <v/>
      </c>
      <c r="AEB40" s="35">
        <f>AEB38-AEB39</f>
        <v/>
      </c>
      <c r="AEC40" s="35">
        <f>AEC38-AEC39</f>
        <v/>
      </c>
      <c r="AED40" s="35">
        <f>AED38-AED39</f>
        <v/>
      </c>
      <c r="AEE40" s="35">
        <f>AEE38-AEE39</f>
        <v/>
      </c>
      <c r="AEF40" s="35">
        <f>AEF38-AEF39</f>
        <v/>
      </c>
      <c r="AEG40" s="35">
        <f>AEG38-AEG39</f>
        <v/>
      </c>
      <c r="AEH40" s="35">
        <f>AEH38-AEH39</f>
        <v/>
      </c>
      <c r="AEI40" s="35">
        <f>AEI38-AEI39</f>
        <v/>
      </c>
      <c r="AEJ40" s="35">
        <f>AEJ38-AEJ39</f>
        <v/>
      </c>
      <c r="AEK40" s="35">
        <f>AEK38-AEK39</f>
        <v/>
      </c>
      <c r="AEL40" s="35">
        <f>AEL38-AEL39</f>
        <v/>
      </c>
      <c r="AEM40" s="35">
        <f>AEM38-AEM39</f>
        <v/>
      </c>
      <c r="AEN40" s="127">
        <f>SUM(ADJ40:AEM40)</f>
        <v/>
      </c>
      <c r="AEO40" s="35">
        <f>AEO38-AEO39</f>
        <v/>
      </c>
      <c r="AEP40" s="35">
        <f>AEP38-AEP39</f>
        <v/>
      </c>
      <c r="AEQ40" s="35">
        <f>AEQ38-AEQ39</f>
        <v/>
      </c>
      <c r="AER40" s="35">
        <f>AER38-AER39</f>
        <v/>
      </c>
      <c r="AES40" s="35">
        <f>AES38-AES39</f>
        <v/>
      </c>
      <c r="AET40" s="35">
        <f>AET38-AET39</f>
        <v/>
      </c>
      <c r="AEU40" s="35">
        <f>AEU38-AEU39</f>
        <v/>
      </c>
      <c r="AEV40" s="35">
        <f>AEV38-AEV39</f>
        <v/>
      </c>
      <c r="AEW40" s="35">
        <f>AEW38-AEW39</f>
        <v/>
      </c>
      <c r="AEX40" s="35">
        <f>AEX38-AEX39</f>
        <v/>
      </c>
      <c r="AEY40" s="35">
        <f>AEY38-AEY39</f>
        <v/>
      </c>
      <c r="AEZ40" s="35">
        <f>AEZ38-AEZ39</f>
        <v/>
      </c>
      <c r="AFA40" s="35">
        <f>AFA38-AFA39</f>
        <v/>
      </c>
      <c r="AFB40" s="35">
        <f>AFB38-AFB39</f>
        <v/>
      </c>
      <c r="AFC40" s="35">
        <f>AFC38-AFC39</f>
        <v/>
      </c>
      <c r="AFD40" s="35">
        <f>AFD38-AFD39</f>
        <v/>
      </c>
      <c r="AFE40" s="35">
        <f>AFE38-AFE39</f>
        <v/>
      </c>
      <c r="AFF40" s="35">
        <f>AFF38-AFF39</f>
        <v/>
      </c>
      <c r="AFG40" s="35">
        <f>AFG38-AFG39</f>
        <v/>
      </c>
      <c r="AFH40" s="35">
        <f>AFH38-AFH39</f>
        <v/>
      </c>
      <c r="AFI40" s="35">
        <f>AFI38-AFI39</f>
        <v/>
      </c>
      <c r="AFJ40" s="35">
        <f>AFJ38-AFJ39</f>
        <v/>
      </c>
      <c r="AFK40" s="35">
        <f>AFK38-AFK39</f>
        <v/>
      </c>
      <c r="AFL40" s="35">
        <f>AFL38-AFL39</f>
        <v/>
      </c>
      <c r="AFM40" s="35">
        <f>AFM38-AFM39</f>
        <v/>
      </c>
      <c r="AFN40" s="35">
        <f>AFN38-AFN39</f>
        <v/>
      </c>
      <c r="AFO40" s="35">
        <f>AFO38-AFO39</f>
        <v/>
      </c>
      <c r="AFP40" s="35">
        <f>AFP38-AFP39</f>
        <v/>
      </c>
      <c r="AFQ40" s="35">
        <f>AFQ38-AFQ39</f>
        <v/>
      </c>
      <c r="AFR40" s="35">
        <f>AFR38-AFR39</f>
        <v/>
      </c>
      <c r="AFS40" s="35">
        <f>AFS38-AFS39</f>
        <v/>
      </c>
      <c r="AFT40" s="127">
        <f>SUM(AEO40:AFS40)</f>
        <v/>
      </c>
      <c r="AFU40" s="35">
        <f>AFU38-AFU39</f>
        <v/>
      </c>
      <c r="AFV40" s="35">
        <f>AFV38-AFV39</f>
        <v/>
      </c>
      <c r="AFW40" s="35">
        <f>AFW38-AFW39</f>
        <v/>
      </c>
      <c r="AFX40" s="35">
        <f>AFX38-AFX39</f>
        <v/>
      </c>
      <c r="AFY40" s="35">
        <f>AFY38-AFY39</f>
        <v/>
      </c>
      <c r="AFZ40" s="35">
        <f>AFZ38-AFZ39</f>
        <v/>
      </c>
      <c r="AGA40" s="35">
        <f>AGA38-AGA39</f>
        <v/>
      </c>
      <c r="AGB40" s="35">
        <f>AGB38-AGB39</f>
        <v/>
      </c>
      <c r="AGC40" s="35">
        <f>AGC38-AGC39</f>
        <v/>
      </c>
      <c r="AGD40" s="35">
        <f>AGD38-AGD39</f>
        <v/>
      </c>
      <c r="AGE40" s="35">
        <f>AGE38-AGE39</f>
        <v/>
      </c>
      <c r="AGF40" s="35">
        <f>AGF38-AGF39</f>
        <v/>
      </c>
      <c r="AGG40" s="35">
        <f>AGG38-AGG39</f>
        <v/>
      </c>
      <c r="AGH40" s="35">
        <f>AGH38-AGH39</f>
        <v/>
      </c>
      <c r="AGI40" s="35">
        <f>AGI38-AGI39</f>
        <v/>
      </c>
      <c r="AGJ40" s="35">
        <f>AGJ38-AGJ39</f>
        <v/>
      </c>
      <c r="AGK40" s="35">
        <f>AGK38-AGK39</f>
        <v/>
      </c>
      <c r="AGL40" s="35">
        <f>AGL38-AGL39</f>
        <v/>
      </c>
      <c r="AGM40" s="35">
        <f>AGM38-AGM39</f>
        <v/>
      </c>
      <c r="AGN40" s="35">
        <f>AGN38-AGN39</f>
        <v/>
      </c>
      <c r="AGO40" s="35">
        <f>AGO38-AGO39</f>
        <v/>
      </c>
      <c r="AGP40" s="35">
        <f>AGP38-AGP39</f>
        <v/>
      </c>
      <c r="AGQ40" s="35">
        <f>AGQ38-AGQ39</f>
        <v/>
      </c>
      <c r="AGR40" s="35">
        <f>AGR38-AGR39</f>
        <v/>
      </c>
      <c r="AGS40" s="35">
        <f>AGS38-AGS39</f>
        <v/>
      </c>
      <c r="AGT40" s="35">
        <f>AGT38-AGT39</f>
        <v/>
      </c>
      <c r="AGU40" s="35">
        <f>AGU38-AGU39</f>
        <v/>
      </c>
      <c r="AGV40" s="35">
        <f>AGV38-AGV39</f>
        <v/>
      </c>
      <c r="AGW40" s="35">
        <f>AGW38-AGW39</f>
        <v/>
      </c>
      <c r="AGX40" s="35">
        <f>AGX38-AGX39</f>
        <v/>
      </c>
      <c r="AGY40" s="127">
        <f>SUM(AFU40:AGX40)</f>
        <v/>
      </c>
      <c r="AGZ40" s="35">
        <f>AGZ38-AGZ39</f>
        <v/>
      </c>
      <c r="AHA40" s="35">
        <f>AHA38-AHA39</f>
        <v/>
      </c>
      <c r="AHB40" s="35">
        <f>AHB38-AHB39</f>
        <v/>
      </c>
      <c r="AHC40" s="35">
        <f>AHC38-AHC39</f>
        <v/>
      </c>
      <c r="AHD40" s="35">
        <f>AHD38-AHD39</f>
        <v/>
      </c>
      <c r="AHE40" s="35">
        <f>AHE38-AHE39</f>
        <v/>
      </c>
      <c r="AHF40" s="35">
        <f>AHF38-AHF39</f>
        <v/>
      </c>
      <c r="AHG40" s="35">
        <f>AHG38-AHG39</f>
        <v/>
      </c>
      <c r="AHH40" s="35">
        <f>AHH38-AHH39</f>
        <v/>
      </c>
      <c r="AHI40" s="35">
        <f>AHI38-AHI39</f>
        <v/>
      </c>
      <c r="AHJ40" s="35">
        <f>AHJ38-AHJ39</f>
        <v/>
      </c>
      <c r="AHK40" s="35">
        <f>AHK38-AHK39</f>
        <v/>
      </c>
      <c r="AHL40" s="35">
        <f>AHL38-AHL39</f>
        <v/>
      </c>
      <c r="AHM40" s="35">
        <f>AHM38-AHM39</f>
        <v/>
      </c>
      <c r="AHN40" s="35">
        <f>AHN38-AHN39</f>
        <v/>
      </c>
      <c r="AHO40" s="35">
        <f>AHO38-AHO39</f>
        <v/>
      </c>
      <c r="AHP40" s="35">
        <f>AHP38-AHP39</f>
        <v/>
      </c>
      <c r="AHQ40" s="35">
        <f>AHQ38-AHQ39</f>
        <v/>
      </c>
      <c r="AHR40" s="35">
        <f>AHR38-AHR39</f>
        <v/>
      </c>
      <c r="AHS40" s="35">
        <f>AHS38-AHS39</f>
        <v/>
      </c>
      <c r="AHT40" s="35">
        <f>AHT38-AHT39</f>
        <v/>
      </c>
      <c r="AHU40" s="35">
        <f>AHU38-AHU39</f>
        <v/>
      </c>
      <c r="AHV40" s="35">
        <f>AHV38-AHV39</f>
        <v/>
      </c>
      <c r="AHW40" s="35">
        <f>AHW38-AHW39</f>
        <v/>
      </c>
      <c r="AHX40" s="35">
        <f>AHX38-AHX39</f>
        <v/>
      </c>
      <c r="AHY40" s="35">
        <f>AHY38-AHY39</f>
        <v/>
      </c>
      <c r="AHZ40" s="35">
        <f>AHZ38-AHZ39</f>
        <v/>
      </c>
      <c r="AIA40" s="35">
        <f>AIA38-AIA39</f>
        <v/>
      </c>
      <c r="AIB40" s="35">
        <f>AIB38-AIB39</f>
        <v/>
      </c>
      <c r="AIC40" s="35">
        <f>AIC38-AIC39</f>
        <v/>
      </c>
      <c r="AID40" s="35">
        <f>AID38-AID39</f>
        <v/>
      </c>
      <c r="AIE40" s="127">
        <f>SUM(AGZ40:AID40)</f>
        <v/>
      </c>
      <c r="AIF40" s="35">
        <f>AIF38-AIF39</f>
        <v/>
      </c>
      <c r="AIG40" s="35">
        <f>AIG38-AIG39</f>
        <v/>
      </c>
      <c r="AIH40" s="35">
        <f>AIH38-AIH39</f>
        <v/>
      </c>
      <c r="AII40" s="35">
        <f>AII38-AII39</f>
        <v/>
      </c>
      <c r="AIJ40" s="35">
        <f>AIJ38-AIJ39</f>
        <v/>
      </c>
      <c r="AIK40" s="35">
        <f>AIK38-AIK39</f>
        <v/>
      </c>
      <c r="AIL40" s="35">
        <f>AIL38-AIL39</f>
        <v/>
      </c>
      <c r="AIM40" s="35">
        <f>AIM38-AIM39</f>
        <v/>
      </c>
      <c r="AIN40" s="35">
        <f>AIN38-AIN39</f>
        <v/>
      </c>
      <c r="AIO40" s="35">
        <f>AIO38-AIO39</f>
        <v/>
      </c>
      <c r="AIP40" s="35">
        <f>AIP38-AIP39</f>
        <v/>
      </c>
      <c r="AIQ40" s="35">
        <f>AIQ38-AIQ39</f>
        <v/>
      </c>
      <c r="AIR40" s="35">
        <f>AIR38-AIR39</f>
        <v/>
      </c>
      <c r="AIS40" s="35">
        <f>AIS38-AIS39</f>
        <v/>
      </c>
      <c r="AIT40" s="35">
        <f>AIT38-AIT39</f>
        <v/>
      </c>
      <c r="AIU40" s="35">
        <f>AIU38-AIU39</f>
        <v/>
      </c>
      <c r="AIV40" s="35">
        <f>AIV38-AIV39</f>
        <v/>
      </c>
      <c r="AIW40" s="35">
        <f>AIW38-AIW39</f>
        <v/>
      </c>
      <c r="AIX40" s="35">
        <f>AIX38-AIX39</f>
        <v/>
      </c>
      <c r="AIY40" s="35">
        <f>AIY38-AIY39</f>
        <v/>
      </c>
      <c r="AIZ40" s="35">
        <f>AIZ38-AIZ39</f>
        <v/>
      </c>
      <c r="AJA40" s="35">
        <f>AJA38-AJA39</f>
        <v/>
      </c>
      <c r="AJB40" s="35">
        <f>AJB38-AJB39</f>
        <v/>
      </c>
      <c r="AJC40" s="35">
        <f>AJC38-AJC39</f>
        <v/>
      </c>
      <c r="AJD40" s="35">
        <f>AJD38-AJD39</f>
        <v/>
      </c>
      <c r="AJE40" s="35">
        <f>AJE38-AJE39</f>
        <v/>
      </c>
      <c r="AJF40" s="35">
        <f>AJF38-AJF39</f>
        <v/>
      </c>
      <c r="AJG40" s="35">
        <f>AJG38-AJG39</f>
        <v/>
      </c>
      <c r="AJH40" s="35">
        <f>AJH38-AJH39</f>
        <v/>
      </c>
      <c r="AJI40" s="35">
        <f>AJI38-AJI39</f>
        <v/>
      </c>
      <c r="AJJ40" s="35">
        <f>AJJ38-AJJ39</f>
        <v/>
      </c>
      <c r="AJK40" s="127">
        <f>SUM(AIF40:AJJ40)</f>
        <v/>
      </c>
      <c r="AJL40" s="35">
        <f>AJL38-AJL39</f>
        <v/>
      </c>
      <c r="AJM40" s="35">
        <f>AJM38-AJM39</f>
        <v/>
      </c>
      <c r="AJN40" s="35">
        <f>AJN38-AJN39</f>
        <v/>
      </c>
      <c r="AJO40" s="35">
        <f>AJO38-AJO39</f>
        <v/>
      </c>
      <c r="AJP40" s="35">
        <f>AJP38-AJP39</f>
        <v/>
      </c>
      <c r="AJQ40" s="35">
        <f>AJQ38-AJQ39</f>
        <v/>
      </c>
      <c r="AJR40" s="35">
        <f>AJR38-AJR39</f>
        <v/>
      </c>
      <c r="AJS40" s="35">
        <f>AJS38-AJS39</f>
        <v/>
      </c>
      <c r="AJT40" s="35">
        <f>AJT38-AJT39</f>
        <v/>
      </c>
      <c r="AJU40" s="35">
        <f>AJU38-AJU39</f>
        <v/>
      </c>
      <c r="AJV40" s="35">
        <f>AJV38-AJV39</f>
        <v/>
      </c>
      <c r="AJW40" s="35">
        <f>AJW38-AJW39</f>
        <v/>
      </c>
      <c r="AJX40" s="35">
        <f>AJX38-AJX39</f>
        <v/>
      </c>
      <c r="AJY40" s="35">
        <f>AJY38-AJY39</f>
        <v/>
      </c>
      <c r="AJZ40" s="35">
        <f>AJZ38-AJZ39</f>
        <v/>
      </c>
      <c r="AKA40" s="35">
        <f>AKA38-AKA39</f>
        <v/>
      </c>
      <c r="AKB40" s="35">
        <f>AKB38-AKB39</f>
        <v/>
      </c>
      <c r="AKC40" s="35">
        <f>AKC38-AKC39</f>
        <v/>
      </c>
      <c r="AKD40" s="35">
        <f>AKD38-AKD39</f>
        <v/>
      </c>
      <c r="AKE40" s="35">
        <f>AKE38-AKE39</f>
        <v/>
      </c>
      <c r="AKF40" s="35">
        <f>AKF38-AKF39</f>
        <v/>
      </c>
      <c r="AKG40" s="35">
        <f>AKG38-AKG39</f>
        <v/>
      </c>
      <c r="AKH40" s="35">
        <f>AKH38-AKH39</f>
        <v/>
      </c>
      <c r="AKI40" s="35">
        <f>AKI38-AKI39</f>
        <v/>
      </c>
      <c r="AKJ40" s="35">
        <f>AKJ38-AKJ39</f>
        <v/>
      </c>
      <c r="AKK40" s="35">
        <f>AKK38-AKK39</f>
        <v/>
      </c>
      <c r="AKL40" s="35">
        <f>AKL38-AKL39</f>
        <v/>
      </c>
      <c r="AKM40" s="35">
        <f>AKM38-AKM39</f>
        <v/>
      </c>
      <c r="AKN40" s="127">
        <f>SUM(AJL40:AKM40)</f>
        <v/>
      </c>
      <c r="AKO40" s="35">
        <f>AKO38-AKO39</f>
        <v/>
      </c>
      <c r="AKP40" s="35">
        <f>AKP38-AKP39</f>
        <v/>
      </c>
      <c r="AKQ40" s="35">
        <f>AKQ38-AKQ39</f>
        <v/>
      </c>
      <c r="AKR40" s="35">
        <f>AKR38-AKR39</f>
        <v/>
      </c>
      <c r="AKS40" s="35">
        <f>AKS38-AKS39</f>
        <v/>
      </c>
      <c r="AKT40" s="35">
        <f>AKT38-AKT39</f>
        <v/>
      </c>
      <c r="AKU40" s="35">
        <f>AKU38-AKU39</f>
        <v/>
      </c>
      <c r="AKV40" s="35">
        <f>AKV38-AKV39</f>
        <v/>
      </c>
      <c r="AKW40" s="35">
        <f>AKW38-AKW39</f>
        <v/>
      </c>
      <c r="AKX40" s="35">
        <f>AKX38-AKX39</f>
        <v/>
      </c>
      <c r="AKY40" s="35">
        <f>AKY38-AKY39</f>
        <v/>
      </c>
      <c r="AKZ40" s="35">
        <f>AKZ38-AKZ39</f>
        <v/>
      </c>
      <c r="ALA40" s="35">
        <f>ALA38-ALA39</f>
        <v/>
      </c>
      <c r="ALB40" s="35">
        <f>ALB38-ALB39</f>
        <v/>
      </c>
      <c r="ALC40" s="35">
        <f>ALC38-ALC39</f>
        <v/>
      </c>
      <c r="ALD40" s="35">
        <f>ALD38-ALD39</f>
        <v/>
      </c>
      <c r="ALE40" s="35">
        <f>ALE38-ALE39</f>
        <v/>
      </c>
      <c r="ALF40" s="35">
        <f>ALF38-ALF39</f>
        <v/>
      </c>
      <c r="ALG40" s="35">
        <f>ALG38-ALG39</f>
        <v/>
      </c>
      <c r="ALH40" s="35">
        <f>ALH38-ALH39</f>
        <v/>
      </c>
      <c r="ALI40" s="35">
        <f>ALI38-ALI39</f>
        <v/>
      </c>
      <c r="ALJ40" s="35">
        <f>ALJ38-ALJ39</f>
        <v/>
      </c>
      <c r="ALK40" s="35">
        <f>ALK38-ALK39</f>
        <v/>
      </c>
      <c r="ALL40" s="35">
        <f>ALL38-ALL39</f>
        <v/>
      </c>
      <c r="ALM40" s="35">
        <f>ALM38-ALM39</f>
        <v/>
      </c>
      <c r="ALN40" s="35">
        <f>ALN38-ALN39</f>
        <v/>
      </c>
      <c r="ALO40" s="35">
        <f>ALO38-ALO39</f>
        <v/>
      </c>
      <c r="ALP40" s="35">
        <f>ALP38-ALP39</f>
        <v/>
      </c>
      <c r="ALQ40" s="35">
        <f>ALQ38-ALQ39</f>
        <v/>
      </c>
      <c r="ALR40" s="35">
        <f>ALR38-ALR39</f>
        <v/>
      </c>
      <c r="ALS40" s="35">
        <f>ALS38-ALS39</f>
        <v/>
      </c>
      <c r="ALT40" s="127">
        <f>SUM(AKO40:ALS40)</f>
        <v/>
      </c>
      <c r="ALU40" s="35">
        <f>ALU38-ALU39</f>
        <v/>
      </c>
      <c r="ALV40" s="35">
        <f>ALV38-ALV39</f>
        <v/>
      </c>
      <c r="ALW40" s="35">
        <f>ALW38-ALW39</f>
        <v/>
      </c>
      <c r="ALX40" s="35">
        <f>ALX38-ALX39</f>
        <v/>
      </c>
      <c r="ALY40" s="35">
        <f>ALY38-ALY39</f>
        <v/>
      </c>
      <c r="ALZ40" s="35">
        <f>ALZ38-ALZ39</f>
        <v/>
      </c>
      <c r="AMA40" s="35">
        <f>AMA38-AMA39</f>
        <v/>
      </c>
      <c r="AMB40" s="35">
        <f>AMB38-AMB39</f>
        <v/>
      </c>
      <c r="AMC40" s="35">
        <f>AMC38-AMC39</f>
        <v/>
      </c>
      <c r="AMD40" s="35">
        <f>AMD38-AMD39</f>
        <v/>
      </c>
      <c r="AME40" s="35">
        <f>AME38-AME39</f>
        <v/>
      </c>
      <c r="AMF40" s="35">
        <f>AMF38-AMF39</f>
        <v/>
      </c>
      <c r="AMG40" s="35">
        <f>AMG38-AMG39</f>
        <v/>
      </c>
      <c r="AMH40" s="35">
        <f>AMH38-AMH39</f>
        <v/>
      </c>
      <c r="AMI40" s="35">
        <f>AMI38-AMI39</f>
        <v/>
      </c>
      <c r="AMJ40" s="35">
        <f>AMJ38-AMJ39</f>
        <v/>
      </c>
      <c r="AMK40" s="35">
        <f>AMK38-AMK39</f>
        <v/>
      </c>
      <c r="AML40" s="35">
        <f>AML38-AML39</f>
        <v/>
      </c>
      <c r="AMM40" s="35">
        <f>AMM38-AMM39</f>
        <v/>
      </c>
      <c r="AMN40" s="35">
        <f>AMN38-AMN39</f>
        <v/>
      </c>
      <c r="AMO40" s="35">
        <f>AMO38-AMO39</f>
        <v/>
      </c>
      <c r="AMP40" s="35">
        <f>AMP38-AMP39</f>
        <v/>
      </c>
      <c r="AMQ40" s="35">
        <f>AMQ38-AMQ39</f>
        <v/>
      </c>
      <c r="AMR40" s="35">
        <f>AMR38-AMR39</f>
        <v/>
      </c>
      <c r="AMS40" s="35">
        <f>AMS38-AMS39</f>
        <v/>
      </c>
      <c r="AMT40" s="35">
        <f>AMT38-AMT39</f>
        <v/>
      </c>
      <c r="AMU40" s="35">
        <f>AMU38-AMU39</f>
        <v/>
      </c>
      <c r="AMV40" s="35">
        <f>AMV38-AMV39</f>
        <v/>
      </c>
      <c r="AMW40" s="35">
        <f>AMW38-AMW39</f>
        <v/>
      </c>
      <c r="AMX40" s="35">
        <f>AMX38-AMX39</f>
        <v/>
      </c>
      <c r="AMY40" s="127">
        <f>SUM(ALU40:AMX40)</f>
        <v/>
      </c>
      <c r="AMZ40" s="35">
        <f>AMZ38-AMZ39</f>
        <v/>
      </c>
      <c r="ANA40" s="35">
        <f>ANA38-ANA39</f>
        <v/>
      </c>
      <c r="ANB40" s="35">
        <f>ANB38-ANB39</f>
        <v/>
      </c>
      <c r="ANC40" s="35">
        <f>ANC38-ANC39</f>
        <v/>
      </c>
      <c r="AND40" s="35">
        <f>AND38-AND39</f>
        <v/>
      </c>
      <c r="ANE40" s="35">
        <f>ANE38-ANE39</f>
        <v/>
      </c>
      <c r="ANF40" s="35">
        <f>ANF38-ANF39</f>
        <v/>
      </c>
      <c r="ANG40" s="35">
        <f>ANG38-ANG39</f>
        <v/>
      </c>
      <c r="ANH40" s="35">
        <f>ANH38-ANH39</f>
        <v/>
      </c>
      <c r="ANI40" s="35">
        <f>ANI38-ANI39</f>
        <v/>
      </c>
      <c r="ANJ40" s="35">
        <f>ANJ38-ANJ39</f>
        <v/>
      </c>
      <c r="ANK40" s="35">
        <f>ANK38-ANK39</f>
        <v/>
      </c>
      <c r="ANL40" s="35">
        <f>ANL38-ANL39</f>
        <v/>
      </c>
      <c r="ANM40" s="35">
        <f>ANM38-ANM39</f>
        <v/>
      </c>
      <c r="ANN40" s="35">
        <f>ANN38-ANN39</f>
        <v/>
      </c>
      <c r="ANO40" s="35">
        <f>ANO38-ANO39</f>
        <v/>
      </c>
      <c r="ANP40" s="35">
        <f>ANP38-ANP39</f>
        <v/>
      </c>
      <c r="ANQ40" s="35">
        <f>ANQ38-ANQ39</f>
        <v/>
      </c>
      <c r="ANR40" s="35">
        <f>ANR38-ANR39</f>
        <v/>
      </c>
      <c r="ANS40" s="35">
        <f>ANS38-ANS39</f>
        <v/>
      </c>
      <c r="ANT40" s="35">
        <f>ANT38-ANT39</f>
        <v/>
      </c>
      <c r="ANU40" s="35">
        <f>ANU38-ANU39</f>
        <v/>
      </c>
      <c r="ANV40" s="35">
        <f>ANV38-ANV39</f>
        <v/>
      </c>
      <c r="ANW40" s="35">
        <f>ANW38-ANW39</f>
        <v/>
      </c>
      <c r="ANX40" s="35">
        <f>ANX38-ANX39</f>
        <v/>
      </c>
      <c r="ANY40" s="35">
        <f>ANY38-ANY39</f>
        <v/>
      </c>
      <c r="ANZ40" s="35">
        <f>ANZ38-ANZ39</f>
        <v/>
      </c>
      <c r="AOA40" s="35">
        <f>AOA38-AOA39</f>
        <v/>
      </c>
      <c r="AOB40" s="35">
        <f>AOB38-AOB39</f>
        <v/>
      </c>
      <c r="AOC40" s="35">
        <f>AOC38-AOC39</f>
        <v/>
      </c>
    </row>
    <row r="41">
      <c r="B41" s="5" t="inlineStr">
        <is>
          <t>DIPPING</t>
        </is>
      </c>
      <c r="C41" s="20" t="n">
        <v>13333.33</v>
      </c>
      <c r="D41" s="20" t="n">
        <v>12320</v>
      </c>
      <c r="E41" s="20" t="n">
        <v>11640</v>
      </c>
      <c r="F41" s="20" t="n">
        <v>10588</v>
      </c>
      <c r="G41" s="20" t="n">
        <v>9211.76</v>
      </c>
      <c r="H41" s="20" t="n">
        <v>8400</v>
      </c>
      <c r="I41" s="20" t="n">
        <v>7320</v>
      </c>
      <c r="J41" s="20" t="n">
        <v>6344.44</v>
      </c>
      <c r="K41" s="20" t="n">
        <v>5480</v>
      </c>
      <c r="L41" s="20" t="n">
        <v>4600</v>
      </c>
      <c r="M41" s="20" t="n">
        <v>16600</v>
      </c>
      <c r="N41" s="20" t="n">
        <v>15910</v>
      </c>
      <c r="O41" s="20" t="n">
        <v>15147</v>
      </c>
      <c r="P41" s="20" t="n">
        <v>14350</v>
      </c>
      <c r="Q41" s="20" t="n">
        <v>13488</v>
      </c>
      <c r="R41" s="20" t="n">
        <v>12878</v>
      </c>
      <c r="S41" s="20" t="n">
        <v>11547</v>
      </c>
      <c r="T41" s="20" t="n">
        <v>10788</v>
      </c>
      <c r="U41" s="20" t="n">
        <v>10077</v>
      </c>
      <c r="V41" s="20" t="n">
        <v>9247</v>
      </c>
      <c r="W41" s="20" t="n">
        <v>8325</v>
      </c>
      <c r="X41" s="20" t="n">
        <v>7380</v>
      </c>
      <c r="Y41" s="20" t="n">
        <v>6477</v>
      </c>
      <c r="Z41" s="20" t="n">
        <v>5600</v>
      </c>
      <c r="AA41" s="20" t="n">
        <v>14445</v>
      </c>
      <c r="AB41" s="20" t="n">
        <v>13355</v>
      </c>
      <c r="AC41" s="20" t="n">
        <v>12466</v>
      </c>
      <c r="AD41" s="20" t="n">
        <v>11673</v>
      </c>
      <c r="AE41" s="20" t="n">
        <v>10305</v>
      </c>
      <c r="AF41" s="20" t="n">
        <v>9044</v>
      </c>
      <c r="AG41" s="20" t="n">
        <v>7877</v>
      </c>
      <c r="AH41" s="94">
        <f>SUM(C41:AG41)</f>
        <v/>
      </c>
      <c r="AI41" s="20" t="n">
        <v>16730</v>
      </c>
      <c r="AJ41" s="20" t="n">
        <v>15341</v>
      </c>
      <c r="AK41" s="20" t="n">
        <v>14077</v>
      </c>
      <c r="AL41" s="20" t="n">
        <v>12600</v>
      </c>
      <c r="AM41" s="20" t="n">
        <v>11070</v>
      </c>
      <c r="AN41" s="20" t="n">
        <v>9200</v>
      </c>
      <c r="AO41" s="20" t="n">
        <v>7541</v>
      </c>
      <c r="AP41" s="20" t="n">
        <v>5568</v>
      </c>
      <c r="AQ41" s="20" t="n">
        <v>14422</v>
      </c>
      <c r="AR41" s="20" t="n">
        <v>13100</v>
      </c>
      <c r="AS41" s="20" t="n">
        <v>11768</v>
      </c>
      <c r="AT41" s="20" t="n">
        <v>10623</v>
      </c>
      <c r="AU41" s="20" t="n">
        <v>9670</v>
      </c>
      <c r="AV41" s="20" t="n">
        <v>8777</v>
      </c>
      <c r="AW41" s="20" t="n">
        <v>7742</v>
      </c>
      <c r="AX41" s="20" t="n">
        <v>6733</v>
      </c>
      <c r="AY41" s="20" t="n">
        <v>5705</v>
      </c>
      <c r="AZ41" s="20" t="n">
        <v>4670</v>
      </c>
      <c r="BA41" s="20" t="n">
        <v>3600</v>
      </c>
      <c r="BB41" s="20" t="n">
        <v>15800</v>
      </c>
      <c r="BC41" s="20" t="n">
        <v>14800</v>
      </c>
      <c r="BD41" s="20" t="n">
        <v>13658</v>
      </c>
      <c r="BE41" s="20" t="n">
        <v>12326</v>
      </c>
      <c r="BF41" s="20" t="n">
        <v>11373</v>
      </c>
      <c r="BG41" s="20" t="n">
        <v>10376</v>
      </c>
      <c r="BH41" s="20" t="n">
        <v>9294</v>
      </c>
      <c r="BI41" s="20" t="n">
        <v>8212</v>
      </c>
      <c r="BJ41" s="20" t="n">
        <v>7044</v>
      </c>
      <c r="BK41" s="20" t="n">
        <v>5850</v>
      </c>
      <c r="BL41" s="20" t="n">
        <v>16904</v>
      </c>
      <c r="BM41" s="97">
        <f>SUM(AI41:BL41)</f>
        <v/>
      </c>
      <c r="BN41" s="20" t="n">
        <v>16110</v>
      </c>
      <c r="BO41" s="20" t="n">
        <v>15200</v>
      </c>
      <c r="BP41" s="20" t="n">
        <v>14052</v>
      </c>
      <c r="BQ41" s="20" t="n">
        <v>13055</v>
      </c>
      <c r="BR41" s="20" t="n">
        <v>11530</v>
      </c>
      <c r="BS41" s="20" t="n">
        <v>10250</v>
      </c>
      <c r="BT41" s="20" t="n">
        <v>9188</v>
      </c>
      <c r="BU41" s="20" t="n">
        <v>8421</v>
      </c>
      <c r="BV41" s="20" t="n">
        <v>7100</v>
      </c>
      <c r="BW41" s="20" t="n">
        <v>6066</v>
      </c>
      <c r="BX41" s="20" t="n">
        <v>5100</v>
      </c>
      <c r="BY41" s="20" t="n">
        <v>4200</v>
      </c>
      <c r="BZ41" s="20" t="n">
        <v>3054</v>
      </c>
      <c r="CA41" s="20" t="n">
        <v>6968</v>
      </c>
      <c r="CB41" s="20" t="n">
        <v>6177</v>
      </c>
      <c r="CC41" s="20" t="n">
        <v>5219</v>
      </c>
      <c r="CD41" s="20" t="n">
        <v>4100</v>
      </c>
      <c r="CE41" s="20" t="n">
        <v>12117</v>
      </c>
      <c r="CF41" s="20" t="n">
        <v>11430</v>
      </c>
      <c r="CG41" s="20" t="n">
        <v>10458</v>
      </c>
      <c r="CH41" s="20" t="n">
        <v>9560</v>
      </c>
      <c r="CI41" s="20" t="n">
        <v>8811</v>
      </c>
      <c r="CJ41" s="20" t="n">
        <v>7977</v>
      </c>
      <c r="CK41" s="20" t="n">
        <v>6884</v>
      </c>
      <c r="CL41" s="20" t="n">
        <v>16201</v>
      </c>
      <c r="CM41" s="20" t="n">
        <v>15400</v>
      </c>
      <c r="CN41" s="20" t="n">
        <v>14581</v>
      </c>
      <c r="CO41" s="20" t="n">
        <v>13377</v>
      </c>
      <c r="CP41" s="20" t="n">
        <v>12660</v>
      </c>
      <c r="CQ41" s="20" t="n">
        <v>11660</v>
      </c>
      <c r="CR41" s="20" t="n">
        <v>10741</v>
      </c>
      <c r="CS41" s="111">
        <f>SUM(BN41:CR41)</f>
        <v/>
      </c>
      <c r="CT41" s="20" t="n">
        <v>9752</v>
      </c>
      <c r="CU41" s="20" t="n">
        <v>8900</v>
      </c>
      <c r="CV41" s="20" t="n">
        <v>7911</v>
      </c>
      <c r="CW41" s="20" t="n">
        <v>6733</v>
      </c>
      <c r="CX41" s="20" t="n">
        <v>5764</v>
      </c>
      <c r="CY41" s="20" t="n">
        <v>4780</v>
      </c>
      <c r="CZ41" s="20" t="n">
        <v>13588</v>
      </c>
      <c r="DA41" s="20" t="n">
        <v>12577</v>
      </c>
      <c r="DB41" s="20" t="n">
        <v>11500</v>
      </c>
      <c r="DC41" s="20" t="n">
        <v>10512</v>
      </c>
      <c r="DD41" s="20" t="n">
        <v>9329</v>
      </c>
      <c r="DE41" s="20" t="n">
        <v>8777</v>
      </c>
      <c r="DF41" s="20" t="n">
        <v>8300</v>
      </c>
      <c r="DG41" s="20" t="n">
        <v>7300</v>
      </c>
      <c r="DH41" s="20" t="n">
        <v>15726</v>
      </c>
      <c r="DI41" s="20" t="n">
        <v>14866</v>
      </c>
      <c r="DJ41" s="20" t="n">
        <v>13188</v>
      </c>
      <c r="DK41" s="20" t="n">
        <v>12273</v>
      </c>
      <c r="DL41" s="20" t="n">
        <v>11578</v>
      </c>
      <c r="DM41" s="20" t="n">
        <v>10166</v>
      </c>
      <c r="DN41" s="20" t="n">
        <v>9329</v>
      </c>
      <c r="DO41" s="20" t="n">
        <v>8115</v>
      </c>
      <c r="DP41" s="20" t="n">
        <v>7200</v>
      </c>
      <c r="DQ41" s="20" t="n">
        <v>6222</v>
      </c>
      <c r="DR41" s="20" t="n">
        <v>14445</v>
      </c>
      <c r="DS41" s="20" t="n">
        <v>13500</v>
      </c>
      <c r="DT41" s="20" t="n">
        <v>12326</v>
      </c>
      <c r="DU41" s="20" t="n">
        <v>11023</v>
      </c>
      <c r="DV41" s="20" t="n">
        <v>9922</v>
      </c>
      <c r="DW41" s="20" t="n">
        <v>8988</v>
      </c>
      <c r="DX41" s="119" t="n"/>
      <c r="DY41" s="20" t="n">
        <v>8031</v>
      </c>
      <c r="DZ41" s="20" t="n">
        <v>6810</v>
      </c>
      <c r="EA41" s="20" t="n">
        <v>6011</v>
      </c>
      <c r="EB41" s="20" t="n">
        <v>5100</v>
      </c>
      <c r="EC41" s="20" t="n">
        <v>4019</v>
      </c>
      <c r="ED41" s="20" t="n">
        <v>3036</v>
      </c>
      <c r="EE41" s="20" t="n">
        <v>8905</v>
      </c>
      <c r="EF41" s="20" t="n">
        <v>7866</v>
      </c>
      <c r="EG41" s="20" t="n">
        <v>6455</v>
      </c>
      <c r="EH41" s="20" t="n">
        <v>5354</v>
      </c>
      <c r="EI41" s="20" t="n">
        <v>4145</v>
      </c>
      <c r="EJ41" s="20" t="n">
        <v>2652</v>
      </c>
      <c r="EK41" s="20" t="n">
        <v>1538</v>
      </c>
      <c r="EL41" s="20" t="n">
        <v>9966</v>
      </c>
      <c r="EM41" s="20" t="n">
        <v>8580</v>
      </c>
      <c r="EN41" s="20" t="n">
        <v>7494</v>
      </c>
      <c r="EO41" s="20" t="n">
        <v>6455</v>
      </c>
      <c r="EP41" s="20" t="n">
        <v>5160</v>
      </c>
      <c r="EQ41" s="20" t="n">
        <v>4133</v>
      </c>
      <c r="ER41" s="20" t="n">
        <v>15940</v>
      </c>
      <c r="ES41" s="20" t="n">
        <v>14084</v>
      </c>
      <c r="ET41" s="20" t="n">
        <v>12576</v>
      </c>
      <c r="EU41" s="20" t="n">
        <v>10647</v>
      </c>
      <c r="EV41" s="20" t="n">
        <v>9514</v>
      </c>
      <c r="EW41" s="20" t="n">
        <v>8952</v>
      </c>
      <c r="EX41" s="20" t="n">
        <v>8084</v>
      </c>
      <c r="EY41" s="20" t="n">
        <v>7240</v>
      </c>
      <c r="EZ41" s="20" t="n">
        <v>6255</v>
      </c>
      <c r="FA41" s="20" t="n">
        <v>15258</v>
      </c>
      <c r="FB41" s="20" t="n">
        <v>14094</v>
      </c>
      <c r="FC41" s="20" t="n">
        <v>13155</v>
      </c>
      <c r="FD41" s="128" t="n"/>
      <c r="FE41" s="20" t="n">
        <v>12242</v>
      </c>
      <c r="FF41" s="20" t="n">
        <v>11430</v>
      </c>
      <c r="FG41" s="20" t="n">
        <v>10122</v>
      </c>
      <c r="FH41" s="20" t="n">
        <v>9066</v>
      </c>
      <c r="FI41" s="20" t="n">
        <v>8042</v>
      </c>
      <c r="FJ41" s="20" t="n">
        <v>6884</v>
      </c>
      <c r="FK41" s="20" t="n">
        <v>5900</v>
      </c>
      <c r="FL41" s="20" t="n">
        <v>5100</v>
      </c>
      <c r="FM41" s="20" t="n">
        <v>3831</v>
      </c>
      <c r="FN41" s="20" t="n">
        <v>3054</v>
      </c>
      <c r="FO41" s="20" t="n">
        <v>8975</v>
      </c>
      <c r="FP41" s="20" t="n">
        <v>7342</v>
      </c>
      <c r="FQ41" s="20" t="n">
        <v>6511</v>
      </c>
      <c r="FR41" s="20" t="n">
        <v>5304</v>
      </c>
      <c r="FS41" s="20" t="n">
        <v>3947</v>
      </c>
      <c r="FT41" s="20" t="n">
        <v>3045</v>
      </c>
      <c r="FU41" s="20" t="n">
        <v>1746</v>
      </c>
      <c r="FV41" s="20" t="n">
        <v>8590</v>
      </c>
      <c r="FW41" s="20" t="n">
        <v>7494</v>
      </c>
      <c r="FX41" s="20" t="n">
        <v>6300</v>
      </c>
      <c r="FY41" s="20" t="n">
        <v>5318</v>
      </c>
      <c r="FZ41" s="20" t="n">
        <v>4090</v>
      </c>
      <c r="GA41" s="20" t="n">
        <v>2582</v>
      </c>
      <c r="GB41" s="20" t="n">
        <v>9611</v>
      </c>
      <c r="GC41" s="20" t="n">
        <v>8744</v>
      </c>
      <c r="GD41" s="20" t="n">
        <v>7475</v>
      </c>
      <c r="GE41" s="20" t="n">
        <v>6300</v>
      </c>
      <c r="GF41" s="20" t="n">
        <v>5170</v>
      </c>
      <c r="GG41" s="20" t="n">
        <v>3700</v>
      </c>
      <c r="GH41" s="20" t="n">
        <v>2362</v>
      </c>
      <c r="GI41" s="20" t="n">
        <v>1177</v>
      </c>
      <c r="GJ41" s="127">
        <f>SUM(FE41:GI41)</f>
        <v/>
      </c>
      <c r="GK41" s="20" t="n">
        <v>8094</v>
      </c>
      <c r="GL41" s="20" t="n">
        <v>6744</v>
      </c>
      <c r="GM41" s="20" t="n">
        <v>5670</v>
      </c>
      <c r="GN41" s="20" t="n">
        <v>4915</v>
      </c>
      <c r="GO41" s="20" t="n">
        <v>3821</v>
      </c>
      <c r="GP41" s="20" t="n">
        <v>10833</v>
      </c>
      <c r="GQ41" s="20" t="n">
        <v>9647</v>
      </c>
      <c r="GR41" s="20" t="n">
        <v>8460</v>
      </c>
      <c r="GS41" s="20" t="n">
        <v>7576</v>
      </c>
      <c r="GT41" s="20" t="n">
        <v>6233</v>
      </c>
      <c r="GU41" s="20" t="n">
        <v>5300</v>
      </c>
      <c r="GV41" s="20" t="n">
        <v>4326</v>
      </c>
      <c r="GW41" s="20" t="n">
        <v>3495</v>
      </c>
      <c r="GX41" s="20" t="n">
        <v>10435</v>
      </c>
      <c r="GY41" s="20" t="n">
        <v>9561</v>
      </c>
      <c r="GZ41" s="20" t="n">
        <v>8520</v>
      </c>
      <c r="HA41" s="20" t="n">
        <v>7729</v>
      </c>
      <c r="HB41" s="20" t="n">
        <v>6968</v>
      </c>
      <c r="HC41" s="20" t="n">
        <v>5577</v>
      </c>
      <c r="HD41" s="20" t="n">
        <v>10682</v>
      </c>
      <c r="HE41" s="20" t="n">
        <v>9777</v>
      </c>
      <c r="HF41" s="20" t="n">
        <v>8811</v>
      </c>
      <c r="HG41" s="20" t="n">
        <v>7776</v>
      </c>
      <c r="HH41" s="20" t="n">
        <v>6200</v>
      </c>
      <c r="HI41" s="20" t="n">
        <v>5410</v>
      </c>
      <c r="HJ41" s="20" t="n">
        <v>4442</v>
      </c>
      <c r="HK41" s="20" t="n">
        <v>3523</v>
      </c>
      <c r="HL41" s="20" t="n">
        <v>15642</v>
      </c>
      <c r="HM41" s="20" t="n">
        <v>14590</v>
      </c>
      <c r="HN41" s="127">
        <f>SUM(GK41:HM41)</f>
        <v/>
      </c>
      <c r="HO41" s="20" t="n">
        <v>13577</v>
      </c>
      <c r="HP41" s="20" t="n">
        <v>12242</v>
      </c>
      <c r="HQ41" s="20" t="n">
        <v>11373</v>
      </c>
      <c r="HR41" s="20" t="n">
        <v>9705</v>
      </c>
      <c r="HS41" s="20" t="n">
        <v>15631</v>
      </c>
      <c r="HT41" s="20" t="n">
        <v>14325</v>
      </c>
      <c r="HU41" s="20" t="n">
        <v>12892</v>
      </c>
      <c r="HV41" s="20" t="n">
        <v>11866</v>
      </c>
      <c r="HW41" s="20" t="n">
        <v>10435</v>
      </c>
      <c r="HX41" s="20" t="n">
        <v>9376</v>
      </c>
      <c r="HY41" s="20" t="n">
        <v>8200</v>
      </c>
      <c r="HZ41" s="20" t="n">
        <v>7219</v>
      </c>
      <c r="IA41" s="20" t="n">
        <v>6322</v>
      </c>
      <c r="IB41" s="20" t="n">
        <v>5200</v>
      </c>
      <c r="IC41" s="20" t="n">
        <v>4200</v>
      </c>
      <c r="ID41" s="20" t="n">
        <v>12315</v>
      </c>
      <c r="IE41" s="20" t="n">
        <v>11450</v>
      </c>
      <c r="IF41" s="20" t="n">
        <v>10294</v>
      </c>
      <c r="IG41" s="20" t="n">
        <v>9144</v>
      </c>
      <c r="IH41" s="20" t="n">
        <v>8294</v>
      </c>
      <c r="II41" s="20" t="n">
        <v>7257</v>
      </c>
      <c r="IJ41" s="20" t="n">
        <v>6066</v>
      </c>
      <c r="IK41" s="20" t="n">
        <v>4873</v>
      </c>
      <c r="IL41" s="20" t="n">
        <v>4142</v>
      </c>
      <c r="IM41" s="20" t="n">
        <v>2800</v>
      </c>
      <c r="IN41" s="20" t="n">
        <v>1769</v>
      </c>
      <c r="IO41" s="20" t="n">
        <v>11663</v>
      </c>
      <c r="IP41" s="20" t="n">
        <v>10410</v>
      </c>
      <c r="IQ41" s="20" t="n">
        <v>8850</v>
      </c>
      <c r="IR41" s="20" t="n">
        <v>8063</v>
      </c>
      <c r="IS41" s="20" t="n">
        <v>7320</v>
      </c>
      <c r="IT41" s="127">
        <f>SUM(HO41:IS41)</f>
        <v/>
      </c>
      <c r="IU41" s="20" t="n">
        <v>6477</v>
      </c>
      <c r="IV41" s="20" t="n">
        <v>5209</v>
      </c>
      <c r="IW41" s="20" t="n">
        <v>4357</v>
      </c>
      <c r="IX41" s="20" t="n">
        <v>3304</v>
      </c>
      <c r="IY41" s="20" t="n">
        <v>10055</v>
      </c>
      <c r="IZ41" s="20" t="n">
        <v>9294</v>
      </c>
      <c r="JA41" s="20" t="n">
        <v>8502</v>
      </c>
      <c r="JB41" s="20" t="n">
        <v>7144</v>
      </c>
      <c r="JC41" s="20" t="n">
        <v>8157</v>
      </c>
      <c r="JD41" s="20" t="n">
        <v>7266</v>
      </c>
      <c r="JE41" s="20" t="n">
        <v>6211</v>
      </c>
      <c r="JF41" s="20" t="n">
        <v>5140</v>
      </c>
      <c r="JG41" s="20" t="n">
        <v>15705</v>
      </c>
      <c r="JH41" s="20" t="n">
        <v>14813</v>
      </c>
      <c r="JI41" s="20" t="n">
        <v>13872</v>
      </c>
      <c r="JJ41" s="20" t="n">
        <v>12928</v>
      </c>
      <c r="JK41" s="20" t="n">
        <v>11778</v>
      </c>
      <c r="JL41" s="20" t="n">
        <v>10776</v>
      </c>
      <c r="JM41" s="20" t="n">
        <v>9694</v>
      </c>
      <c r="JN41" s="20" t="n">
        <v>8711</v>
      </c>
      <c r="JO41" s="20" t="n">
        <v>8105</v>
      </c>
      <c r="JP41" s="20" t="n">
        <v>6644</v>
      </c>
      <c r="JQ41" s="20" t="n">
        <v>5752</v>
      </c>
      <c r="JR41" s="20" t="n">
        <v>4905</v>
      </c>
      <c r="JS41" s="20" t="n">
        <v>4009</v>
      </c>
      <c r="JT41" s="20" t="n">
        <v>3000</v>
      </c>
      <c r="JU41" s="20" t="n">
        <v>12188</v>
      </c>
      <c r="JV41" s="20" t="n">
        <v>11253</v>
      </c>
      <c r="JW41" s="20" t="n">
        <v>10100</v>
      </c>
      <c r="JX41" s="20" t="n">
        <v>9235</v>
      </c>
      <c r="JY41" s="127">
        <f>SUM(IU41:JX41)</f>
        <v/>
      </c>
      <c r="JZ41" s="20" t="n">
        <v>8530</v>
      </c>
      <c r="KA41" s="20" t="n">
        <v>7552</v>
      </c>
      <c r="KB41" s="20" t="n">
        <v>16247</v>
      </c>
      <c r="KC41" s="20" t="n">
        <v>15329</v>
      </c>
      <c r="KD41" s="20" t="n">
        <v>14350</v>
      </c>
      <c r="KE41" s="20" t="n">
        <v>13322</v>
      </c>
      <c r="KF41" s="20" t="n">
        <v>12047</v>
      </c>
      <c r="KG41" s="20" t="n">
        <v>10933</v>
      </c>
      <c r="KH41" s="20" t="n">
        <v>9517</v>
      </c>
      <c r="KI41" s="20" t="n">
        <v>8212</v>
      </c>
      <c r="KJ41" s="20" t="n">
        <v>6989</v>
      </c>
      <c r="KK41" s="20" t="n">
        <v>6111</v>
      </c>
      <c r="KL41" s="20" t="n">
        <v>4028</v>
      </c>
      <c r="KM41" s="20" t="n">
        <v>2556</v>
      </c>
      <c r="KN41" s="20" t="n">
        <v>1646</v>
      </c>
      <c r="KO41" s="20" t="n">
        <v>9523</v>
      </c>
      <c r="KP41" s="20" t="n">
        <v>8147</v>
      </c>
      <c r="KQ41" s="20" t="n">
        <v>6622</v>
      </c>
      <c r="KR41" s="20" t="n">
        <v>5611</v>
      </c>
      <c r="KS41" s="20" t="n">
        <v>4263</v>
      </c>
      <c r="KT41" s="20" t="n">
        <v>2381</v>
      </c>
      <c r="KU41" s="20" t="n">
        <v>6655</v>
      </c>
      <c r="KV41" s="20" t="n">
        <v>4127</v>
      </c>
      <c r="KW41" s="20" t="n">
        <v>2660</v>
      </c>
      <c r="KX41" s="20" t="n">
        <v>9400</v>
      </c>
      <c r="KY41" s="20" t="n">
        <v>8450</v>
      </c>
      <c r="KZ41" s="20" t="n">
        <v>7177</v>
      </c>
      <c r="LA41" s="20" t="n">
        <v>5647</v>
      </c>
      <c r="LB41" s="20" t="n">
        <v>4114</v>
      </c>
      <c r="LC41" s="20" t="n">
        <v>7922</v>
      </c>
      <c r="LD41" s="20" t="n">
        <v>11410</v>
      </c>
      <c r="LE41" s="127">
        <f>SUM(KA41:LD41)</f>
        <v/>
      </c>
      <c r="LF41" s="20" t="n">
        <v>10042</v>
      </c>
      <c r="LG41" s="20" t="n">
        <v>8870</v>
      </c>
      <c r="LH41" s="20" t="n">
        <v>7166</v>
      </c>
      <c r="LI41" s="20" t="n">
        <v>5440</v>
      </c>
      <c r="LJ41" s="20" t="n">
        <v>4200</v>
      </c>
      <c r="LK41" s="20" t="n">
        <v>2910</v>
      </c>
      <c r="LL41" s="20" t="n">
        <v>11166</v>
      </c>
      <c r="LM41" s="20" t="n">
        <v>9571</v>
      </c>
      <c r="LN41" s="20" t="n">
        <v>8633</v>
      </c>
      <c r="LO41" s="20" t="n">
        <v>7247</v>
      </c>
      <c r="LP41" s="20" t="n">
        <v>5557</v>
      </c>
      <c r="LQ41" s="20" t="n">
        <v>4294</v>
      </c>
      <c r="LR41" s="20" t="n">
        <v>2800</v>
      </c>
      <c r="LS41" s="20" t="n">
        <v>8168</v>
      </c>
      <c r="LT41" s="20" t="n">
        <v>6989</v>
      </c>
      <c r="LU41" s="20" t="n">
        <v>5861</v>
      </c>
      <c r="LV41" s="20" t="n">
        <v>4800</v>
      </c>
      <c r="LW41" s="20" t="n">
        <v>3457</v>
      </c>
      <c r="LX41" s="20" t="n">
        <v>2052</v>
      </c>
      <c r="LY41" s="20" t="n">
        <v>8550</v>
      </c>
      <c r="LZ41" s="20" t="n">
        <v>7155</v>
      </c>
      <c r="MA41" s="20" t="n">
        <v>5920</v>
      </c>
      <c r="MB41" s="20" t="n">
        <v>5130</v>
      </c>
      <c r="MC41" s="20" t="n">
        <v>4027</v>
      </c>
      <c r="MD41" s="20" t="n">
        <v>2830</v>
      </c>
      <c r="ME41" s="20" t="n">
        <v>8557</v>
      </c>
      <c r="MF41" s="20" t="n">
        <v>7390</v>
      </c>
      <c r="MG41" s="20" t="n">
        <v>6255</v>
      </c>
      <c r="MH41" s="20" t="n">
        <v>5190</v>
      </c>
      <c r="MI41" s="20" t="n">
        <v>3894</v>
      </c>
      <c r="MJ41" s="127">
        <f>SUM(LF41:MI41)</f>
        <v/>
      </c>
      <c r="MK41" s="20" t="n">
        <v>2600</v>
      </c>
      <c r="ML41" s="20" t="n">
        <v>1244</v>
      </c>
      <c r="MM41" s="20" t="n">
        <v>5336</v>
      </c>
      <c r="MN41" s="20" t="n">
        <v>4249</v>
      </c>
      <c r="MO41" s="20" t="n">
        <v>2839</v>
      </c>
      <c r="MP41" s="20" t="n">
        <v>9752</v>
      </c>
      <c r="MQ41" s="20" t="n">
        <v>8520</v>
      </c>
      <c r="MR41" s="20" t="n">
        <v>7360</v>
      </c>
      <c r="MS41" s="20" t="n">
        <v>6400</v>
      </c>
      <c r="MT41" s="20" t="n">
        <v>5720</v>
      </c>
      <c r="MU41" s="20" t="n">
        <v>4378</v>
      </c>
      <c r="MV41" s="20" t="n">
        <v>8200</v>
      </c>
      <c r="MW41" s="20" t="n">
        <v>6915</v>
      </c>
      <c r="MX41" s="20" t="n">
        <v>5960</v>
      </c>
      <c r="MY41" s="20" t="n">
        <v>4770</v>
      </c>
      <c r="MZ41" s="20" t="n">
        <v>3403</v>
      </c>
      <c r="NA41" s="20" t="n">
        <v>2262</v>
      </c>
      <c r="NB41" s="20" t="n">
        <v>1109</v>
      </c>
      <c r="NC41" s="20" t="n">
        <v>7764</v>
      </c>
      <c r="ND41" s="20" t="n">
        <v>6744</v>
      </c>
      <c r="NE41" s="20" t="n">
        <v>6000</v>
      </c>
      <c r="NF41" s="20" t="n">
        <v>4873</v>
      </c>
      <c r="NG41" s="20" t="n">
        <v>3852</v>
      </c>
      <c r="NH41" s="20" t="n">
        <v>2900</v>
      </c>
      <c r="NI41" s="20" t="n">
        <v>12566</v>
      </c>
      <c r="NJ41" s="20" t="n">
        <v>11082</v>
      </c>
      <c r="NK41" s="20" t="n">
        <v>10234</v>
      </c>
      <c r="NL41" s="20" t="n">
        <v>9177</v>
      </c>
      <c r="NM41" s="20" t="n">
        <v>8075</v>
      </c>
      <c r="NN41" s="20" t="n">
        <v>6926</v>
      </c>
      <c r="NO41" s="20" t="n">
        <v>5890</v>
      </c>
      <c r="NP41" s="127">
        <f>SUM(ML41:NO41)</f>
        <v/>
      </c>
      <c r="NQ41" s="20" t="n">
        <v>4915</v>
      </c>
      <c r="NR41" s="20" t="n">
        <v>3542</v>
      </c>
      <c r="NS41" s="20" t="n">
        <v>10329</v>
      </c>
      <c r="NT41" s="20" t="n">
        <v>9440</v>
      </c>
      <c r="NU41" s="20" t="n">
        <v>8400</v>
      </c>
      <c r="NV41" s="20" t="n">
        <v>6968</v>
      </c>
      <c r="NW41" s="20" t="n">
        <v>5600</v>
      </c>
      <c r="NX41" s="20" t="n">
        <v>4410</v>
      </c>
      <c r="NY41" s="20" t="n">
        <v>3209</v>
      </c>
      <c r="NZ41" s="20" t="n">
        <v>6277</v>
      </c>
      <c r="OA41" s="20" t="n">
        <v>5263</v>
      </c>
      <c r="OB41" s="20" t="n">
        <v>4400</v>
      </c>
      <c r="OC41" s="20" t="n">
        <v>3352</v>
      </c>
      <c r="OD41" s="20" t="n">
        <v>2206</v>
      </c>
      <c r="OE41" s="20" t="n">
        <v>8021</v>
      </c>
      <c r="OF41" s="20" t="n">
        <v>6905</v>
      </c>
      <c r="OG41" s="20" t="n">
        <v>5870</v>
      </c>
      <c r="OH41" s="20" t="n">
        <v>4905</v>
      </c>
      <c r="OI41" s="20" t="n">
        <v>3761</v>
      </c>
      <c r="OJ41" s="20" t="n">
        <v>2763</v>
      </c>
      <c r="OK41" s="20" t="n">
        <v>11705</v>
      </c>
      <c r="OL41" s="20" t="n">
        <v>10258</v>
      </c>
      <c r="OM41" s="20" t="n">
        <v>9022</v>
      </c>
      <c r="ON41" s="20" t="n">
        <v>7858</v>
      </c>
      <c r="OO41" s="20" t="n">
        <v>7177</v>
      </c>
      <c r="OP41" s="20" t="n">
        <v>5980</v>
      </c>
      <c r="OQ41" s="20" t="n">
        <v>4905</v>
      </c>
      <c r="OR41" s="20" t="n">
        <v>3695</v>
      </c>
      <c r="OS41" s="20" t="n">
        <v>2645</v>
      </c>
      <c r="OT41" s="20" t="n">
        <v>13970</v>
      </c>
      <c r="OU41" s="20" t="n">
        <v>12326</v>
      </c>
      <c r="OV41" s="127">
        <f>SUM(NR41:OU41)</f>
        <v/>
      </c>
      <c r="OW41" s="20" t="n">
        <v>11500</v>
      </c>
      <c r="OX41" s="20" t="n">
        <v>9764</v>
      </c>
      <c r="OY41" s="20" t="n">
        <v>8621</v>
      </c>
      <c r="OZ41" s="20" t="n">
        <v>7658</v>
      </c>
      <c r="PA41" s="20" t="n">
        <v>6376</v>
      </c>
      <c r="PB41" s="20" t="n">
        <v>13970</v>
      </c>
      <c r="PC41" s="20" t="n">
        <v>12600</v>
      </c>
      <c r="PD41" s="20" t="n">
        <v>11473</v>
      </c>
      <c r="PE41" s="20" t="n">
        <v>10496</v>
      </c>
      <c r="PF41" s="20" t="n">
        <v>9400</v>
      </c>
      <c r="PG41" s="20" t="n">
        <v>8084</v>
      </c>
      <c r="PH41" s="20" t="n">
        <v>7000</v>
      </c>
      <c r="PI41" s="20" t="n">
        <v>5460</v>
      </c>
      <c r="PJ41" s="20" t="n">
        <v>4410</v>
      </c>
      <c r="PK41" s="20" t="n">
        <v>3419</v>
      </c>
      <c r="PL41" s="20" t="n">
        <v>2417</v>
      </c>
      <c r="PM41" s="20" t="n">
        <v>1430</v>
      </c>
      <c r="PN41" s="20" t="n">
        <v>8560</v>
      </c>
      <c r="PO41" s="20" t="n">
        <v>7285</v>
      </c>
      <c r="PP41" s="20" t="n">
        <v>6177</v>
      </c>
      <c r="PQ41" s="20" t="n">
        <v>5150</v>
      </c>
      <c r="PR41" s="20" t="n">
        <v>4273</v>
      </c>
      <c r="PS41" s="20" t="n">
        <v>3361</v>
      </c>
      <c r="PT41" s="20" t="n">
        <v>2382</v>
      </c>
      <c r="PU41" s="20" t="n">
        <v>11450</v>
      </c>
      <c r="PV41" s="20" t="n">
        <v>10282</v>
      </c>
      <c r="PW41" s="20" t="n">
        <v>9329</v>
      </c>
      <c r="PX41" s="20" t="n">
        <v>7855</v>
      </c>
      <c r="PY41" s="20" t="n">
        <v>7177</v>
      </c>
      <c r="PZ41" s="20" t="n">
        <v>5910</v>
      </c>
      <c r="QA41" s="127">
        <f>SUM(OW41:PZ41)</f>
        <v/>
      </c>
      <c r="QB41" s="20" t="n">
        <v>4800</v>
      </c>
      <c r="QC41" s="20" t="n">
        <v>3899</v>
      </c>
      <c r="QD41" s="20" t="n">
        <v>2876</v>
      </c>
      <c r="QE41" s="20" t="n">
        <v>11652</v>
      </c>
      <c r="QF41" s="20" t="n">
        <v>10482</v>
      </c>
      <c r="QG41" s="20" t="n">
        <v>9800</v>
      </c>
      <c r="QH41" s="20" t="n">
        <v>8755</v>
      </c>
      <c r="QI41" s="20" t="n">
        <v>7717</v>
      </c>
      <c r="QJ41" s="20" t="n">
        <v>6666</v>
      </c>
      <c r="QK41" s="20" t="n">
        <v>5682</v>
      </c>
      <c r="QL41" s="20" t="n">
        <v>4578</v>
      </c>
      <c r="QM41" s="20" t="n">
        <v>13266</v>
      </c>
      <c r="QN41" s="20" t="n">
        <v>12117</v>
      </c>
      <c r="QO41" s="20" t="n">
        <v>10741</v>
      </c>
      <c r="QP41" s="20" t="n">
        <v>9787</v>
      </c>
      <c r="QQ41" s="20" t="n">
        <v>8800</v>
      </c>
      <c r="QR41" s="20" t="n">
        <v>7811</v>
      </c>
      <c r="QS41" s="20" t="n">
        <v>6266</v>
      </c>
      <c r="QT41" s="20" t="n">
        <v>12129</v>
      </c>
      <c r="QU41" s="20" t="n">
        <v>11452</v>
      </c>
      <c r="QV41" s="20" t="n">
        <v>10376</v>
      </c>
      <c r="QW41" s="20" t="n">
        <v>9438</v>
      </c>
      <c r="QX41" s="20" t="n">
        <v>8530</v>
      </c>
      <c r="QY41" s="20" t="n">
        <v>6688</v>
      </c>
      <c r="QZ41" s="20" t="n">
        <v>5295</v>
      </c>
      <c r="RA41" s="20" t="n">
        <v>13400</v>
      </c>
      <c r="RB41" s="20" t="n">
        <v>12600</v>
      </c>
      <c r="RC41" s="20" t="n">
        <v>11694</v>
      </c>
      <c r="RD41" s="20" t="n">
        <v>10655</v>
      </c>
      <c r="RE41" s="20" t="n">
        <v>9658</v>
      </c>
      <c r="RF41" s="20" t="n">
        <v>8410</v>
      </c>
      <c r="RG41" s="127">
        <f>SUM(QC41:RF41)</f>
        <v/>
      </c>
      <c r="RH41" s="20" t="n">
        <v>7380</v>
      </c>
      <c r="RI41" s="20" t="n">
        <v>6444</v>
      </c>
      <c r="RJ41" s="20" t="n">
        <v>5420</v>
      </c>
      <c r="RK41" s="20" t="n">
        <v>3731</v>
      </c>
      <c r="RL41" s="20" t="n">
        <v>2617</v>
      </c>
      <c r="RM41" s="20" t="n">
        <v>9866</v>
      </c>
      <c r="RN41" s="20" t="n">
        <v>8912</v>
      </c>
      <c r="RO41" s="20" t="n">
        <v>7877</v>
      </c>
      <c r="RP41" s="20" t="n">
        <v>6894</v>
      </c>
      <c r="RQ41" s="20" t="n">
        <v>6136</v>
      </c>
      <c r="RR41" s="20" t="n">
        <v>4770</v>
      </c>
      <c r="RS41" s="20" t="n">
        <v>3842</v>
      </c>
      <c r="RT41" s="20" t="n">
        <v>2563</v>
      </c>
      <c r="RU41" s="20" t="n">
        <v>11430</v>
      </c>
      <c r="RV41" s="20" t="n">
        <v>10244</v>
      </c>
      <c r="RW41" s="20" t="n">
        <v>9022</v>
      </c>
      <c r="RX41" s="20" t="n">
        <v>8021</v>
      </c>
      <c r="RY41" s="20" t="n">
        <v>7144</v>
      </c>
      <c r="RZ41" s="20" t="n">
        <v>6211</v>
      </c>
      <c r="SA41" s="20" t="n">
        <v>5276</v>
      </c>
      <c r="SB41" s="20" t="n">
        <v>4190</v>
      </c>
      <c r="SC41" s="20" t="n">
        <v>13244</v>
      </c>
      <c r="SD41" s="20" t="n">
        <v>12305</v>
      </c>
      <c r="SE41" s="20" t="n">
        <v>11560</v>
      </c>
      <c r="SF41" s="20" t="n">
        <v>10305</v>
      </c>
      <c r="SG41" s="20" t="n">
        <v>9111</v>
      </c>
      <c r="SH41" s="20" t="n">
        <v>8200</v>
      </c>
      <c r="SI41" s="20" t="n">
        <v>6688</v>
      </c>
      <c r="SJ41" s="20" t="n">
        <v>5611</v>
      </c>
      <c r="SK41" s="20" t="n">
        <v>12720</v>
      </c>
      <c r="SL41" s="127">
        <f>SUM(RH41:SK41)</f>
        <v/>
      </c>
      <c r="SM41" s="20" t="n">
        <v>11988</v>
      </c>
      <c r="SN41" s="20" t="n">
        <v>10177</v>
      </c>
      <c r="SO41" s="20" t="n">
        <v>7022</v>
      </c>
      <c r="SP41" s="20" t="n">
        <v>5623</v>
      </c>
      <c r="SQ41" s="20" t="n">
        <v>4421</v>
      </c>
      <c r="SR41" s="20" t="n">
        <v>3257</v>
      </c>
      <c r="SS41" s="20" t="n">
        <v>7210</v>
      </c>
      <c r="ST41" s="20" t="n">
        <v>6144</v>
      </c>
      <c r="SU41" s="20" t="n">
        <v>4463</v>
      </c>
      <c r="SV41" s="20" t="n">
        <v>3352</v>
      </c>
      <c r="SW41" s="20" t="n">
        <v>14634</v>
      </c>
      <c r="SX41" s="20" t="n">
        <v>13682</v>
      </c>
      <c r="SY41" s="20" t="n">
        <v>12000</v>
      </c>
      <c r="SZ41" s="20" t="n">
        <v>10855</v>
      </c>
      <c r="TA41" s="20" t="n">
        <v>9611</v>
      </c>
      <c r="TB41" s="20" t="n">
        <v>8063</v>
      </c>
      <c r="TC41" s="20" t="n">
        <v>6957</v>
      </c>
      <c r="TD41" s="20" t="n">
        <v>5705</v>
      </c>
      <c r="TE41" s="20" t="n">
        <v>4357</v>
      </c>
      <c r="TF41" s="20" t="n">
        <v>15073</v>
      </c>
      <c r="TG41" s="20" t="n">
        <v>13900</v>
      </c>
      <c r="TH41" s="20" t="n">
        <v>12618</v>
      </c>
      <c r="TI41" s="20" t="n">
        <v>11590</v>
      </c>
      <c r="TJ41" s="20" t="n">
        <v>10337</v>
      </c>
      <c r="TK41" s="20" t="n">
        <v>9855</v>
      </c>
      <c r="TL41" s="20" t="n">
        <v>9155</v>
      </c>
      <c r="TM41" s="20" t="n">
        <v>8136</v>
      </c>
      <c r="TN41" s="20" t="n">
        <v>7200</v>
      </c>
      <c r="TO41" s="20" t="n">
        <v>6344</v>
      </c>
      <c r="TP41" s="20" t="n">
        <v>5363</v>
      </c>
      <c r="TQ41" s="20" t="n">
        <v>11200</v>
      </c>
      <c r="TR41" s="127">
        <f>SUM(SN41:TQ41)</f>
        <v/>
      </c>
      <c r="TS41" s="20" t="n">
        <v>10517</v>
      </c>
      <c r="TT41" s="20" t="n">
        <v>9561</v>
      </c>
      <c r="TU41" s="20" t="n">
        <v>8670</v>
      </c>
      <c r="TV41" s="20" t="n">
        <v>7725</v>
      </c>
      <c r="TW41" s="20" t="n">
        <v>6957</v>
      </c>
      <c r="TX41" s="20" t="n">
        <v>5890</v>
      </c>
      <c r="TY41" s="20" t="n">
        <v>4844</v>
      </c>
      <c r="TZ41" s="20" t="n">
        <v>14300</v>
      </c>
      <c r="UA41" s="20" t="n">
        <v>13200</v>
      </c>
      <c r="UB41" s="20" t="n">
        <v>12023</v>
      </c>
      <c r="UC41" s="20" t="n">
        <v>10988</v>
      </c>
      <c r="UD41" s="20" t="n">
        <v>9988</v>
      </c>
      <c r="UE41" s="20" t="n">
        <v>8325</v>
      </c>
      <c r="UF41" s="20" t="n">
        <v>7340</v>
      </c>
      <c r="UG41" s="20" t="n">
        <v>6341</v>
      </c>
      <c r="UH41" s="20" t="n">
        <v>5290</v>
      </c>
      <c r="UI41" s="20" t="n">
        <v>4118</v>
      </c>
      <c r="UJ41" s="20" t="n">
        <v>12925</v>
      </c>
      <c r="UK41" s="20" t="n">
        <v>11870</v>
      </c>
      <c r="UL41" s="20" t="n">
        <v>10658</v>
      </c>
      <c r="UM41" s="20" t="n">
        <v>9510</v>
      </c>
      <c r="UN41" s="20" t="n">
        <v>8084</v>
      </c>
      <c r="UO41" s="20" t="n">
        <v>7055</v>
      </c>
      <c r="UP41" s="20" t="n">
        <v>5635</v>
      </c>
      <c r="UQ41" s="20" t="n">
        <v>4221</v>
      </c>
      <c r="UR41" s="20" t="n">
        <v>2745</v>
      </c>
      <c r="US41" s="20" t="n">
        <v>1650</v>
      </c>
      <c r="UT41" s="20" t="n">
        <v>410</v>
      </c>
      <c r="UU41" s="20" t="n">
        <v>410</v>
      </c>
      <c r="UV41" s="20" t="n">
        <v>9705</v>
      </c>
      <c r="UW41" s="20" t="n">
        <v>8590</v>
      </c>
      <c r="UX41" s="127">
        <f>SUM(TT41:UW41)</f>
        <v/>
      </c>
      <c r="UY41" s="20" t="n">
        <v>7320</v>
      </c>
      <c r="UZ41" s="20" t="n">
        <v>6433</v>
      </c>
      <c r="VA41" s="20" t="n">
        <v>4547</v>
      </c>
      <c r="VB41" s="20" t="n">
        <v>6355</v>
      </c>
      <c r="VC41" s="20" t="n">
        <v>10144</v>
      </c>
      <c r="VD41" s="20" t="n">
        <v>9258</v>
      </c>
      <c r="VE41" s="20" t="n">
        <v>7955</v>
      </c>
      <c r="VF41" s="20" t="n">
        <v>6317</v>
      </c>
      <c r="VG41" s="20" t="n">
        <v>5520</v>
      </c>
      <c r="VH41" s="20" t="n">
        <v>4421</v>
      </c>
      <c r="VI41" s="20" t="n">
        <v>10822</v>
      </c>
      <c r="VJ41" s="20" t="n">
        <v>9888</v>
      </c>
      <c r="VK41" s="20" t="n">
        <v>8700</v>
      </c>
      <c r="VL41" s="20" t="n">
        <v>7517</v>
      </c>
      <c r="VM41" s="20" t="n">
        <v>6488</v>
      </c>
      <c r="VN41" s="20" t="n">
        <v>5670</v>
      </c>
      <c r="VO41" s="20" t="n">
        <v>4670</v>
      </c>
      <c r="VP41" s="20" t="n">
        <v>3552</v>
      </c>
      <c r="VQ41" s="20" t="n">
        <v>10000</v>
      </c>
      <c r="VR41" s="20" t="n">
        <v>8789</v>
      </c>
      <c r="VS41" s="20" t="n">
        <v>7635</v>
      </c>
      <c r="VT41" s="20" t="n">
        <v>13433</v>
      </c>
      <c r="VU41" s="20" t="n">
        <v>12400</v>
      </c>
      <c r="VV41" s="20" t="n">
        <v>11240</v>
      </c>
      <c r="VW41" s="20" t="n">
        <v>9966</v>
      </c>
      <c r="VX41" s="20" t="n">
        <v>8722</v>
      </c>
      <c r="VY41" s="20" t="n">
        <v>7552</v>
      </c>
      <c r="VZ41" s="20" t="n">
        <v>6500</v>
      </c>
      <c r="WA41" s="127">
        <f>SUM(UW41:VZ41)</f>
        <v/>
      </c>
      <c r="WB41" s="20" t="n">
        <v>5209</v>
      </c>
      <c r="WC41" s="20" t="n">
        <v>4378</v>
      </c>
      <c r="WD41" s="20" t="n">
        <v>2940</v>
      </c>
      <c r="WE41" s="20" t="n">
        <v>1810</v>
      </c>
      <c r="WF41" s="20" t="n">
        <v>788</v>
      </c>
      <c r="WG41" s="20" t="n">
        <v>788</v>
      </c>
      <c r="WH41" s="20" t="n">
        <v>7822</v>
      </c>
      <c r="WI41" s="20" t="n">
        <v>6233</v>
      </c>
      <c r="WJ41" s="20" t="n">
        <v>5160</v>
      </c>
      <c r="WK41" s="20" t="n">
        <v>3968</v>
      </c>
      <c r="WL41" s="20" t="n">
        <v>10576</v>
      </c>
      <c r="WM41" s="20" t="n">
        <v>9647</v>
      </c>
      <c r="WN41" s="20" t="n">
        <v>8666</v>
      </c>
      <c r="WO41" s="20" t="n">
        <v>7658</v>
      </c>
      <c r="WP41" s="20" t="n">
        <v>6270</v>
      </c>
      <c r="WQ41" s="20" t="n">
        <v>5500</v>
      </c>
      <c r="WR41" s="20" t="n">
        <v>4305</v>
      </c>
      <c r="WS41" s="20" t="n">
        <v>3495.23</v>
      </c>
      <c r="WT41" s="20" t="n">
        <v>2325</v>
      </c>
      <c r="WU41" s="20" t="n">
        <v>1400</v>
      </c>
      <c r="WV41" s="20" t="n">
        <v>7933</v>
      </c>
      <c r="WW41" s="20" t="n">
        <v>6873</v>
      </c>
      <c r="WX41" s="20" t="n">
        <v>5870</v>
      </c>
      <c r="WY41" s="20" t="n">
        <v>4536</v>
      </c>
      <c r="WZ41" s="20" t="n">
        <v>11390</v>
      </c>
      <c r="XA41" s="20" t="n">
        <v>10655</v>
      </c>
      <c r="XB41" s="20" t="n">
        <v>9504</v>
      </c>
      <c r="XC41" s="20" t="n">
        <v>8590</v>
      </c>
      <c r="XD41" s="20" t="n">
        <v>7576</v>
      </c>
      <c r="XE41" s="20" t="n">
        <v>6390</v>
      </c>
      <c r="XF41" s="20" t="n">
        <v>4905</v>
      </c>
      <c r="XG41" s="127">
        <f>SUM(WB41:XF41)</f>
        <v/>
      </c>
      <c r="XH41" s="20" t="n">
        <v>12000</v>
      </c>
      <c r="XI41" s="20" t="n">
        <v>11023</v>
      </c>
      <c r="XJ41" s="20" t="n">
        <v>10100</v>
      </c>
      <c r="XK41" s="20" t="n">
        <v>9088</v>
      </c>
      <c r="XL41" s="20" t="n">
        <v>7955</v>
      </c>
      <c r="XM41" s="20" t="n">
        <v>6915</v>
      </c>
      <c r="XN41" s="20" t="n">
        <v>5810</v>
      </c>
      <c r="XO41" s="20" t="n">
        <v>4680</v>
      </c>
      <c r="XP41" s="20" t="n">
        <v>3790</v>
      </c>
      <c r="XQ41" s="20" t="n">
        <v>2810</v>
      </c>
      <c r="XR41" s="20" t="n">
        <v>8823</v>
      </c>
      <c r="XS41" s="20" t="n">
        <v>7729</v>
      </c>
      <c r="XT41" s="20" t="n">
        <v>7000</v>
      </c>
      <c r="XU41" s="20" t="n">
        <v>6111</v>
      </c>
      <c r="XV41" s="20" t="n">
        <v>5050</v>
      </c>
      <c r="XW41" s="20" t="n">
        <v>4011</v>
      </c>
      <c r="XX41" s="20" t="n">
        <v>2970</v>
      </c>
      <c r="XY41" s="20" t="n">
        <v>2155</v>
      </c>
      <c r="XZ41" s="20" t="n">
        <v>8375</v>
      </c>
      <c r="YA41" s="20" t="n">
        <v>7576</v>
      </c>
      <c r="YB41" s="20" t="n">
        <v>6810</v>
      </c>
      <c r="YC41" s="20" t="n">
        <v>5820</v>
      </c>
      <c r="YD41" s="20" t="n">
        <v>4630</v>
      </c>
      <c r="YE41" s="20" t="n">
        <v>3714</v>
      </c>
      <c r="YF41" s="20" t="n">
        <v>12871</v>
      </c>
      <c r="YG41" s="20" t="n">
        <v>11888</v>
      </c>
      <c r="YH41" s="20" t="n">
        <v>11000</v>
      </c>
      <c r="YI41" s="20" t="n">
        <v>10077</v>
      </c>
      <c r="YJ41" s="20" t="n">
        <v>9409</v>
      </c>
      <c r="YK41" s="20" t="n">
        <v>8711</v>
      </c>
      <c r="YL41" s="127">
        <f>SUM(XH41:YK41)</f>
        <v/>
      </c>
      <c r="YM41" s="20" t="n">
        <v>7458</v>
      </c>
      <c r="YN41" s="20" t="n">
        <v>6122</v>
      </c>
      <c r="YO41" s="20" t="n">
        <v>5170</v>
      </c>
      <c r="YP41" s="20" t="n">
        <v>4347</v>
      </c>
      <c r="YQ41" s="20" t="n">
        <v>3390</v>
      </c>
      <c r="YR41" s="20" t="n">
        <v>2600</v>
      </c>
      <c r="YS41" s="20" t="n">
        <v>1712</v>
      </c>
      <c r="YT41" s="20" t="n">
        <v>1237</v>
      </c>
      <c r="YU41" s="20" t="n">
        <v>7177</v>
      </c>
      <c r="YV41" s="20" t="n">
        <v>6288</v>
      </c>
      <c r="YW41" s="20" t="n">
        <v>5354</v>
      </c>
      <c r="YX41" s="20" t="n">
        <v>14591</v>
      </c>
      <c r="YY41" s="20" t="n">
        <v>13526</v>
      </c>
      <c r="YZ41" s="20" t="n">
        <v>12555</v>
      </c>
      <c r="ZA41" s="20" t="n">
        <v>11778</v>
      </c>
      <c r="ZB41" s="20" t="n">
        <v>10866</v>
      </c>
      <c r="ZC41" s="20" t="n">
        <v>9623</v>
      </c>
      <c r="ZD41" s="20" t="n">
        <v>8929</v>
      </c>
      <c r="ZE41" s="20" t="n">
        <v>7866</v>
      </c>
      <c r="ZF41" s="20" t="n">
        <v>7105</v>
      </c>
      <c r="ZG41" s="20" t="n">
        <v>5820</v>
      </c>
      <c r="ZH41" s="20" t="n">
        <v>4680</v>
      </c>
      <c r="ZI41" s="20" t="n">
        <v>9635</v>
      </c>
      <c r="ZJ41" s="20" t="n">
        <v>8410</v>
      </c>
      <c r="ZK41" s="20" t="n">
        <v>7623</v>
      </c>
      <c r="ZL41" s="20" t="n">
        <v>6433</v>
      </c>
      <c r="ZM41" s="20" t="n">
        <v>5371</v>
      </c>
      <c r="ZN41" s="20" t="n">
        <v>13870</v>
      </c>
      <c r="ZO41" s="20" t="n">
        <v>12844</v>
      </c>
      <c r="ZP41" s="20" t="n">
        <v>11680</v>
      </c>
      <c r="ZQ41" s="20" t="n">
        <v>10840</v>
      </c>
      <c r="ZR41" s="127">
        <f>SUM(YM41:ZQ41)</f>
        <v/>
      </c>
      <c r="ZS41" s="20" t="n">
        <v>9476</v>
      </c>
      <c r="ZT41" s="20" t="n">
        <v>8500</v>
      </c>
      <c r="ZU41" s="20" t="n">
        <v>7576</v>
      </c>
      <c r="ZV41" s="20" t="n">
        <v>6755</v>
      </c>
      <c r="ZW41" s="20" t="n">
        <v>15631</v>
      </c>
      <c r="ZX41" s="20" t="n">
        <v>14643</v>
      </c>
      <c r="ZY41" s="20" t="n">
        <v>13511</v>
      </c>
      <c r="ZZ41" s="20" t="n">
        <v>12544</v>
      </c>
      <c r="AAA41" s="20" t="n">
        <v>11780</v>
      </c>
      <c r="AAB41" s="20" t="n">
        <v>9822</v>
      </c>
      <c r="AAC41" s="20" t="n">
        <v>8500</v>
      </c>
      <c r="AAD41" s="20" t="n">
        <v>7435</v>
      </c>
      <c r="AAE41" s="20" t="n">
        <v>6344</v>
      </c>
      <c r="AAF41" s="20" t="n">
        <v>5209</v>
      </c>
      <c r="AAG41" s="20" t="n">
        <v>4181</v>
      </c>
      <c r="AAH41" s="20" t="n">
        <v>3190</v>
      </c>
      <c r="AAI41" s="20" t="n">
        <v>12378</v>
      </c>
      <c r="AAJ41" s="20" t="n">
        <v>10866</v>
      </c>
      <c r="AAK41" s="20" t="n">
        <v>9855</v>
      </c>
      <c r="AAL41" s="20" t="n">
        <v>8894</v>
      </c>
      <c r="AAM41" s="20" t="n">
        <v>7600</v>
      </c>
      <c r="AAN41" s="20" t="n">
        <v>6863</v>
      </c>
      <c r="AAO41" s="20" t="n">
        <v>5658</v>
      </c>
      <c r="AAP41" s="20" t="n">
        <v>4810</v>
      </c>
      <c r="AAQ41" s="20" t="n">
        <v>3989</v>
      </c>
      <c r="AAR41" s="20" t="n">
        <v>12935</v>
      </c>
      <c r="AAS41" s="20" t="n">
        <v>11968</v>
      </c>
      <c r="AAT41" s="20" t="n">
        <v>10933</v>
      </c>
      <c r="AAU41" s="20" t="n">
        <v>10133</v>
      </c>
      <c r="AAV41" s="20" t="n">
        <v>9305</v>
      </c>
      <c r="AAW41" s="127">
        <f>SUM(ZS41:AAV41)</f>
        <v/>
      </c>
      <c r="AAX41" s="20" t="n">
        <v>8262</v>
      </c>
      <c r="AAY41" s="20" t="n">
        <v>7380</v>
      </c>
      <c r="AAZ41" s="20" t="n">
        <v>6322</v>
      </c>
      <c r="ABA41" s="20" t="n">
        <v>5373</v>
      </c>
      <c r="ABB41" s="20" t="n">
        <v>12336</v>
      </c>
      <c r="ABC41" s="20" t="n">
        <v>11490</v>
      </c>
      <c r="ABD41" s="20" t="n">
        <v>10411</v>
      </c>
      <c r="ABE41" s="20" t="n">
        <v>9376</v>
      </c>
      <c r="ABF41" s="20" t="n">
        <v>8600</v>
      </c>
      <c r="ABG41" s="20" t="n">
        <v>13366</v>
      </c>
      <c r="ABH41" s="20" t="n">
        <v>12260</v>
      </c>
      <c r="ABI41" s="20" t="n">
        <v>11386</v>
      </c>
      <c r="ABJ41" s="20" t="n">
        <v>10376</v>
      </c>
      <c r="ABK41" s="20" t="n">
        <v>9258</v>
      </c>
      <c r="ABL41" s="20" t="n">
        <v>8312</v>
      </c>
      <c r="ABM41" s="20" t="n">
        <v>7333</v>
      </c>
      <c r="ABN41" s="20" t="n">
        <v>6411</v>
      </c>
      <c r="ABO41" s="20" t="n">
        <v>5095</v>
      </c>
      <c r="ABP41" s="20" t="n">
        <v>3842</v>
      </c>
      <c r="ABQ41" s="20" t="n">
        <v>12985</v>
      </c>
      <c r="ABR41" s="20" t="n">
        <v>12378</v>
      </c>
      <c r="ABS41" s="20" t="n">
        <v>11660</v>
      </c>
      <c r="ABT41" s="20" t="n">
        <v>10670</v>
      </c>
      <c r="ABU41" s="20" t="n">
        <v>9810</v>
      </c>
      <c r="ABV41" s="20" t="n">
        <v>8769</v>
      </c>
      <c r="ABW41" s="20" t="n">
        <v>7855</v>
      </c>
      <c r="ABX41" s="20" t="n">
        <v>7055</v>
      </c>
      <c r="ABY41" s="20" t="n">
        <v>5670</v>
      </c>
      <c r="ABZ41" s="20" t="n">
        <v>4670</v>
      </c>
      <c r="ACA41" s="20" t="n">
        <v>15778</v>
      </c>
      <c r="ACB41" s="20" t="n">
        <v>14920</v>
      </c>
      <c r="ACC41" s="127">
        <f>SUM(AAX41:ACB41)</f>
        <v/>
      </c>
      <c r="ACD41" s="20" t="n">
        <v>13800</v>
      </c>
      <c r="ACE41" s="20" t="n">
        <v>12488</v>
      </c>
      <c r="ACF41" s="20" t="n">
        <v>11505</v>
      </c>
      <c r="ACG41" s="20" t="n">
        <v>10482</v>
      </c>
      <c r="ACH41" s="20" t="n">
        <v>9552</v>
      </c>
      <c r="ACI41" s="20" t="n">
        <v>8550</v>
      </c>
      <c r="ACJ41" s="20" t="n">
        <v>7576</v>
      </c>
      <c r="ACK41" s="20" t="n">
        <v>6422</v>
      </c>
      <c r="ACL41" s="20" t="n">
        <v>13344</v>
      </c>
      <c r="ACM41" s="20" t="n">
        <v>12555</v>
      </c>
      <c r="ACN41" s="20" t="n">
        <v>11520</v>
      </c>
      <c r="ACO41" s="20" t="n">
        <v>10470</v>
      </c>
      <c r="ACP41" s="20" t="n">
        <v>9600</v>
      </c>
      <c r="ACQ41" s="20" t="n">
        <v>8410</v>
      </c>
      <c r="ACR41" s="20" t="n">
        <v>7440</v>
      </c>
      <c r="ACS41" s="20" t="n">
        <v>6277</v>
      </c>
      <c r="ACT41" s="20" t="n">
        <v>5381</v>
      </c>
      <c r="ACU41" s="20" t="n">
        <v>4221</v>
      </c>
      <c r="ACV41" s="20" t="n">
        <v>3190</v>
      </c>
      <c r="ACW41" s="20" t="n">
        <v>2312</v>
      </c>
      <c r="ACX41" s="20" t="n">
        <v>1423</v>
      </c>
      <c r="ACY41" s="20" t="n">
        <v>10458</v>
      </c>
      <c r="ACZ41" s="20" t="n">
        <v>9447</v>
      </c>
      <c r="ADA41" s="20" t="n">
        <v>8420</v>
      </c>
      <c r="ADB41" s="20" t="n">
        <v>7380</v>
      </c>
      <c r="ADC41" s="20" t="n">
        <v>16480</v>
      </c>
      <c r="ADD41" s="20" t="n">
        <v>15580</v>
      </c>
      <c r="ADE41" s="20" t="n">
        <v>14626</v>
      </c>
      <c r="ADF41" s="20" t="n">
        <v>13682</v>
      </c>
      <c r="ADG41" s="20" t="n">
        <v>12828</v>
      </c>
      <c r="ADH41" s="20" t="n">
        <v>11877</v>
      </c>
      <c r="ADI41" s="127">
        <f>SUM(ACD41:ADH41)</f>
        <v/>
      </c>
      <c r="ADJ41" s="20" t="n">
        <v>11047</v>
      </c>
      <c r="ADK41" s="20" t="n">
        <v>10055</v>
      </c>
      <c r="ADL41" s="20" t="n">
        <v>8925</v>
      </c>
      <c r="ADM41" s="20" t="n">
        <v>7911</v>
      </c>
      <c r="ADN41" s="20" t="n">
        <v>6821</v>
      </c>
      <c r="ADO41" s="20" t="n">
        <v>13658</v>
      </c>
      <c r="ADP41" s="20" t="n">
        <v>12850</v>
      </c>
      <c r="ADQ41" s="20" t="n">
        <v>12105</v>
      </c>
      <c r="ADR41" s="20" t="n">
        <v>11000</v>
      </c>
      <c r="ADS41" s="20" t="n">
        <v>10077</v>
      </c>
      <c r="ADT41" s="20" t="n">
        <v>9033</v>
      </c>
      <c r="ADU41" s="20" t="n">
        <v>8031</v>
      </c>
      <c r="ADV41" s="20" t="n">
        <v>6777</v>
      </c>
      <c r="ADW41" s="20" t="n">
        <v>6066</v>
      </c>
      <c r="ADX41" s="20" t="n">
        <v>4936</v>
      </c>
      <c r="ADY41" s="20" t="n">
        <v>11888</v>
      </c>
      <c r="ADZ41" s="20" t="n">
        <v>11000</v>
      </c>
      <c r="AEA41" s="20" t="n">
        <v>10044</v>
      </c>
      <c r="AEB41" s="20" t="n">
        <v>9235</v>
      </c>
      <c r="AEC41" s="20" t="n">
        <v>8084</v>
      </c>
      <c r="AED41" s="20" t="n">
        <v>7200</v>
      </c>
      <c r="AEE41" s="20" t="n">
        <v>6122</v>
      </c>
      <c r="AEF41" s="20" t="n">
        <v>5236</v>
      </c>
      <c r="AEG41" s="20" t="n">
        <v>4526</v>
      </c>
      <c r="AEH41" s="20" t="n">
        <v>3800</v>
      </c>
      <c r="AEI41" s="20" t="n">
        <v>10717</v>
      </c>
      <c r="AEJ41" s="20" t="n">
        <v>9623</v>
      </c>
      <c r="AEK41" s="20" t="n">
        <v>9022</v>
      </c>
      <c r="AEL41" s="20" t="n">
        <v>8337</v>
      </c>
      <c r="AEM41" s="20" t="n">
        <v>7200</v>
      </c>
      <c r="AEN41" s="127">
        <f>SUM(ADJ41:AEM41)</f>
        <v/>
      </c>
      <c r="AEO41" s="20" t="n">
        <v>6411</v>
      </c>
      <c r="AEP41" s="20" t="n">
        <v>5550</v>
      </c>
      <c r="AEQ41" s="20" t="n">
        <v>9800</v>
      </c>
      <c r="AER41" s="20" t="n">
        <v>8952</v>
      </c>
      <c r="AES41" s="20" t="n">
        <v>8126</v>
      </c>
      <c r="AET41" s="20" t="n">
        <v>7188</v>
      </c>
      <c r="AEU41" s="20" t="n">
        <v>6377</v>
      </c>
      <c r="AEV41" s="20" t="n">
        <v>5410</v>
      </c>
      <c r="AEW41" s="20" t="n">
        <v>4484</v>
      </c>
      <c r="AEX41" s="20" t="n">
        <v>3560</v>
      </c>
      <c r="AEY41" s="20" t="n">
        <v>10623</v>
      </c>
      <c r="AEZ41" s="20" t="n">
        <v>10033</v>
      </c>
      <c r="AFA41" s="20" t="n">
        <v>9189</v>
      </c>
      <c r="AFB41" s="20" t="n">
        <v>8510</v>
      </c>
      <c r="AFC41" s="20" t="n">
        <v>7576</v>
      </c>
      <c r="AFD41" s="20" t="n">
        <v>6733</v>
      </c>
      <c r="AFE41" s="20" t="n">
        <v>13717</v>
      </c>
      <c r="AFF41" s="20" t="n">
        <v>12588</v>
      </c>
      <c r="AFG41" s="20" t="n">
        <v>11640</v>
      </c>
      <c r="AFH41" s="20" t="n">
        <v>10647</v>
      </c>
      <c r="AFI41" s="20" t="n">
        <v>9866</v>
      </c>
      <c r="AFJ41" s="20" t="n">
        <v>9235</v>
      </c>
      <c r="AFK41" s="20" t="n">
        <v>8410</v>
      </c>
      <c r="AFL41" s="20" t="n">
        <v>7670</v>
      </c>
      <c r="AFM41" s="20" t="n">
        <v>6622</v>
      </c>
      <c r="AFN41" s="20" t="n">
        <v>5860</v>
      </c>
      <c r="AFO41" s="20" t="n">
        <v>5080</v>
      </c>
      <c r="AFP41" s="20" t="n">
        <v>4210</v>
      </c>
      <c r="AFQ41" s="20" t="n">
        <v>3418</v>
      </c>
      <c r="AFR41" s="20" t="n">
        <v>2582</v>
      </c>
      <c r="AFS41" s="20" t="n">
        <v>1876</v>
      </c>
      <c r="AFT41" s="127">
        <f>SUM(AEO41:AFS41)</f>
        <v/>
      </c>
      <c r="AFU41" s="20" t="n">
        <v>14000</v>
      </c>
      <c r="AFV41" s="20" t="n">
        <v>13244</v>
      </c>
      <c r="AFW41" s="20" t="n">
        <v>12458</v>
      </c>
      <c r="AFX41" s="20" t="n">
        <v>11750</v>
      </c>
      <c r="AFY41" s="20" t="n">
        <v>10855</v>
      </c>
      <c r="AFZ41" s="20" t="n">
        <v>10188</v>
      </c>
      <c r="AGA41" s="20" t="n">
        <v>9364</v>
      </c>
      <c r="AGB41" s="20" t="n">
        <v>8600</v>
      </c>
      <c r="AGC41" s="20" t="n">
        <v>7866</v>
      </c>
      <c r="AGD41" s="20" t="n">
        <v>7111</v>
      </c>
      <c r="AGE41" s="20" t="n">
        <v>6244</v>
      </c>
      <c r="AGF41" s="20" t="n">
        <v>5400</v>
      </c>
      <c r="AGG41" s="20" t="n">
        <v>4700</v>
      </c>
      <c r="AGH41" s="20" t="n">
        <v>11855</v>
      </c>
      <c r="AGI41" s="20" t="n">
        <v>11129</v>
      </c>
      <c r="AGJ41" s="20" t="n">
        <v>10447</v>
      </c>
      <c r="AGK41" s="20" t="n">
        <v>9670</v>
      </c>
      <c r="AGL41" s="20" t="n">
        <v>8905</v>
      </c>
      <c r="AGM41" s="20" t="n">
        <v>8189</v>
      </c>
      <c r="AGN41" s="20" t="n">
        <v>7300</v>
      </c>
      <c r="AGO41" s="20" t="n">
        <v>6333</v>
      </c>
      <c r="AGP41" s="20" t="n">
        <v>5170</v>
      </c>
      <c r="AGQ41" s="20" t="n">
        <v>9166</v>
      </c>
      <c r="AGR41" s="20" t="n">
        <v>8450</v>
      </c>
      <c r="AGS41" s="20" t="n">
        <v>7717</v>
      </c>
      <c r="AGT41" s="20" t="n">
        <v>6810</v>
      </c>
      <c r="AGU41" s="20" t="n">
        <v>5970</v>
      </c>
      <c r="AGV41" s="20" t="n">
        <v>4926</v>
      </c>
      <c r="AGW41" s="20" t="n">
        <v>10800</v>
      </c>
      <c r="AGX41" s="20" t="n">
        <v>9933</v>
      </c>
      <c r="AGY41" s="127">
        <f>SUM(AFU41:AGX41)</f>
        <v/>
      </c>
      <c r="AGZ41" s="20" t="n">
        <v>9100</v>
      </c>
      <c r="AHA41" s="20" t="n">
        <v>8189</v>
      </c>
      <c r="AHB41" s="20" t="n">
        <v>7100</v>
      </c>
      <c r="AHC41" s="20" t="n">
        <v>6233</v>
      </c>
      <c r="AHD41" s="20" t="n">
        <v>4810</v>
      </c>
      <c r="AHE41" s="20" t="n">
        <v>11933</v>
      </c>
      <c r="AHF41" s="20" t="n">
        <v>11058</v>
      </c>
      <c r="AHG41" s="20" t="n">
        <v>10237</v>
      </c>
      <c r="AHH41" s="20" t="n">
        <v>9166</v>
      </c>
      <c r="AHI41" s="20" t="n">
        <v>8350</v>
      </c>
      <c r="AHJ41" s="20" t="n">
        <v>15747</v>
      </c>
      <c r="AHK41" s="20" t="n">
        <v>14652</v>
      </c>
      <c r="AHL41" s="20" t="n">
        <v>13820</v>
      </c>
      <c r="AHM41" s="20" t="n">
        <v>13200</v>
      </c>
      <c r="AHN41" s="20" t="n">
        <v>12231</v>
      </c>
      <c r="AHO41" s="20" t="n">
        <v>11400</v>
      </c>
      <c r="AHP41" s="20" t="n">
        <v>10494</v>
      </c>
      <c r="AHQ41" s="20" t="n">
        <v>9523</v>
      </c>
      <c r="AHR41" s="20" t="n">
        <v>8611</v>
      </c>
      <c r="AHS41" s="20" t="n">
        <v>7877</v>
      </c>
      <c r="AHT41" s="20" t="n">
        <v>6915</v>
      </c>
      <c r="AHU41" s="20" t="n">
        <v>5940</v>
      </c>
      <c r="AHV41" s="20" t="n">
        <v>4873</v>
      </c>
      <c r="AHW41" s="20" t="n">
        <v>12035</v>
      </c>
      <c r="AHX41" s="20" t="n">
        <v>11466</v>
      </c>
      <c r="AHY41" s="20" t="n">
        <v>10866</v>
      </c>
      <c r="AHZ41" s="20" t="n">
        <v>10200</v>
      </c>
      <c r="AIA41" s="20" t="n">
        <v>9670</v>
      </c>
      <c r="AIB41" s="20" t="n">
        <v>9000</v>
      </c>
      <c r="AIC41" s="20" t="n">
        <v>8200</v>
      </c>
      <c r="AID41" s="20" t="n">
        <v>10258</v>
      </c>
      <c r="AIE41" s="127">
        <f>SUM(AGZ41:AID41)</f>
        <v/>
      </c>
      <c r="AIF41" s="20" t="n">
        <v>9483</v>
      </c>
      <c r="AIG41" s="20" t="n">
        <v>8777</v>
      </c>
      <c r="AIH41" s="20" t="n">
        <v>7977</v>
      </c>
      <c r="AII41" s="20" t="n">
        <v>10305</v>
      </c>
      <c r="AIJ41" s="20" t="n">
        <v>9426</v>
      </c>
      <c r="AIK41" s="20" t="n">
        <v>8688</v>
      </c>
      <c r="AIL41" s="20" t="n">
        <v>7833</v>
      </c>
      <c r="AIM41" s="20" t="n">
        <v>6915</v>
      </c>
      <c r="AIN41" s="20" t="n">
        <v>5960</v>
      </c>
      <c r="AIO41" s="20" t="n">
        <v>4821</v>
      </c>
      <c r="AIP41" s="20" t="n">
        <v>4200</v>
      </c>
      <c r="AIQ41" s="20" t="n">
        <v>3533</v>
      </c>
      <c r="AIR41" s="20" t="n">
        <v>7833</v>
      </c>
      <c r="AIS41" s="20" t="n">
        <v>7162</v>
      </c>
      <c r="AIT41" s="20" t="n">
        <v>6852</v>
      </c>
      <c r="AIU41" s="20" t="n">
        <v>6500</v>
      </c>
      <c r="AIV41" s="20" t="n">
        <v>6144</v>
      </c>
      <c r="AIW41" s="20" t="n">
        <v>5658</v>
      </c>
      <c r="AIX41" s="20" t="n">
        <v>4968</v>
      </c>
      <c r="AIY41" s="20" t="n">
        <v>4242</v>
      </c>
      <c r="AIZ41" s="20" t="n">
        <v>3380</v>
      </c>
      <c r="AJA41" s="20" t="n">
        <v>2721</v>
      </c>
      <c r="AJB41" s="20" t="n">
        <v>12035</v>
      </c>
      <c r="AJC41" s="20" t="n">
        <v>11176</v>
      </c>
      <c r="AJD41" s="20" t="n">
        <v>10670</v>
      </c>
      <c r="AJE41" s="20" t="n">
        <v>10011</v>
      </c>
      <c r="AJF41" s="20" t="n">
        <v>9235</v>
      </c>
      <c r="AJG41" s="20" t="n">
        <v>8300</v>
      </c>
      <c r="AJH41" s="20" t="n">
        <v>7529</v>
      </c>
      <c r="AJI41" s="20" t="n">
        <v>13940</v>
      </c>
      <c r="AJJ41" s="20" t="n">
        <v>13105</v>
      </c>
      <c r="AJK41" s="127">
        <f>SUM(AIF41:AJJ41)</f>
        <v/>
      </c>
      <c r="AJL41" s="20" t="n">
        <v>12422</v>
      </c>
      <c r="AJM41" s="20" t="n">
        <v>11658</v>
      </c>
      <c r="AJN41" s="20" t="n">
        <v>10866</v>
      </c>
      <c r="AJO41" s="20" t="n">
        <v>10082</v>
      </c>
      <c r="AJP41" s="20" t="n">
        <v>9043</v>
      </c>
      <c r="AJQ41" s="20" t="n">
        <v>8372</v>
      </c>
      <c r="AJR41" s="20" t="n">
        <v>7705</v>
      </c>
      <c r="AJS41" s="20" t="n">
        <v>6688</v>
      </c>
      <c r="AJT41" s="20" t="n">
        <v>5764</v>
      </c>
      <c r="AJU41" s="20" t="n">
        <v>4968</v>
      </c>
      <c r="AJV41" s="20" t="n">
        <v>4123</v>
      </c>
      <c r="AJW41" s="20" t="n">
        <v>8084</v>
      </c>
      <c r="AJX41" s="20" t="n">
        <v>7144</v>
      </c>
      <c r="AJY41" s="20" t="n">
        <v>6366</v>
      </c>
      <c r="AJZ41" s="20" t="n">
        <v>5580</v>
      </c>
      <c r="AKA41" s="20" t="n">
        <v>4853</v>
      </c>
      <c r="AKB41" s="20" t="n">
        <v>4152</v>
      </c>
      <c r="AKC41" s="20" t="n">
        <v>3438</v>
      </c>
      <c r="AKD41" s="20" t="n">
        <v>10200</v>
      </c>
      <c r="AKE41" s="20" t="n">
        <v>9255</v>
      </c>
      <c r="AKF41" s="20" t="n">
        <v>8580</v>
      </c>
      <c r="AKG41" s="20" t="n">
        <v>7966</v>
      </c>
      <c r="AKH41" s="20" t="n">
        <v>7052</v>
      </c>
      <c r="AKI41" s="20" t="n">
        <v>6166</v>
      </c>
      <c r="AKJ41" s="20" t="n">
        <v>5281</v>
      </c>
      <c r="AKK41" s="20" t="n">
        <v>9600</v>
      </c>
      <c r="AKL41" s="20" t="n">
        <v>8800</v>
      </c>
      <c r="AKM41" s="20" t="n">
        <v>7866</v>
      </c>
      <c r="AKN41" s="127">
        <f>SUM(AJL41:AKM41)</f>
        <v/>
      </c>
      <c r="AKO41" s="20" t="n">
        <v>7000</v>
      </c>
      <c r="AKP41" s="20" t="n">
        <v>6200</v>
      </c>
      <c r="AKQ41" s="20" t="n">
        <v>5380</v>
      </c>
      <c r="AKR41" s="20" t="n">
        <v>4778</v>
      </c>
      <c r="AKS41" s="20" t="n">
        <v>4019</v>
      </c>
      <c r="AKT41" s="20" t="n">
        <v>3314</v>
      </c>
      <c r="AKU41" s="20" t="n">
        <v>7844</v>
      </c>
      <c r="AKV41" s="20" t="n">
        <v>6978</v>
      </c>
      <c r="AKW41" s="20" t="n">
        <v>6200</v>
      </c>
      <c r="AKX41" s="20" t="n">
        <v>15510</v>
      </c>
      <c r="AKY41" s="20" t="n">
        <v>14739</v>
      </c>
      <c r="AKZ41" s="20" t="n">
        <v>14042</v>
      </c>
      <c r="ALA41" s="20" t="n">
        <v>13255</v>
      </c>
      <c r="ALB41" s="20" t="n">
        <v>12231</v>
      </c>
      <c r="ALC41" s="20" t="n">
        <v>11144</v>
      </c>
      <c r="ALD41" s="20" t="n">
        <v>10122</v>
      </c>
      <c r="ALE41" s="20" t="n">
        <v>9352</v>
      </c>
      <c r="ALF41" s="20" t="n">
        <v>8460</v>
      </c>
      <c r="ALG41" s="20" t="n">
        <v>12555</v>
      </c>
      <c r="ALH41" s="20" t="n">
        <v>11778</v>
      </c>
      <c r="ALI41" s="20" t="n">
        <v>10741</v>
      </c>
      <c r="ALJ41" s="20" t="n">
        <v>9600</v>
      </c>
      <c r="ALK41" s="20" t="n">
        <v>4484</v>
      </c>
      <c r="ALL41" s="20" t="n">
        <v>3657</v>
      </c>
      <c r="ALM41" s="20" t="n">
        <v>2756</v>
      </c>
      <c r="ALN41" s="20" t="n">
        <v>14031</v>
      </c>
      <c r="ALO41" s="20" t="n">
        <v>13055</v>
      </c>
      <c r="ALP41" s="20" t="n">
        <v>12252</v>
      </c>
      <c r="ALQ41" s="20" t="n">
        <v>11452</v>
      </c>
      <c r="ALR41" s="20" t="n">
        <v>10494</v>
      </c>
      <c r="ALS41" s="20" t="n">
        <v>9752</v>
      </c>
      <c r="ALT41" s="127">
        <f>SUM(AKO41:ALS41)</f>
        <v/>
      </c>
      <c r="ALU41" s="20" t="n">
        <v>8766</v>
      </c>
      <c r="ALV41" s="20" t="n">
        <v>15430</v>
      </c>
      <c r="ALW41" s="20" t="n">
        <v>14545</v>
      </c>
      <c r="ALX41" s="20" t="n">
        <v>13577</v>
      </c>
      <c r="ALY41" s="20" t="n">
        <v>13177</v>
      </c>
      <c r="ALZ41" s="20" t="n">
        <v>12488</v>
      </c>
      <c r="AMA41" s="20" t="n">
        <v>11660</v>
      </c>
      <c r="AMB41" s="20" t="n">
        <v>10800</v>
      </c>
      <c r="AMC41" s="20" t="n">
        <v>9922</v>
      </c>
      <c r="AMD41" s="20" t="n">
        <v>13970</v>
      </c>
      <c r="AME41" s="20" t="n">
        <v>12835</v>
      </c>
      <c r="AMF41" s="20" t="n">
        <v>11966</v>
      </c>
      <c r="AMG41" s="20" t="n">
        <v>11105</v>
      </c>
      <c r="AMH41" s="20" t="n">
        <v>10200</v>
      </c>
      <c r="AMI41" s="20" t="n">
        <v>9177</v>
      </c>
      <c r="AMJ41" s="20" t="n">
        <v>8000</v>
      </c>
      <c r="AMK41" s="20" t="n">
        <v>7188</v>
      </c>
      <c r="AML41" s="20" t="n">
        <v>6266</v>
      </c>
      <c r="AMM41" s="20" t="n">
        <v>5354</v>
      </c>
      <c r="AMN41" s="20" t="n">
        <v>4620</v>
      </c>
      <c r="AMO41" s="20" t="n">
        <v>11888</v>
      </c>
      <c r="AMP41" s="20" t="n">
        <v>10955</v>
      </c>
      <c r="AMQ41" s="20" t="n">
        <v>9977</v>
      </c>
      <c r="AMR41" s="20" t="n">
        <v>8917</v>
      </c>
      <c r="AMS41" s="20" t="n">
        <v>15788</v>
      </c>
      <c r="AMT41" s="20" t="n">
        <v>14840</v>
      </c>
      <c r="AMU41" s="20" t="n">
        <v>13800</v>
      </c>
      <c r="AMV41" s="20" t="n">
        <v>12745</v>
      </c>
      <c r="AMW41" s="20" t="n">
        <v>11768</v>
      </c>
      <c r="AMX41" s="20" t="n">
        <v>10966</v>
      </c>
      <c r="AMY41" s="127">
        <f>SUM(ALU41:AMX41)</f>
        <v/>
      </c>
      <c r="AMZ41" s="20" t="n">
        <v>10247</v>
      </c>
      <c r="ANA41" s="20" t="n">
        <v>9542</v>
      </c>
      <c r="ANB41" s="20" t="n">
        <v>9155</v>
      </c>
      <c r="ANC41" s="20" t="n">
        <v>8504</v>
      </c>
      <c r="AND41" s="20" t="n">
        <v>8084</v>
      </c>
      <c r="ANE41" s="20" t="n">
        <v>12466</v>
      </c>
      <c r="ANF41" s="20" t="n">
        <v>12000</v>
      </c>
      <c r="ANG41" s="20" t="n">
        <v>11470</v>
      </c>
      <c r="ANH41" s="20" t="n">
        <v>10877</v>
      </c>
      <c r="ANI41" s="20" t="n">
        <v>10088</v>
      </c>
      <c r="ANJ41" s="20" t="n">
        <v>9419</v>
      </c>
      <c r="ANK41" s="20" t="n">
        <v>9055</v>
      </c>
      <c r="ANL41" s="20" t="n">
        <v>8430</v>
      </c>
      <c r="ANM41" s="20" t="n">
        <v>12814</v>
      </c>
      <c r="ANN41" s="20" t="n">
        <v>11968</v>
      </c>
      <c r="ANO41" s="20" t="n">
        <v>11262</v>
      </c>
      <c r="ANP41" s="20" t="n">
        <v>10729</v>
      </c>
      <c r="ANQ41" s="20" t="n">
        <v>10108</v>
      </c>
      <c r="ANR41" s="20" t="n">
        <v>9409</v>
      </c>
      <c r="ANS41" s="20" t="n">
        <v>8600</v>
      </c>
      <c r="ANT41" s="20" t="n">
        <v>8000</v>
      </c>
      <c r="ANU41" s="20" t="n">
        <v>11866</v>
      </c>
      <c r="ANV41" s="20" t="n">
        <v>11000</v>
      </c>
      <c r="ANW41" s="20" t="n">
        <v>10329</v>
      </c>
      <c r="ANX41" s="20" t="n">
        <v>9457</v>
      </c>
      <c r="ANY41" s="20" t="n">
        <v>8262</v>
      </c>
      <c r="ANZ41" s="20" t="n">
        <v>7487</v>
      </c>
      <c r="AOA41" s="20" t="n">
        <v>6711</v>
      </c>
      <c r="AOB41" s="20" t="n">
        <v>5530</v>
      </c>
      <c r="AOC41" s="20" t="n">
        <v>12577</v>
      </c>
    </row>
    <row r="42">
      <c r="B42" s="34" t="inlineStr">
        <is>
          <t>SHORTAGE/GAIN QTY</t>
        </is>
      </c>
      <c r="C42" s="35">
        <f>C41-C40</f>
        <v/>
      </c>
      <c r="D42" s="35">
        <f>D41-D40</f>
        <v/>
      </c>
      <c r="E42" s="35">
        <f>E41-E40</f>
        <v/>
      </c>
      <c r="F42" s="35">
        <f>F41-F40</f>
        <v/>
      </c>
      <c r="G42" s="35">
        <f>G41-G40</f>
        <v/>
      </c>
      <c r="H42" s="35">
        <f>H41-H40</f>
        <v/>
      </c>
      <c r="I42" s="35">
        <f>I41-I40</f>
        <v/>
      </c>
      <c r="J42" s="35">
        <f>J41-J40</f>
        <v/>
      </c>
      <c r="K42" s="35">
        <f>K41-K40</f>
        <v/>
      </c>
      <c r="L42" s="35">
        <f>L41-L40</f>
        <v/>
      </c>
      <c r="M42" s="35">
        <f>M41-M40</f>
        <v/>
      </c>
      <c r="N42" s="35">
        <f>N41-N40</f>
        <v/>
      </c>
      <c r="O42" s="35">
        <f>O41-O40</f>
        <v/>
      </c>
      <c r="P42" s="35">
        <f>P41-P40</f>
        <v/>
      </c>
      <c r="Q42" s="35">
        <f>Q41-Q40</f>
        <v/>
      </c>
      <c r="R42" s="35">
        <f>R41-R40</f>
        <v/>
      </c>
      <c r="S42" s="35">
        <f>S41-S40</f>
        <v/>
      </c>
      <c r="T42" s="35">
        <f>T41-T40</f>
        <v/>
      </c>
      <c r="U42" s="35">
        <f>U41-U40</f>
        <v/>
      </c>
      <c r="V42" s="35">
        <f>V41-V40</f>
        <v/>
      </c>
      <c r="W42" s="35">
        <f>W41-W40</f>
        <v/>
      </c>
      <c r="X42" s="35">
        <f>X41-X40</f>
        <v/>
      </c>
      <c r="Y42" s="35">
        <f>Y41-Y40</f>
        <v/>
      </c>
      <c r="Z42" s="35">
        <f>Z41-Z40</f>
        <v/>
      </c>
      <c r="AA42" s="35">
        <f>AA41-AA40</f>
        <v/>
      </c>
      <c r="AB42" s="35">
        <f>AB41-AB40</f>
        <v/>
      </c>
      <c r="AC42" s="35">
        <f>AC41-AC40</f>
        <v/>
      </c>
      <c r="AD42" s="35">
        <f>AD41-AD40</f>
        <v/>
      </c>
      <c r="AE42" s="35">
        <f>AE41-AE40</f>
        <v/>
      </c>
      <c r="AF42" s="35">
        <f>AF41-AF40</f>
        <v/>
      </c>
      <c r="AG42" s="35">
        <f>AG41-AG40</f>
        <v/>
      </c>
      <c r="AH42" s="94">
        <f>SUM(C42:AG42)</f>
        <v/>
      </c>
      <c r="AI42" s="35">
        <f>AI41-AI40</f>
        <v/>
      </c>
      <c r="AJ42" s="35">
        <f>AJ41-AJ40</f>
        <v/>
      </c>
      <c r="AK42" s="35">
        <f>AK41-AK40</f>
        <v/>
      </c>
      <c r="AL42" s="35">
        <f>AL41-AL40</f>
        <v/>
      </c>
      <c r="AM42" s="35">
        <f>AM41-AM40</f>
        <v/>
      </c>
      <c r="AN42" s="35">
        <f>AN41-AN40</f>
        <v/>
      </c>
      <c r="AO42" s="35">
        <f>AO41-AO40</f>
        <v/>
      </c>
      <c r="AP42" s="35">
        <f>AP41-AP40</f>
        <v/>
      </c>
      <c r="AQ42" s="35">
        <f>AQ41-AQ40</f>
        <v/>
      </c>
      <c r="AR42" s="35">
        <f>AR41-AR40</f>
        <v/>
      </c>
      <c r="AS42" s="35">
        <f>AS41-AS40</f>
        <v/>
      </c>
      <c r="AT42" s="35">
        <f>AT41-AT40</f>
        <v/>
      </c>
      <c r="AU42" s="35">
        <f>AU41-AU40</f>
        <v/>
      </c>
      <c r="AV42" s="35">
        <f>AV41-AV40</f>
        <v/>
      </c>
      <c r="AW42" s="35">
        <f>AW41-AW40</f>
        <v/>
      </c>
      <c r="AX42" s="35">
        <f>AX41-AX40</f>
        <v/>
      </c>
      <c r="AY42" s="35">
        <f>AY41-AY40</f>
        <v/>
      </c>
      <c r="AZ42" s="35">
        <f>AZ41-AZ40</f>
        <v/>
      </c>
      <c r="BA42" s="35">
        <f>BA41-BA40</f>
        <v/>
      </c>
      <c r="BB42" s="35">
        <f>BB41-BB40</f>
        <v/>
      </c>
      <c r="BC42" s="35">
        <f>BC41-BC40</f>
        <v/>
      </c>
      <c r="BD42" s="35">
        <f>BD41-BD40</f>
        <v/>
      </c>
      <c r="BE42" s="35">
        <f>BE41-BE40</f>
        <v/>
      </c>
      <c r="BF42" s="35">
        <f>BF41-BF40</f>
        <v/>
      </c>
      <c r="BG42" s="35">
        <f>BG41-BG40</f>
        <v/>
      </c>
      <c r="BH42" s="35">
        <f>BH41-BH40</f>
        <v/>
      </c>
      <c r="BI42" s="35">
        <f>BI41-BI40</f>
        <v/>
      </c>
      <c r="BJ42" s="35">
        <f>BJ41-BJ40</f>
        <v/>
      </c>
      <c r="BK42" s="35">
        <f>BK41-BK40</f>
        <v/>
      </c>
      <c r="BL42" s="35">
        <f>BL41-BL40</f>
        <v/>
      </c>
      <c r="BM42" s="97">
        <f>SUM(AI42:BL42)</f>
        <v/>
      </c>
      <c r="BN42" s="35">
        <f>BN41-BN40</f>
        <v/>
      </c>
      <c r="BO42" s="35">
        <f>BO41-BO40</f>
        <v/>
      </c>
      <c r="BP42" s="35">
        <f>BP41-BP40</f>
        <v/>
      </c>
      <c r="BQ42" s="35">
        <f>BQ41-BQ40</f>
        <v/>
      </c>
      <c r="BR42" s="35">
        <f>BR41-BR40</f>
        <v/>
      </c>
      <c r="BS42" s="35">
        <f>BS41-BS40</f>
        <v/>
      </c>
      <c r="BT42" s="35">
        <f>BT41-BT40</f>
        <v/>
      </c>
      <c r="BU42" s="35">
        <f>BU41-BU40</f>
        <v/>
      </c>
      <c r="BV42" s="35">
        <f>BV41-BV40</f>
        <v/>
      </c>
      <c r="BW42" s="35">
        <f>BW41-BW40</f>
        <v/>
      </c>
      <c r="BX42" s="35">
        <f>BX41-BX40</f>
        <v/>
      </c>
      <c r="BY42" s="35">
        <f>BY41-BY40</f>
        <v/>
      </c>
      <c r="BZ42" s="35">
        <f>BZ41-BZ40</f>
        <v/>
      </c>
      <c r="CA42" s="35">
        <f>CA41-CA40</f>
        <v/>
      </c>
      <c r="CB42" s="35">
        <f>CB41-CB40</f>
        <v/>
      </c>
      <c r="CC42" s="35">
        <f>CC41-CC40</f>
        <v/>
      </c>
      <c r="CD42" s="35">
        <f>CD41-CD40</f>
        <v/>
      </c>
      <c r="CE42" s="35">
        <f>CE41-CE40</f>
        <v/>
      </c>
      <c r="CF42" s="35">
        <f>CF41-CF40</f>
        <v/>
      </c>
      <c r="CG42" s="35">
        <f>CG41-CG40</f>
        <v/>
      </c>
      <c r="CH42" s="35">
        <f>CH41-CH40</f>
        <v/>
      </c>
      <c r="CI42" s="35">
        <f>CI41-CI40</f>
        <v/>
      </c>
      <c r="CJ42" s="35">
        <f>CJ41-CJ40</f>
        <v/>
      </c>
      <c r="CK42" s="35">
        <f>CK41-CK40</f>
        <v/>
      </c>
      <c r="CL42" s="35">
        <f>CL41-CL40</f>
        <v/>
      </c>
      <c r="CM42" s="35">
        <f>CM41-CM40</f>
        <v/>
      </c>
      <c r="CN42" s="35">
        <f>CN41-CN40</f>
        <v/>
      </c>
      <c r="CO42" s="35">
        <f>CO41-CO40</f>
        <v/>
      </c>
      <c r="CP42" s="35">
        <f>CP41-CP40</f>
        <v/>
      </c>
      <c r="CQ42" s="35">
        <f>CQ41-CQ40</f>
        <v/>
      </c>
      <c r="CR42" s="35">
        <f>CR41-CR40</f>
        <v/>
      </c>
      <c r="CS42" s="111">
        <f>SUM(BN42:CR42)</f>
        <v/>
      </c>
      <c r="CT42" s="35">
        <f>CT41-CT40</f>
        <v/>
      </c>
      <c r="CU42" s="35">
        <f>CU41-CU40</f>
        <v/>
      </c>
      <c r="CV42" s="35">
        <f>CV41-CV40</f>
        <v/>
      </c>
      <c r="CW42" s="35">
        <f>CW41-CW40</f>
        <v/>
      </c>
      <c r="CX42" s="35">
        <f>CX41-CX40</f>
        <v/>
      </c>
      <c r="CY42" s="35">
        <f>CY41-CY40</f>
        <v/>
      </c>
      <c r="CZ42" s="35">
        <f>CZ41-CZ40</f>
        <v/>
      </c>
      <c r="DA42" s="35">
        <f>DA41-DA40</f>
        <v/>
      </c>
      <c r="DB42" s="35">
        <f>DB41-DB40</f>
        <v/>
      </c>
      <c r="DC42" s="35">
        <f>DC41-DC40</f>
        <v/>
      </c>
      <c r="DD42" s="35">
        <f>DD41-DD40</f>
        <v/>
      </c>
      <c r="DE42" s="35">
        <f>DE41-DE40</f>
        <v/>
      </c>
      <c r="DF42" s="35">
        <f>DF41-DF40</f>
        <v/>
      </c>
      <c r="DG42" s="35">
        <f>DG41-DG40</f>
        <v/>
      </c>
      <c r="DH42" s="35">
        <f>DH41-DH40</f>
        <v/>
      </c>
      <c r="DI42" s="35">
        <f>DI41-DI40</f>
        <v/>
      </c>
      <c r="DJ42" s="35">
        <f>DJ41-DJ40</f>
        <v/>
      </c>
      <c r="DK42" s="35">
        <f>DK41-DK40</f>
        <v/>
      </c>
      <c r="DL42" s="35">
        <f>DL41-DL40</f>
        <v/>
      </c>
      <c r="DM42" s="35">
        <f>DM41-DM40</f>
        <v/>
      </c>
      <c r="DN42" s="35">
        <f>DN41-DN40</f>
        <v/>
      </c>
      <c r="DO42" s="35">
        <f>DO41-DO40</f>
        <v/>
      </c>
      <c r="DP42" s="35">
        <f>DP41-DP40</f>
        <v/>
      </c>
      <c r="DQ42" s="35">
        <f>DQ41-DQ40</f>
        <v/>
      </c>
      <c r="DR42" s="35">
        <f>DR41-DR40</f>
        <v/>
      </c>
      <c r="DS42" s="35">
        <f>DS41-DS40</f>
        <v/>
      </c>
      <c r="DT42" s="35">
        <f>DT41-DT40</f>
        <v/>
      </c>
      <c r="DU42" s="35">
        <f>DU41-DU40</f>
        <v/>
      </c>
      <c r="DV42" s="35">
        <f>DV41-DV40</f>
        <v/>
      </c>
      <c r="DW42" s="35">
        <f>DW41-DW40</f>
        <v/>
      </c>
      <c r="DX42" s="119">
        <f>SUM(CT42:DW42)</f>
        <v/>
      </c>
      <c r="DY42" s="35">
        <f>DY41-DY40</f>
        <v/>
      </c>
      <c r="DZ42" s="35">
        <f>DZ41-DZ40</f>
        <v/>
      </c>
      <c r="EA42" s="35">
        <f>EA41-EA40</f>
        <v/>
      </c>
      <c r="EB42" s="35">
        <f>EB41-EB40</f>
        <v/>
      </c>
      <c r="EC42" s="35">
        <f>EC41-EC40</f>
        <v/>
      </c>
      <c r="ED42" s="35">
        <f>ED41-ED40</f>
        <v/>
      </c>
      <c r="EE42" s="35">
        <f>EE41-EE40</f>
        <v/>
      </c>
      <c r="EF42" s="35">
        <f>EF41-EF40</f>
        <v/>
      </c>
      <c r="EG42" s="35">
        <f>EG41-EG40</f>
        <v/>
      </c>
      <c r="EH42" s="35">
        <f>EH41-EH40</f>
        <v/>
      </c>
      <c r="EI42" s="35">
        <f>EI41-EI40</f>
        <v/>
      </c>
      <c r="EJ42" s="35">
        <f>EJ41-EJ40</f>
        <v/>
      </c>
      <c r="EK42" s="35">
        <f>EK41-EK40</f>
        <v/>
      </c>
      <c r="EL42" s="35">
        <f>EL41-EL40</f>
        <v/>
      </c>
      <c r="EM42" s="35">
        <f>EM41-EM40</f>
        <v/>
      </c>
      <c r="EN42" s="35">
        <f>EN41-EN40</f>
        <v/>
      </c>
      <c r="EO42" s="35">
        <f>EO41-EO40</f>
        <v/>
      </c>
      <c r="EP42" s="35">
        <f>EP41-EP40</f>
        <v/>
      </c>
      <c r="EQ42" s="35">
        <f>EQ41-EQ40</f>
        <v/>
      </c>
      <c r="ER42" s="35">
        <f>ER41-ER40</f>
        <v/>
      </c>
      <c r="ES42" s="35">
        <f>ES41-ES40</f>
        <v/>
      </c>
      <c r="ET42" s="35">
        <f>ET41-ET40</f>
        <v/>
      </c>
      <c r="EU42" s="35">
        <f>EU41-EU40</f>
        <v/>
      </c>
      <c r="EV42" s="35">
        <f>EV41-EV40</f>
        <v/>
      </c>
      <c r="EW42" s="35">
        <f>EW41-EW40</f>
        <v/>
      </c>
      <c r="EX42" s="35">
        <f>EX41-EX40</f>
        <v/>
      </c>
      <c r="EY42" s="35">
        <f>EY41-EY40</f>
        <v/>
      </c>
      <c r="EZ42" s="35">
        <f>EZ41-EZ40</f>
        <v/>
      </c>
      <c r="FA42" s="35">
        <f>FA41-FA40</f>
        <v/>
      </c>
      <c r="FB42" s="35">
        <f>FB41-FB40</f>
        <v/>
      </c>
      <c r="FC42" s="35">
        <f>FC41-FC40</f>
        <v/>
      </c>
      <c r="FD42" s="128">
        <f>SUM(DY42:FC42)</f>
        <v/>
      </c>
      <c r="FE42" s="35">
        <f>FE41-FE40</f>
        <v/>
      </c>
      <c r="FF42" s="35">
        <f>FF41-FF40</f>
        <v/>
      </c>
      <c r="FG42" s="35">
        <f>FG41-FG40</f>
        <v/>
      </c>
      <c r="FH42" s="35">
        <f>FH41-FH40</f>
        <v/>
      </c>
      <c r="FI42" s="35">
        <f>FI41-FI40</f>
        <v/>
      </c>
      <c r="FJ42" s="35">
        <f>FJ41-FJ40</f>
        <v/>
      </c>
      <c r="FK42" s="35">
        <f>FK41-FK40</f>
        <v/>
      </c>
      <c r="FL42" s="35">
        <f>FL41-FL40</f>
        <v/>
      </c>
      <c r="FM42" s="35">
        <f>FM41-FM40</f>
        <v/>
      </c>
      <c r="FN42" s="35">
        <f>FN41-FN40</f>
        <v/>
      </c>
      <c r="FO42" s="35">
        <f>FO41-FO40</f>
        <v/>
      </c>
      <c r="FP42" s="35">
        <f>FP41-FP40</f>
        <v/>
      </c>
      <c r="FQ42" s="35">
        <f>FQ41-FQ40</f>
        <v/>
      </c>
      <c r="FR42" s="35">
        <f>FR41-FR40</f>
        <v/>
      </c>
      <c r="FS42" s="35">
        <f>FS41-FS40</f>
        <v/>
      </c>
      <c r="FT42" s="35">
        <f>FT41-FT40</f>
        <v/>
      </c>
      <c r="FU42" s="35">
        <f>FU41-FU40</f>
        <v/>
      </c>
      <c r="FV42" s="35">
        <f>FV41-FV40</f>
        <v/>
      </c>
      <c r="FW42" s="35">
        <f>FW41-FW40</f>
        <v/>
      </c>
      <c r="FX42" s="35">
        <f>FX41-FX40</f>
        <v/>
      </c>
      <c r="FY42" s="35">
        <f>FY41-FY40</f>
        <v/>
      </c>
      <c r="FZ42" s="35">
        <f>FZ41-FZ40</f>
        <v/>
      </c>
      <c r="GA42" s="35">
        <f>GA41-GA40</f>
        <v/>
      </c>
      <c r="GB42" s="35">
        <f>GB41-GB40</f>
        <v/>
      </c>
      <c r="GC42" s="35">
        <f>GC41-GC40</f>
        <v/>
      </c>
      <c r="GD42" s="35">
        <f>GD41-GD40</f>
        <v/>
      </c>
      <c r="GE42" s="35">
        <f>GE41-GE40</f>
        <v/>
      </c>
      <c r="GF42" s="35">
        <f>GF41-GF40</f>
        <v/>
      </c>
      <c r="GG42" s="35">
        <f>GG41-GG40</f>
        <v/>
      </c>
      <c r="GH42" s="35">
        <f>GH41-GH40</f>
        <v/>
      </c>
      <c r="GI42" s="35">
        <f>GI41-GI40</f>
        <v/>
      </c>
      <c r="GJ42" s="127">
        <f>SUM(FE42:GI42)</f>
        <v/>
      </c>
      <c r="GK42" s="35">
        <f>GK41-GK40</f>
        <v/>
      </c>
      <c r="GL42" s="35">
        <f>GL41-GL40</f>
        <v/>
      </c>
      <c r="GM42" s="35">
        <f>GM41-GM40</f>
        <v/>
      </c>
      <c r="GN42" s="35">
        <f>GN41-GN40</f>
        <v/>
      </c>
      <c r="GO42" s="35">
        <f>GO41-GO40</f>
        <v/>
      </c>
      <c r="GP42" s="35">
        <f>GP41-GP40</f>
        <v/>
      </c>
      <c r="GQ42" s="35">
        <f>GQ41-GQ40</f>
        <v/>
      </c>
      <c r="GR42" s="35">
        <f>GR41-GR40</f>
        <v/>
      </c>
      <c r="GS42" s="35">
        <f>GS41-GS40</f>
        <v/>
      </c>
      <c r="GT42" s="35">
        <f>GT41-GT40</f>
        <v/>
      </c>
      <c r="GU42" s="35">
        <f>GU41-GU40</f>
        <v/>
      </c>
      <c r="GV42" s="35">
        <f>GV41-GV40</f>
        <v/>
      </c>
      <c r="GW42" s="35">
        <f>GW41-GW40</f>
        <v/>
      </c>
      <c r="GX42" s="35">
        <f>GX41-GX40</f>
        <v/>
      </c>
      <c r="GY42" s="35">
        <f>GY41-GY40</f>
        <v/>
      </c>
      <c r="GZ42" s="35">
        <f>GZ41-GZ40</f>
        <v/>
      </c>
      <c r="HA42" s="35">
        <f>HA41-HA40</f>
        <v/>
      </c>
      <c r="HB42" s="35">
        <f>HB41-HB40</f>
        <v/>
      </c>
      <c r="HC42" s="35">
        <f>HC41-HC40</f>
        <v/>
      </c>
      <c r="HD42" s="35">
        <f>HD41-HD40</f>
        <v/>
      </c>
      <c r="HE42" s="35">
        <f>HE41-HE40</f>
        <v/>
      </c>
      <c r="HF42" s="35">
        <f>HF41-HF40</f>
        <v/>
      </c>
      <c r="HG42" s="35">
        <f>HG41-HG40</f>
        <v/>
      </c>
      <c r="HH42" s="35">
        <f>HH41-HH40</f>
        <v/>
      </c>
      <c r="HI42" s="35">
        <f>HI41-HI40</f>
        <v/>
      </c>
      <c r="HJ42" s="35">
        <f>HJ41-HJ40</f>
        <v/>
      </c>
      <c r="HK42" s="35">
        <f>HK41-HK40</f>
        <v/>
      </c>
      <c r="HL42" s="35">
        <f>HL41-HL40</f>
        <v/>
      </c>
      <c r="HM42" s="35">
        <f>HM41-HM40</f>
        <v/>
      </c>
      <c r="HN42" s="127">
        <f>SUM(GK42:HM42)</f>
        <v/>
      </c>
      <c r="HO42" s="35">
        <f>HO41-HO40</f>
        <v/>
      </c>
      <c r="HP42" s="35">
        <f>HP41-HP40</f>
        <v/>
      </c>
      <c r="HQ42" s="35">
        <f>HQ41-HQ40</f>
        <v/>
      </c>
      <c r="HR42" s="35">
        <f>HR41-HR40</f>
        <v/>
      </c>
      <c r="HS42" s="35">
        <f>HS41-HS40</f>
        <v/>
      </c>
      <c r="HT42" s="35">
        <f>HT41-HT40</f>
        <v/>
      </c>
      <c r="HU42" s="35">
        <f>HU41-HU40</f>
        <v/>
      </c>
      <c r="HV42" s="35">
        <f>HV41-HV40</f>
        <v/>
      </c>
      <c r="HW42" s="35">
        <f>HW41-HW40</f>
        <v/>
      </c>
      <c r="HX42" s="35">
        <f>HX41-HX40</f>
        <v/>
      </c>
      <c r="HY42" s="35">
        <f>HY41-HY40</f>
        <v/>
      </c>
      <c r="HZ42" s="35">
        <f>HZ41-HZ40</f>
        <v/>
      </c>
      <c r="IA42" s="35">
        <f>IA41-IA40</f>
        <v/>
      </c>
      <c r="IB42" s="35">
        <f>IB41-IB40</f>
        <v/>
      </c>
      <c r="IC42" s="35">
        <f>IC41-IC40</f>
        <v/>
      </c>
      <c r="ID42" s="35">
        <f>ID41-ID40</f>
        <v/>
      </c>
      <c r="IE42" s="35">
        <f>IE41-IE40</f>
        <v/>
      </c>
      <c r="IF42" s="35">
        <f>IF41-IF40</f>
        <v/>
      </c>
      <c r="IG42" s="35">
        <f>IG41-IG40</f>
        <v/>
      </c>
      <c r="IH42" s="35">
        <f>IH41-IH40</f>
        <v/>
      </c>
      <c r="II42" s="35">
        <f>II41-II40</f>
        <v/>
      </c>
      <c r="IJ42" s="35">
        <f>IJ41-IJ40</f>
        <v/>
      </c>
      <c r="IK42" s="35">
        <f>IK41-IK40</f>
        <v/>
      </c>
      <c r="IL42" s="35">
        <f>IL41-IL40</f>
        <v/>
      </c>
      <c r="IM42" s="35">
        <f>IM41-IM40</f>
        <v/>
      </c>
      <c r="IN42" s="35">
        <f>IN41-IN40</f>
        <v/>
      </c>
      <c r="IO42" s="35">
        <f>IO41-IO40</f>
        <v/>
      </c>
      <c r="IP42" s="35">
        <f>IP41-IP40</f>
        <v/>
      </c>
      <c r="IQ42" s="35">
        <f>IQ41-IQ40</f>
        <v/>
      </c>
      <c r="IR42" s="35">
        <f>IR41-IR40</f>
        <v/>
      </c>
      <c r="IS42" s="35">
        <f>IS41-IS40</f>
        <v/>
      </c>
      <c r="IT42" s="127">
        <f>SUM(HO42:IS42)</f>
        <v/>
      </c>
      <c r="IU42" s="35">
        <f>IU41-IU40</f>
        <v/>
      </c>
      <c r="IV42" s="35">
        <f>IV41-IV40</f>
        <v/>
      </c>
      <c r="IW42" s="35">
        <f>IW41-IW40</f>
        <v/>
      </c>
      <c r="IX42" s="35">
        <f>IX41-IX40</f>
        <v/>
      </c>
      <c r="IY42" s="35">
        <f>IY41-IY40</f>
        <v/>
      </c>
      <c r="IZ42" s="35">
        <f>IZ41-IZ40</f>
        <v/>
      </c>
      <c r="JA42" s="35">
        <f>JA41-JA40</f>
        <v/>
      </c>
      <c r="JB42" s="35">
        <f>JB41-JB40</f>
        <v/>
      </c>
      <c r="JC42" s="35">
        <f>JC41-JC40</f>
        <v/>
      </c>
      <c r="JD42" s="35">
        <f>JD41-JD40</f>
        <v/>
      </c>
      <c r="JE42" s="35">
        <f>JE41-JE40</f>
        <v/>
      </c>
      <c r="JF42" s="35">
        <f>JF41-JF40</f>
        <v/>
      </c>
      <c r="JG42" s="35">
        <f>JG41-JG40</f>
        <v/>
      </c>
      <c r="JH42" s="35">
        <f>JH41-JH40</f>
        <v/>
      </c>
      <c r="JI42" s="35">
        <f>JI41-JI40</f>
        <v/>
      </c>
      <c r="JJ42" s="35">
        <f>JJ41-JJ40</f>
        <v/>
      </c>
      <c r="JK42" s="35">
        <f>JK41-JK40</f>
        <v/>
      </c>
      <c r="JL42" s="35">
        <f>JL41-JL40</f>
        <v/>
      </c>
      <c r="JM42" s="35">
        <f>JM41-JM40</f>
        <v/>
      </c>
      <c r="JN42" s="35">
        <f>JN41-JN40</f>
        <v/>
      </c>
      <c r="JO42" s="35">
        <f>JO41-JO40</f>
        <v/>
      </c>
      <c r="JP42" s="35">
        <f>JP41-JP40</f>
        <v/>
      </c>
      <c r="JQ42" s="35">
        <f>JQ41-JQ40</f>
        <v/>
      </c>
      <c r="JR42" s="35">
        <f>JR41-JR40</f>
        <v/>
      </c>
      <c r="JS42" s="35">
        <f>JS41-JS40</f>
        <v/>
      </c>
      <c r="JT42" s="35">
        <f>JT41-JT40</f>
        <v/>
      </c>
      <c r="JU42" s="35">
        <f>JU41-JU40</f>
        <v/>
      </c>
      <c r="JV42" s="35">
        <f>JV41-JV40</f>
        <v/>
      </c>
      <c r="JW42" s="35">
        <f>JW41-JW40</f>
        <v/>
      </c>
      <c r="JX42" s="35">
        <f>JX41-JX40</f>
        <v/>
      </c>
      <c r="JY42" s="127">
        <f>SUM(IU42:JX42)</f>
        <v/>
      </c>
      <c r="JZ42" s="35">
        <f>JZ41-JZ40</f>
        <v/>
      </c>
      <c r="KA42" s="35">
        <f>KA41-KA40</f>
        <v/>
      </c>
      <c r="KB42" s="35">
        <f>KB41-KB40</f>
        <v/>
      </c>
      <c r="KC42" s="35">
        <f>KC41-KC40</f>
        <v/>
      </c>
      <c r="KD42" s="35">
        <f>KD41-KD40</f>
        <v/>
      </c>
      <c r="KE42" s="35">
        <f>KE41-KE40</f>
        <v/>
      </c>
      <c r="KF42" s="35">
        <f>KF41-KF40</f>
        <v/>
      </c>
      <c r="KG42" s="35">
        <f>KG41-KG40</f>
        <v/>
      </c>
      <c r="KH42" s="35">
        <f>KH41-KH40</f>
        <v/>
      </c>
      <c r="KI42" s="35">
        <f>KI41-KI40</f>
        <v/>
      </c>
      <c r="KJ42" s="35">
        <f>KJ41-KJ40</f>
        <v/>
      </c>
      <c r="KK42" s="35">
        <f>KK41-KK40</f>
        <v/>
      </c>
      <c r="KL42" s="35">
        <f>KL41-KL40</f>
        <v/>
      </c>
      <c r="KM42" s="35">
        <f>KM41-KM40</f>
        <v/>
      </c>
      <c r="KN42" s="35">
        <f>KN41-KN40</f>
        <v/>
      </c>
      <c r="KO42" s="35">
        <f>KO41-KO40</f>
        <v/>
      </c>
      <c r="KP42" s="35">
        <f>KP41-KP40</f>
        <v/>
      </c>
      <c r="KQ42" s="35">
        <f>KQ41-KQ40</f>
        <v/>
      </c>
      <c r="KR42" s="35">
        <f>KR41-KR40</f>
        <v/>
      </c>
      <c r="KS42" s="35">
        <f>KS41-KS40</f>
        <v/>
      </c>
      <c r="KT42" s="35">
        <f>KT41-KT40</f>
        <v/>
      </c>
      <c r="KU42" s="35">
        <f>KU41-KU40</f>
        <v/>
      </c>
      <c r="KV42" s="35">
        <f>KV41-KV40</f>
        <v/>
      </c>
      <c r="KW42" s="35">
        <f>KW41-KW40</f>
        <v/>
      </c>
      <c r="KX42" s="35">
        <f>KX41-KX40</f>
        <v/>
      </c>
      <c r="KY42" s="35">
        <f>KY41-KY40</f>
        <v/>
      </c>
      <c r="KZ42" s="35">
        <f>KZ41-KZ40</f>
        <v/>
      </c>
      <c r="LA42" s="35">
        <f>LA41-LA40</f>
        <v/>
      </c>
      <c r="LB42" s="35">
        <f>LB41-LB40</f>
        <v/>
      </c>
      <c r="LC42" s="35">
        <f>LC41-LC40</f>
        <v/>
      </c>
      <c r="LD42" s="35">
        <f>LD41-LD40</f>
        <v/>
      </c>
      <c r="LE42" s="127">
        <f>SUM(KA42:LD42)</f>
        <v/>
      </c>
      <c r="LF42" s="35">
        <f>LF41-LF40</f>
        <v/>
      </c>
      <c r="LG42" s="35">
        <f>LG41-LG40</f>
        <v/>
      </c>
      <c r="LH42" s="35">
        <f>LH41-LH40</f>
        <v/>
      </c>
      <c r="LI42" s="35">
        <f>LI41-LI40</f>
        <v/>
      </c>
      <c r="LJ42" s="35">
        <f>LJ41-LJ40</f>
        <v/>
      </c>
      <c r="LK42" s="35">
        <f>LK41-LK40</f>
        <v/>
      </c>
      <c r="LL42" s="35">
        <f>LL41-LL40</f>
        <v/>
      </c>
      <c r="LM42" s="35">
        <f>LM41-LM40</f>
        <v/>
      </c>
      <c r="LN42" s="35">
        <f>LN41-LN40</f>
        <v/>
      </c>
      <c r="LO42" s="35">
        <f>LO41-LO40</f>
        <v/>
      </c>
      <c r="LP42" s="35">
        <f>LP41-LP40</f>
        <v/>
      </c>
      <c r="LQ42" s="35">
        <f>LQ41-LQ40</f>
        <v/>
      </c>
      <c r="LR42" s="35">
        <f>LR41-LR40</f>
        <v/>
      </c>
      <c r="LS42" s="35">
        <f>LS41-LS40</f>
        <v/>
      </c>
      <c r="LT42" s="35">
        <f>LT41-LT40</f>
        <v/>
      </c>
      <c r="LU42" s="35">
        <f>LU41-LU40</f>
        <v/>
      </c>
      <c r="LV42" s="35">
        <f>LV41-LV40</f>
        <v/>
      </c>
      <c r="LW42" s="35">
        <f>LW41-LW40</f>
        <v/>
      </c>
      <c r="LX42" s="35">
        <f>LX41-LX40</f>
        <v/>
      </c>
      <c r="LY42" s="35">
        <f>LY41-LY40</f>
        <v/>
      </c>
      <c r="LZ42" s="35">
        <f>LZ41-LZ40</f>
        <v/>
      </c>
      <c r="MA42" s="35">
        <f>MA41-MA40</f>
        <v/>
      </c>
      <c r="MB42" s="35">
        <f>MB41-MB40</f>
        <v/>
      </c>
      <c r="MC42" s="35">
        <f>MC41-MC40</f>
        <v/>
      </c>
      <c r="MD42" s="35">
        <f>MD41-MD40</f>
        <v/>
      </c>
      <c r="ME42" s="35">
        <f>ME41-ME40</f>
        <v/>
      </c>
      <c r="MF42" s="35">
        <f>MF41-MF40</f>
        <v/>
      </c>
      <c r="MG42" s="35">
        <f>MG41-MG40</f>
        <v/>
      </c>
      <c r="MH42" s="35">
        <f>MH41-MH40</f>
        <v/>
      </c>
      <c r="MI42" s="35">
        <f>MI41-MI40</f>
        <v/>
      </c>
      <c r="MJ42" s="127">
        <f>SUM(LF42:MI42)</f>
        <v/>
      </c>
      <c r="MK42" s="35">
        <f>MK41-MK40</f>
        <v/>
      </c>
      <c r="ML42" s="35">
        <f>ML41-ML40</f>
        <v/>
      </c>
      <c r="MM42" s="35">
        <f>MM41-MM40</f>
        <v/>
      </c>
      <c r="MN42" s="35">
        <f>MN41-MN40</f>
        <v/>
      </c>
      <c r="MO42" s="35">
        <f>MO41-MO40</f>
        <v/>
      </c>
      <c r="MP42" s="35">
        <f>MP41-MP40</f>
        <v/>
      </c>
      <c r="MQ42" s="35">
        <f>MQ41-MQ40</f>
        <v/>
      </c>
      <c r="MR42" s="35">
        <f>MR41-MR40</f>
        <v/>
      </c>
      <c r="MS42" s="35">
        <f>MS41-MS40</f>
        <v/>
      </c>
      <c r="MT42" s="35">
        <f>MT41-MT40</f>
        <v/>
      </c>
      <c r="MU42" s="35">
        <f>MU41-MU40</f>
        <v/>
      </c>
      <c r="MV42" s="35">
        <f>MV41-MV40</f>
        <v/>
      </c>
      <c r="MW42" s="35">
        <f>MW41-MW40</f>
        <v/>
      </c>
      <c r="MX42" s="35">
        <f>MX41-MX40</f>
        <v/>
      </c>
      <c r="MY42" s="35">
        <f>MY41-MY40</f>
        <v/>
      </c>
      <c r="MZ42" s="35">
        <f>MZ41-MZ40</f>
        <v/>
      </c>
      <c r="NA42" s="35">
        <f>NA41-NA40</f>
        <v/>
      </c>
      <c r="NB42" s="35">
        <f>NB41-NB40</f>
        <v/>
      </c>
      <c r="NC42" s="35">
        <f>NC41-NC40</f>
        <v/>
      </c>
      <c r="ND42" s="35">
        <f>ND41-ND40</f>
        <v/>
      </c>
      <c r="NE42" s="35">
        <f>NE41-NE40</f>
        <v/>
      </c>
      <c r="NF42" s="35">
        <f>NF41-NF40</f>
        <v/>
      </c>
      <c r="NG42" s="35">
        <f>NG41-NG40</f>
        <v/>
      </c>
      <c r="NH42" s="35">
        <f>NH41-NH40</f>
        <v/>
      </c>
      <c r="NI42" s="35">
        <f>NI41-NI40</f>
        <v/>
      </c>
      <c r="NJ42" s="35">
        <f>NJ41-NJ40</f>
        <v/>
      </c>
      <c r="NK42" s="35">
        <f>NK41-NK40</f>
        <v/>
      </c>
      <c r="NL42" s="35">
        <f>NL41-NL40</f>
        <v/>
      </c>
      <c r="NM42" s="35">
        <f>NM41-NM40</f>
        <v/>
      </c>
      <c r="NN42" s="35">
        <f>NN41-NN40</f>
        <v/>
      </c>
      <c r="NO42" s="35">
        <f>NO41-NO40</f>
        <v/>
      </c>
      <c r="NP42" s="127">
        <f>SUM(ML42:NO42)</f>
        <v/>
      </c>
      <c r="NQ42" s="35">
        <f>NQ41-NQ40</f>
        <v/>
      </c>
      <c r="NR42" s="35">
        <f>NR41-NR40</f>
        <v/>
      </c>
      <c r="NS42" s="35">
        <f>NS41-NS40</f>
        <v/>
      </c>
      <c r="NT42" s="35">
        <f>NT41-NT40</f>
        <v/>
      </c>
      <c r="NU42" s="35">
        <f>NU41-NU40</f>
        <v/>
      </c>
      <c r="NV42" s="35">
        <f>NV41-NV40</f>
        <v/>
      </c>
      <c r="NW42" s="35">
        <f>NW41-NW40</f>
        <v/>
      </c>
      <c r="NX42" s="35">
        <f>NX41-NX40</f>
        <v/>
      </c>
      <c r="NY42" s="35">
        <f>NY41-NY40</f>
        <v/>
      </c>
      <c r="NZ42" s="35">
        <f>NZ41-NZ40</f>
        <v/>
      </c>
      <c r="OA42" s="35">
        <f>OA41-OA40</f>
        <v/>
      </c>
      <c r="OB42" s="35">
        <f>OB41-OB40</f>
        <v/>
      </c>
      <c r="OC42" s="35">
        <f>OC41-OC40</f>
        <v/>
      </c>
      <c r="OD42" s="35">
        <f>OD41-OD40</f>
        <v/>
      </c>
      <c r="OE42" s="35">
        <f>OE41-OE40</f>
        <v/>
      </c>
      <c r="OF42" s="35">
        <f>OF41-OF40</f>
        <v/>
      </c>
      <c r="OG42" s="35">
        <f>OG41-OG40</f>
        <v/>
      </c>
      <c r="OH42" s="35">
        <f>OH41-OH40</f>
        <v/>
      </c>
      <c r="OI42" s="35">
        <f>OI41-OI40</f>
        <v/>
      </c>
      <c r="OJ42" s="35">
        <f>OJ41-OJ40</f>
        <v/>
      </c>
      <c r="OK42" s="35">
        <f>OK41-OK40</f>
        <v/>
      </c>
      <c r="OL42" s="35">
        <f>OL41-OL40</f>
        <v/>
      </c>
      <c r="OM42" s="35">
        <f>OM41-OM40</f>
        <v/>
      </c>
      <c r="ON42" s="35">
        <f>ON41-ON40</f>
        <v/>
      </c>
      <c r="OO42" s="35">
        <f>OO41-OO40</f>
        <v/>
      </c>
      <c r="OP42" s="35">
        <f>OP41-OP40</f>
        <v/>
      </c>
      <c r="OQ42" s="35">
        <f>OQ41-OQ40</f>
        <v/>
      </c>
      <c r="OR42" s="35">
        <f>OR41-OR40</f>
        <v/>
      </c>
      <c r="OS42" s="35">
        <f>OS41-OS40</f>
        <v/>
      </c>
      <c r="OT42" s="35">
        <f>OT41-OT40</f>
        <v/>
      </c>
      <c r="OU42" s="35">
        <f>OU41-OU40</f>
        <v/>
      </c>
      <c r="OV42" s="127">
        <f>SUM(NR42:OU42)</f>
        <v/>
      </c>
      <c r="OW42" s="35">
        <f>OW41-OW40</f>
        <v/>
      </c>
      <c r="OX42" s="35">
        <f>OX41-OX40</f>
        <v/>
      </c>
      <c r="OY42" s="35">
        <f>OY41-OY40</f>
        <v/>
      </c>
      <c r="OZ42" s="35">
        <f>OZ41-OZ40</f>
        <v/>
      </c>
      <c r="PA42" s="35">
        <f>PA41-PA40</f>
        <v/>
      </c>
      <c r="PB42" s="35">
        <f>PB41-PB40</f>
        <v/>
      </c>
      <c r="PC42" s="35">
        <f>PC41-PC40</f>
        <v/>
      </c>
      <c r="PD42" s="35">
        <f>PD41-PD40</f>
        <v/>
      </c>
      <c r="PE42" s="35">
        <f>PE41-PE40</f>
        <v/>
      </c>
      <c r="PF42" s="35">
        <f>PF41-PF40</f>
        <v/>
      </c>
      <c r="PG42" s="35">
        <f>PG41-PG40</f>
        <v/>
      </c>
      <c r="PH42" s="35">
        <f>PH41-PH40</f>
        <v/>
      </c>
      <c r="PI42" s="35">
        <f>PI41-PI40</f>
        <v/>
      </c>
      <c r="PJ42" s="35">
        <f>PJ41-PJ40</f>
        <v/>
      </c>
      <c r="PK42" s="35">
        <f>PK41-PK40</f>
        <v/>
      </c>
      <c r="PL42" s="35">
        <f>PL41-PL40</f>
        <v/>
      </c>
      <c r="PM42" s="35">
        <f>PM41-PM40</f>
        <v/>
      </c>
      <c r="PN42" s="35">
        <f>PN41-PN40</f>
        <v/>
      </c>
      <c r="PO42" s="35">
        <f>PO41-PO40</f>
        <v/>
      </c>
      <c r="PP42" s="35">
        <f>PP41-PP40</f>
        <v/>
      </c>
      <c r="PQ42" s="35">
        <f>PQ41-PQ40</f>
        <v/>
      </c>
      <c r="PR42" s="35">
        <f>PR41-PR40</f>
        <v/>
      </c>
      <c r="PS42" s="35">
        <f>PS41-PS40</f>
        <v/>
      </c>
      <c r="PT42" s="35">
        <f>PT41-PT40</f>
        <v/>
      </c>
      <c r="PU42" s="35">
        <f>PU41-PU40</f>
        <v/>
      </c>
      <c r="PV42" s="35">
        <f>PV41-PV40</f>
        <v/>
      </c>
      <c r="PW42" s="35">
        <f>PW41-PW40</f>
        <v/>
      </c>
      <c r="PX42" s="35">
        <f>PX41-PX40</f>
        <v/>
      </c>
      <c r="PY42" s="35">
        <f>PY41-PY40</f>
        <v/>
      </c>
      <c r="PZ42" s="35">
        <f>PZ41-PZ40</f>
        <v/>
      </c>
      <c r="QA42" s="127">
        <f>SUM(OW42:PZ42)</f>
        <v/>
      </c>
      <c r="QB42" s="35">
        <f>QB41-QB40</f>
        <v/>
      </c>
      <c r="QC42" s="35">
        <f>QC41-QC40</f>
        <v/>
      </c>
      <c r="QD42" s="35">
        <f>QD41-QD40</f>
        <v/>
      </c>
      <c r="QE42" s="35">
        <f>QE41-QE40</f>
        <v/>
      </c>
      <c r="QF42" s="35">
        <f>QF41-QF40</f>
        <v/>
      </c>
      <c r="QG42" s="35">
        <f>QG41-QG40</f>
        <v/>
      </c>
      <c r="QH42" s="35">
        <f>QH41-QH40</f>
        <v/>
      </c>
      <c r="QI42" s="35">
        <f>QI41-QI40</f>
        <v/>
      </c>
      <c r="QJ42" s="35">
        <f>QJ41-QJ40</f>
        <v/>
      </c>
      <c r="QK42" s="35">
        <f>QK41-QK40</f>
        <v/>
      </c>
      <c r="QL42" s="35">
        <f>QL41-QL40</f>
        <v/>
      </c>
      <c r="QM42" s="35">
        <f>QM41-QM40</f>
        <v/>
      </c>
      <c r="QN42" s="35">
        <f>QN41-QN40</f>
        <v/>
      </c>
      <c r="QO42" s="35">
        <f>QO41-QO40</f>
        <v/>
      </c>
      <c r="QP42" s="35">
        <f>QP41-QP40</f>
        <v/>
      </c>
      <c r="QQ42" s="35">
        <f>QQ41-QQ40</f>
        <v/>
      </c>
      <c r="QR42" s="35">
        <f>QR41-QR40</f>
        <v/>
      </c>
      <c r="QS42" s="35">
        <f>QS41-QS40</f>
        <v/>
      </c>
      <c r="QT42" s="35">
        <f>QT41-QT40</f>
        <v/>
      </c>
      <c r="QU42" s="35">
        <f>QU41-QU40</f>
        <v/>
      </c>
      <c r="QV42" s="35">
        <f>QV41-QV40</f>
        <v/>
      </c>
      <c r="QW42" s="35">
        <f>QW41-QW40</f>
        <v/>
      </c>
      <c r="QX42" s="35">
        <f>QX41-QX40</f>
        <v/>
      </c>
      <c r="QY42" s="35">
        <f>QY41-QY40</f>
        <v/>
      </c>
      <c r="QZ42" s="35">
        <f>QZ41-QZ40</f>
        <v/>
      </c>
      <c r="RA42" s="35">
        <f>RA41-RA40</f>
        <v/>
      </c>
      <c r="RB42" s="35">
        <f>RB41-RB40</f>
        <v/>
      </c>
      <c r="RC42" s="35">
        <f>RC41-RC40</f>
        <v/>
      </c>
      <c r="RD42" s="35">
        <f>RD41-RD40</f>
        <v/>
      </c>
      <c r="RE42" s="35">
        <f>RE41-RE40</f>
        <v/>
      </c>
      <c r="RF42" s="35">
        <f>RF41-RF40</f>
        <v/>
      </c>
      <c r="RG42" s="127">
        <f>SUM(QC42:RF42)</f>
        <v/>
      </c>
      <c r="RH42" s="35">
        <f>RH41-RH40</f>
        <v/>
      </c>
      <c r="RI42" s="35">
        <f>RI41-RI40</f>
        <v/>
      </c>
      <c r="RJ42" s="35">
        <f>RJ41-RJ40</f>
        <v/>
      </c>
      <c r="RK42" s="35">
        <f>RK41-RK40</f>
        <v/>
      </c>
      <c r="RL42" s="35">
        <f>RL41-RL40</f>
        <v/>
      </c>
      <c r="RM42" s="35">
        <f>RM41-RM40</f>
        <v/>
      </c>
      <c r="RN42" s="35">
        <f>RN41-RN40</f>
        <v/>
      </c>
      <c r="RO42" s="35">
        <f>RO41-RO40</f>
        <v/>
      </c>
      <c r="RP42" s="35">
        <f>RP41-RP40</f>
        <v/>
      </c>
      <c r="RQ42" s="35">
        <f>RQ41-RQ40</f>
        <v/>
      </c>
      <c r="RR42" s="35">
        <f>RR41-RR40</f>
        <v/>
      </c>
      <c r="RS42" s="35">
        <f>RS41-RS40</f>
        <v/>
      </c>
      <c r="RT42" s="35">
        <f>RT41-RT40</f>
        <v/>
      </c>
      <c r="RU42" s="35">
        <f>RU41-RU40</f>
        <v/>
      </c>
      <c r="RV42" s="35">
        <f>RV41-RV40</f>
        <v/>
      </c>
      <c r="RW42" s="35">
        <f>RW41-RW40</f>
        <v/>
      </c>
      <c r="RX42" s="35">
        <f>RX41-RX40</f>
        <v/>
      </c>
      <c r="RY42" s="35">
        <f>RY41-RY40</f>
        <v/>
      </c>
      <c r="RZ42" s="35">
        <f>RZ41-RZ40</f>
        <v/>
      </c>
      <c r="SA42" s="35">
        <f>SA41-SA40</f>
        <v/>
      </c>
      <c r="SB42" s="35">
        <f>SB41-SB40</f>
        <v/>
      </c>
      <c r="SC42" s="35">
        <f>SC41-SC40</f>
        <v/>
      </c>
      <c r="SD42" s="35">
        <f>SD41-SD40</f>
        <v/>
      </c>
      <c r="SE42" s="35">
        <f>SE41-SE40</f>
        <v/>
      </c>
      <c r="SF42" s="35">
        <f>SF41-SF40</f>
        <v/>
      </c>
      <c r="SG42" s="35">
        <f>SG41-SG40</f>
        <v/>
      </c>
      <c r="SH42" s="35">
        <f>SH41-SH40</f>
        <v/>
      </c>
      <c r="SI42" s="35">
        <f>SI41-SI40</f>
        <v/>
      </c>
      <c r="SJ42" s="35">
        <f>SJ41-SJ40</f>
        <v/>
      </c>
      <c r="SK42" s="35">
        <f>SK41-SK40</f>
        <v/>
      </c>
      <c r="SL42" s="127">
        <f>SUM(RH42:SK42)</f>
        <v/>
      </c>
      <c r="SM42" s="35">
        <f>SM41-SM40</f>
        <v/>
      </c>
      <c r="SN42" s="35">
        <f>SN41-SN40</f>
        <v/>
      </c>
      <c r="SO42" s="35">
        <f>SO41-SO40</f>
        <v/>
      </c>
      <c r="SP42" s="35">
        <f>SP41-SP40</f>
        <v/>
      </c>
      <c r="SQ42" s="35">
        <f>SQ41-SQ40</f>
        <v/>
      </c>
      <c r="SR42" s="35">
        <f>SR41-SR40</f>
        <v/>
      </c>
      <c r="SS42" s="35">
        <f>SS41-SS40</f>
        <v/>
      </c>
      <c r="ST42" s="35">
        <f>ST41-ST40</f>
        <v/>
      </c>
      <c r="SU42" s="35">
        <f>SU41-SU40</f>
        <v/>
      </c>
      <c r="SV42" s="35">
        <f>SV41-SV40</f>
        <v/>
      </c>
      <c r="SW42" s="35">
        <f>SW41-SW40</f>
        <v/>
      </c>
      <c r="SX42" s="35">
        <f>SX41-SX40</f>
        <v/>
      </c>
      <c r="SY42" s="35">
        <f>SY41-SY40</f>
        <v/>
      </c>
      <c r="SZ42" s="35">
        <f>SZ41-SZ40</f>
        <v/>
      </c>
      <c r="TA42" s="35">
        <f>TA41-TA40</f>
        <v/>
      </c>
      <c r="TB42" s="35">
        <f>TB41-TB40</f>
        <v/>
      </c>
      <c r="TC42" s="35">
        <f>TC41-TC40</f>
        <v/>
      </c>
      <c r="TD42" s="35">
        <f>TD41-TD40</f>
        <v/>
      </c>
      <c r="TE42" s="35">
        <f>TE41-TE40</f>
        <v/>
      </c>
      <c r="TF42" s="35">
        <f>TF41-TF40</f>
        <v/>
      </c>
      <c r="TG42" s="35">
        <f>TG41-TG40</f>
        <v/>
      </c>
      <c r="TH42" s="35">
        <f>TH41-TH40</f>
        <v/>
      </c>
      <c r="TI42" s="35">
        <f>TI41-TI40</f>
        <v/>
      </c>
      <c r="TJ42" s="35">
        <f>TJ41-TJ40</f>
        <v/>
      </c>
      <c r="TK42" s="35">
        <f>TK41-TK40</f>
        <v/>
      </c>
      <c r="TL42" s="35">
        <f>TL41-TL40</f>
        <v/>
      </c>
      <c r="TM42" s="35">
        <f>TM41-TM40</f>
        <v/>
      </c>
      <c r="TN42" s="35">
        <f>TN41-TN40</f>
        <v/>
      </c>
      <c r="TO42" s="35">
        <f>TO41-TO40</f>
        <v/>
      </c>
      <c r="TP42" s="35">
        <f>TP41-TP40</f>
        <v/>
      </c>
      <c r="TQ42" s="35">
        <f>TQ41-TQ40</f>
        <v/>
      </c>
      <c r="TR42" s="127">
        <f>SUM(SN42:TQ42)</f>
        <v/>
      </c>
      <c r="TS42" s="35">
        <f>TS41-TS40</f>
        <v/>
      </c>
      <c r="TT42" s="35">
        <f>TT41-TT40</f>
        <v/>
      </c>
      <c r="TU42" s="35">
        <f>TU41-TU40</f>
        <v/>
      </c>
      <c r="TV42" s="35">
        <f>TV41-TV40</f>
        <v/>
      </c>
      <c r="TW42" s="35">
        <f>TW41-TW40</f>
        <v/>
      </c>
      <c r="TX42" s="35">
        <f>TX41-TX40</f>
        <v/>
      </c>
      <c r="TY42" s="35">
        <f>TY41-TY40</f>
        <v/>
      </c>
      <c r="TZ42" s="35">
        <f>TZ41-TZ40</f>
        <v/>
      </c>
      <c r="UA42" s="35">
        <f>UA41-UA40</f>
        <v/>
      </c>
      <c r="UB42" s="35">
        <f>UB41-UB40</f>
        <v/>
      </c>
      <c r="UC42" s="35">
        <f>UC41-UC40</f>
        <v/>
      </c>
      <c r="UD42" s="35">
        <f>UD41-UD40</f>
        <v/>
      </c>
      <c r="UE42" s="35">
        <f>UE41-UE40</f>
        <v/>
      </c>
      <c r="UF42" s="35">
        <f>UF41-UF40</f>
        <v/>
      </c>
      <c r="UG42" s="35">
        <f>UG41-UG40</f>
        <v/>
      </c>
      <c r="UH42" s="35">
        <f>UH41-UH40</f>
        <v/>
      </c>
      <c r="UI42" s="35">
        <f>UI41-UI40</f>
        <v/>
      </c>
      <c r="UJ42" s="35">
        <f>UJ41-UJ40</f>
        <v/>
      </c>
      <c r="UK42" s="35">
        <f>UK41-UK40</f>
        <v/>
      </c>
      <c r="UL42" s="35">
        <f>UL41-UL40</f>
        <v/>
      </c>
      <c r="UM42" s="35">
        <f>UM41-UM40</f>
        <v/>
      </c>
      <c r="UN42" s="35">
        <f>UN41-UN40</f>
        <v/>
      </c>
      <c r="UO42" s="35">
        <f>UO41-UO40</f>
        <v/>
      </c>
      <c r="UP42" s="35">
        <f>UP41-UP40</f>
        <v/>
      </c>
      <c r="UQ42" s="35">
        <f>UQ41-UQ40</f>
        <v/>
      </c>
      <c r="UR42" s="35">
        <f>UR41-UR40</f>
        <v/>
      </c>
      <c r="US42" s="35">
        <f>US41-US40</f>
        <v/>
      </c>
      <c r="UT42" s="35">
        <f>UT41-UT40</f>
        <v/>
      </c>
      <c r="UU42" s="35">
        <f>UU41-UU40</f>
        <v/>
      </c>
      <c r="UV42" s="35">
        <f>UV41-UV40</f>
        <v/>
      </c>
      <c r="UW42" s="35">
        <f>UW41-UW40</f>
        <v/>
      </c>
      <c r="UX42" s="127">
        <f>SUM(TT42:UW42)</f>
        <v/>
      </c>
      <c r="UY42" s="35">
        <f>UY41-UY40</f>
        <v/>
      </c>
      <c r="UZ42" s="35">
        <f>UZ41-UZ40</f>
        <v/>
      </c>
      <c r="VA42" s="35">
        <f>VA41-VA40</f>
        <v/>
      </c>
      <c r="VB42" s="35">
        <f>VB41-VB40</f>
        <v/>
      </c>
      <c r="VC42" s="35">
        <f>VC41-VC40</f>
        <v/>
      </c>
      <c r="VD42" s="35">
        <f>VD41-VD40</f>
        <v/>
      </c>
      <c r="VE42" s="35">
        <f>VE41-VE40</f>
        <v/>
      </c>
      <c r="VF42" s="35">
        <f>VF41-VF40</f>
        <v/>
      </c>
      <c r="VG42" s="35">
        <f>VG41-VG40</f>
        <v/>
      </c>
      <c r="VH42" s="35">
        <f>VH41-VH40</f>
        <v/>
      </c>
      <c r="VI42" s="35">
        <f>VI41-VI40</f>
        <v/>
      </c>
      <c r="VJ42" s="35">
        <f>VJ41-VJ40</f>
        <v/>
      </c>
      <c r="VK42" s="35">
        <f>VK41-VK40</f>
        <v/>
      </c>
      <c r="VL42" s="35">
        <f>VL41-VL40</f>
        <v/>
      </c>
      <c r="VM42" s="35">
        <f>VM41-VM40</f>
        <v/>
      </c>
      <c r="VN42" s="35">
        <f>VN41-VN40</f>
        <v/>
      </c>
      <c r="VO42" s="35">
        <f>VO41-VO40</f>
        <v/>
      </c>
      <c r="VP42" s="35">
        <f>VP41-VP40</f>
        <v/>
      </c>
      <c r="VQ42" s="35">
        <f>VQ41-VQ40</f>
        <v/>
      </c>
      <c r="VR42" s="35">
        <f>VR41-VR40</f>
        <v/>
      </c>
      <c r="VS42" s="35">
        <f>VS41-VS40</f>
        <v/>
      </c>
      <c r="VT42" s="35">
        <f>VT41-VT40</f>
        <v/>
      </c>
      <c r="VU42" s="35">
        <f>VU41-VU40</f>
        <v/>
      </c>
      <c r="VV42" s="35">
        <f>VV41-VV40</f>
        <v/>
      </c>
      <c r="VW42" s="35">
        <f>VW41-VW40</f>
        <v/>
      </c>
      <c r="VX42" s="35">
        <f>VX41-VX40</f>
        <v/>
      </c>
      <c r="VY42" s="35">
        <f>VY41-VY40</f>
        <v/>
      </c>
      <c r="VZ42" s="35">
        <f>VZ41-VZ40</f>
        <v/>
      </c>
      <c r="WA42" s="127">
        <f>SUM(UY42:VZ42)</f>
        <v/>
      </c>
      <c r="WB42" s="35">
        <f>WB41-WB40</f>
        <v/>
      </c>
      <c r="WC42" s="35">
        <f>WC41-WC40</f>
        <v/>
      </c>
      <c r="WD42" s="35">
        <f>WD41-WD40</f>
        <v/>
      </c>
      <c r="WE42" s="35">
        <f>WE41-WE40</f>
        <v/>
      </c>
      <c r="WF42" s="35">
        <f>WF41-WF40</f>
        <v/>
      </c>
      <c r="WG42" s="35">
        <f>WG41-WG40</f>
        <v/>
      </c>
      <c r="WH42" s="35">
        <f>WH41-WH40</f>
        <v/>
      </c>
      <c r="WI42" s="35">
        <f>WI41-WI40</f>
        <v/>
      </c>
      <c r="WJ42" s="35">
        <f>WJ41-WJ40</f>
        <v/>
      </c>
      <c r="WK42" s="35">
        <f>WK41-WK40</f>
        <v/>
      </c>
      <c r="WL42" s="35">
        <f>WL41-WL40</f>
        <v/>
      </c>
      <c r="WM42" s="35">
        <f>WM41-WM40</f>
        <v/>
      </c>
      <c r="WN42" s="35">
        <f>WN41-WN40</f>
        <v/>
      </c>
      <c r="WO42" s="35">
        <f>WO41-WO40</f>
        <v/>
      </c>
      <c r="WP42" s="35">
        <f>WP41-WP40</f>
        <v/>
      </c>
      <c r="WQ42" s="35">
        <f>WQ41-WQ40</f>
        <v/>
      </c>
      <c r="WR42" s="35">
        <f>WR41-WR40</f>
        <v/>
      </c>
      <c r="WS42" s="35">
        <f>WS41-WS40</f>
        <v/>
      </c>
      <c r="WT42" s="35">
        <f>WT41-WT40</f>
        <v/>
      </c>
      <c r="WU42" s="35">
        <f>WU41-WU40</f>
        <v/>
      </c>
      <c r="WV42" s="35">
        <f>WV41-WV40</f>
        <v/>
      </c>
      <c r="WW42" s="35">
        <f>WW41-WW40</f>
        <v/>
      </c>
      <c r="WX42" s="35">
        <f>WX41-WX40</f>
        <v/>
      </c>
      <c r="WY42" s="35">
        <f>WY41-WY40</f>
        <v/>
      </c>
      <c r="WZ42" s="35">
        <f>WZ41-WZ40</f>
        <v/>
      </c>
      <c r="XA42" s="35">
        <f>XA41-XA40</f>
        <v/>
      </c>
      <c r="XB42" s="35">
        <f>XB41-XB40</f>
        <v/>
      </c>
      <c r="XC42" s="35">
        <f>XC41-XC40</f>
        <v/>
      </c>
      <c r="XD42" s="35">
        <f>XD41-XD40</f>
        <v/>
      </c>
      <c r="XE42" s="35">
        <f>XE41-XE40</f>
        <v/>
      </c>
      <c r="XF42" s="35">
        <f>XF41-XF40</f>
        <v/>
      </c>
      <c r="XG42" s="127">
        <f>SUM(WB42:XF42)</f>
        <v/>
      </c>
      <c r="XH42" s="35">
        <f>XH41-XH40</f>
        <v/>
      </c>
      <c r="XI42" s="35">
        <f>XI41-XI40</f>
        <v/>
      </c>
      <c r="XJ42" s="35">
        <f>XJ41-XJ40</f>
        <v/>
      </c>
      <c r="XK42" s="35">
        <f>XK41-XK40</f>
        <v/>
      </c>
      <c r="XL42" s="35">
        <f>XL41-XL40</f>
        <v/>
      </c>
      <c r="XM42" s="35">
        <f>XM41-XM40</f>
        <v/>
      </c>
      <c r="XN42" s="35">
        <f>XN41-XN40</f>
        <v/>
      </c>
      <c r="XO42" s="35">
        <f>XO41-XO40</f>
        <v/>
      </c>
      <c r="XP42" s="35">
        <f>XP41-XP40</f>
        <v/>
      </c>
      <c r="XQ42" s="35">
        <f>XQ41-XQ40</f>
        <v/>
      </c>
      <c r="XR42" s="35">
        <f>XR41-XR40</f>
        <v/>
      </c>
      <c r="XS42" s="35">
        <f>XS41-XS40</f>
        <v/>
      </c>
      <c r="XT42" s="35">
        <f>XT41-XT40</f>
        <v/>
      </c>
      <c r="XU42" s="35">
        <f>XU41-XU40</f>
        <v/>
      </c>
      <c r="XV42" s="35">
        <f>XV41-XV40</f>
        <v/>
      </c>
      <c r="XW42" s="35">
        <f>XW41-XW40</f>
        <v/>
      </c>
      <c r="XX42" s="35">
        <f>XX41-XX40</f>
        <v/>
      </c>
      <c r="XY42" s="35">
        <f>XY41-XY40</f>
        <v/>
      </c>
      <c r="XZ42" s="35">
        <f>XZ41-XZ40</f>
        <v/>
      </c>
      <c r="YA42" s="35">
        <f>YA41-YA40</f>
        <v/>
      </c>
      <c r="YB42" s="35">
        <f>YB41-YB40</f>
        <v/>
      </c>
      <c r="YC42" s="35">
        <f>YC41-YC40</f>
        <v/>
      </c>
      <c r="YD42" s="35">
        <f>YD41-YD40</f>
        <v/>
      </c>
      <c r="YE42" s="35">
        <f>YE41-YE40</f>
        <v/>
      </c>
      <c r="YF42" s="35">
        <f>YF41-YF40</f>
        <v/>
      </c>
      <c r="YG42" s="35">
        <f>YG41-YG40</f>
        <v/>
      </c>
      <c r="YH42" s="35">
        <f>YH41-YH40</f>
        <v/>
      </c>
      <c r="YI42" s="35">
        <f>YI41-YI40</f>
        <v/>
      </c>
      <c r="YJ42" s="35">
        <f>YJ41-YJ40</f>
        <v/>
      </c>
      <c r="YK42" s="35">
        <f>YK41-YK40</f>
        <v/>
      </c>
      <c r="YL42" s="127">
        <f>SUM(XH42:YK42)</f>
        <v/>
      </c>
      <c r="YM42" s="35">
        <f>YM41-YM40</f>
        <v/>
      </c>
      <c r="YN42" s="35">
        <f>YN41-YN40</f>
        <v/>
      </c>
      <c r="YO42" s="35">
        <f>YO41-YO40</f>
        <v/>
      </c>
      <c r="YP42" s="35">
        <f>YP41-YP40</f>
        <v/>
      </c>
      <c r="YQ42" s="35">
        <f>YQ41-YQ40</f>
        <v/>
      </c>
      <c r="YR42" s="35">
        <f>YR41-YR40</f>
        <v/>
      </c>
      <c r="YS42" s="35">
        <f>YS41-YS40</f>
        <v/>
      </c>
      <c r="YT42" s="35">
        <f>YT41-YT40</f>
        <v/>
      </c>
      <c r="YU42" s="35">
        <f>YU41-YU40</f>
        <v/>
      </c>
      <c r="YV42" s="35">
        <f>YV41-YV40</f>
        <v/>
      </c>
      <c r="YW42" s="35">
        <f>YW41-YW40</f>
        <v/>
      </c>
      <c r="YX42" s="35">
        <f>YX41-YX40</f>
        <v/>
      </c>
      <c r="YY42" s="35">
        <f>YY41-YY40</f>
        <v/>
      </c>
      <c r="YZ42" s="35">
        <f>YZ41-YZ40</f>
        <v/>
      </c>
      <c r="ZA42" s="35">
        <f>ZA41-ZA40</f>
        <v/>
      </c>
      <c r="ZB42" s="35">
        <f>ZB41-ZB40</f>
        <v/>
      </c>
      <c r="ZC42" s="35">
        <f>ZC41-ZC40</f>
        <v/>
      </c>
      <c r="ZD42" s="35">
        <f>ZD41-ZD40</f>
        <v/>
      </c>
      <c r="ZE42" s="35">
        <f>ZE41-ZE40</f>
        <v/>
      </c>
      <c r="ZF42" s="35">
        <f>ZF41-ZF40</f>
        <v/>
      </c>
      <c r="ZG42" s="35">
        <f>ZG41-ZG40</f>
        <v/>
      </c>
      <c r="ZH42" s="35">
        <f>ZH41-ZH40</f>
        <v/>
      </c>
      <c r="ZI42" s="35">
        <f>ZI41-ZI40</f>
        <v/>
      </c>
      <c r="ZJ42" s="35">
        <f>ZJ41-ZJ40</f>
        <v/>
      </c>
      <c r="ZK42" s="35">
        <f>ZK41-ZK40</f>
        <v/>
      </c>
      <c r="ZL42" s="35">
        <f>ZL41-ZL40</f>
        <v/>
      </c>
      <c r="ZM42" s="35">
        <f>ZM41-ZM40</f>
        <v/>
      </c>
      <c r="ZN42" s="35">
        <f>ZN41-ZN40</f>
        <v/>
      </c>
      <c r="ZO42" s="35">
        <f>ZO41-ZO40</f>
        <v/>
      </c>
      <c r="ZP42" s="35">
        <f>ZP41-ZP40</f>
        <v/>
      </c>
      <c r="ZQ42" s="35">
        <f>ZQ41-ZQ40</f>
        <v/>
      </c>
      <c r="ZR42" s="127">
        <f>SUM(YM42:ZQ42)</f>
        <v/>
      </c>
      <c r="ZS42" s="35">
        <f>ZS41-ZS40</f>
        <v/>
      </c>
      <c r="ZT42" s="35">
        <f>ZT41-ZT40</f>
        <v/>
      </c>
      <c r="ZU42" s="35">
        <f>ZU41-ZU40</f>
        <v/>
      </c>
      <c r="ZV42" s="35">
        <f>ZV41-ZV40</f>
        <v/>
      </c>
      <c r="ZW42" s="35">
        <f>ZW41-ZW40</f>
        <v/>
      </c>
      <c r="ZX42" s="35">
        <f>ZX41-ZX40</f>
        <v/>
      </c>
      <c r="ZY42" s="35">
        <f>ZY41-ZY40</f>
        <v/>
      </c>
      <c r="ZZ42" s="35">
        <f>ZZ41-ZZ40</f>
        <v/>
      </c>
      <c r="AAA42" s="35">
        <f>AAA41-AAA40</f>
        <v/>
      </c>
      <c r="AAB42" s="35">
        <f>AAB41-AAB40</f>
        <v/>
      </c>
      <c r="AAC42" s="35">
        <f>AAC41-AAC40</f>
        <v/>
      </c>
      <c r="AAD42" s="35">
        <f>AAD41-AAD40</f>
        <v/>
      </c>
      <c r="AAE42" s="35">
        <f>AAE41-AAE40</f>
        <v/>
      </c>
      <c r="AAF42" s="35">
        <f>AAF41-AAF40</f>
        <v/>
      </c>
      <c r="AAG42" s="35">
        <f>AAG41-AAG40</f>
        <v/>
      </c>
      <c r="AAH42" s="35">
        <f>AAH41-AAH40</f>
        <v/>
      </c>
      <c r="AAI42" s="35">
        <f>AAI41-AAI40</f>
        <v/>
      </c>
      <c r="AAJ42" s="35">
        <f>AAJ41-AAJ40</f>
        <v/>
      </c>
      <c r="AAK42" s="35">
        <f>AAK41-AAK40</f>
        <v/>
      </c>
      <c r="AAL42" s="35">
        <f>AAL41-AAL40</f>
        <v/>
      </c>
      <c r="AAM42" s="35">
        <f>AAM41-AAM40</f>
        <v/>
      </c>
      <c r="AAN42" s="35">
        <f>AAN41-AAN40</f>
        <v/>
      </c>
      <c r="AAO42" s="35">
        <f>AAO41-AAO40</f>
        <v/>
      </c>
      <c r="AAP42" s="35">
        <f>AAP41-AAP40</f>
        <v/>
      </c>
      <c r="AAQ42" s="35">
        <f>AAQ41-AAQ40</f>
        <v/>
      </c>
      <c r="AAR42" s="35">
        <f>AAR41-AAR40</f>
        <v/>
      </c>
      <c r="AAS42" s="35">
        <f>AAS41-AAS40</f>
        <v/>
      </c>
      <c r="AAT42" s="35">
        <f>AAT41-AAT40</f>
        <v/>
      </c>
      <c r="AAU42" s="35">
        <f>AAU41-AAU40</f>
        <v/>
      </c>
      <c r="AAV42" s="35">
        <f>AAV41-AAV40</f>
        <v/>
      </c>
      <c r="AAW42" s="127">
        <f>SUM(ZS42:AAV42)</f>
        <v/>
      </c>
      <c r="AAX42" s="35">
        <f>AAX41-AAX40</f>
        <v/>
      </c>
      <c r="AAY42" s="35">
        <f>AAY41-AAY40</f>
        <v/>
      </c>
      <c r="AAZ42" s="35">
        <f>AAZ41-AAZ40</f>
        <v/>
      </c>
      <c r="ABA42" s="35">
        <f>ABA41-ABA40</f>
        <v/>
      </c>
      <c r="ABB42" s="35">
        <f>ABB41-ABB40</f>
        <v/>
      </c>
      <c r="ABC42" s="35">
        <f>ABC41-ABC40</f>
        <v/>
      </c>
      <c r="ABD42" s="35">
        <f>ABD41-ABD40</f>
        <v/>
      </c>
      <c r="ABE42" s="35">
        <f>ABE41-ABE40</f>
        <v/>
      </c>
      <c r="ABF42" s="35">
        <f>ABF41-ABF40</f>
        <v/>
      </c>
      <c r="ABG42" s="35">
        <f>ABG41-ABG40</f>
        <v/>
      </c>
      <c r="ABH42" s="35">
        <f>ABH41-ABH40</f>
        <v/>
      </c>
      <c r="ABI42" s="35">
        <f>ABI41-ABI40</f>
        <v/>
      </c>
      <c r="ABJ42" s="35">
        <f>ABJ41-ABJ40</f>
        <v/>
      </c>
      <c r="ABK42" s="35">
        <f>ABK41-ABK40</f>
        <v/>
      </c>
      <c r="ABL42" s="35">
        <f>ABL41-ABL40</f>
        <v/>
      </c>
      <c r="ABM42" s="35">
        <f>ABM41-ABM40</f>
        <v/>
      </c>
      <c r="ABN42" s="35">
        <f>ABN41-ABN40</f>
        <v/>
      </c>
      <c r="ABO42" s="35">
        <f>ABO41-ABO40</f>
        <v/>
      </c>
      <c r="ABP42" s="35">
        <f>ABP41-ABP40</f>
        <v/>
      </c>
      <c r="ABQ42" s="35">
        <f>ABQ41-ABQ40</f>
        <v/>
      </c>
      <c r="ABR42" s="35">
        <f>ABR41-ABR40</f>
        <v/>
      </c>
      <c r="ABS42" s="35">
        <f>ABS41-ABS40</f>
        <v/>
      </c>
      <c r="ABT42" s="35">
        <f>ABT41-ABT40</f>
        <v/>
      </c>
      <c r="ABU42" s="35">
        <f>ABU41-ABU40</f>
        <v/>
      </c>
      <c r="ABV42" s="35">
        <f>ABV41-ABV40</f>
        <v/>
      </c>
      <c r="ABW42" s="35">
        <f>ABW41-ABW40</f>
        <v/>
      </c>
      <c r="ABX42" s="35">
        <f>ABX41-ABX40</f>
        <v/>
      </c>
      <c r="ABY42" s="35">
        <f>ABY41-ABY40</f>
        <v/>
      </c>
      <c r="ABZ42" s="35">
        <f>ABZ41-ABZ40</f>
        <v/>
      </c>
      <c r="ACA42" s="35">
        <f>ACA41-ACA40</f>
        <v/>
      </c>
      <c r="ACB42" s="35">
        <f>ACB41-ACB40</f>
        <v/>
      </c>
      <c r="ACC42" s="127">
        <f>SUM(AAX42:ACB42)</f>
        <v/>
      </c>
      <c r="ACD42" s="35">
        <f>ACD41-ACD40</f>
        <v/>
      </c>
      <c r="ACE42" s="35">
        <f>ACE41-ACE40</f>
        <v/>
      </c>
      <c r="ACF42" s="35">
        <f>ACF41-ACF40</f>
        <v/>
      </c>
      <c r="ACG42" s="35">
        <f>ACG41-ACG40</f>
        <v/>
      </c>
      <c r="ACH42" s="35">
        <f>ACH41-ACH40</f>
        <v/>
      </c>
      <c r="ACI42" s="35">
        <f>ACI41-ACI40</f>
        <v/>
      </c>
      <c r="ACJ42" s="35">
        <f>ACJ41-ACJ40</f>
        <v/>
      </c>
      <c r="ACK42" s="35">
        <f>ACK41-ACK40</f>
        <v/>
      </c>
      <c r="ACL42" s="35">
        <f>ACL41-ACL40</f>
        <v/>
      </c>
      <c r="ACM42" s="35">
        <f>ACM41-ACM40</f>
        <v/>
      </c>
      <c r="ACN42" s="35">
        <f>ACN41-ACN40</f>
        <v/>
      </c>
      <c r="ACO42" s="35">
        <f>ACO41-ACO40</f>
        <v/>
      </c>
      <c r="ACP42" s="35">
        <f>ACP41-ACP40</f>
        <v/>
      </c>
      <c r="ACQ42" s="35">
        <f>ACQ41-ACQ40</f>
        <v/>
      </c>
      <c r="ACR42" s="35">
        <f>ACR41-ACR40</f>
        <v/>
      </c>
      <c r="ACS42" s="35">
        <f>ACS41-ACS40</f>
        <v/>
      </c>
      <c r="ACT42" s="35">
        <f>ACT41-ACT40</f>
        <v/>
      </c>
      <c r="ACU42" s="35">
        <f>ACU41-ACU40</f>
        <v/>
      </c>
      <c r="ACV42" s="35">
        <f>ACV41-ACV40</f>
        <v/>
      </c>
      <c r="ACW42" s="35">
        <f>ACW41-ACW40</f>
        <v/>
      </c>
      <c r="ACX42" s="35">
        <f>ACX41-ACX40</f>
        <v/>
      </c>
      <c r="ACY42" s="35">
        <f>ACY41-ACY40</f>
        <v/>
      </c>
      <c r="ACZ42" s="35">
        <f>ACZ41-ACZ40</f>
        <v/>
      </c>
      <c r="ADA42" s="35">
        <f>ADA41-ADA40</f>
        <v/>
      </c>
      <c r="ADB42" s="35">
        <f>ADB41-ADB40</f>
        <v/>
      </c>
      <c r="ADC42" s="35">
        <f>ADC41-ADC40</f>
        <v/>
      </c>
      <c r="ADD42" s="35">
        <f>ADD41-ADD40</f>
        <v/>
      </c>
      <c r="ADE42" s="35">
        <f>ADE41-ADE40</f>
        <v/>
      </c>
      <c r="ADF42" s="35">
        <f>ADF41-ADF40</f>
        <v/>
      </c>
      <c r="ADG42" s="35">
        <f>ADG41-ADG40</f>
        <v/>
      </c>
      <c r="ADH42" s="35">
        <f>ADH41-ADH40</f>
        <v/>
      </c>
      <c r="ADI42" s="127">
        <f>SUM(ACD42:ADH42)</f>
        <v/>
      </c>
      <c r="ADJ42" s="35">
        <f>ADJ41-ADJ40</f>
        <v/>
      </c>
      <c r="ADK42" s="35">
        <f>ADK41-ADK40</f>
        <v/>
      </c>
      <c r="ADL42" s="35">
        <f>ADL41-ADL40</f>
        <v/>
      </c>
      <c r="ADM42" s="35">
        <f>ADM41-ADM40</f>
        <v/>
      </c>
      <c r="ADN42" s="35">
        <f>ADN41-ADN40</f>
        <v/>
      </c>
      <c r="ADO42" s="35">
        <f>ADO41-ADO40</f>
        <v/>
      </c>
      <c r="ADP42" s="35">
        <f>ADP41-ADP40</f>
        <v/>
      </c>
      <c r="ADQ42" s="35">
        <f>ADQ41-ADQ40</f>
        <v/>
      </c>
      <c r="ADR42" s="35">
        <f>ADR41-ADR40</f>
        <v/>
      </c>
      <c r="ADS42" s="35">
        <f>ADS41-ADS40</f>
        <v/>
      </c>
      <c r="ADT42" s="35">
        <f>ADT41-ADT40</f>
        <v/>
      </c>
      <c r="ADU42" s="35">
        <f>ADU41-ADU40</f>
        <v/>
      </c>
      <c r="ADV42" s="35">
        <f>ADV41-ADV40</f>
        <v/>
      </c>
      <c r="ADW42" s="35">
        <f>ADW41-ADW40</f>
        <v/>
      </c>
      <c r="ADX42" s="35">
        <f>ADX41-ADX40</f>
        <v/>
      </c>
      <c r="ADY42" s="35">
        <f>ADY41-ADY40</f>
        <v/>
      </c>
      <c r="ADZ42" s="35">
        <f>ADZ41-ADZ40</f>
        <v/>
      </c>
      <c r="AEA42" s="35">
        <f>AEA41-AEA40</f>
        <v/>
      </c>
      <c r="AEB42" s="35">
        <f>AEB41-AEB40</f>
        <v/>
      </c>
      <c r="AEC42" s="35">
        <f>AEC41-AEC40</f>
        <v/>
      </c>
      <c r="AED42" s="35">
        <f>AED41-AED40</f>
        <v/>
      </c>
      <c r="AEE42" s="35">
        <f>AEE41-AEE40</f>
        <v/>
      </c>
      <c r="AEF42" s="35">
        <f>AEF41-AEF40</f>
        <v/>
      </c>
      <c r="AEG42" s="35">
        <f>AEG41-AEG40</f>
        <v/>
      </c>
      <c r="AEH42" s="35">
        <f>AEH41-AEH40</f>
        <v/>
      </c>
      <c r="AEI42" s="35">
        <f>AEI41-AEI40</f>
        <v/>
      </c>
      <c r="AEJ42" s="35">
        <f>AEJ41-AEJ40</f>
        <v/>
      </c>
      <c r="AEK42" s="35">
        <f>AEK41-AEK40</f>
        <v/>
      </c>
      <c r="AEL42" s="35">
        <f>AEL41-AEL40</f>
        <v/>
      </c>
      <c r="AEM42" s="35">
        <f>AEM41-AEM40</f>
        <v/>
      </c>
      <c r="AEN42" s="127">
        <f>SUM(ADJ42:AEM42)</f>
        <v/>
      </c>
      <c r="AEO42" s="35">
        <f>AEO41-AEO40</f>
        <v/>
      </c>
      <c r="AEP42" s="35">
        <f>AEP41-AEP40</f>
        <v/>
      </c>
      <c r="AEQ42" s="35">
        <f>AEQ41-AEQ40</f>
        <v/>
      </c>
      <c r="AER42" s="35">
        <f>AER41-AER40</f>
        <v/>
      </c>
      <c r="AES42" s="35">
        <f>AES41-AES40</f>
        <v/>
      </c>
      <c r="AET42" s="35">
        <f>AET41-AET40</f>
        <v/>
      </c>
      <c r="AEU42" s="35">
        <f>AEU41-AEU40</f>
        <v/>
      </c>
      <c r="AEV42" s="35">
        <f>AEV41-AEV40</f>
        <v/>
      </c>
      <c r="AEW42" s="35">
        <f>AEW41-AEW40</f>
        <v/>
      </c>
      <c r="AEX42" s="35">
        <f>AEX41-AEX40</f>
        <v/>
      </c>
      <c r="AEY42" s="35">
        <f>AEY41-AEY40</f>
        <v/>
      </c>
      <c r="AEZ42" s="35">
        <f>AEZ41-AEZ40</f>
        <v/>
      </c>
      <c r="AFA42" s="35">
        <f>AFA41-AFA40</f>
        <v/>
      </c>
      <c r="AFB42" s="35">
        <f>AFB41-AFB40</f>
        <v/>
      </c>
      <c r="AFC42" s="35">
        <f>AFC41-AFC40</f>
        <v/>
      </c>
      <c r="AFD42" s="35">
        <f>AFD41-AFD40</f>
        <v/>
      </c>
      <c r="AFE42" s="35">
        <f>AFE41-AFE40</f>
        <v/>
      </c>
      <c r="AFF42" s="35">
        <f>AFF41-AFF40</f>
        <v/>
      </c>
      <c r="AFG42" s="35">
        <f>AFG41-AFG40</f>
        <v/>
      </c>
      <c r="AFH42" s="35">
        <f>AFH41-AFH40</f>
        <v/>
      </c>
      <c r="AFI42" s="35">
        <f>AFI41-AFI40</f>
        <v/>
      </c>
      <c r="AFJ42" s="35">
        <f>AFJ41-AFJ40</f>
        <v/>
      </c>
      <c r="AFK42" s="35">
        <f>AFK41-AFK40</f>
        <v/>
      </c>
      <c r="AFL42" s="35">
        <f>AFL41-AFL40</f>
        <v/>
      </c>
      <c r="AFM42" s="35">
        <f>AFM41-AFM40</f>
        <v/>
      </c>
      <c r="AFN42" s="35">
        <f>AFN41-AFN40</f>
        <v/>
      </c>
      <c r="AFO42" s="35">
        <f>AFO41-AFO40</f>
        <v/>
      </c>
      <c r="AFP42" s="35">
        <f>AFP41-AFP40</f>
        <v/>
      </c>
      <c r="AFQ42" s="35">
        <f>AFQ41-AFQ40</f>
        <v/>
      </c>
      <c r="AFR42" s="35">
        <f>AFR41-AFR40</f>
        <v/>
      </c>
      <c r="AFS42" s="35">
        <f>AFS41-AFS40</f>
        <v/>
      </c>
      <c r="AFT42" s="127">
        <f>SUM(AEO42:AFS42)</f>
        <v/>
      </c>
      <c r="AFU42" s="35">
        <f>AFU41-AFU40</f>
        <v/>
      </c>
      <c r="AFV42" s="35">
        <f>AFV41-AFV40</f>
        <v/>
      </c>
      <c r="AFW42" s="35">
        <f>AFW41-AFW40</f>
        <v/>
      </c>
      <c r="AFX42" s="35">
        <f>AFX41-AFX40</f>
        <v/>
      </c>
      <c r="AFY42" s="35">
        <f>AFY41-AFY40</f>
        <v/>
      </c>
      <c r="AFZ42" s="35">
        <f>AFZ41-AFZ40</f>
        <v/>
      </c>
      <c r="AGA42" s="35">
        <f>AGA41-AGA40</f>
        <v/>
      </c>
      <c r="AGB42" s="35">
        <f>AGB41-AGB40</f>
        <v/>
      </c>
      <c r="AGC42" s="35">
        <f>AGC41-AGC40</f>
        <v/>
      </c>
      <c r="AGD42" s="35">
        <f>AGD41-AGD40</f>
        <v/>
      </c>
      <c r="AGE42" s="35">
        <f>AGE41-AGE40</f>
        <v/>
      </c>
      <c r="AGF42" s="35">
        <f>AGF41-AGF40</f>
        <v/>
      </c>
      <c r="AGG42" s="35">
        <f>AGG41-AGG40</f>
        <v/>
      </c>
      <c r="AGH42" s="35">
        <f>AGH41-AGH40</f>
        <v/>
      </c>
      <c r="AGI42" s="35">
        <f>AGI41-AGI40</f>
        <v/>
      </c>
      <c r="AGJ42" s="35">
        <f>AGJ41-AGJ40</f>
        <v/>
      </c>
      <c r="AGK42" s="35">
        <f>AGK41-AGK40</f>
        <v/>
      </c>
      <c r="AGL42" s="35">
        <f>AGL41-AGL40</f>
        <v/>
      </c>
      <c r="AGM42" s="35">
        <f>AGM41-AGM40</f>
        <v/>
      </c>
      <c r="AGN42" s="35">
        <f>AGN41-AGN40</f>
        <v/>
      </c>
      <c r="AGO42" s="35">
        <f>AGO41-AGO40</f>
        <v/>
      </c>
      <c r="AGP42" s="35">
        <f>AGP41-AGP40</f>
        <v/>
      </c>
      <c r="AGQ42" s="35">
        <f>AGQ41-AGQ40</f>
        <v/>
      </c>
      <c r="AGR42" s="35">
        <f>AGR41-AGR40</f>
        <v/>
      </c>
      <c r="AGS42" s="35">
        <f>AGS41-AGS40</f>
        <v/>
      </c>
      <c r="AGT42" s="35">
        <f>AGT41-AGT40</f>
        <v/>
      </c>
      <c r="AGU42" s="35">
        <f>AGU41-AGU40</f>
        <v/>
      </c>
      <c r="AGV42" s="35">
        <f>AGV41-AGV40</f>
        <v/>
      </c>
      <c r="AGW42" s="35">
        <f>AGW41-AGW40</f>
        <v/>
      </c>
      <c r="AGX42" s="35">
        <f>AGX41-AGX40</f>
        <v/>
      </c>
      <c r="AGY42" s="127">
        <f>SUM(AFU42:AGX42)</f>
        <v/>
      </c>
      <c r="AGZ42" s="35">
        <f>AGZ41-AGZ40</f>
        <v/>
      </c>
      <c r="AHA42" s="35">
        <f>AHA41-AHA40</f>
        <v/>
      </c>
      <c r="AHB42" s="35">
        <f>AHB41-AHB40</f>
        <v/>
      </c>
      <c r="AHC42" s="35">
        <f>AHC41-AHC40</f>
        <v/>
      </c>
      <c r="AHD42" s="35">
        <f>AHD41-AHD40</f>
        <v/>
      </c>
      <c r="AHE42" s="35">
        <f>AHE41-AHE40</f>
        <v/>
      </c>
      <c r="AHF42" s="35">
        <f>AHF41-AHF40</f>
        <v/>
      </c>
      <c r="AHG42" s="35">
        <f>AHG41-AHG40</f>
        <v/>
      </c>
      <c r="AHH42" s="35">
        <f>AHH41-AHH40</f>
        <v/>
      </c>
      <c r="AHI42" s="35">
        <f>AHI41-AHI40</f>
        <v/>
      </c>
      <c r="AHJ42" s="35">
        <f>AHJ41-AHJ40</f>
        <v/>
      </c>
      <c r="AHK42" s="35">
        <f>AHK41-AHK40</f>
        <v/>
      </c>
      <c r="AHL42" s="35">
        <f>AHL41-AHL40</f>
        <v/>
      </c>
      <c r="AHM42" s="35">
        <f>AHM41-AHM40</f>
        <v/>
      </c>
      <c r="AHN42" s="35">
        <f>AHN41-AHN40</f>
        <v/>
      </c>
      <c r="AHO42" s="35">
        <f>AHO41-AHO40</f>
        <v/>
      </c>
      <c r="AHP42" s="35">
        <f>AHP41-AHP40</f>
        <v/>
      </c>
      <c r="AHQ42" s="35">
        <f>AHQ41-AHQ40</f>
        <v/>
      </c>
      <c r="AHR42" s="35">
        <f>AHR41-AHR40</f>
        <v/>
      </c>
      <c r="AHS42" s="35">
        <f>AHS41-AHS40</f>
        <v/>
      </c>
      <c r="AHT42" s="35">
        <f>AHT41-AHT40</f>
        <v/>
      </c>
      <c r="AHU42" s="35">
        <f>AHU41-AHU40</f>
        <v/>
      </c>
      <c r="AHV42" s="35">
        <f>AHV41-AHV40</f>
        <v/>
      </c>
      <c r="AHW42" s="35">
        <f>AHW41-AHW40</f>
        <v/>
      </c>
      <c r="AHX42" s="35">
        <f>AHX41-AHX40</f>
        <v/>
      </c>
      <c r="AHY42" s="35">
        <f>AHY41-AHY40</f>
        <v/>
      </c>
      <c r="AHZ42" s="35">
        <f>AHZ41-AHZ40</f>
        <v/>
      </c>
      <c r="AIA42" s="35">
        <f>AIA41-AIA40</f>
        <v/>
      </c>
      <c r="AIB42" s="35">
        <f>AIB41-AIB40</f>
        <v/>
      </c>
      <c r="AIC42" s="35">
        <f>AIC41-AIC40</f>
        <v/>
      </c>
      <c r="AID42" s="35">
        <f>AID41-AID40</f>
        <v/>
      </c>
      <c r="AIE42" s="127">
        <f>SUM(AGZ42:AID42)</f>
        <v/>
      </c>
      <c r="AIF42" s="35">
        <f>AIF41-AIF40</f>
        <v/>
      </c>
      <c r="AIG42" s="35">
        <f>AIG41-AIG40</f>
        <v/>
      </c>
      <c r="AIH42" s="35">
        <f>AIH41-AIH40</f>
        <v/>
      </c>
      <c r="AII42" s="35">
        <f>AII41-AII40</f>
        <v/>
      </c>
      <c r="AIJ42" s="35">
        <f>AIJ41-AIJ40</f>
        <v/>
      </c>
      <c r="AIK42" s="35">
        <f>AIK41-AIK40</f>
        <v/>
      </c>
      <c r="AIL42" s="35">
        <f>AIL41-AIL40</f>
        <v/>
      </c>
      <c r="AIM42" s="35">
        <f>AIM41-AIM40</f>
        <v/>
      </c>
      <c r="AIN42" s="35">
        <f>AIN41-AIN40</f>
        <v/>
      </c>
      <c r="AIO42" s="35">
        <f>AIO41-AIO40</f>
        <v/>
      </c>
      <c r="AIP42" s="35">
        <f>AIP41-AIP40</f>
        <v/>
      </c>
      <c r="AIQ42" s="35">
        <f>AIQ41-AIQ40</f>
        <v/>
      </c>
      <c r="AIR42" s="35">
        <f>AIR41-AIR40</f>
        <v/>
      </c>
      <c r="AIS42" s="35">
        <f>AIS41-AIS40</f>
        <v/>
      </c>
      <c r="AIT42" s="35">
        <f>AIT41-AIT40</f>
        <v/>
      </c>
      <c r="AIU42" s="35">
        <f>AIU41-AIU40</f>
        <v/>
      </c>
      <c r="AIV42" s="35">
        <f>AIV41-AIV40</f>
        <v/>
      </c>
      <c r="AIW42" s="35">
        <f>AIW41-AIW40</f>
        <v/>
      </c>
      <c r="AIX42" s="35">
        <f>AIX41-AIX40</f>
        <v/>
      </c>
      <c r="AIY42" s="35">
        <f>AIY41-AIY40</f>
        <v/>
      </c>
      <c r="AIZ42" s="35">
        <f>AIZ41-AIZ40</f>
        <v/>
      </c>
      <c r="AJA42" s="35">
        <f>AJA41-AJA40</f>
        <v/>
      </c>
      <c r="AJB42" s="35">
        <f>AJB41-AJB40</f>
        <v/>
      </c>
      <c r="AJC42" s="35">
        <f>AJC41-AJC40</f>
        <v/>
      </c>
      <c r="AJD42" s="35">
        <f>AJD41-AJD40</f>
        <v/>
      </c>
      <c r="AJE42" s="35">
        <f>AJE41-AJE40</f>
        <v/>
      </c>
      <c r="AJF42" s="35">
        <f>AJF41-AJF40</f>
        <v/>
      </c>
      <c r="AJG42" s="35">
        <f>AJG41-AJG40</f>
        <v/>
      </c>
      <c r="AJH42" s="35">
        <f>AJH41-AJH40</f>
        <v/>
      </c>
      <c r="AJI42" s="35">
        <f>AJI41-AJI40</f>
        <v/>
      </c>
      <c r="AJJ42" s="35">
        <f>AJJ41-AJJ40</f>
        <v/>
      </c>
      <c r="AJK42" s="127">
        <f>SUM(AIF42:AJJ42)</f>
        <v/>
      </c>
      <c r="AJL42" s="35">
        <f>AJL41-AJL40</f>
        <v/>
      </c>
      <c r="AJM42" s="35">
        <f>AJM41-AJM40</f>
        <v/>
      </c>
      <c r="AJN42" s="35">
        <f>AJN41-AJN40</f>
        <v/>
      </c>
      <c r="AJO42" s="35">
        <f>AJO41-AJO40</f>
        <v/>
      </c>
      <c r="AJP42" s="35">
        <f>AJP41-AJP40</f>
        <v/>
      </c>
      <c r="AJQ42" s="35">
        <f>AJQ41-AJQ40</f>
        <v/>
      </c>
      <c r="AJR42" s="35">
        <f>AJR41-AJR40</f>
        <v/>
      </c>
      <c r="AJS42" s="35">
        <f>AJS41-AJS40</f>
        <v/>
      </c>
      <c r="AJT42" s="35">
        <f>AJT41-AJT40</f>
        <v/>
      </c>
      <c r="AJU42" s="35">
        <f>AJU41-AJU40</f>
        <v/>
      </c>
      <c r="AJV42" s="35">
        <f>AJV41-AJV40</f>
        <v/>
      </c>
      <c r="AJW42" s="35">
        <f>AJW41-AJW40</f>
        <v/>
      </c>
      <c r="AJX42" s="35">
        <f>AJX41-AJX40</f>
        <v/>
      </c>
      <c r="AJY42" s="35">
        <f>AJY41-AJY40</f>
        <v/>
      </c>
      <c r="AJZ42" s="35">
        <f>AJZ41-AJZ40</f>
        <v/>
      </c>
      <c r="AKA42" s="35">
        <f>AKA41-AKA40</f>
        <v/>
      </c>
      <c r="AKB42" s="35">
        <f>AKB41-AKB40</f>
        <v/>
      </c>
      <c r="AKC42" s="35">
        <f>AKC41-AKC40</f>
        <v/>
      </c>
      <c r="AKD42" s="35">
        <f>AKD41-AKD40</f>
        <v/>
      </c>
      <c r="AKE42" s="35">
        <f>AKE41-AKE40</f>
        <v/>
      </c>
      <c r="AKF42" s="35">
        <f>AKF41-AKF40</f>
        <v/>
      </c>
      <c r="AKG42" s="35">
        <f>AKG41-AKG40</f>
        <v/>
      </c>
      <c r="AKH42" s="35">
        <f>AKH41-AKH40</f>
        <v/>
      </c>
      <c r="AKI42" s="35">
        <f>AKI41-AKI40</f>
        <v/>
      </c>
      <c r="AKJ42" s="35">
        <f>AKJ41-AKJ40</f>
        <v/>
      </c>
      <c r="AKK42" s="35">
        <f>AKK41-AKK40</f>
        <v/>
      </c>
      <c r="AKL42" s="35">
        <f>AKL41-AKL40</f>
        <v/>
      </c>
      <c r="AKM42" s="35">
        <f>AKM41-AKM40</f>
        <v/>
      </c>
      <c r="AKN42" s="127">
        <f>SUM(AJL42:AKM42)</f>
        <v/>
      </c>
      <c r="AKO42" s="35">
        <f>AKO41-AKO40</f>
        <v/>
      </c>
      <c r="AKP42" s="35">
        <f>AKP41-AKP40</f>
        <v/>
      </c>
      <c r="AKQ42" s="35">
        <f>AKQ41-AKQ40</f>
        <v/>
      </c>
      <c r="AKR42" s="35">
        <f>AKR41-AKR40</f>
        <v/>
      </c>
      <c r="AKS42" s="35">
        <f>AKS41-AKS40</f>
        <v/>
      </c>
      <c r="AKT42" s="35">
        <f>AKT41-AKT40</f>
        <v/>
      </c>
      <c r="AKU42" s="35">
        <f>AKU41-AKU40</f>
        <v/>
      </c>
      <c r="AKV42" s="35">
        <f>AKV41-AKV40</f>
        <v/>
      </c>
      <c r="AKW42" s="35">
        <f>AKW41-AKW40</f>
        <v/>
      </c>
      <c r="AKX42" s="35">
        <f>AKX41-AKX40</f>
        <v/>
      </c>
      <c r="AKY42" s="35">
        <f>AKY41-AKY40</f>
        <v/>
      </c>
      <c r="AKZ42" s="35">
        <f>AKZ41-AKZ40</f>
        <v/>
      </c>
      <c r="ALA42" s="35">
        <f>ALA41-ALA40</f>
        <v/>
      </c>
      <c r="ALB42" s="35">
        <f>ALB41-ALB40</f>
        <v/>
      </c>
      <c r="ALC42" s="35">
        <f>ALC41-ALC40</f>
        <v/>
      </c>
      <c r="ALD42" s="35">
        <f>ALD41-ALD40</f>
        <v/>
      </c>
      <c r="ALE42" s="35">
        <f>ALE41-ALE40</f>
        <v/>
      </c>
      <c r="ALF42" s="35">
        <f>ALF41-ALF40</f>
        <v/>
      </c>
      <c r="ALG42" s="35">
        <f>ALG41-ALG40</f>
        <v/>
      </c>
      <c r="ALH42" s="35">
        <f>ALH41-ALH40</f>
        <v/>
      </c>
      <c r="ALI42" s="35">
        <f>ALI41-ALI40</f>
        <v/>
      </c>
      <c r="ALJ42" s="35">
        <f>ALJ41-ALJ40</f>
        <v/>
      </c>
      <c r="ALK42" s="35">
        <f>ALK41-ALK40</f>
        <v/>
      </c>
      <c r="ALL42" s="35">
        <f>ALL41-ALL40</f>
        <v/>
      </c>
      <c r="ALM42" s="35">
        <f>ALM41-ALM40</f>
        <v/>
      </c>
      <c r="ALN42" s="35">
        <f>ALN41-ALN40</f>
        <v/>
      </c>
      <c r="ALO42" s="35">
        <f>ALO41-ALO40</f>
        <v/>
      </c>
      <c r="ALP42" s="35">
        <f>ALP41-ALP40</f>
        <v/>
      </c>
      <c r="ALQ42" s="35">
        <f>ALQ41-ALQ40</f>
        <v/>
      </c>
      <c r="ALR42" s="35">
        <f>ALR41-ALR40</f>
        <v/>
      </c>
      <c r="ALS42" s="35">
        <f>ALS41-ALS40</f>
        <v/>
      </c>
      <c r="ALT42" s="127">
        <f>SUM(AKO42:ALS42)</f>
        <v/>
      </c>
      <c r="ALU42" s="35">
        <f>ALU41-ALU40</f>
        <v/>
      </c>
      <c r="ALV42" s="35">
        <f>ALV41-ALV40</f>
        <v/>
      </c>
      <c r="ALW42" s="35">
        <f>ALW41-ALW40</f>
        <v/>
      </c>
      <c r="ALX42" s="35">
        <f>ALX41-ALX40</f>
        <v/>
      </c>
      <c r="ALY42" s="35">
        <f>ALY41-ALY40</f>
        <v/>
      </c>
      <c r="ALZ42" s="35">
        <f>ALZ41-ALZ40</f>
        <v/>
      </c>
      <c r="AMA42" s="35">
        <f>AMA41-AMA40</f>
        <v/>
      </c>
      <c r="AMB42" s="35">
        <f>AMB41-AMB40</f>
        <v/>
      </c>
      <c r="AMC42" s="35">
        <f>AMC41-AMC40</f>
        <v/>
      </c>
      <c r="AMD42" s="35">
        <f>AMD41-AMD40</f>
        <v/>
      </c>
      <c r="AME42" s="35">
        <f>AME41-AME40</f>
        <v/>
      </c>
      <c r="AMF42" s="35">
        <f>AMF41-AMF40</f>
        <v/>
      </c>
      <c r="AMG42" s="35">
        <f>AMG41-AMG40</f>
        <v/>
      </c>
      <c r="AMH42" s="35">
        <f>AMH41-AMH40</f>
        <v/>
      </c>
      <c r="AMI42" s="35">
        <f>AMI41-AMI40</f>
        <v/>
      </c>
      <c r="AMJ42" s="35">
        <f>AMJ41-AMJ40</f>
        <v/>
      </c>
      <c r="AMK42" s="35">
        <f>AMK41-AMK40</f>
        <v/>
      </c>
      <c r="AML42" s="35">
        <f>AML41-AML40</f>
        <v/>
      </c>
      <c r="AMM42" s="35">
        <f>AMM41-AMM40</f>
        <v/>
      </c>
      <c r="AMN42" s="35">
        <f>AMN41-AMN40</f>
        <v/>
      </c>
      <c r="AMO42" s="35">
        <f>AMO41-AMO40</f>
        <v/>
      </c>
      <c r="AMP42" s="35">
        <f>AMP41-AMP40</f>
        <v/>
      </c>
      <c r="AMQ42" s="35">
        <f>AMQ41-AMQ40</f>
        <v/>
      </c>
      <c r="AMR42" s="35">
        <f>AMR41-AMR40</f>
        <v/>
      </c>
      <c r="AMS42" s="35">
        <f>AMS41-AMS40</f>
        <v/>
      </c>
      <c r="AMT42" s="35">
        <f>AMT41-AMT40</f>
        <v/>
      </c>
      <c r="AMU42" s="35">
        <f>AMU41-AMU40</f>
        <v/>
      </c>
      <c r="AMV42" s="35">
        <f>AMV41-AMV40</f>
        <v/>
      </c>
      <c r="AMW42" s="35">
        <f>AMW41-AMW40</f>
        <v/>
      </c>
      <c r="AMX42" s="35">
        <f>AMX41-AMX40</f>
        <v/>
      </c>
      <c r="AMY42" s="127">
        <f>SUM(ALU42:AMX42)</f>
        <v/>
      </c>
      <c r="AMZ42" s="35">
        <f>AMZ41-AMZ40</f>
        <v/>
      </c>
      <c r="ANA42" s="35">
        <f>ANA41-ANA40</f>
        <v/>
      </c>
      <c r="ANB42" s="35">
        <f>ANB41-ANB40</f>
        <v/>
      </c>
      <c r="ANC42" s="35">
        <f>ANC41-ANC40</f>
        <v/>
      </c>
      <c r="AND42" s="35">
        <f>AND41-AND40</f>
        <v/>
      </c>
      <c r="ANE42" s="35">
        <f>ANE41-ANE40</f>
        <v/>
      </c>
      <c r="ANF42" s="35">
        <f>ANF41-ANF40</f>
        <v/>
      </c>
      <c r="ANG42" s="35">
        <f>ANG41-ANG40</f>
        <v/>
      </c>
      <c r="ANH42" s="35">
        <f>ANH41-ANH40</f>
        <v/>
      </c>
      <c r="ANI42" s="35">
        <f>ANI41-ANI40</f>
        <v/>
      </c>
      <c r="ANJ42" s="35">
        <f>ANJ41-ANJ40</f>
        <v/>
      </c>
      <c r="ANK42" s="35">
        <f>ANK41-ANK40</f>
        <v/>
      </c>
      <c r="ANL42" s="35">
        <f>ANL41-ANL40</f>
        <v/>
      </c>
      <c r="ANM42" s="35">
        <f>ANM41-ANM40</f>
        <v/>
      </c>
      <c r="ANN42" s="35">
        <f>ANN41-ANN40</f>
        <v/>
      </c>
      <c r="ANO42" s="35">
        <f>ANO41-ANO40</f>
        <v/>
      </c>
      <c r="ANP42" s="35">
        <f>ANP41-ANP40</f>
        <v/>
      </c>
      <c r="ANQ42" s="35">
        <f>ANQ41-ANQ40</f>
        <v/>
      </c>
      <c r="ANR42" s="35">
        <f>ANR41-ANR40</f>
        <v/>
      </c>
      <c r="ANS42" s="35">
        <f>ANS41-ANS40</f>
        <v/>
      </c>
      <c r="ANT42" s="35">
        <f>ANT41-ANT40</f>
        <v/>
      </c>
      <c r="ANU42" s="35">
        <f>ANU41-ANU40</f>
        <v/>
      </c>
      <c r="ANV42" s="35">
        <f>ANV41-ANV40</f>
        <v/>
      </c>
      <c r="ANW42" s="35">
        <f>ANW41-ANW40</f>
        <v/>
      </c>
      <c r="ANX42" s="35">
        <f>ANX41-ANX40</f>
        <v/>
      </c>
      <c r="ANY42" s="35">
        <f>ANY41-ANY40</f>
        <v/>
      </c>
      <c r="ANZ42" s="35">
        <f>ANZ41-ANZ40</f>
        <v/>
      </c>
      <c r="AOA42" s="35">
        <f>AOA41-AOA40</f>
        <v/>
      </c>
      <c r="AOB42" s="35">
        <f>AOB41-AOB40</f>
        <v/>
      </c>
      <c r="AOC42" s="35">
        <f>AOC41-AOC40</f>
        <v/>
      </c>
    </row>
    <row r="43">
      <c r="B43" s="36" t="inlineStr">
        <is>
          <t>SHORTAGE/GAIN  VALUE</t>
        </is>
      </c>
      <c r="C43" s="43">
        <f>C42*C8</f>
        <v/>
      </c>
      <c r="D43" s="43">
        <f>D42*D8</f>
        <v/>
      </c>
      <c r="E43" s="43">
        <f>E42*E8</f>
        <v/>
      </c>
      <c r="F43" s="43">
        <f>F42*F8</f>
        <v/>
      </c>
      <c r="G43" s="43">
        <f>G42*G8</f>
        <v/>
      </c>
      <c r="H43" s="43">
        <f>H42*H8</f>
        <v/>
      </c>
      <c r="I43" s="43">
        <f>I42*I8</f>
        <v/>
      </c>
      <c r="J43" s="43">
        <f>J42*J8</f>
        <v/>
      </c>
      <c r="K43" s="43">
        <f>K42*K8</f>
        <v/>
      </c>
      <c r="L43" s="43">
        <f>L42*L8</f>
        <v/>
      </c>
      <c r="M43" s="43">
        <f>M42*M8</f>
        <v/>
      </c>
      <c r="N43" s="43">
        <f>N42*N8</f>
        <v/>
      </c>
      <c r="O43" s="43">
        <f>O42*O8</f>
        <v/>
      </c>
      <c r="P43" s="43">
        <f>P42*P8</f>
        <v/>
      </c>
      <c r="Q43" s="43">
        <f>Q42*Q8</f>
        <v/>
      </c>
      <c r="R43" s="43">
        <f>R42*R8</f>
        <v/>
      </c>
      <c r="S43" s="43">
        <f>S42*S8</f>
        <v/>
      </c>
      <c r="T43" s="43">
        <f>T42*T8</f>
        <v/>
      </c>
      <c r="U43" s="43">
        <f>U42*U8</f>
        <v/>
      </c>
      <c r="V43" s="43">
        <f>V42*V8</f>
        <v/>
      </c>
      <c r="W43" s="43">
        <f>W42*W8</f>
        <v/>
      </c>
      <c r="X43" s="43">
        <f>X42*X8</f>
        <v/>
      </c>
      <c r="Y43" s="43">
        <f>Y42*Y8</f>
        <v/>
      </c>
      <c r="Z43" s="43">
        <f>Z42*Z8</f>
        <v/>
      </c>
      <c r="AA43" s="43">
        <f>AA42*AA8</f>
        <v/>
      </c>
      <c r="AB43" s="43">
        <f>AB42*AB8</f>
        <v/>
      </c>
      <c r="AC43" s="43">
        <f>AC42*AC8</f>
        <v/>
      </c>
      <c r="AD43" s="43">
        <f>AD42*AD8</f>
        <v/>
      </c>
      <c r="AE43" s="43">
        <f>AE42*AE8</f>
        <v/>
      </c>
      <c r="AF43" s="43">
        <f>AF42*AF8</f>
        <v/>
      </c>
      <c r="AG43" s="43">
        <f>AG42*AG8</f>
        <v/>
      </c>
      <c r="AH43" s="94">
        <f>SUM(C43:AG43)</f>
        <v/>
      </c>
      <c r="AI43" s="43">
        <f>AI42*AI8</f>
        <v/>
      </c>
      <c r="AJ43" s="43">
        <f>AJ42*AJ8</f>
        <v/>
      </c>
      <c r="AK43" s="43">
        <f>AK42*AK8</f>
        <v/>
      </c>
      <c r="AL43" s="43">
        <f>AL42*AL8</f>
        <v/>
      </c>
      <c r="AM43" s="43">
        <f>AM42*AM8</f>
        <v/>
      </c>
      <c r="AN43" s="43">
        <f>AN42*AN8</f>
        <v/>
      </c>
      <c r="AO43" s="43">
        <f>AO42*AO8</f>
        <v/>
      </c>
      <c r="AP43" s="43">
        <f>AP42*AP8</f>
        <v/>
      </c>
      <c r="AQ43" s="43">
        <f>AQ42*AQ8</f>
        <v/>
      </c>
      <c r="AR43" s="43">
        <f>AR42*AR8</f>
        <v/>
      </c>
      <c r="AS43" s="43">
        <f>AS42*AS8</f>
        <v/>
      </c>
      <c r="AT43" s="43">
        <f>AT42*AT8</f>
        <v/>
      </c>
      <c r="AU43" s="43">
        <f>AU42*AU8</f>
        <v/>
      </c>
      <c r="AV43" s="43">
        <f>AV42*AV8</f>
        <v/>
      </c>
      <c r="AW43" s="43">
        <f>AW42*AW8</f>
        <v/>
      </c>
      <c r="AX43" s="43">
        <f>AX42*AX8</f>
        <v/>
      </c>
      <c r="AY43" s="43">
        <f>AY42*AY8</f>
        <v/>
      </c>
      <c r="AZ43" s="43">
        <f>AZ42*AZ8</f>
        <v/>
      </c>
      <c r="BA43" s="43">
        <f>BA42*BA8</f>
        <v/>
      </c>
      <c r="BB43" s="43">
        <f>BB42*BB8</f>
        <v/>
      </c>
      <c r="BC43" s="43">
        <f>BC42*BC8</f>
        <v/>
      </c>
      <c r="BD43" s="43">
        <f>BD42*BD8</f>
        <v/>
      </c>
      <c r="BE43" s="43">
        <f>BE42*BE8</f>
        <v/>
      </c>
      <c r="BF43" s="43">
        <f>BF42*BF8</f>
        <v/>
      </c>
      <c r="BG43" s="43">
        <f>BG42*BG8</f>
        <v/>
      </c>
      <c r="BH43" s="43">
        <f>BH42*BH8</f>
        <v/>
      </c>
      <c r="BI43" s="43">
        <f>BI42*BI8</f>
        <v/>
      </c>
      <c r="BJ43" s="43">
        <f>BJ42*BJ8</f>
        <v/>
      </c>
      <c r="BK43" s="43">
        <f>BK42*BK8</f>
        <v/>
      </c>
      <c r="BL43" s="43">
        <f>BL42*BL8</f>
        <v/>
      </c>
      <c r="BM43" s="97">
        <f>SUM(AI43:BL43)</f>
        <v/>
      </c>
      <c r="BN43" s="43">
        <f>BN42*BN8</f>
        <v/>
      </c>
      <c r="BO43" s="43">
        <f>BO42*BO8</f>
        <v/>
      </c>
      <c r="BP43" s="43">
        <f>BP42*BP8</f>
        <v/>
      </c>
      <c r="BQ43" s="43">
        <f>BQ42*BQ8</f>
        <v/>
      </c>
      <c r="BR43" s="43">
        <f>BR42*BR8</f>
        <v/>
      </c>
      <c r="BS43" s="43">
        <f>BS42*BS8</f>
        <v/>
      </c>
      <c r="BT43" s="43">
        <f>BT42*BT8</f>
        <v/>
      </c>
      <c r="BU43" s="43">
        <f>BU42*BU8</f>
        <v/>
      </c>
      <c r="BV43" s="43">
        <f>BV42*BV8</f>
        <v/>
      </c>
      <c r="BW43" s="43">
        <f>BW42*BW8</f>
        <v/>
      </c>
      <c r="BX43" s="43">
        <f>BX42*BX8</f>
        <v/>
      </c>
      <c r="BY43" s="43">
        <f>BY42*BY8</f>
        <v/>
      </c>
      <c r="BZ43" s="43">
        <f>BZ42*BZ8</f>
        <v/>
      </c>
      <c r="CA43" s="43">
        <f>CA42*CA8</f>
        <v/>
      </c>
      <c r="CB43" s="43">
        <f>CB42*CB8</f>
        <v/>
      </c>
      <c r="CC43" s="43">
        <f>CC42*CC8</f>
        <v/>
      </c>
      <c r="CD43" s="43">
        <f>CD42*CD8</f>
        <v/>
      </c>
      <c r="CE43" s="43">
        <f>CE42*CE8</f>
        <v/>
      </c>
      <c r="CF43" s="43">
        <f>CF42*CF8</f>
        <v/>
      </c>
      <c r="CG43" s="43">
        <f>CG42*CG8</f>
        <v/>
      </c>
      <c r="CH43" s="43">
        <f>CH42*CH8</f>
        <v/>
      </c>
      <c r="CI43" s="43">
        <f>CI42*CI8</f>
        <v/>
      </c>
      <c r="CJ43" s="43">
        <f>CJ42*CJ8</f>
        <v/>
      </c>
      <c r="CK43" s="43">
        <f>CK42*CK8</f>
        <v/>
      </c>
      <c r="CL43" s="43">
        <f>CL42*CL8</f>
        <v/>
      </c>
      <c r="CM43" s="43">
        <f>CM42*CM8</f>
        <v/>
      </c>
      <c r="CN43" s="43">
        <f>CN42*CN8</f>
        <v/>
      </c>
      <c r="CO43" s="43">
        <f>CO42*CO8</f>
        <v/>
      </c>
      <c r="CP43" s="43">
        <f>CP42*CP8</f>
        <v/>
      </c>
      <c r="CQ43" s="43">
        <f>CQ42*CQ8</f>
        <v/>
      </c>
      <c r="CR43" s="43">
        <f>CR42*CR8</f>
        <v/>
      </c>
      <c r="CS43" s="111">
        <f>SUM(BN43:CR43)</f>
        <v/>
      </c>
      <c r="CT43" s="43">
        <f>CT42*CT8</f>
        <v/>
      </c>
      <c r="CU43" s="43">
        <f>CU42*CU8</f>
        <v/>
      </c>
      <c r="CV43" s="43">
        <f>CV42*CV8</f>
        <v/>
      </c>
      <c r="CW43" s="43">
        <f>CW42*CW8</f>
        <v/>
      </c>
      <c r="CX43" s="43">
        <f>CX42*CX8</f>
        <v/>
      </c>
      <c r="CY43" s="43">
        <f>CY42*CY8</f>
        <v/>
      </c>
      <c r="CZ43" s="43">
        <f>CZ42*CZ8</f>
        <v/>
      </c>
      <c r="DA43" s="43">
        <f>DA42*DA8</f>
        <v/>
      </c>
      <c r="DB43" s="43">
        <f>DB42*DB8</f>
        <v/>
      </c>
      <c r="DC43" s="43">
        <f>DC42*DC8</f>
        <v/>
      </c>
      <c r="DD43" s="43">
        <f>DD42*DD8</f>
        <v/>
      </c>
      <c r="DE43" s="43">
        <f>DE42*DE8</f>
        <v/>
      </c>
      <c r="DF43" s="43">
        <f>DF42*DF8</f>
        <v/>
      </c>
      <c r="DG43" s="43">
        <f>DG42*DG8</f>
        <v/>
      </c>
      <c r="DH43" s="43">
        <f>DH42*DH8</f>
        <v/>
      </c>
      <c r="DI43" s="43">
        <f>DI42*DI8</f>
        <v/>
      </c>
      <c r="DJ43" s="43">
        <f>DJ42*DJ8</f>
        <v/>
      </c>
      <c r="DK43" s="43">
        <f>DK42*DK8</f>
        <v/>
      </c>
      <c r="DL43" s="43">
        <f>DL42*DL8</f>
        <v/>
      </c>
      <c r="DM43" s="43">
        <f>DM42*DM8</f>
        <v/>
      </c>
      <c r="DN43" s="43">
        <f>DN42*DN8</f>
        <v/>
      </c>
      <c r="DO43" s="43">
        <f>DO42*DO8</f>
        <v/>
      </c>
      <c r="DP43" s="43">
        <f>DP42*DP8</f>
        <v/>
      </c>
      <c r="DQ43" s="43">
        <f>DQ42*DQ8</f>
        <v/>
      </c>
      <c r="DR43" s="43">
        <f>DR42*DR8</f>
        <v/>
      </c>
      <c r="DS43" s="43">
        <f>DS42*DS8</f>
        <v/>
      </c>
      <c r="DT43" s="43">
        <f>DT42*DT8</f>
        <v/>
      </c>
      <c r="DU43" s="43">
        <f>DU42*DU8</f>
        <v/>
      </c>
      <c r="DV43" s="43">
        <f>DV42*DV8</f>
        <v/>
      </c>
      <c r="DW43" s="43">
        <f>DW42*DW8</f>
        <v/>
      </c>
      <c r="DX43" s="119">
        <f>SUM(CT43:DW43)</f>
        <v/>
      </c>
      <c r="DY43" s="43">
        <f>DY42*DY8</f>
        <v/>
      </c>
      <c r="DZ43" s="43">
        <f>DZ42*DZ8</f>
        <v/>
      </c>
      <c r="EA43" s="43">
        <f>EA42*EA8</f>
        <v/>
      </c>
      <c r="EB43" s="43">
        <f>EB42*EB8</f>
        <v/>
      </c>
      <c r="EC43" s="43">
        <f>EC42*EC8</f>
        <v/>
      </c>
      <c r="ED43" s="43">
        <f>ED42*ED8</f>
        <v/>
      </c>
      <c r="EE43" s="43">
        <f>EE42*EE8</f>
        <v/>
      </c>
      <c r="EF43" s="43">
        <f>EF42*EF8</f>
        <v/>
      </c>
      <c r="EG43" s="43">
        <f>EG42*EG8</f>
        <v/>
      </c>
      <c r="EH43" s="43">
        <f>EH42*EH8</f>
        <v/>
      </c>
      <c r="EI43" s="43">
        <f>EI42*EI8</f>
        <v/>
      </c>
      <c r="EJ43" s="43">
        <f>EJ42*EJ8</f>
        <v/>
      </c>
      <c r="EK43" s="43">
        <f>EK42*EK8</f>
        <v/>
      </c>
      <c r="EL43" s="43">
        <f>EL42*EL8</f>
        <v/>
      </c>
      <c r="EM43" s="43">
        <f>EM42*EM8</f>
        <v/>
      </c>
      <c r="EN43" s="43">
        <f>EN42*EN8</f>
        <v/>
      </c>
      <c r="EO43" s="43">
        <f>EO42*EO8</f>
        <v/>
      </c>
      <c r="EP43" s="43">
        <f>EP42*EP8</f>
        <v/>
      </c>
      <c r="EQ43" s="43">
        <f>EQ42*EQ8</f>
        <v/>
      </c>
      <c r="ER43" s="43">
        <f>ER42*ER8</f>
        <v/>
      </c>
      <c r="ES43" s="43">
        <f>ES42*ES8</f>
        <v/>
      </c>
      <c r="ET43" s="43">
        <f>ET42*ET8</f>
        <v/>
      </c>
      <c r="EU43" s="43">
        <f>EU42*EU8</f>
        <v/>
      </c>
      <c r="EV43" s="43">
        <f>EV42*EV8</f>
        <v/>
      </c>
      <c r="EW43" s="43">
        <f>EW42*EW8</f>
        <v/>
      </c>
      <c r="EX43" s="43">
        <f>EX42*EX8</f>
        <v/>
      </c>
      <c r="EY43" s="43">
        <f>EY42*EY8</f>
        <v/>
      </c>
      <c r="EZ43" s="43">
        <f>EZ42*EZ8</f>
        <v/>
      </c>
      <c r="FA43" s="43">
        <f>FA42*FA8</f>
        <v/>
      </c>
      <c r="FB43" s="43">
        <f>FB42*FB8</f>
        <v/>
      </c>
      <c r="FC43" s="43">
        <f>FC42*FC8</f>
        <v/>
      </c>
      <c r="FD43" s="128">
        <f>SUM(DY43:FC43)</f>
        <v/>
      </c>
      <c r="FE43" s="43">
        <f>FE42*FE8</f>
        <v/>
      </c>
      <c r="FF43" s="43">
        <f>FF42*FF8</f>
        <v/>
      </c>
      <c r="FG43" s="43">
        <f>FG42*FG8</f>
        <v/>
      </c>
      <c r="FH43" s="43">
        <f>FH42*FH8</f>
        <v/>
      </c>
      <c r="FI43" s="43">
        <f>FI42*FI8</f>
        <v/>
      </c>
      <c r="FJ43" s="43">
        <f>FJ42*FJ8</f>
        <v/>
      </c>
      <c r="FK43" s="43">
        <f>FK42*FK8</f>
        <v/>
      </c>
      <c r="FL43" s="43">
        <f>FL42*FL8</f>
        <v/>
      </c>
      <c r="FM43" s="43">
        <f>FM42*FM8</f>
        <v/>
      </c>
      <c r="FN43" s="43">
        <f>FN42*FN8</f>
        <v/>
      </c>
      <c r="FO43" s="43">
        <f>FO42*FO8</f>
        <v/>
      </c>
      <c r="FP43" s="43">
        <f>FP42*FP8</f>
        <v/>
      </c>
      <c r="FQ43" s="43">
        <f>FQ42*FQ8</f>
        <v/>
      </c>
      <c r="FR43" s="43">
        <f>FR42*FR8</f>
        <v/>
      </c>
      <c r="FS43" s="43">
        <f>FS42*FS8</f>
        <v/>
      </c>
      <c r="FT43" s="43">
        <f>FT42*FT8</f>
        <v/>
      </c>
      <c r="FU43" s="43">
        <f>FU42*FU8</f>
        <v/>
      </c>
      <c r="FV43" s="43">
        <f>FV42*FV8</f>
        <v/>
      </c>
      <c r="FW43" s="43">
        <f>FW42*FW8</f>
        <v/>
      </c>
      <c r="FX43" s="43">
        <f>FX42*FX8</f>
        <v/>
      </c>
      <c r="FY43" s="43">
        <f>FY42*FY8</f>
        <v/>
      </c>
      <c r="FZ43" s="43">
        <f>FZ42*FZ8</f>
        <v/>
      </c>
      <c r="GA43" s="43">
        <f>GA42*GA8</f>
        <v/>
      </c>
      <c r="GB43" s="43">
        <f>GB42*GB8</f>
        <v/>
      </c>
      <c r="GC43" s="43">
        <f>GC42*GC8</f>
        <v/>
      </c>
      <c r="GD43" s="43">
        <f>GD42*GD8</f>
        <v/>
      </c>
      <c r="GE43" s="43">
        <f>GE42*GE8</f>
        <v/>
      </c>
      <c r="GF43" s="43">
        <f>GF42*GF8</f>
        <v/>
      </c>
      <c r="GG43" s="43">
        <f>GG42*GG8</f>
        <v/>
      </c>
      <c r="GH43" s="43">
        <f>GH42*GH8</f>
        <v/>
      </c>
      <c r="GI43" s="43">
        <f>GI42*GI8</f>
        <v/>
      </c>
      <c r="GJ43" s="127" t="n"/>
      <c r="GK43" s="43">
        <f>GK42*GK8</f>
        <v/>
      </c>
      <c r="GL43" s="43">
        <f>GL42*GL8</f>
        <v/>
      </c>
      <c r="GM43" s="43">
        <f>GM42*GM8</f>
        <v/>
      </c>
      <c r="GN43" s="43">
        <f>GN42*GN8</f>
        <v/>
      </c>
      <c r="GO43" s="43">
        <f>GO42*GO8</f>
        <v/>
      </c>
      <c r="GP43" s="43">
        <f>GP42*GP8</f>
        <v/>
      </c>
      <c r="GQ43" s="43">
        <f>GQ42*GQ8</f>
        <v/>
      </c>
      <c r="GR43" s="43">
        <f>GR42*GR8</f>
        <v/>
      </c>
      <c r="GS43" s="43">
        <f>GS42*GS8</f>
        <v/>
      </c>
      <c r="GT43" s="43">
        <f>GT42*GT8</f>
        <v/>
      </c>
      <c r="GU43" s="43">
        <f>GU42*GU8</f>
        <v/>
      </c>
      <c r="GV43" s="43">
        <f>GV42*GV8</f>
        <v/>
      </c>
      <c r="GW43" s="43">
        <f>GW42*GW8</f>
        <v/>
      </c>
      <c r="GX43" s="43">
        <f>GX42*GX8</f>
        <v/>
      </c>
      <c r="GY43" s="43">
        <f>GY42*GY8</f>
        <v/>
      </c>
      <c r="GZ43" s="43">
        <f>GZ42*GZ8</f>
        <v/>
      </c>
      <c r="HA43" s="43">
        <f>HA42*HA8</f>
        <v/>
      </c>
      <c r="HB43" s="43">
        <f>HB42*HB8</f>
        <v/>
      </c>
      <c r="HC43" s="43">
        <f>HC42*HC8</f>
        <v/>
      </c>
      <c r="HD43" s="43">
        <f>HD42*HD8</f>
        <v/>
      </c>
      <c r="HE43" s="43">
        <f>HE42*HE8</f>
        <v/>
      </c>
      <c r="HF43" s="43">
        <f>HF42*HF8</f>
        <v/>
      </c>
      <c r="HG43" s="43">
        <f>HG42*HG8</f>
        <v/>
      </c>
      <c r="HH43" s="43">
        <f>HH42*HH8</f>
        <v/>
      </c>
      <c r="HI43" s="43">
        <f>HI42*HI8</f>
        <v/>
      </c>
      <c r="HJ43" s="43">
        <f>HJ42*HJ8</f>
        <v/>
      </c>
      <c r="HK43" s="43">
        <f>HK42*HK8</f>
        <v/>
      </c>
      <c r="HL43" s="43">
        <f>HL42*HL8</f>
        <v/>
      </c>
      <c r="HM43" s="43">
        <f>HM42*HM8</f>
        <v/>
      </c>
      <c r="HN43" s="127">
        <f>SUM(GK43:HM43)</f>
        <v/>
      </c>
      <c r="HO43" s="43">
        <f>HO42*HO8</f>
        <v/>
      </c>
      <c r="HP43" s="43">
        <f>HP42*HP8</f>
        <v/>
      </c>
      <c r="HQ43" s="43">
        <f>HQ42*HQ8</f>
        <v/>
      </c>
      <c r="HR43" s="43">
        <f>HR42*HR8</f>
        <v/>
      </c>
      <c r="HS43" s="43">
        <f>HS42*HS8</f>
        <v/>
      </c>
      <c r="HT43" s="43">
        <f>HT42*HT8</f>
        <v/>
      </c>
      <c r="HU43" s="43">
        <f>HU42*HU8</f>
        <v/>
      </c>
      <c r="HV43" s="43">
        <f>HV42*HV8</f>
        <v/>
      </c>
      <c r="HW43" s="43">
        <f>HW42*HW8</f>
        <v/>
      </c>
      <c r="HX43" s="43">
        <f>HX42*HX8</f>
        <v/>
      </c>
      <c r="HY43" s="43">
        <f>HY42*HY8</f>
        <v/>
      </c>
      <c r="HZ43" s="43">
        <f>HZ42*HZ8</f>
        <v/>
      </c>
      <c r="IA43" s="43">
        <f>IA42*IA8</f>
        <v/>
      </c>
      <c r="IB43" s="43">
        <f>IB42*IB8</f>
        <v/>
      </c>
      <c r="IC43" s="43">
        <f>IC42*IC8</f>
        <v/>
      </c>
      <c r="ID43" s="43">
        <f>ID42*ID8</f>
        <v/>
      </c>
      <c r="IE43" s="43">
        <f>IE42*IE8</f>
        <v/>
      </c>
      <c r="IF43" s="43">
        <f>IF42*IF8</f>
        <v/>
      </c>
      <c r="IG43" s="43">
        <f>IG42*IG8</f>
        <v/>
      </c>
      <c r="IH43" s="43">
        <f>IH42*IH8</f>
        <v/>
      </c>
      <c r="II43" s="43">
        <f>II42*II8</f>
        <v/>
      </c>
      <c r="IJ43" s="43">
        <f>IJ42*IJ8</f>
        <v/>
      </c>
      <c r="IK43" s="43">
        <f>IK42*IK8</f>
        <v/>
      </c>
      <c r="IL43" s="43">
        <f>IL42*IL8</f>
        <v/>
      </c>
      <c r="IM43" s="43">
        <f>IM42*IM8</f>
        <v/>
      </c>
      <c r="IN43" s="43">
        <f>IN42*IN8</f>
        <v/>
      </c>
      <c r="IO43" s="43">
        <f>IO42*IO8</f>
        <v/>
      </c>
      <c r="IP43" s="43">
        <f>IP42*IP8</f>
        <v/>
      </c>
      <c r="IQ43" s="43">
        <f>IQ42*IQ8</f>
        <v/>
      </c>
      <c r="IR43" s="43">
        <f>IR42*IR8</f>
        <v/>
      </c>
      <c r="IS43" s="43">
        <f>IS42*IS8</f>
        <v/>
      </c>
      <c r="IT43" s="127">
        <f>SUM(HO43:IS43)</f>
        <v/>
      </c>
      <c r="IU43" s="43">
        <f>IU42*IU8</f>
        <v/>
      </c>
      <c r="IV43" s="43">
        <f>IV42*IV8</f>
        <v/>
      </c>
      <c r="IW43" s="43">
        <f>IW42*IW8</f>
        <v/>
      </c>
      <c r="IX43" s="43">
        <f>IX42*IX8</f>
        <v/>
      </c>
      <c r="IY43" s="43">
        <f>IY42*IY8</f>
        <v/>
      </c>
      <c r="IZ43" s="43">
        <f>IZ42*IZ8</f>
        <v/>
      </c>
      <c r="JA43" s="43">
        <f>JA42*JA8</f>
        <v/>
      </c>
      <c r="JB43" s="43">
        <f>JB42*JB8</f>
        <v/>
      </c>
      <c r="JC43" s="43">
        <f>JC42*JC8</f>
        <v/>
      </c>
      <c r="JD43" s="43">
        <f>JD42*JD8</f>
        <v/>
      </c>
      <c r="JE43" s="43">
        <f>JE42*JE8</f>
        <v/>
      </c>
      <c r="JF43" s="43">
        <f>JF42*JF8</f>
        <v/>
      </c>
      <c r="JG43" s="43">
        <f>JG42*JG8</f>
        <v/>
      </c>
      <c r="JH43" s="43">
        <f>JH42*JH8</f>
        <v/>
      </c>
      <c r="JI43" s="43">
        <f>JI42*JI8</f>
        <v/>
      </c>
      <c r="JJ43" s="43">
        <f>JJ42*JJ8</f>
        <v/>
      </c>
      <c r="JK43" s="43">
        <f>JK42*JK8</f>
        <v/>
      </c>
      <c r="JL43" s="43">
        <f>JL42*JL8</f>
        <v/>
      </c>
      <c r="JM43" s="43">
        <f>JM42*JM8</f>
        <v/>
      </c>
      <c r="JN43" s="43">
        <f>JN42*JN8</f>
        <v/>
      </c>
      <c r="JO43" s="43">
        <f>JO42*JO8</f>
        <v/>
      </c>
      <c r="JP43" s="43">
        <f>JP42*JP8</f>
        <v/>
      </c>
      <c r="JQ43" s="43">
        <f>JQ42*JQ8</f>
        <v/>
      </c>
      <c r="JR43" s="43">
        <f>JR42*JR8</f>
        <v/>
      </c>
      <c r="JS43" s="43">
        <f>JS42*JS8</f>
        <v/>
      </c>
      <c r="JT43" s="43">
        <f>JT42*JT8</f>
        <v/>
      </c>
      <c r="JU43" s="43">
        <f>JU42*JU8</f>
        <v/>
      </c>
      <c r="JV43" s="43">
        <f>JV42*JV8</f>
        <v/>
      </c>
      <c r="JW43" s="43">
        <f>JW42*JW8</f>
        <v/>
      </c>
      <c r="JX43" s="43">
        <f>JX42*JX8</f>
        <v/>
      </c>
      <c r="JY43" s="127">
        <f>SUM(IU43:JX43)</f>
        <v/>
      </c>
      <c r="JZ43" s="43">
        <f>JZ42*JZ8</f>
        <v/>
      </c>
      <c r="KA43" s="43">
        <f>KA42*KA8</f>
        <v/>
      </c>
      <c r="KB43" s="43">
        <f>KB42*KB8</f>
        <v/>
      </c>
      <c r="KC43" s="43">
        <f>KC42*KC8</f>
        <v/>
      </c>
      <c r="KD43" s="43">
        <f>KD42*KD8</f>
        <v/>
      </c>
      <c r="KE43" s="43">
        <f>KE42*KE8</f>
        <v/>
      </c>
      <c r="KF43" s="43">
        <f>KF42*KF8</f>
        <v/>
      </c>
      <c r="KG43" s="43">
        <f>KG42*KG8</f>
        <v/>
      </c>
      <c r="KH43" s="43">
        <f>KH42*KH8</f>
        <v/>
      </c>
      <c r="KI43" s="43">
        <f>KI42*KI8</f>
        <v/>
      </c>
      <c r="KJ43" s="43">
        <f>KJ42*KJ8</f>
        <v/>
      </c>
      <c r="KK43" s="43">
        <f>KK42*KK8</f>
        <v/>
      </c>
      <c r="KL43" s="43">
        <f>KL42*KL8</f>
        <v/>
      </c>
      <c r="KM43" s="43">
        <f>KM42*KM8</f>
        <v/>
      </c>
      <c r="KN43" s="43">
        <f>KN42*KN8</f>
        <v/>
      </c>
      <c r="KO43" s="43">
        <f>KO42*KO8</f>
        <v/>
      </c>
      <c r="KP43" s="43">
        <f>KP42*KP8</f>
        <v/>
      </c>
      <c r="KQ43" s="43">
        <f>KQ42*KQ8</f>
        <v/>
      </c>
      <c r="KR43" s="43">
        <f>KR42*KR8</f>
        <v/>
      </c>
      <c r="KS43" s="43">
        <f>KS42*KS8</f>
        <v/>
      </c>
      <c r="KT43" s="43">
        <f>KT42*KT8</f>
        <v/>
      </c>
      <c r="KU43" s="43">
        <f>KU42*KU8</f>
        <v/>
      </c>
      <c r="KV43" s="43">
        <f>KV42*KV8</f>
        <v/>
      </c>
      <c r="KW43" s="43">
        <f>KW42*KW8</f>
        <v/>
      </c>
      <c r="KX43" s="43">
        <f>KX42*KX8</f>
        <v/>
      </c>
      <c r="KY43" s="43">
        <f>KY42*KY8</f>
        <v/>
      </c>
      <c r="KZ43" s="43">
        <f>KZ42*KZ8</f>
        <v/>
      </c>
      <c r="LA43" s="43">
        <f>LA42*LA8</f>
        <v/>
      </c>
      <c r="LB43" s="43">
        <f>LB42*LB8</f>
        <v/>
      </c>
      <c r="LC43" s="43">
        <f>LC42*LC8</f>
        <v/>
      </c>
      <c r="LD43" s="43">
        <f>LD42*LD8</f>
        <v/>
      </c>
      <c r="LE43" s="127">
        <f>SUM(KA43:LD43)</f>
        <v/>
      </c>
      <c r="LF43" s="43">
        <f>LF42*LF8</f>
        <v/>
      </c>
      <c r="LG43" s="43">
        <f>LG42*LG8</f>
        <v/>
      </c>
      <c r="LH43" s="43">
        <f>LH42*LH8</f>
        <v/>
      </c>
      <c r="LI43" s="43">
        <f>LI42*LI8</f>
        <v/>
      </c>
      <c r="LJ43" s="43">
        <f>LJ42*LJ8</f>
        <v/>
      </c>
      <c r="LK43" s="43">
        <f>LK42*LK8</f>
        <v/>
      </c>
      <c r="LL43" s="43">
        <f>LL42*LL8</f>
        <v/>
      </c>
      <c r="LM43" s="43">
        <f>LM42*LM8</f>
        <v/>
      </c>
      <c r="LN43" s="43">
        <f>LN42*LN8</f>
        <v/>
      </c>
      <c r="LO43" s="43">
        <f>LO42*LO8</f>
        <v/>
      </c>
      <c r="LP43" s="43">
        <f>LP42*LP8</f>
        <v/>
      </c>
      <c r="LQ43" s="43">
        <f>LQ42*LQ8</f>
        <v/>
      </c>
      <c r="LR43" s="43">
        <f>LR42*LR8</f>
        <v/>
      </c>
      <c r="LS43" s="43">
        <f>LS42*LS8</f>
        <v/>
      </c>
      <c r="LT43" s="43">
        <f>LT42*LT8</f>
        <v/>
      </c>
      <c r="LU43" s="43">
        <f>LU42*LU8</f>
        <v/>
      </c>
      <c r="LV43" s="43">
        <f>LV42*LV8</f>
        <v/>
      </c>
      <c r="LW43" s="43">
        <f>LW42*LW8</f>
        <v/>
      </c>
      <c r="LX43" s="43">
        <f>LX42*LX8</f>
        <v/>
      </c>
      <c r="LY43" s="43">
        <f>LY42*LY8</f>
        <v/>
      </c>
      <c r="LZ43" s="43">
        <f>LZ42*LZ8</f>
        <v/>
      </c>
      <c r="MA43" s="43">
        <f>MA42*MA8</f>
        <v/>
      </c>
      <c r="MB43" s="43">
        <f>MB42*MB8</f>
        <v/>
      </c>
      <c r="MC43" s="43">
        <f>MC42*MC8</f>
        <v/>
      </c>
      <c r="MD43" s="43">
        <f>MD42*MD8</f>
        <v/>
      </c>
      <c r="ME43" s="43">
        <f>ME42*ME8</f>
        <v/>
      </c>
      <c r="MF43" s="43">
        <f>MF42*MF8</f>
        <v/>
      </c>
      <c r="MG43" s="43">
        <f>MG42*MG8</f>
        <v/>
      </c>
      <c r="MH43" s="43">
        <f>MH42*MH8</f>
        <v/>
      </c>
      <c r="MI43" s="43">
        <f>MI42*MI8</f>
        <v/>
      </c>
      <c r="MJ43" s="127">
        <f>SUM(LF43:MI43)</f>
        <v/>
      </c>
      <c r="MK43" s="43">
        <f>MK42*MK8</f>
        <v/>
      </c>
      <c r="ML43" s="43">
        <f>ML42*ML8</f>
        <v/>
      </c>
      <c r="MM43" s="43">
        <f>MM42*MM8</f>
        <v/>
      </c>
      <c r="MN43" s="43">
        <f>MN42*MN8</f>
        <v/>
      </c>
      <c r="MO43" s="43">
        <f>MO42*MO8</f>
        <v/>
      </c>
      <c r="MP43" s="43">
        <f>MP42*MP8</f>
        <v/>
      </c>
      <c r="MQ43" s="43">
        <f>MQ42*MQ8</f>
        <v/>
      </c>
      <c r="MR43" s="43">
        <f>MR42*MR8</f>
        <v/>
      </c>
      <c r="MS43" s="43">
        <f>MS42*MS8</f>
        <v/>
      </c>
      <c r="MT43" s="43">
        <f>MT42*MT8</f>
        <v/>
      </c>
      <c r="MU43" s="43">
        <f>MU42*MU8</f>
        <v/>
      </c>
      <c r="MV43" s="43">
        <f>MV42*MV8</f>
        <v/>
      </c>
      <c r="MW43" s="43">
        <f>MW42*MW8</f>
        <v/>
      </c>
      <c r="MX43" s="43">
        <f>MX42*MX8</f>
        <v/>
      </c>
      <c r="MY43" s="43">
        <f>MY42*MY8</f>
        <v/>
      </c>
      <c r="MZ43" s="43">
        <f>MZ42*MZ8</f>
        <v/>
      </c>
      <c r="NA43" s="43">
        <f>NA42*NA8</f>
        <v/>
      </c>
      <c r="NB43" s="43">
        <f>NB42*NB8</f>
        <v/>
      </c>
      <c r="NC43" s="43">
        <f>NC42*NC8</f>
        <v/>
      </c>
      <c r="ND43" s="43">
        <f>ND42*ND8</f>
        <v/>
      </c>
      <c r="NE43" s="43">
        <f>NE42*NE8</f>
        <v/>
      </c>
      <c r="NF43" s="43">
        <f>NF42*NF8</f>
        <v/>
      </c>
      <c r="NG43" s="43">
        <f>NG42*NG8</f>
        <v/>
      </c>
      <c r="NH43" s="43">
        <f>NH42*NH8</f>
        <v/>
      </c>
      <c r="NI43" s="43">
        <f>NI42*NI8</f>
        <v/>
      </c>
      <c r="NJ43" s="43">
        <f>NJ42*NJ8</f>
        <v/>
      </c>
      <c r="NK43" s="43">
        <f>NK42*NK8</f>
        <v/>
      </c>
      <c r="NL43" s="43">
        <f>NL42*NL8</f>
        <v/>
      </c>
      <c r="NM43" s="43">
        <f>NM42*NM8</f>
        <v/>
      </c>
      <c r="NN43" s="43">
        <f>NN42*NN8</f>
        <v/>
      </c>
      <c r="NO43" s="43">
        <f>NO42*NO8</f>
        <v/>
      </c>
      <c r="NP43" s="127">
        <f>SUM(ML43:NO43)</f>
        <v/>
      </c>
      <c r="NQ43" s="43">
        <f>NQ42*NQ8</f>
        <v/>
      </c>
      <c r="NR43" s="43">
        <f>NR42*NR8</f>
        <v/>
      </c>
      <c r="NS43" s="43">
        <f>NS42*NS8</f>
        <v/>
      </c>
      <c r="NT43" s="43">
        <f>NT42*NT8</f>
        <v/>
      </c>
      <c r="NU43" s="43">
        <f>NU42*NU8</f>
        <v/>
      </c>
      <c r="NV43" s="43">
        <f>NV42*NV8</f>
        <v/>
      </c>
      <c r="NW43" s="43">
        <f>NW42*NW8</f>
        <v/>
      </c>
      <c r="NX43" s="43">
        <f>NX42*NX8</f>
        <v/>
      </c>
      <c r="NY43" s="43">
        <f>NY42*NY8</f>
        <v/>
      </c>
      <c r="NZ43" s="43">
        <f>NZ42*NZ8</f>
        <v/>
      </c>
      <c r="OA43" s="43">
        <f>OA42*OA8</f>
        <v/>
      </c>
      <c r="OB43" s="43">
        <f>OB42*OB8</f>
        <v/>
      </c>
      <c r="OC43" s="43">
        <f>OC42*OC8</f>
        <v/>
      </c>
      <c r="OD43" s="43">
        <f>OD42*OD8</f>
        <v/>
      </c>
      <c r="OE43" s="43">
        <f>OE42*OE8</f>
        <v/>
      </c>
      <c r="OF43" s="43">
        <f>OF42*OF8</f>
        <v/>
      </c>
      <c r="OG43" s="43">
        <f>OG42*OG8</f>
        <v/>
      </c>
      <c r="OH43" s="43">
        <f>OH42*OH8</f>
        <v/>
      </c>
      <c r="OI43" s="43">
        <f>OI42*OI8</f>
        <v/>
      </c>
      <c r="OJ43" s="43">
        <f>OJ42*OJ8</f>
        <v/>
      </c>
      <c r="OK43" s="43">
        <f>OK42*OK8</f>
        <v/>
      </c>
      <c r="OL43" s="43">
        <f>OL42*OL8</f>
        <v/>
      </c>
      <c r="OM43" s="43">
        <f>OM42*OM8</f>
        <v/>
      </c>
      <c r="ON43" s="43">
        <f>ON42*ON8</f>
        <v/>
      </c>
      <c r="OO43" s="43">
        <f>OO42*OO8</f>
        <v/>
      </c>
      <c r="OP43" s="43">
        <f>OP42*OP8</f>
        <v/>
      </c>
      <c r="OQ43" s="43">
        <f>OQ42*OQ8</f>
        <v/>
      </c>
      <c r="OR43" s="43">
        <f>OR42*OR8</f>
        <v/>
      </c>
      <c r="OS43" s="43">
        <f>OS42*OS8</f>
        <v/>
      </c>
      <c r="OT43" s="43">
        <f>OT42*OT8</f>
        <v/>
      </c>
      <c r="OU43" s="43">
        <f>OU42*OU8</f>
        <v/>
      </c>
      <c r="OV43" s="127">
        <f>SUM(NR43:OU43)</f>
        <v/>
      </c>
      <c r="OW43" s="43">
        <f>OW42*OW8</f>
        <v/>
      </c>
      <c r="OX43" s="43">
        <f>OX42*OX8</f>
        <v/>
      </c>
      <c r="OY43" s="43">
        <f>OY42*OY8</f>
        <v/>
      </c>
      <c r="OZ43" s="43">
        <f>OZ42*OZ8</f>
        <v/>
      </c>
      <c r="PA43" s="43">
        <f>PA42*PA8</f>
        <v/>
      </c>
      <c r="PB43" s="43">
        <f>PB42*PB8</f>
        <v/>
      </c>
      <c r="PC43" s="43">
        <f>PC42*PC8</f>
        <v/>
      </c>
      <c r="PD43" s="43">
        <f>PD42*PD8</f>
        <v/>
      </c>
      <c r="PE43" s="43">
        <f>PE42*PE8</f>
        <v/>
      </c>
      <c r="PF43" s="43">
        <f>PF42*PF8</f>
        <v/>
      </c>
      <c r="PG43" s="43">
        <f>PG42*PG8</f>
        <v/>
      </c>
      <c r="PH43" s="43">
        <f>PH42*PH8</f>
        <v/>
      </c>
      <c r="PI43" s="43">
        <f>PI42*PI8</f>
        <v/>
      </c>
      <c r="PJ43" s="43">
        <f>PJ42*PJ8</f>
        <v/>
      </c>
      <c r="PK43" s="43">
        <f>PK42*PK8</f>
        <v/>
      </c>
      <c r="PL43" s="43">
        <f>PL42*PL8</f>
        <v/>
      </c>
      <c r="PM43" s="43">
        <f>PM42*PM8</f>
        <v/>
      </c>
      <c r="PN43" s="43">
        <f>PN42*PN8</f>
        <v/>
      </c>
      <c r="PO43" s="43">
        <f>PO42*PO8</f>
        <v/>
      </c>
      <c r="PP43" s="43">
        <f>PP42*PP8</f>
        <v/>
      </c>
      <c r="PQ43" s="43">
        <f>PQ42*PQ8</f>
        <v/>
      </c>
      <c r="PR43" s="43">
        <f>PR42*PR8</f>
        <v/>
      </c>
      <c r="PS43" s="43">
        <f>PS42*PS8</f>
        <v/>
      </c>
      <c r="PT43" s="43">
        <f>PT42*PT8</f>
        <v/>
      </c>
      <c r="PU43" s="43">
        <f>PU42*PU8</f>
        <v/>
      </c>
      <c r="PV43" s="43">
        <f>PV42*PV8</f>
        <v/>
      </c>
      <c r="PW43" s="43">
        <f>PW42*PW8</f>
        <v/>
      </c>
      <c r="PX43" s="43">
        <f>PX42*PX8</f>
        <v/>
      </c>
      <c r="PY43" s="43">
        <f>PY42*PY8</f>
        <v/>
      </c>
      <c r="PZ43" s="43">
        <f>PZ42*PZ8</f>
        <v/>
      </c>
      <c r="QA43" s="127">
        <f>SUM(OW43:PZ43)</f>
        <v/>
      </c>
      <c r="QB43" s="43">
        <f>QB42*QB8</f>
        <v/>
      </c>
      <c r="QC43" s="43">
        <f>QC42*QC8</f>
        <v/>
      </c>
      <c r="QD43" s="43">
        <f>QD42*QD8</f>
        <v/>
      </c>
      <c r="QE43" s="43">
        <f>QE42*QE8</f>
        <v/>
      </c>
      <c r="QF43" s="43">
        <f>QF42*QF8</f>
        <v/>
      </c>
      <c r="QG43" s="43">
        <f>QG42*QG8</f>
        <v/>
      </c>
      <c r="QH43" s="43">
        <f>QH42*QH8</f>
        <v/>
      </c>
      <c r="QI43" s="43">
        <f>QI42*QI8</f>
        <v/>
      </c>
      <c r="QJ43" s="43">
        <f>QJ42*QJ8</f>
        <v/>
      </c>
      <c r="QK43" s="43">
        <f>QK42*QK8</f>
        <v/>
      </c>
      <c r="QL43" s="43">
        <f>QL42*QL8</f>
        <v/>
      </c>
      <c r="QM43" s="43">
        <f>QM42*QM8</f>
        <v/>
      </c>
      <c r="QN43" s="43">
        <f>QN42*QN8</f>
        <v/>
      </c>
      <c r="QO43" s="43">
        <f>QO42*QO8</f>
        <v/>
      </c>
      <c r="QP43" s="43">
        <f>QP42*QP8</f>
        <v/>
      </c>
      <c r="QQ43" s="43">
        <f>QQ42*QQ8</f>
        <v/>
      </c>
      <c r="QR43" s="43">
        <f>QR42*QR8</f>
        <v/>
      </c>
      <c r="QS43" s="43">
        <f>QS42*QS8</f>
        <v/>
      </c>
      <c r="QT43" s="43">
        <f>QT42*QT8</f>
        <v/>
      </c>
      <c r="QU43" s="43">
        <f>QU42*QU8</f>
        <v/>
      </c>
      <c r="QV43" s="43">
        <f>QV42*QV8</f>
        <v/>
      </c>
      <c r="QW43" s="43">
        <f>QW42*QW8</f>
        <v/>
      </c>
      <c r="QX43" s="43">
        <f>QX42*QX8</f>
        <v/>
      </c>
      <c r="QY43" s="43">
        <f>QY42*QY8</f>
        <v/>
      </c>
      <c r="QZ43" s="43">
        <f>QZ42*QZ8</f>
        <v/>
      </c>
      <c r="RA43" s="43">
        <f>RA42*RA8</f>
        <v/>
      </c>
      <c r="RB43" s="43">
        <f>RB42*RB8</f>
        <v/>
      </c>
      <c r="RC43" s="43">
        <f>RC42*RC8</f>
        <v/>
      </c>
      <c r="RD43" s="43">
        <f>RD42*RD8</f>
        <v/>
      </c>
      <c r="RE43" s="43">
        <f>RE42*RE8</f>
        <v/>
      </c>
      <c r="RF43" s="43">
        <f>RF42*RF8</f>
        <v/>
      </c>
      <c r="RG43" s="127">
        <f>SUM(QC43:RF43)</f>
        <v/>
      </c>
      <c r="RH43" s="43">
        <f>RH42*RH8</f>
        <v/>
      </c>
      <c r="RI43" s="43">
        <f>RI42*RI8</f>
        <v/>
      </c>
      <c r="RJ43" s="43">
        <f>RJ42*RJ8</f>
        <v/>
      </c>
      <c r="RK43" s="43">
        <f>RK42*RK8</f>
        <v/>
      </c>
      <c r="RL43" s="43">
        <f>RL42*RL8</f>
        <v/>
      </c>
      <c r="RM43" s="43">
        <f>RM42*RM8</f>
        <v/>
      </c>
      <c r="RN43" s="43">
        <f>RN42*RN8</f>
        <v/>
      </c>
      <c r="RO43" s="43">
        <f>RO42*RO8</f>
        <v/>
      </c>
      <c r="RP43" s="43">
        <f>RP42*RP8</f>
        <v/>
      </c>
      <c r="RQ43" s="43">
        <f>RQ42*RQ8</f>
        <v/>
      </c>
      <c r="RR43" s="43">
        <f>RR42*RR8</f>
        <v/>
      </c>
      <c r="RS43" s="43">
        <f>RS42*RS8</f>
        <v/>
      </c>
      <c r="RT43" s="43">
        <f>RT42*RT8</f>
        <v/>
      </c>
      <c r="RU43" s="43">
        <f>RU42*RU8</f>
        <v/>
      </c>
      <c r="RV43" s="43">
        <f>RV42*RV8</f>
        <v/>
      </c>
      <c r="RW43" s="43">
        <f>RW42*RW8</f>
        <v/>
      </c>
      <c r="RX43" s="43">
        <f>RX42*RX8</f>
        <v/>
      </c>
      <c r="RY43" s="43">
        <f>RY42*RY8</f>
        <v/>
      </c>
      <c r="RZ43" s="43">
        <f>RZ42*RZ8</f>
        <v/>
      </c>
      <c r="SA43" s="43">
        <f>SA42*SA8</f>
        <v/>
      </c>
      <c r="SB43" s="43">
        <f>SB42*SB8</f>
        <v/>
      </c>
      <c r="SC43" s="43">
        <f>SC42*SC8</f>
        <v/>
      </c>
      <c r="SD43" s="43">
        <f>SD42*SD8</f>
        <v/>
      </c>
      <c r="SE43" s="43">
        <f>SE42*SE8</f>
        <v/>
      </c>
      <c r="SF43" s="43">
        <f>SF42*SF8</f>
        <v/>
      </c>
      <c r="SG43" s="43">
        <f>SG42*SG8</f>
        <v/>
      </c>
      <c r="SH43" s="43">
        <f>SH42*SH8</f>
        <v/>
      </c>
      <c r="SI43" s="43">
        <f>SI42*SI8</f>
        <v/>
      </c>
      <c r="SJ43" s="43">
        <f>SJ42*SJ8</f>
        <v/>
      </c>
      <c r="SK43" s="43">
        <f>SK42*SK8</f>
        <v/>
      </c>
      <c r="SL43" s="127">
        <f>SUM(RH43:SK43)</f>
        <v/>
      </c>
      <c r="SM43" s="43">
        <f>SM42*SM8</f>
        <v/>
      </c>
      <c r="SN43" s="43">
        <f>SN42*SN8</f>
        <v/>
      </c>
      <c r="SO43" s="43">
        <f>SO42*SO8</f>
        <v/>
      </c>
      <c r="SP43" s="43">
        <f>SP42*SP8</f>
        <v/>
      </c>
      <c r="SQ43" s="43">
        <f>SQ42*SQ8</f>
        <v/>
      </c>
      <c r="SR43" s="43">
        <f>SR42*SR8</f>
        <v/>
      </c>
      <c r="SS43" s="43">
        <f>SS42*SS8</f>
        <v/>
      </c>
      <c r="ST43" s="43">
        <f>ST42*ST8</f>
        <v/>
      </c>
      <c r="SU43" s="43">
        <f>SU42*SU8</f>
        <v/>
      </c>
      <c r="SV43" s="43">
        <f>SV42*SV8</f>
        <v/>
      </c>
      <c r="SW43" s="43">
        <f>SW42*SW8</f>
        <v/>
      </c>
      <c r="SX43" s="43">
        <f>SX42*SX8</f>
        <v/>
      </c>
      <c r="SY43" s="43">
        <f>SY42*SY8</f>
        <v/>
      </c>
      <c r="SZ43" s="43">
        <f>SZ42*SZ8</f>
        <v/>
      </c>
      <c r="TA43" s="43">
        <f>TA42*TA8</f>
        <v/>
      </c>
      <c r="TB43" s="43">
        <f>TB42*TB8</f>
        <v/>
      </c>
      <c r="TC43" s="43">
        <f>TC42*TC8</f>
        <v/>
      </c>
      <c r="TD43" s="43">
        <f>TD42*TD8</f>
        <v/>
      </c>
      <c r="TE43" s="43">
        <f>TE42*TE8</f>
        <v/>
      </c>
      <c r="TF43" s="43">
        <f>TF42*TF8</f>
        <v/>
      </c>
      <c r="TG43" s="43">
        <f>TG42*TG8</f>
        <v/>
      </c>
      <c r="TH43" s="43">
        <f>TH42*TH8</f>
        <v/>
      </c>
      <c r="TI43" s="43">
        <f>TI42*TI8</f>
        <v/>
      </c>
      <c r="TJ43" s="43">
        <f>TJ42*TJ8</f>
        <v/>
      </c>
      <c r="TK43" s="43">
        <f>TK42*TK8</f>
        <v/>
      </c>
      <c r="TL43" s="43">
        <f>TL42*TL8</f>
        <v/>
      </c>
      <c r="TM43" s="43">
        <f>TM42*TM8</f>
        <v/>
      </c>
      <c r="TN43" s="43">
        <f>TN42*TN8</f>
        <v/>
      </c>
      <c r="TO43" s="43">
        <f>TO42*TO8</f>
        <v/>
      </c>
      <c r="TP43" s="43">
        <f>TP42*TP8</f>
        <v/>
      </c>
      <c r="TQ43" s="43">
        <f>TQ42*TQ8</f>
        <v/>
      </c>
      <c r="TR43" s="127">
        <f>SUM(SN43:TQ43)</f>
        <v/>
      </c>
      <c r="TS43" s="43">
        <f>TS42*TS8</f>
        <v/>
      </c>
      <c r="TT43" s="43">
        <f>TT42*TT8</f>
        <v/>
      </c>
      <c r="TU43" s="43">
        <f>TU42*TU8</f>
        <v/>
      </c>
      <c r="TV43" s="43">
        <f>TV42*TV8</f>
        <v/>
      </c>
      <c r="TW43" s="43">
        <f>TW42*TW8</f>
        <v/>
      </c>
      <c r="TX43" s="43">
        <f>TX42*TX8</f>
        <v/>
      </c>
      <c r="TY43" s="43">
        <f>TY42*TY8</f>
        <v/>
      </c>
      <c r="TZ43" s="43">
        <f>TZ42*TZ8</f>
        <v/>
      </c>
      <c r="UA43" s="43">
        <f>UA42*UA8</f>
        <v/>
      </c>
      <c r="UB43" s="43">
        <f>UB42*UB8</f>
        <v/>
      </c>
      <c r="UC43" s="43">
        <f>UC42*UC8</f>
        <v/>
      </c>
      <c r="UD43" s="43">
        <f>UD42*UD8</f>
        <v/>
      </c>
      <c r="UE43" s="43">
        <f>UE42*UE8</f>
        <v/>
      </c>
      <c r="UF43" s="43">
        <f>UF42*UF8</f>
        <v/>
      </c>
      <c r="UG43" s="43">
        <f>UG42*UG8</f>
        <v/>
      </c>
      <c r="UH43" s="43">
        <f>UH42*UH8</f>
        <v/>
      </c>
      <c r="UI43" s="43">
        <f>UI42*UI8</f>
        <v/>
      </c>
      <c r="UJ43" s="43">
        <f>UJ42*UJ8</f>
        <v/>
      </c>
      <c r="UK43" s="43">
        <f>UK42*UK8</f>
        <v/>
      </c>
      <c r="UL43" s="43">
        <f>UL42*UL8</f>
        <v/>
      </c>
      <c r="UM43" s="43">
        <f>UM42*UM8</f>
        <v/>
      </c>
      <c r="UN43" s="43">
        <f>UN42*UN8</f>
        <v/>
      </c>
      <c r="UO43" s="43">
        <f>UO42*UO8</f>
        <v/>
      </c>
      <c r="UP43" s="43">
        <f>UP42*UP8</f>
        <v/>
      </c>
      <c r="UQ43" s="43">
        <f>UQ42*UQ8</f>
        <v/>
      </c>
      <c r="UR43" s="43">
        <f>UR42*UR8</f>
        <v/>
      </c>
      <c r="US43" s="43">
        <f>US42*US8</f>
        <v/>
      </c>
      <c r="UT43" s="43">
        <f>UT42*UT8</f>
        <v/>
      </c>
      <c r="UU43" s="43">
        <f>UU42*UU8</f>
        <v/>
      </c>
      <c r="UV43" s="43">
        <f>UV42*UV8</f>
        <v/>
      </c>
      <c r="UW43" s="43">
        <f>UW42*UW8</f>
        <v/>
      </c>
      <c r="UX43" s="127">
        <f>SUM(TT43:UW43)</f>
        <v/>
      </c>
      <c r="UY43" s="43">
        <f>UY42*UY8</f>
        <v/>
      </c>
      <c r="UZ43" s="43">
        <f>UZ42*UZ8</f>
        <v/>
      </c>
      <c r="VA43" s="43">
        <f>VA42*VA8</f>
        <v/>
      </c>
      <c r="VB43" s="43">
        <f>VB42*VB8</f>
        <v/>
      </c>
      <c r="VC43" s="43">
        <f>VC42*VC8</f>
        <v/>
      </c>
      <c r="VD43" s="43">
        <f>VD42*VD8</f>
        <v/>
      </c>
      <c r="VE43" s="43">
        <f>VE42*VE8</f>
        <v/>
      </c>
      <c r="VF43" s="43">
        <f>VF42*VF8</f>
        <v/>
      </c>
      <c r="VG43" s="43">
        <f>VG42*VG8</f>
        <v/>
      </c>
      <c r="VH43" s="43">
        <f>VH42*VH8</f>
        <v/>
      </c>
      <c r="VI43" s="43">
        <f>VI42*VI8</f>
        <v/>
      </c>
      <c r="VJ43" s="43">
        <f>VJ42*VJ8</f>
        <v/>
      </c>
      <c r="VK43" s="43">
        <f>VK42*VK8</f>
        <v/>
      </c>
      <c r="VL43" s="43">
        <f>VL42*VL8</f>
        <v/>
      </c>
      <c r="VM43" s="43">
        <f>VM42*VM8</f>
        <v/>
      </c>
      <c r="VN43" s="43">
        <f>VN42*VN8</f>
        <v/>
      </c>
      <c r="VO43" s="43">
        <f>VO42*VO8</f>
        <v/>
      </c>
      <c r="VP43" s="43">
        <f>VP42*VP8</f>
        <v/>
      </c>
      <c r="VQ43" s="43">
        <f>VQ42*VQ8</f>
        <v/>
      </c>
      <c r="VR43" s="43">
        <f>VR42*VR8</f>
        <v/>
      </c>
      <c r="VS43" s="43">
        <f>VS42*VS8</f>
        <v/>
      </c>
      <c r="VT43" s="43">
        <f>VT42*VT8</f>
        <v/>
      </c>
      <c r="VU43" s="43">
        <f>VU42*VU8</f>
        <v/>
      </c>
      <c r="VV43" s="43">
        <f>VV42*VV8</f>
        <v/>
      </c>
      <c r="VW43" s="43">
        <f>VW42*VW8</f>
        <v/>
      </c>
      <c r="VX43" s="43">
        <f>VX42*VX8</f>
        <v/>
      </c>
      <c r="VY43" s="43">
        <f>VY42*VY8</f>
        <v/>
      </c>
      <c r="VZ43" s="43">
        <f>VZ42*VZ8</f>
        <v/>
      </c>
      <c r="WA43" s="127">
        <f>SUM(UW43:VZ43)</f>
        <v/>
      </c>
      <c r="WB43" s="43">
        <f>WB42*WB8</f>
        <v/>
      </c>
      <c r="WC43" s="43">
        <f>WC42*WC8</f>
        <v/>
      </c>
      <c r="WD43" s="43">
        <f>WD42*WD8</f>
        <v/>
      </c>
      <c r="WE43" s="43">
        <f>WE42*WE8</f>
        <v/>
      </c>
      <c r="WF43" s="43">
        <f>WF42*WF8</f>
        <v/>
      </c>
      <c r="WG43" s="43">
        <f>WG42*WG8</f>
        <v/>
      </c>
      <c r="WH43" s="43">
        <f>WH42*WH8</f>
        <v/>
      </c>
      <c r="WI43" s="43">
        <f>WI42*WI8</f>
        <v/>
      </c>
      <c r="WJ43" s="43">
        <f>WJ42*WJ8</f>
        <v/>
      </c>
      <c r="WK43" s="43">
        <f>WK42*WK8</f>
        <v/>
      </c>
      <c r="WL43" s="43">
        <f>WL42*WL8</f>
        <v/>
      </c>
      <c r="WM43" s="43">
        <f>WM42*WM8</f>
        <v/>
      </c>
      <c r="WN43" s="43">
        <f>WN42*WN8</f>
        <v/>
      </c>
      <c r="WO43" s="43">
        <f>WO42*WO8</f>
        <v/>
      </c>
      <c r="WP43" s="43">
        <f>WP42*WP8</f>
        <v/>
      </c>
      <c r="WQ43" s="43">
        <f>WQ42*WQ8</f>
        <v/>
      </c>
      <c r="WR43" s="43">
        <f>WR42*WR8</f>
        <v/>
      </c>
      <c r="WS43" s="43">
        <f>WS42*WS8</f>
        <v/>
      </c>
      <c r="WT43" s="43">
        <f>WT42*WT8</f>
        <v/>
      </c>
      <c r="WU43" s="43">
        <f>WU42*WU8</f>
        <v/>
      </c>
      <c r="WV43" s="43">
        <f>WV42*WV8</f>
        <v/>
      </c>
      <c r="WW43" s="43">
        <f>WW42*WW8</f>
        <v/>
      </c>
      <c r="WX43" s="43">
        <f>WX42*WX8</f>
        <v/>
      </c>
      <c r="WY43" s="43">
        <f>WY42*WY8</f>
        <v/>
      </c>
      <c r="WZ43" s="43">
        <f>WZ42*WZ8</f>
        <v/>
      </c>
      <c r="XA43" s="43">
        <f>XA42*XA8</f>
        <v/>
      </c>
      <c r="XB43" s="43">
        <f>XB42*XB8</f>
        <v/>
      </c>
      <c r="XC43" s="43">
        <f>XC42*XC8</f>
        <v/>
      </c>
      <c r="XD43" s="43">
        <f>XD42*XD8</f>
        <v/>
      </c>
      <c r="XE43" s="43">
        <f>XE42*XE8</f>
        <v/>
      </c>
      <c r="XF43" s="43">
        <f>XF42*XF8</f>
        <v/>
      </c>
      <c r="XG43" s="127">
        <f>SUM(WB43:XF43)</f>
        <v/>
      </c>
      <c r="XH43" s="43">
        <f>XH42*XH8</f>
        <v/>
      </c>
      <c r="XI43" s="43">
        <f>XI42*XI8</f>
        <v/>
      </c>
      <c r="XJ43" s="43">
        <f>XJ42*XJ8</f>
        <v/>
      </c>
      <c r="XK43" s="43">
        <f>XK42*XK8</f>
        <v/>
      </c>
      <c r="XL43" s="43">
        <f>XL42*XL8</f>
        <v/>
      </c>
      <c r="XM43" s="43">
        <f>XM42*XM8</f>
        <v/>
      </c>
      <c r="XN43" s="43">
        <f>XN42*XN8</f>
        <v/>
      </c>
      <c r="XO43" s="43">
        <f>XO42*XO8</f>
        <v/>
      </c>
      <c r="XP43" s="43">
        <f>XP42*XP8</f>
        <v/>
      </c>
      <c r="XQ43" s="43">
        <f>XQ42*XQ8</f>
        <v/>
      </c>
      <c r="XR43" s="43">
        <f>XR42*XR8</f>
        <v/>
      </c>
      <c r="XS43" s="43">
        <f>XS42*XS8</f>
        <v/>
      </c>
      <c r="XT43" s="43">
        <f>XT42*XT8</f>
        <v/>
      </c>
      <c r="XU43" s="43">
        <f>XU42*XU8</f>
        <v/>
      </c>
      <c r="XV43" s="43">
        <f>XV42*XV8</f>
        <v/>
      </c>
      <c r="XW43" s="43">
        <f>XW42*XW8</f>
        <v/>
      </c>
      <c r="XX43" s="43">
        <f>XX42*XX8</f>
        <v/>
      </c>
      <c r="XY43" s="43">
        <f>XY42*XY8</f>
        <v/>
      </c>
      <c r="XZ43" s="43">
        <f>XZ42*XZ8</f>
        <v/>
      </c>
      <c r="YA43" s="43">
        <f>YA42*YA8</f>
        <v/>
      </c>
      <c r="YB43" s="43">
        <f>YB42*YB8</f>
        <v/>
      </c>
      <c r="YC43" s="43">
        <f>YC42*YC8</f>
        <v/>
      </c>
      <c r="YD43" s="43">
        <f>YD42*YD8</f>
        <v/>
      </c>
      <c r="YE43" s="43">
        <f>YE42*YE8</f>
        <v/>
      </c>
      <c r="YF43" s="43">
        <f>YF42*YF8</f>
        <v/>
      </c>
      <c r="YG43" s="43">
        <f>YG42*YG8</f>
        <v/>
      </c>
      <c r="YH43" s="43">
        <f>YH42*YH8</f>
        <v/>
      </c>
      <c r="YI43" s="43">
        <f>YI42*YI8</f>
        <v/>
      </c>
      <c r="YJ43" s="43">
        <f>YJ42*YJ8</f>
        <v/>
      </c>
      <c r="YK43" s="43">
        <f>YK42*YK8</f>
        <v/>
      </c>
      <c r="YL43" s="127">
        <f>SUM(XH43:YK43)</f>
        <v/>
      </c>
      <c r="YM43" s="43">
        <f>YM42*YM8</f>
        <v/>
      </c>
      <c r="YN43" s="43">
        <f>YN42*YN8</f>
        <v/>
      </c>
      <c r="YO43" s="43">
        <f>YO42*YO8</f>
        <v/>
      </c>
      <c r="YP43" s="43">
        <f>YP42*YP8</f>
        <v/>
      </c>
      <c r="YQ43" s="43">
        <f>YQ42*YQ8</f>
        <v/>
      </c>
      <c r="YR43" s="43">
        <f>YR42*YR8</f>
        <v/>
      </c>
      <c r="YS43" s="43">
        <f>YS42*YS8</f>
        <v/>
      </c>
      <c r="YT43" s="43">
        <f>YT42*YT8</f>
        <v/>
      </c>
      <c r="YU43" s="43">
        <f>YU42*YU8</f>
        <v/>
      </c>
      <c r="YV43" s="43">
        <f>YV42*YV8</f>
        <v/>
      </c>
      <c r="YW43" s="43">
        <f>YW42*YW8</f>
        <v/>
      </c>
      <c r="YX43" s="43">
        <f>YX42*YX8</f>
        <v/>
      </c>
      <c r="YY43" s="43">
        <f>YY42*YY8</f>
        <v/>
      </c>
      <c r="YZ43" s="43">
        <f>YZ42*YZ8</f>
        <v/>
      </c>
      <c r="ZA43" s="43">
        <f>ZA42*ZA8</f>
        <v/>
      </c>
      <c r="ZB43" s="43">
        <f>ZB42*ZB8</f>
        <v/>
      </c>
      <c r="ZC43" s="43">
        <f>ZC42*ZC8</f>
        <v/>
      </c>
      <c r="ZD43" s="43">
        <f>ZD42*ZD8</f>
        <v/>
      </c>
      <c r="ZE43" s="43">
        <f>ZE42*ZE8</f>
        <v/>
      </c>
      <c r="ZF43" s="43">
        <f>ZF42*ZF8</f>
        <v/>
      </c>
      <c r="ZG43" s="43">
        <f>ZG42*ZG8</f>
        <v/>
      </c>
      <c r="ZH43" s="43">
        <f>ZH42*ZH8</f>
        <v/>
      </c>
      <c r="ZI43" s="43">
        <f>ZI42*ZI8</f>
        <v/>
      </c>
      <c r="ZJ43" s="43">
        <f>ZJ42*ZJ8</f>
        <v/>
      </c>
      <c r="ZK43" s="43">
        <f>ZK42*ZK8</f>
        <v/>
      </c>
      <c r="ZL43" s="43">
        <f>ZL42*ZL8</f>
        <v/>
      </c>
      <c r="ZM43" s="43">
        <f>ZM42*ZM8</f>
        <v/>
      </c>
      <c r="ZN43" s="43">
        <f>ZN42*ZN8</f>
        <v/>
      </c>
      <c r="ZO43" s="43">
        <f>ZO42*ZO8</f>
        <v/>
      </c>
      <c r="ZP43" s="43">
        <f>ZP42*ZP8</f>
        <v/>
      </c>
      <c r="ZQ43" s="43">
        <f>ZQ42*ZQ8</f>
        <v/>
      </c>
      <c r="ZR43" s="127">
        <f>SUM(YM43:ZQ43)</f>
        <v/>
      </c>
      <c r="ZS43" s="43">
        <f>ZS42*ZS8</f>
        <v/>
      </c>
      <c r="ZT43" s="43">
        <f>ZT42*ZT8</f>
        <v/>
      </c>
      <c r="ZU43" s="43">
        <f>ZU42*ZU8</f>
        <v/>
      </c>
      <c r="ZV43" s="43">
        <f>ZV42*ZV8</f>
        <v/>
      </c>
      <c r="ZW43" s="43">
        <f>ZW42*ZW8</f>
        <v/>
      </c>
      <c r="ZX43" s="43">
        <f>ZX42*ZX8</f>
        <v/>
      </c>
      <c r="ZY43" s="43">
        <f>ZY42*ZY8</f>
        <v/>
      </c>
      <c r="ZZ43" s="43">
        <f>ZZ42*ZZ8</f>
        <v/>
      </c>
      <c r="AAA43" s="43">
        <f>AAA42*AAA8</f>
        <v/>
      </c>
      <c r="AAB43" s="43">
        <f>AAB42*AAB8</f>
        <v/>
      </c>
      <c r="AAC43" s="43">
        <f>AAC42*AAC8</f>
        <v/>
      </c>
      <c r="AAD43" s="43">
        <f>AAD42*AAD8</f>
        <v/>
      </c>
      <c r="AAE43" s="43">
        <f>AAE42*AAE8</f>
        <v/>
      </c>
      <c r="AAF43" s="43">
        <f>AAF42*AAF8</f>
        <v/>
      </c>
      <c r="AAG43" s="43">
        <f>AAG42*AAG8</f>
        <v/>
      </c>
      <c r="AAH43" s="43">
        <f>AAH42*AAH8</f>
        <v/>
      </c>
      <c r="AAI43" s="43">
        <f>AAI42*AAI8</f>
        <v/>
      </c>
      <c r="AAJ43" s="43">
        <f>AAJ42*AAJ8</f>
        <v/>
      </c>
      <c r="AAK43" s="43">
        <f>AAK42*AAK8</f>
        <v/>
      </c>
      <c r="AAL43" s="43">
        <f>AAL42*AAL8</f>
        <v/>
      </c>
      <c r="AAM43" s="43">
        <f>AAM42*AAM8</f>
        <v/>
      </c>
      <c r="AAN43" s="43">
        <f>AAN42*AAN8</f>
        <v/>
      </c>
      <c r="AAO43" s="43">
        <f>AAO42*AAO8</f>
        <v/>
      </c>
      <c r="AAP43" s="43">
        <f>AAP42*AAP8</f>
        <v/>
      </c>
      <c r="AAQ43" s="43">
        <f>AAQ42*AAQ8</f>
        <v/>
      </c>
      <c r="AAR43" s="43">
        <f>AAR42*AAR8</f>
        <v/>
      </c>
      <c r="AAS43" s="43">
        <f>AAS42*AAS8</f>
        <v/>
      </c>
      <c r="AAT43" s="43">
        <f>AAT42*AAT8</f>
        <v/>
      </c>
      <c r="AAU43" s="43">
        <f>AAU42*AAU8</f>
        <v/>
      </c>
      <c r="AAV43" s="43">
        <f>AAV42*AAV8</f>
        <v/>
      </c>
      <c r="AAW43" s="127">
        <f>SUM(ZS43:AAV43)</f>
        <v/>
      </c>
      <c r="AAX43" s="43">
        <f>AAX42*AAX8</f>
        <v/>
      </c>
      <c r="AAY43" s="43">
        <f>AAY42*AAY8</f>
        <v/>
      </c>
      <c r="AAZ43" s="43">
        <f>AAZ42*AAZ8</f>
        <v/>
      </c>
      <c r="ABA43" s="43">
        <f>ABA42*ABA8</f>
        <v/>
      </c>
      <c r="ABB43" s="43">
        <f>ABB42*ABB8</f>
        <v/>
      </c>
      <c r="ABC43" s="43">
        <f>ABC42*ABC8</f>
        <v/>
      </c>
      <c r="ABD43" s="43">
        <f>ABD42*ABD8</f>
        <v/>
      </c>
      <c r="ABE43" s="43">
        <f>ABE42*ABE8</f>
        <v/>
      </c>
      <c r="ABF43" s="43">
        <f>ABF42*ABF8</f>
        <v/>
      </c>
      <c r="ABG43" s="43">
        <f>ABG42*ABG8</f>
        <v/>
      </c>
      <c r="ABH43" s="43">
        <f>ABH42*ABH8</f>
        <v/>
      </c>
      <c r="ABI43" s="43">
        <f>ABI42*ABI8</f>
        <v/>
      </c>
      <c r="ABJ43" s="43">
        <f>ABJ42*ABJ8</f>
        <v/>
      </c>
      <c r="ABK43" s="43">
        <f>ABK42*ABK8</f>
        <v/>
      </c>
      <c r="ABL43" s="43">
        <f>ABL42*ABL8</f>
        <v/>
      </c>
      <c r="ABM43" s="43">
        <f>ABM42*ABM8</f>
        <v/>
      </c>
      <c r="ABN43" s="43">
        <f>ABN42*ABN8</f>
        <v/>
      </c>
      <c r="ABO43" s="43">
        <f>ABO42*ABO8</f>
        <v/>
      </c>
      <c r="ABP43" s="43">
        <f>ABP42*ABP8</f>
        <v/>
      </c>
      <c r="ABQ43" s="43">
        <f>ABQ42*ABQ8</f>
        <v/>
      </c>
      <c r="ABR43" s="43">
        <f>ABR42*ABR8</f>
        <v/>
      </c>
      <c r="ABS43" s="43">
        <f>ABS42*ABS8</f>
        <v/>
      </c>
      <c r="ABT43" s="43">
        <f>ABT42*ABT8</f>
        <v/>
      </c>
      <c r="ABU43" s="43">
        <f>ABU42*ABU8</f>
        <v/>
      </c>
      <c r="ABV43" s="43">
        <f>ABV42*ABV8</f>
        <v/>
      </c>
      <c r="ABW43" s="43">
        <f>ABW42*ABW8</f>
        <v/>
      </c>
      <c r="ABX43" s="43">
        <f>ABX42*ABX8</f>
        <v/>
      </c>
      <c r="ABY43" s="43">
        <f>ABY42*ABY8</f>
        <v/>
      </c>
      <c r="ABZ43" s="43">
        <f>ABZ42*ABZ8</f>
        <v/>
      </c>
      <c r="ACA43" s="43">
        <f>ACA42*ACA8</f>
        <v/>
      </c>
      <c r="ACB43" s="43">
        <f>ACB42*ACB8</f>
        <v/>
      </c>
      <c r="ACC43" s="127">
        <f>SUM(AAX43:ACB43)</f>
        <v/>
      </c>
      <c r="ACD43" s="43">
        <f>ACD42*ACD8</f>
        <v/>
      </c>
      <c r="ACE43" s="43">
        <f>ACE42*ACE8</f>
        <v/>
      </c>
      <c r="ACF43" s="43">
        <f>ACF42*ACF8</f>
        <v/>
      </c>
      <c r="ACG43" s="43">
        <f>ACG42*ACG8</f>
        <v/>
      </c>
      <c r="ACH43" s="43">
        <f>ACH42*ACH8</f>
        <v/>
      </c>
      <c r="ACI43" s="43">
        <f>ACI42*ACI8</f>
        <v/>
      </c>
      <c r="ACJ43" s="43">
        <f>ACJ42*ACJ8</f>
        <v/>
      </c>
      <c r="ACK43" s="43">
        <f>ACK42*ACK8</f>
        <v/>
      </c>
      <c r="ACL43" s="43">
        <f>ACL42*ACL8</f>
        <v/>
      </c>
      <c r="ACM43" s="43">
        <f>ACM42*ACM8</f>
        <v/>
      </c>
      <c r="ACN43" s="43">
        <f>ACN42*ACN8</f>
        <v/>
      </c>
      <c r="ACO43" s="43">
        <f>ACO42*ACO8</f>
        <v/>
      </c>
      <c r="ACP43" s="43">
        <f>ACP42*ACP8</f>
        <v/>
      </c>
      <c r="ACQ43" s="43">
        <f>ACQ42*ACQ8</f>
        <v/>
      </c>
      <c r="ACR43" s="43">
        <f>ACR42*ACR8</f>
        <v/>
      </c>
      <c r="ACS43" s="43">
        <f>ACS42*ACS8</f>
        <v/>
      </c>
      <c r="ACT43" s="43">
        <f>ACT42*ACT8</f>
        <v/>
      </c>
      <c r="ACU43" s="43">
        <f>ACU42*ACU8</f>
        <v/>
      </c>
      <c r="ACV43" s="43">
        <f>ACV42*ACV8</f>
        <v/>
      </c>
      <c r="ACW43" s="43">
        <f>ACW42*ACW8</f>
        <v/>
      </c>
      <c r="ACX43" s="43">
        <f>ACX42*ACX8</f>
        <v/>
      </c>
      <c r="ACY43" s="43">
        <f>ACY42*ACY8</f>
        <v/>
      </c>
      <c r="ACZ43" s="43">
        <f>ACZ42*ACZ8</f>
        <v/>
      </c>
      <c r="ADA43" s="43">
        <f>ADA42*ADA8</f>
        <v/>
      </c>
      <c r="ADB43" s="43">
        <f>ADB42*ADB8</f>
        <v/>
      </c>
      <c r="ADC43" s="43">
        <f>ADC42*ADC8</f>
        <v/>
      </c>
      <c r="ADD43" s="43">
        <f>ADD42*ADD8</f>
        <v/>
      </c>
      <c r="ADE43" s="43">
        <f>ADE42*ADE8</f>
        <v/>
      </c>
      <c r="ADF43" s="43">
        <f>ADF42*ADF8</f>
        <v/>
      </c>
      <c r="ADG43" s="43">
        <f>ADG42*ADG8</f>
        <v/>
      </c>
      <c r="ADH43" s="43">
        <f>ADH42*ADH8</f>
        <v/>
      </c>
      <c r="ADI43" s="127">
        <f>SUM(ACD43:ADH43)</f>
        <v/>
      </c>
      <c r="ADJ43" s="43">
        <f>ADJ42*ADJ8</f>
        <v/>
      </c>
      <c r="ADK43" s="43">
        <f>ADK42*ADK8</f>
        <v/>
      </c>
      <c r="ADL43" s="43">
        <f>ADL42*ADL8</f>
        <v/>
      </c>
      <c r="ADM43" s="43">
        <f>ADM42*ADM8</f>
        <v/>
      </c>
      <c r="ADN43" s="43">
        <f>ADN42*ADN8</f>
        <v/>
      </c>
      <c r="ADO43" s="43">
        <f>ADO42*ADO8</f>
        <v/>
      </c>
      <c r="ADP43" s="43">
        <f>ADP42*ADP8</f>
        <v/>
      </c>
      <c r="ADQ43" s="43">
        <f>ADQ42*ADQ8</f>
        <v/>
      </c>
      <c r="ADR43" s="43">
        <f>ADR42*ADR8</f>
        <v/>
      </c>
      <c r="ADS43" s="43">
        <f>ADS42*ADS8</f>
        <v/>
      </c>
      <c r="ADT43" s="43">
        <f>ADT42*ADT8</f>
        <v/>
      </c>
      <c r="ADU43" s="43">
        <f>ADU42*ADU8</f>
        <v/>
      </c>
      <c r="ADV43" s="43">
        <f>ADV42*ADV8</f>
        <v/>
      </c>
      <c r="ADW43" s="43">
        <f>ADW42*ADW8</f>
        <v/>
      </c>
      <c r="ADX43" s="43">
        <f>ADX42*ADX8</f>
        <v/>
      </c>
      <c r="ADY43" s="43">
        <f>ADY42*ADY8</f>
        <v/>
      </c>
      <c r="ADZ43" s="43">
        <f>ADZ42*ADZ8</f>
        <v/>
      </c>
      <c r="AEA43" s="43">
        <f>AEA42*AEA8</f>
        <v/>
      </c>
      <c r="AEB43" s="43">
        <f>AEB42*AEB8</f>
        <v/>
      </c>
      <c r="AEC43" s="43">
        <f>AEC42*AEC8</f>
        <v/>
      </c>
      <c r="AED43" s="43">
        <f>AED42*AED8</f>
        <v/>
      </c>
      <c r="AEE43" s="43">
        <f>AEE42*AEE8</f>
        <v/>
      </c>
      <c r="AEF43" s="43">
        <f>AEF42*AEF8</f>
        <v/>
      </c>
      <c r="AEG43" s="43">
        <f>AEG42*AEG8</f>
        <v/>
      </c>
      <c r="AEH43" s="43">
        <f>AEH42*AEH8</f>
        <v/>
      </c>
      <c r="AEI43" s="43">
        <f>AEI42*AEI8</f>
        <v/>
      </c>
      <c r="AEJ43" s="43">
        <f>AEJ42*AEJ8</f>
        <v/>
      </c>
      <c r="AEK43" s="43">
        <f>AEK42*AEK8</f>
        <v/>
      </c>
      <c r="AEL43" s="43">
        <f>AEL42*AEL8</f>
        <v/>
      </c>
      <c r="AEM43" s="43">
        <f>AEM42*AEM8</f>
        <v/>
      </c>
      <c r="AEN43" s="127">
        <f>SUM(ADJ43:AEM43)</f>
        <v/>
      </c>
      <c r="AEO43" s="43">
        <f>AEO42*AEO8</f>
        <v/>
      </c>
      <c r="AEP43" s="43">
        <f>AEP42*AEP8</f>
        <v/>
      </c>
      <c r="AEQ43" s="43">
        <f>AEQ42*AEQ8</f>
        <v/>
      </c>
      <c r="AER43" s="43">
        <f>AER42*AER8</f>
        <v/>
      </c>
      <c r="AES43" s="43">
        <f>AES42*AES8</f>
        <v/>
      </c>
      <c r="AET43" s="43">
        <f>AET42*AET8</f>
        <v/>
      </c>
      <c r="AEU43" s="43">
        <f>AEU42*AEU8</f>
        <v/>
      </c>
      <c r="AEV43" s="43">
        <f>AEV42*AEV8</f>
        <v/>
      </c>
      <c r="AEW43" s="43">
        <f>AEW42*AEW8</f>
        <v/>
      </c>
      <c r="AEX43" s="43">
        <f>AEX42*AEX8</f>
        <v/>
      </c>
      <c r="AEY43" s="43">
        <f>AEY42*AEY8</f>
        <v/>
      </c>
      <c r="AEZ43" s="43">
        <f>AEZ42*AEZ8</f>
        <v/>
      </c>
      <c r="AFA43" s="43">
        <f>AFA42*AFA8</f>
        <v/>
      </c>
      <c r="AFB43" s="43">
        <f>AFB42*AFB8</f>
        <v/>
      </c>
      <c r="AFC43" s="43">
        <f>AFC42*AFC8</f>
        <v/>
      </c>
      <c r="AFD43" s="43">
        <f>AFD42*AFD8</f>
        <v/>
      </c>
      <c r="AFE43" s="43">
        <f>AFE42*AFE8</f>
        <v/>
      </c>
      <c r="AFF43" s="43">
        <f>AFF42*AFF8</f>
        <v/>
      </c>
      <c r="AFG43" s="43">
        <f>AFG42*AFG8</f>
        <v/>
      </c>
      <c r="AFH43" s="43">
        <f>AFH42*AFH8</f>
        <v/>
      </c>
      <c r="AFI43" s="43">
        <f>AFI42*AFI8</f>
        <v/>
      </c>
      <c r="AFJ43" s="43">
        <f>AFJ42*AFJ8</f>
        <v/>
      </c>
      <c r="AFK43" s="43">
        <f>AFK42*AFK8</f>
        <v/>
      </c>
      <c r="AFL43" s="43">
        <f>AFL42*AFL8</f>
        <v/>
      </c>
      <c r="AFM43" s="43">
        <f>AFM42*AFM8</f>
        <v/>
      </c>
      <c r="AFN43" s="43">
        <f>AFN42*AFN8</f>
        <v/>
      </c>
      <c r="AFO43" s="43">
        <f>AFO42*AFO8</f>
        <v/>
      </c>
      <c r="AFP43" s="43">
        <f>AFP42*AFP8</f>
        <v/>
      </c>
      <c r="AFQ43" s="43">
        <f>AFQ42*AFQ8</f>
        <v/>
      </c>
      <c r="AFR43" s="43">
        <f>AFR42*AFR8</f>
        <v/>
      </c>
      <c r="AFS43" s="43">
        <f>AFS42*AFS8</f>
        <v/>
      </c>
      <c r="AFT43" s="127">
        <f>SUM(AEO43:AFS43)</f>
        <v/>
      </c>
      <c r="AFU43" s="43">
        <f>AFU42*AFU8</f>
        <v/>
      </c>
      <c r="AFV43" s="43">
        <f>AFV42*AFV8</f>
        <v/>
      </c>
      <c r="AFW43" s="43">
        <f>AFW42*AFW8</f>
        <v/>
      </c>
      <c r="AFX43" s="43">
        <f>AFX42*AFX8</f>
        <v/>
      </c>
      <c r="AFY43" s="43">
        <f>AFY42*AFY8</f>
        <v/>
      </c>
      <c r="AFZ43" s="43">
        <f>AFZ42*AFZ8</f>
        <v/>
      </c>
      <c r="AGA43" s="43">
        <f>AGA42*AGA8</f>
        <v/>
      </c>
      <c r="AGB43" s="43">
        <f>AGB42*AGB8</f>
        <v/>
      </c>
      <c r="AGC43" s="43">
        <f>AGC42*AGC8</f>
        <v/>
      </c>
      <c r="AGD43" s="43">
        <f>AGD42*AGD8</f>
        <v/>
      </c>
      <c r="AGE43" s="43">
        <f>AGE42*AGE8</f>
        <v/>
      </c>
      <c r="AGF43" s="43">
        <f>AGF42*AGF8</f>
        <v/>
      </c>
      <c r="AGG43" s="43">
        <f>AGG42*AGG8</f>
        <v/>
      </c>
      <c r="AGH43" s="43">
        <f>AGH42*AGH8</f>
        <v/>
      </c>
      <c r="AGI43" s="43">
        <f>AGI42*AGI8</f>
        <v/>
      </c>
      <c r="AGJ43" s="43">
        <f>AGJ42*AGJ8</f>
        <v/>
      </c>
      <c r="AGK43" s="43">
        <f>AGK42*AGK8</f>
        <v/>
      </c>
      <c r="AGL43" s="43">
        <f>AGL42*AGL8</f>
        <v/>
      </c>
      <c r="AGM43" s="43">
        <f>AGM42*AGM8</f>
        <v/>
      </c>
      <c r="AGN43" s="43">
        <f>AGN42*AGN8</f>
        <v/>
      </c>
      <c r="AGO43" s="43">
        <f>AGO42*AGO8</f>
        <v/>
      </c>
      <c r="AGP43" s="43">
        <f>AGP42*AGP8</f>
        <v/>
      </c>
      <c r="AGQ43" s="43">
        <f>AGQ42*AGQ8</f>
        <v/>
      </c>
      <c r="AGR43" s="43">
        <f>AGR42*AGR8</f>
        <v/>
      </c>
      <c r="AGS43" s="43">
        <f>AGS42*AGS8</f>
        <v/>
      </c>
      <c r="AGT43" s="43">
        <f>AGT42*AGT8</f>
        <v/>
      </c>
      <c r="AGU43" s="43">
        <f>AGU42*AGU8</f>
        <v/>
      </c>
      <c r="AGV43" s="43">
        <f>AGV42*AGV8</f>
        <v/>
      </c>
      <c r="AGW43" s="43">
        <f>AGW42*AGW8</f>
        <v/>
      </c>
      <c r="AGX43" s="43">
        <f>AGX42*AGX8</f>
        <v/>
      </c>
      <c r="AGY43" s="127">
        <f>SUM(AFU43:AGX43)</f>
        <v/>
      </c>
      <c r="AGZ43" s="43">
        <f>AGZ42*AGZ8</f>
        <v/>
      </c>
      <c r="AHA43" s="43">
        <f>AHA42*AHA8</f>
        <v/>
      </c>
      <c r="AHB43" s="43">
        <f>AHB42*AHB8</f>
        <v/>
      </c>
      <c r="AHC43" s="43">
        <f>AHC42*AHC8</f>
        <v/>
      </c>
      <c r="AHD43" s="43">
        <f>AHD42*AHD8</f>
        <v/>
      </c>
      <c r="AHE43" s="43">
        <f>AHE42*AHE8</f>
        <v/>
      </c>
      <c r="AHF43" s="43">
        <f>AHF42*AHF8</f>
        <v/>
      </c>
      <c r="AHG43" s="43">
        <f>AHG42*AHG8</f>
        <v/>
      </c>
      <c r="AHH43" s="43">
        <f>AHH42*AHH8</f>
        <v/>
      </c>
      <c r="AHI43" s="43">
        <f>AHI42*AHI8</f>
        <v/>
      </c>
      <c r="AHJ43" s="43">
        <f>AHJ42*AHJ8</f>
        <v/>
      </c>
      <c r="AHK43" s="43">
        <f>AHK42*AHK8</f>
        <v/>
      </c>
      <c r="AHL43" s="43">
        <f>AHL42*AHL8</f>
        <v/>
      </c>
      <c r="AHM43" s="43">
        <f>AHM42*AHM8</f>
        <v/>
      </c>
      <c r="AHN43" s="43">
        <f>AHN42*AHN8</f>
        <v/>
      </c>
      <c r="AHO43" s="43">
        <f>AHO42*AHO8</f>
        <v/>
      </c>
      <c r="AHP43" s="43">
        <f>AHP42*AHP8</f>
        <v/>
      </c>
      <c r="AHQ43" s="43">
        <f>AHQ42*AHQ8</f>
        <v/>
      </c>
      <c r="AHR43" s="43">
        <f>AHR42*AHR8</f>
        <v/>
      </c>
      <c r="AHS43" s="43">
        <f>AHS42*AHS8</f>
        <v/>
      </c>
      <c r="AHT43" s="43">
        <f>AHT42*AHT8</f>
        <v/>
      </c>
      <c r="AHU43" s="43">
        <f>AHU42*AHU8</f>
        <v/>
      </c>
      <c r="AHV43" s="43">
        <f>AHV42*AHV8</f>
        <v/>
      </c>
      <c r="AHW43" s="43">
        <f>AHW42*AHW8</f>
        <v/>
      </c>
      <c r="AHX43" s="43">
        <f>AHX42*AHX8</f>
        <v/>
      </c>
      <c r="AHY43" s="43">
        <f>AHY42*AHY8</f>
        <v/>
      </c>
      <c r="AHZ43" s="43">
        <f>AHZ42*AHZ8</f>
        <v/>
      </c>
      <c r="AIA43" s="43">
        <f>AIA42*AIA8</f>
        <v/>
      </c>
      <c r="AIB43" s="43">
        <f>AIB42*AIB8</f>
        <v/>
      </c>
      <c r="AIC43" s="43">
        <f>AIC42*AIC8</f>
        <v/>
      </c>
      <c r="AID43" s="43">
        <f>AID42*AID8</f>
        <v/>
      </c>
      <c r="AIE43" s="127">
        <f>SUM(AGZ43:AID43)</f>
        <v/>
      </c>
      <c r="AIF43" s="43">
        <f>AIF42*AIF8</f>
        <v/>
      </c>
      <c r="AIG43" s="43">
        <f>AIG42*AIG8</f>
        <v/>
      </c>
      <c r="AIH43" s="43">
        <f>AIH42*AIH8</f>
        <v/>
      </c>
      <c r="AII43" s="43">
        <f>AII42*AII8</f>
        <v/>
      </c>
      <c r="AIJ43" s="43">
        <f>AIJ42*AIJ8</f>
        <v/>
      </c>
      <c r="AIK43" s="43">
        <f>AIK42*AIK8</f>
        <v/>
      </c>
      <c r="AIL43" s="43">
        <f>AIL42*AIL8</f>
        <v/>
      </c>
      <c r="AIM43" s="43">
        <f>AIM42*AIM8</f>
        <v/>
      </c>
      <c r="AIN43" s="43">
        <f>AIN42*AIN8</f>
        <v/>
      </c>
      <c r="AIO43" s="43">
        <f>AIO42*AIO8</f>
        <v/>
      </c>
      <c r="AIP43" s="43">
        <f>AIP42*AIP8</f>
        <v/>
      </c>
      <c r="AIQ43" s="43">
        <f>AIQ42*AIQ8</f>
        <v/>
      </c>
      <c r="AIR43" s="43">
        <f>AIR42*AIR8</f>
        <v/>
      </c>
      <c r="AIS43" s="43">
        <f>AIS42*AIS8</f>
        <v/>
      </c>
      <c r="AIT43" s="43">
        <f>AIT42*AIT8</f>
        <v/>
      </c>
      <c r="AIU43" s="43">
        <f>AIU42*AIU8</f>
        <v/>
      </c>
      <c r="AIV43" s="43">
        <f>AIV42*AIV8</f>
        <v/>
      </c>
      <c r="AIW43" s="43">
        <f>AIW42*AIW8</f>
        <v/>
      </c>
      <c r="AIX43" s="43">
        <f>AIX42*AIX8</f>
        <v/>
      </c>
      <c r="AIY43" s="43">
        <f>AIY42*AIY8</f>
        <v/>
      </c>
      <c r="AIZ43" s="43">
        <f>AIZ42*AIZ8</f>
        <v/>
      </c>
      <c r="AJA43" s="43">
        <f>AJA42*AJA8</f>
        <v/>
      </c>
      <c r="AJB43" s="43">
        <f>AJB42*AJB8</f>
        <v/>
      </c>
      <c r="AJC43" s="43">
        <f>AJC42*AJC8</f>
        <v/>
      </c>
      <c r="AJD43" s="43">
        <f>AJD42*AJD8</f>
        <v/>
      </c>
      <c r="AJE43" s="43">
        <f>AJE42*AJE8</f>
        <v/>
      </c>
      <c r="AJF43" s="43">
        <f>AJF42*AJF8</f>
        <v/>
      </c>
      <c r="AJG43" s="43">
        <f>AJG42*AJG8</f>
        <v/>
      </c>
      <c r="AJH43" s="43">
        <f>AJH42*AJH8</f>
        <v/>
      </c>
      <c r="AJI43" s="43">
        <f>AJI42*AJI8</f>
        <v/>
      </c>
      <c r="AJJ43" s="43">
        <f>AJJ42*AJJ8</f>
        <v/>
      </c>
      <c r="AJK43" s="127">
        <f>SUM(AIF43:AJJ43)</f>
        <v/>
      </c>
      <c r="AJL43" s="43">
        <f>AJL42*AJL8</f>
        <v/>
      </c>
      <c r="AJM43" s="43">
        <f>AJM42*AJM8</f>
        <v/>
      </c>
      <c r="AJN43" s="43">
        <f>AJN42*AJN8</f>
        <v/>
      </c>
      <c r="AJO43" s="43">
        <f>AJO42*AJO8</f>
        <v/>
      </c>
      <c r="AJP43" s="43">
        <f>AJP42*AJP8</f>
        <v/>
      </c>
      <c r="AJQ43" s="43">
        <f>AJQ42*AJQ8</f>
        <v/>
      </c>
      <c r="AJR43" s="43">
        <f>AJR42*AJR8</f>
        <v/>
      </c>
      <c r="AJS43" s="43">
        <f>AJS42*AJS8</f>
        <v/>
      </c>
      <c r="AJT43" s="43">
        <f>AJT42*AJT8</f>
        <v/>
      </c>
      <c r="AJU43" s="43">
        <f>AJU42*AJU8</f>
        <v/>
      </c>
      <c r="AJV43" s="43">
        <f>AJV42*AJV8</f>
        <v/>
      </c>
      <c r="AJW43" s="43">
        <f>AJW42*AJW8</f>
        <v/>
      </c>
      <c r="AJX43" s="43">
        <f>AJX42*AJX8</f>
        <v/>
      </c>
      <c r="AJY43" s="43">
        <f>AJY42*AJY8</f>
        <v/>
      </c>
      <c r="AJZ43" s="43">
        <f>AJZ42*AJZ8</f>
        <v/>
      </c>
      <c r="AKA43" s="43">
        <f>AKA42*AKA8</f>
        <v/>
      </c>
      <c r="AKB43" s="43">
        <f>AKB42*AKB8</f>
        <v/>
      </c>
      <c r="AKC43" s="43">
        <f>AKC42*AKC8</f>
        <v/>
      </c>
      <c r="AKD43" s="43">
        <f>AKD42*AKD8</f>
        <v/>
      </c>
      <c r="AKE43" s="43">
        <f>AKE42*AKE8</f>
        <v/>
      </c>
      <c r="AKF43" s="43">
        <f>AKF42*AKF8</f>
        <v/>
      </c>
      <c r="AKG43" s="43">
        <f>AKG42*AKG8</f>
        <v/>
      </c>
      <c r="AKH43" s="43">
        <f>AKH42*AKH8</f>
        <v/>
      </c>
      <c r="AKI43" s="43">
        <f>AKI42*AKI8</f>
        <v/>
      </c>
      <c r="AKJ43" s="43">
        <f>AKJ42*AKJ8</f>
        <v/>
      </c>
      <c r="AKK43" s="43">
        <f>AKK42*AKK8</f>
        <v/>
      </c>
      <c r="AKL43" s="43">
        <f>AKL42*AKL8</f>
        <v/>
      </c>
      <c r="AKM43" s="43">
        <f>AKM42*AKM8</f>
        <v/>
      </c>
      <c r="AKN43" s="127">
        <f>SUM(AJL43:AKM43)</f>
        <v/>
      </c>
      <c r="AKO43" s="43">
        <f>AKO42*AKO8</f>
        <v/>
      </c>
      <c r="AKP43" s="43">
        <f>AKP42*AKP8</f>
        <v/>
      </c>
      <c r="AKQ43" s="43">
        <f>AKQ42*AKQ8</f>
        <v/>
      </c>
      <c r="AKR43" s="43">
        <f>AKR42*AKR8</f>
        <v/>
      </c>
      <c r="AKS43" s="43">
        <f>AKS42*AKS8</f>
        <v/>
      </c>
      <c r="AKT43" s="43">
        <f>AKT42*AKT8</f>
        <v/>
      </c>
      <c r="AKU43" s="43">
        <f>AKU42*AKU8</f>
        <v/>
      </c>
      <c r="AKV43" s="43">
        <f>AKV42*AKV8</f>
        <v/>
      </c>
      <c r="AKW43" s="43">
        <f>AKW42*AKW8</f>
        <v/>
      </c>
      <c r="AKX43" s="43">
        <f>AKX42*AKX8</f>
        <v/>
      </c>
      <c r="AKY43" s="43">
        <f>AKY42*AKY8</f>
        <v/>
      </c>
      <c r="AKZ43" s="43">
        <f>AKZ42*AKZ8</f>
        <v/>
      </c>
      <c r="ALA43" s="43">
        <f>ALA42*ALA8</f>
        <v/>
      </c>
      <c r="ALB43" s="43">
        <f>ALB42*ALB8</f>
        <v/>
      </c>
      <c r="ALC43" s="43">
        <f>ALC42*ALC8</f>
        <v/>
      </c>
      <c r="ALD43" s="43">
        <f>ALD42*ALD8</f>
        <v/>
      </c>
      <c r="ALE43" s="43">
        <f>ALE42*ALE8</f>
        <v/>
      </c>
      <c r="ALF43" s="43">
        <f>ALF42*ALF8</f>
        <v/>
      </c>
      <c r="ALG43" s="43">
        <f>ALG42*ALG8</f>
        <v/>
      </c>
      <c r="ALH43" s="43">
        <f>ALH42*ALH8</f>
        <v/>
      </c>
      <c r="ALI43" s="43">
        <f>ALI42*ALI8</f>
        <v/>
      </c>
      <c r="ALJ43" s="43">
        <f>ALJ42*ALJ8</f>
        <v/>
      </c>
      <c r="ALK43" s="43">
        <f>ALK42*ALK8</f>
        <v/>
      </c>
      <c r="ALL43" s="43">
        <f>ALL42*ALL8</f>
        <v/>
      </c>
      <c r="ALM43" s="43">
        <f>ALM42*ALM8</f>
        <v/>
      </c>
      <c r="ALN43" s="43">
        <f>ALN42*ALN8</f>
        <v/>
      </c>
      <c r="ALO43" s="43">
        <f>ALO42*ALO8</f>
        <v/>
      </c>
      <c r="ALP43" s="43">
        <f>ALP42*ALP8</f>
        <v/>
      </c>
      <c r="ALQ43" s="43">
        <f>ALQ42*ALQ8</f>
        <v/>
      </c>
      <c r="ALR43" s="43">
        <f>ALR42*ALR8</f>
        <v/>
      </c>
      <c r="ALS43" s="43">
        <f>ALS42*ALS8</f>
        <v/>
      </c>
      <c r="ALT43" s="127">
        <f>SUM(AKO43:ALS43)</f>
        <v/>
      </c>
      <c r="ALU43" s="43">
        <f>ALU42*ALU8</f>
        <v/>
      </c>
      <c r="ALV43" s="43">
        <f>ALV42*ALV8</f>
        <v/>
      </c>
      <c r="ALW43" s="43">
        <f>ALW42*ALW8</f>
        <v/>
      </c>
      <c r="ALX43" s="43">
        <f>ALX42*ALX8</f>
        <v/>
      </c>
      <c r="ALY43" s="43">
        <f>ALY42*ALY8</f>
        <v/>
      </c>
      <c r="ALZ43" s="43">
        <f>ALZ42*ALZ8</f>
        <v/>
      </c>
      <c r="AMA43" s="43">
        <f>AMA42*AMA8</f>
        <v/>
      </c>
      <c r="AMB43" s="43">
        <f>AMB42*AMB8</f>
        <v/>
      </c>
      <c r="AMC43" s="43">
        <f>AMC42*AMC8</f>
        <v/>
      </c>
      <c r="AMD43" s="43">
        <f>AMD42*AMD8</f>
        <v/>
      </c>
      <c r="AME43" s="43">
        <f>AME42*AME8</f>
        <v/>
      </c>
      <c r="AMF43" s="43">
        <f>AMF42*AMF8</f>
        <v/>
      </c>
      <c r="AMG43" s="43">
        <f>AMG42*AMG8</f>
        <v/>
      </c>
      <c r="AMH43" s="43">
        <f>AMH42*AMH8</f>
        <v/>
      </c>
      <c r="AMI43" s="43">
        <f>AMI42*AMI8</f>
        <v/>
      </c>
      <c r="AMJ43" s="43">
        <f>AMJ42*AMJ8</f>
        <v/>
      </c>
      <c r="AMK43" s="43">
        <f>AMK42*AMK8</f>
        <v/>
      </c>
      <c r="AML43" s="43">
        <f>AML42*AML8</f>
        <v/>
      </c>
      <c r="AMM43" s="43">
        <f>AMM42*AMM8</f>
        <v/>
      </c>
      <c r="AMN43" s="43">
        <f>AMN42*AMN8</f>
        <v/>
      </c>
      <c r="AMO43" s="43">
        <f>AMO42*AMO8</f>
        <v/>
      </c>
      <c r="AMP43" s="43">
        <f>AMP42*AMP8</f>
        <v/>
      </c>
      <c r="AMQ43" s="43">
        <f>AMQ42*AMQ8</f>
        <v/>
      </c>
      <c r="AMR43" s="43">
        <f>AMR42*AMR8</f>
        <v/>
      </c>
      <c r="AMS43" s="43">
        <f>AMS42*AMS8</f>
        <v/>
      </c>
      <c r="AMT43" s="43">
        <f>AMT42*AMT8</f>
        <v/>
      </c>
      <c r="AMU43" s="43">
        <f>AMU42*AMU8</f>
        <v/>
      </c>
      <c r="AMV43" s="43">
        <f>AMV42*AMV8</f>
        <v/>
      </c>
      <c r="AMW43" s="43">
        <f>AMW42*AMW8</f>
        <v/>
      </c>
      <c r="AMX43" s="43">
        <f>AMX42*AMX8</f>
        <v/>
      </c>
      <c r="AMY43" s="127">
        <f>SUM(ALU43:AMX43)</f>
        <v/>
      </c>
      <c r="AMZ43" s="43">
        <f>AMZ42*AMZ8</f>
        <v/>
      </c>
      <c r="ANA43" s="43">
        <f>ANA42*ANA8</f>
        <v/>
      </c>
      <c r="ANB43" s="43">
        <f>ANB42*ANB8</f>
        <v/>
      </c>
      <c r="ANC43" s="43">
        <f>ANC42*ANC8</f>
        <v/>
      </c>
      <c r="AND43" s="43">
        <f>AND42*AND8</f>
        <v/>
      </c>
      <c r="ANE43" s="43">
        <f>ANE42*ANE8</f>
        <v/>
      </c>
      <c r="ANF43" s="43">
        <f>ANF42*ANF8</f>
        <v/>
      </c>
      <c r="ANG43" s="43">
        <f>ANG42*ANG8</f>
        <v/>
      </c>
      <c r="ANH43" s="43">
        <f>ANH42*ANH8</f>
        <v/>
      </c>
      <c r="ANI43" s="43">
        <f>ANI42*ANI8</f>
        <v/>
      </c>
      <c r="ANJ43" s="43">
        <f>ANJ42*ANJ8</f>
        <v/>
      </c>
      <c r="ANK43" s="43">
        <f>ANK42*ANK8</f>
        <v/>
      </c>
      <c r="ANL43" s="43">
        <f>ANL42*ANL8</f>
        <v/>
      </c>
      <c r="ANM43" s="43">
        <f>ANM42*ANM8</f>
        <v/>
      </c>
      <c r="ANN43" s="43">
        <f>ANN42*ANN8</f>
        <v/>
      </c>
      <c r="ANO43" s="43">
        <f>ANO42*ANO8</f>
        <v/>
      </c>
      <c r="ANP43" s="43">
        <f>ANP42*ANP8</f>
        <v/>
      </c>
      <c r="ANQ43" s="43">
        <f>ANQ42*ANQ8</f>
        <v/>
      </c>
      <c r="ANR43" s="43">
        <f>ANR42*ANR8</f>
        <v/>
      </c>
      <c r="ANS43" s="43">
        <f>ANS42*ANS8</f>
        <v/>
      </c>
      <c r="ANT43" s="43">
        <f>ANT42*ANT8</f>
        <v/>
      </c>
      <c r="ANU43" s="43">
        <f>ANU42*ANU8</f>
        <v/>
      </c>
      <c r="ANV43" s="43">
        <f>ANV42*ANV8</f>
        <v/>
      </c>
      <c r="ANW43" s="43">
        <f>ANW42*ANW8</f>
        <v/>
      </c>
      <c r="ANX43" s="43">
        <f>ANX42*ANX8</f>
        <v/>
      </c>
      <c r="ANY43" s="43">
        <f>ANY42*ANY8</f>
        <v/>
      </c>
      <c r="ANZ43" s="43">
        <f>ANZ42*ANZ8</f>
        <v/>
      </c>
      <c r="AOA43" s="43">
        <f>AOA42*AOA8</f>
        <v/>
      </c>
      <c r="AOB43" s="43">
        <f>AOB42*AOB8</f>
        <v/>
      </c>
      <c r="AOC43" s="43">
        <f>AOC42*AOC8</f>
        <v/>
      </c>
    </row>
    <row r="44">
      <c r="A44" s="4" t="n"/>
      <c r="B44" s="5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94" t="n"/>
      <c r="BM44" s="97" t="n"/>
      <c r="CS44" s="111">
        <f>SUM(BN44:CR44)</f>
        <v/>
      </c>
      <c r="DX44" s="117" t="n"/>
      <c r="FD44" s="128" t="n"/>
      <c r="GJ44" s="127">
        <f>SUM(FE44:GI44)</f>
        <v/>
      </c>
      <c r="HN44" s="127">
        <f>SUM(GK44:HM44)</f>
        <v/>
      </c>
      <c r="IT44" s="127">
        <f>SUM(HO44:IS44)</f>
        <v/>
      </c>
      <c r="JY44" s="127">
        <f>SUM(IU44:JX44)</f>
        <v/>
      </c>
      <c r="LE44" s="127">
        <f>SUM(KA44:LD44)</f>
        <v/>
      </c>
      <c r="MJ44" s="127">
        <f>SUM(LF44:MI44)</f>
        <v/>
      </c>
      <c r="NP44" s="127">
        <f>SUM(ML44:NO44)</f>
        <v/>
      </c>
      <c r="OV44" s="127">
        <f>SUM(NR44:OU44)</f>
        <v/>
      </c>
      <c r="QA44" s="127">
        <f>SUM(OW44:PZ44)</f>
        <v/>
      </c>
      <c r="RG44" s="127">
        <f>SUM(QC44:RF44)</f>
        <v/>
      </c>
      <c r="SL44" s="127">
        <f>SUM(RH44:SK44)</f>
        <v/>
      </c>
      <c r="TR44" s="127">
        <f>SUM(SN44:TQ44)</f>
        <v/>
      </c>
      <c r="UX44" s="127">
        <f>SUM(TT44:UW44)</f>
        <v/>
      </c>
      <c r="WA44" s="127">
        <f>SUM(UW44:VZ44)</f>
        <v/>
      </c>
      <c r="XG44" s="127">
        <f>SUM(WC44:XF44)</f>
        <v/>
      </c>
      <c r="YL44" s="127">
        <f>SUM(XI44:YK44)</f>
        <v/>
      </c>
      <c r="ZR44" s="127">
        <f>SUM(YM44:ZQ44)</f>
        <v/>
      </c>
      <c r="AAW44" s="127">
        <f>SUM(ZR44:AAV44)</f>
        <v/>
      </c>
      <c r="ACC44" s="127">
        <f>SUM(AAX44:ACB44)</f>
        <v/>
      </c>
      <c r="ADI44" s="127">
        <f>SUM(ACD44:ADH44)</f>
        <v/>
      </c>
      <c r="AEN44" s="127">
        <f>SUM(ADI44:AEM44)</f>
        <v/>
      </c>
      <c r="AFT44" s="127">
        <f>SUM(AEO44:AFS44)</f>
        <v/>
      </c>
      <c r="AGY44" s="127">
        <f>SUM(AFT44:AGX44)</f>
        <v/>
      </c>
      <c r="AIE44" s="127">
        <f>SUM(AGZ44:AID44)</f>
        <v/>
      </c>
      <c r="AJK44" s="127">
        <f>SUM(AIF44:AJJ44)</f>
        <v/>
      </c>
      <c r="AKN44" s="127">
        <f>SUM(AJL44:AKM44)</f>
        <v/>
      </c>
      <c r="ALT44" s="127">
        <f>SUM(AKO44:ALS44)</f>
        <v/>
      </c>
      <c r="AMY44" s="127">
        <f>SUM(ALU44:AMX44)</f>
        <v/>
      </c>
    </row>
    <row r="45">
      <c r="A45" s="4" t="n"/>
      <c r="B45" s="29" t="inlineStr">
        <is>
          <t>TOTAL SHORTAGE</t>
        </is>
      </c>
      <c r="C45" s="30">
        <f>C43+C36</f>
        <v/>
      </c>
      <c r="D45" s="30">
        <f>D43+D36</f>
        <v/>
      </c>
      <c r="E45" s="30">
        <f>E43+E36</f>
        <v/>
      </c>
      <c r="F45" s="30">
        <f>F43+F36</f>
        <v/>
      </c>
      <c r="G45" s="30">
        <f>G43+G36</f>
        <v/>
      </c>
      <c r="H45" s="30">
        <f>H43+H36</f>
        <v/>
      </c>
      <c r="I45" s="30">
        <f>I43+I36</f>
        <v/>
      </c>
      <c r="J45" s="30">
        <f>J43+J36</f>
        <v/>
      </c>
      <c r="K45" s="30">
        <f>K43+K36</f>
        <v/>
      </c>
      <c r="L45" s="30">
        <f>L43+L36</f>
        <v/>
      </c>
      <c r="M45" s="30">
        <f>M43+M36</f>
        <v/>
      </c>
      <c r="N45" s="30">
        <f>N43+N36</f>
        <v/>
      </c>
      <c r="O45" s="30">
        <f>O43+O36</f>
        <v/>
      </c>
      <c r="P45" s="30">
        <f>P43+P36</f>
        <v/>
      </c>
      <c r="Q45" s="30">
        <f>Q43+Q36</f>
        <v/>
      </c>
      <c r="R45" s="30">
        <f>R43+R36</f>
        <v/>
      </c>
      <c r="S45" s="30">
        <f>S43+S36</f>
        <v/>
      </c>
      <c r="T45" s="30">
        <f>T43+T36</f>
        <v/>
      </c>
      <c r="U45" s="30">
        <f>U43+U36</f>
        <v/>
      </c>
      <c r="V45" s="30">
        <f>V43+V36</f>
        <v/>
      </c>
      <c r="W45" s="30">
        <f>W43+W36</f>
        <v/>
      </c>
      <c r="X45" s="30">
        <f>X43+X36</f>
        <v/>
      </c>
      <c r="Y45" s="30">
        <f>Y43+Y36</f>
        <v/>
      </c>
      <c r="Z45" s="30">
        <f>Z43+Z36</f>
        <v/>
      </c>
      <c r="AA45" s="30">
        <f>AA43+AA36</f>
        <v/>
      </c>
      <c r="AB45" s="30">
        <f>AB43+AB36</f>
        <v/>
      </c>
      <c r="AC45" s="30">
        <f>AC43+AC36</f>
        <v/>
      </c>
      <c r="AD45" s="30">
        <f>AD43+AD36</f>
        <v/>
      </c>
      <c r="AE45" s="30">
        <f>AE43+AE36</f>
        <v/>
      </c>
      <c r="AF45" s="30">
        <f>AF43+AF36</f>
        <v/>
      </c>
      <c r="AG45" s="30">
        <f>AG43+AG36</f>
        <v/>
      </c>
      <c r="AH45" s="94">
        <f>SUM(C45:AG45)</f>
        <v/>
      </c>
      <c r="AI45" s="30">
        <f>AI43+AI36</f>
        <v/>
      </c>
      <c r="AJ45" s="30">
        <f>AJ43+AJ36</f>
        <v/>
      </c>
      <c r="AK45" s="30">
        <f>AK43+AK36</f>
        <v/>
      </c>
      <c r="AL45" s="30">
        <f>AL43+AL36</f>
        <v/>
      </c>
      <c r="AM45" s="30">
        <f>AM43+AM36</f>
        <v/>
      </c>
      <c r="AN45" s="30">
        <f>AN43+AN36</f>
        <v/>
      </c>
      <c r="AO45" s="30">
        <f>AO43+AO36</f>
        <v/>
      </c>
      <c r="AP45" s="30">
        <f>AP43+AP36</f>
        <v/>
      </c>
      <c r="AQ45" s="30">
        <f>AQ43+AQ36</f>
        <v/>
      </c>
      <c r="AR45" s="30">
        <f>AR43+AR36</f>
        <v/>
      </c>
      <c r="AS45" s="30">
        <f>AS43+AS36</f>
        <v/>
      </c>
      <c r="AT45" s="30">
        <f>AT43+AT36</f>
        <v/>
      </c>
      <c r="AU45" s="30">
        <f>AU43+AU36</f>
        <v/>
      </c>
      <c r="AV45" s="30">
        <f>AV43+AV36</f>
        <v/>
      </c>
      <c r="AW45" s="30">
        <f>AW43+AW36</f>
        <v/>
      </c>
      <c r="AX45" s="30">
        <f>AX43+AX36</f>
        <v/>
      </c>
      <c r="AY45" s="30">
        <f>AY43+AY36</f>
        <v/>
      </c>
      <c r="AZ45" s="30">
        <f>AZ43+AZ36</f>
        <v/>
      </c>
      <c r="BA45" s="30">
        <f>BA43+BA36</f>
        <v/>
      </c>
      <c r="BB45" s="30">
        <f>BB43+BB36</f>
        <v/>
      </c>
      <c r="BC45" s="30">
        <f>BC43+BC36</f>
        <v/>
      </c>
      <c r="BD45" s="30">
        <f>BD43+BD36</f>
        <v/>
      </c>
      <c r="BE45" s="30">
        <f>BE43+BE36</f>
        <v/>
      </c>
      <c r="BF45" s="30">
        <f>BF43+BF36</f>
        <v/>
      </c>
      <c r="BG45" s="30">
        <f>BG43+BG36</f>
        <v/>
      </c>
      <c r="BH45" s="30">
        <f>BH43+BH36</f>
        <v/>
      </c>
      <c r="BI45" s="30">
        <f>BI43+BI36</f>
        <v/>
      </c>
      <c r="BJ45" s="30">
        <f>BJ43+BJ36</f>
        <v/>
      </c>
      <c r="BK45" s="30">
        <f>BK43+BK36</f>
        <v/>
      </c>
      <c r="BL45" s="30">
        <f>BL43+BL36</f>
        <v/>
      </c>
      <c r="BM45" s="97">
        <f>SUM(AI45:BL45)</f>
        <v/>
      </c>
      <c r="BN45" s="30">
        <f>BN43+BN36</f>
        <v/>
      </c>
      <c r="BO45" s="30">
        <f>BO43+BO36</f>
        <v/>
      </c>
      <c r="BP45" s="30">
        <f>BP43+BP36</f>
        <v/>
      </c>
      <c r="BQ45" s="30">
        <f>BQ43+BQ36</f>
        <v/>
      </c>
      <c r="BR45" s="30">
        <f>BR43+BR36</f>
        <v/>
      </c>
      <c r="BS45" s="30">
        <f>BS43+BS36</f>
        <v/>
      </c>
      <c r="BT45" s="30">
        <f>BT43+BT36</f>
        <v/>
      </c>
      <c r="BU45" s="30">
        <f>BU43+BU36</f>
        <v/>
      </c>
      <c r="BV45" s="30">
        <f>BV43+BV36</f>
        <v/>
      </c>
      <c r="BW45" s="30">
        <f>BW43+BW36</f>
        <v/>
      </c>
      <c r="BX45" s="30">
        <f>BX43+BX36</f>
        <v/>
      </c>
      <c r="BY45" s="30">
        <f>BY43+BY36</f>
        <v/>
      </c>
      <c r="BZ45" s="30">
        <f>BZ43+BZ36</f>
        <v/>
      </c>
      <c r="CA45" s="30">
        <f>CA43+CA36</f>
        <v/>
      </c>
      <c r="CB45" s="30">
        <f>CB43+CB36</f>
        <v/>
      </c>
      <c r="CC45" s="30">
        <f>CC43+CC36</f>
        <v/>
      </c>
      <c r="CD45" s="30">
        <f>CD43+CD36</f>
        <v/>
      </c>
      <c r="CE45" s="30">
        <f>CE43+CE36</f>
        <v/>
      </c>
      <c r="CF45" s="30">
        <f>CF43+CF36</f>
        <v/>
      </c>
      <c r="CG45" s="30">
        <f>CG43+CG36</f>
        <v/>
      </c>
      <c r="CH45" s="30">
        <f>CH43+CH36</f>
        <v/>
      </c>
      <c r="CI45" s="30">
        <f>CI43+CI36</f>
        <v/>
      </c>
      <c r="CJ45" s="30">
        <f>CJ43+CJ36</f>
        <v/>
      </c>
      <c r="CK45" s="30">
        <f>CK43+CK36</f>
        <v/>
      </c>
      <c r="CL45" s="30">
        <f>CL43+CL36</f>
        <v/>
      </c>
      <c r="CM45" s="30">
        <f>CM43+CM36</f>
        <v/>
      </c>
      <c r="CN45" s="30">
        <f>CN43+CN36</f>
        <v/>
      </c>
      <c r="CO45" s="30">
        <f>CO43+CO36</f>
        <v/>
      </c>
      <c r="CP45" s="30">
        <f>CP43+CP36</f>
        <v/>
      </c>
      <c r="CQ45" s="30">
        <f>CQ43+CQ36</f>
        <v/>
      </c>
      <c r="CR45" s="30">
        <f>CR43+CR36</f>
        <v/>
      </c>
      <c r="CS45" s="111">
        <f>SUM(BN45:CR45)</f>
        <v/>
      </c>
      <c r="CT45" s="30">
        <f>CT43+CT36</f>
        <v/>
      </c>
      <c r="CU45" s="30">
        <f>CU43+CU36</f>
        <v/>
      </c>
      <c r="CV45" s="30">
        <f>CV43+CV36</f>
        <v/>
      </c>
      <c r="CW45" s="30">
        <f>CW43+CW36</f>
        <v/>
      </c>
      <c r="CX45" s="30">
        <f>CX43+CX36</f>
        <v/>
      </c>
      <c r="CY45" s="30">
        <f>CY43+CY36</f>
        <v/>
      </c>
      <c r="CZ45" s="30">
        <f>CZ43+CZ36</f>
        <v/>
      </c>
      <c r="DA45" s="30">
        <f>DA43+DA36</f>
        <v/>
      </c>
      <c r="DB45" s="30">
        <f>DB43+DB36</f>
        <v/>
      </c>
      <c r="DC45" s="30">
        <f>DC43+DC36</f>
        <v/>
      </c>
      <c r="DD45" s="30">
        <f>DD43+DD36</f>
        <v/>
      </c>
      <c r="DE45" s="30">
        <f>DE43+DE36</f>
        <v/>
      </c>
      <c r="DF45" s="30">
        <f>DF43+DF36</f>
        <v/>
      </c>
      <c r="DG45" s="30">
        <f>DG43+DG36</f>
        <v/>
      </c>
      <c r="DH45" s="30">
        <f>DH43+DH36</f>
        <v/>
      </c>
      <c r="DI45" s="30">
        <f>DI43+DI36</f>
        <v/>
      </c>
      <c r="DJ45" s="30">
        <f>DJ43+DJ36</f>
        <v/>
      </c>
      <c r="DK45" s="30">
        <f>DK43+DK36</f>
        <v/>
      </c>
      <c r="DL45" s="30">
        <f>DL43+DL36</f>
        <v/>
      </c>
      <c r="DM45" s="30">
        <f>DM43+DM36</f>
        <v/>
      </c>
      <c r="DN45" s="30">
        <f>DN43+DN36</f>
        <v/>
      </c>
      <c r="DO45" s="30">
        <f>DO43+DO36</f>
        <v/>
      </c>
      <c r="DP45" s="30">
        <f>DP43+DP36</f>
        <v/>
      </c>
      <c r="DQ45" s="30">
        <f>DQ43+DQ36</f>
        <v/>
      </c>
      <c r="DR45" s="30">
        <f>DR43+DR36</f>
        <v/>
      </c>
      <c r="DS45" s="30">
        <f>DS43+DS36</f>
        <v/>
      </c>
      <c r="DT45" s="30">
        <f>DT43+DT36</f>
        <v/>
      </c>
      <c r="DU45" s="30">
        <f>DU43+DU36</f>
        <v/>
      </c>
      <c r="DV45" s="30">
        <f>DV43+DV36</f>
        <v/>
      </c>
      <c r="DW45" s="30">
        <f>DW43+DW36</f>
        <v/>
      </c>
      <c r="DX45" s="122" t="n"/>
      <c r="DY45" s="30">
        <f>DY43+DY36</f>
        <v/>
      </c>
      <c r="DZ45" s="30">
        <f>DZ43+DZ36</f>
        <v/>
      </c>
      <c r="EA45" s="30">
        <f>EA43+EA36</f>
        <v/>
      </c>
      <c r="EB45" s="30">
        <f>EB43+EB36</f>
        <v/>
      </c>
      <c r="EC45" s="30">
        <f>EC43+EC36</f>
        <v/>
      </c>
      <c r="ED45" s="30">
        <f>ED43+ED36</f>
        <v/>
      </c>
      <c r="EE45" s="30">
        <f>EE43+EE36</f>
        <v/>
      </c>
      <c r="EF45" s="30">
        <f>EF43+EF36</f>
        <v/>
      </c>
      <c r="EG45" s="30">
        <f>EG43+EG36</f>
        <v/>
      </c>
      <c r="EH45" s="30">
        <f>EH43+EH36</f>
        <v/>
      </c>
      <c r="EI45" s="30">
        <f>EI43+EI36</f>
        <v/>
      </c>
      <c r="EJ45" s="30">
        <f>EJ43+EJ36</f>
        <v/>
      </c>
      <c r="EK45" s="30">
        <f>EK43+EK36</f>
        <v/>
      </c>
      <c r="EL45" s="30">
        <f>EL43+EL36</f>
        <v/>
      </c>
      <c r="EM45" s="30">
        <f>EM43+EM36</f>
        <v/>
      </c>
      <c r="EN45" s="30">
        <f>EN43+EN36</f>
        <v/>
      </c>
      <c r="EO45" s="30">
        <f>EO43+EO36</f>
        <v/>
      </c>
      <c r="EP45" s="30">
        <f>EP43+EP36</f>
        <v/>
      </c>
      <c r="EQ45" s="30">
        <f>EQ43+EQ36</f>
        <v/>
      </c>
      <c r="ER45" s="30">
        <f>ER43+ER36</f>
        <v/>
      </c>
      <c r="ES45" s="30">
        <f>ES43+ES36</f>
        <v/>
      </c>
      <c r="ET45" s="30">
        <f>ET43+ET36</f>
        <v/>
      </c>
      <c r="EU45" s="30">
        <f>EU43+EU36</f>
        <v/>
      </c>
      <c r="EV45" s="30">
        <f>EV43+EV36</f>
        <v/>
      </c>
      <c r="EW45" s="30">
        <f>EW43+EW36</f>
        <v/>
      </c>
      <c r="EX45" s="30">
        <f>EX43+EX36</f>
        <v/>
      </c>
      <c r="EY45" s="30">
        <f>EY43+EY36</f>
        <v/>
      </c>
      <c r="EZ45" s="30">
        <f>EZ43+EZ36</f>
        <v/>
      </c>
      <c r="FA45" s="30">
        <f>FA43+FA36</f>
        <v/>
      </c>
      <c r="FB45" s="30">
        <f>FB43+FB36</f>
        <v/>
      </c>
      <c r="FC45" s="30">
        <f>FC43+FC36</f>
        <v/>
      </c>
      <c r="FD45" s="128">
        <f>SUM(DY45:FC45)</f>
        <v/>
      </c>
      <c r="FE45" s="30">
        <f>FE43+FE36</f>
        <v/>
      </c>
      <c r="FF45" s="30">
        <f>FF43+FF36</f>
        <v/>
      </c>
      <c r="FG45" s="30">
        <f>FG43+FG36</f>
        <v/>
      </c>
      <c r="FH45" s="30">
        <f>FH43+FH36</f>
        <v/>
      </c>
      <c r="FI45" s="30">
        <f>FI43+FI36</f>
        <v/>
      </c>
      <c r="FJ45" s="30">
        <f>FJ43+FJ36</f>
        <v/>
      </c>
      <c r="FK45" s="30">
        <f>FK43+FK36</f>
        <v/>
      </c>
      <c r="FL45" s="30">
        <f>FL43+FL36</f>
        <v/>
      </c>
      <c r="FM45" s="30">
        <f>FM43+FM36</f>
        <v/>
      </c>
      <c r="FN45" s="30">
        <f>FN43+FN36</f>
        <v/>
      </c>
      <c r="FO45" s="30">
        <f>FO43+FO36</f>
        <v/>
      </c>
      <c r="FP45" s="30">
        <f>FP43+FP36</f>
        <v/>
      </c>
      <c r="FQ45" s="30">
        <f>FQ43+FQ36</f>
        <v/>
      </c>
      <c r="FR45" s="30">
        <f>FR43+FR36</f>
        <v/>
      </c>
      <c r="FS45" s="30">
        <f>FS43+FS36</f>
        <v/>
      </c>
      <c r="FT45" s="30">
        <f>FT43+FT36</f>
        <v/>
      </c>
      <c r="FU45" s="30">
        <f>FU43+FU36</f>
        <v/>
      </c>
      <c r="FV45" s="30">
        <f>FV43+FV36</f>
        <v/>
      </c>
      <c r="FW45" s="30">
        <f>FW43+FW36</f>
        <v/>
      </c>
      <c r="FX45" s="30">
        <f>FX43+FX36</f>
        <v/>
      </c>
      <c r="FY45" s="30">
        <f>FY43+FY36</f>
        <v/>
      </c>
      <c r="FZ45" s="30">
        <f>FZ43+FZ36</f>
        <v/>
      </c>
      <c r="GA45" s="30">
        <f>GA43+GA36</f>
        <v/>
      </c>
      <c r="GB45" s="30">
        <f>GB43+GB36</f>
        <v/>
      </c>
      <c r="GC45" s="30">
        <f>GC43+GC36</f>
        <v/>
      </c>
      <c r="GD45" s="30">
        <f>GD43+GD36</f>
        <v/>
      </c>
      <c r="GE45" s="30">
        <f>GE43+GE36</f>
        <v/>
      </c>
      <c r="GF45" s="30">
        <f>GF43+GF36</f>
        <v/>
      </c>
      <c r="GG45" s="30">
        <f>GG43+GG36</f>
        <v/>
      </c>
      <c r="GH45" s="30">
        <f>GH43+GH36</f>
        <v/>
      </c>
      <c r="GI45" s="30">
        <f>GI43+GI36</f>
        <v/>
      </c>
      <c r="GJ45" s="127">
        <f>SUM(FE45:GI45)</f>
        <v/>
      </c>
      <c r="GK45" s="30">
        <f>GK43+GK36</f>
        <v/>
      </c>
      <c r="GL45" s="30">
        <f>GL43+GL36</f>
        <v/>
      </c>
      <c r="GM45" s="30">
        <f>GM43+GM36</f>
        <v/>
      </c>
      <c r="GN45" s="30">
        <f>GN43+GN36</f>
        <v/>
      </c>
      <c r="GO45" s="30">
        <f>GO43+GO36</f>
        <v/>
      </c>
      <c r="GP45" s="30">
        <f>GP43+GP36</f>
        <v/>
      </c>
      <c r="GQ45" s="30">
        <f>GQ43+GQ36</f>
        <v/>
      </c>
      <c r="GR45" s="30">
        <f>GR43+GR36</f>
        <v/>
      </c>
      <c r="GS45" s="30">
        <f>GS43+GS36</f>
        <v/>
      </c>
      <c r="GT45" s="30">
        <f>GT43+GT36</f>
        <v/>
      </c>
      <c r="GU45" s="30">
        <f>GU43+GU36</f>
        <v/>
      </c>
      <c r="GV45" s="30">
        <f>GV43+GV36</f>
        <v/>
      </c>
      <c r="GW45" s="30">
        <f>GW43+GW36</f>
        <v/>
      </c>
      <c r="GX45" s="30">
        <f>GX43+GX36</f>
        <v/>
      </c>
      <c r="GY45" s="30">
        <f>GY43+GY36</f>
        <v/>
      </c>
      <c r="GZ45" s="30">
        <f>GZ43+GZ36</f>
        <v/>
      </c>
      <c r="HA45" s="30">
        <f>HA43+HA36</f>
        <v/>
      </c>
      <c r="HB45" s="30">
        <f>HB43+HB36</f>
        <v/>
      </c>
      <c r="HC45" s="30">
        <f>HC43+HC36</f>
        <v/>
      </c>
      <c r="HD45" s="30">
        <f>HD43+HD36</f>
        <v/>
      </c>
      <c r="HE45" s="30">
        <f>HE43+HE36</f>
        <v/>
      </c>
      <c r="HF45" s="30">
        <f>HF43+HF36</f>
        <v/>
      </c>
      <c r="HG45" s="30">
        <f>HG43+HG36</f>
        <v/>
      </c>
      <c r="HH45" s="30">
        <f>HH43+HH36</f>
        <v/>
      </c>
      <c r="HI45" s="30">
        <f>HI43+HI36</f>
        <v/>
      </c>
      <c r="HJ45" s="30">
        <f>HJ43+HJ36</f>
        <v/>
      </c>
      <c r="HK45" s="30">
        <f>HK43+HK36</f>
        <v/>
      </c>
      <c r="HL45" s="30">
        <f>HL43+HL36</f>
        <v/>
      </c>
      <c r="HM45" s="30">
        <f>HM43+HM36</f>
        <v/>
      </c>
      <c r="HN45" s="127">
        <f>SUM(GK45:HM45)</f>
        <v/>
      </c>
      <c r="HO45" s="30">
        <f>HO43+HO36</f>
        <v/>
      </c>
      <c r="HP45" s="30">
        <f>HP43+HP36</f>
        <v/>
      </c>
      <c r="HQ45" s="30">
        <f>HQ43+HQ36</f>
        <v/>
      </c>
      <c r="HR45" s="30">
        <f>HR43+HR36</f>
        <v/>
      </c>
      <c r="HS45" s="30">
        <f>HS43+HS36</f>
        <v/>
      </c>
      <c r="HT45" s="30">
        <f>HT43+HT36</f>
        <v/>
      </c>
      <c r="HU45" s="30">
        <f>HU43+HU36</f>
        <v/>
      </c>
      <c r="HV45" s="30">
        <f>HV43+HV36</f>
        <v/>
      </c>
      <c r="HW45" s="30">
        <f>HW43+HW36</f>
        <v/>
      </c>
      <c r="HX45" s="30">
        <f>HX43+HX36</f>
        <v/>
      </c>
      <c r="HY45" s="30">
        <f>HY43+HY36</f>
        <v/>
      </c>
      <c r="HZ45" s="30">
        <f>HZ43+HZ36</f>
        <v/>
      </c>
      <c r="IA45" s="30">
        <f>IA43+IA36</f>
        <v/>
      </c>
      <c r="IB45" s="30">
        <f>IB43+IB36</f>
        <v/>
      </c>
      <c r="IC45" s="30">
        <f>IC43+IC36</f>
        <v/>
      </c>
      <c r="ID45" s="30">
        <f>ID43+ID36</f>
        <v/>
      </c>
      <c r="IE45" s="30">
        <f>IE43+IE36</f>
        <v/>
      </c>
      <c r="IF45" s="30">
        <f>IF43+IF36</f>
        <v/>
      </c>
      <c r="IG45" s="30">
        <f>IG43+IG36</f>
        <v/>
      </c>
      <c r="IH45" s="30">
        <f>IH43+IH36</f>
        <v/>
      </c>
      <c r="II45" s="30">
        <f>II43+II36</f>
        <v/>
      </c>
      <c r="IJ45" s="30">
        <f>IJ43+IJ36</f>
        <v/>
      </c>
      <c r="IK45" s="30">
        <f>IK43+IK36</f>
        <v/>
      </c>
      <c r="IL45" s="30">
        <f>IL43+IL36</f>
        <v/>
      </c>
      <c r="IM45" s="30">
        <f>IM43+IM36</f>
        <v/>
      </c>
      <c r="IN45" s="30">
        <f>IN43+IN36</f>
        <v/>
      </c>
      <c r="IO45" s="30">
        <f>IO43+IO36</f>
        <v/>
      </c>
      <c r="IP45" s="30">
        <f>IP43+IP36</f>
        <v/>
      </c>
      <c r="IQ45" s="30">
        <f>IQ43+IQ36</f>
        <v/>
      </c>
      <c r="IR45" s="30">
        <f>IR43+IR36</f>
        <v/>
      </c>
      <c r="IS45" s="30">
        <f>IS43+IS36</f>
        <v/>
      </c>
      <c r="IT45" s="127">
        <f>SUM(HO45:IS45)</f>
        <v/>
      </c>
      <c r="IU45" s="30">
        <f>IU43+IU36</f>
        <v/>
      </c>
      <c r="IV45" s="30">
        <f>IV43+IV36</f>
        <v/>
      </c>
      <c r="IW45" s="30">
        <f>IW43+IW36</f>
        <v/>
      </c>
      <c r="IX45" s="30">
        <f>IX43+IX36</f>
        <v/>
      </c>
      <c r="IY45" s="30">
        <f>IY43+IY36</f>
        <v/>
      </c>
      <c r="IZ45" s="30">
        <f>IZ43+IZ36</f>
        <v/>
      </c>
      <c r="JA45" s="30">
        <f>JA43+JA36</f>
        <v/>
      </c>
      <c r="JB45" s="30">
        <f>JB43+JB36</f>
        <v/>
      </c>
      <c r="JC45" s="30">
        <f>JC43+JC36</f>
        <v/>
      </c>
      <c r="JD45" s="30">
        <f>JD43+JD36</f>
        <v/>
      </c>
      <c r="JE45" s="30">
        <f>JE43+JE36</f>
        <v/>
      </c>
      <c r="JF45" s="30">
        <f>JF43+JF36</f>
        <v/>
      </c>
      <c r="JG45" s="30">
        <f>JG43+JG36</f>
        <v/>
      </c>
      <c r="JH45" s="30">
        <f>JH43+JH36</f>
        <v/>
      </c>
      <c r="JI45" s="30">
        <f>JI43+JI36</f>
        <v/>
      </c>
      <c r="JJ45" s="30">
        <f>JJ43+JJ36</f>
        <v/>
      </c>
      <c r="JK45" s="30">
        <f>JK43+JK36</f>
        <v/>
      </c>
      <c r="JL45" s="30">
        <f>JL43+JL36</f>
        <v/>
      </c>
      <c r="JM45" s="30">
        <f>JM43+JM36</f>
        <v/>
      </c>
      <c r="JN45" s="30">
        <f>JN43+JN36</f>
        <v/>
      </c>
      <c r="JO45" s="30">
        <f>JO43+JO36</f>
        <v/>
      </c>
      <c r="JP45" s="30">
        <f>JP43+JP36</f>
        <v/>
      </c>
      <c r="JQ45" s="30">
        <f>JQ43+JQ36</f>
        <v/>
      </c>
      <c r="JR45" s="30">
        <f>JR43+JR36</f>
        <v/>
      </c>
      <c r="JS45" s="30">
        <f>JS43+JS36</f>
        <v/>
      </c>
      <c r="JT45" s="30">
        <f>JT43+JT36</f>
        <v/>
      </c>
      <c r="JU45" s="30">
        <f>JU43+JU36</f>
        <v/>
      </c>
      <c r="JV45" s="30">
        <f>JV43+JV36</f>
        <v/>
      </c>
      <c r="JW45" s="30">
        <f>JW43+JW36</f>
        <v/>
      </c>
      <c r="JX45" s="30">
        <f>JX43+JX36</f>
        <v/>
      </c>
      <c r="JY45" s="127">
        <f>SUM(IU45:JX45)</f>
        <v/>
      </c>
      <c r="JZ45" s="30">
        <f>JZ43+JZ36</f>
        <v/>
      </c>
      <c r="KA45" s="30">
        <f>KA43+KA36</f>
        <v/>
      </c>
      <c r="KB45" s="30">
        <f>KB43+KB36</f>
        <v/>
      </c>
      <c r="KC45" s="30">
        <f>KC43+KC36</f>
        <v/>
      </c>
      <c r="KD45" s="30">
        <f>KD43+KD36</f>
        <v/>
      </c>
      <c r="KE45" s="30">
        <f>KE43+KE36</f>
        <v/>
      </c>
      <c r="KF45" s="30">
        <f>KF43+KF36</f>
        <v/>
      </c>
      <c r="KG45" s="30">
        <f>KG43+KG36</f>
        <v/>
      </c>
      <c r="KH45" s="30">
        <f>KH43+KH36</f>
        <v/>
      </c>
      <c r="KI45" s="30">
        <f>KI43+KI36</f>
        <v/>
      </c>
      <c r="KJ45" s="30">
        <f>KJ43+KJ36</f>
        <v/>
      </c>
      <c r="KK45" s="30">
        <f>KK43+KK36</f>
        <v/>
      </c>
      <c r="KL45" s="30">
        <f>KL43+KL36</f>
        <v/>
      </c>
      <c r="KM45" s="30">
        <f>KM43+KM36</f>
        <v/>
      </c>
      <c r="KN45" s="30">
        <f>KN43+KN36</f>
        <v/>
      </c>
      <c r="KO45" s="30">
        <f>KO43+KO36</f>
        <v/>
      </c>
      <c r="KP45" s="30">
        <f>KP43+KP36</f>
        <v/>
      </c>
      <c r="KQ45" s="30">
        <f>KQ43+KQ36</f>
        <v/>
      </c>
      <c r="KR45" s="30">
        <f>KR43+KR36</f>
        <v/>
      </c>
      <c r="KS45" s="30">
        <f>KS43+KS36</f>
        <v/>
      </c>
      <c r="KT45" s="30">
        <f>KT43+KT36</f>
        <v/>
      </c>
      <c r="KU45" s="30">
        <f>KU43+KU36</f>
        <v/>
      </c>
      <c r="KV45" s="30">
        <f>KV43+KV36</f>
        <v/>
      </c>
      <c r="KW45" s="30">
        <f>KW43+KW36</f>
        <v/>
      </c>
      <c r="KX45" s="30">
        <f>KX43+KX36</f>
        <v/>
      </c>
      <c r="KY45" s="30">
        <f>KY43+KY36</f>
        <v/>
      </c>
      <c r="KZ45" s="30">
        <f>KZ43+KZ36</f>
        <v/>
      </c>
      <c r="LA45" s="30">
        <f>LA43+LA36</f>
        <v/>
      </c>
      <c r="LB45" s="30">
        <f>LB43+LB36</f>
        <v/>
      </c>
      <c r="LC45" s="30">
        <f>LC43+LC36</f>
        <v/>
      </c>
      <c r="LD45" s="30">
        <f>LD43+LD36</f>
        <v/>
      </c>
      <c r="LE45" s="127">
        <f>SUM(KA45:LD45)</f>
        <v/>
      </c>
      <c r="LF45" s="30">
        <f>LF43+LF36</f>
        <v/>
      </c>
      <c r="LG45" s="30">
        <f>LG43+LG36</f>
        <v/>
      </c>
      <c r="LH45" s="30">
        <f>LH43+LH36</f>
        <v/>
      </c>
      <c r="LI45" s="30">
        <f>LI43+LI36</f>
        <v/>
      </c>
      <c r="LJ45" s="30">
        <f>LJ43+LJ36</f>
        <v/>
      </c>
      <c r="LK45" s="30">
        <f>LK43+LK36</f>
        <v/>
      </c>
      <c r="LL45" s="30">
        <f>LL43+LL36</f>
        <v/>
      </c>
      <c r="LM45" s="30">
        <f>LM43+LM36</f>
        <v/>
      </c>
      <c r="LN45" s="30">
        <f>LN43+LN36</f>
        <v/>
      </c>
      <c r="LO45" s="30">
        <f>LO43+LO36</f>
        <v/>
      </c>
      <c r="LP45" s="30">
        <f>LP43+LP36</f>
        <v/>
      </c>
      <c r="LQ45" s="30">
        <f>LQ43+LQ36</f>
        <v/>
      </c>
      <c r="LR45" s="30">
        <f>LR43+LR36</f>
        <v/>
      </c>
      <c r="LS45" s="30">
        <f>LS43+LS36</f>
        <v/>
      </c>
      <c r="LT45" s="30">
        <f>LT43+LT36</f>
        <v/>
      </c>
      <c r="LU45" s="30">
        <f>LU43+LU36</f>
        <v/>
      </c>
      <c r="LV45" s="30">
        <f>LV43+LV36</f>
        <v/>
      </c>
      <c r="LW45" s="30">
        <f>LW43+LW36</f>
        <v/>
      </c>
      <c r="LX45" s="30">
        <f>LX43+LX36</f>
        <v/>
      </c>
      <c r="LY45" s="30">
        <f>LY43+LY36</f>
        <v/>
      </c>
      <c r="LZ45" s="30">
        <f>LZ43+LZ36</f>
        <v/>
      </c>
      <c r="MA45" s="30">
        <f>MA43+MA36</f>
        <v/>
      </c>
      <c r="MB45" s="30">
        <f>MB43+MB36</f>
        <v/>
      </c>
      <c r="MC45" s="30">
        <f>MC43+MC36</f>
        <v/>
      </c>
      <c r="MD45" s="30">
        <f>MD43+MD36</f>
        <v/>
      </c>
      <c r="ME45" s="30">
        <f>ME43+ME36</f>
        <v/>
      </c>
      <c r="MF45" s="30">
        <f>MF43+MF36</f>
        <v/>
      </c>
      <c r="MG45" s="30">
        <f>MG43+MG36</f>
        <v/>
      </c>
      <c r="MH45" s="30">
        <f>MH43+MH36</f>
        <v/>
      </c>
      <c r="MI45" s="30">
        <f>MI43+MI36</f>
        <v/>
      </c>
      <c r="MJ45" s="127">
        <f>SUM(LF45:MI45)</f>
        <v/>
      </c>
      <c r="MK45" s="30">
        <f>MK43+MK36</f>
        <v/>
      </c>
      <c r="ML45" s="30">
        <f>ML43+ML36</f>
        <v/>
      </c>
      <c r="MM45" s="30">
        <f>MM43+MM36</f>
        <v/>
      </c>
      <c r="MN45" s="30">
        <f>MN43+MN36</f>
        <v/>
      </c>
      <c r="MO45" s="30">
        <f>MO43+MO36</f>
        <v/>
      </c>
      <c r="MP45" s="30">
        <f>MP43+MP36</f>
        <v/>
      </c>
      <c r="MQ45" s="30">
        <f>MQ43+MQ36</f>
        <v/>
      </c>
      <c r="MR45" s="30">
        <f>MR43+MR36</f>
        <v/>
      </c>
      <c r="MS45" s="30">
        <f>MS43+MS36</f>
        <v/>
      </c>
      <c r="MT45" s="30">
        <f>MT43+MT36</f>
        <v/>
      </c>
      <c r="MU45" s="30">
        <f>MU43+MU36</f>
        <v/>
      </c>
      <c r="MV45" s="30">
        <f>MV43+MV36</f>
        <v/>
      </c>
      <c r="MW45" s="30">
        <f>MW43+MW36</f>
        <v/>
      </c>
      <c r="MX45" s="30">
        <f>MX43+MX36</f>
        <v/>
      </c>
      <c r="MY45" s="30">
        <f>MY43+MY36</f>
        <v/>
      </c>
      <c r="MZ45" s="30">
        <f>MZ43+MZ36</f>
        <v/>
      </c>
      <c r="NA45" s="30">
        <f>NA43+NA36</f>
        <v/>
      </c>
      <c r="NB45" s="30">
        <f>NB43+NB36</f>
        <v/>
      </c>
      <c r="NC45" s="30">
        <f>NC43+NC36</f>
        <v/>
      </c>
      <c r="ND45" s="30">
        <f>ND43+ND36</f>
        <v/>
      </c>
      <c r="NE45" s="30">
        <f>NE43+NE36</f>
        <v/>
      </c>
      <c r="NF45" s="30">
        <f>NF43+NF36</f>
        <v/>
      </c>
      <c r="NG45" s="30">
        <f>NG43+NG36</f>
        <v/>
      </c>
      <c r="NH45" s="30">
        <f>NH43+NH36</f>
        <v/>
      </c>
      <c r="NI45" s="30">
        <f>NI43+NI36</f>
        <v/>
      </c>
      <c r="NJ45" s="30">
        <f>NJ43+NJ36</f>
        <v/>
      </c>
      <c r="NK45" s="30">
        <f>NK43+NK36</f>
        <v/>
      </c>
      <c r="NL45" s="30">
        <f>NL43+NL36</f>
        <v/>
      </c>
      <c r="NM45" s="30">
        <f>NM43+NM36</f>
        <v/>
      </c>
      <c r="NN45" s="30">
        <f>NN43+NN36</f>
        <v/>
      </c>
      <c r="NO45" s="30">
        <f>NO43+NO36</f>
        <v/>
      </c>
      <c r="NP45" s="127">
        <f>SUM(ML45:NO45)</f>
        <v/>
      </c>
      <c r="NQ45" s="30">
        <f>NQ43+NQ36</f>
        <v/>
      </c>
      <c r="NR45" s="30">
        <f>NR43+NR36</f>
        <v/>
      </c>
      <c r="NS45" s="30">
        <f>NS43+NS36</f>
        <v/>
      </c>
      <c r="NT45" s="30">
        <f>NT43+NT36</f>
        <v/>
      </c>
      <c r="NU45" s="30">
        <f>NU43+NU36</f>
        <v/>
      </c>
      <c r="NV45" s="30">
        <f>NV43+NV36</f>
        <v/>
      </c>
      <c r="NW45" s="30">
        <f>NW43+NW36</f>
        <v/>
      </c>
      <c r="NX45" s="30">
        <f>NX43+NX36</f>
        <v/>
      </c>
      <c r="NY45" s="30">
        <f>NY43+NY36</f>
        <v/>
      </c>
      <c r="NZ45" s="30">
        <f>NZ43+NZ36</f>
        <v/>
      </c>
      <c r="OA45" s="30">
        <f>OA43+OA36</f>
        <v/>
      </c>
      <c r="OB45" s="30">
        <f>OB43+OB36</f>
        <v/>
      </c>
      <c r="OC45" s="30">
        <f>OC43+OC36</f>
        <v/>
      </c>
      <c r="OD45" s="30">
        <f>OD43+OD36</f>
        <v/>
      </c>
      <c r="OE45" s="30">
        <f>OE43+OE36</f>
        <v/>
      </c>
      <c r="OF45" s="30">
        <f>OF43+OF36</f>
        <v/>
      </c>
      <c r="OG45" s="30">
        <f>OG43+OG36</f>
        <v/>
      </c>
      <c r="OH45" s="30">
        <f>OH43+OH36</f>
        <v/>
      </c>
      <c r="OI45" s="30">
        <f>OI43+OI36</f>
        <v/>
      </c>
      <c r="OJ45" s="30">
        <f>OJ43+OJ36</f>
        <v/>
      </c>
      <c r="OK45" s="30">
        <f>OK43+OK36</f>
        <v/>
      </c>
      <c r="OL45" s="30">
        <f>OL43+OL36</f>
        <v/>
      </c>
      <c r="OM45" s="30">
        <f>OM43+OM36</f>
        <v/>
      </c>
      <c r="ON45" s="30">
        <f>ON43+ON36</f>
        <v/>
      </c>
      <c r="OO45" s="30">
        <f>OO43+OO36</f>
        <v/>
      </c>
      <c r="OP45" s="30">
        <f>OP43+OP36</f>
        <v/>
      </c>
      <c r="OQ45" s="30">
        <f>OQ43+OQ36</f>
        <v/>
      </c>
      <c r="OR45" s="30">
        <f>OR43+OR36</f>
        <v/>
      </c>
      <c r="OS45" s="30">
        <f>OS43+OS36</f>
        <v/>
      </c>
      <c r="OT45" s="30">
        <f>OT43+OT36</f>
        <v/>
      </c>
      <c r="OU45" s="30">
        <f>OU43+OU36</f>
        <v/>
      </c>
      <c r="OV45" s="127">
        <f>SUM(NR45:OU45)</f>
        <v/>
      </c>
      <c r="OW45" s="30">
        <f>OW43+OW36</f>
        <v/>
      </c>
      <c r="OX45" s="30">
        <f>OX43+OX36</f>
        <v/>
      </c>
      <c r="OY45" s="30">
        <f>OY43+OY36</f>
        <v/>
      </c>
      <c r="OZ45" s="30">
        <f>OZ43+OZ36</f>
        <v/>
      </c>
      <c r="PA45" s="30">
        <f>PA43+PA36</f>
        <v/>
      </c>
      <c r="PB45" s="30">
        <f>PB43+PB36</f>
        <v/>
      </c>
      <c r="PC45" s="30">
        <f>PC43+PC36</f>
        <v/>
      </c>
      <c r="PD45" s="30">
        <f>PD43+PD36</f>
        <v/>
      </c>
      <c r="PE45" s="30">
        <f>PE43+PE36</f>
        <v/>
      </c>
      <c r="PF45" s="30">
        <f>PF43+PF36</f>
        <v/>
      </c>
      <c r="PG45" s="30">
        <f>PG43+PG36</f>
        <v/>
      </c>
      <c r="PH45" s="30">
        <f>PH43+PH36</f>
        <v/>
      </c>
      <c r="PI45" s="30">
        <f>PI43+PI36</f>
        <v/>
      </c>
      <c r="PJ45" s="30">
        <f>PJ43+PJ36</f>
        <v/>
      </c>
      <c r="PK45" s="30">
        <f>PK43+PK36</f>
        <v/>
      </c>
      <c r="PL45" s="30">
        <f>PL43+PL36</f>
        <v/>
      </c>
      <c r="PM45" s="30">
        <f>PM43+PM36</f>
        <v/>
      </c>
      <c r="PN45" s="30">
        <f>PN43+PN36</f>
        <v/>
      </c>
      <c r="PO45" s="30">
        <f>PO43+PO36</f>
        <v/>
      </c>
      <c r="PP45" s="30">
        <f>PP43+PP36</f>
        <v/>
      </c>
      <c r="PQ45" s="30">
        <f>PQ43+PQ36</f>
        <v/>
      </c>
      <c r="PR45" s="30">
        <f>PR43+PR36</f>
        <v/>
      </c>
      <c r="PS45" s="30">
        <f>PS43+PS36</f>
        <v/>
      </c>
      <c r="PT45" s="30">
        <f>PT43+PT36</f>
        <v/>
      </c>
      <c r="PU45" s="30">
        <f>PU43+PU36</f>
        <v/>
      </c>
      <c r="PV45" s="30">
        <f>PV43+PV36</f>
        <v/>
      </c>
      <c r="PW45" s="30">
        <f>PW43+PW36</f>
        <v/>
      </c>
      <c r="PX45" s="30">
        <f>PX43+PX36</f>
        <v/>
      </c>
      <c r="PY45" s="30">
        <f>PY43+PY36</f>
        <v/>
      </c>
      <c r="PZ45" s="30">
        <f>PZ43+PZ36</f>
        <v/>
      </c>
      <c r="QA45" s="127">
        <f>SUM(OW45:PZ45)</f>
        <v/>
      </c>
      <c r="QB45" s="30">
        <f>QB43+QB36</f>
        <v/>
      </c>
      <c r="QC45" s="30">
        <f>QC43+QC36</f>
        <v/>
      </c>
      <c r="QD45" s="30">
        <f>QD43+QD36</f>
        <v/>
      </c>
      <c r="QE45" s="30">
        <f>QE43+QE36</f>
        <v/>
      </c>
      <c r="QF45" s="30">
        <f>QF43+QF36</f>
        <v/>
      </c>
      <c r="QG45" s="30">
        <f>QG43+QG36</f>
        <v/>
      </c>
      <c r="QH45" s="30">
        <f>QH43+QH36</f>
        <v/>
      </c>
      <c r="QI45" s="30">
        <f>QI43+QI36</f>
        <v/>
      </c>
      <c r="QJ45" s="30">
        <f>QJ43+QJ36</f>
        <v/>
      </c>
      <c r="QK45" s="30">
        <f>QK43+QK36</f>
        <v/>
      </c>
      <c r="QL45" s="30">
        <f>QL43+QL36</f>
        <v/>
      </c>
      <c r="QM45" s="30">
        <f>QM43+QM36</f>
        <v/>
      </c>
      <c r="QN45" s="30">
        <f>QN43+QN36</f>
        <v/>
      </c>
      <c r="QO45" s="30">
        <f>QO43+QO36</f>
        <v/>
      </c>
      <c r="QP45" s="30">
        <f>QP43+QP36</f>
        <v/>
      </c>
      <c r="QQ45" s="30">
        <f>QQ43+QQ36</f>
        <v/>
      </c>
      <c r="QR45" s="30">
        <f>QR43+QR36</f>
        <v/>
      </c>
      <c r="QS45" s="30">
        <f>QS43+QS36</f>
        <v/>
      </c>
      <c r="QT45" s="30">
        <f>QT43+QT36</f>
        <v/>
      </c>
      <c r="QU45" s="30">
        <f>QU43+QU36</f>
        <v/>
      </c>
      <c r="QV45" s="30">
        <f>QV43+QV36</f>
        <v/>
      </c>
      <c r="QW45" s="30">
        <f>QW43+QW36</f>
        <v/>
      </c>
      <c r="QX45" s="30">
        <f>QX43+QX36</f>
        <v/>
      </c>
      <c r="QY45" s="30">
        <f>QY43+QY36</f>
        <v/>
      </c>
      <c r="QZ45" s="30">
        <f>QZ43+QZ36</f>
        <v/>
      </c>
      <c r="RA45" s="30">
        <f>RA43+RA36</f>
        <v/>
      </c>
      <c r="RB45" s="30">
        <f>RB43+RB36</f>
        <v/>
      </c>
      <c r="RC45" s="30">
        <f>RC43+RC36</f>
        <v/>
      </c>
      <c r="RD45" s="30">
        <f>RD43+RD36</f>
        <v/>
      </c>
      <c r="RE45" s="30">
        <f>RE43+RE36</f>
        <v/>
      </c>
      <c r="RF45" s="30">
        <f>RF43+RF36</f>
        <v/>
      </c>
      <c r="RG45" s="127">
        <f>SUM(QC45:RF45)</f>
        <v/>
      </c>
      <c r="RH45" s="30">
        <f>RH43+RH36</f>
        <v/>
      </c>
      <c r="RI45" s="30">
        <f>RI43+RI36</f>
        <v/>
      </c>
      <c r="RJ45" s="30">
        <f>RJ43+RJ36</f>
        <v/>
      </c>
      <c r="RK45" s="30">
        <f>RK43+RK36</f>
        <v/>
      </c>
      <c r="RL45" s="30">
        <f>RL43+RL36</f>
        <v/>
      </c>
      <c r="RM45" s="30">
        <f>RM43+RM36</f>
        <v/>
      </c>
      <c r="RN45" s="30">
        <f>RN43+RN36</f>
        <v/>
      </c>
      <c r="RO45" s="30">
        <f>RO43+RO36</f>
        <v/>
      </c>
      <c r="RP45" s="30">
        <f>RP43+RP36</f>
        <v/>
      </c>
      <c r="RQ45" s="30">
        <f>RQ43+RQ36</f>
        <v/>
      </c>
      <c r="RR45" s="30">
        <f>RR43+RR36</f>
        <v/>
      </c>
      <c r="RS45" s="30">
        <f>RS43+RS36</f>
        <v/>
      </c>
      <c r="RT45" s="30">
        <f>RT43+RT36</f>
        <v/>
      </c>
      <c r="RU45" s="30">
        <f>RU43+RU36</f>
        <v/>
      </c>
      <c r="RV45" s="30">
        <f>RV43+RV36</f>
        <v/>
      </c>
      <c r="RW45" s="30">
        <f>RW43+RW36</f>
        <v/>
      </c>
      <c r="RX45" s="30">
        <f>RX43+RX36</f>
        <v/>
      </c>
      <c r="RY45" s="30">
        <f>RY43+RY36</f>
        <v/>
      </c>
      <c r="RZ45" s="30">
        <f>RZ43+RZ36</f>
        <v/>
      </c>
      <c r="SA45" s="30">
        <f>SA43+SA36</f>
        <v/>
      </c>
      <c r="SB45" s="30">
        <f>SB43+SB36</f>
        <v/>
      </c>
      <c r="SC45" s="30">
        <f>SC43+SC36</f>
        <v/>
      </c>
      <c r="SD45" s="30">
        <f>SD43+SD36</f>
        <v/>
      </c>
      <c r="SE45" s="30">
        <f>SE43+SE36</f>
        <v/>
      </c>
      <c r="SF45" s="30">
        <f>SF43+SF36</f>
        <v/>
      </c>
      <c r="SG45" s="30">
        <f>SG43+SG36</f>
        <v/>
      </c>
      <c r="SH45" s="30">
        <f>SH43+SH36</f>
        <v/>
      </c>
      <c r="SI45" s="30">
        <f>SI43+SI36</f>
        <v/>
      </c>
      <c r="SJ45" s="30">
        <f>SJ43+SJ36</f>
        <v/>
      </c>
      <c r="SK45" s="30">
        <f>SK43+SK36</f>
        <v/>
      </c>
      <c r="SL45" s="127">
        <f>SUM(RH45:SK45)</f>
        <v/>
      </c>
      <c r="SM45" s="30">
        <f>SM43+SM36</f>
        <v/>
      </c>
      <c r="SN45" s="30">
        <f>SN43+SN36</f>
        <v/>
      </c>
      <c r="SO45" s="30">
        <f>SO43+SO36</f>
        <v/>
      </c>
      <c r="SP45" s="30">
        <f>SP43+SP36</f>
        <v/>
      </c>
      <c r="SQ45" s="30">
        <f>SQ43+SQ36</f>
        <v/>
      </c>
      <c r="SR45" s="30">
        <f>SR43+SR36</f>
        <v/>
      </c>
      <c r="SS45" s="30">
        <f>SS43+SS36</f>
        <v/>
      </c>
      <c r="ST45" s="30">
        <f>ST43+ST36</f>
        <v/>
      </c>
      <c r="SU45" s="30">
        <f>SU43+SU36</f>
        <v/>
      </c>
      <c r="SV45" s="30">
        <f>SV43+SV36</f>
        <v/>
      </c>
      <c r="SW45" s="30">
        <f>SW43+SW36</f>
        <v/>
      </c>
      <c r="SX45" s="30">
        <f>SX43+SX36</f>
        <v/>
      </c>
      <c r="SY45" s="30">
        <f>SY43+SY36</f>
        <v/>
      </c>
      <c r="SZ45" s="30">
        <f>SZ43+SZ36</f>
        <v/>
      </c>
      <c r="TA45" s="30">
        <f>TA43+TA36</f>
        <v/>
      </c>
      <c r="TB45" s="30">
        <f>TB43+TB36</f>
        <v/>
      </c>
      <c r="TC45" s="30">
        <f>TC43+TC36</f>
        <v/>
      </c>
      <c r="TD45" s="30">
        <f>TD43+TD36</f>
        <v/>
      </c>
      <c r="TE45" s="30">
        <f>TE43+TE36</f>
        <v/>
      </c>
      <c r="TF45" s="30">
        <f>TF43+TF36</f>
        <v/>
      </c>
      <c r="TG45" s="30">
        <f>TG43+TG36</f>
        <v/>
      </c>
      <c r="TH45" s="30">
        <f>TH43+TH36</f>
        <v/>
      </c>
      <c r="TI45" s="30">
        <f>TI43+TI36</f>
        <v/>
      </c>
      <c r="TJ45" s="30">
        <f>TJ43+TJ36</f>
        <v/>
      </c>
      <c r="TK45" s="30">
        <f>TK43+TK36</f>
        <v/>
      </c>
      <c r="TL45" s="30">
        <f>TL43+TL36</f>
        <v/>
      </c>
      <c r="TM45" s="30">
        <f>TM43+TM36</f>
        <v/>
      </c>
      <c r="TN45" s="30">
        <f>TN43+TN36</f>
        <v/>
      </c>
      <c r="TO45" s="30">
        <f>TO43+TO36</f>
        <v/>
      </c>
      <c r="TP45" s="30">
        <f>TP43+TP36</f>
        <v/>
      </c>
      <c r="TQ45" s="30">
        <f>TQ43+TQ36</f>
        <v/>
      </c>
      <c r="TR45" s="127">
        <f>SUM(SN45:TQ45)</f>
        <v/>
      </c>
      <c r="TS45" s="30">
        <f>TS43+TS36</f>
        <v/>
      </c>
      <c r="TT45" s="30">
        <f>TT43+TT36</f>
        <v/>
      </c>
      <c r="TU45" s="30">
        <f>TU43+TU36</f>
        <v/>
      </c>
      <c r="TV45" s="30">
        <f>TV43+TV36</f>
        <v/>
      </c>
      <c r="TW45" s="30">
        <f>TW43+TW36</f>
        <v/>
      </c>
      <c r="TX45" s="30">
        <f>TX43+TX36</f>
        <v/>
      </c>
      <c r="TY45" s="30">
        <f>TY43+TY36</f>
        <v/>
      </c>
      <c r="TZ45" s="30">
        <f>TZ43+TZ36</f>
        <v/>
      </c>
      <c r="UA45" s="30">
        <f>UA43+UA36</f>
        <v/>
      </c>
      <c r="UB45" s="30">
        <f>UB43+UB36</f>
        <v/>
      </c>
      <c r="UC45" s="30">
        <f>UC43+UC36</f>
        <v/>
      </c>
      <c r="UD45" s="30">
        <f>UD43+UD36</f>
        <v/>
      </c>
      <c r="UE45" s="30">
        <f>UE43+UE36</f>
        <v/>
      </c>
      <c r="UF45" s="30">
        <f>UF43+UF36</f>
        <v/>
      </c>
      <c r="UG45" s="30">
        <f>UG43+UG36</f>
        <v/>
      </c>
      <c r="UH45" s="30">
        <f>UH43+UH36</f>
        <v/>
      </c>
      <c r="UI45" s="30">
        <f>UI43+UI36</f>
        <v/>
      </c>
      <c r="UJ45" s="30">
        <f>UJ43+UJ36</f>
        <v/>
      </c>
      <c r="UK45" s="30">
        <f>UK43+UK36</f>
        <v/>
      </c>
      <c r="UL45" s="30">
        <f>UL43+UL36</f>
        <v/>
      </c>
      <c r="UM45" s="30">
        <f>UM43+UM36</f>
        <v/>
      </c>
      <c r="UN45" s="30">
        <f>UN43+UN36</f>
        <v/>
      </c>
      <c r="UO45" s="30">
        <f>UO43+UO36</f>
        <v/>
      </c>
      <c r="UP45" s="30">
        <f>UP43+UP36</f>
        <v/>
      </c>
      <c r="UQ45" s="30">
        <f>UQ43+UQ36</f>
        <v/>
      </c>
      <c r="UR45" s="30">
        <f>UR43+UR36</f>
        <v/>
      </c>
      <c r="US45" s="30">
        <f>US43+US36</f>
        <v/>
      </c>
      <c r="UT45" s="30">
        <f>UT43+UT36</f>
        <v/>
      </c>
      <c r="UU45" s="30">
        <f>UU43+UU36</f>
        <v/>
      </c>
      <c r="UV45" s="30">
        <f>UV43+UV36</f>
        <v/>
      </c>
      <c r="UW45" s="30">
        <f>UW43+UW36</f>
        <v/>
      </c>
      <c r="UX45" s="127">
        <f>SUM(TT45:UW45)</f>
        <v/>
      </c>
      <c r="UY45" s="30">
        <f>UY43+UY36</f>
        <v/>
      </c>
      <c r="UZ45" s="30">
        <f>UZ43+UZ36</f>
        <v/>
      </c>
      <c r="VA45" s="30">
        <f>VA43+VA36</f>
        <v/>
      </c>
      <c r="VB45" s="30">
        <f>VB43+VB36</f>
        <v/>
      </c>
      <c r="VC45" s="30">
        <f>VC43+VC36</f>
        <v/>
      </c>
      <c r="VD45" s="30">
        <f>VD43+VD36</f>
        <v/>
      </c>
      <c r="VE45" s="30">
        <f>VE43+VE36</f>
        <v/>
      </c>
      <c r="VF45" s="30">
        <f>VF43+VF36</f>
        <v/>
      </c>
      <c r="VG45" s="30">
        <f>VG43+VG36</f>
        <v/>
      </c>
      <c r="VH45" s="30">
        <f>VH43+VH36</f>
        <v/>
      </c>
      <c r="VI45" s="30">
        <f>VI43+VI36</f>
        <v/>
      </c>
      <c r="VJ45" s="30">
        <f>VJ43+VJ36</f>
        <v/>
      </c>
      <c r="VK45" s="30">
        <f>VK43+VK36</f>
        <v/>
      </c>
      <c r="VL45" s="30">
        <f>VL43+VL36</f>
        <v/>
      </c>
      <c r="VM45" s="30">
        <f>VM43+VM36</f>
        <v/>
      </c>
      <c r="VN45" s="30">
        <f>VN43+VN36</f>
        <v/>
      </c>
      <c r="VO45" s="30">
        <f>VO43+VO36</f>
        <v/>
      </c>
      <c r="VP45" s="30">
        <f>VP43+VP36</f>
        <v/>
      </c>
      <c r="VQ45" s="30">
        <f>VQ43+VQ36</f>
        <v/>
      </c>
      <c r="VR45" s="30">
        <f>VR43+VR36</f>
        <v/>
      </c>
      <c r="VS45" s="30">
        <f>VS43+VS36</f>
        <v/>
      </c>
      <c r="VT45" s="30">
        <f>VT43+VT36</f>
        <v/>
      </c>
      <c r="VU45" s="30">
        <f>VU43+VU36</f>
        <v/>
      </c>
      <c r="VV45" s="30">
        <f>VV43+VV36</f>
        <v/>
      </c>
      <c r="VW45" s="30">
        <f>VW43+VW36</f>
        <v/>
      </c>
      <c r="VX45" s="30">
        <f>VX43+VX36</f>
        <v/>
      </c>
      <c r="VY45" s="30">
        <f>VY43+VY36</f>
        <v/>
      </c>
      <c r="VZ45" s="30">
        <f>VZ43+VZ36</f>
        <v/>
      </c>
      <c r="WA45" s="127">
        <f>SUM(UW45:VZ45)</f>
        <v/>
      </c>
      <c r="WB45" s="30">
        <f>WB43+WB36</f>
        <v/>
      </c>
      <c r="WC45" s="30">
        <f>WC43+WC36</f>
        <v/>
      </c>
      <c r="WD45" s="30">
        <f>WD43+WD36</f>
        <v/>
      </c>
      <c r="WE45" s="30">
        <f>WE43+WE36</f>
        <v/>
      </c>
      <c r="WF45" s="30">
        <f>WF43+WF36</f>
        <v/>
      </c>
      <c r="WG45" s="30">
        <f>WG43+WG36</f>
        <v/>
      </c>
      <c r="WH45" s="30">
        <f>WH43+WH36</f>
        <v/>
      </c>
      <c r="WI45" s="30">
        <f>WI43+WI36</f>
        <v/>
      </c>
      <c r="WJ45" s="30">
        <f>WJ43+WJ36</f>
        <v/>
      </c>
      <c r="WK45" s="30">
        <f>WK43+WK36</f>
        <v/>
      </c>
      <c r="WL45" s="30">
        <f>WL43+WL36</f>
        <v/>
      </c>
      <c r="WM45" s="30">
        <f>WM43+WM36</f>
        <v/>
      </c>
      <c r="WN45" s="30">
        <f>WN43+WN36</f>
        <v/>
      </c>
      <c r="WO45" s="30">
        <f>WO43+WO36</f>
        <v/>
      </c>
      <c r="WP45" s="30">
        <f>WP43+WP36</f>
        <v/>
      </c>
      <c r="WQ45" s="30">
        <f>WQ43+WQ36</f>
        <v/>
      </c>
      <c r="WR45" s="30">
        <f>WR43+WR36</f>
        <v/>
      </c>
      <c r="WS45" s="30">
        <f>WS43+WS36</f>
        <v/>
      </c>
      <c r="WT45" s="30">
        <f>WT43+WT36</f>
        <v/>
      </c>
      <c r="WU45" s="30">
        <f>WU43+WU36</f>
        <v/>
      </c>
      <c r="WV45" s="30">
        <f>WV43+WV36</f>
        <v/>
      </c>
      <c r="WW45" s="30">
        <f>WW43+WW36</f>
        <v/>
      </c>
      <c r="WX45" s="30">
        <f>WX43+WX36</f>
        <v/>
      </c>
      <c r="WY45" s="30">
        <f>WY43+WY36</f>
        <v/>
      </c>
      <c r="WZ45" s="30">
        <f>WZ43+WZ36</f>
        <v/>
      </c>
      <c r="XA45" s="30">
        <f>XA43+XA36</f>
        <v/>
      </c>
      <c r="XB45" s="30">
        <f>XB43+XB36</f>
        <v/>
      </c>
      <c r="XC45" s="30">
        <f>XC43+XC36</f>
        <v/>
      </c>
      <c r="XD45" s="30">
        <f>XD43+XD36</f>
        <v/>
      </c>
      <c r="XE45" s="30">
        <f>XE43+XE36</f>
        <v/>
      </c>
      <c r="XF45" s="30">
        <f>XF43+XF36</f>
        <v/>
      </c>
      <c r="XG45" s="127">
        <f>SUM(WB45:XF45)</f>
        <v/>
      </c>
      <c r="XH45" s="30">
        <f>XH43+XH36</f>
        <v/>
      </c>
      <c r="XI45" s="30">
        <f>XI43+XI36</f>
        <v/>
      </c>
      <c r="XJ45" s="30">
        <f>XJ43+XJ36</f>
        <v/>
      </c>
      <c r="XK45" s="30">
        <f>XK43+XK36</f>
        <v/>
      </c>
      <c r="XL45" s="30">
        <f>XL43+XL36</f>
        <v/>
      </c>
      <c r="XM45" s="30">
        <f>XM43+XM36</f>
        <v/>
      </c>
      <c r="XN45" s="30">
        <f>XN43+XN36</f>
        <v/>
      </c>
      <c r="XO45" s="30">
        <f>XO43+XO36</f>
        <v/>
      </c>
      <c r="XP45" s="30">
        <f>XP43+XP36</f>
        <v/>
      </c>
      <c r="XQ45" s="30">
        <f>XQ43+XQ36</f>
        <v/>
      </c>
      <c r="XR45" s="30">
        <f>XR43+XR36</f>
        <v/>
      </c>
      <c r="XS45" s="30">
        <f>XS43+XS36</f>
        <v/>
      </c>
      <c r="XT45" s="30">
        <f>XT43+XT36</f>
        <v/>
      </c>
      <c r="XU45" s="30">
        <f>XU43+XU36</f>
        <v/>
      </c>
      <c r="XV45" s="30">
        <f>XV43+XV36</f>
        <v/>
      </c>
      <c r="XW45" s="30">
        <f>XW43+XW36</f>
        <v/>
      </c>
      <c r="XX45" s="30">
        <f>XX43+XX36</f>
        <v/>
      </c>
      <c r="XY45" s="30">
        <f>XY43+XY36</f>
        <v/>
      </c>
      <c r="XZ45" s="30">
        <f>XZ43+XZ36</f>
        <v/>
      </c>
      <c r="YA45" s="30">
        <f>YA43+YA36</f>
        <v/>
      </c>
      <c r="YB45" s="30">
        <f>YB43+YB36</f>
        <v/>
      </c>
      <c r="YC45" s="30">
        <f>YC43+YC36</f>
        <v/>
      </c>
      <c r="YD45" s="30">
        <f>YD43+YD36</f>
        <v/>
      </c>
      <c r="YE45" s="30">
        <f>YE43+YE36</f>
        <v/>
      </c>
      <c r="YF45" s="30">
        <f>YF43+YF36</f>
        <v/>
      </c>
      <c r="YG45" s="30">
        <f>YG43+YG36</f>
        <v/>
      </c>
      <c r="YH45" s="30">
        <f>YH43+YH36</f>
        <v/>
      </c>
      <c r="YI45" s="30">
        <f>YI43+YI36</f>
        <v/>
      </c>
      <c r="YJ45" s="30">
        <f>YJ43+YJ36</f>
        <v/>
      </c>
      <c r="YK45" s="30">
        <f>YK43+YK36</f>
        <v/>
      </c>
      <c r="YL45" s="127">
        <f>SUM(XH45:YK45)</f>
        <v/>
      </c>
      <c r="YM45" s="30">
        <f>YM43+YM36</f>
        <v/>
      </c>
      <c r="YN45" s="30">
        <f>YN43+YN36</f>
        <v/>
      </c>
      <c r="YO45" s="30">
        <f>YO43+YO36</f>
        <v/>
      </c>
      <c r="YP45" s="30">
        <f>YP43+YP36</f>
        <v/>
      </c>
      <c r="YQ45" s="30">
        <f>YQ43+YQ36</f>
        <v/>
      </c>
      <c r="YR45" s="30">
        <f>YR43+YR36</f>
        <v/>
      </c>
      <c r="YS45" s="30">
        <f>YS43+YS36</f>
        <v/>
      </c>
      <c r="YT45" s="30">
        <f>YT43+YT36</f>
        <v/>
      </c>
      <c r="YU45" s="30">
        <f>YU43+YU36</f>
        <v/>
      </c>
      <c r="YV45" s="30">
        <f>YV43+YV36</f>
        <v/>
      </c>
      <c r="YW45" s="30">
        <f>YW43+YW36</f>
        <v/>
      </c>
      <c r="YX45" s="30">
        <f>YX43+YX36</f>
        <v/>
      </c>
      <c r="YY45" s="30">
        <f>YY43+YY36</f>
        <v/>
      </c>
      <c r="YZ45" s="30">
        <f>YZ43+YZ36</f>
        <v/>
      </c>
      <c r="ZA45" s="30">
        <f>ZA43+ZA36</f>
        <v/>
      </c>
      <c r="ZB45" s="30">
        <f>ZB43+ZB36</f>
        <v/>
      </c>
      <c r="ZC45" s="30">
        <f>ZC43+ZC36</f>
        <v/>
      </c>
      <c r="ZD45" s="30">
        <f>ZD43+ZD36</f>
        <v/>
      </c>
      <c r="ZE45" s="30">
        <f>ZE43+ZE36</f>
        <v/>
      </c>
      <c r="ZF45" s="30">
        <f>ZF43+ZF36</f>
        <v/>
      </c>
      <c r="ZG45" s="30">
        <f>ZG43+ZG36</f>
        <v/>
      </c>
      <c r="ZH45" s="30">
        <f>ZH43+ZH36</f>
        <v/>
      </c>
      <c r="ZI45" s="30">
        <f>ZI43+ZI36</f>
        <v/>
      </c>
      <c r="ZJ45" s="30">
        <f>ZJ43+ZJ36</f>
        <v/>
      </c>
      <c r="ZK45" s="30">
        <f>ZK43+ZK36</f>
        <v/>
      </c>
      <c r="ZL45" s="30">
        <f>ZL43+ZL36</f>
        <v/>
      </c>
      <c r="ZM45" s="30">
        <f>ZM43+ZM36</f>
        <v/>
      </c>
      <c r="ZN45" s="30">
        <f>ZN43+ZN36</f>
        <v/>
      </c>
      <c r="ZO45" s="30">
        <f>ZO43+ZO36</f>
        <v/>
      </c>
      <c r="ZP45" s="30">
        <f>ZP43+ZP36</f>
        <v/>
      </c>
      <c r="ZQ45" s="30">
        <f>ZQ43+ZQ36</f>
        <v/>
      </c>
      <c r="ZR45" s="127">
        <f>SUM(YM45:ZQ45)</f>
        <v/>
      </c>
      <c r="ZS45" s="30">
        <f>ZS43+ZS36</f>
        <v/>
      </c>
      <c r="ZT45" s="30">
        <f>ZT43+ZT36</f>
        <v/>
      </c>
      <c r="ZU45" s="30">
        <f>ZU43+ZU36</f>
        <v/>
      </c>
      <c r="ZV45" s="30">
        <f>ZV43+ZV36</f>
        <v/>
      </c>
      <c r="ZW45" s="30">
        <f>ZW43+ZW36</f>
        <v/>
      </c>
      <c r="ZX45" s="30">
        <f>ZX43+ZX36</f>
        <v/>
      </c>
      <c r="ZY45" s="30">
        <f>ZY43+ZY36</f>
        <v/>
      </c>
      <c r="ZZ45" s="30">
        <f>ZZ43+ZZ36</f>
        <v/>
      </c>
      <c r="AAA45" s="30">
        <f>AAA43+AAA36</f>
        <v/>
      </c>
      <c r="AAB45" s="30">
        <f>AAB43+AAB36</f>
        <v/>
      </c>
      <c r="AAC45" s="30">
        <f>AAC43+AAC36</f>
        <v/>
      </c>
      <c r="AAD45" s="30">
        <f>AAD43+AAD36</f>
        <v/>
      </c>
      <c r="AAE45" s="30">
        <f>AAE43+AAE36</f>
        <v/>
      </c>
      <c r="AAF45" s="30">
        <f>AAF43+AAF36</f>
        <v/>
      </c>
      <c r="AAG45" s="30">
        <f>AAG43+AAG36</f>
        <v/>
      </c>
      <c r="AAH45" s="30">
        <f>AAH43+AAH36</f>
        <v/>
      </c>
      <c r="AAI45" s="30">
        <f>AAI43+AAI36</f>
        <v/>
      </c>
      <c r="AAJ45" s="30">
        <f>AAJ43+AAJ36</f>
        <v/>
      </c>
      <c r="AAK45" s="30">
        <f>AAK43+AAK36</f>
        <v/>
      </c>
      <c r="AAL45" s="30">
        <f>AAL43+AAL36</f>
        <v/>
      </c>
      <c r="AAM45" s="30">
        <f>AAM43+AAM36</f>
        <v/>
      </c>
      <c r="AAN45" s="30">
        <f>AAN43+AAN36</f>
        <v/>
      </c>
      <c r="AAO45" s="30">
        <f>AAO43+AAO36</f>
        <v/>
      </c>
      <c r="AAP45" s="30">
        <f>AAP43+AAP36</f>
        <v/>
      </c>
      <c r="AAQ45" s="30">
        <f>AAQ43+AAQ36</f>
        <v/>
      </c>
      <c r="AAR45" s="30">
        <f>AAR43+AAR36</f>
        <v/>
      </c>
      <c r="AAS45" s="30">
        <f>AAS43+AAS36</f>
        <v/>
      </c>
      <c r="AAT45" s="30">
        <f>AAT43+AAT36</f>
        <v/>
      </c>
      <c r="AAU45" s="30">
        <f>AAU43+AAU36</f>
        <v/>
      </c>
      <c r="AAV45" s="30">
        <f>AAV43+AAV36</f>
        <v/>
      </c>
      <c r="AAW45" s="127">
        <f>SUM(ZS45:AAV45)</f>
        <v/>
      </c>
      <c r="AAX45" s="30">
        <f>AAX43+AAX36</f>
        <v/>
      </c>
      <c r="AAY45" s="30">
        <f>AAY43+AAY36</f>
        <v/>
      </c>
      <c r="AAZ45" s="30">
        <f>AAZ43+AAZ36</f>
        <v/>
      </c>
      <c r="ABA45" s="30">
        <f>ABA43+ABA36</f>
        <v/>
      </c>
      <c r="ABB45" s="30">
        <f>ABB43+ABB36</f>
        <v/>
      </c>
      <c r="ABC45" s="30">
        <f>ABC43+ABC36</f>
        <v/>
      </c>
      <c r="ABD45" s="30">
        <f>ABD43+ABD36</f>
        <v/>
      </c>
      <c r="ABE45" s="30">
        <f>ABE43+ABE36</f>
        <v/>
      </c>
      <c r="ABF45" s="30">
        <f>ABF43+ABF36</f>
        <v/>
      </c>
      <c r="ABG45" s="30">
        <f>ABG43+ABG36</f>
        <v/>
      </c>
      <c r="ABH45" s="30">
        <f>ABH43+ABH36</f>
        <v/>
      </c>
      <c r="ABI45" s="30">
        <f>ABI43+ABI36</f>
        <v/>
      </c>
      <c r="ABJ45" s="30">
        <f>ABJ43+ABJ36</f>
        <v/>
      </c>
      <c r="ABK45" s="30">
        <f>ABK43+ABK36</f>
        <v/>
      </c>
      <c r="ABL45" s="30">
        <f>ABL43+ABL36</f>
        <v/>
      </c>
      <c r="ABM45" s="30">
        <f>ABM43+ABM36</f>
        <v/>
      </c>
      <c r="ABN45" s="30">
        <f>ABN43+ABN36</f>
        <v/>
      </c>
      <c r="ABO45" s="30">
        <f>ABO43+ABO36</f>
        <v/>
      </c>
      <c r="ABP45" s="30">
        <f>ABP43+ABP36</f>
        <v/>
      </c>
      <c r="ABQ45" s="30">
        <f>ABQ43+ABQ36</f>
        <v/>
      </c>
      <c r="ABR45" s="30">
        <f>ABR43+ABR36</f>
        <v/>
      </c>
      <c r="ABS45" s="30">
        <f>ABS43+ABS36</f>
        <v/>
      </c>
      <c r="ABT45" s="30">
        <f>ABT43+ABT36</f>
        <v/>
      </c>
      <c r="ABU45" s="30">
        <f>ABU43+ABU36</f>
        <v/>
      </c>
      <c r="ABV45" s="30">
        <f>ABV43+ABV36</f>
        <v/>
      </c>
      <c r="ABW45" s="30">
        <f>ABW43+ABW36</f>
        <v/>
      </c>
      <c r="ABX45" s="30">
        <f>ABX43+ABX36</f>
        <v/>
      </c>
      <c r="ABY45" s="30">
        <f>ABY43+ABY36</f>
        <v/>
      </c>
      <c r="ABZ45" s="30">
        <f>ABZ43+ABZ36</f>
        <v/>
      </c>
      <c r="ACA45" s="30">
        <f>ACA43+ACA36</f>
        <v/>
      </c>
      <c r="ACB45" s="30">
        <f>ACB43+ACB36</f>
        <v/>
      </c>
      <c r="ACC45" s="127">
        <f>SUM(AAX45:ACB45)</f>
        <v/>
      </c>
      <c r="ACD45" s="30">
        <f>ACD43+ACD36</f>
        <v/>
      </c>
      <c r="ACE45" s="30">
        <f>ACE43+ACE36</f>
        <v/>
      </c>
      <c r="ACF45" s="30">
        <f>ACF43+ACF36</f>
        <v/>
      </c>
      <c r="ACG45" s="30">
        <f>ACG43+ACG36</f>
        <v/>
      </c>
      <c r="ACH45" s="30">
        <f>ACH43+ACH36</f>
        <v/>
      </c>
      <c r="ACI45" s="30">
        <f>ACI43+ACI36</f>
        <v/>
      </c>
      <c r="ACJ45" s="30">
        <f>ACJ43+ACJ36</f>
        <v/>
      </c>
      <c r="ACK45" s="30">
        <f>ACK43+ACK36</f>
        <v/>
      </c>
      <c r="ACL45" s="30">
        <f>ACL43+ACL36</f>
        <v/>
      </c>
      <c r="ACM45" s="30">
        <f>ACM43+ACM36</f>
        <v/>
      </c>
      <c r="ACN45" s="30">
        <f>ACN43+ACN36</f>
        <v/>
      </c>
      <c r="ACO45" s="30">
        <f>ACO43+ACO36</f>
        <v/>
      </c>
      <c r="ACP45" s="30">
        <f>ACP43+ACP36</f>
        <v/>
      </c>
      <c r="ACQ45" s="30">
        <f>ACQ43+ACQ36</f>
        <v/>
      </c>
      <c r="ACR45" s="30">
        <f>ACR43+ACR36</f>
        <v/>
      </c>
      <c r="ACS45" s="30">
        <f>ACS43+ACS36</f>
        <v/>
      </c>
      <c r="ACT45" s="30">
        <f>ACT43+ACT36</f>
        <v/>
      </c>
      <c r="ACU45" s="30">
        <f>ACU43+ACU36</f>
        <v/>
      </c>
      <c r="ACV45" s="30">
        <f>ACV43+ACV36</f>
        <v/>
      </c>
      <c r="ACW45" s="30">
        <f>ACW43+ACW36</f>
        <v/>
      </c>
      <c r="ACX45" s="30">
        <f>ACX43+ACX36</f>
        <v/>
      </c>
      <c r="ACY45" s="30">
        <f>ACY43+ACY36</f>
        <v/>
      </c>
      <c r="ACZ45" s="30">
        <f>ACZ43+ACZ36</f>
        <v/>
      </c>
      <c r="ADA45" s="30">
        <f>ADA43+ADA36</f>
        <v/>
      </c>
      <c r="ADB45" s="30">
        <f>ADB43+ADB36</f>
        <v/>
      </c>
      <c r="ADC45" s="30">
        <f>ADC43+ADC36</f>
        <v/>
      </c>
      <c r="ADD45" s="30">
        <f>ADD43+ADD36</f>
        <v/>
      </c>
      <c r="ADE45" s="30">
        <f>ADE43+ADE36</f>
        <v/>
      </c>
      <c r="ADF45" s="30">
        <f>ADF43+ADF36</f>
        <v/>
      </c>
      <c r="ADG45" s="30">
        <f>ADG43+ADG36</f>
        <v/>
      </c>
      <c r="ADH45" s="30">
        <f>ADH43+ADH36</f>
        <v/>
      </c>
      <c r="ADI45" s="127">
        <f>SUM(ACD45:ADH45)</f>
        <v/>
      </c>
      <c r="ADJ45" s="30">
        <f>ADJ43+ADJ36</f>
        <v/>
      </c>
      <c r="ADK45" s="30">
        <f>ADK43+ADK36</f>
        <v/>
      </c>
      <c r="ADL45" s="30">
        <f>ADL43+ADL36</f>
        <v/>
      </c>
      <c r="ADM45" s="30">
        <f>ADM43+ADM36</f>
        <v/>
      </c>
      <c r="ADN45" s="30">
        <f>ADN43+ADN36</f>
        <v/>
      </c>
      <c r="ADO45" s="30">
        <f>ADO43+ADO36</f>
        <v/>
      </c>
      <c r="ADP45" s="30">
        <f>ADP43+ADP36</f>
        <v/>
      </c>
      <c r="ADQ45" s="30">
        <f>ADQ43+ADQ36</f>
        <v/>
      </c>
      <c r="ADR45" s="30">
        <f>ADR43+ADR36</f>
        <v/>
      </c>
      <c r="ADS45" s="30">
        <f>ADS43+ADS36</f>
        <v/>
      </c>
      <c r="ADT45" s="30">
        <f>ADT43+ADT36</f>
        <v/>
      </c>
      <c r="ADU45" s="30">
        <f>ADU43+ADU36</f>
        <v/>
      </c>
      <c r="ADV45" s="30">
        <f>ADV43+ADV36</f>
        <v/>
      </c>
      <c r="ADW45" s="30">
        <f>ADW43+ADW36</f>
        <v/>
      </c>
      <c r="ADX45" s="30">
        <f>ADX43+ADX36</f>
        <v/>
      </c>
      <c r="ADY45" s="30">
        <f>ADY43+ADY36</f>
        <v/>
      </c>
      <c r="ADZ45" s="30">
        <f>ADZ43+ADZ36</f>
        <v/>
      </c>
      <c r="AEA45" s="30">
        <f>AEA43+AEA36</f>
        <v/>
      </c>
      <c r="AEB45" s="30">
        <f>AEB43+AEB36</f>
        <v/>
      </c>
      <c r="AEC45" s="30">
        <f>AEC43+AEC36</f>
        <v/>
      </c>
      <c r="AED45" s="30">
        <f>AED43+AED36</f>
        <v/>
      </c>
      <c r="AEE45" s="30">
        <f>AEE43+AEE36</f>
        <v/>
      </c>
      <c r="AEF45" s="30">
        <f>AEF43+AEF36</f>
        <v/>
      </c>
      <c r="AEG45" s="30">
        <f>AEG43+AEG36</f>
        <v/>
      </c>
      <c r="AEH45" s="30">
        <f>AEH43+AEH36</f>
        <v/>
      </c>
      <c r="AEI45" s="30">
        <f>AEI43+AEI36</f>
        <v/>
      </c>
      <c r="AEJ45" s="30">
        <f>AEJ43+AEJ36</f>
        <v/>
      </c>
      <c r="AEK45" s="30">
        <f>AEK43+AEK36</f>
        <v/>
      </c>
      <c r="AEL45" s="30">
        <f>AEL43+AEL36</f>
        <v/>
      </c>
      <c r="AEM45" s="30">
        <f>AEM43+AEM36</f>
        <v/>
      </c>
      <c r="AEN45" s="127">
        <f>SUM(ADJ45:AEM45)</f>
        <v/>
      </c>
      <c r="AEO45" s="30">
        <f>AEO43+AEO36</f>
        <v/>
      </c>
      <c r="AEP45" s="30">
        <f>AEP43+AEP36</f>
        <v/>
      </c>
      <c r="AEQ45" s="30">
        <f>AEQ43+AEQ36</f>
        <v/>
      </c>
      <c r="AER45" s="30">
        <f>AER43+AER36</f>
        <v/>
      </c>
      <c r="AES45" s="30">
        <f>AES43+AES36</f>
        <v/>
      </c>
      <c r="AET45" s="30">
        <f>AET43+AET36</f>
        <v/>
      </c>
      <c r="AEU45" s="30">
        <f>AEU43+AEU36</f>
        <v/>
      </c>
      <c r="AEV45" s="30">
        <f>AEV43+AEV36</f>
        <v/>
      </c>
      <c r="AEW45" s="30">
        <f>AEW43+AEW36</f>
        <v/>
      </c>
      <c r="AEX45" s="30">
        <f>AEX43+AEX36</f>
        <v/>
      </c>
      <c r="AEY45" s="30">
        <f>AEY43+AEY36</f>
        <v/>
      </c>
      <c r="AEZ45" s="30">
        <f>AEZ43+AEZ36</f>
        <v/>
      </c>
      <c r="AFA45" s="30">
        <f>AFA43+AFA36</f>
        <v/>
      </c>
      <c r="AFB45" s="30">
        <f>AFB43+AFB36</f>
        <v/>
      </c>
      <c r="AFC45" s="30">
        <f>AFC43+AFC36</f>
        <v/>
      </c>
      <c r="AFD45" s="30">
        <f>AFD43+AFD36</f>
        <v/>
      </c>
      <c r="AFE45" s="30">
        <f>AFE43+AFE36</f>
        <v/>
      </c>
      <c r="AFF45" s="30">
        <f>AFF43+AFF36</f>
        <v/>
      </c>
      <c r="AFG45" s="30">
        <f>AFG43+AFG36</f>
        <v/>
      </c>
      <c r="AFH45" s="30">
        <f>AFH43+AFH36</f>
        <v/>
      </c>
      <c r="AFI45" s="30">
        <f>AFI43+AFI36</f>
        <v/>
      </c>
      <c r="AFJ45" s="30">
        <f>AFJ43+AFJ36</f>
        <v/>
      </c>
      <c r="AFK45" s="30">
        <f>AFK43+AFK36</f>
        <v/>
      </c>
      <c r="AFL45" s="30">
        <f>AFL43+AFL36</f>
        <v/>
      </c>
      <c r="AFM45" s="30">
        <f>AFM43+AFM36</f>
        <v/>
      </c>
      <c r="AFN45" s="30">
        <f>AFN43+AFN36</f>
        <v/>
      </c>
      <c r="AFO45" s="30">
        <f>AFO43+AFO36</f>
        <v/>
      </c>
      <c r="AFP45" s="30">
        <f>AFP43+AFP36</f>
        <v/>
      </c>
      <c r="AFQ45" s="30">
        <f>AFQ43+AFQ36</f>
        <v/>
      </c>
      <c r="AFR45" s="30">
        <f>AFR43+AFR36</f>
        <v/>
      </c>
      <c r="AFS45" s="30">
        <f>AFS43+AFS36</f>
        <v/>
      </c>
      <c r="AFT45" s="127">
        <f>SUM(AEO45:AFS45)</f>
        <v/>
      </c>
      <c r="AFU45" s="30">
        <f>AFU43+AFU36</f>
        <v/>
      </c>
      <c r="AFV45" s="30">
        <f>AFV43+AFV36</f>
        <v/>
      </c>
      <c r="AFW45" s="30">
        <f>AFW43+AFW36</f>
        <v/>
      </c>
      <c r="AFX45" s="30">
        <f>AFX43+AFX36</f>
        <v/>
      </c>
      <c r="AFY45" s="30">
        <f>AFY43+AFY36</f>
        <v/>
      </c>
      <c r="AFZ45" s="30">
        <f>AFZ43+AFZ36</f>
        <v/>
      </c>
      <c r="AGA45" s="30">
        <f>AGA43+AGA36</f>
        <v/>
      </c>
      <c r="AGB45" s="30">
        <f>AGB43+AGB36</f>
        <v/>
      </c>
      <c r="AGC45" s="30">
        <f>AGC43+AGC36</f>
        <v/>
      </c>
      <c r="AGD45" s="30">
        <f>AGD43+AGD36</f>
        <v/>
      </c>
      <c r="AGE45" s="30">
        <f>AGE43+AGE36</f>
        <v/>
      </c>
      <c r="AGF45" s="30">
        <f>AGF43+AGF36</f>
        <v/>
      </c>
      <c r="AGG45" s="30">
        <f>AGG43+AGG36</f>
        <v/>
      </c>
      <c r="AGH45" s="30">
        <f>AGH43+AGH36</f>
        <v/>
      </c>
      <c r="AGI45" s="30">
        <f>AGI43+AGI36</f>
        <v/>
      </c>
      <c r="AGJ45" s="30">
        <f>AGJ43+AGJ36</f>
        <v/>
      </c>
      <c r="AGK45" s="30">
        <f>AGK43+AGK36</f>
        <v/>
      </c>
      <c r="AGL45" s="30">
        <f>AGL43+AGL36</f>
        <v/>
      </c>
      <c r="AGM45" s="30">
        <f>AGM43+AGM36</f>
        <v/>
      </c>
      <c r="AGN45" s="30">
        <f>AGN43+AGN36</f>
        <v/>
      </c>
      <c r="AGO45" s="30">
        <f>AGO43+AGO36</f>
        <v/>
      </c>
      <c r="AGP45" s="30">
        <f>AGP43+AGP36</f>
        <v/>
      </c>
      <c r="AGQ45" s="30">
        <f>AGQ43+AGQ36</f>
        <v/>
      </c>
      <c r="AGR45" s="30">
        <f>AGR43+AGR36</f>
        <v/>
      </c>
      <c r="AGS45" s="30">
        <f>AGS43+AGS36</f>
        <v/>
      </c>
      <c r="AGT45" s="30">
        <f>AGT43+AGT36</f>
        <v/>
      </c>
      <c r="AGU45" s="30">
        <f>AGU43+AGU36</f>
        <v/>
      </c>
      <c r="AGV45" s="30">
        <f>AGV43+AGV36</f>
        <v/>
      </c>
      <c r="AGW45" s="30">
        <f>AGW43+AGW36</f>
        <v/>
      </c>
      <c r="AGX45" s="30">
        <f>AGX43+AGX36</f>
        <v/>
      </c>
      <c r="AGY45" s="127">
        <f>SUM(AFU45:AGX45)</f>
        <v/>
      </c>
      <c r="AGZ45" s="30">
        <f>AGZ43+AGZ36</f>
        <v/>
      </c>
      <c r="AHA45" s="30">
        <f>AHA43+AHA36</f>
        <v/>
      </c>
      <c r="AHB45" s="30">
        <f>AHB43+AHB36</f>
        <v/>
      </c>
      <c r="AHC45" s="30">
        <f>AHC43+AHC36</f>
        <v/>
      </c>
      <c r="AHD45" s="30">
        <f>AHD43+AHD36</f>
        <v/>
      </c>
      <c r="AHE45" s="30">
        <f>AHE43+AHE36</f>
        <v/>
      </c>
      <c r="AHF45" s="30">
        <f>AHF43+AHF36</f>
        <v/>
      </c>
      <c r="AHG45" s="30">
        <f>AHG43+AHG36</f>
        <v/>
      </c>
      <c r="AHH45" s="30">
        <f>AHH43+AHH36</f>
        <v/>
      </c>
      <c r="AHI45" s="30">
        <f>AHI43+AHI36</f>
        <v/>
      </c>
      <c r="AHJ45" s="30">
        <f>AHJ43+AHJ36</f>
        <v/>
      </c>
      <c r="AHK45" s="30">
        <f>AHK43+AHK36</f>
        <v/>
      </c>
      <c r="AHL45" s="30">
        <f>AHL43+AHL36</f>
        <v/>
      </c>
      <c r="AHM45" s="30">
        <f>AHM43+AHM36</f>
        <v/>
      </c>
      <c r="AHN45" s="30">
        <f>AHN43+AHN36</f>
        <v/>
      </c>
      <c r="AHO45" s="30">
        <f>AHO43+AHO36</f>
        <v/>
      </c>
      <c r="AHP45" s="30">
        <f>AHP43+AHP36</f>
        <v/>
      </c>
      <c r="AHQ45" s="30">
        <f>AHQ43+AHQ36</f>
        <v/>
      </c>
      <c r="AHR45" s="30">
        <f>AHR43+AHR36</f>
        <v/>
      </c>
      <c r="AHS45" s="30">
        <f>AHS43+AHS36</f>
        <v/>
      </c>
      <c r="AHT45" s="30">
        <f>AHT43+AHT36</f>
        <v/>
      </c>
      <c r="AHU45" s="30">
        <f>AHU43+AHU36</f>
        <v/>
      </c>
      <c r="AHV45" s="30">
        <f>AHV43+AHV36</f>
        <v/>
      </c>
      <c r="AHW45" s="30">
        <f>AHW43+AHW36</f>
        <v/>
      </c>
      <c r="AHX45" s="30">
        <f>AHX43+AHX36</f>
        <v/>
      </c>
      <c r="AHY45" s="30">
        <f>AHY43+AHY36</f>
        <v/>
      </c>
      <c r="AHZ45" s="30">
        <f>AHZ43+AHZ36</f>
        <v/>
      </c>
      <c r="AIA45" s="30">
        <f>AIA43+AIA36</f>
        <v/>
      </c>
      <c r="AIB45" s="30">
        <f>AIB43+AIB36</f>
        <v/>
      </c>
      <c r="AIC45" s="30">
        <f>AIC43+AIC36</f>
        <v/>
      </c>
      <c r="AID45" s="30">
        <f>AID43+AID36</f>
        <v/>
      </c>
      <c r="AIE45" s="127">
        <f>SUM(AGZ45:AID45)</f>
        <v/>
      </c>
      <c r="AIF45" s="30">
        <f>AIF43+AIF36</f>
        <v/>
      </c>
      <c r="AIG45" s="30">
        <f>AIG43+AIG36</f>
        <v/>
      </c>
      <c r="AIH45" s="30">
        <f>AIH43+AIH36</f>
        <v/>
      </c>
      <c r="AII45" s="30">
        <f>AII43+AII36</f>
        <v/>
      </c>
      <c r="AIJ45" s="30">
        <f>AIJ43+AIJ36</f>
        <v/>
      </c>
      <c r="AIK45" s="30">
        <f>AIK43+AIK36</f>
        <v/>
      </c>
      <c r="AIL45" s="30">
        <f>AIL43+AIL36</f>
        <v/>
      </c>
      <c r="AIM45" s="30">
        <f>AIM43+AIM36</f>
        <v/>
      </c>
      <c r="AIN45" s="30">
        <f>AIN43+AIN36</f>
        <v/>
      </c>
      <c r="AIO45" s="30">
        <f>AIO43+AIO36</f>
        <v/>
      </c>
      <c r="AIP45" s="30">
        <f>AIP43+AIP36</f>
        <v/>
      </c>
      <c r="AIQ45" s="30">
        <f>AIQ43+AIQ36</f>
        <v/>
      </c>
      <c r="AIR45" s="30">
        <f>AIR43+AIR36</f>
        <v/>
      </c>
      <c r="AIS45" s="30">
        <f>AIS43+AIS36</f>
        <v/>
      </c>
      <c r="AIT45" s="30">
        <f>AIT43+AIT36</f>
        <v/>
      </c>
      <c r="AIU45" s="30">
        <f>AIU43+AIU36</f>
        <v/>
      </c>
      <c r="AIV45" s="30">
        <f>AIV43+AIV36</f>
        <v/>
      </c>
      <c r="AIW45" s="30">
        <f>AIW43+AIW36</f>
        <v/>
      </c>
      <c r="AIX45" s="30">
        <f>AIX43+AIX36</f>
        <v/>
      </c>
      <c r="AIY45" s="30">
        <f>AIY43+AIY36</f>
        <v/>
      </c>
      <c r="AIZ45" s="30">
        <f>AIZ43+AIZ36</f>
        <v/>
      </c>
      <c r="AJA45" s="30">
        <f>AJA43+AJA36</f>
        <v/>
      </c>
      <c r="AJB45" s="30">
        <f>AJB43+AJB36</f>
        <v/>
      </c>
      <c r="AJC45" s="30">
        <f>AJC43+AJC36</f>
        <v/>
      </c>
      <c r="AJD45" s="30">
        <f>AJD43+AJD36</f>
        <v/>
      </c>
      <c r="AJE45" s="30">
        <f>AJE43+AJE36</f>
        <v/>
      </c>
      <c r="AJF45" s="30">
        <f>AJF43+AJF36</f>
        <v/>
      </c>
      <c r="AJG45" s="30">
        <f>AJG43+AJG36</f>
        <v/>
      </c>
      <c r="AJH45" s="30">
        <f>AJH43+AJH36</f>
        <v/>
      </c>
      <c r="AJI45" s="30">
        <f>AJI43+AJI36</f>
        <v/>
      </c>
      <c r="AJJ45" s="30">
        <f>AJJ43+AJJ36</f>
        <v/>
      </c>
      <c r="AJK45" s="127">
        <f>SUM(AIF45:AJJ45)</f>
        <v/>
      </c>
      <c r="AJL45" s="30">
        <f>AJL43+AJL36</f>
        <v/>
      </c>
      <c r="AJM45" s="30">
        <f>AJM43+AJM36</f>
        <v/>
      </c>
      <c r="AJN45" s="30">
        <f>AJN43+AJN36</f>
        <v/>
      </c>
      <c r="AJO45" s="30">
        <f>AJO43+AJO36</f>
        <v/>
      </c>
      <c r="AJP45" s="30">
        <f>AJP43+AJP36</f>
        <v/>
      </c>
      <c r="AJQ45" s="30">
        <f>AJQ43+AJQ36</f>
        <v/>
      </c>
      <c r="AJR45" s="30">
        <f>AJR43+AJR36</f>
        <v/>
      </c>
      <c r="AJS45" s="30">
        <f>AJS43+AJS36</f>
        <v/>
      </c>
      <c r="AJT45" s="30">
        <f>AJT43+AJT36</f>
        <v/>
      </c>
      <c r="AJU45" s="30">
        <f>AJU43+AJU36</f>
        <v/>
      </c>
      <c r="AJV45" s="30">
        <f>AJV43+AJV36</f>
        <v/>
      </c>
      <c r="AJW45" s="30">
        <f>AJW43+AJW36</f>
        <v/>
      </c>
      <c r="AJX45" s="30">
        <f>AJX43+AJX36</f>
        <v/>
      </c>
      <c r="AJY45" s="30">
        <f>AJY43+AJY36</f>
        <v/>
      </c>
      <c r="AJZ45" s="30">
        <f>AJZ43+AJZ36</f>
        <v/>
      </c>
      <c r="AKA45" s="30">
        <f>AKA43+AKA36</f>
        <v/>
      </c>
      <c r="AKB45" s="30">
        <f>AKB43+AKB36</f>
        <v/>
      </c>
      <c r="AKC45" s="30">
        <f>AKC43+AKC36</f>
        <v/>
      </c>
      <c r="AKD45" s="30">
        <f>AKD43+AKD36</f>
        <v/>
      </c>
      <c r="AKE45" s="30">
        <f>AKE43+AKE36</f>
        <v/>
      </c>
      <c r="AKF45" s="30">
        <f>AKF43+AKF36</f>
        <v/>
      </c>
      <c r="AKG45" s="30">
        <f>AKG43+AKG36</f>
        <v/>
      </c>
      <c r="AKH45" s="30">
        <f>AKH43+AKH36</f>
        <v/>
      </c>
      <c r="AKI45" s="30">
        <f>AKI43+AKI36</f>
        <v/>
      </c>
      <c r="AKJ45" s="30">
        <f>AKJ43+AKJ36</f>
        <v/>
      </c>
      <c r="AKK45" s="30">
        <f>AKK43+AKK36</f>
        <v/>
      </c>
      <c r="AKL45" s="30">
        <f>AKL43+AKL36</f>
        <v/>
      </c>
      <c r="AKM45" s="30">
        <f>AKM43+AKM36</f>
        <v/>
      </c>
      <c r="AKN45" s="127">
        <f>SUM(AJL45:AKM45)</f>
        <v/>
      </c>
      <c r="AKO45" s="30">
        <f>AKO43+AKO36</f>
        <v/>
      </c>
      <c r="AKP45" s="30">
        <f>AKP43+AKP36</f>
        <v/>
      </c>
      <c r="AKQ45" s="30">
        <f>AKQ43+AKQ36</f>
        <v/>
      </c>
      <c r="AKR45" s="30">
        <f>AKR43+AKR36</f>
        <v/>
      </c>
      <c r="AKS45" s="30">
        <f>AKS43+AKS36</f>
        <v/>
      </c>
      <c r="AKT45" s="30">
        <f>AKT43+AKT36</f>
        <v/>
      </c>
      <c r="AKU45" s="30">
        <f>AKU43+AKU36</f>
        <v/>
      </c>
      <c r="AKV45" s="30">
        <f>AKV43+AKV36</f>
        <v/>
      </c>
      <c r="AKW45" s="30">
        <f>AKW43+AKW36</f>
        <v/>
      </c>
      <c r="AKX45" s="30">
        <f>AKX43+AKX36</f>
        <v/>
      </c>
      <c r="AKY45" s="30">
        <f>AKY43+AKY36</f>
        <v/>
      </c>
      <c r="AKZ45" s="30">
        <f>AKZ43+AKZ36</f>
        <v/>
      </c>
      <c r="ALA45" s="30">
        <f>ALA43+ALA36</f>
        <v/>
      </c>
      <c r="ALB45" s="30">
        <f>ALB43+ALB36</f>
        <v/>
      </c>
      <c r="ALC45" s="30">
        <f>ALC43+ALC36</f>
        <v/>
      </c>
      <c r="ALD45" s="30">
        <f>ALD43+ALD36</f>
        <v/>
      </c>
      <c r="ALE45" s="30">
        <f>ALE43+ALE36</f>
        <v/>
      </c>
      <c r="ALF45" s="30">
        <f>ALF43+ALF36</f>
        <v/>
      </c>
      <c r="ALG45" s="30">
        <f>ALG43+ALG36</f>
        <v/>
      </c>
      <c r="ALH45" s="30">
        <f>ALH43+ALH36</f>
        <v/>
      </c>
      <c r="ALI45" s="30">
        <f>ALI43+ALI36</f>
        <v/>
      </c>
      <c r="ALJ45" s="30">
        <f>ALJ43+ALJ36</f>
        <v/>
      </c>
      <c r="ALK45" s="30">
        <f>ALK43+ALK36</f>
        <v/>
      </c>
      <c r="ALL45" s="30">
        <f>ALL43+ALL36</f>
        <v/>
      </c>
      <c r="ALM45" s="30">
        <f>ALM43+ALM36</f>
        <v/>
      </c>
      <c r="ALN45" s="30">
        <f>ALN43+ALN36</f>
        <v/>
      </c>
      <c r="ALO45" s="30">
        <f>ALO43+ALO36</f>
        <v/>
      </c>
      <c r="ALP45" s="30">
        <f>ALP43+ALP36</f>
        <v/>
      </c>
      <c r="ALQ45" s="30">
        <f>ALQ43+ALQ36</f>
        <v/>
      </c>
      <c r="ALR45" s="30">
        <f>ALR43+ALR36</f>
        <v/>
      </c>
      <c r="ALS45" s="30">
        <f>ALS43+ALS36</f>
        <v/>
      </c>
      <c r="ALT45" s="127">
        <f>SUM(AKO45:ALS45)</f>
        <v/>
      </c>
      <c r="ALU45" s="30">
        <f>ALU43+ALU36</f>
        <v/>
      </c>
      <c r="ALV45" s="30">
        <f>ALV43+ALV36</f>
        <v/>
      </c>
      <c r="ALW45" s="30">
        <f>ALW43+ALW36</f>
        <v/>
      </c>
      <c r="ALX45" s="30">
        <f>ALX43+ALX36</f>
        <v/>
      </c>
      <c r="ALY45" s="30">
        <f>ALY43+ALY36</f>
        <v/>
      </c>
      <c r="ALZ45" s="30">
        <f>ALZ43+ALZ36</f>
        <v/>
      </c>
      <c r="AMA45" s="30">
        <f>AMA43+AMA36</f>
        <v/>
      </c>
      <c r="AMB45" s="30">
        <f>AMB43+AMB36</f>
        <v/>
      </c>
      <c r="AMC45" s="30">
        <f>AMC43+AMC36</f>
        <v/>
      </c>
      <c r="AMD45" s="30">
        <f>AMD43+AMD36</f>
        <v/>
      </c>
      <c r="AME45" s="30">
        <f>AME43+AME36</f>
        <v/>
      </c>
      <c r="AMF45" s="30">
        <f>AMF43+AMF36</f>
        <v/>
      </c>
      <c r="AMG45" s="30">
        <f>AMG43+AMG36</f>
        <v/>
      </c>
      <c r="AMH45" s="30">
        <f>AMH43+AMH36</f>
        <v/>
      </c>
      <c r="AMI45" s="30">
        <f>AMI43+AMI36</f>
        <v/>
      </c>
      <c r="AMJ45" s="30">
        <f>AMJ43+AMJ36</f>
        <v/>
      </c>
      <c r="AMK45" s="30">
        <f>AMK43+AMK36</f>
        <v/>
      </c>
      <c r="AML45" s="30">
        <f>AML43+AML36</f>
        <v/>
      </c>
      <c r="AMM45" s="30">
        <f>AMM43+AMM36</f>
        <v/>
      </c>
      <c r="AMN45" s="30">
        <f>AMN43+AMN36</f>
        <v/>
      </c>
      <c r="AMO45" s="30">
        <f>AMO43+AMO36</f>
        <v/>
      </c>
      <c r="AMP45" s="30">
        <f>AMP43+AMP36</f>
        <v/>
      </c>
      <c r="AMQ45" s="30">
        <f>AMQ43+AMQ36</f>
        <v/>
      </c>
      <c r="AMR45" s="30">
        <f>AMR43+AMR36</f>
        <v/>
      </c>
      <c r="AMS45" s="30">
        <f>AMS43+AMS36</f>
        <v/>
      </c>
      <c r="AMT45" s="30">
        <f>AMT43+AMT36</f>
        <v/>
      </c>
      <c r="AMU45" s="30">
        <f>AMU43+AMU36</f>
        <v/>
      </c>
      <c r="AMV45" s="30">
        <f>AMV43+AMV36</f>
        <v/>
      </c>
      <c r="AMW45" s="30">
        <f>AMW43+AMW36</f>
        <v/>
      </c>
      <c r="AMX45" s="30">
        <f>AMX43+AMX36</f>
        <v/>
      </c>
      <c r="AMY45" s="127">
        <f>SUM(ALU45:AMX45)</f>
        <v/>
      </c>
      <c r="AMZ45" s="30">
        <f>AMZ43+AMZ36</f>
        <v/>
      </c>
      <c r="ANA45" s="30">
        <f>ANA43+ANA36</f>
        <v/>
      </c>
      <c r="ANB45" s="30">
        <f>ANB43+ANB36</f>
        <v/>
      </c>
      <c r="ANC45" s="30">
        <f>ANC43+ANC36</f>
        <v/>
      </c>
      <c r="AND45" s="30">
        <f>AND43+AND36</f>
        <v/>
      </c>
      <c r="ANE45" s="30">
        <f>ANE43+ANE36</f>
        <v/>
      </c>
      <c r="ANF45" s="30">
        <f>ANF43+ANF36</f>
        <v/>
      </c>
      <c r="ANG45" s="30">
        <f>ANG43+ANG36</f>
        <v/>
      </c>
      <c r="ANH45" s="30">
        <f>ANH43+ANH36</f>
        <v/>
      </c>
      <c r="ANI45" s="30">
        <f>ANI43+ANI36</f>
        <v/>
      </c>
      <c r="ANJ45" s="30">
        <f>ANJ43+ANJ36</f>
        <v/>
      </c>
      <c r="ANK45" s="30">
        <f>ANK43+ANK36</f>
        <v/>
      </c>
      <c r="ANL45" s="30">
        <f>ANL43+ANL36</f>
        <v/>
      </c>
      <c r="ANM45" s="30">
        <f>ANM43+ANM36</f>
        <v/>
      </c>
      <c r="ANN45" s="30">
        <f>ANN43+ANN36</f>
        <v/>
      </c>
      <c r="ANO45" s="30">
        <f>ANO43+ANO36</f>
        <v/>
      </c>
      <c r="ANP45" s="30">
        <f>ANP43+ANP36</f>
        <v/>
      </c>
      <c r="ANQ45" s="30">
        <f>ANQ43+ANQ36</f>
        <v/>
      </c>
      <c r="ANR45" s="30">
        <f>ANR43+ANR36</f>
        <v/>
      </c>
      <c r="ANS45" s="30">
        <f>ANS43+ANS36</f>
        <v/>
      </c>
      <c r="ANT45" s="30">
        <f>ANT43+ANT36</f>
        <v/>
      </c>
      <c r="ANU45" s="30">
        <f>ANU43+ANU36</f>
        <v/>
      </c>
      <c r="ANV45" s="30">
        <f>ANV43+ANV36</f>
        <v/>
      </c>
      <c r="ANW45" s="30">
        <f>ANW43+ANW36</f>
        <v/>
      </c>
      <c r="ANX45" s="30">
        <f>ANX43+ANX36</f>
        <v/>
      </c>
      <c r="ANY45" s="30">
        <f>ANY43+ANY36</f>
        <v/>
      </c>
      <c r="ANZ45" s="30">
        <f>ANZ43+ANZ36</f>
        <v/>
      </c>
      <c r="AOA45" s="30">
        <f>AOA43+AOA36</f>
        <v/>
      </c>
      <c r="AOB45" s="30">
        <f>AOB43+AOB36</f>
        <v/>
      </c>
      <c r="AOC45" s="30">
        <f>AOC43+AOC36</f>
        <v/>
      </c>
    </row>
    <row r="46">
      <c r="A46" s="4" t="n"/>
      <c r="B46" s="5" t="inlineStr">
        <is>
          <t>DEALER FEE ON PURCHASE</t>
        </is>
      </c>
      <c r="C46" s="22">
        <f>10000*19</f>
        <v/>
      </c>
      <c r="D46" s="22" t="n"/>
      <c r="E46" s="22" t="n"/>
      <c r="F46" s="22" t="n"/>
      <c r="G46" s="22" t="n"/>
      <c r="H46" s="22" t="n"/>
      <c r="I46" s="22" t="n"/>
      <c r="J46" s="22" t="n"/>
      <c r="K46" s="22">
        <f>14000*19</f>
        <v/>
      </c>
      <c r="L46" s="22" t="n"/>
      <c r="M46" s="22">
        <f>12968*19</f>
        <v/>
      </c>
      <c r="N46" s="22" t="n"/>
      <c r="O46" s="22" t="n"/>
      <c r="P46" s="22" t="n"/>
      <c r="Q46" s="22">
        <f>12953*19</f>
        <v/>
      </c>
      <c r="R46" s="22" t="n"/>
      <c r="S46" s="22" t="n"/>
      <c r="T46" s="22" t="n"/>
      <c r="U46" s="22" t="n"/>
      <c r="V46" s="22" t="n"/>
      <c r="W46" s="22">
        <f>16811*19</f>
        <v/>
      </c>
      <c r="X46" s="22" t="n"/>
      <c r="Y46" s="22" t="n"/>
      <c r="Z46" s="22" t="n"/>
      <c r="AA46" s="22">
        <f>9956*19</f>
        <v/>
      </c>
      <c r="AB46" s="22">
        <f>9939*19</f>
        <v/>
      </c>
      <c r="AC46" s="22" t="n"/>
      <c r="AD46" s="22" t="n"/>
      <c r="AE46" s="22" t="n"/>
      <c r="AF46" s="22" t="n"/>
      <c r="AG46" s="22" t="n"/>
      <c r="AH46" s="94" t="n"/>
      <c r="AI46" s="52">
        <f>9961*19</f>
        <v/>
      </c>
      <c r="AJ46">
        <f>12849*19</f>
        <v/>
      </c>
      <c r="BM46" s="97">
        <f>SUM(AI46:BL46)</f>
        <v/>
      </c>
      <c r="CS46" s="111">
        <f>SUM(BN46:CR46)</f>
        <v/>
      </c>
      <c r="DX46" s="117" t="n"/>
      <c r="FD46" s="128" t="n"/>
      <c r="GJ46" s="127">
        <f>SUM(FE46:GI46)</f>
        <v/>
      </c>
      <c r="HN46" s="127">
        <f>SUM(GK46:HM46)</f>
        <v/>
      </c>
      <c r="IT46" s="127">
        <f>SUM(HO46:IS46)</f>
        <v/>
      </c>
      <c r="JY46" s="127">
        <f>SUM(IU46:JX46)</f>
        <v/>
      </c>
      <c r="LE46" s="127">
        <f>SUM(KA46:LD46)</f>
        <v/>
      </c>
      <c r="MJ46" s="127">
        <f>SUM(LF46:MI46)</f>
        <v/>
      </c>
      <c r="NP46" s="127">
        <f>SUM(ML46:NO46)</f>
        <v/>
      </c>
      <c r="OV46" s="127">
        <f>SUM(NR46:OU46)</f>
        <v/>
      </c>
      <c r="QA46" s="127">
        <f>SUM(OW46:PZ46)</f>
        <v/>
      </c>
      <c r="RG46" s="127">
        <f>SUM(QC46:RF46)</f>
        <v/>
      </c>
      <c r="SL46" s="127">
        <f>SUM(RH46:SK46)</f>
        <v/>
      </c>
      <c r="TR46" s="127">
        <f>SUM(SN46:TQ46)</f>
        <v/>
      </c>
      <c r="UX46" s="127">
        <f>SUM(TT46:UW46)</f>
        <v/>
      </c>
      <c r="WA46" s="127">
        <f>SUM(UW46:VZ46)</f>
        <v/>
      </c>
      <c r="XG46" s="127">
        <f>SUM(WC46:XF46)</f>
        <v/>
      </c>
      <c r="YL46" s="127">
        <f>SUM(XI46:YK46)</f>
        <v/>
      </c>
      <c r="ZR46" s="127">
        <f>SUM(YM46:ZQ46)</f>
        <v/>
      </c>
      <c r="AAW46" s="127">
        <f>SUM(ZR46:AAV46)</f>
        <v/>
      </c>
      <c r="ACC46" s="127">
        <f>SUM(AAX46:ACB46)</f>
        <v/>
      </c>
      <c r="ADI46" s="127">
        <f>SUM(ACD46:ADH46)</f>
        <v/>
      </c>
      <c r="AEN46" s="127">
        <f>SUM(ADI46:AEM46)</f>
        <v/>
      </c>
      <c r="AFT46" s="127">
        <f>SUM(AEO46:AFS46)</f>
        <v/>
      </c>
      <c r="AGY46" s="127">
        <f>SUM(AFT46:AGX46)</f>
        <v/>
      </c>
      <c r="AIE46" s="127">
        <f>SUM(AGZ46:AID46)</f>
        <v/>
      </c>
      <c r="AJK46" s="127">
        <f>SUM(AIF46:AJJ46)</f>
        <v/>
      </c>
      <c r="AKN46" s="127">
        <f>SUM(AJL46:AKM46)</f>
        <v/>
      </c>
      <c r="ALT46" s="127">
        <f>SUM(AKO46:ALS46)</f>
        <v/>
      </c>
      <c r="AMY46" s="127">
        <f>SUM(ALU46:AMX46)</f>
        <v/>
      </c>
    </row>
    <row r="47">
      <c r="A47" s="4" t="n"/>
      <c r="B47" s="6" t="inlineStr">
        <is>
          <t>DAILY GROSS PROFIT</t>
        </is>
      </c>
      <c r="C47" s="21">
        <f>C11*100</f>
        <v/>
      </c>
      <c r="D47" s="21">
        <f>D11*100</f>
        <v/>
      </c>
      <c r="E47" s="21">
        <f>E11*100</f>
        <v/>
      </c>
      <c r="F47" s="21">
        <f>F11*100</f>
        <v/>
      </c>
      <c r="G47" s="21">
        <f>G11*100</f>
        <v/>
      </c>
      <c r="H47" s="21">
        <f>H11*100</f>
        <v/>
      </c>
      <c r="I47" s="21">
        <f>I11*100</f>
        <v/>
      </c>
      <c r="J47" s="21">
        <f>J11*100</f>
        <v/>
      </c>
      <c r="K47" s="21">
        <f>K11*100</f>
        <v/>
      </c>
      <c r="L47" s="21">
        <f>L11*100</f>
        <v/>
      </c>
      <c r="M47" s="21">
        <f>M11*100</f>
        <v/>
      </c>
      <c r="N47" s="21">
        <f>N11*100</f>
        <v/>
      </c>
      <c r="O47" s="21">
        <f>O11*100</f>
        <v/>
      </c>
      <c r="P47" s="21">
        <f>P11*100</f>
        <v/>
      </c>
      <c r="Q47" s="21">
        <f>Q11*100</f>
        <v/>
      </c>
      <c r="R47" s="21">
        <f>R11*100</f>
        <v/>
      </c>
      <c r="S47" s="21">
        <f>S11*100</f>
        <v/>
      </c>
      <c r="T47" s="21">
        <f>T11*100</f>
        <v/>
      </c>
      <c r="U47" s="21">
        <f>U11*100</f>
        <v/>
      </c>
      <c r="V47" s="21">
        <f>V11*100</f>
        <v/>
      </c>
      <c r="W47" s="21">
        <f>W11*100</f>
        <v/>
      </c>
      <c r="X47" s="21">
        <f>X11*100</f>
        <v/>
      </c>
      <c r="Y47" s="21">
        <f>Y11*100</f>
        <v/>
      </c>
      <c r="Z47" s="21">
        <f>Z11*100</f>
        <v/>
      </c>
      <c r="AA47" s="21">
        <f>AA11*100</f>
        <v/>
      </c>
      <c r="AB47" s="21">
        <f>AB11*100</f>
        <v/>
      </c>
      <c r="AC47" s="21">
        <f>AC11*100</f>
        <v/>
      </c>
      <c r="AD47" s="21">
        <f>AD11*100</f>
        <v/>
      </c>
      <c r="AE47" s="21">
        <f>AE11*100</f>
        <v/>
      </c>
      <c r="AF47" s="21">
        <f>AF11*100</f>
        <v/>
      </c>
      <c r="AG47" s="21">
        <f>AG11*100</f>
        <v/>
      </c>
      <c r="AH47" s="94">
        <f>SUM(C47:AG47)</f>
        <v/>
      </c>
      <c r="AI47" s="21">
        <f>AI11*100</f>
        <v/>
      </c>
      <c r="AJ47" s="21">
        <f>AJ11*100</f>
        <v/>
      </c>
      <c r="AK47" s="21">
        <f>AK11*100</f>
        <v/>
      </c>
      <c r="AL47" s="21">
        <f>AL11*100</f>
        <v/>
      </c>
      <c r="AM47" s="21">
        <f>AM11*100</f>
        <v/>
      </c>
      <c r="AN47" s="21">
        <f>AN11*100</f>
        <v/>
      </c>
      <c r="AO47" s="21">
        <f>AO11*100</f>
        <v/>
      </c>
      <c r="AP47" s="21">
        <f>AP11*100</f>
        <v/>
      </c>
      <c r="AQ47" s="21">
        <f>AQ11*100</f>
        <v/>
      </c>
      <c r="AR47" s="21">
        <f>AR11*100</f>
        <v/>
      </c>
      <c r="AS47" s="21">
        <f>AS11*100</f>
        <v/>
      </c>
      <c r="AT47" s="21">
        <f>AT11*100</f>
        <v/>
      </c>
      <c r="AU47" s="21">
        <f>AU11*100</f>
        <v/>
      </c>
      <c r="AV47" s="21">
        <f>AV11*100</f>
        <v/>
      </c>
      <c r="AW47" s="21">
        <f>AW11*100</f>
        <v/>
      </c>
      <c r="AX47" s="21">
        <f>AX11*100</f>
        <v/>
      </c>
      <c r="AY47" s="21">
        <f>AY11*100</f>
        <v/>
      </c>
      <c r="AZ47" s="21">
        <f>AZ11*100</f>
        <v/>
      </c>
      <c r="BA47" s="21">
        <f>BA11*100</f>
        <v/>
      </c>
      <c r="BB47" s="21">
        <f>BB11*100</f>
        <v/>
      </c>
      <c r="BC47" s="21">
        <f>BC11*100</f>
        <v/>
      </c>
      <c r="BD47" s="21">
        <f>BD11*100</f>
        <v/>
      </c>
      <c r="BE47" s="21">
        <f>BE11*100</f>
        <v/>
      </c>
      <c r="BF47" s="21">
        <f>BF11*100</f>
        <v/>
      </c>
      <c r="BG47" s="21">
        <f>BG11*100</f>
        <v/>
      </c>
      <c r="BH47" s="21">
        <f>BH11*100</f>
        <v/>
      </c>
      <c r="BI47" s="21">
        <f>BI11*100</f>
        <v/>
      </c>
      <c r="BJ47" s="21">
        <f>BJ11*100</f>
        <v/>
      </c>
      <c r="BK47" s="21">
        <f>BK11*100</f>
        <v/>
      </c>
      <c r="BL47" s="21">
        <f>BL11*100</f>
        <v/>
      </c>
      <c r="BM47" s="97">
        <f>SUM(AI47:BL47)</f>
        <v/>
      </c>
      <c r="BN47" s="21">
        <f>BN11*100</f>
        <v/>
      </c>
      <c r="BO47" s="21">
        <f>BO11*100</f>
        <v/>
      </c>
      <c r="BP47" s="21">
        <f>BP11*100</f>
        <v/>
      </c>
      <c r="BQ47" s="21">
        <f>BQ11*100</f>
        <v/>
      </c>
      <c r="BR47" s="21">
        <f>BR11*100</f>
        <v/>
      </c>
      <c r="BS47" s="21">
        <f>BS11*100</f>
        <v/>
      </c>
      <c r="BT47" s="21">
        <f>BT11*100</f>
        <v/>
      </c>
      <c r="BU47" s="21">
        <f>BU11*100</f>
        <v/>
      </c>
      <c r="BV47" s="21">
        <f>BV11*100</f>
        <v/>
      </c>
      <c r="BW47" s="21">
        <f>BW11*100</f>
        <v/>
      </c>
      <c r="BX47" s="21">
        <f>BX11*100</f>
        <v/>
      </c>
      <c r="BY47" s="21">
        <f>BY11*100</f>
        <v/>
      </c>
      <c r="BZ47" s="21">
        <f>BZ11*100</f>
        <v/>
      </c>
      <c r="CA47" s="21">
        <f>CA11*100</f>
        <v/>
      </c>
      <c r="CB47" s="21">
        <f>CB11*100</f>
        <v/>
      </c>
      <c r="CC47" s="21">
        <f>CC11*100</f>
        <v/>
      </c>
      <c r="CD47" s="21">
        <f>CD11*100</f>
        <v/>
      </c>
      <c r="CE47" s="21">
        <f>CE11*100</f>
        <v/>
      </c>
      <c r="CF47" s="21">
        <f>CF11*100</f>
        <v/>
      </c>
      <c r="CG47" s="21">
        <f>CG11*100</f>
        <v/>
      </c>
      <c r="CH47" s="21">
        <f>CH11*100</f>
        <v/>
      </c>
      <c r="CI47" s="21">
        <f>CI11*100</f>
        <v/>
      </c>
      <c r="CJ47" s="21">
        <f>CJ11*100</f>
        <v/>
      </c>
      <c r="CK47" s="21">
        <f>CK11*100</f>
        <v/>
      </c>
      <c r="CL47" s="21">
        <f>CL11*100</f>
        <v/>
      </c>
      <c r="CM47" s="21">
        <f>CM11*100</f>
        <v/>
      </c>
      <c r="CN47" s="21">
        <f>CN11*100</f>
        <v/>
      </c>
      <c r="CO47" s="21">
        <f>CO11*100</f>
        <v/>
      </c>
      <c r="CP47" s="21">
        <f>CP11*100</f>
        <v/>
      </c>
      <c r="CQ47" s="21">
        <f>CQ11*100</f>
        <v/>
      </c>
      <c r="CR47" s="21">
        <f>CR11*100</f>
        <v/>
      </c>
      <c r="CS47" s="111">
        <f>SUM(BN47:CR47)</f>
        <v/>
      </c>
      <c r="CT47" s="21">
        <f>CT11*100</f>
        <v/>
      </c>
      <c r="CU47" s="21">
        <f>CU11*100</f>
        <v/>
      </c>
      <c r="CV47" s="21">
        <f>CV11*100</f>
        <v/>
      </c>
      <c r="CW47" s="21">
        <f>CW11*100</f>
        <v/>
      </c>
      <c r="CX47" s="21">
        <f>CX11*100</f>
        <v/>
      </c>
      <c r="CY47" s="21">
        <f>CY11*100</f>
        <v/>
      </c>
      <c r="CZ47" s="21">
        <f>CZ11*100</f>
        <v/>
      </c>
      <c r="DA47" s="21">
        <f>DA11*100</f>
        <v/>
      </c>
      <c r="DB47" s="21">
        <f>DB11*100</f>
        <v/>
      </c>
      <c r="DC47" s="21">
        <f>DC11*100</f>
        <v/>
      </c>
      <c r="DD47" s="21">
        <f>DD11*100</f>
        <v/>
      </c>
      <c r="DE47" s="21">
        <f>DE11*100</f>
        <v/>
      </c>
      <c r="DF47" s="21">
        <f>DF11*100</f>
        <v/>
      </c>
      <c r="DG47" s="21">
        <f>DG11*100</f>
        <v/>
      </c>
      <c r="DH47" s="21">
        <f>DH11*100</f>
        <v/>
      </c>
      <c r="DI47" s="21">
        <f>DI11*100</f>
        <v/>
      </c>
      <c r="DJ47" s="21">
        <f>DJ11*100</f>
        <v/>
      </c>
      <c r="DK47" s="21">
        <f>DK11*100</f>
        <v/>
      </c>
      <c r="DL47" s="21">
        <f>DL11*100</f>
        <v/>
      </c>
      <c r="DM47" s="21">
        <f>DM11*100</f>
        <v/>
      </c>
      <c r="DN47" s="21">
        <f>DN11*100</f>
        <v/>
      </c>
      <c r="DO47" s="21">
        <f>DO11*100</f>
        <v/>
      </c>
      <c r="DP47" s="21">
        <f>DP11*100</f>
        <v/>
      </c>
      <c r="DQ47" s="21">
        <f>DQ11*100</f>
        <v/>
      </c>
      <c r="DR47" s="21">
        <f>DR11*100</f>
        <v/>
      </c>
      <c r="DS47" s="21">
        <f>DS11*100</f>
        <v/>
      </c>
      <c r="DT47" s="21">
        <f>DT11*100</f>
        <v/>
      </c>
      <c r="DU47" s="21">
        <f>DU11*100</f>
        <v/>
      </c>
      <c r="DV47" s="21">
        <f>DV11*100</f>
        <v/>
      </c>
      <c r="DW47" s="21">
        <f>DW11*100</f>
        <v/>
      </c>
      <c r="DX47" s="122" t="n"/>
      <c r="DY47" s="21">
        <f>DY11*100</f>
        <v/>
      </c>
      <c r="DZ47" s="21">
        <f>DZ11*100</f>
        <v/>
      </c>
      <c r="EA47" s="21">
        <f>EA11*100</f>
        <v/>
      </c>
      <c r="EB47" s="21">
        <f>EB11*100</f>
        <v/>
      </c>
      <c r="EC47" s="21">
        <f>EC11*100</f>
        <v/>
      </c>
      <c r="ED47" s="21">
        <f>ED11*100</f>
        <v/>
      </c>
      <c r="EE47" s="21">
        <f>EE11*100</f>
        <v/>
      </c>
      <c r="EF47" s="21">
        <f>EF11*100</f>
        <v/>
      </c>
      <c r="EG47" s="21">
        <f>EG11*100</f>
        <v/>
      </c>
      <c r="EH47" s="21">
        <f>EH11*100</f>
        <v/>
      </c>
      <c r="EI47" s="21">
        <f>EI11*100</f>
        <v/>
      </c>
      <c r="EJ47" s="21">
        <f>EJ11*100</f>
        <v/>
      </c>
      <c r="EK47" s="21">
        <f>EK11*100</f>
        <v/>
      </c>
      <c r="EL47" s="21">
        <f>EL11*100</f>
        <v/>
      </c>
      <c r="EM47" s="21">
        <f>EM11*100</f>
        <v/>
      </c>
      <c r="EN47" s="21">
        <f>EN11*100</f>
        <v/>
      </c>
      <c r="EO47" s="21">
        <f>EO11*100</f>
        <v/>
      </c>
      <c r="EP47" s="21">
        <f>EP11*100</f>
        <v/>
      </c>
      <c r="EQ47" s="21">
        <f>EQ11*100</f>
        <v/>
      </c>
      <c r="ER47" s="21">
        <f>ER11*100</f>
        <v/>
      </c>
      <c r="ES47" s="21">
        <f>ES11*100</f>
        <v/>
      </c>
      <c r="ET47" s="21">
        <f>ET11*100</f>
        <v/>
      </c>
      <c r="EU47" s="21">
        <f>EU11*100</f>
        <v/>
      </c>
      <c r="EV47" s="21">
        <f>EV11*100</f>
        <v/>
      </c>
      <c r="EW47" s="21">
        <f>EW11*100</f>
        <v/>
      </c>
      <c r="EX47" s="21">
        <f>EX11*100</f>
        <v/>
      </c>
      <c r="EY47" s="21">
        <f>EY11*100</f>
        <v/>
      </c>
      <c r="EZ47" s="21">
        <f>EZ11*100</f>
        <v/>
      </c>
      <c r="FA47" s="21">
        <f>FA11*100</f>
        <v/>
      </c>
      <c r="FB47" s="21">
        <f>FB11*100</f>
        <v/>
      </c>
      <c r="FC47" s="21">
        <f>FC11*100</f>
        <v/>
      </c>
      <c r="FD47" s="128">
        <f>SUM(DY47:FC47)</f>
        <v/>
      </c>
      <c r="FE47" s="21">
        <f>FE11*100</f>
        <v/>
      </c>
      <c r="FF47" s="21">
        <f>FF11*100</f>
        <v/>
      </c>
      <c r="FG47" s="21">
        <f>FG11*100</f>
        <v/>
      </c>
      <c r="FH47" s="21">
        <f>FH11*100</f>
        <v/>
      </c>
      <c r="FI47" s="21">
        <f>FI11*100</f>
        <v/>
      </c>
      <c r="FJ47" s="21">
        <f>FJ11*100</f>
        <v/>
      </c>
      <c r="FK47" s="21">
        <f>FK11*100</f>
        <v/>
      </c>
      <c r="FL47" s="21">
        <f>FL11*100</f>
        <v/>
      </c>
      <c r="FM47" s="21">
        <f>FM11*100</f>
        <v/>
      </c>
      <c r="FN47" s="21">
        <f>FN11*100</f>
        <v/>
      </c>
      <c r="FO47" s="21">
        <f>FO11*100</f>
        <v/>
      </c>
      <c r="FP47" s="21">
        <f>FP11*100</f>
        <v/>
      </c>
      <c r="FQ47" s="21">
        <f>FQ11*100</f>
        <v/>
      </c>
      <c r="FR47" s="21">
        <f>FR11*100</f>
        <v/>
      </c>
      <c r="FS47" s="21">
        <f>FS11*100</f>
        <v/>
      </c>
      <c r="FT47" s="21">
        <f>FT11*100</f>
        <v/>
      </c>
      <c r="FU47" s="21">
        <f>FU11*100</f>
        <v/>
      </c>
      <c r="FV47" s="21">
        <f>FV11*100</f>
        <v/>
      </c>
      <c r="FW47" s="21">
        <f>FW11*100</f>
        <v/>
      </c>
      <c r="FX47" s="21">
        <f>FX11*100</f>
        <v/>
      </c>
      <c r="FY47" s="21">
        <f>FY11*100</f>
        <v/>
      </c>
      <c r="FZ47" s="21">
        <f>FZ11*100</f>
        <v/>
      </c>
      <c r="GA47" s="21">
        <f>GA11*100</f>
        <v/>
      </c>
      <c r="GB47" s="21">
        <f>GB11*100</f>
        <v/>
      </c>
      <c r="GC47" s="21">
        <f>GC11*100</f>
        <v/>
      </c>
      <c r="GD47" s="21">
        <f>GD11*100</f>
        <v/>
      </c>
      <c r="GE47" s="21">
        <f>GE11*100</f>
        <v/>
      </c>
      <c r="GF47" s="21">
        <f>GF11*100</f>
        <v/>
      </c>
      <c r="GG47" s="21">
        <f>GG11*100</f>
        <v/>
      </c>
      <c r="GH47" s="21">
        <f>GH11*100</f>
        <v/>
      </c>
      <c r="GI47" s="21">
        <f>GI11*100</f>
        <v/>
      </c>
      <c r="GJ47" s="127">
        <f>SUM(FE47:GI47)</f>
        <v/>
      </c>
      <c r="GK47" s="21">
        <f>GK11*100</f>
        <v/>
      </c>
      <c r="GL47" s="21">
        <f>GL11*100</f>
        <v/>
      </c>
      <c r="GM47" s="21">
        <f>GM11*100</f>
        <v/>
      </c>
      <c r="GN47" s="21">
        <f>GN11*100</f>
        <v/>
      </c>
      <c r="GO47" s="21">
        <f>GO11*100</f>
        <v/>
      </c>
      <c r="GP47" s="21">
        <f>GP11*100</f>
        <v/>
      </c>
      <c r="GQ47" s="21">
        <f>GQ11*100</f>
        <v/>
      </c>
      <c r="GR47" s="21">
        <f>GR11*100</f>
        <v/>
      </c>
      <c r="GS47" s="21">
        <f>GS11*100</f>
        <v/>
      </c>
      <c r="GT47" s="21">
        <f>GT11*100</f>
        <v/>
      </c>
      <c r="GU47" s="21">
        <f>GU11*100</f>
        <v/>
      </c>
      <c r="GV47" s="21">
        <f>GV11*100</f>
        <v/>
      </c>
      <c r="GW47" s="21">
        <f>GW11*100</f>
        <v/>
      </c>
      <c r="GX47" s="21">
        <f>GX11*100</f>
        <v/>
      </c>
      <c r="GY47" s="21">
        <f>GY11*100</f>
        <v/>
      </c>
      <c r="GZ47" s="21">
        <f>GZ11*100</f>
        <v/>
      </c>
      <c r="HA47" s="21">
        <f>HA11*100</f>
        <v/>
      </c>
      <c r="HB47" s="21">
        <f>HB11*100</f>
        <v/>
      </c>
      <c r="HC47" s="21">
        <f>HC11*100</f>
        <v/>
      </c>
      <c r="HD47" s="21">
        <f>HD11*100</f>
        <v/>
      </c>
      <c r="HE47" s="21">
        <f>HE11*100</f>
        <v/>
      </c>
      <c r="HF47" s="21">
        <f>HF11*100</f>
        <v/>
      </c>
      <c r="HG47" s="21">
        <f>HG11*100</f>
        <v/>
      </c>
      <c r="HH47" s="21">
        <f>HH11*100</f>
        <v/>
      </c>
      <c r="HI47" s="21">
        <f>HI11*100</f>
        <v/>
      </c>
      <c r="HJ47" s="21">
        <f>HJ11*100</f>
        <v/>
      </c>
      <c r="HK47" s="21">
        <f>HK11*100</f>
        <v/>
      </c>
      <c r="HL47" s="21">
        <f>HL11*100</f>
        <v/>
      </c>
      <c r="HM47" s="21">
        <f>HM11*100</f>
        <v/>
      </c>
      <c r="HN47" s="127">
        <f>SUM(GK47:HM47)</f>
        <v/>
      </c>
      <c r="HO47" s="21">
        <f>HO11*100</f>
        <v/>
      </c>
      <c r="HP47" s="21">
        <f>HP11*100</f>
        <v/>
      </c>
      <c r="HQ47" s="21">
        <f>HQ11*100</f>
        <v/>
      </c>
      <c r="HR47" s="21">
        <f>HR11*100</f>
        <v/>
      </c>
      <c r="HS47" s="21">
        <f>HS11*100</f>
        <v/>
      </c>
      <c r="HT47" s="21">
        <f>HT11*100</f>
        <v/>
      </c>
      <c r="HU47" s="21">
        <f>HU11*100</f>
        <v/>
      </c>
      <c r="HV47" s="21">
        <f>HV11*100</f>
        <v/>
      </c>
      <c r="HW47" s="21">
        <f>HW11*100</f>
        <v/>
      </c>
      <c r="HX47" s="21">
        <f>HX11*100</f>
        <v/>
      </c>
      <c r="HY47" s="21">
        <f>HY11*100</f>
        <v/>
      </c>
      <c r="HZ47" s="21">
        <f>HZ11*100</f>
        <v/>
      </c>
      <c r="IA47" s="21">
        <f>IA11*100</f>
        <v/>
      </c>
      <c r="IB47" s="21">
        <f>IB11*100</f>
        <v/>
      </c>
      <c r="IC47" s="21">
        <f>IC11*100</f>
        <v/>
      </c>
      <c r="ID47" s="21">
        <f>ID11*100</f>
        <v/>
      </c>
      <c r="IE47" s="21">
        <f>IE11*100</f>
        <v/>
      </c>
      <c r="IF47" s="21">
        <f>IF11*100</f>
        <v/>
      </c>
      <c r="IG47" s="21">
        <f>IG11*100</f>
        <v/>
      </c>
      <c r="IH47" s="21">
        <f>IH11*100</f>
        <v/>
      </c>
      <c r="II47" s="21">
        <f>II11*100</f>
        <v/>
      </c>
      <c r="IJ47" s="21">
        <f>IJ11*100</f>
        <v/>
      </c>
      <c r="IK47" s="21">
        <f>IK11*100</f>
        <v/>
      </c>
      <c r="IL47" s="21">
        <f>IL11*100</f>
        <v/>
      </c>
      <c r="IM47" s="21">
        <f>IM11*100</f>
        <v/>
      </c>
      <c r="IN47" s="21">
        <f>IN11*100</f>
        <v/>
      </c>
      <c r="IO47" s="21">
        <f>IO11*100</f>
        <v/>
      </c>
      <c r="IP47" s="21">
        <f>IP11*100</f>
        <v/>
      </c>
      <c r="IQ47" s="21">
        <f>IQ11*100</f>
        <v/>
      </c>
      <c r="IR47" s="21">
        <f>IR11*100</f>
        <v/>
      </c>
      <c r="IS47" s="21">
        <f>IS11*100</f>
        <v/>
      </c>
      <c r="IT47" s="127">
        <f>SUM(HO47:IS47)</f>
        <v/>
      </c>
      <c r="IU47" s="21">
        <f>IU11*100</f>
        <v/>
      </c>
      <c r="IV47" s="21">
        <f>IV11*100</f>
        <v/>
      </c>
      <c r="IW47" s="21">
        <f>IW11*100</f>
        <v/>
      </c>
      <c r="IX47" s="21">
        <f>IX11*100</f>
        <v/>
      </c>
      <c r="IY47" s="21">
        <f>IY11*100</f>
        <v/>
      </c>
      <c r="IZ47" s="21">
        <f>IZ11*100</f>
        <v/>
      </c>
      <c r="JA47" s="21">
        <f>JA11*100</f>
        <v/>
      </c>
      <c r="JB47" s="21">
        <f>JB11*100</f>
        <v/>
      </c>
      <c r="JC47" s="21">
        <f>JC11*100</f>
        <v/>
      </c>
      <c r="JD47" s="21">
        <f>JD11*100</f>
        <v/>
      </c>
      <c r="JE47" s="21">
        <f>JE11*100</f>
        <v/>
      </c>
      <c r="JF47" s="21">
        <f>JF11*100</f>
        <v/>
      </c>
      <c r="JG47" s="21">
        <f>JG11*100</f>
        <v/>
      </c>
      <c r="JH47" s="21">
        <f>JH11*100</f>
        <v/>
      </c>
      <c r="JI47" s="21">
        <f>JI11*100</f>
        <v/>
      </c>
      <c r="JJ47" s="21">
        <f>JJ11*100</f>
        <v/>
      </c>
      <c r="JK47" s="21">
        <f>JK11*100</f>
        <v/>
      </c>
      <c r="JL47" s="21">
        <f>JL11*100</f>
        <v/>
      </c>
      <c r="JM47" s="21">
        <f>JM11*100</f>
        <v/>
      </c>
      <c r="JN47" s="21">
        <f>JN11*100</f>
        <v/>
      </c>
      <c r="JO47" s="21">
        <f>JO11*100</f>
        <v/>
      </c>
      <c r="JP47" s="21">
        <f>JP11*100</f>
        <v/>
      </c>
      <c r="JQ47" s="21">
        <f>JQ11*100</f>
        <v/>
      </c>
      <c r="JR47" s="21">
        <f>JR11*100</f>
        <v/>
      </c>
      <c r="JS47" s="21">
        <f>JS11*100</f>
        <v/>
      </c>
      <c r="JT47" s="21">
        <f>JT11*100</f>
        <v/>
      </c>
      <c r="JU47" s="21">
        <f>JU11*100</f>
        <v/>
      </c>
      <c r="JV47" s="21">
        <f>JV11*100</f>
        <v/>
      </c>
      <c r="JW47" s="21">
        <f>JW11*100</f>
        <v/>
      </c>
      <c r="JX47" s="21">
        <f>JX11*100</f>
        <v/>
      </c>
      <c r="JY47" s="127">
        <f>SUM(IU47:JX47)</f>
        <v/>
      </c>
      <c r="JZ47" s="21">
        <f>JZ11*100</f>
        <v/>
      </c>
      <c r="KA47" s="21">
        <f>KA11*100</f>
        <v/>
      </c>
      <c r="KB47" s="21">
        <f>KB11*100</f>
        <v/>
      </c>
      <c r="KC47" s="21">
        <f>KC11*100</f>
        <v/>
      </c>
      <c r="KD47" s="21">
        <f>KD11*100</f>
        <v/>
      </c>
      <c r="KE47" s="21">
        <f>KE11*100</f>
        <v/>
      </c>
      <c r="KF47" s="21">
        <f>KF11*100</f>
        <v/>
      </c>
      <c r="KG47" s="21">
        <f>KG11*100</f>
        <v/>
      </c>
      <c r="KH47" s="21">
        <f>KH11*100</f>
        <v/>
      </c>
      <c r="KI47" s="21">
        <f>KI11*100</f>
        <v/>
      </c>
      <c r="KJ47" s="21">
        <f>KJ11*100</f>
        <v/>
      </c>
      <c r="KK47" s="21">
        <f>KK11*100</f>
        <v/>
      </c>
      <c r="KL47" s="21">
        <f>KL11*100</f>
        <v/>
      </c>
      <c r="KM47" s="21">
        <f>KM11*100</f>
        <v/>
      </c>
      <c r="KN47" s="21">
        <f>KN11*100</f>
        <v/>
      </c>
      <c r="KO47" s="21">
        <f>KO11*100</f>
        <v/>
      </c>
      <c r="KP47" s="21">
        <f>KP11*100</f>
        <v/>
      </c>
      <c r="KQ47" s="21">
        <f>KQ11*100</f>
        <v/>
      </c>
      <c r="KR47" s="21">
        <f>KR11*100</f>
        <v/>
      </c>
      <c r="KS47" s="21">
        <f>KS11*100</f>
        <v/>
      </c>
      <c r="KT47" s="21">
        <f>KT11*100</f>
        <v/>
      </c>
      <c r="KU47" s="21">
        <f>KU11*100</f>
        <v/>
      </c>
      <c r="KV47" s="21">
        <f>KV11*100</f>
        <v/>
      </c>
      <c r="KW47" s="21">
        <f>KW11*100</f>
        <v/>
      </c>
      <c r="KX47" s="21">
        <f>KX11*100</f>
        <v/>
      </c>
      <c r="KY47" s="21">
        <f>KY11*100</f>
        <v/>
      </c>
      <c r="KZ47" s="21">
        <f>KZ11*100</f>
        <v/>
      </c>
      <c r="LA47" s="21">
        <f>LA11*100</f>
        <v/>
      </c>
      <c r="LB47" s="21">
        <f>LB11*100</f>
        <v/>
      </c>
      <c r="LC47" s="21">
        <f>LC11*100</f>
        <v/>
      </c>
      <c r="LD47" s="21">
        <f>LD11*100</f>
        <v/>
      </c>
      <c r="LE47" s="127">
        <f>SUM(KA47:LD47)</f>
        <v/>
      </c>
      <c r="LF47" s="21">
        <f>LF11*100</f>
        <v/>
      </c>
      <c r="LG47" s="21">
        <f>LG11*100</f>
        <v/>
      </c>
      <c r="LH47" s="21">
        <f>LH11*100</f>
        <v/>
      </c>
      <c r="LI47" s="21">
        <f>LI11*100</f>
        <v/>
      </c>
      <c r="LJ47" s="21">
        <f>LJ11*100</f>
        <v/>
      </c>
      <c r="LK47" s="21">
        <f>LK11*100</f>
        <v/>
      </c>
      <c r="LL47" s="21">
        <f>LL11*100</f>
        <v/>
      </c>
      <c r="LM47" s="21">
        <f>LM11*100</f>
        <v/>
      </c>
      <c r="LN47" s="21">
        <f>LN11*100</f>
        <v/>
      </c>
      <c r="LO47" s="21">
        <f>LO11*100</f>
        <v/>
      </c>
      <c r="LP47" s="21">
        <f>LP11*100</f>
        <v/>
      </c>
      <c r="LQ47" s="21">
        <f>LQ11*100</f>
        <v/>
      </c>
      <c r="LR47" s="21">
        <f>LR11*100</f>
        <v/>
      </c>
      <c r="LS47" s="21">
        <f>LS11*100</f>
        <v/>
      </c>
      <c r="LT47" s="21">
        <f>LT11*100</f>
        <v/>
      </c>
      <c r="LU47" s="21">
        <f>LU11*100</f>
        <v/>
      </c>
      <c r="LV47" s="21">
        <f>LV11*100</f>
        <v/>
      </c>
      <c r="LW47" s="21">
        <f>LW11*100</f>
        <v/>
      </c>
      <c r="LX47" s="21">
        <f>LX11*100</f>
        <v/>
      </c>
      <c r="LY47" s="21">
        <f>LY11*100</f>
        <v/>
      </c>
      <c r="LZ47" s="21">
        <f>LZ11*100</f>
        <v/>
      </c>
      <c r="MA47" s="21">
        <f>MA11*100</f>
        <v/>
      </c>
      <c r="MB47" s="21">
        <f>MB11*100</f>
        <v/>
      </c>
      <c r="MC47" s="21">
        <f>MC11*100</f>
        <v/>
      </c>
      <c r="MD47" s="21">
        <f>MD11*100</f>
        <v/>
      </c>
      <c r="ME47" s="21">
        <f>ME11*100</f>
        <v/>
      </c>
      <c r="MF47" s="21">
        <f>MF11*100</f>
        <v/>
      </c>
      <c r="MG47" s="21">
        <f>MG11*100</f>
        <v/>
      </c>
      <c r="MH47" s="21">
        <f>MH11*100</f>
        <v/>
      </c>
      <c r="MI47" s="21">
        <f>MI11*100</f>
        <v/>
      </c>
      <c r="MJ47" s="127">
        <f>SUM(LF47:MI47)</f>
        <v/>
      </c>
      <c r="MK47" s="21">
        <f>MK11*100</f>
        <v/>
      </c>
      <c r="ML47" s="21">
        <f>ML11*100</f>
        <v/>
      </c>
      <c r="MM47" s="21">
        <f>MM11*100</f>
        <v/>
      </c>
      <c r="MN47" s="21">
        <f>MN11*100</f>
        <v/>
      </c>
      <c r="MO47" s="21">
        <f>MO11*100</f>
        <v/>
      </c>
      <c r="MP47" s="21">
        <f>MP11*100</f>
        <v/>
      </c>
      <c r="MQ47" s="21">
        <f>MQ11*100</f>
        <v/>
      </c>
      <c r="MR47" s="21">
        <f>MR11*100</f>
        <v/>
      </c>
      <c r="MS47" s="21">
        <f>MS11*100</f>
        <v/>
      </c>
      <c r="MT47" s="21">
        <f>MT11*100</f>
        <v/>
      </c>
      <c r="MU47" s="21">
        <f>MU11*100</f>
        <v/>
      </c>
      <c r="MV47" s="21">
        <f>MV11*100</f>
        <v/>
      </c>
      <c r="MW47" s="21">
        <f>MW11*100</f>
        <v/>
      </c>
      <c r="MX47" s="21">
        <f>MX11*100</f>
        <v/>
      </c>
      <c r="MY47" s="21">
        <f>MY11*100</f>
        <v/>
      </c>
      <c r="MZ47" s="21">
        <f>MZ11*100</f>
        <v/>
      </c>
      <c r="NA47" s="21">
        <f>NA11*100</f>
        <v/>
      </c>
      <c r="NB47" s="21">
        <f>NB11*100</f>
        <v/>
      </c>
      <c r="NC47" s="21">
        <f>NC11*100</f>
        <v/>
      </c>
      <c r="ND47" s="21">
        <f>ND11*100</f>
        <v/>
      </c>
      <c r="NE47" s="21">
        <f>NE11*100</f>
        <v/>
      </c>
      <c r="NF47" s="21">
        <f>NF11*100</f>
        <v/>
      </c>
      <c r="NG47" s="21">
        <f>NG11*100</f>
        <v/>
      </c>
      <c r="NH47" s="21">
        <f>NH11*100</f>
        <v/>
      </c>
      <c r="NI47" s="21">
        <f>NI11*100</f>
        <v/>
      </c>
      <c r="NJ47" s="21">
        <f>NJ11*100</f>
        <v/>
      </c>
      <c r="NK47" s="21">
        <f>NK11*100</f>
        <v/>
      </c>
      <c r="NL47" s="21">
        <f>NL11*100</f>
        <v/>
      </c>
      <c r="NM47" s="21">
        <f>NM11*100</f>
        <v/>
      </c>
      <c r="NN47" s="21">
        <f>NN11*100</f>
        <v/>
      </c>
      <c r="NO47" s="21">
        <f>NO11*100</f>
        <v/>
      </c>
      <c r="NP47" s="127">
        <f>SUM(ML47:NO47)</f>
        <v/>
      </c>
      <c r="NQ47" s="21">
        <f>NQ11*100</f>
        <v/>
      </c>
      <c r="NR47" s="21">
        <f>NR11*100</f>
        <v/>
      </c>
      <c r="NS47" s="21">
        <f>NS11*100</f>
        <v/>
      </c>
      <c r="NT47" s="21">
        <f>NT11*100</f>
        <v/>
      </c>
      <c r="NU47" s="21">
        <f>NU11*100</f>
        <v/>
      </c>
      <c r="NV47" s="21">
        <f>NV11*100</f>
        <v/>
      </c>
      <c r="NW47" s="21">
        <f>NW11*100</f>
        <v/>
      </c>
      <c r="NX47" s="21">
        <f>NX11*100</f>
        <v/>
      </c>
      <c r="NY47" s="21">
        <f>NY11*100</f>
        <v/>
      </c>
      <c r="NZ47" s="21">
        <f>NZ11*100</f>
        <v/>
      </c>
      <c r="OA47" s="21">
        <f>OA11*100</f>
        <v/>
      </c>
      <c r="OB47" s="21">
        <f>OB11*100</f>
        <v/>
      </c>
      <c r="OC47" s="21">
        <f>OC11*100</f>
        <v/>
      </c>
      <c r="OD47" s="21">
        <f>OD11*100</f>
        <v/>
      </c>
      <c r="OE47" s="21">
        <f>OE11*100</f>
        <v/>
      </c>
      <c r="OF47" s="21">
        <f>OF11*100</f>
        <v/>
      </c>
      <c r="OG47" s="21">
        <f>OG11*100</f>
        <v/>
      </c>
      <c r="OH47" s="21">
        <f>OH11*100</f>
        <v/>
      </c>
      <c r="OI47" s="21">
        <f>OI11*100</f>
        <v/>
      </c>
      <c r="OJ47" s="21">
        <f>OJ11*100</f>
        <v/>
      </c>
      <c r="OK47" s="21">
        <f>OK11*100</f>
        <v/>
      </c>
      <c r="OL47" s="21">
        <f>OL11*100</f>
        <v/>
      </c>
      <c r="OM47" s="21">
        <f>OM11*100</f>
        <v/>
      </c>
      <c r="ON47" s="21">
        <f>ON11*100</f>
        <v/>
      </c>
      <c r="OO47" s="21">
        <f>OO11*100</f>
        <v/>
      </c>
      <c r="OP47" s="21">
        <f>OP11*100</f>
        <v/>
      </c>
      <c r="OQ47" s="21">
        <f>OQ11*100</f>
        <v/>
      </c>
      <c r="OR47" s="21">
        <f>OR11*100</f>
        <v/>
      </c>
      <c r="OS47" s="21">
        <f>OS11*100</f>
        <v/>
      </c>
      <c r="OT47" s="21">
        <f>OT11*100</f>
        <v/>
      </c>
      <c r="OU47" s="21">
        <f>OU11*100</f>
        <v/>
      </c>
      <c r="OV47" s="127">
        <f>SUM(NR47:OU47)</f>
        <v/>
      </c>
      <c r="OW47" s="21">
        <f>OW11*100</f>
        <v/>
      </c>
      <c r="OX47" s="21">
        <f>OX11*100</f>
        <v/>
      </c>
      <c r="OY47" s="21">
        <f>OY11*100</f>
        <v/>
      </c>
      <c r="OZ47" s="21">
        <f>OZ11*100</f>
        <v/>
      </c>
      <c r="PA47" s="21">
        <f>PA11*100</f>
        <v/>
      </c>
      <c r="PB47" s="21">
        <f>PB11*100</f>
        <v/>
      </c>
      <c r="PC47" s="21">
        <f>PC11*100</f>
        <v/>
      </c>
      <c r="PD47" s="21">
        <f>PD11*100</f>
        <v/>
      </c>
      <c r="PE47" s="21">
        <f>PE11*100</f>
        <v/>
      </c>
      <c r="PF47" s="21">
        <f>PF11*100</f>
        <v/>
      </c>
      <c r="PG47" s="21">
        <f>PG11*100</f>
        <v/>
      </c>
      <c r="PH47" s="21">
        <f>PH11*100</f>
        <v/>
      </c>
      <c r="PI47" s="21">
        <f>PI11*100</f>
        <v/>
      </c>
      <c r="PJ47" s="21">
        <f>PJ11*100</f>
        <v/>
      </c>
      <c r="PK47" s="21">
        <f>PK11*100</f>
        <v/>
      </c>
      <c r="PL47" s="21">
        <f>PL11*100</f>
        <v/>
      </c>
      <c r="PM47" s="21">
        <f>PM11*100</f>
        <v/>
      </c>
      <c r="PN47" s="21">
        <f>PN11*100</f>
        <v/>
      </c>
      <c r="PO47" s="21">
        <f>PO11*100</f>
        <v/>
      </c>
      <c r="PP47" s="21">
        <f>PP11*100</f>
        <v/>
      </c>
      <c r="PQ47" s="21">
        <f>PQ11*100</f>
        <v/>
      </c>
      <c r="PR47" s="21">
        <f>PR11*100</f>
        <v/>
      </c>
      <c r="PS47" s="21">
        <f>PS11*100</f>
        <v/>
      </c>
      <c r="PT47" s="21">
        <f>PT11*100</f>
        <v/>
      </c>
      <c r="PU47" s="21">
        <f>PU11*100</f>
        <v/>
      </c>
      <c r="PV47" s="21">
        <f>PV11*100</f>
        <v/>
      </c>
      <c r="PW47" s="21">
        <f>PW11*100</f>
        <v/>
      </c>
      <c r="PX47" s="21">
        <f>PX11*100</f>
        <v/>
      </c>
      <c r="PY47" s="21">
        <f>PY11*100</f>
        <v/>
      </c>
      <c r="PZ47" s="21">
        <f>PZ11*100</f>
        <v/>
      </c>
      <c r="QA47" s="127">
        <f>SUM(OW47:PZ47)</f>
        <v/>
      </c>
      <c r="QB47" s="21">
        <f>QB11*100</f>
        <v/>
      </c>
      <c r="QC47" s="21">
        <f>QC11*100</f>
        <v/>
      </c>
      <c r="QD47" s="21">
        <f>QD11*100</f>
        <v/>
      </c>
      <c r="QE47" s="21">
        <f>QE11*100</f>
        <v/>
      </c>
      <c r="QF47" s="21">
        <f>QF11*100</f>
        <v/>
      </c>
      <c r="QG47" s="21">
        <f>QG11*100</f>
        <v/>
      </c>
      <c r="QH47" s="21">
        <f>QH11*100</f>
        <v/>
      </c>
      <c r="QI47" s="21">
        <f>QI11*100</f>
        <v/>
      </c>
      <c r="QJ47" s="21">
        <f>QJ11*100</f>
        <v/>
      </c>
      <c r="QK47" s="21">
        <f>QK11*100</f>
        <v/>
      </c>
      <c r="QL47" s="21">
        <f>QL11*100</f>
        <v/>
      </c>
      <c r="QM47" s="21">
        <f>QM11*100</f>
        <v/>
      </c>
      <c r="QN47" s="21">
        <f>QN11*100</f>
        <v/>
      </c>
      <c r="QO47" s="21">
        <f>QO11*100</f>
        <v/>
      </c>
      <c r="QP47" s="21">
        <f>QP11*100</f>
        <v/>
      </c>
      <c r="QQ47" s="21">
        <f>QQ11*100</f>
        <v/>
      </c>
      <c r="QR47" s="21">
        <f>QR11*100</f>
        <v/>
      </c>
      <c r="QS47" s="21">
        <f>QS11*100</f>
        <v/>
      </c>
      <c r="QT47" s="21">
        <f>QT11*100</f>
        <v/>
      </c>
      <c r="QU47" s="21">
        <f>QU11*100</f>
        <v/>
      </c>
      <c r="QV47" s="21">
        <f>QV11*100</f>
        <v/>
      </c>
      <c r="QW47" s="21">
        <f>QW11*100</f>
        <v/>
      </c>
      <c r="QX47" s="21">
        <f>QX11*100</f>
        <v/>
      </c>
      <c r="QY47" s="21">
        <f>QY11*100</f>
        <v/>
      </c>
      <c r="QZ47" s="21">
        <f>QZ11*100</f>
        <v/>
      </c>
      <c r="RA47" s="21">
        <f>RA11*100</f>
        <v/>
      </c>
      <c r="RB47" s="21">
        <f>RB11*100</f>
        <v/>
      </c>
      <c r="RC47" s="21">
        <f>RC11*100</f>
        <v/>
      </c>
      <c r="RD47" s="21">
        <f>RD11*100</f>
        <v/>
      </c>
      <c r="RE47" s="21">
        <f>RE11*100</f>
        <v/>
      </c>
      <c r="RF47" s="21">
        <f>RF11*100</f>
        <v/>
      </c>
      <c r="RG47" s="127">
        <f>SUM(QC47:RF47)</f>
        <v/>
      </c>
      <c r="RH47" s="21">
        <f>RH11*100</f>
        <v/>
      </c>
      <c r="RI47" s="21">
        <f>RI11*100</f>
        <v/>
      </c>
      <c r="RJ47" s="21">
        <f>RJ11*100</f>
        <v/>
      </c>
      <c r="RK47" s="21">
        <f>RK11*100</f>
        <v/>
      </c>
      <c r="RL47" s="21">
        <f>RL11*100</f>
        <v/>
      </c>
      <c r="RM47" s="21">
        <f>RM11*100</f>
        <v/>
      </c>
      <c r="RN47" s="21">
        <f>RN11*100</f>
        <v/>
      </c>
      <c r="RO47" s="21">
        <f>RO11*100</f>
        <v/>
      </c>
      <c r="RP47" s="21">
        <f>RP11*100</f>
        <v/>
      </c>
      <c r="RQ47" s="21">
        <f>RQ11*100</f>
        <v/>
      </c>
      <c r="RR47" s="21">
        <f>RR11*100</f>
        <v/>
      </c>
      <c r="RS47" s="21">
        <f>RS11*100</f>
        <v/>
      </c>
      <c r="RT47" s="21">
        <f>RT11*100</f>
        <v/>
      </c>
      <c r="RU47" s="21">
        <f>RU11*100</f>
        <v/>
      </c>
      <c r="RV47" s="21">
        <f>RV11*100</f>
        <v/>
      </c>
      <c r="RW47" s="21">
        <f>RW11*100</f>
        <v/>
      </c>
      <c r="RX47" s="21">
        <f>RX11*100</f>
        <v/>
      </c>
      <c r="RY47" s="21">
        <f>RY11*100</f>
        <v/>
      </c>
      <c r="RZ47" s="21">
        <f>RZ11*100</f>
        <v/>
      </c>
      <c r="SA47" s="21">
        <f>SA11*100</f>
        <v/>
      </c>
      <c r="SB47" s="21">
        <f>SB11*100</f>
        <v/>
      </c>
      <c r="SC47" s="21">
        <f>SC11*100</f>
        <v/>
      </c>
      <c r="SD47" s="21">
        <f>SD11*100</f>
        <v/>
      </c>
      <c r="SE47" s="21">
        <f>SE11*100</f>
        <v/>
      </c>
      <c r="SF47" s="21">
        <f>SF11*100</f>
        <v/>
      </c>
      <c r="SG47" s="21">
        <f>SG11*100</f>
        <v/>
      </c>
      <c r="SH47" s="21">
        <f>SH11*100</f>
        <v/>
      </c>
      <c r="SI47" s="21">
        <f>SI11*100</f>
        <v/>
      </c>
      <c r="SJ47" s="21">
        <f>SJ11*100</f>
        <v/>
      </c>
      <c r="SK47" s="21">
        <f>SK11*100</f>
        <v/>
      </c>
      <c r="SL47" s="127">
        <f>SUM(RH47:SK47)</f>
        <v/>
      </c>
      <c r="SM47" s="21">
        <f>SM11*100</f>
        <v/>
      </c>
      <c r="SN47" s="21">
        <f>SN11*100</f>
        <v/>
      </c>
      <c r="SO47" s="21">
        <f>SO11*100</f>
        <v/>
      </c>
      <c r="SP47" s="21">
        <f>SP11*100</f>
        <v/>
      </c>
      <c r="SQ47" s="21">
        <f>SQ11*100</f>
        <v/>
      </c>
      <c r="SR47" s="21">
        <f>SR11*100</f>
        <v/>
      </c>
      <c r="SS47" s="21">
        <f>SS11*100</f>
        <v/>
      </c>
      <c r="ST47" s="21">
        <f>ST11*100</f>
        <v/>
      </c>
      <c r="SU47" s="21">
        <f>SU11*100</f>
        <v/>
      </c>
      <c r="SV47" s="21">
        <f>SV11*100</f>
        <v/>
      </c>
      <c r="SW47" s="21">
        <f>SW11*100</f>
        <v/>
      </c>
      <c r="SX47" s="21">
        <f>SX11*100</f>
        <v/>
      </c>
      <c r="SY47" s="21">
        <f>SY11*100</f>
        <v/>
      </c>
      <c r="SZ47" s="21">
        <f>SZ11*100</f>
        <v/>
      </c>
      <c r="TA47" s="21">
        <f>TA11*100</f>
        <v/>
      </c>
      <c r="TB47" s="21">
        <f>TB11*100</f>
        <v/>
      </c>
      <c r="TC47" s="21">
        <f>TC11*100</f>
        <v/>
      </c>
      <c r="TD47" s="21">
        <f>TD11*100</f>
        <v/>
      </c>
      <c r="TE47" s="21">
        <f>TE11*100</f>
        <v/>
      </c>
      <c r="TF47" s="21">
        <f>TF11*100</f>
        <v/>
      </c>
      <c r="TG47" s="21">
        <f>TG11*100</f>
        <v/>
      </c>
      <c r="TH47" s="21">
        <f>TH11*100</f>
        <v/>
      </c>
      <c r="TI47" s="21">
        <f>TI11*100</f>
        <v/>
      </c>
      <c r="TJ47" s="21">
        <f>TJ11*100</f>
        <v/>
      </c>
      <c r="TK47" s="21">
        <f>TK11*100</f>
        <v/>
      </c>
      <c r="TL47" s="21">
        <f>TL11*100</f>
        <v/>
      </c>
      <c r="TM47" s="21">
        <f>TM11*100</f>
        <v/>
      </c>
      <c r="TN47" s="21">
        <f>TN11*100</f>
        <v/>
      </c>
      <c r="TO47" s="21">
        <f>TO11*100</f>
        <v/>
      </c>
      <c r="TP47" s="21">
        <f>TP11*100</f>
        <v/>
      </c>
      <c r="TQ47" s="21">
        <f>TQ11*100</f>
        <v/>
      </c>
      <c r="TR47" s="127">
        <f>SUM(SN47:TQ47)</f>
        <v/>
      </c>
      <c r="TS47" s="21">
        <f>TS11*100</f>
        <v/>
      </c>
      <c r="TT47" s="21">
        <f>TT11*100</f>
        <v/>
      </c>
      <c r="TU47" s="21">
        <f>TU11*100</f>
        <v/>
      </c>
      <c r="TV47" s="21">
        <f>TV11*100</f>
        <v/>
      </c>
      <c r="TW47" s="21">
        <f>TW11*100</f>
        <v/>
      </c>
      <c r="TX47" s="21">
        <f>TX11*100</f>
        <v/>
      </c>
      <c r="TY47" s="21">
        <f>TY11*100</f>
        <v/>
      </c>
      <c r="TZ47" s="21">
        <f>TZ11*100</f>
        <v/>
      </c>
      <c r="UA47" s="21">
        <f>UA11*100</f>
        <v/>
      </c>
      <c r="UB47" s="21">
        <f>UB11*100</f>
        <v/>
      </c>
      <c r="UC47" s="21">
        <f>UC11*100</f>
        <v/>
      </c>
      <c r="UD47" s="21">
        <f>UD11*100</f>
        <v/>
      </c>
      <c r="UE47" s="21">
        <f>UE11*100</f>
        <v/>
      </c>
      <c r="UF47" s="21">
        <f>UF11*100</f>
        <v/>
      </c>
      <c r="UG47" s="21">
        <f>UG11*100</f>
        <v/>
      </c>
      <c r="UH47" s="21">
        <f>UH11*100</f>
        <v/>
      </c>
      <c r="UI47" s="21">
        <f>UI11*100</f>
        <v/>
      </c>
      <c r="UJ47" s="21">
        <f>UJ11*100</f>
        <v/>
      </c>
      <c r="UK47" s="21">
        <f>UK11*100</f>
        <v/>
      </c>
      <c r="UL47" s="21">
        <f>UL11*100</f>
        <v/>
      </c>
      <c r="UM47" s="21">
        <f>UM11*100</f>
        <v/>
      </c>
      <c r="UN47" s="21">
        <f>UN11*100</f>
        <v/>
      </c>
      <c r="UO47" s="21">
        <f>UO11*100</f>
        <v/>
      </c>
      <c r="UP47" s="21">
        <f>UP11*100</f>
        <v/>
      </c>
      <c r="UQ47" s="21">
        <f>UQ11*100</f>
        <v/>
      </c>
      <c r="UR47" s="21">
        <f>UR11*100</f>
        <v/>
      </c>
      <c r="US47" s="21">
        <f>US11*100</f>
        <v/>
      </c>
      <c r="UT47" s="21">
        <f>UT11*100</f>
        <v/>
      </c>
      <c r="UU47" s="21">
        <f>UU11*100</f>
        <v/>
      </c>
      <c r="UV47" s="21">
        <f>UV11*100</f>
        <v/>
      </c>
      <c r="UW47" s="21">
        <f>UW11*100</f>
        <v/>
      </c>
      <c r="UX47" s="127">
        <f>SUM(TT47:UW47)</f>
        <v/>
      </c>
      <c r="UY47" s="21">
        <f>UY11*100</f>
        <v/>
      </c>
      <c r="UZ47" s="21">
        <f>UZ11*100</f>
        <v/>
      </c>
      <c r="VA47" s="21">
        <f>VA11*100</f>
        <v/>
      </c>
      <c r="VB47" s="21">
        <f>VB11*100</f>
        <v/>
      </c>
      <c r="VC47" s="21">
        <f>VC11*100</f>
        <v/>
      </c>
      <c r="VD47" s="21">
        <f>VD11*100</f>
        <v/>
      </c>
      <c r="VE47" s="21">
        <f>VE11*100</f>
        <v/>
      </c>
      <c r="VF47" s="21">
        <f>VF11*100</f>
        <v/>
      </c>
      <c r="VG47" s="21">
        <f>VG11*100</f>
        <v/>
      </c>
      <c r="VH47" s="21">
        <f>VH11*100</f>
        <v/>
      </c>
      <c r="VI47" s="21">
        <f>VI11*100</f>
        <v/>
      </c>
      <c r="VJ47" s="21">
        <f>VJ11*100</f>
        <v/>
      </c>
      <c r="VK47" s="21">
        <f>VK11*100</f>
        <v/>
      </c>
      <c r="VL47" s="21">
        <f>VL11*100</f>
        <v/>
      </c>
      <c r="VM47" s="21">
        <f>VM11*100</f>
        <v/>
      </c>
      <c r="VN47" s="21">
        <f>VN11*100</f>
        <v/>
      </c>
      <c r="VO47" s="21">
        <f>VO11*100</f>
        <v/>
      </c>
      <c r="VP47" s="21">
        <f>VP11*100</f>
        <v/>
      </c>
      <c r="VQ47" s="21">
        <f>VQ11*100</f>
        <v/>
      </c>
      <c r="VR47" s="21">
        <f>VR11*100</f>
        <v/>
      </c>
      <c r="VS47" s="21">
        <f>VS11*100</f>
        <v/>
      </c>
      <c r="VT47" s="21">
        <f>VT11*100</f>
        <v/>
      </c>
      <c r="VU47" s="21">
        <f>VU11*100</f>
        <v/>
      </c>
      <c r="VV47" s="21">
        <f>VV11*100</f>
        <v/>
      </c>
      <c r="VW47" s="21">
        <f>VW11*100</f>
        <v/>
      </c>
      <c r="VX47" s="21">
        <f>VX11*100</f>
        <v/>
      </c>
      <c r="VY47" s="21">
        <f>VY11*100</f>
        <v/>
      </c>
      <c r="VZ47" s="21">
        <f>VZ11*100</f>
        <v/>
      </c>
      <c r="WA47" s="127">
        <f>SUM(UW47:VZ47)</f>
        <v/>
      </c>
      <c r="WB47" s="21">
        <f>WB11*100</f>
        <v/>
      </c>
      <c r="WC47" s="21">
        <f>WC11*100</f>
        <v/>
      </c>
      <c r="WD47" s="21">
        <f>WD11*100</f>
        <v/>
      </c>
      <c r="WE47" s="21">
        <f>WE11*100</f>
        <v/>
      </c>
      <c r="WF47" s="21">
        <f>WF11*100</f>
        <v/>
      </c>
      <c r="WG47" s="21">
        <f>WG11*100</f>
        <v/>
      </c>
      <c r="WH47" s="21">
        <f>WH11*100</f>
        <v/>
      </c>
      <c r="WI47" s="21">
        <f>WI11*100</f>
        <v/>
      </c>
      <c r="WJ47" s="21">
        <f>WJ11*100</f>
        <v/>
      </c>
      <c r="WK47" s="21">
        <f>WK11*100</f>
        <v/>
      </c>
      <c r="WL47" s="21">
        <f>WL11*100</f>
        <v/>
      </c>
      <c r="WM47" s="21">
        <f>WM11*100</f>
        <v/>
      </c>
      <c r="WN47" s="21">
        <f>WN11*100</f>
        <v/>
      </c>
      <c r="WO47" s="21">
        <f>WO11*100</f>
        <v/>
      </c>
      <c r="WP47" s="21">
        <f>WP11*100</f>
        <v/>
      </c>
      <c r="WQ47" s="21">
        <f>WQ11*100</f>
        <v/>
      </c>
      <c r="WR47" s="21">
        <f>WR11*100</f>
        <v/>
      </c>
      <c r="WS47" s="21">
        <f>WS11*100</f>
        <v/>
      </c>
      <c r="WT47" s="21">
        <f>WT11*100</f>
        <v/>
      </c>
      <c r="WU47" s="21">
        <f>WU11*100</f>
        <v/>
      </c>
      <c r="WV47" s="21">
        <f>WV11*100</f>
        <v/>
      </c>
      <c r="WW47" s="21">
        <f>WW11*100</f>
        <v/>
      </c>
      <c r="WX47" s="21">
        <f>WX11*100</f>
        <v/>
      </c>
      <c r="WY47" s="21">
        <f>WY11*100</f>
        <v/>
      </c>
      <c r="WZ47" s="21">
        <f>WZ11*100</f>
        <v/>
      </c>
      <c r="XA47" s="21">
        <f>XA11*100</f>
        <v/>
      </c>
      <c r="XB47" s="21">
        <f>XB11*100</f>
        <v/>
      </c>
      <c r="XC47" s="21">
        <f>XC11*100</f>
        <v/>
      </c>
      <c r="XD47" s="21">
        <f>XD11*100</f>
        <v/>
      </c>
      <c r="XE47" s="21">
        <f>XE11*100</f>
        <v/>
      </c>
      <c r="XF47" s="21">
        <f>XF11*100</f>
        <v/>
      </c>
      <c r="XG47" s="127">
        <f>SUM(WC47:XF47)</f>
        <v/>
      </c>
      <c r="XH47" s="21">
        <f>XH11*100</f>
        <v/>
      </c>
      <c r="XI47" s="21">
        <f>XI11*100</f>
        <v/>
      </c>
      <c r="XJ47" s="21">
        <f>XJ11*100</f>
        <v/>
      </c>
      <c r="XK47" s="21">
        <f>XK11*100</f>
        <v/>
      </c>
      <c r="XL47" s="21">
        <f>XL11*100</f>
        <v/>
      </c>
      <c r="XM47" s="21">
        <f>XM11*100</f>
        <v/>
      </c>
      <c r="XN47" s="21">
        <f>XN11*100</f>
        <v/>
      </c>
      <c r="XO47" s="21">
        <f>XO11*100</f>
        <v/>
      </c>
      <c r="XP47" s="21">
        <f>XP11*100</f>
        <v/>
      </c>
      <c r="XQ47" s="21">
        <f>XQ11*100</f>
        <v/>
      </c>
      <c r="XR47" s="21">
        <f>XR11*100</f>
        <v/>
      </c>
      <c r="XS47" s="21">
        <f>XS11*100</f>
        <v/>
      </c>
      <c r="XT47" s="21">
        <f>XT11*100</f>
        <v/>
      </c>
      <c r="XU47" s="21">
        <f>XU11*100</f>
        <v/>
      </c>
      <c r="XV47" s="21">
        <f>XV11*100</f>
        <v/>
      </c>
      <c r="XW47" s="21">
        <f>XW11*100</f>
        <v/>
      </c>
      <c r="XX47" s="21">
        <f>XX11*100</f>
        <v/>
      </c>
      <c r="XY47" s="21">
        <f>XY11*100</f>
        <v/>
      </c>
      <c r="XZ47" s="21">
        <f>XZ11*100</f>
        <v/>
      </c>
      <c r="YA47" s="21">
        <f>YA11*100</f>
        <v/>
      </c>
      <c r="YB47" s="21">
        <f>YB11*100</f>
        <v/>
      </c>
      <c r="YC47" s="21">
        <f>YC11*100</f>
        <v/>
      </c>
      <c r="YD47" s="21">
        <f>YD11*100</f>
        <v/>
      </c>
      <c r="YE47" s="21">
        <f>YE11*100</f>
        <v/>
      </c>
      <c r="YF47" s="21">
        <f>YF11*100</f>
        <v/>
      </c>
      <c r="YG47" s="21">
        <f>YG11*100</f>
        <v/>
      </c>
      <c r="YH47" s="21">
        <f>YH11*100</f>
        <v/>
      </c>
      <c r="YI47" s="21">
        <f>YI11*100</f>
        <v/>
      </c>
      <c r="YJ47" s="21">
        <f>YJ11*100</f>
        <v/>
      </c>
      <c r="YK47" s="21">
        <f>YK11*100</f>
        <v/>
      </c>
      <c r="YL47" s="127">
        <f>SUM(XI47:YK47)</f>
        <v/>
      </c>
      <c r="YM47" s="21">
        <f>YM11*100</f>
        <v/>
      </c>
      <c r="YN47" s="21">
        <f>YN11*100</f>
        <v/>
      </c>
      <c r="YO47" s="21">
        <f>YO11*100</f>
        <v/>
      </c>
      <c r="YP47" s="21">
        <f>YP11*100</f>
        <v/>
      </c>
      <c r="YQ47" s="21">
        <f>YQ11*100</f>
        <v/>
      </c>
      <c r="YR47" s="21">
        <f>YR11*100</f>
        <v/>
      </c>
      <c r="YS47" s="21">
        <f>YS11*100</f>
        <v/>
      </c>
      <c r="YT47" s="21">
        <f>YT11*100</f>
        <v/>
      </c>
      <c r="YU47" s="21">
        <f>YU11*100</f>
        <v/>
      </c>
      <c r="YV47" s="21">
        <f>YV11*100</f>
        <v/>
      </c>
      <c r="YW47" s="21">
        <f>YW11*100</f>
        <v/>
      </c>
      <c r="YX47" s="21">
        <f>YX11*100</f>
        <v/>
      </c>
      <c r="YY47" s="21">
        <f>YY11*100</f>
        <v/>
      </c>
      <c r="YZ47" s="21">
        <f>YZ11*100</f>
        <v/>
      </c>
      <c r="ZA47" s="21">
        <f>ZA11*100</f>
        <v/>
      </c>
      <c r="ZB47" s="21">
        <f>ZB11*100</f>
        <v/>
      </c>
      <c r="ZC47" s="21">
        <f>ZC11*100</f>
        <v/>
      </c>
      <c r="ZD47" s="21">
        <f>ZD11*100</f>
        <v/>
      </c>
      <c r="ZE47" s="21">
        <f>ZE11*100</f>
        <v/>
      </c>
      <c r="ZF47" s="21">
        <f>ZF11*100</f>
        <v/>
      </c>
      <c r="ZG47" s="21">
        <f>ZG11*100</f>
        <v/>
      </c>
      <c r="ZH47" s="21">
        <f>ZH11*100</f>
        <v/>
      </c>
      <c r="ZI47" s="21">
        <f>ZI11*100</f>
        <v/>
      </c>
      <c r="ZJ47" s="21">
        <f>ZJ11*100</f>
        <v/>
      </c>
      <c r="ZK47" s="21">
        <f>ZK11*100</f>
        <v/>
      </c>
      <c r="ZL47" s="21">
        <f>ZL11*100</f>
        <v/>
      </c>
      <c r="ZM47" s="21">
        <f>ZM11*100</f>
        <v/>
      </c>
      <c r="ZN47" s="21">
        <f>ZN11*100</f>
        <v/>
      </c>
      <c r="ZO47" s="21">
        <f>ZO11*100</f>
        <v/>
      </c>
      <c r="ZP47" s="21">
        <f>ZP11*100</f>
        <v/>
      </c>
      <c r="ZQ47" s="21">
        <f>ZQ11*100</f>
        <v/>
      </c>
      <c r="ZR47" s="127">
        <f>SUM(YM47:ZQ47)</f>
        <v/>
      </c>
      <c r="ZS47" s="21">
        <f>ZS11*100</f>
        <v/>
      </c>
      <c r="ZT47" s="21">
        <f>ZT11*100</f>
        <v/>
      </c>
      <c r="ZU47" s="21">
        <f>ZU11*100</f>
        <v/>
      </c>
      <c r="ZV47" s="21">
        <f>ZV11*100</f>
        <v/>
      </c>
      <c r="ZW47" s="21">
        <f>ZW11*100</f>
        <v/>
      </c>
      <c r="ZX47" s="21">
        <f>ZX11*100</f>
        <v/>
      </c>
      <c r="ZY47" s="21">
        <f>ZY11*100</f>
        <v/>
      </c>
      <c r="ZZ47" s="21">
        <f>ZZ11*100</f>
        <v/>
      </c>
      <c r="AAA47" s="21">
        <f>AAA11*100</f>
        <v/>
      </c>
      <c r="AAB47" s="21">
        <f>AAB11*100</f>
        <v/>
      </c>
      <c r="AAC47" s="21">
        <f>AAC11*100</f>
        <v/>
      </c>
      <c r="AAD47" s="21">
        <f>AAD11*100</f>
        <v/>
      </c>
      <c r="AAE47" s="21">
        <f>AAE11*100</f>
        <v/>
      </c>
      <c r="AAF47" s="21">
        <f>AAF11*100</f>
        <v/>
      </c>
      <c r="AAG47" s="21">
        <f>AAG11*100</f>
        <v/>
      </c>
      <c r="AAH47" s="21">
        <f>AAH11*100</f>
        <v/>
      </c>
      <c r="AAI47" s="21">
        <f>AAI11*100</f>
        <v/>
      </c>
      <c r="AAJ47" s="21">
        <f>AAJ11*100</f>
        <v/>
      </c>
      <c r="AAK47" s="21">
        <f>AAK11*100</f>
        <v/>
      </c>
      <c r="AAL47" s="21">
        <f>AAL11*100</f>
        <v/>
      </c>
      <c r="AAM47" s="21">
        <f>AAM11*100</f>
        <v/>
      </c>
      <c r="AAN47" s="21">
        <f>AAN11*100</f>
        <v/>
      </c>
      <c r="AAO47" s="21">
        <f>AAO11*100</f>
        <v/>
      </c>
      <c r="AAP47" s="21">
        <f>AAP11*100</f>
        <v/>
      </c>
      <c r="AAQ47" s="21">
        <f>AAQ11*100</f>
        <v/>
      </c>
      <c r="AAR47" s="21">
        <f>AAR11*100</f>
        <v/>
      </c>
      <c r="AAS47" s="21">
        <f>AAS11*100</f>
        <v/>
      </c>
      <c r="AAT47" s="21">
        <f>AAT11*100</f>
        <v/>
      </c>
      <c r="AAU47" s="21">
        <f>AAU11*100</f>
        <v/>
      </c>
      <c r="AAV47" s="21">
        <f>AAV11*100</f>
        <v/>
      </c>
      <c r="AAW47" s="127">
        <f>SUM(ZS47:AAV47)</f>
        <v/>
      </c>
      <c r="AAX47" s="21">
        <f>AAX11*100</f>
        <v/>
      </c>
      <c r="AAY47" s="21">
        <f>AAY11*100</f>
        <v/>
      </c>
      <c r="AAZ47" s="21">
        <f>AAZ11*100</f>
        <v/>
      </c>
      <c r="ABA47" s="21">
        <f>ABA11*100</f>
        <v/>
      </c>
      <c r="ABB47" s="21">
        <f>ABB11*100</f>
        <v/>
      </c>
      <c r="ABC47" s="21">
        <f>ABC11*100</f>
        <v/>
      </c>
      <c r="ABD47" s="21">
        <f>ABD11*100</f>
        <v/>
      </c>
      <c r="ABE47" s="21">
        <f>ABE11*100</f>
        <v/>
      </c>
      <c r="ABF47" s="21">
        <f>ABF11*100</f>
        <v/>
      </c>
      <c r="ABG47" s="21">
        <f>ABG11*100</f>
        <v/>
      </c>
      <c r="ABH47" s="21">
        <f>ABH11*100</f>
        <v/>
      </c>
      <c r="ABI47" s="21">
        <f>ABI11*100</f>
        <v/>
      </c>
      <c r="ABJ47" s="21">
        <f>ABJ11*100</f>
        <v/>
      </c>
      <c r="ABK47" s="21">
        <f>ABK11*100</f>
        <v/>
      </c>
      <c r="ABL47" s="21">
        <f>ABL11*100</f>
        <v/>
      </c>
      <c r="ABM47" s="21">
        <f>ABM11*100</f>
        <v/>
      </c>
      <c r="ABN47" s="21">
        <f>ABN11*100</f>
        <v/>
      </c>
      <c r="ABO47" s="21">
        <f>ABO11*100</f>
        <v/>
      </c>
      <c r="ABP47" s="21">
        <f>ABP11*100</f>
        <v/>
      </c>
      <c r="ABQ47" s="21">
        <f>ABQ11*100</f>
        <v/>
      </c>
      <c r="ABR47" s="21">
        <f>ABR11*100</f>
        <v/>
      </c>
      <c r="ABS47" s="21">
        <f>ABS11*100</f>
        <v/>
      </c>
      <c r="ABT47" s="21">
        <f>ABT11*100</f>
        <v/>
      </c>
      <c r="ABU47" s="21">
        <f>ABU11*100</f>
        <v/>
      </c>
      <c r="ABV47" s="21">
        <f>ABV11*100</f>
        <v/>
      </c>
      <c r="ABW47" s="21">
        <f>ABW11*100</f>
        <v/>
      </c>
      <c r="ABX47" s="21">
        <f>ABX11*100</f>
        <v/>
      </c>
      <c r="ABY47" s="21">
        <f>ABY11*100</f>
        <v/>
      </c>
      <c r="ABZ47" s="21">
        <f>ABZ11*100</f>
        <v/>
      </c>
      <c r="ACA47" s="21">
        <f>ACA11*100</f>
        <v/>
      </c>
      <c r="ACB47" s="21">
        <f>ACB11*100</f>
        <v/>
      </c>
      <c r="ACC47" s="127">
        <f>SUM(AAX47:ACB47)</f>
        <v/>
      </c>
      <c r="ACD47" s="21">
        <f>ACD11*100</f>
        <v/>
      </c>
      <c r="ACE47" s="21">
        <f>ACE11*100</f>
        <v/>
      </c>
      <c r="ACF47" s="21">
        <f>ACF11*100</f>
        <v/>
      </c>
      <c r="ACG47" s="21">
        <f>ACG11*100</f>
        <v/>
      </c>
      <c r="ACH47" s="21">
        <f>ACH11*100</f>
        <v/>
      </c>
      <c r="ACI47" s="21">
        <f>ACI11*100</f>
        <v/>
      </c>
      <c r="ACJ47" s="21">
        <f>ACJ11*100</f>
        <v/>
      </c>
      <c r="ACK47" s="21">
        <f>ACK11*100</f>
        <v/>
      </c>
      <c r="ACL47" s="21">
        <f>ACL11*100</f>
        <v/>
      </c>
      <c r="ACM47" s="21">
        <f>ACM11*100</f>
        <v/>
      </c>
      <c r="ACN47" s="21">
        <f>ACN11*100</f>
        <v/>
      </c>
      <c r="ACO47" s="21">
        <f>ACO11*100</f>
        <v/>
      </c>
      <c r="ACP47" s="21">
        <f>ACP11*100</f>
        <v/>
      </c>
      <c r="ACQ47" s="21">
        <f>ACQ11*100</f>
        <v/>
      </c>
      <c r="ACR47" s="21">
        <f>ACR11*100</f>
        <v/>
      </c>
      <c r="ACS47" s="21">
        <f>ACS11*100</f>
        <v/>
      </c>
      <c r="ACT47" s="21">
        <f>ACT11*100</f>
        <v/>
      </c>
      <c r="ACU47" s="21">
        <f>ACU11*100</f>
        <v/>
      </c>
      <c r="ACV47" s="21">
        <f>ACV11*100</f>
        <v/>
      </c>
      <c r="ACW47" s="21">
        <f>ACW11*100</f>
        <v/>
      </c>
      <c r="ACX47" s="21">
        <f>ACX11*100</f>
        <v/>
      </c>
      <c r="ACY47" s="21">
        <f>ACY11*100</f>
        <v/>
      </c>
      <c r="ACZ47" s="21">
        <f>ACZ11*100</f>
        <v/>
      </c>
      <c r="ADA47" s="21">
        <f>ADA11*100</f>
        <v/>
      </c>
      <c r="ADB47" s="21">
        <f>ADB11*100</f>
        <v/>
      </c>
      <c r="ADC47" s="21">
        <f>ADC11*100</f>
        <v/>
      </c>
      <c r="ADD47" s="21">
        <f>ADD11*100</f>
        <v/>
      </c>
      <c r="ADE47" s="21">
        <f>ADE11*100</f>
        <v/>
      </c>
      <c r="ADF47" s="21">
        <f>ADF11*100</f>
        <v/>
      </c>
      <c r="ADG47" s="21">
        <f>ADG11*100</f>
        <v/>
      </c>
      <c r="ADH47" s="21">
        <f>ADH11*100</f>
        <v/>
      </c>
      <c r="ADI47" s="127">
        <f>SUM(ACD47:ADH47)</f>
        <v/>
      </c>
      <c r="ADJ47" s="21">
        <f>ADJ11*100</f>
        <v/>
      </c>
      <c r="ADK47" s="21">
        <f>ADK11*100</f>
        <v/>
      </c>
      <c r="ADL47" s="21">
        <f>ADL11*100</f>
        <v/>
      </c>
      <c r="ADM47" s="21">
        <f>ADM11*100</f>
        <v/>
      </c>
      <c r="ADN47" s="21">
        <f>ADN11*100</f>
        <v/>
      </c>
      <c r="ADO47" s="21">
        <f>ADO11*100</f>
        <v/>
      </c>
      <c r="ADP47" s="21">
        <f>ADP11*100</f>
        <v/>
      </c>
      <c r="ADQ47" s="21">
        <f>ADQ11*100</f>
        <v/>
      </c>
      <c r="ADR47" s="21">
        <f>ADR11*100</f>
        <v/>
      </c>
      <c r="ADS47" s="21">
        <f>ADS11*100</f>
        <v/>
      </c>
      <c r="ADT47" s="21">
        <f>ADT11*100</f>
        <v/>
      </c>
      <c r="ADU47" s="21">
        <f>ADU11*100</f>
        <v/>
      </c>
      <c r="ADV47" s="21">
        <f>ADV11*100</f>
        <v/>
      </c>
      <c r="ADW47" s="21">
        <f>ADW11*100</f>
        <v/>
      </c>
      <c r="ADX47" s="21">
        <f>ADX11*100</f>
        <v/>
      </c>
      <c r="ADY47" s="21">
        <f>ADY11*100</f>
        <v/>
      </c>
      <c r="ADZ47" s="21">
        <f>ADZ11*100</f>
        <v/>
      </c>
      <c r="AEA47" s="21">
        <f>AEA11*100</f>
        <v/>
      </c>
      <c r="AEB47" s="21">
        <f>AEB11*100</f>
        <v/>
      </c>
      <c r="AEC47" s="21">
        <f>AEC11*100</f>
        <v/>
      </c>
      <c r="AED47" s="21">
        <f>AED11*100</f>
        <v/>
      </c>
      <c r="AEE47" s="21">
        <f>AEE11*100</f>
        <v/>
      </c>
      <c r="AEF47" s="21">
        <f>AEF11*100</f>
        <v/>
      </c>
      <c r="AEG47" s="21">
        <f>AEG11*100</f>
        <v/>
      </c>
      <c r="AEH47" s="21">
        <f>AEH11*100</f>
        <v/>
      </c>
      <c r="AEI47" s="21">
        <f>AEI11*100</f>
        <v/>
      </c>
      <c r="AEJ47" s="21">
        <f>AEJ11*100</f>
        <v/>
      </c>
      <c r="AEK47" s="21">
        <f>AEK11*100</f>
        <v/>
      </c>
      <c r="AEL47" s="21">
        <f>AEL11*100</f>
        <v/>
      </c>
      <c r="AEM47" s="21">
        <f>AEM11*100</f>
        <v/>
      </c>
      <c r="AEN47" s="127">
        <f>SUM(ADJ47:AEM47)</f>
        <v/>
      </c>
      <c r="AEO47" s="21">
        <f>AEO11*100</f>
        <v/>
      </c>
      <c r="AEP47" s="21">
        <f>AEP11*100</f>
        <v/>
      </c>
      <c r="AEQ47" s="21">
        <f>AEQ11*100</f>
        <v/>
      </c>
      <c r="AER47" s="21">
        <f>AER11*100</f>
        <v/>
      </c>
      <c r="AES47" s="21">
        <f>AES11*100</f>
        <v/>
      </c>
      <c r="AET47" s="21">
        <f>AET11*100</f>
        <v/>
      </c>
      <c r="AEU47" s="21">
        <f>AEU11*100</f>
        <v/>
      </c>
      <c r="AEV47" s="21">
        <f>AEV11*100</f>
        <v/>
      </c>
      <c r="AEW47" s="21">
        <f>AEW11*100</f>
        <v/>
      </c>
      <c r="AEX47" s="21">
        <f>AEX11*100</f>
        <v/>
      </c>
      <c r="AEY47" s="21">
        <f>AEY11*100</f>
        <v/>
      </c>
      <c r="AEZ47" s="21">
        <f>AEZ11*100</f>
        <v/>
      </c>
      <c r="AFA47" s="21">
        <f>AFA11*100</f>
        <v/>
      </c>
      <c r="AFB47" s="21">
        <f>AFB11*100</f>
        <v/>
      </c>
      <c r="AFC47" s="21">
        <f>AFC11*100</f>
        <v/>
      </c>
      <c r="AFD47" s="21">
        <f>AFD11*100</f>
        <v/>
      </c>
      <c r="AFE47" s="21">
        <f>AFE11*100</f>
        <v/>
      </c>
      <c r="AFF47" s="21">
        <f>AFF11*100</f>
        <v/>
      </c>
      <c r="AFG47" s="21">
        <f>AFG11*100</f>
        <v/>
      </c>
      <c r="AFH47" s="21">
        <f>AFH11*100</f>
        <v/>
      </c>
      <c r="AFI47" s="21">
        <f>AFI11*100</f>
        <v/>
      </c>
      <c r="AFJ47" s="21">
        <f>AFJ11*100</f>
        <v/>
      </c>
      <c r="AFK47" s="21">
        <f>AFK11*100</f>
        <v/>
      </c>
      <c r="AFL47" s="21">
        <f>AFL11*100</f>
        <v/>
      </c>
      <c r="AFM47" s="21">
        <f>AFM11*100</f>
        <v/>
      </c>
      <c r="AFN47" s="21">
        <f>AFN11*100</f>
        <v/>
      </c>
      <c r="AFO47" s="21">
        <f>AFO11*100</f>
        <v/>
      </c>
      <c r="AFP47" s="21">
        <f>AFP11*100</f>
        <v/>
      </c>
      <c r="AFQ47" s="21">
        <f>AFQ11*100</f>
        <v/>
      </c>
      <c r="AFR47" s="21">
        <f>AFR11*100</f>
        <v/>
      </c>
      <c r="AFS47" s="21">
        <f>AFS11*100</f>
        <v/>
      </c>
      <c r="AFT47" s="127">
        <f>SUM(AEO47:AFS47)</f>
        <v/>
      </c>
      <c r="AFU47" s="21">
        <f>AFU11*100</f>
        <v/>
      </c>
      <c r="AFV47" s="21">
        <f>AFV11*100</f>
        <v/>
      </c>
      <c r="AFW47" s="21">
        <f>AFW11*100</f>
        <v/>
      </c>
      <c r="AFX47" s="21">
        <f>AFX11*100</f>
        <v/>
      </c>
      <c r="AFY47" s="21">
        <f>AFY11*100</f>
        <v/>
      </c>
      <c r="AFZ47" s="21">
        <f>AFZ11*100</f>
        <v/>
      </c>
      <c r="AGA47" s="21">
        <f>AGA11*100</f>
        <v/>
      </c>
      <c r="AGB47" s="21">
        <f>AGB11*100</f>
        <v/>
      </c>
      <c r="AGC47" s="21">
        <f>AGC11*100</f>
        <v/>
      </c>
      <c r="AGD47" s="21">
        <f>AGD11*100</f>
        <v/>
      </c>
      <c r="AGE47" s="21">
        <f>AGE11*100</f>
        <v/>
      </c>
      <c r="AGF47" s="21">
        <f>AGF11*100</f>
        <v/>
      </c>
      <c r="AGG47" s="21">
        <f>AGG11*100</f>
        <v/>
      </c>
      <c r="AGH47" s="21">
        <f>AGH11*100</f>
        <v/>
      </c>
      <c r="AGI47" s="21">
        <f>AGI11*100</f>
        <v/>
      </c>
      <c r="AGJ47" s="21">
        <f>AGJ11*100</f>
        <v/>
      </c>
      <c r="AGK47" s="21">
        <f>AGK11*100</f>
        <v/>
      </c>
      <c r="AGL47" s="21">
        <f>AGL11*100</f>
        <v/>
      </c>
      <c r="AGM47" s="21">
        <f>AGM11*100</f>
        <v/>
      </c>
      <c r="AGN47" s="21">
        <f>AGN11*100</f>
        <v/>
      </c>
      <c r="AGO47" s="21">
        <f>AGO11*100</f>
        <v/>
      </c>
      <c r="AGP47" s="21">
        <f>AGP11*100</f>
        <v/>
      </c>
      <c r="AGQ47" s="21">
        <f>AGQ11*100</f>
        <v/>
      </c>
      <c r="AGR47" s="21">
        <f>AGR11*100</f>
        <v/>
      </c>
      <c r="AGS47" s="21">
        <f>AGS11*100</f>
        <v/>
      </c>
      <c r="AGT47" s="21">
        <f>AGT11*100</f>
        <v/>
      </c>
      <c r="AGU47" s="21">
        <f>AGU11*100</f>
        <v/>
      </c>
      <c r="AGV47" s="21">
        <f>AGV11*100</f>
        <v/>
      </c>
      <c r="AGW47" s="21">
        <f>AGW11*100</f>
        <v/>
      </c>
      <c r="AGX47" s="21">
        <f>AGX11*100</f>
        <v/>
      </c>
      <c r="AGY47" s="127">
        <f>SUM(AFU47:AGX47)</f>
        <v/>
      </c>
      <c r="AGZ47" s="21">
        <f>AGZ11*100</f>
        <v/>
      </c>
      <c r="AHA47" s="21">
        <f>AHA11*100</f>
        <v/>
      </c>
      <c r="AHB47" s="21">
        <f>AHB11*100</f>
        <v/>
      </c>
      <c r="AHC47" s="21">
        <f>AHC11*100</f>
        <v/>
      </c>
      <c r="AHD47" s="21">
        <f>AHD11*100</f>
        <v/>
      </c>
      <c r="AHE47" s="21">
        <f>AHE11*100</f>
        <v/>
      </c>
      <c r="AHF47" s="21">
        <f>AHF11*100</f>
        <v/>
      </c>
      <c r="AHG47" s="21">
        <f>AHG11*100</f>
        <v/>
      </c>
      <c r="AHH47" s="21">
        <f>AHH11*100</f>
        <v/>
      </c>
      <c r="AHI47" s="21">
        <f>AHI11*100</f>
        <v/>
      </c>
      <c r="AHJ47" s="21">
        <f>AHJ11*100</f>
        <v/>
      </c>
      <c r="AHK47" s="21">
        <f>AHK11*100</f>
        <v/>
      </c>
      <c r="AHL47" s="21">
        <f>AHL11*100</f>
        <v/>
      </c>
      <c r="AHM47" s="21">
        <f>AHM11*100</f>
        <v/>
      </c>
      <c r="AHN47" s="21">
        <f>AHN11*100</f>
        <v/>
      </c>
      <c r="AHO47" s="21">
        <f>AHO11*100</f>
        <v/>
      </c>
      <c r="AHP47" s="21">
        <f>AHP11*100</f>
        <v/>
      </c>
      <c r="AHQ47" s="21">
        <f>AHQ11*100</f>
        <v/>
      </c>
      <c r="AHR47" s="21">
        <f>AHR11*100</f>
        <v/>
      </c>
      <c r="AHS47" s="21">
        <f>AHS11*100</f>
        <v/>
      </c>
      <c r="AHT47" s="21">
        <f>AHT11*100</f>
        <v/>
      </c>
      <c r="AHU47" s="21">
        <f>AHU11*100</f>
        <v/>
      </c>
      <c r="AHV47" s="21">
        <f>AHV11*100</f>
        <v/>
      </c>
      <c r="AHW47" s="21">
        <f>AHW11*100</f>
        <v/>
      </c>
      <c r="AHX47" s="21">
        <f>AHX11*100</f>
        <v/>
      </c>
      <c r="AHY47" s="21">
        <f>AHY11*100</f>
        <v/>
      </c>
      <c r="AHZ47" s="21">
        <f>AHZ11*100</f>
        <v/>
      </c>
      <c r="AIA47" s="21">
        <f>AIA11*100</f>
        <v/>
      </c>
      <c r="AIB47" s="21">
        <f>AIB11*100</f>
        <v/>
      </c>
      <c r="AIC47" s="21">
        <f>AIC11*100</f>
        <v/>
      </c>
      <c r="AID47" s="21">
        <f>AID11*100</f>
        <v/>
      </c>
      <c r="AIE47" s="127">
        <f>SUM(AGZ47:AID47)</f>
        <v/>
      </c>
      <c r="AIF47" s="21">
        <f>AIF11*100</f>
        <v/>
      </c>
      <c r="AIG47" s="21">
        <f>AIG11*100</f>
        <v/>
      </c>
      <c r="AIH47" s="21">
        <f>AIH11*100</f>
        <v/>
      </c>
      <c r="AII47" s="21">
        <f>AII11*100</f>
        <v/>
      </c>
      <c r="AIJ47" s="21">
        <f>AIJ11*100</f>
        <v/>
      </c>
      <c r="AIK47" s="21">
        <f>AIK11*100</f>
        <v/>
      </c>
      <c r="AIL47" s="21">
        <f>AIL11*100</f>
        <v/>
      </c>
      <c r="AIM47" s="21">
        <f>AIM11*100</f>
        <v/>
      </c>
      <c r="AIN47" s="21">
        <f>AIN11*100</f>
        <v/>
      </c>
      <c r="AIO47" s="21">
        <f>AIO11*100</f>
        <v/>
      </c>
      <c r="AIP47" s="21">
        <f>AIP11*100</f>
        <v/>
      </c>
      <c r="AIQ47" s="21">
        <f>AIQ11*100</f>
        <v/>
      </c>
      <c r="AIR47" s="21">
        <f>AIR11*100</f>
        <v/>
      </c>
      <c r="AIS47" s="21">
        <f>AIS11*100</f>
        <v/>
      </c>
      <c r="AIT47" s="21">
        <f>AIT11*100</f>
        <v/>
      </c>
      <c r="AIU47" s="21">
        <f>AIU11*100</f>
        <v/>
      </c>
      <c r="AIV47" s="21">
        <f>AIV11*100</f>
        <v/>
      </c>
      <c r="AIW47" s="21">
        <f>AIW11*100</f>
        <v/>
      </c>
      <c r="AIX47" s="21">
        <f>AIX11*100</f>
        <v/>
      </c>
      <c r="AIY47" s="21">
        <f>AIY11*100</f>
        <v/>
      </c>
      <c r="AIZ47" s="21">
        <f>AIZ11*100</f>
        <v/>
      </c>
      <c r="AJA47" s="21">
        <f>AJA11*100</f>
        <v/>
      </c>
      <c r="AJB47" s="21">
        <f>AJB11*100</f>
        <v/>
      </c>
      <c r="AJC47" s="21">
        <f>AJC11*100</f>
        <v/>
      </c>
      <c r="AJD47" s="21">
        <f>AJD11*100</f>
        <v/>
      </c>
      <c r="AJE47" s="21">
        <f>AJE11*100</f>
        <v/>
      </c>
      <c r="AJF47" s="21">
        <f>AJF11*100</f>
        <v/>
      </c>
      <c r="AJG47" s="21">
        <f>AJG11*100</f>
        <v/>
      </c>
      <c r="AJH47" s="21">
        <f>AJH11*100</f>
        <v/>
      </c>
      <c r="AJI47" s="21">
        <f>AJI11*100</f>
        <v/>
      </c>
      <c r="AJJ47" s="21">
        <f>AJJ11*100</f>
        <v/>
      </c>
      <c r="AJK47" s="127">
        <f>SUM(AIF47:AJJ47)</f>
        <v/>
      </c>
      <c r="AJL47" s="21">
        <f>AJL11*100</f>
        <v/>
      </c>
      <c r="AJM47" s="21">
        <f>AJM11*100</f>
        <v/>
      </c>
      <c r="AJN47" s="21">
        <f>AJN11*100</f>
        <v/>
      </c>
      <c r="AJO47" s="21">
        <f>AJO11*100</f>
        <v/>
      </c>
      <c r="AJP47" s="21">
        <f>AJP11*100</f>
        <v/>
      </c>
      <c r="AJQ47" s="21">
        <f>AJQ11*100</f>
        <v/>
      </c>
      <c r="AJR47" s="21">
        <f>AJR11*100</f>
        <v/>
      </c>
      <c r="AJS47" s="21">
        <f>AJS11*100</f>
        <v/>
      </c>
      <c r="AJT47" s="21">
        <f>AJT11*100</f>
        <v/>
      </c>
      <c r="AJU47" s="21">
        <f>AJU11*100</f>
        <v/>
      </c>
      <c r="AJV47" s="21">
        <f>AJV11*100</f>
        <v/>
      </c>
      <c r="AJW47" s="21">
        <f>AJW11*100</f>
        <v/>
      </c>
      <c r="AJX47" s="21">
        <f>AJX11*100</f>
        <v/>
      </c>
      <c r="AJY47" s="21">
        <f>AJY11*100</f>
        <v/>
      </c>
      <c r="AJZ47" s="21">
        <f>AJZ11*100</f>
        <v/>
      </c>
      <c r="AKA47" s="21">
        <f>AKA11*100</f>
        <v/>
      </c>
      <c r="AKB47" s="21">
        <f>AKB11*100</f>
        <v/>
      </c>
      <c r="AKC47" s="21">
        <f>AKC11*100</f>
        <v/>
      </c>
      <c r="AKD47" s="21">
        <f>AKD11*100</f>
        <v/>
      </c>
      <c r="AKE47" s="21">
        <f>AKE11*100</f>
        <v/>
      </c>
      <c r="AKF47" s="21">
        <f>AKF11*100</f>
        <v/>
      </c>
      <c r="AKG47" s="21">
        <f>AKG11*100</f>
        <v/>
      </c>
      <c r="AKH47" s="21">
        <f>AKH11*100</f>
        <v/>
      </c>
      <c r="AKI47" s="21">
        <f>AKI11*100</f>
        <v/>
      </c>
      <c r="AKJ47" s="21">
        <f>AKJ11*100</f>
        <v/>
      </c>
      <c r="AKK47" s="21">
        <f>AKK11*100</f>
        <v/>
      </c>
      <c r="AKL47" s="21">
        <f>AKL11*100</f>
        <v/>
      </c>
      <c r="AKM47" s="21">
        <f>AKM11*100</f>
        <v/>
      </c>
      <c r="AKN47" s="127">
        <f>SUM(AJL47:AKM47)</f>
        <v/>
      </c>
      <c r="AKO47" s="21">
        <f>AKO11*100</f>
        <v/>
      </c>
      <c r="AKP47" s="21">
        <f>AKP11*100</f>
        <v/>
      </c>
      <c r="AKQ47" s="21">
        <f>AKQ11*100</f>
        <v/>
      </c>
      <c r="AKR47" s="21">
        <f>AKR11*100</f>
        <v/>
      </c>
      <c r="AKS47" s="21">
        <f>AKS11*100</f>
        <v/>
      </c>
      <c r="AKT47" s="21">
        <f>AKT11*100</f>
        <v/>
      </c>
      <c r="AKU47" s="21">
        <f>AKU11*100</f>
        <v/>
      </c>
      <c r="AKV47" s="21">
        <f>AKV11*100</f>
        <v/>
      </c>
      <c r="AKW47" s="21">
        <f>AKW11*100</f>
        <v/>
      </c>
      <c r="AKX47" s="21">
        <f>AKX11*100</f>
        <v/>
      </c>
      <c r="AKY47" s="21">
        <f>AKY11*100</f>
        <v/>
      </c>
      <c r="AKZ47" s="21">
        <f>AKZ11*100</f>
        <v/>
      </c>
      <c r="ALA47" s="21">
        <f>ALA11*100</f>
        <v/>
      </c>
      <c r="ALB47" s="21">
        <f>ALB11*100</f>
        <v/>
      </c>
      <c r="ALC47" s="21">
        <f>ALC11*100</f>
        <v/>
      </c>
      <c r="ALD47" s="21">
        <f>ALD11*100</f>
        <v/>
      </c>
      <c r="ALE47" s="21">
        <f>ALE11*100</f>
        <v/>
      </c>
      <c r="ALF47" s="21">
        <f>ALF11*100</f>
        <v/>
      </c>
      <c r="ALG47" s="21">
        <f>ALG11*100</f>
        <v/>
      </c>
      <c r="ALH47" s="21">
        <f>ALH11*100</f>
        <v/>
      </c>
      <c r="ALI47" s="21">
        <f>ALI11*100</f>
        <v/>
      </c>
      <c r="ALJ47" s="21">
        <f>ALJ11*100</f>
        <v/>
      </c>
      <c r="ALK47" s="21">
        <f>ALK11*100</f>
        <v/>
      </c>
      <c r="ALL47" s="21">
        <f>ALL11*100</f>
        <v/>
      </c>
      <c r="ALM47" s="21">
        <f>ALM11*100</f>
        <v/>
      </c>
      <c r="ALN47" s="21">
        <f>ALN11*100</f>
        <v/>
      </c>
      <c r="ALO47" s="21">
        <f>ALO11*100</f>
        <v/>
      </c>
      <c r="ALP47" s="21">
        <f>ALP11*100</f>
        <v/>
      </c>
      <c r="ALQ47" s="21">
        <f>ALQ11*100</f>
        <v/>
      </c>
      <c r="ALR47" s="21">
        <f>ALR11*100</f>
        <v/>
      </c>
      <c r="ALS47" s="21">
        <f>ALS11*100</f>
        <v/>
      </c>
      <c r="ALT47" s="127">
        <f>SUM(AKO47:ALS47)</f>
        <v/>
      </c>
      <c r="ALU47" s="21">
        <f>ALU11*100</f>
        <v/>
      </c>
      <c r="ALV47" s="21">
        <f>ALV11*100</f>
        <v/>
      </c>
      <c r="ALW47" s="21">
        <f>ALW11*100</f>
        <v/>
      </c>
      <c r="ALX47" s="21">
        <f>ALX11*100</f>
        <v/>
      </c>
      <c r="ALY47" s="21">
        <f>ALY11*100</f>
        <v/>
      </c>
      <c r="ALZ47" s="21">
        <f>ALZ11*100</f>
        <v/>
      </c>
      <c r="AMA47" s="21">
        <f>AMA11*100</f>
        <v/>
      </c>
      <c r="AMB47" s="21">
        <f>AMB11*100</f>
        <v/>
      </c>
      <c r="AMC47" s="21">
        <f>AMC11*100</f>
        <v/>
      </c>
      <c r="AMD47" s="21">
        <f>AMD11*100</f>
        <v/>
      </c>
      <c r="AME47" s="21">
        <f>AME11*100</f>
        <v/>
      </c>
      <c r="AMF47" s="21">
        <f>AMF11*100</f>
        <v/>
      </c>
      <c r="AMG47" s="21">
        <f>AMG11*100</f>
        <v/>
      </c>
      <c r="AMH47" s="21">
        <f>AMH11*100</f>
        <v/>
      </c>
      <c r="AMI47" s="21">
        <f>AMI11*100</f>
        <v/>
      </c>
      <c r="AMJ47" s="21">
        <f>AMJ11*100</f>
        <v/>
      </c>
      <c r="AMK47" s="21">
        <f>AMK11*100</f>
        <v/>
      </c>
      <c r="AML47" s="21">
        <f>AML11*100</f>
        <v/>
      </c>
      <c r="AMM47" s="21">
        <f>AMM11*100</f>
        <v/>
      </c>
      <c r="AMN47" s="21">
        <f>AMN11*100</f>
        <v/>
      </c>
      <c r="AMO47" s="21">
        <f>AMO11*100</f>
        <v/>
      </c>
      <c r="AMP47" s="21">
        <f>AMP11*100</f>
        <v/>
      </c>
      <c r="AMQ47" s="21">
        <f>AMQ11*100</f>
        <v/>
      </c>
      <c r="AMR47" s="21">
        <f>AMR11*100</f>
        <v/>
      </c>
      <c r="AMS47" s="21">
        <f>AMS11*100</f>
        <v/>
      </c>
      <c r="AMT47" s="21">
        <f>AMT11*100</f>
        <v/>
      </c>
      <c r="AMU47" s="21">
        <f>AMU11*100</f>
        <v/>
      </c>
      <c r="AMV47" s="21">
        <f>AMV11*100</f>
        <v/>
      </c>
      <c r="AMW47" s="21">
        <f>AMW11*100</f>
        <v/>
      </c>
      <c r="AMX47" s="21">
        <f>AMX11*100</f>
        <v/>
      </c>
      <c r="AMY47" s="127">
        <f>SUM(ALU47:AMX47)</f>
        <v/>
      </c>
      <c r="AMZ47" s="21">
        <f>AMZ11*100</f>
        <v/>
      </c>
      <c r="ANA47" s="21">
        <f>ANA11*100</f>
        <v/>
      </c>
      <c r="ANB47" s="21">
        <f>ANB11*100</f>
        <v/>
      </c>
      <c r="ANC47" s="21">
        <f>ANC11*100</f>
        <v/>
      </c>
      <c r="AND47" s="21">
        <f>AND11*100</f>
        <v/>
      </c>
      <c r="ANE47" s="21">
        <f>ANE11*100</f>
        <v/>
      </c>
      <c r="ANF47" s="21">
        <f>ANF11*100</f>
        <v/>
      </c>
      <c r="ANG47" s="21">
        <f>ANG11*100</f>
        <v/>
      </c>
      <c r="ANH47" s="21">
        <f>ANH11*100</f>
        <v/>
      </c>
      <c r="ANI47" s="21">
        <f>ANI11*100</f>
        <v/>
      </c>
      <c r="ANJ47" s="21">
        <f>ANJ11*100</f>
        <v/>
      </c>
      <c r="ANK47" s="21">
        <f>ANK11*100</f>
        <v/>
      </c>
      <c r="ANL47" s="21">
        <f>ANL11*100</f>
        <v/>
      </c>
      <c r="ANM47" s="21">
        <f>ANM11*100</f>
        <v/>
      </c>
      <c r="ANN47" s="21">
        <f>ANN11*100</f>
        <v/>
      </c>
      <c r="ANO47" s="21">
        <f>ANO11*100</f>
        <v/>
      </c>
      <c r="ANP47" s="21">
        <f>ANP11*100</f>
        <v/>
      </c>
      <c r="ANQ47" s="21">
        <f>ANQ11*100</f>
        <v/>
      </c>
      <c r="ANR47" s="21">
        <f>ANR11*100</f>
        <v/>
      </c>
      <c r="ANS47" s="21">
        <f>ANS11*100</f>
        <v/>
      </c>
      <c r="ANT47" s="21">
        <f>ANT11*100</f>
        <v/>
      </c>
      <c r="ANU47" s="21">
        <f>ANU11*100</f>
        <v/>
      </c>
      <c r="ANV47" s="21">
        <f>ANV11*100</f>
        <v/>
      </c>
      <c r="ANW47" s="21">
        <f>ANW11*100</f>
        <v/>
      </c>
      <c r="ANX47" s="21">
        <f>ANX11*100</f>
        <v/>
      </c>
      <c r="ANY47" s="21">
        <f>ANY11*100</f>
        <v/>
      </c>
      <c r="ANZ47" s="21">
        <f>ANZ11*100</f>
        <v/>
      </c>
      <c r="AOA47" s="21">
        <f>AOA11*100</f>
        <v/>
      </c>
      <c r="AOB47" s="21">
        <f>AOB11*100</f>
        <v/>
      </c>
      <c r="AOC47" s="21">
        <f>AOC11*100</f>
        <v/>
      </c>
    </row>
    <row r="48">
      <c r="A48" s="4" t="n"/>
      <c r="B48" s="31" t="inlineStr">
        <is>
          <t>DAILY NET PROFIT</t>
        </is>
      </c>
      <c r="C48" s="32">
        <f>C47-C26+C45-C46</f>
        <v/>
      </c>
      <c r="D48" s="32">
        <f>D47-D26+D45-D46</f>
        <v/>
      </c>
      <c r="E48" s="32">
        <f>E47-E26+E45-E46</f>
        <v/>
      </c>
      <c r="F48" s="32">
        <f>F47-F26+F45-F46</f>
        <v/>
      </c>
      <c r="G48" s="32">
        <f>G47-G26+G45-G46</f>
        <v/>
      </c>
      <c r="H48" s="32">
        <f>H47-H26+H45-H46</f>
        <v/>
      </c>
      <c r="I48" s="32">
        <f>I47-I26+I45-I46</f>
        <v/>
      </c>
      <c r="J48" s="32">
        <f>J47-J26+J45-J46</f>
        <v/>
      </c>
      <c r="K48" s="32">
        <f>K47-K26+K45-K46</f>
        <v/>
      </c>
      <c r="L48" s="32">
        <f>L47-L26+L45-L46</f>
        <v/>
      </c>
      <c r="M48" s="32">
        <f>M47-M26+M45-M46</f>
        <v/>
      </c>
      <c r="N48" s="32">
        <f>N47-N26+N45-N46</f>
        <v/>
      </c>
      <c r="O48" s="32">
        <f>O47-O26+O45-O46</f>
        <v/>
      </c>
      <c r="P48" s="32">
        <f>P47-P26+P45-P46</f>
        <v/>
      </c>
      <c r="Q48" s="32">
        <f>Q47-Q26+Q45-Q46</f>
        <v/>
      </c>
      <c r="R48" s="32">
        <f>R47-R26+R45-R46</f>
        <v/>
      </c>
      <c r="S48" s="32">
        <f>S47-S26+S45-S46</f>
        <v/>
      </c>
      <c r="T48" s="32">
        <f>T47-T26+T45-T46</f>
        <v/>
      </c>
      <c r="U48" s="32">
        <f>U47-U26+U45-U46</f>
        <v/>
      </c>
      <c r="V48" s="32">
        <f>V47-V26+V45-V46</f>
        <v/>
      </c>
      <c r="W48" s="32">
        <f>W47-W26+W45-W46</f>
        <v/>
      </c>
      <c r="X48" s="32">
        <f>X47-X26+X45-X46</f>
        <v/>
      </c>
      <c r="Y48" s="32">
        <f>Y47-Y26+Y45-Y46</f>
        <v/>
      </c>
      <c r="Z48" s="32">
        <f>Z47-Z26+Z45-Z46</f>
        <v/>
      </c>
      <c r="AA48" s="32">
        <f>AA47-AA26+AA45-AA46</f>
        <v/>
      </c>
      <c r="AB48" s="32">
        <f>AB47-AB26+AB45-AB46</f>
        <v/>
      </c>
      <c r="AC48" s="32">
        <f>AC47-AC26+AC45-AC46</f>
        <v/>
      </c>
      <c r="AD48" s="32">
        <f>AD47-AD26+AD45-AD46</f>
        <v/>
      </c>
      <c r="AE48" s="32">
        <f>AE47-AE26+AE45-AE46</f>
        <v/>
      </c>
      <c r="AF48" s="32">
        <f>AF47-AF26+AF45-AF46</f>
        <v/>
      </c>
      <c r="AG48" s="32">
        <f>AG47-AG26+AG45-AG46</f>
        <v/>
      </c>
      <c r="AH48" s="95">
        <f>SUM(C48:AE48)</f>
        <v/>
      </c>
      <c r="AI48" s="32">
        <f>AI47-AI26+AI45-AI46</f>
        <v/>
      </c>
      <c r="AJ48" s="32">
        <f>AJ47-AJ26+AJ45-AJ46</f>
        <v/>
      </c>
      <c r="AK48" s="32">
        <f>AK47-AK26+AK45-AK46</f>
        <v/>
      </c>
      <c r="AL48" s="32">
        <f>AL47-AL26+AL45-AL46</f>
        <v/>
      </c>
      <c r="AM48" s="32">
        <f>AM47-AM26+AM45-AM46</f>
        <v/>
      </c>
      <c r="AN48" s="32">
        <f>AN47-AN26+AN45-AN46</f>
        <v/>
      </c>
      <c r="AO48" s="32">
        <f>AO47-AO26+AO45-AO46</f>
        <v/>
      </c>
      <c r="AP48" s="32">
        <f>AP47-AP26+AP45-AP46</f>
        <v/>
      </c>
      <c r="AQ48" s="32">
        <f>AQ47-AQ26+AQ45-AQ46</f>
        <v/>
      </c>
      <c r="AR48" s="32">
        <f>AR47-AR26+AR45-AR46</f>
        <v/>
      </c>
      <c r="AS48" s="32">
        <f>AS47-AS26+AS45-AS46</f>
        <v/>
      </c>
      <c r="AT48" s="32">
        <f>AT47-AT26+AT45-AT46</f>
        <v/>
      </c>
      <c r="AU48" s="32">
        <f>AU47-AU26+AU45-AU46</f>
        <v/>
      </c>
      <c r="AV48" s="32">
        <f>AV47-AV26+AV45-AV46</f>
        <v/>
      </c>
      <c r="AW48" s="32">
        <f>AW47-AW26+AW45-AW46</f>
        <v/>
      </c>
      <c r="AX48" s="32">
        <f>AX47-AX26+AX45-AX46</f>
        <v/>
      </c>
      <c r="AY48" s="32">
        <f>AY47-AY26+AY45-AY46</f>
        <v/>
      </c>
      <c r="AZ48" s="32">
        <f>AZ47-AZ26+AZ45-AZ46</f>
        <v/>
      </c>
      <c r="BA48" s="32">
        <f>BA47-BA26+BA45-BA46</f>
        <v/>
      </c>
      <c r="BB48" s="32">
        <f>BB47-BB26+BB45-BB46</f>
        <v/>
      </c>
      <c r="BC48" s="32">
        <f>BC47-BC26+BC45-BC46</f>
        <v/>
      </c>
      <c r="BD48" s="32">
        <f>BD47-BD26+BD45-BD46</f>
        <v/>
      </c>
      <c r="BE48" s="32">
        <f>BE47-BE26+BE45-BE46</f>
        <v/>
      </c>
      <c r="BF48" s="32">
        <f>BF47-BF26+BF45-BF46</f>
        <v/>
      </c>
      <c r="BG48" s="32">
        <f>BG47-BG26+BG45-BG46</f>
        <v/>
      </c>
      <c r="BH48" s="32">
        <f>BH47-BH26+BH45-BH46</f>
        <v/>
      </c>
      <c r="BI48" s="32">
        <f>BI47-BI26+BI45-BI46</f>
        <v/>
      </c>
      <c r="BJ48" s="32">
        <f>BJ47-BJ26+BJ45-BJ46</f>
        <v/>
      </c>
      <c r="BK48" s="32">
        <f>BK47-BK26+BK45-BK46</f>
        <v/>
      </c>
      <c r="BL48" s="32">
        <f>BL47-BL26+BL45-BL46</f>
        <v/>
      </c>
      <c r="BM48" s="97">
        <f>SUM(AI48:BL48)</f>
        <v/>
      </c>
      <c r="BN48" s="32">
        <f>BN47-BN26+BN45-BN46</f>
        <v/>
      </c>
      <c r="BO48" s="32">
        <f>BO47-BO26+BO45-BO46</f>
        <v/>
      </c>
      <c r="BP48" s="32">
        <f>BP47-BP26+BP45-BP46</f>
        <v/>
      </c>
      <c r="BQ48" s="32">
        <f>BQ47-BQ26+BQ45-BQ46</f>
        <v/>
      </c>
      <c r="BR48" s="32">
        <f>BR47-BR26+BR45-BR46</f>
        <v/>
      </c>
      <c r="BS48" s="32">
        <f>BS47-BS26+BS45-BS46</f>
        <v/>
      </c>
      <c r="BT48" s="32">
        <f>BT47-BT26+BT45-BT46</f>
        <v/>
      </c>
      <c r="BU48" s="32">
        <f>BU47-BU26+BU45-BU46</f>
        <v/>
      </c>
      <c r="BV48" s="32">
        <f>BV47-BV26+BV45-BV46</f>
        <v/>
      </c>
      <c r="BW48" s="32">
        <f>BW47-BW26+BW45-BW46</f>
        <v/>
      </c>
      <c r="BX48" s="32">
        <f>BX47-BX26+BX45-BX46</f>
        <v/>
      </c>
      <c r="BY48" s="32">
        <f>BY47-BY26+BY45-BY46</f>
        <v/>
      </c>
      <c r="BZ48" s="32">
        <f>BZ47-BZ26+BZ45-BZ46</f>
        <v/>
      </c>
      <c r="CA48" s="32">
        <f>CA47-CA26+CA45-CA46</f>
        <v/>
      </c>
      <c r="CB48" s="32">
        <f>CB47-CB26+CB45-CB46</f>
        <v/>
      </c>
      <c r="CC48" s="32">
        <f>CC47-CC26+CC45-CC46</f>
        <v/>
      </c>
      <c r="CD48" s="32">
        <f>CD47-CD26+CD45-CD46</f>
        <v/>
      </c>
      <c r="CE48" s="32">
        <f>CE47-CE26+CE45-CE46</f>
        <v/>
      </c>
      <c r="CF48" s="32">
        <f>CF47-CF26+CF45-CF46</f>
        <v/>
      </c>
      <c r="CG48" s="32">
        <f>CG47-CG26+CG45-CG46</f>
        <v/>
      </c>
      <c r="CH48" s="32">
        <f>CH47-CH26+CH45-CH46</f>
        <v/>
      </c>
      <c r="CI48" s="32">
        <f>CI47-CI26+CI45-CI46</f>
        <v/>
      </c>
      <c r="CJ48" s="32">
        <f>CJ47-CJ26+CJ45-CJ46</f>
        <v/>
      </c>
      <c r="CK48" s="32">
        <f>CK47-CK26+CK45-CK46</f>
        <v/>
      </c>
      <c r="CL48" s="32">
        <f>CL47-CL26+CL45-CL46</f>
        <v/>
      </c>
      <c r="CM48" s="32">
        <f>CM47-CM26+CM45-CM46</f>
        <v/>
      </c>
      <c r="CN48" s="32">
        <f>CN47-CN26+CN45-CN46</f>
        <v/>
      </c>
      <c r="CO48" s="32">
        <f>CO47-CO26+CO45-CO46</f>
        <v/>
      </c>
      <c r="CP48" s="32">
        <f>CP47-CP26+CP45-CP46</f>
        <v/>
      </c>
      <c r="CQ48" s="32">
        <f>CQ47-CQ26+CQ45-CQ46</f>
        <v/>
      </c>
      <c r="CR48" s="32">
        <f>CR47-CR26+CR45-CR46</f>
        <v/>
      </c>
      <c r="CS48" s="111">
        <f>SUM(BN48:CR48)</f>
        <v/>
      </c>
      <c r="CT48" s="32">
        <f>CT47-CT26+CT45-CT46</f>
        <v/>
      </c>
      <c r="CU48" s="32">
        <f>CU47-CU26+CU45-CU46</f>
        <v/>
      </c>
      <c r="CV48" s="32">
        <f>CV47-CV26+CV45-CV46</f>
        <v/>
      </c>
      <c r="CW48" s="32">
        <f>CW47-CW26+CW45-CW46</f>
        <v/>
      </c>
      <c r="CX48" s="32">
        <f>CX47-CX26+CX45-CX46</f>
        <v/>
      </c>
      <c r="CY48" s="32">
        <f>CY47-CY26+CY45-CY46</f>
        <v/>
      </c>
      <c r="CZ48" s="32">
        <f>CZ47-CZ26+CZ45-CZ46</f>
        <v/>
      </c>
      <c r="DA48" s="32">
        <f>DA47-DA26+DA45-DA46</f>
        <v/>
      </c>
      <c r="DB48" s="32">
        <f>DB47-DB26+DB45-DB46</f>
        <v/>
      </c>
      <c r="DC48" s="32">
        <f>DC47-DC26+DC45-DC46</f>
        <v/>
      </c>
      <c r="DD48" s="32">
        <f>DD47-DD26+DD45-DD46</f>
        <v/>
      </c>
      <c r="DE48" s="32">
        <f>DE47-DE26+DE45-DE46</f>
        <v/>
      </c>
      <c r="DF48" s="32">
        <f>DF47-DF26+DF45-DF46</f>
        <v/>
      </c>
      <c r="DG48" s="32">
        <f>DG47-DG26+DG45-DG46</f>
        <v/>
      </c>
      <c r="DH48" s="32">
        <f>DH47-DH26+DH45-DH46</f>
        <v/>
      </c>
      <c r="DI48" s="32">
        <f>DI47-DI26+DI45-DI46</f>
        <v/>
      </c>
      <c r="DJ48" s="32">
        <f>DJ47-DJ26+DJ45-DJ46</f>
        <v/>
      </c>
      <c r="DK48" s="32">
        <f>DK47-DK26+DK45-DK46</f>
        <v/>
      </c>
      <c r="DL48" s="32">
        <f>DL47-DL26+DL45-DL46</f>
        <v/>
      </c>
      <c r="DM48" s="32">
        <f>DM47-DM26+DM45-DM46</f>
        <v/>
      </c>
      <c r="DN48" s="32">
        <f>DN47-DN26+DN45-DN46</f>
        <v/>
      </c>
      <c r="DO48" s="32">
        <f>DO47-DO26+DO45-DO46</f>
        <v/>
      </c>
      <c r="DP48" s="32">
        <f>DP47-DP26+DP45-DP46</f>
        <v/>
      </c>
      <c r="DQ48" s="32">
        <f>DQ47-DQ26+DQ45-DQ46</f>
        <v/>
      </c>
      <c r="DR48" s="32">
        <f>DR47-DR26+DR45-DR46</f>
        <v/>
      </c>
      <c r="DS48" s="32">
        <f>DS47-DS26+DS45-DS46</f>
        <v/>
      </c>
      <c r="DT48" s="32">
        <f>DT47-DT26+DT45-DT46</f>
        <v/>
      </c>
      <c r="DU48" s="32">
        <f>DU47-DU26+DU45-DU46</f>
        <v/>
      </c>
      <c r="DV48" s="32">
        <f>DV47-DV26+DV45-DV46</f>
        <v/>
      </c>
      <c r="DW48" s="32">
        <f>DW47-DW26+DW45-DW46</f>
        <v/>
      </c>
      <c r="DX48" s="122" t="n"/>
      <c r="DY48" s="32">
        <f>DY47-DY26+DY45-DY46</f>
        <v/>
      </c>
      <c r="DZ48" s="32">
        <f>DZ47-DZ26+DZ45-DZ46</f>
        <v/>
      </c>
      <c r="EA48" s="32">
        <f>EA47-EA26+EA45-EA46</f>
        <v/>
      </c>
      <c r="EB48" s="32">
        <f>EB47-EB26+EB45-EB46</f>
        <v/>
      </c>
      <c r="EC48" s="32">
        <f>EC47-EC26+EC45-EC46</f>
        <v/>
      </c>
      <c r="ED48" s="32">
        <f>ED47-ED26+ED45-ED46</f>
        <v/>
      </c>
      <c r="EE48" s="32">
        <f>EE47-EE26+EE45-EE46</f>
        <v/>
      </c>
      <c r="EF48" s="32">
        <f>EF47-EF26+EF45-EF46</f>
        <v/>
      </c>
      <c r="EG48" s="32">
        <f>EG47-EG26+EG45-EG46</f>
        <v/>
      </c>
      <c r="EH48" s="32">
        <f>EH47-EH26+EH45-EH46</f>
        <v/>
      </c>
      <c r="EI48" s="32">
        <f>EI47-EI26+EI45-EI46</f>
        <v/>
      </c>
      <c r="EJ48" s="32">
        <f>EJ47-EJ26+EJ45-EJ46</f>
        <v/>
      </c>
      <c r="EK48" s="32">
        <f>EK47-EK26+EK45-EK46</f>
        <v/>
      </c>
      <c r="EL48" s="32">
        <f>EL47-EL26+EL45-EL46</f>
        <v/>
      </c>
      <c r="EM48" s="32">
        <f>EM47-EM26+EM45-EM46</f>
        <v/>
      </c>
      <c r="EN48" s="32">
        <f>EN47-EN26+EN45-EN46</f>
        <v/>
      </c>
      <c r="EO48" s="32">
        <f>EO47-EO26+EO45-EO46</f>
        <v/>
      </c>
      <c r="EP48" s="32">
        <f>EP47-EP26+EP45-EP46</f>
        <v/>
      </c>
      <c r="EQ48" s="32">
        <f>EQ47-EQ26+EQ45-EQ46</f>
        <v/>
      </c>
      <c r="ER48" s="32">
        <f>ER47-ER26+ER45-ER46</f>
        <v/>
      </c>
      <c r="ES48" s="32">
        <f>ES47-ES26+ES45-ES46</f>
        <v/>
      </c>
      <c r="ET48" s="32">
        <f>ET47-ET26+ET45-ET46</f>
        <v/>
      </c>
      <c r="EU48" s="32">
        <f>EU47-EU26+EU45-EU46</f>
        <v/>
      </c>
      <c r="EV48" s="32">
        <f>EV47-EV26+EV45-EV46</f>
        <v/>
      </c>
      <c r="EW48" s="32">
        <f>EW47-EW26+EW45-EW46</f>
        <v/>
      </c>
      <c r="EX48" s="32">
        <f>EX47-EX26+EX45-EX46</f>
        <v/>
      </c>
      <c r="EY48" s="32">
        <f>EY47-EY26+EY45-EY46</f>
        <v/>
      </c>
      <c r="EZ48" s="32">
        <f>EZ47-EZ26+EZ45-EZ46</f>
        <v/>
      </c>
      <c r="FA48" s="32">
        <f>FA47-FA26+FA45-FA46</f>
        <v/>
      </c>
      <c r="FB48" s="32">
        <f>FB47-FB26+FB45-FB46</f>
        <v/>
      </c>
      <c r="FC48" s="32">
        <f>FC47-FC26+FC45-FC46</f>
        <v/>
      </c>
      <c r="FD48" s="128">
        <f>SUM(DY48:FC48)</f>
        <v/>
      </c>
      <c r="FE48" s="32">
        <f>FE47-FE26+FE45-FE46</f>
        <v/>
      </c>
      <c r="FF48" s="32">
        <f>FF47-FF26+FF45-FF46</f>
        <v/>
      </c>
      <c r="FG48" s="32">
        <f>FG47-FG26+FG45-FG46</f>
        <v/>
      </c>
      <c r="FH48" s="32">
        <f>FH47-FH26+FH45-FH46</f>
        <v/>
      </c>
      <c r="FI48" s="32">
        <f>FI47-FI26+FI45-FI46</f>
        <v/>
      </c>
      <c r="FJ48" s="32">
        <f>FJ47-FJ26+FJ45-FJ46</f>
        <v/>
      </c>
      <c r="FK48" s="32">
        <f>FK47-FK26+FK45-FK46</f>
        <v/>
      </c>
      <c r="FL48" s="32">
        <f>FL47-FL26+FL45-FL46</f>
        <v/>
      </c>
      <c r="FM48" s="32">
        <f>FM47-FM26+FM45-FM46</f>
        <v/>
      </c>
      <c r="FN48" s="32">
        <f>FN47-FN26+FN45-FN46</f>
        <v/>
      </c>
      <c r="FO48" s="32">
        <f>FO47-FO26+FO45-FO46</f>
        <v/>
      </c>
      <c r="FP48" s="32">
        <f>FP47-FP26+FP45-FP46</f>
        <v/>
      </c>
      <c r="FQ48" s="32">
        <f>FQ47-FQ26+FQ45-FQ46</f>
        <v/>
      </c>
      <c r="FR48" s="32">
        <f>FR47-FR26+FR45-FR46</f>
        <v/>
      </c>
      <c r="FS48" s="32">
        <f>FS47-FS26+FS45-FS46</f>
        <v/>
      </c>
      <c r="FT48" s="32">
        <f>FT47-FT26+FT45-FT46</f>
        <v/>
      </c>
      <c r="FU48" s="32">
        <f>FU47-FU26+FU45-FU46</f>
        <v/>
      </c>
      <c r="FV48" s="32">
        <f>FV47-FV26+FV45-FV46</f>
        <v/>
      </c>
      <c r="FW48" s="32">
        <f>FW47-FW26+FW45-FW46</f>
        <v/>
      </c>
      <c r="FX48" s="32">
        <f>FX47-FX26+FX45-FX46</f>
        <v/>
      </c>
      <c r="FY48" s="32">
        <f>FY47-FY26+FY45-FY46</f>
        <v/>
      </c>
      <c r="FZ48" s="32">
        <f>FZ47-FZ26+FZ45-FZ46</f>
        <v/>
      </c>
      <c r="GA48" s="32">
        <f>GA47-GA26+GA45-GA46</f>
        <v/>
      </c>
      <c r="GB48" s="32">
        <f>GB47-GB26+GB45-GB46</f>
        <v/>
      </c>
      <c r="GC48" s="32">
        <f>GC47-GC26+GC45-GC46</f>
        <v/>
      </c>
      <c r="GD48" s="32">
        <f>GD47-GD26+GD45-GD46</f>
        <v/>
      </c>
      <c r="GE48" s="32">
        <f>GE47-GE26+GE45-GE46</f>
        <v/>
      </c>
      <c r="GF48" s="32">
        <f>GF47-GF26+GF45-GF46</f>
        <v/>
      </c>
      <c r="GG48" s="32">
        <f>GG47-GG26+GG45-GG46</f>
        <v/>
      </c>
      <c r="GH48" s="32">
        <f>GH47-GH26+GH45-GH46</f>
        <v/>
      </c>
      <c r="GI48" s="32">
        <f>GI47-GI26+GI45-GI46</f>
        <v/>
      </c>
      <c r="GJ48" s="127">
        <f>SUM(FE48:GI48)</f>
        <v/>
      </c>
      <c r="GK48" s="32">
        <f>GK47-GK26+GK45-GK46</f>
        <v/>
      </c>
      <c r="GL48" s="32">
        <f>GL47-GL26+GL45-GL46</f>
        <v/>
      </c>
      <c r="GM48" s="32">
        <f>GM47-GM26+GM45-GM46</f>
        <v/>
      </c>
      <c r="GN48" s="32">
        <f>GN47-GN26+GN45-GN46</f>
        <v/>
      </c>
      <c r="GO48" s="32">
        <f>GO47-GO26+GO45-GO46</f>
        <v/>
      </c>
      <c r="GP48" s="32">
        <f>GP47-GP26+GP45-GP46</f>
        <v/>
      </c>
      <c r="GQ48" s="32">
        <f>GQ47-GQ26+GQ45-GQ46</f>
        <v/>
      </c>
      <c r="GR48" s="32">
        <f>GR47-GR26+GR45-GR46</f>
        <v/>
      </c>
      <c r="GS48" s="32">
        <f>GS47-GS26+GS45-GS46</f>
        <v/>
      </c>
      <c r="GT48" s="32">
        <f>GT47-GT26+GT45-GT46</f>
        <v/>
      </c>
      <c r="GU48" s="32">
        <f>GU47-GU26+GU45-GU46</f>
        <v/>
      </c>
      <c r="GV48" s="32">
        <f>GV47-GV26+GV45-GV46</f>
        <v/>
      </c>
      <c r="GW48" s="32">
        <f>GW47-GW26+GW45-GW46</f>
        <v/>
      </c>
      <c r="GX48" s="32">
        <f>GX47-GX26+GX45-GX46</f>
        <v/>
      </c>
      <c r="GY48" s="32">
        <f>GY47-GY26+GY45-GY46</f>
        <v/>
      </c>
      <c r="GZ48" s="32">
        <f>GZ47-GZ26+GZ45-GZ46</f>
        <v/>
      </c>
      <c r="HA48" s="32">
        <f>HA47-HA26+HA45-HA46</f>
        <v/>
      </c>
      <c r="HB48" s="32">
        <f>HB47-HB26+HB45-HB46</f>
        <v/>
      </c>
      <c r="HC48" s="32">
        <f>HC47-HC26+HC45-HC46</f>
        <v/>
      </c>
      <c r="HD48" s="32">
        <f>HD47-HD26+HD45-HD46</f>
        <v/>
      </c>
      <c r="HE48" s="32">
        <f>HE47-HE26+HE45-HE46</f>
        <v/>
      </c>
      <c r="HF48" s="32">
        <f>HF47-HF26+HF45-HF46</f>
        <v/>
      </c>
      <c r="HG48" s="32">
        <f>HG47-HG26+HG45-HG46</f>
        <v/>
      </c>
      <c r="HH48" s="32">
        <f>HH47-HH26+HH45-HH46</f>
        <v/>
      </c>
      <c r="HI48" s="32">
        <f>HI47-HI26+HI45-HI46</f>
        <v/>
      </c>
      <c r="HJ48" s="32">
        <f>HJ47-HJ26+HJ45-HJ46</f>
        <v/>
      </c>
      <c r="HK48" s="32">
        <f>HK47-HK26+HK45-HK46</f>
        <v/>
      </c>
      <c r="HL48" s="32">
        <f>HL47-HL26+HL45-HL46</f>
        <v/>
      </c>
      <c r="HM48" s="32">
        <f>HM47-HM26+HM45-HM46</f>
        <v/>
      </c>
      <c r="HN48" s="127">
        <f>SUM(GK48:HM48)</f>
        <v/>
      </c>
      <c r="HO48" s="32">
        <f>HO47-HO26+HO45-HO46</f>
        <v/>
      </c>
      <c r="HP48" s="32">
        <f>HP47-HP26+HP45-HP46</f>
        <v/>
      </c>
      <c r="HQ48" s="32">
        <f>HQ47-HQ26+HQ45-HQ46</f>
        <v/>
      </c>
      <c r="HR48" s="32">
        <f>HR47-HR26+HR45-HR46</f>
        <v/>
      </c>
      <c r="HS48" s="32">
        <f>HS47-HS26+HS45-HS46</f>
        <v/>
      </c>
      <c r="HT48" s="32">
        <f>HT47-HT26+HT45-HT46</f>
        <v/>
      </c>
      <c r="HU48" s="32">
        <f>HU47-HU26+HU45-HU46</f>
        <v/>
      </c>
      <c r="HV48" s="32">
        <f>HV47-HV26+HV45-HV46</f>
        <v/>
      </c>
      <c r="HW48" s="32">
        <f>HW47-HW26+HW45-HW46</f>
        <v/>
      </c>
      <c r="HX48" s="32">
        <f>HX47-HX26+HX45-HX46</f>
        <v/>
      </c>
      <c r="HY48" s="32">
        <f>HY47-HY26+HY45-HY46</f>
        <v/>
      </c>
      <c r="HZ48" s="32">
        <f>HZ47-HZ26+HZ45-HZ46</f>
        <v/>
      </c>
      <c r="IA48" s="32">
        <f>IA47-IA26+IA45-IA46</f>
        <v/>
      </c>
      <c r="IB48" s="32">
        <f>IB47-IB26+IB45-IB46</f>
        <v/>
      </c>
      <c r="IC48" s="32">
        <f>IC47-IC26+IC45-IC46</f>
        <v/>
      </c>
      <c r="ID48" s="32">
        <f>ID47-ID26+ID45-ID46</f>
        <v/>
      </c>
      <c r="IE48" s="32">
        <f>IE47-IE26+IE45-IE46</f>
        <v/>
      </c>
      <c r="IF48" s="32">
        <f>IF47-IF26+IF45-IF46</f>
        <v/>
      </c>
      <c r="IG48" s="32">
        <f>IG47-IG26+IG45-IG46</f>
        <v/>
      </c>
      <c r="IH48" s="32">
        <f>IH47-IH26+IH45-IH46</f>
        <v/>
      </c>
      <c r="II48" s="32">
        <f>II47-II26+II45-II46</f>
        <v/>
      </c>
      <c r="IJ48" s="32">
        <f>IJ47-IJ26+IJ45-IJ46</f>
        <v/>
      </c>
      <c r="IK48" s="32">
        <f>IK47-IK26+IK45-IK46</f>
        <v/>
      </c>
      <c r="IL48" s="32">
        <f>IL47-IL26+IL45-IL46</f>
        <v/>
      </c>
      <c r="IM48" s="32">
        <f>IM47-IM26+IM45-IM46</f>
        <v/>
      </c>
      <c r="IN48" s="32">
        <f>IN47-IN26+IN45-IN46</f>
        <v/>
      </c>
      <c r="IO48" s="32">
        <f>IO47-IO26+IO45-IO46</f>
        <v/>
      </c>
      <c r="IP48" s="32">
        <f>IP47-IP26+IP45-IP46</f>
        <v/>
      </c>
      <c r="IQ48" s="32">
        <f>IQ47-IQ26+IQ45-IQ46</f>
        <v/>
      </c>
      <c r="IR48" s="32">
        <f>IR47-IR26+IR45-IR46</f>
        <v/>
      </c>
      <c r="IS48" s="32">
        <f>IS47-IS26+IS45-IS46</f>
        <v/>
      </c>
      <c r="IT48" s="127">
        <f>SUM(HO48:IS48)</f>
        <v/>
      </c>
      <c r="IU48" s="32">
        <f>IU47-IU26+IU45-IU46</f>
        <v/>
      </c>
      <c r="IV48" s="32">
        <f>IV47-IV26+IV45-IV46</f>
        <v/>
      </c>
      <c r="IW48" s="32">
        <f>IW47-IW26+IW45-IW46</f>
        <v/>
      </c>
      <c r="IX48" s="32">
        <f>IX47-IX26+IX45-IX46</f>
        <v/>
      </c>
      <c r="IY48" s="32">
        <f>IY47-IY26+IY45-IY46</f>
        <v/>
      </c>
      <c r="IZ48" s="32">
        <f>IZ47-IZ26+IZ45-IZ46</f>
        <v/>
      </c>
      <c r="JA48" s="32">
        <f>JA47-JA26+JA45-JA46</f>
        <v/>
      </c>
      <c r="JB48" s="32">
        <f>JB47-JB26+JB45-JB46</f>
        <v/>
      </c>
      <c r="JC48" s="32">
        <f>JC47-JC26+JC45-JC46</f>
        <v/>
      </c>
      <c r="JD48" s="32">
        <f>JD47-JD26+JD45-JD46</f>
        <v/>
      </c>
      <c r="JE48" s="32">
        <f>JE47-JE26+JE45-JE46</f>
        <v/>
      </c>
      <c r="JF48" s="32">
        <f>JF47-JF26+JF45-JF46</f>
        <v/>
      </c>
      <c r="JG48" s="32">
        <f>JG47-JG26+JG45-JG46</f>
        <v/>
      </c>
      <c r="JH48" s="32">
        <f>JH47-JH26+JH45-JH46</f>
        <v/>
      </c>
      <c r="JI48" s="32">
        <f>JI47-JI26+JI45-JI46</f>
        <v/>
      </c>
      <c r="JJ48" s="32">
        <f>JJ47-JJ26+JJ45-JJ46</f>
        <v/>
      </c>
      <c r="JK48" s="32">
        <f>JK47-JK26+JK45-JK46</f>
        <v/>
      </c>
      <c r="JL48" s="32">
        <f>JL47-JL26+JL45-JL46</f>
        <v/>
      </c>
      <c r="JM48" s="32">
        <f>JM47-JM26+JM45-JM46</f>
        <v/>
      </c>
      <c r="JN48" s="32">
        <f>JN47-JN26+JN45-JN46</f>
        <v/>
      </c>
      <c r="JO48" s="32">
        <f>JO47-JO26+JO45-JO46</f>
        <v/>
      </c>
      <c r="JP48" s="32">
        <f>JP47-JP26+JP45-JP46</f>
        <v/>
      </c>
      <c r="JQ48" s="32">
        <f>JQ47-JQ26+JQ45-JQ46</f>
        <v/>
      </c>
      <c r="JR48" s="32">
        <f>JR47-JR26+JR45-JR46</f>
        <v/>
      </c>
      <c r="JS48" s="32">
        <f>JS47-JS26+JS45-JS46</f>
        <v/>
      </c>
      <c r="JT48" s="32">
        <f>JT47-JT26+JT45-JT46</f>
        <v/>
      </c>
      <c r="JU48" s="32">
        <f>JU47-JU26+JU45-JU46</f>
        <v/>
      </c>
      <c r="JV48" s="32">
        <f>JV47-JV26+JV45-JV46</f>
        <v/>
      </c>
      <c r="JW48" s="32">
        <f>JW47-JW26+JW45-JW46</f>
        <v/>
      </c>
      <c r="JX48" s="32">
        <f>JX47-JX26+JX45-JX46</f>
        <v/>
      </c>
      <c r="JY48" s="127">
        <f>SUM(IU48:JX48)</f>
        <v/>
      </c>
      <c r="JZ48" s="32">
        <f>JZ47-JZ26+JZ45-JZ46</f>
        <v/>
      </c>
      <c r="KA48" s="32">
        <f>KA47-KA26+KA45-KA46</f>
        <v/>
      </c>
      <c r="KB48" s="32">
        <f>KB47-KB26+KB45-KB46</f>
        <v/>
      </c>
      <c r="KC48" s="32">
        <f>KC47-KC26+KC45-KC46</f>
        <v/>
      </c>
      <c r="KD48" s="32">
        <f>KD47-KD26+KD45-KD46</f>
        <v/>
      </c>
      <c r="KE48" s="32">
        <f>KE47-KE26+KE45-KE46</f>
        <v/>
      </c>
      <c r="KF48" s="32">
        <f>KF47-KF26+KF45-KF46</f>
        <v/>
      </c>
      <c r="KG48" s="32">
        <f>KG47-KG26+KG45-KG46</f>
        <v/>
      </c>
      <c r="KH48" s="32">
        <f>KH47-KH26+KH45-KH46</f>
        <v/>
      </c>
      <c r="KI48" s="32">
        <f>KI47-KI26+KI45-KI46</f>
        <v/>
      </c>
      <c r="KJ48" s="32">
        <f>KJ47-KJ26+KJ45-KJ46</f>
        <v/>
      </c>
      <c r="KK48" s="32">
        <f>KK47-KK26+KK45-KK46</f>
        <v/>
      </c>
      <c r="KL48" s="32">
        <f>KL47-KL26+KL45-KL46</f>
        <v/>
      </c>
      <c r="KM48" s="32">
        <f>KM47-KM26+KM45-KM46</f>
        <v/>
      </c>
      <c r="KN48" s="32">
        <f>KN47-KN26+KN45-KN46</f>
        <v/>
      </c>
      <c r="KO48" s="32">
        <f>KO47-KO26+KO45-KO46</f>
        <v/>
      </c>
      <c r="KP48" s="32">
        <f>KP47-KP26+KP45-KP46</f>
        <v/>
      </c>
      <c r="KQ48" s="32">
        <f>KQ47-KQ26+KQ45-KQ46</f>
        <v/>
      </c>
      <c r="KR48" s="32">
        <f>KR47-KR26+KR45-KR46</f>
        <v/>
      </c>
      <c r="KS48" s="32">
        <f>KS47-KS26+KS45-KS46</f>
        <v/>
      </c>
      <c r="KT48" s="32">
        <f>KT47-KT26+KT45-KT46</f>
        <v/>
      </c>
      <c r="KU48" s="32">
        <f>KU47-KU26+KU45-KU46</f>
        <v/>
      </c>
      <c r="KV48" s="32">
        <f>KV47-KV26+KV45-KV46</f>
        <v/>
      </c>
      <c r="KW48" s="32">
        <f>KW47-KW26+KW45-KW46</f>
        <v/>
      </c>
      <c r="KX48" s="32">
        <f>KX47-KX26+KX45-KX46</f>
        <v/>
      </c>
      <c r="KY48" s="32">
        <f>KY47-KY26+KY45-KY46</f>
        <v/>
      </c>
      <c r="KZ48" s="32">
        <f>KZ47-KZ26+KZ45-KZ46</f>
        <v/>
      </c>
      <c r="LA48" s="32">
        <f>LA47-LA26+LA45-LA46</f>
        <v/>
      </c>
      <c r="LB48" s="32">
        <f>LB47-LB26+LB45-LB46</f>
        <v/>
      </c>
      <c r="LC48" s="32">
        <f>LC47-LC26+LC45-LC46</f>
        <v/>
      </c>
      <c r="LD48" s="32">
        <f>LD47-LD26+LD45-LD46</f>
        <v/>
      </c>
      <c r="LE48" s="127">
        <f>SUM(KA48:LD48)</f>
        <v/>
      </c>
      <c r="LF48" s="32">
        <f>LF47-LF26+LF45-LF46</f>
        <v/>
      </c>
      <c r="LG48" s="32">
        <f>LG47-LG26+LG45-LG46</f>
        <v/>
      </c>
      <c r="LH48" s="32">
        <f>LH47-LH26+LH45-LH46</f>
        <v/>
      </c>
      <c r="LI48" s="32">
        <f>LI47-LI26+LI45-LI46</f>
        <v/>
      </c>
      <c r="LJ48" s="32">
        <f>LJ47-LJ26+LJ45-LJ46</f>
        <v/>
      </c>
      <c r="LK48" s="32">
        <f>LK47-LK26+LK45-LK46</f>
        <v/>
      </c>
      <c r="LL48" s="32">
        <f>LL47-LL26+LL45-LL46</f>
        <v/>
      </c>
      <c r="LM48" s="32">
        <f>LM47-LM26+LM45-LM46</f>
        <v/>
      </c>
      <c r="LN48" s="32">
        <f>LN47-LN26+LN45-LN46</f>
        <v/>
      </c>
      <c r="LO48" s="32">
        <f>LO47-LO26+LO45-LO46</f>
        <v/>
      </c>
      <c r="LP48" s="32">
        <f>LP47-LP26+LP45-LP46</f>
        <v/>
      </c>
      <c r="LQ48" s="32">
        <f>LQ47-LQ26+LQ45-LQ46</f>
        <v/>
      </c>
      <c r="LR48" s="32">
        <f>LR47-LR26+LR45-LR46</f>
        <v/>
      </c>
      <c r="LS48" s="32">
        <f>LS47-LS26+LS45-LS46</f>
        <v/>
      </c>
      <c r="LT48" s="32">
        <f>LT47-LT26+LT45-LT46</f>
        <v/>
      </c>
      <c r="LU48" s="32">
        <f>LU47-LU26+LU45-LU46</f>
        <v/>
      </c>
      <c r="LV48" s="32">
        <f>LV47-LV26+LV45-LV46</f>
        <v/>
      </c>
      <c r="LW48" s="32">
        <f>LW47-LW26+LW45-LW46</f>
        <v/>
      </c>
      <c r="LX48" s="32">
        <f>LX47-LX26+LX45-LX46</f>
        <v/>
      </c>
      <c r="LY48" s="32">
        <f>LY47-LY26+LY45-LY46</f>
        <v/>
      </c>
      <c r="LZ48" s="32">
        <f>LZ47-LZ26+LZ45-LZ46</f>
        <v/>
      </c>
      <c r="MA48" s="32">
        <f>MA47-MA26+MA45-MA46</f>
        <v/>
      </c>
      <c r="MB48" s="32">
        <f>MB47-MB26+MB45-MB46</f>
        <v/>
      </c>
      <c r="MC48" s="32">
        <f>MC47-MC26+MC45-MC46</f>
        <v/>
      </c>
      <c r="MD48" s="32">
        <f>MD47-MD26+MD45-MD46</f>
        <v/>
      </c>
      <c r="ME48" s="32">
        <f>ME47-ME26+ME45-ME46</f>
        <v/>
      </c>
      <c r="MF48" s="32">
        <f>MF47-MF26+MF45-MF46</f>
        <v/>
      </c>
      <c r="MG48" s="32">
        <f>MG47-MG26+MG45-MG46</f>
        <v/>
      </c>
      <c r="MH48" s="32">
        <f>MH47-MH26+MH45-MH46</f>
        <v/>
      </c>
      <c r="MI48" s="32">
        <f>MI47-MI26+MI45-MI46</f>
        <v/>
      </c>
      <c r="MJ48" s="127">
        <f>SUM(LF48:MI48)</f>
        <v/>
      </c>
      <c r="MK48" s="32">
        <f>MK47-MK26+MK45-MK46</f>
        <v/>
      </c>
      <c r="ML48" s="32">
        <f>ML47-ML26+ML45-ML46</f>
        <v/>
      </c>
      <c r="MM48" s="32">
        <f>MM47-MM26+MM45-MM46</f>
        <v/>
      </c>
      <c r="MN48" s="32">
        <f>MN47-MN26+MN45-MN46</f>
        <v/>
      </c>
      <c r="MO48" s="32">
        <f>MO47-MO26+MO45-MO46</f>
        <v/>
      </c>
      <c r="MP48" s="32">
        <f>MP47-MP26+MP45-MP46</f>
        <v/>
      </c>
      <c r="MQ48" s="32">
        <f>MQ47-MQ26+MQ45-MQ46</f>
        <v/>
      </c>
      <c r="MR48" s="32">
        <f>MR47-MR26+MR45-MR46</f>
        <v/>
      </c>
      <c r="MS48" s="32">
        <f>MS47-MS26+MS45-MS46</f>
        <v/>
      </c>
      <c r="MT48" s="32">
        <f>MT47-MT26+MT45-MT46</f>
        <v/>
      </c>
      <c r="MU48" s="32">
        <f>MU47-MU26+MU45-MU46</f>
        <v/>
      </c>
      <c r="MV48" s="32">
        <f>MV47-MV26+MV45-MV46</f>
        <v/>
      </c>
      <c r="MW48" s="32">
        <f>MW47-MW26+MW45-MW46</f>
        <v/>
      </c>
      <c r="MX48" s="32">
        <f>MX47-MX26+MX45-MX46</f>
        <v/>
      </c>
      <c r="MY48" s="32">
        <f>MY47-MY26+MY45-MY46</f>
        <v/>
      </c>
      <c r="MZ48" s="32">
        <f>MZ47-MZ26+MZ45-MZ46</f>
        <v/>
      </c>
      <c r="NA48" s="32">
        <f>NA47-NA26+NA45-NA46</f>
        <v/>
      </c>
      <c r="NB48" s="32">
        <f>NB47-NB26+NB45-NB46</f>
        <v/>
      </c>
      <c r="NC48" s="32">
        <f>NC47-NC26+NC45-NC46</f>
        <v/>
      </c>
      <c r="ND48" s="32">
        <f>ND47-ND26+ND45-ND46</f>
        <v/>
      </c>
      <c r="NE48" s="32">
        <f>NE47-NE26+NE45-NE46</f>
        <v/>
      </c>
      <c r="NF48" s="32">
        <f>NF47-NF26+NF45-NF46</f>
        <v/>
      </c>
      <c r="NG48" s="32">
        <f>NG47-NG26+NG45-NG46</f>
        <v/>
      </c>
      <c r="NH48" s="32">
        <f>NH47-NH26+NH45-NH46</f>
        <v/>
      </c>
      <c r="NI48" s="32">
        <f>NI47-NI26+NI45-NI46</f>
        <v/>
      </c>
      <c r="NJ48" s="32">
        <f>NJ47-NJ26+NJ45-NJ46</f>
        <v/>
      </c>
      <c r="NK48" s="32">
        <f>NK47-NK26+NK45-NK46</f>
        <v/>
      </c>
      <c r="NL48" s="32">
        <f>NL47-NL26+NL45-NL46</f>
        <v/>
      </c>
      <c r="NM48" s="32">
        <f>NM47-NM26+NM45-NM46</f>
        <v/>
      </c>
      <c r="NN48" s="32">
        <f>NN47-NN26+NN45-NN46</f>
        <v/>
      </c>
      <c r="NO48" s="32">
        <f>NO47-NO26+NO45-NO46</f>
        <v/>
      </c>
      <c r="NP48" s="127">
        <f>SUM(ML48:NO48)</f>
        <v/>
      </c>
      <c r="NQ48" s="32">
        <f>NQ47-NQ26+NQ45-NQ46</f>
        <v/>
      </c>
      <c r="NR48" s="32">
        <f>NR47-NR26+NR45-NR46</f>
        <v/>
      </c>
      <c r="NS48" s="32">
        <f>NS47-NS26+NS45-NS46</f>
        <v/>
      </c>
      <c r="NT48" s="32">
        <f>NT47-NT26+NT45-NT46</f>
        <v/>
      </c>
      <c r="NU48" s="32">
        <f>NU47-NU26+NU45-NU46</f>
        <v/>
      </c>
      <c r="NV48" s="32">
        <f>NV47-NV26+NV45-NV46</f>
        <v/>
      </c>
      <c r="NW48" s="32">
        <f>NW47-NW26+NW45-NW46</f>
        <v/>
      </c>
      <c r="NX48" s="32">
        <f>NX47-NX26+NX45-NX46</f>
        <v/>
      </c>
      <c r="NY48" s="32">
        <f>NY47-NY26+NY45-NY46</f>
        <v/>
      </c>
      <c r="NZ48" s="32">
        <f>NZ47-NZ26+NZ45-NZ46</f>
        <v/>
      </c>
      <c r="OA48" s="32">
        <f>OA47-OA26+OA45-OA46</f>
        <v/>
      </c>
      <c r="OB48" s="32">
        <f>OB47-OB26+OB45-OB46</f>
        <v/>
      </c>
      <c r="OC48" s="32">
        <f>OC47-OC26+OC45-OC46</f>
        <v/>
      </c>
      <c r="OD48" s="32">
        <f>OD47-OD26+OD45-OD46</f>
        <v/>
      </c>
      <c r="OE48" s="32">
        <f>OE47-OE26+OE45-OE46</f>
        <v/>
      </c>
      <c r="OF48" s="32">
        <f>OF47-OF26+OF45-OF46</f>
        <v/>
      </c>
      <c r="OG48" s="32">
        <f>OG47-OG26+OG45-OG46</f>
        <v/>
      </c>
      <c r="OH48" s="32">
        <f>OH47-OH26+OH45-OH46</f>
        <v/>
      </c>
      <c r="OI48" s="32">
        <f>OI47-OI26+OI45-OI46</f>
        <v/>
      </c>
      <c r="OJ48" s="32">
        <f>OJ47-OJ26+OJ45-OJ46</f>
        <v/>
      </c>
      <c r="OK48" s="32">
        <f>OK47-OK26+OK45-OK46</f>
        <v/>
      </c>
      <c r="OL48" s="32">
        <f>OL47-OL26+OL45-OL46</f>
        <v/>
      </c>
      <c r="OM48" s="32">
        <f>OM47-OM26+OM45-OM46</f>
        <v/>
      </c>
      <c r="ON48" s="32">
        <f>ON47-ON26+ON45-ON46</f>
        <v/>
      </c>
      <c r="OO48" s="32">
        <f>OO47-OO26+OO45-OO46</f>
        <v/>
      </c>
      <c r="OP48" s="32">
        <f>OP47-OP26+OP45-OP46</f>
        <v/>
      </c>
      <c r="OQ48" s="32">
        <f>OQ47-OQ26+OQ45-OQ46</f>
        <v/>
      </c>
      <c r="OR48" s="32">
        <f>OR47-OR26+OR45-OR46</f>
        <v/>
      </c>
      <c r="OS48" s="32">
        <f>OS47-OS26+OS45-OS46</f>
        <v/>
      </c>
      <c r="OT48" s="32">
        <f>OT47-OT26+OT45-OT46</f>
        <v/>
      </c>
      <c r="OU48" s="32">
        <f>OU47-OU26+OU45-OU46</f>
        <v/>
      </c>
      <c r="OV48" s="127">
        <f>SUM(NR48:OU48)</f>
        <v/>
      </c>
      <c r="OW48" s="32">
        <f>OW47-OW26+OW45-OW46</f>
        <v/>
      </c>
      <c r="OX48" s="32">
        <f>OX47-OX26+OX45-OX46</f>
        <v/>
      </c>
      <c r="OY48" s="32">
        <f>OY47-OY26+OY45-OY46</f>
        <v/>
      </c>
      <c r="OZ48" s="32">
        <f>OZ47-OZ26+OZ45-OZ46</f>
        <v/>
      </c>
      <c r="PA48" s="32">
        <f>PA47-PA26+PA45-PA46</f>
        <v/>
      </c>
      <c r="PB48" s="32">
        <f>PB47-PB26+PB45-PB46</f>
        <v/>
      </c>
      <c r="PC48" s="32">
        <f>PC47-PC26+PC45-PC46</f>
        <v/>
      </c>
      <c r="PD48" s="32">
        <f>PD47-PD26+PD45-PD46</f>
        <v/>
      </c>
      <c r="PE48" s="32">
        <f>PE47-PE26+PE45-PE46</f>
        <v/>
      </c>
      <c r="PF48" s="32">
        <f>PF47-PF26+PF45-PF46</f>
        <v/>
      </c>
      <c r="PG48" s="32">
        <f>PG47-PG26+PG45-PG46</f>
        <v/>
      </c>
      <c r="PH48" s="32">
        <f>PH47-PH26+PH45-PH46</f>
        <v/>
      </c>
      <c r="PI48" s="32">
        <f>PI47-PI26+PI45-PI46</f>
        <v/>
      </c>
      <c r="PJ48" s="32">
        <f>PJ47-PJ26+PJ45-PJ46</f>
        <v/>
      </c>
      <c r="PK48" s="32">
        <f>PK47-PK26+PK45-PK46</f>
        <v/>
      </c>
      <c r="PL48" s="32">
        <f>PL47-PL26+PL45-PL46</f>
        <v/>
      </c>
      <c r="PM48" s="32">
        <f>PM47-PM26+PM45-PM46</f>
        <v/>
      </c>
      <c r="PN48" s="32">
        <f>PN47-PN26+PN45-PN46</f>
        <v/>
      </c>
      <c r="PO48" s="32">
        <f>PO47-PO26+PO45-PO46</f>
        <v/>
      </c>
      <c r="PP48" s="32">
        <f>PP47-PP26+PP45-PP46</f>
        <v/>
      </c>
      <c r="PQ48" s="32">
        <f>PQ47-PQ26+PQ45-PQ46</f>
        <v/>
      </c>
      <c r="PR48" s="32">
        <f>PR47-PR26+PR45-PR46</f>
        <v/>
      </c>
      <c r="PS48" s="32">
        <f>PS47-PS26+PS45-PS46</f>
        <v/>
      </c>
      <c r="PT48" s="32">
        <f>PT47-PT26+PT45-PT46</f>
        <v/>
      </c>
      <c r="PU48" s="32">
        <f>PU47-PU26+PU45-PU46</f>
        <v/>
      </c>
      <c r="PV48" s="32">
        <f>PV47-PV26+PV45-PV46</f>
        <v/>
      </c>
      <c r="PW48" s="32">
        <f>PW47-PW26+PW45-PW46</f>
        <v/>
      </c>
      <c r="PX48" s="32">
        <f>PX47-PX26+PX45-PX46</f>
        <v/>
      </c>
      <c r="PY48" s="32">
        <f>PY47-PY26+PY45-PY46</f>
        <v/>
      </c>
      <c r="PZ48" s="32">
        <f>PZ47-PZ26+PZ45-PZ46</f>
        <v/>
      </c>
      <c r="QA48" s="127">
        <f>SUM(OW48:PZ48)</f>
        <v/>
      </c>
      <c r="QB48" s="32">
        <f>QB47-QB26+QB45-QB46</f>
        <v/>
      </c>
      <c r="QC48" s="32">
        <f>QC47-QC26+QC45-QC46</f>
        <v/>
      </c>
      <c r="QD48" s="32">
        <f>QD47-QD26+QD45-QD46</f>
        <v/>
      </c>
      <c r="QE48" s="32">
        <f>QE47-QE26+QE45-QE46</f>
        <v/>
      </c>
      <c r="QF48" s="32">
        <f>QF47-QF26+QF45-QF46</f>
        <v/>
      </c>
      <c r="QG48" s="32">
        <f>QG47-QG26+QG45-QG46</f>
        <v/>
      </c>
      <c r="QH48" s="32">
        <f>QH47-QH26+QH45-QH46</f>
        <v/>
      </c>
      <c r="QI48" s="32">
        <f>QI47-QI26+QI45-QI46</f>
        <v/>
      </c>
      <c r="QJ48" s="32">
        <f>QJ47-QJ26+QJ45-QJ46</f>
        <v/>
      </c>
      <c r="QK48" s="32">
        <f>QK47-QK26+QK45-QK46</f>
        <v/>
      </c>
      <c r="QL48" s="32">
        <f>QL47-QL26+QL45-QL46</f>
        <v/>
      </c>
      <c r="QM48" s="32">
        <f>QM47-QM26+QM45-QM46</f>
        <v/>
      </c>
      <c r="QN48" s="32">
        <f>QN47-QN26+QN45-QN46</f>
        <v/>
      </c>
      <c r="QO48" s="32">
        <f>QO47-QO26+QO45-QO46</f>
        <v/>
      </c>
      <c r="QP48" s="32">
        <f>QP47-QP26+QP45-QP46</f>
        <v/>
      </c>
      <c r="QQ48" s="32">
        <f>QQ47-QQ26+QQ45-QQ46</f>
        <v/>
      </c>
      <c r="QR48" s="32">
        <f>QR47-QR26+QR45-QR46</f>
        <v/>
      </c>
      <c r="QS48" s="32">
        <f>QS47-QS26+QS45-QS46</f>
        <v/>
      </c>
      <c r="QT48" s="32">
        <f>QT47-QT26+QT45-QT46</f>
        <v/>
      </c>
      <c r="QU48" s="32">
        <f>QU47-QU26+QU45-QU46</f>
        <v/>
      </c>
      <c r="QV48" s="32">
        <f>QV47-QV26+QV45-QV46</f>
        <v/>
      </c>
      <c r="QW48" s="32">
        <f>QW47-QW26+QW45-QW46</f>
        <v/>
      </c>
      <c r="QX48" s="32">
        <f>QX47-QX26+QX45-QX46</f>
        <v/>
      </c>
      <c r="QY48" s="32">
        <f>QY47-QY26+QY45-QY46</f>
        <v/>
      </c>
      <c r="QZ48" s="32">
        <f>QZ47-QZ26+QZ45-QZ46</f>
        <v/>
      </c>
      <c r="RA48" s="32">
        <f>RA47-RA26+RA45-RA46</f>
        <v/>
      </c>
      <c r="RB48" s="32">
        <f>RB47-RB26+RB45-RB46</f>
        <v/>
      </c>
      <c r="RC48" s="32">
        <f>RC47-RC26+RC45-RC46</f>
        <v/>
      </c>
      <c r="RD48" s="32">
        <f>RD47-RD26+RD45-RD46</f>
        <v/>
      </c>
      <c r="RE48" s="32">
        <f>RE47-RE26+RE45-RE46</f>
        <v/>
      </c>
      <c r="RF48" s="32">
        <f>RF47-RF26+RF45-RF46</f>
        <v/>
      </c>
      <c r="RG48" s="127">
        <f>SUM(QC48:RF48)</f>
        <v/>
      </c>
      <c r="RH48" s="32">
        <f>RH47-RH26+RH45-RH46</f>
        <v/>
      </c>
      <c r="RI48" s="32">
        <f>RI47-RI26+RI45-RI46</f>
        <v/>
      </c>
      <c r="RJ48" s="32">
        <f>RJ47-RJ26+RJ45-RJ46</f>
        <v/>
      </c>
      <c r="RK48" s="32">
        <f>RK47-RK26+RK45-RK46</f>
        <v/>
      </c>
      <c r="RL48" s="32">
        <f>RL47-RL26+RL45-RL46</f>
        <v/>
      </c>
      <c r="RM48" s="32">
        <f>RM47-RM26+RM45-RM46</f>
        <v/>
      </c>
      <c r="RN48" s="32">
        <f>RN47-RN26+RN45-RN46</f>
        <v/>
      </c>
      <c r="RO48" s="32">
        <f>RO47-RO26+RO45-RO46</f>
        <v/>
      </c>
      <c r="RP48" s="32">
        <f>RP47-RP26+RP45-RP46</f>
        <v/>
      </c>
      <c r="RQ48" s="32">
        <f>RQ47-RQ26+RQ45-RQ46</f>
        <v/>
      </c>
      <c r="RR48" s="32">
        <f>RR47-RR26+RR45-RR46</f>
        <v/>
      </c>
      <c r="RS48" s="32">
        <f>RS47-RS26+RS45-RS46</f>
        <v/>
      </c>
      <c r="RT48" s="32">
        <f>RT47-RT26+RT45-RT46</f>
        <v/>
      </c>
      <c r="RU48" s="32">
        <f>RU47-RU26+RU45-RU46</f>
        <v/>
      </c>
      <c r="RV48" s="32">
        <f>RV47-RV26+RV45-RV46</f>
        <v/>
      </c>
      <c r="RW48" s="32">
        <f>RW47-RW26+RW45-RW46</f>
        <v/>
      </c>
      <c r="RX48" s="32">
        <f>RX47-RX26+RX45-RX46</f>
        <v/>
      </c>
      <c r="RY48" s="32">
        <f>RY47-RY26+RY45-RY46</f>
        <v/>
      </c>
      <c r="RZ48" s="32">
        <f>RZ47-RZ26+RZ45-RZ46</f>
        <v/>
      </c>
      <c r="SA48" s="32">
        <f>SA47-SA26+SA45-SA46</f>
        <v/>
      </c>
      <c r="SB48" s="32">
        <f>SB47-SB26+SB45-SB46</f>
        <v/>
      </c>
      <c r="SC48" s="32">
        <f>SC47-SC26+SC45-SC46</f>
        <v/>
      </c>
      <c r="SD48" s="32">
        <f>SD47-SD26+SD45-SD46</f>
        <v/>
      </c>
      <c r="SE48" s="32">
        <f>SE47-SE26+SE45-SE46</f>
        <v/>
      </c>
      <c r="SF48" s="32">
        <f>SF47-SF26+SF45-SF46</f>
        <v/>
      </c>
      <c r="SG48" s="32">
        <f>SG47-SG26+SG45-SG46</f>
        <v/>
      </c>
      <c r="SH48" s="32">
        <f>SH47-SH26+SH45-SH46</f>
        <v/>
      </c>
      <c r="SI48" s="32">
        <f>SI47-SI26+SI45-SI46</f>
        <v/>
      </c>
      <c r="SJ48" s="32">
        <f>SJ47-SJ26+SJ45-SJ46</f>
        <v/>
      </c>
      <c r="SK48" s="32">
        <f>SK47-SK26+SK45-SK46</f>
        <v/>
      </c>
      <c r="SL48" s="127">
        <f>SUM(RH48:SK48)</f>
        <v/>
      </c>
      <c r="SM48" s="32">
        <f>SM47-SM26+SM45-SM46</f>
        <v/>
      </c>
      <c r="SN48" s="32">
        <f>SN47-SN26+SN45-SN46</f>
        <v/>
      </c>
      <c r="SO48" s="32">
        <f>SO47-SO26+SO45-SO46</f>
        <v/>
      </c>
      <c r="SP48" s="32">
        <f>SP47-SP26+SP45-SP46</f>
        <v/>
      </c>
      <c r="SQ48" s="32">
        <f>SQ47-SQ26+SQ45-SQ46</f>
        <v/>
      </c>
      <c r="SR48" s="32">
        <f>SR47-SR26+SR45-SR46</f>
        <v/>
      </c>
      <c r="SS48" s="32">
        <f>SS47-SS26+SS45-SS46</f>
        <v/>
      </c>
      <c r="ST48" s="32">
        <f>ST47-ST26+ST45-ST46</f>
        <v/>
      </c>
      <c r="SU48" s="32">
        <f>SU47-SU26+SU45-SU46</f>
        <v/>
      </c>
      <c r="SV48" s="32">
        <f>SV47-SV26+SV45-SV46</f>
        <v/>
      </c>
      <c r="SW48" s="32">
        <f>SW47-SW26+SW45-SW46</f>
        <v/>
      </c>
      <c r="SX48" s="32">
        <f>SX47-SX26+SX45-SX46</f>
        <v/>
      </c>
      <c r="SY48" s="32">
        <f>SY47-SY26+SY45-SY46</f>
        <v/>
      </c>
      <c r="SZ48" s="32">
        <f>SZ47-SZ26+SZ45-SZ46</f>
        <v/>
      </c>
      <c r="TA48" s="32">
        <f>TA47-TA26+TA45-TA46</f>
        <v/>
      </c>
      <c r="TB48" s="32">
        <f>TB47-TB26+TB45-TB46</f>
        <v/>
      </c>
      <c r="TC48" s="32">
        <f>TC47-TC26+TC45-TC46</f>
        <v/>
      </c>
      <c r="TD48" s="32">
        <f>TD47-TD26+TD45-TD46</f>
        <v/>
      </c>
      <c r="TE48" s="32">
        <f>TE47-TE26+TE45-TE46</f>
        <v/>
      </c>
      <c r="TF48" s="32">
        <f>TF47-TF26+TF45-TF46</f>
        <v/>
      </c>
      <c r="TG48" s="32">
        <f>TG47-TG26+TG45-TG46</f>
        <v/>
      </c>
      <c r="TH48" s="32">
        <f>TH47-TH26+TH45-TH46</f>
        <v/>
      </c>
      <c r="TI48" s="32">
        <f>TI47-TI26+TI45-TI46</f>
        <v/>
      </c>
      <c r="TJ48" s="32">
        <f>TJ47-TJ26+TJ45-TJ46</f>
        <v/>
      </c>
      <c r="TK48" s="32">
        <f>TK47-TK26+TK45-TK46</f>
        <v/>
      </c>
      <c r="TL48" s="32">
        <f>TL47-TL26+TL45-TL46</f>
        <v/>
      </c>
      <c r="TM48" s="32">
        <f>TM47-TM26+TM45-TM46</f>
        <v/>
      </c>
      <c r="TN48" s="32">
        <f>TN47-TN26+TN45-TN46</f>
        <v/>
      </c>
      <c r="TO48" s="32">
        <f>TO47-TO26+TO45-TO46</f>
        <v/>
      </c>
      <c r="TP48" s="32">
        <f>TP47-TP26+TP45-TP46</f>
        <v/>
      </c>
      <c r="TQ48" s="32">
        <f>TQ47-TQ26+TQ45-TQ46</f>
        <v/>
      </c>
      <c r="TR48" s="127">
        <f>SUM(SN48:TQ48)</f>
        <v/>
      </c>
      <c r="TS48" s="32">
        <f>TS47-TS26+TS45-TS46</f>
        <v/>
      </c>
      <c r="TT48" s="32">
        <f>TT47-TT26+TT45-TT46</f>
        <v/>
      </c>
      <c r="TU48" s="32">
        <f>TU47-TU26+TU45-TU46</f>
        <v/>
      </c>
      <c r="TV48" s="32">
        <f>TV47-TV26+TV45-TV46</f>
        <v/>
      </c>
      <c r="TW48" s="32">
        <f>TW47-TW26+TW45-TW46</f>
        <v/>
      </c>
      <c r="TX48" s="32">
        <f>TX47-TX26+TX45-TX46</f>
        <v/>
      </c>
      <c r="TY48" s="32">
        <f>TY47-TY26+TY45-TY46</f>
        <v/>
      </c>
      <c r="TZ48" s="32">
        <f>TZ47-TZ26+TZ45-TZ46</f>
        <v/>
      </c>
      <c r="UA48" s="32">
        <f>UA47-UA26+UA45-UA46</f>
        <v/>
      </c>
      <c r="UB48" s="32">
        <f>UB47-UB26+UB45-UB46</f>
        <v/>
      </c>
      <c r="UC48" s="32">
        <f>UC47-UC26+UC45-UC46</f>
        <v/>
      </c>
      <c r="UD48" s="32">
        <f>UD47-UD26+UD45-UD46</f>
        <v/>
      </c>
      <c r="UE48" s="32">
        <f>UE47-UE26+UE45-UE46</f>
        <v/>
      </c>
      <c r="UF48" s="32">
        <f>UF47-UF26+UF45-UF46</f>
        <v/>
      </c>
      <c r="UG48" s="32">
        <f>UG47-UG26+UG45-UG46</f>
        <v/>
      </c>
      <c r="UH48" s="32">
        <f>UH47-UH26+UH45-UH46</f>
        <v/>
      </c>
      <c r="UI48" s="32">
        <f>UI47-UI26+UI45-UI46</f>
        <v/>
      </c>
      <c r="UJ48" s="32">
        <f>UJ47-UJ26+UJ45-UJ46</f>
        <v/>
      </c>
      <c r="UK48" s="32">
        <f>UK47-UK26+UK45-UK46</f>
        <v/>
      </c>
      <c r="UL48" s="32">
        <f>UL47-UL26+UL45-UL46</f>
        <v/>
      </c>
      <c r="UM48" s="32">
        <f>UM47-UM26+UM45-UM46</f>
        <v/>
      </c>
      <c r="UN48" s="32">
        <f>UN47-UN26+UN45-UN46</f>
        <v/>
      </c>
      <c r="UO48" s="32">
        <f>UO47-UO26+UO45-UO46</f>
        <v/>
      </c>
      <c r="UP48" s="32">
        <f>UP47-UP26+UP45-UP46</f>
        <v/>
      </c>
      <c r="UQ48" s="32">
        <f>UQ47-UQ26+UQ45-UQ46</f>
        <v/>
      </c>
      <c r="UR48" s="32">
        <f>UR47-UR26+UR45-UR46</f>
        <v/>
      </c>
      <c r="US48" s="32">
        <f>US47-US26+US45-US46</f>
        <v/>
      </c>
      <c r="UT48" s="32">
        <f>UT47-UT26+UT45-UT46</f>
        <v/>
      </c>
      <c r="UU48" s="32">
        <f>UU47-UU26+UU45-UU46</f>
        <v/>
      </c>
      <c r="UV48" s="32">
        <f>UV47-UV26+UV45-UV46</f>
        <v/>
      </c>
      <c r="UW48" s="32">
        <f>UW47-UW26+UW45-UW46</f>
        <v/>
      </c>
      <c r="UX48" s="127">
        <f>SUM(TT48:UW48)</f>
        <v/>
      </c>
      <c r="UY48" s="32">
        <f>UY47-UY26+UY45-UY46</f>
        <v/>
      </c>
      <c r="UZ48" s="32">
        <f>UZ47-UZ26+UZ45-UZ46</f>
        <v/>
      </c>
      <c r="VA48" s="32">
        <f>VA47-VA26+VA45-VA46</f>
        <v/>
      </c>
      <c r="VB48" s="32">
        <f>VB47-VB26+VB45-VB46</f>
        <v/>
      </c>
      <c r="VC48" s="32">
        <f>VC47-VC26+VC45-VC46</f>
        <v/>
      </c>
      <c r="VD48" s="32">
        <f>VD47-VD26+VD45-VD46</f>
        <v/>
      </c>
      <c r="VE48" s="32">
        <f>VE47-VE26+VE45-VE46</f>
        <v/>
      </c>
      <c r="VF48" s="32">
        <f>VF47-VF26+VF45-VF46</f>
        <v/>
      </c>
      <c r="VG48" s="32">
        <f>VG47-VG26+VG45-VG46</f>
        <v/>
      </c>
      <c r="VH48" s="32">
        <f>VH47-VH26+VH45-VH46</f>
        <v/>
      </c>
      <c r="VI48" s="32">
        <f>VI47-VI26+VI45-VI46</f>
        <v/>
      </c>
      <c r="VJ48" s="32">
        <f>VJ47-VJ26+VJ45-VJ46</f>
        <v/>
      </c>
      <c r="VK48" s="32">
        <f>VK47-VK26+VK45-VK46</f>
        <v/>
      </c>
      <c r="VL48" s="32">
        <f>VL47-VL26+VL45-VL46</f>
        <v/>
      </c>
      <c r="VM48" s="32">
        <f>VM47-VM26+VM45-VM46</f>
        <v/>
      </c>
      <c r="VN48" s="32">
        <f>VN47-VN26+VN45-VN46</f>
        <v/>
      </c>
      <c r="VO48" s="32">
        <f>VO47-VO26+VO45-VO46</f>
        <v/>
      </c>
      <c r="VP48" s="32">
        <f>VP47-VP26+VP45-VP46</f>
        <v/>
      </c>
      <c r="VQ48" s="32">
        <f>VQ47-VQ26+VQ45-VQ46</f>
        <v/>
      </c>
      <c r="VR48" s="32">
        <f>VR47-VR26+VR45-VR46</f>
        <v/>
      </c>
      <c r="VS48" s="32">
        <f>VS47-VS26+VS45-VS46</f>
        <v/>
      </c>
      <c r="VT48" s="32">
        <f>VT47-VT26+VT45-VT46</f>
        <v/>
      </c>
      <c r="VU48" s="32">
        <f>VU47-VU26+VU45-VU46</f>
        <v/>
      </c>
      <c r="VV48" s="32">
        <f>VV47-VV26+VV45-VV46</f>
        <v/>
      </c>
      <c r="VW48" s="32">
        <f>VW47-VW26+VW45-VW46</f>
        <v/>
      </c>
      <c r="VX48" s="32">
        <f>VX47-VX26+VX45-VX46</f>
        <v/>
      </c>
      <c r="VY48" s="32">
        <f>VY47-VY26+VY45-VY46</f>
        <v/>
      </c>
      <c r="VZ48" s="32">
        <f>VZ47-VZ26+VZ45-VZ46</f>
        <v/>
      </c>
      <c r="WA48" s="127">
        <f>SUM(UW48:VZ48)</f>
        <v/>
      </c>
      <c r="WB48" s="32">
        <f>WB47-WB26+WB45-WB46</f>
        <v/>
      </c>
      <c r="WC48" s="32">
        <f>WC47-WC26+WC45-WC46</f>
        <v/>
      </c>
      <c r="WD48" s="32">
        <f>WD47-WD26+WD45-WD46</f>
        <v/>
      </c>
      <c r="WE48" s="32">
        <f>WE47-WE26+WE45-WE46</f>
        <v/>
      </c>
      <c r="WF48" s="32">
        <f>WF47-WF26+WF45-WF46</f>
        <v/>
      </c>
      <c r="WG48" s="32">
        <f>WG47-WG26+WG45-WG46</f>
        <v/>
      </c>
      <c r="WH48" s="32">
        <f>WH47-WH26+WH45-WH46</f>
        <v/>
      </c>
      <c r="WI48" s="32">
        <f>WI47-WI26+WI45-WI46</f>
        <v/>
      </c>
      <c r="WJ48" s="32">
        <f>WJ47-WJ26+WJ45-WJ46</f>
        <v/>
      </c>
      <c r="WK48" s="32">
        <f>WK47-WK26+WK45-WK46</f>
        <v/>
      </c>
      <c r="WL48" s="32">
        <f>WL47-WL26+WL45-WL46</f>
        <v/>
      </c>
      <c r="WM48" s="32">
        <f>WM47-WM26+WM45-WM46</f>
        <v/>
      </c>
      <c r="WN48" s="32">
        <f>WN47-WN26+WN45-WN46</f>
        <v/>
      </c>
      <c r="WO48" s="32">
        <f>WO47-WO26+WO45-WO46</f>
        <v/>
      </c>
      <c r="WP48" s="32">
        <f>WP47-WP26+WP45-WP46</f>
        <v/>
      </c>
      <c r="WQ48" s="32">
        <f>WQ47-WQ26+WQ45-WQ46</f>
        <v/>
      </c>
      <c r="WR48" s="32">
        <f>WR47-WR26+WR45-WR46</f>
        <v/>
      </c>
      <c r="WS48" s="32">
        <f>WS47-WS26+WS45-WS46</f>
        <v/>
      </c>
      <c r="WT48" s="32">
        <f>WT47-WT26+WT45-WT46</f>
        <v/>
      </c>
      <c r="WU48" s="32">
        <f>WU47-WU26+WU45-WU46</f>
        <v/>
      </c>
      <c r="WV48" s="32">
        <f>WV47-WV26+WV45-WV46</f>
        <v/>
      </c>
      <c r="WW48" s="32">
        <f>WW47-WW26+WW45-WW46</f>
        <v/>
      </c>
      <c r="WX48" s="32">
        <f>WX47-WX26+WX45-WX46</f>
        <v/>
      </c>
      <c r="WY48" s="32">
        <f>WY47-WY26+WY45-WY46</f>
        <v/>
      </c>
      <c r="WZ48" s="32">
        <f>WZ47-WZ26+WZ45-WZ46</f>
        <v/>
      </c>
      <c r="XA48" s="32">
        <f>XA47-XA26+XA45-XA46</f>
        <v/>
      </c>
      <c r="XB48" s="32">
        <f>XB47-XB26+XB45-XB46</f>
        <v/>
      </c>
      <c r="XC48" s="32">
        <f>XC47-XC26+XC45-XC46</f>
        <v/>
      </c>
      <c r="XD48" s="32">
        <f>XD47-XD26+XD45-XD46</f>
        <v/>
      </c>
      <c r="XE48" s="32">
        <f>XE47-XE26+XE45-XE46</f>
        <v/>
      </c>
      <c r="XF48" s="32">
        <f>XF47-XF26+XF45-XF46</f>
        <v/>
      </c>
      <c r="XG48" s="127">
        <f>SUM(WC48:XF48)</f>
        <v/>
      </c>
      <c r="XH48" s="32">
        <f>XH47-XH26+XH45-XH46</f>
        <v/>
      </c>
      <c r="XI48" s="32">
        <f>XI47-XI26+XI45-XI46</f>
        <v/>
      </c>
      <c r="XJ48" s="32">
        <f>XJ47-XJ26+XJ45-XJ46</f>
        <v/>
      </c>
      <c r="XK48" s="32">
        <f>XK47-XK26+XK45-XK46</f>
        <v/>
      </c>
      <c r="XL48" s="32">
        <f>XL47-XL26+XL45-XL46</f>
        <v/>
      </c>
      <c r="XM48" s="32">
        <f>XM47-XM26+XM45-XM46</f>
        <v/>
      </c>
      <c r="XN48" s="32">
        <f>XN47-XN26+XN45-XN46</f>
        <v/>
      </c>
      <c r="XO48" s="32">
        <f>XO47-XO26+XO45-XO46</f>
        <v/>
      </c>
      <c r="XP48" s="32">
        <f>XP47-XP26+XP45-XP46</f>
        <v/>
      </c>
      <c r="XQ48" s="32">
        <f>XQ47-XQ26+XQ45-XQ46</f>
        <v/>
      </c>
      <c r="XR48" s="32">
        <f>XR47-XR26+XR45-XR46</f>
        <v/>
      </c>
      <c r="XS48" s="32">
        <f>XS47-XS26+XS45-XS46</f>
        <v/>
      </c>
      <c r="XT48" s="32">
        <f>XT47-XT26+XT45-XT46</f>
        <v/>
      </c>
      <c r="XU48" s="32">
        <f>XU47-XU26+XU45-XU46</f>
        <v/>
      </c>
      <c r="XV48" s="32">
        <f>XV47-XV26+XV45-XV46</f>
        <v/>
      </c>
      <c r="XW48" s="32">
        <f>XW47-XW26+XW45-XW46</f>
        <v/>
      </c>
      <c r="XX48" s="32">
        <f>XX47-XX26+XX45-XX46</f>
        <v/>
      </c>
      <c r="XY48" s="32">
        <f>XY47-XY26+XY45-XY46</f>
        <v/>
      </c>
      <c r="XZ48" s="32">
        <f>XZ47-XZ26+XZ45-XZ46</f>
        <v/>
      </c>
      <c r="YA48" s="32">
        <f>YA47-YA26+YA45-YA46</f>
        <v/>
      </c>
      <c r="YB48" s="32">
        <f>YB47-YB26+YB45-YB46</f>
        <v/>
      </c>
      <c r="YC48" s="32">
        <f>YC47-YC26+YC45-YC46</f>
        <v/>
      </c>
      <c r="YD48" s="32">
        <f>YD47-YD26+YD45-YD46</f>
        <v/>
      </c>
      <c r="YE48" s="32">
        <f>YE47-YE26+YE45-YE46</f>
        <v/>
      </c>
      <c r="YF48" s="32">
        <f>YF47-YF26+YF45-YF46</f>
        <v/>
      </c>
      <c r="YG48" s="32">
        <f>YG47-YG26+YG45-YG46</f>
        <v/>
      </c>
      <c r="YH48" s="32">
        <f>YH47-YH26+YH45-YH46</f>
        <v/>
      </c>
      <c r="YI48" s="32">
        <f>YI47-YI26+YI45-YI46</f>
        <v/>
      </c>
      <c r="YJ48" s="32">
        <f>YJ47-YJ26+YJ45-YJ46</f>
        <v/>
      </c>
      <c r="YK48" s="32">
        <f>YK47-YK26+YK45-YK46</f>
        <v/>
      </c>
      <c r="YL48" s="127">
        <f>SUM(XI48:YK48)</f>
        <v/>
      </c>
      <c r="YM48" s="32">
        <f>YM47-YM26+YM45-YM46</f>
        <v/>
      </c>
      <c r="YN48" s="32">
        <f>YN47-YN26+YN45-YN46</f>
        <v/>
      </c>
      <c r="YO48" s="32">
        <f>YO47-YO26+YO45-YO46</f>
        <v/>
      </c>
      <c r="YP48" s="32">
        <f>YP47-YP26+YP45-YP46</f>
        <v/>
      </c>
      <c r="YQ48" s="32">
        <f>YQ47-YQ26+YQ45-YQ46</f>
        <v/>
      </c>
      <c r="YR48" s="32">
        <f>YR47-YR26+YR45-YR46</f>
        <v/>
      </c>
      <c r="YS48" s="32">
        <f>YS47-YS26+YS45-YS46</f>
        <v/>
      </c>
      <c r="YT48" s="32">
        <f>YT47-YT26+YT45-YT46</f>
        <v/>
      </c>
      <c r="YU48" s="32">
        <f>YU47-YU26+YU45-YU46</f>
        <v/>
      </c>
      <c r="YV48" s="32">
        <f>YV47-YV26+YV45-YV46</f>
        <v/>
      </c>
      <c r="YW48" s="32">
        <f>YW47-YW26+YW45-YW46</f>
        <v/>
      </c>
      <c r="YX48" s="32">
        <f>YX47-YX26+YX45-YX46</f>
        <v/>
      </c>
      <c r="YY48" s="32">
        <f>YY47-YY26+YY45-YY46</f>
        <v/>
      </c>
      <c r="YZ48" s="32">
        <f>YZ47-YZ26+YZ45-YZ46</f>
        <v/>
      </c>
      <c r="ZA48" s="32">
        <f>ZA47-ZA26+ZA45-ZA46</f>
        <v/>
      </c>
      <c r="ZB48" s="32">
        <f>ZB47-ZB26+ZB45-ZB46</f>
        <v/>
      </c>
      <c r="ZC48" s="32">
        <f>ZC47-ZC26+ZC45-ZC46</f>
        <v/>
      </c>
      <c r="ZD48" s="32">
        <f>ZD47-ZD26+ZD45-ZD46</f>
        <v/>
      </c>
      <c r="ZE48" s="32">
        <f>ZE47-ZE26+ZE45-ZE46</f>
        <v/>
      </c>
      <c r="ZF48" s="32">
        <f>ZF47-ZF26+ZF45-ZF46</f>
        <v/>
      </c>
      <c r="ZG48" s="32">
        <f>ZG47-ZG26+ZG45-ZG46</f>
        <v/>
      </c>
      <c r="ZH48" s="32">
        <f>ZH47-ZH26+ZH45-ZH46</f>
        <v/>
      </c>
      <c r="ZI48" s="32">
        <f>ZI47-ZI26+ZI45-ZI46</f>
        <v/>
      </c>
      <c r="ZJ48" s="32">
        <f>ZJ47-ZJ26+ZJ45-ZJ46</f>
        <v/>
      </c>
      <c r="ZK48" s="32">
        <f>ZK47-ZK26+ZK45-ZK46</f>
        <v/>
      </c>
      <c r="ZL48" s="32">
        <f>ZL47-ZL26+ZL45-ZL46</f>
        <v/>
      </c>
      <c r="ZM48" s="32">
        <f>ZM47-ZM26+ZM45-ZM46</f>
        <v/>
      </c>
      <c r="ZN48" s="32">
        <f>ZN47-ZN26+ZN45-ZN46</f>
        <v/>
      </c>
      <c r="ZO48" s="32">
        <f>ZO47-ZO26+ZO45-ZO46</f>
        <v/>
      </c>
      <c r="ZP48" s="32">
        <f>ZP47-ZP26+ZP45-ZP46</f>
        <v/>
      </c>
      <c r="ZQ48" s="32">
        <f>ZQ47-ZQ26+ZQ45-ZQ46</f>
        <v/>
      </c>
      <c r="ZR48" s="127">
        <f>SUM(YM48:ZQ48)</f>
        <v/>
      </c>
      <c r="ZS48" s="32">
        <f>ZS47-ZS26+ZS45-ZS46</f>
        <v/>
      </c>
      <c r="ZT48" s="32">
        <f>ZT47-ZT26+ZT45-ZT46</f>
        <v/>
      </c>
      <c r="ZU48" s="32">
        <f>ZU47-ZU26+ZU45-ZU46</f>
        <v/>
      </c>
      <c r="ZV48" s="32">
        <f>ZV47-ZV26+ZV45-ZV46</f>
        <v/>
      </c>
      <c r="ZW48" s="32">
        <f>ZW47-ZW26+ZW45-ZW46</f>
        <v/>
      </c>
      <c r="ZX48" s="32">
        <f>ZX47-ZX26+ZX45-ZX46</f>
        <v/>
      </c>
      <c r="ZY48" s="32">
        <f>ZY47-ZY26+ZY45-ZY46</f>
        <v/>
      </c>
      <c r="ZZ48" s="32">
        <f>ZZ47-ZZ26+ZZ45-ZZ46</f>
        <v/>
      </c>
      <c r="AAA48" s="32">
        <f>AAA47-AAA26+AAA45-AAA46</f>
        <v/>
      </c>
      <c r="AAB48" s="32">
        <f>AAB47-AAB26+AAB45-AAB46</f>
        <v/>
      </c>
      <c r="AAC48" s="32">
        <f>AAC47-AAC26+AAC45-AAC46</f>
        <v/>
      </c>
      <c r="AAD48" s="32">
        <f>AAD47-AAD26+AAD45-AAD46</f>
        <v/>
      </c>
      <c r="AAE48" s="32">
        <f>AAE47-AAE26+AAE45-AAE46</f>
        <v/>
      </c>
      <c r="AAF48" s="32">
        <f>AAF47-AAF26+AAF45-AAF46</f>
        <v/>
      </c>
      <c r="AAG48" s="32">
        <f>AAG47-AAG26+AAG45-AAG46</f>
        <v/>
      </c>
      <c r="AAH48" s="32">
        <f>AAH47-AAH26+AAH45-AAH46</f>
        <v/>
      </c>
      <c r="AAI48" s="32">
        <f>AAI47-AAI26+AAI45-AAI46</f>
        <v/>
      </c>
      <c r="AAJ48" s="32">
        <f>AAJ47-AAJ26+AAJ45-AAJ46</f>
        <v/>
      </c>
      <c r="AAK48" s="32">
        <f>AAK47-AAK26+AAK45-AAK46</f>
        <v/>
      </c>
      <c r="AAL48" s="32">
        <f>AAL47-AAL26+AAL45-AAL46</f>
        <v/>
      </c>
      <c r="AAM48" s="32">
        <f>AAM47-AAM26+AAM45-AAM46</f>
        <v/>
      </c>
      <c r="AAN48" s="32">
        <f>AAN47-AAN26+AAN45-AAN46</f>
        <v/>
      </c>
      <c r="AAO48" s="32">
        <f>AAO47-AAO26+AAO45-AAO46</f>
        <v/>
      </c>
      <c r="AAP48" s="32">
        <f>AAP47-AAP26+AAP45-AAP46</f>
        <v/>
      </c>
      <c r="AAQ48" s="32">
        <f>AAQ47-AAQ26+AAQ45-AAQ46</f>
        <v/>
      </c>
      <c r="AAR48" s="32">
        <f>AAR47-AAR26+AAR45-AAR46</f>
        <v/>
      </c>
      <c r="AAS48" s="32">
        <f>AAS47-AAS26+AAS45-AAS46</f>
        <v/>
      </c>
      <c r="AAT48" s="32">
        <f>AAT47-AAT26+AAT45-AAT46</f>
        <v/>
      </c>
      <c r="AAU48" s="32">
        <f>AAU47-AAU26+AAU45-AAU46</f>
        <v/>
      </c>
      <c r="AAV48" s="32">
        <f>AAV47-AAV26+AAV45-AAV46</f>
        <v/>
      </c>
      <c r="AAW48" s="127">
        <f>SUM(ZS48:AAV48)</f>
        <v/>
      </c>
      <c r="AAX48" s="32">
        <f>AAX47-AAX26+AAX45-AAX46</f>
        <v/>
      </c>
      <c r="AAY48" s="32">
        <f>AAY47-AAY26+AAY45-AAY46</f>
        <v/>
      </c>
      <c r="AAZ48" s="32">
        <f>AAZ47-AAZ26+AAZ45-AAZ46</f>
        <v/>
      </c>
      <c r="ABA48" s="32">
        <f>ABA47-ABA26+ABA45-ABA46</f>
        <v/>
      </c>
      <c r="ABB48" s="32">
        <f>ABB47-ABB26+ABB45-ABB46</f>
        <v/>
      </c>
      <c r="ABC48" s="32">
        <f>ABC47-ABC26+ABC45-ABC46</f>
        <v/>
      </c>
      <c r="ABD48" s="32">
        <f>ABD47-ABD26+ABD45-ABD46</f>
        <v/>
      </c>
      <c r="ABE48" s="32">
        <f>ABE47-ABE26+ABE45-ABE46</f>
        <v/>
      </c>
      <c r="ABF48" s="32">
        <f>ABF47-ABF26+ABF45-ABF46</f>
        <v/>
      </c>
      <c r="ABG48" s="32">
        <f>ABG47-ABG26+ABG45-ABG46</f>
        <v/>
      </c>
      <c r="ABH48" s="32">
        <f>ABH47-ABH26+ABH45-ABH46</f>
        <v/>
      </c>
      <c r="ABI48" s="32">
        <f>ABI47-ABI26+ABI45-ABI46</f>
        <v/>
      </c>
      <c r="ABJ48" s="32">
        <f>ABJ47-ABJ26+ABJ45-ABJ46</f>
        <v/>
      </c>
      <c r="ABK48" s="32">
        <f>ABK47-ABK26+ABK45-ABK46</f>
        <v/>
      </c>
      <c r="ABL48" s="32">
        <f>ABL47-ABL26+ABL45-ABL46</f>
        <v/>
      </c>
      <c r="ABM48" s="32">
        <f>ABM47-ABM26+ABM45-ABM46</f>
        <v/>
      </c>
      <c r="ABN48" s="32">
        <f>ABN47-ABN26+ABN45-ABN46</f>
        <v/>
      </c>
      <c r="ABO48" s="32">
        <f>ABO47-ABO26+ABO45-ABO46</f>
        <v/>
      </c>
      <c r="ABP48" s="32">
        <f>ABP47-ABP26+ABP45-ABP46</f>
        <v/>
      </c>
      <c r="ABQ48" s="32">
        <f>ABQ47-ABQ26+ABQ45-ABQ46</f>
        <v/>
      </c>
      <c r="ABR48" s="32">
        <f>ABR47-ABR26+ABR45-ABR46</f>
        <v/>
      </c>
      <c r="ABS48" s="32">
        <f>ABS47-ABS26+ABS45-ABS46</f>
        <v/>
      </c>
      <c r="ABT48" s="32">
        <f>ABT47-ABT26+ABT45-ABT46</f>
        <v/>
      </c>
      <c r="ABU48" s="32">
        <f>ABU47-ABU26+ABU45-ABU46</f>
        <v/>
      </c>
      <c r="ABV48" s="32">
        <f>ABV47-ABV26+ABV45-ABV46</f>
        <v/>
      </c>
      <c r="ABW48" s="32">
        <f>ABW47-ABW26+ABW45-ABW46</f>
        <v/>
      </c>
      <c r="ABX48" s="32">
        <f>ABX47-ABX26+ABX45-ABX46</f>
        <v/>
      </c>
      <c r="ABY48" s="32">
        <f>ABY47-ABY26+ABY45-ABY46</f>
        <v/>
      </c>
      <c r="ABZ48" s="32">
        <f>ABZ47-ABZ26+ABZ45-ABZ46</f>
        <v/>
      </c>
      <c r="ACA48" s="32">
        <f>ACA47-ACA26+ACA45-ACA46</f>
        <v/>
      </c>
      <c r="ACB48" s="32">
        <f>ACB47-ACB26+ACB45-ACB46</f>
        <v/>
      </c>
      <c r="ACC48" s="127">
        <f>SUM(AAX48:ACB48)</f>
        <v/>
      </c>
      <c r="ACD48" s="32">
        <f>ACD47-ACD26+ACD45-ACD46</f>
        <v/>
      </c>
      <c r="ACE48" s="32">
        <f>ACE47-ACE26+ACE45-ACE46</f>
        <v/>
      </c>
      <c r="ACF48" s="32">
        <f>ACF47-ACF26+ACF45-ACF46</f>
        <v/>
      </c>
      <c r="ACG48" s="32">
        <f>ACG47-ACG26+ACG45-ACG46</f>
        <v/>
      </c>
      <c r="ACH48" s="32">
        <f>ACH47-ACH26+ACH45-ACH46</f>
        <v/>
      </c>
      <c r="ACI48" s="32">
        <f>ACI47-ACI26+ACI45-ACI46</f>
        <v/>
      </c>
      <c r="ACJ48" s="32">
        <f>ACJ47-ACJ26+ACJ45-ACJ46</f>
        <v/>
      </c>
      <c r="ACK48" s="32">
        <f>ACK47-ACK26+ACK45-ACK46</f>
        <v/>
      </c>
      <c r="ACL48" s="32">
        <f>ACL47-ACL26+ACL45-ACL46</f>
        <v/>
      </c>
      <c r="ACM48" s="32">
        <f>ACM47-ACM26+ACM45-ACM46</f>
        <v/>
      </c>
      <c r="ACN48" s="32">
        <f>ACN47-ACN26+ACN45-ACN46</f>
        <v/>
      </c>
      <c r="ACO48" s="32">
        <f>ACO47-ACO26+ACO45-ACO46</f>
        <v/>
      </c>
      <c r="ACP48" s="32">
        <f>ACP47-ACP26+ACP45-ACP46</f>
        <v/>
      </c>
      <c r="ACQ48" s="32">
        <f>ACQ47-ACQ26+ACQ45-ACQ46</f>
        <v/>
      </c>
      <c r="ACR48" s="32">
        <f>ACR47-ACR26+ACR45-ACR46</f>
        <v/>
      </c>
      <c r="ACS48" s="32">
        <f>ACS47-ACS26+ACS45-ACS46</f>
        <v/>
      </c>
      <c r="ACT48" s="32">
        <f>ACT47-ACT26+ACT45-ACT46</f>
        <v/>
      </c>
      <c r="ACU48" s="32">
        <f>ACU47-ACU26+ACU45-ACU46</f>
        <v/>
      </c>
      <c r="ACV48" s="32">
        <f>ACV47-ACV26+ACV45-ACV46</f>
        <v/>
      </c>
      <c r="ACW48" s="32">
        <f>ACW47-ACW26+ACW45-ACW46</f>
        <v/>
      </c>
      <c r="ACX48" s="32">
        <f>ACX47-ACX26+ACX45-ACX46</f>
        <v/>
      </c>
      <c r="ACY48" s="32">
        <f>ACY47-ACY26+ACY45-ACY46</f>
        <v/>
      </c>
      <c r="ACZ48" s="32">
        <f>ACZ47-ACZ26+ACZ45-ACZ46</f>
        <v/>
      </c>
      <c r="ADA48" s="32">
        <f>ADA47-ADA26+ADA45-ADA46</f>
        <v/>
      </c>
      <c r="ADB48" s="32">
        <f>ADB47-ADB26+ADB45-ADB46</f>
        <v/>
      </c>
      <c r="ADC48" s="32">
        <f>ADC47-ADC26+ADC45-ADC46</f>
        <v/>
      </c>
      <c r="ADD48" s="32">
        <f>ADD47-ADD26+ADD45-ADD46</f>
        <v/>
      </c>
      <c r="ADE48" s="32">
        <f>ADE47-ADE26+ADE45-ADE46</f>
        <v/>
      </c>
      <c r="ADF48" s="32">
        <f>ADF47-ADF26+ADF45-ADF46</f>
        <v/>
      </c>
      <c r="ADG48" s="32">
        <f>ADG47-ADG26+ADG45-ADG46</f>
        <v/>
      </c>
      <c r="ADH48" s="32">
        <f>ADH47-ADH26+ADH45-ADH46</f>
        <v/>
      </c>
      <c r="ADI48" s="127">
        <f>SUM(ACD48:ADH48)</f>
        <v/>
      </c>
      <c r="ADJ48" s="32">
        <f>ADJ47-ADJ26+ADJ45-ADJ46</f>
        <v/>
      </c>
      <c r="ADK48" s="32">
        <f>ADK47-ADK26+ADK45-ADK46</f>
        <v/>
      </c>
      <c r="ADL48" s="32">
        <f>ADL47-ADL26+ADL45-ADL46</f>
        <v/>
      </c>
      <c r="ADM48" s="32">
        <f>ADM47-ADM26+ADM45-ADM46</f>
        <v/>
      </c>
      <c r="ADN48" s="32">
        <f>ADN47-ADN26+ADN45-ADN46</f>
        <v/>
      </c>
      <c r="ADO48" s="32">
        <f>ADO47-ADO26+ADO45-ADO46</f>
        <v/>
      </c>
      <c r="ADP48" s="32">
        <f>ADP47-ADP26+ADP45-ADP46</f>
        <v/>
      </c>
      <c r="ADQ48" s="32">
        <f>ADQ47-ADQ26+ADQ45-ADQ46</f>
        <v/>
      </c>
      <c r="ADR48" s="32">
        <f>ADR47-ADR26+ADR45-ADR46</f>
        <v/>
      </c>
      <c r="ADS48" s="32">
        <f>ADS47-ADS26+ADS45-ADS46</f>
        <v/>
      </c>
      <c r="ADT48" s="32">
        <f>ADT47-ADT26+ADT45-ADT46</f>
        <v/>
      </c>
      <c r="ADU48" s="32">
        <f>ADU47-ADU26+ADU45-ADU46</f>
        <v/>
      </c>
      <c r="ADV48" s="32">
        <f>ADV47-ADV26+ADV45-ADV46</f>
        <v/>
      </c>
      <c r="ADW48" s="32">
        <f>ADW47-ADW26+ADW45-ADW46</f>
        <v/>
      </c>
      <c r="ADX48" s="32">
        <f>ADX47-ADX26+ADX45-ADX46</f>
        <v/>
      </c>
      <c r="ADY48" s="32">
        <f>ADY47-ADY26+ADY45-ADY46</f>
        <v/>
      </c>
      <c r="ADZ48" s="32">
        <f>ADZ47-ADZ26+ADZ45-ADZ46</f>
        <v/>
      </c>
      <c r="AEA48" s="32">
        <f>AEA47-AEA26+AEA45-AEA46</f>
        <v/>
      </c>
      <c r="AEB48" s="32">
        <f>AEB47-AEB26+AEB45-AEB46</f>
        <v/>
      </c>
      <c r="AEC48" s="32">
        <f>AEC47-AEC26+AEC45-AEC46</f>
        <v/>
      </c>
      <c r="AED48" s="32">
        <f>AED47-AED26+AED45-AED46</f>
        <v/>
      </c>
      <c r="AEE48" s="32">
        <f>AEE47-AEE26+AEE45-AEE46</f>
        <v/>
      </c>
      <c r="AEF48" s="32">
        <f>AEF47-AEF26+AEF45-AEF46</f>
        <v/>
      </c>
      <c r="AEG48" s="32">
        <f>AEG47-AEG26+AEG45-AEG46</f>
        <v/>
      </c>
      <c r="AEH48" s="32">
        <f>AEH47-AEH26+AEH45-AEH46</f>
        <v/>
      </c>
      <c r="AEI48" s="32">
        <f>AEI47-AEI26+AEI45-AEI46</f>
        <v/>
      </c>
      <c r="AEJ48" s="32">
        <f>AEJ47-AEJ26+AEJ45-AEJ46</f>
        <v/>
      </c>
      <c r="AEK48" s="32">
        <f>AEK47-AEK26+AEK45-AEK46</f>
        <v/>
      </c>
      <c r="AEL48" s="32">
        <f>AEL47-AEL26+AEL45-AEL46</f>
        <v/>
      </c>
      <c r="AEM48" s="32">
        <f>AEM47-AEM26+AEM45-AEM46</f>
        <v/>
      </c>
      <c r="AEN48" s="127">
        <f>SUM(ADJ48:AEM48)</f>
        <v/>
      </c>
      <c r="AEO48" s="32">
        <f>AEO47-AEO26+AEO45-AEO46</f>
        <v/>
      </c>
      <c r="AEP48" s="32">
        <f>AEP47-AEP26+AEP45-AEP46</f>
        <v/>
      </c>
      <c r="AEQ48" s="32">
        <f>AEQ47-AEQ26+AEQ45-AEQ46</f>
        <v/>
      </c>
      <c r="AER48" s="32">
        <f>AER47-AER26+AER45-AER46</f>
        <v/>
      </c>
      <c r="AES48" s="32">
        <f>AES47-AES26+AES45-AES46</f>
        <v/>
      </c>
      <c r="AET48" s="32">
        <f>AET47-AET26+AET45-AET46</f>
        <v/>
      </c>
      <c r="AEU48" s="32">
        <f>AEU47-AEU26+AEU45-AEU46</f>
        <v/>
      </c>
      <c r="AEV48" s="32">
        <f>AEV47-AEV26+AEV45-AEV46</f>
        <v/>
      </c>
      <c r="AEW48" s="32">
        <f>AEW47-AEW26+AEW45-AEW46</f>
        <v/>
      </c>
      <c r="AEX48" s="32">
        <f>AEX47-AEX26+AEX45-AEX46</f>
        <v/>
      </c>
      <c r="AEY48" s="32">
        <f>AEY47-AEY26+AEY45-AEY46</f>
        <v/>
      </c>
      <c r="AEZ48" s="32">
        <f>AEZ47-AEZ26+AEZ45-AEZ46</f>
        <v/>
      </c>
      <c r="AFA48" s="32">
        <f>AFA47-AFA26+AFA45-AFA46</f>
        <v/>
      </c>
      <c r="AFB48" s="32">
        <f>AFB47-AFB26+AFB45-AFB46</f>
        <v/>
      </c>
      <c r="AFC48" s="32">
        <f>AFC47-AFC26+AFC45-AFC46</f>
        <v/>
      </c>
      <c r="AFD48" s="32">
        <f>AFD47-AFD26+AFD45-AFD46</f>
        <v/>
      </c>
      <c r="AFE48" s="32">
        <f>AFE47-AFE26+AFE45-AFE46</f>
        <v/>
      </c>
      <c r="AFF48" s="32">
        <f>AFF47-AFF26+AFF45-AFF46</f>
        <v/>
      </c>
      <c r="AFG48" s="32">
        <f>AFG47-AFG26+AFG45-AFG46</f>
        <v/>
      </c>
      <c r="AFH48" s="32">
        <f>AFH47-AFH26+AFH45-AFH46</f>
        <v/>
      </c>
      <c r="AFI48" s="32">
        <f>AFI47-AFI26+AFI45-AFI46</f>
        <v/>
      </c>
      <c r="AFJ48" s="32">
        <f>AFJ47-AFJ26+AFJ45-AFJ46</f>
        <v/>
      </c>
      <c r="AFK48" s="32">
        <f>AFK47-AFK26+AFK45-AFK46</f>
        <v/>
      </c>
      <c r="AFL48" s="32">
        <f>AFL47-AFL26+AFL45-AFL46</f>
        <v/>
      </c>
      <c r="AFM48" s="32">
        <f>AFM47-AFM26+AFM45-AFM46</f>
        <v/>
      </c>
      <c r="AFN48" s="32">
        <f>AFN47-AFN26+AFN45-AFN46</f>
        <v/>
      </c>
      <c r="AFO48" s="32">
        <f>AFO47-AFO26+AFO45-AFO46</f>
        <v/>
      </c>
      <c r="AFP48" s="32">
        <f>AFP47-AFP26+AFP45-AFP46</f>
        <v/>
      </c>
      <c r="AFQ48" s="32">
        <f>AFQ47-AFQ26+AFQ45-AFQ46</f>
        <v/>
      </c>
      <c r="AFR48" s="32">
        <f>AFR47-AFR26+AFR45-AFR46</f>
        <v/>
      </c>
      <c r="AFS48" s="32">
        <f>AFS47-AFS26+AFS45-AFS46</f>
        <v/>
      </c>
      <c r="AFT48" s="127">
        <f>SUM(AEO48:AFS48)</f>
        <v/>
      </c>
      <c r="AFU48" s="32">
        <f>AFU47-AFU26+AFU45-AFU46</f>
        <v/>
      </c>
      <c r="AFV48" s="32">
        <f>AFV47-AFV26+AFV45-AFV46</f>
        <v/>
      </c>
      <c r="AFW48" s="32">
        <f>AFW47-AFW26+AFW45-AFW46</f>
        <v/>
      </c>
      <c r="AFX48" s="32">
        <f>AFX47-AFX26+AFX45-AFX46</f>
        <v/>
      </c>
      <c r="AFY48" s="32">
        <f>AFY47-AFY26+AFY45-AFY46</f>
        <v/>
      </c>
      <c r="AFZ48" s="32">
        <f>AFZ47-AFZ26+AFZ45-AFZ46</f>
        <v/>
      </c>
      <c r="AGA48" s="32">
        <f>AGA47-AGA26+AGA45-AGA46</f>
        <v/>
      </c>
      <c r="AGB48" s="32">
        <f>AGB47-AGB26+AGB45-AGB46</f>
        <v/>
      </c>
      <c r="AGC48" s="32">
        <f>AGC47-AGC26+AGC45-AGC46</f>
        <v/>
      </c>
      <c r="AGD48" s="32">
        <f>AGD47-AGD26+AGD45-AGD46</f>
        <v/>
      </c>
      <c r="AGE48" s="32">
        <f>AGE47-AGE26+AGE45-AGE46</f>
        <v/>
      </c>
      <c r="AGF48" s="32">
        <f>AGF47-AGF26+AGF45-AGF46</f>
        <v/>
      </c>
      <c r="AGG48" s="32">
        <f>AGG47-AGG26+AGG45-AGG46</f>
        <v/>
      </c>
      <c r="AGH48" s="32">
        <f>AGH47-AGH26+AGH45-AGH46</f>
        <v/>
      </c>
      <c r="AGI48" s="32">
        <f>AGI47-AGI26+AGI45-AGI46</f>
        <v/>
      </c>
      <c r="AGJ48" s="32">
        <f>AGJ47-AGJ26+AGJ45-AGJ46</f>
        <v/>
      </c>
      <c r="AGK48" s="32">
        <f>AGK47-AGK26+AGK45-AGK46</f>
        <v/>
      </c>
      <c r="AGL48" s="32">
        <f>AGL47-AGL26+AGL45-AGL46</f>
        <v/>
      </c>
      <c r="AGM48" s="32">
        <f>AGM47-AGM26+AGM45-AGM46</f>
        <v/>
      </c>
      <c r="AGN48" s="32">
        <f>AGN47-AGN26+AGN45-AGN46</f>
        <v/>
      </c>
      <c r="AGO48" s="32">
        <f>AGO47-AGO26+AGO45-AGO46</f>
        <v/>
      </c>
      <c r="AGP48" s="32">
        <f>AGP47-AGP26+AGP45-AGP46</f>
        <v/>
      </c>
      <c r="AGQ48" s="32">
        <f>AGQ47-AGQ26+AGQ45-AGQ46</f>
        <v/>
      </c>
      <c r="AGR48" s="32">
        <f>AGR47-AGR26+AGR45-AGR46</f>
        <v/>
      </c>
      <c r="AGS48" s="32">
        <f>AGS47-AGS26+AGS45-AGS46</f>
        <v/>
      </c>
      <c r="AGT48" s="32">
        <f>AGT47-AGT26+AGT45-AGT46</f>
        <v/>
      </c>
      <c r="AGU48" s="32">
        <f>AGU47-AGU26+AGU45-AGU46</f>
        <v/>
      </c>
      <c r="AGV48" s="32">
        <f>AGV47-AGV26+AGV45-AGV46</f>
        <v/>
      </c>
      <c r="AGW48" s="32">
        <f>AGW47-AGW26+AGW45-AGW46</f>
        <v/>
      </c>
      <c r="AGX48" s="32">
        <f>AGX47-AGX26+AGX45-AGX46</f>
        <v/>
      </c>
      <c r="AGY48" s="127">
        <f>SUM(AFU48:AGX48)</f>
        <v/>
      </c>
      <c r="AGZ48" s="32">
        <f>AGZ47-AGZ26+AGZ45-AGZ46</f>
        <v/>
      </c>
      <c r="AHA48" s="32">
        <f>AHA47-AHA26+AHA45-AHA46</f>
        <v/>
      </c>
      <c r="AHB48" s="32">
        <f>AHB47-AHB26+AHB45-AHB46</f>
        <v/>
      </c>
      <c r="AHC48" s="32">
        <f>AHC47-AHC26+AHC45-AHC46</f>
        <v/>
      </c>
      <c r="AHD48" s="32">
        <f>AHD47-AHD26+AHD45-AHD46</f>
        <v/>
      </c>
      <c r="AHE48" s="32">
        <f>AHE47-AHE26+AHE45-AHE46</f>
        <v/>
      </c>
      <c r="AHF48" s="32">
        <f>AHF47-AHF26+AHF45-AHF46</f>
        <v/>
      </c>
      <c r="AHG48" s="32">
        <f>AHG47-AHG26+AHG45-AHG46</f>
        <v/>
      </c>
      <c r="AHH48" s="32">
        <f>AHH47-AHH26+AHH45-AHH46</f>
        <v/>
      </c>
      <c r="AHI48" s="32">
        <f>AHI47-AHI26+AHI45-AHI46</f>
        <v/>
      </c>
      <c r="AHJ48" s="32">
        <f>AHJ47-AHJ26+AHJ45-AHJ46</f>
        <v/>
      </c>
      <c r="AHK48" s="32">
        <f>AHK47-AHK26+AHK45-AHK46</f>
        <v/>
      </c>
      <c r="AHL48" s="32">
        <f>AHL47-AHL26+AHL45-AHL46</f>
        <v/>
      </c>
      <c r="AHM48" s="32">
        <f>AHM47-AHM26+AHM45-AHM46</f>
        <v/>
      </c>
      <c r="AHN48" s="32">
        <f>AHN47-AHN26+AHN45-AHN46</f>
        <v/>
      </c>
      <c r="AHO48" s="32">
        <f>AHO47-AHO26+AHO45-AHO46</f>
        <v/>
      </c>
      <c r="AHP48" s="32">
        <f>AHP47-AHP26+AHP45-AHP46</f>
        <v/>
      </c>
      <c r="AHQ48" s="32">
        <f>AHQ47-AHQ26+AHQ45-AHQ46</f>
        <v/>
      </c>
      <c r="AHR48" s="32">
        <f>AHR47-AHR26+AHR45-AHR46</f>
        <v/>
      </c>
      <c r="AHS48" s="32">
        <f>AHS47-AHS26+AHS45-AHS46</f>
        <v/>
      </c>
      <c r="AHT48" s="32">
        <f>AHT47-AHT26+AHT45-AHT46</f>
        <v/>
      </c>
      <c r="AHU48" s="32">
        <f>AHU47-AHU26+AHU45-AHU46</f>
        <v/>
      </c>
      <c r="AHV48" s="32">
        <f>AHV47-AHV26+AHV45-AHV46</f>
        <v/>
      </c>
      <c r="AHW48" s="32">
        <f>AHW47-AHW26+AHW45-AHW46</f>
        <v/>
      </c>
      <c r="AHX48" s="32">
        <f>AHX47-AHX26+AHX45-AHX46</f>
        <v/>
      </c>
      <c r="AHY48" s="32">
        <f>AHY47-AHY26+AHY45-AHY46</f>
        <v/>
      </c>
      <c r="AHZ48" s="32">
        <f>AHZ47-AHZ26+AHZ45-AHZ46</f>
        <v/>
      </c>
      <c r="AIA48" s="32">
        <f>AIA47-AIA26+AIA45-AIA46</f>
        <v/>
      </c>
      <c r="AIB48" s="32">
        <f>AIB47-AIB26+AIB45-AIB46</f>
        <v/>
      </c>
      <c r="AIC48" s="32">
        <f>AIC47-AIC26+AIC45-AIC46</f>
        <v/>
      </c>
      <c r="AID48" s="32">
        <f>AID47-AID26+AID45-AID46</f>
        <v/>
      </c>
      <c r="AIE48" s="127">
        <f>SUM(AGZ48:AID48)</f>
        <v/>
      </c>
      <c r="AIF48" s="32">
        <f>AIF47-AIF26+AIF45-AIF46</f>
        <v/>
      </c>
      <c r="AIG48" s="32">
        <f>AIG47-AIG26+AIG45-AIG46</f>
        <v/>
      </c>
      <c r="AIH48" s="32">
        <f>AIH47-AIH26+AIH45-AIH46</f>
        <v/>
      </c>
      <c r="AII48" s="32">
        <f>AII47-AII26+AII45-AII46</f>
        <v/>
      </c>
      <c r="AIJ48" s="32">
        <f>AIJ47-AIJ26+AIJ45-AIJ46</f>
        <v/>
      </c>
      <c r="AIK48" s="32">
        <f>AIK47-AIK26+AIK45-AIK46</f>
        <v/>
      </c>
      <c r="AIL48" s="32">
        <f>AIL47-AIL26+AIL45-AIL46</f>
        <v/>
      </c>
      <c r="AIM48" s="32">
        <f>AIM47-AIM26+AIM45-AIM46</f>
        <v/>
      </c>
      <c r="AIN48" s="32">
        <f>AIN47-AIN26+AIN45-AIN46</f>
        <v/>
      </c>
      <c r="AIO48" s="32">
        <f>AIO47-AIO26+AIO45-AIO46</f>
        <v/>
      </c>
      <c r="AIP48" s="32">
        <f>AIP47-AIP26+AIP45-AIP46</f>
        <v/>
      </c>
      <c r="AIQ48" s="32">
        <f>AIQ47-AIQ26+AIQ45-AIQ46</f>
        <v/>
      </c>
      <c r="AIR48" s="32">
        <f>AIR47-AIR26+AIR45-AIR46</f>
        <v/>
      </c>
      <c r="AIS48" s="32">
        <f>AIS47-AIS26+AIS45-AIS46</f>
        <v/>
      </c>
      <c r="AIT48" s="32">
        <f>AIT47-AIT26+AIT45-AIT46</f>
        <v/>
      </c>
      <c r="AIU48" s="32">
        <f>AIU47-AIU26+AIU45-AIU46</f>
        <v/>
      </c>
      <c r="AIV48" s="32">
        <f>AIV47-AIV26+AIV45-AIV46</f>
        <v/>
      </c>
      <c r="AIW48" s="32">
        <f>AIW47-AIW26+AIW45-AIW46</f>
        <v/>
      </c>
      <c r="AIX48" s="32">
        <f>AIX47-AIX26+AIX45-AIX46</f>
        <v/>
      </c>
      <c r="AIY48" s="32">
        <f>AIY47-AIY26+AIY45-AIY46</f>
        <v/>
      </c>
      <c r="AIZ48" s="32">
        <f>AIZ47-AIZ26+AIZ45-AIZ46</f>
        <v/>
      </c>
      <c r="AJA48" s="32">
        <f>AJA47-AJA26+AJA45-AJA46</f>
        <v/>
      </c>
      <c r="AJB48" s="32">
        <f>AJB47-AJB26+AJB45-AJB46</f>
        <v/>
      </c>
      <c r="AJC48" s="32">
        <f>AJC47-AJC26+AJC45-AJC46</f>
        <v/>
      </c>
      <c r="AJD48" s="32">
        <f>AJD47-AJD26+AJD45-AJD46</f>
        <v/>
      </c>
      <c r="AJE48" s="32">
        <f>AJE47-AJE26+AJE45-AJE46</f>
        <v/>
      </c>
      <c r="AJF48" s="32">
        <f>AJF47-AJF26+AJF45-AJF46</f>
        <v/>
      </c>
      <c r="AJG48" s="32">
        <f>AJG47-AJG26+AJG45-AJG46</f>
        <v/>
      </c>
      <c r="AJH48" s="32">
        <f>AJH47-AJH26+AJH45-AJH46</f>
        <v/>
      </c>
      <c r="AJI48" s="32">
        <f>AJI47-AJI26+AJI45-AJI46</f>
        <v/>
      </c>
      <c r="AJJ48" s="32">
        <f>AJJ47-AJJ26+AJJ45-AJJ46</f>
        <v/>
      </c>
      <c r="AJK48" s="127">
        <f>SUM(AIF48:AJJ48)</f>
        <v/>
      </c>
      <c r="AJL48" s="32">
        <f>AJL47-AJL26+AJL45-AJL46</f>
        <v/>
      </c>
      <c r="AJM48" s="32">
        <f>AJM47-AJM26+AJM45-AJM46</f>
        <v/>
      </c>
      <c r="AJN48" s="32">
        <f>AJN47-AJN26+AJN45-AJN46</f>
        <v/>
      </c>
      <c r="AJO48" s="32">
        <f>AJO47-AJO26+AJO45-AJO46</f>
        <v/>
      </c>
      <c r="AJP48" s="32">
        <f>AJP47-AJP26+AJP45-AJP46</f>
        <v/>
      </c>
      <c r="AJQ48" s="32">
        <f>AJQ47-AJQ26+AJQ45-AJQ46</f>
        <v/>
      </c>
      <c r="AJR48" s="32">
        <f>AJR47-AJR26+AJR45-AJR46</f>
        <v/>
      </c>
      <c r="AJS48" s="32">
        <f>AJS47-AJS26+AJS45-AJS46</f>
        <v/>
      </c>
      <c r="AJT48" s="32">
        <f>AJT47-AJT26+AJT45-AJT46</f>
        <v/>
      </c>
      <c r="AJU48" s="32">
        <f>AJU47-AJU26+AJU45-AJU46</f>
        <v/>
      </c>
      <c r="AJV48" s="32">
        <f>AJV47-AJV26+AJV45-AJV46</f>
        <v/>
      </c>
      <c r="AJW48" s="32">
        <f>AJW47-AJW26+AJW45-AJW46</f>
        <v/>
      </c>
      <c r="AJX48" s="32">
        <f>AJX47-AJX26+AJX45-AJX46</f>
        <v/>
      </c>
      <c r="AJY48" s="32">
        <f>AJY47-AJY26+AJY45-AJY46</f>
        <v/>
      </c>
      <c r="AJZ48" s="32">
        <f>AJZ47-AJZ26+AJZ45-AJZ46</f>
        <v/>
      </c>
      <c r="AKA48" s="32">
        <f>AKA47-AKA26+AKA45-AKA46</f>
        <v/>
      </c>
      <c r="AKB48" s="32">
        <f>AKB47-AKB26+AKB45-AKB46</f>
        <v/>
      </c>
      <c r="AKC48" s="32">
        <f>AKC47-AKC26+AKC45-AKC46</f>
        <v/>
      </c>
      <c r="AKD48" s="32">
        <f>AKD47-AKD26+AKD45-AKD46</f>
        <v/>
      </c>
      <c r="AKE48" s="32">
        <f>AKE47-AKE26+AKE45-AKE46</f>
        <v/>
      </c>
      <c r="AKF48" s="32">
        <f>AKF47-AKF26+AKF45-AKF46</f>
        <v/>
      </c>
      <c r="AKG48" s="32">
        <f>AKG47-AKG26+AKG45-AKG46</f>
        <v/>
      </c>
      <c r="AKH48" s="32">
        <f>AKH47-AKH26+AKH45-AKH46</f>
        <v/>
      </c>
      <c r="AKI48" s="32">
        <f>AKI47-AKI26+AKI45-AKI46</f>
        <v/>
      </c>
      <c r="AKJ48" s="32">
        <f>AKJ47-AKJ26+AKJ45-AKJ46</f>
        <v/>
      </c>
      <c r="AKK48" s="32">
        <f>AKK47-AKK26+AKK45-AKK46</f>
        <v/>
      </c>
      <c r="AKL48" s="32">
        <f>AKL47-AKL26+AKL45-AKL46</f>
        <v/>
      </c>
      <c r="AKM48" s="32">
        <f>AKM47-AKM26+AKM45-AKM46</f>
        <v/>
      </c>
      <c r="AKN48" s="127">
        <f>SUM(AJL48:AKM48)</f>
        <v/>
      </c>
      <c r="AKO48" s="32">
        <f>AKO47-AKO26+AKO45-AKO46</f>
        <v/>
      </c>
      <c r="AKP48" s="32">
        <f>AKP47-AKP26+AKP45-AKP46</f>
        <v/>
      </c>
      <c r="AKQ48" s="32">
        <f>AKQ47-AKQ26+AKQ45-AKQ46</f>
        <v/>
      </c>
      <c r="AKR48" s="32">
        <f>AKR47-AKR26+AKR45-AKR46</f>
        <v/>
      </c>
      <c r="AKS48" s="32">
        <f>AKS47-AKS26+AKS45-AKS46</f>
        <v/>
      </c>
      <c r="AKT48" s="32">
        <f>AKT47-AKT26+AKT45-AKT46</f>
        <v/>
      </c>
      <c r="AKU48" s="32">
        <f>AKU47-AKU26+AKU45-AKU46</f>
        <v/>
      </c>
      <c r="AKV48" s="32">
        <f>AKV47-AKV26+AKV45-AKV46</f>
        <v/>
      </c>
      <c r="AKW48" s="32">
        <f>AKW47-AKW26+AKW45-AKW46</f>
        <v/>
      </c>
      <c r="AKX48" s="32">
        <f>AKX47-AKX26+AKX45-AKX46</f>
        <v/>
      </c>
      <c r="AKY48" s="32">
        <f>AKY47-AKY26+AKY45-AKY46</f>
        <v/>
      </c>
      <c r="AKZ48" s="32">
        <f>AKZ47-AKZ26+AKZ45-AKZ46</f>
        <v/>
      </c>
      <c r="ALA48" s="32">
        <f>ALA47-ALA26+ALA45-ALA46</f>
        <v/>
      </c>
      <c r="ALB48" s="32">
        <f>ALB47-ALB26+ALB45-ALB46</f>
        <v/>
      </c>
      <c r="ALC48" s="32">
        <f>ALC47-ALC26+ALC45-ALC46</f>
        <v/>
      </c>
      <c r="ALD48" s="32">
        <f>ALD47-ALD26+ALD45-ALD46</f>
        <v/>
      </c>
      <c r="ALE48" s="32">
        <f>ALE47-ALE26+ALE45-ALE46</f>
        <v/>
      </c>
      <c r="ALF48" s="32">
        <f>ALF47-ALF26+ALF45-ALF46</f>
        <v/>
      </c>
      <c r="ALG48" s="32">
        <f>ALG47-ALG26+ALG45-ALG46</f>
        <v/>
      </c>
      <c r="ALH48" s="32">
        <f>ALH47-ALH26+ALH45-ALH46</f>
        <v/>
      </c>
      <c r="ALI48" s="32">
        <f>ALI47-ALI26+ALI45-ALI46</f>
        <v/>
      </c>
      <c r="ALJ48" s="32">
        <f>ALJ47-ALJ26+ALJ45-ALJ46</f>
        <v/>
      </c>
      <c r="ALK48" s="32">
        <f>ALK47-ALK26+ALK45-ALK46</f>
        <v/>
      </c>
      <c r="ALL48" s="32">
        <f>ALL47-ALL26+ALL45-ALL46</f>
        <v/>
      </c>
      <c r="ALM48" s="32">
        <f>ALM47-ALM26+ALM45-ALM46</f>
        <v/>
      </c>
      <c r="ALN48" s="32">
        <f>ALN47-ALN26+ALN45-ALN46</f>
        <v/>
      </c>
      <c r="ALO48" s="32">
        <f>ALO47-ALO26+ALO45-ALO46</f>
        <v/>
      </c>
      <c r="ALP48" s="32">
        <f>ALP47-ALP26+ALP45-ALP46</f>
        <v/>
      </c>
      <c r="ALQ48" s="32">
        <f>ALQ47-ALQ26+ALQ45-ALQ46</f>
        <v/>
      </c>
      <c r="ALR48" s="32">
        <f>ALR47-ALR26+ALR45-ALR46</f>
        <v/>
      </c>
      <c r="ALS48" s="32">
        <f>ALS47-ALS26+ALS45-ALS46</f>
        <v/>
      </c>
      <c r="ALT48" s="127">
        <f>SUM(AKO48:ALS48)</f>
        <v/>
      </c>
      <c r="ALU48" s="32">
        <f>ALU47-ALU26+ALU45-ALU46</f>
        <v/>
      </c>
      <c r="ALV48" s="32">
        <f>ALV47-ALV26+ALV45-ALV46</f>
        <v/>
      </c>
      <c r="ALW48" s="32">
        <f>ALW47-ALW26+ALW45-ALW46</f>
        <v/>
      </c>
      <c r="ALX48" s="32">
        <f>ALX47-ALX26+ALX45-ALX46</f>
        <v/>
      </c>
      <c r="ALY48" s="32">
        <f>ALY47-ALY26+ALY45-ALY46</f>
        <v/>
      </c>
      <c r="ALZ48" s="32">
        <f>ALZ47-ALZ26+ALZ45-ALZ46</f>
        <v/>
      </c>
      <c r="AMA48" s="32">
        <f>AMA47-AMA26+AMA45-AMA46</f>
        <v/>
      </c>
      <c r="AMB48" s="32">
        <f>AMB47-AMB26+AMB45-AMB46</f>
        <v/>
      </c>
      <c r="AMC48" s="32">
        <f>AMC47-AMC26+AMC45-AMC46</f>
        <v/>
      </c>
      <c r="AMD48" s="32">
        <f>AMD47-AMD26+AMD45-AMD46</f>
        <v/>
      </c>
      <c r="AME48" s="32">
        <f>AME47-AME26+AME45-AME46</f>
        <v/>
      </c>
      <c r="AMF48" s="32">
        <f>AMF47-AMF26+AMF45-AMF46</f>
        <v/>
      </c>
      <c r="AMG48" s="32">
        <f>AMG47-AMG26+AMG45-AMG46</f>
        <v/>
      </c>
      <c r="AMH48" s="32">
        <f>AMH47-AMH26+AMH45-AMH46</f>
        <v/>
      </c>
      <c r="AMI48" s="32">
        <f>AMI47-AMI26+AMI45-AMI46</f>
        <v/>
      </c>
      <c r="AMJ48" s="32">
        <f>AMJ47-AMJ26+AMJ45-AMJ46</f>
        <v/>
      </c>
      <c r="AMK48" s="32">
        <f>AMK47-AMK26+AMK45-AMK46</f>
        <v/>
      </c>
      <c r="AML48" s="32">
        <f>AML47-AML26+AML45-AML46</f>
        <v/>
      </c>
      <c r="AMM48" s="32">
        <f>AMM47-AMM26+AMM45-AMM46</f>
        <v/>
      </c>
      <c r="AMN48" s="32">
        <f>AMN47-AMN26+AMN45-AMN46</f>
        <v/>
      </c>
      <c r="AMO48" s="32">
        <f>AMO47-AMO26+AMO45-AMO46</f>
        <v/>
      </c>
      <c r="AMP48" s="32">
        <f>AMP47-AMP26+AMP45-AMP46</f>
        <v/>
      </c>
      <c r="AMQ48" s="32">
        <f>AMQ47-AMQ26+AMQ45-AMQ46</f>
        <v/>
      </c>
      <c r="AMR48" s="32">
        <f>AMR47-AMR26+AMR45-AMR46</f>
        <v/>
      </c>
      <c r="AMS48" s="32">
        <f>AMS47-AMS26+AMS45-AMS46</f>
        <v/>
      </c>
      <c r="AMT48" s="32">
        <f>AMT47-AMT26+AMT45-AMT46</f>
        <v/>
      </c>
      <c r="AMU48" s="32">
        <f>AMU47-AMU26+AMU45-AMU46</f>
        <v/>
      </c>
      <c r="AMV48" s="32">
        <f>AMV47-AMV26+AMV45-AMV46</f>
        <v/>
      </c>
      <c r="AMW48" s="32">
        <f>AMW47-AMW26+AMW45-AMW46</f>
        <v/>
      </c>
      <c r="AMX48" s="32">
        <f>AMX47-AMX26+AMX45-AMX46</f>
        <v/>
      </c>
      <c r="AMY48" s="127">
        <f>SUM(ALU48:AMX48)</f>
        <v/>
      </c>
      <c r="AMZ48" s="32">
        <f>AMZ47-AMZ26+AMZ45-AMZ46</f>
        <v/>
      </c>
      <c r="ANA48" s="32">
        <f>ANA47-ANA26+ANA45-ANA46</f>
        <v/>
      </c>
      <c r="ANB48" s="32">
        <f>ANB47-ANB26+ANB45-ANB46</f>
        <v/>
      </c>
      <c r="ANC48" s="32">
        <f>ANC47-ANC26+ANC45-ANC46</f>
        <v/>
      </c>
      <c r="AND48" s="32">
        <f>AND47-AND26+AND45-AND46</f>
        <v/>
      </c>
      <c r="ANE48" s="32">
        <f>ANE47-ANE26+ANE45-ANE46</f>
        <v/>
      </c>
      <c r="ANF48" s="32">
        <f>ANF47-ANF26+ANF45-ANF46</f>
        <v/>
      </c>
      <c r="ANG48" s="32">
        <f>ANG47-ANG26+ANG45-ANG46</f>
        <v/>
      </c>
      <c r="ANH48" s="32">
        <f>ANH47-ANH26+ANH45-ANH46</f>
        <v/>
      </c>
      <c r="ANI48" s="32">
        <f>ANI47-ANI26+ANI45-ANI46</f>
        <v/>
      </c>
      <c r="ANJ48" s="32">
        <f>ANJ47-ANJ26+ANJ45-ANJ46</f>
        <v/>
      </c>
      <c r="ANK48" s="32">
        <f>ANK47-ANK26+ANK45-ANK46</f>
        <v/>
      </c>
      <c r="ANL48" s="32">
        <f>ANL47-ANL26+ANL45-ANL46</f>
        <v/>
      </c>
      <c r="ANM48" s="32">
        <f>ANM47-ANM26+ANM45-ANM46</f>
        <v/>
      </c>
      <c r="ANN48" s="32">
        <f>ANN47-ANN26+ANN45-ANN46</f>
        <v/>
      </c>
      <c r="ANO48" s="32">
        <f>ANO47-ANO26+ANO45-ANO46</f>
        <v/>
      </c>
      <c r="ANP48" s="32">
        <f>ANP47-ANP26+ANP45-ANP46</f>
        <v/>
      </c>
      <c r="ANQ48" s="32">
        <f>ANQ47-ANQ26+ANQ45-ANQ46</f>
        <v/>
      </c>
      <c r="ANR48" s="32">
        <f>ANR47-ANR26+ANR45-ANR46</f>
        <v/>
      </c>
      <c r="ANS48" s="32">
        <f>ANS47-ANS26+ANS45-ANS46</f>
        <v/>
      </c>
      <c r="ANT48" s="32">
        <f>ANT47-ANT26+ANT45-ANT46</f>
        <v/>
      </c>
      <c r="ANU48" s="32">
        <f>ANU47-ANU26+ANU45-ANU46</f>
        <v/>
      </c>
      <c r="ANV48" s="32">
        <f>ANV47-ANV26+ANV45-ANV46</f>
        <v/>
      </c>
      <c r="ANW48" s="32">
        <f>ANW47-ANW26+ANW45-ANW46</f>
        <v/>
      </c>
      <c r="ANX48" s="32">
        <f>ANX47-ANX26+ANX45-ANX46</f>
        <v/>
      </c>
      <c r="ANY48" s="32">
        <f>ANY47-ANY26+ANY45-ANY46</f>
        <v/>
      </c>
      <c r="ANZ48" s="32">
        <f>ANZ47-ANZ26+ANZ45-ANZ46</f>
        <v/>
      </c>
      <c r="AOA48" s="32">
        <f>AOA47-AOA26+AOA45-AOA46</f>
        <v/>
      </c>
      <c r="AOB48" s="32">
        <f>AOB47-AOB26+AOB45-AOB46</f>
        <v/>
      </c>
      <c r="AOC48" s="32">
        <f>AOC47-AOC26+AOC45-AOC46</f>
        <v/>
      </c>
    </row>
    <row r="49">
      <c r="GJ49" s="126" t="n"/>
      <c r="IT49" s="127">
        <f>SUM(HQ49:IS49)</f>
        <v/>
      </c>
    </row>
    <row r="50">
      <c r="C50" s="1" t="n"/>
      <c r="GJ50" s="126" t="n"/>
      <c r="IT50" s="127">
        <f>SUM(HQ50:IS50)</f>
        <v/>
      </c>
    </row>
    <row r="51">
      <c r="C51" s="1" t="n"/>
      <c r="BK51">
        <f>3831*40</f>
        <v/>
      </c>
      <c r="GJ51" s="126" t="n"/>
      <c r="IT51" s="127">
        <f>SUM(HQ51:IS51)</f>
        <v/>
      </c>
      <c r="LA51">
        <f>4730+120</f>
        <v/>
      </c>
    </row>
    <row r="52">
      <c r="AS52">
        <f>4850-4690</f>
        <v/>
      </c>
      <c r="AV52" t="n">
        <v>962.148</v>
      </c>
      <c r="GJ52" s="126" t="n"/>
      <c r="IT52" s="127">
        <f>SUM(HQ52:IS52)</f>
        <v/>
      </c>
      <c r="OJ52" t="n">
        <v>784</v>
      </c>
    </row>
    <row r="53">
      <c r="AS53">
        <f>4690-4850</f>
        <v/>
      </c>
      <c r="AV53" t="n">
        <v>2037.784</v>
      </c>
      <c r="BN53" t="n">
        <v>14223883</v>
      </c>
      <c r="GJ53" s="126" t="n"/>
      <c r="IT53" s="127">
        <f>SUM(HQ53:IS53)</f>
        <v/>
      </c>
      <c r="OJ53" t="n">
        <v>40</v>
      </c>
      <c r="AMZ53">
        <f>572.863*200</f>
        <v/>
      </c>
      <c r="ANN53" t="n">
        <v>1701.333</v>
      </c>
      <c r="ANO53" t="n">
        <v>717.184</v>
      </c>
      <c r="ANU53" t="n">
        <v>1104.549</v>
      </c>
    </row>
    <row r="54">
      <c r="Z54" t="n">
        <v>1035.286</v>
      </c>
      <c r="AV54">
        <f>AV53-AV52</f>
        <v/>
      </c>
      <c r="BN54" t="n">
        <v>2072500</v>
      </c>
      <c r="GJ54" s="126" t="n"/>
      <c r="IT54" s="127">
        <f>SUM(HQ54:IS54)</f>
        <v/>
      </c>
      <c r="OJ54">
        <f>OJ52*OJ53</f>
        <v/>
      </c>
      <c r="ADZ54" t="n">
        <v>7223</v>
      </c>
      <c r="AMZ54">
        <f>111.498*300</f>
        <v/>
      </c>
      <c r="ANN54" t="n">
        <v>981.592</v>
      </c>
      <c r="ANO54" t="n">
        <v>511.551</v>
      </c>
      <c r="ANU54" t="n">
        <v>959.662</v>
      </c>
      <c r="ANW54" t="n">
        <v>6449</v>
      </c>
    </row>
    <row r="55">
      <c r="Z55" t="n">
        <v>2097.943</v>
      </c>
      <c r="AN55" t="n">
        <v>2546.772</v>
      </c>
      <c r="AQ55">
        <f>1534.672*100</f>
        <v/>
      </c>
      <c r="AR55">
        <f>816.262*160</f>
        <v/>
      </c>
      <c r="AS55">
        <f>SUM(AQ55:AR55)</f>
        <v/>
      </c>
      <c r="AV55" t="n">
        <v>60</v>
      </c>
      <c r="AY55" t="n">
        <v>659.997</v>
      </c>
      <c r="BN55">
        <f>BN53-BN54</f>
        <v/>
      </c>
      <c r="CR55">
        <f>5390-5439</f>
        <v/>
      </c>
      <c r="DH55">
        <f>192.814*111</f>
        <v/>
      </c>
      <c r="DK55">
        <f>5550-5439</f>
        <v/>
      </c>
      <c r="GJ55" s="126" t="n"/>
      <c r="IT55" s="127">
        <f>SUM(HQ55:IS55)</f>
        <v/>
      </c>
      <c r="KH55" t="n">
        <v>200000</v>
      </c>
      <c r="YU55" t="n">
        <v>1413885.612</v>
      </c>
      <c r="YV55" t="n">
        <v>1414650.052</v>
      </c>
      <c r="YW55">
        <f>YV55-YU55</f>
        <v/>
      </c>
      <c r="YY55" t="n">
        <v>687.28</v>
      </c>
      <c r="ADS55" t="n">
        <v>1900</v>
      </c>
      <c r="ADZ55" t="n">
        <v>10908</v>
      </c>
      <c r="AMZ55">
        <f>SUM(AMZ53:AMZ54)</f>
        <v/>
      </c>
      <c r="ANN55">
        <f>ANN53-ANN54</f>
        <v/>
      </c>
      <c r="ANO55">
        <f>ANO53-ANO54</f>
        <v/>
      </c>
      <c r="ANU55">
        <f>ANU53-ANU54</f>
        <v/>
      </c>
      <c r="ANW55" t="n">
        <v>5900</v>
      </c>
      <c r="ANZ55" t="n">
        <v>1260.003</v>
      </c>
      <c r="AOA55" t="n">
        <v>794.991</v>
      </c>
    </row>
    <row r="56">
      <c r="Z56">
        <f>Z55-Z54</f>
        <v/>
      </c>
      <c r="AN56" t="n">
        <v>1279.035</v>
      </c>
      <c r="AV56">
        <f>AV54*AV55</f>
        <v/>
      </c>
      <c r="AY56" t="n">
        <v>1651.116</v>
      </c>
      <c r="BN56" t="n">
        <v>99000</v>
      </c>
      <c r="CR56" t="n">
        <v>425.43</v>
      </c>
      <c r="DH56">
        <f>75.954*40</f>
        <v/>
      </c>
      <c r="GJ56" s="126" t="n"/>
      <c r="IT56" s="127">
        <f>SUM(HO56:IS56)</f>
        <v/>
      </c>
      <c r="JB56" t="n">
        <v>20000</v>
      </c>
      <c r="JC56" t="n">
        <v>9</v>
      </c>
      <c r="JD56">
        <f>JC56*JB56</f>
        <v/>
      </c>
      <c r="JF56" t="n">
        <v>250000</v>
      </c>
      <c r="KH56" t="n">
        <v>152000</v>
      </c>
      <c r="YU56" t="n">
        <v>549677.069</v>
      </c>
      <c r="YV56" t="n">
        <v>550102.21</v>
      </c>
      <c r="YW56">
        <f>YV56-YU56</f>
        <v/>
      </c>
      <c r="ADS56" t="n">
        <v>10000</v>
      </c>
      <c r="ADU56" t="n">
        <v>135000</v>
      </c>
      <c r="ADW56" t="n">
        <v>35400</v>
      </c>
      <c r="ADZ56">
        <f>SUM(ADZ54:ADZ55)</f>
        <v/>
      </c>
      <c r="ANN56" t="n">
        <v>551</v>
      </c>
      <c r="ANO56" t="n">
        <v>271</v>
      </c>
      <c r="ANU56" t="n">
        <v>549</v>
      </c>
      <c r="ANW56">
        <f>ANW54-ANW55</f>
        <v/>
      </c>
      <c r="ANZ56" t="n">
        <v>531.885</v>
      </c>
      <c r="AOA56" t="n">
        <v>390.334</v>
      </c>
    </row>
    <row r="57">
      <c r="Z57" t="n">
        <v>40</v>
      </c>
      <c r="AN57">
        <f>AN55-AN56</f>
        <v/>
      </c>
      <c r="AO57">
        <f>AN57*90</f>
        <v/>
      </c>
      <c r="AT57">
        <f>5350-5290</f>
        <v/>
      </c>
      <c r="AX57">
        <f>5290-5350</f>
        <v/>
      </c>
      <c r="AY57">
        <f>AY56-AY55</f>
        <v/>
      </c>
      <c r="AZ57">
        <f>AY57*60</f>
        <v/>
      </c>
      <c r="BN57">
        <f>BN55-BN56</f>
        <v/>
      </c>
      <c r="CR57">
        <f>CR56*49</f>
        <v/>
      </c>
      <c r="DH57">
        <f>SUM(DH55:DH56)</f>
        <v/>
      </c>
      <c r="GJ57" s="126" t="n"/>
      <c r="IT57" s="127">
        <f>SUM(HQ57:IS57)</f>
        <v/>
      </c>
      <c r="JB57" t="n">
        <v>30000</v>
      </c>
      <c r="JC57" t="n">
        <v>2</v>
      </c>
      <c r="JD57">
        <f>JC57*JB57</f>
        <v/>
      </c>
      <c r="KH57" t="n">
        <v>20000</v>
      </c>
      <c r="YU57" t="n">
        <v>1137938.283</v>
      </c>
      <c r="YV57" t="n">
        <v>1138732.661</v>
      </c>
      <c r="YW57">
        <f>YV57-YU57</f>
        <v/>
      </c>
      <c r="YY57" t="n">
        <v>7000</v>
      </c>
      <c r="ADS57" t="n">
        <v>6000</v>
      </c>
      <c r="ADU57" t="n">
        <v>41400</v>
      </c>
      <c r="ADW57" t="n">
        <v>254737</v>
      </c>
      <c r="ADZ57" t="n">
        <v>93</v>
      </c>
      <c r="ANN57">
        <f>ANN55*ANN56</f>
        <v/>
      </c>
      <c r="ANO57">
        <f>ANO56*ANO55</f>
        <v/>
      </c>
      <c r="ANP57">
        <f>SUM(ANN57:ANO57)</f>
        <v/>
      </c>
      <c r="ANU57">
        <f>ANU56*ANU55</f>
        <v/>
      </c>
      <c r="ANZ57">
        <f>ANZ55-ANZ56</f>
        <v/>
      </c>
      <c r="AOA57">
        <f>AOA55-AOA56</f>
        <v/>
      </c>
    </row>
    <row r="58">
      <c r="Z58">
        <f>Z56*Z57</f>
        <v/>
      </c>
      <c r="BN58" t="n">
        <v>164500</v>
      </c>
      <c r="GJ58" s="126" t="n"/>
      <c r="IT58" s="127">
        <f>SUM(HQ58:IS58)</f>
        <v/>
      </c>
      <c r="JB58" t="n">
        <v>20000</v>
      </c>
      <c r="JC58" t="n">
        <v>1</v>
      </c>
      <c r="JD58">
        <f>JC58*JB58</f>
        <v/>
      </c>
      <c r="KH58" t="n">
        <v>320000</v>
      </c>
      <c r="YU58" t="n">
        <v>287174.498</v>
      </c>
      <c r="YV58" t="n">
        <v>287334.481</v>
      </c>
      <c r="YW58">
        <f>YV58-YU58</f>
        <v/>
      </c>
      <c r="YY58" t="n">
        <v>2143</v>
      </c>
      <c r="ADS58" t="n">
        <v>21000</v>
      </c>
      <c r="ADU58">
        <f>ADU56-ADU57</f>
        <v/>
      </c>
      <c r="ADW58">
        <f>SUM(ADW56:ADW57)</f>
        <v/>
      </c>
      <c r="ADZ58">
        <f>ADZ56-ADZ57</f>
        <v/>
      </c>
      <c r="ANP58" t="n">
        <v>447000</v>
      </c>
      <c r="ANZ58" t="n">
        <v>140</v>
      </c>
      <c r="AOA58" t="n">
        <v>41</v>
      </c>
    </row>
    <row r="59">
      <c r="BN59" s="83">
        <f>SUM(BN57:BN58)</f>
        <v/>
      </c>
      <c r="GJ59" s="126" t="n"/>
      <c r="IT59" s="127">
        <f>SUM(HQ59:IS59)</f>
        <v/>
      </c>
      <c r="KH59" t="n">
        <v>120000</v>
      </c>
      <c r="YW59">
        <f>SUM(YW55:YW58)</f>
        <v/>
      </c>
      <c r="YY59">
        <f>YY57-YY58</f>
        <v/>
      </c>
      <c r="YZ59" t="n">
        <v>7000</v>
      </c>
      <c r="ZA59">
        <f>YY59+YZ59</f>
        <v/>
      </c>
      <c r="ADS59" t="n">
        <v>2500</v>
      </c>
      <c r="ADU59" t="n">
        <v>483300</v>
      </c>
      <c r="ADW59" t="n">
        <v>35400</v>
      </c>
      <c r="ANP59">
        <f>ANP58-ANP57</f>
        <v/>
      </c>
      <c r="ANZ59">
        <f>ANZ57*ANZ58</f>
        <v/>
      </c>
      <c r="AOA59">
        <f>AOA57*AOA58</f>
        <v/>
      </c>
      <c r="AOB59">
        <f>SUM(ANZ59:AOA59)</f>
        <v/>
      </c>
    </row>
    <row r="60">
      <c r="AW60" t="n">
        <v>533.8869999999999</v>
      </c>
      <c r="EX60" t="n">
        <v>10733000</v>
      </c>
      <c r="GJ60" s="126" t="n"/>
      <c r="IT60" s="127">
        <f>SUM(HQ60:IS60)</f>
        <v/>
      </c>
      <c r="KH60" t="n">
        <v>18000</v>
      </c>
      <c r="ZA60" t="n">
        <v>11860</v>
      </c>
      <c r="ADW60">
        <f>SUM(ADW58:ADW59)</f>
        <v/>
      </c>
    </row>
    <row r="61">
      <c r="AW61" t="n">
        <v>934.592</v>
      </c>
      <c r="EY61" t="n">
        <v>1045000</v>
      </c>
      <c r="GJ61" s="126" t="n"/>
      <c r="IT61" s="127">
        <f>SUM(HQ61:IS61)</f>
        <v/>
      </c>
      <c r="KH61">
        <f>SUM(KH55:KH60)</f>
        <v/>
      </c>
      <c r="ZA61">
        <f>ZA60-ZA59</f>
        <v/>
      </c>
    </row>
    <row r="62">
      <c r="AS62" t="n">
        <v>2006.928</v>
      </c>
      <c r="AT62" t="n">
        <v>5350</v>
      </c>
      <c r="AU62">
        <f>AT62*AS62</f>
        <v/>
      </c>
      <c r="AW62">
        <f>AW61-AW60</f>
        <v/>
      </c>
      <c r="IT62" s="127">
        <f>SUM(HQ62:IS62)</f>
        <v/>
      </c>
    </row>
    <row r="63">
      <c r="AM63" t="n">
        <v>1429.706</v>
      </c>
      <c r="AN63" t="n">
        <v>5190</v>
      </c>
      <c r="AO63">
        <f>AN63*AM63</f>
        <v/>
      </c>
      <c r="AS63" t="n">
        <v>919.043</v>
      </c>
      <c r="AT63" t="n">
        <v>4900</v>
      </c>
      <c r="AU63">
        <f>AT63*AS63</f>
        <v/>
      </c>
      <c r="AW63" t="n">
        <v>50</v>
      </c>
      <c r="IT63" s="127">
        <f>SUM(HQ63:IS63)</f>
        <v/>
      </c>
    </row>
    <row r="64">
      <c r="AM64" t="n">
        <v>1534.672</v>
      </c>
      <c r="AN64" t="n">
        <v>5290</v>
      </c>
      <c r="AO64">
        <f>AN64*AM64</f>
        <v/>
      </c>
      <c r="AU64">
        <f>SUM(AU62:AU63)</f>
        <v/>
      </c>
      <c r="AW64">
        <f>AW62*AW63</f>
        <v/>
      </c>
      <c r="IT64" s="127">
        <f>SUM(HQ64:IS64)</f>
        <v/>
      </c>
    </row>
    <row r="65">
      <c r="AM65" t="n">
        <v>1154.031</v>
      </c>
      <c r="AN65" t="n">
        <v>4690</v>
      </c>
      <c r="AO65">
        <f>AN65*AM65</f>
        <v/>
      </c>
      <c r="IT65" s="127">
        <f>SUM(HQ65:IS65)</f>
        <v/>
      </c>
    </row>
    <row r="66">
      <c r="AM66" t="n">
        <v>816.2619999999999</v>
      </c>
      <c r="AN66" t="n">
        <v>4850</v>
      </c>
      <c r="AO66">
        <f>AN66*AM66</f>
        <v/>
      </c>
      <c r="IT66" s="127">
        <f>SUM(HQ66:IS66)</f>
        <v/>
      </c>
    </row>
    <row r="67">
      <c r="AN67" t="inlineStr">
        <is>
          <t>total money</t>
        </is>
      </c>
      <c r="AO67">
        <f>SUM(AO63:AO66)</f>
        <v/>
      </c>
      <c r="IT67" s="127">
        <f>SUM(HQ67:IS67)</f>
        <v/>
      </c>
    </row>
    <row r="68">
      <c r="AN68" t="inlineStr">
        <is>
          <t>electronics sales</t>
        </is>
      </c>
      <c r="AO68" t="n">
        <v>4843010</v>
      </c>
      <c r="IT68" s="127">
        <f>SUM(HQ68:IS68)</f>
        <v/>
      </c>
    </row>
    <row r="69">
      <c r="AN69" t="inlineStr">
        <is>
          <t>expence</t>
        </is>
      </c>
      <c r="AO69" t="n">
        <v>400500</v>
      </c>
      <c r="IT69" s="127">
        <f>SUM(HQ69:IS69)</f>
        <v/>
      </c>
    </row>
    <row r="70">
      <c r="AO70">
        <f>AO67-AO68-AO69</f>
        <v/>
      </c>
      <c r="IT70" s="127">
        <f>SUM(HQ70:IS70)</f>
        <v/>
      </c>
    </row>
    <row r="71">
      <c r="AN71" t="inlineStr">
        <is>
          <t>gas lubs</t>
        </is>
      </c>
      <c r="AO71">
        <f>55000+72000+20000</f>
        <v/>
      </c>
      <c r="IT71" s="127">
        <f>SUM(HQ71:IS71)</f>
        <v/>
      </c>
    </row>
    <row r="72">
      <c r="AN72" t="inlineStr">
        <is>
          <t>filter</t>
        </is>
      </c>
      <c r="AO72" t="n">
        <v>8000</v>
      </c>
      <c r="IT72" s="127">
        <f>SUM(HQ72:IS72)</f>
        <v/>
      </c>
    </row>
    <row r="73">
      <c r="AO73">
        <f>SUM(AO70:AO72)</f>
        <v/>
      </c>
      <c r="IT73" s="127">
        <f>SUM(HQ73:IS73)</f>
        <v/>
      </c>
    </row>
    <row r="74">
      <c r="IT74" s="127">
        <f>SUM(HQ74:IS74)</f>
        <v/>
      </c>
    </row>
    <row r="75">
      <c r="IT75" s="127">
        <f>SUM(HQ75:IS75)</f>
        <v/>
      </c>
    </row>
    <row r="76">
      <c r="IT76" s="127">
        <f>SUM(HQ76:IS76)</f>
        <v/>
      </c>
    </row>
    <row r="77">
      <c r="IT77" s="127">
        <f>SUM(HQ77:IS77)</f>
        <v/>
      </c>
    </row>
  </sheetData>
  <mergeCells count="7">
    <mergeCell ref="A31:A36"/>
    <mergeCell ref="A26:B26"/>
    <mergeCell ref="A13:A18"/>
    <mergeCell ref="A4:A12"/>
    <mergeCell ref="A28:B28"/>
    <mergeCell ref="A38:A43"/>
    <mergeCell ref="A19:A24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C64"/>
  <sheetViews>
    <sheetView zoomScale="210" zoomScaleNormal="210" workbookViewId="0">
      <pane xSplit="2" ySplit="3" topLeftCell="ANU28" activePane="bottomRight" state="frozen"/>
      <selection pane="topRight" activeCell="C1" sqref="C1"/>
      <selection pane="bottomLeft" activeCell="A4" sqref="A4"/>
      <selection pane="bottomRight" activeCell="AOD54" sqref="AOD54"/>
    </sheetView>
  </sheetViews>
  <sheetFormatPr baseColWidth="10" defaultColWidth="8.83203125" defaultRowHeight="15"/>
  <cols>
    <col width="19.83203125" customWidth="1" style="160" min="2" max="2"/>
    <col width="13.6640625" customWidth="1" style="160" min="3" max="3"/>
    <col width="15" customWidth="1" style="160" min="4" max="4"/>
    <col width="14" customWidth="1" style="160" min="5" max="5"/>
    <col width="13.1640625" customWidth="1" style="160" min="6" max="6"/>
    <col width="12.5" bestFit="1" customWidth="1" style="160" min="7" max="11"/>
    <col width="12" customWidth="1" style="160" min="12" max="12"/>
    <col width="13" customWidth="1" style="160" min="13" max="13"/>
    <col width="13.6640625" customWidth="1" style="160" min="14" max="14"/>
    <col width="12.83203125" customWidth="1" style="160" min="15" max="15"/>
    <col width="12.1640625" customWidth="1" style="160" min="16" max="16"/>
    <col width="12.5" customWidth="1" style="160" min="17" max="17"/>
    <col width="12.83203125" customWidth="1" style="160" min="18" max="18"/>
    <col width="12.5" bestFit="1" customWidth="1" style="160" min="19" max="31"/>
    <col width="12.5" customWidth="1" style="160" min="32" max="33"/>
    <col width="16" customWidth="1" style="160" min="34" max="34"/>
    <col width="14" customWidth="1" style="160" min="35" max="35"/>
    <col width="15.6640625" customWidth="1" style="160" min="36" max="36"/>
    <col width="13.83203125" customWidth="1" style="160" min="37" max="38"/>
    <col width="14.5" customWidth="1" style="160" min="39" max="39"/>
    <col width="16.5" customWidth="1" style="160" min="40" max="40"/>
    <col width="12.5" customWidth="1" style="160" min="41" max="41"/>
    <col width="12" customWidth="1" style="160" min="42" max="42"/>
    <col width="12.1640625" customWidth="1" style="160" min="43" max="43"/>
    <col width="12.5" customWidth="1" style="160" min="44" max="45"/>
    <col width="13.1640625" customWidth="1" style="160" min="46" max="46"/>
    <col width="13.6640625" customWidth="1" style="160" min="47" max="47"/>
    <col width="11.83203125" customWidth="1" style="160" min="48" max="48"/>
    <col width="13.5" customWidth="1" style="160" min="49" max="49"/>
    <col width="12.1640625" customWidth="1" style="160" min="50" max="51"/>
    <col width="12.83203125" customWidth="1" style="160" min="52" max="52"/>
    <col width="12" customWidth="1" style="160" min="53" max="53"/>
    <col width="13.1640625" customWidth="1" style="160" min="54" max="54"/>
    <col width="14.1640625" customWidth="1" style="160" min="55" max="55"/>
    <col width="12.1640625" customWidth="1" style="160" min="56" max="56"/>
    <col width="12.5" customWidth="1" style="160" min="57" max="58"/>
    <col width="12.1640625" customWidth="1" style="160" min="59" max="60"/>
    <col width="12" customWidth="1" style="160" min="61" max="61"/>
    <col width="13.83203125" customWidth="1" style="160" min="62" max="62"/>
    <col width="12" customWidth="1" style="160" min="63" max="63"/>
    <col width="12.1640625" customWidth="1" style="160" min="64" max="64"/>
    <col width="12" bestFit="1" customWidth="1" style="160" min="65" max="65"/>
    <col width="12.5" bestFit="1" customWidth="1" style="160" min="66" max="66"/>
    <col width="13.1640625" customWidth="1" style="160" min="67" max="67"/>
    <col width="12.1640625" customWidth="1" style="160" min="68" max="68"/>
    <col width="13" customWidth="1" style="160" min="69" max="69"/>
    <col width="12.83203125" customWidth="1" style="160" min="70" max="70"/>
    <col width="11.83203125" customWidth="1" style="160" min="71" max="71"/>
    <col width="12" customWidth="1" style="160" min="72" max="72"/>
    <col width="12.83203125" customWidth="1" style="160" min="73" max="73"/>
    <col width="13" customWidth="1" style="160" min="74" max="74"/>
    <col width="12.5" customWidth="1" style="160" min="75" max="76"/>
    <col width="13.1640625" customWidth="1" style="160" min="77" max="77"/>
    <col width="12.5" customWidth="1" style="160" min="78" max="78"/>
    <col width="12.83203125" customWidth="1" style="160" min="79" max="79"/>
    <col width="12.1640625" customWidth="1" style="160" min="80" max="81"/>
    <col width="12.83203125" customWidth="1" style="160" min="82" max="82"/>
    <col width="12.6640625" customWidth="1" style="160" min="83" max="83"/>
    <col width="12.5" customWidth="1" style="160" min="84" max="84"/>
    <col width="12" customWidth="1" style="160" min="85" max="85"/>
    <col width="12.5" customWidth="1" style="160" min="86" max="86"/>
    <col width="12.1640625" customWidth="1" style="160" min="87" max="87"/>
    <col width="14" customWidth="1" style="160" min="88" max="88"/>
    <col width="12.5" customWidth="1" style="160" min="89" max="89"/>
    <col width="13.1640625" customWidth="1" style="160" min="90" max="90"/>
    <col width="13.5" customWidth="1" style="160" min="91" max="91"/>
    <col width="12.83203125" customWidth="1" style="160" min="92" max="92"/>
    <col width="12.5" customWidth="1" style="160" min="93" max="93"/>
    <col width="12.1640625" customWidth="1" style="160" min="94" max="94"/>
    <col width="12" customWidth="1" style="160" min="95" max="95"/>
    <col width="12" bestFit="1" customWidth="1" style="160" min="96" max="96"/>
    <col width="13.1640625" bestFit="1" customWidth="1" style="160" min="97" max="97"/>
    <col width="13.5" customWidth="1" style="160" min="98" max="98"/>
    <col width="12.83203125" customWidth="1" style="160" min="99" max="99"/>
    <col width="13.1640625" bestFit="1" customWidth="1" style="160" min="100" max="100"/>
    <col width="11.83203125" customWidth="1" style="160" min="101" max="101"/>
    <col width="13.1640625" customWidth="1" style="160" min="102" max="102"/>
    <col width="12.83203125" customWidth="1" style="160" min="103" max="103"/>
    <col width="13.1640625" customWidth="1" style="160" min="104" max="104"/>
    <col width="12.5" customWidth="1" style="160" min="105" max="106"/>
    <col width="13.1640625" customWidth="1" style="160" min="107" max="107"/>
    <col width="12.6640625" customWidth="1" style="160" min="108" max="108"/>
    <col width="12.83203125" customWidth="1" style="160" min="109" max="109"/>
    <col width="12.6640625" customWidth="1" style="160" min="110" max="110"/>
    <col width="12.5" customWidth="1" style="160" min="111" max="111"/>
    <col width="13.5" customWidth="1" style="160" min="112" max="112"/>
    <col width="12" customWidth="1" style="160" min="113" max="113"/>
    <col width="12.5" customWidth="1" style="160" min="114" max="115"/>
    <col width="12" customWidth="1" style="160" min="116" max="116"/>
    <col width="12.1640625" customWidth="1" style="160" min="117" max="117"/>
    <col width="12.83203125" customWidth="1" style="160" min="118" max="118"/>
    <col width="12.5" customWidth="1" style="160" min="119" max="119"/>
    <col width="13" customWidth="1" style="160" min="120" max="120"/>
    <col width="13.6640625" customWidth="1" style="160" min="121" max="121"/>
    <col width="12" customWidth="1" style="160" min="122" max="122"/>
    <col width="14" customWidth="1" style="160" min="123" max="123"/>
    <col width="12.5" customWidth="1" style="160" min="124" max="125"/>
    <col width="12.1640625" customWidth="1" style="160" min="126" max="126"/>
    <col width="14.5" customWidth="1" style="160" min="127" max="127"/>
    <col width="13.5" customWidth="1" style="160" min="128" max="128"/>
    <col width="13.1640625" bestFit="1" customWidth="1" style="160" min="129" max="129"/>
    <col width="12.6640625" customWidth="1" style="160" min="130" max="130"/>
    <col width="12.5" customWidth="1" style="160" min="131" max="131"/>
    <col width="12.1640625" customWidth="1" style="160" min="132" max="132"/>
    <col width="13" customWidth="1" style="160" min="133" max="133"/>
    <col width="13.5" customWidth="1" style="160" min="134" max="134"/>
    <col width="12.1640625" customWidth="1" style="160" min="135" max="135"/>
    <col width="14.1640625" customWidth="1" style="160" min="136" max="136"/>
    <col width="14.5" customWidth="1" style="160" min="137" max="137"/>
    <col width="13" customWidth="1" style="160" min="138" max="138"/>
    <col width="12" customWidth="1" style="160" min="139" max="139"/>
    <col width="13.6640625" customWidth="1" style="160" min="140" max="140"/>
    <col width="13.1640625" customWidth="1" style="160" min="141" max="141"/>
    <col width="12.83203125" customWidth="1" style="160" min="142" max="142"/>
    <col width="13.1640625" customWidth="1" style="160" min="143" max="144"/>
    <col width="12.5" customWidth="1" style="160" min="145" max="145"/>
    <col width="14.83203125" customWidth="1" style="160" min="146" max="146"/>
    <col width="17.6640625" customWidth="1" style="160" min="147" max="147"/>
    <col width="13.6640625" customWidth="1" style="160" min="148" max="148"/>
    <col width="11.83203125" customWidth="1" style="160" min="149" max="149"/>
    <col width="13" customWidth="1" style="160" min="150" max="150"/>
    <col width="13.5" customWidth="1" style="160" min="151" max="151"/>
    <col width="12.33203125" customWidth="1" style="160" min="152" max="152"/>
    <col width="12.83203125" customWidth="1" style="160" min="153" max="153"/>
    <col width="13.1640625" customWidth="1" style="160" min="154" max="154"/>
    <col width="11.83203125" customWidth="1" style="160" min="155" max="155"/>
    <col width="12.1640625" customWidth="1" style="160" min="156" max="157"/>
    <col width="11.83203125" customWidth="1" style="160" min="158" max="158"/>
    <col width="13.5" customWidth="1" style="160" min="159" max="159"/>
    <col width="12.5" customWidth="1" style="160" min="161" max="161"/>
    <col width="13.1640625" customWidth="1" style="160" min="162" max="162"/>
    <col width="14.83203125" customWidth="1" style="160" min="163" max="163"/>
    <col width="12.5" customWidth="1" style="160" min="164" max="165"/>
    <col width="12.83203125" customWidth="1" style="160" min="166" max="166"/>
    <col width="12.1640625" customWidth="1" style="160" min="167" max="167"/>
    <col width="13.6640625" customWidth="1" style="160" min="168" max="168"/>
    <col width="13.1640625" customWidth="1" style="160" min="169" max="169"/>
    <col width="12.1640625" customWidth="1" style="160" min="170" max="170"/>
    <col width="13.1640625" customWidth="1" style="160" min="171" max="171"/>
    <col width="13.33203125" customWidth="1" style="160" min="172" max="172"/>
    <col width="12.6640625" customWidth="1" style="160" min="173" max="173"/>
    <col width="12.1640625" customWidth="1" style="160" min="174" max="174"/>
    <col width="12.83203125" customWidth="1" style="160" min="175" max="175"/>
    <col width="12.33203125" customWidth="1" style="160" min="176" max="176"/>
    <col width="12.5" customWidth="1" style="160" min="177" max="177"/>
    <col width="13.1640625" customWidth="1" style="160" min="178" max="179"/>
    <col width="13" customWidth="1" style="160" min="180" max="180"/>
    <col width="12.1640625" customWidth="1" style="160" min="181" max="181"/>
    <col width="13.83203125" customWidth="1" style="160" min="182" max="182"/>
    <col width="12.33203125" customWidth="1" style="160" min="183" max="183"/>
    <col width="12.1640625" customWidth="1" style="160" min="184" max="184"/>
    <col width="13.1640625" customWidth="1" style="160" min="185" max="185"/>
    <col width="12" customWidth="1" style="160" min="186" max="186"/>
    <col width="13.33203125" customWidth="1" style="160" min="187" max="187"/>
    <col width="12.33203125" customWidth="1" style="160" min="188" max="190"/>
    <col width="15" customWidth="1" style="160" min="191" max="191"/>
    <col width="14" customWidth="1" style="160" min="193" max="193"/>
    <col width="12.83203125" customWidth="1" style="160" min="194" max="194"/>
    <col width="12.1640625" customWidth="1" style="160" min="195" max="195"/>
    <col width="12.83203125" customWidth="1" style="160" min="196" max="196"/>
    <col width="12.33203125" customWidth="1" style="160" min="197" max="197"/>
    <col width="12" customWidth="1" style="160" min="198" max="198"/>
    <col width="13.5" customWidth="1" style="160" min="199" max="199"/>
    <col width="12.5" customWidth="1" style="160" min="200" max="200"/>
    <col width="12.1640625" customWidth="1" style="160" min="201" max="201"/>
    <col width="13.5" customWidth="1" style="160" min="202" max="202"/>
    <col width="14.33203125" customWidth="1" style="160" min="203" max="203"/>
    <col width="13.5" customWidth="1" style="160" min="204" max="204"/>
    <col width="14" customWidth="1" style="160" min="205" max="205"/>
    <col width="12.1640625" customWidth="1" style="160" min="206" max="206"/>
    <col width="13" customWidth="1" style="160" min="207" max="207"/>
    <col width="12" customWidth="1" style="160" min="208" max="209"/>
    <col width="14.83203125" customWidth="1" style="160" min="210" max="210"/>
    <col width="12.33203125" customWidth="1" style="160" min="211" max="211"/>
    <col width="13" customWidth="1" style="160" min="212" max="212"/>
    <col width="13.5" customWidth="1" style="160" min="213" max="213"/>
    <col width="13.33203125" customWidth="1" style="160" min="214" max="214"/>
    <col width="12.33203125" customWidth="1" style="160" min="215" max="215"/>
    <col width="14" customWidth="1" style="160" min="216" max="216"/>
    <col width="12.33203125" customWidth="1" style="160" min="217" max="217"/>
    <col width="12" customWidth="1" style="160" min="218" max="218"/>
    <col width="13.5" customWidth="1" style="160" min="219" max="219"/>
    <col width="12.1640625" customWidth="1" style="160" min="220" max="220"/>
    <col width="13" customWidth="1" style="160" min="221" max="221"/>
    <col width="14" customWidth="1" style="160" min="223" max="223"/>
    <col width="13.1640625" customWidth="1" style="160" min="224" max="224"/>
    <col width="14.83203125" customWidth="1" style="160" min="225" max="225"/>
    <col width="13" customWidth="1" style="160" min="226" max="226"/>
    <col width="15.1640625" customWidth="1" style="160" min="227" max="227"/>
    <col width="13" customWidth="1" style="160" min="228" max="228"/>
    <col width="13.1640625" customWidth="1" style="160" min="229" max="230"/>
    <col width="14.1640625" customWidth="1" style="160" min="231" max="231"/>
    <col width="13" customWidth="1" style="160" min="232" max="232"/>
    <col width="13.33203125" customWidth="1" style="160" min="233" max="233"/>
    <col width="11.83203125" customWidth="1" style="160" min="234" max="234"/>
    <col width="12.6640625" customWidth="1" style="160" min="235" max="235"/>
    <col width="13.6640625" customWidth="1" style="160" min="236" max="236"/>
    <col width="12.83203125" customWidth="1" style="160" min="237" max="237"/>
    <col width="13.6640625" customWidth="1" style="160" min="238" max="238"/>
    <col width="13.83203125" customWidth="1" style="160" min="239" max="240"/>
    <col width="12.1640625" customWidth="1" style="160" min="241" max="241"/>
    <col width="12.33203125" customWidth="1" style="160" min="242" max="242"/>
    <col width="14.1640625" customWidth="1" style="160" min="243" max="243"/>
    <col width="12.6640625" customWidth="1" style="160" min="244" max="245"/>
    <col width="12.83203125" customWidth="1" style="160" min="246" max="247"/>
    <col width="14.5" customWidth="1" style="160" min="248" max="248"/>
    <col width="13.83203125" customWidth="1" style="160" min="249" max="249"/>
    <col width="13.1640625" customWidth="1" style="160" min="250" max="250"/>
    <col width="13.5" customWidth="1" style="160" min="251" max="251"/>
    <col width="13.1640625" customWidth="1" style="160" min="252" max="252"/>
    <col width="12.1640625" customWidth="1" style="160" min="253" max="253"/>
    <col width="12.1640625" customWidth="1" style="160" min="255" max="255"/>
    <col width="13.33203125" bestFit="1" customWidth="1" style="160" min="256" max="256"/>
    <col width="15.33203125" customWidth="1" style="160" min="257" max="257"/>
    <col width="13.33203125" bestFit="1" customWidth="1" style="160" min="258" max="259"/>
    <col width="15.5" customWidth="1" style="160" min="260" max="260"/>
    <col width="12.33203125" customWidth="1" style="160" min="261" max="261"/>
    <col width="12.1640625" customWidth="1" style="160" min="262" max="262"/>
    <col width="11.83203125" customWidth="1" style="160" min="263" max="263"/>
    <col width="13.6640625" customWidth="1" style="160" min="264" max="264"/>
    <col width="13.1640625" customWidth="1" style="160" min="265" max="265"/>
    <col width="13.5" customWidth="1" style="160" min="266" max="266"/>
    <col width="12.83203125" customWidth="1" style="160" min="267" max="268"/>
    <col width="12" customWidth="1" style="160" min="269" max="269"/>
    <col width="12.83203125" customWidth="1" style="160" min="270" max="270"/>
    <col width="14" customWidth="1" style="160" min="271" max="271"/>
    <col width="12.83203125" customWidth="1" style="160" min="272" max="272"/>
    <col width="11.83203125" customWidth="1" style="160" min="273" max="274"/>
    <col width="12" customWidth="1" style="160" min="275" max="275"/>
    <col width="12.1640625" customWidth="1" style="160" min="276" max="276"/>
    <col width="13.5" customWidth="1" style="160" min="277" max="277"/>
    <col width="12.5" customWidth="1" style="160" min="278" max="279"/>
    <col width="13.1640625" customWidth="1" style="160" min="280" max="280"/>
    <col width="13.33203125" customWidth="1" style="160" min="281" max="281"/>
    <col width="13.5" customWidth="1" style="160" min="282" max="282"/>
    <col width="12.83203125" customWidth="1" style="160" min="283" max="283"/>
    <col width="12.5" customWidth="1" style="160" min="284" max="285"/>
    <col width="13" customWidth="1" style="160" min="286" max="286"/>
    <col width="13.5" customWidth="1" style="160" min="287" max="287"/>
    <col width="13.83203125" customWidth="1" style="160" min="288" max="288"/>
    <col width="13.33203125" customWidth="1" style="160" min="289" max="289"/>
    <col width="12.1640625" bestFit="1" customWidth="1" style="160" min="290" max="290"/>
    <col width="15" customWidth="1" style="160" min="291" max="291"/>
    <col width="13.83203125" customWidth="1" style="160" min="292" max="292"/>
    <col width="14.5" customWidth="1" style="160" min="293" max="293"/>
    <col width="13.6640625" customWidth="1" style="160" min="294" max="294"/>
    <col width="12.5" customWidth="1" style="160" min="295" max="295"/>
    <col width="12" customWidth="1" style="160" min="296" max="296"/>
    <col width="12.83203125" customWidth="1" style="160" min="297" max="297"/>
    <col width="14.33203125" customWidth="1" style="160" min="298" max="298"/>
    <col width="14.83203125" customWidth="1" style="160" min="299" max="299"/>
    <col width="12.1640625" customWidth="1" style="160" min="300" max="300"/>
    <col width="12.5" customWidth="1" style="160" min="301" max="301"/>
    <col width="12.33203125" customWidth="1" style="160" min="302" max="302"/>
    <col width="13.1640625" customWidth="1" style="160" min="303" max="304"/>
    <col width="13.83203125" customWidth="1" style="160" min="305" max="305"/>
    <col width="12.83203125" customWidth="1" style="160" min="306" max="306"/>
    <col width="12" customWidth="1" style="160" min="307" max="307"/>
    <col width="13.33203125" customWidth="1" style="160" min="308" max="308"/>
    <col width="13.83203125" customWidth="1" style="160" min="309" max="309"/>
    <col width="13.33203125" customWidth="1" style="160" min="310" max="310"/>
    <col width="14.83203125" customWidth="1" style="160" min="311" max="312"/>
    <col width="13.5" customWidth="1" style="160" min="313" max="313"/>
    <col width="12.1640625" customWidth="1" style="160" min="314" max="314"/>
    <col width="14.1640625" customWidth="1" style="160" min="315" max="315"/>
    <col width="13.83203125" customWidth="1" style="160" min="316" max="316"/>
    <col width="12.83203125" customWidth="1" style="160" min="318" max="318"/>
    <col width="13.5" customWidth="1" style="160" min="319" max="319"/>
    <col width="13" customWidth="1" style="160" min="320" max="321"/>
    <col width="13.5" customWidth="1" style="160" min="322" max="322"/>
    <col width="12.6640625" customWidth="1" style="160" min="323" max="323"/>
    <col width="12.5" customWidth="1" style="160" min="324" max="324"/>
    <col width="13.5" customWidth="1" style="160" min="325" max="325"/>
    <col width="12.33203125" customWidth="1" style="160" min="326" max="326"/>
    <col width="13" customWidth="1" style="160" min="327" max="328"/>
    <col width="13.1640625" customWidth="1" style="160" min="329" max="329"/>
    <col width="12.33203125" customWidth="1" style="160" min="330" max="332"/>
    <col width="12.1640625" customWidth="1" style="160" min="333" max="333"/>
    <col width="12" customWidth="1" style="160" min="334" max="335"/>
    <col width="12.1640625" customWidth="1" style="160" min="336" max="336"/>
    <col width="13" customWidth="1" style="160" min="337" max="337"/>
    <col width="12" customWidth="1" style="160" min="338" max="338"/>
    <col width="14.1640625" customWidth="1" style="160" min="339" max="339"/>
    <col width="14" customWidth="1" style="160" min="340" max="340"/>
    <col width="12.1640625" customWidth="1" style="160" min="341" max="342"/>
    <col width="13.83203125" customWidth="1" style="160" min="343" max="343"/>
    <col width="14.5" customWidth="1" style="160" min="344" max="344"/>
    <col width="16.6640625" customWidth="1" style="160" min="345" max="345"/>
    <col width="13.1640625" customWidth="1" style="160" min="346" max="346"/>
    <col width="14.5" customWidth="1" style="160" min="347" max="347"/>
    <col width="11.5" customWidth="1" style="160" min="348" max="348"/>
    <col width="14.83203125" customWidth="1" style="160" min="349" max="349"/>
    <col width="12.5" customWidth="1" style="160" min="350" max="350"/>
    <col width="13.5" customWidth="1" style="160" min="351" max="351"/>
    <col width="15.1640625" customWidth="1" style="160" min="352" max="352"/>
    <col width="16.83203125" customWidth="1" style="160" min="353" max="353"/>
    <col width="16.1640625" customWidth="1" style="160" min="354" max="354"/>
    <col width="12.83203125" customWidth="1" style="160" min="355" max="355"/>
    <col width="14.1640625" customWidth="1" style="160" min="356" max="356"/>
    <col width="13.5" customWidth="1" style="160" min="357" max="357"/>
    <col width="14.5" customWidth="1" style="160" min="358" max="358"/>
    <col width="12.83203125" customWidth="1" style="160" min="359" max="359"/>
    <col width="13.5" customWidth="1" style="160" min="360" max="360"/>
    <col width="14" customWidth="1" style="160" min="361" max="361"/>
    <col width="15.83203125" customWidth="1" style="160" min="362" max="362"/>
    <col width="15.1640625" customWidth="1" style="160" min="363" max="363"/>
    <col width="15" customWidth="1" style="160" min="364" max="364"/>
    <col width="15.83203125" customWidth="1" style="160" min="365" max="365"/>
    <col width="16.1640625" customWidth="1" style="160" min="366" max="366"/>
    <col width="12.6640625" customWidth="1" style="160" min="367" max="367"/>
    <col width="13.5" customWidth="1" style="160" min="368" max="368"/>
    <col width="13.83203125" customWidth="1" style="160" min="369" max="369"/>
    <col width="12" customWidth="1" style="160" min="370" max="370"/>
    <col width="12.83203125" customWidth="1" style="160" min="371" max="371"/>
    <col width="12.1640625" customWidth="1" style="160" min="372" max="372"/>
    <col width="15.33203125" customWidth="1" style="160" min="373" max="373"/>
    <col width="13.83203125" customWidth="1" style="160" min="374" max="374"/>
    <col width="13.33203125" customWidth="1" style="160" min="375" max="375"/>
    <col width="13" customWidth="1" style="160" min="376" max="376"/>
    <col width="12.1640625" customWidth="1" style="160" min="377" max="377"/>
    <col width="13.33203125" customWidth="1" style="160" min="378" max="378"/>
    <col width="12.6640625" customWidth="1" style="160" min="379" max="379"/>
    <col width="12.6640625" customWidth="1" style="160" min="381" max="381"/>
    <col width="13.1640625" customWidth="1" style="160" min="382" max="382"/>
    <col width="12.1640625" customWidth="1" style="160" min="383" max="383"/>
    <col width="13" customWidth="1" style="160" min="384" max="384"/>
    <col width="12" customWidth="1" style="160" min="385" max="385"/>
    <col width="13.1640625" customWidth="1" style="160" min="386" max="386"/>
    <col width="12.6640625" customWidth="1" style="160" min="387" max="387"/>
    <col width="13.1640625" customWidth="1" style="160" min="388" max="388"/>
    <col width="14" customWidth="1" style="160" min="389" max="389"/>
    <col width="12.33203125" customWidth="1" style="160" min="390" max="390"/>
    <col width="12.6640625" customWidth="1" style="160" min="391" max="391"/>
    <col width="13.83203125" customWidth="1" style="160" min="392" max="392"/>
    <col width="12.6640625" customWidth="1" style="160" min="393" max="393"/>
    <col width="13.5" customWidth="1" style="160" min="394" max="394"/>
    <col width="12.83203125" customWidth="1" style="160" min="395" max="395"/>
    <col width="12.33203125" customWidth="1" style="160" min="396" max="396"/>
    <col width="14.1640625" customWidth="1" style="160" min="397" max="397"/>
    <col width="12.1640625" customWidth="1" style="160" min="398" max="398"/>
    <col width="12" customWidth="1" style="160" min="399" max="399"/>
    <col width="14.1640625" customWidth="1" style="160" min="400" max="400"/>
    <col width="13.83203125" customWidth="1" style="160" min="401" max="401"/>
    <col width="13" customWidth="1" style="160" min="402" max="402"/>
    <col width="14.33203125" customWidth="1" style="160" min="403" max="403"/>
    <col width="13.33203125" customWidth="1" style="160" min="404" max="404"/>
    <col width="12.1640625" customWidth="1" style="160" min="405" max="405"/>
    <col width="12.83203125" customWidth="1" style="160" min="406" max="406"/>
    <col width="12.5" customWidth="1" style="160" min="407" max="407"/>
    <col width="13.1640625" customWidth="1" style="160" min="408" max="408"/>
    <col width="12.6640625" customWidth="1" style="160" min="409" max="409"/>
    <col width="13.1640625" customWidth="1" style="160" min="410" max="410"/>
    <col width="13" customWidth="1" style="160" min="411" max="411"/>
    <col width="13.83203125" customWidth="1" style="160" min="413" max="413"/>
    <col width="14" customWidth="1" style="160" min="414" max="414"/>
    <col width="12.83203125" customWidth="1" style="160" min="415" max="415"/>
    <col width="13.5" customWidth="1" style="160" min="416" max="416"/>
    <col width="12" customWidth="1" style="160" min="417" max="417"/>
    <col width="13.1640625" customWidth="1" style="160" min="418" max="418"/>
    <col width="13.6640625" customWidth="1" style="160" min="419" max="419"/>
    <col width="12.5" customWidth="1" style="160" min="420" max="420"/>
    <col width="12.83203125" customWidth="1" style="160" min="421" max="421"/>
    <col width="13.5" customWidth="1" style="160" min="422" max="422"/>
    <col width="14.6640625" customWidth="1" style="160" min="423" max="423"/>
    <col width="14.33203125" customWidth="1" style="160" min="424" max="424"/>
    <col width="13.83203125" customWidth="1" style="160" min="425" max="425"/>
    <col width="13.1640625" customWidth="1" style="160" min="426" max="426"/>
    <col width="12" customWidth="1" style="160" min="427" max="427"/>
    <col width="13.83203125" customWidth="1" style="160" min="428" max="428"/>
    <col width="13.6640625" customWidth="1" style="160" min="429" max="430"/>
    <col width="12.1640625" customWidth="1" style="160" min="431" max="431"/>
    <col width="13.83203125" customWidth="1" style="160" min="432" max="432"/>
    <col width="12.1640625" customWidth="1" style="160" min="433" max="433"/>
    <col width="12" customWidth="1" style="160" min="434" max="434"/>
    <col width="15.5" customWidth="1" style="160" min="435" max="435"/>
    <col width="13" customWidth="1" style="160" min="436" max="436"/>
    <col width="13.1640625" customWidth="1" style="160" min="437" max="437"/>
    <col width="12.1640625" customWidth="1" style="160" min="438" max="439"/>
    <col width="14.5" customWidth="1" style="160" min="440" max="441"/>
    <col width="12.1640625" customWidth="1" style="160" min="442" max="442"/>
    <col width="12.83203125" customWidth="1" style="160" min="444" max="444"/>
    <col width="12.6640625" customWidth="1" style="160" min="445" max="445"/>
    <col width="13.1640625" customWidth="1" style="160" min="446" max="446"/>
    <col width="13.83203125" customWidth="1" style="160" min="447" max="447"/>
    <col width="13.6640625" customWidth="1" style="160" min="448" max="448"/>
    <col width="12.5" customWidth="1" style="160" min="449" max="449"/>
    <col width="12.1640625" customWidth="1" style="160" min="450" max="450"/>
    <col width="12" customWidth="1" style="160" min="451" max="451"/>
    <col width="12.6640625" customWidth="1" style="160" min="452" max="452"/>
    <col width="13" customWidth="1" style="160" min="453" max="453"/>
    <col width="12.83203125" customWidth="1" style="160" min="454" max="454"/>
    <col width="14" customWidth="1" style="160" min="455" max="455"/>
    <col width="12.6640625" customWidth="1" style="160" min="456" max="456"/>
    <col width="12.1640625" customWidth="1" style="160" min="457" max="457"/>
    <col width="12.6640625" customWidth="1" style="160" min="458" max="458"/>
    <col width="13.1640625" customWidth="1" style="160" min="459" max="459"/>
    <col width="11.83203125" customWidth="1" style="160" min="460" max="460"/>
    <col width="12.5" customWidth="1" style="160" min="461" max="461"/>
    <col width="13.5" customWidth="1" style="160" min="462" max="462"/>
    <col width="11.83203125" customWidth="1" style="160" min="463" max="463"/>
    <col width="13.1640625" customWidth="1" style="160" min="464" max="464"/>
    <col width="12.83203125" customWidth="1" style="160" min="465" max="465"/>
    <col width="12.6640625" customWidth="1" style="160" min="466" max="466"/>
    <col width="12.83203125" customWidth="1" style="160" min="467" max="468"/>
    <col width="12" customWidth="1" style="160" min="469" max="469"/>
    <col width="12.1640625" customWidth="1" style="160" min="470" max="470"/>
    <col width="12.83203125" customWidth="1" style="160" min="471" max="471"/>
    <col width="12.1640625" customWidth="1" style="160" min="472" max="472"/>
    <col width="12" bestFit="1" customWidth="1" style="160" min="473" max="473"/>
    <col width="12.5" customWidth="1" style="160" min="474" max="474"/>
    <col width="13.5" customWidth="1" style="160" min="476" max="476"/>
    <col width="12.5" customWidth="1" style="160" min="477" max="477"/>
    <col width="13.1640625" customWidth="1" style="160" min="478" max="478"/>
    <col width="12.33203125" customWidth="1" style="160" min="479" max="479"/>
    <col width="12.83203125" customWidth="1" style="160" min="480" max="480"/>
    <col width="12.1640625" customWidth="1" style="160" min="481" max="481"/>
    <col width="12" customWidth="1" style="160" min="482" max="483"/>
    <col width="12.1640625" customWidth="1" style="160" min="484" max="484"/>
    <col width="14" customWidth="1" style="160" min="485" max="485"/>
    <col width="13.1640625" customWidth="1" style="160" min="486" max="486"/>
    <col width="11.83203125" customWidth="1" style="160" min="487" max="487"/>
    <col width="13" customWidth="1" style="160" min="488" max="488"/>
    <col width="11.83203125" customWidth="1" style="160" min="489" max="489"/>
    <col width="12" customWidth="1" style="160" min="490" max="491"/>
    <col width="13.5" customWidth="1" style="160" min="492" max="492"/>
    <col width="12.6640625" customWidth="1" style="160" min="493" max="493"/>
    <col width="12.1640625" customWidth="1" style="160" min="494" max="494"/>
    <col width="12.5" customWidth="1" style="160" min="495" max="495"/>
    <col width="12.1640625" customWidth="1" style="160" min="496" max="496"/>
    <col width="13" customWidth="1" style="160" min="497" max="498"/>
    <col width="12.83203125" customWidth="1" style="160" min="499" max="499"/>
    <col width="12.6640625" customWidth="1" style="160" min="500" max="500"/>
    <col width="13.1640625" customWidth="1" style="160" min="501" max="502"/>
    <col width="12.5" customWidth="1" style="160" min="503" max="503"/>
    <col width="12" customWidth="1" style="160" min="504" max="504"/>
    <col width="12.33203125" customWidth="1" style="160" min="505" max="505"/>
    <col width="12.33203125" customWidth="1" style="160" min="507" max="507"/>
    <col width="13" customWidth="1" style="160" min="508" max="508"/>
    <col width="12" customWidth="1" style="160" min="509" max="509"/>
    <col width="12.33203125" customWidth="1" style="160" min="510" max="510"/>
    <col width="13.5" customWidth="1" style="160" min="511" max="511"/>
    <col width="12.33203125" customWidth="1" style="160" min="512" max="512"/>
    <col width="13.33203125" customWidth="1" style="160" min="513" max="513"/>
    <col width="13" customWidth="1" style="160" min="514" max="514"/>
    <col width="12.33203125" customWidth="1" style="160" min="515" max="515"/>
    <col width="12.83203125" customWidth="1" style="160" min="516" max="516"/>
    <col width="12" customWidth="1" style="160" min="517" max="517"/>
    <col width="12.83203125" customWidth="1" style="160" min="518" max="518"/>
    <col width="12.33203125" customWidth="1" style="160" min="519" max="519"/>
    <col width="12.5" customWidth="1" style="160" min="520" max="520"/>
    <col width="13.6640625" customWidth="1" style="160" min="521" max="521"/>
    <col width="12.1640625" customWidth="1" style="160" min="522" max="522"/>
    <col width="15.33203125" customWidth="1" style="160" min="523" max="523"/>
    <col width="14.1640625" customWidth="1" style="160" min="524" max="524"/>
    <col width="12.83203125" customWidth="1" style="160" min="525" max="525"/>
    <col width="13" customWidth="1" style="160" min="526" max="526"/>
    <col width="12.83203125" customWidth="1" style="160" min="527" max="527"/>
    <col width="13.83203125" customWidth="1" style="160" min="528" max="528"/>
    <col width="13" customWidth="1" style="160" min="529" max="530"/>
    <col width="12.33203125" customWidth="1" style="160" min="531" max="531"/>
    <col width="12.83203125" customWidth="1" style="160" min="532" max="533"/>
    <col width="12.33203125" customWidth="1" style="160" min="534" max="534"/>
    <col width="13.6640625" customWidth="1" style="160" min="535" max="535"/>
    <col width="14.5" customWidth="1" style="160" min="536" max="536"/>
    <col width="12.1640625" customWidth="1" style="160" min="537" max="537"/>
    <col width="13.5" customWidth="1" style="160" min="539" max="540"/>
    <col width="12.1640625" customWidth="1" style="160" min="541" max="541"/>
    <col width="13" customWidth="1" style="160" min="542" max="542"/>
    <col width="12.5" customWidth="1" style="160" min="543" max="543"/>
    <col width="12.6640625" customWidth="1" style="160" min="544" max="544"/>
    <col width="14.1640625" customWidth="1" style="160" min="545" max="545"/>
    <col width="12" customWidth="1" style="160" min="546" max="546"/>
    <col width="12.83203125" customWidth="1" style="160" min="547" max="547"/>
    <col width="13.83203125" customWidth="1" style="160" min="548" max="548"/>
    <col width="12.33203125" customWidth="1" style="160" min="549" max="549"/>
    <col width="12.5" customWidth="1" style="160" min="550" max="550"/>
    <col width="12.83203125" customWidth="1" style="160" min="551" max="551"/>
    <col width="13.1640625" customWidth="1" style="160" min="552" max="552"/>
    <col width="12.83203125" customWidth="1" style="160" min="553" max="554"/>
    <col width="13.83203125" customWidth="1" style="160" min="555" max="555"/>
    <col width="12.5" customWidth="1" style="160" min="556" max="556"/>
    <col width="13.1640625" customWidth="1" style="160" min="557" max="557"/>
    <col width="14.6640625" customWidth="1" style="160" min="558" max="558"/>
    <col width="13.33203125" customWidth="1" style="160" min="559" max="559"/>
    <col width="12.6640625" customWidth="1" style="160" min="560" max="560"/>
    <col width="13" customWidth="1" style="160" min="561" max="561"/>
    <col width="12.83203125" customWidth="1" style="160" min="562" max="562"/>
    <col width="13.1640625" customWidth="1" style="160" min="563" max="564"/>
    <col width="12.83203125" customWidth="1" style="160" min="565" max="565"/>
    <col width="12.6640625" customWidth="1" style="160" min="566" max="566"/>
    <col width="13.1640625" customWidth="1" style="160" min="567" max="567"/>
    <col width="15.5" customWidth="1" style="160" min="568" max="568"/>
    <col width="14.1640625" customWidth="1" style="160" min="569" max="569"/>
    <col width="13.5" customWidth="1" style="160" min="571" max="571"/>
    <col width="12.83203125" customWidth="1" style="160" min="572" max="572"/>
    <col width="14.6640625" customWidth="1" style="160" min="573" max="573"/>
    <col width="12.1640625" customWidth="1" style="160" min="574" max="574"/>
    <col width="13.1640625" customWidth="1" style="160" min="575" max="575"/>
    <col width="13.5" customWidth="1" style="160" min="576" max="576"/>
    <col width="12.1640625" customWidth="1" style="160" min="577" max="577"/>
    <col width="13.1640625" customWidth="1" style="160" min="578" max="578"/>
    <col width="12.5" customWidth="1" style="160" min="579" max="579"/>
    <col width="12.83203125" customWidth="1" style="160" min="580" max="580"/>
    <col width="13.1640625" customWidth="1" style="160" min="581" max="583"/>
    <col width="12.5" customWidth="1" style="160" min="584" max="584"/>
    <col width="12.1640625" customWidth="1" style="160" min="585" max="585"/>
    <col width="12.5" customWidth="1" style="160" min="586" max="586"/>
    <col width="12.83203125" customWidth="1" style="160" min="587" max="587"/>
    <col width="12.5" customWidth="1" style="160" min="588" max="589"/>
    <col width="13.33203125" customWidth="1" style="160" min="590" max="590"/>
    <col width="12.83203125" customWidth="1" style="160" min="591" max="591"/>
    <col width="12" bestFit="1" customWidth="1" style="160" min="592" max="592"/>
    <col width="12.83203125" customWidth="1" style="160" min="593" max="593"/>
    <col width="12.6640625" customWidth="1" style="160" min="594" max="594"/>
    <col width="12.1640625" customWidth="1" style="160" min="595" max="595"/>
    <col width="13.1640625" customWidth="1" style="160" min="596" max="596"/>
    <col width="12.5" customWidth="1" style="160" min="597" max="597"/>
    <col width="12.1640625" customWidth="1" style="160" min="598" max="598"/>
    <col width="13.5" customWidth="1" style="160" min="600" max="600"/>
    <col width="12.5" customWidth="1" style="160" min="601" max="601"/>
    <col width="14" customWidth="1" style="160" min="602" max="602"/>
    <col width="12.1640625" customWidth="1" style="160" min="603" max="603"/>
    <col width="12.83203125" customWidth="1" style="160" min="604" max="605"/>
    <col width="12.1640625" customWidth="1" style="160" min="606" max="606"/>
    <col width="12.6640625" customWidth="1" style="160" min="607" max="607"/>
    <col width="12.5" customWidth="1" style="160" min="608" max="608"/>
    <col width="12" bestFit="1" customWidth="1" style="160" min="609" max="609"/>
    <col width="13" customWidth="1" style="160" min="610" max="610"/>
    <col width="12.6640625" customWidth="1" style="160" min="611" max="611"/>
    <col width="12.1640625" customWidth="1" style="160" min="612" max="612"/>
    <col width="12.6640625" customWidth="1" style="160" min="613" max="613"/>
    <col width="12.83203125" customWidth="1" style="160" min="614" max="614"/>
    <col width="12.5" customWidth="1" style="160" min="615" max="615"/>
    <col width="12.83203125" customWidth="1" style="160" min="616" max="617"/>
    <col width="13.1640625" customWidth="1" style="160" min="618" max="618"/>
    <col width="12.83203125" customWidth="1" style="160" min="619" max="619"/>
    <col width="13.5" customWidth="1" style="160" min="620" max="620"/>
    <col width="11.83203125" customWidth="1" style="160" min="621" max="621"/>
    <col width="14.5" customWidth="1" style="160" min="622" max="622"/>
    <col width="13" customWidth="1" style="160" min="623" max="623"/>
    <col width="14.83203125" customWidth="1" style="160" min="624" max="624"/>
    <col width="13" customWidth="1" style="160" min="625" max="627"/>
    <col width="13.5" customWidth="1" style="160" min="628" max="628"/>
    <col width="12.83203125" customWidth="1" style="160" min="629" max="629"/>
    <col width="14.1640625" customWidth="1" style="160" min="630" max="631"/>
    <col width="12.33203125" customWidth="1" style="160" min="632" max="632"/>
    <col width="12.1640625" customWidth="1" style="160" min="633" max="633"/>
    <col width="13.5" customWidth="1" style="160" min="634" max="634"/>
    <col width="13.83203125" customWidth="1" style="160" min="635" max="635"/>
    <col width="12.6640625" customWidth="1" style="160" min="636" max="636"/>
    <col width="13.6640625" customWidth="1" style="160" min="637" max="637"/>
    <col width="14.1640625" customWidth="1" style="160" min="638" max="638"/>
    <col width="13" customWidth="1" style="160" min="639" max="639"/>
    <col width="13.1640625" customWidth="1" style="160" min="640" max="640"/>
    <col width="12.5" customWidth="1" style="160" min="641" max="641"/>
    <col width="12.1640625" customWidth="1" style="160" min="642" max="642"/>
    <col width="13.83203125" customWidth="1" style="160" min="643" max="643"/>
    <col width="13.1640625" customWidth="1" style="160" min="644" max="644"/>
    <col width="12.83203125" customWidth="1" style="160" min="645" max="645"/>
    <col width="12.1640625" customWidth="1" style="160" min="646" max="646"/>
    <col width="12.5" customWidth="1" style="160" min="647" max="647"/>
    <col width="13.33203125" customWidth="1" style="160" min="648" max="648"/>
    <col width="12.6640625" customWidth="1" style="160" min="649" max="649"/>
    <col width="12.5" customWidth="1" style="160" min="650" max="650"/>
    <col width="13.5" customWidth="1" style="160" min="651" max="651"/>
    <col width="13" customWidth="1" style="160" min="652" max="652"/>
    <col width="12" customWidth="1" style="160" min="653" max="653"/>
    <col width="12.5" customWidth="1" style="160" min="654" max="654"/>
    <col width="12.33203125" customWidth="1" style="160" min="655" max="655"/>
    <col width="12" customWidth="1" style="160" min="656" max="656"/>
    <col width="11.83203125" customWidth="1" style="160" min="657" max="657"/>
    <col width="12.33203125" customWidth="1" style="160" min="658" max="658"/>
    <col width="13" customWidth="1" style="160" min="659" max="659"/>
    <col width="13.5" customWidth="1" style="160" min="660" max="660"/>
    <col width="12.83203125" customWidth="1" style="160" min="661" max="661"/>
    <col width="12.1640625" customWidth="1" style="160" min="663" max="663"/>
    <col width="12" customWidth="1" style="160" min="664" max="664"/>
    <col width="12.5" customWidth="1" style="160" min="665" max="665"/>
    <col width="12.6640625" customWidth="1" style="160" min="666" max="666"/>
    <col width="12.83203125" customWidth="1" style="160" min="667" max="667"/>
    <col width="12.5" customWidth="1" style="160" min="668" max="668"/>
    <col width="13.1640625" customWidth="1" style="160" min="669" max="669"/>
    <col width="12.6640625" customWidth="1" style="160" min="670" max="670"/>
    <col width="13.33203125" customWidth="1" style="160" min="671" max="671"/>
    <col width="13.83203125" customWidth="1" style="160" min="672" max="672"/>
    <col width="12.33203125" customWidth="1" style="160" min="673" max="673"/>
    <col width="12.6640625" customWidth="1" style="160" min="674" max="674"/>
    <col width="11.83203125" customWidth="1" style="160" min="675" max="675"/>
    <col width="12.1640625" customWidth="1" style="160" min="676" max="676"/>
    <col width="12.5" customWidth="1" style="160" min="677" max="677"/>
    <col width="15.1640625" customWidth="1" style="160" min="678" max="678"/>
    <col width="13" customWidth="1" style="160" min="679" max="679"/>
    <col width="12.5" customWidth="1" style="160" min="680" max="681"/>
    <col width="13.83203125" customWidth="1" style="160" min="682" max="682"/>
    <col width="13.5" customWidth="1" style="160" min="683" max="683"/>
    <col width="12.5" customWidth="1" style="160" min="684" max="686"/>
    <col width="13.5" customWidth="1" style="160" min="687" max="687"/>
    <col width="12.33203125" customWidth="1" style="160" min="688" max="688"/>
    <col width="12.83203125" customWidth="1" style="160" min="689" max="689"/>
    <col width="13.83203125" customWidth="1" style="160" min="690" max="690"/>
    <col width="12.1640625" customWidth="1" style="160" min="691" max="691"/>
    <col width="13" customWidth="1" style="160" min="692" max="692"/>
    <col width="12.5" customWidth="1" style="160" min="693" max="693"/>
    <col width="13.33203125" customWidth="1" style="160" min="695" max="695"/>
    <col width="12.6640625" customWidth="1" style="160" min="696" max="696"/>
    <col width="13.1640625" customWidth="1" style="160" min="697" max="697"/>
    <col width="12.6640625" customWidth="1" style="160" min="698" max="698"/>
    <col width="12.5" customWidth="1" style="160" min="699" max="699"/>
    <col width="13.5" customWidth="1" style="160" min="700" max="700"/>
    <col width="12.5" customWidth="1" style="160" min="701" max="701"/>
    <col width="11.83203125" customWidth="1" style="160" min="702" max="702"/>
    <col width="12" customWidth="1" style="160" min="703" max="703"/>
    <col width="12.1640625" customWidth="1" style="160" min="704" max="704"/>
    <col width="13" customWidth="1" style="160" min="705" max="705"/>
    <col width="12.33203125" customWidth="1" style="160" min="706" max="706"/>
    <col width="12.83203125" customWidth="1" style="160" min="707" max="707"/>
    <col width="12.1640625" customWidth="1" style="160" min="708" max="708"/>
    <col width="12.33203125" customWidth="1" style="160" min="709" max="709"/>
    <col width="14.5" customWidth="1" style="160" min="710" max="710"/>
    <col width="12.5" customWidth="1" style="160" min="711" max="711"/>
    <col width="12" customWidth="1" style="160" min="712" max="712"/>
    <col width="12.83203125" customWidth="1" style="160" min="713" max="714"/>
    <col width="13.33203125" customWidth="1" style="160" min="715" max="715"/>
    <col width="12.5" customWidth="1" style="160" min="716" max="716"/>
    <col width="12.6640625" customWidth="1" style="160" min="717" max="717"/>
    <col width="12.33203125" customWidth="1" style="160" min="718" max="718"/>
    <col width="13" customWidth="1" style="160" min="719" max="720"/>
    <col width="13.1640625" customWidth="1" style="160" min="721" max="721"/>
    <col width="12.83203125" customWidth="1" style="160" min="722" max="722"/>
    <col width="13.33203125" customWidth="1" style="160" min="723" max="723"/>
    <col width="13" customWidth="1" style="160" min="724" max="724"/>
    <col width="9.5" customWidth="1" style="160" min="725" max="725"/>
    <col width="14.6640625" customWidth="1" style="160" min="726" max="726"/>
    <col width="13.33203125" customWidth="1" style="160" min="727" max="727"/>
    <col width="12.5" customWidth="1" style="160" min="728" max="728"/>
    <col width="13.33203125" customWidth="1" style="160" min="729" max="729"/>
    <col width="13.1640625" customWidth="1" style="160" min="730" max="730"/>
    <col width="11.83203125" customWidth="1" style="160" min="731" max="731"/>
    <col width="12" customWidth="1" style="160" min="732" max="732"/>
    <col width="13.1640625" customWidth="1" style="160" min="733" max="733"/>
    <col width="13" customWidth="1" style="160" min="734" max="734"/>
    <col width="13.5" customWidth="1" style="160" min="735" max="735"/>
    <col width="12.1640625" customWidth="1" style="160" min="736" max="736"/>
    <col width="13.5" customWidth="1" style="160" min="737" max="737"/>
    <col width="12.83203125" customWidth="1" style="160" min="738" max="738"/>
    <col width="11.83203125" customWidth="1" style="160" min="739" max="739"/>
    <col width="12.5" customWidth="1" style="160" min="740" max="740"/>
    <col width="13.1640625" customWidth="1" style="160" min="741" max="741"/>
    <col width="13" customWidth="1" style="160" min="742" max="742"/>
    <col width="12" bestFit="1" customWidth="1" style="160" min="743" max="743"/>
    <col width="12.6640625" customWidth="1" style="160" min="744" max="744"/>
    <col width="14.5" customWidth="1" style="160" min="745" max="745"/>
    <col width="12.1640625" customWidth="1" style="160" min="746" max="746"/>
    <col width="14.5" customWidth="1" style="160" min="747" max="747"/>
    <col width="13.1640625" customWidth="1" style="160" min="748" max="748"/>
    <col width="13" customWidth="1" style="160" min="749" max="749"/>
    <col width="12.1640625" customWidth="1" style="160" min="750" max="750"/>
    <col width="13.33203125" customWidth="1" style="160" min="751" max="751"/>
    <col width="12.83203125" customWidth="1" style="160" min="752" max="752"/>
    <col width="14" customWidth="1" style="160" min="753" max="753"/>
    <col width="12" customWidth="1" style="160" min="754" max="754"/>
    <col width="12.83203125" customWidth="1" style="160" min="755" max="756"/>
    <col width="15.33203125" customWidth="1" style="160" min="758" max="758"/>
    <col width="13.33203125" customWidth="1" style="160" min="759" max="759"/>
    <col width="12" bestFit="1" customWidth="1" style="160" min="760" max="760"/>
    <col width="12.5" customWidth="1" style="160" min="761" max="761"/>
    <col width="13.33203125" customWidth="1" style="160" min="762" max="762"/>
    <col width="12.83203125" customWidth="1" style="160" min="763" max="763"/>
    <col width="12" customWidth="1" style="160" min="764" max="764"/>
    <col width="13.83203125" customWidth="1" style="160" min="765" max="765"/>
    <col width="12.6640625" customWidth="1" style="160" min="766" max="766"/>
    <col width="14.5" customWidth="1" style="160" min="767" max="767"/>
    <col width="12.83203125" customWidth="1" style="160" min="768" max="770"/>
    <col width="13.33203125" customWidth="1" style="160" min="771" max="771"/>
    <col width="14" customWidth="1" style="160" min="772" max="772"/>
    <col width="13.5" customWidth="1" style="160" min="773" max="773"/>
    <col width="12.83203125" customWidth="1" style="160" min="774" max="774"/>
    <col width="13.1640625" customWidth="1" style="160" min="775" max="775"/>
    <col width="14.5" customWidth="1" style="160" min="776" max="776"/>
    <col width="13.1640625" customWidth="1" style="160" min="777" max="777"/>
    <col width="12.6640625" customWidth="1" style="160" min="778" max="778"/>
    <col width="13.6640625" customWidth="1" style="160" min="779" max="779"/>
    <col width="13" customWidth="1" style="160" min="780" max="780"/>
    <col width="12.1640625" customWidth="1" style="160" min="781" max="781"/>
    <col width="14.1640625" customWidth="1" style="160" min="782" max="782"/>
    <col width="13.1640625" customWidth="1" style="160" min="783" max="783"/>
    <col width="12.6640625" customWidth="1" style="160" min="784" max="784"/>
    <col width="14.5" customWidth="1" style="160" min="785" max="785"/>
    <col width="14.83203125" customWidth="1" style="160" min="786" max="786"/>
    <col width="14" customWidth="1" style="160" min="787" max="787"/>
    <col width="12.83203125" customWidth="1" style="160" min="788" max="788"/>
    <col width="16.1640625" customWidth="1" style="160" min="790" max="790"/>
    <col width="13.33203125" customWidth="1" style="160" min="791" max="791"/>
    <col width="12.83203125" customWidth="1" style="160" min="792" max="793"/>
    <col width="12.1640625" customWidth="1" style="160" min="794" max="794"/>
    <col width="14" customWidth="1" style="160" min="795" max="795"/>
    <col width="13.83203125" customWidth="1" style="160" min="796" max="796"/>
    <col width="12.5" customWidth="1" style="160" min="797" max="797"/>
    <col width="13" customWidth="1" style="160" min="798" max="798"/>
    <col width="12.6640625" customWidth="1" style="160" min="799" max="799"/>
    <col width="13.5" customWidth="1" style="160" min="800" max="800"/>
    <col width="13.6640625" customWidth="1" style="160" min="801" max="801"/>
    <col width="13.33203125" customWidth="1" style="160" min="802" max="802"/>
    <col width="14.1640625" customWidth="1" style="160" min="803" max="803"/>
    <col width="12.5" customWidth="1" style="160" min="804" max="804"/>
    <col width="11.83203125" customWidth="1" style="160" min="805" max="805"/>
    <col width="13.33203125" customWidth="1" style="160" min="806" max="806"/>
    <col width="12.5" customWidth="1" style="160" min="807" max="807"/>
    <col width="12.6640625" customWidth="1" style="160" min="808" max="808"/>
    <col width="12.83203125" customWidth="1" style="160" min="809" max="809"/>
    <col width="12.5" customWidth="1" style="160" min="810" max="810"/>
    <col width="13.5" customWidth="1" style="160" min="811" max="811"/>
    <col width="13.6640625" customWidth="1" style="160" min="812" max="813"/>
    <col width="13.5" customWidth="1" style="160" min="814" max="814"/>
    <col width="13.1640625" customWidth="1" style="160" min="815" max="816"/>
    <col width="13.6640625" customWidth="1" style="160" min="817" max="817"/>
    <col width="12.6640625" customWidth="1" style="160" min="818" max="818"/>
    <col width="13.6640625" customWidth="1" style="160" min="819" max="819"/>
    <col width="12.6640625" customWidth="1" style="160" min="821" max="821"/>
    <col width="13" customWidth="1" style="160" min="822" max="822"/>
    <col width="12.5" customWidth="1" style="160" min="823" max="823"/>
    <col width="15" customWidth="1" style="160" min="824" max="824"/>
    <col width="13.33203125" customWidth="1" style="160" min="825" max="825"/>
    <col width="11.83203125" customWidth="1" style="160" min="826" max="826"/>
    <col width="12.33203125" customWidth="1" style="160" min="827" max="827"/>
    <col width="12.6640625" customWidth="1" style="160" min="828" max="828"/>
    <col width="13" customWidth="1" style="160" min="829" max="829"/>
    <col width="12.1640625" customWidth="1" style="160" min="830" max="830"/>
    <col width="13.1640625" customWidth="1" style="160" min="831" max="831"/>
    <col width="12.6640625" customWidth="1" style="160" min="832" max="832"/>
    <col width="13.5" customWidth="1" style="160" min="833" max="833"/>
    <col width="12.6640625" customWidth="1" style="160" min="834" max="834"/>
    <col width="12.5" customWidth="1" style="160" min="835" max="835"/>
    <col width="13.5" customWidth="1" style="160" min="836" max="836"/>
    <col width="12.1640625" customWidth="1" style="160" min="837" max="837"/>
    <col width="12.33203125" customWidth="1" style="160" min="838" max="838"/>
    <col width="13.83203125" customWidth="1" style="160" min="839" max="839"/>
    <col width="12.5" customWidth="1" style="160" min="840" max="840"/>
    <col width="13" customWidth="1" style="160" min="841" max="841"/>
    <col width="12.6640625" customWidth="1" style="160" min="842" max="842"/>
    <col width="13.5" customWidth="1" style="160" min="843" max="843"/>
    <col width="12.33203125" customWidth="1" style="160" min="844" max="844"/>
    <col width="14" customWidth="1" style="160" min="845" max="845"/>
    <col width="12.1640625" customWidth="1" style="160" min="846" max="846"/>
    <col width="11.83203125" customWidth="1" style="160" min="847" max="847"/>
    <col width="13" customWidth="1" style="160" min="848" max="848"/>
    <col width="12.1640625" customWidth="1" style="160" min="849" max="849"/>
    <col width="12.6640625" customWidth="1" style="160" min="850" max="850"/>
    <col width="14" customWidth="1" style="160" min="851" max="851"/>
    <col width="13.6640625" customWidth="1" style="160" min="853" max="853"/>
    <col width="13.5" customWidth="1" style="160" min="854" max="854"/>
    <col width="13" customWidth="1" style="160" min="855" max="855"/>
    <col width="12.6640625" customWidth="1" style="160" min="856" max="856"/>
    <col width="13.33203125" customWidth="1" style="160" min="857" max="857"/>
    <col width="14.1640625" customWidth="1" style="160" min="858" max="858"/>
    <col width="12" customWidth="1" style="160" min="859" max="859"/>
    <col width="13" customWidth="1" style="160" min="860" max="860"/>
    <col width="12.83203125" customWidth="1" style="160" min="861" max="861"/>
    <col width="12.5" customWidth="1" style="160" min="862" max="863"/>
    <col width="13" customWidth="1" style="160" min="864" max="864"/>
    <col width="12.83203125" customWidth="1" style="160" min="865" max="865"/>
    <col width="13.33203125" customWidth="1" style="160" min="866" max="866"/>
    <col width="13.1640625" customWidth="1" style="160" min="867" max="867"/>
    <col width="13.5" customWidth="1" style="160" min="868" max="868"/>
    <col width="12.6640625" customWidth="1" style="160" min="869" max="870"/>
    <col width="14.33203125" customWidth="1" style="160" min="871" max="871"/>
    <col width="12.33203125" customWidth="1" style="160" min="872" max="872"/>
    <col width="12" customWidth="1" style="160" min="873" max="874"/>
    <col width="12.6640625" customWidth="1" style="160" min="875" max="875"/>
    <col width="13.83203125" customWidth="1" style="160" min="876" max="876"/>
    <col width="13" customWidth="1" style="160" min="877" max="877"/>
    <col width="12.6640625" customWidth="1" style="160" min="878" max="878"/>
    <col width="12.1640625" customWidth="1" style="160" min="879" max="879"/>
    <col width="12.5" customWidth="1" style="160" min="880" max="880"/>
    <col width="13.83203125" customWidth="1" style="160" min="881" max="881"/>
    <col width="13" customWidth="1" style="160" min="882" max="882"/>
    <col width="13.33203125" customWidth="1" style="160" min="884" max="884"/>
    <col width="12.33203125" customWidth="1" style="160" min="885" max="885"/>
    <col width="12.1640625" customWidth="1" style="160" min="886" max="886"/>
    <col width="13.83203125" customWidth="1" style="160" min="887" max="887"/>
    <col width="11.83203125" customWidth="1" style="160" min="888" max="888"/>
    <col width="13.6640625" customWidth="1" style="160" min="889" max="889"/>
    <col width="14.83203125" customWidth="1" style="160" min="890" max="890"/>
    <col width="12.83203125" customWidth="1" style="160" min="891" max="891"/>
    <col width="13.6640625" customWidth="1" style="160" min="892" max="893"/>
    <col width="13.1640625" customWidth="1" style="160" min="894" max="894"/>
    <col width="12.5" customWidth="1" style="160" min="895" max="895"/>
    <col width="13" customWidth="1" style="160" min="896" max="896"/>
    <col width="12.6640625" customWidth="1" style="160" min="897" max="897"/>
    <col width="12" customWidth="1" style="160" min="898" max="898"/>
    <col width="13.1640625" customWidth="1" style="160" min="899" max="900"/>
    <col width="12.33203125" customWidth="1" style="160" min="901" max="901"/>
    <col width="12.6640625" customWidth="1" style="160" min="902" max="902"/>
    <col width="12.83203125" customWidth="1" style="160" min="903" max="903"/>
    <col width="12.6640625" customWidth="1" style="160" min="904" max="904"/>
    <col width="13" customWidth="1" style="160" min="905" max="905"/>
    <col width="15.1640625" customWidth="1" style="160" min="906" max="906"/>
    <col width="13.1640625" customWidth="1" style="160" min="907" max="908"/>
    <col width="12.83203125" customWidth="1" style="160" min="909" max="909"/>
    <col width="12.5" customWidth="1" style="160" min="910" max="910"/>
    <col width="13.6640625" customWidth="1" style="160" min="911" max="911"/>
    <col width="12" customWidth="1" style="160" min="912" max="912"/>
    <col width="13.5" customWidth="1" style="160" min="913" max="913"/>
    <col width="13.6640625" customWidth="1" style="160" min="914" max="914"/>
    <col width="13.1640625" customWidth="1" style="160" min="916" max="916"/>
    <col width="12.6640625" customWidth="1" style="160" min="917" max="917"/>
    <col width="13.5" customWidth="1" style="160" min="918" max="918"/>
    <col width="12.5" customWidth="1" style="160" min="919" max="919"/>
    <col width="13" customWidth="1" style="160" min="920" max="920"/>
    <col width="12.1640625" customWidth="1" style="160" min="921" max="921"/>
    <col width="12.6640625" customWidth="1" style="160" min="922" max="922"/>
    <col width="12.33203125" customWidth="1" style="160" min="923" max="923"/>
    <col width="12.83203125" customWidth="1" style="160" min="924" max="924"/>
    <col width="13.33203125" customWidth="1" style="160" min="925" max="925"/>
    <col width="12.5" customWidth="1" style="160" min="926" max="926"/>
    <col width="12.1640625" customWidth="1" style="160" min="927" max="927"/>
    <col width="12" customWidth="1" style="160" min="928" max="928"/>
    <col width="12.5" customWidth="1" style="160" min="929" max="929"/>
    <col width="12.83203125" customWidth="1" style="160" min="930" max="930"/>
    <col width="11.83203125" customWidth="1" style="160" min="931" max="931"/>
    <col width="12.6640625" customWidth="1" style="160" min="932" max="932"/>
    <col width="12.33203125" customWidth="1" style="160" min="933" max="933"/>
    <col width="13.1640625" customWidth="1" style="160" min="934" max="934"/>
    <col width="12.5" customWidth="1" style="160" min="935" max="935"/>
    <col width="12" customWidth="1" style="160" min="936" max="936"/>
    <col width="12.33203125" customWidth="1" style="160" min="937" max="937"/>
    <col width="13.1640625" customWidth="1" style="160" min="938" max="938"/>
    <col width="12.33203125" customWidth="1" style="160" min="939" max="939"/>
    <col width="12.1640625" customWidth="1" style="160" min="940" max="940"/>
    <col width="13.6640625" customWidth="1" style="160" min="941" max="941"/>
    <col width="12" customWidth="1" style="160" min="942" max="942"/>
    <col width="13.1640625" customWidth="1" style="160" min="943" max="943"/>
    <col width="11.83203125" customWidth="1" style="160" min="944" max="944"/>
    <col width="12.33203125" customWidth="1" style="160" min="945" max="945"/>
    <col width="15" customWidth="1" style="160" min="946" max="946"/>
    <col width="12.6640625" customWidth="1" style="160" min="948" max="948"/>
    <col width="14.1640625" customWidth="1" style="160" min="949" max="949"/>
    <col width="12.5" customWidth="1" style="160" min="950" max="950"/>
    <col width="14.1640625" customWidth="1" style="160" min="951" max="951"/>
    <col width="12" customWidth="1" style="160" min="952" max="952"/>
    <col width="13.5" customWidth="1" style="160" min="953" max="953"/>
    <col width="13" customWidth="1" style="160" min="954" max="955"/>
    <col width="13.6640625" customWidth="1" style="160" min="956" max="956"/>
    <col width="12.5" customWidth="1" style="160" min="957" max="957"/>
    <col width="12.83203125" customWidth="1" style="160" min="958" max="958"/>
    <col width="12.5" customWidth="1" style="160" min="959" max="959"/>
    <col width="12.6640625" customWidth="1" style="160" min="960" max="960"/>
    <col width="12.33203125" customWidth="1" style="160" min="961" max="961"/>
    <col width="12.1640625" customWidth="1" style="160" min="962" max="962"/>
    <col width="13.1640625" customWidth="1" style="160" min="963" max="963"/>
    <col width="13" customWidth="1" style="160" min="964" max="964"/>
    <col width="12.33203125" customWidth="1" style="160" min="965" max="966"/>
    <col width="12" customWidth="1" style="160" min="967" max="967"/>
    <col width="14.1640625" customWidth="1" style="160" min="968" max="968"/>
    <col width="13" customWidth="1" style="160" min="969" max="969"/>
    <col width="12.1640625" customWidth="1" style="160" min="970" max="970"/>
    <col width="15.83203125" customWidth="1" style="160" min="971" max="971"/>
    <col width="12.6640625" customWidth="1" style="160" min="972" max="972"/>
    <col width="13" customWidth="1" style="160" min="973" max="973"/>
    <col width="12.1640625" customWidth="1" style="160" min="974" max="974"/>
    <col width="12.83203125" customWidth="1" style="160" min="975" max="975"/>
    <col width="13.1640625" customWidth="1" style="160" min="977" max="977"/>
    <col width="12" customWidth="1" style="160" min="978" max="978"/>
    <col width="13" customWidth="1" style="160" min="979" max="979"/>
    <col width="12.33203125" customWidth="1" style="160" min="980" max="980"/>
    <col width="11.83203125" customWidth="1" style="160" min="981" max="981"/>
    <col width="12.6640625" customWidth="1" style="160" min="982" max="982"/>
    <col width="12.33203125" customWidth="1" style="160" min="983" max="983"/>
    <col width="13" customWidth="1" style="160" min="984" max="984"/>
    <col width="13.33203125" customWidth="1" style="160" min="985" max="985"/>
    <col width="14" customWidth="1" style="160" min="986" max="986"/>
    <col width="13.5" customWidth="1" style="160" min="987" max="987"/>
    <col width="12.1640625" customWidth="1" style="160" min="988" max="988"/>
    <col width="12.33203125" customWidth="1" style="160" min="989" max="989"/>
    <col width="12.5" customWidth="1" style="160" min="990" max="990"/>
    <col width="12.33203125" customWidth="1" style="160" min="991" max="991"/>
    <col width="12.5" customWidth="1" style="160" min="992" max="993"/>
    <col width="12.1640625" customWidth="1" style="160" min="994" max="995"/>
    <col width="13.6640625" customWidth="1" style="160" min="996" max="996"/>
    <col width="12.33203125" customWidth="1" style="160" min="997" max="997"/>
    <col width="12.83203125" customWidth="1" style="160" min="998" max="998"/>
    <col width="12.1640625" customWidth="1" style="160" min="999" max="999"/>
    <col width="13.1640625" customWidth="1" style="160" min="1000" max="1001"/>
    <col width="12.33203125" customWidth="1" style="160" min="1002" max="1002"/>
    <col width="12.6640625" customWidth="1" style="160" min="1003" max="1003"/>
    <col width="13.1640625" customWidth="1" style="160" min="1004" max="1004"/>
    <col width="12.33203125" customWidth="1" style="160" min="1005" max="1006"/>
    <col width="14" customWidth="1" style="160" min="1007" max="1007"/>
    <col width="15" customWidth="1" style="160" min="1009" max="1009"/>
    <col width="12.33203125" customWidth="1" style="160" min="1010" max="1011"/>
    <col width="13.1640625" customWidth="1" style="160" min="1012" max="1012"/>
    <col width="12.1640625" customWidth="1" style="160" min="1013" max="1013"/>
    <col width="12.5" customWidth="1" style="160" min="1014" max="1014"/>
    <col width="12" customWidth="1" style="160" min="1015" max="1015"/>
    <col width="12.33203125" customWidth="1" style="160" min="1016" max="1016"/>
    <col width="13" customWidth="1" style="160" min="1017" max="1017"/>
    <col width="12.5" customWidth="1" style="160" min="1018" max="1018"/>
    <col width="12.83203125" customWidth="1" style="160" min="1019" max="1019"/>
    <col width="13.6640625" customWidth="1" style="160" min="1020" max="1020"/>
    <col width="12" customWidth="1" style="160" min="1021" max="1021"/>
    <col width="12.83203125" customWidth="1" style="160" min="1022" max="1022"/>
    <col width="13.83203125" customWidth="1" style="160" min="1023" max="1023"/>
    <col width="12.83203125" customWidth="1" style="160" min="1024" max="1024"/>
    <col width="13" customWidth="1" style="160" min="1025" max="1025"/>
    <col width="12.5" customWidth="1" style="160" min="1026" max="1026"/>
    <col width="13" customWidth="1" style="160" min="1027" max="1027"/>
    <col width="12.5" customWidth="1" style="160" min="1028" max="1028"/>
    <col width="12.83203125" customWidth="1" style="160" min="1029" max="1029"/>
    <col width="12" customWidth="1" style="160" min="1030" max="1030"/>
    <col width="12.5" customWidth="1" style="160" min="1031" max="1032"/>
    <col width="12.83203125" customWidth="1" style="160" min="1033" max="1033"/>
    <col width="13.5" customWidth="1" style="160" min="1034" max="1034"/>
    <col width="14" customWidth="1" style="160" min="1035" max="1035"/>
    <col width="12.83203125" customWidth="1" style="160" min="1036" max="1036"/>
    <col width="13" customWidth="1" style="160" min="1037" max="1038"/>
    <col width="14.6640625" customWidth="1" style="160" min="1040" max="1040"/>
    <col width="13.83203125" customWidth="1" style="160" min="1041" max="1041"/>
    <col width="12.1640625" customWidth="1" style="160" min="1042" max="1042"/>
    <col width="12.5" customWidth="1" style="160" min="1043" max="1044"/>
    <col width="13" customWidth="1" style="160" min="1045" max="1045"/>
    <col width="13.5" customWidth="1" style="160" min="1046" max="1046"/>
    <col width="12.6640625" customWidth="1" style="160" min="1047" max="1047"/>
    <col width="11.6640625" customWidth="1" style="160" min="1048" max="1048"/>
    <col width="11.1640625" customWidth="1" style="160" min="1049" max="1049"/>
    <col width="12.1640625" customWidth="1" style="160" min="1050" max="1050"/>
    <col width="11.1640625" customWidth="1" style="160" min="1051" max="1052"/>
    <col width="11.33203125" customWidth="1" style="160" min="1053" max="1053"/>
    <col width="11.6640625" customWidth="1" style="160" min="1054" max="1054"/>
    <col width="11.83203125" customWidth="1" style="160" min="1055" max="1055"/>
    <col width="11.33203125" customWidth="1" style="160" min="1056" max="1056"/>
    <col width="12.5" customWidth="1" style="160" min="1057" max="1057"/>
    <col width="12.1640625" customWidth="1" style="160" min="1058" max="1058"/>
    <col width="11.5" customWidth="1" style="160" min="1059" max="1059"/>
    <col width="11.1640625" customWidth="1" style="160" min="1060" max="1060"/>
    <col width="11.83203125" customWidth="1" style="160" min="1061" max="1061"/>
    <col width="11.33203125" customWidth="1" style="160" min="1062" max="1062"/>
    <col width="11.1640625" customWidth="1" style="160" min="1063" max="1063"/>
    <col width="11.83203125" customWidth="1" style="160" min="1064" max="1064"/>
    <col width="11.5" customWidth="1" style="160" min="1065" max="1066"/>
    <col width="11.83203125" customWidth="1" style="160" min="1067" max="1067"/>
    <col width="12" customWidth="1" style="160" min="1068" max="1068"/>
    <col width="12.33203125" customWidth="1" style="160" min="1069" max="1069"/>
  </cols>
  <sheetData>
    <row r="1">
      <c r="E1" s="82" t="n"/>
      <c r="F1" s="82" t="n"/>
      <c r="G1" s="81" t="n"/>
      <c r="I1" s="82">
        <f>H1-G10</f>
        <v/>
      </c>
    </row>
    <row r="2">
      <c r="KX2" s="130" t="inlineStr">
        <is>
          <t xml:space="preserve">price </t>
        </is>
      </c>
    </row>
    <row r="3">
      <c r="A3" s="50" t="inlineStr">
        <is>
          <t>ITEMS</t>
        </is>
      </c>
      <c r="B3" s="50" t="inlineStr">
        <is>
          <t>PARTICULARS</t>
        </is>
      </c>
      <c r="C3" s="51" t="n">
        <v>44204</v>
      </c>
      <c r="D3" s="51" t="n">
        <v>44965</v>
      </c>
      <c r="E3" s="51" t="n">
        <v>44993</v>
      </c>
      <c r="F3" s="51" t="n">
        <v>45024</v>
      </c>
      <c r="G3" s="51" t="n">
        <v>45054</v>
      </c>
      <c r="H3" s="51" t="n">
        <v>45085</v>
      </c>
      <c r="I3" s="51" t="n">
        <v>45115</v>
      </c>
      <c r="J3" s="3" t="n">
        <v>45146</v>
      </c>
      <c r="K3" s="3" t="n">
        <v>45177</v>
      </c>
      <c r="L3" s="3" t="n">
        <v>45207</v>
      </c>
      <c r="M3" s="3" t="n">
        <v>45238</v>
      </c>
      <c r="N3" s="3" t="n">
        <v>45268</v>
      </c>
      <c r="O3" s="3" t="inlineStr">
        <is>
          <t>13/8/23</t>
        </is>
      </c>
      <c r="P3" s="3" t="inlineStr">
        <is>
          <t>14/8/23</t>
        </is>
      </c>
      <c r="Q3" s="3" t="inlineStr">
        <is>
          <t>15/8/23</t>
        </is>
      </c>
      <c r="R3" s="3" t="inlineStr">
        <is>
          <t>16/8/23</t>
        </is>
      </c>
      <c r="S3" s="3" t="inlineStr">
        <is>
          <t>17/8/23</t>
        </is>
      </c>
      <c r="T3" s="3" t="inlineStr">
        <is>
          <t>18/8/23</t>
        </is>
      </c>
      <c r="U3" s="3" t="inlineStr">
        <is>
          <t>19/8/23</t>
        </is>
      </c>
      <c r="V3" s="3" t="inlineStr">
        <is>
          <t>20/8/23</t>
        </is>
      </c>
      <c r="W3" s="3" t="inlineStr">
        <is>
          <t>21/8/23</t>
        </is>
      </c>
      <c r="X3" s="3" t="inlineStr">
        <is>
          <t>22/8/23</t>
        </is>
      </c>
      <c r="Y3" s="3" t="inlineStr">
        <is>
          <t>23/8/23</t>
        </is>
      </c>
      <c r="Z3" s="3" t="inlineStr">
        <is>
          <t>24/8/23</t>
        </is>
      </c>
      <c r="AA3" s="3" t="inlineStr">
        <is>
          <t>25/8/23</t>
        </is>
      </c>
      <c r="AB3" s="3" t="inlineStr">
        <is>
          <t>26/8/23</t>
        </is>
      </c>
      <c r="AC3" s="3" t="inlineStr">
        <is>
          <t>27/8/23</t>
        </is>
      </c>
      <c r="AD3" s="3" t="inlineStr">
        <is>
          <t>28/8/23</t>
        </is>
      </c>
      <c r="AE3" s="3" t="inlineStr">
        <is>
          <t>29/8/23</t>
        </is>
      </c>
      <c r="AF3" s="3" t="inlineStr">
        <is>
          <t>30/8/2023</t>
        </is>
      </c>
      <c r="AG3" s="3" t="inlineStr">
        <is>
          <t>31/8/2023</t>
        </is>
      </c>
      <c r="AH3" s="66" t="inlineStr">
        <is>
          <t>MONTHLY TOTAL</t>
        </is>
      </c>
      <c r="AI3" s="88" t="n">
        <v>45170</v>
      </c>
      <c r="AJ3" s="88">
        <f>AI3+1</f>
        <v/>
      </c>
      <c r="AK3" s="88">
        <f>AJ3+1</f>
        <v/>
      </c>
      <c r="AL3" s="88">
        <f>AK3+1</f>
        <v/>
      </c>
      <c r="AM3" s="88">
        <f>AL3+1</f>
        <v/>
      </c>
      <c r="AN3" s="88">
        <f>AM3+1</f>
        <v/>
      </c>
      <c r="AO3" s="88">
        <f>AN3+1</f>
        <v/>
      </c>
      <c r="AP3" s="88">
        <f>AO3+1</f>
        <v/>
      </c>
      <c r="AQ3" s="88">
        <f>AP3+1</f>
        <v/>
      </c>
      <c r="AR3" s="88">
        <f>AQ3+1</f>
        <v/>
      </c>
      <c r="AS3" s="101">
        <f>AR3+1</f>
        <v/>
      </c>
      <c r="AT3" s="88">
        <f>AS3+1</f>
        <v/>
      </c>
      <c r="AU3" s="88">
        <f>AT3+1</f>
        <v/>
      </c>
      <c r="AV3" s="88">
        <f>AU3+1</f>
        <v/>
      </c>
      <c r="AW3" s="88">
        <f>AV3+1</f>
        <v/>
      </c>
      <c r="AX3" s="88">
        <f>AW3+1</f>
        <v/>
      </c>
      <c r="AY3" s="88">
        <f>AX3+1</f>
        <v/>
      </c>
      <c r="AZ3" s="88">
        <f>AY3+1</f>
        <v/>
      </c>
      <c r="BA3" s="88">
        <f>AZ3+1</f>
        <v/>
      </c>
      <c r="BB3" s="88">
        <f>BA3+1</f>
        <v/>
      </c>
      <c r="BC3" s="88">
        <f>BB3+1</f>
        <v/>
      </c>
      <c r="BD3" s="88">
        <f>BC3+1</f>
        <v/>
      </c>
      <c r="BE3" s="88">
        <f>BD3+1</f>
        <v/>
      </c>
      <c r="BF3" s="88">
        <f>BE3+1</f>
        <v/>
      </c>
      <c r="BG3" s="88">
        <f>BF3+1</f>
        <v/>
      </c>
      <c r="BH3" s="88">
        <f>BG3+1</f>
        <v/>
      </c>
      <c r="BI3" s="88">
        <f>BH3+1</f>
        <v/>
      </c>
      <c r="BJ3" s="88">
        <f>BI3+1</f>
        <v/>
      </c>
      <c r="BK3" s="88">
        <f>BJ3+1</f>
        <v/>
      </c>
      <c r="BL3" s="88">
        <f>BK3+1</f>
        <v/>
      </c>
      <c r="BM3" s="104" t="inlineStr">
        <is>
          <t>Monthly Total</t>
        </is>
      </c>
      <c r="BN3" s="88">
        <f>AI3+30</f>
        <v/>
      </c>
      <c r="BO3" s="88">
        <f>AJ3+30</f>
        <v/>
      </c>
      <c r="BP3" s="88">
        <f>AK3+30</f>
        <v/>
      </c>
      <c r="BQ3" s="88">
        <f>AL3+30</f>
        <v/>
      </c>
      <c r="BR3" s="88">
        <f>AM3+30</f>
        <v/>
      </c>
      <c r="BS3" s="88">
        <f>AN3+30</f>
        <v/>
      </c>
      <c r="BT3" s="88">
        <f>AO3+30</f>
        <v/>
      </c>
      <c r="BU3" s="88">
        <f>AP3+30</f>
        <v/>
      </c>
      <c r="BV3" s="88">
        <f>AQ3+30</f>
        <v/>
      </c>
      <c r="BW3" s="88">
        <f>AR3+30</f>
        <v/>
      </c>
      <c r="BX3" s="88">
        <f>AS3+30</f>
        <v/>
      </c>
      <c r="BY3" s="88">
        <f>AT3+30</f>
        <v/>
      </c>
      <c r="BZ3" s="88">
        <f>AU3+30</f>
        <v/>
      </c>
      <c r="CA3" s="114">
        <f>AV3+30</f>
        <v/>
      </c>
      <c r="CB3" s="88">
        <f>AW3+30</f>
        <v/>
      </c>
      <c r="CC3" s="88">
        <f>AX3+30</f>
        <v/>
      </c>
      <c r="CD3" s="88">
        <f>AY3+30</f>
        <v/>
      </c>
      <c r="CE3" s="88">
        <f>AZ3+30</f>
        <v/>
      </c>
      <c r="CF3" s="88">
        <f>BA3+30</f>
        <v/>
      </c>
      <c r="CG3" s="88">
        <f>BB3+30</f>
        <v/>
      </c>
      <c r="CH3" s="88">
        <f>BC3+30</f>
        <v/>
      </c>
      <c r="CI3" s="88">
        <f>BD3+30</f>
        <v/>
      </c>
      <c r="CJ3" s="88">
        <f>BE3+30</f>
        <v/>
      </c>
      <c r="CK3" s="88">
        <f>BF3+30</f>
        <v/>
      </c>
      <c r="CL3" s="88">
        <f>BG3+30</f>
        <v/>
      </c>
      <c r="CM3" s="88">
        <f>BH3+30</f>
        <v/>
      </c>
      <c r="CN3" s="88">
        <f>BI3+30</f>
        <v/>
      </c>
      <c r="CO3" s="88">
        <f>BJ3+30</f>
        <v/>
      </c>
      <c r="CP3" s="88">
        <f>BK3+30</f>
        <v/>
      </c>
      <c r="CQ3" s="88">
        <f>BL3+30</f>
        <v/>
      </c>
      <c r="CR3" s="88">
        <f>BN3+30</f>
        <v/>
      </c>
      <c r="CS3" s="88" t="inlineStr">
        <is>
          <t>Monthly Total</t>
        </is>
      </c>
      <c r="CT3" s="88">
        <f>BO3+30</f>
        <v/>
      </c>
      <c r="CU3" s="88">
        <f>BP3+30</f>
        <v/>
      </c>
      <c r="CV3" s="88">
        <f>BQ3+30</f>
        <v/>
      </c>
      <c r="CW3" s="114">
        <f>BR3+30</f>
        <v/>
      </c>
      <c r="CX3" s="88">
        <f>BS3+30</f>
        <v/>
      </c>
      <c r="CY3" s="88">
        <f>BT3+30</f>
        <v/>
      </c>
      <c r="CZ3" s="88">
        <f>BU3+30</f>
        <v/>
      </c>
      <c r="DA3" s="88">
        <f>BV3+30</f>
        <v/>
      </c>
      <c r="DB3" s="88">
        <f>BW3+30</f>
        <v/>
      </c>
      <c r="DC3" s="88">
        <f>BX3+30</f>
        <v/>
      </c>
      <c r="DD3" s="88">
        <f>BY3+30</f>
        <v/>
      </c>
      <c r="DE3" s="88">
        <f>BZ3+30</f>
        <v/>
      </c>
      <c r="DF3" s="88">
        <f>CA3+30</f>
        <v/>
      </c>
      <c r="DG3" s="88">
        <f>CB3+30</f>
        <v/>
      </c>
      <c r="DH3" s="88">
        <f>CC3+30</f>
        <v/>
      </c>
      <c r="DI3" s="88">
        <f>CD3+30</f>
        <v/>
      </c>
      <c r="DJ3" s="88">
        <f>CE3+30</f>
        <v/>
      </c>
      <c r="DK3" s="88">
        <f>CF3+30</f>
        <v/>
      </c>
      <c r="DL3" s="88">
        <f>CG3+30</f>
        <v/>
      </c>
      <c r="DM3" s="88">
        <f>CH3+30</f>
        <v/>
      </c>
      <c r="DN3" s="88">
        <f>CI3+30</f>
        <v/>
      </c>
      <c r="DO3" s="88">
        <f>CJ3+30</f>
        <v/>
      </c>
      <c r="DP3" s="88">
        <f>CK3+30</f>
        <v/>
      </c>
      <c r="DQ3" s="88">
        <f>CL3+30</f>
        <v/>
      </c>
      <c r="DR3" s="88">
        <f>CM3+30</f>
        <v/>
      </c>
      <c r="DS3" s="88">
        <f>CN3+30</f>
        <v/>
      </c>
      <c r="DT3" s="88">
        <f>CO3+30</f>
        <v/>
      </c>
      <c r="DU3" s="88">
        <f>CP3+30</f>
        <v/>
      </c>
      <c r="DV3" s="88">
        <f>CQ3+30</f>
        <v/>
      </c>
      <c r="DW3" s="88" t="inlineStr">
        <is>
          <t>30th nov</t>
        </is>
      </c>
      <c r="DX3" s="88" t="inlineStr">
        <is>
          <t>MONTHLY TOTAL</t>
        </is>
      </c>
      <c r="DY3" s="115" t="n">
        <v>45261</v>
      </c>
      <c r="DZ3" s="115">
        <f>DY3+1</f>
        <v/>
      </c>
      <c r="EA3" s="115">
        <f>DZ3+1</f>
        <v/>
      </c>
      <c r="EB3" s="115">
        <f>EA3+1</f>
        <v/>
      </c>
      <c r="EC3" s="115">
        <f>EB3+1</f>
        <v/>
      </c>
      <c r="ED3" s="115">
        <f>EC3+1</f>
        <v/>
      </c>
      <c r="EE3" s="115">
        <f>ED3+1</f>
        <v/>
      </c>
      <c r="EF3" s="115">
        <f>EE3+1</f>
        <v/>
      </c>
      <c r="EG3" s="115">
        <f>EF3+1</f>
        <v/>
      </c>
      <c r="EH3" s="115">
        <f>EG3+1</f>
        <v/>
      </c>
      <c r="EI3" s="124">
        <f>EH3+1</f>
        <v/>
      </c>
      <c r="EJ3" s="115">
        <f>EI3+1</f>
        <v/>
      </c>
      <c r="EK3" s="115">
        <f>EJ3+1</f>
        <v/>
      </c>
      <c r="EL3" s="115">
        <f>EK3+1</f>
        <v/>
      </c>
      <c r="EM3" s="115">
        <f>EL3+1</f>
        <v/>
      </c>
      <c r="EN3" s="115">
        <f>EM3+1</f>
        <v/>
      </c>
      <c r="EO3" s="115">
        <f>EN3+1</f>
        <v/>
      </c>
      <c r="EP3" s="115">
        <f>EO3+1</f>
        <v/>
      </c>
      <c r="EQ3" s="115">
        <f>EP3+1</f>
        <v/>
      </c>
      <c r="ER3" s="115">
        <f>EQ3+1</f>
        <v/>
      </c>
      <c r="ES3" s="115">
        <f>ER3+1</f>
        <v/>
      </c>
      <c r="ET3" s="115">
        <f>ES3+1</f>
        <v/>
      </c>
      <c r="EU3" s="115">
        <f>ET3+1</f>
        <v/>
      </c>
      <c r="EV3" s="115">
        <f>EU3+1</f>
        <v/>
      </c>
      <c r="EW3" s="115">
        <f>EV3+1</f>
        <v/>
      </c>
      <c r="EX3" s="115">
        <f>EW3+1</f>
        <v/>
      </c>
      <c r="EY3" s="115">
        <f>EX3+1</f>
        <v/>
      </c>
      <c r="EZ3" s="115">
        <f>EY3+1</f>
        <v/>
      </c>
      <c r="FA3" s="115">
        <f>EZ3+1</f>
        <v/>
      </c>
      <c r="FB3" s="115">
        <f>FA3+1</f>
        <v/>
      </c>
      <c r="FC3" s="115">
        <f>FB3+1</f>
        <v/>
      </c>
      <c r="FD3" s="125" t="inlineStr">
        <is>
          <t>MONTHLY TOTAL</t>
        </is>
      </c>
      <c r="FE3" s="115">
        <f>FC3+1</f>
        <v/>
      </c>
      <c r="FF3" s="115">
        <f>FE3+1</f>
        <v/>
      </c>
      <c r="FG3" s="115">
        <f>FF3+1</f>
        <v/>
      </c>
      <c r="FH3" s="129">
        <f>FG3+1</f>
        <v/>
      </c>
      <c r="FI3" s="115">
        <f>FH3+1</f>
        <v/>
      </c>
      <c r="FJ3" s="115">
        <f>FI3+1</f>
        <v/>
      </c>
      <c r="FK3" s="115">
        <f>FJ3+1</f>
        <v/>
      </c>
      <c r="FL3" s="115">
        <f>FK3+1</f>
        <v/>
      </c>
      <c r="FM3" s="115">
        <f>FL3+1</f>
        <v/>
      </c>
      <c r="FN3" s="115">
        <f>FM3+1</f>
        <v/>
      </c>
      <c r="FO3" s="115">
        <f>FN3+1</f>
        <v/>
      </c>
      <c r="FP3" s="115">
        <f>FO3+1</f>
        <v/>
      </c>
      <c r="FQ3" s="115">
        <f>FP3+1</f>
        <v/>
      </c>
      <c r="FR3" s="115">
        <f>FQ3+1</f>
        <v/>
      </c>
      <c r="FS3" s="115">
        <f>FR3+1</f>
        <v/>
      </c>
      <c r="FT3" s="115">
        <f>FS3+1</f>
        <v/>
      </c>
      <c r="FU3" s="115">
        <f>FT3+1</f>
        <v/>
      </c>
      <c r="FV3" s="115">
        <f>FU3+1</f>
        <v/>
      </c>
      <c r="FW3" s="115">
        <f>FV3+1</f>
        <v/>
      </c>
      <c r="FX3" s="115">
        <f>FW3+1</f>
        <v/>
      </c>
      <c r="FY3" s="115">
        <f>FX3+1</f>
        <v/>
      </c>
      <c r="FZ3" s="115">
        <f>FY3+1</f>
        <v/>
      </c>
      <c r="GA3" s="115">
        <f>FZ3+1</f>
        <v/>
      </c>
      <c r="GB3" s="115">
        <f>GA3+1</f>
        <v/>
      </c>
      <c r="GC3" s="115">
        <f>GB3+1</f>
        <v/>
      </c>
      <c r="GD3" s="115">
        <f>GC3+1</f>
        <v/>
      </c>
      <c r="GE3" s="115">
        <f>GD3+1</f>
        <v/>
      </c>
      <c r="GF3" s="115">
        <f>GE3+1</f>
        <v/>
      </c>
      <c r="GG3" s="115">
        <f>GF3+1</f>
        <v/>
      </c>
      <c r="GH3" s="115">
        <f>GG3+1</f>
        <v/>
      </c>
      <c r="GI3" s="115">
        <f>GH3+1</f>
        <v/>
      </c>
      <c r="GJ3" s="125" t="inlineStr">
        <is>
          <t>MONTHLY TOTAL</t>
        </is>
      </c>
      <c r="GK3" s="115">
        <f>GI3+1</f>
        <v/>
      </c>
      <c r="GL3" s="115">
        <f>GK3+1</f>
        <v/>
      </c>
      <c r="GM3" s="115">
        <f>GL3+1</f>
        <v/>
      </c>
      <c r="GN3" s="115">
        <f>GM3+1</f>
        <v/>
      </c>
      <c r="GO3" s="115">
        <f>GN3+1</f>
        <v/>
      </c>
      <c r="GP3" s="115">
        <f>GO3+1</f>
        <v/>
      </c>
      <c r="GQ3" s="115">
        <f>GP3+1</f>
        <v/>
      </c>
      <c r="GR3" s="115">
        <f>GQ3+1</f>
        <v/>
      </c>
      <c r="GS3" s="115">
        <f>GR3+1</f>
        <v/>
      </c>
      <c r="GT3" s="115">
        <f>GS3+1</f>
        <v/>
      </c>
      <c r="GU3" s="131">
        <f>GT3+1</f>
        <v/>
      </c>
      <c r="GV3" s="115">
        <f>GU3+1</f>
        <v/>
      </c>
      <c r="GW3" s="115">
        <f>GV3+1</f>
        <v/>
      </c>
      <c r="GX3" s="115">
        <f>GW3+1</f>
        <v/>
      </c>
      <c r="GY3" s="115">
        <f>GX3+1</f>
        <v/>
      </c>
      <c r="GZ3" s="115">
        <f>GY3+1</f>
        <v/>
      </c>
      <c r="HA3" s="115">
        <f>GZ3+1</f>
        <v/>
      </c>
      <c r="HB3" s="115">
        <f>HA3+1</f>
        <v/>
      </c>
      <c r="HC3" s="115">
        <f>HB3+1</f>
        <v/>
      </c>
      <c r="HD3" s="115">
        <f>HC3+1</f>
        <v/>
      </c>
      <c r="HE3" s="115">
        <f>HD3+1</f>
        <v/>
      </c>
      <c r="HF3" s="115">
        <f>HE3+1</f>
        <v/>
      </c>
      <c r="HG3" s="115">
        <f>HF3+1</f>
        <v/>
      </c>
      <c r="HH3" s="115">
        <f>HG3+1</f>
        <v/>
      </c>
      <c r="HI3" s="115">
        <f>HH3+1</f>
        <v/>
      </c>
      <c r="HJ3" s="115">
        <f>HI3+1</f>
        <v/>
      </c>
      <c r="HK3" s="115">
        <f>HJ3+1</f>
        <v/>
      </c>
      <c r="HL3" s="115">
        <f>HK3+1</f>
        <v/>
      </c>
      <c r="HM3" s="115">
        <f>HL3+1</f>
        <v/>
      </c>
      <c r="HN3" s="134" t="n"/>
      <c r="HO3" s="115" t="n">
        <v>45352</v>
      </c>
      <c r="HP3" s="115">
        <f>HO3+1</f>
        <v/>
      </c>
      <c r="HQ3" s="115">
        <f>HP3+1</f>
        <v/>
      </c>
      <c r="HR3" s="115">
        <f>HQ3+1</f>
        <v/>
      </c>
      <c r="HS3" s="115">
        <f>HR3+1</f>
        <v/>
      </c>
      <c r="HT3" s="115">
        <f>HS3+1</f>
        <v/>
      </c>
      <c r="HU3" s="136">
        <f>HT3+1</f>
        <v/>
      </c>
      <c r="HV3" s="115">
        <f>HU3+1</f>
        <v/>
      </c>
      <c r="HW3" s="115">
        <f>HV3+1</f>
        <v/>
      </c>
      <c r="HX3" s="115">
        <f>HW3+1</f>
        <v/>
      </c>
      <c r="HY3" s="115">
        <f>HX3+1</f>
        <v/>
      </c>
      <c r="HZ3" s="115">
        <f>HY3+1</f>
        <v/>
      </c>
      <c r="IA3" s="115">
        <f>HZ3+1</f>
        <v/>
      </c>
      <c r="IB3" s="115">
        <f>IA3+1</f>
        <v/>
      </c>
      <c r="IC3" s="115">
        <f>IB3+1</f>
        <v/>
      </c>
      <c r="ID3" s="115">
        <f>IC3+1</f>
        <v/>
      </c>
      <c r="IE3" s="115">
        <f>ID3+1</f>
        <v/>
      </c>
      <c r="IF3" s="115">
        <f>IE3+1</f>
        <v/>
      </c>
      <c r="IG3" s="115">
        <f>IF3+1</f>
        <v/>
      </c>
      <c r="IH3" s="115">
        <f>IG3+1</f>
        <v/>
      </c>
      <c r="II3" s="115">
        <f>IH3+1</f>
        <v/>
      </c>
      <c r="IJ3" s="115">
        <f>II3+1</f>
        <v/>
      </c>
      <c r="IK3" s="115">
        <f>IJ3+1</f>
        <v/>
      </c>
      <c r="IL3" s="115">
        <f>IK3+1</f>
        <v/>
      </c>
      <c r="IM3" s="115">
        <f>IL3+1</f>
        <v/>
      </c>
      <c r="IN3" s="115">
        <f>IM3+1</f>
        <v/>
      </c>
      <c r="IO3" s="115">
        <f>IN3+1</f>
        <v/>
      </c>
      <c r="IP3" s="115">
        <f>IO3+1</f>
        <v/>
      </c>
      <c r="IQ3" s="115">
        <f>IP3+1</f>
        <v/>
      </c>
      <c r="IR3" s="115">
        <f>IQ3+1</f>
        <v/>
      </c>
      <c r="IS3" s="115">
        <f>IR3+1</f>
        <v/>
      </c>
      <c r="IT3" s="130" t="n"/>
      <c r="IU3" s="115" t="n">
        <v>45383</v>
      </c>
      <c r="IV3" s="115">
        <f>IU3+1</f>
        <v/>
      </c>
      <c r="IW3" s="136">
        <f>IV3+1</f>
        <v/>
      </c>
      <c r="IX3" s="115">
        <f>IW3+1</f>
        <v/>
      </c>
      <c r="IY3" s="115">
        <f>IX3+1</f>
        <v/>
      </c>
      <c r="IZ3" s="115">
        <f>IY3+1</f>
        <v/>
      </c>
      <c r="JA3" s="115">
        <f>IZ3+1</f>
        <v/>
      </c>
      <c r="JB3" s="115">
        <f>JA3+1</f>
        <v/>
      </c>
      <c r="JC3" s="115">
        <f>JB3+1</f>
        <v/>
      </c>
      <c r="JD3" s="115">
        <f>JC3+1</f>
        <v/>
      </c>
      <c r="JE3" s="115">
        <f>JD3+1</f>
        <v/>
      </c>
      <c r="JF3" s="115">
        <f>JE3+1</f>
        <v/>
      </c>
      <c r="JG3" s="115">
        <f>JF3+1</f>
        <v/>
      </c>
      <c r="JH3" s="115">
        <f>JG3+1</f>
        <v/>
      </c>
      <c r="JI3" s="115">
        <f>JH3+1</f>
        <v/>
      </c>
      <c r="JJ3" s="115">
        <f>JI3+1</f>
        <v/>
      </c>
      <c r="JK3" s="115">
        <f>JJ3+1</f>
        <v/>
      </c>
      <c r="JL3" s="115">
        <f>JK3+1</f>
        <v/>
      </c>
      <c r="JM3" s="115">
        <f>JL3+1</f>
        <v/>
      </c>
      <c r="JN3" s="115">
        <f>JM3+1</f>
        <v/>
      </c>
      <c r="JO3" s="115">
        <f>JN3+1</f>
        <v/>
      </c>
      <c r="JP3" s="115">
        <f>JO3+1</f>
        <v/>
      </c>
      <c r="JQ3" s="115">
        <f>JP3+1</f>
        <v/>
      </c>
      <c r="JR3" s="115">
        <f>JQ3+1</f>
        <v/>
      </c>
      <c r="JS3" s="115">
        <f>JR3+1</f>
        <v/>
      </c>
      <c r="JT3" s="115">
        <f>JS3+1</f>
        <v/>
      </c>
      <c r="JU3" s="115">
        <f>JT3+1</f>
        <v/>
      </c>
      <c r="JV3" s="115">
        <f>JU3+1</f>
        <v/>
      </c>
      <c r="JW3" s="115">
        <f>JV3+1</f>
        <v/>
      </c>
      <c r="JX3" s="115">
        <f>JW3+1</f>
        <v/>
      </c>
      <c r="JY3" s="134" t="n"/>
      <c r="JZ3" s="115">
        <f>JX3+1</f>
        <v/>
      </c>
      <c r="KA3" s="115">
        <f>JZ3+1</f>
        <v/>
      </c>
      <c r="KB3" s="115">
        <f>KA3+1</f>
        <v/>
      </c>
      <c r="KC3" s="115">
        <f>KB3+1</f>
        <v/>
      </c>
      <c r="KD3" s="115">
        <f>KC3+1</f>
        <v/>
      </c>
      <c r="KE3" s="115">
        <f>KD3+1</f>
        <v/>
      </c>
      <c r="KF3" s="115">
        <f>KE3+1</f>
        <v/>
      </c>
      <c r="KG3" s="136">
        <f>KF3+1</f>
        <v/>
      </c>
      <c r="KH3" s="115">
        <f>KG3+1</f>
        <v/>
      </c>
      <c r="KI3" s="115">
        <f>KH3+1</f>
        <v/>
      </c>
      <c r="KJ3" s="115">
        <f>KI3+1</f>
        <v/>
      </c>
      <c r="KK3" s="115">
        <f>KJ3+1</f>
        <v/>
      </c>
      <c r="KL3" s="115">
        <f>KK3+1</f>
        <v/>
      </c>
      <c r="KM3" s="115">
        <f>KL3+1</f>
        <v/>
      </c>
      <c r="KN3" s="115">
        <f>KM3+1</f>
        <v/>
      </c>
      <c r="KO3" s="115">
        <f>KN3+1</f>
        <v/>
      </c>
      <c r="KP3" s="115">
        <f>KO3+1</f>
        <v/>
      </c>
      <c r="KQ3" s="115">
        <f>KP3+1</f>
        <v/>
      </c>
      <c r="KR3" s="115">
        <f>KQ3+1</f>
        <v/>
      </c>
      <c r="KS3" s="115">
        <f>KR3+1</f>
        <v/>
      </c>
      <c r="KT3" s="115">
        <f>KS3+1</f>
        <v/>
      </c>
      <c r="KU3" s="115">
        <f>KT3+1</f>
        <v/>
      </c>
      <c r="KV3" s="115">
        <f>KU3+1</f>
        <v/>
      </c>
      <c r="KW3" s="115">
        <f>KV3+1</f>
        <v/>
      </c>
      <c r="KX3" s="115">
        <f>KW3+1</f>
        <v/>
      </c>
      <c r="KY3" s="115">
        <f>KX3+1</f>
        <v/>
      </c>
      <c r="KZ3" s="115">
        <f>KY3+1</f>
        <v/>
      </c>
      <c r="LA3" s="115">
        <f>KZ3+1</f>
        <v/>
      </c>
      <c r="LB3" s="115">
        <f>LA3+1</f>
        <v/>
      </c>
      <c r="LC3" s="115">
        <f>LB3+1</f>
        <v/>
      </c>
      <c r="LD3" s="115">
        <f>LC3+1</f>
        <v/>
      </c>
      <c r="LE3" s="130" t="n"/>
      <c r="LF3" s="52" t="inlineStr">
        <is>
          <t xml:space="preserve">1st june </t>
        </is>
      </c>
      <c r="LG3" t="inlineStr">
        <is>
          <t>2nd -june</t>
        </is>
      </c>
      <c r="LH3" t="inlineStr">
        <is>
          <t>3rd -june</t>
        </is>
      </c>
      <c r="LI3" t="inlineStr">
        <is>
          <t>4th -june</t>
        </is>
      </c>
      <c r="LJ3" t="inlineStr">
        <is>
          <t>5th -june</t>
        </is>
      </c>
      <c r="LK3" t="inlineStr">
        <is>
          <t>6th -june</t>
        </is>
      </c>
      <c r="LL3" t="inlineStr">
        <is>
          <t>7th -june</t>
        </is>
      </c>
      <c r="LM3" t="inlineStr">
        <is>
          <t>8th -june</t>
        </is>
      </c>
      <c r="LN3" t="inlineStr">
        <is>
          <t>9th -june</t>
        </is>
      </c>
      <c r="LO3" t="inlineStr">
        <is>
          <t>10th -june</t>
        </is>
      </c>
      <c r="LP3" t="inlineStr">
        <is>
          <t>11th -june</t>
        </is>
      </c>
      <c r="LQ3" t="inlineStr">
        <is>
          <t>12th -june</t>
        </is>
      </c>
      <c r="LR3" s="117" t="inlineStr">
        <is>
          <t>13th -june</t>
        </is>
      </c>
      <c r="LS3" t="inlineStr">
        <is>
          <t>14th -june</t>
        </is>
      </c>
      <c r="LT3" t="inlineStr">
        <is>
          <t>15th -june</t>
        </is>
      </c>
      <c r="LU3" t="inlineStr">
        <is>
          <t>16th -june</t>
        </is>
      </c>
      <c r="LV3" t="inlineStr">
        <is>
          <t>17th -june</t>
        </is>
      </c>
      <c r="LW3" t="inlineStr">
        <is>
          <t>18th -june</t>
        </is>
      </c>
      <c r="LX3" t="inlineStr">
        <is>
          <t>19th -june</t>
        </is>
      </c>
      <c r="LY3" t="inlineStr">
        <is>
          <t>20th -june</t>
        </is>
      </c>
      <c r="LZ3" t="inlineStr">
        <is>
          <t>21st -june</t>
        </is>
      </c>
      <c r="MA3" t="inlineStr">
        <is>
          <t>22nd -june</t>
        </is>
      </c>
      <c r="MB3" t="inlineStr">
        <is>
          <t>23rd -june</t>
        </is>
      </c>
      <c r="MC3" t="inlineStr">
        <is>
          <t>24th -june</t>
        </is>
      </c>
      <c r="MD3" t="inlineStr">
        <is>
          <t>25th -june</t>
        </is>
      </c>
      <c r="ME3" t="inlineStr">
        <is>
          <t>26th -june</t>
        </is>
      </c>
      <c r="MF3" t="inlineStr">
        <is>
          <t>27th -june</t>
        </is>
      </c>
      <c r="MG3" t="inlineStr">
        <is>
          <t>28th -june</t>
        </is>
      </c>
      <c r="MH3" t="inlineStr">
        <is>
          <t>29th -june</t>
        </is>
      </c>
      <c r="MI3" t="inlineStr">
        <is>
          <t>30th -june</t>
        </is>
      </c>
      <c r="MJ3" s="130" t="inlineStr">
        <is>
          <t>total</t>
        </is>
      </c>
      <c r="MK3" t="inlineStr">
        <is>
          <t>1st July</t>
        </is>
      </c>
      <c r="ML3" t="inlineStr">
        <is>
          <t>2nd July</t>
        </is>
      </c>
      <c r="MM3" t="inlineStr">
        <is>
          <t>3rd July</t>
        </is>
      </c>
      <c r="MN3" t="inlineStr">
        <is>
          <t>4th July</t>
        </is>
      </c>
      <c r="MO3" t="inlineStr">
        <is>
          <t>5th July</t>
        </is>
      </c>
      <c r="MP3" t="inlineStr">
        <is>
          <t>6th July</t>
        </is>
      </c>
      <c r="MQ3" t="inlineStr">
        <is>
          <t>7th July</t>
        </is>
      </c>
      <c r="MR3" t="inlineStr">
        <is>
          <t>8th July</t>
        </is>
      </c>
      <c r="MS3" t="inlineStr">
        <is>
          <t>9th July</t>
        </is>
      </c>
      <c r="MT3" t="inlineStr">
        <is>
          <t>10th July</t>
        </is>
      </c>
      <c r="MU3" t="inlineStr">
        <is>
          <t>11th July</t>
        </is>
      </c>
      <c r="MV3" t="inlineStr">
        <is>
          <t>12th July</t>
        </is>
      </c>
      <c r="MW3" t="inlineStr">
        <is>
          <t>13th July</t>
        </is>
      </c>
      <c r="MX3" t="inlineStr">
        <is>
          <t>14th July</t>
        </is>
      </c>
      <c r="MY3" t="inlineStr">
        <is>
          <t>15th July</t>
        </is>
      </c>
      <c r="MZ3" t="inlineStr">
        <is>
          <t>16th July</t>
        </is>
      </c>
      <c r="NA3" t="inlineStr">
        <is>
          <t>17th July</t>
        </is>
      </c>
      <c r="NB3" t="inlineStr">
        <is>
          <t>18th July</t>
        </is>
      </c>
      <c r="NC3" t="inlineStr">
        <is>
          <t>19th July</t>
        </is>
      </c>
      <c r="ND3" t="inlineStr">
        <is>
          <t>20th July</t>
        </is>
      </c>
      <c r="NE3" t="inlineStr">
        <is>
          <t>21st July</t>
        </is>
      </c>
      <c r="NF3" t="inlineStr">
        <is>
          <t>22nd July</t>
        </is>
      </c>
      <c r="NG3" t="inlineStr">
        <is>
          <t>23rd July</t>
        </is>
      </c>
      <c r="NH3" s="105" t="inlineStr">
        <is>
          <t>24th July</t>
        </is>
      </c>
      <c r="NI3" t="inlineStr">
        <is>
          <t>25th July</t>
        </is>
      </c>
      <c r="NJ3" t="inlineStr">
        <is>
          <t>26th July</t>
        </is>
      </c>
      <c r="NK3" t="inlineStr">
        <is>
          <t>27th July</t>
        </is>
      </c>
      <c r="NL3" t="inlineStr">
        <is>
          <t>28th July</t>
        </is>
      </c>
      <c r="NM3" t="inlineStr">
        <is>
          <t>29th July</t>
        </is>
      </c>
      <c r="NN3" t="inlineStr">
        <is>
          <t>30th July</t>
        </is>
      </c>
      <c r="NO3" t="inlineStr">
        <is>
          <t>31st July</t>
        </is>
      </c>
      <c r="NP3" s="130" t="inlineStr">
        <is>
          <t>total</t>
        </is>
      </c>
      <c r="NQ3" t="inlineStr">
        <is>
          <t>1st aug</t>
        </is>
      </c>
      <c r="NR3" t="inlineStr">
        <is>
          <t>2nd aug</t>
        </is>
      </c>
      <c r="NS3" t="inlineStr">
        <is>
          <t>3rd aug</t>
        </is>
      </c>
      <c r="NT3" t="inlineStr">
        <is>
          <t>4th aug</t>
        </is>
      </c>
      <c r="NU3" t="inlineStr">
        <is>
          <t>5th aug</t>
        </is>
      </c>
      <c r="NV3" s="145" t="inlineStr">
        <is>
          <t>6th aug</t>
        </is>
      </c>
      <c r="NW3" t="inlineStr">
        <is>
          <t>7th aug</t>
        </is>
      </c>
      <c r="NX3" t="inlineStr">
        <is>
          <t>8th aug</t>
        </is>
      </c>
      <c r="NY3" t="inlineStr">
        <is>
          <t>9th aug</t>
        </is>
      </c>
      <c r="NZ3" t="inlineStr">
        <is>
          <t>10th aug</t>
        </is>
      </c>
      <c r="OA3" t="inlineStr">
        <is>
          <t>11th aug</t>
        </is>
      </c>
      <c r="OB3" t="inlineStr">
        <is>
          <t>12th aug</t>
        </is>
      </c>
      <c r="OC3" t="inlineStr">
        <is>
          <t>13th aug</t>
        </is>
      </c>
      <c r="OD3" t="inlineStr">
        <is>
          <t>14th aug</t>
        </is>
      </c>
      <c r="OE3" t="inlineStr">
        <is>
          <t>15th aug</t>
        </is>
      </c>
      <c r="OF3" t="inlineStr">
        <is>
          <t>16th aug</t>
        </is>
      </c>
      <c r="OG3" t="inlineStr">
        <is>
          <t>17th aug</t>
        </is>
      </c>
      <c r="OH3" t="inlineStr">
        <is>
          <t>18th aug</t>
        </is>
      </c>
      <c r="OI3" t="inlineStr">
        <is>
          <t>19th aug</t>
        </is>
      </c>
      <c r="OJ3" t="inlineStr">
        <is>
          <t>20th aug</t>
        </is>
      </c>
      <c r="OK3" t="inlineStr">
        <is>
          <t>21st aug</t>
        </is>
      </c>
      <c r="OL3" t="inlineStr">
        <is>
          <t>22nd aug</t>
        </is>
      </c>
      <c r="OM3" t="inlineStr">
        <is>
          <t>23rd aug</t>
        </is>
      </c>
      <c r="ON3" t="inlineStr">
        <is>
          <t>24th aug</t>
        </is>
      </c>
      <c r="OO3" t="inlineStr">
        <is>
          <t>25th aug</t>
        </is>
      </c>
      <c r="OP3" t="inlineStr">
        <is>
          <t>26th aug</t>
        </is>
      </c>
      <c r="OQ3" t="inlineStr">
        <is>
          <t>27th aug</t>
        </is>
      </c>
      <c r="OR3" t="inlineStr">
        <is>
          <t>28th aug</t>
        </is>
      </c>
      <c r="OS3" t="inlineStr">
        <is>
          <t>29th aug</t>
        </is>
      </c>
      <c r="OT3" t="inlineStr">
        <is>
          <t>30th aug</t>
        </is>
      </c>
      <c r="OU3" t="inlineStr">
        <is>
          <t>31st aug</t>
        </is>
      </c>
      <c r="OV3" s="130" t="inlineStr">
        <is>
          <t>total</t>
        </is>
      </c>
      <c r="OW3" t="inlineStr">
        <is>
          <t>1st sep</t>
        </is>
      </c>
      <c r="OX3" t="inlineStr">
        <is>
          <t>2nd sep</t>
        </is>
      </c>
      <c r="OY3" t="inlineStr">
        <is>
          <t>3rd sep</t>
        </is>
      </c>
      <c r="OZ3" t="inlineStr">
        <is>
          <t>4th sep</t>
        </is>
      </c>
      <c r="PA3" t="inlineStr">
        <is>
          <t>5th sep</t>
        </is>
      </c>
      <c r="PB3" t="inlineStr">
        <is>
          <t>6th sep</t>
        </is>
      </c>
      <c r="PC3" t="inlineStr">
        <is>
          <t>7th sep</t>
        </is>
      </c>
      <c r="PD3" t="inlineStr">
        <is>
          <t>8th sep</t>
        </is>
      </c>
      <c r="PE3" t="inlineStr">
        <is>
          <t>9th sep</t>
        </is>
      </c>
      <c r="PF3" t="inlineStr">
        <is>
          <t>10th sep</t>
        </is>
      </c>
      <c r="PG3" t="inlineStr">
        <is>
          <t>11th sep</t>
        </is>
      </c>
      <c r="PH3" s="117" t="inlineStr">
        <is>
          <t>12th sep</t>
        </is>
      </c>
      <c r="PI3" t="inlineStr">
        <is>
          <t>13th sep</t>
        </is>
      </c>
      <c r="PJ3" t="inlineStr">
        <is>
          <t>14th sep</t>
        </is>
      </c>
      <c r="PK3" t="inlineStr">
        <is>
          <t>15th sep</t>
        </is>
      </c>
      <c r="PL3" t="inlineStr">
        <is>
          <t>16th sep</t>
        </is>
      </c>
      <c r="PM3" t="inlineStr">
        <is>
          <t>17th sep</t>
        </is>
      </c>
      <c r="PN3" t="inlineStr">
        <is>
          <t>18th sep</t>
        </is>
      </c>
      <c r="PO3" t="inlineStr">
        <is>
          <t>19th sep</t>
        </is>
      </c>
      <c r="PP3" t="inlineStr">
        <is>
          <t>20th sep</t>
        </is>
      </c>
      <c r="PQ3" t="inlineStr">
        <is>
          <t>21st sep</t>
        </is>
      </c>
      <c r="PR3" t="inlineStr">
        <is>
          <t>22nd sep</t>
        </is>
      </c>
      <c r="PS3" t="inlineStr">
        <is>
          <t>23rd sep</t>
        </is>
      </c>
      <c r="PT3" t="inlineStr">
        <is>
          <t>24th sep</t>
        </is>
      </c>
      <c r="PU3" t="inlineStr">
        <is>
          <t>25th sep</t>
        </is>
      </c>
      <c r="PV3" t="inlineStr">
        <is>
          <t>26th sep</t>
        </is>
      </c>
      <c r="PW3" t="inlineStr">
        <is>
          <t>27th sep</t>
        </is>
      </c>
      <c r="PX3" t="inlineStr">
        <is>
          <t>28th sep</t>
        </is>
      </c>
      <c r="PY3" t="inlineStr">
        <is>
          <t>29th sep</t>
        </is>
      </c>
      <c r="PZ3" t="inlineStr">
        <is>
          <t>30th sep</t>
        </is>
      </c>
      <c r="QA3" s="130" t="inlineStr">
        <is>
          <t>total</t>
        </is>
      </c>
      <c r="QB3" t="inlineStr">
        <is>
          <t>1st oct-24</t>
        </is>
      </c>
      <c r="QC3" t="inlineStr">
        <is>
          <t>2nd oct-24</t>
        </is>
      </c>
      <c r="QD3" t="inlineStr">
        <is>
          <t>3rd oct-24</t>
        </is>
      </c>
      <c r="QE3" t="inlineStr">
        <is>
          <t>4th oct-24</t>
        </is>
      </c>
      <c r="QF3" t="inlineStr">
        <is>
          <t>5th oct-24</t>
        </is>
      </c>
      <c r="QG3" t="inlineStr">
        <is>
          <t>6th oct-24</t>
        </is>
      </c>
      <c r="QH3" s="117" t="inlineStr">
        <is>
          <t>7th oct-24</t>
        </is>
      </c>
      <c r="QI3" t="inlineStr">
        <is>
          <t>8th oct-24</t>
        </is>
      </c>
      <c r="QJ3" t="inlineStr">
        <is>
          <t>9th oct-24</t>
        </is>
      </c>
      <c r="QK3" t="inlineStr">
        <is>
          <t>10th oct-24</t>
        </is>
      </c>
      <c r="QL3" t="inlineStr">
        <is>
          <t>11th oct-24</t>
        </is>
      </c>
      <c r="QM3" t="inlineStr">
        <is>
          <t>12th oct-24</t>
        </is>
      </c>
      <c r="QN3" t="inlineStr">
        <is>
          <t>13th oct-24</t>
        </is>
      </c>
      <c r="QO3" t="inlineStr">
        <is>
          <t>14th oct-24</t>
        </is>
      </c>
      <c r="QP3" t="inlineStr">
        <is>
          <t>15th oct-24</t>
        </is>
      </c>
      <c r="QQ3" t="inlineStr">
        <is>
          <t>16th oct-24</t>
        </is>
      </c>
      <c r="QR3" t="inlineStr">
        <is>
          <t>17th oct-24</t>
        </is>
      </c>
      <c r="QS3" t="inlineStr">
        <is>
          <t>18th oct-24</t>
        </is>
      </c>
      <c r="QT3" t="inlineStr">
        <is>
          <t>19th oct-24</t>
        </is>
      </c>
      <c r="QU3" t="inlineStr">
        <is>
          <t>20th oct-24</t>
        </is>
      </c>
      <c r="QV3" t="inlineStr">
        <is>
          <t>21st oct-24</t>
        </is>
      </c>
      <c r="QW3" t="inlineStr">
        <is>
          <t>22nd oct-24</t>
        </is>
      </c>
      <c r="QX3" t="inlineStr">
        <is>
          <t>23rd oct-24</t>
        </is>
      </c>
      <c r="QY3" t="inlineStr">
        <is>
          <t>24th oct-24</t>
        </is>
      </c>
      <c r="QZ3" t="inlineStr">
        <is>
          <t>25th oct-24</t>
        </is>
      </c>
      <c r="RA3" t="inlineStr">
        <is>
          <t>26th oct-24</t>
        </is>
      </c>
      <c r="RB3" t="inlineStr">
        <is>
          <t>27th oct-24</t>
        </is>
      </c>
      <c r="RC3" t="inlineStr">
        <is>
          <t>28th oct-24</t>
        </is>
      </c>
      <c r="RD3" t="inlineStr">
        <is>
          <t>29th oct-24</t>
        </is>
      </c>
      <c r="RE3" t="inlineStr">
        <is>
          <t>30th oct-24</t>
        </is>
      </c>
      <c r="RF3" t="inlineStr">
        <is>
          <t>31st oct-24</t>
        </is>
      </c>
      <c r="RG3" t="inlineStr">
        <is>
          <t>total</t>
        </is>
      </c>
      <c r="RH3" t="inlineStr">
        <is>
          <t>1st Nov 24</t>
        </is>
      </c>
      <c r="RI3" t="inlineStr">
        <is>
          <t>2nd Nov 24</t>
        </is>
      </c>
      <c r="RJ3" t="inlineStr">
        <is>
          <t>3rd Nov 24</t>
        </is>
      </c>
      <c r="RK3" t="inlineStr">
        <is>
          <t>4th Nov 24</t>
        </is>
      </c>
      <c r="RL3" t="inlineStr">
        <is>
          <t>5th Nov 24</t>
        </is>
      </c>
      <c r="RM3" t="inlineStr">
        <is>
          <t>6th Nov 24</t>
        </is>
      </c>
      <c r="RN3" t="inlineStr">
        <is>
          <t>7th Nov 24</t>
        </is>
      </c>
      <c r="RO3" t="inlineStr">
        <is>
          <t>8th Nov 24</t>
        </is>
      </c>
      <c r="RP3" t="inlineStr">
        <is>
          <t>9th Nov 24</t>
        </is>
      </c>
      <c r="RQ3" t="inlineStr">
        <is>
          <t>10th Nov 24</t>
        </is>
      </c>
      <c r="RR3" s="117" t="inlineStr">
        <is>
          <t>11th Nov 24</t>
        </is>
      </c>
      <c r="RS3" t="inlineStr">
        <is>
          <t>12th Nov 24</t>
        </is>
      </c>
      <c r="RT3" t="inlineStr">
        <is>
          <t>13th Nov 24</t>
        </is>
      </c>
      <c r="RU3" t="inlineStr">
        <is>
          <t>14th Nov 24</t>
        </is>
      </c>
      <c r="RV3" t="inlineStr">
        <is>
          <t>15th Nov 24</t>
        </is>
      </c>
      <c r="RW3" t="inlineStr">
        <is>
          <t>16th Nov 24</t>
        </is>
      </c>
      <c r="RX3" t="inlineStr">
        <is>
          <t>17th Nov 24</t>
        </is>
      </c>
      <c r="RY3" t="inlineStr">
        <is>
          <t>18th Nov 24</t>
        </is>
      </c>
      <c r="RZ3" t="inlineStr">
        <is>
          <t>19th Nov 24</t>
        </is>
      </c>
      <c r="SA3" t="inlineStr">
        <is>
          <t>20th Nov 24</t>
        </is>
      </c>
      <c r="SB3" t="inlineStr">
        <is>
          <t>21st Nov 24</t>
        </is>
      </c>
      <c r="SC3" t="inlineStr">
        <is>
          <t>22nd Nov 24</t>
        </is>
      </c>
      <c r="SD3" t="inlineStr">
        <is>
          <t>23rd Nov 24</t>
        </is>
      </c>
      <c r="SE3" t="inlineStr">
        <is>
          <t>24th Nov 24</t>
        </is>
      </c>
      <c r="SF3" t="inlineStr">
        <is>
          <t>25th Nov 24</t>
        </is>
      </c>
      <c r="SG3" t="inlineStr">
        <is>
          <t>26th Nov 24</t>
        </is>
      </c>
      <c r="SH3" t="inlineStr">
        <is>
          <t>27th Nov 24</t>
        </is>
      </c>
      <c r="SI3" t="inlineStr">
        <is>
          <t>28th Nov 24</t>
        </is>
      </c>
      <c r="SJ3" t="inlineStr">
        <is>
          <t>29th Nov 24</t>
        </is>
      </c>
      <c r="SK3" t="inlineStr">
        <is>
          <t>30th Nov 24</t>
        </is>
      </c>
      <c r="SL3" t="inlineStr">
        <is>
          <t>Total</t>
        </is>
      </c>
      <c r="SM3" t="inlineStr">
        <is>
          <t>1st dec-2024</t>
        </is>
      </c>
      <c r="SN3" t="inlineStr">
        <is>
          <t>2nd dec-2024</t>
        </is>
      </c>
      <c r="SO3" t="inlineStr">
        <is>
          <t>3rd dec-2024</t>
        </is>
      </c>
      <c r="SP3" t="inlineStr">
        <is>
          <t>4th dec-2024</t>
        </is>
      </c>
      <c r="SQ3" t="inlineStr">
        <is>
          <t>5th dec-2024</t>
        </is>
      </c>
      <c r="SR3" t="inlineStr">
        <is>
          <t>6th dec-2024</t>
        </is>
      </c>
      <c r="SS3" t="inlineStr">
        <is>
          <t>7th dec-2024</t>
        </is>
      </c>
      <c r="ST3" t="inlineStr">
        <is>
          <t>8th dec-2024</t>
        </is>
      </c>
      <c r="SU3" t="inlineStr">
        <is>
          <t>9th dec-2024</t>
        </is>
      </c>
      <c r="SV3" t="inlineStr">
        <is>
          <t>10th dec-2024</t>
        </is>
      </c>
      <c r="SW3" t="inlineStr">
        <is>
          <t>11th dec-2024</t>
        </is>
      </c>
      <c r="SX3" t="inlineStr">
        <is>
          <t>12th dec-2024</t>
        </is>
      </c>
      <c r="SY3" t="inlineStr">
        <is>
          <t>13th dec-2024</t>
        </is>
      </c>
      <c r="SZ3" t="inlineStr">
        <is>
          <t>14th dec-2024</t>
        </is>
      </c>
      <c r="TA3" t="inlineStr">
        <is>
          <t>15th dec-2024</t>
        </is>
      </c>
      <c r="TB3" t="inlineStr">
        <is>
          <t>16th dec-2024</t>
        </is>
      </c>
      <c r="TC3" t="inlineStr">
        <is>
          <t>17th dec-2024</t>
        </is>
      </c>
      <c r="TD3" t="inlineStr">
        <is>
          <t>18th dec-2024</t>
        </is>
      </c>
      <c r="TE3" t="inlineStr">
        <is>
          <t>19th dec-2024</t>
        </is>
      </c>
      <c r="TF3" t="inlineStr">
        <is>
          <t>20th dec-2024</t>
        </is>
      </c>
      <c r="TG3" t="inlineStr">
        <is>
          <t>21st dec-2024</t>
        </is>
      </c>
      <c r="TH3" t="inlineStr">
        <is>
          <t>22nd dec-2024</t>
        </is>
      </c>
      <c r="TI3" t="inlineStr">
        <is>
          <t>23rd dec-2024</t>
        </is>
      </c>
      <c r="TJ3" t="inlineStr">
        <is>
          <t>24th dec-2024</t>
        </is>
      </c>
      <c r="TK3" t="inlineStr">
        <is>
          <t>25th dec-2024</t>
        </is>
      </c>
      <c r="TL3" t="inlineStr">
        <is>
          <t>26th dec-2024</t>
        </is>
      </c>
      <c r="TM3" t="inlineStr">
        <is>
          <t>27th dec-2024</t>
        </is>
      </c>
      <c r="TN3" t="inlineStr">
        <is>
          <t>28th dec-2024</t>
        </is>
      </c>
      <c r="TO3" t="inlineStr">
        <is>
          <t>29th dec-2024</t>
        </is>
      </c>
      <c r="TP3" t="inlineStr">
        <is>
          <t>30th dec-2024</t>
        </is>
      </c>
      <c r="TQ3" t="inlineStr">
        <is>
          <t>31st dec-2024</t>
        </is>
      </c>
      <c r="TR3" s="130" t="inlineStr">
        <is>
          <t>Total</t>
        </is>
      </c>
      <c r="TS3" t="inlineStr">
        <is>
          <t>1st jan -2025</t>
        </is>
      </c>
      <c r="TT3" t="inlineStr">
        <is>
          <t>2nd jan -2025</t>
        </is>
      </c>
      <c r="TU3" t="inlineStr">
        <is>
          <t>3rd jan -2025</t>
        </is>
      </c>
      <c r="TV3" t="inlineStr">
        <is>
          <t>4th jan -2025</t>
        </is>
      </c>
      <c r="TW3" t="inlineStr">
        <is>
          <t>5th jan -2025</t>
        </is>
      </c>
      <c r="TX3" t="inlineStr">
        <is>
          <t>6th jan -2025</t>
        </is>
      </c>
      <c r="TY3" t="inlineStr">
        <is>
          <t>7th jan -2025</t>
        </is>
      </c>
      <c r="TZ3" t="inlineStr">
        <is>
          <t>8th jan -2025</t>
        </is>
      </c>
      <c r="UA3" t="inlineStr">
        <is>
          <t>9th jan -2025</t>
        </is>
      </c>
      <c r="UB3" t="inlineStr">
        <is>
          <t>10th jan -2025</t>
        </is>
      </c>
      <c r="UC3" t="inlineStr">
        <is>
          <t>11th jan -2025</t>
        </is>
      </c>
      <c r="UD3" t="inlineStr">
        <is>
          <t>12th jan -2025</t>
        </is>
      </c>
      <c r="UE3" t="inlineStr">
        <is>
          <t>13th jan -2025</t>
        </is>
      </c>
      <c r="UF3" t="inlineStr">
        <is>
          <t>14th jan -2025</t>
        </is>
      </c>
      <c r="UG3" t="inlineStr">
        <is>
          <t>15th jan -2025</t>
        </is>
      </c>
      <c r="UH3" t="inlineStr">
        <is>
          <t>16th jan -2025</t>
        </is>
      </c>
      <c r="UI3" t="inlineStr">
        <is>
          <t>17th jan -2025</t>
        </is>
      </c>
      <c r="UJ3" t="inlineStr">
        <is>
          <t>18th jan -2025</t>
        </is>
      </c>
      <c r="UK3" t="inlineStr">
        <is>
          <t>19th jan -2025</t>
        </is>
      </c>
      <c r="UL3" t="inlineStr">
        <is>
          <t>20th jan -2025</t>
        </is>
      </c>
      <c r="UM3" t="inlineStr">
        <is>
          <t>21st jan -2025</t>
        </is>
      </c>
      <c r="UN3" t="inlineStr">
        <is>
          <t>22nd jan -2025</t>
        </is>
      </c>
      <c r="UO3" t="inlineStr">
        <is>
          <t>23rd jan -2025</t>
        </is>
      </c>
      <c r="UP3" t="inlineStr">
        <is>
          <t>24th jan -2025</t>
        </is>
      </c>
      <c r="UQ3" t="inlineStr">
        <is>
          <t>25th jan -2025</t>
        </is>
      </c>
      <c r="UR3" t="inlineStr">
        <is>
          <t>26th jan -2025</t>
        </is>
      </c>
      <c r="US3" t="inlineStr">
        <is>
          <t>27th jan -2025</t>
        </is>
      </c>
      <c r="UT3" t="inlineStr">
        <is>
          <t>28th jan -2025</t>
        </is>
      </c>
      <c r="UU3" t="inlineStr">
        <is>
          <t>29th jan -2025</t>
        </is>
      </c>
      <c r="UV3" t="inlineStr">
        <is>
          <t>30th jan -2025</t>
        </is>
      </c>
      <c r="UW3" t="inlineStr">
        <is>
          <t>31st jan -2025</t>
        </is>
      </c>
      <c r="UX3" s="130" t="inlineStr">
        <is>
          <t>Total</t>
        </is>
      </c>
      <c r="UY3" t="inlineStr">
        <is>
          <t>1st feb 2025</t>
        </is>
      </c>
      <c r="UZ3" t="inlineStr">
        <is>
          <t>2nd feb 2025</t>
        </is>
      </c>
      <c r="VA3" t="inlineStr">
        <is>
          <t>3rd feb 2025</t>
        </is>
      </c>
      <c r="VB3" t="inlineStr">
        <is>
          <t>4th feb 2025</t>
        </is>
      </c>
      <c r="VC3" t="inlineStr">
        <is>
          <t>5th feb 2025</t>
        </is>
      </c>
      <c r="VD3" t="inlineStr">
        <is>
          <t>6th feb 2025</t>
        </is>
      </c>
      <c r="VE3" s="117" t="inlineStr">
        <is>
          <t>7th feb 2025</t>
        </is>
      </c>
      <c r="VF3" t="inlineStr">
        <is>
          <t>8th feb 2025</t>
        </is>
      </c>
      <c r="VG3" t="inlineStr">
        <is>
          <t>9th feb 2025</t>
        </is>
      </c>
      <c r="VH3" t="inlineStr">
        <is>
          <t>10th feb 2025</t>
        </is>
      </c>
      <c r="VI3" t="inlineStr">
        <is>
          <t>11th feb 2025</t>
        </is>
      </c>
      <c r="VJ3" t="inlineStr">
        <is>
          <t>12th feb 2025</t>
        </is>
      </c>
      <c r="VK3" t="inlineStr">
        <is>
          <t>13th feb 2025</t>
        </is>
      </c>
      <c r="VL3" t="inlineStr">
        <is>
          <t>14th feb 2025</t>
        </is>
      </c>
      <c r="VM3" t="inlineStr">
        <is>
          <t>15th feb 2025</t>
        </is>
      </c>
      <c r="VN3" t="inlineStr">
        <is>
          <t>16th feb 2025</t>
        </is>
      </c>
      <c r="VO3" t="inlineStr">
        <is>
          <t>17th feb 2025</t>
        </is>
      </c>
      <c r="VP3" t="inlineStr">
        <is>
          <t>18th feb 2025</t>
        </is>
      </c>
      <c r="VQ3" t="inlineStr">
        <is>
          <t>19th feb 2025</t>
        </is>
      </c>
      <c r="VR3" t="inlineStr">
        <is>
          <t>20th feb 2025</t>
        </is>
      </c>
      <c r="VS3" t="inlineStr">
        <is>
          <t>21st feb 2025</t>
        </is>
      </c>
      <c r="VT3" t="inlineStr">
        <is>
          <t>22nd feb 2025</t>
        </is>
      </c>
      <c r="VU3" t="inlineStr">
        <is>
          <t>23rd feb 2025</t>
        </is>
      </c>
      <c r="VV3" t="inlineStr">
        <is>
          <t>24th feb 2025</t>
        </is>
      </c>
      <c r="VW3" t="inlineStr">
        <is>
          <t>25th feb 2025</t>
        </is>
      </c>
      <c r="VX3" t="inlineStr">
        <is>
          <t>26th feb 2025</t>
        </is>
      </c>
      <c r="VY3" t="inlineStr">
        <is>
          <t>27th feb 2025</t>
        </is>
      </c>
      <c r="VZ3" t="inlineStr">
        <is>
          <t>28th feb 2025</t>
        </is>
      </c>
      <c r="WA3" t="inlineStr">
        <is>
          <t>Total</t>
        </is>
      </c>
      <c r="WB3" t="inlineStr">
        <is>
          <t>1st mar2025</t>
        </is>
      </c>
      <c r="WC3" t="inlineStr">
        <is>
          <t>2nd mar2025</t>
        </is>
      </c>
      <c r="WD3" t="inlineStr">
        <is>
          <t>3rd mar2025</t>
        </is>
      </c>
      <c r="WE3" t="inlineStr">
        <is>
          <t>4th mar2025</t>
        </is>
      </c>
      <c r="WF3" t="inlineStr">
        <is>
          <t>5th mar2025</t>
        </is>
      </c>
      <c r="WG3" t="inlineStr">
        <is>
          <t>6th mar2025</t>
        </is>
      </c>
      <c r="WH3" t="inlineStr">
        <is>
          <t>7th mar2025</t>
        </is>
      </c>
      <c r="WI3" t="inlineStr">
        <is>
          <t>8th mar2025</t>
        </is>
      </c>
      <c r="WJ3" s="145" t="inlineStr">
        <is>
          <t>9th mar2025</t>
        </is>
      </c>
      <c r="WK3" t="inlineStr">
        <is>
          <t>10th mar2025</t>
        </is>
      </c>
      <c r="WL3" t="inlineStr">
        <is>
          <t>11th mar2025</t>
        </is>
      </c>
      <c r="WM3" t="inlineStr">
        <is>
          <t>12th mar2025</t>
        </is>
      </c>
      <c r="WN3" t="inlineStr">
        <is>
          <t>13th mar2025</t>
        </is>
      </c>
      <c r="WO3" t="inlineStr">
        <is>
          <t>14th mar2025</t>
        </is>
      </c>
      <c r="WP3" t="inlineStr">
        <is>
          <t>15th mar2025</t>
        </is>
      </c>
      <c r="WQ3" t="inlineStr">
        <is>
          <t>16th mar2025</t>
        </is>
      </c>
      <c r="WR3" t="inlineStr">
        <is>
          <t>17th mar2025</t>
        </is>
      </c>
      <c r="WS3" t="inlineStr">
        <is>
          <t>18th mar2025</t>
        </is>
      </c>
      <c r="WT3" t="inlineStr">
        <is>
          <t>19th mar2025</t>
        </is>
      </c>
      <c r="WU3" t="inlineStr">
        <is>
          <t>20th mar2025</t>
        </is>
      </c>
      <c r="WV3" t="inlineStr">
        <is>
          <t>21st mar2025</t>
        </is>
      </c>
      <c r="WW3" t="inlineStr">
        <is>
          <t>22nd mar2025</t>
        </is>
      </c>
      <c r="WX3" t="inlineStr">
        <is>
          <t>23rd mar2025</t>
        </is>
      </c>
      <c r="WY3" t="inlineStr">
        <is>
          <t>24th mar2025</t>
        </is>
      </c>
      <c r="WZ3" t="inlineStr">
        <is>
          <t>25th mar2025</t>
        </is>
      </c>
      <c r="XA3" t="inlineStr">
        <is>
          <t>26th mar2025</t>
        </is>
      </c>
      <c r="XB3" t="inlineStr">
        <is>
          <t>27th mar2025</t>
        </is>
      </c>
      <c r="XC3" t="inlineStr">
        <is>
          <t>28th mar2025</t>
        </is>
      </c>
      <c r="XD3" t="inlineStr">
        <is>
          <t>29th mar2025</t>
        </is>
      </c>
      <c r="XE3" t="inlineStr">
        <is>
          <t>30th mar2025</t>
        </is>
      </c>
      <c r="XF3" t="inlineStr">
        <is>
          <t>31st mar2025</t>
        </is>
      </c>
      <c r="XG3" s="130" t="n"/>
      <c r="XH3" t="inlineStr">
        <is>
          <t>1st apr-2025</t>
        </is>
      </c>
      <c r="XI3" t="inlineStr">
        <is>
          <t>2nd apr-2025</t>
        </is>
      </c>
      <c r="XJ3" t="inlineStr">
        <is>
          <t>3rd apr-2025</t>
        </is>
      </c>
      <c r="XK3" t="inlineStr">
        <is>
          <t>4th apr-2025</t>
        </is>
      </c>
      <c r="XL3" t="inlineStr">
        <is>
          <t>5th apr-2025</t>
        </is>
      </c>
      <c r="XM3" t="inlineStr">
        <is>
          <t>6th apr-2025</t>
        </is>
      </c>
      <c r="XN3" t="inlineStr">
        <is>
          <t>7th apr-2025</t>
        </is>
      </c>
      <c r="XO3" t="inlineStr">
        <is>
          <t>8th apr-2025</t>
        </is>
      </c>
      <c r="XP3" s="117" t="inlineStr">
        <is>
          <t>9th apr-2025</t>
        </is>
      </c>
      <c r="XQ3" t="inlineStr">
        <is>
          <t>10th apr-2025</t>
        </is>
      </c>
      <c r="XR3" t="inlineStr">
        <is>
          <t>11th apr-2025</t>
        </is>
      </c>
      <c r="XS3" t="inlineStr">
        <is>
          <t>12th apr-2025</t>
        </is>
      </c>
      <c r="XT3" t="inlineStr">
        <is>
          <t>13th apr-2025</t>
        </is>
      </c>
      <c r="XU3" t="inlineStr">
        <is>
          <t>14th apr-2025</t>
        </is>
      </c>
      <c r="XV3" t="inlineStr">
        <is>
          <t>15th apr-2025</t>
        </is>
      </c>
      <c r="XW3" t="inlineStr">
        <is>
          <t>16th apr-2025</t>
        </is>
      </c>
      <c r="XX3" t="inlineStr">
        <is>
          <t>17th apr-2025</t>
        </is>
      </c>
      <c r="XY3" t="inlineStr">
        <is>
          <t>18th apr-2025</t>
        </is>
      </c>
      <c r="XZ3" t="inlineStr">
        <is>
          <t>19th apr-2025</t>
        </is>
      </c>
      <c r="YA3" t="inlineStr">
        <is>
          <t>20th apr-2025</t>
        </is>
      </c>
      <c r="YB3" t="inlineStr">
        <is>
          <t>21st apr-2025</t>
        </is>
      </c>
      <c r="YC3" t="inlineStr">
        <is>
          <t>22nd apr-2025</t>
        </is>
      </c>
      <c r="YD3" t="inlineStr">
        <is>
          <t>23rd apr-2025</t>
        </is>
      </c>
      <c r="YE3" t="inlineStr">
        <is>
          <t>24th apr-2025</t>
        </is>
      </c>
      <c r="YF3" t="inlineStr">
        <is>
          <t>25th apr-2025</t>
        </is>
      </c>
      <c r="YG3" t="inlineStr">
        <is>
          <t>26th apr-2025</t>
        </is>
      </c>
      <c r="YH3" t="inlineStr">
        <is>
          <t>27th apr-2025</t>
        </is>
      </c>
      <c r="YI3" t="inlineStr">
        <is>
          <t>28th apr-2025</t>
        </is>
      </c>
      <c r="YJ3" t="inlineStr">
        <is>
          <t>29th apr-2025</t>
        </is>
      </c>
      <c r="YK3" t="inlineStr">
        <is>
          <t>30th apr-2025</t>
        </is>
      </c>
      <c r="YL3" s="130" t="n"/>
      <c r="YM3" t="inlineStr">
        <is>
          <t>1st May-2025</t>
        </is>
      </c>
      <c r="YN3" t="inlineStr">
        <is>
          <t>2nd May-2025</t>
        </is>
      </c>
      <c r="YO3" t="inlineStr">
        <is>
          <t>3rd May-2025</t>
        </is>
      </c>
      <c r="YP3" t="inlineStr">
        <is>
          <t>4th May-2025</t>
        </is>
      </c>
      <c r="YQ3" t="inlineStr">
        <is>
          <t>5th May-2025</t>
        </is>
      </c>
      <c r="YR3" t="inlineStr">
        <is>
          <t>6th May-2025</t>
        </is>
      </c>
      <c r="YS3" t="inlineStr">
        <is>
          <t>7th May-2025</t>
        </is>
      </c>
      <c r="YT3" t="inlineStr">
        <is>
          <t>8th May-2025</t>
        </is>
      </c>
      <c r="YU3" t="inlineStr">
        <is>
          <t>9th May-2025</t>
        </is>
      </c>
      <c r="YV3" t="inlineStr">
        <is>
          <t>10th May-2025</t>
        </is>
      </c>
      <c r="YW3" t="inlineStr">
        <is>
          <t>11th May-2025</t>
        </is>
      </c>
      <c r="YX3" t="inlineStr">
        <is>
          <t>12th May-2025</t>
        </is>
      </c>
      <c r="YY3" t="inlineStr">
        <is>
          <t>13th May-2025</t>
        </is>
      </c>
      <c r="YZ3" t="inlineStr">
        <is>
          <t>14th May-2025</t>
        </is>
      </c>
      <c r="ZA3" t="inlineStr">
        <is>
          <t>15th May-2025</t>
        </is>
      </c>
      <c r="ZB3" t="inlineStr">
        <is>
          <t>16th May-2025</t>
        </is>
      </c>
      <c r="ZC3" t="inlineStr">
        <is>
          <t>17th May-2025</t>
        </is>
      </c>
      <c r="ZD3" t="inlineStr">
        <is>
          <t>18th May-2025</t>
        </is>
      </c>
      <c r="ZE3" t="inlineStr">
        <is>
          <t>19th May-2025</t>
        </is>
      </c>
      <c r="ZF3" t="inlineStr">
        <is>
          <t>20th May-2025</t>
        </is>
      </c>
      <c r="ZG3" t="inlineStr">
        <is>
          <t>21st May-2025</t>
        </is>
      </c>
      <c r="ZH3" t="inlineStr">
        <is>
          <t>22nd May-2025</t>
        </is>
      </c>
      <c r="ZI3" t="inlineStr">
        <is>
          <t>23rd May-2025</t>
        </is>
      </c>
      <c r="ZJ3" t="inlineStr">
        <is>
          <t>24th May-2025</t>
        </is>
      </c>
      <c r="ZK3" t="inlineStr">
        <is>
          <t>25th May-2025</t>
        </is>
      </c>
      <c r="ZL3" t="inlineStr">
        <is>
          <t>26th May-2025</t>
        </is>
      </c>
      <c r="ZM3" t="inlineStr">
        <is>
          <t>27th May-2025</t>
        </is>
      </c>
      <c r="ZN3" t="inlineStr">
        <is>
          <t>28th May-2025</t>
        </is>
      </c>
      <c r="ZO3" t="inlineStr">
        <is>
          <t>29th May-2025</t>
        </is>
      </c>
      <c r="ZP3" t="inlineStr">
        <is>
          <t>30th May-2025</t>
        </is>
      </c>
      <c r="ZQ3" t="inlineStr">
        <is>
          <t>31st May-2025</t>
        </is>
      </c>
      <c r="ZR3" s="130" t="n"/>
      <c r="ZS3" t="inlineStr">
        <is>
          <t>1st june</t>
        </is>
      </c>
      <c r="ZT3" t="inlineStr">
        <is>
          <t>2nd june</t>
        </is>
      </c>
      <c r="ZU3" s="117" t="inlineStr">
        <is>
          <t>3rd june</t>
        </is>
      </c>
      <c r="ZV3" t="inlineStr">
        <is>
          <t>4th june</t>
        </is>
      </c>
      <c r="ZW3" t="inlineStr">
        <is>
          <t>5th june</t>
        </is>
      </c>
      <c r="ZX3" t="inlineStr">
        <is>
          <t>6th june</t>
        </is>
      </c>
      <c r="ZY3" t="inlineStr">
        <is>
          <t>7th june</t>
        </is>
      </c>
      <c r="ZZ3" t="inlineStr">
        <is>
          <t>8th june</t>
        </is>
      </c>
      <c r="AAA3" t="inlineStr">
        <is>
          <t>9th june</t>
        </is>
      </c>
      <c r="AAB3" t="inlineStr">
        <is>
          <t>10th june</t>
        </is>
      </c>
      <c r="AAC3" t="inlineStr">
        <is>
          <t>11th june</t>
        </is>
      </c>
      <c r="AAD3" t="inlineStr">
        <is>
          <t>12th june</t>
        </is>
      </c>
      <c r="AAE3" t="inlineStr">
        <is>
          <t>13th june</t>
        </is>
      </c>
      <c r="AAF3" t="inlineStr">
        <is>
          <t>14th june</t>
        </is>
      </c>
      <c r="AAG3" t="inlineStr">
        <is>
          <t>15th june</t>
        </is>
      </c>
      <c r="AAH3" t="inlineStr">
        <is>
          <t>16th june</t>
        </is>
      </c>
      <c r="AAI3" t="inlineStr">
        <is>
          <t>17th june</t>
        </is>
      </c>
      <c r="AAJ3" t="inlineStr">
        <is>
          <t>18th june</t>
        </is>
      </c>
      <c r="AAK3" t="inlineStr">
        <is>
          <t>19th june</t>
        </is>
      </c>
      <c r="AAL3" t="inlineStr">
        <is>
          <t>20th june</t>
        </is>
      </c>
      <c r="AAM3" t="inlineStr">
        <is>
          <t>21st june</t>
        </is>
      </c>
      <c r="AAN3" t="inlineStr">
        <is>
          <t>22nd june</t>
        </is>
      </c>
      <c r="AAO3" t="inlineStr">
        <is>
          <t>23rd june</t>
        </is>
      </c>
      <c r="AAP3" t="inlineStr">
        <is>
          <t>24th june</t>
        </is>
      </c>
      <c r="AAQ3" t="inlineStr">
        <is>
          <t>25th june</t>
        </is>
      </c>
      <c r="AAR3" t="inlineStr">
        <is>
          <t>26th june</t>
        </is>
      </c>
      <c r="AAS3" t="inlineStr">
        <is>
          <t>27th june</t>
        </is>
      </c>
      <c r="AAT3" t="inlineStr">
        <is>
          <t>28th june</t>
        </is>
      </c>
      <c r="AAU3" t="inlineStr">
        <is>
          <t>29th june</t>
        </is>
      </c>
      <c r="AAV3" t="inlineStr">
        <is>
          <t>30th june</t>
        </is>
      </c>
      <c r="AAW3" s="130" t="n"/>
      <c r="AAX3" t="inlineStr">
        <is>
          <t>1st july</t>
        </is>
      </c>
      <c r="AAY3" t="inlineStr">
        <is>
          <t>2nd july</t>
        </is>
      </c>
      <c r="AAZ3" t="inlineStr">
        <is>
          <t>3rd july</t>
        </is>
      </c>
      <c r="ABA3" t="inlineStr">
        <is>
          <t>4th july</t>
        </is>
      </c>
      <c r="ABB3" t="inlineStr">
        <is>
          <t>5th july</t>
        </is>
      </c>
      <c r="ABC3" t="inlineStr">
        <is>
          <t>6th july</t>
        </is>
      </c>
      <c r="ABD3" t="inlineStr">
        <is>
          <t>7th july</t>
        </is>
      </c>
      <c r="ABE3" t="inlineStr">
        <is>
          <t>8th july</t>
        </is>
      </c>
      <c r="ABF3" t="inlineStr">
        <is>
          <t>9th july</t>
        </is>
      </c>
      <c r="ABG3" t="inlineStr">
        <is>
          <t>10th july</t>
        </is>
      </c>
      <c r="ABH3" t="inlineStr">
        <is>
          <t>11th july</t>
        </is>
      </c>
      <c r="ABI3" t="inlineStr">
        <is>
          <t>12th july</t>
        </is>
      </c>
      <c r="ABJ3" t="inlineStr">
        <is>
          <t>13th july</t>
        </is>
      </c>
      <c r="ABK3" t="inlineStr">
        <is>
          <t>14th july</t>
        </is>
      </c>
      <c r="ABL3" t="inlineStr">
        <is>
          <t>15th july</t>
        </is>
      </c>
      <c r="ABM3" t="inlineStr">
        <is>
          <t>16th july</t>
        </is>
      </c>
      <c r="ABN3" s="146" t="inlineStr">
        <is>
          <t>17th july</t>
        </is>
      </c>
      <c r="ABO3" t="inlineStr">
        <is>
          <t>18th july</t>
        </is>
      </c>
      <c r="ABP3" t="inlineStr">
        <is>
          <t>19th july</t>
        </is>
      </c>
      <c r="ABQ3" t="inlineStr">
        <is>
          <t>20th july</t>
        </is>
      </c>
      <c r="ABR3" t="inlineStr">
        <is>
          <t>21st july</t>
        </is>
      </c>
      <c r="ABS3" t="inlineStr">
        <is>
          <t>22nd july</t>
        </is>
      </c>
      <c r="ABT3" t="inlineStr">
        <is>
          <t>23rd july</t>
        </is>
      </c>
      <c r="ABU3" t="inlineStr">
        <is>
          <t>24th july</t>
        </is>
      </c>
      <c r="ABV3" t="inlineStr">
        <is>
          <t>25th july</t>
        </is>
      </c>
      <c r="ABW3" t="inlineStr">
        <is>
          <t>26th july</t>
        </is>
      </c>
      <c r="ABX3" t="inlineStr">
        <is>
          <t>27th july</t>
        </is>
      </c>
      <c r="ABY3" t="inlineStr">
        <is>
          <t>28th july</t>
        </is>
      </c>
      <c r="ABZ3" t="inlineStr">
        <is>
          <t>29th july</t>
        </is>
      </c>
      <c r="ACA3" t="inlineStr">
        <is>
          <t>30th july</t>
        </is>
      </c>
      <c r="ACB3" t="inlineStr">
        <is>
          <t>31st july</t>
        </is>
      </c>
      <c r="ACC3" s="130" t="n"/>
      <c r="ACD3" t="inlineStr">
        <is>
          <t>1st aug</t>
        </is>
      </c>
      <c r="ACE3" t="inlineStr">
        <is>
          <t>2nd aug</t>
        </is>
      </c>
      <c r="ACF3" t="inlineStr">
        <is>
          <t>3rd aug</t>
        </is>
      </c>
      <c r="ACG3" t="inlineStr">
        <is>
          <t>4th aug</t>
        </is>
      </c>
      <c r="ACH3" t="inlineStr">
        <is>
          <t>5th aug</t>
        </is>
      </c>
      <c r="ACI3" t="inlineStr">
        <is>
          <t>6th aug</t>
        </is>
      </c>
      <c r="ACJ3" t="inlineStr">
        <is>
          <t>7th aug</t>
        </is>
      </c>
      <c r="ACK3" t="inlineStr">
        <is>
          <t>8th aug</t>
        </is>
      </c>
      <c r="ACL3" t="inlineStr">
        <is>
          <t>9th aug</t>
        </is>
      </c>
      <c r="ACM3" t="inlineStr">
        <is>
          <t>10th aug</t>
        </is>
      </c>
      <c r="ACN3" t="inlineStr">
        <is>
          <t>11th aug</t>
        </is>
      </c>
      <c r="ACO3" t="inlineStr">
        <is>
          <t>12th aug</t>
        </is>
      </c>
      <c r="ACP3" t="inlineStr">
        <is>
          <t>13th aug</t>
        </is>
      </c>
      <c r="ACQ3" t="inlineStr">
        <is>
          <t>14th aug</t>
        </is>
      </c>
      <c r="ACR3" t="inlineStr">
        <is>
          <t>15th aug</t>
        </is>
      </c>
      <c r="ACS3" t="inlineStr">
        <is>
          <t>16th aug</t>
        </is>
      </c>
      <c r="ACT3" t="inlineStr">
        <is>
          <t>17th aug</t>
        </is>
      </c>
      <c r="ACU3" t="inlineStr">
        <is>
          <t>18th aug</t>
        </is>
      </c>
      <c r="ACV3" t="inlineStr">
        <is>
          <t>19th aug</t>
        </is>
      </c>
      <c r="ACW3" t="inlineStr">
        <is>
          <t>20th aug</t>
        </is>
      </c>
      <c r="ACX3" t="inlineStr">
        <is>
          <t>21st aug</t>
        </is>
      </c>
      <c r="ACY3" t="inlineStr">
        <is>
          <t>22nd aug</t>
        </is>
      </c>
      <c r="ACZ3" t="inlineStr">
        <is>
          <t>23rd aug</t>
        </is>
      </c>
      <c r="ADA3" t="inlineStr">
        <is>
          <t>24th aug</t>
        </is>
      </c>
      <c r="ADB3" t="inlineStr">
        <is>
          <t>25th aug</t>
        </is>
      </c>
      <c r="ADC3" t="inlineStr">
        <is>
          <t>26th aug</t>
        </is>
      </c>
      <c r="ADD3" t="inlineStr">
        <is>
          <t>27th aug</t>
        </is>
      </c>
      <c r="ADE3" t="inlineStr">
        <is>
          <t>28th aug</t>
        </is>
      </c>
      <c r="ADF3" t="inlineStr">
        <is>
          <t>29th aug</t>
        </is>
      </c>
      <c r="ADG3" t="inlineStr">
        <is>
          <t>30th aug</t>
        </is>
      </c>
      <c r="ADH3" t="inlineStr">
        <is>
          <t>31st aug</t>
        </is>
      </c>
      <c r="ADI3" s="130" t="n"/>
      <c r="ADJ3" t="inlineStr">
        <is>
          <t>1st -sep25</t>
        </is>
      </c>
      <c r="ADK3" t="inlineStr">
        <is>
          <t>2nd -sep25</t>
        </is>
      </c>
      <c r="ADL3" t="inlineStr">
        <is>
          <t>3rd -sep25</t>
        </is>
      </c>
      <c r="ADM3" t="inlineStr">
        <is>
          <t>4th -sep25</t>
        </is>
      </c>
      <c r="ADN3" t="inlineStr">
        <is>
          <t>5th -sep25</t>
        </is>
      </c>
      <c r="ADO3" t="inlineStr">
        <is>
          <t>6th -sep25</t>
        </is>
      </c>
      <c r="ADP3" t="inlineStr">
        <is>
          <t>7th -sep25</t>
        </is>
      </c>
      <c r="ADQ3" t="inlineStr">
        <is>
          <t>8th -sep25</t>
        </is>
      </c>
      <c r="ADR3" t="inlineStr">
        <is>
          <t>9th -sep25</t>
        </is>
      </c>
      <c r="ADS3" t="inlineStr">
        <is>
          <t>10th -sep25</t>
        </is>
      </c>
      <c r="ADT3" t="inlineStr">
        <is>
          <t>11th -sep25</t>
        </is>
      </c>
      <c r="ADU3" t="inlineStr">
        <is>
          <t>12th -sep25</t>
        </is>
      </c>
      <c r="ADV3" t="inlineStr">
        <is>
          <t>13th -sep25</t>
        </is>
      </c>
      <c r="ADW3" s="146" t="inlineStr">
        <is>
          <t>14th -sep25</t>
        </is>
      </c>
      <c r="ADX3" t="inlineStr">
        <is>
          <t>15th -sep25</t>
        </is>
      </c>
      <c r="ADY3" t="inlineStr">
        <is>
          <t>16th -sep25</t>
        </is>
      </c>
      <c r="ADZ3" t="inlineStr">
        <is>
          <t>17th -sep25</t>
        </is>
      </c>
      <c r="AEA3" t="inlineStr">
        <is>
          <t>18th -sep25</t>
        </is>
      </c>
      <c r="AEB3" t="inlineStr">
        <is>
          <t>19th -sep25</t>
        </is>
      </c>
      <c r="AEC3" t="inlineStr">
        <is>
          <t>20th -sep25</t>
        </is>
      </c>
      <c r="AED3" t="inlineStr">
        <is>
          <t>21st -sep25</t>
        </is>
      </c>
      <c r="AEE3" t="inlineStr">
        <is>
          <t>22nd -sep25</t>
        </is>
      </c>
      <c r="AEF3" t="inlineStr">
        <is>
          <t>23rd -sep25</t>
        </is>
      </c>
      <c r="AEG3" t="inlineStr">
        <is>
          <t>24th -sep25</t>
        </is>
      </c>
      <c r="AEH3" t="inlineStr">
        <is>
          <t>25th -sep25</t>
        </is>
      </c>
      <c r="AEI3" t="inlineStr">
        <is>
          <t>26th -sep25</t>
        </is>
      </c>
      <c r="AEJ3" t="inlineStr">
        <is>
          <t>27th -sep25</t>
        </is>
      </c>
      <c r="AEK3" t="inlineStr">
        <is>
          <t>28th -sep25</t>
        </is>
      </c>
      <c r="AEL3" t="inlineStr">
        <is>
          <t>29th -sep25</t>
        </is>
      </c>
      <c r="AEM3" t="inlineStr">
        <is>
          <t>30th -sep25</t>
        </is>
      </c>
      <c r="AEN3" s="130" t="n"/>
      <c r="AEO3" t="inlineStr">
        <is>
          <t>1st -  0ct25</t>
        </is>
      </c>
      <c r="AEP3" t="inlineStr">
        <is>
          <t>2nd -  0ct25</t>
        </is>
      </c>
      <c r="AEQ3" t="inlineStr">
        <is>
          <t>3rd -  0ct25</t>
        </is>
      </c>
      <c r="AER3" t="inlineStr">
        <is>
          <t>4th -  0ct25</t>
        </is>
      </c>
      <c r="AES3" t="inlineStr">
        <is>
          <t>5th -  0ct25</t>
        </is>
      </c>
      <c r="AET3" t="inlineStr">
        <is>
          <t>6th -  0ct25</t>
        </is>
      </c>
      <c r="AEU3" s="146" t="inlineStr">
        <is>
          <t>7th -  0ct25</t>
        </is>
      </c>
      <c r="AEV3" t="inlineStr">
        <is>
          <t>8th -  0ct25</t>
        </is>
      </c>
      <c r="AEW3" t="inlineStr">
        <is>
          <t>9th -  0ct25</t>
        </is>
      </c>
      <c r="AEX3" t="inlineStr">
        <is>
          <t>10th -  0ct25</t>
        </is>
      </c>
      <c r="AEY3" t="inlineStr">
        <is>
          <t>11th -  0ct25</t>
        </is>
      </c>
      <c r="AEZ3" t="inlineStr">
        <is>
          <t>12th -  0ct25</t>
        </is>
      </c>
      <c r="AFA3" t="inlineStr">
        <is>
          <t>13th -  0ct25</t>
        </is>
      </c>
      <c r="AFB3" t="inlineStr">
        <is>
          <t>14th -  0ct25</t>
        </is>
      </c>
      <c r="AFC3" t="inlineStr">
        <is>
          <t>15th -  0ct25</t>
        </is>
      </c>
      <c r="AFD3" t="inlineStr">
        <is>
          <t>16th -  0ct25</t>
        </is>
      </c>
      <c r="AFE3" t="inlineStr">
        <is>
          <t>17th -  0ct25</t>
        </is>
      </c>
      <c r="AFF3" t="inlineStr">
        <is>
          <t>18th -  0ct25</t>
        </is>
      </c>
      <c r="AFG3" t="inlineStr">
        <is>
          <t>19th -  0ct25</t>
        </is>
      </c>
      <c r="AFH3" t="inlineStr">
        <is>
          <t>20th -  0ct25</t>
        </is>
      </c>
      <c r="AFI3" t="inlineStr">
        <is>
          <t>21st -  0ct25</t>
        </is>
      </c>
      <c r="AFJ3" t="inlineStr">
        <is>
          <t>22nd -  0ct25</t>
        </is>
      </c>
      <c r="AFK3" t="inlineStr">
        <is>
          <t>23rd -  0ct25</t>
        </is>
      </c>
      <c r="AFL3" t="inlineStr">
        <is>
          <t>24th -  0ct25</t>
        </is>
      </c>
      <c r="AFM3" t="inlineStr">
        <is>
          <t>25th -  0ct25</t>
        </is>
      </c>
      <c r="AFN3" t="inlineStr">
        <is>
          <t>26th -  0ct25</t>
        </is>
      </c>
      <c r="AFO3" t="inlineStr">
        <is>
          <t>27th -  0ct25</t>
        </is>
      </c>
      <c r="AFP3" t="inlineStr">
        <is>
          <t>28th -  0ct25</t>
        </is>
      </c>
      <c r="AFQ3" t="inlineStr">
        <is>
          <t>29th -  0ct25</t>
        </is>
      </c>
      <c r="AFR3" t="inlineStr">
        <is>
          <t>30th -  0ct25</t>
        </is>
      </c>
      <c r="AFS3" t="inlineStr">
        <is>
          <t>31st -  0ct25</t>
        </is>
      </c>
      <c r="AFT3" s="130" t="n"/>
      <c r="AFU3" t="inlineStr">
        <is>
          <t>1st -nov25</t>
        </is>
      </c>
      <c r="AFV3" t="inlineStr">
        <is>
          <t>2nd -nov25</t>
        </is>
      </c>
      <c r="AFW3" t="inlineStr">
        <is>
          <t>3rd -nov25</t>
        </is>
      </c>
      <c r="AFX3" t="inlineStr">
        <is>
          <t>4th -nov25</t>
        </is>
      </c>
      <c r="AFY3" t="inlineStr">
        <is>
          <t>5th -nov25</t>
        </is>
      </c>
      <c r="AFZ3" t="inlineStr">
        <is>
          <t>6th -nov25</t>
        </is>
      </c>
      <c r="AGA3" t="inlineStr">
        <is>
          <t>7th -nov25</t>
        </is>
      </c>
      <c r="AGB3" t="inlineStr">
        <is>
          <t>8th -nov25</t>
        </is>
      </c>
      <c r="AGC3" t="inlineStr">
        <is>
          <t>9th -nov25</t>
        </is>
      </c>
      <c r="AGD3" s="117" t="inlineStr">
        <is>
          <t>10th -nov25</t>
        </is>
      </c>
      <c r="AGE3" t="inlineStr">
        <is>
          <t>11th -nov25</t>
        </is>
      </c>
      <c r="AGF3" t="inlineStr">
        <is>
          <t>12th -nov25</t>
        </is>
      </c>
      <c r="AGG3" t="inlineStr">
        <is>
          <t>13th -nov25</t>
        </is>
      </c>
      <c r="AGH3" t="inlineStr">
        <is>
          <t>14th -nov25</t>
        </is>
      </c>
      <c r="AGI3" t="inlineStr">
        <is>
          <t>15th -nov25</t>
        </is>
      </c>
      <c r="AGJ3" t="inlineStr">
        <is>
          <t>16th -nov25</t>
        </is>
      </c>
      <c r="AGK3" t="inlineStr">
        <is>
          <t>17th -nov25</t>
        </is>
      </c>
      <c r="AGL3" t="inlineStr">
        <is>
          <t>18th -nov25</t>
        </is>
      </c>
      <c r="AGM3" t="inlineStr">
        <is>
          <t>19th -nov25</t>
        </is>
      </c>
      <c r="AGN3" t="inlineStr">
        <is>
          <t>20th -nov25</t>
        </is>
      </c>
      <c r="AGO3" t="inlineStr">
        <is>
          <t>21st -nov25</t>
        </is>
      </c>
      <c r="AGP3" t="inlineStr">
        <is>
          <t>22nd -nov25</t>
        </is>
      </c>
      <c r="AGQ3" t="inlineStr">
        <is>
          <t>23rd -nov25</t>
        </is>
      </c>
      <c r="AGR3" t="inlineStr">
        <is>
          <t>24th -nov25</t>
        </is>
      </c>
      <c r="AGS3" t="inlineStr">
        <is>
          <t>25th -nov25</t>
        </is>
      </c>
      <c r="AGT3" t="inlineStr">
        <is>
          <t>26th -nov25</t>
        </is>
      </c>
      <c r="AGU3" t="inlineStr">
        <is>
          <t>27th -nov25</t>
        </is>
      </c>
      <c r="AGV3" t="inlineStr">
        <is>
          <t>28th -nov25</t>
        </is>
      </c>
      <c r="AGW3" t="inlineStr">
        <is>
          <t>29th -nov25</t>
        </is>
      </c>
      <c r="AGX3" t="inlineStr">
        <is>
          <t>30th -nov25</t>
        </is>
      </c>
      <c r="AGY3" s="130" t="n"/>
      <c r="AGZ3" t="inlineStr">
        <is>
          <t>1st  -dec25</t>
        </is>
      </c>
      <c r="AHA3" t="inlineStr">
        <is>
          <t>2nd -dec25</t>
        </is>
      </c>
      <c r="AHB3" t="inlineStr">
        <is>
          <t>3rd -dec25</t>
        </is>
      </c>
      <c r="AHC3" t="inlineStr">
        <is>
          <t>4th -dec25</t>
        </is>
      </c>
      <c r="AHD3" t="inlineStr">
        <is>
          <t>5th -dec25</t>
        </is>
      </c>
      <c r="AHE3" t="inlineStr">
        <is>
          <t>6th -dec25</t>
        </is>
      </c>
      <c r="AHF3" t="inlineStr">
        <is>
          <t>7th -dec25</t>
        </is>
      </c>
      <c r="AHG3" t="inlineStr">
        <is>
          <t>8th -dec25</t>
        </is>
      </c>
      <c r="AHH3" t="inlineStr">
        <is>
          <t>9th -dec25</t>
        </is>
      </c>
      <c r="AHI3" t="inlineStr">
        <is>
          <t>10th -dec25</t>
        </is>
      </c>
      <c r="AHJ3" t="inlineStr">
        <is>
          <t>11th -dec25</t>
        </is>
      </c>
      <c r="AHK3" s="149" t="inlineStr">
        <is>
          <t>12th -dec25</t>
        </is>
      </c>
      <c r="AHL3" t="inlineStr">
        <is>
          <t>13th -dec25</t>
        </is>
      </c>
      <c r="AHM3" t="inlineStr">
        <is>
          <t>14th -dec25</t>
        </is>
      </c>
      <c r="AHN3" t="inlineStr">
        <is>
          <t>15th -dec25</t>
        </is>
      </c>
      <c r="AHO3" t="inlineStr">
        <is>
          <t>16th -dec25</t>
        </is>
      </c>
      <c r="AHP3" t="inlineStr">
        <is>
          <t>17th -dec25</t>
        </is>
      </c>
      <c r="AHQ3" t="inlineStr">
        <is>
          <t>18th -dec25</t>
        </is>
      </c>
      <c r="AHR3" t="inlineStr">
        <is>
          <t>19th -dec25</t>
        </is>
      </c>
      <c r="AHS3" t="inlineStr">
        <is>
          <t>20th -dec25</t>
        </is>
      </c>
      <c r="AHT3" t="inlineStr">
        <is>
          <t>21st -dec25</t>
        </is>
      </c>
      <c r="AHU3" t="inlineStr">
        <is>
          <t>22nd -dec25</t>
        </is>
      </c>
      <c r="AHV3" t="inlineStr">
        <is>
          <t>23rd -dec25</t>
        </is>
      </c>
      <c r="AHW3" t="inlineStr">
        <is>
          <t>24th -dec25</t>
        </is>
      </c>
      <c r="AHX3" t="inlineStr">
        <is>
          <t>25th -dec25</t>
        </is>
      </c>
      <c r="AHY3" t="inlineStr">
        <is>
          <t>26th -dec25</t>
        </is>
      </c>
      <c r="AHZ3" t="inlineStr">
        <is>
          <t>27th -dec25</t>
        </is>
      </c>
      <c r="AIA3" t="inlineStr">
        <is>
          <t>28th -dec25</t>
        </is>
      </c>
      <c r="AIB3" t="inlineStr">
        <is>
          <t>29th -dec25</t>
        </is>
      </c>
      <c r="AIC3" t="inlineStr">
        <is>
          <t>30th -dec25</t>
        </is>
      </c>
      <c r="AID3" t="inlineStr">
        <is>
          <t>31st -dec25</t>
        </is>
      </c>
      <c r="AIE3" s="130" t="n"/>
      <c r="AIF3" t="inlineStr">
        <is>
          <t>1st -jan26</t>
        </is>
      </c>
      <c r="AIG3" t="inlineStr">
        <is>
          <t>2nd -jan26</t>
        </is>
      </c>
      <c r="AIH3" t="inlineStr">
        <is>
          <t>3rd -jan26</t>
        </is>
      </c>
      <c r="AII3" t="inlineStr">
        <is>
          <t>4th -jan26</t>
        </is>
      </c>
      <c r="AIJ3" t="inlineStr">
        <is>
          <t>5th -jan26</t>
        </is>
      </c>
      <c r="AIK3" t="inlineStr">
        <is>
          <t>6th -jan26</t>
        </is>
      </c>
      <c r="AIL3" t="inlineStr">
        <is>
          <t>7th -jan26</t>
        </is>
      </c>
      <c r="AIM3" t="inlineStr">
        <is>
          <t>8th -jan26</t>
        </is>
      </c>
      <c r="AIN3" t="inlineStr">
        <is>
          <t>9th -jan26</t>
        </is>
      </c>
      <c r="AIO3" t="inlineStr">
        <is>
          <t>10th -jan26</t>
        </is>
      </c>
      <c r="AIP3" t="inlineStr">
        <is>
          <t>11th -jan26</t>
        </is>
      </c>
      <c r="AIQ3" t="inlineStr">
        <is>
          <t>12th -jan26</t>
        </is>
      </c>
      <c r="AIR3" t="inlineStr">
        <is>
          <t>13th -jan26</t>
        </is>
      </c>
      <c r="AIS3" t="inlineStr">
        <is>
          <t>14th -jan26</t>
        </is>
      </c>
      <c r="AIT3" t="inlineStr">
        <is>
          <t>15th -jan26</t>
        </is>
      </c>
      <c r="AIU3" t="inlineStr">
        <is>
          <t>16th -jan26</t>
        </is>
      </c>
      <c r="AIV3" t="inlineStr">
        <is>
          <t>17th -jan26</t>
        </is>
      </c>
      <c r="AIW3" t="inlineStr">
        <is>
          <t>18th -jan26</t>
        </is>
      </c>
      <c r="AIX3" s="117" t="inlineStr">
        <is>
          <t>19th -jan26</t>
        </is>
      </c>
      <c r="AIY3" t="inlineStr">
        <is>
          <t>20th -jan26</t>
        </is>
      </c>
      <c r="AIZ3" t="inlineStr">
        <is>
          <t>21st -jan26</t>
        </is>
      </c>
      <c r="AJA3" t="inlineStr">
        <is>
          <t>22nd -jan26</t>
        </is>
      </c>
      <c r="AJB3" t="inlineStr">
        <is>
          <t>23rd -jan26</t>
        </is>
      </c>
      <c r="AJC3" t="inlineStr">
        <is>
          <t>24th -jan26</t>
        </is>
      </c>
      <c r="AJD3" t="inlineStr">
        <is>
          <t>25th -jan26</t>
        </is>
      </c>
      <c r="AJE3" t="inlineStr">
        <is>
          <t>26th -jan26</t>
        </is>
      </c>
      <c r="AJF3" t="inlineStr">
        <is>
          <t>27th -jan26</t>
        </is>
      </c>
      <c r="AJG3" t="inlineStr">
        <is>
          <t>28th -jan26</t>
        </is>
      </c>
      <c r="AJH3" t="inlineStr">
        <is>
          <t>29th -jan26</t>
        </is>
      </c>
      <c r="AJI3" t="inlineStr">
        <is>
          <t>30th -jan26</t>
        </is>
      </c>
      <c r="AJJ3" t="inlineStr">
        <is>
          <t>31st -jan26</t>
        </is>
      </c>
      <c r="AJK3" s="145" t="n"/>
      <c r="AJL3" t="inlineStr">
        <is>
          <t>1st -feb2026</t>
        </is>
      </c>
      <c r="AJM3" t="inlineStr">
        <is>
          <t>2nd -feb2026</t>
        </is>
      </c>
      <c r="AJN3" t="inlineStr">
        <is>
          <t>3rd -feb2026</t>
        </is>
      </c>
      <c r="AJO3" t="inlineStr">
        <is>
          <t>4th -feb2026</t>
        </is>
      </c>
      <c r="AJP3" t="inlineStr">
        <is>
          <t>5th -feb2026</t>
        </is>
      </c>
      <c r="AJQ3" t="inlineStr">
        <is>
          <t>6th -feb2026</t>
        </is>
      </c>
      <c r="AJR3" t="inlineStr">
        <is>
          <t>7th -feb2026</t>
        </is>
      </c>
      <c r="AJS3" t="inlineStr">
        <is>
          <t>8th -feb2026</t>
        </is>
      </c>
      <c r="AJT3" t="inlineStr">
        <is>
          <t>9th -feb2026</t>
        </is>
      </c>
      <c r="AJU3" t="inlineStr">
        <is>
          <t>10th -feb2026</t>
        </is>
      </c>
      <c r="AJV3" t="inlineStr">
        <is>
          <t>11th -feb2026</t>
        </is>
      </c>
      <c r="AJW3" t="inlineStr">
        <is>
          <t>12th -feb2026</t>
        </is>
      </c>
      <c r="AJX3" t="inlineStr">
        <is>
          <t>13th -feb2026</t>
        </is>
      </c>
      <c r="AJY3" t="inlineStr">
        <is>
          <t>14th -feb2026</t>
        </is>
      </c>
      <c r="AJZ3" t="inlineStr">
        <is>
          <t>15th -feb2026</t>
        </is>
      </c>
      <c r="AKA3" t="inlineStr">
        <is>
          <t>16th -feb2026</t>
        </is>
      </c>
      <c r="AKB3" t="inlineStr">
        <is>
          <t>17th -feb2026</t>
        </is>
      </c>
      <c r="AKC3" t="inlineStr">
        <is>
          <t>18th -feb2026</t>
        </is>
      </c>
      <c r="AKD3" t="inlineStr">
        <is>
          <t>19th -feb2026</t>
        </is>
      </c>
      <c r="AKE3" t="inlineStr">
        <is>
          <t>20th -feb2026</t>
        </is>
      </c>
      <c r="AKF3" t="inlineStr">
        <is>
          <t>21st -feb2026</t>
        </is>
      </c>
      <c r="AKG3" t="inlineStr">
        <is>
          <t>22nd -feb2026</t>
        </is>
      </c>
      <c r="AKH3" t="inlineStr">
        <is>
          <t>23rd -feb2026</t>
        </is>
      </c>
      <c r="AKI3" t="inlineStr">
        <is>
          <t>24th -feb2026</t>
        </is>
      </c>
      <c r="AKJ3" t="inlineStr">
        <is>
          <t>25th -feb2026</t>
        </is>
      </c>
      <c r="AKK3" t="inlineStr">
        <is>
          <t>26th -feb2026</t>
        </is>
      </c>
      <c r="AKL3" s="117" t="inlineStr">
        <is>
          <t>27th -feb2026</t>
        </is>
      </c>
      <c r="AKM3" t="inlineStr">
        <is>
          <t>28th -feb2026</t>
        </is>
      </c>
      <c r="AKN3" s="145" t="n"/>
      <c r="AKO3" t="inlineStr">
        <is>
          <t>1st Mar2026</t>
        </is>
      </c>
      <c r="AKP3" t="inlineStr">
        <is>
          <t>2nd Mar2026</t>
        </is>
      </c>
      <c r="AKQ3" t="inlineStr">
        <is>
          <t>3rd Mar2026</t>
        </is>
      </c>
      <c r="AKR3" t="inlineStr">
        <is>
          <t>4th Mar2026</t>
        </is>
      </c>
      <c r="AKS3" t="inlineStr">
        <is>
          <t>5th Mar2026</t>
        </is>
      </c>
      <c r="AKT3" t="inlineStr">
        <is>
          <t>6th Mar2026</t>
        </is>
      </c>
      <c r="AKU3" t="inlineStr">
        <is>
          <t>7th Mar2026</t>
        </is>
      </c>
      <c r="AKV3" t="inlineStr">
        <is>
          <t>8th Mar2026</t>
        </is>
      </c>
      <c r="AKW3" t="inlineStr">
        <is>
          <t>9th Mar2026</t>
        </is>
      </c>
      <c r="AKX3" t="inlineStr">
        <is>
          <t>10th Mar2026</t>
        </is>
      </c>
      <c r="AKY3" s="117" t="inlineStr">
        <is>
          <t>11th Mar2026</t>
        </is>
      </c>
      <c r="AKZ3" t="inlineStr">
        <is>
          <t>12th Mar2026</t>
        </is>
      </c>
      <c r="ALA3" t="inlineStr">
        <is>
          <t>13th Mar2026</t>
        </is>
      </c>
      <c r="ALB3" t="inlineStr">
        <is>
          <t>14th Mar2026</t>
        </is>
      </c>
      <c r="ALC3" t="inlineStr">
        <is>
          <t>15th Mar2026</t>
        </is>
      </c>
      <c r="ALD3" t="inlineStr">
        <is>
          <t>16th Mar2026</t>
        </is>
      </c>
      <c r="ALE3" t="inlineStr">
        <is>
          <t>17th Mar2026</t>
        </is>
      </c>
      <c r="ALF3" t="inlineStr">
        <is>
          <t>18th Mar2026</t>
        </is>
      </c>
      <c r="ALG3" t="inlineStr">
        <is>
          <t>19th Mar2026</t>
        </is>
      </c>
      <c r="ALH3" t="inlineStr">
        <is>
          <t>20th Mar2026</t>
        </is>
      </c>
      <c r="ALI3" t="inlineStr">
        <is>
          <t>21st Mar2026</t>
        </is>
      </c>
      <c r="ALJ3" t="inlineStr">
        <is>
          <t>22nd Mar2026</t>
        </is>
      </c>
      <c r="ALK3" t="inlineStr">
        <is>
          <t>23rd Mar2026</t>
        </is>
      </c>
      <c r="ALL3" t="inlineStr">
        <is>
          <t>24th Mar2026</t>
        </is>
      </c>
      <c r="ALM3" t="inlineStr">
        <is>
          <t>25th Mar2026</t>
        </is>
      </c>
      <c r="ALN3" t="inlineStr">
        <is>
          <t>26th Mar2026</t>
        </is>
      </c>
      <c r="ALO3" t="inlineStr">
        <is>
          <t>27th Mar2026</t>
        </is>
      </c>
      <c r="ALP3" t="inlineStr">
        <is>
          <t>28th Mar2026</t>
        </is>
      </c>
      <c r="ALQ3" t="inlineStr">
        <is>
          <t>29th Mar2026</t>
        </is>
      </c>
      <c r="ALR3" t="inlineStr">
        <is>
          <t>30th Mar2026</t>
        </is>
      </c>
      <c r="ALS3" t="inlineStr">
        <is>
          <t>31st Mar2026</t>
        </is>
      </c>
      <c r="ALT3" s="130" t="n"/>
      <c r="ALU3" t="inlineStr">
        <is>
          <t>1st apr2026</t>
        </is>
      </c>
      <c r="ALV3" t="inlineStr">
        <is>
          <t>2nd apr2026</t>
        </is>
      </c>
      <c r="ALW3" t="inlineStr">
        <is>
          <t>3rd apr2026</t>
        </is>
      </c>
      <c r="ALX3" t="inlineStr">
        <is>
          <t>4th apr2026</t>
        </is>
      </c>
      <c r="ALY3" t="inlineStr">
        <is>
          <t>5th apr2026</t>
        </is>
      </c>
      <c r="ALZ3" t="inlineStr">
        <is>
          <t>6th apr2026</t>
        </is>
      </c>
      <c r="AMA3" t="inlineStr">
        <is>
          <t>7th apr2026</t>
        </is>
      </c>
      <c r="AMB3" t="inlineStr">
        <is>
          <t>8th apr2026</t>
        </is>
      </c>
      <c r="AMC3" t="inlineStr">
        <is>
          <t>9th apr2026</t>
        </is>
      </c>
      <c r="AMD3" t="inlineStr">
        <is>
          <t>10th apr2026</t>
        </is>
      </c>
      <c r="AME3" t="inlineStr">
        <is>
          <t>11th apr2026</t>
        </is>
      </c>
      <c r="AMF3" t="inlineStr">
        <is>
          <t>12th apr2026</t>
        </is>
      </c>
      <c r="AMG3" t="inlineStr">
        <is>
          <t>13th apr2026</t>
        </is>
      </c>
      <c r="AMH3" s="105" t="inlineStr">
        <is>
          <t>14th apr2026</t>
        </is>
      </c>
      <c r="AMI3" t="inlineStr">
        <is>
          <t>15th apr2026</t>
        </is>
      </c>
      <c r="AMJ3" t="inlineStr">
        <is>
          <t>16th apr2026</t>
        </is>
      </c>
      <c r="AMK3" t="inlineStr">
        <is>
          <t>17th apr2026</t>
        </is>
      </c>
      <c r="AML3" t="inlineStr">
        <is>
          <t>18th apr2026</t>
        </is>
      </c>
      <c r="AMM3" t="inlineStr">
        <is>
          <t>19th apr2026</t>
        </is>
      </c>
      <c r="AMN3" t="inlineStr">
        <is>
          <t>20th apr2026</t>
        </is>
      </c>
      <c r="AMO3" t="inlineStr">
        <is>
          <t>21st apr2026</t>
        </is>
      </c>
      <c r="AMP3" t="inlineStr">
        <is>
          <t>22nd apr2026</t>
        </is>
      </c>
      <c r="AMQ3" t="inlineStr">
        <is>
          <t>23rd apr2026</t>
        </is>
      </c>
      <c r="AMR3" t="inlineStr">
        <is>
          <t>24th apr2026</t>
        </is>
      </c>
      <c r="AMS3" t="inlineStr">
        <is>
          <t>25th apr2026</t>
        </is>
      </c>
      <c r="AMT3" t="inlineStr">
        <is>
          <t>26th apr2026</t>
        </is>
      </c>
      <c r="AMU3" t="inlineStr">
        <is>
          <t>27th apr2026</t>
        </is>
      </c>
      <c r="AMV3" t="inlineStr">
        <is>
          <t>28th apr2026</t>
        </is>
      </c>
      <c r="AMW3" t="inlineStr">
        <is>
          <t>29th apr2026</t>
        </is>
      </c>
      <c r="AMX3" t="inlineStr">
        <is>
          <t>30th apr2026</t>
        </is>
      </c>
      <c r="AMY3" s="130" t="n"/>
      <c r="AMZ3" t="inlineStr">
        <is>
          <t>1st -may2026</t>
        </is>
      </c>
      <c r="ANA3" t="inlineStr">
        <is>
          <t>2nd -may2026</t>
        </is>
      </c>
      <c r="ANB3" t="inlineStr">
        <is>
          <t>3rd -may2026</t>
        </is>
      </c>
      <c r="ANC3" t="inlineStr">
        <is>
          <t>4th -may2026</t>
        </is>
      </c>
      <c r="AND3" t="inlineStr">
        <is>
          <t>5th -may2026</t>
        </is>
      </c>
      <c r="ANE3" t="inlineStr">
        <is>
          <t>6th -may2026</t>
        </is>
      </c>
      <c r="ANF3" t="inlineStr">
        <is>
          <t>7th -may2026</t>
        </is>
      </c>
      <c r="ANG3" t="inlineStr">
        <is>
          <t>8th -may2026</t>
        </is>
      </c>
      <c r="ANH3" t="inlineStr">
        <is>
          <t>9th -may2026</t>
        </is>
      </c>
      <c r="ANI3" t="inlineStr">
        <is>
          <t>10th -may2026</t>
        </is>
      </c>
      <c r="ANJ3" t="inlineStr">
        <is>
          <t>11th -may2026</t>
        </is>
      </c>
      <c r="ANK3" t="inlineStr">
        <is>
          <t>12th -may2026</t>
        </is>
      </c>
      <c r="ANL3" s="145" t="inlineStr">
        <is>
          <t>13th -may2026</t>
        </is>
      </c>
      <c r="ANM3" t="inlineStr">
        <is>
          <t>14th -may2026</t>
        </is>
      </c>
      <c r="ANN3" t="inlineStr">
        <is>
          <t>15th -may2026</t>
        </is>
      </c>
      <c r="ANO3" t="inlineStr">
        <is>
          <t>16th -may2026</t>
        </is>
      </c>
      <c r="ANP3" t="inlineStr">
        <is>
          <t>17th -may2026</t>
        </is>
      </c>
      <c r="ANQ3" t="inlineStr">
        <is>
          <t>18th -may2026</t>
        </is>
      </c>
      <c r="ANR3" t="inlineStr">
        <is>
          <t>19th -may2026</t>
        </is>
      </c>
      <c r="ANS3" t="inlineStr">
        <is>
          <t>20th -may2026</t>
        </is>
      </c>
      <c r="ANT3" t="inlineStr">
        <is>
          <t>21st -may2026</t>
        </is>
      </c>
      <c r="ANU3" t="inlineStr">
        <is>
          <t>22nd -may2026</t>
        </is>
      </c>
      <c r="ANV3" t="inlineStr">
        <is>
          <t>23rd -may2026</t>
        </is>
      </c>
      <c r="ANW3" t="inlineStr">
        <is>
          <t>24th -may2026</t>
        </is>
      </c>
      <c r="ANX3" t="inlineStr">
        <is>
          <t>25th -may2026</t>
        </is>
      </c>
      <c r="ANY3" t="inlineStr">
        <is>
          <t>26th -may2026</t>
        </is>
      </c>
      <c r="ANZ3" t="inlineStr">
        <is>
          <t>27th -may2026</t>
        </is>
      </c>
      <c r="AOA3" t="inlineStr">
        <is>
          <t>28th -may2026</t>
        </is>
      </c>
      <c r="AOB3" t="inlineStr">
        <is>
          <t>29th -may2026</t>
        </is>
      </c>
      <c r="AOC3" t="inlineStr">
        <is>
          <t>30th -may2026</t>
        </is>
      </c>
    </row>
    <row r="4">
      <c r="A4" s="170" t="inlineStr">
        <is>
          <t>STOCK WHITE FULES</t>
        </is>
      </c>
      <c r="B4" t="inlineStr">
        <is>
          <t>PMS QTY</t>
        </is>
      </c>
      <c r="C4" s="52">
        <f>BALANCING!C34</f>
        <v/>
      </c>
      <c r="D4" s="52">
        <f>BALANCING!D34</f>
        <v/>
      </c>
      <c r="E4" s="52">
        <f>BALANCING!E34</f>
        <v/>
      </c>
      <c r="F4" s="52">
        <f>BALANCING!F34</f>
        <v/>
      </c>
      <c r="G4" s="84">
        <f>BALANCING!G34</f>
        <v/>
      </c>
      <c r="H4" s="52">
        <f>BALANCING!H34</f>
        <v/>
      </c>
      <c r="I4" s="52">
        <f>BALANCING!I34</f>
        <v/>
      </c>
      <c r="J4" s="52">
        <f>BALANCING!J34</f>
        <v/>
      </c>
      <c r="K4" s="52">
        <f>BALANCING!K34</f>
        <v/>
      </c>
      <c r="L4" s="52">
        <f>BALANCING!L34</f>
        <v/>
      </c>
      <c r="M4" s="52">
        <f>BALANCING!M34</f>
        <v/>
      </c>
      <c r="N4" s="52">
        <f>BALANCING!N34</f>
        <v/>
      </c>
      <c r="O4" s="52">
        <f>BALANCING!O34</f>
        <v/>
      </c>
      <c r="P4" s="52">
        <f>BALANCING!P34</f>
        <v/>
      </c>
      <c r="Q4" s="52">
        <f>BALANCING!Q34</f>
        <v/>
      </c>
      <c r="R4" s="52">
        <f>BALANCING!R34</f>
        <v/>
      </c>
      <c r="S4" s="52">
        <f>BALANCING!S34</f>
        <v/>
      </c>
      <c r="T4" s="52">
        <f>BALANCING!T34</f>
        <v/>
      </c>
      <c r="U4" s="52">
        <f>BALANCING!U34</f>
        <v/>
      </c>
      <c r="V4" s="52">
        <f>BALANCING!V34</f>
        <v/>
      </c>
      <c r="W4" s="52">
        <f>BALANCING!W34</f>
        <v/>
      </c>
      <c r="X4" s="52">
        <f>BALANCING!X34</f>
        <v/>
      </c>
      <c r="Y4" s="52">
        <f>BALANCING!Y34</f>
        <v/>
      </c>
      <c r="Z4" s="52">
        <f>BALANCING!Z34</f>
        <v/>
      </c>
      <c r="AA4" s="52">
        <f>BALANCING!AA34</f>
        <v/>
      </c>
      <c r="AB4" s="52">
        <f>BALANCING!AB34</f>
        <v/>
      </c>
      <c r="AC4" s="52">
        <f>BALANCING!AC34</f>
        <v/>
      </c>
      <c r="AD4" s="52">
        <f>BALANCING!AD34</f>
        <v/>
      </c>
      <c r="AE4" s="52">
        <f>BALANCING!AE34</f>
        <v/>
      </c>
      <c r="AF4" s="52">
        <f>BALANCING!AF34</f>
        <v/>
      </c>
      <c r="AG4" s="52">
        <f>BALANCING!AG34</f>
        <v/>
      </c>
      <c r="AH4" s="98" t="n"/>
      <c r="AI4" s="52">
        <f>BALANCING!AI34</f>
        <v/>
      </c>
      <c r="AJ4" s="52">
        <f>BALANCING!AJ34</f>
        <v/>
      </c>
      <c r="AK4" s="52">
        <f>BALANCING!AK34</f>
        <v/>
      </c>
      <c r="AL4" s="52">
        <f>BALANCING!AL34</f>
        <v/>
      </c>
      <c r="AM4" s="52">
        <f>BALANCING!AM34</f>
        <v/>
      </c>
      <c r="AN4" s="52">
        <f>BALANCING!AN34</f>
        <v/>
      </c>
      <c r="AO4" s="52">
        <f>BALANCING!AO34</f>
        <v/>
      </c>
      <c r="AP4" s="52">
        <f>BALANCING!AP34</f>
        <v/>
      </c>
      <c r="AQ4" s="52">
        <f>BALANCING!AQ34</f>
        <v/>
      </c>
      <c r="AR4" s="52">
        <f>BALANCING!AR34</f>
        <v/>
      </c>
      <c r="AS4" s="52">
        <f>BALANCING!AS34</f>
        <v/>
      </c>
      <c r="AT4" s="52">
        <f>BALANCING!AT34</f>
        <v/>
      </c>
      <c r="AU4" s="52">
        <f>BALANCING!AU34</f>
        <v/>
      </c>
      <c r="AV4" s="52">
        <f>BALANCING!AV34</f>
        <v/>
      </c>
      <c r="AW4" s="52">
        <f>BALANCING!AW34</f>
        <v/>
      </c>
      <c r="AX4" s="52">
        <f>BALANCING!AX34</f>
        <v/>
      </c>
      <c r="AY4" s="52">
        <f>BALANCING!AY34</f>
        <v/>
      </c>
      <c r="AZ4" s="52">
        <f>BALANCING!AZ34</f>
        <v/>
      </c>
      <c r="BA4" s="52">
        <f>BALANCING!BA34</f>
        <v/>
      </c>
      <c r="BB4" s="52">
        <f>BALANCING!BB34</f>
        <v/>
      </c>
      <c r="BC4" s="52">
        <f>BALANCING!BC34</f>
        <v/>
      </c>
      <c r="BD4" s="52">
        <f>BALANCING!BD34</f>
        <v/>
      </c>
      <c r="BE4" s="52">
        <f>BALANCING!BE34</f>
        <v/>
      </c>
      <c r="BF4" s="52">
        <f>BALANCING!BF34</f>
        <v/>
      </c>
      <c r="BG4" s="52">
        <f>BALANCING!BG34</f>
        <v/>
      </c>
      <c r="BH4" s="52">
        <f>BALANCING!BH34</f>
        <v/>
      </c>
      <c r="BI4" s="52">
        <f>BALANCING!BI34</f>
        <v/>
      </c>
      <c r="BJ4" s="52">
        <f>BALANCING!BJ34</f>
        <v/>
      </c>
      <c r="BK4" s="52">
        <f>BALANCING!BK34</f>
        <v/>
      </c>
      <c r="BL4" s="52">
        <f>BALANCING!BL34</f>
        <v/>
      </c>
      <c r="BM4" s="105" t="n"/>
      <c r="BN4" s="52">
        <f>BALANCING!BN34</f>
        <v/>
      </c>
      <c r="BO4" s="52">
        <f>BALANCING!BO34</f>
        <v/>
      </c>
      <c r="BP4" s="52">
        <f>BALANCING!BP34</f>
        <v/>
      </c>
      <c r="BQ4" s="52">
        <f>BALANCING!BQ34</f>
        <v/>
      </c>
      <c r="BR4" s="52">
        <f>BALANCING!BR34</f>
        <v/>
      </c>
      <c r="BS4" s="52">
        <f>BALANCING!BS34</f>
        <v/>
      </c>
      <c r="BT4" s="52">
        <f>BALANCING!BT34</f>
        <v/>
      </c>
      <c r="BU4" s="52">
        <f>BALANCING!BU34</f>
        <v/>
      </c>
      <c r="BV4" s="52">
        <f>BALANCING!BV34</f>
        <v/>
      </c>
      <c r="BW4" s="52">
        <f>BALANCING!BW34</f>
        <v/>
      </c>
      <c r="BX4" s="52">
        <f>BALANCING!BX34</f>
        <v/>
      </c>
      <c r="BY4" s="52">
        <f>BALANCING!BY34</f>
        <v/>
      </c>
      <c r="BZ4" s="52">
        <f>BALANCING!BZ34</f>
        <v/>
      </c>
      <c r="CA4" s="52">
        <f>BALANCING!CA34</f>
        <v/>
      </c>
      <c r="CB4" s="52">
        <f>BALANCING!CB34</f>
        <v/>
      </c>
      <c r="CC4" s="52">
        <f>BALANCING!CC34</f>
        <v/>
      </c>
      <c r="CD4" s="52">
        <f>BALANCING!CD34</f>
        <v/>
      </c>
      <c r="CE4" s="52">
        <f>BALANCING!CE34</f>
        <v/>
      </c>
      <c r="CF4" s="52">
        <f>BALANCING!CF34</f>
        <v/>
      </c>
      <c r="CG4" s="52">
        <f>BALANCING!CG34</f>
        <v/>
      </c>
      <c r="CH4" s="52">
        <f>BALANCING!CH34</f>
        <v/>
      </c>
      <c r="CI4" s="52">
        <f>BALANCING!CI34</f>
        <v/>
      </c>
      <c r="CJ4" s="52">
        <f>BALANCING!CJ34</f>
        <v/>
      </c>
      <c r="CK4" s="52">
        <f>BALANCING!CK34</f>
        <v/>
      </c>
      <c r="CL4" s="52">
        <f>BALANCING!CL34</f>
        <v/>
      </c>
      <c r="CM4" s="52">
        <f>BALANCING!CM34</f>
        <v/>
      </c>
      <c r="CN4" s="52">
        <f>BALANCING!CN34</f>
        <v/>
      </c>
      <c r="CO4" s="52">
        <f>BALANCING!CO34</f>
        <v/>
      </c>
      <c r="CP4" s="52">
        <f>BALANCING!CP34</f>
        <v/>
      </c>
      <c r="CQ4" s="52">
        <f>BALANCING!CQ34</f>
        <v/>
      </c>
      <c r="CR4" s="52">
        <f>BALANCING!CR34</f>
        <v/>
      </c>
      <c r="CT4" s="52">
        <f>BALANCING!CT34</f>
        <v/>
      </c>
      <c r="CU4" s="52">
        <f>BALANCING!CU34</f>
        <v/>
      </c>
      <c r="CV4" s="52">
        <f>BALANCING!CV34</f>
        <v/>
      </c>
      <c r="CW4" s="52">
        <f>BALANCING!CW34</f>
        <v/>
      </c>
      <c r="CX4" s="52">
        <f>BALANCING!CX34</f>
        <v/>
      </c>
      <c r="CY4" s="52">
        <f>BALANCING!CY34</f>
        <v/>
      </c>
      <c r="CZ4" s="52">
        <f>BALANCING!CZ34</f>
        <v/>
      </c>
      <c r="DA4" s="52">
        <f>BALANCING!DA34</f>
        <v/>
      </c>
      <c r="DB4" s="52">
        <f>BALANCING!DB34</f>
        <v/>
      </c>
      <c r="DC4" s="52">
        <f>BALANCING!DC34</f>
        <v/>
      </c>
      <c r="DD4" s="52">
        <f>BALANCING!DD34</f>
        <v/>
      </c>
      <c r="DE4" s="52">
        <f>BALANCING!DE34</f>
        <v/>
      </c>
      <c r="DF4" s="52">
        <f>BALANCING!DF34</f>
        <v/>
      </c>
      <c r="DG4" s="52">
        <f>BALANCING!DG34</f>
        <v/>
      </c>
      <c r="DH4" s="52">
        <f>BALANCING!DH34</f>
        <v/>
      </c>
      <c r="DI4" s="52">
        <f>BALANCING!DI34</f>
        <v/>
      </c>
      <c r="DJ4" s="52">
        <f>BALANCING!DJ34</f>
        <v/>
      </c>
      <c r="DK4" s="52">
        <f>BALANCING!DK34</f>
        <v/>
      </c>
      <c r="DL4" s="52">
        <f>BALANCING!DL34</f>
        <v/>
      </c>
      <c r="DM4" s="52">
        <f>BALANCING!DM34</f>
        <v/>
      </c>
      <c r="DN4" s="52">
        <f>BALANCING!DN34</f>
        <v/>
      </c>
      <c r="DO4" s="52">
        <f>BALANCING!DO34</f>
        <v/>
      </c>
      <c r="DP4" s="52">
        <f>BALANCING!DP34</f>
        <v/>
      </c>
      <c r="DQ4" s="52">
        <f>BALANCING!DQ34</f>
        <v/>
      </c>
      <c r="DR4" s="52">
        <f>BALANCING!DR34</f>
        <v/>
      </c>
      <c r="DS4" s="52">
        <f>BALANCING!DS34</f>
        <v/>
      </c>
      <c r="DT4" s="52">
        <f>BALANCING!DT34</f>
        <v/>
      </c>
      <c r="DU4" s="52">
        <f>BALANCING!DU34</f>
        <v/>
      </c>
      <c r="DV4" s="52">
        <f>BALANCING!DV34</f>
        <v/>
      </c>
      <c r="DW4" s="52">
        <f>BALANCING!DW34</f>
        <v/>
      </c>
      <c r="DX4" s="118" t="n"/>
      <c r="DY4" s="52">
        <f>BALANCING!DY34</f>
        <v/>
      </c>
      <c r="DZ4" s="52">
        <f>BALANCING!DZ34</f>
        <v/>
      </c>
      <c r="EA4" s="52">
        <f>BALANCING!EA34</f>
        <v/>
      </c>
      <c r="EB4" s="52">
        <f>BALANCING!EB34</f>
        <v/>
      </c>
      <c r="EC4" s="52">
        <f>BALANCING!EC34</f>
        <v/>
      </c>
      <c r="ED4" s="52">
        <f>BALANCING!ED34</f>
        <v/>
      </c>
      <c r="EE4" s="52">
        <f>BALANCING!EE34</f>
        <v/>
      </c>
      <c r="EF4" s="52">
        <f>BALANCING!EF34</f>
        <v/>
      </c>
      <c r="EG4" s="52">
        <f>BALANCING!EG34</f>
        <v/>
      </c>
      <c r="EH4" s="52">
        <f>BALANCING!EH34</f>
        <v/>
      </c>
      <c r="EI4" s="52">
        <f>BALANCING!EI34</f>
        <v/>
      </c>
      <c r="EJ4" s="52">
        <f>BALANCING!EJ34</f>
        <v/>
      </c>
      <c r="EK4" s="52">
        <f>BALANCING!EK34</f>
        <v/>
      </c>
      <c r="EL4" s="52">
        <f>BALANCING!EL34</f>
        <v/>
      </c>
      <c r="EM4" s="52">
        <f>BALANCING!EM34</f>
        <v/>
      </c>
      <c r="EN4" s="52">
        <f>BALANCING!EN34</f>
        <v/>
      </c>
      <c r="EO4" s="52">
        <f>BALANCING!EO34</f>
        <v/>
      </c>
      <c r="EP4" s="52">
        <f>BALANCING!EP34</f>
        <v/>
      </c>
      <c r="EQ4" s="52">
        <f>BALANCING!EQ34</f>
        <v/>
      </c>
      <c r="ER4" s="52">
        <f>BALANCING!ER34</f>
        <v/>
      </c>
      <c r="ES4" s="52">
        <f>BALANCING!ES34</f>
        <v/>
      </c>
      <c r="ET4" s="52">
        <f>BALANCING!ET34</f>
        <v/>
      </c>
      <c r="EU4" s="52">
        <f>BALANCING!EU34</f>
        <v/>
      </c>
      <c r="EV4" s="52">
        <f>BALANCING!EV34</f>
        <v/>
      </c>
      <c r="EW4" s="52">
        <f>BALANCING!EW34</f>
        <v/>
      </c>
      <c r="EX4" s="52">
        <f>BALANCING!EX34</f>
        <v/>
      </c>
      <c r="EY4" s="52">
        <f>BALANCING!EY34</f>
        <v/>
      </c>
      <c r="EZ4" s="52">
        <f>BALANCING!EZ34</f>
        <v/>
      </c>
      <c r="FA4" s="52">
        <f>BALANCING!FA34</f>
        <v/>
      </c>
      <c r="FB4" s="52">
        <f>BALANCING!FB34</f>
        <v/>
      </c>
      <c r="FC4" s="52">
        <f>BALANCING!FC34</f>
        <v/>
      </c>
      <c r="FD4" s="126" t="n"/>
      <c r="FE4" s="52">
        <f>BALANCING!FE34</f>
        <v/>
      </c>
      <c r="FF4" s="52">
        <f>BALANCING!FF34</f>
        <v/>
      </c>
      <c r="FG4" s="52">
        <f>BALANCING!FG34</f>
        <v/>
      </c>
      <c r="FH4" s="52">
        <f>BALANCING!FH34</f>
        <v/>
      </c>
      <c r="FI4" s="52">
        <f>BALANCING!FI34</f>
        <v/>
      </c>
      <c r="FJ4" s="52">
        <f>BALANCING!FJ34</f>
        <v/>
      </c>
      <c r="FK4" s="52">
        <f>BALANCING!FK34</f>
        <v/>
      </c>
      <c r="FL4" s="52">
        <f>BALANCING!FL34</f>
        <v/>
      </c>
      <c r="FM4" s="52">
        <f>BALANCING!FM34</f>
        <v/>
      </c>
      <c r="FN4" s="52">
        <f>BALANCING!FN34</f>
        <v/>
      </c>
      <c r="FO4" s="52">
        <f>BALANCING!FO34</f>
        <v/>
      </c>
      <c r="FP4" s="52">
        <f>BALANCING!FP34</f>
        <v/>
      </c>
      <c r="FQ4" s="52">
        <f>BALANCING!FQ34</f>
        <v/>
      </c>
      <c r="FR4" s="52">
        <f>BALANCING!FR34</f>
        <v/>
      </c>
      <c r="FS4" s="52">
        <f>BALANCING!FS34</f>
        <v/>
      </c>
      <c r="FT4" s="52">
        <f>BALANCING!FT34</f>
        <v/>
      </c>
      <c r="FU4" s="52">
        <f>BALANCING!FU34</f>
        <v/>
      </c>
      <c r="FV4" s="52">
        <f>BALANCING!FV34</f>
        <v/>
      </c>
      <c r="FW4" s="52">
        <f>BALANCING!FW34</f>
        <v/>
      </c>
      <c r="FX4" s="52">
        <f>BALANCING!FX34</f>
        <v/>
      </c>
      <c r="FY4" s="52">
        <f>BALANCING!FY34</f>
        <v/>
      </c>
      <c r="FZ4" s="52">
        <f>BALANCING!FZ34</f>
        <v/>
      </c>
      <c r="GA4" s="52">
        <f>BALANCING!GA34</f>
        <v/>
      </c>
      <c r="GB4" s="52">
        <f>BALANCING!GB34</f>
        <v/>
      </c>
      <c r="GC4" s="52">
        <f>BALANCING!GC34</f>
        <v/>
      </c>
      <c r="GD4" s="52">
        <f>BALANCING!GD34</f>
        <v/>
      </c>
      <c r="GE4" s="52">
        <f>BALANCING!GE34</f>
        <v/>
      </c>
      <c r="GF4" s="52">
        <f>BALANCING!GF34</f>
        <v/>
      </c>
      <c r="GG4" s="52">
        <f>BALANCING!GG34</f>
        <v/>
      </c>
      <c r="GH4" s="52">
        <f>BALANCING!GH34</f>
        <v/>
      </c>
      <c r="GI4" s="52">
        <f>BALANCING!GI34</f>
        <v/>
      </c>
      <c r="GJ4" s="130" t="n"/>
      <c r="GK4" s="52">
        <f>BALANCING!GK34</f>
        <v/>
      </c>
      <c r="GL4" s="52">
        <f>BALANCING!GL34</f>
        <v/>
      </c>
      <c r="GM4" s="52">
        <f>BALANCING!GM34</f>
        <v/>
      </c>
      <c r="GN4" s="52">
        <f>BALANCING!GN34</f>
        <v/>
      </c>
      <c r="GO4" s="52">
        <f>BALANCING!GO34</f>
        <v/>
      </c>
      <c r="GP4" s="52">
        <f>BALANCING!GP34</f>
        <v/>
      </c>
      <c r="GQ4" s="52">
        <f>BALANCING!GQ34</f>
        <v/>
      </c>
      <c r="GR4" s="52">
        <f>BALANCING!GR34</f>
        <v/>
      </c>
      <c r="GS4" s="52">
        <f>BALANCING!GS34</f>
        <v/>
      </c>
      <c r="GT4" s="52">
        <f>BALANCING!GT34</f>
        <v/>
      </c>
      <c r="GU4" s="52">
        <f>BALANCING!GU34</f>
        <v/>
      </c>
      <c r="GV4" s="52">
        <f>BALANCING!GV34</f>
        <v/>
      </c>
      <c r="GW4" s="52">
        <f>BALANCING!GW34</f>
        <v/>
      </c>
      <c r="GX4" s="52">
        <f>BALANCING!GX34</f>
        <v/>
      </c>
      <c r="GY4" s="52">
        <f>BALANCING!GY34</f>
        <v/>
      </c>
      <c r="GZ4" s="52">
        <f>BALANCING!GZ34</f>
        <v/>
      </c>
      <c r="HA4" s="52">
        <f>BALANCING!HA34</f>
        <v/>
      </c>
      <c r="HB4" s="52">
        <f>BALANCING!HB34</f>
        <v/>
      </c>
      <c r="HC4" s="52">
        <f>BALANCING!HC34</f>
        <v/>
      </c>
      <c r="HD4" s="52">
        <f>BALANCING!HD34</f>
        <v/>
      </c>
      <c r="HE4" s="52">
        <f>BALANCING!HE34</f>
        <v/>
      </c>
      <c r="HF4" s="52">
        <f>BALANCING!HF34</f>
        <v/>
      </c>
      <c r="HG4" s="52">
        <f>BALANCING!HG34</f>
        <v/>
      </c>
      <c r="HH4" s="52">
        <f>BALANCING!HH34</f>
        <v/>
      </c>
      <c r="HI4" s="52">
        <f>BALANCING!HI34</f>
        <v/>
      </c>
      <c r="HJ4" s="52">
        <f>BALANCING!HJ34</f>
        <v/>
      </c>
      <c r="HK4" s="52">
        <f>BALANCING!HK34</f>
        <v/>
      </c>
      <c r="HL4" s="52">
        <f>BALANCING!HL34</f>
        <v/>
      </c>
      <c r="HM4" s="52">
        <f>BALANCING!HM34</f>
        <v/>
      </c>
      <c r="HN4" s="130" t="n"/>
      <c r="HO4" s="52">
        <f>BALANCING!HO34</f>
        <v/>
      </c>
      <c r="HP4" s="52">
        <f>BALANCING!HP34</f>
        <v/>
      </c>
      <c r="HQ4" s="52">
        <f>BALANCING!HQ34</f>
        <v/>
      </c>
      <c r="HR4" s="52">
        <f>BALANCING!HR34</f>
        <v/>
      </c>
      <c r="HS4" s="52">
        <f>BALANCING!HS34</f>
        <v/>
      </c>
      <c r="HT4" s="52">
        <f>BALANCING!HT34</f>
        <v/>
      </c>
      <c r="HU4" s="52">
        <f>BALANCING!HU34</f>
        <v/>
      </c>
      <c r="HV4" s="52">
        <f>BALANCING!HV34</f>
        <v/>
      </c>
      <c r="HW4" s="52">
        <f>BALANCING!HW34</f>
        <v/>
      </c>
      <c r="HX4" s="52">
        <f>BALANCING!HX34</f>
        <v/>
      </c>
      <c r="HY4" s="52">
        <f>BALANCING!HY34</f>
        <v/>
      </c>
      <c r="HZ4" s="52">
        <f>BALANCING!HZ34</f>
        <v/>
      </c>
      <c r="IA4" s="52">
        <f>BALANCING!IA34</f>
        <v/>
      </c>
      <c r="IB4" s="52">
        <f>BALANCING!IB34</f>
        <v/>
      </c>
      <c r="IC4" s="52">
        <f>BALANCING!IC34</f>
        <v/>
      </c>
      <c r="ID4" s="52">
        <f>BALANCING!ID34</f>
        <v/>
      </c>
      <c r="IE4" s="52">
        <f>BALANCING!IE34</f>
        <v/>
      </c>
      <c r="IF4" s="52">
        <f>BALANCING!IF34</f>
        <v/>
      </c>
      <c r="IG4" s="52">
        <f>BALANCING!IG34</f>
        <v/>
      </c>
      <c r="IH4" s="52">
        <f>BALANCING!IH34</f>
        <v/>
      </c>
      <c r="II4" s="52">
        <f>BALANCING!II34</f>
        <v/>
      </c>
      <c r="IJ4" s="52">
        <f>BALANCING!IJ34</f>
        <v/>
      </c>
      <c r="IK4" s="52">
        <f>BALANCING!IK34</f>
        <v/>
      </c>
      <c r="IL4" s="52">
        <f>BALANCING!IL34</f>
        <v/>
      </c>
      <c r="IM4" s="52">
        <f>BALANCING!IM34</f>
        <v/>
      </c>
      <c r="IN4" s="52">
        <f>BALANCING!IN34</f>
        <v/>
      </c>
      <c r="IO4" s="52">
        <f>BALANCING!IO34</f>
        <v/>
      </c>
      <c r="IP4" s="52">
        <f>BALANCING!IP34</f>
        <v/>
      </c>
      <c r="IQ4" s="52">
        <f>BALANCING!IQ34</f>
        <v/>
      </c>
      <c r="IR4" s="52">
        <f>BALANCING!IR34</f>
        <v/>
      </c>
      <c r="IS4" s="52">
        <f>BALANCING!IS34</f>
        <v/>
      </c>
      <c r="IT4" s="130" t="n"/>
      <c r="IU4" s="52">
        <f>BALANCING!IU34</f>
        <v/>
      </c>
      <c r="IV4" s="52">
        <f>BALANCING!IV34</f>
        <v/>
      </c>
      <c r="IW4" s="52">
        <f>BALANCING!IW34</f>
        <v/>
      </c>
      <c r="IX4" s="52">
        <f>BALANCING!IX34</f>
        <v/>
      </c>
      <c r="IY4" s="52">
        <f>BALANCING!IY34</f>
        <v/>
      </c>
      <c r="IZ4" s="52">
        <f>BALANCING!IZ34</f>
        <v/>
      </c>
      <c r="JA4" s="52">
        <f>BALANCING!JA34</f>
        <v/>
      </c>
      <c r="JB4" s="52">
        <f>BALANCING!JB34</f>
        <v/>
      </c>
      <c r="JC4" s="52">
        <f>BALANCING!JC34</f>
        <v/>
      </c>
      <c r="JD4" s="52">
        <f>BALANCING!JD34</f>
        <v/>
      </c>
      <c r="JE4" s="52">
        <f>BALANCING!JE34</f>
        <v/>
      </c>
      <c r="JF4" s="52">
        <f>BALANCING!JF34</f>
        <v/>
      </c>
      <c r="JG4" s="52">
        <f>BALANCING!JG34</f>
        <v/>
      </c>
      <c r="JH4" s="52">
        <f>BALANCING!JH34</f>
        <v/>
      </c>
      <c r="JI4" s="52">
        <f>BALANCING!JI34</f>
        <v/>
      </c>
      <c r="JJ4" s="52">
        <f>BALANCING!JJ34</f>
        <v/>
      </c>
      <c r="JK4" s="52">
        <f>BALANCING!JK34</f>
        <v/>
      </c>
      <c r="JL4" s="52">
        <f>BALANCING!JL34</f>
        <v/>
      </c>
      <c r="JM4" s="52">
        <f>BALANCING!JM34</f>
        <v/>
      </c>
      <c r="JN4" s="52">
        <f>BALANCING!JN34</f>
        <v/>
      </c>
      <c r="JO4" s="52">
        <f>BALANCING!JO34</f>
        <v/>
      </c>
      <c r="JP4" s="52">
        <f>BALANCING!JP34</f>
        <v/>
      </c>
      <c r="JQ4" s="52">
        <f>BALANCING!JQ34</f>
        <v/>
      </c>
      <c r="JR4" s="52">
        <f>BALANCING!JR34</f>
        <v/>
      </c>
      <c r="JS4" s="52">
        <f>BALANCING!JS34</f>
        <v/>
      </c>
      <c r="JT4" s="52">
        <f>BALANCING!JT34</f>
        <v/>
      </c>
      <c r="JU4" s="52">
        <f>BALANCING!JU34</f>
        <v/>
      </c>
      <c r="JV4" s="52">
        <f>BALANCING!JV34</f>
        <v/>
      </c>
      <c r="JW4" s="52">
        <f>BALANCING!JW34</f>
        <v/>
      </c>
      <c r="JX4" s="52">
        <f>BALANCING!JX34</f>
        <v/>
      </c>
      <c r="JY4" s="139" t="n"/>
      <c r="JZ4" s="52">
        <f>BALANCING!JZ34</f>
        <v/>
      </c>
      <c r="KA4" s="52">
        <f>BALANCING!KA34</f>
        <v/>
      </c>
      <c r="KB4" s="52">
        <f>BALANCING!KB34</f>
        <v/>
      </c>
      <c r="KC4" s="52">
        <f>BALANCING!KC34</f>
        <v/>
      </c>
      <c r="KD4" s="52">
        <f>BALANCING!KD34</f>
        <v/>
      </c>
      <c r="KE4" s="52">
        <f>BALANCING!KE34</f>
        <v/>
      </c>
      <c r="KF4" s="52">
        <f>BALANCING!KF34</f>
        <v/>
      </c>
      <c r="KG4" s="52">
        <f>BALANCING!KG34</f>
        <v/>
      </c>
      <c r="KH4" s="52">
        <f>BALANCING!KH34</f>
        <v/>
      </c>
      <c r="KI4" s="52">
        <f>BALANCING!KI34</f>
        <v/>
      </c>
      <c r="KJ4" s="52">
        <f>BALANCING!KJ34</f>
        <v/>
      </c>
      <c r="KK4" s="52">
        <f>BALANCING!KK34</f>
        <v/>
      </c>
      <c r="KL4" s="52">
        <f>BALANCING!KL34</f>
        <v/>
      </c>
      <c r="KM4" s="52">
        <f>BALANCING!KM34</f>
        <v/>
      </c>
      <c r="KN4" s="52">
        <f>BALANCING!KN34</f>
        <v/>
      </c>
      <c r="KO4" s="52">
        <f>BALANCING!KO34</f>
        <v/>
      </c>
      <c r="KP4" s="52">
        <f>BALANCING!KP34</f>
        <v/>
      </c>
      <c r="KQ4" s="52">
        <f>BALANCING!KQ34</f>
        <v/>
      </c>
      <c r="KR4" s="52">
        <f>BALANCING!KR34</f>
        <v/>
      </c>
      <c r="KS4" s="52">
        <f>BALANCING!KS34</f>
        <v/>
      </c>
      <c r="KT4" s="52">
        <f>BALANCING!KT34</f>
        <v/>
      </c>
      <c r="KU4" s="52">
        <f>BALANCING!KU34</f>
        <v/>
      </c>
      <c r="KV4" s="52">
        <f>BALANCING!KV34</f>
        <v/>
      </c>
      <c r="KW4" s="52">
        <f>BALANCING!KW34</f>
        <v/>
      </c>
      <c r="KX4" s="52">
        <f>BALANCING!KX34</f>
        <v/>
      </c>
      <c r="KY4" s="52">
        <f>BALANCING!KY34</f>
        <v/>
      </c>
      <c r="KZ4" s="52">
        <f>BALANCING!KZ34</f>
        <v/>
      </c>
      <c r="LA4" s="52">
        <f>BALANCING!LA34</f>
        <v/>
      </c>
      <c r="LB4" s="52">
        <f>BALANCING!LB34</f>
        <v/>
      </c>
      <c r="LC4" s="52">
        <f>BALANCING!LC34</f>
        <v/>
      </c>
      <c r="LD4" s="52">
        <f>BALANCING!LD34</f>
        <v/>
      </c>
      <c r="LE4" s="130" t="n"/>
      <c r="LF4" s="52">
        <f>BALANCING!LF34</f>
        <v/>
      </c>
      <c r="LG4" s="52">
        <f>BALANCING!LG34</f>
        <v/>
      </c>
      <c r="LH4" s="52">
        <f>BALANCING!LH34</f>
        <v/>
      </c>
      <c r="LI4" s="52">
        <f>BALANCING!LI34</f>
        <v/>
      </c>
      <c r="LJ4" s="52">
        <f>BALANCING!LJ34</f>
        <v/>
      </c>
      <c r="LK4" s="52">
        <f>BALANCING!LK34</f>
        <v/>
      </c>
      <c r="LL4" s="52">
        <f>BALANCING!LL34</f>
        <v/>
      </c>
      <c r="LM4" s="52">
        <f>BALANCING!LM34</f>
        <v/>
      </c>
      <c r="LN4" s="52">
        <f>BALANCING!LN34</f>
        <v/>
      </c>
      <c r="LO4" s="52">
        <f>BALANCING!LO34</f>
        <v/>
      </c>
      <c r="LP4" s="52">
        <f>BALANCING!LP34</f>
        <v/>
      </c>
      <c r="LQ4" s="52">
        <f>BALANCING!LQ34</f>
        <v/>
      </c>
      <c r="LR4" s="52">
        <f>BALANCING!LR34</f>
        <v/>
      </c>
      <c r="LS4" s="52">
        <f>BALANCING!LS34</f>
        <v/>
      </c>
      <c r="LT4" s="52">
        <f>BALANCING!LT34</f>
        <v/>
      </c>
      <c r="LU4" s="52">
        <f>BALANCING!LU34</f>
        <v/>
      </c>
      <c r="LV4" s="52">
        <f>BALANCING!LV34</f>
        <v/>
      </c>
      <c r="LW4" s="52">
        <f>BALANCING!LW34</f>
        <v/>
      </c>
      <c r="LX4" s="52">
        <f>BALANCING!LX34</f>
        <v/>
      </c>
      <c r="LY4" s="52">
        <f>BALANCING!LY34</f>
        <v/>
      </c>
      <c r="LZ4" s="52">
        <f>BALANCING!LZ34</f>
        <v/>
      </c>
      <c r="MA4" s="52">
        <f>BALANCING!MA34</f>
        <v/>
      </c>
      <c r="MB4" s="52">
        <f>BALANCING!MB34</f>
        <v/>
      </c>
      <c r="MC4" s="52">
        <f>BALANCING!MC34</f>
        <v/>
      </c>
      <c r="MD4" s="52">
        <f>BALANCING!MD34</f>
        <v/>
      </c>
      <c r="ME4" s="52">
        <f>BALANCING!ME34</f>
        <v/>
      </c>
      <c r="MF4" s="52">
        <f>BALANCING!MF34</f>
        <v/>
      </c>
      <c r="MG4" s="52">
        <f>BALANCING!MG34</f>
        <v/>
      </c>
      <c r="MH4" s="52">
        <f>BALANCING!MH34</f>
        <v/>
      </c>
      <c r="MI4" s="52">
        <f>BALANCING!MI34</f>
        <v/>
      </c>
      <c r="MJ4" s="139" t="n"/>
      <c r="MK4" s="52">
        <f>BALANCING!MK34</f>
        <v/>
      </c>
      <c r="ML4" s="52">
        <f>BALANCING!ML34</f>
        <v/>
      </c>
      <c r="MM4" s="52">
        <f>BALANCING!MM34</f>
        <v/>
      </c>
      <c r="MN4" s="52">
        <f>BALANCING!MN34</f>
        <v/>
      </c>
      <c r="MO4" s="52">
        <f>BALANCING!MO34</f>
        <v/>
      </c>
      <c r="MP4" s="52">
        <f>BALANCING!MP34</f>
        <v/>
      </c>
      <c r="MQ4" s="52">
        <f>BALANCING!MQ34</f>
        <v/>
      </c>
      <c r="MR4" s="52">
        <f>BALANCING!MR34</f>
        <v/>
      </c>
      <c r="MS4" s="52">
        <f>BALANCING!MS34</f>
        <v/>
      </c>
      <c r="MT4" s="52">
        <f>BALANCING!MT34</f>
        <v/>
      </c>
      <c r="MU4" s="52">
        <f>BALANCING!MU34</f>
        <v/>
      </c>
      <c r="MV4" s="52">
        <f>BALANCING!MV34</f>
        <v/>
      </c>
      <c r="MW4" s="52">
        <f>BALANCING!MW34</f>
        <v/>
      </c>
      <c r="MX4" s="52">
        <f>BALANCING!MX34</f>
        <v/>
      </c>
      <c r="MY4" s="52">
        <f>BALANCING!MY34</f>
        <v/>
      </c>
      <c r="MZ4" s="52">
        <f>BALANCING!MZ34</f>
        <v/>
      </c>
      <c r="NA4" s="52">
        <f>BALANCING!NA34</f>
        <v/>
      </c>
      <c r="NB4" s="52">
        <f>BALANCING!NB34</f>
        <v/>
      </c>
      <c r="NC4" s="52">
        <f>BALANCING!NC34</f>
        <v/>
      </c>
      <c r="ND4" s="52">
        <f>BALANCING!ND34</f>
        <v/>
      </c>
      <c r="NE4" s="52">
        <f>BALANCING!NE34</f>
        <v/>
      </c>
      <c r="NF4" s="52">
        <f>BALANCING!NF34</f>
        <v/>
      </c>
      <c r="NG4" s="52">
        <f>BALANCING!NG34</f>
        <v/>
      </c>
      <c r="NH4" s="52">
        <f>BALANCING!NH34</f>
        <v/>
      </c>
      <c r="NI4" s="52">
        <f>BALANCING!NI34</f>
        <v/>
      </c>
      <c r="NJ4" s="52">
        <f>BALANCING!NJ34</f>
        <v/>
      </c>
      <c r="NK4" s="52">
        <f>BALANCING!NK34</f>
        <v/>
      </c>
      <c r="NL4" s="52">
        <f>BALANCING!NL34</f>
        <v/>
      </c>
      <c r="NM4" s="52">
        <f>BALANCING!NM34</f>
        <v/>
      </c>
      <c r="NN4" s="52">
        <f>BALANCING!NN34</f>
        <v/>
      </c>
      <c r="NO4" s="52">
        <f>BALANCING!NO34</f>
        <v/>
      </c>
      <c r="NP4" s="139" t="n"/>
      <c r="NQ4" s="52">
        <f>BALANCING!NQ34</f>
        <v/>
      </c>
      <c r="NR4" s="52">
        <f>BALANCING!NR34</f>
        <v/>
      </c>
      <c r="NS4" s="52">
        <f>BALANCING!NS34</f>
        <v/>
      </c>
      <c r="NT4" s="52">
        <f>BALANCING!NT34</f>
        <v/>
      </c>
      <c r="NU4" s="52">
        <f>BALANCING!NU34</f>
        <v/>
      </c>
      <c r="NV4" s="52">
        <f>BALANCING!NV34</f>
        <v/>
      </c>
      <c r="NW4" s="52">
        <f>BALANCING!NW34</f>
        <v/>
      </c>
      <c r="NX4" s="52">
        <f>BALANCING!NX34</f>
        <v/>
      </c>
      <c r="NY4" s="52">
        <f>BALANCING!NY34</f>
        <v/>
      </c>
      <c r="NZ4" s="52">
        <f>BALANCING!NZ34</f>
        <v/>
      </c>
      <c r="OA4" s="52">
        <f>BALANCING!OA34</f>
        <v/>
      </c>
      <c r="OB4" s="52">
        <f>BALANCING!OB34</f>
        <v/>
      </c>
      <c r="OC4" s="52">
        <f>BALANCING!OC34</f>
        <v/>
      </c>
      <c r="OD4" s="52">
        <f>BALANCING!OD34</f>
        <v/>
      </c>
      <c r="OE4" s="52">
        <f>BALANCING!OE34</f>
        <v/>
      </c>
      <c r="OF4" s="52">
        <f>BALANCING!OF34</f>
        <v/>
      </c>
      <c r="OG4" s="52">
        <f>BALANCING!OG34</f>
        <v/>
      </c>
      <c r="OH4" s="52">
        <f>BALANCING!OH34</f>
        <v/>
      </c>
      <c r="OI4" s="52">
        <f>BALANCING!OI34</f>
        <v/>
      </c>
      <c r="OJ4" s="52">
        <f>BALANCING!OJ34</f>
        <v/>
      </c>
      <c r="OK4" s="52">
        <f>BALANCING!OK34</f>
        <v/>
      </c>
      <c r="OL4" s="52">
        <f>BALANCING!OL34</f>
        <v/>
      </c>
      <c r="OM4" s="52">
        <f>BALANCING!OM34</f>
        <v/>
      </c>
      <c r="ON4" s="52">
        <f>BALANCING!ON34</f>
        <v/>
      </c>
      <c r="OO4" s="52">
        <f>BALANCING!OO34</f>
        <v/>
      </c>
      <c r="OP4" s="52">
        <f>BALANCING!OP34</f>
        <v/>
      </c>
      <c r="OQ4" s="52">
        <f>BALANCING!OQ34</f>
        <v/>
      </c>
      <c r="OR4" s="52">
        <f>BALANCING!OR34</f>
        <v/>
      </c>
      <c r="OS4" s="52">
        <f>BALANCING!OS34</f>
        <v/>
      </c>
      <c r="OT4" s="52">
        <f>BALANCING!OT34</f>
        <v/>
      </c>
      <c r="OU4" s="52">
        <f>BALANCING!OU34</f>
        <v/>
      </c>
      <c r="OV4" s="130" t="n"/>
      <c r="OW4" s="52">
        <f>BALANCING!OW34</f>
        <v/>
      </c>
      <c r="OX4" s="52">
        <f>BALANCING!OX34</f>
        <v/>
      </c>
      <c r="OY4" s="52">
        <f>BALANCING!OY34</f>
        <v/>
      </c>
      <c r="OZ4" s="52">
        <f>BALANCING!OZ34</f>
        <v/>
      </c>
      <c r="PA4" s="52">
        <f>BALANCING!PA34</f>
        <v/>
      </c>
      <c r="PB4" s="52">
        <f>BALANCING!PB34</f>
        <v/>
      </c>
      <c r="PC4" s="52">
        <f>BALANCING!PC34</f>
        <v/>
      </c>
      <c r="PD4" s="52">
        <f>BALANCING!PD34</f>
        <v/>
      </c>
      <c r="PE4" s="52">
        <f>BALANCING!PE34</f>
        <v/>
      </c>
      <c r="PF4" s="52">
        <f>BALANCING!PF34</f>
        <v/>
      </c>
      <c r="PG4" s="52">
        <f>BALANCING!PG34</f>
        <v/>
      </c>
      <c r="PH4" s="52">
        <f>BALANCING!PH34</f>
        <v/>
      </c>
      <c r="PI4" s="52">
        <f>BALANCING!PI34</f>
        <v/>
      </c>
      <c r="PJ4" s="52">
        <f>BALANCING!PJ34</f>
        <v/>
      </c>
      <c r="PK4" s="52">
        <f>BALANCING!PK34</f>
        <v/>
      </c>
      <c r="PL4" s="52">
        <f>BALANCING!PL34</f>
        <v/>
      </c>
      <c r="PM4" s="52">
        <f>BALANCING!PM34</f>
        <v/>
      </c>
      <c r="PN4" s="52">
        <f>BALANCING!PN34</f>
        <v/>
      </c>
      <c r="PO4" s="52">
        <f>BALANCING!PO34</f>
        <v/>
      </c>
      <c r="PP4" s="52">
        <f>BALANCING!PP34</f>
        <v/>
      </c>
      <c r="PQ4" s="52">
        <f>BALANCING!PQ34</f>
        <v/>
      </c>
      <c r="PR4" s="52">
        <f>BALANCING!PR34</f>
        <v/>
      </c>
      <c r="PS4" s="52">
        <f>BALANCING!PS34</f>
        <v/>
      </c>
      <c r="PT4" s="52">
        <f>BALANCING!PT34</f>
        <v/>
      </c>
      <c r="PU4" s="52">
        <f>BALANCING!PU34</f>
        <v/>
      </c>
      <c r="PV4" s="52">
        <f>BALANCING!PV34</f>
        <v/>
      </c>
      <c r="PW4" s="52">
        <f>BALANCING!PW34</f>
        <v/>
      </c>
      <c r="PX4" s="52">
        <f>BALANCING!PX34</f>
        <v/>
      </c>
      <c r="PY4" s="52">
        <f>BALANCING!PY34</f>
        <v/>
      </c>
      <c r="PZ4" s="52">
        <f>BALANCING!PZ34</f>
        <v/>
      </c>
      <c r="QA4" s="130" t="n"/>
      <c r="QB4" s="52">
        <f>BALANCING!QB34</f>
        <v/>
      </c>
      <c r="QC4" s="52">
        <f>BALANCING!QC34</f>
        <v/>
      </c>
      <c r="QD4" s="52">
        <f>BALANCING!QD34</f>
        <v/>
      </c>
      <c r="QE4" s="52">
        <f>BALANCING!QE34</f>
        <v/>
      </c>
      <c r="QF4" s="52">
        <f>BALANCING!QF34</f>
        <v/>
      </c>
      <c r="QG4" s="52">
        <f>BALANCING!QG34</f>
        <v/>
      </c>
      <c r="QH4" s="52">
        <f>BALANCING!QH34</f>
        <v/>
      </c>
      <c r="QI4" s="52">
        <f>BALANCING!QI34</f>
        <v/>
      </c>
      <c r="QJ4" s="52">
        <f>BALANCING!QJ34</f>
        <v/>
      </c>
      <c r="QK4" s="52">
        <f>BALANCING!QK34</f>
        <v/>
      </c>
      <c r="QL4" s="52">
        <f>BALANCING!QL34</f>
        <v/>
      </c>
      <c r="QM4" s="52">
        <f>BALANCING!QM34</f>
        <v/>
      </c>
      <c r="QN4" s="52">
        <f>BALANCING!QN34</f>
        <v/>
      </c>
      <c r="QO4" s="52">
        <f>BALANCING!QO34</f>
        <v/>
      </c>
      <c r="QP4" s="52">
        <f>BALANCING!QP34</f>
        <v/>
      </c>
      <c r="QQ4" s="52">
        <f>BALANCING!QQ34</f>
        <v/>
      </c>
      <c r="QR4" s="52">
        <f>BALANCING!QR34</f>
        <v/>
      </c>
      <c r="QS4" s="52">
        <f>BALANCING!QS34</f>
        <v/>
      </c>
      <c r="QT4" s="52">
        <f>BALANCING!QT34</f>
        <v/>
      </c>
      <c r="QU4" s="52">
        <f>BALANCING!QU34</f>
        <v/>
      </c>
      <c r="QV4" s="52">
        <f>BALANCING!QV34</f>
        <v/>
      </c>
      <c r="QW4" s="52">
        <f>BALANCING!QW34</f>
        <v/>
      </c>
      <c r="QX4" s="52">
        <f>BALANCING!QX34</f>
        <v/>
      </c>
      <c r="QY4" s="52">
        <f>BALANCING!QY34</f>
        <v/>
      </c>
      <c r="QZ4" s="52">
        <f>BALANCING!QZ34</f>
        <v/>
      </c>
      <c r="RA4" s="52">
        <f>BALANCING!RA34</f>
        <v/>
      </c>
      <c r="RB4" s="52">
        <f>BALANCING!RB34</f>
        <v/>
      </c>
      <c r="RC4" s="52">
        <f>BALANCING!RC34</f>
        <v/>
      </c>
      <c r="RD4" s="52">
        <f>BALANCING!RD34</f>
        <v/>
      </c>
      <c r="RE4" s="52">
        <f>BALANCING!RE34</f>
        <v/>
      </c>
      <c r="RF4" s="52">
        <f>BALANCING!RF34</f>
        <v/>
      </c>
      <c r="RG4" s="130" t="n"/>
      <c r="RH4" s="52">
        <f>BALANCING!RH34</f>
        <v/>
      </c>
      <c r="RI4" s="52">
        <f>BALANCING!RI34</f>
        <v/>
      </c>
      <c r="RJ4" s="52">
        <f>BALANCING!RJ34</f>
        <v/>
      </c>
      <c r="RK4" s="52">
        <f>BALANCING!RK34</f>
        <v/>
      </c>
      <c r="RL4" s="52">
        <f>BALANCING!RL34</f>
        <v/>
      </c>
      <c r="RM4" s="52">
        <f>BALANCING!RM34</f>
        <v/>
      </c>
      <c r="RN4" s="52">
        <f>BALANCING!RN34</f>
        <v/>
      </c>
      <c r="RO4" s="52">
        <f>BALANCING!RO34</f>
        <v/>
      </c>
      <c r="RP4" s="52">
        <f>BALANCING!RP34</f>
        <v/>
      </c>
      <c r="RQ4" s="52">
        <f>BALANCING!RQ34</f>
        <v/>
      </c>
      <c r="RR4" s="52">
        <f>BALANCING!RR34</f>
        <v/>
      </c>
      <c r="RS4" s="52">
        <f>BALANCING!RS34</f>
        <v/>
      </c>
      <c r="RT4" s="52">
        <f>BALANCING!RT34</f>
        <v/>
      </c>
      <c r="RU4" s="52">
        <f>BALANCING!RU34</f>
        <v/>
      </c>
      <c r="RV4" s="52">
        <f>BALANCING!RV34</f>
        <v/>
      </c>
      <c r="RW4" s="52">
        <f>BALANCING!RW34</f>
        <v/>
      </c>
      <c r="RX4" s="52">
        <f>BALANCING!RX34</f>
        <v/>
      </c>
      <c r="RY4" s="52">
        <f>BALANCING!RY34</f>
        <v/>
      </c>
      <c r="RZ4" s="52">
        <f>BALANCING!RZ34</f>
        <v/>
      </c>
      <c r="SA4" s="52">
        <f>BALANCING!SA34</f>
        <v/>
      </c>
      <c r="SB4" s="52">
        <f>BALANCING!SB34</f>
        <v/>
      </c>
      <c r="SC4" s="52">
        <f>BALANCING!SC34</f>
        <v/>
      </c>
      <c r="SD4" s="52">
        <f>BALANCING!SD34</f>
        <v/>
      </c>
      <c r="SE4" s="52">
        <f>BALANCING!SE34</f>
        <v/>
      </c>
      <c r="SF4" s="52">
        <f>BALANCING!SF34</f>
        <v/>
      </c>
      <c r="SG4" s="52">
        <f>BALANCING!SG34</f>
        <v/>
      </c>
      <c r="SH4" s="52">
        <f>BALANCING!SH34</f>
        <v/>
      </c>
      <c r="SI4" s="52">
        <f>BALANCING!SI34</f>
        <v/>
      </c>
      <c r="SJ4" s="52">
        <f>BALANCING!SJ34</f>
        <v/>
      </c>
      <c r="SK4" s="52">
        <f>BALANCING!SK34</f>
        <v/>
      </c>
      <c r="SL4" s="130" t="n"/>
      <c r="SM4" s="52">
        <f>BALANCING!SM34</f>
        <v/>
      </c>
      <c r="SN4" s="52">
        <f>BALANCING!SN34</f>
        <v/>
      </c>
      <c r="SO4" s="52">
        <f>BALANCING!SO34</f>
        <v/>
      </c>
      <c r="SP4" s="52">
        <f>BALANCING!SP34</f>
        <v/>
      </c>
      <c r="SQ4" s="52">
        <f>BALANCING!SQ34</f>
        <v/>
      </c>
      <c r="SR4" s="52">
        <f>BALANCING!SR34</f>
        <v/>
      </c>
      <c r="SS4" s="52">
        <f>BALANCING!SS34</f>
        <v/>
      </c>
      <c r="ST4" s="52">
        <f>BALANCING!ST34</f>
        <v/>
      </c>
      <c r="SU4" s="52">
        <f>BALANCING!SU34</f>
        <v/>
      </c>
      <c r="SV4" s="52">
        <f>BALANCING!SV34</f>
        <v/>
      </c>
      <c r="SW4" s="52">
        <f>BALANCING!SW34</f>
        <v/>
      </c>
      <c r="SX4" s="52">
        <f>BALANCING!SX34</f>
        <v/>
      </c>
      <c r="SY4" s="52">
        <f>BALANCING!SY34</f>
        <v/>
      </c>
      <c r="SZ4" s="52">
        <f>BALANCING!SZ34</f>
        <v/>
      </c>
      <c r="TA4" s="52">
        <f>BALANCING!TA34</f>
        <v/>
      </c>
      <c r="TB4" s="52">
        <f>BALANCING!TB34</f>
        <v/>
      </c>
      <c r="TC4" s="52">
        <f>BALANCING!TC34</f>
        <v/>
      </c>
      <c r="TD4" s="52">
        <f>BALANCING!TD34</f>
        <v/>
      </c>
      <c r="TE4" s="52">
        <f>BALANCING!TE34</f>
        <v/>
      </c>
      <c r="TF4" s="52">
        <f>BALANCING!TF34</f>
        <v/>
      </c>
      <c r="TG4" s="52">
        <f>BALANCING!TG34</f>
        <v/>
      </c>
      <c r="TH4" s="52">
        <f>BALANCING!TH34</f>
        <v/>
      </c>
      <c r="TI4" s="52">
        <f>BALANCING!TI34</f>
        <v/>
      </c>
      <c r="TJ4" s="52">
        <f>BALANCING!TJ34</f>
        <v/>
      </c>
      <c r="TK4" s="52">
        <f>BALANCING!TK34</f>
        <v/>
      </c>
      <c r="TL4" s="52">
        <f>BALANCING!TL34</f>
        <v/>
      </c>
      <c r="TM4" s="52">
        <f>BALANCING!TM34</f>
        <v/>
      </c>
      <c r="TN4" s="52">
        <f>BALANCING!TN34</f>
        <v/>
      </c>
      <c r="TO4" s="52">
        <f>BALANCING!TO34</f>
        <v/>
      </c>
      <c r="TP4" s="52">
        <f>BALANCING!TP34</f>
        <v/>
      </c>
      <c r="TQ4" s="52">
        <f>BALANCING!TQ34</f>
        <v/>
      </c>
      <c r="TR4" s="130" t="n"/>
      <c r="TS4" s="52">
        <f>BALANCING!TS34</f>
        <v/>
      </c>
      <c r="TT4" s="52">
        <f>BALANCING!TT34</f>
        <v/>
      </c>
      <c r="TU4" s="52">
        <f>BALANCING!TU34</f>
        <v/>
      </c>
      <c r="TV4" s="52">
        <f>BALANCING!TV34</f>
        <v/>
      </c>
      <c r="TW4" s="52">
        <f>BALANCING!TW34</f>
        <v/>
      </c>
      <c r="TX4" s="52">
        <f>BALANCING!TX34</f>
        <v/>
      </c>
      <c r="TY4" s="52">
        <f>BALANCING!TY34</f>
        <v/>
      </c>
      <c r="TZ4" s="52">
        <f>BALANCING!TZ34</f>
        <v/>
      </c>
      <c r="UA4" s="52">
        <f>BALANCING!UA34</f>
        <v/>
      </c>
      <c r="UB4" s="52">
        <f>BALANCING!UB34</f>
        <v/>
      </c>
      <c r="UC4" s="52">
        <f>BALANCING!UC34</f>
        <v/>
      </c>
      <c r="UD4" s="52">
        <f>BALANCING!UD34</f>
        <v/>
      </c>
      <c r="UE4" s="52">
        <f>BALANCING!UE34</f>
        <v/>
      </c>
      <c r="UF4" s="52">
        <f>BALANCING!UF34</f>
        <v/>
      </c>
      <c r="UG4" s="52">
        <f>BALANCING!UG34</f>
        <v/>
      </c>
      <c r="UH4" s="52">
        <f>BALANCING!UH34</f>
        <v/>
      </c>
      <c r="UI4" s="52">
        <f>BALANCING!UI34</f>
        <v/>
      </c>
      <c r="UJ4" s="52">
        <f>BALANCING!UJ34</f>
        <v/>
      </c>
      <c r="UK4" s="52">
        <f>BALANCING!UK34</f>
        <v/>
      </c>
      <c r="UL4" s="52">
        <f>BALANCING!UL34</f>
        <v/>
      </c>
      <c r="UM4" s="52">
        <f>BALANCING!UM34</f>
        <v/>
      </c>
      <c r="UN4" s="52">
        <f>BALANCING!UN34</f>
        <v/>
      </c>
      <c r="UO4" s="52">
        <f>BALANCING!UO34</f>
        <v/>
      </c>
      <c r="UP4" s="52">
        <f>BALANCING!UP34</f>
        <v/>
      </c>
      <c r="UQ4" s="52">
        <f>BALANCING!UQ34</f>
        <v/>
      </c>
      <c r="UR4" s="52">
        <f>BALANCING!UR34</f>
        <v/>
      </c>
      <c r="US4" s="52">
        <f>BALANCING!US34</f>
        <v/>
      </c>
      <c r="UT4" s="52">
        <f>BALANCING!UT34</f>
        <v/>
      </c>
      <c r="UU4" s="52">
        <f>BALANCING!UU34</f>
        <v/>
      </c>
      <c r="UV4" s="52">
        <f>BALANCING!UV34</f>
        <v/>
      </c>
      <c r="UW4" s="52">
        <f>BALANCING!UW34</f>
        <v/>
      </c>
      <c r="UX4" s="130" t="n"/>
      <c r="UY4" s="52">
        <f>BALANCING!UY34</f>
        <v/>
      </c>
      <c r="UZ4" s="52">
        <f>BALANCING!UZ34</f>
        <v/>
      </c>
      <c r="VA4" s="52">
        <f>BALANCING!VA34</f>
        <v/>
      </c>
      <c r="VB4" s="52">
        <f>BALANCING!VB34</f>
        <v/>
      </c>
      <c r="VC4" s="52">
        <f>BALANCING!VC34</f>
        <v/>
      </c>
      <c r="VD4" s="52">
        <f>BALANCING!VD34</f>
        <v/>
      </c>
      <c r="VE4" s="52">
        <f>BALANCING!VE34</f>
        <v/>
      </c>
      <c r="VF4" s="52">
        <f>BALANCING!VF34</f>
        <v/>
      </c>
      <c r="VG4" s="52">
        <f>BALANCING!VG34</f>
        <v/>
      </c>
      <c r="VH4" s="52">
        <f>BALANCING!VH34</f>
        <v/>
      </c>
      <c r="VI4" s="52">
        <f>BALANCING!VI34</f>
        <v/>
      </c>
      <c r="VJ4" s="52">
        <f>BALANCING!VJ34</f>
        <v/>
      </c>
      <c r="VK4" s="52">
        <f>BALANCING!VK34</f>
        <v/>
      </c>
      <c r="VL4" s="52">
        <f>BALANCING!VL34</f>
        <v/>
      </c>
      <c r="VM4" s="52">
        <f>BALANCING!VM34</f>
        <v/>
      </c>
      <c r="VN4" s="52">
        <f>BALANCING!VN34</f>
        <v/>
      </c>
      <c r="VO4" s="52">
        <f>BALANCING!VO34</f>
        <v/>
      </c>
      <c r="VP4" s="52">
        <f>BALANCING!VP34</f>
        <v/>
      </c>
      <c r="VQ4" s="52">
        <f>BALANCING!VQ34</f>
        <v/>
      </c>
      <c r="VR4" s="52">
        <f>BALANCING!VR34</f>
        <v/>
      </c>
      <c r="VS4" s="52">
        <f>BALANCING!VS34</f>
        <v/>
      </c>
      <c r="VT4" s="52">
        <f>BALANCING!VT34</f>
        <v/>
      </c>
      <c r="VU4" s="52">
        <f>BALANCING!VU34</f>
        <v/>
      </c>
      <c r="VV4" s="52">
        <f>BALANCING!VV34</f>
        <v/>
      </c>
      <c r="VW4" s="52">
        <f>BALANCING!VW34</f>
        <v/>
      </c>
      <c r="VX4" s="52">
        <f>BALANCING!VX34</f>
        <v/>
      </c>
      <c r="VY4" s="52">
        <f>BALANCING!VY34</f>
        <v/>
      </c>
      <c r="VZ4" s="52">
        <f>BALANCING!VZ34</f>
        <v/>
      </c>
      <c r="WA4" s="139" t="n"/>
      <c r="WB4" s="52">
        <f>BALANCING!WB34</f>
        <v/>
      </c>
      <c r="WC4" s="52">
        <f>BALANCING!WC34</f>
        <v/>
      </c>
      <c r="WD4" s="52">
        <f>BALANCING!WD34</f>
        <v/>
      </c>
      <c r="WE4" s="52">
        <f>BALANCING!WE34</f>
        <v/>
      </c>
      <c r="WF4" s="52">
        <f>BALANCING!WF34</f>
        <v/>
      </c>
      <c r="WG4" s="52">
        <f>BALANCING!WG34</f>
        <v/>
      </c>
      <c r="WH4" s="52">
        <f>BALANCING!WH34</f>
        <v/>
      </c>
      <c r="WI4" s="52">
        <f>BALANCING!WI34</f>
        <v/>
      </c>
      <c r="WJ4" s="52">
        <f>BALANCING!WJ34</f>
        <v/>
      </c>
      <c r="WK4" s="52">
        <f>BALANCING!WK34</f>
        <v/>
      </c>
      <c r="WL4" s="52">
        <f>BALANCING!WL34</f>
        <v/>
      </c>
      <c r="WM4" s="52">
        <f>BALANCING!WM34</f>
        <v/>
      </c>
      <c r="WN4" s="52">
        <f>BALANCING!WN34</f>
        <v/>
      </c>
      <c r="WO4" s="52">
        <f>BALANCING!WO34</f>
        <v/>
      </c>
      <c r="WP4" s="52">
        <f>BALANCING!WP34</f>
        <v/>
      </c>
      <c r="WQ4" s="52">
        <f>BALANCING!WQ34</f>
        <v/>
      </c>
      <c r="WR4" s="52">
        <f>BALANCING!WR34</f>
        <v/>
      </c>
      <c r="WS4" s="52">
        <f>BALANCING!WS34</f>
        <v/>
      </c>
      <c r="WT4" s="52">
        <f>BALANCING!WT34</f>
        <v/>
      </c>
      <c r="WU4" s="52">
        <f>BALANCING!WU34</f>
        <v/>
      </c>
      <c r="WV4" s="52">
        <f>BALANCING!WV34</f>
        <v/>
      </c>
      <c r="WW4" s="52">
        <f>BALANCING!WW34</f>
        <v/>
      </c>
      <c r="WX4" s="52">
        <f>BALANCING!WX34</f>
        <v/>
      </c>
      <c r="WY4" s="52">
        <f>BALANCING!WY34</f>
        <v/>
      </c>
      <c r="WZ4" s="52">
        <f>BALANCING!WZ34</f>
        <v/>
      </c>
      <c r="XA4" s="52">
        <f>BALANCING!XA34</f>
        <v/>
      </c>
      <c r="XB4" s="52">
        <f>BALANCING!XB34</f>
        <v/>
      </c>
      <c r="XC4" s="52">
        <f>BALANCING!XC34</f>
        <v/>
      </c>
      <c r="XD4" s="52">
        <f>BALANCING!XD34</f>
        <v/>
      </c>
      <c r="XE4" s="52">
        <f>BALANCING!XE34</f>
        <v/>
      </c>
      <c r="XF4" s="52">
        <f>BALANCING!XF34</f>
        <v/>
      </c>
      <c r="XG4" s="139" t="n"/>
      <c r="XH4" s="52">
        <f>BALANCING!XH34</f>
        <v/>
      </c>
      <c r="XI4" s="52">
        <f>BALANCING!XI34</f>
        <v/>
      </c>
      <c r="XJ4" s="52">
        <f>BALANCING!XJ34</f>
        <v/>
      </c>
      <c r="XK4" s="52">
        <f>BALANCING!XK34</f>
        <v/>
      </c>
      <c r="XL4" s="52">
        <f>BALANCING!XL34</f>
        <v/>
      </c>
      <c r="XM4" s="52">
        <f>BALANCING!XM34</f>
        <v/>
      </c>
      <c r="XN4" s="52">
        <f>BALANCING!XN34</f>
        <v/>
      </c>
      <c r="XO4" s="52">
        <f>BALANCING!XO34</f>
        <v/>
      </c>
      <c r="XP4" s="52">
        <f>BALANCING!XP34</f>
        <v/>
      </c>
      <c r="XQ4" s="52">
        <f>BALANCING!XQ34</f>
        <v/>
      </c>
      <c r="XR4" s="52">
        <f>BALANCING!XR34</f>
        <v/>
      </c>
      <c r="XS4" s="52">
        <f>BALANCING!XS34</f>
        <v/>
      </c>
      <c r="XT4" s="52">
        <f>BALANCING!XT34</f>
        <v/>
      </c>
      <c r="XU4" s="52">
        <f>BALANCING!XU34</f>
        <v/>
      </c>
      <c r="XV4" s="52">
        <f>BALANCING!XV34</f>
        <v/>
      </c>
      <c r="XW4" s="52">
        <f>BALANCING!XW34</f>
        <v/>
      </c>
      <c r="XX4" s="52">
        <f>BALANCING!XX34</f>
        <v/>
      </c>
      <c r="XY4" s="52">
        <f>BALANCING!XY34</f>
        <v/>
      </c>
      <c r="XZ4" s="52">
        <f>BALANCING!XZ34</f>
        <v/>
      </c>
      <c r="YA4" s="52">
        <f>BALANCING!YA34</f>
        <v/>
      </c>
      <c r="YB4" s="52">
        <f>BALANCING!YB34</f>
        <v/>
      </c>
      <c r="YC4" s="52">
        <f>BALANCING!YC34</f>
        <v/>
      </c>
      <c r="YD4" s="52">
        <f>BALANCING!YD34</f>
        <v/>
      </c>
      <c r="YE4" s="52">
        <f>BALANCING!YE34</f>
        <v/>
      </c>
      <c r="YF4" s="52">
        <f>BALANCING!YF34</f>
        <v/>
      </c>
      <c r="YG4" s="52">
        <f>BALANCING!YG34</f>
        <v/>
      </c>
      <c r="YH4" s="52">
        <f>BALANCING!YH34</f>
        <v/>
      </c>
      <c r="YI4" s="52">
        <f>BALANCING!YI34</f>
        <v/>
      </c>
      <c r="YJ4" s="52">
        <f>BALANCING!YJ34</f>
        <v/>
      </c>
      <c r="YK4" s="52">
        <f>BALANCING!YK34</f>
        <v/>
      </c>
      <c r="YL4" s="130" t="n"/>
      <c r="YM4" s="52">
        <f>BALANCING!YM34</f>
        <v/>
      </c>
      <c r="YN4" s="52">
        <f>BALANCING!YN34</f>
        <v/>
      </c>
      <c r="YO4" s="52">
        <f>BALANCING!YO34</f>
        <v/>
      </c>
      <c r="YP4" s="52">
        <f>BALANCING!YP34</f>
        <v/>
      </c>
      <c r="YQ4" s="52">
        <f>BALANCING!YQ34</f>
        <v/>
      </c>
      <c r="YR4" s="52">
        <f>BALANCING!YR34</f>
        <v/>
      </c>
      <c r="YS4" s="52">
        <f>BALANCING!YS34</f>
        <v/>
      </c>
      <c r="YT4" s="52">
        <f>BALANCING!YT34</f>
        <v/>
      </c>
      <c r="YU4" s="52">
        <f>BALANCING!YU34</f>
        <v/>
      </c>
      <c r="YV4" s="52">
        <f>BALANCING!YV34</f>
        <v/>
      </c>
      <c r="YW4" s="52">
        <f>BALANCING!YW34</f>
        <v/>
      </c>
      <c r="YX4" s="52">
        <f>BALANCING!YX34</f>
        <v/>
      </c>
      <c r="YY4" s="52">
        <f>BALANCING!YY34</f>
        <v/>
      </c>
      <c r="YZ4" s="52">
        <f>BALANCING!YZ34</f>
        <v/>
      </c>
      <c r="ZA4" s="52">
        <f>BALANCING!ZA34</f>
        <v/>
      </c>
      <c r="ZB4" s="52">
        <f>BALANCING!ZB34</f>
        <v/>
      </c>
      <c r="ZC4" s="52">
        <f>BALANCING!ZC34</f>
        <v/>
      </c>
      <c r="ZD4" s="52">
        <f>BALANCING!ZD34</f>
        <v/>
      </c>
      <c r="ZE4" s="52">
        <f>BALANCING!ZE34</f>
        <v/>
      </c>
      <c r="ZF4" s="52">
        <f>BALANCING!ZF34</f>
        <v/>
      </c>
      <c r="ZG4" s="52">
        <f>BALANCING!ZG34</f>
        <v/>
      </c>
      <c r="ZH4" s="52">
        <f>BALANCING!ZH34</f>
        <v/>
      </c>
      <c r="ZI4" s="52">
        <f>BALANCING!ZI34</f>
        <v/>
      </c>
      <c r="ZJ4" s="52">
        <f>BALANCING!ZJ34</f>
        <v/>
      </c>
      <c r="ZK4" s="52">
        <f>BALANCING!ZK34</f>
        <v/>
      </c>
      <c r="ZL4" s="52">
        <f>BALANCING!ZL34</f>
        <v/>
      </c>
      <c r="ZM4" s="52">
        <f>BALANCING!ZM34</f>
        <v/>
      </c>
      <c r="ZN4" s="52">
        <f>BALANCING!ZN34</f>
        <v/>
      </c>
      <c r="ZO4" s="52">
        <f>BALANCING!ZO34</f>
        <v/>
      </c>
      <c r="ZP4" s="52">
        <f>BALANCING!ZP34</f>
        <v/>
      </c>
      <c r="ZQ4" s="52">
        <f>BALANCING!ZQ34</f>
        <v/>
      </c>
      <c r="ZR4" s="130" t="n"/>
      <c r="ZS4" s="52">
        <f>BALANCING!ZS34</f>
        <v/>
      </c>
      <c r="ZT4" s="52">
        <f>BALANCING!ZT34</f>
        <v/>
      </c>
      <c r="ZU4" s="52">
        <f>BALANCING!ZU34</f>
        <v/>
      </c>
      <c r="ZV4" s="52">
        <f>BALANCING!ZV34</f>
        <v/>
      </c>
      <c r="ZW4" s="52">
        <f>BALANCING!ZW34</f>
        <v/>
      </c>
      <c r="ZX4" s="52">
        <f>BALANCING!ZX34</f>
        <v/>
      </c>
      <c r="ZY4" s="52">
        <f>BALANCING!ZY34</f>
        <v/>
      </c>
      <c r="ZZ4" s="52">
        <f>BALANCING!ZZ34</f>
        <v/>
      </c>
      <c r="AAA4" s="52">
        <f>BALANCING!AAA34</f>
        <v/>
      </c>
      <c r="AAB4" s="52">
        <f>BALANCING!AAB34</f>
        <v/>
      </c>
      <c r="AAC4" s="52">
        <f>BALANCING!AAC34</f>
        <v/>
      </c>
      <c r="AAD4" s="52">
        <f>BALANCING!AAD34</f>
        <v/>
      </c>
      <c r="AAE4" s="52">
        <f>BALANCING!AAE34</f>
        <v/>
      </c>
      <c r="AAF4" s="52">
        <f>BALANCING!AAF34</f>
        <v/>
      </c>
      <c r="AAG4" s="52">
        <f>BALANCING!AAG34</f>
        <v/>
      </c>
      <c r="AAH4" s="52">
        <f>BALANCING!AAH34</f>
        <v/>
      </c>
      <c r="AAI4" s="52">
        <f>BALANCING!AAI34</f>
        <v/>
      </c>
      <c r="AAJ4" s="52">
        <f>BALANCING!AAJ34</f>
        <v/>
      </c>
      <c r="AAK4" s="52">
        <f>BALANCING!AAK34</f>
        <v/>
      </c>
      <c r="AAL4" s="52">
        <f>BALANCING!AAL34</f>
        <v/>
      </c>
      <c r="AAM4" s="52">
        <f>BALANCING!AAM34</f>
        <v/>
      </c>
      <c r="AAN4" s="52">
        <f>BALANCING!AAN34</f>
        <v/>
      </c>
      <c r="AAO4" s="52">
        <f>BALANCING!AAO34</f>
        <v/>
      </c>
      <c r="AAP4" s="52">
        <f>BALANCING!AAP34</f>
        <v/>
      </c>
      <c r="AAQ4" s="52">
        <f>BALANCING!AAQ34</f>
        <v/>
      </c>
      <c r="AAR4" s="52">
        <f>BALANCING!AAR34</f>
        <v/>
      </c>
      <c r="AAS4" s="52">
        <f>BALANCING!AAS34</f>
        <v/>
      </c>
      <c r="AAT4" s="52">
        <f>BALANCING!AAT34</f>
        <v/>
      </c>
      <c r="AAU4" s="52">
        <f>BALANCING!AAU34</f>
        <v/>
      </c>
      <c r="AAV4" s="52">
        <f>BALANCING!AAV34</f>
        <v/>
      </c>
      <c r="AAW4" s="130" t="n"/>
      <c r="AAX4" s="52">
        <f>BALANCING!AAX34</f>
        <v/>
      </c>
      <c r="AAY4" s="52">
        <f>BALANCING!AAY34</f>
        <v/>
      </c>
      <c r="AAZ4" s="52">
        <f>BALANCING!AAZ34</f>
        <v/>
      </c>
      <c r="ABA4" s="52">
        <f>BALANCING!ABA34</f>
        <v/>
      </c>
      <c r="ABB4" s="52">
        <f>BALANCING!ABB34</f>
        <v/>
      </c>
      <c r="ABC4" s="52">
        <f>BALANCING!ABC34</f>
        <v/>
      </c>
      <c r="ABD4" s="52">
        <f>BALANCING!ABD34</f>
        <v/>
      </c>
      <c r="ABE4" s="52">
        <f>BALANCING!ABE34</f>
        <v/>
      </c>
      <c r="ABF4" s="52">
        <f>BALANCING!ABF34</f>
        <v/>
      </c>
      <c r="ABG4" s="52">
        <f>BALANCING!ABG34</f>
        <v/>
      </c>
      <c r="ABH4" s="52">
        <f>BALANCING!ABH34</f>
        <v/>
      </c>
      <c r="ABI4" s="52">
        <f>BALANCING!ABI34</f>
        <v/>
      </c>
      <c r="ABJ4" s="52">
        <f>BALANCING!ABJ34</f>
        <v/>
      </c>
      <c r="ABK4" s="52">
        <f>BALANCING!ABK34</f>
        <v/>
      </c>
      <c r="ABL4" s="52">
        <f>BALANCING!ABL34</f>
        <v/>
      </c>
      <c r="ABM4" s="52">
        <f>BALANCING!ABM34</f>
        <v/>
      </c>
      <c r="ABN4" s="52">
        <f>BALANCING!ABN34</f>
        <v/>
      </c>
      <c r="ABO4" s="52">
        <f>BALANCING!ABO34</f>
        <v/>
      </c>
      <c r="ABP4" s="52">
        <f>BALANCING!ABP34</f>
        <v/>
      </c>
      <c r="ABQ4" s="52">
        <f>BALANCING!ABQ34</f>
        <v/>
      </c>
      <c r="ABR4" s="52">
        <f>BALANCING!ABR34</f>
        <v/>
      </c>
      <c r="ABS4" s="52">
        <f>BALANCING!ABS34</f>
        <v/>
      </c>
      <c r="ABT4" s="52">
        <f>BALANCING!ABT34</f>
        <v/>
      </c>
      <c r="ABU4" s="52">
        <f>BALANCING!ABU34</f>
        <v/>
      </c>
      <c r="ABV4" s="52">
        <f>BALANCING!ABV34</f>
        <v/>
      </c>
      <c r="ABW4" s="52">
        <f>BALANCING!ABW34</f>
        <v/>
      </c>
      <c r="ABX4" s="52">
        <f>BALANCING!ABX34</f>
        <v/>
      </c>
      <c r="ABY4" s="52">
        <f>BALANCING!ABY34</f>
        <v/>
      </c>
      <c r="ABZ4" s="52">
        <f>BALANCING!ABZ34</f>
        <v/>
      </c>
      <c r="ACA4" s="52">
        <f>BALANCING!ACA34</f>
        <v/>
      </c>
      <c r="ACB4" s="52">
        <f>BALANCING!ACB34</f>
        <v/>
      </c>
      <c r="ACC4" s="130" t="n"/>
      <c r="ACD4" s="52">
        <f>BALANCING!ACD34</f>
        <v/>
      </c>
      <c r="ACE4" s="52">
        <f>BALANCING!ACE34</f>
        <v/>
      </c>
      <c r="ACF4" s="52">
        <f>BALANCING!ACF34</f>
        <v/>
      </c>
      <c r="ACG4" s="52">
        <f>BALANCING!ACG34</f>
        <v/>
      </c>
      <c r="ACH4" s="52">
        <f>BALANCING!ACH34</f>
        <v/>
      </c>
      <c r="ACI4" s="52">
        <f>BALANCING!ACI34</f>
        <v/>
      </c>
      <c r="ACJ4" s="52">
        <f>BALANCING!ACJ34</f>
        <v/>
      </c>
      <c r="ACK4" s="52">
        <f>BALANCING!ACK34</f>
        <v/>
      </c>
      <c r="ACL4" s="52">
        <f>BALANCING!ACL34</f>
        <v/>
      </c>
      <c r="ACM4" s="52">
        <f>BALANCING!ACM34</f>
        <v/>
      </c>
      <c r="ACN4" s="52">
        <f>BALANCING!ACN34</f>
        <v/>
      </c>
      <c r="ACO4" s="52">
        <f>BALANCING!ACO34</f>
        <v/>
      </c>
      <c r="ACP4" s="52">
        <f>BALANCING!ACP34</f>
        <v/>
      </c>
      <c r="ACQ4" s="52">
        <f>BALANCING!ACQ34</f>
        <v/>
      </c>
      <c r="ACR4" s="52">
        <f>BALANCING!ACR34</f>
        <v/>
      </c>
      <c r="ACS4" s="52">
        <f>BALANCING!ACS34</f>
        <v/>
      </c>
      <c r="ACT4" s="52">
        <f>BALANCING!ACT34</f>
        <v/>
      </c>
      <c r="ACU4" s="52">
        <f>BALANCING!ACU34</f>
        <v/>
      </c>
      <c r="ACV4" s="52">
        <f>BALANCING!ACV34</f>
        <v/>
      </c>
      <c r="ACW4" s="52">
        <f>BALANCING!ACW34</f>
        <v/>
      </c>
      <c r="ACX4" s="52">
        <f>BALANCING!ACX34</f>
        <v/>
      </c>
      <c r="ACY4" s="52">
        <f>BALANCING!ACY34</f>
        <v/>
      </c>
      <c r="ACZ4" s="52">
        <f>BALANCING!ACZ34</f>
        <v/>
      </c>
      <c r="ADA4" s="52">
        <f>BALANCING!ADA34</f>
        <v/>
      </c>
      <c r="ADB4" s="52">
        <f>BALANCING!ADB34</f>
        <v/>
      </c>
      <c r="ADC4" s="52">
        <f>BALANCING!ADC34</f>
        <v/>
      </c>
      <c r="ADD4" s="52">
        <f>BALANCING!ADD34</f>
        <v/>
      </c>
      <c r="ADE4" s="52">
        <f>BALANCING!ADE34</f>
        <v/>
      </c>
      <c r="ADF4" s="52">
        <f>BALANCING!ADF34</f>
        <v/>
      </c>
      <c r="ADG4" s="52">
        <f>BALANCING!ADG34</f>
        <v/>
      </c>
      <c r="ADH4" s="52">
        <f>BALANCING!ADH34</f>
        <v/>
      </c>
      <c r="ADI4" s="130" t="n"/>
      <c r="ADJ4" s="52">
        <f>BALANCING!ADJ34</f>
        <v/>
      </c>
      <c r="ADK4" s="52">
        <f>BALANCING!ADK34</f>
        <v/>
      </c>
      <c r="ADL4" s="52">
        <f>BALANCING!ADL34</f>
        <v/>
      </c>
      <c r="ADM4" s="52">
        <f>BALANCING!ADM34</f>
        <v/>
      </c>
      <c r="ADN4" s="52">
        <f>BALANCING!ADN34</f>
        <v/>
      </c>
      <c r="ADO4" s="52">
        <f>BALANCING!ADO34</f>
        <v/>
      </c>
      <c r="ADP4" s="52">
        <f>BALANCING!ADP34</f>
        <v/>
      </c>
      <c r="ADQ4" s="52">
        <f>BALANCING!ADQ34</f>
        <v/>
      </c>
      <c r="ADR4" s="52">
        <f>BALANCING!ADR34</f>
        <v/>
      </c>
      <c r="ADS4" s="52">
        <f>BALANCING!ADS34</f>
        <v/>
      </c>
      <c r="ADT4" s="52">
        <f>BALANCING!ADT34</f>
        <v/>
      </c>
      <c r="ADU4" s="52">
        <f>BALANCING!ADU34</f>
        <v/>
      </c>
      <c r="ADV4" s="52">
        <f>BALANCING!ADV34</f>
        <v/>
      </c>
      <c r="ADW4" s="52">
        <f>BALANCING!ADW34</f>
        <v/>
      </c>
      <c r="ADX4" s="52">
        <f>BALANCING!ADX34</f>
        <v/>
      </c>
      <c r="ADY4" s="52">
        <f>BALANCING!ADY34</f>
        <v/>
      </c>
      <c r="ADZ4" s="52">
        <f>BALANCING!ADZ34</f>
        <v/>
      </c>
      <c r="AEA4" s="52">
        <f>BALANCING!AEA34</f>
        <v/>
      </c>
      <c r="AEB4" s="52">
        <f>BALANCING!AEB34</f>
        <v/>
      </c>
      <c r="AEC4" s="52">
        <f>BALANCING!AEC34</f>
        <v/>
      </c>
      <c r="AED4" s="52">
        <f>BALANCING!AED34</f>
        <v/>
      </c>
      <c r="AEE4" s="52">
        <f>BALANCING!AEE34</f>
        <v/>
      </c>
      <c r="AEF4" s="52">
        <f>BALANCING!AEF34</f>
        <v/>
      </c>
      <c r="AEG4" s="52">
        <f>BALANCING!AEG34</f>
        <v/>
      </c>
      <c r="AEH4" s="52">
        <f>BALANCING!AEH34</f>
        <v/>
      </c>
      <c r="AEI4" s="52">
        <f>BALANCING!AEI34</f>
        <v/>
      </c>
      <c r="AEJ4" s="52">
        <f>BALANCING!AEJ34</f>
        <v/>
      </c>
      <c r="AEK4" s="52">
        <f>BALANCING!AEK34</f>
        <v/>
      </c>
      <c r="AEL4" s="52">
        <f>BALANCING!AEL34</f>
        <v/>
      </c>
      <c r="AEM4" s="52">
        <f>BALANCING!AEM34</f>
        <v/>
      </c>
      <c r="AEN4" s="130" t="n"/>
      <c r="AEO4" s="52">
        <f>BALANCING!AEO34</f>
        <v/>
      </c>
      <c r="AEP4" s="52">
        <f>BALANCING!AEP34</f>
        <v/>
      </c>
      <c r="AEQ4" s="52">
        <f>BALANCING!AEQ34</f>
        <v/>
      </c>
      <c r="AER4" s="52">
        <f>BALANCING!AER34</f>
        <v/>
      </c>
      <c r="AES4" s="52">
        <f>BALANCING!AES34</f>
        <v/>
      </c>
      <c r="AET4" s="52">
        <f>BALANCING!AET34</f>
        <v/>
      </c>
      <c r="AEU4" s="52">
        <f>BALANCING!AEU34</f>
        <v/>
      </c>
      <c r="AEV4" s="52">
        <f>BALANCING!AEV34</f>
        <v/>
      </c>
      <c r="AEW4" s="52">
        <f>BALANCING!AEW34</f>
        <v/>
      </c>
      <c r="AEX4" s="52">
        <f>BALANCING!AEX34</f>
        <v/>
      </c>
      <c r="AEY4" s="52">
        <f>BALANCING!AEY34</f>
        <v/>
      </c>
      <c r="AEZ4" s="52">
        <f>BALANCING!AEZ34</f>
        <v/>
      </c>
      <c r="AFA4" s="52">
        <f>BALANCING!AFA34</f>
        <v/>
      </c>
      <c r="AFB4" s="52">
        <f>BALANCING!AFB34</f>
        <v/>
      </c>
      <c r="AFC4" s="52">
        <f>BALANCING!AFC34</f>
        <v/>
      </c>
      <c r="AFD4" s="52">
        <f>BALANCING!AFD34</f>
        <v/>
      </c>
      <c r="AFE4" s="52">
        <f>BALANCING!AFE34</f>
        <v/>
      </c>
      <c r="AFF4" s="52">
        <f>BALANCING!AFF34</f>
        <v/>
      </c>
      <c r="AFG4" s="52">
        <f>BALANCING!AFG34</f>
        <v/>
      </c>
      <c r="AFH4" s="52">
        <f>BALANCING!AFH34</f>
        <v/>
      </c>
      <c r="AFI4" s="52">
        <f>BALANCING!AFI34</f>
        <v/>
      </c>
      <c r="AFJ4" s="52">
        <f>BALANCING!AFJ34</f>
        <v/>
      </c>
      <c r="AFK4" s="52">
        <f>BALANCING!AFK34</f>
        <v/>
      </c>
      <c r="AFL4" s="52">
        <f>BALANCING!AFL34</f>
        <v/>
      </c>
      <c r="AFM4" s="52">
        <f>BALANCING!AFM34</f>
        <v/>
      </c>
      <c r="AFN4" s="52">
        <f>BALANCING!AFN34</f>
        <v/>
      </c>
      <c r="AFO4" s="52">
        <f>BALANCING!AFO34</f>
        <v/>
      </c>
      <c r="AFP4" s="52">
        <f>BALANCING!AFP34</f>
        <v/>
      </c>
      <c r="AFQ4" s="52">
        <f>BALANCING!AFQ34</f>
        <v/>
      </c>
      <c r="AFR4" s="52">
        <f>BALANCING!AFR34</f>
        <v/>
      </c>
      <c r="AFS4" s="52">
        <f>BALANCING!AFS34</f>
        <v/>
      </c>
      <c r="AFT4" s="130" t="n"/>
      <c r="AFU4" s="52">
        <f>BALANCING!AFU34</f>
        <v/>
      </c>
      <c r="AFV4" s="52">
        <f>BALANCING!AFV34</f>
        <v/>
      </c>
      <c r="AFW4" s="52">
        <f>BALANCING!AFW34</f>
        <v/>
      </c>
      <c r="AFX4" s="52">
        <f>BALANCING!AFX34</f>
        <v/>
      </c>
      <c r="AFY4" s="52">
        <f>BALANCING!AFY34</f>
        <v/>
      </c>
      <c r="AFZ4" s="52">
        <f>BALANCING!AFZ34</f>
        <v/>
      </c>
      <c r="AGA4" s="52">
        <f>BALANCING!AGA34</f>
        <v/>
      </c>
      <c r="AGB4" s="52">
        <f>BALANCING!AGB34</f>
        <v/>
      </c>
      <c r="AGC4" s="52">
        <f>BALANCING!AGC34</f>
        <v/>
      </c>
      <c r="AGD4" s="52">
        <f>BALANCING!AGD34</f>
        <v/>
      </c>
      <c r="AGE4" s="52">
        <f>BALANCING!AGE34</f>
        <v/>
      </c>
      <c r="AGF4" s="52">
        <f>BALANCING!AGF34</f>
        <v/>
      </c>
      <c r="AGG4" s="52">
        <f>BALANCING!AGG34</f>
        <v/>
      </c>
      <c r="AGH4" s="52">
        <f>BALANCING!AGH34</f>
        <v/>
      </c>
      <c r="AGI4" s="52">
        <f>BALANCING!AGI34</f>
        <v/>
      </c>
      <c r="AGJ4" s="52">
        <f>BALANCING!AGJ34</f>
        <v/>
      </c>
      <c r="AGK4" s="52">
        <f>BALANCING!AGK34</f>
        <v/>
      </c>
      <c r="AGL4" s="52">
        <f>BALANCING!AGL34</f>
        <v/>
      </c>
      <c r="AGM4" s="52">
        <f>BALANCING!AGM34</f>
        <v/>
      </c>
      <c r="AGN4" s="52">
        <f>BALANCING!AGN34</f>
        <v/>
      </c>
      <c r="AGO4" s="52">
        <f>BALANCING!AGO34</f>
        <v/>
      </c>
      <c r="AGP4" s="52">
        <f>BALANCING!AGP34</f>
        <v/>
      </c>
      <c r="AGQ4" s="52">
        <f>BALANCING!AGQ34</f>
        <v/>
      </c>
      <c r="AGR4" s="52">
        <f>BALANCING!AGR34</f>
        <v/>
      </c>
      <c r="AGS4" s="52">
        <f>BALANCING!AGS34</f>
        <v/>
      </c>
      <c r="AGT4" s="52">
        <f>BALANCING!AGT34</f>
        <v/>
      </c>
      <c r="AGU4" s="52">
        <f>BALANCING!AGU34</f>
        <v/>
      </c>
      <c r="AGV4" s="52">
        <f>BALANCING!AGV34</f>
        <v/>
      </c>
      <c r="AGW4" s="52">
        <f>BALANCING!AGW34</f>
        <v/>
      </c>
      <c r="AGX4" s="52">
        <f>BALANCING!AGX34</f>
        <v/>
      </c>
      <c r="AGY4" s="139" t="n"/>
      <c r="AGZ4" s="52">
        <f>BALANCING!AGZ34</f>
        <v/>
      </c>
      <c r="AHA4" s="52">
        <f>BALANCING!AHA34</f>
        <v/>
      </c>
      <c r="AHB4" s="52">
        <f>BALANCING!AHB34</f>
        <v/>
      </c>
      <c r="AHC4" s="52">
        <f>BALANCING!AHC34</f>
        <v/>
      </c>
      <c r="AHD4" s="52">
        <f>BALANCING!AHD34</f>
        <v/>
      </c>
      <c r="AHE4" s="52">
        <f>BALANCING!AHE34</f>
        <v/>
      </c>
      <c r="AHF4" s="52">
        <f>BALANCING!AHF34</f>
        <v/>
      </c>
      <c r="AHG4" s="52">
        <f>BALANCING!AHG34</f>
        <v/>
      </c>
      <c r="AHH4" s="52">
        <f>BALANCING!AHH34</f>
        <v/>
      </c>
      <c r="AHI4" s="52">
        <f>BALANCING!AHI34</f>
        <v/>
      </c>
      <c r="AHJ4" s="52">
        <f>BALANCING!AHJ34</f>
        <v/>
      </c>
      <c r="AHK4" s="52">
        <f>BALANCING!AHK34</f>
        <v/>
      </c>
      <c r="AHL4" s="52">
        <f>BALANCING!AHL34</f>
        <v/>
      </c>
      <c r="AHM4" s="52">
        <f>BALANCING!AHM34</f>
        <v/>
      </c>
      <c r="AHN4" s="52">
        <f>BALANCING!AHN34</f>
        <v/>
      </c>
      <c r="AHO4" s="52">
        <f>BALANCING!AHO34</f>
        <v/>
      </c>
      <c r="AHP4" s="52">
        <f>BALANCING!AHP34</f>
        <v/>
      </c>
      <c r="AHQ4" s="52">
        <f>BALANCING!AHQ34</f>
        <v/>
      </c>
      <c r="AHR4" s="52">
        <f>BALANCING!AHR34</f>
        <v/>
      </c>
      <c r="AHS4" s="52">
        <f>BALANCING!AHS34</f>
        <v/>
      </c>
      <c r="AHT4" s="52">
        <f>BALANCING!AHT34</f>
        <v/>
      </c>
      <c r="AHU4" s="52">
        <f>BALANCING!AHU34</f>
        <v/>
      </c>
      <c r="AHV4" s="52">
        <f>BALANCING!AHV34</f>
        <v/>
      </c>
      <c r="AHW4" s="52">
        <f>BALANCING!AHW34</f>
        <v/>
      </c>
      <c r="AHX4" s="52">
        <f>BALANCING!AHX34</f>
        <v/>
      </c>
      <c r="AHY4" s="52">
        <f>BALANCING!AHY34</f>
        <v/>
      </c>
      <c r="AHZ4" s="52">
        <f>BALANCING!AHZ34</f>
        <v/>
      </c>
      <c r="AIA4" s="52">
        <f>BALANCING!AIA34</f>
        <v/>
      </c>
      <c r="AIB4" s="52">
        <f>BALANCING!AIB34</f>
        <v/>
      </c>
      <c r="AIC4" s="52">
        <f>BALANCING!AIC34</f>
        <v/>
      </c>
      <c r="AID4" s="52">
        <f>BALANCING!AID34</f>
        <v/>
      </c>
      <c r="AIE4" s="130" t="n"/>
      <c r="AIF4" s="52">
        <f>BALANCING!AIF34</f>
        <v/>
      </c>
      <c r="AIG4" s="52">
        <f>BALANCING!AIG34</f>
        <v/>
      </c>
      <c r="AIH4" s="52">
        <f>BALANCING!AIH34</f>
        <v/>
      </c>
      <c r="AII4" s="52">
        <f>BALANCING!AII34</f>
        <v/>
      </c>
      <c r="AIJ4" s="52">
        <f>BALANCING!AIJ34</f>
        <v/>
      </c>
      <c r="AIK4" s="52">
        <f>BALANCING!AIK34</f>
        <v/>
      </c>
      <c r="AIL4" s="52">
        <f>BALANCING!AIL34</f>
        <v/>
      </c>
      <c r="AIM4" s="52">
        <f>BALANCING!AIM34</f>
        <v/>
      </c>
      <c r="AIN4" s="52">
        <f>BALANCING!AIN34</f>
        <v/>
      </c>
      <c r="AIO4" s="52">
        <f>BALANCING!AIO34</f>
        <v/>
      </c>
      <c r="AIP4" s="52">
        <f>BALANCING!AIP34</f>
        <v/>
      </c>
      <c r="AIQ4" s="52">
        <f>BALANCING!AIQ34</f>
        <v/>
      </c>
      <c r="AIR4" s="52">
        <f>BALANCING!AIR34</f>
        <v/>
      </c>
      <c r="AIS4" s="52">
        <f>BALANCING!AIS34</f>
        <v/>
      </c>
      <c r="AIT4" s="52">
        <f>BALANCING!AIT34</f>
        <v/>
      </c>
      <c r="AIU4" s="52">
        <f>BALANCING!AIU34</f>
        <v/>
      </c>
      <c r="AIV4" s="52">
        <f>BALANCING!AIV34</f>
        <v/>
      </c>
      <c r="AIW4" s="52">
        <f>BALANCING!AIW34</f>
        <v/>
      </c>
      <c r="AIX4" s="52">
        <f>BALANCING!AIX34</f>
        <v/>
      </c>
      <c r="AIY4" s="52">
        <f>BALANCING!AIY34</f>
        <v/>
      </c>
      <c r="AIZ4" s="52">
        <f>BALANCING!AIZ34</f>
        <v/>
      </c>
      <c r="AJA4" s="52">
        <f>BALANCING!AJA34</f>
        <v/>
      </c>
      <c r="AJB4" s="52">
        <f>BALANCING!AJB34</f>
        <v/>
      </c>
      <c r="AJC4" s="52">
        <f>BALANCING!AJC34</f>
        <v/>
      </c>
      <c r="AJD4" s="52">
        <f>BALANCING!AJD34</f>
        <v/>
      </c>
      <c r="AJE4" s="52">
        <f>BALANCING!AJE34</f>
        <v/>
      </c>
      <c r="AJF4" s="52">
        <f>BALANCING!AJF34</f>
        <v/>
      </c>
      <c r="AJG4" s="52">
        <f>BALANCING!AJG34</f>
        <v/>
      </c>
      <c r="AJH4" s="52">
        <f>BALANCING!AJH34</f>
        <v/>
      </c>
      <c r="AJI4" s="52">
        <f>BALANCING!AJI34</f>
        <v/>
      </c>
      <c r="AJJ4" s="52">
        <f>BALANCING!AJJ34</f>
        <v/>
      </c>
      <c r="AJK4" s="145" t="n"/>
      <c r="AJL4" s="52">
        <f>BALANCING!AJL34</f>
        <v/>
      </c>
      <c r="AJM4" s="52">
        <f>BALANCING!AJM34</f>
        <v/>
      </c>
      <c r="AJN4" s="52">
        <f>BALANCING!AJN34</f>
        <v/>
      </c>
      <c r="AJO4" s="52">
        <f>BALANCING!AJO34</f>
        <v/>
      </c>
      <c r="AJP4" s="52">
        <f>BALANCING!AJP34</f>
        <v/>
      </c>
      <c r="AJQ4" s="52">
        <f>BALANCING!AJQ34</f>
        <v/>
      </c>
      <c r="AJR4" s="52">
        <f>BALANCING!AJR34</f>
        <v/>
      </c>
      <c r="AJS4" s="52">
        <f>BALANCING!AJS34</f>
        <v/>
      </c>
      <c r="AJT4" s="52">
        <f>BALANCING!AJT34</f>
        <v/>
      </c>
      <c r="AJU4" s="52">
        <f>BALANCING!AJU34</f>
        <v/>
      </c>
      <c r="AJV4" s="52">
        <f>BALANCING!AJV34</f>
        <v/>
      </c>
      <c r="AJW4" s="52">
        <f>BALANCING!AJW34</f>
        <v/>
      </c>
      <c r="AJX4" s="52">
        <f>BALANCING!AJX34</f>
        <v/>
      </c>
      <c r="AJY4" s="52">
        <f>BALANCING!AJY34</f>
        <v/>
      </c>
      <c r="AJZ4" s="52">
        <f>BALANCING!AJZ34</f>
        <v/>
      </c>
      <c r="AKA4" s="52">
        <f>BALANCING!AKA34</f>
        <v/>
      </c>
      <c r="AKB4" s="52">
        <f>BALANCING!AKB34</f>
        <v/>
      </c>
      <c r="AKC4" s="52">
        <f>BALANCING!AKC34</f>
        <v/>
      </c>
      <c r="AKD4" s="52">
        <f>BALANCING!AKD34</f>
        <v/>
      </c>
      <c r="AKE4" s="52">
        <f>BALANCING!AKE34</f>
        <v/>
      </c>
      <c r="AKF4" s="52">
        <f>BALANCING!AKF34</f>
        <v/>
      </c>
      <c r="AKG4" s="52">
        <f>BALANCING!AKG34</f>
        <v/>
      </c>
      <c r="AKH4" s="52">
        <f>BALANCING!AKH34</f>
        <v/>
      </c>
      <c r="AKI4" s="52">
        <f>BALANCING!AKI34</f>
        <v/>
      </c>
      <c r="AKJ4" s="52">
        <f>BALANCING!AKJ34</f>
        <v/>
      </c>
      <c r="AKK4" s="52">
        <f>BALANCING!AKK34</f>
        <v/>
      </c>
      <c r="AKL4" s="52">
        <f>BALANCING!AKL34</f>
        <v/>
      </c>
      <c r="AKM4" s="52">
        <f>BALANCING!AKM34</f>
        <v/>
      </c>
      <c r="AKN4" s="151" t="n"/>
      <c r="AKO4" s="52">
        <f>BALANCING!AKO34</f>
        <v/>
      </c>
      <c r="AKP4" s="52">
        <f>BALANCING!AKP34</f>
        <v/>
      </c>
      <c r="AKQ4" s="52">
        <f>BALANCING!AKQ34</f>
        <v/>
      </c>
      <c r="AKR4" s="52">
        <f>BALANCING!AKR34</f>
        <v/>
      </c>
      <c r="AKS4" s="52">
        <f>BALANCING!AKS34</f>
        <v/>
      </c>
      <c r="AKT4" s="52">
        <f>BALANCING!AKT34</f>
        <v/>
      </c>
      <c r="AKU4" s="52">
        <f>BALANCING!AKU34</f>
        <v/>
      </c>
      <c r="AKV4" s="52">
        <f>BALANCING!AKV34</f>
        <v/>
      </c>
      <c r="AKW4" s="52">
        <f>BALANCING!AKW34</f>
        <v/>
      </c>
      <c r="AKX4" s="52">
        <f>BALANCING!AKX34</f>
        <v/>
      </c>
      <c r="AKY4" s="52">
        <f>BALANCING!AKY34</f>
        <v/>
      </c>
      <c r="AKZ4" s="52">
        <f>BALANCING!AKZ34</f>
        <v/>
      </c>
      <c r="ALA4" s="52">
        <f>BALANCING!ALA34</f>
        <v/>
      </c>
      <c r="ALB4" s="52">
        <f>BALANCING!ALB34</f>
        <v/>
      </c>
      <c r="ALC4" s="52">
        <f>BALANCING!ALC34</f>
        <v/>
      </c>
      <c r="ALD4" s="52">
        <f>BALANCING!ALD34</f>
        <v/>
      </c>
      <c r="ALE4" s="52">
        <f>BALANCING!ALE34</f>
        <v/>
      </c>
      <c r="ALF4" s="52">
        <f>BALANCING!ALF34</f>
        <v/>
      </c>
      <c r="ALG4" s="52">
        <f>BALANCING!ALG34</f>
        <v/>
      </c>
      <c r="ALH4" s="52">
        <f>BALANCING!ALH34</f>
        <v/>
      </c>
      <c r="ALI4" s="52">
        <f>BALANCING!ALI34</f>
        <v/>
      </c>
      <c r="ALJ4" s="52">
        <f>BALANCING!ALJ34</f>
        <v/>
      </c>
      <c r="ALK4" s="52">
        <f>BALANCING!ALK34</f>
        <v/>
      </c>
      <c r="ALL4" s="52">
        <f>BALANCING!ALL34</f>
        <v/>
      </c>
      <c r="ALM4" s="52">
        <f>BALANCING!ALM34</f>
        <v/>
      </c>
      <c r="ALN4" s="52">
        <f>BALANCING!ALN34</f>
        <v/>
      </c>
      <c r="ALO4" s="52">
        <f>BALANCING!ALO34</f>
        <v/>
      </c>
      <c r="ALP4" s="52">
        <f>BALANCING!ALP34</f>
        <v/>
      </c>
      <c r="ALQ4" s="52">
        <f>BALANCING!ALQ34</f>
        <v/>
      </c>
      <c r="ALR4" s="52">
        <f>BALANCING!ALR34</f>
        <v/>
      </c>
      <c r="ALS4" s="52">
        <f>BALANCING!ALS34</f>
        <v/>
      </c>
      <c r="ALT4" s="130" t="n"/>
      <c r="ALU4" s="52">
        <f>BALANCING!ALU34</f>
        <v/>
      </c>
      <c r="ALV4" s="52">
        <f>BALANCING!ALV34</f>
        <v/>
      </c>
      <c r="ALW4" s="52">
        <f>BALANCING!ALW34</f>
        <v/>
      </c>
      <c r="ALX4" s="52">
        <f>BALANCING!ALX34</f>
        <v/>
      </c>
      <c r="ALY4" s="52">
        <f>BALANCING!ALY34</f>
        <v/>
      </c>
      <c r="ALZ4" s="52">
        <f>BALANCING!ALZ34</f>
        <v/>
      </c>
      <c r="AMA4" s="52">
        <f>BALANCING!AMA34</f>
        <v/>
      </c>
      <c r="AMB4" s="52">
        <f>BALANCING!AMB34</f>
        <v/>
      </c>
      <c r="AMC4" s="52">
        <f>BALANCING!AMC34</f>
        <v/>
      </c>
      <c r="AMD4" s="52">
        <f>BALANCING!AMD34</f>
        <v/>
      </c>
      <c r="AME4" s="52">
        <f>BALANCING!AME34</f>
        <v/>
      </c>
      <c r="AMF4" s="52">
        <f>BALANCING!AMF34</f>
        <v/>
      </c>
      <c r="AMG4" s="52">
        <f>BALANCING!AMG34</f>
        <v/>
      </c>
      <c r="AMH4" s="52">
        <f>BALANCING!AMH34</f>
        <v/>
      </c>
      <c r="AMI4" s="52">
        <f>BALANCING!AMI34</f>
        <v/>
      </c>
      <c r="AMJ4" s="52">
        <f>BALANCING!AMJ34</f>
        <v/>
      </c>
      <c r="AMK4" s="52">
        <f>BALANCING!AMK34</f>
        <v/>
      </c>
      <c r="AML4" s="52">
        <f>BALANCING!AML34</f>
        <v/>
      </c>
      <c r="AMM4" s="52">
        <f>BALANCING!AMM34</f>
        <v/>
      </c>
      <c r="AMN4" s="52">
        <f>BALANCING!AMN34</f>
        <v/>
      </c>
      <c r="AMO4" s="52">
        <f>BALANCING!AMO34</f>
        <v/>
      </c>
      <c r="AMP4" s="52">
        <f>BALANCING!AMP34</f>
        <v/>
      </c>
      <c r="AMQ4" s="52">
        <f>BALANCING!AMQ34</f>
        <v/>
      </c>
      <c r="AMR4" s="52">
        <f>BALANCING!AMR34</f>
        <v/>
      </c>
      <c r="AMS4" s="52">
        <f>BALANCING!AMS34</f>
        <v/>
      </c>
      <c r="AMT4" s="52">
        <f>BALANCING!AMT34</f>
        <v/>
      </c>
      <c r="AMU4" s="52">
        <f>BALANCING!AMU34</f>
        <v/>
      </c>
      <c r="AMV4" s="52">
        <f>BALANCING!AMV34</f>
        <v/>
      </c>
      <c r="AMW4" s="52">
        <f>BALANCING!AMW34</f>
        <v/>
      </c>
      <c r="AMX4" s="52">
        <f>BALANCING!AMX34</f>
        <v/>
      </c>
      <c r="AMY4" s="130" t="n"/>
      <c r="AMZ4" s="52">
        <f>BALANCING!AMZ34</f>
        <v/>
      </c>
      <c r="ANA4" s="52">
        <f>BALANCING!ANA34</f>
        <v/>
      </c>
      <c r="ANB4" s="52">
        <f>BALANCING!ANB34</f>
        <v/>
      </c>
      <c r="ANC4" s="52">
        <f>BALANCING!ANC34</f>
        <v/>
      </c>
      <c r="AND4" s="52">
        <f>BALANCING!AND34</f>
        <v/>
      </c>
      <c r="ANE4" s="52">
        <f>BALANCING!ANE34</f>
        <v/>
      </c>
      <c r="ANF4" s="52">
        <f>BALANCING!ANF34</f>
        <v/>
      </c>
      <c r="ANG4" s="52">
        <f>BALANCING!ANG34</f>
        <v/>
      </c>
      <c r="ANH4" s="52">
        <f>BALANCING!ANH34</f>
        <v/>
      </c>
      <c r="ANI4" s="52">
        <f>BALANCING!ANI34</f>
        <v/>
      </c>
      <c r="ANJ4" s="52">
        <f>BALANCING!ANJ34</f>
        <v/>
      </c>
      <c r="ANK4" s="52">
        <f>BALANCING!ANK34</f>
        <v/>
      </c>
      <c r="ANL4" s="52">
        <f>BALANCING!ANL34</f>
        <v/>
      </c>
      <c r="ANM4" s="52">
        <f>BALANCING!ANM34</f>
        <v/>
      </c>
      <c r="ANN4" s="52">
        <f>BALANCING!ANN34</f>
        <v/>
      </c>
      <c r="ANO4" s="52">
        <f>BALANCING!ANO34</f>
        <v/>
      </c>
      <c r="ANP4" s="52">
        <f>BALANCING!ANP34</f>
        <v/>
      </c>
      <c r="ANQ4" s="52">
        <f>BALANCING!ANQ34</f>
        <v/>
      </c>
      <c r="ANR4" s="52">
        <f>BALANCING!ANR34</f>
        <v/>
      </c>
      <c r="ANS4" s="52">
        <f>BALANCING!ANS34</f>
        <v/>
      </c>
      <c r="ANT4" s="52">
        <f>BALANCING!ANT34</f>
        <v/>
      </c>
      <c r="ANU4" s="52">
        <f>BALANCING!ANU34</f>
        <v/>
      </c>
      <c r="ANV4" s="52">
        <f>BALANCING!ANV34</f>
        <v/>
      </c>
      <c r="ANW4" s="52">
        <f>BALANCING!ANW34</f>
        <v/>
      </c>
      <c r="ANX4" s="52">
        <f>BALANCING!ANX34</f>
        <v/>
      </c>
      <c r="ANY4" s="52">
        <f>BALANCING!ANY34</f>
        <v/>
      </c>
      <c r="ANZ4" s="52">
        <f>BALANCING!ANZ34</f>
        <v/>
      </c>
      <c r="AOA4" s="52">
        <f>BALANCING!AOA34</f>
        <v/>
      </c>
      <c r="AOB4" s="52">
        <f>BALANCING!AOB34</f>
        <v/>
      </c>
      <c r="AOC4" s="52">
        <f>BALANCING!AOC34</f>
        <v/>
      </c>
    </row>
    <row r="5">
      <c r="B5" t="inlineStr">
        <is>
          <t>PMS PRICE</t>
        </is>
      </c>
      <c r="C5" s="52">
        <f>BALANCING!C5-100</f>
        <v/>
      </c>
      <c r="D5" s="52">
        <f>BALANCING!D5-100</f>
        <v/>
      </c>
      <c r="E5" s="52">
        <f>BALANCING!E5-100</f>
        <v/>
      </c>
      <c r="F5" s="52">
        <f>BALANCING!F5-100</f>
        <v/>
      </c>
      <c r="G5" s="52">
        <f>BALANCING!G5-100</f>
        <v/>
      </c>
      <c r="H5" s="52">
        <f>BALANCING!H5-100</f>
        <v/>
      </c>
      <c r="I5" s="52">
        <f>BALANCING!I5-100</f>
        <v/>
      </c>
      <c r="J5" s="52">
        <f>BALANCING!J5-100</f>
        <v/>
      </c>
      <c r="K5" s="52">
        <f>BALANCING!K5-100</f>
        <v/>
      </c>
      <c r="L5" s="52">
        <f>BALANCING!L5-100</f>
        <v/>
      </c>
      <c r="M5" s="52">
        <f>BALANCING!M5-100</f>
        <v/>
      </c>
      <c r="N5" s="52">
        <f>BALANCING!N5-100</f>
        <v/>
      </c>
      <c r="O5" s="52">
        <f>BALANCING!O5-100</f>
        <v/>
      </c>
      <c r="P5" s="52">
        <f>BALANCING!P5-100</f>
        <v/>
      </c>
      <c r="Q5" s="52">
        <f>BALANCING!Q5-100</f>
        <v/>
      </c>
      <c r="R5" s="52">
        <f>BALANCING!R5-100</f>
        <v/>
      </c>
      <c r="S5" s="52">
        <f>BALANCING!S5-100</f>
        <v/>
      </c>
      <c r="T5" s="52">
        <f>BALANCING!T5-100</f>
        <v/>
      </c>
      <c r="U5" s="52">
        <f>BALANCING!U5-100</f>
        <v/>
      </c>
      <c r="V5" s="52">
        <f>BALANCING!V5-100</f>
        <v/>
      </c>
      <c r="W5" s="52">
        <f>BALANCING!W5-100</f>
        <v/>
      </c>
      <c r="X5" s="52">
        <f>BALANCING!X5-100</f>
        <v/>
      </c>
      <c r="Y5" s="52">
        <f>BALANCING!Y5-100</f>
        <v/>
      </c>
      <c r="Z5" s="52">
        <f>BALANCING!Z5-100</f>
        <v/>
      </c>
      <c r="AA5" s="52">
        <f>BALANCING!AA5-100</f>
        <v/>
      </c>
      <c r="AB5" s="52">
        <f>BALANCING!AB5-100</f>
        <v/>
      </c>
      <c r="AC5" s="52">
        <f>BALANCING!AC5-100</f>
        <v/>
      </c>
      <c r="AD5" s="52">
        <f>BALANCING!AD5-100</f>
        <v/>
      </c>
      <c r="AE5" s="52">
        <f>BALANCING!AE5-100</f>
        <v/>
      </c>
      <c r="AF5" s="52">
        <f>BALANCING!AF5-100</f>
        <v/>
      </c>
      <c r="AG5" s="52">
        <f>BALANCING!AG5-100</f>
        <v/>
      </c>
      <c r="AH5" s="98" t="n"/>
      <c r="AI5" s="52">
        <f>BALANCING!AI5-100</f>
        <v/>
      </c>
      <c r="AJ5" s="52">
        <f>BALANCING!AJ5-100</f>
        <v/>
      </c>
      <c r="AK5" s="52">
        <f>BALANCING!AK5-100</f>
        <v/>
      </c>
      <c r="AL5" s="52">
        <f>BALANCING!AL5-100</f>
        <v/>
      </c>
      <c r="AM5" s="52">
        <f>BALANCING!AM5-100</f>
        <v/>
      </c>
      <c r="AN5" s="52">
        <f>BALANCING!AN5-100</f>
        <v/>
      </c>
      <c r="AO5" s="52">
        <f>BALANCING!AO5-100</f>
        <v/>
      </c>
      <c r="AP5" s="52">
        <f>BALANCING!AP5-100</f>
        <v/>
      </c>
      <c r="AQ5" s="52">
        <f>BALANCING!AQ5-100</f>
        <v/>
      </c>
      <c r="AR5" s="52">
        <f>BALANCING!AR5-100</f>
        <v/>
      </c>
      <c r="AS5" s="52">
        <f>BALANCING!AS5-100</f>
        <v/>
      </c>
      <c r="AT5" s="52">
        <f>BALANCING!AT5-100</f>
        <v/>
      </c>
      <c r="AU5" s="52">
        <f>BALANCING!AU5-100</f>
        <v/>
      </c>
      <c r="AV5" s="52">
        <f>BALANCING!AV5-100</f>
        <v/>
      </c>
      <c r="AW5" s="52">
        <f>BALANCING!AW5-100</f>
        <v/>
      </c>
      <c r="AX5" s="52">
        <f>BALANCING!AX5-100</f>
        <v/>
      </c>
      <c r="AY5" s="52">
        <f>BALANCING!AY5-100</f>
        <v/>
      </c>
      <c r="AZ5" s="52">
        <f>BALANCING!AZ5-100</f>
        <v/>
      </c>
      <c r="BA5" s="52">
        <f>BALANCING!BA5-100</f>
        <v/>
      </c>
      <c r="BB5" s="52">
        <f>BALANCING!BB5-100</f>
        <v/>
      </c>
      <c r="BC5" s="52">
        <f>BALANCING!BC5-100</f>
        <v/>
      </c>
      <c r="BD5" s="52">
        <f>BALANCING!BD5-100</f>
        <v/>
      </c>
      <c r="BE5" s="52">
        <f>BALANCING!BE5-100</f>
        <v/>
      </c>
      <c r="BF5" s="52">
        <f>BALANCING!BF5-100</f>
        <v/>
      </c>
      <c r="BG5" s="52">
        <f>BALANCING!BG5-100</f>
        <v/>
      </c>
      <c r="BH5" s="52">
        <f>BALANCING!BH5-100</f>
        <v/>
      </c>
      <c r="BI5" s="52">
        <f>BALANCING!BI5-100</f>
        <v/>
      </c>
      <c r="BJ5" s="52">
        <f>BALANCING!BJ5-100</f>
        <v/>
      </c>
      <c r="BK5" s="52">
        <f>BALANCING!BK5-100</f>
        <v/>
      </c>
      <c r="BL5" s="52">
        <f>BALANCING!BL5-100</f>
        <v/>
      </c>
      <c r="BM5" s="105" t="n"/>
      <c r="BN5" s="52">
        <f>BALANCING!BN5-100</f>
        <v/>
      </c>
      <c r="BO5" s="52">
        <f>BALANCING!BO5-100</f>
        <v/>
      </c>
      <c r="BP5" s="52">
        <f>BALANCING!BP5-100</f>
        <v/>
      </c>
      <c r="BQ5" s="52">
        <f>BALANCING!BQ5-100</f>
        <v/>
      </c>
      <c r="BR5" s="52">
        <f>BALANCING!BR5-100</f>
        <v/>
      </c>
      <c r="BS5" s="52">
        <f>BALANCING!BS5-100</f>
        <v/>
      </c>
      <c r="BT5" s="52">
        <f>BALANCING!BT5-100</f>
        <v/>
      </c>
      <c r="BU5" s="52">
        <f>BALANCING!BU5-100</f>
        <v/>
      </c>
      <c r="BV5" s="52">
        <f>BALANCING!BV5-100</f>
        <v/>
      </c>
      <c r="BW5" s="52">
        <f>BALANCING!BW5-100</f>
        <v/>
      </c>
      <c r="BX5" s="52">
        <f>BALANCING!BX5-100</f>
        <v/>
      </c>
      <c r="BY5" s="52">
        <f>BALANCING!BY5-100</f>
        <v/>
      </c>
      <c r="BZ5" s="52">
        <f>BALANCING!BZ5-100</f>
        <v/>
      </c>
      <c r="CA5" s="52">
        <f>BALANCING!CA5-100</f>
        <v/>
      </c>
      <c r="CB5" s="52">
        <f>BALANCING!CB5-100</f>
        <v/>
      </c>
      <c r="CC5" s="52">
        <f>BALANCING!CC5-100</f>
        <v/>
      </c>
      <c r="CD5" s="52">
        <f>BALANCING!CD5-100</f>
        <v/>
      </c>
      <c r="CE5" s="52">
        <f>BALANCING!CE5-100</f>
        <v/>
      </c>
      <c r="CF5" s="52">
        <f>BALANCING!CF5-100</f>
        <v/>
      </c>
      <c r="CG5" s="52">
        <f>BALANCING!CG5-100</f>
        <v/>
      </c>
      <c r="CH5" s="52">
        <f>BALANCING!CH5-100</f>
        <v/>
      </c>
      <c r="CI5" s="52">
        <f>BALANCING!CI5-100</f>
        <v/>
      </c>
      <c r="CJ5" s="52">
        <f>BALANCING!CJ5-100</f>
        <v/>
      </c>
      <c r="CK5" s="52">
        <f>BALANCING!CK5-100</f>
        <v/>
      </c>
      <c r="CL5" s="52">
        <f>BALANCING!CL5-100</f>
        <v/>
      </c>
      <c r="CM5" s="52">
        <f>BALANCING!CM5-100</f>
        <v/>
      </c>
      <c r="CN5" s="52">
        <f>BALANCING!CN5-100</f>
        <v/>
      </c>
      <c r="CO5" s="52">
        <f>BALANCING!CO5-100</f>
        <v/>
      </c>
      <c r="CP5" s="52">
        <f>BALANCING!CP5-100</f>
        <v/>
      </c>
      <c r="CQ5" s="52">
        <f>BALANCING!CQ5-100</f>
        <v/>
      </c>
      <c r="CR5" s="52">
        <f>BALANCING!CR5-100</f>
        <v/>
      </c>
      <c r="CT5" s="52">
        <f>BALANCING!CT5-100</f>
        <v/>
      </c>
      <c r="CU5" s="52">
        <f>BALANCING!CU5-100</f>
        <v/>
      </c>
      <c r="CV5" s="52">
        <f>BALANCING!CV5-100</f>
        <v/>
      </c>
      <c r="CW5" s="52">
        <f>BALANCING!CW5-100</f>
        <v/>
      </c>
      <c r="CX5" s="52">
        <f>BALANCING!CX5-100</f>
        <v/>
      </c>
      <c r="CY5" s="52">
        <f>BALANCING!CY5-100</f>
        <v/>
      </c>
      <c r="CZ5" s="52">
        <f>BALANCING!CZ5-100</f>
        <v/>
      </c>
      <c r="DA5" s="52">
        <f>BALANCING!DA5-100</f>
        <v/>
      </c>
      <c r="DB5" s="52">
        <f>BALANCING!DB5-100</f>
        <v/>
      </c>
      <c r="DC5" s="52">
        <f>BALANCING!DC5-100</f>
        <v/>
      </c>
      <c r="DD5" s="52">
        <f>BALANCING!DD5-100</f>
        <v/>
      </c>
      <c r="DE5" s="52">
        <f>BALANCING!DE5-100</f>
        <v/>
      </c>
      <c r="DF5" s="52">
        <f>BALANCING!DF5-100</f>
        <v/>
      </c>
      <c r="DG5" s="52">
        <f>BALANCING!DG5-100</f>
        <v/>
      </c>
      <c r="DH5" s="52">
        <f>BALANCING!DH5-100</f>
        <v/>
      </c>
      <c r="DI5" s="52">
        <f>BALANCING!DI5-100</f>
        <v/>
      </c>
      <c r="DJ5" s="52">
        <f>BALANCING!DJ5-100</f>
        <v/>
      </c>
      <c r="DK5" s="52">
        <f>BALANCING!DK5-100</f>
        <v/>
      </c>
      <c r="DL5" s="52">
        <f>BALANCING!DL5-100</f>
        <v/>
      </c>
      <c r="DM5" s="52">
        <f>BALANCING!DM5-100</f>
        <v/>
      </c>
      <c r="DN5" s="52">
        <f>BALANCING!DN5-100</f>
        <v/>
      </c>
      <c r="DO5" s="52">
        <f>BALANCING!DO5-100</f>
        <v/>
      </c>
      <c r="DP5" s="52">
        <f>BALANCING!DP5-100</f>
        <v/>
      </c>
      <c r="DQ5" s="52">
        <f>BALANCING!DQ5-100</f>
        <v/>
      </c>
      <c r="DR5" s="52">
        <f>BALANCING!DR5-100</f>
        <v/>
      </c>
      <c r="DS5" s="52">
        <f>BALANCING!DS5-100</f>
        <v/>
      </c>
      <c r="DT5" s="52">
        <f>BALANCING!DT5-100</f>
        <v/>
      </c>
      <c r="DU5" s="52">
        <f>BALANCING!DU5-100</f>
        <v/>
      </c>
      <c r="DV5" s="52">
        <f>BALANCING!DV5-100</f>
        <v/>
      </c>
      <c r="DW5" s="52">
        <f>BALANCING!DW5-100</f>
        <v/>
      </c>
      <c r="DX5" s="117" t="n"/>
      <c r="DY5" s="52">
        <f>BALANCING!DY5-100</f>
        <v/>
      </c>
      <c r="DZ5" s="52">
        <f>BALANCING!DZ5-100</f>
        <v/>
      </c>
      <c r="EA5" s="52">
        <f>BALANCING!EA5-100</f>
        <v/>
      </c>
      <c r="EB5" s="52">
        <f>BALANCING!EB5-100</f>
        <v/>
      </c>
      <c r="EC5" s="52">
        <f>BALANCING!EC5-100</f>
        <v/>
      </c>
      <c r="ED5" s="52">
        <f>BALANCING!ED5-100</f>
        <v/>
      </c>
      <c r="EE5" s="52">
        <f>BALANCING!EE5-100</f>
        <v/>
      </c>
      <c r="EF5" s="52">
        <f>BALANCING!EF5-100</f>
        <v/>
      </c>
      <c r="EG5" s="52">
        <f>BALANCING!EG5-100</f>
        <v/>
      </c>
      <c r="EH5" s="52">
        <f>BALANCING!EH5-100</f>
        <v/>
      </c>
      <c r="EI5" s="52">
        <f>BALANCING!EI5-100</f>
        <v/>
      </c>
      <c r="EJ5" s="52">
        <f>BALANCING!EJ5-100</f>
        <v/>
      </c>
      <c r="EK5" s="52">
        <f>BALANCING!EK5-100</f>
        <v/>
      </c>
      <c r="EL5" s="52">
        <f>BALANCING!EL5-100</f>
        <v/>
      </c>
      <c r="EM5" s="52">
        <f>BALANCING!EM5-100</f>
        <v/>
      </c>
      <c r="EN5" s="52">
        <f>BALANCING!EN5-100</f>
        <v/>
      </c>
      <c r="EO5" s="52">
        <f>BALANCING!EO5-100</f>
        <v/>
      </c>
      <c r="EP5" s="52">
        <f>BALANCING!EP5-100</f>
        <v/>
      </c>
      <c r="EQ5" s="52">
        <f>BALANCING!EQ5-100</f>
        <v/>
      </c>
      <c r="ER5" s="52">
        <f>BALANCING!ER5-100</f>
        <v/>
      </c>
      <c r="ES5" s="52">
        <f>BALANCING!ES5-100</f>
        <v/>
      </c>
      <c r="ET5" s="52">
        <f>BALANCING!ET5-100</f>
        <v/>
      </c>
      <c r="EU5" s="52">
        <f>BALANCING!EU5-100</f>
        <v/>
      </c>
      <c r="EV5" s="52">
        <f>BALANCING!EV5-100</f>
        <v/>
      </c>
      <c r="EW5" s="52">
        <f>BALANCING!EW5-100</f>
        <v/>
      </c>
      <c r="EX5" s="52">
        <f>BALANCING!EX5-100</f>
        <v/>
      </c>
      <c r="EY5" s="52">
        <f>BALANCING!EY5-100</f>
        <v/>
      </c>
      <c r="EZ5" s="52">
        <f>BALANCING!EZ5-100</f>
        <v/>
      </c>
      <c r="FA5" s="52">
        <f>BALANCING!FA5-100</f>
        <v/>
      </c>
      <c r="FB5" s="52">
        <f>BALANCING!FB5-100</f>
        <v/>
      </c>
      <c r="FC5" s="52">
        <f>BALANCING!FC5-100</f>
        <v/>
      </c>
      <c r="FD5" s="126" t="n"/>
      <c r="FE5" s="52">
        <f>BALANCING!FE5-100</f>
        <v/>
      </c>
      <c r="FF5" s="52">
        <f>BALANCING!FF5-100</f>
        <v/>
      </c>
      <c r="FG5" s="52">
        <f>BALANCING!FG5-100</f>
        <v/>
      </c>
      <c r="FH5" s="52">
        <f>BALANCING!FH5-100</f>
        <v/>
      </c>
      <c r="FI5" s="52">
        <f>BALANCING!FI5-100</f>
        <v/>
      </c>
      <c r="FJ5" s="52">
        <f>BALANCING!FJ5-100</f>
        <v/>
      </c>
      <c r="FK5" s="52">
        <f>BALANCING!FK5-100</f>
        <v/>
      </c>
      <c r="FL5" s="52">
        <f>BALANCING!FL5-100</f>
        <v/>
      </c>
      <c r="FM5" s="52">
        <f>BALANCING!FM5-100</f>
        <v/>
      </c>
      <c r="FN5" s="52">
        <f>BALANCING!FN5-100</f>
        <v/>
      </c>
      <c r="FO5" s="52">
        <f>BALANCING!FO5-100</f>
        <v/>
      </c>
      <c r="FP5" s="52">
        <f>BALANCING!FP5-100</f>
        <v/>
      </c>
      <c r="FQ5" s="52">
        <f>BALANCING!FQ5-100</f>
        <v/>
      </c>
      <c r="FR5" s="52">
        <f>BALANCING!FR5-100</f>
        <v/>
      </c>
      <c r="FS5" s="52">
        <f>BALANCING!FS5-100</f>
        <v/>
      </c>
      <c r="FT5" s="52">
        <f>BALANCING!FT5-100</f>
        <v/>
      </c>
      <c r="FU5" s="52">
        <f>BALANCING!FU5-100</f>
        <v/>
      </c>
      <c r="FV5" s="52">
        <f>BALANCING!FV5-100</f>
        <v/>
      </c>
      <c r="FW5" s="52">
        <f>BALANCING!FW5-100</f>
        <v/>
      </c>
      <c r="FX5" s="52">
        <f>BALANCING!FX5-100</f>
        <v/>
      </c>
      <c r="FY5" s="52">
        <f>BALANCING!FY5-100</f>
        <v/>
      </c>
      <c r="FZ5" s="52">
        <f>BALANCING!FZ5-100</f>
        <v/>
      </c>
      <c r="GA5" s="52">
        <f>BALANCING!GA5-100</f>
        <v/>
      </c>
      <c r="GB5" s="52">
        <f>BALANCING!GB5-100</f>
        <v/>
      </c>
      <c r="GC5" s="52">
        <f>BALANCING!GC5-100</f>
        <v/>
      </c>
      <c r="GD5" s="52">
        <f>BALANCING!GD5-100</f>
        <v/>
      </c>
      <c r="GE5" s="52">
        <f>BALANCING!GE5-100</f>
        <v/>
      </c>
      <c r="GF5" s="52">
        <f>BALANCING!GF5-100</f>
        <v/>
      </c>
      <c r="GG5" s="52">
        <f>BALANCING!GG5-100</f>
        <v/>
      </c>
      <c r="GH5" s="52">
        <f>BALANCING!GH5-100</f>
        <v/>
      </c>
      <c r="GI5" s="52">
        <f>BALANCING!GI5-100</f>
        <v/>
      </c>
      <c r="GJ5" s="130" t="n"/>
      <c r="GK5" s="52">
        <f>BALANCING!GK5-100</f>
        <v/>
      </c>
      <c r="GL5" s="52">
        <f>BALANCING!GL5-100</f>
        <v/>
      </c>
      <c r="GM5" s="52">
        <f>BALANCING!GM5-100</f>
        <v/>
      </c>
      <c r="GN5" s="52">
        <f>BALANCING!GN5-100</f>
        <v/>
      </c>
      <c r="GO5" s="52">
        <f>BALANCING!GO5-100</f>
        <v/>
      </c>
      <c r="GP5" s="52">
        <f>BALANCING!GP5-100</f>
        <v/>
      </c>
      <c r="GQ5" s="52">
        <f>BALANCING!GQ5-100</f>
        <v/>
      </c>
      <c r="GR5" s="52">
        <f>BALANCING!GR5-100</f>
        <v/>
      </c>
      <c r="GS5" s="52">
        <f>BALANCING!GS5-100</f>
        <v/>
      </c>
      <c r="GT5" s="52">
        <f>BALANCING!GT5-100</f>
        <v/>
      </c>
      <c r="GU5" s="52">
        <f>BALANCING!GU5-100</f>
        <v/>
      </c>
      <c r="GV5" s="52">
        <f>BALANCING!GV5-100</f>
        <v/>
      </c>
      <c r="GW5" s="52">
        <f>BALANCING!GW5-100</f>
        <v/>
      </c>
      <c r="GX5" s="52">
        <f>BALANCING!GX5-100</f>
        <v/>
      </c>
      <c r="GY5" s="52">
        <f>BALANCING!GY5-100</f>
        <v/>
      </c>
      <c r="GZ5" s="52">
        <f>BALANCING!GZ5-100</f>
        <v/>
      </c>
      <c r="HA5" s="52">
        <f>BALANCING!HA5-100</f>
        <v/>
      </c>
      <c r="HB5" s="52">
        <f>BALANCING!HB5-100</f>
        <v/>
      </c>
      <c r="HC5" s="52">
        <f>BALANCING!HC5-100</f>
        <v/>
      </c>
      <c r="HD5" s="52">
        <f>BALANCING!HD5-100</f>
        <v/>
      </c>
      <c r="HE5" s="52">
        <f>BALANCING!HE5-100</f>
        <v/>
      </c>
      <c r="HF5" s="52">
        <f>BALANCING!HF5-100</f>
        <v/>
      </c>
      <c r="HG5" s="52">
        <f>BALANCING!HG5-100</f>
        <v/>
      </c>
      <c r="HH5" s="52">
        <f>BALANCING!HH5-100</f>
        <v/>
      </c>
      <c r="HI5" s="52">
        <f>BALANCING!HI5-100</f>
        <v/>
      </c>
      <c r="HJ5" s="52">
        <f>BALANCING!HJ5-100</f>
        <v/>
      </c>
      <c r="HK5" s="52">
        <f>BALANCING!HK5-100</f>
        <v/>
      </c>
      <c r="HL5" s="52">
        <f>BALANCING!HL5-100</f>
        <v/>
      </c>
      <c r="HM5" s="52">
        <f>BALANCING!HM5-100</f>
        <v/>
      </c>
      <c r="HN5" s="130" t="n"/>
      <c r="HO5" s="52">
        <f>BALANCING!HO5-100</f>
        <v/>
      </c>
      <c r="HP5" s="52">
        <f>BALANCING!HP5-100</f>
        <v/>
      </c>
      <c r="HQ5" s="52">
        <f>BALANCING!HQ5-100</f>
        <v/>
      </c>
      <c r="HR5" s="52">
        <f>BALANCING!HR5-100</f>
        <v/>
      </c>
      <c r="HS5" s="52">
        <f>BALANCING!HS5-100</f>
        <v/>
      </c>
      <c r="HT5" s="52">
        <f>BALANCING!HT5-100</f>
        <v/>
      </c>
      <c r="HU5" s="52">
        <f>BALANCING!HU5-100</f>
        <v/>
      </c>
      <c r="HV5" s="52">
        <f>BALANCING!HV5-100</f>
        <v/>
      </c>
      <c r="HW5" s="52">
        <f>BALANCING!HW5-100</f>
        <v/>
      </c>
      <c r="HX5" s="52">
        <f>BALANCING!HX5-100</f>
        <v/>
      </c>
      <c r="HY5" s="52">
        <f>BALANCING!HY5-100</f>
        <v/>
      </c>
      <c r="HZ5" s="52">
        <f>BALANCING!HZ5-100</f>
        <v/>
      </c>
      <c r="IA5" s="52">
        <f>BALANCING!IA5-100</f>
        <v/>
      </c>
      <c r="IB5" s="52">
        <f>BALANCING!IB5-100</f>
        <v/>
      </c>
      <c r="IC5" s="52">
        <f>BALANCING!IC5-100</f>
        <v/>
      </c>
      <c r="ID5" s="52">
        <f>BALANCING!ID5-100</f>
        <v/>
      </c>
      <c r="IE5" s="52">
        <f>BALANCING!IE5-100</f>
        <v/>
      </c>
      <c r="IF5" s="52">
        <f>BALANCING!IF5-100</f>
        <v/>
      </c>
      <c r="IG5" s="52">
        <f>BALANCING!IG5-100</f>
        <v/>
      </c>
      <c r="IH5" s="52">
        <f>BALANCING!IH5-100</f>
        <v/>
      </c>
      <c r="II5" s="52">
        <f>BALANCING!II5-100</f>
        <v/>
      </c>
      <c r="IJ5" s="52">
        <f>BALANCING!IJ5-100</f>
        <v/>
      </c>
      <c r="IK5" s="52">
        <f>BALANCING!IK5-100</f>
        <v/>
      </c>
      <c r="IL5" s="52">
        <f>BALANCING!IL5-100</f>
        <v/>
      </c>
      <c r="IM5" s="52">
        <f>BALANCING!IM5-100</f>
        <v/>
      </c>
      <c r="IN5" s="52">
        <f>BALANCING!IN5-100</f>
        <v/>
      </c>
      <c r="IO5" s="52">
        <f>BALANCING!IO5-100</f>
        <v/>
      </c>
      <c r="IP5" s="52">
        <f>BALANCING!IP5-100</f>
        <v/>
      </c>
      <c r="IQ5" s="52">
        <f>BALANCING!IQ5-100</f>
        <v/>
      </c>
      <c r="IR5" s="52">
        <f>BALANCING!IR5-100</f>
        <v/>
      </c>
      <c r="IS5" s="52">
        <f>BALANCING!IS5-100</f>
        <v/>
      </c>
      <c r="IT5" s="130" t="n"/>
      <c r="IU5" s="52">
        <f>BALANCING!IU5-100</f>
        <v/>
      </c>
      <c r="IV5" s="52">
        <f>BALANCING!IV5-100</f>
        <v/>
      </c>
      <c r="IW5" s="52">
        <f>BALANCING!IW5-100</f>
        <v/>
      </c>
      <c r="IX5" s="52">
        <f>BALANCING!IX5-100</f>
        <v/>
      </c>
      <c r="IY5" s="52">
        <f>BALANCING!IY5-100</f>
        <v/>
      </c>
      <c r="IZ5" s="52">
        <f>BALANCING!IZ5-100</f>
        <v/>
      </c>
      <c r="JA5" s="52">
        <f>BALANCING!JA5-100</f>
        <v/>
      </c>
      <c r="JB5" s="52">
        <f>BALANCING!JB5-100</f>
        <v/>
      </c>
      <c r="JC5" s="52">
        <f>BALANCING!JC5-100</f>
        <v/>
      </c>
      <c r="JD5" s="52">
        <f>BALANCING!JD5-100</f>
        <v/>
      </c>
      <c r="JE5" s="52">
        <f>BALANCING!JE5-100</f>
        <v/>
      </c>
      <c r="JF5" s="52">
        <f>BALANCING!JF5-100</f>
        <v/>
      </c>
      <c r="JG5" s="52">
        <f>BALANCING!JG5-100</f>
        <v/>
      </c>
      <c r="JH5" s="52">
        <f>BALANCING!JH5-100</f>
        <v/>
      </c>
      <c r="JI5" s="52">
        <f>BALANCING!JI5-100</f>
        <v/>
      </c>
      <c r="JJ5" s="52">
        <f>BALANCING!JJ5-100</f>
        <v/>
      </c>
      <c r="JK5" s="52">
        <f>BALANCING!JK5-100</f>
        <v/>
      </c>
      <c r="JL5" s="52">
        <f>BALANCING!JL5-100</f>
        <v/>
      </c>
      <c r="JM5" s="52">
        <f>BALANCING!JM5-100</f>
        <v/>
      </c>
      <c r="JN5" s="52">
        <f>BALANCING!JN5-100</f>
        <v/>
      </c>
      <c r="JO5" s="52">
        <f>BALANCING!JO5-100</f>
        <v/>
      </c>
      <c r="JP5" s="52">
        <f>BALANCING!JP5-100</f>
        <v/>
      </c>
      <c r="JQ5" s="52">
        <f>BALANCING!JQ5-100</f>
        <v/>
      </c>
      <c r="JR5" s="52">
        <f>BALANCING!JR5-100</f>
        <v/>
      </c>
      <c r="JS5" s="52">
        <f>BALANCING!JS5-100</f>
        <v/>
      </c>
      <c r="JT5" s="52">
        <f>BALANCING!JT5-100</f>
        <v/>
      </c>
      <c r="JU5" s="52">
        <f>BALANCING!JU5-100</f>
        <v/>
      </c>
      <c r="JV5" s="52">
        <f>BALANCING!JV5-120</f>
        <v/>
      </c>
      <c r="JW5" s="52">
        <f>BALANCING!JW5-120</f>
        <v/>
      </c>
      <c r="JX5" s="52">
        <f>BALANCING!JX5-120</f>
        <v/>
      </c>
      <c r="JY5" s="139" t="n"/>
      <c r="JZ5" s="52">
        <f>BALANCING!JZ5-120</f>
        <v/>
      </c>
      <c r="KA5" s="52">
        <f>BALANCING!KA5-120</f>
        <v/>
      </c>
      <c r="KB5" s="52">
        <f>BALANCING!KB5-120</f>
        <v/>
      </c>
      <c r="KC5" s="52">
        <f>BALANCING!KC5-120</f>
        <v/>
      </c>
      <c r="KD5" s="52">
        <f>BALANCING!KD5-120</f>
        <v/>
      </c>
      <c r="KE5" s="52">
        <f>BALANCING!KE5-120</f>
        <v/>
      </c>
      <c r="KF5" s="52">
        <f>BALANCING!KF5-120</f>
        <v/>
      </c>
      <c r="KG5" s="52">
        <f>BALANCING!KG5-120</f>
        <v/>
      </c>
      <c r="KH5" s="52">
        <f>BALANCING!KH5-120</f>
        <v/>
      </c>
      <c r="KI5" s="52">
        <f>BALANCING!KI5-120</f>
        <v/>
      </c>
      <c r="KJ5" s="52">
        <f>BALANCING!KJ5-120</f>
        <v/>
      </c>
      <c r="KK5" s="52">
        <f>BALANCING!KK5-120</f>
        <v/>
      </c>
      <c r="KL5" s="52">
        <f>BALANCING!KL5-120</f>
        <v/>
      </c>
      <c r="KM5" s="52">
        <f>BALANCING!KM5-120</f>
        <v/>
      </c>
      <c r="KN5" s="52">
        <f>BALANCING!KN5-120</f>
        <v/>
      </c>
      <c r="KO5" s="52">
        <f>BALANCING!KO5-120</f>
        <v/>
      </c>
      <c r="KP5" s="52">
        <f>BALANCING!KP5-120</f>
        <v/>
      </c>
      <c r="KQ5" s="52">
        <f>BALANCING!KQ5-120</f>
        <v/>
      </c>
      <c r="KR5" s="52">
        <f>BALANCING!KR5-120</f>
        <v/>
      </c>
      <c r="KS5" s="52">
        <f>BALANCING!KS5-120</f>
        <v/>
      </c>
      <c r="KT5" s="52">
        <f>BALANCING!KT5-120</f>
        <v/>
      </c>
      <c r="KU5" s="52">
        <f>BALANCING!KU5-120</f>
        <v/>
      </c>
      <c r="KV5" s="52">
        <f>BALANCING!KV5-120</f>
        <v/>
      </c>
      <c r="KW5" s="52">
        <f>BALANCING!KW5-120</f>
        <v/>
      </c>
      <c r="KX5" s="52">
        <f>BALANCING!KX5-120</f>
        <v/>
      </c>
      <c r="KY5" s="52">
        <f>BALANCING!KY5-120</f>
        <v/>
      </c>
      <c r="KZ5" s="52">
        <f>BALANCING!KZ5-120</f>
        <v/>
      </c>
      <c r="LA5" s="52">
        <f>BALANCING!LA5-120</f>
        <v/>
      </c>
      <c r="LB5" s="52">
        <f>BALANCING!LB5-120</f>
        <v/>
      </c>
      <c r="LC5" s="52">
        <f>BALANCING!LC5-120</f>
        <v/>
      </c>
      <c r="LD5" s="52">
        <f>BALANCING!LD5-120</f>
        <v/>
      </c>
      <c r="LE5" s="130" t="n"/>
      <c r="LF5" s="52">
        <f>BALANCING!LF5-120</f>
        <v/>
      </c>
      <c r="LG5" s="52">
        <f>BALANCING!LG5-120</f>
        <v/>
      </c>
      <c r="LH5" s="52">
        <f>BALANCING!LH5-120</f>
        <v/>
      </c>
      <c r="LI5" s="52">
        <f>BALANCING!LI5-120</f>
        <v/>
      </c>
      <c r="LJ5" s="52">
        <f>BALANCING!LJ5-120</f>
        <v/>
      </c>
      <c r="LK5" s="52">
        <f>BALANCING!LK5-120</f>
        <v/>
      </c>
      <c r="LL5" s="52">
        <f>BALANCING!LL5-120</f>
        <v/>
      </c>
      <c r="LM5" s="52">
        <f>BALANCING!LM5-120</f>
        <v/>
      </c>
      <c r="LN5" s="52">
        <f>BALANCING!LN5-120</f>
        <v/>
      </c>
      <c r="LO5" s="52">
        <f>BALANCING!LO5-120</f>
        <v/>
      </c>
      <c r="LP5" s="52">
        <f>BALANCING!LP5-120</f>
        <v/>
      </c>
      <c r="LQ5" s="52">
        <f>BALANCING!LQ5-120</f>
        <v/>
      </c>
      <c r="LR5" s="52">
        <f>BALANCING!LR5-120</f>
        <v/>
      </c>
      <c r="LS5" s="52">
        <f>BALANCING!LS5-120</f>
        <v/>
      </c>
      <c r="LT5" s="52">
        <f>BALANCING!LT5-120</f>
        <v/>
      </c>
      <c r="LU5" s="52">
        <f>BALANCING!LU5-120</f>
        <v/>
      </c>
      <c r="LV5" s="52">
        <f>BALANCING!LV5-120</f>
        <v/>
      </c>
      <c r="LW5" s="52">
        <f>BALANCING!LW5-120</f>
        <v/>
      </c>
      <c r="LX5" s="52">
        <f>BALANCING!LX5-120</f>
        <v/>
      </c>
      <c r="LY5" s="52">
        <f>BALANCING!LY5-120</f>
        <v/>
      </c>
      <c r="LZ5" s="52">
        <f>BALANCING!LZ5-120</f>
        <v/>
      </c>
      <c r="MA5" s="52">
        <f>BALANCING!MA5-120</f>
        <v/>
      </c>
      <c r="MB5" s="52">
        <f>BALANCING!MB5-120</f>
        <v/>
      </c>
      <c r="MC5" s="52">
        <f>BALANCING!MC5-120</f>
        <v/>
      </c>
      <c r="MD5" s="52">
        <f>BALANCING!MD5-120</f>
        <v/>
      </c>
      <c r="ME5" s="52">
        <f>BALANCING!ME5-120</f>
        <v/>
      </c>
      <c r="MF5" s="52">
        <f>BALANCING!MF5-120</f>
        <v/>
      </c>
      <c r="MG5" s="52">
        <f>BALANCING!MG5-120</f>
        <v/>
      </c>
      <c r="MH5" s="52">
        <f>BALANCING!MH5-120</f>
        <v/>
      </c>
      <c r="MI5" s="52">
        <f>BALANCING!MI5-120</f>
        <v/>
      </c>
      <c r="MJ5" s="139" t="n"/>
      <c r="MK5" s="52">
        <f>BALANCING!MK5-120</f>
        <v/>
      </c>
      <c r="ML5" s="52">
        <f>BALANCING!ML5-120</f>
        <v/>
      </c>
      <c r="MM5" s="52">
        <f>BALANCING!MM5-120</f>
        <v/>
      </c>
      <c r="MN5" s="52">
        <f>BALANCING!MN5-120</f>
        <v/>
      </c>
      <c r="MO5" s="52">
        <f>BALANCING!MO5-120</f>
        <v/>
      </c>
      <c r="MP5" s="52">
        <f>BALANCING!MP5-120</f>
        <v/>
      </c>
      <c r="MQ5" s="52">
        <f>BALANCING!MQ5-120</f>
        <v/>
      </c>
      <c r="MR5" s="52">
        <f>BALANCING!MR5-120</f>
        <v/>
      </c>
      <c r="MS5" s="52">
        <f>BALANCING!MS5-120</f>
        <v/>
      </c>
      <c r="MT5" s="52">
        <f>BALANCING!MT5-120</f>
        <v/>
      </c>
      <c r="MU5" s="52">
        <f>BALANCING!MU5-120</f>
        <v/>
      </c>
      <c r="MV5" s="52">
        <f>BALANCING!MV5-120</f>
        <v/>
      </c>
      <c r="MW5" s="52">
        <f>BALANCING!MW5-120</f>
        <v/>
      </c>
      <c r="MX5" s="52">
        <f>BALANCING!MX5-120</f>
        <v/>
      </c>
      <c r="MY5" s="52">
        <f>BALANCING!MY5-120</f>
        <v/>
      </c>
      <c r="MZ5" s="52">
        <f>BALANCING!MZ5-120</f>
        <v/>
      </c>
      <c r="NA5" s="52">
        <f>BALANCING!NA5-120</f>
        <v/>
      </c>
      <c r="NB5" s="52">
        <f>BALANCING!NB5-120</f>
        <v/>
      </c>
      <c r="NC5" s="52">
        <f>BALANCING!NC5-120</f>
        <v/>
      </c>
      <c r="ND5" s="52">
        <f>BALANCING!ND5-120</f>
        <v/>
      </c>
      <c r="NE5" s="52">
        <f>BALANCING!NE5-120</f>
        <v/>
      </c>
      <c r="NF5" s="52">
        <f>BALANCING!NF5-120</f>
        <v/>
      </c>
      <c r="NG5" s="52">
        <f>BALANCING!NG5-120</f>
        <v/>
      </c>
      <c r="NH5" s="52">
        <f>BALANCING!NH5-120</f>
        <v/>
      </c>
      <c r="NI5" s="52">
        <f>BALANCING!NI5-120</f>
        <v/>
      </c>
      <c r="NJ5" s="52">
        <f>BALANCING!NJ5-120</f>
        <v/>
      </c>
      <c r="NK5" s="52">
        <f>BALANCING!NK5-120</f>
        <v/>
      </c>
      <c r="NL5" s="52" t="n">
        <v>5080</v>
      </c>
      <c r="NM5" s="52">
        <f>BALANCING!NM5-120</f>
        <v/>
      </c>
      <c r="NN5" s="52">
        <f>BALANCING!NN5-120</f>
        <v/>
      </c>
      <c r="NO5" s="52">
        <f>BALANCING!NO5-120</f>
        <v/>
      </c>
      <c r="NP5" s="139" t="n"/>
      <c r="NQ5" s="52">
        <f>BALANCING!NQ5-120</f>
        <v/>
      </c>
      <c r="NR5" s="52">
        <f>BALANCING!NR5-120</f>
        <v/>
      </c>
      <c r="NS5" s="52">
        <f>BALANCING!NS5-120</f>
        <v/>
      </c>
      <c r="NT5" s="52">
        <f>BALANCING!NT5-120</f>
        <v/>
      </c>
      <c r="NU5" s="52">
        <f>BALANCING!NU5-120</f>
        <v/>
      </c>
      <c r="NV5" s="52">
        <f>BALANCING!NV5-120</f>
        <v/>
      </c>
      <c r="NW5" s="52">
        <f>BALANCING!NW5-120</f>
        <v/>
      </c>
      <c r="NX5" s="52">
        <f>BALANCING!NX5-120</f>
        <v/>
      </c>
      <c r="NY5" s="52">
        <f>BALANCING!NY5-120</f>
        <v/>
      </c>
      <c r="NZ5" s="52">
        <f>BALANCING!NZ5-120</f>
        <v/>
      </c>
      <c r="OA5" s="52">
        <f>BALANCING!OA5-120</f>
        <v/>
      </c>
      <c r="OB5" s="52">
        <f>BALANCING!OB5-120</f>
        <v/>
      </c>
      <c r="OC5" s="52">
        <f>BALANCING!OC5-120</f>
        <v/>
      </c>
      <c r="OD5" s="52">
        <f>BALANCING!OD5-120</f>
        <v/>
      </c>
      <c r="OE5" s="52">
        <f>BALANCING!OE5-120</f>
        <v/>
      </c>
      <c r="OF5" s="52">
        <f>BALANCING!OF5-120</f>
        <v/>
      </c>
      <c r="OG5" s="52">
        <f>BALANCING!OG5-120</f>
        <v/>
      </c>
      <c r="OH5" s="52">
        <f>BALANCING!OH5-120</f>
        <v/>
      </c>
      <c r="OI5" s="52">
        <f>BALANCING!OI5-120</f>
        <v/>
      </c>
      <c r="OJ5" s="52">
        <f>BALANCING!OJ5-120</f>
        <v/>
      </c>
      <c r="OK5" s="52">
        <f>BALANCING!OK5-120</f>
        <v/>
      </c>
      <c r="OL5" s="52">
        <f>BALANCING!OL5-120</f>
        <v/>
      </c>
      <c r="OM5" s="52">
        <f>BALANCING!OM5-120</f>
        <v/>
      </c>
      <c r="ON5" s="52">
        <f>BALANCING!ON5-120</f>
        <v/>
      </c>
      <c r="OO5" s="52">
        <f>BALANCING!OO5-120</f>
        <v/>
      </c>
      <c r="OP5" s="52">
        <f>BALANCING!OP5-120</f>
        <v/>
      </c>
      <c r="OQ5" s="52">
        <f>BALANCING!OQ5-120</f>
        <v/>
      </c>
      <c r="OR5" s="52">
        <f>BALANCING!OR5-120</f>
        <v/>
      </c>
      <c r="OS5" s="52">
        <f>BALANCING!OS5-120</f>
        <v/>
      </c>
      <c r="OT5" s="52">
        <f>BALANCING!OT5-120</f>
        <v/>
      </c>
      <c r="OU5" s="52">
        <f>BALANCING!OU5-120</f>
        <v/>
      </c>
      <c r="OV5" s="130" t="n"/>
      <c r="OW5" s="52">
        <f>BALANCING!OW5-120</f>
        <v/>
      </c>
      <c r="OX5" s="52">
        <f>BALANCING!OX5-120</f>
        <v/>
      </c>
      <c r="OY5" s="52">
        <f>BALANCING!OY5-120</f>
        <v/>
      </c>
      <c r="OZ5" s="52">
        <f>BALANCING!OZ5-120</f>
        <v/>
      </c>
      <c r="PA5" s="52">
        <f>BALANCING!PA5-120</f>
        <v/>
      </c>
      <c r="PB5" s="52">
        <f>BALANCING!PB5-120</f>
        <v/>
      </c>
      <c r="PC5" s="52">
        <f>BALANCING!PC5-120</f>
        <v/>
      </c>
      <c r="PD5" s="52">
        <f>BALANCING!PD5-120</f>
        <v/>
      </c>
      <c r="PE5" s="52">
        <f>BALANCING!PE5-120</f>
        <v/>
      </c>
      <c r="PF5" s="52">
        <f>BALANCING!PF5-120</f>
        <v/>
      </c>
      <c r="PG5" s="52">
        <f>BALANCING!PG5-120</f>
        <v/>
      </c>
      <c r="PH5" s="52">
        <f>BALANCING!PH5-120</f>
        <v/>
      </c>
      <c r="PI5" s="52">
        <f>BALANCING!PI5-120</f>
        <v/>
      </c>
      <c r="PJ5" s="52">
        <f>BALANCING!PJ5-120</f>
        <v/>
      </c>
      <c r="PK5" s="52">
        <f>BALANCING!PK5-120</f>
        <v/>
      </c>
      <c r="PL5" s="52">
        <f>BALANCING!PL5-120</f>
        <v/>
      </c>
      <c r="PM5" s="52">
        <f>BALANCING!PM5-120</f>
        <v/>
      </c>
      <c r="PN5" s="52">
        <f>BALANCING!PN5-120</f>
        <v/>
      </c>
      <c r="PO5" s="52">
        <f>BALANCING!PO5-120</f>
        <v/>
      </c>
      <c r="PP5" s="52">
        <f>BALANCING!PP5-120</f>
        <v/>
      </c>
      <c r="PQ5" s="52">
        <f>BALANCING!PQ5-120</f>
        <v/>
      </c>
      <c r="PR5" s="52">
        <f>BALANCING!PR5-120</f>
        <v/>
      </c>
      <c r="PS5" s="52">
        <f>BALANCING!PS5-120</f>
        <v/>
      </c>
      <c r="PT5" s="52">
        <f>BALANCING!PT5-120</f>
        <v/>
      </c>
      <c r="PU5" s="52">
        <f>BALANCING!PU5-120</f>
        <v/>
      </c>
      <c r="PV5" s="52">
        <f>BALANCING!PV5-120</f>
        <v/>
      </c>
      <c r="PW5" s="52">
        <f>BALANCING!PW5-120</f>
        <v/>
      </c>
      <c r="PX5" s="52">
        <f>BALANCING!PX5-120</f>
        <v/>
      </c>
      <c r="PY5" s="52">
        <f>BALANCING!PY5-120</f>
        <v/>
      </c>
      <c r="PZ5" s="52">
        <f>BALANCING!PZ5-120</f>
        <v/>
      </c>
      <c r="QA5" s="130" t="n"/>
      <c r="QB5" s="52">
        <f>BALANCING!QB5-120</f>
        <v/>
      </c>
      <c r="QC5" s="52">
        <f>BALANCING!QC5-120</f>
        <v/>
      </c>
      <c r="QD5" s="52">
        <f>BALANCING!QD5-120</f>
        <v/>
      </c>
      <c r="QE5" s="52">
        <f>BALANCING!QE5-120</f>
        <v/>
      </c>
      <c r="QF5" s="52">
        <f>BALANCING!QF5-120</f>
        <v/>
      </c>
      <c r="QG5" s="52">
        <f>BALANCING!QG5-120</f>
        <v/>
      </c>
      <c r="QH5" s="52">
        <f>BALANCING!QH5-120</f>
        <v/>
      </c>
      <c r="QI5" s="52">
        <f>BALANCING!QI5-120</f>
        <v/>
      </c>
      <c r="QJ5" s="52">
        <f>BALANCING!QJ5-120</f>
        <v/>
      </c>
      <c r="QK5" s="52">
        <f>BALANCING!QK5-120</f>
        <v/>
      </c>
      <c r="QL5" s="52">
        <f>BALANCING!QL5-120</f>
        <v/>
      </c>
      <c r="QM5" s="52">
        <f>BALANCING!QM5-120</f>
        <v/>
      </c>
      <c r="QN5" s="52">
        <f>BALANCING!QN5-120</f>
        <v/>
      </c>
      <c r="QO5" s="52">
        <f>BALANCING!QO5-120</f>
        <v/>
      </c>
      <c r="QP5" s="52">
        <f>BALANCING!QP5-120</f>
        <v/>
      </c>
      <c r="QQ5" s="52">
        <f>BALANCING!QQ5-120</f>
        <v/>
      </c>
      <c r="QR5" s="52">
        <f>BALANCING!QR5-120</f>
        <v/>
      </c>
      <c r="QS5" s="52">
        <f>BALANCING!QS5-120</f>
        <v/>
      </c>
      <c r="QT5" s="52">
        <f>BALANCING!QT5-120</f>
        <v/>
      </c>
      <c r="QU5" s="52">
        <f>BALANCING!QU5-120</f>
        <v/>
      </c>
      <c r="QV5" s="52">
        <f>BALANCING!QV5-120</f>
        <v/>
      </c>
      <c r="QW5" s="52">
        <f>BALANCING!QW5-120</f>
        <v/>
      </c>
      <c r="QX5" s="52">
        <f>BALANCING!QX5-120</f>
        <v/>
      </c>
      <c r="QY5" s="52">
        <f>BALANCING!QY5-120</f>
        <v/>
      </c>
      <c r="QZ5" s="52">
        <f>BALANCING!QZ5-120</f>
        <v/>
      </c>
      <c r="RA5" s="52">
        <f>BALANCING!RA5-120</f>
        <v/>
      </c>
      <c r="RB5" s="52">
        <f>BALANCING!RB5-120</f>
        <v/>
      </c>
      <c r="RC5" s="52">
        <f>BALANCING!RC5-120</f>
        <v/>
      </c>
      <c r="RD5" s="52">
        <f>BALANCING!RD5-120</f>
        <v/>
      </c>
      <c r="RE5" s="52">
        <f>BALANCING!RE5-120</f>
        <v/>
      </c>
      <c r="RF5" s="52">
        <f>BALANCING!RF5-120</f>
        <v/>
      </c>
      <c r="RG5" s="130" t="n"/>
      <c r="RH5" s="52">
        <f>BALANCING!RH5-120</f>
        <v/>
      </c>
      <c r="RI5" s="52">
        <f>BALANCING!RI5-120</f>
        <v/>
      </c>
      <c r="RJ5" s="52">
        <f>BALANCING!RJ5-120</f>
        <v/>
      </c>
      <c r="RK5" s="52">
        <f>BALANCING!RK5-120</f>
        <v/>
      </c>
      <c r="RL5" s="52">
        <f>BALANCING!RL5-120</f>
        <v/>
      </c>
      <c r="RM5" s="52">
        <f>BALANCING!RM5-120</f>
        <v/>
      </c>
      <c r="RN5" s="52">
        <f>BALANCING!RN5-120</f>
        <v/>
      </c>
      <c r="RO5" s="52">
        <f>BALANCING!RO5-120</f>
        <v/>
      </c>
      <c r="RP5" s="52">
        <f>BALANCING!RP5-120</f>
        <v/>
      </c>
      <c r="RQ5" s="52">
        <f>BALANCING!RQ5-120</f>
        <v/>
      </c>
      <c r="RR5" s="52">
        <f>BALANCING!RR5-120</f>
        <v/>
      </c>
      <c r="RS5" s="52">
        <f>BALANCING!RS5-120</f>
        <v/>
      </c>
      <c r="RT5" s="52">
        <f>BALANCING!RT5-120</f>
        <v/>
      </c>
      <c r="RU5" s="52">
        <f>BALANCING!RU5-120</f>
        <v/>
      </c>
      <c r="RV5" s="52">
        <f>BALANCING!RV5-120</f>
        <v/>
      </c>
      <c r="RW5" s="52">
        <f>BALANCING!RW5-120</f>
        <v/>
      </c>
      <c r="RX5" s="52">
        <f>BALANCING!RX5-120</f>
        <v/>
      </c>
      <c r="RY5" s="52">
        <f>BALANCING!RY5-120</f>
        <v/>
      </c>
      <c r="RZ5" s="52">
        <f>BALANCING!RZ5-120</f>
        <v/>
      </c>
      <c r="SA5" s="52">
        <f>BALANCING!SA5-120</f>
        <v/>
      </c>
      <c r="SB5" s="52">
        <f>BALANCING!SB5-120</f>
        <v/>
      </c>
      <c r="SC5" s="52">
        <f>BALANCING!SC5-120</f>
        <v/>
      </c>
      <c r="SD5" s="52">
        <f>BALANCING!SD5-120</f>
        <v/>
      </c>
      <c r="SE5" s="52">
        <f>BALANCING!SE5-120</f>
        <v/>
      </c>
      <c r="SF5" s="52">
        <f>BALANCING!SF5-120</f>
        <v/>
      </c>
      <c r="SG5" s="52">
        <f>BALANCING!SG5-120</f>
        <v/>
      </c>
      <c r="SH5" s="52">
        <f>BALANCING!SH5-120</f>
        <v/>
      </c>
      <c r="SI5" s="52">
        <f>BALANCING!SI5-120</f>
        <v/>
      </c>
      <c r="SJ5" s="52">
        <f>BALANCING!SJ5-120</f>
        <v/>
      </c>
      <c r="SK5" s="52">
        <f>BALANCING!SK5-120</f>
        <v/>
      </c>
      <c r="SL5" s="130" t="n"/>
      <c r="SM5" s="52">
        <f>BALANCING!SM5-120</f>
        <v/>
      </c>
      <c r="SN5" s="52">
        <f>BALANCING!SN5-120</f>
        <v/>
      </c>
      <c r="SO5" s="52">
        <f>BALANCING!SO5-120</f>
        <v/>
      </c>
      <c r="SP5" s="52">
        <f>BALANCING!SP5-120</f>
        <v/>
      </c>
      <c r="SQ5" s="52">
        <f>BALANCING!SQ5-120</f>
        <v/>
      </c>
      <c r="SR5" s="52">
        <f>BALANCING!SR5-120</f>
        <v/>
      </c>
      <c r="SS5" s="52">
        <f>BALANCING!SS5-120</f>
        <v/>
      </c>
      <c r="ST5" s="52">
        <f>BALANCING!ST5-120</f>
        <v/>
      </c>
      <c r="SU5" s="52">
        <f>BALANCING!SU5-120</f>
        <v/>
      </c>
      <c r="SV5" s="52">
        <f>BALANCING!SV5-120</f>
        <v/>
      </c>
      <c r="SW5" s="52">
        <f>BALANCING!SW5-120</f>
        <v/>
      </c>
      <c r="SX5" s="52">
        <f>BALANCING!SX5-120</f>
        <v/>
      </c>
      <c r="SY5" s="52">
        <f>BALANCING!SY5-120</f>
        <v/>
      </c>
      <c r="SZ5" s="52">
        <f>BALANCING!SZ5-120</f>
        <v/>
      </c>
      <c r="TA5" s="52">
        <f>BALANCING!TA5-120</f>
        <v/>
      </c>
      <c r="TB5" s="52">
        <f>BALANCING!TB5-120</f>
        <v/>
      </c>
      <c r="TC5" s="52">
        <f>BALANCING!TC5-120</f>
        <v/>
      </c>
      <c r="TD5" s="52">
        <f>BALANCING!TD5-120</f>
        <v/>
      </c>
      <c r="TE5" s="52">
        <f>BALANCING!TE5-120</f>
        <v/>
      </c>
      <c r="TF5" s="52">
        <f>BALANCING!TF5-120</f>
        <v/>
      </c>
      <c r="TG5" s="52">
        <f>BALANCING!TG5-120</f>
        <v/>
      </c>
      <c r="TH5" s="52">
        <f>BALANCING!TH5-120</f>
        <v/>
      </c>
      <c r="TI5" s="52">
        <f>BALANCING!TI5-120</f>
        <v/>
      </c>
      <c r="TJ5" s="52">
        <f>BALANCING!TJ5-120</f>
        <v/>
      </c>
      <c r="TK5" s="52">
        <f>BALANCING!TK5-120</f>
        <v/>
      </c>
      <c r="TL5" s="52">
        <f>BALANCING!TL5-120</f>
        <v/>
      </c>
      <c r="TM5" s="52">
        <f>BALANCING!TM5-120</f>
        <v/>
      </c>
      <c r="TN5" s="52">
        <f>BALANCING!TN5-120</f>
        <v/>
      </c>
      <c r="TO5" s="52">
        <f>BALANCING!TO5-120</f>
        <v/>
      </c>
      <c r="TP5" s="52">
        <f>BALANCING!TP5-120</f>
        <v/>
      </c>
      <c r="TQ5" s="52">
        <f>BALANCING!TQ5-120</f>
        <v/>
      </c>
      <c r="TR5" s="130" t="n"/>
      <c r="TS5" s="52">
        <f>BALANCING!TS5-120</f>
        <v/>
      </c>
      <c r="TT5" s="52">
        <f>BALANCING!TT5-120</f>
        <v/>
      </c>
      <c r="TU5" s="52">
        <f>BALANCING!TU5-120</f>
        <v/>
      </c>
      <c r="TV5" s="52">
        <f>BALANCING!TV5-120</f>
        <v/>
      </c>
      <c r="TW5" s="52">
        <f>BALANCING!TW5-120</f>
        <v/>
      </c>
      <c r="TX5" s="52">
        <f>BALANCING!TX5-120</f>
        <v/>
      </c>
      <c r="TY5" s="52">
        <f>BALANCING!TY5-120</f>
        <v/>
      </c>
      <c r="TZ5" s="52">
        <f>BALANCING!TZ5-120</f>
        <v/>
      </c>
      <c r="UA5" s="52">
        <f>BALANCING!UA5-120</f>
        <v/>
      </c>
      <c r="UB5" s="52">
        <f>BALANCING!UB5-120</f>
        <v/>
      </c>
      <c r="UC5" s="52">
        <f>BALANCING!UC5-120</f>
        <v/>
      </c>
      <c r="UD5" s="52">
        <f>BALANCING!UD5-120</f>
        <v/>
      </c>
      <c r="UE5" s="52">
        <f>BALANCING!UE5-120</f>
        <v/>
      </c>
      <c r="UF5" s="52">
        <f>BALANCING!UF5-120</f>
        <v/>
      </c>
      <c r="UG5" s="52">
        <f>BALANCING!UG5-120</f>
        <v/>
      </c>
      <c r="UH5" s="52">
        <f>BALANCING!UH5-120</f>
        <v/>
      </c>
      <c r="UI5" s="52">
        <f>BALANCING!UI5-120</f>
        <v/>
      </c>
      <c r="UJ5" s="52">
        <f>BALANCING!UJ5-120</f>
        <v/>
      </c>
      <c r="UK5" s="52">
        <f>BALANCING!UK5-120</f>
        <v/>
      </c>
      <c r="UL5" s="52">
        <f>BALANCING!UL5-120</f>
        <v/>
      </c>
      <c r="UM5" s="52">
        <f>BALANCING!UM5-120</f>
        <v/>
      </c>
      <c r="UN5" s="52">
        <f>BALANCING!UN5-120</f>
        <v/>
      </c>
      <c r="UO5" s="52">
        <f>BALANCING!UO5-120</f>
        <v/>
      </c>
      <c r="UP5" s="52">
        <f>BALANCING!UP5-120</f>
        <v/>
      </c>
      <c r="UQ5" s="52">
        <f>BALANCING!UQ5-120</f>
        <v/>
      </c>
      <c r="UR5" s="52">
        <f>BALANCING!UR5-120</f>
        <v/>
      </c>
      <c r="US5" s="52">
        <f>BALANCING!US5-120</f>
        <v/>
      </c>
      <c r="UT5" s="52">
        <f>BALANCING!UT5-120</f>
        <v/>
      </c>
      <c r="UU5" s="52">
        <f>BALANCING!UU5-120</f>
        <v/>
      </c>
      <c r="UV5" s="52">
        <f>BALANCING!UV5-120</f>
        <v/>
      </c>
      <c r="UW5" s="52">
        <f>BALANCING!UW5-120</f>
        <v/>
      </c>
      <c r="UX5" s="130" t="n"/>
      <c r="UY5" s="52">
        <f>BALANCING!UY5-120</f>
        <v/>
      </c>
      <c r="UZ5" s="52">
        <f>BALANCING!UZ5-120</f>
        <v/>
      </c>
      <c r="VA5" s="52">
        <f>BALANCING!VA5-120</f>
        <v/>
      </c>
      <c r="VB5" s="52">
        <f>BALANCING!VB5-120</f>
        <v/>
      </c>
      <c r="VC5" s="52">
        <f>BALANCING!VC5-120</f>
        <v/>
      </c>
      <c r="VD5" s="52">
        <f>BALANCING!VD5-120</f>
        <v/>
      </c>
      <c r="VE5" s="52">
        <f>BALANCING!VE5-120</f>
        <v/>
      </c>
      <c r="VF5" s="52">
        <f>BALANCING!VF5-120</f>
        <v/>
      </c>
      <c r="VG5" s="52">
        <f>BALANCING!VG5-120</f>
        <v/>
      </c>
      <c r="VH5" s="52">
        <f>BALANCING!VH5-120</f>
        <v/>
      </c>
      <c r="VI5" s="52">
        <f>BALANCING!VI5-120</f>
        <v/>
      </c>
      <c r="VJ5" s="52">
        <f>BALANCING!VJ5-120</f>
        <v/>
      </c>
      <c r="VK5" s="52">
        <f>BALANCING!VK5-120</f>
        <v/>
      </c>
      <c r="VL5" s="52">
        <f>BALANCING!VL5-120</f>
        <v/>
      </c>
      <c r="VM5" s="52">
        <f>BALANCING!VM5-120</f>
        <v/>
      </c>
      <c r="VN5" s="52">
        <f>BALANCING!VN5-120</f>
        <v/>
      </c>
      <c r="VO5" s="52">
        <f>BALANCING!VO5-120</f>
        <v/>
      </c>
      <c r="VP5" s="52">
        <f>BALANCING!VP5-120</f>
        <v/>
      </c>
      <c r="VQ5" s="52">
        <f>BALANCING!VQ5-120</f>
        <v/>
      </c>
      <c r="VR5" s="52">
        <f>BALANCING!VR5-120</f>
        <v/>
      </c>
      <c r="VS5" s="52">
        <f>BALANCING!VS5-120</f>
        <v/>
      </c>
      <c r="VT5" s="52">
        <f>BALANCING!VT5-120</f>
        <v/>
      </c>
      <c r="VU5" s="52">
        <f>BALANCING!VU5-120</f>
        <v/>
      </c>
      <c r="VV5" s="52">
        <f>BALANCING!VV5-120</f>
        <v/>
      </c>
      <c r="VW5" s="52">
        <f>BALANCING!VW5-120</f>
        <v/>
      </c>
      <c r="VX5" s="52">
        <f>BALANCING!VX5-120</f>
        <v/>
      </c>
      <c r="VY5" s="52">
        <f>BALANCING!VY5-120</f>
        <v/>
      </c>
      <c r="VZ5" s="52">
        <f>BALANCING!VZ5-120</f>
        <v/>
      </c>
      <c r="WA5" s="139" t="n"/>
      <c r="WB5" s="52">
        <f>BALANCING!WB5-120</f>
        <v/>
      </c>
      <c r="WC5" s="52">
        <f>BALANCING!WC5-120</f>
        <v/>
      </c>
      <c r="WD5" s="52">
        <f>BALANCING!WD5-120</f>
        <v/>
      </c>
      <c r="WE5" s="52">
        <f>BALANCING!WE5-120</f>
        <v/>
      </c>
      <c r="WF5" s="52">
        <f>BALANCING!WF5-120</f>
        <v/>
      </c>
      <c r="WG5" s="52">
        <f>BALANCING!WG5-120</f>
        <v/>
      </c>
      <c r="WH5" s="52">
        <f>BALANCING!WH5-120</f>
        <v/>
      </c>
      <c r="WI5" s="52">
        <f>BALANCING!WI5-120</f>
        <v/>
      </c>
      <c r="WJ5" s="52">
        <f>BALANCING!WJ5-120</f>
        <v/>
      </c>
      <c r="WK5" s="52">
        <f>BALANCING!WK5-120</f>
        <v/>
      </c>
      <c r="WL5" s="52">
        <f>BALANCING!WL5-120</f>
        <v/>
      </c>
      <c r="WM5" s="52">
        <f>BALANCING!WM5-120</f>
        <v/>
      </c>
      <c r="WN5" s="52">
        <f>BALANCING!WN5-120</f>
        <v/>
      </c>
      <c r="WO5" s="52">
        <f>BALANCING!WO5-120</f>
        <v/>
      </c>
      <c r="WP5" s="52">
        <f>BALANCING!WP5-120</f>
        <v/>
      </c>
      <c r="WQ5" s="52">
        <f>BALANCING!WQ5-120</f>
        <v/>
      </c>
      <c r="WR5" s="52">
        <f>BALANCING!WR5-120</f>
        <v/>
      </c>
      <c r="WS5" s="52">
        <f>BALANCING!WS5-120</f>
        <v/>
      </c>
      <c r="WT5" s="52">
        <f>BALANCING!WT5-120</f>
        <v/>
      </c>
      <c r="WU5" s="52">
        <f>BALANCING!WU5-120</f>
        <v/>
      </c>
      <c r="WV5" s="52">
        <f>BALANCING!WV5-120</f>
        <v/>
      </c>
      <c r="WW5" s="52">
        <f>BALANCING!WW5-120</f>
        <v/>
      </c>
      <c r="WX5" s="52">
        <f>BALANCING!WX5-120</f>
        <v/>
      </c>
      <c r="WY5" s="52">
        <f>BALANCING!WY5-120</f>
        <v/>
      </c>
      <c r="WZ5" s="52">
        <f>BALANCING!WZ5-120</f>
        <v/>
      </c>
      <c r="XA5" s="52">
        <f>BALANCING!XA5-120</f>
        <v/>
      </c>
      <c r="XB5" s="52">
        <f>BALANCING!XB5-120</f>
        <v/>
      </c>
      <c r="XC5" s="52">
        <f>BALANCING!XC5-120</f>
        <v/>
      </c>
      <c r="XD5" s="52">
        <f>BALANCING!XD5-120</f>
        <v/>
      </c>
      <c r="XE5" s="52">
        <f>BALANCING!XE5-120</f>
        <v/>
      </c>
      <c r="XF5" s="52">
        <f>BALANCING!XF5-120</f>
        <v/>
      </c>
      <c r="XG5" s="139" t="n"/>
      <c r="XH5" s="52">
        <f>BALANCING!XH5-120</f>
        <v/>
      </c>
      <c r="XI5" s="52">
        <f>BALANCING!XI5-120</f>
        <v/>
      </c>
      <c r="XJ5" s="52">
        <f>BALANCING!XJ5-120</f>
        <v/>
      </c>
      <c r="XK5" s="52">
        <f>BALANCING!XK5-120</f>
        <v/>
      </c>
      <c r="XL5" s="52">
        <f>BALANCING!XL5-120</f>
        <v/>
      </c>
      <c r="XM5" s="52">
        <f>BALANCING!XM5-120</f>
        <v/>
      </c>
      <c r="XN5" s="52">
        <f>BALANCING!XN5-120</f>
        <v/>
      </c>
      <c r="XO5" s="52">
        <f>BALANCING!XO5-120</f>
        <v/>
      </c>
      <c r="XP5" s="52">
        <f>BALANCING!XP5-120</f>
        <v/>
      </c>
      <c r="XQ5" s="52">
        <f>BALANCING!XQ5-120</f>
        <v/>
      </c>
      <c r="XR5" s="52">
        <f>BALANCING!XR5-120</f>
        <v/>
      </c>
      <c r="XS5" s="52">
        <f>BALANCING!XS5-120</f>
        <v/>
      </c>
      <c r="XT5" s="52">
        <f>BALANCING!XT5-120</f>
        <v/>
      </c>
      <c r="XU5" s="52">
        <f>BALANCING!XU5-120</f>
        <v/>
      </c>
      <c r="XV5" s="52">
        <f>BALANCING!XV5-120</f>
        <v/>
      </c>
      <c r="XW5" s="52">
        <f>BALANCING!XW5-120</f>
        <v/>
      </c>
      <c r="XX5" s="52">
        <f>BALANCING!XX5-120</f>
        <v/>
      </c>
      <c r="XY5" s="52">
        <f>BALANCING!XY5-120</f>
        <v/>
      </c>
      <c r="XZ5" s="52">
        <f>BALANCING!XZ5-120</f>
        <v/>
      </c>
      <c r="YA5" s="52">
        <f>BALANCING!YA5-120</f>
        <v/>
      </c>
      <c r="YB5" s="52">
        <f>BALANCING!YB5-120</f>
        <v/>
      </c>
      <c r="YC5" s="52">
        <f>BALANCING!YC5-120</f>
        <v/>
      </c>
      <c r="YD5" s="52">
        <f>BALANCING!YD5-120</f>
        <v/>
      </c>
      <c r="YE5" s="52">
        <f>BALANCING!YE5-120</f>
        <v/>
      </c>
      <c r="YF5" s="52">
        <f>BALANCING!YF5-120</f>
        <v/>
      </c>
      <c r="YG5" s="52">
        <f>BALANCING!YG5-120</f>
        <v/>
      </c>
      <c r="YH5" s="52">
        <f>BALANCING!YH5-120</f>
        <v/>
      </c>
      <c r="YI5" s="52">
        <f>BALANCING!YI5-120</f>
        <v/>
      </c>
      <c r="YJ5" s="52">
        <f>BALANCING!YJ5-120</f>
        <v/>
      </c>
      <c r="YK5" s="52">
        <f>BALANCING!YK5-120</f>
        <v/>
      </c>
      <c r="YL5" s="130" t="n"/>
      <c r="YM5" s="52">
        <f>BALANCING!YM5-120</f>
        <v/>
      </c>
      <c r="YN5" s="52">
        <f>BALANCING!YN5-120</f>
        <v/>
      </c>
      <c r="YO5" s="52">
        <f>BALANCING!YO5-120</f>
        <v/>
      </c>
      <c r="YP5" s="52">
        <f>BALANCING!YP5-120</f>
        <v/>
      </c>
      <c r="YQ5" s="52">
        <f>BALANCING!YQ5-120</f>
        <v/>
      </c>
      <c r="YR5" s="52">
        <f>BALANCING!YR5-120</f>
        <v/>
      </c>
      <c r="YS5" s="52">
        <f>BALANCING!YS5-120</f>
        <v/>
      </c>
      <c r="YT5" s="52">
        <f>BALANCING!YT5-120</f>
        <v/>
      </c>
      <c r="YU5" s="52">
        <f>BALANCING!YU5-120</f>
        <v/>
      </c>
      <c r="YV5" s="52">
        <f>BALANCING!YV5-120</f>
        <v/>
      </c>
      <c r="YW5" s="52">
        <f>BALANCING!YW5-120</f>
        <v/>
      </c>
      <c r="YX5" s="52">
        <f>BALANCING!YX5-120</f>
        <v/>
      </c>
      <c r="YY5" s="52">
        <f>BALANCING!YY5-120</f>
        <v/>
      </c>
      <c r="YZ5" s="52">
        <f>BALANCING!YZ5-120</f>
        <v/>
      </c>
      <c r="ZA5" s="52">
        <f>BALANCING!ZA5-120</f>
        <v/>
      </c>
      <c r="ZB5" s="52">
        <f>BALANCING!ZB5-120</f>
        <v/>
      </c>
      <c r="ZC5" s="52">
        <f>BALANCING!ZC5-120</f>
        <v/>
      </c>
      <c r="ZD5" s="52">
        <f>BALANCING!ZD5-120</f>
        <v/>
      </c>
      <c r="ZE5" s="52">
        <f>BALANCING!ZE5-120</f>
        <v/>
      </c>
      <c r="ZF5" s="52">
        <f>BALANCING!ZF5-120</f>
        <v/>
      </c>
      <c r="ZG5" s="52">
        <f>BALANCING!ZG5-120</f>
        <v/>
      </c>
      <c r="ZH5" s="52">
        <f>BALANCING!ZH5-120</f>
        <v/>
      </c>
      <c r="ZI5" s="52">
        <f>BALANCING!ZI5-120</f>
        <v/>
      </c>
      <c r="ZJ5" s="52">
        <f>BALANCING!ZJ5-120</f>
        <v/>
      </c>
      <c r="ZK5" s="52">
        <f>BALANCING!ZK5-120</f>
        <v/>
      </c>
      <c r="ZL5" s="52">
        <f>BALANCING!ZL5-120</f>
        <v/>
      </c>
      <c r="ZM5" s="52">
        <f>BALANCING!ZM5-120</f>
        <v/>
      </c>
      <c r="ZN5" s="52">
        <f>BALANCING!ZN5-120</f>
        <v/>
      </c>
      <c r="ZO5" s="52">
        <f>BALANCING!ZO5-120</f>
        <v/>
      </c>
      <c r="ZP5" s="52">
        <f>BALANCING!ZP5-120</f>
        <v/>
      </c>
      <c r="ZQ5" s="52">
        <f>BALANCING!ZQ5-120</f>
        <v/>
      </c>
      <c r="ZR5" s="130" t="n"/>
      <c r="ZS5" s="52">
        <f>BALANCING!ZS5-120</f>
        <v/>
      </c>
      <c r="ZT5" s="52">
        <f>BALANCING!ZT5-120</f>
        <v/>
      </c>
      <c r="ZU5" s="52">
        <f>BALANCING!ZU5-120</f>
        <v/>
      </c>
      <c r="ZV5" s="52">
        <f>BALANCING!ZV5-120</f>
        <v/>
      </c>
      <c r="ZW5" s="52">
        <f>BALANCING!ZW5-120</f>
        <v/>
      </c>
      <c r="ZX5" s="52">
        <f>BALANCING!ZX5-120</f>
        <v/>
      </c>
      <c r="ZY5" s="52">
        <f>BALANCING!ZY5-120</f>
        <v/>
      </c>
      <c r="ZZ5" s="52">
        <f>BALANCING!ZZ5-120</f>
        <v/>
      </c>
      <c r="AAA5" s="52">
        <f>BALANCING!AAA5-120</f>
        <v/>
      </c>
      <c r="AAB5" s="52">
        <f>BALANCING!AAB5-120</f>
        <v/>
      </c>
      <c r="AAC5" s="52">
        <f>BALANCING!AAC5-120</f>
        <v/>
      </c>
      <c r="AAD5" s="52">
        <f>BALANCING!AAD5-120</f>
        <v/>
      </c>
      <c r="AAE5" s="52">
        <f>BALANCING!AAE5-120</f>
        <v/>
      </c>
      <c r="AAF5" s="52">
        <f>BALANCING!AAF5-120</f>
        <v/>
      </c>
      <c r="AAG5" s="52">
        <f>BALANCING!AAG5-120</f>
        <v/>
      </c>
      <c r="AAH5" s="52">
        <f>BALANCING!AAH5-120</f>
        <v/>
      </c>
      <c r="AAI5" s="52">
        <f>BALANCING!AAI5-120</f>
        <v/>
      </c>
      <c r="AAJ5" s="52">
        <f>BALANCING!AAJ5-120</f>
        <v/>
      </c>
      <c r="AAK5" s="52">
        <f>BALANCING!AAK5-120</f>
        <v/>
      </c>
      <c r="AAL5" s="52">
        <f>BALANCING!AAL5-120</f>
        <v/>
      </c>
      <c r="AAM5" s="52">
        <f>BALANCING!AAM5-120</f>
        <v/>
      </c>
      <c r="AAN5" s="52">
        <f>BALANCING!AAN5-120</f>
        <v/>
      </c>
      <c r="AAO5" s="52">
        <f>BALANCING!AAO5-120</f>
        <v/>
      </c>
      <c r="AAP5" s="52">
        <f>BALANCING!AAP5-120</f>
        <v/>
      </c>
      <c r="AAQ5" s="52">
        <f>BALANCING!AAQ5-120</f>
        <v/>
      </c>
      <c r="AAR5" s="52">
        <f>BALANCING!AAR5-120</f>
        <v/>
      </c>
      <c r="AAS5" s="52">
        <f>BALANCING!AAS5-120</f>
        <v/>
      </c>
      <c r="AAT5" s="52">
        <f>BALANCING!AAT5-120</f>
        <v/>
      </c>
      <c r="AAU5" s="52">
        <f>BALANCING!AAU5-120</f>
        <v/>
      </c>
      <c r="AAV5" s="52">
        <f>BALANCING!AAV5-120</f>
        <v/>
      </c>
      <c r="AAW5" s="130" t="n"/>
      <c r="AAX5" s="52">
        <f>BALANCING!AAX5-120</f>
        <v/>
      </c>
      <c r="AAY5" s="52">
        <f>BALANCING!AAY5-120</f>
        <v/>
      </c>
      <c r="AAZ5" s="52">
        <f>BALANCING!AAZ5-120</f>
        <v/>
      </c>
      <c r="ABA5" s="52">
        <f>BALANCING!ABA5-120</f>
        <v/>
      </c>
      <c r="ABB5" s="52">
        <f>BALANCING!ABB5-120</f>
        <v/>
      </c>
      <c r="ABC5" s="52">
        <f>BALANCING!ABC5-120</f>
        <v/>
      </c>
      <c r="ABD5" s="52">
        <f>BALANCING!ABD5-120</f>
        <v/>
      </c>
      <c r="ABE5" s="52">
        <f>BALANCING!ABE5-120</f>
        <v/>
      </c>
      <c r="ABF5" s="52">
        <f>BALANCING!ABF5-120</f>
        <v/>
      </c>
      <c r="ABG5" s="52">
        <f>BALANCING!ABG5-120</f>
        <v/>
      </c>
      <c r="ABH5" s="52">
        <f>BALANCING!ABH5-120</f>
        <v/>
      </c>
      <c r="ABI5" s="52">
        <f>BALANCING!ABI5-120</f>
        <v/>
      </c>
      <c r="ABJ5" s="52">
        <f>BALANCING!ABJ5-120</f>
        <v/>
      </c>
      <c r="ABK5" s="52">
        <f>BALANCING!ABK5-120</f>
        <v/>
      </c>
      <c r="ABL5" s="52">
        <f>BALANCING!ABL5-120</f>
        <v/>
      </c>
      <c r="ABM5" s="52">
        <f>BALANCING!ABM5-120</f>
        <v/>
      </c>
      <c r="ABN5" s="52">
        <f>BALANCING!ABN5-120</f>
        <v/>
      </c>
      <c r="ABO5" s="52">
        <f>BALANCING!ABO5-120</f>
        <v/>
      </c>
      <c r="ABP5" s="52">
        <f>BALANCING!ABP5-120</f>
        <v/>
      </c>
      <c r="ABQ5" s="52">
        <f>BALANCING!ABQ5-120</f>
        <v/>
      </c>
      <c r="ABR5" s="52">
        <f>BALANCING!ABR5-120</f>
        <v/>
      </c>
      <c r="ABS5" s="52">
        <f>BALANCING!ABS5-120</f>
        <v/>
      </c>
      <c r="ABT5" s="52">
        <f>BALANCING!ABT5-120</f>
        <v/>
      </c>
      <c r="ABU5" s="52">
        <f>BALANCING!ABU5-120</f>
        <v/>
      </c>
      <c r="ABV5" s="52">
        <f>BALANCING!ABV5-120</f>
        <v/>
      </c>
      <c r="ABW5" s="52">
        <f>BALANCING!ABW5-120</f>
        <v/>
      </c>
      <c r="ABX5" s="52">
        <f>BALANCING!ABX5-120</f>
        <v/>
      </c>
      <c r="ABY5" s="52">
        <f>BALANCING!ABY5-120</f>
        <v/>
      </c>
      <c r="ABZ5" s="52">
        <f>BALANCING!ABZ5-120</f>
        <v/>
      </c>
      <c r="ACA5" s="52">
        <f>BALANCING!ACA5-120</f>
        <v/>
      </c>
      <c r="ACB5" s="52">
        <f>BALANCING!ACB5-120</f>
        <v/>
      </c>
      <c r="ACC5" s="130" t="n"/>
      <c r="ACD5" s="52">
        <f>BALANCING!ACD5-120</f>
        <v/>
      </c>
      <c r="ACE5" s="52">
        <f>BALANCING!ACE5-120</f>
        <v/>
      </c>
      <c r="ACF5" s="52">
        <f>BALANCING!ACF5-120</f>
        <v/>
      </c>
      <c r="ACG5" s="52">
        <f>BALANCING!ACG5-120</f>
        <v/>
      </c>
      <c r="ACH5" s="52">
        <f>BALANCING!ACH5-120</f>
        <v/>
      </c>
      <c r="ACI5" s="52">
        <f>BALANCING!ACI5-120</f>
        <v/>
      </c>
      <c r="ACJ5" s="52">
        <f>BALANCING!ACJ5-120</f>
        <v/>
      </c>
      <c r="ACK5" s="52">
        <f>BALANCING!ACK5-120</f>
        <v/>
      </c>
      <c r="ACL5" s="52">
        <f>BALANCING!ACL5-120</f>
        <v/>
      </c>
      <c r="ACM5" s="52">
        <f>BALANCING!ACM5-120</f>
        <v/>
      </c>
      <c r="ACN5" s="52">
        <f>BALANCING!ACN5-120</f>
        <v/>
      </c>
      <c r="ACO5" s="52">
        <f>BALANCING!ACO5-120</f>
        <v/>
      </c>
      <c r="ACP5" s="52">
        <f>BALANCING!ACP5-120</f>
        <v/>
      </c>
      <c r="ACQ5" s="52">
        <f>BALANCING!ACQ5-120</f>
        <v/>
      </c>
      <c r="ACR5" s="52">
        <f>BALANCING!ACR5-120</f>
        <v/>
      </c>
      <c r="ACS5" s="52">
        <f>BALANCING!ACS5-120</f>
        <v/>
      </c>
      <c r="ACT5" s="52">
        <f>BALANCING!ACT5-120</f>
        <v/>
      </c>
      <c r="ACU5" s="52">
        <f>BALANCING!ACU5-120</f>
        <v/>
      </c>
      <c r="ACV5" s="52">
        <f>BALANCING!ACV5-120</f>
        <v/>
      </c>
      <c r="ACW5" s="52">
        <f>BALANCING!ACW5-120</f>
        <v/>
      </c>
      <c r="ACX5" s="52">
        <f>BALANCING!ACX5-120</f>
        <v/>
      </c>
      <c r="ACY5" s="52">
        <f>BALANCING!ACY5-120</f>
        <v/>
      </c>
      <c r="ACZ5" s="52">
        <f>BALANCING!ACZ5-120</f>
        <v/>
      </c>
      <c r="ADA5" s="52">
        <f>BALANCING!ADA5-120</f>
        <v/>
      </c>
      <c r="ADB5" s="52">
        <f>BALANCING!ADB5-120</f>
        <v/>
      </c>
      <c r="ADC5" s="52">
        <f>BALANCING!ADC5-120</f>
        <v/>
      </c>
      <c r="ADD5" s="52">
        <f>BALANCING!ADD5-120</f>
        <v/>
      </c>
      <c r="ADE5" s="52">
        <f>BALANCING!ADE5-120</f>
        <v/>
      </c>
      <c r="ADF5" s="52">
        <f>BALANCING!ADF5-120</f>
        <v/>
      </c>
      <c r="ADG5" s="52">
        <f>BALANCING!ADG5-120</f>
        <v/>
      </c>
      <c r="ADH5" s="52">
        <f>BALANCING!ADH5-120</f>
        <v/>
      </c>
      <c r="ADI5" s="130" t="n"/>
      <c r="ADJ5" s="52">
        <f>BALANCING!ADJ5-120</f>
        <v/>
      </c>
      <c r="ADK5" s="52">
        <f>BALANCING!ADK5-120</f>
        <v/>
      </c>
      <c r="ADL5" s="52">
        <f>BALANCING!ADL5-120</f>
        <v/>
      </c>
      <c r="ADM5" s="52">
        <f>BALANCING!ADM5-120</f>
        <v/>
      </c>
      <c r="ADN5" s="52">
        <f>BALANCING!ADN5-120</f>
        <v/>
      </c>
      <c r="ADO5" s="52">
        <f>BALANCING!ADO5-120</f>
        <v/>
      </c>
      <c r="ADP5" s="52">
        <f>BALANCING!ADP5-120</f>
        <v/>
      </c>
      <c r="ADQ5" s="52">
        <f>BALANCING!ADQ5-120</f>
        <v/>
      </c>
      <c r="ADR5" s="52">
        <f>BALANCING!ADR5-120</f>
        <v/>
      </c>
      <c r="ADS5" s="52">
        <f>BALANCING!ADS5-120</f>
        <v/>
      </c>
      <c r="ADT5" s="52">
        <f>BALANCING!ADT5-120</f>
        <v/>
      </c>
      <c r="ADU5" s="52">
        <f>BALANCING!ADU5-120</f>
        <v/>
      </c>
      <c r="ADV5" s="52">
        <f>BALANCING!ADV5-120</f>
        <v/>
      </c>
      <c r="ADW5" s="52">
        <f>BALANCING!ADW5-120</f>
        <v/>
      </c>
      <c r="ADX5" s="52">
        <f>BALANCING!ADX5-120</f>
        <v/>
      </c>
      <c r="ADY5" s="52">
        <f>BALANCING!ADY5-120</f>
        <v/>
      </c>
      <c r="ADZ5" s="52">
        <f>BALANCING!ADZ5-120</f>
        <v/>
      </c>
      <c r="AEA5" s="52">
        <f>BALANCING!AEA5-120</f>
        <v/>
      </c>
      <c r="AEB5" s="52">
        <f>BALANCING!AEB5-120</f>
        <v/>
      </c>
      <c r="AEC5" s="52">
        <f>BALANCING!AEC5-120</f>
        <v/>
      </c>
      <c r="AED5" s="52">
        <f>BALANCING!AED5-120</f>
        <v/>
      </c>
      <c r="AEE5" s="52">
        <f>BALANCING!AEE5-120</f>
        <v/>
      </c>
      <c r="AEF5" s="52">
        <f>BALANCING!AEF5-120</f>
        <v/>
      </c>
      <c r="AEG5" s="52">
        <f>BALANCING!AEG5-120</f>
        <v/>
      </c>
      <c r="AEH5" s="52">
        <f>BALANCING!AEH5-120</f>
        <v/>
      </c>
      <c r="AEI5" s="52">
        <f>BALANCING!AEI5-120</f>
        <v/>
      </c>
      <c r="AEJ5" s="52">
        <f>BALANCING!AEJ5-120</f>
        <v/>
      </c>
      <c r="AEK5" s="52">
        <f>BALANCING!AEK5-120</f>
        <v/>
      </c>
      <c r="AEL5" s="52">
        <f>BALANCING!AEL5-120</f>
        <v/>
      </c>
      <c r="AEM5" s="52">
        <f>BALANCING!AEM5-120</f>
        <v/>
      </c>
      <c r="AEN5" s="130" t="n"/>
      <c r="AEO5" s="52">
        <f>BALANCING!AEO5-120</f>
        <v/>
      </c>
      <c r="AEP5" s="52">
        <f>BALANCING!AEP5-120</f>
        <v/>
      </c>
      <c r="AEQ5" s="52">
        <f>BALANCING!AEQ5-120</f>
        <v/>
      </c>
      <c r="AER5" s="52">
        <f>BALANCING!AER5-120</f>
        <v/>
      </c>
      <c r="AES5" s="52">
        <f>BALANCING!AES5-120</f>
        <v/>
      </c>
      <c r="AET5" s="52">
        <f>BALANCING!AET5-120</f>
        <v/>
      </c>
      <c r="AEU5" s="52">
        <f>BALANCING!AEU5-120</f>
        <v/>
      </c>
      <c r="AEV5" s="52">
        <f>BALANCING!AEV5-120</f>
        <v/>
      </c>
      <c r="AEW5" s="52">
        <f>BALANCING!AEW5-120</f>
        <v/>
      </c>
      <c r="AEX5" s="52">
        <f>BALANCING!AEX5-120</f>
        <v/>
      </c>
      <c r="AEY5" s="52">
        <f>BALANCING!AEY5-120</f>
        <v/>
      </c>
      <c r="AEZ5" s="52">
        <f>BALANCING!AEZ5-120</f>
        <v/>
      </c>
      <c r="AFA5" s="52">
        <f>BALANCING!AFA5-120</f>
        <v/>
      </c>
      <c r="AFB5" s="52">
        <f>BALANCING!AFB5-120</f>
        <v/>
      </c>
      <c r="AFC5" s="52">
        <f>BALANCING!AFC5-120</f>
        <v/>
      </c>
      <c r="AFD5" s="52">
        <f>BALANCING!AFD5-120</f>
        <v/>
      </c>
      <c r="AFE5" s="52">
        <f>BALANCING!AFE5-120</f>
        <v/>
      </c>
      <c r="AFF5" s="52">
        <f>BALANCING!AFF5-120</f>
        <v/>
      </c>
      <c r="AFG5" s="52">
        <f>BALANCING!AFG5-120</f>
        <v/>
      </c>
      <c r="AFH5" s="52">
        <f>BALANCING!AFH5-120</f>
        <v/>
      </c>
      <c r="AFI5" s="52">
        <f>BALANCING!AFI5-120</f>
        <v/>
      </c>
      <c r="AFJ5" s="52">
        <f>BALANCING!AFJ5-120</f>
        <v/>
      </c>
      <c r="AFK5" s="52">
        <f>BALANCING!AFK5-120</f>
        <v/>
      </c>
      <c r="AFL5" s="52">
        <f>BALANCING!AFL5-120</f>
        <v/>
      </c>
      <c r="AFM5" s="52">
        <f>BALANCING!AFM5-120</f>
        <v/>
      </c>
      <c r="AFN5" s="52">
        <f>BALANCING!AFN5-120</f>
        <v/>
      </c>
      <c r="AFO5" s="52">
        <f>BALANCING!AFO5-120</f>
        <v/>
      </c>
      <c r="AFP5" s="52">
        <f>BALANCING!AFP5-120</f>
        <v/>
      </c>
      <c r="AFQ5" s="52">
        <f>BALANCING!AFQ5-120</f>
        <v/>
      </c>
      <c r="AFR5" s="52">
        <f>BALANCING!AFR5-120</f>
        <v/>
      </c>
      <c r="AFS5" s="52">
        <f>BALANCING!AFS5-120</f>
        <v/>
      </c>
      <c r="AFT5" s="130" t="n"/>
      <c r="AFU5" s="52">
        <f>BALANCING!AFU5-120</f>
        <v/>
      </c>
      <c r="AFV5" s="52">
        <f>BALANCING!AFV5-120</f>
        <v/>
      </c>
      <c r="AFW5" s="52">
        <f>BALANCING!AFW5-120</f>
        <v/>
      </c>
      <c r="AFX5" s="52">
        <f>BALANCING!AFX5-120</f>
        <v/>
      </c>
      <c r="AFY5" s="52">
        <f>BALANCING!AFY5-120</f>
        <v/>
      </c>
      <c r="AFZ5" s="52">
        <f>BALANCING!AFZ5-120</f>
        <v/>
      </c>
      <c r="AGA5" s="52">
        <f>BALANCING!AGA5-120</f>
        <v/>
      </c>
      <c r="AGB5" s="52">
        <f>BALANCING!AGB5-120</f>
        <v/>
      </c>
      <c r="AGC5" s="52">
        <f>BALANCING!AGC5-120</f>
        <v/>
      </c>
      <c r="AGD5" s="52">
        <f>BALANCING!AGD5-120</f>
        <v/>
      </c>
      <c r="AGE5" s="52">
        <f>BALANCING!AGE5-120</f>
        <v/>
      </c>
      <c r="AGF5" s="52">
        <f>BALANCING!AGF5-120</f>
        <v/>
      </c>
      <c r="AGG5" s="52">
        <f>BALANCING!AGG5-120</f>
        <v/>
      </c>
      <c r="AGH5" s="52">
        <f>BALANCING!AGH5-120</f>
        <v/>
      </c>
      <c r="AGI5" s="52">
        <f>BALANCING!AGI5-120</f>
        <v/>
      </c>
      <c r="AGJ5" s="52">
        <f>BALANCING!AGJ5-120</f>
        <v/>
      </c>
      <c r="AGK5" s="52">
        <f>BALANCING!AGK5-120</f>
        <v/>
      </c>
      <c r="AGL5" s="52">
        <f>BALANCING!AGL5-120</f>
        <v/>
      </c>
      <c r="AGM5" s="52">
        <f>BALANCING!AGM5-120</f>
        <v/>
      </c>
      <c r="AGN5" s="52">
        <f>BALANCING!AGN5-120</f>
        <v/>
      </c>
      <c r="AGO5" s="52">
        <f>BALANCING!AGO5-120</f>
        <v/>
      </c>
      <c r="AGP5" s="52">
        <f>BALANCING!AGP5-120</f>
        <v/>
      </c>
      <c r="AGQ5" s="52">
        <f>BALANCING!AGQ5-120</f>
        <v/>
      </c>
      <c r="AGR5" s="52">
        <f>BALANCING!AGR5-120</f>
        <v/>
      </c>
      <c r="AGS5" s="52">
        <f>BALANCING!AGS5-120</f>
        <v/>
      </c>
      <c r="AGT5" s="52">
        <f>BALANCING!AGT5-120</f>
        <v/>
      </c>
      <c r="AGU5" s="52">
        <f>BALANCING!AGU5-120</f>
        <v/>
      </c>
      <c r="AGV5" s="52">
        <f>BALANCING!AGV5-120</f>
        <v/>
      </c>
      <c r="AGW5" s="52">
        <f>BALANCING!AGW5-120</f>
        <v/>
      </c>
      <c r="AGX5" s="52">
        <f>BALANCING!AGX5-120</f>
        <v/>
      </c>
      <c r="AGY5" s="139" t="n"/>
      <c r="AGZ5" s="52">
        <f>BALANCING!AGZ5-120</f>
        <v/>
      </c>
      <c r="AHA5" s="52">
        <f>BALANCING!AHA5-120</f>
        <v/>
      </c>
      <c r="AHB5" s="52">
        <f>BALANCING!AHB5-120</f>
        <v/>
      </c>
      <c r="AHC5" s="52">
        <f>BALANCING!AHC5-120</f>
        <v/>
      </c>
      <c r="AHD5" s="52">
        <f>BALANCING!AHD5-120</f>
        <v/>
      </c>
      <c r="AHE5" s="52">
        <f>BALANCING!AHE5-120</f>
        <v/>
      </c>
      <c r="AHF5" s="52">
        <f>BALANCING!AHF5-120</f>
        <v/>
      </c>
      <c r="AHG5" s="52">
        <f>BALANCING!AHG5-120</f>
        <v/>
      </c>
      <c r="AHH5" s="52">
        <f>BALANCING!AHH5-120</f>
        <v/>
      </c>
      <c r="AHI5" s="52">
        <f>BALANCING!AHI5-120</f>
        <v/>
      </c>
      <c r="AHJ5" s="52">
        <f>BALANCING!AHJ5-120</f>
        <v/>
      </c>
      <c r="AHK5" s="52">
        <f>BALANCING!AHK5-120</f>
        <v/>
      </c>
      <c r="AHL5" s="52">
        <f>BALANCING!AHL5-120</f>
        <v/>
      </c>
      <c r="AHM5" s="52">
        <f>BALANCING!AHM5-120</f>
        <v/>
      </c>
      <c r="AHN5" s="52">
        <f>BALANCING!AHN5-120</f>
        <v/>
      </c>
      <c r="AHO5" s="52">
        <f>BALANCING!AHO5-120</f>
        <v/>
      </c>
      <c r="AHP5" s="52">
        <f>BALANCING!AHP5-120</f>
        <v/>
      </c>
      <c r="AHQ5" s="52">
        <f>BALANCING!AHQ5-120</f>
        <v/>
      </c>
      <c r="AHR5" s="52">
        <f>BALANCING!AHR5-120</f>
        <v/>
      </c>
      <c r="AHS5" s="52">
        <f>BALANCING!AHS5-120</f>
        <v/>
      </c>
      <c r="AHT5" s="52">
        <f>BALANCING!AHT5-120</f>
        <v/>
      </c>
      <c r="AHU5" s="52">
        <f>BALANCING!AHU5-120</f>
        <v/>
      </c>
      <c r="AHV5" s="52">
        <f>BALANCING!AHV5-120</f>
        <v/>
      </c>
      <c r="AHW5" s="52">
        <f>BALANCING!AHW5-120</f>
        <v/>
      </c>
      <c r="AHX5" s="52">
        <f>BALANCING!AHX5-120</f>
        <v/>
      </c>
      <c r="AHY5" s="52">
        <f>BALANCING!AHY5-120</f>
        <v/>
      </c>
      <c r="AHZ5" s="52">
        <f>BALANCING!AHZ5-120</f>
        <v/>
      </c>
      <c r="AIA5" s="52">
        <f>BALANCING!AIA5-120</f>
        <v/>
      </c>
      <c r="AIB5" s="52">
        <f>BALANCING!AIB5-120</f>
        <v/>
      </c>
      <c r="AIC5" s="52">
        <f>BALANCING!AIC5-120</f>
        <v/>
      </c>
      <c r="AID5" s="52">
        <f>BALANCING!AID5-120</f>
        <v/>
      </c>
      <c r="AIE5" s="130" t="n"/>
      <c r="AIF5" s="52">
        <f>BALANCING!AIF5-120</f>
        <v/>
      </c>
      <c r="AIG5" s="52">
        <f>BALANCING!AIG5-120</f>
        <v/>
      </c>
      <c r="AIH5" s="52">
        <f>BALANCING!AIH5-120</f>
        <v/>
      </c>
      <c r="AII5" s="52">
        <f>BALANCING!AII5-120</f>
        <v/>
      </c>
      <c r="AIJ5" s="52">
        <f>BALANCING!AIJ5-120</f>
        <v/>
      </c>
      <c r="AIK5" s="52">
        <f>BALANCING!AIK5-120</f>
        <v/>
      </c>
      <c r="AIL5" s="52">
        <f>BALANCING!AIL5-120</f>
        <v/>
      </c>
      <c r="AIM5" s="52">
        <f>BALANCING!AIM5-120</f>
        <v/>
      </c>
      <c r="AIN5" s="52">
        <f>BALANCING!AIN5-120</f>
        <v/>
      </c>
      <c r="AIO5" s="52">
        <f>BALANCING!AIO5-120</f>
        <v/>
      </c>
      <c r="AIP5" s="52">
        <f>BALANCING!AIP5-120</f>
        <v/>
      </c>
      <c r="AIQ5" s="52">
        <f>BALANCING!AIQ5-120</f>
        <v/>
      </c>
      <c r="AIR5" s="52">
        <f>BALANCING!AIR5-120</f>
        <v/>
      </c>
      <c r="AIS5" s="52">
        <f>BALANCING!AIS5-120</f>
        <v/>
      </c>
      <c r="AIT5" s="52">
        <f>BALANCING!AIT5-120</f>
        <v/>
      </c>
      <c r="AIU5" s="52">
        <f>BALANCING!AIU5-120</f>
        <v/>
      </c>
      <c r="AIV5" s="52">
        <f>BALANCING!AIV5-120</f>
        <v/>
      </c>
      <c r="AIW5" s="52">
        <f>BALANCING!AIW5-120</f>
        <v/>
      </c>
      <c r="AIX5" s="52">
        <f>BALANCING!AIX5-120</f>
        <v/>
      </c>
      <c r="AIY5" s="52">
        <f>BALANCING!AIY5-120</f>
        <v/>
      </c>
      <c r="AIZ5" s="52">
        <f>BALANCING!AIZ5-120</f>
        <v/>
      </c>
      <c r="AJA5" s="52">
        <f>BALANCING!AJA5-120</f>
        <v/>
      </c>
      <c r="AJB5" s="52">
        <f>BALANCING!AJB5-120</f>
        <v/>
      </c>
      <c r="AJC5" s="52">
        <f>BALANCING!AJC5-120</f>
        <v/>
      </c>
      <c r="AJD5" s="52">
        <f>BALANCING!AJD5-120</f>
        <v/>
      </c>
      <c r="AJE5" s="52">
        <f>BALANCING!AJE5-120</f>
        <v/>
      </c>
      <c r="AJF5" s="52">
        <f>BALANCING!AJF5-120</f>
        <v/>
      </c>
      <c r="AJG5" s="52">
        <f>BALANCING!AJG5-120</f>
        <v/>
      </c>
      <c r="AJH5" s="52">
        <f>BALANCING!AJH5-120</f>
        <v/>
      </c>
      <c r="AJI5" s="52">
        <f>BALANCING!AJI5-120</f>
        <v/>
      </c>
      <c r="AJJ5" s="52">
        <f>BALANCING!AJJ5-120</f>
        <v/>
      </c>
      <c r="AJK5" s="145" t="n"/>
      <c r="AJL5" s="52">
        <f>BALANCING!AJL5-120</f>
        <v/>
      </c>
      <c r="AJM5" s="52">
        <f>BALANCING!AJM5-120</f>
        <v/>
      </c>
      <c r="AJN5" s="52">
        <f>BALANCING!AJN5-120</f>
        <v/>
      </c>
      <c r="AJO5" s="52">
        <f>BALANCING!AJO5-120</f>
        <v/>
      </c>
      <c r="AJP5" s="52">
        <f>BALANCING!AJP5-120</f>
        <v/>
      </c>
      <c r="AJQ5" s="52">
        <f>BALANCING!AJQ5-120</f>
        <v/>
      </c>
      <c r="AJR5" s="52">
        <f>BALANCING!AJR5-120</f>
        <v/>
      </c>
      <c r="AJS5" s="52">
        <f>BALANCING!AJS5-120</f>
        <v/>
      </c>
      <c r="AJT5" s="52">
        <f>BALANCING!AJT5-120</f>
        <v/>
      </c>
      <c r="AJU5" s="52">
        <f>BALANCING!AJU5-120</f>
        <v/>
      </c>
      <c r="AJV5" s="52">
        <f>BALANCING!AJV5-120</f>
        <v/>
      </c>
      <c r="AJW5" s="52">
        <f>BALANCING!AJW5-120</f>
        <v/>
      </c>
      <c r="AJX5" s="52">
        <f>BALANCING!AJX5-120</f>
        <v/>
      </c>
      <c r="AJY5" s="52">
        <f>BALANCING!AJY5-120</f>
        <v/>
      </c>
      <c r="AJZ5" s="52">
        <f>BALANCING!AJZ5-120</f>
        <v/>
      </c>
      <c r="AKA5" s="52">
        <f>BALANCING!AKA5-120</f>
        <v/>
      </c>
      <c r="AKB5" s="52">
        <f>BALANCING!AKB5-120</f>
        <v/>
      </c>
      <c r="AKC5" s="52">
        <f>BALANCING!AKC5-120</f>
        <v/>
      </c>
      <c r="AKD5" s="52">
        <f>BALANCING!AKD5-120</f>
        <v/>
      </c>
      <c r="AKE5" s="52">
        <f>BALANCING!AKE5-120</f>
        <v/>
      </c>
      <c r="AKF5" s="52">
        <f>BALANCING!AKF5-120</f>
        <v/>
      </c>
      <c r="AKG5" s="52">
        <f>BALANCING!AKG5-120</f>
        <v/>
      </c>
      <c r="AKH5" s="52">
        <f>BALANCING!AKH5-120</f>
        <v/>
      </c>
      <c r="AKI5" s="52">
        <f>BALANCING!AKI5-120</f>
        <v/>
      </c>
      <c r="AKJ5" s="52">
        <f>BALANCING!AKJ5-120</f>
        <v/>
      </c>
      <c r="AKK5" s="52">
        <f>BALANCING!AKK5-120</f>
        <v/>
      </c>
      <c r="AKL5" s="52">
        <f>BALANCING!AKL5-120</f>
        <v/>
      </c>
      <c r="AKM5" s="52">
        <f>BALANCING!AKM5-120</f>
        <v/>
      </c>
      <c r="AKN5" s="151" t="n"/>
      <c r="AKO5" s="52">
        <f>BALANCING!AKO5-120</f>
        <v/>
      </c>
      <c r="AKP5" s="52">
        <f>BALANCING!AKP5-120</f>
        <v/>
      </c>
      <c r="AKQ5" s="52">
        <f>BALANCING!AKQ5-120</f>
        <v/>
      </c>
      <c r="AKR5" s="52">
        <f>BALANCING!AKR5-120</f>
        <v/>
      </c>
      <c r="AKS5" s="52">
        <f>BALANCING!AKS5-120</f>
        <v/>
      </c>
      <c r="AKT5" s="52">
        <f>BALANCING!AKT5-120</f>
        <v/>
      </c>
      <c r="AKU5" s="52">
        <f>BALANCING!AKU5-120</f>
        <v/>
      </c>
      <c r="AKV5" s="52">
        <f>BALANCING!AKV5-120</f>
        <v/>
      </c>
      <c r="AKW5" s="52">
        <f>BALANCING!AKW5-120</f>
        <v/>
      </c>
      <c r="AKX5" s="52">
        <f>BALANCING!AKX5-120</f>
        <v/>
      </c>
      <c r="AKY5" s="52">
        <f>BALANCING!AKY5-120</f>
        <v/>
      </c>
      <c r="AKZ5" s="52">
        <f>BALANCING!AKZ5-120</f>
        <v/>
      </c>
      <c r="ALA5" s="52">
        <f>BALANCING!ALA5-120</f>
        <v/>
      </c>
      <c r="ALB5" s="52">
        <f>BALANCING!ALB5-120</f>
        <v/>
      </c>
      <c r="ALC5" s="52">
        <f>BALANCING!ALC5-120</f>
        <v/>
      </c>
      <c r="ALD5" s="52">
        <f>BALANCING!ALD5-120</f>
        <v/>
      </c>
      <c r="ALE5" s="52">
        <f>BALANCING!ALE5-120</f>
        <v/>
      </c>
      <c r="ALF5" s="52">
        <f>BALANCING!ALF5-120</f>
        <v/>
      </c>
      <c r="ALG5" s="52">
        <f>BALANCING!ALG5-120</f>
        <v/>
      </c>
      <c r="ALH5" s="52">
        <f>BALANCING!ALH5-120</f>
        <v/>
      </c>
      <c r="ALI5" s="52">
        <f>BALANCING!ALI5-120</f>
        <v/>
      </c>
      <c r="ALJ5" s="52">
        <f>BALANCING!ALJ5-120</f>
        <v/>
      </c>
      <c r="ALK5" s="52">
        <f>BALANCING!ALK5-120</f>
        <v/>
      </c>
      <c r="ALL5" s="52">
        <f>BALANCING!ALL5-120</f>
        <v/>
      </c>
      <c r="ALM5" s="52">
        <f>BALANCING!ALM5-120</f>
        <v/>
      </c>
      <c r="ALN5" s="52">
        <f>BALANCING!ALN5-120</f>
        <v/>
      </c>
      <c r="ALO5" s="52">
        <f>BALANCING!ALO5-120</f>
        <v/>
      </c>
      <c r="ALP5" s="52">
        <f>BALANCING!ALP5-120</f>
        <v/>
      </c>
      <c r="ALQ5" s="52">
        <f>BALANCING!ALQ5-120</f>
        <v/>
      </c>
      <c r="ALR5" s="52" t="n">
        <v>5079</v>
      </c>
      <c r="ALS5" s="52">
        <f>BALANCING!ALS5-120</f>
        <v/>
      </c>
      <c r="ALT5" s="130" t="n"/>
      <c r="ALU5" s="52">
        <f>BALANCING!ALU5-120</f>
        <v/>
      </c>
      <c r="ALV5" s="52">
        <f>BALANCING!ALV5-120</f>
        <v/>
      </c>
      <c r="ALW5" s="52">
        <f>BALANCING!ALW5-120</f>
        <v/>
      </c>
      <c r="ALX5" s="52">
        <f>BALANCING!ALX5-120</f>
        <v/>
      </c>
      <c r="ALY5" s="52">
        <f>BALANCING!ALY5-120</f>
        <v/>
      </c>
      <c r="ALZ5" s="52">
        <f>BALANCING!ALZ5-120</f>
        <v/>
      </c>
      <c r="AMA5" s="52">
        <f>BALANCING!AMA5-120</f>
        <v/>
      </c>
      <c r="AMB5" s="52">
        <f>BALANCING!AMB5-120</f>
        <v/>
      </c>
      <c r="AMC5" s="52">
        <f>BALANCING!AMC5-120</f>
        <v/>
      </c>
      <c r="AMD5" s="52">
        <f>BALANCING!AMD5-120</f>
        <v/>
      </c>
      <c r="AME5" s="52">
        <f>BALANCING!AME5-120</f>
        <v/>
      </c>
      <c r="AMF5" s="52">
        <f>BALANCING!AMF5-120</f>
        <v/>
      </c>
      <c r="AMG5" s="52">
        <f>BALANCING!AMG5-120</f>
        <v/>
      </c>
      <c r="AMH5" s="52">
        <f>BALANCING!AMH5-120</f>
        <v/>
      </c>
      <c r="AMI5" s="52">
        <f>BALANCING!AMI5-120</f>
        <v/>
      </c>
      <c r="AMJ5" s="52">
        <f>BALANCING!AMJ5-120</f>
        <v/>
      </c>
      <c r="AMK5" s="52">
        <f>BALANCING!AMK5-120</f>
        <v/>
      </c>
      <c r="AML5" s="52">
        <f>BALANCING!AML5-120</f>
        <v/>
      </c>
      <c r="AMM5" s="52">
        <f>BALANCING!AMM5-120</f>
        <v/>
      </c>
      <c r="AMN5" s="52">
        <f>BALANCING!AMN5-120</f>
        <v/>
      </c>
      <c r="AMO5" s="52">
        <f>BALANCING!AMO5-120</f>
        <v/>
      </c>
      <c r="AMP5" s="52">
        <f>BALANCING!AMP5-120</f>
        <v/>
      </c>
      <c r="AMQ5" s="52">
        <f>BALANCING!AMQ5-120</f>
        <v/>
      </c>
      <c r="AMR5" s="52">
        <f>BALANCING!AMR5-120</f>
        <v/>
      </c>
      <c r="AMS5" s="52">
        <f>BALANCING!AMS5-120</f>
        <v/>
      </c>
      <c r="AMT5" s="52">
        <f>BALANCING!AMT5-120</f>
        <v/>
      </c>
      <c r="AMU5" s="52">
        <f>BALANCING!AMU5-120</f>
        <v/>
      </c>
      <c r="AMV5" s="52">
        <f>BALANCING!AMV5-120</f>
        <v/>
      </c>
      <c r="AMW5" s="52">
        <f>BALANCING!AMW5-120</f>
        <v/>
      </c>
      <c r="AMX5" s="52">
        <f>BALANCING!AMX5-120</f>
        <v/>
      </c>
      <c r="AMY5" s="130" t="n"/>
      <c r="AMZ5" s="52">
        <f>BALANCING!AMZ5-120</f>
        <v/>
      </c>
      <c r="ANA5" s="52">
        <f>BALANCING!ANA5-120</f>
        <v/>
      </c>
      <c r="ANB5" s="52">
        <f>BALANCING!ANB5-120</f>
        <v/>
      </c>
      <c r="ANC5" s="52">
        <f>BALANCING!ANC5-120</f>
        <v/>
      </c>
      <c r="AND5" s="52">
        <f>BALANCING!AND5-120</f>
        <v/>
      </c>
      <c r="ANE5" s="52">
        <f>BALANCING!ANE5-120</f>
        <v/>
      </c>
      <c r="ANF5" s="52">
        <f>BALANCING!ANF5-120</f>
        <v/>
      </c>
      <c r="ANG5" s="52">
        <f>BALANCING!ANG5-120</f>
        <v/>
      </c>
      <c r="ANH5" s="52">
        <f>BALANCING!ANH5-120</f>
        <v/>
      </c>
      <c r="ANI5" s="52">
        <f>BALANCING!ANI5-120</f>
        <v/>
      </c>
      <c r="ANJ5" s="52">
        <f>BALANCING!ANJ5-120</f>
        <v/>
      </c>
      <c r="ANK5" s="52">
        <f>BALANCING!ANK5-120</f>
        <v/>
      </c>
      <c r="ANL5" s="52">
        <f>BALANCING!ANL5-120</f>
        <v/>
      </c>
      <c r="ANM5" s="52">
        <f>BALANCING!ANM5-120</f>
        <v/>
      </c>
      <c r="ANN5" s="52">
        <f>BALANCING!ANN5-120</f>
        <v/>
      </c>
      <c r="ANO5" s="52">
        <f>BALANCING!ANO5-120</f>
        <v/>
      </c>
      <c r="ANP5" s="52">
        <f>BALANCING!ANP5-120</f>
        <v/>
      </c>
      <c r="ANQ5" s="52">
        <f>BALANCING!ANQ5-120</f>
        <v/>
      </c>
      <c r="ANR5" s="52">
        <f>BALANCING!ANR5-120</f>
        <v/>
      </c>
      <c r="ANS5" s="52">
        <f>BALANCING!ANS5-120</f>
        <v/>
      </c>
      <c r="ANT5" s="52">
        <f>BALANCING!ANT5-120</f>
        <v/>
      </c>
      <c r="ANU5" s="52">
        <f>BALANCING!ANU5-120</f>
        <v/>
      </c>
      <c r="ANV5" s="52">
        <f>BALANCING!ANV5-120</f>
        <v/>
      </c>
      <c r="ANW5" s="52">
        <f>BALANCING!ANW5-120</f>
        <v/>
      </c>
      <c r="ANX5" s="52">
        <f>BALANCING!ANX5-120</f>
        <v/>
      </c>
      <c r="ANY5" s="52">
        <f>BALANCING!ANY5-120</f>
        <v/>
      </c>
      <c r="ANZ5" s="52">
        <f>BALANCING!ANZ5-120</f>
        <v/>
      </c>
      <c r="AOA5" s="52">
        <f>BALANCING!AOA5-120</f>
        <v/>
      </c>
      <c r="AOB5" s="52">
        <f>BALANCING!AOB5-120</f>
        <v/>
      </c>
      <c r="AOC5" s="52">
        <f>BALANCING!AOC5-120</f>
        <v/>
      </c>
    </row>
    <row r="6">
      <c r="B6" t="inlineStr">
        <is>
          <t>PMS STOCK VLAUE</t>
        </is>
      </c>
      <c r="C6" s="52">
        <f>C5*C4</f>
        <v/>
      </c>
      <c r="D6" s="52">
        <f>D5*D4</f>
        <v/>
      </c>
      <c r="E6" s="52">
        <f>E5*E4</f>
        <v/>
      </c>
      <c r="F6" s="52">
        <f>F5*F4</f>
        <v/>
      </c>
      <c r="G6" s="52">
        <f>G5*G4</f>
        <v/>
      </c>
      <c r="H6" s="52">
        <f>H5*H4</f>
        <v/>
      </c>
      <c r="I6" s="52">
        <f>I5*I4</f>
        <v/>
      </c>
      <c r="J6" s="52">
        <f>J5*J4</f>
        <v/>
      </c>
      <c r="K6" s="52">
        <f>K5*K4</f>
        <v/>
      </c>
      <c r="L6" s="52">
        <f>L5*L4</f>
        <v/>
      </c>
      <c r="M6" s="52">
        <f>M5*M4</f>
        <v/>
      </c>
      <c r="N6" s="52">
        <f>N5*N4</f>
        <v/>
      </c>
      <c r="O6" s="52">
        <f>O5*O4</f>
        <v/>
      </c>
      <c r="P6" s="52">
        <f>P5*P4</f>
        <v/>
      </c>
      <c r="Q6" s="52">
        <f>Q5*Q4</f>
        <v/>
      </c>
      <c r="R6" s="52">
        <f>R5*R4</f>
        <v/>
      </c>
      <c r="S6" s="52">
        <f>S5*S4</f>
        <v/>
      </c>
      <c r="T6" s="52">
        <f>T5*T4</f>
        <v/>
      </c>
      <c r="U6" s="52">
        <f>U5*U4</f>
        <v/>
      </c>
      <c r="V6" s="52">
        <f>V5*V4</f>
        <v/>
      </c>
      <c r="W6" s="52">
        <f>W5*W4</f>
        <v/>
      </c>
      <c r="X6" s="52">
        <f>X5*X4</f>
        <v/>
      </c>
      <c r="Y6" s="52">
        <f>Y5*Y4</f>
        <v/>
      </c>
      <c r="Z6" s="52">
        <f>Z5*Z4</f>
        <v/>
      </c>
      <c r="AA6" s="52">
        <f>AA5*AA4</f>
        <v/>
      </c>
      <c r="AB6" s="52">
        <f>AB5*AB4</f>
        <v/>
      </c>
      <c r="AC6" s="52">
        <f>AC5*AC4</f>
        <v/>
      </c>
      <c r="AD6" s="52">
        <f>AD5*AD4</f>
        <v/>
      </c>
      <c r="AE6" s="52">
        <f>AE5*AE4</f>
        <v/>
      </c>
      <c r="AF6" s="52">
        <f>AF5*AF4</f>
        <v/>
      </c>
      <c r="AG6" s="52">
        <f>AG5*AG4</f>
        <v/>
      </c>
      <c r="AH6" s="67">
        <f>AG6</f>
        <v/>
      </c>
      <c r="AI6" s="52">
        <f>AI5*AI4</f>
        <v/>
      </c>
      <c r="AJ6" s="52">
        <f>AJ5*AJ4</f>
        <v/>
      </c>
      <c r="AK6" s="52">
        <f>AK5*AK4</f>
        <v/>
      </c>
      <c r="AL6" s="52">
        <f>AL5*AL4</f>
        <v/>
      </c>
      <c r="AM6" s="52">
        <f>AM5*AM4</f>
        <v/>
      </c>
      <c r="AN6" s="52">
        <f>AN5*AN4</f>
        <v/>
      </c>
      <c r="AO6" s="52">
        <f>AO5*AO4</f>
        <v/>
      </c>
      <c r="AP6" s="52">
        <f>AP5*AP4</f>
        <v/>
      </c>
      <c r="AQ6" s="52">
        <f>AQ5*AQ4</f>
        <v/>
      </c>
      <c r="AR6" s="52">
        <f>AR5*AR4</f>
        <v/>
      </c>
      <c r="AS6" s="52">
        <f>AS5*AS4</f>
        <v/>
      </c>
      <c r="AT6" s="52">
        <f>AT5*AT4</f>
        <v/>
      </c>
      <c r="AU6" s="52">
        <f>AU5*AU4</f>
        <v/>
      </c>
      <c r="AV6" s="52">
        <f>AV5*AV4</f>
        <v/>
      </c>
      <c r="AW6" s="52">
        <f>AW5*AW4</f>
        <v/>
      </c>
      <c r="AX6" s="52">
        <f>AX5*AX4</f>
        <v/>
      </c>
      <c r="AY6" s="52">
        <f>AY5*AY4</f>
        <v/>
      </c>
      <c r="AZ6" s="52">
        <f>AZ5*AZ4</f>
        <v/>
      </c>
      <c r="BA6" s="52">
        <f>BA5*BA4</f>
        <v/>
      </c>
      <c r="BB6" s="52">
        <f>BB5*BB4</f>
        <v/>
      </c>
      <c r="BC6" s="52">
        <f>BC5*BC4</f>
        <v/>
      </c>
      <c r="BD6" s="52">
        <f>BD5*BD4</f>
        <v/>
      </c>
      <c r="BE6" s="52">
        <f>BE5*BE4</f>
        <v/>
      </c>
      <c r="BF6" s="52">
        <f>BF5*BF4</f>
        <v/>
      </c>
      <c r="BG6" s="52">
        <f>BG5*BG4</f>
        <v/>
      </c>
      <c r="BH6" s="52">
        <f>BH5*BH4</f>
        <v/>
      </c>
      <c r="BI6" s="52">
        <f>BI5*BI4</f>
        <v/>
      </c>
      <c r="BJ6" s="52">
        <f>BJ5*BJ4</f>
        <v/>
      </c>
      <c r="BK6" s="52">
        <f>BK5*BK4</f>
        <v/>
      </c>
      <c r="BL6" s="52">
        <f>BL5*BL4</f>
        <v/>
      </c>
      <c r="BM6" s="106">
        <f>BL6</f>
        <v/>
      </c>
      <c r="BN6" s="52">
        <f>BN5*BN4</f>
        <v/>
      </c>
      <c r="BO6" s="52">
        <f>BO5*BO4</f>
        <v/>
      </c>
      <c r="BP6" s="52">
        <f>BP5*BP4</f>
        <v/>
      </c>
      <c r="BQ6" s="52">
        <f>BQ5*BQ4</f>
        <v/>
      </c>
      <c r="BR6" s="52">
        <f>BR5*BR4</f>
        <v/>
      </c>
      <c r="BS6" s="52">
        <f>BS5*BS4</f>
        <v/>
      </c>
      <c r="BT6" s="52">
        <f>BT5*BT4</f>
        <v/>
      </c>
      <c r="BU6" s="52">
        <f>BU5*BU4</f>
        <v/>
      </c>
      <c r="BV6" s="52">
        <f>BV5*BV4</f>
        <v/>
      </c>
      <c r="BW6" s="52">
        <f>BW5*BW4</f>
        <v/>
      </c>
      <c r="BX6" s="52">
        <f>BX5*BX4</f>
        <v/>
      </c>
      <c r="BY6" s="52">
        <f>BY5*BY4</f>
        <v/>
      </c>
      <c r="BZ6" s="52">
        <f>BZ5*BZ4</f>
        <v/>
      </c>
      <c r="CA6" s="52">
        <f>CA5*CA4</f>
        <v/>
      </c>
      <c r="CB6" s="52">
        <f>CB5*CB4</f>
        <v/>
      </c>
      <c r="CC6" s="52">
        <f>CC5*CC4</f>
        <v/>
      </c>
      <c r="CD6" s="52">
        <f>CD5*CD4</f>
        <v/>
      </c>
      <c r="CE6" s="52">
        <f>CE5*CE4</f>
        <v/>
      </c>
      <c r="CF6" s="52">
        <f>CF5*CF4</f>
        <v/>
      </c>
      <c r="CG6" s="52">
        <f>CG5*CG4</f>
        <v/>
      </c>
      <c r="CH6" s="52">
        <f>CH5*CH4</f>
        <v/>
      </c>
      <c r="CI6" s="52">
        <f>CI5*CI4</f>
        <v/>
      </c>
      <c r="CJ6" s="52">
        <f>CJ5*CJ4</f>
        <v/>
      </c>
      <c r="CK6" s="52">
        <f>CK5*CK4</f>
        <v/>
      </c>
      <c r="CL6" s="52">
        <f>CL5*CL4</f>
        <v/>
      </c>
      <c r="CM6" s="52">
        <f>CM5*CM4</f>
        <v/>
      </c>
      <c r="CN6" s="52">
        <f>CN5*CN4</f>
        <v/>
      </c>
      <c r="CO6" s="52">
        <f>CO5*CO4</f>
        <v/>
      </c>
      <c r="CP6" s="52">
        <f>CP5*CP4</f>
        <v/>
      </c>
      <c r="CQ6" s="52">
        <f>CQ5*CQ4</f>
        <v/>
      </c>
      <c r="CR6" s="52">
        <f>CR5*CR4</f>
        <v/>
      </c>
      <c r="CT6" s="52">
        <f>CT5*CT4</f>
        <v/>
      </c>
      <c r="CU6" s="52">
        <f>CU5*CU4</f>
        <v/>
      </c>
      <c r="CV6" s="52">
        <f>CV5*CV4</f>
        <v/>
      </c>
      <c r="CW6" s="52">
        <f>CW5*CW4</f>
        <v/>
      </c>
      <c r="CX6" s="52">
        <f>CX5*CX4</f>
        <v/>
      </c>
      <c r="CY6" s="52">
        <f>CY5*CY4</f>
        <v/>
      </c>
      <c r="CZ6" s="52">
        <f>CZ5*CZ4</f>
        <v/>
      </c>
      <c r="DA6" s="52">
        <f>DA5*DA4</f>
        <v/>
      </c>
      <c r="DB6" s="52">
        <f>DB5*DB4</f>
        <v/>
      </c>
      <c r="DC6" s="52">
        <f>DC5*DC4</f>
        <v/>
      </c>
      <c r="DD6" s="52">
        <f>DD5*DD4</f>
        <v/>
      </c>
      <c r="DE6" s="52">
        <f>DE5*DE4</f>
        <v/>
      </c>
      <c r="DF6" s="52">
        <f>DF5*DF4</f>
        <v/>
      </c>
      <c r="DG6" s="52">
        <f>DG5*DG4</f>
        <v/>
      </c>
      <c r="DH6" s="52">
        <f>DH5*DH4</f>
        <v/>
      </c>
      <c r="DI6" s="52">
        <f>DI5*DI4</f>
        <v/>
      </c>
      <c r="DJ6" s="52">
        <f>DJ5*DJ4</f>
        <v/>
      </c>
      <c r="DK6" s="52">
        <f>DK5*DK4</f>
        <v/>
      </c>
      <c r="DL6" s="52">
        <f>DL5*DL4</f>
        <v/>
      </c>
      <c r="DM6" s="52">
        <f>DM5*DM4</f>
        <v/>
      </c>
      <c r="DN6" s="52">
        <f>DN5*DN4</f>
        <v/>
      </c>
      <c r="DO6" s="52">
        <f>DO5*DO4</f>
        <v/>
      </c>
      <c r="DP6" s="52">
        <f>DP5*DP4</f>
        <v/>
      </c>
      <c r="DQ6" s="52">
        <f>DQ5*DQ4</f>
        <v/>
      </c>
      <c r="DR6" s="52">
        <f>DR5*DR4</f>
        <v/>
      </c>
      <c r="DS6" s="52">
        <f>DS5*DS4</f>
        <v/>
      </c>
      <c r="DT6" s="52">
        <f>DT5*DT4</f>
        <v/>
      </c>
      <c r="DU6" s="52">
        <f>DU5*DU4</f>
        <v/>
      </c>
      <c r="DV6" s="52">
        <f>DV5*DV4</f>
        <v/>
      </c>
      <c r="DW6" s="52">
        <f>DW5*DW4</f>
        <v/>
      </c>
      <c r="DX6" s="117" t="n"/>
      <c r="DY6" s="52">
        <f>DY5*DY4</f>
        <v/>
      </c>
      <c r="DZ6" s="52">
        <f>DZ5*DZ4</f>
        <v/>
      </c>
      <c r="EA6" s="52">
        <f>EA5*EA4</f>
        <v/>
      </c>
      <c r="EB6" s="52">
        <f>EB5*EB4</f>
        <v/>
      </c>
      <c r="EC6" s="52">
        <f>EC5*EC4</f>
        <v/>
      </c>
      <c r="ED6" s="52">
        <f>ED5*ED4</f>
        <v/>
      </c>
      <c r="EE6" s="52">
        <f>EE5*EE4</f>
        <v/>
      </c>
      <c r="EF6" s="52">
        <f>EF5*EF4</f>
        <v/>
      </c>
      <c r="EG6" s="52">
        <f>EG5*EG4</f>
        <v/>
      </c>
      <c r="EH6" s="52">
        <f>EH5*EH4</f>
        <v/>
      </c>
      <c r="EI6" s="52">
        <f>EI5*EI4</f>
        <v/>
      </c>
      <c r="EJ6" s="52">
        <f>EJ5*EJ4</f>
        <v/>
      </c>
      <c r="EK6" s="52">
        <f>EK5*EK4</f>
        <v/>
      </c>
      <c r="EL6" s="52">
        <f>EL5*EL4</f>
        <v/>
      </c>
      <c r="EM6" s="52">
        <f>EM5*EM4</f>
        <v/>
      </c>
      <c r="EN6" s="52">
        <f>EN5*EN4</f>
        <v/>
      </c>
      <c r="EO6" s="52">
        <f>EO5*EO4</f>
        <v/>
      </c>
      <c r="EP6" s="52">
        <f>EP5*EP4</f>
        <v/>
      </c>
      <c r="EQ6" s="52">
        <f>EQ5*EQ4</f>
        <v/>
      </c>
      <c r="ER6" s="52">
        <f>ER5*ER4</f>
        <v/>
      </c>
      <c r="ES6" s="52">
        <f>ES5*ES4</f>
        <v/>
      </c>
      <c r="ET6" s="52">
        <f>ET5*ET4</f>
        <v/>
      </c>
      <c r="EU6" s="52">
        <f>EU5*EU4</f>
        <v/>
      </c>
      <c r="EV6" s="52">
        <f>EV5*EV4</f>
        <v/>
      </c>
      <c r="EW6" s="52">
        <f>EW5*EW4</f>
        <v/>
      </c>
      <c r="EX6" s="52">
        <f>EX5*EX4</f>
        <v/>
      </c>
      <c r="EY6" s="52">
        <f>EY5*EY4</f>
        <v/>
      </c>
      <c r="EZ6" s="52">
        <f>EZ5*EZ4</f>
        <v/>
      </c>
      <c r="FA6" s="52">
        <f>FA5*FA4</f>
        <v/>
      </c>
      <c r="FB6" s="52">
        <f>FB5*FB4</f>
        <v/>
      </c>
      <c r="FC6" s="52">
        <f>FC5*FC4</f>
        <v/>
      </c>
      <c r="FD6" s="126" t="n"/>
      <c r="FE6" s="52">
        <f>FE5*FE4</f>
        <v/>
      </c>
      <c r="FF6" s="52">
        <f>FF5*FF4</f>
        <v/>
      </c>
      <c r="FG6" s="52">
        <f>FG5*FG4</f>
        <v/>
      </c>
      <c r="FH6" s="52">
        <f>FH5*FH4</f>
        <v/>
      </c>
      <c r="FI6" s="52">
        <f>FI5*FI4</f>
        <v/>
      </c>
      <c r="FJ6" s="52">
        <f>FJ5*FJ4</f>
        <v/>
      </c>
      <c r="FK6" s="52">
        <f>FK5*FK4</f>
        <v/>
      </c>
      <c r="FL6" s="52">
        <f>FL5*FL4</f>
        <v/>
      </c>
      <c r="FM6" s="52">
        <f>FM5*FM4</f>
        <v/>
      </c>
      <c r="FN6" s="52">
        <f>FN5*FN4</f>
        <v/>
      </c>
      <c r="FO6" s="52">
        <f>FO5*FO4</f>
        <v/>
      </c>
      <c r="FP6" s="52">
        <f>FP5*FP4</f>
        <v/>
      </c>
      <c r="FQ6" s="52">
        <f>FQ5*FQ4</f>
        <v/>
      </c>
      <c r="FR6" s="52">
        <f>FR5*FR4</f>
        <v/>
      </c>
      <c r="FS6" s="52">
        <f>FS5*FS4</f>
        <v/>
      </c>
      <c r="FT6" s="52">
        <f>FT5*FT4</f>
        <v/>
      </c>
      <c r="FU6" s="52">
        <f>FU5*FU4</f>
        <v/>
      </c>
      <c r="FV6" s="52">
        <f>FV5*FV4</f>
        <v/>
      </c>
      <c r="FW6" s="52">
        <f>FW5*FW4</f>
        <v/>
      </c>
      <c r="FX6" s="52">
        <f>FX5*FX4</f>
        <v/>
      </c>
      <c r="FY6" s="52">
        <f>FY5*FY4</f>
        <v/>
      </c>
      <c r="FZ6" s="52">
        <f>FZ5*FZ4</f>
        <v/>
      </c>
      <c r="GA6" s="52">
        <f>GA5*GA4</f>
        <v/>
      </c>
      <c r="GB6" s="52">
        <f>GB5*GB4</f>
        <v/>
      </c>
      <c r="GC6" s="52">
        <f>GC5*GC4</f>
        <v/>
      </c>
      <c r="GD6" s="52">
        <f>GD5*GD4</f>
        <v/>
      </c>
      <c r="GE6" s="52">
        <f>GE5*GE4</f>
        <v/>
      </c>
      <c r="GF6" s="52">
        <f>GF5*GF4</f>
        <v/>
      </c>
      <c r="GG6" s="52">
        <f>GG5*GG4</f>
        <v/>
      </c>
      <c r="GH6" s="52">
        <f>GH5*GH4</f>
        <v/>
      </c>
      <c r="GI6" s="52">
        <f>GI5*GI4</f>
        <v/>
      </c>
      <c r="GJ6" s="130" t="n"/>
      <c r="GK6" s="52">
        <f>GK5*GK4</f>
        <v/>
      </c>
      <c r="GL6" s="52">
        <f>GL5*GL4</f>
        <v/>
      </c>
      <c r="GM6" s="52">
        <f>GM5*GM4</f>
        <v/>
      </c>
      <c r="GN6" s="52">
        <f>GN5*GN4</f>
        <v/>
      </c>
      <c r="GO6" s="52">
        <f>GO5*GO4</f>
        <v/>
      </c>
      <c r="GP6" s="52">
        <f>GP5*GP4</f>
        <v/>
      </c>
      <c r="GQ6" s="52">
        <f>GQ5*GQ4</f>
        <v/>
      </c>
      <c r="GR6" s="52">
        <f>GR5*GR4</f>
        <v/>
      </c>
      <c r="GS6" s="52">
        <f>GS5*GS4</f>
        <v/>
      </c>
      <c r="GT6" s="52">
        <f>GT5*GT4</f>
        <v/>
      </c>
      <c r="GU6" s="52">
        <f>GU5*GU4</f>
        <v/>
      </c>
      <c r="GV6" s="52">
        <f>GV5*GV4</f>
        <v/>
      </c>
      <c r="GW6" s="52">
        <f>GW5*GW4</f>
        <v/>
      </c>
      <c r="GX6" s="52">
        <f>GX5*GX4</f>
        <v/>
      </c>
      <c r="GY6" s="52">
        <f>GY5*GY4</f>
        <v/>
      </c>
      <c r="GZ6" s="52">
        <f>GZ5*GZ4</f>
        <v/>
      </c>
      <c r="HA6" s="52">
        <f>HA5*HA4</f>
        <v/>
      </c>
      <c r="HB6" s="52">
        <f>HB5*HB4</f>
        <v/>
      </c>
      <c r="HC6" s="52">
        <f>HC5*HC4</f>
        <v/>
      </c>
      <c r="HD6" s="52">
        <f>HD5*HD4</f>
        <v/>
      </c>
      <c r="HE6" s="52">
        <f>HE5*HE4</f>
        <v/>
      </c>
      <c r="HF6" s="52">
        <f>HF5*HF4</f>
        <v/>
      </c>
      <c r="HG6" s="52">
        <f>HG5*HG4</f>
        <v/>
      </c>
      <c r="HH6" s="52">
        <f>HH5*HH4</f>
        <v/>
      </c>
      <c r="HI6" s="52">
        <f>HI5*HI4</f>
        <v/>
      </c>
      <c r="HJ6" s="52">
        <f>HJ5*HJ4</f>
        <v/>
      </c>
      <c r="HK6" s="52">
        <f>HK5*HK4</f>
        <v/>
      </c>
      <c r="HL6" s="52">
        <f>HL5*HL4</f>
        <v/>
      </c>
      <c r="HM6" s="52">
        <f>HM5*HM4</f>
        <v/>
      </c>
      <c r="HN6" s="130" t="n"/>
      <c r="HO6" s="52">
        <f>HO5*HO4</f>
        <v/>
      </c>
      <c r="HP6" s="52">
        <f>HP5*HP4</f>
        <v/>
      </c>
      <c r="HQ6" s="52">
        <f>HQ5*HQ4</f>
        <v/>
      </c>
      <c r="HR6" s="52">
        <f>HR5*HR4</f>
        <v/>
      </c>
      <c r="HS6" s="52">
        <f>HS5*HS4</f>
        <v/>
      </c>
      <c r="HT6" s="52">
        <f>HT5*HT4</f>
        <v/>
      </c>
      <c r="HU6" s="52">
        <f>HU5*HU4</f>
        <v/>
      </c>
      <c r="HV6" s="52">
        <f>HV5*HV4</f>
        <v/>
      </c>
      <c r="HW6" s="52">
        <f>HW5*HW4</f>
        <v/>
      </c>
      <c r="HX6" s="52">
        <f>HX5*HX4</f>
        <v/>
      </c>
      <c r="HY6" s="52">
        <f>HY5*HY4</f>
        <v/>
      </c>
      <c r="HZ6" s="52">
        <f>HZ5*HZ4</f>
        <v/>
      </c>
      <c r="IA6" s="52">
        <f>IA5*IA4</f>
        <v/>
      </c>
      <c r="IB6" s="52">
        <f>IB5*IB4</f>
        <v/>
      </c>
      <c r="IC6" s="52">
        <f>IC5*IC4</f>
        <v/>
      </c>
      <c r="ID6" s="52">
        <f>ID5*ID4</f>
        <v/>
      </c>
      <c r="IE6" s="52">
        <f>IE5*IE4</f>
        <v/>
      </c>
      <c r="IF6" s="52">
        <f>IF5*IF4</f>
        <v/>
      </c>
      <c r="IG6" s="52">
        <f>IG5*IG4</f>
        <v/>
      </c>
      <c r="IH6" s="52">
        <f>IH5*IH4</f>
        <v/>
      </c>
      <c r="II6" s="52">
        <f>II5*II4</f>
        <v/>
      </c>
      <c r="IJ6" s="52">
        <f>IJ5*IJ4</f>
        <v/>
      </c>
      <c r="IK6" s="52">
        <f>IK5*IK4</f>
        <v/>
      </c>
      <c r="IL6" s="52">
        <f>IL5*IL4</f>
        <v/>
      </c>
      <c r="IM6" s="52">
        <f>IM5*IM4</f>
        <v/>
      </c>
      <c r="IN6" s="52">
        <f>IN5*IN4</f>
        <v/>
      </c>
      <c r="IO6" s="52">
        <f>IO5*IO4</f>
        <v/>
      </c>
      <c r="IP6" s="52">
        <f>IP5*IP4</f>
        <v/>
      </c>
      <c r="IQ6" s="52">
        <f>IQ5*IQ4</f>
        <v/>
      </c>
      <c r="IR6" s="52">
        <f>IR5*IR4</f>
        <v/>
      </c>
      <c r="IS6" s="52">
        <f>IS5*IS4</f>
        <v/>
      </c>
      <c r="IT6" s="130" t="n"/>
      <c r="IU6" s="52">
        <f>IU5*IU4</f>
        <v/>
      </c>
      <c r="IV6" s="52">
        <f>IV5*IV4</f>
        <v/>
      </c>
      <c r="IW6" s="52">
        <f>IW5*IW4</f>
        <v/>
      </c>
      <c r="IX6" s="52">
        <f>IX5*IX4</f>
        <v/>
      </c>
      <c r="IY6" s="52">
        <f>IY5*IY4</f>
        <v/>
      </c>
      <c r="IZ6" s="52">
        <f>IZ5*IZ4</f>
        <v/>
      </c>
      <c r="JA6" s="52">
        <f>JA5*JA4</f>
        <v/>
      </c>
      <c r="JB6" s="52">
        <f>JB5*JB4</f>
        <v/>
      </c>
      <c r="JC6" s="52">
        <f>JC5*JC4</f>
        <v/>
      </c>
      <c r="JD6" s="52">
        <f>JD5*JD4</f>
        <v/>
      </c>
      <c r="JE6" s="52">
        <f>JE5*JE4</f>
        <v/>
      </c>
      <c r="JF6" s="52">
        <f>JF5*JF4</f>
        <v/>
      </c>
      <c r="JG6" s="52">
        <f>JG5*JG4</f>
        <v/>
      </c>
      <c r="JH6" s="52">
        <f>JH5*JH4</f>
        <v/>
      </c>
      <c r="JI6" s="52">
        <f>JI5*JI4</f>
        <v/>
      </c>
      <c r="JJ6" s="52">
        <f>JJ5*JJ4</f>
        <v/>
      </c>
      <c r="JK6" s="52">
        <f>JK5*JK4</f>
        <v/>
      </c>
      <c r="JL6" s="52">
        <f>JL5*JL4</f>
        <v/>
      </c>
      <c r="JM6" s="52">
        <f>JM5*JM4</f>
        <v/>
      </c>
      <c r="JN6" s="52">
        <f>JN5*JN4</f>
        <v/>
      </c>
      <c r="JO6" s="52">
        <f>JO5*JO4</f>
        <v/>
      </c>
      <c r="JP6" s="52">
        <f>JP5*JP4</f>
        <v/>
      </c>
      <c r="JQ6" s="52">
        <f>JQ5*JQ4</f>
        <v/>
      </c>
      <c r="JR6" s="52">
        <f>JR5*JR4</f>
        <v/>
      </c>
      <c r="JS6" s="52">
        <f>JS5*JS4</f>
        <v/>
      </c>
      <c r="JT6" s="52">
        <f>JT5*JT4</f>
        <v/>
      </c>
      <c r="JU6" s="52">
        <f>JU5*JU4</f>
        <v/>
      </c>
      <c r="JV6" s="52">
        <f>JV5*JV4</f>
        <v/>
      </c>
      <c r="JW6" s="52">
        <f>JW5*JW4</f>
        <v/>
      </c>
      <c r="JX6" s="52">
        <f>JX5*JX4</f>
        <v/>
      </c>
      <c r="JY6" s="139" t="n"/>
      <c r="JZ6" s="52">
        <f>JZ5*JZ4</f>
        <v/>
      </c>
      <c r="KA6" s="52">
        <f>KA5*KA4</f>
        <v/>
      </c>
      <c r="KB6" s="52">
        <f>KB5*KB4</f>
        <v/>
      </c>
      <c r="KC6" s="52">
        <f>KC5*KC4</f>
        <v/>
      </c>
      <c r="KD6" s="52">
        <f>KD5*KD4</f>
        <v/>
      </c>
      <c r="KE6" s="52">
        <f>KE5*KE4</f>
        <v/>
      </c>
      <c r="KF6" s="52">
        <f>KF5*KF4</f>
        <v/>
      </c>
      <c r="KG6" s="52">
        <f>KG5*KG4</f>
        <v/>
      </c>
      <c r="KH6" s="52">
        <f>KH5*KH4</f>
        <v/>
      </c>
      <c r="KI6" s="52">
        <f>KI5*KI4</f>
        <v/>
      </c>
      <c r="KJ6" s="52">
        <f>KJ5*KJ4</f>
        <v/>
      </c>
      <c r="KK6" s="52">
        <f>KK5*KK4</f>
        <v/>
      </c>
      <c r="KL6" s="52">
        <f>KL5*KL4</f>
        <v/>
      </c>
      <c r="KM6" s="52">
        <f>KM5*KM4</f>
        <v/>
      </c>
      <c r="KN6" s="52">
        <f>KN5*KN4</f>
        <v/>
      </c>
      <c r="KO6" s="52">
        <f>KO5*KO4</f>
        <v/>
      </c>
      <c r="KP6" s="52">
        <f>KP5*KP4</f>
        <v/>
      </c>
      <c r="KQ6" s="52">
        <f>KQ5*KQ4</f>
        <v/>
      </c>
      <c r="KR6" s="52">
        <f>KR5*KR4</f>
        <v/>
      </c>
      <c r="KS6" s="52">
        <f>KS5*KS4</f>
        <v/>
      </c>
      <c r="KT6" s="52">
        <f>KT5*KT4</f>
        <v/>
      </c>
      <c r="KU6" s="52">
        <f>KU5*KU4</f>
        <v/>
      </c>
      <c r="KV6" s="52">
        <f>KV5*KV4</f>
        <v/>
      </c>
      <c r="KW6" s="52">
        <f>KW5*KW4</f>
        <v/>
      </c>
      <c r="KX6" s="52">
        <f>KX5*KX4</f>
        <v/>
      </c>
      <c r="KY6" s="52">
        <f>KY5*KY4</f>
        <v/>
      </c>
      <c r="KZ6" s="52">
        <f>KZ5*KZ4</f>
        <v/>
      </c>
      <c r="LA6" s="52">
        <f>LA5*LA4</f>
        <v/>
      </c>
      <c r="LB6" s="52">
        <f>LB5*LB4</f>
        <v/>
      </c>
      <c r="LC6" s="52">
        <f>LC5*LC4</f>
        <v/>
      </c>
      <c r="LD6" s="52">
        <f>LD5*LD4</f>
        <v/>
      </c>
      <c r="LE6" s="130" t="n"/>
      <c r="LF6" s="52">
        <f>LF5*LF4</f>
        <v/>
      </c>
      <c r="LG6" s="52">
        <f>LG5*LG4</f>
        <v/>
      </c>
      <c r="LH6" s="52">
        <f>LH5*LH4</f>
        <v/>
      </c>
      <c r="LI6" s="52">
        <f>LI5*LI4</f>
        <v/>
      </c>
      <c r="LJ6" s="52">
        <f>LJ5*LJ4</f>
        <v/>
      </c>
      <c r="LK6" s="52">
        <f>LK5*LK4</f>
        <v/>
      </c>
      <c r="LL6" s="52">
        <f>LL5*LL4</f>
        <v/>
      </c>
      <c r="LM6" s="52">
        <f>LM5*LM4</f>
        <v/>
      </c>
      <c r="LN6" s="52">
        <f>LN5*LN4</f>
        <v/>
      </c>
      <c r="LO6" s="52">
        <f>LO5*LO4</f>
        <v/>
      </c>
      <c r="LP6" s="52">
        <f>LP5*LP4</f>
        <v/>
      </c>
      <c r="LQ6" s="52">
        <f>LQ5*LQ4</f>
        <v/>
      </c>
      <c r="LR6" s="52">
        <f>LR5*LR4</f>
        <v/>
      </c>
      <c r="LS6" s="52">
        <f>LS5*LS4</f>
        <v/>
      </c>
      <c r="LT6" s="52">
        <f>LT5*LT4</f>
        <v/>
      </c>
      <c r="LU6" s="52">
        <f>LU5*LU4</f>
        <v/>
      </c>
      <c r="LV6" s="52">
        <f>LV5*LV4</f>
        <v/>
      </c>
      <c r="LW6" s="52">
        <f>LW5*LW4</f>
        <v/>
      </c>
      <c r="LX6" s="52">
        <f>LX5*LX4</f>
        <v/>
      </c>
      <c r="LY6" s="52">
        <f>LY5*LY4</f>
        <v/>
      </c>
      <c r="LZ6" s="52">
        <f>LZ5*LZ4</f>
        <v/>
      </c>
      <c r="MA6" s="52">
        <f>MA5*MA4</f>
        <v/>
      </c>
      <c r="MB6" s="52">
        <f>MB5*MB4</f>
        <v/>
      </c>
      <c r="MC6" s="52">
        <f>MC5*MC4</f>
        <v/>
      </c>
      <c r="MD6" s="52">
        <f>MD5*MD4</f>
        <v/>
      </c>
      <c r="ME6" s="52">
        <f>ME5*ME4</f>
        <v/>
      </c>
      <c r="MF6" s="52">
        <f>MF5*MF4</f>
        <v/>
      </c>
      <c r="MG6" s="52">
        <f>MG5*MG4</f>
        <v/>
      </c>
      <c r="MH6" s="52">
        <f>MH5*MH4</f>
        <v/>
      </c>
      <c r="MI6" s="52">
        <f>MI5*MI4</f>
        <v/>
      </c>
      <c r="MJ6" s="139" t="n"/>
      <c r="MK6" s="52">
        <f>MK5*MK4</f>
        <v/>
      </c>
      <c r="ML6" s="52">
        <f>ML5*ML4</f>
        <v/>
      </c>
      <c r="MM6" s="52">
        <f>MM5*MM4</f>
        <v/>
      </c>
      <c r="MN6" s="52">
        <f>MN5*MN4</f>
        <v/>
      </c>
      <c r="MO6" s="52">
        <f>MO5*MO4</f>
        <v/>
      </c>
      <c r="MP6" s="52">
        <f>MP5*MP4</f>
        <v/>
      </c>
      <c r="MQ6" s="52">
        <f>MQ5*MQ4</f>
        <v/>
      </c>
      <c r="MR6" s="52">
        <f>MR5*MR4</f>
        <v/>
      </c>
      <c r="MS6" s="52">
        <f>MS5*MS4</f>
        <v/>
      </c>
      <c r="MT6" s="52">
        <f>MT5*MT4</f>
        <v/>
      </c>
      <c r="MU6" s="52">
        <f>MU5*MU4</f>
        <v/>
      </c>
      <c r="MV6" s="52">
        <f>MV5*MV4</f>
        <v/>
      </c>
      <c r="MW6" s="52">
        <f>MW5*MW4</f>
        <v/>
      </c>
      <c r="MX6" s="52">
        <f>MX5*MX4</f>
        <v/>
      </c>
      <c r="MY6" s="52">
        <f>MY5*MY4</f>
        <v/>
      </c>
      <c r="MZ6" s="52">
        <f>MZ5*MZ4</f>
        <v/>
      </c>
      <c r="NA6" s="52">
        <f>NA5*NA4</f>
        <v/>
      </c>
      <c r="NB6" s="52">
        <f>NB5*NB4</f>
        <v/>
      </c>
      <c r="NC6" s="52">
        <f>NC5*NC4</f>
        <v/>
      </c>
      <c r="ND6" s="52">
        <f>ND5*ND4</f>
        <v/>
      </c>
      <c r="NE6" s="52">
        <f>NE5*NE4</f>
        <v/>
      </c>
      <c r="NF6" s="52">
        <f>NF5*NF4</f>
        <v/>
      </c>
      <c r="NG6" s="52">
        <f>NG5*NG4</f>
        <v/>
      </c>
      <c r="NH6" s="52">
        <f>NH5*NH4</f>
        <v/>
      </c>
      <c r="NI6" s="52">
        <f>NI5*NI4</f>
        <v/>
      </c>
      <c r="NJ6" s="52">
        <f>NJ5*NJ4</f>
        <v/>
      </c>
      <c r="NK6" s="52">
        <f>NK5*NK4</f>
        <v/>
      </c>
      <c r="NL6" s="52">
        <f>NL5*NL4</f>
        <v/>
      </c>
      <c r="NM6" s="52">
        <f>NM5*NM4</f>
        <v/>
      </c>
      <c r="NN6" s="52">
        <f>NN5*NN4</f>
        <v/>
      </c>
      <c r="NO6" s="52">
        <f>NO5*NO4</f>
        <v/>
      </c>
      <c r="NP6" s="139" t="n"/>
      <c r="NQ6" s="52">
        <f>NQ5*NQ4</f>
        <v/>
      </c>
      <c r="NR6" s="52">
        <f>NR5*NR4</f>
        <v/>
      </c>
      <c r="NS6" s="52">
        <f>NS5*NS4</f>
        <v/>
      </c>
      <c r="NT6" s="52">
        <f>NT5*NT4</f>
        <v/>
      </c>
      <c r="NU6" s="52">
        <f>NU5*NU4</f>
        <v/>
      </c>
      <c r="NV6" s="52">
        <f>NV5*NV4</f>
        <v/>
      </c>
      <c r="NW6" s="52">
        <f>NW5*NW4</f>
        <v/>
      </c>
      <c r="NX6" s="52">
        <f>NX5*NX4</f>
        <v/>
      </c>
      <c r="NY6" s="52">
        <f>NY5*NY4</f>
        <v/>
      </c>
      <c r="NZ6" s="52">
        <f>NZ5*NZ4</f>
        <v/>
      </c>
      <c r="OA6" s="52">
        <f>OA5*OA4</f>
        <v/>
      </c>
      <c r="OB6" s="52">
        <f>OB5*OB4</f>
        <v/>
      </c>
      <c r="OC6" s="52">
        <f>OC5*OC4</f>
        <v/>
      </c>
      <c r="OD6" s="52">
        <f>OD5*OD4</f>
        <v/>
      </c>
      <c r="OE6" s="52">
        <f>OE5*OE4</f>
        <v/>
      </c>
      <c r="OF6" s="52">
        <f>OF5*OF4</f>
        <v/>
      </c>
      <c r="OG6" s="52">
        <f>OG5*OG4</f>
        <v/>
      </c>
      <c r="OH6" s="52">
        <f>OH5*OH4</f>
        <v/>
      </c>
      <c r="OI6" s="52">
        <f>OI5*OI4</f>
        <v/>
      </c>
      <c r="OJ6" s="52">
        <f>OJ5*OJ4</f>
        <v/>
      </c>
      <c r="OK6" s="52">
        <f>OK5*OK4</f>
        <v/>
      </c>
      <c r="OL6" s="52">
        <f>OL5*OL4</f>
        <v/>
      </c>
      <c r="OM6" s="52">
        <f>OM5*OM4</f>
        <v/>
      </c>
      <c r="ON6" s="52">
        <f>ON5*ON4</f>
        <v/>
      </c>
      <c r="OO6" s="52">
        <f>OO5*OO4</f>
        <v/>
      </c>
      <c r="OP6" s="52">
        <f>OP5*OP4</f>
        <v/>
      </c>
      <c r="OQ6" s="52">
        <f>OQ5*OQ4</f>
        <v/>
      </c>
      <c r="OR6" s="52">
        <f>OR5*OR4</f>
        <v/>
      </c>
      <c r="OS6" s="52">
        <f>OS5*OS4</f>
        <v/>
      </c>
      <c r="OT6" s="52">
        <f>OT5*OT4</f>
        <v/>
      </c>
      <c r="OU6" s="52">
        <f>OU5*OU4</f>
        <v/>
      </c>
      <c r="OV6" s="130" t="n"/>
      <c r="OW6" s="52">
        <f>OW5*OW4</f>
        <v/>
      </c>
      <c r="OX6" s="52">
        <f>OX5*OX4</f>
        <v/>
      </c>
      <c r="OY6" s="52">
        <f>OY5*OY4</f>
        <v/>
      </c>
      <c r="OZ6" s="52">
        <f>OZ5*OZ4</f>
        <v/>
      </c>
      <c r="PA6" s="52">
        <f>PA5*PA4</f>
        <v/>
      </c>
      <c r="PB6" s="52">
        <f>PB5*PB4</f>
        <v/>
      </c>
      <c r="PC6" s="52">
        <f>PC5*PC4</f>
        <v/>
      </c>
      <c r="PD6" s="52">
        <f>PD5*PD4</f>
        <v/>
      </c>
      <c r="PE6" s="52">
        <f>PE5*PE4</f>
        <v/>
      </c>
      <c r="PF6" s="52">
        <f>PF5*PF4</f>
        <v/>
      </c>
      <c r="PG6" s="52">
        <f>PG5*PG4</f>
        <v/>
      </c>
      <c r="PH6" s="52">
        <f>PH5*PH4</f>
        <v/>
      </c>
      <c r="PI6" s="52">
        <f>PI5*PI4</f>
        <v/>
      </c>
      <c r="PJ6" s="52">
        <f>PJ5*PJ4</f>
        <v/>
      </c>
      <c r="PK6" s="52">
        <f>PK5*PK4</f>
        <v/>
      </c>
      <c r="PL6" s="52">
        <f>PL5*PL4</f>
        <v/>
      </c>
      <c r="PM6" s="52">
        <f>PM5*PM4</f>
        <v/>
      </c>
      <c r="PN6" s="52">
        <f>PN5*PN4</f>
        <v/>
      </c>
      <c r="PO6" s="52">
        <f>PO5*PO4</f>
        <v/>
      </c>
      <c r="PP6" s="52">
        <f>PP5*PP4</f>
        <v/>
      </c>
      <c r="PQ6" s="52">
        <f>PQ5*PQ4</f>
        <v/>
      </c>
      <c r="PR6" s="52">
        <f>PR5*PR4</f>
        <v/>
      </c>
      <c r="PS6" s="52">
        <f>PS5*PS4</f>
        <v/>
      </c>
      <c r="PT6" s="52">
        <f>PT5*PT4</f>
        <v/>
      </c>
      <c r="PU6" s="52">
        <f>PU5*PU4</f>
        <v/>
      </c>
      <c r="PV6" s="52">
        <f>PV5*PV4</f>
        <v/>
      </c>
      <c r="PW6" s="52">
        <f>PW5*PW4</f>
        <v/>
      </c>
      <c r="PX6" s="52">
        <f>PX5*PX4</f>
        <v/>
      </c>
      <c r="PY6" s="52">
        <f>PY5*PY4</f>
        <v/>
      </c>
      <c r="PZ6" s="52">
        <f>PZ5*PZ4</f>
        <v/>
      </c>
      <c r="QA6" s="130" t="n"/>
      <c r="QB6" s="52">
        <f>QB5*QB4</f>
        <v/>
      </c>
      <c r="QC6" s="52">
        <f>QC5*QC4</f>
        <v/>
      </c>
      <c r="QD6" s="52">
        <f>QD5*QD4</f>
        <v/>
      </c>
      <c r="QE6" s="52">
        <f>QE5*QE4</f>
        <v/>
      </c>
      <c r="QF6" s="52">
        <f>QF5*QF4</f>
        <v/>
      </c>
      <c r="QG6" s="52">
        <f>QG5*QG4</f>
        <v/>
      </c>
      <c r="QH6" s="52">
        <f>QH5*QH4</f>
        <v/>
      </c>
      <c r="QI6" s="52">
        <f>QI5*QI4</f>
        <v/>
      </c>
      <c r="QJ6" s="52">
        <f>QJ5*QJ4</f>
        <v/>
      </c>
      <c r="QK6" s="52">
        <f>QK5*QK4</f>
        <v/>
      </c>
      <c r="QL6" s="52">
        <f>QL5*QL4</f>
        <v/>
      </c>
      <c r="QM6" s="52">
        <f>QM5*QM4</f>
        <v/>
      </c>
      <c r="QN6" s="52">
        <f>QN5*QN4</f>
        <v/>
      </c>
      <c r="QO6" s="52">
        <f>QO5*QO4</f>
        <v/>
      </c>
      <c r="QP6" s="52">
        <f>QP5*QP4</f>
        <v/>
      </c>
      <c r="QQ6" s="52">
        <f>QQ5*QQ4</f>
        <v/>
      </c>
      <c r="QR6" s="52">
        <f>QR5*QR4</f>
        <v/>
      </c>
      <c r="QS6" s="52">
        <f>QS5*QS4</f>
        <v/>
      </c>
      <c r="QT6" s="52">
        <f>QT5*QT4</f>
        <v/>
      </c>
      <c r="QU6" s="52">
        <f>QU5*QU4</f>
        <v/>
      </c>
      <c r="QV6" s="52">
        <f>QV5*QV4</f>
        <v/>
      </c>
      <c r="QW6" s="52">
        <f>QW5*QW4</f>
        <v/>
      </c>
      <c r="QX6" s="52">
        <f>QX5*QX4</f>
        <v/>
      </c>
      <c r="QY6" s="52">
        <f>QY5*QY4</f>
        <v/>
      </c>
      <c r="QZ6" s="52">
        <f>QZ5*QZ4</f>
        <v/>
      </c>
      <c r="RA6" s="52">
        <f>RA5*RA4</f>
        <v/>
      </c>
      <c r="RB6" s="52">
        <f>RB5*RB4</f>
        <v/>
      </c>
      <c r="RC6" s="52">
        <f>RC5*RC4</f>
        <v/>
      </c>
      <c r="RD6" s="52">
        <f>RD5*RD4</f>
        <v/>
      </c>
      <c r="RE6" s="52">
        <f>RE5*RE4</f>
        <v/>
      </c>
      <c r="RF6" s="52">
        <f>RF5*RF4</f>
        <v/>
      </c>
      <c r="RG6" s="130" t="n"/>
      <c r="RH6" s="52">
        <f>RH5*RH4</f>
        <v/>
      </c>
      <c r="RI6" s="52">
        <f>RI5*RI4</f>
        <v/>
      </c>
      <c r="RJ6" s="52">
        <f>RJ5*RJ4</f>
        <v/>
      </c>
      <c r="RK6" s="52">
        <f>RK5*RK4</f>
        <v/>
      </c>
      <c r="RL6" s="52">
        <f>RL5*RL4</f>
        <v/>
      </c>
      <c r="RM6" s="52">
        <f>RM5*RM4</f>
        <v/>
      </c>
      <c r="RN6" s="52">
        <f>RN5*RN4</f>
        <v/>
      </c>
      <c r="RO6" s="52">
        <f>RO5*RO4</f>
        <v/>
      </c>
      <c r="RP6" s="52">
        <f>RP5*RP4</f>
        <v/>
      </c>
      <c r="RQ6" s="52">
        <f>RQ5*RQ4</f>
        <v/>
      </c>
      <c r="RR6" s="52">
        <f>RR5*RR4</f>
        <v/>
      </c>
      <c r="RS6" s="52">
        <f>RS5*RS4</f>
        <v/>
      </c>
      <c r="RT6" s="52">
        <f>RT5*RT4</f>
        <v/>
      </c>
      <c r="RU6" s="52">
        <f>RU5*RU4</f>
        <v/>
      </c>
      <c r="RV6" s="52">
        <f>RV5*RV4</f>
        <v/>
      </c>
      <c r="RW6" s="52">
        <f>RW5*RW4</f>
        <v/>
      </c>
      <c r="RX6" s="52">
        <f>RX5*RX4</f>
        <v/>
      </c>
      <c r="RY6" s="52">
        <f>RY5*RY4</f>
        <v/>
      </c>
      <c r="RZ6" s="52">
        <f>RZ5*RZ4</f>
        <v/>
      </c>
      <c r="SA6" s="52">
        <f>SA5*SA4</f>
        <v/>
      </c>
      <c r="SB6" s="52">
        <f>SB5*SB4</f>
        <v/>
      </c>
      <c r="SC6" s="52">
        <f>SC5*SC4</f>
        <v/>
      </c>
      <c r="SD6" s="52">
        <f>SD5*SD4</f>
        <v/>
      </c>
      <c r="SE6" s="52">
        <f>SE5*SE4</f>
        <v/>
      </c>
      <c r="SF6" s="52">
        <f>SF5*SF4</f>
        <v/>
      </c>
      <c r="SG6" s="52">
        <f>SG5*SG4</f>
        <v/>
      </c>
      <c r="SH6" s="52">
        <f>SH5*SH4</f>
        <v/>
      </c>
      <c r="SI6" s="52">
        <f>SI5*SI4</f>
        <v/>
      </c>
      <c r="SJ6" s="52">
        <f>SJ5*SJ4</f>
        <v/>
      </c>
      <c r="SK6" s="52">
        <f>SK5*SK4</f>
        <v/>
      </c>
      <c r="SL6" s="130" t="n"/>
      <c r="SM6" s="52">
        <f>SM5*SM4</f>
        <v/>
      </c>
      <c r="SN6" s="52">
        <f>SN5*SN4</f>
        <v/>
      </c>
      <c r="SO6" s="52">
        <f>SO5*SO4</f>
        <v/>
      </c>
      <c r="SP6" s="52">
        <f>SP5*SP4</f>
        <v/>
      </c>
      <c r="SQ6" s="52">
        <f>SQ5*SQ4</f>
        <v/>
      </c>
      <c r="SR6" s="52">
        <f>SR5*SR4</f>
        <v/>
      </c>
      <c r="SS6" s="52">
        <f>SS5*SS4</f>
        <v/>
      </c>
      <c r="ST6" s="52">
        <f>ST5*ST4</f>
        <v/>
      </c>
      <c r="SU6" s="52">
        <f>SU5*SU4</f>
        <v/>
      </c>
      <c r="SV6" s="52">
        <f>SV5*SV4</f>
        <v/>
      </c>
      <c r="SW6" s="52">
        <f>SW5*SW4</f>
        <v/>
      </c>
      <c r="SX6" s="52">
        <f>SX5*SX4</f>
        <v/>
      </c>
      <c r="SY6" s="52">
        <f>SY5*SY4</f>
        <v/>
      </c>
      <c r="SZ6" s="52">
        <f>SZ5*SZ4</f>
        <v/>
      </c>
      <c r="TA6" s="52">
        <f>TA5*TA4</f>
        <v/>
      </c>
      <c r="TB6" s="52">
        <f>TB5*TB4</f>
        <v/>
      </c>
      <c r="TC6" s="52">
        <f>TC5*TC4</f>
        <v/>
      </c>
      <c r="TD6" s="52">
        <f>TD5*TD4</f>
        <v/>
      </c>
      <c r="TE6" s="52">
        <f>TE5*TE4</f>
        <v/>
      </c>
      <c r="TF6" s="52">
        <f>TF5*TF4</f>
        <v/>
      </c>
      <c r="TG6" s="52">
        <f>TG5*TG4</f>
        <v/>
      </c>
      <c r="TH6" s="52">
        <f>TH5*TH4</f>
        <v/>
      </c>
      <c r="TI6" s="52">
        <f>TI5*TI4</f>
        <v/>
      </c>
      <c r="TJ6" s="52">
        <f>TJ5*TJ4</f>
        <v/>
      </c>
      <c r="TK6" s="52">
        <f>TK5*TK4</f>
        <v/>
      </c>
      <c r="TL6" s="52">
        <f>TL5*TL4</f>
        <v/>
      </c>
      <c r="TM6" s="52">
        <f>TM5*TM4</f>
        <v/>
      </c>
      <c r="TN6" s="52">
        <f>TN5*TN4</f>
        <v/>
      </c>
      <c r="TO6" s="52">
        <f>TO5*TO4</f>
        <v/>
      </c>
      <c r="TP6" s="52">
        <f>TP5*TP4</f>
        <v/>
      </c>
      <c r="TQ6" s="52">
        <f>TQ5*TQ4</f>
        <v/>
      </c>
      <c r="TR6" s="130" t="n"/>
      <c r="TS6" s="52">
        <f>TS5*TS4</f>
        <v/>
      </c>
      <c r="TT6" s="52">
        <f>TT5*TT4</f>
        <v/>
      </c>
      <c r="TU6" s="52">
        <f>TU5*TU4</f>
        <v/>
      </c>
      <c r="TV6" s="52">
        <f>TV5*TV4</f>
        <v/>
      </c>
      <c r="TW6" s="52">
        <f>TW5*TW4</f>
        <v/>
      </c>
      <c r="TX6" s="52">
        <f>TX5*TX4</f>
        <v/>
      </c>
      <c r="TY6" s="52">
        <f>TY5*TY4</f>
        <v/>
      </c>
      <c r="TZ6" s="52">
        <f>TZ5*TZ4</f>
        <v/>
      </c>
      <c r="UA6" s="52">
        <f>UA5*UA4</f>
        <v/>
      </c>
      <c r="UB6" s="52">
        <f>UB5*UB4</f>
        <v/>
      </c>
      <c r="UC6" s="52">
        <f>UC5*UC4</f>
        <v/>
      </c>
      <c r="UD6" s="52">
        <f>UD5*UD4</f>
        <v/>
      </c>
      <c r="UE6" s="52">
        <f>UE5*UE4</f>
        <v/>
      </c>
      <c r="UF6" s="52">
        <f>UF5*UF4</f>
        <v/>
      </c>
      <c r="UG6" s="52">
        <f>UG5*UG4</f>
        <v/>
      </c>
      <c r="UH6" s="52">
        <f>UH5*UH4</f>
        <v/>
      </c>
      <c r="UI6" s="52">
        <f>UI5*UI4</f>
        <v/>
      </c>
      <c r="UJ6" s="52">
        <f>UJ5*UJ4</f>
        <v/>
      </c>
      <c r="UK6" s="52">
        <f>UK5*UK4</f>
        <v/>
      </c>
      <c r="UL6" s="52">
        <f>UL5*UL4</f>
        <v/>
      </c>
      <c r="UM6" s="52">
        <f>UM5*UM4</f>
        <v/>
      </c>
      <c r="UN6" s="52">
        <f>UN5*UN4</f>
        <v/>
      </c>
      <c r="UO6" s="52">
        <f>UO5*UO4</f>
        <v/>
      </c>
      <c r="UP6" s="52">
        <f>UP5*UP4</f>
        <v/>
      </c>
      <c r="UQ6" s="52">
        <f>UQ5*UQ4</f>
        <v/>
      </c>
      <c r="UR6" s="52">
        <f>UR5*UR4</f>
        <v/>
      </c>
      <c r="US6" s="52">
        <f>US5*US4</f>
        <v/>
      </c>
      <c r="UT6" s="52">
        <f>UT5*UT4</f>
        <v/>
      </c>
      <c r="UU6" s="52">
        <f>UU5*UU4</f>
        <v/>
      </c>
      <c r="UV6" s="52">
        <f>UV5*UV4</f>
        <v/>
      </c>
      <c r="UW6" s="52">
        <f>UW5*UW4</f>
        <v/>
      </c>
      <c r="UX6" s="130" t="n"/>
      <c r="UY6" s="52">
        <f>UY5*UY4</f>
        <v/>
      </c>
      <c r="UZ6" s="52">
        <f>UZ5*UZ4</f>
        <v/>
      </c>
      <c r="VA6" s="52">
        <f>VA5*VA4</f>
        <v/>
      </c>
      <c r="VB6" s="52">
        <f>VB5*VB4</f>
        <v/>
      </c>
      <c r="VC6" s="52">
        <f>VC5*VC4</f>
        <v/>
      </c>
      <c r="VD6" s="52">
        <f>VD5*VD4</f>
        <v/>
      </c>
      <c r="VE6" s="52">
        <f>VE5*VE4</f>
        <v/>
      </c>
      <c r="VF6" s="52">
        <f>VF5*VF4</f>
        <v/>
      </c>
      <c r="VG6" s="52">
        <f>VG5*VG4</f>
        <v/>
      </c>
      <c r="VH6" s="52">
        <f>VH5*VH4</f>
        <v/>
      </c>
      <c r="VI6" s="52">
        <f>VI5*VI4</f>
        <v/>
      </c>
      <c r="VJ6" s="52">
        <f>VJ5*VJ4</f>
        <v/>
      </c>
      <c r="VK6" s="52">
        <f>VK5*VK4</f>
        <v/>
      </c>
      <c r="VL6" s="52">
        <f>VL5*VL4</f>
        <v/>
      </c>
      <c r="VM6" s="52">
        <f>VM5*VM4</f>
        <v/>
      </c>
      <c r="VN6" s="52">
        <f>VN5*VN4</f>
        <v/>
      </c>
      <c r="VO6" s="52">
        <f>VO5*VO4</f>
        <v/>
      </c>
      <c r="VP6" s="52">
        <f>VP5*VP4</f>
        <v/>
      </c>
      <c r="VQ6" s="52">
        <f>VQ5*VQ4</f>
        <v/>
      </c>
      <c r="VR6" s="52">
        <f>VR5*VR4</f>
        <v/>
      </c>
      <c r="VS6" s="52">
        <f>VS5*VS4</f>
        <v/>
      </c>
      <c r="VT6" s="52">
        <f>VT5*VT4</f>
        <v/>
      </c>
      <c r="VU6" s="52">
        <f>VU5*VU4</f>
        <v/>
      </c>
      <c r="VV6" s="52">
        <f>VV5*VV4</f>
        <v/>
      </c>
      <c r="VW6" s="52">
        <f>VW5*VW4</f>
        <v/>
      </c>
      <c r="VX6" s="52">
        <f>VX5*VX4</f>
        <v/>
      </c>
      <c r="VY6" s="52">
        <f>VY5*VY4</f>
        <v/>
      </c>
      <c r="VZ6" s="52">
        <f>VZ5*VZ4</f>
        <v/>
      </c>
      <c r="WA6" s="139" t="n"/>
      <c r="WB6" s="52">
        <f>WB5*WB4</f>
        <v/>
      </c>
      <c r="WC6" s="52">
        <f>WC5*WC4</f>
        <v/>
      </c>
      <c r="WD6" s="52">
        <f>WD5*WD4</f>
        <v/>
      </c>
      <c r="WE6" s="52">
        <f>WE5*WE4</f>
        <v/>
      </c>
      <c r="WF6" s="52">
        <f>WF5*WF4</f>
        <v/>
      </c>
      <c r="WG6" s="52">
        <f>WG5*WG4</f>
        <v/>
      </c>
      <c r="WH6" s="52">
        <f>WH5*WH4</f>
        <v/>
      </c>
      <c r="WI6" s="52">
        <f>WI5*WI4</f>
        <v/>
      </c>
      <c r="WJ6" s="52">
        <f>WJ5*WJ4</f>
        <v/>
      </c>
      <c r="WK6" s="52">
        <f>WK5*WK4</f>
        <v/>
      </c>
      <c r="WL6" s="52">
        <f>WL5*WL4</f>
        <v/>
      </c>
      <c r="WM6" s="52">
        <f>WM5*WM4</f>
        <v/>
      </c>
      <c r="WN6" s="52">
        <f>WN5*WN4</f>
        <v/>
      </c>
      <c r="WO6" s="52">
        <f>WO5*WO4</f>
        <v/>
      </c>
      <c r="WP6" s="52">
        <f>WP5*WP4</f>
        <v/>
      </c>
      <c r="WQ6" s="52">
        <f>WQ5*WQ4</f>
        <v/>
      </c>
      <c r="WR6" s="52">
        <f>WR5*WR4</f>
        <v/>
      </c>
      <c r="WS6" s="52">
        <f>WS5*WS4</f>
        <v/>
      </c>
      <c r="WT6" s="52">
        <f>WT5*WT4</f>
        <v/>
      </c>
      <c r="WU6" s="52">
        <f>WU5*WU4</f>
        <v/>
      </c>
      <c r="WV6" s="52">
        <f>WV5*WV4</f>
        <v/>
      </c>
      <c r="WW6" s="52">
        <f>WW5*WW4</f>
        <v/>
      </c>
      <c r="WX6" s="52">
        <f>WX5*WX4</f>
        <v/>
      </c>
      <c r="WY6" s="52">
        <f>WY5*WY4</f>
        <v/>
      </c>
      <c r="WZ6" s="52">
        <f>WZ5*WZ4</f>
        <v/>
      </c>
      <c r="XA6" s="52">
        <f>XA5*XA4</f>
        <v/>
      </c>
      <c r="XB6" s="52">
        <f>XB5*XB4</f>
        <v/>
      </c>
      <c r="XC6" s="52">
        <f>XC5*XC4</f>
        <v/>
      </c>
      <c r="XD6" s="52">
        <f>XD5*XD4</f>
        <v/>
      </c>
      <c r="XE6" s="52">
        <f>XE5*XE4</f>
        <v/>
      </c>
      <c r="XF6" s="52">
        <f>XF5*XF4</f>
        <v/>
      </c>
      <c r="XG6" s="139" t="n"/>
      <c r="XH6" s="52">
        <f>XH5*XH4</f>
        <v/>
      </c>
      <c r="XI6" s="52">
        <f>XI5*XI4</f>
        <v/>
      </c>
      <c r="XJ6" s="52">
        <f>XJ5*XJ4</f>
        <v/>
      </c>
      <c r="XK6" s="52">
        <f>XK5*XK4</f>
        <v/>
      </c>
      <c r="XL6" s="52">
        <f>XL5*XL4</f>
        <v/>
      </c>
      <c r="XM6" s="52">
        <f>XM5*XM4</f>
        <v/>
      </c>
      <c r="XN6" s="52">
        <f>XN5*XN4</f>
        <v/>
      </c>
      <c r="XO6" s="52">
        <f>XO5*XO4</f>
        <v/>
      </c>
      <c r="XP6" s="52">
        <f>XP5*XP4</f>
        <v/>
      </c>
      <c r="XQ6" s="52">
        <f>XQ5*XQ4</f>
        <v/>
      </c>
      <c r="XR6" s="52">
        <f>XR5*XR4</f>
        <v/>
      </c>
      <c r="XS6" s="52">
        <f>XS5*XS4</f>
        <v/>
      </c>
      <c r="XT6" s="52">
        <f>XT5*XT4</f>
        <v/>
      </c>
      <c r="XU6" s="52">
        <f>XU5*XU4</f>
        <v/>
      </c>
      <c r="XV6" s="52">
        <f>XV5*XV4</f>
        <v/>
      </c>
      <c r="XW6" s="52">
        <f>XW5*XW4</f>
        <v/>
      </c>
      <c r="XX6" s="52">
        <f>XX5*XX4</f>
        <v/>
      </c>
      <c r="XY6" s="52">
        <f>XY5*XY4</f>
        <v/>
      </c>
      <c r="XZ6" s="52">
        <f>XZ5*XZ4</f>
        <v/>
      </c>
      <c r="YA6" s="52">
        <f>YA5*YA4</f>
        <v/>
      </c>
      <c r="YB6" s="52">
        <f>YB5*YB4</f>
        <v/>
      </c>
      <c r="YC6" s="52">
        <f>YC5*YC4</f>
        <v/>
      </c>
      <c r="YD6" s="52">
        <f>YD5*YD4</f>
        <v/>
      </c>
      <c r="YE6" s="52">
        <f>YE5*YE4</f>
        <v/>
      </c>
      <c r="YF6" s="52">
        <f>YF5*YF4</f>
        <v/>
      </c>
      <c r="YG6" s="52">
        <f>YG5*YG4</f>
        <v/>
      </c>
      <c r="YH6" s="52">
        <f>YH5*YH4</f>
        <v/>
      </c>
      <c r="YI6" s="52">
        <f>YI5*YI4</f>
        <v/>
      </c>
      <c r="YJ6" s="52">
        <f>YJ5*YJ4</f>
        <v/>
      </c>
      <c r="YK6" s="52">
        <f>YK5*YK4</f>
        <v/>
      </c>
      <c r="YL6" s="130" t="n"/>
      <c r="YM6" s="52">
        <f>YM5*YM4</f>
        <v/>
      </c>
      <c r="YN6" s="52">
        <f>YN5*YN4</f>
        <v/>
      </c>
      <c r="YO6" s="52">
        <f>YO5*YO4</f>
        <v/>
      </c>
      <c r="YP6" s="52">
        <f>YP5*YP4</f>
        <v/>
      </c>
      <c r="YQ6" s="52">
        <f>YQ5*YQ4</f>
        <v/>
      </c>
      <c r="YR6" s="52">
        <f>YR5*YR4</f>
        <v/>
      </c>
      <c r="YS6" s="52">
        <f>YS5*YS4</f>
        <v/>
      </c>
      <c r="YT6" s="52">
        <f>YT5*YT4</f>
        <v/>
      </c>
      <c r="YU6" s="52">
        <f>YU5*YU4</f>
        <v/>
      </c>
      <c r="YV6" s="52">
        <f>YV5*YV4</f>
        <v/>
      </c>
      <c r="YW6" s="52">
        <f>YW5*YW4</f>
        <v/>
      </c>
      <c r="YX6" s="52">
        <f>YX5*YX4</f>
        <v/>
      </c>
      <c r="YY6" s="52">
        <f>YY5*YY4</f>
        <v/>
      </c>
      <c r="YZ6" s="52">
        <f>YZ5*YZ4</f>
        <v/>
      </c>
      <c r="ZA6" s="52">
        <f>ZA5*ZA4</f>
        <v/>
      </c>
      <c r="ZB6" s="52">
        <f>ZB5*ZB4</f>
        <v/>
      </c>
      <c r="ZC6" s="52">
        <f>ZC5*ZC4</f>
        <v/>
      </c>
      <c r="ZD6" s="52">
        <f>ZD5*ZD4</f>
        <v/>
      </c>
      <c r="ZE6" s="52">
        <f>ZE5*ZE4</f>
        <v/>
      </c>
      <c r="ZF6" s="52">
        <f>ZF5*ZF4</f>
        <v/>
      </c>
      <c r="ZG6" s="52">
        <f>ZG5*ZG4</f>
        <v/>
      </c>
      <c r="ZH6" s="52">
        <f>ZH5*ZH4</f>
        <v/>
      </c>
      <c r="ZI6" s="52">
        <f>ZI5*ZI4</f>
        <v/>
      </c>
      <c r="ZJ6" s="52">
        <f>ZJ5*ZJ4</f>
        <v/>
      </c>
      <c r="ZK6" s="52">
        <f>ZK5*ZK4</f>
        <v/>
      </c>
      <c r="ZL6" s="52">
        <f>ZL5*ZL4</f>
        <v/>
      </c>
      <c r="ZM6" s="52">
        <f>ZM5*ZM4</f>
        <v/>
      </c>
      <c r="ZN6" s="52">
        <f>ZN5*ZN4</f>
        <v/>
      </c>
      <c r="ZO6" s="52">
        <f>ZO5*ZO4</f>
        <v/>
      </c>
      <c r="ZP6" s="52">
        <f>ZP5*ZP4</f>
        <v/>
      </c>
      <c r="ZQ6" s="52">
        <f>ZQ5*ZQ4</f>
        <v/>
      </c>
      <c r="ZR6" s="130" t="n"/>
      <c r="ZS6" s="52">
        <f>ZS5*ZS4</f>
        <v/>
      </c>
      <c r="ZT6" s="52">
        <f>ZT5*ZT4</f>
        <v/>
      </c>
      <c r="ZU6" s="52">
        <f>ZU5*ZU4</f>
        <v/>
      </c>
      <c r="ZV6" s="52">
        <f>ZV5*ZV4</f>
        <v/>
      </c>
      <c r="ZW6" s="52">
        <f>ZW5*ZW4</f>
        <v/>
      </c>
      <c r="ZX6" s="52">
        <f>ZX5*ZX4</f>
        <v/>
      </c>
      <c r="ZY6" s="52">
        <f>ZY5*ZY4</f>
        <v/>
      </c>
      <c r="ZZ6" s="52">
        <f>ZZ5*ZZ4</f>
        <v/>
      </c>
      <c r="AAA6" s="52">
        <f>AAA5*AAA4</f>
        <v/>
      </c>
      <c r="AAB6" s="52">
        <f>AAB5*AAB4</f>
        <v/>
      </c>
      <c r="AAC6" s="52">
        <f>AAC5*AAC4</f>
        <v/>
      </c>
      <c r="AAD6" s="52">
        <f>AAD5*AAD4</f>
        <v/>
      </c>
      <c r="AAE6" s="52">
        <f>AAE5*AAE4</f>
        <v/>
      </c>
      <c r="AAF6" s="52">
        <f>AAF5*AAF4</f>
        <v/>
      </c>
      <c r="AAG6" s="52">
        <f>AAG5*AAG4</f>
        <v/>
      </c>
      <c r="AAH6" s="52">
        <f>AAH5*AAH4</f>
        <v/>
      </c>
      <c r="AAI6" s="52">
        <f>AAI5*AAI4</f>
        <v/>
      </c>
      <c r="AAJ6" s="52">
        <f>AAJ5*AAJ4</f>
        <v/>
      </c>
      <c r="AAK6" s="52">
        <f>AAK5*AAK4</f>
        <v/>
      </c>
      <c r="AAL6" s="52">
        <f>AAL5*AAL4</f>
        <v/>
      </c>
      <c r="AAM6" s="52">
        <f>AAM5*AAM4</f>
        <v/>
      </c>
      <c r="AAN6" s="52">
        <f>AAN5*AAN4</f>
        <v/>
      </c>
      <c r="AAO6" s="52">
        <f>AAO5*AAO4</f>
        <v/>
      </c>
      <c r="AAP6" s="52">
        <f>AAP5*AAP4</f>
        <v/>
      </c>
      <c r="AAQ6" s="52">
        <f>AAQ5*AAQ4</f>
        <v/>
      </c>
      <c r="AAR6" s="52">
        <f>AAR5*AAR4</f>
        <v/>
      </c>
      <c r="AAS6" s="52">
        <f>AAS5*AAS4</f>
        <v/>
      </c>
      <c r="AAT6" s="52">
        <f>AAT5*AAT4</f>
        <v/>
      </c>
      <c r="AAU6" s="52">
        <f>AAU5*AAU4</f>
        <v/>
      </c>
      <c r="AAV6" s="52">
        <f>AAV5*AAV4</f>
        <v/>
      </c>
      <c r="AAW6" s="130" t="n"/>
      <c r="AAX6" s="52">
        <f>AAX5*AAX4</f>
        <v/>
      </c>
      <c r="AAY6" s="52">
        <f>AAY5*AAY4</f>
        <v/>
      </c>
      <c r="AAZ6" s="52">
        <f>AAZ5*AAZ4</f>
        <v/>
      </c>
      <c r="ABA6" s="52">
        <f>ABA5*ABA4</f>
        <v/>
      </c>
      <c r="ABB6" s="52">
        <f>ABB5*ABB4</f>
        <v/>
      </c>
      <c r="ABC6" s="52">
        <f>ABC5*ABC4</f>
        <v/>
      </c>
      <c r="ABD6" s="52">
        <f>ABD5*ABD4</f>
        <v/>
      </c>
      <c r="ABE6" s="52">
        <f>ABE5*ABE4</f>
        <v/>
      </c>
      <c r="ABF6" s="52">
        <f>ABF5*ABF4</f>
        <v/>
      </c>
      <c r="ABG6" s="52">
        <f>ABG5*ABG4</f>
        <v/>
      </c>
      <c r="ABH6" s="52">
        <f>ABH5*ABH4</f>
        <v/>
      </c>
      <c r="ABI6" s="52">
        <f>ABI5*ABI4</f>
        <v/>
      </c>
      <c r="ABJ6" s="52">
        <f>ABJ5*ABJ4</f>
        <v/>
      </c>
      <c r="ABK6" s="52">
        <f>ABK5*ABK4</f>
        <v/>
      </c>
      <c r="ABL6" s="52">
        <f>ABL5*ABL4</f>
        <v/>
      </c>
      <c r="ABM6" s="52">
        <f>ABM5*ABM4</f>
        <v/>
      </c>
      <c r="ABN6" s="52">
        <f>ABN5*ABN4</f>
        <v/>
      </c>
      <c r="ABO6" s="52">
        <f>ABO5*ABO4</f>
        <v/>
      </c>
      <c r="ABP6" s="52">
        <f>ABP5*ABP4</f>
        <v/>
      </c>
      <c r="ABQ6" s="52">
        <f>ABQ5*ABQ4</f>
        <v/>
      </c>
      <c r="ABR6" s="52">
        <f>ABR5*ABR4</f>
        <v/>
      </c>
      <c r="ABS6" s="52">
        <f>ABS5*ABS4</f>
        <v/>
      </c>
      <c r="ABT6" s="52">
        <f>ABT5*ABT4</f>
        <v/>
      </c>
      <c r="ABU6" s="52">
        <f>ABU5*ABU4</f>
        <v/>
      </c>
      <c r="ABV6" s="52">
        <f>ABV5*ABV4</f>
        <v/>
      </c>
      <c r="ABW6" s="52">
        <f>ABW5*ABW4</f>
        <v/>
      </c>
      <c r="ABX6" s="52">
        <f>ABX5*ABX4</f>
        <v/>
      </c>
      <c r="ABY6" s="52">
        <f>ABY5*ABY4</f>
        <v/>
      </c>
      <c r="ABZ6" s="52">
        <f>ABZ5*ABZ4</f>
        <v/>
      </c>
      <c r="ACA6" s="52">
        <f>ACA5*ACA4</f>
        <v/>
      </c>
      <c r="ACB6" s="52">
        <f>ACB5*ACB4</f>
        <v/>
      </c>
      <c r="ACC6" s="130" t="n"/>
      <c r="ACD6" s="52">
        <f>ACD5*ACD4</f>
        <v/>
      </c>
      <c r="ACE6" s="52">
        <f>ACE5*ACE4</f>
        <v/>
      </c>
      <c r="ACF6" s="52">
        <f>ACF5*ACF4</f>
        <v/>
      </c>
      <c r="ACG6" s="52">
        <f>ACG5*ACG4</f>
        <v/>
      </c>
      <c r="ACH6" s="52">
        <f>ACH5*ACH4</f>
        <v/>
      </c>
      <c r="ACI6" s="52">
        <f>ACI5*ACI4</f>
        <v/>
      </c>
      <c r="ACJ6" s="52">
        <f>ACJ5*ACJ4</f>
        <v/>
      </c>
      <c r="ACK6" s="52">
        <f>ACK5*ACK4</f>
        <v/>
      </c>
      <c r="ACL6" s="52">
        <f>ACL5*ACL4</f>
        <v/>
      </c>
      <c r="ACM6" s="52">
        <f>ACM5*ACM4</f>
        <v/>
      </c>
      <c r="ACN6" s="52">
        <f>ACN5*ACN4</f>
        <v/>
      </c>
      <c r="ACO6" s="52">
        <f>ACO5*ACO4</f>
        <v/>
      </c>
      <c r="ACP6" s="52">
        <f>ACP5*ACP4</f>
        <v/>
      </c>
      <c r="ACQ6" s="52">
        <f>ACQ5*ACQ4</f>
        <v/>
      </c>
      <c r="ACR6" s="52">
        <f>ACR5*ACR4</f>
        <v/>
      </c>
      <c r="ACS6" s="52">
        <f>ACS5*ACS4</f>
        <v/>
      </c>
      <c r="ACT6" s="52">
        <f>ACT5*ACT4</f>
        <v/>
      </c>
      <c r="ACU6" s="52">
        <f>ACU5*ACU4</f>
        <v/>
      </c>
      <c r="ACV6" s="52">
        <f>ACV5*ACV4</f>
        <v/>
      </c>
      <c r="ACW6" s="52">
        <f>ACW5*ACW4</f>
        <v/>
      </c>
      <c r="ACX6" s="52">
        <f>ACX5*ACX4</f>
        <v/>
      </c>
      <c r="ACY6" s="52">
        <f>ACY5*ACY4</f>
        <v/>
      </c>
      <c r="ACZ6" s="52">
        <f>ACZ5*ACZ4</f>
        <v/>
      </c>
      <c r="ADA6" s="52">
        <f>ADA5*ADA4</f>
        <v/>
      </c>
      <c r="ADB6" s="52">
        <f>ADB5*ADB4</f>
        <v/>
      </c>
      <c r="ADC6" s="52">
        <f>ADC5*ADC4</f>
        <v/>
      </c>
      <c r="ADD6" s="52">
        <f>ADD5*ADD4</f>
        <v/>
      </c>
      <c r="ADE6" s="52">
        <f>ADE5*ADE4</f>
        <v/>
      </c>
      <c r="ADF6" s="52">
        <f>ADF5*ADF4</f>
        <v/>
      </c>
      <c r="ADG6" s="52">
        <f>ADG5*ADG4</f>
        <v/>
      </c>
      <c r="ADH6" s="52">
        <f>ADH5*ADH4</f>
        <v/>
      </c>
      <c r="ADI6" s="130" t="n"/>
      <c r="ADJ6" s="52">
        <f>ADJ5*ADJ4</f>
        <v/>
      </c>
      <c r="ADK6" s="52">
        <f>ADK5*ADK4</f>
        <v/>
      </c>
      <c r="ADL6" s="52">
        <f>ADL5*ADL4</f>
        <v/>
      </c>
      <c r="ADM6" s="52">
        <f>ADM5*ADM4</f>
        <v/>
      </c>
      <c r="ADN6" s="52">
        <f>ADN5*ADN4</f>
        <v/>
      </c>
      <c r="ADO6" s="52">
        <f>ADO5*ADO4</f>
        <v/>
      </c>
      <c r="ADP6" s="52">
        <f>ADP5*ADP4</f>
        <v/>
      </c>
      <c r="ADQ6" s="52">
        <f>ADQ5*ADQ4</f>
        <v/>
      </c>
      <c r="ADR6" s="52">
        <f>ADR5*ADR4</f>
        <v/>
      </c>
      <c r="ADS6" s="52">
        <f>ADS5*ADS4</f>
        <v/>
      </c>
      <c r="ADT6" s="52">
        <f>ADT5*ADT4</f>
        <v/>
      </c>
      <c r="ADU6" s="52">
        <f>ADU5*ADU4</f>
        <v/>
      </c>
      <c r="ADV6" s="52">
        <f>ADV5*ADV4</f>
        <v/>
      </c>
      <c r="ADW6" s="52">
        <f>ADW5*ADW4</f>
        <v/>
      </c>
      <c r="ADX6" s="52">
        <f>ADX5*ADX4</f>
        <v/>
      </c>
      <c r="ADY6" s="52">
        <f>ADY5*ADY4</f>
        <v/>
      </c>
      <c r="ADZ6" s="52">
        <f>ADZ5*ADZ4</f>
        <v/>
      </c>
      <c r="AEA6" s="52">
        <f>AEA5*AEA4</f>
        <v/>
      </c>
      <c r="AEB6" s="52">
        <f>AEB5*AEB4</f>
        <v/>
      </c>
      <c r="AEC6" s="52">
        <f>AEC5*AEC4</f>
        <v/>
      </c>
      <c r="AED6" s="52">
        <f>AED5*AED4</f>
        <v/>
      </c>
      <c r="AEE6" s="52">
        <f>AEE5*AEE4</f>
        <v/>
      </c>
      <c r="AEF6" s="52">
        <f>AEF5*AEF4</f>
        <v/>
      </c>
      <c r="AEG6" s="52">
        <f>AEG5*AEG4</f>
        <v/>
      </c>
      <c r="AEH6" s="52">
        <f>AEH5*AEH4</f>
        <v/>
      </c>
      <c r="AEI6" s="52">
        <f>AEI5*AEI4</f>
        <v/>
      </c>
      <c r="AEJ6" s="52">
        <f>AEJ5*AEJ4</f>
        <v/>
      </c>
      <c r="AEK6" s="52">
        <f>AEK5*AEK4</f>
        <v/>
      </c>
      <c r="AEL6" s="52">
        <f>AEL5*AEL4</f>
        <v/>
      </c>
      <c r="AEM6" s="52">
        <f>AEM5*AEM4</f>
        <v/>
      </c>
      <c r="AEN6" s="130" t="n"/>
      <c r="AEO6" s="52">
        <f>AEO5*AEO4</f>
        <v/>
      </c>
      <c r="AEP6" s="52">
        <f>AEP5*AEP4</f>
        <v/>
      </c>
      <c r="AEQ6" s="52">
        <f>AEQ5*AEQ4</f>
        <v/>
      </c>
      <c r="AER6" s="52">
        <f>AER5*AER4</f>
        <v/>
      </c>
      <c r="AES6" s="52">
        <f>AES5*AES4</f>
        <v/>
      </c>
      <c r="AET6" s="52">
        <f>AET5*AET4</f>
        <v/>
      </c>
      <c r="AEU6" s="52">
        <f>AEU5*AEU4</f>
        <v/>
      </c>
      <c r="AEV6" s="52">
        <f>AEV5*AEV4</f>
        <v/>
      </c>
      <c r="AEW6" s="52">
        <f>AEW5*AEW4</f>
        <v/>
      </c>
      <c r="AEX6" s="52">
        <f>AEX5*AEX4</f>
        <v/>
      </c>
      <c r="AEY6" s="52">
        <f>AEY5*AEY4</f>
        <v/>
      </c>
      <c r="AEZ6" s="52">
        <f>AEZ5*AEZ4</f>
        <v/>
      </c>
      <c r="AFA6" s="52">
        <f>AFA5*AFA4</f>
        <v/>
      </c>
      <c r="AFB6" s="52">
        <f>AFB5*AFB4</f>
        <v/>
      </c>
      <c r="AFC6" s="52">
        <f>AFC5*AFC4</f>
        <v/>
      </c>
      <c r="AFD6" s="52">
        <f>AFD5*AFD4</f>
        <v/>
      </c>
      <c r="AFE6" s="52">
        <f>AFE5*AFE4</f>
        <v/>
      </c>
      <c r="AFF6" s="52">
        <f>AFF5*AFF4</f>
        <v/>
      </c>
      <c r="AFG6" s="52">
        <f>AFG5*AFG4</f>
        <v/>
      </c>
      <c r="AFH6" s="52">
        <f>AFH5*AFH4</f>
        <v/>
      </c>
      <c r="AFI6" s="52">
        <f>AFI5*AFI4</f>
        <v/>
      </c>
      <c r="AFJ6" s="52">
        <f>AFJ5*AFJ4</f>
        <v/>
      </c>
      <c r="AFK6" s="52">
        <f>AFK5*AFK4</f>
        <v/>
      </c>
      <c r="AFL6" s="52">
        <f>AFL5*AFL4</f>
        <v/>
      </c>
      <c r="AFM6" s="52">
        <f>AFM5*AFM4</f>
        <v/>
      </c>
      <c r="AFN6" s="52">
        <f>AFN5*AFN4</f>
        <v/>
      </c>
      <c r="AFO6" s="52">
        <f>AFO5*AFO4</f>
        <v/>
      </c>
      <c r="AFP6" s="52">
        <f>AFP5*AFP4</f>
        <v/>
      </c>
      <c r="AFQ6" s="52">
        <f>AFQ5*AFQ4</f>
        <v/>
      </c>
      <c r="AFR6" s="52">
        <f>AFR5*AFR4</f>
        <v/>
      </c>
      <c r="AFS6" s="52">
        <f>AFS5*AFS4</f>
        <v/>
      </c>
      <c r="AFT6" s="130" t="n"/>
      <c r="AFU6" s="52">
        <f>AFU5*AFU4</f>
        <v/>
      </c>
      <c r="AFV6" s="52">
        <f>AFV5*AFV4</f>
        <v/>
      </c>
      <c r="AFW6" s="52">
        <f>AFW5*AFW4</f>
        <v/>
      </c>
      <c r="AFX6" s="52">
        <f>AFX5*AFX4</f>
        <v/>
      </c>
      <c r="AFY6" s="52">
        <f>AFY5*AFY4</f>
        <v/>
      </c>
      <c r="AFZ6" s="52">
        <f>AFZ5*AFZ4</f>
        <v/>
      </c>
      <c r="AGA6" s="52">
        <f>AGA5*AGA4</f>
        <v/>
      </c>
      <c r="AGB6" s="52">
        <f>AGB5*AGB4</f>
        <v/>
      </c>
      <c r="AGC6" s="52">
        <f>AGC5*AGC4</f>
        <v/>
      </c>
      <c r="AGD6" s="52">
        <f>AGD5*AGD4</f>
        <v/>
      </c>
      <c r="AGE6" s="52">
        <f>AGE5*AGE4</f>
        <v/>
      </c>
      <c r="AGF6" s="52">
        <f>AGF5*AGF4</f>
        <v/>
      </c>
      <c r="AGG6" s="52">
        <f>AGG5*AGG4</f>
        <v/>
      </c>
      <c r="AGH6" s="52">
        <f>AGH5*AGH4</f>
        <v/>
      </c>
      <c r="AGI6" s="52">
        <f>AGI5*AGI4</f>
        <v/>
      </c>
      <c r="AGJ6" s="52">
        <f>AGJ5*AGJ4</f>
        <v/>
      </c>
      <c r="AGK6" s="52">
        <f>AGK5*AGK4</f>
        <v/>
      </c>
      <c r="AGL6" s="52">
        <f>AGL5*AGL4</f>
        <v/>
      </c>
      <c r="AGM6" s="52">
        <f>AGM5*AGM4</f>
        <v/>
      </c>
      <c r="AGN6" s="52">
        <f>AGN5*AGN4</f>
        <v/>
      </c>
      <c r="AGO6" s="52">
        <f>AGO5*AGO4</f>
        <v/>
      </c>
      <c r="AGP6" s="52">
        <f>AGP5*AGP4</f>
        <v/>
      </c>
      <c r="AGQ6" s="52">
        <f>AGQ5*AGQ4</f>
        <v/>
      </c>
      <c r="AGR6" s="52">
        <f>AGR5*AGR4</f>
        <v/>
      </c>
      <c r="AGS6" s="52">
        <f>AGS5*AGS4</f>
        <v/>
      </c>
      <c r="AGT6" s="52">
        <f>AGT5*AGT4</f>
        <v/>
      </c>
      <c r="AGU6" s="52">
        <f>AGU5*AGU4</f>
        <v/>
      </c>
      <c r="AGV6" s="52">
        <f>AGV5*AGV4</f>
        <v/>
      </c>
      <c r="AGW6" s="52">
        <f>AGW5*AGW4</f>
        <v/>
      </c>
      <c r="AGX6" s="52">
        <f>AGX5*AGX4</f>
        <v/>
      </c>
      <c r="AGY6" s="139" t="n"/>
      <c r="AGZ6" s="52">
        <f>AGZ5*AGZ4</f>
        <v/>
      </c>
      <c r="AHA6" s="52">
        <f>AHA5*AHA4</f>
        <v/>
      </c>
      <c r="AHB6" s="52">
        <f>AHB5*AHB4</f>
        <v/>
      </c>
      <c r="AHC6" s="52">
        <f>AHC5*AHC4</f>
        <v/>
      </c>
      <c r="AHD6" s="52">
        <f>AHD5*AHD4</f>
        <v/>
      </c>
      <c r="AHE6" s="52">
        <f>AHE5*AHE4</f>
        <v/>
      </c>
      <c r="AHF6" s="52">
        <f>AHF5*AHF4</f>
        <v/>
      </c>
      <c r="AHG6" s="52">
        <f>AHG5*AHG4</f>
        <v/>
      </c>
      <c r="AHH6" s="52">
        <f>AHH5*AHH4</f>
        <v/>
      </c>
      <c r="AHI6" s="52">
        <f>AHI5*AHI4</f>
        <v/>
      </c>
      <c r="AHJ6" s="52">
        <f>AHJ5*AHJ4</f>
        <v/>
      </c>
      <c r="AHK6" s="52">
        <f>AHK5*AHK4</f>
        <v/>
      </c>
      <c r="AHL6" s="52">
        <f>AHL5*AHL4</f>
        <v/>
      </c>
      <c r="AHM6" s="52">
        <f>AHM5*AHM4</f>
        <v/>
      </c>
      <c r="AHN6" s="52">
        <f>AHN5*AHN4</f>
        <v/>
      </c>
      <c r="AHO6" s="52">
        <f>AHO5*AHO4</f>
        <v/>
      </c>
      <c r="AHP6" s="52">
        <f>AHP5*AHP4</f>
        <v/>
      </c>
      <c r="AHQ6" s="52">
        <f>AHQ5*AHQ4</f>
        <v/>
      </c>
      <c r="AHR6" s="52">
        <f>AHR5*AHR4</f>
        <v/>
      </c>
      <c r="AHS6" s="52">
        <f>AHS5*AHS4</f>
        <v/>
      </c>
      <c r="AHT6" s="52">
        <f>AHT5*AHT4</f>
        <v/>
      </c>
      <c r="AHU6" s="52">
        <f>AHU5*AHU4</f>
        <v/>
      </c>
      <c r="AHV6" s="52">
        <f>AHV5*AHV4</f>
        <v/>
      </c>
      <c r="AHW6" s="52">
        <f>AHW5*AHW4</f>
        <v/>
      </c>
      <c r="AHX6" s="52">
        <f>AHX5*AHX4</f>
        <v/>
      </c>
      <c r="AHY6" s="52">
        <f>AHY5*AHY4</f>
        <v/>
      </c>
      <c r="AHZ6" s="52">
        <f>AHZ5*AHZ4</f>
        <v/>
      </c>
      <c r="AIA6" s="52">
        <f>AIA5*AIA4</f>
        <v/>
      </c>
      <c r="AIB6" s="52">
        <f>AIB5*AIB4</f>
        <v/>
      </c>
      <c r="AIC6" s="52">
        <f>AIC5*AIC4</f>
        <v/>
      </c>
      <c r="AID6" s="52">
        <f>AID5*AID4</f>
        <v/>
      </c>
      <c r="AIE6" s="130" t="n"/>
      <c r="AIF6" s="52">
        <f>AIF5*AIF4</f>
        <v/>
      </c>
      <c r="AIG6" s="52">
        <f>AIG5*AIG4</f>
        <v/>
      </c>
      <c r="AIH6" s="52">
        <f>AIH5*AIH4</f>
        <v/>
      </c>
      <c r="AII6" s="52">
        <f>AII5*AII4</f>
        <v/>
      </c>
      <c r="AIJ6" s="52">
        <f>AIJ5*AIJ4</f>
        <v/>
      </c>
      <c r="AIK6" s="52">
        <f>AIK5*AIK4</f>
        <v/>
      </c>
      <c r="AIL6" s="52">
        <f>AIL5*AIL4</f>
        <v/>
      </c>
      <c r="AIM6" s="52">
        <f>AIM5*AIM4</f>
        <v/>
      </c>
      <c r="AIN6" s="52">
        <f>AIN5*AIN4</f>
        <v/>
      </c>
      <c r="AIO6" s="52">
        <f>AIO5*AIO4</f>
        <v/>
      </c>
      <c r="AIP6" s="52">
        <f>AIP5*AIP4</f>
        <v/>
      </c>
      <c r="AIQ6" s="52">
        <f>AIQ5*AIQ4</f>
        <v/>
      </c>
      <c r="AIR6" s="52">
        <f>AIR5*AIR4</f>
        <v/>
      </c>
      <c r="AIS6" s="52">
        <f>AIS5*AIS4</f>
        <v/>
      </c>
      <c r="AIT6" s="52">
        <f>AIT5*AIT4</f>
        <v/>
      </c>
      <c r="AIU6" s="52">
        <f>AIU5*AIU4</f>
        <v/>
      </c>
      <c r="AIV6" s="52">
        <f>AIV5*AIV4</f>
        <v/>
      </c>
      <c r="AIW6" s="52">
        <f>AIW5*AIW4</f>
        <v/>
      </c>
      <c r="AIX6" s="52">
        <f>AIX5*AIX4</f>
        <v/>
      </c>
      <c r="AIY6" s="52">
        <f>AIY5*AIY4</f>
        <v/>
      </c>
      <c r="AIZ6" s="52">
        <f>AIZ5*AIZ4</f>
        <v/>
      </c>
      <c r="AJA6" s="52">
        <f>AJA5*AJA4</f>
        <v/>
      </c>
      <c r="AJB6" s="52">
        <f>AJB5*AJB4</f>
        <v/>
      </c>
      <c r="AJC6" s="52">
        <f>AJC5*AJC4</f>
        <v/>
      </c>
      <c r="AJD6" s="52">
        <f>AJD5*AJD4</f>
        <v/>
      </c>
      <c r="AJE6" s="52">
        <f>AJE5*AJE4</f>
        <v/>
      </c>
      <c r="AJF6" s="52">
        <f>AJF5*AJF4</f>
        <v/>
      </c>
      <c r="AJG6" s="52">
        <f>AJG5*AJG4</f>
        <v/>
      </c>
      <c r="AJH6" s="52">
        <f>AJH5*AJH4</f>
        <v/>
      </c>
      <c r="AJI6" s="52">
        <f>AJI5*AJI4</f>
        <v/>
      </c>
      <c r="AJJ6" s="52">
        <f>AJJ5*AJJ4</f>
        <v/>
      </c>
      <c r="AJK6" s="145" t="n"/>
      <c r="AJL6" s="52">
        <f>AJL5*AJL4</f>
        <v/>
      </c>
      <c r="AJM6" s="52">
        <f>AJM5*AJM4</f>
        <v/>
      </c>
      <c r="AJN6" s="52">
        <f>AJN5*AJN4</f>
        <v/>
      </c>
      <c r="AJO6" s="52">
        <f>AJO5*AJO4</f>
        <v/>
      </c>
      <c r="AJP6" s="52">
        <f>AJP5*AJP4</f>
        <v/>
      </c>
      <c r="AJQ6" s="52">
        <f>AJQ5*AJQ4</f>
        <v/>
      </c>
      <c r="AJR6" s="52">
        <f>AJR5*AJR4</f>
        <v/>
      </c>
      <c r="AJS6" s="52">
        <f>AJS5*AJS4</f>
        <v/>
      </c>
      <c r="AJT6" s="52">
        <f>AJT5*AJT4</f>
        <v/>
      </c>
      <c r="AJU6" s="52">
        <f>AJU5*AJU4</f>
        <v/>
      </c>
      <c r="AJV6" s="52">
        <f>AJV5*AJV4</f>
        <v/>
      </c>
      <c r="AJW6" s="52">
        <f>AJW5*AJW4</f>
        <v/>
      </c>
      <c r="AJX6" s="52">
        <f>AJX5*AJX4</f>
        <v/>
      </c>
      <c r="AJY6" s="52">
        <f>AJY5*AJY4</f>
        <v/>
      </c>
      <c r="AJZ6" s="52">
        <f>AJZ5*AJZ4</f>
        <v/>
      </c>
      <c r="AKA6" s="52">
        <f>AKA5*AKA4</f>
        <v/>
      </c>
      <c r="AKB6" s="52">
        <f>AKB5*AKB4</f>
        <v/>
      </c>
      <c r="AKC6" s="52">
        <f>AKC5*AKC4</f>
        <v/>
      </c>
      <c r="AKD6" s="52">
        <f>AKD5*AKD4</f>
        <v/>
      </c>
      <c r="AKE6" s="52">
        <f>AKE5*AKE4</f>
        <v/>
      </c>
      <c r="AKF6" s="52">
        <f>AKF5*AKF4</f>
        <v/>
      </c>
      <c r="AKG6" s="52">
        <f>AKG5*AKG4</f>
        <v/>
      </c>
      <c r="AKH6" s="52">
        <f>AKH5*AKH4</f>
        <v/>
      </c>
      <c r="AKI6" s="52">
        <f>AKI5*AKI4</f>
        <v/>
      </c>
      <c r="AKJ6" s="52">
        <f>AKJ5*AKJ4</f>
        <v/>
      </c>
      <c r="AKK6" s="52">
        <f>AKK5*AKK4</f>
        <v/>
      </c>
      <c r="AKL6" s="52">
        <f>AKL5*AKL4</f>
        <v/>
      </c>
      <c r="AKM6" s="52">
        <f>AKM5*AKM4</f>
        <v/>
      </c>
      <c r="AKN6" s="151" t="n"/>
      <c r="AKO6" s="52">
        <f>AKO5*AKO4</f>
        <v/>
      </c>
      <c r="AKP6" s="52">
        <f>AKP5*AKP4</f>
        <v/>
      </c>
      <c r="AKQ6" s="52">
        <f>AKQ5*AKQ4</f>
        <v/>
      </c>
      <c r="AKR6" s="52">
        <f>AKR5*AKR4</f>
        <v/>
      </c>
      <c r="AKS6" s="52">
        <f>AKS5*AKS4</f>
        <v/>
      </c>
      <c r="AKT6" s="52">
        <f>AKT5*AKT4</f>
        <v/>
      </c>
      <c r="AKU6" s="52">
        <f>AKU5*AKU4</f>
        <v/>
      </c>
      <c r="AKV6" s="52">
        <f>AKV5*AKV4</f>
        <v/>
      </c>
      <c r="AKW6" s="52">
        <f>AKW5*AKW4</f>
        <v/>
      </c>
      <c r="AKX6" s="52">
        <f>AKX5*AKX4</f>
        <v/>
      </c>
      <c r="AKY6" s="52">
        <f>AKY5*AKY4</f>
        <v/>
      </c>
      <c r="AKZ6" s="52">
        <f>AKZ5*AKZ4</f>
        <v/>
      </c>
      <c r="ALA6" s="52">
        <f>ALA5*ALA4</f>
        <v/>
      </c>
      <c r="ALB6" s="52">
        <f>ALB5*ALB4</f>
        <v/>
      </c>
      <c r="ALC6" s="52">
        <f>ALC5*ALC4</f>
        <v/>
      </c>
      <c r="ALD6" s="52">
        <f>ALD5*ALD4</f>
        <v/>
      </c>
      <c r="ALE6" s="52">
        <f>ALE5*ALE4</f>
        <v/>
      </c>
      <c r="ALF6" s="52">
        <f>ALF5*ALF4</f>
        <v/>
      </c>
      <c r="ALG6" s="52">
        <f>ALG5*ALG4</f>
        <v/>
      </c>
      <c r="ALH6" s="52">
        <f>ALH5*ALH4</f>
        <v/>
      </c>
      <c r="ALI6" s="52">
        <f>ALI5*ALI4</f>
        <v/>
      </c>
      <c r="ALJ6" s="52">
        <f>ALJ5*ALJ4</f>
        <v/>
      </c>
      <c r="ALK6" s="52">
        <f>ALK5*ALK4</f>
        <v/>
      </c>
      <c r="ALL6" s="52">
        <f>ALL5*ALL4</f>
        <v/>
      </c>
      <c r="ALM6" s="52">
        <f>ALM5*ALM4</f>
        <v/>
      </c>
      <c r="ALN6" s="52">
        <f>ALN5*ALN4</f>
        <v/>
      </c>
      <c r="ALO6" s="52">
        <f>ALO5*ALO4</f>
        <v/>
      </c>
      <c r="ALP6" s="52">
        <f>ALP5*ALP4</f>
        <v/>
      </c>
      <c r="ALQ6" s="52">
        <f>ALQ5*ALQ4</f>
        <v/>
      </c>
      <c r="ALR6" s="52">
        <f>ALR5*ALR4</f>
        <v/>
      </c>
      <c r="ALS6" s="52">
        <f>ALS5*ALS4</f>
        <v/>
      </c>
      <c r="ALT6" s="130" t="n"/>
      <c r="ALU6" s="52">
        <f>ALU5*ALU4</f>
        <v/>
      </c>
      <c r="ALV6" s="52">
        <f>ALV5*ALV4</f>
        <v/>
      </c>
      <c r="ALW6" s="52">
        <f>ALW5*ALW4</f>
        <v/>
      </c>
      <c r="ALX6" s="52">
        <f>ALX5*ALX4</f>
        <v/>
      </c>
      <c r="ALY6" s="52">
        <f>ALY5*ALY4</f>
        <v/>
      </c>
      <c r="ALZ6" s="52">
        <f>ALZ5*ALZ4</f>
        <v/>
      </c>
      <c r="AMA6" s="52">
        <f>AMA5*AMA4</f>
        <v/>
      </c>
      <c r="AMB6" s="52">
        <f>AMB5*AMB4</f>
        <v/>
      </c>
      <c r="AMC6" s="52">
        <f>AMC5*AMC4</f>
        <v/>
      </c>
      <c r="AMD6" s="52">
        <f>AMD5*AMD4</f>
        <v/>
      </c>
      <c r="AME6" s="52">
        <f>AME5*AME4</f>
        <v/>
      </c>
      <c r="AMF6" s="52">
        <f>AMF5*AMF4</f>
        <v/>
      </c>
      <c r="AMG6" s="52">
        <f>AMG5*AMG4</f>
        <v/>
      </c>
      <c r="AMH6" s="52">
        <f>AMH5*AMH4</f>
        <v/>
      </c>
      <c r="AMI6" s="52">
        <f>AMI5*AMI4</f>
        <v/>
      </c>
      <c r="AMJ6" s="52">
        <f>AMJ5*AMJ4</f>
        <v/>
      </c>
      <c r="AMK6" s="52">
        <f>AMK5*AMK4</f>
        <v/>
      </c>
      <c r="AML6" s="52">
        <f>AML5*AML4</f>
        <v/>
      </c>
      <c r="AMM6" s="52">
        <f>AMM5*AMM4</f>
        <v/>
      </c>
      <c r="AMN6" s="52">
        <f>AMN5*AMN4</f>
        <v/>
      </c>
      <c r="AMO6" s="52">
        <f>AMO5*AMO4</f>
        <v/>
      </c>
      <c r="AMP6" s="52">
        <f>AMP5*AMP4</f>
        <v/>
      </c>
      <c r="AMQ6" s="52">
        <f>AMQ5*AMQ4</f>
        <v/>
      </c>
      <c r="AMR6" s="52">
        <f>AMR5*AMR4</f>
        <v/>
      </c>
      <c r="AMS6" s="52">
        <f>AMS5*AMS4</f>
        <v/>
      </c>
      <c r="AMT6" s="52">
        <f>AMT5*AMT4</f>
        <v/>
      </c>
      <c r="AMU6" s="52">
        <f>AMU5*AMU4</f>
        <v/>
      </c>
      <c r="AMV6" s="52">
        <f>AMV5*AMV4</f>
        <v/>
      </c>
      <c r="AMW6" s="52">
        <f>AMW5*AMW4</f>
        <v/>
      </c>
      <c r="AMX6" s="52">
        <f>AMX5*AMX4</f>
        <v/>
      </c>
      <c r="AMY6" s="130" t="n"/>
      <c r="AMZ6" s="52">
        <f>AMZ5*AMZ4</f>
        <v/>
      </c>
      <c r="ANA6" s="52">
        <f>ANA5*ANA4</f>
        <v/>
      </c>
      <c r="ANB6" s="52">
        <f>ANB5*ANB4</f>
        <v/>
      </c>
      <c r="ANC6" s="52">
        <f>ANC5*ANC4</f>
        <v/>
      </c>
      <c r="AND6" s="52">
        <f>AND5*AND4</f>
        <v/>
      </c>
      <c r="ANE6" s="52">
        <f>ANE5*ANE4</f>
        <v/>
      </c>
      <c r="ANF6" s="52">
        <f>ANF5*ANF4</f>
        <v/>
      </c>
      <c r="ANG6" s="52">
        <f>ANG5*ANG4</f>
        <v/>
      </c>
      <c r="ANH6" s="52">
        <f>ANH5*ANH4</f>
        <v/>
      </c>
      <c r="ANI6" s="52">
        <f>ANI5*ANI4</f>
        <v/>
      </c>
      <c r="ANJ6" s="52">
        <f>ANJ5*ANJ4</f>
        <v/>
      </c>
      <c r="ANK6" s="52">
        <f>ANK5*ANK4</f>
        <v/>
      </c>
      <c r="ANL6" s="52">
        <f>ANL5*ANL4</f>
        <v/>
      </c>
      <c r="ANM6" s="52">
        <f>ANM5*ANM4</f>
        <v/>
      </c>
      <c r="ANN6" s="52">
        <f>ANN5*ANN4</f>
        <v/>
      </c>
      <c r="ANO6" s="52">
        <f>ANO5*ANO4</f>
        <v/>
      </c>
      <c r="ANP6" s="52">
        <f>ANP5*ANP4</f>
        <v/>
      </c>
      <c r="ANQ6" s="52">
        <f>ANQ5*ANQ4</f>
        <v/>
      </c>
      <c r="ANR6" s="52">
        <f>ANR5*ANR4</f>
        <v/>
      </c>
      <c r="ANS6" s="52">
        <f>ANS5*ANS4</f>
        <v/>
      </c>
      <c r="ANT6" s="52">
        <f>ANT5*ANT4</f>
        <v/>
      </c>
      <c r="ANU6" s="52">
        <f>ANU5*ANU4</f>
        <v/>
      </c>
      <c r="ANV6" s="52">
        <f>ANV5*ANV4</f>
        <v/>
      </c>
      <c r="ANW6" s="52">
        <f>ANW5*ANW4</f>
        <v/>
      </c>
      <c r="ANX6" s="52">
        <f>ANX5*ANX4</f>
        <v/>
      </c>
      <c r="ANY6" s="52">
        <f>ANY5*ANY4</f>
        <v/>
      </c>
      <c r="ANZ6" s="52">
        <f>ANZ5*ANZ4</f>
        <v/>
      </c>
      <c r="AOA6" s="52">
        <f>AOA5*AOA4</f>
        <v/>
      </c>
      <c r="AOB6" s="52">
        <f>AOB5*AOB4</f>
        <v/>
      </c>
      <c r="AOC6" s="52">
        <f>AOC5*AOC4</f>
        <v/>
      </c>
    </row>
    <row r="7">
      <c r="B7" t="inlineStr">
        <is>
          <t>AGO QTY</t>
        </is>
      </c>
      <c r="C7" s="52">
        <f>BALANCING!C41</f>
        <v/>
      </c>
      <c r="D7" s="52">
        <f>BALANCING!D41</f>
        <v/>
      </c>
      <c r="E7" s="52">
        <f>BALANCING!E41</f>
        <v/>
      </c>
      <c r="F7" s="52">
        <f>BALANCING!F41</f>
        <v/>
      </c>
      <c r="G7" s="83">
        <f>BALANCING!G41</f>
        <v/>
      </c>
      <c r="H7" s="52">
        <f>BALANCING!H41</f>
        <v/>
      </c>
      <c r="I7" s="52">
        <f>BALANCING!I41</f>
        <v/>
      </c>
      <c r="J7" s="52">
        <f>BALANCING!J41</f>
        <v/>
      </c>
      <c r="K7" s="52">
        <f>BALANCING!K41</f>
        <v/>
      </c>
      <c r="L7" s="52">
        <f>BALANCING!L41</f>
        <v/>
      </c>
      <c r="M7" s="52">
        <f>BALANCING!M41</f>
        <v/>
      </c>
      <c r="N7" s="52">
        <f>BALANCING!N41</f>
        <v/>
      </c>
      <c r="O7" s="52">
        <f>BALANCING!O41</f>
        <v/>
      </c>
      <c r="P7" s="52">
        <f>BALANCING!P41</f>
        <v/>
      </c>
      <c r="Q7" s="52">
        <f>BALANCING!Q41</f>
        <v/>
      </c>
      <c r="R7" s="52">
        <f>BALANCING!R41</f>
        <v/>
      </c>
      <c r="S7" s="52">
        <f>BALANCING!S41</f>
        <v/>
      </c>
      <c r="T7" s="52">
        <f>BALANCING!T41</f>
        <v/>
      </c>
      <c r="U7" s="52">
        <f>BALANCING!U41</f>
        <v/>
      </c>
      <c r="V7" s="52">
        <f>BALANCING!V41</f>
        <v/>
      </c>
      <c r="W7" s="52">
        <f>BALANCING!W41</f>
        <v/>
      </c>
      <c r="X7" s="52">
        <f>BALANCING!X41</f>
        <v/>
      </c>
      <c r="Y7" s="52">
        <f>BALANCING!Y41</f>
        <v/>
      </c>
      <c r="Z7" s="52">
        <f>BALANCING!Z41</f>
        <v/>
      </c>
      <c r="AA7" s="52">
        <f>BALANCING!AA41</f>
        <v/>
      </c>
      <c r="AB7" s="52">
        <f>BALANCING!AB41</f>
        <v/>
      </c>
      <c r="AC7" s="52">
        <f>BALANCING!AC41</f>
        <v/>
      </c>
      <c r="AD7" s="52">
        <f>BALANCING!AD41</f>
        <v/>
      </c>
      <c r="AE7" s="52">
        <f>BALANCING!AE41</f>
        <v/>
      </c>
      <c r="AF7" s="52">
        <f>BALANCING!AF41</f>
        <v/>
      </c>
      <c r="AG7" s="52">
        <f>BALANCING!AG41</f>
        <v/>
      </c>
      <c r="AH7" s="67" t="n"/>
      <c r="AI7" s="52">
        <f>BALANCING!AI41</f>
        <v/>
      </c>
      <c r="AJ7" s="52">
        <f>BALANCING!AJ41</f>
        <v/>
      </c>
      <c r="AK7" s="52">
        <f>BALANCING!AK41</f>
        <v/>
      </c>
      <c r="AL7" s="52">
        <f>BALANCING!AL41</f>
        <v/>
      </c>
      <c r="AM7" s="52">
        <f>BALANCING!AM41</f>
        <v/>
      </c>
      <c r="AN7" s="52">
        <f>BALANCING!AN41</f>
        <v/>
      </c>
      <c r="AO7" s="52">
        <f>BALANCING!AO41</f>
        <v/>
      </c>
      <c r="AP7" s="52">
        <f>BALANCING!AP41</f>
        <v/>
      </c>
      <c r="AQ7" s="52">
        <f>BALANCING!AQ41</f>
        <v/>
      </c>
      <c r="AR7" s="52">
        <f>BALANCING!AR41</f>
        <v/>
      </c>
      <c r="AS7" s="52">
        <f>BALANCING!AS41</f>
        <v/>
      </c>
      <c r="AT7" s="52">
        <f>BALANCING!AT41</f>
        <v/>
      </c>
      <c r="AU7" s="52">
        <f>BALANCING!AU41</f>
        <v/>
      </c>
      <c r="AV7" s="52">
        <f>BALANCING!AV41</f>
        <v/>
      </c>
      <c r="AW7" s="52">
        <f>BALANCING!AW41</f>
        <v/>
      </c>
      <c r="AX7" s="52">
        <f>BALANCING!AX41</f>
        <v/>
      </c>
      <c r="AY7" s="52">
        <f>BALANCING!AY41</f>
        <v/>
      </c>
      <c r="AZ7" s="52">
        <f>BALANCING!AZ41</f>
        <v/>
      </c>
      <c r="BA7" s="52">
        <f>BALANCING!BA41</f>
        <v/>
      </c>
      <c r="BB7" s="52">
        <f>BALANCING!BB41</f>
        <v/>
      </c>
      <c r="BC7" s="52">
        <f>BALANCING!BC41</f>
        <v/>
      </c>
      <c r="BD7" s="52">
        <f>BALANCING!BD41</f>
        <v/>
      </c>
      <c r="BE7" s="52">
        <f>BALANCING!BE41</f>
        <v/>
      </c>
      <c r="BF7" s="52">
        <f>BALANCING!BF41</f>
        <v/>
      </c>
      <c r="BG7" s="52">
        <f>BALANCING!BG41</f>
        <v/>
      </c>
      <c r="BH7" s="52">
        <f>BALANCING!BH41</f>
        <v/>
      </c>
      <c r="BI7" s="52">
        <f>BALANCING!BI41</f>
        <v/>
      </c>
      <c r="BJ7" s="52">
        <f>BALANCING!BJ41</f>
        <v/>
      </c>
      <c r="BK7" s="52">
        <f>BALANCING!BK41</f>
        <v/>
      </c>
      <c r="BL7" s="52">
        <f>BALANCING!BL41</f>
        <v/>
      </c>
      <c r="BM7" s="105" t="n"/>
      <c r="BN7" s="52">
        <f>BALANCING!BN41</f>
        <v/>
      </c>
      <c r="BO7" s="52">
        <f>BALANCING!BO41</f>
        <v/>
      </c>
      <c r="BP7" s="52">
        <f>BALANCING!BP41</f>
        <v/>
      </c>
      <c r="BQ7" s="52">
        <f>BALANCING!BQ41</f>
        <v/>
      </c>
      <c r="BR7" s="52">
        <f>BALANCING!BR41</f>
        <v/>
      </c>
      <c r="BS7" s="52">
        <f>BALANCING!BS41</f>
        <v/>
      </c>
      <c r="BT7" s="52">
        <f>BALANCING!BT41</f>
        <v/>
      </c>
      <c r="BU7" s="52">
        <f>BALANCING!BU41</f>
        <v/>
      </c>
      <c r="BV7" s="52">
        <f>BALANCING!BV41</f>
        <v/>
      </c>
      <c r="BW7" s="52">
        <f>BALANCING!BW41</f>
        <v/>
      </c>
      <c r="BX7" s="52">
        <f>BALANCING!BX41</f>
        <v/>
      </c>
      <c r="BY7" s="52">
        <f>BALANCING!BY41</f>
        <v/>
      </c>
      <c r="BZ7" s="52">
        <f>BALANCING!BZ41</f>
        <v/>
      </c>
      <c r="CA7" s="52">
        <f>BALANCING!CA41</f>
        <v/>
      </c>
      <c r="CB7" s="52">
        <f>BALANCING!CB41</f>
        <v/>
      </c>
      <c r="CC7" s="52">
        <f>BALANCING!CC41</f>
        <v/>
      </c>
      <c r="CD7" s="52">
        <f>BALANCING!CD41</f>
        <v/>
      </c>
      <c r="CE7" s="52">
        <f>BALANCING!CE41</f>
        <v/>
      </c>
      <c r="CF7" s="52">
        <f>BALANCING!CF41</f>
        <v/>
      </c>
      <c r="CG7" s="52">
        <f>BALANCING!CG41</f>
        <v/>
      </c>
      <c r="CH7" s="52">
        <f>BALANCING!CH41</f>
        <v/>
      </c>
      <c r="CI7" s="52">
        <f>BALANCING!CI41</f>
        <v/>
      </c>
      <c r="CJ7" s="52">
        <f>BALANCING!CJ41</f>
        <v/>
      </c>
      <c r="CK7" s="52">
        <f>BALANCING!CK41</f>
        <v/>
      </c>
      <c r="CL7" s="52">
        <f>BALANCING!CL41</f>
        <v/>
      </c>
      <c r="CM7" s="52">
        <f>BALANCING!CM41</f>
        <v/>
      </c>
      <c r="CN7" s="52">
        <f>BALANCING!CN41</f>
        <v/>
      </c>
      <c r="CO7" s="52">
        <f>BALANCING!CO41</f>
        <v/>
      </c>
      <c r="CP7" s="52">
        <f>BALANCING!CP41</f>
        <v/>
      </c>
      <c r="CQ7" s="52">
        <f>BALANCING!CQ41</f>
        <v/>
      </c>
      <c r="CR7" s="52">
        <f>BALANCING!CR41</f>
        <v/>
      </c>
      <c r="CT7" s="52">
        <f>BALANCING!CT41</f>
        <v/>
      </c>
      <c r="CU7" s="52">
        <f>BALANCING!CU41</f>
        <v/>
      </c>
      <c r="CV7" s="52">
        <f>BALANCING!CV41</f>
        <v/>
      </c>
      <c r="CW7" s="52">
        <f>BALANCING!CW41</f>
        <v/>
      </c>
      <c r="CX7" s="52">
        <f>BALANCING!CX41</f>
        <v/>
      </c>
      <c r="CY7" s="52">
        <f>BALANCING!CY41</f>
        <v/>
      </c>
      <c r="CZ7" s="52">
        <f>BALANCING!CZ41</f>
        <v/>
      </c>
      <c r="DA7" s="52">
        <f>BALANCING!DA41</f>
        <v/>
      </c>
      <c r="DB7" s="52">
        <f>BALANCING!DB41</f>
        <v/>
      </c>
      <c r="DC7" s="52">
        <f>BALANCING!DC41</f>
        <v/>
      </c>
      <c r="DD7" s="52">
        <f>BALANCING!DD41</f>
        <v/>
      </c>
      <c r="DE7" s="52">
        <f>BALANCING!DE41</f>
        <v/>
      </c>
      <c r="DF7" s="52">
        <f>BALANCING!DF41</f>
        <v/>
      </c>
      <c r="DG7" s="52">
        <f>BALANCING!DG41</f>
        <v/>
      </c>
      <c r="DH7" s="52">
        <f>BALANCING!DH41</f>
        <v/>
      </c>
      <c r="DI7" s="52">
        <f>BALANCING!DI41</f>
        <v/>
      </c>
      <c r="DJ7" s="52">
        <f>BALANCING!DJ41</f>
        <v/>
      </c>
      <c r="DK7" s="52">
        <f>BALANCING!DK41</f>
        <v/>
      </c>
      <c r="DL7" s="52">
        <f>BALANCING!DL41</f>
        <v/>
      </c>
      <c r="DM7" s="52">
        <f>BALANCING!DM41</f>
        <v/>
      </c>
      <c r="DN7" s="52">
        <f>BALANCING!DN41</f>
        <v/>
      </c>
      <c r="DO7" s="52">
        <f>BALANCING!DO41</f>
        <v/>
      </c>
      <c r="DP7" s="52">
        <f>BALANCING!DP41</f>
        <v/>
      </c>
      <c r="DQ7" s="52">
        <f>BALANCING!DQ41</f>
        <v/>
      </c>
      <c r="DR7" s="52">
        <f>BALANCING!DR41</f>
        <v/>
      </c>
      <c r="DS7" s="52">
        <f>BALANCING!DS41</f>
        <v/>
      </c>
      <c r="DT7" s="52">
        <f>BALANCING!DT41</f>
        <v/>
      </c>
      <c r="DU7" s="52">
        <f>BALANCING!DU41</f>
        <v/>
      </c>
      <c r="DV7" s="52">
        <f>BALANCING!DV41</f>
        <v/>
      </c>
      <c r="DW7" s="52">
        <f>BALANCING!DW41</f>
        <v/>
      </c>
      <c r="DX7" s="117" t="n"/>
      <c r="DY7" s="52">
        <f>BALANCING!DY41</f>
        <v/>
      </c>
      <c r="DZ7" s="52">
        <f>BALANCING!DZ41</f>
        <v/>
      </c>
      <c r="EA7" s="52">
        <f>BALANCING!EA41</f>
        <v/>
      </c>
      <c r="EB7" s="52">
        <f>BALANCING!EB41</f>
        <v/>
      </c>
      <c r="EC7" s="52">
        <f>BALANCING!EC41</f>
        <v/>
      </c>
      <c r="ED7" s="52">
        <f>BALANCING!ED41</f>
        <v/>
      </c>
      <c r="EE7" s="52">
        <f>BALANCING!EE41</f>
        <v/>
      </c>
      <c r="EF7" s="52">
        <f>BALANCING!EF41</f>
        <v/>
      </c>
      <c r="EG7" s="52">
        <f>BALANCING!EG41</f>
        <v/>
      </c>
      <c r="EH7" s="52">
        <f>BALANCING!EH41</f>
        <v/>
      </c>
      <c r="EI7" s="52">
        <f>BALANCING!EI41</f>
        <v/>
      </c>
      <c r="EJ7" s="52">
        <f>BALANCING!EJ41</f>
        <v/>
      </c>
      <c r="EK7" s="52">
        <f>BALANCING!EK41</f>
        <v/>
      </c>
      <c r="EL7" s="52">
        <f>BALANCING!EL41</f>
        <v/>
      </c>
      <c r="EM7" s="52">
        <f>BALANCING!EM41</f>
        <v/>
      </c>
      <c r="EN7" s="52">
        <f>BALANCING!EN41</f>
        <v/>
      </c>
      <c r="EO7" s="52">
        <f>BALANCING!EO41</f>
        <v/>
      </c>
      <c r="EP7" s="52">
        <f>BALANCING!EP41</f>
        <v/>
      </c>
      <c r="EQ7" s="52">
        <f>BALANCING!EQ41</f>
        <v/>
      </c>
      <c r="ER7" s="52">
        <f>BALANCING!ER41</f>
        <v/>
      </c>
      <c r="ES7" s="52">
        <f>BALANCING!ES41</f>
        <v/>
      </c>
      <c r="ET7" s="52">
        <f>BALANCING!ET41</f>
        <v/>
      </c>
      <c r="EU7" s="52">
        <f>BALANCING!EU41</f>
        <v/>
      </c>
      <c r="EV7" s="52">
        <f>BALANCING!EV41</f>
        <v/>
      </c>
      <c r="EW7" s="52">
        <f>BALANCING!EW41</f>
        <v/>
      </c>
      <c r="EX7" s="52">
        <f>BALANCING!EX41</f>
        <v/>
      </c>
      <c r="EY7" s="52">
        <f>BALANCING!EY41</f>
        <v/>
      </c>
      <c r="EZ7" s="52">
        <f>BALANCING!EZ41</f>
        <v/>
      </c>
      <c r="FA7" s="52">
        <f>BALANCING!FA41</f>
        <v/>
      </c>
      <c r="FB7" s="52">
        <f>BALANCING!FB41</f>
        <v/>
      </c>
      <c r="FC7" s="52">
        <f>BALANCING!FC41</f>
        <v/>
      </c>
      <c r="FD7" s="126" t="n"/>
      <c r="FE7" s="52">
        <f>BALANCING!FE41</f>
        <v/>
      </c>
      <c r="FF7" s="52">
        <f>BALANCING!FF41</f>
        <v/>
      </c>
      <c r="FG7" s="52">
        <f>BALANCING!FG41</f>
        <v/>
      </c>
      <c r="FH7" s="52">
        <f>BALANCING!FH41</f>
        <v/>
      </c>
      <c r="FI7" s="52">
        <f>BALANCING!FI41</f>
        <v/>
      </c>
      <c r="FJ7" s="52">
        <f>BALANCING!FJ41</f>
        <v/>
      </c>
      <c r="FK7" s="52">
        <f>BALANCING!FK41</f>
        <v/>
      </c>
      <c r="FL7" s="52">
        <f>BALANCING!FL41</f>
        <v/>
      </c>
      <c r="FM7" s="52">
        <f>BALANCING!FM41</f>
        <v/>
      </c>
      <c r="FN7" s="52">
        <f>BALANCING!FN41</f>
        <v/>
      </c>
      <c r="FO7" s="52">
        <f>BALANCING!FO41</f>
        <v/>
      </c>
      <c r="FP7" s="52">
        <f>BALANCING!FP41</f>
        <v/>
      </c>
      <c r="FQ7" s="52">
        <f>BALANCING!FQ41</f>
        <v/>
      </c>
      <c r="FR7" s="52">
        <f>BALANCING!FR41</f>
        <v/>
      </c>
      <c r="FS7" s="52">
        <f>BALANCING!FS41</f>
        <v/>
      </c>
      <c r="FT7" s="52">
        <f>BALANCING!FT41</f>
        <v/>
      </c>
      <c r="FU7" s="52">
        <f>BALANCING!FU41</f>
        <v/>
      </c>
      <c r="FV7" s="52">
        <f>BALANCING!FV41</f>
        <v/>
      </c>
      <c r="FW7" s="52">
        <f>BALANCING!FW41</f>
        <v/>
      </c>
      <c r="FX7" s="52">
        <f>BALANCING!FX41</f>
        <v/>
      </c>
      <c r="FY7" s="52">
        <f>BALANCING!FY41</f>
        <v/>
      </c>
      <c r="FZ7" s="52">
        <f>BALANCING!FZ41</f>
        <v/>
      </c>
      <c r="GA7" s="52">
        <f>BALANCING!GA41</f>
        <v/>
      </c>
      <c r="GB7" s="52">
        <f>BALANCING!GB41</f>
        <v/>
      </c>
      <c r="GC7" s="52">
        <f>BALANCING!GC41</f>
        <v/>
      </c>
      <c r="GD7" s="52">
        <f>BALANCING!GD41</f>
        <v/>
      </c>
      <c r="GE7" s="52">
        <f>BALANCING!GE41</f>
        <v/>
      </c>
      <c r="GF7" s="52">
        <f>BALANCING!GF41</f>
        <v/>
      </c>
      <c r="GG7" s="52">
        <f>BALANCING!GG41</f>
        <v/>
      </c>
      <c r="GH7" s="52">
        <f>BALANCING!GH41</f>
        <v/>
      </c>
      <c r="GI7" s="52">
        <f>BALANCING!GI41</f>
        <v/>
      </c>
      <c r="GJ7" s="130" t="n"/>
      <c r="GK7" s="52">
        <f>BALANCING!GK41</f>
        <v/>
      </c>
      <c r="GL7" s="52">
        <f>BALANCING!GL41</f>
        <v/>
      </c>
      <c r="GM7" s="52">
        <f>BALANCING!GM41</f>
        <v/>
      </c>
      <c r="GN7" s="52">
        <f>BALANCING!GN41</f>
        <v/>
      </c>
      <c r="GO7" s="52">
        <f>BALANCING!GO41</f>
        <v/>
      </c>
      <c r="GP7" s="52">
        <f>BALANCING!GP41</f>
        <v/>
      </c>
      <c r="GQ7" s="52">
        <f>BALANCING!GQ41</f>
        <v/>
      </c>
      <c r="GR7" s="52">
        <f>BALANCING!GR41</f>
        <v/>
      </c>
      <c r="GS7" s="52">
        <f>BALANCING!GS41</f>
        <v/>
      </c>
      <c r="GT7" s="52">
        <f>BALANCING!GT41</f>
        <v/>
      </c>
      <c r="GU7" s="52">
        <f>BALANCING!GU41</f>
        <v/>
      </c>
      <c r="GV7" s="52">
        <f>BALANCING!GV41</f>
        <v/>
      </c>
      <c r="GW7" s="52">
        <f>BALANCING!GW41</f>
        <v/>
      </c>
      <c r="GX7" s="52">
        <f>BALANCING!GX41</f>
        <v/>
      </c>
      <c r="GY7" s="52">
        <f>BALANCING!GY41</f>
        <v/>
      </c>
      <c r="GZ7" s="52">
        <f>BALANCING!GZ41</f>
        <v/>
      </c>
      <c r="HA7" s="52">
        <f>BALANCING!HA41</f>
        <v/>
      </c>
      <c r="HB7" s="52">
        <f>BALANCING!HB41</f>
        <v/>
      </c>
      <c r="HC7" s="52">
        <f>BALANCING!HC41</f>
        <v/>
      </c>
      <c r="HD7" s="52">
        <f>BALANCING!HD41</f>
        <v/>
      </c>
      <c r="HE7" s="52">
        <f>BALANCING!HE41</f>
        <v/>
      </c>
      <c r="HF7" s="52">
        <f>BALANCING!HF41</f>
        <v/>
      </c>
      <c r="HG7" s="52">
        <f>BALANCING!HG41</f>
        <v/>
      </c>
      <c r="HH7" s="52">
        <f>BALANCING!HH41</f>
        <v/>
      </c>
      <c r="HI7" s="52">
        <f>BALANCING!HI41</f>
        <v/>
      </c>
      <c r="HJ7" s="52">
        <f>BALANCING!HJ41</f>
        <v/>
      </c>
      <c r="HK7" s="52">
        <f>BALANCING!HK41</f>
        <v/>
      </c>
      <c r="HL7" s="52">
        <f>BALANCING!HL41</f>
        <v/>
      </c>
      <c r="HM7" s="52">
        <f>BALANCING!HM41</f>
        <v/>
      </c>
      <c r="HN7" s="130" t="n"/>
      <c r="HO7" s="52">
        <f>BALANCING!HO41</f>
        <v/>
      </c>
      <c r="HP7" s="52">
        <f>BALANCING!HP41</f>
        <v/>
      </c>
      <c r="HQ7" s="52">
        <f>BALANCING!HQ41</f>
        <v/>
      </c>
      <c r="HR7" s="52">
        <f>BALANCING!HR41</f>
        <v/>
      </c>
      <c r="HS7" s="52">
        <f>BALANCING!HS41</f>
        <v/>
      </c>
      <c r="HT7" s="52">
        <f>BALANCING!HT41</f>
        <v/>
      </c>
      <c r="HU7" s="52">
        <f>BALANCING!HU41</f>
        <v/>
      </c>
      <c r="HV7" s="52">
        <f>BALANCING!HV41</f>
        <v/>
      </c>
      <c r="HW7" s="52">
        <f>BALANCING!HW41</f>
        <v/>
      </c>
      <c r="HX7" s="52">
        <f>BALANCING!HX41</f>
        <v/>
      </c>
      <c r="HY7" s="52">
        <f>BALANCING!HY41</f>
        <v/>
      </c>
      <c r="HZ7" s="52">
        <f>BALANCING!HZ41</f>
        <v/>
      </c>
      <c r="IA7" s="52">
        <f>BALANCING!IA41</f>
        <v/>
      </c>
      <c r="IB7" s="52">
        <f>BALANCING!IB41</f>
        <v/>
      </c>
      <c r="IC7" s="52">
        <f>BALANCING!IC41</f>
        <v/>
      </c>
      <c r="ID7" s="52">
        <f>BALANCING!ID41</f>
        <v/>
      </c>
      <c r="IE7" s="52">
        <f>BALANCING!IE41</f>
        <v/>
      </c>
      <c r="IF7" s="52">
        <f>BALANCING!IF41</f>
        <v/>
      </c>
      <c r="IG7" s="52">
        <f>BALANCING!IG41</f>
        <v/>
      </c>
      <c r="IH7" s="52">
        <f>BALANCING!IH41</f>
        <v/>
      </c>
      <c r="II7" s="52">
        <f>BALANCING!II41</f>
        <v/>
      </c>
      <c r="IJ7" s="52">
        <f>BALANCING!IJ41</f>
        <v/>
      </c>
      <c r="IK7" s="52">
        <f>BALANCING!IK41</f>
        <v/>
      </c>
      <c r="IL7" s="52">
        <f>BALANCING!IL41</f>
        <v/>
      </c>
      <c r="IM7" s="52">
        <f>BALANCING!IM41</f>
        <v/>
      </c>
      <c r="IN7" s="52">
        <f>BALANCING!IN41</f>
        <v/>
      </c>
      <c r="IO7" s="52">
        <f>BALANCING!IO41</f>
        <v/>
      </c>
      <c r="IP7" s="52">
        <f>BALANCING!IP41</f>
        <v/>
      </c>
      <c r="IQ7" s="52">
        <f>BALANCING!IQ41</f>
        <v/>
      </c>
      <c r="IR7" s="52">
        <f>BALANCING!IR41</f>
        <v/>
      </c>
      <c r="IS7" s="52">
        <f>BALANCING!IS41</f>
        <v/>
      </c>
      <c r="IT7" s="130" t="n"/>
      <c r="IU7" s="52">
        <f>BALANCING!IU41</f>
        <v/>
      </c>
      <c r="IV7" s="52">
        <f>BALANCING!IV41</f>
        <v/>
      </c>
      <c r="IW7" s="52">
        <f>BALANCING!IW41</f>
        <v/>
      </c>
      <c r="IX7" s="52">
        <f>BALANCING!IX41</f>
        <v/>
      </c>
      <c r="IY7" s="52">
        <f>BALANCING!IY41</f>
        <v/>
      </c>
      <c r="IZ7" s="52">
        <f>BALANCING!IZ41</f>
        <v/>
      </c>
      <c r="JA7" s="52">
        <f>BALANCING!JA41</f>
        <v/>
      </c>
      <c r="JB7" s="52">
        <f>BALANCING!JB41</f>
        <v/>
      </c>
      <c r="JC7" s="52">
        <f>BALANCING!JC41</f>
        <v/>
      </c>
      <c r="JD7" s="52">
        <f>BALANCING!JD41</f>
        <v/>
      </c>
      <c r="JE7" s="52">
        <f>BALANCING!JE41</f>
        <v/>
      </c>
      <c r="JF7" s="52">
        <f>BALANCING!JF41</f>
        <v/>
      </c>
      <c r="JG7" s="52">
        <f>BALANCING!JG41</f>
        <v/>
      </c>
      <c r="JH7" s="52">
        <f>BALANCING!JH41</f>
        <v/>
      </c>
      <c r="JI7" s="52">
        <f>BALANCING!JI41</f>
        <v/>
      </c>
      <c r="JJ7" s="52">
        <f>BALANCING!JJ41</f>
        <v/>
      </c>
      <c r="JK7" s="52">
        <f>BALANCING!JK41</f>
        <v/>
      </c>
      <c r="JL7" s="52">
        <f>BALANCING!JL41</f>
        <v/>
      </c>
      <c r="JM7" s="52">
        <f>BALANCING!JM41</f>
        <v/>
      </c>
      <c r="JN7" s="52">
        <f>BALANCING!JN41</f>
        <v/>
      </c>
      <c r="JO7" s="52">
        <f>BALANCING!JO41</f>
        <v/>
      </c>
      <c r="JP7" s="52">
        <f>BALANCING!JP41</f>
        <v/>
      </c>
      <c r="JQ7" s="52">
        <f>BALANCING!JQ41</f>
        <v/>
      </c>
      <c r="JR7" s="52">
        <f>BALANCING!JR41</f>
        <v/>
      </c>
      <c r="JS7" s="52">
        <f>BALANCING!JS41</f>
        <v/>
      </c>
      <c r="JT7" s="52">
        <f>BALANCING!JT41</f>
        <v/>
      </c>
      <c r="JU7" s="52">
        <f>BALANCING!JU41</f>
        <v/>
      </c>
      <c r="JV7" s="52">
        <f>BALANCING!JV41</f>
        <v/>
      </c>
      <c r="JW7" s="52">
        <f>BALANCING!JW41</f>
        <v/>
      </c>
      <c r="JX7" s="52">
        <f>BALANCING!JX41</f>
        <v/>
      </c>
      <c r="JY7" s="139" t="n"/>
      <c r="JZ7" s="52">
        <f>BALANCING!JZ41</f>
        <v/>
      </c>
      <c r="KA7" s="52">
        <f>BALANCING!KA41</f>
        <v/>
      </c>
      <c r="KB7" s="52">
        <f>BALANCING!KB41</f>
        <v/>
      </c>
      <c r="KC7" s="52">
        <f>BALANCING!KC41</f>
        <v/>
      </c>
      <c r="KD7" s="52">
        <f>BALANCING!KD41</f>
        <v/>
      </c>
      <c r="KE7" s="52">
        <f>BALANCING!KE41</f>
        <v/>
      </c>
      <c r="KF7" s="52">
        <f>BALANCING!KF41</f>
        <v/>
      </c>
      <c r="KG7" s="52">
        <f>BALANCING!KG41</f>
        <v/>
      </c>
      <c r="KH7" s="52">
        <f>BALANCING!KH41</f>
        <v/>
      </c>
      <c r="KI7" s="52">
        <f>BALANCING!KI41</f>
        <v/>
      </c>
      <c r="KJ7" s="52">
        <f>BALANCING!KJ41</f>
        <v/>
      </c>
      <c r="KK7" s="52">
        <f>BALANCING!KK41</f>
        <v/>
      </c>
      <c r="KL7" s="52">
        <f>BALANCING!KL41</f>
        <v/>
      </c>
      <c r="KM7" s="52">
        <f>BALANCING!KM41</f>
        <v/>
      </c>
      <c r="KN7" s="52">
        <f>BALANCING!KN41</f>
        <v/>
      </c>
      <c r="KO7" s="52">
        <f>BALANCING!KO41</f>
        <v/>
      </c>
      <c r="KP7" s="52">
        <f>BALANCING!KP41</f>
        <v/>
      </c>
      <c r="KQ7" s="52">
        <f>BALANCING!KQ41</f>
        <v/>
      </c>
      <c r="KR7" s="52">
        <f>BALANCING!KR41</f>
        <v/>
      </c>
      <c r="KS7" s="52">
        <f>BALANCING!KS41</f>
        <v/>
      </c>
      <c r="KT7" s="52">
        <f>BALANCING!KT41</f>
        <v/>
      </c>
      <c r="KU7" s="52">
        <f>BALANCING!KU41</f>
        <v/>
      </c>
      <c r="KV7" s="52">
        <f>BALANCING!KV41</f>
        <v/>
      </c>
      <c r="KW7" s="52">
        <f>BALANCING!KW41</f>
        <v/>
      </c>
      <c r="KX7" s="52">
        <f>BALANCING!KX41</f>
        <v/>
      </c>
      <c r="KY7" s="52">
        <f>BALANCING!KY41</f>
        <v/>
      </c>
      <c r="KZ7" s="52">
        <f>BALANCING!KZ41</f>
        <v/>
      </c>
      <c r="LA7" s="52">
        <f>BALANCING!LA41</f>
        <v/>
      </c>
      <c r="LB7" s="52">
        <f>BALANCING!LB41</f>
        <v/>
      </c>
      <c r="LC7" s="52">
        <f>BALANCING!LC41</f>
        <v/>
      </c>
      <c r="LD7" s="52">
        <f>BALANCING!LD41</f>
        <v/>
      </c>
      <c r="LE7" s="130" t="n"/>
      <c r="LF7" s="52">
        <f>BALANCING!LF41</f>
        <v/>
      </c>
      <c r="LG7" s="52">
        <f>BALANCING!LG41</f>
        <v/>
      </c>
      <c r="LH7" s="52">
        <f>BALANCING!LH41</f>
        <v/>
      </c>
      <c r="LI7" s="52">
        <f>BALANCING!LI41</f>
        <v/>
      </c>
      <c r="LJ7" s="52">
        <f>BALANCING!LJ41</f>
        <v/>
      </c>
      <c r="LK7" s="52">
        <f>BALANCING!LK41</f>
        <v/>
      </c>
      <c r="LL7" s="52">
        <f>BALANCING!LL41</f>
        <v/>
      </c>
      <c r="LM7" s="52">
        <f>BALANCING!LM41</f>
        <v/>
      </c>
      <c r="LN7" s="52">
        <f>BALANCING!LN41</f>
        <v/>
      </c>
      <c r="LO7" s="52">
        <f>BALANCING!LO41</f>
        <v/>
      </c>
      <c r="LP7" s="52">
        <f>BALANCING!LP41</f>
        <v/>
      </c>
      <c r="LQ7" s="52">
        <f>BALANCING!LQ41</f>
        <v/>
      </c>
      <c r="LR7" s="52">
        <f>BALANCING!LR41</f>
        <v/>
      </c>
      <c r="LS7" s="52">
        <f>BALANCING!LS41</f>
        <v/>
      </c>
      <c r="LT7" s="52">
        <f>BALANCING!LT41</f>
        <v/>
      </c>
      <c r="LU7" s="52">
        <f>BALANCING!LU41</f>
        <v/>
      </c>
      <c r="LV7" s="52">
        <f>BALANCING!LV41</f>
        <v/>
      </c>
      <c r="LW7" s="52">
        <f>BALANCING!LW41</f>
        <v/>
      </c>
      <c r="LX7" s="52">
        <f>BALANCING!LX41</f>
        <v/>
      </c>
      <c r="LY7" s="52">
        <f>BALANCING!LY41</f>
        <v/>
      </c>
      <c r="LZ7" s="52">
        <f>BALANCING!LZ41</f>
        <v/>
      </c>
      <c r="MA7" s="52">
        <f>BALANCING!MA41</f>
        <v/>
      </c>
      <c r="MB7" s="52">
        <f>BALANCING!MB41</f>
        <v/>
      </c>
      <c r="MC7" s="52">
        <f>BALANCING!MC41</f>
        <v/>
      </c>
      <c r="MD7" s="52">
        <f>BALANCING!MD41</f>
        <v/>
      </c>
      <c r="ME7" s="52">
        <f>BALANCING!ME41</f>
        <v/>
      </c>
      <c r="MF7" s="52">
        <f>BALANCING!MF41</f>
        <v/>
      </c>
      <c r="MG7" s="52">
        <f>BALANCING!MG41</f>
        <v/>
      </c>
      <c r="MH7" s="52">
        <f>BALANCING!MH41</f>
        <v/>
      </c>
      <c r="MI7" s="52">
        <f>BALANCING!MI41</f>
        <v/>
      </c>
      <c r="MJ7" s="139" t="n"/>
      <c r="MK7" s="52">
        <f>BALANCING!MK41</f>
        <v/>
      </c>
      <c r="ML7" s="52">
        <f>BALANCING!ML41</f>
        <v/>
      </c>
      <c r="MM7" s="52">
        <f>BALANCING!MM41</f>
        <v/>
      </c>
      <c r="MN7" s="52">
        <f>BALANCING!MN41</f>
        <v/>
      </c>
      <c r="MO7" s="52">
        <f>BALANCING!MO41</f>
        <v/>
      </c>
      <c r="MP7" s="52">
        <f>BALANCING!MP41</f>
        <v/>
      </c>
      <c r="MQ7" s="52">
        <f>BALANCING!MQ41</f>
        <v/>
      </c>
      <c r="MR7" s="52">
        <f>BALANCING!MR41</f>
        <v/>
      </c>
      <c r="MS7" s="52">
        <f>BALANCING!MS41</f>
        <v/>
      </c>
      <c r="MT7" s="52">
        <f>BALANCING!MT41</f>
        <v/>
      </c>
      <c r="MU7" s="52">
        <f>BALANCING!MU41</f>
        <v/>
      </c>
      <c r="MV7" s="52">
        <f>BALANCING!MV41</f>
        <v/>
      </c>
      <c r="MW7" s="52">
        <f>BALANCING!MW41</f>
        <v/>
      </c>
      <c r="MX7" s="52">
        <f>BALANCING!MX41</f>
        <v/>
      </c>
      <c r="MY7" s="52">
        <f>BALANCING!MY41</f>
        <v/>
      </c>
      <c r="MZ7" s="52">
        <f>BALANCING!MZ41</f>
        <v/>
      </c>
      <c r="NA7" s="52">
        <f>BALANCING!NA41</f>
        <v/>
      </c>
      <c r="NB7" s="52">
        <f>BALANCING!NB41</f>
        <v/>
      </c>
      <c r="NC7" s="52">
        <f>BALANCING!NC41</f>
        <v/>
      </c>
      <c r="ND7" s="52">
        <f>BALANCING!ND41</f>
        <v/>
      </c>
      <c r="NE7" s="52">
        <f>BALANCING!NE41</f>
        <v/>
      </c>
      <c r="NF7" s="52">
        <f>BALANCING!NF41</f>
        <v/>
      </c>
      <c r="NG7" s="52">
        <f>BALANCING!NG41</f>
        <v/>
      </c>
      <c r="NH7" s="52">
        <f>BALANCING!NH41</f>
        <v/>
      </c>
      <c r="NI7" s="52">
        <f>BALANCING!NI41</f>
        <v/>
      </c>
      <c r="NJ7" s="52">
        <f>BALANCING!NJ41</f>
        <v/>
      </c>
      <c r="NK7" s="52">
        <f>BALANCING!NK41</f>
        <v/>
      </c>
      <c r="NL7" s="52">
        <f>BALANCING!NL41</f>
        <v/>
      </c>
      <c r="NM7" s="52">
        <f>BALANCING!NM41</f>
        <v/>
      </c>
      <c r="NN7" s="52">
        <f>BALANCING!NN41</f>
        <v/>
      </c>
      <c r="NO7" s="52">
        <f>BALANCING!NO41</f>
        <v/>
      </c>
      <c r="NP7" s="139" t="n"/>
      <c r="NQ7" s="52">
        <f>BALANCING!NQ41</f>
        <v/>
      </c>
      <c r="NR7" s="52">
        <f>BALANCING!NR41</f>
        <v/>
      </c>
      <c r="NS7" s="52">
        <f>BALANCING!NS41</f>
        <v/>
      </c>
      <c r="NT7" s="52">
        <f>BALANCING!NT41</f>
        <v/>
      </c>
      <c r="NU7" s="52">
        <f>BALANCING!NU41</f>
        <v/>
      </c>
      <c r="NV7" s="52">
        <f>BALANCING!NV41</f>
        <v/>
      </c>
      <c r="NW7" s="52">
        <f>BALANCING!NW41</f>
        <v/>
      </c>
      <c r="NX7" s="52">
        <f>BALANCING!NX41</f>
        <v/>
      </c>
      <c r="NY7" s="52">
        <f>BALANCING!NY41</f>
        <v/>
      </c>
      <c r="NZ7" s="52">
        <f>BALANCING!NZ41</f>
        <v/>
      </c>
      <c r="OA7" s="52">
        <f>BALANCING!OA41</f>
        <v/>
      </c>
      <c r="OB7" s="52">
        <f>BALANCING!OB41</f>
        <v/>
      </c>
      <c r="OC7" s="52">
        <f>BALANCING!OC41</f>
        <v/>
      </c>
      <c r="OD7" s="52">
        <f>BALANCING!OD41</f>
        <v/>
      </c>
      <c r="OE7" s="52">
        <f>BALANCING!OE41</f>
        <v/>
      </c>
      <c r="OF7" s="52">
        <f>BALANCING!OF41</f>
        <v/>
      </c>
      <c r="OG7" s="52">
        <f>BALANCING!OG41</f>
        <v/>
      </c>
      <c r="OH7" s="52">
        <f>BALANCING!OH41</f>
        <v/>
      </c>
      <c r="OI7" s="52">
        <f>BALANCING!OI41</f>
        <v/>
      </c>
      <c r="OJ7" s="52">
        <f>BALANCING!OJ41</f>
        <v/>
      </c>
      <c r="OK7" s="52">
        <f>BALANCING!OK41</f>
        <v/>
      </c>
      <c r="OL7" s="52">
        <f>BALANCING!OL41</f>
        <v/>
      </c>
      <c r="OM7" s="52">
        <f>BALANCING!OM41</f>
        <v/>
      </c>
      <c r="ON7" s="52">
        <f>BALANCING!ON41</f>
        <v/>
      </c>
      <c r="OO7" s="52">
        <f>BALANCING!OO41</f>
        <v/>
      </c>
      <c r="OP7" s="52">
        <f>BALANCING!OP41</f>
        <v/>
      </c>
      <c r="OQ7" s="52">
        <f>BALANCING!OQ41</f>
        <v/>
      </c>
      <c r="OR7" s="52">
        <f>BALANCING!OR41</f>
        <v/>
      </c>
      <c r="OS7" s="52">
        <f>BALANCING!OS41</f>
        <v/>
      </c>
      <c r="OT7" s="52">
        <f>BALANCING!OT41</f>
        <v/>
      </c>
      <c r="OU7" s="52">
        <f>BALANCING!OU41</f>
        <v/>
      </c>
      <c r="OV7" s="130" t="n"/>
      <c r="OW7" s="52">
        <f>BALANCING!OW41</f>
        <v/>
      </c>
      <c r="OX7" s="52">
        <f>BALANCING!OX41</f>
        <v/>
      </c>
      <c r="OY7" s="52">
        <f>BALANCING!OY41</f>
        <v/>
      </c>
      <c r="OZ7" s="52">
        <f>BALANCING!OZ41</f>
        <v/>
      </c>
      <c r="PA7" s="52">
        <f>BALANCING!PA41</f>
        <v/>
      </c>
      <c r="PB7" s="52">
        <f>BALANCING!PB41</f>
        <v/>
      </c>
      <c r="PC7" s="52">
        <f>BALANCING!PC41</f>
        <v/>
      </c>
      <c r="PD7" s="52">
        <f>BALANCING!PD41</f>
        <v/>
      </c>
      <c r="PE7" s="52">
        <f>BALANCING!PE41</f>
        <v/>
      </c>
      <c r="PF7" s="52">
        <f>BALANCING!PF41</f>
        <v/>
      </c>
      <c r="PG7" s="52">
        <f>BALANCING!PG41</f>
        <v/>
      </c>
      <c r="PH7" s="52">
        <f>BALANCING!PH41</f>
        <v/>
      </c>
      <c r="PI7" s="52">
        <f>BALANCING!PI41</f>
        <v/>
      </c>
      <c r="PJ7" s="52">
        <f>BALANCING!PJ41</f>
        <v/>
      </c>
      <c r="PK7" s="52">
        <f>BALANCING!PK41</f>
        <v/>
      </c>
      <c r="PL7" s="52">
        <f>BALANCING!PL41</f>
        <v/>
      </c>
      <c r="PM7" s="52">
        <f>BALANCING!PM41</f>
        <v/>
      </c>
      <c r="PN7" s="52">
        <f>BALANCING!PN41</f>
        <v/>
      </c>
      <c r="PO7" s="52">
        <f>BALANCING!PO41</f>
        <v/>
      </c>
      <c r="PP7" s="52">
        <f>BALANCING!PP41</f>
        <v/>
      </c>
      <c r="PQ7" s="52">
        <f>BALANCING!PQ41</f>
        <v/>
      </c>
      <c r="PR7" s="52">
        <f>BALANCING!PR41</f>
        <v/>
      </c>
      <c r="PS7" s="52">
        <f>BALANCING!PS41</f>
        <v/>
      </c>
      <c r="PT7" s="52">
        <f>BALANCING!PT41</f>
        <v/>
      </c>
      <c r="PU7" s="52">
        <f>BALANCING!PU41</f>
        <v/>
      </c>
      <c r="PV7" s="52">
        <f>BALANCING!PV41</f>
        <v/>
      </c>
      <c r="PW7" s="52">
        <f>BALANCING!PW41</f>
        <v/>
      </c>
      <c r="PX7" s="52">
        <f>BALANCING!PX41</f>
        <v/>
      </c>
      <c r="PY7" s="52">
        <f>BALANCING!PY41</f>
        <v/>
      </c>
      <c r="PZ7" s="52">
        <f>BALANCING!PZ41</f>
        <v/>
      </c>
      <c r="QA7" s="130" t="n"/>
      <c r="QB7" s="52">
        <f>BALANCING!QB41</f>
        <v/>
      </c>
      <c r="QC7" s="52">
        <f>BALANCING!QC41</f>
        <v/>
      </c>
      <c r="QD7" s="52">
        <f>BALANCING!QD41</f>
        <v/>
      </c>
      <c r="QE7" s="52">
        <f>BALANCING!QE41</f>
        <v/>
      </c>
      <c r="QF7" s="52">
        <f>BALANCING!QF41</f>
        <v/>
      </c>
      <c r="QG7" s="52">
        <f>BALANCING!QG41</f>
        <v/>
      </c>
      <c r="QH7" s="52">
        <f>BALANCING!QH41</f>
        <v/>
      </c>
      <c r="QI7" s="52">
        <f>BALANCING!QI41</f>
        <v/>
      </c>
      <c r="QJ7" s="52">
        <f>BALANCING!QJ41</f>
        <v/>
      </c>
      <c r="QK7" s="52">
        <f>BALANCING!QK41</f>
        <v/>
      </c>
      <c r="QL7" s="52">
        <f>BALANCING!QL41</f>
        <v/>
      </c>
      <c r="QM7" s="52">
        <f>BALANCING!QM41</f>
        <v/>
      </c>
      <c r="QN7" s="52">
        <f>BALANCING!QN41</f>
        <v/>
      </c>
      <c r="QO7" s="52">
        <f>BALANCING!QO41</f>
        <v/>
      </c>
      <c r="QP7" s="52">
        <f>BALANCING!QP41</f>
        <v/>
      </c>
      <c r="QQ7" s="52">
        <f>BALANCING!QQ41</f>
        <v/>
      </c>
      <c r="QR7" s="52">
        <f>BALANCING!QR41</f>
        <v/>
      </c>
      <c r="QS7" s="52">
        <f>BALANCING!QS41</f>
        <v/>
      </c>
      <c r="QT7" s="52">
        <f>BALANCING!QT41</f>
        <v/>
      </c>
      <c r="QU7" s="52">
        <f>BALANCING!QU41</f>
        <v/>
      </c>
      <c r="QV7" s="52">
        <f>BALANCING!QV41</f>
        <v/>
      </c>
      <c r="QW7" s="52">
        <f>BALANCING!QW41</f>
        <v/>
      </c>
      <c r="QX7" s="52">
        <f>BALANCING!QX41</f>
        <v/>
      </c>
      <c r="QY7" s="52">
        <f>BALANCING!QY41</f>
        <v/>
      </c>
      <c r="QZ7" s="52">
        <f>BALANCING!QZ41</f>
        <v/>
      </c>
      <c r="RA7" s="52">
        <f>BALANCING!RA41</f>
        <v/>
      </c>
      <c r="RB7" s="52">
        <f>BALANCING!RB41</f>
        <v/>
      </c>
      <c r="RC7" s="52">
        <f>BALANCING!RC41</f>
        <v/>
      </c>
      <c r="RD7" s="52">
        <f>BALANCING!RD41</f>
        <v/>
      </c>
      <c r="RE7" s="52">
        <f>BALANCING!RE41</f>
        <v/>
      </c>
      <c r="RF7" s="52">
        <f>BALANCING!RF41</f>
        <v/>
      </c>
      <c r="RG7" s="130" t="n"/>
      <c r="RH7" s="52">
        <f>BALANCING!RH41</f>
        <v/>
      </c>
      <c r="RI7" s="52">
        <f>BALANCING!RI41</f>
        <v/>
      </c>
      <c r="RJ7" s="52">
        <f>BALANCING!RJ41</f>
        <v/>
      </c>
      <c r="RK7" s="52">
        <f>BALANCING!RK41</f>
        <v/>
      </c>
      <c r="RL7" s="52">
        <f>BALANCING!RL41</f>
        <v/>
      </c>
      <c r="RM7" s="52">
        <f>BALANCING!RM41</f>
        <v/>
      </c>
      <c r="RN7" s="52">
        <f>BALANCING!RN41</f>
        <v/>
      </c>
      <c r="RO7" s="52">
        <f>BALANCING!RO41</f>
        <v/>
      </c>
      <c r="RP7" s="52">
        <f>BALANCING!RP41</f>
        <v/>
      </c>
      <c r="RQ7" s="52">
        <f>BALANCING!RQ41</f>
        <v/>
      </c>
      <c r="RR7" s="52">
        <f>BALANCING!RR41</f>
        <v/>
      </c>
      <c r="RS7" s="52">
        <f>BALANCING!RS41</f>
        <v/>
      </c>
      <c r="RT7" s="52">
        <f>BALANCING!RT41</f>
        <v/>
      </c>
      <c r="RU7" s="52">
        <f>BALANCING!RU41</f>
        <v/>
      </c>
      <c r="RV7" s="52">
        <f>BALANCING!RV41</f>
        <v/>
      </c>
      <c r="RW7" s="52">
        <f>BALANCING!RW41</f>
        <v/>
      </c>
      <c r="RX7" s="52">
        <f>BALANCING!RX41</f>
        <v/>
      </c>
      <c r="RY7" s="52">
        <f>BALANCING!RY41</f>
        <v/>
      </c>
      <c r="RZ7" s="52">
        <f>BALANCING!RZ41</f>
        <v/>
      </c>
      <c r="SA7" s="52">
        <f>BALANCING!SA41</f>
        <v/>
      </c>
      <c r="SB7" s="52">
        <f>BALANCING!SB41</f>
        <v/>
      </c>
      <c r="SC7" s="52">
        <f>BALANCING!SC41</f>
        <v/>
      </c>
      <c r="SD7" s="52">
        <f>BALANCING!SD41</f>
        <v/>
      </c>
      <c r="SE7" s="52">
        <f>BALANCING!SE41</f>
        <v/>
      </c>
      <c r="SF7" s="52">
        <f>BALANCING!SF41</f>
        <v/>
      </c>
      <c r="SG7" s="52">
        <f>BALANCING!SG41</f>
        <v/>
      </c>
      <c r="SH7" s="52">
        <f>BALANCING!SH41</f>
        <v/>
      </c>
      <c r="SI7" s="52">
        <f>BALANCING!SI41</f>
        <v/>
      </c>
      <c r="SJ7" s="52">
        <f>BALANCING!SJ41</f>
        <v/>
      </c>
      <c r="SK7" s="52">
        <f>BALANCING!SK41</f>
        <v/>
      </c>
      <c r="SL7" s="130" t="n"/>
      <c r="SM7" s="52">
        <f>BALANCING!SM41</f>
        <v/>
      </c>
      <c r="SN7" s="52">
        <f>BALANCING!SN41</f>
        <v/>
      </c>
      <c r="SO7" s="52">
        <f>BALANCING!SO41</f>
        <v/>
      </c>
      <c r="SP7" s="52">
        <f>BALANCING!SP41</f>
        <v/>
      </c>
      <c r="SQ7" s="52">
        <f>BALANCING!SQ41</f>
        <v/>
      </c>
      <c r="SR7" s="52">
        <f>BALANCING!SR41</f>
        <v/>
      </c>
      <c r="SS7" s="52">
        <f>BALANCING!SS41</f>
        <v/>
      </c>
      <c r="ST7" s="52">
        <f>BALANCING!ST41</f>
        <v/>
      </c>
      <c r="SU7" s="52">
        <f>BALANCING!SU41</f>
        <v/>
      </c>
      <c r="SV7" s="52">
        <f>BALANCING!SV41</f>
        <v/>
      </c>
      <c r="SW7" s="52">
        <f>BALANCING!SW41</f>
        <v/>
      </c>
      <c r="SX7" s="52">
        <f>BALANCING!SX41</f>
        <v/>
      </c>
      <c r="SY7" s="52">
        <f>BALANCING!SY41</f>
        <v/>
      </c>
      <c r="SZ7" s="52">
        <f>BALANCING!SZ41</f>
        <v/>
      </c>
      <c r="TA7" s="52">
        <f>BALANCING!TA41</f>
        <v/>
      </c>
      <c r="TB7" s="52">
        <f>BALANCING!TB41</f>
        <v/>
      </c>
      <c r="TC7" s="52">
        <f>BALANCING!TC41</f>
        <v/>
      </c>
      <c r="TD7" s="52">
        <f>BALANCING!TD41</f>
        <v/>
      </c>
      <c r="TE7" s="52">
        <f>BALANCING!TE41</f>
        <v/>
      </c>
      <c r="TF7" s="52">
        <f>BALANCING!TF41</f>
        <v/>
      </c>
      <c r="TG7" s="52">
        <f>BALANCING!TG41</f>
        <v/>
      </c>
      <c r="TH7" s="52">
        <f>BALANCING!TH41</f>
        <v/>
      </c>
      <c r="TI7" s="52">
        <f>BALANCING!TI41</f>
        <v/>
      </c>
      <c r="TJ7" s="52">
        <f>BALANCING!TJ41</f>
        <v/>
      </c>
      <c r="TK7" s="52">
        <f>BALANCING!TK41</f>
        <v/>
      </c>
      <c r="TL7" s="52">
        <f>BALANCING!TL41</f>
        <v/>
      </c>
      <c r="TM7" s="52">
        <f>BALANCING!TM41</f>
        <v/>
      </c>
      <c r="TN7" s="52">
        <f>BALANCING!TN41</f>
        <v/>
      </c>
      <c r="TO7" s="52">
        <f>BALANCING!TO41</f>
        <v/>
      </c>
      <c r="TP7" s="52">
        <f>BALANCING!TP41</f>
        <v/>
      </c>
      <c r="TQ7" s="52">
        <f>BALANCING!TQ41</f>
        <v/>
      </c>
      <c r="TR7" s="130" t="n"/>
      <c r="TS7" s="52">
        <f>BALANCING!TS41</f>
        <v/>
      </c>
      <c r="TT7" s="52">
        <f>BALANCING!TT41</f>
        <v/>
      </c>
      <c r="TU7" s="52">
        <f>BALANCING!TU41</f>
        <v/>
      </c>
      <c r="TV7" s="52">
        <f>BALANCING!TV41</f>
        <v/>
      </c>
      <c r="TW7" s="52">
        <f>BALANCING!TW41</f>
        <v/>
      </c>
      <c r="TX7" s="52">
        <f>BALANCING!TX41</f>
        <v/>
      </c>
      <c r="TY7" s="52">
        <f>BALANCING!TY41</f>
        <v/>
      </c>
      <c r="TZ7" s="52">
        <f>BALANCING!TZ41</f>
        <v/>
      </c>
      <c r="UA7" s="52">
        <f>BALANCING!UA41</f>
        <v/>
      </c>
      <c r="UB7" s="52">
        <f>BALANCING!UB41</f>
        <v/>
      </c>
      <c r="UC7" s="52">
        <f>BALANCING!UC41</f>
        <v/>
      </c>
      <c r="UD7" s="52">
        <f>BALANCING!UD41</f>
        <v/>
      </c>
      <c r="UE7" s="52">
        <f>BALANCING!UE41</f>
        <v/>
      </c>
      <c r="UF7" s="52">
        <f>BALANCING!UF41</f>
        <v/>
      </c>
      <c r="UG7" s="52">
        <f>BALANCING!UG41</f>
        <v/>
      </c>
      <c r="UH7" s="52">
        <f>BALANCING!UH41</f>
        <v/>
      </c>
      <c r="UI7" s="52">
        <f>BALANCING!UI41</f>
        <v/>
      </c>
      <c r="UJ7" s="52">
        <f>BALANCING!UJ41</f>
        <v/>
      </c>
      <c r="UK7" s="52">
        <f>BALANCING!UK41</f>
        <v/>
      </c>
      <c r="UL7" s="52">
        <f>BALANCING!UL41</f>
        <v/>
      </c>
      <c r="UM7" s="52">
        <f>BALANCING!UM41</f>
        <v/>
      </c>
      <c r="UN7" s="52">
        <f>BALANCING!UN41</f>
        <v/>
      </c>
      <c r="UO7" s="52">
        <f>BALANCING!UO41</f>
        <v/>
      </c>
      <c r="UP7" s="52">
        <f>BALANCING!UP41</f>
        <v/>
      </c>
      <c r="UQ7" s="52">
        <f>BALANCING!UQ41</f>
        <v/>
      </c>
      <c r="UR7" s="52">
        <f>BALANCING!UR41</f>
        <v/>
      </c>
      <c r="US7" s="52">
        <f>BALANCING!US41</f>
        <v/>
      </c>
      <c r="UT7" s="52">
        <f>BALANCING!UT41</f>
        <v/>
      </c>
      <c r="UU7" s="52">
        <f>BALANCING!UU41</f>
        <v/>
      </c>
      <c r="UV7" s="52">
        <f>BALANCING!UV41</f>
        <v/>
      </c>
      <c r="UW7" s="52">
        <f>BALANCING!UW41</f>
        <v/>
      </c>
      <c r="UX7" s="130" t="n"/>
      <c r="UY7" s="52">
        <f>BALANCING!UY41</f>
        <v/>
      </c>
      <c r="UZ7" s="52">
        <f>BALANCING!UZ41</f>
        <v/>
      </c>
      <c r="VA7" s="52">
        <f>BALANCING!VA41</f>
        <v/>
      </c>
      <c r="VB7" s="52">
        <f>BALANCING!VB41</f>
        <v/>
      </c>
      <c r="VC7" s="52">
        <f>BALANCING!VC41</f>
        <v/>
      </c>
      <c r="VD7" s="52">
        <f>BALANCING!VD41</f>
        <v/>
      </c>
      <c r="VE7" s="52">
        <f>BALANCING!VE41</f>
        <v/>
      </c>
      <c r="VF7" s="52">
        <f>BALANCING!VF41</f>
        <v/>
      </c>
      <c r="VG7" s="52">
        <f>BALANCING!VG41</f>
        <v/>
      </c>
      <c r="VH7" s="52">
        <f>BALANCING!VH41</f>
        <v/>
      </c>
      <c r="VI7" s="52">
        <f>BALANCING!VI41</f>
        <v/>
      </c>
      <c r="VJ7" s="52">
        <f>BALANCING!VJ41</f>
        <v/>
      </c>
      <c r="VK7" s="52">
        <f>BALANCING!VK41</f>
        <v/>
      </c>
      <c r="VL7" s="52">
        <f>BALANCING!VL41</f>
        <v/>
      </c>
      <c r="VM7" s="52">
        <f>BALANCING!VM41</f>
        <v/>
      </c>
      <c r="VN7" s="52">
        <f>BALANCING!VN41</f>
        <v/>
      </c>
      <c r="VO7" s="52">
        <f>BALANCING!VO41</f>
        <v/>
      </c>
      <c r="VP7" s="52">
        <f>BALANCING!VP41</f>
        <v/>
      </c>
      <c r="VQ7" s="52">
        <f>BALANCING!VQ41</f>
        <v/>
      </c>
      <c r="VR7" s="52">
        <f>BALANCING!VR41</f>
        <v/>
      </c>
      <c r="VS7" s="52">
        <f>BALANCING!VS41</f>
        <v/>
      </c>
      <c r="VT7" s="52">
        <f>BALANCING!VT41</f>
        <v/>
      </c>
      <c r="VU7" s="52">
        <f>BALANCING!VU41</f>
        <v/>
      </c>
      <c r="VV7" s="52">
        <f>BALANCING!VV41</f>
        <v/>
      </c>
      <c r="VW7" s="52">
        <f>BALANCING!VW41</f>
        <v/>
      </c>
      <c r="VX7" s="52">
        <f>BALANCING!VX41</f>
        <v/>
      </c>
      <c r="VY7" s="52">
        <f>BALANCING!VY41</f>
        <v/>
      </c>
      <c r="VZ7" s="52">
        <f>BALANCING!VZ41</f>
        <v/>
      </c>
      <c r="WA7" s="139" t="n"/>
      <c r="WB7" s="52">
        <f>BALANCING!WB41</f>
        <v/>
      </c>
      <c r="WC7" s="52">
        <f>BALANCING!WC41</f>
        <v/>
      </c>
      <c r="WD7" s="52">
        <f>BALANCING!WD41</f>
        <v/>
      </c>
      <c r="WE7" s="52">
        <f>BALANCING!WE41</f>
        <v/>
      </c>
      <c r="WF7" s="52">
        <f>BALANCING!WF41</f>
        <v/>
      </c>
      <c r="WG7" s="52">
        <f>BALANCING!WG41</f>
        <v/>
      </c>
      <c r="WH7" s="52">
        <f>BALANCING!WH41</f>
        <v/>
      </c>
      <c r="WI7" s="52">
        <f>BALANCING!WI41</f>
        <v/>
      </c>
      <c r="WJ7" s="52">
        <f>BALANCING!WJ41</f>
        <v/>
      </c>
      <c r="WK7" s="52">
        <f>BALANCING!WK41</f>
        <v/>
      </c>
      <c r="WL7" s="52">
        <f>BALANCING!WL41</f>
        <v/>
      </c>
      <c r="WM7" s="52">
        <f>BALANCING!WM41</f>
        <v/>
      </c>
      <c r="WN7" s="52">
        <f>BALANCING!WN41</f>
        <v/>
      </c>
      <c r="WO7" s="52">
        <f>BALANCING!WO41</f>
        <v/>
      </c>
      <c r="WP7" s="52">
        <f>BALANCING!WP41</f>
        <v/>
      </c>
      <c r="WQ7" s="52">
        <f>BALANCING!WQ41</f>
        <v/>
      </c>
      <c r="WR7" s="52">
        <f>BALANCING!WR41</f>
        <v/>
      </c>
      <c r="WS7" s="52">
        <f>BALANCING!WS41</f>
        <v/>
      </c>
      <c r="WT7" s="52">
        <f>BALANCING!WT41</f>
        <v/>
      </c>
      <c r="WU7" s="52">
        <f>BALANCING!WU41</f>
        <v/>
      </c>
      <c r="WV7" s="52">
        <f>BALANCING!WV41</f>
        <v/>
      </c>
      <c r="WW7" s="52">
        <f>BALANCING!WW41</f>
        <v/>
      </c>
      <c r="WX7" s="52">
        <f>BALANCING!WX41</f>
        <v/>
      </c>
      <c r="WY7" s="52">
        <f>BALANCING!WY41</f>
        <v/>
      </c>
      <c r="WZ7" s="52">
        <f>BALANCING!WZ41</f>
        <v/>
      </c>
      <c r="XA7" s="52">
        <f>BALANCING!XA41</f>
        <v/>
      </c>
      <c r="XB7" s="52">
        <f>BALANCING!XB41</f>
        <v/>
      </c>
      <c r="XC7" s="52">
        <f>BALANCING!XC41</f>
        <v/>
      </c>
      <c r="XD7" s="52">
        <f>BALANCING!XD41</f>
        <v/>
      </c>
      <c r="XE7" s="52">
        <f>BALANCING!XE41</f>
        <v/>
      </c>
      <c r="XF7" s="52">
        <f>BALANCING!XF41</f>
        <v/>
      </c>
      <c r="XG7" s="139" t="n"/>
      <c r="XH7" s="52">
        <f>BALANCING!XH41</f>
        <v/>
      </c>
      <c r="XI7" s="52">
        <f>BALANCING!XI41</f>
        <v/>
      </c>
      <c r="XJ7" s="52">
        <f>BALANCING!XJ41</f>
        <v/>
      </c>
      <c r="XK7" s="52">
        <f>BALANCING!XK41</f>
        <v/>
      </c>
      <c r="XL7" s="52">
        <f>BALANCING!XL41</f>
        <v/>
      </c>
      <c r="XM7" s="52">
        <f>BALANCING!XM41</f>
        <v/>
      </c>
      <c r="XN7" s="52">
        <f>BALANCING!XN41</f>
        <v/>
      </c>
      <c r="XO7" s="52">
        <f>BALANCING!XO41</f>
        <v/>
      </c>
      <c r="XP7" s="52">
        <f>BALANCING!XP41</f>
        <v/>
      </c>
      <c r="XQ7" s="52">
        <f>BALANCING!XQ41</f>
        <v/>
      </c>
      <c r="XR7" s="52">
        <f>BALANCING!XR41</f>
        <v/>
      </c>
      <c r="XS7" s="52">
        <f>BALANCING!XS41</f>
        <v/>
      </c>
      <c r="XT7" s="52">
        <f>BALANCING!XT41</f>
        <v/>
      </c>
      <c r="XU7" s="52">
        <f>BALANCING!XU41</f>
        <v/>
      </c>
      <c r="XV7" s="52">
        <f>BALANCING!XV41</f>
        <v/>
      </c>
      <c r="XW7" s="52">
        <f>BALANCING!XW41</f>
        <v/>
      </c>
      <c r="XX7" s="52">
        <f>BALANCING!XX41</f>
        <v/>
      </c>
      <c r="XY7" s="52">
        <f>BALANCING!XY41</f>
        <v/>
      </c>
      <c r="XZ7" s="52">
        <f>BALANCING!XZ41</f>
        <v/>
      </c>
      <c r="YA7" s="52">
        <f>BALANCING!YA41</f>
        <v/>
      </c>
      <c r="YB7" s="52">
        <f>BALANCING!YB41</f>
        <v/>
      </c>
      <c r="YC7" s="52">
        <f>BALANCING!YC41</f>
        <v/>
      </c>
      <c r="YD7" s="52">
        <f>BALANCING!YD41</f>
        <v/>
      </c>
      <c r="YE7" s="52">
        <f>BALANCING!YE41</f>
        <v/>
      </c>
      <c r="YF7" s="52">
        <f>BALANCING!YF41</f>
        <v/>
      </c>
      <c r="YG7" s="52">
        <f>BALANCING!YG41</f>
        <v/>
      </c>
      <c r="YH7" s="52">
        <f>BALANCING!YH41</f>
        <v/>
      </c>
      <c r="YI7" s="52">
        <f>BALANCING!YI41</f>
        <v/>
      </c>
      <c r="YJ7" s="52">
        <f>BALANCING!YJ41</f>
        <v/>
      </c>
      <c r="YK7" s="52">
        <f>BALANCING!YK41</f>
        <v/>
      </c>
      <c r="YL7" s="130" t="n"/>
      <c r="YM7" s="52">
        <f>BALANCING!YM41</f>
        <v/>
      </c>
      <c r="YN7" s="52">
        <f>BALANCING!YN41</f>
        <v/>
      </c>
      <c r="YO7" s="52">
        <f>BALANCING!YO41</f>
        <v/>
      </c>
      <c r="YP7" s="52">
        <f>BALANCING!YP41</f>
        <v/>
      </c>
      <c r="YQ7" s="52">
        <f>BALANCING!YQ41</f>
        <v/>
      </c>
      <c r="YR7" s="52">
        <f>BALANCING!YR41</f>
        <v/>
      </c>
      <c r="YS7" s="52">
        <f>BALANCING!YS41</f>
        <v/>
      </c>
      <c r="YT7" s="52">
        <f>BALANCING!YT41</f>
        <v/>
      </c>
      <c r="YU7" s="52">
        <f>BALANCING!YU41</f>
        <v/>
      </c>
      <c r="YV7" s="52">
        <f>BALANCING!YV41</f>
        <v/>
      </c>
      <c r="YW7" s="52">
        <f>BALANCING!YW41</f>
        <v/>
      </c>
      <c r="YX7" s="52">
        <f>BALANCING!YX41</f>
        <v/>
      </c>
      <c r="YY7" s="52">
        <f>BALANCING!YY41</f>
        <v/>
      </c>
      <c r="YZ7" s="52">
        <f>BALANCING!YZ41</f>
        <v/>
      </c>
      <c r="ZA7" s="52">
        <f>BALANCING!ZA41</f>
        <v/>
      </c>
      <c r="ZB7" s="52">
        <f>BALANCING!ZB41</f>
        <v/>
      </c>
      <c r="ZC7" s="52">
        <f>BALANCING!ZC41</f>
        <v/>
      </c>
      <c r="ZD7" s="52">
        <f>BALANCING!ZD41</f>
        <v/>
      </c>
      <c r="ZE7" s="52">
        <f>BALANCING!ZE41</f>
        <v/>
      </c>
      <c r="ZF7" s="52">
        <f>BALANCING!ZF41</f>
        <v/>
      </c>
      <c r="ZG7" s="52">
        <f>BALANCING!ZG41</f>
        <v/>
      </c>
      <c r="ZH7" s="52">
        <f>BALANCING!ZH41</f>
        <v/>
      </c>
      <c r="ZI7" s="52">
        <f>BALANCING!ZI41</f>
        <v/>
      </c>
      <c r="ZJ7" s="52">
        <f>BALANCING!ZJ41</f>
        <v/>
      </c>
      <c r="ZK7" s="52">
        <f>BALANCING!ZK41</f>
        <v/>
      </c>
      <c r="ZL7" s="52">
        <f>BALANCING!ZL41</f>
        <v/>
      </c>
      <c r="ZM7" s="52">
        <f>BALANCING!ZM41</f>
        <v/>
      </c>
      <c r="ZN7" s="52">
        <f>BALANCING!ZN41</f>
        <v/>
      </c>
      <c r="ZO7" s="52">
        <f>BALANCING!ZO41</f>
        <v/>
      </c>
      <c r="ZP7" s="52">
        <f>BALANCING!ZP41</f>
        <v/>
      </c>
      <c r="ZQ7" s="52">
        <f>BALANCING!ZQ41</f>
        <v/>
      </c>
      <c r="ZR7" s="130" t="n"/>
      <c r="ZS7" s="52">
        <f>BALANCING!ZS41</f>
        <v/>
      </c>
      <c r="ZT7" s="52">
        <f>BALANCING!ZT41</f>
        <v/>
      </c>
      <c r="ZU7" s="52">
        <f>BALANCING!ZU41</f>
        <v/>
      </c>
      <c r="ZV7" s="52">
        <f>BALANCING!ZV41</f>
        <v/>
      </c>
      <c r="ZW7" s="52">
        <f>BALANCING!ZW41</f>
        <v/>
      </c>
      <c r="ZX7" s="52">
        <f>BALANCING!ZX41</f>
        <v/>
      </c>
      <c r="ZY7" s="52">
        <f>BALANCING!ZY41</f>
        <v/>
      </c>
      <c r="ZZ7" s="52">
        <f>BALANCING!ZZ41</f>
        <v/>
      </c>
      <c r="AAA7" s="52">
        <f>BALANCING!AAA41</f>
        <v/>
      </c>
      <c r="AAB7" s="52">
        <f>BALANCING!AAB41</f>
        <v/>
      </c>
      <c r="AAC7" s="52">
        <f>BALANCING!AAC41</f>
        <v/>
      </c>
      <c r="AAD7" s="52">
        <f>BALANCING!AAD41</f>
        <v/>
      </c>
      <c r="AAE7" s="52">
        <f>BALANCING!AAE41</f>
        <v/>
      </c>
      <c r="AAF7" s="52">
        <f>BALANCING!AAF41</f>
        <v/>
      </c>
      <c r="AAG7" s="52">
        <f>BALANCING!AAG41</f>
        <v/>
      </c>
      <c r="AAH7" s="52">
        <f>BALANCING!AAH41</f>
        <v/>
      </c>
      <c r="AAI7" s="52">
        <f>BALANCING!AAI41</f>
        <v/>
      </c>
      <c r="AAJ7" s="52">
        <f>BALANCING!AAJ41</f>
        <v/>
      </c>
      <c r="AAK7" s="52">
        <f>BALANCING!AAK41</f>
        <v/>
      </c>
      <c r="AAL7" s="52">
        <f>BALANCING!AAL41</f>
        <v/>
      </c>
      <c r="AAM7" s="52">
        <f>BALANCING!AAM41</f>
        <v/>
      </c>
      <c r="AAN7" s="52">
        <f>BALANCING!AAN41</f>
        <v/>
      </c>
      <c r="AAO7" s="52">
        <f>BALANCING!AAO41</f>
        <v/>
      </c>
      <c r="AAP7" s="52">
        <f>BALANCING!AAP41</f>
        <v/>
      </c>
      <c r="AAQ7" s="52">
        <f>BALANCING!AAQ41</f>
        <v/>
      </c>
      <c r="AAR7" s="52">
        <f>BALANCING!AAR41</f>
        <v/>
      </c>
      <c r="AAS7" s="52">
        <f>BALANCING!AAS41</f>
        <v/>
      </c>
      <c r="AAT7" s="52">
        <f>BALANCING!AAT41</f>
        <v/>
      </c>
      <c r="AAU7" s="52">
        <f>BALANCING!AAU41</f>
        <v/>
      </c>
      <c r="AAV7" s="52">
        <f>BALANCING!AAV41</f>
        <v/>
      </c>
      <c r="AAW7" s="130" t="n"/>
      <c r="AAX7" s="52">
        <f>BALANCING!AAX41</f>
        <v/>
      </c>
      <c r="AAY7" s="52">
        <f>BALANCING!AAY41</f>
        <v/>
      </c>
      <c r="AAZ7" s="52">
        <f>BALANCING!AAZ41</f>
        <v/>
      </c>
      <c r="ABA7" s="52">
        <f>BALANCING!ABA41</f>
        <v/>
      </c>
      <c r="ABB7" s="52">
        <f>BALANCING!ABB41</f>
        <v/>
      </c>
      <c r="ABC7" s="52">
        <f>BALANCING!ABC41</f>
        <v/>
      </c>
      <c r="ABD7" s="52">
        <f>BALANCING!ABD41</f>
        <v/>
      </c>
      <c r="ABE7" s="52">
        <f>BALANCING!ABE41</f>
        <v/>
      </c>
      <c r="ABF7" s="52">
        <f>BALANCING!ABF41</f>
        <v/>
      </c>
      <c r="ABG7" s="52">
        <f>BALANCING!ABG41</f>
        <v/>
      </c>
      <c r="ABH7" s="52">
        <f>BALANCING!ABH41</f>
        <v/>
      </c>
      <c r="ABI7" s="52">
        <f>BALANCING!ABI41</f>
        <v/>
      </c>
      <c r="ABJ7" s="52">
        <f>BALANCING!ABJ41</f>
        <v/>
      </c>
      <c r="ABK7" s="52">
        <f>BALANCING!ABK41</f>
        <v/>
      </c>
      <c r="ABL7" s="52">
        <f>BALANCING!ABL41</f>
        <v/>
      </c>
      <c r="ABM7" s="52">
        <f>BALANCING!ABM41</f>
        <v/>
      </c>
      <c r="ABN7" s="52">
        <f>BALANCING!ABN41</f>
        <v/>
      </c>
      <c r="ABO7" s="52">
        <f>BALANCING!ABO41</f>
        <v/>
      </c>
      <c r="ABP7" s="52">
        <f>BALANCING!ABP41</f>
        <v/>
      </c>
      <c r="ABQ7" s="52">
        <f>BALANCING!ABQ41</f>
        <v/>
      </c>
      <c r="ABR7" s="52">
        <f>BALANCING!ABR41</f>
        <v/>
      </c>
      <c r="ABS7" s="52">
        <f>BALANCING!ABS41</f>
        <v/>
      </c>
      <c r="ABT7" s="52">
        <f>BALANCING!ABT41</f>
        <v/>
      </c>
      <c r="ABU7" s="52">
        <f>BALANCING!ABU41</f>
        <v/>
      </c>
      <c r="ABV7" s="52">
        <f>BALANCING!ABV41</f>
        <v/>
      </c>
      <c r="ABW7" s="52">
        <f>BALANCING!ABW41</f>
        <v/>
      </c>
      <c r="ABX7" s="52">
        <f>BALANCING!ABX41</f>
        <v/>
      </c>
      <c r="ABY7" s="52">
        <f>BALANCING!ABY41</f>
        <v/>
      </c>
      <c r="ABZ7" s="52">
        <f>BALANCING!ABZ41</f>
        <v/>
      </c>
      <c r="ACA7" s="52">
        <f>BALANCING!ACA41</f>
        <v/>
      </c>
      <c r="ACB7" s="52">
        <f>BALANCING!ACB41</f>
        <v/>
      </c>
      <c r="ACC7" s="130" t="n"/>
      <c r="ACD7" s="52">
        <f>BALANCING!ACD41</f>
        <v/>
      </c>
      <c r="ACE7" s="52">
        <f>BALANCING!ACE41</f>
        <v/>
      </c>
      <c r="ACF7" s="52">
        <f>BALANCING!ACF41</f>
        <v/>
      </c>
      <c r="ACG7" s="52">
        <f>BALANCING!ACG41</f>
        <v/>
      </c>
      <c r="ACH7" s="52">
        <f>BALANCING!ACH41</f>
        <v/>
      </c>
      <c r="ACI7" s="52">
        <f>BALANCING!ACI41</f>
        <v/>
      </c>
      <c r="ACJ7" s="52">
        <f>BALANCING!ACJ41</f>
        <v/>
      </c>
      <c r="ACK7" s="52">
        <f>BALANCING!ACK41</f>
        <v/>
      </c>
      <c r="ACL7" s="52">
        <f>BALANCING!ACL41</f>
        <v/>
      </c>
      <c r="ACM7" s="52">
        <f>BALANCING!ACM41</f>
        <v/>
      </c>
      <c r="ACN7" s="52">
        <f>BALANCING!ACN41</f>
        <v/>
      </c>
      <c r="ACO7" s="52">
        <f>BALANCING!ACO41</f>
        <v/>
      </c>
      <c r="ACP7" s="52">
        <f>BALANCING!ACP41</f>
        <v/>
      </c>
      <c r="ACQ7" s="52">
        <f>BALANCING!ACQ41</f>
        <v/>
      </c>
      <c r="ACR7" s="52">
        <f>BALANCING!ACR41</f>
        <v/>
      </c>
      <c r="ACS7" s="52">
        <f>BALANCING!ACS41</f>
        <v/>
      </c>
      <c r="ACT7" s="52">
        <f>BALANCING!ACT41</f>
        <v/>
      </c>
      <c r="ACU7" s="52">
        <f>BALANCING!ACU41</f>
        <v/>
      </c>
      <c r="ACV7" s="52">
        <f>BALANCING!ACV41</f>
        <v/>
      </c>
      <c r="ACW7" s="52">
        <f>BALANCING!ACW41</f>
        <v/>
      </c>
      <c r="ACX7" s="52">
        <f>BALANCING!ACX41</f>
        <v/>
      </c>
      <c r="ACY7" s="52">
        <f>BALANCING!ACY41</f>
        <v/>
      </c>
      <c r="ACZ7" s="52">
        <f>BALANCING!ACZ41</f>
        <v/>
      </c>
      <c r="ADA7" s="52">
        <f>BALANCING!ADA41</f>
        <v/>
      </c>
      <c r="ADB7" s="52">
        <f>BALANCING!ADB41</f>
        <v/>
      </c>
      <c r="ADC7" s="52">
        <f>BALANCING!ADC41</f>
        <v/>
      </c>
      <c r="ADD7" s="52">
        <f>BALANCING!ADD41</f>
        <v/>
      </c>
      <c r="ADE7" s="52">
        <f>BALANCING!ADE41</f>
        <v/>
      </c>
      <c r="ADF7" s="52">
        <f>BALANCING!ADF41</f>
        <v/>
      </c>
      <c r="ADG7" s="52">
        <f>BALANCING!ADG41</f>
        <v/>
      </c>
      <c r="ADH7" s="52">
        <f>BALANCING!ADH41</f>
        <v/>
      </c>
      <c r="ADI7" s="130" t="n"/>
      <c r="ADJ7" s="52">
        <f>BALANCING!ADJ41</f>
        <v/>
      </c>
      <c r="ADK7" s="52">
        <f>BALANCING!ADK41</f>
        <v/>
      </c>
      <c r="ADL7" s="52">
        <f>BALANCING!ADL41</f>
        <v/>
      </c>
      <c r="ADM7" s="52">
        <f>BALANCING!ADM41</f>
        <v/>
      </c>
      <c r="ADN7" s="52">
        <f>BALANCING!ADN41</f>
        <v/>
      </c>
      <c r="ADO7" s="52">
        <f>BALANCING!ADO41</f>
        <v/>
      </c>
      <c r="ADP7" s="52">
        <f>BALANCING!ADP41</f>
        <v/>
      </c>
      <c r="ADQ7" s="52">
        <f>BALANCING!ADQ41</f>
        <v/>
      </c>
      <c r="ADR7" s="52">
        <f>BALANCING!ADR41</f>
        <v/>
      </c>
      <c r="ADS7" s="52">
        <f>BALANCING!ADS41</f>
        <v/>
      </c>
      <c r="ADT7" s="52">
        <f>BALANCING!ADT41</f>
        <v/>
      </c>
      <c r="ADU7" s="52">
        <f>BALANCING!ADU41</f>
        <v/>
      </c>
      <c r="ADV7" s="52">
        <f>BALANCING!ADV41</f>
        <v/>
      </c>
      <c r="ADW7" s="52">
        <f>BALANCING!ADW41</f>
        <v/>
      </c>
      <c r="ADX7" s="52">
        <f>BALANCING!ADX41</f>
        <v/>
      </c>
      <c r="ADY7" s="52">
        <f>BALANCING!ADY41</f>
        <v/>
      </c>
      <c r="ADZ7" s="52">
        <f>BALANCING!ADZ41</f>
        <v/>
      </c>
      <c r="AEA7" s="52">
        <f>BALANCING!AEA41</f>
        <v/>
      </c>
      <c r="AEB7" s="52">
        <f>BALANCING!AEB41</f>
        <v/>
      </c>
      <c r="AEC7" s="52">
        <f>BALANCING!AEC41</f>
        <v/>
      </c>
      <c r="AED7" s="52">
        <f>BALANCING!AED41</f>
        <v/>
      </c>
      <c r="AEE7" s="52">
        <f>BALANCING!AEE41</f>
        <v/>
      </c>
      <c r="AEF7" s="52">
        <f>BALANCING!AEF41</f>
        <v/>
      </c>
      <c r="AEG7" s="52">
        <f>BALANCING!AEG41</f>
        <v/>
      </c>
      <c r="AEH7" s="52">
        <f>BALANCING!AEH41</f>
        <v/>
      </c>
      <c r="AEI7" s="52">
        <f>BALANCING!AEI41</f>
        <v/>
      </c>
      <c r="AEJ7" s="52">
        <f>BALANCING!AEJ41</f>
        <v/>
      </c>
      <c r="AEK7" s="52">
        <f>BALANCING!AEK41</f>
        <v/>
      </c>
      <c r="AEL7" s="52">
        <f>BALANCING!AEL41</f>
        <v/>
      </c>
      <c r="AEM7" s="52">
        <f>BALANCING!AEM41</f>
        <v/>
      </c>
      <c r="AEN7" s="130" t="n"/>
      <c r="AEO7" s="52">
        <f>BALANCING!AEO41</f>
        <v/>
      </c>
      <c r="AEP7" s="52">
        <f>BALANCING!AEP41</f>
        <v/>
      </c>
      <c r="AEQ7" s="52">
        <f>BALANCING!AEQ41</f>
        <v/>
      </c>
      <c r="AER7" s="52">
        <f>BALANCING!AER41</f>
        <v/>
      </c>
      <c r="AES7" s="52">
        <f>BALANCING!AES41</f>
        <v/>
      </c>
      <c r="AET7" s="52">
        <f>BALANCING!AET41</f>
        <v/>
      </c>
      <c r="AEU7" s="52">
        <f>BALANCING!AEU41</f>
        <v/>
      </c>
      <c r="AEV7" s="52">
        <f>BALANCING!AEV41</f>
        <v/>
      </c>
      <c r="AEW7" s="52">
        <f>BALANCING!AEW41</f>
        <v/>
      </c>
      <c r="AEX7" s="52">
        <f>BALANCING!AEX41</f>
        <v/>
      </c>
      <c r="AEY7" s="52">
        <f>BALANCING!AEY41</f>
        <v/>
      </c>
      <c r="AEZ7" s="52">
        <f>BALANCING!AEZ41</f>
        <v/>
      </c>
      <c r="AFA7" s="52">
        <f>BALANCING!AFA41</f>
        <v/>
      </c>
      <c r="AFB7" s="52">
        <f>BALANCING!AFB41</f>
        <v/>
      </c>
      <c r="AFC7" s="52">
        <f>BALANCING!AFC41</f>
        <v/>
      </c>
      <c r="AFD7" s="52">
        <f>BALANCING!AFD41</f>
        <v/>
      </c>
      <c r="AFE7" s="52">
        <f>BALANCING!AFE41</f>
        <v/>
      </c>
      <c r="AFF7" s="52">
        <f>BALANCING!AFF41</f>
        <v/>
      </c>
      <c r="AFG7" s="52">
        <f>BALANCING!AFG41</f>
        <v/>
      </c>
      <c r="AFH7" s="52">
        <f>BALANCING!AFH41</f>
        <v/>
      </c>
      <c r="AFI7" s="52">
        <f>BALANCING!AFI41</f>
        <v/>
      </c>
      <c r="AFJ7" s="52">
        <f>BALANCING!AFJ41</f>
        <v/>
      </c>
      <c r="AFK7" s="52">
        <f>BALANCING!AFK41</f>
        <v/>
      </c>
      <c r="AFL7" s="52">
        <f>BALANCING!AFL41</f>
        <v/>
      </c>
      <c r="AFM7" s="52">
        <f>BALANCING!AFM41</f>
        <v/>
      </c>
      <c r="AFN7" s="52">
        <f>BALANCING!AFN41</f>
        <v/>
      </c>
      <c r="AFO7" s="52">
        <f>BALANCING!AFO41</f>
        <v/>
      </c>
      <c r="AFP7" s="52">
        <f>BALANCING!AFP41</f>
        <v/>
      </c>
      <c r="AFQ7" s="52">
        <f>BALANCING!AFQ41</f>
        <v/>
      </c>
      <c r="AFR7" s="52">
        <f>BALANCING!AFR41</f>
        <v/>
      </c>
      <c r="AFS7" s="52">
        <f>BALANCING!AFS41</f>
        <v/>
      </c>
      <c r="AFT7" s="130" t="n"/>
      <c r="AFU7" s="52">
        <f>BALANCING!AFU41</f>
        <v/>
      </c>
      <c r="AFV7" s="52">
        <f>BALANCING!AFV41</f>
        <v/>
      </c>
      <c r="AFW7" s="52">
        <f>BALANCING!AFW41</f>
        <v/>
      </c>
      <c r="AFX7" s="52">
        <f>BALANCING!AFX41</f>
        <v/>
      </c>
      <c r="AFY7" s="52">
        <f>BALANCING!AFY41</f>
        <v/>
      </c>
      <c r="AFZ7" s="52">
        <f>BALANCING!AFZ41</f>
        <v/>
      </c>
      <c r="AGA7" s="52">
        <f>BALANCING!AGA41</f>
        <v/>
      </c>
      <c r="AGB7" s="52">
        <f>BALANCING!AGB41</f>
        <v/>
      </c>
      <c r="AGC7" s="52">
        <f>BALANCING!AGC41</f>
        <v/>
      </c>
      <c r="AGD7" s="52">
        <f>BALANCING!AGD41</f>
        <v/>
      </c>
      <c r="AGE7" s="52">
        <f>BALANCING!AGE41</f>
        <v/>
      </c>
      <c r="AGF7" s="52">
        <f>BALANCING!AGF41</f>
        <v/>
      </c>
      <c r="AGG7" s="52">
        <f>BALANCING!AGG41</f>
        <v/>
      </c>
      <c r="AGH7" s="52">
        <f>BALANCING!AGH41</f>
        <v/>
      </c>
      <c r="AGI7" s="52">
        <f>BALANCING!AGI41</f>
        <v/>
      </c>
      <c r="AGJ7" s="52">
        <f>BALANCING!AGJ41</f>
        <v/>
      </c>
      <c r="AGK7" s="52">
        <f>BALANCING!AGK41</f>
        <v/>
      </c>
      <c r="AGL7" s="52">
        <f>BALANCING!AGL41</f>
        <v/>
      </c>
      <c r="AGM7" s="52">
        <f>BALANCING!AGM41</f>
        <v/>
      </c>
      <c r="AGN7" s="52">
        <f>BALANCING!AGN41</f>
        <v/>
      </c>
      <c r="AGO7" s="52">
        <f>BALANCING!AGO41</f>
        <v/>
      </c>
      <c r="AGP7" s="52">
        <f>BALANCING!AGP41</f>
        <v/>
      </c>
      <c r="AGQ7" s="52">
        <f>BALANCING!AGQ41</f>
        <v/>
      </c>
      <c r="AGR7" s="52">
        <f>BALANCING!AGR41</f>
        <v/>
      </c>
      <c r="AGS7" s="52">
        <f>BALANCING!AGS41</f>
        <v/>
      </c>
      <c r="AGT7" s="52">
        <f>BALANCING!AGT41</f>
        <v/>
      </c>
      <c r="AGU7" s="52">
        <f>BALANCING!AGU41</f>
        <v/>
      </c>
      <c r="AGV7" s="52">
        <f>BALANCING!AGV41</f>
        <v/>
      </c>
      <c r="AGW7" s="52">
        <f>BALANCING!AGW41</f>
        <v/>
      </c>
      <c r="AGX7" s="52">
        <f>BALANCING!AGX41</f>
        <v/>
      </c>
      <c r="AGY7" s="139" t="n"/>
      <c r="AGZ7" s="52">
        <f>BALANCING!AGZ41</f>
        <v/>
      </c>
      <c r="AHA7" s="52">
        <f>BALANCING!AHA41</f>
        <v/>
      </c>
      <c r="AHB7" s="52">
        <f>BALANCING!AHB41</f>
        <v/>
      </c>
      <c r="AHC7" s="52">
        <f>BALANCING!AHC41</f>
        <v/>
      </c>
      <c r="AHD7" s="52">
        <f>BALANCING!AHD41</f>
        <v/>
      </c>
      <c r="AHE7" s="52">
        <f>BALANCING!AHE41</f>
        <v/>
      </c>
      <c r="AHF7" s="52">
        <f>BALANCING!AHF41</f>
        <v/>
      </c>
      <c r="AHG7" s="52">
        <f>BALANCING!AHG41</f>
        <v/>
      </c>
      <c r="AHH7" s="52">
        <f>BALANCING!AHH41</f>
        <v/>
      </c>
      <c r="AHI7" s="52">
        <f>BALANCING!AHI41</f>
        <v/>
      </c>
      <c r="AHJ7" s="52">
        <f>BALANCING!AHJ41</f>
        <v/>
      </c>
      <c r="AHK7" s="52">
        <f>BALANCING!AHK41</f>
        <v/>
      </c>
      <c r="AHL7" s="52">
        <f>BALANCING!AHL41</f>
        <v/>
      </c>
      <c r="AHM7" s="52">
        <f>BALANCING!AHM41</f>
        <v/>
      </c>
      <c r="AHN7" s="52">
        <f>BALANCING!AHN41</f>
        <v/>
      </c>
      <c r="AHO7" s="52">
        <f>BALANCING!AHO41</f>
        <v/>
      </c>
      <c r="AHP7" s="52">
        <f>BALANCING!AHP41</f>
        <v/>
      </c>
      <c r="AHQ7" s="52">
        <f>BALANCING!AHQ41</f>
        <v/>
      </c>
      <c r="AHR7" s="52">
        <f>BALANCING!AHR41</f>
        <v/>
      </c>
      <c r="AHS7" s="52">
        <f>BALANCING!AHS41</f>
        <v/>
      </c>
      <c r="AHT7" s="52">
        <f>BALANCING!AHT41</f>
        <v/>
      </c>
      <c r="AHU7" s="52">
        <f>BALANCING!AHU41</f>
        <v/>
      </c>
      <c r="AHV7" s="52">
        <f>BALANCING!AHV41</f>
        <v/>
      </c>
      <c r="AHW7" s="52">
        <f>BALANCING!AHW41</f>
        <v/>
      </c>
      <c r="AHX7" s="52">
        <f>BALANCING!AHX41</f>
        <v/>
      </c>
      <c r="AHY7" s="52">
        <f>BALANCING!AHY41</f>
        <v/>
      </c>
      <c r="AHZ7" s="52">
        <f>BALANCING!AHZ41</f>
        <v/>
      </c>
      <c r="AIA7" s="52">
        <f>BALANCING!AIA41</f>
        <v/>
      </c>
      <c r="AIB7" s="52">
        <f>BALANCING!AIB41</f>
        <v/>
      </c>
      <c r="AIC7" s="52">
        <f>BALANCING!AIC41</f>
        <v/>
      </c>
      <c r="AID7" s="52">
        <f>BALANCING!AID41</f>
        <v/>
      </c>
      <c r="AIE7" s="130" t="n"/>
      <c r="AIF7" s="52">
        <f>BALANCING!AIF41</f>
        <v/>
      </c>
      <c r="AIG7" s="52">
        <f>BALANCING!AIG41</f>
        <v/>
      </c>
      <c r="AIH7" s="52">
        <f>BALANCING!AIH41</f>
        <v/>
      </c>
      <c r="AII7" s="52">
        <f>BALANCING!AII41</f>
        <v/>
      </c>
      <c r="AIJ7" s="52">
        <f>BALANCING!AIJ41</f>
        <v/>
      </c>
      <c r="AIK7" s="52">
        <f>BALANCING!AIK41</f>
        <v/>
      </c>
      <c r="AIL7" s="52">
        <f>BALANCING!AIL41</f>
        <v/>
      </c>
      <c r="AIM7" s="52">
        <f>BALANCING!AIM41</f>
        <v/>
      </c>
      <c r="AIN7" s="52">
        <f>BALANCING!AIN41</f>
        <v/>
      </c>
      <c r="AIO7" s="52">
        <f>BALANCING!AIO41</f>
        <v/>
      </c>
      <c r="AIP7" s="52">
        <f>BALANCING!AIP41</f>
        <v/>
      </c>
      <c r="AIQ7" s="52">
        <f>BALANCING!AIQ41</f>
        <v/>
      </c>
      <c r="AIR7" s="52">
        <f>BALANCING!AIR41</f>
        <v/>
      </c>
      <c r="AIS7" s="52">
        <f>BALANCING!AIS41</f>
        <v/>
      </c>
      <c r="AIT7" s="52">
        <f>BALANCING!AIT41</f>
        <v/>
      </c>
      <c r="AIU7" s="52">
        <f>BALANCING!AIU41</f>
        <v/>
      </c>
      <c r="AIV7" s="52">
        <f>BALANCING!AIV41</f>
        <v/>
      </c>
      <c r="AIW7" s="52">
        <f>BALANCING!AIW41</f>
        <v/>
      </c>
      <c r="AIX7" s="52">
        <f>BALANCING!AIX41</f>
        <v/>
      </c>
      <c r="AIY7" s="52">
        <f>BALANCING!AIY41</f>
        <v/>
      </c>
      <c r="AIZ7" s="52">
        <f>BALANCING!AIZ41</f>
        <v/>
      </c>
      <c r="AJA7" s="52">
        <f>BALANCING!AJA41</f>
        <v/>
      </c>
      <c r="AJB7" s="52">
        <f>BALANCING!AJB41</f>
        <v/>
      </c>
      <c r="AJC7" s="52">
        <f>BALANCING!AJC41</f>
        <v/>
      </c>
      <c r="AJD7" s="52">
        <f>BALANCING!AJD41</f>
        <v/>
      </c>
      <c r="AJE7" s="52">
        <f>BALANCING!AJE41</f>
        <v/>
      </c>
      <c r="AJF7" s="52">
        <f>BALANCING!AJF41</f>
        <v/>
      </c>
      <c r="AJG7" s="52">
        <f>BALANCING!AJG41</f>
        <v/>
      </c>
      <c r="AJH7" s="52">
        <f>BALANCING!AJH41</f>
        <v/>
      </c>
      <c r="AJI7" s="52">
        <f>BALANCING!AJI41</f>
        <v/>
      </c>
      <c r="AJJ7" s="52">
        <f>BALANCING!AJJ41</f>
        <v/>
      </c>
      <c r="AJK7" s="145" t="n"/>
      <c r="AJL7" s="52">
        <f>BALANCING!AJL41</f>
        <v/>
      </c>
      <c r="AJM7" s="52">
        <f>BALANCING!AJM41</f>
        <v/>
      </c>
      <c r="AJN7" s="52">
        <f>BALANCING!AJN41</f>
        <v/>
      </c>
      <c r="AJO7" s="52">
        <f>BALANCING!AJO41</f>
        <v/>
      </c>
      <c r="AJP7" s="52">
        <f>BALANCING!AJP41</f>
        <v/>
      </c>
      <c r="AJQ7" s="52">
        <f>BALANCING!AJQ41</f>
        <v/>
      </c>
      <c r="AJR7" s="52">
        <f>BALANCING!AJR41</f>
        <v/>
      </c>
      <c r="AJS7" s="52">
        <f>BALANCING!AJS41</f>
        <v/>
      </c>
      <c r="AJT7" s="52">
        <f>BALANCING!AJT41</f>
        <v/>
      </c>
      <c r="AJU7" s="52">
        <f>BALANCING!AJU41</f>
        <v/>
      </c>
      <c r="AJV7" s="52">
        <f>BALANCING!AJV41</f>
        <v/>
      </c>
      <c r="AJW7" s="52">
        <f>BALANCING!AJW41</f>
        <v/>
      </c>
      <c r="AJX7" s="52">
        <f>BALANCING!AJX41</f>
        <v/>
      </c>
      <c r="AJY7" s="52">
        <f>BALANCING!AJY41</f>
        <v/>
      </c>
      <c r="AJZ7" s="52">
        <f>BALANCING!AJZ41</f>
        <v/>
      </c>
      <c r="AKA7" s="52">
        <f>BALANCING!AKA41</f>
        <v/>
      </c>
      <c r="AKB7" s="52">
        <f>BALANCING!AKB41</f>
        <v/>
      </c>
      <c r="AKC7" s="52">
        <f>BALANCING!AKC41</f>
        <v/>
      </c>
      <c r="AKD7" s="52">
        <f>BALANCING!AKD41</f>
        <v/>
      </c>
      <c r="AKE7" s="52">
        <f>BALANCING!AKE41</f>
        <v/>
      </c>
      <c r="AKF7" s="52">
        <f>BALANCING!AKF41</f>
        <v/>
      </c>
      <c r="AKG7" s="52">
        <f>BALANCING!AKG41</f>
        <v/>
      </c>
      <c r="AKH7" s="52">
        <f>BALANCING!AKH41</f>
        <v/>
      </c>
      <c r="AKI7" s="52">
        <f>BALANCING!AKI41</f>
        <v/>
      </c>
      <c r="AKJ7" s="52">
        <f>BALANCING!AKJ41</f>
        <v/>
      </c>
      <c r="AKK7" s="52">
        <f>BALANCING!AKK41</f>
        <v/>
      </c>
      <c r="AKL7" s="52">
        <f>BALANCING!AKL41</f>
        <v/>
      </c>
      <c r="AKM7" s="52">
        <f>BALANCING!AKM41</f>
        <v/>
      </c>
      <c r="AKN7" s="151" t="n"/>
      <c r="AKO7" s="52">
        <f>BALANCING!AKO41</f>
        <v/>
      </c>
      <c r="AKP7" s="52">
        <f>BALANCING!AKP41</f>
        <v/>
      </c>
      <c r="AKQ7" s="52">
        <f>BALANCING!AKQ41</f>
        <v/>
      </c>
      <c r="AKR7" s="52">
        <f>BALANCING!AKR41</f>
        <v/>
      </c>
      <c r="AKS7" s="52">
        <f>BALANCING!AKS41</f>
        <v/>
      </c>
      <c r="AKT7" s="52">
        <f>BALANCING!AKT41</f>
        <v/>
      </c>
      <c r="AKU7" s="52">
        <f>BALANCING!AKU41</f>
        <v/>
      </c>
      <c r="AKV7" s="52">
        <f>BALANCING!AKV41</f>
        <v/>
      </c>
      <c r="AKW7" s="52">
        <f>BALANCING!AKW41</f>
        <v/>
      </c>
      <c r="AKX7" s="52">
        <f>BALANCING!AKX41</f>
        <v/>
      </c>
      <c r="AKY7" s="52">
        <f>BALANCING!AKY41</f>
        <v/>
      </c>
      <c r="AKZ7" s="52">
        <f>BALANCING!AKZ41</f>
        <v/>
      </c>
      <c r="ALA7" s="52">
        <f>BALANCING!ALA41</f>
        <v/>
      </c>
      <c r="ALB7" s="52">
        <f>BALANCING!ALB41</f>
        <v/>
      </c>
      <c r="ALC7" s="52">
        <f>BALANCING!ALC41</f>
        <v/>
      </c>
      <c r="ALD7" s="52">
        <f>BALANCING!ALD41</f>
        <v/>
      </c>
      <c r="ALE7" s="52">
        <f>BALANCING!ALE41</f>
        <v/>
      </c>
      <c r="ALF7" s="52">
        <f>BALANCING!ALF41</f>
        <v/>
      </c>
      <c r="ALG7" s="52">
        <f>BALANCING!ALG41</f>
        <v/>
      </c>
      <c r="ALH7" s="52">
        <f>BALANCING!ALH41</f>
        <v/>
      </c>
      <c r="ALI7" s="52">
        <f>BALANCING!ALI41</f>
        <v/>
      </c>
      <c r="ALJ7" s="52">
        <f>BALANCING!ALJ41</f>
        <v/>
      </c>
      <c r="ALK7" s="52">
        <f>BALANCING!ALK41</f>
        <v/>
      </c>
      <c r="ALL7" s="52">
        <f>BALANCING!ALL41</f>
        <v/>
      </c>
      <c r="ALM7" s="52">
        <f>BALANCING!ALM41</f>
        <v/>
      </c>
      <c r="ALN7" s="52">
        <f>BALANCING!ALN41</f>
        <v/>
      </c>
      <c r="ALO7" s="52">
        <f>BALANCING!ALO41</f>
        <v/>
      </c>
      <c r="ALP7" s="52">
        <f>BALANCING!ALP41</f>
        <v/>
      </c>
      <c r="ALQ7" s="52">
        <f>BALANCING!ALQ41</f>
        <v/>
      </c>
      <c r="ALR7" s="52">
        <f>BALANCING!ALR41</f>
        <v/>
      </c>
      <c r="ALS7" s="52">
        <f>BALANCING!ALS41</f>
        <v/>
      </c>
      <c r="ALT7" s="130" t="n"/>
      <c r="ALU7" s="52">
        <f>BALANCING!ALU41</f>
        <v/>
      </c>
      <c r="ALV7" s="52">
        <f>BALANCING!ALV41</f>
        <v/>
      </c>
      <c r="ALW7" s="52">
        <f>BALANCING!ALW41</f>
        <v/>
      </c>
      <c r="ALX7" s="52">
        <f>BALANCING!ALX41</f>
        <v/>
      </c>
      <c r="ALY7" s="52">
        <f>BALANCING!ALY41</f>
        <v/>
      </c>
      <c r="ALZ7" s="52">
        <f>BALANCING!ALZ41</f>
        <v/>
      </c>
      <c r="AMA7" s="52">
        <f>BALANCING!AMA41</f>
        <v/>
      </c>
      <c r="AMB7" s="52">
        <f>BALANCING!AMB41</f>
        <v/>
      </c>
      <c r="AMC7" s="52">
        <f>BALANCING!AMC41</f>
        <v/>
      </c>
      <c r="AMD7" s="52">
        <f>BALANCING!AMD41</f>
        <v/>
      </c>
      <c r="AME7" s="52">
        <f>BALANCING!AME41</f>
        <v/>
      </c>
      <c r="AMF7" s="52">
        <f>BALANCING!AMF41</f>
        <v/>
      </c>
      <c r="AMG7" s="52">
        <f>BALANCING!AMG41</f>
        <v/>
      </c>
      <c r="AMH7" s="52">
        <f>BALANCING!AMH41</f>
        <v/>
      </c>
      <c r="AMI7" s="52">
        <f>BALANCING!AMI41</f>
        <v/>
      </c>
      <c r="AMJ7" s="52">
        <f>BALANCING!AMJ41</f>
        <v/>
      </c>
      <c r="AMK7" s="52">
        <f>BALANCING!AMK41</f>
        <v/>
      </c>
      <c r="AML7" s="52">
        <f>BALANCING!AML41</f>
        <v/>
      </c>
      <c r="AMM7" s="52">
        <f>BALANCING!AMM41</f>
        <v/>
      </c>
      <c r="AMN7" s="52">
        <f>BALANCING!AMN41</f>
        <v/>
      </c>
      <c r="AMO7" s="52">
        <f>BALANCING!AMO41</f>
        <v/>
      </c>
      <c r="AMP7" s="52">
        <f>BALANCING!AMP41</f>
        <v/>
      </c>
      <c r="AMQ7" s="52">
        <f>BALANCING!AMQ41</f>
        <v/>
      </c>
      <c r="AMR7" s="52">
        <f>BALANCING!AMR41</f>
        <v/>
      </c>
      <c r="AMS7" s="52">
        <f>BALANCING!AMS41</f>
        <v/>
      </c>
      <c r="AMT7" s="52">
        <f>BALANCING!AMT41</f>
        <v/>
      </c>
      <c r="AMU7" s="52">
        <f>BALANCING!AMU41</f>
        <v/>
      </c>
      <c r="AMV7" s="52">
        <f>BALANCING!AMV41</f>
        <v/>
      </c>
      <c r="AMW7" s="52">
        <f>BALANCING!AMW41</f>
        <v/>
      </c>
      <c r="AMX7" s="52">
        <f>BALANCING!AMX41</f>
        <v/>
      </c>
      <c r="AMY7" s="130" t="n"/>
      <c r="AMZ7" s="52">
        <f>BALANCING!AMZ41</f>
        <v/>
      </c>
      <c r="ANA7" s="52">
        <f>BALANCING!ANA41</f>
        <v/>
      </c>
      <c r="ANB7" s="52">
        <f>BALANCING!ANB41</f>
        <v/>
      </c>
      <c r="ANC7" s="52">
        <f>BALANCING!ANC41</f>
        <v/>
      </c>
      <c r="AND7" s="52">
        <f>BALANCING!AND41</f>
        <v/>
      </c>
      <c r="ANE7" s="52">
        <f>BALANCING!ANE41</f>
        <v/>
      </c>
      <c r="ANF7" s="52">
        <f>BALANCING!ANF41</f>
        <v/>
      </c>
      <c r="ANG7" s="52">
        <f>BALANCING!ANG41</f>
        <v/>
      </c>
      <c r="ANH7" s="52">
        <f>BALANCING!ANH41</f>
        <v/>
      </c>
      <c r="ANI7" s="52">
        <f>BALANCING!ANI41</f>
        <v/>
      </c>
      <c r="ANJ7" s="52">
        <f>BALANCING!ANJ41</f>
        <v/>
      </c>
      <c r="ANK7" s="52">
        <f>BALANCING!ANK41</f>
        <v/>
      </c>
      <c r="ANL7" s="52">
        <f>BALANCING!ANL41</f>
        <v/>
      </c>
      <c r="ANM7" s="52">
        <f>BALANCING!ANM41</f>
        <v/>
      </c>
      <c r="ANN7" s="52">
        <f>BALANCING!ANN41</f>
        <v/>
      </c>
      <c r="ANO7" s="52">
        <f>BALANCING!ANO41</f>
        <v/>
      </c>
      <c r="ANP7" s="52">
        <f>BALANCING!ANP41</f>
        <v/>
      </c>
      <c r="ANQ7" s="52">
        <f>BALANCING!ANQ41</f>
        <v/>
      </c>
      <c r="ANR7" s="52">
        <f>BALANCING!ANR41</f>
        <v/>
      </c>
      <c r="ANS7" s="52">
        <f>BALANCING!ANS41</f>
        <v/>
      </c>
      <c r="ANT7" s="52">
        <f>BALANCING!ANT41</f>
        <v/>
      </c>
      <c r="ANU7" s="52">
        <f>BALANCING!ANU41</f>
        <v/>
      </c>
      <c r="ANV7" s="52">
        <f>BALANCING!ANV41</f>
        <v/>
      </c>
      <c r="ANW7" s="52">
        <f>BALANCING!ANW41</f>
        <v/>
      </c>
      <c r="ANX7" s="52">
        <f>BALANCING!ANX41</f>
        <v/>
      </c>
      <c r="ANY7" s="52">
        <f>BALANCING!ANY41</f>
        <v/>
      </c>
      <c r="ANZ7" s="52">
        <f>BALANCING!ANZ41</f>
        <v/>
      </c>
      <c r="AOA7" s="52">
        <f>BALANCING!AOA41</f>
        <v/>
      </c>
      <c r="AOB7" s="52">
        <f>BALANCING!AOB41</f>
        <v/>
      </c>
      <c r="AOC7" s="52">
        <f>BALANCING!AOC41</f>
        <v/>
      </c>
    </row>
    <row r="8">
      <c r="B8" t="inlineStr">
        <is>
          <t>AGO PRICE</t>
        </is>
      </c>
      <c r="C8" s="52">
        <f>BALANCING!C8-100</f>
        <v/>
      </c>
      <c r="D8" s="52">
        <f>BALANCING!D8-100</f>
        <v/>
      </c>
      <c r="E8" s="52">
        <f>BALANCING!E8-100</f>
        <v/>
      </c>
      <c r="F8" s="52">
        <f>BALANCING!F8-100</f>
        <v/>
      </c>
      <c r="G8" s="52">
        <f>BALANCING!G8-100</f>
        <v/>
      </c>
      <c r="H8" s="52">
        <f>BALANCING!H8-100</f>
        <v/>
      </c>
      <c r="I8" s="52">
        <f>BALANCING!I8-100</f>
        <v/>
      </c>
      <c r="J8" s="52">
        <f>BALANCING!J8-100</f>
        <v/>
      </c>
      <c r="K8" s="52">
        <f>BALANCING!K8-100</f>
        <v/>
      </c>
      <c r="L8" s="52">
        <f>BALANCING!L8-100</f>
        <v/>
      </c>
      <c r="M8" s="52">
        <f>BALANCING!M8-100</f>
        <v/>
      </c>
      <c r="N8" s="52">
        <f>BALANCING!N8-100</f>
        <v/>
      </c>
      <c r="O8" s="52">
        <f>BALANCING!O8-100</f>
        <v/>
      </c>
      <c r="P8" s="52">
        <f>BALANCING!P8-100</f>
        <v/>
      </c>
      <c r="Q8" s="52">
        <f>BALANCING!Q8-100</f>
        <v/>
      </c>
      <c r="R8" s="52">
        <f>BALANCING!R8-100</f>
        <v/>
      </c>
      <c r="S8" s="52">
        <f>BALANCING!S8-100</f>
        <v/>
      </c>
      <c r="T8" s="52">
        <f>BALANCING!T8-100</f>
        <v/>
      </c>
      <c r="U8" s="52">
        <f>BALANCING!U8-100</f>
        <v/>
      </c>
      <c r="V8" s="52">
        <f>BALANCING!V8-100</f>
        <v/>
      </c>
      <c r="W8" s="52">
        <f>BALANCING!W8-100</f>
        <v/>
      </c>
      <c r="X8" s="52">
        <f>BALANCING!X8-100</f>
        <v/>
      </c>
      <c r="Y8" s="52">
        <f>BALANCING!Y8-100</f>
        <v/>
      </c>
      <c r="Z8" s="52">
        <f>BALANCING!Z8-100</f>
        <v/>
      </c>
      <c r="AA8" s="52">
        <f>BALANCING!AA8-100</f>
        <v/>
      </c>
      <c r="AB8" s="52">
        <f>BALANCING!AB8-100</f>
        <v/>
      </c>
      <c r="AC8" s="52">
        <f>BALANCING!AC8-100</f>
        <v/>
      </c>
      <c r="AD8" s="52">
        <f>BALANCING!AD8-100</f>
        <v/>
      </c>
      <c r="AE8" s="52">
        <f>BALANCING!AE8-100</f>
        <v/>
      </c>
      <c r="AF8" s="52">
        <f>BALANCING!AF8-100</f>
        <v/>
      </c>
      <c r="AG8" s="52">
        <f>BALANCING!AG8-100</f>
        <v/>
      </c>
      <c r="AH8" s="98" t="n"/>
      <c r="AI8" s="52">
        <f>BALANCING!AI8-100</f>
        <v/>
      </c>
      <c r="AJ8" s="52">
        <f>BALANCING!AJ8-100</f>
        <v/>
      </c>
      <c r="AK8" s="52">
        <f>BALANCING!AK8-100</f>
        <v/>
      </c>
      <c r="AL8" s="52">
        <f>BALANCING!AL8-100</f>
        <v/>
      </c>
      <c r="AM8" s="52">
        <f>BALANCING!AM8-100</f>
        <v/>
      </c>
      <c r="AN8" s="52">
        <f>BALANCING!AN8-100</f>
        <v/>
      </c>
      <c r="AO8" s="52">
        <f>BALANCING!AO8-100</f>
        <v/>
      </c>
      <c r="AP8" s="52">
        <f>BALANCING!AP8-100</f>
        <v/>
      </c>
      <c r="AQ8" s="52">
        <f>BALANCING!AQ8-100</f>
        <v/>
      </c>
      <c r="AR8" s="52">
        <f>BALANCING!AR8-100</f>
        <v/>
      </c>
      <c r="AS8" s="52">
        <f>BALANCING!AS8-100</f>
        <v/>
      </c>
      <c r="AT8" s="52">
        <f>BALANCING!AT8-100</f>
        <v/>
      </c>
      <c r="AU8" s="52">
        <f>BALANCING!AU8-100</f>
        <v/>
      </c>
      <c r="AV8" s="52">
        <f>BALANCING!AV8-100</f>
        <v/>
      </c>
      <c r="AW8" s="52">
        <f>BALANCING!AW8-100</f>
        <v/>
      </c>
      <c r="AX8" s="52">
        <f>BALANCING!AX8-100</f>
        <v/>
      </c>
      <c r="AY8" s="52">
        <f>BALANCING!AY8-100</f>
        <v/>
      </c>
      <c r="AZ8" s="52">
        <f>BALANCING!AZ8-100</f>
        <v/>
      </c>
      <c r="BA8" s="52">
        <f>BALANCING!BA8-100</f>
        <v/>
      </c>
      <c r="BB8" s="52">
        <f>BALANCING!BB8-100</f>
        <v/>
      </c>
      <c r="BC8" s="52">
        <f>BALANCING!BC8-100</f>
        <v/>
      </c>
      <c r="BD8" s="52">
        <f>BALANCING!BD8-100</f>
        <v/>
      </c>
      <c r="BE8" s="52">
        <f>BALANCING!BE8-100</f>
        <v/>
      </c>
      <c r="BF8" s="52">
        <f>BALANCING!BF8-100</f>
        <v/>
      </c>
      <c r="BG8" s="52">
        <f>BALANCING!BG8-100</f>
        <v/>
      </c>
      <c r="BH8" s="52">
        <f>BALANCING!BH8-100</f>
        <v/>
      </c>
      <c r="BI8" s="52">
        <f>BALANCING!BI8-100</f>
        <v/>
      </c>
      <c r="BJ8" s="52">
        <f>BALANCING!BJ8-100</f>
        <v/>
      </c>
      <c r="BK8" s="52">
        <f>BALANCING!BK8-100</f>
        <v/>
      </c>
      <c r="BL8" s="52">
        <f>BALANCING!BL8-100</f>
        <v/>
      </c>
      <c r="BM8" s="105" t="n"/>
      <c r="BN8" s="52">
        <f>BALANCING!BN8-100</f>
        <v/>
      </c>
      <c r="BO8" s="52">
        <f>BALANCING!BO8-100</f>
        <v/>
      </c>
      <c r="BP8" s="52">
        <f>BALANCING!BP8-100</f>
        <v/>
      </c>
      <c r="BQ8" s="52">
        <f>BALANCING!BQ8-100</f>
        <v/>
      </c>
      <c r="BR8" s="52">
        <f>BALANCING!BR8-100</f>
        <v/>
      </c>
      <c r="BS8" s="52">
        <f>BALANCING!BS8-100</f>
        <v/>
      </c>
      <c r="BT8" s="52">
        <f>BALANCING!BT8-100</f>
        <v/>
      </c>
      <c r="BU8" s="52">
        <f>BALANCING!BU8-100</f>
        <v/>
      </c>
      <c r="BV8" s="52">
        <f>BALANCING!BV8-100</f>
        <v/>
      </c>
      <c r="BW8" s="52">
        <f>BALANCING!BW8-100</f>
        <v/>
      </c>
      <c r="BX8" s="52">
        <f>BALANCING!BX8-100</f>
        <v/>
      </c>
      <c r="BY8" s="52">
        <f>BALANCING!BY8-100</f>
        <v/>
      </c>
      <c r="BZ8" s="52">
        <f>BALANCING!BZ8-100</f>
        <v/>
      </c>
      <c r="CA8" s="52">
        <f>BALANCING!CA8-100</f>
        <v/>
      </c>
      <c r="CB8" s="52">
        <f>BALANCING!CB8-100</f>
        <v/>
      </c>
      <c r="CC8" s="52">
        <f>BALANCING!CC8-100</f>
        <v/>
      </c>
      <c r="CD8" s="52">
        <f>BALANCING!CD8-100</f>
        <v/>
      </c>
      <c r="CE8" s="52">
        <f>BALANCING!CE8-100</f>
        <v/>
      </c>
      <c r="CF8" s="52">
        <f>BALANCING!CF8-100</f>
        <v/>
      </c>
      <c r="CG8" s="52">
        <f>BALANCING!CG8-100</f>
        <v/>
      </c>
      <c r="CH8" s="52">
        <f>BALANCING!CH8-100</f>
        <v/>
      </c>
      <c r="CI8" s="52">
        <f>BALANCING!CI8-100</f>
        <v/>
      </c>
      <c r="CJ8" s="52">
        <f>BALANCING!CJ8-100</f>
        <v/>
      </c>
      <c r="CK8" s="52">
        <f>BALANCING!CK8-100</f>
        <v/>
      </c>
      <c r="CL8" s="52">
        <f>BALANCING!CL8-100</f>
        <v/>
      </c>
      <c r="CM8" s="52">
        <f>BALANCING!CM8-100</f>
        <v/>
      </c>
      <c r="CN8" s="52">
        <f>BALANCING!CN8-100</f>
        <v/>
      </c>
      <c r="CO8" s="52">
        <f>BALANCING!CO8-100</f>
        <v/>
      </c>
      <c r="CP8" s="52">
        <f>BALANCING!CP8-100</f>
        <v/>
      </c>
      <c r="CQ8" s="52">
        <f>BALANCING!CQ8-100</f>
        <v/>
      </c>
      <c r="CR8" s="52">
        <f>BALANCING!CR8-100</f>
        <v/>
      </c>
      <c r="CT8" s="52">
        <f>BALANCING!CT8-100</f>
        <v/>
      </c>
      <c r="CU8" s="52">
        <f>BALANCING!CU8-100</f>
        <v/>
      </c>
      <c r="CV8" s="52">
        <f>BALANCING!CV8-100</f>
        <v/>
      </c>
      <c r="CW8" s="52">
        <f>BALANCING!CW8-100</f>
        <v/>
      </c>
      <c r="CX8" s="52">
        <f>BALANCING!CX8-100</f>
        <v/>
      </c>
      <c r="CY8" s="52">
        <f>BALANCING!CY8-100</f>
        <v/>
      </c>
      <c r="CZ8" s="52">
        <f>BALANCING!CZ8-100</f>
        <v/>
      </c>
      <c r="DA8" s="52">
        <f>BALANCING!DA8-100</f>
        <v/>
      </c>
      <c r="DB8" s="52">
        <f>BALANCING!DB8-100</f>
        <v/>
      </c>
      <c r="DC8" s="52">
        <f>BALANCING!DC8-100</f>
        <v/>
      </c>
      <c r="DD8" s="52">
        <f>BALANCING!DD8-100</f>
        <v/>
      </c>
      <c r="DE8" s="52">
        <f>BALANCING!DE8-100</f>
        <v/>
      </c>
      <c r="DF8" s="52">
        <f>BALANCING!DF8-100</f>
        <v/>
      </c>
      <c r="DG8" s="52">
        <f>BALANCING!DG8-100</f>
        <v/>
      </c>
      <c r="DH8" s="52">
        <f>BALANCING!DH8-100</f>
        <v/>
      </c>
      <c r="DI8" s="52">
        <f>BALANCING!DI8-100</f>
        <v/>
      </c>
      <c r="DJ8" s="52">
        <f>BALANCING!DJ8-100</f>
        <v/>
      </c>
      <c r="DK8" s="52">
        <f>BALANCING!DK8-100</f>
        <v/>
      </c>
      <c r="DL8" s="52">
        <f>BALANCING!DL8-100</f>
        <v/>
      </c>
      <c r="DM8" s="52">
        <f>BALANCING!DM8-100</f>
        <v/>
      </c>
      <c r="DN8" s="52">
        <f>BALANCING!DN8-100</f>
        <v/>
      </c>
      <c r="DO8" s="52">
        <f>BALANCING!DO8-100</f>
        <v/>
      </c>
      <c r="DP8" s="52">
        <f>BALANCING!DP8-100</f>
        <v/>
      </c>
      <c r="DQ8" s="52">
        <f>BALANCING!DQ8-100</f>
        <v/>
      </c>
      <c r="DR8" s="52">
        <f>BALANCING!DR8-100</f>
        <v/>
      </c>
      <c r="DS8" s="52">
        <f>BALANCING!DS8-100</f>
        <v/>
      </c>
      <c r="DT8" s="52">
        <f>BALANCING!DT8-100</f>
        <v/>
      </c>
      <c r="DU8" s="52">
        <f>BALANCING!DU8-100</f>
        <v/>
      </c>
      <c r="DV8" s="52">
        <f>BALANCING!DV8-100</f>
        <v/>
      </c>
      <c r="DW8" s="52">
        <f>BALANCING!DW8-100</f>
        <v/>
      </c>
      <c r="DX8" s="117" t="n"/>
      <c r="DY8" s="52">
        <f>BALANCING!DY8-100</f>
        <v/>
      </c>
      <c r="DZ8" s="52">
        <f>BALANCING!DZ8-100</f>
        <v/>
      </c>
      <c r="EA8" s="52">
        <f>BALANCING!EA8-100</f>
        <v/>
      </c>
      <c r="EB8" s="52">
        <f>BALANCING!EB8-100</f>
        <v/>
      </c>
      <c r="EC8" s="52">
        <f>BALANCING!EC8-100</f>
        <v/>
      </c>
      <c r="ED8" s="52">
        <f>BALANCING!ED8-100</f>
        <v/>
      </c>
      <c r="EE8" s="52">
        <f>BALANCING!EE8-100</f>
        <v/>
      </c>
      <c r="EF8" s="52">
        <f>BALANCING!EF8-100</f>
        <v/>
      </c>
      <c r="EG8" s="52">
        <f>BALANCING!EG8-100</f>
        <v/>
      </c>
      <c r="EH8" s="52">
        <f>BALANCING!EH8-100</f>
        <v/>
      </c>
      <c r="EI8" s="52">
        <f>BALANCING!EI8-100</f>
        <v/>
      </c>
      <c r="EJ8" s="52">
        <f>BALANCING!EJ8-100</f>
        <v/>
      </c>
      <c r="EK8" s="52">
        <f>BALANCING!EK8-100</f>
        <v/>
      </c>
      <c r="EL8" s="52">
        <f>BALANCING!EL8-100</f>
        <v/>
      </c>
      <c r="EM8" s="52">
        <f>BALANCING!EM8-100</f>
        <v/>
      </c>
      <c r="EN8" s="52">
        <f>BALANCING!EN8-100</f>
        <v/>
      </c>
      <c r="EO8" s="52">
        <f>BALANCING!EO8-100</f>
        <v/>
      </c>
      <c r="EP8" s="52">
        <f>BALANCING!EP8-100</f>
        <v/>
      </c>
      <c r="EQ8" s="52">
        <f>BALANCING!EQ8-100</f>
        <v/>
      </c>
      <c r="ER8" s="52">
        <f>BALANCING!ER8-100</f>
        <v/>
      </c>
      <c r="ES8" s="52">
        <f>BALANCING!ES8-100</f>
        <v/>
      </c>
      <c r="ET8" s="52">
        <f>BALANCING!ET8-100</f>
        <v/>
      </c>
      <c r="EU8" s="52">
        <f>BALANCING!EU8-100</f>
        <v/>
      </c>
      <c r="EV8" s="52">
        <f>BALANCING!EV8-100</f>
        <v/>
      </c>
      <c r="EW8" s="52">
        <f>BALANCING!EW8-100</f>
        <v/>
      </c>
      <c r="EX8" s="52">
        <f>BALANCING!EX8-100</f>
        <v/>
      </c>
      <c r="EY8" s="52">
        <f>BALANCING!EY8-100</f>
        <v/>
      </c>
      <c r="EZ8" s="52">
        <f>BALANCING!EZ8-100</f>
        <v/>
      </c>
      <c r="FA8" s="52">
        <f>BALANCING!FA8-100</f>
        <v/>
      </c>
      <c r="FB8" s="52">
        <f>BALANCING!FB8-100</f>
        <v/>
      </c>
      <c r="FC8" s="52">
        <f>BALANCING!FC8-100</f>
        <v/>
      </c>
      <c r="FD8" s="126" t="n"/>
      <c r="FE8" s="52">
        <f>BALANCING!FE8-100</f>
        <v/>
      </c>
      <c r="FF8" s="52">
        <f>BALANCING!FF8-100</f>
        <v/>
      </c>
      <c r="FG8" s="52">
        <f>BALANCING!FG8-100</f>
        <v/>
      </c>
      <c r="FH8" s="52">
        <f>BALANCING!FH8-100</f>
        <v/>
      </c>
      <c r="FI8" s="52">
        <f>BALANCING!FI8-100</f>
        <v/>
      </c>
      <c r="FJ8" s="52">
        <f>BALANCING!FJ8-100</f>
        <v/>
      </c>
      <c r="FK8" s="52">
        <f>BALANCING!FK8-100</f>
        <v/>
      </c>
      <c r="FL8" s="52">
        <f>BALANCING!FL8-100</f>
        <v/>
      </c>
      <c r="FM8" s="52">
        <f>BALANCING!FM8-100</f>
        <v/>
      </c>
      <c r="FN8" s="52">
        <f>BALANCING!FN8-100</f>
        <v/>
      </c>
      <c r="FO8" s="52">
        <f>BALANCING!FO8-100</f>
        <v/>
      </c>
      <c r="FP8" s="52">
        <f>BALANCING!FP8-100</f>
        <v/>
      </c>
      <c r="FQ8" s="52">
        <f>BALANCING!FQ8-100</f>
        <v/>
      </c>
      <c r="FR8" s="52">
        <f>BALANCING!FR8-100</f>
        <v/>
      </c>
      <c r="FS8" s="52">
        <f>BALANCING!FS8-100</f>
        <v/>
      </c>
      <c r="FT8" s="52">
        <f>BALANCING!FT8-100</f>
        <v/>
      </c>
      <c r="FU8" s="52">
        <f>BALANCING!FU8-100</f>
        <v/>
      </c>
      <c r="FV8" s="52">
        <f>BALANCING!FV8-100</f>
        <v/>
      </c>
      <c r="FW8" s="52">
        <f>BALANCING!FW8-100</f>
        <v/>
      </c>
      <c r="FX8" s="52">
        <f>BALANCING!FX8-100</f>
        <v/>
      </c>
      <c r="FY8" s="52">
        <f>BALANCING!FY8-100</f>
        <v/>
      </c>
      <c r="FZ8" s="52">
        <f>BALANCING!FZ8-100</f>
        <v/>
      </c>
      <c r="GA8" s="52">
        <f>BALANCING!GA8-100</f>
        <v/>
      </c>
      <c r="GB8" s="52">
        <f>BALANCING!GB8-100</f>
        <v/>
      </c>
      <c r="GC8" s="52">
        <f>BALANCING!GC8-100</f>
        <v/>
      </c>
      <c r="GD8" s="52">
        <f>BALANCING!GD8-100</f>
        <v/>
      </c>
      <c r="GE8" s="52">
        <f>BALANCING!GE8-100</f>
        <v/>
      </c>
      <c r="GF8" s="52">
        <f>BALANCING!GF8-100</f>
        <v/>
      </c>
      <c r="GG8" s="52">
        <f>BALANCING!GG8-100</f>
        <v/>
      </c>
      <c r="GH8" s="52">
        <f>BALANCING!GH8-100</f>
        <v/>
      </c>
      <c r="GI8" s="52">
        <f>BALANCING!GI8-100</f>
        <v/>
      </c>
      <c r="GJ8" s="130" t="n"/>
      <c r="GK8" s="52">
        <f>BALANCING!GK8-100</f>
        <v/>
      </c>
      <c r="GL8" s="52">
        <f>BALANCING!GL8-100</f>
        <v/>
      </c>
      <c r="GM8" s="52">
        <f>BALANCING!GM8-100</f>
        <v/>
      </c>
      <c r="GN8" s="52">
        <f>BALANCING!GN8-100</f>
        <v/>
      </c>
      <c r="GO8" s="52">
        <f>BALANCING!GO8-100</f>
        <v/>
      </c>
      <c r="GP8" s="52">
        <f>BALANCING!GP8-100</f>
        <v/>
      </c>
      <c r="GQ8" s="52">
        <f>BALANCING!GQ8-100</f>
        <v/>
      </c>
      <c r="GR8" s="52">
        <f>BALANCING!GR8-100</f>
        <v/>
      </c>
      <c r="GS8" s="52">
        <f>BALANCING!GS8-100</f>
        <v/>
      </c>
      <c r="GT8" s="52">
        <f>BALANCING!GT8-100</f>
        <v/>
      </c>
      <c r="GU8" s="52">
        <f>BALANCING!GU8-100</f>
        <v/>
      </c>
      <c r="GV8" s="52">
        <f>BALANCING!GV8-100</f>
        <v/>
      </c>
      <c r="GW8" s="52">
        <f>BALANCING!GW8-100</f>
        <v/>
      </c>
      <c r="GX8" s="52">
        <f>BALANCING!GX8-100</f>
        <v/>
      </c>
      <c r="GY8" s="52">
        <f>BALANCING!GY8-100</f>
        <v/>
      </c>
      <c r="GZ8" s="52">
        <f>BALANCING!GZ8-100</f>
        <v/>
      </c>
      <c r="HA8" s="52">
        <f>BALANCING!HA8-100</f>
        <v/>
      </c>
      <c r="HB8" s="52">
        <f>BALANCING!HB8-100</f>
        <v/>
      </c>
      <c r="HC8" s="52">
        <f>BALANCING!HC8-100</f>
        <v/>
      </c>
      <c r="HD8" s="52">
        <f>BALANCING!HD8-100</f>
        <v/>
      </c>
      <c r="HE8" s="52">
        <f>BALANCING!HE8-100</f>
        <v/>
      </c>
      <c r="HF8" s="52">
        <f>BALANCING!HF8-100</f>
        <v/>
      </c>
      <c r="HG8" s="52">
        <f>BALANCING!HG8-100</f>
        <v/>
      </c>
      <c r="HH8" s="52">
        <f>BALANCING!HH8-100</f>
        <v/>
      </c>
      <c r="HI8" s="52">
        <f>BALANCING!HI8-100</f>
        <v/>
      </c>
      <c r="HJ8" s="52">
        <f>BALANCING!HJ8-100</f>
        <v/>
      </c>
      <c r="HK8" s="52">
        <f>BALANCING!HK8-100</f>
        <v/>
      </c>
      <c r="HL8" s="52">
        <f>BALANCING!HL8-100</f>
        <v/>
      </c>
      <c r="HM8" s="52">
        <f>BALANCING!HM8-100</f>
        <v/>
      </c>
      <c r="HN8" s="130" t="n"/>
      <c r="HO8" s="52">
        <f>BALANCING!HO8-100</f>
        <v/>
      </c>
      <c r="HP8" s="52">
        <f>BALANCING!HP8-100</f>
        <v/>
      </c>
      <c r="HQ8" s="52">
        <f>BALANCING!HQ8-100</f>
        <v/>
      </c>
      <c r="HR8" s="52">
        <f>BALANCING!HR8-100</f>
        <v/>
      </c>
      <c r="HS8" s="52">
        <f>BALANCING!HS8-100</f>
        <v/>
      </c>
      <c r="HT8" s="52">
        <f>BALANCING!HT8-100</f>
        <v/>
      </c>
      <c r="HU8" s="52">
        <f>BALANCING!HU8-100</f>
        <v/>
      </c>
      <c r="HV8" s="52">
        <f>BALANCING!HV8-100</f>
        <v/>
      </c>
      <c r="HW8" s="52">
        <f>BALANCING!HW8-100</f>
        <v/>
      </c>
      <c r="HX8" s="52">
        <f>BALANCING!HX8-100</f>
        <v/>
      </c>
      <c r="HY8" s="52">
        <f>BALANCING!HY8-100</f>
        <v/>
      </c>
      <c r="HZ8" s="52">
        <f>BALANCING!HZ8-100</f>
        <v/>
      </c>
      <c r="IA8" s="52">
        <f>BALANCING!IA8-100</f>
        <v/>
      </c>
      <c r="IB8" s="52">
        <f>BALANCING!IB8-100</f>
        <v/>
      </c>
      <c r="IC8" s="52">
        <f>BALANCING!IC8-100</f>
        <v/>
      </c>
      <c r="ID8" s="52">
        <f>BALANCING!ID8-100</f>
        <v/>
      </c>
      <c r="IE8" s="52">
        <f>BALANCING!IE8-100</f>
        <v/>
      </c>
      <c r="IF8" s="52">
        <f>BALANCING!IF8-100</f>
        <v/>
      </c>
      <c r="IG8" s="52">
        <f>BALANCING!IG8-100</f>
        <v/>
      </c>
      <c r="IH8" s="52">
        <f>BALANCING!IH8-100</f>
        <v/>
      </c>
      <c r="II8" s="52">
        <f>BALANCING!II8-100</f>
        <v/>
      </c>
      <c r="IJ8" s="52">
        <f>BALANCING!IJ8-100</f>
        <v/>
      </c>
      <c r="IK8" s="52">
        <f>BALANCING!IK8-100</f>
        <v/>
      </c>
      <c r="IL8" s="52">
        <f>BALANCING!IL8-100</f>
        <v/>
      </c>
      <c r="IM8" s="52">
        <f>BALANCING!IM8-100</f>
        <v/>
      </c>
      <c r="IN8" s="52">
        <f>BALANCING!IN8-100</f>
        <v/>
      </c>
      <c r="IO8" s="52">
        <f>BALANCING!IO8-100</f>
        <v/>
      </c>
      <c r="IP8" s="52">
        <f>BALANCING!IP8-100</f>
        <v/>
      </c>
      <c r="IQ8" s="52">
        <f>BALANCING!IQ8-100</f>
        <v/>
      </c>
      <c r="IR8" s="52">
        <f>BALANCING!IR8-100</f>
        <v/>
      </c>
      <c r="IS8" s="52">
        <f>BALANCING!IS8-100</f>
        <v/>
      </c>
      <c r="IT8" s="130" t="n"/>
      <c r="IU8" s="52">
        <f>BALANCING!IU8-100</f>
        <v/>
      </c>
      <c r="IV8" s="52">
        <f>BALANCING!IV8-100</f>
        <v/>
      </c>
      <c r="IW8" s="52">
        <f>BALANCING!IW8-100</f>
        <v/>
      </c>
      <c r="IX8" s="52">
        <f>BALANCING!IX8-100</f>
        <v/>
      </c>
      <c r="IY8" s="52">
        <f>BALANCING!IY8-100</f>
        <v/>
      </c>
      <c r="IZ8" s="52">
        <f>BALANCING!IZ8-100</f>
        <v/>
      </c>
      <c r="JA8" s="52">
        <f>BALANCING!JA8-100</f>
        <v/>
      </c>
      <c r="JB8" s="52">
        <f>BALANCING!JB8-100</f>
        <v/>
      </c>
      <c r="JC8" s="52">
        <f>BALANCING!JC8-100</f>
        <v/>
      </c>
      <c r="JD8" s="52">
        <f>BALANCING!JD8-100</f>
        <v/>
      </c>
      <c r="JE8" s="52">
        <f>BALANCING!JE8-100</f>
        <v/>
      </c>
      <c r="JF8" s="52">
        <f>BALANCING!JF8-100</f>
        <v/>
      </c>
      <c r="JG8" s="52">
        <f>BALANCING!JG8-100</f>
        <v/>
      </c>
      <c r="JH8" s="52">
        <f>BALANCING!JH8-100</f>
        <v/>
      </c>
      <c r="JI8" s="52">
        <f>BALANCING!JI8-100</f>
        <v/>
      </c>
      <c r="JJ8" s="52">
        <f>BALANCING!JJ8-100</f>
        <v/>
      </c>
      <c r="JK8" s="52">
        <f>BALANCING!JK8-100</f>
        <v/>
      </c>
      <c r="JL8" s="52">
        <f>BALANCING!JL8-100</f>
        <v/>
      </c>
      <c r="JM8" s="52">
        <f>BALANCING!JM8-100</f>
        <v/>
      </c>
      <c r="JN8" s="52">
        <f>BALANCING!JN8-100</f>
        <v/>
      </c>
      <c r="JO8" s="52">
        <f>BALANCING!JO8-100</f>
        <v/>
      </c>
      <c r="JP8" s="52">
        <f>BALANCING!JP8-100</f>
        <v/>
      </c>
      <c r="JQ8" s="52">
        <f>BALANCING!JQ8-100</f>
        <v/>
      </c>
      <c r="JR8" s="52">
        <f>BALANCING!JR8-100</f>
        <v/>
      </c>
      <c r="JS8" s="52">
        <f>BALANCING!JS8-100</f>
        <v/>
      </c>
      <c r="JT8" s="52">
        <f>BALANCING!JT8-100</f>
        <v/>
      </c>
      <c r="JU8" s="52">
        <f>BALANCING!JU8-120</f>
        <v/>
      </c>
      <c r="JV8" s="52">
        <f>BALANCING!JV8-120</f>
        <v/>
      </c>
      <c r="JW8" s="52">
        <f>BALANCING!JW8-120</f>
        <v/>
      </c>
      <c r="JX8" s="52">
        <f>BALANCING!JX8-120</f>
        <v/>
      </c>
      <c r="JY8" s="139" t="n"/>
      <c r="JZ8" s="52">
        <f>BALANCING!JZ8-120</f>
        <v/>
      </c>
      <c r="KA8" s="52">
        <f>BALANCING!KA8-120</f>
        <v/>
      </c>
      <c r="KB8" s="52">
        <f>BALANCING!KB8-120</f>
        <v/>
      </c>
      <c r="KC8" s="52">
        <f>BALANCING!KC8-120</f>
        <v/>
      </c>
      <c r="KD8" s="52">
        <f>BALANCING!KD8-120</f>
        <v/>
      </c>
      <c r="KE8" s="52">
        <f>BALANCING!KE8-120</f>
        <v/>
      </c>
      <c r="KF8" s="52">
        <f>BALANCING!KF8-120</f>
        <v/>
      </c>
      <c r="KG8" s="52">
        <f>BALANCING!KG8-120</f>
        <v/>
      </c>
      <c r="KH8" s="52">
        <f>BALANCING!KH8-120</f>
        <v/>
      </c>
      <c r="KI8" s="52">
        <f>BALANCING!KI8-120</f>
        <v/>
      </c>
      <c r="KJ8" s="52">
        <f>BALANCING!KJ8-120</f>
        <v/>
      </c>
      <c r="KK8" s="52">
        <f>BALANCING!KK8-120</f>
        <v/>
      </c>
      <c r="KL8" s="52">
        <f>BALANCING!KL8-120</f>
        <v/>
      </c>
      <c r="KM8" s="52">
        <f>BALANCING!KM8-120</f>
        <v/>
      </c>
      <c r="KN8" s="52">
        <f>BALANCING!KN8-120</f>
        <v/>
      </c>
      <c r="KO8" s="52">
        <f>BALANCING!KO8-120</f>
        <v/>
      </c>
      <c r="KP8" s="52">
        <f>BALANCING!KP8-120</f>
        <v/>
      </c>
      <c r="KQ8" s="52">
        <f>BALANCING!KQ8-120</f>
        <v/>
      </c>
      <c r="KR8" s="52">
        <f>BALANCING!KR8-120</f>
        <v/>
      </c>
      <c r="KS8" s="52">
        <f>BALANCING!KS8-120</f>
        <v/>
      </c>
      <c r="KT8" s="52">
        <f>BALANCING!KT8-120</f>
        <v/>
      </c>
      <c r="KU8" s="52">
        <f>BALANCING!KU8-120</f>
        <v/>
      </c>
      <c r="KV8" s="52">
        <f>BALANCING!KV8-120</f>
        <v/>
      </c>
      <c r="KW8" s="52">
        <f>BALANCING!KW8-120</f>
        <v/>
      </c>
      <c r="KX8" s="52">
        <f>BALANCING!KX8-120</f>
        <v/>
      </c>
      <c r="KY8" s="52">
        <f>BALANCING!KY8-120</f>
        <v/>
      </c>
      <c r="KZ8" s="52">
        <f>BALANCING!KZ8-120</f>
        <v/>
      </c>
      <c r="LA8" s="52">
        <f>BALANCING!LA8-120</f>
        <v/>
      </c>
      <c r="LB8" s="52">
        <f>BALANCING!LB8-120</f>
        <v/>
      </c>
      <c r="LC8" s="52" t="n">
        <v>4730</v>
      </c>
      <c r="LD8" s="52">
        <f>BALANCING!LD8-120</f>
        <v/>
      </c>
      <c r="LE8" s="130" t="n"/>
      <c r="LF8" s="52">
        <f>BALANCING!LF8-120</f>
        <v/>
      </c>
      <c r="LG8" s="52">
        <f>BALANCING!LG8-120</f>
        <v/>
      </c>
      <c r="LH8" s="52">
        <f>BALANCING!LH8-120</f>
        <v/>
      </c>
      <c r="LI8" s="52">
        <f>BALANCING!LI8-120</f>
        <v/>
      </c>
      <c r="LJ8" s="52">
        <f>BALANCING!LJ8-120</f>
        <v/>
      </c>
      <c r="LK8" s="52">
        <f>BALANCING!LK8-120</f>
        <v/>
      </c>
      <c r="LL8" s="52">
        <f>BALANCING!LL8-120</f>
        <v/>
      </c>
      <c r="LM8" s="52">
        <f>BALANCING!LM8-120</f>
        <v/>
      </c>
      <c r="LN8" s="52">
        <f>BALANCING!LN8-120</f>
        <v/>
      </c>
      <c r="LO8" s="52">
        <f>BALANCING!LO8-120</f>
        <v/>
      </c>
      <c r="LP8" s="52">
        <f>BALANCING!LP8-120</f>
        <v/>
      </c>
      <c r="LQ8" s="52">
        <f>BALANCING!LQ8-120</f>
        <v/>
      </c>
      <c r="LR8" s="52">
        <f>BALANCING!LR8-120</f>
        <v/>
      </c>
      <c r="LS8" s="52">
        <f>BALANCING!LS8-120</f>
        <v/>
      </c>
      <c r="LT8" s="52">
        <f>BALANCING!LT8-120</f>
        <v/>
      </c>
      <c r="LU8" s="52">
        <f>BALANCING!LU8-120</f>
        <v/>
      </c>
      <c r="LV8" s="52">
        <f>BALANCING!LV8-120</f>
        <v/>
      </c>
      <c r="LW8" s="52">
        <f>BALANCING!LW8-120</f>
        <v/>
      </c>
      <c r="LX8" s="52">
        <f>BALANCING!LX8-120</f>
        <v/>
      </c>
      <c r="LY8" s="52">
        <f>BALANCING!LY8-120</f>
        <v/>
      </c>
      <c r="LZ8" s="52">
        <f>BALANCING!LZ8-120</f>
        <v/>
      </c>
      <c r="MA8" s="52">
        <f>BALANCING!MA8-120</f>
        <v/>
      </c>
      <c r="MB8" s="52">
        <f>BALANCING!MB8-120</f>
        <v/>
      </c>
      <c r="MC8" s="52">
        <f>BALANCING!MC8-120</f>
        <v/>
      </c>
      <c r="MD8" s="52">
        <f>BALANCING!MD8-120</f>
        <v/>
      </c>
      <c r="ME8" s="52">
        <f>BALANCING!ME8-120</f>
        <v/>
      </c>
      <c r="MF8" s="52">
        <f>BALANCING!MF8-120</f>
        <v/>
      </c>
      <c r="MG8" s="52">
        <f>BALANCING!MG8-120</f>
        <v/>
      </c>
      <c r="MH8" s="52">
        <f>BALANCING!MH8-120</f>
        <v/>
      </c>
      <c r="MI8" s="52">
        <f>BALANCING!MI8-120</f>
        <v/>
      </c>
      <c r="MJ8" s="139" t="n"/>
      <c r="MK8" s="52">
        <f>BALANCING!MK8-120</f>
        <v/>
      </c>
      <c r="ML8" s="52">
        <f>BALANCING!ML8-120</f>
        <v/>
      </c>
      <c r="MM8" s="52">
        <f>BALANCING!MM8-120</f>
        <v/>
      </c>
      <c r="MN8" s="52">
        <f>BALANCING!MN8-120</f>
        <v/>
      </c>
      <c r="MO8" s="52">
        <f>BALANCING!MO8-120</f>
        <v/>
      </c>
      <c r="MP8" s="52">
        <f>BALANCING!MP8-120</f>
        <v/>
      </c>
      <c r="MQ8" s="52">
        <f>BALANCING!MQ8-120</f>
        <v/>
      </c>
      <c r="MR8" s="52">
        <f>BALANCING!MR8-120</f>
        <v/>
      </c>
      <c r="MS8" s="52">
        <f>BALANCING!MS8-120</f>
        <v/>
      </c>
      <c r="MT8" s="52">
        <f>BALANCING!MT8-120</f>
        <v/>
      </c>
      <c r="MU8" s="52">
        <f>BALANCING!MU8-120</f>
        <v/>
      </c>
      <c r="MV8" s="52">
        <f>BALANCING!MV8-120</f>
        <v/>
      </c>
      <c r="MW8" s="52">
        <f>BALANCING!MW8-120</f>
        <v/>
      </c>
      <c r="MX8" s="52">
        <f>BALANCING!MX8-120</f>
        <v/>
      </c>
      <c r="MY8" s="52">
        <f>BALANCING!MY8-120</f>
        <v/>
      </c>
      <c r="MZ8" s="52">
        <f>BALANCING!MZ8-120</f>
        <v/>
      </c>
      <c r="NA8" s="52">
        <f>BALANCING!NA8-120</f>
        <v/>
      </c>
      <c r="NB8" s="52">
        <f>BALANCING!NB8-120</f>
        <v/>
      </c>
      <c r="NC8" s="52">
        <f>BALANCING!NC8-120</f>
        <v/>
      </c>
      <c r="ND8" s="52">
        <f>BALANCING!ND8-120</f>
        <v/>
      </c>
      <c r="NE8" s="52">
        <f>BALANCING!NE8-120</f>
        <v/>
      </c>
      <c r="NF8" s="52">
        <f>BALANCING!NF8-120</f>
        <v/>
      </c>
      <c r="NG8" s="52">
        <f>BALANCING!NG8-120</f>
        <v/>
      </c>
      <c r="NH8" s="52">
        <f>BALANCING!NH8-120</f>
        <v/>
      </c>
      <c r="NI8" s="52">
        <f>BALANCING!NI8-120</f>
        <v/>
      </c>
      <c r="NJ8" s="52">
        <f>BALANCING!NJ8-120</f>
        <v/>
      </c>
      <c r="NK8" s="52">
        <f>BALANCING!NK8-120</f>
        <v/>
      </c>
      <c r="NL8" s="52" t="n">
        <v>4679</v>
      </c>
      <c r="NM8" s="52">
        <f>BALANCING!NM8-120</f>
        <v/>
      </c>
      <c r="NN8" s="52">
        <f>BALANCING!NN8-120</f>
        <v/>
      </c>
      <c r="NO8" s="52">
        <f>BALANCING!NO8-120</f>
        <v/>
      </c>
      <c r="NP8" s="139" t="n"/>
      <c r="NQ8" s="52">
        <f>BALANCING!NQ8-120</f>
        <v/>
      </c>
      <c r="NR8" s="52">
        <f>BALANCING!NR8-120</f>
        <v/>
      </c>
      <c r="NS8" s="52">
        <f>BALANCING!NS8-120</f>
        <v/>
      </c>
      <c r="NT8" s="52">
        <f>BALANCING!NT8-120</f>
        <v/>
      </c>
      <c r="NU8" s="52">
        <f>BALANCING!NU8-120</f>
        <v/>
      </c>
      <c r="NV8" s="52">
        <f>BALANCING!NV8-120</f>
        <v/>
      </c>
      <c r="NW8" s="52">
        <f>BALANCING!NW8-120</f>
        <v/>
      </c>
      <c r="NX8" s="52">
        <f>BALANCING!NX8-120</f>
        <v/>
      </c>
      <c r="NY8" s="52">
        <f>BALANCING!NY8-120</f>
        <v/>
      </c>
      <c r="NZ8" s="52">
        <f>BALANCING!NZ8-120</f>
        <v/>
      </c>
      <c r="OA8" s="52">
        <f>BALANCING!OA8-120</f>
        <v/>
      </c>
      <c r="OB8" s="52">
        <f>BALANCING!OB8-120</f>
        <v/>
      </c>
      <c r="OC8" s="52">
        <f>BALANCING!OC8-120</f>
        <v/>
      </c>
      <c r="OD8" s="52">
        <f>BALANCING!OD8-120</f>
        <v/>
      </c>
      <c r="OE8" s="52">
        <f>BALANCING!OE8-120</f>
        <v/>
      </c>
      <c r="OF8" s="52">
        <f>BALANCING!OF8-120</f>
        <v/>
      </c>
      <c r="OG8" s="52">
        <f>BALANCING!OG8-120</f>
        <v/>
      </c>
      <c r="OH8" s="52">
        <f>BALANCING!OH8-120</f>
        <v/>
      </c>
      <c r="OI8" s="52">
        <f>BALANCING!OI8-120</f>
        <v/>
      </c>
      <c r="OJ8" s="52">
        <f>BALANCING!OJ8-120</f>
        <v/>
      </c>
      <c r="OK8" s="52">
        <f>BALANCING!OK8-120</f>
        <v/>
      </c>
      <c r="OL8" s="52">
        <f>BALANCING!OL8-120</f>
        <v/>
      </c>
      <c r="OM8" s="52">
        <f>BALANCING!OM8-120</f>
        <v/>
      </c>
      <c r="ON8" s="52">
        <f>BALANCING!ON8-120</f>
        <v/>
      </c>
      <c r="OO8" s="52">
        <f>BALANCING!OO8-120</f>
        <v/>
      </c>
      <c r="OP8" s="52">
        <f>BALANCING!OP8-120</f>
        <v/>
      </c>
      <c r="OQ8" s="52">
        <f>BALANCING!OQ8-120</f>
        <v/>
      </c>
      <c r="OR8" s="52">
        <f>BALANCING!OR8-120</f>
        <v/>
      </c>
      <c r="OS8" s="52">
        <f>BALANCING!OS8-120</f>
        <v/>
      </c>
      <c r="OT8" s="52">
        <f>BALANCING!OT8-120</f>
        <v/>
      </c>
      <c r="OU8" s="52">
        <f>BALANCING!OU8-120</f>
        <v/>
      </c>
      <c r="OV8" s="130" t="n"/>
      <c r="OW8" s="52">
        <f>BALANCING!OW8-120</f>
        <v/>
      </c>
      <c r="OX8" s="52">
        <f>BALANCING!OX8-120</f>
        <v/>
      </c>
      <c r="OY8" s="52">
        <f>BALANCING!OY8-120</f>
        <v/>
      </c>
      <c r="OZ8" s="52">
        <f>BALANCING!OZ8-120</f>
        <v/>
      </c>
      <c r="PA8" s="52">
        <f>BALANCING!PA8-120</f>
        <v/>
      </c>
      <c r="PB8" s="52">
        <f>BALANCING!PB8-120</f>
        <v/>
      </c>
      <c r="PC8" s="52">
        <f>BALANCING!PC8-120</f>
        <v/>
      </c>
      <c r="PD8" s="52">
        <f>BALANCING!PD8-120</f>
        <v/>
      </c>
      <c r="PE8" s="52">
        <f>BALANCING!PE8-120</f>
        <v/>
      </c>
      <c r="PF8" s="52">
        <f>BALANCING!PF8-120</f>
        <v/>
      </c>
      <c r="PG8" s="52">
        <f>BALANCING!PG8-120</f>
        <v/>
      </c>
      <c r="PH8" s="52">
        <f>BALANCING!PH8-120</f>
        <v/>
      </c>
      <c r="PI8" s="52">
        <f>BALANCING!PI8-120</f>
        <v/>
      </c>
      <c r="PJ8" s="52">
        <f>BALANCING!PJ8-120</f>
        <v/>
      </c>
      <c r="PK8" s="52">
        <f>BALANCING!PK8-120</f>
        <v/>
      </c>
      <c r="PL8" s="52">
        <f>BALANCING!PL8-120</f>
        <v/>
      </c>
      <c r="PM8" s="52">
        <f>BALANCING!PM8-120</f>
        <v/>
      </c>
      <c r="PN8" s="52">
        <f>BALANCING!PN8-120</f>
        <v/>
      </c>
      <c r="PO8" s="52">
        <f>BALANCING!PO8-120</f>
        <v/>
      </c>
      <c r="PP8" s="52">
        <f>BALANCING!PP8-120</f>
        <v/>
      </c>
      <c r="PQ8" s="52">
        <f>BALANCING!PQ8-120</f>
        <v/>
      </c>
      <c r="PR8" s="52">
        <f>BALANCING!PR8-120</f>
        <v/>
      </c>
      <c r="PS8" s="52">
        <f>BALANCING!PS8-120</f>
        <v/>
      </c>
      <c r="PT8" s="52">
        <f>BALANCING!PT8-120</f>
        <v/>
      </c>
      <c r="PU8" s="52">
        <f>BALANCING!PU8-120</f>
        <v/>
      </c>
      <c r="PV8" s="52">
        <f>BALANCING!PV8-120</f>
        <v/>
      </c>
      <c r="PW8" s="52">
        <f>BALANCING!PW8-120</f>
        <v/>
      </c>
      <c r="PX8" s="52">
        <f>BALANCING!PX8-120</f>
        <v/>
      </c>
      <c r="PY8" s="52">
        <f>BALANCING!PY8-120</f>
        <v/>
      </c>
      <c r="PZ8" s="52">
        <f>BALANCING!PZ8-120</f>
        <v/>
      </c>
      <c r="QA8" s="130" t="n"/>
      <c r="QB8" s="52">
        <f>BALANCING!QB8-120</f>
        <v/>
      </c>
      <c r="QC8" s="52">
        <f>BALANCING!QC8-120</f>
        <v/>
      </c>
      <c r="QD8" s="52">
        <f>BALANCING!QD8-120</f>
        <v/>
      </c>
      <c r="QE8" s="52">
        <f>BALANCING!QE8-120</f>
        <v/>
      </c>
      <c r="QF8" s="52">
        <f>BALANCING!QF8-120</f>
        <v/>
      </c>
      <c r="QG8" s="52">
        <f>BALANCING!QG8-120</f>
        <v/>
      </c>
      <c r="QH8" s="52">
        <f>BALANCING!QH8-120</f>
        <v/>
      </c>
      <c r="QI8" s="52">
        <f>BALANCING!QI8-120</f>
        <v/>
      </c>
      <c r="QJ8" s="52">
        <f>BALANCING!QJ8-120</f>
        <v/>
      </c>
      <c r="QK8" s="52">
        <f>BALANCING!QK8-120</f>
        <v/>
      </c>
      <c r="QL8" s="52">
        <f>BALANCING!QL8-120</f>
        <v/>
      </c>
      <c r="QM8" s="52">
        <f>BALANCING!QM8-120</f>
        <v/>
      </c>
      <c r="QN8" s="52">
        <f>BALANCING!QN8-120</f>
        <v/>
      </c>
      <c r="QO8" s="52">
        <f>BALANCING!QO8-120</f>
        <v/>
      </c>
      <c r="QP8" s="52">
        <f>BALANCING!QP8-120</f>
        <v/>
      </c>
      <c r="QQ8" s="52">
        <f>BALANCING!QQ8-120</f>
        <v/>
      </c>
      <c r="QR8" s="52">
        <f>BALANCING!QR8-120</f>
        <v/>
      </c>
      <c r="QS8" s="52">
        <f>BALANCING!QS8-120</f>
        <v/>
      </c>
      <c r="QT8" s="52">
        <f>BALANCING!QT8-120</f>
        <v/>
      </c>
      <c r="QU8" s="52">
        <f>BALANCING!QU8-120</f>
        <v/>
      </c>
      <c r="QV8" s="52">
        <f>BALANCING!QV8-120</f>
        <v/>
      </c>
      <c r="QW8" s="52">
        <f>BALANCING!QW8-120</f>
        <v/>
      </c>
      <c r="QX8" s="52">
        <f>BALANCING!QX8-120</f>
        <v/>
      </c>
      <c r="QY8" s="52">
        <f>BALANCING!QY8-120</f>
        <v/>
      </c>
      <c r="QZ8" s="52">
        <f>BALANCING!QZ8-120</f>
        <v/>
      </c>
      <c r="RA8" s="52">
        <f>BALANCING!RA8-120</f>
        <v/>
      </c>
      <c r="RB8" s="52">
        <f>BALANCING!RB8-120</f>
        <v/>
      </c>
      <c r="RC8" s="52">
        <f>BALANCING!RC8-120</f>
        <v/>
      </c>
      <c r="RD8" s="52">
        <f>BALANCING!RD8-120</f>
        <v/>
      </c>
      <c r="RE8" s="52">
        <f>BALANCING!RE8-120</f>
        <v/>
      </c>
      <c r="RF8" s="52">
        <f>BALANCING!RF8-120</f>
        <v/>
      </c>
      <c r="RG8" s="130" t="n"/>
      <c r="RH8" s="52">
        <f>BALANCING!RH8-120</f>
        <v/>
      </c>
      <c r="RI8" s="52">
        <f>BALANCING!RI8-120</f>
        <v/>
      </c>
      <c r="RJ8" s="52">
        <f>BALANCING!RJ8-120</f>
        <v/>
      </c>
      <c r="RK8" s="52">
        <f>BALANCING!RK8-120</f>
        <v/>
      </c>
      <c r="RL8" s="52">
        <f>BALANCING!RL8-120</f>
        <v/>
      </c>
      <c r="RM8" s="52">
        <f>BALANCING!RM8-120</f>
        <v/>
      </c>
      <c r="RN8" s="52">
        <f>BALANCING!RN8-120</f>
        <v/>
      </c>
      <c r="RO8" s="52">
        <f>BALANCING!RO8-120</f>
        <v/>
      </c>
      <c r="RP8" s="52">
        <f>BALANCING!RP8-120</f>
        <v/>
      </c>
      <c r="RQ8" s="52">
        <f>BALANCING!RQ8-120</f>
        <v/>
      </c>
      <c r="RR8" s="52">
        <f>BALANCING!RR8-120</f>
        <v/>
      </c>
      <c r="RS8" s="52">
        <f>BALANCING!RS8-120</f>
        <v/>
      </c>
      <c r="RT8" s="52">
        <f>BALANCING!RT8-120</f>
        <v/>
      </c>
      <c r="RU8" s="52">
        <f>BALANCING!RU8-120</f>
        <v/>
      </c>
      <c r="RV8" s="52">
        <f>BALANCING!RV8-120</f>
        <v/>
      </c>
      <c r="RW8" s="52">
        <f>BALANCING!RW8-120</f>
        <v/>
      </c>
      <c r="RX8" s="52">
        <f>BALANCING!RX8-120</f>
        <v/>
      </c>
      <c r="RY8" s="52">
        <f>BALANCING!RY8-120</f>
        <v/>
      </c>
      <c r="RZ8" s="52">
        <f>BALANCING!RZ8-120</f>
        <v/>
      </c>
      <c r="SA8" s="52">
        <f>BALANCING!SA8-120</f>
        <v/>
      </c>
      <c r="SB8" s="52">
        <f>BALANCING!SB8-120</f>
        <v/>
      </c>
      <c r="SC8" s="52">
        <f>BALANCING!SC8-120</f>
        <v/>
      </c>
      <c r="SD8" s="52">
        <f>BALANCING!SD8-120</f>
        <v/>
      </c>
      <c r="SE8" s="52">
        <f>BALANCING!SE8-120</f>
        <v/>
      </c>
      <c r="SF8" s="52">
        <f>BALANCING!SF8-120</f>
        <v/>
      </c>
      <c r="SG8" s="52">
        <f>BALANCING!SG8-120</f>
        <v/>
      </c>
      <c r="SH8" s="52">
        <f>BALANCING!SH8-120</f>
        <v/>
      </c>
      <c r="SI8" s="52">
        <f>BALANCING!SI8-120</f>
        <v/>
      </c>
      <c r="SJ8" s="52">
        <f>BALANCING!SJ8-120</f>
        <v/>
      </c>
      <c r="SK8" s="52">
        <f>BALANCING!SK8-120</f>
        <v/>
      </c>
      <c r="SL8" s="130" t="n"/>
      <c r="SM8" s="52">
        <f>BALANCING!SM8-120</f>
        <v/>
      </c>
      <c r="SN8" s="52">
        <f>BALANCING!SN8-120</f>
        <v/>
      </c>
      <c r="SO8" s="52">
        <f>BALANCING!SO8-120</f>
        <v/>
      </c>
      <c r="SP8" s="52">
        <f>BALANCING!SP8-120</f>
        <v/>
      </c>
      <c r="SQ8" s="52">
        <f>BALANCING!SQ8-120</f>
        <v/>
      </c>
      <c r="SR8" s="52">
        <f>BALANCING!SR8-120</f>
        <v/>
      </c>
      <c r="SS8" s="52">
        <f>BALANCING!SS8-120</f>
        <v/>
      </c>
      <c r="ST8" s="52">
        <f>BALANCING!ST8-120</f>
        <v/>
      </c>
      <c r="SU8" s="52">
        <f>BALANCING!SU8-120</f>
        <v/>
      </c>
      <c r="SV8" s="52">
        <f>BALANCING!SV8-120</f>
        <v/>
      </c>
      <c r="SW8" s="52">
        <f>BALANCING!SW8-120</f>
        <v/>
      </c>
      <c r="SX8" s="52">
        <f>BALANCING!SX8-120</f>
        <v/>
      </c>
      <c r="SY8" s="52">
        <f>BALANCING!SY8-120</f>
        <v/>
      </c>
      <c r="SZ8" s="52">
        <f>BALANCING!SZ8-120</f>
        <v/>
      </c>
      <c r="TA8" s="52">
        <f>BALANCING!TA8-120</f>
        <v/>
      </c>
      <c r="TB8" s="52">
        <f>BALANCING!TB8-120</f>
        <v/>
      </c>
      <c r="TC8" s="52">
        <f>BALANCING!TC8-120</f>
        <v/>
      </c>
      <c r="TD8" s="52">
        <f>BALANCING!TD8-120</f>
        <v/>
      </c>
      <c r="TE8" s="52">
        <f>BALANCING!TE8-120</f>
        <v/>
      </c>
      <c r="TF8" s="52">
        <f>BALANCING!TF8-120</f>
        <v/>
      </c>
      <c r="TG8" s="52">
        <f>BALANCING!TG8-120</f>
        <v/>
      </c>
      <c r="TH8" s="52">
        <f>BALANCING!TH8-120</f>
        <v/>
      </c>
      <c r="TI8" s="52">
        <f>BALANCING!TI8-120</f>
        <v/>
      </c>
      <c r="TJ8" s="52">
        <f>BALANCING!TJ8-120</f>
        <v/>
      </c>
      <c r="TK8" s="52">
        <f>BALANCING!TK8-120</f>
        <v/>
      </c>
      <c r="TL8" s="52">
        <f>BALANCING!TL8-120</f>
        <v/>
      </c>
      <c r="TM8" s="52">
        <f>BALANCING!TM8-120</f>
        <v/>
      </c>
      <c r="TN8" s="52">
        <f>BALANCING!TN8-120</f>
        <v/>
      </c>
      <c r="TO8" s="52">
        <f>BALANCING!TO8-120</f>
        <v/>
      </c>
      <c r="TP8" s="52">
        <f>BALANCING!TP8-120</f>
        <v/>
      </c>
      <c r="TQ8" s="52">
        <f>BALANCING!TQ8-120</f>
        <v/>
      </c>
      <c r="TR8" s="130" t="n"/>
      <c r="TS8" s="52">
        <f>BALANCING!TS8-120</f>
        <v/>
      </c>
      <c r="TT8" s="52">
        <f>BALANCING!TT8-120</f>
        <v/>
      </c>
      <c r="TU8" s="52">
        <f>BALANCING!TU8-120</f>
        <v/>
      </c>
      <c r="TV8" s="52">
        <f>BALANCING!TV8-120</f>
        <v/>
      </c>
      <c r="TW8" s="52">
        <f>BALANCING!TW8-120</f>
        <v/>
      </c>
      <c r="TX8" s="52">
        <f>BALANCING!TX8-120</f>
        <v/>
      </c>
      <c r="TY8" s="52">
        <f>BALANCING!TY8-120</f>
        <v/>
      </c>
      <c r="TZ8" s="52">
        <f>BALANCING!TZ8-120</f>
        <v/>
      </c>
      <c r="UA8" s="52">
        <f>BALANCING!UA8-120</f>
        <v/>
      </c>
      <c r="UB8" s="52">
        <f>BALANCING!UB8-120</f>
        <v/>
      </c>
      <c r="UC8" s="52">
        <f>BALANCING!UC8-120</f>
        <v/>
      </c>
      <c r="UD8" s="52">
        <f>BALANCING!UD8-120</f>
        <v/>
      </c>
      <c r="UE8" s="52">
        <f>BALANCING!UE8-120</f>
        <v/>
      </c>
      <c r="UF8" s="52">
        <f>BALANCING!UF8-120</f>
        <v/>
      </c>
      <c r="UG8" s="52">
        <f>BALANCING!UG8-120</f>
        <v/>
      </c>
      <c r="UH8" s="52">
        <f>BALANCING!UH8-120</f>
        <v/>
      </c>
      <c r="UI8" s="52">
        <f>BALANCING!UI8-120</f>
        <v/>
      </c>
      <c r="UJ8" s="52">
        <f>BALANCING!UJ8-120</f>
        <v/>
      </c>
      <c r="UK8" s="52">
        <f>BALANCING!UK8-120</f>
        <v/>
      </c>
      <c r="UL8" s="52">
        <f>BALANCING!UL8-120</f>
        <v/>
      </c>
      <c r="UM8" s="52">
        <f>BALANCING!UM8-120</f>
        <v/>
      </c>
      <c r="UN8" s="52">
        <f>BALANCING!UN8-120</f>
        <v/>
      </c>
      <c r="UO8" s="52">
        <f>BALANCING!UO8-120</f>
        <v/>
      </c>
      <c r="UP8" s="52">
        <f>BALANCING!UP8-120</f>
        <v/>
      </c>
      <c r="UQ8" s="52" t="n">
        <v>4370</v>
      </c>
      <c r="UR8" s="52">
        <f>BALANCING!UR8-120</f>
        <v/>
      </c>
      <c r="US8" s="52">
        <f>BALANCING!US8-120</f>
        <v/>
      </c>
      <c r="UT8" s="52">
        <f>BALANCING!UT8-120</f>
        <v/>
      </c>
      <c r="UU8" s="52">
        <f>BALANCING!UU8-120</f>
        <v/>
      </c>
      <c r="UV8" s="52">
        <f>BALANCING!UV8-120</f>
        <v/>
      </c>
      <c r="UW8" s="52">
        <f>BALANCING!UW8-120</f>
        <v/>
      </c>
      <c r="UX8" s="130" t="n"/>
      <c r="UY8" s="52">
        <f>BALANCING!UY8-120</f>
        <v/>
      </c>
      <c r="UZ8" s="52">
        <f>BALANCING!UZ8-120</f>
        <v/>
      </c>
      <c r="VA8" s="52">
        <f>BALANCING!VA8-120</f>
        <v/>
      </c>
      <c r="VB8" s="52">
        <f>BALANCING!VB8-120</f>
        <v/>
      </c>
      <c r="VC8" s="52">
        <f>BALANCING!VC8-120</f>
        <v/>
      </c>
      <c r="VD8" s="52">
        <f>BALANCING!VD8-120</f>
        <v/>
      </c>
      <c r="VE8" s="52">
        <f>BALANCING!VE8-120</f>
        <v/>
      </c>
      <c r="VF8" s="52">
        <f>BALANCING!VF8-120</f>
        <v/>
      </c>
      <c r="VG8" s="52">
        <f>BALANCING!VG8-120</f>
        <v/>
      </c>
      <c r="VH8" s="52">
        <f>BALANCING!VH8-120</f>
        <v/>
      </c>
      <c r="VI8" s="52">
        <f>BALANCING!VI8-120</f>
        <v/>
      </c>
      <c r="VJ8" s="52">
        <f>BALANCING!VJ8-120</f>
        <v/>
      </c>
      <c r="VK8" s="52">
        <f>BALANCING!VK8-120</f>
        <v/>
      </c>
      <c r="VL8" s="52">
        <f>BALANCING!VL8-120</f>
        <v/>
      </c>
      <c r="VM8" s="52">
        <f>BALANCING!VM8-120</f>
        <v/>
      </c>
      <c r="VN8" s="52">
        <f>BALANCING!VN8-120</f>
        <v/>
      </c>
      <c r="VO8" s="52">
        <f>BALANCING!VO8-120</f>
        <v/>
      </c>
      <c r="VP8" s="52">
        <f>BALANCING!VP8-120</f>
        <v/>
      </c>
      <c r="VQ8" s="52">
        <f>BALANCING!VQ8-120</f>
        <v/>
      </c>
      <c r="VR8" s="52">
        <f>BALANCING!VR8-120</f>
        <v/>
      </c>
      <c r="VS8" s="52">
        <f>BALANCING!VS8-120</f>
        <v/>
      </c>
      <c r="VT8" s="52">
        <f>BALANCING!VT8-120</f>
        <v/>
      </c>
      <c r="VU8" s="52">
        <f>BALANCING!VU8-120</f>
        <v/>
      </c>
      <c r="VV8" s="52">
        <f>BALANCING!VV8-120</f>
        <v/>
      </c>
      <c r="VW8" s="52">
        <f>BALANCING!VW8-120</f>
        <v/>
      </c>
      <c r="VX8" s="52">
        <f>BALANCING!VX8-120</f>
        <v/>
      </c>
      <c r="VY8" s="52">
        <f>BALANCING!VY8-120</f>
        <v/>
      </c>
      <c r="VZ8" s="52">
        <f>BALANCING!VZ8-120</f>
        <v/>
      </c>
      <c r="WA8" s="139" t="n"/>
      <c r="WB8" s="52">
        <f>BALANCING!WB8-120</f>
        <v/>
      </c>
      <c r="WC8" s="52">
        <f>BALANCING!WC8-120</f>
        <v/>
      </c>
      <c r="WD8" s="52">
        <f>BALANCING!WD8-120</f>
        <v/>
      </c>
      <c r="WE8" s="52">
        <f>BALANCING!WE8-120</f>
        <v/>
      </c>
      <c r="WF8" s="52">
        <f>BALANCING!WF8-120</f>
        <v/>
      </c>
      <c r="WG8" s="52">
        <f>BALANCING!WG8-120</f>
        <v/>
      </c>
      <c r="WH8" s="52">
        <f>BALANCING!WH8-120</f>
        <v/>
      </c>
      <c r="WI8" s="52">
        <f>BALANCING!WI8-120</f>
        <v/>
      </c>
      <c r="WJ8" s="52">
        <f>BALANCING!WJ8-120</f>
        <v/>
      </c>
      <c r="WK8" s="52">
        <f>BALANCING!WK8-120</f>
        <v/>
      </c>
      <c r="WL8" s="52">
        <f>BALANCING!WL8-120</f>
        <v/>
      </c>
      <c r="WM8" s="52">
        <f>BALANCING!WM8-120</f>
        <v/>
      </c>
      <c r="WN8" s="52">
        <f>BALANCING!WN8-120</f>
        <v/>
      </c>
      <c r="WO8" s="52">
        <f>BALANCING!WO8-120</f>
        <v/>
      </c>
      <c r="WP8" s="52">
        <f>BALANCING!WP8-120</f>
        <v/>
      </c>
      <c r="WQ8" s="52">
        <f>BALANCING!WQ8-120</f>
        <v/>
      </c>
      <c r="WR8" s="52">
        <f>BALANCING!WR8-120</f>
        <v/>
      </c>
      <c r="WS8" s="52">
        <f>BALANCING!WS8-120</f>
        <v/>
      </c>
      <c r="WT8" s="52">
        <f>BALANCING!WT8-120</f>
        <v/>
      </c>
      <c r="WU8" s="52">
        <f>BALANCING!WU8-120</f>
        <v/>
      </c>
      <c r="WV8" s="52">
        <f>BALANCING!WV8-120</f>
        <v/>
      </c>
      <c r="WW8" s="52">
        <f>BALANCING!WW8-120</f>
        <v/>
      </c>
      <c r="WX8" s="52">
        <f>BALANCING!WX8-120</f>
        <v/>
      </c>
      <c r="WY8" s="52">
        <f>BALANCING!WY8-120</f>
        <v/>
      </c>
      <c r="WZ8" s="52">
        <f>BALANCING!WZ8-120</f>
        <v/>
      </c>
      <c r="XA8" s="52">
        <f>BALANCING!XA8-120</f>
        <v/>
      </c>
      <c r="XB8" s="52">
        <f>BALANCING!XB8-120</f>
        <v/>
      </c>
      <c r="XC8" s="52">
        <f>BALANCING!XC8-120</f>
        <v/>
      </c>
      <c r="XD8" s="52">
        <f>BALANCING!XD8-120</f>
        <v/>
      </c>
      <c r="XE8" s="52">
        <f>BALANCING!XE8-120</f>
        <v/>
      </c>
      <c r="XF8" s="52">
        <f>BALANCING!XF8-120</f>
        <v/>
      </c>
      <c r="XG8" s="139" t="n"/>
      <c r="XH8" s="52">
        <f>BALANCING!XH8-120</f>
        <v/>
      </c>
      <c r="XI8" s="52">
        <f>BALANCING!XI8-120</f>
        <v/>
      </c>
      <c r="XJ8" s="52">
        <f>BALANCING!XJ8-120</f>
        <v/>
      </c>
      <c r="XK8" s="52">
        <f>BALANCING!XK8-120</f>
        <v/>
      </c>
      <c r="XL8" s="52">
        <f>BALANCING!XL8-120</f>
        <v/>
      </c>
      <c r="XM8" s="52">
        <f>BALANCING!XM8-120</f>
        <v/>
      </c>
      <c r="XN8" s="52">
        <f>BALANCING!XN8-120</f>
        <v/>
      </c>
      <c r="XO8" s="52">
        <f>BALANCING!XO8-120</f>
        <v/>
      </c>
      <c r="XP8" s="52">
        <f>BALANCING!XP8-120</f>
        <v/>
      </c>
      <c r="XQ8" s="52">
        <f>BALANCING!XQ8-120</f>
        <v/>
      </c>
      <c r="XR8" s="52">
        <f>BALANCING!XR8-120</f>
        <v/>
      </c>
      <c r="XS8" s="52">
        <f>BALANCING!XS8-120</f>
        <v/>
      </c>
      <c r="XT8" s="52">
        <f>BALANCING!XT8-120</f>
        <v/>
      </c>
      <c r="XU8" s="52">
        <f>BALANCING!XU8-120</f>
        <v/>
      </c>
      <c r="XV8" s="52">
        <f>BALANCING!XV8-120</f>
        <v/>
      </c>
      <c r="XW8" s="52">
        <f>BALANCING!XW8-120</f>
        <v/>
      </c>
      <c r="XX8" s="52">
        <f>BALANCING!XX8-120</f>
        <v/>
      </c>
      <c r="XY8" s="52">
        <f>BALANCING!XY8-120</f>
        <v/>
      </c>
      <c r="XZ8" s="52">
        <f>BALANCING!XZ8-120</f>
        <v/>
      </c>
      <c r="YA8" s="52">
        <f>BALANCING!YA8-120</f>
        <v/>
      </c>
      <c r="YB8" s="52">
        <f>BALANCING!YB8-120</f>
        <v/>
      </c>
      <c r="YC8" s="52">
        <f>BALANCING!YC8-120</f>
        <v/>
      </c>
      <c r="YD8" s="52">
        <f>BALANCING!YD8-120</f>
        <v/>
      </c>
      <c r="YE8" s="52">
        <f>BALANCING!YE8-120</f>
        <v/>
      </c>
      <c r="YF8" s="52">
        <f>BALANCING!YF8-120</f>
        <v/>
      </c>
      <c r="YG8" s="52">
        <f>BALANCING!YG8-120</f>
        <v/>
      </c>
      <c r="YH8" s="52">
        <f>BALANCING!YH8-120</f>
        <v/>
      </c>
      <c r="YI8" s="52">
        <f>BALANCING!YI8-120</f>
        <v/>
      </c>
      <c r="YJ8" s="52">
        <f>BALANCING!YJ8-120</f>
        <v/>
      </c>
      <c r="YK8" s="52">
        <f>BALANCING!YK8-120</f>
        <v/>
      </c>
      <c r="YL8" s="130" t="n"/>
      <c r="YM8" s="52">
        <f>BALANCING!YM8-120</f>
        <v/>
      </c>
      <c r="YN8" s="52">
        <f>BALANCING!YN8-120</f>
        <v/>
      </c>
      <c r="YO8" s="52">
        <f>BALANCING!YO8-120</f>
        <v/>
      </c>
      <c r="YP8" s="52">
        <f>BALANCING!YP8-120</f>
        <v/>
      </c>
      <c r="YQ8" s="52">
        <f>BALANCING!YQ8-120</f>
        <v/>
      </c>
      <c r="YR8" s="52">
        <f>BALANCING!YR8-120</f>
        <v/>
      </c>
      <c r="YS8" s="52">
        <f>BALANCING!YS8-120</f>
        <v/>
      </c>
      <c r="YT8" s="52">
        <f>BALANCING!YT8-120</f>
        <v/>
      </c>
      <c r="YU8" s="52">
        <f>BALANCING!YU8-120</f>
        <v/>
      </c>
      <c r="YV8" s="52">
        <f>BALANCING!YV8-120</f>
        <v/>
      </c>
      <c r="YW8" s="52">
        <f>BALANCING!YW8-120</f>
        <v/>
      </c>
      <c r="YX8" s="52">
        <f>BALANCING!YX8-120</f>
        <v/>
      </c>
      <c r="YY8" s="52">
        <f>BALANCING!YY8-120</f>
        <v/>
      </c>
      <c r="YZ8" s="52">
        <f>BALANCING!YZ8-120</f>
        <v/>
      </c>
      <c r="ZA8" s="52">
        <f>BALANCING!ZA8-120</f>
        <v/>
      </c>
      <c r="ZB8" s="52">
        <f>BALANCING!ZB8-120</f>
        <v/>
      </c>
      <c r="ZC8" s="52">
        <f>BALANCING!ZC8-120</f>
        <v/>
      </c>
      <c r="ZD8" s="52">
        <f>BALANCING!ZD8-120</f>
        <v/>
      </c>
      <c r="ZE8" s="52">
        <f>BALANCING!ZE8-120</f>
        <v/>
      </c>
      <c r="ZF8" s="52">
        <f>BALANCING!ZF8-120</f>
        <v/>
      </c>
      <c r="ZG8" s="52">
        <f>BALANCING!ZG8-120</f>
        <v/>
      </c>
      <c r="ZH8" s="52">
        <f>BALANCING!ZH8-120</f>
        <v/>
      </c>
      <c r="ZI8" s="52">
        <f>BALANCING!ZI8-120</f>
        <v/>
      </c>
      <c r="ZJ8" s="52">
        <f>BALANCING!ZJ8-120</f>
        <v/>
      </c>
      <c r="ZK8" s="52">
        <f>BALANCING!ZK8-120</f>
        <v/>
      </c>
      <c r="ZL8" s="52">
        <f>BALANCING!ZL8-120</f>
        <v/>
      </c>
      <c r="ZM8" s="52">
        <f>BALANCING!ZM8-120</f>
        <v/>
      </c>
      <c r="ZN8" s="52">
        <f>BALANCING!ZN8-120</f>
        <v/>
      </c>
      <c r="ZO8" s="52">
        <f>BALANCING!ZO8-120</f>
        <v/>
      </c>
      <c r="ZP8" s="52">
        <f>BALANCING!ZP8-120</f>
        <v/>
      </c>
      <c r="ZQ8" s="52">
        <f>BALANCING!ZQ8-120</f>
        <v/>
      </c>
      <c r="ZR8" s="130" t="n"/>
      <c r="ZS8" s="52">
        <f>BALANCING!ZS8-120</f>
        <v/>
      </c>
      <c r="ZT8" s="52">
        <f>BALANCING!ZT8-120</f>
        <v/>
      </c>
      <c r="ZU8" s="52">
        <f>BALANCING!ZU8-120</f>
        <v/>
      </c>
      <c r="ZV8" s="52">
        <f>BALANCING!ZV8-120</f>
        <v/>
      </c>
      <c r="ZW8" s="52">
        <f>BALANCING!ZW8-120</f>
        <v/>
      </c>
      <c r="ZX8" s="52">
        <f>BALANCING!ZX8-120</f>
        <v/>
      </c>
      <c r="ZY8" s="52">
        <f>BALANCING!ZY8-120</f>
        <v/>
      </c>
      <c r="ZZ8" s="52">
        <f>BALANCING!ZZ8-120</f>
        <v/>
      </c>
      <c r="AAA8" s="52">
        <f>BALANCING!AAA8-120</f>
        <v/>
      </c>
      <c r="AAB8" s="52">
        <f>BALANCING!AAB8-120</f>
        <v/>
      </c>
      <c r="AAC8" s="52">
        <f>BALANCING!AAC8-120</f>
        <v/>
      </c>
      <c r="AAD8" s="52">
        <f>BALANCING!AAD8-120</f>
        <v/>
      </c>
      <c r="AAE8" s="52">
        <f>BALANCING!AAE8-120</f>
        <v/>
      </c>
      <c r="AAF8" s="52">
        <f>BALANCING!AAF8-120</f>
        <v/>
      </c>
      <c r="AAG8" s="52">
        <f>BALANCING!AAG8-120</f>
        <v/>
      </c>
      <c r="AAH8" s="52">
        <f>BALANCING!AAH8-120</f>
        <v/>
      </c>
      <c r="AAI8" s="52">
        <f>BALANCING!AAI8-120</f>
        <v/>
      </c>
      <c r="AAJ8" s="52">
        <f>BALANCING!AAJ8-120</f>
        <v/>
      </c>
      <c r="AAK8" s="52">
        <f>BALANCING!AAK8-120</f>
        <v/>
      </c>
      <c r="AAL8" s="52">
        <f>BALANCING!AAL8-120</f>
        <v/>
      </c>
      <c r="AAM8" s="52">
        <f>BALANCING!AAM8-120</f>
        <v/>
      </c>
      <c r="AAN8" s="52">
        <f>BALANCING!AAN8-120</f>
        <v/>
      </c>
      <c r="AAO8" s="52">
        <f>BALANCING!AAO8-120</f>
        <v/>
      </c>
      <c r="AAP8" s="52">
        <f>BALANCING!AAP8-120</f>
        <v/>
      </c>
      <c r="AAQ8" s="52">
        <f>BALANCING!AAQ8-120</f>
        <v/>
      </c>
      <c r="AAR8" s="52">
        <f>BALANCING!AAR8-120</f>
        <v/>
      </c>
      <c r="AAS8" s="52">
        <f>BALANCING!AAS8-120</f>
        <v/>
      </c>
      <c r="AAT8" s="52">
        <f>BALANCING!AAT8-120</f>
        <v/>
      </c>
      <c r="AAU8" s="52">
        <f>BALANCING!AAU8-120</f>
        <v/>
      </c>
      <c r="AAV8" s="52">
        <f>BALANCING!AAV8-120</f>
        <v/>
      </c>
      <c r="AAW8" s="130" t="n"/>
      <c r="AAX8" s="52">
        <f>BALANCING!AAX8-120</f>
        <v/>
      </c>
      <c r="AAY8" s="52">
        <f>BALANCING!AAY8-120</f>
        <v/>
      </c>
      <c r="AAZ8" s="52">
        <f>BALANCING!AAZ8-120</f>
        <v/>
      </c>
      <c r="ABA8" s="52">
        <f>BALANCING!ABA8-120</f>
        <v/>
      </c>
      <c r="ABB8" s="52">
        <f>BALANCING!ABB8-120</f>
        <v/>
      </c>
      <c r="ABC8" s="52">
        <f>BALANCING!ABC8-120</f>
        <v/>
      </c>
      <c r="ABD8" s="52">
        <f>BALANCING!ABD8-120</f>
        <v/>
      </c>
      <c r="ABE8" s="52">
        <f>BALANCING!ABE8-120</f>
        <v/>
      </c>
      <c r="ABF8" s="52">
        <f>BALANCING!ABF8-120</f>
        <v/>
      </c>
      <c r="ABG8" s="52">
        <f>BALANCING!ABG8-120</f>
        <v/>
      </c>
      <c r="ABH8" s="52">
        <f>BALANCING!ABH8-120</f>
        <v/>
      </c>
      <c r="ABI8" s="52">
        <f>BALANCING!ABI8-120</f>
        <v/>
      </c>
      <c r="ABJ8" s="52">
        <f>BALANCING!ABJ8-120</f>
        <v/>
      </c>
      <c r="ABK8" s="52">
        <f>BALANCING!ABK8-120</f>
        <v/>
      </c>
      <c r="ABL8" s="52">
        <f>BALANCING!ABL8-120</f>
        <v/>
      </c>
      <c r="ABM8" s="52">
        <f>BALANCING!ABM8-120</f>
        <v/>
      </c>
      <c r="ABN8" s="52">
        <f>BALANCING!ABN8-120</f>
        <v/>
      </c>
      <c r="ABO8" s="52">
        <f>BALANCING!ABO8-120</f>
        <v/>
      </c>
      <c r="ABP8" s="52">
        <f>BALANCING!ABP8-120</f>
        <v/>
      </c>
      <c r="ABQ8" s="52">
        <f>BALANCING!ABQ8-120</f>
        <v/>
      </c>
      <c r="ABR8" s="52">
        <f>BALANCING!ABR8-120</f>
        <v/>
      </c>
      <c r="ABS8" s="52">
        <f>BALANCING!ABS8-120</f>
        <v/>
      </c>
      <c r="ABT8" s="52">
        <f>BALANCING!ABT8-120</f>
        <v/>
      </c>
      <c r="ABU8" s="52">
        <f>BALANCING!ABU8-120</f>
        <v/>
      </c>
      <c r="ABV8" s="52">
        <f>BALANCING!ABV8-120</f>
        <v/>
      </c>
      <c r="ABW8" s="52">
        <f>BALANCING!ABW8-120</f>
        <v/>
      </c>
      <c r="ABX8" s="52">
        <f>BALANCING!ABX8-120</f>
        <v/>
      </c>
      <c r="ABY8" s="52">
        <f>BALANCING!ABY8-120</f>
        <v/>
      </c>
      <c r="ABZ8" s="52">
        <f>BALANCING!ABZ8-120</f>
        <v/>
      </c>
      <c r="ACA8" s="52">
        <f>BALANCING!ACA8-120</f>
        <v/>
      </c>
      <c r="ACB8" s="52">
        <f>BALANCING!ACB8-120</f>
        <v/>
      </c>
      <c r="ACC8" s="130" t="n"/>
      <c r="ACD8" s="52">
        <f>BALANCING!ACD8-120</f>
        <v/>
      </c>
      <c r="ACE8" s="52">
        <f>BALANCING!ACE8-120</f>
        <v/>
      </c>
      <c r="ACF8" s="52">
        <f>BALANCING!ACF8-120</f>
        <v/>
      </c>
      <c r="ACG8" s="52">
        <f>BALANCING!ACG8-120</f>
        <v/>
      </c>
      <c r="ACH8" s="52">
        <f>BALANCING!ACH8-120</f>
        <v/>
      </c>
      <c r="ACI8" s="52">
        <f>BALANCING!ACI8-120</f>
        <v/>
      </c>
      <c r="ACJ8" s="52">
        <f>BALANCING!ACJ8-120</f>
        <v/>
      </c>
      <c r="ACK8" s="52">
        <f>BALANCING!ACK8-120</f>
        <v/>
      </c>
      <c r="ACL8" s="52">
        <f>BALANCING!ACL8-120</f>
        <v/>
      </c>
      <c r="ACM8" s="52">
        <f>BALANCING!ACM8-120</f>
        <v/>
      </c>
      <c r="ACN8" s="52">
        <f>BALANCING!ACN8-120</f>
        <v/>
      </c>
      <c r="ACO8" s="52">
        <f>BALANCING!ACO8-120</f>
        <v/>
      </c>
      <c r="ACP8" s="52">
        <f>BALANCING!ACP8-120</f>
        <v/>
      </c>
      <c r="ACQ8" s="52">
        <f>BALANCING!ACQ8-120</f>
        <v/>
      </c>
      <c r="ACR8" s="52">
        <f>BALANCING!ACR8-120</f>
        <v/>
      </c>
      <c r="ACS8" s="52">
        <f>BALANCING!ACS8-120</f>
        <v/>
      </c>
      <c r="ACT8" s="52">
        <f>BALANCING!ACT8-120</f>
        <v/>
      </c>
      <c r="ACU8" s="52">
        <f>BALANCING!ACU8-120</f>
        <v/>
      </c>
      <c r="ACV8" s="52">
        <f>BALANCING!ACV8-120</f>
        <v/>
      </c>
      <c r="ACW8" s="52">
        <f>BALANCING!ACW8-120</f>
        <v/>
      </c>
      <c r="ACX8" s="52">
        <f>BALANCING!ACX8-120</f>
        <v/>
      </c>
      <c r="ACY8" s="52">
        <f>BALANCING!ACY8-120</f>
        <v/>
      </c>
      <c r="ACZ8" s="52">
        <f>BALANCING!ACZ8-120</f>
        <v/>
      </c>
      <c r="ADA8" s="52">
        <f>BALANCING!ADA8-120</f>
        <v/>
      </c>
      <c r="ADB8" s="52">
        <f>BALANCING!ADB8-120</f>
        <v/>
      </c>
      <c r="ADC8" s="52">
        <f>BALANCING!ADC8-120</f>
        <v/>
      </c>
      <c r="ADD8" s="52">
        <f>BALANCING!ADD8-120</f>
        <v/>
      </c>
      <c r="ADE8" s="52">
        <f>BALANCING!ADE8-120</f>
        <v/>
      </c>
      <c r="ADF8" s="52">
        <f>BALANCING!ADF8-120</f>
        <v/>
      </c>
      <c r="ADG8" s="52">
        <f>BALANCING!ADG8-120</f>
        <v/>
      </c>
      <c r="ADH8" s="52">
        <f>BALANCING!ADH8-120</f>
        <v/>
      </c>
      <c r="ADI8" s="130" t="n"/>
      <c r="ADJ8" s="52">
        <f>BALANCING!ADJ8-120</f>
        <v/>
      </c>
      <c r="ADK8" s="52">
        <f>BALANCING!ADK8-120</f>
        <v/>
      </c>
      <c r="ADL8" s="52">
        <f>BALANCING!ADL8-120</f>
        <v/>
      </c>
      <c r="ADM8" s="52">
        <f>BALANCING!ADM8-120</f>
        <v/>
      </c>
      <c r="ADN8" s="52">
        <f>BALANCING!ADN8-120</f>
        <v/>
      </c>
      <c r="ADO8" s="52">
        <f>BALANCING!ADO8-120</f>
        <v/>
      </c>
      <c r="ADP8" s="52">
        <f>BALANCING!ADP8-120</f>
        <v/>
      </c>
      <c r="ADQ8" s="52">
        <f>BALANCING!ADQ8-120</f>
        <v/>
      </c>
      <c r="ADR8" s="52">
        <f>BALANCING!ADR8-120</f>
        <v/>
      </c>
      <c r="ADS8" s="52">
        <f>BALANCING!ADS8-120</f>
        <v/>
      </c>
      <c r="ADT8" s="52">
        <f>BALANCING!ADT8-120</f>
        <v/>
      </c>
      <c r="ADU8" s="52">
        <f>BALANCING!ADU8-120</f>
        <v/>
      </c>
      <c r="ADV8" s="52">
        <f>BALANCING!ADV8-120</f>
        <v/>
      </c>
      <c r="ADW8" s="52">
        <f>BALANCING!ADW8-120</f>
        <v/>
      </c>
      <c r="ADX8" s="52">
        <f>BALANCING!ADX8-120</f>
        <v/>
      </c>
      <c r="ADY8" s="52">
        <f>BALANCING!ADY8-120</f>
        <v/>
      </c>
      <c r="ADZ8" s="52">
        <f>BALANCING!ADZ8-120</f>
        <v/>
      </c>
      <c r="AEA8" s="52">
        <f>BALANCING!AEA8-120</f>
        <v/>
      </c>
      <c r="AEB8" s="52">
        <f>BALANCING!AEB8-120</f>
        <v/>
      </c>
      <c r="AEC8" s="52">
        <f>BALANCING!AEC8-120</f>
        <v/>
      </c>
      <c r="AED8" s="52">
        <f>BALANCING!AED8-120</f>
        <v/>
      </c>
      <c r="AEE8" s="52">
        <f>BALANCING!AEE8-120</f>
        <v/>
      </c>
      <c r="AEF8" s="52">
        <f>BALANCING!AEF8-120</f>
        <v/>
      </c>
      <c r="AEG8" s="52">
        <f>BALANCING!AEG8-120</f>
        <v/>
      </c>
      <c r="AEH8" s="52">
        <f>BALANCING!AEH8-120</f>
        <v/>
      </c>
      <c r="AEI8" s="52">
        <f>BALANCING!AEI8-120</f>
        <v/>
      </c>
      <c r="AEJ8" s="52">
        <f>BALANCING!AEJ8-120</f>
        <v/>
      </c>
      <c r="AEK8" s="52">
        <f>BALANCING!AEK8-120</f>
        <v/>
      </c>
      <c r="AEL8" s="52">
        <f>BALANCING!AEL8-120</f>
        <v/>
      </c>
      <c r="AEM8" s="52">
        <f>BALANCING!AEM8-120</f>
        <v/>
      </c>
      <c r="AEN8" s="130" t="n"/>
      <c r="AEO8" s="52">
        <f>BALANCING!AEO8-120</f>
        <v/>
      </c>
      <c r="AEP8" s="52">
        <f>BALANCING!AEP8-120</f>
        <v/>
      </c>
      <c r="AEQ8" s="52">
        <f>BALANCING!AEQ8-120</f>
        <v/>
      </c>
      <c r="AER8" s="52">
        <f>BALANCING!AER8-120</f>
        <v/>
      </c>
      <c r="AES8" s="52">
        <f>BALANCING!AES8-120</f>
        <v/>
      </c>
      <c r="AET8" s="52">
        <f>BALANCING!AET8-120</f>
        <v/>
      </c>
      <c r="AEU8" s="52">
        <f>BALANCING!AEU8-120</f>
        <v/>
      </c>
      <c r="AEV8" s="52">
        <f>BALANCING!AEV8-120</f>
        <v/>
      </c>
      <c r="AEW8" s="52">
        <f>BALANCING!AEW8-120</f>
        <v/>
      </c>
      <c r="AEX8" s="52">
        <f>BALANCING!AEX8-120</f>
        <v/>
      </c>
      <c r="AEY8" s="52">
        <f>BALANCING!AEY8-120</f>
        <v/>
      </c>
      <c r="AEZ8" s="52">
        <f>BALANCING!AEZ8-120</f>
        <v/>
      </c>
      <c r="AFA8" s="52">
        <f>BALANCING!AFA8-120</f>
        <v/>
      </c>
      <c r="AFB8" s="52">
        <f>BALANCING!AFB8-120</f>
        <v/>
      </c>
      <c r="AFC8" s="52">
        <f>BALANCING!AFC8-120</f>
        <v/>
      </c>
      <c r="AFD8" s="52">
        <f>BALANCING!AFD8-120</f>
        <v/>
      </c>
      <c r="AFE8" s="52">
        <f>BALANCING!AFE8-120</f>
        <v/>
      </c>
      <c r="AFF8" s="52">
        <f>BALANCING!AFF8-120</f>
        <v/>
      </c>
      <c r="AFG8" s="52">
        <f>BALANCING!AFG8-120</f>
        <v/>
      </c>
      <c r="AFH8" s="52">
        <f>BALANCING!AFH8-120</f>
        <v/>
      </c>
      <c r="AFI8" s="52">
        <f>BALANCING!AFI8-120</f>
        <v/>
      </c>
      <c r="AFJ8" s="52">
        <f>BALANCING!AFJ8-120</f>
        <v/>
      </c>
      <c r="AFK8" s="52">
        <f>BALANCING!AFK8-120</f>
        <v/>
      </c>
      <c r="AFL8" s="52">
        <f>BALANCING!AFL8-120</f>
        <v/>
      </c>
      <c r="AFM8" s="52">
        <f>BALANCING!AFM8-120</f>
        <v/>
      </c>
      <c r="AFN8" s="52">
        <f>BALANCING!AFN8-120</f>
        <v/>
      </c>
      <c r="AFO8" s="52">
        <f>BALANCING!AFO8-120</f>
        <v/>
      </c>
      <c r="AFP8" s="52">
        <f>BALANCING!AFP8-120</f>
        <v/>
      </c>
      <c r="AFQ8" s="52">
        <f>BALANCING!AFQ8-120</f>
        <v/>
      </c>
      <c r="AFR8" s="52">
        <f>BALANCING!AFR8-120</f>
        <v/>
      </c>
      <c r="AFS8" s="52">
        <f>BALANCING!AFS8-120</f>
        <v/>
      </c>
      <c r="AFT8" s="130" t="n"/>
      <c r="AFU8" s="52">
        <f>BALANCING!AFU8-120</f>
        <v/>
      </c>
      <c r="AFV8" s="52">
        <f>BALANCING!AFV8-120</f>
        <v/>
      </c>
      <c r="AFW8" s="52">
        <f>BALANCING!AFW8-120</f>
        <v/>
      </c>
      <c r="AFX8" s="52">
        <f>BALANCING!AFX8-120</f>
        <v/>
      </c>
      <c r="AFY8" s="52">
        <f>BALANCING!AFY8-120</f>
        <v/>
      </c>
      <c r="AFZ8" s="52">
        <f>BALANCING!AFZ8-120</f>
        <v/>
      </c>
      <c r="AGA8" s="52">
        <f>BALANCING!AGA8-120</f>
        <v/>
      </c>
      <c r="AGB8" s="52">
        <f>BALANCING!AGB8-120</f>
        <v/>
      </c>
      <c r="AGC8" s="52">
        <f>BALANCING!AGC8-120</f>
        <v/>
      </c>
      <c r="AGD8" s="52">
        <f>BALANCING!AGD8-120</f>
        <v/>
      </c>
      <c r="AGE8" s="52">
        <f>BALANCING!AGE8-120</f>
        <v/>
      </c>
      <c r="AGF8" s="52">
        <f>BALANCING!AGF8-120</f>
        <v/>
      </c>
      <c r="AGG8" s="52">
        <f>BALANCING!AGG8-120</f>
        <v/>
      </c>
      <c r="AGH8" s="52">
        <f>BALANCING!AGH8-120</f>
        <v/>
      </c>
      <c r="AGI8" s="52">
        <f>BALANCING!AGI8-120</f>
        <v/>
      </c>
      <c r="AGJ8" s="52">
        <f>BALANCING!AGJ8-120</f>
        <v/>
      </c>
      <c r="AGK8" s="52">
        <f>BALANCING!AGK8-120</f>
        <v/>
      </c>
      <c r="AGL8" s="52">
        <f>BALANCING!AGL8-120</f>
        <v/>
      </c>
      <c r="AGM8" s="52">
        <f>BALANCING!AGM8-120</f>
        <v/>
      </c>
      <c r="AGN8" s="52">
        <f>BALANCING!AGN8-120</f>
        <v/>
      </c>
      <c r="AGO8" s="52">
        <f>BALANCING!AGO8-120</f>
        <v/>
      </c>
      <c r="AGP8" s="52">
        <f>BALANCING!AGP8-120</f>
        <v/>
      </c>
      <c r="AGQ8" s="52">
        <f>BALANCING!AGQ8-120</f>
        <v/>
      </c>
      <c r="AGR8" s="52" t="n">
        <v>4429</v>
      </c>
      <c r="AGS8" s="52">
        <f>BALANCING!AGS8-120</f>
        <v/>
      </c>
      <c r="AGT8" s="52" t="n">
        <v>4429</v>
      </c>
      <c r="AGU8" s="52">
        <f>BALANCING!AGU8-120</f>
        <v/>
      </c>
      <c r="AGV8" s="52">
        <f>BALANCING!AGV8-120</f>
        <v/>
      </c>
      <c r="AGW8" s="52">
        <f>BALANCING!AGW8-120</f>
        <v/>
      </c>
      <c r="AGX8" s="52">
        <f>BALANCING!AGX8-120</f>
        <v/>
      </c>
      <c r="AGY8" s="139" t="n"/>
      <c r="AGZ8" s="52">
        <f>BALANCING!AGZ8-120</f>
        <v/>
      </c>
      <c r="AHA8" s="52">
        <f>BALANCING!AHA8-120</f>
        <v/>
      </c>
      <c r="AHB8" s="52">
        <f>BALANCING!AHB8-120</f>
        <v/>
      </c>
      <c r="AHC8" s="52">
        <f>BALANCING!AHC8-120</f>
        <v/>
      </c>
      <c r="AHD8" s="52">
        <f>BALANCING!AHD8-120</f>
        <v/>
      </c>
      <c r="AHE8" s="52">
        <f>BALANCING!AHE8-120</f>
        <v/>
      </c>
      <c r="AHF8" s="52">
        <f>BALANCING!AHF8-120</f>
        <v/>
      </c>
      <c r="AHG8" s="52">
        <f>BALANCING!AHG8-120</f>
        <v/>
      </c>
      <c r="AHH8" s="52">
        <f>BALANCING!AHH8-120</f>
        <v/>
      </c>
      <c r="AHI8" s="52">
        <f>BALANCING!AHI8-120</f>
        <v/>
      </c>
      <c r="AHJ8" s="52">
        <f>BALANCING!AHJ8-120</f>
        <v/>
      </c>
      <c r="AHK8" s="52">
        <f>BALANCING!AHK8-120</f>
        <v/>
      </c>
      <c r="AHL8" s="52">
        <f>BALANCING!AHL8-120</f>
        <v/>
      </c>
      <c r="AHM8" s="52">
        <f>BALANCING!AHM8-120</f>
        <v/>
      </c>
      <c r="AHN8" s="52">
        <f>BALANCING!AHN8-120</f>
        <v/>
      </c>
      <c r="AHO8" s="52">
        <f>BALANCING!AHO8-120</f>
        <v/>
      </c>
      <c r="AHP8" s="52">
        <f>BALANCING!AHP8-120</f>
        <v/>
      </c>
      <c r="AHQ8" s="52">
        <f>BALANCING!AHQ8-120</f>
        <v/>
      </c>
      <c r="AHR8" s="52">
        <f>BALANCING!AHR8-120</f>
        <v/>
      </c>
      <c r="AHS8" s="52">
        <f>BALANCING!AHS8-120</f>
        <v/>
      </c>
      <c r="AHT8" s="52">
        <f>BALANCING!AHT8-120</f>
        <v/>
      </c>
      <c r="AHU8" s="52">
        <f>BALANCING!AHU8-120</f>
        <v/>
      </c>
      <c r="AHV8" s="52">
        <f>BALANCING!AHV8-120</f>
        <v/>
      </c>
      <c r="AHW8" s="52" t="n">
        <v>4469</v>
      </c>
      <c r="AHX8" s="52">
        <f>BALANCING!AHX8-120</f>
        <v/>
      </c>
      <c r="AHY8" s="52">
        <f>BALANCING!AHY8-120</f>
        <v/>
      </c>
      <c r="AHZ8" s="52">
        <f>BALANCING!AHZ8-120</f>
        <v/>
      </c>
      <c r="AIA8" s="52">
        <f>BALANCING!AIA8-120</f>
        <v/>
      </c>
      <c r="AIB8" s="52">
        <f>BALANCING!AIB8-120</f>
        <v/>
      </c>
      <c r="AIC8" s="52">
        <f>BALANCING!AIC8-120</f>
        <v/>
      </c>
      <c r="AID8" s="52">
        <f>BALANCING!AID8-120</f>
        <v/>
      </c>
      <c r="AIE8" s="130" t="n"/>
      <c r="AIF8" s="52">
        <f>BALANCING!AIF8-120</f>
        <v/>
      </c>
      <c r="AIG8" s="52">
        <f>BALANCING!AIG8-120</f>
        <v/>
      </c>
      <c r="AIH8" s="52">
        <f>BALANCING!AIH8-120</f>
        <v/>
      </c>
      <c r="AII8" s="52">
        <f>BALANCING!AII8-120</f>
        <v/>
      </c>
      <c r="AIJ8" s="52">
        <f>BALANCING!AIJ8-120</f>
        <v/>
      </c>
      <c r="AIK8" s="52">
        <f>BALANCING!AIK8-120</f>
        <v/>
      </c>
      <c r="AIL8" s="52">
        <f>BALANCING!AIL8-120</f>
        <v/>
      </c>
      <c r="AIM8" s="52">
        <f>BALANCING!AIM8-120</f>
        <v/>
      </c>
      <c r="AIN8" s="52">
        <f>BALANCING!AIN8-120</f>
        <v/>
      </c>
      <c r="AIO8" s="52">
        <f>BALANCING!AIO8-120</f>
        <v/>
      </c>
      <c r="AIP8" s="52">
        <f>BALANCING!AIP8-120</f>
        <v/>
      </c>
      <c r="AIQ8" s="52">
        <f>BALANCING!AIQ8-120</f>
        <v/>
      </c>
      <c r="AIR8" s="52">
        <f>BALANCING!AIR8-120</f>
        <v/>
      </c>
      <c r="AIS8" s="52">
        <f>BALANCING!AIS8-120</f>
        <v/>
      </c>
      <c r="AIT8" s="52">
        <f>BALANCING!AIT8-120</f>
        <v/>
      </c>
      <c r="AIU8" s="52">
        <f>BALANCING!AIU8-120</f>
        <v/>
      </c>
      <c r="AIV8" s="52">
        <f>BALANCING!AIV8-120</f>
        <v/>
      </c>
      <c r="AIW8" s="52">
        <f>BALANCING!AIW8-120</f>
        <v/>
      </c>
      <c r="AIX8" s="52">
        <f>BALANCING!AIX8-120</f>
        <v/>
      </c>
      <c r="AIY8" s="52">
        <f>BALANCING!AIY8-120</f>
        <v/>
      </c>
      <c r="AIZ8" s="52">
        <f>BALANCING!AIZ8-120</f>
        <v/>
      </c>
      <c r="AJA8" s="52">
        <f>BALANCING!AJA8-120</f>
        <v/>
      </c>
      <c r="AJB8" s="52">
        <f>BALANCING!AJB8-120</f>
        <v/>
      </c>
      <c r="AJC8" s="52">
        <f>BALANCING!AJC8-120</f>
        <v/>
      </c>
      <c r="AJD8" s="52">
        <f>BALANCING!AJD8-120</f>
        <v/>
      </c>
      <c r="AJE8" s="52">
        <f>BALANCING!AJE8-120</f>
        <v/>
      </c>
      <c r="AJF8" s="52">
        <f>BALANCING!AJF8-120</f>
        <v/>
      </c>
      <c r="AJG8" s="52">
        <f>BALANCING!AJG8-120</f>
        <v/>
      </c>
      <c r="AJH8" s="52">
        <f>BALANCING!AJH8-120</f>
        <v/>
      </c>
      <c r="AJI8" s="52">
        <f>BALANCING!AJI8-120</f>
        <v/>
      </c>
      <c r="AJJ8" s="52">
        <f>BALANCING!AJJ8-120</f>
        <v/>
      </c>
      <c r="AJK8" s="145" t="n"/>
      <c r="AJL8" s="52">
        <f>BALANCING!AJL8-120</f>
        <v/>
      </c>
      <c r="AJM8" s="52">
        <f>BALANCING!AJM8-120</f>
        <v/>
      </c>
      <c r="AJN8" s="52">
        <f>BALANCING!AJN8-120</f>
        <v/>
      </c>
      <c r="AJO8" s="52">
        <f>BALANCING!AJO8-120</f>
        <v/>
      </c>
      <c r="AJP8" s="52">
        <f>BALANCING!AJP8-120</f>
        <v/>
      </c>
      <c r="AJQ8" s="52">
        <f>BALANCING!AJQ8-120</f>
        <v/>
      </c>
      <c r="AJR8" s="52">
        <f>BALANCING!AJR8-120</f>
        <v/>
      </c>
      <c r="AJS8" s="52">
        <f>BALANCING!AJS8-120</f>
        <v/>
      </c>
      <c r="AJT8" s="52">
        <f>BALANCING!AJT8-120</f>
        <v/>
      </c>
      <c r="AJU8" s="52">
        <f>BALANCING!AJU8-120</f>
        <v/>
      </c>
      <c r="AJV8" s="52">
        <f>BALANCING!AJV8-120</f>
        <v/>
      </c>
      <c r="AJW8" s="52">
        <f>BALANCING!AJW8-120</f>
        <v/>
      </c>
      <c r="AJX8" s="52">
        <f>BALANCING!AJX8-120</f>
        <v/>
      </c>
      <c r="AJY8" s="52">
        <f>BALANCING!AJY8-120</f>
        <v/>
      </c>
      <c r="AJZ8" s="52">
        <f>BALANCING!AJZ8-120</f>
        <v/>
      </c>
      <c r="AKA8" s="52">
        <f>BALANCING!AKA8-120</f>
        <v/>
      </c>
      <c r="AKB8" s="52">
        <f>BALANCING!AKB8-120</f>
        <v/>
      </c>
      <c r="AKC8" s="52">
        <f>BALANCING!AKC8-120</f>
        <v/>
      </c>
      <c r="AKD8" s="52">
        <f>BALANCING!AKD8-120</f>
        <v/>
      </c>
      <c r="AKE8" s="52">
        <f>BALANCING!AKE8-120</f>
        <v/>
      </c>
      <c r="AKF8" s="52">
        <f>BALANCING!AKF8-120</f>
        <v/>
      </c>
      <c r="AKG8" s="52">
        <f>BALANCING!AKG8-120</f>
        <v/>
      </c>
      <c r="AKH8" s="52">
        <f>BALANCING!AKH8-120</f>
        <v/>
      </c>
      <c r="AKI8" s="52">
        <f>BALANCING!AKI8-120</f>
        <v/>
      </c>
      <c r="AKJ8" s="52">
        <f>BALANCING!AKJ8-120</f>
        <v/>
      </c>
      <c r="AKK8" s="52">
        <f>BALANCING!AKK8-120</f>
        <v/>
      </c>
      <c r="AKL8" s="52">
        <f>BALANCING!AKL8-120</f>
        <v/>
      </c>
      <c r="AKM8" s="52">
        <f>BALANCING!AKM8-120</f>
        <v/>
      </c>
      <c r="AKN8" s="151" t="n"/>
      <c r="AKO8" s="52">
        <f>BALANCING!AKO8-120</f>
        <v/>
      </c>
      <c r="AKP8" s="52">
        <f>BALANCING!AKP8-120</f>
        <v/>
      </c>
      <c r="AKQ8" s="52">
        <f>BALANCING!AKQ8-120</f>
        <v/>
      </c>
      <c r="AKR8" s="52">
        <f>BALANCING!AKR8-120</f>
        <v/>
      </c>
      <c r="AKS8" s="52">
        <f>BALANCING!AKS8-120</f>
        <v/>
      </c>
      <c r="AKT8" s="52">
        <f>BALANCING!AKT8-120</f>
        <v/>
      </c>
      <c r="AKU8" s="52">
        <f>BALANCING!AKU8-120</f>
        <v/>
      </c>
      <c r="AKV8" s="52">
        <f>BALANCING!AKV8-120</f>
        <v/>
      </c>
      <c r="AKW8" s="52">
        <f>BALANCING!AKW8-120</f>
        <v/>
      </c>
      <c r="AKX8" s="52">
        <f>BALANCING!AKX8-120</f>
        <v/>
      </c>
      <c r="AKY8" s="52">
        <f>BALANCING!AKY8-120</f>
        <v/>
      </c>
      <c r="AKZ8" s="52">
        <f>BALANCING!AKZ8-120</f>
        <v/>
      </c>
      <c r="ALA8" s="52">
        <f>BALANCING!ALA8-120</f>
        <v/>
      </c>
      <c r="ALB8" s="52">
        <f>BALANCING!ALB8-120</f>
        <v/>
      </c>
      <c r="ALC8" s="52">
        <f>BALANCING!ALC8-120</f>
        <v/>
      </c>
      <c r="ALD8" s="52">
        <f>BALANCING!ALD8-120</f>
        <v/>
      </c>
      <c r="ALE8" s="52">
        <f>BALANCING!ALE8-120</f>
        <v/>
      </c>
      <c r="ALF8" s="52">
        <f>BALANCING!ALF8-120</f>
        <v/>
      </c>
      <c r="ALG8" s="52">
        <f>BALANCING!ALG8-120</f>
        <v/>
      </c>
      <c r="ALH8" s="52">
        <f>BALANCING!ALH8-120</f>
        <v/>
      </c>
      <c r="ALI8" s="52">
        <f>BALANCING!ALI8-120</f>
        <v/>
      </c>
      <c r="ALJ8" s="52">
        <f>BALANCING!ALJ8-120</f>
        <v/>
      </c>
      <c r="ALK8" s="52">
        <f>BALANCING!ALK8-120</f>
        <v/>
      </c>
      <c r="ALL8" s="52">
        <f>BALANCING!ALL8-120</f>
        <v/>
      </c>
      <c r="ALM8" s="52">
        <f>BALANCING!ALM8-120</f>
        <v/>
      </c>
      <c r="ALN8" s="52">
        <f>BALANCING!ALN8-120</f>
        <v/>
      </c>
      <c r="ALO8" s="52">
        <f>BALANCING!ALO8-120</f>
        <v/>
      </c>
      <c r="ALP8" s="52">
        <f>BALANCING!ALP8-120</f>
        <v/>
      </c>
      <c r="ALQ8" s="52">
        <f>BALANCING!ALQ8-120</f>
        <v/>
      </c>
      <c r="ALR8" s="52" t="n">
        <v>4880</v>
      </c>
      <c r="ALS8" s="52">
        <f>BALANCING!ALS8-120</f>
        <v/>
      </c>
      <c r="ALT8" s="130" t="n"/>
      <c r="ALU8" s="52">
        <f>BALANCING!ALU8-120</f>
        <v/>
      </c>
      <c r="ALV8" s="52">
        <f>BALANCING!ALV8-120</f>
        <v/>
      </c>
      <c r="ALW8" s="52">
        <f>BALANCING!ALW8-120</f>
        <v/>
      </c>
      <c r="ALX8" s="52">
        <f>BALANCING!ALX8-120</f>
        <v/>
      </c>
      <c r="ALY8" s="52">
        <f>BALANCING!ALY8-120</f>
        <v/>
      </c>
      <c r="ALZ8" s="52" t="n">
        <v>5029</v>
      </c>
      <c r="AMA8" s="52">
        <f>BALANCING!AMA8-120</f>
        <v/>
      </c>
      <c r="AMB8" s="52">
        <f>BALANCING!AMB8-120</f>
        <v/>
      </c>
      <c r="AMC8" s="52">
        <f>BALANCING!AMC8-120</f>
        <v/>
      </c>
      <c r="AMD8" s="52">
        <f>BALANCING!AMD8-120</f>
        <v/>
      </c>
      <c r="AME8" s="52">
        <f>BALANCING!AME8-120</f>
        <v/>
      </c>
      <c r="AMF8" s="52">
        <f>BALANCING!AMF8-120</f>
        <v/>
      </c>
      <c r="AMG8" s="52">
        <f>BALANCING!AMG8-120</f>
        <v/>
      </c>
      <c r="AMH8" s="52">
        <f>BALANCING!AMH8-120</f>
        <v/>
      </c>
      <c r="AMI8" s="52">
        <f>BALANCING!AMI8-120</f>
        <v/>
      </c>
      <c r="AMJ8" s="52">
        <f>BALANCING!AMJ8-120</f>
        <v/>
      </c>
      <c r="AMK8" s="52">
        <f>BALANCING!AMK8-120</f>
        <v/>
      </c>
      <c r="AML8" s="52">
        <f>BALANCING!AML8-120</f>
        <v/>
      </c>
      <c r="AMM8" s="52">
        <f>BALANCING!AMM8-120</f>
        <v/>
      </c>
      <c r="AMN8" s="52">
        <f>BALANCING!AMN8-120</f>
        <v/>
      </c>
      <c r="AMO8" s="52">
        <f>BALANCING!AMO8-120</f>
        <v/>
      </c>
      <c r="AMP8" s="52">
        <f>BALANCING!AMP8-120</f>
        <v/>
      </c>
      <c r="AMQ8" s="52">
        <f>BALANCING!AMQ8-120</f>
        <v/>
      </c>
      <c r="AMR8" s="52">
        <f>BALANCING!AMR8-120</f>
        <v/>
      </c>
      <c r="AMS8" s="52">
        <f>BALANCING!AMS8-120</f>
        <v/>
      </c>
      <c r="AMT8" s="52">
        <f>BALANCING!AMT8-120</f>
        <v/>
      </c>
      <c r="AMU8" s="52">
        <f>BALANCING!AMU8-120</f>
        <v/>
      </c>
      <c r="AMV8" s="52">
        <f>BALANCING!AMV8-120</f>
        <v/>
      </c>
      <c r="AMW8" s="52">
        <f>BALANCING!AMW8-120</f>
        <v/>
      </c>
      <c r="AMX8" s="52">
        <f>BALANCING!AMX8-120</f>
        <v/>
      </c>
      <c r="AMY8" s="130" t="n"/>
      <c r="AMZ8" s="52">
        <f>BALANCING!AMZ8-120</f>
        <v/>
      </c>
      <c r="ANA8" s="52">
        <f>BALANCING!ANA8-120</f>
        <v/>
      </c>
      <c r="ANB8" s="52">
        <f>BALANCING!ANB8-120</f>
        <v/>
      </c>
      <c r="ANC8" s="52">
        <f>BALANCING!ANC8-120</f>
        <v/>
      </c>
      <c r="AND8" s="52">
        <f>BALANCING!AND8-120</f>
        <v/>
      </c>
      <c r="ANE8" s="52">
        <f>BALANCING!ANE8-120</f>
        <v/>
      </c>
      <c r="ANF8" s="52">
        <f>BALANCING!ANF8-120</f>
        <v/>
      </c>
      <c r="ANG8" s="52">
        <f>BALANCING!ANG8-120</f>
        <v/>
      </c>
      <c r="ANH8" s="52">
        <f>BALANCING!ANH8-120</f>
        <v/>
      </c>
      <c r="ANI8" s="52">
        <f>BALANCING!ANI8-120</f>
        <v/>
      </c>
      <c r="ANJ8" s="52">
        <f>BALANCING!ANJ8-120</f>
        <v/>
      </c>
      <c r="ANK8" s="52">
        <f>BALANCING!ANK8-120</f>
        <v/>
      </c>
      <c r="ANL8" s="52">
        <f>BALANCING!ANL8-120</f>
        <v/>
      </c>
      <c r="ANM8" s="52">
        <f>BALANCING!ANM8-120</f>
        <v/>
      </c>
      <c r="ANN8" s="52">
        <f>BALANCING!ANN8-120</f>
        <v/>
      </c>
      <c r="ANO8" s="52">
        <f>BALANCING!ANO8-120</f>
        <v/>
      </c>
      <c r="ANP8" s="52">
        <f>BALANCING!ANP8-120</f>
        <v/>
      </c>
      <c r="ANQ8" s="52">
        <f>BALANCING!ANQ8-120</f>
        <v/>
      </c>
      <c r="ANR8" s="52">
        <f>BALANCING!ANR8-120</f>
        <v/>
      </c>
      <c r="ANS8" s="52">
        <f>BALANCING!ANS8-120</f>
        <v/>
      </c>
      <c r="ANT8" s="52">
        <f>BALANCING!ANT8-120</f>
        <v/>
      </c>
      <c r="ANU8" s="52">
        <f>BALANCING!ANU8-120</f>
        <v/>
      </c>
      <c r="ANV8" s="52">
        <f>BALANCING!ANV8-120</f>
        <v/>
      </c>
      <c r="ANW8" s="52">
        <f>BALANCING!ANW8-120</f>
        <v/>
      </c>
      <c r="ANX8" s="52">
        <f>BALANCING!ANX8-120</f>
        <v/>
      </c>
      <c r="ANY8" s="52">
        <f>BALANCING!ANY8-120</f>
        <v/>
      </c>
      <c r="ANZ8" s="52">
        <f>BALANCING!ANZ8-120</f>
        <v/>
      </c>
      <c r="AOA8" s="52">
        <f>BALANCING!AOA8-120</f>
        <v/>
      </c>
      <c r="AOB8" s="52">
        <f>BALANCING!AOB8-120</f>
        <v/>
      </c>
      <c r="AOC8" s="52">
        <f>BALANCING!AOC8-120</f>
        <v/>
      </c>
    </row>
    <row r="9">
      <c r="B9" t="inlineStr">
        <is>
          <t>AGO STOCK VALUE</t>
        </is>
      </c>
      <c r="C9" s="52">
        <f>C8*C7</f>
        <v/>
      </c>
      <c r="D9" s="52">
        <f>D8*D7</f>
        <v/>
      </c>
      <c r="E9" s="52">
        <f>E8*E7</f>
        <v/>
      </c>
      <c r="F9" s="52">
        <f>F8*F7</f>
        <v/>
      </c>
      <c r="G9" s="52">
        <f>G8*G7</f>
        <v/>
      </c>
      <c r="H9" s="52">
        <f>H8*H7</f>
        <v/>
      </c>
      <c r="I9" s="52">
        <f>I8*I7</f>
        <v/>
      </c>
      <c r="J9" s="52">
        <f>J8*J7</f>
        <v/>
      </c>
      <c r="K9" s="52">
        <f>K8*K7</f>
        <v/>
      </c>
      <c r="L9" s="52">
        <f>L8*L7</f>
        <v/>
      </c>
      <c r="M9" s="52">
        <f>M8*M7</f>
        <v/>
      </c>
      <c r="N9" s="52">
        <f>N8*N7</f>
        <v/>
      </c>
      <c r="O9" s="52">
        <f>O8*O7</f>
        <v/>
      </c>
      <c r="P9" s="52">
        <f>P8*P7</f>
        <v/>
      </c>
      <c r="Q9" s="52">
        <f>Q8*Q7</f>
        <v/>
      </c>
      <c r="R9" s="52">
        <f>R8*R7</f>
        <v/>
      </c>
      <c r="S9" s="52">
        <f>S8*S7</f>
        <v/>
      </c>
      <c r="T9" s="52">
        <f>T8*T7</f>
        <v/>
      </c>
      <c r="U9" s="52">
        <f>U8*U7</f>
        <v/>
      </c>
      <c r="V9" s="52">
        <f>V8*V7</f>
        <v/>
      </c>
      <c r="W9" s="52">
        <f>W8*W7</f>
        <v/>
      </c>
      <c r="X9" s="52">
        <f>X8*X7</f>
        <v/>
      </c>
      <c r="Y9" s="52">
        <f>Y8*Y7</f>
        <v/>
      </c>
      <c r="Z9" s="52">
        <f>Z8*Z7</f>
        <v/>
      </c>
      <c r="AA9" s="52">
        <f>AA8*AA7</f>
        <v/>
      </c>
      <c r="AB9" s="52">
        <f>AB8*AB7</f>
        <v/>
      </c>
      <c r="AC9" s="52">
        <f>AC8*AC7</f>
        <v/>
      </c>
      <c r="AD9" s="52">
        <f>AD8*AD7</f>
        <v/>
      </c>
      <c r="AE9" s="52">
        <f>AE8*AE7</f>
        <v/>
      </c>
      <c r="AF9" s="52">
        <f>AF8*AF7</f>
        <v/>
      </c>
      <c r="AG9" s="52">
        <f>AG8*AG7</f>
        <v/>
      </c>
      <c r="AH9" s="67">
        <f>AG9</f>
        <v/>
      </c>
      <c r="AI9" s="52">
        <f>AI8*AI7</f>
        <v/>
      </c>
      <c r="AJ9" s="52">
        <f>AJ8*AJ7</f>
        <v/>
      </c>
      <c r="AK9" s="52">
        <f>AK8*AK7</f>
        <v/>
      </c>
      <c r="AL9" s="52">
        <f>AL8*AL7</f>
        <v/>
      </c>
      <c r="AM9" s="52">
        <f>AM8*AM7</f>
        <v/>
      </c>
      <c r="AN9" s="52">
        <f>AN8*AN7</f>
        <v/>
      </c>
      <c r="AO9" s="52">
        <f>AO8*AO7</f>
        <v/>
      </c>
      <c r="AP9" s="52">
        <f>AP8*AP7</f>
        <v/>
      </c>
      <c r="AQ9" s="52">
        <f>AQ8*AQ7</f>
        <v/>
      </c>
      <c r="AR9" s="52">
        <f>AR8*AR7</f>
        <v/>
      </c>
      <c r="AS9" s="52">
        <f>AS8*AS7</f>
        <v/>
      </c>
      <c r="AT9" s="52">
        <f>AT8*AT7</f>
        <v/>
      </c>
      <c r="AU9" s="52">
        <f>AU8*AU7</f>
        <v/>
      </c>
      <c r="AV9" s="52">
        <f>AV8*AV7</f>
        <v/>
      </c>
      <c r="AW9" s="52">
        <f>AW8*AW7</f>
        <v/>
      </c>
      <c r="AX9" s="52">
        <f>AX8*AX7</f>
        <v/>
      </c>
      <c r="AY9" s="52">
        <f>AY8*AY7</f>
        <v/>
      </c>
      <c r="AZ9" s="52">
        <f>AZ8*AZ7</f>
        <v/>
      </c>
      <c r="BA9" s="52">
        <f>BA8*BA7</f>
        <v/>
      </c>
      <c r="BB9" s="52">
        <f>BB8*BB7</f>
        <v/>
      </c>
      <c r="BC9" s="52">
        <f>BC8*BC7</f>
        <v/>
      </c>
      <c r="BD9" s="52">
        <f>BD8*BD7</f>
        <v/>
      </c>
      <c r="BE9" s="52">
        <f>BE8*BE7</f>
        <v/>
      </c>
      <c r="BF9" s="52">
        <f>BF8*BF7</f>
        <v/>
      </c>
      <c r="BG9" s="52">
        <f>BG8*BG7</f>
        <v/>
      </c>
      <c r="BH9" s="52">
        <f>BH8*BH7</f>
        <v/>
      </c>
      <c r="BI9" s="52">
        <f>BI8*BI7</f>
        <v/>
      </c>
      <c r="BJ9" s="52">
        <f>BJ8*BJ7</f>
        <v/>
      </c>
      <c r="BK9" s="52">
        <f>BK8*BK7</f>
        <v/>
      </c>
      <c r="BL9" s="52">
        <f>BL8*BL7</f>
        <v/>
      </c>
      <c r="BM9" s="106">
        <f>BL9</f>
        <v/>
      </c>
      <c r="BN9" s="52">
        <f>BN8*BN7</f>
        <v/>
      </c>
      <c r="BO9" s="52">
        <f>BO8*BO7</f>
        <v/>
      </c>
      <c r="BP9" s="52">
        <f>BP8*BP7</f>
        <v/>
      </c>
      <c r="BQ9" s="52">
        <f>BQ8*BQ7</f>
        <v/>
      </c>
      <c r="BR9" s="52">
        <f>BR8*BR7</f>
        <v/>
      </c>
      <c r="BS9" s="52">
        <f>BS8*BS7</f>
        <v/>
      </c>
      <c r="BT9" s="52">
        <f>BT8*BT7</f>
        <v/>
      </c>
      <c r="BU9" s="52">
        <f>BU8*BU7</f>
        <v/>
      </c>
      <c r="BV9" s="52">
        <f>BV8*BV7</f>
        <v/>
      </c>
      <c r="BW9" s="52">
        <f>BW8*BW7</f>
        <v/>
      </c>
      <c r="BX9" s="52">
        <f>BX8*BX7</f>
        <v/>
      </c>
      <c r="BY9" s="52">
        <f>BY8*BY7</f>
        <v/>
      </c>
      <c r="BZ9" s="52">
        <f>BZ8*BZ7</f>
        <v/>
      </c>
      <c r="CA9" s="52">
        <f>CA8*CA7</f>
        <v/>
      </c>
      <c r="CB9" s="52">
        <f>CB8*CB7</f>
        <v/>
      </c>
      <c r="CC9" s="52">
        <f>CC8*CC7</f>
        <v/>
      </c>
      <c r="CD9" s="52">
        <f>CD8*CD7</f>
        <v/>
      </c>
      <c r="CE9" s="52">
        <f>CE8*CE7</f>
        <v/>
      </c>
      <c r="CF9" s="52">
        <f>CF8*CF7</f>
        <v/>
      </c>
      <c r="CG9" s="52">
        <f>CG8*CG7</f>
        <v/>
      </c>
      <c r="CH9" s="52">
        <f>CH8*CH7</f>
        <v/>
      </c>
      <c r="CI9" s="52">
        <f>CI8*CI7</f>
        <v/>
      </c>
      <c r="CJ9" s="52">
        <f>CJ8*CJ7</f>
        <v/>
      </c>
      <c r="CK9" s="52">
        <f>CK8*CK7</f>
        <v/>
      </c>
      <c r="CL9" s="52">
        <f>CL8*CL7</f>
        <v/>
      </c>
      <c r="CM9" s="52">
        <f>CM8*CM7</f>
        <v/>
      </c>
      <c r="CN9" s="52">
        <f>CN8*CN7</f>
        <v/>
      </c>
      <c r="CO9" s="52">
        <f>CO8*CO7</f>
        <v/>
      </c>
      <c r="CP9" s="52">
        <f>CP8*CP7</f>
        <v/>
      </c>
      <c r="CQ9" s="52">
        <f>CQ8*CQ7</f>
        <v/>
      </c>
      <c r="CR9" s="52">
        <f>CR8*CR7</f>
        <v/>
      </c>
      <c r="CT9" s="52">
        <f>CT8*CT7</f>
        <v/>
      </c>
      <c r="CU9" s="52">
        <f>CU8*CU7</f>
        <v/>
      </c>
      <c r="CV9" s="52">
        <f>CV8*CV7</f>
        <v/>
      </c>
      <c r="CW9" s="52">
        <f>CW8*CW7</f>
        <v/>
      </c>
      <c r="CX9" s="52">
        <f>CX8*CX7</f>
        <v/>
      </c>
      <c r="CY9" s="52">
        <f>CY8*CY7</f>
        <v/>
      </c>
      <c r="CZ9" s="52">
        <f>CZ8*CZ7</f>
        <v/>
      </c>
      <c r="DA9" s="52">
        <f>DA8*DA7</f>
        <v/>
      </c>
      <c r="DB9" s="52">
        <f>DB8*DB7</f>
        <v/>
      </c>
      <c r="DC9" s="52">
        <f>DC8*DC7</f>
        <v/>
      </c>
      <c r="DD9" s="52">
        <f>DD8*DD7</f>
        <v/>
      </c>
      <c r="DE9" s="52">
        <f>DE8*DE7</f>
        <v/>
      </c>
      <c r="DF9" s="52">
        <f>DF8*DF7</f>
        <v/>
      </c>
      <c r="DG9" s="52">
        <f>DG8*DG7</f>
        <v/>
      </c>
      <c r="DH9" s="52">
        <f>DH8*DH7</f>
        <v/>
      </c>
      <c r="DI9" s="52">
        <f>DI8*DI7</f>
        <v/>
      </c>
      <c r="DJ9" s="52">
        <f>DJ8*DJ7</f>
        <v/>
      </c>
      <c r="DK9" s="52">
        <f>DK8*DK7</f>
        <v/>
      </c>
      <c r="DL9" s="52">
        <f>DL8*DL7</f>
        <v/>
      </c>
      <c r="DM9" s="52">
        <f>DM8*DM7</f>
        <v/>
      </c>
      <c r="DN9" s="52">
        <f>DN8*DN7</f>
        <v/>
      </c>
      <c r="DO9" s="52">
        <f>DO8*DO7</f>
        <v/>
      </c>
      <c r="DP9" s="52">
        <f>DP8*DP7</f>
        <v/>
      </c>
      <c r="DQ9" s="52">
        <f>DQ8*DQ7</f>
        <v/>
      </c>
      <c r="DR9" s="52">
        <f>DR8*DR7</f>
        <v/>
      </c>
      <c r="DS9" s="52">
        <f>DS8*DS7</f>
        <v/>
      </c>
      <c r="DT9" s="52">
        <f>DT8*DT7</f>
        <v/>
      </c>
      <c r="DU9" s="52">
        <f>DU8*DU7</f>
        <v/>
      </c>
      <c r="DV9" s="52">
        <f>DV8*DV7</f>
        <v/>
      </c>
      <c r="DW9" s="52">
        <f>DW8*DW7</f>
        <v/>
      </c>
      <c r="DX9" s="117" t="n"/>
      <c r="DY9" s="52">
        <f>DY8*DY7</f>
        <v/>
      </c>
      <c r="DZ9" s="52">
        <f>DZ8*DZ7</f>
        <v/>
      </c>
      <c r="EA9" s="52">
        <f>EA8*EA7</f>
        <v/>
      </c>
      <c r="EB9" s="52">
        <f>EB8*EB7</f>
        <v/>
      </c>
      <c r="EC9" s="52">
        <f>EC8*EC7</f>
        <v/>
      </c>
      <c r="ED9" s="52">
        <f>ED8*ED7</f>
        <v/>
      </c>
      <c r="EE9" s="52">
        <f>EE8*EE7</f>
        <v/>
      </c>
      <c r="EF9" s="52">
        <f>EF8*EF7</f>
        <v/>
      </c>
      <c r="EG9" s="52">
        <f>EG8*EG7</f>
        <v/>
      </c>
      <c r="EH9" s="52">
        <f>EH8*EH7</f>
        <v/>
      </c>
      <c r="EI9" s="52">
        <f>EI8*EI7</f>
        <v/>
      </c>
      <c r="EJ9" s="52">
        <f>EJ8*EJ7</f>
        <v/>
      </c>
      <c r="EK9" s="52">
        <f>EK8*EK7</f>
        <v/>
      </c>
      <c r="EL9" s="52">
        <f>EL8*EL7</f>
        <v/>
      </c>
      <c r="EM9" s="52">
        <f>EM8*EM7</f>
        <v/>
      </c>
      <c r="EN9" s="52">
        <f>EN8*EN7</f>
        <v/>
      </c>
      <c r="EO9" s="52">
        <f>EO8*EO7</f>
        <v/>
      </c>
      <c r="EP9" s="52">
        <f>EP8*EP7</f>
        <v/>
      </c>
      <c r="EQ9" s="52">
        <f>EQ8*EQ7</f>
        <v/>
      </c>
      <c r="ER9" s="52">
        <f>ER8*ER7</f>
        <v/>
      </c>
      <c r="ES9" s="52">
        <f>ES8*ES7</f>
        <v/>
      </c>
      <c r="ET9" s="52">
        <f>ET8*ET7</f>
        <v/>
      </c>
      <c r="EU9" s="52">
        <f>EU8*EU7</f>
        <v/>
      </c>
      <c r="EV9" s="52">
        <f>EV8*EV7</f>
        <v/>
      </c>
      <c r="EW9" s="52">
        <f>EW8*EW7</f>
        <v/>
      </c>
      <c r="EX9" s="52">
        <f>EX8*EX7</f>
        <v/>
      </c>
      <c r="EY9" s="52">
        <f>EY8*EY7</f>
        <v/>
      </c>
      <c r="EZ9" s="52">
        <f>EZ8*EZ7</f>
        <v/>
      </c>
      <c r="FA9" s="52">
        <f>FA8*FA7</f>
        <v/>
      </c>
      <c r="FB9" s="52">
        <f>FB8*FB7</f>
        <v/>
      </c>
      <c r="FC9" s="52">
        <f>FC8*FC7</f>
        <v/>
      </c>
      <c r="FD9" s="126" t="n"/>
      <c r="FE9" s="52">
        <f>FE8*FE7</f>
        <v/>
      </c>
      <c r="FF9" s="52">
        <f>FF8*FF7</f>
        <v/>
      </c>
      <c r="FG9" s="52">
        <f>FG8*FG7</f>
        <v/>
      </c>
      <c r="FH9" s="52">
        <f>FH8*FH7</f>
        <v/>
      </c>
      <c r="FI9" s="52">
        <f>FI8*FI7</f>
        <v/>
      </c>
      <c r="FJ9" s="52">
        <f>FJ8*FJ7</f>
        <v/>
      </c>
      <c r="FK9" s="52">
        <f>FK8*FK7</f>
        <v/>
      </c>
      <c r="FL9" s="52">
        <f>FL8*FL7</f>
        <v/>
      </c>
      <c r="FM9" s="52">
        <f>FM8*FM7</f>
        <v/>
      </c>
      <c r="FN9" s="52">
        <f>FN8*FN7</f>
        <v/>
      </c>
      <c r="FO9" s="52">
        <f>FO8*FO7</f>
        <v/>
      </c>
      <c r="FP9" s="52">
        <f>FP8*FP7</f>
        <v/>
      </c>
      <c r="FQ9" s="52">
        <f>FQ8*FQ7</f>
        <v/>
      </c>
      <c r="FR9" s="52">
        <f>FR8*FR7</f>
        <v/>
      </c>
      <c r="FS9" s="52">
        <f>FS8*FS7</f>
        <v/>
      </c>
      <c r="FT9" s="52">
        <f>FT8*FT7</f>
        <v/>
      </c>
      <c r="FU9" s="52">
        <f>FU8*FU7</f>
        <v/>
      </c>
      <c r="FV9" s="52">
        <f>FV8*FV7</f>
        <v/>
      </c>
      <c r="FW9" s="52">
        <f>FW8*FW7</f>
        <v/>
      </c>
      <c r="FX9" s="52">
        <f>FX8*FX7</f>
        <v/>
      </c>
      <c r="FY9" s="52">
        <f>FY8*FY7</f>
        <v/>
      </c>
      <c r="FZ9" s="52">
        <f>FZ8*FZ7</f>
        <v/>
      </c>
      <c r="GA9" s="52">
        <f>GA8*GA7</f>
        <v/>
      </c>
      <c r="GB9" s="52">
        <f>GB8*GB7</f>
        <v/>
      </c>
      <c r="GC9" s="52">
        <f>GC8*GC7</f>
        <v/>
      </c>
      <c r="GD9" s="52">
        <f>GD8*GD7</f>
        <v/>
      </c>
      <c r="GE9" s="52">
        <f>GE8*GE7</f>
        <v/>
      </c>
      <c r="GF9" s="52">
        <f>GF8*GF7</f>
        <v/>
      </c>
      <c r="GG9" s="52">
        <f>GG8*GG7</f>
        <v/>
      </c>
      <c r="GH9" s="52">
        <f>GH8*GH7</f>
        <v/>
      </c>
      <c r="GI9" s="52">
        <f>GI8*GI7</f>
        <v/>
      </c>
      <c r="GJ9" s="130" t="n"/>
      <c r="GK9" s="52">
        <f>GK8*GK7</f>
        <v/>
      </c>
      <c r="GL9" s="52">
        <f>GL8*GL7</f>
        <v/>
      </c>
      <c r="GM9" s="52">
        <f>GM8*GM7</f>
        <v/>
      </c>
      <c r="GN9" s="52">
        <f>GN8*GN7</f>
        <v/>
      </c>
      <c r="GO9" s="52">
        <f>GO8*GO7</f>
        <v/>
      </c>
      <c r="GP9" s="52">
        <f>GP8*GP7</f>
        <v/>
      </c>
      <c r="GQ9" s="52">
        <f>GQ8*GQ7</f>
        <v/>
      </c>
      <c r="GR9" s="52">
        <f>GR8*GR7</f>
        <v/>
      </c>
      <c r="GS9" s="52">
        <f>GS8*GS7</f>
        <v/>
      </c>
      <c r="GT9" s="52">
        <f>GT8*GT7</f>
        <v/>
      </c>
      <c r="GU9" s="52">
        <f>GU8*GU7</f>
        <v/>
      </c>
      <c r="GV9" s="52">
        <f>GV8*GV7</f>
        <v/>
      </c>
      <c r="GW9" s="52">
        <f>GW8*GW7</f>
        <v/>
      </c>
      <c r="GX9" s="52">
        <f>GX8*GX7</f>
        <v/>
      </c>
      <c r="GY9" s="52">
        <f>GY8*GY7</f>
        <v/>
      </c>
      <c r="GZ9" s="52">
        <f>GZ8*GZ7</f>
        <v/>
      </c>
      <c r="HA9" s="52">
        <f>HA8*HA7</f>
        <v/>
      </c>
      <c r="HB9" s="52">
        <f>HB8*HB7</f>
        <v/>
      </c>
      <c r="HC9" s="52">
        <f>HC8*HC7</f>
        <v/>
      </c>
      <c r="HD9" s="52">
        <f>HD8*HD7</f>
        <v/>
      </c>
      <c r="HE9" s="52">
        <f>HE8*HE7</f>
        <v/>
      </c>
      <c r="HF9" s="52">
        <f>HF8*HF7</f>
        <v/>
      </c>
      <c r="HG9" s="52">
        <f>HG8*HG7</f>
        <v/>
      </c>
      <c r="HH9" s="52">
        <f>HH8*HH7</f>
        <v/>
      </c>
      <c r="HI9" s="52">
        <f>HI8*HI7</f>
        <v/>
      </c>
      <c r="HJ9" s="52">
        <f>HJ8*HJ7</f>
        <v/>
      </c>
      <c r="HK9" s="52">
        <f>HK8*HK7</f>
        <v/>
      </c>
      <c r="HL9" s="52">
        <f>HL8*HL7</f>
        <v/>
      </c>
      <c r="HM9" s="52">
        <f>HM8*HM7</f>
        <v/>
      </c>
      <c r="HN9" s="130" t="n"/>
      <c r="HO9" s="52">
        <f>HO8*HO7</f>
        <v/>
      </c>
      <c r="HP9" s="52">
        <f>HP8*HP7</f>
        <v/>
      </c>
      <c r="HQ9" s="52">
        <f>HQ8*HQ7</f>
        <v/>
      </c>
      <c r="HR9" s="52">
        <f>HR8*HR7</f>
        <v/>
      </c>
      <c r="HS9" s="52">
        <f>HS8*HS7</f>
        <v/>
      </c>
      <c r="HT9" s="52">
        <f>HT8*HT7</f>
        <v/>
      </c>
      <c r="HU9" s="52">
        <f>HU8*HU7</f>
        <v/>
      </c>
      <c r="HV9" s="52">
        <f>HV8*HV7</f>
        <v/>
      </c>
      <c r="HW9" s="52">
        <f>HW8*HW7</f>
        <v/>
      </c>
      <c r="HX9" s="52">
        <f>HX8*HX7</f>
        <v/>
      </c>
      <c r="HY9" s="52">
        <f>HY8*HY7</f>
        <v/>
      </c>
      <c r="HZ9" s="52">
        <f>HZ8*HZ7</f>
        <v/>
      </c>
      <c r="IA9" s="52">
        <f>IA8*IA7</f>
        <v/>
      </c>
      <c r="IB9" s="52">
        <f>IB8*IB7</f>
        <v/>
      </c>
      <c r="IC9" s="52">
        <f>IC8*IC7</f>
        <v/>
      </c>
      <c r="ID9" s="52">
        <f>ID8*ID7</f>
        <v/>
      </c>
      <c r="IE9" s="52">
        <f>IE8*IE7</f>
        <v/>
      </c>
      <c r="IF9" s="52">
        <f>IF8*IF7</f>
        <v/>
      </c>
      <c r="IG9" s="52">
        <f>IG8*IG7</f>
        <v/>
      </c>
      <c r="IH9" s="52">
        <f>IH8*IH7</f>
        <v/>
      </c>
      <c r="II9" s="52">
        <f>II8*II7</f>
        <v/>
      </c>
      <c r="IJ9" s="52">
        <f>IJ8*IJ7</f>
        <v/>
      </c>
      <c r="IK9" s="52">
        <f>IK8*IK7</f>
        <v/>
      </c>
      <c r="IL9" s="52">
        <f>IL8*IL7</f>
        <v/>
      </c>
      <c r="IM9" s="52">
        <f>IM8*IM7</f>
        <v/>
      </c>
      <c r="IN9" s="52">
        <f>IN8*IN7</f>
        <v/>
      </c>
      <c r="IO9" s="52">
        <f>IO8*IO7</f>
        <v/>
      </c>
      <c r="IP9" s="52">
        <f>IP8*IP7</f>
        <v/>
      </c>
      <c r="IQ9" s="52">
        <f>IQ8*IQ7</f>
        <v/>
      </c>
      <c r="IR9" s="52">
        <f>IR8*IR7</f>
        <v/>
      </c>
      <c r="IS9" s="52">
        <f>IS8*IS7</f>
        <v/>
      </c>
      <c r="IT9" s="130" t="n"/>
      <c r="IU9" s="52">
        <f>IU8*IU7</f>
        <v/>
      </c>
      <c r="IV9" s="52">
        <f>IV8*IV7</f>
        <v/>
      </c>
      <c r="IW9" s="52">
        <f>IW8*IW7</f>
        <v/>
      </c>
      <c r="IX9" s="52">
        <f>IX8*IX7</f>
        <v/>
      </c>
      <c r="IY9" s="52">
        <f>IY8*IY7</f>
        <v/>
      </c>
      <c r="IZ9" s="52">
        <f>IZ8*IZ7</f>
        <v/>
      </c>
      <c r="JA9" s="52">
        <f>JA8*JA7</f>
        <v/>
      </c>
      <c r="JB9" s="52">
        <f>JB8*JB7</f>
        <v/>
      </c>
      <c r="JC9" s="52">
        <f>JC8*JC7</f>
        <v/>
      </c>
      <c r="JD9" s="52">
        <f>JD8*JD7</f>
        <v/>
      </c>
      <c r="JE9" s="52">
        <f>JE8*JE7</f>
        <v/>
      </c>
      <c r="JF9" s="52">
        <f>JF8*JF7</f>
        <v/>
      </c>
      <c r="JG9" s="52">
        <f>JG8*JG7</f>
        <v/>
      </c>
      <c r="JH9" s="52">
        <f>JH8*JH7</f>
        <v/>
      </c>
      <c r="JI9" s="52">
        <f>JI8*JI7</f>
        <v/>
      </c>
      <c r="JJ9" s="52">
        <f>JJ8*JJ7</f>
        <v/>
      </c>
      <c r="JK9" s="52">
        <f>JK8*JK7</f>
        <v/>
      </c>
      <c r="JL9" s="52">
        <f>JL8*JL7</f>
        <v/>
      </c>
      <c r="JM9" s="52">
        <f>JM8*JM7</f>
        <v/>
      </c>
      <c r="JN9" s="52">
        <f>JN8*JN7</f>
        <v/>
      </c>
      <c r="JO9" s="52">
        <f>JO8*JO7</f>
        <v/>
      </c>
      <c r="JP9" s="52">
        <f>JP8*JP7</f>
        <v/>
      </c>
      <c r="JQ9" s="52">
        <f>JQ8*JQ7</f>
        <v/>
      </c>
      <c r="JR9" s="52">
        <f>JR8*JR7</f>
        <v/>
      </c>
      <c r="JS9" s="52">
        <f>JS8*JS7</f>
        <v/>
      </c>
      <c r="JT9" s="52">
        <f>JT8*JT7</f>
        <v/>
      </c>
      <c r="JU9" s="52">
        <f>JU8*JU7</f>
        <v/>
      </c>
      <c r="JV9" s="52">
        <f>JV8*JV7</f>
        <v/>
      </c>
      <c r="JW9" s="52">
        <f>JW8*JW7</f>
        <v/>
      </c>
      <c r="JX9" s="52">
        <f>JX8*JX7</f>
        <v/>
      </c>
      <c r="JY9" s="139" t="n"/>
      <c r="JZ9" s="52">
        <f>JZ8*JZ7</f>
        <v/>
      </c>
      <c r="KA9" s="52">
        <f>KA8*KA7</f>
        <v/>
      </c>
      <c r="KB9" s="52">
        <f>KB8*KB7</f>
        <v/>
      </c>
      <c r="KC9" s="52">
        <f>KC8*KC7</f>
        <v/>
      </c>
      <c r="KD9" s="52">
        <f>KD8*KD7</f>
        <v/>
      </c>
      <c r="KE9" s="52">
        <f>KE8*KE7</f>
        <v/>
      </c>
      <c r="KF9" s="52">
        <f>KF8*KF7</f>
        <v/>
      </c>
      <c r="KG9" s="52">
        <f>KG8*KG7</f>
        <v/>
      </c>
      <c r="KH9" s="52">
        <f>KH8*KH7</f>
        <v/>
      </c>
      <c r="KI9" s="52">
        <f>KI8*KI7</f>
        <v/>
      </c>
      <c r="KJ9" s="52">
        <f>KJ8*KJ7</f>
        <v/>
      </c>
      <c r="KK9" s="52">
        <f>KK8*KK7</f>
        <v/>
      </c>
      <c r="KL9" s="52">
        <f>KL8*KL7</f>
        <v/>
      </c>
      <c r="KM9" s="52">
        <f>KM8*KM7</f>
        <v/>
      </c>
      <c r="KN9" s="52">
        <f>KN8*KN7</f>
        <v/>
      </c>
      <c r="KO9" s="52">
        <f>KO8*KO7</f>
        <v/>
      </c>
      <c r="KP9" s="52">
        <f>KP8*KP7</f>
        <v/>
      </c>
      <c r="KQ9" s="52">
        <f>KQ8*KQ7</f>
        <v/>
      </c>
      <c r="KR9" s="52">
        <f>KR8*KR7</f>
        <v/>
      </c>
      <c r="KS9" s="52">
        <f>KS8*KS7</f>
        <v/>
      </c>
      <c r="KT9" s="52">
        <f>KT8*KT7</f>
        <v/>
      </c>
      <c r="KU9" s="52">
        <f>KU8*KU7</f>
        <v/>
      </c>
      <c r="KV9" s="52">
        <f>KV8*KV7</f>
        <v/>
      </c>
      <c r="KW9" s="52">
        <f>KW8*KW7</f>
        <v/>
      </c>
      <c r="KX9" s="52">
        <f>KX8*KX7</f>
        <v/>
      </c>
      <c r="KY9" s="52">
        <f>KY8*KY7</f>
        <v/>
      </c>
      <c r="KZ9" s="52">
        <f>KZ8*KZ7</f>
        <v/>
      </c>
      <c r="LA9" s="52">
        <f>LA8*LA7</f>
        <v/>
      </c>
      <c r="LB9" s="52">
        <f>LB8*LB7</f>
        <v/>
      </c>
      <c r="LC9" s="52">
        <f>LC8*LC7</f>
        <v/>
      </c>
      <c r="LD9" s="52">
        <f>LD8*LD7</f>
        <v/>
      </c>
      <c r="LE9" s="130" t="n"/>
      <c r="LF9" s="52">
        <f>LF8*LF7</f>
        <v/>
      </c>
      <c r="LG9" s="52">
        <f>LG8*LG7</f>
        <v/>
      </c>
      <c r="LH9" s="52">
        <f>LH8*LH7</f>
        <v/>
      </c>
      <c r="LI9" s="52">
        <f>LI8*LI7</f>
        <v/>
      </c>
      <c r="LJ9" s="52">
        <f>LJ8*LJ7</f>
        <v/>
      </c>
      <c r="LK9" s="52">
        <f>LK8*LK7</f>
        <v/>
      </c>
      <c r="LL9" s="52">
        <f>LL8*LL7</f>
        <v/>
      </c>
      <c r="LM9" s="52">
        <f>LM8*LM7</f>
        <v/>
      </c>
      <c r="LN9" s="52">
        <f>LN8*LN7</f>
        <v/>
      </c>
      <c r="LO9" s="52">
        <f>LO8*LO7</f>
        <v/>
      </c>
      <c r="LP9" s="52">
        <f>LP8*LP7</f>
        <v/>
      </c>
      <c r="LQ9" s="52">
        <f>LQ8*LQ7</f>
        <v/>
      </c>
      <c r="LR9" s="52">
        <f>LR8*LR7</f>
        <v/>
      </c>
      <c r="LS9" s="52">
        <f>LS8*LS7</f>
        <v/>
      </c>
      <c r="LT9" s="52">
        <f>LT8*LT7</f>
        <v/>
      </c>
      <c r="LU9" s="52">
        <f>LU8*LU7</f>
        <v/>
      </c>
      <c r="LV9" s="52">
        <f>LV8*LV7</f>
        <v/>
      </c>
      <c r="LW9" s="52">
        <f>LW8*LW7</f>
        <v/>
      </c>
      <c r="LX9" s="52">
        <f>LX8*LX7</f>
        <v/>
      </c>
      <c r="LY9" s="52">
        <f>LY8*LY7</f>
        <v/>
      </c>
      <c r="LZ9" s="52">
        <f>LZ8*LZ7</f>
        <v/>
      </c>
      <c r="MA9" s="52">
        <f>MA8*MA7</f>
        <v/>
      </c>
      <c r="MB9" s="52">
        <f>MB8*MB7</f>
        <v/>
      </c>
      <c r="MC9" s="52">
        <f>MC8*MC7</f>
        <v/>
      </c>
      <c r="MD9" s="52">
        <f>MD8*MD7</f>
        <v/>
      </c>
      <c r="ME9" s="52">
        <f>ME8*ME7</f>
        <v/>
      </c>
      <c r="MF9" s="52">
        <f>MF8*MF7</f>
        <v/>
      </c>
      <c r="MG9" s="52">
        <f>MG8*MG7</f>
        <v/>
      </c>
      <c r="MH9" s="52">
        <f>MH8*MH7</f>
        <v/>
      </c>
      <c r="MI9" s="52">
        <f>MI8*MI7</f>
        <v/>
      </c>
      <c r="MJ9" s="139" t="n"/>
      <c r="MK9" s="52">
        <f>MK8*MK7</f>
        <v/>
      </c>
      <c r="ML9" s="52">
        <f>ML8*ML7</f>
        <v/>
      </c>
      <c r="MM9" s="52">
        <f>MM8*MM7</f>
        <v/>
      </c>
      <c r="MN9" s="52">
        <f>MN8*MN7</f>
        <v/>
      </c>
      <c r="MO9" s="52">
        <f>MO8*MO7</f>
        <v/>
      </c>
      <c r="MP9" s="52">
        <f>MP8*MP7</f>
        <v/>
      </c>
      <c r="MQ9" s="52">
        <f>MQ8*MQ7</f>
        <v/>
      </c>
      <c r="MR9" s="52">
        <f>MR8*MR7</f>
        <v/>
      </c>
      <c r="MS9" s="52">
        <f>MS8*MS7</f>
        <v/>
      </c>
      <c r="MT9" s="52">
        <f>MT8*MT7</f>
        <v/>
      </c>
      <c r="MU9" s="52">
        <f>MU8*MU7</f>
        <v/>
      </c>
      <c r="MV9" s="52">
        <f>MV8*MV7</f>
        <v/>
      </c>
      <c r="MW9" s="52">
        <f>MW8*MW7</f>
        <v/>
      </c>
      <c r="MX9" s="52">
        <f>MX8*MX7</f>
        <v/>
      </c>
      <c r="MY9" s="52">
        <f>MY8*MY7</f>
        <v/>
      </c>
      <c r="MZ9" s="52">
        <f>MZ8*MZ7</f>
        <v/>
      </c>
      <c r="NA9" s="52">
        <f>NA8*NA7</f>
        <v/>
      </c>
      <c r="NB9" s="52">
        <f>NB8*NB7</f>
        <v/>
      </c>
      <c r="NC9" s="52">
        <f>NC8*NC7</f>
        <v/>
      </c>
      <c r="ND9" s="52">
        <f>ND8*ND7</f>
        <v/>
      </c>
      <c r="NE9" s="52">
        <f>NE8*NE7</f>
        <v/>
      </c>
      <c r="NF9" s="52">
        <f>NF8*NF7</f>
        <v/>
      </c>
      <c r="NG9" s="52">
        <f>NG8*NG7</f>
        <v/>
      </c>
      <c r="NH9" s="52">
        <f>NH8*NH7</f>
        <v/>
      </c>
      <c r="NI9" s="52">
        <f>NI8*NI7</f>
        <v/>
      </c>
      <c r="NJ9" s="52">
        <f>NJ8*NJ7</f>
        <v/>
      </c>
      <c r="NK9" s="52">
        <f>NK8*NK7</f>
        <v/>
      </c>
      <c r="NL9" s="52">
        <f>NL8*NL7</f>
        <v/>
      </c>
      <c r="NM9" s="52">
        <f>NM8*NM7</f>
        <v/>
      </c>
      <c r="NN9" s="52">
        <f>NN8*NN7</f>
        <v/>
      </c>
      <c r="NO9" s="52">
        <f>NO8*NO7</f>
        <v/>
      </c>
      <c r="NP9" s="139" t="n"/>
      <c r="NQ9" s="52">
        <f>NQ8*NQ7</f>
        <v/>
      </c>
      <c r="NR9" s="52">
        <f>NR8*NR7</f>
        <v/>
      </c>
      <c r="NS9" s="52">
        <f>NS8*NS7</f>
        <v/>
      </c>
      <c r="NT9" s="52">
        <f>NT8*NT7</f>
        <v/>
      </c>
      <c r="NU9" s="52">
        <f>NU8*NU7</f>
        <v/>
      </c>
      <c r="NV9" s="52">
        <f>NV8*NV7</f>
        <v/>
      </c>
      <c r="NW9" s="52">
        <f>NW8*NW7</f>
        <v/>
      </c>
      <c r="NX9" s="52">
        <f>NX8*NX7</f>
        <v/>
      </c>
      <c r="NY9" s="52">
        <f>NY8*NY7</f>
        <v/>
      </c>
      <c r="NZ9" s="52">
        <f>NZ8*NZ7</f>
        <v/>
      </c>
      <c r="OA9" s="52">
        <f>OA8*OA7</f>
        <v/>
      </c>
      <c r="OB9" s="52">
        <f>OB8*OB7</f>
        <v/>
      </c>
      <c r="OC9" s="52">
        <f>OC8*OC7</f>
        <v/>
      </c>
      <c r="OD9" s="52">
        <f>OD8*OD7</f>
        <v/>
      </c>
      <c r="OE9" s="52">
        <f>OE8*OE7</f>
        <v/>
      </c>
      <c r="OF9" s="52">
        <f>OF8*OF7</f>
        <v/>
      </c>
      <c r="OG9" s="52">
        <f>OG8*OG7</f>
        <v/>
      </c>
      <c r="OH9" s="52">
        <f>OH8*OH7</f>
        <v/>
      </c>
      <c r="OI9" s="52">
        <f>OI8*OI7</f>
        <v/>
      </c>
      <c r="OJ9" s="52">
        <f>OJ8*OJ7</f>
        <v/>
      </c>
      <c r="OK9" s="52">
        <f>OK8*OK7</f>
        <v/>
      </c>
      <c r="OL9" s="52">
        <f>OL8*OL7</f>
        <v/>
      </c>
      <c r="OM9" s="52">
        <f>OM8*OM7</f>
        <v/>
      </c>
      <c r="ON9" s="52">
        <f>ON8*ON7</f>
        <v/>
      </c>
      <c r="OO9" s="52">
        <f>OO8*OO7</f>
        <v/>
      </c>
      <c r="OP9" s="52">
        <f>OP8*OP7</f>
        <v/>
      </c>
      <c r="OQ9" s="52">
        <f>OQ8*OQ7</f>
        <v/>
      </c>
      <c r="OR9" s="52">
        <f>OR8*OR7</f>
        <v/>
      </c>
      <c r="OS9" s="52">
        <f>OS8*OS7</f>
        <v/>
      </c>
      <c r="OT9" s="52">
        <f>OT8*OT7</f>
        <v/>
      </c>
      <c r="OU9" s="52">
        <f>OU8*OU7</f>
        <v/>
      </c>
      <c r="OV9" s="130" t="n"/>
      <c r="OW9" s="52">
        <f>OW8*OW7</f>
        <v/>
      </c>
      <c r="OX9" s="52">
        <f>OX8*OX7</f>
        <v/>
      </c>
      <c r="OY9" s="52">
        <f>OY8*OY7</f>
        <v/>
      </c>
      <c r="OZ9" s="52">
        <f>OZ8*OZ7</f>
        <v/>
      </c>
      <c r="PA9" s="52">
        <f>PA8*PA7</f>
        <v/>
      </c>
      <c r="PB9" s="52">
        <f>PB8*PB7</f>
        <v/>
      </c>
      <c r="PC9" s="52">
        <f>PC8*PC7</f>
        <v/>
      </c>
      <c r="PD9" s="52">
        <f>PD8*PD7</f>
        <v/>
      </c>
      <c r="PE9" s="52">
        <f>PE8*PE7</f>
        <v/>
      </c>
      <c r="PF9" s="52">
        <f>PF8*PF7</f>
        <v/>
      </c>
      <c r="PG9" s="52">
        <f>PG8*PG7</f>
        <v/>
      </c>
      <c r="PH9" s="52">
        <f>PH8*PH7</f>
        <v/>
      </c>
      <c r="PI9" s="52">
        <f>PI8*PI7</f>
        <v/>
      </c>
      <c r="PJ9" s="52">
        <f>PJ8*PJ7</f>
        <v/>
      </c>
      <c r="PK9" s="52">
        <f>PK8*PK7</f>
        <v/>
      </c>
      <c r="PL9" s="52">
        <f>PL8*PL7</f>
        <v/>
      </c>
      <c r="PM9" s="52">
        <f>PM8*PM7</f>
        <v/>
      </c>
      <c r="PN9" s="52">
        <f>PN8*PN7</f>
        <v/>
      </c>
      <c r="PO9" s="52">
        <f>PO8*PO7</f>
        <v/>
      </c>
      <c r="PP9" s="52">
        <f>PP8*PP7</f>
        <v/>
      </c>
      <c r="PQ9" s="52">
        <f>PQ8*PQ7</f>
        <v/>
      </c>
      <c r="PR9" s="52">
        <f>PR8*PR7</f>
        <v/>
      </c>
      <c r="PS9" s="52">
        <f>PS8*PS7</f>
        <v/>
      </c>
      <c r="PT9" s="52">
        <f>PT8*PT7</f>
        <v/>
      </c>
      <c r="PU9" s="52">
        <f>PU8*PU7</f>
        <v/>
      </c>
      <c r="PV9" s="52">
        <f>PV8*PV7</f>
        <v/>
      </c>
      <c r="PW9" s="52">
        <f>PW8*PW7</f>
        <v/>
      </c>
      <c r="PX9" s="52">
        <f>PX8*PX7</f>
        <v/>
      </c>
      <c r="PY9" s="52">
        <f>PY8*PY7</f>
        <v/>
      </c>
      <c r="PZ9" s="52">
        <f>PZ8*PZ7</f>
        <v/>
      </c>
      <c r="QA9" s="130" t="n"/>
      <c r="QB9" s="52">
        <f>QB8*QB7</f>
        <v/>
      </c>
      <c r="QC9" s="52">
        <f>QC8*QC7</f>
        <v/>
      </c>
      <c r="QD9" s="52">
        <f>QD8*QD7</f>
        <v/>
      </c>
      <c r="QE9" s="52">
        <f>QE8*QE7</f>
        <v/>
      </c>
      <c r="QF9" s="52">
        <f>QF8*QF7</f>
        <v/>
      </c>
      <c r="QG9" s="52">
        <f>QG8*QG7</f>
        <v/>
      </c>
      <c r="QH9" s="52">
        <f>QH8*QH7</f>
        <v/>
      </c>
      <c r="QI9" s="52">
        <f>QI8*QI7</f>
        <v/>
      </c>
      <c r="QJ9" s="52">
        <f>QJ8*QJ7</f>
        <v/>
      </c>
      <c r="QK9" s="52">
        <f>QK8*QK7</f>
        <v/>
      </c>
      <c r="QL9" s="52">
        <f>QL8*QL7</f>
        <v/>
      </c>
      <c r="QM9" s="52">
        <f>QM8*QM7</f>
        <v/>
      </c>
      <c r="QN9" s="52">
        <f>QN8*QN7</f>
        <v/>
      </c>
      <c r="QO9" s="52">
        <f>QO8*QO7</f>
        <v/>
      </c>
      <c r="QP9" s="52">
        <f>QP8*QP7</f>
        <v/>
      </c>
      <c r="QQ9" s="52">
        <f>QQ8*QQ7</f>
        <v/>
      </c>
      <c r="QR9" s="52">
        <f>QR8*QR7</f>
        <v/>
      </c>
      <c r="QS9" s="52">
        <f>QS8*QS7</f>
        <v/>
      </c>
      <c r="QT9" s="52">
        <f>QT8*QT7</f>
        <v/>
      </c>
      <c r="QU9" s="52">
        <f>QU8*QU7</f>
        <v/>
      </c>
      <c r="QV9" s="52">
        <f>QV8*QV7</f>
        <v/>
      </c>
      <c r="QW9" s="52">
        <f>QW8*QW7</f>
        <v/>
      </c>
      <c r="QX9" s="52">
        <f>QX8*QX7</f>
        <v/>
      </c>
      <c r="QY9" s="52">
        <f>QY8*QY7</f>
        <v/>
      </c>
      <c r="QZ9" s="52">
        <f>QZ8*QZ7</f>
        <v/>
      </c>
      <c r="RA9" s="52">
        <f>RA8*RA7</f>
        <v/>
      </c>
      <c r="RB9" s="52">
        <f>RB8*RB7</f>
        <v/>
      </c>
      <c r="RC9" s="52">
        <f>RC8*RC7</f>
        <v/>
      </c>
      <c r="RD9" s="52">
        <f>RD8*RD7</f>
        <v/>
      </c>
      <c r="RE9" s="52">
        <f>RE8*RE7</f>
        <v/>
      </c>
      <c r="RF9" s="52">
        <f>RF8*RF7</f>
        <v/>
      </c>
      <c r="RG9" s="130" t="n"/>
      <c r="RH9" s="52">
        <f>RH8*RH7</f>
        <v/>
      </c>
      <c r="RI9" s="52">
        <f>RI8*RI7</f>
        <v/>
      </c>
      <c r="RJ9" s="52">
        <f>RJ8*RJ7</f>
        <v/>
      </c>
      <c r="RK9" s="52">
        <f>RK8*RK7</f>
        <v/>
      </c>
      <c r="RL9" s="52">
        <f>RL8*RL7</f>
        <v/>
      </c>
      <c r="RM9" s="52">
        <f>RM8*RM7</f>
        <v/>
      </c>
      <c r="RN9" s="52">
        <f>RN8*RN7</f>
        <v/>
      </c>
      <c r="RO9" s="52">
        <f>RO8*RO7</f>
        <v/>
      </c>
      <c r="RP9" s="52">
        <f>RP8*RP7</f>
        <v/>
      </c>
      <c r="RQ9" s="52">
        <f>RQ8*RQ7</f>
        <v/>
      </c>
      <c r="RR9" s="52">
        <f>RR8*RR7</f>
        <v/>
      </c>
      <c r="RS9" s="52">
        <f>RS8*RS7</f>
        <v/>
      </c>
      <c r="RT9" s="52">
        <f>RT8*RT7</f>
        <v/>
      </c>
      <c r="RU9" s="52">
        <f>RU8*RU7</f>
        <v/>
      </c>
      <c r="RV9" s="52">
        <f>RV8*RV7</f>
        <v/>
      </c>
      <c r="RW9" s="52">
        <f>RW8*RW7</f>
        <v/>
      </c>
      <c r="RX9" s="52">
        <f>RX8*RX7</f>
        <v/>
      </c>
      <c r="RY9" s="52">
        <f>RY8*RY7</f>
        <v/>
      </c>
      <c r="RZ9" s="52">
        <f>RZ8*RZ7</f>
        <v/>
      </c>
      <c r="SA9" s="52">
        <f>SA8*SA7</f>
        <v/>
      </c>
      <c r="SB9" s="52">
        <f>SB8*SB7</f>
        <v/>
      </c>
      <c r="SC9" s="52">
        <f>SC8*SC7</f>
        <v/>
      </c>
      <c r="SD9" s="52">
        <f>SD8*SD7</f>
        <v/>
      </c>
      <c r="SE9" s="52">
        <f>SE8*SE7</f>
        <v/>
      </c>
      <c r="SF9" s="52">
        <f>SF8*SF7</f>
        <v/>
      </c>
      <c r="SG9" s="52">
        <f>SG8*SG7</f>
        <v/>
      </c>
      <c r="SH9" s="52">
        <f>SH8*SH7</f>
        <v/>
      </c>
      <c r="SI9" s="52">
        <f>SI8*SI7</f>
        <v/>
      </c>
      <c r="SJ9" s="52">
        <f>SJ8*SJ7</f>
        <v/>
      </c>
      <c r="SK9" s="52">
        <f>SK8*SK7</f>
        <v/>
      </c>
      <c r="SL9" s="130" t="n"/>
      <c r="SM9" s="52">
        <f>SM8*SM7</f>
        <v/>
      </c>
      <c r="SN9" s="52">
        <f>SN8*SN7</f>
        <v/>
      </c>
      <c r="SO9" s="52">
        <f>SO8*SO7</f>
        <v/>
      </c>
      <c r="SP9" s="52">
        <f>SP8*SP7</f>
        <v/>
      </c>
      <c r="SQ9" s="52">
        <f>SQ8*SQ7</f>
        <v/>
      </c>
      <c r="SR9" s="52">
        <f>SR8*SR7</f>
        <v/>
      </c>
      <c r="SS9" s="52">
        <f>SS8*SS7</f>
        <v/>
      </c>
      <c r="ST9" s="52">
        <f>ST8*ST7</f>
        <v/>
      </c>
      <c r="SU9" s="52">
        <f>SU8*SU7</f>
        <v/>
      </c>
      <c r="SV9" s="52">
        <f>SV8*SV7</f>
        <v/>
      </c>
      <c r="SW9" s="52">
        <f>SW8*SW7</f>
        <v/>
      </c>
      <c r="SX9" s="52">
        <f>SX8*SX7</f>
        <v/>
      </c>
      <c r="SY9" s="52">
        <f>SY8*SY7</f>
        <v/>
      </c>
      <c r="SZ9" s="52">
        <f>SZ8*SZ7</f>
        <v/>
      </c>
      <c r="TA9" s="52">
        <f>TA8*TA7</f>
        <v/>
      </c>
      <c r="TB9" s="52">
        <f>TB8*TB7</f>
        <v/>
      </c>
      <c r="TC9" s="52">
        <f>TC8*TC7</f>
        <v/>
      </c>
      <c r="TD9" s="52">
        <f>TD8*TD7</f>
        <v/>
      </c>
      <c r="TE9" s="52">
        <f>TE8*TE7</f>
        <v/>
      </c>
      <c r="TF9" s="52">
        <f>TF8*TF7</f>
        <v/>
      </c>
      <c r="TG9" s="52">
        <f>TG8*TG7</f>
        <v/>
      </c>
      <c r="TH9" s="52">
        <f>TH8*TH7</f>
        <v/>
      </c>
      <c r="TI9" s="52">
        <f>TI8*TI7</f>
        <v/>
      </c>
      <c r="TJ9" s="52">
        <f>TJ8*TJ7</f>
        <v/>
      </c>
      <c r="TK9" s="52">
        <f>TK8*TK7</f>
        <v/>
      </c>
      <c r="TL9" s="52">
        <f>TL8*TL7</f>
        <v/>
      </c>
      <c r="TM9" s="52">
        <f>TM8*TM7</f>
        <v/>
      </c>
      <c r="TN9" s="52">
        <f>TN8*TN7</f>
        <v/>
      </c>
      <c r="TO9" s="52">
        <f>TO8*TO7</f>
        <v/>
      </c>
      <c r="TP9" s="52">
        <f>TP8*TP7</f>
        <v/>
      </c>
      <c r="TQ9" s="52">
        <f>TQ8*TQ7</f>
        <v/>
      </c>
      <c r="TR9" s="130" t="n"/>
      <c r="TS9" s="52">
        <f>TS8*TS7</f>
        <v/>
      </c>
      <c r="TT9" s="52">
        <f>TT8*TT7</f>
        <v/>
      </c>
      <c r="TU9" s="52">
        <f>TU8*TU7</f>
        <v/>
      </c>
      <c r="TV9" s="52">
        <f>TV8*TV7</f>
        <v/>
      </c>
      <c r="TW9" s="52">
        <f>TW8*TW7</f>
        <v/>
      </c>
      <c r="TX9" s="52">
        <f>TX8*TX7</f>
        <v/>
      </c>
      <c r="TY9" s="52">
        <f>TY8*TY7</f>
        <v/>
      </c>
      <c r="TZ9" s="52">
        <f>TZ8*TZ7</f>
        <v/>
      </c>
      <c r="UA9" s="52">
        <f>UA8*UA7</f>
        <v/>
      </c>
      <c r="UB9" s="52">
        <f>UB8*UB7</f>
        <v/>
      </c>
      <c r="UC9" s="52">
        <f>UC8*UC7</f>
        <v/>
      </c>
      <c r="UD9" s="52">
        <f>UD8*UD7</f>
        <v/>
      </c>
      <c r="UE9" s="52">
        <f>UE8*UE7</f>
        <v/>
      </c>
      <c r="UF9" s="52">
        <f>UF8*UF7</f>
        <v/>
      </c>
      <c r="UG9" s="52">
        <f>UG8*UG7</f>
        <v/>
      </c>
      <c r="UH9" s="52">
        <f>UH8*UH7</f>
        <v/>
      </c>
      <c r="UI9" s="52">
        <f>UI8*UI7</f>
        <v/>
      </c>
      <c r="UJ9" s="52">
        <f>UJ8*UJ7</f>
        <v/>
      </c>
      <c r="UK9" s="52">
        <f>UK8*UK7</f>
        <v/>
      </c>
      <c r="UL9" s="52">
        <f>UL8*UL7</f>
        <v/>
      </c>
      <c r="UM9" s="52">
        <f>UM8*UM7</f>
        <v/>
      </c>
      <c r="UN9" s="52">
        <f>UN8*UN7</f>
        <v/>
      </c>
      <c r="UO9" s="52">
        <f>UO8*UO7</f>
        <v/>
      </c>
      <c r="UP9" s="52">
        <f>UP8*UP7</f>
        <v/>
      </c>
      <c r="UQ9" s="52">
        <f>UQ8*UQ7</f>
        <v/>
      </c>
      <c r="UR9" s="52">
        <f>UR8*UR7</f>
        <v/>
      </c>
      <c r="US9" s="52">
        <f>US8*US7</f>
        <v/>
      </c>
      <c r="UT9" s="52">
        <f>UT8*UT7</f>
        <v/>
      </c>
      <c r="UU9" s="52">
        <f>UU8*UU7</f>
        <v/>
      </c>
      <c r="UV9" s="52">
        <f>UV8*UV7</f>
        <v/>
      </c>
      <c r="UW9" s="52">
        <f>UW8*UW7</f>
        <v/>
      </c>
      <c r="UX9" s="130" t="n"/>
      <c r="UY9" s="52">
        <f>UY8*UY7</f>
        <v/>
      </c>
      <c r="UZ9" s="52">
        <f>UZ8*UZ7</f>
        <v/>
      </c>
      <c r="VA9" s="52">
        <f>VA8*VA7</f>
        <v/>
      </c>
      <c r="VB9" s="52">
        <f>VB8*VB7</f>
        <v/>
      </c>
      <c r="VC9" s="52">
        <f>VC8*VC7</f>
        <v/>
      </c>
      <c r="VD9" s="52">
        <f>VD8*VD7</f>
        <v/>
      </c>
      <c r="VE9" s="52">
        <f>VE8*VE7</f>
        <v/>
      </c>
      <c r="VF9" s="52">
        <f>VF8*VF7</f>
        <v/>
      </c>
      <c r="VG9" s="52">
        <f>VG8*VG7</f>
        <v/>
      </c>
      <c r="VH9" s="52">
        <f>VH8*VH7</f>
        <v/>
      </c>
      <c r="VI9" s="52">
        <f>VI8*VI7</f>
        <v/>
      </c>
      <c r="VJ9" s="52">
        <f>VJ8*VJ7</f>
        <v/>
      </c>
      <c r="VK9" s="52">
        <f>VK8*VK7</f>
        <v/>
      </c>
      <c r="VL9" s="52">
        <f>VL8*VL7</f>
        <v/>
      </c>
      <c r="VM9" s="52">
        <f>VM8*VM7</f>
        <v/>
      </c>
      <c r="VN9" s="52">
        <f>VN8*VN7</f>
        <v/>
      </c>
      <c r="VO9" s="52">
        <f>VO8*VO7</f>
        <v/>
      </c>
      <c r="VP9" s="52">
        <f>VP8*VP7</f>
        <v/>
      </c>
      <c r="VQ9" s="52">
        <f>VQ8*VQ7</f>
        <v/>
      </c>
      <c r="VR9" s="52">
        <f>VR8*VR7</f>
        <v/>
      </c>
      <c r="VS9" s="52">
        <f>VS8*VS7</f>
        <v/>
      </c>
      <c r="VT9" s="52">
        <f>VT8*VT7</f>
        <v/>
      </c>
      <c r="VU9" s="52">
        <f>VU8*VU7</f>
        <v/>
      </c>
      <c r="VV9" s="52">
        <f>VV8*VV7</f>
        <v/>
      </c>
      <c r="VW9" s="52">
        <f>VW8*VW7</f>
        <v/>
      </c>
      <c r="VX9" s="52">
        <f>VX8*VX7</f>
        <v/>
      </c>
      <c r="VY9" s="52">
        <f>VY8*VY7</f>
        <v/>
      </c>
      <c r="VZ9" s="52">
        <f>VZ8*VZ7</f>
        <v/>
      </c>
      <c r="WA9" s="139" t="n"/>
      <c r="WB9" s="52">
        <f>WB8*WB7</f>
        <v/>
      </c>
      <c r="WC9" s="52">
        <f>WC8*WC7</f>
        <v/>
      </c>
      <c r="WD9" s="52">
        <f>WD8*WD7</f>
        <v/>
      </c>
      <c r="WE9" s="52">
        <f>WE8*WE7</f>
        <v/>
      </c>
      <c r="WF9" s="52">
        <f>WF8*WF7</f>
        <v/>
      </c>
      <c r="WG9" s="52">
        <f>WG8*WG7</f>
        <v/>
      </c>
      <c r="WH9" s="52">
        <f>WH8*WH7</f>
        <v/>
      </c>
      <c r="WI9" s="52">
        <f>WI8*WI7</f>
        <v/>
      </c>
      <c r="WJ9" s="52">
        <f>WJ8*WJ7</f>
        <v/>
      </c>
      <c r="WK9" s="52">
        <f>WK8*WK7</f>
        <v/>
      </c>
      <c r="WL9" s="52">
        <f>WL8*WL7</f>
        <v/>
      </c>
      <c r="WM9" s="52">
        <f>WM8*WM7</f>
        <v/>
      </c>
      <c r="WN9" s="52">
        <f>WN8*WN7</f>
        <v/>
      </c>
      <c r="WO9" s="52">
        <f>WO8*WO7</f>
        <v/>
      </c>
      <c r="WP9" s="52">
        <f>WP8*WP7</f>
        <v/>
      </c>
      <c r="WQ9" s="52">
        <f>WQ8*WQ7</f>
        <v/>
      </c>
      <c r="WR9" s="52">
        <f>WR8*WR7</f>
        <v/>
      </c>
      <c r="WS9" s="52">
        <f>WS8*WS7</f>
        <v/>
      </c>
      <c r="WT9" s="52">
        <f>WT8*WT7</f>
        <v/>
      </c>
      <c r="WU9" s="52">
        <f>WU8*WU7</f>
        <v/>
      </c>
      <c r="WV9" s="52">
        <f>WV8*WV7</f>
        <v/>
      </c>
      <c r="WW9" s="52">
        <f>WW8*WW7</f>
        <v/>
      </c>
      <c r="WX9" s="52">
        <f>WX8*WX7</f>
        <v/>
      </c>
      <c r="WY9" s="52">
        <f>WY8*WY7</f>
        <v/>
      </c>
      <c r="WZ9" s="52">
        <f>WZ8*WZ7</f>
        <v/>
      </c>
      <c r="XA9" s="52">
        <f>XA8*XA7</f>
        <v/>
      </c>
      <c r="XB9" s="52">
        <f>XB8*XB7</f>
        <v/>
      </c>
      <c r="XC9" s="52">
        <f>XC8*XC7</f>
        <v/>
      </c>
      <c r="XD9" s="52">
        <f>XD8*XD7</f>
        <v/>
      </c>
      <c r="XE9" s="52">
        <f>XE8*XE7</f>
        <v/>
      </c>
      <c r="XF9" s="52">
        <f>XF8*XF7</f>
        <v/>
      </c>
      <c r="XG9" s="139" t="n"/>
      <c r="XH9" s="52">
        <f>XH8*XH7</f>
        <v/>
      </c>
      <c r="XI9" s="52">
        <f>XI8*XI7</f>
        <v/>
      </c>
      <c r="XJ9" s="52">
        <f>XJ8*XJ7</f>
        <v/>
      </c>
      <c r="XK9" s="52">
        <f>XK8*XK7</f>
        <v/>
      </c>
      <c r="XL9" s="52">
        <f>XL8*XL7</f>
        <v/>
      </c>
      <c r="XM9" s="52">
        <f>XM8*XM7</f>
        <v/>
      </c>
      <c r="XN9" s="52">
        <f>XN8*XN7</f>
        <v/>
      </c>
      <c r="XO9" s="52">
        <f>XO8*XO7</f>
        <v/>
      </c>
      <c r="XP9" s="52">
        <f>XP8*XP7</f>
        <v/>
      </c>
      <c r="XQ9" s="52">
        <f>XQ8*XQ7</f>
        <v/>
      </c>
      <c r="XR9" s="52">
        <f>XR8*XR7</f>
        <v/>
      </c>
      <c r="XS9" s="52">
        <f>XS8*XS7</f>
        <v/>
      </c>
      <c r="XT9" s="52">
        <f>XT8*XT7</f>
        <v/>
      </c>
      <c r="XU9" s="52">
        <f>XU8*XU7</f>
        <v/>
      </c>
      <c r="XV9" s="52">
        <f>XV8*XV7</f>
        <v/>
      </c>
      <c r="XW9" s="52">
        <f>XW8*XW7</f>
        <v/>
      </c>
      <c r="XX9" s="52">
        <f>XX8*XX7</f>
        <v/>
      </c>
      <c r="XY9" s="52">
        <f>XY8*XY7</f>
        <v/>
      </c>
      <c r="XZ9" s="52">
        <f>XZ8*XZ7</f>
        <v/>
      </c>
      <c r="YA9" s="52">
        <f>YA8*YA7</f>
        <v/>
      </c>
      <c r="YB9" s="52">
        <f>YB8*YB7</f>
        <v/>
      </c>
      <c r="YC9" s="52">
        <f>YC8*YC7</f>
        <v/>
      </c>
      <c r="YD9" s="52">
        <f>YD8*YD7</f>
        <v/>
      </c>
      <c r="YE9" s="52">
        <f>YE8*YE7</f>
        <v/>
      </c>
      <c r="YF9" s="52">
        <f>YF8*YF7</f>
        <v/>
      </c>
      <c r="YG9" s="52">
        <f>YG8*YG7</f>
        <v/>
      </c>
      <c r="YH9" s="52">
        <f>YH8*YH7</f>
        <v/>
      </c>
      <c r="YI9" s="52">
        <f>YI8*YI7</f>
        <v/>
      </c>
      <c r="YJ9" s="52">
        <f>YJ8*YJ7</f>
        <v/>
      </c>
      <c r="YK9" s="52">
        <f>YK8*YK7</f>
        <v/>
      </c>
      <c r="YL9" s="130" t="n"/>
      <c r="YM9" s="52">
        <f>YM8*YM7</f>
        <v/>
      </c>
      <c r="YN9" s="52">
        <f>YN8*YN7</f>
        <v/>
      </c>
      <c r="YO9" s="52">
        <f>YO8*YO7</f>
        <v/>
      </c>
      <c r="YP9" s="52">
        <f>YP8*YP7</f>
        <v/>
      </c>
      <c r="YQ9" s="52">
        <f>YQ8*YQ7</f>
        <v/>
      </c>
      <c r="YR9" s="52">
        <f>YR8*YR7</f>
        <v/>
      </c>
      <c r="YS9" s="52">
        <f>YS8*YS7</f>
        <v/>
      </c>
      <c r="YT9" s="52">
        <f>YT8*YT7</f>
        <v/>
      </c>
      <c r="YU9" s="52">
        <f>YU8*YU7</f>
        <v/>
      </c>
      <c r="YV9" s="52">
        <f>YV8*YV7</f>
        <v/>
      </c>
      <c r="YW9" s="52">
        <f>YW8*YW7</f>
        <v/>
      </c>
      <c r="YX9" s="52">
        <f>YX8*YX7</f>
        <v/>
      </c>
      <c r="YY9" s="52">
        <f>YY8*YY7</f>
        <v/>
      </c>
      <c r="YZ9" s="52">
        <f>YZ8*YZ7</f>
        <v/>
      </c>
      <c r="ZA9" s="52">
        <f>ZA8*ZA7</f>
        <v/>
      </c>
      <c r="ZB9" s="52">
        <f>ZB8*ZB7</f>
        <v/>
      </c>
      <c r="ZC9" s="52">
        <f>ZC8*ZC7</f>
        <v/>
      </c>
      <c r="ZD9" s="52">
        <f>ZD8*ZD7</f>
        <v/>
      </c>
      <c r="ZE9" s="52">
        <f>ZE8*ZE7</f>
        <v/>
      </c>
      <c r="ZF9" s="52">
        <f>ZF8*ZF7</f>
        <v/>
      </c>
      <c r="ZG9" s="52">
        <f>ZG8*ZG7</f>
        <v/>
      </c>
      <c r="ZH9" s="52">
        <f>ZH8*ZH7</f>
        <v/>
      </c>
      <c r="ZI9" s="52">
        <f>ZI8*ZI7</f>
        <v/>
      </c>
      <c r="ZJ9" s="52">
        <f>ZJ8*ZJ7</f>
        <v/>
      </c>
      <c r="ZK9" s="52">
        <f>ZK8*ZK7</f>
        <v/>
      </c>
      <c r="ZL9" s="52">
        <f>ZL8*ZL7</f>
        <v/>
      </c>
      <c r="ZM9" s="52">
        <f>ZM8*ZM7</f>
        <v/>
      </c>
      <c r="ZN9" s="52">
        <f>ZN8*ZN7</f>
        <v/>
      </c>
      <c r="ZO9" s="52">
        <f>ZO8*ZO7</f>
        <v/>
      </c>
      <c r="ZP9" s="52">
        <f>ZP8*ZP7</f>
        <v/>
      </c>
      <c r="ZQ9" s="52">
        <f>ZQ8*ZQ7</f>
        <v/>
      </c>
      <c r="ZR9" s="130" t="n"/>
      <c r="ZS9" s="52">
        <f>ZS8*ZS7</f>
        <v/>
      </c>
      <c r="ZT9" s="52">
        <f>ZT8*ZT7</f>
        <v/>
      </c>
      <c r="ZU9" s="52">
        <f>ZU8*ZU7</f>
        <v/>
      </c>
      <c r="ZV9" s="52">
        <f>ZV8*ZV7</f>
        <v/>
      </c>
      <c r="ZW9" s="52">
        <f>ZW8*ZW7</f>
        <v/>
      </c>
      <c r="ZX9" s="52">
        <f>ZX8*ZX7</f>
        <v/>
      </c>
      <c r="ZY9" s="52">
        <f>ZY8*ZY7</f>
        <v/>
      </c>
      <c r="ZZ9" s="52">
        <f>ZZ8*ZZ7</f>
        <v/>
      </c>
      <c r="AAA9" s="52">
        <f>AAA8*AAA7</f>
        <v/>
      </c>
      <c r="AAB9" s="52">
        <f>AAB8*AAB7</f>
        <v/>
      </c>
      <c r="AAC9" s="52">
        <f>AAC8*AAC7</f>
        <v/>
      </c>
      <c r="AAD9" s="52">
        <f>AAD8*AAD7</f>
        <v/>
      </c>
      <c r="AAE9" s="52">
        <f>AAE8*AAE7</f>
        <v/>
      </c>
      <c r="AAF9" s="52">
        <f>AAF8*AAF7</f>
        <v/>
      </c>
      <c r="AAG9" s="52">
        <f>AAG8*AAG7</f>
        <v/>
      </c>
      <c r="AAH9" s="52">
        <f>AAH8*AAH7</f>
        <v/>
      </c>
      <c r="AAI9" s="52">
        <f>AAI8*AAI7</f>
        <v/>
      </c>
      <c r="AAJ9" s="52">
        <f>AAJ8*AAJ7</f>
        <v/>
      </c>
      <c r="AAK9" s="52">
        <f>AAK8*AAK7</f>
        <v/>
      </c>
      <c r="AAL9" s="52">
        <f>AAL8*AAL7</f>
        <v/>
      </c>
      <c r="AAM9" s="52">
        <f>AAM8*AAM7</f>
        <v/>
      </c>
      <c r="AAN9" s="52">
        <f>AAN8*AAN7</f>
        <v/>
      </c>
      <c r="AAO9" s="52">
        <f>AAO8*AAO7</f>
        <v/>
      </c>
      <c r="AAP9" s="52">
        <f>AAP8*AAP7</f>
        <v/>
      </c>
      <c r="AAQ9" s="52">
        <f>AAQ8*AAQ7</f>
        <v/>
      </c>
      <c r="AAR9" s="52">
        <f>AAR8*AAR7</f>
        <v/>
      </c>
      <c r="AAS9" s="52">
        <f>AAS8*AAS7</f>
        <v/>
      </c>
      <c r="AAT9" s="52">
        <f>AAT8*AAT7</f>
        <v/>
      </c>
      <c r="AAU9" s="52">
        <f>AAU8*AAU7</f>
        <v/>
      </c>
      <c r="AAV9" s="52">
        <f>AAV8*AAV7</f>
        <v/>
      </c>
      <c r="AAW9" s="130" t="n"/>
      <c r="AAX9" s="52">
        <f>AAX8*AAX7</f>
        <v/>
      </c>
      <c r="AAY9" s="52">
        <f>AAY8*AAY7</f>
        <v/>
      </c>
      <c r="AAZ9" s="52">
        <f>AAZ8*AAZ7</f>
        <v/>
      </c>
      <c r="ABA9" s="52">
        <f>ABA8*ABA7</f>
        <v/>
      </c>
      <c r="ABB9" s="52">
        <f>ABB8*ABB7</f>
        <v/>
      </c>
      <c r="ABC9" s="52">
        <f>ABC8*ABC7</f>
        <v/>
      </c>
      <c r="ABD9" s="52">
        <f>ABD8*ABD7</f>
        <v/>
      </c>
      <c r="ABE9" s="52">
        <f>ABE8*ABE7</f>
        <v/>
      </c>
      <c r="ABF9" s="52">
        <f>ABF8*ABF7</f>
        <v/>
      </c>
      <c r="ABG9" s="52">
        <f>ABG8*ABG7</f>
        <v/>
      </c>
      <c r="ABH9" s="52">
        <f>ABH8*ABH7</f>
        <v/>
      </c>
      <c r="ABI9" s="52">
        <f>ABI8*ABI7</f>
        <v/>
      </c>
      <c r="ABJ9" s="52">
        <f>ABJ8*ABJ7</f>
        <v/>
      </c>
      <c r="ABK9" s="52">
        <f>ABK8*ABK7</f>
        <v/>
      </c>
      <c r="ABL9" s="52">
        <f>ABL8*ABL7</f>
        <v/>
      </c>
      <c r="ABM9" s="52">
        <f>ABM8*ABM7</f>
        <v/>
      </c>
      <c r="ABN9" s="52">
        <f>ABN8*ABN7</f>
        <v/>
      </c>
      <c r="ABO9" s="52">
        <f>ABO8*ABO7</f>
        <v/>
      </c>
      <c r="ABP9" s="52">
        <f>ABP8*ABP7</f>
        <v/>
      </c>
      <c r="ABQ9" s="52">
        <f>ABQ8*ABQ7</f>
        <v/>
      </c>
      <c r="ABR9" s="52">
        <f>ABR8*ABR7</f>
        <v/>
      </c>
      <c r="ABS9" s="52">
        <f>ABS8*ABS7</f>
        <v/>
      </c>
      <c r="ABT9" s="52">
        <f>ABT8*ABT7</f>
        <v/>
      </c>
      <c r="ABU9" s="52">
        <f>ABU8*ABU7</f>
        <v/>
      </c>
      <c r="ABV9" s="52">
        <f>ABV8*ABV7</f>
        <v/>
      </c>
      <c r="ABW9" s="52">
        <f>ABW8*ABW7</f>
        <v/>
      </c>
      <c r="ABX9" s="52">
        <f>ABX8*ABX7</f>
        <v/>
      </c>
      <c r="ABY9" s="52">
        <f>ABY8*ABY7</f>
        <v/>
      </c>
      <c r="ABZ9" s="52">
        <f>ABZ8*ABZ7</f>
        <v/>
      </c>
      <c r="ACA9" s="52">
        <f>ACA8*ACA7</f>
        <v/>
      </c>
      <c r="ACB9" s="52">
        <f>ACB8*ACB7</f>
        <v/>
      </c>
      <c r="ACC9" s="130" t="n"/>
      <c r="ACD9" s="52">
        <f>ACD8*ACD7</f>
        <v/>
      </c>
      <c r="ACE9" s="52">
        <f>ACE8*ACE7</f>
        <v/>
      </c>
      <c r="ACF9" s="52">
        <f>ACF8*ACF7</f>
        <v/>
      </c>
      <c r="ACG9" s="52">
        <f>ACG8*ACG7</f>
        <v/>
      </c>
      <c r="ACH9" s="52">
        <f>ACH8*ACH7</f>
        <v/>
      </c>
      <c r="ACI9" s="52">
        <f>ACI8*ACI7</f>
        <v/>
      </c>
      <c r="ACJ9" s="52">
        <f>ACJ8*ACJ7</f>
        <v/>
      </c>
      <c r="ACK9" s="52">
        <f>ACK8*ACK7</f>
        <v/>
      </c>
      <c r="ACL9" s="52">
        <f>ACL8*ACL7</f>
        <v/>
      </c>
      <c r="ACM9" s="52">
        <f>ACM8*ACM7</f>
        <v/>
      </c>
      <c r="ACN9" s="52">
        <f>ACN8*ACN7</f>
        <v/>
      </c>
      <c r="ACO9" s="52">
        <f>ACO8*ACO7</f>
        <v/>
      </c>
      <c r="ACP9" s="52">
        <f>ACP8*ACP7</f>
        <v/>
      </c>
      <c r="ACQ9" s="52">
        <f>ACQ8*ACQ7</f>
        <v/>
      </c>
      <c r="ACR9" s="52">
        <f>ACR8*ACR7</f>
        <v/>
      </c>
      <c r="ACS9" s="52">
        <f>ACS8*ACS7</f>
        <v/>
      </c>
      <c r="ACT9" s="52">
        <f>ACT8*ACT7</f>
        <v/>
      </c>
      <c r="ACU9" s="52">
        <f>ACU8*ACU7</f>
        <v/>
      </c>
      <c r="ACV9" s="52">
        <f>ACV8*ACV7</f>
        <v/>
      </c>
      <c r="ACW9" s="52">
        <f>ACW8*ACW7</f>
        <v/>
      </c>
      <c r="ACX9" s="52">
        <f>ACX8*ACX7</f>
        <v/>
      </c>
      <c r="ACY9" s="52">
        <f>ACY8*ACY7</f>
        <v/>
      </c>
      <c r="ACZ9" s="52">
        <f>ACZ8*ACZ7</f>
        <v/>
      </c>
      <c r="ADA9" s="52">
        <f>ADA8*ADA7</f>
        <v/>
      </c>
      <c r="ADB9" s="52">
        <f>ADB8*ADB7</f>
        <v/>
      </c>
      <c r="ADC9" s="52">
        <f>ADC8*ADC7</f>
        <v/>
      </c>
      <c r="ADD9" s="52">
        <f>ADD8*ADD7</f>
        <v/>
      </c>
      <c r="ADE9" s="52">
        <f>ADE8*ADE7</f>
        <v/>
      </c>
      <c r="ADF9" s="52">
        <f>ADF8*ADF7</f>
        <v/>
      </c>
      <c r="ADG9" s="52">
        <f>ADG8*ADG7</f>
        <v/>
      </c>
      <c r="ADH9" s="52">
        <f>ADH8*ADH7</f>
        <v/>
      </c>
      <c r="ADI9" s="130" t="n"/>
      <c r="ADJ9" s="52">
        <f>ADJ8*ADJ7</f>
        <v/>
      </c>
      <c r="ADK9" s="52">
        <f>ADK8*ADK7</f>
        <v/>
      </c>
      <c r="ADL9" s="52">
        <f>ADL8*ADL7</f>
        <v/>
      </c>
      <c r="ADM9" s="52">
        <f>ADM8*ADM7</f>
        <v/>
      </c>
      <c r="ADN9" s="52">
        <f>ADN8*ADN7</f>
        <v/>
      </c>
      <c r="ADO9" s="52">
        <f>ADO8*ADO7</f>
        <v/>
      </c>
      <c r="ADP9" s="52">
        <f>ADP8*ADP7</f>
        <v/>
      </c>
      <c r="ADQ9" s="52">
        <f>ADQ8*ADQ7</f>
        <v/>
      </c>
      <c r="ADR9" s="52">
        <f>ADR8*ADR7</f>
        <v/>
      </c>
      <c r="ADS9" s="52">
        <f>ADS8*ADS7</f>
        <v/>
      </c>
      <c r="ADT9" s="52">
        <f>ADT8*ADT7</f>
        <v/>
      </c>
      <c r="ADU9" s="52">
        <f>ADU8*ADU7</f>
        <v/>
      </c>
      <c r="ADV9" s="52">
        <f>ADV8*ADV7</f>
        <v/>
      </c>
      <c r="ADW9" s="52">
        <f>ADW8*ADW7</f>
        <v/>
      </c>
      <c r="ADX9" s="52">
        <f>ADX8*ADX7</f>
        <v/>
      </c>
      <c r="ADY9" s="52">
        <f>ADY8*ADY7</f>
        <v/>
      </c>
      <c r="ADZ9" s="52">
        <f>ADZ8*ADZ7</f>
        <v/>
      </c>
      <c r="AEA9" s="52">
        <f>AEA8*AEA7</f>
        <v/>
      </c>
      <c r="AEB9" s="52">
        <f>AEB8*AEB7</f>
        <v/>
      </c>
      <c r="AEC9" s="52">
        <f>AEC8*AEC7</f>
        <v/>
      </c>
      <c r="AED9" s="52">
        <f>AED8*AED7</f>
        <v/>
      </c>
      <c r="AEE9" s="52">
        <f>AEE8*AEE7</f>
        <v/>
      </c>
      <c r="AEF9" s="52">
        <f>AEF8*AEF7</f>
        <v/>
      </c>
      <c r="AEG9" s="52">
        <f>AEG8*AEG7</f>
        <v/>
      </c>
      <c r="AEH9" s="52">
        <f>AEH8*AEH7</f>
        <v/>
      </c>
      <c r="AEI9" s="52">
        <f>AEI8*AEI7</f>
        <v/>
      </c>
      <c r="AEJ9" s="52">
        <f>AEJ8*AEJ7</f>
        <v/>
      </c>
      <c r="AEK9" s="52">
        <f>AEK8*AEK7</f>
        <v/>
      </c>
      <c r="AEL9" s="52">
        <f>AEL8*AEL7</f>
        <v/>
      </c>
      <c r="AEM9" s="52">
        <f>AEM8*AEM7</f>
        <v/>
      </c>
      <c r="AEN9" s="130" t="n"/>
      <c r="AEO9" s="52">
        <f>AEO8*AEO7</f>
        <v/>
      </c>
      <c r="AEP9" s="52">
        <f>AEP8*AEP7</f>
        <v/>
      </c>
      <c r="AEQ9" s="52">
        <f>AEQ8*AEQ7</f>
        <v/>
      </c>
      <c r="AER9" s="52">
        <f>AER8*AER7</f>
        <v/>
      </c>
      <c r="AES9" s="52">
        <f>AES8*AES7</f>
        <v/>
      </c>
      <c r="AET9" s="52">
        <f>AET8*AET7</f>
        <v/>
      </c>
      <c r="AEU9" s="52">
        <f>AEU8*AEU7</f>
        <v/>
      </c>
      <c r="AEV9" s="52">
        <f>AEV8*AEV7</f>
        <v/>
      </c>
      <c r="AEW9" s="52">
        <f>AEW8*AEW7</f>
        <v/>
      </c>
      <c r="AEX9" s="52">
        <f>AEX8*AEX7</f>
        <v/>
      </c>
      <c r="AEY9" s="52">
        <f>AEY8*AEY7</f>
        <v/>
      </c>
      <c r="AEZ9" s="52">
        <f>AEZ8*AEZ7</f>
        <v/>
      </c>
      <c r="AFA9" s="52">
        <f>AFA8*AFA7</f>
        <v/>
      </c>
      <c r="AFB9" s="52">
        <f>AFB8*AFB7</f>
        <v/>
      </c>
      <c r="AFC9" s="52">
        <f>AFC8*AFC7</f>
        <v/>
      </c>
      <c r="AFD9" s="52">
        <f>AFD8*AFD7</f>
        <v/>
      </c>
      <c r="AFE9" s="52">
        <f>AFE8*AFE7</f>
        <v/>
      </c>
      <c r="AFF9" s="52">
        <f>AFF8*AFF7</f>
        <v/>
      </c>
      <c r="AFG9" s="52">
        <f>AFG8*AFG7</f>
        <v/>
      </c>
      <c r="AFH9" s="52">
        <f>AFH8*AFH7</f>
        <v/>
      </c>
      <c r="AFI9" s="52">
        <f>AFI8*AFI7</f>
        <v/>
      </c>
      <c r="AFJ9" s="52">
        <f>AFJ8*AFJ7</f>
        <v/>
      </c>
      <c r="AFK9" s="52">
        <f>AFK8*AFK7</f>
        <v/>
      </c>
      <c r="AFL9" s="52">
        <f>AFL8*AFL7</f>
        <v/>
      </c>
      <c r="AFM9" s="52">
        <f>AFM8*AFM7</f>
        <v/>
      </c>
      <c r="AFN9" s="52">
        <f>AFN8*AFN7</f>
        <v/>
      </c>
      <c r="AFO9" s="52">
        <f>AFO8*AFO7</f>
        <v/>
      </c>
      <c r="AFP9" s="52">
        <f>AFP8*AFP7</f>
        <v/>
      </c>
      <c r="AFQ9" s="52">
        <f>AFQ8*AFQ7</f>
        <v/>
      </c>
      <c r="AFR9" s="52">
        <f>AFR8*AFR7</f>
        <v/>
      </c>
      <c r="AFS9" s="52">
        <f>AFS8*AFS7</f>
        <v/>
      </c>
      <c r="AFT9" s="130" t="n"/>
      <c r="AFU9" s="52">
        <f>AFU8*AFU7</f>
        <v/>
      </c>
      <c r="AFV9" s="52">
        <f>AFV8*AFV7</f>
        <v/>
      </c>
      <c r="AFW9" s="52">
        <f>AFW8*AFW7</f>
        <v/>
      </c>
      <c r="AFX9" s="52">
        <f>AFX8*AFX7</f>
        <v/>
      </c>
      <c r="AFY9" s="52">
        <f>AFY8*AFY7</f>
        <v/>
      </c>
      <c r="AFZ9" s="52">
        <f>AFZ8*AFZ7</f>
        <v/>
      </c>
      <c r="AGA9" s="52">
        <f>AGA8*AGA7</f>
        <v/>
      </c>
      <c r="AGB9" s="52">
        <f>AGB8*AGB7</f>
        <v/>
      </c>
      <c r="AGC9" s="52">
        <f>AGC8*AGC7</f>
        <v/>
      </c>
      <c r="AGD9" s="52">
        <f>AGD8*AGD7</f>
        <v/>
      </c>
      <c r="AGE9" s="52">
        <f>AGE8*AGE7</f>
        <v/>
      </c>
      <c r="AGF9" s="52">
        <f>AGF8*AGF7</f>
        <v/>
      </c>
      <c r="AGG9" s="52">
        <f>AGG8*AGG7</f>
        <v/>
      </c>
      <c r="AGH9" s="52">
        <f>AGH8*AGH7</f>
        <v/>
      </c>
      <c r="AGI9" s="52">
        <f>AGI8*AGI7</f>
        <v/>
      </c>
      <c r="AGJ9" s="52">
        <f>AGJ8*AGJ7</f>
        <v/>
      </c>
      <c r="AGK9" s="52">
        <f>AGK8*AGK7</f>
        <v/>
      </c>
      <c r="AGL9" s="52">
        <f>AGL8*AGL7</f>
        <v/>
      </c>
      <c r="AGM9" s="52">
        <f>AGM8*AGM7</f>
        <v/>
      </c>
      <c r="AGN9" s="52">
        <f>AGN8*AGN7</f>
        <v/>
      </c>
      <c r="AGO9" s="52">
        <f>AGO8*AGO7</f>
        <v/>
      </c>
      <c r="AGP9" s="52">
        <f>AGP8*AGP7</f>
        <v/>
      </c>
      <c r="AGQ9" s="52">
        <f>AGQ8*AGQ7</f>
        <v/>
      </c>
      <c r="AGR9" s="52">
        <f>AGR8*AGR7</f>
        <v/>
      </c>
      <c r="AGS9" s="52">
        <f>AGS8*AGS7</f>
        <v/>
      </c>
      <c r="AGT9" s="52">
        <f>AGT8*AGT7</f>
        <v/>
      </c>
      <c r="AGU9" s="52">
        <f>AGU8*AGU7</f>
        <v/>
      </c>
      <c r="AGV9" s="52">
        <f>AGV8*AGV7</f>
        <v/>
      </c>
      <c r="AGW9" s="52">
        <f>AGW8*AGW7</f>
        <v/>
      </c>
      <c r="AGX9" s="52">
        <f>AGX8*AGX7</f>
        <v/>
      </c>
      <c r="AGY9" s="139" t="n"/>
      <c r="AGZ9" s="52">
        <f>AGZ8*AGZ7</f>
        <v/>
      </c>
      <c r="AHA9" s="52">
        <f>AHA8*AHA7</f>
        <v/>
      </c>
      <c r="AHB9" s="52">
        <f>AHB8*AHB7</f>
        <v/>
      </c>
      <c r="AHC9" s="52">
        <f>AHC8*AHC7</f>
        <v/>
      </c>
      <c r="AHD9" s="52">
        <f>AHD8*AHD7</f>
        <v/>
      </c>
      <c r="AHE9" s="52">
        <f>AHE8*AHE7</f>
        <v/>
      </c>
      <c r="AHF9" s="52">
        <f>AHF8*AHF7</f>
        <v/>
      </c>
      <c r="AHG9" s="52">
        <f>AHG8*AHG7</f>
        <v/>
      </c>
      <c r="AHH9" s="52">
        <f>AHH8*AHH7</f>
        <v/>
      </c>
      <c r="AHI9" s="52">
        <f>AHI8*AHI7</f>
        <v/>
      </c>
      <c r="AHJ9" s="52">
        <f>AHJ8*AHJ7</f>
        <v/>
      </c>
      <c r="AHK9" s="52">
        <f>AHK8*AHK7</f>
        <v/>
      </c>
      <c r="AHL9" s="52">
        <f>AHL8*AHL7</f>
        <v/>
      </c>
      <c r="AHM9" s="52">
        <f>AHM8*AHM7</f>
        <v/>
      </c>
      <c r="AHN9" s="52">
        <f>AHN8*AHN7</f>
        <v/>
      </c>
      <c r="AHO9" s="52">
        <f>AHO8*AHO7</f>
        <v/>
      </c>
      <c r="AHP9" s="52">
        <f>AHP8*AHP7</f>
        <v/>
      </c>
      <c r="AHQ9" s="52">
        <f>AHQ8*AHQ7</f>
        <v/>
      </c>
      <c r="AHR9" s="52">
        <f>AHR8*AHR7</f>
        <v/>
      </c>
      <c r="AHS9" s="52">
        <f>AHS8*AHS7</f>
        <v/>
      </c>
      <c r="AHT9" s="52">
        <f>AHT8*AHT7</f>
        <v/>
      </c>
      <c r="AHU9" s="52">
        <f>AHU8*AHU7</f>
        <v/>
      </c>
      <c r="AHV9" s="52">
        <f>AHV8*AHV7</f>
        <v/>
      </c>
      <c r="AHW9" s="52">
        <f>AHW8*AHW7</f>
        <v/>
      </c>
      <c r="AHX9" s="52">
        <f>AHX8*AHX7</f>
        <v/>
      </c>
      <c r="AHY9" s="52">
        <f>AHY8*AHY7</f>
        <v/>
      </c>
      <c r="AHZ9" s="52">
        <f>AHZ8*AHZ7</f>
        <v/>
      </c>
      <c r="AIA9" s="52">
        <f>AIA8*AIA7</f>
        <v/>
      </c>
      <c r="AIB9" s="52">
        <f>AIB8*AIB7</f>
        <v/>
      </c>
      <c r="AIC9" s="52">
        <f>AIC8*AIC7</f>
        <v/>
      </c>
      <c r="AID9" s="52">
        <f>AID8*AID7</f>
        <v/>
      </c>
      <c r="AIE9" s="130" t="n"/>
      <c r="AIF9" s="52">
        <f>AIF8*AIF7</f>
        <v/>
      </c>
      <c r="AIG9" s="52">
        <f>AIG8*AIG7</f>
        <v/>
      </c>
      <c r="AIH9" s="52">
        <f>AIH8*AIH7</f>
        <v/>
      </c>
      <c r="AII9" s="52">
        <f>AII8*AII7</f>
        <v/>
      </c>
      <c r="AIJ9" s="52">
        <f>AIJ8*AIJ7</f>
        <v/>
      </c>
      <c r="AIK9" s="52">
        <f>AIK8*AIK7</f>
        <v/>
      </c>
      <c r="AIL9" s="52">
        <f>AIL8*AIL7</f>
        <v/>
      </c>
      <c r="AIM9" s="52">
        <f>AIM8*AIM7</f>
        <v/>
      </c>
      <c r="AIN9" s="52">
        <f>AIN8*AIN7</f>
        <v/>
      </c>
      <c r="AIO9" s="52">
        <f>AIO8*AIO7</f>
        <v/>
      </c>
      <c r="AIP9" s="52">
        <f>AIP8*AIP7</f>
        <v/>
      </c>
      <c r="AIQ9" s="52">
        <f>AIQ8*AIQ7</f>
        <v/>
      </c>
      <c r="AIR9" s="52">
        <f>AIR8*AIR7</f>
        <v/>
      </c>
      <c r="AIS9" s="52">
        <f>AIS8*AIS7</f>
        <v/>
      </c>
      <c r="AIT9" s="52">
        <f>AIT8*AIT7</f>
        <v/>
      </c>
      <c r="AIU9" s="52">
        <f>AIU8*AIU7</f>
        <v/>
      </c>
      <c r="AIV9" s="52">
        <f>AIV8*AIV7</f>
        <v/>
      </c>
      <c r="AIW9" s="52">
        <f>AIW8*AIW7</f>
        <v/>
      </c>
      <c r="AIX9" s="52">
        <f>AIX8*AIX7</f>
        <v/>
      </c>
      <c r="AIY9" s="52">
        <f>AIY8*AIY7</f>
        <v/>
      </c>
      <c r="AIZ9" s="52">
        <f>AIZ8*AIZ7</f>
        <v/>
      </c>
      <c r="AJA9" s="52">
        <f>AJA8*AJA7</f>
        <v/>
      </c>
      <c r="AJB9" s="52">
        <f>AJB8*AJB7</f>
        <v/>
      </c>
      <c r="AJC9" s="52">
        <f>AJC8*AJC7</f>
        <v/>
      </c>
      <c r="AJD9" s="52">
        <f>AJD8*AJD7</f>
        <v/>
      </c>
      <c r="AJE9" s="52">
        <f>AJE8*AJE7</f>
        <v/>
      </c>
      <c r="AJF9" s="52">
        <f>AJF8*AJF7</f>
        <v/>
      </c>
      <c r="AJG9" s="52">
        <f>AJG8*AJG7</f>
        <v/>
      </c>
      <c r="AJH9" s="52">
        <f>AJH8*AJH7</f>
        <v/>
      </c>
      <c r="AJI9" s="52">
        <f>AJI8*AJI7</f>
        <v/>
      </c>
      <c r="AJJ9" s="52">
        <f>AJJ8*AJJ7</f>
        <v/>
      </c>
      <c r="AJK9" s="145" t="n"/>
      <c r="AJL9" s="52">
        <f>AJL8*AJL7</f>
        <v/>
      </c>
      <c r="AJM9" s="52">
        <f>AJM8*AJM7</f>
        <v/>
      </c>
      <c r="AJN9" s="52">
        <f>AJN8*AJN7</f>
        <v/>
      </c>
      <c r="AJO9" s="52">
        <f>AJO8*AJO7</f>
        <v/>
      </c>
      <c r="AJP9" s="52">
        <f>AJP8*AJP7</f>
        <v/>
      </c>
      <c r="AJQ9" s="52">
        <f>AJQ8*AJQ7</f>
        <v/>
      </c>
      <c r="AJR9" s="52">
        <f>AJR8*AJR7</f>
        <v/>
      </c>
      <c r="AJS9" s="52">
        <f>AJS8*AJS7</f>
        <v/>
      </c>
      <c r="AJT9" s="52">
        <f>AJT8*AJT7</f>
        <v/>
      </c>
      <c r="AJU9" s="52">
        <f>AJU8*AJU7</f>
        <v/>
      </c>
      <c r="AJV9" s="52">
        <f>AJV8*AJV7</f>
        <v/>
      </c>
      <c r="AJW9" s="52">
        <f>AJW8*AJW7</f>
        <v/>
      </c>
      <c r="AJX9" s="52">
        <f>AJX8*AJX7</f>
        <v/>
      </c>
      <c r="AJY9" s="52">
        <f>AJY8*AJY7</f>
        <v/>
      </c>
      <c r="AJZ9" s="52">
        <f>AJZ8*AJZ7</f>
        <v/>
      </c>
      <c r="AKA9" s="52">
        <f>AKA8*AKA7</f>
        <v/>
      </c>
      <c r="AKB9" s="52">
        <f>AKB8*AKB7</f>
        <v/>
      </c>
      <c r="AKC9" s="52">
        <f>AKC8*AKC7</f>
        <v/>
      </c>
      <c r="AKD9" s="52">
        <f>AKD8*AKD7</f>
        <v/>
      </c>
      <c r="AKE9" s="52">
        <f>AKE8*AKE7</f>
        <v/>
      </c>
      <c r="AKF9" s="52">
        <f>AKF8*AKF7</f>
        <v/>
      </c>
      <c r="AKG9" s="52">
        <f>AKG8*AKG7</f>
        <v/>
      </c>
      <c r="AKH9" s="52">
        <f>AKH8*AKH7</f>
        <v/>
      </c>
      <c r="AKI9" s="52">
        <f>AKI8*AKI7</f>
        <v/>
      </c>
      <c r="AKJ9" s="52">
        <f>AKJ8*AKJ7</f>
        <v/>
      </c>
      <c r="AKK9" s="52">
        <f>AKK8*AKK7</f>
        <v/>
      </c>
      <c r="AKL9" s="52">
        <f>AKL8*AKL7</f>
        <v/>
      </c>
      <c r="AKM9" s="52">
        <f>AKM8*AKM7</f>
        <v/>
      </c>
      <c r="AKN9" s="151" t="n"/>
      <c r="AKO9" s="52">
        <f>AKO8*AKO7</f>
        <v/>
      </c>
      <c r="AKP9" s="52">
        <f>AKP8*AKP7</f>
        <v/>
      </c>
      <c r="AKQ9" s="52">
        <f>AKQ8*AKQ7</f>
        <v/>
      </c>
      <c r="AKR9" s="52">
        <f>AKR8*AKR7</f>
        <v/>
      </c>
      <c r="AKS9" s="52">
        <f>AKS8*AKS7</f>
        <v/>
      </c>
      <c r="AKT9" s="52">
        <f>AKT8*AKT7</f>
        <v/>
      </c>
      <c r="AKU9" s="52">
        <f>AKU8*AKU7</f>
        <v/>
      </c>
      <c r="AKV9" s="52">
        <f>AKV8*AKV7</f>
        <v/>
      </c>
      <c r="AKW9" s="52">
        <f>AKW8*AKW7</f>
        <v/>
      </c>
      <c r="AKX9" s="52">
        <f>AKX8*AKX7</f>
        <v/>
      </c>
      <c r="AKY9" s="52">
        <f>AKY8*AKY7</f>
        <v/>
      </c>
      <c r="AKZ9" s="52">
        <f>AKZ8*AKZ7</f>
        <v/>
      </c>
      <c r="ALA9" s="52">
        <f>ALA8*ALA7</f>
        <v/>
      </c>
      <c r="ALB9" s="52">
        <f>ALB8*ALB7</f>
        <v/>
      </c>
      <c r="ALC9" s="52">
        <f>ALC8*ALC7</f>
        <v/>
      </c>
      <c r="ALD9" s="52">
        <f>ALD8*ALD7</f>
        <v/>
      </c>
      <c r="ALE9" s="52">
        <f>ALE8*ALE7</f>
        <v/>
      </c>
      <c r="ALF9" s="52">
        <f>ALF8*ALF7</f>
        <v/>
      </c>
      <c r="ALG9" s="52">
        <f>ALG8*ALG7</f>
        <v/>
      </c>
      <c r="ALH9" s="52">
        <f>ALH8*ALH7</f>
        <v/>
      </c>
      <c r="ALI9" s="52">
        <f>ALI8*ALI7</f>
        <v/>
      </c>
      <c r="ALJ9" s="52">
        <f>ALJ8*ALJ7</f>
        <v/>
      </c>
      <c r="ALK9" s="52">
        <f>ALK8*ALK7</f>
        <v/>
      </c>
      <c r="ALL9" s="52">
        <f>ALL8*ALL7</f>
        <v/>
      </c>
      <c r="ALM9" s="52">
        <f>ALM8*ALM7</f>
        <v/>
      </c>
      <c r="ALN9" s="52">
        <f>ALN8*ALN7</f>
        <v/>
      </c>
      <c r="ALO9" s="52">
        <f>ALO8*ALO7</f>
        <v/>
      </c>
      <c r="ALP9" s="52">
        <f>ALP8*ALP7</f>
        <v/>
      </c>
      <c r="ALQ9" s="52">
        <f>ALQ8*ALQ7</f>
        <v/>
      </c>
      <c r="ALR9" s="52">
        <f>ALR8*ALR7</f>
        <v/>
      </c>
      <c r="ALS9" s="52">
        <f>ALS8*ALS7</f>
        <v/>
      </c>
      <c r="ALT9" s="130" t="n"/>
      <c r="ALU9" s="52">
        <f>ALU8*ALU7</f>
        <v/>
      </c>
      <c r="ALV9" s="52">
        <f>ALV8*ALV7</f>
        <v/>
      </c>
      <c r="ALW9" s="52">
        <f>ALW8*ALW7</f>
        <v/>
      </c>
      <c r="ALX9" s="52">
        <f>ALX8*ALX7</f>
        <v/>
      </c>
      <c r="ALY9" s="52">
        <f>ALY8*ALY7</f>
        <v/>
      </c>
      <c r="ALZ9" s="52">
        <f>ALZ8*ALZ7</f>
        <v/>
      </c>
      <c r="AMA9" s="52">
        <f>AMA8*AMA7</f>
        <v/>
      </c>
      <c r="AMB9" s="52">
        <f>AMB8*AMB7</f>
        <v/>
      </c>
      <c r="AMC9" s="52">
        <f>AMC8*AMC7</f>
        <v/>
      </c>
      <c r="AMD9" s="52">
        <f>AMD8*AMD7</f>
        <v/>
      </c>
      <c r="AME9" s="52">
        <f>AME8*AME7</f>
        <v/>
      </c>
      <c r="AMF9" s="52">
        <f>AMF8*AMF7</f>
        <v/>
      </c>
      <c r="AMG9" s="52">
        <f>AMG8*AMG7</f>
        <v/>
      </c>
      <c r="AMH9" s="52">
        <f>AMH8*AMH7</f>
        <v/>
      </c>
      <c r="AMI9" s="52">
        <f>AMI8*AMI7</f>
        <v/>
      </c>
      <c r="AMJ9" s="52">
        <f>AMJ8*AMJ7</f>
        <v/>
      </c>
      <c r="AMK9" s="52">
        <f>AMK8*AMK7</f>
        <v/>
      </c>
      <c r="AML9" s="52">
        <f>AML8*AML7</f>
        <v/>
      </c>
      <c r="AMM9" s="52">
        <f>AMM8*AMM7</f>
        <v/>
      </c>
      <c r="AMN9" s="52">
        <f>AMN8*AMN7</f>
        <v/>
      </c>
      <c r="AMO9" s="52">
        <f>AMO8*AMO7</f>
        <v/>
      </c>
      <c r="AMP9" s="52">
        <f>AMP8*AMP7</f>
        <v/>
      </c>
      <c r="AMQ9" s="52">
        <f>AMQ8*AMQ7</f>
        <v/>
      </c>
      <c r="AMR9" s="52">
        <f>AMR8*AMR7</f>
        <v/>
      </c>
      <c r="AMS9" s="52">
        <f>AMS8*AMS7</f>
        <v/>
      </c>
      <c r="AMT9" s="52">
        <f>AMT8*AMT7</f>
        <v/>
      </c>
      <c r="AMU9" s="52">
        <f>AMU8*AMU7</f>
        <v/>
      </c>
      <c r="AMV9" s="52">
        <f>AMV8*AMV7</f>
        <v/>
      </c>
      <c r="AMW9" s="52">
        <f>AMW8*AMW7</f>
        <v/>
      </c>
      <c r="AMX9" s="52">
        <f>AMX8*AMX7</f>
        <v/>
      </c>
      <c r="AMY9" s="130" t="n"/>
      <c r="AMZ9" s="52">
        <f>AMZ8*AMZ7</f>
        <v/>
      </c>
      <c r="ANA9" s="52">
        <f>ANA8*ANA7</f>
        <v/>
      </c>
      <c r="ANB9" s="52">
        <f>ANB8*ANB7</f>
        <v/>
      </c>
      <c r="ANC9" s="52">
        <f>ANC8*ANC7</f>
        <v/>
      </c>
      <c r="AND9" s="52">
        <f>AND8*AND7</f>
        <v/>
      </c>
      <c r="ANE9" s="52">
        <f>ANE8*ANE7</f>
        <v/>
      </c>
      <c r="ANF9" s="52">
        <f>ANF8*ANF7</f>
        <v/>
      </c>
      <c r="ANG9" s="52">
        <f>ANG8*ANG7</f>
        <v/>
      </c>
      <c r="ANH9" s="52">
        <f>ANH8*ANH7</f>
        <v/>
      </c>
      <c r="ANI9" s="52">
        <f>ANI8*ANI7</f>
        <v/>
      </c>
      <c r="ANJ9" s="52">
        <f>ANJ8*ANJ7</f>
        <v/>
      </c>
      <c r="ANK9" s="52">
        <f>ANK8*ANK7</f>
        <v/>
      </c>
      <c r="ANL9" s="52">
        <f>ANL8*ANL7</f>
        <v/>
      </c>
      <c r="ANM9" s="52">
        <f>ANM8*ANM7</f>
        <v/>
      </c>
      <c r="ANN9" s="52">
        <f>ANN8*ANN7</f>
        <v/>
      </c>
      <c r="ANO9" s="52">
        <f>ANO8*ANO7</f>
        <v/>
      </c>
      <c r="ANP9" s="52">
        <f>ANP8*ANP7</f>
        <v/>
      </c>
      <c r="ANQ9" s="52">
        <f>ANQ8*ANQ7</f>
        <v/>
      </c>
      <c r="ANR9" s="52">
        <f>ANR8*ANR7</f>
        <v/>
      </c>
      <c r="ANS9" s="52">
        <f>ANS8*ANS7</f>
        <v/>
      </c>
      <c r="ANT9" s="52">
        <f>ANT8*ANT7</f>
        <v/>
      </c>
      <c r="ANU9" s="52">
        <f>ANU8*ANU7</f>
        <v/>
      </c>
      <c r="ANV9" s="52">
        <f>ANV8*ANV7</f>
        <v/>
      </c>
      <c r="ANW9" s="52">
        <f>ANW8*ANW7</f>
        <v/>
      </c>
      <c r="ANX9" s="52">
        <f>ANX8*ANX7</f>
        <v/>
      </c>
      <c r="ANY9" s="52">
        <f>ANY8*ANY7</f>
        <v/>
      </c>
      <c r="ANZ9" s="52">
        <f>ANZ8*ANZ7</f>
        <v/>
      </c>
      <c r="AOA9" s="52">
        <f>AOA8*AOA7</f>
        <v/>
      </c>
      <c r="AOB9" s="52">
        <f>AOB8*AOB7</f>
        <v/>
      </c>
      <c r="AOC9" s="52">
        <f>AOC8*AOC7</f>
        <v/>
      </c>
    </row>
    <row r="10">
      <c r="B10" s="54" t="inlineStr">
        <is>
          <t>TOTAL FUEL STOCK VALUE</t>
        </is>
      </c>
      <c r="C10" s="55">
        <f>C9+C6</f>
        <v/>
      </c>
      <c r="D10" s="55">
        <f>D9+D6</f>
        <v/>
      </c>
      <c r="E10" s="55">
        <f>E9+E6</f>
        <v/>
      </c>
      <c r="F10" s="55">
        <f>F9+F6</f>
        <v/>
      </c>
      <c r="G10" s="55">
        <f>G9+G6</f>
        <v/>
      </c>
      <c r="H10" s="55">
        <f>H9+H6</f>
        <v/>
      </c>
      <c r="I10" s="55">
        <f>I9+I6</f>
        <v/>
      </c>
      <c r="J10" s="55">
        <f>J9+J6</f>
        <v/>
      </c>
      <c r="K10" s="55">
        <f>K9+K6</f>
        <v/>
      </c>
      <c r="L10" s="55">
        <f>L9+L6</f>
        <v/>
      </c>
      <c r="M10" s="55">
        <f>M9+M6</f>
        <v/>
      </c>
      <c r="N10" s="55">
        <f>N9+N6</f>
        <v/>
      </c>
      <c r="O10" s="55">
        <f>O9+O6</f>
        <v/>
      </c>
      <c r="P10" s="55">
        <f>P9+P6</f>
        <v/>
      </c>
      <c r="Q10" s="55">
        <f>Q9+Q6</f>
        <v/>
      </c>
      <c r="R10" s="55">
        <f>R9+R6</f>
        <v/>
      </c>
      <c r="S10" s="55">
        <f>S9+S6</f>
        <v/>
      </c>
      <c r="T10" s="55">
        <f>T9+T6</f>
        <v/>
      </c>
      <c r="U10" s="55">
        <f>U9+U6</f>
        <v/>
      </c>
      <c r="V10" s="55">
        <f>V9+V6</f>
        <v/>
      </c>
      <c r="W10" s="55">
        <f>W9+W6</f>
        <v/>
      </c>
      <c r="X10" s="55">
        <f>X9+X6</f>
        <v/>
      </c>
      <c r="Y10" s="55">
        <f>Y9+Y6</f>
        <v/>
      </c>
      <c r="Z10" s="55">
        <f>Z9+Z6</f>
        <v/>
      </c>
      <c r="AA10" s="55">
        <f>AA9+AA6</f>
        <v/>
      </c>
      <c r="AB10" s="55">
        <f>AB9+AB6</f>
        <v/>
      </c>
      <c r="AC10" s="55">
        <f>AC9+AC6</f>
        <v/>
      </c>
      <c r="AD10" s="55">
        <f>AD9+AD6</f>
        <v/>
      </c>
      <c r="AE10" s="55">
        <f>AE9+AE6</f>
        <v/>
      </c>
      <c r="AF10" s="55">
        <f>AF9+AF6</f>
        <v/>
      </c>
      <c r="AG10" s="55">
        <f>AG9+AG6</f>
        <v/>
      </c>
      <c r="AH10" s="67">
        <f>AH9+AH6</f>
        <v/>
      </c>
      <c r="AI10" s="55">
        <f>AI9+AI6</f>
        <v/>
      </c>
      <c r="AJ10" s="55">
        <f>AJ9+AJ6</f>
        <v/>
      </c>
      <c r="AK10" s="55">
        <f>AK9+AK6</f>
        <v/>
      </c>
      <c r="AL10" s="55">
        <f>AL9+AL6</f>
        <v/>
      </c>
      <c r="AM10" s="55">
        <f>AM9+AM6</f>
        <v/>
      </c>
      <c r="AN10" s="55">
        <f>AN9+AN6</f>
        <v/>
      </c>
      <c r="AO10" s="55">
        <f>AO9+AO6</f>
        <v/>
      </c>
      <c r="AP10" s="55">
        <f>AP9+AP6</f>
        <v/>
      </c>
      <c r="AQ10" s="55">
        <f>AQ9+AQ6</f>
        <v/>
      </c>
      <c r="AR10" s="55">
        <f>AR9+AR6</f>
        <v/>
      </c>
      <c r="AS10" s="55">
        <f>AS9+AS6</f>
        <v/>
      </c>
      <c r="AT10" s="55">
        <f>AT9+AT6</f>
        <v/>
      </c>
      <c r="AU10" s="55">
        <f>AU9+AU6</f>
        <v/>
      </c>
      <c r="AV10" s="55">
        <f>AV9+AV6</f>
        <v/>
      </c>
      <c r="AW10" s="55">
        <f>AW9+AW6</f>
        <v/>
      </c>
      <c r="AX10" s="55">
        <f>AX9+AX6</f>
        <v/>
      </c>
      <c r="AY10" s="55">
        <f>AY9+AY6</f>
        <v/>
      </c>
      <c r="AZ10" s="55">
        <f>AZ9+AZ6</f>
        <v/>
      </c>
      <c r="BA10" s="55">
        <f>BA9+BA6</f>
        <v/>
      </c>
      <c r="BB10" s="55">
        <f>BB9+BB6</f>
        <v/>
      </c>
      <c r="BC10" s="55">
        <f>BC9+BC6</f>
        <v/>
      </c>
      <c r="BD10" s="55">
        <f>BD9+BD6</f>
        <v/>
      </c>
      <c r="BE10" s="55">
        <f>BE9+BE6</f>
        <v/>
      </c>
      <c r="BF10" s="55">
        <f>BF9+BF6</f>
        <v/>
      </c>
      <c r="BG10" s="55">
        <f>BG9+BG6</f>
        <v/>
      </c>
      <c r="BH10" s="55">
        <f>BH9+BH6</f>
        <v/>
      </c>
      <c r="BI10" s="55">
        <f>BI9+BI6</f>
        <v/>
      </c>
      <c r="BJ10" s="55">
        <f>BJ9+BJ6</f>
        <v/>
      </c>
      <c r="BK10" s="55">
        <f>BK9+BK6</f>
        <v/>
      </c>
      <c r="BL10" s="55">
        <f>BL9+BL6</f>
        <v/>
      </c>
      <c r="BM10" s="107">
        <f>BM9+BM6</f>
        <v/>
      </c>
      <c r="BN10" s="55">
        <f>BN9+BN6</f>
        <v/>
      </c>
      <c r="BO10" s="55">
        <f>BO9+BO6</f>
        <v/>
      </c>
      <c r="BP10" s="55">
        <f>BP9+BP6</f>
        <v/>
      </c>
      <c r="BQ10" s="55">
        <f>BQ9+BQ6</f>
        <v/>
      </c>
      <c r="BR10" s="55">
        <f>BR9+BR6</f>
        <v/>
      </c>
      <c r="BS10" s="55">
        <f>BS9+BS6</f>
        <v/>
      </c>
      <c r="BT10" s="55">
        <f>BT9+BT6</f>
        <v/>
      </c>
      <c r="BU10" s="55">
        <f>BU9+BU6</f>
        <v/>
      </c>
      <c r="BV10" s="55">
        <f>BV9+BV6</f>
        <v/>
      </c>
      <c r="BW10" s="55">
        <f>BW9+BW6</f>
        <v/>
      </c>
      <c r="BX10" s="55">
        <f>BX9+BX6</f>
        <v/>
      </c>
      <c r="BY10" s="55">
        <f>BY9+BY6</f>
        <v/>
      </c>
      <c r="BZ10" s="55">
        <f>BZ9+BZ6</f>
        <v/>
      </c>
      <c r="CA10" s="55">
        <f>CA9+CA6</f>
        <v/>
      </c>
      <c r="CB10" s="55">
        <f>CB9+CB6</f>
        <v/>
      </c>
      <c r="CC10" s="55">
        <f>CC9+CC6</f>
        <v/>
      </c>
      <c r="CD10" s="55">
        <f>CD9+CD6</f>
        <v/>
      </c>
      <c r="CE10" s="55">
        <f>CE9+CE6</f>
        <v/>
      </c>
      <c r="CF10" s="55">
        <f>CF9+CF6</f>
        <v/>
      </c>
      <c r="CG10" s="55">
        <f>CG9+CG6</f>
        <v/>
      </c>
      <c r="CH10" s="55">
        <f>CH9+CH6</f>
        <v/>
      </c>
      <c r="CI10" s="55">
        <f>CI9+CI6</f>
        <v/>
      </c>
      <c r="CJ10" s="55">
        <f>CJ9+CJ6</f>
        <v/>
      </c>
      <c r="CK10" s="55">
        <f>CK9+CK6</f>
        <v/>
      </c>
      <c r="CL10" s="55">
        <f>CL9+CL6</f>
        <v/>
      </c>
      <c r="CM10" s="55">
        <f>CM9+CM6</f>
        <v/>
      </c>
      <c r="CN10" s="55">
        <f>CN9+CN6</f>
        <v/>
      </c>
      <c r="CO10" s="55">
        <f>CO9+CO6</f>
        <v/>
      </c>
      <c r="CP10" s="55">
        <f>CP9+CP6</f>
        <v/>
      </c>
      <c r="CQ10" s="55">
        <f>CQ9+CQ6</f>
        <v/>
      </c>
      <c r="CR10" s="55">
        <f>CR9+CR6</f>
        <v/>
      </c>
      <c r="CS10" s="82">
        <f>SUM(BN10:CR10)</f>
        <v/>
      </c>
      <c r="CT10" s="55">
        <f>CT9+CT6</f>
        <v/>
      </c>
      <c r="CU10" s="55">
        <f>CU9+CU6</f>
        <v/>
      </c>
      <c r="CV10" s="55">
        <f>CV9+CV6</f>
        <v/>
      </c>
      <c r="CW10" s="55">
        <f>CW9+CW6</f>
        <v/>
      </c>
      <c r="CX10" s="55">
        <f>CX9+CX6</f>
        <v/>
      </c>
      <c r="CY10" s="55">
        <f>CY9+CY6</f>
        <v/>
      </c>
      <c r="CZ10" s="55">
        <f>CZ9+CZ6</f>
        <v/>
      </c>
      <c r="DA10" s="55">
        <f>DA9+DA6</f>
        <v/>
      </c>
      <c r="DB10" s="55">
        <f>DB9+DB6</f>
        <v/>
      </c>
      <c r="DC10" s="55">
        <f>DC9+DC6</f>
        <v/>
      </c>
      <c r="DD10" s="55">
        <f>DD9+DD6</f>
        <v/>
      </c>
      <c r="DE10" s="55">
        <f>DE9+DE6</f>
        <v/>
      </c>
      <c r="DF10" s="55">
        <f>DF9+DF6</f>
        <v/>
      </c>
      <c r="DG10" s="55">
        <f>DG9+DG6</f>
        <v/>
      </c>
      <c r="DH10" s="55">
        <f>DH9+DH6</f>
        <v/>
      </c>
      <c r="DI10" s="55">
        <f>DI9+DI6</f>
        <v/>
      </c>
      <c r="DJ10" s="55">
        <f>DJ9+DJ6</f>
        <v/>
      </c>
      <c r="DK10" s="55">
        <f>DK9+DK6</f>
        <v/>
      </c>
      <c r="DL10" s="55">
        <f>DL9+DL6</f>
        <v/>
      </c>
      <c r="DM10" s="55">
        <f>DM9+DM6</f>
        <v/>
      </c>
      <c r="DN10" s="55">
        <f>DN9+DN6</f>
        <v/>
      </c>
      <c r="DO10" s="55">
        <f>DO9+DO6</f>
        <v/>
      </c>
      <c r="DP10" s="55">
        <f>DP9+DP6</f>
        <v/>
      </c>
      <c r="DQ10" s="55">
        <f>DQ9+DQ6</f>
        <v/>
      </c>
      <c r="DR10" s="55">
        <f>DR9+DR6</f>
        <v/>
      </c>
      <c r="DS10" s="55">
        <f>DS9+DS6</f>
        <v/>
      </c>
      <c r="DT10" s="55">
        <f>DT9+DT6</f>
        <v/>
      </c>
      <c r="DU10" s="55">
        <f>DU9+DU6</f>
        <v/>
      </c>
      <c r="DV10" s="55">
        <f>DV9+DV6</f>
        <v/>
      </c>
      <c r="DW10" s="55">
        <f>DW9+DW6</f>
        <v/>
      </c>
      <c r="DX10" s="55">
        <f>DW10</f>
        <v/>
      </c>
      <c r="DY10" s="55">
        <f>DY9+DY6</f>
        <v/>
      </c>
      <c r="DZ10" s="55">
        <f>DZ9+DZ6</f>
        <v/>
      </c>
      <c r="EA10" s="55">
        <f>EA9+EA6</f>
        <v/>
      </c>
      <c r="EB10" s="55">
        <f>EB9+EB6</f>
        <v/>
      </c>
      <c r="EC10" s="55">
        <f>EC9+EC6</f>
        <v/>
      </c>
      <c r="ED10" s="55">
        <f>ED9+ED6</f>
        <v/>
      </c>
      <c r="EE10" s="55">
        <f>EE9+EE6</f>
        <v/>
      </c>
      <c r="EF10" s="55">
        <f>EF9+EF6</f>
        <v/>
      </c>
      <c r="EG10" s="55">
        <f>EG9+EG6</f>
        <v/>
      </c>
      <c r="EH10" s="55">
        <f>EH9+EH6</f>
        <v/>
      </c>
      <c r="EI10" s="55">
        <f>EI9+EI6</f>
        <v/>
      </c>
      <c r="EJ10" s="55">
        <f>EJ9+EJ6</f>
        <v/>
      </c>
      <c r="EK10" s="55">
        <f>EK9+EK6</f>
        <v/>
      </c>
      <c r="EL10" s="55">
        <f>EL9+EL6</f>
        <v/>
      </c>
      <c r="EM10" s="55">
        <f>EM9+EM6</f>
        <v/>
      </c>
      <c r="EN10" s="55">
        <f>EN9+EN6</f>
        <v/>
      </c>
      <c r="EO10" s="55">
        <f>EO9+EO6</f>
        <v/>
      </c>
      <c r="EP10" s="55">
        <f>EP9+EP6</f>
        <v/>
      </c>
      <c r="EQ10" s="55">
        <f>EQ9+EQ6</f>
        <v/>
      </c>
      <c r="ER10" s="55">
        <f>ER9+ER6</f>
        <v/>
      </c>
      <c r="ES10" s="55">
        <f>ES9+ES6</f>
        <v/>
      </c>
      <c r="ET10" s="55">
        <f>ET9+ET6</f>
        <v/>
      </c>
      <c r="EU10" s="55">
        <f>EU9+EU6</f>
        <v/>
      </c>
      <c r="EV10" s="55">
        <f>EV9+EV6</f>
        <v/>
      </c>
      <c r="EW10" s="55">
        <f>EW9+EW6</f>
        <v/>
      </c>
      <c r="EX10" s="55">
        <f>EX9+EX6</f>
        <v/>
      </c>
      <c r="EY10" s="55">
        <f>EY9+EY6</f>
        <v/>
      </c>
      <c r="EZ10" s="55">
        <f>EZ9+EZ6</f>
        <v/>
      </c>
      <c r="FA10" s="55">
        <f>FA9+FA6</f>
        <v/>
      </c>
      <c r="FB10" s="55">
        <f>FB9+FB6</f>
        <v/>
      </c>
      <c r="FC10" s="55">
        <f>FC9+FC6</f>
        <v/>
      </c>
      <c r="FD10" s="126" t="n"/>
      <c r="FE10" s="55">
        <f>FE9+FE6</f>
        <v/>
      </c>
      <c r="FF10" s="55">
        <f>FF9+FF6</f>
        <v/>
      </c>
      <c r="FG10" s="55">
        <f>FG9+FG6</f>
        <v/>
      </c>
      <c r="FH10" s="55">
        <f>FH9+FH6</f>
        <v/>
      </c>
      <c r="FI10" s="55">
        <f>FI9+FI6</f>
        <v/>
      </c>
      <c r="FJ10" s="55">
        <f>FJ9+FJ6</f>
        <v/>
      </c>
      <c r="FK10" s="55">
        <f>FK9+FK6</f>
        <v/>
      </c>
      <c r="FL10" s="55">
        <f>FL9+FL6</f>
        <v/>
      </c>
      <c r="FM10" s="55">
        <f>FM9+FM6</f>
        <v/>
      </c>
      <c r="FN10" s="55">
        <f>FN9+FN6</f>
        <v/>
      </c>
      <c r="FO10" s="55">
        <f>FO9+FO6</f>
        <v/>
      </c>
      <c r="FP10" s="55">
        <f>FP9+FP6</f>
        <v/>
      </c>
      <c r="FQ10" s="55">
        <f>FQ9+FQ6</f>
        <v/>
      </c>
      <c r="FR10" s="55">
        <f>FR9+FR6</f>
        <v/>
      </c>
      <c r="FS10" s="55">
        <f>FS9+FS6</f>
        <v/>
      </c>
      <c r="FT10" s="55">
        <f>FT9+FT6</f>
        <v/>
      </c>
      <c r="FU10" s="55">
        <f>FU9+FU6</f>
        <v/>
      </c>
      <c r="FV10" s="55">
        <f>FV9+FV6</f>
        <v/>
      </c>
      <c r="FW10" s="55">
        <f>FW9+FW6</f>
        <v/>
      </c>
      <c r="FX10" s="55">
        <f>FX9+FX6</f>
        <v/>
      </c>
      <c r="FY10" s="55">
        <f>FY9+FY6</f>
        <v/>
      </c>
      <c r="FZ10" s="55">
        <f>FZ9+FZ6</f>
        <v/>
      </c>
      <c r="GA10" s="55">
        <f>GA9+GA6</f>
        <v/>
      </c>
      <c r="GB10" s="55">
        <f>GB9+GB6</f>
        <v/>
      </c>
      <c r="GC10" s="55">
        <f>GC9+GC6</f>
        <v/>
      </c>
      <c r="GD10" s="55">
        <f>GD9+GD6</f>
        <v/>
      </c>
      <c r="GE10" s="55">
        <f>GE9+GE6</f>
        <v/>
      </c>
      <c r="GF10" s="55">
        <f>GF9+GF6</f>
        <v/>
      </c>
      <c r="GG10" s="55">
        <f>GG9+GG6</f>
        <v/>
      </c>
      <c r="GH10" s="55">
        <f>GH9+GH6</f>
        <v/>
      </c>
      <c r="GI10" s="55">
        <f>GI9+GI6</f>
        <v/>
      </c>
      <c r="GJ10" s="130" t="n"/>
      <c r="GK10" s="55">
        <f>GK9+GK6</f>
        <v/>
      </c>
      <c r="GL10" s="55">
        <f>GL9+GL6</f>
        <v/>
      </c>
      <c r="GM10" s="55">
        <f>GM9+GM6</f>
        <v/>
      </c>
      <c r="GN10" s="55">
        <f>GN9+GN6</f>
        <v/>
      </c>
      <c r="GO10" s="55">
        <f>GO9+GO6</f>
        <v/>
      </c>
      <c r="GP10" s="55">
        <f>GP9+GP6</f>
        <v/>
      </c>
      <c r="GQ10" s="55">
        <f>GQ9+GQ6</f>
        <v/>
      </c>
      <c r="GR10" s="55">
        <f>GR9+GR6</f>
        <v/>
      </c>
      <c r="GS10" s="55">
        <f>GS9+GS6</f>
        <v/>
      </c>
      <c r="GT10" s="55">
        <f>GT9+GT6</f>
        <v/>
      </c>
      <c r="GU10" s="55">
        <f>GU9+GU6</f>
        <v/>
      </c>
      <c r="GV10" s="55">
        <f>GV9+GV6</f>
        <v/>
      </c>
      <c r="GW10" s="55">
        <f>GW9+GW6</f>
        <v/>
      </c>
      <c r="GX10" s="55">
        <f>GX9+GX6</f>
        <v/>
      </c>
      <c r="GY10" s="55">
        <f>GY9+GY6</f>
        <v/>
      </c>
      <c r="GZ10" s="55">
        <f>GZ9+GZ6</f>
        <v/>
      </c>
      <c r="HA10" s="55">
        <f>HA9+HA6</f>
        <v/>
      </c>
      <c r="HB10" s="55">
        <f>HB9+HB6</f>
        <v/>
      </c>
      <c r="HC10" s="55">
        <f>HC9+HC6</f>
        <v/>
      </c>
      <c r="HD10" s="55">
        <f>HD9+HD6</f>
        <v/>
      </c>
      <c r="HE10" s="55">
        <f>HE9+HE6</f>
        <v/>
      </c>
      <c r="HF10" s="55">
        <f>HF9+HF6</f>
        <v/>
      </c>
      <c r="HG10" s="55">
        <f>HG9+HG6</f>
        <v/>
      </c>
      <c r="HH10" s="55">
        <f>HH9+HH6</f>
        <v/>
      </c>
      <c r="HI10" s="55">
        <f>HI9+HI6</f>
        <v/>
      </c>
      <c r="HJ10" s="55">
        <f>HJ9+HJ6</f>
        <v/>
      </c>
      <c r="HK10" s="55">
        <f>HK9+HK6</f>
        <v/>
      </c>
      <c r="HL10" s="55">
        <f>HL9+HL6</f>
        <v/>
      </c>
      <c r="HM10" s="55">
        <f>HM9+HM6</f>
        <v/>
      </c>
      <c r="HN10" s="130" t="n"/>
      <c r="HO10" s="55">
        <f>HO9+HO6</f>
        <v/>
      </c>
      <c r="HP10" s="55">
        <f>HP9+HP6</f>
        <v/>
      </c>
      <c r="HQ10" s="55">
        <f>HQ9+HQ6</f>
        <v/>
      </c>
      <c r="HR10" s="55">
        <f>HR9+HR6</f>
        <v/>
      </c>
      <c r="HS10" s="55">
        <f>HS9+HS6</f>
        <v/>
      </c>
      <c r="HT10" s="55">
        <f>HT9+HT6</f>
        <v/>
      </c>
      <c r="HU10" s="55">
        <f>HU9+HU6</f>
        <v/>
      </c>
      <c r="HV10" s="55">
        <f>HV9+HV6</f>
        <v/>
      </c>
      <c r="HW10" s="55">
        <f>HW9+HW6</f>
        <v/>
      </c>
      <c r="HX10" s="55">
        <f>HX9+HX6</f>
        <v/>
      </c>
      <c r="HY10" s="55">
        <f>HY9+HY6</f>
        <v/>
      </c>
      <c r="HZ10" s="55">
        <f>HZ9+HZ6</f>
        <v/>
      </c>
      <c r="IA10" s="55">
        <f>IA9+IA6</f>
        <v/>
      </c>
      <c r="IB10" s="55">
        <f>IB9+IB6</f>
        <v/>
      </c>
      <c r="IC10" s="55">
        <f>IC9+IC6</f>
        <v/>
      </c>
      <c r="ID10" s="55">
        <f>ID9+ID6</f>
        <v/>
      </c>
      <c r="IE10" s="55">
        <f>IE9+IE6</f>
        <v/>
      </c>
      <c r="IF10" s="55">
        <f>IF9+IF6</f>
        <v/>
      </c>
      <c r="IG10" s="55">
        <f>IG9+IG6</f>
        <v/>
      </c>
      <c r="IH10" s="55">
        <f>IH9+IH6</f>
        <v/>
      </c>
      <c r="II10" s="55">
        <f>II9+II6</f>
        <v/>
      </c>
      <c r="IJ10" s="55">
        <f>IJ9+IJ6</f>
        <v/>
      </c>
      <c r="IK10" s="55">
        <f>IK9+IK6</f>
        <v/>
      </c>
      <c r="IL10" s="55">
        <f>IL9+IL6</f>
        <v/>
      </c>
      <c r="IM10" s="55">
        <f>IM9+IM6</f>
        <v/>
      </c>
      <c r="IN10" s="55">
        <f>IN9+IN6</f>
        <v/>
      </c>
      <c r="IO10" s="55">
        <f>IO9+IO6</f>
        <v/>
      </c>
      <c r="IP10" s="55">
        <f>IP9+IP6</f>
        <v/>
      </c>
      <c r="IQ10" s="55">
        <f>IQ9+IQ6</f>
        <v/>
      </c>
      <c r="IR10" s="55">
        <f>IR9+IR6</f>
        <v/>
      </c>
      <c r="IS10" s="55">
        <f>IS9+IS6</f>
        <v/>
      </c>
      <c r="IT10" s="130" t="n"/>
      <c r="IU10" s="55">
        <f>IU9+IU6</f>
        <v/>
      </c>
      <c r="IV10" s="55">
        <f>IV9+IV6</f>
        <v/>
      </c>
      <c r="IW10" s="55">
        <f>IW9+IW6</f>
        <v/>
      </c>
      <c r="IX10" s="55">
        <f>IX9+IX6</f>
        <v/>
      </c>
      <c r="IY10" s="55">
        <f>IY9+IY6</f>
        <v/>
      </c>
      <c r="IZ10" s="55">
        <f>IZ9+IZ6</f>
        <v/>
      </c>
      <c r="JA10" s="55">
        <f>JA9+JA6</f>
        <v/>
      </c>
      <c r="JB10" s="55">
        <f>JB9+JB6</f>
        <v/>
      </c>
      <c r="JC10" s="55">
        <f>JC9+JC6</f>
        <v/>
      </c>
      <c r="JD10" s="55">
        <f>JD9+JD6</f>
        <v/>
      </c>
      <c r="JE10" s="55">
        <f>JE9+JE6</f>
        <v/>
      </c>
      <c r="JF10" s="55">
        <f>JF9+JF6</f>
        <v/>
      </c>
      <c r="JG10" s="55">
        <f>JG9+JG6</f>
        <v/>
      </c>
      <c r="JH10" s="55">
        <f>JH9+JH6</f>
        <v/>
      </c>
      <c r="JI10" s="55">
        <f>JI9+JI6</f>
        <v/>
      </c>
      <c r="JJ10" s="55">
        <f>JJ9+JJ6</f>
        <v/>
      </c>
      <c r="JK10" s="55">
        <f>JK9+JK6</f>
        <v/>
      </c>
      <c r="JL10" s="55">
        <f>JL9+JL6</f>
        <v/>
      </c>
      <c r="JM10" s="55">
        <f>JM9+JM6</f>
        <v/>
      </c>
      <c r="JN10" s="55">
        <f>JN9+JN6</f>
        <v/>
      </c>
      <c r="JO10" s="55">
        <f>JO9+JO6</f>
        <v/>
      </c>
      <c r="JP10" s="55">
        <f>JP9+JP6</f>
        <v/>
      </c>
      <c r="JQ10" s="55">
        <f>JQ9+JQ6</f>
        <v/>
      </c>
      <c r="JR10" s="55">
        <f>JR9+JR6</f>
        <v/>
      </c>
      <c r="JS10" s="55">
        <f>JS9+JS6</f>
        <v/>
      </c>
      <c r="JT10" s="55">
        <f>JT9+JT6</f>
        <v/>
      </c>
      <c r="JU10" s="55">
        <f>JU9+JU6</f>
        <v/>
      </c>
      <c r="JV10" s="55">
        <f>JV9+JV6</f>
        <v/>
      </c>
      <c r="JW10" s="55">
        <f>JW9+JW6</f>
        <v/>
      </c>
      <c r="JX10" s="55">
        <f>JX9+JX6</f>
        <v/>
      </c>
      <c r="JY10" s="140" t="n"/>
      <c r="JZ10" s="55">
        <f>JZ9+JZ6</f>
        <v/>
      </c>
      <c r="KA10" s="55">
        <f>KA9+KA6</f>
        <v/>
      </c>
      <c r="KB10" s="55">
        <f>KB9+KB6</f>
        <v/>
      </c>
      <c r="KC10" s="55">
        <f>KC9+KC6</f>
        <v/>
      </c>
      <c r="KD10" s="55">
        <f>KD9+KD6</f>
        <v/>
      </c>
      <c r="KE10" s="55">
        <f>KE9+KE6</f>
        <v/>
      </c>
      <c r="KF10" s="55">
        <f>KF9+KF6</f>
        <v/>
      </c>
      <c r="KG10" s="55">
        <f>KG9+KG6</f>
        <v/>
      </c>
      <c r="KH10" s="55">
        <f>KH9+KH6</f>
        <v/>
      </c>
      <c r="KI10" s="55">
        <f>KI9+KI6</f>
        <v/>
      </c>
      <c r="KJ10" s="55">
        <f>KJ9+KJ6</f>
        <v/>
      </c>
      <c r="KK10" s="55">
        <f>KK9+KK6</f>
        <v/>
      </c>
      <c r="KL10" s="55">
        <f>KL9+KL6</f>
        <v/>
      </c>
      <c r="KM10" s="55">
        <f>KM9+KM6</f>
        <v/>
      </c>
      <c r="KN10" s="55">
        <f>KN9+KN6</f>
        <v/>
      </c>
      <c r="KO10" s="55">
        <f>KO9+KO6</f>
        <v/>
      </c>
      <c r="KP10" s="55">
        <f>KP9+KP6</f>
        <v/>
      </c>
      <c r="KQ10" s="55">
        <f>KQ9+KQ6</f>
        <v/>
      </c>
      <c r="KR10" s="55">
        <f>KR9+KR6</f>
        <v/>
      </c>
      <c r="KS10" s="55">
        <f>KS9+KS6</f>
        <v/>
      </c>
      <c r="KT10" s="55">
        <f>KT9+KT6</f>
        <v/>
      </c>
      <c r="KU10" s="55">
        <f>KU9+KU6</f>
        <v/>
      </c>
      <c r="KV10" s="55">
        <f>KV9+KV6</f>
        <v/>
      </c>
      <c r="KW10" s="55">
        <f>KW9+KW6</f>
        <v/>
      </c>
      <c r="KX10" s="55">
        <f>KX9+KX6</f>
        <v/>
      </c>
      <c r="KY10" s="55">
        <f>KY9+KY6</f>
        <v/>
      </c>
      <c r="KZ10" s="55">
        <f>KZ9+KZ6</f>
        <v/>
      </c>
      <c r="LA10" s="55">
        <f>LA9+LA6</f>
        <v/>
      </c>
      <c r="LB10" s="55">
        <f>LB9+LB6</f>
        <v/>
      </c>
      <c r="LC10" s="55">
        <f>LC9+LC6</f>
        <v/>
      </c>
      <c r="LD10" s="55">
        <f>LD9+LD6</f>
        <v/>
      </c>
      <c r="LE10" s="130" t="n"/>
      <c r="LF10" s="55">
        <f>LF9+LF6</f>
        <v/>
      </c>
      <c r="LG10" s="55">
        <f>LG9+LG6</f>
        <v/>
      </c>
      <c r="LH10" s="55">
        <f>LH9+LH6</f>
        <v/>
      </c>
      <c r="LI10" s="55">
        <f>LI9+LI6</f>
        <v/>
      </c>
      <c r="LJ10" s="55">
        <f>LJ9+LJ6</f>
        <v/>
      </c>
      <c r="LK10" s="55">
        <f>LK9+LK6</f>
        <v/>
      </c>
      <c r="LL10" s="55">
        <f>LL9+LL6</f>
        <v/>
      </c>
      <c r="LM10" s="55">
        <f>LM9+LM6</f>
        <v/>
      </c>
      <c r="LN10" s="55">
        <f>LN9+LN6</f>
        <v/>
      </c>
      <c r="LO10" s="55">
        <f>LO9+LO6</f>
        <v/>
      </c>
      <c r="LP10" s="55">
        <f>LP9+LP6</f>
        <v/>
      </c>
      <c r="LQ10" s="55">
        <f>LQ9+LQ6</f>
        <v/>
      </c>
      <c r="LR10" s="55">
        <f>LR9+LR6</f>
        <v/>
      </c>
      <c r="LS10" s="55">
        <f>LS9+LS6</f>
        <v/>
      </c>
      <c r="LT10" s="55">
        <f>LT9+LT6</f>
        <v/>
      </c>
      <c r="LU10" s="55">
        <f>LU9+LU6</f>
        <v/>
      </c>
      <c r="LV10" s="55">
        <f>LV9+LV6</f>
        <v/>
      </c>
      <c r="LW10" s="55">
        <f>LW9+LW6</f>
        <v/>
      </c>
      <c r="LX10" s="55">
        <f>LX9+LX6</f>
        <v/>
      </c>
      <c r="LY10" s="55">
        <f>LY9+LY6</f>
        <v/>
      </c>
      <c r="LZ10" s="55">
        <f>LZ9+LZ6</f>
        <v/>
      </c>
      <c r="MA10" s="55">
        <f>MA9+MA6</f>
        <v/>
      </c>
      <c r="MB10" s="55">
        <f>MB9+MB6</f>
        <v/>
      </c>
      <c r="MC10" s="55">
        <f>MC9+MC6</f>
        <v/>
      </c>
      <c r="MD10" s="55">
        <f>MD9+MD6</f>
        <v/>
      </c>
      <c r="ME10" s="55">
        <f>ME9+ME6</f>
        <v/>
      </c>
      <c r="MF10" s="55">
        <f>MF9+MF6</f>
        <v/>
      </c>
      <c r="MG10" s="55">
        <f>MG9+MG6</f>
        <v/>
      </c>
      <c r="MH10" s="55">
        <f>MH9+MH6</f>
        <v/>
      </c>
      <c r="MI10" s="55">
        <f>MI9+MI6</f>
        <v/>
      </c>
      <c r="MJ10" s="140" t="n"/>
      <c r="MK10" s="55">
        <f>MK9+MK6</f>
        <v/>
      </c>
      <c r="ML10" s="55">
        <f>ML9+ML6</f>
        <v/>
      </c>
      <c r="MM10" s="55">
        <f>MM9+MM6</f>
        <v/>
      </c>
      <c r="MN10" s="55">
        <f>MN9+MN6</f>
        <v/>
      </c>
      <c r="MO10" s="55">
        <f>MO9+MO6</f>
        <v/>
      </c>
      <c r="MP10" s="55">
        <f>MP9+MP6</f>
        <v/>
      </c>
      <c r="MQ10" s="55">
        <f>MQ9+MQ6</f>
        <v/>
      </c>
      <c r="MR10" s="55">
        <f>MR9+MR6</f>
        <v/>
      </c>
      <c r="MS10" s="55">
        <f>MS9+MS6</f>
        <v/>
      </c>
      <c r="MT10" s="55">
        <f>MT9+MT6</f>
        <v/>
      </c>
      <c r="MU10" s="55">
        <f>MU9+MU6</f>
        <v/>
      </c>
      <c r="MV10" s="55">
        <f>MV9+MV6</f>
        <v/>
      </c>
      <c r="MW10" s="55">
        <f>MW9+MW6</f>
        <v/>
      </c>
      <c r="MX10" s="55">
        <f>MX9+MX6</f>
        <v/>
      </c>
      <c r="MY10" s="55">
        <f>MY9+MY6</f>
        <v/>
      </c>
      <c r="MZ10" s="55">
        <f>MZ9+MZ6</f>
        <v/>
      </c>
      <c r="NA10" s="55">
        <f>NA9+NA6</f>
        <v/>
      </c>
      <c r="NB10" s="55">
        <f>NB9+NB6</f>
        <v/>
      </c>
      <c r="NC10" s="55">
        <f>NC9+NC6</f>
        <v/>
      </c>
      <c r="ND10" s="55">
        <f>ND9+ND6</f>
        <v/>
      </c>
      <c r="NE10" s="55">
        <f>NE9+NE6</f>
        <v/>
      </c>
      <c r="NF10" s="55">
        <f>NF9+NF6</f>
        <v/>
      </c>
      <c r="NG10" s="55">
        <f>NG9+NG6</f>
        <v/>
      </c>
      <c r="NH10" s="55">
        <f>NH9+NH6</f>
        <v/>
      </c>
      <c r="NI10" s="55">
        <f>NI9+NI6</f>
        <v/>
      </c>
      <c r="NJ10" s="55">
        <f>NJ9+NJ6</f>
        <v/>
      </c>
      <c r="NK10" s="55">
        <f>NK9+NK6</f>
        <v/>
      </c>
      <c r="NL10" s="55">
        <f>NL9+NL6</f>
        <v/>
      </c>
      <c r="NM10" s="55">
        <f>NM9+NM6</f>
        <v/>
      </c>
      <c r="NN10" s="55">
        <f>NN9+NN6</f>
        <v/>
      </c>
      <c r="NO10" s="55">
        <f>NO9+NO6</f>
        <v/>
      </c>
      <c r="NP10" s="140" t="n"/>
      <c r="NQ10" s="55">
        <f>NQ9+NQ6</f>
        <v/>
      </c>
      <c r="NR10" s="55">
        <f>NR9+NR6</f>
        <v/>
      </c>
      <c r="NS10" s="55">
        <f>NS9+NS6</f>
        <v/>
      </c>
      <c r="NT10" s="55">
        <f>NT9+NT6</f>
        <v/>
      </c>
      <c r="NU10" s="55">
        <f>NU9+NU6</f>
        <v/>
      </c>
      <c r="NV10" s="55">
        <f>NV9+NV6</f>
        <v/>
      </c>
      <c r="NW10" s="55">
        <f>NW9+NW6</f>
        <v/>
      </c>
      <c r="NX10" s="55">
        <f>NX9+NX6</f>
        <v/>
      </c>
      <c r="NY10" s="55">
        <f>NY9+NY6</f>
        <v/>
      </c>
      <c r="NZ10" s="55">
        <f>NZ9+NZ6</f>
        <v/>
      </c>
      <c r="OA10" s="55">
        <f>OA9+OA6</f>
        <v/>
      </c>
      <c r="OB10" s="55">
        <f>OB9+OB6</f>
        <v/>
      </c>
      <c r="OC10" s="55">
        <f>OC9+OC6</f>
        <v/>
      </c>
      <c r="OD10" s="55">
        <f>OD9+OD6</f>
        <v/>
      </c>
      <c r="OE10" s="55">
        <f>OE9+OE6</f>
        <v/>
      </c>
      <c r="OF10" s="55">
        <f>OF9+OF6</f>
        <v/>
      </c>
      <c r="OG10" s="55">
        <f>OG9+OG6</f>
        <v/>
      </c>
      <c r="OH10" s="55">
        <f>OH9+OH6</f>
        <v/>
      </c>
      <c r="OI10" s="55">
        <f>OI9+OI6</f>
        <v/>
      </c>
      <c r="OJ10" s="55">
        <f>OJ9+OJ6</f>
        <v/>
      </c>
      <c r="OK10" s="55">
        <f>OK9+OK6</f>
        <v/>
      </c>
      <c r="OL10" s="55">
        <f>OL9+OL6</f>
        <v/>
      </c>
      <c r="OM10" s="55">
        <f>OM9+OM6</f>
        <v/>
      </c>
      <c r="ON10" s="55">
        <f>ON9+ON6</f>
        <v/>
      </c>
      <c r="OO10" s="55">
        <f>OO9+OO6</f>
        <v/>
      </c>
      <c r="OP10" s="55">
        <f>OP9+OP6</f>
        <v/>
      </c>
      <c r="OQ10" s="55">
        <f>OQ9+OQ6</f>
        <v/>
      </c>
      <c r="OR10" s="55">
        <f>OR9+OR6</f>
        <v/>
      </c>
      <c r="OS10" s="55">
        <f>OS9+OS6</f>
        <v/>
      </c>
      <c r="OT10" s="55">
        <f>OT9+OT6</f>
        <v/>
      </c>
      <c r="OU10" s="55">
        <f>OU9+OU6</f>
        <v/>
      </c>
      <c r="OV10" s="130" t="n"/>
      <c r="OW10" s="55">
        <f>OW9+OW6</f>
        <v/>
      </c>
      <c r="OX10" s="55">
        <f>OX9+OX6</f>
        <v/>
      </c>
      <c r="OY10" s="55">
        <f>OY9+OY6</f>
        <v/>
      </c>
      <c r="OZ10" s="55">
        <f>OZ9+OZ6</f>
        <v/>
      </c>
      <c r="PA10" s="55">
        <f>PA9+PA6</f>
        <v/>
      </c>
      <c r="PB10" s="55">
        <f>PB9+PB6</f>
        <v/>
      </c>
      <c r="PC10" s="55">
        <f>PC9+PC6</f>
        <v/>
      </c>
      <c r="PD10" s="55">
        <f>PD9+PD6</f>
        <v/>
      </c>
      <c r="PE10" s="55">
        <f>PE9+PE6</f>
        <v/>
      </c>
      <c r="PF10" s="55">
        <f>PF9+PF6</f>
        <v/>
      </c>
      <c r="PG10" s="55">
        <f>PG9+PG6</f>
        <v/>
      </c>
      <c r="PH10" s="55">
        <f>PH9+PH6</f>
        <v/>
      </c>
      <c r="PI10" s="55">
        <f>PI9+PI6</f>
        <v/>
      </c>
      <c r="PJ10" s="55">
        <f>PJ9+PJ6</f>
        <v/>
      </c>
      <c r="PK10" s="55">
        <f>PK9+PK6</f>
        <v/>
      </c>
      <c r="PL10" s="55">
        <f>PL9+PL6</f>
        <v/>
      </c>
      <c r="PM10" s="55">
        <f>PM9+PM6</f>
        <v/>
      </c>
      <c r="PN10" s="55">
        <f>PN9+PN6</f>
        <v/>
      </c>
      <c r="PO10" s="55">
        <f>PO9+PO6</f>
        <v/>
      </c>
      <c r="PP10" s="55">
        <f>PP9+PP6</f>
        <v/>
      </c>
      <c r="PQ10" s="55">
        <f>PQ9+PQ6</f>
        <v/>
      </c>
      <c r="PR10" s="55">
        <f>PR9+PR6</f>
        <v/>
      </c>
      <c r="PS10" s="55">
        <f>PS9+PS6</f>
        <v/>
      </c>
      <c r="PT10" s="55">
        <f>PT9+PT6</f>
        <v/>
      </c>
      <c r="PU10" s="55">
        <f>PU9+PU6</f>
        <v/>
      </c>
      <c r="PV10" s="55">
        <f>PV9+PV6</f>
        <v/>
      </c>
      <c r="PW10" s="55">
        <f>PW9+PW6</f>
        <v/>
      </c>
      <c r="PX10" s="55">
        <f>PX9+PX6</f>
        <v/>
      </c>
      <c r="PY10" s="55">
        <f>PY9+PY6</f>
        <v/>
      </c>
      <c r="PZ10" s="55">
        <f>PZ9+PZ6</f>
        <v/>
      </c>
      <c r="QA10" s="130" t="n"/>
      <c r="QB10" s="55">
        <f>QB9+QB6</f>
        <v/>
      </c>
      <c r="QC10" s="55">
        <f>QC9+QC6</f>
        <v/>
      </c>
      <c r="QD10" s="55">
        <f>QD9+QD6</f>
        <v/>
      </c>
      <c r="QE10" s="55">
        <f>QE9+QE6</f>
        <v/>
      </c>
      <c r="QF10" s="55">
        <f>QF9+QF6</f>
        <v/>
      </c>
      <c r="QG10" s="55">
        <f>QG9+QG6</f>
        <v/>
      </c>
      <c r="QH10" s="55">
        <f>QH9+QH6</f>
        <v/>
      </c>
      <c r="QI10" s="55">
        <f>QI9+QI6</f>
        <v/>
      </c>
      <c r="QJ10" s="55">
        <f>QJ9+QJ6</f>
        <v/>
      </c>
      <c r="QK10" s="55">
        <f>QK9+QK6</f>
        <v/>
      </c>
      <c r="QL10" s="55">
        <f>QL9+QL6</f>
        <v/>
      </c>
      <c r="QM10" s="55">
        <f>QM9+QM6</f>
        <v/>
      </c>
      <c r="QN10" s="55">
        <f>QN9+QN6</f>
        <v/>
      </c>
      <c r="QO10" s="55">
        <f>QO9+QO6</f>
        <v/>
      </c>
      <c r="QP10" s="55">
        <f>QP9+QP6</f>
        <v/>
      </c>
      <c r="QQ10" s="55">
        <f>QQ9+QQ6</f>
        <v/>
      </c>
      <c r="QR10" s="55">
        <f>QR9+QR6</f>
        <v/>
      </c>
      <c r="QS10" s="55">
        <f>QS9+QS6</f>
        <v/>
      </c>
      <c r="QT10" s="55">
        <f>QT9+QT6</f>
        <v/>
      </c>
      <c r="QU10" s="55">
        <f>QU9+QU6</f>
        <v/>
      </c>
      <c r="QV10" s="55">
        <f>QV9+QV6</f>
        <v/>
      </c>
      <c r="QW10" s="55">
        <f>QW9+QW6</f>
        <v/>
      </c>
      <c r="QX10" s="55">
        <f>QX9+QX6</f>
        <v/>
      </c>
      <c r="QY10" s="55">
        <f>QY9+QY6</f>
        <v/>
      </c>
      <c r="QZ10" s="55">
        <f>QZ9+QZ6</f>
        <v/>
      </c>
      <c r="RA10" s="55">
        <f>RA9+RA6</f>
        <v/>
      </c>
      <c r="RB10" s="55">
        <f>RB9+RB6</f>
        <v/>
      </c>
      <c r="RC10" s="55">
        <f>RC9+RC6</f>
        <v/>
      </c>
      <c r="RD10" s="55">
        <f>RD9+RD6</f>
        <v/>
      </c>
      <c r="RE10" s="55">
        <f>RE9+RE6</f>
        <v/>
      </c>
      <c r="RF10" s="55">
        <f>RF9+RF6</f>
        <v/>
      </c>
      <c r="RG10" s="130" t="n"/>
      <c r="RH10" s="55">
        <f>RH9+RH6</f>
        <v/>
      </c>
      <c r="RI10" s="55">
        <f>RI9+RI6</f>
        <v/>
      </c>
      <c r="RJ10" s="55">
        <f>RJ9+RJ6</f>
        <v/>
      </c>
      <c r="RK10" s="55">
        <f>RK9+RK6</f>
        <v/>
      </c>
      <c r="RL10" s="55">
        <f>RL9+RL6</f>
        <v/>
      </c>
      <c r="RM10" s="55">
        <f>RM9+RM6</f>
        <v/>
      </c>
      <c r="RN10" s="55">
        <f>RN9+RN6</f>
        <v/>
      </c>
      <c r="RO10" s="55">
        <f>RO9+RO6</f>
        <v/>
      </c>
      <c r="RP10" s="55">
        <f>RP9+RP6</f>
        <v/>
      </c>
      <c r="RQ10" s="55">
        <f>RQ9+RQ6</f>
        <v/>
      </c>
      <c r="RR10" s="55">
        <f>RR9+RR6</f>
        <v/>
      </c>
      <c r="RS10" s="55">
        <f>RS9+RS6</f>
        <v/>
      </c>
      <c r="RT10" s="55">
        <f>RT9+RT6</f>
        <v/>
      </c>
      <c r="RU10" s="55">
        <f>RU9+RU6</f>
        <v/>
      </c>
      <c r="RV10" s="55">
        <f>RV9+RV6</f>
        <v/>
      </c>
      <c r="RW10" s="55">
        <f>RW9+RW6</f>
        <v/>
      </c>
      <c r="RX10" s="55">
        <f>RX9+RX6</f>
        <v/>
      </c>
      <c r="RY10" s="55">
        <f>RY9+RY6</f>
        <v/>
      </c>
      <c r="RZ10" s="55">
        <f>RZ9+RZ6</f>
        <v/>
      </c>
      <c r="SA10" s="55">
        <f>SA9+SA6</f>
        <v/>
      </c>
      <c r="SB10" s="55">
        <f>SB9+SB6</f>
        <v/>
      </c>
      <c r="SC10" s="55">
        <f>SC9+SC6</f>
        <v/>
      </c>
      <c r="SD10" s="55">
        <f>SD9+SD6</f>
        <v/>
      </c>
      <c r="SE10" s="55">
        <f>SE9+SE6</f>
        <v/>
      </c>
      <c r="SF10" s="55">
        <f>SF9+SF6</f>
        <v/>
      </c>
      <c r="SG10" s="55">
        <f>SG9+SG6</f>
        <v/>
      </c>
      <c r="SH10" s="55">
        <f>SH9+SH6</f>
        <v/>
      </c>
      <c r="SI10" s="55">
        <f>SI9+SI6</f>
        <v/>
      </c>
      <c r="SJ10" s="55">
        <f>SJ9+SJ6</f>
        <v/>
      </c>
      <c r="SK10" s="55">
        <f>SK9+SK6</f>
        <v/>
      </c>
      <c r="SL10" s="130" t="n"/>
      <c r="SM10" s="55">
        <f>SM9+SM6</f>
        <v/>
      </c>
      <c r="SN10" s="55">
        <f>SN9+SN6</f>
        <v/>
      </c>
      <c r="SO10" s="55">
        <f>SO9+SO6</f>
        <v/>
      </c>
      <c r="SP10" s="55">
        <f>SP9+SP6</f>
        <v/>
      </c>
      <c r="SQ10" s="55">
        <f>SQ9+SQ6</f>
        <v/>
      </c>
      <c r="SR10" s="55">
        <f>SR9+SR6</f>
        <v/>
      </c>
      <c r="SS10" s="55">
        <f>SS9+SS6</f>
        <v/>
      </c>
      <c r="ST10" s="55">
        <f>ST9+ST6</f>
        <v/>
      </c>
      <c r="SU10" s="55">
        <f>SU9+SU6</f>
        <v/>
      </c>
      <c r="SV10" s="55">
        <f>SV9+SV6</f>
        <v/>
      </c>
      <c r="SW10" s="55">
        <f>SW9+SW6</f>
        <v/>
      </c>
      <c r="SX10" s="55">
        <f>SX9+SX6</f>
        <v/>
      </c>
      <c r="SY10" s="55">
        <f>SY9+SY6</f>
        <v/>
      </c>
      <c r="SZ10" s="55">
        <f>SZ9+SZ6</f>
        <v/>
      </c>
      <c r="TA10" s="55">
        <f>TA9+TA6</f>
        <v/>
      </c>
      <c r="TB10" s="55">
        <f>TB9+TB6</f>
        <v/>
      </c>
      <c r="TC10" s="55">
        <f>TC9+TC6</f>
        <v/>
      </c>
      <c r="TD10" s="55">
        <f>TD9+TD6</f>
        <v/>
      </c>
      <c r="TE10" s="55">
        <f>TE9+TE6</f>
        <v/>
      </c>
      <c r="TF10" s="55">
        <f>TF9+TF6</f>
        <v/>
      </c>
      <c r="TG10" s="55">
        <f>TG9+TG6</f>
        <v/>
      </c>
      <c r="TH10" s="55">
        <f>TH9+TH6</f>
        <v/>
      </c>
      <c r="TI10" s="55">
        <f>TI9+TI6</f>
        <v/>
      </c>
      <c r="TJ10" s="55">
        <f>TJ9+TJ6</f>
        <v/>
      </c>
      <c r="TK10" s="55">
        <f>TK9+TK6</f>
        <v/>
      </c>
      <c r="TL10" s="55">
        <f>TL9+TL6</f>
        <v/>
      </c>
      <c r="TM10" s="55">
        <f>TM9+TM6</f>
        <v/>
      </c>
      <c r="TN10" s="55">
        <f>TN9+TN6</f>
        <v/>
      </c>
      <c r="TO10" s="55">
        <f>TO9+TO6</f>
        <v/>
      </c>
      <c r="TP10" s="55">
        <f>TP9+TP6</f>
        <v/>
      </c>
      <c r="TQ10" s="55">
        <f>TQ9+TQ6</f>
        <v/>
      </c>
      <c r="TR10" s="130" t="n"/>
      <c r="TS10" s="55">
        <f>TS9+TS6</f>
        <v/>
      </c>
      <c r="TT10" s="55">
        <f>TT9+TT6</f>
        <v/>
      </c>
      <c r="TU10" s="55">
        <f>TU9+TU6</f>
        <v/>
      </c>
      <c r="TV10" s="55">
        <f>TV9+TV6</f>
        <v/>
      </c>
      <c r="TW10" s="55">
        <f>TW9+TW6</f>
        <v/>
      </c>
      <c r="TX10" s="55">
        <f>TX9+TX6</f>
        <v/>
      </c>
      <c r="TY10" s="55">
        <f>TY9+TY6</f>
        <v/>
      </c>
      <c r="TZ10" s="55">
        <f>TZ9+TZ6</f>
        <v/>
      </c>
      <c r="UA10" s="55">
        <f>UA9+UA6</f>
        <v/>
      </c>
      <c r="UB10" s="55">
        <f>UB9+UB6</f>
        <v/>
      </c>
      <c r="UC10" s="55">
        <f>UC9+UC6</f>
        <v/>
      </c>
      <c r="UD10" s="55">
        <f>UD9+UD6</f>
        <v/>
      </c>
      <c r="UE10" s="55">
        <f>UE9+UE6</f>
        <v/>
      </c>
      <c r="UF10" s="55">
        <f>UF9+UF6</f>
        <v/>
      </c>
      <c r="UG10" s="55">
        <f>UG9+UG6</f>
        <v/>
      </c>
      <c r="UH10" s="55">
        <f>UH9+UH6</f>
        <v/>
      </c>
      <c r="UI10" s="55">
        <f>UI9+UI6</f>
        <v/>
      </c>
      <c r="UJ10" s="55">
        <f>UJ9+UJ6</f>
        <v/>
      </c>
      <c r="UK10" s="55">
        <f>UK9+UK6</f>
        <v/>
      </c>
      <c r="UL10" s="55">
        <f>UL9+UL6</f>
        <v/>
      </c>
      <c r="UM10" s="55">
        <f>UM9+UM6</f>
        <v/>
      </c>
      <c r="UN10" s="55">
        <f>UN9+UN6</f>
        <v/>
      </c>
      <c r="UO10" s="55">
        <f>UO9+UO6</f>
        <v/>
      </c>
      <c r="UP10" s="55">
        <f>UP9+UP6</f>
        <v/>
      </c>
      <c r="UQ10" s="55">
        <f>UQ9+UQ6</f>
        <v/>
      </c>
      <c r="UR10" s="55">
        <f>UR9+UR6</f>
        <v/>
      </c>
      <c r="US10" s="55">
        <f>US9+US6</f>
        <v/>
      </c>
      <c r="UT10" s="55">
        <f>UT9+UT6</f>
        <v/>
      </c>
      <c r="UU10" s="55">
        <f>UU9+UU6</f>
        <v/>
      </c>
      <c r="UV10" s="55">
        <f>UV9+UV6</f>
        <v/>
      </c>
      <c r="UW10" s="55">
        <f>UW9+UW6</f>
        <v/>
      </c>
      <c r="UX10" s="130" t="n"/>
      <c r="UY10" s="55">
        <f>UY9+UY6</f>
        <v/>
      </c>
      <c r="UZ10" s="55">
        <f>UZ9+UZ6</f>
        <v/>
      </c>
      <c r="VA10" s="55">
        <f>VA9+VA6</f>
        <v/>
      </c>
      <c r="VB10" s="55">
        <f>VB9+VB6</f>
        <v/>
      </c>
      <c r="VC10" s="55">
        <f>VC9+VC6</f>
        <v/>
      </c>
      <c r="VD10" s="55">
        <f>VD9+VD6</f>
        <v/>
      </c>
      <c r="VE10" s="55">
        <f>VE9+VE6</f>
        <v/>
      </c>
      <c r="VF10" s="55">
        <f>VF9+VF6</f>
        <v/>
      </c>
      <c r="VG10" s="55">
        <f>VG9+VG6</f>
        <v/>
      </c>
      <c r="VH10" s="55">
        <f>VH9+VH6</f>
        <v/>
      </c>
      <c r="VI10" s="55">
        <f>VI9+VI6</f>
        <v/>
      </c>
      <c r="VJ10" s="55">
        <f>VJ9+VJ6</f>
        <v/>
      </c>
      <c r="VK10" s="55">
        <f>VK9+VK6</f>
        <v/>
      </c>
      <c r="VL10" s="55">
        <f>VL9+VL6</f>
        <v/>
      </c>
      <c r="VM10" s="55">
        <f>VM9+VM6</f>
        <v/>
      </c>
      <c r="VN10" s="55">
        <f>VN9+VN6</f>
        <v/>
      </c>
      <c r="VO10" s="55">
        <f>VO9+VO6</f>
        <v/>
      </c>
      <c r="VP10" s="55">
        <f>VP9+VP6</f>
        <v/>
      </c>
      <c r="VQ10" s="55">
        <f>VQ9+VQ6</f>
        <v/>
      </c>
      <c r="VR10" s="55">
        <f>VR9+VR6</f>
        <v/>
      </c>
      <c r="VS10" s="55">
        <f>VS9+VS6</f>
        <v/>
      </c>
      <c r="VT10" s="55">
        <f>VT9+VT6</f>
        <v/>
      </c>
      <c r="VU10" s="55">
        <f>VU9+VU6</f>
        <v/>
      </c>
      <c r="VV10" s="55">
        <f>VV9+VV6</f>
        <v/>
      </c>
      <c r="VW10" s="55">
        <f>VW9+VW6</f>
        <v/>
      </c>
      <c r="VX10" s="55">
        <f>VX9+VX6</f>
        <v/>
      </c>
      <c r="VY10" s="55">
        <f>VY9+VY6</f>
        <v/>
      </c>
      <c r="VZ10" s="55">
        <f>VZ9+VZ6</f>
        <v/>
      </c>
      <c r="WA10" s="140" t="n"/>
      <c r="WB10" s="55">
        <f>WB9+WB6</f>
        <v/>
      </c>
      <c r="WC10" s="55">
        <f>WC9+WC6</f>
        <v/>
      </c>
      <c r="WD10" s="55">
        <f>WD9+WD6</f>
        <v/>
      </c>
      <c r="WE10" s="55">
        <f>WE9+WE6</f>
        <v/>
      </c>
      <c r="WF10" s="55">
        <f>WF9+WF6</f>
        <v/>
      </c>
      <c r="WG10" s="55">
        <f>WG9+WG6</f>
        <v/>
      </c>
      <c r="WH10" s="55">
        <f>WH9+WH6</f>
        <v/>
      </c>
      <c r="WI10" s="55">
        <f>WI9+WI6</f>
        <v/>
      </c>
      <c r="WJ10" s="55">
        <f>WJ9+WJ6</f>
        <v/>
      </c>
      <c r="WK10" s="55">
        <f>WK9+WK6</f>
        <v/>
      </c>
      <c r="WL10" s="55">
        <f>WL9+WL6</f>
        <v/>
      </c>
      <c r="WM10" s="55">
        <f>WM9+WM6</f>
        <v/>
      </c>
      <c r="WN10" s="55">
        <f>WN9+WN6</f>
        <v/>
      </c>
      <c r="WO10" s="55">
        <f>WO9+WO6</f>
        <v/>
      </c>
      <c r="WP10" s="55">
        <f>WP9+WP6</f>
        <v/>
      </c>
      <c r="WQ10" s="55">
        <f>WQ9+WQ6</f>
        <v/>
      </c>
      <c r="WR10" s="55">
        <f>WR9+WR6</f>
        <v/>
      </c>
      <c r="WS10" s="55">
        <f>WS9+WS6</f>
        <v/>
      </c>
      <c r="WT10" s="55">
        <f>WT9+WT6</f>
        <v/>
      </c>
      <c r="WU10" s="55">
        <f>WU9+WU6</f>
        <v/>
      </c>
      <c r="WV10" s="55">
        <f>WV9+WV6</f>
        <v/>
      </c>
      <c r="WW10" s="55">
        <f>WW9+WW6</f>
        <v/>
      </c>
      <c r="WX10" s="55">
        <f>WX9+WX6</f>
        <v/>
      </c>
      <c r="WY10" s="55">
        <f>WY9+WY6</f>
        <v/>
      </c>
      <c r="WZ10" s="55">
        <f>WZ9+WZ6</f>
        <v/>
      </c>
      <c r="XA10" s="55">
        <f>XA9+XA6</f>
        <v/>
      </c>
      <c r="XB10" s="55">
        <f>XB9+XB6</f>
        <v/>
      </c>
      <c r="XC10" s="55">
        <f>XC9+XC6</f>
        <v/>
      </c>
      <c r="XD10" s="55">
        <f>XD9+XD6</f>
        <v/>
      </c>
      <c r="XE10" s="55">
        <f>XE9+XE6</f>
        <v/>
      </c>
      <c r="XF10" s="55">
        <f>XF9+XF6</f>
        <v/>
      </c>
      <c r="XG10" s="140" t="n"/>
      <c r="XH10" s="55">
        <f>XH9+XH6</f>
        <v/>
      </c>
      <c r="XI10" s="55">
        <f>XI9+XI6</f>
        <v/>
      </c>
      <c r="XJ10" s="55">
        <f>XJ9+XJ6</f>
        <v/>
      </c>
      <c r="XK10" s="55">
        <f>XK9+XK6</f>
        <v/>
      </c>
      <c r="XL10" s="55">
        <f>XL9+XL6</f>
        <v/>
      </c>
      <c r="XM10" s="55">
        <f>XM9+XM6</f>
        <v/>
      </c>
      <c r="XN10" s="55">
        <f>XN9+XN6</f>
        <v/>
      </c>
      <c r="XO10" s="55">
        <f>XO9+XO6</f>
        <v/>
      </c>
      <c r="XP10" s="55">
        <f>XP9+XP6</f>
        <v/>
      </c>
      <c r="XQ10" s="55">
        <f>XQ9+XQ6</f>
        <v/>
      </c>
      <c r="XR10" s="55">
        <f>XR9+XR6</f>
        <v/>
      </c>
      <c r="XS10" s="55">
        <f>XS9+XS6</f>
        <v/>
      </c>
      <c r="XT10" s="55">
        <f>XT9+XT6</f>
        <v/>
      </c>
      <c r="XU10" s="55">
        <f>XU9+XU6</f>
        <v/>
      </c>
      <c r="XV10" s="55">
        <f>XV9+XV6</f>
        <v/>
      </c>
      <c r="XW10" s="55">
        <f>XW9+XW6</f>
        <v/>
      </c>
      <c r="XX10" s="55">
        <f>XX9+XX6</f>
        <v/>
      </c>
      <c r="XY10" s="55">
        <f>XY9+XY6</f>
        <v/>
      </c>
      <c r="XZ10" s="55">
        <f>XZ9+XZ6</f>
        <v/>
      </c>
      <c r="YA10" s="55">
        <f>YA9+YA6</f>
        <v/>
      </c>
      <c r="YB10" s="55">
        <f>YB9+YB6</f>
        <v/>
      </c>
      <c r="YC10" s="55">
        <f>YC9+YC6</f>
        <v/>
      </c>
      <c r="YD10" s="55">
        <f>YD9+YD6</f>
        <v/>
      </c>
      <c r="YE10" s="55">
        <f>YE9+YE6</f>
        <v/>
      </c>
      <c r="YF10" s="55">
        <f>YF9+YF6</f>
        <v/>
      </c>
      <c r="YG10" s="55">
        <f>YG9+YG6</f>
        <v/>
      </c>
      <c r="YH10" s="55">
        <f>YH9+YH6</f>
        <v/>
      </c>
      <c r="YI10" s="55">
        <f>YI9+YI6</f>
        <v/>
      </c>
      <c r="YJ10" s="55">
        <f>YJ9+YJ6</f>
        <v/>
      </c>
      <c r="YK10" s="55">
        <f>YK9+YK6</f>
        <v/>
      </c>
      <c r="YL10" s="130" t="n"/>
      <c r="YM10" s="55">
        <f>YM9+YM6</f>
        <v/>
      </c>
      <c r="YN10" s="55">
        <f>YN9+YN6</f>
        <v/>
      </c>
      <c r="YO10" s="55">
        <f>YO9+YO6</f>
        <v/>
      </c>
      <c r="YP10" s="55">
        <f>YP9+YP6</f>
        <v/>
      </c>
      <c r="YQ10" s="55">
        <f>YQ9+YQ6</f>
        <v/>
      </c>
      <c r="YR10" s="55">
        <f>YR9+YR6</f>
        <v/>
      </c>
      <c r="YS10" s="55">
        <f>YS9+YS6</f>
        <v/>
      </c>
      <c r="YT10" s="55">
        <f>YT9+YT6</f>
        <v/>
      </c>
      <c r="YU10" s="55">
        <f>YU9+YU6</f>
        <v/>
      </c>
      <c r="YV10" s="55">
        <f>YV9+YV6</f>
        <v/>
      </c>
      <c r="YW10" s="55">
        <f>YW9+YW6</f>
        <v/>
      </c>
      <c r="YX10" s="55">
        <f>YX9+YX6</f>
        <v/>
      </c>
      <c r="YY10" s="55">
        <f>YY9+YY6</f>
        <v/>
      </c>
      <c r="YZ10" s="55">
        <f>YZ9+YZ6</f>
        <v/>
      </c>
      <c r="ZA10" s="55">
        <f>ZA9+ZA6</f>
        <v/>
      </c>
      <c r="ZB10" s="55">
        <f>ZB9+ZB6</f>
        <v/>
      </c>
      <c r="ZC10" s="55">
        <f>ZC9+ZC6</f>
        <v/>
      </c>
      <c r="ZD10" s="55">
        <f>ZD9+ZD6</f>
        <v/>
      </c>
      <c r="ZE10" s="55">
        <f>ZE9+ZE6</f>
        <v/>
      </c>
      <c r="ZF10" s="55">
        <f>ZF9+ZF6</f>
        <v/>
      </c>
      <c r="ZG10" s="55">
        <f>ZG9+ZG6</f>
        <v/>
      </c>
      <c r="ZH10" s="55">
        <f>ZH9+ZH6</f>
        <v/>
      </c>
      <c r="ZI10" s="55">
        <f>ZI9+ZI6</f>
        <v/>
      </c>
      <c r="ZJ10" s="55">
        <f>ZJ9+ZJ6</f>
        <v/>
      </c>
      <c r="ZK10" s="55">
        <f>ZK9+ZK6</f>
        <v/>
      </c>
      <c r="ZL10" s="55">
        <f>ZL9+ZL6</f>
        <v/>
      </c>
      <c r="ZM10" s="55">
        <f>ZM9+ZM6</f>
        <v/>
      </c>
      <c r="ZN10" s="55">
        <f>ZN9+ZN6</f>
        <v/>
      </c>
      <c r="ZO10" s="55">
        <f>ZO9+ZO6</f>
        <v/>
      </c>
      <c r="ZP10" s="55">
        <f>ZP9+ZP6</f>
        <v/>
      </c>
      <c r="ZQ10" s="55">
        <f>ZQ9+ZQ6</f>
        <v/>
      </c>
      <c r="ZR10" s="130" t="n"/>
      <c r="ZS10" s="55">
        <f>ZS9+ZS6</f>
        <v/>
      </c>
      <c r="ZT10" s="55">
        <f>ZT9+ZT6</f>
        <v/>
      </c>
      <c r="ZU10" s="55">
        <f>ZU9+ZU6</f>
        <v/>
      </c>
      <c r="ZV10" s="55">
        <f>ZV9+ZV6</f>
        <v/>
      </c>
      <c r="ZW10" s="55">
        <f>ZW9+ZW6</f>
        <v/>
      </c>
      <c r="ZX10" s="55">
        <f>ZX9+ZX6</f>
        <v/>
      </c>
      <c r="ZY10" s="55">
        <f>ZY9+ZY6</f>
        <v/>
      </c>
      <c r="ZZ10" s="55">
        <f>ZZ9+ZZ6</f>
        <v/>
      </c>
      <c r="AAA10" s="55">
        <f>AAA9+AAA6</f>
        <v/>
      </c>
      <c r="AAB10" s="55">
        <f>AAB9+AAB6</f>
        <v/>
      </c>
      <c r="AAC10" s="55">
        <f>AAC9+AAC6</f>
        <v/>
      </c>
      <c r="AAD10" s="55">
        <f>AAD9+AAD6</f>
        <v/>
      </c>
      <c r="AAE10" s="55">
        <f>AAE9+AAE6</f>
        <v/>
      </c>
      <c r="AAF10" s="55">
        <f>AAF9+AAF6</f>
        <v/>
      </c>
      <c r="AAG10" s="55">
        <f>AAG9+AAG6</f>
        <v/>
      </c>
      <c r="AAH10" s="55">
        <f>AAH9+AAH6</f>
        <v/>
      </c>
      <c r="AAI10" s="55">
        <f>AAI9+AAI6</f>
        <v/>
      </c>
      <c r="AAJ10" s="55">
        <f>AAJ9+AAJ6</f>
        <v/>
      </c>
      <c r="AAK10" s="55">
        <f>AAK9+AAK6</f>
        <v/>
      </c>
      <c r="AAL10" s="55">
        <f>AAL9+AAL6</f>
        <v/>
      </c>
      <c r="AAM10" s="55">
        <f>AAM9+AAM6</f>
        <v/>
      </c>
      <c r="AAN10" s="55">
        <f>AAN9+AAN6</f>
        <v/>
      </c>
      <c r="AAO10" s="55">
        <f>AAO9+AAO6</f>
        <v/>
      </c>
      <c r="AAP10" s="55">
        <f>AAP9+AAP6</f>
        <v/>
      </c>
      <c r="AAQ10" s="55">
        <f>AAQ9+AAQ6</f>
        <v/>
      </c>
      <c r="AAR10" s="55">
        <f>AAR9+AAR6</f>
        <v/>
      </c>
      <c r="AAS10" s="55">
        <f>AAS9+AAS6</f>
        <v/>
      </c>
      <c r="AAT10" s="55">
        <f>AAT9+AAT6</f>
        <v/>
      </c>
      <c r="AAU10" s="55">
        <f>AAU9+AAU6</f>
        <v/>
      </c>
      <c r="AAV10" s="55">
        <f>AAV9+AAV6</f>
        <v/>
      </c>
      <c r="AAW10" s="130" t="n"/>
      <c r="AAX10" s="55">
        <f>AAX9+AAX6</f>
        <v/>
      </c>
      <c r="AAY10" s="55">
        <f>AAY9+AAY6</f>
        <v/>
      </c>
      <c r="AAZ10" s="55">
        <f>AAZ9+AAZ6</f>
        <v/>
      </c>
      <c r="ABA10" s="55">
        <f>ABA9+ABA6</f>
        <v/>
      </c>
      <c r="ABB10" s="55">
        <f>ABB9+ABB6</f>
        <v/>
      </c>
      <c r="ABC10" s="55">
        <f>ABC9+ABC6</f>
        <v/>
      </c>
      <c r="ABD10" s="55">
        <f>ABD9+ABD6</f>
        <v/>
      </c>
      <c r="ABE10" s="55">
        <f>ABE9+ABE6</f>
        <v/>
      </c>
      <c r="ABF10" s="55">
        <f>ABF9+ABF6</f>
        <v/>
      </c>
      <c r="ABG10" s="55">
        <f>ABG9+ABG6</f>
        <v/>
      </c>
      <c r="ABH10" s="55">
        <f>ABH9+ABH6</f>
        <v/>
      </c>
      <c r="ABI10" s="55">
        <f>ABI9+ABI6</f>
        <v/>
      </c>
      <c r="ABJ10" s="55">
        <f>ABJ9+ABJ6</f>
        <v/>
      </c>
      <c r="ABK10" s="55">
        <f>ABK9+ABK6</f>
        <v/>
      </c>
      <c r="ABL10" s="55">
        <f>ABL9+ABL6</f>
        <v/>
      </c>
      <c r="ABM10" s="55">
        <f>ABM9+ABM6</f>
        <v/>
      </c>
      <c r="ABN10" s="55">
        <f>ABN9+ABN6</f>
        <v/>
      </c>
      <c r="ABO10" s="55">
        <f>ABO9+ABO6</f>
        <v/>
      </c>
      <c r="ABP10" s="55">
        <f>ABP9+ABP6</f>
        <v/>
      </c>
      <c r="ABQ10" s="55">
        <f>ABQ9+ABQ6</f>
        <v/>
      </c>
      <c r="ABR10" s="55">
        <f>ABR9+ABR6</f>
        <v/>
      </c>
      <c r="ABS10" s="55">
        <f>ABS9+ABS6</f>
        <v/>
      </c>
      <c r="ABT10" s="55">
        <f>ABT9+ABT6</f>
        <v/>
      </c>
      <c r="ABU10" s="55">
        <f>ABU9+ABU6</f>
        <v/>
      </c>
      <c r="ABV10" s="55">
        <f>ABV9+ABV6</f>
        <v/>
      </c>
      <c r="ABW10" s="55">
        <f>ABW9+ABW6</f>
        <v/>
      </c>
      <c r="ABX10" s="55">
        <f>ABX9+ABX6</f>
        <v/>
      </c>
      <c r="ABY10" s="55">
        <f>ABY9+ABY6</f>
        <v/>
      </c>
      <c r="ABZ10" s="55">
        <f>ABZ9+ABZ6</f>
        <v/>
      </c>
      <c r="ACA10" s="55">
        <f>ACA9+ACA6</f>
        <v/>
      </c>
      <c r="ACB10" s="55">
        <f>ACB9+ACB6</f>
        <v/>
      </c>
      <c r="ACC10" s="130" t="n"/>
      <c r="ACD10" s="55">
        <f>ACD9+ACD6</f>
        <v/>
      </c>
      <c r="ACE10" s="55">
        <f>ACE9+ACE6</f>
        <v/>
      </c>
      <c r="ACF10" s="55">
        <f>ACF9+ACF6</f>
        <v/>
      </c>
      <c r="ACG10" s="55">
        <f>ACG9+ACG6</f>
        <v/>
      </c>
      <c r="ACH10" s="55">
        <f>ACH9+ACH6</f>
        <v/>
      </c>
      <c r="ACI10" s="55">
        <f>ACI9+ACI6</f>
        <v/>
      </c>
      <c r="ACJ10" s="55">
        <f>ACJ9+ACJ6</f>
        <v/>
      </c>
      <c r="ACK10" s="55">
        <f>ACK9+ACK6</f>
        <v/>
      </c>
      <c r="ACL10" s="55">
        <f>ACL9+ACL6</f>
        <v/>
      </c>
      <c r="ACM10" s="55">
        <f>ACM9+ACM6</f>
        <v/>
      </c>
      <c r="ACN10" s="55">
        <f>ACN9+ACN6</f>
        <v/>
      </c>
      <c r="ACO10" s="55">
        <f>ACO9+ACO6</f>
        <v/>
      </c>
      <c r="ACP10" s="55">
        <f>ACP9+ACP6</f>
        <v/>
      </c>
      <c r="ACQ10" s="55">
        <f>ACQ9+ACQ6</f>
        <v/>
      </c>
      <c r="ACR10" s="55">
        <f>ACR9+ACR6</f>
        <v/>
      </c>
      <c r="ACS10" s="55">
        <f>ACS9+ACS6</f>
        <v/>
      </c>
      <c r="ACT10" s="55">
        <f>ACT9+ACT6</f>
        <v/>
      </c>
      <c r="ACU10" s="55">
        <f>ACU9+ACU6</f>
        <v/>
      </c>
      <c r="ACV10" s="55">
        <f>ACV9+ACV6</f>
        <v/>
      </c>
      <c r="ACW10" s="55">
        <f>ACW9+ACW6</f>
        <v/>
      </c>
      <c r="ACX10" s="55">
        <f>ACX9+ACX6</f>
        <v/>
      </c>
      <c r="ACY10" s="55">
        <f>ACY9+ACY6</f>
        <v/>
      </c>
      <c r="ACZ10" s="55">
        <f>ACZ9+ACZ6</f>
        <v/>
      </c>
      <c r="ADA10" s="55">
        <f>ADA9+ADA6</f>
        <v/>
      </c>
      <c r="ADB10" s="55">
        <f>ADB9+ADB6</f>
        <v/>
      </c>
      <c r="ADC10" s="55">
        <f>ADC9+ADC6</f>
        <v/>
      </c>
      <c r="ADD10" s="55">
        <f>ADD9+ADD6</f>
        <v/>
      </c>
      <c r="ADE10" s="55">
        <f>ADE9+ADE6</f>
        <v/>
      </c>
      <c r="ADF10" s="55">
        <f>ADF9+ADF6</f>
        <v/>
      </c>
      <c r="ADG10" s="55">
        <f>ADG9+ADG6</f>
        <v/>
      </c>
      <c r="ADH10" s="55">
        <f>ADH9+ADH6</f>
        <v/>
      </c>
      <c r="ADI10" s="130" t="n"/>
      <c r="ADJ10" s="55">
        <f>ADJ9+ADJ6</f>
        <v/>
      </c>
      <c r="ADK10" s="55">
        <f>ADK9+ADK6</f>
        <v/>
      </c>
      <c r="ADL10" s="55">
        <f>ADL9+ADL6</f>
        <v/>
      </c>
      <c r="ADM10" s="55">
        <f>ADM9+ADM6</f>
        <v/>
      </c>
      <c r="ADN10" s="55">
        <f>ADN9+ADN6</f>
        <v/>
      </c>
      <c r="ADO10" s="55">
        <f>ADO9+ADO6</f>
        <v/>
      </c>
      <c r="ADP10" s="55">
        <f>ADP9+ADP6</f>
        <v/>
      </c>
      <c r="ADQ10" s="55">
        <f>ADQ9+ADQ6</f>
        <v/>
      </c>
      <c r="ADR10" s="55">
        <f>ADR9+ADR6</f>
        <v/>
      </c>
      <c r="ADS10" s="55">
        <f>ADS9+ADS6</f>
        <v/>
      </c>
      <c r="ADT10" s="55">
        <f>ADT9+ADT6</f>
        <v/>
      </c>
      <c r="ADU10" s="55">
        <f>ADU9+ADU6</f>
        <v/>
      </c>
      <c r="ADV10" s="55">
        <f>ADV9+ADV6</f>
        <v/>
      </c>
      <c r="ADW10" s="55">
        <f>ADW9+ADW6</f>
        <v/>
      </c>
      <c r="ADX10" s="55">
        <f>ADX9+ADX6</f>
        <v/>
      </c>
      <c r="ADY10" s="55">
        <f>ADY9+ADY6</f>
        <v/>
      </c>
      <c r="ADZ10" s="55">
        <f>ADZ9+ADZ6</f>
        <v/>
      </c>
      <c r="AEA10" s="55">
        <f>AEA9+AEA6</f>
        <v/>
      </c>
      <c r="AEB10" s="55">
        <f>AEB9+AEB6</f>
        <v/>
      </c>
      <c r="AEC10" s="55">
        <f>AEC9+AEC6</f>
        <v/>
      </c>
      <c r="AED10" s="55">
        <f>AED9+AED6</f>
        <v/>
      </c>
      <c r="AEE10" s="55">
        <f>AEE9+AEE6</f>
        <v/>
      </c>
      <c r="AEF10" s="55">
        <f>AEF9+AEF6</f>
        <v/>
      </c>
      <c r="AEG10" s="55">
        <f>AEG9+AEG6</f>
        <v/>
      </c>
      <c r="AEH10" s="55">
        <f>AEH9+AEH6</f>
        <v/>
      </c>
      <c r="AEI10" s="55">
        <f>AEI9+AEI6</f>
        <v/>
      </c>
      <c r="AEJ10" s="55">
        <f>AEJ9+AEJ6</f>
        <v/>
      </c>
      <c r="AEK10" s="55">
        <f>AEK9+AEK6</f>
        <v/>
      </c>
      <c r="AEL10" s="55">
        <f>AEL9+AEL6</f>
        <v/>
      </c>
      <c r="AEM10" s="55">
        <f>AEM9+AEM6</f>
        <v/>
      </c>
      <c r="AEN10" s="130" t="n"/>
      <c r="AEO10" s="55">
        <f>AEO9+AEO6</f>
        <v/>
      </c>
      <c r="AEP10" s="55">
        <f>AEP9+AEP6</f>
        <v/>
      </c>
      <c r="AEQ10" s="55">
        <f>AEQ9+AEQ6</f>
        <v/>
      </c>
      <c r="AER10" s="55">
        <f>AER9+AER6</f>
        <v/>
      </c>
      <c r="AES10" s="55">
        <f>AES9+AES6</f>
        <v/>
      </c>
      <c r="AET10" s="55">
        <f>AET9+AET6</f>
        <v/>
      </c>
      <c r="AEU10" s="55">
        <f>AEU9+AEU6</f>
        <v/>
      </c>
      <c r="AEV10" s="55">
        <f>AEV9+AEV6</f>
        <v/>
      </c>
      <c r="AEW10" s="55">
        <f>AEW9+AEW6</f>
        <v/>
      </c>
      <c r="AEX10" s="55">
        <f>AEX9+AEX6</f>
        <v/>
      </c>
      <c r="AEY10" s="55">
        <f>AEY9+AEY6</f>
        <v/>
      </c>
      <c r="AEZ10" s="55">
        <f>AEZ9+AEZ6</f>
        <v/>
      </c>
      <c r="AFA10" s="55">
        <f>AFA9+AFA6</f>
        <v/>
      </c>
      <c r="AFB10" s="55">
        <f>AFB9+AFB6</f>
        <v/>
      </c>
      <c r="AFC10" s="55">
        <f>AFC9+AFC6</f>
        <v/>
      </c>
      <c r="AFD10" s="55">
        <f>AFD9+AFD6</f>
        <v/>
      </c>
      <c r="AFE10" s="55">
        <f>AFE9+AFE6</f>
        <v/>
      </c>
      <c r="AFF10" s="55">
        <f>AFF9+AFF6</f>
        <v/>
      </c>
      <c r="AFG10" s="55">
        <f>AFG9+AFG6</f>
        <v/>
      </c>
      <c r="AFH10" s="55">
        <f>AFH9+AFH6</f>
        <v/>
      </c>
      <c r="AFI10" s="55">
        <f>AFI9+AFI6</f>
        <v/>
      </c>
      <c r="AFJ10" s="55">
        <f>AFJ9+AFJ6</f>
        <v/>
      </c>
      <c r="AFK10" s="55">
        <f>AFK9+AFK6</f>
        <v/>
      </c>
      <c r="AFL10" s="55">
        <f>AFL9+AFL6</f>
        <v/>
      </c>
      <c r="AFM10" s="55">
        <f>AFM9+AFM6</f>
        <v/>
      </c>
      <c r="AFN10" s="55">
        <f>AFN9+AFN6</f>
        <v/>
      </c>
      <c r="AFO10" s="55">
        <f>AFO9+AFO6</f>
        <v/>
      </c>
      <c r="AFP10" s="55">
        <f>AFP9+AFP6</f>
        <v/>
      </c>
      <c r="AFQ10" s="55">
        <f>AFQ9+AFQ6</f>
        <v/>
      </c>
      <c r="AFR10" s="55">
        <f>AFR9+AFR6</f>
        <v/>
      </c>
      <c r="AFS10" s="55">
        <f>AFS9+AFS6</f>
        <v/>
      </c>
      <c r="AFT10" s="130" t="n"/>
      <c r="AFU10" s="55">
        <f>AFU9+AFU6</f>
        <v/>
      </c>
      <c r="AFV10" s="55">
        <f>AFV9+AFV6</f>
        <v/>
      </c>
      <c r="AFW10" s="55">
        <f>AFW9+AFW6</f>
        <v/>
      </c>
      <c r="AFX10" s="55">
        <f>AFX9+AFX6</f>
        <v/>
      </c>
      <c r="AFY10" s="55">
        <f>AFY9+AFY6</f>
        <v/>
      </c>
      <c r="AFZ10" s="55">
        <f>AFZ9+AFZ6</f>
        <v/>
      </c>
      <c r="AGA10" s="55">
        <f>AGA9+AGA6</f>
        <v/>
      </c>
      <c r="AGB10" s="55">
        <f>AGB9+AGB6</f>
        <v/>
      </c>
      <c r="AGC10" s="55">
        <f>AGC9+AGC6</f>
        <v/>
      </c>
      <c r="AGD10" s="55">
        <f>AGD9+AGD6</f>
        <v/>
      </c>
      <c r="AGE10" s="55">
        <f>AGE9+AGE6</f>
        <v/>
      </c>
      <c r="AGF10" s="55">
        <f>AGF9+AGF6</f>
        <v/>
      </c>
      <c r="AGG10" s="55">
        <f>AGG9+AGG6</f>
        <v/>
      </c>
      <c r="AGH10" s="55">
        <f>AGH9+AGH6</f>
        <v/>
      </c>
      <c r="AGI10" s="55">
        <f>AGI9+AGI6</f>
        <v/>
      </c>
      <c r="AGJ10" s="55">
        <f>AGJ9+AGJ6</f>
        <v/>
      </c>
      <c r="AGK10" s="55">
        <f>AGK9+AGK6</f>
        <v/>
      </c>
      <c r="AGL10" s="55">
        <f>AGL9+AGL6</f>
        <v/>
      </c>
      <c r="AGM10" s="55">
        <f>AGM9+AGM6</f>
        <v/>
      </c>
      <c r="AGN10" s="55">
        <f>AGN9+AGN6</f>
        <v/>
      </c>
      <c r="AGO10" s="55">
        <f>AGO9+AGO6</f>
        <v/>
      </c>
      <c r="AGP10" s="55">
        <f>AGP9+AGP6</f>
        <v/>
      </c>
      <c r="AGQ10" s="55">
        <f>AGQ9+AGQ6</f>
        <v/>
      </c>
      <c r="AGR10" s="55">
        <f>AGR9+AGR6</f>
        <v/>
      </c>
      <c r="AGS10" s="55">
        <f>AGS9+AGS6</f>
        <v/>
      </c>
      <c r="AGT10" s="55">
        <f>AGT9+AGT6</f>
        <v/>
      </c>
      <c r="AGU10" s="55">
        <f>AGU9+AGU6</f>
        <v/>
      </c>
      <c r="AGV10" s="55">
        <f>AGV9+AGV6</f>
        <v/>
      </c>
      <c r="AGW10" s="55">
        <f>AGW9+AGW6</f>
        <v/>
      </c>
      <c r="AGX10" s="55">
        <f>AGX9+AGX6</f>
        <v/>
      </c>
      <c r="AGY10" s="140" t="n"/>
      <c r="AGZ10" s="55">
        <f>AGZ9+AGZ6</f>
        <v/>
      </c>
      <c r="AHA10" s="55">
        <f>AHA9+AHA6</f>
        <v/>
      </c>
      <c r="AHB10" s="55">
        <f>AHB9+AHB6</f>
        <v/>
      </c>
      <c r="AHC10" s="55">
        <f>AHC9+AHC6</f>
        <v/>
      </c>
      <c r="AHD10" s="55">
        <f>AHD9+AHD6</f>
        <v/>
      </c>
      <c r="AHE10" s="55">
        <f>AHE9+AHE6</f>
        <v/>
      </c>
      <c r="AHF10" s="55">
        <f>AHF9+AHF6</f>
        <v/>
      </c>
      <c r="AHG10" s="55">
        <f>AHG9+AHG6</f>
        <v/>
      </c>
      <c r="AHH10" s="55">
        <f>AHH9+AHH6</f>
        <v/>
      </c>
      <c r="AHI10" s="55">
        <f>AHI9+AHI6</f>
        <v/>
      </c>
      <c r="AHJ10" s="55">
        <f>AHJ9+AHJ6</f>
        <v/>
      </c>
      <c r="AHK10" s="55">
        <f>AHK9+AHK6</f>
        <v/>
      </c>
      <c r="AHL10" s="55">
        <f>AHL9+AHL6</f>
        <v/>
      </c>
      <c r="AHM10" s="55">
        <f>AHM9+AHM6</f>
        <v/>
      </c>
      <c r="AHN10" s="55">
        <f>AHN9+AHN6</f>
        <v/>
      </c>
      <c r="AHO10" s="55">
        <f>AHO9+AHO6</f>
        <v/>
      </c>
      <c r="AHP10" s="55">
        <f>AHP9+AHP6</f>
        <v/>
      </c>
      <c r="AHQ10" s="55">
        <f>AHQ9+AHQ6</f>
        <v/>
      </c>
      <c r="AHR10" s="55">
        <f>AHR9+AHR6</f>
        <v/>
      </c>
      <c r="AHS10" s="55">
        <f>AHS9+AHS6</f>
        <v/>
      </c>
      <c r="AHT10" s="55">
        <f>AHT9+AHT6</f>
        <v/>
      </c>
      <c r="AHU10" s="55">
        <f>AHU9+AHU6</f>
        <v/>
      </c>
      <c r="AHV10" s="55">
        <f>AHV9+AHV6</f>
        <v/>
      </c>
      <c r="AHW10" s="55">
        <f>AHW9+AHW6</f>
        <v/>
      </c>
      <c r="AHX10" s="55">
        <f>AHX9+AHX6</f>
        <v/>
      </c>
      <c r="AHY10" s="55">
        <f>AHY9+AHY6</f>
        <v/>
      </c>
      <c r="AHZ10" s="55">
        <f>AHZ9+AHZ6</f>
        <v/>
      </c>
      <c r="AIA10" s="55">
        <f>AIA9+AIA6</f>
        <v/>
      </c>
      <c r="AIB10" s="55">
        <f>AIB9+AIB6</f>
        <v/>
      </c>
      <c r="AIC10" s="55">
        <f>AIC9+AIC6</f>
        <v/>
      </c>
      <c r="AID10" s="55">
        <f>AID9+AID6</f>
        <v/>
      </c>
      <c r="AIE10" s="130" t="n"/>
      <c r="AIF10" s="55">
        <f>AIF9+AIF6</f>
        <v/>
      </c>
      <c r="AIG10" s="55">
        <f>AIG9+AIG6</f>
        <v/>
      </c>
      <c r="AIH10" s="55">
        <f>AIH9+AIH6</f>
        <v/>
      </c>
      <c r="AII10" s="55">
        <f>AII9+AII6</f>
        <v/>
      </c>
      <c r="AIJ10" s="55">
        <f>AIJ9+AIJ6</f>
        <v/>
      </c>
      <c r="AIK10" s="55">
        <f>AIK9+AIK6</f>
        <v/>
      </c>
      <c r="AIL10" s="55">
        <f>AIL9+AIL6</f>
        <v/>
      </c>
      <c r="AIM10" s="55">
        <f>AIM9+AIM6</f>
        <v/>
      </c>
      <c r="AIN10" s="55">
        <f>AIN9+AIN6</f>
        <v/>
      </c>
      <c r="AIO10" s="55">
        <f>AIO9+AIO6</f>
        <v/>
      </c>
      <c r="AIP10" s="55">
        <f>AIP9+AIP6</f>
        <v/>
      </c>
      <c r="AIQ10" s="55">
        <f>AIQ9+AIQ6</f>
        <v/>
      </c>
      <c r="AIR10" s="55">
        <f>AIR9+AIR6</f>
        <v/>
      </c>
      <c r="AIS10" s="55">
        <f>AIS9+AIS6</f>
        <v/>
      </c>
      <c r="AIT10" s="55">
        <f>AIT9+AIT6</f>
        <v/>
      </c>
      <c r="AIU10" s="55">
        <f>AIU9+AIU6</f>
        <v/>
      </c>
      <c r="AIV10" s="55">
        <f>AIV9+AIV6</f>
        <v/>
      </c>
      <c r="AIW10" s="55">
        <f>AIW9+AIW6</f>
        <v/>
      </c>
      <c r="AIX10" s="55">
        <f>AIX9+AIX6</f>
        <v/>
      </c>
      <c r="AIY10" s="55">
        <f>AIY9+AIY6</f>
        <v/>
      </c>
      <c r="AIZ10" s="55">
        <f>AIZ9+AIZ6</f>
        <v/>
      </c>
      <c r="AJA10" s="55">
        <f>AJA9+AJA6</f>
        <v/>
      </c>
      <c r="AJB10" s="55">
        <f>AJB9+AJB6</f>
        <v/>
      </c>
      <c r="AJC10" s="55">
        <f>AJC9+AJC6</f>
        <v/>
      </c>
      <c r="AJD10" s="55">
        <f>AJD9+AJD6</f>
        <v/>
      </c>
      <c r="AJE10" s="55">
        <f>AJE9+AJE6</f>
        <v/>
      </c>
      <c r="AJF10" s="55">
        <f>AJF9+AJF6</f>
        <v/>
      </c>
      <c r="AJG10" s="55">
        <f>AJG9+AJG6</f>
        <v/>
      </c>
      <c r="AJH10" s="55">
        <f>AJH9+AJH6</f>
        <v/>
      </c>
      <c r="AJI10" s="55">
        <f>AJI9+AJI6</f>
        <v/>
      </c>
      <c r="AJJ10" s="55">
        <f>AJJ9+AJJ6</f>
        <v/>
      </c>
      <c r="AJK10" s="145" t="n"/>
      <c r="AJL10" s="55">
        <f>AJL9+AJL6</f>
        <v/>
      </c>
      <c r="AJM10" s="55">
        <f>AJM9+AJM6</f>
        <v/>
      </c>
      <c r="AJN10" s="55">
        <f>AJN9+AJN6</f>
        <v/>
      </c>
      <c r="AJO10" s="55">
        <f>AJO9+AJO6</f>
        <v/>
      </c>
      <c r="AJP10" s="55">
        <f>AJP9+AJP6</f>
        <v/>
      </c>
      <c r="AJQ10" s="55">
        <f>AJQ9+AJQ6</f>
        <v/>
      </c>
      <c r="AJR10" s="55">
        <f>AJR9+AJR6</f>
        <v/>
      </c>
      <c r="AJS10" s="55">
        <f>AJS9+AJS6</f>
        <v/>
      </c>
      <c r="AJT10" s="55">
        <f>AJT9+AJT6</f>
        <v/>
      </c>
      <c r="AJU10" s="55">
        <f>AJU9+AJU6</f>
        <v/>
      </c>
      <c r="AJV10" s="55">
        <f>AJV9+AJV6</f>
        <v/>
      </c>
      <c r="AJW10" s="55">
        <f>AJW9+AJW6</f>
        <v/>
      </c>
      <c r="AJX10" s="55">
        <f>AJX9+AJX6</f>
        <v/>
      </c>
      <c r="AJY10" s="55">
        <f>AJY9+AJY6</f>
        <v/>
      </c>
      <c r="AJZ10" s="55">
        <f>AJZ9+AJZ6</f>
        <v/>
      </c>
      <c r="AKA10" s="55">
        <f>AKA9+AKA6</f>
        <v/>
      </c>
      <c r="AKB10" s="55">
        <f>AKB9+AKB6</f>
        <v/>
      </c>
      <c r="AKC10" s="55">
        <f>AKC9+AKC6</f>
        <v/>
      </c>
      <c r="AKD10" s="55">
        <f>AKD9+AKD6</f>
        <v/>
      </c>
      <c r="AKE10" s="55">
        <f>AKE9+AKE6</f>
        <v/>
      </c>
      <c r="AKF10" s="55">
        <f>AKF9+AKF6</f>
        <v/>
      </c>
      <c r="AKG10" s="55">
        <f>AKG9+AKG6</f>
        <v/>
      </c>
      <c r="AKH10" s="55">
        <f>AKH9+AKH6</f>
        <v/>
      </c>
      <c r="AKI10" s="55">
        <f>AKI9+AKI6</f>
        <v/>
      </c>
      <c r="AKJ10" s="55">
        <f>AKJ9+AKJ6</f>
        <v/>
      </c>
      <c r="AKK10" s="55">
        <f>AKK9+AKK6</f>
        <v/>
      </c>
      <c r="AKL10" s="55">
        <f>AKL9+AKL6</f>
        <v/>
      </c>
      <c r="AKM10" s="55">
        <f>AKM9+AKM6</f>
        <v/>
      </c>
      <c r="AKN10" s="53" t="n"/>
      <c r="AKO10" s="55">
        <f>AKO9+AKO6</f>
        <v/>
      </c>
      <c r="AKP10" s="55">
        <f>AKP9+AKP6</f>
        <v/>
      </c>
      <c r="AKQ10" s="55">
        <f>AKQ9+AKQ6</f>
        <v/>
      </c>
      <c r="AKR10" s="55">
        <f>AKR9+AKR6</f>
        <v/>
      </c>
      <c r="AKS10" s="55">
        <f>AKS9+AKS6</f>
        <v/>
      </c>
      <c r="AKT10" s="55">
        <f>AKT9+AKT6</f>
        <v/>
      </c>
      <c r="AKU10" s="55">
        <f>AKU9+AKU6</f>
        <v/>
      </c>
      <c r="AKV10" s="55">
        <f>AKV9+AKV6</f>
        <v/>
      </c>
      <c r="AKW10" s="55">
        <f>AKW9+AKW6</f>
        <v/>
      </c>
      <c r="AKX10" s="55">
        <f>AKX9+AKX6</f>
        <v/>
      </c>
      <c r="AKY10" s="55">
        <f>AKY9+AKY6</f>
        <v/>
      </c>
      <c r="AKZ10" s="55">
        <f>AKZ9+AKZ6</f>
        <v/>
      </c>
      <c r="ALA10" s="55">
        <f>ALA9+ALA6</f>
        <v/>
      </c>
      <c r="ALB10" s="55">
        <f>ALB9+ALB6</f>
        <v/>
      </c>
      <c r="ALC10" s="55">
        <f>ALC9+ALC6</f>
        <v/>
      </c>
      <c r="ALD10" s="55">
        <f>ALD9+ALD6</f>
        <v/>
      </c>
      <c r="ALE10" s="55">
        <f>ALE9+ALE6</f>
        <v/>
      </c>
      <c r="ALF10" s="55">
        <f>ALF9+ALF6</f>
        <v/>
      </c>
      <c r="ALG10" s="55">
        <f>ALG9+ALG6</f>
        <v/>
      </c>
      <c r="ALH10" s="55">
        <f>ALH9+ALH6</f>
        <v/>
      </c>
      <c r="ALI10" s="55">
        <f>ALI9+ALI6</f>
        <v/>
      </c>
      <c r="ALJ10" s="55">
        <f>ALJ9+ALJ6</f>
        <v/>
      </c>
      <c r="ALK10" s="55">
        <f>ALK9+ALK6</f>
        <v/>
      </c>
      <c r="ALL10" s="55">
        <f>ALL9+ALL6</f>
        <v/>
      </c>
      <c r="ALM10" s="55">
        <f>ALM9+ALM6</f>
        <v/>
      </c>
      <c r="ALN10" s="55">
        <f>ALN9+ALN6</f>
        <v/>
      </c>
      <c r="ALO10" s="55">
        <f>ALO9+ALO6</f>
        <v/>
      </c>
      <c r="ALP10" s="55">
        <f>ALP9+ALP6</f>
        <v/>
      </c>
      <c r="ALQ10" s="55">
        <f>ALQ9+ALQ6</f>
        <v/>
      </c>
      <c r="ALR10" s="55">
        <f>ALR9+ALR6</f>
        <v/>
      </c>
      <c r="ALS10" s="55">
        <f>ALS9+ALS6</f>
        <v/>
      </c>
      <c r="ALT10" s="130" t="n"/>
      <c r="ALU10" s="55">
        <f>ALU9+ALU6</f>
        <v/>
      </c>
      <c r="ALV10" s="55">
        <f>ALV9+ALV6</f>
        <v/>
      </c>
      <c r="ALW10" s="55">
        <f>ALW9+ALW6</f>
        <v/>
      </c>
      <c r="ALX10" s="55">
        <f>ALX9+ALX6</f>
        <v/>
      </c>
      <c r="ALY10" s="55">
        <f>ALY9+ALY6</f>
        <v/>
      </c>
      <c r="ALZ10" s="55">
        <f>ALZ9+ALZ6</f>
        <v/>
      </c>
      <c r="AMA10" s="55">
        <f>AMA9+AMA6</f>
        <v/>
      </c>
      <c r="AMB10" s="55">
        <f>AMB9+AMB6</f>
        <v/>
      </c>
      <c r="AMC10" s="55">
        <f>AMC9+AMC6</f>
        <v/>
      </c>
      <c r="AMD10" s="55">
        <f>AMD9+AMD6</f>
        <v/>
      </c>
      <c r="AME10" s="55">
        <f>AME9+AME6</f>
        <v/>
      </c>
      <c r="AMF10" s="55">
        <f>AMF9+AMF6</f>
        <v/>
      </c>
      <c r="AMG10" s="55">
        <f>AMG9+AMG6</f>
        <v/>
      </c>
      <c r="AMH10" s="55">
        <f>AMH9+AMH6</f>
        <v/>
      </c>
      <c r="AMI10" s="55">
        <f>AMI9+AMI6</f>
        <v/>
      </c>
      <c r="AMJ10" s="55">
        <f>AMJ9+AMJ6</f>
        <v/>
      </c>
      <c r="AMK10" s="55">
        <f>AMK9+AMK6</f>
        <v/>
      </c>
      <c r="AML10" s="55">
        <f>AML9+AML6</f>
        <v/>
      </c>
      <c r="AMM10" s="55">
        <f>AMM9+AMM6</f>
        <v/>
      </c>
      <c r="AMN10" s="55">
        <f>AMN9+AMN6</f>
        <v/>
      </c>
      <c r="AMO10" s="55">
        <f>AMO9+AMO6</f>
        <v/>
      </c>
      <c r="AMP10" s="55">
        <f>AMP9+AMP6</f>
        <v/>
      </c>
      <c r="AMQ10" s="55">
        <f>AMQ9+AMQ6</f>
        <v/>
      </c>
      <c r="AMR10" s="55">
        <f>AMR9+AMR6</f>
        <v/>
      </c>
      <c r="AMS10" s="55">
        <f>AMS9+AMS6</f>
        <v/>
      </c>
      <c r="AMT10" s="55">
        <f>AMT9+AMT6</f>
        <v/>
      </c>
      <c r="AMU10" s="55">
        <f>AMU9+AMU6</f>
        <v/>
      </c>
      <c r="AMV10" s="55">
        <f>AMV9+AMV6</f>
        <v/>
      </c>
      <c r="AMW10" s="55">
        <f>AMW9+AMW6</f>
        <v/>
      </c>
      <c r="AMX10" s="55">
        <f>AMX9+AMX6</f>
        <v/>
      </c>
      <c r="AMY10" s="130" t="n"/>
      <c r="AMZ10" s="55">
        <f>AMZ9+AMZ6</f>
        <v/>
      </c>
      <c r="ANA10" s="55">
        <f>ANA9+ANA6</f>
        <v/>
      </c>
      <c r="ANB10" s="55">
        <f>ANB9+ANB6</f>
        <v/>
      </c>
      <c r="ANC10" s="55">
        <f>ANC9+ANC6</f>
        <v/>
      </c>
      <c r="AND10" s="55">
        <f>AND9+AND6</f>
        <v/>
      </c>
      <c r="ANE10" s="55">
        <f>ANE9+ANE6</f>
        <v/>
      </c>
      <c r="ANF10" s="55">
        <f>ANF9+ANF6</f>
        <v/>
      </c>
      <c r="ANG10" s="55">
        <f>ANG9+ANG6</f>
        <v/>
      </c>
      <c r="ANH10" s="55">
        <f>ANH9+ANH6</f>
        <v/>
      </c>
      <c r="ANI10" s="55">
        <f>ANI9+ANI6</f>
        <v/>
      </c>
      <c r="ANJ10" s="55">
        <f>ANJ9+ANJ6</f>
        <v/>
      </c>
      <c r="ANK10" s="55">
        <f>ANK9+ANK6</f>
        <v/>
      </c>
      <c r="ANL10" s="55">
        <f>ANL9+ANL6</f>
        <v/>
      </c>
      <c r="ANM10" s="55">
        <f>ANM9+ANM6</f>
        <v/>
      </c>
      <c r="ANN10" s="55">
        <f>ANN9+ANN6</f>
        <v/>
      </c>
      <c r="ANO10" s="55">
        <f>ANO9+ANO6</f>
        <v/>
      </c>
      <c r="ANP10" s="55">
        <f>ANP9+ANP6</f>
        <v/>
      </c>
      <c r="ANQ10" s="55">
        <f>ANQ9+ANQ6</f>
        <v/>
      </c>
      <c r="ANR10" s="55">
        <f>ANR9+ANR6</f>
        <v/>
      </c>
      <c r="ANS10" s="55">
        <f>ANS9+ANS6</f>
        <v/>
      </c>
      <c r="ANT10" s="55">
        <f>ANT9+ANT6</f>
        <v/>
      </c>
      <c r="ANU10" s="55">
        <f>ANU9+ANU6</f>
        <v/>
      </c>
      <c r="ANV10" s="55">
        <f>ANV9+ANV6</f>
        <v/>
      </c>
      <c r="ANW10" s="55">
        <f>ANW9+ANW6</f>
        <v/>
      </c>
      <c r="ANX10" s="55">
        <f>ANX9+ANX6</f>
        <v/>
      </c>
      <c r="ANY10" s="55">
        <f>ANY9+ANY6</f>
        <v/>
      </c>
      <c r="ANZ10" s="55">
        <f>ANZ9+ANZ6</f>
        <v/>
      </c>
      <c r="AOA10" s="55">
        <f>AOA9+AOA6</f>
        <v/>
      </c>
      <c r="AOB10" s="55">
        <f>AOB9+AOB6</f>
        <v/>
      </c>
      <c r="AOC10" s="55">
        <f>AOC9+AOC6</f>
        <v/>
      </c>
    </row>
    <row r="11">
      <c r="A11" s="174" t="n"/>
      <c r="B11" s="13" t="inlineStr">
        <is>
          <t>STOCK VALUE LUBES</t>
        </is>
      </c>
      <c r="C11" s="57" t="n">
        <v>7217036</v>
      </c>
      <c r="D11" s="57" t="n">
        <v>7217036</v>
      </c>
      <c r="E11" s="57" t="n">
        <v>8481819</v>
      </c>
      <c r="F11" s="57">
        <f>E11</f>
        <v/>
      </c>
      <c r="G11" s="57" t="n">
        <v>8193596</v>
      </c>
      <c r="H11" s="57" t="n">
        <v>8170887</v>
      </c>
      <c r="I11" s="57">
        <f>H11</f>
        <v/>
      </c>
      <c r="J11" s="57" t="n">
        <v>9397585</v>
      </c>
      <c r="K11" s="57" t="n">
        <v>9333398</v>
      </c>
      <c r="L11" s="57" t="n">
        <v>9303498</v>
      </c>
      <c r="M11" s="57" t="n">
        <v>13672401</v>
      </c>
      <c r="N11" s="57" t="n">
        <v>13590112</v>
      </c>
      <c r="O11" s="57" t="n">
        <v>13443346</v>
      </c>
      <c r="P11" s="57" t="n">
        <v>13371084</v>
      </c>
      <c r="Q11" s="57" t="n">
        <v>12984570</v>
      </c>
      <c r="R11" s="57" t="n">
        <v>12868562</v>
      </c>
      <c r="S11" s="57" t="n">
        <v>12798605</v>
      </c>
      <c r="T11" s="57" t="n">
        <v>12606097</v>
      </c>
      <c r="U11" s="57" t="n">
        <v>12576049</v>
      </c>
      <c r="V11" s="57" t="n">
        <v>12389566</v>
      </c>
      <c r="W11" s="57" t="n">
        <v>12166258</v>
      </c>
      <c r="X11" s="57" t="n">
        <v>12153403</v>
      </c>
      <c r="Y11" s="57" t="n">
        <v>12028545</v>
      </c>
      <c r="Z11" s="57" t="n">
        <v>11880843</v>
      </c>
      <c r="AA11" s="57" t="n">
        <v>11853145</v>
      </c>
      <c r="AB11" s="57" t="n">
        <v>11604755</v>
      </c>
      <c r="AC11" s="57" t="n">
        <v>11525781</v>
      </c>
      <c r="AD11" s="57" t="n">
        <v>11281220</v>
      </c>
      <c r="AE11" s="57" t="n">
        <v>11271516</v>
      </c>
      <c r="AF11" s="57" t="n">
        <v>14955062</v>
      </c>
      <c r="AG11" s="57" t="n">
        <v>16032831</v>
      </c>
      <c r="AH11" s="67">
        <f>AG11</f>
        <v/>
      </c>
      <c r="AI11" s="57" t="n">
        <v>15757743</v>
      </c>
      <c r="AJ11" s="57" t="n">
        <v>15667415</v>
      </c>
      <c r="AK11" s="57" t="n">
        <v>15516106</v>
      </c>
      <c r="AL11" s="57" t="n">
        <v>15487015</v>
      </c>
      <c r="AM11" s="57" t="n">
        <v>16657186</v>
      </c>
      <c r="AN11" s="57" t="n">
        <v>16587209</v>
      </c>
      <c r="AO11" s="57" t="n">
        <v>16546727</v>
      </c>
      <c r="AP11" s="57" t="n">
        <v>16457182</v>
      </c>
      <c r="AQ11" s="57" t="n">
        <v>16197220</v>
      </c>
      <c r="AR11" s="57" t="n">
        <v>16038776</v>
      </c>
      <c r="AS11" s="57" t="n">
        <v>15856681</v>
      </c>
      <c r="AT11" s="57" t="n">
        <v>15385949</v>
      </c>
      <c r="AU11" s="57" t="n">
        <v>15061601</v>
      </c>
      <c r="AV11" s="57" t="n">
        <v>14903910</v>
      </c>
      <c r="AW11" s="57" t="n">
        <v>14753448</v>
      </c>
      <c r="AX11" s="57" t="n">
        <v>14560413</v>
      </c>
      <c r="AY11" s="57" t="n">
        <v>14389822</v>
      </c>
      <c r="AZ11" s="57" t="n">
        <v>14298329</v>
      </c>
      <c r="BA11" s="57" t="n">
        <v>13862417</v>
      </c>
      <c r="BB11" s="57" t="n">
        <v>13602192</v>
      </c>
      <c r="BC11" s="57" t="n">
        <v>13457955</v>
      </c>
      <c r="BD11" s="57" t="n">
        <v>13457955</v>
      </c>
      <c r="BE11" s="57" t="n">
        <v>13030031</v>
      </c>
      <c r="BF11" s="57" t="n">
        <v>12996631</v>
      </c>
      <c r="BG11" s="57" t="n">
        <v>12781550</v>
      </c>
      <c r="BH11" s="57" t="n">
        <v>12071123</v>
      </c>
      <c r="BI11" s="57" t="n">
        <v>11637404</v>
      </c>
      <c r="BJ11" s="57" t="n">
        <v>11491742</v>
      </c>
      <c r="BK11" s="57" t="n">
        <v>11304512</v>
      </c>
      <c r="BL11" s="57" t="n">
        <v>10771871</v>
      </c>
      <c r="BM11" s="106">
        <f>BL11</f>
        <v/>
      </c>
      <c r="BN11" s="57" t="n">
        <v>10664972</v>
      </c>
      <c r="BO11" s="57" t="n">
        <v>10586288</v>
      </c>
      <c r="BP11" s="57" t="n">
        <v>10489779</v>
      </c>
      <c r="BQ11" s="57" t="n">
        <v>9988678</v>
      </c>
      <c r="BR11" s="57" t="n">
        <v>9874423</v>
      </c>
      <c r="BS11" s="57" t="n">
        <v>9749600</v>
      </c>
      <c r="BT11" s="57" t="n">
        <v>9431890</v>
      </c>
      <c r="BU11" s="57" t="n">
        <v>9258417</v>
      </c>
      <c r="BV11" s="57" t="n">
        <v>9249420</v>
      </c>
      <c r="BW11" s="57" t="n">
        <v>9028035</v>
      </c>
      <c r="BX11" s="57" t="n">
        <v>8920182</v>
      </c>
      <c r="BY11" s="57" t="n">
        <v>8368724</v>
      </c>
      <c r="BZ11" s="57" t="n">
        <v>40489225</v>
      </c>
      <c r="CA11" s="57" t="n">
        <v>40354188</v>
      </c>
      <c r="CB11" s="57" t="n">
        <v>40246853</v>
      </c>
      <c r="CC11" s="57" t="n">
        <v>40196359</v>
      </c>
      <c r="CD11" s="57" t="n">
        <v>39586243</v>
      </c>
      <c r="CE11" s="57">
        <f>CD11</f>
        <v/>
      </c>
      <c r="CF11" s="57" t="n">
        <v>43667302</v>
      </c>
      <c r="CG11" s="57" t="n">
        <v>43607982</v>
      </c>
      <c r="CH11" s="57" t="n">
        <v>43079902</v>
      </c>
      <c r="CI11" s="57" t="n">
        <v>42875822</v>
      </c>
      <c r="CJ11" s="57" t="n">
        <v>42588302</v>
      </c>
      <c r="CK11" s="57" t="n">
        <v>42344429</v>
      </c>
      <c r="CL11" s="57" t="n">
        <v>42101192</v>
      </c>
      <c r="CM11" s="57" t="n">
        <v>42047992</v>
      </c>
      <c r="CN11" s="57" t="n">
        <v>41827321</v>
      </c>
      <c r="CO11" s="57" t="n">
        <v>40939783</v>
      </c>
      <c r="CP11" s="57" t="n">
        <v>41388442</v>
      </c>
      <c r="CQ11" s="57" t="n">
        <v>40939783</v>
      </c>
      <c r="CR11" s="57" t="n">
        <v>40642342</v>
      </c>
      <c r="CT11" s="57" t="n">
        <v>39532406</v>
      </c>
      <c r="CU11" s="57" t="n">
        <v>39191732</v>
      </c>
      <c r="CV11" s="57" t="n">
        <v>38641391</v>
      </c>
      <c r="CW11" t="n">
        <v>36535655</v>
      </c>
      <c r="CX11" s="57" t="n">
        <v>35685266</v>
      </c>
      <c r="CY11" s="57" t="n">
        <v>35307036</v>
      </c>
      <c r="CZ11" s="57" t="n">
        <v>35172208</v>
      </c>
      <c r="DA11" s="57" t="n">
        <v>34454950</v>
      </c>
      <c r="DB11" s="57" t="n">
        <v>33981365</v>
      </c>
      <c r="DC11" s="57" t="n">
        <v>33594378</v>
      </c>
      <c r="DD11" s="57" t="n">
        <v>33456908</v>
      </c>
      <c r="DE11" s="57" t="n">
        <v>32260538</v>
      </c>
      <c r="DF11" s="57" t="n">
        <v>32097299</v>
      </c>
      <c r="DG11" s="57" t="n">
        <v>33926249</v>
      </c>
      <c r="DH11" s="57" t="n">
        <v>33494968</v>
      </c>
      <c r="DI11" s="57" t="n">
        <v>33384564</v>
      </c>
      <c r="DJ11" s="57" t="n">
        <v>32713310</v>
      </c>
      <c r="DK11" s="57" t="n">
        <v>32015571</v>
      </c>
      <c r="DL11" s="57" t="n">
        <v>31797057</v>
      </c>
      <c r="DM11" s="57" t="n">
        <v>31292373</v>
      </c>
      <c r="DN11" s="57" t="n">
        <v>30628507</v>
      </c>
      <c r="DO11" s="57" t="n">
        <v>30137800</v>
      </c>
      <c r="DP11" s="57" t="n">
        <v>29741565</v>
      </c>
      <c r="DQ11" s="57" t="n">
        <v>29465971</v>
      </c>
      <c r="DR11" s="57" t="n">
        <v>28627174</v>
      </c>
      <c r="DS11" s="57" t="n">
        <v>28512967</v>
      </c>
      <c r="DT11" s="57" t="n">
        <v>28183604</v>
      </c>
      <c r="DU11" s="57" t="n">
        <v>27631540</v>
      </c>
      <c r="DV11" s="57" t="n">
        <v>26846703</v>
      </c>
      <c r="DW11" s="57" t="n">
        <v>26588211</v>
      </c>
      <c r="DX11" s="117" t="n"/>
      <c r="DY11" s="57" t="n">
        <v>26317629</v>
      </c>
      <c r="DZ11" s="57" t="n">
        <v>26137755</v>
      </c>
      <c r="EA11" s="57" t="n">
        <v>25797307</v>
      </c>
      <c r="EB11" s="57" t="n">
        <v>25392712</v>
      </c>
      <c r="EC11" s="57" t="n">
        <v>25103317</v>
      </c>
      <c r="ED11" s="57" t="n">
        <v>24649815</v>
      </c>
      <c r="EE11" s="57" t="n">
        <v>23692529</v>
      </c>
      <c r="EF11" s="57" t="n">
        <v>22577032</v>
      </c>
      <c r="EG11" s="57" t="n">
        <v>22287162</v>
      </c>
      <c r="EH11" s="57" t="n">
        <v>22186165</v>
      </c>
      <c r="EI11" s="57" t="n">
        <v>22139245</v>
      </c>
      <c r="EJ11" s="57" t="n">
        <v>21367473</v>
      </c>
      <c r="EK11" s="57" t="n">
        <v>20949544</v>
      </c>
      <c r="EL11" s="57" t="n">
        <v>20485168</v>
      </c>
      <c r="EM11" s="57" t="n">
        <v>20196694</v>
      </c>
      <c r="EN11" s="57" t="n">
        <v>19910310</v>
      </c>
      <c r="EO11" s="57" t="n">
        <v>19287117</v>
      </c>
      <c r="EP11" s="57" t="n">
        <v>18447161</v>
      </c>
      <c r="EQ11" s="57" t="n">
        <v>17874603</v>
      </c>
      <c r="ER11" s="57" t="n">
        <v>17302044</v>
      </c>
      <c r="ES11" s="57" t="n">
        <v>20671835</v>
      </c>
      <c r="ET11" s="57" t="n">
        <v>19733103</v>
      </c>
      <c r="EU11" s="57" t="n">
        <v>19208319</v>
      </c>
      <c r="EV11" s="57" t="n">
        <v>18756599</v>
      </c>
      <c r="EW11" s="57" t="n">
        <v>18684999</v>
      </c>
      <c r="EX11" s="57" t="n">
        <v>18016859</v>
      </c>
      <c r="EY11" s="57" t="n">
        <v>17664553</v>
      </c>
      <c r="EZ11" s="57" t="n">
        <v>16997153</v>
      </c>
      <c r="FA11" s="57" t="n">
        <v>16496739</v>
      </c>
      <c r="FB11" s="57" t="n">
        <v>16005259</v>
      </c>
      <c r="FC11" s="57" t="n">
        <v>15913259</v>
      </c>
      <c r="FD11" s="126" t="n"/>
      <c r="FE11" s="57" t="n">
        <v>15144030</v>
      </c>
      <c r="FF11" s="57" t="n">
        <v>15038230</v>
      </c>
      <c r="FG11" s="57" t="n">
        <v>14777837</v>
      </c>
      <c r="FH11" s="57" t="n">
        <v>14651765</v>
      </c>
      <c r="FI11" s="57" t="n">
        <v>13648883</v>
      </c>
      <c r="FJ11" s="57" t="n">
        <v>13053917</v>
      </c>
      <c r="FK11" s="57" t="n">
        <v>12804437</v>
      </c>
      <c r="FL11" s="57" t="n">
        <v>12804437</v>
      </c>
      <c r="FM11" s="57" t="n">
        <v>12444567</v>
      </c>
      <c r="FN11" s="57" t="n">
        <v>14129519</v>
      </c>
      <c r="FO11" s="57" t="n">
        <v>14030965</v>
      </c>
      <c r="FP11" s="57" t="n">
        <v>13749551</v>
      </c>
      <c r="FQ11" s="57" t="n">
        <v>16377816</v>
      </c>
      <c r="FR11" s="57" t="n">
        <v>16024536</v>
      </c>
      <c r="FS11" s="57" t="n">
        <v>14804232</v>
      </c>
      <c r="FT11" s="57" t="n">
        <v>14341930</v>
      </c>
      <c r="FU11" s="57" t="n">
        <v>14128225</v>
      </c>
      <c r="FV11" s="57" t="n">
        <v>13786090</v>
      </c>
      <c r="FW11" s="57" t="n">
        <v>13200050</v>
      </c>
      <c r="FX11" s="57" t="n">
        <v>12841751</v>
      </c>
      <c r="FY11" s="57" t="n">
        <v>12643948</v>
      </c>
      <c r="FZ11" s="57" t="n">
        <v>12122015</v>
      </c>
      <c r="GA11" s="57" t="n">
        <v>28380804</v>
      </c>
      <c r="GB11" s="57" t="n">
        <v>28266830</v>
      </c>
      <c r="GC11" s="57" t="n">
        <v>27878216</v>
      </c>
      <c r="GD11" s="57" t="n">
        <v>26922437</v>
      </c>
      <c r="GE11" s="57" t="n">
        <v>25575715</v>
      </c>
      <c r="GF11" s="57" t="n">
        <v>25499003</v>
      </c>
      <c r="GG11" s="57" t="n">
        <v>25228429</v>
      </c>
      <c r="GH11" s="57" t="n">
        <v>25210029</v>
      </c>
      <c r="GI11" s="57" t="n">
        <v>24799709</v>
      </c>
      <c r="GJ11" s="130" t="n"/>
      <c r="GK11" s="57" t="n">
        <v>24585349</v>
      </c>
      <c r="GL11" s="57" t="n">
        <v>23993935</v>
      </c>
      <c r="GM11" s="57" t="n">
        <v>23617655</v>
      </c>
      <c r="GN11" s="57" t="n">
        <v>23547735</v>
      </c>
      <c r="GO11" s="57" t="n">
        <v>25548382</v>
      </c>
      <c r="GP11" s="57" t="n">
        <v>25253439</v>
      </c>
      <c r="GQ11" s="57" t="n">
        <v>24472685</v>
      </c>
      <c r="GR11" s="57" t="n">
        <v>24399085</v>
      </c>
      <c r="GS11" s="57" t="n">
        <v>24018686</v>
      </c>
      <c r="GT11" s="57" t="n">
        <v>23660685</v>
      </c>
      <c r="GU11" s="57" t="n">
        <v>26055044</v>
      </c>
      <c r="GV11" s="57" t="n">
        <v>24356151</v>
      </c>
      <c r="GW11" s="57" t="n">
        <v>23588331</v>
      </c>
      <c r="GX11" s="57" t="n">
        <v>23397285</v>
      </c>
      <c r="GY11" s="57" t="n">
        <v>23317778</v>
      </c>
      <c r="GZ11" s="57" t="n">
        <v>30799147</v>
      </c>
      <c r="HA11" s="57" t="n">
        <v>29385731</v>
      </c>
      <c r="HB11" s="57" t="n">
        <v>28941061</v>
      </c>
      <c r="HC11" s="57" t="n">
        <v>28623497</v>
      </c>
      <c r="HD11" s="57" t="n">
        <v>28342897</v>
      </c>
      <c r="HE11" s="57" t="n">
        <v>27964609</v>
      </c>
      <c r="HF11" s="57" t="n">
        <v>27504629</v>
      </c>
      <c r="HG11" s="57" t="n">
        <v>29709878</v>
      </c>
      <c r="HH11" s="57" t="n">
        <v>28896688</v>
      </c>
      <c r="HI11" s="57" t="n">
        <v>28424304</v>
      </c>
      <c r="HJ11" s="57" t="n">
        <v>27468014</v>
      </c>
      <c r="HK11" s="57" t="n">
        <v>27087294</v>
      </c>
      <c r="HL11" s="57" t="n">
        <v>26525545</v>
      </c>
      <c r="HM11" s="57" t="n">
        <v>26160204</v>
      </c>
      <c r="HN11" s="130" t="n"/>
      <c r="HO11" s="57" t="n">
        <v>25492070</v>
      </c>
      <c r="HP11" s="57" t="n">
        <v>25252056</v>
      </c>
      <c r="HQ11" s="57" t="n">
        <v>27725456</v>
      </c>
      <c r="HR11" s="57" t="n">
        <v>27337312</v>
      </c>
      <c r="HS11" s="57" t="n">
        <v>28156112</v>
      </c>
      <c r="HT11" s="57" t="n">
        <v>27423205</v>
      </c>
      <c r="HU11" s="57" t="n">
        <v>27213445</v>
      </c>
      <c r="HV11" s="57" t="n">
        <v>26346081</v>
      </c>
      <c r="HW11" s="57" t="n">
        <v>25960601</v>
      </c>
      <c r="HX11" s="57" t="n">
        <v>25881481</v>
      </c>
      <c r="HY11" s="57" t="n">
        <v>24964461</v>
      </c>
      <c r="HZ11" s="57" t="n">
        <v>24176969</v>
      </c>
      <c r="IA11" s="57" t="n">
        <v>23649965</v>
      </c>
      <c r="IB11" s="57" t="n">
        <v>23260609</v>
      </c>
      <c r="IC11" s="57" t="n">
        <v>22829658</v>
      </c>
      <c r="ID11" s="57" t="n">
        <v>22380380</v>
      </c>
      <c r="IE11" s="57" t="n">
        <v>22015898</v>
      </c>
      <c r="IF11" s="57" t="n">
        <v>20798422</v>
      </c>
      <c r="IG11" s="57" t="n">
        <v>20834332</v>
      </c>
      <c r="IH11" s="57" t="n">
        <v>20387758</v>
      </c>
      <c r="II11" s="57" t="n">
        <v>30813988</v>
      </c>
      <c r="IJ11" s="57" t="n">
        <v>30319948</v>
      </c>
      <c r="IK11" s="57" t="n">
        <v>29540705</v>
      </c>
      <c r="IL11" s="57" t="n">
        <v>29280971</v>
      </c>
      <c r="IM11" s="57" t="n">
        <v>28884559</v>
      </c>
      <c r="IN11" s="57" t="n">
        <v>28319945</v>
      </c>
      <c r="IO11" s="57" t="n">
        <v>28036585</v>
      </c>
      <c r="IP11" s="57" t="n">
        <v>27009767</v>
      </c>
      <c r="IQ11" s="57" t="n">
        <v>26243233</v>
      </c>
      <c r="IR11" s="57" t="n">
        <v>26163563</v>
      </c>
      <c r="IS11" s="57" t="n">
        <v>25968414</v>
      </c>
      <c r="IT11" s="130" t="n"/>
      <c r="IU11" s="57" t="n">
        <v>25418220</v>
      </c>
      <c r="IV11" s="57" t="n">
        <v>24719400</v>
      </c>
      <c r="IW11" s="57" t="n">
        <v>23726960</v>
      </c>
      <c r="IX11" s="57" t="n">
        <v>23126606</v>
      </c>
      <c r="IY11" s="57" t="n">
        <v>22178486</v>
      </c>
      <c r="IZ11" s="57" t="n">
        <v>21401066</v>
      </c>
      <c r="JA11" s="57" t="n">
        <v>20708742</v>
      </c>
      <c r="JB11" s="57" t="n">
        <v>19983402</v>
      </c>
      <c r="JC11" s="57" t="n">
        <v>19305142</v>
      </c>
      <c r="JD11" s="57" t="n">
        <v>19272022</v>
      </c>
      <c r="JE11" s="57" t="n">
        <v>18502172</v>
      </c>
      <c r="JF11" s="57" t="n">
        <v>18077566</v>
      </c>
      <c r="JG11" s="57" t="n">
        <v>24727331</v>
      </c>
      <c r="JH11" s="57" t="n">
        <v>24637981</v>
      </c>
      <c r="JI11" s="57" t="n">
        <v>24212301</v>
      </c>
      <c r="JJ11" s="57" t="n">
        <v>23914251</v>
      </c>
      <c r="JK11" s="57" t="n">
        <v>23298678</v>
      </c>
      <c r="JL11" s="57" t="n">
        <v>23279248</v>
      </c>
      <c r="JM11" s="57" t="n">
        <v>22536128</v>
      </c>
      <c r="JN11" s="57" t="n">
        <v>21990694</v>
      </c>
      <c r="JO11" s="57" t="n">
        <v>21671504</v>
      </c>
      <c r="JP11" s="57" t="n">
        <v>21562074</v>
      </c>
      <c r="JQ11" s="57" t="n">
        <v>21201550</v>
      </c>
      <c r="JR11" s="57" t="n">
        <v>20925456</v>
      </c>
      <c r="JS11" s="57" t="n">
        <v>20512908</v>
      </c>
      <c r="JT11" s="57" t="n">
        <v>20313748</v>
      </c>
      <c r="JU11" s="57" t="n">
        <v>19661218</v>
      </c>
      <c r="JV11" s="57" t="n">
        <v>19244138</v>
      </c>
      <c r="JW11" s="57" t="n">
        <v>18903905</v>
      </c>
      <c r="JX11" s="57" t="n">
        <v>18360315</v>
      </c>
      <c r="JY11" s="139" t="n"/>
      <c r="JZ11" s="57" t="n">
        <v>17692211</v>
      </c>
      <c r="KA11" s="57" t="n">
        <v>17413891</v>
      </c>
      <c r="KB11" s="57" t="n">
        <v>16256751</v>
      </c>
      <c r="KC11" s="57" t="n">
        <v>15746972</v>
      </c>
      <c r="KD11" s="57" t="n">
        <v>15521996</v>
      </c>
      <c r="KE11" s="57" t="n">
        <v>14317786</v>
      </c>
      <c r="KF11" s="57" t="n">
        <v>28526529</v>
      </c>
      <c r="KG11" s="57" t="n">
        <v>27627929</v>
      </c>
      <c r="KH11" s="57" t="n">
        <v>26863733</v>
      </c>
      <c r="KI11" s="57" t="n">
        <v>24662265</v>
      </c>
      <c r="KJ11" s="57" t="n">
        <v>24087585</v>
      </c>
      <c r="KK11" s="57" t="n">
        <v>38063488</v>
      </c>
      <c r="KL11" s="57" t="n">
        <v>37925488</v>
      </c>
      <c r="KM11" s="57" t="n">
        <v>17692211</v>
      </c>
      <c r="KN11" s="57" t="n">
        <v>37785709</v>
      </c>
      <c r="KO11" s="57" t="n">
        <v>37504439</v>
      </c>
      <c r="KP11" s="57" t="n">
        <v>35766439</v>
      </c>
      <c r="KQ11" s="57" t="n">
        <v>36001681</v>
      </c>
      <c r="KR11" s="57" t="n">
        <v>35511633</v>
      </c>
      <c r="KS11" s="57" t="n">
        <v>34949263</v>
      </c>
      <c r="KT11" s="57" t="n">
        <v>34633703</v>
      </c>
      <c r="KU11" s="57" t="n">
        <v>35740309</v>
      </c>
      <c r="KV11" s="57" t="n">
        <v>35245649</v>
      </c>
      <c r="KW11" s="57" t="n">
        <v>34791681</v>
      </c>
      <c r="KX11" s="57" t="n">
        <v>34204268</v>
      </c>
      <c r="KY11" s="57" t="n">
        <v>33776638</v>
      </c>
      <c r="KZ11" s="57" t="n">
        <v>33131680</v>
      </c>
      <c r="LA11" s="57" t="n">
        <v>32498308</v>
      </c>
      <c r="LB11" s="57" t="n">
        <v>31875158</v>
      </c>
      <c r="LC11" s="57" t="n">
        <v>30369220</v>
      </c>
      <c r="LD11" s="57" t="n">
        <v>29919518</v>
      </c>
      <c r="LE11" s="130" t="n"/>
      <c r="LF11" s="57" t="n">
        <v>28205318</v>
      </c>
      <c r="LG11" s="57" t="n">
        <v>28205318</v>
      </c>
      <c r="LH11" s="57" t="n">
        <v>30924000</v>
      </c>
      <c r="LI11" s="57" t="n">
        <v>30269337</v>
      </c>
      <c r="LJ11" s="57" t="n">
        <v>29503307</v>
      </c>
      <c r="LK11" s="57" t="n">
        <v>29350037</v>
      </c>
      <c r="LL11" s="57" t="n">
        <v>29290127</v>
      </c>
      <c r="LM11" s="57" t="n">
        <v>37090692</v>
      </c>
      <c r="LN11" s="57" t="n">
        <v>37075752</v>
      </c>
      <c r="LO11" s="57" t="n">
        <v>36479402</v>
      </c>
      <c r="LP11" s="57" t="n">
        <v>36032332</v>
      </c>
      <c r="LQ11" s="57" t="n">
        <v>34927775</v>
      </c>
      <c r="LR11" s="57" t="n">
        <v>34726181</v>
      </c>
      <c r="LS11" s="57" t="n">
        <v>33600532</v>
      </c>
      <c r="LT11" s="57" t="n">
        <v>33139031</v>
      </c>
      <c r="LU11" s="57" t="n">
        <v>33094660</v>
      </c>
      <c r="LV11" s="57" t="n">
        <v>32487772</v>
      </c>
      <c r="LW11" s="57" t="n">
        <v>32366094</v>
      </c>
      <c r="LX11" s="57" t="n">
        <v>34934818</v>
      </c>
      <c r="LY11" s="57" t="n">
        <v>34551499</v>
      </c>
      <c r="LZ11" s="57" t="n">
        <v>33844730</v>
      </c>
      <c r="MA11" s="57" t="n">
        <v>33191313</v>
      </c>
      <c r="MB11" s="57" t="n">
        <v>32402266</v>
      </c>
      <c r="MC11" s="57" t="n">
        <v>31831466</v>
      </c>
      <c r="MD11" s="57" t="n">
        <v>31704001</v>
      </c>
      <c r="ME11" s="57" t="n">
        <v>30676820</v>
      </c>
      <c r="MF11" s="57" t="n">
        <v>29724188</v>
      </c>
      <c r="MG11" s="57" t="n">
        <v>29272948</v>
      </c>
      <c r="MH11" s="57" t="n">
        <v>28344324</v>
      </c>
      <c r="MI11" s="57" t="n">
        <v>28124334</v>
      </c>
      <c r="MJ11" s="139" t="n"/>
      <c r="MK11" s="57" t="n">
        <v>26797085</v>
      </c>
      <c r="ML11" s="57" t="n">
        <v>26596569</v>
      </c>
      <c r="MM11" s="57" t="n">
        <v>26332233</v>
      </c>
      <c r="MN11" s="57" t="n">
        <v>25682981</v>
      </c>
      <c r="MO11" s="57" t="n">
        <v>32516240</v>
      </c>
      <c r="MP11" s="57" t="n">
        <v>32018852</v>
      </c>
      <c r="MQ11" s="57" t="n">
        <v>32382971</v>
      </c>
      <c r="MR11" s="57" t="n">
        <v>31972516</v>
      </c>
      <c r="MS11" s="57" t="n">
        <v>31163445</v>
      </c>
      <c r="MT11" s="57" t="n">
        <v>30726602</v>
      </c>
      <c r="MU11" s="57" t="n">
        <v>30374534</v>
      </c>
      <c r="MV11" s="57" t="n">
        <v>33730397</v>
      </c>
      <c r="MW11" s="57" t="n">
        <v>33410740</v>
      </c>
      <c r="MX11" s="57" t="n">
        <v>32697448</v>
      </c>
      <c r="MY11" s="57" t="n">
        <v>32609440</v>
      </c>
      <c r="MZ11" s="57" t="n">
        <v>32162321</v>
      </c>
      <c r="NA11" s="57" t="n">
        <v>30696680</v>
      </c>
      <c r="NB11" s="57" t="n">
        <v>29634440</v>
      </c>
      <c r="NC11" s="57" t="n">
        <v>28933171</v>
      </c>
      <c r="ND11" s="57" t="n">
        <v>28379674</v>
      </c>
      <c r="NE11" s="57" t="n">
        <v>28102458</v>
      </c>
      <c r="NF11" s="57" t="n">
        <v>27653825</v>
      </c>
      <c r="NG11" s="57" t="n">
        <v>29669923</v>
      </c>
      <c r="NH11" s="57" t="n">
        <v>29138277</v>
      </c>
      <c r="NI11" s="57" t="n">
        <v>28805123</v>
      </c>
      <c r="NJ11" s="57" t="n">
        <v>30568127</v>
      </c>
      <c r="NK11" s="57" t="n">
        <v>30020487</v>
      </c>
      <c r="NL11" s="57" t="n">
        <v>29141101</v>
      </c>
      <c r="NM11" s="57" t="n">
        <v>28900659</v>
      </c>
      <c r="NN11" s="57" t="n">
        <v>27484871</v>
      </c>
      <c r="NO11" s="57" t="n">
        <v>29177537</v>
      </c>
      <c r="NP11" s="139" t="n"/>
      <c r="NQ11" s="57" t="n">
        <v>28923689</v>
      </c>
      <c r="NR11" s="57" t="n">
        <v>28333471</v>
      </c>
      <c r="NS11" s="57" t="n">
        <v>28025376</v>
      </c>
      <c r="NT11" s="57" t="n">
        <v>27831272</v>
      </c>
      <c r="NU11" s="57" t="n">
        <v>27135098</v>
      </c>
      <c r="NV11" s="57" t="n">
        <v>26804910</v>
      </c>
      <c r="NW11" s="57" t="n">
        <v>26423376</v>
      </c>
      <c r="NX11" s="57" t="n">
        <v>25787746</v>
      </c>
      <c r="NY11" s="57" t="n">
        <v>25303355</v>
      </c>
      <c r="NZ11" s="57" t="n">
        <v>24829531</v>
      </c>
      <c r="OA11" s="57" t="n">
        <v>24609165</v>
      </c>
      <c r="OB11" s="57" t="n">
        <v>24285245</v>
      </c>
      <c r="OC11" s="57" t="n">
        <v>23176496</v>
      </c>
      <c r="OD11" s="57" t="n">
        <v>22724511</v>
      </c>
      <c r="OE11" s="57" t="n">
        <v>22339723</v>
      </c>
      <c r="OF11" s="57" t="n">
        <v>21524306</v>
      </c>
      <c r="OG11" s="57" t="n">
        <v>26938146</v>
      </c>
      <c r="OH11" s="57" t="n">
        <v>27708495</v>
      </c>
      <c r="OI11" s="57" t="n">
        <v>27206683</v>
      </c>
      <c r="OJ11" s="57" t="n">
        <v>26172497</v>
      </c>
      <c r="OK11" s="57" t="n">
        <v>25908473</v>
      </c>
      <c r="OL11" s="57" t="n">
        <v>25307510</v>
      </c>
      <c r="OM11" s="57" t="n">
        <v>24528021</v>
      </c>
      <c r="ON11" s="57" t="n">
        <v>23967916</v>
      </c>
      <c r="OO11" s="57" t="n">
        <v>23387212</v>
      </c>
      <c r="OP11" s="57" t="n">
        <v>22757652</v>
      </c>
      <c r="OQ11" s="57" t="n">
        <v>21268637</v>
      </c>
      <c r="OR11" s="57" t="n">
        <v>24925675</v>
      </c>
      <c r="OS11" s="57" t="n">
        <v>24081443</v>
      </c>
      <c r="OT11" s="57" t="n">
        <v>22534673</v>
      </c>
      <c r="OU11" s="57" t="n">
        <v>20703853</v>
      </c>
      <c r="OV11" s="130" t="n"/>
      <c r="OW11" s="57" t="n">
        <v>24182343</v>
      </c>
      <c r="OX11" s="57" t="n">
        <v>23096597</v>
      </c>
      <c r="OY11" s="57" t="n">
        <v>22835751</v>
      </c>
      <c r="OZ11" s="57" t="n">
        <v>22186067</v>
      </c>
      <c r="PA11" s="57" t="n">
        <v>21299492</v>
      </c>
      <c r="PB11" s="57" t="n">
        <v>23001568</v>
      </c>
      <c r="PC11" s="57" t="n">
        <v>22519450</v>
      </c>
      <c r="PD11" s="57" t="n">
        <v>21697753</v>
      </c>
      <c r="PE11" s="57" t="n">
        <v>20916833</v>
      </c>
      <c r="PF11" s="57" t="n">
        <v>19715713</v>
      </c>
      <c r="PG11" s="57" t="n">
        <v>23145706</v>
      </c>
      <c r="PH11" s="57" t="n">
        <v>22826702</v>
      </c>
      <c r="PI11" s="57" t="n">
        <v>22558154</v>
      </c>
      <c r="PJ11" s="57" t="n">
        <v>21879884</v>
      </c>
      <c r="PK11" s="57" t="n">
        <v>21613614</v>
      </c>
      <c r="PL11" s="57" t="n">
        <v>21206526</v>
      </c>
      <c r="PM11" s="57" t="n">
        <v>21134175</v>
      </c>
      <c r="PN11" s="57" t="n">
        <v>22510695</v>
      </c>
      <c r="PO11" s="57" t="n">
        <v>21782556</v>
      </c>
      <c r="PP11" s="57" t="n">
        <v>21351750</v>
      </c>
      <c r="PQ11" s="57" t="n">
        <v>21125590</v>
      </c>
      <c r="PR11" s="57" t="n">
        <v>20930682</v>
      </c>
      <c r="PS11" s="57" t="n">
        <v>20000078</v>
      </c>
      <c r="PT11" s="57" t="n">
        <v>19778798</v>
      </c>
      <c r="PU11" s="57" t="n">
        <v>19624230</v>
      </c>
      <c r="PV11" s="57" t="n">
        <v>19345469</v>
      </c>
      <c r="PW11" s="57" t="n">
        <v>18820055</v>
      </c>
      <c r="PX11" s="57" t="n">
        <v>18006779</v>
      </c>
      <c r="PY11" s="57" t="n">
        <v>19857709</v>
      </c>
      <c r="PZ11" s="57" t="n">
        <v>19678957</v>
      </c>
      <c r="QA11" s="130" t="n"/>
      <c r="QB11" s="57" t="n">
        <v>18388372</v>
      </c>
      <c r="QC11" s="57" t="n">
        <v>17973660</v>
      </c>
      <c r="QD11" s="57" t="n">
        <v>18876193</v>
      </c>
      <c r="QE11" s="57" t="n">
        <v>19164864</v>
      </c>
      <c r="QF11" s="57" t="n">
        <v>18982359</v>
      </c>
      <c r="QG11" s="57" t="n">
        <v>18711825</v>
      </c>
      <c r="QH11" s="57" t="n">
        <v>18527873</v>
      </c>
      <c r="QI11" s="57" t="n">
        <v>19503228</v>
      </c>
      <c r="QJ11" s="57" t="n">
        <v>18710772</v>
      </c>
      <c r="QK11" s="57" t="n">
        <v>18170612</v>
      </c>
      <c r="QL11" s="57" t="n">
        <v>17324731</v>
      </c>
      <c r="QM11" s="57" t="n">
        <v>19868795</v>
      </c>
      <c r="QN11" s="57" t="n">
        <v>19537170</v>
      </c>
      <c r="QO11" s="57" t="n">
        <v>21160425</v>
      </c>
      <c r="QP11" s="57" t="n">
        <v>19970261</v>
      </c>
      <c r="QQ11" s="57" t="n">
        <v>19830421</v>
      </c>
      <c r="QR11" s="57" t="n">
        <v>18955753</v>
      </c>
      <c r="QS11" s="57" t="n">
        <v>18776353</v>
      </c>
      <c r="QT11" s="57" t="n">
        <v>17497176</v>
      </c>
      <c r="QU11" s="57" t="n">
        <v>17043860</v>
      </c>
      <c r="QV11" s="57" t="n">
        <v>16729563</v>
      </c>
      <c r="QW11" s="57" t="n">
        <v>16063615</v>
      </c>
      <c r="QX11" s="57" t="n">
        <v>15354429</v>
      </c>
      <c r="QY11" s="57" t="n">
        <v>14447685</v>
      </c>
      <c r="QZ11" s="57" t="n">
        <v>13278037</v>
      </c>
      <c r="RA11" s="57" t="n">
        <v>12914237</v>
      </c>
      <c r="RB11" s="57" t="n">
        <v>12083247</v>
      </c>
      <c r="RC11" s="57" t="n">
        <v>14908124</v>
      </c>
      <c r="RD11" s="57" t="n">
        <v>14399161</v>
      </c>
      <c r="RE11" s="57" t="n">
        <v>13565333</v>
      </c>
      <c r="RF11" s="57" t="n">
        <v>12891061</v>
      </c>
      <c r="RG11" s="130" t="n"/>
      <c r="RH11" s="57" t="n">
        <v>12292615</v>
      </c>
      <c r="RI11" s="57" t="n">
        <v>12064191</v>
      </c>
      <c r="RJ11" s="57" t="n">
        <v>11511426</v>
      </c>
      <c r="RK11" s="57" t="n">
        <v>11503252</v>
      </c>
      <c r="RL11" s="57" t="n">
        <v>14684756</v>
      </c>
      <c r="RM11" s="57" t="n">
        <v>14576288</v>
      </c>
      <c r="RN11" s="57" t="n">
        <v>13966659</v>
      </c>
      <c r="RO11" s="57" t="n">
        <v>13656903</v>
      </c>
      <c r="RP11" s="57" t="n">
        <v>13011933</v>
      </c>
      <c r="RQ11" s="57" t="n">
        <v>15606889</v>
      </c>
      <c r="RR11" s="57" t="n">
        <v>15314747</v>
      </c>
      <c r="RS11" s="57" t="n">
        <v>14983453</v>
      </c>
      <c r="RT11" s="57" t="n">
        <v>13715058</v>
      </c>
      <c r="RU11" s="57" t="n">
        <v>12918433</v>
      </c>
      <c r="RV11" s="57" t="n">
        <v>12269337</v>
      </c>
      <c r="RW11" s="57" t="n">
        <v>12738180</v>
      </c>
      <c r="RX11" s="57" t="n">
        <v>12278040</v>
      </c>
      <c r="RY11" s="57" t="n">
        <v>11556940</v>
      </c>
      <c r="RZ11" s="57" t="n">
        <v>10963834</v>
      </c>
      <c r="SA11" s="57" t="n">
        <v>10418462</v>
      </c>
      <c r="SB11" s="57" t="n">
        <v>9659522</v>
      </c>
      <c r="SC11" s="57" t="n">
        <v>9312650</v>
      </c>
      <c r="SD11" s="57" t="n">
        <v>8676946</v>
      </c>
      <c r="SE11" s="57" t="n">
        <v>10989218</v>
      </c>
      <c r="SF11" s="57" t="n">
        <v>10352146</v>
      </c>
      <c r="SG11" s="57" t="n">
        <v>9296769</v>
      </c>
      <c r="SH11" s="57" t="n">
        <v>8881285</v>
      </c>
      <c r="SI11" s="57" t="n">
        <v>7889057</v>
      </c>
      <c r="SJ11" s="57" t="n">
        <v>7498127</v>
      </c>
      <c r="SK11" s="57" t="n">
        <v>12763492</v>
      </c>
      <c r="SL11" s="130" t="n"/>
      <c r="SM11" s="57" t="n">
        <v>12571852</v>
      </c>
      <c r="SN11" s="57" t="n">
        <v>12416996</v>
      </c>
      <c r="SO11" s="57" t="n">
        <v>12073836</v>
      </c>
      <c r="SP11" s="57" t="n">
        <v>11106533</v>
      </c>
      <c r="SQ11" s="57" t="n">
        <v>10817173</v>
      </c>
      <c r="SR11" s="57" t="n">
        <v>9950237</v>
      </c>
      <c r="SS11" s="57" t="n">
        <v>9445120</v>
      </c>
      <c r="ST11" s="57" t="n">
        <v>9362880</v>
      </c>
      <c r="SU11" s="57" t="n">
        <v>8667378</v>
      </c>
      <c r="SV11" s="57" t="n">
        <v>26441118</v>
      </c>
      <c r="SW11" s="57" t="n">
        <v>26315078</v>
      </c>
      <c r="SX11" s="57" t="n">
        <v>26134493</v>
      </c>
      <c r="SY11" s="57" t="n">
        <v>25673177</v>
      </c>
      <c r="SZ11" s="57" t="n">
        <v>24743217</v>
      </c>
      <c r="TA11" s="57" t="n">
        <v>24487837</v>
      </c>
      <c r="TB11" s="57" t="n">
        <v>24342181</v>
      </c>
      <c r="TC11" s="57" t="n">
        <v>24217304</v>
      </c>
      <c r="TD11" s="57" t="n">
        <v>23451373</v>
      </c>
      <c r="TE11" s="57" t="n">
        <v>22897285</v>
      </c>
      <c r="TF11" s="57" t="n">
        <v>22458991</v>
      </c>
      <c r="TG11" s="57" t="n">
        <v>21332912</v>
      </c>
      <c r="TH11" s="57" t="n">
        <v>19975969</v>
      </c>
      <c r="TI11" s="57" t="n">
        <v>19260898</v>
      </c>
      <c r="TJ11" s="57" t="n">
        <v>18892378</v>
      </c>
      <c r="TK11" s="57" t="n">
        <v>18730666</v>
      </c>
      <c r="TL11" s="57" t="n">
        <v>17931347</v>
      </c>
      <c r="TM11" s="57" t="n">
        <v>17176179</v>
      </c>
      <c r="TN11" s="57" t="n">
        <v>21036906</v>
      </c>
      <c r="TO11" s="57" t="n">
        <v>20481858</v>
      </c>
      <c r="TP11" s="57" t="n">
        <v>20046244</v>
      </c>
      <c r="TQ11" s="57" t="n">
        <v>19930150</v>
      </c>
      <c r="TR11" s="130" t="n"/>
      <c r="TS11" s="57" t="n">
        <v>19441694</v>
      </c>
      <c r="TT11" s="57" t="n">
        <v>18777172</v>
      </c>
      <c r="TU11" s="57" t="n">
        <v>18343676</v>
      </c>
      <c r="TV11" s="57" t="n">
        <v>17487870</v>
      </c>
      <c r="TW11" s="57" t="n">
        <v>17128494</v>
      </c>
      <c r="TX11" s="57" t="n">
        <v>16679862</v>
      </c>
      <c r="TY11" s="57" t="n">
        <v>16336167</v>
      </c>
      <c r="TZ11" s="57" t="n">
        <v>16178879</v>
      </c>
      <c r="UA11" s="57" t="n">
        <v>15762311</v>
      </c>
      <c r="UB11" s="57" t="n">
        <v>19764680</v>
      </c>
      <c r="UC11" s="57" t="n">
        <v>19272804</v>
      </c>
      <c r="UD11" s="57" t="n">
        <v>19081148</v>
      </c>
      <c r="UE11" s="57" t="n">
        <v>18450165</v>
      </c>
      <c r="UF11" s="57" t="n">
        <v>17757703</v>
      </c>
      <c r="UG11" s="57" t="n">
        <v>17561775</v>
      </c>
      <c r="UH11" s="57" t="n">
        <v>17352951</v>
      </c>
      <c r="UI11" s="57" t="n">
        <v>16804678</v>
      </c>
      <c r="UJ11" s="57" t="n">
        <v>16602420</v>
      </c>
      <c r="UK11" s="57" t="n">
        <v>15951959</v>
      </c>
      <c r="UL11" s="57" t="n">
        <v>15367372</v>
      </c>
      <c r="UM11" s="57" t="n">
        <v>14243531</v>
      </c>
      <c r="UN11" s="57" t="n">
        <v>13634229</v>
      </c>
      <c r="UO11" s="57" t="n">
        <v>13337989</v>
      </c>
      <c r="UP11" s="57" t="n">
        <v>12465290</v>
      </c>
      <c r="UQ11" s="57" t="n">
        <v>11924046</v>
      </c>
      <c r="UR11" s="57" t="n">
        <v>11589166</v>
      </c>
      <c r="US11" s="57" t="n">
        <v>11462206</v>
      </c>
      <c r="UT11" s="57" t="n">
        <v>25275186</v>
      </c>
      <c r="UU11" s="57" t="n">
        <v>24859306</v>
      </c>
      <c r="UV11" s="57" t="n">
        <v>24475682</v>
      </c>
      <c r="UW11" s="57" t="n">
        <v>23589547</v>
      </c>
      <c r="UX11" s="130" t="n"/>
      <c r="UY11" s="57" t="n">
        <v>29238219</v>
      </c>
      <c r="UZ11" s="57" t="n">
        <v>28942275</v>
      </c>
      <c r="VA11" s="57" t="n">
        <v>28177490</v>
      </c>
      <c r="VB11" s="57" t="n">
        <v>27150379</v>
      </c>
      <c r="VC11" s="57" t="n">
        <v>29238219</v>
      </c>
      <c r="VD11" s="57" t="n">
        <v>25851931</v>
      </c>
      <c r="VE11" s="57" t="n">
        <v>25101202</v>
      </c>
      <c r="VF11" s="57" t="n">
        <v>24297077</v>
      </c>
      <c r="VG11" s="57" t="n">
        <v>27781738</v>
      </c>
      <c r="VH11" s="57" t="n">
        <v>27345490</v>
      </c>
      <c r="VI11" s="57" t="n">
        <v>26967158</v>
      </c>
      <c r="VJ11" s="57" t="n">
        <v>26282356</v>
      </c>
      <c r="VK11" s="57" t="n">
        <v>29295703</v>
      </c>
      <c r="VL11" s="57" t="n">
        <v>28709480</v>
      </c>
      <c r="VM11" s="57" t="n">
        <v>28016424</v>
      </c>
      <c r="VN11" s="57" t="n">
        <v>27488391</v>
      </c>
      <c r="VO11" s="57" t="n">
        <v>27311097</v>
      </c>
      <c r="VP11" s="57" t="n">
        <v>26921403</v>
      </c>
      <c r="VQ11" s="57" t="n">
        <v>26263803</v>
      </c>
      <c r="VR11" s="57" t="n">
        <v>25611217</v>
      </c>
      <c r="VS11" s="57" t="n">
        <v>24982653</v>
      </c>
      <c r="VT11" s="57" t="n">
        <v>24574204</v>
      </c>
      <c r="VU11" s="57" t="n">
        <v>24013332</v>
      </c>
      <c r="VV11" s="57" t="n">
        <v>23564092</v>
      </c>
      <c r="VW11" s="57" t="n">
        <v>27249969</v>
      </c>
      <c r="VX11" s="57" t="n">
        <v>26430258</v>
      </c>
      <c r="VY11" s="57" t="n">
        <v>26172594</v>
      </c>
      <c r="VZ11" s="57" t="n">
        <v>26172594</v>
      </c>
      <c r="WA11" s="139" t="n"/>
      <c r="WB11" s="57" t="n">
        <v>25067588</v>
      </c>
      <c r="WC11" s="57" t="n">
        <v>24182772</v>
      </c>
      <c r="WD11" s="57" t="n">
        <v>26544636</v>
      </c>
      <c r="WE11" s="57" t="n">
        <v>25899662</v>
      </c>
      <c r="WF11" s="57" t="n">
        <v>25153714</v>
      </c>
      <c r="WG11" s="57" t="n">
        <v>24395328</v>
      </c>
      <c r="WH11" s="57" t="n">
        <v>23988794</v>
      </c>
      <c r="WI11" s="57" t="n">
        <v>22878398</v>
      </c>
      <c r="WJ11" s="57" t="n">
        <v>24762444</v>
      </c>
      <c r="WK11" s="57" t="n">
        <v>24567041</v>
      </c>
      <c r="WL11" s="57" t="n">
        <v>24118746</v>
      </c>
      <c r="WM11" s="57" t="n">
        <v>24118746</v>
      </c>
      <c r="WN11" s="57" t="n">
        <v>23078266</v>
      </c>
      <c r="WO11" s="57" t="n">
        <v>23922703</v>
      </c>
      <c r="WP11" s="57" t="n">
        <v>23062187</v>
      </c>
      <c r="WQ11" s="57" t="n">
        <v>22996599</v>
      </c>
      <c r="WR11" s="57" t="n">
        <v>22516157</v>
      </c>
      <c r="WS11" s="57" t="n">
        <v>21938110</v>
      </c>
      <c r="WT11" s="57" t="n">
        <v>21689501</v>
      </c>
      <c r="WU11" s="57" t="n">
        <v>27812605</v>
      </c>
      <c r="WV11" s="57" t="n">
        <v>27812605</v>
      </c>
      <c r="WW11" s="57" t="n">
        <v>27172037</v>
      </c>
      <c r="WX11" s="57" t="n">
        <v>26198544</v>
      </c>
      <c r="WY11" s="57" t="n">
        <v>25817824</v>
      </c>
      <c r="WZ11" s="57" t="n">
        <v>24632465</v>
      </c>
      <c r="XA11" s="57" t="n">
        <v>23753641</v>
      </c>
      <c r="XB11" s="57" t="n">
        <v>23056502</v>
      </c>
      <c r="XC11" s="57" t="n">
        <v>22360274</v>
      </c>
      <c r="XD11" s="57" t="n">
        <v>27947804</v>
      </c>
      <c r="XE11" s="57" t="n">
        <v>27474064</v>
      </c>
      <c r="XF11" s="57" t="n">
        <v>26821334</v>
      </c>
      <c r="XG11" s="139" t="n"/>
      <c r="XH11" s="57" t="n">
        <v>26244622</v>
      </c>
      <c r="XI11" s="57" t="n">
        <v>25095232</v>
      </c>
      <c r="XJ11" s="57" t="n">
        <v>24762208</v>
      </c>
      <c r="XK11" s="57" t="n">
        <v>27143339</v>
      </c>
      <c r="XL11" s="57" t="n">
        <v>26788918</v>
      </c>
      <c r="XM11" s="57" t="n">
        <v>26446800</v>
      </c>
      <c r="XN11" s="57" t="n">
        <v>25550072</v>
      </c>
      <c r="XO11" s="57" t="n">
        <v>25138267</v>
      </c>
      <c r="XP11" s="57" t="n">
        <v>24693299</v>
      </c>
      <c r="XQ11" s="57" t="n">
        <v>24280547</v>
      </c>
      <c r="XR11" s="57" t="n">
        <v>23564741</v>
      </c>
      <c r="XS11" s="57" t="n">
        <v>23064383</v>
      </c>
      <c r="XT11" s="57" t="n">
        <v>22303645</v>
      </c>
      <c r="XU11" s="57" t="n">
        <v>21439184</v>
      </c>
      <c r="XV11" s="57" t="n">
        <v>20679964</v>
      </c>
      <c r="XW11" s="57" t="n">
        <v>20344803</v>
      </c>
      <c r="XX11" s="57" t="n">
        <v>20080779</v>
      </c>
      <c r="XY11" s="57" t="n">
        <v>19396034</v>
      </c>
      <c r="XZ11" s="57" t="n">
        <v>18833954</v>
      </c>
      <c r="YA11" s="57" t="n">
        <v>18480178</v>
      </c>
      <c r="YB11" s="57" t="n">
        <v>17870774</v>
      </c>
      <c r="YC11" s="57" t="n">
        <v>24818843</v>
      </c>
      <c r="YD11" s="57" t="n">
        <v>24548189</v>
      </c>
      <c r="YE11" s="57" t="n">
        <v>24001195</v>
      </c>
      <c r="YF11" s="57" t="n">
        <v>23741503</v>
      </c>
      <c r="YG11" s="57" t="n">
        <v>28563862</v>
      </c>
      <c r="YH11" s="57" t="n">
        <v>27752454</v>
      </c>
      <c r="YI11" s="57" t="n">
        <v>27293710</v>
      </c>
      <c r="YJ11" s="57" t="n">
        <v>26986462</v>
      </c>
      <c r="YK11" s="57" t="n">
        <v>26400624</v>
      </c>
      <c r="YL11" s="130" t="n"/>
      <c r="YM11" s="57" t="n">
        <v>25276258</v>
      </c>
      <c r="YN11" s="57" t="n">
        <v>24460905</v>
      </c>
      <c r="YO11" s="57" t="n">
        <v>23568548</v>
      </c>
      <c r="YP11" s="57" t="n">
        <v>23102124</v>
      </c>
      <c r="YQ11" s="57" t="n">
        <v>22501084</v>
      </c>
      <c r="YR11" s="57" t="n">
        <v>22166235</v>
      </c>
      <c r="YS11" s="57" t="n">
        <v>21938877</v>
      </c>
      <c r="YT11" s="57" t="n">
        <v>21118949</v>
      </c>
      <c r="YU11" s="57" t="n">
        <v>19955192</v>
      </c>
      <c r="YV11" s="57" t="n">
        <v>18956072</v>
      </c>
      <c r="YW11" s="57" t="n">
        <v>23379432</v>
      </c>
      <c r="YX11" s="57" t="n">
        <v>22794312</v>
      </c>
      <c r="YY11" s="57" t="n">
        <v>21927133</v>
      </c>
      <c r="YZ11" s="57" t="n">
        <v>20623383</v>
      </c>
      <c r="ZA11" s="57" t="n">
        <v>19792834</v>
      </c>
      <c r="ZB11" s="57" t="n">
        <v>20958451</v>
      </c>
      <c r="ZC11" s="57" t="n">
        <v>20804347</v>
      </c>
      <c r="ZD11" s="57" t="n">
        <v>20332403</v>
      </c>
      <c r="ZE11" s="57" t="n">
        <v>19461794</v>
      </c>
      <c r="ZF11" s="57" t="n">
        <v>18966401</v>
      </c>
      <c r="ZG11" s="57" t="n">
        <v>18631225</v>
      </c>
      <c r="ZH11" s="57" t="n">
        <v>22785228</v>
      </c>
      <c r="ZI11" s="57" t="n">
        <v>22272072</v>
      </c>
      <c r="ZJ11" s="57" t="n">
        <v>24520488</v>
      </c>
      <c r="ZK11" s="57" t="n">
        <v>24149432</v>
      </c>
      <c r="ZL11" s="57" t="n">
        <v>26408409</v>
      </c>
      <c r="ZM11" s="57" t="n">
        <v>24290582</v>
      </c>
      <c r="ZN11" s="57" t="n">
        <v>23572878</v>
      </c>
      <c r="ZO11" s="57" t="n">
        <v>22604624</v>
      </c>
      <c r="ZP11" s="57" t="n">
        <v>22127084</v>
      </c>
      <c r="ZQ11" s="57" t="n">
        <v>21139088</v>
      </c>
      <c r="ZR11" s="130" t="n"/>
      <c r="ZS11" s="57" t="n">
        <v>20238311</v>
      </c>
      <c r="ZT11" s="57" t="n">
        <v>19856558</v>
      </c>
      <c r="ZU11" s="57" t="n">
        <v>23422600</v>
      </c>
      <c r="ZV11" s="57" t="n">
        <v>22467248</v>
      </c>
      <c r="ZW11" s="57" t="n">
        <v>22129424</v>
      </c>
      <c r="ZX11" s="57" t="n">
        <v>21647829</v>
      </c>
      <c r="ZY11" s="57" t="n">
        <v>20930720</v>
      </c>
      <c r="ZZ11" s="57" t="n">
        <v>20163256</v>
      </c>
      <c r="AAA11" s="57" t="n">
        <v>19682047</v>
      </c>
      <c r="AAB11" s="57" t="n">
        <v>19430887</v>
      </c>
      <c r="AAC11" s="57" t="n">
        <v>30948452</v>
      </c>
      <c r="AAD11" s="57" t="n">
        <v>30448893</v>
      </c>
      <c r="AAE11" s="57" t="n">
        <v>29869728</v>
      </c>
      <c r="AAF11" s="57" t="n">
        <v>29479327</v>
      </c>
      <c r="AAG11" s="57" t="n">
        <v>29351447</v>
      </c>
      <c r="AAH11" s="57" t="n">
        <v>29123288</v>
      </c>
      <c r="AAI11" s="57" t="n">
        <v>28687493</v>
      </c>
      <c r="AAJ11" s="57" t="n">
        <v>27745849</v>
      </c>
      <c r="AAK11" s="57" t="n">
        <v>27280650</v>
      </c>
      <c r="AAL11" s="57" t="n">
        <v>26890265</v>
      </c>
      <c r="AAM11" s="57" t="n">
        <v>25368910</v>
      </c>
      <c r="AAN11" s="57" t="n">
        <v>25023920</v>
      </c>
      <c r="AAO11" s="57" t="n">
        <v>24855551</v>
      </c>
      <c r="AAP11" s="57" t="n">
        <v>24554274</v>
      </c>
      <c r="AAQ11" s="57" t="n">
        <v>23662359</v>
      </c>
      <c r="AAR11" s="57" t="n">
        <v>22710692</v>
      </c>
      <c r="AAS11" s="57" t="n">
        <v>22467682</v>
      </c>
      <c r="AAT11" s="57" t="n">
        <v>21799454</v>
      </c>
      <c r="AAU11" s="57" t="n">
        <v>33691618</v>
      </c>
      <c r="AAV11" s="57" t="n">
        <v>32566852</v>
      </c>
      <c r="AAW11" s="130" t="n"/>
      <c r="AAX11" s="57" t="n">
        <v>31754116</v>
      </c>
      <c r="AAY11" s="57" t="n">
        <v>31292297</v>
      </c>
      <c r="AAZ11" s="57" t="n">
        <v>30774234</v>
      </c>
      <c r="ABA11" s="57" t="n">
        <v>30373400</v>
      </c>
      <c r="ABB11" s="57" t="n">
        <v>30073029</v>
      </c>
      <c r="ABC11" s="57" t="n">
        <v>29623449</v>
      </c>
      <c r="ABD11" s="57" t="n">
        <v>29326289</v>
      </c>
      <c r="ABE11" s="57" t="n">
        <v>28670329</v>
      </c>
      <c r="ABF11" s="57" t="n">
        <v>28353400</v>
      </c>
      <c r="ABG11" s="57" t="n">
        <v>26781166</v>
      </c>
      <c r="ABH11" s="57" t="n">
        <v>26781166</v>
      </c>
      <c r="ABI11" s="57" t="n">
        <v>25670979</v>
      </c>
      <c r="ABJ11" s="57" t="n">
        <v>27155695</v>
      </c>
      <c r="ABK11" s="57" t="n">
        <v>26564504</v>
      </c>
      <c r="ABL11" s="57" t="n">
        <v>25652885</v>
      </c>
      <c r="ABM11" s="57" t="n">
        <v>24839169</v>
      </c>
      <c r="ABN11" s="57" t="n">
        <v>28299608</v>
      </c>
      <c r="ABO11" s="57" t="n">
        <v>27911459</v>
      </c>
      <c r="ABP11" s="57" t="n">
        <v>27411810</v>
      </c>
      <c r="ABQ11" s="57" t="n">
        <v>26697569</v>
      </c>
      <c r="ABR11" s="57" t="n">
        <v>25811343</v>
      </c>
      <c r="ABS11" s="57" t="n">
        <v>25451623</v>
      </c>
      <c r="ABT11" s="57" t="n">
        <v>25284044</v>
      </c>
      <c r="ABU11" s="57" t="n">
        <v>24316385</v>
      </c>
      <c r="ABV11" s="57" t="n">
        <v>23680481</v>
      </c>
      <c r="ABW11" s="57" t="n">
        <v>22579390</v>
      </c>
      <c r="ABX11" s="57" t="n">
        <v>21390586</v>
      </c>
      <c r="ABY11" s="57" t="n">
        <v>20841626</v>
      </c>
      <c r="ABZ11" s="57" t="n">
        <v>20543190</v>
      </c>
      <c r="ACA11" s="57" t="n">
        <v>20011986</v>
      </c>
      <c r="ACB11" s="57" t="n">
        <v>19609947</v>
      </c>
      <c r="ACC11" s="130" t="n"/>
      <c r="ACD11" s="57" t="n">
        <v>31095459</v>
      </c>
      <c r="ACE11" s="57" t="n">
        <v>30302051</v>
      </c>
      <c r="ACF11" s="57" t="n">
        <v>29731135</v>
      </c>
      <c r="ACG11" s="57" t="n">
        <v>29297875</v>
      </c>
      <c r="ACH11" s="57" t="n">
        <v>28601919</v>
      </c>
      <c r="ACI11" s="57" t="n">
        <v>27575281</v>
      </c>
      <c r="ACJ11" s="57" t="n">
        <v>26515226</v>
      </c>
      <c r="ACK11" s="57" t="n">
        <v>25910787</v>
      </c>
      <c r="ACL11" s="57" t="n">
        <v>24614643</v>
      </c>
      <c r="ACM11" s="57" t="n">
        <v>23869125</v>
      </c>
      <c r="ACN11" s="57" t="n">
        <v>22447126</v>
      </c>
      <c r="ACO11" s="57" t="n">
        <v>21626488</v>
      </c>
      <c r="ACP11" s="57" t="n">
        <v>28200671</v>
      </c>
      <c r="ACQ11" s="57" t="n">
        <v>27436773</v>
      </c>
      <c r="ACR11" s="57" t="n">
        <v>26808593</v>
      </c>
      <c r="ACS11" s="57" t="n">
        <v>26245434</v>
      </c>
      <c r="ACT11" s="57" t="n">
        <v>25834310</v>
      </c>
      <c r="ACU11" s="57" t="n">
        <v>26557233</v>
      </c>
      <c r="ACV11" s="57" t="n">
        <v>26124834</v>
      </c>
      <c r="ACW11" s="57" t="n">
        <v>25106412</v>
      </c>
      <c r="ACX11" s="57" t="n">
        <v>24858013</v>
      </c>
      <c r="ACY11" s="57" t="n">
        <v>23688692</v>
      </c>
      <c r="ACZ11" s="57" t="n">
        <v>23122894</v>
      </c>
      <c r="ADA11" s="57" t="n">
        <v>22294895</v>
      </c>
      <c r="ADB11" s="57" t="n">
        <v>21844095</v>
      </c>
      <c r="ADC11" s="57" t="n">
        <v>27984897</v>
      </c>
      <c r="ADD11" s="57" t="n">
        <v>27373582</v>
      </c>
      <c r="ADE11" s="57" t="n">
        <v>26597781</v>
      </c>
      <c r="ADF11" s="57" t="n">
        <v>26092286</v>
      </c>
      <c r="ADG11" s="57" t="n">
        <v>25513606</v>
      </c>
      <c r="ADH11" s="57" t="n">
        <v>25008098</v>
      </c>
      <c r="ADI11" s="130" t="n"/>
      <c r="ADJ11" s="57" t="n">
        <v>25081554</v>
      </c>
      <c r="ADK11" s="57" t="n">
        <v>24633998</v>
      </c>
      <c r="ADL11" s="57" t="n">
        <v>23745671</v>
      </c>
      <c r="ADM11" s="57" t="n">
        <v>22525892</v>
      </c>
      <c r="ADN11" s="57" t="n">
        <v>21408864</v>
      </c>
      <c r="ADO11" s="57" t="n">
        <v>20753758</v>
      </c>
      <c r="ADP11" s="57" t="n">
        <v>30211403</v>
      </c>
      <c r="ADQ11" s="57" t="n">
        <v>29529444</v>
      </c>
      <c r="ADR11" s="57" t="n">
        <v>29022525</v>
      </c>
      <c r="ADS11" s="57" t="n">
        <v>28067008</v>
      </c>
      <c r="ADT11" s="57" t="n">
        <v>27736279</v>
      </c>
      <c r="ADU11" s="57" t="n">
        <v>26459036</v>
      </c>
      <c r="ADV11" s="57" t="n">
        <v>25630233</v>
      </c>
      <c r="ADW11" s="57" t="n">
        <v>25323000</v>
      </c>
      <c r="ADX11" s="57" t="n">
        <v>24748249</v>
      </c>
      <c r="ADY11" s="57" t="n">
        <v>29177609</v>
      </c>
      <c r="ADZ11" s="57" t="n">
        <v>28408992</v>
      </c>
      <c r="AEA11" s="57" t="n">
        <v>28029543</v>
      </c>
      <c r="AEB11" s="57" t="n">
        <v>27558673</v>
      </c>
      <c r="AEC11" s="57" t="n">
        <v>33371726</v>
      </c>
      <c r="AED11" s="57" t="n">
        <v>32938440</v>
      </c>
      <c r="AEE11" s="57" t="n">
        <v>32425426</v>
      </c>
      <c r="AEF11" s="57" t="n">
        <v>32071710</v>
      </c>
      <c r="AEG11" s="57" t="n">
        <v>31998777</v>
      </c>
      <c r="AEH11" s="57" t="n">
        <v>31464806</v>
      </c>
      <c r="AEI11" s="57" t="n">
        <v>31109250</v>
      </c>
      <c r="AEJ11" s="57" t="n">
        <v>29812650</v>
      </c>
      <c r="AEK11" s="57" t="n">
        <v>29533705</v>
      </c>
      <c r="AEL11" s="57" t="n">
        <v>29067285</v>
      </c>
      <c r="AEM11" s="57" t="n">
        <v>28269105</v>
      </c>
      <c r="AEN11" s="130" t="n"/>
      <c r="AEO11" s="57" t="n">
        <v>26606211</v>
      </c>
      <c r="AEP11" s="57" t="n">
        <v>26258485</v>
      </c>
      <c r="AEQ11" s="57" t="n">
        <v>24979669</v>
      </c>
      <c r="AER11" s="57" t="n">
        <v>36430294</v>
      </c>
      <c r="AES11" s="57" t="n">
        <v>35881054</v>
      </c>
      <c r="AET11" s="57" t="n">
        <v>35498818</v>
      </c>
      <c r="AEU11" s="57" t="n">
        <v>34718918</v>
      </c>
      <c r="AEV11" s="57" t="n">
        <v>34138963</v>
      </c>
      <c r="AEW11" s="57" t="n">
        <v>33326786</v>
      </c>
      <c r="AEX11" s="57" t="n">
        <v>32677517</v>
      </c>
      <c r="AEY11" s="57" t="n">
        <v>32122308</v>
      </c>
      <c r="AEZ11" s="57" t="n">
        <v>31464508</v>
      </c>
      <c r="AFA11" s="57" t="n">
        <v>29900409</v>
      </c>
      <c r="AFB11" s="57" t="n">
        <v>29324511</v>
      </c>
      <c r="AFC11" s="57" t="n">
        <v>29118915</v>
      </c>
      <c r="AFD11" s="57" t="n">
        <v>28138194</v>
      </c>
      <c r="AFE11" s="57" t="n">
        <v>27596799</v>
      </c>
      <c r="AFF11" s="57" t="n">
        <v>27288163</v>
      </c>
      <c r="AFG11" s="57" t="n">
        <v>32443900</v>
      </c>
      <c r="AFH11" s="57" t="n">
        <v>32019810</v>
      </c>
      <c r="AFI11" s="57" t="n">
        <v>30715083</v>
      </c>
      <c r="AFJ11" s="57" t="n">
        <v>30370084</v>
      </c>
      <c r="AFK11" s="57" t="n">
        <v>30023706</v>
      </c>
      <c r="AFL11" s="57" t="n">
        <v>29384272</v>
      </c>
      <c r="AFM11" s="57" t="n">
        <v>28720952</v>
      </c>
      <c r="AFN11" s="57" t="n">
        <v>27881128</v>
      </c>
      <c r="AFO11" s="57" t="n">
        <v>27155480</v>
      </c>
      <c r="AFP11" s="57" t="n">
        <v>26961111</v>
      </c>
      <c r="AFQ11" s="57" t="n">
        <v>26027800</v>
      </c>
      <c r="AFR11" s="57" t="n">
        <v>33547043</v>
      </c>
      <c r="AFS11" s="57" t="n">
        <v>32519485</v>
      </c>
      <c r="AFT11" s="130" t="n"/>
      <c r="AFU11" s="57" t="n">
        <v>31545021</v>
      </c>
      <c r="AFV11" s="57" t="n">
        <v>30229293</v>
      </c>
      <c r="AFW11" s="57" t="n">
        <v>29912692</v>
      </c>
      <c r="AFX11" s="57" t="n">
        <v>28935468</v>
      </c>
      <c r="AFY11" s="57" t="n">
        <v>27827318</v>
      </c>
      <c r="AFZ11" s="57" t="n">
        <v>27053408</v>
      </c>
      <c r="AGA11" s="57" t="n">
        <v>31288157</v>
      </c>
      <c r="AGB11" s="57" t="n">
        <v>29259401</v>
      </c>
      <c r="AGC11" s="57" t="n">
        <v>29032024</v>
      </c>
      <c r="AGD11" s="57" t="n">
        <v>28570186</v>
      </c>
      <c r="AGE11" s="57" t="n">
        <v>27847551</v>
      </c>
      <c r="AGF11" s="57" t="n">
        <v>27070641</v>
      </c>
      <c r="AGG11" s="57" t="n">
        <v>26347916</v>
      </c>
      <c r="AGH11" s="57" t="n">
        <v>25978655</v>
      </c>
      <c r="AGI11" s="57" t="n">
        <v>25138896</v>
      </c>
      <c r="AGJ11" s="57" t="n">
        <v>24850853</v>
      </c>
      <c r="AGK11" s="57" t="n">
        <v>24134535</v>
      </c>
      <c r="AGL11" s="57" t="n">
        <v>23799668</v>
      </c>
      <c r="AGM11" s="57" t="n">
        <v>22685548</v>
      </c>
      <c r="AGN11" s="57" t="n">
        <v>28673803</v>
      </c>
      <c r="AGO11" s="57" t="n">
        <v>27865019</v>
      </c>
      <c r="AGP11" s="57" t="n">
        <v>26660816</v>
      </c>
      <c r="AGQ11" s="57" t="n">
        <v>26400014</v>
      </c>
      <c r="AGR11" s="57" t="n">
        <v>31442070</v>
      </c>
      <c r="AGS11" s="57" t="n">
        <v>31000615</v>
      </c>
      <c r="AGT11" s="57" t="n">
        <v>29165190</v>
      </c>
      <c r="AGU11" s="57" t="n">
        <v>28464789</v>
      </c>
      <c r="AGV11" s="57" t="n">
        <v>27373672</v>
      </c>
      <c r="AGW11" s="57" t="n">
        <v>26805595</v>
      </c>
      <c r="AGX11" s="57" t="n">
        <v>26048524</v>
      </c>
      <c r="AGY11" s="139" t="n"/>
      <c r="AGZ11" s="57" t="n">
        <v>29098154</v>
      </c>
      <c r="AHA11" s="57" t="n">
        <v>28382401</v>
      </c>
      <c r="AHB11" s="57" t="n">
        <v>26907327</v>
      </c>
      <c r="AHC11" s="57" t="n">
        <v>26306568</v>
      </c>
      <c r="AHD11" s="57" t="n">
        <v>25550795</v>
      </c>
      <c r="AHE11" s="57" t="n">
        <v>25355776</v>
      </c>
      <c r="AHF11" s="57" t="n">
        <v>24574726</v>
      </c>
      <c r="AHG11" s="57" t="n">
        <v>24022982</v>
      </c>
      <c r="AHH11" s="57" t="n">
        <v>30192768</v>
      </c>
      <c r="AHI11" s="57" t="n">
        <v>29384120</v>
      </c>
      <c r="AHJ11" s="57" t="n">
        <v>28420693</v>
      </c>
      <c r="AHK11" s="57" t="n">
        <v>27595454</v>
      </c>
      <c r="AHL11" s="57" t="n">
        <v>27240749</v>
      </c>
      <c r="AHM11" s="57" t="n">
        <v>26650441</v>
      </c>
      <c r="AHN11" s="57" t="n">
        <v>26203923</v>
      </c>
      <c r="AHO11" s="57" t="n">
        <v>25702402</v>
      </c>
      <c r="AHP11" s="57" t="n">
        <v>24053976</v>
      </c>
      <c r="AHQ11" s="57" t="n">
        <v>23158444</v>
      </c>
      <c r="AHR11" s="57" t="n">
        <v>21216777</v>
      </c>
      <c r="AHS11" s="57" t="n">
        <v>20125333</v>
      </c>
      <c r="AHT11" s="57" t="n">
        <v>19435490</v>
      </c>
      <c r="AHU11" s="57" t="n">
        <v>30713061</v>
      </c>
      <c r="AHV11" s="57" t="n">
        <v>29317246</v>
      </c>
      <c r="AHW11" s="57" t="n">
        <v>30231200</v>
      </c>
      <c r="AHX11" s="57" t="n">
        <v>29454367</v>
      </c>
      <c r="AHY11" s="57" t="n">
        <v>28633929</v>
      </c>
      <c r="AHZ11" s="57" t="n">
        <v>28074029</v>
      </c>
      <c r="AIA11" s="57" t="n">
        <v>27408951</v>
      </c>
      <c r="AIB11" s="57" t="n">
        <v>26184485</v>
      </c>
      <c r="AIC11" s="57" t="n">
        <v>25427947</v>
      </c>
      <c r="AID11" s="57" t="n">
        <v>24738682</v>
      </c>
      <c r="AIE11" s="130" t="n"/>
      <c r="AIF11" s="57" t="n">
        <v>24259519</v>
      </c>
      <c r="AIG11" s="57" t="n">
        <v>23288805</v>
      </c>
      <c r="AIH11" s="57" t="n">
        <v>22715330</v>
      </c>
      <c r="AII11" s="57" t="n">
        <v>22657087</v>
      </c>
      <c r="AIJ11" s="57" t="n">
        <v>33649164</v>
      </c>
      <c r="AIK11" s="57" t="n">
        <v>33174315</v>
      </c>
      <c r="AIL11" s="57" t="n">
        <v>33067159</v>
      </c>
      <c r="AIM11" s="57" t="n">
        <v>32185175</v>
      </c>
      <c r="AIN11" s="57" t="n">
        <v>31268071</v>
      </c>
      <c r="AIO11" s="57" t="n">
        <v>30331995</v>
      </c>
      <c r="AIP11" s="57" t="n">
        <v>29346222</v>
      </c>
      <c r="AIQ11" s="57" t="n">
        <v>29101525</v>
      </c>
      <c r="AIR11" s="57" t="n">
        <v>28493869</v>
      </c>
      <c r="AIS11" s="57" t="n">
        <v>27665415</v>
      </c>
      <c r="AIT11" s="57" t="n">
        <v>27429925</v>
      </c>
      <c r="AIU11" s="57" t="n">
        <v>27420725</v>
      </c>
      <c r="AIV11" s="57" t="n">
        <v>27284565</v>
      </c>
      <c r="AIW11" s="57" t="n">
        <v>26828617</v>
      </c>
      <c r="AIX11" s="57" t="n">
        <v>26457637</v>
      </c>
      <c r="AIY11" s="57" t="n">
        <v>25599344</v>
      </c>
      <c r="AIZ11" s="57" t="n">
        <v>25070751</v>
      </c>
      <c r="AJA11" s="57" t="n">
        <v>24279813</v>
      </c>
      <c r="AJB11" s="57" t="n">
        <v>23667218</v>
      </c>
      <c r="AJC11" s="57" t="n">
        <v>31035065</v>
      </c>
      <c r="AJD11" s="57" t="n">
        <v>30456868</v>
      </c>
      <c r="AJE11" s="57" t="n">
        <v>30185718</v>
      </c>
      <c r="AJF11" s="57" t="n">
        <v>29487285</v>
      </c>
      <c r="AJG11" s="57" t="n">
        <v>29288446</v>
      </c>
      <c r="AJH11" s="57" t="n">
        <v>28393817</v>
      </c>
      <c r="AJI11" s="57" t="n">
        <v>28065239</v>
      </c>
      <c r="AJJ11" s="57" t="n">
        <v>26966363</v>
      </c>
      <c r="AJK11" s="145" t="n"/>
      <c r="AJL11" s="57" t="n">
        <v>26329771</v>
      </c>
      <c r="AJM11" s="57" t="n">
        <v>28895096</v>
      </c>
      <c r="AJN11" s="57" t="n">
        <v>28162334</v>
      </c>
      <c r="AJO11" s="57" t="n">
        <v>26385226</v>
      </c>
      <c r="AJP11" s="57" t="n">
        <v>26385226</v>
      </c>
      <c r="AJQ11" s="57" t="n">
        <v>24639483</v>
      </c>
      <c r="AJR11" s="57" t="n">
        <v>23944840</v>
      </c>
      <c r="AJS11" s="57" t="n">
        <v>23630277</v>
      </c>
      <c r="AJT11" s="57" t="n">
        <v>22961153</v>
      </c>
      <c r="AJU11" s="57" t="n">
        <v>28162334</v>
      </c>
      <c r="AJV11" s="57" t="n">
        <v>19614578</v>
      </c>
      <c r="AJW11" s="57" t="n">
        <v>18035063</v>
      </c>
      <c r="AJX11" s="57" t="n">
        <v>16855916</v>
      </c>
      <c r="AJY11" s="57" t="n">
        <v>26221038</v>
      </c>
      <c r="AJZ11" s="57" t="n">
        <v>25790992</v>
      </c>
      <c r="AKA11" s="57" t="n">
        <v>33321475</v>
      </c>
      <c r="AKB11" s="57" t="n">
        <v>32499902</v>
      </c>
      <c r="AKC11" s="57" t="n">
        <v>31815416</v>
      </c>
      <c r="AKD11" s="57" t="n">
        <v>31045010</v>
      </c>
      <c r="AKE11" s="57" t="n">
        <v>30485175</v>
      </c>
      <c r="AKF11" s="57" t="n">
        <v>29517416</v>
      </c>
      <c r="AKG11" s="57" t="n">
        <v>28531690</v>
      </c>
      <c r="AKH11" s="57" t="n">
        <v>26756188</v>
      </c>
      <c r="AKI11" s="57" t="n">
        <v>26004485</v>
      </c>
      <c r="AKJ11" s="57" t="n">
        <v>24875193</v>
      </c>
      <c r="AKK11" s="57" t="n">
        <v>24513321</v>
      </c>
      <c r="AKL11" s="57" t="n">
        <v>23028957</v>
      </c>
      <c r="AKM11" s="57" t="n">
        <v>21811251</v>
      </c>
      <c r="AKN11" s="151" t="n"/>
      <c r="AKO11" s="57" t="n">
        <v>21446797</v>
      </c>
      <c r="AKP11" s="57" t="n">
        <v>30366493</v>
      </c>
      <c r="AKQ11" s="57" t="n">
        <v>29822357</v>
      </c>
      <c r="AKR11" s="57" t="n">
        <v>29175346</v>
      </c>
      <c r="AKS11" s="57" t="n">
        <v>28752057</v>
      </c>
      <c r="AKT11" s="57" t="n">
        <v>30366493</v>
      </c>
      <c r="AKU11" s="57" t="n">
        <v>27224405</v>
      </c>
      <c r="AKV11" s="57" t="n">
        <v>26177971</v>
      </c>
      <c r="AKW11" s="57" t="n">
        <v>25129638</v>
      </c>
      <c r="AKX11" s="57" t="n">
        <v>24510015</v>
      </c>
      <c r="AKY11" s="57" t="n">
        <v>23463983</v>
      </c>
      <c r="AKZ11" s="57" t="n">
        <v>30442749</v>
      </c>
      <c r="ALA11" s="57" t="n">
        <v>29142680</v>
      </c>
      <c r="ALB11" s="57" t="n">
        <v>31018708</v>
      </c>
      <c r="ALC11" s="57" t="n">
        <v>30735532</v>
      </c>
      <c r="ALD11" s="57" t="n">
        <v>29620085</v>
      </c>
      <c r="ALE11" s="57" t="n">
        <v>28805650</v>
      </c>
      <c r="ALF11" s="57" t="n">
        <v>29405200</v>
      </c>
      <c r="ALG11" s="57" t="n">
        <v>28067709</v>
      </c>
      <c r="ALH11" s="57" t="n">
        <v>27670281</v>
      </c>
      <c r="ALI11" s="57" t="n">
        <v>27169135</v>
      </c>
      <c r="ALJ11" s="57" t="n">
        <v>25975970</v>
      </c>
      <c r="ALK11" s="57" t="n">
        <v>24899292</v>
      </c>
      <c r="ALL11" s="57" t="n">
        <v>28222026</v>
      </c>
      <c r="ALM11" s="57" t="n">
        <v>27522104</v>
      </c>
      <c r="ALN11" s="57" t="n">
        <v>26365484</v>
      </c>
      <c r="ALO11" s="57" t="n">
        <v>25424574</v>
      </c>
      <c r="ALP11" s="57" t="n">
        <v>24193074</v>
      </c>
      <c r="ALQ11" s="57" t="n">
        <v>29804662</v>
      </c>
      <c r="ALR11" s="57" t="n">
        <v>29221682</v>
      </c>
      <c r="ALS11" s="57" t="n">
        <v>34378619</v>
      </c>
      <c r="ALT11" s="130" t="n"/>
      <c r="ALU11" s="57" t="n">
        <v>33793795</v>
      </c>
      <c r="ALV11" s="57" t="n">
        <v>36067590</v>
      </c>
      <c r="ALW11" s="57" t="n">
        <v>34988919</v>
      </c>
      <c r="ALX11" s="57" t="n">
        <v>34334541</v>
      </c>
      <c r="ALY11" s="57" t="n">
        <v>33457782</v>
      </c>
      <c r="ALZ11" s="57" t="n">
        <v>33201984</v>
      </c>
      <c r="AMA11" s="57" t="n">
        <v>32919544</v>
      </c>
      <c r="AMB11" s="57" t="n">
        <v>31915018</v>
      </c>
      <c r="AMC11" s="57" t="n">
        <v>31152923</v>
      </c>
      <c r="AMD11" s="57" t="n">
        <v>30202830</v>
      </c>
      <c r="AME11" s="57" t="n">
        <v>28910374</v>
      </c>
      <c r="AMF11" s="57" t="n">
        <v>28624738</v>
      </c>
      <c r="AMG11" s="57" t="n">
        <v>27365313</v>
      </c>
      <c r="AMH11" s="57" t="n">
        <v>26461875</v>
      </c>
      <c r="AMI11" s="57" t="n">
        <v>33292846</v>
      </c>
      <c r="AMJ11" s="57" t="n">
        <v>33292846</v>
      </c>
      <c r="AMK11" s="57" t="n">
        <v>32002606</v>
      </c>
      <c r="AML11" s="57" t="n">
        <v>31257918</v>
      </c>
      <c r="AMM11" s="57" t="n">
        <v>30487724</v>
      </c>
      <c r="AMN11" s="57" t="n">
        <v>29478299</v>
      </c>
      <c r="AMO11" s="57" t="n">
        <v>28653270</v>
      </c>
      <c r="AMP11" s="57" t="n">
        <v>27746338</v>
      </c>
      <c r="AMQ11" s="57" t="n">
        <v>26760618</v>
      </c>
      <c r="AMR11" s="57" t="n">
        <v>25131597</v>
      </c>
      <c r="AMS11" s="57" t="n">
        <v>33928194</v>
      </c>
      <c r="AMT11" s="57" t="n">
        <v>32762240</v>
      </c>
      <c r="AMU11" s="57" t="n">
        <v>31869017</v>
      </c>
      <c r="AMV11" s="57" t="n">
        <v>31012637</v>
      </c>
      <c r="AMW11" s="57" t="n">
        <v>30263628</v>
      </c>
      <c r="AMX11" s="57" t="n">
        <v>29159155</v>
      </c>
      <c r="AMY11" s="130" t="n"/>
      <c r="AMZ11" s="57" t="n">
        <v>35261067</v>
      </c>
      <c r="ANA11" s="57" t="n">
        <v>34612048</v>
      </c>
      <c r="ANB11" s="57" t="n">
        <v>34217587</v>
      </c>
      <c r="ANC11" s="57" t="n">
        <v>32686641</v>
      </c>
      <c r="AND11" s="57" t="n">
        <v>35055753</v>
      </c>
      <c r="ANE11" s="57" t="n">
        <v>34091540</v>
      </c>
      <c r="ANF11" s="57" t="n">
        <v>33687000</v>
      </c>
      <c r="ANG11" s="57" t="n">
        <v>32076867</v>
      </c>
      <c r="ANH11" s="57" t="n">
        <v>30824278</v>
      </c>
      <c r="ANI11" s="57" t="n">
        <v>29734113</v>
      </c>
      <c r="ANJ11" s="57" t="n">
        <v>31433420</v>
      </c>
      <c r="ANK11" s="57" t="n">
        <v>30875285</v>
      </c>
      <c r="ANL11" s="57" t="n">
        <v>29844788</v>
      </c>
      <c r="ANM11" s="57" t="n">
        <v>29007228</v>
      </c>
      <c r="ANN11" s="57" t="n">
        <v>27874804</v>
      </c>
      <c r="ANO11" s="57" t="n">
        <v>33234911</v>
      </c>
      <c r="ANP11" s="57" t="n">
        <v>32342945</v>
      </c>
      <c r="ANQ11" s="57" t="n">
        <v>31836526</v>
      </c>
      <c r="ANR11" s="57" t="n">
        <v>30844815</v>
      </c>
      <c r="ANS11" s="57" t="n">
        <v>29908916</v>
      </c>
      <c r="ANT11" s="57" t="n">
        <v>29327776</v>
      </c>
      <c r="ANU11" s="57" t="n">
        <v>27942351</v>
      </c>
      <c r="ANV11" s="57" t="n">
        <v>26479813</v>
      </c>
      <c r="ANW11" s="57" t="n">
        <v>25221800</v>
      </c>
      <c r="ANX11" s="57" t="n">
        <v>23295095</v>
      </c>
      <c r="ANY11" s="57" t="n">
        <v>22591286</v>
      </c>
      <c r="ANZ11" s="57" t="n">
        <v>22066463</v>
      </c>
      <c r="AOA11" s="57" t="n">
        <v>21155664</v>
      </c>
      <c r="AOB11" s="57" t="n">
        <v>20438064</v>
      </c>
      <c r="AOC11" s="57" t="n">
        <v>19525930</v>
      </c>
    </row>
    <row r="12">
      <c r="B12" s="13" t="inlineStr">
        <is>
          <t>STOCK  VALUE GAS</t>
        </is>
      </c>
      <c r="C12" s="58" t="n">
        <v>11663000</v>
      </c>
      <c r="D12" s="59" t="n">
        <v>11663000</v>
      </c>
      <c r="E12" s="59" t="n">
        <v>11535000</v>
      </c>
      <c r="F12" s="59">
        <f>E12</f>
        <v/>
      </c>
      <c r="G12" s="59" t="n">
        <v>12081000</v>
      </c>
      <c r="H12" s="59" t="n">
        <v>11836000</v>
      </c>
      <c r="I12" s="59" t="n">
        <v>11618000</v>
      </c>
      <c r="J12" s="59" t="n">
        <v>11618000</v>
      </c>
      <c r="K12" s="59" t="n">
        <v>11573000</v>
      </c>
      <c r="L12" s="59" t="n">
        <v>11868000</v>
      </c>
      <c r="M12" s="59" t="n">
        <v>11868000</v>
      </c>
      <c r="N12" s="59" t="n">
        <v>11823000</v>
      </c>
      <c r="O12" s="59" t="n">
        <v>11657000</v>
      </c>
      <c r="P12" s="59" t="n">
        <v>11612000</v>
      </c>
      <c r="Q12" s="59" t="n">
        <v>11854000</v>
      </c>
      <c r="R12" s="59" t="n">
        <v>11809000</v>
      </c>
      <c r="S12" s="59" t="n">
        <v>11764000</v>
      </c>
      <c r="T12" s="59" t="n">
        <v>11674000</v>
      </c>
      <c r="U12" s="59" t="n">
        <v>11584000</v>
      </c>
      <c r="V12" s="59" t="n">
        <v>11429000</v>
      </c>
      <c r="W12" s="59" t="n">
        <v>11602000</v>
      </c>
      <c r="X12" s="59" t="n">
        <v>11557000</v>
      </c>
      <c r="Y12" s="59" t="n">
        <v>11429000</v>
      </c>
      <c r="Z12" s="59" t="n">
        <v>11294000</v>
      </c>
      <c r="AA12" s="59" t="n">
        <v>11294000</v>
      </c>
      <c r="AB12" s="59" t="n">
        <v>11139000</v>
      </c>
      <c r="AC12" s="59" t="n">
        <v>11139000</v>
      </c>
      <c r="AD12" s="59" t="n">
        <v>10883000</v>
      </c>
      <c r="AE12" s="59" t="n">
        <v>10838000</v>
      </c>
      <c r="AF12" s="59" t="n">
        <v>10793000</v>
      </c>
      <c r="AG12" s="59" t="n">
        <v>11899000</v>
      </c>
      <c r="AH12" s="67">
        <f>AG12</f>
        <v/>
      </c>
      <c r="AI12" s="57" t="n">
        <v>11816000</v>
      </c>
      <c r="AJ12" s="59" t="n">
        <v>11726000</v>
      </c>
      <c r="AK12" s="59" t="n">
        <v>11681000</v>
      </c>
      <c r="AL12" s="59" t="n">
        <v>11598000</v>
      </c>
      <c r="AM12" s="59" t="n">
        <v>12335000</v>
      </c>
      <c r="AN12" s="59" t="n">
        <v>12245000</v>
      </c>
      <c r="AO12" s="59" t="n">
        <v>11829000</v>
      </c>
      <c r="AP12" s="59" t="n">
        <v>11784000</v>
      </c>
      <c r="AQ12" s="59" t="n">
        <v>11739000</v>
      </c>
      <c r="AR12" s="59" t="n">
        <v>11559000</v>
      </c>
      <c r="AS12" s="59" t="n">
        <v>11476000</v>
      </c>
      <c r="AT12" s="59" t="n">
        <v>11431000</v>
      </c>
      <c r="AU12" s="59" t="n">
        <v>11231000</v>
      </c>
      <c r="AV12" s="59" t="n">
        <v>11020000</v>
      </c>
      <c r="AW12" s="59" t="n">
        <v>11020000</v>
      </c>
      <c r="AX12" s="59" t="n">
        <v>10975000</v>
      </c>
      <c r="AY12" s="59" t="n">
        <v>10975000</v>
      </c>
      <c r="AZ12" s="59" t="n">
        <v>10930000</v>
      </c>
      <c r="BA12" s="59" t="n">
        <v>10930000</v>
      </c>
      <c r="BB12" s="59" t="n">
        <v>12408000</v>
      </c>
      <c r="BC12" s="59" t="n">
        <v>12310000</v>
      </c>
      <c r="BD12" s="59" t="n">
        <v>12124000</v>
      </c>
      <c r="BE12" s="59" t="n">
        <v>12075000</v>
      </c>
      <c r="BF12" s="59" t="n">
        <v>11933000</v>
      </c>
      <c r="BG12" s="59" t="n">
        <v>11747000</v>
      </c>
      <c r="BH12" s="59" t="n">
        <v>11698000</v>
      </c>
      <c r="BI12" s="59" t="n">
        <v>11600000</v>
      </c>
      <c r="BJ12" s="59" t="n">
        <v>11458000</v>
      </c>
      <c r="BK12" s="59" t="n">
        <v>11409000</v>
      </c>
      <c r="BL12" s="59" t="n">
        <v>11164000</v>
      </c>
      <c r="BM12" s="106">
        <f>BL12</f>
        <v/>
      </c>
      <c r="BN12" s="59" t="n">
        <v>11115000</v>
      </c>
      <c r="BO12" s="59" t="n">
        <v>10769000</v>
      </c>
      <c r="BP12" s="59" t="n">
        <v>10671000</v>
      </c>
      <c r="BQ12" s="59" t="n">
        <v>11129000</v>
      </c>
      <c r="BR12" s="59" t="n">
        <v>11031000</v>
      </c>
      <c r="BS12" s="59" t="n">
        <v>10871000</v>
      </c>
      <c r="BT12" s="59" t="n">
        <v>10636000</v>
      </c>
      <c r="BU12" s="59" t="n">
        <v>10636000</v>
      </c>
      <c r="BV12" s="59" t="n">
        <v>10636000</v>
      </c>
      <c r="BW12" s="59" t="n">
        <v>10636000</v>
      </c>
      <c r="BX12" s="59" t="n">
        <v>10636000</v>
      </c>
      <c r="BY12" s="59" t="n">
        <v>10489000</v>
      </c>
      <c r="BZ12" s="59" t="n">
        <v>10440000</v>
      </c>
      <c r="CA12" s="59" t="n">
        <v>10342000</v>
      </c>
      <c r="CB12" s="59" t="n">
        <v>10249000</v>
      </c>
      <c r="CC12" s="59" t="n">
        <v>10089000</v>
      </c>
      <c r="CD12" s="59" t="n">
        <v>10040000</v>
      </c>
      <c r="CE12" s="59">
        <f>CD12</f>
        <v/>
      </c>
      <c r="CF12" s="59" t="n">
        <v>11627000</v>
      </c>
      <c r="CG12" s="59" t="n">
        <v>11436000</v>
      </c>
      <c r="CH12" s="59" t="n">
        <v>11338000</v>
      </c>
      <c r="CI12" s="59" t="n">
        <v>11191000</v>
      </c>
      <c r="CJ12" s="59" t="n">
        <v>11142000</v>
      </c>
      <c r="CK12" s="59" t="n">
        <v>11049000</v>
      </c>
      <c r="CL12" s="59" t="n">
        <v>10907000</v>
      </c>
      <c r="CM12" s="59" t="n">
        <v>10809000</v>
      </c>
      <c r="CN12" s="59" t="n">
        <v>10809000</v>
      </c>
      <c r="CO12" s="59" t="n">
        <v>10197000</v>
      </c>
      <c r="CP12" s="59" t="n">
        <v>10339000</v>
      </c>
      <c r="CQ12" s="59" t="n">
        <v>10374000</v>
      </c>
      <c r="CR12" s="59" t="n">
        <v>10281000</v>
      </c>
      <c r="CT12" s="59" t="n">
        <v>11690000</v>
      </c>
      <c r="CU12" s="59" t="n">
        <v>11597000</v>
      </c>
      <c r="CV12" s="59" t="n">
        <v>11597000</v>
      </c>
      <c r="CW12" s="59" t="n">
        <v>11406000</v>
      </c>
      <c r="CX12" s="59" t="n">
        <v>11308000</v>
      </c>
      <c r="CY12" s="59" t="n">
        <v>11308000</v>
      </c>
      <c r="CZ12" s="59" t="n">
        <v>10913000</v>
      </c>
      <c r="DA12" s="59" t="n">
        <v>10766000</v>
      </c>
      <c r="DB12" s="59" t="n">
        <v>10557000</v>
      </c>
      <c r="DC12" s="59" t="n">
        <v>11928000</v>
      </c>
      <c r="DD12" s="59" t="n">
        <v>11928000</v>
      </c>
      <c r="DE12" s="59" t="n">
        <v>11928000</v>
      </c>
      <c r="DF12" s="82">
        <f>DE12</f>
        <v/>
      </c>
      <c r="DG12" s="59" t="n">
        <v>12194000</v>
      </c>
      <c r="DH12" s="59" t="n">
        <v>11959000</v>
      </c>
      <c r="DI12" s="82">
        <f>DH12</f>
        <v/>
      </c>
      <c r="DJ12" s="59" t="n">
        <v>11817000</v>
      </c>
      <c r="DK12" s="59" t="n">
        <v>11582000</v>
      </c>
      <c r="DL12" s="59" t="n">
        <v>11440000</v>
      </c>
      <c r="DM12" s="59" t="n">
        <v>11205000</v>
      </c>
      <c r="DN12" s="59" t="n">
        <v>11205000</v>
      </c>
      <c r="DO12" s="59" t="n">
        <v>11156000</v>
      </c>
      <c r="DP12" s="59" t="n">
        <v>12532000</v>
      </c>
      <c r="DQ12" s="59" t="n">
        <v>12385000</v>
      </c>
      <c r="DR12" s="59" t="n">
        <v>12287000</v>
      </c>
      <c r="DS12" s="59" t="n">
        <v>12287000</v>
      </c>
      <c r="DT12" s="59" t="n">
        <v>12096000</v>
      </c>
      <c r="DU12" s="59" t="n">
        <v>12488000</v>
      </c>
      <c r="DV12" s="59" t="n">
        <v>12439000</v>
      </c>
      <c r="DW12" s="59" t="n">
        <v>12194000</v>
      </c>
      <c r="DX12" s="117" t="n"/>
      <c r="DY12" s="59" t="n">
        <v>11906000</v>
      </c>
      <c r="DZ12" s="59" t="n">
        <v>11857000</v>
      </c>
      <c r="EA12" s="59" t="n">
        <v>11710000</v>
      </c>
      <c r="EB12" s="59" t="n">
        <v>11612000</v>
      </c>
      <c r="EC12" s="59" t="n">
        <v>11470000</v>
      </c>
      <c r="ED12" s="59" t="n">
        <v>11421000</v>
      </c>
      <c r="EE12" s="59" t="n">
        <v>11235000</v>
      </c>
      <c r="EF12" s="59" t="n">
        <v>11026000</v>
      </c>
      <c r="EG12" s="59" t="n">
        <v>10884000</v>
      </c>
      <c r="EH12" s="59" t="n">
        <v>10791000</v>
      </c>
      <c r="EI12" s="59" t="n">
        <v>10791000</v>
      </c>
      <c r="EJ12" s="59" t="n">
        <v>10502000</v>
      </c>
      <c r="EK12" s="59" t="n">
        <v>11580000</v>
      </c>
      <c r="EL12" s="59" t="n">
        <v>11580000</v>
      </c>
      <c r="EM12" s="59" t="n">
        <v>11580000</v>
      </c>
      <c r="EN12" s="59" t="n">
        <v>11580000</v>
      </c>
      <c r="EO12" s="59" t="n">
        <v>11247000</v>
      </c>
      <c r="EP12" s="59" t="n">
        <v>11247000</v>
      </c>
      <c r="EQ12" s="59" t="n">
        <v>11198000</v>
      </c>
      <c r="ER12" s="59" t="n">
        <v>11007000</v>
      </c>
      <c r="ES12" s="59" t="n">
        <v>10620000</v>
      </c>
      <c r="ET12" s="59" t="n">
        <v>10478000</v>
      </c>
      <c r="EU12" s="59" t="n">
        <v>10793000</v>
      </c>
      <c r="EV12" s="59" t="n">
        <v>10607000</v>
      </c>
      <c r="EW12" s="59" t="n">
        <v>10367000</v>
      </c>
      <c r="EX12" s="59" t="n">
        <v>10367000</v>
      </c>
      <c r="EY12" s="59" t="n">
        <v>10274000</v>
      </c>
      <c r="EZ12" s="59" t="n">
        <v>10225000</v>
      </c>
      <c r="FA12" s="59" t="n">
        <v>9770000</v>
      </c>
      <c r="FB12" s="59" t="n">
        <v>10167000</v>
      </c>
      <c r="FC12" s="59" t="n">
        <v>10069000</v>
      </c>
      <c r="FD12" s="126" t="n"/>
      <c r="FE12" s="59" t="n">
        <v>9971000</v>
      </c>
      <c r="FF12" s="59" t="n">
        <v>10792000</v>
      </c>
      <c r="FG12" s="59" t="n">
        <v>10743000</v>
      </c>
      <c r="FH12" s="59" t="n">
        <v>12600000</v>
      </c>
      <c r="FI12" s="59" t="n">
        <v>12551000</v>
      </c>
      <c r="FJ12" s="59" t="n">
        <v>12360000</v>
      </c>
      <c r="FK12" s="59" t="n">
        <v>12262000</v>
      </c>
      <c r="FL12" s="59" t="n">
        <v>12022000</v>
      </c>
      <c r="FM12" s="59" t="n">
        <v>11782000</v>
      </c>
      <c r="FN12" s="59" t="n">
        <v>11689000</v>
      </c>
      <c r="FO12" s="59" t="n">
        <v>12600000</v>
      </c>
      <c r="FP12" s="59" t="n">
        <v>12458000</v>
      </c>
      <c r="FQ12" s="59" t="n">
        <v>12311000</v>
      </c>
      <c r="FR12" s="59" t="n">
        <v>12151000</v>
      </c>
      <c r="FS12" s="59" t="n">
        <v>12053000</v>
      </c>
      <c r="FT12" s="59" t="n">
        <v>11867000</v>
      </c>
      <c r="FU12" s="59" t="n">
        <v>11818000</v>
      </c>
      <c r="FV12" s="59" t="n">
        <v>12551000</v>
      </c>
      <c r="FW12" s="59" t="n">
        <v>12458000</v>
      </c>
      <c r="FX12" s="59" t="n">
        <v>12200000</v>
      </c>
      <c r="FY12" s="59" t="n">
        <v>11517000</v>
      </c>
      <c r="FZ12" s="59" t="n">
        <v>11468000</v>
      </c>
      <c r="GA12" s="59" t="n">
        <v>12126000</v>
      </c>
      <c r="GB12" s="59" t="n">
        <v>11984000</v>
      </c>
      <c r="GC12" s="59" t="n">
        <v>11935000</v>
      </c>
      <c r="GD12" s="59" t="n">
        <v>11842000</v>
      </c>
      <c r="GE12" s="59" t="n">
        <v>11656000</v>
      </c>
      <c r="GF12" s="59" t="n">
        <v>11509000</v>
      </c>
      <c r="GG12" s="59" t="n">
        <v>11362000</v>
      </c>
      <c r="GH12" s="59" t="n">
        <v>11362000</v>
      </c>
      <c r="GI12" s="59" t="n">
        <v>11202000</v>
      </c>
      <c r="GJ12" s="130" t="n"/>
      <c r="GK12" s="59" t="n">
        <v>10949000</v>
      </c>
      <c r="GL12" s="59" t="n">
        <v>10949000</v>
      </c>
      <c r="GM12" s="59" t="n">
        <v>10598000</v>
      </c>
      <c r="GN12" s="59" t="n">
        <v>10314000</v>
      </c>
      <c r="GO12" s="59" t="n">
        <v>10918000</v>
      </c>
      <c r="GP12" s="59" t="n">
        <v>10683000</v>
      </c>
      <c r="GQ12" s="59" t="n">
        <v>10634000</v>
      </c>
      <c r="GR12" s="59" t="n">
        <v>10634000</v>
      </c>
      <c r="GS12" s="59" t="n">
        <v>10492000</v>
      </c>
      <c r="GT12" s="59" t="n">
        <v>10350000</v>
      </c>
      <c r="GU12" s="59" t="n">
        <v>12219000</v>
      </c>
      <c r="GV12" s="59" t="n">
        <v>12219000</v>
      </c>
      <c r="GW12" s="59" t="n">
        <v>12023000</v>
      </c>
      <c r="GX12" s="59" t="n">
        <v>12023000</v>
      </c>
      <c r="GY12" s="59" t="n">
        <v>11814000</v>
      </c>
      <c r="GZ12" s="59" t="n">
        <v>11716000</v>
      </c>
      <c r="HA12" s="59" t="n">
        <v>11463000</v>
      </c>
      <c r="HB12" s="59" t="n">
        <v>11174000</v>
      </c>
      <c r="HC12" s="59" t="n">
        <v>11174000</v>
      </c>
      <c r="HD12" s="59" t="n">
        <v>11125000</v>
      </c>
      <c r="HE12" s="59" t="n">
        <v>11228000</v>
      </c>
      <c r="HF12" s="59" t="n">
        <v>11086000</v>
      </c>
      <c r="HG12" s="59" t="n">
        <v>10895000</v>
      </c>
      <c r="HH12" s="59" t="n">
        <v>10753000</v>
      </c>
      <c r="HI12" s="59" t="n">
        <v>10655000</v>
      </c>
      <c r="HJ12" s="59" t="n">
        <v>10386000</v>
      </c>
      <c r="HK12" s="59" t="n">
        <v>10244000</v>
      </c>
      <c r="HL12" s="59" t="n">
        <v>10244000</v>
      </c>
      <c r="HM12" s="59" t="n">
        <v>11408000</v>
      </c>
      <c r="HN12" s="130" t="n"/>
      <c r="HO12" s="59" t="n">
        <v>11315000</v>
      </c>
      <c r="HP12" s="59" t="n">
        <v>11315000</v>
      </c>
      <c r="HQ12" s="59" t="n">
        <v>10938000</v>
      </c>
      <c r="HR12" s="59" t="n">
        <v>10938000</v>
      </c>
      <c r="HS12" s="59" t="n">
        <v>10796000</v>
      </c>
      <c r="HT12" s="59" t="n">
        <v>10796000</v>
      </c>
      <c r="HU12" s="59" t="n">
        <v>10796000</v>
      </c>
      <c r="HV12" s="59" t="n">
        <v>10494000</v>
      </c>
      <c r="HW12" s="59" t="n">
        <v>10396000</v>
      </c>
      <c r="HX12" s="59" t="n">
        <v>10396000</v>
      </c>
      <c r="HY12" s="59" t="n">
        <v>10254000</v>
      </c>
      <c r="HZ12" s="59" t="n">
        <v>10254000</v>
      </c>
      <c r="IA12" s="59" t="n">
        <v>12170000</v>
      </c>
      <c r="IB12" s="59" t="n">
        <v>11985000</v>
      </c>
      <c r="IC12" s="59" t="n">
        <v>11794000</v>
      </c>
      <c r="ID12" s="59" t="n">
        <v>11701000</v>
      </c>
      <c r="IE12" s="59" t="n">
        <v>11559000</v>
      </c>
      <c r="IF12" s="59" t="n">
        <v>11510000</v>
      </c>
      <c r="IG12" s="59" t="n">
        <v>11417000</v>
      </c>
      <c r="IH12" s="59" t="n">
        <v>11257000</v>
      </c>
      <c r="II12" s="59" t="n">
        <v>11936000</v>
      </c>
      <c r="IJ12" s="59" t="n">
        <v>11843000</v>
      </c>
      <c r="IK12" s="59" t="n">
        <v>11400000</v>
      </c>
      <c r="IL12" s="59" t="n">
        <v>11258000</v>
      </c>
      <c r="IM12" s="59" t="n">
        <v>10957000</v>
      </c>
      <c r="IN12" s="59" t="n">
        <v>10957000</v>
      </c>
      <c r="IO12" s="59" t="n">
        <v>10957000</v>
      </c>
      <c r="IP12" s="59" t="n">
        <v>10797000</v>
      </c>
      <c r="IQ12" s="59" t="n">
        <v>10588000</v>
      </c>
      <c r="IR12" s="59" t="n">
        <v>10539000</v>
      </c>
      <c r="IS12" s="59" t="n">
        <v>10539000</v>
      </c>
      <c r="IT12" s="130" t="n"/>
      <c r="IU12" s="59" t="n">
        <v>10490000</v>
      </c>
      <c r="IV12" s="59" t="n">
        <v>10343000</v>
      </c>
      <c r="IW12" s="59" t="n">
        <v>11231000</v>
      </c>
      <c r="IX12" s="59" t="n">
        <v>11084000</v>
      </c>
      <c r="IY12" s="59" t="n">
        <v>11084000</v>
      </c>
      <c r="IZ12" s="59" t="n">
        <v>11084000</v>
      </c>
      <c r="JA12" s="59" t="n">
        <v>11685000</v>
      </c>
      <c r="JB12" s="59" t="n">
        <v>11587000</v>
      </c>
      <c r="JC12" s="59" t="n">
        <v>11077000</v>
      </c>
      <c r="JD12" s="59" t="n">
        <v>11077000</v>
      </c>
      <c r="JE12" s="59" t="n">
        <v>10842000</v>
      </c>
      <c r="JF12" s="59" t="n">
        <v>10842000</v>
      </c>
      <c r="JG12" s="59" t="n">
        <v>11268000</v>
      </c>
      <c r="JH12" s="59" t="n">
        <v>11126000</v>
      </c>
      <c r="JI12" s="59" t="n">
        <v>10623000</v>
      </c>
      <c r="JJ12" s="59" t="n">
        <v>10623000</v>
      </c>
      <c r="JK12" s="59" t="n">
        <v>10623000</v>
      </c>
      <c r="JL12" s="59" t="n">
        <v>11137000</v>
      </c>
      <c r="JM12" s="59" t="n">
        <v>10995000</v>
      </c>
      <c r="JN12" s="59" t="n">
        <v>10760000</v>
      </c>
      <c r="JO12" s="59" t="n">
        <v>10569000</v>
      </c>
      <c r="JP12" s="59" t="n">
        <v>10471000</v>
      </c>
      <c r="JQ12" s="59" t="n">
        <v>10329000</v>
      </c>
      <c r="JR12" s="59" t="n">
        <v>10125000</v>
      </c>
      <c r="JS12" s="59" t="n">
        <v>9412000</v>
      </c>
      <c r="JT12" s="59" t="n">
        <v>9319000</v>
      </c>
      <c r="JU12" s="59" t="n">
        <v>9319000</v>
      </c>
      <c r="JV12" s="59" t="n">
        <v>8973000</v>
      </c>
      <c r="JW12" s="59" t="n">
        <v>8875000</v>
      </c>
      <c r="JX12" s="59" t="n">
        <v>8875000</v>
      </c>
      <c r="JY12" s="140" t="n"/>
      <c r="JZ12" s="59" t="n">
        <v>8640000</v>
      </c>
      <c r="KA12" s="59" t="n">
        <v>10093000</v>
      </c>
      <c r="KB12" s="59" t="n">
        <v>9902000</v>
      </c>
      <c r="KC12" s="59" t="n">
        <v>9902000</v>
      </c>
      <c r="KD12" s="59" t="n">
        <v>9809000</v>
      </c>
      <c r="KE12" s="59" t="n">
        <v>9809000</v>
      </c>
      <c r="KF12" s="59" t="n">
        <v>9936000</v>
      </c>
      <c r="KG12" s="59" t="n">
        <v>9936000</v>
      </c>
      <c r="KH12" s="59" t="n">
        <v>9789000</v>
      </c>
      <c r="KI12" s="59" t="n">
        <v>9696000</v>
      </c>
      <c r="KJ12" s="59" t="n">
        <v>9647000</v>
      </c>
      <c r="KK12" s="59" t="n">
        <v>9735000</v>
      </c>
      <c r="KL12" s="59" t="n">
        <v>9460000</v>
      </c>
      <c r="KM12" s="59" t="n">
        <v>8640000</v>
      </c>
      <c r="KN12" s="59" t="n">
        <v>9318000</v>
      </c>
      <c r="KO12" s="59" t="n">
        <v>9220000</v>
      </c>
      <c r="KP12" s="59" t="n">
        <v>13364000</v>
      </c>
      <c r="KQ12" s="59" t="n">
        <v>13222000</v>
      </c>
      <c r="KR12" s="59" t="n">
        <v>13222000</v>
      </c>
      <c r="KS12" s="59" t="n">
        <v>13222000</v>
      </c>
      <c r="KT12" s="59" t="n">
        <v>13129000</v>
      </c>
      <c r="KU12" s="59" t="n">
        <v>12987000</v>
      </c>
      <c r="KV12" s="59" t="n">
        <v>12987000</v>
      </c>
      <c r="KW12" s="59" t="n">
        <v>12987000</v>
      </c>
      <c r="KX12" s="59" t="n">
        <v>12845000</v>
      </c>
      <c r="KY12" s="59" t="n">
        <v>12703000</v>
      </c>
      <c r="KZ12" s="59" t="n">
        <v>13320000</v>
      </c>
      <c r="LA12" s="59" t="n">
        <v>13271000</v>
      </c>
      <c r="LB12" s="59" t="n">
        <v>13266000</v>
      </c>
      <c r="LC12" s="59" t="n">
        <v>12982000</v>
      </c>
      <c r="LD12" s="59" t="n">
        <v>12796000</v>
      </c>
      <c r="LE12" s="130" t="n"/>
      <c r="LF12" s="59" t="n">
        <v>12654000</v>
      </c>
      <c r="LG12" s="59" t="n">
        <v>12654000</v>
      </c>
      <c r="LH12" s="59" t="n">
        <v>12894000</v>
      </c>
      <c r="LI12" s="59" t="n">
        <v>12894000</v>
      </c>
      <c r="LJ12" s="59" t="n">
        <v>12894000</v>
      </c>
      <c r="LK12" s="59" t="n">
        <v>12894000</v>
      </c>
      <c r="LL12" s="59" t="n">
        <v>12894000</v>
      </c>
      <c r="LM12" s="59" t="n">
        <v>12801000</v>
      </c>
      <c r="LN12" s="59" t="n">
        <v>12450000</v>
      </c>
      <c r="LO12" s="59" t="n">
        <v>12290000</v>
      </c>
      <c r="LP12" s="59" t="n">
        <v>12094000</v>
      </c>
      <c r="LQ12" s="59" t="n">
        <v>12094000</v>
      </c>
      <c r="LR12" s="59" t="n">
        <v>12045000</v>
      </c>
      <c r="LS12" s="59" t="n">
        <v>11743000</v>
      </c>
      <c r="LT12" s="59" t="n">
        <v>11601000</v>
      </c>
      <c r="LU12" s="59" t="n">
        <v>11317000</v>
      </c>
      <c r="LV12" s="59" t="n">
        <v>11219000</v>
      </c>
      <c r="LW12" s="59" t="n">
        <v>11219000</v>
      </c>
      <c r="LX12" s="59" t="n">
        <v>12688000</v>
      </c>
      <c r="LY12" s="59" t="n">
        <v>12530000</v>
      </c>
      <c r="LZ12" s="59" t="n">
        <v>12530000</v>
      </c>
      <c r="MA12" s="59" t="n">
        <v>12530000</v>
      </c>
      <c r="MB12" s="59" t="n">
        <v>12530000</v>
      </c>
      <c r="MC12" s="59" t="n">
        <v>12530000</v>
      </c>
      <c r="MD12" s="59" t="n">
        <v>12998860</v>
      </c>
      <c r="ME12" s="59" t="n">
        <v>12998860</v>
      </c>
      <c r="MF12" s="59" t="n">
        <v>12952860</v>
      </c>
      <c r="MG12" s="59" t="n">
        <v>12817000</v>
      </c>
      <c r="MH12" s="59" t="n">
        <v>12771000</v>
      </c>
      <c r="MI12" s="59" t="n">
        <v>12478000</v>
      </c>
      <c r="MJ12" s="140" t="n"/>
      <c r="MK12" s="59" t="n">
        <v>12389000</v>
      </c>
      <c r="ML12" s="59" t="n">
        <v>12343000</v>
      </c>
      <c r="MM12" s="59" t="n">
        <v>12208000</v>
      </c>
      <c r="MN12" s="59" t="n">
        <v>12074000</v>
      </c>
      <c r="MO12" s="59" t="n">
        <v>11939000</v>
      </c>
      <c r="MP12" s="59" t="n">
        <v>11939000</v>
      </c>
      <c r="MQ12" s="59" t="n">
        <v>11712000</v>
      </c>
      <c r="MR12" s="59" t="n">
        <v>11577000</v>
      </c>
      <c r="MS12" s="59" t="n">
        <v>11442000</v>
      </c>
      <c r="MT12" s="59" t="n">
        <v>11442000</v>
      </c>
      <c r="MU12" s="59" t="n">
        <v>11307000</v>
      </c>
      <c r="MV12" s="59" t="n">
        <v>11620000</v>
      </c>
      <c r="MW12" s="59" t="n">
        <v>11439000</v>
      </c>
      <c r="MX12" s="59" t="n">
        <v>11347000</v>
      </c>
      <c r="MY12" s="59" t="n">
        <v>11209000</v>
      </c>
      <c r="MZ12" s="59" t="n">
        <v>11163000</v>
      </c>
      <c r="NA12" s="59" t="n">
        <v>11163000</v>
      </c>
      <c r="NB12" s="59" t="n">
        <v>11029000</v>
      </c>
      <c r="NC12" s="59" t="n">
        <v>10937000</v>
      </c>
      <c r="ND12" s="59" t="n">
        <v>10937000</v>
      </c>
      <c r="NE12" s="59" t="n">
        <v>10877000</v>
      </c>
      <c r="NF12" s="59" t="n">
        <v>10831000</v>
      </c>
      <c r="NG12" s="59" t="n">
        <v>15567000</v>
      </c>
      <c r="NH12" s="59" t="n">
        <v>15386000</v>
      </c>
      <c r="NI12" s="59" t="n">
        <v>15432000</v>
      </c>
      <c r="NJ12" s="59" t="n">
        <v>15432000</v>
      </c>
      <c r="NK12" s="59" t="n">
        <v>15340000</v>
      </c>
      <c r="NL12" s="59" t="n">
        <v>15248000</v>
      </c>
      <c r="NM12" s="59" t="n">
        <v>15248000</v>
      </c>
      <c r="NN12" s="59" t="n">
        <v>15248000</v>
      </c>
      <c r="NO12" s="59" t="n">
        <v>15708000</v>
      </c>
      <c r="NP12" s="140" t="n"/>
      <c r="NQ12" s="59" t="n">
        <v>15484000</v>
      </c>
      <c r="NR12" s="59" t="n">
        <v>15484000</v>
      </c>
      <c r="NS12" s="59" t="n">
        <v>15484000</v>
      </c>
      <c r="NT12" s="59" t="n">
        <v>15484000</v>
      </c>
      <c r="NU12" s="59" t="n">
        <v>15392000</v>
      </c>
      <c r="NV12" s="59" t="n">
        <v>15346000</v>
      </c>
      <c r="NW12" s="59" t="n">
        <v>15074000</v>
      </c>
      <c r="NX12" s="59" t="n">
        <v>14942000</v>
      </c>
      <c r="NY12" s="59" t="n">
        <v>14896000</v>
      </c>
      <c r="NZ12" s="59" t="n">
        <v>14807000</v>
      </c>
      <c r="OA12" s="59" t="n">
        <v>14807000</v>
      </c>
      <c r="OB12" s="59" t="n">
        <v>14807000</v>
      </c>
      <c r="OC12" s="59" t="n">
        <v>15732000</v>
      </c>
      <c r="OD12" s="59" t="n">
        <v>15686000</v>
      </c>
      <c r="OE12" s="59" t="n">
        <v>15686000</v>
      </c>
      <c r="OF12" s="59" t="n">
        <v>15594000</v>
      </c>
      <c r="OG12" s="59" t="n">
        <v>15456000</v>
      </c>
      <c r="OH12" s="59" t="n">
        <v>15318000</v>
      </c>
      <c r="OI12" s="59" t="n">
        <v>14704000</v>
      </c>
      <c r="OJ12" s="59" t="n">
        <v>14658000</v>
      </c>
      <c r="OK12" s="59" t="n">
        <v>14523000</v>
      </c>
      <c r="OL12" s="59" t="n">
        <v>14661000</v>
      </c>
      <c r="OM12" s="59" t="n">
        <v>14394000</v>
      </c>
      <c r="ON12" s="59" t="n">
        <v>15121000</v>
      </c>
      <c r="OO12" s="59" t="n">
        <v>14897000</v>
      </c>
      <c r="OP12" s="59" t="n">
        <v>14682000</v>
      </c>
      <c r="OQ12" s="59" t="n">
        <v>14455000</v>
      </c>
      <c r="OR12" s="59" t="n">
        <v>15164000</v>
      </c>
      <c r="OS12" s="59" t="n">
        <v>15164000</v>
      </c>
      <c r="OT12" s="59" t="n">
        <v>14960000</v>
      </c>
      <c r="OU12" s="59" t="n">
        <v>14960000</v>
      </c>
      <c r="OV12" s="130" t="n"/>
      <c r="OW12" s="59" t="n">
        <v>14848000</v>
      </c>
      <c r="OX12" s="59" t="n">
        <v>14489000</v>
      </c>
      <c r="OY12" s="59" t="n">
        <v>14443000</v>
      </c>
      <c r="OZ12" s="59" t="n">
        <v>14216000</v>
      </c>
      <c r="PA12" s="59" t="n">
        <v>14216000</v>
      </c>
      <c r="PB12" s="59" t="n">
        <v>14170000</v>
      </c>
      <c r="PC12" s="59" t="n">
        <v>14078000</v>
      </c>
      <c r="PD12" s="59" t="n">
        <v>14078000</v>
      </c>
      <c r="PE12" s="59" t="n">
        <v>13989000</v>
      </c>
      <c r="PF12" s="59" t="n">
        <v>15075000</v>
      </c>
      <c r="PG12" s="59" t="n">
        <v>15075000</v>
      </c>
      <c r="PH12" s="59" t="n">
        <v>14937000</v>
      </c>
      <c r="PI12" s="59" t="n">
        <v>14802000</v>
      </c>
      <c r="PJ12" s="59" t="n">
        <v>14802000</v>
      </c>
      <c r="PK12" s="59" t="n">
        <v>14598000</v>
      </c>
      <c r="PL12" s="59" t="n">
        <v>14420000</v>
      </c>
      <c r="PM12" s="59" t="n">
        <v>14374000</v>
      </c>
      <c r="PN12" s="59" t="n">
        <v>14894000</v>
      </c>
      <c r="PO12" s="59" t="n">
        <v>14713000</v>
      </c>
      <c r="PP12" s="59" t="n">
        <v>14535000</v>
      </c>
      <c r="PQ12" s="59" t="n">
        <v>14489000</v>
      </c>
      <c r="PR12" s="59" t="n">
        <v>14354000</v>
      </c>
      <c r="PS12" s="59" t="n">
        <v>14308000</v>
      </c>
      <c r="PT12" s="59" t="n">
        <v>14308000</v>
      </c>
      <c r="PU12" s="59" t="n">
        <v>14901000</v>
      </c>
      <c r="PV12" s="59" t="n">
        <v>14855000</v>
      </c>
      <c r="PW12" s="59" t="n">
        <v>14855000</v>
      </c>
      <c r="PX12" s="59" t="n">
        <v>14631000</v>
      </c>
      <c r="PY12" s="59" t="n">
        <v>14904000</v>
      </c>
      <c r="PZ12" s="59" t="n">
        <v>14700000</v>
      </c>
      <c r="QA12" s="130" t="n"/>
      <c r="QB12" s="59" t="n">
        <v>14654000</v>
      </c>
      <c r="QC12" s="59" t="n">
        <v>14272000</v>
      </c>
      <c r="QD12" s="59" t="n">
        <v>14226000</v>
      </c>
      <c r="QE12" s="59" t="n">
        <v>14364000</v>
      </c>
      <c r="QF12" s="59" t="n">
        <v>14318000</v>
      </c>
      <c r="QG12" s="59" t="n">
        <v>14318000</v>
      </c>
      <c r="QH12" s="59" t="n">
        <v>14318000</v>
      </c>
      <c r="QI12" s="59" t="n">
        <v>14140000</v>
      </c>
      <c r="QJ12" s="59" t="n">
        <v>14140000</v>
      </c>
      <c r="QK12" s="59" t="n">
        <v>13962000</v>
      </c>
      <c r="QL12" s="59" t="n">
        <v>13916000</v>
      </c>
      <c r="QM12" s="59" t="n">
        <v>14232000</v>
      </c>
      <c r="QN12" s="59" t="n">
        <v>14048000</v>
      </c>
      <c r="QO12" s="59" t="n">
        <v>14447000</v>
      </c>
      <c r="QP12" s="59" t="n">
        <v>14718000</v>
      </c>
      <c r="QQ12" s="59" t="n">
        <v>14828000</v>
      </c>
      <c r="QR12" s="59" t="n">
        <v>14739000</v>
      </c>
      <c r="QS12" s="59" t="n">
        <v>14380000</v>
      </c>
      <c r="QT12" s="59" t="n">
        <v>14291000</v>
      </c>
      <c r="QU12" s="59" t="n">
        <v>14791000</v>
      </c>
      <c r="QV12" s="59" t="n">
        <v>14607000</v>
      </c>
      <c r="QW12" s="59" t="n">
        <v>14561000</v>
      </c>
      <c r="QX12" s="59" t="n">
        <v>14561000</v>
      </c>
      <c r="QY12" s="59" t="n">
        <v>14561000</v>
      </c>
      <c r="QZ12" s="59" t="n">
        <v>14472000</v>
      </c>
      <c r="RA12" s="59" t="n">
        <v>14245000</v>
      </c>
      <c r="RB12" s="59" t="n">
        <v>14110000</v>
      </c>
      <c r="RC12" s="59" t="n">
        <v>14653000</v>
      </c>
      <c r="RD12" s="59" t="n">
        <v>14437000</v>
      </c>
      <c r="RE12" s="59" t="n">
        <v>14923000</v>
      </c>
      <c r="RF12" s="59" t="n">
        <v>14835000</v>
      </c>
      <c r="RG12" s="130" t="n"/>
      <c r="RH12" s="59" t="n">
        <v>14700000</v>
      </c>
      <c r="RI12" s="59" t="n">
        <v>14269000</v>
      </c>
      <c r="RJ12" s="59" t="n">
        <v>14180000</v>
      </c>
      <c r="RK12" s="59" t="n">
        <v>14088000</v>
      </c>
      <c r="RL12" s="59" t="n">
        <v>14226000</v>
      </c>
      <c r="RM12" s="59" t="n">
        <v>14137000</v>
      </c>
      <c r="RN12" s="59" t="n">
        <v>13867000</v>
      </c>
      <c r="RO12" s="59" t="n">
        <v>13867000</v>
      </c>
      <c r="RP12" s="59" t="n">
        <v>13867000</v>
      </c>
      <c r="RQ12" s="59" t="n">
        <v>14723000</v>
      </c>
      <c r="RR12" s="59" t="n">
        <v>14723000</v>
      </c>
      <c r="RS12" s="59" t="n">
        <v>14462000</v>
      </c>
      <c r="RT12" s="59" t="n">
        <v>14416000</v>
      </c>
      <c r="RU12" s="59" t="n">
        <v>14324000</v>
      </c>
      <c r="RV12" s="59" t="n">
        <v>14100000</v>
      </c>
      <c r="RW12" s="59" t="n">
        <v>14709000</v>
      </c>
      <c r="RX12" s="59" t="n">
        <v>14571000</v>
      </c>
      <c r="RY12" s="59" t="n">
        <v>14571000</v>
      </c>
      <c r="RZ12" s="59" t="n">
        <v>14525000</v>
      </c>
      <c r="SA12" s="59" t="n">
        <v>14436000</v>
      </c>
      <c r="SB12" s="59" t="n">
        <v>14301000</v>
      </c>
      <c r="SC12" s="59" t="n">
        <v>14166000</v>
      </c>
      <c r="SD12" s="59" t="n">
        <v>13988000</v>
      </c>
      <c r="SE12" s="59" t="n">
        <v>14522000</v>
      </c>
      <c r="SF12" s="59" t="n">
        <v>14387000</v>
      </c>
      <c r="SG12" s="59" t="n">
        <v>14341000</v>
      </c>
      <c r="SH12" s="59" t="n">
        <v>14295000</v>
      </c>
      <c r="SI12" s="59" t="n">
        <v>14091000</v>
      </c>
      <c r="SJ12" s="59" t="n">
        <v>13868000</v>
      </c>
      <c r="SK12" s="59" t="n">
        <v>13868000</v>
      </c>
      <c r="SL12" s="130" t="n"/>
      <c r="SM12" s="59" t="n">
        <v>13730000</v>
      </c>
      <c r="SN12" s="59" t="n">
        <v>13684000</v>
      </c>
      <c r="SO12" s="59" t="n">
        <v>13503000</v>
      </c>
      <c r="SP12" s="59" t="n">
        <v>14609000</v>
      </c>
      <c r="SQ12" s="59" t="n">
        <v>14517000</v>
      </c>
      <c r="SR12" s="59" t="n">
        <v>14425000</v>
      </c>
      <c r="SS12" s="59" t="n">
        <v>14336000</v>
      </c>
      <c r="ST12" s="59" t="n">
        <v>13951000</v>
      </c>
      <c r="SU12" s="59" t="n">
        <v>13951000</v>
      </c>
      <c r="SV12" s="59" t="n">
        <v>13931000</v>
      </c>
      <c r="SW12" s="59" t="n">
        <v>13842000</v>
      </c>
      <c r="SX12" s="59" t="n">
        <v>13753000</v>
      </c>
      <c r="SY12" s="59" t="n">
        <v>13664000</v>
      </c>
      <c r="SZ12" s="59" t="n">
        <v>13572000</v>
      </c>
      <c r="TA12" s="59" t="n">
        <v>14563000</v>
      </c>
      <c r="TB12" s="59" t="n">
        <v>14272000</v>
      </c>
      <c r="TC12" s="59" t="n">
        <v>14094000</v>
      </c>
      <c r="TD12" s="59" t="n">
        <v>13916000</v>
      </c>
      <c r="TE12" s="59" t="n">
        <v>13959000</v>
      </c>
      <c r="TF12" s="59" t="n">
        <v>13735000</v>
      </c>
      <c r="TG12" s="59" t="n">
        <v>13646000</v>
      </c>
      <c r="TH12" s="59" t="n">
        <v>13422000</v>
      </c>
      <c r="TI12" s="59" t="n">
        <v>13376000</v>
      </c>
      <c r="TJ12" s="59" t="n">
        <v>13083000</v>
      </c>
      <c r="TK12" s="59" t="n">
        <v>12744000</v>
      </c>
      <c r="TL12" s="59" t="n">
        <v>12273000</v>
      </c>
      <c r="TM12" s="59" t="n">
        <v>12003000</v>
      </c>
      <c r="TN12" s="59" t="n">
        <v>12003000</v>
      </c>
      <c r="TO12" s="59" t="n">
        <v>11957000</v>
      </c>
      <c r="TP12" s="59" t="n">
        <v>11957000</v>
      </c>
      <c r="TQ12" s="59" t="n">
        <v>11865000</v>
      </c>
      <c r="TR12" s="130" t="n"/>
      <c r="TS12" s="59" t="n">
        <v>11819000</v>
      </c>
      <c r="TT12" s="59" t="n">
        <v>11819000</v>
      </c>
      <c r="TU12" s="59" t="n">
        <v>12871000</v>
      </c>
      <c r="TV12" s="59" t="n">
        <v>12871000</v>
      </c>
      <c r="TW12" s="59" t="n">
        <v>12736000</v>
      </c>
      <c r="TX12" s="59" t="n">
        <v>12509000</v>
      </c>
      <c r="TY12" s="59" t="n">
        <v>12325000</v>
      </c>
      <c r="TZ12" s="59" t="n">
        <v>12325000</v>
      </c>
      <c r="UA12" s="59" t="n">
        <v>12167000</v>
      </c>
      <c r="UB12" s="59" t="n">
        <v>15376000</v>
      </c>
      <c r="UC12" s="59" t="n">
        <v>15376000</v>
      </c>
      <c r="UD12" s="59" t="n">
        <v>15316000</v>
      </c>
      <c r="UE12" s="59" t="n">
        <v>14563000</v>
      </c>
      <c r="UF12" s="59" t="n">
        <v>14474000</v>
      </c>
      <c r="UG12" s="59" t="n">
        <v>14339000</v>
      </c>
      <c r="UH12" s="59" t="n">
        <v>14204000</v>
      </c>
      <c r="UI12" s="59" t="n">
        <v>13573000</v>
      </c>
      <c r="UJ12" s="59" t="n">
        <v>13438000</v>
      </c>
      <c r="UK12" s="59" t="n">
        <v>13303000</v>
      </c>
      <c r="UL12" s="59" t="n">
        <v>13303000</v>
      </c>
      <c r="UM12" s="59" t="n">
        <v>13214000</v>
      </c>
      <c r="UN12" s="59" t="n">
        <v>14607000</v>
      </c>
      <c r="UO12" s="59" t="n">
        <v>14607000</v>
      </c>
      <c r="UP12" s="59" t="n">
        <v>14561000</v>
      </c>
      <c r="UQ12" s="59" t="n">
        <v>14515000</v>
      </c>
      <c r="UR12" s="59" t="n">
        <v>14423000</v>
      </c>
      <c r="US12" s="59" t="n">
        <v>14334000</v>
      </c>
      <c r="UT12" s="59" t="n">
        <v>16001000</v>
      </c>
      <c r="UU12" s="59" t="n">
        <v>16001000</v>
      </c>
      <c r="UV12" s="59" t="n">
        <v>15955000</v>
      </c>
      <c r="UW12" s="59" t="n">
        <v>15909000</v>
      </c>
      <c r="UX12" s="130" t="n"/>
      <c r="UY12" s="59" t="n">
        <v>16116000</v>
      </c>
      <c r="UZ12" s="59" t="n">
        <v>15846000</v>
      </c>
      <c r="VA12" s="59" t="n">
        <v>15757000</v>
      </c>
      <c r="VB12" s="59" t="n">
        <v>15668000</v>
      </c>
      <c r="VC12" s="59" t="n">
        <v>16116000</v>
      </c>
      <c r="VD12" s="59" t="n">
        <v>15576000</v>
      </c>
      <c r="VE12" s="59" t="n">
        <v>15576000</v>
      </c>
      <c r="VF12" s="59" t="n">
        <v>15306000</v>
      </c>
      <c r="VG12" s="59" t="n">
        <v>16294000</v>
      </c>
      <c r="VH12" s="59" t="n">
        <v>15985000</v>
      </c>
      <c r="VI12" s="59" t="n">
        <v>16350000</v>
      </c>
      <c r="VJ12" s="59" t="n">
        <v>15964000</v>
      </c>
      <c r="VK12" s="59" t="n">
        <v>15760000</v>
      </c>
      <c r="VL12" s="59" t="n">
        <v>15760000</v>
      </c>
      <c r="VM12" s="59" t="n">
        <v>15378000</v>
      </c>
      <c r="VN12" s="59" t="n">
        <v>15332000</v>
      </c>
      <c r="VO12" s="59" t="n">
        <v>15174000</v>
      </c>
      <c r="VP12" s="59" t="n">
        <v>15174000</v>
      </c>
      <c r="VQ12" s="59" t="n">
        <v>15128000</v>
      </c>
      <c r="VR12" s="59" t="n">
        <v>15036000</v>
      </c>
      <c r="VS12" s="59" t="n">
        <v>14769000</v>
      </c>
      <c r="VT12" s="59" t="n">
        <v>14500000</v>
      </c>
      <c r="VU12" s="59" t="n">
        <v>14322000</v>
      </c>
      <c r="VV12" s="59" t="n">
        <v>14184000</v>
      </c>
      <c r="VW12" s="59" t="n">
        <v>15689000</v>
      </c>
      <c r="VX12" s="59" t="n">
        <v>15689000</v>
      </c>
      <c r="VY12" s="59" t="n">
        <v>15689000</v>
      </c>
      <c r="VZ12" s="59" t="n">
        <v>15373000</v>
      </c>
      <c r="WA12" s="140" t="n"/>
      <c r="WB12" s="59" t="n">
        <v>15557000</v>
      </c>
      <c r="WC12" s="59" t="n">
        <v>15172000</v>
      </c>
      <c r="WD12" s="59" t="n">
        <v>15037000</v>
      </c>
      <c r="WE12" s="59" t="n">
        <v>14698000</v>
      </c>
      <c r="WF12" s="59" t="n">
        <v>14609000</v>
      </c>
      <c r="WG12" s="59" t="n">
        <v>14471000</v>
      </c>
      <c r="WH12" s="59" t="n">
        <v>14313000</v>
      </c>
      <c r="WI12" s="59" t="n">
        <v>14267000</v>
      </c>
      <c r="WJ12" s="59" t="n">
        <v>14267000</v>
      </c>
      <c r="WK12" s="59" t="n">
        <v>14221000</v>
      </c>
      <c r="WL12" s="59" t="n">
        <v>15393000</v>
      </c>
      <c r="WM12" s="59" t="n">
        <v>15393000</v>
      </c>
      <c r="WN12" s="59" t="n">
        <v>15255000</v>
      </c>
      <c r="WO12" s="59" t="n">
        <v>15488000</v>
      </c>
      <c r="WP12" s="59" t="n">
        <v>15488000</v>
      </c>
      <c r="WQ12" s="59" t="n">
        <v>15354000</v>
      </c>
      <c r="WR12" s="59" t="n">
        <v>15150000</v>
      </c>
      <c r="WS12" s="59" t="n">
        <v>15150000</v>
      </c>
      <c r="WT12" s="59" t="n">
        <v>15150000</v>
      </c>
      <c r="WU12" s="59" t="n">
        <v>15150000</v>
      </c>
      <c r="WV12" s="59" t="n">
        <v>15058000</v>
      </c>
      <c r="WW12" s="59" t="n">
        <v>14966000</v>
      </c>
      <c r="WX12" s="59" t="n">
        <v>14874000</v>
      </c>
      <c r="WY12" s="59" t="n">
        <v>14874000</v>
      </c>
      <c r="WZ12" s="59" t="n">
        <v>14874000</v>
      </c>
      <c r="XA12" s="59" t="n">
        <v>15058000</v>
      </c>
      <c r="XB12" s="59" t="n">
        <v>14969000</v>
      </c>
      <c r="XC12" s="59" t="n">
        <v>14719000</v>
      </c>
      <c r="XD12" s="59" t="n">
        <v>14630000</v>
      </c>
      <c r="XE12" s="59" t="n">
        <v>14189000</v>
      </c>
      <c r="XF12" s="59" t="n">
        <v>14143000</v>
      </c>
      <c r="XG12" s="140" t="n"/>
      <c r="XH12" s="59" t="n">
        <v>14143000</v>
      </c>
      <c r="XI12" s="59" t="n">
        <v>13791000</v>
      </c>
      <c r="XJ12" s="59" t="n">
        <v>14274000</v>
      </c>
      <c r="XK12" s="59" t="n">
        <v>14274000</v>
      </c>
      <c r="XL12" s="59" t="n">
        <v>14274000</v>
      </c>
      <c r="XM12" s="59" t="n">
        <v>14512000</v>
      </c>
      <c r="XN12" s="59" t="n">
        <v>14512000</v>
      </c>
      <c r="XO12" s="59" t="n">
        <v>14466000</v>
      </c>
      <c r="XP12" s="59" t="n">
        <v>14420000</v>
      </c>
      <c r="XQ12" s="59" t="n">
        <v>14096500</v>
      </c>
      <c r="XR12" s="59" t="n">
        <v>14096500</v>
      </c>
      <c r="XS12" s="59" t="n">
        <v>15003000</v>
      </c>
      <c r="XT12" s="59" t="n">
        <v>14911000</v>
      </c>
      <c r="XU12" s="59" t="n">
        <v>14679000</v>
      </c>
      <c r="XV12" s="59" t="n">
        <v>14679500</v>
      </c>
      <c r="XW12" s="59" t="n">
        <v>14544500</v>
      </c>
      <c r="XX12" s="59" t="n">
        <v>14498500</v>
      </c>
      <c r="XY12" s="59" t="n">
        <v>14274500</v>
      </c>
      <c r="XZ12" s="59" t="n">
        <v>14274500</v>
      </c>
      <c r="YA12" s="59" t="n">
        <v>14185500</v>
      </c>
      <c r="YB12" s="59" t="n">
        <v>14185500</v>
      </c>
      <c r="YC12" s="59" t="n">
        <v>14185500</v>
      </c>
      <c r="YD12" s="59" t="n">
        <v>14185500</v>
      </c>
      <c r="YE12" s="59" t="n">
        <v>14641000</v>
      </c>
      <c r="YF12" s="59" t="n">
        <v>14595000</v>
      </c>
      <c r="YG12" s="59" t="n">
        <v>15000000</v>
      </c>
      <c r="YH12" s="59" t="n">
        <v>15000000</v>
      </c>
      <c r="YI12" s="59" t="n">
        <v>14590720</v>
      </c>
      <c r="YJ12" s="59" t="n">
        <v>14366720</v>
      </c>
      <c r="YK12" s="59" t="n">
        <v>14224220</v>
      </c>
      <c r="YL12" s="130" t="n"/>
      <c r="YM12" s="59" t="n">
        <v>14178220</v>
      </c>
      <c r="YN12" s="59" t="n">
        <v>14040220</v>
      </c>
      <c r="YO12" s="59" t="n">
        <v>14040220</v>
      </c>
      <c r="YP12" s="59" t="n">
        <v>14040220</v>
      </c>
      <c r="YQ12" s="59" t="n">
        <v>14716220</v>
      </c>
      <c r="YR12" s="59" t="n">
        <v>14716220</v>
      </c>
      <c r="YS12" s="59" t="n">
        <v>14624220</v>
      </c>
      <c r="YT12" s="59" t="n">
        <v>14401220</v>
      </c>
      <c r="YU12" s="59" t="n">
        <v>14355220</v>
      </c>
      <c r="YV12" s="59" t="n">
        <v>14309220</v>
      </c>
      <c r="YW12" s="59" t="n">
        <v>14678720</v>
      </c>
      <c r="YX12" s="59" t="n">
        <v>14678720</v>
      </c>
      <c r="YY12" s="59" t="n">
        <v>14678720</v>
      </c>
      <c r="YZ12" s="59" t="n">
        <v>14678000</v>
      </c>
      <c r="ZA12" s="59" t="n">
        <v>14678000</v>
      </c>
      <c r="ZB12" s="59" t="n">
        <v>14678000</v>
      </c>
      <c r="ZC12" s="59" t="n">
        <v>14724720</v>
      </c>
      <c r="ZD12" s="59" t="n">
        <v>14586720</v>
      </c>
      <c r="ZE12" s="59" t="n">
        <v>14540720</v>
      </c>
      <c r="ZF12" s="59" t="n">
        <v>14309220</v>
      </c>
      <c r="ZG12" s="59" t="n">
        <v>14220220</v>
      </c>
      <c r="ZH12" s="59" t="n">
        <v>14085220</v>
      </c>
      <c r="ZI12" s="59" t="n">
        <v>13772220</v>
      </c>
      <c r="ZJ12" s="59" t="n">
        <v>13680220</v>
      </c>
      <c r="ZK12" s="59" t="n">
        <v>13634220</v>
      </c>
      <c r="ZL12" s="59" t="n">
        <v>13953220</v>
      </c>
      <c r="ZM12" s="59" t="n">
        <v>13764720</v>
      </c>
      <c r="ZN12" s="59" t="n">
        <v>13583720</v>
      </c>
      <c r="ZO12" s="59" t="n">
        <v>13360720</v>
      </c>
      <c r="ZP12" s="59" t="n">
        <v>13225720</v>
      </c>
      <c r="ZQ12" s="59" t="n">
        <v>13136720</v>
      </c>
      <c r="ZR12" s="130" t="n"/>
      <c r="ZS12" s="59" t="n">
        <v>13001720</v>
      </c>
      <c r="ZT12" s="59" t="n">
        <v>12912720</v>
      </c>
      <c r="ZU12" s="59" t="n">
        <v>13964720</v>
      </c>
      <c r="ZV12" s="59" t="n">
        <v>13875720</v>
      </c>
      <c r="ZW12" s="59" t="n">
        <v>13829720</v>
      </c>
      <c r="ZX12" s="59" t="n">
        <v>13641220</v>
      </c>
      <c r="ZY12" s="59" t="n">
        <v>13506220</v>
      </c>
      <c r="ZZ12" s="59" t="n">
        <v>14224220</v>
      </c>
      <c r="AAA12" s="59" t="n">
        <v>14045220</v>
      </c>
      <c r="AAB12" s="59" t="n">
        <v>14045220</v>
      </c>
      <c r="AAC12" s="59" t="n">
        <v>13726226</v>
      </c>
      <c r="AAD12" s="59" t="n">
        <v>13680220</v>
      </c>
      <c r="AAE12" s="59" t="n">
        <v>13537720</v>
      </c>
      <c r="AAF12" s="59" t="n">
        <v>13537720</v>
      </c>
      <c r="AAG12" s="59" t="n">
        <v>13356720</v>
      </c>
      <c r="AAH12" s="59" t="n">
        <v>14402220</v>
      </c>
      <c r="AAI12" s="59" t="n">
        <v>14313220</v>
      </c>
      <c r="AAJ12" s="59" t="n">
        <v>14086220</v>
      </c>
      <c r="AAK12" s="59" t="n">
        <v>13997220</v>
      </c>
      <c r="AAL12" s="59" t="n">
        <v>13997220</v>
      </c>
      <c r="AAM12" s="59" t="n">
        <v>13997220</v>
      </c>
      <c r="AAN12" s="59" t="n">
        <v>13951220</v>
      </c>
      <c r="AAO12" s="59" t="n">
        <v>14451220</v>
      </c>
      <c r="AAP12" s="59" t="n">
        <v>14451220</v>
      </c>
      <c r="AAQ12" s="59" t="n">
        <v>14362220</v>
      </c>
      <c r="AAR12" s="59" t="n">
        <v>14273220</v>
      </c>
      <c r="AAS12" s="59" t="n">
        <v>14138220</v>
      </c>
      <c r="AAT12" s="59" t="n">
        <v>14138220</v>
      </c>
      <c r="AAU12" s="59" t="n">
        <v>14092220</v>
      </c>
      <c r="AAV12" s="59" t="n">
        <v>14046220</v>
      </c>
      <c r="AAW12" s="130" t="n"/>
      <c r="AAX12" s="59" t="n">
        <v>14046220</v>
      </c>
      <c r="AAY12" s="59" t="n">
        <v>14000220</v>
      </c>
      <c r="AAZ12" s="59" t="n">
        <v>13866220</v>
      </c>
      <c r="ABA12" s="59" t="n">
        <v>13866220</v>
      </c>
      <c r="ABB12" s="59" t="n">
        <v>14591720</v>
      </c>
      <c r="ABC12" s="59" t="n">
        <v>14591720</v>
      </c>
      <c r="ABD12" s="59" t="n">
        <v>14367720</v>
      </c>
      <c r="ABE12" s="59" t="n">
        <v>14047220</v>
      </c>
      <c r="ABF12" s="59" t="n">
        <v>13955220</v>
      </c>
      <c r="ABG12" s="59" t="n">
        <v>13685220</v>
      </c>
      <c r="ABH12" s="59" t="n">
        <v>13685220</v>
      </c>
      <c r="ABI12" s="59" t="n">
        <v>13639220</v>
      </c>
      <c r="ABJ12" s="59" t="n">
        <v>14005720</v>
      </c>
      <c r="ABK12" s="59" t="n">
        <v>13916720</v>
      </c>
      <c r="ABL12" s="59" t="n">
        <v>13916720</v>
      </c>
      <c r="ABM12" s="59" t="n">
        <v>13824720</v>
      </c>
      <c r="ABN12" s="59" t="n">
        <v>13824720</v>
      </c>
      <c r="ABO12" s="59" t="n">
        <v>14413720</v>
      </c>
      <c r="ABP12" s="59" t="n">
        <v>14367720</v>
      </c>
      <c r="ABQ12" s="59" t="n">
        <v>14143720</v>
      </c>
      <c r="ABR12" s="59" t="n">
        <v>13965720</v>
      </c>
      <c r="ABS12" s="59" t="n">
        <v>13873720</v>
      </c>
      <c r="ABT12" s="59" t="n">
        <v>13603720</v>
      </c>
      <c r="ABU12" s="59" t="n">
        <v>13511720</v>
      </c>
      <c r="ABV12" s="59" t="n">
        <v>13240720</v>
      </c>
      <c r="ABW12" s="59" t="n">
        <v>13240720</v>
      </c>
      <c r="ABX12" s="59" t="n">
        <v>13194720</v>
      </c>
      <c r="ABY12" s="59" t="n">
        <v>14004720</v>
      </c>
      <c r="ABZ12" s="59" t="n">
        <v>13773220</v>
      </c>
      <c r="ACA12" s="59" t="n">
        <v>13727220</v>
      </c>
      <c r="ACB12" s="59" t="n">
        <v>13638220</v>
      </c>
      <c r="ACC12" s="130" t="n"/>
      <c r="ACD12" s="59" t="n">
        <v>14100720</v>
      </c>
      <c r="ACE12" s="59" t="n">
        <v>14100720</v>
      </c>
      <c r="ACF12" s="59" t="n">
        <v>14100720</v>
      </c>
      <c r="ACG12" s="59" t="n">
        <v>14100720</v>
      </c>
      <c r="ACH12" s="59" t="n">
        <v>14100720</v>
      </c>
      <c r="ACI12" s="59" t="n">
        <v>13962720</v>
      </c>
      <c r="ACJ12" s="59" t="n">
        <v>13916720</v>
      </c>
      <c r="ACK12" s="59" t="n">
        <v>14367720</v>
      </c>
      <c r="ACL12" s="59" t="n">
        <v>14225220</v>
      </c>
      <c r="ACM12" s="59" t="n">
        <v>14225220</v>
      </c>
      <c r="ACN12" s="59" t="n">
        <v>14082720</v>
      </c>
      <c r="ACO12" s="59" t="n">
        <v>13947720</v>
      </c>
      <c r="ACP12" s="59" t="n">
        <v>13947720</v>
      </c>
      <c r="ACQ12" s="59" t="n">
        <v>13947720</v>
      </c>
      <c r="ACR12" s="59" t="n">
        <v>13947720</v>
      </c>
      <c r="ACS12" s="59" t="n">
        <v>13947720</v>
      </c>
      <c r="ACT12" s="59" t="n">
        <v>13812720</v>
      </c>
      <c r="ACU12" s="59" t="n">
        <v>13720720</v>
      </c>
      <c r="ACV12" s="59" t="n">
        <v>13674720</v>
      </c>
      <c r="ACW12" s="59" t="n">
        <v>13674720</v>
      </c>
      <c r="ACX12" s="59" t="n">
        <v>14136220</v>
      </c>
      <c r="ACY12" s="59" t="n">
        <v>14136220</v>
      </c>
      <c r="ACZ12" s="59" t="n">
        <v>14136220</v>
      </c>
      <c r="ADA12" s="59" t="n">
        <v>13955220</v>
      </c>
      <c r="ADB12" s="59" t="n">
        <v>13909220</v>
      </c>
      <c r="ADC12" s="59" t="n">
        <v>13639220</v>
      </c>
      <c r="ADD12" s="59" t="n">
        <v>13404720</v>
      </c>
      <c r="ADE12" s="59" t="n">
        <v>13358720</v>
      </c>
      <c r="ADF12" s="59" t="n">
        <v>13216220</v>
      </c>
      <c r="ADG12" s="59" t="n">
        <v>13170220</v>
      </c>
      <c r="ADH12" s="59" t="n">
        <v>13035220</v>
      </c>
      <c r="ADI12" s="130" t="n"/>
      <c r="ADJ12" s="59" t="n">
        <v>14360220</v>
      </c>
      <c r="ADK12" s="59" t="n">
        <v>14314220</v>
      </c>
      <c r="ADL12" s="59" t="n">
        <v>14225220</v>
      </c>
      <c r="ADM12" s="59" t="n">
        <v>14225220</v>
      </c>
      <c r="ADN12" s="59" t="n">
        <v>14136220</v>
      </c>
      <c r="ADO12" s="59" t="n">
        <v>14001220</v>
      </c>
      <c r="ADP12" s="59" t="n">
        <v>14456720</v>
      </c>
      <c r="ADQ12" s="59" t="n">
        <v>14318720</v>
      </c>
      <c r="ADR12" s="59" t="n">
        <v>14318720</v>
      </c>
      <c r="ADS12" s="59" t="n">
        <v>14272720</v>
      </c>
      <c r="ADT12" s="59" t="n">
        <v>14272720</v>
      </c>
      <c r="ADU12" s="59" t="n">
        <v>14180720</v>
      </c>
      <c r="ADV12" s="59" t="n">
        <v>14088720</v>
      </c>
      <c r="ADW12" s="59" t="n">
        <v>14088720</v>
      </c>
      <c r="ADX12" s="59" t="n">
        <v>13953720</v>
      </c>
      <c r="ADY12" s="59" t="n">
        <v>14038220</v>
      </c>
      <c r="ADZ12" s="59" t="n">
        <v>13900220</v>
      </c>
      <c r="AEA12" s="59" t="n">
        <v>13854220</v>
      </c>
      <c r="AEB12" s="59" t="n">
        <v>13854220</v>
      </c>
      <c r="AEC12" s="59" t="n">
        <v>14412720</v>
      </c>
      <c r="AED12" s="59" t="n">
        <v>14412720</v>
      </c>
      <c r="AEE12" s="59" t="n">
        <v>14366720</v>
      </c>
      <c r="AEF12" s="59" t="n">
        <v>14320720</v>
      </c>
      <c r="AEG12" s="59" t="n">
        <v>14320720</v>
      </c>
      <c r="AEH12" s="59" t="n">
        <v>14320720</v>
      </c>
      <c r="AEI12" s="59" t="n">
        <v>14231720</v>
      </c>
      <c r="AEJ12" s="59" t="n">
        <v>14139720</v>
      </c>
      <c r="AEK12" s="59" t="n">
        <v>14004720</v>
      </c>
      <c r="AEL12" s="59" t="n">
        <v>13915720</v>
      </c>
      <c r="AEM12" s="59" t="n">
        <v>13780720</v>
      </c>
      <c r="AEN12" s="130" t="n"/>
      <c r="AEO12" s="59" t="n">
        <v>13645720</v>
      </c>
      <c r="AEP12" s="59" t="n">
        <v>13645720</v>
      </c>
      <c r="AEQ12" s="59" t="n">
        <v>13961772</v>
      </c>
      <c r="AER12" s="59" t="n">
        <v>13915720</v>
      </c>
      <c r="AES12" s="59" t="n">
        <v>13692720</v>
      </c>
      <c r="AET12" s="59" t="n">
        <v>13646720</v>
      </c>
      <c r="AEU12" s="59" t="n">
        <v>13646720</v>
      </c>
      <c r="AEV12" s="59" t="n">
        <v>13557720</v>
      </c>
      <c r="AEW12" s="59" t="n">
        <v>13422720</v>
      </c>
      <c r="AEX12" s="59" t="n">
        <v>13422720</v>
      </c>
      <c r="AEY12" s="59" t="n">
        <v>13422720</v>
      </c>
      <c r="AEZ12" s="59" t="n">
        <v>13330720</v>
      </c>
      <c r="AFA12" s="59" t="n">
        <v>14141720</v>
      </c>
      <c r="AFB12" s="59" t="n">
        <v>14006720</v>
      </c>
      <c r="AFC12" s="59" t="n">
        <v>13818220</v>
      </c>
      <c r="AFD12" s="59" t="n">
        <v>13818220</v>
      </c>
      <c r="AFE12" s="59" t="n">
        <v>13680220</v>
      </c>
      <c r="AFF12" s="59" t="n">
        <v>13680220</v>
      </c>
      <c r="AFG12" s="59" t="n">
        <v>14276720</v>
      </c>
      <c r="AFH12" s="59" t="n">
        <v>14184720</v>
      </c>
      <c r="AFI12" s="59" t="n">
        <v>14184720</v>
      </c>
      <c r="AFJ12" s="59" t="n">
        <v>14006720</v>
      </c>
      <c r="AFK12" s="59" t="n">
        <v>14006720</v>
      </c>
      <c r="AFL12" s="59" t="n">
        <v>14006720</v>
      </c>
      <c r="AFM12" s="59" t="n">
        <v>14006720</v>
      </c>
      <c r="AFN12" s="59" t="n">
        <v>13914720</v>
      </c>
      <c r="AFO12" s="59" t="n">
        <v>13733720</v>
      </c>
      <c r="AFP12" s="59" t="n">
        <v>13644720</v>
      </c>
      <c r="AFQ12" s="59" t="n">
        <v>13828720</v>
      </c>
      <c r="AFR12" s="59" t="n">
        <v>13828720</v>
      </c>
      <c r="AFS12" s="59" t="n">
        <v>13420720</v>
      </c>
      <c r="AFT12" s="130" t="n"/>
      <c r="AFU12" s="59" t="n">
        <v>14319720</v>
      </c>
      <c r="AFV12" s="59" t="n">
        <v>14273720</v>
      </c>
      <c r="AFW12" s="59" t="n">
        <v>14138720</v>
      </c>
      <c r="AFX12" s="59" t="n">
        <v>14092740</v>
      </c>
      <c r="AFY12" s="59" t="n">
        <v>14046720</v>
      </c>
      <c r="AFZ12" s="59" t="n">
        <v>14000720</v>
      </c>
      <c r="AGA12" s="59" t="n">
        <v>14457720</v>
      </c>
      <c r="AGB12" s="59" t="n">
        <v>14411720</v>
      </c>
      <c r="AGC12" s="59" t="n">
        <v>14276720</v>
      </c>
      <c r="AGD12" s="59" t="n">
        <v>14230720</v>
      </c>
      <c r="AGE12" s="59" t="n">
        <v>14230720</v>
      </c>
      <c r="AGF12" s="59" t="n">
        <v>14230720</v>
      </c>
      <c r="AGG12" s="59" t="n">
        <v>14006720</v>
      </c>
      <c r="AGH12" s="59" t="n">
        <v>14006720</v>
      </c>
      <c r="AGI12" s="59" t="n">
        <v>14006720</v>
      </c>
      <c r="AGJ12" s="59" t="n">
        <v>14006720</v>
      </c>
      <c r="AGK12" s="59" t="n">
        <v>14457720</v>
      </c>
      <c r="AGL12" s="59" t="n">
        <v>14457720</v>
      </c>
      <c r="AGM12" s="59" t="n">
        <v>14457720</v>
      </c>
      <c r="AGN12" s="59" t="n">
        <v>14365720</v>
      </c>
      <c r="AGO12" s="59" t="n">
        <v>14276720</v>
      </c>
      <c r="AGP12" s="59" t="n">
        <v>14184720</v>
      </c>
      <c r="AGQ12" s="59" t="n">
        <v>14184720</v>
      </c>
      <c r="AGR12" s="59" t="n">
        <v>14184720</v>
      </c>
      <c r="AGS12" s="59" t="n">
        <v>14052720</v>
      </c>
      <c r="AGT12" s="59" t="n">
        <v>13871720</v>
      </c>
      <c r="AGU12" s="59" t="n">
        <v>13825720</v>
      </c>
      <c r="AGV12" s="59" t="n">
        <v>13241720</v>
      </c>
      <c r="AGW12" s="59" t="n">
        <v>13007220</v>
      </c>
      <c r="AGX12" s="59" t="n">
        <v>13685220</v>
      </c>
      <c r="AGY12" s="140" t="n"/>
      <c r="AGZ12" s="59" t="n">
        <v>13685220</v>
      </c>
      <c r="AHA12" s="59" t="n">
        <v>13415220</v>
      </c>
      <c r="AHB12" s="59" t="n">
        <v>13415220</v>
      </c>
      <c r="AHC12" s="59" t="n">
        <v>13280220</v>
      </c>
      <c r="AHD12" s="59" t="n">
        <v>13280220</v>
      </c>
      <c r="AHE12" s="59" t="n">
        <v>14503720</v>
      </c>
      <c r="AHF12" s="59" t="n">
        <v>14457720</v>
      </c>
      <c r="AHG12" s="59" t="n">
        <v>14457720</v>
      </c>
      <c r="AHH12" s="59" t="n">
        <v>14457720</v>
      </c>
      <c r="AHI12" s="59" t="n">
        <v>14190720</v>
      </c>
      <c r="AHJ12" s="59" t="n">
        <v>14190720</v>
      </c>
      <c r="AHK12" s="59" t="n">
        <v>14144720</v>
      </c>
      <c r="AHL12" s="59" t="n">
        <v>14144720</v>
      </c>
      <c r="AHM12" s="59" t="n">
        <v>13960720</v>
      </c>
      <c r="AHN12" s="59" t="n">
        <v>13914720</v>
      </c>
      <c r="AHO12" s="59" t="n">
        <v>13914720</v>
      </c>
      <c r="AHP12" s="59" t="n">
        <v>14181720</v>
      </c>
      <c r="AHQ12" s="59" t="n">
        <v>14181720</v>
      </c>
      <c r="AHR12" s="59" t="n">
        <v>13993220</v>
      </c>
      <c r="AHS12" s="59" t="n">
        <v>13766220</v>
      </c>
      <c r="AHT12" s="59" t="n">
        <v>13588220</v>
      </c>
      <c r="AHU12" s="59" t="n">
        <v>13496220</v>
      </c>
      <c r="AHV12" s="59" t="n">
        <v>13144220</v>
      </c>
      <c r="AHW12" s="59" t="n">
        <v>12872220</v>
      </c>
      <c r="AHX12" s="59" t="n">
        <v>12737220</v>
      </c>
      <c r="AHY12" s="59" t="n">
        <v>12737220</v>
      </c>
      <c r="AHZ12" s="59" t="n">
        <v>12691220</v>
      </c>
      <c r="AIA12" s="59" t="n">
        <v>12599220</v>
      </c>
      <c r="AIB12" s="59" t="n">
        <v>12553220</v>
      </c>
      <c r="AIC12" s="59" t="n">
        <v>12418220</v>
      </c>
      <c r="AID12" s="59" t="n">
        <v>12418220</v>
      </c>
      <c r="AIE12" s="130" t="n"/>
      <c r="AIF12" s="59" t="n">
        <v>12326220</v>
      </c>
      <c r="AIG12" s="59" t="n">
        <v>12280220</v>
      </c>
      <c r="AIH12" s="59" t="n">
        <v>12234220</v>
      </c>
      <c r="AII12" s="59" t="n">
        <v>12234220</v>
      </c>
      <c r="AIJ12" s="59" t="n">
        <v>13339720</v>
      </c>
      <c r="AIK12" s="59" t="n">
        <v>13151220</v>
      </c>
      <c r="AIL12" s="59" t="n">
        <v>13151220</v>
      </c>
      <c r="AIM12" s="59" t="n">
        <v>13151220</v>
      </c>
      <c r="AIN12" s="59" t="n">
        <v>13058220</v>
      </c>
      <c r="AIO12" s="59" t="n">
        <v>13013220</v>
      </c>
      <c r="AIP12" s="59" t="n">
        <v>12967220</v>
      </c>
      <c r="AIQ12" s="59" t="n">
        <v>12921220</v>
      </c>
      <c r="AIR12" s="59" t="n">
        <v>13648220</v>
      </c>
      <c r="AIS12" s="59" t="n">
        <v>13559220</v>
      </c>
      <c r="AIT12" s="59" t="n">
        <v>13467220</v>
      </c>
      <c r="AIU12" s="59" t="n">
        <v>13467220</v>
      </c>
      <c r="AIV12" s="59" t="n">
        <v>13242220</v>
      </c>
      <c r="AIW12" s="59" t="n">
        <v>13150220</v>
      </c>
      <c r="AIX12" s="59" t="n">
        <v>13150220</v>
      </c>
      <c r="AIY12" s="59" t="n">
        <v>14145220</v>
      </c>
      <c r="AIZ12" s="59" t="n">
        <v>14007220</v>
      </c>
      <c r="AJA12" s="59" t="n">
        <v>14007220</v>
      </c>
      <c r="AJB12" s="59" t="n">
        <v>14007220</v>
      </c>
      <c r="AJC12" s="59" t="n">
        <v>13918220</v>
      </c>
      <c r="AJD12" s="59" t="n">
        <v>13826220</v>
      </c>
      <c r="AJE12" s="59" t="n">
        <v>13826220</v>
      </c>
      <c r="AJF12" s="59" t="n">
        <v>13780220</v>
      </c>
      <c r="AJG12" s="59" t="n">
        <v>13556220</v>
      </c>
      <c r="AJH12" s="59" t="n">
        <v>13375220</v>
      </c>
      <c r="AJI12" s="59" t="n">
        <v>13329220</v>
      </c>
      <c r="AJJ12" s="59" t="n">
        <v>13237220</v>
      </c>
      <c r="AJK12" s="145" t="n"/>
      <c r="AJL12" s="59" t="n">
        <v>13013220</v>
      </c>
      <c r="AJM12" s="59" t="n">
        <v>13744720</v>
      </c>
      <c r="AJN12" s="59" t="n">
        <v>13698720</v>
      </c>
      <c r="AJO12" s="59" t="n">
        <v>14056220</v>
      </c>
      <c r="AJP12" s="59" t="n">
        <v>14056220</v>
      </c>
      <c r="AJQ12" s="59" t="n">
        <v>14109720</v>
      </c>
      <c r="AJR12" s="59" t="n">
        <v>14017720</v>
      </c>
      <c r="AJS12" s="59" t="n">
        <v>13830726</v>
      </c>
      <c r="AJT12" s="59" t="n">
        <v>13790720</v>
      </c>
      <c r="AJU12" s="59" t="n">
        <v>13698720</v>
      </c>
      <c r="AJV12" s="59" t="n">
        <v>13698720</v>
      </c>
      <c r="AJW12" s="59" t="n">
        <v>13563720</v>
      </c>
      <c r="AJX12" s="59" t="n">
        <v>13563720</v>
      </c>
      <c r="AJY12" s="59" t="n">
        <v>13201720</v>
      </c>
      <c r="AJZ12" s="59" t="n">
        <v>13201720</v>
      </c>
      <c r="AKA12" s="59" t="n">
        <v>13470220</v>
      </c>
      <c r="AKB12" s="59" t="n">
        <v>13424220</v>
      </c>
      <c r="AKC12" s="59" t="n">
        <v>13335220</v>
      </c>
      <c r="AKD12" s="59" t="n">
        <v>13200220</v>
      </c>
      <c r="AKE12" s="59" t="n">
        <v>13200220</v>
      </c>
      <c r="AKF12" s="59" t="n">
        <v>14056220</v>
      </c>
      <c r="AKG12" s="59" t="n">
        <v>13964220</v>
      </c>
      <c r="AKH12" s="59" t="n">
        <v>13732720</v>
      </c>
      <c r="AKI12" s="59" t="n">
        <v>13732720</v>
      </c>
      <c r="AKJ12" s="59" t="n">
        <v>13643720</v>
      </c>
      <c r="AKK12" s="59" t="n">
        <v>13643720</v>
      </c>
      <c r="AKL12" s="59" t="n">
        <v>13505720</v>
      </c>
      <c r="AKM12" s="59" t="n">
        <v>13459720</v>
      </c>
      <c r="AKN12" s="53" t="n"/>
      <c r="AKO12" s="59" t="n">
        <v>13459720</v>
      </c>
      <c r="AKP12" s="59" t="n">
        <v>14106720</v>
      </c>
      <c r="AKQ12" s="59" t="n">
        <v>14106720</v>
      </c>
      <c r="AKR12" s="59" t="n">
        <v>14106720</v>
      </c>
      <c r="AKS12" s="59" t="n">
        <v>14014720</v>
      </c>
      <c r="AKT12" s="59" t="n">
        <v>14106720</v>
      </c>
      <c r="AKU12" s="59" t="n">
        <v>13833720</v>
      </c>
      <c r="AKV12" s="59" t="n">
        <v>13698720</v>
      </c>
      <c r="AKW12" s="59" t="n">
        <v>13698720</v>
      </c>
      <c r="AKX12" s="59" t="n">
        <v>13606720</v>
      </c>
      <c r="AKY12" s="59" t="n">
        <v>13700720</v>
      </c>
      <c r="AKZ12" s="59" t="n">
        <v>13654720</v>
      </c>
      <c r="ALA12" s="59" t="n">
        <v>13608720</v>
      </c>
      <c r="ALB12" s="59" t="n">
        <v>13519720</v>
      </c>
      <c r="ALC12" s="59" t="n">
        <v>13377220</v>
      </c>
      <c r="ALD12" s="59" t="n">
        <v>13377220</v>
      </c>
      <c r="ALE12" s="59" t="n">
        <v>13288220</v>
      </c>
      <c r="ALF12" s="59" t="n">
        <v>13920220</v>
      </c>
      <c r="ALG12" s="59" t="n">
        <v>13920220</v>
      </c>
      <c r="ALH12" s="59" t="n">
        <v>13786220</v>
      </c>
      <c r="ALI12" s="59" t="n">
        <v>13697220</v>
      </c>
      <c r="ALJ12" s="59" t="n">
        <v>13651220</v>
      </c>
      <c r="ALK12" s="59" t="n">
        <v>13562220</v>
      </c>
      <c r="ALL12" s="59" t="n">
        <v>13473220</v>
      </c>
      <c r="ALM12" s="59" t="n">
        <v>13335220</v>
      </c>
      <c r="ALN12" s="59" t="n">
        <v>13335220</v>
      </c>
      <c r="ALO12" s="59" t="n">
        <v>13246220</v>
      </c>
      <c r="ALP12" s="59" t="n">
        <v>13154220</v>
      </c>
      <c r="ALQ12" s="59" t="n">
        <v>12973220</v>
      </c>
      <c r="ALR12" s="59" t="n">
        <v>12973220</v>
      </c>
      <c r="ALS12" s="59" t="n">
        <v>12884220</v>
      </c>
      <c r="ALT12" s="130" t="n"/>
      <c r="ALU12" s="59" t="n">
        <v>12838220</v>
      </c>
      <c r="ALV12" s="59" t="n">
        <v>12838220</v>
      </c>
      <c r="ALW12" s="59" t="n">
        <v>12749220</v>
      </c>
      <c r="ALX12" s="59" t="n">
        <v>12425720</v>
      </c>
      <c r="ALY12" s="59" t="n">
        <v>12155720</v>
      </c>
      <c r="ALZ12" s="59" t="n">
        <v>14629720</v>
      </c>
      <c r="AMA12" s="59" t="n">
        <v>14626720</v>
      </c>
      <c r="AMB12" s="59" t="n">
        <v>14313720</v>
      </c>
      <c r="AMC12" s="59" t="n">
        <v>16535720</v>
      </c>
      <c r="AMD12" s="59" t="n">
        <v>16535720</v>
      </c>
      <c r="AME12" s="59" t="n">
        <v>16489720</v>
      </c>
      <c r="AMF12" s="59" t="n">
        <v>16489720</v>
      </c>
      <c r="AMG12" s="59" t="n">
        <v>16397720</v>
      </c>
      <c r="AMH12" s="59" t="n">
        <v>16216720</v>
      </c>
      <c r="AMI12" s="59" t="n">
        <v>16127720</v>
      </c>
      <c r="AMJ12" s="59" t="n">
        <v>15769720</v>
      </c>
      <c r="AMK12" s="59" t="n">
        <v>15769720</v>
      </c>
      <c r="AML12" s="59" t="n">
        <v>15680720</v>
      </c>
      <c r="AMM12" s="59" t="n">
        <v>15502720</v>
      </c>
      <c r="AMN12" s="59" t="n">
        <v>15456720</v>
      </c>
      <c r="AMO12" s="59" t="n">
        <v>15364720</v>
      </c>
      <c r="AMP12" s="59" t="n">
        <v>15137720</v>
      </c>
      <c r="AMQ12" s="59" t="n">
        <v>15456720</v>
      </c>
      <c r="AMR12" s="59" t="n">
        <v>17182720</v>
      </c>
      <c r="AMS12" s="59" t="n">
        <v>17182720</v>
      </c>
      <c r="AMT12" s="59" t="n">
        <v>17182720</v>
      </c>
      <c r="AMU12" s="59" t="n">
        <v>17129720</v>
      </c>
      <c r="AMV12" s="59" t="n">
        <v>17129720</v>
      </c>
      <c r="AMW12" s="59" t="n">
        <v>16970720</v>
      </c>
      <c r="AMX12" s="59" t="n">
        <v>16765720</v>
      </c>
      <c r="AMY12" s="130" t="n"/>
      <c r="AMZ12" s="59" t="n">
        <v>16924720</v>
      </c>
      <c r="ANA12" s="59" t="n">
        <v>16818720</v>
      </c>
      <c r="ANB12" s="59" t="n">
        <v>16719720</v>
      </c>
      <c r="ANC12" s="59" t="n">
        <v>16613720</v>
      </c>
      <c r="AND12" s="59" t="n">
        <v>16514720</v>
      </c>
      <c r="ANE12" s="59" t="n">
        <v>16355720</v>
      </c>
      <c r="ANF12" s="59" t="n">
        <v>16355720</v>
      </c>
      <c r="ANG12" s="59" t="n">
        <v>16355720</v>
      </c>
      <c r="ANH12" s="59" t="n">
        <v>16355720</v>
      </c>
      <c r="ANI12" s="59" t="n">
        <v>16193220</v>
      </c>
      <c r="ANJ12" s="59" t="n">
        <v>16140220</v>
      </c>
      <c r="ANK12" s="59" t="n">
        <v>16140220</v>
      </c>
      <c r="ANL12" s="59" t="n">
        <v>16816220</v>
      </c>
      <c r="ANM12" s="59" t="n">
        <v>16420220</v>
      </c>
      <c r="ANN12" s="59" t="n">
        <v>16321220</v>
      </c>
      <c r="ANO12" s="59" t="n">
        <v>16268220</v>
      </c>
      <c r="ANP12" s="59" t="n">
        <v>16215220</v>
      </c>
      <c r="ANQ12" s="59" t="n">
        <v>16162220</v>
      </c>
      <c r="ANR12" s="59" t="n">
        <v>16162220</v>
      </c>
      <c r="ANS12" s="59" t="n">
        <v>16581720</v>
      </c>
      <c r="ANT12" s="59" t="n">
        <v>16581720</v>
      </c>
      <c r="ANU12" s="59" t="n">
        <v>16581720</v>
      </c>
      <c r="ANV12" s="59" t="n">
        <v>16482720</v>
      </c>
      <c r="ANW12" s="59" t="n">
        <v>16429720</v>
      </c>
      <c r="ANX12" s="59" t="n">
        <v>16376720</v>
      </c>
      <c r="ANY12" s="59" t="n">
        <v>16051720</v>
      </c>
      <c r="ANZ12" s="59" t="n">
        <v>15800720</v>
      </c>
      <c r="AOA12" s="59" t="n">
        <v>15602720</v>
      </c>
      <c r="AOB12" s="59" t="n">
        <v>15602720</v>
      </c>
      <c r="AOC12" s="59" t="n">
        <v>15602720</v>
      </c>
    </row>
    <row r="13">
      <c r="A13" s="60" t="n"/>
      <c r="B13" s="61" t="inlineStr">
        <is>
          <t>TOTAL STOCK VALUE</t>
        </is>
      </c>
      <c r="C13" s="62">
        <f>C12+C11+C10</f>
        <v/>
      </c>
      <c r="D13" s="62">
        <f>D12+D11+D10</f>
        <v/>
      </c>
      <c r="E13" s="62">
        <f>E12+E11+E10</f>
        <v/>
      </c>
      <c r="F13" s="62">
        <f>F12+F11+F10</f>
        <v/>
      </c>
      <c r="G13" s="62">
        <f>G12+G11+G10</f>
        <v/>
      </c>
      <c r="H13" s="62">
        <f>H12+H11+H10</f>
        <v/>
      </c>
      <c r="I13" s="62">
        <f>I12+I11+I10</f>
        <v/>
      </c>
      <c r="J13" s="62">
        <f>J12+J11+J10</f>
        <v/>
      </c>
      <c r="K13" s="62">
        <f>K12+K11+K10</f>
        <v/>
      </c>
      <c r="L13" s="62">
        <f>L12+L11+L10</f>
        <v/>
      </c>
      <c r="M13" s="62">
        <f>M12+M11+M10</f>
        <v/>
      </c>
      <c r="N13" s="62">
        <f>N12+N11+N10</f>
        <v/>
      </c>
      <c r="O13" s="62">
        <f>O12+O11+O10</f>
        <v/>
      </c>
      <c r="P13" s="62">
        <f>P12+P11+P10</f>
        <v/>
      </c>
      <c r="Q13" s="62">
        <f>Q12+Q11+Q10</f>
        <v/>
      </c>
      <c r="R13" s="62">
        <f>R12+R11+R10</f>
        <v/>
      </c>
      <c r="S13" s="62">
        <f>S12+S11+S10</f>
        <v/>
      </c>
      <c r="T13" s="62">
        <f>T12+T11+T10</f>
        <v/>
      </c>
      <c r="U13" s="62">
        <f>U12+U11+U10</f>
        <v/>
      </c>
      <c r="V13" s="62">
        <f>V12+V11+V10</f>
        <v/>
      </c>
      <c r="W13" s="62">
        <f>W12+W11+W10</f>
        <v/>
      </c>
      <c r="X13" s="62">
        <f>X12+X11+X10</f>
        <v/>
      </c>
      <c r="Y13" s="62">
        <f>Y12+Y11+Y10</f>
        <v/>
      </c>
      <c r="Z13" s="62">
        <f>Z12+Z11+Z10</f>
        <v/>
      </c>
      <c r="AA13" s="62">
        <f>AA12+AA11+AA10</f>
        <v/>
      </c>
      <c r="AB13" s="62">
        <f>AB12+AB11+AB10</f>
        <v/>
      </c>
      <c r="AC13" s="62">
        <f>AC12+AC11+AC10</f>
        <v/>
      </c>
      <c r="AD13" s="62">
        <f>AD12+AD11+AD10</f>
        <v/>
      </c>
      <c r="AE13" s="62">
        <f>AE12+AE11+AE10</f>
        <v/>
      </c>
      <c r="AF13" s="62">
        <f>AF12+AF11+AF10</f>
        <v/>
      </c>
      <c r="AG13" s="62">
        <f>AG12+AG11+AG10</f>
        <v/>
      </c>
      <c r="AH13" s="67">
        <f>AH12+AH11+AH10</f>
        <v/>
      </c>
      <c r="AI13" s="62">
        <f>AI12+AI11+AI10</f>
        <v/>
      </c>
      <c r="AJ13" s="62">
        <f>AJ12+AJ11+AJ10</f>
        <v/>
      </c>
      <c r="AK13" s="62">
        <f>AK12+AK11+AK10</f>
        <v/>
      </c>
      <c r="AL13" s="62">
        <f>AL12+AL11+AL10</f>
        <v/>
      </c>
      <c r="AM13" s="62">
        <f>AM12+AM11+AM10</f>
        <v/>
      </c>
      <c r="AN13" s="62">
        <f>AN12+AN11+AN10</f>
        <v/>
      </c>
      <c r="AO13" s="62">
        <f>AO12+AO11+AO10</f>
        <v/>
      </c>
      <c r="AP13" s="62">
        <f>AP12+AP11+AP10</f>
        <v/>
      </c>
      <c r="AQ13" s="62">
        <f>AQ12+AQ11+AQ10</f>
        <v/>
      </c>
      <c r="AR13" s="62">
        <f>AR12+AR11+AR10</f>
        <v/>
      </c>
      <c r="AS13" s="62">
        <f>AS12+AS11+AS10</f>
        <v/>
      </c>
      <c r="AT13" s="62">
        <f>AT12+AT11+AT10</f>
        <v/>
      </c>
      <c r="AU13" s="62">
        <f>AU12+AU11+AU10</f>
        <v/>
      </c>
      <c r="AV13" s="62">
        <f>AV12+AV11+AV10</f>
        <v/>
      </c>
      <c r="AW13" s="62">
        <f>AW12+AW11+AW10</f>
        <v/>
      </c>
      <c r="AX13" s="62">
        <f>AX12+AX11+AX10</f>
        <v/>
      </c>
      <c r="AY13" s="62">
        <f>AY12+AY11+AY10</f>
        <v/>
      </c>
      <c r="AZ13" s="62">
        <f>AZ12+AZ11+AZ10</f>
        <v/>
      </c>
      <c r="BA13" s="62">
        <f>BA12+BA11+BA10</f>
        <v/>
      </c>
      <c r="BB13" s="62">
        <f>BB12+BB11+BB10</f>
        <v/>
      </c>
      <c r="BC13" s="62">
        <f>BC12+BC11+BC10</f>
        <v/>
      </c>
      <c r="BD13" s="62">
        <f>BD12+BD11+BD10</f>
        <v/>
      </c>
      <c r="BE13" s="62">
        <f>BE12+BE11+BE10</f>
        <v/>
      </c>
      <c r="BF13" s="62">
        <f>BF12+BF11+BF10</f>
        <v/>
      </c>
      <c r="BG13" s="62">
        <f>BG12+BG11+BG10</f>
        <v/>
      </c>
      <c r="BH13" s="62">
        <f>BH12+BH11+BH10</f>
        <v/>
      </c>
      <c r="BI13" s="62">
        <f>BI12+BI11+BI10</f>
        <v/>
      </c>
      <c r="BJ13" s="62">
        <f>BJ12+BJ11+BJ10</f>
        <v/>
      </c>
      <c r="BK13" s="62">
        <f>BK12+BK11+BK10</f>
        <v/>
      </c>
      <c r="BL13" s="62">
        <f>BL12+BL11+BL10</f>
        <v/>
      </c>
      <c r="BM13" s="107">
        <f>BM12+BM11+BM10</f>
        <v/>
      </c>
      <c r="BN13" s="62">
        <f>BN12+BN11+BN10</f>
        <v/>
      </c>
      <c r="BO13" s="62">
        <f>BO12+BO11+BO10</f>
        <v/>
      </c>
      <c r="BP13" s="62">
        <f>BP12+BP11+BP10</f>
        <v/>
      </c>
      <c r="BQ13" s="62">
        <f>BQ12+BQ11+BQ10</f>
        <v/>
      </c>
      <c r="BR13" s="62">
        <f>BR12+BR11+BR10</f>
        <v/>
      </c>
      <c r="BS13" s="62">
        <f>BS12+BS11+BS10</f>
        <v/>
      </c>
      <c r="BT13" s="62">
        <f>BT12+BT11+BT10</f>
        <v/>
      </c>
      <c r="BU13" s="62">
        <f>BU12+BU11+BU10</f>
        <v/>
      </c>
      <c r="BV13" s="62">
        <f>BV12+BV11+BV10</f>
        <v/>
      </c>
      <c r="BW13" s="62">
        <f>BW12+BW11+BW10</f>
        <v/>
      </c>
      <c r="BX13" s="62">
        <f>BX12+BX11+BX10</f>
        <v/>
      </c>
      <c r="BY13" s="62" t="n"/>
      <c r="BZ13" s="62">
        <f>BZ12+BZ11+BZ10</f>
        <v/>
      </c>
      <c r="CA13" s="62">
        <f>CA12+CA11+CA10</f>
        <v/>
      </c>
      <c r="CB13" s="62">
        <f>CB12+CB11+CB10</f>
        <v/>
      </c>
      <c r="CC13" s="62">
        <f>CC12+CC11+CC10</f>
        <v/>
      </c>
      <c r="CD13" s="62">
        <f>CD12+CD11+CD10</f>
        <v/>
      </c>
      <c r="CE13" s="62">
        <f>CE12+CE11+CE10</f>
        <v/>
      </c>
      <c r="CF13" s="62">
        <f>CF12+CF11+CF10</f>
        <v/>
      </c>
      <c r="CG13" s="62">
        <f>CG12+CG11+CG10</f>
        <v/>
      </c>
      <c r="CH13" s="62">
        <f>CH12+CH11+CH10</f>
        <v/>
      </c>
      <c r="CI13" s="62">
        <f>CI12+CI11+CI10</f>
        <v/>
      </c>
      <c r="CJ13" s="62">
        <f>CJ12+CJ11+CJ10</f>
        <v/>
      </c>
      <c r="CK13" s="62">
        <f>CK12+CK11+CK10</f>
        <v/>
      </c>
      <c r="CL13" s="62">
        <f>CL12+CL11+CL10</f>
        <v/>
      </c>
      <c r="CM13" s="62">
        <f>CM12+CM11+CM10</f>
        <v/>
      </c>
      <c r="CN13" s="62">
        <f>CN12+CN11+CN10</f>
        <v/>
      </c>
      <c r="CO13" s="62">
        <f>CO12+CO11+CO10</f>
        <v/>
      </c>
      <c r="CP13" s="62">
        <f>CP12+CP11+CP10</f>
        <v/>
      </c>
      <c r="CQ13" s="62">
        <f>CQ12+CQ11+CQ10</f>
        <v/>
      </c>
      <c r="CR13" s="62">
        <f>CR12+CR11+CR10</f>
        <v/>
      </c>
      <c r="CS13" s="82">
        <f>SUM(BN13:CR13)</f>
        <v/>
      </c>
      <c r="CT13" s="62">
        <f>CT12+CT11+CT10</f>
        <v/>
      </c>
      <c r="CU13" s="62">
        <f>CU12+CU11+CU10</f>
        <v/>
      </c>
      <c r="CV13" s="62">
        <f>CV12+CV11+CV10</f>
        <v/>
      </c>
      <c r="CW13" s="62">
        <f>CW12+CW11+CW10</f>
        <v/>
      </c>
      <c r="CX13" s="62">
        <f>CX12+CX11+CX10</f>
        <v/>
      </c>
      <c r="CY13" s="62">
        <f>CY12+CY11+CY10</f>
        <v/>
      </c>
      <c r="CZ13" s="62">
        <f>CZ12+CZ11+CZ10</f>
        <v/>
      </c>
      <c r="DA13" s="62">
        <f>DA12+DA11+DA10</f>
        <v/>
      </c>
      <c r="DB13" s="62">
        <f>DB12+DB11+DB10</f>
        <v/>
      </c>
      <c r="DC13" s="62">
        <f>DC12+DC11+DC10</f>
        <v/>
      </c>
      <c r="DD13" s="62">
        <f>DD12+DD11+DD10</f>
        <v/>
      </c>
      <c r="DE13" s="62">
        <f>DE12+DE11+DE10</f>
        <v/>
      </c>
      <c r="DF13" s="62">
        <f>DF12+DF11+DF10</f>
        <v/>
      </c>
      <c r="DG13" s="62">
        <f>DG12+DG11+DG10</f>
        <v/>
      </c>
      <c r="DH13" s="62">
        <f>DH12+DH11+DH10</f>
        <v/>
      </c>
      <c r="DI13" s="62">
        <f>DI12+DI11+DI10</f>
        <v/>
      </c>
      <c r="DJ13" s="62">
        <f>DJ12+DJ11+DJ10</f>
        <v/>
      </c>
      <c r="DK13" s="62">
        <f>DK12+DK11+DK10</f>
        <v/>
      </c>
      <c r="DL13" s="62">
        <f>DL12+DL11+DL10</f>
        <v/>
      </c>
      <c r="DM13" s="62">
        <f>DM12+DM11+DM10</f>
        <v/>
      </c>
      <c r="DN13" s="62">
        <f>DN12+DN11+DN10</f>
        <v/>
      </c>
      <c r="DO13" s="62">
        <f>DO12+DO11+DO10</f>
        <v/>
      </c>
      <c r="DP13" s="62">
        <f>DP12+DP11+DP10</f>
        <v/>
      </c>
      <c r="DQ13" s="62">
        <f>DQ12+DQ11+DQ10</f>
        <v/>
      </c>
      <c r="DR13" s="62">
        <f>DR12+DR11+DR10</f>
        <v/>
      </c>
      <c r="DS13" s="62">
        <f>DS12+DS11+DS10</f>
        <v/>
      </c>
      <c r="DT13" s="62">
        <f>DT12+DT11+DT10</f>
        <v/>
      </c>
      <c r="DU13" s="62">
        <f>DU12+DU11+DU10</f>
        <v/>
      </c>
      <c r="DV13" s="62">
        <f>DV12+DV11+DV10</f>
        <v/>
      </c>
      <c r="DW13" s="62">
        <f>DW12+DW11+DW10</f>
        <v/>
      </c>
      <c r="DX13" s="62">
        <f>DX12+DX11+DX10</f>
        <v/>
      </c>
      <c r="DY13" s="62">
        <f>DY12+DY11+DY10</f>
        <v/>
      </c>
      <c r="DZ13" s="62">
        <f>DZ12+DZ11+DZ10</f>
        <v/>
      </c>
      <c r="EA13" s="62">
        <f>EA12+EA11+EA10</f>
        <v/>
      </c>
      <c r="EB13" s="62">
        <f>EB12+EB11+EB10</f>
        <v/>
      </c>
      <c r="EC13" s="62">
        <f>EC12+EC11+EC10</f>
        <v/>
      </c>
      <c r="ED13" s="62">
        <f>ED12+ED11+ED10</f>
        <v/>
      </c>
      <c r="EE13" s="62">
        <f>EE12+EE11+EE10</f>
        <v/>
      </c>
      <c r="EF13" s="62">
        <f>EF12+EF11+EF10</f>
        <v/>
      </c>
      <c r="EG13" s="62">
        <f>EG12+EG11+EG10</f>
        <v/>
      </c>
      <c r="EH13" s="62">
        <f>EH12+EH11+EH10</f>
        <v/>
      </c>
      <c r="EI13" s="62">
        <f>EI12+EI11+EI10</f>
        <v/>
      </c>
      <c r="EJ13" s="62">
        <f>EJ12+EJ11+EJ10</f>
        <v/>
      </c>
      <c r="EK13" s="62">
        <f>EK12+EK11+EK10</f>
        <v/>
      </c>
      <c r="EL13" s="62">
        <f>EL12+EL11+EL10</f>
        <v/>
      </c>
      <c r="EM13" s="62">
        <f>EM12+EM11+EM10</f>
        <v/>
      </c>
      <c r="EN13" s="62">
        <f>EN12+EN11+EN10</f>
        <v/>
      </c>
      <c r="EO13" s="62">
        <f>EO12+EO11+EO10</f>
        <v/>
      </c>
      <c r="EP13" s="62">
        <f>EP12+EP11+EP10</f>
        <v/>
      </c>
      <c r="EQ13" s="62">
        <f>EQ12+EQ11+EQ10</f>
        <v/>
      </c>
      <c r="ER13" s="62">
        <f>ER12+ER11+ER10</f>
        <v/>
      </c>
      <c r="ES13" s="62">
        <f>ES12+ES11+ES10</f>
        <v/>
      </c>
      <c r="ET13" s="62">
        <f>ET12+ET11+ET10</f>
        <v/>
      </c>
      <c r="EU13" s="62">
        <f>EU12+EU11+EU10</f>
        <v/>
      </c>
      <c r="EV13" s="62">
        <f>EV12+EV11+EV10</f>
        <v/>
      </c>
      <c r="EW13" s="62">
        <f>EW12+EW11+EW10</f>
        <v/>
      </c>
      <c r="EX13" s="62">
        <f>EX12+EX11+EX10</f>
        <v/>
      </c>
      <c r="EY13" s="62">
        <f>EY12+EY11+EY10</f>
        <v/>
      </c>
      <c r="EZ13" s="62">
        <f>EZ12+EZ11+EZ10</f>
        <v/>
      </c>
      <c r="FA13" s="62">
        <f>FA12+FA11+FA10</f>
        <v/>
      </c>
      <c r="FB13" s="62">
        <f>FB12+FB11+FB10</f>
        <v/>
      </c>
      <c r="FC13" s="62">
        <f>FC12+FC11+FC10</f>
        <v/>
      </c>
      <c r="FD13" s="126" t="n"/>
      <c r="FE13" s="62">
        <f>FE12+FE11+FE10</f>
        <v/>
      </c>
      <c r="FF13" s="62">
        <f>FF12+FF11+FF10</f>
        <v/>
      </c>
      <c r="FG13" s="62">
        <f>FG12+FG11+FG10</f>
        <v/>
      </c>
      <c r="FH13" s="62">
        <f>FH12+FH11+FH10</f>
        <v/>
      </c>
      <c r="FI13" s="62">
        <f>FI12+FI11+FI10</f>
        <v/>
      </c>
      <c r="FJ13" s="62">
        <f>FJ12+FJ11+FJ10</f>
        <v/>
      </c>
      <c r="FK13" s="62">
        <f>FK12+FK11+FK10</f>
        <v/>
      </c>
      <c r="FL13" s="62">
        <f>FL12+FL11+FL10</f>
        <v/>
      </c>
      <c r="FM13" s="62">
        <f>FM12+FM11+FM10</f>
        <v/>
      </c>
      <c r="FN13" s="62">
        <f>FN12+FN11+FN10</f>
        <v/>
      </c>
      <c r="FO13" s="62">
        <f>FO12+FO11+FO10</f>
        <v/>
      </c>
      <c r="FP13" s="62">
        <f>FP12+FP11+FP10</f>
        <v/>
      </c>
      <c r="FQ13" s="62">
        <f>FQ12+FQ11+FQ10</f>
        <v/>
      </c>
      <c r="FR13" s="62">
        <f>FR12+FR11+FR10</f>
        <v/>
      </c>
      <c r="FS13" s="62">
        <f>FS12+FS11+FS10</f>
        <v/>
      </c>
      <c r="FT13" s="62">
        <f>FT12+FT11+FT10</f>
        <v/>
      </c>
      <c r="FU13" s="62">
        <f>FU12+FU11+FU10</f>
        <v/>
      </c>
      <c r="FV13" s="62">
        <f>FV12+FV11+FV10</f>
        <v/>
      </c>
      <c r="FW13" s="62">
        <f>FW12+FW11+FW10</f>
        <v/>
      </c>
      <c r="FX13" s="62">
        <f>FX12+FX11+FX10</f>
        <v/>
      </c>
      <c r="FY13" s="62">
        <f>FY12+FY11+FY10</f>
        <v/>
      </c>
      <c r="FZ13" s="62">
        <f>FZ12+FZ11+FZ10</f>
        <v/>
      </c>
      <c r="GA13" s="62">
        <f>GA12+GA11+GA10</f>
        <v/>
      </c>
      <c r="GB13" s="62">
        <f>GB12+GB11+GB10</f>
        <v/>
      </c>
      <c r="GC13" s="62">
        <f>GC12+GC11+GC10</f>
        <v/>
      </c>
      <c r="GD13" s="62">
        <f>GD12+GD11+GD10</f>
        <v/>
      </c>
      <c r="GE13" s="62">
        <f>GE12+GE11+GE10</f>
        <v/>
      </c>
      <c r="GF13" s="62">
        <f>GF12+GF11+GF10</f>
        <v/>
      </c>
      <c r="GG13" s="62">
        <f>GG12+GG11+GG10</f>
        <v/>
      </c>
      <c r="GH13" s="62">
        <f>GH12+GH11+GH10</f>
        <v/>
      </c>
      <c r="GI13" s="62">
        <f>GI12+GI11+GI10</f>
        <v/>
      </c>
      <c r="GJ13" s="130" t="n"/>
      <c r="GK13" s="62">
        <f>GK12+GK11+GK10</f>
        <v/>
      </c>
      <c r="GL13" s="62">
        <f>GL12+GL11+GL10</f>
        <v/>
      </c>
      <c r="GM13" s="62">
        <f>GM12+GM11+GM10</f>
        <v/>
      </c>
      <c r="GN13" s="62">
        <f>GN12+GN11+GN10</f>
        <v/>
      </c>
      <c r="GO13" s="62">
        <f>GO12+GO11+GO10</f>
        <v/>
      </c>
      <c r="GP13" s="62">
        <f>GP12+GP11+GP10</f>
        <v/>
      </c>
      <c r="GQ13" s="62">
        <f>GQ12+GQ11+GQ10</f>
        <v/>
      </c>
      <c r="GR13" s="62">
        <f>GR12+GR11+GR10</f>
        <v/>
      </c>
      <c r="GS13" s="62">
        <f>GS12+GS11+GS10</f>
        <v/>
      </c>
      <c r="GT13" s="62">
        <f>GT12+GT11+GT10</f>
        <v/>
      </c>
      <c r="GU13" s="62">
        <f>GU12+GU11+GU10</f>
        <v/>
      </c>
      <c r="GV13" s="62">
        <f>GV12+GV11+GV10</f>
        <v/>
      </c>
      <c r="GW13" s="62">
        <f>GW12+GW11+GW10</f>
        <v/>
      </c>
      <c r="GX13" s="62">
        <f>GX12+GX11+GX10</f>
        <v/>
      </c>
      <c r="GY13" s="62">
        <f>GY12+GY11+GY10</f>
        <v/>
      </c>
      <c r="GZ13" s="62">
        <f>GZ12+GZ11+GZ10</f>
        <v/>
      </c>
      <c r="HA13" s="62">
        <f>HA12+HA11+HA10</f>
        <v/>
      </c>
      <c r="HB13" s="62">
        <f>HB12+HB11+HB10</f>
        <v/>
      </c>
      <c r="HC13" s="62">
        <f>HC12+HC11+HC10</f>
        <v/>
      </c>
      <c r="HD13" s="62">
        <f>HD12+HD11+HD10</f>
        <v/>
      </c>
      <c r="HE13" s="62">
        <f>HE12+HE11+HE10</f>
        <v/>
      </c>
      <c r="HF13" s="62">
        <f>HF12+HF11+HF10</f>
        <v/>
      </c>
      <c r="HG13" s="62">
        <f>HG12+HG11+HG10</f>
        <v/>
      </c>
      <c r="HH13" s="62">
        <f>HH12+HH11+HH10</f>
        <v/>
      </c>
      <c r="HI13" s="62">
        <f>HI12+HI11+HI10</f>
        <v/>
      </c>
      <c r="HJ13" s="62">
        <f>HJ12+HJ11+HJ10</f>
        <v/>
      </c>
      <c r="HK13" s="62">
        <f>HK12+HK11+HK10</f>
        <v/>
      </c>
      <c r="HL13" s="62">
        <f>HL12+HL11+HL10</f>
        <v/>
      </c>
      <c r="HM13" s="62">
        <f>HM12+HM11+HM10</f>
        <v/>
      </c>
      <c r="HN13" s="130" t="n"/>
      <c r="HO13" s="62">
        <f>HO12+HO11+HO10</f>
        <v/>
      </c>
      <c r="HP13" s="62">
        <f>HP12+HP11+HP10</f>
        <v/>
      </c>
      <c r="HQ13" s="62">
        <f>HQ12+HQ11+HQ10</f>
        <v/>
      </c>
      <c r="HR13" s="62">
        <f>HR12+HR11+HR10</f>
        <v/>
      </c>
      <c r="HS13" s="62">
        <f>HS12+HS11+HS10</f>
        <v/>
      </c>
      <c r="HT13" s="62">
        <f>HT12+HT11+HT10</f>
        <v/>
      </c>
      <c r="HU13" s="62">
        <f>HU12+HU11+HU10</f>
        <v/>
      </c>
      <c r="HV13" s="62">
        <f>HV12+HV11+HV10</f>
        <v/>
      </c>
      <c r="HW13" s="62">
        <f>HW12+HW11+HW10</f>
        <v/>
      </c>
      <c r="HX13" s="62">
        <f>HX12+HX11+HX10</f>
        <v/>
      </c>
      <c r="HY13" s="62">
        <f>HY12+HY11+HY10</f>
        <v/>
      </c>
      <c r="HZ13" s="62">
        <f>HZ12+HZ11+HZ10</f>
        <v/>
      </c>
      <c r="IA13" s="62">
        <f>IA12+IA11+IA10</f>
        <v/>
      </c>
      <c r="IB13" s="62">
        <f>IB12+IB11+IB10</f>
        <v/>
      </c>
      <c r="IC13" s="62">
        <f>IC12+IC11+IC10</f>
        <v/>
      </c>
      <c r="ID13" s="62">
        <f>ID12+ID11+ID10</f>
        <v/>
      </c>
      <c r="IE13" s="62">
        <f>IE12+IE11+IE10</f>
        <v/>
      </c>
      <c r="IF13" s="62">
        <f>IF12+IF11+IF10</f>
        <v/>
      </c>
      <c r="IG13" s="62">
        <f>IG12+IG11+IG10</f>
        <v/>
      </c>
      <c r="IH13" s="62">
        <f>IH12+IH11+IH10</f>
        <v/>
      </c>
      <c r="II13" s="62">
        <f>II12+II11+II10</f>
        <v/>
      </c>
      <c r="IJ13" s="62">
        <f>IJ12+IJ11+IJ10</f>
        <v/>
      </c>
      <c r="IK13" s="62">
        <f>IK12+IK11+IK10</f>
        <v/>
      </c>
      <c r="IL13" s="62">
        <f>IL12+IL11+IL10</f>
        <v/>
      </c>
      <c r="IM13" s="62">
        <f>IM12+IM11+IM10</f>
        <v/>
      </c>
      <c r="IN13" s="62">
        <f>IN12+IN11+IN10</f>
        <v/>
      </c>
      <c r="IO13" s="62">
        <f>IO12+IO11+IO10</f>
        <v/>
      </c>
      <c r="IP13" s="62">
        <f>IP12+IP11+IP10</f>
        <v/>
      </c>
      <c r="IQ13" s="62">
        <f>IQ12+IQ11+IQ10</f>
        <v/>
      </c>
      <c r="IR13" s="62">
        <f>IR12+IR11+IR10</f>
        <v/>
      </c>
      <c r="IS13" s="62">
        <f>IS12+IS11+IS10</f>
        <v/>
      </c>
      <c r="IT13" s="130" t="n"/>
      <c r="IU13" s="62">
        <f>IU12+IU11+IU10</f>
        <v/>
      </c>
      <c r="IV13" s="62">
        <f>IV12+IV11+IV10</f>
        <v/>
      </c>
      <c r="IW13" s="62">
        <f>IW12+IW11+IW10</f>
        <v/>
      </c>
      <c r="IX13" s="62">
        <f>IX12+IX11+IX10</f>
        <v/>
      </c>
      <c r="IY13" s="62">
        <f>IY12+IY11+IY10</f>
        <v/>
      </c>
      <c r="IZ13" s="62">
        <f>IZ12+IZ11+IZ10</f>
        <v/>
      </c>
      <c r="JA13" s="62">
        <f>JA12+JA11+JA10</f>
        <v/>
      </c>
      <c r="JB13" s="62">
        <f>JB12+JB11+JB10</f>
        <v/>
      </c>
      <c r="JC13" s="62">
        <f>JC12+JC11+JC10</f>
        <v/>
      </c>
      <c r="JD13" s="62">
        <f>JD12+JD11+JD10</f>
        <v/>
      </c>
      <c r="JE13" s="62">
        <f>JE12+JE11+JE10</f>
        <v/>
      </c>
      <c r="JF13" s="62">
        <f>JF12+JF11+JF10</f>
        <v/>
      </c>
      <c r="JG13" s="62">
        <f>JG12+JG11+JG10</f>
        <v/>
      </c>
      <c r="JH13" s="62">
        <f>JH12+JH11+JH10</f>
        <v/>
      </c>
      <c r="JI13" s="62">
        <f>JI12+JI11+JI10</f>
        <v/>
      </c>
      <c r="JJ13" s="62">
        <f>JJ12+JJ11+JJ10</f>
        <v/>
      </c>
      <c r="JK13" s="62">
        <f>JK12+JK11+JK10</f>
        <v/>
      </c>
      <c r="JL13" s="62">
        <f>JL12+JL11+JL10</f>
        <v/>
      </c>
      <c r="JM13" s="62">
        <f>JM12+JM11+JM10</f>
        <v/>
      </c>
      <c r="JN13" s="62">
        <f>JN12+JN11+JN10</f>
        <v/>
      </c>
      <c r="JO13" s="62">
        <f>JO12+JO11+JO10</f>
        <v/>
      </c>
      <c r="JP13" s="62">
        <f>JP12+JP11+JP10</f>
        <v/>
      </c>
      <c r="JQ13" s="62">
        <f>JQ12+JQ11+JQ10</f>
        <v/>
      </c>
      <c r="JR13" s="62">
        <f>JR12+JR11+JR10</f>
        <v/>
      </c>
      <c r="JS13" s="62">
        <f>JS12+JS11+JS10</f>
        <v/>
      </c>
      <c r="JT13" s="62">
        <f>JT12+JT11+JT10</f>
        <v/>
      </c>
      <c r="JU13" s="62">
        <f>JU12+JU11+JU10</f>
        <v/>
      </c>
      <c r="JV13" s="62">
        <f>JV12+JV11+JV10</f>
        <v/>
      </c>
      <c r="JW13" s="62">
        <f>JW12+JW11+JW10</f>
        <v/>
      </c>
      <c r="JX13" s="62">
        <f>JX12+JX11+JX10</f>
        <v/>
      </c>
      <c r="JY13" s="140" t="n"/>
      <c r="JZ13" s="62">
        <f>JZ12+JZ11+JZ10</f>
        <v/>
      </c>
      <c r="KA13" s="62">
        <f>KA12+KA11+KA10</f>
        <v/>
      </c>
      <c r="KB13" s="62">
        <f>KB12+KB11+KB10</f>
        <v/>
      </c>
      <c r="KC13" s="62">
        <f>KC12+KC11+KC10</f>
        <v/>
      </c>
      <c r="KD13" s="62">
        <f>KD12+KD11+KD10</f>
        <v/>
      </c>
      <c r="KE13" s="62">
        <f>KE12+KE11+KE10</f>
        <v/>
      </c>
      <c r="KF13" s="62">
        <f>KF12+KF11+KF10</f>
        <v/>
      </c>
      <c r="KG13" s="62">
        <f>KG12+KG11+KG10</f>
        <v/>
      </c>
      <c r="KH13" s="62">
        <f>KH12+KH11+KH10</f>
        <v/>
      </c>
      <c r="KI13" s="62">
        <f>KI12+KI11+KI10</f>
        <v/>
      </c>
      <c r="KJ13" s="62">
        <f>KJ12+KJ11+KJ10</f>
        <v/>
      </c>
      <c r="KK13" s="62">
        <f>KK12+KK11+KK10</f>
        <v/>
      </c>
      <c r="KL13" s="62">
        <f>KL12+KL11+KL10</f>
        <v/>
      </c>
      <c r="KM13" s="62">
        <f>KM12+KM11+KM10</f>
        <v/>
      </c>
      <c r="KN13" s="62">
        <f>KN12+KN11+KN10</f>
        <v/>
      </c>
      <c r="KO13" s="62">
        <f>KO12+KO11+KO10</f>
        <v/>
      </c>
      <c r="KP13" s="62">
        <f>KP12+KP11+KP10</f>
        <v/>
      </c>
      <c r="KQ13" s="62">
        <f>KQ12+KQ11+KQ10</f>
        <v/>
      </c>
      <c r="KR13" s="62">
        <f>KR12+KR11+KR10</f>
        <v/>
      </c>
      <c r="KS13" s="62">
        <f>KS12+KS11+KS10</f>
        <v/>
      </c>
      <c r="KT13" s="62">
        <f>KT12+KT11+KT10</f>
        <v/>
      </c>
      <c r="KU13" s="62">
        <f>KU12+KU11+KU10</f>
        <v/>
      </c>
      <c r="KV13" s="62">
        <f>KV12+KV11+KV10</f>
        <v/>
      </c>
      <c r="KW13" s="62">
        <f>KW12+KW11+KW10</f>
        <v/>
      </c>
      <c r="KX13" s="62">
        <f>KX12+KX11+KX10</f>
        <v/>
      </c>
      <c r="KY13" s="62">
        <f>KY12+KY11+KY10</f>
        <v/>
      </c>
      <c r="KZ13" s="62">
        <f>KZ12+KZ11+KZ10</f>
        <v/>
      </c>
      <c r="LA13" s="62">
        <f>LA12+LA11+LA10</f>
        <v/>
      </c>
      <c r="LB13" s="62">
        <f>LB12+LB11+LB10</f>
        <v/>
      </c>
      <c r="LC13" s="62">
        <f>LC12+LC11+LC10</f>
        <v/>
      </c>
      <c r="LD13" s="62">
        <f>LD12+LD11+LD10</f>
        <v/>
      </c>
      <c r="LE13" s="130" t="n"/>
      <c r="LF13" s="62">
        <f>LF12+LF11+LF10</f>
        <v/>
      </c>
      <c r="LG13" s="62">
        <f>LG12+LG11+LG10</f>
        <v/>
      </c>
      <c r="LH13" s="62">
        <f>LH12+LH11+LH10</f>
        <v/>
      </c>
      <c r="LI13" s="62">
        <f>LI12+LI11+LI10</f>
        <v/>
      </c>
      <c r="LJ13" s="62">
        <f>LJ12+LJ11+LJ10</f>
        <v/>
      </c>
      <c r="LK13" s="62">
        <f>LK12+LK11+LK10</f>
        <v/>
      </c>
      <c r="LL13" s="62">
        <f>LL12+LL11+LL10</f>
        <v/>
      </c>
      <c r="LM13" s="62">
        <f>LM12+LM11+LM10</f>
        <v/>
      </c>
      <c r="LN13" s="62">
        <f>LN12+LN11+LN10</f>
        <v/>
      </c>
      <c r="LO13" s="62">
        <f>LO12+LO11+LO10</f>
        <v/>
      </c>
      <c r="LP13" s="62">
        <f>LP12+LP11+LP10</f>
        <v/>
      </c>
      <c r="LQ13" s="62">
        <f>LQ12+LQ11+LQ10</f>
        <v/>
      </c>
      <c r="LR13" s="62">
        <f>LR12+LR11+LR10</f>
        <v/>
      </c>
      <c r="LS13" s="62">
        <f>LS12+LS11+LS10</f>
        <v/>
      </c>
      <c r="LT13" s="62">
        <f>LT12+LT11+LT10</f>
        <v/>
      </c>
      <c r="LU13" s="62">
        <f>LU12+LU11+LU10</f>
        <v/>
      </c>
      <c r="LV13" s="62">
        <f>LV12+LV11+LV10</f>
        <v/>
      </c>
      <c r="LW13" s="62">
        <f>LW12+LW11+LW10</f>
        <v/>
      </c>
      <c r="LX13" s="62">
        <f>LX12+LX11+LX10</f>
        <v/>
      </c>
      <c r="LY13" s="62">
        <f>LY12+LY11+LY10</f>
        <v/>
      </c>
      <c r="LZ13" s="62">
        <f>LZ12+LZ11+LZ10</f>
        <v/>
      </c>
      <c r="MA13" s="62">
        <f>MA12+MA11+MA10</f>
        <v/>
      </c>
      <c r="MB13" s="62">
        <f>MB12+MB11+MB10</f>
        <v/>
      </c>
      <c r="MC13" s="62">
        <f>MC12+MC11+MC10</f>
        <v/>
      </c>
      <c r="MD13" s="62">
        <f>MD12+MD11+MD10</f>
        <v/>
      </c>
      <c r="ME13" s="62">
        <f>ME12+ME11+ME10</f>
        <v/>
      </c>
      <c r="MF13" s="62">
        <f>MF12+MF11+MF10</f>
        <v/>
      </c>
      <c r="MG13" s="62">
        <f>MG12+MG11+MG10</f>
        <v/>
      </c>
      <c r="MH13" s="62">
        <f>MH12+MH11+MH10</f>
        <v/>
      </c>
      <c r="MI13" s="62">
        <f>MI12+MI11+MI10</f>
        <v/>
      </c>
      <c r="MJ13" s="140" t="n"/>
      <c r="MK13" s="62">
        <f>MK12+MK11+MK10</f>
        <v/>
      </c>
      <c r="ML13" s="62">
        <f>ML12+ML11+ML10</f>
        <v/>
      </c>
      <c r="MM13" s="62">
        <f>MM12+MM11+MM10</f>
        <v/>
      </c>
      <c r="MN13" s="62">
        <f>MN12+MN11+MN10</f>
        <v/>
      </c>
      <c r="MO13" s="62">
        <f>MO12+MO11+MO10</f>
        <v/>
      </c>
      <c r="MP13" s="62">
        <f>MP12+MP11+MP10</f>
        <v/>
      </c>
      <c r="MQ13" s="62">
        <f>MQ12+MQ11+MQ10</f>
        <v/>
      </c>
      <c r="MR13" s="62">
        <f>MR12+MR11+MR10</f>
        <v/>
      </c>
      <c r="MS13" s="62">
        <f>MS12+MS11+MS10</f>
        <v/>
      </c>
      <c r="MT13" s="62">
        <f>MT12+MT11+MT10</f>
        <v/>
      </c>
      <c r="MU13" s="62">
        <f>MU12+MU11+MU10</f>
        <v/>
      </c>
      <c r="MV13" s="62">
        <f>MV12+MV11+MV10</f>
        <v/>
      </c>
      <c r="MW13" s="62">
        <f>MW12+MW11+MW10</f>
        <v/>
      </c>
      <c r="MX13" s="62">
        <f>MX12+MX11+MX10</f>
        <v/>
      </c>
      <c r="MY13" s="62">
        <f>MY12+MY11+MY10</f>
        <v/>
      </c>
      <c r="MZ13" s="62">
        <f>MZ12+MZ11+MZ10</f>
        <v/>
      </c>
      <c r="NA13" s="62">
        <f>NA12+NA11+NA10</f>
        <v/>
      </c>
      <c r="NB13" s="62">
        <f>NB12+NB11+NB10</f>
        <v/>
      </c>
      <c r="NC13" s="62">
        <f>NC12+NC11+NC10</f>
        <v/>
      </c>
      <c r="ND13" s="62">
        <f>ND12+ND11+ND10</f>
        <v/>
      </c>
      <c r="NE13" s="62">
        <f>NE12+NE11+NE10</f>
        <v/>
      </c>
      <c r="NF13" s="62">
        <f>NF12+NF11+NF10</f>
        <v/>
      </c>
      <c r="NG13" s="62">
        <f>NG12+NG11+NG10</f>
        <v/>
      </c>
      <c r="NH13" s="62">
        <f>NH12+NH11+NH10</f>
        <v/>
      </c>
      <c r="NI13" s="62">
        <f>NI12+NI11+NI10</f>
        <v/>
      </c>
      <c r="NJ13" s="62">
        <f>NJ12+NJ11+NJ10</f>
        <v/>
      </c>
      <c r="NK13" s="62">
        <f>NK12+NK11+NK10</f>
        <v/>
      </c>
      <c r="NL13" s="62">
        <f>NL12+NL11+NL10</f>
        <v/>
      </c>
      <c r="NM13" s="62">
        <f>NM12+NM11+NM10</f>
        <v/>
      </c>
      <c r="NN13" s="62">
        <f>NN12+NN11+NN10</f>
        <v/>
      </c>
      <c r="NO13" s="62">
        <f>NO12+NO11+NO10</f>
        <v/>
      </c>
      <c r="NP13" s="140" t="n"/>
      <c r="NQ13" s="62">
        <f>NQ12+NQ11+NQ10</f>
        <v/>
      </c>
      <c r="NR13" s="62">
        <f>NR12+NR11+NR10</f>
        <v/>
      </c>
      <c r="NS13" s="62">
        <f>NS12+NS11+NS10</f>
        <v/>
      </c>
      <c r="NT13" s="62">
        <f>NT12+NT11+NT10</f>
        <v/>
      </c>
      <c r="NU13" s="62">
        <f>NU12+NU11+NU10</f>
        <v/>
      </c>
      <c r="NV13" s="62">
        <f>NV12+NV11+NV10</f>
        <v/>
      </c>
      <c r="NW13" s="62">
        <f>NW12+NW11+NW10</f>
        <v/>
      </c>
      <c r="NX13" s="62">
        <f>NX12+NX11+NX10</f>
        <v/>
      </c>
      <c r="NY13" s="62">
        <f>NY12+NY11+NY10</f>
        <v/>
      </c>
      <c r="NZ13" s="62">
        <f>NZ12+NZ11+NZ10</f>
        <v/>
      </c>
      <c r="OA13" s="62">
        <f>OA12+OA11+OA10</f>
        <v/>
      </c>
      <c r="OB13" s="62">
        <f>OB12+OB11+OB10</f>
        <v/>
      </c>
      <c r="OC13" s="62">
        <f>OC12+OC11+OC10</f>
        <v/>
      </c>
      <c r="OD13" s="62">
        <f>OD12+OD11+OD10</f>
        <v/>
      </c>
      <c r="OE13" s="62">
        <f>OE12+OE11+OE10</f>
        <v/>
      </c>
      <c r="OF13" s="62">
        <f>OF12+OF11+OF10</f>
        <v/>
      </c>
      <c r="OG13" s="62">
        <f>OG12+OG11+OG10</f>
        <v/>
      </c>
      <c r="OH13" s="62">
        <f>OH12+OH11+OH10</f>
        <v/>
      </c>
      <c r="OI13" s="62">
        <f>OI12+OI11+OI10</f>
        <v/>
      </c>
      <c r="OJ13" s="62">
        <f>OJ12+OJ11+OJ10</f>
        <v/>
      </c>
      <c r="OK13" s="62">
        <f>OK12+OK11+OK10</f>
        <v/>
      </c>
      <c r="OL13" s="62">
        <f>OL12+OL11+OL10</f>
        <v/>
      </c>
      <c r="OM13" s="62">
        <f>OM12+OM11+OM10</f>
        <v/>
      </c>
      <c r="ON13" s="62">
        <f>ON12+ON11+ON10</f>
        <v/>
      </c>
      <c r="OO13" s="62">
        <f>OO12+OO11+OO10</f>
        <v/>
      </c>
      <c r="OP13" s="62">
        <f>OP12+OP11+OP10</f>
        <v/>
      </c>
      <c r="OQ13" s="62">
        <f>OQ12+OQ11+OQ10</f>
        <v/>
      </c>
      <c r="OR13" s="62">
        <f>OR12+OR11+OR10</f>
        <v/>
      </c>
      <c r="OS13" s="62">
        <f>OS12+OS11+OS10</f>
        <v/>
      </c>
      <c r="OT13" s="62">
        <f>OT12+OT11+OT10</f>
        <v/>
      </c>
      <c r="OU13" s="62">
        <f>OU12+OU11+OU10</f>
        <v/>
      </c>
      <c r="OV13" s="130" t="n"/>
      <c r="OW13" s="62">
        <f>OW12+OW11+OW10</f>
        <v/>
      </c>
      <c r="OX13" s="62">
        <f>OX12+OX11+OX10</f>
        <v/>
      </c>
      <c r="OY13" s="62">
        <f>OY12+OY11+OY10</f>
        <v/>
      </c>
      <c r="OZ13" s="62">
        <f>OZ12+OZ11+OZ10</f>
        <v/>
      </c>
      <c r="PA13" s="62">
        <f>PA12+PA11+PA10</f>
        <v/>
      </c>
      <c r="PB13" s="62">
        <f>PB12+PB11+PB10</f>
        <v/>
      </c>
      <c r="PC13" s="62">
        <f>PC12+PC11+PC10</f>
        <v/>
      </c>
      <c r="PD13" s="62">
        <f>PD12+PD11+PD10</f>
        <v/>
      </c>
      <c r="PE13" s="62">
        <f>PE12+PE11+PE10</f>
        <v/>
      </c>
      <c r="PF13" s="62">
        <f>PF12+PF11+PF10</f>
        <v/>
      </c>
      <c r="PG13" s="62">
        <f>PG12+PG11+PG10</f>
        <v/>
      </c>
      <c r="PH13" s="62">
        <f>PH12+PH11+PH10</f>
        <v/>
      </c>
      <c r="PI13" s="62">
        <f>PI12+PI11+PI10</f>
        <v/>
      </c>
      <c r="PJ13" s="62">
        <f>PJ12+PJ11+PJ10</f>
        <v/>
      </c>
      <c r="PK13" s="62">
        <f>PK12+PK11+PK10</f>
        <v/>
      </c>
      <c r="PL13" s="62">
        <f>PL12+PL11+PL10</f>
        <v/>
      </c>
      <c r="PM13" s="62">
        <f>PM12+PM11+PM10</f>
        <v/>
      </c>
      <c r="PN13" s="62">
        <f>PN12+PN11+PN10</f>
        <v/>
      </c>
      <c r="PO13" s="62">
        <f>PO12+PO11+PO10</f>
        <v/>
      </c>
      <c r="PP13" s="62">
        <f>PP12+PP11+PP10</f>
        <v/>
      </c>
      <c r="PQ13" s="62">
        <f>PQ12+PQ11+PQ10</f>
        <v/>
      </c>
      <c r="PR13" s="62">
        <f>PR12+PR11+PR10</f>
        <v/>
      </c>
      <c r="PS13" s="62">
        <f>PS12+PS11+PS10</f>
        <v/>
      </c>
      <c r="PT13" s="62">
        <f>PT12+PT11+PT10</f>
        <v/>
      </c>
      <c r="PU13" s="62">
        <f>PU12+PU11+PU10</f>
        <v/>
      </c>
      <c r="PV13" s="62">
        <f>PV12+PV11+PV10</f>
        <v/>
      </c>
      <c r="PW13" s="62">
        <f>PW12+PW11+PW10</f>
        <v/>
      </c>
      <c r="PX13" s="62">
        <f>PX12+PX11+PX10</f>
        <v/>
      </c>
      <c r="PY13" s="62">
        <f>PY12+PY11+PY10</f>
        <v/>
      </c>
      <c r="PZ13" s="62">
        <f>PZ12+PZ11+PZ10</f>
        <v/>
      </c>
      <c r="QA13" s="130" t="n"/>
      <c r="QB13" s="62">
        <f>QB12+QB11+QB10</f>
        <v/>
      </c>
      <c r="QC13" s="62">
        <f>QC12+QC11+QC10</f>
        <v/>
      </c>
      <c r="QD13" s="62">
        <f>QD12+QD11+QD10</f>
        <v/>
      </c>
      <c r="QE13" s="62">
        <f>QE12+QE11+QE10</f>
        <v/>
      </c>
      <c r="QF13" s="62">
        <f>QF12+QF11+QF10</f>
        <v/>
      </c>
      <c r="QG13" s="62">
        <f>QG12+QG11+QG10</f>
        <v/>
      </c>
      <c r="QH13" s="62">
        <f>QH12+QH11+QH10</f>
        <v/>
      </c>
      <c r="QI13" s="62">
        <f>QI12+QI11+QI10</f>
        <v/>
      </c>
      <c r="QJ13" s="62">
        <f>QJ12+QJ11+QJ10</f>
        <v/>
      </c>
      <c r="QK13" s="62">
        <f>QK12+QK11+QK10</f>
        <v/>
      </c>
      <c r="QL13" s="62">
        <f>QL12+QL11+QL10</f>
        <v/>
      </c>
      <c r="QM13" s="62">
        <f>QM12+QM11+QM10</f>
        <v/>
      </c>
      <c r="QN13" s="62">
        <f>QN12+QN11+QN10</f>
        <v/>
      </c>
      <c r="QO13" s="62">
        <f>QO12+QO11+QO10</f>
        <v/>
      </c>
      <c r="QP13" s="62">
        <f>QP12+QP11+QP10</f>
        <v/>
      </c>
      <c r="QQ13" s="62">
        <f>QQ12+QQ11+QQ10</f>
        <v/>
      </c>
      <c r="QR13" s="62">
        <f>QR12+QR11+QR10</f>
        <v/>
      </c>
      <c r="QS13" s="62">
        <f>QS12+QS11+QS10</f>
        <v/>
      </c>
      <c r="QT13" s="62">
        <f>QT12+QT11+QT10</f>
        <v/>
      </c>
      <c r="QU13" s="62">
        <f>QU12+QU11+QU10</f>
        <v/>
      </c>
      <c r="QV13" s="62">
        <f>QV12+QV11+QV10</f>
        <v/>
      </c>
      <c r="QW13" s="62">
        <f>QW12+QW11+QW10</f>
        <v/>
      </c>
      <c r="QX13" s="62">
        <f>QX12+QX11+QX10</f>
        <v/>
      </c>
      <c r="QY13" s="62">
        <f>QY12+QY11+QY10</f>
        <v/>
      </c>
      <c r="QZ13" s="62">
        <f>QZ12+QZ11+QZ10</f>
        <v/>
      </c>
      <c r="RA13" s="62">
        <f>RA12+RA11+RA10</f>
        <v/>
      </c>
      <c r="RB13" s="62">
        <f>RB12+RB11+RB10</f>
        <v/>
      </c>
      <c r="RC13" s="62">
        <f>RC12+RC11+RC10</f>
        <v/>
      </c>
      <c r="RD13" s="62">
        <f>RD12+RD11+RD10</f>
        <v/>
      </c>
      <c r="RE13" s="62">
        <f>RE12+RE11+RE10</f>
        <v/>
      </c>
      <c r="RF13" s="62">
        <f>RF12+RF11+RF10</f>
        <v/>
      </c>
      <c r="RG13" s="130" t="n"/>
      <c r="RH13" s="62">
        <f>RH12+RH11+RH10</f>
        <v/>
      </c>
      <c r="RI13" s="62">
        <f>RI12+RI11+RI10</f>
        <v/>
      </c>
      <c r="RJ13" s="62">
        <f>RJ12+RJ11+RJ10</f>
        <v/>
      </c>
      <c r="RK13" s="62">
        <f>RK12+RK11+RK10</f>
        <v/>
      </c>
      <c r="RL13" s="62">
        <f>RL12+RL11+RL10</f>
        <v/>
      </c>
      <c r="RM13" s="62">
        <f>RM12+RM11+RM10</f>
        <v/>
      </c>
      <c r="RN13" s="62">
        <f>RN12+RN11+RN10</f>
        <v/>
      </c>
      <c r="RO13" s="62">
        <f>RO12+RO11+RO10</f>
        <v/>
      </c>
      <c r="RP13" s="62">
        <f>RP12+RP11+RP10</f>
        <v/>
      </c>
      <c r="RQ13" s="62">
        <f>RQ12+RQ11+RQ10</f>
        <v/>
      </c>
      <c r="RR13" s="62">
        <f>RR12+RR11+RR10</f>
        <v/>
      </c>
      <c r="RS13" s="62">
        <f>RS12+RS11+RS10</f>
        <v/>
      </c>
      <c r="RT13" s="62">
        <f>RT12+RT11+RT10</f>
        <v/>
      </c>
      <c r="RU13" s="62">
        <f>RU12+RU11+RU10</f>
        <v/>
      </c>
      <c r="RV13" s="62">
        <f>RV12+RV11+RV10</f>
        <v/>
      </c>
      <c r="RW13" s="62">
        <f>RW12+RW11+RW10</f>
        <v/>
      </c>
      <c r="RX13" s="62">
        <f>RX12+RX11+RX10</f>
        <v/>
      </c>
      <c r="RY13" s="62">
        <f>RY12+RY11+RY10</f>
        <v/>
      </c>
      <c r="RZ13" s="62">
        <f>RZ12+RZ11+RZ10</f>
        <v/>
      </c>
      <c r="SA13" s="62">
        <f>SA12+SA11+SA10</f>
        <v/>
      </c>
      <c r="SB13" s="62">
        <f>SB12+SB11+SB10</f>
        <v/>
      </c>
      <c r="SC13" s="62">
        <f>SC12+SC11+SC10</f>
        <v/>
      </c>
      <c r="SD13" s="62">
        <f>SD12+SD11+SD10</f>
        <v/>
      </c>
      <c r="SE13" s="62">
        <f>SE12+SE11+SE10</f>
        <v/>
      </c>
      <c r="SF13" s="62">
        <f>SF12+SF11+SF10</f>
        <v/>
      </c>
      <c r="SG13" s="62">
        <f>SG12+SG11+SG10</f>
        <v/>
      </c>
      <c r="SH13" s="62">
        <f>SH12+SH11+SH10</f>
        <v/>
      </c>
      <c r="SI13" s="62">
        <f>SI12+SI11+SI10</f>
        <v/>
      </c>
      <c r="SJ13" s="62">
        <f>SJ12+SJ11+SJ10</f>
        <v/>
      </c>
      <c r="SK13" s="62">
        <f>SK12+SK11+SK10</f>
        <v/>
      </c>
      <c r="SL13" s="130" t="n"/>
      <c r="SM13" s="62">
        <f>SM12+SM11+SM10</f>
        <v/>
      </c>
      <c r="SN13" s="62">
        <f>SN12+SN11+SN10</f>
        <v/>
      </c>
      <c r="SO13" s="62">
        <f>SO12+SO11+SO10</f>
        <v/>
      </c>
      <c r="SP13" s="62">
        <f>SP12+SP11+SP10</f>
        <v/>
      </c>
      <c r="SQ13" s="62">
        <f>SQ12+SQ11+SQ10</f>
        <v/>
      </c>
      <c r="SR13" s="62">
        <f>SR12+SR11+SR10</f>
        <v/>
      </c>
      <c r="SS13" s="62">
        <f>SS12+SS11+SS10</f>
        <v/>
      </c>
      <c r="ST13" s="62">
        <f>ST12+ST11+ST10</f>
        <v/>
      </c>
      <c r="SU13" s="62">
        <f>SU12+SU11+SU10</f>
        <v/>
      </c>
      <c r="SV13" s="62">
        <f>SV12+SV11+SV10</f>
        <v/>
      </c>
      <c r="SW13" s="62">
        <f>SW12+SW11+SW10</f>
        <v/>
      </c>
      <c r="SX13" s="62">
        <f>SX12+SX11+SX10</f>
        <v/>
      </c>
      <c r="SY13" s="62">
        <f>SY12+SY11+SY10</f>
        <v/>
      </c>
      <c r="SZ13" s="62">
        <f>SZ12+SZ11+SZ10</f>
        <v/>
      </c>
      <c r="TA13" s="62">
        <f>TA12+TA11+TA10</f>
        <v/>
      </c>
      <c r="TB13" s="62">
        <f>TB12+TB11+TB10</f>
        <v/>
      </c>
      <c r="TC13" s="62">
        <f>TC12+TC11+TC10</f>
        <v/>
      </c>
      <c r="TD13" s="62">
        <f>TD12+TD11+TD10</f>
        <v/>
      </c>
      <c r="TE13" s="62">
        <f>TE12+TE11+TE10</f>
        <v/>
      </c>
      <c r="TF13" s="62">
        <f>TF12+TF11+TF10</f>
        <v/>
      </c>
      <c r="TG13" s="62">
        <f>TG12+TG11+TG10</f>
        <v/>
      </c>
      <c r="TH13" s="62">
        <f>TH12+TH11+TH10</f>
        <v/>
      </c>
      <c r="TI13" s="62">
        <f>TI12+TI11+TI10</f>
        <v/>
      </c>
      <c r="TJ13" s="62">
        <f>TJ12+TJ11+TJ10</f>
        <v/>
      </c>
      <c r="TK13" s="62">
        <f>TK12+TK11+TK10</f>
        <v/>
      </c>
      <c r="TL13" s="62">
        <f>TL12+TL11+TL10</f>
        <v/>
      </c>
      <c r="TM13" s="62">
        <f>TM12+TM11+TM10</f>
        <v/>
      </c>
      <c r="TN13" s="62">
        <f>TN12+TN11+TN10</f>
        <v/>
      </c>
      <c r="TO13" s="62">
        <f>TO12+TO11+TO10</f>
        <v/>
      </c>
      <c r="TP13" s="62">
        <f>TP12+TP11+TP10</f>
        <v/>
      </c>
      <c r="TQ13" s="62">
        <f>TQ12+TQ11+TQ10</f>
        <v/>
      </c>
      <c r="TR13" s="130" t="n"/>
      <c r="TS13" s="62">
        <f>TS12+TS11+TS10</f>
        <v/>
      </c>
      <c r="TT13" s="62">
        <f>TT12+TT11+TT10</f>
        <v/>
      </c>
      <c r="TU13" s="62">
        <f>TU12+TU11+TU10</f>
        <v/>
      </c>
      <c r="TV13" s="62">
        <f>TV12+TV11+TV10</f>
        <v/>
      </c>
      <c r="TW13" s="62">
        <f>TW12+TW11+TW10</f>
        <v/>
      </c>
      <c r="TX13" s="62">
        <f>TX12+TX11+TX10</f>
        <v/>
      </c>
      <c r="TY13" s="62">
        <f>TY12+TY11+TY10</f>
        <v/>
      </c>
      <c r="TZ13" s="62">
        <f>TZ12+TZ11+TZ10</f>
        <v/>
      </c>
      <c r="UA13" s="62">
        <f>UA12+UA11+UA10</f>
        <v/>
      </c>
      <c r="UB13" s="62">
        <f>UB12+UB11+UB10</f>
        <v/>
      </c>
      <c r="UC13" s="62">
        <f>UC12+UC11+UC10</f>
        <v/>
      </c>
      <c r="UD13" s="62">
        <f>UD12+UD11+UD10</f>
        <v/>
      </c>
      <c r="UE13" s="62">
        <f>UE12+UE11+UE10</f>
        <v/>
      </c>
      <c r="UF13" s="62">
        <f>UF12+UF11+UF10</f>
        <v/>
      </c>
      <c r="UG13" s="62">
        <f>UG12+UG11+UG10</f>
        <v/>
      </c>
      <c r="UH13" s="62">
        <f>UH12+UH11+UH10</f>
        <v/>
      </c>
      <c r="UI13" s="62">
        <f>UI12+UI11+UI10</f>
        <v/>
      </c>
      <c r="UJ13" s="62">
        <f>UJ12+UJ11+UJ10</f>
        <v/>
      </c>
      <c r="UK13" s="62">
        <f>UK12+UK11+UK10</f>
        <v/>
      </c>
      <c r="UL13" s="62">
        <f>UL12+UL11+UL10</f>
        <v/>
      </c>
      <c r="UM13" s="62">
        <f>UM12+UM11+UM10</f>
        <v/>
      </c>
      <c r="UN13" s="62">
        <f>UN12+UN11+UN10</f>
        <v/>
      </c>
      <c r="UO13" s="62">
        <f>UO12+UO11+UO10</f>
        <v/>
      </c>
      <c r="UP13" s="62">
        <f>UP12+UP11+UP10</f>
        <v/>
      </c>
      <c r="UQ13" s="62">
        <f>UQ12+UQ11+UQ10</f>
        <v/>
      </c>
      <c r="UR13" s="62">
        <f>UR12+UR11+UR10</f>
        <v/>
      </c>
      <c r="US13" s="62">
        <f>US12+US11+US10</f>
        <v/>
      </c>
      <c r="UT13" s="62">
        <f>UT12+UT11+UT10</f>
        <v/>
      </c>
      <c r="UU13" s="62">
        <f>UU12+UU11+UU10</f>
        <v/>
      </c>
      <c r="UV13" s="62">
        <f>UV12+UV11+UV10</f>
        <v/>
      </c>
      <c r="UW13" s="62">
        <f>UW12+UW11+UW10</f>
        <v/>
      </c>
      <c r="UX13" s="130" t="n"/>
      <c r="UY13" s="62">
        <f>UY12+UY11+UY10</f>
        <v/>
      </c>
      <c r="UZ13" s="62">
        <f>UZ12+UZ11+UZ10</f>
        <v/>
      </c>
      <c r="VA13" s="62">
        <f>VA12+VA11+VA10</f>
        <v/>
      </c>
      <c r="VB13" s="62">
        <f>VB12+VB11+VB10</f>
        <v/>
      </c>
      <c r="VC13" s="62">
        <f>VC12+VC11+VC10</f>
        <v/>
      </c>
      <c r="VD13" s="62">
        <f>VD12+VD11+VD10</f>
        <v/>
      </c>
      <c r="VE13" s="62">
        <f>VE12+VE11+VE10</f>
        <v/>
      </c>
      <c r="VF13" s="62">
        <f>VF12+VF11+VF10</f>
        <v/>
      </c>
      <c r="VG13" s="62">
        <f>VG12+VG11+VG10</f>
        <v/>
      </c>
      <c r="VH13" s="62">
        <f>VH12+VH11+VH10</f>
        <v/>
      </c>
      <c r="VI13" s="62">
        <f>VI12+VI11+VI10</f>
        <v/>
      </c>
      <c r="VJ13" s="62">
        <f>VJ12+VJ11+VJ10</f>
        <v/>
      </c>
      <c r="VK13" s="62">
        <f>VK12+VK11+VK10</f>
        <v/>
      </c>
      <c r="VL13" s="62">
        <f>VL12+VL11+VL10</f>
        <v/>
      </c>
      <c r="VM13" s="62">
        <f>VM12+VM11+VM10</f>
        <v/>
      </c>
      <c r="VN13" s="62">
        <f>VN12+VN11+VN10</f>
        <v/>
      </c>
      <c r="VO13" s="62">
        <f>VO12+VO11+VO10</f>
        <v/>
      </c>
      <c r="VP13" s="62">
        <f>VP12+VP11+VP10</f>
        <v/>
      </c>
      <c r="VQ13" s="62">
        <f>VQ12+VQ11+VQ10</f>
        <v/>
      </c>
      <c r="VR13" s="62">
        <f>VR12+VR11+VR10</f>
        <v/>
      </c>
      <c r="VS13" s="62">
        <f>VS12+VS11+VS10</f>
        <v/>
      </c>
      <c r="VT13" s="62">
        <f>VT12+VT11+VT10</f>
        <v/>
      </c>
      <c r="VU13" s="62">
        <f>VU12+VU11+VU10</f>
        <v/>
      </c>
      <c r="VV13" s="62">
        <f>VV12+VV11+VV10</f>
        <v/>
      </c>
      <c r="VW13" s="62">
        <f>VW12+VW11+VW10</f>
        <v/>
      </c>
      <c r="VX13" s="62">
        <f>VX12+VX11+VX10</f>
        <v/>
      </c>
      <c r="VY13" s="62">
        <f>VY12+VY11+VY10</f>
        <v/>
      </c>
      <c r="VZ13" s="62">
        <f>VZ12+VZ11+VZ10</f>
        <v/>
      </c>
      <c r="WA13" s="140" t="n"/>
      <c r="WB13" s="62">
        <f>WB12+WB11+WB10</f>
        <v/>
      </c>
      <c r="WC13" s="62">
        <f>WC12+WC11+WC10</f>
        <v/>
      </c>
      <c r="WD13" s="62">
        <f>WD12+WD11+WD10</f>
        <v/>
      </c>
      <c r="WE13" s="62">
        <f>WE12+WE11+WE10</f>
        <v/>
      </c>
      <c r="WF13" s="62">
        <f>WF12+WF11+WF10</f>
        <v/>
      </c>
      <c r="WG13" s="62">
        <f>WG12+WG11+WG10</f>
        <v/>
      </c>
      <c r="WH13" s="62">
        <f>WH12+WH11+WH10</f>
        <v/>
      </c>
      <c r="WI13" s="62">
        <f>WI12+WI11+WI10</f>
        <v/>
      </c>
      <c r="WJ13" s="62">
        <f>WJ12+WJ11+WJ10</f>
        <v/>
      </c>
      <c r="WK13" s="62">
        <f>WK12+WK11+WK10</f>
        <v/>
      </c>
      <c r="WL13" s="62">
        <f>WL12+WL11+WL10</f>
        <v/>
      </c>
      <c r="WM13" s="62">
        <f>WM12+WM11+WM10</f>
        <v/>
      </c>
      <c r="WN13" s="62">
        <f>WN12+WN11+WN10</f>
        <v/>
      </c>
      <c r="WO13" s="62">
        <f>WO12+WO11+WO10</f>
        <v/>
      </c>
      <c r="WP13" s="62">
        <f>WP12+WP11+WP10</f>
        <v/>
      </c>
      <c r="WQ13" s="62">
        <f>WQ12+WQ11+WQ10</f>
        <v/>
      </c>
      <c r="WR13" s="62">
        <f>WR12+WR11+WR10</f>
        <v/>
      </c>
      <c r="WS13" s="62">
        <f>WS12+WS11+WS10</f>
        <v/>
      </c>
      <c r="WT13" s="62">
        <f>WT12+WT11+WT10</f>
        <v/>
      </c>
      <c r="WU13" s="62">
        <f>WU12+WU11+WU10</f>
        <v/>
      </c>
      <c r="WV13" s="62">
        <f>WV12+WV11+WV10</f>
        <v/>
      </c>
      <c r="WW13" s="62">
        <f>WW12+WW11+WW10</f>
        <v/>
      </c>
      <c r="WX13" s="62">
        <f>WX12+WX11+WX10</f>
        <v/>
      </c>
      <c r="WY13" s="62">
        <f>WY12+WY11+WY10</f>
        <v/>
      </c>
      <c r="WZ13" s="62">
        <f>WZ12+WZ11+WZ10</f>
        <v/>
      </c>
      <c r="XA13" s="62">
        <f>XA12+XA11+XA10</f>
        <v/>
      </c>
      <c r="XB13" s="62">
        <f>XB12+XB11+XB10</f>
        <v/>
      </c>
      <c r="XC13" s="62">
        <f>XC12+XC11+XC10</f>
        <v/>
      </c>
      <c r="XD13" s="62">
        <f>XD12+XD11+XD10</f>
        <v/>
      </c>
      <c r="XE13" s="62">
        <f>XE12+XE11+XE10</f>
        <v/>
      </c>
      <c r="XF13" s="62">
        <f>XF12+XF11+XF10</f>
        <v/>
      </c>
      <c r="XG13" s="140" t="n"/>
      <c r="XH13" s="62">
        <f>XH12+XH11+XH10</f>
        <v/>
      </c>
      <c r="XI13" s="62">
        <f>XI12+XI11+XI10</f>
        <v/>
      </c>
      <c r="XJ13" s="62">
        <f>XJ12+XJ11+XJ10</f>
        <v/>
      </c>
      <c r="XK13" s="62">
        <f>XK12+XK11+XK10</f>
        <v/>
      </c>
      <c r="XL13" s="62">
        <f>XL12+XL11+XL10</f>
        <v/>
      </c>
      <c r="XM13" s="62">
        <f>XM12+XM11+XM10</f>
        <v/>
      </c>
      <c r="XN13" s="62">
        <f>XN12+XN11+XN10</f>
        <v/>
      </c>
      <c r="XO13" s="62">
        <f>XO12+XO11+XO10</f>
        <v/>
      </c>
      <c r="XP13" s="62">
        <f>XP12+XP11+XP10</f>
        <v/>
      </c>
      <c r="XQ13" s="62">
        <f>XQ12+XQ11+XQ10</f>
        <v/>
      </c>
      <c r="XR13" s="62">
        <f>XR12+XR11+XR10</f>
        <v/>
      </c>
      <c r="XS13" s="62">
        <f>XS12+XS11+XS10</f>
        <v/>
      </c>
      <c r="XT13" s="62">
        <f>XT12+XT11+XT10</f>
        <v/>
      </c>
      <c r="XU13" s="62">
        <f>XU12+XU11+XU10</f>
        <v/>
      </c>
      <c r="XV13" s="62">
        <f>XV12+XV11+XV10</f>
        <v/>
      </c>
      <c r="XW13" s="62">
        <f>XW12+XW11+XW10</f>
        <v/>
      </c>
      <c r="XX13" s="62">
        <f>XX12+XX11+XX10</f>
        <v/>
      </c>
      <c r="XY13" s="62">
        <f>XY12+XY11+XY10</f>
        <v/>
      </c>
      <c r="XZ13" s="62">
        <f>XZ12+XZ11+XZ10</f>
        <v/>
      </c>
      <c r="YA13" s="62">
        <f>YA12+YA11+YA10</f>
        <v/>
      </c>
      <c r="YB13" s="62">
        <f>YB12+YB11+YB10</f>
        <v/>
      </c>
      <c r="YC13" s="62">
        <f>YC12+YC11+YC10</f>
        <v/>
      </c>
      <c r="YD13" s="62">
        <f>YD12+YD11+YD10</f>
        <v/>
      </c>
      <c r="YE13" s="62">
        <f>YE12+YE11+YE10</f>
        <v/>
      </c>
      <c r="YF13" s="62">
        <f>YF12+YF11+YF10</f>
        <v/>
      </c>
      <c r="YG13" s="62">
        <f>YG12+YG11+YG10</f>
        <v/>
      </c>
      <c r="YH13" s="62">
        <f>YH12+YH11+YH10</f>
        <v/>
      </c>
      <c r="YI13" s="62">
        <f>YI12+YI11+YI10</f>
        <v/>
      </c>
      <c r="YJ13" s="62">
        <f>YJ12+YJ11+YJ10</f>
        <v/>
      </c>
      <c r="YK13" s="62">
        <f>YK12+YK11+YK10</f>
        <v/>
      </c>
      <c r="YL13" s="130" t="n"/>
      <c r="YM13" s="62">
        <f>YM12+YM11+YM10</f>
        <v/>
      </c>
      <c r="YN13" s="62">
        <f>YN12+YN11+YN10</f>
        <v/>
      </c>
      <c r="YO13" s="62">
        <f>YO12+YO11+YO10</f>
        <v/>
      </c>
      <c r="YP13" s="62">
        <f>YP12+YP11+YP10</f>
        <v/>
      </c>
      <c r="YQ13" s="62">
        <f>YQ12+YQ11+YQ10</f>
        <v/>
      </c>
      <c r="YR13" s="62">
        <f>YR12+YR11+YR10</f>
        <v/>
      </c>
      <c r="YS13" s="62">
        <f>YS12+YS11+YS10</f>
        <v/>
      </c>
      <c r="YT13" s="62">
        <f>YT12+YT11+YT10</f>
        <v/>
      </c>
      <c r="YU13" s="62">
        <f>YU12+YU11+YU10</f>
        <v/>
      </c>
      <c r="YV13" s="62">
        <f>YV12+YV11+YV10</f>
        <v/>
      </c>
      <c r="YW13" s="62">
        <f>YW12+YW11+YW10</f>
        <v/>
      </c>
      <c r="YX13" s="62">
        <f>YX12+YX11+YX10</f>
        <v/>
      </c>
      <c r="YY13" s="62">
        <f>YY12+YY11+YY10</f>
        <v/>
      </c>
      <c r="YZ13" s="62">
        <f>YZ12+YZ11+YZ10</f>
        <v/>
      </c>
      <c r="ZA13" s="62">
        <f>ZA12+ZA11+ZA10</f>
        <v/>
      </c>
      <c r="ZB13" s="62">
        <f>ZB12+ZB11+ZB10</f>
        <v/>
      </c>
      <c r="ZC13" s="62">
        <f>ZC12+ZC11+ZC10</f>
        <v/>
      </c>
      <c r="ZD13" s="62">
        <f>ZD12+ZD11+ZD10</f>
        <v/>
      </c>
      <c r="ZE13" s="62">
        <f>ZE12+ZE11+ZE10</f>
        <v/>
      </c>
      <c r="ZF13" s="62">
        <f>ZF12+ZF11+ZF10</f>
        <v/>
      </c>
      <c r="ZG13" s="62">
        <f>ZG12+ZG11+ZG10</f>
        <v/>
      </c>
      <c r="ZH13" s="62">
        <f>ZH12+ZH11+ZH10</f>
        <v/>
      </c>
      <c r="ZI13" s="62">
        <f>ZI12+ZI11+ZI10</f>
        <v/>
      </c>
      <c r="ZJ13" s="62">
        <f>ZJ12+ZJ11+ZJ10</f>
        <v/>
      </c>
      <c r="ZK13" s="62">
        <f>ZK12+ZK11+ZK10</f>
        <v/>
      </c>
      <c r="ZL13" s="62">
        <f>ZL12+ZL11+ZL10</f>
        <v/>
      </c>
      <c r="ZM13" s="62">
        <f>ZM12+ZM11+ZM10</f>
        <v/>
      </c>
      <c r="ZN13" s="62">
        <f>ZN12+ZN11+ZN10</f>
        <v/>
      </c>
      <c r="ZO13" s="62">
        <f>ZO12+ZO11+ZO10</f>
        <v/>
      </c>
      <c r="ZP13" s="62">
        <f>ZP12+ZP11+ZP10</f>
        <v/>
      </c>
      <c r="ZQ13" s="62">
        <f>ZQ12+ZQ11+ZQ10</f>
        <v/>
      </c>
      <c r="ZR13" s="130" t="n"/>
      <c r="ZS13" s="62">
        <f>ZS12+ZS11+ZS10</f>
        <v/>
      </c>
      <c r="ZT13" s="62">
        <f>ZT12+ZT11+ZT10</f>
        <v/>
      </c>
      <c r="ZU13" s="62">
        <f>ZU12+ZU11+ZU10</f>
        <v/>
      </c>
      <c r="ZV13" s="62">
        <f>ZV12+ZV11+ZV10</f>
        <v/>
      </c>
      <c r="ZW13" s="62">
        <f>ZW12+ZW11+ZW10</f>
        <v/>
      </c>
      <c r="ZX13" s="62">
        <f>ZX12+ZX11+ZX10</f>
        <v/>
      </c>
      <c r="ZY13" s="62">
        <f>ZY12+ZY11+ZY10</f>
        <v/>
      </c>
      <c r="ZZ13" s="62">
        <f>ZZ12+ZZ11+ZZ10</f>
        <v/>
      </c>
      <c r="AAA13" s="62">
        <f>AAA12+AAA11+AAA10</f>
        <v/>
      </c>
      <c r="AAB13" s="62">
        <f>AAB12+AAB11+AAB10</f>
        <v/>
      </c>
      <c r="AAC13" s="62">
        <f>AAC12+AAC11+AAC10</f>
        <v/>
      </c>
      <c r="AAD13" s="62">
        <f>AAD12+AAD11+AAD10</f>
        <v/>
      </c>
      <c r="AAE13" s="62">
        <f>AAE12+AAE11+AAE10</f>
        <v/>
      </c>
      <c r="AAF13" s="62">
        <f>AAF12+AAF11+AAF10</f>
        <v/>
      </c>
      <c r="AAG13" s="62">
        <f>AAG12+AAG11+AAG10</f>
        <v/>
      </c>
      <c r="AAH13" s="62">
        <f>AAH12+AAH11+AAH10</f>
        <v/>
      </c>
      <c r="AAI13" s="62">
        <f>AAI12+AAI11+AAI10</f>
        <v/>
      </c>
      <c r="AAJ13" s="62">
        <f>AAJ12+AAJ11+AAJ10</f>
        <v/>
      </c>
      <c r="AAK13" s="62">
        <f>AAK12+AAK11+AAK10</f>
        <v/>
      </c>
      <c r="AAL13" s="62">
        <f>AAL12+AAL11+AAL10</f>
        <v/>
      </c>
      <c r="AAM13" s="62">
        <f>AAM12+AAM11+AAM10</f>
        <v/>
      </c>
      <c r="AAN13" s="62">
        <f>AAN12+AAN11+AAN10</f>
        <v/>
      </c>
      <c r="AAO13" s="62">
        <f>AAO12+AAO11+AAO10</f>
        <v/>
      </c>
      <c r="AAP13" s="62">
        <f>AAP12+AAP11+AAP10</f>
        <v/>
      </c>
      <c r="AAQ13" s="62">
        <f>AAQ12+AAQ11+AAQ10</f>
        <v/>
      </c>
      <c r="AAR13" s="62">
        <f>AAR12+AAR11+AAR10</f>
        <v/>
      </c>
      <c r="AAS13" s="62">
        <f>AAS12+AAS11+AAS10</f>
        <v/>
      </c>
      <c r="AAT13" s="62">
        <f>AAT12+AAT11+AAT10</f>
        <v/>
      </c>
      <c r="AAU13" s="62">
        <f>AAU12+AAU11+AAU10</f>
        <v/>
      </c>
      <c r="AAV13" s="62">
        <f>AAV12+AAV11+AAV10</f>
        <v/>
      </c>
      <c r="AAW13" s="130" t="n"/>
      <c r="AAX13" s="62">
        <f>AAX12+AAX11+AAX10</f>
        <v/>
      </c>
      <c r="AAY13" s="62">
        <f>AAY12+AAY11+AAY10</f>
        <v/>
      </c>
      <c r="AAZ13" s="62">
        <f>AAZ12+AAZ11+AAZ10</f>
        <v/>
      </c>
      <c r="ABA13" s="62">
        <f>ABA12+ABA11+ABA10</f>
        <v/>
      </c>
      <c r="ABB13" s="62">
        <f>ABB12+ABB11+ABB10</f>
        <v/>
      </c>
      <c r="ABC13" s="62">
        <f>ABC12+ABC11+ABC10</f>
        <v/>
      </c>
      <c r="ABD13" s="62">
        <f>ABD12+ABD11+ABD10</f>
        <v/>
      </c>
      <c r="ABE13" s="62">
        <f>ABE12+ABE11+ABE10</f>
        <v/>
      </c>
      <c r="ABF13" s="62">
        <f>ABF12+ABF11+ABF10</f>
        <v/>
      </c>
      <c r="ABG13" s="62">
        <f>ABG12+ABG11+ABG10</f>
        <v/>
      </c>
      <c r="ABH13" s="62">
        <f>ABH12+ABH11+ABH10</f>
        <v/>
      </c>
      <c r="ABI13" s="62">
        <f>ABI12+ABI11+ABI10</f>
        <v/>
      </c>
      <c r="ABJ13" s="62">
        <f>ABJ12+ABJ11+ABJ10</f>
        <v/>
      </c>
      <c r="ABK13" s="62">
        <f>ABK12+ABK11+ABK10</f>
        <v/>
      </c>
      <c r="ABL13" s="62">
        <f>ABL12+ABL11+ABL10</f>
        <v/>
      </c>
      <c r="ABM13" s="62">
        <f>ABM12+ABM11+ABM10</f>
        <v/>
      </c>
      <c r="ABN13" s="62">
        <f>ABN12+ABN11+ABN10</f>
        <v/>
      </c>
      <c r="ABO13" s="62">
        <f>ABO12+ABO11+ABO10</f>
        <v/>
      </c>
      <c r="ABP13" s="62">
        <f>ABP12+ABP11+ABP10</f>
        <v/>
      </c>
      <c r="ABQ13" s="62">
        <f>ABQ12+ABQ11+ABQ10</f>
        <v/>
      </c>
      <c r="ABR13" s="62">
        <f>ABR12+ABR11+ABR10</f>
        <v/>
      </c>
      <c r="ABS13" s="62">
        <f>ABS12+ABS11+ABS10</f>
        <v/>
      </c>
      <c r="ABT13" s="62">
        <f>ABT12+ABT11+ABT10</f>
        <v/>
      </c>
      <c r="ABU13" s="62">
        <f>ABU12+ABU11+ABU10</f>
        <v/>
      </c>
      <c r="ABV13" s="62">
        <f>ABV12+ABV11+ABV10</f>
        <v/>
      </c>
      <c r="ABW13" s="62">
        <f>ABW12+ABW11+ABW10</f>
        <v/>
      </c>
      <c r="ABX13" s="62">
        <f>ABX12+ABX11+ABX10</f>
        <v/>
      </c>
      <c r="ABY13" s="62">
        <f>ABY12+ABY11+ABY10</f>
        <v/>
      </c>
      <c r="ABZ13" s="62">
        <f>ABZ12+ABZ11+ABZ10</f>
        <v/>
      </c>
      <c r="ACA13" s="62">
        <f>ACA12+ACA11+ACA10</f>
        <v/>
      </c>
      <c r="ACB13" s="62">
        <f>ACB12+ACB11+ACB10</f>
        <v/>
      </c>
      <c r="ACC13" s="130" t="n"/>
      <c r="ACD13" s="62">
        <f>ACD12+ACD11+ACD10</f>
        <v/>
      </c>
      <c r="ACE13" s="62">
        <f>ACE12+ACE11+ACE10</f>
        <v/>
      </c>
      <c r="ACF13" s="62">
        <f>ACF12+ACF11+ACF10</f>
        <v/>
      </c>
      <c r="ACG13" s="62">
        <f>ACG12+ACG11+ACG10</f>
        <v/>
      </c>
      <c r="ACH13" s="62">
        <f>ACH12+ACH11+ACH10</f>
        <v/>
      </c>
      <c r="ACI13" s="62">
        <f>ACI12+ACI11+ACI10</f>
        <v/>
      </c>
      <c r="ACJ13" s="62">
        <f>ACJ12+ACJ11+ACJ10</f>
        <v/>
      </c>
      <c r="ACK13" s="62">
        <f>ACK12+ACK11+ACK10</f>
        <v/>
      </c>
      <c r="ACL13" s="62">
        <f>ACL12+ACL11+ACL10</f>
        <v/>
      </c>
      <c r="ACM13" s="62">
        <f>ACM12+ACM11+ACM10</f>
        <v/>
      </c>
      <c r="ACN13" s="62">
        <f>ACN12+ACN11+ACN10</f>
        <v/>
      </c>
      <c r="ACO13" s="62">
        <f>ACO12+ACO11+ACO10</f>
        <v/>
      </c>
      <c r="ACP13" s="62">
        <f>ACP12+ACP11+ACP10</f>
        <v/>
      </c>
      <c r="ACQ13" s="62">
        <f>ACQ12+ACQ11+ACQ10</f>
        <v/>
      </c>
      <c r="ACR13" s="62">
        <f>ACR12+ACR11+ACR10</f>
        <v/>
      </c>
      <c r="ACS13" s="62">
        <f>ACS12+ACS11+ACS10</f>
        <v/>
      </c>
      <c r="ACT13" s="62">
        <f>ACT12+ACT11+ACT10</f>
        <v/>
      </c>
      <c r="ACU13" s="62">
        <f>ACU12+ACU11+ACU10</f>
        <v/>
      </c>
      <c r="ACV13" s="62">
        <f>ACV12+ACV11+ACV10</f>
        <v/>
      </c>
      <c r="ACW13" s="62">
        <f>ACW12+ACW11+ACW10</f>
        <v/>
      </c>
      <c r="ACX13" s="62">
        <f>ACX12+ACX11+ACX10</f>
        <v/>
      </c>
      <c r="ACY13" s="62">
        <f>ACY12+ACY11+ACY10</f>
        <v/>
      </c>
      <c r="ACZ13" s="62">
        <f>ACZ12+ACZ11+ACZ10</f>
        <v/>
      </c>
      <c r="ADA13" s="62">
        <f>ADA12+ADA11+ADA10</f>
        <v/>
      </c>
      <c r="ADB13" s="62">
        <f>ADB12+ADB11+ADB10</f>
        <v/>
      </c>
      <c r="ADC13" s="62">
        <f>ADC12+ADC11+ADC10</f>
        <v/>
      </c>
      <c r="ADD13" s="62">
        <f>ADD12+ADD11+ADD10</f>
        <v/>
      </c>
      <c r="ADE13" s="62">
        <f>ADE12+ADE11+ADE10</f>
        <v/>
      </c>
      <c r="ADF13" s="62">
        <f>ADF12+ADF11+ADF10</f>
        <v/>
      </c>
      <c r="ADG13" s="62">
        <f>ADG12+ADG11+ADG10</f>
        <v/>
      </c>
      <c r="ADH13" s="62">
        <f>ADH12+ADH11+ADH10</f>
        <v/>
      </c>
      <c r="ADI13" s="130" t="n"/>
      <c r="ADJ13" s="62">
        <f>ADJ12+ADJ11+ADJ10</f>
        <v/>
      </c>
      <c r="ADK13" s="62">
        <f>ADK12+ADK11+ADK10</f>
        <v/>
      </c>
      <c r="ADL13" s="62">
        <f>ADL12+ADL11+ADL10</f>
        <v/>
      </c>
      <c r="ADM13" s="62">
        <f>ADM12+ADM11+ADM10</f>
        <v/>
      </c>
      <c r="ADN13" s="62">
        <f>ADN12+ADN11+ADN10</f>
        <v/>
      </c>
      <c r="ADO13" s="62">
        <f>ADO12+ADO11+ADO10</f>
        <v/>
      </c>
      <c r="ADP13" s="62">
        <f>ADP12+ADP11+ADP10</f>
        <v/>
      </c>
      <c r="ADQ13" s="62">
        <f>ADQ12+ADQ11+ADQ10</f>
        <v/>
      </c>
      <c r="ADR13" s="62">
        <f>ADR12+ADR11+ADR10</f>
        <v/>
      </c>
      <c r="ADS13" s="62">
        <f>ADS12+ADS11+ADS10</f>
        <v/>
      </c>
      <c r="ADT13" s="62">
        <f>ADT12+ADT11+ADT10</f>
        <v/>
      </c>
      <c r="ADU13" s="62">
        <f>ADU12+ADU11+ADU10</f>
        <v/>
      </c>
      <c r="ADV13" s="62">
        <f>ADV12+ADV11+ADV10</f>
        <v/>
      </c>
      <c r="ADW13" s="62">
        <f>ADW12+ADW11+ADW10</f>
        <v/>
      </c>
      <c r="ADX13" s="62">
        <f>ADX12+ADX11+ADX10</f>
        <v/>
      </c>
      <c r="ADY13" s="62">
        <f>ADY12+ADY11+ADY10</f>
        <v/>
      </c>
      <c r="ADZ13" s="62">
        <f>ADZ12+ADZ11+ADZ10</f>
        <v/>
      </c>
      <c r="AEA13" s="62">
        <f>AEA12+AEA11+AEA10</f>
        <v/>
      </c>
      <c r="AEB13" s="62">
        <f>AEB12+AEB11+AEB10</f>
        <v/>
      </c>
      <c r="AEC13" s="62">
        <f>AEC12+AEC11+AEC10</f>
        <v/>
      </c>
      <c r="AED13" s="62">
        <f>AED12+AED11+AED10</f>
        <v/>
      </c>
      <c r="AEE13" s="62">
        <f>AEE12+AEE11+AEE10</f>
        <v/>
      </c>
      <c r="AEF13" s="62">
        <f>AEF12+AEF11+AEF10</f>
        <v/>
      </c>
      <c r="AEG13" s="62">
        <f>AEG12+AEG11+AEG10</f>
        <v/>
      </c>
      <c r="AEH13" s="62">
        <f>AEH12+AEH11+AEH10</f>
        <v/>
      </c>
      <c r="AEI13" s="62">
        <f>AEI12+AEI11+AEI10</f>
        <v/>
      </c>
      <c r="AEJ13" s="62">
        <f>AEJ12+AEJ11+AEJ10</f>
        <v/>
      </c>
      <c r="AEK13" s="62">
        <f>AEK12+AEK11+AEK10</f>
        <v/>
      </c>
      <c r="AEL13" s="62">
        <f>AEL12+AEL11+AEL10</f>
        <v/>
      </c>
      <c r="AEM13" s="62">
        <f>AEM12+AEM11+AEM10</f>
        <v/>
      </c>
      <c r="AEN13" s="130" t="n"/>
      <c r="AEO13" s="62">
        <f>AEO12+AEO11+AEO10</f>
        <v/>
      </c>
      <c r="AEP13" s="62">
        <f>AEP12+AEP11+AEP10</f>
        <v/>
      </c>
      <c r="AEQ13" s="62">
        <f>AEQ12+AEQ11+AEQ10</f>
        <v/>
      </c>
      <c r="AER13" s="62">
        <f>AER12+AER11+AER10</f>
        <v/>
      </c>
      <c r="AES13" s="62">
        <f>AES12+AES11+AES10</f>
        <v/>
      </c>
      <c r="AET13" s="62">
        <f>AET12+AET11+AET10</f>
        <v/>
      </c>
      <c r="AEU13" s="62">
        <f>AEU12+AEU11+AEU10</f>
        <v/>
      </c>
      <c r="AEV13" s="62">
        <f>AEV12+AEV11+AEV10</f>
        <v/>
      </c>
      <c r="AEW13" s="62">
        <f>AEW12+AEW11+AEW10</f>
        <v/>
      </c>
      <c r="AEX13" s="62">
        <f>AEX12+AEX11+AEX10</f>
        <v/>
      </c>
      <c r="AEY13" s="62">
        <f>AEY12+AEY11+AEY10</f>
        <v/>
      </c>
      <c r="AEZ13" s="62">
        <f>AEZ12+AEZ11+AEZ10</f>
        <v/>
      </c>
      <c r="AFA13" s="62">
        <f>AFA12+AFA11+AFA10</f>
        <v/>
      </c>
      <c r="AFB13" s="62">
        <f>AFB12+AFB11+AFB10</f>
        <v/>
      </c>
      <c r="AFC13" s="62">
        <f>AFC12+AFC11+AFC10</f>
        <v/>
      </c>
      <c r="AFD13" s="62">
        <f>AFD12+AFD11+AFD10</f>
        <v/>
      </c>
      <c r="AFE13" s="62">
        <f>AFE12+AFE11+AFE10</f>
        <v/>
      </c>
      <c r="AFF13" s="62">
        <f>AFF12+AFF11+AFF10</f>
        <v/>
      </c>
      <c r="AFG13" s="62">
        <f>AFG12+AFG11+AFG10</f>
        <v/>
      </c>
      <c r="AFH13" s="62">
        <f>AFH12+AFH11+AFH10</f>
        <v/>
      </c>
      <c r="AFI13" s="62">
        <f>AFI12+AFI11+AFI10</f>
        <v/>
      </c>
      <c r="AFJ13" s="62">
        <f>AFJ12+AFJ11+AFJ10</f>
        <v/>
      </c>
      <c r="AFK13" s="62">
        <f>AFK12+AFK11+AFK10</f>
        <v/>
      </c>
      <c r="AFL13" s="62">
        <f>AFL12+AFL11+AFL10</f>
        <v/>
      </c>
      <c r="AFM13" s="62">
        <f>AFM12+AFM11+AFM10</f>
        <v/>
      </c>
      <c r="AFN13" s="62">
        <f>AFN12+AFN11+AFN10</f>
        <v/>
      </c>
      <c r="AFO13" s="62">
        <f>AFO12+AFO11+AFO10</f>
        <v/>
      </c>
      <c r="AFP13" s="62">
        <f>AFP12+AFP11+AFP10</f>
        <v/>
      </c>
      <c r="AFQ13" s="62">
        <f>AFQ12+AFQ11+AFQ10</f>
        <v/>
      </c>
      <c r="AFR13" s="62">
        <f>AFR12+AFR11+AFR10</f>
        <v/>
      </c>
      <c r="AFS13" s="62">
        <f>AFS12+AFS11+AFS10</f>
        <v/>
      </c>
      <c r="AFT13" s="130" t="n"/>
      <c r="AFU13" s="62">
        <f>AFU12+AFU11+AFU10</f>
        <v/>
      </c>
      <c r="AFV13" s="62">
        <f>AFV12+AFV11+AFV10</f>
        <v/>
      </c>
      <c r="AFW13" s="62">
        <f>AFW12+AFW11+AFW10</f>
        <v/>
      </c>
      <c r="AFX13" s="62">
        <f>AFX12+AFX11+AFX10</f>
        <v/>
      </c>
      <c r="AFY13" s="62">
        <f>AFY12+AFY11+AFY10</f>
        <v/>
      </c>
      <c r="AFZ13" s="62">
        <f>AFZ12+AFZ11+AFZ10</f>
        <v/>
      </c>
      <c r="AGA13" s="62">
        <f>AGA12+AGA11+AGA10</f>
        <v/>
      </c>
      <c r="AGB13" s="62">
        <f>AGB12+AGB11+AGB10</f>
        <v/>
      </c>
      <c r="AGC13" s="62">
        <f>AGC12+AGC11+AGC10</f>
        <v/>
      </c>
      <c r="AGD13" s="62">
        <f>AGD12+AGD11+AGD10</f>
        <v/>
      </c>
      <c r="AGE13" s="62">
        <f>AGE12+AGE11+AGE10</f>
        <v/>
      </c>
      <c r="AGF13" s="62">
        <f>AGF12+AGF11+AGF10</f>
        <v/>
      </c>
      <c r="AGG13" s="62">
        <f>AGG12+AGG11+AGG10</f>
        <v/>
      </c>
      <c r="AGH13" s="62">
        <f>AGH12+AGH11+AGH10</f>
        <v/>
      </c>
      <c r="AGI13" s="62">
        <f>AGI12+AGI11+AGI10</f>
        <v/>
      </c>
      <c r="AGJ13" s="62">
        <f>AGJ12+AGJ11+AGJ10</f>
        <v/>
      </c>
      <c r="AGK13" s="62">
        <f>AGK12+AGK11+AGK10</f>
        <v/>
      </c>
      <c r="AGL13" s="62">
        <f>AGL12+AGL11+AGL10</f>
        <v/>
      </c>
      <c r="AGM13" s="62">
        <f>AGM12+AGM11+AGM10</f>
        <v/>
      </c>
      <c r="AGN13" s="62">
        <f>AGN12+AGN11+AGN10</f>
        <v/>
      </c>
      <c r="AGO13" s="62">
        <f>AGO12+AGO11+AGO10</f>
        <v/>
      </c>
      <c r="AGP13" s="62">
        <f>AGP12+AGP11+AGP10</f>
        <v/>
      </c>
      <c r="AGQ13" s="62">
        <f>AGQ12+AGQ11+AGQ10</f>
        <v/>
      </c>
      <c r="AGR13" s="62">
        <f>AGR12+AGR11+AGR10</f>
        <v/>
      </c>
      <c r="AGS13" s="62">
        <f>AGS12+AGS11+AGS10</f>
        <v/>
      </c>
      <c r="AGT13" s="62">
        <f>AGT12+AGT11+AGT10</f>
        <v/>
      </c>
      <c r="AGU13" s="62">
        <f>AGU12+AGU11+AGU10</f>
        <v/>
      </c>
      <c r="AGV13" s="62">
        <f>AGV12+AGV11+AGV10</f>
        <v/>
      </c>
      <c r="AGW13" s="62">
        <f>AGW12+AGW11+AGW10</f>
        <v/>
      </c>
      <c r="AGX13" s="62">
        <f>AGX12+AGX11+AGX10</f>
        <v/>
      </c>
      <c r="AGY13" s="140" t="n"/>
      <c r="AGZ13" s="62">
        <f>AGZ12+AGZ11+AGZ10</f>
        <v/>
      </c>
      <c r="AHA13" s="62">
        <f>AHA12+AHA11+AHA10</f>
        <v/>
      </c>
      <c r="AHB13" s="62">
        <f>AHB12+AHB11+AHB10</f>
        <v/>
      </c>
      <c r="AHC13" s="62">
        <f>AHC12+AHC11+AHC10</f>
        <v/>
      </c>
      <c r="AHD13" s="62">
        <f>AHD12+AHD11+AHD10</f>
        <v/>
      </c>
      <c r="AHE13" s="62">
        <f>AHE12+AHE11+AHE10</f>
        <v/>
      </c>
      <c r="AHF13" s="62">
        <f>AHF12+AHF11+AHF10</f>
        <v/>
      </c>
      <c r="AHG13" s="62">
        <f>AHG12+AHG11+AHG10</f>
        <v/>
      </c>
      <c r="AHH13" s="62">
        <f>AHH12+AHH11+AHH10</f>
        <v/>
      </c>
      <c r="AHI13" s="62">
        <f>AHI12+AHI11+AHI10</f>
        <v/>
      </c>
      <c r="AHJ13" s="62">
        <f>AHJ12+AHJ11+AHJ10</f>
        <v/>
      </c>
      <c r="AHK13" s="62">
        <f>AHK12+AHK11+AHK10</f>
        <v/>
      </c>
      <c r="AHL13" s="62">
        <f>AHL12+AHL11+AHL10</f>
        <v/>
      </c>
      <c r="AHM13" s="62">
        <f>AHM12+AHM11+AHM10</f>
        <v/>
      </c>
      <c r="AHN13" s="62">
        <f>AHN12+AHN11+AHN10</f>
        <v/>
      </c>
      <c r="AHO13" s="62">
        <f>AHO12+AHO11+AHO10</f>
        <v/>
      </c>
      <c r="AHP13" s="62">
        <f>AHP12+AHP11+AHP10</f>
        <v/>
      </c>
      <c r="AHQ13" s="62">
        <f>AHQ12+AHQ11+AHQ10</f>
        <v/>
      </c>
      <c r="AHR13" s="62">
        <f>AHR12+AHR11+AHR10</f>
        <v/>
      </c>
      <c r="AHS13" s="62">
        <f>AHS12+AHS11+AHS10</f>
        <v/>
      </c>
      <c r="AHT13" s="62">
        <f>AHT12+AHT11+AHT10</f>
        <v/>
      </c>
      <c r="AHU13" s="62">
        <f>AHU12+AHU11+AHU10</f>
        <v/>
      </c>
      <c r="AHV13" s="62">
        <f>AHV12+AHV11+AHV10</f>
        <v/>
      </c>
      <c r="AHW13" s="62">
        <f>AHW12+AHW11+AHW10</f>
        <v/>
      </c>
      <c r="AHX13" s="62">
        <f>AHX12+AHX11+AHX10</f>
        <v/>
      </c>
      <c r="AHY13" s="62">
        <f>AHY12+AHY11+AHY10</f>
        <v/>
      </c>
      <c r="AHZ13" s="62">
        <f>AHZ12+AHZ11+AHZ10</f>
        <v/>
      </c>
      <c r="AIA13" s="62">
        <f>AIA12+AIA11+AIA10</f>
        <v/>
      </c>
      <c r="AIB13" s="62">
        <f>AIB12+AIB11+AIB10</f>
        <v/>
      </c>
      <c r="AIC13" s="62">
        <f>AIC12+AIC11+AIC10</f>
        <v/>
      </c>
      <c r="AID13" s="62">
        <f>AID12+AID11+AID10</f>
        <v/>
      </c>
      <c r="AIE13" s="130" t="n"/>
      <c r="AIF13" s="62">
        <f>AIF12+AIF11+AIF10</f>
        <v/>
      </c>
      <c r="AIG13" s="62">
        <f>AIG12+AIG11+AIG10</f>
        <v/>
      </c>
      <c r="AIH13" s="62">
        <f>AIH12+AIH11+AIH10</f>
        <v/>
      </c>
      <c r="AII13" s="62">
        <f>AII12+AII11+AII10</f>
        <v/>
      </c>
      <c r="AIJ13" s="62">
        <f>AIJ12+AIJ11+AIJ10</f>
        <v/>
      </c>
      <c r="AIK13" s="62">
        <f>AIK12+AIK11+AIK10</f>
        <v/>
      </c>
      <c r="AIL13" s="62">
        <f>AIL12+AIL11+AIL10</f>
        <v/>
      </c>
      <c r="AIM13" s="62">
        <f>AIM12+AIM11+AIM10</f>
        <v/>
      </c>
      <c r="AIN13" s="62">
        <f>AIN12+AIN11+AIN10</f>
        <v/>
      </c>
      <c r="AIO13" s="62">
        <f>AIO12+AIO11+AIO10</f>
        <v/>
      </c>
      <c r="AIP13" s="62">
        <f>AIP12+AIP11+AIP10</f>
        <v/>
      </c>
      <c r="AIQ13" s="62">
        <f>AIQ12+AIQ11+AIQ10</f>
        <v/>
      </c>
      <c r="AIR13" s="62">
        <f>AIR12+AIR11+AIR10</f>
        <v/>
      </c>
      <c r="AIS13" s="62">
        <f>AIS12+AIS11+AIS10</f>
        <v/>
      </c>
      <c r="AIT13" s="62">
        <f>AIT12+AIT11+AIT10</f>
        <v/>
      </c>
      <c r="AIU13" s="62">
        <f>AIU12+AIU11+AIU10</f>
        <v/>
      </c>
      <c r="AIV13" s="62">
        <f>AIV12+AIV11+AIV10</f>
        <v/>
      </c>
      <c r="AIW13" s="62">
        <f>AIW12+AIW11+AIW10</f>
        <v/>
      </c>
      <c r="AIX13" s="62">
        <f>AIX12+AIX11+AIX10</f>
        <v/>
      </c>
      <c r="AIY13" s="62">
        <f>AIY12+AIY11+AIY10</f>
        <v/>
      </c>
      <c r="AIZ13" s="62">
        <f>AIZ12+AIZ11+AIZ10</f>
        <v/>
      </c>
      <c r="AJA13" s="62">
        <f>AJA12+AJA11+AJA10</f>
        <v/>
      </c>
      <c r="AJB13" s="62">
        <f>AJB12+AJB11+AJB10</f>
        <v/>
      </c>
      <c r="AJC13" s="62">
        <f>AJC12+AJC11+AJC10</f>
        <v/>
      </c>
      <c r="AJD13" s="62">
        <f>AJD12+AJD11+AJD10</f>
        <v/>
      </c>
      <c r="AJE13" s="62">
        <f>AJE12+AJE11+AJE10</f>
        <v/>
      </c>
      <c r="AJF13" s="62">
        <f>AJF12+AJF11+AJF10</f>
        <v/>
      </c>
      <c r="AJG13" s="62">
        <f>AJG12+AJG11+AJG10</f>
        <v/>
      </c>
      <c r="AJH13" s="62">
        <f>AJH12+AJH11+AJH10</f>
        <v/>
      </c>
      <c r="AJI13" s="62">
        <f>AJI12+AJI11+AJI10</f>
        <v/>
      </c>
      <c r="AJJ13" s="62">
        <f>AJJ12+AJJ11+AJJ10</f>
        <v/>
      </c>
      <c r="AJK13" s="145" t="n"/>
      <c r="AJL13" s="62">
        <f>AJL12+AJL11+AJL10</f>
        <v/>
      </c>
      <c r="AJM13" s="62">
        <f>AJM12+AJM11+AJM10</f>
        <v/>
      </c>
      <c r="AJN13" s="62">
        <f>AJN12+AJN11+AJN10</f>
        <v/>
      </c>
      <c r="AJO13" s="62">
        <f>AJO12+AJO11+AJO10</f>
        <v/>
      </c>
      <c r="AJP13" s="62">
        <f>AJP12+AJP11+AJP10</f>
        <v/>
      </c>
      <c r="AJQ13" s="62">
        <f>AJQ12+AJQ11+AJQ10</f>
        <v/>
      </c>
      <c r="AJR13" s="62">
        <f>AJR12+AJR11+AJR10</f>
        <v/>
      </c>
      <c r="AJS13" s="62">
        <f>AJS12+AJS11+AJS10</f>
        <v/>
      </c>
      <c r="AJT13" s="62">
        <f>AJT12+AJT11+AJT10</f>
        <v/>
      </c>
      <c r="AJU13" s="62">
        <f>AJU12+AJU11+AJU10</f>
        <v/>
      </c>
      <c r="AJV13" s="62">
        <f>AJV12+AJV11+AJV10</f>
        <v/>
      </c>
      <c r="AJW13" s="62">
        <f>AJW12+AJW11+AJW10</f>
        <v/>
      </c>
      <c r="AJX13" s="62">
        <f>AJX12+AJX11+AJX10</f>
        <v/>
      </c>
      <c r="AJY13" s="62">
        <f>AJY12+AJY11+AJY10</f>
        <v/>
      </c>
      <c r="AJZ13" s="62">
        <f>AJZ12+AJZ11+AJZ10</f>
        <v/>
      </c>
      <c r="AKA13" s="62">
        <f>AKA12+AKA11+AKA10</f>
        <v/>
      </c>
      <c r="AKB13" s="62">
        <f>AKB12+AKB11+AKB10</f>
        <v/>
      </c>
      <c r="AKC13" s="62">
        <f>AKC12+AKC11+AKC10</f>
        <v/>
      </c>
      <c r="AKD13" s="62">
        <f>AKD12+AKD11+AKD10</f>
        <v/>
      </c>
      <c r="AKE13" s="62">
        <f>AKE12+AKE11+AKE10</f>
        <v/>
      </c>
      <c r="AKF13" s="62">
        <f>AKF12+AKF11+AKF10</f>
        <v/>
      </c>
      <c r="AKG13" s="62">
        <f>AKG12+AKG11+AKG10</f>
        <v/>
      </c>
      <c r="AKH13" s="62">
        <f>AKH12+AKH11+AKH10</f>
        <v/>
      </c>
      <c r="AKI13" s="62">
        <f>AKI12+AKI11+AKI10</f>
        <v/>
      </c>
      <c r="AKJ13" s="62">
        <f>AKJ12+AKJ11+AKJ10</f>
        <v/>
      </c>
      <c r="AKK13" s="62">
        <f>AKK12+AKK11+AKK10</f>
        <v/>
      </c>
      <c r="AKL13" s="62">
        <f>AKL12+AKL11+AKL10</f>
        <v/>
      </c>
      <c r="AKM13" s="62">
        <f>AKM12+AKM11+AKM10</f>
        <v/>
      </c>
      <c r="AKN13" s="53" t="n"/>
      <c r="AKO13" s="62">
        <f>AKO12+AKO11+AKO10</f>
        <v/>
      </c>
      <c r="AKP13" s="62">
        <f>AKP12+AKP11+AKP10</f>
        <v/>
      </c>
      <c r="AKQ13" s="62">
        <f>AKQ12+AKQ11+AKQ10</f>
        <v/>
      </c>
      <c r="AKR13" s="62">
        <f>AKR12+AKR11+AKR10</f>
        <v/>
      </c>
      <c r="AKS13" s="62">
        <f>AKS12+AKS11+AKS10</f>
        <v/>
      </c>
      <c r="AKT13" s="62">
        <f>AKT12+AKT11+AKT10</f>
        <v/>
      </c>
      <c r="AKU13" s="62">
        <f>AKU12+AKU11+AKU10</f>
        <v/>
      </c>
      <c r="AKV13" s="62">
        <f>AKV12+AKV11+AKV10</f>
        <v/>
      </c>
      <c r="AKW13" s="62">
        <f>AKW12+AKW11+AKW10</f>
        <v/>
      </c>
      <c r="AKX13" s="62">
        <f>AKX12+AKX11+AKX10</f>
        <v/>
      </c>
      <c r="AKY13" s="62">
        <f>AKY12+AKY11+AKY10</f>
        <v/>
      </c>
      <c r="AKZ13" s="62">
        <f>AKZ12+AKZ11+AKZ10</f>
        <v/>
      </c>
      <c r="ALA13" s="62">
        <f>ALA12+ALA11+ALA10</f>
        <v/>
      </c>
      <c r="ALB13" s="62">
        <f>ALB12+ALB11+ALB10</f>
        <v/>
      </c>
      <c r="ALC13" s="62">
        <f>ALC12+ALC11+ALC10</f>
        <v/>
      </c>
      <c r="ALD13" s="62">
        <f>ALD12+ALD11+ALD10</f>
        <v/>
      </c>
      <c r="ALE13" s="62">
        <f>ALE12+ALE11+ALE10</f>
        <v/>
      </c>
      <c r="ALF13" s="62">
        <f>ALF12+ALF11+ALF10</f>
        <v/>
      </c>
      <c r="ALG13" s="62">
        <f>ALG12+ALG11+ALG10</f>
        <v/>
      </c>
      <c r="ALH13" s="62">
        <f>ALH12+ALH11+ALH10</f>
        <v/>
      </c>
      <c r="ALI13" s="62">
        <f>ALI12+ALI11+ALI10</f>
        <v/>
      </c>
      <c r="ALJ13" s="62">
        <f>ALJ12+ALJ11+ALJ10</f>
        <v/>
      </c>
      <c r="ALK13" s="62">
        <f>ALK12+ALK11+ALK10</f>
        <v/>
      </c>
      <c r="ALL13" s="62">
        <f>ALL12+ALL11+ALL10</f>
        <v/>
      </c>
      <c r="ALM13" s="62">
        <f>ALM12+ALM11+ALM10</f>
        <v/>
      </c>
      <c r="ALN13" s="62">
        <f>ALN12+ALN11+ALN10</f>
        <v/>
      </c>
      <c r="ALO13" s="62">
        <f>ALO12+ALO11+ALO10</f>
        <v/>
      </c>
      <c r="ALP13" s="62">
        <f>ALP12+ALP11+ALP10</f>
        <v/>
      </c>
      <c r="ALQ13" s="62">
        <f>ALQ12+ALQ11+ALQ10</f>
        <v/>
      </c>
      <c r="ALR13" s="62">
        <f>ALR12+ALR11+ALR10</f>
        <v/>
      </c>
      <c r="ALS13" s="62">
        <f>ALS12+ALS11+ALS10</f>
        <v/>
      </c>
      <c r="ALT13" s="130" t="n"/>
      <c r="ALU13" s="62">
        <f>ALU12+ALU11+ALU10</f>
        <v/>
      </c>
      <c r="ALV13" s="62">
        <f>ALV12+ALV11+ALV10</f>
        <v/>
      </c>
      <c r="ALW13" s="62">
        <f>ALW12+ALW11+ALW10</f>
        <v/>
      </c>
      <c r="ALX13" s="62">
        <f>ALX12+ALX11+ALX10</f>
        <v/>
      </c>
      <c r="ALY13" s="62">
        <f>ALY12+ALY11+ALY10</f>
        <v/>
      </c>
      <c r="ALZ13" s="62">
        <f>ALZ12+ALZ11+ALZ10</f>
        <v/>
      </c>
      <c r="AMA13" s="62">
        <f>AMA12+AMA11+AMA10</f>
        <v/>
      </c>
      <c r="AMB13" s="62">
        <f>AMB12+AMB11+AMB10</f>
        <v/>
      </c>
      <c r="AMC13" s="62">
        <f>AMC12+AMC11+AMC10</f>
        <v/>
      </c>
      <c r="AMD13" s="62">
        <f>AMD12+AMD11+AMD10</f>
        <v/>
      </c>
      <c r="AME13" s="62">
        <f>AME12+AME11+AME10</f>
        <v/>
      </c>
      <c r="AMF13" s="62">
        <f>AMF12+AMF11+AMF10</f>
        <v/>
      </c>
      <c r="AMG13" s="62">
        <f>AMG12+AMG11+AMG10</f>
        <v/>
      </c>
      <c r="AMH13" s="62">
        <f>AMH12+AMH11+AMH10</f>
        <v/>
      </c>
      <c r="AMI13" s="62">
        <f>AMI12+AMI11+AMI10</f>
        <v/>
      </c>
      <c r="AMJ13" s="62">
        <f>AMJ12+AMJ11+AMJ10</f>
        <v/>
      </c>
      <c r="AMK13" s="62">
        <f>AMK12+AMK11+AMK10</f>
        <v/>
      </c>
      <c r="AML13" s="62">
        <f>AML12+AML11+AML10</f>
        <v/>
      </c>
      <c r="AMM13" s="62">
        <f>AMM12+AMM11+AMM10</f>
        <v/>
      </c>
      <c r="AMN13" s="62">
        <f>AMN12+AMN11+AMN10</f>
        <v/>
      </c>
      <c r="AMO13" s="62">
        <f>AMO12+AMO11+AMO10</f>
        <v/>
      </c>
      <c r="AMP13" s="62">
        <f>AMP12+AMP11+AMP10</f>
        <v/>
      </c>
      <c r="AMQ13" s="62">
        <f>AMQ12+AMQ11+AMQ10</f>
        <v/>
      </c>
      <c r="AMR13" s="62">
        <f>AMR12+AMR11+AMR10</f>
        <v/>
      </c>
      <c r="AMS13" s="62">
        <f>AMS12+AMS11+AMS10</f>
        <v/>
      </c>
      <c r="AMT13" s="62">
        <f>AMT12+AMT11+AMT10</f>
        <v/>
      </c>
      <c r="AMU13" s="62">
        <f>AMU12+AMU11+AMU10</f>
        <v/>
      </c>
      <c r="AMV13" s="62">
        <f>AMV12+AMV11+AMV10</f>
        <v/>
      </c>
      <c r="AMW13" s="62">
        <f>AMW12+AMW11+AMW10</f>
        <v/>
      </c>
      <c r="AMX13" s="62">
        <f>AMX12+AMX11+AMX10</f>
        <v/>
      </c>
      <c r="AMY13" s="130" t="n"/>
      <c r="AMZ13" s="62">
        <f>AMZ12+AMZ11+AMZ10</f>
        <v/>
      </c>
      <c r="ANA13" s="62">
        <f>ANA12+ANA11+ANA10</f>
        <v/>
      </c>
      <c r="ANB13" s="62">
        <f>ANB12+ANB11+ANB10</f>
        <v/>
      </c>
      <c r="ANC13" s="62">
        <f>ANC12+ANC11+ANC10</f>
        <v/>
      </c>
      <c r="AND13" s="62">
        <f>AND12+AND11+AND10</f>
        <v/>
      </c>
      <c r="ANE13" s="62">
        <f>ANE12+ANE11+ANE10</f>
        <v/>
      </c>
      <c r="ANF13" s="62">
        <f>ANF12+ANF11+ANF10</f>
        <v/>
      </c>
      <c r="ANG13" s="62">
        <f>ANG12+ANG11+ANG10</f>
        <v/>
      </c>
      <c r="ANH13" s="62">
        <f>ANH12+ANH11+ANH10</f>
        <v/>
      </c>
      <c r="ANI13" s="62">
        <f>ANI12+ANI11+ANI10</f>
        <v/>
      </c>
      <c r="ANJ13" s="62">
        <f>ANJ12+ANJ11+ANJ10</f>
        <v/>
      </c>
      <c r="ANK13" s="62">
        <f>ANK12+ANK11+ANK10</f>
        <v/>
      </c>
      <c r="ANL13" s="62">
        <f>ANL12+ANL11+ANL10</f>
        <v/>
      </c>
      <c r="ANM13" s="62">
        <f>ANM12+ANM11+ANM10</f>
        <v/>
      </c>
      <c r="ANN13" s="62">
        <f>ANN12+ANN11+ANN10</f>
        <v/>
      </c>
      <c r="ANO13" s="62">
        <f>ANO12+ANO11+ANO10</f>
        <v/>
      </c>
      <c r="ANP13" s="62">
        <f>ANP12+ANP11+ANP10</f>
        <v/>
      </c>
      <c r="ANQ13" s="62">
        <f>ANQ12+ANQ11+ANQ10</f>
        <v/>
      </c>
      <c r="ANR13" s="62">
        <f>ANR12+ANR11+ANR10</f>
        <v/>
      </c>
      <c r="ANS13" s="62">
        <f>ANS12+ANS11+ANS10</f>
        <v/>
      </c>
      <c r="ANT13" s="62">
        <f>ANT12+ANT11+ANT10</f>
        <v/>
      </c>
      <c r="ANU13" s="62">
        <f>ANU12+ANU11+ANU10</f>
        <v/>
      </c>
      <c r="ANV13" s="62">
        <f>ANV12+ANV11+ANV10</f>
        <v/>
      </c>
      <c r="ANW13" s="62">
        <f>ANW12+ANW11+ANW10</f>
        <v/>
      </c>
      <c r="ANX13" s="62">
        <f>ANX12+ANX11+ANX10</f>
        <v/>
      </c>
      <c r="ANY13" s="62">
        <f>ANY12+ANY11+ANY10</f>
        <v/>
      </c>
      <c r="ANZ13" s="62">
        <f>ANZ12+ANZ11+ANZ10</f>
        <v/>
      </c>
      <c r="AOA13" s="62">
        <f>AOA12+AOA11+AOA10</f>
        <v/>
      </c>
      <c r="AOB13" s="62">
        <f>AOB12+AOB11+AOB10</f>
        <v/>
      </c>
      <c r="AOC13" s="62">
        <f>AOC12+AOC11+AOC10</f>
        <v/>
      </c>
    </row>
    <row r="14">
      <c r="A14" s="173" t="inlineStr">
        <is>
          <t>DEBTORS</t>
        </is>
      </c>
      <c r="B14" t="inlineStr">
        <is>
          <t>Momo CF</t>
        </is>
      </c>
      <c r="C14" s="52" t="n">
        <v>38427722</v>
      </c>
      <c r="D14" s="52">
        <f>C14</f>
        <v/>
      </c>
      <c r="E14" s="52" t="n">
        <v>755000</v>
      </c>
      <c r="F14" s="52">
        <f>E14</f>
        <v/>
      </c>
      <c r="G14" s="52">
        <f>F14</f>
        <v/>
      </c>
      <c r="H14" s="52">
        <f>G14</f>
        <v/>
      </c>
      <c r="I14" s="52">
        <f>H14</f>
        <v/>
      </c>
      <c r="J14" s="52">
        <f>I14</f>
        <v/>
      </c>
      <c r="K14" s="52">
        <f>J14</f>
        <v/>
      </c>
      <c r="L14" s="52">
        <f>K14</f>
        <v/>
      </c>
      <c r="M14" s="52">
        <f>L14</f>
        <v/>
      </c>
      <c r="N14" s="52">
        <f>M14</f>
        <v/>
      </c>
      <c r="O14" s="52">
        <f>N14</f>
        <v/>
      </c>
      <c r="P14" s="52">
        <f>O14</f>
        <v/>
      </c>
      <c r="Q14" s="52">
        <f>P14</f>
        <v/>
      </c>
      <c r="R14" s="52">
        <f>Q14</f>
        <v/>
      </c>
      <c r="S14" s="52">
        <f>R14</f>
        <v/>
      </c>
      <c r="T14" s="52">
        <f>S14</f>
        <v/>
      </c>
      <c r="U14" s="52">
        <f>T14</f>
        <v/>
      </c>
      <c r="V14" s="52">
        <f>U14</f>
        <v/>
      </c>
      <c r="W14" s="52">
        <f>V14</f>
        <v/>
      </c>
      <c r="X14" s="52">
        <f>W14</f>
        <v/>
      </c>
      <c r="Y14" s="52">
        <f>X14</f>
        <v/>
      </c>
      <c r="Z14" s="52">
        <f>Y14</f>
        <v/>
      </c>
      <c r="AA14" s="52">
        <f>Z14</f>
        <v/>
      </c>
      <c r="AB14" s="52">
        <f>AA14</f>
        <v/>
      </c>
      <c r="AC14" s="52">
        <f>AB14</f>
        <v/>
      </c>
      <c r="AD14" s="52">
        <f>AC14</f>
        <v/>
      </c>
      <c r="AE14" s="52">
        <f>AD14</f>
        <v/>
      </c>
      <c r="AF14" s="52">
        <f>AE14</f>
        <v/>
      </c>
      <c r="AG14" s="52">
        <f>AF14</f>
        <v/>
      </c>
      <c r="AH14" s="67">
        <f>AG14</f>
        <v/>
      </c>
      <c r="AI14" s="52">
        <f>AH14+AH26</f>
        <v/>
      </c>
      <c r="AJ14" s="52">
        <f>AI14</f>
        <v/>
      </c>
      <c r="AK14" s="52">
        <f>AJ14</f>
        <v/>
      </c>
      <c r="AL14" s="52">
        <f>AK14</f>
        <v/>
      </c>
      <c r="AM14" s="52">
        <f>AL14</f>
        <v/>
      </c>
      <c r="AN14" s="52">
        <f>AM14</f>
        <v/>
      </c>
      <c r="AO14" s="52">
        <f>AN14</f>
        <v/>
      </c>
      <c r="AP14" s="52">
        <f>AO14</f>
        <v/>
      </c>
      <c r="AQ14" s="52">
        <f>AP14</f>
        <v/>
      </c>
      <c r="AR14" s="52">
        <f>AQ14</f>
        <v/>
      </c>
      <c r="AS14" s="52" t="n">
        <v>0</v>
      </c>
      <c r="AT14" s="52">
        <f>AS14</f>
        <v/>
      </c>
      <c r="AU14" s="52">
        <f>AT14</f>
        <v/>
      </c>
      <c r="AV14" s="52">
        <f>AU14</f>
        <v/>
      </c>
      <c r="AW14" s="52">
        <f>AV14</f>
        <v/>
      </c>
      <c r="AX14" s="52">
        <f>AW14</f>
        <v/>
      </c>
      <c r="AY14" s="52">
        <f>AX14</f>
        <v/>
      </c>
      <c r="AZ14" s="52">
        <f>AY14</f>
        <v/>
      </c>
      <c r="BA14" s="52">
        <f>AZ14</f>
        <v/>
      </c>
      <c r="BB14" s="52">
        <f>BA14</f>
        <v/>
      </c>
      <c r="BC14" s="52">
        <f>BB14</f>
        <v/>
      </c>
      <c r="BD14" s="52">
        <f>BC14</f>
        <v/>
      </c>
      <c r="BE14" s="52">
        <f>BD14</f>
        <v/>
      </c>
      <c r="BF14" s="52">
        <f>BE14</f>
        <v/>
      </c>
      <c r="BG14" s="52">
        <f>BF14</f>
        <v/>
      </c>
      <c r="BH14" s="52">
        <f>BG14</f>
        <v/>
      </c>
      <c r="BI14" s="52">
        <f>BH14</f>
        <v/>
      </c>
      <c r="BJ14" s="52">
        <f>BI14</f>
        <v/>
      </c>
      <c r="BK14" s="52">
        <f>BJ14</f>
        <v/>
      </c>
      <c r="BL14" s="52">
        <f>BK14</f>
        <v/>
      </c>
      <c r="BM14" s="106">
        <f>BL26</f>
        <v/>
      </c>
      <c r="BN14" s="52">
        <f>BM14</f>
        <v/>
      </c>
      <c r="BO14" s="52">
        <f>BN14</f>
        <v/>
      </c>
      <c r="BP14" s="52">
        <f>BO14</f>
        <v/>
      </c>
      <c r="BQ14" s="52">
        <f>BP14</f>
        <v/>
      </c>
      <c r="BR14" s="52">
        <f>BQ14</f>
        <v/>
      </c>
      <c r="BS14" s="52">
        <f>BR14</f>
        <v/>
      </c>
      <c r="BT14" s="52">
        <f>BS14</f>
        <v/>
      </c>
      <c r="BU14" s="52">
        <f>BT14</f>
        <v/>
      </c>
      <c r="BV14" s="52">
        <f>BU14</f>
        <v/>
      </c>
      <c r="BW14" s="52">
        <f>BV14</f>
        <v/>
      </c>
      <c r="BX14" s="52">
        <f>BW14</f>
        <v/>
      </c>
      <c r="BY14" s="52">
        <f>BX14</f>
        <v/>
      </c>
      <c r="BZ14" s="52">
        <f>BY14</f>
        <v/>
      </c>
      <c r="CA14" s="52" t="n">
        <v>0</v>
      </c>
      <c r="CB14" s="52">
        <f>CA14</f>
        <v/>
      </c>
      <c r="CC14" s="52">
        <f>CB14</f>
        <v/>
      </c>
      <c r="CD14" s="52">
        <f>CC14</f>
        <v/>
      </c>
      <c r="CE14" s="52">
        <f>CD14</f>
        <v/>
      </c>
      <c r="CF14" s="52">
        <f>CE14</f>
        <v/>
      </c>
      <c r="CG14" s="52">
        <f>CF14</f>
        <v/>
      </c>
      <c r="CH14" s="52">
        <f>CG14</f>
        <v/>
      </c>
      <c r="CI14" s="52">
        <f>CH14</f>
        <v/>
      </c>
      <c r="CJ14" s="52">
        <f>CI14</f>
        <v/>
      </c>
      <c r="CK14" s="52">
        <f>CJ14</f>
        <v/>
      </c>
      <c r="CL14" s="52">
        <f>CK14</f>
        <v/>
      </c>
      <c r="CM14" s="52">
        <f>CL14</f>
        <v/>
      </c>
      <c r="CN14" s="52">
        <f>CM14</f>
        <v/>
      </c>
      <c r="CO14" s="52">
        <f>CN14</f>
        <v/>
      </c>
      <c r="CP14" s="52">
        <f>CO14</f>
        <v/>
      </c>
      <c r="CQ14" s="52">
        <f>CP14</f>
        <v/>
      </c>
      <c r="CR14" s="52">
        <f>CQ14</f>
        <v/>
      </c>
      <c r="CT14" s="52">
        <f>CR26</f>
        <v/>
      </c>
      <c r="CU14" s="52">
        <f>CT14</f>
        <v/>
      </c>
      <c r="CV14" s="52">
        <f>CT14</f>
        <v/>
      </c>
      <c r="CW14" s="52" t="n">
        <v>132000</v>
      </c>
      <c r="CX14" s="52">
        <f>CW14</f>
        <v/>
      </c>
      <c r="CY14" s="52">
        <f>CW14</f>
        <v/>
      </c>
      <c r="CZ14" s="52">
        <f>CX14</f>
        <v/>
      </c>
      <c r="DA14" s="52">
        <f>CY14</f>
        <v/>
      </c>
      <c r="DB14" s="52">
        <f>CZ14</f>
        <v/>
      </c>
      <c r="DC14" s="52">
        <f>DA14</f>
        <v/>
      </c>
      <c r="DD14" s="52">
        <f>DB14</f>
        <v/>
      </c>
      <c r="DE14" s="52">
        <f>DC14</f>
        <v/>
      </c>
      <c r="DF14" s="52">
        <f>DD14</f>
        <v/>
      </c>
      <c r="DG14" s="52">
        <f>DE14</f>
        <v/>
      </c>
      <c r="DH14" s="52">
        <f>DF14</f>
        <v/>
      </c>
      <c r="DI14" s="52">
        <f>DG14</f>
        <v/>
      </c>
      <c r="DJ14" s="52">
        <f>DH14</f>
        <v/>
      </c>
      <c r="DK14" s="52">
        <f>DI14</f>
        <v/>
      </c>
      <c r="DL14" s="52">
        <f>DJ14</f>
        <v/>
      </c>
      <c r="DM14" s="52">
        <f>DK14</f>
        <v/>
      </c>
      <c r="DN14" s="52">
        <f>DL14</f>
        <v/>
      </c>
      <c r="DO14" s="52">
        <f>DM14</f>
        <v/>
      </c>
      <c r="DP14" s="52">
        <f>DN14</f>
        <v/>
      </c>
      <c r="DQ14" s="52">
        <f>DO14</f>
        <v/>
      </c>
      <c r="DR14" s="52">
        <f>DP14</f>
        <v/>
      </c>
      <c r="DS14" s="52">
        <f>DQ14</f>
        <v/>
      </c>
      <c r="DT14" s="52">
        <f>DR14</f>
        <v/>
      </c>
      <c r="DU14" s="52">
        <f>DS14</f>
        <v/>
      </c>
      <c r="DV14" s="52">
        <f>DT14</f>
        <v/>
      </c>
      <c r="DW14" s="52">
        <f>DU14</f>
        <v/>
      </c>
      <c r="DX14" s="117" t="n"/>
      <c r="DY14" s="52">
        <f>DW14+DW26</f>
        <v/>
      </c>
      <c r="DZ14" s="52">
        <f>DY14</f>
        <v/>
      </c>
      <c r="EA14" s="52">
        <f>DZ14</f>
        <v/>
      </c>
      <c r="EB14" s="52">
        <f>EA14</f>
        <v/>
      </c>
      <c r="EC14" s="52">
        <f>EB14</f>
        <v/>
      </c>
      <c r="ED14" s="52">
        <f>EC14</f>
        <v/>
      </c>
      <c r="EE14" s="52">
        <f>ED14</f>
        <v/>
      </c>
      <c r="EF14" s="52">
        <f>EE14</f>
        <v/>
      </c>
      <c r="EG14" s="52">
        <f>EF14</f>
        <v/>
      </c>
      <c r="EH14" s="52">
        <f>EG14</f>
        <v/>
      </c>
      <c r="EI14" s="52" t="n">
        <v>0</v>
      </c>
      <c r="EJ14" s="52">
        <f>EI14</f>
        <v/>
      </c>
      <c r="EK14" s="52">
        <f>EJ14</f>
        <v/>
      </c>
      <c r="EL14" s="52">
        <f>EK14</f>
        <v/>
      </c>
      <c r="EM14" s="52">
        <f>EL14</f>
        <v/>
      </c>
      <c r="EN14" s="52">
        <f>EM14</f>
        <v/>
      </c>
      <c r="EO14" s="52">
        <f>EN14</f>
        <v/>
      </c>
      <c r="EP14" s="52">
        <f>EO14</f>
        <v/>
      </c>
      <c r="EQ14" s="52">
        <f>EP14</f>
        <v/>
      </c>
      <c r="ER14" s="52">
        <f>EQ14</f>
        <v/>
      </c>
      <c r="ES14" s="52">
        <f>ER14</f>
        <v/>
      </c>
      <c r="ET14" s="52">
        <f>ES14</f>
        <v/>
      </c>
      <c r="EU14" s="52">
        <f>ET14</f>
        <v/>
      </c>
      <c r="EV14" s="52">
        <f>EU14</f>
        <v/>
      </c>
      <c r="EW14" s="52">
        <f>EV14</f>
        <v/>
      </c>
      <c r="EX14" s="52">
        <f>EW14</f>
        <v/>
      </c>
      <c r="EY14" s="52">
        <f>EX14</f>
        <v/>
      </c>
      <c r="EZ14" s="52">
        <f>EY14</f>
        <v/>
      </c>
      <c r="FA14" s="52">
        <f>EZ14</f>
        <v/>
      </c>
      <c r="FB14" s="52">
        <f>FA14</f>
        <v/>
      </c>
      <c r="FC14" s="52">
        <f>FB14</f>
        <v/>
      </c>
      <c r="FD14" s="126" t="n"/>
      <c r="FE14" s="52">
        <f>FC26</f>
        <v/>
      </c>
      <c r="FF14" s="52">
        <f>FE14</f>
        <v/>
      </c>
      <c r="FG14" s="52">
        <f>FF14</f>
        <v/>
      </c>
      <c r="FH14" s="52" t="n">
        <v>0</v>
      </c>
      <c r="FI14" s="52" t="n">
        <v>0</v>
      </c>
      <c r="FJ14" s="52" t="n">
        <v>0</v>
      </c>
      <c r="FK14" s="52" t="n">
        <v>0</v>
      </c>
      <c r="FL14" s="52" t="n">
        <v>0</v>
      </c>
      <c r="FM14" s="52" t="n">
        <v>0</v>
      </c>
      <c r="FN14" s="52" t="n">
        <v>0</v>
      </c>
      <c r="FO14" s="52" t="n">
        <v>0</v>
      </c>
      <c r="FP14" s="52" t="n">
        <v>0</v>
      </c>
      <c r="FQ14" s="52" t="n">
        <v>0</v>
      </c>
      <c r="FR14" s="52" t="n">
        <v>0</v>
      </c>
      <c r="FS14" s="52" t="n">
        <v>0</v>
      </c>
      <c r="FT14" s="52" t="n">
        <v>0</v>
      </c>
      <c r="FU14" s="52" t="n">
        <v>0</v>
      </c>
      <c r="FV14" s="52" t="n">
        <v>0</v>
      </c>
      <c r="FW14" s="52" t="n">
        <v>0</v>
      </c>
      <c r="FX14" s="52" t="n">
        <v>0</v>
      </c>
      <c r="FY14" s="52" t="n">
        <v>0</v>
      </c>
      <c r="FZ14" s="52" t="n">
        <v>0</v>
      </c>
      <c r="GA14" s="52" t="n">
        <v>0</v>
      </c>
      <c r="GB14" s="52" t="n">
        <v>0</v>
      </c>
      <c r="GC14" s="52" t="n">
        <v>0</v>
      </c>
      <c r="GD14" s="52" t="n">
        <v>0</v>
      </c>
      <c r="GE14" s="52" t="n">
        <v>0</v>
      </c>
      <c r="GF14" s="52" t="n">
        <v>0</v>
      </c>
      <c r="GG14" s="52" t="n">
        <v>0</v>
      </c>
      <c r="GH14" s="52" t="n">
        <v>0</v>
      </c>
      <c r="GI14" s="52" t="n">
        <v>0</v>
      </c>
      <c r="GJ14" s="130" t="n"/>
      <c r="GK14" s="82">
        <f>GI26</f>
        <v/>
      </c>
      <c r="GL14" s="82">
        <f>GK14</f>
        <v/>
      </c>
      <c r="GM14" s="82">
        <f>GL14</f>
        <v/>
      </c>
      <c r="GN14" s="82">
        <f>GM14</f>
        <v/>
      </c>
      <c r="GO14" s="82">
        <f>GN14</f>
        <v/>
      </c>
      <c r="GP14" s="82">
        <f>GO14</f>
        <v/>
      </c>
      <c r="GQ14" s="82">
        <f>GP14</f>
        <v/>
      </c>
      <c r="GR14" s="82">
        <f>GQ14</f>
        <v/>
      </c>
      <c r="GS14" s="82">
        <f>GR14</f>
        <v/>
      </c>
      <c r="GT14" s="82">
        <f>GS14</f>
        <v/>
      </c>
      <c r="GU14" s="82" t="n">
        <v>1058680</v>
      </c>
      <c r="GV14" s="82">
        <f>GU14</f>
        <v/>
      </c>
      <c r="GW14" s="82">
        <f>GV14</f>
        <v/>
      </c>
      <c r="GX14" s="82">
        <f>GW14</f>
        <v/>
      </c>
      <c r="GY14" s="82">
        <f>GX14</f>
        <v/>
      </c>
      <c r="GZ14" s="82">
        <f>GY14</f>
        <v/>
      </c>
      <c r="HA14" s="82">
        <f>GZ14</f>
        <v/>
      </c>
      <c r="HB14" s="82">
        <f>HA14</f>
        <v/>
      </c>
      <c r="HC14" s="82">
        <f>HB14</f>
        <v/>
      </c>
      <c r="HD14" s="82">
        <f>HC14</f>
        <v/>
      </c>
      <c r="HE14" s="82">
        <f>HD14</f>
        <v/>
      </c>
      <c r="HF14" s="82">
        <f>HE14</f>
        <v/>
      </c>
      <c r="HG14" s="82">
        <f>HF14</f>
        <v/>
      </c>
      <c r="HH14" s="82">
        <f>HG14</f>
        <v/>
      </c>
      <c r="HI14" s="82">
        <f>HH14</f>
        <v/>
      </c>
      <c r="HJ14" s="82">
        <f>HI14</f>
        <v/>
      </c>
      <c r="HK14" s="82">
        <f>HJ14</f>
        <v/>
      </c>
      <c r="HL14" s="82">
        <f>HK14</f>
        <v/>
      </c>
      <c r="HM14" s="82">
        <f>HL14</f>
        <v/>
      </c>
      <c r="HN14" s="130" t="n"/>
      <c r="HO14" s="113">
        <f>HM14+31242802</f>
        <v/>
      </c>
      <c r="HP14" s="113">
        <f>HO14</f>
        <v/>
      </c>
      <c r="HQ14" s="113">
        <f>HP14</f>
        <v/>
      </c>
      <c r="HR14" s="113">
        <f>HQ14</f>
        <v/>
      </c>
      <c r="HS14" s="113">
        <f>HR14</f>
        <v/>
      </c>
      <c r="HT14" s="113">
        <f>HS14</f>
        <v/>
      </c>
      <c r="HU14" s="113" t="n">
        <v>0</v>
      </c>
      <c r="HV14" s="113" t="n">
        <v>0</v>
      </c>
      <c r="HW14" s="113" t="n">
        <v>0</v>
      </c>
      <c r="HX14" s="113" t="n">
        <v>0</v>
      </c>
      <c r="HY14" s="113" t="n">
        <v>0</v>
      </c>
      <c r="HZ14" s="113" t="n">
        <v>0</v>
      </c>
      <c r="IA14" s="113" t="n">
        <v>0</v>
      </c>
      <c r="IB14" s="113" t="n">
        <v>0</v>
      </c>
      <c r="IC14" s="113" t="n">
        <v>0</v>
      </c>
      <c r="ID14" s="113" t="n">
        <v>0</v>
      </c>
      <c r="IE14" s="113" t="n">
        <v>0</v>
      </c>
      <c r="IF14" s="113" t="n">
        <v>0</v>
      </c>
      <c r="IG14" s="113" t="n">
        <v>0</v>
      </c>
      <c r="IH14" s="113" t="n">
        <v>0</v>
      </c>
      <c r="II14" s="113" t="n">
        <v>0</v>
      </c>
      <c r="IJ14" s="113" t="n">
        <v>0</v>
      </c>
      <c r="IK14" s="113" t="n">
        <v>0</v>
      </c>
      <c r="IL14" s="113" t="n">
        <v>0</v>
      </c>
      <c r="IM14" s="113" t="n">
        <v>0</v>
      </c>
      <c r="IN14" s="113" t="n">
        <v>0</v>
      </c>
      <c r="IO14" s="113" t="n">
        <v>0</v>
      </c>
      <c r="IP14" s="113" t="n">
        <v>0</v>
      </c>
      <c r="IQ14" s="113" t="n">
        <v>0</v>
      </c>
      <c r="IR14" s="113" t="n">
        <v>0</v>
      </c>
      <c r="IS14" s="113" t="n">
        <v>0</v>
      </c>
      <c r="IT14" s="130" t="n"/>
      <c r="IU14" s="113">
        <f>IS26</f>
        <v/>
      </c>
      <c r="IV14" s="82">
        <f>IU14</f>
        <v/>
      </c>
      <c r="IW14" s="82" t="n">
        <v>0</v>
      </c>
      <c r="IX14" s="82">
        <f>IW14</f>
        <v/>
      </c>
      <c r="IY14" s="82">
        <f>IX14</f>
        <v/>
      </c>
      <c r="IZ14" s="82">
        <f>IY14</f>
        <v/>
      </c>
      <c r="JA14" s="82">
        <f>IZ14</f>
        <v/>
      </c>
      <c r="JB14" s="82">
        <f>JA14</f>
        <v/>
      </c>
      <c r="JC14" s="82">
        <f>JB14</f>
        <v/>
      </c>
      <c r="JD14" s="82">
        <f>JC14</f>
        <v/>
      </c>
      <c r="JE14" s="82">
        <f>JD14</f>
        <v/>
      </c>
      <c r="JF14" s="82">
        <f>JE14</f>
        <v/>
      </c>
      <c r="JG14" s="82">
        <f>JF14</f>
        <v/>
      </c>
      <c r="JH14" s="82">
        <f>JG14</f>
        <v/>
      </c>
      <c r="JI14" s="82">
        <f>JH14</f>
        <v/>
      </c>
      <c r="JJ14" s="82">
        <f>JI14</f>
        <v/>
      </c>
      <c r="JK14" s="82">
        <f>JJ14</f>
        <v/>
      </c>
      <c r="JL14" s="82">
        <f>JK14</f>
        <v/>
      </c>
      <c r="JM14" s="82">
        <f>JL14</f>
        <v/>
      </c>
      <c r="JN14" s="82">
        <f>JM14</f>
        <v/>
      </c>
      <c r="JO14" s="82">
        <f>JN14</f>
        <v/>
      </c>
      <c r="JP14" s="82">
        <f>JO14</f>
        <v/>
      </c>
      <c r="JQ14" s="82">
        <f>JP14</f>
        <v/>
      </c>
      <c r="JR14" s="82">
        <f>JQ14</f>
        <v/>
      </c>
      <c r="JS14" s="82">
        <f>JR14</f>
        <v/>
      </c>
      <c r="JT14" s="82">
        <f>JS14</f>
        <v/>
      </c>
      <c r="JU14" s="82">
        <f>JT14</f>
        <v/>
      </c>
      <c r="JV14" s="82">
        <f>JU14</f>
        <v/>
      </c>
      <c r="JW14" s="82">
        <f>JV14</f>
        <v/>
      </c>
      <c r="JX14" s="82">
        <f>JW14</f>
        <v/>
      </c>
      <c r="JY14" s="133" t="n"/>
      <c r="JZ14" s="82">
        <f>JX26</f>
        <v/>
      </c>
      <c r="KA14" s="82">
        <f>JZ14</f>
        <v/>
      </c>
      <c r="KB14" s="82">
        <f>KA14</f>
        <v/>
      </c>
      <c r="KC14" s="82">
        <f>KB14</f>
        <v/>
      </c>
      <c r="KD14" s="82">
        <f>KC14</f>
        <v/>
      </c>
      <c r="KE14" s="82">
        <f>KD14</f>
        <v/>
      </c>
      <c r="KF14" s="82">
        <f>KE14</f>
        <v/>
      </c>
      <c r="KG14" s="82" t="n">
        <v>342310</v>
      </c>
      <c r="KH14" s="82">
        <f>KG14</f>
        <v/>
      </c>
      <c r="KI14" s="82">
        <f>KH14</f>
        <v/>
      </c>
      <c r="KJ14" s="82">
        <f>KI14</f>
        <v/>
      </c>
      <c r="KK14" s="82">
        <f>KJ14</f>
        <v/>
      </c>
      <c r="KL14" s="82">
        <f>KK14</f>
        <v/>
      </c>
      <c r="KM14" s="82">
        <f>KL14</f>
        <v/>
      </c>
      <c r="KN14" s="82">
        <f>KL14</f>
        <v/>
      </c>
      <c r="KO14" s="82">
        <f>KN14</f>
        <v/>
      </c>
      <c r="KP14" s="82">
        <f>KO14</f>
        <v/>
      </c>
      <c r="KQ14" s="82">
        <f>KP14</f>
        <v/>
      </c>
      <c r="KR14" s="82">
        <f>KQ14</f>
        <v/>
      </c>
      <c r="KS14" s="82">
        <f>KR14</f>
        <v/>
      </c>
      <c r="KT14" s="82">
        <f>KS14</f>
        <v/>
      </c>
      <c r="KU14" s="82">
        <f>KT14</f>
        <v/>
      </c>
      <c r="KV14" s="82">
        <f>KU14</f>
        <v/>
      </c>
      <c r="KW14" s="82">
        <f>KV14</f>
        <v/>
      </c>
      <c r="KX14" s="82">
        <f>KW14</f>
        <v/>
      </c>
      <c r="KY14" s="82">
        <f>KX14</f>
        <v/>
      </c>
      <c r="KZ14" s="82">
        <f>KY14</f>
        <v/>
      </c>
      <c r="LA14" s="82">
        <f>KZ14</f>
        <v/>
      </c>
      <c r="LB14" s="82">
        <f>LA14</f>
        <v/>
      </c>
      <c r="LC14" s="82">
        <f>LB14</f>
        <v/>
      </c>
      <c r="LD14" s="82">
        <f>LC14</f>
        <v/>
      </c>
      <c r="LE14" s="130" t="n"/>
      <c r="LF14" s="82">
        <f>LD14+LD26</f>
        <v/>
      </c>
      <c r="LG14" s="82">
        <f>LF14</f>
        <v/>
      </c>
      <c r="LH14" s="82">
        <f>LG14</f>
        <v/>
      </c>
      <c r="LI14" s="82">
        <f>LH14</f>
        <v/>
      </c>
      <c r="LJ14" s="82">
        <f>LI14</f>
        <v/>
      </c>
      <c r="LK14" s="82">
        <f>LJ14</f>
        <v/>
      </c>
      <c r="LL14" s="82">
        <f>LK14</f>
        <v/>
      </c>
      <c r="LM14" s="82">
        <f>LL14</f>
        <v/>
      </c>
      <c r="LN14" s="82">
        <f>LM14</f>
        <v/>
      </c>
      <c r="LO14" s="82">
        <f>LN14</f>
        <v/>
      </c>
      <c r="LP14" s="82">
        <f>LO14</f>
        <v/>
      </c>
      <c r="LQ14" s="82">
        <f>LP14</f>
        <v/>
      </c>
      <c r="LR14" s="82" t="n">
        <v>655310</v>
      </c>
      <c r="LS14" s="82">
        <f>LR14</f>
        <v/>
      </c>
      <c r="LT14" s="82">
        <f>LS14</f>
        <v/>
      </c>
      <c r="LU14" s="82">
        <f>LT14</f>
        <v/>
      </c>
      <c r="LV14" s="82">
        <f>LU14</f>
        <v/>
      </c>
      <c r="LW14" s="82">
        <f>LV14</f>
        <v/>
      </c>
      <c r="LX14" s="82">
        <f>LW14</f>
        <v/>
      </c>
      <c r="LY14" s="82">
        <f>LX14</f>
        <v/>
      </c>
      <c r="LZ14" s="82">
        <f>LY14</f>
        <v/>
      </c>
      <c r="MA14" s="82">
        <f>LZ14</f>
        <v/>
      </c>
      <c r="MB14" s="82">
        <f>MA14</f>
        <v/>
      </c>
      <c r="MC14" s="82">
        <f>MB14</f>
        <v/>
      </c>
      <c r="MD14" s="82">
        <f>MC14</f>
        <v/>
      </c>
      <c r="ME14" s="82">
        <f>MD14</f>
        <v/>
      </c>
      <c r="MF14" s="82">
        <f>ME14</f>
        <v/>
      </c>
      <c r="MG14" s="82">
        <f>MF14</f>
        <v/>
      </c>
      <c r="MH14" s="82">
        <f>MG14</f>
        <v/>
      </c>
      <c r="MI14" s="82">
        <f>MH14</f>
        <v/>
      </c>
      <c r="MJ14" s="133" t="n"/>
      <c r="MK14" s="82">
        <f>MI14+MI26</f>
        <v/>
      </c>
      <c r="ML14" s="82">
        <f>MK14</f>
        <v/>
      </c>
      <c r="MM14" s="82">
        <f>ML14</f>
        <v/>
      </c>
      <c r="MN14" s="82">
        <f>MM14</f>
        <v/>
      </c>
      <c r="MO14" s="82">
        <f>MN14</f>
        <v/>
      </c>
      <c r="MP14" s="82">
        <f>MO14</f>
        <v/>
      </c>
      <c r="MQ14" s="82">
        <f>MP14</f>
        <v/>
      </c>
      <c r="MR14" s="82">
        <f>MQ14</f>
        <v/>
      </c>
      <c r="MS14" s="82">
        <f>MR14</f>
        <v/>
      </c>
      <c r="MT14" s="82">
        <f>MS14</f>
        <v/>
      </c>
      <c r="MU14" s="82">
        <f>MT14</f>
        <v/>
      </c>
      <c r="MV14" s="82">
        <f>MU14</f>
        <v/>
      </c>
      <c r="MW14" s="82">
        <f>MV14</f>
        <v/>
      </c>
      <c r="MX14" s="82">
        <f>MW14</f>
        <v/>
      </c>
      <c r="MY14" s="82">
        <f>MX14</f>
        <v/>
      </c>
      <c r="MZ14" s="82">
        <f>MY14</f>
        <v/>
      </c>
      <c r="NA14" s="82">
        <f>MZ14</f>
        <v/>
      </c>
      <c r="NB14" s="82">
        <f>NA14</f>
        <v/>
      </c>
      <c r="NC14" s="82">
        <f>NB14</f>
        <v/>
      </c>
      <c r="ND14" s="82">
        <f>NC14</f>
        <v/>
      </c>
      <c r="NE14" s="82">
        <f>ND14</f>
        <v/>
      </c>
      <c r="NF14" s="82">
        <f>NE14</f>
        <v/>
      </c>
      <c r="NG14" s="82">
        <f>NF14</f>
        <v/>
      </c>
      <c r="NH14" s="82" t="n">
        <v>2339312</v>
      </c>
      <c r="NI14" s="82">
        <f>NH14</f>
        <v/>
      </c>
      <c r="NJ14" s="82">
        <f>NI14</f>
        <v/>
      </c>
      <c r="NK14" s="82">
        <f>NJ14</f>
        <v/>
      </c>
      <c r="NL14" s="82">
        <f>NK14</f>
        <v/>
      </c>
      <c r="NM14" s="82">
        <f>NL14</f>
        <v/>
      </c>
      <c r="NN14" s="82">
        <f>NM14</f>
        <v/>
      </c>
      <c r="NO14" s="82">
        <f>NN14</f>
        <v/>
      </c>
      <c r="NP14" s="133" t="n"/>
      <c r="NQ14" s="82">
        <f>NO14+NO26</f>
        <v/>
      </c>
      <c r="NR14" s="82">
        <f>NQ14</f>
        <v/>
      </c>
      <c r="NS14" s="82">
        <f>NR14</f>
        <v/>
      </c>
      <c r="NT14" s="82">
        <f>NS14</f>
        <v/>
      </c>
      <c r="NU14" s="82">
        <f>NT14</f>
        <v/>
      </c>
      <c r="NV14" s="82" t="n">
        <v>631230</v>
      </c>
      <c r="NW14" s="82">
        <f>NV14</f>
        <v/>
      </c>
      <c r="NX14" s="82">
        <f>NW14</f>
        <v/>
      </c>
      <c r="NY14" s="82">
        <f>NX14</f>
        <v/>
      </c>
      <c r="NZ14" s="82">
        <f>NY14</f>
        <v/>
      </c>
      <c r="OA14" s="82">
        <f>NZ14</f>
        <v/>
      </c>
      <c r="OB14" s="82">
        <f>OA14</f>
        <v/>
      </c>
      <c r="OC14" s="82">
        <f>OB14</f>
        <v/>
      </c>
      <c r="OD14" s="82">
        <f>OC14</f>
        <v/>
      </c>
      <c r="OE14" s="82">
        <f>OD14</f>
        <v/>
      </c>
      <c r="OF14" s="82">
        <f>OE14</f>
        <v/>
      </c>
      <c r="OG14" s="82">
        <f>OF14</f>
        <v/>
      </c>
      <c r="OH14" s="82">
        <f>OG14</f>
        <v/>
      </c>
      <c r="OI14" s="82">
        <f>OH14</f>
        <v/>
      </c>
      <c r="OJ14" s="82">
        <f>OI14</f>
        <v/>
      </c>
      <c r="OK14" s="82">
        <f>OJ14</f>
        <v/>
      </c>
      <c r="OL14" s="82">
        <f>OK14</f>
        <v/>
      </c>
      <c r="OM14" s="82">
        <f>OL14</f>
        <v/>
      </c>
      <c r="ON14" s="82">
        <f>OM14</f>
        <v/>
      </c>
      <c r="OO14" s="82">
        <f>ON14</f>
        <v/>
      </c>
      <c r="OP14" s="82">
        <f>OO14</f>
        <v/>
      </c>
      <c r="OQ14" s="82">
        <f>OP14</f>
        <v/>
      </c>
      <c r="OR14" s="82">
        <f>OQ14</f>
        <v/>
      </c>
      <c r="OS14" s="82">
        <f>OR14</f>
        <v/>
      </c>
      <c r="OT14" s="82">
        <f>OS14</f>
        <v/>
      </c>
      <c r="OU14" s="82">
        <f>OT14</f>
        <v/>
      </c>
      <c r="OV14" s="130" t="n"/>
      <c r="OW14" s="82">
        <f>OU14+OU26</f>
        <v/>
      </c>
      <c r="OX14" s="82">
        <f>OW14</f>
        <v/>
      </c>
      <c r="OY14" s="82">
        <f>OX14</f>
        <v/>
      </c>
      <c r="OZ14" s="82">
        <f>OY14</f>
        <v/>
      </c>
      <c r="PA14" s="82">
        <f>OZ14</f>
        <v/>
      </c>
      <c r="PB14" s="82">
        <f>PA14</f>
        <v/>
      </c>
      <c r="PC14" s="82">
        <f>PB14</f>
        <v/>
      </c>
      <c r="PD14" s="82">
        <f>PC14</f>
        <v/>
      </c>
      <c r="PE14" s="82">
        <f>PD14</f>
        <v/>
      </c>
      <c r="PF14" s="82">
        <f>PE14</f>
        <v/>
      </c>
      <c r="PG14" s="82">
        <f>PF14</f>
        <v/>
      </c>
      <c r="PH14" s="82" t="n">
        <v>1697230</v>
      </c>
      <c r="PI14" s="82">
        <f>PH14</f>
        <v/>
      </c>
      <c r="PJ14" s="82">
        <f>PI14</f>
        <v/>
      </c>
      <c r="PK14" s="82">
        <f>PJ14</f>
        <v/>
      </c>
      <c r="PL14" s="82">
        <f>PK14</f>
        <v/>
      </c>
      <c r="PM14" s="82">
        <f>PL14</f>
        <v/>
      </c>
      <c r="PN14" s="82">
        <f>PM14</f>
        <v/>
      </c>
      <c r="PO14" s="82">
        <f>PN14</f>
        <v/>
      </c>
      <c r="PP14" s="82">
        <f>PO14</f>
        <v/>
      </c>
      <c r="PQ14" s="82">
        <f>PP14</f>
        <v/>
      </c>
      <c r="PR14" s="82">
        <f>PQ14</f>
        <v/>
      </c>
      <c r="PS14" s="82">
        <f>PR14</f>
        <v/>
      </c>
      <c r="PT14" s="82">
        <f>PS14</f>
        <v/>
      </c>
      <c r="PU14" s="82">
        <f>PT14</f>
        <v/>
      </c>
      <c r="PV14" s="82">
        <f>PU14</f>
        <v/>
      </c>
      <c r="PW14" s="82">
        <f>PV14</f>
        <v/>
      </c>
      <c r="PX14" s="82">
        <f>PW14</f>
        <v/>
      </c>
      <c r="PY14" s="82">
        <f>PX14</f>
        <v/>
      </c>
      <c r="PZ14" s="82">
        <f>PY14</f>
        <v/>
      </c>
      <c r="QA14" s="130" t="n"/>
      <c r="QB14" s="82">
        <f>PZ14+PZ26</f>
        <v/>
      </c>
      <c r="QC14" s="82">
        <f>QB14</f>
        <v/>
      </c>
      <c r="QD14" s="82">
        <f>QC14</f>
        <v/>
      </c>
      <c r="QE14" s="82">
        <f>QD14</f>
        <v/>
      </c>
      <c r="QF14" s="82">
        <f>QE14</f>
        <v/>
      </c>
      <c r="QG14" s="82">
        <f>QF14</f>
        <v/>
      </c>
      <c r="QH14" s="82" t="n">
        <v>581230</v>
      </c>
      <c r="QI14" s="82">
        <f>QH14</f>
        <v/>
      </c>
      <c r="QJ14" s="82">
        <f>QI14</f>
        <v/>
      </c>
      <c r="QK14" s="82">
        <f>QJ14</f>
        <v/>
      </c>
      <c r="QL14" s="82">
        <f>QK14</f>
        <v/>
      </c>
      <c r="QM14" s="82">
        <f>QL14</f>
        <v/>
      </c>
      <c r="QN14" s="82">
        <f>QM14</f>
        <v/>
      </c>
      <c r="QO14" s="82">
        <f>QN14</f>
        <v/>
      </c>
      <c r="QP14" s="82">
        <f>QO14</f>
        <v/>
      </c>
      <c r="QQ14" s="82">
        <f>QP14</f>
        <v/>
      </c>
      <c r="QR14" s="82">
        <f>QQ14</f>
        <v/>
      </c>
      <c r="QS14" s="82">
        <f>QR14</f>
        <v/>
      </c>
      <c r="QT14" s="82">
        <f>QS14</f>
        <v/>
      </c>
      <c r="QU14" s="82">
        <f>QT14</f>
        <v/>
      </c>
      <c r="QV14" s="82">
        <f>QU14</f>
        <v/>
      </c>
      <c r="QW14" s="82">
        <f>QV14</f>
        <v/>
      </c>
      <c r="QX14" s="82">
        <f>QW14</f>
        <v/>
      </c>
      <c r="QY14" s="82">
        <f>QX14</f>
        <v/>
      </c>
      <c r="QZ14" s="82">
        <f>QY14</f>
        <v/>
      </c>
      <c r="RA14" s="82">
        <f>QZ14</f>
        <v/>
      </c>
      <c r="RB14" s="82">
        <f>RA14</f>
        <v/>
      </c>
      <c r="RC14" s="82">
        <f>RB14</f>
        <v/>
      </c>
      <c r="RD14" s="82">
        <f>RC14</f>
        <v/>
      </c>
      <c r="RE14" s="82">
        <f>RD14</f>
        <v/>
      </c>
      <c r="RF14" s="82">
        <f>RE14</f>
        <v/>
      </c>
      <c r="RG14" s="130" t="n"/>
      <c r="RH14" s="82">
        <f>RF14+RF26+RF27</f>
        <v/>
      </c>
      <c r="RI14" s="82">
        <f>RH14</f>
        <v/>
      </c>
      <c r="RJ14" s="82">
        <f>RI14</f>
        <v/>
      </c>
      <c r="RK14" s="82">
        <f>RJ14</f>
        <v/>
      </c>
      <c r="RL14" s="82">
        <f>RK14</f>
        <v/>
      </c>
      <c r="RM14" s="82">
        <f>RL14</f>
        <v/>
      </c>
      <c r="RN14" s="82">
        <f>RM14</f>
        <v/>
      </c>
      <c r="RO14" s="82">
        <f>RN14</f>
        <v/>
      </c>
      <c r="RP14" s="82">
        <f>RO14</f>
        <v/>
      </c>
      <c r="RQ14" s="82">
        <f>RP14</f>
        <v/>
      </c>
      <c r="RR14" s="82" t="n">
        <v>3433788</v>
      </c>
      <c r="RS14" s="82">
        <f>RR14</f>
        <v/>
      </c>
      <c r="RT14" s="82">
        <f>RS14</f>
        <v/>
      </c>
      <c r="RU14" s="82">
        <f>RT14</f>
        <v/>
      </c>
      <c r="RV14" s="82">
        <f>RU14</f>
        <v/>
      </c>
      <c r="RW14" s="82">
        <f>RV14</f>
        <v/>
      </c>
      <c r="RX14" s="82">
        <f>RW14</f>
        <v/>
      </c>
      <c r="RY14" s="82">
        <f>RX14</f>
        <v/>
      </c>
      <c r="RZ14" s="82">
        <f>RY14</f>
        <v/>
      </c>
      <c r="SA14" s="82">
        <f>RZ14</f>
        <v/>
      </c>
      <c r="SB14" s="82">
        <f>SA14</f>
        <v/>
      </c>
      <c r="SC14" s="82">
        <f>SB14</f>
        <v/>
      </c>
      <c r="SD14" s="82">
        <f>SC14</f>
        <v/>
      </c>
      <c r="SE14" s="82">
        <f>SD14</f>
        <v/>
      </c>
      <c r="SF14" s="82">
        <f>SE14</f>
        <v/>
      </c>
      <c r="SG14" s="82">
        <f>SF14</f>
        <v/>
      </c>
      <c r="SH14" s="82">
        <f>SG14</f>
        <v/>
      </c>
      <c r="SI14" s="82">
        <f>SH14</f>
        <v/>
      </c>
      <c r="SJ14" s="82">
        <f>SI14</f>
        <v/>
      </c>
      <c r="SK14" s="82">
        <f>SJ14</f>
        <v/>
      </c>
      <c r="SL14" s="130" t="n"/>
      <c r="SM14" s="82">
        <f>SK14+SK26+SK27</f>
        <v/>
      </c>
      <c r="SN14" s="82">
        <f>SM14</f>
        <v/>
      </c>
      <c r="SO14" s="82">
        <f>SN14</f>
        <v/>
      </c>
      <c r="SP14" s="82">
        <f>SO14</f>
        <v/>
      </c>
      <c r="SQ14" s="82">
        <f>SP14</f>
        <v/>
      </c>
      <c r="SR14" s="82" t="n">
        <v>5863699</v>
      </c>
      <c r="SS14" s="82">
        <f>SR14</f>
        <v/>
      </c>
      <c r="ST14" s="82">
        <f>SS14</f>
        <v/>
      </c>
      <c r="SU14" s="82">
        <f>ST14</f>
        <v/>
      </c>
      <c r="SV14" s="82">
        <f>SU14</f>
        <v/>
      </c>
      <c r="SW14" s="82">
        <f>SV14</f>
        <v/>
      </c>
      <c r="SX14" s="82">
        <f>SW14</f>
        <v/>
      </c>
      <c r="SY14" s="82">
        <f>SX14</f>
        <v/>
      </c>
      <c r="SZ14" s="82">
        <f>SY14</f>
        <v/>
      </c>
      <c r="TA14" s="82">
        <f>SZ14</f>
        <v/>
      </c>
      <c r="TB14" s="82">
        <f>TA14</f>
        <v/>
      </c>
      <c r="TC14" s="82">
        <f>TB14</f>
        <v/>
      </c>
      <c r="TD14" s="82">
        <f>TC14</f>
        <v/>
      </c>
      <c r="TE14" s="82">
        <f>TD14</f>
        <v/>
      </c>
      <c r="TF14" s="82">
        <f>TE14</f>
        <v/>
      </c>
      <c r="TG14" s="82">
        <f>TF14</f>
        <v/>
      </c>
      <c r="TH14" s="82">
        <f>TG14</f>
        <v/>
      </c>
      <c r="TI14" s="82">
        <f>TH14</f>
        <v/>
      </c>
      <c r="TJ14" s="82">
        <f>TI14</f>
        <v/>
      </c>
      <c r="TK14" s="82">
        <f>TJ14</f>
        <v/>
      </c>
      <c r="TL14" s="82">
        <f>TK14</f>
        <v/>
      </c>
      <c r="TM14" s="82">
        <f>TL14</f>
        <v/>
      </c>
      <c r="TN14" s="82">
        <f>TM14</f>
        <v/>
      </c>
      <c r="TO14" s="82">
        <f>TN14</f>
        <v/>
      </c>
      <c r="TP14" s="82">
        <f>TO14</f>
        <v/>
      </c>
      <c r="TQ14" s="82">
        <f>TP14</f>
        <v/>
      </c>
      <c r="TR14" s="130" t="n"/>
      <c r="TS14" s="82">
        <f>TQ14+TQ26</f>
        <v/>
      </c>
      <c r="TT14" s="82">
        <f>TS14</f>
        <v/>
      </c>
      <c r="TU14" s="82">
        <f>TT14</f>
        <v/>
      </c>
      <c r="TV14" s="82">
        <f>TU14</f>
        <v/>
      </c>
      <c r="TW14" s="82">
        <f>TV14</f>
        <v/>
      </c>
      <c r="TX14" s="82">
        <f>TW14</f>
        <v/>
      </c>
      <c r="TY14" s="82" t="n">
        <v>630750</v>
      </c>
      <c r="TZ14" s="82">
        <f>TY14</f>
        <v/>
      </c>
      <c r="UA14" s="82">
        <f>TZ14</f>
        <v/>
      </c>
      <c r="UB14" s="82">
        <f>UA14</f>
        <v/>
      </c>
      <c r="UC14" s="82">
        <f>UB14</f>
        <v/>
      </c>
      <c r="UD14" s="82">
        <f>UC14</f>
        <v/>
      </c>
      <c r="UE14" s="82">
        <f>UD14</f>
        <v/>
      </c>
      <c r="UF14" s="82">
        <f>UE14</f>
        <v/>
      </c>
      <c r="UG14" s="82">
        <f>UF14</f>
        <v/>
      </c>
      <c r="UH14" s="82">
        <f>UG14</f>
        <v/>
      </c>
      <c r="UI14" s="82">
        <f>UH14</f>
        <v/>
      </c>
      <c r="UJ14" s="82">
        <f>UI14</f>
        <v/>
      </c>
      <c r="UK14" s="82">
        <f>UJ14</f>
        <v/>
      </c>
      <c r="UL14" s="82">
        <f>UK14</f>
        <v/>
      </c>
      <c r="UM14" s="82">
        <f>UL14</f>
        <v/>
      </c>
      <c r="UN14" s="82">
        <f>UM14</f>
        <v/>
      </c>
      <c r="UO14" s="82">
        <f>UN14</f>
        <v/>
      </c>
      <c r="UP14" s="82">
        <f>UO14</f>
        <v/>
      </c>
      <c r="UQ14" s="82">
        <f>UP14</f>
        <v/>
      </c>
      <c r="UR14" s="82">
        <f>UQ14</f>
        <v/>
      </c>
      <c r="US14" s="82">
        <f>UR14</f>
        <v/>
      </c>
      <c r="UT14" s="82">
        <f>US14</f>
        <v/>
      </c>
      <c r="UU14" s="82">
        <f>UT14</f>
        <v/>
      </c>
      <c r="UV14" s="82">
        <f>UU14</f>
        <v/>
      </c>
      <c r="UW14" s="82">
        <f>UV14</f>
        <v/>
      </c>
      <c r="UX14" s="130" t="n"/>
      <c r="UY14" s="82">
        <f>UW14+UW26+UW27</f>
        <v/>
      </c>
      <c r="UZ14" s="82">
        <f>UY14</f>
        <v/>
      </c>
      <c r="VA14" s="82">
        <f>UZ14</f>
        <v/>
      </c>
      <c r="VB14" s="82">
        <f>VA14</f>
        <v/>
      </c>
      <c r="VC14" s="82">
        <f>VB14</f>
        <v/>
      </c>
      <c r="VD14" s="82">
        <f>VC14</f>
        <v/>
      </c>
      <c r="VE14" s="82" t="n">
        <v>0</v>
      </c>
      <c r="VF14" s="82" t="n">
        <v>0</v>
      </c>
      <c r="VG14" s="82" t="n">
        <v>0</v>
      </c>
      <c r="VH14" s="82" t="n">
        <v>0</v>
      </c>
      <c r="VI14" s="82" t="n">
        <v>0</v>
      </c>
      <c r="VJ14" s="82" t="n">
        <v>0</v>
      </c>
      <c r="VK14" s="82" t="n">
        <v>0</v>
      </c>
      <c r="VL14" s="82" t="n">
        <v>0</v>
      </c>
      <c r="VM14" s="82" t="n">
        <v>0</v>
      </c>
      <c r="VN14" s="82" t="n">
        <v>0</v>
      </c>
      <c r="VO14" s="82" t="n">
        <v>0</v>
      </c>
      <c r="VP14" s="82" t="n">
        <v>0</v>
      </c>
      <c r="VQ14" s="82" t="n">
        <v>0</v>
      </c>
      <c r="VR14" s="82" t="n">
        <v>0</v>
      </c>
      <c r="VS14" s="82" t="n">
        <v>0</v>
      </c>
      <c r="VT14" s="82" t="n">
        <v>0</v>
      </c>
      <c r="VU14" s="82" t="n">
        <v>0</v>
      </c>
      <c r="VV14" s="82" t="n">
        <v>0</v>
      </c>
      <c r="VW14" s="82" t="n">
        <v>0</v>
      </c>
      <c r="VX14" s="82" t="n">
        <v>0</v>
      </c>
      <c r="VY14" s="82" t="n">
        <v>0</v>
      </c>
      <c r="VZ14" s="82" t="n">
        <v>0</v>
      </c>
      <c r="WA14" s="133" t="n"/>
      <c r="WB14" s="82">
        <f>VZ26</f>
        <v/>
      </c>
      <c r="WC14" s="82">
        <f>WB14</f>
        <v/>
      </c>
      <c r="WD14" s="82">
        <f>WC14</f>
        <v/>
      </c>
      <c r="WE14" s="82">
        <f>WD14</f>
        <v/>
      </c>
      <c r="WF14" s="82">
        <f>WE14</f>
        <v/>
      </c>
      <c r="WG14" s="82">
        <f>WF14</f>
        <v/>
      </c>
      <c r="WH14" s="82">
        <f>WG14</f>
        <v/>
      </c>
      <c r="WI14" s="82">
        <f>WH14</f>
        <v/>
      </c>
      <c r="WJ14" s="82" t="n">
        <v>0</v>
      </c>
      <c r="WK14" s="82" t="n">
        <v>0</v>
      </c>
      <c r="WL14" s="82" t="n">
        <v>0</v>
      </c>
      <c r="WM14" s="82" t="n">
        <v>0</v>
      </c>
      <c r="WN14" s="82" t="n">
        <v>0</v>
      </c>
      <c r="WO14" s="82" t="n">
        <v>0</v>
      </c>
      <c r="WP14" s="82" t="n">
        <v>0</v>
      </c>
      <c r="WQ14" s="82" t="n">
        <v>0</v>
      </c>
      <c r="WR14" s="82" t="n">
        <v>0</v>
      </c>
      <c r="WS14" s="82" t="n">
        <v>0</v>
      </c>
      <c r="WT14" s="82" t="n">
        <v>0</v>
      </c>
      <c r="WU14" s="82" t="n">
        <v>0</v>
      </c>
      <c r="WV14" s="82" t="n">
        <v>0</v>
      </c>
      <c r="WW14" s="82" t="n">
        <v>0</v>
      </c>
      <c r="WX14" s="82" t="n">
        <v>0</v>
      </c>
      <c r="WY14" s="82" t="n">
        <v>0</v>
      </c>
      <c r="WZ14" s="82" t="n">
        <v>0</v>
      </c>
      <c r="XA14" s="82" t="n">
        <v>0</v>
      </c>
      <c r="XB14" s="82" t="n">
        <v>0</v>
      </c>
      <c r="XC14" s="82" t="n">
        <v>0</v>
      </c>
      <c r="XD14" s="82" t="n">
        <v>0</v>
      </c>
      <c r="XE14" s="82" t="n">
        <v>0</v>
      </c>
      <c r="XF14" s="82" t="n">
        <v>0</v>
      </c>
      <c r="XG14" s="133" t="n"/>
      <c r="XH14" s="82">
        <f>XF26</f>
        <v/>
      </c>
      <c r="XI14" s="82">
        <f>XH14</f>
        <v/>
      </c>
      <c r="XJ14" s="82">
        <f>XI14</f>
        <v/>
      </c>
      <c r="XK14" s="82">
        <f>XJ14</f>
        <v/>
      </c>
      <c r="XL14" s="82">
        <f>XK14</f>
        <v/>
      </c>
      <c r="XM14" s="82">
        <f>XL14</f>
        <v/>
      </c>
      <c r="XN14" s="82">
        <f>XM14</f>
        <v/>
      </c>
      <c r="XO14" s="82">
        <f>XN14</f>
        <v/>
      </c>
      <c r="XP14" s="82" t="n">
        <v>129500</v>
      </c>
      <c r="XQ14" s="82">
        <f>XP14</f>
        <v/>
      </c>
      <c r="XR14" s="82">
        <f>XQ14</f>
        <v/>
      </c>
      <c r="XS14" s="82">
        <f>XR14</f>
        <v/>
      </c>
      <c r="XT14" s="82">
        <f>XS14</f>
        <v/>
      </c>
      <c r="XU14" s="82">
        <f>XT14</f>
        <v/>
      </c>
      <c r="XV14" s="82">
        <f>XU14</f>
        <v/>
      </c>
      <c r="XW14" s="82">
        <f>XV14</f>
        <v/>
      </c>
      <c r="XX14" s="82">
        <f>XW14</f>
        <v/>
      </c>
      <c r="XY14" s="82">
        <f>XX14</f>
        <v/>
      </c>
      <c r="XZ14" s="82">
        <f>XY14</f>
        <v/>
      </c>
      <c r="YA14" s="82">
        <f>XZ14</f>
        <v/>
      </c>
      <c r="YB14" s="82">
        <f>YA14</f>
        <v/>
      </c>
      <c r="YC14" s="82">
        <f>YB14</f>
        <v/>
      </c>
      <c r="YD14" s="82">
        <f>YC14</f>
        <v/>
      </c>
      <c r="YE14" s="82">
        <f>YD14</f>
        <v/>
      </c>
      <c r="YF14" s="82">
        <f>YE14</f>
        <v/>
      </c>
      <c r="YG14" s="82">
        <f>YF14</f>
        <v/>
      </c>
      <c r="YH14" s="82">
        <f>YG14</f>
        <v/>
      </c>
      <c r="YI14" s="82">
        <f>YH14</f>
        <v/>
      </c>
      <c r="YJ14" s="82">
        <f>YI14</f>
        <v/>
      </c>
      <c r="YK14" s="82">
        <f>YJ14</f>
        <v/>
      </c>
      <c r="YL14" s="130" t="n"/>
      <c r="YM14" s="82">
        <f>YK14+YK26</f>
        <v/>
      </c>
      <c r="YN14" s="82">
        <f>YM14</f>
        <v/>
      </c>
      <c r="YO14" s="82">
        <f>YN14</f>
        <v/>
      </c>
      <c r="YP14" s="82">
        <f>YO14</f>
        <v/>
      </c>
      <c r="YQ14" s="82">
        <f>YP14</f>
        <v/>
      </c>
      <c r="YR14" s="82">
        <f>YQ14</f>
        <v/>
      </c>
      <c r="YS14" s="82">
        <f>YR14</f>
        <v/>
      </c>
      <c r="YT14" s="82">
        <f>YS14</f>
        <v/>
      </c>
      <c r="YU14" s="82">
        <f>YT14</f>
        <v/>
      </c>
      <c r="YV14" s="82">
        <f>YU14</f>
        <v/>
      </c>
      <c r="YW14" s="82" t="n">
        <v>1131136</v>
      </c>
      <c r="YX14" s="82">
        <f>YW14</f>
        <v/>
      </c>
      <c r="YY14" s="82">
        <f>YX14</f>
        <v/>
      </c>
      <c r="YZ14" s="82">
        <f>YY14</f>
        <v/>
      </c>
      <c r="ZA14" s="82">
        <f>YZ14</f>
        <v/>
      </c>
      <c r="ZB14" s="82">
        <f>ZA14</f>
        <v/>
      </c>
      <c r="ZC14" s="82">
        <f>ZB14</f>
        <v/>
      </c>
      <c r="ZD14" s="82">
        <f>ZC14</f>
        <v/>
      </c>
      <c r="ZE14" s="82">
        <f>ZD14</f>
        <v/>
      </c>
      <c r="ZF14" s="82">
        <f>ZE14</f>
        <v/>
      </c>
      <c r="ZG14" s="82">
        <f>ZF14</f>
        <v/>
      </c>
      <c r="ZH14" s="82">
        <f>ZG14</f>
        <v/>
      </c>
      <c r="ZI14" s="82">
        <f>ZH14</f>
        <v/>
      </c>
      <c r="ZJ14" s="82">
        <f>ZI14</f>
        <v/>
      </c>
      <c r="ZK14" s="82">
        <f>ZJ14</f>
        <v/>
      </c>
      <c r="ZL14" s="82">
        <f>ZK14</f>
        <v/>
      </c>
      <c r="ZM14" s="82">
        <f>ZL14</f>
        <v/>
      </c>
      <c r="ZN14" s="82">
        <f>ZM14</f>
        <v/>
      </c>
      <c r="ZO14" s="82">
        <f>ZN14</f>
        <v/>
      </c>
      <c r="ZP14" s="82">
        <f>ZO14</f>
        <v/>
      </c>
      <c r="ZQ14" s="82">
        <f>ZP14</f>
        <v/>
      </c>
      <c r="ZR14" s="130" t="n"/>
      <c r="ZS14" s="82">
        <f>ZQ14+ZQ26</f>
        <v/>
      </c>
      <c r="ZT14" s="82">
        <f>ZS14</f>
        <v/>
      </c>
      <c r="ZU14" s="82" t="n">
        <v>4582500</v>
      </c>
      <c r="ZV14" s="82">
        <f>ZU14</f>
        <v/>
      </c>
      <c r="ZW14" s="82">
        <f>ZV14</f>
        <v/>
      </c>
      <c r="ZX14" s="82">
        <f>ZW14</f>
        <v/>
      </c>
      <c r="ZY14" s="82">
        <f>ZX14</f>
        <v/>
      </c>
      <c r="ZZ14" s="82">
        <f>ZY14</f>
        <v/>
      </c>
      <c r="AAA14" s="82">
        <f>ZZ14</f>
        <v/>
      </c>
      <c r="AAB14" s="82">
        <f>AAA14</f>
        <v/>
      </c>
      <c r="AAC14" s="82">
        <f>AAB14</f>
        <v/>
      </c>
      <c r="AAD14" s="82">
        <f>AAC14</f>
        <v/>
      </c>
      <c r="AAE14" s="82">
        <f>AAD14</f>
        <v/>
      </c>
      <c r="AAF14" s="82">
        <f>AAE14</f>
        <v/>
      </c>
      <c r="AAG14" s="82">
        <f>AAF14</f>
        <v/>
      </c>
      <c r="AAH14" s="82">
        <f>AAG14</f>
        <v/>
      </c>
      <c r="AAI14" s="82">
        <f>AAH14</f>
        <v/>
      </c>
      <c r="AAJ14" s="82">
        <f>AAI14</f>
        <v/>
      </c>
      <c r="AAK14" s="82">
        <f>AAJ14</f>
        <v/>
      </c>
      <c r="AAL14" s="82">
        <f>AAK14</f>
        <v/>
      </c>
      <c r="AAM14" s="82">
        <f>AAL14</f>
        <v/>
      </c>
      <c r="AAN14" s="82">
        <f>AAM14</f>
        <v/>
      </c>
      <c r="AAO14" s="82">
        <f>AAN14</f>
        <v/>
      </c>
      <c r="AAP14" s="82">
        <f>AAO14</f>
        <v/>
      </c>
      <c r="AAQ14" s="82">
        <f>AAP14</f>
        <v/>
      </c>
      <c r="AAR14" s="82">
        <f>AAQ14</f>
        <v/>
      </c>
      <c r="AAS14" s="82">
        <f>AAR14</f>
        <v/>
      </c>
      <c r="AAT14" s="82">
        <f>AAS14</f>
        <v/>
      </c>
      <c r="AAU14" s="82">
        <f>AAT14</f>
        <v/>
      </c>
      <c r="AAV14" s="82">
        <f>AAU14</f>
        <v/>
      </c>
      <c r="AAW14" s="130" t="n"/>
      <c r="AAX14" s="82">
        <f>AAV14+AAV26</f>
        <v/>
      </c>
      <c r="AAY14" s="82">
        <f>AAX14</f>
        <v/>
      </c>
      <c r="AAZ14" s="82">
        <f>AAY14</f>
        <v/>
      </c>
      <c r="ABA14" s="82">
        <f>AAZ14</f>
        <v/>
      </c>
      <c r="ABB14" s="82">
        <f>ABA14</f>
        <v/>
      </c>
      <c r="ABC14" s="82">
        <f>ABB14</f>
        <v/>
      </c>
      <c r="ABD14" s="82">
        <f>ABC14</f>
        <v/>
      </c>
      <c r="ABE14" s="82">
        <f>ABD14</f>
        <v/>
      </c>
      <c r="ABF14" s="82">
        <f>ABE14</f>
        <v/>
      </c>
      <c r="ABG14" s="82">
        <f>ABF14</f>
        <v/>
      </c>
      <c r="ABH14" s="82">
        <f>ABG14</f>
        <v/>
      </c>
      <c r="ABI14" s="82">
        <f>ABH14</f>
        <v/>
      </c>
      <c r="ABJ14" s="82">
        <f>ABI14</f>
        <v/>
      </c>
      <c r="ABK14" s="82">
        <f>ABJ14</f>
        <v/>
      </c>
      <c r="ABL14" s="82">
        <f>ABK14</f>
        <v/>
      </c>
      <c r="ABM14" s="82">
        <f>ABL14</f>
        <v/>
      </c>
      <c r="ABN14" s="82" t="n">
        <v>65000</v>
      </c>
      <c r="ABO14" s="82">
        <f>ABN14</f>
        <v/>
      </c>
      <c r="ABP14" s="82">
        <f>ABO14</f>
        <v/>
      </c>
      <c r="ABQ14" s="82">
        <f>ABP14</f>
        <v/>
      </c>
      <c r="ABR14" s="82">
        <f>ABQ14</f>
        <v/>
      </c>
      <c r="ABS14" s="82">
        <f>ABR14</f>
        <v/>
      </c>
      <c r="ABT14" s="82">
        <f>ABS14</f>
        <v/>
      </c>
      <c r="ABU14" s="82">
        <f>ABT14</f>
        <v/>
      </c>
      <c r="ABV14" s="82">
        <f>ABU14</f>
        <v/>
      </c>
      <c r="ABW14" s="82">
        <f>ABV14</f>
        <v/>
      </c>
      <c r="ABX14" s="82">
        <f>ABW14</f>
        <v/>
      </c>
      <c r="ABY14" s="82">
        <f>ABX14</f>
        <v/>
      </c>
      <c r="ABZ14" s="82">
        <f>ABY14</f>
        <v/>
      </c>
      <c r="ACA14" s="82">
        <f>ABZ14</f>
        <v/>
      </c>
      <c r="ACB14" s="82">
        <f>ACA14</f>
        <v/>
      </c>
      <c r="ACC14" s="130" t="n"/>
      <c r="ACD14" s="82">
        <f>ACB14+ACB26</f>
        <v/>
      </c>
      <c r="ACE14" s="82">
        <f>ACD14</f>
        <v/>
      </c>
      <c r="ACF14" s="82">
        <f>ACE14</f>
        <v/>
      </c>
      <c r="ACG14" s="82">
        <f>ACF14</f>
        <v/>
      </c>
      <c r="ACH14" s="82">
        <f>ACG14</f>
        <v/>
      </c>
      <c r="ACI14" s="82" t="n">
        <v>0</v>
      </c>
      <c r="ACJ14" s="82">
        <f>ACI14</f>
        <v/>
      </c>
      <c r="ACK14" s="82">
        <f>ACJ14</f>
        <v/>
      </c>
      <c r="ACL14" s="82">
        <f>ACK14</f>
        <v/>
      </c>
      <c r="ACM14" s="82">
        <f>ACL14</f>
        <v/>
      </c>
      <c r="ACN14" s="82">
        <f>ACM14</f>
        <v/>
      </c>
      <c r="ACO14" s="82">
        <f>ACN14</f>
        <v/>
      </c>
      <c r="ACP14" s="82">
        <f>ACO14</f>
        <v/>
      </c>
      <c r="ACQ14" s="82">
        <f>ACP14</f>
        <v/>
      </c>
      <c r="ACR14" s="82">
        <f>ACQ14</f>
        <v/>
      </c>
      <c r="ACS14" s="82">
        <f>ACR14</f>
        <v/>
      </c>
      <c r="ACT14" s="82">
        <f>ACS14</f>
        <v/>
      </c>
      <c r="ACU14" s="82">
        <f>ACT14</f>
        <v/>
      </c>
      <c r="ACV14" s="82">
        <f>ACU14</f>
        <v/>
      </c>
      <c r="ACW14" s="82">
        <f>ACV14</f>
        <v/>
      </c>
      <c r="ACX14" s="82">
        <f>ACW14</f>
        <v/>
      </c>
      <c r="ACY14" s="82">
        <f>ACX14</f>
        <v/>
      </c>
      <c r="ACZ14" s="82">
        <f>ACY14</f>
        <v/>
      </c>
      <c r="ADA14" s="82">
        <f>ACZ14</f>
        <v/>
      </c>
      <c r="ADB14" s="82">
        <f>ADA14</f>
        <v/>
      </c>
      <c r="ADC14" s="82">
        <f>ADB14</f>
        <v/>
      </c>
      <c r="ADD14" s="82">
        <f>ADC14</f>
        <v/>
      </c>
      <c r="ADE14" s="82">
        <f>ADD14</f>
        <v/>
      </c>
      <c r="ADF14" s="82">
        <f>ADE14</f>
        <v/>
      </c>
      <c r="ADG14" s="82">
        <f>ADF14</f>
        <v/>
      </c>
      <c r="ADH14" s="82">
        <f>ADG14</f>
        <v/>
      </c>
      <c r="ADI14" s="130" t="n"/>
      <c r="ADJ14" s="82">
        <f>ADH26</f>
        <v/>
      </c>
      <c r="ADK14" s="82">
        <f>ADJ14</f>
        <v/>
      </c>
      <c r="ADL14" s="82">
        <f>ADK14</f>
        <v/>
      </c>
      <c r="ADM14" s="82">
        <f>ADL14</f>
        <v/>
      </c>
      <c r="ADN14" s="82">
        <f>ADM14</f>
        <v/>
      </c>
      <c r="ADO14" s="82">
        <f>ADN14</f>
        <v/>
      </c>
      <c r="ADP14" s="82">
        <f>ADO14</f>
        <v/>
      </c>
      <c r="ADQ14" s="82">
        <f>ADP14</f>
        <v/>
      </c>
      <c r="ADR14" s="82">
        <f>ADQ14</f>
        <v/>
      </c>
      <c r="ADS14" s="82">
        <f>ADR14</f>
        <v/>
      </c>
      <c r="ADT14" s="82">
        <f>ADS14</f>
        <v/>
      </c>
      <c r="ADU14" s="82">
        <f>ADT14</f>
        <v/>
      </c>
      <c r="ADV14" s="82">
        <f>ADU14</f>
        <v/>
      </c>
      <c r="ADW14" s="82" t="n">
        <v>1070000</v>
      </c>
      <c r="ADX14" s="82">
        <f>ADW14</f>
        <v/>
      </c>
      <c r="ADY14" s="82">
        <f>ADX14</f>
        <v/>
      </c>
      <c r="ADZ14" s="82">
        <f>ADY14</f>
        <v/>
      </c>
      <c r="AEA14" s="82">
        <f>ADZ14</f>
        <v/>
      </c>
      <c r="AEB14" s="82">
        <f>AEA14</f>
        <v/>
      </c>
      <c r="AEC14" s="82">
        <f>AEB14</f>
        <v/>
      </c>
      <c r="AED14" s="82">
        <f>AEC14</f>
        <v/>
      </c>
      <c r="AEE14" s="82">
        <f>AED14</f>
        <v/>
      </c>
      <c r="AEF14" s="82">
        <f>AEE14</f>
        <v/>
      </c>
      <c r="AEG14" s="82">
        <f>AEF14</f>
        <v/>
      </c>
      <c r="AEH14" s="82">
        <f>AEG14</f>
        <v/>
      </c>
      <c r="AEI14" s="82">
        <f>AEH14</f>
        <v/>
      </c>
      <c r="AEJ14" s="82">
        <f>AEI14</f>
        <v/>
      </c>
      <c r="AEK14" s="82">
        <f>AEJ14</f>
        <v/>
      </c>
      <c r="AEL14" s="82">
        <f>AEK14</f>
        <v/>
      </c>
      <c r="AEM14" s="82">
        <f>AEL14</f>
        <v/>
      </c>
      <c r="AEN14" s="130" t="n"/>
      <c r="AEO14" s="82">
        <f>AEM14+AEM26</f>
        <v/>
      </c>
      <c r="AEP14" s="82">
        <f>AEO14</f>
        <v/>
      </c>
      <c r="AEQ14" s="82">
        <f>AEP14</f>
        <v/>
      </c>
      <c r="AER14" s="82">
        <f>AEQ14</f>
        <v/>
      </c>
      <c r="AES14" s="82">
        <f>AER14</f>
        <v/>
      </c>
      <c r="AET14" s="82">
        <f>AES14</f>
        <v/>
      </c>
      <c r="AEU14" s="82" t="n">
        <v>0</v>
      </c>
      <c r="AEV14" s="82">
        <f>AEU14</f>
        <v/>
      </c>
      <c r="AEW14" s="82">
        <f>AEV14</f>
        <v/>
      </c>
      <c r="AEX14" s="82">
        <f>AEW14</f>
        <v/>
      </c>
      <c r="AEY14" s="82">
        <f>AEX14</f>
        <v/>
      </c>
      <c r="AEZ14" s="82">
        <f>AEY14</f>
        <v/>
      </c>
      <c r="AFA14" s="82">
        <f>AEZ14</f>
        <v/>
      </c>
      <c r="AFB14" s="82">
        <f>AFA14</f>
        <v/>
      </c>
      <c r="AFC14" s="82">
        <f>AFB14</f>
        <v/>
      </c>
      <c r="AFD14" s="82">
        <f>AFC14</f>
        <v/>
      </c>
      <c r="AFE14" s="82">
        <f>AFD14</f>
        <v/>
      </c>
      <c r="AFF14" s="82">
        <f>AFE14</f>
        <v/>
      </c>
      <c r="AFG14" s="82">
        <f>AFF14</f>
        <v/>
      </c>
      <c r="AFH14" s="82">
        <f>AFG14</f>
        <v/>
      </c>
      <c r="AFI14" s="82">
        <f>AFH14</f>
        <v/>
      </c>
      <c r="AFJ14" s="82">
        <f>AFI14</f>
        <v/>
      </c>
      <c r="AFK14" s="82">
        <f>AFJ14</f>
        <v/>
      </c>
      <c r="AFL14" s="82">
        <f>AFK14</f>
        <v/>
      </c>
      <c r="AFM14" s="82">
        <f>AFL14</f>
        <v/>
      </c>
      <c r="AFN14" s="82">
        <f>AFM14</f>
        <v/>
      </c>
      <c r="AFO14" s="82">
        <f>AFN14</f>
        <v/>
      </c>
      <c r="AFP14" s="82">
        <f>AFO14</f>
        <v/>
      </c>
      <c r="AFQ14" s="82">
        <f>AFP14</f>
        <v/>
      </c>
      <c r="AFR14" s="82">
        <f>AFQ14</f>
        <v/>
      </c>
      <c r="AFS14" s="82">
        <f>AFR14</f>
        <v/>
      </c>
      <c r="AFT14" s="130" t="n"/>
      <c r="AFU14" s="82">
        <f>AFS26</f>
        <v/>
      </c>
      <c r="AFV14" s="82">
        <f>AFU14</f>
        <v/>
      </c>
      <c r="AFW14" s="82">
        <f>AFV14</f>
        <v/>
      </c>
      <c r="AFX14" s="82">
        <f>AFW14</f>
        <v/>
      </c>
      <c r="AFY14" s="82">
        <f>AFX14</f>
        <v/>
      </c>
      <c r="AFZ14" s="82">
        <f>AFY14</f>
        <v/>
      </c>
      <c r="AGA14" s="82">
        <f>AFZ14</f>
        <v/>
      </c>
      <c r="AGB14" s="82">
        <f>AGA14</f>
        <v/>
      </c>
      <c r="AGC14" s="82">
        <f>AGB14</f>
        <v/>
      </c>
      <c r="AGD14" s="82" t="n">
        <v>0</v>
      </c>
      <c r="AGE14" s="82">
        <f>AGD14</f>
        <v/>
      </c>
      <c r="AGF14" s="82">
        <f>AGE14</f>
        <v/>
      </c>
      <c r="AGG14" s="82">
        <f>AGF14</f>
        <v/>
      </c>
      <c r="AGH14" s="82">
        <f>AGG14</f>
        <v/>
      </c>
      <c r="AGI14" s="82">
        <f>AGH14</f>
        <v/>
      </c>
      <c r="AGJ14" s="82">
        <f>AGI14</f>
        <v/>
      </c>
      <c r="AGK14" s="82">
        <f>AGJ14</f>
        <v/>
      </c>
      <c r="AGL14" s="82">
        <f>AGK14</f>
        <v/>
      </c>
      <c r="AGM14" s="82">
        <f>AGL14</f>
        <v/>
      </c>
      <c r="AGN14" s="82">
        <f>AGM14</f>
        <v/>
      </c>
      <c r="AGO14" s="82">
        <f>AGN14</f>
        <v/>
      </c>
      <c r="AGP14" s="82">
        <f>AGO14</f>
        <v/>
      </c>
      <c r="AGQ14" s="82">
        <f>AGP14</f>
        <v/>
      </c>
      <c r="AGR14" s="82">
        <f>AGQ14</f>
        <v/>
      </c>
      <c r="AGS14" s="82">
        <f>AGR14</f>
        <v/>
      </c>
      <c r="AGT14" s="82">
        <f>AGS14</f>
        <v/>
      </c>
      <c r="AGU14" s="82">
        <f>AGT14</f>
        <v/>
      </c>
      <c r="AGV14" s="82">
        <f>AGU14</f>
        <v/>
      </c>
      <c r="AGW14" s="82">
        <f>AGV14</f>
        <v/>
      </c>
      <c r="AGX14" s="82">
        <f>AGW14</f>
        <v/>
      </c>
      <c r="AGY14" s="133" t="n"/>
      <c r="AGZ14" s="82">
        <f>AGX26</f>
        <v/>
      </c>
      <c r="AHA14" s="82">
        <f>AGZ14</f>
        <v/>
      </c>
      <c r="AHB14" s="82">
        <f>AHA14</f>
        <v/>
      </c>
      <c r="AHC14" s="82">
        <f>AHB14</f>
        <v/>
      </c>
      <c r="AHD14" s="82">
        <f>AHC14</f>
        <v/>
      </c>
      <c r="AHE14" s="82">
        <f>AHD14</f>
        <v/>
      </c>
      <c r="AHF14" s="82">
        <f>AHE14</f>
        <v/>
      </c>
      <c r="AHG14" s="82">
        <f>AHF14</f>
        <v/>
      </c>
      <c r="AHH14" s="82">
        <f>AHG14</f>
        <v/>
      </c>
      <c r="AHI14" s="82">
        <f>AHH14</f>
        <v/>
      </c>
      <c r="AHJ14" s="82">
        <f>AHI14</f>
        <v/>
      </c>
      <c r="AHK14" s="82" t="n">
        <v>0</v>
      </c>
      <c r="AHL14" s="82">
        <f>AHK14</f>
        <v/>
      </c>
      <c r="AHM14" s="82">
        <f>AHL14</f>
        <v/>
      </c>
      <c r="AHN14" s="82">
        <f>AHM14</f>
        <v/>
      </c>
      <c r="AHO14" s="82">
        <f>AHN14</f>
        <v/>
      </c>
      <c r="AHP14" s="82">
        <f>AHO14</f>
        <v/>
      </c>
      <c r="AHQ14" s="82">
        <f>AHP14</f>
        <v/>
      </c>
      <c r="AHR14" s="82">
        <f>AHQ14</f>
        <v/>
      </c>
      <c r="AHS14" s="82">
        <f>AHR14</f>
        <v/>
      </c>
      <c r="AHT14" s="82">
        <f>AHS14</f>
        <v/>
      </c>
      <c r="AHU14" s="82">
        <f>AHT14</f>
        <v/>
      </c>
      <c r="AHV14" s="82">
        <f>AHU14</f>
        <v/>
      </c>
      <c r="AHW14" s="82">
        <f>AHV14</f>
        <v/>
      </c>
      <c r="AHX14" s="82">
        <f>AHW14</f>
        <v/>
      </c>
      <c r="AHY14" s="82">
        <f>AHX14</f>
        <v/>
      </c>
      <c r="AHZ14" s="82">
        <f>AHY14</f>
        <v/>
      </c>
      <c r="AIA14" s="82">
        <f>AHZ14</f>
        <v/>
      </c>
      <c r="AIB14" s="82">
        <f>AIA14</f>
        <v/>
      </c>
      <c r="AIC14" s="82">
        <f>AIB14</f>
        <v/>
      </c>
      <c r="AID14" s="82">
        <f>AIC14</f>
        <v/>
      </c>
      <c r="AIE14" s="130" t="n"/>
      <c r="AIF14" s="82">
        <f>AIE14</f>
        <v/>
      </c>
      <c r="AIG14" s="82">
        <f>AIF14</f>
        <v/>
      </c>
      <c r="AIH14" s="82">
        <f>AIG14</f>
        <v/>
      </c>
      <c r="AII14" s="82">
        <f>AIH14</f>
        <v/>
      </c>
      <c r="AIJ14" s="82">
        <f>AII14</f>
        <v/>
      </c>
      <c r="AIK14" s="82">
        <f>AIJ14</f>
        <v/>
      </c>
      <c r="AIL14" s="82">
        <f>AIK14</f>
        <v/>
      </c>
      <c r="AIM14" s="82">
        <f>AIL14</f>
        <v/>
      </c>
      <c r="AIN14" s="82">
        <f>AIM14</f>
        <v/>
      </c>
      <c r="AIO14" s="82">
        <f>AIN14</f>
        <v/>
      </c>
      <c r="AIP14" s="82">
        <f>AIO14</f>
        <v/>
      </c>
      <c r="AIQ14" s="82">
        <f>AIP14</f>
        <v/>
      </c>
      <c r="AIR14" s="82">
        <f>AIQ14</f>
        <v/>
      </c>
      <c r="AIS14" s="82">
        <f>AIR14</f>
        <v/>
      </c>
      <c r="AIT14" s="82">
        <f>AIS14</f>
        <v/>
      </c>
      <c r="AIU14" s="82">
        <f>AIT14</f>
        <v/>
      </c>
      <c r="AIV14" s="82">
        <f>AIU14</f>
        <v/>
      </c>
      <c r="AIW14" s="82">
        <f>AIV14</f>
        <v/>
      </c>
      <c r="AIX14" s="82">
        <f>AIW14</f>
        <v/>
      </c>
      <c r="AIY14" s="82">
        <f>AIX14</f>
        <v/>
      </c>
      <c r="AIZ14" s="82">
        <f>AIY14</f>
        <v/>
      </c>
      <c r="AJA14" s="82">
        <f>AIZ14</f>
        <v/>
      </c>
      <c r="AJB14" s="82">
        <f>AJA14</f>
        <v/>
      </c>
      <c r="AJC14" s="82">
        <f>AJB14</f>
        <v/>
      </c>
      <c r="AJD14" s="82">
        <f>AJC14</f>
        <v/>
      </c>
      <c r="AJE14" s="82">
        <f>AJD14</f>
        <v/>
      </c>
      <c r="AJF14" s="82">
        <f>AJE14</f>
        <v/>
      </c>
      <c r="AJG14" s="82">
        <f>AJF14</f>
        <v/>
      </c>
      <c r="AJH14" s="82">
        <f>AJG14</f>
        <v/>
      </c>
      <c r="AJI14" s="82">
        <f>AJH14</f>
        <v/>
      </c>
      <c r="AJJ14" s="82">
        <f>AJI14</f>
        <v/>
      </c>
      <c r="AJK14" s="145" t="n"/>
      <c r="AJL14" s="82">
        <f>AJK14</f>
        <v/>
      </c>
      <c r="AJM14" s="82">
        <f>AJL14</f>
        <v/>
      </c>
      <c r="AJN14" s="82">
        <f>AJM14</f>
        <v/>
      </c>
      <c r="AJO14" s="82">
        <f>AJN14</f>
        <v/>
      </c>
      <c r="AJP14" s="82">
        <f>AJO14</f>
        <v/>
      </c>
      <c r="AJQ14" s="82">
        <f>AJP14</f>
        <v/>
      </c>
      <c r="AJR14" s="82">
        <f>AJQ14</f>
        <v/>
      </c>
      <c r="AJS14" s="82">
        <f>AJR14</f>
        <v/>
      </c>
      <c r="AJT14" s="82">
        <f>AJS14</f>
        <v/>
      </c>
      <c r="AJU14" s="82">
        <f>AJT14</f>
        <v/>
      </c>
      <c r="AJV14" s="82">
        <f>AJU14</f>
        <v/>
      </c>
      <c r="AJW14" s="82">
        <f>AJV14</f>
        <v/>
      </c>
      <c r="AJX14" s="82">
        <f>AJW14</f>
        <v/>
      </c>
      <c r="AJY14" s="82">
        <f>AJX14</f>
        <v/>
      </c>
      <c r="AJZ14" s="82">
        <f>AJY14</f>
        <v/>
      </c>
      <c r="AKA14" s="82">
        <f>AJZ14</f>
        <v/>
      </c>
      <c r="AKB14" s="82">
        <f>AKA14</f>
        <v/>
      </c>
      <c r="AKC14" s="82">
        <f>AKB14</f>
        <v/>
      </c>
      <c r="AKD14" s="82">
        <f>AKC14</f>
        <v/>
      </c>
      <c r="AKE14" s="82">
        <f>AKD14</f>
        <v/>
      </c>
      <c r="AKF14" s="82">
        <f>AKE14</f>
        <v/>
      </c>
      <c r="AKG14" s="82">
        <f>AKF14</f>
        <v/>
      </c>
      <c r="AKH14" s="82">
        <f>AKG14</f>
        <v/>
      </c>
      <c r="AKI14" s="82">
        <f>AKH14</f>
        <v/>
      </c>
      <c r="AKJ14" s="82">
        <f>AKI14</f>
        <v/>
      </c>
      <c r="AKK14" s="82">
        <f>AKJ14</f>
        <v/>
      </c>
      <c r="AKL14" s="82">
        <f>AKK14</f>
        <v/>
      </c>
      <c r="AKM14" s="82">
        <f>AKL14</f>
        <v/>
      </c>
      <c r="AKN14" s="112" t="n"/>
      <c r="AKO14" s="82">
        <f>AKN14</f>
        <v/>
      </c>
      <c r="AKP14" s="82">
        <f>AKO14</f>
        <v/>
      </c>
      <c r="AKQ14" s="82">
        <f>AKP14</f>
        <v/>
      </c>
      <c r="AKR14" s="82">
        <f>AKQ14</f>
        <v/>
      </c>
      <c r="AKS14" s="82">
        <f>AKR14</f>
        <v/>
      </c>
      <c r="AKT14" s="82">
        <f>AKS14</f>
        <v/>
      </c>
      <c r="AKU14" s="82" t="n"/>
      <c r="AKV14" s="82">
        <f>AKU14</f>
        <v/>
      </c>
      <c r="AKW14" s="82">
        <f>AKV14</f>
        <v/>
      </c>
      <c r="AKX14" s="82">
        <f>AKW14</f>
        <v/>
      </c>
      <c r="AKY14" s="82">
        <f>AKX14</f>
        <v/>
      </c>
      <c r="AKZ14" s="82">
        <f>AKY14</f>
        <v/>
      </c>
      <c r="ALA14" s="82">
        <f>AKZ14</f>
        <v/>
      </c>
      <c r="ALB14" s="82">
        <f>ALA14</f>
        <v/>
      </c>
      <c r="ALC14" s="82">
        <f>ALB14</f>
        <v/>
      </c>
      <c r="ALD14" s="82">
        <f>ALC14</f>
        <v/>
      </c>
      <c r="ALE14" s="82">
        <f>ALD14</f>
        <v/>
      </c>
      <c r="ALF14" s="82">
        <f>ALE14</f>
        <v/>
      </c>
      <c r="ALG14" s="82">
        <f>ALF14</f>
        <v/>
      </c>
      <c r="ALH14" s="82">
        <f>ALG14</f>
        <v/>
      </c>
      <c r="ALI14" s="82">
        <f>ALH14</f>
        <v/>
      </c>
      <c r="ALJ14" s="82">
        <f>ALI14</f>
        <v/>
      </c>
      <c r="ALK14" s="82">
        <f>ALJ14</f>
        <v/>
      </c>
      <c r="ALL14" s="82">
        <f>ALK14</f>
        <v/>
      </c>
      <c r="ALM14" s="82">
        <f>ALL14</f>
        <v/>
      </c>
      <c r="ALN14" s="82">
        <f>ALM14</f>
        <v/>
      </c>
      <c r="ALO14" s="82">
        <f>ALN14</f>
        <v/>
      </c>
      <c r="ALP14" s="82">
        <f>ALO14</f>
        <v/>
      </c>
      <c r="ALQ14" s="82">
        <f>ALP14</f>
        <v/>
      </c>
      <c r="ALR14" s="82">
        <f>ALQ14</f>
        <v/>
      </c>
      <c r="ALS14" s="82">
        <f>ALR14</f>
        <v/>
      </c>
      <c r="ALT14" s="130" t="n"/>
      <c r="ALU14" s="82">
        <f>ALT14</f>
        <v/>
      </c>
      <c r="ALV14" s="82">
        <f>ALU14</f>
        <v/>
      </c>
      <c r="ALW14" s="82">
        <f>ALV14</f>
        <v/>
      </c>
      <c r="ALX14" s="82">
        <f>ALW14</f>
        <v/>
      </c>
      <c r="ALY14" s="82">
        <f>ALX14</f>
        <v/>
      </c>
      <c r="ALZ14" s="82">
        <f>ALY14</f>
        <v/>
      </c>
      <c r="AMA14" s="82">
        <f>ALZ14</f>
        <v/>
      </c>
      <c r="AMB14" s="82">
        <f>AMA14</f>
        <v/>
      </c>
      <c r="AMC14" s="82">
        <f>AMB14</f>
        <v/>
      </c>
      <c r="AMD14" s="82">
        <f>AMC14</f>
        <v/>
      </c>
      <c r="AME14" s="82">
        <f>AMD14</f>
        <v/>
      </c>
      <c r="AMF14" s="82">
        <f>AME14</f>
        <v/>
      </c>
      <c r="AMG14" s="82">
        <f>AMF14</f>
        <v/>
      </c>
      <c r="AMH14" s="82">
        <f>AMG14</f>
        <v/>
      </c>
      <c r="AMI14" s="82">
        <f>AMH14</f>
        <v/>
      </c>
      <c r="AMJ14" s="82">
        <f>AMI14</f>
        <v/>
      </c>
      <c r="AMK14" s="82">
        <f>AMJ14</f>
        <v/>
      </c>
      <c r="AML14" s="82">
        <f>AMK14</f>
        <v/>
      </c>
      <c r="AMM14" s="82">
        <f>AML14</f>
        <v/>
      </c>
      <c r="AMN14" s="82">
        <f>AMM14</f>
        <v/>
      </c>
      <c r="AMO14" s="82">
        <f>AMN14</f>
        <v/>
      </c>
      <c r="AMP14" s="82">
        <f>AMO14</f>
        <v/>
      </c>
      <c r="AMQ14" s="82">
        <f>AMP14</f>
        <v/>
      </c>
      <c r="AMR14" s="82">
        <f>AMQ14</f>
        <v/>
      </c>
      <c r="AMS14" s="82">
        <f>AMR14</f>
        <v/>
      </c>
      <c r="AMT14" s="82">
        <f>AMS14</f>
        <v/>
      </c>
      <c r="AMU14" s="82">
        <f>AMT14</f>
        <v/>
      </c>
      <c r="AMV14" s="82">
        <f>AMU14</f>
        <v/>
      </c>
      <c r="AMW14" s="82">
        <f>AMV14</f>
        <v/>
      </c>
      <c r="AMX14" s="82">
        <f>AMW14</f>
        <v/>
      </c>
      <c r="AMY14" s="130" t="n"/>
      <c r="AMZ14" s="82" t="n">
        <v>10000</v>
      </c>
      <c r="ANA14" s="82" t="n">
        <v>10000</v>
      </c>
      <c r="ANB14" s="82" t="n">
        <v>10000</v>
      </c>
      <c r="ANC14" s="82" t="n">
        <v>10000</v>
      </c>
      <c r="AND14" s="82" t="n">
        <v>10000</v>
      </c>
      <c r="ANE14" s="82" t="n">
        <v>10000</v>
      </c>
      <c r="ANF14" s="82" t="n">
        <v>10000</v>
      </c>
      <c r="ANG14" s="82" t="n">
        <v>10000</v>
      </c>
      <c r="ANH14" s="82" t="n">
        <v>10000</v>
      </c>
      <c r="ANI14" s="82" t="n">
        <v>10000</v>
      </c>
      <c r="ANJ14" s="82" t="n">
        <v>10000</v>
      </c>
      <c r="ANK14" s="82" t="n">
        <v>10000</v>
      </c>
      <c r="ANL14" s="82" t="n">
        <v>0</v>
      </c>
      <c r="ANM14" s="82" t="n">
        <v>0</v>
      </c>
      <c r="ANN14" s="82" t="n">
        <v>0</v>
      </c>
      <c r="ANO14" s="82" t="n">
        <v>0</v>
      </c>
      <c r="ANP14" s="82" t="n">
        <v>0</v>
      </c>
      <c r="ANQ14" s="82" t="n">
        <v>0</v>
      </c>
      <c r="ANR14" s="82" t="n">
        <v>0</v>
      </c>
      <c r="ANS14" s="82" t="n">
        <v>0</v>
      </c>
      <c r="ANT14" s="82" t="n">
        <v>0</v>
      </c>
      <c r="ANU14" s="82" t="n"/>
      <c r="ANV14" s="82" t="n">
        <v>0</v>
      </c>
      <c r="ANW14" s="82" t="n">
        <v>0</v>
      </c>
      <c r="ANX14" s="82" t="n">
        <v>0</v>
      </c>
      <c r="ANY14" s="82" t="n">
        <v>0</v>
      </c>
      <c r="ANZ14" s="82" t="n">
        <v>0</v>
      </c>
      <c r="AOA14" s="82" t="n">
        <v>0</v>
      </c>
      <c r="AOB14" s="82" t="n">
        <v>0</v>
      </c>
      <c r="AOC14" s="82" t="n">
        <v>0</v>
      </c>
    </row>
    <row r="15">
      <c r="B15" t="inlineStr">
        <is>
          <t>Md fuel</t>
        </is>
      </c>
      <c r="C15" s="52" t="n">
        <v>47842645</v>
      </c>
      <c r="D15" s="52">
        <f>C15</f>
        <v/>
      </c>
      <c r="E15" s="52" t="n">
        <v>0</v>
      </c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67" t="n"/>
      <c r="AI15" s="82">
        <f>AH27</f>
        <v/>
      </c>
      <c r="AJ15" s="82">
        <f>AI15</f>
        <v/>
      </c>
      <c r="AK15" s="82">
        <f>AJ15</f>
        <v/>
      </c>
      <c r="AL15" s="82">
        <f>AK15</f>
        <v/>
      </c>
      <c r="AM15" s="82">
        <f>AL15</f>
        <v/>
      </c>
      <c r="AN15" s="82">
        <f>AM15</f>
        <v/>
      </c>
      <c r="AO15" s="82">
        <f>AN15</f>
        <v/>
      </c>
      <c r="AP15" s="82">
        <f>AO15</f>
        <v/>
      </c>
      <c r="AQ15" s="82">
        <f>AP15</f>
        <v/>
      </c>
      <c r="AR15" s="82">
        <f>AQ15</f>
        <v/>
      </c>
      <c r="AS15" s="82" t="n">
        <v>0</v>
      </c>
      <c r="BM15" s="106">
        <f>BL27</f>
        <v/>
      </c>
      <c r="BN15" s="82">
        <f>BM15</f>
        <v/>
      </c>
      <c r="BO15" s="82">
        <f>BN15</f>
        <v/>
      </c>
      <c r="BP15" s="82">
        <f>BO15</f>
        <v/>
      </c>
      <c r="BQ15" s="82">
        <f>BP15</f>
        <v/>
      </c>
      <c r="BR15" s="82">
        <f>BQ15</f>
        <v/>
      </c>
      <c r="BS15" s="82">
        <f>BR15</f>
        <v/>
      </c>
      <c r="BT15" s="82">
        <f>BS15</f>
        <v/>
      </c>
      <c r="BU15" s="82">
        <f>BT15</f>
        <v/>
      </c>
      <c r="BV15" s="82">
        <f>BU15</f>
        <v/>
      </c>
      <c r="BW15" s="82">
        <f>BV15</f>
        <v/>
      </c>
      <c r="BX15" s="82">
        <f>BW15</f>
        <v/>
      </c>
      <c r="BY15" s="82">
        <f>BX15</f>
        <v/>
      </c>
      <c r="BZ15" s="82">
        <f>BY15</f>
        <v/>
      </c>
      <c r="CA15" s="82" t="n">
        <v>0</v>
      </c>
      <c r="CB15" s="82">
        <f>CA15</f>
        <v/>
      </c>
      <c r="CC15" s="82">
        <f>CB15</f>
        <v/>
      </c>
      <c r="CD15" s="82">
        <f>CC15</f>
        <v/>
      </c>
      <c r="CE15" s="82">
        <f>CD15</f>
        <v/>
      </c>
      <c r="CF15" s="82">
        <f>CE15</f>
        <v/>
      </c>
      <c r="CG15" s="82">
        <f>CF15</f>
        <v/>
      </c>
      <c r="CH15" s="82">
        <f>CG15</f>
        <v/>
      </c>
      <c r="CI15" s="82">
        <f>CH15</f>
        <v/>
      </c>
      <c r="CJ15" s="82">
        <f>CI15</f>
        <v/>
      </c>
      <c r="CK15" s="82">
        <f>CJ15</f>
        <v/>
      </c>
      <c r="CL15" s="82">
        <f>CK15</f>
        <v/>
      </c>
      <c r="CM15" s="82">
        <f>CL15</f>
        <v/>
      </c>
      <c r="CN15" s="82">
        <f>CM15</f>
        <v/>
      </c>
      <c r="CO15" s="82">
        <f>CN15</f>
        <v/>
      </c>
      <c r="CP15" s="82">
        <f>CO15</f>
        <v/>
      </c>
      <c r="CQ15" s="82">
        <f>CP15</f>
        <v/>
      </c>
      <c r="CR15" s="82">
        <f>CQ15</f>
        <v/>
      </c>
      <c r="CT15" s="82">
        <f>CR27</f>
        <v/>
      </c>
      <c r="CU15" s="82">
        <f>CT15</f>
        <v/>
      </c>
      <c r="CV15" s="82">
        <f>CT15</f>
        <v/>
      </c>
      <c r="CW15" s="82" t="n">
        <v>0</v>
      </c>
      <c r="CX15" s="82">
        <f>CW15</f>
        <v/>
      </c>
      <c r="CY15" s="82">
        <f>CW15</f>
        <v/>
      </c>
      <c r="CZ15" s="82">
        <f>CX15</f>
        <v/>
      </c>
      <c r="DA15" s="82">
        <f>CY15</f>
        <v/>
      </c>
      <c r="DB15" s="82">
        <f>CZ15</f>
        <v/>
      </c>
      <c r="DC15" s="82">
        <f>DA15</f>
        <v/>
      </c>
      <c r="DD15" s="82">
        <f>DB15</f>
        <v/>
      </c>
      <c r="DE15" s="82">
        <f>DC15</f>
        <v/>
      </c>
      <c r="DF15" s="82">
        <f>DD15</f>
        <v/>
      </c>
      <c r="DG15" s="82">
        <f>DE15</f>
        <v/>
      </c>
      <c r="DH15" s="82">
        <f>DF15</f>
        <v/>
      </c>
      <c r="DI15" s="82">
        <f>DG15</f>
        <v/>
      </c>
      <c r="DJ15" s="82">
        <f>DH15</f>
        <v/>
      </c>
      <c r="DK15" s="82">
        <f>DI15</f>
        <v/>
      </c>
      <c r="DL15" s="82">
        <f>DJ15</f>
        <v/>
      </c>
      <c r="DM15" s="82">
        <f>DK15</f>
        <v/>
      </c>
      <c r="DN15" s="82">
        <f>DL15</f>
        <v/>
      </c>
      <c r="DO15" s="82">
        <f>DM15</f>
        <v/>
      </c>
      <c r="DP15" s="82">
        <f>DN15</f>
        <v/>
      </c>
      <c r="DQ15" s="82">
        <f>DO15</f>
        <v/>
      </c>
      <c r="DR15" s="82">
        <f>DP15</f>
        <v/>
      </c>
      <c r="DS15" s="82">
        <f>DQ15</f>
        <v/>
      </c>
      <c r="DT15" s="82">
        <f>DR15</f>
        <v/>
      </c>
      <c r="DU15" s="82">
        <f>DS15</f>
        <v/>
      </c>
      <c r="DV15" s="82">
        <f>DT15</f>
        <v/>
      </c>
      <c r="DW15" s="82">
        <f>DU15</f>
        <v/>
      </c>
      <c r="DX15" s="117" t="n"/>
      <c r="DY15" s="82">
        <f>DW27</f>
        <v/>
      </c>
      <c r="DZ15" s="82">
        <f>DY15</f>
        <v/>
      </c>
      <c r="EA15" s="82">
        <f>DZ15</f>
        <v/>
      </c>
      <c r="EB15" s="82">
        <f>EA15</f>
        <v/>
      </c>
      <c r="EC15" s="82">
        <f>EB15</f>
        <v/>
      </c>
      <c r="ED15" s="82">
        <f>EC15</f>
        <v/>
      </c>
      <c r="EE15" s="82">
        <f>ED15</f>
        <v/>
      </c>
      <c r="EF15" s="82">
        <f>EE15</f>
        <v/>
      </c>
      <c r="EG15" s="82">
        <f>EF15</f>
        <v/>
      </c>
      <c r="EH15" s="82">
        <f>EG15</f>
        <v/>
      </c>
      <c r="EI15" s="82" t="n">
        <v>0</v>
      </c>
      <c r="EJ15" s="82" t="n">
        <v>0</v>
      </c>
      <c r="EK15" s="82" t="n">
        <v>0</v>
      </c>
      <c r="EL15" s="82" t="n">
        <v>0</v>
      </c>
      <c r="EM15" s="82" t="n">
        <v>0</v>
      </c>
      <c r="EN15" s="82" t="n">
        <v>0</v>
      </c>
      <c r="EO15" s="82" t="n">
        <v>0</v>
      </c>
      <c r="EP15" s="82" t="n">
        <v>0</v>
      </c>
      <c r="EQ15" s="82" t="n">
        <v>0</v>
      </c>
      <c r="ER15" s="82" t="n">
        <v>0</v>
      </c>
      <c r="ES15" s="82" t="n">
        <v>0</v>
      </c>
      <c r="ET15" s="82" t="n">
        <v>0</v>
      </c>
      <c r="EU15" s="82" t="n">
        <v>0</v>
      </c>
      <c r="EV15" s="82" t="n">
        <v>0</v>
      </c>
      <c r="EW15" s="82" t="n">
        <v>0</v>
      </c>
      <c r="EX15" s="82" t="n">
        <v>0</v>
      </c>
      <c r="EY15" s="82" t="n">
        <v>0</v>
      </c>
      <c r="EZ15" s="82" t="n">
        <v>0</v>
      </c>
      <c r="FA15" s="82" t="n">
        <v>0</v>
      </c>
      <c r="FB15" s="82" t="n">
        <v>0</v>
      </c>
      <c r="FC15" s="82" t="n">
        <v>0</v>
      </c>
      <c r="FD15" s="126" t="n"/>
      <c r="FE15" s="82">
        <f>FC27</f>
        <v/>
      </c>
      <c r="FF15" s="82">
        <f>FE15</f>
        <v/>
      </c>
      <c r="FG15" s="82">
        <f>FF15</f>
        <v/>
      </c>
      <c r="FH15" s="82" t="n">
        <v>0</v>
      </c>
      <c r="FI15" s="82" t="n">
        <v>0</v>
      </c>
      <c r="FJ15" s="82" t="n">
        <v>0</v>
      </c>
      <c r="FK15" s="82" t="n">
        <v>0</v>
      </c>
      <c r="FL15" s="82" t="n">
        <v>0</v>
      </c>
      <c r="FM15" s="82" t="n">
        <v>0</v>
      </c>
      <c r="FN15" s="82" t="n">
        <v>0</v>
      </c>
      <c r="FO15" s="82" t="n">
        <v>0</v>
      </c>
      <c r="FP15" s="82" t="n">
        <v>0</v>
      </c>
      <c r="FQ15" s="82" t="n">
        <v>0</v>
      </c>
      <c r="FR15" s="82" t="n">
        <v>0</v>
      </c>
      <c r="FS15" s="82" t="n">
        <v>0</v>
      </c>
      <c r="FT15" s="82" t="n">
        <v>0</v>
      </c>
      <c r="FU15" s="82" t="n">
        <v>0</v>
      </c>
      <c r="FV15" s="82" t="n">
        <v>0</v>
      </c>
      <c r="FW15" s="82" t="n">
        <v>0</v>
      </c>
      <c r="FX15" s="82" t="n">
        <v>0</v>
      </c>
      <c r="FY15" s="82" t="n">
        <v>0</v>
      </c>
      <c r="FZ15" s="82" t="n">
        <v>0</v>
      </c>
      <c r="GA15" s="82" t="n">
        <v>0</v>
      </c>
      <c r="GB15" s="82" t="n">
        <v>0</v>
      </c>
      <c r="GC15" s="82" t="n">
        <v>0</v>
      </c>
      <c r="GD15" s="82" t="n">
        <v>0</v>
      </c>
      <c r="GE15" s="82" t="n">
        <v>0</v>
      </c>
      <c r="GF15" s="82" t="n">
        <v>0</v>
      </c>
      <c r="GG15" s="82" t="n">
        <v>0</v>
      </c>
      <c r="GH15" s="82" t="n">
        <v>0</v>
      </c>
      <c r="GI15" s="82" t="n">
        <v>0</v>
      </c>
      <c r="GJ15" s="130" t="n"/>
      <c r="GK15" s="82">
        <f>GI27</f>
        <v/>
      </c>
      <c r="GL15" s="82">
        <f>GK15</f>
        <v/>
      </c>
      <c r="GM15" s="82">
        <f>GL15</f>
        <v/>
      </c>
      <c r="GN15" s="82">
        <f>GM15</f>
        <v/>
      </c>
      <c r="GO15" s="82">
        <f>GN15</f>
        <v/>
      </c>
      <c r="GP15" s="82">
        <f>GO15</f>
        <v/>
      </c>
      <c r="GQ15" s="82">
        <f>GP15</f>
        <v/>
      </c>
      <c r="GR15" s="82">
        <f>GQ15</f>
        <v/>
      </c>
      <c r="GS15" s="82">
        <f>GR15</f>
        <v/>
      </c>
      <c r="GT15" s="82">
        <f>GS15</f>
        <v/>
      </c>
      <c r="GU15" s="82" t="n">
        <v>0</v>
      </c>
      <c r="GV15" s="82" t="n">
        <v>0</v>
      </c>
      <c r="GW15" s="82" t="n">
        <v>0</v>
      </c>
      <c r="GX15" s="82" t="n">
        <v>0</v>
      </c>
      <c r="GY15" s="82" t="n">
        <v>0</v>
      </c>
      <c r="GZ15" s="82" t="n">
        <v>0</v>
      </c>
      <c r="HA15" s="82" t="n">
        <v>0</v>
      </c>
      <c r="HB15" s="82" t="n">
        <v>0</v>
      </c>
      <c r="HC15" s="82" t="n">
        <v>0</v>
      </c>
      <c r="HD15" s="82" t="n">
        <v>0</v>
      </c>
      <c r="HE15" s="82" t="n">
        <v>0</v>
      </c>
      <c r="HF15" s="82" t="n">
        <v>0</v>
      </c>
      <c r="HG15" s="82" t="n">
        <v>0</v>
      </c>
      <c r="HH15" s="82" t="n">
        <v>0</v>
      </c>
      <c r="HI15" s="82" t="n">
        <v>0</v>
      </c>
      <c r="HJ15" s="82" t="n">
        <v>0</v>
      </c>
      <c r="HK15" s="82" t="n">
        <v>0</v>
      </c>
      <c r="HL15" s="82" t="n">
        <v>0</v>
      </c>
      <c r="HM15" s="82" t="n">
        <v>0</v>
      </c>
      <c r="HN15" s="130" t="n"/>
      <c r="HO15" s="113" t="n">
        <v>32897515</v>
      </c>
      <c r="HP15" s="113" t="n">
        <v>32897515</v>
      </c>
      <c r="HQ15" s="113" t="n">
        <v>32897515</v>
      </c>
      <c r="HR15" s="113" t="n">
        <v>32897515</v>
      </c>
      <c r="HS15" s="113" t="n">
        <v>32897515</v>
      </c>
      <c r="HT15" s="113" t="n">
        <v>32897515</v>
      </c>
      <c r="HU15" s="113" t="n">
        <v>0</v>
      </c>
      <c r="HV15" s="113" t="n">
        <v>0</v>
      </c>
      <c r="HW15" s="113" t="n">
        <v>0</v>
      </c>
      <c r="HX15" s="113" t="n">
        <v>0</v>
      </c>
      <c r="HY15" s="113" t="n">
        <v>0</v>
      </c>
      <c r="HZ15" s="113" t="n">
        <v>0</v>
      </c>
      <c r="IA15" s="113" t="n">
        <v>0</v>
      </c>
      <c r="IB15" s="113" t="n">
        <v>0</v>
      </c>
      <c r="IC15" s="113" t="n">
        <v>0</v>
      </c>
      <c r="ID15" s="113" t="n">
        <v>0</v>
      </c>
      <c r="IE15" s="113" t="n">
        <v>0</v>
      </c>
      <c r="IF15" s="113" t="n">
        <v>0</v>
      </c>
      <c r="IG15" s="113" t="n">
        <v>0</v>
      </c>
      <c r="IH15" s="113" t="n">
        <v>0</v>
      </c>
      <c r="II15" s="113" t="n">
        <v>0</v>
      </c>
      <c r="IJ15" s="113" t="n">
        <v>0</v>
      </c>
      <c r="IK15" s="113" t="n">
        <v>0</v>
      </c>
      <c r="IL15" s="113" t="n">
        <v>0</v>
      </c>
      <c r="IM15" s="113" t="n">
        <v>0</v>
      </c>
      <c r="IN15" s="113" t="n">
        <v>0</v>
      </c>
      <c r="IO15" s="113" t="n">
        <v>0</v>
      </c>
      <c r="IP15" s="113" t="n">
        <v>0</v>
      </c>
      <c r="IQ15" s="113" t="n">
        <v>0</v>
      </c>
      <c r="IR15" s="113" t="n">
        <v>0</v>
      </c>
      <c r="IS15" s="113" t="n">
        <v>0</v>
      </c>
      <c r="IT15" s="130" t="n"/>
      <c r="IU15" s="113">
        <f>IS27</f>
        <v/>
      </c>
      <c r="IV15" s="82">
        <f>IU15</f>
        <v/>
      </c>
      <c r="IW15" s="82" t="n">
        <v>0</v>
      </c>
      <c r="IX15" s="82">
        <f>IW15</f>
        <v/>
      </c>
      <c r="IY15" s="82">
        <f>IX15</f>
        <v/>
      </c>
      <c r="IZ15" s="82">
        <f>IY15</f>
        <v/>
      </c>
      <c r="JA15" s="82">
        <f>IZ15</f>
        <v/>
      </c>
      <c r="JB15" s="82">
        <f>JA15</f>
        <v/>
      </c>
      <c r="JC15" s="82">
        <f>JB15</f>
        <v/>
      </c>
      <c r="JD15" s="82">
        <f>JC15</f>
        <v/>
      </c>
      <c r="JE15" s="82">
        <f>JD15</f>
        <v/>
      </c>
      <c r="JF15" s="82">
        <f>JE15</f>
        <v/>
      </c>
      <c r="JG15" s="82">
        <f>JF15</f>
        <v/>
      </c>
      <c r="JH15" s="82">
        <f>JG15</f>
        <v/>
      </c>
      <c r="JI15" s="82">
        <f>JH15</f>
        <v/>
      </c>
      <c r="JJ15" s="82">
        <f>JI15</f>
        <v/>
      </c>
      <c r="JK15" s="82">
        <f>JJ15</f>
        <v/>
      </c>
      <c r="JL15" s="82">
        <f>JK15</f>
        <v/>
      </c>
      <c r="JM15" s="82">
        <f>JL15</f>
        <v/>
      </c>
      <c r="JN15" s="82">
        <f>JM15</f>
        <v/>
      </c>
      <c r="JO15" s="82">
        <f>JN15</f>
        <v/>
      </c>
      <c r="JP15" s="82">
        <f>JO15</f>
        <v/>
      </c>
      <c r="JQ15" s="82">
        <f>JP15</f>
        <v/>
      </c>
      <c r="JR15" s="82">
        <f>JQ15</f>
        <v/>
      </c>
      <c r="JS15" s="82">
        <f>JR15</f>
        <v/>
      </c>
      <c r="JT15" s="82">
        <f>JS15</f>
        <v/>
      </c>
      <c r="JU15" s="82">
        <f>JT15</f>
        <v/>
      </c>
      <c r="JV15" s="82">
        <f>JU15</f>
        <v/>
      </c>
      <c r="JW15" s="82">
        <f>JV15</f>
        <v/>
      </c>
      <c r="JX15" s="82">
        <f>JW15</f>
        <v/>
      </c>
      <c r="JY15" s="133" t="n"/>
      <c r="JZ15" s="82">
        <f>JX27</f>
        <v/>
      </c>
      <c r="KA15" s="82">
        <f>JZ15</f>
        <v/>
      </c>
      <c r="KB15" s="82">
        <f>KA15</f>
        <v/>
      </c>
      <c r="KC15" s="82">
        <f>KB15</f>
        <v/>
      </c>
      <c r="KD15" s="82">
        <f>KC15</f>
        <v/>
      </c>
      <c r="KE15" s="82">
        <f>KD15</f>
        <v/>
      </c>
      <c r="KF15" s="82">
        <f>KE15</f>
        <v/>
      </c>
      <c r="KG15" s="82" t="n">
        <v>0</v>
      </c>
      <c r="KH15" s="82" t="n">
        <v>0</v>
      </c>
      <c r="KI15" s="82" t="n">
        <v>0</v>
      </c>
      <c r="KJ15" s="82" t="n">
        <v>0</v>
      </c>
      <c r="KK15" s="82" t="n">
        <v>0</v>
      </c>
      <c r="KL15" s="82" t="n">
        <v>0</v>
      </c>
      <c r="KM15" s="82" t="n">
        <v>0</v>
      </c>
      <c r="KN15" s="82" t="n">
        <v>0</v>
      </c>
      <c r="KO15" s="82" t="n">
        <v>0</v>
      </c>
      <c r="KP15" s="82" t="n">
        <v>0</v>
      </c>
      <c r="KQ15" s="82" t="n">
        <v>0</v>
      </c>
      <c r="KR15" s="82" t="n">
        <v>0</v>
      </c>
      <c r="KS15" s="82" t="n">
        <v>0</v>
      </c>
      <c r="KT15" s="82" t="n">
        <v>0</v>
      </c>
      <c r="KU15" s="82" t="n">
        <v>0</v>
      </c>
      <c r="KV15" s="82" t="n">
        <v>0</v>
      </c>
      <c r="KW15" s="82" t="n">
        <v>0</v>
      </c>
      <c r="KX15" s="82" t="n">
        <v>0</v>
      </c>
      <c r="KY15" s="82" t="n">
        <v>0</v>
      </c>
      <c r="KZ15" s="82" t="n">
        <v>0</v>
      </c>
      <c r="LA15" s="82" t="n">
        <v>0</v>
      </c>
      <c r="LB15" s="82" t="n">
        <v>0</v>
      </c>
      <c r="LC15" s="82" t="n">
        <v>0</v>
      </c>
      <c r="LD15" s="82" t="n">
        <v>0</v>
      </c>
      <c r="LE15" s="130" t="n"/>
      <c r="LF15" s="82">
        <f>LD27</f>
        <v/>
      </c>
      <c r="LG15" s="82">
        <f>LF15</f>
        <v/>
      </c>
      <c r="LH15" s="82">
        <f>LG15</f>
        <v/>
      </c>
      <c r="LI15" s="82">
        <f>LH15</f>
        <v/>
      </c>
      <c r="LJ15" s="82">
        <f>LI15</f>
        <v/>
      </c>
      <c r="LK15" s="82">
        <f>LJ15</f>
        <v/>
      </c>
      <c r="LL15" s="82">
        <f>LK15</f>
        <v/>
      </c>
      <c r="LM15" s="82">
        <f>LL15</f>
        <v/>
      </c>
      <c r="LN15" s="82">
        <f>LM15</f>
        <v/>
      </c>
      <c r="LO15" s="82">
        <f>LN15</f>
        <v/>
      </c>
      <c r="LP15" s="82">
        <f>LO15</f>
        <v/>
      </c>
      <c r="LQ15" s="82">
        <f>LP15</f>
        <v/>
      </c>
      <c r="LR15" s="82" t="n">
        <v>0</v>
      </c>
      <c r="LS15" s="82">
        <f>LR15</f>
        <v/>
      </c>
      <c r="LT15" s="82">
        <f>LS15</f>
        <v/>
      </c>
      <c r="LU15" s="82">
        <f>LT15</f>
        <v/>
      </c>
      <c r="LV15" s="82">
        <f>LU15</f>
        <v/>
      </c>
      <c r="LW15" s="82">
        <f>LV15</f>
        <v/>
      </c>
      <c r="LX15" s="110" t="n">
        <v>255000</v>
      </c>
      <c r="LY15" s="82">
        <f>LX15</f>
        <v/>
      </c>
      <c r="LZ15" s="82">
        <f>LY15</f>
        <v/>
      </c>
      <c r="MA15" s="82">
        <f>LZ15</f>
        <v/>
      </c>
      <c r="MB15" s="82">
        <f>MA15</f>
        <v/>
      </c>
      <c r="MC15" s="82">
        <f>MB15</f>
        <v/>
      </c>
      <c r="MD15" s="82">
        <f>MC15</f>
        <v/>
      </c>
      <c r="ME15" s="82">
        <f>MD15</f>
        <v/>
      </c>
      <c r="MF15" s="82">
        <f>ME15</f>
        <v/>
      </c>
      <c r="MG15" s="82">
        <f>MF15</f>
        <v/>
      </c>
      <c r="MH15" s="82">
        <f>MG15</f>
        <v/>
      </c>
      <c r="MI15" s="82">
        <f>MH15</f>
        <v/>
      </c>
      <c r="MJ15" s="133" t="n"/>
      <c r="MK15" s="82">
        <f>MI15+MI27</f>
        <v/>
      </c>
      <c r="ML15" s="82">
        <f>MI27</f>
        <v/>
      </c>
      <c r="MM15" s="82">
        <f>ML15</f>
        <v/>
      </c>
      <c r="MN15" s="82">
        <f>MM15</f>
        <v/>
      </c>
      <c r="MO15" s="82">
        <f>MN15</f>
        <v/>
      </c>
      <c r="MP15" s="82">
        <f>MO15</f>
        <v/>
      </c>
      <c r="MQ15" s="82">
        <f>MP15</f>
        <v/>
      </c>
      <c r="MR15" s="82">
        <f>MQ15</f>
        <v/>
      </c>
      <c r="MS15" s="82">
        <f>MR15</f>
        <v/>
      </c>
      <c r="MT15" s="82">
        <f>MS15</f>
        <v/>
      </c>
      <c r="MU15" s="82">
        <f>MT15</f>
        <v/>
      </c>
      <c r="MV15" s="82">
        <f>MU15</f>
        <v/>
      </c>
      <c r="MW15" s="82">
        <f>MV15</f>
        <v/>
      </c>
      <c r="MX15" s="82">
        <f>MW15</f>
        <v/>
      </c>
      <c r="MY15" s="82">
        <f>MX15</f>
        <v/>
      </c>
      <c r="MZ15" s="82">
        <f>MY15</f>
        <v/>
      </c>
      <c r="NA15" s="82">
        <f>MZ15</f>
        <v/>
      </c>
      <c r="NB15" s="82">
        <f>NA15</f>
        <v/>
      </c>
      <c r="NC15" s="82">
        <f>NB15</f>
        <v/>
      </c>
      <c r="ND15" s="82">
        <f>NC15</f>
        <v/>
      </c>
      <c r="NE15" s="82">
        <f>ND15</f>
        <v/>
      </c>
      <c r="NF15" s="82">
        <f>NE15</f>
        <v/>
      </c>
      <c r="NG15" s="82">
        <f>NF15</f>
        <v/>
      </c>
      <c r="NH15" s="82" t="n">
        <v>0</v>
      </c>
      <c r="NI15" s="82" t="n">
        <v>0</v>
      </c>
      <c r="NJ15" s="82" t="n">
        <v>0</v>
      </c>
      <c r="NK15" s="82" t="n">
        <v>0</v>
      </c>
      <c r="NL15" s="82" t="n">
        <v>0</v>
      </c>
      <c r="NM15" s="82" t="n">
        <v>0</v>
      </c>
      <c r="NN15" s="82" t="n">
        <v>0</v>
      </c>
      <c r="NO15" s="82" t="n">
        <v>0</v>
      </c>
      <c r="NP15" s="133" t="n"/>
      <c r="NQ15" s="82">
        <f>NO27</f>
        <v/>
      </c>
      <c r="NR15" s="82">
        <f>NQ15</f>
        <v/>
      </c>
      <c r="NS15" s="82">
        <f>NR15</f>
        <v/>
      </c>
      <c r="NT15" s="82">
        <f>NS15</f>
        <v/>
      </c>
      <c r="NU15" s="82">
        <f>NT15</f>
        <v/>
      </c>
      <c r="NV15" s="82" t="n">
        <v>0</v>
      </c>
      <c r="NW15" s="82" t="n">
        <v>0</v>
      </c>
      <c r="NX15" s="82" t="n">
        <v>0</v>
      </c>
      <c r="NY15" s="82" t="n">
        <v>0</v>
      </c>
      <c r="NZ15" s="82" t="n">
        <v>0</v>
      </c>
      <c r="OA15" s="82" t="n">
        <v>0</v>
      </c>
      <c r="OB15" s="82" t="n">
        <v>0</v>
      </c>
      <c r="OC15" s="82" t="n">
        <v>0</v>
      </c>
      <c r="OD15" s="82" t="n">
        <v>0</v>
      </c>
      <c r="OE15" s="82" t="n">
        <v>0</v>
      </c>
      <c r="OF15" s="82" t="n">
        <v>0</v>
      </c>
      <c r="OG15" s="82" t="n">
        <v>0</v>
      </c>
      <c r="OH15" s="82" t="n">
        <v>0</v>
      </c>
      <c r="OI15" s="82" t="n">
        <v>0</v>
      </c>
      <c r="OJ15" s="82" t="n">
        <v>0</v>
      </c>
      <c r="OK15" s="82" t="n">
        <v>0</v>
      </c>
      <c r="OL15" s="82" t="n">
        <v>0</v>
      </c>
      <c r="OM15" s="82" t="n">
        <v>0</v>
      </c>
      <c r="ON15" s="82" t="n">
        <v>0</v>
      </c>
      <c r="OO15" s="82" t="n">
        <v>0</v>
      </c>
      <c r="OP15" s="82" t="n">
        <v>0</v>
      </c>
      <c r="OQ15" s="82" t="n">
        <v>0</v>
      </c>
      <c r="OR15" s="82" t="n">
        <v>0</v>
      </c>
      <c r="OS15" s="82" t="n">
        <v>0</v>
      </c>
      <c r="OT15" s="82" t="n">
        <v>0</v>
      </c>
      <c r="OU15" s="82" t="n">
        <v>0</v>
      </c>
      <c r="OV15" s="130" t="n"/>
      <c r="OW15" s="82">
        <f>OU27</f>
        <v/>
      </c>
      <c r="OX15" s="82">
        <f>OW15</f>
        <v/>
      </c>
      <c r="OY15" s="82">
        <f>OX15</f>
        <v/>
      </c>
      <c r="OZ15" s="82">
        <f>OY15</f>
        <v/>
      </c>
      <c r="PA15" s="82">
        <f>OZ15</f>
        <v/>
      </c>
      <c r="PB15" s="82">
        <f>PA15</f>
        <v/>
      </c>
      <c r="PC15" s="82">
        <f>PB15</f>
        <v/>
      </c>
      <c r="PD15" s="82">
        <f>PC15</f>
        <v/>
      </c>
      <c r="PE15" s="82">
        <f>PD15</f>
        <v/>
      </c>
      <c r="PF15" s="82">
        <f>PE15</f>
        <v/>
      </c>
      <c r="PG15" s="82">
        <f>PF15</f>
        <v/>
      </c>
      <c r="PH15" s="82" t="n">
        <v>0</v>
      </c>
      <c r="PI15" s="82" t="n">
        <v>0</v>
      </c>
      <c r="PJ15" s="82" t="n">
        <v>0</v>
      </c>
      <c r="PK15" s="82" t="n">
        <v>0</v>
      </c>
      <c r="PL15" s="82" t="n">
        <v>0</v>
      </c>
      <c r="PM15" s="82" t="n">
        <v>0</v>
      </c>
      <c r="PN15" s="82" t="n">
        <v>0</v>
      </c>
      <c r="PO15" s="82" t="n">
        <v>0</v>
      </c>
      <c r="PP15" s="82" t="n">
        <v>0</v>
      </c>
      <c r="PQ15" s="82" t="n">
        <v>0</v>
      </c>
      <c r="PR15" s="82" t="n">
        <v>0</v>
      </c>
      <c r="PS15" s="82" t="n">
        <v>0</v>
      </c>
      <c r="PT15" s="82">
        <f>PS15</f>
        <v/>
      </c>
      <c r="PU15" s="82" t="n">
        <v>0</v>
      </c>
      <c r="PV15" s="82" t="n">
        <v>0</v>
      </c>
      <c r="PW15" s="82" t="n">
        <v>0</v>
      </c>
      <c r="PX15" s="82" t="n">
        <v>0</v>
      </c>
      <c r="PY15" s="82" t="n">
        <v>0</v>
      </c>
      <c r="PZ15" s="82" t="n">
        <v>0</v>
      </c>
      <c r="QA15" s="130" t="n"/>
      <c r="QB15" s="82">
        <f>PZ27</f>
        <v/>
      </c>
      <c r="QC15" s="82">
        <f>QB15</f>
        <v/>
      </c>
      <c r="QD15" s="82">
        <f>QC15</f>
        <v/>
      </c>
      <c r="QE15" s="82">
        <f>QD15</f>
        <v/>
      </c>
      <c r="QF15" s="82">
        <f>QE15</f>
        <v/>
      </c>
      <c r="QG15" s="82">
        <f>QF15</f>
        <v/>
      </c>
      <c r="QH15" s="82" t="n">
        <v>0</v>
      </c>
      <c r="QI15" s="82">
        <f>QH15</f>
        <v/>
      </c>
      <c r="QJ15" s="82">
        <f>QI15</f>
        <v/>
      </c>
      <c r="QK15" s="82">
        <f>QJ15</f>
        <v/>
      </c>
      <c r="QL15" s="82">
        <f>QK15</f>
        <v/>
      </c>
      <c r="QM15" s="82">
        <f>QL15</f>
        <v/>
      </c>
      <c r="QN15" s="82">
        <f>QM15</f>
        <v/>
      </c>
      <c r="QO15" s="82">
        <f>QN15</f>
        <v/>
      </c>
      <c r="QP15" s="82">
        <f>QO15</f>
        <v/>
      </c>
      <c r="QQ15" s="82">
        <f>QP15</f>
        <v/>
      </c>
      <c r="QR15" s="82">
        <f>QQ15</f>
        <v/>
      </c>
      <c r="QS15" s="82">
        <f>QR15</f>
        <v/>
      </c>
      <c r="QT15" s="82">
        <f>QS15</f>
        <v/>
      </c>
      <c r="QU15" s="82">
        <f>QT15</f>
        <v/>
      </c>
      <c r="QV15" s="82">
        <f>QU15</f>
        <v/>
      </c>
      <c r="QW15" s="82">
        <f>QV15</f>
        <v/>
      </c>
      <c r="QX15" s="82">
        <f>QW15</f>
        <v/>
      </c>
      <c r="QY15" s="82">
        <f>QX15</f>
        <v/>
      </c>
      <c r="QZ15" s="82">
        <f>QY15</f>
        <v/>
      </c>
      <c r="RA15" s="82">
        <f>QZ15</f>
        <v/>
      </c>
      <c r="RB15" s="82">
        <f>RA15</f>
        <v/>
      </c>
      <c r="RC15" s="82">
        <f>RB15</f>
        <v/>
      </c>
      <c r="RD15" s="82">
        <f>RC15</f>
        <v/>
      </c>
      <c r="RE15" s="82" t="n">
        <v>346811</v>
      </c>
      <c r="RF15" s="82">
        <f>RE15</f>
        <v/>
      </c>
      <c r="RG15" s="130" t="n"/>
      <c r="RH15" s="82">
        <f>RF15</f>
        <v/>
      </c>
      <c r="RI15" s="82">
        <f>RH15</f>
        <v/>
      </c>
      <c r="RJ15" s="82">
        <f>RI15</f>
        <v/>
      </c>
      <c r="RK15" s="82">
        <f>RJ15</f>
        <v/>
      </c>
      <c r="RL15" s="82">
        <f>RK15</f>
        <v/>
      </c>
      <c r="RM15" s="82">
        <f>RL15</f>
        <v/>
      </c>
      <c r="RN15" s="82">
        <f>RM15</f>
        <v/>
      </c>
      <c r="RO15" s="82">
        <f>RN15</f>
        <v/>
      </c>
      <c r="RP15" s="82">
        <f>RO15</f>
        <v/>
      </c>
      <c r="RQ15" s="82">
        <f>RP15</f>
        <v/>
      </c>
      <c r="RR15" s="82">
        <f>RQ15</f>
        <v/>
      </c>
      <c r="RS15" s="82">
        <f>RR15</f>
        <v/>
      </c>
      <c r="RT15" s="82">
        <f>RS15</f>
        <v/>
      </c>
      <c r="RU15" s="82">
        <f>RT15</f>
        <v/>
      </c>
      <c r="RV15" s="82">
        <f>RU15</f>
        <v/>
      </c>
      <c r="RW15" s="82">
        <f>RV15</f>
        <v/>
      </c>
      <c r="RX15" s="82">
        <f>RW15</f>
        <v/>
      </c>
      <c r="RY15" s="82">
        <f>RX15</f>
        <v/>
      </c>
      <c r="RZ15" s="82">
        <f>RY15</f>
        <v/>
      </c>
      <c r="SA15" s="82">
        <f>RZ15</f>
        <v/>
      </c>
      <c r="SB15" s="82">
        <f>SA15</f>
        <v/>
      </c>
      <c r="SC15" s="82">
        <f>SB15</f>
        <v/>
      </c>
      <c r="SD15" s="82">
        <f>SC15</f>
        <v/>
      </c>
      <c r="SE15" s="82">
        <f>SD15</f>
        <v/>
      </c>
      <c r="SF15" s="82">
        <f>SE15</f>
        <v/>
      </c>
      <c r="SG15" s="82">
        <f>SF15</f>
        <v/>
      </c>
      <c r="SH15" s="82">
        <f>SG15</f>
        <v/>
      </c>
      <c r="SI15" s="82">
        <f>SH15</f>
        <v/>
      </c>
      <c r="SJ15" s="82">
        <f>SI15</f>
        <v/>
      </c>
      <c r="SK15" s="82">
        <f>SJ15</f>
        <v/>
      </c>
      <c r="SL15" s="130" t="n"/>
      <c r="SM15" s="82">
        <f>SK15</f>
        <v/>
      </c>
      <c r="SN15" s="82">
        <f>SM15</f>
        <v/>
      </c>
      <c r="SO15" s="82">
        <f>SN15</f>
        <v/>
      </c>
      <c r="SP15" s="82">
        <f>SO15</f>
        <v/>
      </c>
      <c r="SQ15" s="82">
        <f>SP15</f>
        <v/>
      </c>
      <c r="SR15" s="82" t="n">
        <v>0</v>
      </c>
      <c r="SS15" s="82">
        <f>SR15</f>
        <v/>
      </c>
      <c r="ST15" s="82">
        <f>SS15</f>
        <v/>
      </c>
      <c r="SU15" s="82">
        <f>ST15</f>
        <v/>
      </c>
      <c r="SV15" s="82">
        <f>SU15</f>
        <v/>
      </c>
      <c r="SW15" s="82">
        <f>SV15</f>
        <v/>
      </c>
      <c r="SX15" s="82">
        <f>SW15</f>
        <v/>
      </c>
      <c r="SY15" s="82">
        <f>SX15</f>
        <v/>
      </c>
      <c r="SZ15" s="82">
        <f>SY15</f>
        <v/>
      </c>
      <c r="TA15" s="82">
        <f>SZ15</f>
        <v/>
      </c>
      <c r="TB15" s="82">
        <f>TA15</f>
        <v/>
      </c>
      <c r="TC15" s="82">
        <f>TB15</f>
        <v/>
      </c>
      <c r="TD15" s="82">
        <f>TC15</f>
        <v/>
      </c>
      <c r="TE15" s="82">
        <f>TD15</f>
        <v/>
      </c>
      <c r="TF15" s="82">
        <f>TE15</f>
        <v/>
      </c>
      <c r="TG15" s="82">
        <f>TF15</f>
        <v/>
      </c>
      <c r="TH15" s="82">
        <f>TG15</f>
        <v/>
      </c>
      <c r="TI15" s="82">
        <f>TH15</f>
        <v/>
      </c>
      <c r="TJ15" s="82">
        <f>TI15</f>
        <v/>
      </c>
      <c r="TK15" s="82">
        <f>TJ15</f>
        <v/>
      </c>
      <c r="TL15" s="82">
        <f>TK15</f>
        <v/>
      </c>
      <c r="TM15" s="82">
        <f>TL15</f>
        <v/>
      </c>
      <c r="TN15" s="82">
        <f>TM15</f>
        <v/>
      </c>
      <c r="TO15" s="82">
        <f>TN15</f>
        <v/>
      </c>
      <c r="TP15" s="82">
        <f>TO15</f>
        <v/>
      </c>
      <c r="TQ15" s="82">
        <f>TP15</f>
        <v/>
      </c>
      <c r="TR15" s="130" t="n"/>
      <c r="TS15" s="82">
        <f>TQ27</f>
        <v/>
      </c>
      <c r="TT15" s="82">
        <f>TS15</f>
        <v/>
      </c>
      <c r="TU15" s="82">
        <f>TT15</f>
        <v/>
      </c>
      <c r="TV15" s="82">
        <f>TU15</f>
        <v/>
      </c>
      <c r="TW15" s="82">
        <f>TV15</f>
        <v/>
      </c>
      <c r="TX15" s="82">
        <f>TW15</f>
        <v/>
      </c>
      <c r="TY15" s="82" t="n">
        <v>0</v>
      </c>
      <c r="TZ15" s="82">
        <f>TY15</f>
        <v/>
      </c>
      <c r="UA15" s="82">
        <f>TZ15</f>
        <v/>
      </c>
      <c r="UB15" s="82">
        <f>UA15</f>
        <v/>
      </c>
      <c r="UC15" s="82">
        <f>UB15</f>
        <v/>
      </c>
      <c r="UD15" s="82">
        <f>UC15</f>
        <v/>
      </c>
      <c r="UE15" s="82">
        <f>UD15</f>
        <v/>
      </c>
      <c r="UF15" s="82">
        <f>UE15</f>
        <v/>
      </c>
      <c r="UG15" s="82">
        <f>UF15</f>
        <v/>
      </c>
      <c r="UH15" s="82">
        <f>UG15</f>
        <v/>
      </c>
      <c r="UI15" s="82">
        <f>UH15</f>
        <v/>
      </c>
      <c r="UJ15" s="82">
        <f>UI15</f>
        <v/>
      </c>
      <c r="UK15" s="82">
        <f>UJ15</f>
        <v/>
      </c>
      <c r="UL15" s="82">
        <f>UK15</f>
        <v/>
      </c>
      <c r="UM15" s="82">
        <f>UL15</f>
        <v/>
      </c>
      <c r="UN15" s="82">
        <f>UM15</f>
        <v/>
      </c>
      <c r="UO15" s="82">
        <f>UN15</f>
        <v/>
      </c>
      <c r="UP15" s="82">
        <f>UO15</f>
        <v/>
      </c>
      <c r="UQ15" s="82">
        <f>UP15</f>
        <v/>
      </c>
      <c r="UR15" s="82">
        <f>UQ15</f>
        <v/>
      </c>
      <c r="US15" s="82">
        <f>UR15</f>
        <v/>
      </c>
      <c r="UT15" s="82">
        <f>US15</f>
        <v/>
      </c>
      <c r="UU15" s="82">
        <f>UT15</f>
        <v/>
      </c>
      <c r="UV15" s="82">
        <f>UU15</f>
        <v/>
      </c>
      <c r="UW15" s="82">
        <f>UV15</f>
        <v/>
      </c>
      <c r="UX15" s="130" t="n"/>
      <c r="UY15" s="82">
        <f>UX15</f>
        <v/>
      </c>
      <c r="UZ15" s="82">
        <f>UY15</f>
        <v/>
      </c>
      <c r="VA15" s="82">
        <f>UZ15</f>
        <v/>
      </c>
      <c r="VB15" s="82">
        <f>VA15</f>
        <v/>
      </c>
      <c r="VC15" s="82">
        <f>VB15</f>
        <v/>
      </c>
      <c r="VD15" s="82">
        <f>VC15</f>
        <v/>
      </c>
      <c r="VE15" s="82">
        <f>VD15</f>
        <v/>
      </c>
      <c r="VF15" s="82">
        <f>VE15</f>
        <v/>
      </c>
      <c r="VG15" s="82">
        <f>VF15</f>
        <v/>
      </c>
      <c r="VH15" s="82">
        <f>VG15</f>
        <v/>
      </c>
      <c r="VI15" s="82">
        <f>VH15</f>
        <v/>
      </c>
      <c r="VJ15" s="82">
        <f>VI15</f>
        <v/>
      </c>
      <c r="VK15" s="82">
        <f>VJ15</f>
        <v/>
      </c>
      <c r="VL15" s="82">
        <f>VK15</f>
        <v/>
      </c>
      <c r="VM15" s="82">
        <f>VL15</f>
        <v/>
      </c>
      <c r="VN15" s="82">
        <f>VM15</f>
        <v/>
      </c>
      <c r="VO15" s="82">
        <f>VN15</f>
        <v/>
      </c>
      <c r="VP15" s="82">
        <f>VO15</f>
        <v/>
      </c>
      <c r="VQ15" s="82">
        <f>VP15</f>
        <v/>
      </c>
      <c r="VR15" s="82">
        <f>VQ15</f>
        <v/>
      </c>
      <c r="VS15" s="82">
        <f>VR15</f>
        <v/>
      </c>
      <c r="VT15" s="82">
        <f>VS15</f>
        <v/>
      </c>
      <c r="VU15" s="82">
        <f>VT15</f>
        <v/>
      </c>
      <c r="VV15" s="82">
        <f>VU15</f>
        <v/>
      </c>
      <c r="VW15" s="82">
        <f>VV15</f>
        <v/>
      </c>
      <c r="VX15" s="82">
        <f>VW15</f>
        <v/>
      </c>
      <c r="VY15" s="82">
        <f>VX15</f>
        <v/>
      </c>
      <c r="VZ15" s="82">
        <f>VY15</f>
        <v/>
      </c>
      <c r="WA15" s="133" t="n"/>
      <c r="WB15" s="82">
        <f>VZ27</f>
        <v/>
      </c>
      <c r="WC15" s="82">
        <f>WB15</f>
        <v/>
      </c>
      <c r="WD15" s="82">
        <f>WC15</f>
        <v/>
      </c>
      <c r="WE15" s="82">
        <f>WD15</f>
        <v/>
      </c>
      <c r="WF15" s="82">
        <f>WE15</f>
        <v/>
      </c>
      <c r="WG15" s="82">
        <f>WF15</f>
        <v/>
      </c>
      <c r="WH15" s="82">
        <f>WG15</f>
        <v/>
      </c>
      <c r="WI15" s="82">
        <f>WH15</f>
        <v/>
      </c>
      <c r="WJ15" s="82" t="n">
        <v>0</v>
      </c>
      <c r="WK15" s="82" t="n">
        <v>0</v>
      </c>
      <c r="WL15" s="82" t="n">
        <v>0</v>
      </c>
      <c r="WM15" s="82" t="n">
        <v>0</v>
      </c>
      <c r="WN15" s="82" t="n">
        <v>0</v>
      </c>
      <c r="WO15" s="82" t="n">
        <v>0</v>
      </c>
      <c r="WP15" s="82" t="n">
        <v>0</v>
      </c>
      <c r="WQ15" s="82" t="n">
        <v>0</v>
      </c>
      <c r="WR15" s="82" t="n">
        <v>0</v>
      </c>
      <c r="WS15" s="82" t="n">
        <v>0</v>
      </c>
      <c r="WT15" s="82" t="n">
        <v>0</v>
      </c>
      <c r="WU15" s="82" t="n">
        <v>0</v>
      </c>
      <c r="WV15" s="82" t="n">
        <v>0</v>
      </c>
      <c r="WW15" s="82" t="n">
        <v>0</v>
      </c>
      <c r="WX15" s="82" t="n">
        <v>0</v>
      </c>
      <c r="WY15" s="82" t="n">
        <v>0</v>
      </c>
      <c r="WZ15" s="82" t="n">
        <v>0</v>
      </c>
      <c r="XA15" s="82" t="n">
        <v>0</v>
      </c>
      <c r="XB15" s="82" t="n">
        <v>0</v>
      </c>
      <c r="XC15" s="82" t="n">
        <v>0</v>
      </c>
      <c r="XD15" s="82" t="n">
        <v>0</v>
      </c>
      <c r="XE15" s="82" t="n">
        <v>0</v>
      </c>
      <c r="XF15" s="82" t="n">
        <v>0</v>
      </c>
      <c r="XG15" s="133" t="n"/>
      <c r="XH15" s="82">
        <f>XF27</f>
        <v/>
      </c>
      <c r="XI15" s="82">
        <f>XH15</f>
        <v/>
      </c>
      <c r="XJ15" s="82">
        <f>XI15</f>
        <v/>
      </c>
      <c r="XK15" s="82">
        <f>XJ15</f>
        <v/>
      </c>
      <c r="XL15" s="82">
        <f>XK15</f>
        <v/>
      </c>
      <c r="XM15" s="82">
        <f>XL15</f>
        <v/>
      </c>
      <c r="XN15" s="82">
        <f>XM15</f>
        <v/>
      </c>
      <c r="XO15" s="82">
        <f>XN15</f>
        <v/>
      </c>
      <c r="XP15" s="82" t="n">
        <v>0</v>
      </c>
      <c r="XQ15" s="82">
        <f>XP15</f>
        <v/>
      </c>
      <c r="XR15" s="82">
        <f>XQ15</f>
        <v/>
      </c>
      <c r="XS15" s="82">
        <f>XR15</f>
        <v/>
      </c>
      <c r="XT15" s="82">
        <f>XS15</f>
        <v/>
      </c>
      <c r="XU15" s="82">
        <f>XT15</f>
        <v/>
      </c>
      <c r="XV15" s="82">
        <f>XU15</f>
        <v/>
      </c>
      <c r="XW15" s="82">
        <f>XV15</f>
        <v/>
      </c>
      <c r="XX15" s="82">
        <f>XW15</f>
        <v/>
      </c>
      <c r="XY15" s="82">
        <f>XX15</f>
        <v/>
      </c>
      <c r="XZ15" s="82">
        <f>XY15</f>
        <v/>
      </c>
      <c r="YA15" s="82">
        <f>XZ15</f>
        <v/>
      </c>
      <c r="YB15" s="82">
        <f>YA15</f>
        <v/>
      </c>
      <c r="YC15" s="82">
        <f>YB15</f>
        <v/>
      </c>
      <c r="YD15" s="82">
        <f>YC15</f>
        <v/>
      </c>
      <c r="YE15" s="82">
        <f>YD15</f>
        <v/>
      </c>
      <c r="YF15" s="82">
        <f>YE15</f>
        <v/>
      </c>
      <c r="YG15" s="82">
        <f>YF15</f>
        <v/>
      </c>
      <c r="YH15" s="82">
        <f>YG15</f>
        <v/>
      </c>
      <c r="YI15" s="82">
        <f>YH15</f>
        <v/>
      </c>
      <c r="YJ15" s="82">
        <f>YI15</f>
        <v/>
      </c>
      <c r="YK15" s="82">
        <f>YJ15</f>
        <v/>
      </c>
      <c r="YL15" s="130" t="n"/>
      <c r="YM15" s="82">
        <f>YK27</f>
        <v/>
      </c>
      <c r="YN15" s="82">
        <f>YM15</f>
        <v/>
      </c>
      <c r="YO15" s="82">
        <f>YN15</f>
        <v/>
      </c>
      <c r="YP15" s="82">
        <f>YO15</f>
        <v/>
      </c>
      <c r="YQ15" s="82">
        <f>YP15</f>
        <v/>
      </c>
      <c r="YR15" s="82">
        <f>YQ15</f>
        <v/>
      </c>
      <c r="YS15" s="82">
        <f>YR15</f>
        <v/>
      </c>
      <c r="YT15" s="82">
        <f>YS15</f>
        <v/>
      </c>
      <c r="YU15" s="82">
        <f>YT15</f>
        <v/>
      </c>
      <c r="YV15" s="82">
        <f>YU15</f>
        <v/>
      </c>
      <c r="YW15" s="82" t="n">
        <v>0</v>
      </c>
      <c r="YX15" s="82">
        <f>YW15</f>
        <v/>
      </c>
      <c r="YY15" s="82">
        <f>YX15</f>
        <v/>
      </c>
      <c r="YZ15" s="82">
        <f>YY15</f>
        <v/>
      </c>
      <c r="ZA15" s="82">
        <f>YZ15</f>
        <v/>
      </c>
      <c r="ZB15" s="82">
        <f>ZA15</f>
        <v/>
      </c>
      <c r="ZC15" s="82">
        <f>ZB15</f>
        <v/>
      </c>
      <c r="ZD15" s="82">
        <f>ZC15</f>
        <v/>
      </c>
      <c r="ZE15" s="82">
        <f>ZD15</f>
        <v/>
      </c>
      <c r="ZF15" s="82">
        <f>ZE15</f>
        <v/>
      </c>
      <c r="ZG15" s="82">
        <f>ZF15</f>
        <v/>
      </c>
      <c r="ZH15" s="82">
        <f>ZG15</f>
        <v/>
      </c>
      <c r="ZI15" s="82">
        <f>ZH15</f>
        <v/>
      </c>
      <c r="ZJ15" s="82">
        <f>ZI15</f>
        <v/>
      </c>
      <c r="ZK15" s="82">
        <f>ZJ15</f>
        <v/>
      </c>
      <c r="ZL15" s="82">
        <f>ZK15</f>
        <v/>
      </c>
      <c r="ZM15" s="82">
        <f>ZL15</f>
        <v/>
      </c>
      <c r="ZN15" s="82">
        <f>ZM15</f>
        <v/>
      </c>
      <c r="ZO15" s="82">
        <f>ZN15</f>
        <v/>
      </c>
      <c r="ZP15" s="82">
        <f>ZO15</f>
        <v/>
      </c>
      <c r="ZQ15" s="82">
        <f>ZP15</f>
        <v/>
      </c>
      <c r="ZR15" s="130" t="n"/>
      <c r="ZS15" s="82">
        <f>ZQ27</f>
        <v/>
      </c>
      <c r="ZT15" s="82">
        <f>ZS15</f>
        <v/>
      </c>
      <c r="ZU15" s="82" t="n">
        <v>0</v>
      </c>
      <c r="ZV15" s="82">
        <f>ZU15</f>
        <v/>
      </c>
      <c r="ZW15" s="82">
        <f>ZV15</f>
        <v/>
      </c>
      <c r="ZX15" s="82">
        <f>ZW15</f>
        <v/>
      </c>
      <c r="ZY15" s="82">
        <f>ZX15</f>
        <v/>
      </c>
      <c r="ZZ15" s="82">
        <f>ZY15</f>
        <v/>
      </c>
      <c r="AAA15" s="82">
        <f>ZZ15</f>
        <v/>
      </c>
      <c r="AAB15" s="82">
        <f>AAA15</f>
        <v/>
      </c>
      <c r="AAC15" s="82">
        <f>AAB15</f>
        <v/>
      </c>
      <c r="AAD15" s="82">
        <f>AAC15</f>
        <v/>
      </c>
      <c r="AAE15" s="82">
        <f>AAD15</f>
        <v/>
      </c>
      <c r="AAF15" s="82">
        <f>AAE15</f>
        <v/>
      </c>
      <c r="AAG15" s="82">
        <f>AAF15</f>
        <v/>
      </c>
      <c r="AAH15" s="82">
        <f>AAG15</f>
        <v/>
      </c>
      <c r="AAI15" s="82">
        <f>AAH15</f>
        <v/>
      </c>
      <c r="AAJ15" s="82">
        <f>AAI15</f>
        <v/>
      </c>
      <c r="AAK15" s="82">
        <f>AAJ15</f>
        <v/>
      </c>
      <c r="AAL15" s="82">
        <f>AAK15</f>
        <v/>
      </c>
      <c r="AAM15" s="82">
        <f>AAL15</f>
        <v/>
      </c>
      <c r="AAN15" s="82">
        <f>AAM15</f>
        <v/>
      </c>
      <c r="AAO15" s="82">
        <f>AAN15</f>
        <v/>
      </c>
      <c r="AAP15" s="82">
        <f>AAO15</f>
        <v/>
      </c>
      <c r="AAQ15" s="82">
        <f>AAP15</f>
        <v/>
      </c>
      <c r="AAR15" s="82">
        <f>AAQ15</f>
        <v/>
      </c>
      <c r="AAS15" s="82">
        <f>AAR15</f>
        <v/>
      </c>
      <c r="AAT15" s="82">
        <f>AAS15</f>
        <v/>
      </c>
      <c r="AAU15" s="82">
        <f>AAT15</f>
        <v/>
      </c>
      <c r="AAV15" s="82">
        <f>AAU15</f>
        <v/>
      </c>
      <c r="AAW15" s="130" t="n"/>
      <c r="AAX15" s="82">
        <f>AAV27</f>
        <v/>
      </c>
      <c r="AAY15" s="82">
        <f>AAX15</f>
        <v/>
      </c>
      <c r="AAZ15" s="82">
        <f>AAY15</f>
        <v/>
      </c>
      <c r="ABA15" s="82">
        <f>AAZ15</f>
        <v/>
      </c>
      <c r="ABB15" s="82">
        <f>ABA15</f>
        <v/>
      </c>
      <c r="ABC15" s="82">
        <f>ABB15</f>
        <v/>
      </c>
      <c r="ABD15" s="82">
        <f>ABC15</f>
        <v/>
      </c>
      <c r="ABE15" s="82">
        <f>ABD15</f>
        <v/>
      </c>
      <c r="ABF15" s="82">
        <f>ABE15</f>
        <v/>
      </c>
      <c r="ABG15" s="82">
        <f>ABF15</f>
        <v/>
      </c>
      <c r="ABH15" s="82">
        <f>ABG15</f>
        <v/>
      </c>
      <c r="ABI15" s="82">
        <f>ABH15</f>
        <v/>
      </c>
      <c r="ABJ15" s="82">
        <f>ABI15</f>
        <v/>
      </c>
      <c r="ABK15" s="82">
        <f>ABJ15</f>
        <v/>
      </c>
      <c r="ABL15" s="82">
        <f>ABK15</f>
        <v/>
      </c>
      <c r="ABM15" s="82">
        <f>ABL15</f>
        <v/>
      </c>
      <c r="ABN15" s="82" t="n">
        <v>0</v>
      </c>
      <c r="ABO15" s="82">
        <f>ABN15</f>
        <v/>
      </c>
      <c r="ABP15" s="82">
        <f>ABO15</f>
        <v/>
      </c>
      <c r="ABQ15" s="82">
        <f>ABP15</f>
        <v/>
      </c>
      <c r="ABR15" s="82">
        <f>ABQ15</f>
        <v/>
      </c>
      <c r="ABS15" s="82">
        <f>ABR15</f>
        <v/>
      </c>
      <c r="ABT15" s="82">
        <f>ABS15</f>
        <v/>
      </c>
      <c r="ABU15" s="82">
        <f>ABT15</f>
        <v/>
      </c>
      <c r="ABV15" s="82">
        <f>ABU15</f>
        <v/>
      </c>
      <c r="ABW15" s="82">
        <f>ABV15</f>
        <v/>
      </c>
      <c r="ABX15" s="82">
        <f>ABW15</f>
        <v/>
      </c>
      <c r="ABY15" s="82">
        <f>ABX15</f>
        <v/>
      </c>
      <c r="ABZ15" s="82">
        <f>ABY15</f>
        <v/>
      </c>
      <c r="ACA15" s="82">
        <f>ABZ15</f>
        <v/>
      </c>
      <c r="ACB15" s="82">
        <f>ACA15</f>
        <v/>
      </c>
      <c r="ACC15" s="130" t="n"/>
      <c r="ACD15" s="82">
        <f>ACB27</f>
        <v/>
      </c>
      <c r="ACE15" s="82">
        <f>ACD15</f>
        <v/>
      </c>
      <c r="ACF15" s="82">
        <f>ACE15</f>
        <v/>
      </c>
      <c r="ACG15" s="82">
        <f>ACF15</f>
        <v/>
      </c>
      <c r="ACH15" s="82">
        <f>ACG15</f>
        <v/>
      </c>
      <c r="ACI15" s="82" t="n">
        <v>0</v>
      </c>
      <c r="ACJ15" s="82">
        <f>ACI15</f>
        <v/>
      </c>
      <c r="ACK15" s="82">
        <f>ACJ15</f>
        <v/>
      </c>
      <c r="ACL15" s="82">
        <f>ACK15</f>
        <v/>
      </c>
      <c r="ACM15" s="82">
        <f>ACL15</f>
        <v/>
      </c>
      <c r="ACN15" s="82">
        <f>ACM15</f>
        <v/>
      </c>
      <c r="ACO15" s="82">
        <f>ACN15</f>
        <v/>
      </c>
      <c r="ACP15" s="82">
        <f>ACO15</f>
        <v/>
      </c>
      <c r="ACQ15" s="82">
        <f>ACP15</f>
        <v/>
      </c>
      <c r="ACR15" s="82">
        <f>ACQ15</f>
        <v/>
      </c>
      <c r="ACS15" s="82">
        <f>ACR15</f>
        <v/>
      </c>
      <c r="ACT15" s="82">
        <f>ACS15</f>
        <v/>
      </c>
      <c r="ACU15" s="82">
        <f>ACT15</f>
        <v/>
      </c>
      <c r="ACV15" s="82">
        <f>ACU15</f>
        <v/>
      </c>
      <c r="ACW15" s="82">
        <f>ACV15</f>
        <v/>
      </c>
      <c r="ACX15" s="82">
        <f>ACW15</f>
        <v/>
      </c>
      <c r="ACY15" s="82">
        <f>ACX15</f>
        <v/>
      </c>
      <c r="ACZ15" s="82">
        <f>ACY15</f>
        <v/>
      </c>
      <c r="ADA15" s="82">
        <f>ACZ15</f>
        <v/>
      </c>
      <c r="ADB15" s="82">
        <f>ADA15</f>
        <v/>
      </c>
      <c r="ADC15" s="82">
        <f>ADB15</f>
        <v/>
      </c>
      <c r="ADD15" s="82">
        <f>ADC15</f>
        <v/>
      </c>
      <c r="ADE15" s="82">
        <f>ADD15</f>
        <v/>
      </c>
      <c r="ADF15" s="82">
        <f>ADE15</f>
        <v/>
      </c>
      <c r="ADG15" s="82">
        <f>ADF15</f>
        <v/>
      </c>
      <c r="ADH15" s="82">
        <f>ADG15</f>
        <v/>
      </c>
      <c r="ADI15" s="130" t="n"/>
      <c r="ADJ15" s="82">
        <f>ADH27</f>
        <v/>
      </c>
      <c r="ADK15" s="82">
        <f>ADJ15</f>
        <v/>
      </c>
      <c r="ADL15" s="82">
        <f>ADK15</f>
        <v/>
      </c>
      <c r="ADM15" s="82">
        <f>ADL15</f>
        <v/>
      </c>
      <c r="ADN15" s="82">
        <f>ADM15</f>
        <v/>
      </c>
      <c r="ADO15" s="82">
        <f>ADN15</f>
        <v/>
      </c>
      <c r="ADP15" s="82">
        <f>ADO15</f>
        <v/>
      </c>
      <c r="ADQ15" s="82">
        <f>ADP15</f>
        <v/>
      </c>
      <c r="ADR15" s="82">
        <f>ADQ15</f>
        <v/>
      </c>
      <c r="ADS15" s="82">
        <f>ADR15</f>
        <v/>
      </c>
      <c r="ADT15" s="82">
        <f>ADS15</f>
        <v/>
      </c>
      <c r="ADU15" s="82">
        <f>ADT15</f>
        <v/>
      </c>
      <c r="ADV15" s="82">
        <f>ADU15</f>
        <v/>
      </c>
      <c r="ADW15" s="82" t="n">
        <v>0</v>
      </c>
      <c r="ADX15" s="82">
        <f>ADW15</f>
        <v/>
      </c>
      <c r="ADY15" s="82">
        <f>ADX15</f>
        <v/>
      </c>
      <c r="ADZ15" s="82">
        <f>ADY15</f>
        <v/>
      </c>
      <c r="AEA15" s="82">
        <f>ADZ15</f>
        <v/>
      </c>
      <c r="AEB15" s="82">
        <f>AEA15</f>
        <v/>
      </c>
      <c r="AEC15" s="82">
        <f>AEB15</f>
        <v/>
      </c>
      <c r="AED15" s="82">
        <f>AEC15</f>
        <v/>
      </c>
      <c r="AEE15" s="82">
        <f>AED15</f>
        <v/>
      </c>
      <c r="AEF15" s="82">
        <f>AEE15</f>
        <v/>
      </c>
      <c r="AEG15" s="82">
        <f>AEF15</f>
        <v/>
      </c>
      <c r="AEH15" s="82" t="n">
        <v>1108000</v>
      </c>
      <c r="AEI15" s="82">
        <f>AEH15</f>
        <v/>
      </c>
      <c r="AEJ15" s="82">
        <f>AEI15</f>
        <v/>
      </c>
      <c r="AEK15" s="82">
        <f>AEJ15</f>
        <v/>
      </c>
      <c r="AEL15" s="82">
        <f>AEK15</f>
        <v/>
      </c>
      <c r="AEM15" s="82">
        <f>AEL15</f>
        <v/>
      </c>
      <c r="AEN15" s="130" t="n"/>
      <c r="AEO15" s="82">
        <f>AEM15+AEM27</f>
        <v/>
      </c>
      <c r="AEP15" s="82">
        <f>AEO15</f>
        <v/>
      </c>
      <c r="AEQ15" s="82">
        <f>AEP15</f>
        <v/>
      </c>
      <c r="AER15" s="82">
        <f>AEQ15</f>
        <v/>
      </c>
      <c r="AES15" s="82">
        <f>AER15</f>
        <v/>
      </c>
      <c r="AET15" s="82">
        <f>AES15</f>
        <v/>
      </c>
      <c r="AEU15" s="82" t="n">
        <v>0</v>
      </c>
      <c r="AEV15" s="82">
        <f>AEU15</f>
        <v/>
      </c>
      <c r="AEW15" s="82">
        <f>AEV15</f>
        <v/>
      </c>
      <c r="AEX15" s="82">
        <f>AEW15</f>
        <v/>
      </c>
      <c r="AEY15" s="82">
        <f>AEX15</f>
        <v/>
      </c>
      <c r="AEZ15" s="82">
        <f>AEY15</f>
        <v/>
      </c>
      <c r="AFA15" s="82">
        <f>AEZ15</f>
        <v/>
      </c>
      <c r="AFB15" s="82">
        <f>AFA15</f>
        <v/>
      </c>
      <c r="AFC15" s="82">
        <f>AFB15</f>
        <v/>
      </c>
      <c r="AFD15" s="82">
        <f>AFC15</f>
        <v/>
      </c>
      <c r="AFE15" s="82">
        <f>AFD15</f>
        <v/>
      </c>
      <c r="AFF15" s="82">
        <f>AFE15</f>
        <v/>
      </c>
      <c r="AFG15" s="82">
        <f>AFF15</f>
        <v/>
      </c>
      <c r="AFH15" s="82">
        <f>AFG15</f>
        <v/>
      </c>
      <c r="AFI15" s="82">
        <f>AFH15</f>
        <v/>
      </c>
      <c r="AFJ15" s="82">
        <f>AFI15</f>
        <v/>
      </c>
      <c r="AFK15" s="82">
        <f>AFJ15</f>
        <v/>
      </c>
      <c r="AFL15" s="82">
        <f>AFK15</f>
        <v/>
      </c>
      <c r="AFM15" s="82">
        <f>AFL15</f>
        <v/>
      </c>
      <c r="AFN15" s="82">
        <f>AFM15</f>
        <v/>
      </c>
      <c r="AFO15" s="82">
        <f>AFN15</f>
        <v/>
      </c>
      <c r="AFP15" s="82">
        <f>AFO15</f>
        <v/>
      </c>
      <c r="AFQ15" s="82">
        <f>AFP15</f>
        <v/>
      </c>
      <c r="AFR15" s="82">
        <f>AFQ15</f>
        <v/>
      </c>
      <c r="AFS15" s="82">
        <f>AFR15</f>
        <v/>
      </c>
      <c r="AFT15" s="130" t="n"/>
      <c r="AFU15" s="82">
        <f>AFS27</f>
        <v/>
      </c>
      <c r="AFV15" s="82">
        <f>AFU15</f>
        <v/>
      </c>
      <c r="AFW15" s="82">
        <f>AFV15</f>
        <v/>
      </c>
      <c r="AFX15" s="82">
        <f>AFW15</f>
        <v/>
      </c>
      <c r="AFY15" s="82">
        <f>AFX15</f>
        <v/>
      </c>
      <c r="AFZ15" s="82">
        <f>AFY15</f>
        <v/>
      </c>
      <c r="AGA15" s="82">
        <f>AFZ15</f>
        <v/>
      </c>
      <c r="AGB15" s="82">
        <f>AGA15</f>
        <v/>
      </c>
      <c r="AGC15" s="82">
        <f>AGB15</f>
        <v/>
      </c>
      <c r="AGD15" s="82" t="n">
        <v>0</v>
      </c>
      <c r="AGE15" s="82">
        <f>AGD15</f>
        <v/>
      </c>
      <c r="AGF15" s="82">
        <f>AGE15</f>
        <v/>
      </c>
      <c r="AGG15" s="82">
        <f>AGF15</f>
        <v/>
      </c>
      <c r="AGH15" s="82">
        <f>AGG15</f>
        <v/>
      </c>
      <c r="AGI15" s="82">
        <f>AGH15</f>
        <v/>
      </c>
      <c r="AGJ15" s="82">
        <f>AGI15</f>
        <v/>
      </c>
      <c r="AGK15" s="82">
        <f>AGJ15</f>
        <v/>
      </c>
      <c r="AGL15" s="82">
        <f>AGK15</f>
        <v/>
      </c>
      <c r="AGM15" s="82">
        <f>AGL15</f>
        <v/>
      </c>
      <c r="AGN15" s="82">
        <f>AGM15</f>
        <v/>
      </c>
      <c r="AGO15" s="82">
        <f>AGN15</f>
        <v/>
      </c>
      <c r="AGP15" s="82">
        <f>AGO15</f>
        <v/>
      </c>
      <c r="AGQ15" s="82">
        <f>AGP15</f>
        <v/>
      </c>
      <c r="AGR15" s="82">
        <f>AGQ15</f>
        <v/>
      </c>
      <c r="AGS15" s="82">
        <f>AGR15</f>
        <v/>
      </c>
      <c r="AGT15" s="82">
        <f>AGS15</f>
        <v/>
      </c>
      <c r="AGU15" s="82">
        <f>AGT15</f>
        <v/>
      </c>
      <c r="AGV15" s="82">
        <f>AGU15</f>
        <v/>
      </c>
      <c r="AGW15" s="82">
        <f>AGV15</f>
        <v/>
      </c>
      <c r="AGX15" s="82">
        <f>AGW15</f>
        <v/>
      </c>
      <c r="AGY15" s="133" t="n"/>
      <c r="AGZ15" s="82">
        <f>AGX27</f>
        <v/>
      </c>
      <c r="AHA15" s="82">
        <f>AGZ15</f>
        <v/>
      </c>
      <c r="AHB15" s="82">
        <f>AHA15</f>
        <v/>
      </c>
      <c r="AHC15" s="82">
        <f>AHB15</f>
        <v/>
      </c>
      <c r="AHD15" s="82">
        <f>AHC15</f>
        <v/>
      </c>
      <c r="AHE15" s="82">
        <f>AHD15</f>
        <v/>
      </c>
      <c r="AHF15" s="82">
        <f>AHE15</f>
        <v/>
      </c>
      <c r="AHG15" s="82">
        <f>AHF15</f>
        <v/>
      </c>
      <c r="AHH15" s="82">
        <f>AHG15</f>
        <v/>
      </c>
      <c r="AHI15" s="82">
        <f>AHH15</f>
        <v/>
      </c>
      <c r="AHJ15" s="82">
        <f>AHI15</f>
        <v/>
      </c>
      <c r="AHK15" s="82" t="n">
        <v>0</v>
      </c>
      <c r="AHL15" s="82">
        <f>AHK15</f>
        <v/>
      </c>
      <c r="AHM15" s="82">
        <f>AHL15</f>
        <v/>
      </c>
      <c r="AHN15" s="82">
        <f>AHM15</f>
        <v/>
      </c>
      <c r="AHO15" s="82">
        <f>AHN15</f>
        <v/>
      </c>
      <c r="AHP15" s="82">
        <f>AHO15</f>
        <v/>
      </c>
      <c r="AHQ15" s="82">
        <f>AHP15</f>
        <v/>
      </c>
      <c r="AHR15" s="82">
        <f>AHQ15</f>
        <v/>
      </c>
      <c r="AHS15" s="82">
        <f>AHR15</f>
        <v/>
      </c>
      <c r="AHT15" s="82">
        <f>AHS15</f>
        <v/>
      </c>
      <c r="AHU15" s="82">
        <f>AHT15</f>
        <v/>
      </c>
      <c r="AHV15" s="82">
        <f>AHU15</f>
        <v/>
      </c>
      <c r="AHW15" s="82">
        <f>AHV15</f>
        <v/>
      </c>
      <c r="AHX15" s="82">
        <f>AHW15</f>
        <v/>
      </c>
      <c r="AHY15" s="82">
        <f>AHX15</f>
        <v/>
      </c>
      <c r="AHZ15" s="82">
        <f>AHY15</f>
        <v/>
      </c>
      <c r="AIA15" s="82">
        <f>AHZ15</f>
        <v/>
      </c>
      <c r="AIB15" s="82">
        <f>AIA15</f>
        <v/>
      </c>
      <c r="AIC15" s="82">
        <f>AIB15</f>
        <v/>
      </c>
      <c r="AID15" s="82">
        <f>AIC15</f>
        <v/>
      </c>
      <c r="AIE15" s="130" t="n"/>
      <c r="AIF15" s="82">
        <f>AIE15</f>
        <v/>
      </c>
      <c r="AIG15" s="82">
        <f>AIF15</f>
        <v/>
      </c>
      <c r="AIH15" s="82">
        <f>AIG15</f>
        <v/>
      </c>
      <c r="AII15" s="82">
        <f>AIH15</f>
        <v/>
      </c>
      <c r="AIJ15" s="82">
        <f>AII15</f>
        <v/>
      </c>
      <c r="AIK15" s="82">
        <f>AIJ15</f>
        <v/>
      </c>
      <c r="AIL15" s="82">
        <f>AIK15</f>
        <v/>
      </c>
      <c r="AIM15" s="82">
        <f>AIL15</f>
        <v/>
      </c>
      <c r="AIN15" s="82">
        <f>AIM15</f>
        <v/>
      </c>
      <c r="AIO15" s="82">
        <f>AIN15</f>
        <v/>
      </c>
      <c r="AIP15" s="82">
        <f>AIO15</f>
        <v/>
      </c>
      <c r="AIQ15" s="82">
        <f>AIP15</f>
        <v/>
      </c>
      <c r="AIR15" s="82">
        <f>AIQ15</f>
        <v/>
      </c>
      <c r="AIS15" s="82">
        <f>AIR15</f>
        <v/>
      </c>
      <c r="AIT15" s="82">
        <f>AIS15</f>
        <v/>
      </c>
      <c r="AIU15" s="82">
        <f>AIT15</f>
        <v/>
      </c>
      <c r="AIV15" s="82">
        <f>AIU15</f>
        <v/>
      </c>
      <c r="AIW15" s="82">
        <f>AIV15</f>
        <v/>
      </c>
      <c r="AIX15" s="82">
        <f>AIW15</f>
        <v/>
      </c>
      <c r="AIY15" s="82">
        <f>AIX15</f>
        <v/>
      </c>
      <c r="AIZ15" s="82">
        <f>AIY15</f>
        <v/>
      </c>
      <c r="AJA15" s="82">
        <f>AIZ15</f>
        <v/>
      </c>
      <c r="AJB15" s="82">
        <f>AJA15</f>
        <v/>
      </c>
      <c r="AJC15" s="82">
        <f>AJB15</f>
        <v/>
      </c>
      <c r="AJD15" s="82">
        <f>AJC15</f>
        <v/>
      </c>
      <c r="AJE15" s="82">
        <f>AJD15</f>
        <v/>
      </c>
      <c r="AJF15" s="82">
        <f>AJE15</f>
        <v/>
      </c>
      <c r="AJG15" s="82">
        <f>AJF15</f>
        <v/>
      </c>
      <c r="AJH15" s="82">
        <f>AJG15</f>
        <v/>
      </c>
      <c r="AJI15" s="82">
        <f>AJH15</f>
        <v/>
      </c>
      <c r="AJJ15" s="82">
        <f>AJI15</f>
        <v/>
      </c>
      <c r="AJK15" s="145" t="n"/>
      <c r="AJL15" s="82">
        <f>AJK15</f>
        <v/>
      </c>
      <c r="AJM15" s="82">
        <f>AJL15</f>
        <v/>
      </c>
      <c r="AJN15" s="82">
        <f>AJM15</f>
        <v/>
      </c>
      <c r="AJO15" s="82">
        <f>AJN15</f>
        <v/>
      </c>
      <c r="AJP15" s="82">
        <f>AJO15</f>
        <v/>
      </c>
      <c r="AJQ15" s="82">
        <f>AJP15</f>
        <v/>
      </c>
      <c r="AJR15" s="82">
        <f>AJQ15</f>
        <v/>
      </c>
      <c r="AJS15" s="82">
        <f>AJR15</f>
        <v/>
      </c>
      <c r="AJT15" s="82">
        <f>AJS15</f>
        <v/>
      </c>
      <c r="AJU15" s="82">
        <f>AJT15</f>
        <v/>
      </c>
      <c r="AJV15" s="82">
        <f>AJU15</f>
        <v/>
      </c>
      <c r="AJW15" s="82">
        <f>AJV15</f>
        <v/>
      </c>
      <c r="AJX15" s="82">
        <f>AJW15</f>
        <v/>
      </c>
      <c r="AJY15" s="82">
        <f>AJX15</f>
        <v/>
      </c>
      <c r="AJZ15" s="82">
        <f>AJY15</f>
        <v/>
      </c>
      <c r="AKA15" s="82">
        <f>AJZ15</f>
        <v/>
      </c>
      <c r="AKB15" s="82">
        <f>AKA15</f>
        <v/>
      </c>
      <c r="AKC15" s="82">
        <f>AKB15</f>
        <v/>
      </c>
      <c r="AKD15" s="82">
        <f>AKC15</f>
        <v/>
      </c>
      <c r="AKE15" s="82">
        <f>AKD15</f>
        <v/>
      </c>
      <c r="AKF15" s="82">
        <f>AKE15</f>
        <v/>
      </c>
      <c r="AKG15" s="82">
        <f>AKF15</f>
        <v/>
      </c>
      <c r="AKH15" s="82">
        <f>AKG15</f>
        <v/>
      </c>
      <c r="AKI15" s="82">
        <f>AKH15</f>
        <v/>
      </c>
      <c r="AKJ15" s="82">
        <f>AKI15</f>
        <v/>
      </c>
      <c r="AKK15" s="82">
        <f>AKJ15</f>
        <v/>
      </c>
      <c r="AKL15" s="82">
        <f>AKK15</f>
        <v/>
      </c>
      <c r="AKM15" s="82">
        <f>AKL15</f>
        <v/>
      </c>
      <c r="AKN15" s="112" t="n"/>
      <c r="AKO15" s="82">
        <f>AKN15</f>
        <v/>
      </c>
      <c r="AKP15" s="82">
        <f>AKO15</f>
        <v/>
      </c>
      <c r="AKQ15" s="82">
        <f>AKP15</f>
        <v/>
      </c>
      <c r="AKR15" s="82">
        <f>AKQ15</f>
        <v/>
      </c>
      <c r="AKS15" s="82">
        <f>AKR15</f>
        <v/>
      </c>
      <c r="AKT15" s="82">
        <f>AKS15</f>
        <v/>
      </c>
      <c r="AKU15" s="82">
        <f>AKT15</f>
        <v/>
      </c>
      <c r="AKV15" s="82">
        <f>AKU15</f>
        <v/>
      </c>
      <c r="AKW15" s="82">
        <f>AKV15</f>
        <v/>
      </c>
      <c r="AKX15" s="82">
        <f>AKW15</f>
        <v/>
      </c>
      <c r="AKY15" s="82">
        <f>AKX15</f>
        <v/>
      </c>
      <c r="AKZ15" s="82">
        <f>AKY15</f>
        <v/>
      </c>
      <c r="ALA15" s="82">
        <f>AKZ15</f>
        <v/>
      </c>
      <c r="ALB15" s="82">
        <f>ALA15</f>
        <v/>
      </c>
      <c r="ALC15" s="82">
        <f>ALB15</f>
        <v/>
      </c>
      <c r="ALD15" s="82" t="n">
        <v>400000</v>
      </c>
      <c r="ALE15" s="82">
        <f>ALD15</f>
        <v/>
      </c>
      <c r="ALF15" s="82" t="n">
        <v>0</v>
      </c>
      <c r="ALG15" s="82">
        <f>ALF15</f>
        <v/>
      </c>
      <c r="ALH15" s="82">
        <f>ALG15</f>
        <v/>
      </c>
      <c r="ALI15" s="82">
        <f>ALH15</f>
        <v/>
      </c>
      <c r="ALJ15" s="82">
        <f>ALI15</f>
        <v/>
      </c>
      <c r="ALK15" s="82">
        <f>ALJ15</f>
        <v/>
      </c>
      <c r="ALL15" s="82">
        <f>ALK15</f>
        <v/>
      </c>
      <c r="ALM15" s="82">
        <f>ALL15</f>
        <v/>
      </c>
      <c r="ALN15" s="82">
        <f>ALM15</f>
        <v/>
      </c>
      <c r="ALO15" s="82">
        <f>ALN15</f>
        <v/>
      </c>
      <c r="ALP15" s="82">
        <f>ALO15</f>
        <v/>
      </c>
      <c r="ALQ15" s="82">
        <f>ALP15</f>
        <v/>
      </c>
      <c r="ALR15" s="82">
        <f>ALQ15</f>
        <v/>
      </c>
      <c r="ALS15" s="82">
        <f>ALR15</f>
        <v/>
      </c>
      <c r="ALT15" s="130" t="n"/>
      <c r="ALU15" s="82">
        <f>ALT15</f>
        <v/>
      </c>
      <c r="ALV15" s="82">
        <f>ALU15</f>
        <v/>
      </c>
      <c r="ALW15" s="82">
        <f>ALV15</f>
        <v/>
      </c>
      <c r="ALX15" s="82">
        <f>ALW15</f>
        <v/>
      </c>
      <c r="ALY15" s="82">
        <f>ALX15</f>
        <v/>
      </c>
      <c r="ALZ15" s="82">
        <f>ALY15</f>
        <v/>
      </c>
      <c r="AMA15" s="82">
        <f>ALZ15</f>
        <v/>
      </c>
      <c r="AMB15" s="82">
        <f>AMA15</f>
        <v/>
      </c>
      <c r="AMC15" s="82">
        <f>AMB15</f>
        <v/>
      </c>
      <c r="AMD15" s="82">
        <f>AMC15</f>
        <v/>
      </c>
      <c r="AME15" s="82">
        <f>AMD15</f>
        <v/>
      </c>
      <c r="AMF15" s="82">
        <f>AME15</f>
        <v/>
      </c>
      <c r="AMG15" s="82">
        <f>AMF15</f>
        <v/>
      </c>
      <c r="AMH15" s="82">
        <f>AMG15</f>
        <v/>
      </c>
      <c r="AMI15" s="82">
        <f>AMH15</f>
        <v/>
      </c>
      <c r="AMJ15" s="82">
        <f>AMI15</f>
        <v/>
      </c>
      <c r="AMK15" s="82">
        <f>AMJ15</f>
        <v/>
      </c>
      <c r="AML15" s="82">
        <f>AMK15</f>
        <v/>
      </c>
      <c r="AMM15" s="82">
        <f>AML15</f>
        <v/>
      </c>
      <c r="AMN15" s="82">
        <f>AMM15</f>
        <v/>
      </c>
      <c r="AMO15" s="82">
        <f>AMN15</f>
        <v/>
      </c>
      <c r="AMP15" s="82">
        <f>AMO15</f>
        <v/>
      </c>
      <c r="AMQ15" s="82">
        <f>AMP15</f>
        <v/>
      </c>
      <c r="AMR15" s="82">
        <f>AMQ15</f>
        <v/>
      </c>
      <c r="AMS15" s="82">
        <f>AMR15</f>
        <v/>
      </c>
      <c r="AMT15" s="82">
        <f>AMS15</f>
        <v/>
      </c>
      <c r="AMU15" s="82">
        <f>AMT15</f>
        <v/>
      </c>
      <c r="AMV15" s="82">
        <f>AMU15</f>
        <v/>
      </c>
      <c r="AMW15" s="82">
        <f>AMV15</f>
        <v/>
      </c>
      <c r="AMX15" s="82">
        <f>AMW15</f>
        <v/>
      </c>
      <c r="AMY15" s="130" t="n"/>
      <c r="AMZ15" s="82">
        <f>AMX28</f>
        <v/>
      </c>
      <c r="ANA15" s="82">
        <f>AMZ15</f>
        <v/>
      </c>
      <c r="ANB15" s="82">
        <f>ANA15</f>
        <v/>
      </c>
      <c r="ANC15" s="82">
        <f>ANB15</f>
        <v/>
      </c>
      <c r="AND15" s="82">
        <f>ANC15</f>
        <v/>
      </c>
      <c r="ANE15" s="82">
        <f>AND15</f>
        <v/>
      </c>
      <c r="ANF15" s="82">
        <f>ANE15</f>
        <v/>
      </c>
      <c r="ANG15" s="82">
        <f>ANF15</f>
        <v/>
      </c>
      <c r="ANH15" s="82">
        <f>ANG15</f>
        <v/>
      </c>
      <c r="ANI15" s="82">
        <f>ANH15</f>
        <v/>
      </c>
      <c r="ANJ15" s="82">
        <f>ANI15</f>
        <v/>
      </c>
      <c r="ANK15" s="82">
        <f>ANJ15</f>
        <v/>
      </c>
      <c r="ANL15" s="82" t="n">
        <v>0</v>
      </c>
      <c r="ANM15" s="82">
        <f>ANL15</f>
        <v/>
      </c>
      <c r="ANN15" s="82">
        <f>ANM15</f>
        <v/>
      </c>
      <c r="ANO15" s="82">
        <f>ANN15</f>
        <v/>
      </c>
      <c r="ANP15" s="82">
        <f>ANO15</f>
        <v/>
      </c>
      <c r="ANQ15" s="82">
        <f>ANP15</f>
        <v/>
      </c>
      <c r="ANR15" s="82">
        <f>ANQ15</f>
        <v/>
      </c>
      <c r="ANS15" s="82">
        <f>ANR15</f>
        <v/>
      </c>
      <c r="ANT15" s="82">
        <f>ANS15</f>
        <v/>
      </c>
      <c r="ANU15" s="82">
        <f>ANT15</f>
        <v/>
      </c>
      <c r="ANV15" s="82">
        <f>ANU15</f>
        <v/>
      </c>
      <c r="ANW15" s="82">
        <f>ANV15</f>
        <v/>
      </c>
      <c r="ANX15" s="82">
        <f>ANW15</f>
        <v/>
      </c>
      <c r="ANY15" s="82">
        <f>ANX15</f>
        <v/>
      </c>
      <c r="ANZ15" s="82">
        <f>ANY15</f>
        <v/>
      </c>
      <c r="AOA15" s="82">
        <f>ANZ15</f>
        <v/>
      </c>
      <c r="AOB15" s="82">
        <f>AOA15</f>
        <v/>
      </c>
      <c r="AOC15" s="82">
        <f>AOB15</f>
        <v/>
      </c>
    </row>
    <row r="16">
      <c r="B16" t="inlineStr">
        <is>
          <t>Visa card CF</t>
        </is>
      </c>
      <c r="C16" s="52" t="n">
        <v>17545907</v>
      </c>
      <c r="D16" s="52">
        <f>C16</f>
        <v/>
      </c>
      <c r="E16" s="52" t="n">
        <v>0</v>
      </c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98" t="n"/>
      <c r="AI16" s="82">
        <f>AG28</f>
        <v/>
      </c>
      <c r="AJ16" s="82">
        <f>AI16</f>
        <v/>
      </c>
      <c r="AK16" s="82">
        <f>AJ16</f>
        <v/>
      </c>
      <c r="AL16" s="82">
        <f>AK16</f>
        <v/>
      </c>
      <c r="AM16" s="82">
        <f>AL16</f>
        <v/>
      </c>
      <c r="AN16" s="82">
        <f>AM16</f>
        <v/>
      </c>
      <c r="AO16" s="82">
        <f>AN16</f>
        <v/>
      </c>
      <c r="AP16" s="82">
        <f>AO16</f>
        <v/>
      </c>
      <c r="AQ16" s="82">
        <f>AP16</f>
        <v/>
      </c>
      <c r="AR16" s="82">
        <f>AQ16</f>
        <v/>
      </c>
      <c r="AS16" s="82" t="n">
        <v>768400</v>
      </c>
      <c r="AT16" s="82">
        <f>AS16</f>
        <v/>
      </c>
      <c r="AU16" s="82">
        <f>AT16</f>
        <v/>
      </c>
      <c r="AV16" s="82">
        <f>AU16</f>
        <v/>
      </c>
      <c r="AW16" s="82">
        <f>AV16</f>
        <v/>
      </c>
      <c r="AX16" s="82">
        <f>AW16+300000</f>
        <v/>
      </c>
      <c r="AY16" s="82">
        <f>AX16</f>
        <v/>
      </c>
      <c r="AZ16" s="82">
        <f>AY16</f>
        <v/>
      </c>
      <c r="BA16" s="82">
        <f>AZ16</f>
        <v/>
      </c>
      <c r="BB16" s="82">
        <f>BA16</f>
        <v/>
      </c>
      <c r="BC16" s="82">
        <f>BB16</f>
        <v/>
      </c>
      <c r="BD16" s="82">
        <f>BC16</f>
        <v/>
      </c>
      <c r="BE16" s="82">
        <f>BD16</f>
        <v/>
      </c>
      <c r="BF16" s="82">
        <f>BE16</f>
        <v/>
      </c>
      <c r="BG16" s="82">
        <f>BF16</f>
        <v/>
      </c>
      <c r="BH16" s="82">
        <f>BG16</f>
        <v/>
      </c>
      <c r="BI16" s="82">
        <f>BH16</f>
        <v/>
      </c>
      <c r="BJ16" s="82">
        <f>BI16</f>
        <v/>
      </c>
      <c r="BK16" s="82">
        <f>BJ16</f>
        <v/>
      </c>
      <c r="BL16" s="82">
        <f>BK16</f>
        <v/>
      </c>
      <c r="BM16" s="106">
        <f>BL16+BL28</f>
        <v/>
      </c>
      <c r="BN16" s="82">
        <f>BM16</f>
        <v/>
      </c>
      <c r="BO16" s="82">
        <f>BN16</f>
        <v/>
      </c>
      <c r="BP16" s="82">
        <f>BO16</f>
        <v/>
      </c>
      <c r="BQ16" s="82">
        <f>BP16</f>
        <v/>
      </c>
      <c r="BR16" s="82">
        <f>BQ16</f>
        <v/>
      </c>
      <c r="BS16" s="82">
        <f>BR16</f>
        <v/>
      </c>
      <c r="BT16" s="82">
        <f>BS16</f>
        <v/>
      </c>
      <c r="BU16" s="82">
        <f>BT16</f>
        <v/>
      </c>
      <c r="BV16" s="82">
        <f>BU16</f>
        <v/>
      </c>
      <c r="BW16" s="82">
        <f>BV16</f>
        <v/>
      </c>
      <c r="BX16" s="82">
        <f>BW16</f>
        <v/>
      </c>
      <c r="BY16" s="82">
        <f>BX16</f>
        <v/>
      </c>
      <c r="BZ16" s="82">
        <f>BY16</f>
        <v/>
      </c>
      <c r="CA16" s="82">
        <f>963264+300000</f>
        <v/>
      </c>
      <c r="CB16" s="82">
        <f>CA16</f>
        <v/>
      </c>
      <c r="CC16" s="82">
        <f>CB16</f>
        <v/>
      </c>
      <c r="CD16" s="82">
        <f>CC16</f>
        <v/>
      </c>
      <c r="CE16" s="82">
        <f>CD16</f>
        <v/>
      </c>
      <c r="CF16" s="82">
        <f>CE16</f>
        <v/>
      </c>
      <c r="CG16" s="82">
        <f>CF16</f>
        <v/>
      </c>
      <c r="CH16" s="82">
        <f>CG16</f>
        <v/>
      </c>
      <c r="CI16" s="82">
        <f>CH16</f>
        <v/>
      </c>
      <c r="CJ16" s="82">
        <f>CI16</f>
        <v/>
      </c>
      <c r="CK16" s="82">
        <f>CJ16</f>
        <v/>
      </c>
      <c r="CL16" s="82">
        <f>CK16+100000</f>
        <v/>
      </c>
      <c r="CM16" s="82">
        <f>CL16</f>
        <v/>
      </c>
      <c r="CN16" s="82">
        <f>CM16</f>
        <v/>
      </c>
      <c r="CO16" s="82">
        <f>CN16</f>
        <v/>
      </c>
      <c r="CP16" s="82">
        <f>CO16+60000</f>
        <v/>
      </c>
      <c r="CQ16" s="82">
        <f>CP16</f>
        <v/>
      </c>
      <c r="CR16" s="82">
        <f>CQ16</f>
        <v/>
      </c>
      <c r="CT16" s="82">
        <f>CR16+CR28</f>
        <v/>
      </c>
      <c r="CU16" s="82">
        <f>CT16</f>
        <v/>
      </c>
      <c r="CV16" s="82">
        <f>CT16</f>
        <v/>
      </c>
      <c r="CW16" s="82">
        <f>704900+60000+120000</f>
        <v/>
      </c>
      <c r="CX16" s="82">
        <f>CW16</f>
        <v/>
      </c>
      <c r="CY16" s="82">
        <f>CW16-120000</f>
        <v/>
      </c>
      <c r="CZ16" s="82">
        <f>CY16</f>
        <v/>
      </c>
      <c r="DA16" s="82">
        <f>CY16</f>
        <v/>
      </c>
      <c r="DB16" s="82">
        <f>CZ16</f>
        <v/>
      </c>
      <c r="DC16" s="82">
        <f>DA16</f>
        <v/>
      </c>
      <c r="DD16" s="82">
        <f>DB16</f>
        <v/>
      </c>
      <c r="DE16" s="82">
        <f>DC16</f>
        <v/>
      </c>
      <c r="DF16" s="82">
        <f>DD16</f>
        <v/>
      </c>
      <c r="DG16" s="82">
        <f>DE16</f>
        <v/>
      </c>
      <c r="DH16" s="82">
        <f>DF16</f>
        <v/>
      </c>
      <c r="DI16" s="82">
        <f>DG16</f>
        <v/>
      </c>
      <c r="DJ16" s="82">
        <f>DH16</f>
        <v/>
      </c>
      <c r="DK16" s="82">
        <f>DI16</f>
        <v/>
      </c>
      <c r="DL16" s="82">
        <f>DJ16</f>
        <v/>
      </c>
      <c r="DM16" s="82">
        <f>DK16+100000</f>
        <v/>
      </c>
      <c r="DN16" s="82">
        <f>DM16</f>
        <v/>
      </c>
      <c r="DO16" s="82">
        <f>DM16</f>
        <v/>
      </c>
      <c r="DP16" s="82">
        <f>DN16</f>
        <v/>
      </c>
      <c r="DQ16" s="82">
        <f>DO16</f>
        <v/>
      </c>
      <c r="DR16" s="82">
        <f>DP16</f>
        <v/>
      </c>
      <c r="DS16" s="82">
        <f>DQ16</f>
        <v/>
      </c>
      <c r="DT16" s="82">
        <f>DR16</f>
        <v/>
      </c>
      <c r="DU16" s="82">
        <f>DS16-100000+224000</f>
        <v/>
      </c>
      <c r="DV16" s="82">
        <f>DU16</f>
        <v/>
      </c>
      <c r="DW16" s="82">
        <f>DU16</f>
        <v/>
      </c>
      <c r="DX16" s="117" t="n"/>
      <c r="DY16" s="82">
        <f>DW16+DW28</f>
        <v/>
      </c>
      <c r="DZ16" s="82">
        <f>DY16</f>
        <v/>
      </c>
      <c r="EA16" s="82">
        <f>DZ16</f>
        <v/>
      </c>
      <c r="EB16" s="82">
        <f>EA16</f>
        <v/>
      </c>
      <c r="EC16" s="82">
        <f>EB16</f>
        <v/>
      </c>
      <c r="ED16" s="82">
        <f>EC16</f>
        <v/>
      </c>
      <c r="EE16" s="82">
        <f>ED16</f>
        <v/>
      </c>
      <c r="EF16" s="82">
        <f>EE16</f>
        <v/>
      </c>
      <c r="EG16" s="82">
        <f>EF16</f>
        <v/>
      </c>
      <c r="EH16" s="82">
        <f>EG16</f>
        <v/>
      </c>
      <c r="EI16" s="82" t="n">
        <v>177800</v>
      </c>
      <c r="EJ16" s="82">
        <f>EI16</f>
        <v/>
      </c>
      <c r="EK16" s="82">
        <f>EJ16</f>
        <v/>
      </c>
      <c r="EL16" s="82">
        <f>EK16</f>
        <v/>
      </c>
      <c r="EM16" s="82">
        <f>EL16</f>
        <v/>
      </c>
      <c r="EN16" s="82">
        <f>EM16</f>
        <v/>
      </c>
      <c r="EO16" s="82">
        <f>EN16</f>
        <v/>
      </c>
      <c r="EP16" s="82">
        <f>EO16</f>
        <v/>
      </c>
      <c r="EQ16" s="82">
        <f>EP16</f>
        <v/>
      </c>
      <c r="ER16" s="82">
        <f>EQ16</f>
        <v/>
      </c>
      <c r="ES16" s="82">
        <f>ER16</f>
        <v/>
      </c>
      <c r="ET16" s="82">
        <f>ES16</f>
        <v/>
      </c>
      <c r="EU16" s="82">
        <f>ET16</f>
        <v/>
      </c>
      <c r="EV16" s="82">
        <f>EU16</f>
        <v/>
      </c>
      <c r="EW16" s="82">
        <f>EV16</f>
        <v/>
      </c>
      <c r="EX16" s="82">
        <f>EW16</f>
        <v/>
      </c>
      <c r="EY16" s="82">
        <f>EX16</f>
        <v/>
      </c>
      <c r="EZ16" s="82">
        <f>EY16</f>
        <v/>
      </c>
      <c r="FA16" s="82">
        <f>EZ16</f>
        <v/>
      </c>
      <c r="FB16" s="82">
        <f>FA16</f>
        <v/>
      </c>
      <c r="FC16" s="82">
        <f>FB16</f>
        <v/>
      </c>
      <c r="FD16" s="126" t="n"/>
      <c r="FE16" s="82">
        <f>FC16+FC28</f>
        <v/>
      </c>
      <c r="FF16" s="82">
        <f>FE16</f>
        <v/>
      </c>
      <c r="FG16" s="82">
        <f>FF16</f>
        <v/>
      </c>
      <c r="FH16" s="82" t="n">
        <v>1380715</v>
      </c>
      <c r="FI16" s="82">
        <f>FH16</f>
        <v/>
      </c>
      <c r="FJ16" s="82">
        <f>FI16</f>
        <v/>
      </c>
      <c r="FK16" s="82">
        <f>FJ16</f>
        <v/>
      </c>
      <c r="FL16" s="82">
        <f>FK16</f>
        <v/>
      </c>
      <c r="FM16" s="82">
        <f>FL16</f>
        <v/>
      </c>
      <c r="FN16" s="82">
        <f>FM16</f>
        <v/>
      </c>
      <c r="FO16" s="82">
        <f>FN16</f>
        <v/>
      </c>
      <c r="FP16" s="82">
        <f>FO16</f>
        <v/>
      </c>
      <c r="FQ16" s="82">
        <f>FP16</f>
        <v/>
      </c>
      <c r="FR16" s="82">
        <f>FQ16</f>
        <v/>
      </c>
      <c r="FS16" s="82">
        <f>FR16</f>
        <v/>
      </c>
      <c r="FT16" s="82">
        <f>FS16</f>
        <v/>
      </c>
      <c r="FU16" s="82">
        <f>FT16</f>
        <v/>
      </c>
      <c r="FV16" s="82">
        <f>FU16</f>
        <v/>
      </c>
      <c r="FW16" s="82">
        <f>FV16</f>
        <v/>
      </c>
      <c r="FX16" s="82">
        <f>FW16</f>
        <v/>
      </c>
      <c r="FY16" s="82">
        <f>FX16</f>
        <v/>
      </c>
      <c r="FZ16" s="82">
        <f>FY16</f>
        <v/>
      </c>
      <c r="GA16" s="82">
        <f>FZ16</f>
        <v/>
      </c>
      <c r="GB16" s="82">
        <f>GA16</f>
        <v/>
      </c>
      <c r="GC16" s="82">
        <f>GB16</f>
        <v/>
      </c>
      <c r="GD16" s="82">
        <f>GC16</f>
        <v/>
      </c>
      <c r="GE16" s="82">
        <f>GD16</f>
        <v/>
      </c>
      <c r="GF16" s="82">
        <f>GE16</f>
        <v/>
      </c>
      <c r="GG16" s="82">
        <f>GF16</f>
        <v/>
      </c>
      <c r="GH16" s="82">
        <f>GG16</f>
        <v/>
      </c>
      <c r="GI16" s="82">
        <f>GH16</f>
        <v/>
      </c>
      <c r="GJ16" s="130" t="n"/>
      <c r="GK16" s="82">
        <f>GI16+13360026</f>
        <v/>
      </c>
      <c r="GL16" s="82">
        <f>GK16</f>
        <v/>
      </c>
      <c r="GM16" s="82">
        <f>GL16</f>
        <v/>
      </c>
      <c r="GN16" s="82">
        <f>GM16</f>
        <v/>
      </c>
      <c r="GO16" s="82">
        <f>GN16</f>
        <v/>
      </c>
      <c r="GP16" s="82">
        <f>GO16</f>
        <v/>
      </c>
      <c r="GQ16" s="82">
        <f>GP16</f>
        <v/>
      </c>
      <c r="GR16" s="82">
        <f>GQ16</f>
        <v/>
      </c>
      <c r="GS16" s="82">
        <f>GR16</f>
        <v/>
      </c>
      <c r="GT16" s="82">
        <f>GS16</f>
        <v/>
      </c>
      <c r="GU16" s="82" t="n">
        <v>1251429</v>
      </c>
      <c r="GV16" s="82">
        <f>GU16</f>
        <v/>
      </c>
      <c r="GW16" s="82">
        <f>GV16</f>
        <v/>
      </c>
      <c r="GX16" s="82">
        <f>GW16</f>
        <v/>
      </c>
      <c r="GY16" s="82">
        <f>GX16</f>
        <v/>
      </c>
      <c r="GZ16" s="82">
        <f>GY16</f>
        <v/>
      </c>
      <c r="HA16" s="82">
        <f>GZ16</f>
        <v/>
      </c>
      <c r="HB16" s="82">
        <f>HA16</f>
        <v/>
      </c>
      <c r="HC16" s="82">
        <f>HB16</f>
        <v/>
      </c>
      <c r="HD16" s="82">
        <f>HC16</f>
        <v/>
      </c>
      <c r="HE16" s="82">
        <f>HD16</f>
        <v/>
      </c>
      <c r="HF16" s="82">
        <f>HE16</f>
        <v/>
      </c>
      <c r="HG16" s="82">
        <f>HF16</f>
        <v/>
      </c>
      <c r="HH16" s="82">
        <f>HG16</f>
        <v/>
      </c>
      <c r="HI16" s="82">
        <f>HH16</f>
        <v/>
      </c>
      <c r="HJ16" s="82">
        <f>HI16</f>
        <v/>
      </c>
      <c r="HK16" s="82">
        <f>HJ16</f>
        <v/>
      </c>
      <c r="HL16" s="82">
        <f>HK16</f>
        <v/>
      </c>
      <c r="HM16" s="82">
        <f>HK16</f>
        <v/>
      </c>
      <c r="HN16" s="130" t="n"/>
      <c r="HO16" s="113">
        <f>HM16+11916139</f>
        <v/>
      </c>
      <c r="HP16" s="113">
        <f>HO16</f>
        <v/>
      </c>
      <c r="HQ16" s="113">
        <f>HP16</f>
        <v/>
      </c>
      <c r="HR16" s="113">
        <f>HQ16</f>
        <v/>
      </c>
      <c r="HS16" s="113">
        <f>HR16</f>
        <v/>
      </c>
      <c r="HT16" s="113">
        <f>HS16</f>
        <v/>
      </c>
      <c r="HU16" s="113" t="n">
        <v>1170629</v>
      </c>
      <c r="HV16" s="113">
        <f>HU16</f>
        <v/>
      </c>
      <c r="HW16" s="113">
        <f>HV16</f>
        <v/>
      </c>
      <c r="HX16" s="113">
        <f>HW16</f>
        <v/>
      </c>
      <c r="HY16" s="113">
        <f>HX16</f>
        <v/>
      </c>
      <c r="HZ16" s="113">
        <f>HY16</f>
        <v/>
      </c>
      <c r="IA16" s="113">
        <f>HZ16</f>
        <v/>
      </c>
      <c r="IB16" s="113">
        <f>IA16</f>
        <v/>
      </c>
      <c r="IC16" s="113">
        <f>IB16</f>
        <v/>
      </c>
      <c r="ID16" s="113">
        <f>IC16</f>
        <v/>
      </c>
      <c r="IE16" s="113">
        <f>ID16</f>
        <v/>
      </c>
      <c r="IF16" s="113">
        <f>IE16</f>
        <v/>
      </c>
      <c r="IG16" s="113">
        <f>IF16</f>
        <v/>
      </c>
      <c r="IH16" s="113">
        <f>IG16</f>
        <v/>
      </c>
      <c r="II16" s="113">
        <f>IH16</f>
        <v/>
      </c>
      <c r="IJ16" s="113">
        <f>II16</f>
        <v/>
      </c>
      <c r="IK16" s="113">
        <f>IJ16</f>
        <v/>
      </c>
      <c r="IL16" s="113">
        <f>IK16</f>
        <v/>
      </c>
      <c r="IM16" s="113">
        <f>IL16</f>
        <v/>
      </c>
      <c r="IN16" s="113">
        <f>IM16</f>
        <v/>
      </c>
      <c r="IO16" s="113">
        <f>IN16</f>
        <v/>
      </c>
      <c r="IP16" s="113">
        <f>IO16</f>
        <v/>
      </c>
      <c r="IQ16" s="113">
        <f>IP16</f>
        <v/>
      </c>
      <c r="IR16" s="113">
        <f>IQ16</f>
        <v/>
      </c>
      <c r="IS16" s="113">
        <f>IR16</f>
        <v/>
      </c>
      <c r="IT16" s="130" t="n"/>
      <c r="IU16" s="113">
        <f>IS16+IS28</f>
        <v/>
      </c>
      <c r="IV16" s="82">
        <f>IU16</f>
        <v/>
      </c>
      <c r="IW16" s="82" t="n">
        <v>766929</v>
      </c>
      <c r="IX16" s="82">
        <f>IW16</f>
        <v/>
      </c>
      <c r="IY16" s="82">
        <f>IX16</f>
        <v/>
      </c>
      <c r="IZ16" s="82">
        <f>IY16</f>
        <v/>
      </c>
      <c r="JA16" s="82">
        <f>IZ16</f>
        <v/>
      </c>
      <c r="JB16" s="82">
        <f>JA16</f>
        <v/>
      </c>
      <c r="JC16" s="82">
        <f>JB16</f>
        <v/>
      </c>
      <c r="JD16" s="82">
        <f>JC16</f>
        <v/>
      </c>
      <c r="JE16" s="82">
        <f>JD16</f>
        <v/>
      </c>
      <c r="JF16" s="82">
        <f>JE16</f>
        <v/>
      </c>
      <c r="JG16" s="82">
        <f>JF16</f>
        <v/>
      </c>
      <c r="JH16" s="82">
        <f>JG16</f>
        <v/>
      </c>
      <c r="JI16" s="82">
        <f>JH16</f>
        <v/>
      </c>
      <c r="JJ16" s="82">
        <f>JI16</f>
        <v/>
      </c>
      <c r="JK16" s="82">
        <f>JJ16</f>
        <v/>
      </c>
      <c r="JL16" s="82">
        <f>JK16</f>
        <v/>
      </c>
      <c r="JM16" s="82">
        <f>JL16</f>
        <v/>
      </c>
      <c r="JN16" s="82">
        <f>JM16</f>
        <v/>
      </c>
      <c r="JO16" s="82">
        <f>JN16</f>
        <v/>
      </c>
      <c r="JP16" s="82">
        <f>JO16</f>
        <v/>
      </c>
      <c r="JQ16" s="82">
        <f>JP16</f>
        <v/>
      </c>
      <c r="JR16" s="82">
        <f>JQ16</f>
        <v/>
      </c>
      <c r="JS16" s="82">
        <f>JR16</f>
        <v/>
      </c>
      <c r="JT16" s="82">
        <f>JS16</f>
        <v/>
      </c>
      <c r="JU16" s="82">
        <f>JT16</f>
        <v/>
      </c>
      <c r="JV16" s="82">
        <f>JU16</f>
        <v/>
      </c>
      <c r="JW16" s="82">
        <f>JV16</f>
        <v/>
      </c>
      <c r="JX16" s="82">
        <f>JW16</f>
        <v/>
      </c>
      <c r="JY16" s="133" t="n"/>
      <c r="JZ16" s="82">
        <f>JX28+766929</f>
        <v/>
      </c>
      <c r="KA16" s="82">
        <f>JZ16</f>
        <v/>
      </c>
      <c r="KB16" s="82">
        <f>KA16</f>
        <v/>
      </c>
      <c r="KC16" s="82">
        <f>KB16</f>
        <v/>
      </c>
      <c r="KD16" s="82">
        <f>KC16</f>
        <v/>
      </c>
      <c r="KE16" s="82">
        <f>KD16</f>
        <v/>
      </c>
      <c r="KF16" s="82">
        <f>KE16</f>
        <v/>
      </c>
      <c r="KG16" s="82" t="n">
        <v>1018600</v>
      </c>
      <c r="KH16" s="82">
        <f>KG16</f>
        <v/>
      </c>
      <c r="KI16" s="82">
        <f>KH16</f>
        <v/>
      </c>
      <c r="KJ16" s="82">
        <f>KI16</f>
        <v/>
      </c>
      <c r="KK16" s="82">
        <f>KJ16</f>
        <v/>
      </c>
      <c r="KL16" s="82">
        <f>KK16</f>
        <v/>
      </c>
      <c r="KM16" s="82">
        <f>KL16</f>
        <v/>
      </c>
      <c r="KN16" s="82">
        <f>KM16</f>
        <v/>
      </c>
      <c r="KO16" s="82">
        <f>KN16</f>
        <v/>
      </c>
      <c r="KP16" s="82">
        <f>KO16</f>
        <v/>
      </c>
      <c r="KQ16" s="82">
        <f>KP16</f>
        <v/>
      </c>
      <c r="KR16" s="82">
        <f>KQ16</f>
        <v/>
      </c>
      <c r="KS16" s="82">
        <f>KR16</f>
        <v/>
      </c>
      <c r="KT16" s="82">
        <f>KS16</f>
        <v/>
      </c>
      <c r="KU16" s="82">
        <f>KT16</f>
        <v/>
      </c>
      <c r="KV16" s="82">
        <f>KU16</f>
        <v/>
      </c>
      <c r="KW16" s="82">
        <f>KV16</f>
        <v/>
      </c>
      <c r="KX16" s="82">
        <f>KW16</f>
        <v/>
      </c>
      <c r="KY16" s="82">
        <f>KX16</f>
        <v/>
      </c>
      <c r="KZ16" s="82">
        <f>KY16</f>
        <v/>
      </c>
      <c r="LA16" s="82">
        <f>KZ16</f>
        <v/>
      </c>
      <c r="LB16" s="82">
        <f>LA16</f>
        <v/>
      </c>
      <c r="LC16" s="82">
        <f>LB16</f>
        <v/>
      </c>
      <c r="LD16" s="82">
        <f>LC16</f>
        <v/>
      </c>
      <c r="LE16" s="130" t="n"/>
      <c r="LF16" s="82">
        <f>LD16+LD28</f>
        <v/>
      </c>
      <c r="LG16" s="82">
        <f>LF16</f>
        <v/>
      </c>
      <c r="LH16" s="82">
        <f>LG16</f>
        <v/>
      </c>
      <c r="LI16" s="82">
        <f>LH16</f>
        <v/>
      </c>
      <c r="LJ16" s="82">
        <f>LI16</f>
        <v/>
      </c>
      <c r="LK16" s="82">
        <f>LJ16</f>
        <v/>
      </c>
      <c r="LL16" s="82">
        <f>LK16</f>
        <v/>
      </c>
      <c r="LM16" s="82">
        <f>LL16</f>
        <v/>
      </c>
      <c r="LN16" s="82">
        <f>LM16</f>
        <v/>
      </c>
      <c r="LO16" s="82">
        <f>LN16</f>
        <v/>
      </c>
      <c r="LP16" s="82">
        <f>LO16</f>
        <v/>
      </c>
      <c r="LQ16" s="82">
        <f>LP16</f>
        <v/>
      </c>
      <c r="LR16" s="82" t="n">
        <v>1210000</v>
      </c>
      <c r="LS16" s="82">
        <f>LR16</f>
        <v/>
      </c>
      <c r="LT16" s="82">
        <f>LS16</f>
        <v/>
      </c>
      <c r="LU16" s="82">
        <f>LT16</f>
        <v/>
      </c>
      <c r="LV16" s="82">
        <f>LU16</f>
        <v/>
      </c>
      <c r="LW16" s="82">
        <f>LV16</f>
        <v/>
      </c>
      <c r="LX16" s="82">
        <f>LW16</f>
        <v/>
      </c>
      <c r="LY16" s="82">
        <f>LX16</f>
        <v/>
      </c>
      <c r="LZ16" s="82">
        <f>LY16</f>
        <v/>
      </c>
      <c r="MA16" s="82">
        <f>LZ16</f>
        <v/>
      </c>
      <c r="MB16" s="82">
        <f>MA16</f>
        <v/>
      </c>
      <c r="MC16" s="82">
        <f>MB16</f>
        <v/>
      </c>
      <c r="MD16" s="82">
        <f>MC16</f>
        <v/>
      </c>
      <c r="ME16" s="82">
        <f>MD16</f>
        <v/>
      </c>
      <c r="MF16" s="82">
        <f>ME16</f>
        <v/>
      </c>
      <c r="MG16" s="82">
        <f>MF16</f>
        <v/>
      </c>
      <c r="MH16" s="82">
        <f>MG16</f>
        <v/>
      </c>
      <c r="MI16" s="82">
        <f>MH16</f>
        <v/>
      </c>
      <c r="MJ16" s="133" t="n"/>
      <c r="MK16" s="82">
        <f>MI16+MI28</f>
        <v/>
      </c>
      <c r="ML16" s="82">
        <f>MK16</f>
        <v/>
      </c>
      <c r="MM16" s="82">
        <f>ML16</f>
        <v/>
      </c>
      <c r="MN16" s="82">
        <f>MM16</f>
        <v/>
      </c>
      <c r="MO16" s="82">
        <f>MN16</f>
        <v/>
      </c>
      <c r="MP16" s="82">
        <f>MO16</f>
        <v/>
      </c>
      <c r="MQ16" s="82">
        <f>MP16</f>
        <v/>
      </c>
      <c r="MR16" s="82">
        <f>MQ16</f>
        <v/>
      </c>
      <c r="MS16" s="82">
        <f>MR16</f>
        <v/>
      </c>
      <c r="MT16" s="82">
        <f>MS16</f>
        <v/>
      </c>
      <c r="MU16" s="82">
        <f>MT16</f>
        <v/>
      </c>
      <c r="MV16" s="82">
        <f>MU16</f>
        <v/>
      </c>
      <c r="MW16" s="82">
        <f>MV16</f>
        <v/>
      </c>
      <c r="MX16" s="82">
        <f>MW16</f>
        <v/>
      </c>
      <c r="MY16" s="82">
        <f>MX16</f>
        <v/>
      </c>
      <c r="MZ16" s="82">
        <f>MY16</f>
        <v/>
      </c>
      <c r="NA16" s="82">
        <f>MZ16</f>
        <v/>
      </c>
      <c r="NB16" s="82">
        <f>NA16</f>
        <v/>
      </c>
      <c r="NC16" s="82">
        <f>NB16</f>
        <v/>
      </c>
      <c r="ND16" s="82">
        <f>NC16</f>
        <v/>
      </c>
      <c r="NE16" s="82">
        <f>ND16</f>
        <v/>
      </c>
      <c r="NF16" s="82">
        <f>NE16</f>
        <v/>
      </c>
      <c r="NG16" s="82">
        <f>NF16</f>
        <v/>
      </c>
      <c r="NH16" s="82" t="n">
        <v>423215</v>
      </c>
      <c r="NI16" s="82">
        <f>NH16</f>
        <v/>
      </c>
      <c r="NJ16" s="82">
        <f>NI16</f>
        <v/>
      </c>
      <c r="NK16" s="82">
        <f>NJ16</f>
        <v/>
      </c>
      <c r="NL16" s="82">
        <f>NK16</f>
        <v/>
      </c>
      <c r="NM16" s="82">
        <f>NL16</f>
        <v/>
      </c>
      <c r="NN16" s="82">
        <f>NM16</f>
        <v/>
      </c>
      <c r="NO16" s="82">
        <f>NN16</f>
        <v/>
      </c>
      <c r="NP16" s="133" t="n"/>
      <c r="NQ16" s="82">
        <f>NO16+NO28</f>
        <v/>
      </c>
      <c r="NR16" s="82">
        <f>NQ16</f>
        <v/>
      </c>
      <c r="NS16" s="82">
        <f>NR16</f>
        <v/>
      </c>
      <c r="NT16" s="82">
        <f>NS16</f>
        <v/>
      </c>
      <c r="NU16" s="82">
        <f>NT16</f>
        <v/>
      </c>
      <c r="NV16" s="82" t="n">
        <v>0</v>
      </c>
      <c r="NW16" s="82" t="n">
        <v>0</v>
      </c>
      <c r="NX16" s="82" t="n">
        <v>0</v>
      </c>
      <c r="NY16" s="82" t="n">
        <v>0</v>
      </c>
      <c r="NZ16" s="82" t="n">
        <v>0</v>
      </c>
      <c r="OA16" s="82" t="n">
        <v>0</v>
      </c>
      <c r="OB16" s="82" t="n">
        <v>0</v>
      </c>
      <c r="OC16" s="82" t="n">
        <v>0</v>
      </c>
      <c r="OD16" s="82" t="n">
        <v>0</v>
      </c>
      <c r="OE16" s="82" t="n">
        <v>0</v>
      </c>
      <c r="OF16" s="82" t="n">
        <v>0</v>
      </c>
      <c r="OG16" s="82" t="n">
        <v>0</v>
      </c>
      <c r="OH16" s="82" t="n">
        <v>0</v>
      </c>
      <c r="OI16" s="82" t="n">
        <v>0</v>
      </c>
      <c r="OJ16" s="82" t="n">
        <v>0</v>
      </c>
      <c r="OK16" s="82" t="n">
        <v>0</v>
      </c>
      <c r="OL16" s="82" t="n">
        <v>0</v>
      </c>
      <c r="OM16" s="82" t="n">
        <v>0</v>
      </c>
      <c r="ON16" s="82" t="n">
        <v>0</v>
      </c>
      <c r="OO16" s="82" t="n">
        <v>0</v>
      </c>
      <c r="OP16" s="82" t="n">
        <v>0</v>
      </c>
      <c r="OQ16" s="82" t="n">
        <v>0</v>
      </c>
      <c r="OR16" s="82" t="n">
        <v>0</v>
      </c>
      <c r="OS16" s="82" t="n">
        <v>0</v>
      </c>
      <c r="OT16" s="82" t="n">
        <v>0</v>
      </c>
      <c r="OU16" s="82" t="n">
        <v>0</v>
      </c>
      <c r="OV16" s="130" t="n"/>
      <c r="OW16" s="82">
        <f>OU28</f>
        <v/>
      </c>
      <c r="OX16" s="82">
        <f>OW16</f>
        <v/>
      </c>
      <c r="OY16" s="82">
        <f>OX16</f>
        <v/>
      </c>
      <c r="OZ16" s="82">
        <f>OY16</f>
        <v/>
      </c>
      <c r="PA16" s="82">
        <f>OZ16</f>
        <v/>
      </c>
      <c r="PB16" s="82">
        <f>PA16</f>
        <v/>
      </c>
      <c r="PC16" s="82">
        <f>PB16</f>
        <v/>
      </c>
      <c r="PD16" s="82">
        <f>PC16</f>
        <v/>
      </c>
      <c r="PE16" s="82">
        <f>PD16</f>
        <v/>
      </c>
      <c r="PF16" s="82">
        <f>PE16</f>
        <v/>
      </c>
      <c r="PG16" s="82">
        <f>PF16</f>
        <v/>
      </c>
      <c r="PH16" s="82" t="n">
        <v>285221</v>
      </c>
      <c r="PI16" s="82">
        <f>PH16</f>
        <v/>
      </c>
      <c r="PJ16" s="82">
        <f>PI16</f>
        <v/>
      </c>
      <c r="PK16" s="82">
        <f>PJ16</f>
        <v/>
      </c>
      <c r="PL16" s="82">
        <f>PK16</f>
        <v/>
      </c>
      <c r="PM16" s="82">
        <f>PL16</f>
        <v/>
      </c>
      <c r="PN16" s="82">
        <f>PM16</f>
        <v/>
      </c>
      <c r="PO16" s="82">
        <f>PN16</f>
        <v/>
      </c>
      <c r="PP16" s="82">
        <f>PO16</f>
        <v/>
      </c>
      <c r="PQ16" s="82">
        <f>PP16</f>
        <v/>
      </c>
      <c r="PR16" s="82">
        <f>PQ16</f>
        <v/>
      </c>
      <c r="PS16" s="82">
        <f>PR16</f>
        <v/>
      </c>
      <c r="PT16" s="82">
        <f>PS16</f>
        <v/>
      </c>
      <c r="PU16" s="82">
        <f>PT16</f>
        <v/>
      </c>
      <c r="PV16" s="82">
        <f>PU16</f>
        <v/>
      </c>
      <c r="PW16" s="82">
        <f>PV16</f>
        <v/>
      </c>
      <c r="PX16" s="82">
        <f>PW16</f>
        <v/>
      </c>
      <c r="PY16" s="82">
        <f>PX16</f>
        <v/>
      </c>
      <c r="PZ16" s="82">
        <f>PY16</f>
        <v/>
      </c>
      <c r="QA16" s="130" t="n"/>
      <c r="QB16" s="82">
        <f>PZ16+PZ28</f>
        <v/>
      </c>
      <c r="QC16" s="82">
        <f>QB16</f>
        <v/>
      </c>
      <c r="QD16" s="82">
        <f>QC16</f>
        <v/>
      </c>
      <c r="QE16" s="82">
        <f>QD16</f>
        <v/>
      </c>
      <c r="QF16" s="82">
        <f>QE16</f>
        <v/>
      </c>
      <c r="QG16" s="82">
        <f>QF16</f>
        <v/>
      </c>
      <c r="QH16" s="82" t="n">
        <v>52944</v>
      </c>
      <c r="QI16" s="82">
        <f>QH16</f>
        <v/>
      </c>
      <c r="QJ16" s="82">
        <f>QI16</f>
        <v/>
      </c>
      <c r="QK16" s="82">
        <f>QJ16</f>
        <v/>
      </c>
      <c r="QL16" s="82">
        <f>QK16</f>
        <v/>
      </c>
      <c r="QM16" s="82">
        <f>QL16</f>
        <v/>
      </c>
      <c r="QN16" s="82">
        <f>QM16</f>
        <v/>
      </c>
      <c r="QO16" s="82">
        <f>QN16</f>
        <v/>
      </c>
      <c r="QP16" s="82">
        <f>QO16</f>
        <v/>
      </c>
      <c r="QQ16" s="82">
        <f>QP16</f>
        <v/>
      </c>
      <c r="QR16" s="82">
        <f>QQ16</f>
        <v/>
      </c>
      <c r="QS16" s="82">
        <f>QR16</f>
        <v/>
      </c>
      <c r="QT16" s="82">
        <f>QS16</f>
        <v/>
      </c>
      <c r="QU16" s="82">
        <f>QT16</f>
        <v/>
      </c>
      <c r="QV16" s="82">
        <f>QU16</f>
        <v/>
      </c>
      <c r="QW16" s="82">
        <f>QV16</f>
        <v/>
      </c>
      <c r="QX16" s="82">
        <f>QW16</f>
        <v/>
      </c>
      <c r="QY16" s="82">
        <f>QX16</f>
        <v/>
      </c>
      <c r="QZ16" s="82">
        <f>QY16</f>
        <v/>
      </c>
      <c r="RA16" s="82">
        <f>QZ16</f>
        <v/>
      </c>
      <c r="RB16" s="82">
        <f>RA16</f>
        <v/>
      </c>
      <c r="RC16" s="82">
        <f>RB16</f>
        <v/>
      </c>
      <c r="RD16" s="82">
        <f>RC16</f>
        <v/>
      </c>
      <c r="RE16" s="82">
        <f>RD16</f>
        <v/>
      </c>
      <c r="RF16" s="82">
        <f>RE16</f>
        <v/>
      </c>
      <c r="RG16" s="130" t="n"/>
      <c r="RH16" s="82">
        <f>RF16+RF28</f>
        <v/>
      </c>
      <c r="RI16" s="82">
        <f>RH16</f>
        <v/>
      </c>
      <c r="RJ16" s="82">
        <f>RI16</f>
        <v/>
      </c>
      <c r="RK16" s="82">
        <f>RJ16</f>
        <v/>
      </c>
      <c r="RL16" s="82">
        <f>RK16</f>
        <v/>
      </c>
      <c r="RM16" s="82">
        <f>RL16</f>
        <v/>
      </c>
      <c r="RN16" s="82">
        <f>RM16</f>
        <v/>
      </c>
      <c r="RO16" s="82">
        <f>RN16</f>
        <v/>
      </c>
      <c r="RP16" s="82">
        <f>RO16</f>
        <v/>
      </c>
      <c r="RQ16" s="82">
        <f>RP16</f>
        <v/>
      </c>
      <c r="RR16" s="82" t="n">
        <v>0</v>
      </c>
      <c r="RS16" s="82">
        <f>RR16</f>
        <v/>
      </c>
      <c r="RT16" s="82">
        <f>RS16</f>
        <v/>
      </c>
      <c r="RU16" s="82">
        <f>RT16</f>
        <v/>
      </c>
      <c r="RV16" s="82">
        <f>RU16</f>
        <v/>
      </c>
      <c r="RW16" s="82">
        <f>RV16</f>
        <v/>
      </c>
      <c r="RX16" s="82">
        <f>RW16</f>
        <v/>
      </c>
      <c r="RY16" s="82">
        <f>RX16</f>
        <v/>
      </c>
      <c r="RZ16" s="82">
        <f>RY16</f>
        <v/>
      </c>
      <c r="SA16" s="82">
        <f>RZ16</f>
        <v/>
      </c>
      <c r="SB16" s="82">
        <f>SA16</f>
        <v/>
      </c>
      <c r="SC16" s="82">
        <f>SB16</f>
        <v/>
      </c>
      <c r="SD16" s="82">
        <f>SC16</f>
        <v/>
      </c>
      <c r="SE16" s="82">
        <f>SD16</f>
        <v/>
      </c>
      <c r="SF16" s="82">
        <f>SE16</f>
        <v/>
      </c>
      <c r="SG16" s="82">
        <f>SF16</f>
        <v/>
      </c>
      <c r="SH16" s="82">
        <f>SG16</f>
        <v/>
      </c>
      <c r="SI16" s="82">
        <f>SH16</f>
        <v/>
      </c>
      <c r="SJ16" s="82">
        <f>SI16</f>
        <v/>
      </c>
      <c r="SK16" s="82">
        <f>SJ16</f>
        <v/>
      </c>
      <c r="SL16" s="130" t="n"/>
      <c r="SM16" s="82">
        <f>SK28</f>
        <v/>
      </c>
      <c r="SN16" s="82">
        <f>SM16</f>
        <v/>
      </c>
      <c r="SO16" s="82">
        <f>SN16</f>
        <v/>
      </c>
      <c r="SP16" s="82">
        <f>SO16</f>
        <v/>
      </c>
      <c r="SQ16" s="82">
        <f>SP16</f>
        <v/>
      </c>
      <c r="SR16" s="82" t="n">
        <v>0</v>
      </c>
      <c r="SS16" s="82">
        <f>SR16</f>
        <v/>
      </c>
      <c r="ST16" s="82">
        <f>SS16</f>
        <v/>
      </c>
      <c r="SU16" s="82">
        <f>ST16</f>
        <v/>
      </c>
      <c r="SV16" s="82">
        <f>SU16</f>
        <v/>
      </c>
      <c r="SW16" s="82">
        <f>SV16</f>
        <v/>
      </c>
      <c r="SX16" s="82">
        <f>SW16</f>
        <v/>
      </c>
      <c r="SY16" s="82">
        <f>SX16</f>
        <v/>
      </c>
      <c r="SZ16" s="82">
        <f>SY16</f>
        <v/>
      </c>
      <c r="TA16" s="82">
        <f>SZ16</f>
        <v/>
      </c>
      <c r="TB16" s="82">
        <f>TA16</f>
        <v/>
      </c>
      <c r="TC16" s="82">
        <f>TB16</f>
        <v/>
      </c>
      <c r="TD16" s="82">
        <f>TC16</f>
        <v/>
      </c>
      <c r="TE16" s="82">
        <f>TD16</f>
        <v/>
      </c>
      <c r="TF16" s="82">
        <f>TE16</f>
        <v/>
      </c>
      <c r="TG16" s="82">
        <f>TF16</f>
        <v/>
      </c>
      <c r="TH16" s="82">
        <f>TG16</f>
        <v/>
      </c>
      <c r="TI16" s="82">
        <f>TH16</f>
        <v/>
      </c>
      <c r="TJ16" s="82">
        <f>TI16</f>
        <v/>
      </c>
      <c r="TK16" s="82">
        <f>TJ16</f>
        <v/>
      </c>
      <c r="TL16" s="82">
        <f>TK16</f>
        <v/>
      </c>
      <c r="TM16" s="82">
        <f>TL16</f>
        <v/>
      </c>
      <c r="TN16" s="82">
        <f>TM16</f>
        <v/>
      </c>
      <c r="TO16" s="82">
        <f>TN16</f>
        <v/>
      </c>
      <c r="TP16" s="82">
        <f>TO16</f>
        <v/>
      </c>
      <c r="TQ16" s="82">
        <f>TP16</f>
        <v/>
      </c>
      <c r="TR16" s="130" t="n"/>
      <c r="TS16" s="82">
        <f>TQ28</f>
        <v/>
      </c>
      <c r="TT16" s="82">
        <f>TS16</f>
        <v/>
      </c>
      <c r="TU16" s="82">
        <f>TT16</f>
        <v/>
      </c>
      <c r="TV16" s="82">
        <f>TU16</f>
        <v/>
      </c>
      <c r="TW16" s="82">
        <f>TV16</f>
        <v/>
      </c>
      <c r="TX16" s="82">
        <f>TW16</f>
        <v/>
      </c>
      <c r="TY16" s="82" t="n">
        <v>864285</v>
      </c>
      <c r="TZ16" s="82">
        <f>TY16</f>
        <v/>
      </c>
      <c r="UA16" s="82">
        <f>TZ16</f>
        <v/>
      </c>
      <c r="UB16" s="82">
        <f>UA16</f>
        <v/>
      </c>
      <c r="UC16" s="82">
        <f>UB16</f>
        <v/>
      </c>
      <c r="UD16" s="82">
        <f>UC16</f>
        <v/>
      </c>
      <c r="UE16" s="82">
        <f>UD16</f>
        <v/>
      </c>
      <c r="UF16" s="82">
        <f>UE16</f>
        <v/>
      </c>
      <c r="UG16" s="82">
        <f>UF16</f>
        <v/>
      </c>
      <c r="UH16" s="82">
        <f>UG16</f>
        <v/>
      </c>
      <c r="UI16" s="82">
        <f>UH16</f>
        <v/>
      </c>
      <c r="UJ16" s="82">
        <f>UI16</f>
        <v/>
      </c>
      <c r="UK16" s="82">
        <f>UJ16</f>
        <v/>
      </c>
      <c r="UL16" s="82">
        <f>UK16</f>
        <v/>
      </c>
      <c r="UM16" s="82">
        <f>UL16</f>
        <v/>
      </c>
      <c r="UN16" s="82">
        <f>UM16</f>
        <v/>
      </c>
      <c r="UO16" s="82">
        <f>UN16</f>
        <v/>
      </c>
      <c r="UP16" s="82">
        <f>UO16</f>
        <v/>
      </c>
      <c r="UQ16" s="82">
        <f>UP16</f>
        <v/>
      </c>
      <c r="UR16" s="82">
        <f>UQ16</f>
        <v/>
      </c>
      <c r="US16" s="82">
        <f>UR16</f>
        <v/>
      </c>
      <c r="UT16" s="82">
        <f>US16</f>
        <v/>
      </c>
      <c r="UU16" s="82">
        <f>UT16</f>
        <v/>
      </c>
      <c r="UV16" s="82">
        <f>UU16</f>
        <v/>
      </c>
      <c r="UW16" s="82">
        <f>UV16</f>
        <v/>
      </c>
      <c r="UX16" s="130" t="n"/>
      <c r="UY16" s="82">
        <f>UW16+UW28</f>
        <v/>
      </c>
      <c r="UZ16" s="82">
        <f>UY16</f>
        <v/>
      </c>
      <c r="VA16" s="82">
        <f>UZ16</f>
        <v/>
      </c>
      <c r="VB16" s="82">
        <f>VA16</f>
        <v/>
      </c>
      <c r="VC16" s="82">
        <f>VB16</f>
        <v/>
      </c>
      <c r="VD16" s="82">
        <f>VC16</f>
        <v/>
      </c>
      <c r="VE16" s="82" t="n">
        <v>528945</v>
      </c>
      <c r="VF16" s="82" t="n">
        <v>528945</v>
      </c>
      <c r="VG16" s="82">
        <f>VF16</f>
        <v/>
      </c>
      <c r="VH16" s="82">
        <f>VG16</f>
        <v/>
      </c>
      <c r="VI16" s="82">
        <f>VH16</f>
        <v/>
      </c>
      <c r="VJ16" s="82">
        <f>VI16</f>
        <v/>
      </c>
      <c r="VK16" s="82">
        <f>VJ16</f>
        <v/>
      </c>
      <c r="VL16" s="82">
        <f>VK16</f>
        <v/>
      </c>
      <c r="VM16" s="82">
        <f>VL16</f>
        <v/>
      </c>
      <c r="VN16" s="82">
        <f>VM16</f>
        <v/>
      </c>
      <c r="VO16" s="82">
        <f>VN16</f>
        <v/>
      </c>
      <c r="VP16" s="82">
        <f>VO16</f>
        <v/>
      </c>
      <c r="VQ16" s="82">
        <f>VP16</f>
        <v/>
      </c>
      <c r="VR16" s="82">
        <f>VQ16</f>
        <v/>
      </c>
      <c r="VS16" s="82">
        <f>VR16</f>
        <v/>
      </c>
      <c r="VT16" s="82">
        <f>VS16</f>
        <v/>
      </c>
      <c r="VU16" s="82">
        <f>VT16</f>
        <v/>
      </c>
      <c r="VV16" s="82">
        <f>VU16</f>
        <v/>
      </c>
      <c r="VW16" s="82">
        <f>VV16</f>
        <v/>
      </c>
      <c r="VX16" s="82">
        <f>VW16</f>
        <v/>
      </c>
      <c r="VY16" s="82">
        <f>VX16</f>
        <v/>
      </c>
      <c r="VZ16" s="82">
        <f>VY16</f>
        <v/>
      </c>
      <c r="WA16" s="133" t="n"/>
      <c r="WB16" s="82">
        <f>VZ16+VZ28</f>
        <v/>
      </c>
      <c r="WC16" s="82">
        <f>WB16</f>
        <v/>
      </c>
      <c r="WD16" s="82">
        <f>WC16</f>
        <v/>
      </c>
      <c r="WE16" s="82">
        <f>WD16</f>
        <v/>
      </c>
      <c r="WF16" s="82">
        <f>WE16</f>
        <v/>
      </c>
      <c r="WG16" s="82">
        <f>WF16</f>
        <v/>
      </c>
      <c r="WH16" s="82">
        <f>WG16</f>
        <v/>
      </c>
      <c r="WI16" s="82">
        <f>WH16</f>
        <v/>
      </c>
      <c r="WJ16" s="82" t="n">
        <v>502445</v>
      </c>
      <c r="WK16" s="82">
        <f>WJ16</f>
        <v/>
      </c>
      <c r="WL16" s="82">
        <f>WK16</f>
        <v/>
      </c>
      <c r="WM16" s="82">
        <f>WL16</f>
        <v/>
      </c>
      <c r="WN16" s="82">
        <f>WM16</f>
        <v/>
      </c>
      <c r="WO16" s="82">
        <f>WN16</f>
        <v/>
      </c>
      <c r="WP16" s="82">
        <f>WO16</f>
        <v/>
      </c>
      <c r="WQ16" s="82">
        <f>WP16</f>
        <v/>
      </c>
      <c r="WR16" s="82">
        <f>WQ16</f>
        <v/>
      </c>
      <c r="WS16" s="82">
        <f>WR16</f>
        <v/>
      </c>
      <c r="WT16" s="82">
        <f>WS16</f>
        <v/>
      </c>
      <c r="WU16" s="82">
        <f>WT16</f>
        <v/>
      </c>
      <c r="WV16" s="82">
        <f>WU16</f>
        <v/>
      </c>
      <c r="WW16" s="82">
        <f>WV16</f>
        <v/>
      </c>
      <c r="WX16" s="82">
        <f>WW16</f>
        <v/>
      </c>
      <c r="WY16" s="82">
        <f>WX16</f>
        <v/>
      </c>
      <c r="WZ16" s="82">
        <f>WY16</f>
        <v/>
      </c>
      <c r="XA16" s="82">
        <f>WZ16</f>
        <v/>
      </c>
      <c r="XB16" s="82">
        <f>XA16</f>
        <v/>
      </c>
      <c r="XC16" s="82">
        <f>XB16</f>
        <v/>
      </c>
      <c r="XD16" s="82">
        <f>XC16</f>
        <v/>
      </c>
      <c r="XE16" s="82">
        <f>XD16</f>
        <v/>
      </c>
      <c r="XF16" s="82">
        <f>XE16</f>
        <v/>
      </c>
      <c r="XG16" s="133" t="n"/>
      <c r="XH16" s="82">
        <f>XF16+XF28</f>
        <v/>
      </c>
      <c r="XI16" s="82">
        <f>XH16</f>
        <v/>
      </c>
      <c r="XJ16" s="82">
        <f>XI16</f>
        <v/>
      </c>
      <c r="XK16" s="82">
        <f>XJ16</f>
        <v/>
      </c>
      <c r="XL16" s="82">
        <f>XK16</f>
        <v/>
      </c>
      <c r="XM16" s="82">
        <f>XL16</f>
        <v/>
      </c>
      <c r="XN16" s="82">
        <f>XM16</f>
        <v/>
      </c>
      <c r="XO16" s="82">
        <f>XN16</f>
        <v/>
      </c>
      <c r="XP16" s="82" t="n">
        <v>238445</v>
      </c>
      <c r="XQ16" s="82">
        <f>XP16</f>
        <v/>
      </c>
      <c r="XR16" s="82">
        <f>XQ16</f>
        <v/>
      </c>
      <c r="XS16" s="82">
        <f>XR16</f>
        <v/>
      </c>
      <c r="XT16" s="82">
        <f>XS16</f>
        <v/>
      </c>
      <c r="XU16" s="82">
        <f>XT16</f>
        <v/>
      </c>
      <c r="XV16" s="82">
        <f>XU16</f>
        <v/>
      </c>
      <c r="XW16" s="82">
        <f>XV16</f>
        <v/>
      </c>
      <c r="XX16" s="82">
        <f>XW16</f>
        <v/>
      </c>
      <c r="XY16" s="82">
        <f>XX16</f>
        <v/>
      </c>
      <c r="XZ16" s="82">
        <f>XY16</f>
        <v/>
      </c>
      <c r="YA16" s="82">
        <f>XZ16</f>
        <v/>
      </c>
      <c r="YB16" s="82">
        <f>YA16</f>
        <v/>
      </c>
      <c r="YC16" s="82">
        <f>YB16</f>
        <v/>
      </c>
      <c r="YD16" s="82">
        <f>YC16</f>
        <v/>
      </c>
      <c r="YE16" s="82">
        <f>YD16</f>
        <v/>
      </c>
      <c r="YF16" s="82">
        <f>YE16</f>
        <v/>
      </c>
      <c r="YG16" s="82">
        <f>YF16</f>
        <v/>
      </c>
      <c r="YH16" s="82">
        <f>YG16</f>
        <v/>
      </c>
      <c r="YI16" s="82">
        <f>YH16</f>
        <v/>
      </c>
      <c r="YJ16" s="82">
        <f>YI16</f>
        <v/>
      </c>
      <c r="YK16" s="82">
        <f>YJ16</f>
        <v/>
      </c>
      <c r="YL16" s="130" t="n"/>
      <c r="YM16" s="82">
        <f>YK16+YK28</f>
        <v/>
      </c>
      <c r="YN16" s="82">
        <f>YM16</f>
        <v/>
      </c>
      <c r="YO16" s="82">
        <f>YN16</f>
        <v/>
      </c>
      <c r="YP16" s="82">
        <f>YO16</f>
        <v/>
      </c>
      <c r="YQ16" s="82">
        <f>YP16</f>
        <v/>
      </c>
      <c r="YR16" s="82">
        <f>YQ16</f>
        <v/>
      </c>
      <c r="YS16" s="82">
        <f>YR16</f>
        <v/>
      </c>
      <c r="YT16" s="82">
        <f>YS16</f>
        <v/>
      </c>
      <c r="YU16" s="82">
        <f>YT16</f>
        <v/>
      </c>
      <c r="YV16" s="82">
        <f>YU16</f>
        <v/>
      </c>
      <c r="YW16" s="82" t="n">
        <v>688445</v>
      </c>
      <c r="YX16" s="82">
        <f>YW16</f>
        <v/>
      </c>
      <c r="YY16" s="82">
        <f>YX16</f>
        <v/>
      </c>
      <c r="YZ16" s="82">
        <f>YY16</f>
        <v/>
      </c>
      <c r="ZA16" s="82">
        <f>YZ16</f>
        <v/>
      </c>
      <c r="ZB16" s="82">
        <f>ZA16</f>
        <v/>
      </c>
      <c r="ZC16" s="82">
        <f>ZB16</f>
        <v/>
      </c>
      <c r="ZD16" s="82">
        <f>ZC16</f>
        <v/>
      </c>
      <c r="ZE16" s="82">
        <f>ZD16</f>
        <v/>
      </c>
      <c r="ZF16" s="82">
        <f>ZE16</f>
        <v/>
      </c>
      <c r="ZG16" s="82">
        <f>ZF16</f>
        <v/>
      </c>
      <c r="ZH16" s="82">
        <f>ZG16</f>
        <v/>
      </c>
      <c r="ZI16" s="82">
        <f>ZH16</f>
        <v/>
      </c>
      <c r="ZJ16" s="82">
        <f>ZI16</f>
        <v/>
      </c>
      <c r="ZK16" s="82">
        <f>ZJ16</f>
        <v/>
      </c>
      <c r="ZL16" s="82">
        <f>ZK16</f>
        <v/>
      </c>
      <c r="ZM16" s="82">
        <f>ZL16</f>
        <v/>
      </c>
      <c r="ZN16" s="82">
        <f>ZM16</f>
        <v/>
      </c>
      <c r="ZO16" s="82">
        <f>ZN16</f>
        <v/>
      </c>
      <c r="ZP16" s="82">
        <f>ZO16</f>
        <v/>
      </c>
      <c r="ZQ16" s="82">
        <f>ZP16</f>
        <v/>
      </c>
      <c r="ZR16" s="130" t="n"/>
      <c r="ZS16" s="82">
        <f>ZQ16+ZQ28</f>
        <v/>
      </c>
      <c r="ZT16" s="82">
        <f>ZS16</f>
        <v/>
      </c>
      <c r="ZU16" s="82" t="n">
        <v>351445</v>
      </c>
      <c r="ZV16" s="82">
        <f>ZU16</f>
        <v/>
      </c>
      <c r="ZW16" s="82">
        <f>ZV16</f>
        <v/>
      </c>
      <c r="ZX16" s="82">
        <f>ZW16</f>
        <v/>
      </c>
      <c r="ZY16" s="82">
        <f>ZX16</f>
        <v/>
      </c>
      <c r="ZZ16" s="82">
        <f>ZY16</f>
        <v/>
      </c>
      <c r="AAA16" s="82">
        <f>ZZ16</f>
        <v/>
      </c>
      <c r="AAB16" s="82">
        <f>AAA16</f>
        <v/>
      </c>
      <c r="AAC16" s="82">
        <f>AAB16</f>
        <v/>
      </c>
      <c r="AAD16" s="82">
        <f>AAC16</f>
        <v/>
      </c>
      <c r="AAE16" s="82">
        <f>AAD16</f>
        <v/>
      </c>
      <c r="AAF16" s="82">
        <f>AAE16</f>
        <v/>
      </c>
      <c r="AAG16" s="82">
        <f>AAF16</f>
        <v/>
      </c>
      <c r="AAH16" s="82">
        <f>AAG16</f>
        <v/>
      </c>
      <c r="AAI16" s="82">
        <f>AAH16</f>
        <v/>
      </c>
      <c r="AAJ16" s="82">
        <f>AAI16</f>
        <v/>
      </c>
      <c r="AAK16" s="82">
        <f>AAJ16</f>
        <v/>
      </c>
      <c r="AAL16" s="82">
        <f>AAK16</f>
        <v/>
      </c>
      <c r="AAM16" s="82">
        <f>AAL16</f>
        <v/>
      </c>
      <c r="AAN16" s="82">
        <f>AAM16</f>
        <v/>
      </c>
      <c r="AAO16" s="82">
        <f>AAN16</f>
        <v/>
      </c>
      <c r="AAP16" s="82">
        <f>AAO16</f>
        <v/>
      </c>
      <c r="AAQ16" s="82">
        <f>AAP16</f>
        <v/>
      </c>
      <c r="AAR16" s="82">
        <f>AAQ16</f>
        <v/>
      </c>
      <c r="AAS16" s="82">
        <f>AAR16</f>
        <v/>
      </c>
      <c r="AAT16" s="82">
        <f>AAS16</f>
        <v/>
      </c>
      <c r="AAU16" s="82">
        <f>AAT16</f>
        <v/>
      </c>
      <c r="AAV16" s="82">
        <f>AAU16</f>
        <v/>
      </c>
      <c r="AAW16" s="130" t="n"/>
      <c r="AAX16" s="82">
        <f>AAV16+AAV28</f>
        <v/>
      </c>
      <c r="AAY16" s="82">
        <f>AAX16</f>
        <v/>
      </c>
      <c r="AAZ16" s="82">
        <f>AAY16</f>
        <v/>
      </c>
      <c r="ABA16" s="82">
        <f>AAZ16</f>
        <v/>
      </c>
      <c r="ABB16" s="82">
        <f>ABA16</f>
        <v/>
      </c>
      <c r="ABC16" s="82">
        <f>ABB16</f>
        <v/>
      </c>
      <c r="ABD16" s="82">
        <f>ABC16</f>
        <v/>
      </c>
      <c r="ABE16" s="82">
        <f>ABD16</f>
        <v/>
      </c>
      <c r="ABF16" s="82">
        <f>ABE16</f>
        <v/>
      </c>
      <c r="ABG16" s="82">
        <f>ABF16</f>
        <v/>
      </c>
      <c r="ABH16" s="82">
        <f>ABG16</f>
        <v/>
      </c>
      <c r="ABI16" s="82">
        <f>ABH16</f>
        <v/>
      </c>
      <c r="ABJ16" s="82">
        <f>ABI16</f>
        <v/>
      </c>
      <c r="ABK16" s="82">
        <f>ABJ16</f>
        <v/>
      </c>
      <c r="ABL16" s="82">
        <f>ABK16</f>
        <v/>
      </c>
      <c r="ABM16" s="82">
        <f>ABL16</f>
        <v/>
      </c>
      <c r="ABN16" s="82" t="n">
        <v>286445</v>
      </c>
      <c r="ABO16" s="82">
        <f>ABN16</f>
        <v/>
      </c>
      <c r="ABP16" s="82">
        <f>ABO16</f>
        <v/>
      </c>
      <c r="ABQ16" s="82">
        <f>ABP16</f>
        <v/>
      </c>
      <c r="ABR16" s="82">
        <f>ABQ16</f>
        <v/>
      </c>
      <c r="ABS16" s="82">
        <f>ABR16</f>
        <v/>
      </c>
      <c r="ABT16" s="82">
        <f>ABS16</f>
        <v/>
      </c>
      <c r="ABU16" s="82">
        <f>ABT16</f>
        <v/>
      </c>
      <c r="ABV16" s="82">
        <f>ABU16</f>
        <v/>
      </c>
      <c r="ABW16" s="82">
        <f>ABV16</f>
        <v/>
      </c>
      <c r="ABX16" s="82">
        <f>ABW16</f>
        <v/>
      </c>
      <c r="ABY16" s="82">
        <f>ABX16</f>
        <v/>
      </c>
      <c r="ABZ16" s="82">
        <f>ABY16</f>
        <v/>
      </c>
      <c r="ACA16" s="82">
        <f>ABZ16</f>
        <v/>
      </c>
      <c r="ACB16" s="82">
        <f>ACA16</f>
        <v/>
      </c>
      <c r="ACC16" s="130" t="n"/>
      <c r="ACD16" s="82">
        <f>ACB16+ACB28</f>
        <v/>
      </c>
      <c r="ACE16" s="82">
        <f>ACD16</f>
        <v/>
      </c>
      <c r="ACF16" s="82">
        <f>ACE16</f>
        <v/>
      </c>
      <c r="ACG16" s="82">
        <f>ACF16</f>
        <v/>
      </c>
      <c r="ACH16" s="82">
        <f>ACG16</f>
        <v/>
      </c>
      <c r="ACI16" s="82" t="n">
        <v>193445</v>
      </c>
      <c r="ACJ16" s="82">
        <f>ACI16</f>
        <v/>
      </c>
      <c r="ACK16" s="82">
        <f>ACJ16</f>
        <v/>
      </c>
      <c r="ACL16" s="82">
        <f>ACK16</f>
        <v/>
      </c>
      <c r="ACM16" s="82">
        <f>ACL16</f>
        <v/>
      </c>
      <c r="ACN16" s="82">
        <f>ACM16</f>
        <v/>
      </c>
      <c r="ACO16" s="82">
        <f>ACN16</f>
        <v/>
      </c>
      <c r="ACP16" s="82">
        <f>ACO16</f>
        <v/>
      </c>
      <c r="ACQ16" s="82">
        <f>ACP16</f>
        <v/>
      </c>
      <c r="ACR16" s="82">
        <f>ACQ16</f>
        <v/>
      </c>
      <c r="ACS16" s="82">
        <f>ACR16</f>
        <v/>
      </c>
      <c r="ACT16" s="82">
        <f>ACS16</f>
        <v/>
      </c>
      <c r="ACU16" s="82">
        <f>ACT16</f>
        <v/>
      </c>
      <c r="ACV16" s="82">
        <f>ACU16</f>
        <v/>
      </c>
      <c r="ACW16" s="82">
        <f>ACV16</f>
        <v/>
      </c>
      <c r="ACX16" s="82">
        <f>ACW16</f>
        <v/>
      </c>
      <c r="ACY16" s="82">
        <f>ACX16</f>
        <v/>
      </c>
      <c r="ACZ16" s="82">
        <f>ACY16</f>
        <v/>
      </c>
      <c r="ADA16" s="82">
        <f>ACZ16</f>
        <v/>
      </c>
      <c r="ADB16" s="82">
        <f>ADA16</f>
        <v/>
      </c>
      <c r="ADC16" s="82">
        <f>ADB16</f>
        <v/>
      </c>
      <c r="ADD16" s="82">
        <f>ADC16</f>
        <v/>
      </c>
      <c r="ADE16" s="82">
        <f>ADD16</f>
        <v/>
      </c>
      <c r="ADF16" s="82">
        <f>ADE16</f>
        <v/>
      </c>
      <c r="ADG16" s="82">
        <f>ADF16</f>
        <v/>
      </c>
      <c r="ADH16" s="82">
        <f>ADG16</f>
        <v/>
      </c>
      <c r="ADI16" s="130" t="n"/>
      <c r="ADJ16" s="82">
        <f>ADH16+ADH28</f>
        <v/>
      </c>
      <c r="ADK16" s="82">
        <f>ADJ16</f>
        <v/>
      </c>
      <c r="ADL16" s="82">
        <f>ADK16</f>
        <v/>
      </c>
      <c r="ADM16" s="82">
        <f>ADL16</f>
        <v/>
      </c>
      <c r="ADN16" s="82">
        <f>ADM16</f>
        <v/>
      </c>
      <c r="ADO16" s="82">
        <f>ADN16</f>
        <v/>
      </c>
      <c r="ADP16" s="82">
        <f>ADO16</f>
        <v/>
      </c>
      <c r="ADQ16" s="82">
        <f>ADP16</f>
        <v/>
      </c>
      <c r="ADR16" s="82">
        <f>ADQ16</f>
        <v/>
      </c>
      <c r="ADS16" s="82">
        <f>ADR16</f>
        <v/>
      </c>
      <c r="ADT16" s="82">
        <f>ADS16</f>
        <v/>
      </c>
      <c r="ADU16" s="82">
        <f>ADT16</f>
        <v/>
      </c>
      <c r="ADV16" s="82">
        <f>ADU16</f>
        <v/>
      </c>
      <c r="ADW16" s="82" t="n">
        <v>1626719</v>
      </c>
      <c r="ADX16" s="82">
        <f>ADW16</f>
        <v/>
      </c>
      <c r="ADY16" s="82">
        <f>ADX16</f>
        <v/>
      </c>
      <c r="ADZ16" s="82">
        <f>ADY16</f>
        <v/>
      </c>
      <c r="AEA16" s="82">
        <f>ADZ16</f>
        <v/>
      </c>
      <c r="AEB16" s="82">
        <f>AEA16</f>
        <v/>
      </c>
      <c r="AEC16" s="82">
        <f>AEB16</f>
        <v/>
      </c>
      <c r="AED16" s="82">
        <f>AEC16</f>
        <v/>
      </c>
      <c r="AEE16" s="82">
        <f>AED16</f>
        <v/>
      </c>
      <c r="AEF16" s="82">
        <f>AEE16</f>
        <v/>
      </c>
      <c r="AEG16" s="82">
        <f>AEF16</f>
        <v/>
      </c>
      <c r="AEH16" s="82">
        <f>AEG16</f>
        <v/>
      </c>
      <c r="AEI16" s="82">
        <f>AEH16</f>
        <v/>
      </c>
      <c r="AEJ16" s="82">
        <f>AEI16</f>
        <v/>
      </c>
      <c r="AEK16" s="82">
        <f>AEJ16</f>
        <v/>
      </c>
      <c r="AEL16" s="82">
        <f>AEK16</f>
        <v/>
      </c>
      <c r="AEM16" s="82">
        <f>AEL16</f>
        <v/>
      </c>
      <c r="AEN16" s="130" t="n"/>
      <c r="AEO16" s="82">
        <f>AEM16+AEM28</f>
        <v/>
      </c>
      <c r="AEP16" s="82">
        <f>AEO16</f>
        <v/>
      </c>
      <c r="AEQ16" s="82">
        <f>AEP16</f>
        <v/>
      </c>
      <c r="AER16" s="82">
        <f>AEQ16</f>
        <v/>
      </c>
      <c r="AES16" s="82">
        <f>AER16</f>
        <v/>
      </c>
      <c r="AET16" s="82">
        <f>AES16</f>
        <v/>
      </c>
      <c r="AEU16" s="82" t="n">
        <v>565000</v>
      </c>
      <c r="AEV16" s="82">
        <f>AEU16</f>
        <v/>
      </c>
      <c r="AEW16" s="82">
        <f>AEV16</f>
        <v/>
      </c>
      <c r="AEX16" s="82">
        <f>AEW16</f>
        <v/>
      </c>
      <c r="AEY16" s="82">
        <f>AEX16</f>
        <v/>
      </c>
      <c r="AEZ16" s="82">
        <f>AEY16</f>
        <v/>
      </c>
      <c r="AFA16" s="82">
        <f>AEZ16</f>
        <v/>
      </c>
      <c r="AFB16" s="82">
        <f>AFA16</f>
        <v/>
      </c>
      <c r="AFC16" s="82">
        <f>AFB16</f>
        <v/>
      </c>
      <c r="AFD16" s="82">
        <f>AFC16</f>
        <v/>
      </c>
      <c r="AFE16" s="82">
        <f>AFD16</f>
        <v/>
      </c>
      <c r="AFF16" s="82">
        <f>AFE16</f>
        <v/>
      </c>
      <c r="AFG16" s="82">
        <f>AFF16</f>
        <v/>
      </c>
      <c r="AFH16" s="82">
        <f>AFG16</f>
        <v/>
      </c>
      <c r="AFI16" s="82">
        <f>AFH16</f>
        <v/>
      </c>
      <c r="AFJ16" s="82">
        <f>AFI16</f>
        <v/>
      </c>
      <c r="AFK16" s="82">
        <f>AFJ16</f>
        <v/>
      </c>
      <c r="AFL16" s="82">
        <f>AFK16</f>
        <v/>
      </c>
      <c r="AFM16" s="82">
        <f>AFL16</f>
        <v/>
      </c>
      <c r="AFN16" s="82">
        <f>AFM16</f>
        <v/>
      </c>
      <c r="AFO16" s="82">
        <f>AFN16</f>
        <v/>
      </c>
      <c r="AFP16" s="82">
        <f>AFO16</f>
        <v/>
      </c>
      <c r="AFQ16" s="82">
        <f>AFP16</f>
        <v/>
      </c>
      <c r="AFR16" s="82">
        <f>AFQ16</f>
        <v/>
      </c>
      <c r="AFS16" s="82">
        <f>AFR16</f>
        <v/>
      </c>
      <c r="AFT16" s="130" t="n"/>
      <c r="AFU16" s="82">
        <f>AFS16+AFS28</f>
        <v/>
      </c>
      <c r="AFV16" s="82">
        <f>AFU16</f>
        <v/>
      </c>
      <c r="AFW16" s="82">
        <f>AFV16</f>
        <v/>
      </c>
      <c r="AFX16" s="82">
        <f>AFW16</f>
        <v/>
      </c>
      <c r="AFY16" s="82">
        <f>AFX16</f>
        <v/>
      </c>
      <c r="AFZ16" s="82">
        <f>AFY16</f>
        <v/>
      </c>
      <c r="AGA16" s="82">
        <f>AFZ16</f>
        <v/>
      </c>
      <c r="AGB16" s="82">
        <f>AGA16</f>
        <v/>
      </c>
      <c r="AGC16" s="82">
        <f>AGB16</f>
        <v/>
      </c>
      <c r="AGD16" s="82" t="n">
        <v>360000</v>
      </c>
      <c r="AGE16" s="82">
        <f>AGD16</f>
        <v/>
      </c>
      <c r="AGF16" s="82">
        <f>AGE16</f>
        <v/>
      </c>
      <c r="AGG16" s="82">
        <f>AGF16</f>
        <v/>
      </c>
      <c r="AGH16" s="82">
        <f>AGG16</f>
        <v/>
      </c>
      <c r="AGI16" s="82">
        <f>AGH16</f>
        <v/>
      </c>
      <c r="AGJ16" s="82">
        <f>AGI16</f>
        <v/>
      </c>
      <c r="AGK16" s="82">
        <f>AGJ16</f>
        <v/>
      </c>
      <c r="AGL16" s="82">
        <f>AGK16</f>
        <v/>
      </c>
      <c r="AGM16" s="82">
        <f>AGL16</f>
        <v/>
      </c>
      <c r="AGN16" s="82">
        <f>AGM16</f>
        <v/>
      </c>
      <c r="AGO16" s="82">
        <f>AGN16</f>
        <v/>
      </c>
      <c r="AGP16" s="82">
        <f>AGO16</f>
        <v/>
      </c>
      <c r="AGQ16" s="82">
        <f>AGP16</f>
        <v/>
      </c>
      <c r="AGR16" s="82">
        <f>AGQ16</f>
        <v/>
      </c>
      <c r="AGS16" s="82">
        <f>AGR16</f>
        <v/>
      </c>
      <c r="AGT16" s="82">
        <f>AGS16</f>
        <v/>
      </c>
      <c r="AGU16" s="82">
        <f>AGT16</f>
        <v/>
      </c>
      <c r="AGV16" s="82">
        <f>AGU16</f>
        <v/>
      </c>
      <c r="AGW16" s="82">
        <f>AGV16</f>
        <v/>
      </c>
      <c r="AGX16" s="82">
        <f>AGW16</f>
        <v/>
      </c>
      <c r="AGY16" s="133" t="n"/>
      <c r="AGZ16" s="82">
        <f>AGX16+AGX28</f>
        <v/>
      </c>
      <c r="AHA16" s="82">
        <f>AGZ16</f>
        <v/>
      </c>
      <c r="AHB16" s="82">
        <f>AHA16</f>
        <v/>
      </c>
      <c r="AHC16" s="82">
        <f>AHB16</f>
        <v/>
      </c>
      <c r="AHD16" s="82">
        <f>AHC16</f>
        <v/>
      </c>
      <c r="AHE16" s="82">
        <f>AHD16</f>
        <v/>
      </c>
      <c r="AHF16" s="82">
        <f>AHE16</f>
        <v/>
      </c>
      <c r="AHG16" s="82">
        <f>AHF16</f>
        <v/>
      </c>
      <c r="AHH16" s="82">
        <f>AHG16</f>
        <v/>
      </c>
      <c r="AHI16" s="82">
        <f>AHH16</f>
        <v/>
      </c>
      <c r="AHJ16" s="82">
        <f>AHI16</f>
        <v/>
      </c>
      <c r="AHK16" s="82">
        <f>360000+1426000</f>
        <v/>
      </c>
      <c r="AHL16" s="82">
        <f>AHK16</f>
        <v/>
      </c>
      <c r="AHM16" s="82">
        <f>AHL16</f>
        <v/>
      </c>
      <c r="AHN16" s="82">
        <f>AHM16</f>
        <v/>
      </c>
      <c r="AHO16" s="82">
        <f>AHN16</f>
        <v/>
      </c>
      <c r="AHP16" s="82">
        <f>AHO16</f>
        <v/>
      </c>
      <c r="AHQ16" s="82">
        <f>AHP16</f>
        <v/>
      </c>
      <c r="AHR16" s="82">
        <f>AHQ16</f>
        <v/>
      </c>
      <c r="AHS16" s="82">
        <f>AHR16</f>
        <v/>
      </c>
      <c r="AHT16" s="82">
        <f>AHS16</f>
        <v/>
      </c>
      <c r="AHU16" s="82">
        <f>AHT16</f>
        <v/>
      </c>
      <c r="AHV16" s="82">
        <f>AHU16</f>
        <v/>
      </c>
      <c r="AHW16" s="82">
        <f>AHV16</f>
        <v/>
      </c>
      <c r="AHX16" s="82">
        <f>AHW16</f>
        <v/>
      </c>
      <c r="AHY16" s="82">
        <f>AHX16</f>
        <v/>
      </c>
      <c r="AHZ16" s="82">
        <f>AHY16</f>
        <v/>
      </c>
      <c r="AIA16" s="82">
        <f>AHZ16</f>
        <v/>
      </c>
      <c r="AIB16" s="82">
        <f>AIA16</f>
        <v/>
      </c>
      <c r="AIC16" s="82">
        <f>AIB16</f>
        <v/>
      </c>
      <c r="AID16" s="82">
        <f>AIC16</f>
        <v/>
      </c>
      <c r="AIE16" s="130" t="n"/>
      <c r="AIF16" s="82">
        <f>AID16+AID28</f>
        <v/>
      </c>
      <c r="AIG16" s="82">
        <f>AIF16</f>
        <v/>
      </c>
      <c r="AIH16" s="82">
        <f>AIG16</f>
        <v/>
      </c>
      <c r="AII16" s="82">
        <f>AIH16</f>
        <v/>
      </c>
      <c r="AIJ16" s="82">
        <f>AII16</f>
        <v/>
      </c>
      <c r="AIK16" s="82">
        <f>AIJ16</f>
        <v/>
      </c>
      <c r="AIL16" s="82">
        <f>AIK16</f>
        <v/>
      </c>
      <c r="AIM16" s="82">
        <f>AIL16</f>
        <v/>
      </c>
      <c r="AIN16" s="82">
        <f>AIM16</f>
        <v/>
      </c>
      <c r="AIO16" s="82">
        <f>AIN16</f>
        <v/>
      </c>
      <c r="AIP16" s="82">
        <f>AIO16</f>
        <v/>
      </c>
      <c r="AIQ16" s="82">
        <f>AIP16</f>
        <v/>
      </c>
      <c r="AIR16" s="82">
        <f>AIQ16</f>
        <v/>
      </c>
      <c r="AIS16" s="82">
        <f>AIR16</f>
        <v/>
      </c>
      <c r="AIT16" s="82">
        <f>AIS16</f>
        <v/>
      </c>
      <c r="AIU16" s="82">
        <f>AIT16</f>
        <v/>
      </c>
      <c r="AIV16" s="82">
        <f>AIU16</f>
        <v/>
      </c>
      <c r="AIW16" s="82">
        <f>AIV16</f>
        <v/>
      </c>
      <c r="AIX16" s="82" t="n">
        <v>0</v>
      </c>
      <c r="AIY16" s="82">
        <f>AIX16</f>
        <v/>
      </c>
      <c r="AIZ16" s="82">
        <f>AIY16</f>
        <v/>
      </c>
      <c r="AJA16" s="82">
        <f>AIZ16</f>
        <v/>
      </c>
      <c r="AJB16" s="82">
        <f>AJA16</f>
        <v/>
      </c>
      <c r="AJC16" s="82">
        <f>AJB16</f>
        <v/>
      </c>
      <c r="AJD16" s="82">
        <f>AJC16</f>
        <v/>
      </c>
      <c r="AJE16" s="82">
        <f>AJD16</f>
        <v/>
      </c>
      <c r="AJF16" s="82">
        <f>AJE16</f>
        <v/>
      </c>
      <c r="AJG16" s="82">
        <f>AJF16</f>
        <v/>
      </c>
      <c r="AJH16" s="82">
        <f>AJG16</f>
        <v/>
      </c>
      <c r="AJI16" s="82">
        <f>AJH16</f>
        <v/>
      </c>
      <c r="AJJ16" s="82">
        <f>AJI16</f>
        <v/>
      </c>
      <c r="AJK16" s="145" t="n"/>
      <c r="AJL16" s="82">
        <f>AJJ28</f>
        <v/>
      </c>
      <c r="AJM16" s="82">
        <f>AJL16</f>
        <v/>
      </c>
      <c r="AJN16" s="82">
        <f>AJM16</f>
        <v/>
      </c>
      <c r="AJO16" s="82">
        <f>AJN16</f>
        <v/>
      </c>
      <c r="AJP16" s="82">
        <f>AJO16</f>
        <v/>
      </c>
      <c r="AJQ16" s="82">
        <f>AJP16</f>
        <v/>
      </c>
      <c r="AJR16" s="82">
        <f>AJQ16</f>
        <v/>
      </c>
      <c r="AJS16" s="82">
        <f>AJR16</f>
        <v/>
      </c>
      <c r="AJT16" s="82">
        <f>AJS16</f>
        <v/>
      </c>
      <c r="AJU16" s="82">
        <f>AJT16</f>
        <v/>
      </c>
      <c r="AJV16" s="82">
        <f>AJU16</f>
        <v/>
      </c>
      <c r="AJW16" s="82">
        <f>AJV16</f>
        <v/>
      </c>
      <c r="AJX16" s="82">
        <f>AJW16</f>
        <v/>
      </c>
      <c r="AJY16" s="82">
        <f>AJX16</f>
        <v/>
      </c>
      <c r="AJZ16" s="82">
        <f>AJY16</f>
        <v/>
      </c>
      <c r="AKA16" s="82">
        <f>AJZ16</f>
        <v/>
      </c>
      <c r="AKB16" s="82">
        <f>AKA16</f>
        <v/>
      </c>
      <c r="AKC16" s="82">
        <f>AKB16</f>
        <v/>
      </c>
      <c r="AKD16" s="82">
        <f>AKC16</f>
        <v/>
      </c>
      <c r="AKE16" s="82">
        <f>AKD16</f>
        <v/>
      </c>
      <c r="AKF16" s="82">
        <f>AKE16</f>
        <v/>
      </c>
      <c r="AKG16" s="82">
        <f>AKF16</f>
        <v/>
      </c>
      <c r="AKH16" s="82">
        <f>AKG16</f>
        <v/>
      </c>
      <c r="AKI16" s="82">
        <f>AKH16</f>
        <v/>
      </c>
      <c r="AKJ16" s="82">
        <f>AKI16</f>
        <v/>
      </c>
      <c r="AKK16" s="82">
        <f>AKJ16</f>
        <v/>
      </c>
      <c r="AKL16" s="82" t="n">
        <v>323000</v>
      </c>
      <c r="AKM16" s="82">
        <f>AKL16</f>
        <v/>
      </c>
      <c r="AKN16" s="112" t="n"/>
      <c r="AKO16" s="82">
        <f>AKM16+AKM28</f>
        <v/>
      </c>
      <c r="AKP16" s="82">
        <f>AKO16</f>
        <v/>
      </c>
      <c r="AKQ16" s="82">
        <f>AKP16</f>
        <v/>
      </c>
      <c r="AKR16" s="82">
        <f>AKQ16</f>
        <v/>
      </c>
      <c r="AKS16" s="82">
        <f>AKR16</f>
        <v/>
      </c>
      <c r="AKT16" s="82">
        <f>AKS16</f>
        <v/>
      </c>
      <c r="AKU16" s="82">
        <f>AKT16</f>
        <v/>
      </c>
      <c r="AKV16" s="82">
        <f>AKU16</f>
        <v/>
      </c>
      <c r="AKW16" s="82">
        <f>AKV16</f>
        <v/>
      </c>
      <c r="AKX16" s="82">
        <f>AKW16</f>
        <v/>
      </c>
      <c r="AKY16" s="82" t="n">
        <v>713000</v>
      </c>
      <c r="AKZ16" s="82">
        <f>AKY16</f>
        <v/>
      </c>
      <c r="ALA16" s="82">
        <f>AKZ16</f>
        <v/>
      </c>
      <c r="ALB16" s="82">
        <f>ALA16</f>
        <v/>
      </c>
      <c r="ALC16" s="82">
        <f>ALB16</f>
        <v/>
      </c>
      <c r="ALD16" s="82">
        <f>ALC16</f>
        <v/>
      </c>
      <c r="ALE16" s="82">
        <f>ALD16</f>
        <v/>
      </c>
      <c r="ALF16" s="82">
        <f>ALE16</f>
        <v/>
      </c>
      <c r="ALG16" s="82">
        <f>ALF16</f>
        <v/>
      </c>
      <c r="ALH16" s="82">
        <f>ALG16</f>
        <v/>
      </c>
      <c r="ALI16" s="82">
        <f>ALH16</f>
        <v/>
      </c>
      <c r="ALJ16" s="82">
        <f>ALI16</f>
        <v/>
      </c>
      <c r="ALK16" s="82">
        <f>ALJ16</f>
        <v/>
      </c>
      <c r="ALL16" s="82">
        <f>ALK16</f>
        <v/>
      </c>
      <c r="ALM16" s="82">
        <f>ALL16</f>
        <v/>
      </c>
      <c r="ALN16" s="82">
        <f>ALM16</f>
        <v/>
      </c>
      <c r="ALO16" s="82">
        <f>ALN16</f>
        <v/>
      </c>
      <c r="ALP16" s="82">
        <f>ALO16</f>
        <v/>
      </c>
      <c r="ALQ16" s="82">
        <f>ALP16</f>
        <v/>
      </c>
      <c r="ALR16" s="82">
        <f>ALQ16</f>
        <v/>
      </c>
      <c r="ALS16" s="82">
        <f>ALR16</f>
        <v/>
      </c>
      <c r="ALT16" s="130" t="n"/>
      <c r="ALU16" s="82">
        <f>ALS16+ALS28</f>
        <v/>
      </c>
      <c r="ALV16" s="82">
        <f>ALU16</f>
        <v/>
      </c>
      <c r="ALW16" s="82">
        <f>ALV16</f>
        <v/>
      </c>
      <c r="ALX16" s="82">
        <f>ALW16</f>
        <v/>
      </c>
      <c r="ALY16" s="82">
        <f>ALX16</f>
        <v/>
      </c>
      <c r="ALZ16" s="82">
        <f>ALY16</f>
        <v/>
      </c>
      <c r="AMA16" s="82">
        <f>ALZ16</f>
        <v/>
      </c>
      <c r="AMB16" s="82">
        <f>AMA16</f>
        <v/>
      </c>
      <c r="AMC16" s="82">
        <f>AMB16</f>
        <v/>
      </c>
      <c r="AMD16" s="82">
        <f>AMC16</f>
        <v/>
      </c>
      <c r="AME16" s="82">
        <f>AMD16</f>
        <v/>
      </c>
      <c r="AMF16" s="82">
        <f>AME16</f>
        <v/>
      </c>
      <c r="AMG16" s="82">
        <f>AMF16</f>
        <v/>
      </c>
      <c r="AMH16" s="82" t="n">
        <v>0</v>
      </c>
      <c r="AMI16" s="82">
        <f>AMH16</f>
        <v/>
      </c>
      <c r="AMJ16" s="82">
        <f>AMI16</f>
        <v/>
      </c>
      <c r="AMK16" s="82">
        <f>AMJ16</f>
        <v/>
      </c>
      <c r="AML16" s="82">
        <f>AMK16</f>
        <v/>
      </c>
      <c r="AMM16" s="82">
        <f>AML16</f>
        <v/>
      </c>
      <c r="AMN16" s="82">
        <f>AMM16</f>
        <v/>
      </c>
      <c r="AMO16" s="82">
        <f>AMN16</f>
        <v/>
      </c>
      <c r="AMP16" s="82">
        <f>AMO16</f>
        <v/>
      </c>
      <c r="AMQ16" s="82">
        <f>AMP16</f>
        <v/>
      </c>
      <c r="AMR16" s="82">
        <f>AMQ16</f>
        <v/>
      </c>
      <c r="AMS16" s="82">
        <f>AMR16</f>
        <v/>
      </c>
      <c r="AMT16" s="82">
        <f>AMS16</f>
        <v/>
      </c>
      <c r="AMU16" s="82">
        <f>AMT16</f>
        <v/>
      </c>
      <c r="AMV16" s="82">
        <f>AMU16</f>
        <v/>
      </c>
      <c r="AMW16" s="82">
        <f>AMV16</f>
        <v/>
      </c>
      <c r="AMX16" s="82">
        <f>AMW16</f>
        <v/>
      </c>
      <c r="AMY16" s="130" t="n"/>
      <c r="AMZ16" s="82">
        <f>AMX29</f>
        <v/>
      </c>
      <c r="ANA16" s="82">
        <f>AMZ16</f>
        <v/>
      </c>
      <c r="ANB16" s="82">
        <f>ANA16</f>
        <v/>
      </c>
      <c r="ANC16" s="82">
        <f>ANB16</f>
        <v/>
      </c>
      <c r="AND16" s="82">
        <f>ANC16</f>
        <v/>
      </c>
      <c r="ANE16" s="82">
        <f>AND16</f>
        <v/>
      </c>
      <c r="ANF16" s="82">
        <f>ANE16</f>
        <v/>
      </c>
      <c r="ANG16" s="82">
        <f>ANF16</f>
        <v/>
      </c>
      <c r="ANH16" s="82">
        <f>ANG16</f>
        <v/>
      </c>
      <c r="ANI16" s="82">
        <f>ANH16</f>
        <v/>
      </c>
      <c r="ANJ16" s="82">
        <f>ANI16</f>
        <v/>
      </c>
      <c r="ANK16" s="82">
        <f>ANJ16</f>
        <v/>
      </c>
      <c r="ANL16" s="82" t="n">
        <v>323000</v>
      </c>
      <c r="ANM16" s="82">
        <f>ANL16</f>
        <v/>
      </c>
      <c r="ANN16" s="82">
        <f>ANM16</f>
        <v/>
      </c>
      <c r="ANO16" s="82">
        <f>ANN16</f>
        <v/>
      </c>
      <c r="ANP16" s="82">
        <f>ANO16</f>
        <v/>
      </c>
      <c r="ANQ16" s="82">
        <f>ANP16</f>
        <v/>
      </c>
      <c r="ANR16" s="82">
        <f>ANQ16</f>
        <v/>
      </c>
      <c r="ANS16" s="82">
        <f>ANR16</f>
        <v/>
      </c>
      <c r="ANT16" s="82">
        <f>ANS16</f>
        <v/>
      </c>
      <c r="ANU16" s="82">
        <f>ANT16</f>
        <v/>
      </c>
      <c r="ANV16" s="82">
        <f>ANU16</f>
        <v/>
      </c>
      <c r="ANW16" s="82">
        <f>ANV16</f>
        <v/>
      </c>
      <c r="ANX16" s="82">
        <f>ANW16</f>
        <v/>
      </c>
      <c r="ANY16" s="82">
        <f>ANX16</f>
        <v/>
      </c>
      <c r="ANZ16" s="82">
        <f>ANY16</f>
        <v/>
      </c>
      <c r="AOA16" s="82">
        <f>ANZ16</f>
        <v/>
      </c>
      <c r="AOB16" s="82">
        <f>AOA16</f>
        <v/>
      </c>
      <c r="AOC16" s="82">
        <f>AOB16</f>
        <v/>
      </c>
    </row>
    <row r="17">
      <c r="B17" t="inlineStr">
        <is>
          <t>Rubis card CF</t>
        </is>
      </c>
      <c r="C17" s="52" t="n">
        <v>46805580</v>
      </c>
      <c r="D17" s="52">
        <f>C17</f>
        <v/>
      </c>
      <c r="E17" s="52" t="n">
        <v>0</v>
      </c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98" t="n"/>
      <c r="AI17" s="82">
        <f>AG29</f>
        <v/>
      </c>
      <c r="AJ17" s="82">
        <f>AI17</f>
        <v/>
      </c>
      <c r="AK17" s="82">
        <f>AJ17</f>
        <v/>
      </c>
      <c r="AL17" s="82">
        <f>AK17</f>
        <v/>
      </c>
      <c r="AM17" s="82">
        <f>AL17</f>
        <v/>
      </c>
      <c r="AN17" s="82">
        <f>AM17</f>
        <v/>
      </c>
      <c r="AO17" s="82">
        <f>AN17</f>
        <v/>
      </c>
      <c r="AP17" s="82">
        <f>AO17</f>
        <v/>
      </c>
      <c r="AQ17" s="82">
        <f>AP17</f>
        <v/>
      </c>
      <c r="AR17" s="82">
        <f>AQ17</f>
        <v/>
      </c>
      <c r="AS17" s="82" t="n">
        <v>0</v>
      </c>
      <c r="BM17" s="106">
        <f>BL29</f>
        <v/>
      </c>
      <c r="BN17" s="82">
        <f>BM17</f>
        <v/>
      </c>
      <c r="BO17" s="82">
        <f>BN17</f>
        <v/>
      </c>
      <c r="BP17" s="82">
        <f>BO17</f>
        <v/>
      </c>
      <c r="BQ17" s="82">
        <f>BP17</f>
        <v/>
      </c>
      <c r="BR17" s="82">
        <f>BQ17</f>
        <v/>
      </c>
      <c r="BS17" s="82">
        <f>BR17</f>
        <v/>
      </c>
      <c r="BT17" s="82">
        <f>BS17</f>
        <v/>
      </c>
      <c r="BU17" s="82">
        <f>BT17</f>
        <v/>
      </c>
      <c r="BV17" s="82">
        <f>BU17</f>
        <v/>
      </c>
      <c r="BW17" s="82">
        <f>BV17</f>
        <v/>
      </c>
      <c r="BX17" s="82">
        <f>BW17</f>
        <v/>
      </c>
      <c r="BY17" s="82">
        <f>BX17</f>
        <v/>
      </c>
      <c r="BZ17" s="82">
        <f>BY17</f>
        <v/>
      </c>
      <c r="CA17" s="82" t="n">
        <v>0</v>
      </c>
      <c r="CB17" s="82">
        <f>CA17</f>
        <v/>
      </c>
      <c r="CC17" s="82">
        <f>CB17</f>
        <v/>
      </c>
      <c r="CD17" s="82">
        <f>CC17</f>
        <v/>
      </c>
      <c r="CE17" s="82">
        <f>CD17</f>
        <v/>
      </c>
      <c r="CF17" s="82">
        <f>CE17</f>
        <v/>
      </c>
      <c r="CG17" s="82">
        <f>CF17</f>
        <v/>
      </c>
      <c r="CH17" s="82">
        <f>CG17</f>
        <v/>
      </c>
      <c r="CI17" s="82">
        <f>CH17</f>
        <v/>
      </c>
      <c r="CJ17" s="82">
        <f>CI17</f>
        <v/>
      </c>
      <c r="CK17" s="82">
        <f>CJ17</f>
        <v/>
      </c>
      <c r="CL17" s="82">
        <f>CK17</f>
        <v/>
      </c>
      <c r="CM17" s="82">
        <f>CL17</f>
        <v/>
      </c>
      <c r="CN17" s="82">
        <f>CM17</f>
        <v/>
      </c>
      <c r="CO17" s="82">
        <f>CN17</f>
        <v/>
      </c>
      <c r="CP17" s="82">
        <f>CO17</f>
        <v/>
      </c>
      <c r="CQ17" s="82">
        <f>CP17</f>
        <v/>
      </c>
      <c r="CR17" s="82">
        <f>CQ17</f>
        <v/>
      </c>
      <c r="CT17" s="82">
        <f>CR29</f>
        <v/>
      </c>
      <c r="CU17" s="82">
        <f>CT17</f>
        <v/>
      </c>
      <c r="CV17" s="82">
        <f>CT17</f>
        <v/>
      </c>
      <c r="CW17" s="82" t="n">
        <v>247500</v>
      </c>
      <c r="CX17" s="82">
        <f>CW17</f>
        <v/>
      </c>
      <c r="CY17" s="82">
        <f>CW17</f>
        <v/>
      </c>
      <c r="CZ17" s="82">
        <f>CX17</f>
        <v/>
      </c>
      <c r="DA17" s="82">
        <f>CY17</f>
        <v/>
      </c>
      <c r="DB17" s="82">
        <f>CZ17</f>
        <v/>
      </c>
      <c r="DC17" s="82">
        <f>DA17</f>
        <v/>
      </c>
      <c r="DD17" s="82">
        <f>DB17</f>
        <v/>
      </c>
      <c r="DE17" s="82">
        <f>DC17</f>
        <v/>
      </c>
      <c r="DF17" s="82">
        <f>DD17</f>
        <v/>
      </c>
      <c r="DG17" s="82">
        <f>DE17</f>
        <v/>
      </c>
      <c r="DH17" s="82">
        <f>DF17</f>
        <v/>
      </c>
      <c r="DI17" s="82">
        <f>DG17</f>
        <v/>
      </c>
      <c r="DJ17" s="82">
        <f>DH17</f>
        <v/>
      </c>
      <c r="DK17" s="82">
        <f>DI17</f>
        <v/>
      </c>
      <c r="DL17" s="82">
        <f>DJ17</f>
        <v/>
      </c>
      <c r="DM17" s="82">
        <f>DK17</f>
        <v/>
      </c>
      <c r="DN17" s="82">
        <f>DL17</f>
        <v/>
      </c>
      <c r="DO17" s="82">
        <f>DM17</f>
        <v/>
      </c>
      <c r="DP17" s="82">
        <f>DN17</f>
        <v/>
      </c>
      <c r="DQ17" s="82">
        <f>DO17</f>
        <v/>
      </c>
      <c r="DR17" s="82">
        <f>DP17</f>
        <v/>
      </c>
      <c r="DS17" s="82">
        <f>DQ17</f>
        <v/>
      </c>
      <c r="DT17" s="82">
        <f>DR17</f>
        <v/>
      </c>
      <c r="DU17" s="82">
        <f>DS17</f>
        <v/>
      </c>
      <c r="DV17" s="82">
        <f>DT17</f>
        <v/>
      </c>
      <c r="DW17" s="82">
        <f>DU17</f>
        <v/>
      </c>
      <c r="DX17" s="117" t="n"/>
      <c r="DY17" s="82">
        <f>DW17+DW29</f>
        <v/>
      </c>
      <c r="DZ17" s="82">
        <f>DY17</f>
        <v/>
      </c>
      <c r="EA17" s="82">
        <f>DZ17</f>
        <v/>
      </c>
      <c r="EB17" s="82">
        <f>EA17</f>
        <v/>
      </c>
      <c r="EC17" s="82">
        <f>EB17</f>
        <v/>
      </c>
      <c r="ED17" s="82">
        <f>EC17</f>
        <v/>
      </c>
      <c r="EE17" s="82">
        <f>ED17</f>
        <v/>
      </c>
      <c r="EF17" s="82">
        <f>EE17</f>
        <v/>
      </c>
      <c r="EG17" s="82">
        <f>EF17</f>
        <v/>
      </c>
      <c r="EH17" s="82">
        <f>EG17</f>
        <v/>
      </c>
      <c r="EI17" s="82" t="n">
        <v>509400</v>
      </c>
      <c r="EJ17" s="82">
        <f>EI17</f>
        <v/>
      </c>
      <c r="EK17" s="82">
        <f>EJ17</f>
        <v/>
      </c>
      <c r="EL17" s="82">
        <f>EK17</f>
        <v/>
      </c>
      <c r="EM17" s="82">
        <f>EL17</f>
        <v/>
      </c>
      <c r="EN17" s="82">
        <f>EM17</f>
        <v/>
      </c>
      <c r="EO17" s="82">
        <f>EN17</f>
        <v/>
      </c>
      <c r="EP17" s="82">
        <f>EO17</f>
        <v/>
      </c>
      <c r="EQ17" s="82">
        <f>EP17</f>
        <v/>
      </c>
      <c r="ER17" s="82">
        <f>EQ17</f>
        <v/>
      </c>
      <c r="ES17" s="82">
        <f>ER17</f>
        <v/>
      </c>
      <c r="ET17" s="82">
        <f>ES17</f>
        <v/>
      </c>
      <c r="EU17" s="82">
        <f>ET17</f>
        <v/>
      </c>
      <c r="EV17" s="82">
        <f>EU17</f>
        <v/>
      </c>
      <c r="EW17" s="82">
        <f>EV17</f>
        <v/>
      </c>
      <c r="EX17" s="82">
        <f>EW17</f>
        <v/>
      </c>
      <c r="EY17" s="82">
        <f>EX17</f>
        <v/>
      </c>
      <c r="EZ17" s="82">
        <f>EY17</f>
        <v/>
      </c>
      <c r="FA17" s="82">
        <f>EZ17</f>
        <v/>
      </c>
      <c r="FB17" s="82">
        <f>FA17</f>
        <v/>
      </c>
      <c r="FC17" s="82">
        <f>FB17</f>
        <v/>
      </c>
      <c r="FD17" s="126" t="n"/>
      <c r="FE17" s="82">
        <f>FC17+FC29</f>
        <v/>
      </c>
      <c r="FF17" s="82">
        <f>FE17</f>
        <v/>
      </c>
      <c r="FG17" s="82">
        <f>FE17+FE29</f>
        <v/>
      </c>
      <c r="FH17" s="82" t="n">
        <v>0</v>
      </c>
      <c r="FI17" s="82" t="n">
        <v>0</v>
      </c>
      <c r="FJ17" s="82" t="n">
        <v>0</v>
      </c>
      <c r="FK17" s="82" t="n">
        <v>0</v>
      </c>
      <c r="FL17" s="82" t="n">
        <v>0</v>
      </c>
      <c r="FM17" s="82" t="n">
        <v>0</v>
      </c>
      <c r="FN17" s="82" t="n">
        <v>0</v>
      </c>
      <c r="FO17" s="82" t="n">
        <v>0</v>
      </c>
      <c r="FP17" s="82" t="n">
        <v>0</v>
      </c>
      <c r="FQ17" s="82" t="n">
        <v>0</v>
      </c>
      <c r="FR17" s="82" t="n">
        <v>0</v>
      </c>
      <c r="FS17" s="82" t="n">
        <v>0</v>
      </c>
      <c r="FT17" s="82" t="n">
        <v>0</v>
      </c>
      <c r="FU17" s="82" t="n">
        <v>0</v>
      </c>
      <c r="FV17" s="82" t="n">
        <v>0</v>
      </c>
      <c r="FW17" s="82" t="n">
        <v>0</v>
      </c>
      <c r="FX17" s="82" t="n">
        <v>0</v>
      </c>
      <c r="FY17" s="82" t="n">
        <v>0</v>
      </c>
      <c r="FZ17" s="82" t="n">
        <v>0</v>
      </c>
      <c r="GA17" s="82" t="n">
        <v>0</v>
      </c>
      <c r="GB17" s="82" t="n">
        <v>0</v>
      </c>
      <c r="GC17" s="82" t="n">
        <v>0</v>
      </c>
      <c r="GD17" s="82" t="n">
        <v>0</v>
      </c>
      <c r="GE17" s="82" t="n">
        <v>0</v>
      </c>
      <c r="GF17" s="82" t="n">
        <v>0</v>
      </c>
      <c r="GG17" s="82" t="n">
        <v>0</v>
      </c>
      <c r="GH17" s="82" t="n">
        <v>0</v>
      </c>
      <c r="GI17" s="82" t="n">
        <v>0</v>
      </c>
      <c r="GJ17" s="130" t="n"/>
      <c r="GK17" s="82" t="n">
        <v>20990059</v>
      </c>
      <c r="GL17" s="82" t="n">
        <v>20990059</v>
      </c>
      <c r="GM17" s="82" t="n">
        <v>20990059</v>
      </c>
      <c r="GN17" s="82" t="n">
        <v>20990059</v>
      </c>
      <c r="GO17" s="82" t="n">
        <v>20990059</v>
      </c>
      <c r="GP17" s="82" t="n">
        <v>20990059</v>
      </c>
      <c r="GQ17" s="82" t="n">
        <v>20990059</v>
      </c>
      <c r="GR17" s="82" t="n">
        <v>20990059</v>
      </c>
      <c r="GS17" s="82" t="n">
        <v>20990059</v>
      </c>
      <c r="GT17" s="82" t="n">
        <v>20990059</v>
      </c>
      <c r="GU17" s="82" t="n">
        <v>0</v>
      </c>
      <c r="GV17" s="82" t="n">
        <v>0</v>
      </c>
      <c r="GW17" s="82" t="n">
        <v>0</v>
      </c>
      <c r="GX17" s="82" t="n">
        <v>0</v>
      </c>
      <c r="GY17" s="82" t="n">
        <v>0</v>
      </c>
      <c r="GZ17" s="82" t="n">
        <v>0</v>
      </c>
      <c r="HA17" s="82" t="n">
        <v>0</v>
      </c>
      <c r="HB17" s="82" t="n">
        <v>0</v>
      </c>
      <c r="HC17" s="82" t="n">
        <v>0</v>
      </c>
      <c r="HD17" s="82" t="n">
        <v>0</v>
      </c>
      <c r="HE17" s="82" t="n">
        <v>0</v>
      </c>
      <c r="HF17" s="82" t="n">
        <v>0</v>
      </c>
      <c r="HG17" s="82" t="n">
        <v>0</v>
      </c>
      <c r="HH17" s="82" t="n">
        <v>0</v>
      </c>
      <c r="HI17" s="82" t="n">
        <v>0</v>
      </c>
      <c r="HJ17" s="82" t="n">
        <v>0</v>
      </c>
      <c r="HK17" s="82" t="n">
        <v>0</v>
      </c>
      <c r="HL17" s="82" t="n">
        <v>0</v>
      </c>
      <c r="HM17" s="82" t="n">
        <v>0</v>
      </c>
      <c r="HN17" s="130" t="n"/>
      <c r="HO17" s="113" t="n">
        <v>22372843</v>
      </c>
      <c r="HP17" s="113" t="n">
        <v>22372843</v>
      </c>
      <c r="HQ17" s="113" t="n">
        <v>22372843</v>
      </c>
      <c r="HR17" s="113" t="n">
        <v>22372843</v>
      </c>
      <c r="HS17" s="113" t="n">
        <v>22372843</v>
      </c>
      <c r="HT17" s="113" t="n">
        <v>22372843</v>
      </c>
      <c r="HU17" s="113" t="n">
        <v>0</v>
      </c>
      <c r="HV17" s="113" t="n">
        <v>0</v>
      </c>
      <c r="HW17" s="113" t="n">
        <v>0</v>
      </c>
      <c r="HX17" s="113" t="n">
        <v>0</v>
      </c>
      <c r="HY17" s="113" t="n">
        <v>0</v>
      </c>
      <c r="HZ17" s="113" t="n">
        <v>0</v>
      </c>
      <c r="IA17" s="113" t="n"/>
      <c r="IB17" s="113" t="n">
        <v>0</v>
      </c>
      <c r="IC17" s="113" t="n">
        <v>0</v>
      </c>
      <c r="ID17" s="113" t="n">
        <v>0</v>
      </c>
      <c r="IE17" s="113" t="n">
        <v>0</v>
      </c>
      <c r="IF17" s="113" t="n">
        <v>0</v>
      </c>
      <c r="IG17" s="113" t="n">
        <v>0</v>
      </c>
      <c r="IH17" s="113" t="n">
        <v>0</v>
      </c>
      <c r="II17" s="113" t="n">
        <v>0</v>
      </c>
      <c r="IJ17" s="113" t="n">
        <v>0</v>
      </c>
      <c r="IK17" s="113" t="n">
        <v>0</v>
      </c>
      <c r="IL17" s="113" t="n">
        <v>0</v>
      </c>
      <c r="IM17" s="113" t="n">
        <v>0</v>
      </c>
      <c r="IN17" s="113" t="n">
        <v>0</v>
      </c>
      <c r="IO17" s="113" t="n">
        <v>0</v>
      </c>
      <c r="IP17" s="113" t="n">
        <v>0</v>
      </c>
      <c r="IQ17" s="113" t="n">
        <v>0</v>
      </c>
      <c r="IR17" s="113" t="n">
        <v>0</v>
      </c>
      <c r="IS17" s="113" t="n">
        <v>0</v>
      </c>
      <c r="IT17" s="130" t="n"/>
      <c r="IU17" s="113">
        <f>IS29</f>
        <v/>
      </c>
      <c r="IV17" s="82">
        <f>IU17</f>
        <v/>
      </c>
      <c r="IW17" s="82" t="n">
        <v>0</v>
      </c>
      <c r="IX17" s="82">
        <f>IW17</f>
        <v/>
      </c>
      <c r="IY17" s="82">
        <f>IX17</f>
        <v/>
      </c>
      <c r="IZ17" s="82">
        <f>IY17</f>
        <v/>
      </c>
      <c r="JA17" s="82">
        <f>IZ17</f>
        <v/>
      </c>
      <c r="JB17" s="82">
        <f>JA17</f>
        <v/>
      </c>
      <c r="JC17" s="82">
        <f>JB17</f>
        <v/>
      </c>
      <c r="JD17" s="82">
        <f>JC17</f>
        <v/>
      </c>
      <c r="JE17" s="82">
        <f>JD17</f>
        <v/>
      </c>
      <c r="JF17" s="82">
        <f>JE17</f>
        <v/>
      </c>
      <c r="JG17" s="82">
        <f>JF17</f>
        <v/>
      </c>
      <c r="JH17" s="82">
        <f>JG17</f>
        <v/>
      </c>
      <c r="JI17" s="82">
        <f>JH17</f>
        <v/>
      </c>
      <c r="JJ17" s="82">
        <f>JI17</f>
        <v/>
      </c>
      <c r="JK17" s="82">
        <f>JJ17</f>
        <v/>
      </c>
      <c r="JL17" s="82">
        <f>JK17</f>
        <v/>
      </c>
      <c r="JM17" s="82">
        <f>JL17</f>
        <v/>
      </c>
      <c r="JN17" s="82">
        <f>JM17</f>
        <v/>
      </c>
      <c r="JO17" s="82">
        <f>JN17</f>
        <v/>
      </c>
      <c r="JP17" s="82">
        <f>JO17</f>
        <v/>
      </c>
      <c r="JQ17" s="82">
        <f>JP17</f>
        <v/>
      </c>
      <c r="JR17" s="82">
        <f>JQ17</f>
        <v/>
      </c>
      <c r="JS17" s="82">
        <f>JR17</f>
        <v/>
      </c>
      <c r="JT17" s="82">
        <f>JS17</f>
        <v/>
      </c>
      <c r="JU17" s="82">
        <f>JT17</f>
        <v/>
      </c>
      <c r="JV17" s="82">
        <f>JU17</f>
        <v/>
      </c>
      <c r="JW17" s="82">
        <f>JV17</f>
        <v/>
      </c>
      <c r="JX17" s="82">
        <f>JW17</f>
        <v/>
      </c>
      <c r="JY17" s="133" t="n"/>
      <c r="JZ17" s="82">
        <f>JX29</f>
        <v/>
      </c>
      <c r="KA17" s="82">
        <f>JZ17</f>
        <v/>
      </c>
      <c r="KB17" s="82">
        <f>KA17</f>
        <v/>
      </c>
      <c r="KC17" s="82">
        <f>KB17</f>
        <v/>
      </c>
      <c r="KD17" s="82">
        <f>KC17</f>
        <v/>
      </c>
      <c r="KE17" s="82">
        <f>KD17</f>
        <v/>
      </c>
      <c r="KF17" s="82">
        <f>KE17</f>
        <v/>
      </c>
      <c r="KG17" s="82" t="n">
        <v>0</v>
      </c>
      <c r="KH17" s="82" t="n">
        <v>0</v>
      </c>
      <c r="KI17" s="82" t="n">
        <v>0</v>
      </c>
      <c r="KJ17" s="82" t="n">
        <v>0</v>
      </c>
      <c r="KK17" s="82" t="n">
        <v>0</v>
      </c>
      <c r="KL17" s="82" t="n">
        <v>0</v>
      </c>
      <c r="KM17" s="82" t="n">
        <v>0</v>
      </c>
      <c r="KN17" s="82" t="n">
        <v>0</v>
      </c>
      <c r="KO17" s="82" t="n">
        <v>0</v>
      </c>
      <c r="KP17" s="82" t="n">
        <v>0</v>
      </c>
      <c r="KQ17" s="82" t="n">
        <v>0</v>
      </c>
      <c r="KR17" s="82" t="n">
        <v>0</v>
      </c>
      <c r="KS17" s="82" t="n">
        <v>0</v>
      </c>
      <c r="KT17" s="82" t="n">
        <v>0</v>
      </c>
      <c r="KU17" s="82" t="n">
        <v>0</v>
      </c>
      <c r="KV17" s="82" t="n">
        <v>0</v>
      </c>
      <c r="KW17" s="82" t="n">
        <v>0</v>
      </c>
      <c r="KX17" s="82" t="n">
        <v>0</v>
      </c>
      <c r="KY17" s="82" t="n">
        <v>0</v>
      </c>
      <c r="KZ17" s="82" t="n">
        <v>0</v>
      </c>
      <c r="LA17" s="82" t="n">
        <v>0</v>
      </c>
      <c r="LB17" s="82" t="n">
        <v>0</v>
      </c>
      <c r="LC17" s="82" t="n">
        <v>0</v>
      </c>
      <c r="LD17" s="82" t="n">
        <v>0</v>
      </c>
      <c r="LE17" s="130" t="n"/>
      <c r="LF17" s="82">
        <f>LD29</f>
        <v/>
      </c>
      <c r="LG17" s="82">
        <f>LF17</f>
        <v/>
      </c>
      <c r="LH17" s="82">
        <f>LG17</f>
        <v/>
      </c>
      <c r="LI17" s="82">
        <f>LH17</f>
        <v/>
      </c>
      <c r="LJ17" s="82">
        <f>LI17</f>
        <v/>
      </c>
      <c r="LK17" s="82">
        <f>LJ17</f>
        <v/>
      </c>
      <c r="LL17" s="82">
        <f>LK17</f>
        <v/>
      </c>
      <c r="LM17" s="82">
        <f>LL17</f>
        <v/>
      </c>
      <c r="LN17" s="82">
        <f>LM17</f>
        <v/>
      </c>
      <c r="LO17" s="82">
        <f>LN17</f>
        <v/>
      </c>
      <c r="LP17" s="82">
        <f>LO17</f>
        <v/>
      </c>
      <c r="LQ17" s="82">
        <f>LP17</f>
        <v/>
      </c>
      <c r="LR17" s="82" t="n">
        <v>0</v>
      </c>
      <c r="LS17" s="82">
        <f>LR17</f>
        <v/>
      </c>
      <c r="LT17" s="82">
        <f>LS17</f>
        <v/>
      </c>
      <c r="LU17" s="82">
        <f>LT17</f>
        <v/>
      </c>
      <c r="LV17" s="82">
        <f>LU17</f>
        <v/>
      </c>
      <c r="LW17" s="82">
        <f>LV17</f>
        <v/>
      </c>
      <c r="LX17" s="82">
        <f>LW17</f>
        <v/>
      </c>
      <c r="LY17" s="82">
        <f>LX17</f>
        <v/>
      </c>
      <c r="LZ17" s="82">
        <f>LY17</f>
        <v/>
      </c>
      <c r="MA17" s="82">
        <f>LZ17</f>
        <v/>
      </c>
      <c r="MB17" s="82">
        <f>MA17</f>
        <v/>
      </c>
      <c r="MC17" s="82">
        <f>MB17</f>
        <v/>
      </c>
      <c r="MD17" s="82">
        <f>MC17</f>
        <v/>
      </c>
      <c r="ME17" s="82">
        <f>MD17</f>
        <v/>
      </c>
      <c r="MF17" s="82">
        <f>ME17</f>
        <v/>
      </c>
      <c r="MG17" s="82">
        <f>MF17</f>
        <v/>
      </c>
      <c r="MH17" s="82">
        <f>MG17</f>
        <v/>
      </c>
      <c r="MI17" s="82">
        <f>MH17</f>
        <v/>
      </c>
      <c r="MJ17" s="133" t="n"/>
      <c r="MK17" s="82">
        <f>MI29</f>
        <v/>
      </c>
      <c r="ML17" s="82">
        <f>MK17</f>
        <v/>
      </c>
      <c r="MM17" s="82">
        <f>ML17</f>
        <v/>
      </c>
      <c r="MN17" s="82">
        <f>MM17</f>
        <v/>
      </c>
      <c r="MO17" s="82">
        <f>MN17</f>
        <v/>
      </c>
      <c r="MP17" s="82">
        <f>MO17</f>
        <v/>
      </c>
      <c r="MQ17" s="82">
        <f>MP17</f>
        <v/>
      </c>
      <c r="MR17" s="82">
        <f>MQ17</f>
        <v/>
      </c>
      <c r="MS17" s="82">
        <f>MR17</f>
        <v/>
      </c>
      <c r="MT17" s="82">
        <f>MS17</f>
        <v/>
      </c>
      <c r="MU17" s="82">
        <f>MT17</f>
        <v/>
      </c>
      <c r="MV17" s="82">
        <f>MU17</f>
        <v/>
      </c>
      <c r="MW17" s="82">
        <f>MV17</f>
        <v/>
      </c>
      <c r="MX17" s="82">
        <f>MW17</f>
        <v/>
      </c>
      <c r="MY17" s="82">
        <f>MX17</f>
        <v/>
      </c>
      <c r="MZ17" s="82">
        <f>MY17</f>
        <v/>
      </c>
      <c r="NA17" s="82">
        <f>MZ17</f>
        <v/>
      </c>
      <c r="NB17" s="82">
        <f>NA17</f>
        <v/>
      </c>
      <c r="NC17" s="82">
        <f>NB17</f>
        <v/>
      </c>
      <c r="ND17" s="82">
        <f>NC17</f>
        <v/>
      </c>
      <c r="NE17" s="82">
        <f>ND17</f>
        <v/>
      </c>
      <c r="NF17" s="82">
        <f>NE17</f>
        <v/>
      </c>
      <c r="NG17" s="82">
        <f>NF17</f>
        <v/>
      </c>
      <c r="NH17" s="82" t="n">
        <v>322500</v>
      </c>
      <c r="NI17" s="82">
        <f>NH17</f>
        <v/>
      </c>
      <c r="NJ17" s="82">
        <f>NI17</f>
        <v/>
      </c>
      <c r="NK17" s="82">
        <f>NJ17</f>
        <v/>
      </c>
      <c r="NL17" s="82">
        <f>NK17</f>
        <v/>
      </c>
      <c r="NM17" s="82">
        <f>NL17</f>
        <v/>
      </c>
      <c r="NN17" s="82">
        <f>NM17</f>
        <v/>
      </c>
      <c r="NO17" s="82">
        <f>NN17</f>
        <v/>
      </c>
      <c r="NP17" s="133" t="n"/>
      <c r="NQ17" s="82">
        <f>NO17+NO29</f>
        <v/>
      </c>
      <c r="NR17" s="82">
        <f>NQ17</f>
        <v/>
      </c>
      <c r="NS17" s="82">
        <f>NQ17+NQ29</f>
        <v/>
      </c>
      <c r="NT17" s="82">
        <f>NS17</f>
        <v/>
      </c>
      <c r="NU17" s="82">
        <f>NT17</f>
        <v/>
      </c>
      <c r="NV17" s="82" t="n">
        <v>0</v>
      </c>
      <c r="NW17" s="82" t="n">
        <v>0</v>
      </c>
      <c r="NX17" s="82" t="n">
        <v>0</v>
      </c>
      <c r="NY17" s="82" t="n">
        <v>0</v>
      </c>
      <c r="NZ17" s="82" t="n">
        <v>0</v>
      </c>
      <c r="OA17" s="82" t="n">
        <v>0</v>
      </c>
      <c r="OB17" s="82" t="n">
        <v>0</v>
      </c>
      <c r="OC17" s="82" t="n">
        <v>0</v>
      </c>
      <c r="OD17" s="82" t="n">
        <v>0</v>
      </c>
      <c r="OE17" s="82" t="n">
        <v>0</v>
      </c>
      <c r="OF17" s="82" t="n">
        <v>0</v>
      </c>
      <c r="OG17" s="82" t="n">
        <v>0</v>
      </c>
      <c r="OH17" s="82" t="n">
        <v>0</v>
      </c>
      <c r="OI17" s="82" t="n">
        <v>0</v>
      </c>
      <c r="OJ17" s="82" t="n">
        <v>0</v>
      </c>
      <c r="OK17" s="82" t="n">
        <v>0</v>
      </c>
      <c r="OL17" s="82" t="n">
        <v>0</v>
      </c>
      <c r="OM17" s="82" t="n">
        <v>0</v>
      </c>
      <c r="ON17" s="82" t="n">
        <v>0</v>
      </c>
      <c r="OO17" s="82" t="n">
        <v>0</v>
      </c>
      <c r="OP17" s="82" t="n">
        <v>0</v>
      </c>
      <c r="OQ17" s="82" t="n">
        <v>0</v>
      </c>
      <c r="OR17" s="82" t="n">
        <v>0</v>
      </c>
      <c r="OS17" s="82" t="n">
        <v>0</v>
      </c>
      <c r="OT17" s="82" t="n">
        <v>0</v>
      </c>
      <c r="OU17" s="82" t="n">
        <v>0</v>
      </c>
      <c r="OV17" s="130" t="n"/>
      <c r="OW17" s="82">
        <f>OU29</f>
        <v/>
      </c>
      <c r="OX17" s="82">
        <f>OW17</f>
        <v/>
      </c>
      <c r="OY17" s="82">
        <f>OX17</f>
        <v/>
      </c>
      <c r="OZ17" s="82">
        <f>OY17</f>
        <v/>
      </c>
      <c r="PA17" s="82">
        <f>OZ17</f>
        <v/>
      </c>
      <c r="PB17" s="82">
        <f>PA17</f>
        <v/>
      </c>
      <c r="PC17" s="82">
        <f>PB17</f>
        <v/>
      </c>
      <c r="PD17" s="82">
        <f>PC17</f>
        <v/>
      </c>
      <c r="PE17" s="82">
        <f>PD17</f>
        <v/>
      </c>
      <c r="PF17" s="82">
        <f>PE17</f>
        <v/>
      </c>
      <c r="PG17" s="82">
        <f>PF17</f>
        <v/>
      </c>
      <c r="PH17" s="82" t="n">
        <v>300000</v>
      </c>
      <c r="PI17" s="82">
        <f>PH17</f>
        <v/>
      </c>
      <c r="PJ17" s="82">
        <f>PI17</f>
        <v/>
      </c>
      <c r="PK17" s="82">
        <f>PJ17</f>
        <v/>
      </c>
      <c r="PL17" s="82">
        <f>PK17</f>
        <v/>
      </c>
      <c r="PM17" s="82">
        <f>PL17</f>
        <v/>
      </c>
      <c r="PN17" s="82">
        <f>PM17</f>
        <v/>
      </c>
      <c r="PO17" s="82">
        <f>PN17</f>
        <v/>
      </c>
      <c r="PP17" s="82">
        <f>PO17</f>
        <v/>
      </c>
      <c r="PQ17" s="82">
        <f>PP17</f>
        <v/>
      </c>
      <c r="PR17" s="82">
        <f>PQ17</f>
        <v/>
      </c>
      <c r="PS17" s="82">
        <f>PR17</f>
        <v/>
      </c>
      <c r="PT17" s="82">
        <f>PS17</f>
        <v/>
      </c>
      <c r="PU17" s="82">
        <f>PT17</f>
        <v/>
      </c>
      <c r="PV17" s="82">
        <f>PU17</f>
        <v/>
      </c>
      <c r="PW17" s="82">
        <f>PV17</f>
        <v/>
      </c>
      <c r="PX17" s="82">
        <f>PW17</f>
        <v/>
      </c>
      <c r="PY17" s="82">
        <f>PX17</f>
        <v/>
      </c>
      <c r="PZ17" s="82">
        <f>PY17</f>
        <v/>
      </c>
      <c r="QA17" s="130" t="n"/>
      <c r="QB17" s="82">
        <f>PZ17+PZ29</f>
        <v/>
      </c>
      <c r="QC17" s="82">
        <f>QB17</f>
        <v/>
      </c>
      <c r="QD17" s="82">
        <f>QC17</f>
        <v/>
      </c>
      <c r="QE17" s="82">
        <f>QD17</f>
        <v/>
      </c>
      <c r="QF17" s="82">
        <f>QE17</f>
        <v/>
      </c>
      <c r="QG17" s="82">
        <f>QF17</f>
        <v/>
      </c>
      <c r="QH17" s="82" t="n">
        <v>0</v>
      </c>
      <c r="QI17" s="82">
        <f>QH17</f>
        <v/>
      </c>
      <c r="QJ17" s="82">
        <f>QI17</f>
        <v/>
      </c>
      <c r="QK17" s="82">
        <f>QJ17</f>
        <v/>
      </c>
      <c r="QL17" s="82">
        <f>QK17</f>
        <v/>
      </c>
      <c r="QM17" s="82">
        <f>QL17</f>
        <v/>
      </c>
      <c r="QN17" s="82">
        <f>QM17</f>
        <v/>
      </c>
      <c r="QO17" s="82">
        <f>QN17</f>
        <v/>
      </c>
      <c r="QP17" s="82">
        <f>QO17</f>
        <v/>
      </c>
      <c r="QQ17" s="82">
        <f>QP17</f>
        <v/>
      </c>
      <c r="QR17" s="82">
        <f>QQ17</f>
        <v/>
      </c>
      <c r="QS17" s="82">
        <f>QR17</f>
        <v/>
      </c>
      <c r="QT17" s="82">
        <f>QS17</f>
        <v/>
      </c>
      <c r="QU17" s="82">
        <f>QT17</f>
        <v/>
      </c>
      <c r="QV17" s="82">
        <f>QU17</f>
        <v/>
      </c>
      <c r="QW17" s="82">
        <f>QV17</f>
        <v/>
      </c>
      <c r="QX17" s="82">
        <f>QW17</f>
        <v/>
      </c>
      <c r="QY17" s="82">
        <f>QX17</f>
        <v/>
      </c>
      <c r="QZ17" s="82">
        <f>QY17</f>
        <v/>
      </c>
      <c r="RA17" s="82">
        <f>QZ17</f>
        <v/>
      </c>
      <c r="RB17" s="82">
        <f>RA17</f>
        <v/>
      </c>
      <c r="RC17" s="82">
        <f>RB17</f>
        <v/>
      </c>
      <c r="RD17" s="82">
        <f>RC17</f>
        <v/>
      </c>
      <c r="RE17" s="82">
        <f>RD17</f>
        <v/>
      </c>
      <c r="RF17" s="82">
        <f>RE17</f>
        <v/>
      </c>
      <c r="RG17" s="130" t="n"/>
      <c r="RH17" s="82">
        <f>RF29</f>
        <v/>
      </c>
      <c r="RI17" s="82">
        <f>RH17</f>
        <v/>
      </c>
      <c r="RJ17" s="82">
        <f>RI17</f>
        <v/>
      </c>
      <c r="RK17" s="82">
        <f>RJ17</f>
        <v/>
      </c>
      <c r="RL17" s="82">
        <f>RK17</f>
        <v/>
      </c>
      <c r="RM17" s="82">
        <f>RL17</f>
        <v/>
      </c>
      <c r="RN17" s="82">
        <f>RM17</f>
        <v/>
      </c>
      <c r="RO17" s="82">
        <f>RN17</f>
        <v/>
      </c>
      <c r="RP17" s="82">
        <f>RO17</f>
        <v/>
      </c>
      <c r="RQ17" s="82">
        <f>RP17</f>
        <v/>
      </c>
      <c r="RR17" s="82" t="n">
        <v>0</v>
      </c>
      <c r="RS17" s="82">
        <f>RR17</f>
        <v/>
      </c>
      <c r="RT17" s="82">
        <f>RS17</f>
        <v/>
      </c>
      <c r="RU17" s="82">
        <f>RT17</f>
        <v/>
      </c>
      <c r="RV17" s="82">
        <f>RU17</f>
        <v/>
      </c>
      <c r="RW17" s="82">
        <f>RV17</f>
        <v/>
      </c>
      <c r="RX17" s="82">
        <f>RW17</f>
        <v/>
      </c>
      <c r="RY17" s="82">
        <f>RX17</f>
        <v/>
      </c>
      <c r="RZ17" s="82">
        <f>RY17</f>
        <v/>
      </c>
      <c r="SA17" s="82">
        <f>RZ17</f>
        <v/>
      </c>
      <c r="SB17" s="82">
        <f>SA17</f>
        <v/>
      </c>
      <c r="SC17" s="82">
        <f>SB17</f>
        <v/>
      </c>
      <c r="SD17" s="82">
        <f>SC17</f>
        <v/>
      </c>
      <c r="SE17" s="82">
        <f>SD17</f>
        <v/>
      </c>
      <c r="SF17" s="82">
        <f>SE17</f>
        <v/>
      </c>
      <c r="SG17" s="82">
        <f>SF17</f>
        <v/>
      </c>
      <c r="SH17" s="82">
        <f>SG17</f>
        <v/>
      </c>
      <c r="SI17" s="82">
        <f>SH17</f>
        <v/>
      </c>
      <c r="SJ17" s="82">
        <f>SI17</f>
        <v/>
      </c>
      <c r="SK17" s="82">
        <f>SJ17</f>
        <v/>
      </c>
      <c r="SL17" s="130" t="n"/>
      <c r="SM17" s="82">
        <f>SK29</f>
        <v/>
      </c>
      <c r="SN17" s="82">
        <f>SM17</f>
        <v/>
      </c>
      <c r="SO17" s="82">
        <f>SN17</f>
        <v/>
      </c>
      <c r="SP17" s="82">
        <f>SO17</f>
        <v/>
      </c>
      <c r="SQ17" s="82">
        <f>SP17</f>
        <v/>
      </c>
      <c r="SR17" s="82" t="n">
        <v>0</v>
      </c>
      <c r="SS17" s="82">
        <f>SR17</f>
        <v/>
      </c>
      <c r="ST17" s="82">
        <f>SS17</f>
        <v/>
      </c>
      <c r="SU17" s="82">
        <f>ST17</f>
        <v/>
      </c>
      <c r="SV17" s="82">
        <f>SU17</f>
        <v/>
      </c>
      <c r="SW17" s="82">
        <f>SV17</f>
        <v/>
      </c>
      <c r="SX17" s="82">
        <f>SW17</f>
        <v/>
      </c>
      <c r="SY17" s="82">
        <f>SX17</f>
        <v/>
      </c>
      <c r="SZ17" s="82">
        <f>SY17</f>
        <v/>
      </c>
      <c r="TA17" s="82">
        <f>SZ17</f>
        <v/>
      </c>
      <c r="TB17" s="82">
        <f>TA17</f>
        <v/>
      </c>
      <c r="TC17" s="82">
        <f>TB17</f>
        <v/>
      </c>
      <c r="TD17" s="82">
        <f>TC17</f>
        <v/>
      </c>
      <c r="TE17" s="82">
        <f>TD17</f>
        <v/>
      </c>
      <c r="TF17" s="82">
        <f>TE17</f>
        <v/>
      </c>
      <c r="TG17" s="82">
        <f>TF17</f>
        <v/>
      </c>
      <c r="TH17" s="82">
        <f>TG17</f>
        <v/>
      </c>
      <c r="TI17" s="82">
        <f>TH17</f>
        <v/>
      </c>
      <c r="TJ17" s="82">
        <f>TI17</f>
        <v/>
      </c>
      <c r="TK17" s="82">
        <f>TJ17</f>
        <v/>
      </c>
      <c r="TL17" s="82">
        <f>TK17</f>
        <v/>
      </c>
      <c r="TM17" s="82">
        <f>TL17</f>
        <v/>
      </c>
      <c r="TN17" s="82">
        <f>TM17</f>
        <v/>
      </c>
      <c r="TO17" s="82">
        <f>TN17</f>
        <v/>
      </c>
      <c r="TP17" s="82">
        <f>TO17</f>
        <v/>
      </c>
      <c r="TQ17" s="82">
        <f>TP17</f>
        <v/>
      </c>
      <c r="TR17" s="130" t="n"/>
      <c r="TS17" s="82">
        <f>TQ29</f>
        <v/>
      </c>
      <c r="TT17" s="82">
        <f>TS17</f>
        <v/>
      </c>
      <c r="TU17" s="82">
        <f>TT17</f>
        <v/>
      </c>
      <c r="TV17" s="82">
        <f>TU17</f>
        <v/>
      </c>
      <c r="TW17" s="82">
        <f>TV17</f>
        <v/>
      </c>
      <c r="TX17" s="82">
        <f>TW17</f>
        <v/>
      </c>
      <c r="TY17" s="82" t="n">
        <v>0</v>
      </c>
      <c r="TZ17" s="82">
        <f>TY17</f>
        <v/>
      </c>
      <c r="UA17" s="82">
        <f>TZ17</f>
        <v/>
      </c>
      <c r="UB17" s="82">
        <f>UA17</f>
        <v/>
      </c>
      <c r="UC17" s="82">
        <f>UB17</f>
        <v/>
      </c>
      <c r="UD17" s="82">
        <f>UC17</f>
        <v/>
      </c>
      <c r="UE17" s="82">
        <f>UD17</f>
        <v/>
      </c>
      <c r="UF17" s="82">
        <f>UE17</f>
        <v/>
      </c>
      <c r="UG17" s="82">
        <f>UF17</f>
        <v/>
      </c>
      <c r="UH17" s="82">
        <f>UG17</f>
        <v/>
      </c>
      <c r="UI17" s="82">
        <f>UH17</f>
        <v/>
      </c>
      <c r="UJ17" s="82">
        <f>UI17</f>
        <v/>
      </c>
      <c r="UK17" s="82">
        <f>UJ17</f>
        <v/>
      </c>
      <c r="UL17" s="82">
        <f>UK17</f>
        <v/>
      </c>
      <c r="UM17" s="82">
        <f>UL17</f>
        <v/>
      </c>
      <c r="UN17" s="82">
        <f>UM17</f>
        <v/>
      </c>
      <c r="UO17" s="82">
        <f>UN17</f>
        <v/>
      </c>
      <c r="UP17" s="82">
        <f>UO17</f>
        <v/>
      </c>
      <c r="UQ17" s="82">
        <f>UP17</f>
        <v/>
      </c>
      <c r="UR17" s="82">
        <f>UQ17</f>
        <v/>
      </c>
      <c r="US17" s="82">
        <f>UR17</f>
        <v/>
      </c>
      <c r="UT17" s="82">
        <f>US17</f>
        <v/>
      </c>
      <c r="UU17" s="82">
        <f>UT17</f>
        <v/>
      </c>
      <c r="UV17" s="82">
        <f>UU17</f>
        <v/>
      </c>
      <c r="UW17" s="82">
        <f>UV17</f>
        <v/>
      </c>
      <c r="UX17" s="130" t="n"/>
      <c r="UY17" s="82">
        <f>UW29</f>
        <v/>
      </c>
      <c r="UZ17" s="82">
        <f>UY17</f>
        <v/>
      </c>
      <c r="VA17" s="82">
        <f>UZ17</f>
        <v/>
      </c>
      <c r="VB17" s="82">
        <f>VA17</f>
        <v/>
      </c>
      <c r="VC17" s="82">
        <f>VB17</f>
        <v/>
      </c>
      <c r="VD17" s="82">
        <f>VC17</f>
        <v/>
      </c>
      <c r="VE17" s="82" t="n">
        <v>60000</v>
      </c>
      <c r="VF17" s="82" t="n">
        <v>60000</v>
      </c>
      <c r="VG17" s="82">
        <f>VF17</f>
        <v/>
      </c>
      <c r="VH17" s="82">
        <f>VG17</f>
        <v/>
      </c>
      <c r="VI17" s="82">
        <f>VH17</f>
        <v/>
      </c>
      <c r="VJ17" s="82">
        <f>VI17</f>
        <v/>
      </c>
      <c r="VK17" s="82">
        <f>VJ17</f>
        <v/>
      </c>
      <c r="VL17" s="82">
        <f>VK17</f>
        <v/>
      </c>
      <c r="VM17" s="82">
        <f>VL17</f>
        <v/>
      </c>
      <c r="VN17" s="82">
        <f>VM17</f>
        <v/>
      </c>
      <c r="VO17" s="82">
        <f>VN17</f>
        <v/>
      </c>
      <c r="VP17" s="82">
        <f>VO17</f>
        <v/>
      </c>
      <c r="VQ17" s="82">
        <f>VP17</f>
        <v/>
      </c>
      <c r="VR17" s="82">
        <f>VQ17</f>
        <v/>
      </c>
      <c r="VS17" s="82">
        <f>VR17</f>
        <v/>
      </c>
      <c r="VT17" s="82">
        <f>VS17</f>
        <v/>
      </c>
      <c r="VU17" s="82">
        <f>VT17</f>
        <v/>
      </c>
      <c r="VV17" s="82">
        <f>VU17</f>
        <v/>
      </c>
      <c r="VW17" s="82">
        <f>VV17</f>
        <v/>
      </c>
      <c r="VX17" s="82">
        <f>VW17</f>
        <v/>
      </c>
      <c r="VY17" s="82">
        <f>VX17</f>
        <v/>
      </c>
      <c r="VZ17" s="82">
        <f>VY17</f>
        <v/>
      </c>
      <c r="WA17" s="133" t="n"/>
      <c r="WB17" s="82">
        <f>VZ17+VZ29</f>
        <v/>
      </c>
      <c r="WC17" s="82">
        <f>WB17</f>
        <v/>
      </c>
      <c r="WD17" s="82">
        <f>WC17</f>
        <v/>
      </c>
      <c r="WE17" s="82">
        <f>WD17</f>
        <v/>
      </c>
      <c r="WF17" s="82">
        <f>WE17</f>
        <v/>
      </c>
      <c r="WG17" s="82">
        <f>WF17</f>
        <v/>
      </c>
      <c r="WH17" s="82">
        <f>WG17</f>
        <v/>
      </c>
      <c r="WI17" s="82">
        <f>WH17</f>
        <v/>
      </c>
      <c r="WJ17" s="82" t="n">
        <v>0</v>
      </c>
      <c r="WK17" s="82" t="n">
        <v>0</v>
      </c>
      <c r="WL17" s="82" t="n">
        <v>0</v>
      </c>
      <c r="WM17" s="82" t="n">
        <v>0</v>
      </c>
      <c r="WN17" s="82" t="n">
        <v>0</v>
      </c>
      <c r="WO17" s="82" t="n">
        <v>0</v>
      </c>
      <c r="WP17" s="82" t="n">
        <v>0</v>
      </c>
      <c r="WQ17" s="82" t="n">
        <v>0</v>
      </c>
      <c r="WR17" s="82" t="n">
        <v>0</v>
      </c>
      <c r="WS17" s="82" t="n">
        <v>0</v>
      </c>
      <c r="WT17" s="82" t="n">
        <v>0</v>
      </c>
      <c r="WU17" s="82" t="n">
        <v>0</v>
      </c>
      <c r="WV17" s="82" t="n">
        <v>0</v>
      </c>
      <c r="WW17" s="82" t="n">
        <v>0</v>
      </c>
      <c r="WX17" s="82" t="n">
        <v>0</v>
      </c>
      <c r="WY17" s="82" t="n">
        <v>0</v>
      </c>
      <c r="WZ17" s="82" t="n">
        <v>0</v>
      </c>
      <c r="XA17" s="82" t="n">
        <v>0</v>
      </c>
      <c r="XB17" s="82" t="n">
        <v>0</v>
      </c>
      <c r="XC17" s="82" t="n">
        <v>0</v>
      </c>
      <c r="XD17" s="82" t="n">
        <v>0</v>
      </c>
      <c r="XE17" s="82" t="n">
        <v>0</v>
      </c>
      <c r="XF17" s="82" t="n">
        <v>0</v>
      </c>
      <c r="XG17" s="133" t="n"/>
      <c r="XH17" s="82">
        <f>XF29</f>
        <v/>
      </c>
      <c r="XI17" s="82">
        <f>XH17</f>
        <v/>
      </c>
      <c r="XJ17" s="82">
        <f>XI17</f>
        <v/>
      </c>
      <c r="XK17" s="82">
        <f>XJ17</f>
        <v/>
      </c>
      <c r="XL17" s="82">
        <f>XK17</f>
        <v/>
      </c>
      <c r="XM17" s="82">
        <f>XL17</f>
        <v/>
      </c>
      <c r="XN17" s="82">
        <f>XM17</f>
        <v/>
      </c>
      <c r="XO17" s="82">
        <f>XN17</f>
        <v/>
      </c>
      <c r="XP17" s="82" t="n">
        <v>0</v>
      </c>
      <c r="XQ17" s="82">
        <f>XP17</f>
        <v/>
      </c>
      <c r="XR17" s="82">
        <f>XQ17</f>
        <v/>
      </c>
      <c r="XS17" s="82">
        <f>XR17</f>
        <v/>
      </c>
      <c r="XT17" s="82">
        <f>XS17</f>
        <v/>
      </c>
      <c r="XU17" s="82">
        <f>XT17</f>
        <v/>
      </c>
      <c r="XV17" s="82">
        <f>XU17</f>
        <v/>
      </c>
      <c r="XW17" s="82">
        <f>XV17</f>
        <v/>
      </c>
      <c r="XX17" s="82">
        <f>XW17</f>
        <v/>
      </c>
      <c r="XY17" s="82">
        <f>XX17</f>
        <v/>
      </c>
      <c r="XZ17" s="82">
        <f>XY17</f>
        <v/>
      </c>
      <c r="YA17" s="82">
        <f>XZ17</f>
        <v/>
      </c>
      <c r="YB17" s="82">
        <f>YA17</f>
        <v/>
      </c>
      <c r="YC17" s="82">
        <f>YB17</f>
        <v/>
      </c>
      <c r="YD17" s="82">
        <f>YC17</f>
        <v/>
      </c>
      <c r="YE17" s="82">
        <f>YD17</f>
        <v/>
      </c>
      <c r="YF17" s="82">
        <f>YE17</f>
        <v/>
      </c>
      <c r="YG17" s="82">
        <f>YF17</f>
        <v/>
      </c>
      <c r="YH17" s="82">
        <f>YG17</f>
        <v/>
      </c>
      <c r="YI17" s="82">
        <f>YH17</f>
        <v/>
      </c>
      <c r="YJ17" s="82">
        <f>YI17</f>
        <v/>
      </c>
      <c r="YK17" s="82">
        <f>YJ17</f>
        <v/>
      </c>
      <c r="YL17" s="130" t="n"/>
      <c r="YM17" s="82">
        <f>YK29+YK30</f>
        <v/>
      </c>
      <c r="YN17" s="82">
        <f>YM17</f>
        <v/>
      </c>
      <c r="YO17" s="82">
        <f>YN17</f>
        <v/>
      </c>
      <c r="YP17" s="82">
        <f>YO17</f>
        <v/>
      </c>
      <c r="YQ17" s="82">
        <f>YP17</f>
        <v/>
      </c>
      <c r="YR17" s="82">
        <f>YQ17</f>
        <v/>
      </c>
      <c r="YS17" s="82">
        <f>YR17</f>
        <v/>
      </c>
      <c r="YT17" s="82">
        <f>YS17</f>
        <v/>
      </c>
      <c r="YU17" s="82">
        <f>YT17</f>
        <v/>
      </c>
      <c r="YV17" s="82">
        <f>YU17</f>
        <v/>
      </c>
      <c r="YW17" s="82" t="n">
        <v>200000</v>
      </c>
      <c r="YX17" s="82">
        <f>YW17</f>
        <v/>
      </c>
      <c r="YY17" s="82">
        <f>YX17</f>
        <v/>
      </c>
      <c r="YZ17" s="82">
        <f>YY17</f>
        <v/>
      </c>
      <c r="ZA17" s="82">
        <f>YZ17</f>
        <v/>
      </c>
      <c r="ZB17" s="82">
        <f>ZA17</f>
        <v/>
      </c>
      <c r="ZC17" s="82">
        <f>ZB17</f>
        <v/>
      </c>
      <c r="ZD17" s="82">
        <f>ZC17</f>
        <v/>
      </c>
      <c r="ZE17" s="82">
        <f>ZD17</f>
        <v/>
      </c>
      <c r="ZF17" s="82">
        <f>ZE17</f>
        <v/>
      </c>
      <c r="ZG17" s="82">
        <f>ZF17</f>
        <v/>
      </c>
      <c r="ZH17" s="82" t="n">
        <v>0</v>
      </c>
      <c r="ZI17" s="82">
        <f>ZH17</f>
        <v/>
      </c>
      <c r="ZJ17" s="82">
        <f>ZI17</f>
        <v/>
      </c>
      <c r="ZK17" s="82">
        <f>ZJ17</f>
        <v/>
      </c>
      <c r="ZL17" s="82">
        <f>ZK17</f>
        <v/>
      </c>
      <c r="ZM17" s="82">
        <f>ZL17</f>
        <v/>
      </c>
      <c r="ZN17" s="82">
        <f>ZM17</f>
        <v/>
      </c>
      <c r="ZO17" s="82">
        <f>ZN17</f>
        <v/>
      </c>
      <c r="ZP17" s="82">
        <f>ZO17</f>
        <v/>
      </c>
      <c r="ZQ17" s="82">
        <f>ZP17</f>
        <v/>
      </c>
      <c r="ZR17" s="130" t="n"/>
      <c r="ZS17" s="82">
        <f>ZQ29+ZQ30</f>
        <v/>
      </c>
      <c r="ZT17" s="82">
        <f>ZS17</f>
        <v/>
      </c>
      <c r="ZU17" s="82" t="n">
        <v>0</v>
      </c>
      <c r="ZV17" s="82">
        <f>ZU17</f>
        <v/>
      </c>
      <c r="ZW17" s="82">
        <f>ZV17</f>
        <v/>
      </c>
      <c r="ZX17" s="82">
        <f>ZW17</f>
        <v/>
      </c>
      <c r="ZY17" s="82">
        <f>ZX17</f>
        <v/>
      </c>
      <c r="ZZ17" s="82">
        <f>ZY17</f>
        <v/>
      </c>
      <c r="AAA17" s="82">
        <f>ZZ17</f>
        <v/>
      </c>
      <c r="AAB17" s="82">
        <f>AAA17</f>
        <v/>
      </c>
      <c r="AAC17" s="82">
        <f>AAB17</f>
        <v/>
      </c>
      <c r="AAD17" s="82">
        <f>AAC17</f>
        <v/>
      </c>
      <c r="AAE17" s="82">
        <f>AAD17</f>
        <v/>
      </c>
      <c r="AAF17" s="82">
        <f>AAE17</f>
        <v/>
      </c>
      <c r="AAG17" s="82">
        <f>AAF17</f>
        <v/>
      </c>
      <c r="AAH17" s="82">
        <f>AAG17</f>
        <v/>
      </c>
      <c r="AAI17" s="82">
        <f>AAH17</f>
        <v/>
      </c>
      <c r="AAJ17" s="82">
        <f>AAI17</f>
        <v/>
      </c>
      <c r="AAK17" s="82">
        <f>AAJ17</f>
        <v/>
      </c>
      <c r="AAL17" s="82">
        <f>AAK17</f>
        <v/>
      </c>
      <c r="AAM17" s="82">
        <f>AAL17</f>
        <v/>
      </c>
      <c r="AAN17" s="82">
        <f>AAM17</f>
        <v/>
      </c>
      <c r="AAO17" s="82">
        <f>AAN17</f>
        <v/>
      </c>
      <c r="AAP17" s="82">
        <f>AAO17</f>
        <v/>
      </c>
      <c r="AAQ17" s="82">
        <f>AAP17</f>
        <v/>
      </c>
      <c r="AAR17" s="82">
        <f>AAQ17</f>
        <v/>
      </c>
      <c r="AAS17" s="82">
        <f>AAR17</f>
        <v/>
      </c>
      <c r="AAT17" s="82">
        <f>AAS17</f>
        <v/>
      </c>
      <c r="AAU17" s="82">
        <f>AAT17</f>
        <v/>
      </c>
      <c r="AAV17" s="82">
        <f>AAU17</f>
        <v/>
      </c>
      <c r="AAW17" s="130" t="n"/>
      <c r="AAX17" s="82">
        <f>AAV29</f>
        <v/>
      </c>
      <c r="AAY17" s="82">
        <f>AAX17</f>
        <v/>
      </c>
      <c r="AAZ17" s="82">
        <f>AAY17</f>
        <v/>
      </c>
      <c r="ABA17" s="82">
        <f>AAZ17</f>
        <v/>
      </c>
      <c r="ABB17" s="82">
        <f>ABA17</f>
        <v/>
      </c>
      <c r="ABC17" s="82">
        <f>ABB17</f>
        <v/>
      </c>
      <c r="ABD17" s="82">
        <f>ABC17</f>
        <v/>
      </c>
      <c r="ABE17" s="82">
        <f>ABD17</f>
        <v/>
      </c>
      <c r="ABF17" s="82">
        <f>ABE17</f>
        <v/>
      </c>
      <c r="ABG17" s="82">
        <f>ABF17</f>
        <v/>
      </c>
      <c r="ABH17" s="82">
        <f>ABG17</f>
        <v/>
      </c>
      <c r="ABI17" s="82">
        <f>ABH17</f>
        <v/>
      </c>
      <c r="ABJ17" s="82">
        <f>ABI17</f>
        <v/>
      </c>
      <c r="ABK17" s="82">
        <f>ABJ17</f>
        <v/>
      </c>
      <c r="ABL17" s="82">
        <f>ABK17</f>
        <v/>
      </c>
      <c r="ABM17" s="82">
        <f>ABL17</f>
        <v/>
      </c>
      <c r="ABN17" s="82" t="n">
        <v>0</v>
      </c>
      <c r="ABO17" s="82">
        <f>ABN17</f>
        <v/>
      </c>
      <c r="ABP17" s="82">
        <f>ABO17</f>
        <v/>
      </c>
      <c r="ABQ17" s="82">
        <f>ABP17</f>
        <v/>
      </c>
      <c r="ABR17" s="82">
        <f>ABQ17</f>
        <v/>
      </c>
      <c r="ABS17" s="82">
        <f>ABR17</f>
        <v/>
      </c>
      <c r="ABT17" s="82">
        <f>ABS17</f>
        <v/>
      </c>
      <c r="ABU17" s="82">
        <f>ABT17</f>
        <v/>
      </c>
      <c r="ABV17" s="82">
        <f>ABU17</f>
        <v/>
      </c>
      <c r="ABW17" s="82">
        <f>ABV17</f>
        <v/>
      </c>
      <c r="ABX17" s="82">
        <f>ABW17</f>
        <v/>
      </c>
      <c r="ABY17" s="82">
        <f>ABX17</f>
        <v/>
      </c>
      <c r="ABZ17" s="82">
        <f>ABY17</f>
        <v/>
      </c>
      <c r="ACA17" s="82">
        <f>ABZ17</f>
        <v/>
      </c>
      <c r="ACB17" s="82">
        <f>ACA17</f>
        <v/>
      </c>
      <c r="ACC17" s="130" t="n"/>
      <c r="ACD17" s="82">
        <f>ACB29</f>
        <v/>
      </c>
      <c r="ACE17" s="82">
        <f>ACD17</f>
        <v/>
      </c>
      <c r="ACF17" s="82">
        <f>ACE17</f>
        <v/>
      </c>
      <c r="ACG17" s="82">
        <f>ACF17</f>
        <v/>
      </c>
      <c r="ACH17" s="82">
        <f>ACG17</f>
        <v/>
      </c>
      <c r="ACI17" s="82" t="n">
        <v>0</v>
      </c>
      <c r="ACJ17" s="82">
        <f>ACI17</f>
        <v/>
      </c>
      <c r="ACK17" s="82">
        <f>ACJ17</f>
        <v/>
      </c>
      <c r="ACL17" s="82">
        <f>ACK17</f>
        <v/>
      </c>
      <c r="ACM17" s="82">
        <f>ACL17</f>
        <v/>
      </c>
      <c r="ACN17" s="82">
        <f>ACM17</f>
        <v/>
      </c>
      <c r="ACO17" s="82">
        <f>ACN17</f>
        <v/>
      </c>
      <c r="ACP17" s="82">
        <f>ACO17</f>
        <v/>
      </c>
      <c r="ACQ17" s="82">
        <f>ACP17</f>
        <v/>
      </c>
      <c r="ACR17" s="82">
        <f>ACQ17</f>
        <v/>
      </c>
      <c r="ACS17" s="82">
        <f>ACR17</f>
        <v/>
      </c>
      <c r="ACT17" s="82">
        <f>ACS17</f>
        <v/>
      </c>
      <c r="ACU17" s="82">
        <f>ACT17</f>
        <v/>
      </c>
      <c r="ACV17" s="82">
        <f>ACU17</f>
        <v/>
      </c>
      <c r="ACW17" s="82">
        <f>ACV17</f>
        <v/>
      </c>
      <c r="ACX17" s="82">
        <f>ACW17</f>
        <v/>
      </c>
      <c r="ACY17" s="82">
        <f>ACX17</f>
        <v/>
      </c>
      <c r="ACZ17" s="82">
        <f>ACY17</f>
        <v/>
      </c>
      <c r="ADA17" s="82">
        <f>ACZ17</f>
        <v/>
      </c>
      <c r="ADB17" s="82">
        <f>ADA17</f>
        <v/>
      </c>
      <c r="ADC17" s="82">
        <f>ADB17</f>
        <v/>
      </c>
      <c r="ADD17" s="82">
        <f>ADC17</f>
        <v/>
      </c>
      <c r="ADE17" s="82">
        <f>ADD17</f>
        <v/>
      </c>
      <c r="ADF17" s="82">
        <f>ADE17</f>
        <v/>
      </c>
      <c r="ADG17" s="82">
        <f>ADF17</f>
        <v/>
      </c>
      <c r="ADH17" s="82">
        <f>ADG17</f>
        <v/>
      </c>
      <c r="ADI17" s="130" t="n"/>
      <c r="ADJ17" s="82">
        <f>ADH29</f>
        <v/>
      </c>
      <c r="ADK17" s="82">
        <f>ADJ17</f>
        <v/>
      </c>
      <c r="ADL17" s="82">
        <f>ADK17</f>
        <v/>
      </c>
      <c r="ADM17" s="82">
        <f>ADL17</f>
        <v/>
      </c>
      <c r="ADN17" s="82">
        <f>ADM17</f>
        <v/>
      </c>
      <c r="ADO17" s="82">
        <f>ADN17</f>
        <v/>
      </c>
      <c r="ADP17" s="82">
        <f>ADO17</f>
        <v/>
      </c>
      <c r="ADQ17" s="82">
        <f>ADP17</f>
        <v/>
      </c>
      <c r="ADR17" s="82">
        <f>ADQ17</f>
        <v/>
      </c>
      <c r="ADS17" s="82">
        <f>ADR17</f>
        <v/>
      </c>
      <c r="ADT17" s="82">
        <f>ADS17</f>
        <v/>
      </c>
      <c r="ADU17" s="82">
        <f>ADT17</f>
        <v/>
      </c>
      <c r="ADV17" s="82">
        <f>ADU17</f>
        <v/>
      </c>
      <c r="ADW17" s="82">
        <f>1000000+734724</f>
        <v/>
      </c>
      <c r="ADX17" s="82">
        <f>ADW17</f>
        <v/>
      </c>
      <c r="ADY17" s="82">
        <f>ADX17</f>
        <v/>
      </c>
      <c r="ADZ17" s="82">
        <f>ADY17</f>
        <v/>
      </c>
      <c r="AEA17" s="82">
        <f>ADZ17</f>
        <v/>
      </c>
      <c r="AEB17" s="82">
        <f>AEA17</f>
        <v/>
      </c>
      <c r="AEC17" s="82">
        <f>AEB17</f>
        <v/>
      </c>
      <c r="AED17" s="82">
        <f>AEC17</f>
        <v/>
      </c>
      <c r="AEE17" s="82">
        <f>AED17</f>
        <v/>
      </c>
      <c r="AEF17" s="82">
        <f>AEE17</f>
        <v/>
      </c>
      <c r="AEG17" s="82">
        <f>AEF17</f>
        <v/>
      </c>
      <c r="AEH17" s="82">
        <f>AEG17</f>
        <v/>
      </c>
      <c r="AEI17" s="82">
        <f>AEH17</f>
        <v/>
      </c>
      <c r="AEJ17" s="82">
        <f>AEI17</f>
        <v/>
      </c>
      <c r="AEK17" s="82">
        <f>AEJ17</f>
        <v/>
      </c>
      <c r="AEL17" s="82">
        <f>AEK17</f>
        <v/>
      </c>
      <c r="AEM17" s="82">
        <f>AEL17</f>
        <v/>
      </c>
      <c r="AEN17" s="130" t="n"/>
      <c r="AEO17" s="82">
        <f>AEM17+AEM29</f>
        <v/>
      </c>
      <c r="AEP17" s="82">
        <f>AEO17</f>
        <v/>
      </c>
      <c r="AEQ17" s="82">
        <f>AEP17</f>
        <v/>
      </c>
      <c r="AER17" s="82">
        <f>AEQ17</f>
        <v/>
      </c>
      <c r="AES17" s="82">
        <f>AER17</f>
        <v/>
      </c>
      <c r="AET17" s="82">
        <f>AES17</f>
        <v/>
      </c>
      <c r="AEU17" s="82" t="n">
        <v>1000000</v>
      </c>
      <c r="AEV17" s="82">
        <f>AEU17</f>
        <v/>
      </c>
      <c r="AEW17" s="82">
        <f>AEV17</f>
        <v/>
      </c>
      <c r="AEX17" s="82">
        <f>AEW17</f>
        <v/>
      </c>
      <c r="AEY17" s="82">
        <f>AEX17</f>
        <v/>
      </c>
      <c r="AEZ17" s="82">
        <f>AEY17</f>
        <v/>
      </c>
      <c r="AFA17" s="82">
        <f>AEZ17</f>
        <v/>
      </c>
      <c r="AFB17" s="82">
        <f>AFA17</f>
        <v/>
      </c>
      <c r="AFC17" s="82">
        <f>AFB17</f>
        <v/>
      </c>
      <c r="AFD17" s="82">
        <f>AFC17</f>
        <v/>
      </c>
      <c r="AFE17" s="82">
        <f>AFD17</f>
        <v/>
      </c>
      <c r="AFF17" s="82">
        <f>AFE17</f>
        <v/>
      </c>
      <c r="AFG17" s="82">
        <f>AFF17</f>
        <v/>
      </c>
      <c r="AFH17" s="82">
        <f>AFG17</f>
        <v/>
      </c>
      <c r="AFI17" s="82">
        <f>AFH17</f>
        <v/>
      </c>
      <c r="AFJ17" s="82">
        <f>AFI17</f>
        <v/>
      </c>
      <c r="AFK17" s="82">
        <f>AFJ17</f>
        <v/>
      </c>
      <c r="AFL17" s="82">
        <f>AFK17</f>
        <v/>
      </c>
      <c r="AFM17" s="82">
        <f>AFL17</f>
        <v/>
      </c>
      <c r="AFN17" s="82">
        <f>AFM17</f>
        <v/>
      </c>
      <c r="AFO17" s="82">
        <f>AFN17</f>
        <v/>
      </c>
      <c r="AFP17" s="82">
        <f>AFO17</f>
        <v/>
      </c>
      <c r="AFQ17" s="82">
        <f>AFP17</f>
        <v/>
      </c>
      <c r="AFR17" s="82">
        <f>AFQ17</f>
        <v/>
      </c>
      <c r="AFS17" s="82">
        <f>AFR17</f>
        <v/>
      </c>
      <c r="AFT17" s="130" t="n"/>
      <c r="AFU17" s="82">
        <f>AFS17+AFS29</f>
        <v/>
      </c>
      <c r="AFV17" s="82">
        <f>AFU17</f>
        <v/>
      </c>
      <c r="AFW17" s="82">
        <f>AFV17</f>
        <v/>
      </c>
      <c r="AFX17" s="82">
        <f>AFW17</f>
        <v/>
      </c>
      <c r="AFY17" s="82">
        <f>AFX17</f>
        <v/>
      </c>
      <c r="AFZ17" s="82">
        <f>AFY17</f>
        <v/>
      </c>
      <c r="AGA17" s="82">
        <f>AFZ17</f>
        <v/>
      </c>
      <c r="AGB17" s="82">
        <f>AGA17</f>
        <v/>
      </c>
      <c r="AGC17" s="82">
        <f>AGB17</f>
        <v/>
      </c>
      <c r="AGD17" s="82" t="n">
        <v>1000000</v>
      </c>
      <c r="AGE17" s="82">
        <f>AGD17</f>
        <v/>
      </c>
      <c r="AGF17" s="82">
        <f>AGE17</f>
        <v/>
      </c>
      <c r="AGG17" s="82">
        <f>AGF17</f>
        <v/>
      </c>
      <c r="AGH17" s="82">
        <f>AGG17</f>
        <v/>
      </c>
      <c r="AGI17" s="82">
        <f>AGH17</f>
        <v/>
      </c>
      <c r="AGJ17" s="82">
        <f>AGI17</f>
        <v/>
      </c>
      <c r="AGK17" s="82">
        <f>AGJ17</f>
        <v/>
      </c>
      <c r="AGL17" s="82">
        <f>AGK17</f>
        <v/>
      </c>
      <c r="AGM17" s="82">
        <f>AGL17</f>
        <v/>
      </c>
      <c r="AGN17" s="82">
        <f>AGM17</f>
        <v/>
      </c>
      <c r="AGO17" s="82">
        <f>AGN17</f>
        <v/>
      </c>
      <c r="AGP17" s="82">
        <f>AGO17</f>
        <v/>
      </c>
      <c r="AGQ17" s="82">
        <f>AGP17</f>
        <v/>
      </c>
      <c r="AGR17" s="82">
        <f>AGQ17</f>
        <v/>
      </c>
      <c r="AGS17" s="82">
        <f>AGR17</f>
        <v/>
      </c>
      <c r="AGT17" s="82">
        <f>AGS17</f>
        <v/>
      </c>
      <c r="AGU17" s="82">
        <f>AGT17</f>
        <v/>
      </c>
      <c r="AGV17" s="82">
        <f>AGU17</f>
        <v/>
      </c>
      <c r="AGW17" s="82">
        <f>AGV17</f>
        <v/>
      </c>
      <c r="AGX17" s="82">
        <f>AGW17</f>
        <v/>
      </c>
      <c r="AGY17" s="133" t="n"/>
      <c r="AGZ17" s="82">
        <f>AGX17+AGX29</f>
        <v/>
      </c>
      <c r="AHA17" s="82">
        <f>AGZ17</f>
        <v/>
      </c>
      <c r="AHB17" s="82">
        <f>AHA17</f>
        <v/>
      </c>
      <c r="AHC17" s="82">
        <f>AHB17</f>
        <v/>
      </c>
      <c r="AHD17" s="82">
        <f>AHC17</f>
        <v/>
      </c>
      <c r="AHE17" s="82">
        <f>AHD17</f>
        <v/>
      </c>
      <c r="AHF17" s="82">
        <f>AHE17</f>
        <v/>
      </c>
      <c r="AHG17" s="82">
        <f>AHF17</f>
        <v/>
      </c>
      <c r="AHH17" s="82">
        <f>AHG17</f>
        <v/>
      </c>
      <c r="AHI17" s="82">
        <f>AHH17</f>
        <v/>
      </c>
      <c r="AHJ17" s="82">
        <f>AHI17</f>
        <v/>
      </c>
      <c r="AHK17" s="82" t="n">
        <v>1000000</v>
      </c>
      <c r="AHL17" s="82">
        <f>AHK17</f>
        <v/>
      </c>
      <c r="AHM17" s="82">
        <f>AHL17</f>
        <v/>
      </c>
      <c r="AHN17" s="82">
        <f>AHM17</f>
        <v/>
      </c>
      <c r="AHO17" s="82">
        <f>AHN17</f>
        <v/>
      </c>
      <c r="AHP17" s="82">
        <f>AHO17</f>
        <v/>
      </c>
      <c r="AHQ17" s="82">
        <f>AHP17</f>
        <v/>
      </c>
      <c r="AHR17" s="82">
        <f>AHQ17</f>
        <v/>
      </c>
      <c r="AHS17" s="82">
        <f>AHR17</f>
        <v/>
      </c>
      <c r="AHT17" s="82">
        <f>AHS17</f>
        <v/>
      </c>
      <c r="AHU17" s="82">
        <f>AHT17</f>
        <v/>
      </c>
      <c r="AHV17" s="82">
        <f>AHU17</f>
        <v/>
      </c>
      <c r="AHW17" s="82">
        <f>AHV17</f>
        <v/>
      </c>
      <c r="AHX17" s="82">
        <f>AHW17</f>
        <v/>
      </c>
      <c r="AHY17" s="82">
        <f>AHX17</f>
        <v/>
      </c>
      <c r="AHZ17" s="82">
        <f>AHY17</f>
        <v/>
      </c>
      <c r="AIA17" s="82">
        <f>AHZ17</f>
        <v/>
      </c>
      <c r="AIB17" s="82">
        <f>AIA17</f>
        <v/>
      </c>
      <c r="AIC17" s="82">
        <f>AIB17</f>
        <v/>
      </c>
      <c r="AID17" s="82">
        <f>AIC17</f>
        <v/>
      </c>
      <c r="AIE17" s="130" t="n"/>
      <c r="AIF17" s="82">
        <f>AID17+AID29</f>
        <v/>
      </c>
      <c r="AIG17" s="82">
        <f>AIF17</f>
        <v/>
      </c>
      <c r="AIH17" s="82">
        <f>AIG17</f>
        <v/>
      </c>
      <c r="AII17" s="82">
        <f>AIH17</f>
        <v/>
      </c>
      <c r="AIJ17" s="82">
        <f>AII17</f>
        <v/>
      </c>
      <c r="AIK17" s="82">
        <f>AIJ17</f>
        <v/>
      </c>
      <c r="AIL17" s="82">
        <f>AIK17</f>
        <v/>
      </c>
      <c r="AIM17" s="82">
        <f>AIL17</f>
        <v/>
      </c>
      <c r="AIN17" s="82">
        <f>AIM17</f>
        <v/>
      </c>
      <c r="AIO17" s="82">
        <f>AIN17</f>
        <v/>
      </c>
      <c r="AIP17" s="82">
        <f>AIO17</f>
        <v/>
      </c>
      <c r="AIQ17" s="82">
        <f>AIP17</f>
        <v/>
      </c>
      <c r="AIR17" s="82">
        <f>AIQ17</f>
        <v/>
      </c>
      <c r="AIS17" s="82">
        <f>AIR17</f>
        <v/>
      </c>
      <c r="AIT17" s="82">
        <f>AIS17</f>
        <v/>
      </c>
      <c r="AIU17" s="82">
        <f>AIT17</f>
        <v/>
      </c>
      <c r="AIV17" s="82">
        <f>AIU17</f>
        <v/>
      </c>
      <c r="AIW17" s="82">
        <f>AIV17</f>
        <v/>
      </c>
      <c r="AIX17" s="82" t="n">
        <v>0</v>
      </c>
      <c r="AIY17" s="82">
        <f>AIX17</f>
        <v/>
      </c>
      <c r="AIZ17" s="82">
        <f>AIY17</f>
        <v/>
      </c>
      <c r="AJA17" s="82">
        <f>AIZ17</f>
        <v/>
      </c>
      <c r="AJB17" s="82">
        <f>AJA17</f>
        <v/>
      </c>
      <c r="AJC17" s="82">
        <f>AJB17</f>
        <v/>
      </c>
      <c r="AJD17" s="82">
        <f>AJC17</f>
        <v/>
      </c>
      <c r="AJE17" s="82">
        <f>AJD17</f>
        <v/>
      </c>
      <c r="AJF17" s="82">
        <f>AJE17</f>
        <v/>
      </c>
      <c r="AJG17" s="82">
        <f>AJF17</f>
        <v/>
      </c>
      <c r="AJH17" s="82">
        <f>AJG17</f>
        <v/>
      </c>
      <c r="AJI17" s="82">
        <f>AJH17</f>
        <v/>
      </c>
      <c r="AJJ17" s="82">
        <f>AJI17</f>
        <v/>
      </c>
      <c r="AJK17" s="145" t="n"/>
      <c r="AJL17" s="82">
        <f>AJJ29</f>
        <v/>
      </c>
      <c r="AJM17" s="82">
        <f>AJL17</f>
        <v/>
      </c>
      <c r="AJN17" s="82">
        <f>AJM17</f>
        <v/>
      </c>
      <c r="AJO17" s="82">
        <f>AJN17</f>
        <v/>
      </c>
      <c r="AJP17" s="82">
        <f>AJO17</f>
        <v/>
      </c>
      <c r="AJQ17" s="82">
        <f>AJP17</f>
        <v/>
      </c>
      <c r="AJR17" s="82">
        <f>AJQ17</f>
        <v/>
      </c>
      <c r="AJS17" s="82">
        <f>AJR17</f>
        <v/>
      </c>
      <c r="AJT17" s="82">
        <f>AJS17</f>
        <v/>
      </c>
      <c r="AJU17" s="82">
        <f>AJT17</f>
        <v/>
      </c>
      <c r="AJV17" s="82">
        <f>AJU17</f>
        <v/>
      </c>
      <c r="AJW17" s="82">
        <f>AJV17</f>
        <v/>
      </c>
      <c r="AJX17" s="82">
        <f>AJW17</f>
        <v/>
      </c>
      <c r="AJY17" s="82">
        <f>AJX17</f>
        <v/>
      </c>
      <c r="AJZ17" s="82">
        <f>AJY17</f>
        <v/>
      </c>
      <c r="AKA17" s="82">
        <f>AJZ17</f>
        <v/>
      </c>
      <c r="AKB17" s="82">
        <f>AKA17</f>
        <v/>
      </c>
      <c r="AKC17" s="82">
        <f>AKB17</f>
        <v/>
      </c>
      <c r="AKD17" s="82">
        <f>AKC17</f>
        <v/>
      </c>
      <c r="AKE17" s="82">
        <f>AKD17</f>
        <v/>
      </c>
      <c r="AKF17" s="82">
        <f>AKE17</f>
        <v/>
      </c>
      <c r="AKG17" s="82">
        <f>AKF17</f>
        <v/>
      </c>
      <c r="AKH17" s="82">
        <f>AKG17</f>
        <v/>
      </c>
      <c r="AKI17" s="82">
        <f>AKH17</f>
        <v/>
      </c>
      <c r="AKJ17" s="82">
        <f>AKI17</f>
        <v/>
      </c>
      <c r="AKK17" s="82">
        <f>AKJ17</f>
        <v/>
      </c>
      <c r="AKL17" s="82" t="n">
        <v>1000000</v>
      </c>
      <c r="AKM17" s="82">
        <f>AKL17</f>
        <v/>
      </c>
      <c r="AKN17" s="112" t="n"/>
      <c r="AKO17" s="82">
        <f>AKM17+AKM29</f>
        <v/>
      </c>
      <c r="AKP17" s="82">
        <f>AKO17</f>
        <v/>
      </c>
      <c r="AKQ17" s="82">
        <f>AKP17</f>
        <v/>
      </c>
      <c r="AKR17" s="82">
        <f>AKQ17</f>
        <v/>
      </c>
      <c r="AKS17" s="82">
        <f>AKR17</f>
        <v/>
      </c>
      <c r="AKT17" s="82">
        <f>AKS17</f>
        <v/>
      </c>
      <c r="AKU17" s="82">
        <f>AKT17</f>
        <v/>
      </c>
      <c r="AKV17" s="82">
        <f>AKU17</f>
        <v/>
      </c>
      <c r="AKW17" s="82">
        <f>AKV17</f>
        <v/>
      </c>
      <c r="AKX17" s="82">
        <f>AKW17</f>
        <v/>
      </c>
      <c r="AKY17" s="82" t="n">
        <v>1000000</v>
      </c>
      <c r="AKZ17" s="82">
        <f>AKY17</f>
        <v/>
      </c>
      <c r="ALA17" s="82">
        <f>AKZ17</f>
        <v/>
      </c>
      <c r="ALB17" s="82">
        <f>ALA17</f>
        <v/>
      </c>
      <c r="ALC17" s="82">
        <f>ALB17</f>
        <v/>
      </c>
      <c r="ALD17" s="82">
        <f>ALC17</f>
        <v/>
      </c>
      <c r="ALE17" s="82">
        <f>ALD17</f>
        <v/>
      </c>
      <c r="ALF17" s="82">
        <f>ALE17</f>
        <v/>
      </c>
      <c r="ALG17" s="82">
        <f>ALF17</f>
        <v/>
      </c>
      <c r="ALH17" s="82">
        <f>ALG17</f>
        <v/>
      </c>
      <c r="ALI17" s="82">
        <f>ALH17</f>
        <v/>
      </c>
      <c r="ALJ17" s="82">
        <f>ALI17</f>
        <v/>
      </c>
      <c r="ALK17" s="82">
        <f>ALJ17</f>
        <v/>
      </c>
      <c r="ALL17" s="82">
        <f>ALK17</f>
        <v/>
      </c>
      <c r="ALM17" s="82">
        <f>ALL17</f>
        <v/>
      </c>
      <c r="ALN17" s="82">
        <f>ALM17</f>
        <v/>
      </c>
      <c r="ALO17" s="82">
        <f>ALN17</f>
        <v/>
      </c>
      <c r="ALP17" s="82">
        <f>ALO17</f>
        <v/>
      </c>
      <c r="ALQ17" s="82">
        <f>ALP17</f>
        <v/>
      </c>
      <c r="ALR17" s="82">
        <f>ALQ17</f>
        <v/>
      </c>
      <c r="ALS17" s="82">
        <f>ALR17</f>
        <v/>
      </c>
      <c r="ALT17" s="130" t="n"/>
      <c r="ALU17" s="82">
        <f>ALS17+ALS29</f>
        <v/>
      </c>
      <c r="ALV17" s="82">
        <f>ALU17</f>
        <v/>
      </c>
      <c r="ALW17" s="82">
        <f>ALV17</f>
        <v/>
      </c>
      <c r="ALX17" s="82">
        <f>ALW17</f>
        <v/>
      </c>
      <c r="ALY17" s="82">
        <f>ALX17</f>
        <v/>
      </c>
      <c r="ALZ17" s="82">
        <f>ALY17</f>
        <v/>
      </c>
      <c r="AMA17" s="82">
        <f>ALZ17</f>
        <v/>
      </c>
      <c r="AMB17" s="82">
        <f>AMA17</f>
        <v/>
      </c>
      <c r="AMC17" s="82">
        <f>AMB17</f>
        <v/>
      </c>
      <c r="AMD17" s="82">
        <f>AMC17</f>
        <v/>
      </c>
      <c r="AME17" s="82">
        <f>AMD17</f>
        <v/>
      </c>
      <c r="AMF17" s="82">
        <f>AME17</f>
        <v/>
      </c>
      <c r="AMG17" s="82">
        <f>AMF17</f>
        <v/>
      </c>
      <c r="AMH17" s="82" t="n">
        <v>1000000</v>
      </c>
      <c r="AMI17" s="82">
        <f>AMH17</f>
        <v/>
      </c>
      <c r="AMJ17" s="82">
        <f>AMI17</f>
        <v/>
      </c>
      <c r="AMK17" s="82">
        <f>AMJ17</f>
        <v/>
      </c>
      <c r="AML17" s="82">
        <f>AMK17</f>
        <v/>
      </c>
      <c r="AMM17" s="82">
        <f>AML17</f>
        <v/>
      </c>
      <c r="AMN17" s="82">
        <f>AMM17</f>
        <v/>
      </c>
      <c r="AMO17" s="82">
        <f>AMN17</f>
        <v/>
      </c>
      <c r="AMP17" s="82">
        <f>AMO17</f>
        <v/>
      </c>
      <c r="AMQ17" s="82">
        <f>AMP17</f>
        <v/>
      </c>
      <c r="AMR17" s="82">
        <f>AMQ17</f>
        <v/>
      </c>
      <c r="AMS17" s="82">
        <f>AMR17</f>
        <v/>
      </c>
      <c r="AMT17" s="82">
        <f>AMS17</f>
        <v/>
      </c>
      <c r="AMU17" s="82">
        <f>AMT17</f>
        <v/>
      </c>
      <c r="AMV17" s="82">
        <f>AMU17</f>
        <v/>
      </c>
      <c r="AMW17" s="82">
        <f>AMV17</f>
        <v/>
      </c>
      <c r="AMX17" s="82">
        <f>AMW17</f>
        <v/>
      </c>
      <c r="AMY17" s="130" t="n"/>
      <c r="AMZ17" s="82">
        <f>AMX17</f>
        <v/>
      </c>
      <c r="ANA17" s="82">
        <f>AMZ17</f>
        <v/>
      </c>
      <c r="ANB17" s="82">
        <f>ANA17</f>
        <v/>
      </c>
      <c r="ANC17" s="82">
        <f>ANB17</f>
        <v/>
      </c>
      <c r="AND17" s="82">
        <f>ANC17</f>
        <v/>
      </c>
      <c r="ANE17" s="82">
        <f>AND17</f>
        <v/>
      </c>
      <c r="ANF17" s="82">
        <f>ANE17</f>
        <v/>
      </c>
      <c r="ANG17" s="82">
        <f>ANF17</f>
        <v/>
      </c>
      <c r="ANH17" s="82">
        <f>ANG17</f>
        <v/>
      </c>
      <c r="ANI17" s="82">
        <f>ANH17</f>
        <v/>
      </c>
      <c r="ANJ17" s="82">
        <f>ANI17</f>
        <v/>
      </c>
      <c r="ANK17" s="82">
        <f>ANJ17</f>
        <v/>
      </c>
      <c r="ANL17" s="82">
        <f>ANK17</f>
        <v/>
      </c>
      <c r="ANM17" s="82">
        <f>ANL17</f>
        <v/>
      </c>
      <c r="ANN17" s="82">
        <f>ANM17</f>
        <v/>
      </c>
      <c r="ANO17" s="82">
        <f>ANN17</f>
        <v/>
      </c>
      <c r="ANP17" s="82">
        <f>ANO17</f>
        <v/>
      </c>
      <c r="ANQ17" s="82">
        <f>ANP17</f>
        <v/>
      </c>
      <c r="ANR17" s="82">
        <f>ANQ17</f>
        <v/>
      </c>
      <c r="ANS17" s="82">
        <f>ANR17</f>
        <v/>
      </c>
      <c r="ANT17" s="82">
        <f>ANS17</f>
        <v/>
      </c>
      <c r="ANU17" s="82">
        <f>ANT17</f>
        <v/>
      </c>
      <c r="ANV17" s="82">
        <f>ANU17</f>
        <v/>
      </c>
      <c r="ANW17" s="82">
        <f>ANV17</f>
        <v/>
      </c>
      <c r="ANX17" s="82">
        <f>ANW17</f>
        <v/>
      </c>
      <c r="ANY17" s="82">
        <f>ANX17</f>
        <v/>
      </c>
      <c r="ANZ17" s="82">
        <f>ANY17</f>
        <v/>
      </c>
      <c r="AOA17" s="82">
        <f>ANZ17</f>
        <v/>
      </c>
      <c r="AOB17" s="82">
        <f>AOA17</f>
        <v/>
      </c>
      <c r="AOC17" s="82">
        <f>AOB17</f>
        <v/>
      </c>
    </row>
    <row r="18">
      <c r="B18" t="inlineStr">
        <is>
          <t>rubis app</t>
        </is>
      </c>
      <c r="C18" s="52" t="n">
        <v>246000</v>
      </c>
      <c r="D18" s="52">
        <f>C18</f>
        <v/>
      </c>
      <c r="E18" s="52" t="n">
        <v>0</v>
      </c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98" t="n"/>
      <c r="AI18" s="82">
        <f>AG30</f>
        <v/>
      </c>
      <c r="AJ18" s="82">
        <f>AI18</f>
        <v/>
      </c>
      <c r="AK18" s="82">
        <f>AJ18</f>
        <v/>
      </c>
      <c r="AL18" s="82">
        <f>AK18</f>
        <v/>
      </c>
      <c r="AM18" s="82">
        <f>AL18</f>
        <v/>
      </c>
      <c r="AN18" s="82">
        <f>AM18</f>
        <v/>
      </c>
      <c r="AO18" s="82">
        <f>AN18</f>
        <v/>
      </c>
      <c r="AP18" s="82">
        <f>AO18</f>
        <v/>
      </c>
      <c r="AQ18" s="82">
        <f>AP18</f>
        <v/>
      </c>
      <c r="AR18" s="82">
        <f>AQ18</f>
        <v/>
      </c>
      <c r="AS18" s="82" t="n">
        <v>0</v>
      </c>
      <c r="BM18" s="106">
        <f>BL30</f>
        <v/>
      </c>
      <c r="BN18" s="82">
        <f>BM18</f>
        <v/>
      </c>
      <c r="BO18" s="82">
        <f>BN18</f>
        <v/>
      </c>
      <c r="BP18" s="82">
        <f>BO18</f>
        <v/>
      </c>
      <c r="BQ18" s="82">
        <f>BP18</f>
        <v/>
      </c>
      <c r="BR18" s="82">
        <f>BQ18</f>
        <v/>
      </c>
      <c r="BS18" s="82">
        <f>BR18</f>
        <v/>
      </c>
      <c r="BT18" s="82">
        <f>BS18</f>
        <v/>
      </c>
      <c r="BU18" s="82">
        <f>BT18</f>
        <v/>
      </c>
      <c r="BV18" s="82">
        <f>BU18</f>
        <v/>
      </c>
      <c r="BW18" s="82">
        <f>BV18</f>
        <v/>
      </c>
      <c r="BX18" s="82">
        <f>BW18</f>
        <v/>
      </c>
      <c r="BY18" s="82">
        <f>BX18</f>
        <v/>
      </c>
      <c r="BZ18" s="82">
        <f>BY18</f>
        <v/>
      </c>
      <c r="CA18" s="82" t="n">
        <v>0</v>
      </c>
      <c r="CB18" s="82">
        <f>CA18</f>
        <v/>
      </c>
      <c r="CC18" s="82">
        <f>CB18</f>
        <v/>
      </c>
      <c r="CD18" s="82">
        <f>CC18</f>
        <v/>
      </c>
      <c r="CE18" s="82">
        <f>CD18</f>
        <v/>
      </c>
      <c r="CF18" s="82">
        <f>CE18</f>
        <v/>
      </c>
      <c r="CG18" s="82">
        <f>CF18</f>
        <v/>
      </c>
      <c r="CH18" s="82">
        <f>CG18</f>
        <v/>
      </c>
      <c r="CI18" s="82">
        <f>CH18</f>
        <v/>
      </c>
      <c r="CJ18" s="82">
        <f>CI18</f>
        <v/>
      </c>
      <c r="CK18" s="82">
        <f>CJ18</f>
        <v/>
      </c>
      <c r="CL18" s="82">
        <f>CK18</f>
        <v/>
      </c>
      <c r="CM18" s="82">
        <f>CL18</f>
        <v/>
      </c>
      <c r="CN18" s="82">
        <f>CM18</f>
        <v/>
      </c>
      <c r="CO18" s="82">
        <f>CN18</f>
        <v/>
      </c>
      <c r="CP18" s="82">
        <f>CO18</f>
        <v/>
      </c>
      <c r="CQ18" s="82">
        <f>CP18</f>
        <v/>
      </c>
      <c r="CR18" s="82">
        <f>CQ18</f>
        <v/>
      </c>
      <c r="CT18" s="82">
        <f>CR30</f>
        <v/>
      </c>
      <c r="CU18" s="82">
        <f>CT18</f>
        <v/>
      </c>
      <c r="CV18" s="82">
        <f>CT18</f>
        <v/>
      </c>
      <c r="CW18" s="82" t="n">
        <v>0</v>
      </c>
      <c r="CX18" s="82">
        <f>CW18</f>
        <v/>
      </c>
      <c r="CY18" s="82">
        <f>CW18</f>
        <v/>
      </c>
      <c r="CZ18" s="82">
        <f>CX18</f>
        <v/>
      </c>
      <c r="DA18" s="82">
        <f>CY18</f>
        <v/>
      </c>
      <c r="DB18" s="82">
        <f>CZ18</f>
        <v/>
      </c>
      <c r="DC18" s="82">
        <f>DA18</f>
        <v/>
      </c>
      <c r="DD18" s="82">
        <f>DB18</f>
        <v/>
      </c>
      <c r="DE18" s="82">
        <f>DC18</f>
        <v/>
      </c>
      <c r="DF18" s="82">
        <f>DD18</f>
        <v/>
      </c>
      <c r="DG18" s="82">
        <f>DE18</f>
        <v/>
      </c>
      <c r="DH18" s="82">
        <f>DF18</f>
        <v/>
      </c>
      <c r="DI18" s="82">
        <f>DG18</f>
        <v/>
      </c>
      <c r="DJ18" s="82">
        <f>DH18</f>
        <v/>
      </c>
      <c r="DK18" s="82">
        <f>DI18</f>
        <v/>
      </c>
      <c r="DL18" s="82">
        <f>DJ18</f>
        <v/>
      </c>
      <c r="DM18" s="82">
        <f>DK18</f>
        <v/>
      </c>
      <c r="DN18" s="82">
        <f>DL18</f>
        <v/>
      </c>
      <c r="DO18" s="82">
        <f>DM18</f>
        <v/>
      </c>
      <c r="DP18" s="82">
        <f>DN18</f>
        <v/>
      </c>
      <c r="DQ18" s="82">
        <f>DO18</f>
        <v/>
      </c>
      <c r="DR18" s="82">
        <f>DP18</f>
        <v/>
      </c>
      <c r="DS18" s="82">
        <f>DQ18</f>
        <v/>
      </c>
      <c r="DT18" s="82">
        <f>DR18</f>
        <v/>
      </c>
      <c r="DU18" s="82">
        <f>DS18</f>
        <v/>
      </c>
      <c r="DV18" s="82">
        <f>DT18</f>
        <v/>
      </c>
      <c r="DW18" s="82">
        <f>DU18</f>
        <v/>
      </c>
      <c r="DX18" s="117" t="n"/>
      <c r="DY18" s="82">
        <f>DW30</f>
        <v/>
      </c>
      <c r="DZ18" s="82">
        <f>DY18</f>
        <v/>
      </c>
      <c r="EA18" s="82">
        <f>DZ18</f>
        <v/>
      </c>
      <c r="EB18" s="82">
        <f>EA18</f>
        <v/>
      </c>
      <c r="EC18" s="82">
        <f>EB18</f>
        <v/>
      </c>
      <c r="ED18" s="82">
        <f>EC18</f>
        <v/>
      </c>
      <c r="EE18" s="82">
        <f>ED18</f>
        <v/>
      </c>
      <c r="EF18" s="82">
        <f>EE18</f>
        <v/>
      </c>
      <c r="EG18" s="82">
        <f>EF18</f>
        <v/>
      </c>
      <c r="EH18" s="82">
        <f>EG18</f>
        <v/>
      </c>
      <c r="EI18" s="82" t="n">
        <v>0</v>
      </c>
      <c r="EJ18" s="82">
        <f>EH30</f>
        <v/>
      </c>
      <c r="EK18" s="82">
        <f>EI30</f>
        <v/>
      </c>
      <c r="EL18" s="82">
        <f>EJ30</f>
        <v/>
      </c>
      <c r="EM18" s="82">
        <f>EK30</f>
        <v/>
      </c>
      <c r="EN18" s="82">
        <f>EL30</f>
        <v/>
      </c>
      <c r="EO18" s="82">
        <f>EM30</f>
        <v/>
      </c>
      <c r="EP18" s="82">
        <f>EN30</f>
        <v/>
      </c>
      <c r="EQ18" s="82">
        <f>EO30</f>
        <v/>
      </c>
      <c r="ER18" s="82">
        <f>EP30</f>
        <v/>
      </c>
      <c r="ES18" s="82">
        <f>EQ30</f>
        <v/>
      </c>
      <c r="ET18" s="82">
        <f>ER30</f>
        <v/>
      </c>
      <c r="EU18" s="82">
        <f>ES30</f>
        <v/>
      </c>
      <c r="EV18" s="82">
        <f>ET30</f>
        <v/>
      </c>
      <c r="EW18" s="82">
        <f>EU30</f>
        <v/>
      </c>
      <c r="EX18" s="82">
        <f>EV30</f>
        <v/>
      </c>
      <c r="EY18" s="82">
        <f>EW30</f>
        <v/>
      </c>
      <c r="EZ18" s="82">
        <f>EX30</f>
        <v/>
      </c>
      <c r="FA18" s="82">
        <f>EY30</f>
        <v/>
      </c>
      <c r="FB18" s="82">
        <f>EZ30</f>
        <v/>
      </c>
      <c r="FC18" s="82">
        <f>FA30</f>
        <v/>
      </c>
      <c r="FD18" s="126" t="n"/>
      <c r="FE18" s="82">
        <f>FC30</f>
        <v/>
      </c>
      <c r="FF18" s="82">
        <f>FD30</f>
        <v/>
      </c>
      <c r="FG18" s="82">
        <f>FE30</f>
        <v/>
      </c>
      <c r="FH18" s="82">
        <f>FF30</f>
        <v/>
      </c>
      <c r="FI18" s="82">
        <f>FG30</f>
        <v/>
      </c>
      <c r="FJ18" s="82">
        <f>FH30</f>
        <v/>
      </c>
      <c r="FK18" s="82">
        <f>FI30</f>
        <v/>
      </c>
      <c r="FL18" s="82">
        <f>FJ30</f>
        <v/>
      </c>
      <c r="FM18" s="82">
        <f>FK30</f>
        <v/>
      </c>
      <c r="FN18" s="82">
        <f>FL30</f>
        <v/>
      </c>
      <c r="FO18" s="82">
        <f>FM30</f>
        <v/>
      </c>
      <c r="FP18" s="82">
        <f>FN30</f>
        <v/>
      </c>
      <c r="FQ18" s="82">
        <f>FO30</f>
        <v/>
      </c>
      <c r="FR18" s="82">
        <f>FP30</f>
        <v/>
      </c>
      <c r="FS18" s="82">
        <f>FQ30</f>
        <v/>
      </c>
      <c r="FT18" s="82">
        <f>FR30</f>
        <v/>
      </c>
      <c r="FU18" s="82">
        <f>FS30</f>
        <v/>
      </c>
      <c r="FV18" s="82">
        <f>FT30</f>
        <v/>
      </c>
      <c r="FW18" s="82">
        <f>FU30</f>
        <v/>
      </c>
      <c r="FX18" s="82">
        <f>FV30</f>
        <v/>
      </c>
      <c r="FY18" s="82">
        <f>FW30</f>
        <v/>
      </c>
      <c r="FZ18" s="82">
        <f>FX30</f>
        <v/>
      </c>
      <c r="GA18" s="82">
        <f>FY30</f>
        <v/>
      </c>
      <c r="GB18" s="82">
        <f>FZ30</f>
        <v/>
      </c>
      <c r="GC18" s="82">
        <f>GA30</f>
        <v/>
      </c>
      <c r="GD18" s="82">
        <f>GB30</f>
        <v/>
      </c>
      <c r="GE18" s="82">
        <f>GC30</f>
        <v/>
      </c>
      <c r="GF18" s="82">
        <f>GD30</f>
        <v/>
      </c>
      <c r="GG18" s="82">
        <f>GE30</f>
        <v/>
      </c>
      <c r="GH18" s="82">
        <f>GF30</f>
        <v/>
      </c>
      <c r="GI18" s="82">
        <f>GG30</f>
        <v/>
      </c>
      <c r="GJ18" s="130" t="n"/>
      <c r="HN18" s="130" t="n"/>
      <c r="HO18" s="135" t="n">
        <v>1030000</v>
      </c>
      <c r="HP18" s="135" t="n">
        <v>1030000</v>
      </c>
      <c r="HQ18" s="135" t="n">
        <v>1030000</v>
      </c>
      <c r="HR18" s="135" t="n">
        <v>1030000</v>
      </c>
      <c r="HS18" s="135" t="n">
        <v>1030000</v>
      </c>
      <c r="HT18" s="135" t="n">
        <v>1030000</v>
      </c>
      <c r="HU18" s="135" t="n">
        <v>0</v>
      </c>
      <c r="HV18" s="135" t="n">
        <v>0</v>
      </c>
      <c r="HW18" s="135" t="n">
        <v>0</v>
      </c>
      <c r="HX18" s="135" t="n">
        <v>0</v>
      </c>
      <c r="HY18" s="135" t="n">
        <v>0</v>
      </c>
      <c r="HZ18" s="135" t="n">
        <v>0</v>
      </c>
      <c r="IA18" s="135" t="n"/>
      <c r="IB18" s="135" t="n">
        <v>0</v>
      </c>
      <c r="IC18" s="135" t="n">
        <v>0</v>
      </c>
      <c r="ID18" s="135" t="n">
        <v>0</v>
      </c>
      <c r="IE18" s="135" t="n">
        <v>0</v>
      </c>
      <c r="IF18" s="135" t="n">
        <v>0</v>
      </c>
      <c r="IG18" s="135" t="n">
        <v>0</v>
      </c>
      <c r="IH18" s="135" t="n">
        <v>0</v>
      </c>
      <c r="II18" s="135" t="n">
        <v>0</v>
      </c>
      <c r="IJ18" s="135" t="n">
        <v>0</v>
      </c>
      <c r="IK18" s="135" t="n">
        <v>0</v>
      </c>
      <c r="IL18" s="135" t="n">
        <v>0</v>
      </c>
      <c r="IM18" s="135" t="n">
        <v>0</v>
      </c>
      <c r="IN18" s="135" t="n">
        <v>0</v>
      </c>
      <c r="IO18" s="135" t="n">
        <v>0</v>
      </c>
      <c r="IP18" s="135" t="n">
        <v>0</v>
      </c>
      <c r="IQ18" s="135" t="n">
        <v>0</v>
      </c>
      <c r="IR18" s="135" t="n">
        <v>0</v>
      </c>
      <c r="IS18" s="135" t="n">
        <v>0</v>
      </c>
      <c r="IT18" s="130" t="n"/>
      <c r="IU18" s="135">
        <f>IS30</f>
        <v/>
      </c>
      <c r="IV18" s="1">
        <f>IU18</f>
        <v/>
      </c>
      <c r="IW18" s="1" t="n">
        <v>0</v>
      </c>
      <c r="IX18" s="1">
        <f>IW18</f>
        <v/>
      </c>
      <c r="IY18" s="1">
        <f>IX18</f>
        <v/>
      </c>
      <c r="IZ18" s="1">
        <f>IY18</f>
        <v/>
      </c>
      <c r="JA18" s="1">
        <f>IZ18</f>
        <v/>
      </c>
      <c r="JB18" s="1">
        <f>JA18</f>
        <v/>
      </c>
      <c r="JC18" s="1">
        <f>JB18</f>
        <v/>
      </c>
      <c r="JD18" s="1">
        <f>JC18</f>
        <v/>
      </c>
      <c r="JE18" s="1">
        <f>JD18</f>
        <v/>
      </c>
      <c r="JF18" s="1">
        <f>JE18</f>
        <v/>
      </c>
      <c r="JG18" s="1">
        <f>JF18</f>
        <v/>
      </c>
      <c r="JH18" s="1">
        <f>JG18</f>
        <v/>
      </c>
      <c r="JI18" s="1">
        <f>JH18</f>
        <v/>
      </c>
      <c r="JJ18" s="1">
        <f>JI18</f>
        <v/>
      </c>
      <c r="JK18" s="1">
        <f>JJ18</f>
        <v/>
      </c>
      <c r="JL18" s="1">
        <f>JK18</f>
        <v/>
      </c>
      <c r="JM18" s="1">
        <f>JL18</f>
        <v/>
      </c>
      <c r="JN18" s="1">
        <f>JM18</f>
        <v/>
      </c>
      <c r="JO18" s="1">
        <f>JN18</f>
        <v/>
      </c>
      <c r="JP18" s="1">
        <f>JO18</f>
        <v/>
      </c>
      <c r="JQ18" s="1">
        <f>JP18</f>
        <v/>
      </c>
      <c r="JR18" s="1">
        <f>JQ18</f>
        <v/>
      </c>
      <c r="JS18" s="1">
        <f>JR18</f>
        <v/>
      </c>
      <c r="JT18" s="1">
        <f>JS18</f>
        <v/>
      </c>
      <c r="JU18" s="1">
        <f>JT18</f>
        <v/>
      </c>
      <c r="JV18" s="1">
        <f>JU18</f>
        <v/>
      </c>
      <c r="JW18" s="1">
        <f>JV18</f>
        <v/>
      </c>
      <c r="JX18" s="1">
        <f>JW18</f>
        <v/>
      </c>
      <c r="JY18" s="141" t="n"/>
      <c r="JZ18" s="1">
        <f>JX30</f>
        <v/>
      </c>
      <c r="KA18" s="1">
        <f>JZ18</f>
        <v/>
      </c>
      <c r="KB18" s="1">
        <f>KA18</f>
        <v/>
      </c>
      <c r="KC18" s="1">
        <f>KB18</f>
        <v/>
      </c>
      <c r="KD18" s="1">
        <f>KC18</f>
        <v/>
      </c>
      <c r="KE18" s="1">
        <f>KD18</f>
        <v/>
      </c>
      <c r="KF18" s="1">
        <f>KE18</f>
        <v/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30" t="n"/>
      <c r="LF18" s="1">
        <f>LD30</f>
        <v/>
      </c>
      <c r="LG18" s="1">
        <f>LF18</f>
        <v/>
      </c>
      <c r="LH18" s="1">
        <f>LG18</f>
        <v/>
      </c>
      <c r="LI18" s="1">
        <f>LH18</f>
        <v/>
      </c>
      <c r="LJ18" s="1">
        <f>LI18</f>
        <v/>
      </c>
      <c r="LK18" s="1">
        <f>LJ18</f>
        <v/>
      </c>
      <c r="LL18" s="1">
        <f>LK18</f>
        <v/>
      </c>
      <c r="LM18" s="1">
        <f>LL18</f>
        <v/>
      </c>
      <c r="LN18" s="1">
        <f>LM18</f>
        <v/>
      </c>
      <c r="LO18" s="1">
        <f>LN18</f>
        <v/>
      </c>
      <c r="LP18" s="1">
        <f>LO18</f>
        <v/>
      </c>
      <c r="LQ18" s="1">
        <f>LP18</f>
        <v/>
      </c>
      <c r="LR18" s="1" t="n">
        <v>0</v>
      </c>
      <c r="LS18" s="1">
        <f>LR18</f>
        <v/>
      </c>
      <c r="LT18" s="1">
        <f>LS18</f>
        <v/>
      </c>
      <c r="LU18" s="1">
        <f>LT18</f>
        <v/>
      </c>
      <c r="LV18" s="1">
        <f>LU18</f>
        <v/>
      </c>
      <c r="LW18" s="1">
        <f>LV18</f>
        <v/>
      </c>
      <c r="LX18" s="1">
        <f>LW18</f>
        <v/>
      </c>
      <c r="LY18" s="1">
        <f>LX18</f>
        <v/>
      </c>
      <c r="LZ18" s="1">
        <f>LY18</f>
        <v/>
      </c>
      <c r="MA18" s="1">
        <f>LZ18</f>
        <v/>
      </c>
      <c r="MB18" s="1">
        <f>MA18</f>
        <v/>
      </c>
      <c r="MC18" s="1">
        <f>MB18</f>
        <v/>
      </c>
      <c r="MD18" s="1">
        <f>MC18</f>
        <v/>
      </c>
      <c r="ME18" s="1">
        <f>MD18</f>
        <v/>
      </c>
      <c r="MF18" s="1">
        <f>ME18</f>
        <v/>
      </c>
      <c r="MG18" s="1">
        <f>MF18</f>
        <v/>
      </c>
      <c r="MH18" s="1">
        <f>MG18</f>
        <v/>
      </c>
      <c r="MI18" s="1">
        <f>MH18</f>
        <v/>
      </c>
      <c r="MJ18" s="141" t="n"/>
      <c r="MK18" s="1">
        <f>MI30</f>
        <v/>
      </c>
      <c r="ML18" s="1">
        <f>MK18</f>
        <v/>
      </c>
      <c r="MM18" s="1">
        <f>ML18</f>
        <v/>
      </c>
      <c r="MN18" s="1">
        <f>MM18</f>
        <v/>
      </c>
      <c r="MO18" s="1">
        <f>MN18</f>
        <v/>
      </c>
      <c r="MP18" s="1">
        <f>MO18</f>
        <v/>
      </c>
      <c r="MQ18" s="1">
        <f>MP18</f>
        <v/>
      </c>
      <c r="MR18" s="1">
        <f>MQ18</f>
        <v/>
      </c>
      <c r="MS18" s="1">
        <f>MR18</f>
        <v/>
      </c>
      <c r="MT18" s="1">
        <f>MS18</f>
        <v/>
      </c>
      <c r="MU18" s="1">
        <f>MT18</f>
        <v/>
      </c>
      <c r="MV18" s="1">
        <f>MU18</f>
        <v/>
      </c>
      <c r="MW18" s="1">
        <f>MV18</f>
        <v/>
      </c>
      <c r="MX18" s="1">
        <f>MW18</f>
        <v/>
      </c>
      <c r="MY18" s="1">
        <f>MX18</f>
        <v/>
      </c>
      <c r="MZ18" s="1">
        <f>MY18</f>
        <v/>
      </c>
      <c r="NA18" s="1">
        <f>MZ18</f>
        <v/>
      </c>
      <c r="NB18" s="1">
        <f>NA18</f>
        <v/>
      </c>
      <c r="NC18" s="1">
        <f>NB18</f>
        <v/>
      </c>
      <c r="ND18" s="1">
        <f>NC18</f>
        <v/>
      </c>
      <c r="NE18" s="1">
        <f>ND18</f>
        <v/>
      </c>
      <c r="NF18" s="1">
        <f>NE18</f>
        <v/>
      </c>
      <c r="NG18" s="1">
        <f>NF18</f>
        <v/>
      </c>
      <c r="NH18" s="1" t="n">
        <v>0</v>
      </c>
      <c r="NI18" s="1">
        <f>NG30</f>
        <v/>
      </c>
      <c r="NJ18" s="1">
        <f>NH30</f>
        <v/>
      </c>
      <c r="NK18" s="1">
        <f>NI30</f>
        <v/>
      </c>
      <c r="NL18" s="1">
        <f>NJ30</f>
        <v/>
      </c>
      <c r="NM18" s="1">
        <f>NK30</f>
        <v/>
      </c>
      <c r="NN18" s="1">
        <f>NL30</f>
        <v/>
      </c>
      <c r="NO18" s="1">
        <f>NM30</f>
        <v/>
      </c>
      <c r="NP18" s="141" t="n"/>
      <c r="NQ18" s="1">
        <f>NO30</f>
        <v/>
      </c>
      <c r="NR18" s="1">
        <f>NP30</f>
        <v/>
      </c>
      <c r="NS18" s="1">
        <f>NQ30</f>
        <v/>
      </c>
      <c r="NT18" s="1">
        <f>NR30</f>
        <v/>
      </c>
      <c r="NU18" s="1">
        <f>NS30</f>
        <v/>
      </c>
      <c r="NV18" s="1">
        <f>NT30</f>
        <v/>
      </c>
      <c r="NW18" s="1">
        <f>NU30</f>
        <v/>
      </c>
      <c r="NX18" s="1">
        <f>NV30</f>
        <v/>
      </c>
      <c r="NY18" s="1">
        <f>NW30</f>
        <v/>
      </c>
      <c r="NZ18" s="1">
        <f>NX30</f>
        <v/>
      </c>
      <c r="OA18" s="1">
        <f>NY30</f>
        <v/>
      </c>
      <c r="OB18" s="1">
        <f>NZ30</f>
        <v/>
      </c>
      <c r="OC18" s="1">
        <f>OA30</f>
        <v/>
      </c>
      <c r="OD18" s="1">
        <f>OB30</f>
        <v/>
      </c>
      <c r="OE18" s="1">
        <f>OC30</f>
        <v/>
      </c>
      <c r="OF18" s="1">
        <f>OD30</f>
        <v/>
      </c>
      <c r="OG18" s="1">
        <f>OE30</f>
        <v/>
      </c>
      <c r="OH18" s="1">
        <f>OF30</f>
        <v/>
      </c>
      <c r="OI18" s="1">
        <f>OG30</f>
        <v/>
      </c>
      <c r="OJ18" s="1">
        <f>OH30</f>
        <v/>
      </c>
      <c r="OK18" s="1">
        <f>OI30</f>
        <v/>
      </c>
      <c r="OL18" s="1">
        <f>OJ30</f>
        <v/>
      </c>
      <c r="OM18" s="1">
        <f>OK30</f>
        <v/>
      </c>
      <c r="ON18" s="1">
        <f>OL30</f>
        <v/>
      </c>
      <c r="OO18" s="1">
        <f>OM30</f>
        <v/>
      </c>
      <c r="OP18" s="1">
        <f>ON30</f>
        <v/>
      </c>
      <c r="OQ18" s="1">
        <f>OO30</f>
        <v/>
      </c>
      <c r="OR18" s="1">
        <f>OP30</f>
        <v/>
      </c>
      <c r="OS18" s="1">
        <f>OQ30</f>
        <v/>
      </c>
      <c r="OT18" s="1">
        <f>OR30</f>
        <v/>
      </c>
      <c r="OU18" s="1">
        <f>OS30</f>
        <v/>
      </c>
      <c r="OV18" s="130" t="n"/>
      <c r="OW18" s="1">
        <f>OU30</f>
        <v/>
      </c>
      <c r="OX18" s="1">
        <f>OV30</f>
        <v/>
      </c>
      <c r="OY18" s="1">
        <f>OW30</f>
        <v/>
      </c>
      <c r="OZ18" s="1">
        <f>OX30</f>
        <v/>
      </c>
      <c r="PA18" s="1">
        <f>OY30</f>
        <v/>
      </c>
      <c r="PB18" s="1">
        <f>OZ30</f>
        <v/>
      </c>
      <c r="PC18" s="1">
        <f>PA30</f>
        <v/>
      </c>
      <c r="PD18" s="1">
        <f>PB30</f>
        <v/>
      </c>
      <c r="PE18" s="1">
        <f>PC30</f>
        <v/>
      </c>
      <c r="PF18" s="1">
        <f>PD30</f>
        <v/>
      </c>
      <c r="PG18" s="1">
        <f>PE30</f>
        <v/>
      </c>
      <c r="PH18" s="1">
        <f>PF30</f>
        <v/>
      </c>
      <c r="PI18" s="1">
        <f>PG30</f>
        <v/>
      </c>
      <c r="PJ18" s="1">
        <f>PH30</f>
        <v/>
      </c>
      <c r="PK18" s="1">
        <f>PI30</f>
        <v/>
      </c>
      <c r="PL18" s="1">
        <f>PJ30</f>
        <v/>
      </c>
      <c r="PM18" s="1">
        <f>PK30</f>
        <v/>
      </c>
      <c r="PN18" s="1">
        <f>PL30</f>
        <v/>
      </c>
      <c r="PO18" s="1">
        <f>PM30</f>
        <v/>
      </c>
      <c r="PP18" s="1">
        <f>PN30</f>
        <v/>
      </c>
      <c r="PQ18" s="1">
        <f>PO30</f>
        <v/>
      </c>
      <c r="PR18" s="1">
        <f>PP30</f>
        <v/>
      </c>
      <c r="PS18" s="1">
        <f>PQ30</f>
        <v/>
      </c>
      <c r="PT18" s="1">
        <f>PR30</f>
        <v/>
      </c>
      <c r="PU18" s="1">
        <f>PS30</f>
        <v/>
      </c>
      <c r="PV18" s="1">
        <f>PT30</f>
        <v/>
      </c>
      <c r="PW18" s="1">
        <f>PU30</f>
        <v/>
      </c>
      <c r="PX18" s="1">
        <f>PV30</f>
        <v/>
      </c>
      <c r="PY18" s="1">
        <f>PW30</f>
        <v/>
      </c>
      <c r="PZ18" s="1">
        <f>PX30</f>
        <v/>
      </c>
      <c r="QA18" s="130" t="n"/>
      <c r="QB18" s="1">
        <f>PZ30</f>
        <v/>
      </c>
      <c r="QC18" s="1">
        <f>QA30</f>
        <v/>
      </c>
      <c r="QD18" s="1">
        <f>QB30</f>
        <v/>
      </c>
      <c r="QE18" s="1">
        <f>QC30</f>
        <v/>
      </c>
      <c r="QF18" s="1">
        <f>QD30</f>
        <v/>
      </c>
      <c r="QG18" s="1">
        <f>QE30</f>
        <v/>
      </c>
      <c r="QH18" s="1">
        <f>QF30</f>
        <v/>
      </c>
      <c r="QI18" s="1">
        <f>QG30</f>
        <v/>
      </c>
      <c r="QJ18" s="1">
        <f>QH30</f>
        <v/>
      </c>
      <c r="QK18" s="1">
        <f>QI30</f>
        <v/>
      </c>
      <c r="QL18" s="1">
        <f>QJ30</f>
        <v/>
      </c>
      <c r="QM18" s="1">
        <f>QK30</f>
        <v/>
      </c>
      <c r="QN18" s="1">
        <f>QL30</f>
        <v/>
      </c>
      <c r="QO18" s="1">
        <f>QM30</f>
        <v/>
      </c>
      <c r="QP18" s="1">
        <f>QN30</f>
        <v/>
      </c>
      <c r="QQ18" s="1">
        <f>QO30</f>
        <v/>
      </c>
      <c r="QR18" s="1">
        <f>QP30</f>
        <v/>
      </c>
      <c r="QS18" s="1">
        <f>QQ30</f>
        <v/>
      </c>
      <c r="QT18" s="1">
        <f>QR30</f>
        <v/>
      </c>
      <c r="QU18" s="1">
        <f>QS30</f>
        <v/>
      </c>
      <c r="QV18" s="1">
        <f>QT30</f>
        <v/>
      </c>
      <c r="QW18" s="1">
        <f>QU30</f>
        <v/>
      </c>
      <c r="QX18" s="1">
        <f>QV30</f>
        <v/>
      </c>
      <c r="QY18" s="1">
        <f>QW30</f>
        <v/>
      </c>
      <c r="QZ18" s="1">
        <f>QX30</f>
        <v/>
      </c>
      <c r="RA18" s="1">
        <f>QY30</f>
        <v/>
      </c>
      <c r="RB18" s="1">
        <f>QZ30</f>
        <v/>
      </c>
      <c r="RC18" s="1">
        <f>RA30</f>
        <v/>
      </c>
      <c r="RD18" s="1">
        <f>RB30</f>
        <v/>
      </c>
      <c r="RE18" s="1">
        <f>RC30</f>
        <v/>
      </c>
      <c r="RF18" s="1">
        <f>RD30</f>
        <v/>
      </c>
      <c r="RG18" s="130" t="n"/>
      <c r="RH18" s="1">
        <f>RF30</f>
        <v/>
      </c>
      <c r="RI18" s="1">
        <f>RG30</f>
        <v/>
      </c>
      <c r="RJ18" s="1">
        <f>RH30</f>
        <v/>
      </c>
      <c r="RK18" s="1">
        <f>RI30</f>
        <v/>
      </c>
      <c r="RL18" s="1">
        <f>RJ30</f>
        <v/>
      </c>
      <c r="RM18" s="1">
        <f>RK30</f>
        <v/>
      </c>
      <c r="RN18" s="1">
        <f>RL30</f>
        <v/>
      </c>
      <c r="RO18" s="1">
        <f>RM30</f>
        <v/>
      </c>
      <c r="RP18" s="1">
        <f>RN30</f>
        <v/>
      </c>
      <c r="RQ18" s="1">
        <f>RO30</f>
        <v/>
      </c>
      <c r="RR18" s="1">
        <f>RP30</f>
        <v/>
      </c>
      <c r="RS18" s="1">
        <f>RQ30</f>
        <v/>
      </c>
      <c r="RT18" s="1">
        <f>RR30</f>
        <v/>
      </c>
      <c r="RU18" s="1">
        <f>RS30</f>
        <v/>
      </c>
      <c r="RV18" s="1">
        <f>RT30</f>
        <v/>
      </c>
      <c r="RW18" s="1">
        <f>RU30</f>
        <v/>
      </c>
      <c r="RX18" s="1">
        <f>RV30</f>
        <v/>
      </c>
      <c r="RY18" s="1">
        <f>RW30</f>
        <v/>
      </c>
      <c r="RZ18" s="1">
        <f>RX30</f>
        <v/>
      </c>
      <c r="SA18" s="1">
        <f>RY30</f>
        <v/>
      </c>
      <c r="SB18" s="1">
        <f>RZ30</f>
        <v/>
      </c>
      <c r="SC18" s="1">
        <f>SA30</f>
        <v/>
      </c>
      <c r="SD18" s="1">
        <f>SB30</f>
        <v/>
      </c>
      <c r="SE18" s="1">
        <f>SC30</f>
        <v/>
      </c>
      <c r="SF18" s="1">
        <f>SD30</f>
        <v/>
      </c>
      <c r="SG18" s="1">
        <f>SE30</f>
        <v/>
      </c>
      <c r="SH18" s="1">
        <f>SF30</f>
        <v/>
      </c>
      <c r="SI18" s="1">
        <f>SG30</f>
        <v/>
      </c>
      <c r="SJ18" s="1">
        <f>SH30</f>
        <v/>
      </c>
      <c r="SK18" s="1">
        <f>SI30</f>
        <v/>
      </c>
      <c r="SL18" s="130" t="n"/>
      <c r="SM18" s="1">
        <f>SK30</f>
        <v/>
      </c>
      <c r="SN18" s="1">
        <f>SL30</f>
        <v/>
      </c>
      <c r="SO18" s="1">
        <f>SM30</f>
        <v/>
      </c>
      <c r="SP18" s="1">
        <f>SN30</f>
        <v/>
      </c>
      <c r="SQ18" s="1">
        <f>SO30</f>
        <v/>
      </c>
      <c r="SR18" s="1">
        <f>SP30</f>
        <v/>
      </c>
      <c r="SS18" s="1">
        <f>SQ30</f>
        <v/>
      </c>
      <c r="ST18" s="1">
        <f>SR30</f>
        <v/>
      </c>
      <c r="SU18" s="1">
        <f>SS30</f>
        <v/>
      </c>
      <c r="SV18" s="1">
        <f>ST30</f>
        <v/>
      </c>
      <c r="SW18" s="1">
        <f>SU30</f>
        <v/>
      </c>
      <c r="SX18" s="1">
        <f>SV30</f>
        <v/>
      </c>
      <c r="SY18" s="1">
        <f>SW30</f>
        <v/>
      </c>
      <c r="SZ18" s="1">
        <f>SX30</f>
        <v/>
      </c>
      <c r="TA18" s="1">
        <f>SY30</f>
        <v/>
      </c>
      <c r="TB18" s="1">
        <f>SZ30</f>
        <v/>
      </c>
      <c r="TC18" s="1">
        <f>TA30</f>
        <v/>
      </c>
      <c r="TD18" s="1">
        <f>TB30</f>
        <v/>
      </c>
      <c r="TE18" s="1">
        <f>TC30</f>
        <v/>
      </c>
      <c r="TF18" s="1">
        <f>TD30</f>
        <v/>
      </c>
      <c r="TG18" s="1">
        <f>TE30</f>
        <v/>
      </c>
      <c r="TH18" s="1">
        <f>TF30</f>
        <v/>
      </c>
      <c r="TI18" s="1">
        <f>TG30</f>
        <v/>
      </c>
      <c r="TJ18" s="1">
        <f>TH30</f>
        <v/>
      </c>
      <c r="TK18" s="1">
        <f>TI30</f>
        <v/>
      </c>
      <c r="TL18" s="1">
        <f>TJ30</f>
        <v/>
      </c>
      <c r="TM18" s="1">
        <f>TK30</f>
        <v/>
      </c>
      <c r="TN18" s="1">
        <f>TL30</f>
        <v/>
      </c>
      <c r="TO18" s="1">
        <f>TM30</f>
        <v/>
      </c>
      <c r="TP18" s="1">
        <f>TN30</f>
        <v/>
      </c>
      <c r="TQ18" s="1">
        <f>TO30</f>
        <v/>
      </c>
      <c r="TR18" s="130" t="n"/>
      <c r="TS18" s="1">
        <f>TQ30</f>
        <v/>
      </c>
      <c r="TT18" s="1">
        <f>TR30</f>
        <v/>
      </c>
      <c r="TU18" s="1">
        <f>TS30</f>
        <v/>
      </c>
      <c r="TV18" s="1">
        <f>TT30</f>
        <v/>
      </c>
      <c r="TW18" s="1">
        <f>TU30</f>
        <v/>
      </c>
      <c r="TX18" s="1">
        <f>TV30</f>
        <v/>
      </c>
      <c r="TY18" s="1">
        <f>TW30</f>
        <v/>
      </c>
      <c r="TZ18" s="1">
        <f>TX30</f>
        <v/>
      </c>
      <c r="UA18" s="1">
        <f>TY30</f>
        <v/>
      </c>
      <c r="UB18" s="1">
        <f>TZ30</f>
        <v/>
      </c>
      <c r="UC18" s="1">
        <f>UA30</f>
        <v/>
      </c>
      <c r="UD18" s="1">
        <f>UB30</f>
        <v/>
      </c>
      <c r="UE18" s="1">
        <f>UC30</f>
        <v/>
      </c>
      <c r="UF18" s="1">
        <f>UD30</f>
        <v/>
      </c>
      <c r="UG18" s="1">
        <f>UE30</f>
        <v/>
      </c>
      <c r="UH18" s="1">
        <f>UF30</f>
        <v/>
      </c>
      <c r="UI18" s="1">
        <f>UG30</f>
        <v/>
      </c>
      <c r="UJ18" s="1">
        <f>UH30</f>
        <v/>
      </c>
      <c r="UK18" s="1">
        <f>UI30</f>
        <v/>
      </c>
      <c r="UL18" s="1">
        <f>UJ30</f>
        <v/>
      </c>
      <c r="UM18" s="1">
        <f>UK30</f>
        <v/>
      </c>
      <c r="UN18" s="1">
        <f>UL30</f>
        <v/>
      </c>
      <c r="UO18" s="1">
        <f>UM30</f>
        <v/>
      </c>
      <c r="UP18" s="1">
        <f>UN30</f>
        <v/>
      </c>
      <c r="UQ18" s="1">
        <f>UO30</f>
        <v/>
      </c>
      <c r="UR18" s="1">
        <f>UP30</f>
        <v/>
      </c>
      <c r="US18" s="1">
        <f>UQ30</f>
        <v/>
      </c>
      <c r="UT18" s="1">
        <f>UR30</f>
        <v/>
      </c>
      <c r="UU18" s="1">
        <f>US30</f>
        <v/>
      </c>
      <c r="UV18" s="1">
        <f>UT30</f>
        <v/>
      </c>
      <c r="UW18" s="1">
        <f>UU30</f>
        <v/>
      </c>
      <c r="UX18" s="130" t="n"/>
      <c r="UY18" s="1">
        <f>UW30</f>
        <v/>
      </c>
      <c r="UZ18" s="1">
        <f>UX30</f>
        <v/>
      </c>
      <c r="VA18" s="1">
        <f>UY30</f>
        <v/>
      </c>
      <c r="VB18" s="1">
        <f>UZ30</f>
        <v/>
      </c>
      <c r="VC18" s="1">
        <f>VA30</f>
        <v/>
      </c>
      <c r="VD18" s="1">
        <f>VB30</f>
        <v/>
      </c>
      <c r="VE18" s="1">
        <f>VC30</f>
        <v/>
      </c>
      <c r="VF18" s="1">
        <f>VD30</f>
        <v/>
      </c>
      <c r="VG18" s="1">
        <f>VE30</f>
        <v/>
      </c>
      <c r="VH18" s="1">
        <f>VF30</f>
        <v/>
      </c>
      <c r="VI18" s="1">
        <f>VG30</f>
        <v/>
      </c>
      <c r="VJ18" s="1">
        <f>VH30</f>
        <v/>
      </c>
      <c r="VK18" s="1">
        <f>VI30</f>
        <v/>
      </c>
      <c r="VL18" s="1">
        <f>VJ30</f>
        <v/>
      </c>
      <c r="VM18" s="1">
        <f>VK30</f>
        <v/>
      </c>
      <c r="VN18" s="1">
        <f>VL30</f>
        <v/>
      </c>
      <c r="VO18" s="1">
        <f>VM30</f>
        <v/>
      </c>
      <c r="VP18" s="1">
        <f>VN30</f>
        <v/>
      </c>
      <c r="VQ18" s="1">
        <f>VO30</f>
        <v/>
      </c>
      <c r="VR18" s="1">
        <f>VP30</f>
        <v/>
      </c>
      <c r="VS18" s="1">
        <f>VQ30</f>
        <v/>
      </c>
      <c r="VT18" s="1">
        <f>VR30</f>
        <v/>
      </c>
      <c r="VU18" s="1">
        <f>VS30</f>
        <v/>
      </c>
      <c r="VV18" s="1">
        <f>VT30</f>
        <v/>
      </c>
      <c r="VW18" s="1">
        <f>VU30</f>
        <v/>
      </c>
      <c r="VX18" s="1">
        <f>VV30</f>
        <v/>
      </c>
      <c r="VY18" s="1">
        <f>VW30</f>
        <v/>
      </c>
      <c r="VZ18" s="1">
        <f>VX30</f>
        <v/>
      </c>
      <c r="WA18" s="141" t="n"/>
      <c r="WB18" s="1">
        <f>VZ30</f>
        <v/>
      </c>
      <c r="WC18" s="1">
        <f>WA30</f>
        <v/>
      </c>
      <c r="WD18" s="1">
        <f>WB30</f>
        <v/>
      </c>
      <c r="WE18" s="1">
        <f>WC30</f>
        <v/>
      </c>
      <c r="WF18" s="1">
        <f>WD30</f>
        <v/>
      </c>
      <c r="WG18" s="1">
        <f>WE30</f>
        <v/>
      </c>
      <c r="WH18" s="1">
        <f>WF30</f>
        <v/>
      </c>
      <c r="WI18" s="1">
        <f>WG30</f>
        <v/>
      </c>
      <c r="WJ18" s="1">
        <f>WH30</f>
        <v/>
      </c>
      <c r="WK18" s="1">
        <f>WI30</f>
        <v/>
      </c>
      <c r="WL18" s="1">
        <f>WJ30</f>
        <v/>
      </c>
      <c r="WM18" s="1">
        <f>WK30</f>
        <v/>
      </c>
      <c r="WN18" s="1">
        <f>WL30</f>
        <v/>
      </c>
      <c r="WO18" s="1">
        <f>WM30</f>
        <v/>
      </c>
      <c r="WP18" s="1">
        <f>WN30</f>
        <v/>
      </c>
      <c r="WQ18" s="1">
        <f>WO30</f>
        <v/>
      </c>
      <c r="WR18" s="1">
        <f>WP30</f>
        <v/>
      </c>
      <c r="WS18" s="1">
        <f>WQ30</f>
        <v/>
      </c>
      <c r="WT18" s="1">
        <f>WR30</f>
        <v/>
      </c>
      <c r="WU18" s="1">
        <f>WS30</f>
        <v/>
      </c>
      <c r="WV18" s="1">
        <f>WT30</f>
        <v/>
      </c>
      <c r="WW18" s="1">
        <f>WU30</f>
        <v/>
      </c>
      <c r="WX18" s="1">
        <f>WV30</f>
        <v/>
      </c>
      <c r="WY18" s="1" t="n">
        <v>0</v>
      </c>
      <c r="WZ18" s="1" t="n">
        <v>0</v>
      </c>
      <c r="XA18" s="1" t="n">
        <v>0</v>
      </c>
      <c r="XB18" s="1" t="n">
        <v>0</v>
      </c>
      <c r="XC18" s="1" t="n">
        <v>0</v>
      </c>
      <c r="XD18" s="1" t="n">
        <v>0</v>
      </c>
      <c r="XE18" s="1" t="n">
        <v>0</v>
      </c>
      <c r="XF18" s="1" t="n">
        <v>0</v>
      </c>
      <c r="XG18" s="141" t="n"/>
      <c r="XH18" s="1">
        <f>XF30</f>
        <v/>
      </c>
      <c r="XI18" s="1">
        <f>XH18</f>
        <v/>
      </c>
      <c r="XJ18" s="1">
        <f>XI18</f>
        <v/>
      </c>
      <c r="XK18" s="1">
        <f>XJ18</f>
        <v/>
      </c>
      <c r="XL18" s="1">
        <f>XK18</f>
        <v/>
      </c>
      <c r="XM18" s="1">
        <f>XL18</f>
        <v/>
      </c>
      <c r="XN18" s="1">
        <f>XM18</f>
        <v/>
      </c>
      <c r="XO18" s="1">
        <f>XN18</f>
        <v/>
      </c>
      <c r="XP18" s="1" t="n">
        <v>0</v>
      </c>
      <c r="XQ18" s="1">
        <f>XP18</f>
        <v/>
      </c>
      <c r="XR18" s="1">
        <f>XQ18</f>
        <v/>
      </c>
      <c r="XS18" s="1">
        <f>XR18</f>
        <v/>
      </c>
      <c r="XT18" s="1">
        <f>XS18</f>
        <v/>
      </c>
      <c r="XU18" s="1">
        <f>XT18</f>
        <v/>
      </c>
      <c r="XV18" s="1">
        <f>XU18</f>
        <v/>
      </c>
      <c r="XW18" s="1">
        <f>XV18</f>
        <v/>
      </c>
      <c r="XX18" s="1">
        <f>XW18</f>
        <v/>
      </c>
      <c r="XY18" s="1">
        <f>XX18</f>
        <v/>
      </c>
      <c r="XZ18" s="1">
        <f>XY18</f>
        <v/>
      </c>
      <c r="YA18" s="1">
        <f>XZ18</f>
        <v/>
      </c>
      <c r="YB18" s="1">
        <f>YA18</f>
        <v/>
      </c>
      <c r="YC18" s="1">
        <f>YB18</f>
        <v/>
      </c>
      <c r="YD18" s="1">
        <f>YC18</f>
        <v/>
      </c>
      <c r="YE18" s="1">
        <f>YD18</f>
        <v/>
      </c>
      <c r="YF18" s="1">
        <f>YE18</f>
        <v/>
      </c>
      <c r="YG18" s="1">
        <f>YF18</f>
        <v/>
      </c>
      <c r="YH18" s="1">
        <f>YG18</f>
        <v/>
      </c>
      <c r="YI18" s="1">
        <f>YH18</f>
        <v/>
      </c>
      <c r="YJ18" s="1">
        <f>YI18</f>
        <v/>
      </c>
      <c r="YK18" s="1">
        <f>YJ18</f>
        <v/>
      </c>
      <c r="YL18" s="130" t="n"/>
      <c r="YM18" s="1">
        <f>YL18</f>
        <v/>
      </c>
      <c r="YN18" s="1">
        <f>YM18</f>
        <v/>
      </c>
      <c r="YO18" s="1">
        <f>YN18</f>
        <v/>
      </c>
      <c r="YP18" s="1">
        <f>YO18</f>
        <v/>
      </c>
      <c r="YQ18" s="1">
        <f>YP18</f>
        <v/>
      </c>
      <c r="YR18" s="1">
        <f>YQ18</f>
        <v/>
      </c>
      <c r="YS18" s="1">
        <f>YR18</f>
        <v/>
      </c>
      <c r="YT18" s="1">
        <f>YS18</f>
        <v/>
      </c>
      <c r="YU18" s="1">
        <f>YT18</f>
        <v/>
      </c>
      <c r="YV18" s="1">
        <f>YU18</f>
        <v/>
      </c>
      <c r="YW18" s="1">
        <f>YV18</f>
        <v/>
      </c>
      <c r="YX18" s="1">
        <f>YW18</f>
        <v/>
      </c>
      <c r="YY18" s="1">
        <f>YX18</f>
        <v/>
      </c>
      <c r="YZ18" s="1">
        <f>YY18</f>
        <v/>
      </c>
      <c r="ZA18" s="1">
        <f>YZ18</f>
        <v/>
      </c>
      <c r="ZB18" s="1">
        <f>ZA18</f>
        <v/>
      </c>
      <c r="ZC18" s="1">
        <f>ZB18</f>
        <v/>
      </c>
      <c r="ZD18" s="1">
        <f>ZC18</f>
        <v/>
      </c>
      <c r="ZE18" s="1">
        <f>ZD18</f>
        <v/>
      </c>
      <c r="ZF18" s="1">
        <f>ZE18</f>
        <v/>
      </c>
      <c r="ZG18" s="1">
        <f>ZF18</f>
        <v/>
      </c>
      <c r="ZH18" s="1">
        <f>ZG18</f>
        <v/>
      </c>
      <c r="ZI18" s="1">
        <f>ZH18</f>
        <v/>
      </c>
      <c r="ZJ18" s="1">
        <f>ZI18</f>
        <v/>
      </c>
      <c r="ZK18" s="1">
        <f>ZJ18</f>
        <v/>
      </c>
      <c r="ZL18" s="1">
        <f>ZK18</f>
        <v/>
      </c>
      <c r="ZM18" s="1">
        <f>ZL18</f>
        <v/>
      </c>
      <c r="ZN18" s="1">
        <f>ZM18</f>
        <v/>
      </c>
      <c r="ZO18" s="1">
        <f>ZN18</f>
        <v/>
      </c>
      <c r="ZP18" s="1">
        <f>ZO18</f>
        <v/>
      </c>
      <c r="ZQ18" s="1">
        <f>ZP18</f>
        <v/>
      </c>
      <c r="ZR18" s="130" t="n"/>
      <c r="ZS18" s="1">
        <f>ZR18</f>
        <v/>
      </c>
      <c r="ZT18" s="1">
        <f>ZS18</f>
        <v/>
      </c>
      <c r="ZU18" s="1">
        <f>ZT18</f>
        <v/>
      </c>
      <c r="ZV18" s="1">
        <f>ZU18</f>
        <v/>
      </c>
      <c r="ZW18" s="1">
        <f>ZV18</f>
        <v/>
      </c>
      <c r="ZX18" s="1">
        <f>ZW18</f>
        <v/>
      </c>
      <c r="ZY18" s="1">
        <f>ZX18</f>
        <v/>
      </c>
      <c r="ZZ18" s="1">
        <f>ZY18</f>
        <v/>
      </c>
      <c r="AAA18" s="1">
        <f>ZZ18</f>
        <v/>
      </c>
      <c r="AAB18" s="1">
        <f>AAA18</f>
        <v/>
      </c>
      <c r="AAC18" s="1">
        <f>AAB18</f>
        <v/>
      </c>
      <c r="AAD18" s="1">
        <f>AAC18</f>
        <v/>
      </c>
      <c r="AAE18" s="1">
        <f>AAD18</f>
        <v/>
      </c>
      <c r="AAF18" s="1">
        <f>AAE18</f>
        <v/>
      </c>
      <c r="AAG18" s="1">
        <f>AAF18</f>
        <v/>
      </c>
      <c r="AAH18" s="1">
        <f>AAG18</f>
        <v/>
      </c>
      <c r="AAI18" s="1">
        <f>AAH18</f>
        <v/>
      </c>
      <c r="AAJ18" s="1">
        <f>AAI18</f>
        <v/>
      </c>
      <c r="AAK18" s="1">
        <f>AAJ18</f>
        <v/>
      </c>
      <c r="AAL18" s="1">
        <f>AAK18</f>
        <v/>
      </c>
      <c r="AAM18" s="1">
        <f>AAL18</f>
        <v/>
      </c>
      <c r="AAN18" s="1">
        <f>AAM18</f>
        <v/>
      </c>
      <c r="AAO18" s="1">
        <f>AAN18</f>
        <v/>
      </c>
      <c r="AAP18" s="1">
        <f>AAO18</f>
        <v/>
      </c>
      <c r="AAQ18" s="1">
        <f>AAP18</f>
        <v/>
      </c>
      <c r="AAR18" s="1">
        <f>AAQ18</f>
        <v/>
      </c>
      <c r="AAS18" s="1">
        <f>AAR18</f>
        <v/>
      </c>
      <c r="AAT18" s="1">
        <f>AAS18</f>
        <v/>
      </c>
      <c r="AAU18" s="1">
        <f>AAT18</f>
        <v/>
      </c>
      <c r="AAV18" s="1">
        <f>AAU18</f>
        <v/>
      </c>
      <c r="AAW18" s="130" t="n"/>
      <c r="AAX18" s="1">
        <f>AAW18</f>
        <v/>
      </c>
      <c r="AAY18" s="1">
        <f>AAX18</f>
        <v/>
      </c>
      <c r="AAZ18" s="1">
        <f>AAY18</f>
        <v/>
      </c>
      <c r="ABA18" s="1">
        <f>AAZ18</f>
        <v/>
      </c>
      <c r="ABB18" s="1">
        <f>ABA18</f>
        <v/>
      </c>
      <c r="ABC18" s="1">
        <f>ABB18</f>
        <v/>
      </c>
      <c r="ABD18" s="1">
        <f>ABC18</f>
        <v/>
      </c>
      <c r="ABE18" s="1">
        <f>ABD18</f>
        <v/>
      </c>
      <c r="ABF18" s="1">
        <f>ABE18</f>
        <v/>
      </c>
      <c r="ABG18" s="1">
        <f>ABF18</f>
        <v/>
      </c>
      <c r="ABH18" s="1">
        <f>ABG18</f>
        <v/>
      </c>
      <c r="ABI18" s="1">
        <f>ABH18</f>
        <v/>
      </c>
      <c r="ABJ18" s="1">
        <f>ABI18</f>
        <v/>
      </c>
      <c r="ABK18" s="1">
        <f>ABJ18</f>
        <v/>
      </c>
      <c r="ABL18" s="1">
        <f>ABK18</f>
        <v/>
      </c>
      <c r="ABM18" s="1">
        <f>ABL18</f>
        <v/>
      </c>
      <c r="ABN18" s="1">
        <f>ABM18</f>
        <v/>
      </c>
      <c r="ABO18" s="1">
        <f>ABN18</f>
        <v/>
      </c>
      <c r="ABP18" s="1">
        <f>ABO18</f>
        <v/>
      </c>
      <c r="ABQ18" s="1">
        <f>ABP18</f>
        <v/>
      </c>
      <c r="ABR18" s="1">
        <f>ABQ18</f>
        <v/>
      </c>
      <c r="ABS18" s="1">
        <f>ABR18</f>
        <v/>
      </c>
      <c r="ABT18" s="1">
        <f>ABS18</f>
        <v/>
      </c>
      <c r="ABU18" s="1">
        <f>ABT18</f>
        <v/>
      </c>
      <c r="ABV18" s="1">
        <f>ABU18</f>
        <v/>
      </c>
      <c r="ABW18" s="1">
        <f>ABV18</f>
        <v/>
      </c>
      <c r="ABX18" s="1">
        <f>ABW18</f>
        <v/>
      </c>
      <c r="ABY18" s="1">
        <f>ABX18</f>
        <v/>
      </c>
      <c r="ABZ18" s="1">
        <f>ABY18</f>
        <v/>
      </c>
      <c r="ACA18" s="1">
        <f>ABZ18</f>
        <v/>
      </c>
      <c r="ACB18" s="1">
        <f>ACA18</f>
        <v/>
      </c>
      <c r="ACC18" s="130" t="n"/>
      <c r="ACD18" s="1">
        <f>ACC18</f>
        <v/>
      </c>
      <c r="ACE18" s="1">
        <f>ACD18</f>
        <v/>
      </c>
      <c r="ACF18" s="1">
        <f>ACE18</f>
        <v/>
      </c>
      <c r="ACG18" s="1">
        <f>ACF18</f>
        <v/>
      </c>
      <c r="ACH18" s="1">
        <f>ACG18</f>
        <v/>
      </c>
      <c r="ACI18" s="1">
        <f>ACH18</f>
        <v/>
      </c>
      <c r="ACJ18" s="1">
        <f>ACI18</f>
        <v/>
      </c>
      <c r="ACK18" s="1">
        <f>ACJ18</f>
        <v/>
      </c>
      <c r="ACL18" s="1">
        <f>ACK18</f>
        <v/>
      </c>
      <c r="ACM18" s="1">
        <f>ACL18</f>
        <v/>
      </c>
      <c r="ACN18" s="1">
        <f>ACM18</f>
        <v/>
      </c>
      <c r="ACO18" s="1">
        <f>ACN18</f>
        <v/>
      </c>
      <c r="ACP18" s="1">
        <f>ACO18</f>
        <v/>
      </c>
      <c r="ACQ18" s="1">
        <f>ACP18</f>
        <v/>
      </c>
      <c r="ACR18" s="1">
        <f>ACQ18</f>
        <v/>
      </c>
      <c r="ACS18" s="1">
        <f>ACR18</f>
        <v/>
      </c>
      <c r="ACT18" s="1">
        <f>ACS18</f>
        <v/>
      </c>
      <c r="ACU18" s="1">
        <f>ACT18</f>
        <v/>
      </c>
      <c r="ACV18" s="1">
        <f>ACU18</f>
        <v/>
      </c>
      <c r="ACW18" s="1">
        <f>ACV18</f>
        <v/>
      </c>
      <c r="ACX18" s="1">
        <f>ACW18</f>
        <v/>
      </c>
      <c r="ACY18" s="1">
        <f>ACX18</f>
        <v/>
      </c>
      <c r="ACZ18" s="1">
        <f>ACY18</f>
        <v/>
      </c>
      <c r="ADA18" s="1">
        <f>ACZ18</f>
        <v/>
      </c>
      <c r="ADB18" s="1">
        <f>ADA18</f>
        <v/>
      </c>
      <c r="ADC18" s="1">
        <f>ADB18</f>
        <v/>
      </c>
      <c r="ADD18" s="1">
        <f>ADC18</f>
        <v/>
      </c>
      <c r="ADE18" s="1">
        <f>ADD18</f>
        <v/>
      </c>
      <c r="ADF18" s="1">
        <f>ADE18</f>
        <v/>
      </c>
      <c r="ADG18" s="1">
        <f>ADF18</f>
        <v/>
      </c>
      <c r="ADH18" s="1">
        <f>ADG18</f>
        <v/>
      </c>
      <c r="ADI18" s="130" t="n"/>
      <c r="ADJ18" s="1">
        <f>ADI18</f>
        <v/>
      </c>
      <c r="ADK18" s="1">
        <f>ADJ18</f>
        <v/>
      </c>
      <c r="ADL18" s="1">
        <f>ADK18</f>
        <v/>
      </c>
      <c r="ADM18" s="1">
        <f>ADL18</f>
        <v/>
      </c>
      <c r="ADN18" s="1">
        <f>ADM18</f>
        <v/>
      </c>
      <c r="ADO18" s="1">
        <f>ADN18</f>
        <v/>
      </c>
      <c r="ADP18" s="1">
        <f>ADO18</f>
        <v/>
      </c>
      <c r="ADQ18" s="1">
        <f>ADP18</f>
        <v/>
      </c>
      <c r="ADR18" s="1">
        <f>ADQ18</f>
        <v/>
      </c>
      <c r="ADS18" s="1">
        <f>ADR18</f>
        <v/>
      </c>
      <c r="ADT18" s="1">
        <f>ADS18</f>
        <v/>
      </c>
      <c r="ADU18" s="1">
        <f>ADT18</f>
        <v/>
      </c>
      <c r="ADV18" s="1">
        <f>ADU18</f>
        <v/>
      </c>
      <c r="ADW18" s="1">
        <f>ADV18</f>
        <v/>
      </c>
      <c r="ADX18" s="1">
        <f>ADW18</f>
        <v/>
      </c>
      <c r="ADY18" s="1">
        <f>ADX18</f>
        <v/>
      </c>
      <c r="ADZ18" s="1">
        <f>ADY18</f>
        <v/>
      </c>
      <c r="AEA18" s="1">
        <f>ADZ18</f>
        <v/>
      </c>
      <c r="AEB18" s="1">
        <f>AEA18</f>
        <v/>
      </c>
      <c r="AEC18" s="1">
        <f>AEB18</f>
        <v/>
      </c>
      <c r="AED18" s="1">
        <f>AEC18</f>
        <v/>
      </c>
      <c r="AEE18" s="1">
        <f>AED18</f>
        <v/>
      </c>
      <c r="AEF18" s="1">
        <f>AEE18</f>
        <v/>
      </c>
      <c r="AEG18" s="1">
        <f>AEF18</f>
        <v/>
      </c>
      <c r="AEH18" s="1">
        <f>AEG18</f>
        <v/>
      </c>
      <c r="AEI18" s="1">
        <f>AEH18</f>
        <v/>
      </c>
      <c r="AEJ18" s="1">
        <f>AEI18</f>
        <v/>
      </c>
      <c r="AEK18" s="1">
        <f>AEJ18</f>
        <v/>
      </c>
      <c r="AEL18" s="1">
        <f>AEK18</f>
        <v/>
      </c>
      <c r="AEM18" s="1">
        <f>AEL18</f>
        <v/>
      </c>
      <c r="AEN18" s="130" t="n"/>
      <c r="AEO18" s="1">
        <f>AEN18</f>
        <v/>
      </c>
      <c r="AEP18" s="1">
        <f>AEO18</f>
        <v/>
      </c>
      <c r="AEQ18" s="1">
        <f>AEP18</f>
        <v/>
      </c>
      <c r="AER18" s="1">
        <f>AEQ18</f>
        <v/>
      </c>
      <c r="AES18" s="1">
        <f>AER18</f>
        <v/>
      </c>
      <c r="AET18" s="1">
        <f>AES18</f>
        <v/>
      </c>
      <c r="AEU18" s="1">
        <f>AET18</f>
        <v/>
      </c>
      <c r="AEV18" s="1">
        <f>AEU18</f>
        <v/>
      </c>
      <c r="AEW18" s="1">
        <f>AEV18</f>
        <v/>
      </c>
      <c r="AEX18" s="1">
        <f>AEW18</f>
        <v/>
      </c>
      <c r="AEY18" s="1">
        <f>AEX18</f>
        <v/>
      </c>
      <c r="AEZ18" s="1">
        <f>AEY18</f>
        <v/>
      </c>
      <c r="AFA18" s="1">
        <f>AEZ18</f>
        <v/>
      </c>
      <c r="AFB18" s="1">
        <f>AFA18</f>
        <v/>
      </c>
      <c r="AFC18" s="1">
        <f>AFB18</f>
        <v/>
      </c>
      <c r="AFD18" s="1">
        <f>AFC18</f>
        <v/>
      </c>
      <c r="AFE18" s="1">
        <f>AFD18</f>
        <v/>
      </c>
      <c r="AFF18" s="1">
        <f>AFE18</f>
        <v/>
      </c>
      <c r="AFG18" s="1">
        <f>AFF18</f>
        <v/>
      </c>
      <c r="AFH18" s="1">
        <f>AFG18</f>
        <v/>
      </c>
      <c r="AFI18" s="1">
        <f>AFH18</f>
        <v/>
      </c>
      <c r="AFJ18" s="1">
        <f>AFI18</f>
        <v/>
      </c>
      <c r="AFK18" s="1">
        <f>AFJ18</f>
        <v/>
      </c>
      <c r="AFL18" s="1">
        <f>AFK18</f>
        <v/>
      </c>
      <c r="AFM18" s="1">
        <f>AFL18</f>
        <v/>
      </c>
      <c r="AFN18" s="1">
        <f>AFM18</f>
        <v/>
      </c>
      <c r="AFO18" s="1">
        <f>AFN18</f>
        <v/>
      </c>
      <c r="AFP18" s="1">
        <f>AFO18</f>
        <v/>
      </c>
      <c r="AFQ18" s="1">
        <f>AFP18</f>
        <v/>
      </c>
      <c r="AFR18" s="1">
        <f>AFQ18</f>
        <v/>
      </c>
      <c r="AFS18" s="1">
        <f>AFR18</f>
        <v/>
      </c>
      <c r="AFT18" s="130" t="n"/>
      <c r="AFU18" s="1">
        <f>AFT18</f>
        <v/>
      </c>
      <c r="AFV18" s="1">
        <f>AFU18</f>
        <v/>
      </c>
      <c r="AFW18" s="1">
        <f>AFV18</f>
        <v/>
      </c>
      <c r="AFX18" s="1">
        <f>AFW18</f>
        <v/>
      </c>
      <c r="AFY18" s="1">
        <f>AFX18</f>
        <v/>
      </c>
      <c r="AFZ18" s="1">
        <f>AFY18</f>
        <v/>
      </c>
      <c r="AGA18" s="1">
        <f>AFZ18</f>
        <v/>
      </c>
      <c r="AGB18" s="1">
        <f>AGA18</f>
        <v/>
      </c>
      <c r="AGC18" s="1">
        <f>AGB18</f>
        <v/>
      </c>
      <c r="AGD18" s="1">
        <f>AGC18</f>
        <v/>
      </c>
      <c r="AGE18" s="1">
        <f>AGD18</f>
        <v/>
      </c>
      <c r="AGF18" s="1">
        <f>AGE18</f>
        <v/>
      </c>
      <c r="AGG18" s="1">
        <f>AGF18</f>
        <v/>
      </c>
      <c r="AGH18" s="1">
        <f>AGG18</f>
        <v/>
      </c>
      <c r="AGI18" s="1">
        <f>AGH18</f>
        <v/>
      </c>
      <c r="AGJ18" s="1">
        <f>AGI18</f>
        <v/>
      </c>
      <c r="AGK18" s="1">
        <f>AGJ18</f>
        <v/>
      </c>
      <c r="AGL18" s="1">
        <f>AGK18</f>
        <v/>
      </c>
      <c r="AGM18" s="1">
        <f>AGL18</f>
        <v/>
      </c>
      <c r="AGN18" s="1">
        <f>AGM18</f>
        <v/>
      </c>
      <c r="AGO18" s="1">
        <f>AGN18</f>
        <v/>
      </c>
      <c r="AGP18" s="1">
        <f>AGO18</f>
        <v/>
      </c>
      <c r="AGQ18" s="1">
        <f>AGP18</f>
        <v/>
      </c>
      <c r="AGR18" s="1">
        <f>AGQ18</f>
        <v/>
      </c>
      <c r="AGS18" s="1">
        <f>AGR18</f>
        <v/>
      </c>
      <c r="AGT18" s="1">
        <f>AGS18</f>
        <v/>
      </c>
      <c r="AGU18" s="1">
        <f>AGT18</f>
        <v/>
      </c>
      <c r="AGV18" s="1">
        <f>AGU18</f>
        <v/>
      </c>
      <c r="AGW18" s="1">
        <f>AGV18</f>
        <v/>
      </c>
      <c r="AGX18" s="1">
        <f>AGW18</f>
        <v/>
      </c>
      <c r="AGY18" s="141" t="n"/>
      <c r="AGZ18" s="1">
        <f>AGY18</f>
        <v/>
      </c>
      <c r="AHA18" s="1">
        <f>AGZ18</f>
        <v/>
      </c>
      <c r="AHB18" s="1">
        <f>AHA18</f>
        <v/>
      </c>
      <c r="AHC18" s="1">
        <f>AHB18</f>
        <v/>
      </c>
      <c r="AHD18" s="1">
        <f>AHC18</f>
        <v/>
      </c>
      <c r="AHE18" s="1">
        <f>AHD18</f>
        <v/>
      </c>
      <c r="AHF18" s="1">
        <f>AHE18</f>
        <v/>
      </c>
      <c r="AHG18" s="1">
        <f>AHF18</f>
        <v/>
      </c>
      <c r="AHH18" s="1">
        <f>AHG18</f>
        <v/>
      </c>
      <c r="AHI18" s="1">
        <f>AHH18</f>
        <v/>
      </c>
      <c r="AHJ18" s="1">
        <f>AHI18</f>
        <v/>
      </c>
      <c r="AHK18" s="1">
        <f>AHJ18</f>
        <v/>
      </c>
      <c r="AHL18" s="1">
        <f>AHK18</f>
        <v/>
      </c>
      <c r="AHM18" s="1">
        <f>AHL18</f>
        <v/>
      </c>
      <c r="AHN18" s="1">
        <f>AHM18</f>
        <v/>
      </c>
      <c r="AHO18" s="1">
        <f>AHN18</f>
        <v/>
      </c>
      <c r="AHP18" s="1">
        <f>AHO18</f>
        <v/>
      </c>
      <c r="AHQ18" s="1">
        <f>AHP18</f>
        <v/>
      </c>
      <c r="AHR18" s="1">
        <f>AHQ18</f>
        <v/>
      </c>
      <c r="AHS18" s="1">
        <f>AHR18</f>
        <v/>
      </c>
      <c r="AHT18" s="1">
        <f>AHS18</f>
        <v/>
      </c>
      <c r="AHU18" s="1">
        <f>AHT18</f>
        <v/>
      </c>
      <c r="AHV18" s="1">
        <f>AHU18</f>
        <v/>
      </c>
      <c r="AHW18" s="1">
        <f>AHV18</f>
        <v/>
      </c>
      <c r="AHX18" s="1">
        <f>AHW18</f>
        <v/>
      </c>
      <c r="AHY18" s="1">
        <f>AHX18</f>
        <v/>
      </c>
      <c r="AHZ18" s="1">
        <f>AHY18</f>
        <v/>
      </c>
      <c r="AIA18" s="1">
        <f>AHZ18</f>
        <v/>
      </c>
      <c r="AIB18" s="1">
        <f>AIA18</f>
        <v/>
      </c>
      <c r="AIC18" s="1">
        <f>AIB18</f>
        <v/>
      </c>
      <c r="AID18" s="1">
        <f>AIC18</f>
        <v/>
      </c>
      <c r="AIE18" s="130" t="n"/>
      <c r="AIF18" s="1">
        <f>AIE18</f>
        <v/>
      </c>
      <c r="AIG18" s="1">
        <f>AIF18</f>
        <v/>
      </c>
      <c r="AIH18" s="1">
        <f>AIG18</f>
        <v/>
      </c>
      <c r="AII18" s="1">
        <f>AIH18</f>
        <v/>
      </c>
      <c r="AIJ18" s="1">
        <f>AII18</f>
        <v/>
      </c>
      <c r="AIK18" s="1">
        <f>AIJ18</f>
        <v/>
      </c>
      <c r="AIL18" s="1">
        <f>AIK18</f>
        <v/>
      </c>
      <c r="AIM18" s="1">
        <f>AIL18</f>
        <v/>
      </c>
      <c r="AIN18" s="1">
        <f>AIM18</f>
        <v/>
      </c>
      <c r="AIO18" s="1">
        <f>AIN18</f>
        <v/>
      </c>
      <c r="AIP18" s="1">
        <f>AIO18</f>
        <v/>
      </c>
      <c r="AIQ18" s="1">
        <f>AIP18</f>
        <v/>
      </c>
      <c r="AIR18" s="1">
        <f>AIQ18</f>
        <v/>
      </c>
      <c r="AIS18" s="1">
        <f>AIR18</f>
        <v/>
      </c>
      <c r="AIT18" s="1">
        <f>AIS18</f>
        <v/>
      </c>
      <c r="AIU18" s="1">
        <f>AIT18</f>
        <v/>
      </c>
      <c r="AIV18" s="1">
        <f>AIU18</f>
        <v/>
      </c>
      <c r="AIW18" s="1">
        <f>AIV18</f>
        <v/>
      </c>
      <c r="AIX18" s="1">
        <f>AIW18</f>
        <v/>
      </c>
      <c r="AIY18" s="1">
        <f>AIX18</f>
        <v/>
      </c>
      <c r="AIZ18" s="1">
        <f>AIY18</f>
        <v/>
      </c>
      <c r="AJA18" s="1">
        <f>AIZ18</f>
        <v/>
      </c>
      <c r="AJB18" s="1">
        <f>AJA18</f>
        <v/>
      </c>
      <c r="AJC18" s="1">
        <f>AJB18</f>
        <v/>
      </c>
      <c r="AJD18" s="1">
        <f>AJC18</f>
        <v/>
      </c>
      <c r="AJE18" s="1">
        <f>AJD18</f>
        <v/>
      </c>
      <c r="AJF18" s="1">
        <f>AJE18</f>
        <v/>
      </c>
      <c r="AJG18" s="1">
        <f>AJF18</f>
        <v/>
      </c>
      <c r="AJH18" s="1">
        <f>AJG18</f>
        <v/>
      </c>
      <c r="AJI18" s="1">
        <f>AJH18</f>
        <v/>
      </c>
      <c r="AJJ18" s="1">
        <f>AJI18</f>
        <v/>
      </c>
      <c r="AJK18" s="145" t="n"/>
      <c r="AJL18" s="1">
        <f>AJK18</f>
        <v/>
      </c>
      <c r="AJM18" s="1">
        <f>AJL18</f>
        <v/>
      </c>
      <c r="AJN18" s="1">
        <f>AJM18</f>
        <v/>
      </c>
      <c r="AJO18" s="1">
        <f>AJN18</f>
        <v/>
      </c>
      <c r="AJP18" s="1">
        <f>AJO18</f>
        <v/>
      </c>
      <c r="AJQ18" s="1">
        <f>AJP18</f>
        <v/>
      </c>
      <c r="AJR18" s="1">
        <f>AJQ18</f>
        <v/>
      </c>
      <c r="AJS18" s="1">
        <f>AJR18</f>
        <v/>
      </c>
      <c r="AJT18" s="1">
        <f>AJS18</f>
        <v/>
      </c>
      <c r="AJU18" s="1">
        <f>AJT18</f>
        <v/>
      </c>
      <c r="AJV18" s="1">
        <f>AJU18</f>
        <v/>
      </c>
      <c r="AJW18" s="1">
        <f>AJV18</f>
        <v/>
      </c>
      <c r="AJX18" s="1">
        <f>AJW18</f>
        <v/>
      </c>
      <c r="AJY18" s="1">
        <f>AJX18</f>
        <v/>
      </c>
      <c r="AJZ18" s="1">
        <f>AJY18</f>
        <v/>
      </c>
      <c r="AKA18" s="1">
        <f>AJZ18</f>
        <v/>
      </c>
      <c r="AKB18" s="1">
        <f>AKA18</f>
        <v/>
      </c>
      <c r="AKC18" s="1">
        <f>AKB18</f>
        <v/>
      </c>
      <c r="AKD18" s="1">
        <f>AKC18</f>
        <v/>
      </c>
      <c r="AKE18" s="1">
        <f>AKD18</f>
        <v/>
      </c>
      <c r="AKF18" s="1">
        <f>AKE18</f>
        <v/>
      </c>
      <c r="AKG18" s="1">
        <f>AKF18</f>
        <v/>
      </c>
      <c r="AKH18" s="1">
        <f>AKG18</f>
        <v/>
      </c>
      <c r="AKI18" s="1">
        <f>AKH18</f>
        <v/>
      </c>
      <c r="AKJ18" s="1">
        <f>AKI18</f>
        <v/>
      </c>
      <c r="AKK18" s="1">
        <f>AKJ18</f>
        <v/>
      </c>
      <c r="AKL18" s="1">
        <f>AKK18</f>
        <v/>
      </c>
      <c r="AKM18" s="1">
        <f>AKL18</f>
        <v/>
      </c>
      <c r="AKN18" s="152" t="n"/>
      <c r="AKO18" s="1">
        <f>AKN18</f>
        <v/>
      </c>
      <c r="AKP18" s="1">
        <f>AKO18</f>
        <v/>
      </c>
      <c r="AKQ18" s="1">
        <f>AKP18</f>
        <v/>
      </c>
      <c r="AKR18" s="1">
        <f>AKQ18</f>
        <v/>
      </c>
      <c r="AKS18" s="1">
        <f>AKR18</f>
        <v/>
      </c>
      <c r="AKT18" s="1">
        <f>AKS18</f>
        <v/>
      </c>
      <c r="AKU18" s="1">
        <f>AKT18</f>
        <v/>
      </c>
      <c r="AKV18" s="1">
        <f>AKU18</f>
        <v/>
      </c>
      <c r="AKW18" s="1">
        <f>AKV18</f>
        <v/>
      </c>
      <c r="AKX18" s="1">
        <f>AKW18</f>
        <v/>
      </c>
      <c r="AKY18" s="1">
        <f>AKX18</f>
        <v/>
      </c>
      <c r="AKZ18" s="1">
        <f>AKY18</f>
        <v/>
      </c>
      <c r="ALA18" s="1">
        <f>AKZ18</f>
        <v/>
      </c>
      <c r="ALB18" s="1">
        <f>ALA18</f>
        <v/>
      </c>
      <c r="ALC18" s="1">
        <f>ALB18</f>
        <v/>
      </c>
      <c r="ALD18" s="1">
        <f>ALC18</f>
        <v/>
      </c>
      <c r="ALE18" s="1">
        <f>ALD18</f>
        <v/>
      </c>
      <c r="ALF18" s="1">
        <f>ALE18</f>
        <v/>
      </c>
      <c r="ALG18" s="1">
        <f>ALF18</f>
        <v/>
      </c>
      <c r="ALH18" s="1">
        <f>ALG18</f>
        <v/>
      </c>
      <c r="ALI18" s="1">
        <f>ALH18</f>
        <v/>
      </c>
      <c r="ALJ18" s="1">
        <f>ALI18</f>
        <v/>
      </c>
      <c r="ALK18" s="1">
        <f>ALJ18</f>
        <v/>
      </c>
      <c r="ALL18" s="1">
        <f>ALK18</f>
        <v/>
      </c>
      <c r="ALM18" s="1">
        <f>ALL18</f>
        <v/>
      </c>
      <c r="ALN18" s="1">
        <f>ALM18</f>
        <v/>
      </c>
      <c r="ALO18" s="1">
        <f>ALN18</f>
        <v/>
      </c>
      <c r="ALP18" s="1">
        <f>ALO18</f>
        <v/>
      </c>
      <c r="ALQ18" s="1">
        <f>ALP18</f>
        <v/>
      </c>
      <c r="ALR18" s="1">
        <f>ALQ18</f>
        <v/>
      </c>
      <c r="ALS18" s="1">
        <f>ALR18</f>
        <v/>
      </c>
      <c r="ALT18" s="130" t="n"/>
      <c r="ALU18" s="1">
        <f>ALT18</f>
        <v/>
      </c>
      <c r="ALV18" s="1">
        <f>ALU18</f>
        <v/>
      </c>
      <c r="ALW18" s="1">
        <f>ALV18</f>
        <v/>
      </c>
      <c r="ALX18" s="1">
        <f>ALW18</f>
        <v/>
      </c>
      <c r="ALY18" s="1">
        <f>ALX18</f>
        <v/>
      </c>
      <c r="ALZ18" s="1">
        <f>ALY18</f>
        <v/>
      </c>
      <c r="AMA18" s="1">
        <f>ALZ18</f>
        <v/>
      </c>
      <c r="AMB18" s="1">
        <f>AMA18</f>
        <v/>
      </c>
      <c r="AMC18" s="1">
        <f>AMB18</f>
        <v/>
      </c>
      <c r="AMD18" s="1">
        <f>AMC18</f>
        <v/>
      </c>
      <c r="AME18" s="1">
        <f>AMD18</f>
        <v/>
      </c>
      <c r="AMF18" s="1">
        <f>AME18</f>
        <v/>
      </c>
      <c r="AMG18" s="1">
        <f>AMF18</f>
        <v/>
      </c>
      <c r="AMH18" s="1">
        <f>AMG18</f>
        <v/>
      </c>
      <c r="AMI18" s="1">
        <f>AMH18</f>
        <v/>
      </c>
      <c r="AMJ18" s="1">
        <f>AMI18</f>
        <v/>
      </c>
      <c r="AMK18" s="1">
        <f>AMJ18</f>
        <v/>
      </c>
      <c r="AML18" s="1">
        <f>AMK18</f>
        <v/>
      </c>
      <c r="AMM18" s="1">
        <f>AML18</f>
        <v/>
      </c>
      <c r="AMN18" s="1">
        <f>AMM18</f>
        <v/>
      </c>
      <c r="AMO18" s="1">
        <f>AMN18</f>
        <v/>
      </c>
      <c r="AMP18" s="1">
        <f>AMO18</f>
        <v/>
      </c>
      <c r="AMQ18" s="1">
        <f>AMP18</f>
        <v/>
      </c>
      <c r="AMR18" s="1">
        <f>AMQ18</f>
        <v/>
      </c>
      <c r="AMS18" s="1">
        <f>AMR18</f>
        <v/>
      </c>
      <c r="AMT18" s="1">
        <f>AMS18</f>
        <v/>
      </c>
      <c r="AMU18" s="1">
        <f>AMT18</f>
        <v/>
      </c>
      <c r="AMV18" s="1">
        <f>AMU18</f>
        <v/>
      </c>
      <c r="AMW18" s="1">
        <f>AMV18</f>
        <v/>
      </c>
      <c r="AMX18" s="1">
        <f>AMW18</f>
        <v/>
      </c>
      <c r="AMY18" s="130" t="n"/>
      <c r="AMZ18" s="1">
        <f>AMY18</f>
        <v/>
      </c>
      <c r="ANA18" s="1">
        <f>AMZ18</f>
        <v/>
      </c>
      <c r="ANB18" s="1">
        <f>ANA18</f>
        <v/>
      </c>
      <c r="ANC18" s="1">
        <f>ANB18</f>
        <v/>
      </c>
      <c r="AND18" s="1">
        <f>ANC18</f>
        <v/>
      </c>
      <c r="ANE18" s="1">
        <f>AND18</f>
        <v/>
      </c>
      <c r="ANF18" s="1">
        <f>ANE18</f>
        <v/>
      </c>
      <c r="ANG18" s="1">
        <f>ANF18</f>
        <v/>
      </c>
      <c r="ANH18" s="1">
        <f>ANG18</f>
        <v/>
      </c>
      <c r="ANI18" s="1">
        <f>ANH18</f>
        <v/>
      </c>
      <c r="ANJ18" s="1">
        <f>ANI18</f>
        <v/>
      </c>
      <c r="ANK18" s="1">
        <f>ANJ18</f>
        <v/>
      </c>
      <c r="ANL18" s="1">
        <f>ANK18</f>
        <v/>
      </c>
      <c r="ANM18" s="1">
        <f>ANL18</f>
        <v/>
      </c>
      <c r="ANN18" s="1">
        <f>ANM18</f>
        <v/>
      </c>
      <c r="ANO18" s="1">
        <f>ANN18</f>
        <v/>
      </c>
      <c r="ANP18" s="1">
        <f>ANO18</f>
        <v/>
      </c>
      <c r="ANQ18" s="1">
        <f>ANP18</f>
        <v/>
      </c>
      <c r="ANR18" s="1">
        <f>ANQ18</f>
        <v/>
      </c>
      <c r="ANS18" s="1">
        <f>ANR18</f>
        <v/>
      </c>
      <c r="ANT18" s="1">
        <f>ANS18</f>
        <v/>
      </c>
      <c r="ANU18" s="1">
        <f>ANT18</f>
        <v/>
      </c>
      <c r="ANV18" s="1">
        <f>ANU18</f>
        <v/>
      </c>
      <c r="ANW18" s="1">
        <f>ANV18</f>
        <v/>
      </c>
      <c r="ANX18" s="1">
        <f>ANW18</f>
        <v/>
      </c>
      <c r="ANY18" s="1">
        <f>ANX18</f>
        <v/>
      </c>
      <c r="ANZ18" s="1">
        <f>ANY18</f>
        <v/>
      </c>
      <c r="AOA18" s="1">
        <f>ANZ18</f>
        <v/>
      </c>
      <c r="AOB18" s="1">
        <f>AOA18</f>
        <v/>
      </c>
      <c r="AOC18" s="1">
        <f>AOB18</f>
        <v/>
      </c>
    </row>
    <row r="19">
      <c r="B19" t="inlineStr">
        <is>
          <t>muhammed stolen</t>
        </is>
      </c>
      <c r="C19" s="52" t="n">
        <v>500000</v>
      </c>
      <c r="D19" s="52" t="n">
        <v>300000</v>
      </c>
      <c r="E19" s="52" t="n">
        <v>0</v>
      </c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>
        <v>1826000</v>
      </c>
      <c r="AD19" s="52">
        <f>AC19-500000</f>
        <v/>
      </c>
      <c r="AE19" s="52">
        <f>AD19</f>
        <v/>
      </c>
      <c r="AF19" s="52">
        <f>AE19</f>
        <v/>
      </c>
      <c r="AG19" s="52">
        <f>AF19</f>
        <v/>
      </c>
      <c r="AH19" s="98">
        <f>AG19</f>
        <v/>
      </c>
      <c r="AI19" s="52">
        <f>AG19</f>
        <v/>
      </c>
      <c r="AJ19" s="52">
        <f>AI19</f>
        <v/>
      </c>
      <c r="AK19" s="52">
        <f>AJ19</f>
        <v/>
      </c>
      <c r="AL19" s="52">
        <f>AK19</f>
        <v/>
      </c>
      <c r="AM19" s="52">
        <f>AL19</f>
        <v/>
      </c>
      <c r="AN19" s="52">
        <f>AM19</f>
        <v/>
      </c>
      <c r="AO19" s="52">
        <f>AN19</f>
        <v/>
      </c>
      <c r="AP19" s="52">
        <f>AO19</f>
        <v/>
      </c>
      <c r="AQ19" s="52">
        <f>AP19</f>
        <v/>
      </c>
      <c r="AR19" s="52">
        <f>AQ19</f>
        <v/>
      </c>
      <c r="AS19" s="52">
        <f>AR19</f>
        <v/>
      </c>
      <c r="AT19" s="52">
        <f>AS19</f>
        <v/>
      </c>
      <c r="AU19" s="52">
        <f>AT19</f>
        <v/>
      </c>
      <c r="AV19" s="52">
        <f>AU19</f>
        <v/>
      </c>
      <c r="AW19" s="52">
        <f>AV19</f>
        <v/>
      </c>
      <c r="AX19" s="52">
        <f>AW19</f>
        <v/>
      </c>
      <c r="AY19" s="52">
        <f>AX19</f>
        <v/>
      </c>
      <c r="AZ19" s="52">
        <f>AY19</f>
        <v/>
      </c>
      <c r="BA19" s="52">
        <f>AZ19</f>
        <v/>
      </c>
      <c r="BB19" s="52">
        <f>BA19</f>
        <v/>
      </c>
      <c r="BC19" s="52">
        <f>BB19</f>
        <v/>
      </c>
      <c r="BD19" s="52">
        <f>BC19</f>
        <v/>
      </c>
      <c r="BE19" s="52">
        <f>BD19</f>
        <v/>
      </c>
      <c r="BF19" s="52">
        <f>BE19</f>
        <v/>
      </c>
      <c r="BG19" s="52">
        <f>BF19</f>
        <v/>
      </c>
      <c r="BH19" s="52">
        <f>BG19</f>
        <v/>
      </c>
      <c r="BI19" s="52">
        <f>BH19</f>
        <v/>
      </c>
      <c r="BJ19" s="52">
        <f>BI19</f>
        <v/>
      </c>
      <c r="BK19" s="52">
        <f>BJ19</f>
        <v/>
      </c>
      <c r="BL19" s="52">
        <f>BK19</f>
        <v/>
      </c>
      <c r="BM19" s="106">
        <f>BL19</f>
        <v/>
      </c>
      <c r="BN19" s="52">
        <f>BM19</f>
        <v/>
      </c>
      <c r="BO19" s="52">
        <f>BN19</f>
        <v/>
      </c>
      <c r="BP19" s="52">
        <f>BO19</f>
        <v/>
      </c>
      <c r="BQ19" s="52">
        <f>BP19</f>
        <v/>
      </c>
      <c r="BR19" s="52">
        <f>BQ19</f>
        <v/>
      </c>
      <c r="BS19" s="52">
        <f>BR19</f>
        <v/>
      </c>
      <c r="BT19" s="52">
        <f>BS19</f>
        <v/>
      </c>
      <c r="BU19" s="52">
        <f>BT19</f>
        <v/>
      </c>
      <c r="BV19" s="52">
        <f>BU19</f>
        <v/>
      </c>
      <c r="BW19" s="52">
        <f>BV19-100000</f>
        <v/>
      </c>
      <c r="BX19" s="52">
        <f>BW19</f>
        <v/>
      </c>
      <c r="BY19" s="52">
        <f>BX19</f>
        <v/>
      </c>
      <c r="BZ19" s="52">
        <f>BY19</f>
        <v/>
      </c>
      <c r="CA19" s="52">
        <f>BZ19</f>
        <v/>
      </c>
      <c r="CB19" s="52">
        <f>CA19</f>
        <v/>
      </c>
      <c r="CC19" s="52">
        <f>CB19</f>
        <v/>
      </c>
      <c r="CD19" s="52">
        <f>CC19</f>
        <v/>
      </c>
      <c r="CE19" s="52">
        <f>CD19</f>
        <v/>
      </c>
      <c r="CF19" s="52">
        <f>CE19</f>
        <v/>
      </c>
      <c r="CG19" s="52">
        <f>CF19</f>
        <v/>
      </c>
      <c r="CH19" s="52">
        <f>CG19</f>
        <v/>
      </c>
      <c r="CI19" s="52">
        <f>CH19</f>
        <v/>
      </c>
      <c r="CJ19" s="52">
        <f>CI19</f>
        <v/>
      </c>
      <c r="CK19" s="52">
        <f>CJ19</f>
        <v/>
      </c>
      <c r="CL19" s="52">
        <f>CK19</f>
        <v/>
      </c>
      <c r="CM19" s="52">
        <f>CL19</f>
        <v/>
      </c>
      <c r="CN19" s="52">
        <f>CM19</f>
        <v/>
      </c>
      <c r="CO19" s="52">
        <f>CN19</f>
        <v/>
      </c>
      <c r="CP19" s="52">
        <f>CO19</f>
        <v/>
      </c>
      <c r="CQ19" s="52">
        <f>CP19</f>
        <v/>
      </c>
      <c r="CR19" s="52">
        <f>CQ19</f>
        <v/>
      </c>
      <c r="CT19" s="82">
        <f>CR19</f>
        <v/>
      </c>
      <c r="CU19" s="82">
        <f>CT19</f>
        <v/>
      </c>
      <c r="CV19" s="112">
        <f>CT19-100000</f>
        <v/>
      </c>
      <c r="CW19" s="82">
        <f>CV19</f>
        <v/>
      </c>
      <c r="CX19" s="82">
        <f>CV19</f>
        <v/>
      </c>
      <c r="CY19" s="82">
        <f>CW19</f>
        <v/>
      </c>
      <c r="CZ19" s="82">
        <f>CX19</f>
        <v/>
      </c>
      <c r="DA19" s="82">
        <f>CY19</f>
        <v/>
      </c>
      <c r="DB19" s="82">
        <f>CZ19</f>
        <v/>
      </c>
      <c r="DC19" s="82">
        <f>DA19</f>
        <v/>
      </c>
      <c r="DD19" s="82">
        <f>DB19</f>
        <v/>
      </c>
      <c r="DE19" s="82">
        <f>DC19</f>
        <v/>
      </c>
      <c r="DF19" s="82">
        <f>DD19</f>
        <v/>
      </c>
      <c r="DG19" s="82">
        <f>DE19</f>
        <v/>
      </c>
      <c r="DH19" s="82">
        <f>DF19</f>
        <v/>
      </c>
      <c r="DI19" s="82">
        <f>DG19</f>
        <v/>
      </c>
      <c r="DJ19" s="82">
        <f>DH19</f>
        <v/>
      </c>
      <c r="DK19" s="82">
        <f>DI19</f>
        <v/>
      </c>
      <c r="DL19" s="82">
        <f>DJ19</f>
        <v/>
      </c>
      <c r="DM19" s="82">
        <f>DK19</f>
        <v/>
      </c>
      <c r="DN19" s="82">
        <f>DL19</f>
        <v/>
      </c>
      <c r="DO19" s="82">
        <f>DM19</f>
        <v/>
      </c>
      <c r="DP19" s="82">
        <f>DN19</f>
        <v/>
      </c>
      <c r="DQ19" s="82">
        <f>DO19</f>
        <v/>
      </c>
      <c r="DR19" s="82">
        <f>DP19</f>
        <v/>
      </c>
      <c r="DS19" s="82">
        <f>DQ19</f>
        <v/>
      </c>
      <c r="DT19" s="82">
        <f>DR19</f>
        <v/>
      </c>
      <c r="DU19" s="82">
        <f>DS19</f>
        <v/>
      </c>
      <c r="DV19" s="82">
        <f>DT19</f>
        <v/>
      </c>
      <c r="DW19" s="82">
        <f>DU19</f>
        <v/>
      </c>
      <c r="DX19" s="117" t="n"/>
      <c r="DY19" s="82">
        <f>DW19</f>
        <v/>
      </c>
      <c r="DZ19" s="82">
        <f>DY19</f>
        <v/>
      </c>
      <c r="EA19" s="82">
        <f>DY19</f>
        <v/>
      </c>
      <c r="EB19" s="82">
        <f>DZ19-100000</f>
        <v/>
      </c>
      <c r="EC19" s="82">
        <f>EB19</f>
        <v/>
      </c>
      <c r="ED19" s="82">
        <f>EB19</f>
        <v/>
      </c>
      <c r="EE19" s="82">
        <f>EC19</f>
        <v/>
      </c>
      <c r="EF19" s="82">
        <f>ED19</f>
        <v/>
      </c>
      <c r="EG19" s="82">
        <f>EE19</f>
        <v/>
      </c>
      <c r="EH19" s="82">
        <f>EF19</f>
        <v/>
      </c>
      <c r="EI19" s="82">
        <f>EG19</f>
        <v/>
      </c>
      <c r="EJ19" s="82">
        <f>EH19</f>
        <v/>
      </c>
      <c r="EK19" s="82">
        <f>EI19</f>
        <v/>
      </c>
      <c r="EL19" s="82">
        <f>EJ19</f>
        <v/>
      </c>
      <c r="EM19" s="82">
        <f>EK19</f>
        <v/>
      </c>
      <c r="EN19" s="82">
        <f>EL19</f>
        <v/>
      </c>
      <c r="EO19" s="82">
        <f>EM19</f>
        <v/>
      </c>
      <c r="EP19" s="82">
        <f>EN19</f>
        <v/>
      </c>
      <c r="EQ19" s="82">
        <f>EO19</f>
        <v/>
      </c>
      <c r="ER19" s="82">
        <f>EP19</f>
        <v/>
      </c>
      <c r="ES19" s="82">
        <f>EQ19</f>
        <v/>
      </c>
      <c r="ET19" s="82">
        <f>ER19</f>
        <v/>
      </c>
      <c r="EU19" s="82">
        <f>ES19</f>
        <v/>
      </c>
      <c r="EV19" s="82">
        <f>ET19</f>
        <v/>
      </c>
      <c r="EW19" s="82">
        <f>EU19</f>
        <v/>
      </c>
      <c r="EX19" s="82">
        <f>EV19</f>
        <v/>
      </c>
      <c r="EY19" s="82">
        <f>EW19</f>
        <v/>
      </c>
      <c r="EZ19" s="82">
        <f>EX19</f>
        <v/>
      </c>
      <c r="FA19" s="82">
        <f>EY19</f>
        <v/>
      </c>
      <c r="FB19" s="82">
        <f>EZ19</f>
        <v/>
      </c>
      <c r="FC19" s="82">
        <f>FA19</f>
        <v/>
      </c>
      <c r="FD19" s="126" t="n"/>
      <c r="FE19" s="82">
        <f>FC19</f>
        <v/>
      </c>
      <c r="FF19" s="82">
        <f>FE19</f>
        <v/>
      </c>
      <c r="FG19" s="82">
        <f>FE19</f>
        <v/>
      </c>
      <c r="FH19" s="82">
        <f>FF19</f>
        <v/>
      </c>
      <c r="FI19" s="82">
        <f>FG19</f>
        <v/>
      </c>
      <c r="FJ19" s="82">
        <f>FH19-100000</f>
        <v/>
      </c>
      <c r="FK19" s="82">
        <f>FJ19</f>
        <v/>
      </c>
      <c r="FL19" s="82">
        <f>FJ19</f>
        <v/>
      </c>
      <c r="FM19" s="82">
        <f>FK19</f>
        <v/>
      </c>
      <c r="FN19" s="82">
        <f>FL19</f>
        <v/>
      </c>
      <c r="FO19" s="82">
        <f>FM19</f>
        <v/>
      </c>
      <c r="FP19" s="82">
        <f>FN19</f>
        <v/>
      </c>
      <c r="FQ19" s="82">
        <f>FO19</f>
        <v/>
      </c>
      <c r="FR19" s="82">
        <f>FP19</f>
        <v/>
      </c>
      <c r="FS19" s="82">
        <f>FQ19</f>
        <v/>
      </c>
      <c r="FT19" s="82">
        <f>FR19</f>
        <v/>
      </c>
      <c r="FU19" s="82">
        <f>FS19</f>
        <v/>
      </c>
      <c r="FV19" s="82">
        <f>FT19</f>
        <v/>
      </c>
      <c r="FW19" s="82">
        <f>FU19</f>
        <v/>
      </c>
      <c r="FX19" s="82">
        <f>FV19</f>
        <v/>
      </c>
      <c r="FY19" s="82">
        <f>FW19</f>
        <v/>
      </c>
      <c r="FZ19" s="82">
        <f>FX19</f>
        <v/>
      </c>
      <c r="GA19" s="82">
        <f>FY19</f>
        <v/>
      </c>
      <c r="GB19" s="82">
        <f>FZ19</f>
        <v/>
      </c>
      <c r="GC19" s="82">
        <f>GA19</f>
        <v/>
      </c>
      <c r="GD19" s="82">
        <f>GB19</f>
        <v/>
      </c>
      <c r="GE19" s="82">
        <f>GC19</f>
        <v/>
      </c>
      <c r="GF19" s="82">
        <f>GD19</f>
        <v/>
      </c>
      <c r="GG19" s="82">
        <f>GE19</f>
        <v/>
      </c>
      <c r="GH19" s="82">
        <f>GF19</f>
        <v/>
      </c>
      <c r="GI19" s="82">
        <f>GG19</f>
        <v/>
      </c>
      <c r="GJ19" s="130" t="n"/>
      <c r="GK19" s="82">
        <f>GI19</f>
        <v/>
      </c>
      <c r="GL19" s="82">
        <f>GK19</f>
        <v/>
      </c>
      <c r="GM19" s="82">
        <f>GK19</f>
        <v/>
      </c>
      <c r="GN19" s="82">
        <f>GL19</f>
        <v/>
      </c>
      <c r="GO19" s="82">
        <f>GM19</f>
        <v/>
      </c>
      <c r="GP19" s="82">
        <f>GN19</f>
        <v/>
      </c>
      <c r="GQ19" s="82">
        <f>GO19-100000</f>
        <v/>
      </c>
      <c r="GR19" s="82">
        <f>GQ19</f>
        <v/>
      </c>
      <c r="GS19" s="82">
        <f>GQ19</f>
        <v/>
      </c>
      <c r="GT19" s="82">
        <f>GR19</f>
        <v/>
      </c>
      <c r="GU19" s="82">
        <f>GS19</f>
        <v/>
      </c>
      <c r="GV19" s="82">
        <f>GT19</f>
        <v/>
      </c>
      <c r="GW19" s="82">
        <f>GU19</f>
        <v/>
      </c>
      <c r="GX19" s="82">
        <f>GV19</f>
        <v/>
      </c>
      <c r="GY19" s="82">
        <f>GW19</f>
        <v/>
      </c>
      <c r="GZ19" s="82">
        <f>GX19</f>
        <v/>
      </c>
      <c r="HA19" s="82">
        <f>GY19</f>
        <v/>
      </c>
      <c r="HB19" s="82">
        <f>GZ19</f>
        <v/>
      </c>
      <c r="HC19" s="82">
        <f>HA19</f>
        <v/>
      </c>
      <c r="HD19" s="82">
        <f>HB19</f>
        <v/>
      </c>
      <c r="HE19" s="82">
        <f>HC19</f>
        <v/>
      </c>
      <c r="HF19" s="82">
        <f>HD19</f>
        <v/>
      </c>
      <c r="HG19" s="82">
        <f>HE19</f>
        <v/>
      </c>
      <c r="HH19" s="82">
        <f>HF19</f>
        <v/>
      </c>
      <c r="HI19" s="82">
        <f>HG19</f>
        <v/>
      </c>
      <c r="HJ19" s="82">
        <f>HH19</f>
        <v/>
      </c>
      <c r="HK19" s="82">
        <f>HI19</f>
        <v/>
      </c>
      <c r="HL19" s="82">
        <f>HJ19</f>
        <v/>
      </c>
      <c r="HM19" s="82">
        <f>HK19</f>
        <v/>
      </c>
      <c r="HN19" s="130" t="n"/>
      <c r="HO19" s="82">
        <f>HM19</f>
        <v/>
      </c>
      <c r="HP19" s="82">
        <f>HO19</f>
        <v/>
      </c>
      <c r="HQ19" s="82">
        <f>HO19</f>
        <v/>
      </c>
      <c r="HR19" s="82">
        <f>HP19</f>
        <v/>
      </c>
      <c r="HS19" s="82">
        <f>HQ19</f>
        <v/>
      </c>
      <c r="HT19" s="82">
        <f>HR19</f>
        <v/>
      </c>
      <c r="HU19" s="82">
        <f>HS19</f>
        <v/>
      </c>
      <c r="HV19" s="82">
        <f>HT19</f>
        <v/>
      </c>
      <c r="HW19" s="82">
        <f>HU19</f>
        <v/>
      </c>
      <c r="HX19" s="82">
        <f>HV19</f>
        <v/>
      </c>
      <c r="HY19" s="82">
        <f>HW19</f>
        <v/>
      </c>
      <c r="HZ19" s="82">
        <f>HX19</f>
        <v/>
      </c>
      <c r="IA19" s="82">
        <f>HY19</f>
        <v/>
      </c>
      <c r="IB19" s="82">
        <f>HZ19-100000</f>
        <v/>
      </c>
      <c r="IC19" s="82">
        <f>IB19</f>
        <v/>
      </c>
      <c r="ID19" s="82">
        <f>IB19</f>
        <v/>
      </c>
      <c r="IE19" s="82">
        <f>IC19</f>
        <v/>
      </c>
      <c r="IF19" s="82">
        <f>ID19</f>
        <v/>
      </c>
      <c r="IG19" s="82">
        <f>IE19</f>
        <v/>
      </c>
      <c r="IH19" s="82">
        <f>IF19</f>
        <v/>
      </c>
      <c r="II19" s="82">
        <f>IG19</f>
        <v/>
      </c>
      <c r="IJ19" s="82">
        <f>IH19</f>
        <v/>
      </c>
      <c r="IK19" s="82">
        <f>II19</f>
        <v/>
      </c>
      <c r="IL19" s="82">
        <f>IJ19</f>
        <v/>
      </c>
      <c r="IM19" s="82">
        <f>IK19</f>
        <v/>
      </c>
      <c r="IN19" s="82">
        <f>IL19</f>
        <v/>
      </c>
      <c r="IO19" s="82">
        <f>IM19</f>
        <v/>
      </c>
      <c r="IP19" s="82">
        <f>IN19</f>
        <v/>
      </c>
      <c r="IQ19" s="82">
        <f>IO19</f>
        <v/>
      </c>
      <c r="IR19" s="82">
        <f>IP19</f>
        <v/>
      </c>
      <c r="IS19" s="82">
        <f>IQ19</f>
        <v/>
      </c>
      <c r="IT19" s="130" t="n"/>
      <c r="IU19" s="82">
        <f>IS19</f>
        <v/>
      </c>
      <c r="IV19" s="82">
        <f>IU19</f>
        <v/>
      </c>
      <c r="IW19" s="82">
        <f>IV19</f>
        <v/>
      </c>
      <c r="IX19" s="82">
        <f>IW19</f>
        <v/>
      </c>
      <c r="IY19" s="82">
        <f>IX19</f>
        <v/>
      </c>
      <c r="IZ19" s="82">
        <f>IY19</f>
        <v/>
      </c>
      <c r="JA19" s="82">
        <f>IZ19</f>
        <v/>
      </c>
      <c r="JB19" s="82">
        <f>JA19</f>
        <v/>
      </c>
      <c r="JC19" s="82">
        <f>JB19</f>
        <v/>
      </c>
      <c r="JD19" s="82">
        <f>JC19</f>
        <v/>
      </c>
      <c r="JE19" s="82">
        <f>JD19</f>
        <v/>
      </c>
      <c r="JF19" s="82">
        <f>JE19</f>
        <v/>
      </c>
      <c r="JG19" s="82">
        <f>JF19</f>
        <v/>
      </c>
      <c r="JH19" s="82">
        <f>JG19</f>
        <v/>
      </c>
      <c r="JI19" s="82">
        <f>JH19</f>
        <v/>
      </c>
      <c r="JJ19" s="82">
        <f>JI19-100000</f>
        <v/>
      </c>
      <c r="JK19" s="82">
        <f>JJ19</f>
        <v/>
      </c>
      <c r="JL19" s="82">
        <f>JK19</f>
        <v/>
      </c>
      <c r="JM19" s="82">
        <f>JL19</f>
        <v/>
      </c>
      <c r="JN19" s="82">
        <f>JM19</f>
        <v/>
      </c>
      <c r="JO19" s="82">
        <f>JN19</f>
        <v/>
      </c>
      <c r="JP19" s="82">
        <f>JO19</f>
        <v/>
      </c>
      <c r="JQ19" s="82">
        <f>JP19</f>
        <v/>
      </c>
      <c r="JR19" s="82">
        <f>JQ19</f>
        <v/>
      </c>
      <c r="JS19" s="82">
        <f>JR19</f>
        <v/>
      </c>
      <c r="JT19" s="82">
        <f>JS19</f>
        <v/>
      </c>
      <c r="JU19" s="82">
        <f>JT19</f>
        <v/>
      </c>
      <c r="JV19" s="82">
        <f>JU19</f>
        <v/>
      </c>
      <c r="JW19" s="82">
        <f>JV19</f>
        <v/>
      </c>
      <c r="JX19" s="82">
        <f>JW19</f>
        <v/>
      </c>
      <c r="JY19" s="133" t="n"/>
      <c r="JZ19" s="82">
        <f>JX19</f>
        <v/>
      </c>
      <c r="KA19" s="82">
        <f>JZ19</f>
        <v/>
      </c>
      <c r="KB19" s="82">
        <f>JZ19</f>
        <v/>
      </c>
      <c r="KC19" s="82">
        <f>KA19</f>
        <v/>
      </c>
      <c r="KD19" s="82">
        <f>KB19</f>
        <v/>
      </c>
      <c r="KE19" s="82">
        <f>KC19</f>
        <v/>
      </c>
      <c r="KF19" s="82">
        <f>KD19</f>
        <v/>
      </c>
      <c r="KG19" s="82">
        <f>KE19</f>
        <v/>
      </c>
      <c r="KH19" s="82">
        <f>KF19</f>
        <v/>
      </c>
      <c r="KI19" s="82">
        <f>KG19</f>
        <v/>
      </c>
      <c r="KJ19" s="82">
        <f>KH19</f>
        <v/>
      </c>
      <c r="KK19" s="82">
        <f>KI19</f>
        <v/>
      </c>
      <c r="KL19" s="82">
        <f>KJ19-100000</f>
        <v/>
      </c>
      <c r="KM19" s="82">
        <f>KL19</f>
        <v/>
      </c>
      <c r="KN19" s="82">
        <f>KL19</f>
        <v/>
      </c>
      <c r="KO19" s="82">
        <f>KM19</f>
        <v/>
      </c>
      <c r="KP19" s="82">
        <f>KN19</f>
        <v/>
      </c>
      <c r="KQ19" s="82">
        <f>KO19</f>
        <v/>
      </c>
      <c r="KR19" s="82">
        <f>KP19</f>
        <v/>
      </c>
      <c r="KS19" s="82">
        <f>KQ19</f>
        <v/>
      </c>
      <c r="KT19" s="82">
        <f>KR19</f>
        <v/>
      </c>
      <c r="KU19" s="82">
        <f>KS19</f>
        <v/>
      </c>
      <c r="KV19" s="82">
        <f>KT19</f>
        <v/>
      </c>
      <c r="KW19" s="82">
        <f>KU19</f>
        <v/>
      </c>
      <c r="KX19" s="82">
        <f>KV19</f>
        <v/>
      </c>
      <c r="KY19" s="82">
        <f>KW19</f>
        <v/>
      </c>
      <c r="KZ19" s="82">
        <f>KX19</f>
        <v/>
      </c>
      <c r="LA19" s="82">
        <f>KY19</f>
        <v/>
      </c>
      <c r="LB19" s="82">
        <f>KZ19</f>
        <v/>
      </c>
      <c r="LC19" s="82">
        <f>LA19</f>
        <v/>
      </c>
      <c r="LD19" s="82">
        <f>LB19</f>
        <v/>
      </c>
      <c r="LE19" s="130" t="n"/>
      <c r="LF19" s="82">
        <f>LD19</f>
        <v/>
      </c>
      <c r="LG19" s="82">
        <f>LF19</f>
        <v/>
      </c>
      <c r="LH19" s="82">
        <f>LG19</f>
        <v/>
      </c>
      <c r="LI19" s="82">
        <f>LH19</f>
        <v/>
      </c>
      <c r="LJ19" s="82">
        <f>LI19</f>
        <v/>
      </c>
      <c r="LK19" s="82">
        <f>LJ19</f>
        <v/>
      </c>
      <c r="LL19" s="82">
        <f>LK19</f>
        <v/>
      </c>
      <c r="LM19" s="82">
        <f>LL19</f>
        <v/>
      </c>
      <c r="LN19" s="82">
        <f>LM19</f>
        <v/>
      </c>
      <c r="LO19" s="82">
        <f>LN19</f>
        <v/>
      </c>
      <c r="LP19" s="82">
        <f>LO19-100000</f>
        <v/>
      </c>
      <c r="LQ19" s="82">
        <f>LP19</f>
        <v/>
      </c>
      <c r="LR19" s="82">
        <f>LQ19</f>
        <v/>
      </c>
      <c r="LS19" s="82">
        <f>LR19</f>
        <v/>
      </c>
      <c r="LT19" s="82">
        <f>LS19</f>
        <v/>
      </c>
      <c r="LU19" s="82">
        <f>LT19</f>
        <v/>
      </c>
      <c r="LV19" s="82">
        <f>LU19</f>
        <v/>
      </c>
      <c r="LW19" s="82">
        <f>LV19</f>
        <v/>
      </c>
      <c r="LX19" s="82">
        <f>LW19</f>
        <v/>
      </c>
      <c r="LY19" s="82">
        <f>LX19</f>
        <v/>
      </c>
      <c r="LZ19" s="82">
        <f>LY19</f>
        <v/>
      </c>
      <c r="MA19" s="82">
        <f>LZ19</f>
        <v/>
      </c>
      <c r="MB19" s="82">
        <f>MA19</f>
        <v/>
      </c>
      <c r="MC19" s="82">
        <f>MB19</f>
        <v/>
      </c>
      <c r="MD19" s="82">
        <f>MC19</f>
        <v/>
      </c>
      <c r="ME19" s="82">
        <f>MD19</f>
        <v/>
      </c>
      <c r="MF19" s="82">
        <f>ME19</f>
        <v/>
      </c>
      <c r="MG19" s="82">
        <f>MF19</f>
        <v/>
      </c>
      <c r="MH19" s="82">
        <f>MG19</f>
        <v/>
      </c>
      <c r="MI19" s="82">
        <f>MH19</f>
        <v/>
      </c>
      <c r="MJ19" s="133" t="n"/>
      <c r="MK19" s="82">
        <f>MI19</f>
        <v/>
      </c>
      <c r="ML19" s="82">
        <f>MK19</f>
        <v/>
      </c>
      <c r="MM19" s="82">
        <f>MK19</f>
        <v/>
      </c>
      <c r="MN19" s="82">
        <f>ML19</f>
        <v/>
      </c>
      <c r="MO19" s="82">
        <f>MM19</f>
        <v/>
      </c>
      <c r="MP19" s="82">
        <f>MN19</f>
        <v/>
      </c>
      <c r="MQ19" s="82">
        <f>MO19</f>
        <v/>
      </c>
      <c r="MR19" s="82">
        <f>MP19</f>
        <v/>
      </c>
      <c r="MS19" s="82">
        <f>MQ19</f>
        <v/>
      </c>
      <c r="MT19" s="82">
        <f>MR19</f>
        <v/>
      </c>
      <c r="MU19" s="82">
        <f>MS19</f>
        <v/>
      </c>
      <c r="MV19" s="82">
        <f>MT19</f>
        <v/>
      </c>
      <c r="MW19" s="82">
        <f>MU19</f>
        <v/>
      </c>
      <c r="MX19" s="82">
        <f>MV19</f>
        <v/>
      </c>
      <c r="MY19" s="82">
        <f>MW19</f>
        <v/>
      </c>
      <c r="MZ19" s="82">
        <f>MX19</f>
        <v/>
      </c>
      <c r="NA19" s="82">
        <f>MY19</f>
        <v/>
      </c>
      <c r="NB19" s="82">
        <f>MZ19</f>
        <v/>
      </c>
      <c r="NC19" s="82">
        <f>NA19</f>
        <v/>
      </c>
      <c r="ND19" s="82">
        <f>NB19</f>
        <v/>
      </c>
      <c r="NE19" s="82">
        <f>NC19</f>
        <v/>
      </c>
      <c r="NF19" s="82">
        <f>ND19</f>
        <v/>
      </c>
      <c r="NG19" s="82">
        <f>NE19</f>
        <v/>
      </c>
      <c r="NH19" s="82">
        <f>NF19</f>
        <v/>
      </c>
      <c r="NI19" s="82">
        <f>NG19</f>
        <v/>
      </c>
      <c r="NJ19" s="82">
        <f>NH19</f>
        <v/>
      </c>
      <c r="NK19" s="82">
        <f>NI19</f>
        <v/>
      </c>
      <c r="NL19" s="82">
        <f>NJ19</f>
        <v/>
      </c>
      <c r="NM19" s="82">
        <f>NK19</f>
        <v/>
      </c>
      <c r="NN19" s="82">
        <f>NL19</f>
        <v/>
      </c>
      <c r="NO19" s="82">
        <f>NM19</f>
        <v/>
      </c>
      <c r="NP19" s="133" t="n"/>
      <c r="NQ19" s="82">
        <f>NO19</f>
        <v/>
      </c>
      <c r="NR19" s="82">
        <f>NQ19</f>
        <v/>
      </c>
      <c r="NS19" s="82">
        <f>NQ19</f>
        <v/>
      </c>
      <c r="NT19" s="82">
        <f>NR19</f>
        <v/>
      </c>
      <c r="NU19" s="82">
        <f>NS19</f>
        <v/>
      </c>
      <c r="NV19" s="82">
        <f>NT19</f>
        <v/>
      </c>
      <c r="NW19" s="82">
        <f>NU19</f>
        <v/>
      </c>
      <c r="NX19" s="82">
        <f>NV19</f>
        <v/>
      </c>
      <c r="NY19" s="82">
        <f>NW19</f>
        <v/>
      </c>
      <c r="NZ19" s="82">
        <f>NX19</f>
        <v/>
      </c>
      <c r="OA19" s="82">
        <f>NY19</f>
        <v/>
      </c>
      <c r="OB19" s="82">
        <f>NZ19</f>
        <v/>
      </c>
      <c r="OC19" s="82">
        <f>OA19</f>
        <v/>
      </c>
      <c r="OD19" s="82">
        <f>OB19</f>
        <v/>
      </c>
      <c r="OE19" s="82">
        <f>OC19</f>
        <v/>
      </c>
      <c r="OF19" s="82">
        <f>OD19</f>
        <v/>
      </c>
      <c r="OG19" s="82">
        <f>OE19</f>
        <v/>
      </c>
      <c r="OH19" s="82">
        <f>OF19</f>
        <v/>
      </c>
      <c r="OI19" s="82">
        <f>OG19</f>
        <v/>
      </c>
      <c r="OJ19" s="82">
        <f>OH19</f>
        <v/>
      </c>
      <c r="OK19" s="82">
        <f>OI19</f>
        <v/>
      </c>
      <c r="OL19" s="82">
        <f>OJ19</f>
        <v/>
      </c>
      <c r="OM19" s="82">
        <f>OK19</f>
        <v/>
      </c>
      <c r="ON19" s="82">
        <f>OL19</f>
        <v/>
      </c>
      <c r="OO19" s="82">
        <f>OM19</f>
        <v/>
      </c>
      <c r="OP19" s="82">
        <f>ON19</f>
        <v/>
      </c>
      <c r="OQ19" s="82">
        <f>OO19</f>
        <v/>
      </c>
      <c r="OR19" s="82">
        <f>OP19</f>
        <v/>
      </c>
      <c r="OS19" s="82">
        <f>OQ19</f>
        <v/>
      </c>
      <c r="OT19" s="82">
        <f>OR19</f>
        <v/>
      </c>
      <c r="OU19" s="82">
        <f>OS19</f>
        <v/>
      </c>
      <c r="OV19" s="130" t="n"/>
      <c r="OW19" s="82">
        <f>OU19</f>
        <v/>
      </c>
      <c r="OX19" s="82">
        <f>OW19</f>
        <v/>
      </c>
      <c r="OY19" s="82">
        <f>OW19</f>
        <v/>
      </c>
      <c r="OZ19" s="82">
        <f>OX19</f>
        <v/>
      </c>
      <c r="PA19" s="82">
        <f>OY19</f>
        <v/>
      </c>
      <c r="PB19" s="82">
        <f>OZ19</f>
        <v/>
      </c>
      <c r="PC19" s="82">
        <f>PA19</f>
        <v/>
      </c>
      <c r="PD19" s="82">
        <f>PB19</f>
        <v/>
      </c>
      <c r="PE19" s="82">
        <f>PC19</f>
        <v/>
      </c>
      <c r="PF19" s="82">
        <f>PD19</f>
        <v/>
      </c>
      <c r="PG19" s="82">
        <f>PE19</f>
        <v/>
      </c>
      <c r="PH19" s="82">
        <f>PF19</f>
        <v/>
      </c>
      <c r="PI19" s="82">
        <f>PG19</f>
        <v/>
      </c>
      <c r="PJ19" s="82">
        <f>PH19</f>
        <v/>
      </c>
      <c r="PK19" s="82">
        <f>PI19</f>
        <v/>
      </c>
      <c r="PL19" s="82">
        <f>PJ19</f>
        <v/>
      </c>
      <c r="PM19" s="82">
        <f>PK19</f>
        <v/>
      </c>
      <c r="PN19" s="82">
        <f>PL19</f>
        <v/>
      </c>
      <c r="PO19" s="82">
        <f>PM19</f>
        <v/>
      </c>
      <c r="PP19" s="82">
        <f>PN19</f>
        <v/>
      </c>
      <c r="PQ19" s="82">
        <f>PO19</f>
        <v/>
      </c>
      <c r="PR19" s="82">
        <f>PP19</f>
        <v/>
      </c>
      <c r="PS19" s="82">
        <f>PQ19</f>
        <v/>
      </c>
      <c r="PT19" s="82">
        <f>PR19</f>
        <v/>
      </c>
      <c r="PU19" s="82">
        <f>PS19</f>
        <v/>
      </c>
      <c r="PV19" s="82">
        <f>PT19</f>
        <v/>
      </c>
      <c r="PW19" s="82">
        <f>PU19</f>
        <v/>
      </c>
      <c r="PX19" s="82">
        <f>PV19</f>
        <v/>
      </c>
      <c r="PY19" s="82">
        <f>PW19</f>
        <v/>
      </c>
      <c r="PZ19" s="82">
        <f>PX19</f>
        <v/>
      </c>
      <c r="QA19" s="130" t="n"/>
      <c r="QB19" s="82">
        <f>PZ19</f>
        <v/>
      </c>
      <c r="QC19" s="82">
        <f>QB19</f>
        <v/>
      </c>
      <c r="QD19" s="82">
        <f>QC19</f>
        <v/>
      </c>
      <c r="QE19" s="82">
        <f>QD19</f>
        <v/>
      </c>
      <c r="QF19" s="82">
        <f>QE19</f>
        <v/>
      </c>
      <c r="QG19" s="82">
        <f>QF19</f>
        <v/>
      </c>
      <c r="QH19" s="82">
        <f>QG19</f>
        <v/>
      </c>
      <c r="QI19" s="82">
        <f>QH19</f>
        <v/>
      </c>
      <c r="QJ19" s="82">
        <f>QI19</f>
        <v/>
      </c>
      <c r="QK19" s="82">
        <f>QJ19</f>
        <v/>
      </c>
      <c r="QL19" s="82">
        <f>QK19</f>
        <v/>
      </c>
      <c r="QM19" s="82">
        <f>QL19</f>
        <v/>
      </c>
      <c r="QN19" s="82">
        <f>QM19</f>
        <v/>
      </c>
      <c r="QO19" s="82">
        <f>QN19</f>
        <v/>
      </c>
      <c r="QP19" s="82">
        <f>QO19</f>
        <v/>
      </c>
      <c r="QQ19" s="82">
        <f>QP19</f>
        <v/>
      </c>
      <c r="QR19" s="82">
        <f>QQ19</f>
        <v/>
      </c>
      <c r="QS19" s="82">
        <f>QR19</f>
        <v/>
      </c>
      <c r="QT19" s="82">
        <f>QS19</f>
        <v/>
      </c>
      <c r="QU19" s="82">
        <f>QT19</f>
        <v/>
      </c>
      <c r="QV19" s="82">
        <f>QU19</f>
        <v/>
      </c>
      <c r="QW19" s="82">
        <f>QV19</f>
        <v/>
      </c>
      <c r="QX19" s="82">
        <f>QW19</f>
        <v/>
      </c>
      <c r="QY19" s="82">
        <f>QX19</f>
        <v/>
      </c>
      <c r="QZ19" s="82">
        <f>QY19</f>
        <v/>
      </c>
      <c r="RA19" s="82">
        <f>QZ19</f>
        <v/>
      </c>
      <c r="RB19" s="82">
        <f>RA19</f>
        <v/>
      </c>
      <c r="RC19" s="82">
        <f>RB19</f>
        <v/>
      </c>
      <c r="RD19" s="82">
        <f>RC19</f>
        <v/>
      </c>
      <c r="RE19" s="82">
        <f>RD19</f>
        <v/>
      </c>
      <c r="RF19" s="82">
        <f>RE19</f>
        <v/>
      </c>
      <c r="RG19" s="130" t="n"/>
      <c r="RH19" s="82">
        <f>RF19</f>
        <v/>
      </c>
      <c r="RI19" s="82">
        <f>RH19</f>
        <v/>
      </c>
      <c r="RJ19" s="82">
        <f>RI19</f>
        <v/>
      </c>
      <c r="RK19" s="82">
        <f>RJ19</f>
        <v/>
      </c>
      <c r="RL19" s="82">
        <f>RK19</f>
        <v/>
      </c>
      <c r="RM19" s="82">
        <f>RL19</f>
        <v/>
      </c>
      <c r="RN19" s="82">
        <f>RM19</f>
        <v/>
      </c>
      <c r="RO19" s="82">
        <f>RN19</f>
        <v/>
      </c>
      <c r="RP19" s="82">
        <f>RO19</f>
        <v/>
      </c>
      <c r="RQ19" s="82">
        <f>RP19</f>
        <v/>
      </c>
      <c r="RR19" s="82">
        <f>RQ19</f>
        <v/>
      </c>
      <c r="RS19" s="82">
        <f>RR19</f>
        <v/>
      </c>
      <c r="RT19" s="82">
        <f>RS19</f>
        <v/>
      </c>
      <c r="RU19" s="82">
        <f>RT19</f>
        <v/>
      </c>
      <c r="RV19" s="82">
        <f>RU19</f>
        <v/>
      </c>
      <c r="RW19" s="82">
        <f>RV19</f>
        <v/>
      </c>
      <c r="RX19" s="82">
        <f>RW19</f>
        <v/>
      </c>
      <c r="RY19" s="82">
        <f>RX19</f>
        <v/>
      </c>
      <c r="RZ19" s="82">
        <f>RY19</f>
        <v/>
      </c>
      <c r="SA19" s="82">
        <f>RZ19</f>
        <v/>
      </c>
      <c r="SB19" s="82">
        <f>SA19</f>
        <v/>
      </c>
      <c r="SC19" s="82">
        <f>SB19</f>
        <v/>
      </c>
      <c r="SD19" s="82">
        <f>SC19</f>
        <v/>
      </c>
      <c r="SE19" s="82">
        <f>SD19</f>
        <v/>
      </c>
      <c r="SF19" s="82">
        <f>SE19</f>
        <v/>
      </c>
      <c r="SG19" s="82">
        <f>SF19</f>
        <v/>
      </c>
      <c r="SH19" s="82">
        <f>SG19</f>
        <v/>
      </c>
      <c r="SI19" s="82">
        <f>SH19</f>
        <v/>
      </c>
      <c r="SJ19" s="82">
        <f>SI19</f>
        <v/>
      </c>
      <c r="SK19" s="82">
        <f>SJ19</f>
        <v/>
      </c>
      <c r="SL19" s="130" t="n"/>
      <c r="SM19" s="82">
        <f>SK19</f>
        <v/>
      </c>
      <c r="SN19" s="82">
        <f>SM19</f>
        <v/>
      </c>
      <c r="SO19" s="82">
        <f>SN19</f>
        <v/>
      </c>
      <c r="SP19" s="82">
        <f>SO19-100000</f>
        <v/>
      </c>
      <c r="SQ19" s="82">
        <f>SP19</f>
        <v/>
      </c>
      <c r="SR19" s="82">
        <f>SQ19</f>
        <v/>
      </c>
      <c r="SS19" s="82">
        <f>SR19</f>
        <v/>
      </c>
      <c r="ST19" s="82">
        <f>SS19</f>
        <v/>
      </c>
      <c r="SU19" s="82">
        <f>ST19</f>
        <v/>
      </c>
      <c r="SV19" s="82">
        <f>SU19</f>
        <v/>
      </c>
      <c r="SW19" s="82">
        <f>SV19</f>
        <v/>
      </c>
      <c r="SX19" s="82">
        <f>SW19</f>
        <v/>
      </c>
      <c r="SY19" s="82">
        <f>SX19</f>
        <v/>
      </c>
      <c r="SZ19" s="82">
        <f>SY19</f>
        <v/>
      </c>
      <c r="TA19" s="82">
        <f>SZ19</f>
        <v/>
      </c>
      <c r="TB19" s="82">
        <f>TA19</f>
        <v/>
      </c>
      <c r="TC19" s="82">
        <f>TB19</f>
        <v/>
      </c>
      <c r="TD19" s="82">
        <f>TC19</f>
        <v/>
      </c>
      <c r="TE19" s="82">
        <f>TD19</f>
        <v/>
      </c>
      <c r="TF19" s="82">
        <f>TE19</f>
        <v/>
      </c>
      <c r="TG19" s="82">
        <f>TF19</f>
        <v/>
      </c>
      <c r="TH19" s="82">
        <f>TG19</f>
        <v/>
      </c>
      <c r="TI19" s="82">
        <f>TH19</f>
        <v/>
      </c>
      <c r="TJ19" s="82">
        <f>TI19</f>
        <v/>
      </c>
      <c r="TK19" s="82">
        <f>TJ19</f>
        <v/>
      </c>
      <c r="TL19" s="82">
        <f>TK19</f>
        <v/>
      </c>
      <c r="TM19" s="82">
        <f>TL19</f>
        <v/>
      </c>
      <c r="TN19" s="82">
        <f>TM19</f>
        <v/>
      </c>
      <c r="TO19" s="82">
        <f>TN19</f>
        <v/>
      </c>
      <c r="TP19" s="82">
        <f>TO19</f>
        <v/>
      </c>
      <c r="TQ19" s="82">
        <f>TP19</f>
        <v/>
      </c>
      <c r="TR19" s="130" t="n"/>
      <c r="TS19" s="82">
        <f>TQ19</f>
        <v/>
      </c>
      <c r="TT19" s="82">
        <f>TS19</f>
        <v/>
      </c>
      <c r="TU19" s="82">
        <f>TT19</f>
        <v/>
      </c>
      <c r="TV19" s="82">
        <f>TU19</f>
        <v/>
      </c>
      <c r="TW19" s="82">
        <f>TV19</f>
        <v/>
      </c>
      <c r="TX19" s="82">
        <f>TW19</f>
        <v/>
      </c>
      <c r="TY19" s="82">
        <f>TX19</f>
        <v/>
      </c>
      <c r="TZ19" s="82">
        <f>TY19</f>
        <v/>
      </c>
      <c r="UA19" s="82">
        <f>TZ19</f>
        <v/>
      </c>
      <c r="UB19" s="82">
        <f>UA19</f>
        <v/>
      </c>
      <c r="UC19" s="82">
        <f>UB19</f>
        <v/>
      </c>
      <c r="UD19" s="82">
        <f>UC19</f>
        <v/>
      </c>
      <c r="UE19" s="82">
        <f>UD19</f>
        <v/>
      </c>
      <c r="UF19" s="82">
        <f>UE19</f>
        <v/>
      </c>
      <c r="UG19" s="82">
        <f>UF19</f>
        <v/>
      </c>
      <c r="UH19" s="82">
        <f>UG19</f>
        <v/>
      </c>
      <c r="UI19" s="82">
        <f>UH19</f>
        <v/>
      </c>
      <c r="UJ19" s="82">
        <f>UI19</f>
        <v/>
      </c>
      <c r="UK19" s="82">
        <f>UJ19</f>
        <v/>
      </c>
      <c r="UL19" s="82">
        <f>UK19</f>
        <v/>
      </c>
      <c r="UM19" s="82">
        <f>UL19</f>
        <v/>
      </c>
      <c r="UN19" s="82">
        <f>UM19</f>
        <v/>
      </c>
      <c r="UO19" s="82">
        <f>UN19</f>
        <v/>
      </c>
      <c r="UP19" s="82">
        <f>UO19</f>
        <v/>
      </c>
      <c r="UQ19" s="82">
        <f>UP19</f>
        <v/>
      </c>
      <c r="UR19" s="82">
        <f>UQ19</f>
        <v/>
      </c>
      <c r="US19" s="82">
        <f>UR19</f>
        <v/>
      </c>
      <c r="UT19" s="82">
        <f>US19</f>
        <v/>
      </c>
      <c r="UU19" s="82">
        <f>UT19</f>
        <v/>
      </c>
      <c r="UV19" s="82">
        <f>UU19</f>
        <v/>
      </c>
      <c r="UW19" s="82">
        <f>UV19</f>
        <v/>
      </c>
      <c r="UX19" s="130" t="n"/>
      <c r="UY19" s="82">
        <f>UW19</f>
        <v/>
      </c>
      <c r="UZ19" s="82">
        <f>UY19</f>
        <v/>
      </c>
      <c r="VA19" s="82">
        <f>UY19</f>
        <v/>
      </c>
      <c r="VB19" s="82">
        <f>UZ19</f>
        <v/>
      </c>
      <c r="VC19" s="82">
        <f>VA19</f>
        <v/>
      </c>
      <c r="VD19" s="82">
        <f>VB19</f>
        <v/>
      </c>
      <c r="VE19" s="82">
        <f>VC19</f>
        <v/>
      </c>
      <c r="VF19" s="82">
        <f>VD19</f>
        <v/>
      </c>
      <c r="VG19" s="82">
        <f>VE19</f>
        <v/>
      </c>
      <c r="VH19" s="82">
        <f>VF19</f>
        <v/>
      </c>
      <c r="VI19" s="82">
        <f>VG19</f>
        <v/>
      </c>
      <c r="VJ19" s="82">
        <f>VH19</f>
        <v/>
      </c>
      <c r="VK19" s="82">
        <f>VI19</f>
        <v/>
      </c>
      <c r="VL19" s="82">
        <f>VJ19</f>
        <v/>
      </c>
      <c r="VM19" s="82">
        <f>VK19</f>
        <v/>
      </c>
      <c r="VN19" s="82">
        <f>VL19</f>
        <v/>
      </c>
      <c r="VO19" s="82">
        <f>VM19</f>
        <v/>
      </c>
      <c r="VP19" s="82">
        <f>VN19</f>
        <v/>
      </c>
      <c r="VQ19" s="82">
        <f>VO19</f>
        <v/>
      </c>
      <c r="VR19" s="82">
        <f>VP19</f>
        <v/>
      </c>
      <c r="VS19" s="82">
        <f>VQ19</f>
        <v/>
      </c>
      <c r="VT19" s="82">
        <f>VR19</f>
        <v/>
      </c>
      <c r="VU19" s="82">
        <f>VS19</f>
        <v/>
      </c>
      <c r="VV19" s="82">
        <f>VT19</f>
        <v/>
      </c>
      <c r="VW19" s="82">
        <f>VU19</f>
        <v/>
      </c>
      <c r="VX19" s="82">
        <f>VV19</f>
        <v/>
      </c>
      <c r="VY19" s="82">
        <f>VW19</f>
        <v/>
      </c>
      <c r="VZ19" s="82">
        <f>VX19</f>
        <v/>
      </c>
      <c r="WA19" s="133" t="n"/>
      <c r="WB19" s="82">
        <f>VZ19</f>
        <v/>
      </c>
      <c r="WC19" s="82">
        <f>WB19</f>
        <v/>
      </c>
      <c r="WD19" s="82">
        <f>WB19</f>
        <v/>
      </c>
      <c r="WE19" s="82">
        <f>WC19</f>
        <v/>
      </c>
      <c r="WF19" s="82">
        <f>WD19</f>
        <v/>
      </c>
      <c r="WG19" s="82">
        <f>WE19</f>
        <v/>
      </c>
      <c r="WH19" s="82">
        <f>WF19</f>
        <v/>
      </c>
      <c r="WI19" s="82">
        <f>WG19</f>
        <v/>
      </c>
      <c r="WJ19" s="82">
        <f>WH19</f>
        <v/>
      </c>
      <c r="WK19" s="82">
        <f>WI19</f>
        <v/>
      </c>
      <c r="WL19" s="82">
        <f>WJ19</f>
        <v/>
      </c>
      <c r="WM19" s="82">
        <f>WK19</f>
        <v/>
      </c>
      <c r="WN19" s="82">
        <f>WL19</f>
        <v/>
      </c>
      <c r="WO19" s="82">
        <f>WM19</f>
        <v/>
      </c>
      <c r="WP19" s="82">
        <f>WN19</f>
        <v/>
      </c>
      <c r="WQ19" s="82">
        <f>WO19</f>
        <v/>
      </c>
      <c r="WR19" s="82">
        <f>WP19</f>
        <v/>
      </c>
      <c r="WS19" s="82">
        <f>WQ19</f>
        <v/>
      </c>
      <c r="WT19" s="82">
        <f>WR19</f>
        <v/>
      </c>
      <c r="WU19" s="82">
        <f>WS19</f>
        <v/>
      </c>
      <c r="WV19" s="82">
        <f>WT19</f>
        <v/>
      </c>
      <c r="WW19" s="82">
        <f>WU19</f>
        <v/>
      </c>
      <c r="WX19" s="82">
        <f>WV19</f>
        <v/>
      </c>
      <c r="WY19" s="82">
        <f>WW19</f>
        <v/>
      </c>
      <c r="WZ19" s="82">
        <f>WX19</f>
        <v/>
      </c>
      <c r="XA19" s="82">
        <f>WY19</f>
        <v/>
      </c>
      <c r="XB19" s="82">
        <f>WZ19</f>
        <v/>
      </c>
      <c r="XC19" s="82">
        <f>XA19</f>
        <v/>
      </c>
      <c r="XD19" s="82">
        <f>XB19</f>
        <v/>
      </c>
      <c r="XE19" s="82">
        <f>XC19</f>
        <v/>
      </c>
      <c r="XF19" s="82">
        <f>XD19</f>
        <v/>
      </c>
      <c r="XG19" s="133" t="n"/>
      <c r="XH19" s="82">
        <f>XF19</f>
        <v/>
      </c>
      <c r="XI19" s="82">
        <f>XH19</f>
        <v/>
      </c>
      <c r="XJ19" s="82">
        <f>XI19</f>
        <v/>
      </c>
      <c r="XK19" s="82">
        <f>XJ19</f>
        <v/>
      </c>
      <c r="XL19" s="82">
        <f>XK19</f>
        <v/>
      </c>
      <c r="XM19" s="82">
        <f>XL19</f>
        <v/>
      </c>
      <c r="XN19" s="82">
        <f>XM19</f>
        <v/>
      </c>
      <c r="XO19" s="82">
        <f>XN19</f>
        <v/>
      </c>
      <c r="XP19" s="82">
        <f>XO19</f>
        <v/>
      </c>
      <c r="XQ19" s="82">
        <f>XP19</f>
        <v/>
      </c>
      <c r="XR19" s="82">
        <f>XQ19</f>
        <v/>
      </c>
      <c r="XS19" s="82">
        <f>XR19</f>
        <v/>
      </c>
      <c r="XT19" s="82">
        <f>XS19</f>
        <v/>
      </c>
      <c r="XU19" s="82">
        <f>XT19</f>
        <v/>
      </c>
      <c r="XV19" s="82">
        <f>XU19</f>
        <v/>
      </c>
      <c r="XW19" s="82">
        <f>XV19</f>
        <v/>
      </c>
      <c r="XX19" s="82">
        <f>XW19</f>
        <v/>
      </c>
      <c r="XY19" s="82">
        <f>XX19</f>
        <v/>
      </c>
      <c r="XZ19" s="82">
        <f>XY19</f>
        <v/>
      </c>
      <c r="YA19" s="82">
        <f>XZ19</f>
        <v/>
      </c>
      <c r="YB19" s="82">
        <f>YA19</f>
        <v/>
      </c>
      <c r="YC19" s="82">
        <f>YB19</f>
        <v/>
      </c>
      <c r="YD19" s="82">
        <f>YC19</f>
        <v/>
      </c>
      <c r="YE19" s="82">
        <f>YD19</f>
        <v/>
      </c>
      <c r="YF19" s="82">
        <f>YE19</f>
        <v/>
      </c>
      <c r="YG19" s="82">
        <f>YF19</f>
        <v/>
      </c>
      <c r="YH19" s="82">
        <f>YG19</f>
        <v/>
      </c>
      <c r="YI19" s="82">
        <f>YH19</f>
        <v/>
      </c>
      <c r="YJ19" s="82">
        <f>YI19</f>
        <v/>
      </c>
      <c r="YK19" s="82">
        <f>YJ19</f>
        <v/>
      </c>
      <c r="YL19" s="130" t="n"/>
      <c r="YM19" s="82">
        <f>YK19</f>
        <v/>
      </c>
      <c r="YN19" s="82">
        <f>YM19</f>
        <v/>
      </c>
      <c r="YO19" s="82">
        <f>YN19</f>
        <v/>
      </c>
      <c r="YP19" s="82">
        <f>YO19</f>
        <v/>
      </c>
      <c r="YQ19" s="82">
        <f>YP19</f>
        <v/>
      </c>
      <c r="YR19" s="82">
        <f>YQ19</f>
        <v/>
      </c>
      <c r="YS19" s="82">
        <f>YR19</f>
        <v/>
      </c>
      <c r="YT19" s="82">
        <f>YS19</f>
        <v/>
      </c>
      <c r="YU19" s="82">
        <f>YT19</f>
        <v/>
      </c>
      <c r="YV19" s="82">
        <f>YU19</f>
        <v/>
      </c>
      <c r="YW19" s="82">
        <f>YV19</f>
        <v/>
      </c>
      <c r="YX19" s="82">
        <f>YW19</f>
        <v/>
      </c>
      <c r="YY19" s="82">
        <f>YX19</f>
        <v/>
      </c>
      <c r="YZ19" s="82">
        <f>YY19</f>
        <v/>
      </c>
      <c r="ZA19" s="82">
        <f>YZ19</f>
        <v/>
      </c>
      <c r="ZB19" s="82">
        <f>ZA19</f>
        <v/>
      </c>
      <c r="ZC19" s="82">
        <f>ZB19</f>
        <v/>
      </c>
      <c r="ZD19" s="82">
        <f>ZC19</f>
        <v/>
      </c>
      <c r="ZE19" s="82">
        <f>ZD19</f>
        <v/>
      </c>
      <c r="ZF19" s="82">
        <f>ZE19</f>
        <v/>
      </c>
      <c r="ZG19" s="82">
        <f>ZF19</f>
        <v/>
      </c>
      <c r="ZH19" s="82">
        <f>ZG19</f>
        <v/>
      </c>
      <c r="ZI19" s="82">
        <f>ZH19</f>
        <v/>
      </c>
      <c r="ZJ19" s="82">
        <f>ZI19</f>
        <v/>
      </c>
      <c r="ZK19" s="82">
        <f>ZJ19</f>
        <v/>
      </c>
      <c r="ZL19" s="82">
        <f>ZK19</f>
        <v/>
      </c>
      <c r="ZM19" s="82">
        <f>ZL19</f>
        <v/>
      </c>
      <c r="ZN19" s="82">
        <f>ZM19</f>
        <v/>
      </c>
      <c r="ZO19" s="82">
        <f>ZN19</f>
        <v/>
      </c>
      <c r="ZP19" s="82">
        <f>ZO19</f>
        <v/>
      </c>
      <c r="ZQ19" s="82">
        <f>ZP19</f>
        <v/>
      </c>
      <c r="ZR19" s="130" t="n"/>
      <c r="ZS19" s="82">
        <f>ZQ19</f>
        <v/>
      </c>
      <c r="ZT19" s="82">
        <f>ZS19</f>
        <v/>
      </c>
      <c r="ZU19" s="82">
        <f>ZT19</f>
        <v/>
      </c>
      <c r="ZV19" s="82">
        <f>ZU19</f>
        <v/>
      </c>
      <c r="ZW19" s="82">
        <f>ZV19</f>
        <v/>
      </c>
      <c r="ZX19" s="82">
        <f>ZW19</f>
        <v/>
      </c>
      <c r="ZY19" s="82">
        <f>ZX19</f>
        <v/>
      </c>
      <c r="ZZ19" s="82">
        <f>ZY19</f>
        <v/>
      </c>
      <c r="AAA19" s="82">
        <f>ZZ19</f>
        <v/>
      </c>
      <c r="AAB19" s="82">
        <f>AAA19</f>
        <v/>
      </c>
      <c r="AAC19" s="82">
        <f>AAB19</f>
        <v/>
      </c>
      <c r="AAD19" s="82">
        <f>AAC19</f>
        <v/>
      </c>
      <c r="AAE19" s="82">
        <f>AAD19</f>
        <v/>
      </c>
      <c r="AAF19" s="82">
        <f>AAE19</f>
        <v/>
      </c>
      <c r="AAG19" s="82">
        <f>AAF19</f>
        <v/>
      </c>
      <c r="AAH19" s="82">
        <f>AAG19</f>
        <v/>
      </c>
      <c r="AAI19" s="82">
        <f>AAH19</f>
        <v/>
      </c>
      <c r="AAJ19" s="82">
        <f>AAI19</f>
        <v/>
      </c>
      <c r="AAK19" s="82">
        <f>AAJ19</f>
        <v/>
      </c>
      <c r="AAL19" s="82">
        <f>AAK19</f>
        <v/>
      </c>
      <c r="AAM19" s="82">
        <f>AAL19</f>
        <v/>
      </c>
      <c r="AAN19" s="82">
        <f>AAM19</f>
        <v/>
      </c>
      <c r="AAO19" s="82">
        <f>AAN19</f>
        <v/>
      </c>
      <c r="AAP19" s="82">
        <f>AAO19</f>
        <v/>
      </c>
      <c r="AAQ19" s="82">
        <f>AAP19</f>
        <v/>
      </c>
      <c r="AAR19" s="82">
        <f>AAQ19</f>
        <v/>
      </c>
      <c r="AAS19" s="82">
        <f>AAR19</f>
        <v/>
      </c>
      <c r="AAT19" s="82">
        <f>AAS19</f>
        <v/>
      </c>
      <c r="AAU19" s="82">
        <f>AAT19</f>
        <v/>
      </c>
      <c r="AAV19" s="82">
        <f>AAU19</f>
        <v/>
      </c>
      <c r="AAW19" s="130" t="n"/>
      <c r="AAX19" s="82">
        <f>AAV19</f>
        <v/>
      </c>
      <c r="AAY19" s="82">
        <f>AAX19</f>
        <v/>
      </c>
      <c r="AAZ19" s="82">
        <f>AAY19</f>
        <v/>
      </c>
      <c r="ABA19" s="82">
        <f>AAZ19</f>
        <v/>
      </c>
      <c r="ABB19" s="82">
        <f>ABA19</f>
        <v/>
      </c>
      <c r="ABC19" s="82">
        <f>ABB19</f>
        <v/>
      </c>
      <c r="ABD19" s="82">
        <f>ABC19</f>
        <v/>
      </c>
      <c r="ABE19" s="82">
        <f>ABD19</f>
        <v/>
      </c>
      <c r="ABF19" s="82">
        <f>ABE19</f>
        <v/>
      </c>
      <c r="ABG19" s="82">
        <f>ABF19</f>
        <v/>
      </c>
      <c r="ABH19" s="82">
        <f>ABG19</f>
        <v/>
      </c>
      <c r="ABI19" s="82">
        <f>ABH19</f>
        <v/>
      </c>
      <c r="ABJ19" s="82">
        <f>ABI19</f>
        <v/>
      </c>
      <c r="ABK19" s="82">
        <f>ABJ19</f>
        <v/>
      </c>
      <c r="ABL19" s="82">
        <f>ABK19</f>
        <v/>
      </c>
      <c r="ABM19" s="82">
        <f>ABL19</f>
        <v/>
      </c>
      <c r="ABN19" s="82">
        <f>ABM19</f>
        <v/>
      </c>
      <c r="ABO19" s="82">
        <f>ABN19</f>
        <v/>
      </c>
      <c r="ABP19" s="82">
        <f>ABO19</f>
        <v/>
      </c>
      <c r="ABQ19" s="82">
        <f>ABP19</f>
        <v/>
      </c>
      <c r="ABR19" s="82">
        <f>ABQ19</f>
        <v/>
      </c>
      <c r="ABS19" s="82">
        <f>ABR19</f>
        <v/>
      </c>
      <c r="ABT19" s="82">
        <f>ABS19</f>
        <v/>
      </c>
      <c r="ABU19" s="82">
        <f>ABT19</f>
        <v/>
      </c>
      <c r="ABV19" s="82">
        <f>ABU19</f>
        <v/>
      </c>
      <c r="ABW19" s="82">
        <f>ABV19</f>
        <v/>
      </c>
      <c r="ABX19" s="82">
        <f>ABW19</f>
        <v/>
      </c>
      <c r="ABY19" s="82">
        <f>ABX19</f>
        <v/>
      </c>
      <c r="ABZ19" s="82">
        <f>ABY19</f>
        <v/>
      </c>
      <c r="ACA19" s="82">
        <f>ABZ19</f>
        <v/>
      </c>
      <c r="ACB19" s="82">
        <f>ACA19</f>
        <v/>
      </c>
      <c r="ACC19" s="130" t="n"/>
      <c r="ACD19" s="82">
        <f>ACB19</f>
        <v/>
      </c>
      <c r="ACE19" s="82">
        <f>ACD19</f>
        <v/>
      </c>
      <c r="ACF19" s="82">
        <f>ACE19</f>
        <v/>
      </c>
      <c r="ACG19" s="82">
        <f>ACF19</f>
        <v/>
      </c>
      <c r="ACH19" s="82">
        <f>ACG19</f>
        <v/>
      </c>
      <c r="ACI19" s="82">
        <f>ACH19</f>
        <v/>
      </c>
      <c r="ACJ19" s="82">
        <f>ACI19</f>
        <v/>
      </c>
      <c r="ACK19" s="82">
        <f>ACJ19</f>
        <v/>
      </c>
      <c r="ACL19" s="82">
        <f>ACK19</f>
        <v/>
      </c>
      <c r="ACM19" s="82">
        <f>ACL19</f>
        <v/>
      </c>
      <c r="ACN19" s="82">
        <f>ACM19</f>
        <v/>
      </c>
      <c r="ACO19" s="82">
        <f>ACN19</f>
        <v/>
      </c>
      <c r="ACP19" s="82">
        <f>ACO19</f>
        <v/>
      </c>
      <c r="ACQ19" s="82">
        <f>ACP19</f>
        <v/>
      </c>
      <c r="ACR19" s="82">
        <f>ACQ19</f>
        <v/>
      </c>
      <c r="ACS19" s="82">
        <f>ACR19</f>
        <v/>
      </c>
      <c r="ACT19" s="82">
        <f>ACS19</f>
        <v/>
      </c>
      <c r="ACU19" s="82">
        <f>ACT19</f>
        <v/>
      </c>
      <c r="ACV19" s="82">
        <f>ACU19</f>
        <v/>
      </c>
      <c r="ACW19" s="82">
        <f>ACV19</f>
        <v/>
      </c>
      <c r="ACX19" s="82">
        <f>ACW19</f>
        <v/>
      </c>
      <c r="ACY19" s="82">
        <f>ACX19</f>
        <v/>
      </c>
      <c r="ACZ19" s="82">
        <f>ACY19</f>
        <v/>
      </c>
      <c r="ADA19" s="82">
        <f>ACZ19</f>
        <v/>
      </c>
      <c r="ADB19" s="82">
        <f>ADA19</f>
        <v/>
      </c>
      <c r="ADC19" s="82">
        <f>ADB19</f>
        <v/>
      </c>
      <c r="ADD19" s="82">
        <f>ADC19</f>
        <v/>
      </c>
      <c r="ADE19" s="82">
        <f>ADD19</f>
        <v/>
      </c>
      <c r="ADF19" s="82">
        <f>ADE19</f>
        <v/>
      </c>
      <c r="ADG19" s="82">
        <f>ADF19</f>
        <v/>
      </c>
      <c r="ADH19" s="82">
        <f>ADG19</f>
        <v/>
      </c>
      <c r="ADI19" s="130" t="n"/>
      <c r="ADJ19" s="82">
        <f>ADH19</f>
        <v/>
      </c>
      <c r="ADK19" s="82">
        <f>ADJ19</f>
        <v/>
      </c>
      <c r="ADL19" s="82">
        <f>ADK19</f>
        <v/>
      </c>
      <c r="ADM19" s="82">
        <f>ADL19</f>
        <v/>
      </c>
      <c r="ADN19" s="82">
        <f>ADM19</f>
        <v/>
      </c>
      <c r="ADO19" s="82">
        <f>ADN19</f>
        <v/>
      </c>
      <c r="ADP19" s="82">
        <f>ADO19</f>
        <v/>
      </c>
      <c r="ADQ19" s="82">
        <f>ADP19</f>
        <v/>
      </c>
      <c r="ADR19" s="82">
        <f>ADQ19</f>
        <v/>
      </c>
      <c r="ADS19" s="82">
        <f>ADR19</f>
        <v/>
      </c>
      <c r="ADT19" s="82">
        <f>ADS19</f>
        <v/>
      </c>
      <c r="ADU19" s="82">
        <f>ADT19</f>
        <v/>
      </c>
      <c r="ADV19" s="82">
        <f>ADU19</f>
        <v/>
      </c>
      <c r="ADW19" s="82">
        <f>ADV19</f>
        <v/>
      </c>
      <c r="ADX19" s="82">
        <f>ADW19</f>
        <v/>
      </c>
      <c r="ADY19" s="82">
        <f>ADX19</f>
        <v/>
      </c>
      <c r="ADZ19" s="82">
        <f>ADY19</f>
        <v/>
      </c>
      <c r="AEA19" s="82">
        <f>ADZ19</f>
        <v/>
      </c>
      <c r="AEB19" s="82">
        <f>AEA19</f>
        <v/>
      </c>
      <c r="AEC19" s="82">
        <f>AEB19</f>
        <v/>
      </c>
      <c r="AED19" s="82">
        <f>AEC19</f>
        <v/>
      </c>
      <c r="AEE19" s="82">
        <f>AED19</f>
        <v/>
      </c>
      <c r="AEF19" s="82">
        <f>AEE19</f>
        <v/>
      </c>
      <c r="AEG19" s="82">
        <f>AEF19</f>
        <v/>
      </c>
      <c r="AEH19" s="82">
        <f>AEG19</f>
        <v/>
      </c>
      <c r="AEI19" s="82">
        <f>AEH19</f>
        <v/>
      </c>
      <c r="AEJ19" s="82">
        <f>AEI19</f>
        <v/>
      </c>
      <c r="AEK19" s="82">
        <f>AEJ19</f>
        <v/>
      </c>
      <c r="AEL19" s="82">
        <f>AEK19</f>
        <v/>
      </c>
      <c r="AEM19" s="82">
        <f>AEL19</f>
        <v/>
      </c>
      <c r="AEN19" s="130" t="n"/>
      <c r="AEO19" s="82">
        <f>AEM19</f>
        <v/>
      </c>
      <c r="AEP19" s="82">
        <f>AEO19</f>
        <v/>
      </c>
      <c r="AEQ19" s="82">
        <f>AEP19</f>
        <v/>
      </c>
      <c r="AER19" s="82">
        <f>AEQ19</f>
        <v/>
      </c>
      <c r="AES19" s="82">
        <f>AER19</f>
        <v/>
      </c>
      <c r="AET19" s="82">
        <f>AES19</f>
        <v/>
      </c>
      <c r="AEU19" s="82">
        <f>AET19</f>
        <v/>
      </c>
      <c r="AEV19" s="82">
        <f>AEU19</f>
        <v/>
      </c>
      <c r="AEW19" s="82">
        <f>AEV19+200000</f>
        <v/>
      </c>
      <c r="AEX19" s="82">
        <f>AEW19</f>
        <v/>
      </c>
      <c r="AEY19" s="82">
        <f>AEX19</f>
        <v/>
      </c>
      <c r="AEZ19" s="82">
        <f>AEY19</f>
        <v/>
      </c>
      <c r="AFA19" s="82">
        <f>AEZ19</f>
        <v/>
      </c>
      <c r="AFB19" s="82">
        <f>AFA19</f>
        <v/>
      </c>
      <c r="AFC19" s="82">
        <f>AFB19</f>
        <v/>
      </c>
      <c r="AFD19" s="82">
        <f>AFC19</f>
        <v/>
      </c>
      <c r="AFE19" s="82">
        <f>AFD19</f>
        <v/>
      </c>
      <c r="AFF19" s="82">
        <f>AFE19</f>
        <v/>
      </c>
      <c r="AFG19" s="82">
        <f>AFF19</f>
        <v/>
      </c>
      <c r="AFH19" s="82">
        <f>AFG19</f>
        <v/>
      </c>
      <c r="AFI19" s="82">
        <f>AFH19</f>
        <v/>
      </c>
      <c r="AFJ19" s="82">
        <f>AFI19</f>
        <v/>
      </c>
      <c r="AFK19" s="82">
        <f>AFJ19</f>
        <v/>
      </c>
      <c r="AFL19" s="82">
        <f>AFK19</f>
        <v/>
      </c>
      <c r="AFM19" s="82">
        <f>AFL19</f>
        <v/>
      </c>
      <c r="AFN19" s="82">
        <f>AFM19</f>
        <v/>
      </c>
      <c r="AFO19" s="82">
        <f>AFN19</f>
        <v/>
      </c>
      <c r="AFP19" s="82">
        <f>AFO19</f>
        <v/>
      </c>
      <c r="AFQ19" s="82">
        <f>AFP19</f>
        <v/>
      </c>
      <c r="AFR19" s="82">
        <f>AFQ19</f>
        <v/>
      </c>
      <c r="AFS19" s="82">
        <f>AFR19</f>
        <v/>
      </c>
      <c r="AFT19" s="130" t="n"/>
      <c r="AFU19" s="82">
        <f>AFS19</f>
        <v/>
      </c>
      <c r="AFV19" s="82">
        <f>AFU19</f>
        <v/>
      </c>
      <c r="AFW19" s="82">
        <f>AFV19</f>
        <v/>
      </c>
      <c r="AFX19" s="82">
        <f>AFW19</f>
        <v/>
      </c>
      <c r="AFY19" s="82">
        <f>AFX19-200000</f>
        <v/>
      </c>
      <c r="AFZ19" s="82">
        <f>AFY19</f>
        <v/>
      </c>
      <c r="AGA19" s="82">
        <f>AFZ19</f>
        <v/>
      </c>
      <c r="AGB19" s="82">
        <f>AGA19</f>
        <v/>
      </c>
      <c r="AGC19" s="82">
        <f>AGB19</f>
        <v/>
      </c>
      <c r="AGD19" s="82" t="n">
        <v>0</v>
      </c>
      <c r="AGE19" s="82">
        <f>AGD19</f>
        <v/>
      </c>
      <c r="AGF19" s="82">
        <f>AGE19</f>
        <v/>
      </c>
      <c r="AGG19" s="82">
        <f>AGF19</f>
        <v/>
      </c>
      <c r="AGH19" s="82">
        <f>AGG19</f>
        <v/>
      </c>
      <c r="AGI19" s="82">
        <f>AGH19</f>
        <v/>
      </c>
      <c r="AGJ19" s="82">
        <f>AGI19</f>
        <v/>
      </c>
      <c r="AGK19" s="82">
        <f>AGJ19</f>
        <v/>
      </c>
      <c r="AGL19" s="82">
        <f>AGK19</f>
        <v/>
      </c>
      <c r="AGM19" s="82">
        <f>AGL19</f>
        <v/>
      </c>
      <c r="AGN19" s="82">
        <f>AGM19</f>
        <v/>
      </c>
      <c r="AGO19" s="82">
        <f>AGN19</f>
        <v/>
      </c>
      <c r="AGP19" s="82">
        <f>AGO19</f>
        <v/>
      </c>
      <c r="AGQ19" s="82">
        <f>AGP19</f>
        <v/>
      </c>
      <c r="AGR19" s="82">
        <f>AGQ19</f>
        <v/>
      </c>
      <c r="AGS19" s="82">
        <f>AGR19</f>
        <v/>
      </c>
      <c r="AGT19" s="82">
        <f>AGS19</f>
        <v/>
      </c>
      <c r="AGU19" s="82">
        <f>AGT19</f>
        <v/>
      </c>
      <c r="AGV19" s="82">
        <f>AGU19</f>
        <v/>
      </c>
      <c r="AGW19" s="82">
        <f>AGV19</f>
        <v/>
      </c>
      <c r="AGX19" s="82">
        <f>AGW19</f>
        <v/>
      </c>
      <c r="AGY19" s="133" t="n"/>
      <c r="AGZ19" s="82">
        <f>AGY19</f>
        <v/>
      </c>
      <c r="AHA19" s="82">
        <f>AGZ19</f>
        <v/>
      </c>
      <c r="AHB19" s="82">
        <f>AHA19</f>
        <v/>
      </c>
      <c r="AHC19" s="82">
        <f>AHB19</f>
        <v/>
      </c>
      <c r="AHD19" s="82">
        <f>AHC19</f>
        <v/>
      </c>
      <c r="AHE19" s="82">
        <f>AHD19</f>
        <v/>
      </c>
      <c r="AHF19" s="82">
        <f>AHE19</f>
        <v/>
      </c>
      <c r="AHG19" s="82">
        <f>AHF19</f>
        <v/>
      </c>
      <c r="AHH19" s="82">
        <f>AHG19</f>
        <v/>
      </c>
      <c r="AHI19" s="82">
        <f>AHH19</f>
        <v/>
      </c>
      <c r="AHJ19" s="82">
        <f>AHI19</f>
        <v/>
      </c>
      <c r="AHK19" s="82">
        <f>AHJ19</f>
        <v/>
      </c>
      <c r="AHL19" s="82">
        <f>AHK19</f>
        <v/>
      </c>
      <c r="AHM19" s="82">
        <f>AHL19</f>
        <v/>
      </c>
      <c r="AHN19" s="82">
        <f>AHM19</f>
        <v/>
      </c>
      <c r="AHO19" s="82">
        <f>AHN19</f>
        <v/>
      </c>
      <c r="AHP19" s="82">
        <f>AHO19</f>
        <v/>
      </c>
      <c r="AHQ19" s="82">
        <f>AHP19</f>
        <v/>
      </c>
      <c r="AHR19" s="82">
        <f>AHQ19</f>
        <v/>
      </c>
      <c r="AHS19" s="82">
        <f>AHR19</f>
        <v/>
      </c>
      <c r="AHT19" s="82">
        <f>AHS19</f>
        <v/>
      </c>
      <c r="AHU19" s="82">
        <f>AHT19</f>
        <v/>
      </c>
      <c r="AHV19" s="82">
        <f>AHU19</f>
        <v/>
      </c>
      <c r="AHW19" s="82">
        <f>AHV19</f>
        <v/>
      </c>
      <c r="AHX19" s="82">
        <f>AHW19</f>
        <v/>
      </c>
      <c r="AHY19" s="82">
        <f>AHX19</f>
        <v/>
      </c>
      <c r="AHZ19" s="82">
        <f>AHY19</f>
        <v/>
      </c>
      <c r="AIA19" s="82">
        <f>AHZ19</f>
        <v/>
      </c>
      <c r="AIB19" s="82">
        <f>AIA19</f>
        <v/>
      </c>
      <c r="AIC19" s="82">
        <f>AIB19</f>
        <v/>
      </c>
      <c r="AID19" s="82">
        <f>AIC19</f>
        <v/>
      </c>
      <c r="AIE19" s="130" t="n"/>
      <c r="AIF19" s="82">
        <f>AIE19</f>
        <v/>
      </c>
      <c r="AIG19" s="82">
        <f>AIF19</f>
        <v/>
      </c>
      <c r="AIH19" s="82">
        <f>AIG19</f>
        <v/>
      </c>
      <c r="AII19" s="82">
        <f>AIH19</f>
        <v/>
      </c>
      <c r="AIJ19" s="82">
        <f>AII19</f>
        <v/>
      </c>
      <c r="AIK19" s="82">
        <f>AIJ19</f>
        <v/>
      </c>
      <c r="AIL19" s="82">
        <f>AIK19</f>
        <v/>
      </c>
      <c r="AIM19" s="82">
        <f>AIL19</f>
        <v/>
      </c>
      <c r="AIN19" s="82">
        <f>AIM19</f>
        <v/>
      </c>
      <c r="AIO19" s="82">
        <f>AIN19</f>
        <v/>
      </c>
      <c r="AIP19" s="82">
        <f>AIO19</f>
        <v/>
      </c>
      <c r="AIQ19" s="82">
        <f>AIP19</f>
        <v/>
      </c>
      <c r="AIR19" s="82">
        <f>AIQ19</f>
        <v/>
      </c>
      <c r="AIS19" s="82">
        <f>AIR19</f>
        <v/>
      </c>
      <c r="AIT19" s="82">
        <f>AIS19</f>
        <v/>
      </c>
      <c r="AIU19" s="82">
        <f>AIT19</f>
        <v/>
      </c>
      <c r="AIV19" s="82">
        <f>AIU19</f>
        <v/>
      </c>
      <c r="AIW19" s="82">
        <f>AIV19</f>
        <v/>
      </c>
      <c r="AIX19" s="82">
        <f>AIW19</f>
        <v/>
      </c>
      <c r="AIY19" s="82">
        <f>AIX19</f>
        <v/>
      </c>
      <c r="AIZ19" s="82">
        <f>AIY19</f>
        <v/>
      </c>
      <c r="AJA19" s="82">
        <f>AIZ19</f>
        <v/>
      </c>
      <c r="AJB19" s="82">
        <f>AJA19</f>
        <v/>
      </c>
      <c r="AJC19" s="82">
        <f>AJB19</f>
        <v/>
      </c>
      <c r="AJD19" s="82">
        <f>AJC19</f>
        <v/>
      </c>
      <c r="AJE19" s="82">
        <f>AJD19</f>
        <v/>
      </c>
      <c r="AJF19" s="82">
        <f>AJE19</f>
        <v/>
      </c>
      <c r="AJG19" s="82">
        <f>AJF19</f>
        <v/>
      </c>
      <c r="AJH19" s="82">
        <f>AJG19</f>
        <v/>
      </c>
      <c r="AJI19" s="82">
        <f>AJH19</f>
        <v/>
      </c>
      <c r="AJJ19" s="82">
        <f>AJI19</f>
        <v/>
      </c>
      <c r="AJK19" s="145" t="n"/>
      <c r="AJL19" s="82">
        <f>AJK19</f>
        <v/>
      </c>
      <c r="AJM19" s="82">
        <f>AJL19</f>
        <v/>
      </c>
      <c r="AJN19" s="82">
        <f>AJM19</f>
        <v/>
      </c>
      <c r="AJO19" s="82">
        <f>AJN19</f>
        <v/>
      </c>
      <c r="AJP19" s="82">
        <f>AJO19</f>
        <v/>
      </c>
      <c r="AJQ19" s="82">
        <f>AJP19</f>
        <v/>
      </c>
      <c r="AJR19" s="82">
        <f>AJQ19</f>
        <v/>
      </c>
      <c r="AJS19" s="82">
        <f>AJR19</f>
        <v/>
      </c>
      <c r="AJT19" s="82">
        <f>AJS19</f>
        <v/>
      </c>
      <c r="AJU19" s="82">
        <f>AJT19</f>
        <v/>
      </c>
      <c r="AJV19" s="82">
        <f>AJU19</f>
        <v/>
      </c>
      <c r="AJW19" s="82">
        <f>AJV19</f>
        <v/>
      </c>
      <c r="AJX19" s="82">
        <f>AJW19</f>
        <v/>
      </c>
      <c r="AJY19" s="82">
        <f>AJX19</f>
        <v/>
      </c>
      <c r="AJZ19" s="82">
        <f>AJY19</f>
        <v/>
      </c>
      <c r="AKA19" s="82">
        <f>AJZ19</f>
        <v/>
      </c>
      <c r="AKB19" s="82">
        <f>AKA19</f>
        <v/>
      </c>
      <c r="AKC19" s="82">
        <f>AKB19</f>
        <v/>
      </c>
      <c r="AKD19" s="82">
        <f>AKC19</f>
        <v/>
      </c>
      <c r="AKE19" s="82">
        <f>AKD19</f>
        <v/>
      </c>
      <c r="AKF19" s="82">
        <f>AKE19</f>
        <v/>
      </c>
      <c r="AKG19" s="82">
        <f>AKF19</f>
        <v/>
      </c>
      <c r="AKH19" s="82">
        <f>AKG19</f>
        <v/>
      </c>
      <c r="AKI19" s="82">
        <f>AKH19</f>
        <v/>
      </c>
      <c r="AKJ19" s="82">
        <f>AKI19</f>
        <v/>
      </c>
      <c r="AKK19" s="82">
        <f>AKJ19</f>
        <v/>
      </c>
      <c r="AKL19" s="82">
        <f>AKK19</f>
        <v/>
      </c>
      <c r="AKM19" s="82">
        <f>AKL19</f>
        <v/>
      </c>
      <c r="AKN19" s="112" t="n"/>
      <c r="AKO19" s="82">
        <f>AKN19</f>
        <v/>
      </c>
      <c r="AKP19" s="82">
        <f>AKO19</f>
        <v/>
      </c>
      <c r="AKQ19" s="82">
        <f>AKP19</f>
        <v/>
      </c>
      <c r="AKR19" s="82">
        <f>AKQ19</f>
        <v/>
      </c>
      <c r="AKS19" s="82">
        <f>AKR19</f>
        <v/>
      </c>
      <c r="AKT19" s="82">
        <f>AKS19</f>
        <v/>
      </c>
      <c r="AKU19" s="82">
        <f>AKT19</f>
        <v/>
      </c>
      <c r="AKV19" s="82">
        <f>AKU19</f>
        <v/>
      </c>
      <c r="AKW19" s="82">
        <f>AKV19</f>
        <v/>
      </c>
      <c r="AKX19" s="82">
        <f>AKW19</f>
        <v/>
      </c>
      <c r="AKY19" s="82">
        <f>AKX19</f>
        <v/>
      </c>
      <c r="AKZ19" s="82">
        <f>AKY19</f>
        <v/>
      </c>
      <c r="ALA19" s="82">
        <f>AKZ19</f>
        <v/>
      </c>
      <c r="ALB19" s="82">
        <f>ALA19</f>
        <v/>
      </c>
      <c r="ALC19" s="82">
        <f>ALB19</f>
        <v/>
      </c>
      <c r="ALD19" s="82">
        <f>ALC19</f>
        <v/>
      </c>
      <c r="ALE19" s="82">
        <f>ALD19</f>
        <v/>
      </c>
      <c r="ALF19" s="82">
        <f>ALE19</f>
        <v/>
      </c>
      <c r="ALG19" s="82">
        <f>ALF19</f>
        <v/>
      </c>
      <c r="ALH19" s="82">
        <f>ALG19</f>
        <v/>
      </c>
      <c r="ALI19" s="82">
        <f>ALH19</f>
        <v/>
      </c>
      <c r="ALJ19" s="82">
        <f>ALI19</f>
        <v/>
      </c>
      <c r="ALK19" s="82">
        <f>ALJ19</f>
        <v/>
      </c>
      <c r="ALL19" s="82">
        <f>ALK19</f>
        <v/>
      </c>
      <c r="ALM19" s="82">
        <f>ALL19</f>
        <v/>
      </c>
      <c r="ALN19" s="82">
        <f>ALM19</f>
        <v/>
      </c>
      <c r="ALO19" s="82">
        <f>ALN19</f>
        <v/>
      </c>
      <c r="ALP19" s="82">
        <f>ALO19</f>
        <v/>
      </c>
      <c r="ALQ19" s="82">
        <f>ALP19</f>
        <v/>
      </c>
      <c r="ALR19" s="82">
        <f>ALQ19</f>
        <v/>
      </c>
      <c r="ALS19" s="82">
        <f>ALR19</f>
        <v/>
      </c>
      <c r="ALT19" s="130" t="n"/>
      <c r="ALU19" s="82">
        <f>ALT19</f>
        <v/>
      </c>
      <c r="ALV19" s="82">
        <f>ALU19</f>
        <v/>
      </c>
      <c r="ALW19" s="82">
        <f>ALV19</f>
        <v/>
      </c>
      <c r="ALX19" s="82">
        <f>ALW19</f>
        <v/>
      </c>
      <c r="ALY19" s="82">
        <f>ALX19</f>
        <v/>
      </c>
      <c r="ALZ19" s="82">
        <f>ALY19</f>
        <v/>
      </c>
      <c r="AMA19" s="82">
        <f>ALZ19</f>
        <v/>
      </c>
      <c r="AMB19" s="82">
        <f>AMA19</f>
        <v/>
      </c>
      <c r="AMC19" s="82">
        <f>AMB19</f>
        <v/>
      </c>
      <c r="AMD19" s="82">
        <f>AMC19</f>
        <v/>
      </c>
      <c r="AME19" s="82">
        <f>AMD19</f>
        <v/>
      </c>
      <c r="AMF19" s="82">
        <f>AME19</f>
        <v/>
      </c>
      <c r="AMG19" s="82" t="n">
        <v>150000</v>
      </c>
      <c r="AMH19" s="82">
        <f>AMG19</f>
        <v/>
      </c>
      <c r="AMI19" s="82">
        <f>AMH19</f>
        <v/>
      </c>
      <c r="AMJ19" s="82">
        <f>AMI19</f>
        <v/>
      </c>
      <c r="AMK19" s="82">
        <f>AMJ19</f>
        <v/>
      </c>
      <c r="AML19" s="82">
        <f>AMK19</f>
        <v/>
      </c>
      <c r="AMM19" s="82">
        <f>AML19</f>
        <v/>
      </c>
      <c r="AMN19" s="82">
        <f>AMM19</f>
        <v/>
      </c>
      <c r="AMO19" s="82">
        <f>AMN19</f>
        <v/>
      </c>
      <c r="AMP19" s="82">
        <f>AMO19</f>
        <v/>
      </c>
      <c r="AMQ19" s="82">
        <f>AMP19</f>
        <v/>
      </c>
      <c r="AMR19" s="82">
        <f>AMQ19</f>
        <v/>
      </c>
      <c r="AMS19" s="82">
        <f>AMR19</f>
        <v/>
      </c>
      <c r="AMT19" s="82">
        <f>AMS19</f>
        <v/>
      </c>
      <c r="AMU19" s="82">
        <f>AMT19</f>
        <v/>
      </c>
      <c r="AMV19" s="82">
        <f>AMU19</f>
        <v/>
      </c>
      <c r="AMW19" s="82">
        <f>AMV19</f>
        <v/>
      </c>
      <c r="AMX19" s="82">
        <f>AMW19</f>
        <v/>
      </c>
      <c r="AMY19" s="130" t="n"/>
      <c r="AMZ19" s="82">
        <f>AMX19</f>
        <v/>
      </c>
      <c r="ANA19" s="82">
        <f>AMZ19</f>
        <v/>
      </c>
      <c r="ANB19" s="82">
        <f>ANA19</f>
        <v/>
      </c>
      <c r="ANC19" s="82">
        <f>ANB19</f>
        <v/>
      </c>
      <c r="AND19" s="82">
        <f>ANC19-50000</f>
        <v/>
      </c>
      <c r="ANE19" s="82">
        <f>AND19</f>
        <v/>
      </c>
      <c r="ANF19" s="82">
        <f>ANE19</f>
        <v/>
      </c>
      <c r="ANG19" s="82">
        <f>ANF19</f>
        <v/>
      </c>
      <c r="ANH19" s="82">
        <f>ANG19</f>
        <v/>
      </c>
      <c r="ANI19" s="82">
        <f>ANH19</f>
        <v/>
      </c>
      <c r="ANJ19" s="82">
        <f>ANI19</f>
        <v/>
      </c>
      <c r="ANK19" s="82">
        <f>ANJ19</f>
        <v/>
      </c>
      <c r="ANL19" s="82">
        <f>ANK19</f>
        <v/>
      </c>
      <c r="ANM19" s="82">
        <f>ANL19</f>
        <v/>
      </c>
      <c r="ANN19" s="82">
        <f>ANM19</f>
        <v/>
      </c>
      <c r="ANO19" s="82">
        <f>ANN19</f>
        <v/>
      </c>
      <c r="ANP19" s="82">
        <f>ANO19</f>
        <v/>
      </c>
      <c r="ANQ19" s="82">
        <f>ANP19</f>
        <v/>
      </c>
      <c r="ANR19" s="82">
        <f>ANQ19</f>
        <v/>
      </c>
      <c r="ANS19" s="82">
        <f>ANR19</f>
        <v/>
      </c>
      <c r="ANT19" s="82">
        <f>ANS19</f>
        <v/>
      </c>
      <c r="ANU19" s="82">
        <f>ANT19</f>
        <v/>
      </c>
      <c r="ANV19" s="82">
        <f>ANU19</f>
        <v/>
      </c>
      <c r="ANW19" s="82">
        <f>ANV19</f>
        <v/>
      </c>
      <c r="ANX19" s="82">
        <f>ANW19</f>
        <v/>
      </c>
      <c r="ANY19" s="82">
        <f>ANX19</f>
        <v/>
      </c>
      <c r="ANZ19" s="82">
        <f>ANY19</f>
        <v/>
      </c>
      <c r="AOA19" s="82">
        <f>ANZ19</f>
        <v/>
      </c>
      <c r="AOB19" s="82">
        <f>AOA19</f>
        <v/>
      </c>
      <c r="AOC19" s="82">
        <f>AOB19</f>
        <v/>
      </c>
    </row>
    <row r="20">
      <c r="B20" t="inlineStr">
        <is>
          <t>Brian</t>
        </is>
      </c>
      <c r="C20" s="52" t="n">
        <v>1582416</v>
      </c>
      <c r="D20" s="52">
        <f>C20</f>
        <v/>
      </c>
      <c r="E20" s="52">
        <f>D20</f>
        <v/>
      </c>
      <c r="F20" s="52">
        <f>E20</f>
        <v/>
      </c>
      <c r="G20" s="52">
        <f>F20</f>
        <v/>
      </c>
      <c r="H20" s="52">
        <f>G20</f>
        <v/>
      </c>
      <c r="I20" s="52">
        <f>H20</f>
        <v/>
      </c>
      <c r="J20" s="52">
        <f>I20</f>
        <v/>
      </c>
      <c r="K20" s="52">
        <f>J20</f>
        <v/>
      </c>
      <c r="L20" s="52">
        <f>K20</f>
        <v/>
      </c>
      <c r="M20" s="52">
        <f>L20</f>
        <v/>
      </c>
      <c r="N20" s="52">
        <f>M20</f>
        <v/>
      </c>
      <c r="O20" s="52">
        <f>N20</f>
        <v/>
      </c>
      <c r="P20" s="52">
        <f>O20</f>
        <v/>
      </c>
      <c r="Q20" s="52">
        <f>P20</f>
        <v/>
      </c>
      <c r="R20" s="52">
        <f>Q20</f>
        <v/>
      </c>
      <c r="S20" s="52">
        <f>R20</f>
        <v/>
      </c>
      <c r="T20" s="52">
        <f>S20</f>
        <v/>
      </c>
      <c r="U20" s="52">
        <f>T20</f>
        <v/>
      </c>
      <c r="V20" s="52">
        <f>U20</f>
        <v/>
      </c>
      <c r="W20" s="52">
        <f>V20</f>
        <v/>
      </c>
      <c r="X20" s="52">
        <f>W20</f>
        <v/>
      </c>
      <c r="Y20" s="52">
        <f>X20</f>
        <v/>
      </c>
      <c r="Z20" s="52">
        <f>Y20</f>
        <v/>
      </c>
      <c r="AA20" s="52">
        <f>Z20</f>
        <v/>
      </c>
      <c r="AB20" s="52">
        <f>AA20</f>
        <v/>
      </c>
      <c r="AC20" s="52">
        <f>AB20</f>
        <v/>
      </c>
      <c r="AD20" s="52">
        <f>AC20</f>
        <v/>
      </c>
      <c r="AE20" s="52">
        <f>AD20</f>
        <v/>
      </c>
      <c r="AF20" s="52">
        <f>AE20</f>
        <v/>
      </c>
      <c r="AG20" s="52">
        <f>AF20</f>
        <v/>
      </c>
      <c r="AH20" s="98">
        <f>AG20</f>
        <v/>
      </c>
      <c r="AI20" s="52">
        <f>AG20</f>
        <v/>
      </c>
      <c r="AJ20" s="52">
        <f>AI20</f>
        <v/>
      </c>
      <c r="AK20" s="52">
        <f>AJ20</f>
        <v/>
      </c>
      <c r="AL20" s="52">
        <f>AK20</f>
        <v/>
      </c>
      <c r="AM20" s="52">
        <f>AL20</f>
        <v/>
      </c>
      <c r="AN20" s="52">
        <f>AM20</f>
        <v/>
      </c>
      <c r="AO20" s="52">
        <f>AN20</f>
        <v/>
      </c>
      <c r="AP20" s="52">
        <f>AO20</f>
        <v/>
      </c>
      <c r="AQ20" s="52">
        <f>AP20</f>
        <v/>
      </c>
      <c r="AR20" s="52">
        <f>AQ20</f>
        <v/>
      </c>
      <c r="AS20" s="52">
        <f>AR20</f>
        <v/>
      </c>
      <c r="AT20" s="52">
        <f>AS20</f>
        <v/>
      </c>
      <c r="AU20" s="52">
        <f>AT20</f>
        <v/>
      </c>
      <c r="AV20" s="52">
        <f>AU20</f>
        <v/>
      </c>
      <c r="AW20" s="52">
        <f>AV20</f>
        <v/>
      </c>
      <c r="AX20" s="52">
        <f>AW20</f>
        <v/>
      </c>
      <c r="AY20" s="52">
        <f>AX20</f>
        <v/>
      </c>
      <c r="AZ20" s="52">
        <f>AY20</f>
        <v/>
      </c>
      <c r="BA20" s="52">
        <f>AZ20</f>
        <v/>
      </c>
      <c r="BB20" s="52">
        <f>BA20</f>
        <v/>
      </c>
      <c r="BC20" s="52">
        <f>BB20</f>
        <v/>
      </c>
      <c r="BD20" s="52">
        <f>BC20</f>
        <v/>
      </c>
      <c r="BE20" s="52">
        <f>BD20</f>
        <v/>
      </c>
      <c r="BF20" s="52">
        <f>BE20</f>
        <v/>
      </c>
      <c r="BG20" s="52">
        <f>BF20</f>
        <v/>
      </c>
      <c r="BH20" s="52">
        <f>BG20</f>
        <v/>
      </c>
      <c r="BI20" s="52">
        <f>BH20</f>
        <v/>
      </c>
      <c r="BJ20" s="52">
        <f>BI20</f>
        <v/>
      </c>
      <c r="BK20" s="52">
        <f>BJ20</f>
        <v/>
      </c>
      <c r="BL20" s="52">
        <f>BK20</f>
        <v/>
      </c>
      <c r="BM20" s="106">
        <f>BL20</f>
        <v/>
      </c>
      <c r="BN20" s="52">
        <f>BM20</f>
        <v/>
      </c>
      <c r="BO20" s="52">
        <f>BN20</f>
        <v/>
      </c>
      <c r="BP20" s="52">
        <f>BO20</f>
        <v/>
      </c>
      <c r="BQ20" s="52">
        <f>BP20</f>
        <v/>
      </c>
      <c r="BR20" s="52">
        <f>BQ20</f>
        <v/>
      </c>
      <c r="BS20" s="52">
        <f>BR20</f>
        <v/>
      </c>
      <c r="BT20" s="52">
        <f>BS20</f>
        <v/>
      </c>
      <c r="BU20" s="52">
        <f>BT20</f>
        <v/>
      </c>
      <c r="BV20" s="52">
        <f>BU20</f>
        <v/>
      </c>
      <c r="BW20" s="52">
        <f>BV20</f>
        <v/>
      </c>
      <c r="BX20" s="52">
        <f>BW20</f>
        <v/>
      </c>
      <c r="BY20" s="52">
        <f>BX20</f>
        <v/>
      </c>
      <c r="BZ20" s="52">
        <f>BY20</f>
        <v/>
      </c>
      <c r="CA20" s="52">
        <f>BZ20</f>
        <v/>
      </c>
      <c r="CB20" s="52">
        <f>CA20</f>
        <v/>
      </c>
      <c r="CC20" s="52">
        <f>CB20</f>
        <v/>
      </c>
      <c r="CD20" s="52">
        <f>CC20</f>
        <v/>
      </c>
      <c r="CE20" s="52">
        <f>CD20</f>
        <v/>
      </c>
      <c r="CF20" s="52">
        <f>CE20</f>
        <v/>
      </c>
      <c r="CG20" s="52">
        <f>CF20</f>
        <v/>
      </c>
      <c r="CH20" s="52">
        <f>CG20</f>
        <v/>
      </c>
      <c r="CI20" s="52">
        <f>CH20</f>
        <v/>
      </c>
      <c r="CJ20" s="52">
        <f>CI20</f>
        <v/>
      </c>
      <c r="CK20" s="52">
        <f>CJ20</f>
        <v/>
      </c>
      <c r="CL20" s="52">
        <f>CK20</f>
        <v/>
      </c>
      <c r="CM20" s="52">
        <f>CL20</f>
        <v/>
      </c>
      <c r="CN20" s="52">
        <f>CM20</f>
        <v/>
      </c>
      <c r="CO20" s="52">
        <f>CN20</f>
        <v/>
      </c>
      <c r="CP20" s="52">
        <f>CO20</f>
        <v/>
      </c>
      <c r="CQ20" s="52">
        <f>CP20</f>
        <v/>
      </c>
      <c r="CR20" s="52">
        <f>CQ20</f>
        <v/>
      </c>
      <c r="CT20" s="82">
        <f>CR20</f>
        <v/>
      </c>
      <c r="CU20" s="82">
        <f>CT20</f>
        <v/>
      </c>
      <c r="CV20" s="82">
        <f>CT20</f>
        <v/>
      </c>
      <c r="CW20" s="82">
        <f>CU20</f>
        <v/>
      </c>
      <c r="CX20" s="82">
        <f>CV20</f>
        <v/>
      </c>
      <c r="CY20" s="82">
        <f>CW20</f>
        <v/>
      </c>
      <c r="CZ20" s="82">
        <f>CX20</f>
        <v/>
      </c>
      <c r="DA20" s="82">
        <f>CY20</f>
        <v/>
      </c>
      <c r="DB20" s="82">
        <f>CZ20</f>
        <v/>
      </c>
      <c r="DC20" s="82">
        <f>DA20</f>
        <v/>
      </c>
      <c r="DD20" s="82">
        <f>DB20</f>
        <v/>
      </c>
      <c r="DE20" s="82">
        <f>DC20</f>
        <v/>
      </c>
      <c r="DF20" s="82">
        <f>DD20</f>
        <v/>
      </c>
      <c r="DG20" s="82">
        <f>DE20</f>
        <v/>
      </c>
      <c r="DH20" s="82">
        <f>DF20</f>
        <v/>
      </c>
      <c r="DI20" s="82">
        <f>DG20</f>
        <v/>
      </c>
      <c r="DJ20" s="82">
        <f>DH20</f>
        <v/>
      </c>
      <c r="DK20" s="82">
        <f>DI20</f>
        <v/>
      </c>
      <c r="DL20" s="82">
        <f>DJ20</f>
        <v/>
      </c>
      <c r="DM20" s="82">
        <f>DK20</f>
        <v/>
      </c>
      <c r="DN20" s="82">
        <f>DL20</f>
        <v/>
      </c>
      <c r="DO20" s="82">
        <f>DM20</f>
        <v/>
      </c>
      <c r="DP20" s="82">
        <f>DN20</f>
        <v/>
      </c>
      <c r="DQ20" s="82">
        <f>DO20</f>
        <v/>
      </c>
      <c r="DR20" s="82">
        <f>DP20</f>
        <v/>
      </c>
      <c r="DS20" s="82">
        <f>DQ20</f>
        <v/>
      </c>
      <c r="DT20" s="82">
        <f>DR20</f>
        <v/>
      </c>
      <c r="DU20" s="82">
        <f>DS20</f>
        <v/>
      </c>
      <c r="DV20" s="82">
        <f>DT20</f>
        <v/>
      </c>
      <c r="DW20" s="82">
        <f>DU20</f>
        <v/>
      </c>
      <c r="DX20" s="117" t="n"/>
      <c r="DY20" s="82">
        <f>DW20</f>
        <v/>
      </c>
      <c r="DZ20" s="82">
        <f>DY20</f>
        <v/>
      </c>
      <c r="EA20" s="82">
        <f>DY20</f>
        <v/>
      </c>
      <c r="EB20" s="82">
        <f>DZ20</f>
        <v/>
      </c>
      <c r="EC20" s="82">
        <f>EA20</f>
        <v/>
      </c>
      <c r="ED20" s="82">
        <f>EB20</f>
        <v/>
      </c>
      <c r="EE20" s="82">
        <f>EC20</f>
        <v/>
      </c>
      <c r="EF20" s="82">
        <f>ED20</f>
        <v/>
      </c>
      <c r="EG20" s="82">
        <f>EE20</f>
        <v/>
      </c>
      <c r="EH20" s="82">
        <f>EF20</f>
        <v/>
      </c>
      <c r="EI20" s="82">
        <f>EG20</f>
        <v/>
      </c>
      <c r="EJ20" s="82">
        <f>EH20</f>
        <v/>
      </c>
      <c r="EK20" s="82">
        <f>EI20</f>
        <v/>
      </c>
      <c r="EL20" s="82">
        <f>EJ20</f>
        <v/>
      </c>
      <c r="EM20" s="82">
        <f>EK20</f>
        <v/>
      </c>
      <c r="EN20" s="82">
        <f>EL20</f>
        <v/>
      </c>
      <c r="EO20" s="82">
        <f>EM20</f>
        <v/>
      </c>
      <c r="EP20" s="82">
        <f>EN20</f>
        <v/>
      </c>
      <c r="EQ20" s="82">
        <f>EO20</f>
        <v/>
      </c>
      <c r="ER20" s="82">
        <f>EP20</f>
        <v/>
      </c>
      <c r="ES20" s="82">
        <f>EQ20</f>
        <v/>
      </c>
      <c r="ET20" s="82">
        <f>ER20</f>
        <v/>
      </c>
      <c r="EU20" s="82">
        <f>ES20</f>
        <v/>
      </c>
      <c r="EV20" s="82">
        <f>ET20</f>
        <v/>
      </c>
      <c r="EW20" s="82">
        <f>EU20</f>
        <v/>
      </c>
      <c r="EX20" s="82">
        <f>EV20</f>
        <v/>
      </c>
      <c r="EY20" s="82">
        <f>EW20</f>
        <v/>
      </c>
      <c r="EZ20" s="82">
        <f>EX20</f>
        <v/>
      </c>
      <c r="FA20" s="82">
        <f>EY20</f>
        <v/>
      </c>
      <c r="FB20" s="82">
        <f>EZ20</f>
        <v/>
      </c>
      <c r="FC20" s="82">
        <f>FA20</f>
        <v/>
      </c>
      <c r="FD20" s="126" t="n"/>
      <c r="FE20" s="82">
        <f>FC20</f>
        <v/>
      </c>
      <c r="FF20" s="82">
        <f>FE20</f>
        <v/>
      </c>
      <c r="FG20" s="82">
        <f>FE20</f>
        <v/>
      </c>
      <c r="FH20" s="82">
        <f>FF20</f>
        <v/>
      </c>
      <c r="FI20" s="82">
        <f>FG20</f>
        <v/>
      </c>
      <c r="FJ20" s="82">
        <f>FH20</f>
        <v/>
      </c>
      <c r="FK20" s="82">
        <f>FI20</f>
        <v/>
      </c>
      <c r="FL20" s="82">
        <f>FJ20</f>
        <v/>
      </c>
      <c r="FM20" s="82">
        <f>FK20</f>
        <v/>
      </c>
      <c r="FN20" s="82">
        <f>FL20</f>
        <v/>
      </c>
      <c r="FO20" s="82">
        <f>FM20</f>
        <v/>
      </c>
      <c r="FP20" s="82">
        <f>FN20</f>
        <v/>
      </c>
      <c r="FQ20" s="82">
        <f>FO20</f>
        <v/>
      </c>
      <c r="FR20" s="82">
        <f>FP20</f>
        <v/>
      </c>
      <c r="FS20" s="82">
        <f>FQ20</f>
        <v/>
      </c>
      <c r="FT20" s="82">
        <f>FR20</f>
        <v/>
      </c>
      <c r="FU20" s="82">
        <f>FS20</f>
        <v/>
      </c>
      <c r="FV20" s="82">
        <f>FT20</f>
        <v/>
      </c>
      <c r="FW20" s="82">
        <f>FU20</f>
        <v/>
      </c>
      <c r="FX20" s="82">
        <f>FV20</f>
        <v/>
      </c>
      <c r="FY20" s="82">
        <f>FW20</f>
        <v/>
      </c>
      <c r="FZ20" s="82">
        <f>FX20</f>
        <v/>
      </c>
      <c r="GA20" s="82">
        <f>FY20</f>
        <v/>
      </c>
      <c r="GB20" s="82">
        <f>FZ20</f>
        <v/>
      </c>
      <c r="GC20" s="82">
        <f>GA20</f>
        <v/>
      </c>
      <c r="GD20" s="82">
        <f>GB20</f>
        <v/>
      </c>
      <c r="GE20" s="82">
        <f>GC20</f>
        <v/>
      </c>
      <c r="GF20" s="82">
        <f>GD20</f>
        <v/>
      </c>
      <c r="GG20" s="82">
        <f>GE20</f>
        <v/>
      </c>
      <c r="GH20" s="82">
        <f>GF20</f>
        <v/>
      </c>
      <c r="GI20" s="82">
        <f>GG20</f>
        <v/>
      </c>
      <c r="GJ20" s="130" t="n"/>
      <c r="GK20" s="82">
        <f>GI20</f>
        <v/>
      </c>
      <c r="GL20" s="82">
        <f>GK20</f>
        <v/>
      </c>
      <c r="GM20" s="82">
        <f>GK20</f>
        <v/>
      </c>
      <c r="GN20" s="82">
        <f>GL20</f>
        <v/>
      </c>
      <c r="GO20" s="82">
        <f>GM20</f>
        <v/>
      </c>
      <c r="GP20" s="82">
        <f>GN20</f>
        <v/>
      </c>
      <c r="GQ20" s="82">
        <f>GO20</f>
        <v/>
      </c>
      <c r="GR20" s="82">
        <f>GP20</f>
        <v/>
      </c>
      <c r="GS20" s="82">
        <f>GQ20</f>
        <v/>
      </c>
      <c r="GT20" s="82">
        <f>GR20</f>
        <v/>
      </c>
      <c r="GU20" s="82">
        <f>GS20</f>
        <v/>
      </c>
      <c r="GV20" s="82">
        <f>GT20</f>
        <v/>
      </c>
      <c r="GW20" s="82">
        <f>GU20</f>
        <v/>
      </c>
      <c r="GX20" s="82">
        <f>GV20</f>
        <v/>
      </c>
      <c r="GY20" s="82">
        <f>GW20</f>
        <v/>
      </c>
      <c r="GZ20" s="82">
        <f>GX20</f>
        <v/>
      </c>
      <c r="HA20" s="82">
        <f>GY20</f>
        <v/>
      </c>
      <c r="HB20" s="82">
        <f>GZ20</f>
        <v/>
      </c>
      <c r="HC20" s="82">
        <f>HA20</f>
        <v/>
      </c>
      <c r="HD20" s="82">
        <f>HB20</f>
        <v/>
      </c>
      <c r="HE20" s="82">
        <f>HC20</f>
        <v/>
      </c>
      <c r="HF20" s="82">
        <f>HD20</f>
        <v/>
      </c>
      <c r="HG20" s="82">
        <f>HE20</f>
        <v/>
      </c>
      <c r="HH20" s="82">
        <f>HF20</f>
        <v/>
      </c>
      <c r="HI20" s="82">
        <f>HG20</f>
        <v/>
      </c>
      <c r="HJ20" s="82">
        <f>HH20</f>
        <v/>
      </c>
      <c r="HK20" s="82">
        <f>HI20</f>
        <v/>
      </c>
      <c r="HL20" s="82">
        <f>HJ20</f>
        <v/>
      </c>
      <c r="HM20" s="82">
        <f>HK20</f>
        <v/>
      </c>
      <c r="HN20" s="130" t="n"/>
      <c r="HO20" s="82">
        <f>HM20</f>
        <v/>
      </c>
      <c r="HP20" s="82">
        <f>HO20</f>
        <v/>
      </c>
      <c r="HQ20" s="82">
        <f>HO20</f>
        <v/>
      </c>
      <c r="HR20" s="82">
        <f>HP20</f>
        <v/>
      </c>
      <c r="HS20" s="82">
        <f>HQ20</f>
        <v/>
      </c>
      <c r="HT20" s="82">
        <f>HR20</f>
        <v/>
      </c>
      <c r="HU20" s="82">
        <f>HS20</f>
        <v/>
      </c>
      <c r="HV20" s="82">
        <f>HT20</f>
        <v/>
      </c>
      <c r="HW20" s="82">
        <f>HU20</f>
        <v/>
      </c>
      <c r="HX20" s="82">
        <f>HV20</f>
        <v/>
      </c>
      <c r="HY20" s="82">
        <f>HW20</f>
        <v/>
      </c>
      <c r="HZ20" s="82">
        <f>HX20</f>
        <v/>
      </c>
      <c r="IA20" s="82">
        <f>HY20</f>
        <v/>
      </c>
      <c r="IB20" s="82">
        <f>HZ20</f>
        <v/>
      </c>
      <c r="IC20" s="82">
        <f>IA20</f>
        <v/>
      </c>
      <c r="ID20" s="82">
        <f>IB20</f>
        <v/>
      </c>
      <c r="IE20" s="82">
        <f>IC20</f>
        <v/>
      </c>
      <c r="IF20" s="82">
        <f>ID20</f>
        <v/>
      </c>
      <c r="IG20" s="82">
        <f>IE20</f>
        <v/>
      </c>
      <c r="IH20" s="82">
        <f>IF20</f>
        <v/>
      </c>
      <c r="II20" s="82">
        <f>IG20</f>
        <v/>
      </c>
      <c r="IJ20" s="82">
        <f>IH20</f>
        <v/>
      </c>
      <c r="IK20" s="82">
        <f>II20</f>
        <v/>
      </c>
      <c r="IL20" s="82">
        <f>IJ20</f>
        <v/>
      </c>
      <c r="IM20" s="82">
        <f>IK20</f>
        <v/>
      </c>
      <c r="IN20" s="82">
        <f>IL20</f>
        <v/>
      </c>
      <c r="IO20" s="82">
        <f>IM20</f>
        <v/>
      </c>
      <c r="IP20" s="82">
        <f>IN20</f>
        <v/>
      </c>
      <c r="IQ20" s="82">
        <f>IO20</f>
        <v/>
      </c>
      <c r="IR20" s="82">
        <f>IP20</f>
        <v/>
      </c>
      <c r="IS20" s="82">
        <f>IQ20</f>
        <v/>
      </c>
      <c r="IT20" s="130" t="n"/>
      <c r="IU20" s="82">
        <f>IS20</f>
        <v/>
      </c>
      <c r="IV20" s="82">
        <f>IU20</f>
        <v/>
      </c>
      <c r="IW20" s="82">
        <f>IV20</f>
        <v/>
      </c>
      <c r="IX20" s="82">
        <f>IW20</f>
        <v/>
      </c>
      <c r="IY20" s="82">
        <f>IX20</f>
        <v/>
      </c>
      <c r="IZ20" s="82">
        <f>IY20</f>
        <v/>
      </c>
      <c r="JA20" s="82">
        <f>IZ20</f>
        <v/>
      </c>
      <c r="JB20" s="82">
        <f>JA20</f>
        <v/>
      </c>
      <c r="JC20" s="82">
        <f>JB20</f>
        <v/>
      </c>
      <c r="JD20" s="82">
        <f>JC20</f>
        <v/>
      </c>
      <c r="JE20" s="82">
        <f>JD20</f>
        <v/>
      </c>
      <c r="JF20" s="82">
        <f>JE20</f>
        <v/>
      </c>
      <c r="JG20" s="82">
        <f>JF20</f>
        <v/>
      </c>
      <c r="JH20" s="82">
        <f>JG20</f>
        <v/>
      </c>
      <c r="JI20" s="82">
        <f>JH20</f>
        <v/>
      </c>
      <c r="JJ20" s="82">
        <f>JI20</f>
        <v/>
      </c>
      <c r="JK20" s="82">
        <f>JJ20</f>
        <v/>
      </c>
      <c r="JL20" s="82">
        <f>JK20</f>
        <v/>
      </c>
      <c r="JM20" s="82">
        <f>JL20</f>
        <v/>
      </c>
      <c r="JN20" s="82">
        <f>JM20</f>
        <v/>
      </c>
      <c r="JO20" s="82">
        <f>JN20</f>
        <v/>
      </c>
      <c r="JP20" s="82">
        <f>JO20</f>
        <v/>
      </c>
      <c r="JQ20" s="82">
        <f>JP20</f>
        <v/>
      </c>
      <c r="JR20" s="82">
        <f>JQ20</f>
        <v/>
      </c>
      <c r="JS20" s="82">
        <f>JR20</f>
        <v/>
      </c>
      <c r="JT20" s="82">
        <f>JS20</f>
        <v/>
      </c>
      <c r="JU20" s="82">
        <f>JT20</f>
        <v/>
      </c>
      <c r="JV20" s="82">
        <f>JU20</f>
        <v/>
      </c>
      <c r="JW20" s="82">
        <f>JV20</f>
        <v/>
      </c>
      <c r="JX20" s="82">
        <f>JW20</f>
        <v/>
      </c>
      <c r="JY20" s="133" t="n"/>
      <c r="JZ20" s="82">
        <f>JX20</f>
        <v/>
      </c>
      <c r="KA20" s="82">
        <f>JZ20</f>
        <v/>
      </c>
      <c r="KB20" s="82">
        <f>JZ20</f>
        <v/>
      </c>
      <c r="KC20" s="82">
        <f>KA20</f>
        <v/>
      </c>
      <c r="KD20" s="82">
        <f>KB20</f>
        <v/>
      </c>
      <c r="KE20" s="82">
        <f>KC20</f>
        <v/>
      </c>
      <c r="KF20" s="82">
        <f>KD20</f>
        <v/>
      </c>
      <c r="KG20" s="82">
        <f>KE20</f>
        <v/>
      </c>
      <c r="KH20" s="82">
        <f>KF20</f>
        <v/>
      </c>
      <c r="KI20" s="82">
        <f>KG20</f>
        <v/>
      </c>
      <c r="KJ20" s="82">
        <f>KH20</f>
        <v/>
      </c>
      <c r="KK20" s="82">
        <f>KI20</f>
        <v/>
      </c>
      <c r="KL20" s="82">
        <f>KJ20</f>
        <v/>
      </c>
      <c r="KM20" s="82">
        <f>KK20</f>
        <v/>
      </c>
      <c r="KN20" s="82">
        <f>KL20</f>
        <v/>
      </c>
      <c r="KO20" s="82">
        <f>KM20</f>
        <v/>
      </c>
      <c r="KP20" s="82">
        <f>KN20</f>
        <v/>
      </c>
      <c r="KQ20" s="82">
        <f>KO20</f>
        <v/>
      </c>
      <c r="KR20" s="82">
        <f>KP20</f>
        <v/>
      </c>
      <c r="KS20" s="82">
        <f>KQ20</f>
        <v/>
      </c>
      <c r="KT20" s="82">
        <f>KR20</f>
        <v/>
      </c>
      <c r="KU20" s="82">
        <f>KS20</f>
        <v/>
      </c>
      <c r="KV20" s="82">
        <f>KT20</f>
        <v/>
      </c>
      <c r="KW20" s="82">
        <f>KU20</f>
        <v/>
      </c>
      <c r="KX20" s="82">
        <f>KV20</f>
        <v/>
      </c>
      <c r="KY20" s="82">
        <f>KW20</f>
        <v/>
      </c>
      <c r="KZ20" s="82">
        <f>KX20</f>
        <v/>
      </c>
      <c r="LA20" s="82">
        <f>KY20</f>
        <v/>
      </c>
      <c r="LB20" s="82">
        <f>KZ20</f>
        <v/>
      </c>
      <c r="LC20" s="82">
        <f>LA20</f>
        <v/>
      </c>
      <c r="LD20" s="82">
        <f>LB20</f>
        <v/>
      </c>
      <c r="LE20" s="130" t="n"/>
      <c r="LF20" s="82">
        <f>LD20</f>
        <v/>
      </c>
      <c r="LG20" s="82">
        <f>LF20</f>
        <v/>
      </c>
      <c r="LH20" s="82">
        <f>LG20</f>
        <v/>
      </c>
      <c r="LI20" s="82">
        <f>LH20</f>
        <v/>
      </c>
      <c r="LJ20" s="82">
        <f>LI20</f>
        <v/>
      </c>
      <c r="LK20" s="82">
        <f>LJ20</f>
        <v/>
      </c>
      <c r="LL20" s="82">
        <f>LK20</f>
        <v/>
      </c>
      <c r="LM20" s="82">
        <f>LL20</f>
        <v/>
      </c>
      <c r="LN20" s="82">
        <f>LM20</f>
        <v/>
      </c>
      <c r="LO20" s="82">
        <f>LN20</f>
        <v/>
      </c>
      <c r="LP20" s="82">
        <f>LO20</f>
        <v/>
      </c>
      <c r="LQ20" s="82">
        <f>LP20</f>
        <v/>
      </c>
      <c r="LR20" s="82">
        <f>LQ20</f>
        <v/>
      </c>
      <c r="LS20" s="82">
        <f>LR20</f>
        <v/>
      </c>
      <c r="LT20" s="82">
        <f>LS20</f>
        <v/>
      </c>
      <c r="LU20" s="82">
        <f>LT20</f>
        <v/>
      </c>
      <c r="LV20" s="82">
        <f>LU20</f>
        <v/>
      </c>
      <c r="LW20" s="82">
        <f>LV20</f>
        <v/>
      </c>
      <c r="LX20" s="82">
        <f>LW20</f>
        <v/>
      </c>
      <c r="LY20" s="82">
        <f>LX20</f>
        <v/>
      </c>
      <c r="LZ20" s="82">
        <f>LY20</f>
        <v/>
      </c>
      <c r="MA20" s="82">
        <f>LZ20</f>
        <v/>
      </c>
      <c r="MB20" s="82">
        <f>MA20</f>
        <v/>
      </c>
      <c r="MC20" s="82">
        <f>MB20</f>
        <v/>
      </c>
      <c r="MD20" s="82">
        <f>MC20</f>
        <v/>
      </c>
      <c r="ME20" s="82">
        <f>MD20</f>
        <v/>
      </c>
      <c r="MF20" s="82">
        <f>ME20</f>
        <v/>
      </c>
      <c r="MG20" s="82">
        <f>MF20</f>
        <v/>
      </c>
      <c r="MH20" s="82">
        <f>MG20</f>
        <v/>
      </c>
      <c r="MI20" s="82">
        <f>MH20</f>
        <v/>
      </c>
      <c r="MJ20" s="133" t="n"/>
      <c r="MK20" s="82">
        <f>MI20</f>
        <v/>
      </c>
      <c r="ML20" s="82">
        <f>MK20</f>
        <v/>
      </c>
      <c r="MM20" s="82">
        <f>MK20</f>
        <v/>
      </c>
      <c r="MN20" s="82">
        <f>ML20</f>
        <v/>
      </c>
      <c r="MO20" s="82">
        <f>MM20</f>
        <v/>
      </c>
      <c r="MP20" s="82">
        <f>MN20</f>
        <v/>
      </c>
      <c r="MQ20" s="82">
        <f>MO20</f>
        <v/>
      </c>
      <c r="MR20" s="82">
        <f>MP20</f>
        <v/>
      </c>
      <c r="MS20" s="82">
        <f>MQ20</f>
        <v/>
      </c>
      <c r="MT20" s="82">
        <f>MR20</f>
        <v/>
      </c>
      <c r="MU20" s="82">
        <f>MS20</f>
        <v/>
      </c>
      <c r="MV20" s="82">
        <f>MT20</f>
        <v/>
      </c>
      <c r="MW20" s="82">
        <f>MU20</f>
        <v/>
      </c>
      <c r="MX20" s="82">
        <f>MV20</f>
        <v/>
      </c>
      <c r="MY20" s="82">
        <f>MW20</f>
        <v/>
      </c>
      <c r="MZ20" s="82">
        <f>MX20</f>
        <v/>
      </c>
      <c r="NA20" s="82">
        <f>MY20</f>
        <v/>
      </c>
      <c r="NB20" s="82">
        <f>MZ20</f>
        <v/>
      </c>
      <c r="NC20" s="82">
        <f>NA20</f>
        <v/>
      </c>
      <c r="ND20" s="82">
        <f>NB20</f>
        <v/>
      </c>
      <c r="NE20" s="82">
        <f>NC20</f>
        <v/>
      </c>
      <c r="NF20" s="82">
        <f>ND20</f>
        <v/>
      </c>
      <c r="NG20" s="82">
        <f>NE20</f>
        <v/>
      </c>
      <c r="NH20" s="82">
        <f>NF20</f>
        <v/>
      </c>
      <c r="NI20" s="82">
        <f>NG20</f>
        <v/>
      </c>
      <c r="NJ20" s="82">
        <f>NH20</f>
        <v/>
      </c>
      <c r="NK20" s="82">
        <f>NI20</f>
        <v/>
      </c>
      <c r="NL20" s="82">
        <f>NJ20</f>
        <v/>
      </c>
      <c r="NM20" s="82">
        <f>NK20</f>
        <v/>
      </c>
      <c r="NN20" s="82">
        <f>NL20</f>
        <v/>
      </c>
      <c r="NO20" s="82">
        <f>NM20</f>
        <v/>
      </c>
      <c r="NP20" s="133" t="n"/>
      <c r="NQ20" s="82">
        <f>NO20</f>
        <v/>
      </c>
      <c r="NR20" s="82">
        <f>NQ20</f>
        <v/>
      </c>
      <c r="NS20" s="82">
        <f>NQ20</f>
        <v/>
      </c>
      <c r="NT20" s="82">
        <f>NR20</f>
        <v/>
      </c>
      <c r="NU20" s="82">
        <f>NS20</f>
        <v/>
      </c>
      <c r="NV20" s="82">
        <f>NT20</f>
        <v/>
      </c>
      <c r="NW20" s="82">
        <f>NU20</f>
        <v/>
      </c>
      <c r="NX20" s="82">
        <f>NV20</f>
        <v/>
      </c>
      <c r="NY20" s="82">
        <f>NW20</f>
        <v/>
      </c>
      <c r="NZ20" s="82">
        <f>NX20</f>
        <v/>
      </c>
      <c r="OA20" s="82">
        <f>NY20</f>
        <v/>
      </c>
      <c r="OB20" s="82">
        <f>NZ20</f>
        <v/>
      </c>
      <c r="OC20" s="82">
        <f>OA20</f>
        <v/>
      </c>
      <c r="OD20" s="82">
        <f>OB20</f>
        <v/>
      </c>
      <c r="OE20" s="82">
        <f>OC20</f>
        <v/>
      </c>
      <c r="OF20" s="82">
        <f>OD20</f>
        <v/>
      </c>
      <c r="OG20" s="82">
        <f>OE20</f>
        <v/>
      </c>
      <c r="OH20" s="82">
        <f>OF20</f>
        <v/>
      </c>
      <c r="OI20" s="82">
        <f>OG20</f>
        <v/>
      </c>
      <c r="OJ20" s="82">
        <f>OH20</f>
        <v/>
      </c>
      <c r="OK20" s="82">
        <f>OI20</f>
        <v/>
      </c>
      <c r="OL20" s="82">
        <f>OJ20</f>
        <v/>
      </c>
      <c r="OM20" s="82">
        <f>OK20</f>
        <v/>
      </c>
      <c r="ON20" s="82">
        <f>OL20</f>
        <v/>
      </c>
      <c r="OO20" s="82">
        <f>OM20</f>
        <v/>
      </c>
      <c r="OP20" s="82">
        <f>ON20</f>
        <v/>
      </c>
      <c r="OQ20" s="82">
        <f>OO20</f>
        <v/>
      </c>
      <c r="OR20" s="82">
        <f>OP20</f>
        <v/>
      </c>
      <c r="OS20" s="82">
        <f>OQ20</f>
        <v/>
      </c>
      <c r="OT20" s="82">
        <f>OR20</f>
        <v/>
      </c>
      <c r="OU20" s="82">
        <f>OS20</f>
        <v/>
      </c>
      <c r="OV20" s="130" t="n"/>
      <c r="OW20" s="82">
        <f>OU20</f>
        <v/>
      </c>
      <c r="OX20" s="82">
        <f>OW20</f>
        <v/>
      </c>
      <c r="OY20" s="82">
        <f>OW20</f>
        <v/>
      </c>
      <c r="OZ20" s="82">
        <f>OX20</f>
        <v/>
      </c>
      <c r="PA20" s="82">
        <f>OY20</f>
        <v/>
      </c>
      <c r="PB20" s="82">
        <f>OZ20</f>
        <v/>
      </c>
      <c r="PC20" s="82">
        <f>PA20</f>
        <v/>
      </c>
      <c r="PD20" s="82">
        <f>PB20</f>
        <v/>
      </c>
      <c r="PE20" s="82">
        <f>PC20</f>
        <v/>
      </c>
      <c r="PF20" s="82">
        <f>PD20</f>
        <v/>
      </c>
      <c r="PG20" s="82">
        <f>PE20</f>
        <v/>
      </c>
      <c r="PH20" s="82">
        <f>PF20</f>
        <v/>
      </c>
      <c r="PI20" s="82">
        <f>PG20</f>
        <v/>
      </c>
      <c r="PJ20" s="82">
        <f>PH20</f>
        <v/>
      </c>
      <c r="PK20" s="82">
        <f>PI20</f>
        <v/>
      </c>
      <c r="PL20" s="82">
        <f>PJ20</f>
        <v/>
      </c>
      <c r="PM20" s="82">
        <f>PK20</f>
        <v/>
      </c>
      <c r="PN20" s="82">
        <f>PL20</f>
        <v/>
      </c>
      <c r="PO20" s="82">
        <f>PM20</f>
        <v/>
      </c>
      <c r="PP20" s="82">
        <f>PN20</f>
        <v/>
      </c>
      <c r="PQ20" s="82">
        <f>PO20</f>
        <v/>
      </c>
      <c r="PR20" s="82">
        <f>PP20</f>
        <v/>
      </c>
      <c r="PS20" s="82">
        <f>PQ20</f>
        <v/>
      </c>
      <c r="PT20" s="82">
        <f>PR20</f>
        <v/>
      </c>
      <c r="PU20" s="82">
        <f>PS20</f>
        <v/>
      </c>
      <c r="PV20" s="82">
        <f>PT20</f>
        <v/>
      </c>
      <c r="PW20" s="82">
        <f>PU20</f>
        <v/>
      </c>
      <c r="PX20" s="82">
        <f>PV20</f>
        <v/>
      </c>
      <c r="PY20" s="82">
        <f>PW20</f>
        <v/>
      </c>
      <c r="PZ20" s="82">
        <f>PX20</f>
        <v/>
      </c>
      <c r="QA20" s="130" t="n"/>
      <c r="QB20" s="82">
        <f>PZ20</f>
        <v/>
      </c>
      <c r="QC20" s="82">
        <f>QB20</f>
        <v/>
      </c>
      <c r="QD20" s="82">
        <f>QC20</f>
        <v/>
      </c>
      <c r="QE20" s="82">
        <f>QD20</f>
        <v/>
      </c>
      <c r="QF20" s="82">
        <f>QE20</f>
        <v/>
      </c>
      <c r="QG20" s="82">
        <f>QF20</f>
        <v/>
      </c>
      <c r="QH20" s="82">
        <f>QG20</f>
        <v/>
      </c>
      <c r="QI20" s="82">
        <f>QH20</f>
        <v/>
      </c>
      <c r="QJ20" s="82">
        <f>QI20</f>
        <v/>
      </c>
      <c r="QK20" s="82">
        <f>QJ20</f>
        <v/>
      </c>
      <c r="QL20" s="82">
        <f>QK20</f>
        <v/>
      </c>
      <c r="QM20" s="82">
        <f>QL20</f>
        <v/>
      </c>
      <c r="QN20" s="82">
        <f>QM20</f>
        <v/>
      </c>
      <c r="QO20" s="82">
        <f>QN20</f>
        <v/>
      </c>
      <c r="QP20" s="82">
        <f>QO20</f>
        <v/>
      </c>
      <c r="QQ20" s="82">
        <f>QP20</f>
        <v/>
      </c>
      <c r="QR20" s="82">
        <f>QQ20</f>
        <v/>
      </c>
      <c r="QS20" s="82">
        <f>QR20</f>
        <v/>
      </c>
      <c r="QT20" s="82">
        <f>QS20</f>
        <v/>
      </c>
      <c r="QU20" s="82">
        <f>QT20</f>
        <v/>
      </c>
      <c r="QV20" s="82">
        <f>QU20</f>
        <v/>
      </c>
      <c r="QW20" s="82">
        <f>QV20</f>
        <v/>
      </c>
      <c r="QX20" s="82">
        <f>QW20</f>
        <v/>
      </c>
      <c r="QY20" s="82">
        <f>QX20</f>
        <v/>
      </c>
      <c r="QZ20" s="82">
        <f>QY20</f>
        <v/>
      </c>
      <c r="RA20" s="82">
        <f>QZ20</f>
        <v/>
      </c>
      <c r="RB20" s="82">
        <f>RA20</f>
        <v/>
      </c>
      <c r="RC20" s="82">
        <f>RB20</f>
        <v/>
      </c>
      <c r="RD20" s="82">
        <f>RC20</f>
        <v/>
      </c>
      <c r="RE20" s="82">
        <f>RD20</f>
        <v/>
      </c>
      <c r="RF20" s="82">
        <f>RE20</f>
        <v/>
      </c>
      <c r="RG20" s="130" t="n"/>
      <c r="RH20" s="82">
        <f>RF20</f>
        <v/>
      </c>
      <c r="RI20" s="82">
        <f>RH20</f>
        <v/>
      </c>
      <c r="RJ20" s="82">
        <f>RI20</f>
        <v/>
      </c>
      <c r="RK20" s="82">
        <f>RJ20</f>
        <v/>
      </c>
      <c r="RL20" s="82">
        <f>RK20</f>
        <v/>
      </c>
      <c r="RM20" s="82">
        <f>RL20</f>
        <v/>
      </c>
      <c r="RN20" s="82">
        <f>RM20</f>
        <v/>
      </c>
      <c r="RO20" s="82">
        <f>RN20</f>
        <v/>
      </c>
      <c r="RP20" s="82">
        <f>RO20</f>
        <v/>
      </c>
      <c r="RQ20" s="82">
        <f>RP20</f>
        <v/>
      </c>
      <c r="RR20" s="82">
        <f>RQ20</f>
        <v/>
      </c>
      <c r="RS20" s="82">
        <f>RR20</f>
        <v/>
      </c>
      <c r="RT20" s="82">
        <f>RS20</f>
        <v/>
      </c>
      <c r="RU20" s="82">
        <f>RT20</f>
        <v/>
      </c>
      <c r="RV20" s="82">
        <f>RU20</f>
        <v/>
      </c>
      <c r="RW20" s="82">
        <f>RV20</f>
        <v/>
      </c>
      <c r="RX20" s="82">
        <f>RW20</f>
        <v/>
      </c>
      <c r="RY20" s="82">
        <f>RX20</f>
        <v/>
      </c>
      <c r="RZ20" s="82">
        <f>RY20</f>
        <v/>
      </c>
      <c r="SA20" s="82">
        <f>RZ20</f>
        <v/>
      </c>
      <c r="SB20" s="82">
        <f>SA20</f>
        <v/>
      </c>
      <c r="SC20" s="82">
        <f>SB20</f>
        <v/>
      </c>
      <c r="SD20" s="82">
        <f>SC20</f>
        <v/>
      </c>
      <c r="SE20" s="82">
        <f>SD20</f>
        <v/>
      </c>
      <c r="SF20" s="82">
        <f>SE20</f>
        <v/>
      </c>
      <c r="SG20" s="82">
        <f>SF20</f>
        <v/>
      </c>
      <c r="SH20" s="82">
        <f>SG20</f>
        <v/>
      </c>
      <c r="SI20" s="82">
        <f>SH20</f>
        <v/>
      </c>
      <c r="SJ20" s="82">
        <f>SI20</f>
        <v/>
      </c>
      <c r="SK20" s="82">
        <f>SJ20</f>
        <v/>
      </c>
      <c r="SL20" s="130" t="n"/>
      <c r="SM20" s="82">
        <f>SK20</f>
        <v/>
      </c>
      <c r="SN20" s="82">
        <f>SM20</f>
        <v/>
      </c>
      <c r="SO20" s="82">
        <f>SN20</f>
        <v/>
      </c>
      <c r="SP20" s="82">
        <f>SO20</f>
        <v/>
      </c>
      <c r="SQ20" s="82">
        <f>SP20</f>
        <v/>
      </c>
      <c r="SR20" s="82">
        <f>SQ20</f>
        <v/>
      </c>
      <c r="SS20" s="82">
        <f>SR20</f>
        <v/>
      </c>
      <c r="ST20" s="82">
        <f>SS20</f>
        <v/>
      </c>
      <c r="SU20" s="82">
        <f>ST20</f>
        <v/>
      </c>
      <c r="SV20" s="82">
        <f>SU20</f>
        <v/>
      </c>
      <c r="SW20" s="82">
        <f>SV20</f>
        <v/>
      </c>
      <c r="SX20" s="82">
        <f>SW20</f>
        <v/>
      </c>
      <c r="SY20" s="82">
        <f>SX20</f>
        <v/>
      </c>
      <c r="SZ20" s="82">
        <f>SY20</f>
        <v/>
      </c>
      <c r="TA20" s="82">
        <f>SZ20</f>
        <v/>
      </c>
      <c r="TB20" s="82">
        <f>TA20</f>
        <v/>
      </c>
      <c r="TC20" s="82">
        <f>TB20</f>
        <v/>
      </c>
      <c r="TD20" s="82">
        <f>TC20</f>
        <v/>
      </c>
      <c r="TE20" s="82">
        <f>TD20</f>
        <v/>
      </c>
      <c r="TF20" s="82">
        <f>TE20</f>
        <v/>
      </c>
      <c r="TG20" s="82">
        <f>TF20</f>
        <v/>
      </c>
      <c r="TH20" s="82">
        <f>TG20</f>
        <v/>
      </c>
      <c r="TI20" s="82">
        <f>TH20</f>
        <v/>
      </c>
      <c r="TJ20" s="82">
        <f>TI20</f>
        <v/>
      </c>
      <c r="TK20" s="82">
        <f>TJ20</f>
        <v/>
      </c>
      <c r="TL20" s="82">
        <f>TK20</f>
        <v/>
      </c>
      <c r="TM20" s="82">
        <f>TL20</f>
        <v/>
      </c>
      <c r="TN20" s="82">
        <f>TM20</f>
        <v/>
      </c>
      <c r="TO20" s="82">
        <f>TN20</f>
        <v/>
      </c>
      <c r="TP20" s="82">
        <f>TO20</f>
        <v/>
      </c>
      <c r="TQ20" s="82">
        <f>TP20</f>
        <v/>
      </c>
      <c r="TR20" s="130" t="n"/>
      <c r="TS20" s="82">
        <f>TQ20</f>
        <v/>
      </c>
      <c r="TT20" s="82">
        <f>TS20</f>
        <v/>
      </c>
      <c r="TU20" s="82">
        <f>TT20</f>
        <v/>
      </c>
      <c r="TV20" s="82">
        <f>TU20</f>
        <v/>
      </c>
      <c r="TW20" s="82">
        <f>TV20</f>
        <v/>
      </c>
      <c r="TX20" s="82">
        <f>TW20</f>
        <v/>
      </c>
      <c r="TY20" s="82">
        <f>TX20</f>
        <v/>
      </c>
      <c r="TZ20" s="82">
        <f>TY20</f>
        <v/>
      </c>
      <c r="UA20" s="82">
        <f>TZ20</f>
        <v/>
      </c>
      <c r="UB20" s="82">
        <f>UA20</f>
        <v/>
      </c>
      <c r="UC20" s="82">
        <f>UB20</f>
        <v/>
      </c>
      <c r="UD20" s="82">
        <f>UC20</f>
        <v/>
      </c>
      <c r="UE20" s="82">
        <f>UD20</f>
        <v/>
      </c>
      <c r="UF20" s="82">
        <f>UE20</f>
        <v/>
      </c>
      <c r="UG20" s="82">
        <f>UF20</f>
        <v/>
      </c>
      <c r="UH20" s="82">
        <f>UG20</f>
        <v/>
      </c>
      <c r="UI20" s="82">
        <f>UH20</f>
        <v/>
      </c>
      <c r="UJ20" s="82">
        <f>UI20</f>
        <v/>
      </c>
      <c r="UK20" s="82">
        <f>UJ20</f>
        <v/>
      </c>
      <c r="UL20" s="82">
        <f>UK20</f>
        <v/>
      </c>
      <c r="UM20" s="82">
        <f>UL20</f>
        <v/>
      </c>
      <c r="UN20" s="82">
        <f>UM20</f>
        <v/>
      </c>
      <c r="UO20" s="82">
        <f>UN20</f>
        <v/>
      </c>
      <c r="UP20" s="82">
        <f>UO20</f>
        <v/>
      </c>
      <c r="UQ20" s="82">
        <f>UP20</f>
        <v/>
      </c>
      <c r="UR20" s="82">
        <f>UQ20</f>
        <v/>
      </c>
      <c r="US20" s="82">
        <f>UR20</f>
        <v/>
      </c>
      <c r="UT20" s="82">
        <f>US20</f>
        <v/>
      </c>
      <c r="UU20" s="82">
        <f>UT20</f>
        <v/>
      </c>
      <c r="UV20" s="82">
        <f>UU20</f>
        <v/>
      </c>
      <c r="UW20" s="82">
        <f>UV20</f>
        <v/>
      </c>
      <c r="UX20" s="130" t="n"/>
      <c r="UY20" s="82">
        <f>UW20</f>
        <v/>
      </c>
      <c r="UZ20" s="82">
        <f>UY20</f>
        <v/>
      </c>
      <c r="VA20" s="82">
        <f>UY20</f>
        <v/>
      </c>
      <c r="VB20" s="82">
        <f>UZ20</f>
        <v/>
      </c>
      <c r="VC20" s="82">
        <f>VA20</f>
        <v/>
      </c>
      <c r="VD20" s="82">
        <f>VB20</f>
        <v/>
      </c>
      <c r="VE20" s="82">
        <f>VC20</f>
        <v/>
      </c>
      <c r="VF20" s="82">
        <f>VD20</f>
        <v/>
      </c>
      <c r="VG20" s="82">
        <f>VE20</f>
        <v/>
      </c>
      <c r="VH20" s="82">
        <f>VF20</f>
        <v/>
      </c>
      <c r="VI20" s="82">
        <f>VG20</f>
        <v/>
      </c>
      <c r="VJ20" s="82">
        <f>VH20</f>
        <v/>
      </c>
      <c r="VK20" s="82">
        <f>VI20</f>
        <v/>
      </c>
      <c r="VL20" s="82">
        <f>VJ20</f>
        <v/>
      </c>
      <c r="VM20" s="82">
        <f>VK20</f>
        <v/>
      </c>
      <c r="VN20" s="82">
        <f>VL20</f>
        <v/>
      </c>
      <c r="VO20" s="82">
        <f>VM20</f>
        <v/>
      </c>
      <c r="VP20" s="82">
        <f>VN20</f>
        <v/>
      </c>
      <c r="VQ20" s="82">
        <f>VO20</f>
        <v/>
      </c>
      <c r="VR20" s="82">
        <f>VP20</f>
        <v/>
      </c>
      <c r="VS20" s="82">
        <f>VQ20</f>
        <v/>
      </c>
      <c r="VT20" s="82">
        <f>VR20</f>
        <v/>
      </c>
      <c r="VU20" s="82">
        <f>VS20</f>
        <v/>
      </c>
      <c r="VV20" s="82">
        <f>VT20</f>
        <v/>
      </c>
      <c r="VW20" s="82">
        <f>VU20</f>
        <v/>
      </c>
      <c r="VX20" s="82">
        <f>VV20</f>
        <v/>
      </c>
      <c r="VY20" s="82">
        <f>VW20</f>
        <v/>
      </c>
      <c r="VZ20" s="82">
        <f>VX20</f>
        <v/>
      </c>
      <c r="WA20" s="133" t="n"/>
      <c r="WB20" s="82">
        <f>VZ20</f>
        <v/>
      </c>
      <c r="WC20" s="82">
        <f>WB20</f>
        <v/>
      </c>
      <c r="WD20" s="82">
        <f>WB20</f>
        <v/>
      </c>
      <c r="WE20" s="82">
        <f>WC20</f>
        <v/>
      </c>
      <c r="WF20" s="82">
        <f>WD20</f>
        <v/>
      </c>
      <c r="WG20" s="82">
        <f>WE20</f>
        <v/>
      </c>
      <c r="WH20" s="82">
        <f>WF20</f>
        <v/>
      </c>
      <c r="WI20" s="82">
        <f>WG20</f>
        <v/>
      </c>
      <c r="WJ20" s="82">
        <f>WH20</f>
        <v/>
      </c>
      <c r="WK20" s="82">
        <f>WI20</f>
        <v/>
      </c>
      <c r="WL20" s="82">
        <f>WJ20</f>
        <v/>
      </c>
      <c r="WM20" s="82">
        <f>WK20</f>
        <v/>
      </c>
      <c r="WN20" s="82">
        <f>WL20</f>
        <v/>
      </c>
      <c r="WO20" s="82">
        <f>WM20</f>
        <v/>
      </c>
      <c r="WP20" s="82">
        <f>WN20</f>
        <v/>
      </c>
      <c r="WQ20" s="82">
        <f>WO20</f>
        <v/>
      </c>
      <c r="WR20" s="82">
        <f>WP20</f>
        <v/>
      </c>
      <c r="WS20" s="82">
        <f>WQ20</f>
        <v/>
      </c>
      <c r="WT20" s="82">
        <f>WR20</f>
        <v/>
      </c>
      <c r="WU20" s="82">
        <f>WS20</f>
        <v/>
      </c>
      <c r="WV20" s="82">
        <f>WT20</f>
        <v/>
      </c>
      <c r="WW20" s="82">
        <f>WU20</f>
        <v/>
      </c>
      <c r="WX20" s="82">
        <f>WV20</f>
        <v/>
      </c>
      <c r="WY20" s="82">
        <f>WW20</f>
        <v/>
      </c>
      <c r="WZ20" s="82">
        <f>WX20</f>
        <v/>
      </c>
      <c r="XA20" s="82">
        <f>WY20</f>
        <v/>
      </c>
      <c r="XB20" s="82">
        <f>WZ20</f>
        <v/>
      </c>
      <c r="XC20" s="82">
        <f>XA20</f>
        <v/>
      </c>
      <c r="XD20" s="82">
        <f>XB20</f>
        <v/>
      </c>
      <c r="XE20" s="82">
        <f>XC20</f>
        <v/>
      </c>
      <c r="XF20" s="82">
        <f>XD20</f>
        <v/>
      </c>
      <c r="XG20" s="133" t="n"/>
      <c r="XH20" s="82">
        <f>XF20</f>
        <v/>
      </c>
      <c r="XI20" s="82">
        <f>XH20</f>
        <v/>
      </c>
      <c r="XJ20" s="82">
        <f>XI20</f>
        <v/>
      </c>
      <c r="XK20" s="82">
        <f>XJ20</f>
        <v/>
      </c>
      <c r="XL20" s="82">
        <f>XK20</f>
        <v/>
      </c>
      <c r="XM20" s="82">
        <f>XL20</f>
        <v/>
      </c>
      <c r="XN20" s="82">
        <f>XM20</f>
        <v/>
      </c>
      <c r="XO20" s="82">
        <f>XN20</f>
        <v/>
      </c>
      <c r="XP20" s="82">
        <f>XO20</f>
        <v/>
      </c>
      <c r="XQ20" s="82">
        <f>XP20</f>
        <v/>
      </c>
      <c r="XR20" s="82">
        <f>XQ20</f>
        <v/>
      </c>
      <c r="XS20" s="82">
        <f>XR20</f>
        <v/>
      </c>
      <c r="XT20" s="82">
        <f>XS20</f>
        <v/>
      </c>
      <c r="XU20" s="82">
        <f>XT20</f>
        <v/>
      </c>
      <c r="XV20" s="82">
        <f>XU20</f>
        <v/>
      </c>
      <c r="XW20" s="82">
        <f>XV20</f>
        <v/>
      </c>
      <c r="XX20" s="82">
        <f>XW20</f>
        <v/>
      </c>
      <c r="XY20" s="82">
        <f>XX20</f>
        <v/>
      </c>
      <c r="XZ20" s="82">
        <f>XY20</f>
        <v/>
      </c>
      <c r="YA20" s="82">
        <f>XZ20</f>
        <v/>
      </c>
      <c r="YB20" s="82">
        <f>YA20</f>
        <v/>
      </c>
      <c r="YC20" s="82">
        <f>YB20</f>
        <v/>
      </c>
      <c r="YD20" s="82">
        <f>YC20</f>
        <v/>
      </c>
      <c r="YE20" s="82">
        <f>YD20</f>
        <v/>
      </c>
      <c r="YF20" s="82">
        <f>YE20</f>
        <v/>
      </c>
      <c r="YG20" s="82">
        <f>YF20</f>
        <v/>
      </c>
      <c r="YH20" s="82">
        <f>YG20</f>
        <v/>
      </c>
      <c r="YI20" s="82">
        <f>YH20</f>
        <v/>
      </c>
      <c r="YJ20" s="82">
        <f>YI20</f>
        <v/>
      </c>
      <c r="YK20" s="82">
        <f>YJ20</f>
        <v/>
      </c>
      <c r="YL20" s="130" t="n"/>
      <c r="YM20" s="82">
        <f>YK20</f>
        <v/>
      </c>
      <c r="YN20" s="82">
        <f>YM20</f>
        <v/>
      </c>
      <c r="YO20" s="82">
        <f>YN20</f>
        <v/>
      </c>
      <c r="YP20" s="82">
        <f>YO20</f>
        <v/>
      </c>
      <c r="YQ20" s="82">
        <f>YP20</f>
        <v/>
      </c>
      <c r="YR20" s="82">
        <f>YQ20</f>
        <v/>
      </c>
      <c r="YS20" s="82">
        <f>YR20</f>
        <v/>
      </c>
      <c r="YT20" s="82">
        <f>YS20</f>
        <v/>
      </c>
      <c r="YU20" s="82">
        <f>YT20</f>
        <v/>
      </c>
      <c r="YV20" s="82">
        <f>YU20</f>
        <v/>
      </c>
      <c r="YW20" s="82">
        <f>YV20</f>
        <v/>
      </c>
      <c r="YX20" s="82">
        <f>YW20</f>
        <v/>
      </c>
      <c r="YY20" s="82">
        <f>YX20</f>
        <v/>
      </c>
      <c r="YZ20" s="82">
        <f>YY20</f>
        <v/>
      </c>
      <c r="ZA20" s="82">
        <f>YZ20</f>
        <v/>
      </c>
      <c r="ZB20" s="82">
        <f>ZA20</f>
        <v/>
      </c>
      <c r="ZC20" s="82">
        <f>ZB20</f>
        <v/>
      </c>
      <c r="ZD20" s="82">
        <f>ZC20</f>
        <v/>
      </c>
      <c r="ZE20" s="82">
        <f>ZD20</f>
        <v/>
      </c>
      <c r="ZF20" s="82">
        <f>ZE20</f>
        <v/>
      </c>
      <c r="ZG20" s="82">
        <f>ZF20</f>
        <v/>
      </c>
      <c r="ZH20" s="82">
        <f>ZG20</f>
        <v/>
      </c>
      <c r="ZI20" s="82">
        <f>ZH20</f>
        <v/>
      </c>
      <c r="ZJ20" s="82">
        <f>ZI20</f>
        <v/>
      </c>
      <c r="ZK20" s="82">
        <f>ZJ20</f>
        <v/>
      </c>
      <c r="ZL20" s="82">
        <f>ZK20</f>
        <v/>
      </c>
      <c r="ZM20" s="82">
        <f>ZL20</f>
        <v/>
      </c>
      <c r="ZN20" s="82">
        <f>ZM20</f>
        <v/>
      </c>
      <c r="ZO20" s="82">
        <f>ZN20</f>
        <v/>
      </c>
      <c r="ZP20" s="82">
        <f>ZO20</f>
        <v/>
      </c>
      <c r="ZQ20" s="82">
        <f>ZP20</f>
        <v/>
      </c>
      <c r="ZR20" s="130" t="n"/>
      <c r="ZS20" s="82">
        <f>ZQ20</f>
        <v/>
      </c>
      <c r="ZT20" s="82">
        <f>ZS20</f>
        <v/>
      </c>
      <c r="ZU20" s="82">
        <f>ZT20</f>
        <v/>
      </c>
      <c r="ZV20" s="82">
        <f>ZU20</f>
        <v/>
      </c>
      <c r="ZW20" s="82">
        <f>ZV20</f>
        <v/>
      </c>
      <c r="ZX20" s="82">
        <f>ZW20</f>
        <v/>
      </c>
      <c r="ZY20" s="82">
        <f>ZX20</f>
        <v/>
      </c>
      <c r="ZZ20" s="82">
        <f>ZY20</f>
        <v/>
      </c>
      <c r="AAA20" s="82">
        <f>ZZ20</f>
        <v/>
      </c>
      <c r="AAB20" s="82">
        <f>AAA20</f>
        <v/>
      </c>
      <c r="AAC20" s="82">
        <f>AAB20</f>
        <v/>
      </c>
      <c r="AAD20" s="82">
        <f>AAC20</f>
        <v/>
      </c>
      <c r="AAE20" s="82">
        <f>AAD20</f>
        <v/>
      </c>
      <c r="AAF20" s="82">
        <f>AAE20</f>
        <v/>
      </c>
      <c r="AAG20" s="82">
        <f>AAF20</f>
        <v/>
      </c>
      <c r="AAH20" s="82">
        <f>AAG20</f>
        <v/>
      </c>
      <c r="AAI20" s="82">
        <f>AAH20</f>
        <v/>
      </c>
      <c r="AAJ20" s="82">
        <f>AAI20</f>
        <v/>
      </c>
      <c r="AAK20" s="82">
        <f>AAJ20</f>
        <v/>
      </c>
      <c r="AAL20" s="82">
        <f>AAK20</f>
        <v/>
      </c>
      <c r="AAM20" s="82">
        <f>AAL20</f>
        <v/>
      </c>
      <c r="AAN20" s="82">
        <f>AAM20</f>
        <v/>
      </c>
      <c r="AAO20" s="82">
        <f>AAN20</f>
        <v/>
      </c>
      <c r="AAP20" s="82">
        <f>AAO20</f>
        <v/>
      </c>
      <c r="AAQ20" s="82">
        <f>AAP20</f>
        <v/>
      </c>
      <c r="AAR20" s="82">
        <f>AAQ20</f>
        <v/>
      </c>
      <c r="AAS20" s="82">
        <f>AAR20</f>
        <v/>
      </c>
      <c r="AAT20" s="82">
        <f>AAS20</f>
        <v/>
      </c>
      <c r="AAU20" s="82">
        <f>AAT20</f>
        <v/>
      </c>
      <c r="AAV20" s="82">
        <f>AAU20</f>
        <v/>
      </c>
      <c r="AAW20" s="130" t="n"/>
      <c r="AAX20" s="82">
        <f>AAV20</f>
        <v/>
      </c>
      <c r="AAY20" s="82">
        <f>AAX20</f>
        <v/>
      </c>
      <c r="AAZ20" s="82">
        <f>AAY20</f>
        <v/>
      </c>
      <c r="ABA20" s="82">
        <f>AAZ20</f>
        <v/>
      </c>
      <c r="ABB20" s="82">
        <f>ABA20</f>
        <v/>
      </c>
      <c r="ABC20" s="82">
        <f>ABB20</f>
        <v/>
      </c>
      <c r="ABD20" s="82">
        <f>ABC20</f>
        <v/>
      </c>
      <c r="ABE20" s="82">
        <f>ABD20</f>
        <v/>
      </c>
      <c r="ABF20" s="82">
        <f>ABE20</f>
        <v/>
      </c>
      <c r="ABG20" s="82">
        <f>ABF20</f>
        <v/>
      </c>
      <c r="ABH20" s="82">
        <f>ABG20</f>
        <v/>
      </c>
      <c r="ABI20" s="82">
        <f>ABH20</f>
        <v/>
      </c>
      <c r="ABJ20" s="82">
        <f>ABI20</f>
        <v/>
      </c>
      <c r="ABK20" s="82">
        <f>ABJ20</f>
        <v/>
      </c>
      <c r="ABL20" s="82">
        <f>ABK20</f>
        <v/>
      </c>
      <c r="ABM20" s="82">
        <f>ABL20</f>
        <v/>
      </c>
      <c r="ABN20" s="82">
        <f>ABM20</f>
        <v/>
      </c>
      <c r="ABO20" s="82">
        <f>ABN20</f>
        <v/>
      </c>
      <c r="ABP20" s="82">
        <f>ABO20</f>
        <v/>
      </c>
      <c r="ABQ20" s="82">
        <f>ABP20</f>
        <v/>
      </c>
      <c r="ABR20" s="82">
        <f>ABQ20</f>
        <v/>
      </c>
      <c r="ABS20" s="82">
        <f>ABR20</f>
        <v/>
      </c>
      <c r="ABT20" s="82">
        <f>ABS20</f>
        <v/>
      </c>
      <c r="ABU20" s="82">
        <f>ABT20</f>
        <v/>
      </c>
      <c r="ABV20" s="82">
        <f>ABU20</f>
        <v/>
      </c>
      <c r="ABW20" s="82">
        <f>ABV20</f>
        <v/>
      </c>
      <c r="ABX20" s="82">
        <f>ABW20</f>
        <v/>
      </c>
      <c r="ABY20" s="82">
        <f>ABX20</f>
        <v/>
      </c>
      <c r="ABZ20" s="82">
        <f>ABY20</f>
        <v/>
      </c>
      <c r="ACA20" s="82">
        <f>ABZ20</f>
        <v/>
      </c>
      <c r="ACB20" s="82">
        <f>ACA20</f>
        <v/>
      </c>
      <c r="ACC20" s="130" t="n"/>
      <c r="ACD20" s="82">
        <f>ACB20</f>
        <v/>
      </c>
      <c r="ACE20" s="82">
        <f>ACD20</f>
        <v/>
      </c>
      <c r="ACF20" s="82">
        <f>ACE20</f>
        <v/>
      </c>
      <c r="ACG20" s="82">
        <f>ACF20</f>
        <v/>
      </c>
      <c r="ACH20" s="82">
        <f>ACG20</f>
        <v/>
      </c>
      <c r="ACI20" s="82">
        <f>ACH20</f>
        <v/>
      </c>
      <c r="ACJ20" s="82">
        <f>ACI20</f>
        <v/>
      </c>
      <c r="ACK20" s="82">
        <f>ACJ20</f>
        <v/>
      </c>
      <c r="ACL20" s="82">
        <f>ACK20</f>
        <v/>
      </c>
      <c r="ACM20" s="82">
        <f>ACL20</f>
        <v/>
      </c>
      <c r="ACN20" s="82">
        <f>ACM20</f>
        <v/>
      </c>
      <c r="ACO20" s="82">
        <f>ACN20</f>
        <v/>
      </c>
      <c r="ACP20" s="82">
        <f>ACO20</f>
        <v/>
      </c>
      <c r="ACQ20" s="82">
        <f>ACP20</f>
        <v/>
      </c>
      <c r="ACR20" s="82">
        <f>ACQ20</f>
        <v/>
      </c>
      <c r="ACS20" s="82">
        <f>ACR20</f>
        <v/>
      </c>
      <c r="ACT20" s="82">
        <f>ACS20</f>
        <v/>
      </c>
      <c r="ACU20" s="82">
        <f>ACT20</f>
        <v/>
      </c>
      <c r="ACV20" s="82">
        <f>ACU20</f>
        <v/>
      </c>
      <c r="ACW20" s="82">
        <f>ACV20</f>
        <v/>
      </c>
      <c r="ACX20" s="82">
        <f>ACW20</f>
        <v/>
      </c>
      <c r="ACY20" s="82">
        <f>ACX20</f>
        <v/>
      </c>
      <c r="ACZ20" s="82">
        <f>ACY20</f>
        <v/>
      </c>
      <c r="ADA20" s="82">
        <f>ACZ20</f>
        <v/>
      </c>
      <c r="ADB20" s="82">
        <f>ADA20</f>
        <v/>
      </c>
      <c r="ADC20" s="82">
        <f>ADB20</f>
        <v/>
      </c>
      <c r="ADD20" s="82">
        <f>ADC20</f>
        <v/>
      </c>
      <c r="ADE20" s="82">
        <f>ADD20</f>
        <v/>
      </c>
      <c r="ADF20" s="82">
        <f>ADE20</f>
        <v/>
      </c>
      <c r="ADG20" s="82">
        <f>ADF20</f>
        <v/>
      </c>
      <c r="ADH20" s="82">
        <f>ADG20</f>
        <v/>
      </c>
      <c r="ADI20" s="130" t="n"/>
      <c r="ADJ20" s="82">
        <f>ADH20</f>
        <v/>
      </c>
      <c r="ADK20" s="82">
        <f>ADJ20</f>
        <v/>
      </c>
      <c r="ADL20" s="82">
        <f>ADK20</f>
        <v/>
      </c>
      <c r="ADM20" s="82">
        <f>ADL20</f>
        <v/>
      </c>
      <c r="ADN20" s="82">
        <f>ADM20</f>
        <v/>
      </c>
      <c r="ADO20" s="82">
        <f>ADN20</f>
        <v/>
      </c>
      <c r="ADP20" s="82">
        <f>ADO20</f>
        <v/>
      </c>
      <c r="ADQ20" s="82">
        <f>ADP20</f>
        <v/>
      </c>
      <c r="ADR20" s="82">
        <f>ADQ20</f>
        <v/>
      </c>
      <c r="ADS20" s="82">
        <f>ADR20</f>
        <v/>
      </c>
      <c r="ADT20" s="82">
        <f>ADS20</f>
        <v/>
      </c>
      <c r="ADU20" s="82">
        <f>ADT20</f>
        <v/>
      </c>
      <c r="ADV20" s="82">
        <f>ADU20</f>
        <v/>
      </c>
      <c r="ADW20" s="82">
        <f>ADV20</f>
        <v/>
      </c>
      <c r="ADX20" s="82">
        <f>ADW20</f>
        <v/>
      </c>
      <c r="ADY20" s="82">
        <f>ADX20</f>
        <v/>
      </c>
      <c r="ADZ20" s="82">
        <f>ADY20</f>
        <v/>
      </c>
      <c r="AEA20" s="82">
        <f>ADZ20</f>
        <v/>
      </c>
      <c r="AEB20" s="82">
        <f>AEA20</f>
        <v/>
      </c>
      <c r="AEC20" s="82">
        <f>AEB20</f>
        <v/>
      </c>
      <c r="AED20" s="82">
        <f>AEC20</f>
        <v/>
      </c>
      <c r="AEE20" s="82">
        <f>AED20</f>
        <v/>
      </c>
      <c r="AEF20" s="82">
        <f>AEE20</f>
        <v/>
      </c>
      <c r="AEG20" s="82">
        <f>AEF20</f>
        <v/>
      </c>
      <c r="AEH20" s="82">
        <f>AEG20</f>
        <v/>
      </c>
      <c r="AEI20" s="82">
        <f>AEH20</f>
        <v/>
      </c>
      <c r="AEJ20" s="82">
        <f>AEI20</f>
        <v/>
      </c>
      <c r="AEK20" s="82">
        <f>AEJ20</f>
        <v/>
      </c>
      <c r="AEL20" s="82">
        <f>AEK20</f>
        <v/>
      </c>
      <c r="AEM20" s="82">
        <f>AEL20</f>
        <v/>
      </c>
      <c r="AEN20" s="130" t="n"/>
      <c r="AEO20" s="82">
        <f>AEM20</f>
        <v/>
      </c>
      <c r="AEP20" s="82">
        <f>AEO20</f>
        <v/>
      </c>
      <c r="AEQ20" s="82">
        <f>AEP20</f>
        <v/>
      </c>
      <c r="AER20" s="82">
        <f>AEQ20</f>
        <v/>
      </c>
      <c r="AES20" s="82">
        <f>AER20</f>
        <v/>
      </c>
      <c r="AET20" s="82">
        <f>AES20</f>
        <v/>
      </c>
      <c r="AEU20" s="82">
        <f>AET20</f>
        <v/>
      </c>
      <c r="AEV20" s="82">
        <f>AEU20</f>
        <v/>
      </c>
      <c r="AEW20" s="82">
        <f>AEV20</f>
        <v/>
      </c>
      <c r="AEX20" s="82">
        <f>AEW20</f>
        <v/>
      </c>
      <c r="AEY20" s="82">
        <f>AEX20</f>
        <v/>
      </c>
      <c r="AEZ20" s="82">
        <f>AEY20</f>
        <v/>
      </c>
      <c r="AFA20" s="82">
        <f>AEZ20</f>
        <v/>
      </c>
      <c r="AFB20" s="82">
        <f>AFA20</f>
        <v/>
      </c>
      <c r="AFC20" s="82">
        <f>AFB20</f>
        <v/>
      </c>
      <c r="AFD20" s="82">
        <f>AFC20</f>
        <v/>
      </c>
      <c r="AFE20" s="82">
        <f>AFD20</f>
        <v/>
      </c>
      <c r="AFF20" s="82">
        <f>AFE20</f>
        <v/>
      </c>
      <c r="AFG20" s="82">
        <f>AFF20</f>
        <v/>
      </c>
      <c r="AFH20" s="82">
        <f>AFG20</f>
        <v/>
      </c>
      <c r="AFI20" s="82">
        <f>AFH20</f>
        <v/>
      </c>
      <c r="AFJ20" s="82">
        <f>AFI20</f>
        <v/>
      </c>
      <c r="AFK20" s="82">
        <f>AFJ20</f>
        <v/>
      </c>
      <c r="AFL20" s="82">
        <f>AFK20</f>
        <v/>
      </c>
      <c r="AFM20" s="82">
        <f>AFL20</f>
        <v/>
      </c>
      <c r="AFN20" s="82">
        <f>AFM20</f>
        <v/>
      </c>
      <c r="AFO20" s="82">
        <f>AFN20</f>
        <v/>
      </c>
      <c r="AFP20" s="82">
        <f>AFO20</f>
        <v/>
      </c>
      <c r="AFQ20" s="82">
        <f>AFP20</f>
        <v/>
      </c>
      <c r="AFR20" s="82">
        <f>AFQ20</f>
        <v/>
      </c>
      <c r="AFS20" s="82">
        <f>AFR20</f>
        <v/>
      </c>
      <c r="AFT20" s="130" t="n"/>
      <c r="AFU20" s="82">
        <f>AFS20</f>
        <v/>
      </c>
      <c r="AFV20" s="82">
        <f>AFU20</f>
        <v/>
      </c>
      <c r="AFW20" s="82">
        <f>AFV20</f>
        <v/>
      </c>
      <c r="AFX20" s="82">
        <f>AFW20</f>
        <v/>
      </c>
      <c r="AFY20" s="82">
        <f>AFX20</f>
        <v/>
      </c>
      <c r="AFZ20" s="82">
        <f>AFY20</f>
        <v/>
      </c>
      <c r="AGA20" s="82">
        <f>AFZ20</f>
        <v/>
      </c>
      <c r="AGB20" s="82">
        <f>AGA20</f>
        <v/>
      </c>
      <c r="AGC20" s="82">
        <f>AGB20</f>
        <v/>
      </c>
      <c r="AGD20" s="82">
        <f>AGC20</f>
        <v/>
      </c>
      <c r="AGE20" s="82">
        <f>AGD20</f>
        <v/>
      </c>
      <c r="AGF20" s="82">
        <f>AGE20</f>
        <v/>
      </c>
      <c r="AGG20" s="82">
        <f>AGF20</f>
        <v/>
      </c>
      <c r="AGH20" s="82">
        <f>AGG20</f>
        <v/>
      </c>
      <c r="AGI20" s="82">
        <f>AGH20</f>
        <v/>
      </c>
      <c r="AGJ20" s="82">
        <f>AGI20</f>
        <v/>
      </c>
      <c r="AGK20" s="82">
        <f>AGJ20</f>
        <v/>
      </c>
      <c r="AGL20" s="82">
        <f>AGK20</f>
        <v/>
      </c>
      <c r="AGM20" s="82">
        <f>AGL20</f>
        <v/>
      </c>
      <c r="AGN20" s="82">
        <f>AGM20</f>
        <v/>
      </c>
      <c r="AGO20" s="82">
        <f>AGN20</f>
        <v/>
      </c>
      <c r="AGP20" s="82">
        <f>AGO20</f>
        <v/>
      </c>
      <c r="AGQ20" s="82">
        <f>AGP20</f>
        <v/>
      </c>
      <c r="AGR20" s="82">
        <f>AGQ20</f>
        <v/>
      </c>
      <c r="AGS20" s="82">
        <f>AGR20</f>
        <v/>
      </c>
      <c r="AGT20" s="82">
        <f>AGS20</f>
        <v/>
      </c>
      <c r="AGU20" s="82">
        <f>AGT20</f>
        <v/>
      </c>
      <c r="AGV20" s="82">
        <f>AGU20</f>
        <v/>
      </c>
      <c r="AGW20" s="82">
        <f>AGV20</f>
        <v/>
      </c>
      <c r="AGX20" s="82">
        <f>AGW20</f>
        <v/>
      </c>
      <c r="AGY20" s="133" t="n"/>
      <c r="AGZ20" s="82">
        <f>AGX20</f>
        <v/>
      </c>
      <c r="AHA20" s="82">
        <f>AGZ20</f>
        <v/>
      </c>
      <c r="AHB20" s="82">
        <f>AHA20</f>
        <v/>
      </c>
      <c r="AHC20" s="82">
        <f>AHB20</f>
        <v/>
      </c>
      <c r="AHD20" s="82">
        <f>AHC20</f>
        <v/>
      </c>
      <c r="AHE20" s="82">
        <f>AHD20</f>
        <v/>
      </c>
      <c r="AHF20" s="82">
        <f>AHE20</f>
        <v/>
      </c>
      <c r="AHG20" s="82">
        <f>AHF20</f>
        <v/>
      </c>
      <c r="AHH20" s="82">
        <f>AHG20</f>
        <v/>
      </c>
      <c r="AHI20" s="82">
        <f>AHH20</f>
        <v/>
      </c>
      <c r="AHJ20" s="82">
        <f>AHI20</f>
        <v/>
      </c>
      <c r="AHK20" s="82">
        <f>AHJ20</f>
        <v/>
      </c>
      <c r="AHL20" s="82">
        <f>AHK20</f>
        <v/>
      </c>
      <c r="AHM20" s="82">
        <f>AHL20</f>
        <v/>
      </c>
      <c r="AHN20" s="82">
        <f>AHM20</f>
        <v/>
      </c>
      <c r="AHO20" s="82">
        <f>AHN20</f>
        <v/>
      </c>
      <c r="AHP20" s="82">
        <f>AHO20</f>
        <v/>
      </c>
      <c r="AHQ20" s="82">
        <f>AHP20</f>
        <v/>
      </c>
      <c r="AHR20" s="82">
        <f>AHQ20</f>
        <v/>
      </c>
      <c r="AHS20" s="82">
        <f>AHR20</f>
        <v/>
      </c>
      <c r="AHT20" s="82">
        <f>AHS20</f>
        <v/>
      </c>
      <c r="AHU20" s="82">
        <f>AHT20</f>
        <v/>
      </c>
      <c r="AHV20" s="82">
        <f>AHU20</f>
        <v/>
      </c>
      <c r="AHW20" s="82">
        <f>AHV20</f>
        <v/>
      </c>
      <c r="AHX20" s="82">
        <f>AHW20</f>
        <v/>
      </c>
      <c r="AHY20" s="82">
        <f>AHX20</f>
        <v/>
      </c>
      <c r="AHZ20" s="82">
        <f>AHY20</f>
        <v/>
      </c>
      <c r="AIA20" s="82">
        <f>AHZ20</f>
        <v/>
      </c>
      <c r="AIB20" s="82">
        <f>AIA20</f>
        <v/>
      </c>
      <c r="AIC20" s="82">
        <f>AIB20</f>
        <v/>
      </c>
      <c r="AID20" s="82">
        <f>AIC20</f>
        <v/>
      </c>
      <c r="AIE20" s="130" t="n"/>
      <c r="AIF20" s="82">
        <f>AID20</f>
        <v/>
      </c>
      <c r="AIG20" s="82">
        <f>AIF20</f>
        <v/>
      </c>
      <c r="AIH20" s="82">
        <f>AIG20</f>
        <v/>
      </c>
      <c r="AII20" s="82">
        <f>AIH20</f>
        <v/>
      </c>
      <c r="AIJ20" s="82">
        <f>AII20</f>
        <v/>
      </c>
      <c r="AIK20" s="82">
        <f>AIJ20</f>
        <v/>
      </c>
      <c r="AIL20" s="82">
        <f>AIK20</f>
        <v/>
      </c>
      <c r="AIM20" s="82">
        <f>AIL20</f>
        <v/>
      </c>
      <c r="AIN20" s="82">
        <f>AIM20</f>
        <v/>
      </c>
      <c r="AIO20" s="82">
        <f>AIN20</f>
        <v/>
      </c>
      <c r="AIP20" s="82">
        <f>AIO20</f>
        <v/>
      </c>
      <c r="AIQ20" s="82">
        <f>AIP20</f>
        <v/>
      </c>
      <c r="AIR20" s="82">
        <f>AIQ20</f>
        <v/>
      </c>
      <c r="AIS20" s="82">
        <f>AIR20</f>
        <v/>
      </c>
      <c r="AIT20" s="82">
        <f>AIS20</f>
        <v/>
      </c>
      <c r="AIU20" s="82">
        <f>AIT20</f>
        <v/>
      </c>
      <c r="AIV20" s="82">
        <f>AIU20</f>
        <v/>
      </c>
      <c r="AIW20" s="82">
        <f>AIV20</f>
        <v/>
      </c>
      <c r="AIX20" s="82">
        <f>AIW20</f>
        <v/>
      </c>
      <c r="AIY20" s="82">
        <f>AIX20</f>
        <v/>
      </c>
      <c r="AIZ20" s="82">
        <f>AIY20</f>
        <v/>
      </c>
      <c r="AJA20" s="82">
        <f>AIZ20</f>
        <v/>
      </c>
      <c r="AJB20" s="82">
        <f>AJA20</f>
        <v/>
      </c>
      <c r="AJC20" s="82">
        <f>AJB20</f>
        <v/>
      </c>
      <c r="AJD20" s="82">
        <f>AJC20</f>
        <v/>
      </c>
      <c r="AJE20" s="82">
        <f>AJD20</f>
        <v/>
      </c>
      <c r="AJF20" s="82">
        <f>AJE20</f>
        <v/>
      </c>
      <c r="AJG20" s="82">
        <f>AJF20</f>
        <v/>
      </c>
      <c r="AJH20" s="82">
        <f>AJG20</f>
        <v/>
      </c>
      <c r="AJI20" s="82">
        <f>AJH20</f>
        <v/>
      </c>
      <c r="AJJ20" s="82">
        <f>AJI20</f>
        <v/>
      </c>
      <c r="AJK20" s="145" t="n"/>
      <c r="AJL20" s="82">
        <f>AJJ20</f>
        <v/>
      </c>
      <c r="AJM20" s="82">
        <f>AJL20</f>
        <v/>
      </c>
      <c r="AJN20" s="82">
        <f>AJM20</f>
        <v/>
      </c>
      <c r="AJO20" s="82">
        <f>AJN20</f>
        <v/>
      </c>
      <c r="AJP20" s="82">
        <f>AJO20</f>
        <v/>
      </c>
      <c r="AJQ20" s="82">
        <f>AJP20</f>
        <v/>
      </c>
      <c r="AJR20" s="82">
        <f>AJQ20</f>
        <v/>
      </c>
      <c r="AJS20" s="82">
        <f>AJR20</f>
        <v/>
      </c>
      <c r="AJT20" s="82">
        <f>AJS20</f>
        <v/>
      </c>
      <c r="AJU20" s="82">
        <f>AJT20</f>
        <v/>
      </c>
      <c r="AJV20" s="82">
        <f>AJU20</f>
        <v/>
      </c>
      <c r="AJW20" s="82">
        <f>AJV20</f>
        <v/>
      </c>
      <c r="AJX20" s="82">
        <f>AJW20</f>
        <v/>
      </c>
      <c r="AJY20" s="82">
        <f>AJX20</f>
        <v/>
      </c>
      <c r="AJZ20" s="82">
        <f>AJY20</f>
        <v/>
      </c>
      <c r="AKA20" s="82">
        <f>AJZ20</f>
        <v/>
      </c>
      <c r="AKB20" s="82">
        <f>AKA20</f>
        <v/>
      </c>
      <c r="AKC20" s="82">
        <f>AKB20</f>
        <v/>
      </c>
      <c r="AKD20" s="82">
        <f>AKC20</f>
        <v/>
      </c>
      <c r="AKE20" s="82">
        <f>AKD20</f>
        <v/>
      </c>
      <c r="AKF20" s="82">
        <f>AKE20</f>
        <v/>
      </c>
      <c r="AKG20" s="82">
        <f>AKF20</f>
        <v/>
      </c>
      <c r="AKH20" s="82">
        <f>AKG20</f>
        <v/>
      </c>
      <c r="AKI20" s="82">
        <f>AKH20</f>
        <v/>
      </c>
      <c r="AKJ20" s="82">
        <f>AKI20</f>
        <v/>
      </c>
      <c r="AKK20" s="82">
        <f>AKJ20</f>
        <v/>
      </c>
      <c r="AKL20" s="82">
        <f>AKK20</f>
        <v/>
      </c>
      <c r="AKM20" s="82">
        <f>AKL20</f>
        <v/>
      </c>
      <c r="AKN20" s="112" t="n"/>
      <c r="AKO20" s="82">
        <f>AKM20</f>
        <v/>
      </c>
      <c r="AKP20" s="82">
        <f>AKO20</f>
        <v/>
      </c>
      <c r="AKQ20" s="82">
        <f>AKP20</f>
        <v/>
      </c>
      <c r="AKR20" s="82">
        <f>AKQ20</f>
        <v/>
      </c>
      <c r="AKS20" s="82">
        <f>AKR20</f>
        <v/>
      </c>
      <c r="AKT20" s="82">
        <f>AKS20</f>
        <v/>
      </c>
      <c r="AKU20" s="82">
        <f>AKT20</f>
        <v/>
      </c>
      <c r="AKV20" s="82">
        <f>AKU20</f>
        <v/>
      </c>
      <c r="AKW20" s="82">
        <f>AKV20</f>
        <v/>
      </c>
      <c r="AKX20" s="82">
        <f>AKW20</f>
        <v/>
      </c>
      <c r="AKY20" s="82">
        <f>AKX20</f>
        <v/>
      </c>
      <c r="AKZ20" s="82">
        <f>AKY20</f>
        <v/>
      </c>
      <c r="ALA20" s="82">
        <f>AKZ20</f>
        <v/>
      </c>
      <c r="ALB20" s="82">
        <f>ALA20</f>
        <v/>
      </c>
      <c r="ALC20" s="82">
        <f>ALB20</f>
        <v/>
      </c>
      <c r="ALD20" s="82">
        <f>ALC20</f>
        <v/>
      </c>
      <c r="ALE20" s="82">
        <f>ALD20</f>
        <v/>
      </c>
      <c r="ALF20" s="82">
        <f>ALE20</f>
        <v/>
      </c>
      <c r="ALG20" s="82">
        <f>ALF20</f>
        <v/>
      </c>
      <c r="ALH20" s="82">
        <f>ALG20</f>
        <v/>
      </c>
      <c r="ALI20" s="82">
        <f>ALH20</f>
        <v/>
      </c>
      <c r="ALJ20" s="82">
        <f>ALI20</f>
        <v/>
      </c>
      <c r="ALK20" s="82">
        <f>ALJ20</f>
        <v/>
      </c>
      <c r="ALL20" s="82">
        <f>ALK20</f>
        <v/>
      </c>
      <c r="ALM20" s="82">
        <f>ALL20</f>
        <v/>
      </c>
      <c r="ALN20" s="82">
        <f>ALM20</f>
        <v/>
      </c>
      <c r="ALO20" s="82">
        <f>ALN20</f>
        <v/>
      </c>
      <c r="ALP20" s="82">
        <f>ALO20</f>
        <v/>
      </c>
      <c r="ALQ20" s="82">
        <f>ALP20</f>
        <v/>
      </c>
      <c r="ALR20" s="82">
        <f>ALQ20</f>
        <v/>
      </c>
      <c r="ALS20" s="82">
        <f>ALR20</f>
        <v/>
      </c>
      <c r="ALT20" s="130" t="n"/>
      <c r="ALU20" s="82">
        <f>ALS20</f>
        <v/>
      </c>
      <c r="ALV20" s="82">
        <f>ALU20</f>
        <v/>
      </c>
      <c r="ALW20" s="82">
        <f>ALV20</f>
        <v/>
      </c>
      <c r="ALX20" s="82">
        <f>ALW20</f>
        <v/>
      </c>
      <c r="ALY20" s="82">
        <f>ALX20</f>
        <v/>
      </c>
      <c r="ALZ20" s="82">
        <f>ALY20</f>
        <v/>
      </c>
      <c r="AMA20" s="82">
        <f>ALZ20</f>
        <v/>
      </c>
      <c r="AMB20" s="82">
        <f>AMA20</f>
        <v/>
      </c>
      <c r="AMC20" s="82">
        <f>AMB20</f>
        <v/>
      </c>
      <c r="AMD20" s="82">
        <f>AMC20</f>
        <v/>
      </c>
      <c r="AME20" s="82">
        <f>AMD20</f>
        <v/>
      </c>
      <c r="AMF20" s="82">
        <f>AME20</f>
        <v/>
      </c>
      <c r="AMG20" s="82">
        <f>AMF20</f>
        <v/>
      </c>
      <c r="AMH20" s="82">
        <f>AMG20</f>
        <v/>
      </c>
      <c r="AMI20" s="82">
        <f>AMH20</f>
        <v/>
      </c>
      <c r="AMJ20" s="82">
        <f>AMI20</f>
        <v/>
      </c>
      <c r="AMK20" s="82">
        <f>AMJ20</f>
        <v/>
      </c>
      <c r="AML20" s="82">
        <f>AMK20</f>
        <v/>
      </c>
      <c r="AMM20" s="82">
        <f>AML20</f>
        <v/>
      </c>
      <c r="AMN20" s="82">
        <f>AMM20</f>
        <v/>
      </c>
      <c r="AMO20" s="82">
        <f>AMN20</f>
        <v/>
      </c>
      <c r="AMP20" s="82">
        <f>AMO20</f>
        <v/>
      </c>
      <c r="AMQ20" s="82">
        <f>AMP20</f>
        <v/>
      </c>
      <c r="AMR20" s="82">
        <f>AMQ20</f>
        <v/>
      </c>
      <c r="AMS20" s="82">
        <f>AMR20</f>
        <v/>
      </c>
      <c r="AMT20" s="82">
        <f>AMS20</f>
        <v/>
      </c>
      <c r="AMU20" s="82">
        <f>AMT20</f>
        <v/>
      </c>
      <c r="AMV20" s="82">
        <f>AMU20</f>
        <v/>
      </c>
      <c r="AMW20" s="82">
        <f>AMV20</f>
        <v/>
      </c>
      <c r="AMX20" s="82">
        <f>AMW20</f>
        <v/>
      </c>
      <c r="AMY20" s="130" t="n"/>
      <c r="AMZ20" s="82">
        <f>AMX20</f>
        <v/>
      </c>
      <c r="ANA20" s="82">
        <f>AMZ20</f>
        <v/>
      </c>
      <c r="ANB20" s="82">
        <f>ANA20</f>
        <v/>
      </c>
      <c r="ANC20" s="82">
        <f>ANB20</f>
        <v/>
      </c>
      <c r="AND20" s="82">
        <f>ANC20</f>
        <v/>
      </c>
      <c r="ANE20" s="82">
        <f>AND20</f>
        <v/>
      </c>
      <c r="ANF20" s="82">
        <f>ANE20</f>
        <v/>
      </c>
      <c r="ANG20" s="82">
        <f>ANF20</f>
        <v/>
      </c>
      <c r="ANH20" s="82">
        <f>ANG20</f>
        <v/>
      </c>
      <c r="ANI20" s="82">
        <f>ANH20</f>
        <v/>
      </c>
      <c r="ANJ20" s="82">
        <f>ANI20</f>
        <v/>
      </c>
      <c r="ANK20" s="82">
        <f>ANJ20</f>
        <v/>
      </c>
      <c r="ANL20" s="82">
        <f>ANK20</f>
        <v/>
      </c>
      <c r="ANM20" s="82">
        <f>ANL20</f>
        <v/>
      </c>
      <c r="ANN20" s="82">
        <f>ANM20</f>
        <v/>
      </c>
      <c r="ANO20" s="82">
        <f>ANN20</f>
        <v/>
      </c>
      <c r="ANP20" s="82">
        <f>ANO20</f>
        <v/>
      </c>
      <c r="ANQ20" s="82">
        <f>ANP20</f>
        <v/>
      </c>
      <c r="ANR20" s="82">
        <f>ANQ20</f>
        <v/>
      </c>
      <c r="ANS20" s="82">
        <f>ANR20</f>
        <v/>
      </c>
      <c r="ANT20" s="82">
        <f>ANS20</f>
        <v/>
      </c>
      <c r="ANU20" s="82">
        <f>ANT20</f>
        <v/>
      </c>
      <c r="ANV20" s="82">
        <f>ANU20</f>
        <v/>
      </c>
      <c r="ANW20" s="82">
        <f>ANV20</f>
        <v/>
      </c>
      <c r="ANX20" s="82">
        <f>ANW20</f>
        <v/>
      </c>
      <c r="ANY20" s="82">
        <f>ANX20</f>
        <v/>
      </c>
      <c r="ANZ20" s="82">
        <f>ANY20</f>
        <v/>
      </c>
      <c r="AOA20" s="82">
        <f>ANZ20</f>
        <v/>
      </c>
      <c r="AOB20" s="82">
        <f>AOA20</f>
        <v/>
      </c>
      <c r="AOC20" s="82">
        <f>AOB20</f>
        <v/>
      </c>
    </row>
    <row r="21">
      <c r="B21" t="inlineStr">
        <is>
          <t>lubs taken headoffice</t>
        </is>
      </c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98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106" t="n"/>
      <c r="BN21" s="52" t="n"/>
      <c r="BO21" s="52" t="n"/>
      <c r="BP21" s="52" t="n"/>
      <c r="BQ21" s="52" t="n"/>
      <c r="BR21" s="52" t="n"/>
      <c r="BS21" s="52" t="n"/>
      <c r="BT21" s="52" t="n"/>
      <c r="BU21" s="52" t="n"/>
      <c r="BV21" s="52" t="n"/>
      <c r="BW21" s="52" t="n"/>
      <c r="BX21" s="52" t="n"/>
      <c r="BY21" s="52" t="n"/>
      <c r="BZ21" s="52" t="n">
        <v>6630334</v>
      </c>
      <c r="CA21" s="52">
        <f>BZ21</f>
        <v/>
      </c>
      <c r="CB21" s="52">
        <f>CA21</f>
        <v/>
      </c>
      <c r="CC21" s="52">
        <f>CB21</f>
        <v/>
      </c>
      <c r="CD21" s="52">
        <f>CC21</f>
        <v/>
      </c>
      <c r="CE21" s="52">
        <f>CD21</f>
        <v/>
      </c>
      <c r="CF21" s="52">
        <f>CE21</f>
        <v/>
      </c>
      <c r="CG21" s="52">
        <f>CF21</f>
        <v/>
      </c>
      <c r="CH21" s="52">
        <f>CG21</f>
        <v/>
      </c>
      <c r="CI21" s="52">
        <f>CH21</f>
        <v/>
      </c>
      <c r="CJ21" s="52">
        <f>CI21</f>
        <v/>
      </c>
      <c r="CK21" s="52">
        <f>CJ21</f>
        <v/>
      </c>
      <c r="CL21" s="52">
        <f>CK21</f>
        <v/>
      </c>
      <c r="CM21" s="52">
        <f>CL21</f>
        <v/>
      </c>
      <c r="CN21" s="52">
        <f>CM21</f>
        <v/>
      </c>
      <c r="CO21" s="52">
        <f>CN21</f>
        <v/>
      </c>
      <c r="CP21" s="52">
        <f>CO21</f>
        <v/>
      </c>
      <c r="CQ21" s="52">
        <f>CP21</f>
        <v/>
      </c>
      <c r="CR21" s="52">
        <f>CQ21</f>
        <v/>
      </c>
      <c r="CT21" s="82">
        <f>CR21</f>
        <v/>
      </c>
      <c r="CU21" s="82">
        <f>CT21</f>
        <v/>
      </c>
      <c r="CV21" s="82">
        <f>CT21</f>
        <v/>
      </c>
      <c r="CW21" s="82">
        <f>CU21</f>
        <v/>
      </c>
      <c r="CX21" s="82">
        <f>CV21</f>
        <v/>
      </c>
      <c r="CY21" s="82">
        <f>CW21</f>
        <v/>
      </c>
      <c r="CZ21" s="82">
        <f>CX21</f>
        <v/>
      </c>
      <c r="DA21" s="82">
        <f>CY21</f>
        <v/>
      </c>
      <c r="DB21" s="82">
        <f>CZ21</f>
        <v/>
      </c>
      <c r="DC21" s="82">
        <f>DA21</f>
        <v/>
      </c>
      <c r="DD21" s="82">
        <f>DB21</f>
        <v/>
      </c>
      <c r="DE21" s="82">
        <f>DC21</f>
        <v/>
      </c>
      <c r="DF21" s="82">
        <f>DD21</f>
        <v/>
      </c>
      <c r="DG21" s="82">
        <f>DE21</f>
        <v/>
      </c>
      <c r="DH21" s="82">
        <f>DF21</f>
        <v/>
      </c>
      <c r="DI21" s="82">
        <f>DG21</f>
        <v/>
      </c>
      <c r="DJ21" s="82">
        <f>DH21</f>
        <v/>
      </c>
      <c r="DK21" s="82">
        <f>DI21</f>
        <v/>
      </c>
      <c r="DL21" s="82">
        <f>DJ21</f>
        <v/>
      </c>
      <c r="DM21" s="82">
        <f>DK21</f>
        <v/>
      </c>
      <c r="DN21" s="82">
        <f>DL21</f>
        <v/>
      </c>
      <c r="DO21" s="82">
        <f>DM21</f>
        <v/>
      </c>
      <c r="DP21" s="82">
        <f>DN21</f>
        <v/>
      </c>
      <c r="DQ21" s="82">
        <f>DO21</f>
        <v/>
      </c>
      <c r="DR21" s="82">
        <f>DP21</f>
        <v/>
      </c>
      <c r="DS21" s="82">
        <f>DQ21</f>
        <v/>
      </c>
      <c r="DT21" s="82">
        <f>DR21</f>
        <v/>
      </c>
      <c r="DU21" s="82">
        <f>DS21</f>
        <v/>
      </c>
      <c r="DV21" s="82">
        <f>DT21</f>
        <v/>
      </c>
      <c r="DW21" s="82">
        <f>DU21</f>
        <v/>
      </c>
      <c r="DX21" s="117" t="n"/>
      <c r="DY21" s="82">
        <f>DW21</f>
        <v/>
      </c>
      <c r="DZ21" s="82">
        <f>DY21</f>
        <v/>
      </c>
      <c r="EA21" s="82">
        <f>DY21</f>
        <v/>
      </c>
      <c r="EB21" s="82">
        <f>DZ21</f>
        <v/>
      </c>
      <c r="EC21" s="82">
        <f>EA21</f>
        <v/>
      </c>
      <c r="ED21" s="82">
        <f>EB21</f>
        <v/>
      </c>
      <c r="EE21" s="82">
        <f>EC21</f>
        <v/>
      </c>
      <c r="EF21" s="82">
        <f>ED21</f>
        <v/>
      </c>
      <c r="EG21" s="82">
        <f>EE21</f>
        <v/>
      </c>
      <c r="EH21" s="82">
        <f>EF21</f>
        <v/>
      </c>
      <c r="EI21" s="82">
        <f>EG21</f>
        <v/>
      </c>
      <c r="EJ21" s="82">
        <f>EH21</f>
        <v/>
      </c>
      <c r="EK21" s="82">
        <f>EI21</f>
        <v/>
      </c>
      <c r="EL21" s="82">
        <f>EJ21</f>
        <v/>
      </c>
      <c r="EM21" s="82">
        <f>EK21</f>
        <v/>
      </c>
      <c r="EN21" s="82">
        <f>EL21</f>
        <v/>
      </c>
      <c r="EO21" s="82">
        <f>EM21</f>
        <v/>
      </c>
      <c r="EP21" s="82">
        <f>EN21</f>
        <v/>
      </c>
      <c r="EQ21" s="82">
        <f>EO21</f>
        <v/>
      </c>
      <c r="ER21" s="82">
        <f>EP21</f>
        <v/>
      </c>
      <c r="ES21" s="82">
        <f>EQ21</f>
        <v/>
      </c>
      <c r="ET21" s="82">
        <f>ER21</f>
        <v/>
      </c>
      <c r="EU21" s="82">
        <f>ES21</f>
        <v/>
      </c>
      <c r="EV21" s="82">
        <f>ET21</f>
        <v/>
      </c>
      <c r="EW21" s="82">
        <f>EU21</f>
        <v/>
      </c>
      <c r="EX21" s="82">
        <f>EV21</f>
        <v/>
      </c>
      <c r="EY21" s="82">
        <f>EW21</f>
        <v/>
      </c>
      <c r="EZ21" s="82">
        <f>EX21</f>
        <v/>
      </c>
      <c r="FA21" s="82">
        <f>EY21</f>
        <v/>
      </c>
      <c r="FB21" s="82">
        <f>EZ21</f>
        <v/>
      </c>
      <c r="FC21" s="82">
        <f>FA21</f>
        <v/>
      </c>
      <c r="FD21" s="126" t="n"/>
      <c r="FE21" s="82">
        <f>FC21</f>
        <v/>
      </c>
      <c r="FF21" s="82">
        <f>FE21</f>
        <v/>
      </c>
      <c r="FG21" s="82">
        <f>FE21</f>
        <v/>
      </c>
      <c r="FH21" s="82">
        <f>FF21</f>
        <v/>
      </c>
      <c r="FI21" s="82">
        <f>FG21</f>
        <v/>
      </c>
      <c r="FJ21" s="82">
        <f>FH21</f>
        <v/>
      </c>
      <c r="FK21" s="82">
        <f>FI21</f>
        <v/>
      </c>
      <c r="FL21" s="82">
        <f>FJ21</f>
        <v/>
      </c>
      <c r="FM21" s="82">
        <f>FK21</f>
        <v/>
      </c>
      <c r="FN21" s="82">
        <f>FL21</f>
        <v/>
      </c>
      <c r="FO21" s="82">
        <f>FM21</f>
        <v/>
      </c>
      <c r="FP21" s="82">
        <f>FN21</f>
        <v/>
      </c>
      <c r="FQ21" s="82">
        <f>FO21</f>
        <v/>
      </c>
      <c r="FR21" s="82">
        <f>FP21</f>
        <v/>
      </c>
      <c r="FS21" s="82">
        <f>FQ21</f>
        <v/>
      </c>
      <c r="FT21" s="82">
        <f>FR21</f>
        <v/>
      </c>
      <c r="FU21" s="82">
        <f>FS21</f>
        <v/>
      </c>
      <c r="FV21" s="82">
        <f>FT21</f>
        <v/>
      </c>
      <c r="FW21" s="82">
        <f>FU21</f>
        <v/>
      </c>
      <c r="FX21" s="82">
        <f>FV21</f>
        <v/>
      </c>
      <c r="FY21" s="82">
        <f>FW21</f>
        <v/>
      </c>
      <c r="FZ21" s="82">
        <f>FX21</f>
        <v/>
      </c>
      <c r="GA21" s="82">
        <f>FY21</f>
        <v/>
      </c>
      <c r="GB21" s="82">
        <f>FZ21</f>
        <v/>
      </c>
      <c r="GC21" s="82">
        <f>GA21</f>
        <v/>
      </c>
      <c r="GD21" s="82">
        <f>GB21</f>
        <v/>
      </c>
      <c r="GE21" s="82">
        <f>GC21</f>
        <v/>
      </c>
      <c r="GF21" s="82">
        <f>GD21</f>
        <v/>
      </c>
      <c r="GG21" s="82">
        <f>GE21</f>
        <v/>
      </c>
      <c r="GH21" s="82">
        <f>GF21</f>
        <v/>
      </c>
      <c r="GI21" s="82">
        <f>GG21</f>
        <v/>
      </c>
      <c r="GJ21" s="130" t="n"/>
      <c r="GK21" s="82">
        <f>GI21</f>
        <v/>
      </c>
      <c r="GL21" s="82">
        <f>GK21</f>
        <v/>
      </c>
      <c r="GM21" s="82">
        <f>GK21</f>
        <v/>
      </c>
      <c r="GN21" s="82">
        <f>GL21</f>
        <v/>
      </c>
      <c r="GO21" s="82">
        <f>GM21</f>
        <v/>
      </c>
      <c r="GP21" s="82">
        <f>GN21</f>
        <v/>
      </c>
      <c r="GQ21" s="82">
        <f>GO21</f>
        <v/>
      </c>
      <c r="GR21" s="82">
        <f>GP21</f>
        <v/>
      </c>
      <c r="GS21" s="82">
        <f>GQ21</f>
        <v/>
      </c>
      <c r="GT21" s="82">
        <f>GR21</f>
        <v/>
      </c>
      <c r="GU21" s="82">
        <f>GS21</f>
        <v/>
      </c>
      <c r="GV21" s="82">
        <f>GT21</f>
        <v/>
      </c>
      <c r="GW21" s="82">
        <f>GU21</f>
        <v/>
      </c>
      <c r="GX21" s="82">
        <f>GV21</f>
        <v/>
      </c>
      <c r="GY21" s="82">
        <f>GW21</f>
        <v/>
      </c>
      <c r="GZ21" s="82">
        <f>GX21</f>
        <v/>
      </c>
      <c r="HA21" s="82">
        <f>GY21</f>
        <v/>
      </c>
      <c r="HB21" s="82">
        <f>GZ21</f>
        <v/>
      </c>
      <c r="HC21" s="82">
        <f>HA21</f>
        <v/>
      </c>
      <c r="HD21" s="82">
        <f>HB21</f>
        <v/>
      </c>
      <c r="HE21" s="82">
        <f>HC21</f>
        <v/>
      </c>
      <c r="HF21" s="82">
        <f>HD21</f>
        <v/>
      </c>
      <c r="HG21" s="82">
        <f>HE21</f>
        <v/>
      </c>
      <c r="HH21" s="82">
        <f>HF21</f>
        <v/>
      </c>
      <c r="HI21" s="82">
        <f>HG21</f>
        <v/>
      </c>
      <c r="HJ21" s="82">
        <f>HH21</f>
        <v/>
      </c>
      <c r="HK21" s="82">
        <f>HI21</f>
        <v/>
      </c>
      <c r="HL21" s="82">
        <f>HJ21</f>
        <v/>
      </c>
      <c r="HM21" s="82">
        <f>HK21</f>
        <v/>
      </c>
      <c r="HN21" s="130" t="n"/>
      <c r="HO21" s="82">
        <f>HM21</f>
        <v/>
      </c>
      <c r="HP21" s="82">
        <f>HO21</f>
        <v/>
      </c>
      <c r="HQ21" s="82">
        <f>HO21</f>
        <v/>
      </c>
      <c r="HR21" s="82">
        <f>HP21</f>
        <v/>
      </c>
      <c r="HS21" s="82">
        <f>HQ21</f>
        <v/>
      </c>
      <c r="HT21" s="82">
        <f>HR21</f>
        <v/>
      </c>
      <c r="HU21" s="82">
        <f>HS21</f>
        <v/>
      </c>
      <c r="HV21" s="82">
        <f>HT21</f>
        <v/>
      </c>
      <c r="HW21" s="82">
        <f>HU21</f>
        <v/>
      </c>
      <c r="HX21" s="82">
        <f>HV21</f>
        <v/>
      </c>
      <c r="HY21" s="82">
        <f>HW21</f>
        <v/>
      </c>
      <c r="HZ21" s="82">
        <f>HX21</f>
        <v/>
      </c>
      <c r="IA21" s="82">
        <f>HY21</f>
        <v/>
      </c>
      <c r="IB21" s="82">
        <f>HZ21</f>
        <v/>
      </c>
      <c r="IC21" s="82">
        <f>IA21</f>
        <v/>
      </c>
      <c r="ID21" s="82">
        <f>IB21</f>
        <v/>
      </c>
      <c r="IE21" s="82">
        <f>IC21</f>
        <v/>
      </c>
      <c r="IF21" s="82">
        <f>ID21</f>
        <v/>
      </c>
      <c r="IG21" s="82">
        <f>IE21</f>
        <v/>
      </c>
      <c r="IH21" s="82">
        <f>IF21</f>
        <v/>
      </c>
      <c r="II21" s="82">
        <f>IG21</f>
        <v/>
      </c>
      <c r="IJ21" s="82">
        <f>IH21</f>
        <v/>
      </c>
      <c r="IK21" s="82">
        <f>II21</f>
        <v/>
      </c>
      <c r="IL21" s="82">
        <f>IJ21</f>
        <v/>
      </c>
      <c r="IM21" s="82">
        <f>IK21</f>
        <v/>
      </c>
      <c r="IN21" s="82">
        <f>IL21</f>
        <v/>
      </c>
      <c r="IO21" s="82">
        <f>IM21</f>
        <v/>
      </c>
      <c r="IP21" s="82">
        <f>IN21</f>
        <v/>
      </c>
      <c r="IQ21" s="82">
        <f>IO21</f>
        <v/>
      </c>
      <c r="IR21" s="82">
        <f>IP21</f>
        <v/>
      </c>
      <c r="IS21" s="82">
        <f>IQ21</f>
        <v/>
      </c>
      <c r="IT21" s="130" t="n"/>
      <c r="IU21" s="82">
        <f>IS21</f>
        <v/>
      </c>
      <c r="IV21" s="82">
        <f>IU21</f>
        <v/>
      </c>
      <c r="IW21" s="82">
        <f>IV21</f>
        <v/>
      </c>
      <c r="IX21" s="82">
        <f>IW21</f>
        <v/>
      </c>
      <c r="IY21" s="82">
        <f>IX21</f>
        <v/>
      </c>
      <c r="IZ21" s="82">
        <f>IY21</f>
        <v/>
      </c>
      <c r="JA21" s="82">
        <f>IZ21</f>
        <v/>
      </c>
      <c r="JB21" s="82">
        <f>JA21</f>
        <v/>
      </c>
      <c r="JC21" s="82">
        <f>JB21</f>
        <v/>
      </c>
      <c r="JD21" s="82">
        <f>JC21</f>
        <v/>
      </c>
      <c r="JE21" s="82">
        <f>JD21</f>
        <v/>
      </c>
      <c r="JF21" s="82">
        <f>JE21</f>
        <v/>
      </c>
      <c r="JG21" s="82">
        <f>JF21</f>
        <v/>
      </c>
      <c r="JH21" s="82">
        <f>JG21</f>
        <v/>
      </c>
      <c r="JI21" s="82">
        <f>JH21</f>
        <v/>
      </c>
      <c r="JJ21" s="82">
        <f>JI21</f>
        <v/>
      </c>
      <c r="JK21" s="82">
        <f>JJ21</f>
        <v/>
      </c>
      <c r="JL21" s="82">
        <f>JK21</f>
        <v/>
      </c>
      <c r="JM21" s="82">
        <f>JL21</f>
        <v/>
      </c>
      <c r="JN21" s="82">
        <f>JM21</f>
        <v/>
      </c>
      <c r="JO21" s="82">
        <f>JN21</f>
        <v/>
      </c>
      <c r="JP21" s="82">
        <f>JO21</f>
        <v/>
      </c>
      <c r="JQ21" s="82">
        <f>JP21</f>
        <v/>
      </c>
      <c r="JR21" s="82">
        <f>JQ21</f>
        <v/>
      </c>
      <c r="JS21" s="82">
        <f>JR21</f>
        <v/>
      </c>
      <c r="JT21" s="82">
        <f>JS21</f>
        <v/>
      </c>
      <c r="JU21" s="82">
        <f>JT21</f>
        <v/>
      </c>
      <c r="JV21" s="82">
        <f>JU21</f>
        <v/>
      </c>
      <c r="JW21" s="82">
        <f>JV21</f>
        <v/>
      </c>
      <c r="JX21" s="82">
        <f>JW21</f>
        <v/>
      </c>
      <c r="JY21" s="133" t="n"/>
      <c r="JZ21" s="82">
        <f>JX21</f>
        <v/>
      </c>
      <c r="KA21" s="82">
        <f>JZ21</f>
        <v/>
      </c>
      <c r="KB21" s="82">
        <f>JZ21</f>
        <v/>
      </c>
      <c r="KC21" s="82">
        <f>KA21</f>
        <v/>
      </c>
      <c r="KD21" s="82">
        <f>KB21</f>
        <v/>
      </c>
      <c r="KE21" s="82">
        <f>KC21</f>
        <v/>
      </c>
      <c r="KF21" s="82">
        <f>KD21</f>
        <v/>
      </c>
      <c r="KG21" s="82">
        <f>KE21</f>
        <v/>
      </c>
      <c r="KH21" s="82">
        <f>KF21</f>
        <v/>
      </c>
      <c r="KI21" s="82">
        <f>KG21</f>
        <v/>
      </c>
      <c r="KJ21" s="82">
        <f>KH21</f>
        <v/>
      </c>
      <c r="KK21" s="82">
        <f>KI21</f>
        <v/>
      </c>
      <c r="KL21" s="82">
        <f>KJ21</f>
        <v/>
      </c>
      <c r="KM21" s="82">
        <f>KK21</f>
        <v/>
      </c>
      <c r="KN21" s="82">
        <f>KL21</f>
        <v/>
      </c>
      <c r="KO21" s="82">
        <f>KM21</f>
        <v/>
      </c>
      <c r="KP21" s="82">
        <f>KN21</f>
        <v/>
      </c>
      <c r="KQ21" s="82">
        <f>KO21</f>
        <v/>
      </c>
      <c r="KR21" s="82">
        <f>KP21</f>
        <v/>
      </c>
      <c r="KS21" s="82">
        <f>KQ21</f>
        <v/>
      </c>
      <c r="KT21" s="82">
        <f>KR21</f>
        <v/>
      </c>
      <c r="KU21" s="82">
        <f>KS21</f>
        <v/>
      </c>
      <c r="KV21" s="82">
        <f>KT21</f>
        <v/>
      </c>
      <c r="KW21" s="82">
        <f>KU21</f>
        <v/>
      </c>
      <c r="KX21" s="82">
        <f>KV21</f>
        <v/>
      </c>
      <c r="KY21" s="82">
        <f>KW21</f>
        <v/>
      </c>
      <c r="KZ21" s="82">
        <f>KX21</f>
        <v/>
      </c>
      <c r="LA21" s="82">
        <f>KY21</f>
        <v/>
      </c>
      <c r="LB21" s="82">
        <f>KZ21</f>
        <v/>
      </c>
      <c r="LC21" s="82">
        <f>LA21</f>
        <v/>
      </c>
      <c r="LD21" s="82">
        <f>LB21</f>
        <v/>
      </c>
      <c r="LE21" s="130" t="n"/>
      <c r="LF21" s="82">
        <f>LD21</f>
        <v/>
      </c>
      <c r="LG21" s="82">
        <f>LF21</f>
        <v/>
      </c>
      <c r="LH21" s="82">
        <f>LG21</f>
        <v/>
      </c>
      <c r="LI21" s="82">
        <f>LH21</f>
        <v/>
      </c>
      <c r="LJ21" s="82">
        <f>LI21</f>
        <v/>
      </c>
      <c r="LK21" s="82">
        <f>LJ21</f>
        <v/>
      </c>
      <c r="LL21" s="82">
        <f>LK21</f>
        <v/>
      </c>
      <c r="LM21" s="82">
        <f>LL21</f>
        <v/>
      </c>
      <c r="LN21" s="82">
        <f>LM21</f>
        <v/>
      </c>
      <c r="LO21" s="82">
        <f>LN21</f>
        <v/>
      </c>
      <c r="LP21" s="82">
        <f>LO21</f>
        <v/>
      </c>
      <c r="LQ21" s="82">
        <f>LP21</f>
        <v/>
      </c>
      <c r="LR21" s="82" t="n">
        <v>0</v>
      </c>
      <c r="LS21" s="82">
        <f>LR21</f>
        <v/>
      </c>
      <c r="LT21" s="82">
        <f>LS21</f>
        <v/>
      </c>
      <c r="LU21" s="82">
        <f>LT21</f>
        <v/>
      </c>
      <c r="LV21" s="82">
        <f>LU21</f>
        <v/>
      </c>
      <c r="LW21" s="82">
        <f>LV21</f>
        <v/>
      </c>
      <c r="LX21" s="82">
        <f>LW21</f>
        <v/>
      </c>
      <c r="LY21" s="82">
        <f>LX21</f>
        <v/>
      </c>
      <c r="LZ21" s="82">
        <f>LY21</f>
        <v/>
      </c>
      <c r="MA21" s="82">
        <f>LZ21</f>
        <v/>
      </c>
      <c r="MB21" s="82">
        <f>MA21</f>
        <v/>
      </c>
      <c r="MC21" s="82">
        <f>MB21</f>
        <v/>
      </c>
      <c r="MD21" s="82">
        <f>MC21</f>
        <v/>
      </c>
      <c r="ME21" s="82">
        <f>MD21</f>
        <v/>
      </c>
      <c r="MF21" s="82">
        <f>ME21</f>
        <v/>
      </c>
      <c r="MG21" s="82">
        <f>MF21</f>
        <v/>
      </c>
      <c r="MH21" s="82">
        <f>MG21</f>
        <v/>
      </c>
      <c r="MI21" s="82">
        <f>MH21</f>
        <v/>
      </c>
      <c r="MJ21" s="133" t="n"/>
      <c r="MK21" s="82">
        <f>MJ21</f>
        <v/>
      </c>
      <c r="ML21" s="82">
        <f>MK21</f>
        <v/>
      </c>
      <c r="MM21" s="82">
        <f>ML21</f>
        <v/>
      </c>
      <c r="MN21" s="82">
        <f>MM21</f>
        <v/>
      </c>
      <c r="MO21" s="82">
        <f>MN21</f>
        <v/>
      </c>
      <c r="MP21" s="82">
        <f>MO21</f>
        <v/>
      </c>
      <c r="MQ21" s="82">
        <f>MP21</f>
        <v/>
      </c>
      <c r="MR21" s="82">
        <f>MQ21</f>
        <v/>
      </c>
      <c r="MS21" s="82">
        <f>MR21</f>
        <v/>
      </c>
      <c r="MT21" s="82">
        <f>MS21</f>
        <v/>
      </c>
      <c r="MU21" s="82">
        <f>MT21</f>
        <v/>
      </c>
      <c r="MV21" s="82">
        <f>MU21</f>
        <v/>
      </c>
      <c r="MW21" s="82">
        <f>MV21</f>
        <v/>
      </c>
      <c r="MX21" s="82">
        <f>MW21</f>
        <v/>
      </c>
      <c r="MY21" s="82">
        <f>MX21</f>
        <v/>
      </c>
      <c r="MZ21" s="82">
        <f>MY21</f>
        <v/>
      </c>
      <c r="NA21" s="82">
        <f>MZ21</f>
        <v/>
      </c>
      <c r="NB21" s="82">
        <f>NA21</f>
        <v/>
      </c>
      <c r="NC21" s="82">
        <f>NB21</f>
        <v/>
      </c>
      <c r="ND21" s="82">
        <f>NC21</f>
        <v/>
      </c>
      <c r="NE21" s="82">
        <f>ND21</f>
        <v/>
      </c>
      <c r="NF21" s="82">
        <f>NE21</f>
        <v/>
      </c>
      <c r="NG21" s="82">
        <f>NF21</f>
        <v/>
      </c>
      <c r="NH21" s="82">
        <f>NG21</f>
        <v/>
      </c>
      <c r="NI21" s="82">
        <f>NH21</f>
        <v/>
      </c>
      <c r="NJ21" s="82">
        <f>NI21</f>
        <v/>
      </c>
      <c r="NK21" s="82">
        <f>NJ21</f>
        <v/>
      </c>
      <c r="NL21" s="82">
        <f>NK21</f>
        <v/>
      </c>
      <c r="NM21" s="82">
        <f>NL21</f>
        <v/>
      </c>
      <c r="NN21" s="82">
        <f>NM21</f>
        <v/>
      </c>
      <c r="NO21" s="82">
        <f>NN21</f>
        <v/>
      </c>
      <c r="NP21" s="133" t="n"/>
      <c r="NQ21" s="82">
        <f>NP21</f>
        <v/>
      </c>
      <c r="NR21" s="82">
        <f>NQ21</f>
        <v/>
      </c>
      <c r="NS21" s="82">
        <f>NR21</f>
        <v/>
      </c>
      <c r="NT21" s="82">
        <f>NS21</f>
        <v/>
      </c>
      <c r="NU21" s="82">
        <f>NT21</f>
        <v/>
      </c>
      <c r="NV21" s="82">
        <f>NU21</f>
        <v/>
      </c>
      <c r="NW21" s="82">
        <f>NV21</f>
        <v/>
      </c>
      <c r="NX21" s="82">
        <f>NW21</f>
        <v/>
      </c>
      <c r="NY21" s="82">
        <f>NX21</f>
        <v/>
      </c>
      <c r="NZ21" s="82">
        <f>NY21</f>
        <v/>
      </c>
      <c r="OA21" s="82">
        <f>NZ21</f>
        <v/>
      </c>
      <c r="OB21" s="82">
        <f>OA21</f>
        <v/>
      </c>
      <c r="OC21" s="82">
        <f>OB21</f>
        <v/>
      </c>
      <c r="OD21" s="82">
        <f>OC21</f>
        <v/>
      </c>
      <c r="OE21" s="82">
        <f>OD21</f>
        <v/>
      </c>
      <c r="OF21" s="82">
        <f>OE21</f>
        <v/>
      </c>
      <c r="OG21" s="82">
        <f>OF21</f>
        <v/>
      </c>
      <c r="OH21" s="82">
        <f>OG21</f>
        <v/>
      </c>
      <c r="OI21" s="82">
        <f>OH21</f>
        <v/>
      </c>
      <c r="OJ21" s="82">
        <f>OI21</f>
        <v/>
      </c>
      <c r="OK21" s="82">
        <f>OJ21</f>
        <v/>
      </c>
      <c r="OL21" s="82">
        <f>OK21</f>
        <v/>
      </c>
      <c r="OM21" s="82">
        <f>OL21</f>
        <v/>
      </c>
      <c r="ON21" s="82">
        <f>OM21</f>
        <v/>
      </c>
      <c r="OO21" s="82">
        <f>ON21</f>
        <v/>
      </c>
      <c r="OP21" s="82">
        <f>OO21</f>
        <v/>
      </c>
      <c r="OQ21" s="82">
        <f>OP21</f>
        <v/>
      </c>
      <c r="OR21" s="82">
        <f>OQ21</f>
        <v/>
      </c>
      <c r="OS21" s="82">
        <f>OR21</f>
        <v/>
      </c>
      <c r="OT21" s="82">
        <f>OS21</f>
        <v/>
      </c>
      <c r="OU21" s="82">
        <f>OT21</f>
        <v/>
      </c>
      <c r="OV21" s="130" t="n"/>
      <c r="OW21" s="82">
        <f>OV21</f>
        <v/>
      </c>
      <c r="OX21" s="82">
        <f>OW21</f>
        <v/>
      </c>
      <c r="OY21" s="82">
        <f>OX21</f>
        <v/>
      </c>
      <c r="OZ21" s="82">
        <f>OY21</f>
        <v/>
      </c>
      <c r="PA21" s="82">
        <f>OZ21</f>
        <v/>
      </c>
      <c r="PB21" s="82">
        <f>PA21</f>
        <v/>
      </c>
      <c r="PC21" s="82">
        <f>PB21</f>
        <v/>
      </c>
      <c r="PD21" s="82">
        <f>PC21</f>
        <v/>
      </c>
      <c r="PE21" s="82">
        <f>PD21</f>
        <v/>
      </c>
      <c r="PF21" s="82">
        <f>PE21</f>
        <v/>
      </c>
      <c r="PG21" s="82">
        <f>PF21</f>
        <v/>
      </c>
      <c r="PH21" s="82">
        <f>PG21</f>
        <v/>
      </c>
      <c r="PI21" s="82">
        <f>PH21</f>
        <v/>
      </c>
      <c r="PJ21" s="82">
        <f>PI21</f>
        <v/>
      </c>
      <c r="PK21" s="82">
        <f>PJ21</f>
        <v/>
      </c>
      <c r="PL21" s="82">
        <f>PK21</f>
        <v/>
      </c>
      <c r="PM21" s="82">
        <f>PL21</f>
        <v/>
      </c>
      <c r="PN21" s="82">
        <f>PM21</f>
        <v/>
      </c>
      <c r="PO21" s="82">
        <f>PN21</f>
        <v/>
      </c>
      <c r="PP21" s="82">
        <f>PO21</f>
        <v/>
      </c>
      <c r="PQ21" s="82">
        <f>PP21</f>
        <v/>
      </c>
      <c r="PR21" s="82">
        <f>PQ21</f>
        <v/>
      </c>
      <c r="PS21" s="82">
        <f>PR21</f>
        <v/>
      </c>
      <c r="PT21" s="82">
        <f>PS21</f>
        <v/>
      </c>
      <c r="PU21" s="82">
        <f>PT21</f>
        <v/>
      </c>
      <c r="PV21" s="82">
        <f>PU21</f>
        <v/>
      </c>
      <c r="PW21" s="82">
        <f>PV21</f>
        <v/>
      </c>
      <c r="PX21" s="82">
        <f>PW21</f>
        <v/>
      </c>
      <c r="PY21" s="82">
        <f>PX21</f>
        <v/>
      </c>
      <c r="PZ21" s="82">
        <f>PY21</f>
        <v/>
      </c>
      <c r="QA21" s="130" t="n"/>
      <c r="QB21" s="82">
        <f>QA21</f>
        <v/>
      </c>
      <c r="QC21" s="82">
        <f>QB21</f>
        <v/>
      </c>
      <c r="QD21" s="82">
        <f>QC21</f>
        <v/>
      </c>
      <c r="QE21" s="82">
        <f>QD21</f>
        <v/>
      </c>
      <c r="QF21" s="82">
        <f>QE21</f>
        <v/>
      </c>
      <c r="QG21" s="82">
        <f>QF21</f>
        <v/>
      </c>
      <c r="QH21" s="82">
        <f>QG21</f>
        <v/>
      </c>
      <c r="QI21" s="82">
        <f>QH21</f>
        <v/>
      </c>
      <c r="QJ21" s="82">
        <f>QI21</f>
        <v/>
      </c>
      <c r="QK21" s="82">
        <f>QJ21</f>
        <v/>
      </c>
      <c r="QL21" s="82">
        <f>QK21</f>
        <v/>
      </c>
      <c r="QM21" s="82">
        <f>QL21</f>
        <v/>
      </c>
      <c r="QN21" s="82">
        <f>QM21</f>
        <v/>
      </c>
      <c r="QO21" s="82">
        <f>QN21</f>
        <v/>
      </c>
      <c r="QP21" s="82">
        <f>QO21</f>
        <v/>
      </c>
      <c r="QQ21" s="82">
        <f>QP21</f>
        <v/>
      </c>
      <c r="QR21" s="82">
        <f>QQ21</f>
        <v/>
      </c>
      <c r="QS21" s="82">
        <f>QR21</f>
        <v/>
      </c>
      <c r="QT21" s="82">
        <f>QS21</f>
        <v/>
      </c>
      <c r="QU21" s="82">
        <f>QT21</f>
        <v/>
      </c>
      <c r="QV21" s="82">
        <f>QU21</f>
        <v/>
      </c>
      <c r="QW21" s="82">
        <f>QV21</f>
        <v/>
      </c>
      <c r="QX21" s="82">
        <f>QW21</f>
        <v/>
      </c>
      <c r="QY21" s="82">
        <f>QX21</f>
        <v/>
      </c>
      <c r="QZ21" s="82">
        <f>QY21</f>
        <v/>
      </c>
      <c r="RA21" s="82">
        <f>QZ21</f>
        <v/>
      </c>
      <c r="RB21" s="82">
        <f>RA21</f>
        <v/>
      </c>
      <c r="RC21" s="82">
        <f>RB21</f>
        <v/>
      </c>
      <c r="RD21" s="82">
        <f>RC21</f>
        <v/>
      </c>
      <c r="RE21" s="82">
        <f>RD21</f>
        <v/>
      </c>
      <c r="RF21" s="82">
        <f>RE21</f>
        <v/>
      </c>
      <c r="RG21" s="130" t="n"/>
      <c r="RH21" s="82">
        <f>RG21</f>
        <v/>
      </c>
      <c r="RI21" s="82">
        <f>RH21</f>
        <v/>
      </c>
      <c r="RJ21" s="82">
        <f>RI21</f>
        <v/>
      </c>
      <c r="RK21" s="82">
        <f>RJ21</f>
        <v/>
      </c>
      <c r="RL21" s="82">
        <f>RK21</f>
        <v/>
      </c>
      <c r="RM21" s="82">
        <f>RL21</f>
        <v/>
      </c>
      <c r="RN21" s="82">
        <f>RM21</f>
        <v/>
      </c>
      <c r="RO21" s="82">
        <f>RN21</f>
        <v/>
      </c>
      <c r="RP21" s="82">
        <f>RO21</f>
        <v/>
      </c>
      <c r="RQ21" s="82">
        <f>RP21</f>
        <v/>
      </c>
      <c r="RR21" s="82">
        <f>RQ21</f>
        <v/>
      </c>
      <c r="RS21" s="82">
        <f>RR21</f>
        <v/>
      </c>
      <c r="RT21" s="82">
        <f>RS21</f>
        <v/>
      </c>
      <c r="RU21" s="82">
        <f>RT21</f>
        <v/>
      </c>
      <c r="RV21" s="82">
        <f>RU21</f>
        <v/>
      </c>
      <c r="RW21" s="82">
        <f>RV21</f>
        <v/>
      </c>
      <c r="RX21" s="82">
        <f>RW21</f>
        <v/>
      </c>
      <c r="RY21" s="82">
        <f>RX21</f>
        <v/>
      </c>
      <c r="RZ21" s="82">
        <f>RY21</f>
        <v/>
      </c>
      <c r="SA21" s="82">
        <f>RZ21</f>
        <v/>
      </c>
      <c r="SB21" s="82">
        <f>SA21</f>
        <v/>
      </c>
      <c r="SC21" s="82">
        <f>SB21</f>
        <v/>
      </c>
      <c r="SD21" s="82">
        <f>SC21</f>
        <v/>
      </c>
      <c r="SE21" s="82">
        <f>SD21</f>
        <v/>
      </c>
      <c r="SF21" s="82">
        <f>SE21</f>
        <v/>
      </c>
      <c r="SG21" s="82">
        <f>SF21</f>
        <v/>
      </c>
      <c r="SH21" s="82">
        <f>SG21</f>
        <v/>
      </c>
      <c r="SI21" s="82">
        <f>SH21</f>
        <v/>
      </c>
      <c r="SJ21" s="82">
        <f>SI21</f>
        <v/>
      </c>
      <c r="SK21" s="82">
        <f>SJ21</f>
        <v/>
      </c>
      <c r="SL21" s="130" t="n"/>
      <c r="SM21" s="82">
        <f>SL21</f>
        <v/>
      </c>
      <c r="SN21" s="82">
        <f>SM21</f>
        <v/>
      </c>
      <c r="SO21" s="82">
        <f>SN21</f>
        <v/>
      </c>
      <c r="SP21" s="82">
        <f>SO21</f>
        <v/>
      </c>
      <c r="SQ21" s="82">
        <f>SP21</f>
        <v/>
      </c>
      <c r="SR21" s="82">
        <f>SQ21</f>
        <v/>
      </c>
      <c r="SS21" s="82">
        <f>SR21</f>
        <v/>
      </c>
      <c r="ST21" s="82">
        <f>SS21</f>
        <v/>
      </c>
      <c r="SU21" s="82">
        <f>ST21</f>
        <v/>
      </c>
      <c r="SV21" s="82">
        <f>SU21</f>
        <v/>
      </c>
      <c r="SW21" s="82">
        <f>SV21</f>
        <v/>
      </c>
      <c r="SX21" s="82">
        <f>SW21</f>
        <v/>
      </c>
      <c r="SY21" s="82">
        <f>SX21</f>
        <v/>
      </c>
      <c r="SZ21" s="82">
        <f>SY21</f>
        <v/>
      </c>
      <c r="TA21" s="82">
        <f>SZ21</f>
        <v/>
      </c>
      <c r="TB21" s="82">
        <f>TA21</f>
        <v/>
      </c>
      <c r="TC21" s="82">
        <f>TB21</f>
        <v/>
      </c>
      <c r="TD21" s="82">
        <f>TC21</f>
        <v/>
      </c>
      <c r="TE21" s="82">
        <f>TD21</f>
        <v/>
      </c>
      <c r="TF21" s="82">
        <f>TE21</f>
        <v/>
      </c>
      <c r="TG21" s="82">
        <f>TF21</f>
        <v/>
      </c>
      <c r="TH21" s="82">
        <f>TG21</f>
        <v/>
      </c>
      <c r="TI21" s="82">
        <f>TH21</f>
        <v/>
      </c>
      <c r="TJ21" s="82">
        <f>TI21</f>
        <v/>
      </c>
      <c r="TK21" s="82">
        <f>TJ21</f>
        <v/>
      </c>
      <c r="TL21" s="82">
        <f>TK21</f>
        <v/>
      </c>
      <c r="TM21" s="82">
        <f>TL21</f>
        <v/>
      </c>
      <c r="TN21" s="82">
        <f>TM21</f>
        <v/>
      </c>
      <c r="TO21" s="82">
        <f>TN21</f>
        <v/>
      </c>
      <c r="TP21" s="82">
        <f>TO21</f>
        <v/>
      </c>
      <c r="TQ21" s="82">
        <f>TP21</f>
        <v/>
      </c>
      <c r="TR21" s="130" t="n"/>
      <c r="TS21" s="82">
        <f>TR21</f>
        <v/>
      </c>
      <c r="TT21" s="82">
        <f>TS21</f>
        <v/>
      </c>
      <c r="TU21" s="82">
        <f>TT21</f>
        <v/>
      </c>
      <c r="TV21" s="82">
        <f>TU21</f>
        <v/>
      </c>
      <c r="TW21" s="82">
        <f>TV21</f>
        <v/>
      </c>
      <c r="TX21" s="82">
        <f>TW21</f>
        <v/>
      </c>
      <c r="TY21" s="82">
        <f>TX21</f>
        <v/>
      </c>
      <c r="TZ21" s="82">
        <f>TY21</f>
        <v/>
      </c>
      <c r="UA21" s="82">
        <f>TZ21</f>
        <v/>
      </c>
      <c r="UB21" s="82">
        <f>UA21</f>
        <v/>
      </c>
      <c r="UC21" s="82">
        <f>UB21</f>
        <v/>
      </c>
      <c r="UD21" s="82">
        <f>UC21</f>
        <v/>
      </c>
      <c r="UE21" s="82">
        <f>UD21</f>
        <v/>
      </c>
      <c r="UF21" s="82">
        <f>UE21</f>
        <v/>
      </c>
      <c r="UG21" s="82">
        <f>UF21</f>
        <v/>
      </c>
      <c r="UH21" s="82">
        <f>UG21</f>
        <v/>
      </c>
      <c r="UI21" s="82">
        <f>UH21</f>
        <v/>
      </c>
      <c r="UJ21" s="82">
        <f>UI21</f>
        <v/>
      </c>
      <c r="UK21" s="82">
        <f>UJ21</f>
        <v/>
      </c>
      <c r="UL21" s="82">
        <f>UK21</f>
        <v/>
      </c>
      <c r="UM21" s="82">
        <f>UL21</f>
        <v/>
      </c>
      <c r="UN21" s="82">
        <f>UM21</f>
        <v/>
      </c>
      <c r="UO21" s="82">
        <f>UN21</f>
        <v/>
      </c>
      <c r="UP21" s="82">
        <f>UO21</f>
        <v/>
      </c>
      <c r="UQ21" s="82">
        <f>UP21</f>
        <v/>
      </c>
      <c r="UR21" s="82">
        <f>UQ21</f>
        <v/>
      </c>
      <c r="US21" s="82">
        <f>UR21</f>
        <v/>
      </c>
      <c r="UT21" s="82">
        <f>US21</f>
        <v/>
      </c>
      <c r="UU21" s="82">
        <f>UT21</f>
        <v/>
      </c>
      <c r="UV21" s="82">
        <f>UU21</f>
        <v/>
      </c>
      <c r="UW21" s="82">
        <f>UV21</f>
        <v/>
      </c>
      <c r="UX21" s="130" t="n"/>
      <c r="UY21" s="82">
        <f>UX21</f>
        <v/>
      </c>
      <c r="UZ21" s="82">
        <f>UY21</f>
        <v/>
      </c>
      <c r="VA21" s="82">
        <f>UZ21</f>
        <v/>
      </c>
      <c r="VB21" s="82">
        <f>VA21</f>
        <v/>
      </c>
      <c r="VC21" s="82">
        <f>VB21</f>
        <v/>
      </c>
      <c r="VD21" s="82">
        <f>VC21</f>
        <v/>
      </c>
      <c r="VE21" s="82">
        <f>VD21</f>
        <v/>
      </c>
      <c r="VF21" s="82">
        <f>VE21</f>
        <v/>
      </c>
      <c r="VG21" s="82">
        <f>VF21</f>
        <v/>
      </c>
      <c r="VH21" s="82">
        <f>VG21</f>
        <v/>
      </c>
      <c r="VI21" s="82">
        <f>VH21</f>
        <v/>
      </c>
      <c r="VJ21" s="82">
        <f>VI21</f>
        <v/>
      </c>
      <c r="VK21" s="82">
        <f>VJ21</f>
        <v/>
      </c>
      <c r="VL21" s="82">
        <f>VK21</f>
        <v/>
      </c>
      <c r="VM21" s="82">
        <f>VL21</f>
        <v/>
      </c>
      <c r="VN21" s="82">
        <f>VM21</f>
        <v/>
      </c>
      <c r="VO21" s="82">
        <f>VN21</f>
        <v/>
      </c>
      <c r="VP21" s="82">
        <f>VO21</f>
        <v/>
      </c>
      <c r="VQ21" s="82">
        <f>VP21</f>
        <v/>
      </c>
      <c r="VR21" s="82">
        <f>VQ21</f>
        <v/>
      </c>
      <c r="VS21" s="82">
        <f>VR21</f>
        <v/>
      </c>
      <c r="VT21" s="82">
        <f>VS21</f>
        <v/>
      </c>
      <c r="VU21" s="82">
        <f>VT21</f>
        <v/>
      </c>
      <c r="VV21" s="82">
        <f>VU21</f>
        <v/>
      </c>
      <c r="VW21" s="82">
        <f>VV21</f>
        <v/>
      </c>
      <c r="VX21" s="82">
        <f>VW21</f>
        <v/>
      </c>
      <c r="VY21" s="82">
        <f>VX21</f>
        <v/>
      </c>
      <c r="VZ21" s="82">
        <f>VY21</f>
        <v/>
      </c>
      <c r="WA21" s="133" t="n"/>
      <c r="WB21" s="82">
        <f>WA21</f>
        <v/>
      </c>
      <c r="WC21" s="82">
        <f>WB21</f>
        <v/>
      </c>
      <c r="WD21" s="82">
        <f>WC21</f>
        <v/>
      </c>
      <c r="WE21" s="82">
        <f>WD21</f>
        <v/>
      </c>
      <c r="WF21" s="82">
        <f>WE21</f>
        <v/>
      </c>
      <c r="WG21" s="82">
        <f>WF21</f>
        <v/>
      </c>
      <c r="WH21" s="82">
        <f>WG21</f>
        <v/>
      </c>
      <c r="WI21" s="82">
        <f>WH21</f>
        <v/>
      </c>
      <c r="WJ21" s="82">
        <f>WI21</f>
        <v/>
      </c>
      <c r="WK21" s="82">
        <f>WJ21</f>
        <v/>
      </c>
      <c r="WL21" s="82">
        <f>WK21</f>
        <v/>
      </c>
      <c r="WM21" s="82">
        <f>WL21</f>
        <v/>
      </c>
      <c r="WN21" s="82">
        <f>WM21</f>
        <v/>
      </c>
      <c r="WO21" s="82">
        <f>WN21</f>
        <v/>
      </c>
      <c r="WP21" s="82">
        <f>WO21</f>
        <v/>
      </c>
      <c r="WQ21" s="82">
        <f>WP21</f>
        <v/>
      </c>
      <c r="WR21" s="82">
        <f>WQ21</f>
        <v/>
      </c>
      <c r="WS21" s="82">
        <f>WR21</f>
        <v/>
      </c>
      <c r="WT21" s="82">
        <f>WS21</f>
        <v/>
      </c>
      <c r="WU21" s="82">
        <f>WT21</f>
        <v/>
      </c>
      <c r="WV21" s="82">
        <f>WU21</f>
        <v/>
      </c>
      <c r="WW21" s="82">
        <f>WV21</f>
        <v/>
      </c>
      <c r="WX21" s="82">
        <f>WW21</f>
        <v/>
      </c>
      <c r="WY21" s="82">
        <f>WX21</f>
        <v/>
      </c>
      <c r="WZ21" s="82">
        <f>WY21</f>
        <v/>
      </c>
      <c r="XA21" s="82">
        <f>WZ21</f>
        <v/>
      </c>
      <c r="XB21" s="82">
        <f>XA21</f>
        <v/>
      </c>
      <c r="XC21" s="82">
        <f>XB21</f>
        <v/>
      </c>
      <c r="XD21" s="82">
        <f>XC21</f>
        <v/>
      </c>
      <c r="XE21" s="82">
        <f>XD21</f>
        <v/>
      </c>
      <c r="XF21" s="82">
        <f>XE21</f>
        <v/>
      </c>
      <c r="XG21" s="133" t="n"/>
      <c r="XH21" s="82">
        <f>XG21</f>
        <v/>
      </c>
      <c r="XI21" s="82">
        <f>XH21</f>
        <v/>
      </c>
      <c r="XJ21" s="82">
        <f>XI21</f>
        <v/>
      </c>
      <c r="XK21" s="82">
        <f>XJ21</f>
        <v/>
      </c>
      <c r="XL21" s="82">
        <f>XK21</f>
        <v/>
      </c>
      <c r="XM21" s="82">
        <f>XL21</f>
        <v/>
      </c>
      <c r="XN21" s="82">
        <f>XM21</f>
        <v/>
      </c>
      <c r="XO21" s="82">
        <f>XN21</f>
        <v/>
      </c>
      <c r="XP21" s="82">
        <f>XO21</f>
        <v/>
      </c>
      <c r="XQ21" s="82">
        <f>XP21</f>
        <v/>
      </c>
      <c r="XR21" s="82">
        <f>XQ21</f>
        <v/>
      </c>
      <c r="XS21" s="82">
        <f>XR21</f>
        <v/>
      </c>
      <c r="XT21" s="82">
        <f>XS21</f>
        <v/>
      </c>
      <c r="XU21" s="82">
        <f>XT21</f>
        <v/>
      </c>
      <c r="XV21" s="82">
        <f>XU21</f>
        <v/>
      </c>
      <c r="XW21" s="82">
        <f>XV21</f>
        <v/>
      </c>
      <c r="XX21" s="82">
        <f>XW21</f>
        <v/>
      </c>
      <c r="XY21" s="82">
        <f>XX21</f>
        <v/>
      </c>
      <c r="XZ21" s="82">
        <f>XY21</f>
        <v/>
      </c>
      <c r="YA21" s="82">
        <f>XZ21</f>
        <v/>
      </c>
      <c r="YB21" s="82">
        <f>YA21</f>
        <v/>
      </c>
      <c r="YC21" s="82">
        <f>YB21</f>
        <v/>
      </c>
      <c r="YD21" s="82">
        <f>YC21</f>
        <v/>
      </c>
      <c r="YE21" s="82">
        <f>YD21</f>
        <v/>
      </c>
      <c r="YF21" s="82">
        <f>YE21</f>
        <v/>
      </c>
      <c r="YG21" s="82">
        <f>YF21</f>
        <v/>
      </c>
      <c r="YH21" s="82">
        <f>YG21</f>
        <v/>
      </c>
      <c r="YI21" s="82">
        <f>YH21</f>
        <v/>
      </c>
      <c r="YJ21" s="82">
        <f>YI21</f>
        <v/>
      </c>
      <c r="YK21" s="82">
        <f>YJ21</f>
        <v/>
      </c>
      <c r="YL21" s="130" t="n"/>
      <c r="YM21" s="82">
        <f>YL21</f>
        <v/>
      </c>
      <c r="YN21" s="82">
        <f>YM21</f>
        <v/>
      </c>
      <c r="YO21" s="82">
        <f>YN21</f>
        <v/>
      </c>
      <c r="YP21" s="82">
        <f>YO21</f>
        <v/>
      </c>
      <c r="YQ21" s="82">
        <f>YP21</f>
        <v/>
      </c>
      <c r="YR21" s="82">
        <f>YQ21</f>
        <v/>
      </c>
      <c r="YS21" s="82">
        <f>YR21</f>
        <v/>
      </c>
      <c r="YT21" s="82">
        <f>YS21</f>
        <v/>
      </c>
      <c r="YU21" s="82">
        <f>YT21</f>
        <v/>
      </c>
      <c r="YV21" s="82">
        <f>YU21</f>
        <v/>
      </c>
      <c r="YW21" s="82">
        <f>YV21</f>
        <v/>
      </c>
      <c r="YX21" s="82">
        <f>YW21</f>
        <v/>
      </c>
      <c r="YY21" s="82">
        <f>YX21</f>
        <v/>
      </c>
      <c r="YZ21" s="82">
        <f>YY21</f>
        <v/>
      </c>
      <c r="ZA21" s="82">
        <f>YZ21</f>
        <v/>
      </c>
      <c r="ZB21" s="82">
        <f>ZA21</f>
        <v/>
      </c>
      <c r="ZC21" s="82">
        <f>ZB21</f>
        <v/>
      </c>
      <c r="ZD21" s="82">
        <f>ZC21</f>
        <v/>
      </c>
      <c r="ZE21" s="82">
        <f>ZD21</f>
        <v/>
      </c>
      <c r="ZF21" s="82">
        <f>ZE21</f>
        <v/>
      </c>
      <c r="ZG21" s="82">
        <f>ZF21</f>
        <v/>
      </c>
      <c r="ZH21" s="82">
        <f>ZG21</f>
        <v/>
      </c>
      <c r="ZI21" s="82">
        <f>ZH21</f>
        <v/>
      </c>
      <c r="ZJ21" s="82">
        <f>ZI21</f>
        <v/>
      </c>
      <c r="ZK21" s="82">
        <f>ZJ21</f>
        <v/>
      </c>
      <c r="ZL21" s="82">
        <f>ZK21</f>
        <v/>
      </c>
      <c r="ZM21" s="82">
        <f>ZL21</f>
        <v/>
      </c>
      <c r="ZN21" s="82">
        <f>ZM21</f>
        <v/>
      </c>
      <c r="ZO21" s="82">
        <f>ZN21</f>
        <v/>
      </c>
      <c r="ZP21" s="82">
        <f>ZO21</f>
        <v/>
      </c>
      <c r="ZQ21" s="82">
        <f>ZP21</f>
        <v/>
      </c>
      <c r="ZR21" s="130" t="n"/>
      <c r="ZS21" s="82">
        <f>ZR21</f>
        <v/>
      </c>
      <c r="ZT21" s="82">
        <f>ZS21</f>
        <v/>
      </c>
      <c r="ZU21" s="82">
        <f>ZT21</f>
        <v/>
      </c>
      <c r="ZV21" s="82">
        <f>ZU21</f>
        <v/>
      </c>
      <c r="ZW21" s="82">
        <f>ZV21</f>
        <v/>
      </c>
      <c r="ZX21" s="82">
        <f>ZW21</f>
        <v/>
      </c>
      <c r="ZY21" s="82">
        <f>ZX21</f>
        <v/>
      </c>
      <c r="ZZ21" s="82">
        <f>ZY21</f>
        <v/>
      </c>
      <c r="AAA21" s="82">
        <f>ZZ21</f>
        <v/>
      </c>
      <c r="AAB21" s="82">
        <f>AAA21</f>
        <v/>
      </c>
      <c r="AAC21" s="82">
        <f>AAB21</f>
        <v/>
      </c>
      <c r="AAD21" s="82">
        <f>AAC21</f>
        <v/>
      </c>
      <c r="AAE21" s="82">
        <f>AAD21</f>
        <v/>
      </c>
      <c r="AAF21" s="82">
        <f>AAE21</f>
        <v/>
      </c>
      <c r="AAG21" s="82">
        <f>AAF21</f>
        <v/>
      </c>
      <c r="AAH21" s="82">
        <f>AAG21</f>
        <v/>
      </c>
      <c r="AAI21" s="82">
        <f>AAH21</f>
        <v/>
      </c>
      <c r="AAJ21" s="82">
        <f>AAI21</f>
        <v/>
      </c>
      <c r="AAK21" s="82">
        <f>AAJ21</f>
        <v/>
      </c>
      <c r="AAL21" s="82">
        <f>AAK21</f>
        <v/>
      </c>
      <c r="AAM21" s="82">
        <f>AAL21</f>
        <v/>
      </c>
      <c r="AAN21" s="82">
        <f>AAM21</f>
        <v/>
      </c>
      <c r="AAO21" s="82">
        <f>AAN21</f>
        <v/>
      </c>
      <c r="AAP21" s="82">
        <f>AAO21</f>
        <v/>
      </c>
      <c r="AAQ21" s="82">
        <f>AAP21</f>
        <v/>
      </c>
      <c r="AAR21" s="82">
        <f>AAQ21</f>
        <v/>
      </c>
      <c r="AAS21" s="82">
        <f>AAR21</f>
        <v/>
      </c>
      <c r="AAT21" s="82">
        <f>AAS21</f>
        <v/>
      </c>
      <c r="AAU21" s="82">
        <f>AAT21</f>
        <v/>
      </c>
      <c r="AAV21" s="82">
        <f>AAU21</f>
        <v/>
      </c>
      <c r="AAW21" s="130" t="n"/>
      <c r="AAX21" s="82">
        <f>AAW21</f>
        <v/>
      </c>
      <c r="AAY21" s="82">
        <f>AAX21</f>
        <v/>
      </c>
      <c r="AAZ21" s="82">
        <f>AAY21</f>
        <v/>
      </c>
      <c r="ABA21" s="82">
        <f>AAZ21</f>
        <v/>
      </c>
      <c r="ABB21" s="82">
        <f>ABA21</f>
        <v/>
      </c>
      <c r="ABC21" s="82">
        <f>ABB21</f>
        <v/>
      </c>
      <c r="ABD21" s="82">
        <f>ABC21</f>
        <v/>
      </c>
      <c r="ABE21" s="82">
        <f>ABD21</f>
        <v/>
      </c>
      <c r="ABF21" s="82">
        <f>ABE21</f>
        <v/>
      </c>
      <c r="ABG21" s="82">
        <f>ABF21</f>
        <v/>
      </c>
      <c r="ABH21" s="82">
        <f>ABG21</f>
        <v/>
      </c>
      <c r="ABI21" s="82">
        <f>ABH21</f>
        <v/>
      </c>
      <c r="ABJ21" s="82">
        <f>ABI21</f>
        <v/>
      </c>
      <c r="ABK21" s="82">
        <f>ABJ21</f>
        <v/>
      </c>
      <c r="ABL21" s="82">
        <f>ABK21</f>
        <v/>
      </c>
      <c r="ABM21" s="82">
        <f>ABL21</f>
        <v/>
      </c>
      <c r="ABN21" s="82">
        <f>ABM21</f>
        <v/>
      </c>
      <c r="ABO21" s="82">
        <f>ABN21</f>
        <v/>
      </c>
      <c r="ABP21" s="82">
        <f>ABO21</f>
        <v/>
      </c>
      <c r="ABQ21" s="82">
        <f>ABP21</f>
        <v/>
      </c>
      <c r="ABR21" s="82">
        <f>ABQ21</f>
        <v/>
      </c>
      <c r="ABS21" s="82">
        <f>ABR21</f>
        <v/>
      </c>
      <c r="ABT21" s="82">
        <f>ABS21</f>
        <v/>
      </c>
      <c r="ABU21" s="82">
        <f>ABT21</f>
        <v/>
      </c>
      <c r="ABV21" s="82">
        <f>ABU21</f>
        <v/>
      </c>
      <c r="ABW21" s="82">
        <f>ABV21</f>
        <v/>
      </c>
      <c r="ABX21" s="82">
        <f>ABW21</f>
        <v/>
      </c>
      <c r="ABY21" s="82">
        <f>ABX21</f>
        <v/>
      </c>
      <c r="ABZ21" s="82">
        <f>ABY21</f>
        <v/>
      </c>
      <c r="ACA21" s="82">
        <f>ABZ21</f>
        <v/>
      </c>
      <c r="ACB21" s="82">
        <f>ACA21</f>
        <v/>
      </c>
      <c r="ACC21" s="130" t="n"/>
      <c r="ACD21" s="82">
        <f>ACC21</f>
        <v/>
      </c>
      <c r="ACE21" s="82">
        <f>ACD21</f>
        <v/>
      </c>
      <c r="ACF21" s="82">
        <f>ACE21</f>
        <v/>
      </c>
      <c r="ACG21" s="82">
        <f>ACF21</f>
        <v/>
      </c>
      <c r="ACH21" s="82">
        <f>ACG21</f>
        <v/>
      </c>
      <c r="ACI21" s="82">
        <f>ACH21</f>
        <v/>
      </c>
      <c r="ACJ21" s="82">
        <f>ACI21</f>
        <v/>
      </c>
      <c r="ACK21" s="82">
        <f>ACJ21</f>
        <v/>
      </c>
      <c r="ACL21" s="82">
        <f>ACK21</f>
        <v/>
      </c>
      <c r="ACM21" s="82">
        <f>ACL21</f>
        <v/>
      </c>
      <c r="ACN21" s="82">
        <f>ACM21</f>
        <v/>
      </c>
      <c r="ACO21" s="82">
        <f>ACN21</f>
        <v/>
      </c>
      <c r="ACP21" s="82">
        <f>ACO21</f>
        <v/>
      </c>
      <c r="ACQ21" s="82">
        <f>ACP21</f>
        <v/>
      </c>
      <c r="ACR21" s="82">
        <f>ACQ21</f>
        <v/>
      </c>
      <c r="ACS21" s="82">
        <f>ACR21</f>
        <v/>
      </c>
      <c r="ACT21" s="82">
        <f>ACS21</f>
        <v/>
      </c>
      <c r="ACU21" s="82">
        <f>ACT21</f>
        <v/>
      </c>
      <c r="ACV21" s="82">
        <f>ACU21</f>
        <v/>
      </c>
      <c r="ACW21" s="82">
        <f>ACV21</f>
        <v/>
      </c>
      <c r="ACX21" s="82">
        <f>ACW21</f>
        <v/>
      </c>
      <c r="ACY21" s="82">
        <f>ACX21</f>
        <v/>
      </c>
      <c r="ACZ21" s="82">
        <f>ACY21</f>
        <v/>
      </c>
      <c r="ADA21" s="82">
        <f>ACZ21</f>
        <v/>
      </c>
      <c r="ADB21" s="82">
        <f>ADA21</f>
        <v/>
      </c>
      <c r="ADC21" s="82">
        <f>ADB21</f>
        <v/>
      </c>
      <c r="ADD21" s="82">
        <f>ADC21</f>
        <v/>
      </c>
      <c r="ADE21" s="82">
        <f>ADD21</f>
        <v/>
      </c>
      <c r="ADF21" s="82">
        <f>ADE21</f>
        <v/>
      </c>
      <c r="ADG21" s="82">
        <f>ADF21</f>
        <v/>
      </c>
      <c r="ADH21" s="82">
        <f>ADG21</f>
        <v/>
      </c>
      <c r="ADI21" s="130" t="n"/>
      <c r="ADJ21" s="82">
        <f>ADI21</f>
        <v/>
      </c>
      <c r="ADK21" s="82">
        <f>ADJ21</f>
        <v/>
      </c>
      <c r="ADL21" s="82">
        <f>ADK21</f>
        <v/>
      </c>
      <c r="ADM21" s="82">
        <f>ADL21</f>
        <v/>
      </c>
      <c r="ADN21" s="82">
        <f>ADM21</f>
        <v/>
      </c>
      <c r="ADO21" s="82">
        <f>ADN21</f>
        <v/>
      </c>
      <c r="ADP21" s="82">
        <f>ADO21</f>
        <v/>
      </c>
      <c r="ADQ21" s="82">
        <f>ADP21</f>
        <v/>
      </c>
      <c r="ADR21" s="82">
        <f>ADQ21</f>
        <v/>
      </c>
      <c r="ADS21" s="82">
        <f>ADR21</f>
        <v/>
      </c>
      <c r="ADT21" s="82">
        <f>ADS21</f>
        <v/>
      </c>
      <c r="ADU21" s="82">
        <f>ADT21</f>
        <v/>
      </c>
      <c r="ADV21" s="82">
        <f>ADU21</f>
        <v/>
      </c>
      <c r="ADW21" s="82">
        <f>ADV21</f>
        <v/>
      </c>
      <c r="ADX21" s="82">
        <f>ADW21</f>
        <v/>
      </c>
      <c r="ADY21" s="82">
        <f>ADX21</f>
        <v/>
      </c>
      <c r="ADZ21" s="82">
        <f>ADY21</f>
        <v/>
      </c>
      <c r="AEA21" s="82">
        <f>ADZ21</f>
        <v/>
      </c>
      <c r="AEB21" s="82">
        <f>AEA21</f>
        <v/>
      </c>
      <c r="AEC21" s="82">
        <f>AEB21</f>
        <v/>
      </c>
      <c r="AED21" s="82">
        <f>AEC21</f>
        <v/>
      </c>
      <c r="AEE21" s="82">
        <f>AED21</f>
        <v/>
      </c>
      <c r="AEF21" s="82">
        <f>AEE21</f>
        <v/>
      </c>
      <c r="AEG21" s="82">
        <f>AEF21</f>
        <v/>
      </c>
      <c r="AEH21" s="82">
        <f>AEG21</f>
        <v/>
      </c>
      <c r="AEI21" s="82">
        <f>AEH21</f>
        <v/>
      </c>
      <c r="AEJ21" s="82">
        <f>AEI21</f>
        <v/>
      </c>
      <c r="AEK21" s="82">
        <f>AEJ21</f>
        <v/>
      </c>
      <c r="AEL21" s="82">
        <f>AEK21</f>
        <v/>
      </c>
      <c r="AEM21" s="82">
        <f>AEL21</f>
        <v/>
      </c>
      <c r="AEN21" s="130" t="n"/>
      <c r="AEO21" s="82">
        <f>AEN21</f>
        <v/>
      </c>
      <c r="AEP21" s="82">
        <f>AEO21</f>
        <v/>
      </c>
      <c r="AEQ21" s="82">
        <f>AEP21</f>
        <v/>
      </c>
      <c r="AER21" s="82">
        <f>AEQ21</f>
        <v/>
      </c>
      <c r="AES21" s="82">
        <f>AER21</f>
        <v/>
      </c>
      <c r="AET21" s="82">
        <f>AES21</f>
        <v/>
      </c>
      <c r="AEU21" s="82">
        <f>AET21</f>
        <v/>
      </c>
      <c r="AEV21" s="82">
        <f>AEU21</f>
        <v/>
      </c>
      <c r="AEW21" s="82">
        <f>AEV21</f>
        <v/>
      </c>
      <c r="AEX21" s="82">
        <f>AEW21</f>
        <v/>
      </c>
      <c r="AEY21" s="82">
        <f>AEX21</f>
        <v/>
      </c>
      <c r="AEZ21" s="82">
        <f>AEY21</f>
        <v/>
      </c>
      <c r="AFA21" s="82">
        <f>AEZ21</f>
        <v/>
      </c>
      <c r="AFB21" s="82">
        <f>AFA21</f>
        <v/>
      </c>
      <c r="AFC21" s="82">
        <f>AFB21</f>
        <v/>
      </c>
      <c r="AFD21" s="82">
        <f>AFC21</f>
        <v/>
      </c>
      <c r="AFE21" s="82">
        <f>AFD21</f>
        <v/>
      </c>
      <c r="AFF21" s="82">
        <f>AFE21</f>
        <v/>
      </c>
      <c r="AFG21" s="82">
        <f>AFF21</f>
        <v/>
      </c>
      <c r="AFH21" s="82">
        <f>AFG21</f>
        <v/>
      </c>
      <c r="AFI21" s="82">
        <f>AFH21</f>
        <v/>
      </c>
      <c r="AFJ21" s="82">
        <f>AFI21</f>
        <v/>
      </c>
      <c r="AFK21" s="82">
        <f>AFJ21</f>
        <v/>
      </c>
      <c r="AFL21" s="82">
        <f>AFK21</f>
        <v/>
      </c>
      <c r="AFM21" s="82">
        <f>AFL21</f>
        <v/>
      </c>
      <c r="AFN21" s="82">
        <f>AFM21</f>
        <v/>
      </c>
      <c r="AFO21" s="82">
        <f>AFN21</f>
        <v/>
      </c>
      <c r="AFP21" s="82">
        <f>AFO21</f>
        <v/>
      </c>
      <c r="AFQ21" s="82">
        <f>AFP21</f>
        <v/>
      </c>
      <c r="AFR21" s="82">
        <f>AFQ21</f>
        <v/>
      </c>
      <c r="AFS21" s="82">
        <f>AFR21</f>
        <v/>
      </c>
      <c r="AFT21" s="130" t="n"/>
      <c r="AFU21" s="82">
        <f>AFT21</f>
        <v/>
      </c>
      <c r="AFV21" s="82">
        <f>AFU21</f>
        <v/>
      </c>
      <c r="AFW21" s="82">
        <f>AFV21</f>
        <v/>
      </c>
      <c r="AFX21" s="82">
        <f>AFW21</f>
        <v/>
      </c>
      <c r="AFY21" s="82">
        <f>AFX21</f>
        <v/>
      </c>
      <c r="AFZ21" s="82">
        <f>AFY21</f>
        <v/>
      </c>
      <c r="AGA21" s="82">
        <f>AFZ21</f>
        <v/>
      </c>
      <c r="AGB21" s="82">
        <f>AGA21</f>
        <v/>
      </c>
      <c r="AGC21" s="82">
        <f>AGB21</f>
        <v/>
      </c>
      <c r="AGD21" s="82">
        <f>AGC21</f>
        <v/>
      </c>
      <c r="AGE21" s="82">
        <f>AGD21</f>
        <v/>
      </c>
      <c r="AGF21" s="82">
        <f>AGE21</f>
        <v/>
      </c>
      <c r="AGG21" s="82">
        <f>AGF21</f>
        <v/>
      </c>
      <c r="AGH21" s="82">
        <f>AGG21</f>
        <v/>
      </c>
      <c r="AGI21" s="82">
        <f>AGH21</f>
        <v/>
      </c>
      <c r="AGJ21" s="82">
        <f>AGI21</f>
        <v/>
      </c>
      <c r="AGK21" s="82">
        <f>AGJ21</f>
        <v/>
      </c>
      <c r="AGL21" s="82">
        <f>AGK21</f>
        <v/>
      </c>
      <c r="AGM21" s="82">
        <f>AGL21</f>
        <v/>
      </c>
      <c r="AGN21" s="82">
        <f>AGM21</f>
        <v/>
      </c>
      <c r="AGO21" s="82">
        <f>AGN21</f>
        <v/>
      </c>
      <c r="AGP21" s="82">
        <f>AGO21</f>
        <v/>
      </c>
      <c r="AGQ21" s="82">
        <f>AGP21</f>
        <v/>
      </c>
      <c r="AGR21" s="82">
        <f>AGQ21</f>
        <v/>
      </c>
      <c r="AGS21" s="82">
        <f>AGR21</f>
        <v/>
      </c>
      <c r="AGT21" s="82">
        <f>AGS21</f>
        <v/>
      </c>
      <c r="AGU21" s="82">
        <f>AGT21</f>
        <v/>
      </c>
      <c r="AGV21" s="82">
        <f>AGU21</f>
        <v/>
      </c>
      <c r="AGW21" s="82">
        <f>AGV21</f>
        <v/>
      </c>
      <c r="AGX21" s="82">
        <f>AGW21</f>
        <v/>
      </c>
      <c r="AGY21" s="133" t="n"/>
      <c r="AGZ21" s="82">
        <f>AGY21</f>
        <v/>
      </c>
      <c r="AHA21" s="82">
        <f>AGZ21</f>
        <v/>
      </c>
      <c r="AHB21" s="82">
        <f>AHA21</f>
        <v/>
      </c>
      <c r="AHC21" s="82">
        <f>AHB21</f>
        <v/>
      </c>
      <c r="AHD21" s="82">
        <f>AHC21</f>
        <v/>
      </c>
      <c r="AHE21" s="82">
        <f>AHD21</f>
        <v/>
      </c>
      <c r="AHF21" s="82">
        <f>AHE21</f>
        <v/>
      </c>
      <c r="AHG21" s="82">
        <f>AHF21</f>
        <v/>
      </c>
      <c r="AHH21" s="82">
        <f>AHG21</f>
        <v/>
      </c>
      <c r="AHI21" s="82">
        <f>AHH21</f>
        <v/>
      </c>
      <c r="AHJ21" s="82">
        <f>AHI21</f>
        <v/>
      </c>
      <c r="AHK21" s="82">
        <f>AHJ21</f>
        <v/>
      </c>
      <c r="AHL21" s="82">
        <f>AHK21</f>
        <v/>
      </c>
      <c r="AHM21" s="82">
        <f>AHL21</f>
        <v/>
      </c>
      <c r="AHN21" s="82">
        <f>AHM21</f>
        <v/>
      </c>
      <c r="AHO21" s="82">
        <f>AHN21</f>
        <v/>
      </c>
      <c r="AHP21" s="82">
        <f>AHO21</f>
        <v/>
      </c>
      <c r="AHQ21" s="82">
        <f>AHP21</f>
        <v/>
      </c>
      <c r="AHR21" s="82">
        <f>AHQ21</f>
        <v/>
      </c>
      <c r="AHS21" s="82">
        <f>AHR21</f>
        <v/>
      </c>
      <c r="AHT21" s="82">
        <f>AHS21</f>
        <v/>
      </c>
      <c r="AHU21" s="82">
        <f>AHT21</f>
        <v/>
      </c>
      <c r="AHV21" s="82">
        <f>AHU21</f>
        <v/>
      </c>
      <c r="AHW21" s="82">
        <f>AHV21</f>
        <v/>
      </c>
      <c r="AHX21" s="82">
        <f>AHW21</f>
        <v/>
      </c>
      <c r="AHY21" s="82">
        <f>AHX21</f>
        <v/>
      </c>
      <c r="AHZ21" s="82">
        <f>AHY21</f>
        <v/>
      </c>
      <c r="AIA21" s="82">
        <f>AHZ21</f>
        <v/>
      </c>
      <c r="AIB21" s="82">
        <f>AIA21</f>
        <v/>
      </c>
      <c r="AIC21" s="82">
        <f>AIB21</f>
        <v/>
      </c>
      <c r="AID21" s="82">
        <f>AIC21</f>
        <v/>
      </c>
      <c r="AIE21" s="130" t="n"/>
      <c r="AIF21" s="82">
        <f>AIE21</f>
        <v/>
      </c>
      <c r="AIG21" s="82">
        <f>AIF21</f>
        <v/>
      </c>
      <c r="AIH21" s="82">
        <f>AIG21</f>
        <v/>
      </c>
      <c r="AII21" s="82">
        <f>AIH21</f>
        <v/>
      </c>
      <c r="AIJ21" s="82">
        <f>AII21</f>
        <v/>
      </c>
      <c r="AIK21" s="82">
        <f>AIJ21</f>
        <v/>
      </c>
      <c r="AIL21" s="82">
        <f>AIK21</f>
        <v/>
      </c>
      <c r="AIM21" s="82">
        <f>AIL21</f>
        <v/>
      </c>
      <c r="AIN21" s="82">
        <f>AIM21</f>
        <v/>
      </c>
      <c r="AIO21" s="82">
        <f>AIN21</f>
        <v/>
      </c>
      <c r="AIP21" s="82">
        <f>AIO21</f>
        <v/>
      </c>
      <c r="AIQ21" s="82">
        <f>AIP21</f>
        <v/>
      </c>
      <c r="AIR21" s="82">
        <f>AIQ21</f>
        <v/>
      </c>
      <c r="AIS21" s="82">
        <f>AIR21</f>
        <v/>
      </c>
      <c r="AIT21" s="82">
        <f>AIS21</f>
        <v/>
      </c>
      <c r="AIU21" s="82">
        <f>AIT21</f>
        <v/>
      </c>
      <c r="AIV21" s="82">
        <f>AIU21</f>
        <v/>
      </c>
      <c r="AIW21" s="82">
        <f>AIV21</f>
        <v/>
      </c>
      <c r="AIX21" s="82">
        <f>AIW21</f>
        <v/>
      </c>
      <c r="AIY21" s="82">
        <f>AIX21</f>
        <v/>
      </c>
      <c r="AIZ21" s="82">
        <f>AIY21</f>
        <v/>
      </c>
      <c r="AJA21" s="82">
        <f>AIZ21</f>
        <v/>
      </c>
      <c r="AJB21" s="82">
        <f>AJA21</f>
        <v/>
      </c>
      <c r="AJC21" s="82">
        <f>AJB21</f>
        <v/>
      </c>
      <c r="AJD21" s="82">
        <f>AJC21</f>
        <v/>
      </c>
      <c r="AJE21" s="82">
        <f>AJD21</f>
        <v/>
      </c>
      <c r="AJF21" s="82">
        <f>AJE21</f>
        <v/>
      </c>
      <c r="AJG21" s="82">
        <f>AJF21</f>
        <v/>
      </c>
      <c r="AJH21" s="82">
        <f>AJG21</f>
        <v/>
      </c>
      <c r="AJI21" s="82">
        <f>AJH21</f>
        <v/>
      </c>
      <c r="AJJ21" s="82">
        <f>AJI21</f>
        <v/>
      </c>
      <c r="AJK21" s="145" t="n"/>
      <c r="AJL21" s="82">
        <f>AJK21</f>
        <v/>
      </c>
      <c r="AJM21" s="82">
        <f>AJL21</f>
        <v/>
      </c>
      <c r="AJN21" s="82">
        <f>AJM21</f>
        <v/>
      </c>
      <c r="AJO21" s="82">
        <f>AJN21</f>
        <v/>
      </c>
      <c r="AJP21" s="82">
        <f>AJO21</f>
        <v/>
      </c>
      <c r="AJQ21" s="82">
        <f>AJP21</f>
        <v/>
      </c>
      <c r="AJR21" s="82">
        <f>AJQ21</f>
        <v/>
      </c>
      <c r="AJS21" s="82">
        <f>AJR21</f>
        <v/>
      </c>
      <c r="AJT21" s="82">
        <f>AJS21</f>
        <v/>
      </c>
      <c r="AJU21" s="82">
        <f>AJT21</f>
        <v/>
      </c>
      <c r="AJV21" s="82">
        <f>AJU21</f>
        <v/>
      </c>
      <c r="AJW21" s="82">
        <f>AJV21</f>
        <v/>
      </c>
      <c r="AJX21" s="82">
        <f>AJW21</f>
        <v/>
      </c>
      <c r="AJY21" s="82">
        <f>AJX21</f>
        <v/>
      </c>
      <c r="AJZ21" s="82">
        <f>AJY21</f>
        <v/>
      </c>
      <c r="AKA21" s="82">
        <f>AJZ21</f>
        <v/>
      </c>
      <c r="AKB21" s="82">
        <f>AKA21</f>
        <v/>
      </c>
      <c r="AKC21" s="82">
        <f>AKB21</f>
        <v/>
      </c>
      <c r="AKD21" s="82">
        <f>AKC21</f>
        <v/>
      </c>
      <c r="AKE21" s="82">
        <f>AKD21</f>
        <v/>
      </c>
      <c r="AKF21" s="82">
        <f>AKE21</f>
        <v/>
      </c>
      <c r="AKG21" s="82">
        <f>AKF21</f>
        <v/>
      </c>
      <c r="AKH21" s="82">
        <f>AKG21</f>
        <v/>
      </c>
      <c r="AKI21" s="82">
        <f>AKH21</f>
        <v/>
      </c>
      <c r="AKJ21" s="82">
        <f>AKI21</f>
        <v/>
      </c>
      <c r="AKK21" s="82">
        <f>AKJ21</f>
        <v/>
      </c>
      <c r="AKL21" s="82">
        <f>AKK21</f>
        <v/>
      </c>
      <c r="AKM21" s="82">
        <f>AKL21</f>
        <v/>
      </c>
      <c r="AKN21" s="112" t="n"/>
      <c r="AKO21" s="82">
        <f>AKN21</f>
        <v/>
      </c>
      <c r="AKP21" s="82">
        <f>AKO21</f>
        <v/>
      </c>
      <c r="AKQ21" s="82">
        <f>AKP21</f>
        <v/>
      </c>
      <c r="AKR21" s="82">
        <f>AKQ21</f>
        <v/>
      </c>
      <c r="AKS21" s="82">
        <f>AKR21</f>
        <v/>
      </c>
      <c r="AKT21" s="82">
        <f>AKS21</f>
        <v/>
      </c>
      <c r="AKU21" s="82">
        <f>AKT21</f>
        <v/>
      </c>
      <c r="AKV21" s="82">
        <f>AKU21</f>
        <v/>
      </c>
      <c r="AKW21" s="82">
        <f>AKV21</f>
        <v/>
      </c>
      <c r="AKX21" s="82">
        <f>AKW21</f>
        <v/>
      </c>
      <c r="AKY21" s="82">
        <f>AKX21</f>
        <v/>
      </c>
      <c r="AKZ21" s="82">
        <f>AKY21</f>
        <v/>
      </c>
      <c r="ALA21" s="82">
        <f>AKZ21</f>
        <v/>
      </c>
      <c r="ALB21" s="82">
        <f>ALA21</f>
        <v/>
      </c>
      <c r="ALC21" s="82">
        <f>ALB21</f>
        <v/>
      </c>
      <c r="ALD21" s="82">
        <f>ALC21</f>
        <v/>
      </c>
      <c r="ALE21" s="82">
        <f>ALD21</f>
        <v/>
      </c>
      <c r="ALF21" s="82">
        <f>ALE21</f>
        <v/>
      </c>
      <c r="ALG21" s="82">
        <f>ALF21</f>
        <v/>
      </c>
      <c r="ALH21" s="82">
        <f>ALG21</f>
        <v/>
      </c>
      <c r="ALI21" s="82">
        <f>ALH21</f>
        <v/>
      </c>
      <c r="ALJ21" s="82">
        <f>ALI21</f>
        <v/>
      </c>
      <c r="ALK21" s="82">
        <f>ALJ21</f>
        <v/>
      </c>
      <c r="ALL21" s="82">
        <f>ALK21</f>
        <v/>
      </c>
      <c r="ALM21" s="82">
        <f>ALL21</f>
        <v/>
      </c>
      <c r="ALN21" s="82">
        <f>ALM21</f>
        <v/>
      </c>
      <c r="ALO21" s="82">
        <f>ALN21</f>
        <v/>
      </c>
      <c r="ALP21" s="82">
        <f>ALO21</f>
        <v/>
      </c>
      <c r="ALQ21" s="82">
        <f>ALP21</f>
        <v/>
      </c>
      <c r="ALR21" s="82">
        <f>ALQ21</f>
        <v/>
      </c>
      <c r="ALS21" s="82">
        <f>ALR21</f>
        <v/>
      </c>
      <c r="ALT21" s="130" t="n"/>
      <c r="ALU21" s="82">
        <f>ALT21</f>
        <v/>
      </c>
      <c r="ALV21" s="82">
        <f>ALU21</f>
        <v/>
      </c>
      <c r="ALW21" s="82">
        <f>ALV21</f>
        <v/>
      </c>
      <c r="ALX21" s="82">
        <f>ALW21</f>
        <v/>
      </c>
      <c r="ALY21" s="82">
        <f>ALX21</f>
        <v/>
      </c>
      <c r="ALZ21" s="82">
        <f>ALY21</f>
        <v/>
      </c>
      <c r="AMA21" s="82">
        <f>ALZ21</f>
        <v/>
      </c>
      <c r="AMB21" s="82">
        <f>AMA21</f>
        <v/>
      </c>
      <c r="AMC21" s="82">
        <f>AMB21</f>
        <v/>
      </c>
      <c r="AMD21" s="82">
        <f>AMC21</f>
        <v/>
      </c>
      <c r="AME21" s="82">
        <f>AMD21</f>
        <v/>
      </c>
      <c r="AMF21" s="82">
        <f>AME21</f>
        <v/>
      </c>
      <c r="AMG21" s="82">
        <f>AMF21</f>
        <v/>
      </c>
      <c r="AMH21" s="82">
        <f>AMG21</f>
        <v/>
      </c>
      <c r="AMI21" s="82">
        <f>AMH21</f>
        <v/>
      </c>
      <c r="AMJ21" s="82">
        <f>AMI21</f>
        <v/>
      </c>
      <c r="AMK21" s="82">
        <f>AMJ21</f>
        <v/>
      </c>
      <c r="AML21" s="82">
        <f>AMK21</f>
        <v/>
      </c>
      <c r="AMM21" s="82">
        <f>AML21</f>
        <v/>
      </c>
      <c r="AMN21" s="82">
        <f>AMM21</f>
        <v/>
      </c>
      <c r="AMO21" s="82">
        <f>AMN21</f>
        <v/>
      </c>
      <c r="AMP21" s="82">
        <f>AMO21</f>
        <v/>
      </c>
      <c r="AMQ21" s="82">
        <f>AMP21</f>
        <v/>
      </c>
      <c r="AMR21" s="82">
        <f>AMQ21</f>
        <v/>
      </c>
      <c r="AMS21" s="82">
        <f>AMR21</f>
        <v/>
      </c>
      <c r="AMT21" s="82">
        <f>AMS21</f>
        <v/>
      </c>
      <c r="AMU21" s="82">
        <f>AMT21</f>
        <v/>
      </c>
      <c r="AMV21" s="82">
        <f>AMU21</f>
        <v/>
      </c>
      <c r="AMW21" s="82">
        <f>AMV21</f>
        <v/>
      </c>
      <c r="AMX21" s="82">
        <f>AMW21</f>
        <v/>
      </c>
      <c r="AMY21" s="130" t="n"/>
      <c r="AMZ21" s="82">
        <f>AMY21</f>
        <v/>
      </c>
      <c r="ANA21" s="82">
        <f>AMZ21</f>
        <v/>
      </c>
      <c r="ANB21" s="82">
        <f>ANA21</f>
        <v/>
      </c>
      <c r="ANC21" s="82">
        <f>ANB21</f>
        <v/>
      </c>
      <c r="AND21" s="82">
        <f>ANC21</f>
        <v/>
      </c>
      <c r="ANE21" s="82">
        <f>AND21</f>
        <v/>
      </c>
      <c r="ANF21" s="82">
        <f>ANE21</f>
        <v/>
      </c>
      <c r="ANG21" s="82">
        <f>ANF21</f>
        <v/>
      </c>
      <c r="ANH21" s="82">
        <f>ANG21</f>
        <v/>
      </c>
      <c r="ANI21" s="82">
        <f>ANH21</f>
        <v/>
      </c>
      <c r="ANJ21" s="82">
        <f>ANI21</f>
        <v/>
      </c>
      <c r="ANK21" s="82">
        <f>ANJ21</f>
        <v/>
      </c>
      <c r="ANL21" s="82">
        <f>ANK21</f>
        <v/>
      </c>
      <c r="ANM21" s="82">
        <f>ANL21</f>
        <v/>
      </c>
      <c r="ANN21" s="82">
        <f>ANM21</f>
        <v/>
      </c>
      <c r="ANO21" s="82">
        <f>ANN21</f>
        <v/>
      </c>
      <c r="ANP21" s="82">
        <f>ANO21</f>
        <v/>
      </c>
      <c r="ANQ21" s="82">
        <f>ANP21</f>
        <v/>
      </c>
      <c r="ANR21" s="82">
        <f>ANQ21</f>
        <v/>
      </c>
      <c r="ANS21" s="82">
        <f>ANR21</f>
        <v/>
      </c>
      <c r="ANT21" s="82">
        <f>ANS21</f>
        <v/>
      </c>
      <c r="ANU21" s="82">
        <f>ANT21</f>
        <v/>
      </c>
      <c r="ANV21" s="82">
        <f>ANU21</f>
        <v/>
      </c>
      <c r="ANW21" s="82">
        <f>ANV21</f>
        <v/>
      </c>
      <c r="ANX21" s="82">
        <f>ANW21</f>
        <v/>
      </c>
      <c r="ANY21" s="82">
        <f>ANX21</f>
        <v/>
      </c>
      <c r="ANZ21" s="82">
        <f>ANY21</f>
        <v/>
      </c>
      <c r="AOA21" s="82">
        <f>ANZ21</f>
        <v/>
      </c>
      <c r="AOB21" s="82">
        <f>AOA21</f>
        <v/>
      </c>
      <c r="AOC21" s="82">
        <f>AOB21</f>
        <v/>
      </c>
    </row>
    <row r="22">
      <c r="B22" t="inlineStr">
        <is>
          <t>sabiti</t>
        </is>
      </c>
      <c r="C22" s="52" t="n">
        <v>68850</v>
      </c>
      <c r="D22" s="52">
        <f>C22</f>
        <v/>
      </c>
      <c r="E22" s="52" t="n">
        <v>0</v>
      </c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98" t="n"/>
      <c r="AN22" t="n">
        <v>5535576</v>
      </c>
      <c r="AO22" s="52">
        <f>AN22</f>
        <v/>
      </c>
      <c r="AP22" s="82">
        <f>AO22</f>
        <v/>
      </c>
      <c r="AQ22" s="82">
        <f>AP22</f>
        <v/>
      </c>
      <c r="AR22" s="82">
        <f>AQ22</f>
        <v/>
      </c>
      <c r="AS22" s="82">
        <f>AR22</f>
        <v/>
      </c>
      <c r="AT22" s="82">
        <f>AS22</f>
        <v/>
      </c>
      <c r="AU22" s="82">
        <f>AT22</f>
        <v/>
      </c>
      <c r="AV22" s="82">
        <f>AU22</f>
        <v/>
      </c>
      <c r="AW22" s="82">
        <f>AV22</f>
        <v/>
      </c>
      <c r="AX22" s="82">
        <f>AW22</f>
        <v/>
      </c>
      <c r="AY22" s="82">
        <f>AX22</f>
        <v/>
      </c>
      <c r="AZ22" s="82">
        <f>AY22</f>
        <v/>
      </c>
      <c r="BA22" s="82">
        <f>AZ22</f>
        <v/>
      </c>
      <c r="BB22" s="82">
        <f>BA22</f>
        <v/>
      </c>
      <c r="BC22" s="82">
        <f>BB22</f>
        <v/>
      </c>
      <c r="BD22" s="82">
        <f>BC22</f>
        <v/>
      </c>
      <c r="BE22" s="82">
        <f>BD22</f>
        <v/>
      </c>
      <c r="BF22" s="82">
        <f>BE22</f>
        <v/>
      </c>
      <c r="BG22" s="82">
        <f>BF22</f>
        <v/>
      </c>
      <c r="BH22" s="82">
        <f>BG22</f>
        <v/>
      </c>
      <c r="BI22" s="82">
        <f>BH22</f>
        <v/>
      </c>
      <c r="BJ22" s="82">
        <f>BI22</f>
        <v/>
      </c>
      <c r="BK22" s="82">
        <f>BJ22</f>
        <v/>
      </c>
      <c r="BL22" s="82">
        <f>BK22</f>
        <v/>
      </c>
      <c r="BM22" s="106">
        <f>BL22</f>
        <v/>
      </c>
      <c r="BN22" s="82">
        <f>BM22</f>
        <v/>
      </c>
      <c r="BO22" s="82">
        <f>BN22</f>
        <v/>
      </c>
      <c r="BP22" s="82">
        <f>BO22</f>
        <v/>
      </c>
      <c r="BQ22" s="82">
        <f>BP22</f>
        <v/>
      </c>
      <c r="BR22" s="82">
        <f>BQ22</f>
        <v/>
      </c>
      <c r="BS22" s="82">
        <f>BR22</f>
        <v/>
      </c>
      <c r="BT22" s="82">
        <f>BS22</f>
        <v/>
      </c>
      <c r="BU22" s="82">
        <f>BT22</f>
        <v/>
      </c>
      <c r="BV22" s="82">
        <f>BU22</f>
        <v/>
      </c>
      <c r="BW22" s="82">
        <f>BV22</f>
        <v/>
      </c>
      <c r="BX22" s="82">
        <f>BW22</f>
        <v/>
      </c>
      <c r="BY22" s="82">
        <f>BX22</f>
        <v/>
      </c>
      <c r="BZ22" s="82">
        <f>BY22</f>
        <v/>
      </c>
      <c r="CA22" s="82">
        <f>BZ22</f>
        <v/>
      </c>
      <c r="CB22" s="82">
        <f>CA22</f>
        <v/>
      </c>
      <c r="CC22" s="82">
        <f>CB22</f>
        <v/>
      </c>
      <c r="CD22" s="82">
        <f>CC22</f>
        <v/>
      </c>
      <c r="CE22" s="82">
        <f>CD22</f>
        <v/>
      </c>
      <c r="CF22" s="82">
        <f>CE22</f>
        <v/>
      </c>
      <c r="CG22" s="82">
        <f>CF22</f>
        <v/>
      </c>
      <c r="CH22" s="82">
        <f>CG22</f>
        <v/>
      </c>
      <c r="CI22" s="82">
        <f>CH22</f>
        <v/>
      </c>
      <c r="CJ22" s="82">
        <f>CI22</f>
        <v/>
      </c>
      <c r="CK22" s="82">
        <f>CJ22</f>
        <v/>
      </c>
      <c r="CL22" s="82">
        <f>CK22</f>
        <v/>
      </c>
      <c r="CM22" s="82">
        <f>CL22</f>
        <v/>
      </c>
      <c r="CN22" s="82">
        <f>CM22</f>
        <v/>
      </c>
      <c r="CO22" s="82">
        <f>CN22</f>
        <v/>
      </c>
      <c r="CP22" s="82">
        <f>CO22</f>
        <v/>
      </c>
      <c r="CQ22" s="82">
        <f>CP22</f>
        <v/>
      </c>
      <c r="CR22" s="82">
        <f>CQ22</f>
        <v/>
      </c>
      <c r="CT22" s="82">
        <f>CR22</f>
        <v/>
      </c>
      <c r="CU22" s="82">
        <f>CT22</f>
        <v/>
      </c>
      <c r="CV22" s="113">
        <f>CT22</f>
        <v/>
      </c>
      <c r="CW22" s="82">
        <f>CU22</f>
        <v/>
      </c>
      <c r="CX22" s="82">
        <f>CV22</f>
        <v/>
      </c>
      <c r="CY22" s="82">
        <f>CW22</f>
        <v/>
      </c>
      <c r="CZ22" s="82">
        <f>CX22</f>
        <v/>
      </c>
      <c r="DA22" s="82">
        <f>CY22</f>
        <v/>
      </c>
      <c r="DB22" s="82">
        <f>CZ22</f>
        <v/>
      </c>
      <c r="DC22" s="82">
        <f>DA22</f>
        <v/>
      </c>
      <c r="DD22" s="82">
        <f>DB22</f>
        <v/>
      </c>
      <c r="DE22" s="82">
        <f>DC22</f>
        <v/>
      </c>
      <c r="DF22" s="82">
        <f>DD22</f>
        <v/>
      </c>
      <c r="DG22" s="82">
        <f>DE22</f>
        <v/>
      </c>
      <c r="DH22" s="82">
        <f>DF22</f>
        <v/>
      </c>
      <c r="DI22" s="82">
        <f>DG22</f>
        <v/>
      </c>
      <c r="DJ22" s="82">
        <f>DH22</f>
        <v/>
      </c>
      <c r="DK22" s="82">
        <f>DI22</f>
        <v/>
      </c>
      <c r="DL22" s="82">
        <f>DJ22</f>
        <v/>
      </c>
      <c r="DM22" s="82">
        <f>DK22</f>
        <v/>
      </c>
      <c r="DN22" s="82">
        <f>DL22</f>
        <v/>
      </c>
      <c r="DO22" s="82">
        <f>DM22</f>
        <v/>
      </c>
      <c r="DP22" s="82">
        <f>DN22</f>
        <v/>
      </c>
      <c r="DQ22" s="82">
        <f>DO22</f>
        <v/>
      </c>
      <c r="DR22" s="82">
        <f>DP22</f>
        <v/>
      </c>
      <c r="DS22" s="82">
        <f>DQ22</f>
        <v/>
      </c>
      <c r="DT22" s="82">
        <f>DR22</f>
        <v/>
      </c>
      <c r="DU22" s="82">
        <f>DS22</f>
        <v/>
      </c>
      <c r="DV22" s="82">
        <f>DT22</f>
        <v/>
      </c>
      <c r="DW22" s="82">
        <f>DU22</f>
        <v/>
      </c>
      <c r="DX22" s="117" t="n"/>
      <c r="DY22" s="82">
        <f>DW22</f>
        <v/>
      </c>
      <c r="DZ22" s="82">
        <f>DY22</f>
        <v/>
      </c>
      <c r="EA22" s="82">
        <f>DY22</f>
        <v/>
      </c>
      <c r="EB22" s="82">
        <f>DZ22</f>
        <v/>
      </c>
      <c r="EC22" s="82">
        <f>EA22</f>
        <v/>
      </c>
      <c r="ED22" s="82">
        <f>EB22</f>
        <v/>
      </c>
      <c r="EE22" s="82">
        <f>EC22</f>
        <v/>
      </c>
      <c r="EF22" s="82">
        <f>ED22</f>
        <v/>
      </c>
      <c r="EG22" s="82">
        <f>EE22</f>
        <v/>
      </c>
      <c r="EH22" s="82">
        <f>EF22</f>
        <v/>
      </c>
      <c r="EI22" s="82">
        <f>EG22</f>
        <v/>
      </c>
      <c r="EJ22" s="82">
        <f>EH22</f>
        <v/>
      </c>
      <c r="EK22" s="82">
        <f>EI22</f>
        <v/>
      </c>
      <c r="EL22" s="82">
        <f>EJ22</f>
        <v/>
      </c>
      <c r="EM22" s="82">
        <f>EK22</f>
        <v/>
      </c>
      <c r="EN22" s="82">
        <f>EL22</f>
        <v/>
      </c>
      <c r="EO22" s="82">
        <f>EM22</f>
        <v/>
      </c>
      <c r="EP22" s="82">
        <f>EN22</f>
        <v/>
      </c>
      <c r="EQ22" s="82">
        <f>EO22</f>
        <v/>
      </c>
      <c r="ER22" s="82">
        <f>EP22</f>
        <v/>
      </c>
      <c r="ES22" s="82">
        <f>EQ22</f>
        <v/>
      </c>
      <c r="ET22" s="82">
        <f>ER22</f>
        <v/>
      </c>
      <c r="EU22" s="82">
        <f>ES22</f>
        <v/>
      </c>
      <c r="EV22" s="82">
        <f>ET22</f>
        <v/>
      </c>
      <c r="EW22" s="82">
        <f>EU22</f>
        <v/>
      </c>
      <c r="EX22" s="82">
        <f>EV22</f>
        <v/>
      </c>
      <c r="EY22" s="82">
        <f>EW22</f>
        <v/>
      </c>
      <c r="EZ22" s="82">
        <f>EX22</f>
        <v/>
      </c>
      <c r="FA22" s="82">
        <f>EY22</f>
        <v/>
      </c>
      <c r="FB22" s="82">
        <f>EZ22</f>
        <v/>
      </c>
      <c r="FC22" s="82" t="n">
        <v>0</v>
      </c>
      <c r="FD22" s="126" t="n"/>
      <c r="FE22" s="82" t="n">
        <v>0</v>
      </c>
      <c r="FF22" s="82" t="n">
        <v>0</v>
      </c>
      <c r="FG22" s="82" t="n">
        <v>0</v>
      </c>
      <c r="FH22" s="82" t="n">
        <v>0</v>
      </c>
      <c r="FI22" s="82" t="n">
        <v>0</v>
      </c>
      <c r="FJ22" s="82" t="n">
        <v>0</v>
      </c>
      <c r="FK22" s="82" t="n">
        <v>0</v>
      </c>
      <c r="FL22" s="82" t="n">
        <v>0</v>
      </c>
      <c r="FM22" s="82" t="n">
        <v>0</v>
      </c>
      <c r="FN22" s="82" t="n">
        <v>0</v>
      </c>
      <c r="FO22" s="82" t="n">
        <v>0</v>
      </c>
      <c r="FP22" s="82" t="n">
        <v>0</v>
      </c>
      <c r="FQ22" s="82" t="n">
        <v>0</v>
      </c>
      <c r="FR22" s="82" t="n">
        <v>0</v>
      </c>
      <c r="FS22" s="82" t="n">
        <v>0</v>
      </c>
      <c r="FT22" s="82" t="n">
        <v>0</v>
      </c>
      <c r="FU22" s="82" t="n">
        <v>0</v>
      </c>
      <c r="FV22" s="82" t="n">
        <v>0</v>
      </c>
      <c r="FW22" s="82" t="n">
        <v>0</v>
      </c>
      <c r="FX22" s="82" t="n">
        <v>0</v>
      </c>
      <c r="FY22" s="82" t="n">
        <v>0</v>
      </c>
      <c r="FZ22" s="82" t="n">
        <v>0</v>
      </c>
      <c r="GA22" s="82" t="n">
        <v>0</v>
      </c>
      <c r="GB22" s="82" t="n">
        <v>0</v>
      </c>
      <c r="GC22" s="82" t="n">
        <v>0</v>
      </c>
      <c r="GD22" s="82" t="n">
        <v>0</v>
      </c>
      <c r="GE22" s="82" t="n">
        <v>0</v>
      </c>
      <c r="GF22" s="82" t="n">
        <v>0</v>
      </c>
      <c r="GG22" s="82" t="n">
        <v>0</v>
      </c>
      <c r="GH22" s="82" t="n">
        <v>0</v>
      </c>
      <c r="GI22" s="82" t="n">
        <v>0</v>
      </c>
      <c r="GJ22" s="130" t="n"/>
      <c r="GK22">
        <f>GJ22</f>
        <v/>
      </c>
      <c r="GL22">
        <f>GK22</f>
        <v/>
      </c>
      <c r="GM22">
        <f>GL22</f>
        <v/>
      </c>
      <c r="GN22">
        <f>GM22</f>
        <v/>
      </c>
      <c r="GO22">
        <f>GN22</f>
        <v/>
      </c>
      <c r="GP22">
        <f>GO22</f>
        <v/>
      </c>
      <c r="GQ22">
        <f>GP22</f>
        <v/>
      </c>
      <c r="GR22">
        <f>GQ22</f>
        <v/>
      </c>
      <c r="GS22">
        <f>GR22</f>
        <v/>
      </c>
      <c r="GT22">
        <f>GS22</f>
        <v/>
      </c>
      <c r="GU22">
        <f>GT22</f>
        <v/>
      </c>
      <c r="GV22">
        <f>GU22</f>
        <v/>
      </c>
      <c r="GW22">
        <f>GV22</f>
        <v/>
      </c>
      <c r="GX22">
        <f>GW22</f>
        <v/>
      </c>
      <c r="GY22">
        <f>GX22</f>
        <v/>
      </c>
      <c r="GZ22">
        <f>GY22</f>
        <v/>
      </c>
      <c r="HA22">
        <f>GZ22</f>
        <v/>
      </c>
      <c r="HB22">
        <f>HA22</f>
        <v/>
      </c>
      <c r="HC22">
        <f>HB22</f>
        <v/>
      </c>
      <c r="HD22">
        <f>HC22</f>
        <v/>
      </c>
      <c r="HE22">
        <f>HD22</f>
        <v/>
      </c>
      <c r="HF22">
        <f>HE22</f>
        <v/>
      </c>
      <c r="HG22">
        <f>HF22</f>
        <v/>
      </c>
      <c r="HH22">
        <f>HG22</f>
        <v/>
      </c>
      <c r="HI22">
        <f>HH22</f>
        <v/>
      </c>
      <c r="HJ22">
        <f>HI22</f>
        <v/>
      </c>
      <c r="HK22">
        <f>HJ22</f>
        <v/>
      </c>
      <c r="HL22">
        <f>HK22</f>
        <v/>
      </c>
      <c r="HM22">
        <f>HL22</f>
        <v/>
      </c>
      <c r="HN22" s="130" t="n"/>
      <c r="HO22">
        <f>HN22</f>
        <v/>
      </c>
      <c r="HP22">
        <f>HO22</f>
        <v/>
      </c>
      <c r="HQ22">
        <f>HP22</f>
        <v/>
      </c>
      <c r="HR22">
        <f>HQ22</f>
        <v/>
      </c>
      <c r="HS22">
        <f>HR22</f>
        <v/>
      </c>
      <c r="HT22">
        <f>HS22</f>
        <v/>
      </c>
      <c r="HU22">
        <f>HT22</f>
        <v/>
      </c>
      <c r="HV22">
        <f>HU22</f>
        <v/>
      </c>
      <c r="HW22">
        <f>HV22</f>
        <v/>
      </c>
      <c r="HX22">
        <f>HW22</f>
        <v/>
      </c>
      <c r="HY22">
        <f>HX22</f>
        <v/>
      </c>
      <c r="HZ22">
        <f>HY22</f>
        <v/>
      </c>
      <c r="IA22">
        <f>HZ22</f>
        <v/>
      </c>
      <c r="IB22">
        <f>IA22</f>
        <v/>
      </c>
      <c r="IC22">
        <f>IB22</f>
        <v/>
      </c>
      <c r="ID22">
        <f>IC22</f>
        <v/>
      </c>
      <c r="IE22">
        <f>ID22</f>
        <v/>
      </c>
      <c r="IF22">
        <f>IE22</f>
        <v/>
      </c>
      <c r="IG22">
        <f>IF22</f>
        <v/>
      </c>
      <c r="IH22">
        <f>IG22</f>
        <v/>
      </c>
      <c r="II22">
        <f>IH22</f>
        <v/>
      </c>
      <c r="IJ22">
        <f>II22</f>
        <v/>
      </c>
      <c r="IK22">
        <f>IJ22</f>
        <v/>
      </c>
      <c r="IL22">
        <f>IK22</f>
        <v/>
      </c>
      <c r="IM22">
        <f>IL22</f>
        <v/>
      </c>
      <c r="IN22">
        <f>IM22</f>
        <v/>
      </c>
      <c r="IO22">
        <f>IN22</f>
        <v/>
      </c>
      <c r="IP22">
        <f>IO22</f>
        <v/>
      </c>
      <c r="IQ22">
        <f>IP22</f>
        <v/>
      </c>
      <c r="IR22">
        <f>IQ22</f>
        <v/>
      </c>
      <c r="IS22">
        <f>IR22</f>
        <v/>
      </c>
      <c r="IT22" s="130" t="n"/>
      <c r="IU22">
        <f>IT22</f>
        <v/>
      </c>
      <c r="IV22" s="82">
        <f>IU22</f>
        <v/>
      </c>
      <c r="IW22" s="82">
        <f>IV22</f>
        <v/>
      </c>
      <c r="IX22" s="82">
        <f>IW22</f>
        <v/>
      </c>
      <c r="IY22" s="82">
        <f>IX22</f>
        <v/>
      </c>
      <c r="IZ22" s="82">
        <f>IY22</f>
        <v/>
      </c>
      <c r="JA22" s="82">
        <f>IZ22</f>
        <v/>
      </c>
      <c r="JB22" s="82">
        <f>JA22</f>
        <v/>
      </c>
      <c r="JC22" s="82">
        <f>JB22</f>
        <v/>
      </c>
      <c r="JD22" s="82">
        <f>JC22</f>
        <v/>
      </c>
      <c r="JE22" s="82">
        <f>JD22</f>
        <v/>
      </c>
      <c r="JF22" s="82">
        <f>JE22</f>
        <v/>
      </c>
      <c r="JG22" s="82">
        <f>JF22</f>
        <v/>
      </c>
      <c r="JH22" s="82">
        <f>JG22</f>
        <v/>
      </c>
      <c r="JI22" s="82">
        <f>JH22</f>
        <v/>
      </c>
      <c r="JJ22" s="82">
        <f>JI22</f>
        <v/>
      </c>
      <c r="JK22" s="82">
        <f>JJ22</f>
        <v/>
      </c>
      <c r="JL22" s="82">
        <f>JK22</f>
        <v/>
      </c>
      <c r="JM22" s="82">
        <f>JL22</f>
        <v/>
      </c>
      <c r="JN22" s="82">
        <f>JM22</f>
        <v/>
      </c>
      <c r="JO22" s="82">
        <f>JN22</f>
        <v/>
      </c>
      <c r="JP22" s="82">
        <f>JO22</f>
        <v/>
      </c>
      <c r="JQ22" s="82">
        <f>JP22</f>
        <v/>
      </c>
      <c r="JR22" s="82">
        <f>JQ22</f>
        <v/>
      </c>
      <c r="JS22" s="82">
        <f>JR22</f>
        <v/>
      </c>
      <c r="JT22" s="82">
        <f>JS22</f>
        <v/>
      </c>
      <c r="JU22" s="82">
        <f>JT22</f>
        <v/>
      </c>
      <c r="JV22" s="82">
        <f>JU22</f>
        <v/>
      </c>
      <c r="JW22" s="82">
        <f>JV22</f>
        <v/>
      </c>
      <c r="JX22" s="82">
        <f>JW22</f>
        <v/>
      </c>
      <c r="JY22" s="133" t="n"/>
      <c r="JZ22" s="82">
        <f>JY22</f>
        <v/>
      </c>
      <c r="KA22" s="82">
        <f>JZ22</f>
        <v/>
      </c>
      <c r="KB22" s="82">
        <f>KA22</f>
        <v/>
      </c>
      <c r="KC22" s="82">
        <f>KB22</f>
        <v/>
      </c>
      <c r="KD22" s="82">
        <f>KC22</f>
        <v/>
      </c>
      <c r="KE22" s="82">
        <f>KD22</f>
        <v/>
      </c>
      <c r="KF22" s="82">
        <f>KE22</f>
        <v/>
      </c>
      <c r="KG22" s="82">
        <f>KF22</f>
        <v/>
      </c>
      <c r="KH22" s="82">
        <f>KG22</f>
        <v/>
      </c>
      <c r="KI22" s="82">
        <f>KH22</f>
        <v/>
      </c>
      <c r="KJ22" s="82">
        <f>KI22</f>
        <v/>
      </c>
      <c r="KK22" s="82">
        <f>KJ22</f>
        <v/>
      </c>
      <c r="KL22" s="82">
        <f>KK22</f>
        <v/>
      </c>
      <c r="KM22" s="82">
        <f>KL22</f>
        <v/>
      </c>
      <c r="KN22" s="82">
        <f>KM22</f>
        <v/>
      </c>
      <c r="KO22" s="82">
        <f>KN22</f>
        <v/>
      </c>
      <c r="KP22" s="82">
        <f>KO22</f>
        <v/>
      </c>
      <c r="KQ22" s="82">
        <f>KP22</f>
        <v/>
      </c>
      <c r="KR22" s="82">
        <f>KQ22</f>
        <v/>
      </c>
      <c r="KS22" s="82">
        <f>KR22</f>
        <v/>
      </c>
      <c r="KT22" s="82">
        <f>KS22</f>
        <v/>
      </c>
      <c r="KU22" s="82">
        <f>KT22</f>
        <v/>
      </c>
      <c r="KV22" s="82">
        <f>KU22</f>
        <v/>
      </c>
      <c r="KW22" s="82">
        <f>KV22</f>
        <v/>
      </c>
      <c r="KX22" s="82">
        <f>KW22</f>
        <v/>
      </c>
      <c r="KY22" s="82">
        <f>KX22</f>
        <v/>
      </c>
      <c r="KZ22" s="82">
        <f>KY22</f>
        <v/>
      </c>
      <c r="LA22" s="82">
        <f>KZ22</f>
        <v/>
      </c>
      <c r="LB22" s="82">
        <f>LA22</f>
        <v/>
      </c>
      <c r="LC22" s="82">
        <f>LB22</f>
        <v/>
      </c>
      <c r="LD22" s="82">
        <f>LC22</f>
        <v/>
      </c>
      <c r="LE22" s="130" t="n"/>
      <c r="LF22" s="82">
        <f>LE22</f>
        <v/>
      </c>
      <c r="LG22" s="82">
        <f>LF22</f>
        <v/>
      </c>
      <c r="LH22" s="82">
        <f>LG22</f>
        <v/>
      </c>
      <c r="LI22" s="82">
        <f>LH22</f>
        <v/>
      </c>
      <c r="LJ22" s="82">
        <f>LI22</f>
        <v/>
      </c>
      <c r="LK22" s="82">
        <f>LJ22</f>
        <v/>
      </c>
      <c r="LL22" s="82">
        <f>LK22</f>
        <v/>
      </c>
      <c r="LM22" s="82">
        <f>LL22</f>
        <v/>
      </c>
      <c r="LN22" s="82">
        <f>LM22</f>
        <v/>
      </c>
      <c r="LO22" s="82">
        <f>LN22</f>
        <v/>
      </c>
      <c r="LP22" s="82">
        <f>LO22</f>
        <v/>
      </c>
      <c r="LQ22" s="82">
        <f>LP22</f>
        <v/>
      </c>
      <c r="LR22" s="82">
        <f>LQ22</f>
        <v/>
      </c>
      <c r="LS22" s="82">
        <f>LR22</f>
        <v/>
      </c>
      <c r="LT22" s="82">
        <f>LS22</f>
        <v/>
      </c>
      <c r="LU22" s="82">
        <f>LT22</f>
        <v/>
      </c>
      <c r="LV22" s="82">
        <f>LU22</f>
        <v/>
      </c>
      <c r="LW22" s="82">
        <f>LV22</f>
        <v/>
      </c>
      <c r="LX22" s="82">
        <f>LW22</f>
        <v/>
      </c>
      <c r="LY22" s="82">
        <f>LX22</f>
        <v/>
      </c>
      <c r="LZ22" s="82">
        <f>LY22</f>
        <v/>
      </c>
      <c r="MA22" s="82">
        <f>LZ22</f>
        <v/>
      </c>
      <c r="MB22" s="82">
        <f>MA22</f>
        <v/>
      </c>
      <c r="MC22" s="82">
        <f>MB22</f>
        <v/>
      </c>
      <c r="MD22" s="82">
        <f>MC22</f>
        <v/>
      </c>
      <c r="ME22" s="82">
        <f>MD22</f>
        <v/>
      </c>
      <c r="MF22" s="82">
        <f>ME22</f>
        <v/>
      </c>
      <c r="MG22" s="82">
        <f>MF22</f>
        <v/>
      </c>
      <c r="MH22" s="82">
        <f>MG22</f>
        <v/>
      </c>
      <c r="MI22" s="82">
        <f>MH22</f>
        <v/>
      </c>
      <c r="MJ22" s="133" t="n"/>
      <c r="MK22" s="82">
        <f>MJ22</f>
        <v/>
      </c>
      <c r="ML22" s="82" t="n">
        <v>255000</v>
      </c>
      <c r="MM22" s="82">
        <f>ML22-100000</f>
        <v/>
      </c>
      <c r="MN22" s="82">
        <f>MM22</f>
        <v/>
      </c>
      <c r="MO22" s="82">
        <f>MN22</f>
        <v/>
      </c>
      <c r="MP22" s="82">
        <f>MO22</f>
        <v/>
      </c>
      <c r="MQ22" s="82">
        <f>MP22</f>
        <v/>
      </c>
      <c r="MR22" s="82">
        <f>MQ22</f>
        <v/>
      </c>
      <c r="MS22" s="82">
        <f>MR22</f>
        <v/>
      </c>
      <c r="MT22" s="82">
        <f>MS22</f>
        <v/>
      </c>
      <c r="MU22" s="82">
        <f>MT22</f>
        <v/>
      </c>
      <c r="MV22" s="82">
        <f>MU22</f>
        <v/>
      </c>
      <c r="MW22" s="82">
        <f>MV22</f>
        <v/>
      </c>
      <c r="MX22" s="82">
        <f>MW22</f>
        <v/>
      </c>
      <c r="MY22" s="82">
        <f>MX22</f>
        <v/>
      </c>
      <c r="MZ22" s="82">
        <f>MY22</f>
        <v/>
      </c>
      <c r="NA22" s="82">
        <f>MZ22</f>
        <v/>
      </c>
      <c r="NB22" s="82">
        <f>NA22</f>
        <v/>
      </c>
      <c r="NC22" s="82">
        <f>NB22</f>
        <v/>
      </c>
      <c r="ND22" s="82">
        <f>NC22</f>
        <v/>
      </c>
      <c r="NE22" s="82">
        <f>ND22</f>
        <v/>
      </c>
      <c r="NF22" s="82">
        <f>NE22</f>
        <v/>
      </c>
      <c r="NG22" s="82">
        <f>NF22</f>
        <v/>
      </c>
      <c r="NH22" s="82">
        <f>NG22+62000</f>
        <v/>
      </c>
      <c r="NI22" s="82">
        <f>NH22</f>
        <v/>
      </c>
      <c r="NJ22" s="82">
        <f>NI22</f>
        <v/>
      </c>
      <c r="NK22" s="82">
        <f>NJ22</f>
        <v/>
      </c>
      <c r="NL22" s="82">
        <f>NK22</f>
        <v/>
      </c>
      <c r="NM22" s="82">
        <f>NL22</f>
        <v/>
      </c>
      <c r="NN22" s="82">
        <f>NM22</f>
        <v/>
      </c>
      <c r="NO22" s="82">
        <f>NN22-22000</f>
        <v/>
      </c>
      <c r="NP22" s="133" t="n"/>
      <c r="NQ22" s="82">
        <f>NO22</f>
        <v/>
      </c>
      <c r="NR22" s="82">
        <f>NQ22-100000</f>
        <v/>
      </c>
      <c r="NS22" s="82">
        <f>NR22</f>
        <v/>
      </c>
      <c r="NT22" s="82">
        <f>NR22</f>
        <v/>
      </c>
      <c r="NU22" s="82">
        <f>NS22</f>
        <v/>
      </c>
      <c r="NV22" s="82">
        <f>NT22</f>
        <v/>
      </c>
      <c r="NW22" s="82">
        <f>NU22</f>
        <v/>
      </c>
      <c r="NX22" s="82">
        <f>NV22</f>
        <v/>
      </c>
      <c r="NY22" s="82">
        <f>NW22</f>
        <v/>
      </c>
      <c r="NZ22" s="82">
        <f>NX22</f>
        <v/>
      </c>
      <c r="OA22" s="82">
        <f>NY22</f>
        <v/>
      </c>
      <c r="OB22" s="82">
        <f>NZ22</f>
        <v/>
      </c>
      <c r="OC22" s="82">
        <f>OA22</f>
        <v/>
      </c>
      <c r="OD22" s="82">
        <f>OB22</f>
        <v/>
      </c>
      <c r="OE22" s="82">
        <f>OC22</f>
        <v/>
      </c>
      <c r="OF22" s="82">
        <f>OD22</f>
        <v/>
      </c>
      <c r="OG22" s="82">
        <f>OE22</f>
        <v/>
      </c>
      <c r="OH22" s="82">
        <f>OF22</f>
        <v/>
      </c>
      <c r="OI22" s="82">
        <f>OG22</f>
        <v/>
      </c>
      <c r="OJ22" s="82">
        <f>OH22</f>
        <v/>
      </c>
      <c r="OK22" s="82">
        <f>OI22</f>
        <v/>
      </c>
      <c r="OL22" s="82">
        <f>OJ22</f>
        <v/>
      </c>
      <c r="OM22" s="82">
        <f>OK22</f>
        <v/>
      </c>
      <c r="ON22" s="82">
        <f>OL22</f>
        <v/>
      </c>
      <c r="OO22" s="82">
        <f>OM22</f>
        <v/>
      </c>
      <c r="OP22" s="82">
        <f>ON22</f>
        <v/>
      </c>
      <c r="OQ22" s="82">
        <f>OO22</f>
        <v/>
      </c>
      <c r="OR22" s="82">
        <f>OP22</f>
        <v/>
      </c>
      <c r="OS22" s="82">
        <f>OQ22</f>
        <v/>
      </c>
      <c r="OT22" s="82">
        <f>OR22</f>
        <v/>
      </c>
      <c r="OU22" s="82">
        <f>OS22</f>
        <v/>
      </c>
      <c r="OV22" s="130" t="n"/>
      <c r="OW22" s="82">
        <f>OU22</f>
        <v/>
      </c>
      <c r="OX22" s="82">
        <f>OW22</f>
        <v/>
      </c>
      <c r="OY22" s="82">
        <f>OW22-63000+10000</f>
        <v/>
      </c>
      <c r="OZ22" s="82">
        <f>OY22</f>
        <v/>
      </c>
      <c r="PA22" s="82">
        <f>OY22</f>
        <v/>
      </c>
      <c r="PB22" s="82">
        <f>OZ22</f>
        <v/>
      </c>
      <c r="PC22" s="82">
        <f>PA22</f>
        <v/>
      </c>
      <c r="PD22" s="82">
        <f>PB22</f>
        <v/>
      </c>
      <c r="PE22" s="82">
        <f>PC22</f>
        <v/>
      </c>
      <c r="PF22" s="82">
        <f>PD22</f>
        <v/>
      </c>
      <c r="PG22" s="82">
        <f>PE22</f>
        <v/>
      </c>
      <c r="PH22" s="82">
        <f>PF22</f>
        <v/>
      </c>
      <c r="PI22" s="82">
        <f>PG22</f>
        <v/>
      </c>
      <c r="PJ22" s="82">
        <f>PH22</f>
        <v/>
      </c>
      <c r="PK22" s="82">
        <f>PI22</f>
        <v/>
      </c>
      <c r="PL22" s="82">
        <f>PJ22</f>
        <v/>
      </c>
      <c r="PM22" s="82">
        <f>PK22</f>
        <v/>
      </c>
      <c r="PN22" s="82">
        <f>PL22</f>
        <v/>
      </c>
      <c r="PO22" s="82">
        <f>PM22</f>
        <v/>
      </c>
      <c r="PP22" s="82">
        <f>PN22</f>
        <v/>
      </c>
      <c r="PQ22" s="82">
        <f>PO22</f>
        <v/>
      </c>
      <c r="PR22" s="82">
        <f>PP22</f>
        <v/>
      </c>
      <c r="PS22" s="82">
        <f>PQ22</f>
        <v/>
      </c>
      <c r="PT22" s="82">
        <f>PR22</f>
        <v/>
      </c>
      <c r="PU22" s="82">
        <f>PS22</f>
        <v/>
      </c>
      <c r="PV22" s="82">
        <f>PT22</f>
        <v/>
      </c>
      <c r="PW22" s="82">
        <f>PU22</f>
        <v/>
      </c>
      <c r="PX22" s="82">
        <f>PV22</f>
        <v/>
      </c>
      <c r="PY22" s="82">
        <f>PW22</f>
        <v/>
      </c>
      <c r="PZ22" s="82">
        <f>PX22</f>
        <v/>
      </c>
      <c r="QA22" s="130" t="n"/>
      <c r="QB22" s="82">
        <f>PZ22</f>
        <v/>
      </c>
      <c r="QC22" s="82">
        <f>QA22</f>
        <v/>
      </c>
      <c r="QD22" s="82" t="n">
        <v>0</v>
      </c>
      <c r="QE22" s="82">
        <f>QC22</f>
        <v/>
      </c>
      <c r="QF22" s="82">
        <f>QD22</f>
        <v/>
      </c>
      <c r="QG22" s="82">
        <f>QE22</f>
        <v/>
      </c>
      <c r="QH22" s="82">
        <f>QF22</f>
        <v/>
      </c>
      <c r="QI22" s="82">
        <f>QG22</f>
        <v/>
      </c>
      <c r="QJ22" s="82">
        <f>QH22</f>
        <v/>
      </c>
      <c r="QK22" s="82">
        <f>QI22</f>
        <v/>
      </c>
      <c r="QL22" s="82">
        <f>QJ22</f>
        <v/>
      </c>
      <c r="QM22" s="82">
        <f>QK22</f>
        <v/>
      </c>
      <c r="QN22" s="82">
        <f>QL22</f>
        <v/>
      </c>
      <c r="QO22" s="82">
        <f>QM22</f>
        <v/>
      </c>
      <c r="QP22" s="82">
        <f>QN22</f>
        <v/>
      </c>
      <c r="QQ22" s="82">
        <f>QO22</f>
        <v/>
      </c>
      <c r="QR22" s="82">
        <f>QP22</f>
        <v/>
      </c>
      <c r="QS22" s="82">
        <f>QQ22</f>
        <v/>
      </c>
      <c r="QT22" s="82">
        <f>QR22</f>
        <v/>
      </c>
      <c r="QU22" s="82">
        <f>QS22</f>
        <v/>
      </c>
      <c r="QV22" s="82">
        <f>QT22</f>
        <v/>
      </c>
      <c r="QW22" s="82">
        <f>QU22</f>
        <v/>
      </c>
      <c r="QX22" s="82">
        <f>QV22</f>
        <v/>
      </c>
      <c r="QY22" s="82">
        <f>QW22</f>
        <v/>
      </c>
      <c r="QZ22" s="82">
        <f>QX22</f>
        <v/>
      </c>
      <c r="RA22" s="82">
        <f>QY22</f>
        <v/>
      </c>
      <c r="RB22" s="82">
        <f>QZ22</f>
        <v/>
      </c>
      <c r="RC22" s="82">
        <f>RA22</f>
        <v/>
      </c>
      <c r="RD22" s="82">
        <f>RB22</f>
        <v/>
      </c>
      <c r="RE22" s="82">
        <f>RC22</f>
        <v/>
      </c>
      <c r="RF22" s="82">
        <f>RD22</f>
        <v/>
      </c>
      <c r="RG22" s="130" t="n"/>
      <c r="RH22" s="82">
        <f>RF22</f>
        <v/>
      </c>
      <c r="RI22" s="82">
        <f>RG22</f>
        <v/>
      </c>
      <c r="RJ22" s="82">
        <f>RH22</f>
        <v/>
      </c>
      <c r="RK22" s="82">
        <f>RI22</f>
        <v/>
      </c>
      <c r="RL22" s="82">
        <f>RJ22</f>
        <v/>
      </c>
      <c r="RM22" s="82">
        <f>RK22</f>
        <v/>
      </c>
      <c r="RN22" s="82">
        <f>RL22</f>
        <v/>
      </c>
      <c r="RO22" s="82">
        <f>RM22</f>
        <v/>
      </c>
      <c r="RP22" s="82">
        <f>RN22</f>
        <v/>
      </c>
      <c r="RQ22" s="82">
        <f>RO22</f>
        <v/>
      </c>
      <c r="RR22" s="82">
        <f>RP22</f>
        <v/>
      </c>
      <c r="RS22" s="82">
        <f>RQ22</f>
        <v/>
      </c>
      <c r="RT22" s="82">
        <f>RR22</f>
        <v/>
      </c>
      <c r="RU22" s="82">
        <f>RS22</f>
        <v/>
      </c>
      <c r="RV22" s="82">
        <f>RT22</f>
        <v/>
      </c>
      <c r="RW22" s="82">
        <f>RU22</f>
        <v/>
      </c>
      <c r="RX22" s="82">
        <f>RV22</f>
        <v/>
      </c>
      <c r="RY22" s="82">
        <f>RW22</f>
        <v/>
      </c>
      <c r="RZ22" s="82">
        <f>RX22</f>
        <v/>
      </c>
      <c r="SA22" s="82">
        <f>RY22</f>
        <v/>
      </c>
      <c r="SB22" s="82">
        <f>RZ22</f>
        <v/>
      </c>
      <c r="SC22" s="82">
        <f>SA22</f>
        <v/>
      </c>
      <c r="SD22" s="82">
        <f>SB22</f>
        <v/>
      </c>
      <c r="SE22" s="82">
        <f>SC22</f>
        <v/>
      </c>
      <c r="SF22" s="82">
        <f>SD22</f>
        <v/>
      </c>
      <c r="SG22" s="82">
        <f>SE22</f>
        <v/>
      </c>
      <c r="SH22" s="82">
        <f>SF22</f>
        <v/>
      </c>
      <c r="SI22" s="82">
        <f>SG22</f>
        <v/>
      </c>
      <c r="SJ22" s="82">
        <f>SH22</f>
        <v/>
      </c>
      <c r="SK22" s="82">
        <f>SI22</f>
        <v/>
      </c>
      <c r="SL22" s="130" t="n"/>
      <c r="SM22" s="82">
        <f>SK22</f>
        <v/>
      </c>
      <c r="SN22" s="82">
        <f>SL22</f>
        <v/>
      </c>
      <c r="SO22" s="82">
        <f>SM22</f>
        <v/>
      </c>
      <c r="SP22" s="82">
        <f>SN22</f>
        <v/>
      </c>
      <c r="SQ22" s="82">
        <f>SO22</f>
        <v/>
      </c>
      <c r="SR22" s="82">
        <f>SP22</f>
        <v/>
      </c>
      <c r="SS22" s="82">
        <f>SQ22</f>
        <v/>
      </c>
      <c r="ST22" s="82">
        <f>SR22</f>
        <v/>
      </c>
      <c r="SU22" s="82">
        <f>SS22</f>
        <v/>
      </c>
      <c r="SV22" s="82">
        <f>ST22</f>
        <v/>
      </c>
      <c r="SW22" s="82">
        <f>SU22</f>
        <v/>
      </c>
      <c r="SX22" s="82">
        <f>SV22</f>
        <v/>
      </c>
      <c r="SY22" s="82">
        <f>SW22</f>
        <v/>
      </c>
      <c r="SZ22" s="82">
        <f>SX22</f>
        <v/>
      </c>
      <c r="TA22" s="82">
        <f>SY22</f>
        <v/>
      </c>
      <c r="TB22" s="82">
        <f>SZ22</f>
        <v/>
      </c>
      <c r="TC22" s="82">
        <f>TA22</f>
        <v/>
      </c>
      <c r="TD22" s="82">
        <f>TB22</f>
        <v/>
      </c>
      <c r="TE22" s="82" t="n">
        <v>800000</v>
      </c>
      <c r="TF22" s="82" t="n">
        <v>800000</v>
      </c>
      <c r="TG22" s="82">
        <f>TE22</f>
        <v/>
      </c>
      <c r="TH22" s="82">
        <f>TF22</f>
        <v/>
      </c>
      <c r="TI22" s="82">
        <f>TG22</f>
        <v/>
      </c>
      <c r="TJ22" s="82">
        <f>TH22</f>
        <v/>
      </c>
      <c r="TK22" s="82">
        <f>TI22</f>
        <v/>
      </c>
      <c r="TL22" s="82">
        <f>TJ22</f>
        <v/>
      </c>
      <c r="TM22" s="82">
        <f>TK22</f>
        <v/>
      </c>
      <c r="TN22" s="82">
        <f>TL22</f>
        <v/>
      </c>
      <c r="TO22" s="82">
        <f>TM22</f>
        <v/>
      </c>
      <c r="TP22" s="82">
        <f>TN22</f>
        <v/>
      </c>
      <c r="TQ22" s="82">
        <f>TO22</f>
        <v/>
      </c>
      <c r="TR22" s="130" t="n"/>
      <c r="TS22" s="82">
        <f>TQ22</f>
        <v/>
      </c>
      <c r="TT22" s="82">
        <f>TS22</f>
        <v/>
      </c>
      <c r="TU22" s="82">
        <f>TT22</f>
        <v/>
      </c>
      <c r="TV22" s="82">
        <f>TU22</f>
        <v/>
      </c>
      <c r="TW22" s="82">
        <f>TV22</f>
        <v/>
      </c>
      <c r="TX22" s="82">
        <f>TW22</f>
        <v/>
      </c>
      <c r="TY22" s="82">
        <f>TX22</f>
        <v/>
      </c>
      <c r="TZ22" s="82">
        <f>TY22</f>
        <v/>
      </c>
      <c r="UA22" s="82">
        <f>TZ22</f>
        <v/>
      </c>
      <c r="UB22" s="82">
        <f>UA22</f>
        <v/>
      </c>
      <c r="UC22" s="82">
        <f>UB22</f>
        <v/>
      </c>
      <c r="UD22" s="82">
        <f>UC22</f>
        <v/>
      </c>
      <c r="UE22" s="82">
        <f>UD22</f>
        <v/>
      </c>
      <c r="UF22" s="82">
        <f>UE22</f>
        <v/>
      </c>
      <c r="UG22" s="82">
        <f>UF22-700000</f>
        <v/>
      </c>
      <c r="UH22" s="82">
        <f>UG22</f>
        <v/>
      </c>
      <c r="UI22" s="82">
        <f>UH22</f>
        <v/>
      </c>
      <c r="UJ22" s="82">
        <f>UI22</f>
        <v/>
      </c>
      <c r="UK22" s="82">
        <f>UJ22</f>
        <v/>
      </c>
      <c r="UL22" s="82">
        <f>UK22</f>
        <v/>
      </c>
      <c r="UM22" s="82">
        <f>UL22</f>
        <v/>
      </c>
      <c r="UN22" s="82">
        <f>UM22</f>
        <v/>
      </c>
      <c r="UO22" s="82">
        <f>UN22</f>
        <v/>
      </c>
      <c r="UP22" s="82">
        <f>UO22</f>
        <v/>
      </c>
      <c r="UQ22" s="82">
        <f>UP22</f>
        <v/>
      </c>
      <c r="UR22" s="82">
        <f>UQ22</f>
        <v/>
      </c>
      <c r="US22" s="82">
        <f>UR22</f>
        <v/>
      </c>
      <c r="UT22" s="82">
        <f>US22</f>
        <v/>
      </c>
      <c r="UU22" s="82">
        <f>UT22</f>
        <v/>
      </c>
      <c r="UV22" s="82">
        <f>UU22</f>
        <v/>
      </c>
      <c r="UW22" s="82">
        <f>UV22</f>
        <v/>
      </c>
      <c r="UX22" s="130" t="n"/>
      <c r="UY22" s="82">
        <f>UW22</f>
        <v/>
      </c>
      <c r="UZ22" s="82">
        <f>UY22</f>
        <v/>
      </c>
      <c r="VA22" s="82">
        <f>UY22</f>
        <v/>
      </c>
      <c r="VB22" s="82">
        <f>UZ22</f>
        <v/>
      </c>
      <c r="VC22" s="82">
        <f>VA22</f>
        <v/>
      </c>
      <c r="VD22" s="82">
        <f>VB22</f>
        <v/>
      </c>
      <c r="VE22" s="82">
        <f>VC22</f>
        <v/>
      </c>
      <c r="VF22" s="82">
        <f>VD22</f>
        <v/>
      </c>
      <c r="VG22" s="82">
        <f>VE22</f>
        <v/>
      </c>
      <c r="VH22" s="82">
        <f>VF22</f>
        <v/>
      </c>
      <c r="VI22" s="82">
        <f>VG22</f>
        <v/>
      </c>
      <c r="VJ22" s="82">
        <f>VH22</f>
        <v/>
      </c>
      <c r="VK22" s="82">
        <f>VI22</f>
        <v/>
      </c>
      <c r="VL22" s="82">
        <f>VJ22</f>
        <v/>
      </c>
      <c r="VM22" s="82">
        <f>VK22</f>
        <v/>
      </c>
      <c r="VN22" s="82">
        <f>VL22</f>
        <v/>
      </c>
      <c r="VO22" s="82">
        <f>VM22</f>
        <v/>
      </c>
      <c r="VP22" s="82">
        <f>VN22</f>
        <v/>
      </c>
      <c r="VQ22" s="82">
        <f>VO22</f>
        <v/>
      </c>
      <c r="VR22" s="82">
        <f>VP22+440000</f>
        <v/>
      </c>
      <c r="VS22" s="82">
        <f>VR22</f>
        <v/>
      </c>
      <c r="VT22" s="82">
        <f>VR22</f>
        <v/>
      </c>
      <c r="VU22" s="82">
        <f>VS22</f>
        <v/>
      </c>
      <c r="VV22" s="82">
        <f>VT22</f>
        <v/>
      </c>
      <c r="VW22" s="82">
        <f>VU22</f>
        <v/>
      </c>
      <c r="VX22" s="82">
        <f>VV22</f>
        <v/>
      </c>
      <c r="VY22" s="82">
        <f>VW22</f>
        <v/>
      </c>
      <c r="VZ22" s="82">
        <f>VX22</f>
        <v/>
      </c>
      <c r="WA22" s="133" t="n"/>
      <c r="WB22" s="82">
        <f>VZ22</f>
        <v/>
      </c>
      <c r="WC22" s="82">
        <f>WB22</f>
        <v/>
      </c>
      <c r="WD22" s="82">
        <f>WB22-300000</f>
        <v/>
      </c>
      <c r="WE22" s="82">
        <f>WD22</f>
        <v/>
      </c>
      <c r="WF22" s="82">
        <f>WD22</f>
        <v/>
      </c>
      <c r="WG22" s="82">
        <f>WE22+30000</f>
        <v/>
      </c>
      <c r="WH22" s="82">
        <f>WG22</f>
        <v/>
      </c>
      <c r="WI22" s="82">
        <f>WG22</f>
        <v/>
      </c>
      <c r="WJ22" s="82">
        <f>WH22</f>
        <v/>
      </c>
      <c r="WK22" s="82">
        <f>WI22</f>
        <v/>
      </c>
      <c r="WL22" s="82">
        <f>WJ22</f>
        <v/>
      </c>
      <c r="WM22" s="82">
        <f>WK22</f>
        <v/>
      </c>
      <c r="WN22" s="82">
        <f>WL22</f>
        <v/>
      </c>
      <c r="WO22" s="82">
        <f>WM22</f>
        <v/>
      </c>
      <c r="WP22" s="82">
        <f>WN22</f>
        <v/>
      </c>
      <c r="WQ22" s="82">
        <f>WO22</f>
        <v/>
      </c>
      <c r="WR22" s="82">
        <f>WP22</f>
        <v/>
      </c>
      <c r="WS22" s="82">
        <f>WQ22</f>
        <v/>
      </c>
      <c r="WT22" s="82">
        <f>WR22</f>
        <v/>
      </c>
      <c r="WU22" s="82">
        <f>WS22</f>
        <v/>
      </c>
      <c r="WV22" s="82">
        <f>WT22</f>
        <v/>
      </c>
      <c r="WW22" s="82">
        <f>WU22</f>
        <v/>
      </c>
      <c r="WX22" s="82">
        <f>WV22</f>
        <v/>
      </c>
      <c r="WY22" s="82">
        <f>WW22</f>
        <v/>
      </c>
      <c r="WZ22" s="82">
        <f>WX22</f>
        <v/>
      </c>
      <c r="XA22" s="82">
        <f>WY22</f>
        <v/>
      </c>
      <c r="XB22" s="82">
        <f>WZ22</f>
        <v/>
      </c>
      <c r="XC22" s="82">
        <f>XA22</f>
        <v/>
      </c>
      <c r="XD22" s="82">
        <f>XB22</f>
        <v/>
      </c>
      <c r="XE22" s="82">
        <f>XC22</f>
        <v/>
      </c>
      <c r="XF22" s="82">
        <f>XD22</f>
        <v/>
      </c>
      <c r="XG22" s="133" t="n"/>
      <c r="XH22" s="82">
        <f>XF22</f>
        <v/>
      </c>
      <c r="XI22" s="82">
        <f>XH22</f>
        <v/>
      </c>
      <c r="XJ22" s="82">
        <f>XI22</f>
        <v/>
      </c>
      <c r="XK22" s="82" t="n">
        <v>0</v>
      </c>
      <c r="XL22" s="82">
        <f>XK22</f>
        <v/>
      </c>
      <c r="XM22" s="82">
        <f>XL22</f>
        <v/>
      </c>
      <c r="XN22" s="82">
        <f>XM22</f>
        <v/>
      </c>
      <c r="XO22" s="82">
        <f>XN22</f>
        <v/>
      </c>
      <c r="XP22" s="82">
        <f>XO22</f>
        <v/>
      </c>
      <c r="XQ22" s="82">
        <f>XP22</f>
        <v/>
      </c>
      <c r="XR22" s="82">
        <f>XQ22</f>
        <v/>
      </c>
      <c r="XS22" s="82">
        <f>XR22</f>
        <v/>
      </c>
      <c r="XT22" s="82">
        <f>XS22</f>
        <v/>
      </c>
      <c r="XU22" s="82">
        <f>XT22</f>
        <v/>
      </c>
      <c r="XV22" s="82">
        <f>XU22</f>
        <v/>
      </c>
      <c r="XW22" s="82">
        <f>XV22</f>
        <v/>
      </c>
      <c r="XX22" s="82">
        <f>XW22</f>
        <v/>
      </c>
      <c r="XY22" s="82">
        <f>XX22</f>
        <v/>
      </c>
      <c r="XZ22" s="82">
        <f>XY22</f>
        <v/>
      </c>
      <c r="YA22" s="82">
        <f>XZ22</f>
        <v/>
      </c>
      <c r="YB22" s="82">
        <f>YA22</f>
        <v/>
      </c>
      <c r="YC22" s="82">
        <f>YB22</f>
        <v/>
      </c>
      <c r="YD22" s="82" t="n">
        <v>500000</v>
      </c>
      <c r="YE22" s="82">
        <f>YD22</f>
        <v/>
      </c>
      <c r="YF22" s="82">
        <f>YE22</f>
        <v/>
      </c>
      <c r="YG22" s="82">
        <f>YF22</f>
        <v/>
      </c>
      <c r="YH22" s="82">
        <f>YG22</f>
        <v/>
      </c>
      <c r="YI22" s="82">
        <f>YH22</f>
        <v/>
      </c>
      <c r="YJ22" s="82">
        <f>YI22</f>
        <v/>
      </c>
      <c r="YK22" s="82">
        <f>YJ22</f>
        <v/>
      </c>
      <c r="YL22" s="130" t="n"/>
      <c r="YM22" s="82">
        <f>YK22</f>
        <v/>
      </c>
      <c r="YN22" s="82">
        <f>YM22</f>
        <v/>
      </c>
      <c r="YO22" s="82">
        <f>YN22</f>
        <v/>
      </c>
      <c r="YP22" s="82">
        <f>YO22</f>
        <v/>
      </c>
      <c r="YQ22" s="82">
        <f>YP22</f>
        <v/>
      </c>
      <c r="YR22" s="82">
        <f>YQ22</f>
        <v/>
      </c>
      <c r="YS22" s="82">
        <f>YR22</f>
        <v/>
      </c>
      <c r="YT22" s="82">
        <f>YS22</f>
        <v/>
      </c>
      <c r="YU22" s="82">
        <f>YT22</f>
        <v/>
      </c>
      <c r="YV22" s="82">
        <f>YU22</f>
        <v/>
      </c>
      <c r="YW22" s="82">
        <f>YV22</f>
        <v/>
      </c>
      <c r="YX22" s="82">
        <f>YW22</f>
        <v/>
      </c>
      <c r="YY22" s="82">
        <f>YX22</f>
        <v/>
      </c>
      <c r="YZ22" s="82">
        <f>YY22</f>
        <v/>
      </c>
      <c r="ZA22" s="82">
        <f>YZ22</f>
        <v/>
      </c>
      <c r="ZB22" s="82">
        <f>ZA22</f>
        <v/>
      </c>
      <c r="ZC22" s="82">
        <f>ZB22</f>
        <v/>
      </c>
      <c r="ZD22" s="82">
        <f>ZC22</f>
        <v/>
      </c>
      <c r="ZE22" s="82">
        <f>ZD22</f>
        <v/>
      </c>
      <c r="ZF22" s="82">
        <f>ZE22</f>
        <v/>
      </c>
      <c r="ZG22" s="82">
        <f>ZF22</f>
        <v/>
      </c>
      <c r="ZH22" s="82">
        <f>ZG22</f>
        <v/>
      </c>
      <c r="ZI22" s="82">
        <f>ZH22</f>
        <v/>
      </c>
      <c r="ZJ22" s="82">
        <f>ZI22</f>
        <v/>
      </c>
      <c r="ZK22" s="82">
        <f>ZJ22</f>
        <v/>
      </c>
      <c r="ZL22" s="82">
        <f>ZK22</f>
        <v/>
      </c>
      <c r="ZM22" s="82">
        <f>ZL22</f>
        <v/>
      </c>
      <c r="ZN22" s="82">
        <f>ZM22</f>
        <v/>
      </c>
      <c r="ZO22" s="82">
        <f>ZN22</f>
        <v/>
      </c>
      <c r="ZP22" s="82">
        <f>ZO22</f>
        <v/>
      </c>
      <c r="ZQ22" s="82">
        <f>ZP22</f>
        <v/>
      </c>
      <c r="ZR22" s="130" t="n"/>
      <c r="ZS22" s="82">
        <f>ZQ22</f>
        <v/>
      </c>
      <c r="ZT22" s="82">
        <f>ZS22</f>
        <v/>
      </c>
      <c r="ZU22" s="82">
        <f>ZT22</f>
        <v/>
      </c>
      <c r="ZV22" s="82">
        <f>ZU22</f>
        <v/>
      </c>
      <c r="ZW22" s="82">
        <f>ZV22</f>
        <v/>
      </c>
      <c r="ZX22" s="82">
        <f>ZW22</f>
        <v/>
      </c>
      <c r="ZY22" s="82">
        <f>ZX22</f>
        <v/>
      </c>
      <c r="ZZ22" s="82">
        <f>ZY22</f>
        <v/>
      </c>
      <c r="AAA22" s="82">
        <f>ZZ22</f>
        <v/>
      </c>
      <c r="AAB22" s="82">
        <f>AAA22</f>
        <v/>
      </c>
      <c r="AAC22" s="82">
        <f>AAB22</f>
        <v/>
      </c>
      <c r="AAD22" s="82">
        <f>AAC22</f>
        <v/>
      </c>
      <c r="AAE22" s="82">
        <f>AAD22</f>
        <v/>
      </c>
      <c r="AAF22" s="82">
        <f>AAE22</f>
        <v/>
      </c>
      <c r="AAG22" s="82">
        <f>AAF22</f>
        <v/>
      </c>
      <c r="AAH22" s="82">
        <f>AAG22</f>
        <v/>
      </c>
      <c r="AAI22" s="82">
        <f>AAH22</f>
        <v/>
      </c>
      <c r="AAJ22" s="82">
        <f>AAI22</f>
        <v/>
      </c>
      <c r="AAK22" s="82">
        <f>AAJ22</f>
        <v/>
      </c>
      <c r="AAL22" s="82">
        <f>AAK22</f>
        <v/>
      </c>
      <c r="AAM22" s="82">
        <f>AAL22</f>
        <v/>
      </c>
      <c r="AAN22" s="82">
        <f>AAM22</f>
        <v/>
      </c>
      <c r="AAO22" s="82">
        <f>AAN22</f>
        <v/>
      </c>
      <c r="AAP22" s="82">
        <f>AAO22</f>
        <v/>
      </c>
      <c r="AAQ22" s="82">
        <f>AAP22</f>
        <v/>
      </c>
      <c r="AAR22" s="82">
        <f>AAQ22</f>
        <v/>
      </c>
      <c r="AAS22" s="82">
        <f>AAR22</f>
        <v/>
      </c>
      <c r="AAT22" s="82">
        <f>AAS22</f>
        <v/>
      </c>
      <c r="AAU22" s="82">
        <f>AAT22</f>
        <v/>
      </c>
      <c r="AAV22" s="82">
        <f>AAU22</f>
        <v/>
      </c>
      <c r="AAW22" s="130" t="n"/>
      <c r="AAX22" s="82">
        <f>AAV22-100000</f>
        <v/>
      </c>
      <c r="AAY22" s="82">
        <f>AAX22-100000</f>
        <v/>
      </c>
      <c r="AAZ22" s="82">
        <f>AAY22</f>
        <v/>
      </c>
      <c r="ABA22" s="82">
        <f>AAZ22</f>
        <v/>
      </c>
      <c r="ABB22" s="82">
        <f>ABA22</f>
        <v/>
      </c>
      <c r="ABC22" s="82">
        <f>ABB22</f>
        <v/>
      </c>
      <c r="ABD22" s="82">
        <f>ABC22</f>
        <v/>
      </c>
      <c r="ABE22" s="82">
        <f>ABD22</f>
        <v/>
      </c>
      <c r="ABF22" s="82">
        <f>ABE22</f>
        <v/>
      </c>
      <c r="ABG22" s="82">
        <f>ABF22</f>
        <v/>
      </c>
      <c r="ABH22" s="82">
        <f>ABG22</f>
        <v/>
      </c>
      <c r="ABI22" s="82">
        <f>ABH22</f>
        <v/>
      </c>
      <c r="ABJ22" s="82">
        <f>ABI22</f>
        <v/>
      </c>
      <c r="ABK22" s="82">
        <f>ABJ22</f>
        <v/>
      </c>
      <c r="ABL22" s="82">
        <f>ABK22</f>
        <v/>
      </c>
      <c r="ABM22" s="82">
        <f>ABL22</f>
        <v/>
      </c>
      <c r="ABN22" s="82">
        <f>ABM22</f>
        <v/>
      </c>
      <c r="ABO22" s="82">
        <f>ABN22</f>
        <v/>
      </c>
      <c r="ABP22" s="82">
        <f>ABO22</f>
        <v/>
      </c>
      <c r="ABQ22" s="82">
        <f>ABP22</f>
        <v/>
      </c>
      <c r="ABR22" s="82">
        <f>ABQ22</f>
        <v/>
      </c>
      <c r="ABS22" s="82">
        <f>ABR22</f>
        <v/>
      </c>
      <c r="ABT22" s="82">
        <f>ABS22</f>
        <v/>
      </c>
      <c r="ABU22" s="82">
        <f>ABT22</f>
        <v/>
      </c>
      <c r="ABV22" s="82">
        <f>ABU22</f>
        <v/>
      </c>
      <c r="ABW22" s="82">
        <f>ABV22</f>
        <v/>
      </c>
      <c r="ABX22" s="82">
        <f>ABW22</f>
        <v/>
      </c>
      <c r="ABY22" s="82">
        <f>ABX22</f>
        <v/>
      </c>
      <c r="ABZ22" s="82">
        <f>ABY22</f>
        <v/>
      </c>
      <c r="ACA22" s="82">
        <f>ABZ22</f>
        <v/>
      </c>
      <c r="ACB22" s="82">
        <f>ACA22</f>
        <v/>
      </c>
      <c r="ACC22" s="130" t="n"/>
      <c r="ACD22" s="82">
        <f>ACB22</f>
        <v/>
      </c>
      <c r="ACE22" s="82">
        <f>ACD22</f>
        <v/>
      </c>
      <c r="ACF22" s="82">
        <f>ACE22</f>
        <v/>
      </c>
      <c r="ACG22" s="82">
        <f>ACF22</f>
        <v/>
      </c>
      <c r="ACH22" s="82">
        <f>ACG22</f>
        <v/>
      </c>
      <c r="ACI22" s="82">
        <f>ACH22</f>
        <v/>
      </c>
      <c r="ACJ22" s="82">
        <f>ACI22</f>
        <v/>
      </c>
      <c r="ACK22" s="82">
        <f>ACJ22</f>
        <v/>
      </c>
      <c r="ACL22" s="82">
        <f>ACK22</f>
        <v/>
      </c>
      <c r="ACM22" s="82">
        <f>ACL22</f>
        <v/>
      </c>
      <c r="ACN22" s="82">
        <f>ACM22</f>
        <v/>
      </c>
      <c r="ACO22" s="82">
        <f>ACN22</f>
        <v/>
      </c>
      <c r="ACP22" s="82">
        <f>ACO22</f>
        <v/>
      </c>
      <c r="ACQ22" s="82">
        <f>ACP22</f>
        <v/>
      </c>
      <c r="ACR22" s="82">
        <f>ACQ22</f>
        <v/>
      </c>
      <c r="ACS22" s="82">
        <f>ACR22</f>
        <v/>
      </c>
      <c r="ACT22" s="82">
        <f>ACS22</f>
        <v/>
      </c>
      <c r="ACU22" s="82">
        <f>ACT22</f>
        <v/>
      </c>
      <c r="ACV22" s="82">
        <f>ACU22</f>
        <v/>
      </c>
      <c r="ACW22" s="82">
        <f>ACV22</f>
        <v/>
      </c>
      <c r="ACX22" s="82">
        <f>ACW22</f>
        <v/>
      </c>
      <c r="ACY22" s="82">
        <f>ACX22</f>
        <v/>
      </c>
      <c r="ACZ22" s="82">
        <f>ACY22</f>
        <v/>
      </c>
      <c r="ADA22" s="82">
        <f>ACZ22</f>
        <v/>
      </c>
      <c r="ADB22" s="82">
        <f>ADA22</f>
        <v/>
      </c>
      <c r="ADC22" s="82">
        <f>ADB22</f>
        <v/>
      </c>
      <c r="ADD22" s="82">
        <f>ADC22</f>
        <v/>
      </c>
      <c r="ADE22" s="82">
        <f>ADD22</f>
        <v/>
      </c>
      <c r="ADF22" s="82">
        <f>ADE22</f>
        <v/>
      </c>
      <c r="ADG22" s="82">
        <f>ADF22</f>
        <v/>
      </c>
      <c r="ADH22" s="82">
        <f>ADG22</f>
        <v/>
      </c>
      <c r="ADI22" s="130" t="n"/>
      <c r="ADJ22" s="82">
        <f>ADH22</f>
        <v/>
      </c>
      <c r="ADK22" s="82">
        <f>ADJ22</f>
        <v/>
      </c>
      <c r="ADL22" s="82">
        <f>ADK22</f>
        <v/>
      </c>
      <c r="ADM22" s="82">
        <f>ADL22</f>
        <v/>
      </c>
      <c r="ADN22" s="82">
        <f>ADM22</f>
        <v/>
      </c>
      <c r="ADO22" s="82">
        <f>ADN22</f>
        <v/>
      </c>
      <c r="ADP22" s="82">
        <f>ADO22</f>
        <v/>
      </c>
      <c r="ADQ22" s="82">
        <f>ADP22</f>
        <v/>
      </c>
      <c r="ADR22" s="82">
        <f>ADQ22</f>
        <v/>
      </c>
      <c r="ADS22" s="82">
        <f>ADR22</f>
        <v/>
      </c>
      <c r="ADT22" s="82">
        <f>ADS22</f>
        <v/>
      </c>
      <c r="ADU22" s="82">
        <f>ADT22</f>
        <v/>
      </c>
      <c r="ADV22" s="82">
        <f>ADU22</f>
        <v/>
      </c>
      <c r="ADW22" s="82">
        <f>ADV22</f>
        <v/>
      </c>
      <c r="ADX22" s="82">
        <f>ADW22</f>
        <v/>
      </c>
      <c r="ADY22" s="82">
        <f>ADX22-100000</f>
        <v/>
      </c>
      <c r="ADZ22" s="82">
        <f>ADY22</f>
        <v/>
      </c>
      <c r="AEA22" s="82">
        <f>ADZ22</f>
        <v/>
      </c>
      <c r="AEB22" s="82">
        <f>AEA22</f>
        <v/>
      </c>
      <c r="AEC22" s="82">
        <f>AEB22</f>
        <v/>
      </c>
      <c r="AED22" s="82">
        <f>AEC22</f>
        <v/>
      </c>
      <c r="AEE22" s="82">
        <f>AED22</f>
        <v/>
      </c>
      <c r="AEF22" s="82">
        <f>AEE22</f>
        <v/>
      </c>
      <c r="AEG22" s="82">
        <f>AEF22</f>
        <v/>
      </c>
      <c r="AEH22" s="82">
        <f>AEG22</f>
        <v/>
      </c>
      <c r="AEI22" s="82">
        <f>AEH22</f>
        <v/>
      </c>
      <c r="AEJ22" s="82">
        <f>AEI22</f>
        <v/>
      </c>
      <c r="AEK22" s="82">
        <f>AEJ22</f>
        <v/>
      </c>
      <c r="AEL22" s="82">
        <f>AEK22</f>
        <v/>
      </c>
      <c r="AEM22" s="82">
        <f>AEL22</f>
        <v/>
      </c>
      <c r="AEN22" s="130" t="n"/>
      <c r="AEO22" s="82">
        <f>AEM22</f>
        <v/>
      </c>
      <c r="AEP22" s="82">
        <f>AEO22</f>
        <v/>
      </c>
      <c r="AEQ22" s="82">
        <f>AEP22</f>
        <v/>
      </c>
      <c r="AER22" s="82">
        <f>AEQ22</f>
        <v/>
      </c>
      <c r="AES22" s="82">
        <f>AER22</f>
        <v/>
      </c>
      <c r="AET22" s="82">
        <f>AES22</f>
        <v/>
      </c>
      <c r="AEU22" s="82">
        <f>AET22</f>
        <v/>
      </c>
      <c r="AEV22" s="82">
        <f>AEU22</f>
        <v/>
      </c>
      <c r="AEW22" s="82">
        <f>AEV22</f>
        <v/>
      </c>
      <c r="AEX22" s="82">
        <f>AEW22</f>
        <v/>
      </c>
      <c r="AEY22" s="82">
        <f>AEX22</f>
        <v/>
      </c>
      <c r="AEZ22" s="82">
        <f>AEY22</f>
        <v/>
      </c>
      <c r="AFA22" s="82">
        <f>AEZ22</f>
        <v/>
      </c>
      <c r="AFB22" s="82">
        <f>AFA22</f>
        <v/>
      </c>
      <c r="AFC22" s="82">
        <f>AFB22</f>
        <v/>
      </c>
      <c r="AFD22" s="82">
        <f>AFC22</f>
        <v/>
      </c>
      <c r="AFE22" s="82">
        <f>AFD22</f>
        <v/>
      </c>
      <c r="AFF22" s="82">
        <f>AFE22</f>
        <v/>
      </c>
      <c r="AFG22" s="82">
        <f>AFF22</f>
        <v/>
      </c>
      <c r="AFH22" s="82">
        <f>AFG22</f>
        <v/>
      </c>
      <c r="AFI22" s="82">
        <f>AFH22</f>
        <v/>
      </c>
      <c r="AFJ22" s="82">
        <f>AFI22</f>
        <v/>
      </c>
      <c r="AFK22" s="82">
        <f>AFJ22</f>
        <v/>
      </c>
      <c r="AFL22" s="82">
        <f>AFK22</f>
        <v/>
      </c>
      <c r="AFM22" s="82">
        <f>AFL22</f>
        <v/>
      </c>
      <c r="AFN22" s="82">
        <f>AFM22</f>
        <v/>
      </c>
      <c r="AFO22" s="82">
        <f>AFN22</f>
        <v/>
      </c>
      <c r="AFP22" s="82">
        <f>AFO22</f>
        <v/>
      </c>
      <c r="AFQ22" s="82">
        <f>AFP22</f>
        <v/>
      </c>
      <c r="AFR22" s="82">
        <f>AFQ22</f>
        <v/>
      </c>
      <c r="AFS22" s="82">
        <f>AFR22</f>
        <v/>
      </c>
      <c r="AFT22" s="130" t="n"/>
      <c r="AFU22" s="82">
        <f>AFS22</f>
        <v/>
      </c>
      <c r="AFV22" s="82">
        <f>AFU22</f>
        <v/>
      </c>
      <c r="AFW22" s="82">
        <f>AFV22</f>
        <v/>
      </c>
      <c r="AFX22" s="82">
        <f>AFW22</f>
        <v/>
      </c>
      <c r="AFY22" s="82">
        <f>AFX22</f>
        <v/>
      </c>
      <c r="AFZ22" s="82">
        <f>AFY22</f>
        <v/>
      </c>
      <c r="AGA22" s="82">
        <f>AFZ22</f>
        <v/>
      </c>
      <c r="AGB22" s="82">
        <f>AGA22</f>
        <v/>
      </c>
      <c r="AGC22" s="82">
        <f>AGB22</f>
        <v/>
      </c>
      <c r="AGD22" s="82">
        <f>AGC22</f>
        <v/>
      </c>
      <c r="AGE22" s="82">
        <f>AGD22</f>
        <v/>
      </c>
      <c r="AGF22" s="82">
        <f>AGE22</f>
        <v/>
      </c>
      <c r="AGG22" s="82">
        <f>AGF22</f>
        <v/>
      </c>
      <c r="AGH22" s="82">
        <f>AGG22</f>
        <v/>
      </c>
      <c r="AGI22" s="82">
        <f>AGH22</f>
        <v/>
      </c>
      <c r="AGJ22" s="82">
        <f>AGI22</f>
        <v/>
      </c>
      <c r="AGK22" s="82">
        <f>AGJ22</f>
        <v/>
      </c>
      <c r="AGL22" s="82">
        <f>AGK22</f>
        <v/>
      </c>
      <c r="AGM22" s="82">
        <f>AGL22</f>
        <v/>
      </c>
      <c r="AGN22" s="82">
        <f>AGM22</f>
        <v/>
      </c>
      <c r="AGO22" s="82">
        <f>AGN22</f>
        <v/>
      </c>
      <c r="AGP22" s="82">
        <f>AGO22</f>
        <v/>
      </c>
      <c r="AGQ22" s="82">
        <f>AGP22</f>
        <v/>
      </c>
      <c r="AGR22" s="82">
        <f>AGQ22</f>
        <v/>
      </c>
      <c r="AGS22" s="82">
        <f>AGR22</f>
        <v/>
      </c>
      <c r="AGT22" s="82">
        <f>AGS22</f>
        <v/>
      </c>
      <c r="AGU22" s="82">
        <f>AGT22</f>
        <v/>
      </c>
      <c r="AGV22" s="82">
        <f>AGU22</f>
        <v/>
      </c>
      <c r="AGW22" s="82">
        <f>AGV22</f>
        <v/>
      </c>
      <c r="AGX22" s="82">
        <f>AGW22</f>
        <v/>
      </c>
      <c r="AGY22" s="133" t="n"/>
      <c r="AGZ22" s="82">
        <f>AGX22</f>
        <v/>
      </c>
      <c r="AHA22" s="82">
        <f>AGZ22</f>
        <v/>
      </c>
      <c r="AHB22" s="82">
        <f>AHA22</f>
        <v/>
      </c>
      <c r="AHC22" s="82">
        <f>AHB22</f>
        <v/>
      </c>
      <c r="AHD22" s="82">
        <f>AHC22</f>
        <v/>
      </c>
      <c r="AHE22" s="82">
        <f>AHD22</f>
        <v/>
      </c>
      <c r="AHF22" s="82">
        <f>AHE22</f>
        <v/>
      </c>
      <c r="AHG22" s="82">
        <f>AHF22</f>
        <v/>
      </c>
      <c r="AHH22" s="82">
        <f>AHG22</f>
        <v/>
      </c>
      <c r="AHI22" s="82">
        <f>AHH22</f>
        <v/>
      </c>
      <c r="AHJ22" s="82">
        <f>AHI22</f>
        <v/>
      </c>
      <c r="AHK22" s="82">
        <f>AHJ22</f>
        <v/>
      </c>
      <c r="AHL22" s="82">
        <f>AHK22</f>
        <v/>
      </c>
      <c r="AHM22" s="82">
        <f>AHL22</f>
        <v/>
      </c>
      <c r="AHN22" s="82">
        <f>AHM22</f>
        <v/>
      </c>
      <c r="AHO22" s="82">
        <f>AHN22</f>
        <v/>
      </c>
      <c r="AHP22" s="82">
        <f>AHO22</f>
        <v/>
      </c>
      <c r="AHQ22" s="82">
        <f>AHP22</f>
        <v/>
      </c>
      <c r="AHR22" s="82">
        <f>AHQ22</f>
        <v/>
      </c>
      <c r="AHS22" s="82">
        <f>AHR22</f>
        <v/>
      </c>
      <c r="AHT22" s="82">
        <f>AHS22</f>
        <v/>
      </c>
      <c r="AHU22" s="82">
        <f>AHT22</f>
        <v/>
      </c>
      <c r="AHV22" s="82">
        <f>AHU22</f>
        <v/>
      </c>
      <c r="AHW22" s="82">
        <f>AHV22</f>
        <v/>
      </c>
      <c r="AHX22" s="82">
        <f>AHW22</f>
        <v/>
      </c>
      <c r="AHY22" s="82">
        <f>AHX22</f>
        <v/>
      </c>
      <c r="AHZ22" s="82">
        <f>AHY22</f>
        <v/>
      </c>
      <c r="AIA22" s="82">
        <f>AHZ22</f>
        <v/>
      </c>
      <c r="AIB22" s="82">
        <f>AIA22</f>
        <v/>
      </c>
      <c r="AIC22" s="82">
        <f>AIB22</f>
        <v/>
      </c>
      <c r="AID22" s="82">
        <f>AIC22</f>
        <v/>
      </c>
      <c r="AIE22" s="130" t="n"/>
      <c r="AIF22" s="82">
        <f>AID22</f>
        <v/>
      </c>
      <c r="AIG22" s="82">
        <f>AIF22</f>
        <v/>
      </c>
      <c r="AIH22" s="82">
        <f>AIG22</f>
        <v/>
      </c>
      <c r="AII22" s="82">
        <f>AIH22</f>
        <v/>
      </c>
      <c r="AIJ22" s="82">
        <f>AII22</f>
        <v/>
      </c>
      <c r="AIK22" s="82">
        <f>AIJ22</f>
        <v/>
      </c>
      <c r="AIL22" s="82">
        <f>AIK22</f>
        <v/>
      </c>
      <c r="AIM22" s="82">
        <f>AIL22</f>
        <v/>
      </c>
      <c r="AIN22" s="82">
        <f>AIM22</f>
        <v/>
      </c>
      <c r="AIO22" s="82">
        <f>AIN22</f>
        <v/>
      </c>
      <c r="AIP22" s="82">
        <f>AIO22</f>
        <v/>
      </c>
      <c r="AIQ22" s="82">
        <f>AIP22</f>
        <v/>
      </c>
      <c r="AIR22" s="82">
        <f>AIQ22</f>
        <v/>
      </c>
      <c r="AIS22" s="82">
        <f>AIR22</f>
        <v/>
      </c>
      <c r="AIT22" s="82">
        <f>AIS22</f>
        <v/>
      </c>
      <c r="AIU22" s="82">
        <f>AIT22</f>
        <v/>
      </c>
      <c r="AIV22" s="82">
        <f>AIU22</f>
        <v/>
      </c>
      <c r="AIW22" s="82">
        <f>AIV22</f>
        <v/>
      </c>
      <c r="AIX22" s="82" t="n">
        <v>0</v>
      </c>
      <c r="AIY22" s="82">
        <f>AIX22</f>
        <v/>
      </c>
      <c r="AIZ22" s="82">
        <f>AIY22</f>
        <v/>
      </c>
      <c r="AJA22" s="82">
        <f>AIZ22</f>
        <v/>
      </c>
      <c r="AJB22" s="82">
        <f>AJA22</f>
        <v/>
      </c>
      <c r="AJC22" s="82">
        <f>AJB22</f>
        <v/>
      </c>
      <c r="AJD22" s="82">
        <f>AJC22</f>
        <v/>
      </c>
      <c r="AJE22" s="82">
        <f>AJD22</f>
        <v/>
      </c>
      <c r="AJF22" s="82">
        <f>AJE22</f>
        <v/>
      </c>
      <c r="AJG22" s="82">
        <f>AJF22</f>
        <v/>
      </c>
      <c r="AJH22" s="82">
        <f>AJG22</f>
        <v/>
      </c>
      <c r="AJI22" s="82">
        <f>AJH22</f>
        <v/>
      </c>
      <c r="AJJ22" s="82">
        <f>AJI22</f>
        <v/>
      </c>
      <c r="AJK22" s="145" t="n"/>
      <c r="AJL22" s="82">
        <f>AJK22</f>
        <v/>
      </c>
      <c r="AJM22" s="82">
        <f>AJL22</f>
        <v/>
      </c>
      <c r="AJN22" s="82">
        <f>AJM22</f>
        <v/>
      </c>
      <c r="AJO22" s="82">
        <f>AJN22</f>
        <v/>
      </c>
      <c r="AJP22" s="82">
        <f>AJO22</f>
        <v/>
      </c>
      <c r="AJQ22" s="82">
        <f>AJP22</f>
        <v/>
      </c>
      <c r="AJR22" s="82">
        <f>AJQ22</f>
        <v/>
      </c>
      <c r="AJS22" s="82">
        <f>AJR22</f>
        <v/>
      </c>
      <c r="AJT22" s="82">
        <f>AJS22</f>
        <v/>
      </c>
      <c r="AJU22" s="82">
        <f>AJT22</f>
        <v/>
      </c>
      <c r="AJV22" s="82">
        <f>AJU22</f>
        <v/>
      </c>
      <c r="AJW22" s="82">
        <f>AJV22</f>
        <v/>
      </c>
      <c r="AJX22" s="82">
        <f>AJW22</f>
        <v/>
      </c>
      <c r="AJY22" s="82">
        <f>AJX22</f>
        <v/>
      </c>
      <c r="AJZ22" s="82">
        <f>AJY22</f>
        <v/>
      </c>
      <c r="AKA22" s="82">
        <f>AJZ22</f>
        <v/>
      </c>
      <c r="AKB22" s="82">
        <f>AKA22</f>
        <v/>
      </c>
      <c r="AKC22" s="82">
        <f>AKB22</f>
        <v/>
      </c>
      <c r="AKD22" s="82">
        <f>AKC22</f>
        <v/>
      </c>
      <c r="AKE22" s="82">
        <f>AKD22</f>
        <v/>
      </c>
      <c r="AKF22" s="82">
        <f>AKE22</f>
        <v/>
      </c>
      <c r="AKG22" s="82">
        <f>AKF22</f>
        <v/>
      </c>
      <c r="AKH22" s="82">
        <f>AKG22</f>
        <v/>
      </c>
      <c r="AKI22" s="82">
        <f>AKH22</f>
        <v/>
      </c>
      <c r="AKJ22" s="82">
        <f>AKI22</f>
        <v/>
      </c>
      <c r="AKK22" s="82">
        <f>AKJ22</f>
        <v/>
      </c>
      <c r="AKL22" s="82">
        <f>AKK22</f>
        <v/>
      </c>
      <c r="AKM22" s="82">
        <f>AKL22</f>
        <v/>
      </c>
      <c r="AKN22" s="112" t="n"/>
      <c r="AKO22" s="82">
        <f>AKN22</f>
        <v/>
      </c>
      <c r="AKP22" s="82">
        <f>AKO22</f>
        <v/>
      </c>
      <c r="AKQ22" s="82">
        <f>AKP22</f>
        <v/>
      </c>
      <c r="AKR22" s="82">
        <f>AKQ22</f>
        <v/>
      </c>
      <c r="AKS22" s="82">
        <f>AKR22</f>
        <v/>
      </c>
      <c r="AKT22" s="82">
        <f>AKS22</f>
        <v/>
      </c>
      <c r="AKU22" s="82">
        <f>AKT22</f>
        <v/>
      </c>
      <c r="AKV22" s="82">
        <f>AKU22</f>
        <v/>
      </c>
      <c r="AKW22" s="82">
        <f>AKV22</f>
        <v/>
      </c>
      <c r="AKX22" s="82">
        <f>AKW22</f>
        <v/>
      </c>
      <c r="AKY22" s="82">
        <f>AKX22</f>
        <v/>
      </c>
      <c r="AKZ22" s="82">
        <f>AKY22</f>
        <v/>
      </c>
      <c r="ALA22" s="82">
        <f>AKZ22</f>
        <v/>
      </c>
      <c r="ALB22" s="82">
        <f>ALA22</f>
        <v/>
      </c>
      <c r="ALC22" s="82">
        <f>ALB22</f>
        <v/>
      </c>
      <c r="ALD22" s="82">
        <f>ALC22</f>
        <v/>
      </c>
      <c r="ALE22" s="82">
        <f>ALD22</f>
        <v/>
      </c>
      <c r="ALF22" s="82">
        <f>ALE22</f>
        <v/>
      </c>
      <c r="ALG22" s="82">
        <f>ALF22</f>
        <v/>
      </c>
      <c r="ALH22" s="82">
        <f>ALG22</f>
        <v/>
      </c>
      <c r="ALI22" s="82">
        <f>ALH22</f>
        <v/>
      </c>
      <c r="ALJ22" s="82">
        <f>ALI22</f>
        <v/>
      </c>
      <c r="ALK22" s="82">
        <f>ALJ22</f>
        <v/>
      </c>
      <c r="ALL22" s="82">
        <f>ALK22</f>
        <v/>
      </c>
      <c r="ALM22" s="82">
        <f>ALL22</f>
        <v/>
      </c>
      <c r="ALN22" s="82">
        <f>ALM22</f>
        <v/>
      </c>
      <c r="ALO22" s="82">
        <f>ALN22</f>
        <v/>
      </c>
      <c r="ALP22" s="82">
        <f>ALO22</f>
        <v/>
      </c>
      <c r="ALQ22" s="82">
        <f>ALP22</f>
        <v/>
      </c>
      <c r="ALR22" s="82">
        <f>ALQ22</f>
        <v/>
      </c>
      <c r="ALS22" s="82">
        <f>ALR22</f>
        <v/>
      </c>
      <c r="ALT22" s="130" t="n"/>
      <c r="ALU22" s="82">
        <f>ALT22</f>
        <v/>
      </c>
      <c r="ALV22" s="82">
        <f>ALU22</f>
        <v/>
      </c>
      <c r="ALW22" s="82">
        <f>ALV22</f>
        <v/>
      </c>
      <c r="ALX22" s="82">
        <f>ALW22</f>
        <v/>
      </c>
      <c r="ALY22" s="82">
        <f>ALX22</f>
        <v/>
      </c>
      <c r="ALZ22" s="82">
        <f>ALY22</f>
        <v/>
      </c>
      <c r="AMA22" s="82">
        <f>ALZ22</f>
        <v/>
      </c>
      <c r="AMB22" s="82">
        <f>AMA22</f>
        <v/>
      </c>
      <c r="AMC22" s="82">
        <f>AMB22</f>
        <v/>
      </c>
      <c r="AMD22" s="82">
        <f>AMC22</f>
        <v/>
      </c>
      <c r="AME22" s="82">
        <f>AMD22</f>
        <v/>
      </c>
      <c r="AMF22" s="82">
        <f>AME22</f>
        <v/>
      </c>
      <c r="AMG22" s="82" t="n">
        <v>683880</v>
      </c>
      <c r="AMH22" s="82">
        <f>AMG22</f>
        <v/>
      </c>
      <c r="AMI22" s="82">
        <f>AMH22</f>
        <v/>
      </c>
      <c r="AMJ22" s="82">
        <f>AMI22</f>
        <v/>
      </c>
      <c r="AMK22" s="82">
        <f>AMJ22</f>
        <v/>
      </c>
      <c r="AML22" s="82">
        <f>AMK22</f>
        <v/>
      </c>
      <c r="AMM22" s="82">
        <f>AML22</f>
        <v/>
      </c>
      <c r="AMN22" s="82">
        <f>AMM22</f>
        <v/>
      </c>
      <c r="AMO22" s="82">
        <f>AMN22</f>
        <v/>
      </c>
      <c r="AMP22" s="82">
        <f>AMO22</f>
        <v/>
      </c>
      <c r="AMQ22" s="82">
        <f>AMP22</f>
        <v/>
      </c>
      <c r="AMR22" s="82">
        <f>AMQ22</f>
        <v/>
      </c>
      <c r="AMS22" s="82">
        <f>AMR22</f>
        <v/>
      </c>
      <c r="AMT22" s="82">
        <f>AMS22</f>
        <v/>
      </c>
      <c r="AMU22" s="82">
        <f>AMT22</f>
        <v/>
      </c>
      <c r="AMV22" s="82">
        <f>AMU22</f>
        <v/>
      </c>
      <c r="AMW22" s="82">
        <f>AMV22-200000</f>
        <v/>
      </c>
      <c r="AMX22" s="82">
        <f>AMW22</f>
        <v/>
      </c>
      <c r="AMY22" s="130" t="n"/>
      <c r="AMZ22" s="82">
        <f>AMX22</f>
        <v/>
      </c>
      <c r="ANA22" s="82">
        <f>AMZ22</f>
        <v/>
      </c>
      <c r="ANB22" s="82">
        <f>ANA22</f>
        <v/>
      </c>
      <c r="ANC22" s="82">
        <f>ANB22</f>
        <v/>
      </c>
      <c r="AND22" s="82">
        <f>ANC22</f>
        <v/>
      </c>
      <c r="ANE22" s="82">
        <f>AND22</f>
        <v/>
      </c>
      <c r="ANF22" s="82">
        <f>ANE22</f>
        <v/>
      </c>
      <c r="ANG22" s="82">
        <f>ANF22</f>
        <v/>
      </c>
      <c r="ANH22" s="82">
        <f>ANG22</f>
        <v/>
      </c>
      <c r="ANI22" s="82">
        <f>ANH22</f>
        <v/>
      </c>
      <c r="ANJ22" s="82">
        <f>ANI22</f>
        <v/>
      </c>
      <c r="ANK22" s="82">
        <f>ANJ22</f>
        <v/>
      </c>
      <c r="ANL22" s="82">
        <f>ANK22</f>
        <v/>
      </c>
      <c r="ANM22" s="82">
        <f>ANL22</f>
        <v/>
      </c>
      <c r="ANN22" s="82">
        <f>ANM22</f>
        <v/>
      </c>
      <c r="ANO22" s="82">
        <f>ANN22</f>
        <v/>
      </c>
      <c r="ANP22" s="82">
        <f>ANO22</f>
        <v/>
      </c>
      <c r="ANQ22" s="82">
        <f>ANP22</f>
        <v/>
      </c>
      <c r="ANR22" s="82">
        <f>ANQ22</f>
        <v/>
      </c>
      <c r="ANS22" s="82">
        <f>ANR22</f>
        <v/>
      </c>
      <c r="ANT22" s="82">
        <f>ANS22</f>
        <v/>
      </c>
      <c r="ANU22" s="82">
        <f>ANT22-100000</f>
        <v/>
      </c>
      <c r="ANV22" s="82">
        <f>ANU22</f>
        <v/>
      </c>
      <c r="ANW22" s="82">
        <f>ANV22</f>
        <v/>
      </c>
      <c r="ANX22" s="82">
        <f>ANW22</f>
        <v/>
      </c>
      <c r="ANY22" s="82">
        <f>ANX22</f>
        <v/>
      </c>
      <c r="ANZ22" s="82">
        <f>ANY22</f>
        <v/>
      </c>
      <c r="AOA22" s="82">
        <f>ANZ22</f>
        <v/>
      </c>
      <c r="AOB22" s="82">
        <f>AOA22-63000</f>
        <v/>
      </c>
      <c r="AOC22" s="82">
        <f>AOB22</f>
        <v/>
      </c>
    </row>
    <row r="23">
      <c r="B23" t="inlineStr">
        <is>
          <t>Diamond</t>
        </is>
      </c>
      <c r="C23" s="52" t="n">
        <v>200000</v>
      </c>
      <c r="D23" s="52">
        <f>C23</f>
        <v/>
      </c>
      <c r="E23" s="52">
        <f>D23</f>
        <v/>
      </c>
      <c r="F23" s="52">
        <f>E23</f>
        <v/>
      </c>
      <c r="G23" s="52">
        <f>F23</f>
        <v/>
      </c>
      <c r="H23" s="52">
        <f>G23</f>
        <v/>
      </c>
      <c r="I23" s="52">
        <f>H23</f>
        <v/>
      </c>
      <c r="J23" s="52">
        <f>I23</f>
        <v/>
      </c>
      <c r="K23" s="52">
        <f>J23</f>
        <v/>
      </c>
      <c r="L23" s="52">
        <f>K23</f>
        <v/>
      </c>
      <c r="M23" s="52">
        <f>L23</f>
        <v/>
      </c>
      <c r="N23" s="52">
        <f>M23</f>
        <v/>
      </c>
      <c r="O23" s="52">
        <f>N23</f>
        <v/>
      </c>
      <c r="P23" s="52">
        <f>O23</f>
        <v/>
      </c>
      <c r="Q23" s="52">
        <f>P23</f>
        <v/>
      </c>
      <c r="R23" s="52">
        <f>Q23</f>
        <v/>
      </c>
      <c r="S23" s="52">
        <f>R23</f>
        <v/>
      </c>
      <c r="T23" s="52">
        <f>S23</f>
        <v/>
      </c>
      <c r="U23" s="52">
        <f>T23</f>
        <v/>
      </c>
      <c r="V23" s="52">
        <f>U23</f>
        <v/>
      </c>
      <c r="W23" s="52">
        <f>V23</f>
        <v/>
      </c>
      <c r="X23" s="52">
        <f>W23</f>
        <v/>
      </c>
      <c r="Y23" s="52">
        <f>X23</f>
        <v/>
      </c>
      <c r="Z23" s="52">
        <f>Y23</f>
        <v/>
      </c>
      <c r="AA23" s="52">
        <f>Z23</f>
        <v/>
      </c>
      <c r="AB23" s="52">
        <f>AA23</f>
        <v/>
      </c>
      <c r="AC23" s="52">
        <f>AB23</f>
        <v/>
      </c>
      <c r="AD23" s="52">
        <f>AC23</f>
        <v/>
      </c>
      <c r="AE23" s="52">
        <f>AD23</f>
        <v/>
      </c>
      <c r="AF23" s="52">
        <f>AE23</f>
        <v/>
      </c>
      <c r="AG23" s="52">
        <f>AF23</f>
        <v/>
      </c>
      <c r="AH23" s="98">
        <f>AG23</f>
        <v/>
      </c>
      <c r="AI23" s="82">
        <f>AG23</f>
        <v/>
      </c>
      <c r="AJ23" s="82">
        <f>AH23</f>
        <v/>
      </c>
      <c r="AK23" s="82">
        <f>AI23</f>
        <v/>
      </c>
      <c r="AL23" s="82">
        <f>AJ23</f>
        <v/>
      </c>
      <c r="AM23" s="82">
        <f>AK23</f>
        <v/>
      </c>
      <c r="AN23" s="82">
        <f>AL23</f>
        <v/>
      </c>
      <c r="AO23" s="82">
        <f>AM23</f>
        <v/>
      </c>
      <c r="AP23" s="82">
        <f>AN23</f>
        <v/>
      </c>
      <c r="AQ23" s="82">
        <f>AO23</f>
        <v/>
      </c>
      <c r="AR23" s="82">
        <f>AP23</f>
        <v/>
      </c>
      <c r="AS23" s="82">
        <f>AQ23</f>
        <v/>
      </c>
      <c r="AT23" s="82">
        <f>AR23</f>
        <v/>
      </c>
      <c r="AU23" s="82">
        <f>AS23</f>
        <v/>
      </c>
      <c r="AV23" s="82">
        <f>AT23</f>
        <v/>
      </c>
      <c r="AW23" s="82">
        <f>AU23</f>
        <v/>
      </c>
      <c r="AX23" s="82">
        <f>AV23</f>
        <v/>
      </c>
      <c r="AY23" s="82">
        <f>AW23</f>
        <v/>
      </c>
      <c r="AZ23" s="82">
        <f>AX23</f>
        <v/>
      </c>
      <c r="BA23" s="82">
        <f>AY23</f>
        <v/>
      </c>
      <c r="BB23" s="82">
        <f>AZ23</f>
        <v/>
      </c>
      <c r="BC23" s="82">
        <f>BA23</f>
        <v/>
      </c>
      <c r="BD23" s="82">
        <f>BB23</f>
        <v/>
      </c>
      <c r="BE23" s="82">
        <f>BC23</f>
        <v/>
      </c>
      <c r="BF23" s="82">
        <f>BD23</f>
        <v/>
      </c>
      <c r="BG23" s="82">
        <f>BE23</f>
        <v/>
      </c>
      <c r="BH23" s="82">
        <f>BF23</f>
        <v/>
      </c>
      <c r="BI23" s="82">
        <f>BG23</f>
        <v/>
      </c>
      <c r="BJ23" s="82">
        <f>BH23</f>
        <v/>
      </c>
      <c r="BK23" s="82">
        <f>BI23</f>
        <v/>
      </c>
      <c r="BL23" s="82">
        <f>BJ23</f>
        <v/>
      </c>
      <c r="BM23" s="106">
        <f>BL23</f>
        <v/>
      </c>
      <c r="BN23" s="82">
        <f>BL23</f>
        <v/>
      </c>
      <c r="BO23" s="82">
        <f>BM23</f>
        <v/>
      </c>
      <c r="BP23" s="82">
        <f>BN23</f>
        <v/>
      </c>
      <c r="BQ23" s="82">
        <f>BO23</f>
        <v/>
      </c>
      <c r="BR23" s="82">
        <f>BP23</f>
        <v/>
      </c>
      <c r="BS23" s="82">
        <f>BQ23</f>
        <v/>
      </c>
      <c r="BT23" s="82">
        <f>BR23</f>
        <v/>
      </c>
      <c r="BU23" s="82">
        <f>BS23</f>
        <v/>
      </c>
      <c r="BV23" s="82">
        <f>BT23</f>
        <v/>
      </c>
      <c r="BW23" s="82">
        <f>BU23</f>
        <v/>
      </c>
      <c r="BX23" s="82">
        <f>BV23</f>
        <v/>
      </c>
      <c r="BY23" s="82">
        <f>BW23</f>
        <v/>
      </c>
      <c r="BZ23" s="82">
        <f>BX23</f>
        <v/>
      </c>
      <c r="CA23" s="82">
        <f>BY23</f>
        <v/>
      </c>
      <c r="CB23" s="82">
        <f>BZ23</f>
        <v/>
      </c>
      <c r="CC23" s="82">
        <f>CA23</f>
        <v/>
      </c>
      <c r="CD23" s="82">
        <f>CB23</f>
        <v/>
      </c>
      <c r="CE23" s="82">
        <f>CC23</f>
        <v/>
      </c>
      <c r="CF23" s="82">
        <f>CD23</f>
        <v/>
      </c>
      <c r="CG23" s="82">
        <f>CE23</f>
        <v/>
      </c>
      <c r="CH23" s="82">
        <f>CF23</f>
        <v/>
      </c>
      <c r="CI23" s="82">
        <f>CG23</f>
        <v/>
      </c>
      <c r="CJ23" s="82">
        <f>CH23</f>
        <v/>
      </c>
      <c r="CK23" s="82">
        <f>CI23</f>
        <v/>
      </c>
      <c r="CL23" s="82">
        <f>CJ23</f>
        <v/>
      </c>
      <c r="CM23" s="82">
        <f>CK23</f>
        <v/>
      </c>
      <c r="CN23" s="82">
        <f>CL23</f>
        <v/>
      </c>
      <c r="CO23" s="82">
        <f>CM23</f>
        <v/>
      </c>
      <c r="CP23" s="82">
        <f>CN23</f>
        <v/>
      </c>
      <c r="CQ23" s="82">
        <f>CO23</f>
        <v/>
      </c>
      <c r="CR23" s="82">
        <f>CP23</f>
        <v/>
      </c>
      <c r="CT23" s="82">
        <f>CR23</f>
        <v/>
      </c>
      <c r="CU23" s="82">
        <f>CT23</f>
        <v/>
      </c>
      <c r="CV23" s="82">
        <f>CT23</f>
        <v/>
      </c>
      <c r="CW23" s="82">
        <f>CU23</f>
        <v/>
      </c>
      <c r="CX23" s="82">
        <f>CV23</f>
        <v/>
      </c>
      <c r="CY23" s="82">
        <f>CW23</f>
        <v/>
      </c>
      <c r="CZ23" s="82">
        <f>CX23</f>
        <v/>
      </c>
      <c r="DA23" s="82">
        <f>CY23</f>
        <v/>
      </c>
      <c r="DB23" s="82">
        <f>CZ23</f>
        <v/>
      </c>
      <c r="DC23" s="82">
        <f>DA23</f>
        <v/>
      </c>
      <c r="DD23" s="82">
        <f>DB23</f>
        <v/>
      </c>
      <c r="DE23" s="82">
        <f>DC23</f>
        <v/>
      </c>
      <c r="DF23" s="82">
        <f>DD23</f>
        <v/>
      </c>
      <c r="DG23" s="82">
        <f>DE23</f>
        <v/>
      </c>
      <c r="DH23" s="82">
        <f>DF23</f>
        <v/>
      </c>
      <c r="DI23" s="82">
        <f>DG23</f>
        <v/>
      </c>
      <c r="DJ23" s="82">
        <f>DH23</f>
        <v/>
      </c>
      <c r="DK23" s="82">
        <f>DI23</f>
        <v/>
      </c>
      <c r="DL23" s="82">
        <f>DJ23</f>
        <v/>
      </c>
      <c r="DM23" s="82">
        <f>DK23</f>
        <v/>
      </c>
      <c r="DN23" s="82">
        <f>DL23</f>
        <v/>
      </c>
      <c r="DO23" s="82">
        <f>DM23</f>
        <v/>
      </c>
      <c r="DP23" s="82">
        <f>DN23</f>
        <v/>
      </c>
      <c r="DQ23" s="82">
        <f>DO23</f>
        <v/>
      </c>
      <c r="DR23" s="82">
        <f>DP23</f>
        <v/>
      </c>
      <c r="DS23" s="82">
        <f>DQ23</f>
        <v/>
      </c>
      <c r="DT23" s="82">
        <f>DR23</f>
        <v/>
      </c>
      <c r="DU23" s="82">
        <f>DS23</f>
        <v/>
      </c>
      <c r="DV23" s="82">
        <f>DT23</f>
        <v/>
      </c>
      <c r="DW23" s="82">
        <f>DU23</f>
        <v/>
      </c>
      <c r="DX23" s="117" t="n"/>
      <c r="DY23" s="82">
        <f>DW23</f>
        <v/>
      </c>
      <c r="DZ23" s="82">
        <f>DY23</f>
        <v/>
      </c>
      <c r="EA23" s="82">
        <f>DY23</f>
        <v/>
      </c>
      <c r="EB23" s="82">
        <f>DZ23</f>
        <v/>
      </c>
      <c r="EC23" s="82">
        <f>EA23</f>
        <v/>
      </c>
      <c r="ED23" s="82">
        <f>EB23</f>
        <v/>
      </c>
      <c r="EE23" s="82">
        <f>EC23</f>
        <v/>
      </c>
      <c r="EF23" s="82">
        <f>ED23</f>
        <v/>
      </c>
      <c r="EG23" s="82">
        <f>EE23</f>
        <v/>
      </c>
      <c r="EH23" s="82">
        <f>EF23</f>
        <v/>
      </c>
      <c r="EI23" s="82">
        <f>EG23</f>
        <v/>
      </c>
      <c r="EJ23" s="82">
        <f>EH23</f>
        <v/>
      </c>
      <c r="EK23" s="82">
        <f>EI23</f>
        <v/>
      </c>
      <c r="EL23" s="82">
        <f>EJ23</f>
        <v/>
      </c>
      <c r="EM23" s="82">
        <f>EK23</f>
        <v/>
      </c>
      <c r="EN23" s="82">
        <f>EL23</f>
        <v/>
      </c>
      <c r="EO23" s="82">
        <f>EM23</f>
        <v/>
      </c>
      <c r="EP23" s="82">
        <f>EN23</f>
        <v/>
      </c>
      <c r="EQ23" s="82">
        <f>EO23</f>
        <v/>
      </c>
      <c r="ER23" s="82">
        <f>EP23</f>
        <v/>
      </c>
      <c r="ES23" s="82">
        <f>EQ23</f>
        <v/>
      </c>
      <c r="ET23" s="82">
        <f>ER23</f>
        <v/>
      </c>
      <c r="EU23" s="82">
        <f>ES23</f>
        <v/>
      </c>
      <c r="EV23" s="82">
        <f>ET23</f>
        <v/>
      </c>
      <c r="EW23" s="82">
        <f>EU23</f>
        <v/>
      </c>
      <c r="EX23" s="82">
        <f>EV23</f>
        <v/>
      </c>
      <c r="EY23" s="82">
        <f>EW23</f>
        <v/>
      </c>
      <c r="EZ23" s="82">
        <f>EX23</f>
        <v/>
      </c>
      <c r="FA23" s="82">
        <f>EY23</f>
        <v/>
      </c>
      <c r="FB23" s="82">
        <f>EZ23</f>
        <v/>
      </c>
      <c r="FC23" s="82">
        <f>FA23</f>
        <v/>
      </c>
      <c r="FD23" s="126" t="n"/>
      <c r="FE23" s="82">
        <f>FC23</f>
        <v/>
      </c>
      <c r="FF23" s="82">
        <f>FE23</f>
        <v/>
      </c>
      <c r="FG23" s="82">
        <f>FE23</f>
        <v/>
      </c>
      <c r="FH23" s="82">
        <f>FF23</f>
        <v/>
      </c>
      <c r="FI23" s="82">
        <f>FG23</f>
        <v/>
      </c>
      <c r="FJ23" s="82">
        <f>FH23</f>
        <v/>
      </c>
      <c r="FK23" s="82">
        <f>FI23</f>
        <v/>
      </c>
      <c r="FL23" s="82">
        <f>FJ23</f>
        <v/>
      </c>
      <c r="FM23" s="82">
        <f>FK23</f>
        <v/>
      </c>
      <c r="FN23" s="82">
        <f>FL23</f>
        <v/>
      </c>
      <c r="FO23" s="82">
        <f>FM23</f>
        <v/>
      </c>
      <c r="FP23" s="82">
        <f>FN23</f>
        <v/>
      </c>
      <c r="FQ23" s="82">
        <f>FO23</f>
        <v/>
      </c>
      <c r="FR23" s="82">
        <f>FP23</f>
        <v/>
      </c>
      <c r="FS23" s="82">
        <f>FQ23</f>
        <v/>
      </c>
      <c r="FT23" s="82">
        <f>FR23</f>
        <v/>
      </c>
      <c r="FU23" s="82">
        <f>FS23</f>
        <v/>
      </c>
      <c r="FV23" s="82">
        <f>FT23</f>
        <v/>
      </c>
      <c r="FW23" s="82">
        <f>FU23</f>
        <v/>
      </c>
      <c r="FX23" s="82">
        <f>FV23</f>
        <v/>
      </c>
      <c r="FY23" s="82">
        <f>FW23</f>
        <v/>
      </c>
      <c r="FZ23" s="82">
        <f>FX23</f>
        <v/>
      </c>
      <c r="GA23" s="82">
        <f>FY23</f>
        <v/>
      </c>
      <c r="GB23" s="82">
        <f>FZ23</f>
        <v/>
      </c>
      <c r="GC23" s="82">
        <f>GA23</f>
        <v/>
      </c>
      <c r="GD23" s="82">
        <f>GB23</f>
        <v/>
      </c>
      <c r="GE23" s="82">
        <f>GC23</f>
        <v/>
      </c>
      <c r="GF23" s="82">
        <f>GD23</f>
        <v/>
      </c>
      <c r="GG23" s="82">
        <f>GE23</f>
        <v/>
      </c>
      <c r="GH23" s="82">
        <f>GF23</f>
        <v/>
      </c>
      <c r="GI23" s="82">
        <f>GG23</f>
        <v/>
      </c>
      <c r="GJ23" s="130" t="n"/>
      <c r="GK23" s="82">
        <f>GI23</f>
        <v/>
      </c>
      <c r="GL23" s="82">
        <f>GK23</f>
        <v/>
      </c>
      <c r="GM23" s="82">
        <f>GK23</f>
        <v/>
      </c>
      <c r="GN23" s="82">
        <f>GL23</f>
        <v/>
      </c>
      <c r="GO23" s="82">
        <f>GM23</f>
        <v/>
      </c>
      <c r="GP23" s="82">
        <f>GN23</f>
        <v/>
      </c>
      <c r="GQ23" s="82">
        <f>GO23</f>
        <v/>
      </c>
      <c r="GR23" s="82">
        <f>GP23</f>
        <v/>
      </c>
      <c r="GS23" s="82">
        <f>GQ23</f>
        <v/>
      </c>
      <c r="GT23" s="82">
        <f>GR23</f>
        <v/>
      </c>
      <c r="GU23" s="82">
        <f>GS23</f>
        <v/>
      </c>
      <c r="GV23" s="82">
        <f>GT23</f>
        <v/>
      </c>
      <c r="GW23" s="82">
        <f>GU23</f>
        <v/>
      </c>
      <c r="GX23" s="82">
        <f>GV23</f>
        <v/>
      </c>
      <c r="GY23" s="82">
        <f>GW23</f>
        <v/>
      </c>
      <c r="GZ23" s="82">
        <f>GX23</f>
        <v/>
      </c>
      <c r="HA23" s="82">
        <f>GY23</f>
        <v/>
      </c>
      <c r="HB23" s="82">
        <f>GZ23</f>
        <v/>
      </c>
      <c r="HC23" s="82">
        <f>HA23</f>
        <v/>
      </c>
      <c r="HD23" s="82">
        <f>HB23</f>
        <v/>
      </c>
      <c r="HE23" s="82">
        <f>HC23</f>
        <v/>
      </c>
      <c r="HF23" s="82">
        <f>HD23</f>
        <v/>
      </c>
      <c r="HG23" s="82">
        <f>HE23</f>
        <v/>
      </c>
      <c r="HH23" s="82">
        <f>HF23</f>
        <v/>
      </c>
      <c r="HI23" s="82">
        <f>HG23</f>
        <v/>
      </c>
      <c r="HJ23" s="82">
        <f>HH23</f>
        <v/>
      </c>
      <c r="HK23" s="82">
        <f>HI23</f>
        <v/>
      </c>
      <c r="HL23" s="82">
        <f>HJ23</f>
        <v/>
      </c>
      <c r="HM23" s="82">
        <f>HK23</f>
        <v/>
      </c>
      <c r="HN23" s="130" t="n"/>
      <c r="HO23" s="82">
        <f>HM23</f>
        <v/>
      </c>
      <c r="HP23" s="82">
        <f>HO23</f>
        <v/>
      </c>
      <c r="HQ23" s="82">
        <f>HO23</f>
        <v/>
      </c>
      <c r="HR23" s="82">
        <f>HP23</f>
        <v/>
      </c>
      <c r="HS23" s="82">
        <f>HQ23</f>
        <v/>
      </c>
      <c r="HT23" s="82">
        <f>HR23</f>
        <v/>
      </c>
      <c r="HU23" s="82">
        <f>HS23</f>
        <v/>
      </c>
      <c r="HV23" s="82">
        <f>HT23</f>
        <v/>
      </c>
      <c r="HW23" s="82">
        <f>HU23</f>
        <v/>
      </c>
      <c r="HX23" s="82">
        <f>HV23</f>
        <v/>
      </c>
      <c r="HY23" s="82">
        <f>HW23</f>
        <v/>
      </c>
      <c r="HZ23" s="82">
        <f>HX23</f>
        <v/>
      </c>
      <c r="IA23" s="82">
        <f>HY23</f>
        <v/>
      </c>
      <c r="IB23" s="82">
        <f>HZ23</f>
        <v/>
      </c>
      <c r="IC23" s="82">
        <f>IA23</f>
        <v/>
      </c>
      <c r="ID23" s="82">
        <f>IB23</f>
        <v/>
      </c>
      <c r="IE23" s="82">
        <f>IC23</f>
        <v/>
      </c>
      <c r="IF23" s="82">
        <f>ID23</f>
        <v/>
      </c>
      <c r="IG23" s="82">
        <f>IE23</f>
        <v/>
      </c>
      <c r="IH23" s="82">
        <f>IF23</f>
        <v/>
      </c>
      <c r="II23" s="82">
        <f>IG23</f>
        <v/>
      </c>
      <c r="IJ23" s="82">
        <f>IH23</f>
        <v/>
      </c>
      <c r="IK23" s="82">
        <f>II23</f>
        <v/>
      </c>
      <c r="IL23" s="82">
        <f>IJ23</f>
        <v/>
      </c>
      <c r="IM23" s="82">
        <f>IK23</f>
        <v/>
      </c>
      <c r="IN23" s="82">
        <f>IL23</f>
        <v/>
      </c>
      <c r="IO23" s="82">
        <f>IM23</f>
        <v/>
      </c>
      <c r="IP23" s="82">
        <f>IN23</f>
        <v/>
      </c>
      <c r="IQ23" s="82">
        <f>IO23</f>
        <v/>
      </c>
      <c r="IR23" s="82">
        <f>IP23</f>
        <v/>
      </c>
      <c r="IS23" s="82">
        <f>IQ23</f>
        <v/>
      </c>
      <c r="IT23" s="130" t="n"/>
      <c r="IU23" s="82">
        <f>IS23</f>
        <v/>
      </c>
      <c r="IV23" s="82">
        <f>IU23</f>
        <v/>
      </c>
      <c r="IW23" s="82">
        <f>IV23</f>
        <v/>
      </c>
      <c r="IX23" s="82">
        <f>IW23</f>
        <v/>
      </c>
      <c r="IY23" s="82">
        <f>IX23</f>
        <v/>
      </c>
      <c r="IZ23" s="82">
        <f>IY23</f>
        <v/>
      </c>
      <c r="JA23" s="82">
        <f>IZ23</f>
        <v/>
      </c>
      <c r="JB23" s="82">
        <f>JA23</f>
        <v/>
      </c>
      <c r="JC23" s="82">
        <f>JB23</f>
        <v/>
      </c>
      <c r="JD23" s="82">
        <f>JC23</f>
        <v/>
      </c>
      <c r="JE23" s="82">
        <f>JD23</f>
        <v/>
      </c>
      <c r="JF23" s="82">
        <f>JE23</f>
        <v/>
      </c>
      <c r="JG23" s="82">
        <f>JF23</f>
        <v/>
      </c>
      <c r="JH23" s="82">
        <f>JG23</f>
        <v/>
      </c>
      <c r="JI23" s="82">
        <f>JH23</f>
        <v/>
      </c>
      <c r="JJ23" s="82">
        <f>JI23</f>
        <v/>
      </c>
      <c r="JK23" s="82">
        <f>JJ23</f>
        <v/>
      </c>
      <c r="JL23" s="82">
        <f>JK23</f>
        <v/>
      </c>
      <c r="JM23" s="82">
        <f>JL23</f>
        <v/>
      </c>
      <c r="JN23" s="82">
        <f>JM23</f>
        <v/>
      </c>
      <c r="JO23" s="82">
        <f>JN23</f>
        <v/>
      </c>
      <c r="JP23" s="82">
        <f>JO23</f>
        <v/>
      </c>
      <c r="JQ23" s="82">
        <f>JP23</f>
        <v/>
      </c>
      <c r="JR23" s="82">
        <f>JQ23</f>
        <v/>
      </c>
      <c r="JS23" s="82">
        <f>JR23</f>
        <v/>
      </c>
      <c r="JT23" s="82">
        <f>JS23</f>
        <v/>
      </c>
      <c r="JU23" s="82">
        <f>JT23</f>
        <v/>
      </c>
      <c r="JV23" s="82">
        <f>JU23</f>
        <v/>
      </c>
      <c r="JW23" s="82">
        <f>JV23</f>
        <v/>
      </c>
      <c r="JX23" s="82">
        <f>JW23</f>
        <v/>
      </c>
      <c r="JY23" s="133" t="n"/>
      <c r="JZ23" s="82">
        <f>JX23</f>
        <v/>
      </c>
      <c r="KA23" s="82">
        <f>JZ23</f>
        <v/>
      </c>
      <c r="KB23" s="82">
        <f>JZ23</f>
        <v/>
      </c>
      <c r="KC23" s="82">
        <f>KA23</f>
        <v/>
      </c>
      <c r="KD23" s="82">
        <f>KB23</f>
        <v/>
      </c>
      <c r="KE23" s="82">
        <f>KC23</f>
        <v/>
      </c>
      <c r="KF23" s="82">
        <f>KD23</f>
        <v/>
      </c>
      <c r="KG23" s="82">
        <f>KE23</f>
        <v/>
      </c>
      <c r="KH23" s="82">
        <f>KF23</f>
        <v/>
      </c>
      <c r="KI23" s="82">
        <f>KG23</f>
        <v/>
      </c>
      <c r="KJ23" s="82">
        <f>KH23</f>
        <v/>
      </c>
      <c r="KK23" s="82">
        <f>KI23</f>
        <v/>
      </c>
      <c r="KL23" s="82">
        <f>KJ23</f>
        <v/>
      </c>
      <c r="KM23" s="82">
        <f>KK23</f>
        <v/>
      </c>
      <c r="KN23" s="82">
        <f>KL23</f>
        <v/>
      </c>
      <c r="KO23" s="82">
        <f>KM23</f>
        <v/>
      </c>
      <c r="KP23" s="82">
        <f>KN23</f>
        <v/>
      </c>
      <c r="KQ23" s="82">
        <f>KO23</f>
        <v/>
      </c>
      <c r="KR23" s="82">
        <f>KP23</f>
        <v/>
      </c>
      <c r="KS23" s="82">
        <f>KQ23</f>
        <v/>
      </c>
      <c r="KT23" s="82">
        <f>KR23</f>
        <v/>
      </c>
      <c r="KU23" s="82">
        <f>KS23</f>
        <v/>
      </c>
      <c r="KV23" s="82">
        <f>KT23</f>
        <v/>
      </c>
      <c r="KW23" s="82">
        <f>KU23</f>
        <v/>
      </c>
      <c r="KX23" s="82">
        <f>KV23</f>
        <v/>
      </c>
      <c r="KY23" s="82">
        <f>KW23</f>
        <v/>
      </c>
      <c r="KZ23" s="82">
        <f>KX23</f>
        <v/>
      </c>
      <c r="LA23" s="82">
        <f>KY23</f>
        <v/>
      </c>
      <c r="LB23" s="82">
        <f>KZ23</f>
        <v/>
      </c>
      <c r="LC23" s="82">
        <f>LA23</f>
        <v/>
      </c>
      <c r="LD23" s="82">
        <f>LB23</f>
        <v/>
      </c>
      <c r="LE23" s="130" t="n"/>
      <c r="LF23" s="82">
        <f>LD23</f>
        <v/>
      </c>
      <c r="LG23" s="82">
        <f>LF23</f>
        <v/>
      </c>
      <c r="LH23" s="82">
        <f>LG23</f>
        <v/>
      </c>
      <c r="LI23" s="82">
        <f>LH23</f>
        <v/>
      </c>
      <c r="LJ23" s="82">
        <f>LI23</f>
        <v/>
      </c>
      <c r="LK23" s="82">
        <f>LJ23</f>
        <v/>
      </c>
      <c r="LL23" s="82">
        <f>LK23</f>
        <v/>
      </c>
      <c r="LM23" s="82">
        <f>LL23</f>
        <v/>
      </c>
      <c r="LN23" s="82">
        <f>LM23</f>
        <v/>
      </c>
      <c r="LO23" s="82">
        <f>LN23</f>
        <v/>
      </c>
      <c r="LP23" s="82">
        <f>LO23</f>
        <v/>
      </c>
      <c r="LQ23" s="82">
        <f>LP23</f>
        <v/>
      </c>
      <c r="LR23" s="82">
        <f>LQ23</f>
        <v/>
      </c>
      <c r="LS23" s="82">
        <f>LR23</f>
        <v/>
      </c>
      <c r="LT23" s="82">
        <f>LS23</f>
        <v/>
      </c>
      <c r="LU23" s="82">
        <f>LT23</f>
        <v/>
      </c>
      <c r="LV23" s="82">
        <f>LU23</f>
        <v/>
      </c>
      <c r="LW23" s="82">
        <f>LV23</f>
        <v/>
      </c>
      <c r="LX23" s="82">
        <f>LW23</f>
        <v/>
      </c>
      <c r="LY23" s="82">
        <f>LX23</f>
        <v/>
      </c>
      <c r="LZ23" s="82">
        <f>LY23</f>
        <v/>
      </c>
      <c r="MA23" s="82">
        <f>LZ23</f>
        <v/>
      </c>
      <c r="MB23" s="82">
        <f>MA23</f>
        <v/>
      </c>
      <c r="MC23" s="82">
        <f>MB23</f>
        <v/>
      </c>
      <c r="MD23" s="82">
        <f>MC23</f>
        <v/>
      </c>
      <c r="ME23" s="82">
        <f>MD23</f>
        <v/>
      </c>
      <c r="MF23" s="82">
        <f>ME23</f>
        <v/>
      </c>
      <c r="MG23" s="82">
        <f>MF23</f>
        <v/>
      </c>
      <c r="MH23" s="82">
        <f>MG23</f>
        <v/>
      </c>
      <c r="MI23" s="82">
        <f>MH23</f>
        <v/>
      </c>
      <c r="MJ23" s="133" t="n"/>
      <c r="MK23" s="82">
        <f>MI23</f>
        <v/>
      </c>
      <c r="ML23" s="82">
        <f>MK23</f>
        <v/>
      </c>
      <c r="MM23" s="82">
        <f>MK23</f>
        <v/>
      </c>
      <c r="MN23" s="82">
        <f>ML23</f>
        <v/>
      </c>
      <c r="MO23" s="82">
        <f>MM23</f>
        <v/>
      </c>
      <c r="MP23" s="82">
        <f>MN23</f>
        <v/>
      </c>
      <c r="MQ23" s="82">
        <f>MO23</f>
        <v/>
      </c>
      <c r="MR23" s="82">
        <f>MP23</f>
        <v/>
      </c>
      <c r="MS23" s="82">
        <f>MQ23</f>
        <v/>
      </c>
      <c r="MT23" s="82">
        <f>MR23</f>
        <v/>
      </c>
      <c r="MU23" s="82">
        <f>MS23</f>
        <v/>
      </c>
      <c r="MV23" s="82">
        <f>MT23</f>
        <v/>
      </c>
      <c r="MW23" s="82">
        <f>MU23</f>
        <v/>
      </c>
      <c r="MX23" s="82">
        <f>MV23</f>
        <v/>
      </c>
      <c r="MY23" s="82">
        <f>MW23</f>
        <v/>
      </c>
      <c r="MZ23" s="82">
        <f>MX23</f>
        <v/>
      </c>
      <c r="NA23" s="82">
        <f>MY23</f>
        <v/>
      </c>
      <c r="NB23" s="82">
        <f>MZ23</f>
        <v/>
      </c>
      <c r="NC23" s="82">
        <f>NA23</f>
        <v/>
      </c>
      <c r="ND23" s="82">
        <f>NB23</f>
        <v/>
      </c>
      <c r="NE23" s="82">
        <f>NC23</f>
        <v/>
      </c>
      <c r="NF23" s="82">
        <f>ND23</f>
        <v/>
      </c>
      <c r="NG23" s="82">
        <f>NE23</f>
        <v/>
      </c>
      <c r="NH23" s="82">
        <f>NF23</f>
        <v/>
      </c>
      <c r="NI23" s="82">
        <f>NG23</f>
        <v/>
      </c>
      <c r="NJ23" s="82">
        <f>NH23</f>
        <v/>
      </c>
      <c r="NK23" s="82">
        <f>NI23</f>
        <v/>
      </c>
      <c r="NL23" s="82">
        <f>NJ23</f>
        <v/>
      </c>
      <c r="NM23" s="82">
        <f>NK23</f>
        <v/>
      </c>
      <c r="NN23" s="82">
        <f>NL23</f>
        <v/>
      </c>
      <c r="NO23" s="82">
        <f>NM23</f>
        <v/>
      </c>
      <c r="NP23" s="133" t="n"/>
      <c r="NQ23" s="82">
        <f>NO23</f>
        <v/>
      </c>
      <c r="NR23" s="82">
        <f>NQ23</f>
        <v/>
      </c>
      <c r="NS23" s="82">
        <f>NQ23</f>
        <v/>
      </c>
      <c r="NT23" s="82">
        <f>NR23</f>
        <v/>
      </c>
      <c r="NU23" s="82">
        <f>NS23</f>
        <v/>
      </c>
      <c r="NV23" s="82">
        <f>NT23</f>
        <v/>
      </c>
      <c r="NW23" s="82">
        <f>NU23</f>
        <v/>
      </c>
      <c r="NX23" s="82">
        <f>NV23</f>
        <v/>
      </c>
      <c r="NY23" s="82">
        <f>NW23</f>
        <v/>
      </c>
      <c r="NZ23" s="82">
        <f>NX23</f>
        <v/>
      </c>
      <c r="OA23" s="82">
        <f>NY23</f>
        <v/>
      </c>
      <c r="OB23" s="82">
        <f>NZ23</f>
        <v/>
      </c>
      <c r="OC23" s="82">
        <f>OA23</f>
        <v/>
      </c>
      <c r="OD23" s="82">
        <f>OB23</f>
        <v/>
      </c>
      <c r="OE23" s="82">
        <f>OC23</f>
        <v/>
      </c>
      <c r="OF23" s="82">
        <f>OD23</f>
        <v/>
      </c>
      <c r="OG23" s="82">
        <f>OE23</f>
        <v/>
      </c>
      <c r="OH23" s="82">
        <f>OF23</f>
        <v/>
      </c>
      <c r="OI23" s="82">
        <f>OG23</f>
        <v/>
      </c>
      <c r="OJ23" s="82">
        <f>OH23</f>
        <v/>
      </c>
      <c r="OK23" s="82">
        <f>OI23</f>
        <v/>
      </c>
      <c r="OL23" s="82">
        <f>OJ23</f>
        <v/>
      </c>
      <c r="OM23" s="82">
        <f>OK23</f>
        <v/>
      </c>
      <c r="ON23" s="82">
        <f>OL23</f>
        <v/>
      </c>
      <c r="OO23" s="82">
        <f>OM23</f>
        <v/>
      </c>
      <c r="OP23" s="82">
        <f>ON23</f>
        <v/>
      </c>
      <c r="OQ23" s="82">
        <f>OO23</f>
        <v/>
      </c>
      <c r="OR23" s="82">
        <f>OP23</f>
        <v/>
      </c>
      <c r="OS23" s="82">
        <f>OQ23</f>
        <v/>
      </c>
      <c r="OT23" s="82">
        <f>OR23</f>
        <v/>
      </c>
      <c r="OU23" s="82">
        <f>OS23</f>
        <v/>
      </c>
      <c r="OV23" s="130" t="n"/>
      <c r="OW23" s="82" t="n">
        <v>0</v>
      </c>
      <c r="OX23" s="82" t="n">
        <v>0</v>
      </c>
      <c r="OY23" s="82" t="n">
        <v>0</v>
      </c>
      <c r="OZ23" s="82" t="n">
        <v>0</v>
      </c>
      <c r="PA23" s="82" t="n">
        <v>0</v>
      </c>
      <c r="PB23" s="82" t="n">
        <v>0</v>
      </c>
      <c r="PC23" s="82" t="n">
        <v>0</v>
      </c>
      <c r="PD23" s="82" t="n">
        <v>0</v>
      </c>
      <c r="PE23" s="82" t="n">
        <v>0</v>
      </c>
      <c r="PF23" s="82" t="n">
        <v>0</v>
      </c>
      <c r="PG23" s="82" t="n">
        <v>0</v>
      </c>
      <c r="PH23" s="82" t="n">
        <v>0</v>
      </c>
      <c r="PI23" s="82" t="n">
        <v>0</v>
      </c>
      <c r="PJ23" s="82" t="n">
        <v>0</v>
      </c>
      <c r="PK23" s="82" t="n">
        <v>0</v>
      </c>
      <c r="PL23" s="82" t="n">
        <v>0</v>
      </c>
      <c r="PM23" s="82" t="n">
        <v>0</v>
      </c>
      <c r="PN23" s="82" t="n">
        <v>0</v>
      </c>
      <c r="PO23" s="82" t="n">
        <v>0</v>
      </c>
      <c r="PP23" s="82" t="n">
        <v>0</v>
      </c>
      <c r="PQ23" s="82" t="n">
        <v>0</v>
      </c>
      <c r="PR23" s="82" t="n">
        <v>0</v>
      </c>
      <c r="PS23" s="82" t="n">
        <v>0</v>
      </c>
      <c r="PT23" s="82" t="n">
        <v>0</v>
      </c>
      <c r="PU23" s="82" t="n">
        <v>0</v>
      </c>
      <c r="PV23" s="82" t="n">
        <v>0</v>
      </c>
      <c r="PW23" s="82" t="n">
        <v>0</v>
      </c>
      <c r="PX23" s="82" t="n">
        <v>0</v>
      </c>
      <c r="PY23" s="82" t="n">
        <v>0</v>
      </c>
      <c r="PZ23" s="82" t="n">
        <v>0</v>
      </c>
      <c r="QA23" s="130" t="n"/>
      <c r="QB23" s="82" t="n">
        <v>0</v>
      </c>
      <c r="QC23" s="82" t="n">
        <v>0</v>
      </c>
      <c r="QD23" s="82" t="n">
        <v>0</v>
      </c>
      <c r="QE23" s="82" t="n">
        <v>0</v>
      </c>
      <c r="QF23" s="82" t="n">
        <v>0</v>
      </c>
      <c r="QG23" s="82" t="n">
        <v>0</v>
      </c>
      <c r="QH23" s="82" t="n">
        <v>0</v>
      </c>
      <c r="QI23" s="82" t="n">
        <v>0</v>
      </c>
      <c r="QJ23" s="82" t="n">
        <v>0</v>
      </c>
      <c r="QK23" s="82" t="n">
        <v>0</v>
      </c>
      <c r="QL23" s="82" t="n">
        <v>0</v>
      </c>
      <c r="QM23" s="82" t="n">
        <v>0</v>
      </c>
      <c r="QN23" s="82" t="n">
        <v>0</v>
      </c>
      <c r="QO23" s="82" t="n">
        <v>0</v>
      </c>
      <c r="QP23" s="82" t="n">
        <v>0</v>
      </c>
      <c r="QQ23" s="82" t="n">
        <v>0</v>
      </c>
      <c r="QR23" s="82" t="n">
        <v>0</v>
      </c>
      <c r="QS23" s="82" t="n">
        <v>0</v>
      </c>
      <c r="QT23" s="82" t="n">
        <v>0</v>
      </c>
      <c r="QU23" s="82" t="n">
        <v>0</v>
      </c>
      <c r="QV23" s="82" t="n">
        <v>0</v>
      </c>
      <c r="QW23" s="82" t="n">
        <v>0</v>
      </c>
      <c r="QX23" s="82" t="n">
        <v>0</v>
      </c>
      <c r="QY23" s="82" t="n">
        <v>0</v>
      </c>
      <c r="QZ23" s="82" t="n">
        <v>0</v>
      </c>
      <c r="RA23" s="82" t="n">
        <v>0</v>
      </c>
      <c r="RB23" s="82" t="n">
        <v>0</v>
      </c>
      <c r="RC23" s="82" t="n">
        <v>0</v>
      </c>
      <c r="RD23" s="82" t="n">
        <v>0</v>
      </c>
      <c r="RE23" s="82" t="n">
        <v>0</v>
      </c>
      <c r="RF23" s="82" t="n">
        <v>0</v>
      </c>
      <c r="RG23" s="130" t="n"/>
      <c r="RH23" s="82" t="n">
        <v>0</v>
      </c>
      <c r="RI23" s="82" t="n">
        <v>0</v>
      </c>
      <c r="RJ23" s="82" t="n">
        <v>0</v>
      </c>
      <c r="RK23" s="82" t="n">
        <v>0</v>
      </c>
      <c r="RL23" s="82" t="n">
        <v>0</v>
      </c>
      <c r="RM23" s="82" t="n">
        <v>0</v>
      </c>
      <c r="RN23" s="82" t="n">
        <v>0</v>
      </c>
      <c r="RO23" s="82" t="n">
        <v>0</v>
      </c>
      <c r="RP23" s="82" t="n">
        <v>0</v>
      </c>
      <c r="RQ23" s="82" t="n">
        <v>0</v>
      </c>
      <c r="RR23" s="82" t="n">
        <v>0</v>
      </c>
      <c r="RS23" s="82" t="n">
        <v>0</v>
      </c>
      <c r="RT23" s="82" t="n">
        <v>0</v>
      </c>
      <c r="RU23" s="82" t="n">
        <v>0</v>
      </c>
      <c r="RV23" s="82" t="n">
        <v>0</v>
      </c>
      <c r="RW23" s="82" t="n">
        <v>0</v>
      </c>
      <c r="RX23" s="82" t="n">
        <v>0</v>
      </c>
      <c r="RY23" s="82" t="n">
        <v>0</v>
      </c>
      <c r="RZ23" s="82" t="n">
        <v>0</v>
      </c>
      <c r="SA23" s="82" t="n">
        <v>0</v>
      </c>
      <c r="SB23" s="82" t="n">
        <v>0</v>
      </c>
      <c r="SC23" s="82" t="n">
        <v>0</v>
      </c>
      <c r="SD23" s="82" t="n">
        <v>0</v>
      </c>
      <c r="SE23" s="82" t="n">
        <v>0</v>
      </c>
      <c r="SF23" s="82" t="n">
        <v>0</v>
      </c>
      <c r="SG23" s="82" t="n">
        <v>0</v>
      </c>
      <c r="SH23" s="82" t="n">
        <v>0</v>
      </c>
      <c r="SI23" s="82" t="n">
        <v>0</v>
      </c>
      <c r="SJ23" s="82" t="n">
        <v>0</v>
      </c>
      <c r="SK23" s="82" t="n">
        <v>0</v>
      </c>
      <c r="SL23" s="130" t="n"/>
      <c r="SM23" s="82" t="n">
        <v>0</v>
      </c>
      <c r="SN23" s="82" t="n">
        <v>0</v>
      </c>
      <c r="SO23" s="82" t="n">
        <v>0</v>
      </c>
      <c r="SP23" s="82" t="n">
        <v>0</v>
      </c>
      <c r="SQ23" s="82" t="n">
        <v>0</v>
      </c>
      <c r="SR23" s="82" t="n">
        <v>0</v>
      </c>
      <c r="SS23" s="82" t="n">
        <v>0</v>
      </c>
      <c r="ST23" s="82" t="n">
        <v>0</v>
      </c>
      <c r="SU23" s="82" t="n">
        <v>0</v>
      </c>
      <c r="SV23" s="82" t="n">
        <v>0</v>
      </c>
      <c r="SW23" s="82" t="n">
        <v>0</v>
      </c>
      <c r="SX23" s="82" t="n">
        <v>0</v>
      </c>
      <c r="SY23" s="82" t="n">
        <v>0</v>
      </c>
      <c r="SZ23" s="82" t="n">
        <v>0</v>
      </c>
      <c r="TA23" s="82" t="n">
        <v>0</v>
      </c>
      <c r="TB23" s="82" t="n">
        <v>0</v>
      </c>
      <c r="TC23" s="82" t="n">
        <v>0</v>
      </c>
      <c r="TD23" s="82" t="n">
        <v>0</v>
      </c>
      <c r="TE23" s="82" t="n">
        <v>0</v>
      </c>
      <c r="TF23" s="82" t="n">
        <v>0</v>
      </c>
      <c r="TG23" s="82" t="n">
        <v>0</v>
      </c>
      <c r="TH23" s="82" t="n">
        <v>0</v>
      </c>
      <c r="TI23" s="82" t="n">
        <v>0</v>
      </c>
      <c r="TJ23" s="82" t="n">
        <v>0</v>
      </c>
      <c r="TK23" s="82" t="n">
        <v>0</v>
      </c>
      <c r="TL23" s="82" t="n">
        <v>0</v>
      </c>
      <c r="TM23" s="82" t="n">
        <v>0</v>
      </c>
      <c r="TN23" s="82" t="n">
        <v>0</v>
      </c>
      <c r="TO23" s="82" t="n">
        <v>0</v>
      </c>
      <c r="TP23" s="82" t="n">
        <v>0</v>
      </c>
      <c r="TQ23" s="82" t="n">
        <v>0</v>
      </c>
      <c r="TR23" s="130" t="n"/>
      <c r="TS23" s="82" t="n">
        <v>0</v>
      </c>
      <c r="TT23" s="82" t="n">
        <v>0</v>
      </c>
      <c r="TU23" s="82" t="n">
        <v>0</v>
      </c>
      <c r="TV23" s="82" t="n">
        <v>0</v>
      </c>
      <c r="TW23" s="82" t="n">
        <v>0</v>
      </c>
      <c r="TX23" s="82" t="n">
        <v>0</v>
      </c>
      <c r="TY23" s="82" t="n">
        <v>0</v>
      </c>
      <c r="TZ23" s="82" t="n">
        <v>0</v>
      </c>
      <c r="UA23" s="82" t="n">
        <v>0</v>
      </c>
      <c r="UB23" s="82" t="n">
        <v>0</v>
      </c>
      <c r="UC23" s="82" t="n">
        <v>0</v>
      </c>
      <c r="UD23" s="82" t="n">
        <v>0</v>
      </c>
      <c r="UE23" s="82" t="n">
        <v>0</v>
      </c>
      <c r="UF23" s="82" t="n">
        <v>0</v>
      </c>
      <c r="UG23" s="82" t="n">
        <v>0</v>
      </c>
      <c r="UH23" s="82" t="n">
        <v>0</v>
      </c>
      <c r="UI23" s="82" t="n">
        <v>0</v>
      </c>
      <c r="UJ23" s="82" t="n">
        <v>0</v>
      </c>
      <c r="UK23" s="82" t="n">
        <v>0</v>
      </c>
      <c r="UL23" s="82" t="n">
        <v>0</v>
      </c>
      <c r="UM23" s="82" t="n">
        <v>0</v>
      </c>
      <c r="UN23" s="82" t="n">
        <v>0</v>
      </c>
      <c r="UO23" s="82" t="n">
        <v>0</v>
      </c>
      <c r="UP23" s="82" t="n">
        <v>0</v>
      </c>
      <c r="UQ23" s="82" t="n">
        <v>0</v>
      </c>
      <c r="UR23" s="82" t="n">
        <v>0</v>
      </c>
      <c r="US23" s="82" t="n">
        <v>0</v>
      </c>
      <c r="UT23" s="82" t="n">
        <v>0</v>
      </c>
      <c r="UU23" s="82" t="n">
        <v>0</v>
      </c>
      <c r="UV23" s="82" t="n">
        <v>0</v>
      </c>
      <c r="UW23" s="82" t="n">
        <v>0</v>
      </c>
      <c r="UX23" s="130" t="n"/>
      <c r="UY23" s="82" t="n">
        <v>0</v>
      </c>
      <c r="UZ23" s="82" t="n">
        <v>0</v>
      </c>
      <c r="VA23" s="82" t="n">
        <v>0</v>
      </c>
      <c r="VB23" s="82" t="n">
        <v>0</v>
      </c>
      <c r="VC23" s="82" t="n">
        <v>0</v>
      </c>
      <c r="VD23" s="82" t="n">
        <v>0</v>
      </c>
      <c r="VE23" s="82" t="n">
        <v>0</v>
      </c>
      <c r="VF23" s="82" t="n">
        <v>0</v>
      </c>
      <c r="VG23" s="82" t="n">
        <v>0</v>
      </c>
      <c r="VH23" s="82" t="n">
        <v>0</v>
      </c>
      <c r="VI23" s="82" t="n">
        <v>0</v>
      </c>
      <c r="VJ23" s="82" t="n">
        <v>0</v>
      </c>
      <c r="VK23" s="82" t="n">
        <v>0</v>
      </c>
      <c r="VL23" s="82" t="n">
        <v>0</v>
      </c>
      <c r="VM23" s="82" t="n">
        <v>0</v>
      </c>
      <c r="VN23" s="82" t="n">
        <v>0</v>
      </c>
      <c r="VO23" s="82" t="n">
        <v>0</v>
      </c>
      <c r="VP23" s="82" t="n">
        <v>0</v>
      </c>
      <c r="VQ23" s="82" t="n">
        <v>0</v>
      </c>
      <c r="VR23" s="82" t="n">
        <v>0</v>
      </c>
      <c r="VS23" s="82" t="n">
        <v>0</v>
      </c>
      <c r="VT23" s="82" t="n">
        <v>0</v>
      </c>
      <c r="VU23" s="82" t="n">
        <v>0</v>
      </c>
      <c r="VV23" s="82" t="n">
        <v>0</v>
      </c>
      <c r="VW23" s="82" t="n">
        <v>0</v>
      </c>
      <c r="VX23" s="82" t="n">
        <v>0</v>
      </c>
      <c r="VY23" s="82" t="n">
        <v>0</v>
      </c>
      <c r="VZ23" s="82" t="n">
        <v>0</v>
      </c>
      <c r="WA23" s="133" t="n"/>
      <c r="WB23" s="82" t="n">
        <v>0</v>
      </c>
      <c r="WC23" s="82" t="n">
        <v>0</v>
      </c>
      <c r="WD23" s="82" t="n">
        <v>0</v>
      </c>
      <c r="WE23" s="82" t="n">
        <v>0</v>
      </c>
      <c r="WF23" s="82" t="n">
        <v>0</v>
      </c>
      <c r="WG23" s="82" t="n">
        <v>0</v>
      </c>
      <c r="WH23" s="82" t="n">
        <v>0</v>
      </c>
      <c r="WI23" s="82" t="n">
        <v>0</v>
      </c>
      <c r="WJ23" s="82" t="n">
        <v>0</v>
      </c>
      <c r="WK23" s="82" t="n">
        <v>0</v>
      </c>
      <c r="WL23" s="82" t="n">
        <v>0</v>
      </c>
      <c r="WM23" s="82" t="n">
        <v>0</v>
      </c>
      <c r="WN23" s="82" t="n">
        <v>0</v>
      </c>
      <c r="WO23" s="82" t="n">
        <v>0</v>
      </c>
      <c r="WP23" s="82" t="n">
        <v>0</v>
      </c>
      <c r="WQ23" s="82" t="n">
        <v>0</v>
      </c>
      <c r="WR23" s="82" t="n">
        <v>0</v>
      </c>
      <c r="WS23" s="82" t="n">
        <v>0</v>
      </c>
      <c r="WT23" s="82" t="n">
        <v>0</v>
      </c>
      <c r="WU23" s="82" t="n">
        <v>0</v>
      </c>
      <c r="WV23" s="82" t="n">
        <v>0</v>
      </c>
      <c r="WW23" s="82" t="n">
        <v>0</v>
      </c>
      <c r="WX23" s="82" t="n">
        <v>0</v>
      </c>
      <c r="WY23" s="82" t="n">
        <v>0</v>
      </c>
      <c r="WZ23" s="82" t="n">
        <v>0</v>
      </c>
      <c r="XA23" s="82" t="n">
        <v>0</v>
      </c>
      <c r="XB23" s="82" t="n">
        <v>0</v>
      </c>
      <c r="XC23" s="82" t="n">
        <v>0</v>
      </c>
      <c r="XD23" s="82" t="n">
        <v>0</v>
      </c>
      <c r="XE23" s="82" t="n">
        <v>0</v>
      </c>
      <c r="XF23" s="82" t="n">
        <v>0</v>
      </c>
      <c r="XG23" s="133" t="n"/>
      <c r="XH23" s="82" t="n">
        <v>0</v>
      </c>
      <c r="XI23" s="82" t="n">
        <v>0</v>
      </c>
      <c r="XJ23" s="82" t="n">
        <v>0</v>
      </c>
      <c r="XK23" s="82" t="n">
        <v>0</v>
      </c>
      <c r="XL23" s="82" t="n">
        <v>0</v>
      </c>
      <c r="XM23" s="82" t="n">
        <v>0</v>
      </c>
      <c r="XN23" s="82" t="n">
        <v>0</v>
      </c>
      <c r="XO23" s="82" t="n">
        <v>0</v>
      </c>
      <c r="XP23" s="82" t="n">
        <v>0</v>
      </c>
      <c r="XQ23" s="82" t="n">
        <v>0</v>
      </c>
      <c r="XR23" s="82" t="n">
        <v>0</v>
      </c>
      <c r="XS23" s="82" t="n">
        <v>0</v>
      </c>
      <c r="XT23" s="82" t="n">
        <v>0</v>
      </c>
      <c r="XU23" s="82" t="n">
        <v>0</v>
      </c>
      <c r="XV23" s="82" t="n">
        <v>0</v>
      </c>
      <c r="XW23" s="82" t="n">
        <v>0</v>
      </c>
      <c r="XX23" s="82" t="n">
        <v>0</v>
      </c>
      <c r="XY23" s="82" t="n">
        <v>0</v>
      </c>
      <c r="XZ23" s="82" t="n">
        <v>0</v>
      </c>
      <c r="YA23" s="82" t="n">
        <v>0</v>
      </c>
      <c r="YB23" s="82" t="n">
        <v>0</v>
      </c>
      <c r="YC23" s="82" t="n">
        <v>0</v>
      </c>
      <c r="YD23" s="82" t="n">
        <v>0</v>
      </c>
      <c r="YE23" s="82" t="n">
        <v>0</v>
      </c>
      <c r="YF23" s="82" t="n">
        <v>0</v>
      </c>
      <c r="YG23" s="82" t="n">
        <v>0</v>
      </c>
      <c r="YH23" s="82" t="n">
        <v>0</v>
      </c>
      <c r="YI23" s="82" t="n">
        <v>0</v>
      </c>
      <c r="YJ23" s="82" t="n">
        <v>0</v>
      </c>
      <c r="YK23" s="82" t="n">
        <v>0</v>
      </c>
      <c r="YL23" s="130" t="n"/>
      <c r="YM23" s="82" t="n">
        <v>0</v>
      </c>
      <c r="YN23" s="82" t="n">
        <v>0</v>
      </c>
      <c r="YO23" s="82" t="n">
        <v>0</v>
      </c>
      <c r="YP23" s="82" t="n">
        <v>0</v>
      </c>
      <c r="YQ23" s="82" t="n">
        <v>0</v>
      </c>
      <c r="YR23" s="82" t="n">
        <v>0</v>
      </c>
      <c r="YS23" s="82" t="n">
        <v>0</v>
      </c>
      <c r="YT23" s="82" t="n">
        <v>0</v>
      </c>
      <c r="YU23" s="82" t="n">
        <v>0</v>
      </c>
      <c r="YV23" s="82" t="n">
        <v>0</v>
      </c>
      <c r="YW23" s="82" t="n">
        <v>0</v>
      </c>
      <c r="YX23" s="82" t="n">
        <v>0</v>
      </c>
      <c r="YY23" s="82" t="n">
        <v>0</v>
      </c>
      <c r="YZ23" s="82" t="n">
        <v>0</v>
      </c>
      <c r="ZA23" s="82" t="n">
        <v>0</v>
      </c>
      <c r="ZB23" s="82" t="n">
        <v>0</v>
      </c>
      <c r="ZC23" s="82" t="n">
        <v>0</v>
      </c>
      <c r="ZD23" s="82" t="n">
        <v>0</v>
      </c>
      <c r="ZE23" s="82" t="n">
        <v>0</v>
      </c>
      <c r="ZF23" s="82" t="n">
        <v>0</v>
      </c>
      <c r="ZG23" s="82" t="n">
        <v>0</v>
      </c>
      <c r="ZH23" s="82" t="n">
        <v>0</v>
      </c>
      <c r="ZI23" s="82" t="n">
        <v>0</v>
      </c>
      <c r="ZJ23" s="82" t="n">
        <v>0</v>
      </c>
      <c r="ZK23" s="82" t="n">
        <v>0</v>
      </c>
      <c r="ZL23" s="82" t="n">
        <v>0</v>
      </c>
      <c r="ZM23" s="82" t="n">
        <v>0</v>
      </c>
      <c r="ZN23" s="82" t="n">
        <v>0</v>
      </c>
      <c r="ZO23" s="82" t="n">
        <v>0</v>
      </c>
      <c r="ZP23" s="82" t="n">
        <v>0</v>
      </c>
      <c r="ZQ23" s="82" t="n">
        <v>0</v>
      </c>
      <c r="ZR23" s="130" t="n"/>
      <c r="ZS23" s="82" t="n">
        <v>0</v>
      </c>
      <c r="ZT23" s="82" t="n">
        <v>0</v>
      </c>
      <c r="ZU23" s="82" t="n">
        <v>0</v>
      </c>
      <c r="ZV23" s="82" t="n">
        <v>0</v>
      </c>
      <c r="ZW23" s="82" t="n">
        <v>0</v>
      </c>
      <c r="ZX23" s="82" t="n">
        <v>0</v>
      </c>
      <c r="ZY23" s="82" t="n">
        <v>0</v>
      </c>
      <c r="ZZ23" s="82" t="n">
        <v>0</v>
      </c>
      <c r="AAA23" s="82" t="n">
        <v>0</v>
      </c>
      <c r="AAB23" s="82" t="n">
        <v>0</v>
      </c>
      <c r="AAC23" s="82" t="n">
        <v>0</v>
      </c>
      <c r="AAD23" s="82" t="n">
        <v>0</v>
      </c>
      <c r="AAE23" s="82" t="n">
        <v>0</v>
      </c>
      <c r="AAF23" s="82" t="n">
        <v>0</v>
      </c>
      <c r="AAG23" s="82" t="n">
        <v>0</v>
      </c>
      <c r="AAH23" s="82" t="n">
        <v>0</v>
      </c>
      <c r="AAI23" s="82" t="n">
        <v>0</v>
      </c>
      <c r="AAJ23" s="82" t="n">
        <v>0</v>
      </c>
      <c r="AAK23" s="82" t="n">
        <v>0</v>
      </c>
      <c r="AAL23" s="82" t="n">
        <v>0</v>
      </c>
      <c r="AAM23" s="82" t="n">
        <v>0</v>
      </c>
      <c r="AAN23" s="82" t="n">
        <v>0</v>
      </c>
      <c r="AAO23" s="82" t="n">
        <v>0</v>
      </c>
      <c r="AAP23" s="82" t="n">
        <v>0</v>
      </c>
      <c r="AAQ23" s="82" t="n">
        <v>0</v>
      </c>
      <c r="AAR23" s="82" t="n">
        <v>0</v>
      </c>
      <c r="AAS23" s="82" t="n">
        <v>0</v>
      </c>
      <c r="AAT23" s="82" t="n">
        <v>0</v>
      </c>
      <c r="AAU23" s="82" t="n">
        <v>0</v>
      </c>
      <c r="AAV23" s="82" t="n">
        <v>0</v>
      </c>
      <c r="AAW23" s="130" t="n"/>
      <c r="AAX23" s="82" t="n">
        <v>0</v>
      </c>
      <c r="AAY23" s="82" t="n">
        <v>0</v>
      </c>
      <c r="AAZ23" s="82" t="n">
        <v>0</v>
      </c>
      <c r="ABA23" s="82" t="n">
        <v>0</v>
      </c>
      <c r="ABB23" s="82" t="n">
        <v>0</v>
      </c>
      <c r="ABC23" s="82" t="n">
        <v>0</v>
      </c>
      <c r="ABD23" s="82" t="n">
        <v>0</v>
      </c>
      <c r="ABE23" s="82" t="n">
        <v>0</v>
      </c>
      <c r="ABF23" s="82" t="n">
        <v>0</v>
      </c>
      <c r="ABG23" s="82" t="n">
        <v>0</v>
      </c>
      <c r="ABH23" s="82" t="n">
        <v>0</v>
      </c>
      <c r="ABI23" s="82" t="n">
        <v>0</v>
      </c>
      <c r="ABJ23" s="82" t="n">
        <v>0</v>
      </c>
      <c r="ABK23" s="82" t="n">
        <v>0</v>
      </c>
      <c r="ABL23" s="82" t="n">
        <v>0</v>
      </c>
      <c r="ABM23" s="82" t="n">
        <v>0</v>
      </c>
      <c r="ABN23" s="82" t="n">
        <v>0</v>
      </c>
      <c r="ABO23" s="82" t="n">
        <v>0</v>
      </c>
      <c r="ABP23" s="82" t="n">
        <v>0</v>
      </c>
      <c r="ABQ23" s="82" t="n">
        <v>0</v>
      </c>
      <c r="ABR23" s="82" t="n">
        <v>0</v>
      </c>
      <c r="ABS23" s="82" t="n">
        <v>0</v>
      </c>
      <c r="ABT23" s="82" t="n">
        <v>0</v>
      </c>
      <c r="ABU23" s="82" t="n">
        <v>0</v>
      </c>
      <c r="ABV23" s="82" t="n">
        <v>0</v>
      </c>
      <c r="ABW23" s="82" t="n">
        <v>0</v>
      </c>
      <c r="ABX23" s="82" t="n">
        <v>0</v>
      </c>
      <c r="ABY23" s="82" t="n">
        <v>0</v>
      </c>
      <c r="ABZ23" s="82" t="n">
        <v>0</v>
      </c>
      <c r="ACA23" s="82" t="n">
        <v>0</v>
      </c>
      <c r="ACB23" s="82" t="n">
        <v>0</v>
      </c>
      <c r="ACC23" s="130" t="n"/>
      <c r="ACD23" s="82" t="n">
        <v>0</v>
      </c>
      <c r="ACE23" s="82" t="n">
        <v>0</v>
      </c>
      <c r="ACF23" s="82" t="n">
        <v>0</v>
      </c>
      <c r="ACG23" s="82" t="n">
        <v>0</v>
      </c>
      <c r="ACH23" s="82" t="n">
        <v>0</v>
      </c>
      <c r="ACI23" s="82" t="n">
        <v>0</v>
      </c>
      <c r="ACJ23" s="82" t="n">
        <v>0</v>
      </c>
      <c r="ACK23" s="82" t="n">
        <v>0</v>
      </c>
      <c r="ACL23" s="82" t="n">
        <v>0</v>
      </c>
      <c r="ACM23" s="82" t="n">
        <v>0</v>
      </c>
      <c r="ACN23" s="82" t="n">
        <v>0</v>
      </c>
      <c r="ACO23" s="82" t="n">
        <v>0</v>
      </c>
      <c r="ACP23" s="82" t="n">
        <v>0</v>
      </c>
      <c r="ACQ23" s="82" t="n">
        <v>0</v>
      </c>
      <c r="ACR23" s="82" t="n">
        <v>0</v>
      </c>
      <c r="ACS23" s="82" t="n">
        <v>0</v>
      </c>
      <c r="ACT23" s="82" t="n">
        <v>0</v>
      </c>
      <c r="ACU23" s="82" t="n">
        <v>0</v>
      </c>
      <c r="ACV23" s="82" t="n">
        <v>0</v>
      </c>
      <c r="ACW23" s="82" t="n">
        <v>0</v>
      </c>
      <c r="ACX23" s="82" t="n">
        <v>0</v>
      </c>
      <c r="ACY23" s="82" t="n">
        <v>0</v>
      </c>
      <c r="ACZ23" s="82" t="n">
        <v>0</v>
      </c>
      <c r="ADA23" s="82" t="n">
        <v>0</v>
      </c>
      <c r="ADB23" s="82" t="n">
        <v>0</v>
      </c>
      <c r="ADC23" s="82" t="n">
        <v>0</v>
      </c>
      <c r="ADD23" s="82" t="n">
        <v>0</v>
      </c>
      <c r="ADE23" s="82" t="n">
        <v>0</v>
      </c>
      <c r="ADF23" s="82" t="n">
        <v>0</v>
      </c>
      <c r="ADG23" s="82" t="n">
        <v>0</v>
      </c>
      <c r="ADH23" s="82" t="n">
        <v>0</v>
      </c>
      <c r="ADI23" s="130" t="n"/>
      <c r="ADJ23" s="82" t="n">
        <v>0</v>
      </c>
      <c r="ADK23" s="82" t="n">
        <v>0</v>
      </c>
      <c r="ADL23" s="82" t="n">
        <v>0</v>
      </c>
      <c r="ADM23" s="82" t="n">
        <v>0</v>
      </c>
      <c r="ADN23" s="82" t="n">
        <v>0</v>
      </c>
      <c r="ADO23" s="82" t="n">
        <v>0</v>
      </c>
      <c r="ADP23" s="82" t="n">
        <v>0</v>
      </c>
      <c r="ADQ23" s="82" t="n">
        <v>0</v>
      </c>
      <c r="ADR23" s="82" t="n">
        <v>0</v>
      </c>
      <c r="ADS23" s="82" t="n">
        <v>0</v>
      </c>
      <c r="ADT23" s="82" t="n">
        <v>0</v>
      </c>
      <c r="ADU23" s="82" t="n">
        <v>0</v>
      </c>
      <c r="ADV23" s="82" t="n">
        <v>0</v>
      </c>
      <c r="ADW23" s="82" t="n">
        <v>0</v>
      </c>
      <c r="ADX23" s="82" t="n">
        <v>0</v>
      </c>
      <c r="ADY23" s="82" t="n">
        <v>0</v>
      </c>
      <c r="ADZ23" s="82" t="n">
        <v>0</v>
      </c>
      <c r="AEA23" s="82" t="n">
        <v>0</v>
      </c>
      <c r="AEB23" s="82" t="n">
        <v>0</v>
      </c>
      <c r="AEC23" s="82" t="n">
        <v>0</v>
      </c>
      <c r="AED23" s="82" t="n">
        <v>0</v>
      </c>
      <c r="AEE23" s="82" t="n">
        <v>0</v>
      </c>
      <c r="AEF23" s="82" t="n">
        <v>0</v>
      </c>
      <c r="AEG23" s="82" t="n">
        <v>0</v>
      </c>
      <c r="AEH23" s="82" t="n">
        <v>0</v>
      </c>
      <c r="AEI23" s="82" t="n">
        <v>0</v>
      </c>
      <c r="AEJ23" s="82" t="n">
        <v>0</v>
      </c>
      <c r="AEK23" s="82" t="n">
        <v>0</v>
      </c>
      <c r="AEL23" s="82" t="n">
        <v>0</v>
      </c>
      <c r="AEM23" s="82" t="n">
        <v>0</v>
      </c>
      <c r="AEN23" s="130" t="n"/>
      <c r="AEO23" s="82" t="n">
        <v>0</v>
      </c>
      <c r="AEP23" s="82" t="n">
        <v>0</v>
      </c>
      <c r="AEQ23" s="82" t="n">
        <v>0</v>
      </c>
      <c r="AER23" s="82" t="n">
        <v>0</v>
      </c>
      <c r="AES23" s="82" t="n">
        <v>0</v>
      </c>
      <c r="AET23" s="82" t="n">
        <v>0</v>
      </c>
      <c r="AEU23" s="82" t="n">
        <v>0</v>
      </c>
      <c r="AEV23" s="82" t="n">
        <v>0</v>
      </c>
      <c r="AEW23" s="82" t="n">
        <v>0</v>
      </c>
      <c r="AEX23" s="82" t="n">
        <v>0</v>
      </c>
      <c r="AEY23" s="82" t="n">
        <v>0</v>
      </c>
      <c r="AEZ23" s="82" t="n">
        <v>0</v>
      </c>
      <c r="AFA23" s="82" t="n">
        <v>0</v>
      </c>
      <c r="AFB23" s="82" t="n">
        <v>0</v>
      </c>
      <c r="AFC23" s="82" t="n">
        <v>0</v>
      </c>
      <c r="AFD23" s="82" t="n">
        <v>0</v>
      </c>
      <c r="AFE23" s="82" t="n">
        <v>0</v>
      </c>
      <c r="AFF23" s="82" t="n">
        <v>0</v>
      </c>
      <c r="AFG23" s="82" t="n">
        <v>0</v>
      </c>
      <c r="AFH23" s="82" t="n">
        <v>0</v>
      </c>
      <c r="AFI23" s="82" t="n">
        <v>0</v>
      </c>
      <c r="AFJ23" s="82" t="n">
        <v>0</v>
      </c>
      <c r="AFK23" s="82" t="n">
        <v>0</v>
      </c>
      <c r="AFL23" s="82" t="n">
        <v>0</v>
      </c>
      <c r="AFM23" s="82" t="n">
        <v>0</v>
      </c>
      <c r="AFN23" s="82" t="n">
        <v>0</v>
      </c>
      <c r="AFO23" s="82" t="n">
        <v>0</v>
      </c>
      <c r="AFP23" s="82" t="n">
        <v>0</v>
      </c>
      <c r="AFQ23" s="82" t="n">
        <v>0</v>
      </c>
      <c r="AFR23" s="82" t="n">
        <v>0</v>
      </c>
      <c r="AFS23" s="82" t="n">
        <v>0</v>
      </c>
      <c r="AFT23" s="130" t="n"/>
      <c r="AFU23" s="82" t="n">
        <v>0</v>
      </c>
      <c r="AFV23" s="82" t="n">
        <v>0</v>
      </c>
      <c r="AFW23" s="82" t="n">
        <v>0</v>
      </c>
      <c r="AFX23" s="82" t="n">
        <v>0</v>
      </c>
      <c r="AFY23" s="82" t="n">
        <v>0</v>
      </c>
      <c r="AFZ23" s="82" t="n">
        <v>0</v>
      </c>
      <c r="AGA23" s="82" t="n">
        <v>0</v>
      </c>
      <c r="AGB23" s="82" t="n">
        <v>0</v>
      </c>
      <c r="AGC23" s="82" t="n">
        <v>0</v>
      </c>
      <c r="AGD23" s="82" t="n">
        <v>0</v>
      </c>
      <c r="AGE23" s="82" t="n">
        <v>0</v>
      </c>
      <c r="AGF23" s="82" t="n">
        <v>0</v>
      </c>
      <c r="AGG23" s="82" t="n">
        <v>0</v>
      </c>
      <c r="AGH23" s="82" t="n">
        <v>0</v>
      </c>
      <c r="AGI23" s="82" t="n">
        <v>0</v>
      </c>
      <c r="AGJ23" s="82" t="n">
        <v>0</v>
      </c>
      <c r="AGK23" s="82" t="n">
        <v>0</v>
      </c>
      <c r="AGL23" s="82" t="n">
        <v>0</v>
      </c>
      <c r="AGM23" s="82" t="n">
        <v>0</v>
      </c>
      <c r="AGN23" s="82" t="n">
        <v>0</v>
      </c>
      <c r="AGO23" s="82" t="n">
        <v>0</v>
      </c>
      <c r="AGP23" s="82" t="n">
        <v>0</v>
      </c>
      <c r="AGQ23" s="82" t="n">
        <v>0</v>
      </c>
      <c r="AGR23" s="82" t="n">
        <v>0</v>
      </c>
      <c r="AGS23" s="82" t="n">
        <v>0</v>
      </c>
      <c r="AGT23" s="82" t="n">
        <v>0</v>
      </c>
      <c r="AGU23" s="82" t="n">
        <v>0</v>
      </c>
      <c r="AGV23" s="82" t="n">
        <v>0</v>
      </c>
      <c r="AGW23" s="82" t="n">
        <v>0</v>
      </c>
      <c r="AGX23" s="82" t="n">
        <v>0</v>
      </c>
      <c r="AGY23" s="133" t="n"/>
      <c r="AGZ23" s="82" t="n">
        <v>0</v>
      </c>
      <c r="AHA23" s="82" t="n">
        <v>0</v>
      </c>
      <c r="AHB23" s="82" t="n">
        <v>0</v>
      </c>
      <c r="AHC23" s="82" t="n">
        <v>0</v>
      </c>
      <c r="AHD23" s="82" t="n">
        <v>0</v>
      </c>
      <c r="AHE23" s="82" t="n">
        <v>0</v>
      </c>
      <c r="AHF23" s="82" t="n">
        <v>0</v>
      </c>
      <c r="AHG23" s="82" t="n">
        <v>0</v>
      </c>
      <c r="AHH23" s="82" t="n">
        <v>0</v>
      </c>
      <c r="AHI23" s="82" t="n">
        <v>0</v>
      </c>
      <c r="AHJ23" s="82" t="n">
        <v>0</v>
      </c>
      <c r="AHK23" s="82" t="n">
        <v>0</v>
      </c>
      <c r="AHL23" s="82" t="n">
        <v>0</v>
      </c>
      <c r="AHM23" s="82" t="n">
        <v>0</v>
      </c>
      <c r="AHN23" s="82" t="n">
        <v>0</v>
      </c>
      <c r="AHO23" s="82" t="n">
        <v>0</v>
      </c>
      <c r="AHP23" s="82" t="n">
        <v>0</v>
      </c>
      <c r="AHQ23" s="82" t="n">
        <v>0</v>
      </c>
      <c r="AHR23" s="82" t="n">
        <v>0</v>
      </c>
      <c r="AHS23" s="82" t="n">
        <v>0</v>
      </c>
      <c r="AHT23" s="82" t="n">
        <v>0</v>
      </c>
      <c r="AHU23" s="82" t="n">
        <v>0</v>
      </c>
      <c r="AHV23" s="82" t="n">
        <v>0</v>
      </c>
      <c r="AHW23" s="82" t="n">
        <v>0</v>
      </c>
      <c r="AHX23" s="82" t="n">
        <v>0</v>
      </c>
      <c r="AHY23" s="82" t="n">
        <v>0</v>
      </c>
      <c r="AHZ23" s="82" t="n">
        <v>0</v>
      </c>
      <c r="AIA23" s="82" t="n">
        <v>0</v>
      </c>
      <c r="AIB23" s="82" t="n">
        <v>0</v>
      </c>
      <c r="AIC23" s="82" t="n">
        <v>0</v>
      </c>
      <c r="AID23" s="82" t="n">
        <v>0</v>
      </c>
      <c r="AIE23" s="130" t="n"/>
      <c r="AIF23" s="82" t="n">
        <v>0</v>
      </c>
      <c r="AIG23" s="82" t="n">
        <v>0</v>
      </c>
      <c r="AIH23" s="82" t="n">
        <v>0</v>
      </c>
      <c r="AII23" s="82" t="n">
        <v>0</v>
      </c>
      <c r="AIJ23" s="82" t="n">
        <v>0</v>
      </c>
      <c r="AIK23" s="82" t="n">
        <v>0</v>
      </c>
      <c r="AIL23" s="82" t="n">
        <v>0</v>
      </c>
      <c r="AIM23" s="82" t="n">
        <v>0</v>
      </c>
      <c r="AIN23" s="82" t="n">
        <v>0</v>
      </c>
      <c r="AIO23" s="82" t="n">
        <v>0</v>
      </c>
      <c r="AIP23" s="82" t="n">
        <v>0</v>
      </c>
      <c r="AIQ23" s="82" t="n">
        <v>0</v>
      </c>
      <c r="AIR23" s="82" t="n">
        <v>0</v>
      </c>
      <c r="AIS23" s="82" t="n">
        <v>0</v>
      </c>
      <c r="AIT23" s="82" t="n">
        <v>0</v>
      </c>
      <c r="AIU23" s="82" t="n">
        <v>0</v>
      </c>
      <c r="AIV23" s="82" t="n">
        <v>0</v>
      </c>
      <c r="AIW23" s="82" t="n">
        <v>0</v>
      </c>
      <c r="AIX23" s="82" t="n">
        <v>0</v>
      </c>
      <c r="AIY23" s="82" t="n">
        <v>0</v>
      </c>
      <c r="AIZ23" s="82" t="n">
        <v>0</v>
      </c>
      <c r="AJA23" s="82" t="n">
        <v>0</v>
      </c>
      <c r="AJB23" s="82" t="n">
        <v>0</v>
      </c>
      <c r="AJC23" s="82" t="n">
        <v>0</v>
      </c>
      <c r="AJD23" s="82" t="n">
        <v>0</v>
      </c>
      <c r="AJE23" s="82" t="n">
        <v>0</v>
      </c>
      <c r="AJF23" s="82" t="n">
        <v>0</v>
      </c>
      <c r="AJG23" s="82" t="n">
        <v>0</v>
      </c>
      <c r="AJH23" s="82" t="n">
        <v>0</v>
      </c>
      <c r="AJI23" s="82" t="n">
        <v>0</v>
      </c>
      <c r="AJJ23" s="82" t="n">
        <v>0</v>
      </c>
      <c r="AJK23" s="145" t="n"/>
      <c r="AJL23" s="82" t="n">
        <v>0</v>
      </c>
      <c r="AJM23" s="82" t="n">
        <v>0</v>
      </c>
      <c r="AJN23" s="82" t="n">
        <v>0</v>
      </c>
      <c r="AJO23" s="82" t="n">
        <v>0</v>
      </c>
      <c r="AJP23" s="82" t="n">
        <v>0</v>
      </c>
      <c r="AJQ23" s="82" t="n">
        <v>0</v>
      </c>
      <c r="AJR23" s="82" t="n">
        <v>0</v>
      </c>
      <c r="AJS23" s="82" t="n">
        <v>0</v>
      </c>
      <c r="AJT23" s="82" t="n">
        <v>0</v>
      </c>
      <c r="AJU23" s="82" t="n">
        <v>0</v>
      </c>
      <c r="AJV23" s="82" t="n">
        <v>0</v>
      </c>
      <c r="AJW23" s="82" t="n">
        <v>0</v>
      </c>
      <c r="AJX23" s="82" t="n">
        <v>0</v>
      </c>
      <c r="AJY23" s="82" t="n">
        <v>0</v>
      </c>
      <c r="AJZ23" s="82" t="n">
        <v>0</v>
      </c>
      <c r="AKA23" s="82" t="n">
        <v>0</v>
      </c>
      <c r="AKB23" s="82" t="n">
        <v>0</v>
      </c>
      <c r="AKC23" s="82" t="n">
        <v>0</v>
      </c>
      <c r="AKD23" s="82" t="n">
        <v>0</v>
      </c>
      <c r="AKE23" s="82" t="n">
        <v>0</v>
      </c>
      <c r="AKF23" s="82" t="n">
        <v>0</v>
      </c>
      <c r="AKG23" s="82" t="n">
        <v>0</v>
      </c>
      <c r="AKH23" s="82" t="n">
        <v>0</v>
      </c>
      <c r="AKI23" s="82" t="n">
        <v>0</v>
      </c>
      <c r="AKJ23" s="82" t="n">
        <v>0</v>
      </c>
      <c r="AKK23" s="82" t="n">
        <v>0</v>
      </c>
      <c r="AKL23" s="82" t="n">
        <v>0</v>
      </c>
      <c r="AKM23" s="82" t="n">
        <v>0</v>
      </c>
      <c r="AKN23" s="112" t="n"/>
      <c r="AKO23" s="82" t="n">
        <v>0</v>
      </c>
      <c r="AKP23" s="82" t="n">
        <v>0</v>
      </c>
      <c r="AKQ23" s="82" t="n">
        <v>0</v>
      </c>
      <c r="AKR23" s="82" t="n">
        <v>0</v>
      </c>
      <c r="AKS23" s="82" t="n">
        <v>0</v>
      </c>
      <c r="AKT23" s="82" t="n">
        <v>0</v>
      </c>
      <c r="AKU23" s="82" t="n">
        <v>0</v>
      </c>
      <c r="AKV23" s="82" t="n">
        <v>0</v>
      </c>
      <c r="AKW23" s="82" t="n">
        <v>0</v>
      </c>
      <c r="AKX23" s="82" t="n">
        <v>0</v>
      </c>
      <c r="AKY23" s="82" t="n">
        <v>0</v>
      </c>
      <c r="AKZ23" s="82" t="n">
        <v>0</v>
      </c>
      <c r="ALA23" s="82" t="n">
        <v>0</v>
      </c>
      <c r="ALB23" s="82" t="n">
        <v>0</v>
      </c>
      <c r="ALC23" s="82" t="n">
        <v>0</v>
      </c>
      <c r="ALD23" s="82" t="n">
        <v>0</v>
      </c>
      <c r="ALE23" s="82" t="n">
        <v>0</v>
      </c>
      <c r="ALF23" s="82" t="n">
        <v>0</v>
      </c>
      <c r="ALG23" s="82" t="n">
        <v>0</v>
      </c>
      <c r="ALH23" s="82" t="n">
        <v>0</v>
      </c>
      <c r="ALI23" s="82" t="n">
        <v>0</v>
      </c>
      <c r="ALJ23" s="82" t="n">
        <v>0</v>
      </c>
      <c r="ALK23" s="82" t="n">
        <v>0</v>
      </c>
      <c r="ALL23" s="82" t="n">
        <v>0</v>
      </c>
      <c r="ALM23" s="82" t="n">
        <v>0</v>
      </c>
      <c r="ALN23" s="82" t="n">
        <v>0</v>
      </c>
      <c r="ALO23" s="82" t="n">
        <v>0</v>
      </c>
      <c r="ALP23" s="82" t="n">
        <v>0</v>
      </c>
      <c r="ALQ23" s="82" t="n">
        <v>0</v>
      </c>
      <c r="ALR23" s="82" t="n">
        <v>0</v>
      </c>
      <c r="ALS23" s="82" t="n">
        <v>0</v>
      </c>
      <c r="ALT23" s="130" t="n"/>
      <c r="ALU23" s="82" t="n">
        <v>0</v>
      </c>
      <c r="ALV23" s="82" t="n">
        <v>0</v>
      </c>
      <c r="ALW23" s="82" t="n">
        <v>0</v>
      </c>
      <c r="ALX23" s="82" t="n">
        <v>0</v>
      </c>
      <c r="ALY23" s="82" t="n">
        <v>0</v>
      </c>
      <c r="ALZ23" s="82" t="n">
        <v>0</v>
      </c>
      <c r="AMA23" s="82" t="n">
        <v>0</v>
      </c>
      <c r="AMB23" s="82" t="n">
        <v>0</v>
      </c>
      <c r="AMC23" s="82" t="n">
        <v>0</v>
      </c>
      <c r="AMD23" s="82" t="n">
        <v>0</v>
      </c>
      <c r="AME23" s="82" t="n">
        <v>0</v>
      </c>
      <c r="AMF23" s="82" t="n">
        <v>0</v>
      </c>
      <c r="AMG23" s="82" t="n">
        <v>0</v>
      </c>
      <c r="AMH23" s="82" t="n">
        <v>0</v>
      </c>
      <c r="AMI23" s="82" t="n">
        <v>0</v>
      </c>
      <c r="AMJ23" s="82" t="n">
        <v>0</v>
      </c>
      <c r="AMK23" s="82" t="n">
        <v>0</v>
      </c>
      <c r="AML23" s="82" t="n">
        <v>0</v>
      </c>
      <c r="AMM23" s="82" t="n">
        <v>0</v>
      </c>
      <c r="AMN23" s="82" t="n">
        <v>0</v>
      </c>
      <c r="AMO23" s="82" t="n">
        <v>0</v>
      </c>
      <c r="AMP23" s="82" t="n">
        <v>0</v>
      </c>
      <c r="AMQ23" s="82" t="n">
        <v>0</v>
      </c>
      <c r="AMR23" s="82" t="n">
        <v>0</v>
      </c>
      <c r="AMS23" s="82" t="n">
        <v>0</v>
      </c>
      <c r="AMT23" s="82" t="n">
        <v>0</v>
      </c>
      <c r="AMU23" s="82" t="n">
        <v>0</v>
      </c>
      <c r="AMV23" s="82" t="n">
        <v>0</v>
      </c>
      <c r="AMW23" s="82" t="n">
        <v>0</v>
      </c>
      <c r="AMX23" s="82" t="n">
        <v>0</v>
      </c>
      <c r="AMY23" s="130" t="n"/>
      <c r="AMZ23" s="82" t="n">
        <v>0</v>
      </c>
      <c r="ANA23" s="82" t="n">
        <v>0</v>
      </c>
      <c r="ANB23" s="82" t="n">
        <v>0</v>
      </c>
      <c r="ANC23" s="82" t="n">
        <v>0</v>
      </c>
      <c r="AND23" s="82" t="n">
        <v>0</v>
      </c>
      <c r="ANE23" s="82" t="n">
        <v>0</v>
      </c>
      <c r="ANF23" s="82" t="n">
        <v>0</v>
      </c>
      <c r="ANG23" s="82" t="n">
        <v>0</v>
      </c>
      <c r="ANH23" s="82" t="n">
        <v>0</v>
      </c>
      <c r="ANI23" s="82" t="n">
        <v>0</v>
      </c>
      <c r="ANJ23" s="82" t="n">
        <v>0</v>
      </c>
      <c r="ANK23" s="82" t="n">
        <v>0</v>
      </c>
      <c r="ANL23" s="82" t="n">
        <v>0</v>
      </c>
      <c r="ANM23" s="82" t="n">
        <v>0</v>
      </c>
      <c r="ANN23" s="82" t="n">
        <v>0</v>
      </c>
      <c r="ANO23" s="82" t="n">
        <v>0</v>
      </c>
      <c r="ANP23" s="82" t="n">
        <v>0</v>
      </c>
      <c r="ANQ23" s="82" t="n">
        <v>0</v>
      </c>
      <c r="ANR23" s="82" t="n">
        <v>0</v>
      </c>
      <c r="ANS23" s="82" t="n">
        <v>0</v>
      </c>
      <c r="ANT23" s="82" t="n">
        <v>0</v>
      </c>
      <c r="ANU23" s="82" t="n">
        <v>0</v>
      </c>
      <c r="ANV23" s="82" t="n">
        <v>0</v>
      </c>
      <c r="ANW23" s="82" t="n">
        <v>0</v>
      </c>
      <c r="ANX23" s="82" t="n">
        <v>0</v>
      </c>
      <c r="ANY23" s="82" t="n">
        <v>0</v>
      </c>
      <c r="ANZ23" s="82" t="n">
        <v>0</v>
      </c>
      <c r="AOA23" s="82" t="n">
        <v>0</v>
      </c>
      <c r="AOB23" s="82" t="n">
        <v>0</v>
      </c>
      <c r="AOC23" s="82" t="n">
        <v>0</v>
      </c>
    </row>
    <row r="24">
      <c r="B24" t="inlineStr">
        <is>
          <t>Uber</t>
        </is>
      </c>
      <c r="C24" s="52" t="n">
        <v>115000</v>
      </c>
      <c r="D24" s="52">
        <f>C24</f>
        <v/>
      </c>
      <c r="E24" s="52">
        <f>D24</f>
        <v/>
      </c>
      <c r="F24" s="52">
        <f>E24</f>
        <v/>
      </c>
      <c r="G24" s="52">
        <f>F24</f>
        <v/>
      </c>
      <c r="H24" s="52">
        <f>G24</f>
        <v/>
      </c>
      <c r="I24" s="52">
        <f>H24</f>
        <v/>
      </c>
      <c r="J24" s="52">
        <f>I24</f>
        <v/>
      </c>
      <c r="K24" s="52">
        <f>J24</f>
        <v/>
      </c>
      <c r="L24" s="52">
        <f>K24</f>
        <v/>
      </c>
      <c r="M24" s="52">
        <f>L24</f>
        <v/>
      </c>
      <c r="N24" s="52">
        <f>M24</f>
        <v/>
      </c>
      <c r="O24" s="52">
        <f>N24</f>
        <v/>
      </c>
      <c r="P24" s="52">
        <f>O24</f>
        <v/>
      </c>
      <c r="Q24" s="52">
        <f>P24</f>
        <v/>
      </c>
      <c r="R24" s="52">
        <f>Q24</f>
        <v/>
      </c>
      <c r="S24" s="52">
        <f>R24</f>
        <v/>
      </c>
      <c r="T24" s="52">
        <f>S24</f>
        <v/>
      </c>
      <c r="U24" s="52">
        <f>T24</f>
        <v/>
      </c>
      <c r="V24" s="52">
        <f>U24</f>
        <v/>
      </c>
      <c r="W24" s="52">
        <f>V24</f>
        <v/>
      </c>
      <c r="X24" s="52">
        <f>W24</f>
        <v/>
      </c>
      <c r="Y24" s="52">
        <f>X24</f>
        <v/>
      </c>
      <c r="Z24" s="52">
        <f>Y24</f>
        <v/>
      </c>
      <c r="AA24" s="52">
        <f>Z24</f>
        <v/>
      </c>
      <c r="AB24" s="52">
        <f>AA24</f>
        <v/>
      </c>
      <c r="AC24" s="52">
        <f>AB24</f>
        <v/>
      </c>
      <c r="AD24" s="52">
        <f>AC24</f>
        <v/>
      </c>
      <c r="AE24" s="52">
        <f>AD24</f>
        <v/>
      </c>
      <c r="AF24" s="52">
        <f>AE24</f>
        <v/>
      </c>
      <c r="AG24" s="52">
        <f>AF24</f>
        <v/>
      </c>
      <c r="AH24" s="98">
        <f>AG24</f>
        <v/>
      </c>
      <c r="AI24" s="82">
        <f>AG24</f>
        <v/>
      </c>
      <c r="AJ24" s="82">
        <f>AH24</f>
        <v/>
      </c>
      <c r="AK24" s="82">
        <f>AI24</f>
        <v/>
      </c>
      <c r="AL24" s="82">
        <f>AJ24</f>
        <v/>
      </c>
      <c r="AM24" s="82">
        <f>AK24</f>
        <v/>
      </c>
      <c r="AN24" s="82">
        <f>AL24</f>
        <v/>
      </c>
      <c r="AO24" s="82">
        <f>AM24</f>
        <v/>
      </c>
      <c r="AP24" s="82">
        <f>AN24</f>
        <v/>
      </c>
      <c r="AQ24" s="82">
        <f>AO24</f>
        <v/>
      </c>
      <c r="AR24" s="82">
        <f>AP24</f>
        <v/>
      </c>
      <c r="AS24" s="82">
        <f>AQ24</f>
        <v/>
      </c>
      <c r="AT24" s="82">
        <f>AR24</f>
        <v/>
      </c>
      <c r="AU24" s="82">
        <f>AS24</f>
        <v/>
      </c>
      <c r="AV24" s="82">
        <f>AT24</f>
        <v/>
      </c>
      <c r="AW24" s="82">
        <f>AU24</f>
        <v/>
      </c>
      <c r="AX24" s="82">
        <f>AV24</f>
        <v/>
      </c>
      <c r="AY24" s="82">
        <f>AW24</f>
        <v/>
      </c>
      <c r="AZ24" s="82">
        <f>AX24</f>
        <v/>
      </c>
      <c r="BA24" s="82">
        <f>AY24</f>
        <v/>
      </c>
      <c r="BB24" s="82">
        <f>AZ24</f>
        <v/>
      </c>
      <c r="BC24" s="82">
        <f>BA24</f>
        <v/>
      </c>
      <c r="BD24" s="82">
        <f>BB24</f>
        <v/>
      </c>
      <c r="BE24" s="82">
        <f>BC24</f>
        <v/>
      </c>
      <c r="BF24" s="82">
        <f>BD24</f>
        <v/>
      </c>
      <c r="BG24" s="82">
        <f>BE24</f>
        <v/>
      </c>
      <c r="BH24" s="82">
        <f>BF24</f>
        <v/>
      </c>
      <c r="BI24" s="82">
        <f>BG24</f>
        <v/>
      </c>
      <c r="BJ24" s="82">
        <f>BH24</f>
        <v/>
      </c>
      <c r="BK24" s="82">
        <f>BI24</f>
        <v/>
      </c>
      <c r="BL24" s="82">
        <f>BJ24</f>
        <v/>
      </c>
      <c r="BM24" s="106">
        <f>BL24</f>
        <v/>
      </c>
      <c r="BN24" s="82">
        <f>BL24</f>
        <v/>
      </c>
      <c r="BO24" s="82">
        <f>BM24</f>
        <v/>
      </c>
      <c r="BP24" s="82">
        <f>BN24</f>
        <v/>
      </c>
      <c r="BQ24" s="82">
        <f>BO24</f>
        <v/>
      </c>
      <c r="BR24" s="82">
        <f>BP24</f>
        <v/>
      </c>
      <c r="BS24" s="82">
        <f>BQ24</f>
        <v/>
      </c>
      <c r="BT24" s="82">
        <f>BR24</f>
        <v/>
      </c>
      <c r="BU24" s="82">
        <f>BS24</f>
        <v/>
      </c>
      <c r="BV24" s="82">
        <f>BT24</f>
        <v/>
      </c>
      <c r="BW24" s="82">
        <f>BU24</f>
        <v/>
      </c>
      <c r="BX24" s="82">
        <f>BV24</f>
        <v/>
      </c>
      <c r="BY24" s="82">
        <f>BW24</f>
        <v/>
      </c>
      <c r="BZ24" s="82">
        <f>BX24</f>
        <v/>
      </c>
      <c r="CA24" s="82">
        <f>BY24</f>
        <v/>
      </c>
      <c r="CB24" s="82">
        <f>BZ24</f>
        <v/>
      </c>
      <c r="CC24" s="82">
        <f>CA24</f>
        <v/>
      </c>
      <c r="CD24" s="82">
        <f>CB24</f>
        <v/>
      </c>
      <c r="CE24" s="82">
        <f>CC24</f>
        <v/>
      </c>
      <c r="CF24" s="82">
        <f>CD24</f>
        <v/>
      </c>
      <c r="CG24" s="82">
        <f>CE24</f>
        <v/>
      </c>
      <c r="CH24" s="82">
        <f>CF24</f>
        <v/>
      </c>
      <c r="CI24" s="82">
        <f>CG24</f>
        <v/>
      </c>
      <c r="CJ24" s="82">
        <f>CH24</f>
        <v/>
      </c>
      <c r="CK24" s="82">
        <f>CI24</f>
        <v/>
      </c>
      <c r="CL24" s="82">
        <f>CJ24</f>
        <v/>
      </c>
      <c r="CM24" s="82">
        <f>CK24</f>
        <v/>
      </c>
      <c r="CN24" s="82">
        <f>CL24</f>
        <v/>
      </c>
      <c r="CO24" s="82">
        <f>CM24</f>
        <v/>
      </c>
      <c r="CP24" s="82">
        <f>CN24</f>
        <v/>
      </c>
      <c r="CQ24" s="82">
        <f>CO24</f>
        <v/>
      </c>
      <c r="CR24" s="82">
        <f>CP24</f>
        <v/>
      </c>
      <c r="CT24" s="82">
        <f>CR24</f>
        <v/>
      </c>
      <c r="CU24" s="82">
        <f>CT24</f>
        <v/>
      </c>
      <c r="CV24" s="82">
        <f>CT24</f>
        <v/>
      </c>
      <c r="CW24" s="82">
        <f>CU24</f>
        <v/>
      </c>
      <c r="CX24" s="82">
        <f>CV24</f>
        <v/>
      </c>
      <c r="CY24" s="82">
        <f>CW24</f>
        <v/>
      </c>
      <c r="CZ24" s="82">
        <f>CX24</f>
        <v/>
      </c>
      <c r="DA24" s="82">
        <f>CY24</f>
        <v/>
      </c>
      <c r="DB24" s="82">
        <f>CZ24</f>
        <v/>
      </c>
      <c r="DC24" s="82">
        <f>DA24</f>
        <v/>
      </c>
      <c r="DD24" s="82">
        <f>DB24</f>
        <v/>
      </c>
      <c r="DE24" s="82">
        <f>DC24</f>
        <v/>
      </c>
      <c r="DF24" s="82">
        <f>DD24</f>
        <v/>
      </c>
      <c r="DG24" s="82">
        <f>DE24</f>
        <v/>
      </c>
      <c r="DH24" s="82">
        <f>DF24</f>
        <v/>
      </c>
      <c r="DI24" s="82">
        <f>DG24</f>
        <v/>
      </c>
      <c r="DJ24" s="82">
        <f>DH24</f>
        <v/>
      </c>
      <c r="DK24" s="82">
        <f>DI24</f>
        <v/>
      </c>
      <c r="DL24" s="82">
        <f>DJ24</f>
        <v/>
      </c>
      <c r="DM24" s="82">
        <f>DK24</f>
        <v/>
      </c>
      <c r="DN24" s="82">
        <f>DL24</f>
        <v/>
      </c>
      <c r="DO24" s="82">
        <f>DM24</f>
        <v/>
      </c>
      <c r="DP24" s="82">
        <f>DN24</f>
        <v/>
      </c>
      <c r="DQ24" s="82">
        <f>DO24</f>
        <v/>
      </c>
      <c r="DR24" s="82">
        <f>DP24</f>
        <v/>
      </c>
      <c r="DS24" s="82">
        <f>DQ24</f>
        <v/>
      </c>
      <c r="DT24" s="82">
        <f>DR24</f>
        <v/>
      </c>
      <c r="DU24" s="82">
        <f>DS24</f>
        <v/>
      </c>
      <c r="DV24" s="82">
        <f>DT24</f>
        <v/>
      </c>
      <c r="DW24" s="82">
        <f>DU24</f>
        <v/>
      </c>
      <c r="DX24" s="117" t="n"/>
      <c r="DY24" s="82">
        <f>DW24</f>
        <v/>
      </c>
      <c r="DZ24" s="82">
        <f>DY24</f>
        <v/>
      </c>
      <c r="EA24" s="82">
        <f>DY24</f>
        <v/>
      </c>
      <c r="EB24" s="82">
        <f>DZ24</f>
        <v/>
      </c>
      <c r="EC24" s="82">
        <f>EA24</f>
        <v/>
      </c>
      <c r="ED24" s="82">
        <f>EB24</f>
        <v/>
      </c>
      <c r="EE24" s="82">
        <f>EC24</f>
        <v/>
      </c>
      <c r="EF24" s="82">
        <f>ED24</f>
        <v/>
      </c>
      <c r="EG24" s="82">
        <f>EE24</f>
        <v/>
      </c>
      <c r="EH24" s="82">
        <f>EF24</f>
        <v/>
      </c>
      <c r="EI24" s="82">
        <f>EG24</f>
        <v/>
      </c>
      <c r="EJ24" s="82">
        <f>EH24</f>
        <v/>
      </c>
      <c r="EK24" s="82">
        <f>EI24</f>
        <v/>
      </c>
      <c r="EL24" s="82">
        <f>EJ24</f>
        <v/>
      </c>
      <c r="EM24" s="82">
        <f>EK24</f>
        <v/>
      </c>
      <c r="EN24" s="82">
        <f>EL24</f>
        <v/>
      </c>
      <c r="EO24" s="82">
        <f>EM24</f>
        <v/>
      </c>
      <c r="EP24" s="82">
        <f>EN24</f>
        <v/>
      </c>
      <c r="EQ24" s="82">
        <f>EO24</f>
        <v/>
      </c>
      <c r="ER24" s="82">
        <f>EP24</f>
        <v/>
      </c>
      <c r="ES24" s="82">
        <f>EQ24</f>
        <v/>
      </c>
      <c r="ET24" s="82">
        <f>ER24</f>
        <v/>
      </c>
      <c r="EU24" s="82">
        <f>ES24</f>
        <v/>
      </c>
      <c r="EV24" s="82">
        <f>ET24</f>
        <v/>
      </c>
      <c r="EW24" s="82">
        <f>EU24</f>
        <v/>
      </c>
      <c r="EX24" s="82">
        <f>EV24</f>
        <v/>
      </c>
      <c r="EY24" s="82">
        <f>EW24</f>
        <v/>
      </c>
      <c r="EZ24" s="82">
        <f>EX24</f>
        <v/>
      </c>
      <c r="FA24" s="82">
        <f>EY24</f>
        <v/>
      </c>
      <c r="FB24" s="82">
        <f>EZ24</f>
        <v/>
      </c>
      <c r="FC24" s="82">
        <f>FA24</f>
        <v/>
      </c>
      <c r="FD24" s="126" t="n"/>
      <c r="FE24" s="82">
        <f>FC24</f>
        <v/>
      </c>
      <c r="FF24" s="82">
        <f>FE24</f>
        <v/>
      </c>
      <c r="FG24" s="82">
        <f>FE24</f>
        <v/>
      </c>
      <c r="FH24" s="82">
        <f>FF24</f>
        <v/>
      </c>
      <c r="FI24" s="82">
        <f>FG24</f>
        <v/>
      </c>
      <c r="FJ24" s="82">
        <f>FH24</f>
        <v/>
      </c>
      <c r="FK24" s="82">
        <f>FI24</f>
        <v/>
      </c>
      <c r="FL24" s="82">
        <f>FJ24</f>
        <v/>
      </c>
      <c r="FM24" s="82">
        <f>FK24</f>
        <v/>
      </c>
      <c r="FN24" s="82">
        <f>FL24</f>
        <v/>
      </c>
      <c r="FO24" s="82">
        <f>FM24</f>
        <v/>
      </c>
      <c r="FP24" s="82">
        <f>FN24</f>
        <v/>
      </c>
      <c r="FQ24" s="82">
        <f>FO24</f>
        <v/>
      </c>
      <c r="FR24" s="82">
        <f>FP24</f>
        <v/>
      </c>
      <c r="FS24" s="82">
        <f>FQ24</f>
        <v/>
      </c>
      <c r="FT24" s="82">
        <f>FR24</f>
        <v/>
      </c>
      <c r="FU24" s="82">
        <f>FS24</f>
        <v/>
      </c>
      <c r="FV24" s="82">
        <f>FT24</f>
        <v/>
      </c>
      <c r="FW24" s="82">
        <f>FU24</f>
        <v/>
      </c>
      <c r="FX24" s="82">
        <f>FV24</f>
        <v/>
      </c>
      <c r="FY24" s="82">
        <f>FW24</f>
        <v/>
      </c>
      <c r="FZ24" s="82">
        <f>FX24</f>
        <v/>
      </c>
      <c r="GA24" s="82">
        <f>FY24</f>
        <v/>
      </c>
      <c r="GB24" s="82">
        <f>FZ24</f>
        <v/>
      </c>
      <c r="GC24" s="82">
        <f>GA24</f>
        <v/>
      </c>
      <c r="GD24" s="82">
        <f>GB24</f>
        <v/>
      </c>
      <c r="GE24" s="82">
        <f>GC24</f>
        <v/>
      </c>
      <c r="GF24" s="82">
        <f>GD24</f>
        <v/>
      </c>
      <c r="GG24" s="82">
        <f>GE24</f>
        <v/>
      </c>
      <c r="GH24" s="82">
        <f>GF24</f>
        <v/>
      </c>
      <c r="GI24" s="82">
        <f>GG24</f>
        <v/>
      </c>
      <c r="GJ24" s="130" t="n"/>
      <c r="GK24" s="82">
        <f>GI24</f>
        <v/>
      </c>
      <c r="GL24" s="82">
        <f>GK24</f>
        <v/>
      </c>
      <c r="GM24" s="82">
        <f>GK24</f>
        <v/>
      </c>
      <c r="GN24" s="82">
        <f>GL24</f>
        <v/>
      </c>
      <c r="GO24" s="82">
        <f>GM24</f>
        <v/>
      </c>
      <c r="GP24" s="82">
        <f>GN24</f>
        <v/>
      </c>
      <c r="GQ24" s="82">
        <f>GO24</f>
        <v/>
      </c>
      <c r="GR24" s="82">
        <f>GP24</f>
        <v/>
      </c>
      <c r="GS24" s="82">
        <f>GQ24</f>
        <v/>
      </c>
      <c r="GT24" s="82">
        <f>GR24</f>
        <v/>
      </c>
      <c r="GU24" s="82">
        <f>GS24</f>
        <v/>
      </c>
      <c r="GV24" s="82">
        <f>GT24</f>
        <v/>
      </c>
      <c r="GW24" s="82">
        <f>GU24</f>
        <v/>
      </c>
      <c r="GX24" s="82">
        <f>GV24</f>
        <v/>
      </c>
      <c r="GY24" s="82">
        <f>GW24</f>
        <v/>
      </c>
      <c r="GZ24" s="82">
        <f>GX24</f>
        <v/>
      </c>
      <c r="HA24" s="82">
        <f>GY24</f>
        <v/>
      </c>
      <c r="HB24" s="82">
        <f>GZ24</f>
        <v/>
      </c>
      <c r="HC24" s="82">
        <f>HA24</f>
        <v/>
      </c>
      <c r="HD24" s="82">
        <f>HB24</f>
        <v/>
      </c>
      <c r="HE24" s="82">
        <f>HC24</f>
        <v/>
      </c>
      <c r="HF24" s="82">
        <f>HD24</f>
        <v/>
      </c>
      <c r="HG24" s="82">
        <f>HE24</f>
        <v/>
      </c>
      <c r="HH24" s="82">
        <f>HF24</f>
        <v/>
      </c>
      <c r="HI24" s="82">
        <f>HG24</f>
        <v/>
      </c>
      <c r="HJ24" s="82">
        <f>HH24</f>
        <v/>
      </c>
      <c r="HK24" s="82">
        <f>HI24</f>
        <v/>
      </c>
      <c r="HL24" s="82">
        <f>HJ24</f>
        <v/>
      </c>
      <c r="HM24" s="82">
        <f>HK24</f>
        <v/>
      </c>
      <c r="HN24" s="130" t="n"/>
      <c r="HO24" s="82">
        <f>HM24</f>
        <v/>
      </c>
      <c r="HP24" s="82">
        <f>HO24</f>
        <v/>
      </c>
      <c r="HQ24" s="82">
        <f>HO24</f>
        <v/>
      </c>
      <c r="HR24" s="82">
        <f>HP24</f>
        <v/>
      </c>
      <c r="HS24" s="82">
        <f>HQ24</f>
        <v/>
      </c>
      <c r="HT24" s="82">
        <f>HR24</f>
        <v/>
      </c>
      <c r="HU24" s="82">
        <f>HS24</f>
        <v/>
      </c>
      <c r="HV24" s="82">
        <f>HT24</f>
        <v/>
      </c>
      <c r="HW24" s="82">
        <f>HU24</f>
        <v/>
      </c>
      <c r="HX24" s="82">
        <f>HV24</f>
        <v/>
      </c>
      <c r="HY24" s="82">
        <f>HW24</f>
        <v/>
      </c>
      <c r="HZ24" s="82">
        <f>HX24</f>
        <v/>
      </c>
      <c r="IA24" s="82">
        <f>HY24</f>
        <v/>
      </c>
      <c r="IB24" s="82">
        <f>HZ24</f>
        <v/>
      </c>
      <c r="IC24" s="82">
        <f>IA24</f>
        <v/>
      </c>
      <c r="ID24" s="82">
        <f>IB24</f>
        <v/>
      </c>
      <c r="IE24" s="82">
        <f>IC24</f>
        <v/>
      </c>
      <c r="IF24" s="82">
        <f>ID24</f>
        <v/>
      </c>
      <c r="IG24" s="82">
        <f>IE24</f>
        <v/>
      </c>
      <c r="IH24" s="82">
        <f>IF24</f>
        <v/>
      </c>
      <c r="II24" s="82">
        <f>IG24</f>
        <v/>
      </c>
      <c r="IJ24" s="82">
        <f>IH24</f>
        <v/>
      </c>
      <c r="IK24" s="82">
        <f>II24</f>
        <v/>
      </c>
      <c r="IL24" s="82">
        <f>IJ24</f>
        <v/>
      </c>
      <c r="IM24" s="82">
        <f>IK24</f>
        <v/>
      </c>
      <c r="IN24" s="82">
        <f>IL24</f>
        <v/>
      </c>
      <c r="IO24" s="82">
        <f>IM24</f>
        <v/>
      </c>
      <c r="IP24" s="82">
        <f>IN24</f>
        <v/>
      </c>
      <c r="IQ24" s="82">
        <f>IO24</f>
        <v/>
      </c>
      <c r="IR24" s="82">
        <f>IP24</f>
        <v/>
      </c>
      <c r="IS24" s="82">
        <f>IQ24</f>
        <v/>
      </c>
      <c r="IT24" s="130" t="n"/>
      <c r="IU24" s="82">
        <f>IS24</f>
        <v/>
      </c>
      <c r="IV24" s="82">
        <f>IU24</f>
        <v/>
      </c>
      <c r="IW24" s="82">
        <f>IV24</f>
        <v/>
      </c>
      <c r="IX24" s="82">
        <f>IW24</f>
        <v/>
      </c>
      <c r="IY24" s="82">
        <f>IX24</f>
        <v/>
      </c>
      <c r="IZ24" s="82">
        <f>IY24</f>
        <v/>
      </c>
      <c r="JA24" s="82">
        <f>IZ24</f>
        <v/>
      </c>
      <c r="JB24" s="82">
        <f>JA24</f>
        <v/>
      </c>
      <c r="JC24" s="82">
        <f>JB24</f>
        <v/>
      </c>
      <c r="JD24" s="82">
        <f>JC24</f>
        <v/>
      </c>
      <c r="JE24" s="82">
        <f>JD24</f>
        <v/>
      </c>
      <c r="JF24" s="82">
        <f>JE24</f>
        <v/>
      </c>
      <c r="JG24" s="82">
        <f>JF24</f>
        <v/>
      </c>
      <c r="JH24" s="82">
        <f>JG24</f>
        <v/>
      </c>
      <c r="JI24" s="82">
        <f>JH24</f>
        <v/>
      </c>
      <c r="JJ24" s="82">
        <f>JI24</f>
        <v/>
      </c>
      <c r="JK24" s="82">
        <f>JJ24</f>
        <v/>
      </c>
      <c r="JL24" s="82">
        <f>JK24</f>
        <v/>
      </c>
      <c r="JM24" s="82">
        <f>JL24</f>
        <v/>
      </c>
      <c r="JN24" s="82">
        <f>JM24</f>
        <v/>
      </c>
      <c r="JO24" s="82">
        <f>JN24</f>
        <v/>
      </c>
      <c r="JP24" s="82">
        <f>JO24</f>
        <v/>
      </c>
      <c r="JQ24" s="82">
        <f>JP24</f>
        <v/>
      </c>
      <c r="JR24" s="82">
        <f>JQ24</f>
        <v/>
      </c>
      <c r="JS24" s="82">
        <f>JR24</f>
        <v/>
      </c>
      <c r="JT24" s="82">
        <f>JS24</f>
        <v/>
      </c>
      <c r="JU24" s="82">
        <f>JT24</f>
        <v/>
      </c>
      <c r="JV24" s="82">
        <f>JU24</f>
        <v/>
      </c>
      <c r="JW24" s="82">
        <f>JV24</f>
        <v/>
      </c>
      <c r="JX24" s="82">
        <f>JW24</f>
        <v/>
      </c>
      <c r="JY24" s="133" t="n"/>
      <c r="JZ24" s="82">
        <f>JX24</f>
        <v/>
      </c>
      <c r="KA24" s="82">
        <f>JZ24</f>
        <v/>
      </c>
      <c r="KB24" s="82">
        <f>JZ24</f>
        <v/>
      </c>
      <c r="KC24" s="82">
        <f>KA24</f>
        <v/>
      </c>
      <c r="KD24" s="82">
        <f>KB24</f>
        <v/>
      </c>
      <c r="KE24" s="82">
        <f>KC24</f>
        <v/>
      </c>
      <c r="KF24" s="82">
        <f>KD24</f>
        <v/>
      </c>
      <c r="KG24" s="82">
        <f>KE24</f>
        <v/>
      </c>
      <c r="KH24" s="82">
        <f>KF24</f>
        <v/>
      </c>
      <c r="KI24" s="82">
        <f>KG24</f>
        <v/>
      </c>
      <c r="KJ24" s="82">
        <f>KH24</f>
        <v/>
      </c>
      <c r="KK24" s="82">
        <f>KI24</f>
        <v/>
      </c>
      <c r="KL24" s="82">
        <f>KJ24</f>
        <v/>
      </c>
      <c r="KM24" s="82">
        <f>KK24</f>
        <v/>
      </c>
      <c r="KN24" s="82">
        <f>KL24</f>
        <v/>
      </c>
      <c r="KO24" s="82">
        <f>KM24</f>
        <v/>
      </c>
      <c r="KP24" s="82">
        <f>KN24</f>
        <v/>
      </c>
      <c r="KQ24" s="82">
        <f>KO24</f>
        <v/>
      </c>
      <c r="KR24" s="82">
        <f>KP24</f>
        <v/>
      </c>
      <c r="KS24" s="82">
        <f>KQ24</f>
        <v/>
      </c>
      <c r="KT24" s="82">
        <f>KR24</f>
        <v/>
      </c>
      <c r="KU24" s="82">
        <f>KS24</f>
        <v/>
      </c>
      <c r="KV24" s="82">
        <f>KT24</f>
        <v/>
      </c>
      <c r="KW24" s="82">
        <f>KU24</f>
        <v/>
      </c>
      <c r="KX24" s="82">
        <f>KV24</f>
        <v/>
      </c>
      <c r="KY24" s="82">
        <f>KW24</f>
        <v/>
      </c>
      <c r="KZ24" s="82">
        <f>KX24</f>
        <v/>
      </c>
      <c r="LA24" s="82">
        <f>KY24</f>
        <v/>
      </c>
      <c r="LB24" s="82">
        <f>KZ24</f>
        <v/>
      </c>
      <c r="LC24" s="82">
        <f>LA24</f>
        <v/>
      </c>
      <c r="LD24" s="82">
        <f>LB24</f>
        <v/>
      </c>
      <c r="LE24" s="130" t="n"/>
      <c r="LF24" s="82">
        <f>LD24</f>
        <v/>
      </c>
      <c r="LG24" s="82">
        <f>LF24</f>
        <v/>
      </c>
      <c r="LH24" s="82">
        <f>LG24</f>
        <v/>
      </c>
      <c r="LI24" s="82">
        <f>LH24</f>
        <v/>
      </c>
      <c r="LJ24" s="82">
        <f>LI24</f>
        <v/>
      </c>
      <c r="LK24" s="82">
        <f>LJ24</f>
        <v/>
      </c>
      <c r="LL24" s="82">
        <f>LK24</f>
        <v/>
      </c>
      <c r="LM24" s="82">
        <f>LL24</f>
        <v/>
      </c>
      <c r="LN24" s="82">
        <f>LM24</f>
        <v/>
      </c>
      <c r="LO24" s="82">
        <f>LN24</f>
        <v/>
      </c>
      <c r="LP24" s="82">
        <f>LO24</f>
        <v/>
      </c>
      <c r="LQ24" s="82">
        <f>LP24</f>
        <v/>
      </c>
      <c r="LR24" s="82">
        <f>LQ24</f>
        <v/>
      </c>
      <c r="LS24" s="82">
        <f>LR24</f>
        <v/>
      </c>
      <c r="LT24" s="82">
        <f>LS24</f>
        <v/>
      </c>
      <c r="LU24" s="82">
        <f>LT24</f>
        <v/>
      </c>
      <c r="LV24" s="82">
        <f>LU24</f>
        <v/>
      </c>
      <c r="LW24" s="82">
        <f>LV24</f>
        <v/>
      </c>
      <c r="LX24" s="82">
        <f>LW24</f>
        <v/>
      </c>
      <c r="LY24" s="82">
        <f>LX24</f>
        <v/>
      </c>
      <c r="LZ24" s="82">
        <f>LY24</f>
        <v/>
      </c>
      <c r="MA24" s="82">
        <f>LZ24</f>
        <v/>
      </c>
      <c r="MB24" s="82">
        <f>MA24</f>
        <v/>
      </c>
      <c r="MC24" s="82">
        <f>MB24</f>
        <v/>
      </c>
      <c r="MD24" s="82">
        <f>MC24</f>
        <v/>
      </c>
      <c r="ME24" s="82">
        <f>MD24</f>
        <v/>
      </c>
      <c r="MF24" s="82">
        <f>ME24</f>
        <v/>
      </c>
      <c r="MG24" s="82">
        <f>MF24</f>
        <v/>
      </c>
      <c r="MH24" s="82">
        <f>MG24</f>
        <v/>
      </c>
      <c r="MI24" s="82">
        <f>MH24</f>
        <v/>
      </c>
      <c r="MJ24" s="133" t="n"/>
      <c r="MK24" s="82">
        <f>MI24</f>
        <v/>
      </c>
      <c r="ML24" s="82">
        <f>MK24</f>
        <v/>
      </c>
      <c r="MM24" s="82">
        <f>MK24</f>
        <v/>
      </c>
      <c r="MN24" s="82">
        <f>ML24</f>
        <v/>
      </c>
      <c r="MO24" s="82">
        <f>MM24</f>
        <v/>
      </c>
      <c r="MP24" s="82">
        <f>MN24</f>
        <v/>
      </c>
      <c r="MQ24" s="82">
        <f>MO24</f>
        <v/>
      </c>
      <c r="MR24" s="82">
        <f>MP24</f>
        <v/>
      </c>
      <c r="MS24" s="82">
        <f>MQ24</f>
        <v/>
      </c>
      <c r="MT24" s="82">
        <f>MR24</f>
        <v/>
      </c>
      <c r="MU24" s="82">
        <f>MS24</f>
        <v/>
      </c>
      <c r="MV24" s="82">
        <f>MT24</f>
        <v/>
      </c>
      <c r="MW24" s="82">
        <f>MU24</f>
        <v/>
      </c>
      <c r="MX24" s="82">
        <f>MV24</f>
        <v/>
      </c>
      <c r="MY24" s="82">
        <f>MW24</f>
        <v/>
      </c>
      <c r="MZ24" s="82">
        <f>MX24</f>
        <v/>
      </c>
      <c r="NA24" s="82">
        <f>MY24</f>
        <v/>
      </c>
      <c r="NB24" s="82">
        <f>MZ24</f>
        <v/>
      </c>
      <c r="NC24" s="82">
        <f>NA24</f>
        <v/>
      </c>
      <c r="ND24" s="82">
        <f>NB24</f>
        <v/>
      </c>
      <c r="NE24" s="82">
        <f>NC24</f>
        <v/>
      </c>
      <c r="NF24" s="82">
        <f>ND24</f>
        <v/>
      </c>
      <c r="NG24" s="82">
        <f>NE24</f>
        <v/>
      </c>
      <c r="NH24" s="82">
        <f>NF24</f>
        <v/>
      </c>
      <c r="NI24" s="82">
        <f>NG24</f>
        <v/>
      </c>
      <c r="NJ24" s="82">
        <f>NH24</f>
        <v/>
      </c>
      <c r="NK24" s="82">
        <f>NI24</f>
        <v/>
      </c>
      <c r="NL24" s="82">
        <f>NJ24</f>
        <v/>
      </c>
      <c r="NM24" s="82">
        <f>NK24</f>
        <v/>
      </c>
      <c r="NN24" s="82">
        <f>NL24</f>
        <v/>
      </c>
      <c r="NO24" s="82">
        <f>NM24</f>
        <v/>
      </c>
      <c r="NP24" s="133" t="n"/>
      <c r="NQ24" s="82">
        <f>NO24</f>
        <v/>
      </c>
      <c r="NR24" s="82">
        <f>NQ24</f>
        <v/>
      </c>
      <c r="NS24" s="82">
        <f>NQ24</f>
        <v/>
      </c>
      <c r="NT24" s="82">
        <f>NR24</f>
        <v/>
      </c>
      <c r="NU24" s="82">
        <f>NS24</f>
        <v/>
      </c>
      <c r="NV24" s="82">
        <f>NT24</f>
        <v/>
      </c>
      <c r="NW24" s="82">
        <f>NU24</f>
        <v/>
      </c>
      <c r="NX24" s="82">
        <f>NV24</f>
        <v/>
      </c>
      <c r="NY24" s="82">
        <f>NW24</f>
        <v/>
      </c>
      <c r="NZ24" s="82">
        <f>NX24</f>
        <v/>
      </c>
      <c r="OA24" s="82">
        <f>NY24</f>
        <v/>
      </c>
      <c r="OB24" s="82">
        <f>NZ24</f>
        <v/>
      </c>
      <c r="OC24" s="82">
        <f>OA24</f>
        <v/>
      </c>
      <c r="OD24" s="82">
        <f>OB24</f>
        <v/>
      </c>
      <c r="OE24" s="82">
        <f>OC24</f>
        <v/>
      </c>
      <c r="OF24" s="82">
        <f>OD24</f>
        <v/>
      </c>
      <c r="OG24" s="82">
        <f>OE24</f>
        <v/>
      </c>
      <c r="OH24" s="82">
        <f>OF24</f>
        <v/>
      </c>
      <c r="OI24" s="82">
        <f>OG24</f>
        <v/>
      </c>
      <c r="OJ24" s="82">
        <f>OH24</f>
        <v/>
      </c>
      <c r="OK24" s="82">
        <f>OI24</f>
        <v/>
      </c>
      <c r="OL24" s="82">
        <f>OJ24</f>
        <v/>
      </c>
      <c r="OM24" s="82">
        <f>OK24</f>
        <v/>
      </c>
      <c r="ON24" s="82">
        <f>OL24</f>
        <v/>
      </c>
      <c r="OO24" s="82">
        <f>OM24</f>
        <v/>
      </c>
      <c r="OP24" s="82">
        <f>ON24</f>
        <v/>
      </c>
      <c r="OQ24" s="82">
        <f>OO24</f>
        <v/>
      </c>
      <c r="OR24" s="82">
        <f>OP24</f>
        <v/>
      </c>
      <c r="OS24" s="82">
        <f>OQ24</f>
        <v/>
      </c>
      <c r="OT24" s="82">
        <f>OR24</f>
        <v/>
      </c>
      <c r="OU24" s="82">
        <f>OS24</f>
        <v/>
      </c>
      <c r="OV24" s="130" t="n"/>
      <c r="OW24" s="82" t="n">
        <v>0</v>
      </c>
      <c r="OX24" s="82" t="n">
        <v>0</v>
      </c>
      <c r="OY24" s="82" t="n">
        <v>0</v>
      </c>
      <c r="OZ24" s="82" t="n">
        <v>0</v>
      </c>
      <c r="PA24" s="82" t="n">
        <v>0</v>
      </c>
      <c r="PB24" s="82" t="n">
        <v>0</v>
      </c>
      <c r="PC24" s="82" t="n">
        <v>0</v>
      </c>
      <c r="PD24" s="82" t="n">
        <v>0</v>
      </c>
      <c r="PE24" s="82" t="n">
        <v>0</v>
      </c>
      <c r="PF24" s="82" t="n">
        <v>0</v>
      </c>
      <c r="PG24" s="82" t="n">
        <v>0</v>
      </c>
      <c r="PH24" s="82" t="n">
        <v>0</v>
      </c>
      <c r="PI24" s="82" t="n">
        <v>0</v>
      </c>
      <c r="PJ24" s="82" t="n">
        <v>0</v>
      </c>
      <c r="PK24" s="82" t="n">
        <v>0</v>
      </c>
      <c r="PL24" s="82" t="n">
        <v>0</v>
      </c>
      <c r="PM24" s="82" t="n">
        <v>0</v>
      </c>
      <c r="PN24" s="82" t="n">
        <v>0</v>
      </c>
      <c r="PO24" s="82" t="n">
        <v>0</v>
      </c>
      <c r="PP24" s="82" t="n">
        <v>0</v>
      </c>
      <c r="PQ24" s="82" t="n">
        <v>0</v>
      </c>
      <c r="PR24" s="82" t="n">
        <v>0</v>
      </c>
      <c r="PS24" s="82" t="n">
        <v>0</v>
      </c>
      <c r="PT24" s="82" t="n">
        <v>0</v>
      </c>
      <c r="PU24" s="82" t="n">
        <v>0</v>
      </c>
      <c r="PV24" s="82" t="n">
        <v>0</v>
      </c>
      <c r="PW24" s="82" t="n">
        <v>0</v>
      </c>
      <c r="PX24" s="82" t="n">
        <v>0</v>
      </c>
      <c r="PY24" s="82" t="n">
        <v>0</v>
      </c>
      <c r="PZ24" s="82" t="n">
        <v>0</v>
      </c>
      <c r="QA24" s="130" t="n"/>
      <c r="QB24" s="82" t="n">
        <v>0</v>
      </c>
      <c r="QC24" s="82" t="n">
        <v>0</v>
      </c>
      <c r="QD24" s="82" t="n">
        <v>0</v>
      </c>
      <c r="QE24" s="82" t="n">
        <v>0</v>
      </c>
      <c r="QF24" s="82" t="n">
        <v>0</v>
      </c>
      <c r="QG24" s="82" t="n">
        <v>0</v>
      </c>
      <c r="QH24" s="82" t="n">
        <v>0</v>
      </c>
      <c r="QI24" s="82" t="n">
        <v>0</v>
      </c>
      <c r="QJ24" s="82" t="n">
        <v>0</v>
      </c>
      <c r="QK24" s="82" t="n">
        <v>0</v>
      </c>
      <c r="QL24" s="82" t="n">
        <v>0</v>
      </c>
      <c r="QM24" s="82" t="n">
        <v>0</v>
      </c>
      <c r="QN24" s="82" t="n">
        <v>0</v>
      </c>
      <c r="QO24" s="82" t="n">
        <v>0</v>
      </c>
      <c r="QP24" s="82" t="n">
        <v>0</v>
      </c>
      <c r="QQ24" s="82" t="n">
        <v>0</v>
      </c>
      <c r="QR24" s="82" t="n">
        <v>0</v>
      </c>
      <c r="QS24" s="82" t="n">
        <v>0</v>
      </c>
      <c r="QT24" s="82" t="n">
        <v>0</v>
      </c>
      <c r="QU24" s="82" t="n">
        <v>0</v>
      </c>
      <c r="QV24" s="82" t="n">
        <v>0</v>
      </c>
      <c r="QW24" s="82" t="n">
        <v>0</v>
      </c>
      <c r="QX24" s="82" t="n">
        <v>0</v>
      </c>
      <c r="QY24" s="82" t="n">
        <v>0</v>
      </c>
      <c r="QZ24" s="82" t="n">
        <v>0</v>
      </c>
      <c r="RA24" s="82" t="n">
        <v>0</v>
      </c>
      <c r="RB24" s="82" t="n">
        <v>0</v>
      </c>
      <c r="RC24" s="82" t="n">
        <v>0</v>
      </c>
      <c r="RD24" s="82" t="n">
        <v>0</v>
      </c>
      <c r="RE24" s="82" t="n">
        <v>0</v>
      </c>
      <c r="RF24" s="82" t="n">
        <v>0</v>
      </c>
      <c r="RG24" s="130" t="n"/>
      <c r="RH24" s="82" t="n">
        <v>0</v>
      </c>
      <c r="RI24" s="82" t="n">
        <v>0</v>
      </c>
      <c r="RJ24" s="82" t="n">
        <v>0</v>
      </c>
      <c r="RK24" s="82" t="n">
        <v>0</v>
      </c>
      <c r="RL24" s="82" t="n">
        <v>0</v>
      </c>
      <c r="RM24" s="82" t="n">
        <v>0</v>
      </c>
      <c r="RN24" s="82" t="n">
        <v>0</v>
      </c>
      <c r="RO24" s="82" t="n">
        <v>0</v>
      </c>
      <c r="RP24" s="82" t="n">
        <v>0</v>
      </c>
      <c r="RQ24" s="82" t="n">
        <v>0</v>
      </c>
      <c r="RR24" s="82" t="n">
        <v>0</v>
      </c>
      <c r="RS24" s="82" t="n">
        <v>0</v>
      </c>
      <c r="RT24" s="82" t="n">
        <v>0</v>
      </c>
      <c r="RU24" s="82" t="n">
        <v>0</v>
      </c>
      <c r="RV24" s="82" t="n">
        <v>0</v>
      </c>
      <c r="RW24" s="82" t="n">
        <v>0</v>
      </c>
      <c r="RX24" s="82" t="n">
        <v>0</v>
      </c>
      <c r="RY24" s="82" t="n">
        <v>0</v>
      </c>
      <c r="RZ24" s="82" t="n">
        <v>0</v>
      </c>
      <c r="SA24" s="82" t="n">
        <v>0</v>
      </c>
      <c r="SB24" s="82" t="n">
        <v>0</v>
      </c>
      <c r="SC24" s="82" t="n">
        <v>0</v>
      </c>
      <c r="SD24" s="82" t="n">
        <v>0</v>
      </c>
      <c r="SE24" s="82" t="n">
        <v>0</v>
      </c>
      <c r="SF24" s="82" t="n">
        <v>0</v>
      </c>
      <c r="SG24" s="82" t="n">
        <v>0</v>
      </c>
      <c r="SH24" s="82" t="n">
        <v>0</v>
      </c>
      <c r="SI24" s="82" t="n">
        <v>0</v>
      </c>
      <c r="SJ24" s="82" t="n">
        <v>0</v>
      </c>
      <c r="SK24" s="82" t="n">
        <v>0</v>
      </c>
      <c r="SL24" s="130" t="n"/>
      <c r="SM24" s="82" t="n">
        <v>0</v>
      </c>
      <c r="SN24" s="82" t="n">
        <v>0</v>
      </c>
      <c r="SO24" s="82" t="n">
        <v>0</v>
      </c>
      <c r="SP24" s="82" t="n">
        <v>0</v>
      </c>
      <c r="SQ24" s="82" t="n">
        <v>0</v>
      </c>
      <c r="SR24" s="82" t="n">
        <v>0</v>
      </c>
      <c r="SS24" s="82" t="n">
        <v>0</v>
      </c>
      <c r="ST24" s="82" t="n">
        <v>0</v>
      </c>
      <c r="SU24" s="82" t="n">
        <v>0</v>
      </c>
      <c r="SV24" s="82" t="n">
        <v>0</v>
      </c>
      <c r="SW24" s="82" t="n">
        <v>0</v>
      </c>
      <c r="SX24" s="82" t="n">
        <v>0</v>
      </c>
      <c r="SY24" s="82" t="n">
        <v>0</v>
      </c>
      <c r="SZ24" s="82" t="n">
        <v>0</v>
      </c>
      <c r="TA24" s="82" t="n">
        <v>0</v>
      </c>
      <c r="TB24" s="82" t="n">
        <v>0</v>
      </c>
      <c r="TC24" s="82" t="n">
        <v>0</v>
      </c>
      <c r="TD24" s="82" t="n">
        <v>0</v>
      </c>
      <c r="TE24" s="82" t="n">
        <v>0</v>
      </c>
      <c r="TF24" s="82" t="n">
        <v>0</v>
      </c>
      <c r="TG24" s="82" t="n">
        <v>0</v>
      </c>
      <c r="TH24" s="82" t="n">
        <v>0</v>
      </c>
      <c r="TI24" s="82" t="n">
        <v>0</v>
      </c>
      <c r="TJ24" s="82" t="n">
        <v>0</v>
      </c>
      <c r="TK24" s="82" t="n">
        <v>0</v>
      </c>
      <c r="TL24" s="82" t="n">
        <v>0</v>
      </c>
      <c r="TM24" s="82" t="n">
        <v>0</v>
      </c>
      <c r="TN24" s="82" t="n">
        <v>0</v>
      </c>
      <c r="TO24" s="82" t="n">
        <v>0</v>
      </c>
      <c r="TP24" s="82" t="n">
        <v>0</v>
      </c>
      <c r="TQ24" s="82" t="n">
        <v>0</v>
      </c>
      <c r="TR24" s="130" t="n"/>
      <c r="TS24" s="82" t="n">
        <v>0</v>
      </c>
      <c r="TT24" s="82" t="n">
        <v>0</v>
      </c>
      <c r="TU24" s="82" t="n">
        <v>0</v>
      </c>
      <c r="TV24" s="82" t="n">
        <v>0</v>
      </c>
      <c r="TW24" s="82" t="n">
        <v>0</v>
      </c>
      <c r="TX24" s="82" t="n">
        <v>0</v>
      </c>
      <c r="TY24" s="82" t="n">
        <v>0</v>
      </c>
      <c r="TZ24" s="82" t="n">
        <v>0</v>
      </c>
      <c r="UA24" s="82" t="n">
        <v>0</v>
      </c>
      <c r="UB24" s="82" t="n">
        <v>0</v>
      </c>
      <c r="UC24" s="82" t="n">
        <v>0</v>
      </c>
      <c r="UD24" s="82" t="n">
        <v>0</v>
      </c>
      <c r="UE24" s="82" t="n">
        <v>0</v>
      </c>
      <c r="UF24" s="82" t="n">
        <v>0</v>
      </c>
      <c r="UG24" s="82" t="n">
        <v>0</v>
      </c>
      <c r="UH24" s="82" t="n">
        <v>0</v>
      </c>
      <c r="UI24" s="82" t="n">
        <v>0</v>
      </c>
      <c r="UJ24" s="82" t="n">
        <v>0</v>
      </c>
      <c r="UK24" s="82" t="n">
        <v>0</v>
      </c>
      <c r="UL24" s="82" t="n">
        <v>40000</v>
      </c>
      <c r="UM24" s="82" t="n">
        <v>40000</v>
      </c>
      <c r="UN24" s="82" t="n">
        <v>40000</v>
      </c>
      <c r="UO24" s="82" t="n">
        <v>40000</v>
      </c>
      <c r="UP24" s="82" t="n">
        <v>40000</v>
      </c>
      <c r="UQ24" s="82" t="n">
        <v>40000</v>
      </c>
      <c r="UR24" s="82" t="n">
        <v>40000</v>
      </c>
      <c r="US24" s="82" t="n">
        <v>40000</v>
      </c>
      <c r="UT24" s="82" t="n">
        <v>40000</v>
      </c>
      <c r="UU24" s="82" t="n">
        <v>40000</v>
      </c>
      <c r="UV24" s="82" t="n">
        <v>40000</v>
      </c>
      <c r="UW24" s="82" t="n">
        <v>40000</v>
      </c>
      <c r="UX24" s="130" t="n"/>
      <c r="UY24" s="82" t="n">
        <v>40000</v>
      </c>
      <c r="UZ24" s="82" t="n">
        <v>40000</v>
      </c>
      <c r="VA24" s="82" t="n">
        <v>40000</v>
      </c>
      <c r="VB24" s="82" t="n">
        <v>40000</v>
      </c>
      <c r="VC24" s="82" t="n">
        <v>40000</v>
      </c>
      <c r="VD24" s="82" t="n">
        <v>40000</v>
      </c>
      <c r="VE24" s="82" t="n">
        <v>40000</v>
      </c>
      <c r="VF24" s="82" t="n">
        <v>40000</v>
      </c>
      <c r="VG24" s="82" t="n">
        <v>40000</v>
      </c>
      <c r="VH24" s="82" t="n">
        <v>40000</v>
      </c>
      <c r="VI24" s="82" t="n">
        <v>40000</v>
      </c>
      <c r="VJ24" s="82" t="n">
        <v>40000</v>
      </c>
      <c r="VK24" s="82" t="n">
        <v>40000</v>
      </c>
      <c r="VL24" s="82" t="n">
        <v>40000</v>
      </c>
      <c r="VM24" s="82" t="n">
        <v>40000</v>
      </c>
      <c r="VN24" s="82" t="n">
        <v>40000</v>
      </c>
      <c r="VO24" s="82" t="n">
        <v>40000</v>
      </c>
      <c r="VP24" s="82" t="n">
        <v>40000</v>
      </c>
      <c r="VQ24" s="82" t="n">
        <v>40000</v>
      </c>
      <c r="VR24" s="82" t="n">
        <v>40000</v>
      </c>
      <c r="VS24" s="82" t="n">
        <v>40000</v>
      </c>
      <c r="VT24" s="82" t="n">
        <v>40000</v>
      </c>
      <c r="VU24" s="82" t="n">
        <v>40000</v>
      </c>
      <c r="VV24" s="82" t="n">
        <v>40000</v>
      </c>
      <c r="VW24" s="82" t="n">
        <v>40000</v>
      </c>
      <c r="VX24" s="82" t="n">
        <v>40000</v>
      </c>
      <c r="VY24" s="82" t="n">
        <v>40000</v>
      </c>
      <c r="VZ24" s="82" t="n">
        <v>40000</v>
      </c>
      <c r="WA24" s="133" t="n"/>
      <c r="WB24" s="82" t="n">
        <v>40000</v>
      </c>
      <c r="WC24" s="82" t="n">
        <v>40000</v>
      </c>
      <c r="WD24" s="82" t="n">
        <v>40000</v>
      </c>
      <c r="WE24" s="82" t="n">
        <v>40000</v>
      </c>
      <c r="WF24" s="82" t="n">
        <v>40000</v>
      </c>
      <c r="WG24" s="82" t="n">
        <v>40000</v>
      </c>
      <c r="WH24" s="82" t="n">
        <v>40000</v>
      </c>
      <c r="WI24" s="82" t="n">
        <v>40000</v>
      </c>
      <c r="WJ24" s="82" t="n">
        <v>40000</v>
      </c>
      <c r="WK24" s="82" t="n">
        <v>40000</v>
      </c>
      <c r="WL24" s="82" t="n">
        <v>40000</v>
      </c>
      <c r="WM24" s="82" t="n">
        <v>40000</v>
      </c>
      <c r="WN24" s="82" t="n">
        <v>40000</v>
      </c>
      <c r="WO24" s="82" t="n">
        <v>40000</v>
      </c>
      <c r="WP24" s="82" t="n">
        <v>40000</v>
      </c>
      <c r="WQ24" s="82" t="n">
        <v>40000</v>
      </c>
      <c r="WR24" s="82" t="n">
        <v>40000</v>
      </c>
      <c r="WS24" s="82" t="n">
        <v>40000</v>
      </c>
      <c r="WT24" s="82" t="n">
        <v>40000</v>
      </c>
      <c r="WU24" s="82" t="n">
        <v>40000</v>
      </c>
      <c r="WV24" s="82" t="n">
        <v>40000</v>
      </c>
      <c r="WW24" s="82" t="n">
        <v>40000</v>
      </c>
      <c r="WX24" s="82" t="n">
        <v>40000</v>
      </c>
      <c r="WY24" s="82" t="n">
        <v>40000</v>
      </c>
      <c r="WZ24" s="82" t="n">
        <v>40000</v>
      </c>
      <c r="XA24" s="82" t="n">
        <v>40000</v>
      </c>
      <c r="XB24" s="82" t="n">
        <v>40000</v>
      </c>
      <c r="XC24" s="82" t="n">
        <v>40000</v>
      </c>
      <c r="XD24" s="82" t="n">
        <v>40000</v>
      </c>
      <c r="XE24" s="82" t="n">
        <v>40000</v>
      </c>
      <c r="XF24" s="82" t="n">
        <v>40000</v>
      </c>
      <c r="XG24" s="133" t="n"/>
      <c r="XH24" s="82" t="n">
        <v>40000</v>
      </c>
      <c r="XI24" s="82" t="n">
        <v>40000</v>
      </c>
      <c r="XJ24" s="82" t="n">
        <v>40000</v>
      </c>
      <c r="XK24" s="82" t="n">
        <v>40000</v>
      </c>
      <c r="XL24" s="82" t="n">
        <v>40000</v>
      </c>
      <c r="XM24" s="82" t="n">
        <v>40000</v>
      </c>
      <c r="XN24" s="82" t="n">
        <v>40000</v>
      </c>
      <c r="XO24" s="82" t="n">
        <v>40000</v>
      </c>
      <c r="XP24" s="82" t="n">
        <v>40000</v>
      </c>
      <c r="XQ24" s="82" t="n">
        <v>40000</v>
      </c>
      <c r="XR24" s="82" t="n">
        <v>40000</v>
      </c>
      <c r="XS24" s="82" t="n">
        <v>40000</v>
      </c>
      <c r="XT24" s="82" t="n">
        <v>40000</v>
      </c>
      <c r="XU24" s="82" t="n">
        <v>40000</v>
      </c>
      <c r="XV24" s="82" t="n">
        <v>40000</v>
      </c>
      <c r="XW24" s="82" t="n">
        <v>40000</v>
      </c>
      <c r="XX24" s="82" t="n">
        <v>40000</v>
      </c>
      <c r="XY24" s="82" t="n">
        <v>40000</v>
      </c>
      <c r="XZ24" s="82" t="n">
        <v>40000</v>
      </c>
      <c r="YA24" s="82" t="n">
        <v>40000</v>
      </c>
      <c r="YB24" s="82" t="n">
        <v>40000</v>
      </c>
      <c r="YC24" s="82" t="n">
        <v>40000</v>
      </c>
      <c r="YD24" s="82" t="n">
        <v>40000</v>
      </c>
      <c r="YE24" s="82" t="n">
        <v>40000</v>
      </c>
      <c r="YF24" s="82" t="n">
        <v>40000</v>
      </c>
      <c r="YG24" s="82" t="n">
        <v>40000</v>
      </c>
      <c r="YH24" s="82" t="n">
        <v>40000</v>
      </c>
      <c r="YI24" s="82" t="n">
        <v>40000</v>
      </c>
      <c r="YJ24" s="82" t="n">
        <v>40000</v>
      </c>
      <c r="YK24" s="82" t="n">
        <v>40000</v>
      </c>
      <c r="YL24" s="130" t="n"/>
      <c r="YM24" s="82" t="n">
        <v>40000</v>
      </c>
      <c r="YN24" s="82" t="n">
        <v>40000</v>
      </c>
      <c r="YO24" s="82" t="n">
        <v>40000</v>
      </c>
      <c r="YP24" s="82" t="n">
        <v>40000</v>
      </c>
      <c r="YQ24" s="82" t="n">
        <v>40000</v>
      </c>
      <c r="YR24" s="82" t="n">
        <v>40000</v>
      </c>
      <c r="YS24" s="82" t="n">
        <v>40000</v>
      </c>
      <c r="YT24" s="82" t="n">
        <v>40000</v>
      </c>
      <c r="YU24" s="82" t="n">
        <v>40000</v>
      </c>
      <c r="YV24" s="82" t="n">
        <v>40000</v>
      </c>
      <c r="YW24" s="82" t="n">
        <v>40000</v>
      </c>
      <c r="YX24" s="82" t="n">
        <v>40000</v>
      </c>
      <c r="YY24" s="82" t="n">
        <v>40000</v>
      </c>
      <c r="YZ24" s="82" t="n">
        <v>40000</v>
      </c>
      <c r="ZA24" s="82" t="n">
        <v>40000</v>
      </c>
      <c r="ZB24" s="82" t="n">
        <v>40000</v>
      </c>
      <c r="ZC24" s="82" t="n">
        <v>40000</v>
      </c>
      <c r="ZD24" s="82" t="n">
        <v>40000</v>
      </c>
      <c r="ZE24" s="82" t="n">
        <v>40000</v>
      </c>
      <c r="ZF24" s="82" t="n">
        <v>40000</v>
      </c>
      <c r="ZG24" s="82" t="n">
        <v>40000</v>
      </c>
      <c r="ZH24" s="82" t="n">
        <v>40000</v>
      </c>
      <c r="ZI24" s="82" t="n">
        <v>40000</v>
      </c>
      <c r="ZJ24" s="82" t="n">
        <v>40000</v>
      </c>
      <c r="ZK24" s="82" t="n">
        <v>40000</v>
      </c>
      <c r="ZL24" s="82" t="n">
        <v>40000</v>
      </c>
      <c r="ZM24" s="82" t="n">
        <v>40000</v>
      </c>
      <c r="ZN24" s="82" t="n">
        <v>40000</v>
      </c>
      <c r="ZO24" s="82" t="n">
        <v>40000</v>
      </c>
      <c r="ZP24" s="82" t="n">
        <v>40000</v>
      </c>
      <c r="ZQ24" s="82" t="n">
        <v>40000</v>
      </c>
      <c r="ZR24" s="130" t="n"/>
      <c r="ZS24" s="82" t="n">
        <v>40000</v>
      </c>
      <c r="ZT24" s="82" t="n">
        <v>40000</v>
      </c>
      <c r="ZU24" s="82" t="n">
        <v>40000</v>
      </c>
      <c r="ZV24" s="82" t="n">
        <v>40000</v>
      </c>
      <c r="ZW24" s="82" t="n">
        <v>40000</v>
      </c>
      <c r="ZX24" s="82" t="n">
        <v>40000</v>
      </c>
      <c r="ZY24" s="82" t="n">
        <v>40000</v>
      </c>
      <c r="ZZ24" s="82" t="n">
        <v>40000</v>
      </c>
      <c r="AAA24" s="82" t="n">
        <v>40000</v>
      </c>
      <c r="AAB24" s="82" t="n">
        <v>40000</v>
      </c>
      <c r="AAC24" s="82" t="n">
        <v>40000</v>
      </c>
      <c r="AAD24" s="82" t="n">
        <v>40000</v>
      </c>
      <c r="AAE24" s="82" t="n">
        <v>40000</v>
      </c>
      <c r="AAF24" s="82" t="n">
        <v>40000</v>
      </c>
      <c r="AAG24" s="82" t="n">
        <v>40000</v>
      </c>
      <c r="AAH24" s="82" t="n">
        <v>40000</v>
      </c>
      <c r="AAI24" s="82" t="n">
        <v>40000</v>
      </c>
      <c r="AAJ24" s="82" t="n">
        <v>40000</v>
      </c>
      <c r="AAK24" s="82" t="n">
        <v>40000</v>
      </c>
      <c r="AAL24" s="82" t="n">
        <v>40000</v>
      </c>
      <c r="AAM24" s="82" t="n">
        <v>40000</v>
      </c>
      <c r="AAN24" s="82" t="n">
        <v>40000</v>
      </c>
      <c r="AAO24" s="82" t="n">
        <v>40000</v>
      </c>
      <c r="AAP24" s="82" t="n">
        <v>40000</v>
      </c>
      <c r="AAQ24" s="82" t="n">
        <v>40000</v>
      </c>
      <c r="AAR24" s="82" t="n">
        <v>40000</v>
      </c>
      <c r="AAS24" s="82" t="n">
        <v>40000</v>
      </c>
      <c r="AAT24" s="82" t="n">
        <v>40000</v>
      </c>
      <c r="AAU24" s="82" t="n">
        <v>40000</v>
      </c>
      <c r="AAV24" s="82" t="n">
        <v>40000</v>
      </c>
      <c r="AAW24" s="130" t="n"/>
      <c r="AAX24" s="82" t="n">
        <v>40000</v>
      </c>
      <c r="AAY24" s="82" t="n">
        <v>40000</v>
      </c>
      <c r="AAZ24" s="82" t="n">
        <v>40000</v>
      </c>
      <c r="ABA24" s="82" t="n">
        <v>40000</v>
      </c>
      <c r="ABB24" s="82" t="n">
        <v>40000</v>
      </c>
      <c r="ABC24" s="82" t="n">
        <v>40000</v>
      </c>
      <c r="ABD24" s="82" t="n">
        <v>40000</v>
      </c>
      <c r="ABE24" s="82" t="n">
        <v>40000</v>
      </c>
      <c r="ABF24" s="82" t="n">
        <v>40000</v>
      </c>
      <c r="ABG24" s="82" t="n">
        <v>40000</v>
      </c>
      <c r="ABH24" s="82" t="n">
        <v>40000</v>
      </c>
      <c r="ABI24" s="82" t="n">
        <v>40000</v>
      </c>
      <c r="ABJ24" s="82" t="n">
        <v>40000</v>
      </c>
      <c r="ABK24" s="82" t="n">
        <v>40000</v>
      </c>
      <c r="ABL24" s="82" t="n">
        <v>40000</v>
      </c>
      <c r="ABM24" s="82" t="n">
        <v>40000</v>
      </c>
      <c r="ABN24" s="82" t="n">
        <v>40000</v>
      </c>
      <c r="ABO24" s="82" t="n">
        <v>40000</v>
      </c>
      <c r="ABP24" s="82" t="n">
        <v>40000</v>
      </c>
      <c r="ABQ24" s="82" t="n">
        <v>40000</v>
      </c>
      <c r="ABR24" s="82" t="n">
        <v>40000</v>
      </c>
      <c r="ABS24" s="82" t="n">
        <v>40000</v>
      </c>
      <c r="ABT24" s="82" t="n">
        <v>40000</v>
      </c>
      <c r="ABU24" s="82" t="n">
        <v>40000</v>
      </c>
      <c r="ABV24" s="82" t="n">
        <v>40000</v>
      </c>
      <c r="ABW24" s="82" t="n">
        <v>40000</v>
      </c>
      <c r="ABX24" s="82" t="n">
        <v>40000</v>
      </c>
      <c r="ABY24" s="82" t="n">
        <v>40000</v>
      </c>
      <c r="ABZ24" s="82" t="n">
        <v>40000</v>
      </c>
      <c r="ACA24" s="82" t="n">
        <v>40000</v>
      </c>
      <c r="ACB24" s="82" t="n">
        <v>40000</v>
      </c>
      <c r="ACC24" s="130" t="n"/>
      <c r="ACD24" s="82" t="n">
        <v>40000</v>
      </c>
      <c r="ACE24" s="82" t="n">
        <v>40000</v>
      </c>
      <c r="ACF24" s="82" t="n">
        <v>40000</v>
      </c>
      <c r="ACG24" s="82" t="n">
        <v>40000</v>
      </c>
      <c r="ACH24" s="82" t="n">
        <v>40000</v>
      </c>
      <c r="ACI24" s="82" t="n">
        <v>40000</v>
      </c>
      <c r="ACJ24" s="82" t="n">
        <v>40000</v>
      </c>
      <c r="ACK24" s="82" t="n">
        <v>40000</v>
      </c>
      <c r="ACL24" s="82" t="n">
        <v>40000</v>
      </c>
      <c r="ACM24" s="82" t="n">
        <v>40000</v>
      </c>
      <c r="ACN24" s="82" t="n">
        <v>40000</v>
      </c>
      <c r="ACO24" s="82" t="n">
        <v>40000</v>
      </c>
      <c r="ACP24" s="82" t="n">
        <v>40000</v>
      </c>
      <c r="ACQ24" s="82" t="n">
        <v>40000</v>
      </c>
      <c r="ACR24" s="82" t="n">
        <v>40000</v>
      </c>
      <c r="ACS24" s="82" t="n">
        <v>40000</v>
      </c>
      <c r="ACT24" s="82" t="n">
        <v>40000</v>
      </c>
      <c r="ACU24" s="82" t="n">
        <v>40000</v>
      </c>
      <c r="ACV24" s="82" t="n">
        <v>40000</v>
      </c>
      <c r="ACW24" s="82" t="n">
        <v>40000</v>
      </c>
      <c r="ACX24" s="82" t="n">
        <v>40000</v>
      </c>
      <c r="ACY24" s="82" t="n">
        <v>40000</v>
      </c>
      <c r="ACZ24" s="82" t="n">
        <v>40000</v>
      </c>
      <c r="ADA24" s="82" t="n">
        <v>40000</v>
      </c>
      <c r="ADB24" s="82" t="n">
        <v>40000</v>
      </c>
      <c r="ADC24" s="82" t="n">
        <v>40000</v>
      </c>
      <c r="ADD24" s="82" t="n">
        <v>40000</v>
      </c>
      <c r="ADE24" s="82" t="n">
        <v>40000</v>
      </c>
      <c r="ADF24" s="82" t="n">
        <v>40000</v>
      </c>
      <c r="ADG24" s="82" t="n">
        <v>40000</v>
      </c>
      <c r="ADH24" s="82" t="n">
        <v>40000</v>
      </c>
      <c r="ADI24" s="130" t="n"/>
      <c r="ADJ24" s="82" t="n">
        <v>40000</v>
      </c>
      <c r="ADK24" s="82" t="n">
        <v>40000</v>
      </c>
      <c r="ADL24" s="82" t="n">
        <v>40000</v>
      </c>
      <c r="ADM24" s="82" t="n">
        <v>40000</v>
      </c>
      <c r="ADN24" s="82" t="n">
        <v>40000</v>
      </c>
      <c r="ADO24" s="82" t="n">
        <v>40000</v>
      </c>
      <c r="ADP24" s="82" t="n">
        <v>40000</v>
      </c>
      <c r="ADQ24" s="82" t="n">
        <v>40000</v>
      </c>
      <c r="ADR24" s="82" t="n">
        <v>40000</v>
      </c>
      <c r="ADS24" s="82" t="n">
        <v>40000</v>
      </c>
      <c r="ADT24" s="82" t="n">
        <v>40000</v>
      </c>
      <c r="ADU24" s="82" t="n">
        <v>40000</v>
      </c>
      <c r="ADV24" s="82" t="n">
        <v>40000</v>
      </c>
      <c r="ADW24" s="82" t="n">
        <v>40000</v>
      </c>
      <c r="ADX24" s="82" t="n">
        <v>40000</v>
      </c>
      <c r="ADY24" s="82" t="n">
        <v>40000</v>
      </c>
      <c r="ADZ24" s="82" t="n">
        <v>40000</v>
      </c>
      <c r="AEA24" s="82" t="n">
        <v>40000</v>
      </c>
      <c r="AEB24" s="82" t="n">
        <v>40000</v>
      </c>
      <c r="AEC24" s="82" t="n">
        <v>40000</v>
      </c>
      <c r="AED24" s="82" t="n">
        <v>40000</v>
      </c>
      <c r="AEE24" s="82" t="n">
        <v>40000</v>
      </c>
      <c r="AEF24" s="82" t="n">
        <v>40000</v>
      </c>
      <c r="AEG24" s="82" t="n">
        <v>40000</v>
      </c>
      <c r="AEH24" s="82" t="n">
        <v>40000</v>
      </c>
      <c r="AEI24" s="82" t="n">
        <v>40000</v>
      </c>
      <c r="AEJ24" s="82" t="n">
        <v>40000</v>
      </c>
      <c r="AEK24" s="82" t="n">
        <v>40000</v>
      </c>
      <c r="AEL24" s="82" t="n">
        <v>40000</v>
      </c>
      <c r="AEM24" s="82" t="n">
        <v>40000</v>
      </c>
      <c r="AEN24" s="130" t="n"/>
      <c r="AEO24" s="82" t="n">
        <v>40000</v>
      </c>
      <c r="AEP24" s="82" t="n">
        <v>40000</v>
      </c>
      <c r="AEQ24" s="82" t="n">
        <v>40000</v>
      </c>
      <c r="AER24" s="82" t="n">
        <v>40000</v>
      </c>
      <c r="AES24" s="82" t="n">
        <v>40000</v>
      </c>
      <c r="AET24" s="82" t="n">
        <v>40000</v>
      </c>
      <c r="AEU24" s="82" t="n">
        <v>40000</v>
      </c>
      <c r="AEV24" s="82" t="n">
        <v>40000</v>
      </c>
      <c r="AEW24" s="82" t="n">
        <v>40000</v>
      </c>
      <c r="AEX24" s="82" t="n">
        <v>40000</v>
      </c>
      <c r="AEY24" s="82" t="n">
        <v>40000</v>
      </c>
      <c r="AEZ24" s="82" t="n">
        <v>40000</v>
      </c>
      <c r="AFA24" s="82" t="n">
        <v>40000</v>
      </c>
      <c r="AFB24" s="82" t="n">
        <v>40000</v>
      </c>
      <c r="AFC24" s="82" t="n">
        <v>40000</v>
      </c>
      <c r="AFD24" s="82" t="n">
        <v>40000</v>
      </c>
      <c r="AFE24" s="82" t="n">
        <v>40000</v>
      </c>
      <c r="AFF24" s="82" t="n">
        <v>40000</v>
      </c>
      <c r="AFG24" s="82" t="n">
        <v>40000</v>
      </c>
      <c r="AFH24" s="82" t="n">
        <v>40000</v>
      </c>
      <c r="AFI24" s="82" t="n">
        <v>40000</v>
      </c>
      <c r="AFJ24" s="82" t="n">
        <v>40000</v>
      </c>
      <c r="AFK24" s="82" t="n">
        <v>40000</v>
      </c>
      <c r="AFL24" s="82" t="n">
        <v>40000</v>
      </c>
      <c r="AFM24" s="82" t="n">
        <v>40000</v>
      </c>
      <c r="AFN24" s="82" t="n">
        <v>40000</v>
      </c>
      <c r="AFO24" s="82" t="n">
        <v>40000</v>
      </c>
      <c r="AFP24" s="82" t="n">
        <v>40000</v>
      </c>
      <c r="AFQ24" s="82" t="n">
        <v>40000</v>
      </c>
      <c r="AFR24" s="82" t="n">
        <v>40000</v>
      </c>
      <c r="AFS24" s="82" t="n">
        <v>40000</v>
      </c>
      <c r="AFT24" s="130" t="n"/>
      <c r="AFU24" s="82" t="n">
        <v>40000</v>
      </c>
      <c r="AFV24" s="82" t="n">
        <v>40000</v>
      </c>
      <c r="AFW24" s="82" t="n">
        <v>40000</v>
      </c>
      <c r="AFX24" s="82" t="n">
        <v>40000</v>
      </c>
      <c r="AFY24" s="82" t="n">
        <v>40000</v>
      </c>
      <c r="AFZ24" s="82" t="n">
        <v>40000</v>
      </c>
      <c r="AGA24" s="82" t="n">
        <v>40000</v>
      </c>
      <c r="AGB24" s="82" t="n">
        <v>40000</v>
      </c>
      <c r="AGC24" s="82" t="n">
        <v>40000</v>
      </c>
      <c r="AGD24" s="82" t="n">
        <v>40000</v>
      </c>
      <c r="AGE24" s="82" t="n">
        <v>40000</v>
      </c>
      <c r="AGF24" s="82" t="n">
        <v>40000</v>
      </c>
      <c r="AGG24" s="82" t="n">
        <v>40000</v>
      </c>
      <c r="AGH24" s="82" t="n">
        <v>40000</v>
      </c>
      <c r="AGI24" s="82" t="n">
        <v>40000</v>
      </c>
      <c r="AGJ24" s="82" t="n">
        <v>40000</v>
      </c>
      <c r="AGK24" s="82" t="n">
        <v>40000</v>
      </c>
      <c r="AGL24" s="82" t="n">
        <v>40000</v>
      </c>
      <c r="AGM24" s="82" t="n">
        <v>40000</v>
      </c>
      <c r="AGN24" s="82" t="n">
        <v>40000</v>
      </c>
      <c r="AGO24" s="82" t="n">
        <v>40000</v>
      </c>
      <c r="AGP24" s="82" t="n">
        <v>40000</v>
      </c>
      <c r="AGQ24" s="82" t="n">
        <v>40000</v>
      </c>
      <c r="AGR24" s="82" t="n">
        <v>40000</v>
      </c>
      <c r="AGS24" s="82" t="n">
        <v>40000</v>
      </c>
      <c r="AGT24" s="82" t="n">
        <v>40000</v>
      </c>
      <c r="AGU24" s="82" t="n">
        <v>40000</v>
      </c>
      <c r="AGV24" s="82" t="n">
        <v>40000</v>
      </c>
      <c r="AGW24" s="82" t="n">
        <v>40000</v>
      </c>
      <c r="AGX24" s="82" t="n">
        <v>40000</v>
      </c>
      <c r="AGY24" s="133" t="n"/>
      <c r="AGZ24" s="82" t="n">
        <v>40000</v>
      </c>
      <c r="AHA24" s="82" t="n">
        <v>40000</v>
      </c>
      <c r="AHB24" s="82" t="n">
        <v>40000</v>
      </c>
      <c r="AHC24" s="82" t="n">
        <v>40000</v>
      </c>
      <c r="AHD24" s="82" t="n">
        <v>40000</v>
      </c>
      <c r="AHE24" s="82" t="n">
        <v>40000</v>
      </c>
      <c r="AHF24" s="82" t="n">
        <v>40000</v>
      </c>
      <c r="AHG24" s="82" t="n">
        <v>40000</v>
      </c>
      <c r="AHH24" s="82" t="n">
        <v>40000</v>
      </c>
      <c r="AHI24" s="82" t="n">
        <v>40000</v>
      </c>
      <c r="AHJ24" s="82" t="n">
        <v>40000</v>
      </c>
      <c r="AHK24" s="82" t="n">
        <v>40000</v>
      </c>
      <c r="AHL24" s="82" t="n">
        <v>40000</v>
      </c>
      <c r="AHM24" s="82" t="n">
        <v>40000</v>
      </c>
      <c r="AHN24" s="82" t="n">
        <v>40000</v>
      </c>
      <c r="AHO24" s="82" t="n">
        <v>40000</v>
      </c>
      <c r="AHP24" s="82" t="n">
        <v>40000</v>
      </c>
      <c r="AHQ24" s="82" t="n">
        <v>40000</v>
      </c>
      <c r="AHR24" s="82" t="n">
        <v>40000</v>
      </c>
      <c r="AHS24" s="82" t="n">
        <v>40000</v>
      </c>
      <c r="AHT24" s="82" t="n">
        <v>40000</v>
      </c>
      <c r="AHU24" s="82" t="n">
        <v>40000</v>
      </c>
      <c r="AHV24" s="82" t="n">
        <v>40000</v>
      </c>
      <c r="AHW24" s="82" t="n">
        <v>40000</v>
      </c>
      <c r="AHX24" s="82" t="n">
        <v>40000</v>
      </c>
      <c r="AHY24" s="82" t="n">
        <v>40000</v>
      </c>
      <c r="AHZ24" s="82" t="n">
        <v>40000</v>
      </c>
      <c r="AIA24" s="82" t="n">
        <v>40000</v>
      </c>
      <c r="AIB24" s="82" t="n">
        <v>40000</v>
      </c>
      <c r="AIC24" s="82" t="n">
        <v>40000</v>
      </c>
      <c r="AID24" s="82" t="n">
        <v>40000</v>
      </c>
      <c r="AIE24" s="130" t="n"/>
      <c r="AIF24" s="82" t="n">
        <v>40000</v>
      </c>
      <c r="AIG24" s="82" t="n">
        <v>40000</v>
      </c>
      <c r="AIH24" s="82" t="n">
        <v>40000</v>
      </c>
      <c r="AII24" s="82" t="n">
        <v>40000</v>
      </c>
      <c r="AIJ24" s="82" t="n">
        <v>40000</v>
      </c>
      <c r="AIK24" s="82" t="n">
        <v>40000</v>
      </c>
      <c r="AIL24" s="82" t="n">
        <v>40000</v>
      </c>
      <c r="AIM24" s="82" t="n">
        <v>40000</v>
      </c>
      <c r="AIN24" s="82" t="n">
        <v>40000</v>
      </c>
      <c r="AIO24" s="82" t="n">
        <v>40000</v>
      </c>
      <c r="AIP24" s="82" t="n">
        <v>40000</v>
      </c>
      <c r="AIQ24" s="82" t="n">
        <v>40000</v>
      </c>
      <c r="AIR24" s="82" t="n">
        <v>40000</v>
      </c>
      <c r="AIS24" s="82" t="n">
        <v>40000</v>
      </c>
      <c r="AIT24" s="82" t="n">
        <v>40000</v>
      </c>
      <c r="AIU24" s="82" t="n">
        <v>40000</v>
      </c>
      <c r="AIV24" s="82" t="n">
        <v>40000</v>
      </c>
      <c r="AIW24" s="82" t="n">
        <v>40000</v>
      </c>
      <c r="AIX24" s="82" t="n">
        <v>40000</v>
      </c>
      <c r="AIY24" s="82" t="n">
        <v>40000</v>
      </c>
      <c r="AIZ24" s="82" t="n">
        <v>40000</v>
      </c>
      <c r="AJA24" s="82" t="n">
        <v>40000</v>
      </c>
      <c r="AJB24" s="82" t="n">
        <v>40000</v>
      </c>
      <c r="AJC24" s="82" t="n">
        <v>40000</v>
      </c>
      <c r="AJD24" s="82" t="n">
        <v>40000</v>
      </c>
      <c r="AJE24" s="82" t="n">
        <v>40000</v>
      </c>
      <c r="AJF24" s="82" t="n">
        <v>40000</v>
      </c>
      <c r="AJG24" s="82" t="n">
        <v>40000</v>
      </c>
      <c r="AJH24" s="82" t="n">
        <v>40000</v>
      </c>
      <c r="AJI24" s="82" t="n">
        <v>40000</v>
      </c>
      <c r="AJJ24" s="82" t="n">
        <v>40000</v>
      </c>
      <c r="AJK24" s="145" t="n"/>
      <c r="AJL24" s="82" t="n">
        <v>40000</v>
      </c>
      <c r="AJM24" s="82" t="n">
        <v>40000</v>
      </c>
      <c r="AJN24" s="82" t="n">
        <v>40000</v>
      </c>
      <c r="AJO24" s="82" t="n">
        <v>40000</v>
      </c>
      <c r="AJP24" s="82" t="n">
        <v>40000</v>
      </c>
      <c r="AJQ24" s="82" t="n">
        <v>40000</v>
      </c>
      <c r="AJR24" s="82" t="n">
        <v>40000</v>
      </c>
      <c r="AJS24" s="82" t="n">
        <v>40000</v>
      </c>
      <c r="AJT24" s="82" t="n">
        <v>40000</v>
      </c>
      <c r="AJU24" s="82" t="n">
        <v>40000</v>
      </c>
      <c r="AJV24" s="82" t="n">
        <v>40000</v>
      </c>
      <c r="AJW24" s="82" t="n">
        <v>40000</v>
      </c>
      <c r="AJX24" s="82" t="n">
        <v>40000</v>
      </c>
      <c r="AJY24" s="82" t="n">
        <v>40000</v>
      </c>
      <c r="AJZ24" s="82" t="n">
        <v>40000</v>
      </c>
      <c r="AKA24" s="82" t="n">
        <v>40000</v>
      </c>
      <c r="AKB24" s="82" t="n">
        <v>40000</v>
      </c>
      <c r="AKC24" s="82" t="n">
        <v>40000</v>
      </c>
      <c r="AKD24" s="82" t="n">
        <v>40000</v>
      </c>
      <c r="AKE24" s="82" t="n">
        <v>40000</v>
      </c>
      <c r="AKF24" s="82" t="n">
        <v>40000</v>
      </c>
      <c r="AKG24" s="82" t="n">
        <v>40000</v>
      </c>
      <c r="AKH24" s="82" t="n">
        <v>40000</v>
      </c>
      <c r="AKI24" s="82" t="n">
        <v>40000</v>
      </c>
      <c r="AKJ24" s="82" t="n">
        <v>40000</v>
      </c>
      <c r="AKK24" s="82" t="n">
        <v>40000</v>
      </c>
      <c r="AKL24" s="82" t="n">
        <v>40000</v>
      </c>
      <c r="AKM24" s="82" t="n">
        <v>40000</v>
      </c>
      <c r="AKN24" s="112" t="n"/>
      <c r="AKO24" s="82" t="n">
        <v>40000</v>
      </c>
      <c r="AKP24" s="82" t="n">
        <v>40000</v>
      </c>
      <c r="AKQ24" s="82" t="n">
        <v>40000</v>
      </c>
      <c r="AKR24" s="82" t="n">
        <v>40000</v>
      </c>
      <c r="AKS24" s="82" t="n">
        <v>40000</v>
      </c>
      <c r="AKT24" s="82" t="n">
        <v>40000</v>
      </c>
      <c r="AKU24" s="82" t="n">
        <v>40000</v>
      </c>
      <c r="AKV24" s="82" t="n">
        <v>40000</v>
      </c>
      <c r="AKW24" s="82" t="n">
        <v>40000</v>
      </c>
      <c r="AKX24" s="82" t="n">
        <v>40000</v>
      </c>
      <c r="AKY24" s="82" t="n">
        <v>40000</v>
      </c>
      <c r="AKZ24" s="82" t="n">
        <v>40000</v>
      </c>
      <c r="ALA24" s="82" t="n">
        <v>40000</v>
      </c>
      <c r="ALB24" s="82" t="n">
        <v>40000</v>
      </c>
      <c r="ALC24" s="82" t="n">
        <v>40000</v>
      </c>
      <c r="ALD24" s="82" t="n">
        <v>40000</v>
      </c>
      <c r="ALE24" s="82" t="n">
        <v>40000</v>
      </c>
      <c r="ALF24" s="82" t="n">
        <v>40000</v>
      </c>
      <c r="ALG24" s="82" t="n">
        <v>40000</v>
      </c>
      <c r="ALH24" s="82" t="n">
        <v>40000</v>
      </c>
      <c r="ALI24" s="82" t="n">
        <v>40000</v>
      </c>
      <c r="ALJ24" s="82" t="n">
        <v>40000</v>
      </c>
      <c r="ALK24" s="82" t="n">
        <v>40000</v>
      </c>
      <c r="ALL24" s="82" t="n">
        <v>40000</v>
      </c>
      <c r="ALM24" s="82" t="n">
        <v>40000</v>
      </c>
      <c r="ALN24" s="82" t="n">
        <v>40000</v>
      </c>
      <c r="ALO24" s="82" t="n">
        <v>40000</v>
      </c>
      <c r="ALP24" s="82" t="n">
        <v>40000</v>
      </c>
      <c r="ALQ24" s="82" t="n">
        <v>40000</v>
      </c>
      <c r="ALR24" s="82" t="n">
        <v>40000</v>
      </c>
      <c r="ALS24" s="82" t="n">
        <v>40000</v>
      </c>
      <c r="ALT24" s="130" t="n"/>
      <c r="ALU24" s="82" t="n">
        <v>40000</v>
      </c>
      <c r="ALV24" s="82" t="n">
        <v>40000</v>
      </c>
      <c r="ALW24" s="82" t="n">
        <v>40000</v>
      </c>
      <c r="ALX24" s="82" t="n">
        <v>40000</v>
      </c>
      <c r="ALY24" s="82" t="n">
        <v>40000</v>
      </c>
      <c r="ALZ24" s="82" t="n">
        <v>40000</v>
      </c>
      <c r="AMA24" s="82" t="n">
        <v>40000</v>
      </c>
      <c r="AMB24" s="82" t="n">
        <v>40000</v>
      </c>
      <c r="AMC24" s="82" t="n">
        <v>40000</v>
      </c>
      <c r="AMD24" s="82" t="n">
        <v>40000</v>
      </c>
      <c r="AME24" s="82" t="n">
        <v>40000</v>
      </c>
      <c r="AMF24" s="82" t="n">
        <v>40000</v>
      </c>
      <c r="AMG24" s="82" t="n">
        <v>40000</v>
      </c>
      <c r="AMH24" s="82" t="n">
        <v>40000</v>
      </c>
      <c r="AMI24" s="82" t="n">
        <v>40000</v>
      </c>
      <c r="AMJ24" s="82" t="n">
        <v>40000</v>
      </c>
      <c r="AMK24" s="82" t="n">
        <v>40000</v>
      </c>
      <c r="AML24" s="82" t="n">
        <v>40000</v>
      </c>
      <c r="AMM24" s="82" t="n">
        <v>40000</v>
      </c>
      <c r="AMN24" s="82" t="n">
        <v>40000</v>
      </c>
      <c r="AMO24" s="82" t="n">
        <v>40000</v>
      </c>
      <c r="AMP24" s="82" t="n">
        <v>40000</v>
      </c>
      <c r="AMQ24" s="82" t="n">
        <v>40000</v>
      </c>
      <c r="AMR24" s="82" t="n">
        <v>40000</v>
      </c>
      <c r="AMS24" s="82" t="n">
        <v>40000</v>
      </c>
      <c r="AMT24" s="82" t="n">
        <v>40000</v>
      </c>
      <c r="AMU24" s="82" t="n">
        <v>40000</v>
      </c>
      <c r="AMV24" s="82" t="n">
        <v>40000</v>
      </c>
      <c r="AMW24" s="82" t="n">
        <v>40000</v>
      </c>
      <c r="AMX24" s="82" t="n">
        <v>40000</v>
      </c>
      <c r="AMY24" s="130" t="n"/>
      <c r="AMZ24" s="82" t="n">
        <v>40000</v>
      </c>
      <c r="ANA24" s="82" t="n">
        <v>40000</v>
      </c>
      <c r="ANB24" s="82" t="n">
        <v>40000</v>
      </c>
      <c r="ANC24" s="82" t="n">
        <v>40000</v>
      </c>
      <c r="AND24" s="82" t="n">
        <v>40000</v>
      </c>
      <c r="ANE24" s="82" t="n">
        <v>40000</v>
      </c>
      <c r="ANF24" s="82" t="n">
        <v>40000</v>
      </c>
      <c r="ANG24" s="82" t="n">
        <v>40000</v>
      </c>
      <c r="ANH24" s="82" t="n">
        <v>40000</v>
      </c>
      <c r="ANI24" s="82" t="n">
        <v>40000</v>
      </c>
      <c r="ANJ24" s="82" t="n">
        <v>40000</v>
      </c>
      <c r="ANK24" s="82" t="n">
        <v>40000</v>
      </c>
      <c r="ANL24" s="82" t="n">
        <v>40000</v>
      </c>
      <c r="ANM24" s="82" t="n">
        <v>40000</v>
      </c>
      <c r="ANN24" s="82" t="n">
        <v>40000</v>
      </c>
      <c r="ANO24" s="82" t="n">
        <v>40000</v>
      </c>
      <c r="ANP24" s="82" t="n">
        <v>40000</v>
      </c>
      <c r="ANQ24" s="82" t="n">
        <v>40000</v>
      </c>
      <c r="ANR24" s="82" t="n">
        <v>40000</v>
      </c>
      <c r="ANS24" s="82" t="n">
        <v>40000</v>
      </c>
      <c r="ANT24" s="82" t="n">
        <v>40000</v>
      </c>
      <c r="ANU24" s="82" t="n">
        <v>40000</v>
      </c>
      <c r="ANV24" s="82" t="n">
        <v>40000</v>
      </c>
      <c r="ANW24" s="82" t="n">
        <v>40000</v>
      </c>
      <c r="ANX24" s="82" t="n">
        <v>40000</v>
      </c>
      <c r="ANY24" s="82" t="n">
        <v>40000</v>
      </c>
      <c r="ANZ24" s="82" t="n">
        <v>40000</v>
      </c>
      <c r="AOA24" s="82" t="n">
        <v>40000</v>
      </c>
      <c r="AOB24" s="82" t="n">
        <v>40000</v>
      </c>
      <c r="AOC24" s="82" t="n">
        <v>40000</v>
      </c>
    </row>
    <row r="25">
      <c r="B25" t="inlineStr">
        <is>
          <t>Awezi</t>
        </is>
      </c>
      <c r="C25" s="52" t="n">
        <v>16200500</v>
      </c>
      <c r="D25" s="52">
        <f>C25</f>
        <v/>
      </c>
      <c r="E25" s="52">
        <f>D25</f>
        <v/>
      </c>
      <c r="F25" s="52">
        <f>E25</f>
        <v/>
      </c>
      <c r="G25" s="52">
        <f>F25</f>
        <v/>
      </c>
      <c r="H25" s="52">
        <f>G25</f>
        <v/>
      </c>
      <c r="I25" s="52">
        <f>H25</f>
        <v/>
      </c>
      <c r="J25" s="52">
        <f>I25</f>
        <v/>
      </c>
      <c r="K25" s="52">
        <f>J25</f>
        <v/>
      </c>
      <c r="L25" s="52">
        <f>K25</f>
        <v/>
      </c>
      <c r="M25" s="52">
        <f>L25</f>
        <v/>
      </c>
      <c r="N25" s="52">
        <f>M25</f>
        <v/>
      </c>
      <c r="O25" s="52">
        <f>N25</f>
        <v/>
      </c>
      <c r="P25" s="52">
        <f>O25</f>
        <v/>
      </c>
      <c r="Q25" s="52">
        <f>P25</f>
        <v/>
      </c>
      <c r="R25" s="52">
        <f>Q25</f>
        <v/>
      </c>
      <c r="S25" s="52">
        <f>R25</f>
        <v/>
      </c>
      <c r="T25" s="52">
        <f>S25</f>
        <v/>
      </c>
      <c r="U25" s="52">
        <f>T25</f>
        <v/>
      </c>
      <c r="V25" s="52">
        <f>U25</f>
        <v/>
      </c>
      <c r="W25" s="52">
        <f>V25</f>
        <v/>
      </c>
      <c r="X25" s="52">
        <f>W25</f>
        <v/>
      </c>
      <c r="Y25" s="52">
        <f>X25</f>
        <v/>
      </c>
      <c r="Z25" s="52">
        <f>Y25</f>
        <v/>
      </c>
      <c r="AA25" s="52">
        <f>Z25</f>
        <v/>
      </c>
      <c r="AB25" s="52">
        <f>AA25</f>
        <v/>
      </c>
      <c r="AC25" s="52">
        <f>AB25</f>
        <v/>
      </c>
      <c r="AD25" s="52">
        <f>AC25</f>
        <v/>
      </c>
      <c r="AE25" s="52">
        <f>AD25</f>
        <v/>
      </c>
      <c r="AF25" s="52">
        <f>AE25</f>
        <v/>
      </c>
      <c r="AG25" s="52">
        <f>AF25</f>
        <v/>
      </c>
      <c r="AH25" s="98">
        <f>AG25</f>
        <v/>
      </c>
      <c r="AI25" s="82">
        <f>AG25</f>
        <v/>
      </c>
      <c r="AJ25" s="82">
        <f>AH25</f>
        <v/>
      </c>
      <c r="AK25" s="82">
        <f>AI25</f>
        <v/>
      </c>
      <c r="AL25" s="82">
        <f>AJ25</f>
        <v/>
      </c>
      <c r="AM25" s="82">
        <f>AK25</f>
        <v/>
      </c>
      <c r="AN25" s="82">
        <f>AL25</f>
        <v/>
      </c>
      <c r="AO25" s="82">
        <f>AM25</f>
        <v/>
      </c>
      <c r="AP25" s="82">
        <f>AN25</f>
        <v/>
      </c>
      <c r="AQ25" s="82">
        <f>AO25</f>
        <v/>
      </c>
      <c r="AR25" s="82">
        <f>AP25</f>
        <v/>
      </c>
      <c r="AS25" s="82">
        <f>AQ25</f>
        <v/>
      </c>
      <c r="AT25" s="82">
        <f>AR25</f>
        <v/>
      </c>
      <c r="AU25" s="82">
        <f>AS25</f>
        <v/>
      </c>
      <c r="AV25" s="82">
        <f>AT25</f>
        <v/>
      </c>
      <c r="AW25" s="82">
        <f>AU25</f>
        <v/>
      </c>
      <c r="AX25" s="82">
        <f>AV25</f>
        <v/>
      </c>
      <c r="AY25" s="82">
        <f>AW25</f>
        <v/>
      </c>
      <c r="AZ25" s="82">
        <f>AX25</f>
        <v/>
      </c>
      <c r="BA25" s="82">
        <f>AY25</f>
        <v/>
      </c>
      <c r="BB25" s="82">
        <f>AZ25</f>
        <v/>
      </c>
      <c r="BC25" s="82">
        <f>BA25</f>
        <v/>
      </c>
      <c r="BD25" s="82">
        <f>BB25</f>
        <v/>
      </c>
      <c r="BE25" s="82">
        <f>BC25</f>
        <v/>
      </c>
      <c r="BF25" s="82">
        <f>BD25</f>
        <v/>
      </c>
      <c r="BG25" s="82">
        <f>BE25</f>
        <v/>
      </c>
      <c r="BH25" s="82">
        <f>BF25</f>
        <v/>
      </c>
      <c r="BI25" s="82">
        <f>BG25</f>
        <v/>
      </c>
      <c r="BJ25" s="82">
        <f>BH25</f>
        <v/>
      </c>
      <c r="BK25" s="82">
        <f>BI25</f>
        <v/>
      </c>
      <c r="BL25" s="82">
        <f>BJ25</f>
        <v/>
      </c>
      <c r="BM25" s="106">
        <f>BL25</f>
        <v/>
      </c>
      <c r="BN25" s="82">
        <f>BL25</f>
        <v/>
      </c>
      <c r="BO25" s="82">
        <f>BM25</f>
        <v/>
      </c>
      <c r="BP25" s="82">
        <f>BN25</f>
        <v/>
      </c>
      <c r="BQ25" s="82">
        <f>BO25</f>
        <v/>
      </c>
      <c r="BR25" s="82">
        <f>BP25</f>
        <v/>
      </c>
      <c r="BS25" s="82">
        <f>BQ25</f>
        <v/>
      </c>
      <c r="BT25" s="82">
        <f>BR25</f>
        <v/>
      </c>
      <c r="BU25" s="82">
        <f>BS25</f>
        <v/>
      </c>
      <c r="BV25" s="82">
        <f>BT25</f>
        <v/>
      </c>
      <c r="BW25" s="82">
        <f>BU25</f>
        <v/>
      </c>
      <c r="BX25" s="82">
        <f>BV25</f>
        <v/>
      </c>
      <c r="BY25" s="82">
        <f>BW25</f>
        <v/>
      </c>
      <c r="BZ25" s="82">
        <f>BX25</f>
        <v/>
      </c>
      <c r="CA25" s="82">
        <f>BY25</f>
        <v/>
      </c>
      <c r="CB25" s="82">
        <f>BZ25</f>
        <v/>
      </c>
      <c r="CC25" s="82">
        <f>CA25</f>
        <v/>
      </c>
      <c r="CD25" s="82">
        <f>CB25</f>
        <v/>
      </c>
      <c r="CE25" s="82">
        <f>CC25</f>
        <v/>
      </c>
      <c r="CF25" s="82">
        <f>CD25</f>
        <v/>
      </c>
      <c r="CG25" s="82">
        <f>CE25</f>
        <v/>
      </c>
      <c r="CH25" s="82">
        <f>CF25</f>
        <v/>
      </c>
      <c r="CI25" s="82">
        <f>CG25</f>
        <v/>
      </c>
      <c r="CJ25" s="82">
        <f>CH25</f>
        <v/>
      </c>
      <c r="CK25" s="82">
        <f>CI25</f>
        <v/>
      </c>
      <c r="CL25" s="82">
        <f>CJ25</f>
        <v/>
      </c>
      <c r="CM25" s="82">
        <f>CK25</f>
        <v/>
      </c>
      <c r="CN25" s="82">
        <f>CL25</f>
        <v/>
      </c>
      <c r="CO25" s="82">
        <f>CM25</f>
        <v/>
      </c>
      <c r="CP25" s="82">
        <f>CN25</f>
        <v/>
      </c>
      <c r="CQ25" s="82">
        <f>CO25</f>
        <v/>
      </c>
      <c r="CR25" s="82">
        <f>CP25</f>
        <v/>
      </c>
      <c r="CT25" s="82">
        <f>CR25</f>
        <v/>
      </c>
      <c r="CU25" s="82">
        <f>CT25</f>
        <v/>
      </c>
      <c r="CV25" s="82">
        <f>CT25</f>
        <v/>
      </c>
      <c r="CW25" s="82">
        <f>CU25</f>
        <v/>
      </c>
      <c r="CX25" s="82">
        <f>CV25</f>
        <v/>
      </c>
      <c r="CY25" s="82">
        <f>CW25</f>
        <v/>
      </c>
      <c r="CZ25" s="82">
        <f>CX25</f>
        <v/>
      </c>
      <c r="DA25" s="82">
        <f>CY25</f>
        <v/>
      </c>
      <c r="DB25" s="82">
        <f>CZ25</f>
        <v/>
      </c>
      <c r="DC25" s="82">
        <f>DA25</f>
        <v/>
      </c>
      <c r="DD25" s="82">
        <f>DB25</f>
        <v/>
      </c>
      <c r="DE25" s="82">
        <f>DC25</f>
        <v/>
      </c>
      <c r="DF25" s="82">
        <f>DD25</f>
        <v/>
      </c>
      <c r="DG25" s="82">
        <f>DE25</f>
        <v/>
      </c>
      <c r="DH25" s="82">
        <f>DF25</f>
        <v/>
      </c>
      <c r="DI25" s="82">
        <f>DG25</f>
        <v/>
      </c>
      <c r="DJ25" s="82">
        <f>DH25</f>
        <v/>
      </c>
      <c r="DK25" s="82">
        <f>DI25</f>
        <v/>
      </c>
      <c r="DL25" s="82">
        <f>DJ25</f>
        <v/>
      </c>
      <c r="DM25" s="82">
        <f>DK25</f>
        <v/>
      </c>
      <c r="DN25" s="82">
        <f>DL25</f>
        <v/>
      </c>
      <c r="DO25" s="82">
        <f>DM25</f>
        <v/>
      </c>
      <c r="DP25" s="82">
        <f>DN25</f>
        <v/>
      </c>
      <c r="DQ25" s="82">
        <f>DO25</f>
        <v/>
      </c>
      <c r="DR25" s="82">
        <f>DP25</f>
        <v/>
      </c>
      <c r="DS25" s="82">
        <f>DQ25</f>
        <v/>
      </c>
      <c r="DT25" s="82">
        <f>DR25</f>
        <v/>
      </c>
      <c r="DU25" s="82">
        <f>DS25</f>
        <v/>
      </c>
      <c r="DV25" s="82">
        <f>DT25</f>
        <v/>
      </c>
      <c r="DW25" s="82">
        <f>DU25</f>
        <v/>
      </c>
      <c r="DX25" s="117" t="n"/>
      <c r="DY25" s="82">
        <f>DW25</f>
        <v/>
      </c>
      <c r="DZ25" s="82">
        <f>DY25</f>
        <v/>
      </c>
      <c r="EA25" s="82">
        <f>DY25</f>
        <v/>
      </c>
      <c r="EB25" s="82">
        <f>DZ25</f>
        <v/>
      </c>
      <c r="EC25" s="82">
        <f>EA25</f>
        <v/>
      </c>
      <c r="ED25" s="82">
        <f>EB25</f>
        <v/>
      </c>
      <c r="EE25" s="82">
        <f>EC25</f>
        <v/>
      </c>
      <c r="EF25" s="82">
        <f>ED25</f>
        <v/>
      </c>
      <c r="EG25" s="82">
        <f>EE25</f>
        <v/>
      </c>
      <c r="EH25" s="82">
        <f>EF25</f>
        <v/>
      </c>
      <c r="EI25" s="82">
        <f>EG25</f>
        <v/>
      </c>
      <c r="EJ25" s="82">
        <f>EH25</f>
        <v/>
      </c>
      <c r="EK25" s="82">
        <f>EI25</f>
        <v/>
      </c>
      <c r="EL25" s="82">
        <f>EJ25</f>
        <v/>
      </c>
      <c r="EM25" s="82">
        <f>EK25</f>
        <v/>
      </c>
      <c r="EN25" s="82">
        <f>EL25</f>
        <v/>
      </c>
      <c r="EO25" s="82">
        <f>EM25</f>
        <v/>
      </c>
      <c r="EP25" s="82">
        <f>EN25</f>
        <v/>
      </c>
      <c r="EQ25" s="82">
        <f>EO25</f>
        <v/>
      </c>
      <c r="ER25" s="82">
        <f>EP25</f>
        <v/>
      </c>
      <c r="ES25" s="82">
        <f>EQ25</f>
        <v/>
      </c>
      <c r="ET25" s="82">
        <f>ER25</f>
        <v/>
      </c>
      <c r="EU25" s="82">
        <f>ES25</f>
        <v/>
      </c>
      <c r="EV25" s="82">
        <f>ET25</f>
        <v/>
      </c>
      <c r="EW25" s="82">
        <f>EU25</f>
        <v/>
      </c>
      <c r="EX25" s="82">
        <f>EV25</f>
        <v/>
      </c>
      <c r="EY25" s="82">
        <f>EW25</f>
        <v/>
      </c>
      <c r="EZ25" s="82">
        <f>EX25</f>
        <v/>
      </c>
      <c r="FA25" s="82">
        <f>EY25</f>
        <v/>
      </c>
      <c r="FB25" s="82">
        <f>EZ25</f>
        <v/>
      </c>
      <c r="FC25" s="82">
        <f>FA25</f>
        <v/>
      </c>
      <c r="FD25" s="126" t="n"/>
      <c r="FE25" s="82">
        <f>FC25</f>
        <v/>
      </c>
      <c r="FF25" s="82">
        <f>FE25</f>
        <v/>
      </c>
      <c r="FG25" s="82">
        <f>FE25</f>
        <v/>
      </c>
      <c r="FH25" s="82">
        <f>FF25</f>
        <v/>
      </c>
      <c r="FI25" s="82">
        <f>FG25</f>
        <v/>
      </c>
      <c r="FJ25" s="82">
        <f>FH25</f>
        <v/>
      </c>
      <c r="FK25" s="82">
        <f>FI25</f>
        <v/>
      </c>
      <c r="FL25" s="82">
        <f>FJ25</f>
        <v/>
      </c>
      <c r="FM25" s="82">
        <f>FK25</f>
        <v/>
      </c>
      <c r="FN25" s="82">
        <f>FL25</f>
        <v/>
      </c>
      <c r="FO25" s="82">
        <f>FM25</f>
        <v/>
      </c>
      <c r="FP25" s="82">
        <f>FN25</f>
        <v/>
      </c>
      <c r="FQ25" s="82">
        <f>FO25</f>
        <v/>
      </c>
      <c r="FR25" s="82">
        <f>FP25</f>
        <v/>
      </c>
      <c r="FS25" s="82">
        <f>FQ25</f>
        <v/>
      </c>
      <c r="FT25" s="82">
        <f>FR25</f>
        <v/>
      </c>
      <c r="FU25" s="82">
        <f>FS25</f>
        <v/>
      </c>
      <c r="FV25" s="82">
        <f>FT25</f>
        <v/>
      </c>
      <c r="FW25" s="82">
        <f>FU25</f>
        <v/>
      </c>
      <c r="FX25" s="82">
        <f>FV25</f>
        <v/>
      </c>
      <c r="FY25" s="82">
        <f>FW25</f>
        <v/>
      </c>
      <c r="FZ25" s="82">
        <f>FX25</f>
        <v/>
      </c>
      <c r="GA25" s="82">
        <f>FY25</f>
        <v/>
      </c>
      <c r="GB25" s="82">
        <f>FZ25</f>
        <v/>
      </c>
      <c r="GC25" s="82">
        <f>GA25</f>
        <v/>
      </c>
      <c r="GD25" s="82">
        <f>GB25</f>
        <v/>
      </c>
      <c r="GE25" s="82">
        <f>GC25</f>
        <v/>
      </c>
      <c r="GF25" s="82">
        <f>GD25</f>
        <v/>
      </c>
      <c r="GG25" s="82">
        <f>GE25</f>
        <v/>
      </c>
      <c r="GH25" s="82">
        <f>GF25</f>
        <v/>
      </c>
      <c r="GI25" s="82">
        <f>GG25</f>
        <v/>
      </c>
      <c r="GJ25" s="130" t="n"/>
      <c r="GK25" s="82">
        <f>GI25</f>
        <v/>
      </c>
      <c r="GL25" s="82">
        <f>GK25</f>
        <v/>
      </c>
      <c r="GM25" s="82">
        <f>GK25</f>
        <v/>
      </c>
      <c r="GN25" s="82">
        <f>GL25</f>
        <v/>
      </c>
      <c r="GO25" s="82">
        <f>GM25</f>
        <v/>
      </c>
      <c r="GP25" s="82">
        <f>GN25</f>
        <v/>
      </c>
      <c r="GQ25" s="82">
        <f>GO25</f>
        <v/>
      </c>
      <c r="GR25" s="82">
        <f>GP25</f>
        <v/>
      </c>
      <c r="GS25" s="82">
        <f>GQ25</f>
        <v/>
      </c>
      <c r="GT25" s="82">
        <f>GR25</f>
        <v/>
      </c>
      <c r="GU25" s="82">
        <f>GS25</f>
        <v/>
      </c>
      <c r="GV25" s="82">
        <f>GT25</f>
        <v/>
      </c>
      <c r="GW25" s="82">
        <f>GU25</f>
        <v/>
      </c>
      <c r="GX25" s="82">
        <f>GV25</f>
        <v/>
      </c>
      <c r="GY25" s="82">
        <f>GW25</f>
        <v/>
      </c>
      <c r="GZ25" s="82">
        <f>GX25</f>
        <v/>
      </c>
      <c r="HA25" s="82">
        <f>GY25</f>
        <v/>
      </c>
      <c r="HB25" s="82">
        <f>GZ25</f>
        <v/>
      </c>
      <c r="HC25" s="82">
        <f>HA25</f>
        <v/>
      </c>
      <c r="HD25" s="82">
        <f>HB25</f>
        <v/>
      </c>
      <c r="HE25" s="82">
        <f>HC25</f>
        <v/>
      </c>
      <c r="HF25" s="82">
        <f>HD25</f>
        <v/>
      </c>
      <c r="HG25" s="82">
        <f>HE25</f>
        <v/>
      </c>
      <c r="HH25" s="82">
        <f>HF25</f>
        <v/>
      </c>
      <c r="HI25" s="82">
        <f>HG25</f>
        <v/>
      </c>
      <c r="HJ25" s="82">
        <f>HH25</f>
        <v/>
      </c>
      <c r="HK25" s="82">
        <f>HI25</f>
        <v/>
      </c>
      <c r="HL25" s="82">
        <f>HJ25</f>
        <v/>
      </c>
      <c r="HM25" s="82">
        <f>HK25</f>
        <v/>
      </c>
      <c r="HN25" s="130" t="n"/>
      <c r="HO25" s="82">
        <f>HM25</f>
        <v/>
      </c>
      <c r="HP25" s="82">
        <f>HO25</f>
        <v/>
      </c>
      <c r="HQ25" s="82">
        <f>HO25</f>
        <v/>
      </c>
      <c r="HR25" s="82">
        <f>HP25</f>
        <v/>
      </c>
      <c r="HS25" s="82">
        <f>HQ25</f>
        <v/>
      </c>
      <c r="HT25" s="82">
        <f>HR25</f>
        <v/>
      </c>
      <c r="HU25" s="82">
        <f>HS25</f>
        <v/>
      </c>
      <c r="HV25" s="82">
        <f>HT25</f>
        <v/>
      </c>
      <c r="HW25" s="82">
        <f>HU25</f>
        <v/>
      </c>
      <c r="HX25" s="82">
        <f>HV25</f>
        <v/>
      </c>
      <c r="HY25" s="82">
        <f>HW25</f>
        <v/>
      </c>
      <c r="HZ25" s="82">
        <f>HX25</f>
        <v/>
      </c>
      <c r="IA25" s="82">
        <f>HY25</f>
        <v/>
      </c>
      <c r="IB25" s="82">
        <f>HZ25</f>
        <v/>
      </c>
      <c r="IC25" s="82">
        <f>IA25</f>
        <v/>
      </c>
      <c r="ID25" s="82">
        <f>IB25</f>
        <v/>
      </c>
      <c r="IE25" s="82">
        <f>IC25</f>
        <v/>
      </c>
      <c r="IF25" s="82">
        <f>ID25</f>
        <v/>
      </c>
      <c r="IG25" s="82">
        <f>IE25</f>
        <v/>
      </c>
      <c r="IH25" s="82">
        <f>IF25</f>
        <v/>
      </c>
      <c r="II25" s="82">
        <f>IG25</f>
        <v/>
      </c>
      <c r="IJ25" s="82">
        <f>IH25</f>
        <v/>
      </c>
      <c r="IK25" s="82">
        <f>II25</f>
        <v/>
      </c>
      <c r="IL25" s="82">
        <f>IJ25</f>
        <v/>
      </c>
      <c r="IM25" s="82">
        <f>IK25</f>
        <v/>
      </c>
      <c r="IN25" s="82">
        <f>IL25</f>
        <v/>
      </c>
      <c r="IO25" s="82">
        <f>IM25</f>
        <v/>
      </c>
      <c r="IP25" s="82">
        <f>IN25</f>
        <v/>
      </c>
      <c r="IQ25" s="82">
        <f>IO25</f>
        <v/>
      </c>
      <c r="IR25" s="82">
        <f>IP25</f>
        <v/>
      </c>
      <c r="IS25" s="82">
        <f>IQ25</f>
        <v/>
      </c>
      <c r="IT25" s="130" t="n"/>
      <c r="IU25" s="82">
        <f>IS25</f>
        <v/>
      </c>
      <c r="IV25" s="82">
        <f>IU25</f>
        <v/>
      </c>
      <c r="IW25" s="82">
        <f>IV25</f>
        <v/>
      </c>
      <c r="IX25" s="82">
        <f>IW25</f>
        <v/>
      </c>
      <c r="IY25" s="82">
        <f>IX25</f>
        <v/>
      </c>
      <c r="IZ25" s="82">
        <f>IY25</f>
        <v/>
      </c>
      <c r="JA25" s="82">
        <f>IZ25</f>
        <v/>
      </c>
      <c r="JB25" s="82">
        <f>JA25</f>
        <v/>
      </c>
      <c r="JC25" s="82">
        <f>JB25</f>
        <v/>
      </c>
      <c r="JD25" s="82">
        <f>JC25</f>
        <v/>
      </c>
      <c r="JE25" s="82">
        <f>JD25</f>
        <v/>
      </c>
      <c r="JF25" s="82">
        <f>JE25</f>
        <v/>
      </c>
      <c r="JG25" s="82">
        <f>JF25</f>
        <v/>
      </c>
      <c r="JH25" s="82">
        <f>JG25</f>
        <v/>
      </c>
      <c r="JI25" s="82">
        <f>JH25</f>
        <v/>
      </c>
      <c r="JJ25" s="82">
        <f>JI25</f>
        <v/>
      </c>
      <c r="JK25" s="82">
        <f>JJ25</f>
        <v/>
      </c>
      <c r="JL25" s="82">
        <f>JK25</f>
        <v/>
      </c>
      <c r="JM25" s="82">
        <f>JL25</f>
        <v/>
      </c>
      <c r="JN25" s="82">
        <f>JM25</f>
        <v/>
      </c>
      <c r="JO25" s="82">
        <f>JN25</f>
        <v/>
      </c>
      <c r="JP25" s="82">
        <f>JO25</f>
        <v/>
      </c>
      <c r="JQ25" s="82">
        <f>JP25</f>
        <v/>
      </c>
      <c r="JR25" s="82">
        <f>JQ25</f>
        <v/>
      </c>
      <c r="JS25" s="82">
        <f>JR25</f>
        <v/>
      </c>
      <c r="JT25" s="82">
        <f>JS25</f>
        <v/>
      </c>
      <c r="JU25" s="82">
        <f>JT25</f>
        <v/>
      </c>
      <c r="JV25" s="82">
        <f>JU25</f>
        <v/>
      </c>
      <c r="JW25" s="82">
        <f>JV25</f>
        <v/>
      </c>
      <c r="JX25" s="82">
        <f>JW25</f>
        <v/>
      </c>
      <c r="JY25" s="133" t="n"/>
      <c r="JZ25" s="82">
        <f>JX25</f>
        <v/>
      </c>
      <c r="KA25" s="82">
        <f>JZ25</f>
        <v/>
      </c>
      <c r="KB25" s="82">
        <f>JZ25</f>
        <v/>
      </c>
      <c r="KC25" s="82">
        <f>KA25</f>
        <v/>
      </c>
      <c r="KD25" s="82">
        <f>KB25</f>
        <v/>
      </c>
      <c r="KE25" s="82">
        <f>KC25</f>
        <v/>
      </c>
      <c r="KF25" s="82">
        <f>KD25</f>
        <v/>
      </c>
      <c r="KG25" s="82">
        <f>KE25</f>
        <v/>
      </c>
      <c r="KH25" s="82">
        <f>KF25</f>
        <v/>
      </c>
      <c r="KI25" s="82">
        <f>KG25</f>
        <v/>
      </c>
      <c r="KJ25" s="82">
        <f>KH25</f>
        <v/>
      </c>
      <c r="KK25" s="82">
        <f>KI25</f>
        <v/>
      </c>
      <c r="KL25" s="82">
        <f>KJ25</f>
        <v/>
      </c>
      <c r="KM25" s="82">
        <f>KK25</f>
        <v/>
      </c>
      <c r="KN25" s="82">
        <f>KL25</f>
        <v/>
      </c>
      <c r="KO25" s="82">
        <f>KM25</f>
        <v/>
      </c>
      <c r="KP25" s="82">
        <f>KN25</f>
        <v/>
      </c>
      <c r="KQ25" s="82">
        <f>KO25</f>
        <v/>
      </c>
      <c r="KR25" s="82">
        <f>KP25</f>
        <v/>
      </c>
      <c r="KS25" s="82">
        <f>KQ25</f>
        <v/>
      </c>
      <c r="KT25" s="82">
        <f>KR25</f>
        <v/>
      </c>
      <c r="KU25" s="82">
        <f>KS25</f>
        <v/>
      </c>
      <c r="KV25" s="82">
        <f>KT25</f>
        <v/>
      </c>
      <c r="KW25" s="82">
        <f>KU25</f>
        <v/>
      </c>
      <c r="KX25" s="82">
        <f>KV25</f>
        <v/>
      </c>
      <c r="KY25" s="82">
        <f>KW25</f>
        <v/>
      </c>
      <c r="KZ25" s="82">
        <f>KX25</f>
        <v/>
      </c>
      <c r="LA25" s="82">
        <f>KY25</f>
        <v/>
      </c>
      <c r="LB25" s="82">
        <f>KZ25</f>
        <v/>
      </c>
      <c r="LC25" s="82">
        <f>LA25</f>
        <v/>
      </c>
      <c r="LD25" s="82">
        <f>LB25</f>
        <v/>
      </c>
      <c r="LE25" s="130" t="n"/>
      <c r="LF25" s="82">
        <f>LD25</f>
        <v/>
      </c>
      <c r="LG25" s="82">
        <f>LF25</f>
        <v/>
      </c>
      <c r="LH25" s="82">
        <f>LG25</f>
        <v/>
      </c>
      <c r="LI25" s="82">
        <f>LH25</f>
        <v/>
      </c>
      <c r="LJ25" s="82">
        <f>LI25</f>
        <v/>
      </c>
      <c r="LK25" s="82">
        <f>LJ25</f>
        <v/>
      </c>
      <c r="LL25" s="82">
        <f>LK25</f>
        <v/>
      </c>
      <c r="LM25" s="82">
        <f>LL25</f>
        <v/>
      </c>
      <c r="LN25" s="82">
        <f>LM25</f>
        <v/>
      </c>
      <c r="LO25" s="82">
        <f>LN25</f>
        <v/>
      </c>
      <c r="LP25" s="82">
        <f>LO25</f>
        <v/>
      </c>
      <c r="LQ25" s="82">
        <f>LP25</f>
        <v/>
      </c>
      <c r="LR25" s="82">
        <f>LQ25</f>
        <v/>
      </c>
      <c r="LS25" s="82">
        <f>LR25</f>
        <v/>
      </c>
      <c r="LT25" s="82">
        <f>LS25</f>
        <v/>
      </c>
      <c r="LU25" s="82">
        <f>LT25</f>
        <v/>
      </c>
      <c r="LV25" s="82">
        <f>LU25</f>
        <v/>
      </c>
      <c r="LW25" s="82">
        <f>LV25</f>
        <v/>
      </c>
      <c r="LX25" s="82">
        <f>LW25</f>
        <v/>
      </c>
      <c r="LY25" s="82">
        <f>LX25</f>
        <v/>
      </c>
      <c r="LZ25" s="82">
        <f>LY25</f>
        <v/>
      </c>
      <c r="MA25" s="82">
        <f>LZ25</f>
        <v/>
      </c>
      <c r="MB25" s="82">
        <f>MA25</f>
        <v/>
      </c>
      <c r="MC25" s="82">
        <f>MB25</f>
        <v/>
      </c>
      <c r="MD25" s="82">
        <f>MC25</f>
        <v/>
      </c>
      <c r="ME25" s="82">
        <f>MD25</f>
        <v/>
      </c>
      <c r="MF25" s="82">
        <f>ME25</f>
        <v/>
      </c>
      <c r="MG25" s="82">
        <f>MF25</f>
        <v/>
      </c>
      <c r="MH25" s="82">
        <f>MG25</f>
        <v/>
      </c>
      <c r="MI25" s="82">
        <f>MH25</f>
        <v/>
      </c>
      <c r="MJ25" s="133" t="n"/>
      <c r="MK25" s="82">
        <f>MI25</f>
        <v/>
      </c>
      <c r="ML25" s="82">
        <f>MK25</f>
        <v/>
      </c>
      <c r="MM25" s="82">
        <f>MK25</f>
        <v/>
      </c>
      <c r="MN25" s="82">
        <f>ML25</f>
        <v/>
      </c>
      <c r="MO25" s="82">
        <f>MM25</f>
        <v/>
      </c>
      <c r="MP25" s="82">
        <f>MN25</f>
        <v/>
      </c>
      <c r="MQ25" s="82">
        <f>MO25</f>
        <v/>
      </c>
      <c r="MR25" s="82">
        <f>MP25</f>
        <v/>
      </c>
      <c r="MS25" s="82">
        <f>MQ25</f>
        <v/>
      </c>
      <c r="MT25" s="82">
        <f>MR25</f>
        <v/>
      </c>
      <c r="MU25" s="82">
        <f>MS25</f>
        <v/>
      </c>
      <c r="MV25" s="82">
        <f>MT25</f>
        <v/>
      </c>
      <c r="MW25" s="82">
        <f>MU25</f>
        <v/>
      </c>
      <c r="MX25" s="82">
        <f>MV25</f>
        <v/>
      </c>
      <c r="MY25" s="82">
        <f>MW25</f>
        <v/>
      </c>
      <c r="MZ25" s="82">
        <f>MX25</f>
        <v/>
      </c>
      <c r="NA25" s="82">
        <f>MY25</f>
        <v/>
      </c>
      <c r="NB25" s="82">
        <f>MZ25</f>
        <v/>
      </c>
      <c r="NC25" s="82">
        <f>NA25</f>
        <v/>
      </c>
      <c r="ND25" s="82">
        <f>NB25</f>
        <v/>
      </c>
      <c r="NE25" s="82">
        <f>NC25</f>
        <v/>
      </c>
      <c r="NF25" s="82">
        <f>ND25</f>
        <v/>
      </c>
      <c r="NG25" s="82">
        <f>NE25</f>
        <v/>
      </c>
      <c r="NH25" s="82">
        <f>NF25</f>
        <v/>
      </c>
      <c r="NI25" s="82">
        <f>NG25</f>
        <v/>
      </c>
      <c r="NJ25" s="82">
        <f>NH25</f>
        <v/>
      </c>
      <c r="NK25" s="82">
        <f>NI25</f>
        <v/>
      </c>
      <c r="NL25" s="82">
        <f>NJ25</f>
        <v/>
      </c>
      <c r="NM25" s="82">
        <f>NK25</f>
        <v/>
      </c>
      <c r="NN25" s="82">
        <f>NL25</f>
        <v/>
      </c>
      <c r="NO25" s="82">
        <f>NM25</f>
        <v/>
      </c>
      <c r="NP25" s="133" t="n"/>
      <c r="NQ25" s="82">
        <f>NO25</f>
        <v/>
      </c>
      <c r="NR25" s="82">
        <f>NQ25</f>
        <v/>
      </c>
      <c r="NS25" s="82">
        <f>NQ25</f>
        <v/>
      </c>
      <c r="NT25" s="82">
        <f>NR25</f>
        <v/>
      </c>
      <c r="NU25" s="82">
        <f>NS25</f>
        <v/>
      </c>
      <c r="NV25" s="82">
        <f>NT25</f>
        <v/>
      </c>
      <c r="NW25" s="82">
        <f>NU25</f>
        <v/>
      </c>
      <c r="NX25" s="82">
        <f>NV25</f>
        <v/>
      </c>
      <c r="NY25" s="82">
        <f>NW25</f>
        <v/>
      </c>
      <c r="NZ25" s="82">
        <f>NX25</f>
        <v/>
      </c>
      <c r="OA25" s="82">
        <f>NY25</f>
        <v/>
      </c>
      <c r="OB25" s="82">
        <f>NZ25</f>
        <v/>
      </c>
      <c r="OC25" s="82">
        <f>OA25</f>
        <v/>
      </c>
      <c r="OD25" s="82">
        <f>OB25</f>
        <v/>
      </c>
      <c r="OE25" s="82">
        <f>OC25</f>
        <v/>
      </c>
      <c r="OF25" s="82">
        <f>OD25</f>
        <v/>
      </c>
      <c r="OG25" s="82">
        <f>OE25</f>
        <v/>
      </c>
      <c r="OH25" s="82">
        <f>OF25</f>
        <v/>
      </c>
      <c r="OI25" s="82">
        <f>OG25</f>
        <v/>
      </c>
      <c r="OJ25" s="82">
        <f>OH25</f>
        <v/>
      </c>
      <c r="OK25" s="82">
        <f>OI25</f>
        <v/>
      </c>
      <c r="OL25" s="82">
        <f>OJ25</f>
        <v/>
      </c>
      <c r="OM25" s="82">
        <f>OK25</f>
        <v/>
      </c>
      <c r="ON25" s="82">
        <f>OL25</f>
        <v/>
      </c>
      <c r="OO25" s="82">
        <f>OM25</f>
        <v/>
      </c>
      <c r="OP25" s="82">
        <f>ON25</f>
        <v/>
      </c>
      <c r="OQ25" s="82">
        <f>OO25</f>
        <v/>
      </c>
      <c r="OR25" s="82">
        <f>OP25</f>
        <v/>
      </c>
      <c r="OS25" s="82">
        <f>OQ25</f>
        <v/>
      </c>
      <c r="OT25" s="82">
        <f>OR25</f>
        <v/>
      </c>
      <c r="OU25" s="82">
        <f>OS25</f>
        <v/>
      </c>
      <c r="OV25" s="130" t="n"/>
      <c r="OW25" s="82" t="n">
        <v>0</v>
      </c>
      <c r="OX25" s="82" t="n">
        <v>0</v>
      </c>
      <c r="OY25" s="82" t="n">
        <v>0</v>
      </c>
      <c r="OZ25" s="82" t="n">
        <v>0</v>
      </c>
      <c r="PA25" s="82" t="n">
        <v>0</v>
      </c>
      <c r="PB25" s="82" t="n">
        <v>0</v>
      </c>
      <c r="PC25" s="82" t="n">
        <v>0</v>
      </c>
      <c r="PD25" s="82" t="n">
        <v>0</v>
      </c>
      <c r="PE25" s="82" t="n">
        <v>0</v>
      </c>
      <c r="PF25" s="82" t="n">
        <v>0</v>
      </c>
      <c r="PG25" s="82" t="n">
        <v>0</v>
      </c>
      <c r="PH25" s="82" t="n">
        <v>0</v>
      </c>
      <c r="PI25" s="82" t="n">
        <v>0</v>
      </c>
      <c r="PJ25" s="82" t="n">
        <v>0</v>
      </c>
      <c r="PK25" s="82" t="n">
        <v>0</v>
      </c>
      <c r="PL25" s="82" t="n">
        <v>0</v>
      </c>
      <c r="PM25" s="82" t="n">
        <v>0</v>
      </c>
      <c r="PN25" s="82" t="n">
        <v>0</v>
      </c>
      <c r="PO25" s="82" t="n">
        <v>0</v>
      </c>
      <c r="PP25" s="82" t="n">
        <v>0</v>
      </c>
      <c r="PQ25" s="82" t="n">
        <v>0</v>
      </c>
      <c r="PR25" s="82" t="n">
        <v>0</v>
      </c>
      <c r="PS25" s="82" t="n">
        <v>0</v>
      </c>
      <c r="PT25" s="82" t="n">
        <v>0</v>
      </c>
      <c r="PU25" s="82" t="n">
        <v>0</v>
      </c>
      <c r="PV25" s="82" t="n">
        <v>0</v>
      </c>
      <c r="PW25" s="82" t="n">
        <v>0</v>
      </c>
      <c r="PX25" s="82" t="n">
        <v>0</v>
      </c>
      <c r="PY25" s="82" t="n">
        <v>0</v>
      </c>
      <c r="PZ25" s="82" t="n">
        <v>0</v>
      </c>
      <c r="QA25" s="130" t="n"/>
      <c r="QB25" s="82" t="n">
        <v>0</v>
      </c>
      <c r="QC25" s="82" t="n">
        <v>0</v>
      </c>
      <c r="QD25" s="82" t="n">
        <v>0</v>
      </c>
      <c r="QE25" s="82" t="n">
        <v>0</v>
      </c>
      <c r="QF25" s="82" t="n">
        <v>0</v>
      </c>
      <c r="QG25" s="82" t="n">
        <v>0</v>
      </c>
      <c r="QH25" s="82" t="n">
        <v>0</v>
      </c>
      <c r="QI25" s="82" t="n">
        <v>0</v>
      </c>
      <c r="QJ25" s="82" t="n">
        <v>0</v>
      </c>
      <c r="QK25" s="82" t="n">
        <v>0</v>
      </c>
      <c r="QL25" s="82" t="n">
        <v>0</v>
      </c>
      <c r="QM25" s="82" t="n">
        <v>0</v>
      </c>
      <c r="QN25" s="82" t="n">
        <v>0</v>
      </c>
      <c r="QO25" s="82" t="n">
        <v>0</v>
      </c>
      <c r="QP25" s="82" t="n">
        <v>0</v>
      </c>
      <c r="QQ25" s="82" t="n">
        <v>0</v>
      </c>
      <c r="QR25" s="82" t="n">
        <v>0</v>
      </c>
      <c r="QS25" s="82" t="n">
        <v>0</v>
      </c>
      <c r="QT25" s="82" t="n">
        <v>0</v>
      </c>
      <c r="QU25" s="82" t="n">
        <v>0</v>
      </c>
      <c r="QV25" s="82" t="n">
        <v>0</v>
      </c>
      <c r="QW25" s="82" t="n">
        <v>0</v>
      </c>
      <c r="QX25" s="82" t="n">
        <v>0</v>
      </c>
      <c r="QY25" s="82" t="n">
        <v>0</v>
      </c>
      <c r="QZ25" s="82" t="n">
        <v>0</v>
      </c>
      <c r="RA25" s="82" t="n">
        <v>0</v>
      </c>
      <c r="RB25" s="82" t="n">
        <v>0</v>
      </c>
      <c r="RC25" s="82" t="n">
        <v>0</v>
      </c>
      <c r="RD25" s="82" t="n">
        <v>0</v>
      </c>
      <c r="RE25" s="82" t="n">
        <v>0</v>
      </c>
      <c r="RF25" s="82" t="n">
        <v>0</v>
      </c>
      <c r="RG25" s="130" t="n"/>
      <c r="RH25" s="82" t="n">
        <v>0</v>
      </c>
      <c r="RI25" s="82" t="n">
        <v>0</v>
      </c>
      <c r="RJ25" s="82" t="n">
        <v>0</v>
      </c>
      <c r="RK25" s="82" t="n">
        <v>0</v>
      </c>
      <c r="RL25" s="82" t="n">
        <v>0</v>
      </c>
      <c r="RM25" s="82" t="n">
        <v>0</v>
      </c>
      <c r="RN25" s="82" t="n">
        <v>0</v>
      </c>
      <c r="RO25" s="82" t="n">
        <v>0</v>
      </c>
      <c r="RP25" s="82" t="n">
        <v>0</v>
      </c>
      <c r="RQ25" s="82" t="n">
        <v>0</v>
      </c>
      <c r="RR25" s="82" t="n">
        <v>0</v>
      </c>
      <c r="RS25" s="82" t="n">
        <v>0</v>
      </c>
      <c r="RT25" s="82" t="n">
        <v>0</v>
      </c>
      <c r="RU25" s="82" t="n">
        <v>0</v>
      </c>
      <c r="RV25" s="82" t="n">
        <v>0</v>
      </c>
      <c r="RW25" s="82" t="n">
        <v>0</v>
      </c>
      <c r="RX25" s="82" t="n">
        <v>0</v>
      </c>
      <c r="RY25" s="82" t="n">
        <v>0</v>
      </c>
      <c r="RZ25" s="82" t="n">
        <v>0</v>
      </c>
      <c r="SA25" s="82" t="n">
        <v>0</v>
      </c>
      <c r="SB25" s="82" t="n">
        <v>0</v>
      </c>
      <c r="SC25" s="82" t="n">
        <v>0</v>
      </c>
      <c r="SD25" s="82" t="n">
        <v>0</v>
      </c>
      <c r="SE25" s="82" t="n">
        <v>0</v>
      </c>
      <c r="SF25" s="82" t="n">
        <v>0</v>
      </c>
      <c r="SG25" s="82" t="n">
        <v>0</v>
      </c>
      <c r="SH25" s="82" t="n">
        <v>0</v>
      </c>
      <c r="SI25" s="82" t="n">
        <v>0</v>
      </c>
      <c r="SJ25" s="82" t="n">
        <v>0</v>
      </c>
      <c r="SK25" s="82" t="n">
        <v>0</v>
      </c>
      <c r="SL25" s="130" t="n"/>
      <c r="SM25" s="82" t="n">
        <v>0</v>
      </c>
      <c r="SN25" s="82" t="n">
        <v>0</v>
      </c>
      <c r="SO25" s="82" t="n">
        <v>0</v>
      </c>
      <c r="SP25" s="82" t="n">
        <v>0</v>
      </c>
      <c r="SQ25" s="82" t="n">
        <v>0</v>
      </c>
      <c r="SR25" s="82" t="n">
        <v>0</v>
      </c>
      <c r="SS25" s="82" t="n">
        <v>0</v>
      </c>
      <c r="ST25" s="82" t="n">
        <v>0</v>
      </c>
      <c r="SU25" s="82" t="n">
        <v>0</v>
      </c>
      <c r="SV25" s="82" t="n">
        <v>0</v>
      </c>
      <c r="SW25" s="82" t="n">
        <v>0</v>
      </c>
      <c r="SX25" s="82" t="n">
        <v>0</v>
      </c>
      <c r="SY25" s="82" t="n">
        <v>0</v>
      </c>
      <c r="SZ25" s="82" t="n">
        <v>0</v>
      </c>
      <c r="TA25" s="82" t="n">
        <v>0</v>
      </c>
      <c r="TB25" s="82" t="n">
        <v>0</v>
      </c>
      <c r="TC25" s="82" t="n">
        <v>0</v>
      </c>
      <c r="TD25" s="82" t="n">
        <v>0</v>
      </c>
      <c r="TE25" s="82" t="n">
        <v>0</v>
      </c>
      <c r="TF25" s="82" t="n">
        <v>0</v>
      </c>
      <c r="TG25" s="82" t="n">
        <v>0</v>
      </c>
      <c r="TH25" s="82" t="n">
        <v>0</v>
      </c>
      <c r="TI25" s="82" t="n">
        <v>0</v>
      </c>
      <c r="TJ25" s="82" t="n">
        <v>0</v>
      </c>
      <c r="TK25" s="82" t="n">
        <v>0</v>
      </c>
      <c r="TL25" s="82" t="n">
        <v>0</v>
      </c>
      <c r="TM25" s="82" t="n">
        <v>0</v>
      </c>
      <c r="TN25" s="82" t="n">
        <v>0</v>
      </c>
      <c r="TO25" s="82" t="n">
        <v>0</v>
      </c>
      <c r="TP25" s="82" t="n">
        <v>0</v>
      </c>
      <c r="TQ25" s="82" t="n">
        <v>0</v>
      </c>
      <c r="TR25" s="130" t="n"/>
      <c r="TS25" s="82" t="n">
        <v>0</v>
      </c>
      <c r="TT25" s="82" t="n">
        <v>0</v>
      </c>
      <c r="TU25" s="82" t="n">
        <v>0</v>
      </c>
      <c r="TV25" s="82" t="n">
        <v>0</v>
      </c>
      <c r="TW25" s="82" t="n">
        <v>0</v>
      </c>
      <c r="TX25" s="82" t="n">
        <v>0</v>
      </c>
      <c r="TY25" s="82" t="n">
        <v>0</v>
      </c>
      <c r="TZ25" s="82" t="n">
        <v>0</v>
      </c>
      <c r="UA25" s="82" t="n">
        <v>0</v>
      </c>
      <c r="UB25" s="82" t="n">
        <v>0</v>
      </c>
      <c r="UC25" s="82" t="n">
        <v>0</v>
      </c>
      <c r="UD25" s="82" t="n">
        <v>0</v>
      </c>
      <c r="UE25" s="82" t="n">
        <v>0</v>
      </c>
      <c r="UF25" s="82" t="n">
        <v>0</v>
      </c>
      <c r="UG25" s="82" t="n">
        <v>0</v>
      </c>
      <c r="UH25" s="82" t="n">
        <v>0</v>
      </c>
      <c r="UI25" s="82" t="n">
        <v>0</v>
      </c>
      <c r="UJ25" s="82" t="n">
        <v>0</v>
      </c>
      <c r="UK25" s="82" t="n">
        <v>0</v>
      </c>
      <c r="UL25" s="82" t="n">
        <v>0</v>
      </c>
      <c r="UM25" s="82" t="n">
        <v>0</v>
      </c>
      <c r="UN25" s="82" t="n">
        <v>0</v>
      </c>
      <c r="UO25" s="82" t="n">
        <v>0</v>
      </c>
      <c r="UP25" s="82" t="n">
        <v>0</v>
      </c>
      <c r="UQ25" s="82" t="n">
        <v>0</v>
      </c>
      <c r="UR25" s="82" t="n">
        <v>0</v>
      </c>
      <c r="US25" s="82" t="n">
        <v>0</v>
      </c>
      <c r="UT25" s="82" t="n">
        <v>0</v>
      </c>
      <c r="UU25" s="82" t="n">
        <v>0</v>
      </c>
      <c r="UV25" s="82" t="n">
        <v>0</v>
      </c>
      <c r="UW25" s="82" t="n">
        <v>0</v>
      </c>
      <c r="UX25" s="130" t="n"/>
      <c r="UY25" s="82" t="n">
        <v>0</v>
      </c>
      <c r="UZ25" s="82" t="n">
        <v>0</v>
      </c>
      <c r="VA25" s="82" t="n">
        <v>0</v>
      </c>
      <c r="VB25" s="82" t="n">
        <v>0</v>
      </c>
      <c r="VC25" s="82" t="n">
        <v>0</v>
      </c>
      <c r="VD25" s="82" t="n">
        <v>0</v>
      </c>
      <c r="VE25" s="82" t="n">
        <v>0</v>
      </c>
      <c r="VF25" s="82" t="n">
        <v>0</v>
      </c>
      <c r="VG25" s="82" t="n">
        <v>0</v>
      </c>
      <c r="VH25" s="82" t="n">
        <v>0</v>
      </c>
      <c r="VI25" s="82" t="n">
        <v>0</v>
      </c>
      <c r="VJ25" s="82" t="n">
        <v>0</v>
      </c>
      <c r="VK25" s="82" t="n">
        <v>0</v>
      </c>
      <c r="VL25" s="82" t="n">
        <v>0</v>
      </c>
      <c r="VM25" s="82" t="n">
        <v>0</v>
      </c>
      <c r="VN25" s="82" t="n">
        <v>0</v>
      </c>
      <c r="VO25" s="82" t="n">
        <v>0</v>
      </c>
      <c r="VP25" s="82" t="n">
        <v>0</v>
      </c>
      <c r="VQ25" s="82" t="n">
        <v>0</v>
      </c>
      <c r="VR25" s="82" t="n">
        <v>0</v>
      </c>
      <c r="VS25" s="82" t="n">
        <v>0</v>
      </c>
      <c r="VT25" s="82" t="n">
        <v>0</v>
      </c>
      <c r="VU25" s="82" t="n">
        <v>0</v>
      </c>
      <c r="VV25" s="82" t="n">
        <v>0</v>
      </c>
      <c r="VW25" s="82" t="n">
        <v>0</v>
      </c>
      <c r="VX25" s="82" t="n">
        <v>0</v>
      </c>
      <c r="VY25" s="82" t="n">
        <v>0</v>
      </c>
      <c r="VZ25" s="82" t="n">
        <v>0</v>
      </c>
      <c r="WA25" s="133" t="n"/>
      <c r="WB25" s="82" t="n">
        <v>0</v>
      </c>
      <c r="WC25" s="82" t="n">
        <v>0</v>
      </c>
      <c r="WD25" s="82" t="n">
        <v>0</v>
      </c>
      <c r="WE25" s="82" t="n">
        <v>0</v>
      </c>
      <c r="WF25" s="82" t="n">
        <v>0</v>
      </c>
      <c r="WG25" s="82" t="n">
        <v>0</v>
      </c>
      <c r="WH25" s="82" t="n">
        <v>0</v>
      </c>
      <c r="WI25" s="82" t="n">
        <v>0</v>
      </c>
      <c r="WJ25" s="82" t="n">
        <v>0</v>
      </c>
      <c r="WK25" s="82" t="n">
        <v>0</v>
      </c>
      <c r="WL25" s="82" t="n">
        <v>0</v>
      </c>
      <c r="WM25" s="82" t="n">
        <v>0</v>
      </c>
      <c r="WN25" s="82" t="n">
        <v>0</v>
      </c>
      <c r="WO25" s="82" t="n">
        <v>0</v>
      </c>
      <c r="WP25" s="82" t="n">
        <v>0</v>
      </c>
      <c r="WQ25" s="82" t="n">
        <v>0</v>
      </c>
      <c r="WR25" s="82" t="n">
        <v>0</v>
      </c>
      <c r="WS25" s="82" t="n">
        <v>0</v>
      </c>
      <c r="WT25" s="82" t="n">
        <v>0</v>
      </c>
      <c r="WU25" s="82" t="n">
        <v>0</v>
      </c>
      <c r="WV25" s="82" t="n">
        <v>0</v>
      </c>
      <c r="WW25" s="82" t="n">
        <v>0</v>
      </c>
      <c r="WX25" s="82" t="n">
        <v>0</v>
      </c>
      <c r="WY25" s="82" t="n">
        <v>0</v>
      </c>
      <c r="WZ25" s="82" t="n">
        <v>0</v>
      </c>
      <c r="XA25" s="82" t="n">
        <v>0</v>
      </c>
      <c r="XB25" s="82" t="n">
        <v>0</v>
      </c>
      <c r="XC25" s="82" t="n">
        <v>0</v>
      </c>
      <c r="XD25" s="82" t="n">
        <v>0</v>
      </c>
      <c r="XE25" s="82" t="n">
        <v>0</v>
      </c>
      <c r="XF25" s="82" t="n">
        <v>0</v>
      </c>
      <c r="XG25" s="133" t="n"/>
      <c r="XH25" s="82" t="n">
        <v>0</v>
      </c>
      <c r="XI25" s="82" t="n">
        <v>0</v>
      </c>
      <c r="XJ25" s="82" t="n">
        <v>0</v>
      </c>
      <c r="XK25" s="82" t="n">
        <v>0</v>
      </c>
      <c r="XL25" s="82" t="n">
        <v>0</v>
      </c>
      <c r="XM25" s="82" t="n">
        <v>0</v>
      </c>
      <c r="XN25" s="82" t="n">
        <v>0</v>
      </c>
      <c r="XO25" s="82" t="n">
        <v>0</v>
      </c>
      <c r="XP25" s="82" t="n">
        <v>0</v>
      </c>
      <c r="XQ25" s="82" t="n">
        <v>0</v>
      </c>
      <c r="XR25" s="82" t="n">
        <v>0</v>
      </c>
      <c r="XS25" s="82" t="n">
        <v>0</v>
      </c>
      <c r="XT25" s="82" t="n">
        <v>0</v>
      </c>
      <c r="XU25" s="82" t="n">
        <v>0</v>
      </c>
      <c r="XV25" s="82" t="n">
        <v>0</v>
      </c>
      <c r="XW25" s="82" t="n">
        <v>0</v>
      </c>
      <c r="XX25" s="82" t="n">
        <v>0</v>
      </c>
      <c r="XY25" s="82" t="n">
        <v>0</v>
      </c>
      <c r="XZ25" s="82" t="n">
        <v>0</v>
      </c>
      <c r="YA25" s="82" t="n">
        <v>0</v>
      </c>
      <c r="YB25" s="82" t="n">
        <v>0</v>
      </c>
      <c r="YC25" s="82" t="n">
        <v>0</v>
      </c>
      <c r="YD25" s="82" t="n">
        <v>0</v>
      </c>
      <c r="YE25" s="82" t="n">
        <v>0</v>
      </c>
      <c r="YF25" s="82" t="n">
        <v>0</v>
      </c>
      <c r="YG25" s="82" t="n">
        <v>0</v>
      </c>
      <c r="YH25" s="82" t="n">
        <v>0</v>
      </c>
      <c r="YI25" s="82" t="n">
        <v>0</v>
      </c>
      <c r="YJ25" s="82" t="n">
        <v>0</v>
      </c>
      <c r="YK25" s="82" t="n">
        <v>0</v>
      </c>
      <c r="YL25" s="130" t="n"/>
      <c r="YM25" s="82" t="n">
        <v>0</v>
      </c>
      <c r="YN25" s="82" t="n">
        <v>0</v>
      </c>
      <c r="YO25" s="82" t="n">
        <v>0</v>
      </c>
      <c r="YP25" s="82" t="n">
        <v>0</v>
      </c>
      <c r="YQ25" s="82" t="n">
        <v>0</v>
      </c>
      <c r="YR25" s="82" t="n">
        <v>0</v>
      </c>
      <c r="YS25" s="82" t="n">
        <v>0</v>
      </c>
      <c r="YT25" s="82" t="n">
        <v>0</v>
      </c>
      <c r="YU25" s="82" t="n">
        <v>0</v>
      </c>
      <c r="YV25" s="82" t="n">
        <v>0</v>
      </c>
      <c r="YW25" s="82" t="n">
        <v>0</v>
      </c>
      <c r="YX25" s="82" t="n">
        <v>0</v>
      </c>
      <c r="YY25" s="82" t="n">
        <v>0</v>
      </c>
      <c r="YZ25" s="82" t="n">
        <v>0</v>
      </c>
      <c r="ZA25" s="82" t="n">
        <v>0</v>
      </c>
      <c r="ZB25" s="82" t="n">
        <v>0</v>
      </c>
      <c r="ZC25" s="82" t="n">
        <v>0</v>
      </c>
      <c r="ZD25" s="82" t="n">
        <v>0</v>
      </c>
      <c r="ZE25" s="82" t="n">
        <v>0</v>
      </c>
      <c r="ZF25" s="82" t="n">
        <v>0</v>
      </c>
      <c r="ZG25" s="82" t="n">
        <v>0</v>
      </c>
      <c r="ZH25" s="82" t="n">
        <v>0</v>
      </c>
      <c r="ZI25" s="82" t="n">
        <v>0</v>
      </c>
      <c r="ZJ25" s="82" t="n">
        <v>0</v>
      </c>
      <c r="ZK25" s="82" t="n">
        <v>0</v>
      </c>
      <c r="ZL25" s="82" t="n">
        <v>0</v>
      </c>
      <c r="ZM25" s="82" t="n">
        <v>0</v>
      </c>
      <c r="ZN25" s="82" t="n">
        <v>0</v>
      </c>
      <c r="ZO25" s="82" t="n">
        <v>0</v>
      </c>
      <c r="ZP25" s="82" t="n">
        <v>0</v>
      </c>
      <c r="ZQ25" s="82" t="n">
        <v>0</v>
      </c>
      <c r="ZR25" s="130" t="n"/>
      <c r="ZS25" s="82" t="n">
        <v>0</v>
      </c>
      <c r="ZT25" s="82" t="n">
        <v>0</v>
      </c>
      <c r="ZU25" s="82" t="n">
        <v>0</v>
      </c>
      <c r="ZV25" s="82" t="n">
        <v>0</v>
      </c>
      <c r="ZW25" s="82" t="n">
        <v>0</v>
      </c>
      <c r="ZX25" s="82" t="n">
        <v>0</v>
      </c>
      <c r="ZY25" s="82" t="n">
        <v>0</v>
      </c>
      <c r="ZZ25" s="82" t="n">
        <v>0</v>
      </c>
      <c r="AAA25" s="82" t="n">
        <v>0</v>
      </c>
      <c r="AAB25" s="82" t="n">
        <v>0</v>
      </c>
      <c r="AAC25" s="82" t="n">
        <v>0</v>
      </c>
      <c r="AAD25" s="82" t="n">
        <v>0</v>
      </c>
      <c r="AAE25" s="82" t="n">
        <v>0</v>
      </c>
      <c r="AAF25" s="82" t="n">
        <v>0</v>
      </c>
      <c r="AAG25" s="82" t="n">
        <v>0</v>
      </c>
      <c r="AAH25" s="82" t="n">
        <v>0</v>
      </c>
      <c r="AAI25" s="82" t="n">
        <v>0</v>
      </c>
      <c r="AAJ25" s="82" t="n">
        <v>0</v>
      </c>
      <c r="AAK25" s="82" t="n">
        <v>0</v>
      </c>
      <c r="AAL25" s="82" t="n">
        <v>0</v>
      </c>
      <c r="AAM25" s="82" t="n">
        <v>0</v>
      </c>
      <c r="AAN25" s="82" t="n">
        <v>0</v>
      </c>
      <c r="AAO25" s="82" t="n">
        <v>0</v>
      </c>
      <c r="AAP25" s="82" t="n">
        <v>0</v>
      </c>
      <c r="AAQ25" s="82" t="n">
        <v>0</v>
      </c>
      <c r="AAR25" s="82" t="n">
        <v>0</v>
      </c>
      <c r="AAS25" s="82" t="n">
        <v>0</v>
      </c>
      <c r="AAT25" s="82" t="n">
        <v>0</v>
      </c>
      <c r="AAU25" s="82" t="n">
        <v>0</v>
      </c>
      <c r="AAV25" s="82" t="n">
        <v>0</v>
      </c>
      <c r="AAW25" s="130" t="n"/>
      <c r="AAX25" s="82" t="n">
        <v>0</v>
      </c>
      <c r="AAY25" s="82" t="n">
        <v>0</v>
      </c>
      <c r="AAZ25" s="82" t="n">
        <v>0</v>
      </c>
      <c r="ABA25" s="82" t="n">
        <v>0</v>
      </c>
      <c r="ABB25" s="82" t="n">
        <v>0</v>
      </c>
      <c r="ABC25" s="82" t="n">
        <v>0</v>
      </c>
      <c r="ABD25" s="82" t="n">
        <v>0</v>
      </c>
      <c r="ABE25" s="82" t="n">
        <v>0</v>
      </c>
      <c r="ABF25" s="82" t="n">
        <v>0</v>
      </c>
      <c r="ABG25" s="82" t="n">
        <v>0</v>
      </c>
      <c r="ABH25" s="82" t="n">
        <v>0</v>
      </c>
      <c r="ABI25" s="82" t="n">
        <v>0</v>
      </c>
      <c r="ABJ25" s="82" t="n">
        <v>0</v>
      </c>
      <c r="ABK25" s="82" t="n">
        <v>0</v>
      </c>
      <c r="ABL25" s="82" t="n">
        <v>0</v>
      </c>
      <c r="ABM25" s="82" t="n">
        <v>0</v>
      </c>
      <c r="ABN25" s="82" t="n">
        <v>0</v>
      </c>
      <c r="ABO25" s="82" t="n">
        <v>0</v>
      </c>
      <c r="ABP25" s="82" t="n">
        <v>0</v>
      </c>
      <c r="ABQ25" s="82" t="n">
        <v>0</v>
      </c>
      <c r="ABR25" s="82" t="n">
        <v>0</v>
      </c>
      <c r="ABS25" s="82" t="n">
        <v>0</v>
      </c>
      <c r="ABT25" s="82" t="n">
        <v>0</v>
      </c>
      <c r="ABU25" s="82" t="n">
        <v>0</v>
      </c>
      <c r="ABV25" s="82" t="n">
        <v>0</v>
      </c>
      <c r="ABW25" s="82" t="n">
        <v>0</v>
      </c>
      <c r="ABX25" s="82" t="n">
        <v>0</v>
      </c>
      <c r="ABY25" s="82" t="n">
        <v>0</v>
      </c>
      <c r="ABZ25" s="82" t="n">
        <v>0</v>
      </c>
      <c r="ACA25" s="82" t="n">
        <v>0</v>
      </c>
      <c r="ACB25" s="82" t="n">
        <v>0</v>
      </c>
      <c r="ACC25" s="130" t="n"/>
      <c r="ACD25" s="82" t="n">
        <v>0</v>
      </c>
      <c r="ACE25" s="82" t="n">
        <v>0</v>
      </c>
      <c r="ACF25" s="82" t="n">
        <v>0</v>
      </c>
      <c r="ACG25" s="82" t="n">
        <v>0</v>
      </c>
      <c r="ACH25" s="82" t="n">
        <v>0</v>
      </c>
      <c r="ACI25" s="82" t="n">
        <v>0</v>
      </c>
      <c r="ACJ25" s="82" t="n">
        <v>0</v>
      </c>
      <c r="ACK25" s="82" t="n">
        <v>0</v>
      </c>
      <c r="ACL25" s="82" t="n">
        <v>0</v>
      </c>
      <c r="ACM25" s="82" t="n">
        <v>0</v>
      </c>
      <c r="ACN25" s="82" t="n">
        <v>0</v>
      </c>
      <c r="ACO25" s="82" t="n">
        <v>0</v>
      </c>
      <c r="ACP25" s="82" t="n">
        <v>0</v>
      </c>
      <c r="ACQ25" s="82" t="n">
        <v>0</v>
      </c>
      <c r="ACR25" s="82" t="n">
        <v>0</v>
      </c>
      <c r="ACS25" s="82" t="n">
        <v>0</v>
      </c>
      <c r="ACT25" s="82" t="n">
        <v>0</v>
      </c>
      <c r="ACU25" s="82" t="n">
        <v>0</v>
      </c>
      <c r="ACV25" s="82" t="n">
        <v>0</v>
      </c>
      <c r="ACW25" s="82" t="n">
        <v>0</v>
      </c>
      <c r="ACX25" s="82" t="n">
        <v>0</v>
      </c>
      <c r="ACY25" s="82" t="n">
        <v>0</v>
      </c>
      <c r="ACZ25" s="82" t="n">
        <v>0</v>
      </c>
      <c r="ADA25" s="82" t="n">
        <v>0</v>
      </c>
      <c r="ADB25" s="82" t="n">
        <v>0</v>
      </c>
      <c r="ADC25" s="82" t="n">
        <v>0</v>
      </c>
      <c r="ADD25" s="82" t="n">
        <v>0</v>
      </c>
      <c r="ADE25" s="82" t="n">
        <v>0</v>
      </c>
      <c r="ADF25" s="82" t="n">
        <v>0</v>
      </c>
      <c r="ADG25" s="82" t="n">
        <v>0</v>
      </c>
      <c r="ADH25" s="82" t="n">
        <v>0</v>
      </c>
      <c r="ADI25" s="130" t="n"/>
      <c r="ADJ25" s="82" t="n">
        <v>0</v>
      </c>
      <c r="ADK25" s="82" t="n">
        <v>0</v>
      </c>
      <c r="ADL25" s="82" t="n">
        <v>0</v>
      </c>
      <c r="ADM25" s="82" t="n">
        <v>0</v>
      </c>
      <c r="ADN25" s="82" t="n">
        <v>0</v>
      </c>
      <c r="ADO25" s="82" t="n">
        <v>0</v>
      </c>
      <c r="ADP25" s="82" t="n">
        <v>0</v>
      </c>
      <c r="ADQ25" s="82" t="n">
        <v>0</v>
      </c>
      <c r="ADR25" s="82" t="n">
        <v>0</v>
      </c>
      <c r="ADS25" s="82" t="n">
        <v>0</v>
      </c>
      <c r="ADT25" s="82" t="n">
        <v>0</v>
      </c>
      <c r="ADU25" s="82" t="n">
        <v>0</v>
      </c>
      <c r="ADV25" s="82" t="n">
        <v>0</v>
      </c>
      <c r="ADW25" s="82" t="n">
        <v>0</v>
      </c>
      <c r="ADX25" s="82" t="n">
        <v>0</v>
      </c>
      <c r="ADY25" s="82" t="n">
        <v>0</v>
      </c>
      <c r="ADZ25" s="82" t="n">
        <v>0</v>
      </c>
      <c r="AEA25" s="82" t="n">
        <v>0</v>
      </c>
      <c r="AEB25" s="82" t="n">
        <v>0</v>
      </c>
      <c r="AEC25" s="82" t="n">
        <v>0</v>
      </c>
      <c r="AED25" s="82" t="n">
        <v>0</v>
      </c>
      <c r="AEE25" s="82" t="n">
        <v>0</v>
      </c>
      <c r="AEF25" s="82" t="n">
        <v>0</v>
      </c>
      <c r="AEG25" s="82" t="n">
        <v>0</v>
      </c>
      <c r="AEH25" s="82" t="n">
        <v>0</v>
      </c>
      <c r="AEI25" s="82" t="n">
        <v>0</v>
      </c>
      <c r="AEJ25" s="82" t="n">
        <v>0</v>
      </c>
      <c r="AEK25" s="82" t="n">
        <v>0</v>
      </c>
      <c r="AEL25" s="82" t="n">
        <v>0</v>
      </c>
      <c r="AEM25" s="82" t="n">
        <v>0</v>
      </c>
      <c r="AEN25" s="130" t="n"/>
      <c r="AEO25" s="82" t="n">
        <v>0</v>
      </c>
      <c r="AEP25" s="82" t="n">
        <v>0</v>
      </c>
      <c r="AEQ25" s="82" t="n">
        <v>0</v>
      </c>
      <c r="AER25" s="82" t="n">
        <v>0</v>
      </c>
      <c r="AES25" s="82" t="n">
        <v>0</v>
      </c>
      <c r="AET25" s="82" t="n">
        <v>0</v>
      </c>
      <c r="AEU25" s="82" t="n">
        <v>0</v>
      </c>
      <c r="AEV25" s="82" t="n">
        <v>0</v>
      </c>
      <c r="AEW25" s="82" t="n">
        <v>0</v>
      </c>
      <c r="AEX25" s="82" t="n">
        <v>0</v>
      </c>
      <c r="AEY25" s="82" t="n">
        <v>0</v>
      </c>
      <c r="AEZ25" s="82" t="n">
        <v>0</v>
      </c>
      <c r="AFA25" s="82" t="n">
        <v>0</v>
      </c>
      <c r="AFB25" s="82" t="n">
        <v>0</v>
      </c>
      <c r="AFC25" s="82" t="n">
        <v>0</v>
      </c>
      <c r="AFD25" s="82" t="n">
        <v>0</v>
      </c>
      <c r="AFE25" s="82" t="n">
        <v>0</v>
      </c>
      <c r="AFF25" s="82" t="n">
        <v>0</v>
      </c>
      <c r="AFG25" s="82" t="n">
        <v>0</v>
      </c>
      <c r="AFH25" s="82" t="n">
        <v>0</v>
      </c>
      <c r="AFI25" s="82" t="n">
        <v>0</v>
      </c>
      <c r="AFJ25" s="82" t="n">
        <v>0</v>
      </c>
      <c r="AFK25" s="82" t="n">
        <v>0</v>
      </c>
      <c r="AFL25" s="82" t="n">
        <v>0</v>
      </c>
      <c r="AFM25" s="82" t="n">
        <v>0</v>
      </c>
      <c r="AFN25" s="82" t="n">
        <v>0</v>
      </c>
      <c r="AFO25" s="82" t="n">
        <v>0</v>
      </c>
      <c r="AFP25" s="82" t="n">
        <v>0</v>
      </c>
      <c r="AFQ25" s="82" t="n">
        <v>0</v>
      </c>
      <c r="AFR25" s="82" t="n">
        <v>0</v>
      </c>
      <c r="AFS25" s="82" t="n">
        <v>0</v>
      </c>
      <c r="AFT25" s="130" t="n"/>
      <c r="AFU25" s="148" t="n">
        <v>2224432</v>
      </c>
      <c r="AFV25" s="148" t="n">
        <v>2224432</v>
      </c>
      <c r="AFW25" s="148" t="n">
        <v>2224432</v>
      </c>
      <c r="AFX25" s="148" t="n">
        <v>2224432</v>
      </c>
      <c r="AFY25" s="148" t="n">
        <v>2224432</v>
      </c>
      <c r="AFZ25" s="148" t="n">
        <v>2224432</v>
      </c>
      <c r="AGA25" s="148" t="n">
        <v>2224432</v>
      </c>
      <c r="AGB25" s="148" t="n">
        <v>2224432</v>
      </c>
      <c r="AGC25" s="148" t="n">
        <v>2224432</v>
      </c>
      <c r="AGD25" s="148" t="n">
        <v>2224432</v>
      </c>
      <c r="AGE25" s="148" t="n">
        <v>2224432</v>
      </c>
      <c r="AGF25" s="148" t="n">
        <v>2224432</v>
      </c>
      <c r="AGG25" s="148" t="n">
        <v>2224432</v>
      </c>
      <c r="AGH25" s="148" t="n">
        <v>2224432</v>
      </c>
      <c r="AGI25" s="148" t="n">
        <v>2224432</v>
      </c>
      <c r="AGJ25" s="148" t="n">
        <v>2224432</v>
      </c>
      <c r="AGK25" s="148" t="n">
        <v>2224432</v>
      </c>
      <c r="AGL25" s="148" t="n">
        <v>2224432</v>
      </c>
      <c r="AGM25" s="148" t="n">
        <v>2224432</v>
      </c>
      <c r="AGN25" s="148" t="n">
        <v>2224432</v>
      </c>
      <c r="AGO25" s="148" t="n">
        <v>2224432</v>
      </c>
      <c r="AGP25" s="148" t="n">
        <v>2224432</v>
      </c>
      <c r="AGQ25" s="148" t="n">
        <v>2224432</v>
      </c>
      <c r="AGR25" s="148" t="n">
        <v>2224432</v>
      </c>
      <c r="AGS25" s="148" t="n">
        <v>2224432</v>
      </c>
      <c r="AGT25" s="148" t="n">
        <v>2224432</v>
      </c>
      <c r="AGU25" s="148" t="n">
        <v>2224432</v>
      </c>
      <c r="AGV25" s="148" t="n">
        <v>2224432</v>
      </c>
      <c r="AGW25" s="148" t="n">
        <v>2224432</v>
      </c>
      <c r="AGX25" s="148" t="n">
        <v>2224432</v>
      </c>
      <c r="AGY25" s="133" t="n"/>
      <c r="AGZ25" s="148" t="n">
        <v>2224432</v>
      </c>
      <c r="AHA25" s="148" t="n">
        <v>2224432</v>
      </c>
      <c r="AHB25" s="148" t="n">
        <v>2224432</v>
      </c>
      <c r="AHC25" s="148" t="n">
        <v>2224432</v>
      </c>
      <c r="AHD25" s="148" t="n">
        <v>2224432</v>
      </c>
      <c r="AHE25" s="148" t="n">
        <v>2224432</v>
      </c>
      <c r="AHF25" s="148" t="n">
        <v>2224432</v>
      </c>
      <c r="AHG25" s="148" t="n">
        <v>2224432</v>
      </c>
      <c r="AHH25" s="148" t="n">
        <v>2224432</v>
      </c>
      <c r="AHI25" s="148" t="n">
        <v>2224432</v>
      </c>
      <c r="AHJ25" s="148" t="n">
        <v>2224432</v>
      </c>
      <c r="AHK25" s="148" t="n">
        <v>2224432</v>
      </c>
      <c r="AHL25" s="148" t="n">
        <v>2224432</v>
      </c>
      <c r="AHM25" s="148" t="n">
        <v>2224432</v>
      </c>
      <c r="AHN25" s="148" t="n">
        <v>2224432</v>
      </c>
      <c r="AHO25" s="148" t="n">
        <v>2224432</v>
      </c>
      <c r="AHP25" s="148" t="n">
        <v>2224432</v>
      </c>
      <c r="AHQ25" s="148" t="n">
        <v>2224432</v>
      </c>
      <c r="AHR25" s="148" t="n">
        <v>2224432</v>
      </c>
      <c r="AHS25" s="148" t="n">
        <v>2224432</v>
      </c>
      <c r="AHT25" s="148" t="n">
        <v>2224432</v>
      </c>
      <c r="AHU25" s="148" t="n">
        <v>2224432</v>
      </c>
      <c r="AHV25" s="148" t="n">
        <v>2224432</v>
      </c>
      <c r="AHW25" s="148" t="n">
        <v>2224432</v>
      </c>
      <c r="AHX25" s="148" t="n">
        <v>2224432</v>
      </c>
      <c r="AHY25" s="148" t="n">
        <v>2224432</v>
      </c>
      <c r="AHZ25" s="148" t="n">
        <v>2224432</v>
      </c>
      <c r="AIA25" s="148" t="n">
        <v>2224432</v>
      </c>
      <c r="AIB25" s="148" t="n">
        <v>2224432</v>
      </c>
      <c r="AIC25" s="148" t="n">
        <v>2224432</v>
      </c>
      <c r="AID25" s="148" t="n">
        <v>2224432</v>
      </c>
      <c r="AIE25" s="130" t="n"/>
      <c r="AIF25" s="148" t="n">
        <v>2224432</v>
      </c>
      <c r="AIG25" s="148" t="n">
        <v>2224432</v>
      </c>
      <c r="AIH25" s="148" t="n">
        <v>2224432</v>
      </c>
      <c r="AII25" s="148" t="n">
        <v>2224432</v>
      </c>
      <c r="AIJ25" s="148" t="n">
        <v>2224432</v>
      </c>
      <c r="AIK25" s="148" t="n">
        <v>2224432</v>
      </c>
      <c r="AIL25" s="148" t="n">
        <v>2224432</v>
      </c>
      <c r="AIM25" s="148" t="n">
        <v>2224432</v>
      </c>
      <c r="AIN25" s="148" t="n">
        <v>2224432</v>
      </c>
      <c r="AIO25" s="148" t="n">
        <v>2224432</v>
      </c>
      <c r="AIP25" s="148" t="n">
        <v>2224432</v>
      </c>
      <c r="AIQ25" s="148" t="n">
        <v>2224432</v>
      </c>
      <c r="AIR25" s="148" t="n">
        <v>2224432</v>
      </c>
      <c r="AIS25" s="148" t="n">
        <v>2224432</v>
      </c>
      <c r="AIT25" s="148" t="n">
        <v>2224432</v>
      </c>
      <c r="AIU25" s="148" t="n">
        <v>2224432</v>
      </c>
      <c r="AIV25" s="148" t="n">
        <v>2224432</v>
      </c>
      <c r="AIW25" s="148" t="n">
        <v>2224432</v>
      </c>
      <c r="AIX25" s="148" t="n">
        <v>2224432</v>
      </c>
      <c r="AIY25" s="148" t="n">
        <v>2224432</v>
      </c>
      <c r="AIZ25" s="148" t="n">
        <v>2224432</v>
      </c>
      <c r="AJA25" s="148" t="n">
        <v>2224432</v>
      </c>
      <c r="AJB25" s="148" t="n">
        <v>2224432</v>
      </c>
      <c r="AJC25" s="148" t="n">
        <v>2224432</v>
      </c>
      <c r="AJD25" s="148" t="n">
        <v>2224432</v>
      </c>
      <c r="AJE25" s="148" t="n">
        <v>2224432</v>
      </c>
      <c r="AJF25" s="148" t="n">
        <v>2224432</v>
      </c>
      <c r="AJG25" s="148" t="n">
        <v>2224432</v>
      </c>
      <c r="AJH25" s="148" t="n">
        <v>2224432</v>
      </c>
      <c r="AJI25" s="148" t="n">
        <v>2224432</v>
      </c>
      <c r="AJJ25" s="148" t="n">
        <v>2224432</v>
      </c>
      <c r="AJK25" s="145" t="n"/>
      <c r="AJL25" s="148" t="n">
        <v>2224432</v>
      </c>
      <c r="AJM25" s="148" t="n">
        <v>2224432</v>
      </c>
      <c r="AJN25" s="148" t="n">
        <v>2224432</v>
      </c>
      <c r="AJO25" s="148" t="n">
        <v>2224432</v>
      </c>
      <c r="AJP25" s="148" t="n">
        <v>2224432</v>
      </c>
      <c r="AJQ25" s="148" t="n">
        <v>2224432</v>
      </c>
      <c r="AJR25" s="148" t="n">
        <v>2224432</v>
      </c>
      <c r="AJS25" s="148" t="n">
        <v>2224432</v>
      </c>
      <c r="AJT25" s="148" t="n">
        <v>2224432</v>
      </c>
      <c r="AJU25" s="148" t="n">
        <v>2224432</v>
      </c>
      <c r="AJV25" s="148" t="n">
        <v>2224432</v>
      </c>
      <c r="AJW25" s="148" t="n">
        <v>2224432</v>
      </c>
      <c r="AJX25" s="148" t="n">
        <v>2224432</v>
      </c>
      <c r="AJY25" s="148" t="n">
        <v>2224432</v>
      </c>
      <c r="AJZ25" s="148" t="n">
        <v>2224432</v>
      </c>
      <c r="AKA25" s="148" t="n">
        <v>2224432</v>
      </c>
      <c r="AKB25" s="148" t="n">
        <v>2224432</v>
      </c>
      <c r="AKC25" s="148" t="n">
        <v>2224432</v>
      </c>
      <c r="AKD25" s="148" t="n">
        <v>2224432</v>
      </c>
      <c r="AKE25" s="148" t="n">
        <v>2224432</v>
      </c>
      <c r="AKF25" s="148" t="n">
        <v>2224432</v>
      </c>
      <c r="AKG25" s="148" t="n">
        <v>2224432</v>
      </c>
      <c r="AKH25" s="148" t="n">
        <v>2224432</v>
      </c>
      <c r="AKI25" s="148" t="n">
        <v>2224432</v>
      </c>
      <c r="AKJ25" s="148" t="n">
        <v>2224432</v>
      </c>
      <c r="AKK25" s="148" t="n">
        <v>2224432</v>
      </c>
      <c r="AKL25" s="148" t="n">
        <v>2224432</v>
      </c>
      <c r="AKM25" s="148" t="n">
        <v>2224432</v>
      </c>
      <c r="AKN25" s="112" t="n"/>
      <c r="AKO25" s="148" t="n">
        <v>2224432</v>
      </c>
      <c r="AKP25" s="148" t="n">
        <v>2224432</v>
      </c>
      <c r="AKQ25" s="148" t="n">
        <v>2224432</v>
      </c>
      <c r="AKR25" s="148" t="n">
        <v>2224432</v>
      </c>
      <c r="AKS25" s="148" t="n">
        <v>2224432</v>
      </c>
      <c r="AKT25" s="148" t="n">
        <v>2224432</v>
      </c>
      <c r="AKU25" s="148" t="n">
        <v>2224432</v>
      </c>
      <c r="AKV25" s="148" t="n">
        <v>2224432</v>
      </c>
      <c r="AKW25" s="148" t="n">
        <v>2224432</v>
      </c>
      <c r="AKX25" s="148" t="n">
        <v>2224432</v>
      </c>
      <c r="AKY25" s="148" t="n">
        <v>2224432</v>
      </c>
      <c r="AKZ25" s="148" t="n">
        <v>2224432</v>
      </c>
      <c r="ALA25" s="148" t="n">
        <v>2224432</v>
      </c>
      <c r="ALB25" s="148" t="n">
        <v>2224432</v>
      </c>
      <c r="ALC25" s="148" t="n">
        <v>2224432</v>
      </c>
      <c r="ALD25" s="148" t="n">
        <v>2224432</v>
      </c>
      <c r="ALE25" s="148" t="n">
        <v>2224432</v>
      </c>
      <c r="ALF25" s="148" t="n">
        <v>2224432</v>
      </c>
      <c r="ALG25" s="148" t="n">
        <v>2224432</v>
      </c>
      <c r="ALH25" s="148" t="n">
        <v>2224432</v>
      </c>
      <c r="ALI25" s="148" t="n">
        <v>2224432</v>
      </c>
      <c r="ALJ25" s="148" t="n">
        <v>2224432</v>
      </c>
      <c r="ALK25" s="148" t="n">
        <v>2224432</v>
      </c>
      <c r="ALL25" s="148" t="n">
        <v>2224432</v>
      </c>
      <c r="ALM25" s="148" t="n">
        <v>2224432</v>
      </c>
      <c r="ALN25" s="148" t="n">
        <v>2224432</v>
      </c>
      <c r="ALO25" s="148" t="n">
        <v>2224432</v>
      </c>
      <c r="ALP25" s="148" t="n">
        <v>2224432</v>
      </c>
      <c r="ALQ25" s="148" t="n">
        <v>2224432</v>
      </c>
      <c r="ALR25" s="148" t="n">
        <v>2224432</v>
      </c>
      <c r="ALS25" s="148" t="n">
        <v>2224432</v>
      </c>
      <c r="ALT25" s="130" t="n"/>
      <c r="ALU25" s="148" t="n">
        <v>2224432</v>
      </c>
      <c r="ALV25" s="148" t="n">
        <v>2224432</v>
      </c>
      <c r="ALW25" s="148" t="n">
        <v>2224432</v>
      </c>
      <c r="ALX25" s="148" t="n">
        <v>2224432</v>
      </c>
      <c r="ALY25" s="148" t="n">
        <v>2224432</v>
      </c>
      <c r="ALZ25" s="148" t="n">
        <v>2224432</v>
      </c>
      <c r="AMA25" s="148" t="n">
        <v>2224432</v>
      </c>
      <c r="AMB25" s="148" t="n">
        <v>2224432</v>
      </c>
      <c r="AMC25" s="148" t="n">
        <v>2224432</v>
      </c>
      <c r="AMD25" s="148" t="n">
        <v>2224432</v>
      </c>
      <c r="AME25" s="148" t="n">
        <v>2224432</v>
      </c>
      <c r="AMF25" s="148" t="n">
        <v>2224432</v>
      </c>
      <c r="AMG25" s="148" t="n">
        <v>2224432</v>
      </c>
      <c r="AMH25" s="148" t="n">
        <v>2224432</v>
      </c>
      <c r="AMI25" s="148" t="n">
        <v>2224432</v>
      </c>
      <c r="AMJ25" s="148" t="n">
        <v>2224432</v>
      </c>
      <c r="AMK25" s="148" t="n">
        <v>2224432</v>
      </c>
      <c r="AML25" s="148" t="n">
        <v>2224432</v>
      </c>
      <c r="AMM25" s="148" t="n">
        <v>2224432</v>
      </c>
      <c r="AMN25" s="148" t="n">
        <v>2224432</v>
      </c>
      <c r="AMO25" s="148" t="n">
        <v>2224432</v>
      </c>
      <c r="AMP25" s="148" t="n">
        <v>2224432</v>
      </c>
      <c r="AMQ25" s="148" t="n">
        <v>2224432</v>
      </c>
      <c r="AMR25" s="148" t="n">
        <v>2224432</v>
      </c>
      <c r="AMS25" s="148" t="n">
        <v>2224432</v>
      </c>
      <c r="AMT25" s="148" t="n">
        <v>2224432</v>
      </c>
      <c r="AMU25" s="148" t="n">
        <v>2224432</v>
      </c>
      <c r="AMV25" s="148" t="n">
        <v>2224432</v>
      </c>
      <c r="AMW25" s="148" t="n">
        <v>2224432</v>
      </c>
      <c r="AMX25" s="148" t="n">
        <v>2224432</v>
      </c>
      <c r="AMY25" s="130" t="n"/>
      <c r="AMZ25" s="148" t="n">
        <v>2224432</v>
      </c>
      <c r="ANA25" s="148" t="n">
        <v>2224432</v>
      </c>
      <c r="ANB25" s="148" t="n">
        <v>2224432</v>
      </c>
      <c r="ANC25" s="148" t="n">
        <v>2224432</v>
      </c>
      <c r="AND25" s="148" t="n">
        <v>2224432</v>
      </c>
      <c r="ANE25" s="148" t="n">
        <v>2224432</v>
      </c>
      <c r="ANF25" s="148" t="n">
        <v>2224432</v>
      </c>
      <c r="ANG25" s="148" t="n">
        <v>2224432</v>
      </c>
      <c r="ANH25" s="148" t="n">
        <v>2224432</v>
      </c>
      <c r="ANI25" s="148" t="n">
        <v>2224432</v>
      </c>
      <c r="ANJ25" s="148" t="n">
        <v>2224432</v>
      </c>
      <c r="ANK25" s="148" t="n">
        <v>2224432</v>
      </c>
      <c r="ANL25" s="148" t="n">
        <v>2224432</v>
      </c>
      <c r="ANM25" s="148" t="n">
        <v>2224432</v>
      </c>
      <c r="ANN25" s="148" t="n">
        <v>2224432</v>
      </c>
      <c r="ANO25" s="148" t="n">
        <v>2224432</v>
      </c>
      <c r="ANP25" s="148" t="n">
        <v>2224432</v>
      </c>
      <c r="ANQ25" s="148" t="n">
        <v>2224432</v>
      </c>
      <c r="ANR25" s="148" t="n">
        <v>2224432</v>
      </c>
      <c r="ANS25" s="148" t="n">
        <v>2224432</v>
      </c>
      <c r="ANT25" s="148" t="n">
        <v>2224432</v>
      </c>
      <c r="ANU25" s="148" t="n">
        <v>2224432</v>
      </c>
      <c r="ANV25" s="148" t="n">
        <v>2224432</v>
      </c>
      <c r="ANW25" s="148" t="n">
        <v>2224432</v>
      </c>
      <c r="ANX25" s="148" t="n">
        <v>2224432</v>
      </c>
      <c r="ANY25" s="148" t="n">
        <v>2224432</v>
      </c>
      <c r="ANZ25" s="148" t="n">
        <v>2224432</v>
      </c>
      <c r="AOA25" s="148" t="n">
        <v>2224432</v>
      </c>
      <c r="AOB25" s="148" t="n">
        <v>2224432</v>
      </c>
      <c r="AOC25" s="148" t="n">
        <v>2224432</v>
      </c>
    </row>
    <row r="26">
      <c r="B26" s="63" t="inlineStr">
        <is>
          <t xml:space="preserve">Momo </t>
        </is>
      </c>
      <c r="C26" s="52">
        <f>BALANCING!C13</f>
        <v/>
      </c>
      <c r="D26" s="52">
        <f>C26+BALANCING!D13</f>
        <v/>
      </c>
      <c r="E26" s="52">
        <f>D26+BALANCING!E13</f>
        <v/>
      </c>
      <c r="F26" s="52">
        <f>E26+BALANCING!F13</f>
        <v/>
      </c>
      <c r="G26" s="52">
        <f>F26+BALANCING!G13</f>
        <v/>
      </c>
      <c r="H26" s="52">
        <f>G26+BALANCING!H13</f>
        <v/>
      </c>
      <c r="I26" s="52">
        <f>H26+BALANCING!I13</f>
        <v/>
      </c>
      <c r="J26" s="52">
        <f>I26+BALANCING!J13</f>
        <v/>
      </c>
      <c r="K26" s="52">
        <f>J26+BALANCING!K13</f>
        <v/>
      </c>
      <c r="L26" s="52">
        <f>K26+BALANCING!L13</f>
        <v/>
      </c>
      <c r="M26" s="52">
        <f>L26+BALANCING!M13</f>
        <v/>
      </c>
      <c r="N26" s="52">
        <f>M26+BALANCING!N13</f>
        <v/>
      </c>
      <c r="O26" s="52">
        <f>N26+BALANCING!O13</f>
        <v/>
      </c>
      <c r="P26" s="52">
        <f>O26+BALANCING!P13</f>
        <v/>
      </c>
      <c r="Q26" s="52">
        <f>P26+BALANCING!Q13</f>
        <v/>
      </c>
      <c r="R26" s="52">
        <f>Q26+BALANCING!R13</f>
        <v/>
      </c>
      <c r="S26" s="52">
        <f>R26+BALANCING!S13</f>
        <v/>
      </c>
      <c r="T26" s="52">
        <f>S26+BALANCING!T13</f>
        <v/>
      </c>
      <c r="U26" s="52">
        <f>T26+BALANCING!U13</f>
        <v/>
      </c>
      <c r="V26" s="52">
        <f>U26+BALANCING!V13</f>
        <v/>
      </c>
      <c r="W26" s="52">
        <f>V26+BALANCING!W13</f>
        <v/>
      </c>
      <c r="X26" s="52">
        <f>W26+BALANCING!X13</f>
        <v/>
      </c>
      <c r="Y26" s="52">
        <f>X26+BALANCING!Y13</f>
        <v/>
      </c>
      <c r="Z26" s="52">
        <f>Y26+BALANCING!Z13</f>
        <v/>
      </c>
      <c r="AA26" s="52">
        <f>Z26+BALANCING!AA13</f>
        <v/>
      </c>
      <c r="AB26" s="52">
        <f>AA26+BALANCING!AB13</f>
        <v/>
      </c>
      <c r="AC26" s="52">
        <f>AB26+BALANCING!AC13</f>
        <v/>
      </c>
      <c r="AD26" s="52">
        <f>AC26+BALANCING!AD13</f>
        <v/>
      </c>
      <c r="AE26" s="52">
        <f>AD26+BALANCING!AE13</f>
        <v/>
      </c>
      <c r="AF26" s="52">
        <f>AE26+BALANCING!AF13</f>
        <v/>
      </c>
      <c r="AG26" s="52">
        <f>AF26+BALANCING!AG13</f>
        <v/>
      </c>
      <c r="AH26" s="98">
        <f>AG26</f>
        <v/>
      </c>
      <c r="AI26" s="82">
        <f>BALANCING!AI13</f>
        <v/>
      </c>
      <c r="AJ26" s="82">
        <f>AI26+BALANCING!AJ13</f>
        <v/>
      </c>
      <c r="AK26" s="82">
        <f>AJ26+BALANCING!AK13</f>
        <v/>
      </c>
      <c r="AL26" s="82">
        <f>AK26+BALANCING!AL13</f>
        <v/>
      </c>
      <c r="AM26" s="82">
        <f>AL26+BALANCING!AM13</f>
        <v/>
      </c>
      <c r="AN26" s="82">
        <f>AM26+BALANCING!AN13</f>
        <v/>
      </c>
      <c r="AO26" s="82">
        <f>AN26+BALANCING!AO13</f>
        <v/>
      </c>
      <c r="AP26" s="82">
        <f>AO26+BALANCING!AP13</f>
        <v/>
      </c>
      <c r="AQ26" s="82">
        <f>AP26+BALANCING!AQ13</f>
        <v/>
      </c>
      <c r="AR26" s="82">
        <f>AQ26+BALANCING!AR13</f>
        <v/>
      </c>
      <c r="AS26" s="82">
        <f>AR26+BALANCING!AS13</f>
        <v/>
      </c>
      <c r="AT26" s="82">
        <f>AS26+BALANCING!AT13</f>
        <v/>
      </c>
      <c r="AU26" s="82">
        <f>AT26+BALANCING!AU13</f>
        <v/>
      </c>
      <c r="AV26" s="82">
        <f>AU26+BALANCING!AV13</f>
        <v/>
      </c>
      <c r="AW26" s="82">
        <f>AV26+BALANCING!AW13</f>
        <v/>
      </c>
      <c r="AX26" s="82">
        <f>AW26+BALANCING!AX13</f>
        <v/>
      </c>
      <c r="AY26" s="82">
        <f>AX26+BALANCING!AY13</f>
        <v/>
      </c>
      <c r="AZ26" s="82">
        <f>AY26+BALANCING!AZ13</f>
        <v/>
      </c>
      <c r="BA26" s="82">
        <f>AZ26+BALANCING!BA13</f>
        <v/>
      </c>
      <c r="BB26" s="82">
        <f>BA26+BALANCING!BB13</f>
        <v/>
      </c>
      <c r="BC26" s="82">
        <f>BB26+BALANCING!BC13</f>
        <v/>
      </c>
      <c r="BD26" s="82">
        <f>BC26+BALANCING!BD13</f>
        <v/>
      </c>
      <c r="BE26" s="82">
        <f>BD26+BALANCING!BE13</f>
        <v/>
      </c>
      <c r="BF26" s="82">
        <f>BE26+BALANCING!BF13</f>
        <v/>
      </c>
      <c r="BG26" s="82">
        <f>BF26+BALANCING!BG13</f>
        <v/>
      </c>
      <c r="BH26" s="82">
        <f>BG26+BALANCING!BH13</f>
        <v/>
      </c>
      <c r="BI26" s="82">
        <f>BH26+BALANCING!BI13</f>
        <v/>
      </c>
      <c r="BJ26" s="82">
        <f>BI26+BALANCING!BJ13</f>
        <v/>
      </c>
      <c r="BK26" s="82">
        <f>BJ26+BALANCING!BK13</f>
        <v/>
      </c>
      <c r="BL26" s="82">
        <f>BK26+BALANCING!BL13</f>
        <v/>
      </c>
      <c r="BM26" s="106" t="n">
        <v>0</v>
      </c>
      <c r="BN26" s="82">
        <f>BM26+BALANCING!BN13</f>
        <v/>
      </c>
      <c r="BO26" s="82">
        <f>BN26+BALANCING!BO13</f>
        <v/>
      </c>
      <c r="BP26" s="82">
        <f>BO26+BALANCING!BP13</f>
        <v/>
      </c>
      <c r="BQ26" s="82">
        <f>BP26+BALANCING!BQ13</f>
        <v/>
      </c>
      <c r="BR26" s="82">
        <f>BQ26+BALANCING!BR13</f>
        <v/>
      </c>
      <c r="BS26" s="82">
        <f>BR26+BALANCING!BS13</f>
        <v/>
      </c>
      <c r="BT26" s="82">
        <f>BS26+BALANCING!BT13</f>
        <v/>
      </c>
      <c r="BU26" s="82">
        <f>BT26+BALANCING!BU13</f>
        <v/>
      </c>
      <c r="BV26" s="82">
        <f>BU26+BALANCING!BV13</f>
        <v/>
      </c>
      <c r="BW26" s="82">
        <f>BV26+BALANCING!BW13</f>
        <v/>
      </c>
      <c r="BX26" s="82">
        <f>BW26+BALANCING!BX13</f>
        <v/>
      </c>
      <c r="BY26" s="82">
        <f>BX26+BALANCING!BY13</f>
        <v/>
      </c>
      <c r="BZ26" s="82">
        <f>BY26+BALANCING!BZ13</f>
        <v/>
      </c>
      <c r="CA26" s="82">
        <f>BZ26+BALANCING!CA13</f>
        <v/>
      </c>
      <c r="CB26" s="82">
        <f>CA26+BALANCING!CB13</f>
        <v/>
      </c>
      <c r="CC26" s="82">
        <f>CB26+BALANCING!CC13</f>
        <v/>
      </c>
      <c r="CD26" s="82">
        <f>CC26+BALANCING!CD13</f>
        <v/>
      </c>
      <c r="CE26" s="82">
        <f>CD26+BALANCING!CE13</f>
        <v/>
      </c>
      <c r="CF26" s="82">
        <f>CE26+BALANCING!CF13</f>
        <v/>
      </c>
      <c r="CG26" s="82">
        <f>CF26+BALANCING!CG13</f>
        <v/>
      </c>
      <c r="CH26" s="82">
        <f>CG26+BALANCING!CH13</f>
        <v/>
      </c>
      <c r="CI26" s="82">
        <f>CH26+BALANCING!CI13</f>
        <v/>
      </c>
      <c r="CJ26" s="82">
        <f>CI26+BALANCING!CJ13</f>
        <v/>
      </c>
      <c r="CK26" s="82">
        <f>CJ26+BALANCING!CK13</f>
        <v/>
      </c>
      <c r="CL26" s="82">
        <f>CK26+BALANCING!CL13</f>
        <v/>
      </c>
      <c r="CM26" s="82">
        <f>CL26+BALANCING!CM13</f>
        <v/>
      </c>
      <c r="CN26" s="82">
        <f>CM26+BALANCING!CN13</f>
        <v/>
      </c>
      <c r="CO26" s="82">
        <f>CN26+BALANCING!CO13</f>
        <v/>
      </c>
      <c r="CP26" s="82">
        <f>CO26+BALANCING!CP13</f>
        <v/>
      </c>
      <c r="CQ26" s="82">
        <f>CP26+BALANCING!CQ13</f>
        <v/>
      </c>
      <c r="CR26" s="82">
        <f>CQ26+BALANCING!CR13</f>
        <v/>
      </c>
      <c r="CT26" s="82">
        <f>CS26+BALANCING!CT13</f>
        <v/>
      </c>
      <c r="CU26" s="82">
        <f>CT26+BALANCING!CU13</f>
        <v/>
      </c>
      <c r="CV26" s="82">
        <f>CU26+BALANCING!CV13</f>
        <v/>
      </c>
      <c r="CW26" s="82">
        <f>CV26+BALANCING!CW13</f>
        <v/>
      </c>
      <c r="CX26" s="82">
        <f>CW26+BALANCING!CX13</f>
        <v/>
      </c>
      <c r="CY26" s="82">
        <f>CX26+BALANCING!CY13</f>
        <v/>
      </c>
      <c r="CZ26" s="82">
        <f>CY26+BALANCING!CZ13</f>
        <v/>
      </c>
      <c r="DA26" s="82">
        <f>CZ26+BALANCING!DA13</f>
        <v/>
      </c>
      <c r="DB26" s="82">
        <f>DA26+BALANCING!DB13</f>
        <v/>
      </c>
      <c r="DC26" s="82">
        <f>DB26+BALANCING!DC13</f>
        <v/>
      </c>
      <c r="DD26" s="82">
        <f>DC26+BALANCING!DD13</f>
        <v/>
      </c>
      <c r="DE26" s="82">
        <f>DD26+BALANCING!DE13</f>
        <v/>
      </c>
      <c r="DF26" s="82">
        <f>DE26+BALANCING!DF13</f>
        <v/>
      </c>
      <c r="DG26" s="82">
        <f>DF26+BALANCING!DG13</f>
        <v/>
      </c>
      <c r="DH26" s="82">
        <f>DG26+BALANCING!DH13</f>
        <v/>
      </c>
      <c r="DI26" s="82">
        <f>DH26+BALANCING!DI13</f>
        <v/>
      </c>
      <c r="DJ26" s="82">
        <f>DI26+BALANCING!DJ13</f>
        <v/>
      </c>
      <c r="DK26" s="82">
        <f>DJ26+BALANCING!DK13</f>
        <v/>
      </c>
      <c r="DL26" s="82">
        <f>DK26+BALANCING!DL13</f>
        <v/>
      </c>
      <c r="DM26" s="82">
        <f>DL26+BALANCING!DM13</f>
        <v/>
      </c>
      <c r="DN26" s="82">
        <f>DM26+BALANCING!DN13</f>
        <v/>
      </c>
      <c r="DO26" s="82">
        <f>DN26+BALANCING!DO13</f>
        <v/>
      </c>
      <c r="DP26" s="82">
        <f>DO26+BALANCING!DP13</f>
        <v/>
      </c>
      <c r="DQ26" s="82">
        <f>DP26+BALANCING!DQ13</f>
        <v/>
      </c>
      <c r="DR26" s="82">
        <f>DQ26+BALANCING!DR13</f>
        <v/>
      </c>
      <c r="DS26" s="82">
        <f>DR26+BALANCING!DS13</f>
        <v/>
      </c>
      <c r="DT26" s="82">
        <f>DS26+BALANCING!DT13</f>
        <v/>
      </c>
      <c r="DU26" s="82">
        <f>DT26+BALANCING!DU13</f>
        <v/>
      </c>
      <c r="DV26" s="82">
        <f>DU26+BALANCING!DV13</f>
        <v/>
      </c>
      <c r="DW26" s="82">
        <f>DV26+BALANCING!DW13</f>
        <v/>
      </c>
      <c r="DX26" s="117" t="n"/>
      <c r="DY26" s="82">
        <f>DX26+BALANCING!DY13</f>
        <v/>
      </c>
      <c r="DZ26" s="82">
        <f>DY26+BALANCING!DZ13</f>
        <v/>
      </c>
      <c r="EA26" s="82">
        <f>DZ26+BALANCING!EA13</f>
        <v/>
      </c>
      <c r="EB26" s="82">
        <f>EA26+BALANCING!EB13</f>
        <v/>
      </c>
      <c r="EC26" s="82">
        <f>EB26+BALANCING!EC13</f>
        <v/>
      </c>
      <c r="ED26" s="82">
        <f>EC26+BALANCING!ED13</f>
        <v/>
      </c>
      <c r="EE26" s="82">
        <f>ED26+BALANCING!EE13</f>
        <v/>
      </c>
      <c r="EF26" s="82">
        <f>EE26+BALANCING!EF13</f>
        <v/>
      </c>
      <c r="EG26" s="82">
        <f>EF26+BALANCING!EG13</f>
        <v/>
      </c>
      <c r="EH26" s="82">
        <f>EG26+BALANCING!EH13</f>
        <v/>
      </c>
      <c r="EI26" s="82">
        <f>EH26+BALANCING!EI13</f>
        <v/>
      </c>
      <c r="EJ26" s="82">
        <f>EI26+BALANCING!EJ13</f>
        <v/>
      </c>
      <c r="EK26" s="82">
        <f>EJ26+BALANCING!EK13</f>
        <v/>
      </c>
      <c r="EL26" s="82">
        <f>EK26+BALANCING!EL13</f>
        <v/>
      </c>
      <c r="EM26" s="82">
        <f>EL26+BALANCING!EM13</f>
        <v/>
      </c>
      <c r="EN26" s="82">
        <f>EM26+BALANCING!EN13</f>
        <v/>
      </c>
      <c r="EO26" s="82">
        <f>EN26+BALANCING!EO13</f>
        <v/>
      </c>
      <c r="EP26" s="82">
        <f>EO26+BALANCING!EP13</f>
        <v/>
      </c>
      <c r="EQ26" s="82">
        <f>EP26+BALANCING!EQ13</f>
        <v/>
      </c>
      <c r="ER26" s="82">
        <f>EQ26+BALANCING!ER13</f>
        <v/>
      </c>
      <c r="ES26" s="82">
        <f>ER26+BALANCING!ES13</f>
        <v/>
      </c>
      <c r="ET26" s="82">
        <f>ES26+BALANCING!ET13</f>
        <v/>
      </c>
      <c r="EU26" s="82">
        <f>ET26+BALANCING!EU13</f>
        <v/>
      </c>
      <c r="EV26" s="82">
        <f>EU26+BALANCING!EV13</f>
        <v/>
      </c>
      <c r="EW26" s="82">
        <f>EV26+BALANCING!EW13</f>
        <v/>
      </c>
      <c r="EX26" s="82">
        <f>EW26+BALANCING!EX13</f>
        <v/>
      </c>
      <c r="EY26" s="82">
        <f>EX26+BALANCING!EY13</f>
        <v/>
      </c>
      <c r="EZ26" s="82">
        <f>EY26+BALANCING!EZ13</f>
        <v/>
      </c>
      <c r="FA26" s="82">
        <f>EZ26+BALANCING!FA13</f>
        <v/>
      </c>
      <c r="FB26" s="82">
        <f>FA26+BALANCING!FB13</f>
        <v/>
      </c>
      <c r="FC26" s="82">
        <f>FB26+BALANCING!FC13</f>
        <v/>
      </c>
      <c r="FD26" s="126" t="n"/>
      <c r="FE26" s="82">
        <f>FD26+BALANCING!FE13</f>
        <v/>
      </c>
      <c r="FF26" s="82">
        <f>FE26+BALANCING!FF13</f>
        <v/>
      </c>
      <c r="FG26" s="82">
        <f>FF26+BALANCING!FG13</f>
        <v/>
      </c>
      <c r="FH26" s="82">
        <f>FG26+BALANCING!FH13</f>
        <v/>
      </c>
      <c r="FI26" s="82">
        <f>FH26+BALANCING!FI13</f>
        <v/>
      </c>
      <c r="FJ26" s="82">
        <f>FI26+BALANCING!FJ13</f>
        <v/>
      </c>
      <c r="FK26" s="82">
        <f>FJ26+BALANCING!FK13</f>
        <v/>
      </c>
      <c r="FL26" s="82">
        <f>FK26+BALANCING!FL13</f>
        <v/>
      </c>
      <c r="FM26" s="82">
        <f>FL26+BALANCING!FM13</f>
        <v/>
      </c>
      <c r="FN26" s="82">
        <f>FM26+BALANCING!FN13</f>
        <v/>
      </c>
      <c r="FO26" s="82">
        <f>FN26+BALANCING!FO13</f>
        <v/>
      </c>
      <c r="FP26" s="82">
        <f>FO26+BALANCING!FP13</f>
        <v/>
      </c>
      <c r="FQ26" s="82">
        <f>FP26+BALANCING!FQ13</f>
        <v/>
      </c>
      <c r="FR26" s="82">
        <f>FQ26+BALANCING!FR13</f>
        <v/>
      </c>
      <c r="FS26" s="82">
        <f>FR26+BALANCING!FS13</f>
        <v/>
      </c>
      <c r="FT26" s="82">
        <f>FS26+BALANCING!FT13</f>
        <v/>
      </c>
      <c r="FU26" s="82">
        <f>FT26+BALANCING!FU13</f>
        <v/>
      </c>
      <c r="FV26" s="82">
        <f>FU26+BALANCING!FV13</f>
        <v/>
      </c>
      <c r="FW26" s="82">
        <f>FV26+BALANCING!FW13</f>
        <v/>
      </c>
      <c r="FX26" s="82">
        <f>FW26+BALANCING!FX13</f>
        <v/>
      </c>
      <c r="FY26" s="82">
        <f>FX26+BALANCING!FY13</f>
        <v/>
      </c>
      <c r="FZ26" s="82">
        <f>FY26+BALANCING!FZ13</f>
        <v/>
      </c>
      <c r="GA26" s="82">
        <f>FZ26+BALANCING!GA13</f>
        <v/>
      </c>
      <c r="GB26" s="82">
        <f>GA26+BALANCING!GB13</f>
        <v/>
      </c>
      <c r="GC26" s="82">
        <f>GB26+BALANCING!GC13</f>
        <v/>
      </c>
      <c r="GD26" s="82">
        <f>GC26+BALANCING!GD13</f>
        <v/>
      </c>
      <c r="GE26" s="82">
        <f>GD26+BALANCING!GE13</f>
        <v/>
      </c>
      <c r="GF26" s="82">
        <f>GE26+BALANCING!GF13</f>
        <v/>
      </c>
      <c r="GG26" s="82">
        <f>GF26+BALANCING!GG13</f>
        <v/>
      </c>
      <c r="GH26" s="82">
        <f>GG26+BALANCING!GH13</f>
        <v/>
      </c>
      <c r="GI26" s="82">
        <f>GH26+BALANCING!GI13</f>
        <v/>
      </c>
      <c r="GJ26" s="130" t="n"/>
      <c r="GK26" s="110">
        <f>BALANCING!GK13</f>
        <v/>
      </c>
      <c r="GL26" s="110">
        <f>GK26+BALANCING!GL13</f>
        <v/>
      </c>
      <c r="GM26" s="110">
        <f>GL26+BALANCING!GM13</f>
        <v/>
      </c>
      <c r="GN26" s="110">
        <f>GM26+BALANCING!GN13</f>
        <v/>
      </c>
      <c r="GO26" s="110">
        <f>GN26+BALANCING!GO13</f>
        <v/>
      </c>
      <c r="GP26" s="110">
        <f>GO26+BALANCING!GP13</f>
        <v/>
      </c>
      <c r="GQ26" s="110">
        <f>GP26+BALANCING!GQ13</f>
        <v/>
      </c>
      <c r="GR26" s="110">
        <f>GQ26+BALANCING!GR13</f>
        <v/>
      </c>
      <c r="GS26" s="110">
        <f>GR26+BALANCING!GS13</f>
        <v/>
      </c>
      <c r="GT26" s="110">
        <f>GS26+BALANCING!GT13</f>
        <v/>
      </c>
      <c r="GU26" s="110">
        <f>GT26+BALANCING!GU13</f>
        <v/>
      </c>
      <c r="GV26" s="110">
        <f>GU26+BALANCING!GV13</f>
        <v/>
      </c>
      <c r="GW26" s="110">
        <f>GV26+BALANCING!GW13</f>
        <v/>
      </c>
      <c r="GX26" s="110">
        <f>GW26+BALANCING!GX13</f>
        <v/>
      </c>
      <c r="GY26" s="110">
        <f>GX26+BALANCING!GY13</f>
        <v/>
      </c>
      <c r="GZ26" s="110">
        <f>GY26+BALANCING!GZ13</f>
        <v/>
      </c>
      <c r="HA26" s="110">
        <f>GZ26+BALANCING!HA13</f>
        <v/>
      </c>
      <c r="HB26" s="110">
        <f>HA26+BALANCING!HB13</f>
        <v/>
      </c>
      <c r="HC26" s="110">
        <f>HB26+BALANCING!HC13</f>
        <v/>
      </c>
      <c r="HD26" s="110">
        <f>HC26+BALANCING!HD13</f>
        <v/>
      </c>
      <c r="HE26" s="110">
        <f>HD26+BALANCING!HE13</f>
        <v/>
      </c>
      <c r="HF26" s="110">
        <f>HE26+BALANCING!HF13</f>
        <v/>
      </c>
      <c r="HG26" s="110">
        <f>HF26+BALANCING!HG13</f>
        <v/>
      </c>
      <c r="HH26" s="110">
        <f>HG26+BALANCING!HH13</f>
        <v/>
      </c>
      <c r="HI26" s="110">
        <f>HH26+BALANCING!HI13</f>
        <v/>
      </c>
      <c r="HJ26" s="110">
        <f>HI26+BALANCING!HJ13</f>
        <v/>
      </c>
      <c r="HK26" s="110">
        <f>HJ26+BALANCING!HK13</f>
        <v/>
      </c>
      <c r="HL26" s="110">
        <f>HK26+BALANCING!HL13</f>
        <v/>
      </c>
      <c r="HM26" s="110">
        <f>HL26+BALANCING!HM13</f>
        <v/>
      </c>
      <c r="HN26" s="130" t="n"/>
      <c r="HO26" s="110">
        <f>HN26+BALANCING!HO13</f>
        <v/>
      </c>
      <c r="HP26" s="110">
        <f>HO26+BALANCING!HP13</f>
        <v/>
      </c>
      <c r="HQ26" s="110">
        <f>HP26+BALANCING!HQ13</f>
        <v/>
      </c>
      <c r="HR26" s="110">
        <f>HQ26+BALANCING!HR13</f>
        <v/>
      </c>
      <c r="HS26" s="110">
        <f>HR26+BALANCING!HS13</f>
        <v/>
      </c>
      <c r="HT26" s="110">
        <f>HS26+BALANCING!HT13</f>
        <v/>
      </c>
      <c r="HU26" s="110">
        <f>HT26+BALANCING!HU13</f>
        <v/>
      </c>
      <c r="HV26" s="110">
        <f>HU26+BALANCING!HV13</f>
        <v/>
      </c>
      <c r="HW26" s="110">
        <f>HV26+BALANCING!HW13</f>
        <v/>
      </c>
      <c r="HX26" s="110">
        <f>HW26+BALANCING!HX13</f>
        <v/>
      </c>
      <c r="HY26" s="110">
        <f>HX26+BALANCING!HY13</f>
        <v/>
      </c>
      <c r="HZ26" s="110">
        <f>HY26+BALANCING!HZ13</f>
        <v/>
      </c>
      <c r="IA26" s="110">
        <f>HZ26+BALANCING!IA13</f>
        <v/>
      </c>
      <c r="IB26" s="110">
        <f>IA26+BALANCING!IB13</f>
        <v/>
      </c>
      <c r="IC26" s="110">
        <f>IB26+BALANCING!IC13</f>
        <v/>
      </c>
      <c r="ID26" s="110">
        <f>IC26+BALANCING!ID13</f>
        <v/>
      </c>
      <c r="IE26" s="110">
        <f>ID26+BALANCING!IE13</f>
        <v/>
      </c>
      <c r="IF26" s="110">
        <f>IE26+BALANCING!IF13</f>
        <v/>
      </c>
      <c r="IG26" s="110">
        <f>IF26+BALANCING!IG13</f>
        <v/>
      </c>
      <c r="IH26" s="110">
        <f>IG26+BALANCING!IH13</f>
        <v/>
      </c>
      <c r="II26" s="110">
        <f>IH26+BALANCING!II13</f>
        <v/>
      </c>
      <c r="IJ26" s="110">
        <f>II26+BALANCING!IJ13</f>
        <v/>
      </c>
      <c r="IK26" s="110">
        <f>IJ26+BALANCING!IK13</f>
        <v/>
      </c>
      <c r="IL26" s="110">
        <f>IK26+BALANCING!IL13</f>
        <v/>
      </c>
      <c r="IM26" s="110">
        <f>IL26+BALANCING!IM13</f>
        <v/>
      </c>
      <c r="IN26" s="110">
        <f>IM26+BALANCING!IN13</f>
        <v/>
      </c>
      <c r="IO26" s="110">
        <f>IN26+BALANCING!IO13</f>
        <v/>
      </c>
      <c r="IP26" s="110">
        <f>IO26+BALANCING!IP13</f>
        <v/>
      </c>
      <c r="IQ26" s="110">
        <f>IP26+BALANCING!IQ13</f>
        <v/>
      </c>
      <c r="IR26" s="110">
        <f>IQ26+BALANCING!IR13</f>
        <v/>
      </c>
      <c r="IS26" s="110">
        <f>IR26+BALANCING!IS13</f>
        <v/>
      </c>
      <c r="IT26" s="130" t="n"/>
      <c r="IU26" s="110">
        <f>IT26+BALANCING!IU13</f>
        <v/>
      </c>
      <c r="IV26" s="110">
        <f>IU26+BALANCING!IV13</f>
        <v/>
      </c>
      <c r="IW26" s="110">
        <f>IV26+BALANCING!IW13</f>
        <v/>
      </c>
      <c r="IX26" s="110">
        <f>IW26+BALANCING!IX13</f>
        <v/>
      </c>
      <c r="IY26" s="110">
        <f>IX26+BALANCING!IY13</f>
        <v/>
      </c>
      <c r="IZ26" s="110">
        <f>IY26+BALANCING!IZ13</f>
        <v/>
      </c>
      <c r="JA26" s="110">
        <f>IZ26+BALANCING!JA13</f>
        <v/>
      </c>
      <c r="JB26" s="110">
        <f>JA26+BALANCING!JB13</f>
        <v/>
      </c>
      <c r="JC26" s="110">
        <f>JB26+BALANCING!JC13</f>
        <v/>
      </c>
      <c r="JD26" s="110">
        <f>JC26+BALANCING!JD13</f>
        <v/>
      </c>
      <c r="JE26" s="110">
        <f>JD26+BALANCING!JE13</f>
        <v/>
      </c>
      <c r="JF26" s="110">
        <f>JE26+BALANCING!JF13</f>
        <v/>
      </c>
      <c r="JG26" s="110">
        <f>JF26+BALANCING!JG13</f>
        <v/>
      </c>
      <c r="JH26" s="110">
        <f>JG26+BALANCING!JH13</f>
        <v/>
      </c>
      <c r="JI26" s="110">
        <f>JH26+BALANCING!JI13</f>
        <v/>
      </c>
      <c r="JJ26" s="110">
        <f>JI26+BALANCING!JJ13</f>
        <v/>
      </c>
      <c r="JK26" s="110">
        <f>JJ26+BALANCING!JK13</f>
        <v/>
      </c>
      <c r="JL26" s="110">
        <f>JK26+BALANCING!JL13</f>
        <v/>
      </c>
      <c r="JM26" s="110">
        <f>JL26+BALANCING!JM13</f>
        <v/>
      </c>
      <c r="JN26" s="110">
        <f>JM26+BALANCING!JN13</f>
        <v/>
      </c>
      <c r="JO26" s="110">
        <f>JN26+BALANCING!JO13</f>
        <v/>
      </c>
      <c r="JP26" s="110">
        <f>JO26+BALANCING!JP13</f>
        <v/>
      </c>
      <c r="JQ26" s="110">
        <f>JP26+BALANCING!JQ13</f>
        <v/>
      </c>
      <c r="JR26" s="110">
        <f>JQ26+BALANCING!JR13</f>
        <v/>
      </c>
      <c r="JS26" s="110">
        <f>JR26+BALANCING!JS13</f>
        <v/>
      </c>
      <c r="JT26" s="110">
        <f>JS26+BALANCING!JT13</f>
        <v/>
      </c>
      <c r="JU26" s="110">
        <f>JT26+BALANCING!JU13</f>
        <v/>
      </c>
      <c r="JV26" s="110">
        <f>JU26+BALANCING!JV13</f>
        <v/>
      </c>
      <c r="JW26" s="110">
        <f>JV26+BALANCING!JW13</f>
        <v/>
      </c>
      <c r="JX26" s="110">
        <f>JW26+BALANCING!JX13</f>
        <v/>
      </c>
      <c r="JY26" s="133" t="n"/>
      <c r="JZ26" s="110">
        <f>JY26+BALANCING!JZ13</f>
        <v/>
      </c>
      <c r="KA26" s="110">
        <f>JZ26+BALANCING!KA13</f>
        <v/>
      </c>
      <c r="KB26" s="110">
        <f>KA26+BALANCING!KB13</f>
        <v/>
      </c>
      <c r="KC26" s="110">
        <f>KB26+BALANCING!KC13</f>
        <v/>
      </c>
      <c r="KD26" s="110">
        <f>KC26+BALANCING!KD13</f>
        <v/>
      </c>
      <c r="KE26" s="110">
        <f>KD26+BALANCING!KE13</f>
        <v/>
      </c>
      <c r="KF26" s="110">
        <f>KE26+BALANCING!KF13</f>
        <v/>
      </c>
      <c r="KG26" s="110">
        <f>KF26+BALANCING!KG13</f>
        <v/>
      </c>
      <c r="KH26" s="110">
        <f>KG26+BALANCING!KH13</f>
        <v/>
      </c>
      <c r="KI26" s="110">
        <f>KH26+BALANCING!KI13</f>
        <v/>
      </c>
      <c r="KJ26" s="110">
        <f>KI26+BALANCING!KJ13</f>
        <v/>
      </c>
      <c r="KK26" s="110">
        <f>KJ26+BALANCING!KK13</f>
        <v/>
      </c>
      <c r="KL26" s="110">
        <f>KK26+BALANCING!KL13</f>
        <v/>
      </c>
      <c r="KM26" s="110">
        <f>KL26+BALANCING!KM13</f>
        <v/>
      </c>
      <c r="KN26" s="110">
        <f>KM26+BALANCING!KN13</f>
        <v/>
      </c>
      <c r="KO26" s="110">
        <f>KN26+BALANCING!KO13</f>
        <v/>
      </c>
      <c r="KP26" s="110">
        <f>KO26+BALANCING!KP13</f>
        <v/>
      </c>
      <c r="KQ26" s="110">
        <f>KP26+BALANCING!KQ13</f>
        <v/>
      </c>
      <c r="KR26" s="110">
        <f>KQ26+BALANCING!KR13</f>
        <v/>
      </c>
      <c r="KS26" s="110">
        <f>KR26+BALANCING!KS13</f>
        <v/>
      </c>
      <c r="KT26" s="110">
        <f>KS26+BALANCING!KT13</f>
        <v/>
      </c>
      <c r="KU26" s="110">
        <f>KT26+BALANCING!KU13</f>
        <v/>
      </c>
      <c r="KV26" s="110">
        <f>KU26+BALANCING!KV13</f>
        <v/>
      </c>
      <c r="KW26" s="110">
        <f>KV26+BALANCING!KW13</f>
        <v/>
      </c>
      <c r="KX26" s="110">
        <f>KW26+BALANCING!KX13</f>
        <v/>
      </c>
      <c r="KY26" s="110">
        <f>KX26+BALANCING!KY13</f>
        <v/>
      </c>
      <c r="KZ26" s="110">
        <f>KY26+BALANCING!KZ13</f>
        <v/>
      </c>
      <c r="LA26" s="110">
        <f>KZ26+BALANCING!LA13</f>
        <v/>
      </c>
      <c r="LB26" s="110">
        <f>LA26+BALANCING!LB13</f>
        <v/>
      </c>
      <c r="LC26" s="110">
        <f>LB26+BALANCING!LC13</f>
        <v/>
      </c>
      <c r="LD26" s="110">
        <f>LC26+BALANCING!LD13</f>
        <v/>
      </c>
      <c r="LE26" s="130" t="n"/>
      <c r="LF26" s="110">
        <f>LE26+BALANCING!LF13</f>
        <v/>
      </c>
      <c r="LG26" s="110">
        <f>LF26+BALANCING!LG13</f>
        <v/>
      </c>
      <c r="LH26" s="110">
        <f>LG26+BALANCING!LH13</f>
        <v/>
      </c>
      <c r="LI26" s="110">
        <f>LH26+BALANCING!LI13</f>
        <v/>
      </c>
      <c r="LJ26" s="110">
        <f>LI26+BALANCING!LJ13</f>
        <v/>
      </c>
      <c r="LK26" s="110">
        <f>LJ26+BALANCING!LK13</f>
        <v/>
      </c>
      <c r="LL26" s="110">
        <f>LK26+BALANCING!LL13</f>
        <v/>
      </c>
      <c r="LM26" s="110">
        <f>LL26+BALANCING!LM13</f>
        <v/>
      </c>
      <c r="LN26" s="110">
        <f>LM26+BALANCING!LN13</f>
        <v/>
      </c>
      <c r="LO26" s="110">
        <f>LN26+BALANCING!LO13</f>
        <v/>
      </c>
      <c r="LP26" s="110">
        <f>LO26+BALANCING!LP13</f>
        <v/>
      </c>
      <c r="LQ26" s="110">
        <f>LP26+BALANCING!LQ13</f>
        <v/>
      </c>
      <c r="LR26" s="110">
        <f>LQ26+BALANCING!LR13</f>
        <v/>
      </c>
      <c r="LS26" s="110">
        <f>LR26+BALANCING!LS13</f>
        <v/>
      </c>
      <c r="LT26" s="110">
        <f>LS26+BALANCING!LT13</f>
        <v/>
      </c>
      <c r="LU26" s="110">
        <f>LT26+BALANCING!LU13</f>
        <v/>
      </c>
      <c r="LV26" s="110">
        <f>LU26+BALANCING!LV13</f>
        <v/>
      </c>
      <c r="LW26" s="110">
        <f>LV26+BALANCING!LW13</f>
        <v/>
      </c>
      <c r="LX26" s="110">
        <f>LW26+BALANCING!LX13</f>
        <v/>
      </c>
      <c r="LY26" s="110">
        <f>LX26+BALANCING!LY13</f>
        <v/>
      </c>
      <c r="LZ26" s="110">
        <f>LY26+BALANCING!LZ13</f>
        <v/>
      </c>
      <c r="MA26" s="110">
        <f>LZ26+BALANCING!MA13</f>
        <v/>
      </c>
      <c r="MB26" s="110">
        <f>MA26+BALANCING!MB13</f>
        <v/>
      </c>
      <c r="MC26" s="110">
        <f>MB26+BALANCING!MC13</f>
        <v/>
      </c>
      <c r="MD26" s="110">
        <f>MC26+BALANCING!MD13</f>
        <v/>
      </c>
      <c r="ME26" s="110">
        <f>MD26+BALANCING!ME13</f>
        <v/>
      </c>
      <c r="MF26" s="110">
        <f>ME26+BALANCING!MF13</f>
        <v/>
      </c>
      <c r="MG26" s="110">
        <f>MF26+BALANCING!MG13</f>
        <v/>
      </c>
      <c r="MH26" s="110">
        <f>MG26+BALANCING!MH13</f>
        <v/>
      </c>
      <c r="MI26" s="110">
        <f>MH26+BALANCING!MI13</f>
        <v/>
      </c>
      <c r="MJ26" s="133" t="n"/>
      <c r="MK26" s="110">
        <f>MJ26+BALANCING!MK13</f>
        <v/>
      </c>
      <c r="ML26" s="110">
        <f>MK26+BALANCING!ML13</f>
        <v/>
      </c>
      <c r="MM26" s="110">
        <f>ML26+BALANCING!MM13</f>
        <v/>
      </c>
      <c r="MN26" s="110">
        <f>MM26+BALANCING!MN13</f>
        <v/>
      </c>
      <c r="MO26" s="110">
        <f>MN26+BALANCING!MO13</f>
        <v/>
      </c>
      <c r="MP26" s="110">
        <f>MO26+BALANCING!MP13</f>
        <v/>
      </c>
      <c r="MQ26" s="110">
        <f>MP26+BALANCING!MQ13</f>
        <v/>
      </c>
      <c r="MR26" s="110">
        <f>MQ26+BALANCING!MR13</f>
        <v/>
      </c>
      <c r="MS26" s="110">
        <f>MR26+BALANCING!MS13</f>
        <v/>
      </c>
      <c r="MT26" s="110">
        <f>MS26+BALANCING!MT13</f>
        <v/>
      </c>
      <c r="MU26" s="110">
        <f>MT26+BALANCING!MU13</f>
        <v/>
      </c>
      <c r="MV26" s="110">
        <f>MU26+BALANCING!MV13</f>
        <v/>
      </c>
      <c r="MW26" s="110">
        <f>MV26+BALANCING!MW13</f>
        <v/>
      </c>
      <c r="MX26" s="110">
        <f>MW26+BALANCING!MX13</f>
        <v/>
      </c>
      <c r="MY26" s="110">
        <f>MX26+BALANCING!MY13</f>
        <v/>
      </c>
      <c r="MZ26" s="110">
        <f>MY26+BALANCING!MZ13</f>
        <v/>
      </c>
      <c r="NA26" s="110">
        <f>MZ26+BALANCING!NA13</f>
        <v/>
      </c>
      <c r="NB26" s="110">
        <f>NA26+BALANCING!NB13</f>
        <v/>
      </c>
      <c r="NC26" s="110">
        <f>NB26+BALANCING!NC13</f>
        <v/>
      </c>
      <c r="ND26" s="110">
        <f>NC26+BALANCING!ND13</f>
        <v/>
      </c>
      <c r="NE26" s="110">
        <f>ND26+BALANCING!NE13</f>
        <v/>
      </c>
      <c r="NF26" s="110">
        <f>NE26+BALANCING!NF13</f>
        <v/>
      </c>
      <c r="NG26" s="110">
        <f>NF26+BALANCING!NG13</f>
        <v/>
      </c>
      <c r="NH26" s="110">
        <f>NG26+BALANCING!NH13</f>
        <v/>
      </c>
      <c r="NI26" s="110">
        <f>NH26+BALANCING!NI13</f>
        <v/>
      </c>
      <c r="NJ26" s="110">
        <f>NI26+BALANCING!NJ13</f>
        <v/>
      </c>
      <c r="NK26" s="110">
        <f>NJ26+BALANCING!NK13</f>
        <v/>
      </c>
      <c r="NL26" s="110">
        <f>NK26+BALANCING!NL13</f>
        <v/>
      </c>
      <c r="NM26" s="110">
        <f>NL26+BALANCING!NM13</f>
        <v/>
      </c>
      <c r="NN26" s="110">
        <f>NM26+BALANCING!NN13</f>
        <v/>
      </c>
      <c r="NO26" s="110">
        <f>NN26+BALANCING!NO13</f>
        <v/>
      </c>
      <c r="NP26" s="133" t="n"/>
      <c r="NQ26" s="110">
        <f>NP26+BALANCING!NQ13</f>
        <v/>
      </c>
      <c r="NR26" s="110">
        <f>NQ26+BALANCING!NR13</f>
        <v/>
      </c>
      <c r="NS26" s="110">
        <f>NR26+BALANCING!NS13</f>
        <v/>
      </c>
      <c r="NT26" s="110">
        <f>NS26+BALANCING!NT13</f>
        <v/>
      </c>
      <c r="NU26" s="110">
        <f>NT26+BALANCING!NU13</f>
        <v/>
      </c>
      <c r="NV26" s="110">
        <f>NU26+BALANCING!NV13</f>
        <v/>
      </c>
      <c r="NW26" s="110">
        <f>NV26+BALANCING!NW13</f>
        <v/>
      </c>
      <c r="NX26" s="110">
        <f>NW26+BALANCING!NX13</f>
        <v/>
      </c>
      <c r="NY26" s="110">
        <f>NX26+BALANCING!NY13</f>
        <v/>
      </c>
      <c r="NZ26" s="110">
        <f>NY26+BALANCING!NZ13</f>
        <v/>
      </c>
      <c r="OA26" s="110">
        <f>NZ26+BALANCING!OA13</f>
        <v/>
      </c>
      <c r="OB26" s="110">
        <f>OA26+BALANCING!OB13</f>
        <v/>
      </c>
      <c r="OC26" s="110">
        <f>OB26+BALANCING!OC13</f>
        <v/>
      </c>
      <c r="OD26" s="110">
        <f>OC26+BALANCING!OD13</f>
        <v/>
      </c>
      <c r="OE26" s="110">
        <f>OD26+BALANCING!OE13</f>
        <v/>
      </c>
      <c r="OF26" s="110">
        <f>OE26+BALANCING!OF13</f>
        <v/>
      </c>
      <c r="OG26" s="110">
        <f>OF26+BALANCING!OG13</f>
        <v/>
      </c>
      <c r="OH26" s="110">
        <f>OG26+BALANCING!OH13</f>
        <v/>
      </c>
      <c r="OI26" s="110">
        <f>OH26+BALANCING!OI13</f>
        <v/>
      </c>
      <c r="OJ26" s="110">
        <f>OI26+BALANCING!OJ13</f>
        <v/>
      </c>
      <c r="OK26" s="110">
        <f>OJ26+BALANCING!OK13</f>
        <v/>
      </c>
      <c r="OL26" s="110">
        <f>OK26+BALANCING!OL13</f>
        <v/>
      </c>
      <c r="OM26" s="110">
        <f>OL26+BALANCING!OM13</f>
        <v/>
      </c>
      <c r="ON26" s="110">
        <f>OM26+BALANCING!ON13</f>
        <v/>
      </c>
      <c r="OO26" s="110">
        <f>ON26+BALANCING!OO13</f>
        <v/>
      </c>
      <c r="OP26" s="110">
        <f>OO26+BALANCING!OP13</f>
        <v/>
      </c>
      <c r="OQ26" s="110">
        <f>OP26+BALANCING!OQ13</f>
        <v/>
      </c>
      <c r="OR26" s="110">
        <f>OQ26+BALANCING!OR13</f>
        <v/>
      </c>
      <c r="OS26" s="110">
        <f>OR26+BALANCING!OS13</f>
        <v/>
      </c>
      <c r="OT26" s="110">
        <f>OS26+BALANCING!OT13</f>
        <v/>
      </c>
      <c r="OU26" s="110">
        <f>OT26+BALANCING!OU13</f>
        <v/>
      </c>
      <c r="OV26" s="130" t="n"/>
      <c r="OW26" s="110">
        <f>OV26+BALANCING!OW13</f>
        <v/>
      </c>
      <c r="OX26" s="110">
        <f>OW26+BALANCING!OX13</f>
        <v/>
      </c>
      <c r="OY26" s="110">
        <f>OX26+BALANCING!OY13</f>
        <v/>
      </c>
      <c r="OZ26" s="110">
        <f>OY26+BALANCING!OZ13</f>
        <v/>
      </c>
      <c r="PA26" s="110">
        <f>OZ26+BALANCING!PA13</f>
        <v/>
      </c>
      <c r="PB26" s="110">
        <f>PA26+BALANCING!PB13</f>
        <v/>
      </c>
      <c r="PC26" s="110">
        <f>PB26+BALANCING!PC13</f>
        <v/>
      </c>
      <c r="PD26" s="110">
        <f>PC26+BALANCING!PD13</f>
        <v/>
      </c>
      <c r="PE26" s="110">
        <f>PD26+BALANCING!PE13</f>
        <v/>
      </c>
      <c r="PF26" s="110">
        <f>PE26+BALANCING!PF13</f>
        <v/>
      </c>
      <c r="PG26" s="110">
        <f>PF26+BALANCING!PG13</f>
        <v/>
      </c>
      <c r="PH26" s="110">
        <f>PG26+BALANCING!PH13</f>
        <v/>
      </c>
      <c r="PI26" s="110">
        <f>PH26+BALANCING!PI13</f>
        <v/>
      </c>
      <c r="PJ26" s="110">
        <f>PI26+BALANCING!PJ13</f>
        <v/>
      </c>
      <c r="PK26" s="110">
        <f>PJ26+BALANCING!PK13</f>
        <v/>
      </c>
      <c r="PL26" s="110">
        <f>PK26+BALANCING!PL13</f>
        <v/>
      </c>
      <c r="PM26" s="110">
        <f>PL26+BALANCING!PM13</f>
        <v/>
      </c>
      <c r="PN26" s="110">
        <f>PM26+BALANCING!PN13</f>
        <v/>
      </c>
      <c r="PO26" s="110">
        <f>PN26+BALANCING!PO13</f>
        <v/>
      </c>
      <c r="PP26" s="110">
        <f>PO26+BALANCING!PP13</f>
        <v/>
      </c>
      <c r="PQ26" s="110">
        <f>PP26+BALANCING!PQ13</f>
        <v/>
      </c>
      <c r="PR26" s="110">
        <f>PQ26+BALANCING!PR13</f>
        <v/>
      </c>
      <c r="PS26" s="110">
        <f>PR26+BALANCING!PS13</f>
        <v/>
      </c>
      <c r="PT26" s="110">
        <f>PS26+BALANCING!PT13</f>
        <v/>
      </c>
      <c r="PU26" s="110">
        <f>PT26+BALANCING!PU13</f>
        <v/>
      </c>
      <c r="PV26" s="110">
        <f>PU26+BALANCING!PV13</f>
        <v/>
      </c>
      <c r="PW26" s="110">
        <f>PV26+BALANCING!PW13</f>
        <v/>
      </c>
      <c r="PX26" s="110">
        <f>PW26+BALANCING!PX13</f>
        <v/>
      </c>
      <c r="PY26" s="110">
        <f>PX26+BALANCING!PY13</f>
        <v/>
      </c>
      <c r="PZ26" s="110">
        <f>PY26+BALANCING!PZ13</f>
        <v/>
      </c>
      <c r="QA26" s="130" t="n"/>
      <c r="QB26" s="110">
        <f>QA26+BALANCING!QB13</f>
        <v/>
      </c>
      <c r="QC26" s="110">
        <f>QB26+BALANCING!QC13</f>
        <v/>
      </c>
      <c r="QD26" s="110">
        <f>QC26+BALANCING!QD13</f>
        <v/>
      </c>
      <c r="QE26" s="110">
        <f>QD26+BALANCING!QE13</f>
        <v/>
      </c>
      <c r="QF26" s="110">
        <f>QE26+BALANCING!QF13</f>
        <v/>
      </c>
      <c r="QG26" s="110">
        <f>QF26+BALANCING!QG13</f>
        <v/>
      </c>
      <c r="QH26" s="110">
        <f>QG26+BALANCING!QH13</f>
        <v/>
      </c>
      <c r="QI26" s="110">
        <f>QH26+BALANCING!QI13</f>
        <v/>
      </c>
      <c r="QJ26" s="110">
        <f>QI26+BALANCING!QJ13</f>
        <v/>
      </c>
      <c r="QK26" s="110">
        <f>QJ26+BALANCING!QK13</f>
        <v/>
      </c>
      <c r="QL26" s="110">
        <f>QK26+BALANCING!QL13</f>
        <v/>
      </c>
      <c r="QM26" s="110">
        <f>QL26+BALANCING!QM13</f>
        <v/>
      </c>
      <c r="QN26" s="110">
        <f>QM26+BALANCING!QN13</f>
        <v/>
      </c>
      <c r="QO26" s="110">
        <f>QN26+BALANCING!QO13</f>
        <v/>
      </c>
      <c r="QP26" s="110">
        <f>QO26+BALANCING!QP13</f>
        <v/>
      </c>
      <c r="QQ26" s="110">
        <f>QP26+BALANCING!QQ13</f>
        <v/>
      </c>
      <c r="QR26" s="110">
        <f>QQ26+BALANCING!QR13</f>
        <v/>
      </c>
      <c r="QS26" s="110">
        <f>QR26+BALANCING!QS13</f>
        <v/>
      </c>
      <c r="QT26" s="110">
        <f>QS26+BALANCING!QT13</f>
        <v/>
      </c>
      <c r="QU26" s="110">
        <f>QT26+BALANCING!QU13</f>
        <v/>
      </c>
      <c r="QV26" s="110">
        <f>QU26+BALANCING!QV13</f>
        <v/>
      </c>
      <c r="QW26" s="110">
        <f>QV26+BALANCING!QW13</f>
        <v/>
      </c>
      <c r="QX26" s="110">
        <f>QW26+BALANCING!QX13</f>
        <v/>
      </c>
      <c r="QY26" s="110">
        <f>QX26+BALANCING!QY13</f>
        <v/>
      </c>
      <c r="QZ26" s="110">
        <f>QY26+BALANCING!QZ13</f>
        <v/>
      </c>
      <c r="RA26" s="110">
        <f>QZ26+BALANCING!RA13</f>
        <v/>
      </c>
      <c r="RB26" s="110">
        <f>RA26+BALANCING!RB13</f>
        <v/>
      </c>
      <c r="RC26" s="110">
        <f>RB26+BALANCING!RC13</f>
        <v/>
      </c>
      <c r="RD26" s="110">
        <f>RC26+BALANCING!RD13</f>
        <v/>
      </c>
      <c r="RE26" s="110">
        <f>RD26+BALANCING!RE13</f>
        <v/>
      </c>
      <c r="RF26" s="110">
        <f>RE26+BALANCING!RF13</f>
        <v/>
      </c>
      <c r="RG26" s="130" t="n"/>
      <c r="RH26" s="110">
        <f>RG26+BALANCING!RH13</f>
        <v/>
      </c>
      <c r="RI26" s="110">
        <f>RH26+BALANCING!RI13</f>
        <v/>
      </c>
      <c r="RJ26" s="110">
        <f>RI26+BALANCING!RJ13</f>
        <v/>
      </c>
      <c r="RK26" s="110">
        <f>RJ26+BALANCING!RK13</f>
        <v/>
      </c>
      <c r="RL26" s="110">
        <f>RK26+BALANCING!RL13</f>
        <v/>
      </c>
      <c r="RM26" s="110">
        <f>RL26+BALANCING!RM13</f>
        <v/>
      </c>
      <c r="RN26" s="110">
        <f>RM26+BALANCING!RN13</f>
        <v/>
      </c>
      <c r="RO26" s="110">
        <f>RN26+BALANCING!RO13</f>
        <v/>
      </c>
      <c r="RP26" s="110">
        <f>RO26+BALANCING!RP13</f>
        <v/>
      </c>
      <c r="RQ26" s="110">
        <f>RP26+BALANCING!RQ13</f>
        <v/>
      </c>
      <c r="RR26" s="110">
        <f>RQ26+BALANCING!RR13</f>
        <v/>
      </c>
      <c r="RS26" s="110">
        <f>RR26+BALANCING!RS13</f>
        <v/>
      </c>
      <c r="RT26" s="110">
        <f>RS26+BALANCING!RT13</f>
        <v/>
      </c>
      <c r="RU26" s="110">
        <f>RT26+BALANCING!RU13</f>
        <v/>
      </c>
      <c r="RV26" s="110">
        <f>RU26+BALANCING!RV13</f>
        <v/>
      </c>
      <c r="RW26" s="110">
        <f>RV26+BALANCING!RW13</f>
        <v/>
      </c>
      <c r="RX26" s="110">
        <f>RW26+BALANCING!RX13</f>
        <v/>
      </c>
      <c r="RY26" s="110">
        <f>RX26+BALANCING!RY13</f>
        <v/>
      </c>
      <c r="RZ26" s="110">
        <f>RY26+BALANCING!RZ13</f>
        <v/>
      </c>
      <c r="SA26" s="110">
        <f>RZ26+BALANCING!SA13</f>
        <v/>
      </c>
      <c r="SB26" s="110">
        <f>SA26+BALANCING!SB13</f>
        <v/>
      </c>
      <c r="SC26" s="110">
        <f>SB26+BALANCING!SC13</f>
        <v/>
      </c>
      <c r="SD26" s="110">
        <f>SC26+BALANCING!SD13</f>
        <v/>
      </c>
      <c r="SE26" s="110">
        <f>SD26+BALANCING!SE13</f>
        <v/>
      </c>
      <c r="SF26" s="110">
        <f>SE26+BALANCING!SF13</f>
        <v/>
      </c>
      <c r="SG26" s="110">
        <f>SF26+BALANCING!SG13</f>
        <v/>
      </c>
      <c r="SH26" s="110">
        <f>SG26+BALANCING!SH13</f>
        <v/>
      </c>
      <c r="SI26" s="110">
        <f>SH26+BALANCING!SI13</f>
        <v/>
      </c>
      <c r="SJ26" s="110">
        <f>SI26+BALANCING!SJ13</f>
        <v/>
      </c>
      <c r="SK26" s="110">
        <f>SJ26+BALANCING!SK13</f>
        <v/>
      </c>
      <c r="SL26" s="130" t="n"/>
      <c r="SM26" s="110">
        <f>SL26+BALANCING!SM13</f>
        <v/>
      </c>
      <c r="SN26" s="110">
        <f>SM26+BALANCING!SN13</f>
        <v/>
      </c>
      <c r="SO26" s="110">
        <f>SN26+BALANCING!SO13</f>
        <v/>
      </c>
      <c r="SP26" s="110">
        <f>SO26+BALANCING!SP13</f>
        <v/>
      </c>
      <c r="SQ26" s="110">
        <f>SP26+BALANCING!SQ13</f>
        <v/>
      </c>
      <c r="SR26" s="110">
        <f>SQ26+BALANCING!SR13</f>
        <v/>
      </c>
      <c r="SS26" s="110">
        <f>SR26+BALANCING!SS13</f>
        <v/>
      </c>
      <c r="ST26" s="110">
        <f>SS26+BALANCING!ST13</f>
        <v/>
      </c>
      <c r="SU26" s="110">
        <f>ST26+BALANCING!SU13</f>
        <v/>
      </c>
      <c r="SV26" s="110">
        <f>SU26+BALANCING!SV13</f>
        <v/>
      </c>
      <c r="SW26" s="110">
        <f>SV26+BALANCING!SW13</f>
        <v/>
      </c>
      <c r="SX26" s="110">
        <f>SW26+BALANCING!SX13</f>
        <v/>
      </c>
      <c r="SY26" s="110">
        <f>SX26+BALANCING!SY13</f>
        <v/>
      </c>
      <c r="SZ26" s="110">
        <f>SY26+BALANCING!SZ13</f>
        <v/>
      </c>
      <c r="TA26" s="110">
        <f>SZ26+BALANCING!TA13</f>
        <v/>
      </c>
      <c r="TB26" s="110">
        <f>TA26+BALANCING!TB13</f>
        <v/>
      </c>
      <c r="TC26" s="110">
        <f>TB26+BALANCING!TC13</f>
        <v/>
      </c>
      <c r="TD26" s="110">
        <f>TC26+BALANCING!TD13</f>
        <v/>
      </c>
      <c r="TE26" s="110">
        <f>TD26+BALANCING!TE13</f>
        <v/>
      </c>
      <c r="TF26" s="110">
        <f>TE26+BALANCING!TF13</f>
        <v/>
      </c>
      <c r="TG26" s="110">
        <f>TF26+BALANCING!TG13</f>
        <v/>
      </c>
      <c r="TH26" s="110">
        <f>TG26+BALANCING!TH13</f>
        <v/>
      </c>
      <c r="TI26" s="110">
        <f>TH26+BALANCING!TI13</f>
        <v/>
      </c>
      <c r="TJ26" s="110">
        <f>TI26+BALANCING!TJ13</f>
        <v/>
      </c>
      <c r="TK26" s="110">
        <f>TJ26+BALANCING!TK13</f>
        <v/>
      </c>
      <c r="TL26" s="110">
        <f>TK26+BALANCING!TL13</f>
        <v/>
      </c>
      <c r="TM26" s="110">
        <f>TL26+BALANCING!TM13</f>
        <v/>
      </c>
      <c r="TN26" s="110">
        <f>TM26+BALANCING!TN13</f>
        <v/>
      </c>
      <c r="TO26" s="110">
        <f>TN26+BALANCING!TO13</f>
        <v/>
      </c>
      <c r="TP26" s="110">
        <f>TO26+BALANCING!TP13</f>
        <v/>
      </c>
      <c r="TQ26" s="110">
        <f>TP26+BALANCING!TQ13</f>
        <v/>
      </c>
      <c r="TR26" s="130" t="n"/>
      <c r="TS26" s="110">
        <f>TR26+BALANCING!TS13</f>
        <v/>
      </c>
      <c r="TT26" s="110">
        <f>TS26+BALANCING!TT13</f>
        <v/>
      </c>
      <c r="TU26" s="110">
        <f>TT26+BALANCING!TU13</f>
        <v/>
      </c>
      <c r="TV26" s="110">
        <f>TU26+BALANCING!TV13</f>
        <v/>
      </c>
      <c r="TW26" s="110">
        <f>TV26+BALANCING!TW13</f>
        <v/>
      </c>
      <c r="TX26" s="110">
        <f>TW26+BALANCING!TX13</f>
        <v/>
      </c>
      <c r="TY26" s="110">
        <f>TX26+BALANCING!TY13</f>
        <v/>
      </c>
      <c r="TZ26" s="110">
        <f>TY26+BALANCING!TZ13</f>
        <v/>
      </c>
      <c r="UA26" s="110">
        <f>TZ26+BALANCING!UA13</f>
        <v/>
      </c>
      <c r="UB26" s="110">
        <f>UA26+BALANCING!UB13</f>
        <v/>
      </c>
      <c r="UC26" s="110">
        <f>UB26+BALANCING!UC13</f>
        <v/>
      </c>
      <c r="UD26" s="110">
        <f>UC26+BALANCING!UD13</f>
        <v/>
      </c>
      <c r="UE26" s="110">
        <f>UD26+BALANCING!UE13</f>
        <v/>
      </c>
      <c r="UF26" s="110">
        <f>UE26+BALANCING!UF13</f>
        <v/>
      </c>
      <c r="UG26" s="110">
        <f>UF26+BALANCING!UG13</f>
        <v/>
      </c>
      <c r="UH26" s="110">
        <f>UG26+BALANCING!UH13</f>
        <v/>
      </c>
      <c r="UI26" s="110">
        <f>UH26+BALANCING!UI13</f>
        <v/>
      </c>
      <c r="UJ26" s="110">
        <f>UI26+BALANCING!UJ13</f>
        <v/>
      </c>
      <c r="UK26" s="110">
        <f>UJ26+BALANCING!UK13</f>
        <v/>
      </c>
      <c r="UL26" s="110">
        <f>UK26+BALANCING!UL13</f>
        <v/>
      </c>
      <c r="UM26" s="110">
        <f>UL26+BALANCING!UM13</f>
        <v/>
      </c>
      <c r="UN26" s="110">
        <f>UM26+BALANCING!UN13</f>
        <v/>
      </c>
      <c r="UO26" s="110">
        <f>UN26+BALANCING!UO13</f>
        <v/>
      </c>
      <c r="UP26" s="110">
        <f>UO26+BALANCING!UP13</f>
        <v/>
      </c>
      <c r="UQ26" s="110">
        <f>UP26+BALANCING!UQ13</f>
        <v/>
      </c>
      <c r="UR26" s="110">
        <f>UQ26+BALANCING!UR13</f>
        <v/>
      </c>
      <c r="US26" s="110">
        <f>UR26+BALANCING!US13</f>
        <v/>
      </c>
      <c r="UT26" s="110">
        <f>US26+BALANCING!UT13</f>
        <v/>
      </c>
      <c r="UU26" s="110">
        <f>UT26+BALANCING!UU13</f>
        <v/>
      </c>
      <c r="UV26" s="110">
        <f>UU26+BALANCING!UV13</f>
        <v/>
      </c>
      <c r="UW26" s="110">
        <f>UV26+BALANCING!UW13</f>
        <v/>
      </c>
      <c r="UX26" s="130" t="n"/>
      <c r="UY26" s="110">
        <f>UX26+BALANCING!UY13</f>
        <v/>
      </c>
      <c r="UZ26" s="110">
        <f>UY26+BALANCING!UZ13</f>
        <v/>
      </c>
      <c r="VA26" s="110">
        <f>UZ26+BALANCING!VA13</f>
        <v/>
      </c>
      <c r="VB26" s="110">
        <f>VA26+BALANCING!VB13</f>
        <v/>
      </c>
      <c r="VC26" s="110">
        <f>VB26+BALANCING!VC13</f>
        <v/>
      </c>
      <c r="VD26" s="110">
        <f>VC26+BALANCING!VD13</f>
        <v/>
      </c>
      <c r="VE26" s="110">
        <f>VD26+BALANCING!VE13</f>
        <v/>
      </c>
      <c r="VF26" s="110">
        <f>VE26+BALANCING!VF13</f>
        <v/>
      </c>
      <c r="VG26" s="110">
        <f>VF26+BALANCING!VG13</f>
        <v/>
      </c>
      <c r="VH26" s="110">
        <f>VG26+BALANCING!VH13</f>
        <v/>
      </c>
      <c r="VI26" s="110">
        <f>VH26+BALANCING!VI13</f>
        <v/>
      </c>
      <c r="VJ26" s="110">
        <f>VI26+BALANCING!VJ13</f>
        <v/>
      </c>
      <c r="VK26" s="110">
        <f>VJ26+BALANCING!VK13</f>
        <v/>
      </c>
      <c r="VL26" s="110">
        <f>VK26+BALANCING!VL13</f>
        <v/>
      </c>
      <c r="VM26" s="110">
        <f>VL26+BALANCING!VM13</f>
        <v/>
      </c>
      <c r="VN26" s="110">
        <f>VM26+BALANCING!VN13</f>
        <v/>
      </c>
      <c r="VO26" s="110">
        <f>VN26+BALANCING!VO13</f>
        <v/>
      </c>
      <c r="VP26" s="110">
        <f>VO26+BALANCING!VP13</f>
        <v/>
      </c>
      <c r="VQ26" s="110">
        <f>VP26+BALANCING!VQ13</f>
        <v/>
      </c>
      <c r="VR26" s="110">
        <f>VQ26+BALANCING!VR13</f>
        <v/>
      </c>
      <c r="VS26" s="110">
        <f>VR26+BALANCING!VS13</f>
        <v/>
      </c>
      <c r="VT26" s="110">
        <f>VS26+BALANCING!VT13</f>
        <v/>
      </c>
      <c r="VU26" s="110">
        <f>VT26+BALANCING!VU13</f>
        <v/>
      </c>
      <c r="VV26" s="110">
        <f>VU26+BALANCING!VV13</f>
        <v/>
      </c>
      <c r="VW26" s="110">
        <f>VV26+BALANCING!VW13</f>
        <v/>
      </c>
      <c r="VX26" s="110">
        <f>VW26+BALANCING!VX13</f>
        <v/>
      </c>
      <c r="VY26" s="110">
        <f>VX26+BALANCING!VY13</f>
        <v/>
      </c>
      <c r="VZ26" s="110">
        <f>VY26+BALANCING!VZ13</f>
        <v/>
      </c>
      <c r="WA26" s="133" t="n"/>
      <c r="WB26" s="110">
        <f>WA26+BALANCING!WB13</f>
        <v/>
      </c>
      <c r="WC26" s="110">
        <f>WB26+BALANCING!WC13</f>
        <v/>
      </c>
      <c r="WD26" s="110">
        <f>WC26+BALANCING!WD13</f>
        <v/>
      </c>
      <c r="WE26" s="110">
        <f>WD26+BALANCING!WE13</f>
        <v/>
      </c>
      <c r="WF26" s="110">
        <f>WE26+BALANCING!WF13</f>
        <v/>
      </c>
      <c r="WG26" s="110">
        <f>WF26+BALANCING!WG13</f>
        <v/>
      </c>
      <c r="WH26" s="110">
        <f>WG26+BALANCING!WH13</f>
        <v/>
      </c>
      <c r="WI26" s="110">
        <f>WH26+BALANCING!WI13</f>
        <v/>
      </c>
      <c r="WJ26" s="110">
        <f>WI26+BALANCING!WJ13</f>
        <v/>
      </c>
      <c r="WK26" s="110">
        <f>WJ26+BALANCING!WK13</f>
        <v/>
      </c>
      <c r="WL26" s="110">
        <f>WK26+BALANCING!WL13</f>
        <v/>
      </c>
      <c r="WM26" s="110">
        <f>WL26+BALANCING!WM13</f>
        <v/>
      </c>
      <c r="WN26" s="110">
        <f>WM26+BALANCING!WN13</f>
        <v/>
      </c>
      <c r="WO26" s="110">
        <f>WN26+BALANCING!WO13</f>
        <v/>
      </c>
      <c r="WP26" s="110">
        <f>WO26+BALANCING!WP13</f>
        <v/>
      </c>
      <c r="WQ26" s="110">
        <f>WP26+BALANCING!WQ13</f>
        <v/>
      </c>
      <c r="WR26" s="110">
        <f>WQ26+BALANCING!WR13</f>
        <v/>
      </c>
      <c r="WS26" s="110">
        <f>WR26+BALANCING!WS13</f>
        <v/>
      </c>
      <c r="WT26" s="110">
        <f>WS26+BALANCING!WT13</f>
        <v/>
      </c>
      <c r="WU26" s="110">
        <f>WT26+BALANCING!WU13</f>
        <v/>
      </c>
      <c r="WV26" s="110">
        <f>WU26+BALANCING!WV13</f>
        <v/>
      </c>
      <c r="WW26" s="110">
        <f>WV26+BALANCING!WW13</f>
        <v/>
      </c>
      <c r="WX26" s="110">
        <f>WW26+BALANCING!WX13</f>
        <v/>
      </c>
      <c r="WY26" s="110">
        <f>WX26+BALANCING!WY13</f>
        <v/>
      </c>
      <c r="WZ26" s="110">
        <f>WY26+BALANCING!WZ13</f>
        <v/>
      </c>
      <c r="XA26" s="110">
        <f>WZ26+BALANCING!XA13</f>
        <v/>
      </c>
      <c r="XB26" s="110">
        <f>XA26+BALANCING!XB13</f>
        <v/>
      </c>
      <c r="XC26" s="110">
        <f>XB26+BALANCING!XC13</f>
        <v/>
      </c>
      <c r="XD26" s="110">
        <f>XC26+BALANCING!XD13</f>
        <v/>
      </c>
      <c r="XE26" s="110">
        <f>XD26+BALANCING!XE13</f>
        <v/>
      </c>
      <c r="XF26" s="110">
        <f>XE26+BALANCING!XF13</f>
        <v/>
      </c>
      <c r="XG26" s="133" t="n"/>
      <c r="XH26" s="110">
        <f>XG26+BALANCING!XH13</f>
        <v/>
      </c>
      <c r="XI26" s="110">
        <f>XH26+BALANCING!XI13</f>
        <v/>
      </c>
      <c r="XJ26" s="110">
        <f>XI26+BALANCING!XJ13</f>
        <v/>
      </c>
      <c r="XK26" s="110">
        <f>XJ26+BALANCING!XK13</f>
        <v/>
      </c>
      <c r="XL26" s="110">
        <f>XK26+BALANCING!XL13</f>
        <v/>
      </c>
      <c r="XM26" s="110">
        <f>XL26+BALANCING!XM13</f>
        <v/>
      </c>
      <c r="XN26" s="110">
        <f>XM26+BALANCING!XN13</f>
        <v/>
      </c>
      <c r="XO26" s="110">
        <f>XN26+BALANCING!XO13</f>
        <v/>
      </c>
      <c r="XP26" s="110">
        <f>XO26+BALANCING!XP13</f>
        <v/>
      </c>
      <c r="XQ26" s="110">
        <f>XP26+BALANCING!XQ13</f>
        <v/>
      </c>
      <c r="XR26" s="110">
        <f>XQ26+BALANCING!XR13</f>
        <v/>
      </c>
      <c r="XS26" s="110">
        <f>XR26+BALANCING!XS13</f>
        <v/>
      </c>
      <c r="XT26" s="110">
        <f>XS26+BALANCING!XT13</f>
        <v/>
      </c>
      <c r="XU26" s="110">
        <f>XT26+BALANCING!XU13</f>
        <v/>
      </c>
      <c r="XV26" s="110">
        <f>XU26+BALANCING!XV13</f>
        <v/>
      </c>
      <c r="XW26" s="110">
        <f>XV26+BALANCING!XW13</f>
        <v/>
      </c>
      <c r="XX26" s="110">
        <f>XW26+BALANCING!XX13</f>
        <v/>
      </c>
      <c r="XY26" s="110">
        <f>XX26+BALANCING!XY13</f>
        <v/>
      </c>
      <c r="XZ26" s="110">
        <f>XY26+BALANCING!XZ13</f>
        <v/>
      </c>
      <c r="YA26" s="110">
        <f>XZ26+BALANCING!YA13</f>
        <v/>
      </c>
      <c r="YB26" s="110">
        <f>YA26+BALANCING!YB13</f>
        <v/>
      </c>
      <c r="YC26" s="110">
        <f>YB26+BALANCING!YC13</f>
        <v/>
      </c>
      <c r="YD26" s="110">
        <f>YC26+BALANCING!YD13</f>
        <v/>
      </c>
      <c r="YE26" s="110">
        <f>YD26+BALANCING!YE13</f>
        <v/>
      </c>
      <c r="YF26" s="110">
        <f>YE26+BALANCING!YF13</f>
        <v/>
      </c>
      <c r="YG26" s="110">
        <f>YF26+BALANCING!YG13</f>
        <v/>
      </c>
      <c r="YH26" s="110">
        <f>YG26+BALANCING!YH13</f>
        <v/>
      </c>
      <c r="YI26" s="110">
        <f>YH26+BALANCING!YI13</f>
        <v/>
      </c>
      <c r="YJ26" s="110">
        <f>YI26+BALANCING!YJ13</f>
        <v/>
      </c>
      <c r="YK26" s="110">
        <f>YJ26+BALANCING!YK13</f>
        <v/>
      </c>
      <c r="YL26" s="130" t="n"/>
      <c r="YM26" s="110">
        <f>YL26+BALANCING!YM13</f>
        <v/>
      </c>
      <c r="YN26" s="110">
        <f>YM26+BALANCING!YN13</f>
        <v/>
      </c>
      <c r="YO26" s="110">
        <f>YN26+BALANCING!YO13</f>
        <v/>
      </c>
      <c r="YP26" s="110">
        <f>YO26+BALANCING!YP13</f>
        <v/>
      </c>
      <c r="YQ26" s="110">
        <f>YP26+BALANCING!YQ13</f>
        <v/>
      </c>
      <c r="YR26" s="110">
        <f>YQ26+BALANCING!YR13</f>
        <v/>
      </c>
      <c r="YS26" s="110">
        <f>YR26+BALANCING!YS13</f>
        <v/>
      </c>
      <c r="YT26" s="110">
        <f>YS26+BALANCING!YT13</f>
        <v/>
      </c>
      <c r="YU26" s="110">
        <f>YT26+BALANCING!YU13</f>
        <v/>
      </c>
      <c r="YV26" s="110">
        <f>YU26+BALANCING!YV13</f>
        <v/>
      </c>
      <c r="YW26" s="110">
        <f>YV26+BALANCING!YW13</f>
        <v/>
      </c>
      <c r="YX26" s="110">
        <f>YW26+BALANCING!YX13</f>
        <v/>
      </c>
      <c r="YY26" s="110">
        <f>YX26+BALANCING!YY13</f>
        <v/>
      </c>
      <c r="YZ26" s="110">
        <f>YY26+BALANCING!YZ13</f>
        <v/>
      </c>
      <c r="ZA26" s="110">
        <f>YZ26+BALANCING!ZA13</f>
        <v/>
      </c>
      <c r="ZB26" s="110">
        <f>ZA26+BALANCING!ZB13</f>
        <v/>
      </c>
      <c r="ZC26" s="110">
        <f>ZB26+BALANCING!ZC13</f>
        <v/>
      </c>
      <c r="ZD26" s="110">
        <f>ZC26+BALANCING!ZD13</f>
        <v/>
      </c>
      <c r="ZE26" s="110">
        <f>ZD26+BALANCING!ZE13</f>
        <v/>
      </c>
      <c r="ZF26" s="110">
        <f>ZE26+BALANCING!ZF13</f>
        <v/>
      </c>
      <c r="ZG26" s="110">
        <f>ZF26+BALANCING!ZG13</f>
        <v/>
      </c>
      <c r="ZH26" s="110">
        <f>ZG26+BALANCING!ZH13</f>
        <v/>
      </c>
      <c r="ZI26" s="110">
        <f>ZH26+BALANCING!ZI13</f>
        <v/>
      </c>
      <c r="ZJ26" s="110">
        <f>ZI26+BALANCING!ZJ13</f>
        <v/>
      </c>
      <c r="ZK26" s="110">
        <f>ZJ26+BALANCING!ZK13</f>
        <v/>
      </c>
      <c r="ZL26" s="110">
        <f>ZK26+BALANCING!ZL13</f>
        <v/>
      </c>
      <c r="ZM26" s="110">
        <f>ZL26+BALANCING!ZM13</f>
        <v/>
      </c>
      <c r="ZN26" s="110">
        <f>ZM26+BALANCING!ZN13</f>
        <v/>
      </c>
      <c r="ZO26" s="110">
        <f>ZN26+BALANCING!ZO13</f>
        <v/>
      </c>
      <c r="ZP26" s="110">
        <f>ZO26+BALANCING!ZP13</f>
        <v/>
      </c>
      <c r="ZQ26" s="110">
        <f>ZP26+BALANCING!ZQ13</f>
        <v/>
      </c>
      <c r="ZR26" s="130" t="n"/>
      <c r="ZS26" s="110">
        <f>ZR26+BALANCING!ZS13</f>
        <v/>
      </c>
      <c r="ZT26" s="110">
        <f>ZS26+BALANCING!ZT13</f>
        <v/>
      </c>
      <c r="ZU26" s="110">
        <f>ZT26+BALANCING!ZU13</f>
        <v/>
      </c>
      <c r="ZV26" s="110">
        <f>ZU26+BALANCING!ZV13</f>
        <v/>
      </c>
      <c r="ZW26" s="110">
        <f>ZV26+BALANCING!ZW13</f>
        <v/>
      </c>
      <c r="ZX26" s="110">
        <f>ZW26+BALANCING!ZX13</f>
        <v/>
      </c>
      <c r="ZY26" s="110">
        <f>ZX26+BALANCING!ZY13</f>
        <v/>
      </c>
      <c r="ZZ26" s="110">
        <f>ZY26+BALANCING!ZZ13</f>
        <v/>
      </c>
      <c r="AAA26" s="110">
        <f>ZZ26+BALANCING!AAA13</f>
        <v/>
      </c>
      <c r="AAB26" s="110">
        <f>AAA26+BALANCING!AAB13</f>
        <v/>
      </c>
      <c r="AAC26" s="110">
        <f>AAB26+BALANCING!AAC13</f>
        <v/>
      </c>
      <c r="AAD26" s="110">
        <f>AAC26+BALANCING!AAD13</f>
        <v/>
      </c>
      <c r="AAE26" s="110">
        <f>AAD26+BALANCING!AAE13</f>
        <v/>
      </c>
      <c r="AAF26" s="110">
        <f>AAE26+BALANCING!AAF13</f>
        <v/>
      </c>
      <c r="AAG26" s="110">
        <f>AAF26+BALANCING!AAG13</f>
        <v/>
      </c>
      <c r="AAH26" s="110">
        <f>AAG26+BALANCING!AAH13</f>
        <v/>
      </c>
      <c r="AAI26" s="110">
        <f>AAH26+BALANCING!AAI13</f>
        <v/>
      </c>
      <c r="AAJ26" s="110">
        <f>AAI26+BALANCING!AAJ13</f>
        <v/>
      </c>
      <c r="AAK26" s="110">
        <f>AAJ26+BALANCING!AAK13</f>
        <v/>
      </c>
      <c r="AAL26" s="110">
        <f>AAK26+BALANCING!AAL13</f>
        <v/>
      </c>
      <c r="AAM26" s="110">
        <f>AAL26+BALANCING!AAM13</f>
        <v/>
      </c>
      <c r="AAN26" s="110">
        <f>AAM26+BALANCING!AAN13</f>
        <v/>
      </c>
      <c r="AAO26" s="110">
        <f>AAN26+BALANCING!AAO13</f>
        <v/>
      </c>
      <c r="AAP26" s="110">
        <f>AAO26+BALANCING!AAP13</f>
        <v/>
      </c>
      <c r="AAQ26" s="110">
        <f>AAP26+BALANCING!AAQ13</f>
        <v/>
      </c>
      <c r="AAR26" s="110">
        <f>AAQ26+BALANCING!AAR13</f>
        <v/>
      </c>
      <c r="AAS26" s="110">
        <f>AAR26+BALANCING!AAS13</f>
        <v/>
      </c>
      <c r="AAT26" s="110">
        <f>AAS26+BALANCING!AAT13</f>
        <v/>
      </c>
      <c r="AAU26" s="110">
        <f>AAT26+BALANCING!AAU13</f>
        <v/>
      </c>
      <c r="AAV26" s="110">
        <f>AAU26+BALANCING!AAV13</f>
        <v/>
      </c>
      <c r="AAW26" s="130" t="n"/>
      <c r="AAX26" s="110">
        <f>AAW26+BALANCING!AAX13</f>
        <v/>
      </c>
      <c r="AAY26" s="110">
        <f>AAX26+BALANCING!AAY13</f>
        <v/>
      </c>
      <c r="AAZ26" s="110">
        <f>AAY26+BALANCING!AAZ13</f>
        <v/>
      </c>
      <c r="ABA26" s="110">
        <f>AAZ26+BALANCING!ABA13</f>
        <v/>
      </c>
      <c r="ABB26" s="110">
        <f>ABA26+BALANCING!ABB13</f>
        <v/>
      </c>
      <c r="ABC26" s="110">
        <f>ABB26+BALANCING!ABC13</f>
        <v/>
      </c>
      <c r="ABD26" s="110">
        <f>ABC26+BALANCING!ABD13</f>
        <v/>
      </c>
      <c r="ABE26" s="110">
        <f>ABD26+BALANCING!ABE13</f>
        <v/>
      </c>
      <c r="ABF26" s="110">
        <f>ABE26+BALANCING!ABF13</f>
        <v/>
      </c>
      <c r="ABG26" s="110">
        <f>ABF26+BALANCING!ABG13</f>
        <v/>
      </c>
      <c r="ABH26" s="110">
        <f>ABG26+BALANCING!ABH13</f>
        <v/>
      </c>
      <c r="ABI26" s="110">
        <f>ABH26+BALANCING!ABI13</f>
        <v/>
      </c>
      <c r="ABJ26" s="110">
        <f>ABI26+BALANCING!ABJ13</f>
        <v/>
      </c>
      <c r="ABK26" s="110">
        <f>ABJ26+BALANCING!ABK13</f>
        <v/>
      </c>
      <c r="ABL26" s="110">
        <f>ABK26+BALANCING!ABL13</f>
        <v/>
      </c>
      <c r="ABM26" s="110">
        <f>ABL26+BALANCING!ABM13</f>
        <v/>
      </c>
      <c r="ABN26" s="110">
        <f>ABM26+BALANCING!ABN13</f>
        <v/>
      </c>
      <c r="ABO26" s="110">
        <f>ABN26+BALANCING!ABO13</f>
        <v/>
      </c>
      <c r="ABP26" s="110">
        <f>ABO26+BALANCING!ABP13</f>
        <v/>
      </c>
      <c r="ABQ26" s="110">
        <f>ABP26+BALANCING!ABQ13</f>
        <v/>
      </c>
      <c r="ABR26" s="110">
        <f>ABQ26+BALANCING!ABR13</f>
        <v/>
      </c>
      <c r="ABS26" s="110">
        <f>ABR26+BALANCING!ABS13</f>
        <v/>
      </c>
      <c r="ABT26" s="110">
        <f>ABS26+BALANCING!ABT13</f>
        <v/>
      </c>
      <c r="ABU26" s="110">
        <f>ABT26+BALANCING!ABU13</f>
        <v/>
      </c>
      <c r="ABV26" s="110">
        <f>ABU26+BALANCING!ABV13</f>
        <v/>
      </c>
      <c r="ABW26" s="110">
        <f>ABV26+BALANCING!ABW13</f>
        <v/>
      </c>
      <c r="ABX26" s="110">
        <f>ABW26+BALANCING!ABX13</f>
        <v/>
      </c>
      <c r="ABY26" s="110">
        <f>ABX26+BALANCING!ABY13</f>
        <v/>
      </c>
      <c r="ABZ26" s="110">
        <f>ABY26+BALANCING!ABZ13</f>
        <v/>
      </c>
      <c r="ACA26" s="110">
        <f>ABZ26+BALANCING!ACA13</f>
        <v/>
      </c>
      <c r="ACB26" s="110">
        <f>ACA26+BALANCING!ACB13</f>
        <v/>
      </c>
      <c r="ACC26" s="130" t="n"/>
      <c r="ACD26" s="110">
        <f>ACC26+BALANCING!ACD13</f>
        <v/>
      </c>
      <c r="ACE26" s="110">
        <f>ACD26+BALANCING!ACE13</f>
        <v/>
      </c>
      <c r="ACF26" s="110">
        <f>ACE26+BALANCING!ACF13</f>
        <v/>
      </c>
      <c r="ACG26" s="110">
        <f>ACF26+BALANCING!ACG13</f>
        <v/>
      </c>
      <c r="ACH26" s="110">
        <f>ACG26+BALANCING!ACH13</f>
        <v/>
      </c>
      <c r="ACI26" s="110">
        <f>ACH26+BALANCING!ACI13</f>
        <v/>
      </c>
      <c r="ACJ26" s="110">
        <f>ACI26+BALANCING!ACJ13</f>
        <v/>
      </c>
      <c r="ACK26" s="110">
        <f>ACJ26+BALANCING!ACK13</f>
        <v/>
      </c>
      <c r="ACL26" s="110">
        <f>ACK26+BALANCING!ACL13</f>
        <v/>
      </c>
      <c r="ACM26" s="110">
        <f>ACL26+BALANCING!ACM13</f>
        <v/>
      </c>
      <c r="ACN26" s="110">
        <f>ACM26+BALANCING!ACN13</f>
        <v/>
      </c>
      <c r="ACO26" s="110">
        <f>ACN26+BALANCING!ACO13</f>
        <v/>
      </c>
      <c r="ACP26" s="110">
        <f>ACO26+BALANCING!ACP13</f>
        <v/>
      </c>
      <c r="ACQ26" s="110">
        <f>ACP26+BALANCING!ACQ13</f>
        <v/>
      </c>
      <c r="ACR26" s="110">
        <f>ACQ26+BALANCING!ACR13</f>
        <v/>
      </c>
      <c r="ACS26" s="110">
        <f>ACR26+BALANCING!ACS13</f>
        <v/>
      </c>
      <c r="ACT26" s="110">
        <f>ACS26+BALANCING!ACT13</f>
        <v/>
      </c>
      <c r="ACU26" s="110">
        <f>ACT26+BALANCING!ACU13</f>
        <v/>
      </c>
      <c r="ACV26" s="110">
        <f>ACU26+BALANCING!ACV13</f>
        <v/>
      </c>
      <c r="ACW26" s="110">
        <f>ACV26+BALANCING!ACW13</f>
        <v/>
      </c>
      <c r="ACX26" s="110">
        <f>ACW26+BALANCING!ACX13</f>
        <v/>
      </c>
      <c r="ACY26" s="110">
        <f>ACX26+BALANCING!ACY13</f>
        <v/>
      </c>
      <c r="ACZ26" s="110">
        <f>ACY26+BALANCING!ACZ13</f>
        <v/>
      </c>
      <c r="ADA26" s="110">
        <f>ACZ26+BALANCING!ADA13</f>
        <v/>
      </c>
      <c r="ADB26" s="110">
        <f>ADA26+BALANCING!ADB13</f>
        <v/>
      </c>
      <c r="ADC26" s="110">
        <f>ADB26+BALANCING!ADC13</f>
        <v/>
      </c>
      <c r="ADD26" s="110">
        <f>ADC26+BALANCING!ADD13</f>
        <v/>
      </c>
      <c r="ADE26" s="110">
        <f>ADD26+BALANCING!ADE13</f>
        <v/>
      </c>
      <c r="ADF26" s="110">
        <f>ADE26+BALANCING!ADF13</f>
        <v/>
      </c>
      <c r="ADG26" s="110">
        <f>ADF26+BALANCING!ADG13</f>
        <v/>
      </c>
      <c r="ADH26" s="110">
        <f>ADG26+BALANCING!ADH13</f>
        <v/>
      </c>
      <c r="ADI26" s="130" t="n"/>
      <c r="ADJ26" s="110">
        <f>ADI26+BALANCING!ADJ13</f>
        <v/>
      </c>
      <c r="ADK26" s="110">
        <f>ADJ26+BALANCING!ADK13</f>
        <v/>
      </c>
      <c r="ADL26" s="110">
        <f>ADK26+BALANCING!ADL13</f>
        <v/>
      </c>
      <c r="ADM26" s="110">
        <f>ADL26+BALANCING!ADM13</f>
        <v/>
      </c>
      <c r="ADN26" s="110">
        <f>ADM26+BALANCING!ADN13</f>
        <v/>
      </c>
      <c r="ADO26" s="110">
        <f>ADN26+BALANCING!ADO13</f>
        <v/>
      </c>
      <c r="ADP26" s="110">
        <f>ADO26+BALANCING!ADP13</f>
        <v/>
      </c>
      <c r="ADQ26" s="110">
        <f>ADP26+BALANCING!ADQ13</f>
        <v/>
      </c>
      <c r="ADR26" s="110">
        <f>ADQ26+BALANCING!ADR13</f>
        <v/>
      </c>
      <c r="ADS26" s="110">
        <f>ADR26+BALANCING!ADS13</f>
        <v/>
      </c>
      <c r="ADT26" s="110">
        <f>ADS26+BALANCING!ADT13</f>
        <v/>
      </c>
      <c r="ADU26" s="110">
        <f>ADT26+BALANCING!ADU13</f>
        <v/>
      </c>
      <c r="ADV26" s="110">
        <f>ADU26+BALANCING!ADV13</f>
        <v/>
      </c>
      <c r="ADW26" s="110">
        <f>ADV26+BALANCING!ADW13</f>
        <v/>
      </c>
      <c r="ADX26" s="110">
        <f>ADW26+BALANCING!ADX13</f>
        <v/>
      </c>
      <c r="ADY26" s="110">
        <f>ADX26+BALANCING!ADY13</f>
        <v/>
      </c>
      <c r="ADZ26" s="110">
        <f>ADY26+BALANCING!ADZ13</f>
        <v/>
      </c>
      <c r="AEA26" s="110">
        <f>ADZ26+BALANCING!AEA13</f>
        <v/>
      </c>
      <c r="AEB26" s="110">
        <f>AEA26+BALANCING!AEB13</f>
        <v/>
      </c>
      <c r="AEC26" s="110">
        <f>AEB26+BALANCING!AEC13</f>
        <v/>
      </c>
      <c r="AED26" s="110">
        <f>AEC26+BALANCING!AED13</f>
        <v/>
      </c>
      <c r="AEE26" s="110">
        <f>AED26+BALANCING!AEE13</f>
        <v/>
      </c>
      <c r="AEF26" s="110">
        <f>AEE26+BALANCING!AEF13</f>
        <v/>
      </c>
      <c r="AEG26" s="110">
        <f>AEF26+BALANCING!AEG13</f>
        <v/>
      </c>
      <c r="AEH26" s="110">
        <f>AEG26+BALANCING!AEH13</f>
        <v/>
      </c>
      <c r="AEI26" s="110">
        <f>AEH26+BALANCING!AEI13</f>
        <v/>
      </c>
      <c r="AEJ26" s="110">
        <f>AEI26+BALANCING!AEJ13</f>
        <v/>
      </c>
      <c r="AEK26" s="110">
        <f>AEJ26+BALANCING!AEK13</f>
        <v/>
      </c>
      <c r="AEL26" s="110">
        <f>AEK26+BALANCING!AEL13</f>
        <v/>
      </c>
      <c r="AEM26" s="110">
        <f>AEL26+BALANCING!AEM13</f>
        <v/>
      </c>
      <c r="AEN26" s="130" t="n"/>
      <c r="AEO26" s="110">
        <f>AEN26+BALANCING!AEO13</f>
        <v/>
      </c>
      <c r="AEP26" s="110">
        <f>AEO26+BALANCING!AEP13</f>
        <v/>
      </c>
      <c r="AEQ26" s="110">
        <f>AEP26+BALANCING!AEQ13</f>
        <v/>
      </c>
      <c r="AER26" s="110">
        <f>AEQ26+BALANCING!AER13</f>
        <v/>
      </c>
      <c r="AES26" s="110">
        <f>AER26+BALANCING!AES13</f>
        <v/>
      </c>
      <c r="AET26" s="110">
        <f>AES26+BALANCING!AET13</f>
        <v/>
      </c>
      <c r="AEU26" s="110">
        <f>AET26+BALANCING!AEU13</f>
        <v/>
      </c>
      <c r="AEV26" s="110">
        <f>AEU26+BALANCING!AEV13</f>
        <v/>
      </c>
      <c r="AEW26" s="110">
        <f>AEV26+BALANCING!AEW13</f>
        <v/>
      </c>
      <c r="AEX26" s="110">
        <f>AEW26+BALANCING!AEX13</f>
        <v/>
      </c>
      <c r="AEY26" s="110">
        <f>AEX26+BALANCING!AEY13</f>
        <v/>
      </c>
      <c r="AEZ26" s="110">
        <f>AEY26+BALANCING!AEZ13</f>
        <v/>
      </c>
      <c r="AFA26" s="110">
        <f>AEZ26+BALANCING!AFA13</f>
        <v/>
      </c>
      <c r="AFB26" s="110">
        <f>AFA26+BALANCING!AFB13</f>
        <v/>
      </c>
      <c r="AFC26" s="110">
        <f>AFB26+BALANCING!AFC13</f>
        <v/>
      </c>
      <c r="AFD26" s="110">
        <f>AFC26+BALANCING!AFD13</f>
        <v/>
      </c>
      <c r="AFE26" s="110">
        <f>AFD26+BALANCING!AFE13</f>
        <v/>
      </c>
      <c r="AFF26" s="110">
        <f>AFE26+BALANCING!AFF13</f>
        <v/>
      </c>
      <c r="AFG26" s="110">
        <f>AFF26+BALANCING!AFG13</f>
        <v/>
      </c>
      <c r="AFH26" s="110">
        <f>AFG26+BALANCING!AFH13</f>
        <v/>
      </c>
      <c r="AFI26" s="110">
        <f>AFH26+BALANCING!AFI13</f>
        <v/>
      </c>
      <c r="AFJ26" s="110">
        <f>AFI26+BALANCING!AFJ13</f>
        <v/>
      </c>
      <c r="AFK26" s="110">
        <f>AFJ26+BALANCING!AFK13</f>
        <v/>
      </c>
      <c r="AFL26" s="110">
        <f>AFK26+BALANCING!AFL13</f>
        <v/>
      </c>
      <c r="AFM26" s="110">
        <f>AFL26+BALANCING!AFM13</f>
        <v/>
      </c>
      <c r="AFN26" s="110">
        <f>AFM26+BALANCING!AFN13</f>
        <v/>
      </c>
      <c r="AFO26" s="110">
        <f>AFN26+BALANCING!AFO13</f>
        <v/>
      </c>
      <c r="AFP26" s="110">
        <f>AFO26+BALANCING!AFP13</f>
        <v/>
      </c>
      <c r="AFQ26" s="110">
        <f>AFP26+BALANCING!AFQ13</f>
        <v/>
      </c>
      <c r="AFR26" s="110">
        <f>AFQ26+BALANCING!AFR13</f>
        <v/>
      </c>
      <c r="AFS26" s="110">
        <f>AFR26+BALANCING!AFS13</f>
        <v/>
      </c>
      <c r="AFT26" s="130" t="n"/>
      <c r="AFU26" s="110">
        <f>AFT26+BALANCING!AFU13</f>
        <v/>
      </c>
      <c r="AFV26" s="110">
        <f>AFU26+BALANCING!AFV13</f>
        <v/>
      </c>
      <c r="AFW26" s="110">
        <f>AFV26+BALANCING!AFW13</f>
        <v/>
      </c>
      <c r="AFX26" s="110">
        <f>AFW26+BALANCING!AFX13</f>
        <v/>
      </c>
      <c r="AFY26" s="110">
        <f>AFX26+BALANCING!AFY13</f>
        <v/>
      </c>
      <c r="AFZ26" s="110">
        <f>AFY26+BALANCING!AFZ13</f>
        <v/>
      </c>
      <c r="AGA26" s="110">
        <f>AFZ26+BALANCING!AGA13</f>
        <v/>
      </c>
      <c r="AGB26" s="110">
        <f>AGA26+BALANCING!AGB13</f>
        <v/>
      </c>
      <c r="AGC26" s="110">
        <f>AGB26+BALANCING!AGC13</f>
        <v/>
      </c>
      <c r="AGD26" s="110">
        <f>AGC26+BALANCING!AGD13</f>
        <v/>
      </c>
      <c r="AGE26" s="110">
        <f>AGD26+BALANCING!AGE13</f>
        <v/>
      </c>
      <c r="AGF26" s="110">
        <f>AGE26+BALANCING!AGF13</f>
        <v/>
      </c>
      <c r="AGG26" s="110">
        <f>AGF26+BALANCING!AGG13</f>
        <v/>
      </c>
      <c r="AGH26" s="110">
        <f>AGG26+BALANCING!AGH13</f>
        <v/>
      </c>
      <c r="AGI26" s="110">
        <f>AGH26+BALANCING!AGI13</f>
        <v/>
      </c>
      <c r="AGJ26" s="110">
        <f>AGI26+BALANCING!AGJ13</f>
        <v/>
      </c>
      <c r="AGK26" s="110">
        <f>AGJ26+BALANCING!AGK13</f>
        <v/>
      </c>
      <c r="AGL26" s="110">
        <f>AGK26+BALANCING!AGL13</f>
        <v/>
      </c>
      <c r="AGM26" s="110">
        <f>AGL26+BALANCING!AGM13</f>
        <v/>
      </c>
      <c r="AGN26" s="110">
        <f>AGM26+BALANCING!AGN13</f>
        <v/>
      </c>
      <c r="AGO26" s="110">
        <f>AGN26+BALANCING!AGO13</f>
        <v/>
      </c>
      <c r="AGP26" s="110">
        <f>AGO26+BALANCING!AGP13</f>
        <v/>
      </c>
      <c r="AGQ26" s="110">
        <f>AGP26+BALANCING!AGQ13</f>
        <v/>
      </c>
      <c r="AGR26" s="110">
        <f>AGQ26+BALANCING!AGR13</f>
        <v/>
      </c>
      <c r="AGS26" s="110">
        <f>AGR26+BALANCING!AGS13</f>
        <v/>
      </c>
      <c r="AGT26" s="110">
        <f>AGS26+BALANCING!AGT13</f>
        <v/>
      </c>
      <c r="AGU26" s="110">
        <f>AGT26+BALANCING!AGU13</f>
        <v/>
      </c>
      <c r="AGV26" s="110">
        <f>AGU26+BALANCING!AGV13</f>
        <v/>
      </c>
      <c r="AGW26" s="110">
        <f>AGV26+BALANCING!AGW13</f>
        <v/>
      </c>
      <c r="AGX26" s="110">
        <f>AGW26+BALANCING!AGX13</f>
        <v/>
      </c>
      <c r="AGY26" s="133" t="n"/>
      <c r="AGZ26" s="110">
        <f>AGY26+BALANCING!AGZ13</f>
        <v/>
      </c>
      <c r="AHA26" s="110">
        <f>AGZ26+BALANCING!AHA13</f>
        <v/>
      </c>
      <c r="AHB26" s="110">
        <f>AHA26+BALANCING!AHB13</f>
        <v/>
      </c>
      <c r="AHC26" s="110">
        <f>AHB26+BALANCING!AHC13</f>
        <v/>
      </c>
      <c r="AHD26" s="110">
        <f>AHC26+BALANCING!AHD13</f>
        <v/>
      </c>
      <c r="AHE26" s="110">
        <f>AHD26+BALANCING!AHE13</f>
        <v/>
      </c>
      <c r="AHF26" s="110">
        <f>AHE26+BALANCING!AHF13</f>
        <v/>
      </c>
      <c r="AHG26" s="110">
        <f>AHF26+BALANCING!AHG13</f>
        <v/>
      </c>
      <c r="AHH26" s="110">
        <f>AHG26+BALANCING!AHH13</f>
        <v/>
      </c>
      <c r="AHI26" s="110">
        <f>AHH26+BALANCING!AHI13</f>
        <v/>
      </c>
      <c r="AHJ26" s="110">
        <f>AHI26+BALANCING!AHJ13</f>
        <v/>
      </c>
      <c r="AHK26" s="110">
        <f>AHJ26+BALANCING!AHK13</f>
        <v/>
      </c>
      <c r="AHL26" s="110">
        <f>AHK26+BALANCING!AHL13</f>
        <v/>
      </c>
      <c r="AHM26" s="110">
        <f>AHL26+BALANCING!AHM13</f>
        <v/>
      </c>
      <c r="AHN26" s="110">
        <f>AHM26+BALANCING!AHN13</f>
        <v/>
      </c>
      <c r="AHO26" s="110">
        <f>AHN26+BALANCING!AHO13</f>
        <v/>
      </c>
      <c r="AHP26" s="110">
        <f>AHO26+BALANCING!AHP13</f>
        <v/>
      </c>
      <c r="AHQ26" s="110">
        <f>AHP26+BALANCING!AHQ13</f>
        <v/>
      </c>
      <c r="AHR26" s="110">
        <f>AHQ26+BALANCING!AHR13</f>
        <v/>
      </c>
      <c r="AHS26" s="110">
        <f>AHR26+BALANCING!AHS13</f>
        <v/>
      </c>
      <c r="AHT26" s="110">
        <f>AHS26+BALANCING!AHT13</f>
        <v/>
      </c>
      <c r="AHU26" s="110">
        <f>AHT26+BALANCING!AHU13</f>
        <v/>
      </c>
      <c r="AHV26" s="110">
        <f>AHU26+BALANCING!AHV13</f>
        <v/>
      </c>
      <c r="AHW26" s="110">
        <f>AHV26+BALANCING!AHW13</f>
        <v/>
      </c>
      <c r="AHX26" s="110">
        <f>AHW26+BALANCING!AHX13</f>
        <v/>
      </c>
      <c r="AHY26" s="110">
        <f>AHX26+BALANCING!AHY13</f>
        <v/>
      </c>
      <c r="AHZ26" s="110">
        <f>AHY26+BALANCING!AHZ13</f>
        <v/>
      </c>
      <c r="AIA26" s="110">
        <f>AHZ26+BALANCING!AIA13</f>
        <v/>
      </c>
      <c r="AIB26" s="110">
        <f>AIA26+BALANCING!AIB13</f>
        <v/>
      </c>
      <c r="AIC26" s="110">
        <f>AIB26+BALANCING!AIC13</f>
        <v/>
      </c>
      <c r="AID26" s="110">
        <f>AIC26+BALANCING!AID13</f>
        <v/>
      </c>
      <c r="AIE26" s="130" t="n"/>
      <c r="AIF26" s="110">
        <f>AIE26+BALANCING!AIF13</f>
        <v/>
      </c>
      <c r="AIG26" s="110">
        <f>AIF26+BALANCING!AIG13</f>
        <v/>
      </c>
      <c r="AIH26" s="110">
        <f>AIG26+BALANCING!AIH13</f>
        <v/>
      </c>
      <c r="AII26" s="110">
        <f>AIH26+BALANCING!AII13</f>
        <v/>
      </c>
      <c r="AIJ26" s="110">
        <f>AII26+BALANCING!AIJ13</f>
        <v/>
      </c>
      <c r="AIK26" s="110">
        <f>AIJ26+BALANCING!AIK13</f>
        <v/>
      </c>
      <c r="AIL26" s="110">
        <f>AIK26+BALANCING!AIL13</f>
        <v/>
      </c>
      <c r="AIM26" s="110">
        <f>AIL26+BALANCING!AIM13</f>
        <v/>
      </c>
      <c r="AIN26" s="110">
        <f>AIM26+BALANCING!AIN13</f>
        <v/>
      </c>
      <c r="AIO26" s="110">
        <f>AIN26+BALANCING!AIO13</f>
        <v/>
      </c>
      <c r="AIP26" s="110">
        <f>AIO26+BALANCING!AIP13</f>
        <v/>
      </c>
      <c r="AIQ26" s="110">
        <f>AIP26+BALANCING!AIQ13</f>
        <v/>
      </c>
      <c r="AIR26" s="110">
        <f>AIQ26+BALANCING!AIR13</f>
        <v/>
      </c>
      <c r="AIS26" s="110">
        <f>AIR26+BALANCING!AIS13</f>
        <v/>
      </c>
      <c r="AIT26" s="110">
        <f>AIS26+BALANCING!AIT13</f>
        <v/>
      </c>
      <c r="AIU26" s="110">
        <f>AIT26+BALANCING!AIU13</f>
        <v/>
      </c>
      <c r="AIV26" s="110">
        <f>AIU26+BALANCING!AIV13</f>
        <v/>
      </c>
      <c r="AIW26" s="110">
        <f>AIV26+BALANCING!AIW13</f>
        <v/>
      </c>
      <c r="AIX26" s="110">
        <f>AIW26+BALANCING!AIX13</f>
        <v/>
      </c>
      <c r="AIY26" s="110">
        <f>AIX26+BALANCING!AIY13</f>
        <v/>
      </c>
      <c r="AIZ26" s="110">
        <f>AIY26+BALANCING!AIZ13</f>
        <v/>
      </c>
      <c r="AJA26" s="110">
        <f>AIZ26+BALANCING!AJA13</f>
        <v/>
      </c>
      <c r="AJB26" s="110">
        <f>AJA26+BALANCING!AJB13</f>
        <v/>
      </c>
      <c r="AJC26" s="110">
        <f>AJB26+BALANCING!AJC13</f>
        <v/>
      </c>
      <c r="AJD26" s="110">
        <f>AJC26+BALANCING!AJD13</f>
        <v/>
      </c>
      <c r="AJE26" s="110">
        <f>AJD26+BALANCING!AJE13</f>
        <v/>
      </c>
      <c r="AJF26" s="110">
        <f>AJE26+BALANCING!AJF13</f>
        <v/>
      </c>
      <c r="AJG26" s="110">
        <f>AJF26+BALANCING!AJG13</f>
        <v/>
      </c>
      <c r="AJH26" s="110">
        <f>AJG26+BALANCING!AJH13</f>
        <v/>
      </c>
      <c r="AJI26" s="110">
        <f>AJH26+BALANCING!AJI13</f>
        <v/>
      </c>
      <c r="AJJ26" s="110">
        <f>AJI26+BALANCING!AJJ13</f>
        <v/>
      </c>
      <c r="AJK26" s="145" t="n"/>
      <c r="AJL26" s="110">
        <f>AJK26+BALANCING!AJL13</f>
        <v/>
      </c>
      <c r="AJM26" s="110">
        <f>AJL26+BALANCING!AJM13</f>
        <v/>
      </c>
      <c r="AJN26" s="110">
        <f>AJM26+BALANCING!AJN13</f>
        <v/>
      </c>
      <c r="AJO26" s="110">
        <f>AJN26+BALANCING!AJO13</f>
        <v/>
      </c>
      <c r="AJP26" s="110">
        <f>AJO26+BALANCING!AJP13</f>
        <v/>
      </c>
      <c r="AJQ26" s="110">
        <f>AJP26+BALANCING!AJQ13</f>
        <v/>
      </c>
      <c r="AJR26" s="110">
        <f>AJQ26+BALANCING!AJR13</f>
        <v/>
      </c>
      <c r="AJS26" s="110">
        <f>AJR26+BALANCING!AJS13</f>
        <v/>
      </c>
      <c r="AJT26" s="110">
        <f>AJS26+BALANCING!AJT13</f>
        <v/>
      </c>
      <c r="AJU26" s="110">
        <f>AJT26+BALANCING!AJU13</f>
        <v/>
      </c>
      <c r="AJV26" s="110">
        <f>AJU26+BALANCING!AJV13</f>
        <v/>
      </c>
      <c r="AJW26" s="110">
        <f>AJV26+BALANCING!AJW13</f>
        <v/>
      </c>
      <c r="AJX26" s="110">
        <f>AJW26+BALANCING!AJX13</f>
        <v/>
      </c>
      <c r="AJY26" s="110">
        <f>AJX26+BALANCING!AJY13</f>
        <v/>
      </c>
      <c r="AJZ26" s="110">
        <f>AJY26+BALANCING!AJZ13</f>
        <v/>
      </c>
      <c r="AKA26" s="110">
        <f>AJZ26+BALANCING!AKA13</f>
        <v/>
      </c>
      <c r="AKB26" s="110">
        <f>AKA26+BALANCING!AKB13</f>
        <v/>
      </c>
      <c r="AKC26" s="110">
        <f>AKB26+BALANCING!AKC13</f>
        <v/>
      </c>
      <c r="AKD26" s="110">
        <f>AKC26+BALANCING!AKD13</f>
        <v/>
      </c>
      <c r="AKE26" s="110">
        <f>AKD26+BALANCING!AKE13</f>
        <v/>
      </c>
      <c r="AKF26" s="110">
        <f>AKE26+BALANCING!AKF13</f>
        <v/>
      </c>
      <c r="AKG26" s="110">
        <f>AKF26+BALANCING!AKG13</f>
        <v/>
      </c>
      <c r="AKH26" s="110">
        <f>AKG26+BALANCING!AKH13</f>
        <v/>
      </c>
      <c r="AKI26" s="110">
        <f>AKH26+BALANCING!AKI13</f>
        <v/>
      </c>
      <c r="AKJ26" s="110">
        <f>AKI26+BALANCING!AKJ13</f>
        <v/>
      </c>
      <c r="AKK26" s="110">
        <f>AKJ26+BALANCING!AKK13</f>
        <v/>
      </c>
      <c r="AKL26" s="110">
        <f>AKK26+BALANCING!AKL13</f>
        <v/>
      </c>
      <c r="AKM26" s="110">
        <f>AKL26+BALANCING!AKM13</f>
        <v/>
      </c>
      <c r="AKN26" s="112" t="n"/>
      <c r="AKO26" s="110">
        <f>AKN26+BALANCING!AKO13</f>
        <v/>
      </c>
      <c r="AKP26" s="110">
        <f>AKO26+BALANCING!AKP13</f>
        <v/>
      </c>
      <c r="AKQ26" s="110">
        <f>AKP26+BALANCING!AKQ13</f>
        <v/>
      </c>
      <c r="AKR26" s="110">
        <f>AKQ26+BALANCING!AKR13</f>
        <v/>
      </c>
      <c r="AKS26" s="110">
        <f>AKR26+BALANCING!AKS13</f>
        <v/>
      </c>
      <c r="AKT26" s="110">
        <f>AKS26+BALANCING!AKT13</f>
        <v/>
      </c>
      <c r="AKU26" s="110">
        <f>AKT26+BALANCING!AKU13</f>
        <v/>
      </c>
      <c r="AKV26" s="110">
        <f>AKU26+BALANCING!AKV13</f>
        <v/>
      </c>
      <c r="AKW26" s="110">
        <f>AKV26+BALANCING!AKW13</f>
        <v/>
      </c>
      <c r="AKX26" s="110">
        <f>AKW26+BALANCING!AKX13</f>
        <v/>
      </c>
      <c r="AKY26" s="110">
        <f>AKX26+BALANCING!AKY13</f>
        <v/>
      </c>
      <c r="AKZ26" s="110">
        <f>AKY26+BALANCING!AKZ13</f>
        <v/>
      </c>
      <c r="ALA26" s="110">
        <f>AKZ26+BALANCING!ALA13</f>
        <v/>
      </c>
      <c r="ALB26" s="110">
        <f>ALA26+BALANCING!ALB13</f>
        <v/>
      </c>
      <c r="ALC26" s="110">
        <f>ALB26+BALANCING!ALC13</f>
        <v/>
      </c>
      <c r="ALD26" s="110">
        <f>ALC26+BALANCING!ALD13</f>
        <v/>
      </c>
      <c r="ALE26" s="110">
        <f>ALD26+BALANCING!ALE13</f>
        <v/>
      </c>
      <c r="ALF26" s="110">
        <f>ALE26+BALANCING!ALF13</f>
        <v/>
      </c>
      <c r="ALG26" s="110">
        <f>ALF26+BALANCING!ALG13</f>
        <v/>
      </c>
      <c r="ALH26" s="110">
        <f>ALG26+BALANCING!ALH13</f>
        <v/>
      </c>
      <c r="ALI26" s="110">
        <f>ALH26+BALANCING!ALI13</f>
        <v/>
      </c>
      <c r="ALJ26" s="110">
        <f>ALI26+BALANCING!ALJ13</f>
        <v/>
      </c>
      <c r="ALK26" s="110">
        <f>ALJ26+BALANCING!ALK13</f>
        <v/>
      </c>
      <c r="ALL26" s="110">
        <f>ALK26+BALANCING!ALL13</f>
        <v/>
      </c>
      <c r="ALM26" s="110">
        <f>ALL26+BALANCING!ALM13</f>
        <v/>
      </c>
      <c r="ALN26" s="110">
        <f>ALM26+BALANCING!ALN13</f>
        <v/>
      </c>
      <c r="ALO26" s="110">
        <f>ALN26+BALANCING!ALO13</f>
        <v/>
      </c>
      <c r="ALP26" s="110">
        <f>ALO26+BALANCING!ALP13</f>
        <v/>
      </c>
      <c r="ALQ26" s="110">
        <f>ALP26+BALANCING!ALQ13</f>
        <v/>
      </c>
      <c r="ALR26" s="110">
        <f>ALQ26+BALANCING!ALR13</f>
        <v/>
      </c>
      <c r="ALS26" s="110">
        <f>ALR26+BALANCING!ALS13</f>
        <v/>
      </c>
      <c r="ALT26" s="130" t="n"/>
      <c r="ALU26" s="110">
        <f>ALT26+BALANCING!ALU13</f>
        <v/>
      </c>
      <c r="ALV26" s="110">
        <f>ALU26+BALANCING!ALV13</f>
        <v/>
      </c>
      <c r="ALW26" s="110">
        <f>ALV26+BALANCING!ALW13</f>
        <v/>
      </c>
      <c r="ALX26" s="110">
        <f>ALW26+BALANCING!ALX13</f>
        <v/>
      </c>
      <c r="ALY26" s="110">
        <f>ALX26+BALANCING!ALY13</f>
        <v/>
      </c>
      <c r="ALZ26" s="110">
        <f>ALY26+BALANCING!ALZ13</f>
        <v/>
      </c>
      <c r="AMA26" s="110">
        <f>ALZ26+BALANCING!AMA13</f>
        <v/>
      </c>
      <c r="AMB26" s="110">
        <f>AMA26+BALANCING!AMB13</f>
        <v/>
      </c>
      <c r="AMC26" s="110">
        <f>AMB26+BALANCING!AMC13</f>
        <v/>
      </c>
      <c r="AMD26" s="110">
        <f>AMC26+BALANCING!AMD13</f>
        <v/>
      </c>
      <c r="AME26" s="110">
        <f>AMD26+BALANCING!AME13</f>
        <v/>
      </c>
      <c r="AMF26" s="110">
        <f>AME26+BALANCING!AMF13</f>
        <v/>
      </c>
      <c r="AMG26" s="110">
        <f>AMF26+BALANCING!AMG13</f>
        <v/>
      </c>
      <c r="AMH26" s="110">
        <f>AMG26+BALANCING!AMH13</f>
        <v/>
      </c>
      <c r="AMI26" s="110">
        <f>AMH26+BALANCING!AMI13</f>
        <v/>
      </c>
      <c r="AMJ26" s="110">
        <f>AMI26+BALANCING!AMJ13</f>
        <v/>
      </c>
      <c r="AMK26" s="110">
        <f>AMJ26+BALANCING!AMK13</f>
        <v/>
      </c>
      <c r="AML26" s="110">
        <f>AMK26+BALANCING!AML13</f>
        <v/>
      </c>
      <c r="AMM26" s="110">
        <f>AML26+BALANCING!AMM13</f>
        <v/>
      </c>
      <c r="AMN26" s="110">
        <f>AMM26+BALANCING!AMN13</f>
        <v/>
      </c>
      <c r="AMO26" s="110">
        <f>AMN26+BALANCING!AMO13</f>
        <v/>
      </c>
      <c r="AMP26" s="110">
        <f>AMO26+BALANCING!AMP13</f>
        <v/>
      </c>
      <c r="AMQ26" s="110">
        <f>AMP26+BALANCING!AMQ13</f>
        <v/>
      </c>
      <c r="AMR26" s="110">
        <f>AMQ26+BALANCING!AMR13</f>
        <v/>
      </c>
      <c r="AMS26" s="110">
        <f>AMR26+BALANCING!AMS13</f>
        <v/>
      </c>
      <c r="AMT26" s="110">
        <f>AMS26+BALANCING!AMT13</f>
        <v/>
      </c>
      <c r="AMU26" s="110">
        <f>AMT26+BALANCING!AMU13</f>
        <v/>
      </c>
      <c r="AMV26" s="110">
        <f>AMU26+BALANCING!AMV13</f>
        <v/>
      </c>
      <c r="AMW26" s="110">
        <f>AMV26+BALANCING!AMW13</f>
        <v/>
      </c>
      <c r="AMX26" s="110">
        <f>AMW26+BALANCING!AMX13</f>
        <v/>
      </c>
      <c r="AMY26" s="130" t="n"/>
      <c r="AMZ26" s="110">
        <f>AMY26+BALANCING!AMZ13</f>
        <v/>
      </c>
      <c r="ANA26" s="110">
        <f>AMZ26+BALANCING!ANA13</f>
        <v/>
      </c>
      <c r="ANB26" s="110">
        <f>ANA26+BALANCING!ANB13</f>
        <v/>
      </c>
      <c r="ANC26" s="110">
        <f>ANB26+BALANCING!ANC13</f>
        <v/>
      </c>
      <c r="AND26" s="110">
        <f>ANC26+BALANCING!AND13</f>
        <v/>
      </c>
      <c r="ANE26" s="110">
        <f>AND26+BALANCING!ANE13</f>
        <v/>
      </c>
      <c r="ANF26" s="110">
        <f>ANE26+BALANCING!ANF13</f>
        <v/>
      </c>
      <c r="ANG26" s="110">
        <f>ANF26+BALANCING!ANG13</f>
        <v/>
      </c>
      <c r="ANH26" s="110">
        <f>ANG26+BALANCING!ANH13</f>
        <v/>
      </c>
      <c r="ANI26" s="110">
        <f>ANH26+BALANCING!ANI13</f>
        <v/>
      </c>
      <c r="ANJ26" s="110">
        <f>ANI26+BALANCING!ANJ13</f>
        <v/>
      </c>
      <c r="ANK26" s="110">
        <f>ANJ26+BALANCING!ANK13</f>
        <v/>
      </c>
      <c r="ANL26" s="110">
        <f>ANK26+BALANCING!ANL13</f>
        <v/>
      </c>
      <c r="ANM26" s="110">
        <f>ANL26+BALANCING!ANM13</f>
        <v/>
      </c>
      <c r="ANN26" s="110">
        <f>ANM26+BALANCING!ANN13</f>
        <v/>
      </c>
      <c r="ANO26" s="110">
        <f>ANN26+BALANCING!ANO13</f>
        <v/>
      </c>
      <c r="ANP26" s="110">
        <f>ANO26+BALANCING!ANP13</f>
        <v/>
      </c>
      <c r="ANQ26" s="110">
        <f>ANP26+BALANCING!ANQ13</f>
        <v/>
      </c>
      <c r="ANR26" s="110">
        <f>ANQ26+BALANCING!ANR13</f>
        <v/>
      </c>
      <c r="ANS26" s="110">
        <f>ANR26+BALANCING!ANS13</f>
        <v/>
      </c>
      <c r="ANT26" s="110">
        <f>ANS26+BALANCING!ANT13</f>
        <v/>
      </c>
      <c r="ANU26" s="110">
        <f>ANT26+BALANCING!ANU13</f>
        <v/>
      </c>
      <c r="ANV26" s="110">
        <f>ANU26+BALANCING!ANV13</f>
        <v/>
      </c>
      <c r="ANW26" s="110">
        <f>ANV26+BALANCING!ANW13</f>
        <v/>
      </c>
      <c r="ANX26" s="110">
        <f>ANW26+BALANCING!ANX13</f>
        <v/>
      </c>
      <c r="ANY26" s="110">
        <f>ANX26+BALANCING!ANY13</f>
        <v/>
      </c>
      <c r="ANZ26" s="110">
        <f>ANY26+BALANCING!ANZ13</f>
        <v/>
      </c>
      <c r="AOA26" s="110">
        <f>ANZ26+BALANCING!AOA13</f>
        <v/>
      </c>
      <c r="AOB26" s="110">
        <f>AOA26+BALANCING!AOB13</f>
        <v/>
      </c>
      <c r="AOC26" s="110">
        <f>AOB26+BALANCING!AOC13</f>
        <v/>
      </c>
    </row>
    <row r="27">
      <c r="B27" t="inlineStr">
        <is>
          <t xml:space="preserve">Airtel </t>
        </is>
      </c>
      <c r="C27" s="52">
        <f>BALANCING!C14</f>
        <v/>
      </c>
      <c r="D27" s="52">
        <f>C27+BALANCING!D14</f>
        <v/>
      </c>
      <c r="E27" s="52">
        <f>D27+BALANCING!E14</f>
        <v/>
      </c>
      <c r="F27" s="52">
        <f>E27+BALANCING!F14</f>
        <v/>
      </c>
      <c r="G27" s="52">
        <f>F27+BALANCING!G14</f>
        <v/>
      </c>
      <c r="H27" s="52">
        <f>G27+BALANCING!H14</f>
        <v/>
      </c>
      <c r="I27" s="52">
        <f>H27+BALANCING!I14</f>
        <v/>
      </c>
      <c r="J27" s="52">
        <f>I27+BALANCING!J14</f>
        <v/>
      </c>
      <c r="K27" s="52">
        <f>J27+BALANCING!K14</f>
        <v/>
      </c>
      <c r="L27" s="52">
        <f>K27+BALANCING!L14</f>
        <v/>
      </c>
      <c r="M27" s="52">
        <f>L27+BALANCING!M14</f>
        <v/>
      </c>
      <c r="N27" s="52">
        <f>M27+BALANCING!N14</f>
        <v/>
      </c>
      <c r="O27" s="52">
        <f>N27+BALANCING!O14</f>
        <v/>
      </c>
      <c r="P27" s="52">
        <f>O27+BALANCING!P14</f>
        <v/>
      </c>
      <c r="Q27" s="52">
        <f>P27+BALANCING!Q14</f>
        <v/>
      </c>
      <c r="R27" s="52">
        <f>Q27+BALANCING!R14</f>
        <v/>
      </c>
      <c r="S27" s="52">
        <f>R27+BALANCING!S14</f>
        <v/>
      </c>
      <c r="T27" s="52">
        <f>S27+BALANCING!T14</f>
        <v/>
      </c>
      <c r="U27" s="52">
        <f>T27+BALANCING!U14</f>
        <v/>
      </c>
      <c r="V27" s="52">
        <f>U27+BALANCING!V14</f>
        <v/>
      </c>
      <c r="W27" s="52">
        <f>V27+BALANCING!W14</f>
        <v/>
      </c>
      <c r="X27" s="52">
        <f>W27+BALANCING!X14</f>
        <v/>
      </c>
      <c r="Y27" s="52">
        <f>X27+BALANCING!Y14</f>
        <v/>
      </c>
      <c r="Z27" s="52">
        <f>Y27+BALANCING!Z14</f>
        <v/>
      </c>
      <c r="AA27" s="52">
        <f>Z27+BALANCING!AA14</f>
        <v/>
      </c>
      <c r="AB27" s="52">
        <f>AA27+BALANCING!AB14</f>
        <v/>
      </c>
      <c r="AC27" s="52">
        <f>AB27+BALANCING!AC14</f>
        <v/>
      </c>
      <c r="AD27" s="52">
        <f>AC27+BALANCING!AD14</f>
        <v/>
      </c>
      <c r="AE27" s="52">
        <f>AD27+BALANCING!AE14</f>
        <v/>
      </c>
      <c r="AF27" s="52">
        <f>AE27+BALANCING!AF14</f>
        <v/>
      </c>
      <c r="AG27" s="52">
        <f>AF27+BALANCING!AG14</f>
        <v/>
      </c>
      <c r="AH27" s="98">
        <f>AG27</f>
        <v/>
      </c>
      <c r="AI27" s="82">
        <f>BALANCING!AI14</f>
        <v/>
      </c>
      <c r="AJ27" s="82">
        <f>AI27+BALANCING!AJ14</f>
        <v/>
      </c>
      <c r="AK27" s="82">
        <f>AJ27+BALANCING!AK14</f>
        <v/>
      </c>
      <c r="AL27" s="82">
        <f>AK27+BALANCING!AL14</f>
        <v/>
      </c>
      <c r="AM27" s="82">
        <f>AL27+BALANCING!AM14</f>
        <v/>
      </c>
      <c r="AN27" s="82">
        <f>AM27+BALANCING!AN14</f>
        <v/>
      </c>
      <c r="AO27" s="82">
        <f>AN27+BALANCING!AO14</f>
        <v/>
      </c>
      <c r="AP27" s="82">
        <f>AO27+BALANCING!AP14</f>
        <v/>
      </c>
      <c r="AQ27" s="82">
        <f>AP27+BALANCING!AQ14</f>
        <v/>
      </c>
      <c r="AR27" s="82">
        <f>AQ27+BALANCING!AR14</f>
        <v/>
      </c>
      <c r="AS27" s="82">
        <f>AR27+BALANCING!AS14</f>
        <v/>
      </c>
      <c r="AT27" s="82">
        <f>AS27+BALANCING!AT14</f>
        <v/>
      </c>
      <c r="AU27" s="82">
        <f>AT27+BALANCING!AU14</f>
        <v/>
      </c>
      <c r="AV27" s="82">
        <f>AU27+BALANCING!AV14</f>
        <v/>
      </c>
      <c r="AW27" s="82">
        <f>AV27+BALANCING!AW14</f>
        <v/>
      </c>
      <c r="AX27" s="82">
        <f>AW27+BALANCING!AX14</f>
        <v/>
      </c>
      <c r="AY27" s="82">
        <f>AX27+BALANCING!AY14</f>
        <v/>
      </c>
      <c r="AZ27" s="82">
        <f>AY27+BALANCING!AZ14</f>
        <v/>
      </c>
      <c r="BA27" s="82">
        <f>AZ27+BALANCING!BA14</f>
        <v/>
      </c>
      <c r="BB27" s="82">
        <f>BA27+BALANCING!BB14</f>
        <v/>
      </c>
      <c r="BC27" s="82">
        <f>BB27+BALANCING!BC14</f>
        <v/>
      </c>
      <c r="BD27" s="82">
        <f>BC27+BALANCING!BD14</f>
        <v/>
      </c>
      <c r="BE27" s="82">
        <f>BD27+BALANCING!BE14</f>
        <v/>
      </c>
      <c r="BF27" s="82">
        <f>BE27+BALANCING!BF14</f>
        <v/>
      </c>
      <c r="BG27" s="82">
        <f>BF27+BALANCING!BG14</f>
        <v/>
      </c>
      <c r="BH27" s="82">
        <f>BG27+BALANCING!BH14</f>
        <v/>
      </c>
      <c r="BI27" s="82">
        <f>BH27+BALANCING!BI14</f>
        <v/>
      </c>
      <c r="BJ27" s="82">
        <f>BI27+BALANCING!BJ14</f>
        <v/>
      </c>
      <c r="BK27" s="82">
        <f>BJ27+BALANCING!BK14</f>
        <v/>
      </c>
      <c r="BL27" s="82">
        <f>BK27+BALANCING!BL14</f>
        <v/>
      </c>
      <c r="BM27" s="106" t="n">
        <v>0</v>
      </c>
      <c r="BN27" s="82">
        <f>BM27+BALANCING!BN14</f>
        <v/>
      </c>
      <c r="BO27" s="82">
        <f>BN27+BALANCING!BO14</f>
        <v/>
      </c>
      <c r="BP27" s="82">
        <f>BO27+BALANCING!BP14</f>
        <v/>
      </c>
      <c r="BQ27" s="82">
        <f>BP27+BALANCING!BQ14</f>
        <v/>
      </c>
      <c r="BR27" s="82">
        <f>BQ27+BALANCING!BR14</f>
        <v/>
      </c>
      <c r="BS27" s="82">
        <f>BR27+BALANCING!BS14</f>
        <v/>
      </c>
      <c r="BT27" s="82">
        <f>BS27+BALANCING!BT14</f>
        <v/>
      </c>
      <c r="BU27" s="82">
        <f>BT27+BALANCING!BU14</f>
        <v/>
      </c>
      <c r="BV27" s="82">
        <f>BU27+BALANCING!BV14</f>
        <v/>
      </c>
      <c r="BW27" s="82">
        <f>BV27+BALANCING!BW14</f>
        <v/>
      </c>
      <c r="BX27" s="82">
        <f>BW27+BALANCING!BX14</f>
        <v/>
      </c>
      <c r="BY27" s="82">
        <f>BX27+BALANCING!BY14</f>
        <v/>
      </c>
      <c r="BZ27" s="82">
        <f>BY27+BALANCING!BZ14</f>
        <v/>
      </c>
      <c r="CA27" s="82">
        <f>BZ27+BALANCING!CA14</f>
        <v/>
      </c>
      <c r="CB27" s="82">
        <f>CA27+BALANCING!CB14</f>
        <v/>
      </c>
      <c r="CC27" s="82">
        <f>CB27+BALANCING!CC14</f>
        <v/>
      </c>
      <c r="CD27" s="82">
        <f>CC27+BALANCING!CD14</f>
        <v/>
      </c>
      <c r="CE27" s="82">
        <f>CD27+BALANCING!CE14</f>
        <v/>
      </c>
      <c r="CF27" s="82">
        <f>CE27+BALANCING!CF14</f>
        <v/>
      </c>
      <c r="CG27" s="82">
        <f>CF27+BALANCING!CG14</f>
        <v/>
      </c>
      <c r="CH27" s="82">
        <f>CG27+BALANCING!CH14</f>
        <v/>
      </c>
      <c r="CI27" s="82">
        <f>CH27+BALANCING!CI14</f>
        <v/>
      </c>
      <c r="CJ27" s="82">
        <f>CI27+BALANCING!CJ14</f>
        <v/>
      </c>
      <c r="CK27" s="82">
        <f>CJ27+BALANCING!CK14</f>
        <v/>
      </c>
      <c r="CL27" s="82">
        <f>CK27+BALANCING!CL14</f>
        <v/>
      </c>
      <c r="CM27" s="82">
        <f>CL27+BALANCING!CM14</f>
        <v/>
      </c>
      <c r="CN27" s="82">
        <f>CM27+BALANCING!CN14</f>
        <v/>
      </c>
      <c r="CO27" s="82">
        <f>CN27+BALANCING!CO14</f>
        <v/>
      </c>
      <c r="CP27" s="82">
        <f>CO27+BALANCING!CP14</f>
        <v/>
      </c>
      <c r="CQ27" s="82">
        <f>CP27+BALANCING!CQ14</f>
        <v/>
      </c>
      <c r="CR27" s="82">
        <f>CQ27+BALANCING!CR14</f>
        <v/>
      </c>
      <c r="CT27" s="82">
        <f>CS27+BALANCING!CT14</f>
        <v/>
      </c>
      <c r="CU27" s="82">
        <f>CT27+BALANCING!CU14</f>
        <v/>
      </c>
      <c r="CV27" s="82">
        <f>CU27+BALANCING!CV14</f>
        <v/>
      </c>
      <c r="CW27" s="82">
        <f>CV27+BALANCING!CW14</f>
        <v/>
      </c>
      <c r="CX27" s="82">
        <f>CW27+BALANCING!CX14</f>
        <v/>
      </c>
      <c r="CY27" s="82">
        <f>CX27+BALANCING!CY14</f>
        <v/>
      </c>
      <c r="CZ27" s="82">
        <f>CY27+BALANCING!CZ14</f>
        <v/>
      </c>
      <c r="DA27" s="82">
        <f>CZ27+BALANCING!DA14</f>
        <v/>
      </c>
      <c r="DB27" s="82">
        <f>DA27+BALANCING!DB14</f>
        <v/>
      </c>
      <c r="DC27" s="82">
        <f>DB27+BALANCING!DC14</f>
        <v/>
      </c>
      <c r="DD27" s="82">
        <f>DC27+BALANCING!DD14</f>
        <v/>
      </c>
      <c r="DE27" s="82">
        <f>DD27+BALANCING!DE14</f>
        <v/>
      </c>
      <c r="DF27" s="82">
        <f>DE27+BALANCING!DF14</f>
        <v/>
      </c>
      <c r="DG27" s="82">
        <f>DF27+BALANCING!DG14</f>
        <v/>
      </c>
      <c r="DH27" s="82">
        <f>DG27+BALANCING!DH14</f>
        <v/>
      </c>
      <c r="DI27" s="82">
        <f>DH27+BALANCING!DI14</f>
        <v/>
      </c>
      <c r="DJ27" s="82">
        <f>DI27+BALANCING!DJ14</f>
        <v/>
      </c>
      <c r="DK27" s="82">
        <f>DJ27+BALANCING!DK14</f>
        <v/>
      </c>
      <c r="DL27" s="82">
        <f>DK27+BALANCING!DL14</f>
        <v/>
      </c>
      <c r="DM27" s="82">
        <f>DL27+BALANCING!DM14</f>
        <v/>
      </c>
      <c r="DN27" s="82">
        <f>DM27+BALANCING!DN14</f>
        <v/>
      </c>
      <c r="DO27" s="82">
        <f>DN27+BALANCING!DO14</f>
        <v/>
      </c>
      <c r="DP27" s="82">
        <f>DO27+BALANCING!DP14</f>
        <v/>
      </c>
      <c r="DQ27" s="82">
        <f>DP27+BALANCING!DQ14</f>
        <v/>
      </c>
      <c r="DR27" s="82">
        <f>DQ27+BALANCING!DR14</f>
        <v/>
      </c>
      <c r="DS27" s="82">
        <f>DR27+BALANCING!DS14</f>
        <v/>
      </c>
      <c r="DT27" s="82">
        <f>DS27+BALANCING!DT14</f>
        <v/>
      </c>
      <c r="DU27" s="82">
        <f>DT27+BALANCING!DU14</f>
        <v/>
      </c>
      <c r="DV27" s="82">
        <f>DU27+BALANCING!DV14</f>
        <v/>
      </c>
      <c r="DW27" s="82">
        <f>DV27+BALANCING!DW14</f>
        <v/>
      </c>
      <c r="DX27" s="117" t="n"/>
      <c r="DY27" s="82">
        <f>DX27+BALANCING!DY14</f>
        <v/>
      </c>
      <c r="DZ27" s="82">
        <f>DY27+BALANCING!DZ14</f>
        <v/>
      </c>
      <c r="EA27" s="82">
        <f>DZ27+BALANCING!EA14</f>
        <v/>
      </c>
      <c r="EB27" s="82">
        <f>EA27+BALANCING!EB14</f>
        <v/>
      </c>
      <c r="EC27" s="82">
        <f>EB27+BALANCING!EC14</f>
        <v/>
      </c>
      <c r="ED27" s="82">
        <f>EC27+BALANCING!ED14</f>
        <v/>
      </c>
      <c r="EE27" s="82">
        <f>ED27+BALANCING!EE14</f>
        <v/>
      </c>
      <c r="EF27" s="82">
        <f>EE27+BALANCING!EF14</f>
        <v/>
      </c>
      <c r="EG27" s="82">
        <f>EF27+BALANCING!EG14</f>
        <v/>
      </c>
      <c r="EH27" s="82">
        <f>EG27+BALANCING!EH14</f>
        <v/>
      </c>
      <c r="EI27" s="82">
        <f>EH27+BALANCING!EI14</f>
        <v/>
      </c>
      <c r="EJ27" s="82">
        <f>EI27+BALANCING!EJ14</f>
        <v/>
      </c>
      <c r="EK27" s="82">
        <f>EJ27+BALANCING!EK14</f>
        <v/>
      </c>
      <c r="EL27" s="82">
        <f>EK27+BALANCING!EL14</f>
        <v/>
      </c>
      <c r="EM27" s="82">
        <f>EL27+BALANCING!EM14</f>
        <v/>
      </c>
      <c r="EN27" s="82">
        <f>EM27+BALANCING!EN14</f>
        <v/>
      </c>
      <c r="EO27" s="82">
        <f>EN27+BALANCING!EO14</f>
        <v/>
      </c>
      <c r="EP27" s="82">
        <f>EO27+BALANCING!EP14</f>
        <v/>
      </c>
      <c r="EQ27" s="82">
        <f>EP27+BALANCING!EQ14</f>
        <v/>
      </c>
      <c r="ER27" s="82">
        <f>EQ27+BALANCING!ER14</f>
        <v/>
      </c>
      <c r="ES27" s="82">
        <f>ER27+BALANCING!ES14</f>
        <v/>
      </c>
      <c r="ET27" s="82">
        <f>ES27+BALANCING!ET14</f>
        <v/>
      </c>
      <c r="EU27" s="82">
        <f>ET27+BALANCING!EU14</f>
        <v/>
      </c>
      <c r="EV27" s="82">
        <f>EU27+BALANCING!EV14</f>
        <v/>
      </c>
      <c r="EW27" s="82">
        <f>EV27+BALANCING!EW14</f>
        <v/>
      </c>
      <c r="EX27" s="82">
        <f>EW27+BALANCING!EX14</f>
        <v/>
      </c>
      <c r="EY27" s="82">
        <f>EX27+BALANCING!EY14</f>
        <v/>
      </c>
      <c r="EZ27" s="82">
        <f>EY27+BALANCING!EZ14</f>
        <v/>
      </c>
      <c r="FA27" s="82">
        <f>EZ27+BALANCING!FA14</f>
        <v/>
      </c>
      <c r="FB27" s="82">
        <f>FA27+BALANCING!FB14</f>
        <v/>
      </c>
      <c r="FC27" s="82">
        <f>FB27+BALANCING!FC14</f>
        <v/>
      </c>
      <c r="FD27" s="126" t="n"/>
      <c r="FE27" s="82">
        <f>FD27+BALANCING!FE14</f>
        <v/>
      </c>
      <c r="FF27" s="82">
        <f>FE27+BALANCING!FF14</f>
        <v/>
      </c>
      <c r="FG27" s="82">
        <f>FF27+BALANCING!FG14</f>
        <v/>
      </c>
      <c r="FH27" s="82">
        <f>FG27+BALANCING!FH14</f>
        <v/>
      </c>
      <c r="FI27" s="82">
        <f>FH27+BALANCING!FI14</f>
        <v/>
      </c>
      <c r="FJ27" s="82">
        <f>FI27+BALANCING!FJ14</f>
        <v/>
      </c>
      <c r="FK27" s="82">
        <f>FJ27+BALANCING!FK14</f>
        <v/>
      </c>
      <c r="FL27" s="82">
        <f>FK27+BALANCING!FL14</f>
        <v/>
      </c>
      <c r="FM27" s="82">
        <f>FL27+BALANCING!FM14</f>
        <v/>
      </c>
      <c r="FN27" s="82">
        <f>FM27+BALANCING!FN14</f>
        <v/>
      </c>
      <c r="FO27" s="82">
        <f>FN27+BALANCING!FO14</f>
        <v/>
      </c>
      <c r="FP27" s="82">
        <f>FO27+BALANCING!FP14</f>
        <v/>
      </c>
      <c r="FQ27" s="82">
        <f>FP27+BALANCING!FQ14</f>
        <v/>
      </c>
      <c r="FR27" s="82">
        <f>FQ27+BALANCING!FR14</f>
        <v/>
      </c>
      <c r="FS27" s="82">
        <f>FR27+BALANCING!FS14</f>
        <v/>
      </c>
      <c r="FT27" s="82">
        <f>FS27+BALANCING!FT14</f>
        <v/>
      </c>
      <c r="FU27" s="82">
        <f>FT27+BALANCING!FU14</f>
        <v/>
      </c>
      <c r="FV27" s="82">
        <f>FU27+BALANCING!FV14</f>
        <v/>
      </c>
      <c r="FW27" s="82">
        <f>FV27+BALANCING!FW14</f>
        <v/>
      </c>
      <c r="FX27" s="82">
        <f>FW27+BALANCING!FX14</f>
        <v/>
      </c>
      <c r="FY27" s="82">
        <f>FX27+BALANCING!FY14</f>
        <v/>
      </c>
      <c r="FZ27" s="82">
        <f>FY27+BALANCING!FZ14</f>
        <v/>
      </c>
      <c r="GA27" s="82">
        <f>FZ27+BALANCING!GA14</f>
        <v/>
      </c>
      <c r="GB27" s="82">
        <f>GA27+BALANCING!GB14</f>
        <v/>
      </c>
      <c r="GC27" s="82">
        <f>GB27+BALANCING!GC14</f>
        <v/>
      </c>
      <c r="GD27" s="82">
        <f>GC27+BALANCING!GD14</f>
        <v/>
      </c>
      <c r="GE27" s="82">
        <f>GD27+BALANCING!GE14</f>
        <v/>
      </c>
      <c r="GF27" s="82">
        <f>GE27+BALANCING!GF14</f>
        <v/>
      </c>
      <c r="GG27" s="82">
        <f>GF27+BALANCING!GG14</f>
        <v/>
      </c>
      <c r="GH27" s="82">
        <f>GG27+BALANCING!GH14</f>
        <v/>
      </c>
      <c r="GI27" s="82">
        <f>GH27+BALANCING!GI14</f>
        <v/>
      </c>
      <c r="GJ27" s="130" t="n"/>
      <c r="GK27" s="110">
        <f>BALANCING!GK14</f>
        <v/>
      </c>
      <c r="GL27" s="110">
        <f>GK27+BALANCING!GL14</f>
        <v/>
      </c>
      <c r="GM27" s="110">
        <f>GL27+BALANCING!GM14</f>
        <v/>
      </c>
      <c r="GN27" s="110">
        <f>GM27+BALANCING!GN14</f>
        <v/>
      </c>
      <c r="GO27" s="110">
        <f>GN27+BALANCING!GO14</f>
        <v/>
      </c>
      <c r="GP27" s="110">
        <f>GO27+BALANCING!GP14</f>
        <v/>
      </c>
      <c r="GQ27" s="110">
        <f>GP27+BALANCING!GQ14</f>
        <v/>
      </c>
      <c r="GR27" s="110">
        <f>GQ27+BALANCING!GR14</f>
        <v/>
      </c>
      <c r="GS27" s="110">
        <f>GR27+BALANCING!GS14</f>
        <v/>
      </c>
      <c r="GT27" s="110">
        <f>GS27+BALANCING!GT14</f>
        <v/>
      </c>
      <c r="GU27" s="110">
        <f>GT27+BALANCING!GU14</f>
        <v/>
      </c>
      <c r="GV27" s="110">
        <f>GU27+BALANCING!GV14</f>
        <v/>
      </c>
      <c r="GW27" s="110">
        <f>GV27+BALANCING!GW14</f>
        <v/>
      </c>
      <c r="GX27" s="110">
        <f>GW27+BALANCING!GX14</f>
        <v/>
      </c>
      <c r="GY27" s="110">
        <f>GX27+BALANCING!GY14</f>
        <v/>
      </c>
      <c r="GZ27" s="110">
        <f>GY27+BALANCING!GZ14</f>
        <v/>
      </c>
      <c r="HA27" s="110">
        <f>GZ27+BALANCING!HA14</f>
        <v/>
      </c>
      <c r="HB27" s="110">
        <f>HA27+BALANCING!HB14</f>
        <v/>
      </c>
      <c r="HC27" s="110">
        <f>HB27+BALANCING!HC14</f>
        <v/>
      </c>
      <c r="HD27" s="110">
        <f>HC27+BALANCING!HD14</f>
        <v/>
      </c>
      <c r="HE27" s="110">
        <f>HD27+BALANCING!HE14</f>
        <v/>
      </c>
      <c r="HF27" s="110">
        <f>HE27+BALANCING!HF14</f>
        <v/>
      </c>
      <c r="HG27" s="110">
        <f>HF27+BALANCING!HG14</f>
        <v/>
      </c>
      <c r="HH27" s="110">
        <f>HG27+BALANCING!HH14</f>
        <v/>
      </c>
      <c r="HI27" s="110">
        <f>HH27+BALANCING!HI14</f>
        <v/>
      </c>
      <c r="HJ27" s="110">
        <f>HI27+BALANCING!HJ14</f>
        <v/>
      </c>
      <c r="HK27" s="110">
        <f>HJ27+BALANCING!HK14</f>
        <v/>
      </c>
      <c r="HL27" s="110">
        <f>HK27+BALANCING!HL14</f>
        <v/>
      </c>
      <c r="HM27" s="110">
        <f>HL27+BALANCING!HM14</f>
        <v/>
      </c>
      <c r="HN27" s="130" t="n"/>
      <c r="HO27" s="110">
        <f>HN27+BALANCING!HO14</f>
        <v/>
      </c>
      <c r="HP27" s="110">
        <f>HO27+BALANCING!HP14</f>
        <v/>
      </c>
      <c r="HQ27" s="110">
        <f>HP27+BALANCING!HQ14</f>
        <v/>
      </c>
      <c r="HR27" s="110">
        <f>HQ27+BALANCING!HR14</f>
        <v/>
      </c>
      <c r="HS27" s="110">
        <f>HR27+BALANCING!HS14</f>
        <v/>
      </c>
      <c r="HT27" s="110">
        <f>HS27+BALANCING!HT14</f>
        <v/>
      </c>
      <c r="HU27" s="110">
        <f>HT27+BALANCING!HU14</f>
        <v/>
      </c>
      <c r="HV27" s="110">
        <f>HU27+BALANCING!HV14</f>
        <v/>
      </c>
      <c r="HW27" s="110">
        <f>HV27+BALANCING!HW14</f>
        <v/>
      </c>
      <c r="HX27" s="110">
        <f>HW27+BALANCING!HX14</f>
        <v/>
      </c>
      <c r="HY27" s="110">
        <f>HX27+BALANCING!HY14</f>
        <v/>
      </c>
      <c r="HZ27" s="110">
        <f>HY27+BALANCING!HZ14</f>
        <v/>
      </c>
      <c r="IA27" s="110">
        <f>HZ27+BALANCING!IA14</f>
        <v/>
      </c>
      <c r="IB27" s="110">
        <f>IA27+BALANCING!IB14</f>
        <v/>
      </c>
      <c r="IC27" s="110">
        <f>IB27+BALANCING!IC14</f>
        <v/>
      </c>
      <c r="ID27" s="110">
        <f>IC27+BALANCING!ID14</f>
        <v/>
      </c>
      <c r="IE27" s="110">
        <f>ID27+BALANCING!IE14</f>
        <v/>
      </c>
      <c r="IF27" s="110">
        <f>IE27+BALANCING!IF14</f>
        <v/>
      </c>
      <c r="IG27" s="110">
        <f>IF27+BALANCING!IG14</f>
        <v/>
      </c>
      <c r="IH27" s="110">
        <f>IG27+BALANCING!IH14</f>
        <v/>
      </c>
      <c r="II27" s="110">
        <f>IH27+BALANCING!II14</f>
        <v/>
      </c>
      <c r="IJ27" s="110">
        <f>II27+BALANCING!IJ14</f>
        <v/>
      </c>
      <c r="IK27" s="110">
        <f>IJ27+BALANCING!IK14</f>
        <v/>
      </c>
      <c r="IL27" s="110">
        <f>IK27+BALANCING!IL14</f>
        <v/>
      </c>
      <c r="IM27" s="110">
        <f>IL27+BALANCING!IM14</f>
        <v/>
      </c>
      <c r="IN27" s="110">
        <f>IM27+BALANCING!IN14</f>
        <v/>
      </c>
      <c r="IO27" s="110">
        <f>IN27+BALANCING!IO14</f>
        <v/>
      </c>
      <c r="IP27" s="110">
        <f>IO27+BALANCING!IP14</f>
        <v/>
      </c>
      <c r="IQ27" s="110">
        <f>IP27+BALANCING!IQ14</f>
        <v/>
      </c>
      <c r="IR27" s="110">
        <f>IQ27+BALANCING!IR14</f>
        <v/>
      </c>
      <c r="IS27" s="110">
        <f>IR27+BALANCING!IS14</f>
        <v/>
      </c>
      <c r="IT27" s="130" t="n"/>
      <c r="IU27" s="110">
        <f>IT27+BALANCING!IU14</f>
        <v/>
      </c>
      <c r="IV27" s="110">
        <f>IU27+BALANCING!IV14</f>
        <v/>
      </c>
      <c r="IW27" s="110">
        <f>IV27+BALANCING!IW14</f>
        <v/>
      </c>
      <c r="IX27" s="110">
        <f>IW27+BALANCING!IX14</f>
        <v/>
      </c>
      <c r="IY27" s="110">
        <f>IX27+BALANCING!IY14</f>
        <v/>
      </c>
      <c r="IZ27" s="110">
        <f>IY27+BALANCING!IZ14</f>
        <v/>
      </c>
      <c r="JA27" s="110">
        <f>IZ27+BALANCING!JA14</f>
        <v/>
      </c>
      <c r="JB27" s="110">
        <f>JA27+BALANCING!JB14</f>
        <v/>
      </c>
      <c r="JC27" s="110">
        <f>JB27+BALANCING!JC14</f>
        <v/>
      </c>
      <c r="JD27" s="110">
        <f>JC27+BALANCING!JD14</f>
        <v/>
      </c>
      <c r="JE27" s="110">
        <f>JD27+BALANCING!JE14</f>
        <v/>
      </c>
      <c r="JF27" s="110">
        <f>JE27+BALANCING!JF14</f>
        <v/>
      </c>
      <c r="JG27" s="110">
        <f>JF27+BALANCING!JG14</f>
        <v/>
      </c>
      <c r="JH27" s="110">
        <f>JG27+BALANCING!JH14</f>
        <v/>
      </c>
      <c r="JI27" s="110">
        <f>JH27+BALANCING!JI14</f>
        <v/>
      </c>
      <c r="JJ27" s="110">
        <f>JI27+BALANCING!JJ14</f>
        <v/>
      </c>
      <c r="JK27" s="110">
        <f>JJ27+BALANCING!JK14</f>
        <v/>
      </c>
      <c r="JL27" s="110">
        <f>JK27+BALANCING!JL14</f>
        <v/>
      </c>
      <c r="JM27" s="110">
        <f>JL27+BALANCING!JM14</f>
        <v/>
      </c>
      <c r="JN27" s="110">
        <f>JM27+BALANCING!JN14</f>
        <v/>
      </c>
      <c r="JO27" s="110">
        <f>JN27+BALANCING!JO14</f>
        <v/>
      </c>
      <c r="JP27" s="110">
        <f>JO27+BALANCING!JP14</f>
        <v/>
      </c>
      <c r="JQ27" s="110">
        <f>JP27+BALANCING!JQ14</f>
        <v/>
      </c>
      <c r="JR27" s="110">
        <f>JQ27+BALANCING!JR14</f>
        <v/>
      </c>
      <c r="JS27" s="110">
        <f>JR27+BALANCING!JS14</f>
        <v/>
      </c>
      <c r="JT27" s="110">
        <f>JS27+BALANCING!JT14</f>
        <v/>
      </c>
      <c r="JU27" s="110">
        <f>JT27+BALANCING!JU14</f>
        <v/>
      </c>
      <c r="JV27" s="110">
        <f>JU27+BALANCING!JV14</f>
        <v/>
      </c>
      <c r="JW27" s="110">
        <f>JV27+BALANCING!JW14</f>
        <v/>
      </c>
      <c r="JX27" s="110">
        <f>JW27+BALANCING!JX14</f>
        <v/>
      </c>
      <c r="JY27" s="133" t="n"/>
      <c r="JZ27" s="110">
        <f>JY27+BALANCING!JZ14</f>
        <v/>
      </c>
      <c r="KA27" s="110">
        <f>JZ27+BALANCING!KA14</f>
        <v/>
      </c>
      <c r="KB27" s="110">
        <f>KA27+BALANCING!KB14</f>
        <v/>
      </c>
      <c r="KC27" s="110">
        <f>KB27+BALANCING!KC14</f>
        <v/>
      </c>
      <c r="KD27" s="110">
        <f>KC27+BALANCING!KD14</f>
        <v/>
      </c>
      <c r="KE27" s="110">
        <f>KD27+BALANCING!KE14</f>
        <v/>
      </c>
      <c r="KF27" s="110">
        <f>KE27+BALANCING!KF14</f>
        <v/>
      </c>
      <c r="KG27" s="110">
        <f>KF27+BALANCING!KG14</f>
        <v/>
      </c>
      <c r="KH27" s="110">
        <f>KG27+BALANCING!KH14</f>
        <v/>
      </c>
      <c r="KI27" s="110">
        <f>KH27+BALANCING!KI14</f>
        <v/>
      </c>
      <c r="KJ27" s="110">
        <f>KI27+BALANCING!KJ14</f>
        <v/>
      </c>
      <c r="KK27" s="110">
        <f>KJ27+BALANCING!KK14</f>
        <v/>
      </c>
      <c r="KL27" s="110">
        <f>KK27+BALANCING!KL14</f>
        <v/>
      </c>
      <c r="KM27" s="110">
        <f>KL27+BALANCING!KM14</f>
        <v/>
      </c>
      <c r="KN27" s="110">
        <f>KM27+BALANCING!KN14</f>
        <v/>
      </c>
      <c r="KO27" s="110">
        <f>KN27+BALANCING!KO14</f>
        <v/>
      </c>
      <c r="KP27" s="110">
        <f>KO27+BALANCING!KP14</f>
        <v/>
      </c>
      <c r="KQ27" s="110">
        <f>KP27+BALANCING!KQ14</f>
        <v/>
      </c>
      <c r="KR27" s="110">
        <f>KQ27+BALANCING!KR14</f>
        <v/>
      </c>
      <c r="KS27" s="110">
        <f>KR27+BALANCING!KS14</f>
        <v/>
      </c>
      <c r="KT27" s="110">
        <f>KS27+BALANCING!KT14</f>
        <v/>
      </c>
      <c r="KU27" s="110">
        <f>KT27+BALANCING!KU14</f>
        <v/>
      </c>
      <c r="KV27" s="110">
        <f>KU27+BALANCING!KV14</f>
        <v/>
      </c>
      <c r="KW27" s="110">
        <f>KV27+BALANCING!KW14</f>
        <v/>
      </c>
      <c r="KX27" s="110">
        <f>KW27+BALANCING!KX14</f>
        <v/>
      </c>
      <c r="KY27" s="110">
        <f>KX27+BALANCING!KY14</f>
        <v/>
      </c>
      <c r="KZ27" s="110">
        <f>KY27+BALANCING!KZ14</f>
        <v/>
      </c>
      <c r="LA27" s="110">
        <f>KZ27+BALANCING!LA14</f>
        <v/>
      </c>
      <c r="LB27" s="110">
        <f>LA27+BALANCING!LB14</f>
        <v/>
      </c>
      <c r="LC27" s="110">
        <f>LB27+BALANCING!LC14</f>
        <v/>
      </c>
      <c r="LD27" s="110">
        <f>LC27+BALANCING!LD14</f>
        <v/>
      </c>
      <c r="LE27" s="130" t="n"/>
      <c r="LF27" s="110">
        <f>LE27+BALANCING!LF14</f>
        <v/>
      </c>
      <c r="LG27" s="110">
        <f>LF27+BALANCING!LG14</f>
        <v/>
      </c>
      <c r="LH27" s="110">
        <f>LG27+BALANCING!LH14</f>
        <v/>
      </c>
      <c r="LI27" s="110">
        <f>LH27+BALANCING!LI14</f>
        <v/>
      </c>
      <c r="LJ27" s="110">
        <f>LI27+BALANCING!LJ14</f>
        <v/>
      </c>
      <c r="LK27" s="110">
        <f>LJ27+BALANCING!LK14</f>
        <v/>
      </c>
      <c r="LL27" s="110">
        <f>LK27+BALANCING!LL14</f>
        <v/>
      </c>
      <c r="LM27" s="110">
        <f>LL27+BALANCING!LM14</f>
        <v/>
      </c>
      <c r="LN27" s="110">
        <f>LM27+BALANCING!LN14</f>
        <v/>
      </c>
      <c r="LO27" s="110">
        <f>LN27+BALANCING!LO14</f>
        <v/>
      </c>
      <c r="LP27" s="110">
        <f>LO27+BALANCING!LP14</f>
        <v/>
      </c>
      <c r="LQ27" s="110">
        <f>LP27+BALANCING!LQ14</f>
        <v/>
      </c>
      <c r="LR27" s="110">
        <f>LQ27+BALANCING!LR14</f>
        <v/>
      </c>
      <c r="LS27" s="110">
        <f>LR27+BALANCING!LS14</f>
        <v/>
      </c>
      <c r="LT27" s="110">
        <f>LS27+BALANCING!LT14</f>
        <v/>
      </c>
      <c r="LU27" s="110">
        <f>LT27+BALANCING!LU14</f>
        <v/>
      </c>
      <c r="LV27" s="110">
        <f>LU27+BALANCING!LV14</f>
        <v/>
      </c>
      <c r="LW27" s="110">
        <f>LV27+BALANCING!LW14</f>
        <v/>
      </c>
      <c r="LX27" s="110">
        <f>LW27+BALANCING!LX14</f>
        <v/>
      </c>
      <c r="LY27" s="110">
        <f>LX27+BALANCING!LY14</f>
        <v/>
      </c>
      <c r="LZ27" s="110">
        <f>LY27+BALANCING!LZ14</f>
        <v/>
      </c>
      <c r="MA27" s="110">
        <f>LZ27+BALANCING!MA14</f>
        <v/>
      </c>
      <c r="MB27" s="110">
        <f>MA27+BALANCING!MB14</f>
        <v/>
      </c>
      <c r="MC27" s="110">
        <f>MB27+BALANCING!MC14</f>
        <v/>
      </c>
      <c r="MD27" s="110">
        <f>MC27+BALANCING!MD14</f>
        <v/>
      </c>
      <c r="ME27" s="110">
        <f>MD27+BALANCING!ME14</f>
        <v/>
      </c>
      <c r="MF27" s="110">
        <f>ME27+BALANCING!MF14</f>
        <v/>
      </c>
      <c r="MG27" s="110">
        <f>MF27+BALANCING!MG14</f>
        <v/>
      </c>
      <c r="MH27" s="110">
        <f>MG27+BALANCING!MH14</f>
        <v/>
      </c>
      <c r="MI27" s="110">
        <f>MH27+BALANCING!MI14</f>
        <v/>
      </c>
      <c r="MJ27" s="133" t="n"/>
      <c r="MK27" s="110">
        <f>MJ27+BALANCING!MK14</f>
        <v/>
      </c>
      <c r="ML27" s="110">
        <f>MK27+BALANCING!ML14</f>
        <v/>
      </c>
      <c r="MM27" s="110">
        <f>ML27+BALANCING!MM14</f>
        <v/>
      </c>
      <c r="MN27" s="110">
        <f>MM27+BALANCING!MN14</f>
        <v/>
      </c>
      <c r="MO27" s="110">
        <f>MN27+BALANCING!MO14</f>
        <v/>
      </c>
      <c r="MP27" s="110">
        <f>MO27+BALANCING!MP14</f>
        <v/>
      </c>
      <c r="MQ27" s="110">
        <f>MP27+BALANCING!MQ14</f>
        <v/>
      </c>
      <c r="MR27" s="110">
        <f>MQ27+BALANCING!MR14</f>
        <v/>
      </c>
      <c r="MS27" s="110">
        <f>MR27+BALANCING!MS14</f>
        <v/>
      </c>
      <c r="MT27" s="110">
        <f>MS27+BALANCING!MT14</f>
        <v/>
      </c>
      <c r="MU27" s="110">
        <f>MT27+BALANCING!MU14</f>
        <v/>
      </c>
      <c r="MV27" s="110">
        <f>MU27+BALANCING!MV14</f>
        <v/>
      </c>
      <c r="MW27" s="110">
        <f>MV27+BALANCING!MW14</f>
        <v/>
      </c>
      <c r="MX27" s="110">
        <f>MW27+BALANCING!MX14</f>
        <v/>
      </c>
      <c r="MY27" s="110">
        <f>MX27+BALANCING!MY14</f>
        <v/>
      </c>
      <c r="MZ27" s="110">
        <f>MY27+BALANCING!MZ14</f>
        <v/>
      </c>
      <c r="NA27" s="110">
        <f>MZ27+BALANCING!NA14</f>
        <v/>
      </c>
      <c r="NB27" s="110">
        <f>NA27+BALANCING!NB14</f>
        <v/>
      </c>
      <c r="NC27" s="110">
        <f>NB27+BALANCING!NC14</f>
        <v/>
      </c>
      <c r="ND27" s="110">
        <f>NC27+BALANCING!ND14</f>
        <v/>
      </c>
      <c r="NE27" s="110">
        <f>ND27+BALANCING!NE14</f>
        <v/>
      </c>
      <c r="NF27" s="110">
        <f>NE27+BALANCING!NF14</f>
        <v/>
      </c>
      <c r="NG27" s="110">
        <f>NF27+BALANCING!NG14</f>
        <v/>
      </c>
      <c r="NH27" s="110">
        <f>NG27+BALANCING!NH14</f>
        <v/>
      </c>
      <c r="NI27" s="110">
        <f>NH27+BALANCING!NI14</f>
        <v/>
      </c>
      <c r="NJ27" s="110">
        <f>NI27+BALANCING!NJ14</f>
        <v/>
      </c>
      <c r="NK27" s="110">
        <f>NJ27+BALANCING!NK14</f>
        <v/>
      </c>
      <c r="NL27" s="110">
        <f>NK27+BALANCING!NL14</f>
        <v/>
      </c>
      <c r="NM27" s="110">
        <f>NL27+BALANCING!NM14</f>
        <v/>
      </c>
      <c r="NN27" s="110">
        <f>NM27+BALANCING!NN14</f>
        <v/>
      </c>
      <c r="NO27" s="110">
        <f>NN27+BALANCING!NO14</f>
        <v/>
      </c>
      <c r="NP27" s="133" t="n"/>
      <c r="NQ27" s="110">
        <f>NP27+BALANCING!NQ14</f>
        <v/>
      </c>
      <c r="NR27" s="110">
        <f>NQ27+BALANCING!NR14</f>
        <v/>
      </c>
      <c r="NS27" s="110">
        <f>NR27+BALANCING!NS14</f>
        <v/>
      </c>
      <c r="NT27" s="110">
        <f>NS27+BALANCING!NT14</f>
        <v/>
      </c>
      <c r="NU27" s="110">
        <f>NT27+BALANCING!NU14</f>
        <v/>
      </c>
      <c r="NV27" s="110">
        <f>NU27+BALANCING!NV14</f>
        <v/>
      </c>
      <c r="NW27" s="110">
        <f>NV27+BALANCING!NW14</f>
        <v/>
      </c>
      <c r="NX27" s="110">
        <f>NW27+BALANCING!NX14</f>
        <v/>
      </c>
      <c r="NY27" s="110">
        <f>NX27+BALANCING!NY14</f>
        <v/>
      </c>
      <c r="NZ27" s="110">
        <f>NY27+BALANCING!NZ14</f>
        <v/>
      </c>
      <c r="OA27" s="110">
        <f>NZ27+BALANCING!OA14</f>
        <v/>
      </c>
      <c r="OB27" s="110">
        <f>OA27+BALANCING!OB14</f>
        <v/>
      </c>
      <c r="OC27" s="110">
        <f>OB27+BALANCING!OC14</f>
        <v/>
      </c>
      <c r="OD27" s="110">
        <f>OC27+BALANCING!OD14</f>
        <v/>
      </c>
      <c r="OE27" s="110">
        <f>OD27+BALANCING!OE14</f>
        <v/>
      </c>
      <c r="OF27" s="110">
        <f>OE27+BALANCING!OF14</f>
        <v/>
      </c>
      <c r="OG27" s="110">
        <f>OF27+BALANCING!OG14</f>
        <v/>
      </c>
      <c r="OH27" s="110">
        <f>OG27+BALANCING!OH14</f>
        <v/>
      </c>
      <c r="OI27" s="110">
        <f>OH27+BALANCING!OI14</f>
        <v/>
      </c>
      <c r="OJ27" s="110">
        <f>OI27+BALANCING!OJ14</f>
        <v/>
      </c>
      <c r="OK27" s="110">
        <f>OJ27+BALANCING!OK14</f>
        <v/>
      </c>
      <c r="OL27" s="110">
        <f>OK27+BALANCING!OL14</f>
        <v/>
      </c>
      <c r="OM27" s="110">
        <f>OL27+BALANCING!OM14</f>
        <v/>
      </c>
      <c r="ON27" s="110">
        <f>OM27+BALANCING!ON14</f>
        <v/>
      </c>
      <c r="OO27" s="110">
        <f>ON27+BALANCING!OO14</f>
        <v/>
      </c>
      <c r="OP27" s="110">
        <f>OO27+BALANCING!OP14</f>
        <v/>
      </c>
      <c r="OQ27" s="110">
        <f>OP27+BALANCING!OQ14</f>
        <v/>
      </c>
      <c r="OR27" s="110">
        <f>OQ27+BALANCING!OR14</f>
        <v/>
      </c>
      <c r="OS27" s="110">
        <f>OR27+BALANCING!OS14</f>
        <v/>
      </c>
      <c r="OT27" s="110">
        <f>OS27+BALANCING!OT14</f>
        <v/>
      </c>
      <c r="OU27" s="110">
        <f>OT27+BALANCING!OU14</f>
        <v/>
      </c>
      <c r="OV27" s="130" t="n"/>
      <c r="OW27" s="110">
        <f>OV27+BALANCING!OW14</f>
        <v/>
      </c>
      <c r="OX27" s="110">
        <f>OW27+BALANCING!OX14</f>
        <v/>
      </c>
      <c r="OY27" s="110">
        <f>OX27+BALANCING!OY14</f>
        <v/>
      </c>
      <c r="OZ27" s="110">
        <f>OY27+BALANCING!OZ14</f>
        <v/>
      </c>
      <c r="PA27" s="110">
        <f>OZ27+BALANCING!PA14</f>
        <v/>
      </c>
      <c r="PB27" s="110">
        <f>PA27+BALANCING!PB14</f>
        <v/>
      </c>
      <c r="PC27" s="110">
        <f>PB27+BALANCING!PC14</f>
        <v/>
      </c>
      <c r="PD27" s="110">
        <f>PC27+BALANCING!PD14</f>
        <v/>
      </c>
      <c r="PE27" s="110">
        <f>PD27+BALANCING!PE14</f>
        <v/>
      </c>
      <c r="PF27" s="110">
        <f>PE27+BALANCING!PF14</f>
        <v/>
      </c>
      <c r="PG27" s="110">
        <f>PF27+BALANCING!PG14</f>
        <v/>
      </c>
      <c r="PH27" s="110">
        <f>PG27+BALANCING!PH14</f>
        <v/>
      </c>
      <c r="PI27" s="110">
        <f>PH27+BALANCING!PI14</f>
        <v/>
      </c>
      <c r="PJ27" s="110">
        <f>PI27+BALANCING!PJ14</f>
        <v/>
      </c>
      <c r="PK27" s="110">
        <f>PJ27+BALANCING!PK14</f>
        <v/>
      </c>
      <c r="PL27" s="110">
        <f>PK27+BALANCING!PL14</f>
        <v/>
      </c>
      <c r="PM27" s="110">
        <f>PL27+BALANCING!PM14</f>
        <v/>
      </c>
      <c r="PN27" s="110">
        <f>PM27+BALANCING!PN14</f>
        <v/>
      </c>
      <c r="PO27" s="110">
        <f>PN27+BALANCING!PO14</f>
        <v/>
      </c>
      <c r="PP27" s="110">
        <f>PO27+BALANCING!PP14</f>
        <v/>
      </c>
      <c r="PQ27" s="110">
        <f>PP27+BALANCING!PQ14</f>
        <v/>
      </c>
      <c r="PR27" s="110">
        <f>PQ27+BALANCING!PR14</f>
        <v/>
      </c>
      <c r="PS27" s="110">
        <f>PR27+BALANCING!PS14</f>
        <v/>
      </c>
      <c r="PT27" s="110">
        <f>PS27+BALANCING!PT14</f>
        <v/>
      </c>
      <c r="PU27" s="110">
        <f>PT27+BALANCING!PU14</f>
        <v/>
      </c>
      <c r="PV27" s="110">
        <f>PU27+BALANCING!PV14</f>
        <v/>
      </c>
      <c r="PW27" s="110">
        <f>PV27+BALANCING!PW14</f>
        <v/>
      </c>
      <c r="PX27" s="110">
        <f>PW27+BALANCING!PX14</f>
        <v/>
      </c>
      <c r="PY27" s="110">
        <f>PX27+BALANCING!PY14</f>
        <v/>
      </c>
      <c r="PZ27" s="110">
        <f>PY27+BALANCING!PZ14</f>
        <v/>
      </c>
      <c r="QA27" s="130" t="n"/>
      <c r="QB27" s="110">
        <f>QA27+BALANCING!QB14</f>
        <v/>
      </c>
      <c r="QC27" s="110">
        <f>QB27+BALANCING!QC14</f>
        <v/>
      </c>
      <c r="QD27" s="110">
        <f>QC27+BALANCING!QD14</f>
        <v/>
      </c>
      <c r="QE27" s="110">
        <f>QD27+BALANCING!QE14</f>
        <v/>
      </c>
      <c r="QF27" s="110">
        <f>QE27+BALANCING!QF14</f>
        <v/>
      </c>
      <c r="QG27" s="110">
        <f>QF27+BALANCING!QG14</f>
        <v/>
      </c>
      <c r="QH27" s="110">
        <f>QG27+BALANCING!QH14</f>
        <v/>
      </c>
      <c r="QI27" s="110">
        <f>QH27+BALANCING!QI14</f>
        <v/>
      </c>
      <c r="QJ27" s="110">
        <f>QI27+BALANCING!QJ14</f>
        <v/>
      </c>
      <c r="QK27" s="110">
        <f>QJ27+BALANCING!QK14</f>
        <v/>
      </c>
      <c r="QL27" s="110">
        <f>QK27+BALANCING!QL14</f>
        <v/>
      </c>
      <c r="QM27" s="110">
        <f>QL27+BALANCING!QM14</f>
        <v/>
      </c>
      <c r="QN27" s="110">
        <f>QM27+BALANCING!QN14</f>
        <v/>
      </c>
      <c r="QO27" s="110">
        <f>QN27+BALANCING!QO14</f>
        <v/>
      </c>
      <c r="QP27" s="110">
        <f>QO27+BALANCING!QP14</f>
        <v/>
      </c>
      <c r="QQ27" s="110">
        <f>QP27+BALANCING!QQ14</f>
        <v/>
      </c>
      <c r="QR27" s="110">
        <f>QQ27+BALANCING!QR14</f>
        <v/>
      </c>
      <c r="QS27" s="110">
        <f>QR27+BALANCING!QS14</f>
        <v/>
      </c>
      <c r="QT27" s="110">
        <f>QS27+BALANCING!QT14</f>
        <v/>
      </c>
      <c r="QU27" s="110">
        <f>QT27+BALANCING!QU14</f>
        <v/>
      </c>
      <c r="QV27" s="110">
        <f>QU27+BALANCING!QV14</f>
        <v/>
      </c>
      <c r="QW27" s="110">
        <f>QV27+BALANCING!QW14</f>
        <v/>
      </c>
      <c r="QX27" s="110">
        <f>QW27+BALANCING!QX14</f>
        <v/>
      </c>
      <c r="QY27" s="110">
        <f>QX27+BALANCING!QY14</f>
        <v/>
      </c>
      <c r="QZ27" s="110">
        <f>QY27+BALANCING!QZ14</f>
        <v/>
      </c>
      <c r="RA27" s="110">
        <f>QZ27+BALANCING!RA14</f>
        <v/>
      </c>
      <c r="RB27" s="110">
        <f>RA27+BALANCING!RB14</f>
        <v/>
      </c>
      <c r="RC27" s="110">
        <f>RB27+BALANCING!RC14</f>
        <v/>
      </c>
      <c r="RD27" s="110">
        <f>RC27+BALANCING!RD14</f>
        <v/>
      </c>
      <c r="RE27" s="110">
        <f>RD27+BALANCING!RE14</f>
        <v/>
      </c>
      <c r="RF27" s="110">
        <f>RE27+BALANCING!RF14</f>
        <v/>
      </c>
      <c r="RG27" s="130" t="n"/>
      <c r="RH27" s="110">
        <f>RG27+BALANCING!RH14</f>
        <v/>
      </c>
      <c r="RI27" s="110">
        <f>RH27+BALANCING!RI14</f>
        <v/>
      </c>
      <c r="RJ27" s="110">
        <f>RI27+BALANCING!RJ14</f>
        <v/>
      </c>
      <c r="RK27" s="110">
        <f>RJ27+BALANCING!RK14</f>
        <v/>
      </c>
      <c r="RL27" s="110">
        <f>RK27+BALANCING!RL14</f>
        <v/>
      </c>
      <c r="RM27" s="110">
        <f>RL27+BALANCING!RM14</f>
        <v/>
      </c>
      <c r="RN27" s="110">
        <f>RM27+BALANCING!RN14</f>
        <v/>
      </c>
      <c r="RO27" s="110">
        <f>RN27+BALANCING!RO14</f>
        <v/>
      </c>
      <c r="RP27" s="110">
        <f>RO27+BALANCING!RP14</f>
        <v/>
      </c>
      <c r="RQ27" s="110">
        <f>RP27+BALANCING!RQ14</f>
        <v/>
      </c>
      <c r="RR27" s="110">
        <f>RQ27+BALANCING!RR14</f>
        <v/>
      </c>
      <c r="RS27" s="110">
        <f>RR27+BALANCING!RS14</f>
        <v/>
      </c>
      <c r="RT27" s="110">
        <f>RS27+BALANCING!RT14</f>
        <v/>
      </c>
      <c r="RU27" s="110">
        <f>RT27+BALANCING!RU14</f>
        <v/>
      </c>
      <c r="RV27" s="110">
        <f>RU27+BALANCING!RV14</f>
        <v/>
      </c>
      <c r="RW27" s="110">
        <f>RV27+BALANCING!RW14</f>
        <v/>
      </c>
      <c r="RX27" s="110">
        <f>RW27+BALANCING!RX14</f>
        <v/>
      </c>
      <c r="RY27" s="110">
        <f>RX27+BALANCING!RY14</f>
        <v/>
      </c>
      <c r="RZ27" s="110">
        <f>RY27+BALANCING!RZ14</f>
        <v/>
      </c>
      <c r="SA27" s="110">
        <f>RZ27+BALANCING!SA14</f>
        <v/>
      </c>
      <c r="SB27" s="110">
        <f>SA27+BALANCING!SB14</f>
        <v/>
      </c>
      <c r="SC27" s="110">
        <f>SB27+BALANCING!SC14</f>
        <v/>
      </c>
      <c r="SD27" s="110">
        <f>SC27+BALANCING!SD14</f>
        <v/>
      </c>
      <c r="SE27" s="110">
        <f>SD27+BALANCING!SE14</f>
        <v/>
      </c>
      <c r="SF27" s="110">
        <f>SE27+BALANCING!SF14</f>
        <v/>
      </c>
      <c r="SG27" s="110">
        <f>SF27+BALANCING!SG14</f>
        <v/>
      </c>
      <c r="SH27" s="110">
        <f>SG27+BALANCING!SH14</f>
        <v/>
      </c>
      <c r="SI27" s="110">
        <f>SH27+BALANCING!SI14</f>
        <v/>
      </c>
      <c r="SJ27" s="110">
        <f>SI27+BALANCING!SJ14</f>
        <v/>
      </c>
      <c r="SK27" s="110">
        <f>SJ27+BALANCING!SK14</f>
        <v/>
      </c>
      <c r="SL27" s="130" t="n"/>
      <c r="SM27" s="110">
        <f>SL27+BALANCING!SM14</f>
        <v/>
      </c>
      <c r="SN27" s="110">
        <f>SM27+BALANCING!SN14</f>
        <v/>
      </c>
      <c r="SO27" s="110">
        <f>SN27+BALANCING!SO14</f>
        <v/>
      </c>
      <c r="SP27" s="110">
        <f>SO27+BALANCING!SP14</f>
        <v/>
      </c>
      <c r="SQ27" s="110">
        <f>SP27+BALANCING!SQ14</f>
        <v/>
      </c>
      <c r="SR27" s="110">
        <f>SQ27+BALANCING!SR14</f>
        <v/>
      </c>
      <c r="SS27" s="110">
        <f>SR27+BALANCING!SS14</f>
        <v/>
      </c>
      <c r="ST27" s="110">
        <f>SS27+BALANCING!ST14</f>
        <v/>
      </c>
      <c r="SU27" s="110">
        <f>ST27+BALANCING!SU14</f>
        <v/>
      </c>
      <c r="SV27" s="110">
        <f>SU27+BALANCING!SV14</f>
        <v/>
      </c>
      <c r="SW27" s="110">
        <f>SV27+BALANCING!SW14</f>
        <v/>
      </c>
      <c r="SX27" s="110">
        <f>SW27+BALANCING!SX14</f>
        <v/>
      </c>
      <c r="SY27" s="110">
        <f>SX27+BALANCING!SY14</f>
        <v/>
      </c>
      <c r="SZ27" s="110">
        <f>SY27+BALANCING!SZ14</f>
        <v/>
      </c>
      <c r="TA27" s="110">
        <f>SZ27+BALANCING!TA14</f>
        <v/>
      </c>
      <c r="TB27" s="110">
        <f>TA27+BALANCING!TB14</f>
        <v/>
      </c>
      <c r="TC27" s="110">
        <f>TB27+BALANCING!TC14</f>
        <v/>
      </c>
      <c r="TD27" s="110">
        <f>TC27+BALANCING!TD14</f>
        <v/>
      </c>
      <c r="TE27" s="110">
        <f>TD27+BALANCING!TE14</f>
        <v/>
      </c>
      <c r="TF27" s="110">
        <f>TE27+BALANCING!TF14</f>
        <v/>
      </c>
      <c r="TG27" s="110">
        <f>TF27+BALANCING!TG14</f>
        <v/>
      </c>
      <c r="TH27" s="110">
        <f>TG27+BALANCING!TH14</f>
        <v/>
      </c>
      <c r="TI27" s="110">
        <f>TH27+BALANCING!TI14</f>
        <v/>
      </c>
      <c r="TJ27" s="110">
        <f>TI27+BALANCING!TJ14</f>
        <v/>
      </c>
      <c r="TK27" s="110">
        <f>TJ27+BALANCING!TK14</f>
        <v/>
      </c>
      <c r="TL27" s="110">
        <f>TK27+BALANCING!TL14</f>
        <v/>
      </c>
      <c r="TM27" s="110">
        <f>TL27+BALANCING!TM14</f>
        <v/>
      </c>
      <c r="TN27" s="110">
        <f>TM27+BALANCING!TN14</f>
        <v/>
      </c>
      <c r="TO27" s="110">
        <f>TN27+BALANCING!TO14</f>
        <v/>
      </c>
      <c r="TP27" s="110">
        <f>TO27+BALANCING!TP14</f>
        <v/>
      </c>
      <c r="TQ27" s="110">
        <f>TP27+BALANCING!TQ14</f>
        <v/>
      </c>
      <c r="TR27" s="130" t="n"/>
      <c r="TS27" s="110">
        <f>TR27+BALANCING!TS14</f>
        <v/>
      </c>
      <c r="TT27" s="110">
        <f>TS27+BALANCING!TT14</f>
        <v/>
      </c>
      <c r="TU27" s="110">
        <f>TT27+BALANCING!TU14</f>
        <v/>
      </c>
      <c r="TV27" s="110">
        <f>TU27+BALANCING!TV14</f>
        <v/>
      </c>
      <c r="TW27" s="110">
        <f>TV27+BALANCING!TW14</f>
        <v/>
      </c>
      <c r="TX27" s="110">
        <f>TW27+BALANCING!TX14</f>
        <v/>
      </c>
      <c r="TY27" s="110">
        <f>TX27+BALANCING!TY14</f>
        <v/>
      </c>
      <c r="TZ27" s="110">
        <f>TY27+BALANCING!TZ14</f>
        <v/>
      </c>
      <c r="UA27" s="110">
        <f>TZ27+BALANCING!UA14</f>
        <v/>
      </c>
      <c r="UB27" s="110">
        <f>UA27+BALANCING!UB14</f>
        <v/>
      </c>
      <c r="UC27" s="110">
        <f>UB27+BALANCING!UC14</f>
        <v/>
      </c>
      <c r="UD27" s="110">
        <f>UC27+BALANCING!UD14</f>
        <v/>
      </c>
      <c r="UE27" s="110">
        <f>UD27+BALANCING!UE14</f>
        <v/>
      </c>
      <c r="UF27" s="110">
        <f>UE27+BALANCING!UF14</f>
        <v/>
      </c>
      <c r="UG27" s="110">
        <f>UF27+BALANCING!UG14</f>
        <v/>
      </c>
      <c r="UH27" s="110">
        <f>UG27+BALANCING!UH14</f>
        <v/>
      </c>
      <c r="UI27" s="110">
        <f>UH27+BALANCING!UI14</f>
        <v/>
      </c>
      <c r="UJ27" s="110">
        <f>UI27+BALANCING!UJ14</f>
        <v/>
      </c>
      <c r="UK27" s="110">
        <f>UJ27+BALANCING!UK14</f>
        <v/>
      </c>
      <c r="UL27" s="110">
        <f>UK27+BALANCING!UL14</f>
        <v/>
      </c>
      <c r="UM27" s="110">
        <f>UL27+BALANCING!UM14</f>
        <v/>
      </c>
      <c r="UN27" s="110">
        <f>UM27+BALANCING!UN14</f>
        <v/>
      </c>
      <c r="UO27" s="110">
        <f>UN27+BALANCING!UO14</f>
        <v/>
      </c>
      <c r="UP27" s="110">
        <f>UO27+BALANCING!UP14</f>
        <v/>
      </c>
      <c r="UQ27" s="110">
        <f>UP27+BALANCING!UQ14</f>
        <v/>
      </c>
      <c r="UR27" s="110">
        <f>UQ27+BALANCING!UR14</f>
        <v/>
      </c>
      <c r="US27" s="110">
        <f>UR27+BALANCING!US14</f>
        <v/>
      </c>
      <c r="UT27" s="110">
        <f>US27+BALANCING!UT14</f>
        <v/>
      </c>
      <c r="UU27" s="110">
        <f>UT27+BALANCING!UU14</f>
        <v/>
      </c>
      <c r="UV27" s="110">
        <f>UU27+BALANCING!UV14</f>
        <v/>
      </c>
      <c r="UW27" s="110">
        <f>UV27+BALANCING!UW14</f>
        <v/>
      </c>
      <c r="UX27" s="130" t="n"/>
      <c r="UY27" s="110">
        <f>UX27+BALANCING!UY14</f>
        <v/>
      </c>
      <c r="UZ27" s="110">
        <f>UY27+BALANCING!UZ14</f>
        <v/>
      </c>
      <c r="VA27" s="110">
        <f>UZ27+BALANCING!VA14</f>
        <v/>
      </c>
      <c r="VB27" s="110">
        <f>VA27+BALANCING!VB14</f>
        <v/>
      </c>
      <c r="VC27" s="110">
        <f>VB27+BALANCING!VC14</f>
        <v/>
      </c>
      <c r="VD27" s="110">
        <f>VC27+BALANCING!VD14</f>
        <v/>
      </c>
      <c r="VE27" s="110">
        <f>VD27+BALANCING!VE14</f>
        <v/>
      </c>
      <c r="VF27" s="110">
        <f>VE27+BALANCING!VF14</f>
        <v/>
      </c>
      <c r="VG27" s="110">
        <f>VF27+BALANCING!VG14</f>
        <v/>
      </c>
      <c r="VH27" s="110">
        <f>VG27+BALANCING!VH14</f>
        <v/>
      </c>
      <c r="VI27" s="110">
        <f>VH27+BALANCING!VI14</f>
        <v/>
      </c>
      <c r="VJ27" s="110">
        <f>VI27+BALANCING!VJ14</f>
        <v/>
      </c>
      <c r="VK27" s="110">
        <f>VJ27+BALANCING!VK14</f>
        <v/>
      </c>
      <c r="VL27" s="110">
        <f>VK27+BALANCING!VL14</f>
        <v/>
      </c>
      <c r="VM27" s="110">
        <f>VL27+BALANCING!VM14</f>
        <v/>
      </c>
      <c r="VN27" s="110">
        <f>VM27+BALANCING!VN14</f>
        <v/>
      </c>
      <c r="VO27" s="110">
        <f>VN27+BALANCING!VO14</f>
        <v/>
      </c>
      <c r="VP27" s="110">
        <f>VO27+BALANCING!VP14</f>
        <v/>
      </c>
      <c r="VQ27" s="110">
        <f>VP27+BALANCING!VQ14</f>
        <v/>
      </c>
      <c r="VR27" s="110">
        <f>VQ27+BALANCING!VR14</f>
        <v/>
      </c>
      <c r="VS27" s="110">
        <f>VR27+BALANCING!VS14</f>
        <v/>
      </c>
      <c r="VT27" s="110">
        <f>VS27+BALANCING!VT14</f>
        <v/>
      </c>
      <c r="VU27" s="110">
        <f>VT27+BALANCING!VU14</f>
        <v/>
      </c>
      <c r="VV27" s="110">
        <f>VU27+BALANCING!VV14</f>
        <v/>
      </c>
      <c r="VW27" s="110">
        <f>VV27+BALANCING!VW14</f>
        <v/>
      </c>
      <c r="VX27" s="110">
        <f>VW27+BALANCING!VX14</f>
        <v/>
      </c>
      <c r="VY27" s="110">
        <f>VX27+BALANCING!VY14</f>
        <v/>
      </c>
      <c r="VZ27" s="110">
        <f>VY27+BALANCING!VZ14</f>
        <v/>
      </c>
      <c r="WA27" s="133" t="n"/>
      <c r="WB27" s="110">
        <f>WA27+BALANCING!WB14</f>
        <v/>
      </c>
      <c r="WC27" s="110">
        <f>WB27+BALANCING!WC14</f>
        <v/>
      </c>
      <c r="WD27" s="110">
        <f>WC27+BALANCING!WD14</f>
        <v/>
      </c>
      <c r="WE27" s="110">
        <f>WD27+BALANCING!WE14</f>
        <v/>
      </c>
      <c r="WF27" s="110">
        <f>WE27+BALANCING!WF14</f>
        <v/>
      </c>
      <c r="WG27" s="110">
        <f>WF27+BALANCING!WG14</f>
        <v/>
      </c>
      <c r="WH27" s="110">
        <f>WG27+BALANCING!WH14</f>
        <v/>
      </c>
      <c r="WI27" s="110">
        <f>WH27+BALANCING!WI14</f>
        <v/>
      </c>
      <c r="WJ27" s="110">
        <f>WI27+BALANCING!WJ14</f>
        <v/>
      </c>
      <c r="WK27" s="110">
        <f>WJ27+BALANCING!WK14</f>
        <v/>
      </c>
      <c r="WL27" s="110">
        <f>WK27+BALANCING!WL14</f>
        <v/>
      </c>
      <c r="WM27" s="110">
        <f>WL27+BALANCING!WM14</f>
        <v/>
      </c>
      <c r="WN27" s="110">
        <f>WM27+BALANCING!WN14</f>
        <v/>
      </c>
      <c r="WO27" s="110">
        <f>WN27+BALANCING!WO14</f>
        <v/>
      </c>
      <c r="WP27" s="110">
        <f>WO27+BALANCING!WP14</f>
        <v/>
      </c>
      <c r="WQ27" s="110">
        <f>WP27+BALANCING!WQ14</f>
        <v/>
      </c>
      <c r="WR27" s="110">
        <f>WQ27+BALANCING!WR14</f>
        <v/>
      </c>
      <c r="WS27" s="110">
        <f>WR27+BALANCING!WS14</f>
        <v/>
      </c>
      <c r="WT27" s="110">
        <f>WS27+BALANCING!WT14</f>
        <v/>
      </c>
      <c r="WU27" s="110">
        <f>WT27+BALANCING!WU14</f>
        <v/>
      </c>
      <c r="WV27" s="110">
        <f>WU27+BALANCING!WV14</f>
        <v/>
      </c>
      <c r="WW27" s="110">
        <f>WV27+BALANCING!WW14</f>
        <v/>
      </c>
      <c r="WX27" s="110">
        <f>WW27+BALANCING!WX14</f>
        <v/>
      </c>
      <c r="WY27" s="110">
        <f>WX27+BALANCING!WY14</f>
        <v/>
      </c>
      <c r="WZ27" s="110">
        <f>WY27+BALANCING!WZ14</f>
        <v/>
      </c>
      <c r="XA27" s="110">
        <f>WZ27+BALANCING!XA14</f>
        <v/>
      </c>
      <c r="XB27" s="110">
        <f>XA27+BALANCING!XB14</f>
        <v/>
      </c>
      <c r="XC27" s="110">
        <f>XB27+BALANCING!XC14</f>
        <v/>
      </c>
      <c r="XD27" s="110">
        <f>XC27+BALANCING!XD14</f>
        <v/>
      </c>
      <c r="XE27" s="110">
        <f>XD27+BALANCING!XE14</f>
        <v/>
      </c>
      <c r="XF27" s="110">
        <f>XE27+BALANCING!XF14</f>
        <v/>
      </c>
      <c r="XG27" s="133" t="n"/>
      <c r="XH27" s="110">
        <f>XG27+BALANCING!XH14</f>
        <v/>
      </c>
      <c r="XI27" s="110">
        <f>XH27+BALANCING!XI14</f>
        <v/>
      </c>
      <c r="XJ27" s="110">
        <f>XI27+BALANCING!XJ14</f>
        <v/>
      </c>
      <c r="XK27" s="110">
        <f>XJ27+BALANCING!XK14</f>
        <v/>
      </c>
      <c r="XL27" s="110">
        <f>XK27+BALANCING!XL14</f>
        <v/>
      </c>
      <c r="XM27" s="110">
        <f>XL27+BALANCING!XM14</f>
        <v/>
      </c>
      <c r="XN27" s="110">
        <f>XM27+BALANCING!XN14</f>
        <v/>
      </c>
      <c r="XO27" s="110">
        <f>XN27+BALANCING!XO14</f>
        <v/>
      </c>
      <c r="XP27" s="110">
        <f>XO27+BALANCING!XP14</f>
        <v/>
      </c>
      <c r="XQ27" s="110">
        <f>XP27+BALANCING!XQ14</f>
        <v/>
      </c>
      <c r="XR27" s="110">
        <f>XQ27+BALANCING!XR14</f>
        <v/>
      </c>
      <c r="XS27" s="110">
        <f>XR27+BALANCING!XS14</f>
        <v/>
      </c>
      <c r="XT27" s="110">
        <f>XS27+BALANCING!XT14</f>
        <v/>
      </c>
      <c r="XU27" s="110">
        <f>XT27+BALANCING!XU14</f>
        <v/>
      </c>
      <c r="XV27" s="110">
        <f>XU27+BALANCING!XV14</f>
        <v/>
      </c>
      <c r="XW27" s="110">
        <f>XV27+BALANCING!XW14</f>
        <v/>
      </c>
      <c r="XX27" s="110">
        <f>XW27+BALANCING!XX14</f>
        <v/>
      </c>
      <c r="XY27" s="110">
        <f>XX27+BALANCING!XY14</f>
        <v/>
      </c>
      <c r="XZ27" s="110">
        <f>XY27+BALANCING!XZ14</f>
        <v/>
      </c>
      <c r="YA27" s="110">
        <f>XZ27+BALANCING!YA14</f>
        <v/>
      </c>
      <c r="YB27" s="110">
        <f>YA27+BALANCING!YB14</f>
        <v/>
      </c>
      <c r="YC27" s="110">
        <f>YB27+BALANCING!YC14</f>
        <v/>
      </c>
      <c r="YD27" s="110">
        <f>YC27+BALANCING!YD14</f>
        <v/>
      </c>
      <c r="YE27" s="110">
        <f>YD27+BALANCING!YE14</f>
        <v/>
      </c>
      <c r="YF27" s="110">
        <f>YE27+BALANCING!YF14</f>
        <v/>
      </c>
      <c r="YG27" s="110">
        <f>YF27+BALANCING!YG14</f>
        <v/>
      </c>
      <c r="YH27" s="110">
        <f>YG27+BALANCING!YH14</f>
        <v/>
      </c>
      <c r="YI27" s="110">
        <f>YH27+BALANCING!YI14</f>
        <v/>
      </c>
      <c r="YJ27" s="110">
        <f>YI27+BALANCING!YJ14</f>
        <v/>
      </c>
      <c r="YK27" s="110">
        <f>YJ27+BALANCING!YK14</f>
        <v/>
      </c>
      <c r="YL27" s="130" t="n"/>
      <c r="YM27" s="110">
        <f>YL27+BALANCING!YM14</f>
        <v/>
      </c>
      <c r="YN27" s="110">
        <f>YM27+BALANCING!YN14</f>
        <v/>
      </c>
      <c r="YO27" s="110">
        <f>YN27+BALANCING!YO14</f>
        <v/>
      </c>
      <c r="YP27" s="110">
        <f>YO27+BALANCING!YP14</f>
        <v/>
      </c>
      <c r="YQ27" s="110">
        <f>YP27+BALANCING!YQ14</f>
        <v/>
      </c>
      <c r="YR27" s="110">
        <f>YQ27+BALANCING!YR14</f>
        <v/>
      </c>
      <c r="YS27" s="110">
        <f>YR27+BALANCING!YS14</f>
        <v/>
      </c>
      <c r="YT27" s="110">
        <f>YS27+BALANCING!YT14</f>
        <v/>
      </c>
      <c r="YU27" s="110">
        <f>YT27+BALANCING!YU14</f>
        <v/>
      </c>
      <c r="YV27" s="110">
        <f>YU27+BALANCING!YV14</f>
        <v/>
      </c>
      <c r="YW27" s="110">
        <f>YV27+BALANCING!YW14</f>
        <v/>
      </c>
      <c r="YX27" s="110">
        <f>YW27+BALANCING!YX14</f>
        <v/>
      </c>
      <c r="YY27" s="110">
        <f>YX27+BALANCING!YY14</f>
        <v/>
      </c>
      <c r="YZ27" s="110">
        <f>YY27+BALANCING!YZ14</f>
        <v/>
      </c>
      <c r="ZA27" s="110">
        <f>YZ27+BALANCING!ZA14</f>
        <v/>
      </c>
      <c r="ZB27" s="110">
        <f>ZA27+BALANCING!ZB14</f>
        <v/>
      </c>
      <c r="ZC27" s="110">
        <f>ZB27+BALANCING!ZC14</f>
        <v/>
      </c>
      <c r="ZD27" s="110">
        <f>ZC27+BALANCING!ZD14</f>
        <v/>
      </c>
      <c r="ZE27" s="110">
        <f>ZD27+BALANCING!ZE14</f>
        <v/>
      </c>
      <c r="ZF27" s="110">
        <f>ZE27+BALANCING!ZF14</f>
        <v/>
      </c>
      <c r="ZG27" s="110">
        <f>ZF27+BALANCING!ZG14</f>
        <v/>
      </c>
      <c r="ZH27" s="110">
        <f>ZG27+BALANCING!ZH14</f>
        <v/>
      </c>
      <c r="ZI27" s="110">
        <f>ZH27+BALANCING!ZI14</f>
        <v/>
      </c>
      <c r="ZJ27" s="110">
        <f>ZI27+BALANCING!ZJ14</f>
        <v/>
      </c>
      <c r="ZK27" s="110">
        <f>ZJ27+BALANCING!ZK14</f>
        <v/>
      </c>
      <c r="ZL27" s="110">
        <f>ZK27+BALANCING!ZL14</f>
        <v/>
      </c>
      <c r="ZM27" s="110">
        <f>ZL27+BALANCING!ZM14</f>
        <v/>
      </c>
      <c r="ZN27" s="110">
        <f>ZM27+BALANCING!ZN14</f>
        <v/>
      </c>
      <c r="ZO27" s="110">
        <f>ZN27+BALANCING!ZO14</f>
        <v/>
      </c>
      <c r="ZP27" s="110">
        <f>ZO27+BALANCING!ZP14</f>
        <v/>
      </c>
      <c r="ZQ27" s="110">
        <f>ZP27+BALANCING!ZQ14</f>
        <v/>
      </c>
      <c r="ZR27" s="130" t="n"/>
      <c r="ZS27" s="110">
        <f>ZR27+BALANCING!ZS14</f>
        <v/>
      </c>
      <c r="ZT27" s="110">
        <f>ZS27+BALANCING!ZT14</f>
        <v/>
      </c>
      <c r="ZU27" s="110">
        <f>ZT27+BALANCING!ZU14</f>
        <v/>
      </c>
      <c r="ZV27" s="110">
        <f>ZU27+BALANCING!ZV14</f>
        <v/>
      </c>
      <c r="ZW27" s="110">
        <f>ZV27+BALANCING!ZW14</f>
        <v/>
      </c>
      <c r="ZX27" s="110">
        <f>ZW27+BALANCING!ZX14</f>
        <v/>
      </c>
      <c r="ZY27" s="110">
        <f>ZX27+BALANCING!ZY14</f>
        <v/>
      </c>
      <c r="ZZ27" s="110">
        <f>ZY27+BALANCING!ZZ14</f>
        <v/>
      </c>
      <c r="AAA27" s="110">
        <f>ZZ27+BALANCING!AAA14</f>
        <v/>
      </c>
      <c r="AAB27" s="110">
        <f>AAA27+BALANCING!AAB14</f>
        <v/>
      </c>
      <c r="AAC27" s="110">
        <f>AAB27+BALANCING!AAC14</f>
        <v/>
      </c>
      <c r="AAD27" s="110">
        <f>AAC27+BALANCING!AAD14</f>
        <v/>
      </c>
      <c r="AAE27" s="110">
        <f>AAD27+BALANCING!AAE14</f>
        <v/>
      </c>
      <c r="AAF27" s="110">
        <f>AAE27+BALANCING!AAF14</f>
        <v/>
      </c>
      <c r="AAG27" s="110">
        <f>AAF27+BALANCING!AAG14</f>
        <v/>
      </c>
      <c r="AAH27" s="110">
        <f>AAG27+BALANCING!AAH14</f>
        <v/>
      </c>
      <c r="AAI27" s="110">
        <f>AAH27+BALANCING!AAI14</f>
        <v/>
      </c>
      <c r="AAJ27" s="110">
        <f>AAI27+BALANCING!AAJ14</f>
        <v/>
      </c>
      <c r="AAK27" s="110">
        <f>AAJ27+BALANCING!AAK14</f>
        <v/>
      </c>
      <c r="AAL27" s="110">
        <f>AAK27+BALANCING!AAL14</f>
        <v/>
      </c>
      <c r="AAM27" s="110">
        <f>AAL27+BALANCING!AAM14</f>
        <v/>
      </c>
      <c r="AAN27" s="110">
        <f>AAM27+BALANCING!AAN14</f>
        <v/>
      </c>
      <c r="AAO27" s="110">
        <f>AAN27+BALANCING!AAO14</f>
        <v/>
      </c>
      <c r="AAP27" s="110">
        <f>AAO27+BALANCING!AAP14</f>
        <v/>
      </c>
      <c r="AAQ27" s="110">
        <f>AAP27+BALANCING!AAQ14</f>
        <v/>
      </c>
      <c r="AAR27" s="110">
        <f>AAQ27+BALANCING!AAR14</f>
        <v/>
      </c>
      <c r="AAS27" s="110">
        <f>AAR27+BALANCING!AAS14</f>
        <v/>
      </c>
      <c r="AAT27" s="110">
        <f>AAS27+BALANCING!AAT14</f>
        <v/>
      </c>
      <c r="AAU27" s="110">
        <f>AAT27+BALANCING!AAU14</f>
        <v/>
      </c>
      <c r="AAV27" s="110">
        <f>AAU27+BALANCING!AAV14</f>
        <v/>
      </c>
      <c r="AAW27" s="130" t="n"/>
      <c r="AAX27" s="110">
        <f>AAW27+BALANCING!AAX14</f>
        <v/>
      </c>
      <c r="AAY27" s="110">
        <f>AAX27+BALANCING!AAY14</f>
        <v/>
      </c>
      <c r="AAZ27" s="110">
        <f>AAY27+BALANCING!AAZ14</f>
        <v/>
      </c>
      <c r="ABA27" s="110">
        <f>AAZ27+BALANCING!ABA14</f>
        <v/>
      </c>
      <c r="ABB27" s="110">
        <f>ABA27+BALANCING!ABB14</f>
        <v/>
      </c>
      <c r="ABC27" s="110">
        <f>ABB27+BALANCING!ABC14</f>
        <v/>
      </c>
      <c r="ABD27" s="110">
        <f>ABC27+BALANCING!ABD14</f>
        <v/>
      </c>
      <c r="ABE27" s="110">
        <f>ABD27+BALANCING!ABE14</f>
        <v/>
      </c>
      <c r="ABF27" s="110">
        <f>ABE27+BALANCING!ABF14</f>
        <v/>
      </c>
      <c r="ABG27" s="110">
        <f>ABF27+BALANCING!ABG14</f>
        <v/>
      </c>
      <c r="ABH27" s="110">
        <f>ABG27+BALANCING!ABH14</f>
        <v/>
      </c>
      <c r="ABI27" s="110">
        <f>ABH27+BALANCING!ABI14</f>
        <v/>
      </c>
      <c r="ABJ27" s="110">
        <f>ABI27+BALANCING!ABJ14</f>
        <v/>
      </c>
      <c r="ABK27" s="110">
        <f>ABJ27+BALANCING!ABK14</f>
        <v/>
      </c>
      <c r="ABL27" s="110">
        <f>ABK27+BALANCING!ABL14</f>
        <v/>
      </c>
      <c r="ABM27" s="110">
        <f>ABL27+BALANCING!ABM14</f>
        <v/>
      </c>
      <c r="ABN27" s="110">
        <f>ABM27+BALANCING!ABN14</f>
        <v/>
      </c>
      <c r="ABO27" s="110">
        <f>ABN27+BALANCING!ABO14</f>
        <v/>
      </c>
      <c r="ABP27" s="110">
        <f>ABO27+BALANCING!ABP14</f>
        <v/>
      </c>
      <c r="ABQ27" s="110">
        <f>ABP27+BALANCING!ABQ14</f>
        <v/>
      </c>
      <c r="ABR27" s="110">
        <f>ABQ27+BALANCING!ABR14</f>
        <v/>
      </c>
      <c r="ABS27" s="110">
        <f>ABR27+BALANCING!ABS14</f>
        <v/>
      </c>
      <c r="ABT27" s="110">
        <f>ABS27+BALANCING!ABT14</f>
        <v/>
      </c>
      <c r="ABU27" s="110">
        <f>ABT27+BALANCING!ABU14</f>
        <v/>
      </c>
      <c r="ABV27" s="110">
        <f>ABU27+BALANCING!ABV14</f>
        <v/>
      </c>
      <c r="ABW27" s="110">
        <f>ABV27+BALANCING!ABW14</f>
        <v/>
      </c>
      <c r="ABX27" s="110">
        <f>ABW27+BALANCING!ABX14</f>
        <v/>
      </c>
      <c r="ABY27" s="110">
        <f>ABX27+BALANCING!ABY14</f>
        <v/>
      </c>
      <c r="ABZ27" s="110">
        <f>ABY27+BALANCING!ABZ14</f>
        <v/>
      </c>
      <c r="ACA27" s="110">
        <f>ABZ27+BALANCING!ACA14</f>
        <v/>
      </c>
      <c r="ACB27" s="110">
        <f>ACA27+BALANCING!ACB14</f>
        <v/>
      </c>
      <c r="ACC27" s="130" t="n"/>
      <c r="ACD27" s="110">
        <f>ACC27+BALANCING!ACD14</f>
        <v/>
      </c>
      <c r="ACE27" s="110">
        <f>ACD27+BALANCING!ACE14</f>
        <v/>
      </c>
      <c r="ACF27" s="110">
        <f>ACE27+BALANCING!ACF14</f>
        <v/>
      </c>
      <c r="ACG27" s="110">
        <f>ACF27+BALANCING!ACG14</f>
        <v/>
      </c>
      <c r="ACH27" s="110">
        <f>ACG27+BALANCING!ACH14</f>
        <v/>
      </c>
      <c r="ACI27" s="110">
        <f>ACH27+BALANCING!ACI14</f>
        <v/>
      </c>
      <c r="ACJ27" s="110">
        <f>ACI27+BALANCING!ACJ14</f>
        <v/>
      </c>
      <c r="ACK27" s="110">
        <f>ACJ27+BALANCING!ACK14</f>
        <v/>
      </c>
      <c r="ACL27" s="110">
        <f>ACK27+BALANCING!ACL14</f>
        <v/>
      </c>
      <c r="ACM27" s="110">
        <f>ACL27+BALANCING!ACM14</f>
        <v/>
      </c>
      <c r="ACN27" s="110">
        <f>ACM27+BALANCING!ACN14</f>
        <v/>
      </c>
      <c r="ACO27" s="110">
        <f>ACN27+BALANCING!ACO14</f>
        <v/>
      </c>
      <c r="ACP27" s="110">
        <f>ACO27+BALANCING!ACP14</f>
        <v/>
      </c>
      <c r="ACQ27" s="110">
        <f>ACP27+BALANCING!ACQ14</f>
        <v/>
      </c>
      <c r="ACR27" s="110">
        <f>ACQ27+BALANCING!ACR14</f>
        <v/>
      </c>
      <c r="ACS27" s="110">
        <f>ACR27+BALANCING!ACS14</f>
        <v/>
      </c>
      <c r="ACT27" s="110">
        <f>ACS27+BALANCING!ACT14</f>
        <v/>
      </c>
      <c r="ACU27" s="110">
        <f>ACT27+BALANCING!ACU14</f>
        <v/>
      </c>
      <c r="ACV27" s="110">
        <f>ACU27+BALANCING!ACV14</f>
        <v/>
      </c>
      <c r="ACW27" s="110">
        <f>ACV27+BALANCING!ACW14</f>
        <v/>
      </c>
      <c r="ACX27" s="110">
        <f>ACW27+BALANCING!ACX14</f>
        <v/>
      </c>
      <c r="ACY27" s="110">
        <f>ACX27+BALANCING!ACY14</f>
        <v/>
      </c>
      <c r="ACZ27" s="110">
        <f>ACY27+BALANCING!ACZ14</f>
        <v/>
      </c>
      <c r="ADA27" s="110">
        <f>ACZ27+BALANCING!ADA14</f>
        <v/>
      </c>
      <c r="ADB27" s="110">
        <f>ADA27+BALANCING!ADB14</f>
        <v/>
      </c>
      <c r="ADC27" s="110">
        <f>ADB27+BALANCING!ADC14</f>
        <v/>
      </c>
      <c r="ADD27" s="110">
        <f>ADC27+BALANCING!ADD14</f>
        <v/>
      </c>
      <c r="ADE27" s="110">
        <f>ADD27+BALANCING!ADE14</f>
        <v/>
      </c>
      <c r="ADF27" s="110">
        <f>ADE27+BALANCING!ADF14</f>
        <v/>
      </c>
      <c r="ADG27" s="110">
        <f>ADF27+BALANCING!ADG14</f>
        <v/>
      </c>
      <c r="ADH27" s="110">
        <f>ADG27+BALANCING!ADH14</f>
        <v/>
      </c>
      <c r="ADI27" s="130" t="n"/>
      <c r="ADJ27" s="110">
        <f>ADI27+BALANCING!ADJ14</f>
        <v/>
      </c>
      <c r="ADK27" s="110">
        <f>ADJ27+BALANCING!ADK14</f>
        <v/>
      </c>
      <c r="ADL27" s="110">
        <f>ADK27+BALANCING!ADL14</f>
        <v/>
      </c>
      <c r="ADM27" s="110">
        <f>ADL27+BALANCING!ADM14</f>
        <v/>
      </c>
      <c r="ADN27" s="110">
        <f>ADM27+BALANCING!ADN14</f>
        <v/>
      </c>
      <c r="ADO27" s="110">
        <f>ADN27+BALANCING!ADO14</f>
        <v/>
      </c>
      <c r="ADP27" s="110">
        <f>ADO27+BALANCING!ADP14</f>
        <v/>
      </c>
      <c r="ADQ27" s="110">
        <f>ADP27+BALANCING!ADQ14</f>
        <v/>
      </c>
      <c r="ADR27" s="110">
        <f>ADQ27+BALANCING!ADR14</f>
        <v/>
      </c>
      <c r="ADS27" s="110">
        <f>ADR27+BALANCING!ADS14</f>
        <v/>
      </c>
      <c r="ADT27" s="110">
        <f>ADS27+BALANCING!ADT14</f>
        <v/>
      </c>
      <c r="ADU27" s="110">
        <f>ADT27+BALANCING!ADU14</f>
        <v/>
      </c>
      <c r="ADV27" s="110">
        <f>ADU27+BALANCING!ADV14</f>
        <v/>
      </c>
      <c r="ADW27" s="110">
        <f>ADV27+BALANCING!ADW14</f>
        <v/>
      </c>
      <c r="ADX27" s="110">
        <f>ADW27+BALANCING!ADX14</f>
        <v/>
      </c>
      <c r="ADY27" s="110">
        <f>ADX27+BALANCING!ADY14</f>
        <v/>
      </c>
      <c r="ADZ27" s="110">
        <f>ADY27+BALANCING!ADZ14</f>
        <v/>
      </c>
      <c r="AEA27" s="110">
        <f>ADZ27+BALANCING!AEA14</f>
        <v/>
      </c>
      <c r="AEB27" s="110">
        <f>AEA27+BALANCING!AEB14</f>
        <v/>
      </c>
      <c r="AEC27" s="110">
        <f>AEB27+BALANCING!AEC14</f>
        <v/>
      </c>
      <c r="AED27" s="110">
        <f>AEC27+BALANCING!AED14</f>
        <v/>
      </c>
      <c r="AEE27" s="110">
        <f>AED27+BALANCING!AEE14</f>
        <v/>
      </c>
      <c r="AEF27" s="110">
        <f>AEE27+BALANCING!AEF14</f>
        <v/>
      </c>
      <c r="AEG27" s="110">
        <f>AEF27+BALANCING!AEG14</f>
        <v/>
      </c>
      <c r="AEH27" s="110">
        <f>AEG27+BALANCING!AEH14</f>
        <v/>
      </c>
      <c r="AEI27" s="110">
        <f>AEH27+BALANCING!AEI14</f>
        <v/>
      </c>
      <c r="AEJ27" s="110">
        <f>AEI27+BALANCING!AEJ14</f>
        <v/>
      </c>
      <c r="AEK27" s="110">
        <f>AEJ27+BALANCING!AEK14</f>
        <v/>
      </c>
      <c r="AEL27" s="110">
        <f>AEK27+BALANCING!AEL14</f>
        <v/>
      </c>
      <c r="AEM27" s="110">
        <f>AEL27+BALANCING!AEM14</f>
        <v/>
      </c>
      <c r="AEN27" s="130" t="n"/>
      <c r="AEO27" s="110">
        <f>AEN27+BALANCING!AEO14</f>
        <v/>
      </c>
      <c r="AEP27" s="110">
        <f>AEO27+BALANCING!AEP14</f>
        <v/>
      </c>
      <c r="AEQ27" s="110">
        <f>AEP27+BALANCING!AEQ14</f>
        <v/>
      </c>
      <c r="AER27" s="110">
        <f>AEQ27+BALANCING!AER14</f>
        <v/>
      </c>
      <c r="AES27" s="110">
        <f>AER27+BALANCING!AES14</f>
        <v/>
      </c>
      <c r="AET27" s="110">
        <f>AES27+BALANCING!AET14</f>
        <v/>
      </c>
      <c r="AEU27" s="110">
        <f>AET27+BALANCING!AEU14</f>
        <v/>
      </c>
      <c r="AEV27" s="110">
        <f>AEU27+BALANCING!AEV14</f>
        <v/>
      </c>
      <c r="AEW27" s="110">
        <f>AEV27+BALANCING!AEW14</f>
        <v/>
      </c>
      <c r="AEX27" s="110">
        <f>AEW27+BALANCING!AEX14</f>
        <v/>
      </c>
      <c r="AEY27" s="110">
        <f>AEX27+BALANCING!AEY14</f>
        <v/>
      </c>
      <c r="AEZ27" s="110">
        <f>AEY27+BALANCING!AEZ14</f>
        <v/>
      </c>
      <c r="AFA27" s="110">
        <f>AEZ27+BALANCING!AFA14</f>
        <v/>
      </c>
      <c r="AFB27" s="110">
        <f>AFA27+BALANCING!AFB14</f>
        <v/>
      </c>
      <c r="AFC27" s="110">
        <f>AFB27+BALANCING!AFC14</f>
        <v/>
      </c>
      <c r="AFD27" s="110">
        <f>AFC27+BALANCING!AFD14</f>
        <v/>
      </c>
      <c r="AFE27" s="110">
        <f>AFD27+BALANCING!AFE14</f>
        <v/>
      </c>
      <c r="AFF27" s="110">
        <f>AFE27+BALANCING!AFF14</f>
        <v/>
      </c>
      <c r="AFG27" s="110">
        <f>AFF27+BALANCING!AFG14</f>
        <v/>
      </c>
      <c r="AFH27" s="110">
        <f>AFG27+BALANCING!AFH14</f>
        <v/>
      </c>
      <c r="AFI27" s="110">
        <f>AFH27+BALANCING!AFI14</f>
        <v/>
      </c>
      <c r="AFJ27" s="110">
        <f>AFI27+BALANCING!AFJ14</f>
        <v/>
      </c>
      <c r="AFK27" s="110">
        <f>AFJ27+BALANCING!AFK14</f>
        <v/>
      </c>
      <c r="AFL27" s="110">
        <f>AFK27+BALANCING!AFL14</f>
        <v/>
      </c>
      <c r="AFM27" s="110">
        <f>AFL27+BALANCING!AFM14</f>
        <v/>
      </c>
      <c r="AFN27" s="110">
        <f>AFM27+BALANCING!AFN14</f>
        <v/>
      </c>
      <c r="AFO27" s="110">
        <f>AFN27+BALANCING!AFO14</f>
        <v/>
      </c>
      <c r="AFP27" s="110">
        <f>AFO27+BALANCING!AFP14</f>
        <v/>
      </c>
      <c r="AFQ27" s="110">
        <f>AFP27+BALANCING!AFQ14</f>
        <v/>
      </c>
      <c r="AFR27" s="110">
        <f>AFQ27+BALANCING!AFR14</f>
        <v/>
      </c>
      <c r="AFS27" s="110">
        <f>AFR27+BALANCING!AFS14</f>
        <v/>
      </c>
      <c r="AFT27" s="130" t="n"/>
      <c r="AFU27" s="110">
        <f>AFT27+BALANCING!AFU14</f>
        <v/>
      </c>
      <c r="AFV27" s="110">
        <f>AFU27+BALANCING!AFV14</f>
        <v/>
      </c>
      <c r="AFW27" s="110">
        <f>AFV27+BALANCING!AFW14</f>
        <v/>
      </c>
      <c r="AFX27" s="110">
        <f>AFW27+BALANCING!AFX14</f>
        <v/>
      </c>
      <c r="AFY27" s="110">
        <f>AFX27+BALANCING!AFY14</f>
        <v/>
      </c>
      <c r="AFZ27" s="110">
        <f>AFY27+BALANCING!AFZ14</f>
        <v/>
      </c>
      <c r="AGA27" s="110">
        <f>AFZ27+BALANCING!AGA14</f>
        <v/>
      </c>
      <c r="AGB27" s="110">
        <f>AGA27+BALANCING!AGB14</f>
        <v/>
      </c>
      <c r="AGC27" s="110">
        <f>AGB27+BALANCING!AGC14</f>
        <v/>
      </c>
      <c r="AGD27" s="110">
        <f>AGC27+BALANCING!AGD14</f>
        <v/>
      </c>
      <c r="AGE27" s="110">
        <f>AGD27+BALANCING!AGE14</f>
        <v/>
      </c>
      <c r="AGF27" s="110">
        <f>AGE27+BALANCING!AGF14</f>
        <v/>
      </c>
      <c r="AGG27" s="110">
        <f>AGF27+BALANCING!AGG14</f>
        <v/>
      </c>
      <c r="AGH27" s="110">
        <f>AGG27+BALANCING!AGH14</f>
        <v/>
      </c>
      <c r="AGI27" s="110">
        <f>AGH27+BALANCING!AGI14</f>
        <v/>
      </c>
      <c r="AGJ27" s="110">
        <f>AGI27+BALANCING!AGJ14</f>
        <v/>
      </c>
      <c r="AGK27" s="110">
        <f>AGJ27+BALANCING!AGK14</f>
        <v/>
      </c>
      <c r="AGL27" s="110">
        <f>AGK27+BALANCING!AGL14</f>
        <v/>
      </c>
      <c r="AGM27" s="110">
        <f>AGL27+BALANCING!AGM14</f>
        <v/>
      </c>
      <c r="AGN27" s="110">
        <f>AGM27+BALANCING!AGN14</f>
        <v/>
      </c>
      <c r="AGO27" s="110">
        <f>AGN27+BALANCING!AGO14</f>
        <v/>
      </c>
      <c r="AGP27" s="110">
        <f>AGO27+BALANCING!AGP14</f>
        <v/>
      </c>
      <c r="AGQ27" s="110">
        <f>AGP27+BALANCING!AGQ14</f>
        <v/>
      </c>
      <c r="AGR27" s="110">
        <f>AGQ27+BALANCING!AGR14</f>
        <v/>
      </c>
      <c r="AGS27" s="110">
        <f>AGR27+BALANCING!AGS14</f>
        <v/>
      </c>
      <c r="AGT27" s="110">
        <f>AGS27+BALANCING!AGT14</f>
        <v/>
      </c>
      <c r="AGU27" s="110">
        <f>AGT27+BALANCING!AGU14</f>
        <v/>
      </c>
      <c r="AGV27" s="110">
        <f>AGU27+BALANCING!AGV14</f>
        <v/>
      </c>
      <c r="AGW27" s="110">
        <f>AGV27+BALANCING!AGW14</f>
        <v/>
      </c>
      <c r="AGX27" s="110">
        <f>AGW27+BALANCING!AGX14</f>
        <v/>
      </c>
      <c r="AGY27" s="133" t="n"/>
      <c r="AGZ27" s="110">
        <f>AGY27+BALANCING!AGZ14</f>
        <v/>
      </c>
      <c r="AHA27" s="110">
        <f>AGZ27+BALANCING!AHA14</f>
        <v/>
      </c>
      <c r="AHB27" s="110">
        <f>AHA27+BALANCING!AHB14</f>
        <v/>
      </c>
      <c r="AHC27" s="110">
        <f>AHB27+BALANCING!AHC14</f>
        <v/>
      </c>
      <c r="AHD27" s="110">
        <f>AHC27+BALANCING!AHD14</f>
        <v/>
      </c>
      <c r="AHE27" s="110">
        <f>AHD27+BALANCING!AHE14</f>
        <v/>
      </c>
      <c r="AHF27" s="110">
        <f>AHE27+BALANCING!AHF14</f>
        <v/>
      </c>
      <c r="AHG27" s="110">
        <f>AHF27+BALANCING!AHG14</f>
        <v/>
      </c>
      <c r="AHH27" s="110">
        <f>AHG27+BALANCING!AHH14</f>
        <v/>
      </c>
      <c r="AHI27" s="110">
        <f>AHH27+BALANCING!AHI14</f>
        <v/>
      </c>
      <c r="AHJ27" s="110">
        <f>AHI27+BALANCING!AHJ14</f>
        <v/>
      </c>
      <c r="AHK27" s="110">
        <f>AHJ27+BALANCING!AHK14</f>
        <v/>
      </c>
      <c r="AHL27" s="110">
        <f>AHK27+BALANCING!AHL14</f>
        <v/>
      </c>
      <c r="AHM27" s="110">
        <f>AHL27+BALANCING!AHM14</f>
        <v/>
      </c>
      <c r="AHN27" s="110">
        <f>AHM27+BALANCING!AHN14</f>
        <v/>
      </c>
      <c r="AHO27" s="110">
        <f>AHN27+BALANCING!AHO14</f>
        <v/>
      </c>
      <c r="AHP27" s="110">
        <f>AHO27+BALANCING!AHP14</f>
        <v/>
      </c>
      <c r="AHQ27" s="110">
        <f>AHP27+BALANCING!AHQ14</f>
        <v/>
      </c>
      <c r="AHR27" s="110">
        <f>AHQ27+BALANCING!AHR14</f>
        <v/>
      </c>
      <c r="AHS27" s="110">
        <f>AHR27+BALANCING!AHS14</f>
        <v/>
      </c>
      <c r="AHT27" s="110">
        <f>AHS27+BALANCING!AHT14</f>
        <v/>
      </c>
      <c r="AHU27" s="110">
        <f>AHT27+BALANCING!AHU14</f>
        <v/>
      </c>
      <c r="AHV27" s="110">
        <f>AHU27+BALANCING!AHV14</f>
        <v/>
      </c>
      <c r="AHW27" s="110">
        <f>AHV27+BALANCING!AHW14</f>
        <v/>
      </c>
      <c r="AHX27" s="110">
        <f>AHW27+BALANCING!AHX14</f>
        <v/>
      </c>
      <c r="AHY27" s="110">
        <f>AHX27+BALANCING!AHY14</f>
        <v/>
      </c>
      <c r="AHZ27" s="110">
        <f>AHY27+BALANCING!AHZ14</f>
        <v/>
      </c>
      <c r="AIA27" s="110">
        <f>AHZ27+BALANCING!AIA14</f>
        <v/>
      </c>
      <c r="AIB27" s="110">
        <f>AIA27+BALANCING!AIB14</f>
        <v/>
      </c>
      <c r="AIC27" s="110">
        <f>AIB27+BALANCING!AIC14</f>
        <v/>
      </c>
      <c r="AID27" s="110">
        <f>AIC27+BALANCING!AID14</f>
        <v/>
      </c>
      <c r="AIE27" s="130" t="n"/>
      <c r="AIF27" s="110">
        <f>AIE27+BALANCING!AIF14</f>
        <v/>
      </c>
      <c r="AIG27" s="110">
        <f>AIF27+BALANCING!AIG14</f>
        <v/>
      </c>
      <c r="AIH27" s="110">
        <f>AIG27+BALANCING!AIH14</f>
        <v/>
      </c>
      <c r="AII27" s="110">
        <f>AIH27+BALANCING!AII14</f>
        <v/>
      </c>
      <c r="AIJ27" s="110">
        <f>AII27+BALANCING!AIJ14</f>
        <v/>
      </c>
      <c r="AIK27" s="110">
        <f>AIJ27+BALANCING!AIK14</f>
        <v/>
      </c>
      <c r="AIL27" s="110">
        <f>AIK27+BALANCING!AIL14</f>
        <v/>
      </c>
      <c r="AIM27" s="110">
        <f>AIL27+BALANCING!AIM14</f>
        <v/>
      </c>
      <c r="AIN27" s="110">
        <f>AIM27+BALANCING!AIN14</f>
        <v/>
      </c>
      <c r="AIO27" s="110">
        <f>AIN27+BALANCING!AIO14</f>
        <v/>
      </c>
      <c r="AIP27" s="110">
        <f>AIO27+BALANCING!AIP14</f>
        <v/>
      </c>
      <c r="AIQ27" s="110">
        <f>AIP27+BALANCING!AIQ14</f>
        <v/>
      </c>
      <c r="AIR27" s="110">
        <f>AIQ27+BALANCING!AIR14</f>
        <v/>
      </c>
      <c r="AIS27" s="110">
        <f>AIR27+BALANCING!AIS14</f>
        <v/>
      </c>
      <c r="AIT27" s="110">
        <f>AIS27+BALANCING!AIT14</f>
        <v/>
      </c>
      <c r="AIU27" s="110">
        <f>AIT27+BALANCING!AIU14</f>
        <v/>
      </c>
      <c r="AIV27" s="110">
        <f>AIU27+BALANCING!AIV14</f>
        <v/>
      </c>
      <c r="AIW27" s="110">
        <f>AIV27+BALANCING!AIW14</f>
        <v/>
      </c>
      <c r="AIX27" s="110">
        <f>AIW27+BALANCING!AIX14</f>
        <v/>
      </c>
      <c r="AIY27" s="110">
        <f>AIX27+BALANCING!AIY14</f>
        <v/>
      </c>
      <c r="AIZ27" s="110">
        <f>AIY27+BALANCING!AIZ14</f>
        <v/>
      </c>
      <c r="AJA27" s="110">
        <f>AIZ27+BALANCING!AJA14</f>
        <v/>
      </c>
      <c r="AJB27" s="110">
        <f>AJA27+BALANCING!AJB14</f>
        <v/>
      </c>
      <c r="AJC27" s="110">
        <f>AJB27+BALANCING!AJC14</f>
        <v/>
      </c>
      <c r="AJD27" s="110">
        <f>AJC27+BALANCING!AJD14</f>
        <v/>
      </c>
      <c r="AJE27" s="110">
        <f>AJD27+BALANCING!AJE14</f>
        <v/>
      </c>
      <c r="AJF27" s="110">
        <f>AJE27+BALANCING!AJF14</f>
        <v/>
      </c>
      <c r="AJG27" s="110">
        <f>AJF27+BALANCING!AJG14</f>
        <v/>
      </c>
      <c r="AJH27" s="110">
        <f>AJG27+BALANCING!AJH14</f>
        <v/>
      </c>
      <c r="AJI27" s="110">
        <f>AJH27+BALANCING!AJI14</f>
        <v/>
      </c>
      <c r="AJJ27" s="110">
        <f>AJI27+BALANCING!AJJ14</f>
        <v/>
      </c>
      <c r="AJK27" s="145" t="n"/>
      <c r="AJL27" s="110">
        <f>AJK27+BALANCING!AJL14</f>
        <v/>
      </c>
      <c r="AJM27" s="110">
        <f>AJL27+BALANCING!AJM14</f>
        <v/>
      </c>
      <c r="AJN27" s="110">
        <f>AJM27+BALANCING!AJN14</f>
        <v/>
      </c>
      <c r="AJO27" s="110">
        <f>AJN27+BALANCING!AJO14</f>
        <v/>
      </c>
      <c r="AJP27" s="110">
        <f>AJO27+BALANCING!AJP14</f>
        <v/>
      </c>
      <c r="AJQ27" s="110">
        <f>AJP27+BALANCING!AJQ14</f>
        <v/>
      </c>
      <c r="AJR27" s="110">
        <f>AJQ27+BALANCING!AJR14</f>
        <v/>
      </c>
      <c r="AJS27" s="110">
        <f>AJR27+BALANCING!AJS14</f>
        <v/>
      </c>
      <c r="AJT27" s="110">
        <f>AJS27+BALANCING!AJT14</f>
        <v/>
      </c>
      <c r="AJU27" s="110">
        <f>AJT27+BALANCING!AJU14</f>
        <v/>
      </c>
      <c r="AJV27" s="110">
        <f>AJU27+BALANCING!AJV14</f>
        <v/>
      </c>
      <c r="AJW27" s="110">
        <f>AJV27+BALANCING!AJW14</f>
        <v/>
      </c>
      <c r="AJX27" s="110">
        <f>AJW27+BALANCING!AJX14</f>
        <v/>
      </c>
      <c r="AJY27" s="110">
        <f>AJX27+BALANCING!AJY14</f>
        <v/>
      </c>
      <c r="AJZ27" s="110">
        <f>AJY27+BALANCING!AJZ14</f>
        <v/>
      </c>
      <c r="AKA27" s="110">
        <f>AJZ27+BALANCING!AKA14</f>
        <v/>
      </c>
      <c r="AKB27" s="110">
        <f>AKA27+BALANCING!AKB14</f>
        <v/>
      </c>
      <c r="AKC27" s="110">
        <f>AKB27+BALANCING!AKC14</f>
        <v/>
      </c>
      <c r="AKD27" s="110">
        <f>AKC27+BALANCING!AKD14</f>
        <v/>
      </c>
      <c r="AKE27" s="110">
        <f>AKD27+BALANCING!AKE14</f>
        <v/>
      </c>
      <c r="AKF27" s="110">
        <f>AKE27+BALANCING!AKF14</f>
        <v/>
      </c>
      <c r="AKG27" s="110">
        <f>AKF27+BALANCING!AKG14</f>
        <v/>
      </c>
      <c r="AKH27" s="110">
        <f>AKG27+BALANCING!AKH14</f>
        <v/>
      </c>
      <c r="AKI27" s="110">
        <f>AKH27+BALANCING!AKI14</f>
        <v/>
      </c>
      <c r="AKJ27" s="110">
        <f>AKI27+BALANCING!AKJ14</f>
        <v/>
      </c>
      <c r="AKK27" s="110">
        <f>AKJ27+BALANCING!AKK14</f>
        <v/>
      </c>
      <c r="AKL27" s="110">
        <f>AKK27+BALANCING!AKL14</f>
        <v/>
      </c>
      <c r="AKM27" s="110">
        <f>AKL27+BALANCING!AKM14</f>
        <v/>
      </c>
      <c r="AKN27" s="112" t="n"/>
      <c r="AKO27" s="110">
        <f>AKN27+BALANCING!AKO14</f>
        <v/>
      </c>
      <c r="AKP27" s="110">
        <f>AKO27+BALANCING!AKP14</f>
        <v/>
      </c>
      <c r="AKQ27" s="110">
        <f>AKP27+BALANCING!AKQ14</f>
        <v/>
      </c>
      <c r="AKR27" s="110">
        <f>AKQ27+BALANCING!AKR14</f>
        <v/>
      </c>
      <c r="AKS27" s="110">
        <f>AKR27+BALANCING!AKS14</f>
        <v/>
      </c>
      <c r="AKT27" s="110">
        <f>AKS27+BALANCING!AKT14</f>
        <v/>
      </c>
      <c r="AKU27" s="110">
        <f>AKT27+BALANCING!AKU14</f>
        <v/>
      </c>
      <c r="AKV27" s="110">
        <f>AKU27+BALANCING!AKV14</f>
        <v/>
      </c>
      <c r="AKW27" s="110">
        <f>AKV27+BALANCING!AKW14</f>
        <v/>
      </c>
      <c r="AKX27" s="110">
        <f>AKW27+BALANCING!AKX14</f>
        <v/>
      </c>
      <c r="AKY27" s="110">
        <f>AKX27+BALANCING!AKY14</f>
        <v/>
      </c>
      <c r="AKZ27" s="110">
        <f>AKY27+BALANCING!AKZ14</f>
        <v/>
      </c>
      <c r="ALA27" s="110">
        <f>AKZ27+BALANCING!ALA14</f>
        <v/>
      </c>
      <c r="ALB27" s="110">
        <f>ALA27+BALANCING!ALB14</f>
        <v/>
      </c>
      <c r="ALC27" s="110">
        <f>ALB27+BALANCING!ALC14</f>
        <v/>
      </c>
      <c r="ALD27" s="110">
        <f>ALC27+BALANCING!ALD14</f>
        <v/>
      </c>
      <c r="ALE27" s="110">
        <f>ALD27+BALANCING!ALE14</f>
        <v/>
      </c>
      <c r="ALF27" s="110">
        <f>ALE27+BALANCING!ALF14</f>
        <v/>
      </c>
      <c r="ALG27" s="110">
        <f>ALF27+BALANCING!ALG14</f>
        <v/>
      </c>
      <c r="ALH27" s="110">
        <f>ALG27+BALANCING!ALH14</f>
        <v/>
      </c>
      <c r="ALI27" s="110">
        <f>ALH27+BALANCING!ALI14</f>
        <v/>
      </c>
      <c r="ALJ27" s="110">
        <f>ALI27+BALANCING!ALJ14</f>
        <v/>
      </c>
      <c r="ALK27" s="110">
        <f>ALJ27+BALANCING!ALK14</f>
        <v/>
      </c>
      <c r="ALL27" s="110">
        <f>ALK27+BALANCING!ALL14</f>
        <v/>
      </c>
      <c r="ALM27" s="110">
        <f>ALL27+BALANCING!ALM14</f>
        <v/>
      </c>
      <c r="ALN27" s="110">
        <f>ALM27+BALANCING!ALN14</f>
        <v/>
      </c>
      <c r="ALO27" s="110">
        <f>ALN27+BALANCING!ALO14</f>
        <v/>
      </c>
      <c r="ALP27" s="110">
        <f>ALO27+BALANCING!ALP14</f>
        <v/>
      </c>
      <c r="ALQ27" s="110">
        <f>ALP27+BALANCING!ALQ14</f>
        <v/>
      </c>
      <c r="ALR27" s="110">
        <f>ALQ27+BALANCING!ALR14</f>
        <v/>
      </c>
      <c r="ALS27" s="110">
        <f>ALR27+BALANCING!ALS14</f>
        <v/>
      </c>
      <c r="ALT27" s="130" t="n"/>
      <c r="ALU27" s="110">
        <f>ALT27+BALANCING!ALU14</f>
        <v/>
      </c>
      <c r="ALV27" s="110">
        <f>ALU27+BALANCING!ALV14</f>
        <v/>
      </c>
      <c r="ALW27" s="110">
        <f>ALV27+BALANCING!ALW14</f>
        <v/>
      </c>
      <c r="ALX27" s="110">
        <f>ALW27+BALANCING!ALX14</f>
        <v/>
      </c>
      <c r="ALY27" s="110">
        <f>ALX27+BALANCING!ALY14</f>
        <v/>
      </c>
      <c r="ALZ27" s="110">
        <f>ALY27+BALANCING!ALZ14</f>
        <v/>
      </c>
      <c r="AMA27" s="110">
        <f>ALZ27+BALANCING!AMA14</f>
        <v/>
      </c>
      <c r="AMB27" s="110">
        <f>AMA27+BALANCING!AMB14</f>
        <v/>
      </c>
      <c r="AMC27" s="110">
        <f>AMB27+BALANCING!AMC14</f>
        <v/>
      </c>
      <c r="AMD27" s="110">
        <f>AMC27+BALANCING!AMD14</f>
        <v/>
      </c>
      <c r="AME27" s="110">
        <f>AMD27+BALANCING!AME14</f>
        <v/>
      </c>
      <c r="AMF27" s="110">
        <f>AME27+BALANCING!AMF14</f>
        <v/>
      </c>
      <c r="AMG27" s="110">
        <f>AMF27+BALANCING!AMG14</f>
        <v/>
      </c>
      <c r="AMH27" s="110">
        <f>AMG27+BALANCING!AMH14</f>
        <v/>
      </c>
      <c r="AMI27" s="110">
        <f>AMH27+BALANCING!AMI14</f>
        <v/>
      </c>
      <c r="AMJ27" s="110">
        <f>AMI27+BALANCING!AMJ14</f>
        <v/>
      </c>
      <c r="AMK27" s="110">
        <f>AMJ27+BALANCING!AMK14</f>
        <v/>
      </c>
      <c r="AML27" s="110">
        <f>AMK27+BALANCING!AML14</f>
        <v/>
      </c>
      <c r="AMM27" s="110">
        <f>AML27+BALANCING!AMM14</f>
        <v/>
      </c>
      <c r="AMN27" s="110">
        <f>AMM27+BALANCING!AMN14</f>
        <v/>
      </c>
      <c r="AMO27" s="110">
        <f>AMN27+BALANCING!AMO14</f>
        <v/>
      </c>
      <c r="AMP27" s="110">
        <f>AMO27+BALANCING!AMP14</f>
        <v/>
      </c>
      <c r="AMQ27" s="110">
        <f>AMP27+BALANCING!AMQ14</f>
        <v/>
      </c>
      <c r="AMR27" s="110">
        <f>AMQ27+BALANCING!AMR14</f>
        <v/>
      </c>
      <c r="AMS27" s="110">
        <f>AMR27+BALANCING!AMS14</f>
        <v/>
      </c>
      <c r="AMT27" s="110">
        <f>AMS27+BALANCING!AMT14</f>
        <v/>
      </c>
      <c r="AMU27" s="110">
        <f>AMT27+BALANCING!AMU14</f>
        <v/>
      </c>
      <c r="AMV27" s="110">
        <f>AMU27+BALANCING!AMV14</f>
        <v/>
      </c>
      <c r="AMW27" s="110">
        <f>AMV27+BALANCING!AMW14</f>
        <v/>
      </c>
      <c r="AMX27" s="110">
        <f>AMW27+BALANCING!AMX14</f>
        <v/>
      </c>
      <c r="AMY27" s="130" t="n"/>
      <c r="AMZ27" s="110">
        <f>AMY27+BALANCING!AMZ14</f>
        <v/>
      </c>
      <c r="ANA27" s="110">
        <f>AMZ27+BALANCING!ANA14</f>
        <v/>
      </c>
      <c r="ANB27" s="110">
        <f>ANA27+BALANCING!ANB14</f>
        <v/>
      </c>
      <c r="ANC27" s="110">
        <f>ANB27+BALANCING!ANC14</f>
        <v/>
      </c>
      <c r="AND27" s="110">
        <f>ANC27+BALANCING!AND14</f>
        <v/>
      </c>
      <c r="ANE27" s="110">
        <f>AND27+BALANCING!ANE14</f>
        <v/>
      </c>
      <c r="ANF27" s="110">
        <f>ANE27+BALANCING!ANF14</f>
        <v/>
      </c>
      <c r="ANG27" s="110">
        <f>ANF27+BALANCING!ANG14</f>
        <v/>
      </c>
      <c r="ANH27" s="110">
        <f>ANG27+BALANCING!ANH14</f>
        <v/>
      </c>
      <c r="ANI27" s="110">
        <f>ANH27+BALANCING!ANI14</f>
        <v/>
      </c>
      <c r="ANJ27" s="110">
        <f>ANI27+BALANCING!ANJ14</f>
        <v/>
      </c>
      <c r="ANK27" s="110">
        <f>ANJ27+BALANCING!ANK14</f>
        <v/>
      </c>
      <c r="ANL27" s="110">
        <f>ANK27+BALANCING!ANL14</f>
        <v/>
      </c>
      <c r="ANM27" s="110">
        <f>ANL27+BALANCING!ANM14</f>
        <v/>
      </c>
      <c r="ANN27" s="110">
        <f>ANM27+BALANCING!ANN14</f>
        <v/>
      </c>
      <c r="ANO27" s="110">
        <f>ANN27+BALANCING!ANO14</f>
        <v/>
      </c>
      <c r="ANP27" s="110">
        <f>ANO27+BALANCING!ANP14</f>
        <v/>
      </c>
      <c r="ANQ27" s="110">
        <f>ANP27+BALANCING!ANQ14</f>
        <v/>
      </c>
      <c r="ANR27" s="110">
        <f>ANQ27+BALANCING!ANR14</f>
        <v/>
      </c>
      <c r="ANS27" s="110">
        <f>ANR27+BALANCING!ANS14</f>
        <v/>
      </c>
      <c r="ANT27" s="110">
        <f>ANS27+BALANCING!ANT14</f>
        <v/>
      </c>
      <c r="ANU27" s="110">
        <f>ANT27+BALANCING!ANU14</f>
        <v/>
      </c>
      <c r="ANV27" s="110">
        <f>ANU27+BALANCING!ANV14</f>
        <v/>
      </c>
      <c r="ANW27" s="110">
        <f>ANV27+BALANCING!ANW14</f>
        <v/>
      </c>
      <c r="ANX27" s="110">
        <f>ANW27+BALANCING!ANX14</f>
        <v/>
      </c>
      <c r="ANY27" s="110">
        <f>ANX27+BALANCING!ANY14</f>
        <v/>
      </c>
      <c r="ANZ27" s="110">
        <f>ANY27+BALANCING!ANZ14</f>
        <v/>
      </c>
      <c r="AOA27" s="110">
        <f>ANZ27+BALANCING!AOA14</f>
        <v/>
      </c>
      <c r="AOB27" s="110">
        <f>AOA27+BALANCING!AOB14</f>
        <v/>
      </c>
      <c r="AOC27" s="110">
        <f>AOB27+BALANCING!AOC14</f>
        <v/>
      </c>
    </row>
    <row r="28">
      <c r="B28" t="inlineStr">
        <is>
          <t xml:space="preserve">Visa </t>
        </is>
      </c>
      <c r="C28" s="52">
        <f>BALANCING!C15</f>
        <v/>
      </c>
      <c r="D28" s="52">
        <f>C28+BALANCING!D15</f>
        <v/>
      </c>
      <c r="E28" s="52">
        <f>D28+BALANCING!E15</f>
        <v/>
      </c>
      <c r="F28" s="52">
        <f>E28+BALANCING!F15</f>
        <v/>
      </c>
      <c r="G28" s="52">
        <f>F28+BALANCING!G15</f>
        <v/>
      </c>
      <c r="H28" s="52">
        <f>G28+BALANCING!H15</f>
        <v/>
      </c>
      <c r="I28" s="52">
        <f>H28+BALANCING!I15</f>
        <v/>
      </c>
      <c r="J28" s="52">
        <f>I28+BALANCING!J15</f>
        <v/>
      </c>
      <c r="K28" s="52">
        <f>J28+BALANCING!K15</f>
        <v/>
      </c>
      <c r="L28" s="52">
        <f>K28+BALANCING!L15</f>
        <v/>
      </c>
      <c r="M28" s="52">
        <f>L28+BALANCING!M15</f>
        <v/>
      </c>
      <c r="N28" s="52">
        <f>M28+BALANCING!N15</f>
        <v/>
      </c>
      <c r="O28" s="52">
        <f>N28+BALANCING!O15</f>
        <v/>
      </c>
      <c r="P28" s="52">
        <f>O28+BALANCING!P15</f>
        <v/>
      </c>
      <c r="Q28" s="52">
        <f>P28+BALANCING!Q15</f>
        <v/>
      </c>
      <c r="R28" s="52">
        <f>Q28+BALANCING!R15</f>
        <v/>
      </c>
      <c r="S28" s="52">
        <f>R28+BALANCING!S15</f>
        <v/>
      </c>
      <c r="T28" s="52">
        <f>S28+BALANCING!T15</f>
        <v/>
      </c>
      <c r="U28" s="52">
        <f>T28+BALANCING!U15</f>
        <v/>
      </c>
      <c r="V28" s="52">
        <f>U28+BALANCING!V15</f>
        <v/>
      </c>
      <c r="W28" s="52">
        <f>V28+BALANCING!W15</f>
        <v/>
      </c>
      <c r="X28" s="52">
        <f>W28+BALANCING!X15</f>
        <v/>
      </c>
      <c r="Y28" s="52">
        <f>X28+BALANCING!Y15</f>
        <v/>
      </c>
      <c r="Z28" s="52">
        <f>Y28+BALANCING!Z15</f>
        <v/>
      </c>
      <c r="AA28" s="52">
        <f>Z28+BALANCING!AA15</f>
        <v/>
      </c>
      <c r="AB28" s="52">
        <f>AA28+BALANCING!AB15</f>
        <v/>
      </c>
      <c r="AC28" s="52">
        <f>AB28+BALANCING!AC15</f>
        <v/>
      </c>
      <c r="AD28" s="52">
        <f>AC28+BALANCING!AD15</f>
        <v/>
      </c>
      <c r="AE28" s="52">
        <f>AD28+BALANCING!AE15</f>
        <v/>
      </c>
      <c r="AF28" s="52">
        <f>AE28+BALANCING!AF15</f>
        <v/>
      </c>
      <c r="AG28" s="52">
        <f>AF28+BALANCING!AG15</f>
        <v/>
      </c>
      <c r="AH28" s="98">
        <f>AG28</f>
        <v/>
      </c>
      <c r="AI28" s="82">
        <f>BALANCING!AI15</f>
        <v/>
      </c>
      <c r="AJ28" s="82">
        <f>AI28+BALANCING!AJ15</f>
        <v/>
      </c>
      <c r="AK28" s="82">
        <f>AJ28+BALANCING!AK15</f>
        <v/>
      </c>
      <c r="AL28" s="82">
        <f>AK28+BALANCING!AL15</f>
        <v/>
      </c>
      <c r="AM28" s="82">
        <f>AL28+BALANCING!AM15</f>
        <v/>
      </c>
      <c r="AN28" s="82">
        <f>AM28+BALANCING!AN15</f>
        <v/>
      </c>
      <c r="AO28" s="82">
        <f>AN28+BALANCING!AO15</f>
        <v/>
      </c>
      <c r="AP28" s="82">
        <f>AO28+BALANCING!AP15</f>
        <v/>
      </c>
      <c r="AQ28" s="82">
        <f>AP28+BALANCING!AQ15</f>
        <v/>
      </c>
      <c r="AR28" s="82">
        <f>AQ28+BALANCING!AR15</f>
        <v/>
      </c>
      <c r="AS28" s="82">
        <f>AR28+BALANCING!AS15</f>
        <v/>
      </c>
      <c r="AT28" s="82">
        <f>AS28+BALANCING!AT15</f>
        <v/>
      </c>
      <c r="AU28" s="82">
        <f>AT28+BALANCING!AU15</f>
        <v/>
      </c>
      <c r="AV28" s="82">
        <f>AU28+BALANCING!AV15</f>
        <v/>
      </c>
      <c r="AW28" s="82">
        <f>AV28+BALANCING!AW15</f>
        <v/>
      </c>
      <c r="AX28" s="82">
        <f>AW28+BALANCING!AX15</f>
        <v/>
      </c>
      <c r="AY28" s="82">
        <f>AX28+BALANCING!AY15</f>
        <v/>
      </c>
      <c r="AZ28" s="82">
        <f>AY28+BALANCING!AZ15</f>
        <v/>
      </c>
      <c r="BA28" s="82">
        <f>AZ28+BALANCING!BA15</f>
        <v/>
      </c>
      <c r="BB28" s="82">
        <f>BA28+BALANCING!BB15</f>
        <v/>
      </c>
      <c r="BC28" s="82">
        <f>BB28+BALANCING!BC15</f>
        <v/>
      </c>
      <c r="BD28" s="82">
        <f>BC28+BALANCING!BD15</f>
        <v/>
      </c>
      <c r="BE28" s="82">
        <f>BD28+BALANCING!BE15</f>
        <v/>
      </c>
      <c r="BF28" s="82">
        <f>BE28+BALANCING!BF15</f>
        <v/>
      </c>
      <c r="BG28" s="82">
        <f>BF28+BALANCING!BG15</f>
        <v/>
      </c>
      <c r="BH28" s="82">
        <f>BG28+BALANCING!BH15</f>
        <v/>
      </c>
      <c r="BI28" s="82">
        <f>BH28+BALANCING!BI15</f>
        <v/>
      </c>
      <c r="BJ28" s="82">
        <f>BI28+BALANCING!BJ15</f>
        <v/>
      </c>
      <c r="BK28" s="82">
        <f>BJ28+BALANCING!BK15</f>
        <v/>
      </c>
      <c r="BL28" s="82">
        <f>BK28+BALANCING!BL15</f>
        <v/>
      </c>
      <c r="BM28" s="106" t="n">
        <v>0</v>
      </c>
      <c r="BN28" s="82">
        <f>BM28+BALANCING!BN15</f>
        <v/>
      </c>
      <c r="BO28" s="82">
        <f>BN28+BALANCING!BO15</f>
        <v/>
      </c>
      <c r="BP28" s="82">
        <f>BO28+BALANCING!BP15</f>
        <v/>
      </c>
      <c r="BQ28" s="82">
        <f>BP28+BALANCING!BQ15</f>
        <v/>
      </c>
      <c r="BR28" s="82">
        <f>BQ28+BALANCING!BR15</f>
        <v/>
      </c>
      <c r="BS28" s="82">
        <f>BR28+BALANCING!BS15</f>
        <v/>
      </c>
      <c r="BT28" s="82">
        <f>BS28+BALANCING!BT15</f>
        <v/>
      </c>
      <c r="BU28" s="82">
        <f>BT28+BALANCING!BU15</f>
        <v/>
      </c>
      <c r="BV28" s="82">
        <f>BU28+BALANCING!BV15</f>
        <v/>
      </c>
      <c r="BW28" s="82">
        <f>BV28+BALANCING!BW15</f>
        <v/>
      </c>
      <c r="BX28" s="82">
        <f>BW28+BALANCING!BX15</f>
        <v/>
      </c>
      <c r="BY28" s="82">
        <f>BX28+BALANCING!BY15</f>
        <v/>
      </c>
      <c r="BZ28" s="82">
        <f>BY28+BALANCING!BZ15</f>
        <v/>
      </c>
      <c r="CA28" s="82">
        <f>BZ28+BALANCING!CA15</f>
        <v/>
      </c>
      <c r="CB28" s="82">
        <f>CA28+BALANCING!CB15</f>
        <v/>
      </c>
      <c r="CC28" s="82">
        <f>CB28+BALANCING!CC15</f>
        <v/>
      </c>
      <c r="CD28" s="82">
        <f>CC28+BALANCING!CD15</f>
        <v/>
      </c>
      <c r="CE28" s="82">
        <f>CD28+BALANCING!CE15</f>
        <v/>
      </c>
      <c r="CF28" s="82">
        <f>CE28+BALANCING!CF15</f>
        <v/>
      </c>
      <c r="CG28" s="82">
        <f>CF28+BALANCING!CG15</f>
        <v/>
      </c>
      <c r="CH28" s="82">
        <f>CG28+BALANCING!CH15</f>
        <v/>
      </c>
      <c r="CI28" s="82">
        <f>CH28+BALANCING!CI15</f>
        <v/>
      </c>
      <c r="CJ28" s="82">
        <f>CI28+BALANCING!CJ15</f>
        <v/>
      </c>
      <c r="CK28" s="82">
        <f>CJ28+BALANCING!CK15</f>
        <v/>
      </c>
      <c r="CL28" s="82">
        <f>CK28+BALANCING!CL15</f>
        <v/>
      </c>
      <c r="CM28" s="82">
        <f>CL28+BALANCING!CM15</f>
        <v/>
      </c>
      <c r="CN28" s="82">
        <f>CM28+BALANCING!CN15</f>
        <v/>
      </c>
      <c r="CO28" s="82">
        <f>CN28+BALANCING!CO15</f>
        <v/>
      </c>
      <c r="CP28" s="82">
        <f>CO28+BALANCING!CP15</f>
        <v/>
      </c>
      <c r="CQ28" s="82">
        <f>CP28+BALANCING!CQ15</f>
        <v/>
      </c>
      <c r="CR28" s="82">
        <f>CQ28+BALANCING!CR15</f>
        <v/>
      </c>
      <c r="CT28" s="82">
        <f>CS28+BALANCING!CT15</f>
        <v/>
      </c>
      <c r="CU28" s="82">
        <f>CT28+BALANCING!CU15</f>
        <v/>
      </c>
      <c r="CV28" s="82">
        <f>CU28+BALANCING!CV15</f>
        <v/>
      </c>
      <c r="CW28" s="82">
        <f>CV28+BALANCING!CW15</f>
        <v/>
      </c>
      <c r="CX28" s="82">
        <f>CW28+BALANCING!CX15</f>
        <v/>
      </c>
      <c r="CY28" s="82">
        <f>CX28+BALANCING!CY15</f>
        <v/>
      </c>
      <c r="CZ28" s="82">
        <f>CY28+BALANCING!CZ15</f>
        <v/>
      </c>
      <c r="DA28" s="82">
        <f>CZ28+BALANCING!DA15</f>
        <v/>
      </c>
      <c r="DB28" s="82">
        <f>DA28+BALANCING!DB15</f>
        <v/>
      </c>
      <c r="DC28" s="82">
        <f>DB28+BALANCING!DC15</f>
        <v/>
      </c>
      <c r="DD28" s="82">
        <f>DC28+BALANCING!DD15</f>
        <v/>
      </c>
      <c r="DE28" s="82">
        <f>DD28+BALANCING!DE15</f>
        <v/>
      </c>
      <c r="DF28" s="82">
        <f>DE28+BALANCING!DF15</f>
        <v/>
      </c>
      <c r="DG28" s="82">
        <f>DF28+BALANCING!DG15</f>
        <v/>
      </c>
      <c r="DH28" s="82">
        <f>DG28+BALANCING!DH15</f>
        <v/>
      </c>
      <c r="DI28" s="82">
        <f>DH28+BALANCING!DI15</f>
        <v/>
      </c>
      <c r="DJ28" s="82">
        <f>DI28+BALANCING!DJ15</f>
        <v/>
      </c>
      <c r="DK28" s="82">
        <f>DJ28+BALANCING!DK15</f>
        <v/>
      </c>
      <c r="DL28" s="82">
        <f>DK28+BALANCING!DL15</f>
        <v/>
      </c>
      <c r="DM28" s="82">
        <f>DL28+BALANCING!DM15</f>
        <v/>
      </c>
      <c r="DN28" s="82">
        <f>DM28+BALANCING!DN15</f>
        <v/>
      </c>
      <c r="DO28" s="82">
        <f>DN28+BALANCING!DO15</f>
        <v/>
      </c>
      <c r="DP28" s="82">
        <f>DO28+BALANCING!DP15</f>
        <v/>
      </c>
      <c r="DQ28" s="82">
        <f>DP28+BALANCING!DQ15</f>
        <v/>
      </c>
      <c r="DR28" s="82">
        <f>DQ28+BALANCING!DR15</f>
        <v/>
      </c>
      <c r="DS28" s="82">
        <f>DR28+BALANCING!DS15</f>
        <v/>
      </c>
      <c r="DT28" s="82">
        <f>DS28+BALANCING!DT15</f>
        <v/>
      </c>
      <c r="DU28" s="82">
        <f>DT28+BALANCING!DU15</f>
        <v/>
      </c>
      <c r="DV28" s="82">
        <f>DU28+BALANCING!DV15</f>
        <v/>
      </c>
      <c r="DW28" s="82">
        <f>DV28+BALANCING!DW15</f>
        <v/>
      </c>
      <c r="DX28" s="117" t="n"/>
      <c r="DY28" s="82">
        <f>DX28+BALANCING!DY15</f>
        <v/>
      </c>
      <c r="DZ28" s="82">
        <f>DY28+BALANCING!DZ15</f>
        <v/>
      </c>
      <c r="EA28" s="82">
        <f>DZ28+BALANCING!EA15</f>
        <v/>
      </c>
      <c r="EB28" s="82">
        <f>EA28+BALANCING!EB15</f>
        <v/>
      </c>
      <c r="EC28" s="82">
        <f>EB28+BALANCING!EC15</f>
        <v/>
      </c>
      <c r="ED28" s="82">
        <f>EC28+BALANCING!ED15</f>
        <v/>
      </c>
      <c r="EE28" s="82">
        <f>ED28+BALANCING!EE15</f>
        <v/>
      </c>
      <c r="EF28" s="82">
        <f>EE28+BALANCING!EF15</f>
        <v/>
      </c>
      <c r="EG28" s="82">
        <f>EF28+BALANCING!EG15</f>
        <v/>
      </c>
      <c r="EH28" s="82">
        <f>EG28+BALANCING!EH15</f>
        <v/>
      </c>
      <c r="EI28" s="82">
        <f>EH28+BALANCING!EI15</f>
        <v/>
      </c>
      <c r="EJ28" s="82">
        <f>EI28+BALANCING!EJ15</f>
        <v/>
      </c>
      <c r="EK28" s="82">
        <f>EJ28+BALANCING!EK15</f>
        <v/>
      </c>
      <c r="EL28" s="82">
        <f>EK28+BALANCING!EL15</f>
        <v/>
      </c>
      <c r="EM28" s="82">
        <f>EL28+BALANCING!EM15</f>
        <v/>
      </c>
      <c r="EN28" s="82">
        <f>EM28+BALANCING!EN15</f>
        <v/>
      </c>
      <c r="EO28" s="82">
        <f>EN28+BALANCING!EO15</f>
        <v/>
      </c>
      <c r="EP28" s="82">
        <f>EO28+BALANCING!EP15</f>
        <v/>
      </c>
      <c r="EQ28" s="82">
        <f>EP28+BALANCING!EQ15</f>
        <v/>
      </c>
      <c r="ER28" s="82">
        <f>EQ28+BALANCING!ER15</f>
        <v/>
      </c>
      <c r="ES28" s="82">
        <f>ER28+BALANCING!ES15</f>
        <v/>
      </c>
      <c r="ET28" s="82">
        <f>ES28+BALANCING!ET15</f>
        <v/>
      </c>
      <c r="EU28" s="82">
        <f>ET28+BALANCING!EU15</f>
        <v/>
      </c>
      <c r="EV28" s="82">
        <f>EU28+BALANCING!EV15</f>
        <v/>
      </c>
      <c r="EW28" s="82">
        <f>EV28+BALANCING!EW15</f>
        <v/>
      </c>
      <c r="EX28" s="82">
        <f>EW28+BALANCING!EX15</f>
        <v/>
      </c>
      <c r="EY28" s="82">
        <f>EX28+BALANCING!EY15</f>
        <v/>
      </c>
      <c r="EZ28" s="82">
        <f>EY28+BALANCING!EZ15</f>
        <v/>
      </c>
      <c r="FA28" s="82">
        <f>EZ28+BALANCING!FA15</f>
        <v/>
      </c>
      <c r="FB28" s="82">
        <f>FA28+BALANCING!FB15</f>
        <v/>
      </c>
      <c r="FC28" s="82">
        <f>FB28+BALANCING!FC15</f>
        <v/>
      </c>
      <c r="FD28" s="126" t="n"/>
      <c r="FE28" s="82">
        <f>FD28+BALANCING!FE15</f>
        <v/>
      </c>
      <c r="FF28" s="82">
        <f>FE28+BALANCING!FF15</f>
        <v/>
      </c>
      <c r="FG28" s="82">
        <f>FF28+BALANCING!FG15</f>
        <v/>
      </c>
      <c r="FH28" s="82">
        <f>FG28+BALANCING!FH15</f>
        <v/>
      </c>
      <c r="FI28" s="82">
        <f>FH28+BALANCING!FI15</f>
        <v/>
      </c>
      <c r="FJ28" s="82">
        <f>FI28+BALANCING!FJ15</f>
        <v/>
      </c>
      <c r="FK28" s="82">
        <f>FJ28+BALANCING!FK15</f>
        <v/>
      </c>
      <c r="FL28" s="82">
        <f>FK28+BALANCING!FL15</f>
        <v/>
      </c>
      <c r="FM28" s="82">
        <f>FL28+BALANCING!FM15</f>
        <v/>
      </c>
      <c r="FN28" s="82">
        <f>FM28+BALANCING!FN15</f>
        <v/>
      </c>
      <c r="FO28" s="82">
        <f>FN28+BALANCING!FO15</f>
        <v/>
      </c>
      <c r="FP28" s="82">
        <f>FO28+BALANCING!FP15</f>
        <v/>
      </c>
      <c r="FQ28" s="82">
        <f>FP28+BALANCING!FQ15</f>
        <v/>
      </c>
      <c r="FR28" s="82">
        <f>FQ28+BALANCING!FR15</f>
        <v/>
      </c>
      <c r="FS28" s="82">
        <f>FR28+BALANCING!FS15</f>
        <v/>
      </c>
      <c r="FT28" s="82">
        <f>FS28+BALANCING!FT15</f>
        <v/>
      </c>
      <c r="FU28" s="82">
        <f>FT28+BALANCING!FU15</f>
        <v/>
      </c>
      <c r="FV28" s="82">
        <f>FU28+BALANCING!FV15</f>
        <v/>
      </c>
      <c r="FW28" s="82">
        <f>FV28+BALANCING!FW15</f>
        <v/>
      </c>
      <c r="FX28" s="82">
        <f>FW28+BALANCING!FX15</f>
        <v/>
      </c>
      <c r="FY28" s="82">
        <f>FX28+BALANCING!FY15</f>
        <v/>
      </c>
      <c r="FZ28" s="82">
        <f>FY28+BALANCING!FZ15</f>
        <v/>
      </c>
      <c r="GA28" s="82">
        <f>FZ28+BALANCING!GA15</f>
        <v/>
      </c>
      <c r="GB28" s="82">
        <f>GA28+BALANCING!GB15</f>
        <v/>
      </c>
      <c r="GC28" s="82">
        <f>GB28+BALANCING!GC15</f>
        <v/>
      </c>
      <c r="GD28" s="82">
        <f>GC28+BALANCING!GD15</f>
        <v/>
      </c>
      <c r="GE28" s="82">
        <f>GD28+BALANCING!GE15</f>
        <v/>
      </c>
      <c r="GF28" s="82">
        <f>GE28+BALANCING!GF15</f>
        <v/>
      </c>
      <c r="GG28" s="82">
        <f>GF28+BALANCING!GG15</f>
        <v/>
      </c>
      <c r="GH28" s="82">
        <f>GG28+BALANCING!GH15</f>
        <v/>
      </c>
      <c r="GI28" s="82">
        <f>GH28+BALANCING!GI15</f>
        <v/>
      </c>
      <c r="GJ28" s="130" t="n"/>
      <c r="GK28" s="110">
        <f>BALANCING!GK15</f>
        <v/>
      </c>
      <c r="GL28" s="110">
        <f>GK28+BALANCING!GL15</f>
        <v/>
      </c>
      <c r="GM28" s="110">
        <f>GL28+BALANCING!GM15</f>
        <v/>
      </c>
      <c r="GN28" s="110">
        <f>GM28+BALANCING!GN15</f>
        <v/>
      </c>
      <c r="GO28" s="110">
        <f>GN28+BALANCING!GO15</f>
        <v/>
      </c>
      <c r="GP28" s="110">
        <f>GO28+BALANCING!GP15</f>
        <v/>
      </c>
      <c r="GQ28" s="110">
        <f>GP28+BALANCING!GQ15</f>
        <v/>
      </c>
      <c r="GR28" s="110">
        <f>GQ28+BALANCING!GR15</f>
        <v/>
      </c>
      <c r="GS28" s="110">
        <f>GR28+BALANCING!GS15</f>
        <v/>
      </c>
      <c r="GT28" s="110">
        <f>GS28+BALANCING!GT15</f>
        <v/>
      </c>
      <c r="GU28" s="110">
        <f>GT28+BALANCING!GU15</f>
        <v/>
      </c>
      <c r="GV28" s="110">
        <f>GU28+BALANCING!GV15</f>
        <v/>
      </c>
      <c r="GW28" s="110">
        <f>GV28+BALANCING!GW15</f>
        <v/>
      </c>
      <c r="GX28" s="110">
        <f>GW28+BALANCING!GX15</f>
        <v/>
      </c>
      <c r="GY28" s="110">
        <f>GX28+BALANCING!GY15</f>
        <v/>
      </c>
      <c r="GZ28" s="110">
        <f>GY28+BALANCING!GZ15</f>
        <v/>
      </c>
      <c r="HA28" s="110">
        <f>GZ28+BALANCING!HA15</f>
        <v/>
      </c>
      <c r="HB28" s="110">
        <f>HA28+BALANCING!HB15</f>
        <v/>
      </c>
      <c r="HC28" s="110">
        <f>HB28+BALANCING!HC15</f>
        <v/>
      </c>
      <c r="HD28" s="110">
        <f>HC28+BALANCING!HD15</f>
        <v/>
      </c>
      <c r="HE28" s="110">
        <f>HD28+BALANCING!HE15</f>
        <v/>
      </c>
      <c r="HF28" s="110">
        <f>HE28+BALANCING!HF15</f>
        <v/>
      </c>
      <c r="HG28" s="110">
        <f>HF28+BALANCING!HG15</f>
        <v/>
      </c>
      <c r="HH28" s="110">
        <f>HG28+BALANCING!HH15</f>
        <v/>
      </c>
      <c r="HI28" s="110">
        <f>HH28+BALANCING!HI15</f>
        <v/>
      </c>
      <c r="HJ28" s="110">
        <f>HI28+BALANCING!HJ15</f>
        <v/>
      </c>
      <c r="HK28" s="110">
        <f>HJ28+BALANCING!HK15</f>
        <v/>
      </c>
      <c r="HL28" s="110">
        <f>HK28+BALANCING!HL15</f>
        <v/>
      </c>
      <c r="HM28" s="110">
        <f>HL28+BALANCING!HM15</f>
        <v/>
      </c>
      <c r="HN28" s="130" t="n"/>
      <c r="HO28" s="110">
        <f>HN28+BALANCING!HO15</f>
        <v/>
      </c>
      <c r="HP28" s="110">
        <f>HO28+BALANCING!HP15</f>
        <v/>
      </c>
      <c r="HQ28" s="110">
        <f>HP28+BALANCING!HQ15</f>
        <v/>
      </c>
      <c r="HR28" s="110">
        <f>HQ28+BALANCING!HR15</f>
        <v/>
      </c>
      <c r="HS28" s="110">
        <f>HR28+BALANCING!HS15</f>
        <v/>
      </c>
      <c r="HT28" s="110">
        <f>HS28+BALANCING!HT15</f>
        <v/>
      </c>
      <c r="HU28" s="110">
        <f>HT28+BALANCING!HU15</f>
        <v/>
      </c>
      <c r="HV28" s="110">
        <f>HU28+BALANCING!HV15</f>
        <v/>
      </c>
      <c r="HW28" s="110">
        <f>HV28+BALANCING!HW15</f>
        <v/>
      </c>
      <c r="HX28" s="110">
        <f>HW28+BALANCING!HX15</f>
        <v/>
      </c>
      <c r="HY28" s="110">
        <f>HX28+BALANCING!HY15</f>
        <v/>
      </c>
      <c r="HZ28" s="110">
        <f>HY28+BALANCING!HZ15</f>
        <v/>
      </c>
      <c r="IA28" s="110">
        <f>HZ28+BALANCING!IA15</f>
        <v/>
      </c>
      <c r="IB28" s="110">
        <f>IA28+BALANCING!IB15</f>
        <v/>
      </c>
      <c r="IC28" s="110">
        <f>IB28+BALANCING!IC15</f>
        <v/>
      </c>
      <c r="ID28" s="110">
        <f>IC28+BALANCING!ID15</f>
        <v/>
      </c>
      <c r="IE28" s="110">
        <f>ID28+BALANCING!IE15</f>
        <v/>
      </c>
      <c r="IF28" s="110">
        <f>IE28+BALANCING!IF15</f>
        <v/>
      </c>
      <c r="IG28" s="110">
        <f>IF28+BALANCING!IG15</f>
        <v/>
      </c>
      <c r="IH28" s="110">
        <f>IG28+BALANCING!IH15</f>
        <v/>
      </c>
      <c r="II28" s="110">
        <f>IH28+BALANCING!II15</f>
        <v/>
      </c>
      <c r="IJ28" s="110">
        <f>II28+BALANCING!IJ15</f>
        <v/>
      </c>
      <c r="IK28" s="110">
        <f>IJ28+BALANCING!IK15</f>
        <v/>
      </c>
      <c r="IL28" s="110">
        <f>IK28+BALANCING!IL15</f>
        <v/>
      </c>
      <c r="IM28" s="110">
        <f>IL28+BALANCING!IM15</f>
        <v/>
      </c>
      <c r="IN28" s="110">
        <f>IM28+BALANCING!IN15</f>
        <v/>
      </c>
      <c r="IO28" s="110">
        <f>IN28+BALANCING!IO15</f>
        <v/>
      </c>
      <c r="IP28" s="110">
        <f>IO28+BALANCING!IP15</f>
        <v/>
      </c>
      <c r="IQ28" s="110">
        <f>IP28+BALANCING!IQ15</f>
        <v/>
      </c>
      <c r="IR28" s="110">
        <f>IQ28+BALANCING!IR15</f>
        <v/>
      </c>
      <c r="IS28" s="110">
        <f>IR28+BALANCING!IS15</f>
        <v/>
      </c>
      <c r="IT28" s="130" t="n"/>
      <c r="IU28" s="110">
        <f>IT28+BALANCING!IU15</f>
        <v/>
      </c>
      <c r="IV28" s="110">
        <f>IU28+BALANCING!IV15</f>
        <v/>
      </c>
      <c r="IW28" s="110">
        <f>IV28+BALANCING!IW15</f>
        <v/>
      </c>
      <c r="IX28" s="110">
        <f>IW28+BALANCING!IX15</f>
        <v/>
      </c>
      <c r="IY28" s="110">
        <f>IX28+BALANCING!IY15</f>
        <v/>
      </c>
      <c r="IZ28" s="110">
        <f>IY28+BALANCING!IZ15</f>
        <v/>
      </c>
      <c r="JA28" s="110">
        <f>IZ28+BALANCING!JA15</f>
        <v/>
      </c>
      <c r="JB28" s="110">
        <f>JA28+BALANCING!JB15</f>
        <v/>
      </c>
      <c r="JC28" s="110">
        <f>JB28+BALANCING!JC15</f>
        <v/>
      </c>
      <c r="JD28" s="110">
        <f>JC28+BALANCING!JD15</f>
        <v/>
      </c>
      <c r="JE28" s="110">
        <f>JD28+BALANCING!JE15</f>
        <v/>
      </c>
      <c r="JF28" s="110">
        <f>JE28+BALANCING!JF15</f>
        <v/>
      </c>
      <c r="JG28" s="110">
        <f>JF28+BALANCING!JG15</f>
        <v/>
      </c>
      <c r="JH28" s="110">
        <f>JG28+BALANCING!JH15</f>
        <v/>
      </c>
      <c r="JI28" s="110">
        <f>JH28+BALANCING!JI15</f>
        <v/>
      </c>
      <c r="JJ28" s="110">
        <f>JI28+BALANCING!JJ15</f>
        <v/>
      </c>
      <c r="JK28" s="110">
        <f>JJ28+BALANCING!JK15</f>
        <v/>
      </c>
      <c r="JL28" s="110">
        <f>JK28+BALANCING!JL15</f>
        <v/>
      </c>
      <c r="JM28" s="110">
        <f>JL28+BALANCING!JM15</f>
        <v/>
      </c>
      <c r="JN28" s="110">
        <f>JM28+BALANCING!JN15</f>
        <v/>
      </c>
      <c r="JO28" s="110">
        <f>JN28+BALANCING!JO15</f>
        <v/>
      </c>
      <c r="JP28" s="110">
        <f>JO28+BALANCING!JP15</f>
        <v/>
      </c>
      <c r="JQ28" s="110">
        <f>JP28+BALANCING!JQ15</f>
        <v/>
      </c>
      <c r="JR28" s="110">
        <f>JQ28+BALANCING!JR15</f>
        <v/>
      </c>
      <c r="JS28" s="110">
        <f>JR28+BALANCING!JS15</f>
        <v/>
      </c>
      <c r="JT28" s="110">
        <f>JS28+BALANCING!JT15</f>
        <v/>
      </c>
      <c r="JU28" s="110">
        <f>JT28+BALANCING!JU15</f>
        <v/>
      </c>
      <c r="JV28" s="110">
        <f>JU28+BALANCING!JV15</f>
        <v/>
      </c>
      <c r="JW28" s="110">
        <f>JV28+BALANCING!JW15</f>
        <v/>
      </c>
      <c r="JX28" s="110">
        <f>JW28+BALANCING!JX15</f>
        <v/>
      </c>
      <c r="JY28" s="133" t="n"/>
      <c r="JZ28" s="110">
        <f>JY28+BALANCING!JZ15</f>
        <v/>
      </c>
      <c r="KA28" s="110">
        <f>JZ28+BALANCING!KA15</f>
        <v/>
      </c>
      <c r="KB28" s="110">
        <f>KA28+BALANCING!KB15</f>
        <v/>
      </c>
      <c r="KC28" s="110">
        <f>KB28+BALANCING!KC15</f>
        <v/>
      </c>
      <c r="KD28" s="110">
        <f>KC28+BALANCING!KD15</f>
        <v/>
      </c>
      <c r="KE28" s="110">
        <f>KD28+BALANCING!KE15</f>
        <v/>
      </c>
      <c r="KF28" s="110">
        <f>KE28+BALANCING!KF15</f>
        <v/>
      </c>
      <c r="KG28" s="110">
        <f>KF28+BALANCING!KG15</f>
        <v/>
      </c>
      <c r="KH28" s="110">
        <f>KG28+BALANCING!KH15</f>
        <v/>
      </c>
      <c r="KI28" s="110">
        <f>KH28+BALANCING!KI15</f>
        <v/>
      </c>
      <c r="KJ28" s="110">
        <f>KI28+BALANCING!KJ15</f>
        <v/>
      </c>
      <c r="KK28" s="110">
        <f>KJ28+BALANCING!KK15</f>
        <v/>
      </c>
      <c r="KL28" s="110">
        <f>KK28+BALANCING!KL15</f>
        <v/>
      </c>
      <c r="KM28" s="110">
        <f>KL28+BALANCING!KM15</f>
        <v/>
      </c>
      <c r="KN28" s="110">
        <f>KM28+BALANCING!KN15</f>
        <v/>
      </c>
      <c r="KO28" s="110">
        <f>KN28+BALANCING!KO15</f>
        <v/>
      </c>
      <c r="KP28" s="110">
        <f>KO28+BALANCING!KP15</f>
        <v/>
      </c>
      <c r="KQ28" s="110">
        <f>KP28+BALANCING!KQ15</f>
        <v/>
      </c>
      <c r="KR28" s="110">
        <f>KQ28+BALANCING!KR15</f>
        <v/>
      </c>
      <c r="KS28" s="110">
        <f>KR28+BALANCING!KS15</f>
        <v/>
      </c>
      <c r="KT28" s="110">
        <f>KS28+BALANCING!KT15</f>
        <v/>
      </c>
      <c r="KU28" s="110">
        <f>KT28+BALANCING!KU15</f>
        <v/>
      </c>
      <c r="KV28" s="110">
        <f>KU28+BALANCING!KV15</f>
        <v/>
      </c>
      <c r="KW28" s="110">
        <f>KV28+BALANCING!KW15</f>
        <v/>
      </c>
      <c r="KX28" s="110">
        <f>KW28+BALANCING!KX15</f>
        <v/>
      </c>
      <c r="KY28" s="110">
        <f>KX28+BALANCING!KY15</f>
        <v/>
      </c>
      <c r="KZ28" s="110">
        <f>KY28+BALANCING!KZ15</f>
        <v/>
      </c>
      <c r="LA28" s="110">
        <f>KZ28+BALANCING!LA15</f>
        <v/>
      </c>
      <c r="LB28" s="110">
        <f>LA28+BALANCING!LB15</f>
        <v/>
      </c>
      <c r="LC28" s="110">
        <f>LB28+BALANCING!LC15</f>
        <v/>
      </c>
      <c r="LD28" s="110">
        <f>LC28+BALANCING!LD15</f>
        <v/>
      </c>
      <c r="LE28" s="130" t="n"/>
      <c r="LF28" s="110">
        <f>LE28+BALANCING!LF15</f>
        <v/>
      </c>
      <c r="LG28" s="110">
        <f>LF28+BALANCING!LG15</f>
        <v/>
      </c>
      <c r="LH28" s="110">
        <f>LG28+BALANCING!LH15</f>
        <v/>
      </c>
      <c r="LI28" s="110">
        <f>LH28+BALANCING!LI15</f>
        <v/>
      </c>
      <c r="LJ28" s="110">
        <f>LI28+BALANCING!LJ15</f>
        <v/>
      </c>
      <c r="LK28" s="110">
        <f>LJ28+BALANCING!LK15</f>
        <v/>
      </c>
      <c r="LL28" s="110">
        <f>LK28+BALANCING!LL15</f>
        <v/>
      </c>
      <c r="LM28" s="110">
        <f>LL28+BALANCING!LM15</f>
        <v/>
      </c>
      <c r="LN28" s="110">
        <f>LM28+BALANCING!LN15</f>
        <v/>
      </c>
      <c r="LO28" s="110">
        <f>LN28+BALANCING!LO15</f>
        <v/>
      </c>
      <c r="LP28" s="110">
        <f>LO28+BALANCING!LP15</f>
        <v/>
      </c>
      <c r="LQ28" s="110">
        <f>LP28+BALANCING!LQ15</f>
        <v/>
      </c>
      <c r="LR28" s="110">
        <f>LQ28+BALANCING!LR15</f>
        <v/>
      </c>
      <c r="LS28" s="110">
        <f>LR28+BALANCING!LS15</f>
        <v/>
      </c>
      <c r="LT28" s="110">
        <f>LS28+BALANCING!LT15</f>
        <v/>
      </c>
      <c r="LU28" s="110">
        <f>LT28+BALANCING!LU15</f>
        <v/>
      </c>
      <c r="LV28" s="110">
        <f>LU28+BALANCING!LV15</f>
        <v/>
      </c>
      <c r="LW28" s="110">
        <f>LV28+BALANCING!LW15</f>
        <v/>
      </c>
      <c r="LX28" s="110">
        <f>LW28+BALANCING!LX15</f>
        <v/>
      </c>
      <c r="LY28" s="110">
        <f>LX28+BALANCING!LY15</f>
        <v/>
      </c>
      <c r="LZ28" s="110">
        <f>LY28+BALANCING!LZ15</f>
        <v/>
      </c>
      <c r="MA28" s="110">
        <f>LZ28+BALANCING!MA15</f>
        <v/>
      </c>
      <c r="MB28" s="110">
        <f>MA28+BALANCING!MB15</f>
        <v/>
      </c>
      <c r="MC28" s="110">
        <f>MB28+BALANCING!MC15</f>
        <v/>
      </c>
      <c r="MD28" s="110">
        <f>MC28+BALANCING!MD15</f>
        <v/>
      </c>
      <c r="ME28" s="110">
        <f>MD28+BALANCING!ME15</f>
        <v/>
      </c>
      <c r="MF28" s="110">
        <f>ME28+BALANCING!MF15</f>
        <v/>
      </c>
      <c r="MG28" s="110">
        <f>MF28+BALANCING!MG15</f>
        <v/>
      </c>
      <c r="MH28" s="110">
        <f>MG28+BALANCING!MH15</f>
        <v/>
      </c>
      <c r="MI28" s="110">
        <f>MH28+BALANCING!MI15</f>
        <v/>
      </c>
      <c r="MJ28" s="133" t="n"/>
      <c r="MK28" s="110">
        <f>MJ28+BALANCING!MK15</f>
        <v/>
      </c>
      <c r="ML28" s="110">
        <f>MK28+BALANCING!ML15</f>
        <v/>
      </c>
      <c r="MM28" s="110">
        <f>ML28+BALANCING!MM15</f>
        <v/>
      </c>
      <c r="MN28" s="110">
        <f>MM28+BALANCING!MN15</f>
        <v/>
      </c>
      <c r="MO28" s="110">
        <f>MN28+BALANCING!MO15</f>
        <v/>
      </c>
      <c r="MP28" s="110">
        <f>MO28+BALANCING!MP15</f>
        <v/>
      </c>
      <c r="MQ28" s="110">
        <f>MP28+BALANCING!MQ15</f>
        <v/>
      </c>
      <c r="MR28" s="110">
        <f>MQ28+BALANCING!MR15</f>
        <v/>
      </c>
      <c r="MS28" s="110">
        <f>MR28+BALANCING!MS15</f>
        <v/>
      </c>
      <c r="MT28" s="110">
        <f>MS28+BALANCING!MT15</f>
        <v/>
      </c>
      <c r="MU28" s="110">
        <f>MT28+BALANCING!MU15</f>
        <v/>
      </c>
      <c r="MV28" s="110">
        <f>MU28+BALANCING!MV15</f>
        <v/>
      </c>
      <c r="MW28" s="110">
        <f>MV28+BALANCING!MW15</f>
        <v/>
      </c>
      <c r="MX28" s="110">
        <f>MW28+BALANCING!MX15</f>
        <v/>
      </c>
      <c r="MY28" s="110">
        <f>MX28+BALANCING!MY15</f>
        <v/>
      </c>
      <c r="MZ28" s="110">
        <f>MY28+BALANCING!MZ15</f>
        <v/>
      </c>
      <c r="NA28" s="110">
        <f>MZ28+BALANCING!NA15</f>
        <v/>
      </c>
      <c r="NB28" s="110">
        <f>NA28+BALANCING!NB15</f>
        <v/>
      </c>
      <c r="NC28" s="110">
        <f>NB28+BALANCING!NC15</f>
        <v/>
      </c>
      <c r="ND28" s="110">
        <f>NC28+BALANCING!ND15</f>
        <v/>
      </c>
      <c r="NE28" s="110">
        <f>ND28+BALANCING!NE15</f>
        <v/>
      </c>
      <c r="NF28" s="110">
        <f>NE28+BALANCING!NF15</f>
        <v/>
      </c>
      <c r="NG28" s="110">
        <f>NF28+BALANCING!NG15</f>
        <v/>
      </c>
      <c r="NH28" s="110">
        <f>NG28+BALANCING!NH15</f>
        <v/>
      </c>
      <c r="NI28" s="110">
        <f>NH28+BALANCING!NI15</f>
        <v/>
      </c>
      <c r="NJ28" s="110">
        <f>NI28+BALANCING!NJ15</f>
        <v/>
      </c>
      <c r="NK28" s="110">
        <f>NJ28+BALANCING!NK15</f>
        <v/>
      </c>
      <c r="NL28" s="110">
        <f>NK28+BALANCING!NL15</f>
        <v/>
      </c>
      <c r="NM28" s="110">
        <f>NL28+BALANCING!NM15</f>
        <v/>
      </c>
      <c r="NN28" s="110">
        <f>NM28+BALANCING!NN15</f>
        <v/>
      </c>
      <c r="NO28" s="110">
        <f>NN28+BALANCING!NO15</f>
        <v/>
      </c>
      <c r="NP28" s="133" t="n"/>
      <c r="NQ28" s="110">
        <f>NP28+BALANCING!NQ15</f>
        <v/>
      </c>
      <c r="NR28" s="110">
        <f>NQ28+BALANCING!NR15</f>
        <v/>
      </c>
      <c r="NS28" s="110">
        <f>NR28+BALANCING!NS15</f>
        <v/>
      </c>
      <c r="NT28" s="110">
        <f>NS28+BALANCING!NT15</f>
        <v/>
      </c>
      <c r="NU28" s="110">
        <f>NT28+BALANCING!NU15</f>
        <v/>
      </c>
      <c r="NV28" s="110">
        <f>NU28+BALANCING!NV15</f>
        <v/>
      </c>
      <c r="NW28" s="110">
        <f>NV28+BALANCING!NW15</f>
        <v/>
      </c>
      <c r="NX28" s="110">
        <f>NW28+BALANCING!NX15</f>
        <v/>
      </c>
      <c r="NY28" s="110">
        <f>NX28+BALANCING!NY15</f>
        <v/>
      </c>
      <c r="NZ28" s="110">
        <f>NY28+BALANCING!NZ15</f>
        <v/>
      </c>
      <c r="OA28" s="110">
        <f>NZ28+BALANCING!OA15</f>
        <v/>
      </c>
      <c r="OB28" s="110">
        <f>OA28+BALANCING!OB15</f>
        <v/>
      </c>
      <c r="OC28" s="110">
        <f>OB28+BALANCING!OC15</f>
        <v/>
      </c>
      <c r="OD28" s="110">
        <f>OC28+BALANCING!OD15</f>
        <v/>
      </c>
      <c r="OE28" s="110">
        <f>OD28+BALANCING!OE15</f>
        <v/>
      </c>
      <c r="OF28" s="110">
        <f>OE28+BALANCING!OF15</f>
        <v/>
      </c>
      <c r="OG28" s="110">
        <f>OF28+BALANCING!OG15</f>
        <v/>
      </c>
      <c r="OH28" s="110">
        <f>OG28+BALANCING!OH15</f>
        <v/>
      </c>
      <c r="OI28" s="110">
        <f>OH28+BALANCING!OI15</f>
        <v/>
      </c>
      <c r="OJ28" s="110">
        <f>OI28+BALANCING!OJ15</f>
        <v/>
      </c>
      <c r="OK28" s="110">
        <f>OJ28+BALANCING!OK15</f>
        <v/>
      </c>
      <c r="OL28" s="110">
        <f>OK28+BALANCING!OL15</f>
        <v/>
      </c>
      <c r="OM28" s="110">
        <f>OL28+BALANCING!OM15</f>
        <v/>
      </c>
      <c r="ON28" s="110">
        <f>OM28+BALANCING!ON15</f>
        <v/>
      </c>
      <c r="OO28" s="110">
        <f>ON28+BALANCING!OO15</f>
        <v/>
      </c>
      <c r="OP28" s="110">
        <f>OO28+BALANCING!OP15</f>
        <v/>
      </c>
      <c r="OQ28" s="110">
        <f>OP28+BALANCING!OQ15</f>
        <v/>
      </c>
      <c r="OR28" s="110">
        <f>OQ28+BALANCING!OR15</f>
        <v/>
      </c>
      <c r="OS28" s="110">
        <f>OR28+BALANCING!OS15</f>
        <v/>
      </c>
      <c r="OT28" s="110">
        <f>OS28+BALANCING!OT15</f>
        <v/>
      </c>
      <c r="OU28" s="110">
        <f>OT28+BALANCING!OU15</f>
        <v/>
      </c>
      <c r="OV28" s="130" t="n"/>
      <c r="OW28" s="110">
        <f>OV28+BALANCING!OW15</f>
        <v/>
      </c>
      <c r="OX28" s="110">
        <f>OW28+BALANCING!OX15</f>
        <v/>
      </c>
      <c r="OY28" s="110">
        <f>OX28+BALANCING!OY15</f>
        <v/>
      </c>
      <c r="OZ28" s="110">
        <f>OY28+BALANCING!OZ15</f>
        <v/>
      </c>
      <c r="PA28" s="110">
        <f>OZ28+BALANCING!PA15</f>
        <v/>
      </c>
      <c r="PB28" s="110">
        <f>PA28+BALANCING!PB15</f>
        <v/>
      </c>
      <c r="PC28" s="110">
        <f>PB28+BALANCING!PC15</f>
        <v/>
      </c>
      <c r="PD28" s="110">
        <f>PC28+BALANCING!PD15</f>
        <v/>
      </c>
      <c r="PE28" s="110">
        <f>PD28+BALANCING!PE15</f>
        <v/>
      </c>
      <c r="PF28" s="110">
        <f>PE28+BALANCING!PF15</f>
        <v/>
      </c>
      <c r="PG28" s="110">
        <f>PF28+BALANCING!PG15</f>
        <v/>
      </c>
      <c r="PH28" s="110">
        <f>PG28+BALANCING!PH15</f>
        <v/>
      </c>
      <c r="PI28" s="110">
        <f>PH28+BALANCING!PI15</f>
        <v/>
      </c>
      <c r="PJ28" s="110">
        <f>PI28+BALANCING!PJ15</f>
        <v/>
      </c>
      <c r="PK28" s="110">
        <f>PJ28+BALANCING!PK15</f>
        <v/>
      </c>
      <c r="PL28" s="110">
        <f>PK28+BALANCING!PL15</f>
        <v/>
      </c>
      <c r="PM28" s="110">
        <f>PL28+BALANCING!PM15</f>
        <v/>
      </c>
      <c r="PN28" s="110">
        <f>PM28+BALANCING!PN15</f>
        <v/>
      </c>
      <c r="PO28" s="110">
        <f>PN28+BALANCING!PO15</f>
        <v/>
      </c>
      <c r="PP28" s="110">
        <f>PO28+BALANCING!PP15</f>
        <v/>
      </c>
      <c r="PQ28" s="110">
        <f>PP28+BALANCING!PQ15</f>
        <v/>
      </c>
      <c r="PR28" s="110">
        <f>PQ28+BALANCING!PR15</f>
        <v/>
      </c>
      <c r="PS28" s="110">
        <f>PR28+BALANCING!PS15</f>
        <v/>
      </c>
      <c r="PT28" s="110">
        <f>PS28+BALANCING!PT15</f>
        <v/>
      </c>
      <c r="PU28" s="110">
        <f>PT28+BALANCING!PU15</f>
        <v/>
      </c>
      <c r="PV28" s="110">
        <f>PU28+BALANCING!PV15</f>
        <v/>
      </c>
      <c r="PW28" s="110">
        <f>PV28+BALANCING!PW15</f>
        <v/>
      </c>
      <c r="PX28" s="110">
        <f>PW28+BALANCING!PX15</f>
        <v/>
      </c>
      <c r="PY28" s="110">
        <f>PX28+BALANCING!PY15</f>
        <v/>
      </c>
      <c r="PZ28" s="110">
        <f>PY28+BALANCING!PZ15</f>
        <v/>
      </c>
      <c r="QA28" s="130" t="n"/>
      <c r="QB28" s="110">
        <f>QA28+BALANCING!QB15</f>
        <v/>
      </c>
      <c r="QC28" s="110">
        <f>QB28+BALANCING!QC15</f>
        <v/>
      </c>
      <c r="QD28" s="110">
        <f>QC28+BALANCING!QD15</f>
        <v/>
      </c>
      <c r="QE28" s="110">
        <f>QD28+BALANCING!QE15</f>
        <v/>
      </c>
      <c r="QF28" s="110">
        <f>QE28+BALANCING!QF15</f>
        <v/>
      </c>
      <c r="QG28" s="110">
        <f>QF28+BALANCING!QG15</f>
        <v/>
      </c>
      <c r="QH28" s="110">
        <f>QG28+BALANCING!QH15</f>
        <v/>
      </c>
      <c r="QI28" s="110">
        <f>QH28+BALANCING!QI15</f>
        <v/>
      </c>
      <c r="QJ28" s="110">
        <f>QI28+BALANCING!QJ15</f>
        <v/>
      </c>
      <c r="QK28" s="110">
        <f>QJ28+BALANCING!QK15</f>
        <v/>
      </c>
      <c r="QL28" s="110">
        <f>QK28+BALANCING!QL15</f>
        <v/>
      </c>
      <c r="QM28" s="110">
        <f>QL28+BALANCING!QM15</f>
        <v/>
      </c>
      <c r="QN28" s="110">
        <f>QM28+BALANCING!QN15</f>
        <v/>
      </c>
      <c r="QO28" s="110">
        <f>QN28+BALANCING!QO15</f>
        <v/>
      </c>
      <c r="QP28" s="110">
        <f>QO28+BALANCING!QP15</f>
        <v/>
      </c>
      <c r="QQ28" s="110">
        <f>QP28+BALANCING!QQ15</f>
        <v/>
      </c>
      <c r="QR28" s="110">
        <f>QQ28+BALANCING!QR15</f>
        <v/>
      </c>
      <c r="QS28" s="110">
        <f>QR28+BALANCING!QS15</f>
        <v/>
      </c>
      <c r="QT28" s="110">
        <f>QS28+BALANCING!QT15</f>
        <v/>
      </c>
      <c r="QU28" s="110">
        <f>QT28+BALANCING!QU15</f>
        <v/>
      </c>
      <c r="QV28" s="110">
        <f>QU28+BALANCING!QV15</f>
        <v/>
      </c>
      <c r="QW28" s="110">
        <f>QV28+BALANCING!QW15</f>
        <v/>
      </c>
      <c r="QX28" s="110">
        <f>QW28+BALANCING!QX15</f>
        <v/>
      </c>
      <c r="QY28" s="110">
        <f>QX28+BALANCING!QY15</f>
        <v/>
      </c>
      <c r="QZ28" s="110">
        <f>QY28+BALANCING!QZ15</f>
        <v/>
      </c>
      <c r="RA28" s="110">
        <f>QZ28+BALANCING!RA15</f>
        <v/>
      </c>
      <c r="RB28" s="110">
        <f>RA28+BALANCING!RB15</f>
        <v/>
      </c>
      <c r="RC28" s="110">
        <f>RB28+BALANCING!RC15</f>
        <v/>
      </c>
      <c r="RD28" s="110">
        <f>RC28+BALANCING!RD15</f>
        <v/>
      </c>
      <c r="RE28" s="110">
        <f>RD28+BALANCING!RE15</f>
        <v/>
      </c>
      <c r="RF28" s="110">
        <f>RE28+BALANCING!RF15</f>
        <v/>
      </c>
      <c r="RG28" s="130" t="n"/>
      <c r="RH28" s="110">
        <f>RG28+BALANCING!RH15</f>
        <v/>
      </c>
      <c r="RI28" s="110">
        <f>RH28+BALANCING!RI15</f>
        <v/>
      </c>
      <c r="RJ28" s="110">
        <f>RI28+BALANCING!RJ15</f>
        <v/>
      </c>
      <c r="RK28" s="110">
        <f>RJ28+BALANCING!RK15</f>
        <v/>
      </c>
      <c r="RL28" s="110">
        <f>RK28+BALANCING!RL15</f>
        <v/>
      </c>
      <c r="RM28" s="110">
        <f>RL28+BALANCING!RM15</f>
        <v/>
      </c>
      <c r="RN28" s="110">
        <f>RM28+BALANCING!RN15</f>
        <v/>
      </c>
      <c r="RO28" s="110">
        <f>RN28+BALANCING!RO15</f>
        <v/>
      </c>
      <c r="RP28" s="110">
        <f>RO28+BALANCING!RP15</f>
        <v/>
      </c>
      <c r="RQ28" s="110">
        <f>RP28+BALANCING!RQ15</f>
        <v/>
      </c>
      <c r="RR28" s="110">
        <f>RQ28+BALANCING!RR15</f>
        <v/>
      </c>
      <c r="RS28" s="110">
        <f>RR28+BALANCING!RS15</f>
        <v/>
      </c>
      <c r="RT28" s="110">
        <f>RS28+BALANCING!RT15</f>
        <v/>
      </c>
      <c r="RU28" s="110">
        <f>RT28+BALANCING!RU15</f>
        <v/>
      </c>
      <c r="RV28" s="110">
        <f>RU28+BALANCING!RV15</f>
        <v/>
      </c>
      <c r="RW28" s="110">
        <f>RV28+BALANCING!RW15</f>
        <v/>
      </c>
      <c r="RX28" s="110">
        <f>RW28+BALANCING!RX15</f>
        <v/>
      </c>
      <c r="RY28" s="110">
        <f>RX28+BALANCING!RY15</f>
        <v/>
      </c>
      <c r="RZ28" s="110">
        <f>RY28+BALANCING!RZ15</f>
        <v/>
      </c>
      <c r="SA28" s="110">
        <f>RZ28+BALANCING!SA15</f>
        <v/>
      </c>
      <c r="SB28" s="110">
        <f>SA28+BALANCING!SB15</f>
        <v/>
      </c>
      <c r="SC28" s="110">
        <f>SB28+BALANCING!SC15</f>
        <v/>
      </c>
      <c r="SD28" s="110">
        <f>SC28+BALANCING!SD15</f>
        <v/>
      </c>
      <c r="SE28" s="110">
        <f>SD28+BALANCING!SE15</f>
        <v/>
      </c>
      <c r="SF28" s="110">
        <f>SE28+BALANCING!SF15</f>
        <v/>
      </c>
      <c r="SG28" s="110">
        <f>SF28+BALANCING!SG15</f>
        <v/>
      </c>
      <c r="SH28" s="110">
        <f>SG28+BALANCING!SH15</f>
        <v/>
      </c>
      <c r="SI28" s="110">
        <f>SH28+BALANCING!SI15</f>
        <v/>
      </c>
      <c r="SJ28" s="110">
        <f>SI28+BALANCING!SJ15</f>
        <v/>
      </c>
      <c r="SK28" s="110">
        <f>SJ28+BALANCING!SK15</f>
        <v/>
      </c>
      <c r="SL28" s="130" t="n"/>
      <c r="SM28" s="110">
        <f>SL28+BALANCING!SM15</f>
        <v/>
      </c>
      <c r="SN28" s="110">
        <f>SM28+BALANCING!SN15</f>
        <v/>
      </c>
      <c r="SO28" s="110">
        <f>SN28+BALANCING!SO15</f>
        <v/>
      </c>
      <c r="SP28" s="110">
        <f>SO28+BALANCING!SP15</f>
        <v/>
      </c>
      <c r="SQ28" s="110">
        <f>SP28+BALANCING!SQ15</f>
        <v/>
      </c>
      <c r="SR28" s="110">
        <f>SQ28+BALANCING!SR15</f>
        <v/>
      </c>
      <c r="SS28" s="110">
        <f>SR28+BALANCING!SS15</f>
        <v/>
      </c>
      <c r="ST28" s="110">
        <f>SS28+BALANCING!ST15</f>
        <v/>
      </c>
      <c r="SU28" s="110">
        <f>ST28+BALANCING!SU15</f>
        <v/>
      </c>
      <c r="SV28" s="110">
        <f>SU28+BALANCING!SV15</f>
        <v/>
      </c>
      <c r="SW28" s="110">
        <f>SV28+BALANCING!SW15</f>
        <v/>
      </c>
      <c r="SX28" s="110">
        <f>SW28+BALANCING!SX15</f>
        <v/>
      </c>
      <c r="SY28" s="110">
        <f>SX28+BALANCING!SY15</f>
        <v/>
      </c>
      <c r="SZ28" s="110">
        <f>SY28+BALANCING!SZ15</f>
        <v/>
      </c>
      <c r="TA28" s="110">
        <f>SZ28+BALANCING!TA15</f>
        <v/>
      </c>
      <c r="TB28" s="110">
        <f>TA28+BALANCING!TB15</f>
        <v/>
      </c>
      <c r="TC28" s="110">
        <f>TB28+BALANCING!TC15</f>
        <v/>
      </c>
      <c r="TD28" s="110">
        <f>TC28+BALANCING!TD15</f>
        <v/>
      </c>
      <c r="TE28" s="110">
        <f>TD28+BALANCING!TE15</f>
        <v/>
      </c>
      <c r="TF28" s="110">
        <f>TE28+BALANCING!TF15</f>
        <v/>
      </c>
      <c r="TG28" s="110">
        <f>TF28+BALANCING!TG15</f>
        <v/>
      </c>
      <c r="TH28" s="110">
        <f>TG28+BALANCING!TH15</f>
        <v/>
      </c>
      <c r="TI28" s="110">
        <f>TH28+BALANCING!TI15</f>
        <v/>
      </c>
      <c r="TJ28" s="110">
        <f>TI28+BALANCING!TJ15</f>
        <v/>
      </c>
      <c r="TK28" s="110">
        <f>TJ28+BALANCING!TK15</f>
        <v/>
      </c>
      <c r="TL28" s="110">
        <f>TK28+BALANCING!TL15</f>
        <v/>
      </c>
      <c r="TM28" s="110">
        <f>TL28+BALANCING!TM15</f>
        <v/>
      </c>
      <c r="TN28" s="110">
        <f>TM28+BALANCING!TN15</f>
        <v/>
      </c>
      <c r="TO28" s="110">
        <f>TN28+BALANCING!TO15</f>
        <v/>
      </c>
      <c r="TP28" s="110">
        <f>TO28+BALANCING!TP15</f>
        <v/>
      </c>
      <c r="TQ28" s="110">
        <f>TP28+BALANCING!TQ15</f>
        <v/>
      </c>
      <c r="TR28" s="130" t="n"/>
      <c r="TS28" s="110">
        <f>TR28+BALANCING!TS15</f>
        <v/>
      </c>
      <c r="TT28" s="110">
        <f>TS28+BALANCING!TT15</f>
        <v/>
      </c>
      <c r="TU28" s="110">
        <f>TT28+BALANCING!TU15</f>
        <v/>
      </c>
      <c r="TV28" s="110">
        <f>TU28+BALANCING!TV15</f>
        <v/>
      </c>
      <c r="TW28" s="110">
        <f>TV28+BALANCING!TW15</f>
        <v/>
      </c>
      <c r="TX28" s="110">
        <f>TW28+BALANCING!TX15</f>
        <v/>
      </c>
      <c r="TY28" s="110">
        <f>TX28+BALANCING!TY15</f>
        <v/>
      </c>
      <c r="TZ28" s="110">
        <f>TY28+BALANCING!TZ15</f>
        <v/>
      </c>
      <c r="UA28" s="110">
        <f>TZ28+BALANCING!UA15</f>
        <v/>
      </c>
      <c r="UB28" s="110">
        <f>UA28+BALANCING!UB15</f>
        <v/>
      </c>
      <c r="UC28" s="110">
        <f>UB28+BALANCING!UC15</f>
        <v/>
      </c>
      <c r="UD28" s="110">
        <f>UC28+BALANCING!UD15</f>
        <v/>
      </c>
      <c r="UE28" s="110">
        <f>UD28+BALANCING!UE15</f>
        <v/>
      </c>
      <c r="UF28" s="110">
        <f>UE28+BALANCING!UF15</f>
        <v/>
      </c>
      <c r="UG28" s="110">
        <f>UF28+BALANCING!UG15</f>
        <v/>
      </c>
      <c r="UH28" s="110">
        <f>UG28+BALANCING!UH15</f>
        <v/>
      </c>
      <c r="UI28" s="110">
        <f>UH28+BALANCING!UI15</f>
        <v/>
      </c>
      <c r="UJ28" s="110">
        <f>UI28+BALANCING!UJ15</f>
        <v/>
      </c>
      <c r="UK28" s="110">
        <f>UJ28+BALANCING!UK15</f>
        <v/>
      </c>
      <c r="UL28" s="110">
        <f>UK28+BALANCING!UL15</f>
        <v/>
      </c>
      <c r="UM28" s="110">
        <f>UL28+BALANCING!UM15</f>
        <v/>
      </c>
      <c r="UN28" s="110">
        <f>UM28+BALANCING!UN15</f>
        <v/>
      </c>
      <c r="UO28" s="110">
        <f>UN28+BALANCING!UO15</f>
        <v/>
      </c>
      <c r="UP28" s="110">
        <f>UO28+BALANCING!UP15</f>
        <v/>
      </c>
      <c r="UQ28" s="110">
        <f>UP28+BALANCING!UQ15</f>
        <v/>
      </c>
      <c r="UR28" s="110">
        <f>UQ28+BALANCING!UR15</f>
        <v/>
      </c>
      <c r="US28" s="110">
        <f>UR28+BALANCING!US15</f>
        <v/>
      </c>
      <c r="UT28" s="110">
        <f>US28+BALANCING!UT15</f>
        <v/>
      </c>
      <c r="UU28" s="110">
        <f>UT28+BALANCING!UU15</f>
        <v/>
      </c>
      <c r="UV28" s="110">
        <f>UU28+BALANCING!UV15</f>
        <v/>
      </c>
      <c r="UW28" s="110">
        <f>UV28+BALANCING!UW15</f>
        <v/>
      </c>
      <c r="UX28" s="130" t="n"/>
      <c r="UY28" s="110">
        <f>UX28+BALANCING!UY15</f>
        <v/>
      </c>
      <c r="UZ28" s="110">
        <f>UY28+BALANCING!UZ15</f>
        <v/>
      </c>
      <c r="VA28" s="110">
        <f>UZ28+BALANCING!VA15</f>
        <v/>
      </c>
      <c r="VB28" s="110">
        <f>VA28+BALANCING!VB15</f>
        <v/>
      </c>
      <c r="VC28" s="110">
        <f>VB28+BALANCING!VC15</f>
        <v/>
      </c>
      <c r="VD28" s="110">
        <f>VC28+BALANCING!VD15</f>
        <v/>
      </c>
      <c r="VE28" s="110">
        <f>VD28+BALANCING!VE15</f>
        <v/>
      </c>
      <c r="VF28" s="110">
        <f>VE28+BALANCING!VF15</f>
        <v/>
      </c>
      <c r="VG28" s="110">
        <f>VF28+BALANCING!VG15</f>
        <v/>
      </c>
      <c r="VH28" s="110">
        <f>VG28+BALANCING!VH15</f>
        <v/>
      </c>
      <c r="VI28" s="110">
        <f>VH28+BALANCING!VI15</f>
        <v/>
      </c>
      <c r="VJ28" s="110">
        <f>VI28+BALANCING!VJ15</f>
        <v/>
      </c>
      <c r="VK28" s="110">
        <f>VJ28+BALANCING!VK15</f>
        <v/>
      </c>
      <c r="VL28" s="110">
        <f>VK28+BALANCING!VL15</f>
        <v/>
      </c>
      <c r="VM28" s="110">
        <f>VL28+BALANCING!VM15</f>
        <v/>
      </c>
      <c r="VN28" s="110">
        <f>VM28+BALANCING!VN15</f>
        <v/>
      </c>
      <c r="VO28" s="110">
        <f>VN28+BALANCING!VO15</f>
        <v/>
      </c>
      <c r="VP28" s="110">
        <f>VO28+BALANCING!VP15</f>
        <v/>
      </c>
      <c r="VQ28" s="110">
        <f>VP28+BALANCING!VQ15</f>
        <v/>
      </c>
      <c r="VR28" s="110">
        <f>VQ28+BALANCING!VR15</f>
        <v/>
      </c>
      <c r="VS28" s="110">
        <f>VR28+BALANCING!VS15</f>
        <v/>
      </c>
      <c r="VT28" s="110">
        <f>VS28+BALANCING!VT15</f>
        <v/>
      </c>
      <c r="VU28" s="110">
        <f>VT28+BALANCING!VU15</f>
        <v/>
      </c>
      <c r="VV28" s="110">
        <f>VU28+BALANCING!VV15</f>
        <v/>
      </c>
      <c r="VW28" s="110">
        <f>VV28+BALANCING!VW15</f>
        <v/>
      </c>
      <c r="VX28" s="110">
        <f>VW28+BALANCING!VX15</f>
        <v/>
      </c>
      <c r="VY28" s="110">
        <f>VX28+BALANCING!VY15</f>
        <v/>
      </c>
      <c r="VZ28" s="110">
        <f>VY28+BALANCING!VZ15</f>
        <v/>
      </c>
      <c r="WA28" s="133" t="n"/>
      <c r="WB28" s="110">
        <f>WA28+BALANCING!WB15</f>
        <v/>
      </c>
      <c r="WC28" s="110">
        <f>WB28+BALANCING!WC15</f>
        <v/>
      </c>
      <c r="WD28" s="110">
        <f>WC28+BALANCING!WD15</f>
        <v/>
      </c>
      <c r="WE28" s="110">
        <f>WD28+BALANCING!WE15</f>
        <v/>
      </c>
      <c r="WF28" s="110">
        <f>WE28+BALANCING!WF15</f>
        <v/>
      </c>
      <c r="WG28" s="110">
        <f>WF28+BALANCING!WG15</f>
        <v/>
      </c>
      <c r="WH28" s="110">
        <f>WG28+BALANCING!WH15</f>
        <v/>
      </c>
      <c r="WI28" s="110">
        <f>WH28+BALANCING!WI15</f>
        <v/>
      </c>
      <c r="WJ28" s="110">
        <f>WI28+BALANCING!WJ15</f>
        <v/>
      </c>
      <c r="WK28" s="110">
        <f>WJ28+BALANCING!WK15</f>
        <v/>
      </c>
      <c r="WL28" s="110">
        <f>WK28+BALANCING!WL15</f>
        <v/>
      </c>
      <c r="WM28" s="110">
        <f>WL28+BALANCING!WM15</f>
        <v/>
      </c>
      <c r="WN28" s="110">
        <f>WM28+BALANCING!WN15</f>
        <v/>
      </c>
      <c r="WO28" s="110">
        <f>WN28+BALANCING!WO15</f>
        <v/>
      </c>
      <c r="WP28" s="110">
        <f>WO28+BALANCING!WP15</f>
        <v/>
      </c>
      <c r="WQ28" s="110">
        <f>WP28+BALANCING!WQ15</f>
        <v/>
      </c>
      <c r="WR28" s="110">
        <f>WQ28+BALANCING!WR15</f>
        <v/>
      </c>
      <c r="WS28" s="110">
        <f>WR28+BALANCING!WS15</f>
        <v/>
      </c>
      <c r="WT28" s="110">
        <f>WS28+BALANCING!WT15</f>
        <v/>
      </c>
      <c r="WU28" s="110">
        <f>WT28+BALANCING!WU15</f>
        <v/>
      </c>
      <c r="WV28" s="110">
        <f>WU28+BALANCING!WV15</f>
        <v/>
      </c>
      <c r="WW28" s="110">
        <f>WV28+BALANCING!WW15</f>
        <v/>
      </c>
      <c r="WX28" s="110">
        <f>WW28+BALANCING!WX15</f>
        <v/>
      </c>
      <c r="WY28" s="110">
        <f>WX28+BALANCING!WY15</f>
        <v/>
      </c>
      <c r="WZ28" s="110">
        <f>WY28+BALANCING!WZ15</f>
        <v/>
      </c>
      <c r="XA28" s="110">
        <f>WZ28+BALANCING!XA15</f>
        <v/>
      </c>
      <c r="XB28" s="110">
        <f>XA28+BALANCING!XB15</f>
        <v/>
      </c>
      <c r="XC28" s="110">
        <f>XB28+BALANCING!XC15</f>
        <v/>
      </c>
      <c r="XD28" s="110">
        <f>XC28+BALANCING!XD15</f>
        <v/>
      </c>
      <c r="XE28" s="110">
        <f>XD28+BALANCING!XE15</f>
        <v/>
      </c>
      <c r="XF28" s="110">
        <f>XE28+BALANCING!XF15</f>
        <v/>
      </c>
      <c r="XG28" s="133" t="n"/>
      <c r="XH28" s="110">
        <f>XG28+BALANCING!XH15</f>
        <v/>
      </c>
      <c r="XI28" s="110">
        <f>XH28+BALANCING!XI15</f>
        <v/>
      </c>
      <c r="XJ28" s="110">
        <f>XI28+BALANCING!XJ15</f>
        <v/>
      </c>
      <c r="XK28" s="110">
        <f>XJ28+BALANCING!XK15</f>
        <v/>
      </c>
      <c r="XL28" s="110">
        <f>XK28+BALANCING!XL15</f>
        <v/>
      </c>
      <c r="XM28" s="110">
        <f>XL28+BALANCING!XM15</f>
        <v/>
      </c>
      <c r="XN28" s="110">
        <f>XM28+BALANCING!XN15</f>
        <v/>
      </c>
      <c r="XO28" s="110">
        <f>XN28+BALANCING!XO15</f>
        <v/>
      </c>
      <c r="XP28" s="110">
        <f>XO28+BALANCING!XP15</f>
        <v/>
      </c>
      <c r="XQ28" s="110">
        <f>XP28+BALANCING!XQ15</f>
        <v/>
      </c>
      <c r="XR28" s="110">
        <f>XQ28+BALANCING!XR15</f>
        <v/>
      </c>
      <c r="XS28" s="110">
        <f>XR28+BALANCING!XS15</f>
        <v/>
      </c>
      <c r="XT28" s="110">
        <f>XS28+BALANCING!XT15</f>
        <v/>
      </c>
      <c r="XU28" s="110">
        <f>XT28+BALANCING!XU15</f>
        <v/>
      </c>
      <c r="XV28" s="110">
        <f>XU28+BALANCING!XV15</f>
        <v/>
      </c>
      <c r="XW28" s="110">
        <f>XV28+BALANCING!XW15</f>
        <v/>
      </c>
      <c r="XX28" s="110">
        <f>XW28+BALANCING!XX15</f>
        <v/>
      </c>
      <c r="XY28" s="110">
        <f>XX28+BALANCING!XY15</f>
        <v/>
      </c>
      <c r="XZ28" s="110">
        <f>XY28+BALANCING!XZ15</f>
        <v/>
      </c>
      <c r="YA28" s="110">
        <f>XZ28+BALANCING!YA15</f>
        <v/>
      </c>
      <c r="YB28" s="110">
        <f>YA28+BALANCING!YB15</f>
        <v/>
      </c>
      <c r="YC28" s="110">
        <f>YB28+BALANCING!YC15</f>
        <v/>
      </c>
      <c r="YD28" s="110">
        <f>YC28+BALANCING!YD15</f>
        <v/>
      </c>
      <c r="YE28" s="110">
        <f>YD28+BALANCING!YE15</f>
        <v/>
      </c>
      <c r="YF28" s="110">
        <f>YE28+BALANCING!YF15</f>
        <v/>
      </c>
      <c r="YG28" s="110">
        <f>YF28+BALANCING!YG15</f>
        <v/>
      </c>
      <c r="YH28" s="110">
        <f>YG28+BALANCING!YH15</f>
        <v/>
      </c>
      <c r="YI28" s="110">
        <f>YH28+BALANCING!YI15</f>
        <v/>
      </c>
      <c r="YJ28" s="110">
        <f>YI28+BALANCING!YJ15</f>
        <v/>
      </c>
      <c r="YK28" s="110">
        <f>YJ28+BALANCING!YK15</f>
        <v/>
      </c>
      <c r="YL28" s="130" t="n"/>
      <c r="YM28" s="110">
        <f>YL28+BALANCING!YM15</f>
        <v/>
      </c>
      <c r="YN28" s="110">
        <f>YM28+BALANCING!YN15</f>
        <v/>
      </c>
      <c r="YO28" s="110">
        <f>YN28+BALANCING!YO15</f>
        <v/>
      </c>
      <c r="YP28" s="110">
        <f>YO28+BALANCING!YP15</f>
        <v/>
      </c>
      <c r="YQ28" s="110">
        <f>YP28+BALANCING!YQ15</f>
        <v/>
      </c>
      <c r="YR28" s="110">
        <f>YQ28+BALANCING!YR15</f>
        <v/>
      </c>
      <c r="YS28" s="110">
        <f>YR28+BALANCING!YS15</f>
        <v/>
      </c>
      <c r="YT28" s="110">
        <f>YS28+BALANCING!YT15</f>
        <v/>
      </c>
      <c r="YU28" s="110">
        <f>YT28+BALANCING!YU15</f>
        <v/>
      </c>
      <c r="YV28" s="110">
        <f>YU28+BALANCING!YV15</f>
        <v/>
      </c>
      <c r="YW28" s="110">
        <f>YV28+BALANCING!YW15</f>
        <v/>
      </c>
      <c r="YX28" s="110">
        <f>YW28+BALANCING!YX15</f>
        <v/>
      </c>
      <c r="YY28" s="110">
        <f>YX28+BALANCING!YY15</f>
        <v/>
      </c>
      <c r="YZ28" s="110">
        <f>YY28+BALANCING!YZ15</f>
        <v/>
      </c>
      <c r="ZA28" s="110">
        <f>YZ28+BALANCING!ZA15</f>
        <v/>
      </c>
      <c r="ZB28" s="110">
        <f>ZA28+BALANCING!ZB15</f>
        <v/>
      </c>
      <c r="ZC28" s="110">
        <f>ZB28+BALANCING!ZC15</f>
        <v/>
      </c>
      <c r="ZD28" s="110">
        <f>ZC28+BALANCING!ZD15</f>
        <v/>
      </c>
      <c r="ZE28" s="110">
        <f>ZD28+BALANCING!ZE15</f>
        <v/>
      </c>
      <c r="ZF28" s="110">
        <f>ZE28+BALANCING!ZF15</f>
        <v/>
      </c>
      <c r="ZG28" s="110">
        <f>ZF28+BALANCING!ZG15</f>
        <v/>
      </c>
      <c r="ZH28" s="110">
        <f>ZG28+BALANCING!ZH15</f>
        <v/>
      </c>
      <c r="ZI28" s="110">
        <f>ZH28+BALANCING!ZI15</f>
        <v/>
      </c>
      <c r="ZJ28" s="110">
        <f>ZI28+BALANCING!ZJ15</f>
        <v/>
      </c>
      <c r="ZK28" s="110">
        <f>ZJ28+BALANCING!ZK15</f>
        <v/>
      </c>
      <c r="ZL28" s="110">
        <f>ZK28+BALANCING!ZL15</f>
        <v/>
      </c>
      <c r="ZM28" s="110">
        <f>ZL28+BALANCING!ZM15</f>
        <v/>
      </c>
      <c r="ZN28" s="110">
        <f>ZM28+BALANCING!ZN15</f>
        <v/>
      </c>
      <c r="ZO28" s="110">
        <f>ZN28+BALANCING!ZO15</f>
        <v/>
      </c>
      <c r="ZP28" s="110">
        <f>ZO28+BALANCING!ZP15</f>
        <v/>
      </c>
      <c r="ZQ28" s="110">
        <f>ZP28+BALANCING!ZQ15</f>
        <v/>
      </c>
      <c r="ZR28" s="130" t="n"/>
      <c r="ZS28" s="110">
        <f>ZR28+BALANCING!ZS15</f>
        <v/>
      </c>
      <c r="ZT28" s="110">
        <f>ZS28+BALANCING!ZT15</f>
        <v/>
      </c>
      <c r="ZU28" s="110">
        <f>ZT28+BALANCING!ZU15</f>
        <v/>
      </c>
      <c r="ZV28" s="110">
        <f>ZU28+BALANCING!ZV15</f>
        <v/>
      </c>
      <c r="ZW28" s="110">
        <f>ZV28+BALANCING!ZW15</f>
        <v/>
      </c>
      <c r="ZX28" s="110">
        <f>ZW28+BALANCING!ZX15</f>
        <v/>
      </c>
      <c r="ZY28" s="110">
        <f>ZX28+BALANCING!ZY15</f>
        <v/>
      </c>
      <c r="ZZ28" s="110">
        <f>ZY28+BALANCING!ZZ15</f>
        <v/>
      </c>
      <c r="AAA28" s="110">
        <f>ZZ28+BALANCING!AAA15</f>
        <v/>
      </c>
      <c r="AAB28" s="110">
        <f>AAA28+BALANCING!AAB15</f>
        <v/>
      </c>
      <c r="AAC28" s="110">
        <f>AAB28+BALANCING!AAC15</f>
        <v/>
      </c>
      <c r="AAD28" s="110">
        <f>AAC28+BALANCING!AAD15</f>
        <v/>
      </c>
      <c r="AAE28" s="110">
        <f>AAD28+BALANCING!AAE15</f>
        <v/>
      </c>
      <c r="AAF28" s="110">
        <f>AAE28+BALANCING!AAF15</f>
        <v/>
      </c>
      <c r="AAG28" s="110">
        <f>AAF28+BALANCING!AAG15</f>
        <v/>
      </c>
      <c r="AAH28" s="110">
        <f>AAG28+BALANCING!AAH15</f>
        <v/>
      </c>
      <c r="AAI28" s="110">
        <f>AAH28+BALANCING!AAI15</f>
        <v/>
      </c>
      <c r="AAJ28" s="110">
        <f>AAI28+BALANCING!AAJ15</f>
        <v/>
      </c>
      <c r="AAK28" s="110">
        <f>AAJ28+BALANCING!AAK15</f>
        <v/>
      </c>
      <c r="AAL28" s="110">
        <f>AAK28+BALANCING!AAL15</f>
        <v/>
      </c>
      <c r="AAM28" s="110">
        <f>AAL28+BALANCING!AAM15</f>
        <v/>
      </c>
      <c r="AAN28" s="110">
        <f>AAM28+BALANCING!AAN15</f>
        <v/>
      </c>
      <c r="AAO28" s="110">
        <f>AAN28+BALANCING!AAO15</f>
        <v/>
      </c>
      <c r="AAP28" s="110">
        <f>AAO28+BALANCING!AAP15</f>
        <v/>
      </c>
      <c r="AAQ28" s="110">
        <f>AAP28+BALANCING!AAQ15</f>
        <v/>
      </c>
      <c r="AAR28" s="110">
        <f>AAQ28+BALANCING!AAR15</f>
        <v/>
      </c>
      <c r="AAS28" s="110">
        <f>AAR28+BALANCING!AAS15</f>
        <v/>
      </c>
      <c r="AAT28" s="110">
        <f>AAS28+BALANCING!AAT15</f>
        <v/>
      </c>
      <c r="AAU28" s="110">
        <f>AAT28+BALANCING!AAU15</f>
        <v/>
      </c>
      <c r="AAV28" s="110">
        <f>AAU28+BALANCING!AAV15</f>
        <v/>
      </c>
      <c r="AAW28" s="130" t="n"/>
      <c r="AAX28" s="110">
        <f>AAW28+BALANCING!AAX15</f>
        <v/>
      </c>
      <c r="AAY28" s="110">
        <f>AAX28+BALANCING!AAY15</f>
        <v/>
      </c>
      <c r="AAZ28" s="110">
        <f>AAY28+BALANCING!AAZ15</f>
        <v/>
      </c>
      <c r="ABA28" s="110">
        <f>AAZ28+BALANCING!ABA15</f>
        <v/>
      </c>
      <c r="ABB28" s="110">
        <f>ABA28+BALANCING!ABB15</f>
        <v/>
      </c>
      <c r="ABC28" s="110">
        <f>ABB28+BALANCING!ABC15</f>
        <v/>
      </c>
      <c r="ABD28" s="110">
        <f>ABC28+BALANCING!ABD15</f>
        <v/>
      </c>
      <c r="ABE28" s="110">
        <f>ABD28+BALANCING!ABE15</f>
        <v/>
      </c>
      <c r="ABF28" s="110">
        <f>ABE28+BALANCING!ABF15</f>
        <v/>
      </c>
      <c r="ABG28" s="110">
        <f>ABF28+BALANCING!ABG15</f>
        <v/>
      </c>
      <c r="ABH28" s="110">
        <f>ABG28+BALANCING!ABH15</f>
        <v/>
      </c>
      <c r="ABI28" s="110">
        <f>ABH28+BALANCING!ABI15</f>
        <v/>
      </c>
      <c r="ABJ28" s="110">
        <f>ABI28+BALANCING!ABJ15</f>
        <v/>
      </c>
      <c r="ABK28" s="110">
        <f>ABJ28+BALANCING!ABK15</f>
        <v/>
      </c>
      <c r="ABL28" s="110">
        <f>ABK28+BALANCING!ABL15</f>
        <v/>
      </c>
      <c r="ABM28" s="110">
        <f>ABL28+BALANCING!ABM15</f>
        <v/>
      </c>
      <c r="ABN28" s="110">
        <f>ABM28+BALANCING!ABN15</f>
        <v/>
      </c>
      <c r="ABO28" s="110">
        <f>ABN28+BALANCING!ABO15</f>
        <v/>
      </c>
      <c r="ABP28" s="110">
        <f>ABO28+BALANCING!ABP15</f>
        <v/>
      </c>
      <c r="ABQ28" s="110">
        <f>ABP28+BALANCING!ABQ15</f>
        <v/>
      </c>
      <c r="ABR28" s="110">
        <f>ABQ28+BALANCING!ABR15</f>
        <v/>
      </c>
      <c r="ABS28" s="110">
        <f>ABR28+BALANCING!ABS15</f>
        <v/>
      </c>
      <c r="ABT28" s="110">
        <f>ABS28+BALANCING!ABT15</f>
        <v/>
      </c>
      <c r="ABU28" s="110">
        <f>ABT28+BALANCING!ABU15</f>
        <v/>
      </c>
      <c r="ABV28" s="110">
        <f>ABU28+BALANCING!ABV15</f>
        <v/>
      </c>
      <c r="ABW28" s="110">
        <f>ABV28+BALANCING!ABW15</f>
        <v/>
      </c>
      <c r="ABX28" s="110">
        <f>ABW28+BALANCING!ABX15</f>
        <v/>
      </c>
      <c r="ABY28" s="110">
        <f>ABX28+BALANCING!ABY15</f>
        <v/>
      </c>
      <c r="ABZ28" s="110">
        <f>ABY28+BALANCING!ABZ15</f>
        <v/>
      </c>
      <c r="ACA28" s="110">
        <f>ABZ28+BALANCING!ACA15</f>
        <v/>
      </c>
      <c r="ACB28" s="110">
        <f>ACA28+BALANCING!ACB15</f>
        <v/>
      </c>
      <c r="ACC28" s="130" t="n"/>
      <c r="ACD28" s="110">
        <f>ACC28+BALANCING!ACD15</f>
        <v/>
      </c>
      <c r="ACE28" s="110">
        <f>ACD28+BALANCING!ACE15</f>
        <v/>
      </c>
      <c r="ACF28" s="110">
        <f>ACE28+BALANCING!ACF15</f>
        <v/>
      </c>
      <c r="ACG28" s="110">
        <f>ACF28+BALANCING!ACG15</f>
        <v/>
      </c>
      <c r="ACH28" s="110">
        <f>ACG28+BALANCING!ACH15</f>
        <v/>
      </c>
      <c r="ACI28" s="110">
        <f>ACH28+BALANCING!ACI15</f>
        <v/>
      </c>
      <c r="ACJ28" s="110">
        <f>ACI28+BALANCING!ACJ15</f>
        <v/>
      </c>
      <c r="ACK28" s="110">
        <f>ACJ28+BALANCING!ACK15</f>
        <v/>
      </c>
      <c r="ACL28" s="110">
        <f>ACK28+BALANCING!ACL15</f>
        <v/>
      </c>
      <c r="ACM28" s="110">
        <f>ACL28+BALANCING!ACM15</f>
        <v/>
      </c>
      <c r="ACN28" s="110">
        <f>ACM28+BALANCING!ACN15</f>
        <v/>
      </c>
      <c r="ACO28" s="110">
        <f>ACN28+BALANCING!ACO15</f>
        <v/>
      </c>
      <c r="ACP28" s="110">
        <f>ACO28+BALANCING!ACP15</f>
        <v/>
      </c>
      <c r="ACQ28" s="110">
        <f>ACP28+BALANCING!ACQ15</f>
        <v/>
      </c>
      <c r="ACR28" s="110">
        <f>ACQ28+BALANCING!ACR15</f>
        <v/>
      </c>
      <c r="ACS28" s="110">
        <f>ACR28+BALANCING!ACS15</f>
        <v/>
      </c>
      <c r="ACT28" s="110">
        <f>ACS28+BALANCING!ACT15</f>
        <v/>
      </c>
      <c r="ACU28" s="110">
        <f>ACT28+BALANCING!ACU15</f>
        <v/>
      </c>
      <c r="ACV28" s="110">
        <f>ACU28+BALANCING!ACV15</f>
        <v/>
      </c>
      <c r="ACW28" s="110">
        <f>ACV28+BALANCING!ACW15</f>
        <v/>
      </c>
      <c r="ACX28" s="110">
        <f>ACW28+BALANCING!ACX15</f>
        <v/>
      </c>
      <c r="ACY28" s="110">
        <f>ACX28+BALANCING!ACY15</f>
        <v/>
      </c>
      <c r="ACZ28" s="110">
        <f>ACY28+BALANCING!ACZ15</f>
        <v/>
      </c>
      <c r="ADA28" s="110">
        <f>ACZ28+BALANCING!ADA15</f>
        <v/>
      </c>
      <c r="ADB28" s="110">
        <f>ADA28+BALANCING!ADB15</f>
        <v/>
      </c>
      <c r="ADC28" s="110">
        <f>ADB28+BALANCING!ADC15</f>
        <v/>
      </c>
      <c r="ADD28" s="110">
        <f>ADC28+BALANCING!ADD15</f>
        <v/>
      </c>
      <c r="ADE28" s="110">
        <f>ADD28+BALANCING!ADE15</f>
        <v/>
      </c>
      <c r="ADF28" s="110">
        <f>ADE28+BALANCING!ADF15</f>
        <v/>
      </c>
      <c r="ADG28" s="110">
        <f>ADF28+BALANCING!ADG15</f>
        <v/>
      </c>
      <c r="ADH28" s="110">
        <f>ADG28+BALANCING!ADH15</f>
        <v/>
      </c>
      <c r="ADI28" s="130" t="n"/>
      <c r="ADJ28" s="110">
        <f>ADI28+BALANCING!ADJ15</f>
        <v/>
      </c>
      <c r="ADK28" s="110">
        <f>ADJ28+BALANCING!ADK15</f>
        <v/>
      </c>
      <c r="ADL28" s="110">
        <f>ADK28+BALANCING!ADL15</f>
        <v/>
      </c>
      <c r="ADM28" s="110">
        <f>ADL28+BALANCING!ADM15</f>
        <v/>
      </c>
      <c r="ADN28" s="110">
        <f>ADM28+BALANCING!ADN15</f>
        <v/>
      </c>
      <c r="ADO28" s="110">
        <f>ADN28+BALANCING!ADO15</f>
        <v/>
      </c>
      <c r="ADP28" s="110">
        <f>ADO28+BALANCING!ADP15</f>
        <v/>
      </c>
      <c r="ADQ28" s="110">
        <f>ADP28+BALANCING!ADQ15</f>
        <v/>
      </c>
      <c r="ADR28" s="110">
        <f>ADQ28+BALANCING!ADR15</f>
        <v/>
      </c>
      <c r="ADS28" s="110">
        <f>ADR28+BALANCING!ADS15</f>
        <v/>
      </c>
      <c r="ADT28" s="110">
        <f>ADS28+BALANCING!ADT15</f>
        <v/>
      </c>
      <c r="ADU28" s="110">
        <f>ADT28+BALANCING!ADU15</f>
        <v/>
      </c>
      <c r="ADV28" s="110">
        <f>ADU28+BALANCING!ADV15</f>
        <v/>
      </c>
      <c r="ADW28" s="110">
        <f>ADV28+BALANCING!ADW15</f>
        <v/>
      </c>
      <c r="ADX28" s="110">
        <f>ADW28+BALANCING!ADX15</f>
        <v/>
      </c>
      <c r="ADY28" s="110">
        <f>ADX28+BALANCING!ADY15</f>
        <v/>
      </c>
      <c r="ADZ28" s="110">
        <f>ADY28+BALANCING!ADZ15</f>
        <v/>
      </c>
      <c r="AEA28" s="110">
        <f>ADZ28+BALANCING!AEA15</f>
        <v/>
      </c>
      <c r="AEB28" s="110">
        <f>AEA28+BALANCING!AEB15</f>
        <v/>
      </c>
      <c r="AEC28" s="110">
        <f>AEB28+BALANCING!AEC15</f>
        <v/>
      </c>
      <c r="AED28" s="110">
        <f>AEC28+BALANCING!AED15</f>
        <v/>
      </c>
      <c r="AEE28" s="110">
        <f>AED28+BALANCING!AEE15</f>
        <v/>
      </c>
      <c r="AEF28" s="110">
        <f>AEE28+BALANCING!AEF15</f>
        <v/>
      </c>
      <c r="AEG28" s="110">
        <f>AEF28+BALANCING!AEG15</f>
        <v/>
      </c>
      <c r="AEH28" s="110">
        <f>AEG28+BALANCING!AEH15</f>
        <v/>
      </c>
      <c r="AEI28" s="110">
        <f>AEH28+BALANCING!AEI15</f>
        <v/>
      </c>
      <c r="AEJ28" s="110">
        <f>AEI28+BALANCING!AEJ15</f>
        <v/>
      </c>
      <c r="AEK28" s="110">
        <f>AEJ28+BALANCING!AEK15</f>
        <v/>
      </c>
      <c r="AEL28" s="110">
        <f>AEK28+BALANCING!AEL15</f>
        <v/>
      </c>
      <c r="AEM28" s="110">
        <f>AEL28+BALANCING!AEM15</f>
        <v/>
      </c>
      <c r="AEN28" s="130" t="n"/>
      <c r="AEO28" s="110">
        <f>AEN28+BALANCING!AEO15</f>
        <v/>
      </c>
      <c r="AEP28" s="110">
        <f>AEO28+BALANCING!AEP15</f>
        <v/>
      </c>
      <c r="AEQ28" s="110">
        <f>AEP28+BALANCING!AEQ15</f>
        <v/>
      </c>
      <c r="AER28" s="110">
        <f>AEQ28+BALANCING!AER15</f>
        <v/>
      </c>
      <c r="AES28" s="110">
        <f>AER28+BALANCING!AES15</f>
        <v/>
      </c>
      <c r="AET28" s="110">
        <f>AES28+BALANCING!AET15</f>
        <v/>
      </c>
      <c r="AEU28" s="110">
        <f>AET28+BALANCING!AEU15</f>
        <v/>
      </c>
      <c r="AEV28" s="110">
        <f>AEU28+BALANCING!AEV15</f>
        <v/>
      </c>
      <c r="AEW28" s="110">
        <f>AEV28+BALANCING!AEW15</f>
        <v/>
      </c>
      <c r="AEX28" s="110">
        <f>AEW28+BALANCING!AEX15</f>
        <v/>
      </c>
      <c r="AEY28" s="110">
        <f>AEX28+BALANCING!AEY15</f>
        <v/>
      </c>
      <c r="AEZ28" s="110">
        <f>AEY28+BALANCING!AEZ15</f>
        <v/>
      </c>
      <c r="AFA28" s="110">
        <f>AEZ28+BALANCING!AFA15</f>
        <v/>
      </c>
      <c r="AFB28" s="110">
        <f>AFA28+BALANCING!AFB15</f>
        <v/>
      </c>
      <c r="AFC28" s="110">
        <f>AFB28+BALANCING!AFC15</f>
        <v/>
      </c>
      <c r="AFD28" s="110">
        <f>AFC28+BALANCING!AFD15</f>
        <v/>
      </c>
      <c r="AFE28" s="110">
        <f>AFD28+BALANCING!AFE15</f>
        <v/>
      </c>
      <c r="AFF28" s="110">
        <f>AFE28+BALANCING!AFF15</f>
        <v/>
      </c>
      <c r="AFG28" s="110">
        <f>AFF28+BALANCING!AFG15</f>
        <v/>
      </c>
      <c r="AFH28" s="110">
        <f>AFG28+BALANCING!AFH15</f>
        <v/>
      </c>
      <c r="AFI28" s="110">
        <f>AFH28+BALANCING!AFI15</f>
        <v/>
      </c>
      <c r="AFJ28" s="110">
        <f>AFI28+BALANCING!AFJ15</f>
        <v/>
      </c>
      <c r="AFK28" s="110">
        <f>AFJ28+BALANCING!AFK15</f>
        <v/>
      </c>
      <c r="AFL28" s="110">
        <f>AFK28+BALANCING!AFL15</f>
        <v/>
      </c>
      <c r="AFM28" s="110">
        <f>AFL28+BALANCING!AFM15</f>
        <v/>
      </c>
      <c r="AFN28" s="110">
        <f>AFM28+BALANCING!AFN15</f>
        <v/>
      </c>
      <c r="AFO28" s="110">
        <f>AFN28+BALANCING!AFO15</f>
        <v/>
      </c>
      <c r="AFP28" s="110">
        <f>AFO28+BALANCING!AFP15</f>
        <v/>
      </c>
      <c r="AFQ28" s="110">
        <f>AFP28+BALANCING!AFQ15</f>
        <v/>
      </c>
      <c r="AFR28" s="110">
        <f>AFQ28+BALANCING!AFR15</f>
        <v/>
      </c>
      <c r="AFS28" s="110">
        <f>AFR28+BALANCING!AFS15</f>
        <v/>
      </c>
      <c r="AFT28" s="130" t="n"/>
      <c r="AFU28" s="110">
        <f>AFT28+BALANCING!AFU15</f>
        <v/>
      </c>
      <c r="AFV28" s="110">
        <f>AFU28+BALANCING!AFV15</f>
        <v/>
      </c>
      <c r="AFW28" s="110">
        <f>AFV28+BALANCING!AFW15</f>
        <v/>
      </c>
      <c r="AFX28" s="110">
        <f>AFW28+BALANCING!AFX15</f>
        <v/>
      </c>
      <c r="AFY28" s="110">
        <f>AFX28+BALANCING!AFY15</f>
        <v/>
      </c>
      <c r="AFZ28" s="110">
        <f>AFY28+BALANCING!AFZ15</f>
        <v/>
      </c>
      <c r="AGA28" s="110">
        <f>AFZ28+BALANCING!AGA15</f>
        <v/>
      </c>
      <c r="AGB28" s="110">
        <f>AGA28+BALANCING!AGB15</f>
        <v/>
      </c>
      <c r="AGC28" s="110">
        <f>AGB28+BALANCING!AGC15</f>
        <v/>
      </c>
      <c r="AGD28" s="110">
        <f>AGC28+BALANCING!AGD15</f>
        <v/>
      </c>
      <c r="AGE28" s="110">
        <f>AGD28+BALANCING!AGE15</f>
        <v/>
      </c>
      <c r="AGF28" s="110">
        <f>AGE28+BALANCING!AGF15</f>
        <v/>
      </c>
      <c r="AGG28" s="110">
        <f>AGF28+BALANCING!AGG15</f>
        <v/>
      </c>
      <c r="AGH28" s="110">
        <f>AGG28+BALANCING!AGH15</f>
        <v/>
      </c>
      <c r="AGI28" s="110">
        <f>AGH28+BALANCING!AGI15</f>
        <v/>
      </c>
      <c r="AGJ28" s="110">
        <f>AGI28+BALANCING!AGJ15</f>
        <v/>
      </c>
      <c r="AGK28" s="110">
        <f>AGJ28+BALANCING!AGK15</f>
        <v/>
      </c>
      <c r="AGL28" s="110">
        <f>AGK28+BALANCING!AGL15</f>
        <v/>
      </c>
      <c r="AGM28" s="110">
        <f>AGL28+BALANCING!AGM15</f>
        <v/>
      </c>
      <c r="AGN28" s="110">
        <f>AGM28+BALANCING!AGN15</f>
        <v/>
      </c>
      <c r="AGO28" s="110">
        <f>AGN28+BALANCING!AGO15</f>
        <v/>
      </c>
      <c r="AGP28" s="110">
        <f>AGO28+BALANCING!AGP15</f>
        <v/>
      </c>
      <c r="AGQ28" s="110">
        <f>AGP28+BALANCING!AGQ15</f>
        <v/>
      </c>
      <c r="AGR28" s="110">
        <f>AGQ28+BALANCING!AGR15</f>
        <v/>
      </c>
      <c r="AGS28" s="110">
        <f>AGR28+BALANCING!AGS15</f>
        <v/>
      </c>
      <c r="AGT28" s="110">
        <f>AGS28+BALANCING!AGT15</f>
        <v/>
      </c>
      <c r="AGU28" s="110">
        <f>AGT28+BALANCING!AGU15</f>
        <v/>
      </c>
      <c r="AGV28" s="110">
        <f>AGU28+BALANCING!AGV15</f>
        <v/>
      </c>
      <c r="AGW28" s="110">
        <f>AGV28+BALANCING!AGW15</f>
        <v/>
      </c>
      <c r="AGX28" s="110">
        <f>AGW28+BALANCING!AGX15</f>
        <v/>
      </c>
      <c r="AGY28" s="133" t="n"/>
      <c r="AGZ28" s="110">
        <f>AGY28+BALANCING!AGZ15</f>
        <v/>
      </c>
      <c r="AHA28" s="110">
        <f>AGZ28+BALANCING!AHA15</f>
        <v/>
      </c>
      <c r="AHB28" s="110">
        <f>AHA28+BALANCING!AHB15</f>
        <v/>
      </c>
      <c r="AHC28" s="110">
        <f>AHB28+BALANCING!AHC15</f>
        <v/>
      </c>
      <c r="AHD28" s="110">
        <f>AHC28+BALANCING!AHD15</f>
        <v/>
      </c>
      <c r="AHE28" s="110">
        <f>AHD28+BALANCING!AHE15</f>
        <v/>
      </c>
      <c r="AHF28" s="110">
        <f>AHE28+BALANCING!AHF15</f>
        <v/>
      </c>
      <c r="AHG28" s="110">
        <f>AHF28+BALANCING!AHG15</f>
        <v/>
      </c>
      <c r="AHH28" s="110">
        <f>AHG28+BALANCING!AHH15</f>
        <v/>
      </c>
      <c r="AHI28" s="110">
        <f>AHH28+BALANCING!AHI15</f>
        <v/>
      </c>
      <c r="AHJ28" s="110">
        <f>AHI28+BALANCING!AHJ15</f>
        <v/>
      </c>
      <c r="AHK28" s="110">
        <f>AHJ28+BALANCING!AHK15</f>
        <v/>
      </c>
      <c r="AHL28" s="110">
        <f>AHK28+BALANCING!AHL15</f>
        <v/>
      </c>
      <c r="AHM28" s="110">
        <f>AHL28+BALANCING!AHM15</f>
        <v/>
      </c>
      <c r="AHN28" s="110">
        <f>AHM28+BALANCING!AHN15</f>
        <v/>
      </c>
      <c r="AHO28" s="110">
        <f>AHN28+BALANCING!AHO15</f>
        <v/>
      </c>
      <c r="AHP28" s="110">
        <f>AHO28+BALANCING!AHP15</f>
        <v/>
      </c>
      <c r="AHQ28" s="110">
        <f>AHP28+BALANCING!AHQ15</f>
        <v/>
      </c>
      <c r="AHR28" s="110">
        <f>AHQ28+BALANCING!AHR15</f>
        <v/>
      </c>
      <c r="AHS28" s="110">
        <f>AHR28+BALANCING!AHS15</f>
        <v/>
      </c>
      <c r="AHT28" s="110">
        <f>AHS28+BALANCING!AHT15</f>
        <v/>
      </c>
      <c r="AHU28" s="110">
        <f>AHT28+BALANCING!AHU15</f>
        <v/>
      </c>
      <c r="AHV28" s="110">
        <f>AHU28+BALANCING!AHV15</f>
        <v/>
      </c>
      <c r="AHW28" s="110">
        <f>AHV28+BALANCING!AHW15</f>
        <v/>
      </c>
      <c r="AHX28" s="110">
        <f>AHW28+BALANCING!AHX15</f>
        <v/>
      </c>
      <c r="AHY28" s="110">
        <f>AHX28+BALANCING!AHY15</f>
        <v/>
      </c>
      <c r="AHZ28" s="110">
        <f>AHY28+BALANCING!AHZ15</f>
        <v/>
      </c>
      <c r="AIA28" s="110">
        <f>AHZ28+BALANCING!AIA15</f>
        <v/>
      </c>
      <c r="AIB28" s="110">
        <f>AIA28+BALANCING!AIB15</f>
        <v/>
      </c>
      <c r="AIC28" s="110">
        <f>AIB28+BALANCING!AIC15</f>
        <v/>
      </c>
      <c r="AID28" s="110">
        <f>AIC28+BALANCING!AID15</f>
        <v/>
      </c>
      <c r="AIE28" s="130" t="n"/>
      <c r="AIF28" s="110">
        <f>AIE28+BALANCING!AIF15</f>
        <v/>
      </c>
      <c r="AIG28" s="110">
        <f>AIF28+BALANCING!AIG15</f>
        <v/>
      </c>
      <c r="AIH28" s="110">
        <f>AIG28+BALANCING!AIH15</f>
        <v/>
      </c>
      <c r="AII28" s="110">
        <f>AIH28+BALANCING!AII15</f>
        <v/>
      </c>
      <c r="AIJ28" s="110">
        <f>AII28+BALANCING!AIJ15</f>
        <v/>
      </c>
      <c r="AIK28" s="110">
        <f>AIJ28+BALANCING!AIK15</f>
        <v/>
      </c>
      <c r="AIL28" s="110">
        <f>AIK28+BALANCING!AIL15</f>
        <v/>
      </c>
      <c r="AIM28" s="110">
        <f>AIL28+BALANCING!AIM15</f>
        <v/>
      </c>
      <c r="AIN28" s="110">
        <f>AIM28+BALANCING!AIN15</f>
        <v/>
      </c>
      <c r="AIO28" s="110">
        <f>AIN28+BALANCING!AIO15</f>
        <v/>
      </c>
      <c r="AIP28" s="110">
        <f>AIO28+BALANCING!AIP15</f>
        <v/>
      </c>
      <c r="AIQ28" s="110">
        <f>AIP28+BALANCING!AIQ15</f>
        <v/>
      </c>
      <c r="AIR28" s="110">
        <f>AIQ28+BALANCING!AIR15</f>
        <v/>
      </c>
      <c r="AIS28" s="110">
        <f>AIR28+BALANCING!AIS15</f>
        <v/>
      </c>
      <c r="AIT28" s="110">
        <f>AIS28+BALANCING!AIT15</f>
        <v/>
      </c>
      <c r="AIU28" s="110">
        <f>AIT28+BALANCING!AIU15</f>
        <v/>
      </c>
      <c r="AIV28" s="110">
        <f>AIU28+BALANCING!AIV15</f>
        <v/>
      </c>
      <c r="AIW28" s="110">
        <f>AIV28+BALANCING!AIW15</f>
        <v/>
      </c>
      <c r="AIX28" s="110">
        <f>AIW28+BALANCING!AIX15</f>
        <v/>
      </c>
      <c r="AIY28" s="110">
        <f>AIX28+BALANCING!AIY15</f>
        <v/>
      </c>
      <c r="AIZ28" s="110">
        <f>AIY28+BALANCING!AIZ15</f>
        <v/>
      </c>
      <c r="AJA28" s="110">
        <f>AIZ28+BALANCING!AJA15</f>
        <v/>
      </c>
      <c r="AJB28" s="110">
        <f>AJA28+BALANCING!AJB15</f>
        <v/>
      </c>
      <c r="AJC28" s="110">
        <f>AJB28+BALANCING!AJC15</f>
        <v/>
      </c>
      <c r="AJD28" s="110">
        <f>AJC28+BALANCING!AJD15</f>
        <v/>
      </c>
      <c r="AJE28" s="110">
        <f>AJD28+BALANCING!AJE15</f>
        <v/>
      </c>
      <c r="AJF28" s="110">
        <f>AJE28+BALANCING!AJF15</f>
        <v/>
      </c>
      <c r="AJG28" s="110">
        <f>AJF28+BALANCING!AJG15</f>
        <v/>
      </c>
      <c r="AJH28" s="110">
        <f>AJG28+BALANCING!AJH15</f>
        <v/>
      </c>
      <c r="AJI28" s="110">
        <f>AJH28+BALANCING!AJI15</f>
        <v/>
      </c>
      <c r="AJJ28" s="110">
        <f>AJI28+BALANCING!AJJ15</f>
        <v/>
      </c>
      <c r="AJK28" s="145" t="n"/>
      <c r="AJL28" s="110">
        <f>AJK28+BALANCING!AJL15</f>
        <v/>
      </c>
      <c r="AJM28" s="110">
        <f>AJL28+BALANCING!AJM15</f>
        <v/>
      </c>
      <c r="AJN28" s="110">
        <f>AJM28+BALANCING!AJN15</f>
        <v/>
      </c>
      <c r="AJO28" s="110">
        <f>AJN28+BALANCING!AJO15</f>
        <v/>
      </c>
      <c r="AJP28" s="110">
        <f>AJO28+BALANCING!AJP15</f>
        <v/>
      </c>
      <c r="AJQ28" s="110">
        <f>AJP28+BALANCING!AJQ15</f>
        <v/>
      </c>
      <c r="AJR28" s="110">
        <f>AJQ28+BALANCING!AJR15</f>
        <v/>
      </c>
      <c r="AJS28" s="110">
        <f>AJR28+BALANCING!AJS15</f>
        <v/>
      </c>
      <c r="AJT28" s="110">
        <f>AJS28+BALANCING!AJT15</f>
        <v/>
      </c>
      <c r="AJU28" s="110">
        <f>AJT28+BALANCING!AJU15</f>
        <v/>
      </c>
      <c r="AJV28" s="110">
        <f>AJU28+BALANCING!AJV15</f>
        <v/>
      </c>
      <c r="AJW28" s="110">
        <f>AJV28+BALANCING!AJW15</f>
        <v/>
      </c>
      <c r="AJX28" s="110">
        <f>AJW28+BALANCING!AJX15</f>
        <v/>
      </c>
      <c r="AJY28" s="110">
        <f>AJX28+BALANCING!AJY15</f>
        <v/>
      </c>
      <c r="AJZ28" s="110">
        <f>AJY28+BALANCING!AJZ15</f>
        <v/>
      </c>
      <c r="AKA28" s="110">
        <f>AJZ28+BALANCING!AKA15</f>
        <v/>
      </c>
      <c r="AKB28" s="110">
        <f>AKA28+BALANCING!AKB15</f>
        <v/>
      </c>
      <c r="AKC28" s="110">
        <f>AKB28+BALANCING!AKC15</f>
        <v/>
      </c>
      <c r="AKD28" s="110">
        <f>AKC28+BALANCING!AKD15</f>
        <v/>
      </c>
      <c r="AKE28" s="110">
        <f>AKD28+BALANCING!AKE15</f>
        <v/>
      </c>
      <c r="AKF28" s="110">
        <f>AKE28+BALANCING!AKF15</f>
        <v/>
      </c>
      <c r="AKG28" s="110">
        <f>AKF28+BALANCING!AKG15</f>
        <v/>
      </c>
      <c r="AKH28" s="110">
        <f>AKG28+BALANCING!AKH15</f>
        <v/>
      </c>
      <c r="AKI28" s="110">
        <f>AKH28+BALANCING!AKI15</f>
        <v/>
      </c>
      <c r="AKJ28" s="110">
        <f>AKI28+BALANCING!AKJ15</f>
        <v/>
      </c>
      <c r="AKK28" s="110">
        <f>AKJ28+BALANCING!AKK15</f>
        <v/>
      </c>
      <c r="AKL28" s="110">
        <f>AKK28+BALANCING!AKL15</f>
        <v/>
      </c>
      <c r="AKM28" s="110">
        <f>AKL28+BALANCING!AKM15</f>
        <v/>
      </c>
      <c r="AKN28" s="112" t="n"/>
      <c r="AKO28" s="110">
        <f>AKN28+BALANCING!AKO15</f>
        <v/>
      </c>
      <c r="AKP28" s="110">
        <f>AKO28+BALANCING!AKP15</f>
        <v/>
      </c>
      <c r="AKQ28" s="110">
        <f>AKP28+BALANCING!AKQ15</f>
        <v/>
      </c>
      <c r="AKR28" s="110">
        <f>AKQ28+BALANCING!AKR15</f>
        <v/>
      </c>
      <c r="AKS28" s="110">
        <f>AKR28+BALANCING!AKS15</f>
        <v/>
      </c>
      <c r="AKT28" s="110">
        <f>AKS28+BALANCING!AKT15</f>
        <v/>
      </c>
      <c r="AKU28" s="110">
        <f>AKT28+BALANCING!AKU15</f>
        <v/>
      </c>
      <c r="AKV28" s="110">
        <f>AKU28+BALANCING!AKV15</f>
        <v/>
      </c>
      <c r="AKW28" s="110">
        <f>AKV28+BALANCING!AKW15</f>
        <v/>
      </c>
      <c r="AKX28" s="110">
        <f>AKW28+BALANCING!AKX15</f>
        <v/>
      </c>
      <c r="AKY28" s="110">
        <f>AKX28+BALANCING!AKY15</f>
        <v/>
      </c>
      <c r="AKZ28" s="110">
        <f>AKY28+BALANCING!AKZ15</f>
        <v/>
      </c>
      <c r="ALA28" s="110">
        <f>AKZ28+BALANCING!ALA15</f>
        <v/>
      </c>
      <c r="ALB28" s="110">
        <f>ALA28+BALANCING!ALB15</f>
        <v/>
      </c>
      <c r="ALC28" s="110">
        <f>ALB28+BALANCING!ALC15</f>
        <v/>
      </c>
      <c r="ALD28" s="110">
        <f>ALC28+BALANCING!ALD15</f>
        <v/>
      </c>
      <c r="ALE28" s="110">
        <f>ALD28+BALANCING!ALE15</f>
        <v/>
      </c>
      <c r="ALF28" s="110">
        <f>ALE28+BALANCING!ALF15</f>
        <v/>
      </c>
      <c r="ALG28" s="110">
        <f>ALF28+BALANCING!ALG15</f>
        <v/>
      </c>
      <c r="ALH28" s="110">
        <f>ALG28+BALANCING!ALH15</f>
        <v/>
      </c>
      <c r="ALI28" s="110">
        <f>ALH28+BALANCING!ALI15</f>
        <v/>
      </c>
      <c r="ALJ28" s="110">
        <f>ALI28+BALANCING!ALJ15</f>
        <v/>
      </c>
      <c r="ALK28" s="110">
        <f>ALJ28+BALANCING!ALK15</f>
        <v/>
      </c>
      <c r="ALL28" s="110">
        <f>ALK28+BALANCING!ALL15</f>
        <v/>
      </c>
      <c r="ALM28" s="110">
        <f>ALL28+BALANCING!ALM15</f>
        <v/>
      </c>
      <c r="ALN28" s="110">
        <f>ALM28+BALANCING!ALN15</f>
        <v/>
      </c>
      <c r="ALO28" s="110">
        <f>ALN28+BALANCING!ALO15</f>
        <v/>
      </c>
      <c r="ALP28" s="110">
        <f>ALO28+BALANCING!ALP15</f>
        <v/>
      </c>
      <c r="ALQ28" s="110">
        <f>ALP28+BALANCING!ALQ15</f>
        <v/>
      </c>
      <c r="ALR28" s="110">
        <f>ALQ28+BALANCING!ALR15</f>
        <v/>
      </c>
      <c r="ALS28" s="110">
        <f>ALR28+BALANCING!ALS15</f>
        <v/>
      </c>
      <c r="ALT28" s="130" t="n"/>
      <c r="ALU28" s="110">
        <f>ALT28+BALANCING!ALU15</f>
        <v/>
      </c>
      <c r="ALV28" s="110">
        <f>ALU28+BALANCING!ALV15</f>
        <v/>
      </c>
      <c r="ALW28" s="110">
        <f>ALV28+BALANCING!ALW15</f>
        <v/>
      </c>
      <c r="ALX28" s="110">
        <f>ALW28+BALANCING!ALX15</f>
        <v/>
      </c>
      <c r="ALY28" s="110">
        <f>ALX28+BALANCING!ALY15</f>
        <v/>
      </c>
      <c r="ALZ28" s="110">
        <f>ALY28+BALANCING!ALZ15</f>
        <v/>
      </c>
      <c r="AMA28" s="110">
        <f>ALZ28+BALANCING!AMA15</f>
        <v/>
      </c>
      <c r="AMB28" s="110">
        <f>AMA28+BALANCING!AMB15</f>
        <v/>
      </c>
      <c r="AMC28" s="110">
        <f>AMB28+BALANCING!AMC15</f>
        <v/>
      </c>
      <c r="AMD28" s="110">
        <f>AMC28+BALANCING!AMD15</f>
        <v/>
      </c>
      <c r="AME28" s="110">
        <f>AMD28+BALANCING!AME15</f>
        <v/>
      </c>
      <c r="AMF28" s="110">
        <f>AME28+BALANCING!AMF15</f>
        <v/>
      </c>
      <c r="AMG28" s="110">
        <f>AMF28+BALANCING!AMG15</f>
        <v/>
      </c>
      <c r="AMH28" s="110">
        <f>AMG28+BALANCING!AMH15</f>
        <v/>
      </c>
      <c r="AMI28" s="110">
        <f>AMH28+BALANCING!AMI15</f>
        <v/>
      </c>
      <c r="AMJ28" s="110">
        <f>AMI28+BALANCING!AMJ15</f>
        <v/>
      </c>
      <c r="AMK28" s="110">
        <f>AMJ28+BALANCING!AMK15</f>
        <v/>
      </c>
      <c r="AML28" s="110">
        <f>AMK28+BALANCING!AML15</f>
        <v/>
      </c>
      <c r="AMM28" s="110">
        <f>AML28+BALANCING!AMM15</f>
        <v/>
      </c>
      <c r="AMN28" s="110">
        <f>AMM28+BALANCING!AMN15</f>
        <v/>
      </c>
      <c r="AMO28" s="110">
        <f>AMN28+BALANCING!AMO15</f>
        <v/>
      </c>
      <c r="AMP28" s="110">
        <f>AMO28+BALANCING!AMP15</f>
        <v/>
      </c>
      <c r="AMQ28" s="110">
        <f>AMP28+BALANCING!AMQ15</f>
        <v/>
      </c>
      <c r="AMR28" s="110">
        <f>AMQ28+BALANCING!AMR15</f>
        <v/>
      </c>
      <c r="AMS28" s="110">
        <f>AMR28+BALANCING!AMS15</f>
        <v/>
      </c>
      <c r="AMT28" s="110">
        <f>AMS28+BALANCING!AMT15</f>
        <v/>
      </c>
      <c r="AMU28" s="110">
        <f>AMT28+BALANCING!AMU15</f>
        <v/>
      </c>
      <c r="AMV28" s="110">
        <f>AMU28+BALANCING!AMV15</f>
        <v/>
      </c>
      <c r="AMW28" s="110">
        <f>AMV28+BALANCING!AMW15</f>
        <v/>
      </c>
      <c r="AMX28" s="110">
        <f>AMW28+BALANCING!AMX15</f>
        <v/>
      </c>
      <c r="AMY28" s="130" t="n"/>
      <c r="AMZ28" s="110">
        <f>AMY28+BALANCING!AMZ15</f>
        <v/>
      </c>
      <c r="ANA28" s="110">
        <f>AMZ28+BALANCING!ANA15</f>
        <v/>
      </c>
      <c r="ANB28" s="110">
        <f>ANA28+BALANCING!ANB15</f>
        <v/>
      </c>
      <c r="ANC28" s="110">
        <f>ANB28+BALANCING!ANC15</f>
        <v/>
      </c>
      <c r="AND28" s="110">
        <f>ANC28+BALANCING!AND15</f>
        <v/>
      </c>
      <c r="ANE28" s="110">
        <f>AND28+BALANCING!ANE15</f>
        <v/>
      </c>
      <c r="ANF28" s="110">
        <f>ANE28+BALANCING!ANF15</f>
        <v/>
      </c>
      <c r="ANG28" s="110">
        <f>ANF28+BALANCING!ANG15</f>
        <v/>
      </c>
      <c r="ANH28" s="110">
        <f>ANG28+BALANCING!ANH15</f>
        <v/>
      </c>
      <c r="ANI28" s="110">
        <f>ANH28+BALANCING!ANI15</f>
        <v/>
      </c>
      <c r="ANJ28" s="110">
        <f>ANI28+BALANCING!ANJ15</f>
        <v/>
      </c>
      <c r="ANK28" s="110">
        <f>ANJ28+BALANCING!ANK15</f>
        <v/>
      </c>
      <c r="ANL28" s="110">
        <f>ANK28+BALANCING!ANL15</f>
        <v/>
      </c>
      <c r="ANM28" s="110">
        <f>ANL28+BALANCING!ANM15</f>
        <v/>
      </c>
      <c r="ANN28" s="110">
        <f>ANM28+BALANCING!ANN15</f>
        <v/>
      </c>
      <c r="ANO28" s="110">
        <f>ANN28+BALANCING!ANO15</f>
        <v/>
      </c>
      <c r="ANP28" s="110">
        <f>ANO28+BALANCING!ANP15</f>
        <v/>
      </c>
      <c r="ANQ28" s="110">
        <f>ANP28+BALANCING!ANQ15</f>
        <v/>
      </c>
      <c r="ANR28" s="110">
        <f>ANQ28+BALANCING!ANR15</f>
        <v/>
      </c>
      <c r="ANS28" s="110">
        <f>ANR28+BALANCING!ANS15</f>
        <v/>
      </c>
      <c r="ANT28" s="110">
        <f>ANS28+BALANCING!ANT15</f>
        <v/>
      </c>
      <c r="ANU28" s="110">
        <f>ANT28+BALANCING!ANU15</f>
        <v/>
      </c>
      <c r="ANV28" s="110">
        <f>ANU28+BALANCING!ANV15</f>
        <v/>
      </c>
      <c r="ANW28" s="110">
        <f>ANV28+BALANCING!ANW15</f>
        <v/>
      </c>
      <c r="ANX28" s="110">
        <f>ANW28+BALANCING!ANX15</f>
        <v/>
      </c>
      <c r="ANY28" s="110">
        <f>ANX28+BALANCING!ANY15</f>
        <v/>
      </c>
      <c r="ANZ28" s="110">
        <f>ANY28+BALANCING!ANZ15</f>
        <v/>
      </c>
      <c r="AOA28" s="110">
        <f>ANZ28+BALANCING!AOA15</f>
        <v/>
      </c>
      <c r="AOB28" s="110">
        <f>AOA28+BALANCING!AOB15</f>
        <v/>
      </c>
      <c r="AOC28" s="110">
        <f>AOB28+BALANCING!AOC15</f>
        <v/>
      </c>
    </row>
    <row r="29">
      <c r="B29" t="inlineStr">
        <is>
          <t xml:space="preserve">Rubis card </t>
        </is>
      </c>
      <c r="C29" s="52">
        <f>BALANCING!C16</f>
        <v/>
      </c>
      <c r="D29" s="52">
        <f>C29+BALANCING!D16</f>
        <v/>
      </c>
      <c r="E29" s="52">
        <f>D29+BALANCING!E16</f>
        <v/>
      </c>
      <c r="F29" s="52">
        <f>E29+BALANCING!F16</f>
        <v/>
      </c>
      <c r="G29" s="52">
        <f>F29+BALANCING!G16</f>
        <v/>
      </c>
      <c r="H29" s="52">
        <f>G29+BALANCING!H16</f>
        <v/>
      </c>
      <c r="I29" s="52">
        <f>H29+BALANCING!I16</f>
        <v/>
      </c>
      <c r="J29" s="52">
        <f>I29+BALANCING!J16</f>
        <v/>
      </c>
      <c r="K29" s="52">
        <f>J29+BALANCING!K16</f>
        <v/>
      </c>
      <c r="L29" s="52">
        <f>K29+BALANCING!L16</f>
        <v/>
      </c>
      <c r="M29" s="52">
        <f>L29+BALANCING!M16</f>
        <v/>
      </c>
      <c r="N29" s="52">
        <f>M29+BALANCING!N16</f>
        <v/>
      </c>
      <c r="O29" s="52">
        <f>N29+BALANCING!O16</f>
        <v/>
      </c>
      <c r="P29" s="52">
        <f>O29+BALANCING!P16</f>
        <v/>
      </c>
      <c r="Q29" s="52">
        <f>P29+BALANCING!Q16</f>
        <v/>
      </c>
      <c r="R29" s="52">
        <f>Q29+BALANCING!R16</f>
        <v/>
      </c>
      <c r="S29" s="52">
        <f>R29+BALANCING!S16</f>
        <v/>
      </c>
      <c r="T29" s="52">
        <f>S29+BALANCING!T16</f>
        <v/>
      </c>
      <c r="U29" s="52">
        <f>T29+BALANCING!U16</f>
        <v/>
      </c>
      <c r="V29" s="52">
        <f>U29+BALANCING!V16</f>
        <v/>
      </c>
      <c r="W29" s="52">
        <f>V29+BALANCING!W16</f>
        <v/>
      </c>
      <c r="X29" s="52">
        <f>W29+BALANCING!X16</f>
        <v/>
      </c>
      <c r="Y29" s="52">
        <f>X29+BALANCING!Y16</f>
        <v/>
      </c>
      <c r="Z29" s="52">
        <f>Y29+BALANCING!Z16</f>
        <v/>
      </c>
      <c r="AA29" s="52">
        <f>Z29+BALANCING!AA16</f>
        <v/>
      </c>
      <c r="AB29" s="52">
        <f>AA29+BALANCING!AB16</f>
        <v/>
      </c>
      <c r="AC29" s="52">
        <f>AB29+BALANCING!AC16</f>
        <v/>
      </c>
      <c r="AD29" s="52">
        <f>AC29+BALANCING!AD16</f>
        <v/>
      </c>
      <c r="AE29" s="52">
        <f>AD29+BALANCING!AE16</f>
        <v/>
      </c>
      <c r="AF29" s="52">
        <f>AE29+BALANCING!AF16</f>
        <v/>
      </c>
      <c r="AG29" s="52">
        <f>AF29+BALANCING!AG16</f>
        <v/>
      </c>
      <c r="AH29" s="98">
        <f>AG29</f>
        <v/>
      </c>
      <c r="AI29" s="82">
        <f>BALANCING!AI16</f>
        <v/>
      </c>
      <c r="AJ29" s="82">
        <f>AI29+BALANCING!AJ16</f>
        <v/>
      </c>
      <c r="AK29" s="82">
        <f>AJ29+BALANCING!AK16</f>
        <v/>
      </c>
      <c r="AL29" s="82">
        <f>AK29+BALANCING!AL16</f>
        <v/>
      </c>
      <c r="AM29" s="82">
        <f>AL29+BALANCING!AM16</f>
        <v/>
      </c>
      <c r="AN29" s="82">
        <f>AM29+BALANCING!AN16</f>
        <v/>
      </c>
      <c r="AO29" s="82">
        <f>AN29+BALANCING!AO16</f>
        <v/>
      </c>
      <c r="AP29" s="82">
        <f>AO29+BALANCING!AP16</f>
        <v/>
      </c>
      <c r="AQ29" s="82">
        <f>AP29+BALANCING!AQ16</f>
        <v/>
      </c>
      <c r="AR29" s="82">
        <f>AQ29+BALANCING!AR16</f>
        <v/>
      </c>
      <c r="AS29" s="82">
        <f>AR29+BALANCING!AS16</f>
        <v/>
      </c>
      <c r="AT29" s="82">
        <f>AS29+BALANCING!AT16</f>
        <v/>
      </c>
      <c r="AU29" s="82">
        <f>AT29+BALANCING!AU16</f>
        <v/>
      </c>
      <c r="AV29" s="82">
        <f>AU29+BALANCING!AV16</f>
        <v/>
      </c>
      <c r="AW29" s="82">
        <f>AV29+BALANCING!AW16</f>
        <v/>
      </c>
      <c r="AX29" s="82">
        <f>AW29+BALANCING!AX16</f>
        <v/>
      </c>
      <c r="AY29" s="82">
        <f>AX29+BALANCING!AY16</f>
        <v/>
      </c>
      <c r="AZ29" s="82">
        <f>AY29+BALANCING!AZ16</f>
        <v/>
      </c>
      <c r="BA29" s="82">
        <f>AZ29+BALANCING!BA16</f>
        <v/>
      </c>
      <c r="BB29" s="82">
        <f>BA29+BALANCING!BB16</f>
        <v/>
      </c>
      <c r="BC29" s="82">
        <f>BB29+BALANCING!BC16</f>
        <v/>
      </c>
      <c r="BD29" s="82">
        <f>BC29+BALANCING!BD16</f>
        <v/>
      </c>
      <c r="BE29" s="82">
        <f>BD29+BALANCING!BE16</f>
        <v/>
      </c>
      <c r="BF29" s="82">
        <f>BE29+BALANCING!BF16</f>
        <v/>
      </c>
      <c r="BG29" s="82">
        <f>BF29+BALANCING!BG16</f>
        <v/>
      </c>
      <c r="BH29" s="82">
        <f>BG29+BALANCING!BH16</f>
        <v/>
      </c>
      <c r="BI29" s="82">
        <f>BH29+BALANCING!BI16</f>
        <v/>
      </c>
      <c r="BJ29" s="82">
        <f>BI29+BALANCING!BJ16</f>
        <v/>
      </c>
      <c r="BK29" s="82">
        <f>BJ29+BALANCING!BK16</f>
        <v/>
      </c>
      <c r="BL29" s="82">
        <f>BK29+BALANCING!BL16</f>
        <v/>
      </c>
      <c r="BM29" s="106" t="n">
        <v>0</v>
      </c>
      <c r="BN29" s="82">
        <f>BM29+BALANCING!BN16</f>
        <v/>
      </c>
      <c r="BO29" s="82">
        <f>BN29+BALANCING!BO16</f>
        <v/>
      </c>
      <c r="BP29" s="82">
        <f>BO29+BALANCING!BP16</f>
        <v/>
      </c>
      <c r="BQ29" s="82">
        <f>BP29+BALANCING!BQ16</f>
        <v/>
      </c>
      <c r="BR29" s="82">
        <f>BQ29+BALANCING!BR16</f>
        <v/>
      </c>
      <c r="BS29" s="82">
        <f>BR29+BALANCING!BS16</f>
        <v/>
      </c>
      <c r="BT29" s="82">
        <f>BS29+BALANCING!BT16</f>
        <v/>
      </c>
      <c r="BU29" s="82">
        <f>BT29+BALANCING!BU16</f>
        <v/>
      </c>
      <c r="BV29" s="82">
        <f>BU29+BALANCING!BV16</f>
        <v/>
      </c>
      <c r="BW29" s="82">
        <f>BV29+BALANCING!BW16</f>
        <v/>
      </c>
      <c r="BX29" s="82">
        <f>BW29+BALANCING!BX16</f>
        <v/>
      </c>
      <c r="BY29" s="82">
        <f>BX29+BALANCING!BY16</f>
        <v/>
      </c>
      <c r="BZ29" s="82">
        <f>BY29+BALANCING!BZ16</f>
        <v/>
      </c>
      <c r="CA29" s="82">
        <f>BZ29+BALANCING!CA16</f>
        <v/>
      </c>
      <c r="CB29" s="82">
        <f>CA29+BALANCING!CB16</f>
        <v/>
      </c>
      <c r="CC29" s="82">
        <f>CB29+BALANCING!CC16</f>
        <v/>
      </c>
      <c r="CD29" s="82">
        <f>CC29+BALANCING!CD16</f>
        <v/>
      </c>
      <c r="CE29" s="82">
        <f>CD29+BALANCING!CE16</f>
        <v/>
      </c>
      <c r="CF29" s="82">
        <f>CE29+BALANCING!CF16</f>
        <v/>
      </c>
      <c r="CG29" s="82">
        <f>CF29+BALANCING!CG16</f>
        <v/>
      </c>
      <c r="CH29" s="82">
        <f>CG29+BALANCING!CH16</f>
        <v/>
      </c>
      <c r="CI29" s="82">
        <f>CH29+BALANCING!CI16</f>
        <v/>
      </c>
      <c r="CJ29" s="82">
        <f>CI29+BALANCING!CJ16</f>
        <v/>
      </c>
      <c r="CK29" s="82">
        <f>CJ29+BALANCING!CK16</f>
        <v/>
      </c>
      <c r="CL29" s="82">
        <f>CK29+BALANCING!CL16</f>
        <v/>
      </c>
      <c r="CM29" s="82">
        <f>CL29+BALANCING!CM16</f>
        <v/>
      </c>
      <c r="CN29" s="82">
        <f>CM29+BALANCING!CN16</f>
        <v/>
      </c>
      <c r="CO29" s="82">
        <f>CN29+BALANCING!CO16</f>
        <v/>
      </c>
      <c r="CP29" s="82">
        <f>CO29+BALANCING!CP16</f>
        <v/>
      </c>
      <c r="CQ29" s="82">
        <f>CP29+BALANCING!CQ16</f>
        <v/>
      </c>
      <c r="CR29" s="82">
        <f>CQ29+BALANCING!CR16</f>
        <v/>
      </c>
      <c r="CT29" s="82">
        <f>CS29+BALANCING!CT16</f>
        <v/>
      </c>
      <c r="CU29" s="82">
        <f>CT29+BALANCING!CU16</f>
        <v/>
      </c>
      <c r="CV29" s="82">
        <f>CU29+BALANCING!CV16</f>
        <v/>
      </c>
      <c r="CW29" s="82">
        <f>CV29+BALANCING!CW16</f>
        <v/>
      </c>
      <c r="CX29" s="82">
        <f>CW29+BALANCING!CX16</f>
        <v/>
      </c>
      <c r="CY29" s="82">
        <f>CX29+BALANCING!CY16</f>
        <v/>
      </c>
      <c r="CZ29" s="82">
        <f>CY29+BALANCING!CZ16</f>
        <v/>
      </c>
      <c r="DA29" s="82">
        <f>CZ29+BALANCING!DA16</f>
        <v/>
      </c>
      <c r="DB29" s="82">
        <f>DA29+BALANCING!DB16</f>
        <v/>
      </c>
      <c r="DC29" s="82">
        <f>DB29+BALANCING!DC16</f>
        <v/>
      </c>
      <c r="DD29" s="82">
        <f>DC29+BALANCING!DD16</f>
        <v/>
      </c>
      <c r="DE29" s="82">
        <f>DD29+BALANCING!DE16</f>
        <v/>
      </c>
      <c r="DF29" s="82">
        <f>DE29+BALANCING!DF16</f>
        <v/>
      </c>
      <c r="DG29" s="82">
        <f>DF29+BALANCING!DG16</f>
        <v/>
      </c>
      <c r="DH29" s="82">
        <f>DG29+BALANCING!DH16</f>
        <v/>
      </c>
      <c r="DI29" s="82">
        <f>DH29+BALANCING!DI16</f>
        <v/>
      </c>
      <c r="DJ29" s="82">
        <f>DI29+BALANCING!DJ16</f>
        <v/>
      </c>
      <c r="DK29" s="82">
        <f>DJ29+BALANCING!DK16</f>
        <v/>
      </c>
      <c r="DL29" s="82">
        <f>DK29+BALANCING!DL16</f>
        <v/>
      </c>
      <c r="DM29" s="82">
        <f>DL29+BALANCING!DM16</f>
        <v/>
      </c>
      <c r="DN29" s="82">
        <f>DM29+BALANCING!DN16</f>
        <v/>
      </c>
      <c r="DO29" s="82">
        <f>DN29+BALANCING!DO16</f>
        <v/>
      </c>
      <c r="DP29" s="82">
        <f>DO29+BALANCING!DP16</f>
        <v/>
      </c>
      <c r="DQ29" s="82">
        <f>DP29+BALANCING!DQ16</f>
        <v/>
      </c>
      <c r="DR29" s="82">
        <f>DQ29+BALANCING!DR16</f>
        <v/>
      </c>
      <c r="DS29" s="82">
        <f>DR29+BALANCING!DS16</f>
        <v/>
      </c>
      <c r="DT29" s="82">
        <f>DS29+BALANCING!DT16</f>
        <v/>
      </c>
      <c r="DU29" s="82">
        <f>DT29+BALANCING!DU16</f>
        <v/>
      </c>
      <c r="DV29" s="82">
        <f>DU29+BALANCING!DV16</f>
        <v/>
      </c>
      <c r="DW29" s="82">
        <f>DV29+BALANCING!DW16</f>
        <v/>
      </c>
      <c r="DX29" s="117" t="n"/>
      <c r="DY29" s="82">
        <f>DX29+BALANCING!DY16</f>
        <v/>
      </c>
      <c r="DZ29" s="82">
        <f>DY29+BALANCING!DZ16</f>
        <v/>
      </c>
      <c r="EA29" s="82">
        <f>DZ29+BALANCING!EA16</f>
        <v/>
      </c>
      <c r="EB29" s="82">
        <f>EA29+BALANCING!EB16</f>
        <v/>
      </c>
      <c r="EC29" s="82">
        <f>EB29+BALANCING!EC16</f>
        <v/>
      </c>
      <c r="ED29" s="82">
        <f>EC29+BALANCING!ED16</f>
        <v/>
      </c>
      <c r="EE29" s="82">
        <f>ED29+BALANCING!EE16</f>
        <v/>
      </c>
      <c r="EF29" s="82">
        <f>EE29+BALANCING!EF16</f>
        <v/>
      </c>
      <c r="EG29" s="82">
        <f>EF29+BALANCING!EG16</f>
        <v/>
      </c>
      <c r="EH29" s="82">
        <f>EG29+BALANCING!EH16</f>
        <v/>
      </c>
      <c r="EI29" s="82">
        <f>EH29+BALANCING!EI16</f>
        <v/>
      </c>
      <c r="EJ29" s="82">
        <f>EI29+BALANCING!EJ16</f>
        <v/>
      </c>
      <c r="EK29" s="82">
        <f>EJ29+BALANCING!EK16</f>
        <v/>
      </c>
      <c r="EL29" s="82">
        <f>EK29+BALANCING!EL16</f>
        <v/>
      </c>
      <c r="EM29" s="82">
        <f>EL29+BALANCING!EM16</f>
        <v/>
      </c>
      <c r="EN29" s="82">
        <f>EM29+BALANCING!EN16</f>
        <v/>
      </c>
      <c r="EO29" s="82">
        <f>EN29+BALANCING!EO16</f>
        <v/>
      </c>
      <c r="EP29" s="82">
        <f>EO29+BALANCING!EP16</f>
        <v/>
      </c>
      <c r="EQ29" s="82">
        <f>EP29+BALANCING!EQ16</f>
        <v/>
      </c>
      <c r="ER29" s="82">
        <f>EQ29+BALANCING!ER16</f>
        <v/>
      </c>
      <c r="ES29" s="82">
        <f>ER29+BALANCING!ES16</f>
        <v/>
      </c>
      <c r="ET29" s="82">
        <f>ES29+BALANCING!ET16</f>
        <v/>
      </c>
      <c r="EU29" s="82">
        <f>ET29+BALANCING!EU16</f>
        <v/>
      </c>
      <c r="EV29" s="82">
        <f>EU29+BALANCING!EV16</f>
        <v/>
      </c>
      <c r="EW29" s="82">
        <f>EV29+BALANCING!EW16</f>
        <v/>
      </c>
      <c r="EX29" s="82">
        <f>EW29+BALANCING!EX16</f>
        <v/>
      </c>
      <c r="EY29" s="82">
        <f>EX29+BALANCING!EY16</f>
        <v/>
      </c>
      <c r="EZ29" s="82">
        <f>EY29+BALANCING!EZ16</f>
        <v/>
      </c>
      <c r="FA29" s="82">
        <f>EZ29+BALANCING!FA16</f>
        <v/>
      </c>
      <c r="FB29" s="82">
        <f>FA29+BALANCING!FB16</f>
        <v/>
      </c>
      <c r="FC29" s="82">
        <f>FB29+BALANCING!FC16</f>
        <v/>
      </c>
      <c r="FD29" s="126" t="n"/>
      <c r="FE29" s="82">
        <f>FD29+BALANCING!FE16</f>
        <v/>
      </c>
      <c r="FF29" s="82">
        <f>FE29+BALANCING!FF16</f>
        <v/>
      </c>
      <c r="FG29" s="82">
        <f>FF29+BALANCING!FG16</f>
        <v/>
      </c>
      <c r="FH29" s="82">
        <f>FG29+BALANCING!FH16</f>
        <v/>
      </c>
      <c r="FI29" s="82">
        <f>FH29+BALANCING!FI16</f>
        <v/>
      </c>
      <c r="FJ29" s="82">
        <f>FI29+BALANCING!FJ16</f>
        <v/>
      </c>
      <c r="FK29" s="82">
        <f>FJ29+BALANCING!FK16</f>
        <v/>
      </c>
      <c r="FL29" s="82">
        <f>FK29+BALANCING!FL16</f>
        <v/>
      </c>
      <c r="FM29" s="82">
        <f>FL29+BALANCING!FM16</f>
        <v/>
      </c>
      <c r="FN29" s="82">
        <f>FM29+BALANCING!FN16</f>
        <v/>
      </c>
      <c r="FO29" s="82">
        <f>FN29+BALANCING!FO16</f>
        <v/>
      </c>
      <c r="FP29" s="82">
        <f>FO29+BALANCING!FP16</f>
        <v/>
      </c>
      <c r="FQ29" s="82">
        <f>FP29+BALANCING!FQ16</f>
        <v/>
      </c>
      <c r="FR29" s="82">
        <f>FQ29+BALANCING!FR16</f>
        <v/>
      </c>
      <c r="FS29" s="82">
        <f>FR29+BALANCING!FS16</f>
        <v/>
      </c>
      <c r="FT29" s="82">
        <f>FS29+BALANCING!FT16</f>
        <v/>
      </c>
      <c r="FU29" s="82">
        <f>FT29+BALANCING!FU16</f>
        <v/>
      </c>
      <c r="FV29" s="82">
        <f>FU29+BALANCING!FV16</f>
        <v/>
      </c>
      <c r="FW29" s="82">
        <f>FV29+BALANCING!FW16</f>
        <v/>
      </c>
      <c r="FX29" s="82">
        <f>FW29+BALANCING!FX16</f>
        <v/>
      </c>
      <c r="FY29" s="82">
        <f>FX29+BALANCING!FY16</f>
        <v/>
      </c>
      <c r="FZ29" s="82">
        <f>FY29+BALANCING!FZ16</f>
        <v/>
      </c>
      <c r="GA29" s="82">
        <f>FZ29+BALANCING!GA16</f>
        <v/>
      </c>
      <c r="GB29" s="82">
        <f>GA29+BALANCING!GB16</f>
        <v/>
      </c>
      <c r="GC29" s="82">
        <f>GB29+BALANCING!GC16</f>
        <v/>
      </c>
      <c r="GD29" s="82">
        <f>GC29+BALANCING!GD16</f>
        <v/>
      </c>
      <c r="GE29" s="82">
        <f>GD29+BALANCING!GE16</f>
        <v/>
      </c>
      <c r="GF29" s="82">
        <f>GE29+BALANCING!GF16</f>
        <v/>
      </c>
      <c r="GG29" s="82">
        <f>GF29+BALANCING!GG16</f>
        <v/>
      </c>
      <c r="GH29" s="82">
        <f>GG29+BALANCING!GH16</f>
        <v/>
      </c>
      <c r="GI29" s="82">
        <f>GH29+BALANCING!GI16</f>
        <v/>
      </c>
      <c r="GJ29" s="130" t="n"/>
      <c r="GK29" s="110">
        <f>BALANCING!GK16</f>
        <v/>
      </c>
      <c r="GL29" s="110">
        <f>GK29+BALANCING!GL16</f>
        <v/>
      </c>
      <c r="GM29" s="110">
        <f>GL29+BALANCING!GM16</f>
        <v/>
      </c>
      <c r="GN29" s="110">
        <f>GM29+BALANCING!GN16</f>
        <v/>
      </c>
      <c r="GO29" s="110">
        <f>GN29+BALANCING!GO16</f>
        <v/>
      </c>
      <c r="GP29" s="110">
        <f>GO29+BALANCING!GP16</f>
        <v/>
      </c>
      <c r="GQ29" s="110">
        <f>GP29+BALANCING!GQ16</f>
        <v/>
      </c>
      <c r="GR29" s="110">
        <f>GQ29+BALANCING!GR16</f>
        <v/>
      </c>
      <c r="GS29" s="110">
        <f>GR29+BALANCING!GS16</f>
        <v/>
      </c>
      <c r="GT29" s="110">
        <f>GS29+BALANCING!GT16</f>
        <v/>
      </c>
      <c r="GU29" s="110">
        <f>GT29+BALANCING!GU16</f>
        <v/>
      </c>
      <c r="GV29" s="110">
        <f>GU29+BALANCING!GV16</f>
        <v/>
      </c>
      <c r="GW29" s="110">
        <f>GV29+BALANCING!GW16</f>
        <v/>
      </c>
      <c r="GX29" s="110">
        <f>GW29+BALANCING!GX16</f>
        <v/>
      </c>
      <c r="GY29" s="110">
        <f>GX29+BALANCING!GY16</f>
        <v/>
      </c>
      <c r="GZ29" s="110">
        <f>GY29+BALANCING!GZ16</f>
        <v/>
      </c>
      <c r="HA29" s="110">
        <f>GZ29+BALANCING!HA16</f>
        <v/>
      </c>
      <c r="HB29" s="110">
        <f>HA29+BALANCING!HB16</f>
        <v/>
      </c>
      <c r="HC29" s="110">
        <f>HB29+BALANCING!HC16</f>
        <v/>
      </c>
      <c r="HD29" s="110">
        <f>HC29+BALANCING!HD16</f>
        <v/>
      </c>
      <c r="HE29" s="110">
        <f>HD29+BALANCING!HE16</f>
        <v/>
      </c>
      <c r="HF29" s="110">
        <f>HE29+BALANCING!HF16</f>
        <v/>
      </c>
      <c r="HG29" s="110">
        <f>HF29+BALANCING!HG16</f>
        <v/>
      </c>
      <c r="HH29" s="110">
        <f>HG29+BALANCING!HH16</f>
        <v/>
      </c>
      <c r="HI29" s="110">
        <f>HH29+BALANCING!HI16</f>
        <v/>
      </c>
      <c r="HJ29" s="110">
        <f>HI29+BALANCING!HJ16</f>
        <v/>
      </c>
      <c r="HK29" s="110">
        <f>HJ29+BALANCING!HK16</f>
        <v/>
      </c>
      <c r="HL29" s="110">
        <f>HK29+BALANCING!HL16</f>
        <v/>
      </c>
      <c r="HM29" s="110">
        <f>HL29+BALANCING!HM16</f>
        <v/>
      </c>
      <c r="HN29" s="130" t="n"/>
      <c r="HO29" s="110">
        <f>HN29+BALANCING!HO16</f>
        <v/>
      </c>
      <c r="HP29" s="110">
        <f>HO29+BALANCING!HP16</f>
        <v/>
      </c>
      <c r="HQ29" s="110">
        <f>HP29+BALANCING!HQ16</f>
        <v/>
      </c>
      <c r="HR29" s="110">
        <f>HQ29+BALANCING!HR16</f>
        <v/>
      </c>
      <c r="HS29" s="110">
        <f>HR29+BALANCING!HS16</f>
        <v/>
      </c>
      <c r="HT29" s="110">
        <f>HS29+BALANCING!HT16</f>
        <v/>
      </c>
      <c r="HU29" s="110">
        <f>HT29+BALANCING!HU16</f>
        <v/>
      </c>
      <c r="HV29" s="110">
        <f>HU29+BALANCING!HV16</f>
        <v/>
      </c>
      <c r="HW29" s="110">
        <f>HV29+BALANCING!HW16</f>
        <v/>
      </c>
      <c r="HX29" s="110">
        <f>HW29+BALANCING!HX16</f>
        <v/>
      </c>
      <c r="HY29" s="110">
        <f>HX29+BALANCING!HY16</f>
        <v/>
      </c>
      <c r="HZ29" s="110">
        <f>HY29+BALANCING!HZ16</f>
        <v/>
      </c>
      <c r="IA29" s="110">
        <f>HZ29+BALANCING!IA16</f>
        <v/>
      </c>
      <c r="IB29" s="110">
        <f>IA29+BALANCING!IB16</f>
        <v/>
      </c>
      <c r="IC29" s="110">
        <f>IB29+BALANCING!IC16</f>
        <v/>
      </c>
      <c r="ID29" s="110">
        <f>IC29+BALANCING!ID16</f>
        <v/>
      </c>
      <c r="IE29" s="110">
        <f>ID29+BALANCING!IE16</f>
        <v/>
      </c>
      <c r="IF29" s="110">
        <f>IE29+BALANCING!IF16</f>
        <v/>
      </c>
      <c r="IG29" s="110">
        <f>IF29+BALANCING!IG16</f>
        <v/>
      </c>
      <c r="IH29" s="110">
        <f>IG29+BALANCING!IH16</f>
        <v/>
      </c>
      <c r="II29" s="110">
        <f>IH29+BALANCING!II16</f>
        <v/>
      </c>
      <c r="IJ29" s="110">
        <f>II29+BALANCING!IJ16</f>
        <v/>
      </c>
      <c r="IK29" s="110">
        <f>IJ29+BALANCING!IK16</f>
        <v/>
      </c>
      <c r="IL29" s="110">
        <f>IK29+BALANCING!IL16</f>
        <v/>
      </c>
      <c r="IM29" s="110">
        <f>IL29+BALANCING!IM16</f>
        <v/>
      </c>
      <c r="IN29" s="110">
        <f>IM29+BALANCING!IN16</f>
        <v/>
      </c>
      <c r="IO29" s="110">
        <f>IN29+BALANCING!IO16</f>
        <v/>
      </c>
      <c r="IP29" s="110">
        <f>IO29+BALANCING!IP16</f>
        <v/>
      </c>
      <c r="IQ29" s="110">
        <f>IP29+BALANCING!IQ16</f>
        <v/>
      </c>
      <c r="IR29" s="110">
        <f>IQ29+BALANCING!IR16</f>
        <v/>
      </c>
      <c r="IS29" s="110">
        <f>IR29+BALANCING!IS16</f>
        <v/>
      </c>
      <c r="IT29" s="130" t="n"/>
      <c r="IU29" s="110">
        <f>IT29+BALANCING!IU16</f>
        <v/>
      </c>
      <c r="IV29" s="110">
        <f>IU29+BALANCING!IV16</f>
        <v/>
      </c>
      <c r="IW29" s="110">
        <f>IV29+BALANCING!IW16</f>
        <v/>
      </c>
      <c r="IX29" s="110">
        <f>IW29+BALANCING!IX16</f>
        <v/>
      </c>
      <c r="IY29" s="110">
        <f>IX29+BALANCING!IY16</f>
        <v/>
      </c>
      <c r="IZ29" s="110">
        <f>IY29+BALANCING!IZ16</f>
        <v/>
      </c>
      <c r="JA29" s="110">
        <f>IZ29+BALANCING!JA16</f>
        <v/>
      </c>
      <c r="JB29" s="110">
        <f>JA29+BALANCING!JB16</f>
        <v/>
      </c>
      <c r="JC29" s="110">
        <f>JB29+BALANCING!JC16</f>
        <v/>
      </c>
      <c r="JD29" s="110">
        <f>JC29+BALANCING!JD16</f>
        <v/>
      </c>
      <c r="JE29" s="110">
        <f>JD29+BALANCING!JE16</f>
        <v/>
      </c>
      <c r="JF29" s="110">
        <f>JE29+BALANCING!JF16</f>
        <v/>
      </c>
      <c r="JG29" s="110">
        <f>JF29+BALANCING!JG16</f>
        <v/>
      </c>
      <c r="JH29" s="110">
        <f>JG29+BALANCING!JH16</f>
        <v/>
      </c>
      <c r="JI29" s="110">
        <f>JH29+BALANCING!JI16</f>
        <v/>
      </c>
      <c r="JJ29" s="110">
        <f>JI29+BALANCING!JJ16</f>
        <v/>
      </c>
      <c r="JK29" s="110">
        <f>JJ29+BALANCING!JK16</f>
        <v/>
      </c>
      <c r="JL29" s="110">
        <f>JK29+BALANCING!JL16</f>
        <v/>
      </c>
      <c r="JM29" s="110">
        <f>JL29+BALANCING!JM16</f>
        <v/>
      </c>
      <c r="JN29" s="110">
        <f>JM29+BALANCING!JN16</f>
        <v/>
      </c>
      <c r="JO29" s="110">
        <f>JN29+BALANCING!JO16</f>
        <v/>
      </c>
      <c r="JP29" s="110">
        <f>JO29+BALANCING!JP16</f>
        <v/>
      </c>
      <c r="JQ29" s="110">
        <f>JP29+BALANCING!JQ16</f>
        <v/>
      </c>
      <c r="JR29" s="110">
        <f>JQ29+BALANCING!JR16</f>
        <v/>
      </c>
      <c r="JS29" s="110">
        <f>JR29+BALANCING!JS16</f>
        <v/>
      </c>
      <c r="JT29" s="110">
        <f>JS29+BALANCING!JT16</f>
        <v/>
      </c>
      <c r="JU29" s="110">
        <f>JT29+BALANCING!JU16</f>
        <v/>
      </c>
      <c r="JV29" s="110">
        <f>JU29+BALANCING!JV16</f>
        <v/>
      </c>
      <c r="JW29" s="110">
        <f>JV29+BALANCING!JW16</f>
        <v/>
      </c>
      <c r="JX29" s="110">
        <f>JW29+BALANCING!JX16</f>
        <v/>
      </c>
      <c r="JY29" s="133" t="n"/>
      <c r="JZ29" s="110">
        <f>JY29+BALANCING!JZ16</f>
        <v/>
      </c>
      <c r="KA29" s="110">
        <f>JZ29+BALANCING!KA16</f>
        <v/>
      </c>
      <c r="KB29" s="110">
        <f>KA29+BALANCING!KB16</f>
        <v/>
      </c>
      <c r="KC29" s="110">
        <f>KB29+BALANCING!KC16</f>
        <v/>
      </c>
      <c r="KD29" s="110">
        <f>KC29+BALANCING!KD16</f>
        <v/>
      </c>
      <c r="KE29" s="110">
        <f>KD29+BALANCING!KE16</f>
        <v/>
      </c>
      <c r="KF29" s="110">
        <f>KE29+BALANCING!KF16</f>
        <v/>
      </c>
      <c r="KG29" s="110">
        <f>KF29+BALANCING!KG16</f>
        <v/>
      </c>
      <c r="KH29" s="110">
        <f>KG29+BALANCING!KH16</f>
        <v/>
      </c>
      <c r="KI29" s="110">
        <f>KH29+BALANCING!KI16</f>
        <v/>
      </c>
      <c r="KJ29" s="110">
        <f>KI29+BALANCING!KJ16</f>
        <v/>
      </c>
      <c r="KK29" s="110">
        <f>KJ29+BALANCING!KK16</f>
        <v/>
      </c>
      <c r="KL29" s="110">
        <f>KK29+BALANCING!KL16</f>
        <v/>
      </c>
      <c r="KM29" s="110">
        <f>KL29+BALANCING!KM16</f>
        <v/>
      </c>
      <c r="KN29" s="110">
        <f>KM29+BALANCING!KN16</f>
        <v/>
      </c>
      <c r="KO29" s="110">
        <f>KN29+BALANCING!KO16</f>
        <v/>
      </c>
      <c r="KP29" s="110">
        <f>KO29+BALANCING!KP16</f>
        <v/>
      </c>
      <c r="KQ29" s="110">
        <f>KP29+BALANCING!KQ16</f>
        <v/>
      </c>
      <c r="KR29" s="110">
        <f>KQ29+BALANCING!KR16</f>
        <v/>
      </c>
      <c r="KS29" s="110">
        <f>KR29+BALANCING!KS16</f>
        <v/>
      </c>
      <c r="KT29" s="110">
        <f>KS29+BALANCING!KT16</f>
        <v/>
      </c>
      <c r="KU29" s="110">
        <f>KT29+BALANCING!KU16</f>
        <v/>
      </c>
      <c r="KV29" s="110">
        <f>KU29+BALANCING!KV16</f>
        <v/>
      </c>
      <c r="KW29" s="110">
        <f>KV29+BALANCING!KW16</f>
        <v/>
      </c>
      <c r="KX29" s="110">
        <f>KW29+BALANCING!KX16</f>
        <v/>
      </c>
      <c r="KY29" s="110">
        <f>KX29+BALANCING!KY16</f>
        <v/>
      </c>
      <c r="KZ29" s="110">
        <f>KY29+BALANCING!KZ16</f>
        <v/>
      </c>
      <c r="LA29" s="110">
        <f>KZ29+BALANCING!LA16</f>
        <v/>
      </c>
      <c r="LB29" s="110">
        <f>LA29+BALANCING!LB16</f>
        <v/>
      </c>
      <c r="LC29" s="110">
        <f>LB29+BALANCING!LC16</f>
        <v/>
      </c>
      <c r="LD29" s="110">
        <f>LC29+BALANCING!LD16</f>
        <v/>
      </c>
      <c r="LE29" s="130" t="n"/>
      <c r="LF29" s="110">
        <f>LE29+BALANCING!LF16</f>
        <v/>
      </c>
      <c r="LG29" s="110">
        <f>LF29+BALANCING!LG16</f>
        <v/>
      </c>
      <c r="LH29" s="110">
        <f>LG29+BALANCING!LH16</f>
        <v/>
      </c>
      <c r="LI29" s="110">
        <f>LH29+BALANCING!LI16</f>
        <v/>
      </c>
      <c r="LJ29" s="110">
        <f>LI29+BALANCING!LJ16</f>
        <v/>
      </c>
      <c r="LK29" s="110">
        <f>LJ29+BALANCING!LK16</f>
        <v/>
      </c>
      <c r="LL29" s="110">
        <f>LK29+BALANCING!LL16</f>
        <v/>
      </c>
      <c r="LM29" s="110">
        <f>LL29+BALANCING!LM16</f>
        <v/>
      </c>
      <c r="LN29" s="110">
        <f>LM29+BALANCING!LN16</f>
        <v/>
      </c>
      <c r="LO29" s="110">
        <f>LN29+BALANCING!LO16</f>
        <v/>
      </c>
      <c r="LP29" s="110">
        <f>LO29+BALANCING!LP16</f>
        <v/>
      </c>
      <c r="LQ29" s="110">
        <f>LP29+BALANCING!LQ16</f>
        <v/>
      </c>
      <c r="LR29" s="110">
        <f>LQ29+BALANCING!LR16</f>
        <v/>
      </c>
      <c r="LS29" s="110">
        <f>LR29+BALANCING!LS16</f>
        <v/>
      </c>
      <c r="LT29" s="110">
        <f>LS29+BALANCING!LT16</f>
        <v/>
      </c>
      <c r="LU29" s="110">
        <f>LT29+BALANCING!LU16</f>
        <v/>
      </c>
      <c r="LV29" s="110">
        <f>LU29+BALANCING!LV16</f>
        <v/>
      </c>
      <c r="LW29" s="110">
        <f>LV29+BALANCING!LW16</f>
        <v/>
      </c>
      <c r="LX29" s="110">
        <f>LW29+BALANCING!LX16</f>
        <v/>
      </c>
      <c r="LY29" s="110">
        <f>LX29+BALANCING!LY16</f>
        <v/>
      </c>
      <c r="LZ29" s="110">
        <f>LY29+BALANCING!LZ16</f>
        <v/>
      </c>
      <c r="MA29" s="110">
        <f>LZ29+BALANCING!MA16</f>
        <v/>
      </c>
      <c r="MB29" s="110">
        <f>MA29+BALANCING!MB16</f>
        <v/>
      </c>
      <c r="MC29" s="110">
        <f>MB29+BALANCING!MC16</f>
        <v/>
      </c>
      <c r="MD29" s="110">
        <f>MC29+BALANCING!MD16</f>
        <v/>
      </c>
      <c r="ME29" s="110">
        <f>MD29+BALANCING!ME16</f>
        <v/>
      </c>
      <c r="MF29" s="110">
        <f>ME29+BALANCING!MF16</f>
        <v/>
      </c>
      <c r="MG29" s="110">
        <f>MF29+BALANCING!MG16</f>
        <v/>
      </c>
      <c r="MH29" s="110">
        <f>MG29+BALANCING!MH16</f>
        <v/>
      </c>
      <c r="MI29" s="110">
        <f>MH29+BALANCING!MI16</f>
        <v/>
      </c>
      <c r="MJ29" s="133" t="n"/>
      <c r="MK29" s="110">
        <f>MJ29+BALANCING!MK16</f>
        <v/>
      </c>
      <c r="ML29" s="110">
        <f>MK29+BALANCING!ML16</f>
        <v/>
      </c>
      <c r="MM29" s="110">
        <f>ML29+BALANCING!MM16</f>
        <v/>
      </c>
      <c r="MN29" s="110">
        <f>MM29+BALANCING!MN16</f>
        <v/>
      </c>
      <c r="MO29" s="110">
        <f>MN29+BALANCING!MO16</f>
        <v/>
      </c>
      <c r="MP29" s="110">
        <f>MO29+BALANCING!MP16</f>
        <v/>
      </c>
      <c r="MQ29" s="110">
        <f>MP29+BALANCING!MQ16</f>
        <v/>
      </c>
      <c r="MR29" s="110">
        <f>MQ29+BALANCING!MR16</f>
        <v/>
      </c>
      <c r="MS29" s="110">
        <f>MR29+BALANCING!MS16</f>
        <v/>
      </c>
      <c r="MT29" s="110">
        <f>MS29+BALANCING!MT16</f>
        <v/>
      </c>
      <c r="MU29" s="110">
        <f>MT29+BALANCING!MU16</f>
        <v/>
      </c>
      <c r="MV29" s="110">
        <f>MU29+BALANCING!MV16</f>
        <v/>
      </c>
      <c r="MW29" s="110">
        <f>MV29+BALANCING!MW16</f>
        <v/>
      </c>
      <c r="MX29" s="110">
        <f>MW29+BALANCING!MX16</f>
        <v/>
      </c>
      <c r="MY29" s="110">
        <f>MX29+BALANCING!MY16</f>
        <v/>
      </c>
      <c r="MZ29" s="110">
        <f>MY29+BALANCING!MZ16</f>
        <v/>
      </c>
      <c r="NA29" s="110">
        <f>MZ29+BALANCING!NA16</f>
        <v/>
      </c>
      <c r="NB29" s="110">
        <f>NA29+BALANCING!NB16</f>
        <v/>
      </c>
      <c r="NC29" s="110">
        <f>NB29+BALANCING!NC16</f>
        <v/>
      </c>
      <c r="ND29" s="110">
        <f>NC29+BALANCING!ND16</f>
        <v/>
      </c>
      <c r="NE29" s="110">
        <f>ND29+BALANCING!NE16</f>
        <v/>
      </c>
      <c r="NF29" s="110">
        <f>NE29+BALANCING!NF16</f>
        <v/>
      </c>
      <c r="NG29" s="110">
        <f>NF29+BALANCING!NG16</f>
        <v/>
      </c>
      <c r="NH29" s="110">
        <f>NG29+BALANCING!NH16</f>
        <v/>
      </c>
      <c r="NI29" s="110">
        <f>NH29+BALANCING!NI16</f>
        <v/>
      </c>
      <c r="NJ29" s="110">
        <f>NI29+BALANCING!NJ16</f>
        <v/>
      </c>
      <c r="NK29" s="110">
        <f>NJ29+BALANCING!NK16</f>
        <v/>
      </c>
      <c r="NL29" s="110">
        <f>NK29+BALANCING!NL16</f>
        <v/>
      </c>
      <c r="NM29" s="110">
        <f>NL29+BALANCING!NM16</f>
        <v/>
      </c>
      <c r="NN29" s="110">
        <f>NM29+BALANCING!NN16</f>
        <v/>
      </c>
      <c r="NO29" s="110">
        <f>NN29+BALANCING!NO16</f>
        <v/>
      </c>
      <c r="NP29" s="133" t="n"/>
      <c r="NQ29" s="110">
        <f>NP29+BALANCING!NQ16</f>
        <v/>
      </c>
      <c r="NR29" s="110">
        <f>NQ29+BALANCING!NR16</f>
        <v/>
      </c>
      <c r="NS29" s="110">
        <f>NR29+BALANCING!NS16</f>
        <v/>
      </c>
      <c r="NT29" s="110">
        <f>NS29+BALANCING!NT16</f>
        <v/>
      </c>
      <c r="NU29" s="110">
        <f>NT29+BALANCING!NU16</f>
        <v/>
      </c>
      <c r="NV29" s="110">
        <f>NU29+BALANCING!NV16</f>
        <v/>
      </c>
      <c r="NW29" s="110">
        <f>NV29+BALANCING!NW16</f>
        <v/>
      </c>
      <c r="NX29" s="110">
        <f>NW29+BALANCING!NX16</f>
        <v/>
      </c>
      <c r="NY29" s="110">
        <f>NX29+BALANCING!NY16</f>
        <v/>
      </c>
      <c r="NZ29" s="110">
        <f>NY29+BALANCING!NZ16</f>
        <v/>
      </c>
      <c r="OA29" s="110">
        <f>NZ29+BALANCING!OA16</f>
        <v/>
      </c>
      <c r="OB29" s="110">
        <f>OA29+BALANCING!OB16</f>
        <v/>
      </c>
      <c r="OC29" s="110">
        <f>OB29+BALANCING!OC16</f>
        <v/>
      </c>
      <c r="OD29" s="110">
        <f>OC29+BALANCING!OD16</f>
        <v/>
      </c>
      <c r="OE29" s="110">
        <f>OD29+BALANCING!OE16</f>
        <v/>
      </c>
      <c r="OF29" s="110">
        <f>OE29+BALANCING!OF16</f>
        <v/>
      </c>
      <c r="OG29" s="110">
        <f>OF29+BALANCING!OG16</f>
        <v/>
      </c>
      <c r="OH29" s="110">
        <f>OG29+BALANCING!OH16</f>
        <v/>
      </c>
      <c r="OI29" s="110">
        <f>OH29+BALANCING!OI16</f>
        <v/>
      </c>
      <c r="OJ29" s="110">
        <f>OI29+BALANCING!OJ16</f>
        <v/>
      </c>
      <c r="OK29" s="110">
        <f>OJ29+BALANCING!OK16</f>
        <v/>
      </c>
      <c r="OL29" s="110">
        <f>OK29+BALANCING!OL16</f>
        <v/>
      </c>
      <c r="OM29" s="110">
        <f>OL29+BALANCING!OM16</f>
        <v/>
      </c>
      <c r="ON29" s="110">
        <f>OM29+BALANCING!ON16</f>
        <v/>
      </c>
      <c r="OO29" s="110">
        <f>ON29+BALANCING!OO16</f>
        <v/>
      </c>
      <c r="OP29" s="110">
        <f>OO29+BALANCING!OP16</f>
        <v/>
      </c>
      <c r="OQ29" s="110">
        <f>OP29+BALANCING!OQ16</f>
        <v/>
      </c>
      <c r="OR29" s="110">
        <f>OQ29+BALANCING!OR16</f>
        <v/>
      </c>
      <c r="OS29" s="110">
        <f>OR29+BALANCING!OS16</f>
        <v/>
      </c>
      <c r="OT29" s="110">
        <f>OS29+BALANCING!OT16</f>
        <v/>
      </c>
      <c r="OU29" s="110">
        <f>OT29+BALANCING!OU16</f>
        <v/>
      </c>
      <c r="OV29" s="130" t="n"/>
      <c r="OW29" s="110">
        <f>OV29+BALANCING!OW16</f>
        <v/>
      </c>
      <c r="OX29" s="110">
        <f>OW29+BALANCING!OX16</f>
        <v/>
      </c>
      <c r="OY29" s="110">
        <f>OX29+BALANCING!OY16</f>
        <v/>
      </c>
      <c r="OZ29" s="110">
        <f>OY29+BALANCING!OZ16</f>
        <v/>
      </c>
      <c r="PA29" s="110">
        <f>OZ29+BALANCING!PA16</f>
        <v/>
      </c>
      <c r="PB29" s="110">
        <f>PA29+BALANCING!PB16</f>
        <v/>
      </c>
      <c r="PC29" s="110">
        <f>PB29+BALANCING!PC16</f>
        <v/>
      </c>
      <c r="PD29" s="110">
        <f>PC29+BALANCING!PD16</f>
        <v/>
      </c>
      <c r="PE29" s="110">
        <f>PD29+BALANCING!PE16</f>
        <v/>
      </c>
      <c r="PF29" s="110">
        <f>PE29+BALANCING!PF16</f>
        <v/>
      </c>
      <c r="PG29" s="110">
        <f>PF29+BALANCING!PG16</f>
        <v/>
      </c>
      <c r="PH29" s="110">
        <f>PG29+BALANCING!PH16</f>
        <v/>
      </c>
      <c r="PI29" s="110">
        <f>PH29+BALANCING!PI16</f>
        <v/>
      </c>
      <c r="PJ29" s="110">
        <f>PI29+BALANCING!PJ16</f>
        <v/>
      </c>
      <c r="PK29" s="110">
        <f>PJ29+BALANCING!PK16</f>
        <v/>
      </c>
      <c r="PL29" s="110">
        <f>PK29+BALANCING!PL16</f>
        <v/>
      </c>
      <c r="PM29" s="110">
        <f>PL29+BALANCING!PM16</f>
        <v/>
      </c>
      <c r="PN29" s="110">
        <f>PM29+BALANCING!PN16</f>
        <v/>
      </c>
      <c r="PO29" s="110">
        <f>PN29+BALANCING!PO16</f>
        <v/>
      </c>
      <c r="PP29" s="110">
        <f>PO29+BALANCING!PP16</f>
        <v/>
      </c>
      <c r="PQ29" s="110">
        <f>PP29+BALANCING!PQ16</f>
        <v/>
      </c>
      <c r="PR29" s="110">
        <f>PQ29+BALANCING!PR16</f>
        <v/>
      </c>
      <c r="PS29" s="110">
        <f>PR29+BALANCING!PS16</f>
        <v/>
      </c>
      <c r="PT29" s="110">
        <f>PS29+BALANCING!PT16</f>
        <v/>
      </c>
      <c r="PU29" s="110">
        <f>PT29+BALANCING!PU16</f>
        <v/>
      </c>
      <c r="PV29" s="110">
        <f>PU29+BALANCING!PV16</f>
        <v/>
      </c>
      <c r="PW29" s="110">
        <f>PV29+BALANCING!PW16</f>
        <v/>
      </c>
      <c r="PX29" s="110">
        <f>PW29+BALANCING!PX16</f>
        <v/>
      </c>
      <c r="PY29" s="110">
        <f>PX29+BALANCING!PY16</f>
        <v/>
      </c>
      <c r="PZ29" s="110">
        <f>PY29+BALANCING!PZ16</f>
        <v/>
      </c>
      <c r="QA29" s="130" t="n"/>
      <c r="QB29" s="110">
        <f>QA29+BALANCING!QB16</f>
        <v/>
      </c>
      <c r="QC29" s="110">
        <f>QB29+BALANCING!QC16</f>
        <v/>
      </c>
      <c r="QD29" s="110">
        <f>QC29+BALANCING!QD16</f>
        <v/>
      </c>
      <c r="QE29" s="110">
        <f>QD29+BALANCING!QE16</f>
        <v/>
      </c>
      <c r="QF29" s="110">
        <f>QE29+BALANCING!QF16</f>
        <v/>
      </c>
      <c r="QG29" s="110">
        <f>QF29+BALANCING!QG16</f>
        <v/>
      </c>
      <c r="QH29" s="110">
        <f>QG29+BALANCING!QH16</f>
        <v/>
      </c>
      <c r="QI29" s="110">
        <f>QH29+BALANCING!QI16</f>
        <v/>
      </c>
      <c r="QJ29" s="110">
        <f>QI29+BALANCING!QJ16</f>
        <v/>
      </c>
      <c r="QK29" s="110">
        <f>QJ29+BALANCING!QK16</f>
        <v/>
      </c>
      <c r="QL29" s="110">
        <f>QK29+BALANCING!QL16</f>
        <v/>
      </c>
      <c r="QM29" s="110">
        <f>QL29+BALANCING!QM16</f>
        <v/>
      </c>
      <c r="QN29" s="110">
        <f>QM29+BALANCING!QN16</f>
        <v/>
      </c>
      <c r="QO29" s="110">
        <f>QN29+BALANCING!QO16</f>
        <v/>
      </c>
      <c r="QP29" s="110">
        <f>QO29+BALANCING!QP16</f>
        <v/>
      </c>
      <c r="QQ29" s="110">
        <f>QP29+BALANCING!QQ16</f>
        <v/>
      </c>
      <c r="QR29" s="110">
        <f>QQ29+BALANCING!QR16</f>
        <v/>
      </c>
      <c r="QS29" s="110">
        <f>QR29+BALANCING!QS16</f>
        <v/>
      </c>
      <c r="QT29" s="110">
        <f>QS29+BALANCING!QT16</f>
        <v/>
      </c>
      <c r="QU29" s="110">
        <f>QT29+BALANCING!QU16</f>
        <v/>
      </c>
      <c r="QV29" s="110">
        <f>QU29+BALANCING!QV16</f>
        <v/>
      </c>
      <c r="QW29" s="110">
        <f>QV29+BALANCING!QW16</f>
        <v/>
      </c>
      <c r="QX29" s="110">
        <f>QW29+BALANCING!QX16</f>
        <v/>
      </c>
      <c r="QY29" s="110">
        <f>QX29+BALANCING!QY16</f>
        <v/>
      </c>
      <c r="QZ29" s="110">
        <f>QY29+BALANCING!QZ16</f>
        <v/>
      </c>
      <c r="RA29" s="110">
        <f>QZ29+BALANCING!RA16</f>
        <v/>
      </c>
      <c r="RB29" s="110">
        <f>RA29+BALANCING!RB16</f>
        <v/>
      </c>
      <c r="RC29" s="110">
        <f>RB29+BALANCING!RC16</f>
        <v/>
      </c>
      <c r="RD29" s="110">
        <f>RC29+BALANCING!RD16</f>
        <v/>
      </c>
      <c r="RE29" s="110">
        <f>RD29+BALANCING!RE16</f>
        <v/>
      </c>
      <c r="RF29" s="110">
        <f>RE29+BALANCING!RF16</f>
        <v/>
      </c>
      <c r="RG29" s="130" t="n"/>
      <c r="RH29" s="110">
        <f>RG29+BALANCING!RH16</f>
        <v/>
      </c>
      <c r="RI29" s="110">
        <f>RH29+BALANCING!RI16</f>
        <v/>
      </c>
      <c r="RJ29" s="110">
        <f>RI29+BALANCING!RJ16</f>
        <v/>
      </c>
      <c r="RK29" s="110">
        <f>RJ29+BALANCING!RK16</f>
        <v/>
      </c>
      <c r="RL29" s="110">
        <f>RK29+BALANCING!RL16</f>
        <v/>
      </c>
      <c r="RM29" s="110">
        <f>RL29+BALANCING!RM16</f>
        <v/>
      </c>
      <c r="RN29" s="110">
        <f>RM29+BALANCING!RN16</f>
        <v/>
      </c>
      <c r="RO29" s="110">
        <f>RN29+BALANCING!RO16</f>
        <v/>
      </c>
      <c r="RP29" s="110">
        <f>RO29+BALANCING!RP16</f>
        <v/>
      </c>
      <c r="RQ29" s="110">
        <f>RP29+BALANCING!RQ16</f>
        <v/>
      </c>
      <c r="RR29" s="110">
        <f>RQ29+BALANCING!RR16</f>
        <v/>
      </c>
      <c r="RS29" s="110">
        <f>RR29+BALANCING!RS16</f>
        <v/>
      </c>
      <c r="RT29" s="110">
        <f>RS29+BALANCING!RT16</f>
        <v/>
      </c>
      <c r="RU29" s="110">
        <f>RT29+BALANCING!RU16</f>
        <v/>
      </c>
      <c r="RV29" s="110">
        <f>RU29+BALANCING!RV16</f>
        <v/>
      </c>
      <c r="RW29" s="110">
        <f>RV29+BALANCING!RW16</f>
        <v/>
      </c>
      <c r="RX29" s="110">
        <f>RW29+BALANCING!RX16</f>
        <v/>
      </c>
      <c r="RY29" s="110">
        <f>RX29+BALANCING!RY16</f>
        <v/>
      </c>
      <c r="RZ29" s="110">
        <f>RY29+BALANCING!RZ16</f>
        <v/>
      </c>
      <c r="SA29" s="110">
        <f>RZ29+BALANCING!SA16</f>
        <v/>
      </c>
      <c r="SB29" s="110">
        <f>SA29+BALANCING!SB16</f>
        <v/>
      </c>
      <c r="SC29" s="110">
        <f>SB29+BALANCING!SC16</f>
        <v/>
      </c>
      <c r="SD29" s="110">
        <f>SC29+BALANCING!SD16</f>
        <v/>
      </c>
      <c r="SE29" s="110">
        <f>SD29+BALANCING!SE16</f>
        <v/>
      </c>
      <c r="SF29" s="110">
        <f>SE29+BALANCING!SF16</f>
        <v/>
      </c>
      <c r="SG29" s="110">
        <f>SF29+BALANCING!SG16</f>
        <v/>
      </c>
      <c r="SH29" s="110">
        <f>SG29+BALANCING!SH16</f>
        <v/>
      </c>
      <c r="SI29" s="110">
        <f>SH29+BALANCING!SI16</f>
        <v/>
      </c>
      <c r="SJ29" s="110">
        <f>SI29+BALANCING!SJ16</f>
        <v/>
      </c>
      <c r="SK29" s="110">
        <f>SJ29+BALANCING!SK16</f>
        <v/>
      </c>
      <c r="SL29" s="130" t="n"/>
      <c r="SM29" s="110">
        <f>SL29+BALANCING!SM16</f>
        <v/>
      </c>
      <c r="SN29" s="110">
        <f>SM29+BALANCING!SN16</f>
        <v/>
      </c>
      <c r="SO29" s="110">
        <f>SN29+BALANCING!SO16</f>
        <v/>
      </c>
      <c r="SP29" s="110">
        <f>SO29+BALANCING!SP16</f>
        <v/>
      </c>
      <c r="SQ29" s="110">
        <f>SP29+BALANCING!SQ16</f>
        <v/>
      </c>
      <c r="SR29" s="110">
        <f>SQ29+BALANCING!SR16</f>
        <v/>
      </c>
      <c r="SS29" s="110">
        <f>SR29+BALANCING!SS16</f>
        <v/>
      </c>
      <c r="ST29" s="110">
        <f>SS29+BALANCING!ST16</f>
        <v/>
      </c>
      <c r="SU29" s="110">
        <f>ST29+BALANCING!SU16</f>
        <v/>
      </c>
      <c r="SV29" s="110">
        <f>SU29+BALANCING!SV16</f>
        <v/>
      </c>
      <c r="SW29" s="110">
        <f>SV29+BALANCING!SW16</f>
        <v/>
      </c>
      <c r="SX29" s="110">
        <f>SW29+BALANCING!SX16</f>
        <v/>
      </c>
      <c r="SY29" s="110">
        <f>SX29+BALANCING!SY16</f>
        <v/>
      </c>
      <c r="SZ29" s="110">
        <f>SY29+BALANCING!SZ16</f>
        <v/>
      </c>
      <c r="TA29" s="110">
        <f>SZ29+BALANCING!TA16</f>
        <v/>
      </c>
      <c r="TB29" s="110">
        <f>TA29+BALANCING!TB16</f>
        <v/>
      </c>
      <c r="TC29" s="110">
        <f>TB29+BALANCING!TC16</f>
        <v/>
      </c>
      <c r="TD29" s="110">
        <f>TC29+BALANCING!TD16</f>
        <v/>
      </c>
      <c r="TE29" s="110">
        <f>TD29+BALANCING!TE16</f>
        <v/>
      </c>
      <c r="TF29" s="110">
        <f>TE29+BALANCING!TF16</f>
        <v/>
      </c>
      <c r="TG29" s="110">
        <f>TF29+BALANCING!TG16</f>
        <v/>
      </c>
      <c r="TH29" s="110">
        <f>TG29+BALANCING!TH16</f>
        <v/>
      </c>
      <c r="TI29" s="110">
        <f>TH29+BALANCING!TI16</f>
        <v/>
      </c>
      <c r="TJ29" s="110">
        <f>TI29+BALANCING!TJ16</f>
        <v/>
      </c>
      <c r="TK29" s="110">
        <f>TJ29+BALANCING!TK16</f>
        <v/>
      </c>
      <c r="TL29" s="110">
        <f>TK29+BALANCING!TL16</f>
        <v/>
      </c>
      <c r="TM29" s="110">
        <f>TL29+BALANCING!TM16</f>
        <v/>
      </c>
      <c r="TN29" s="110">
        <f>TM29+BALANCING!TN16</f>
        <v/>
      </c>
      <c r="TO29" s="110">
        <f>TN29+BALANCING!TO16</f>
        <v/>
      </c>
      <c r="TP29" s="110">
        <f>TO29+BALANCING!TP16</f>
        <v/>
      </c>
      <c r="TQ29" s="110">
        <f>TP29+BALANCING!TQ16</f>
        <v/>
      </c>
      <c r="TR29" s="130" t="n"/>
      <c r="TS29" s="110">
        <f>TR29+BALANCING!TS16</f>
        <v/>
      </c>
      <c r="TT29" s="110">
        <f>TS29+BALANCING!TT16</f>
        <v/>
      </c>
      <c r="TU29" s="110">
        <f>TT29+BALANCING!TU16</f>
        <v/>
      </c>
      <c r="TV29" s="110">
        <f>TU29+BALANCING!TV16</f>
        <v/>
      </c>
      <c r="TW29" s="110">
        <f>TV29+BALANCING!TW16</f>
        <v/>
      </c>
      <c r="TX29" s="110">
        <f>TW29+BALANCING!TX16</f>
        <v/>
      </c>
      <c r="TY29" s="110">
        <f>TX29+BALANCING!TY16</f>
        <v/>
      </c>
      <c r="TZ29" s="110">
        <f>TY29+BALANCING!TZ16</f>
        <v/>
      </c>
      <c r="UA29" s="110">
        <f>TZ29+BALANCING!UA16</f>
        <v/>
      </c>
      <c r="UB29" s="110">
        <f>UA29+BALANCING!UB16</f>
        <v/>
      </c>
      <c r="UC29" s="110">
        <f>UB29+BALANCING!UC16</f>
        <v/>
      </c>
      <c r="UD29" s="110">
        <f>UC29+BALANCING!UD16</f>
        <v/>
      </c>
      <c r="UE29" s="110">
        <f>UD29+BALANCING!UE16</f>
        <v/>
      </c>
      <c r="UF29" s="110">
        <f>UE29+BALANCING!UF16</f>
        <v/>
      </c>
      <c r="UG29" s="110">
        <f>UF29+BALANCING!UG16</f>
        <v/>
      </c>
      <c r="UH29" s="110">
        <f>UG29+BALANCING!UH16</f>
        <v/>
      </c>
      <c r="UI29" s="110">
        <f>UH29+BALANCING!UI16</f>
        <v/>
      </c>
      <c r="UJ29" s="110">
        <f>UI29+BALANCING!UJ16</f>
        <v/>
      </c>
      <c r="UK29" s="110">
        <f>UJ29+BALANCING!UK16</f>
        <v/>
      </c>
      <c r="UL29" s="110">
        <f>UK29+BALANCING!UL16</f>
        <v/>
      </c>
      <c r="UM29" s="110">
        <f>UL29+BALANCING!UM16</f>
        <v/>
      </c>
      <c r="UN29" s="110">
        <f>UM29+BALANCING!UN16</f>
        <v/>
      </c>
      <c r="UO29" s="110">
        <f>UN29+BALANCING!UO16</f>
        <v/>
      </c>
      <c r="UP29" s="110">
        <f>UO29+BALANCING!UP16</f>
        <v/>
      </c>
      <c r="UQ29" s="110">
        <f>UP29+BALANCING!UQ16</f>
        <v/>
      </c>
      <c r="UR29" s="110">
        <f>UQ29+BALANCING!UR16</f>
        <v/>
      </c>
      <c r="US29" s="110">
        <f>UR29+BALANCING!US16</f>
        <v/>
      </c>
      <c r="UT29" s="110">
        <f>US29+BALANCING!UT16</f>
        <v/>
      </c>
      <c r="UU29" s="110">
        <f>UT29+BALANCING!UU16</f>
        <v/>
      </c>
      <c r="UV29" s="110">
        <f>UU29+BALANCING!UV16</f>
        <v/>
      </c>
      <c r="UW29" s="110">
        <f>UV29+BALANCING!UW16</f>
        <v/>
      </c>
      <c r="UX29" s="130" t="n"/>
      <c r="UY29" s="110">
        <f>UX29+BALANCING!UY16</f>
        <v/>
      </c>
      <c r="UZ29" s="110">
        <f>UY29+BALANCING!UZ16</f>
        <v/>
      </c>
      <c r="VA29" s="110">
        <f>UZ29+BALANCING!VA16</f>
        <v/>
      </c>
      <c r="VB29" s="110">
        <f>VA29+BALANCING!VB16</f>
        <v/>
      </c>
      <c r="VC29" s="110">
        <f>VB29+BALANCING!VC16</f>
        <v/>
      </c>
      <c r="VD29" s="110">
        <f>VC29+BALANCING!VD16</f>
        <v/>
      </c>
      <c r="VE29" s="110">
        <f>VD29+BALANCING!VE16</f>
        <v/>
      </c>
      <c r="VF29" s="110">
        <f>VE29+BALANCING!VF16</f>
        <v/>
      </c>
      <c r="VG29" s="110">
        <f>VF29+BALANCING!VG16</f>
        <v/>
      </c>
      <c r="VH29" s="110">
        <f>VG29+BALANCING!VH16</f>
        <v/>
      </c>
      <c r="VI29" s="110">
        <f>VH29+BALANCING!VI16</f>
        <v/>
      </c>
      <c r="VJ29" s="110">
        <f>VI29+BALANCING!VJ16</f>
        <v/>
      </c>
      <c r="VK29" s="110">
        <f>VJ29+BALANCING!VK16</f>
        <v/>
      </c>
      <c r="VL29" s="110">
        <f>VK29+BALANCING!VL16</f>
        <v/>
      </c>
      <c r="VM29" s="110">
        <f>VL29+BALANCING!VM16</f>
        <v/>
      </c>
      <c r="VN29" s="110">
        <f>VM29+BALANCING!VN16</f>
        <v/>
      </c>
      <c r="VO29" s="110">
        <f>VN29+BALANCING!VO16</f>
        <v/>
      </c>
      <c r="VP29" s="110">
        <f>VO29+BALANCING!VP16</f>
        <v/>
      </c>
      <c r="VQ29" s="110">
        <f>VP29+BALANCING!VQ16</f>
        <v/>
      </c>
      <c r="VR29" s="110">
        <f>VQ29+BALANCING!VR16</f>
        <v/>
      </c>
      <c r="VS29" s="110">
        <f>VR29+BALANCING!VS16</f>
        <v/>
      </c>
      <c r="VT29" s="110">
        <f>VS29+BALANCING!VT16</f>
        <v/>
      </c>
      <c r="VU29" s="110">
        <f>VT29+BALANCING!VU16</f>
        <v/>
      </c>
      <c r="VV29" s="110">
        <f>VU29+BALANCING!VV16</f>
        <v/>
      </c>
      <c r="VW29" s="110">
        <f>VV29+BALANCING!VW16</f>
        <v/>
      </c>
      <c r="VX29" s="110">
        <f>VW29+BALANCING!VX16</f>
        <v/>
      </c>
      <c r="VY29" s="110">
        <f>VX29+BALANCING!VY16</f>
        <v/>
      </c>
      <c r="VZ29" s="110">
        <f>VY29+BALANCING!VZ16</f>
        <v/>
      </c>
      <c r="WA29" s="133" t="n"/>
      <c r="WB29" s="110">
        <f>WA29+BALANCING!WB16</f>
        <v/>
      </c>
      <c r="WC29" s="110">
        <f>WB29+BALANCING!WC16</f>
        <v/>
      </c>
      <c r="WD29" s="110">
        <f>WC29+BALANCING!WD16</f>
        <v/>
      </c>
      <c r="WE29" s="110">
        <f>WD29+BALANCING!WE16</f>
        <v/>
      </c>
      <c r="WF29" s="110">
        <f>WE29+BALANCING!WF16</f>
        <v/>
      </c>
      <c r="WG29" s="110">
        <f>WF29+BALANCING!WG16</f>
        <v/>
      </c>
      <c r="WH29" s="110">
        <f>WG29+BALANCING!WH16</f>
        <v/>
      </c>
      <c r="WI29" s="110">
        <f>WH29+BALANCING!WI16</f>
        <v/>
      </c>
      <c r="WJ29" s="110">
        <f>WI29+BALANCING!WJ16</f>
        <v/>
      </c>
      <c r="WK29" s="110">
        <f>WJ29+BALANCING!WK16</f>
        <v/>
      </c>
      <c r="WL29" s="110">
        <f>WK29+BALANCING!WL16</f>
        <v/>
      </c>
      <c r="WM29" s="110">
        <f>WL29+BALANCING!WM16</f>
        <v/>
      </c>
      <c r="WN29" s="110">
        <f>WM29+BALANCING!WN16</f>
        <v/>
      </c>
      <c r="WO29" s="110">
        <f>WN29+BALANCING!WO16</f>
        <v/>
      </c>
      <c r="WP29" s="110">
        <f>WO29+BALANCING!WP16</f>
        <v/>
      </c>
      <c r="WQ29" s="110">
        <f>WP29+BALANCING!WQ16</f>
        <v/>
      </c>
      <c r="WR29" s="110">
        <f>WQ29+BALANCING!WR16</f>
        <v/>
      </c>
      <c r="WS29" s="110">
        <f>WR29+BALANCING!WS16</f>
        <v/>
      </c>
      <c r="WT29" s="110">
        <f>WS29+BALANCING!WT16</f>
        <v/>
      </c>
      <c r="WU29" s="110">
        <f>WT29+BALANCING!WU16</f>
        <v/>
      </c>
      <c r="WV29" s="110">
        <f>WU29+BALANCING!WV16</f>
        <v/>
      </c>
      <c r="WW29" s="110">
        <f>WV29+BALANCING!WW16</f>
        <v/>
      </c>
      <c r="WX29" s="110">
        <f>WW29+BALANCING!WX16</f>
        <v/>
      </c>
      <c r="WY29" s="110">
        <f>WX29+BALANCING!WY16</f>
        <v/>
      </c>
      <c r="WZ29" s="110">
        <f>WY29+BALANCING!WZ16</f>
        <v/>
      </c>
      <c r="XA29" s="110">
        <f>WZ29+BALANCING!XA16</f>
        <v/>
      </c>
      <c r="XB29" s="110">
        <f>XA29+BALANCING!XB16</f>
        <v/>
      </c>
      <c r="XC29" s="110">
        <f>XB29+BALANCING!XC16</f>
        <v/>
      </c>
      <c r="XD29" s="110">
        <f>XC29+BALANCING!XD16</f>
        <v/>
      </c>
      <c r="XE29" s="110">
        <f>XD29+BALANCING!XE16</f>
        <v/>
      </c>
      <c r="XF29" s="110">
        <f>XE29+BALANCING!XF16</f>
        <v/>
      </c>
      <c r="XG29" s="133" t="n"/>
      <c r="XH29" s="110">
        <f>XG29+BALANCING!XH16</f>
        <v/>
      </c>
      <c r="XI29" s="110">
        <f>XH29+BALANCING!XI16</f>
        <v/>
      </c>
      <c r="XJ29" s="110">
        <f>XI29+BALANCING!XJ16</f>
        <v/>
      </c>
      <c r="XK29" s="110">
        <f>XJ29+BALANCING!XK16</f>
        <v/>
      </c>
      <c r="XL29" s="110">
        <f>XK29+BALANCING!XL16</f>
        <v/>
      </c>
      <c r="XM29" s="110">
        <f>XL29+BALANCING!XM16</f>
        <v/>
      </c>
      <c r="XN29" s="110">
        <f>XM29+BALANCING!XN16</f>
        <v/>
      </c>
      <c r="XO29" s="110">
        <f>XN29+BALANCING!XO16</f>
        <v/>
      </c>
      <c r="XP29" s="110">
        <f>XO29+BALANCING!XP16</f>
        <v/>
      </c>
      <c r="XQ29" s="110">
        <f>XP29+BALANCING!XQ16</f>
        <v/>
      </c>
      <c r="XR29" s="110">
        <f>XQ29+BALANCING!XR16</f>
        <v/>
      </c>
      <c r="XS29" s="110">
        <f>XR29+BALANCING!XS16</f>
        <v/>
      </c>
      <c r="XT29" s="110">
        <f>XS29+BALANCING!XT16</f>
        <v/>
      </c>
      <c r="XU29" s="110">
        <f>XT29+BALANCING!XU16</f>
        <v/>
      </c>
      <c r="XV29" s="110">
        <f>XU29+BALANCING!XV16</f>
        <v/>
      </c>
      <c r="XW29" s="110">
        <f>XV29+BALANCING!XW16</f>
        <v/>
      </c>
      <c r="XX29" s="110">
        <f>XW29+BALANCING!XX16</f>
        <v/>
      </c>
      <c r="XY29" s="110">
        <f>XX29+BALANCING!XY16</f>
        <v/>
      </c>
      <c r="XZ29" s="110">
        <f>XY29+BALANCING!XZ16</f>
        <v/>
      </c>
      <c r="YA29" s="110">
        <f>XZ29+BALANCING!YA16</f>
        <v/>
      </c>
      <c r="YB29" s="110">
        <f>YA29+BALANCING!YB16</f>
        <v/>
      </c>
      <c r="YC29" s="110">
        <f>YB29+BALANCING!YC16</f>
        <v/>
      </c>
      <c r="YD29" s="110">
        <f>YC29+BALANCING!YD16</f>
        <v/>
      </c>
      <c r="YE29" s="110">
        <f>YD29+BALANCING!YE16</f>
        <v/>
      </c>
      <c r="YF29" s="110">
        <f>YE29+BALANCING!YF16</f>
        <v/>
      </c>
      <c r="YG29" s="110">
        <f>YF29+BALANCING!YG16</f>
        <v/>
      </c>
      <c r="YH29" s="110">
        <f>YG29+BALANCING!YH16</f>
        <v/>
      </c>
      <c r="YI29" s="110">
        <f>YH29+BALANCING!YI16</f>
        <v/>
      </c>
      <c r="YJ29" s="110">
        <f>YI29+BALANCING!YJ16</f>
        <v/>
      </c>
      <c r="YK29" s="110">
        <f>YJ29+BALANCING!YK16</f>
        <v/>
      </c>
      <c r="YL29" s="130" t="n"/>
      <c r="YM29" s="110">
        <f>YL29+BALANCING!YM16</f>
        <v/>
      </c>
      <c r="YN29" s="110">
        <f>YM29+BALANCING!YN16</f>
        <v/>
      </c>
      <c r="YO29" s="110">
        <f>YN29+BALANCING!YO16</f>
        <v/>
      </c>
      <c r="YP29" s="110">
        <f>YO29+BALANCING!YP16</f>
        <v/>
      </c>
      <c r="YQ29" s="110">
        <f>YP29+BALANCING!YQ16</f>
        <v/>
      </c>
      <c r="YR29" s="110">
        <f>YQ29+BALANCING!YR16</f>
        <v/>
      </c>
      <c r="YS29" s="110">
        <f>YR29+BALANCING!YS16</f>
        <v/>
      </c>
      <c r="YT29" s="110">
        <f>YS29+BALANCING!YT16</f>
        <v/>
      </c>
      <c r="YU29" s="110">
        <f>YT29+BALANCING!YU16</f>
        <v/>
      </c>
      <c r="YV29" s="110">
        <f>YU29+BALANCING!YV16</f>
        <v/>
      </c>
      <c r="YW29" s="110">
        <f>YV29+BALANCING!YW16</f>
        <v/>
      </c>
      <c r="YX29" s="110">
        <f>YW29+BALANCING!YX16</f>
        <v/>
      </c>
      <c r="YY29" s="110">
        <f>YX29+BALANCING!YY16</f>
        <v/>
      </c>
      <c r="YZ29" s="110">
        <f>YY29+BALANCING!YZ16</f>
        <v/>
      </c>
      <c r="ZA29" s="110">
        <f>YZ29+BALANCING!ZA16</f>
        <v/>
      </c>
      <c r="ZB29" s="110">
        <f>ZA29+BALANCING!ZB16</f>
        <v/>
      </c>
      <c r="ZC29" s="110">
        <f>ZB29+BALANCING!ZC16</f>
        <v/>
      </c>
      <c r="ZD29" s="110">
        <f>ZC29+BALANCING!ZD16</f>
        <v/>
      </c>
      <c r="ZE29" s="110">
        <f>ZD29+BALANCING!ZE16</f>
        <v/>
      </c>
      <c r="ZF29" s="110">
        <f>ZE29+BALANCING!ZF16</f>
        <v/>
      </c>
      <c r="ZG29" s="110">
        <f>ZF29+BALANCING!ZG16</f>
        <v/>
      </c>
      <c r="ZH29" s="110">
        <f>ZG29+BALANCING!ZH16</f>
        <v/>
      </c>
      <c r="ZI29" s="110">
        <f>ZH29+BALANCING!ZI16</f>
        <v/>
      </c>
      <c r="ZJ29" s="110">
        <f>ZI29+BALANCING!ZJ16</f>
        <v/>
      </c>
      <c r="ZK29" s="110">
        <f>ZJ29+BALANCING!ZK16</f>
        <v/>
      </c>
      <c r="ZL29" s="110">
        <f>ZK29+BALANCING!ZL16</f>
        <v/>
      </c>
      <c r="ZM29" s="110">
        <f>ZL29+BALANCING!ZM16</f>
        <v/>
      </c>
      <c r="ZN29" s="110">
        <f>ZM29+BALANCING!ZN16</f>
        <v/>
      </c>
      <c r="ZO29" s="110">
        <f>ZN29+BALANCING!ZO16</f>
        <v/>
      </c>
      <c r="ZP29" s="110">
        <f>ZO29+BALANCING!ZP16</f>
        <v/>
      </c>
      <c r="ZQ29" s="110">
        <f>ZP29+BALANCING!ZQ16</f>
        <v/>
      </c>
      <c r="ZR29" s="130" t="n"/>
      <c r="ZS29" s="110">
        <f>ZR29+BALANCING!ZS16</f>
        <v/>
      </c>
      <c r="ZT29" s="110">
        <f>ZS29+BALANCING!ZT16</f>
        <v/>
      </c>
      <c r="ZU29" s="110">
        <f>ZT29+BALANCING!ZU16</f>
        <v/>
      </c>
      <c r="ZV29" s="110">
        <f>ZU29+BALANCING!ZV16</f>
        <v/>
      </c>
      <c r="ZW29" s="110">
        <f>ZV29+BALANCING!ZW16</f>
        <v/>
      </c>
      <c r="ZX29" s="110">
        <f>ZW29+BALANCING!ZX16</f>
        <v/>
      </c>
      <c r="ZY29" s="110">
        <f>ZX29+BALANCING!ZY16</f>
        <v/>
      </c>
      <c r="ZZ29" s="110">
        <f>ZY29+BALANCING!ZZ16</f>
        <v/>
      </c>
      <c r="AAA29" s="110">
        <f>ZZ29+BALANCING!AAA16</f>
        <v/>
      </c>
      <c r="AAB29" s="110">
        <f>AAA29+BALANCING!AAB16</f>
        <v/>
      </c>
      <c r="AAC29" s="110">
        <f>AAB29+BALANCING!AAC16</f>
        <v/>
      </c>
      <c r="AAD29" s="110">
        <f>AAC29+BALANCING!AAD16</f>
        <v/>
      </c>
      <c r="AAE29" s="110">
        <f>AAD29+BALANCING!AAE16</f>
        <v/>
      </c>
      <c r="AAF29" s="110">
        <f>AAE29+BALANCING!AAF16</f>
        <v/>
      </c>
      <c r="AAG29" s="110">
        <f>AAF29+BALANCING!AAG16</f>
        <v/>
      </c>
      <c r="AAH29" s="110">
        <f>AAG29+BALANCING!AAH16</f>
        <v/>
      </c>
      <c r="AAI29" s="110">
        <f>AAH29+BALANCING!AAI16</f>
        <v/>
      </c>
      <c r="AAJ29" s="110">
        <f>AAI29+BALANCING!AAJ16</f>
        <v/>
      </c>
      <c r="AAK29" s="110">
        <f>AAJ29+BALANCING!AAK16</f>
        <v/>
      </c>
      <c r="AAL29" s="110">
        <f>AAK29+BALANCING!AAL16</f>
        <v/>
      </c>
      <c r="AAM29" s="110">
        <f>AAL29+BALANCING!AAM16</f>
        <v/>
      </c>
      <c r="AAN29" s="110">
        <f>AAM29+BALANCING!AAN16</f>
        <v/>
      </c>
      <c r="AAO29" s="110">
        <f>AAN29+BALANCING!AAO16</f>
        <v/>
      </c>
      <c r="AAP29" s="110">
        <f>AAO29+BALANCING!AAP16</f>
        <v/>
      </c>
      <c r="AAQ29" s="110">
        <f>AAP29+BALANCING!AAQ16</f>
        <v/>
      </c>
      <c r="AAR29" s="110">
        <f>AAQ29+BALANCING!AAR16</f>
        <v/>
      </c>
      <c r="AAS29" s="110">
        <f>AAR29+BALANCING!AAS16</f>
        <v/>
      </c>
      <c r="AAT29" s="110">
        <f>AAS29+BALANCING!AAT16</f>
        <v/>
      </c>
      <c r="AAU29" s="110">
        <f>AAT29+BALANCING!AAU16</f>
        <v/>
      </c>
      <c r="AAV29" s="110">
        <f>AAU29+BALANCING!AAV16</f>
        <v/>
      </c>
      <c r="AAW29" s="130" t="n"/>
      <c r="AAX29" s="110">
        <f>AAW29+BALANCING!AAX16</f>
        <v/>
      </c>
      <c r="AAY29" s="110">
        <f>AAX29+BALANCING!AAY16</f>
        <v/>
      </c>
      <c r="AAZ29" s="110">
        <f>AAY29+BALANCING!AAZ16</f>
        <v/>
      </c>
      <c r="ABA29" s="110">
        <f>AAZ29+BALANCING!ABA16</f>
        <v/>
      </c>
      <c r="ABB29" s="110">
        <f>ABA29+BALANCING!ABB16</f>
        <v/>
      </c>
      <c r="ABC29" s="110">
        <f>ABB29+BALANCING!ABC16</f>
        <v/>
      </c>
      <c r="ABD29" s="110">
        <f>ABC29+BALANCING!ABD16</f>
        <v/>
      </c>
      <c r="ABE29" s="110">
        <f>ABD29+BALANCING!ABE16</f>
        <v/>
      </c>
      <c r="ABF29" s="110">
        <f>ABE29+BALANCING!ABF16</f>
        <v/>
      </c>
      <c r="ABG29" s="110">
        <f>ABF29+BALANCING!ABG16</f>
        <v/>
      </c>
      <c r="ABH29" s="110">
        <f>ABG29+BALANCING!ABH16</f>
        <v/>
      </c>
      <c r="ABI29" s="110">
        <f>ABH29+BALANCING!ABI16</f>
        <v/>
      </c>
      <c r="ABJ29" s="110">
        <f>ABI29+BALANCING!ABJ16</f>
        <v/>
      </c>
      <c r="ABK29" s="110">
        <f>ABJ29+BALANCING!ABK16</f>
        <v/>
      </c>
      <c r="ABL29" s="110">
        <f>ABK29+BALANCING!ABL16</f>
        <v/>
      </c>
      <c r="ABM29" s="110">
        <f>ABL29+BALANCING!ABM16</f>
        <v/>
      </c>
      <c r="ABN29" s="110">
        <f>ABM29+BALANCING!ABN16</f>
        <v/>
      </c>
      <c r="ABO29" s="110">
        <f>ABN29+BALANCING!ABO16</f>
        <v/>
      </c>
      <c r="ABP29" s="110">
        <f>ABO29+BALANCING!ABP16</f>
        <v/>
      </c>
      <c r="ABQ29" s="110">
        <f>ABP29+BALANCING!ABQ16</f>
        <v/>
      </c>
      <c r="ABR29" s="110">
        <f>ABQ29+BALANCING!ABR16</f>
        <v/>
      </c>
      <c r="ABS29" s="110">
        <f>ABR29+BALANCING!ABS16</f>
        <v/>
      </c>
      <c r="ABT29" s="110">
        <f>ABS29+BALANCING!ABT16</f>
        <v/>
      </c>
      <c r="ABU29" s="110">
        <f>ABT29+BALANCING!ABU16</f>
        <v/>
      </c>
      <c r="ABV29" s="110">
        <f>ABU29+BALANCING!ABV16</f>
        <v/>
      </c>
      <c r="ABW29" s="110">
        <f>ABV29+BALANCING!ABW16</f>
        <v/>
      </c>
      <c r="ABX29" s="110">
        <f>ABW29+BALANCING!ABX16</f>
        <v/>
      </c>
      <c r="ABY29" s="110">
        <f>ABX29+BALANCING!ABY16</f>
        <v/>
      </c>
      <c r="ABZ29" s="110">
        <f>ABY29+BALANCING!ABZ16</f>
        <v/>
      </c>
      <c r="ACA29" s="110">
        <f>ABZ29+BALANCING!ACA16</f>
        <v/>
      </c>
      <c r="ACB29" s="110">
        <f>ACA29+BALANCING!ACB16</f>
        <v/>
      </c>
      <c r="ACC29" s="130" t="n"/>
      <c r="ACD29" s="110">
        <f>ACC29+BALANCING!ACD16</f>
        <v/>
      </c>
      <c r="ACE29" s="110">
        <f>ACD29+BALANCING!ACE16</f>
        <v/>
      </c>
      <c r="ACF29" s="110">
        <f>ACE29+BALANCING!ACF16</f>
        <v/>
      </c>
      <c r="ACG29" s="110">
        <f>ACF29+BALANCING!ACG16</f>
        <v/>
      </c>
      <c r="ACH29" s="110">
        <f>ACG29+BALANCING!ACH16</f>
        <v/>
      </c>
      <c r="ACI29" s="110">
        <f>ACH29+BALANCING!ACI16</f>
        <v/>
      </c>
      <c r="ACJ29" s="110">
        <f>ACI29+BALANCING!ACJ16</f>
        <v/>
      </c>
      <c r="ACK29" s="110">
        <f>ACJ29+BALANCING!ACK16</f>
        <v/>
      </c>
      <c r="ACL29" s="110">
        <f>ACK29+BALANCING!ACL16</f>
        <v/>
      </c>
      <c r="ACM29" s="110">
        <f>ACL29+BALANCING!ACM16</f>
        <v/>
      </c>
      <c r="ACN29" s="110">
        <f>ACM29+BALANCING!ACN16</f>
        <v/>
      </c>
      <c r="ACO29" s="110">
        <f>ACN29+BALANCING!ACO16</f>
        <v/>
      </c>
      <c r="ACP29" s="110">
        <f>ACO29+BALANCING!ACP16</f>
        <v/>
      </c>
      <c r="ACQ29" s="110">
        <f>ACP29+BALANCING!ACQ16</f>
        <v/>
      </c>
      <c r="ACR29" s="110">
        <f>ACQ29+BALANCING!ACR16</f>
        <v/>
      </c>
      <c r="ACS29" s="110">
        <f>ACR29+BALANCING!ACS16</f>
        <v/>
      </c>
      <c r="ACT29" s="110">
        <f>ACS29+BALANCING!ACT16</f>
        <v/>
      </c>
      <c r="ACU29" s="110">
        <f>ACT29+BALANCING!ACU16</f>
        <v/>
      </c>
      <c r="ACV29" s="110">
        <f>ACU29+BALANCING!ACV16</f>
        <v/>
      </c>
      <c r="ACW29" s="110">
        <f>ACV29+BALANCING!ACW16</f>
        <v/>
      </c>
      <c r="ACX29" s="110">
        <f>ACW29+BALANCING!ACX16</f>
        <v/>
      </c>
      <c r="ACY29" s="110">
        <f>ACX29+BALANCING!ACY16</f>
        <v/>
      </c>
      <c r="ACZ29" s="110">
        <f>ACY29+BALANCING!ACZ16</f>
        <v/>
      </c>
      <c r="ADA29" s="110">
        <f>ACZ29+BALANCING!ADA16</f>
        <v/>
      </c>
      <c r="ADB29" s="110">
        <f>ADA29+BALANCING!ADB16</f>
        <v/>
      </c>
      <c r="ADC29" s="110">
        <f>ADB29+BALANCING!ADC16</f>
        <v/>
      </c>
      <c r="ADD29" s="110">
        <f>ADC29+BALANCING!ADD16</f>
        <v/>
      </c>
      <c r="ADE29" s="110">
        <f>ADD29+BALANCING!ADE16</f>
        <v/>
      </c>
      <c r="ADF29" s="110">
        <f>ADE29+BALANCING!ADF16</f>
        <v/>
      </c>
      <c r="ADG29" s="110">
        <f>ADF29+BALANCING!ADG16</f>
        <v/>
      </c>
      <c r="ADH29" s="110">
        <f>ADG29+BALANCING!ADH16</f>
        <v/>
      </c>
      <c r="ADI29" s="130" t="n"/>
      <c r="ADJ29" s="110">
        <f>ADI29+BALANCING!ADJ16</f>
        <v/>
      </c>
      <c r="ADK29" s="110">
        <f>ADJ29+BALANCING!ADK16</f>
        <v/>
      </c>
      <c r="ADL29" s="110">
        <f>ADK29+BALANCING!ADL16</f>
        <v/>
      </c>
      <c r="ADM29" s="110">
        <f>ADL29+BALANCING!ADM16</f>
        <v/>
      </c>
      <c r="ADN29" s="110">
        <f>ADM29+BALANCING!ADN16</f>
        <v/>
      </c>
      <c r="ADO29" s="110">
        <f>ADN29+BALANCING!ADO16</f>
        <v/>
      </c>
      <c r="ADP29" s="110">
        <f>ADO29+BALANCING!ADP16</f>
        <v/>
      </c>
      <c r="ADQ29" s="110">
        <f>ADP29+BALANCING!ADQ16</f>
        <v/>
      </c>
      <c r="ADR29" s="110">
        <f>ADQ29+BALANCING!ADR16</f>
        <v/>
      </c>
      <c r="ADS29" s="110">
        <f>ADR29+BALANCING!ADS16</f>
        <v/>
      </c>
      <c r="ADT29" s="110">
        <f>ADS29+BALANCING!ADT16</f>
        <v/>
      </c>
      <c r="ADU29" s="110">
        <f>ADT29+BALANCING!ADU16</f>
        <v/>
      </c>
      <c r="ADV29" s="110">
        <f>ADU29+BALANCING!ADV16</f>
        <v/>
      </c>
      <c r="ADW29" s="110">
        <f>ADV29+BALANCING!ADW16</f>
        <v/>
      </c>
      <c r="ADX29" s="110">
        <f>ADW29+BALANCING!ADX16</f>
        <v/>
      </c>
      <c r="ADY29" s="110">
        <f>ADX29+BALANCING!ADY16</f>
        <v/>
      </c>
      <c r="ADZ29" s="110">
        <f>ADY29+BALANCING!ADZ16</f>
        <v/>
      </c>
      <c r="AEA29" s="110">
        <f>ADZ29+BALANCING!AEA16</f>
        <v/>
      </c>
      <c r="AEB29" s="110">
        <f>AEA29+BALANCING!AEB16</f>
        <v/>
      </c>
      <c r="AEC29" s="110">
        <f>AEB29+BALANCING!AEC16</f>
        <v/>
      </c>
      <c r="AED29" s="110">
        <f>AEC29+BALANCING!AED16</f>
        <v/>
      </c>
      <c r="AEE29" s="110">
        <f>AED29+BALANCING!AEE16</f>
        <v/>
      </c>
      <c r="AEF29" s="110">
        <f>AEE29+BALANCING!AEF16</f>
        <v/>
      </c>
      <c r="AEG29" s="110">
        <f>AEF29+BALANCING!AEG16</f>
        <v/>
      </c>
      <c r="AEH29" s="110">
        <f>AEG29+BALANCING!AEH16</f>
        <v/>
      </c>
      <c r="AEI29" s="110">
        <f>AEH29+BALANCING!AEI16</f>
        <v/>
      </c>
      <c r="AEJ29" s="110">
        <f>AEI29+BALANCING!AEJ16</f>
        <v/>
      </c>
      <c r="AEK29" s="110">
        <f>AEJ29+BALANCING!AEK16</f>
        <v/>
      </c>
      <c r="AEL29" s="110">
        <f>AEK29+BALANCING!AEL16</f>
        <v/>
      </c>
      <c r="AEM29" s="110">
        <f>AEL29+BALANCING!AEM16</f>
        <v/>
      </c>
      <c r="AEN29" s="130" t="n"/>
      <c r="AEO29" s="110">
        <f>AEN29+BALANCING!AEO16</f>
        <v/>
      </c>
      <c r="AEP29" s="110">
        <f>AEO29+BALANCING!AEP16</f>
        <v/>
      </c>
      <c r="AEQ29" s="110">
        <f>AEP29+BALANCING!AEQ16</f>
        <v/>
      </c>
      <c r="AER29" s="110">
        <f>AEQ29+BALANCING!AER16</f>
        <v/>
      </c>
      <c r="AES29" s="110">
        <f>AER29+BALANCING!AES16</f>
        <v/>
      </c>
      <c r="AET29" s="110">
        <f>AES29+BALANCING!AET16</f>
        <v/>
      </c>
      <c r="AEU29" s="110">
        <f>AET29+BALANCING!AEU16</f>
        <v/>
      </c>
      <c r="AEV29" s="110">
        <f>AEU29+BALANCING!AEV16</f>
        <v/>
      </c>
      <c r="AEW29" s="110">
        <f>AEV29+BALANCING!AEW16</f>
        <v/>
      </c>
      <c r="AEX29" s="110">
        <f>AEW29+BALANCING!AEX16</f>
        <v/>
      </c>
      <c r="AEY29" s="110">
        <f>AEX29+BALANCING!AEY16</f>
        <v/>
      </c>
      <c r="AEZ29" s="110">
        <f>AEY29+BALANCING!AEZ16</f>
        <v/>
      </c>
      <c r="AFA29" s="110">
        <f>AEZ29+BALANCING!AFA16</f>
        <v/>
      </c>
      <c r="AFB29" s="110">
        <f>AFA29+BALANCING!AFB16</f>
        <v/>
      </c>
      <c r="AFC29" s="110">
        <f>AFB29+BALANCING!AFC16</f>
        <v/>
      </c>
      <c r="AFD29" s="110">
        <f>AFC29+BALANCING!AFD16</f>
        <v/>
      </c>
      <c r="AFE29" s="110">
        <f>AFD29+BALANCING!AFE16</f>
        <v/>
      </c>
      <c r="AFF29" s="110">
        <f>AFE29+BALANCING!AFF16</f>
        <v/>
      </c>
      <c r="AFG29" s="110">
        <f>AFF29+BALANCING!AFG16</f>
        <v/>
      </c>
      <c r="AFH29" s="110">
        <f>AFG29+BALANCING!AFH16</f>
        <v/>
      </c>
      <c r="AFI29" s="110">
        <f>AFH29+BALANCING!AFI16</f>
        <v/>
      </c>
      <c r="AFJ29" s="110">
        <f>AFI29+BALANCING!AFJ16</f>
        <v/>
      </c>
      <c r="AFK29" s="110">
        <f>AFJ29+BALANCING!AFK16</f>
        <v/>
      </c>
      <c r="AFL29" s="110">
        <f>AFK29+BALANCING!AFL16</f>
        <v/>
      </c>
      <c r="AFM29" s="110">
        <f>AFL29+BALANCING!AFM16</f>
        <v/>
      </c>
      <c r="AFN29" s="110">
        <f>AFM29+BALANCING!AFN16</f>
        <v/>
      </c>
      <c r="AFO29" s="110">
        <f>AFN29+BALANCING!AFO16</f>
        <v/>
      </c>
      <c r="AFP29" s="110">
        <f>AFO29+BALANCING!AFP16</f>
        <v/>
      </c>
      <c r="AFQ29" s="110">
        <f>AFP29+BALANCING!AFQ16</f>
        <v/>
      </c>
      <c r="AFR29" s="110">
        <f>AFQ29+BALANCING!AFR16</f>
        <v/>
      </c>
      <c r="AFS29" s="110">
        <f>AFR29+BALANCING!AFS16</f>
        <v/>
      </c>
      <c r="AFT29" s="130" t="n"/>
      <c r="AFU29" s="110">
        <f>AFT29+BALANCING!AFU16</f>
        <v/>
      </c>
      <c r="AFV29" s="110">
        <f>AFU29+BALANCING!AFV16</f>
        <v/>
      </c>
      <c r="AFW29" s="110">
        <f>AFV29+BALANCING!AFW16</f>
        <v/>
      </c>
      <c r="AFX29" s="110">
        <f>AFW29+BALANCING!AFX16</f>
        <v/>
      </c>
      <c r="AFY29" s="110">
        <f>AFX29+BALANCING!AFY16</f>
        <v/>
      </c>
      <c r="AFZ29" s="110">
        <f>AFY29+BALANCING!AFZ16</f>
        <v/>
      </c>
      <c r="AGA29" s="110">
        <f>AFZ29+BALANCING!AGA16</f>
        <v/>
      </c>
      <c r="AGB29" s="110">
        <f>AGA29+BALANCING!AGB16</f>
        <v/>
      </c>
      <c r="AGC29" s="110">
        <f>AGB29+BALANCING!AGC16</f>
        <v/>
      </c>
      <c r="AGD29" s="110">
        <f>AGC29+BALANCING!AGD16</f>
        <v/>
      </c>
      <c r="AGE29" s="110">
        <f>AGD29+BALANCING!AGE16</f>
        <v/>
      </c>
      <c r="AGF29" s="110">
        <f>AGE29+BALANCING!AGF16</f>
        <v/>
      </c>
      <c r="AGG29" s="110">
        <f>AGF29+BALANCING!AGG16</f>
        <v/>
      </c>
      <c r="AGH29" s="110">
        <f>AGG29+BALANCING!AGH16</f>
        <v/>
      </c>
      <c r="AGI29" s="110">
        <f>AGH29+BALANCING!AGI16</f>
        <v/>
      </c>
      <c r="AGJ29" s="110">
        <f>AGI29+BALANCING!AGJ16</f>
        <v/>
      </c>
      <c r="AGK29" s="110">
        <f>AGJ29+BALANCING!AGK16</f>
        <v/>
      </c>
      <c r="AGL29" s="110">
        <f>AGK29+BALANCING!AGL16</f>
        <v/>
      </c>
      <c r="AGM29" s="110">
        <f>AGL29+BALANCING!AGM16</f>
        <v/>
      </c>
      <c r="AGN29" s="110">
        <f>AGM29+BALANCING!AGN16</f>
        <v/>
      </c>
      <c r="AGO29" s="110">
        <f>AGN29+BALANCING!AGO16</f>
        <v/>
      </c>
      <c r="AGP29" s="110">
        <f>AGO29+BALANCING!AGP16</f>
        <v/>
      </c>
      <c r="AGQ29" s="110">
        <f>AGP29+BALANCING!AGQ16</f>
        <v/>
      </c>
      <c r="AGR29" s="110">
        <f>AGQ29+BALANCING!AGR16</f>
        <v/>
      </c>
      <c r="AGS29" s="110">
        <f>AGR29+BALANCING!AGS16</f>
        <v/>
      </c>
      <c r="AGT29" s="110">
        <f>AGS29+BALANCING!AGT16</f>
        <v/>
      </c>
      <c r="AGU29" s="110">
        <f>AGT29+BALANCING!AGU16</f>
        <v/>
      </c>
      <c r="AGV29" s="110">
        <f>AGU29+BALANCING!AGV16</f>
        <v/>
      </c>
      <c r="AGW29" s="110">
        <f>AGV29+BALANCING!AGW16</f>
        <v/>
      </c>
      <c r="AGX29" s="110">
        <f>AGW29+BALANCING!AGX16</f>
        <v/>
      </c>
      <c r="AGY29" s="133" t="n"/>
      <c r="AGZ29" s="110">
        <f>AGY29+BALANCING!AGZ16</f>
        <v/>
      </c>
      <c r="AHA29" s="110">
        <f>AGZ29+BALANCING!AHA16</f>
        <v/>
      </c>
      <c r="AHB29" s="110">
        <f>AHA29+BALANCING!AHB16</f>
        <v/>
      </c>
      <c r="AHC29" s="110">
        <f>AHB29+BALANCING!AHC16</f>
        <v/>
      </c>
      <c r="AHD29" s="110">
        <f>AHC29+BALANCING!AHD16</f>
        <v/>
      </c>
      <c r="AHE29" s="110">
        <f>AHD29+BALANCING!AHE16</f>
        <v/>
      </c>
      <c r="AHF29" s="110">
        <f>AHE29+BALANCING!AHF16</f>
        <v/>
      </c>
      <c r="AHG29" s="110">
        <f>AHF29+BALANCING!AHG16</f>
        <v/>
      </c>
      <c r="AHH29" s="110">
        <f>AHG29+BALANCING!AHH16</f>
        <v/>
      </c>
      <c r="AHI29" s="110">
        <f>AHH29+BALANCING!AHI16</f>
        <v/>
      </c>
      <c r="AHJ29" s="110">
        <f>AHI29+BALANCING!AHJ16</f>
        <v/>
      </c>
      <c r="AHK29" s="110">
        <f>AHJ29+BALANCING!AHK16</f>
        <v/>
      </c>
      <c r="AHL29" s="110">
        <f>AHK29+BALANCING!AHL16</f>
        <v/>
      </c>
      <c r="AHM29" s="110">
        <f>AHL29+BALANCING!AHM16</f>
        <v/>
      </c>
      <c r="AHN29" s="110">
        <f>AHM29+BALANCING!AHN16</f>
        <v/>
      </c>
      <c r="AHO29" s="110">
        <f>AHN29+BALANCING!AHO16</f>
        <v/>
      </c>
      <c r="AHP29" s="110">
        <f>AHO29+BALANCING!AHP16</f>
        <v/>
      </c>
      <c r="AHQ29" s="110">
        <f>AHP29+BALANCING!AHQ16</f>
        <v/>
      </c>
      <c r="AHR29" s="110">
        <f>AHQ29+BALANCING!AHR16</f>
        <v/>
      </c>
      <c r="AHS29" s="110">
        <f>AHR29+BALANCING!AHS16</f>
        <v/>
      </c>
      <c r="AHT29" s="110">
        <f>AHS29+BALANCING!AHT16</f>
        <v/>
      </c>
      <c r="AHU29" s="110">
        <f>AHT29+BALANCING!AHU16</f>
        <v/>
      </c>
      <c r="AHV29" s="110">
        <f>AHU29+BALANCING!AHV16</f>
        <v/>
      </c>
      <c r="AHW29" s="110">
        <f>AHV29+BALANCING!AHW16</f>
        <v/>
      </c>
      <c r="AHX29" s="110">
        <f>AHW29+BALANCING!AHX16</f>
        <v/>
      </c>
      <c r="AHY29" s="110">
        <f>AHX29+BALANCING!AHY16</f>
        <v/>
      </c>
      <c r="AHZ29" s="110">
        <f>AHY29+BALANCING!AHZ16</f>
        <v/>
      </c>
      <c r="AIA29" s="110">
        <f>AHZ29+BALANCING!AIA16</f>
        <v/>
      </c>
      <c r="AIB29" s="110">
        <f>AIA29+BALANCING!AIB16</f>
        <v/>
      </c>
      <c r="AIC29" s="110">
        <f>AIB29+BALANCING!AIC16</f>
        <v/>
      </c>
      <c r="AID29" s="110">
        <f>AIC29+BALANCING!AID16</f>
        <v/>
      </c>
      <c r="AIE29" s="130" t="n"/>
      <c r="AIF29" s="110">
        <f>AIE29+BALANCING!AIF16</f>
        <v/>
      </c>
      <c r="AIG29" s="110">
        <f>AIF29+BALANCING!AIG16</f>
        <v/>
      </c>
      <c r="AIH29" s="110">
        <f>AIG29+BALANCING!AIH16</f>
        <v/>
      </c>
      <c r="AII29" s="110">
        <f>AIH29+BALANCING!AII16</f>
        <v/>
      </c>
      <c r="AIJ29" s="110">
        <f>AII29+BALANCING!AIJ16</f>
        <v/>
      </c>
      <c r="AIK29" s="110">
        <f>AIJ29+BALANCING!AIK16</f>
        <v/>
      </c>
      <c r="AIL29" s="110">
        <f>AIK29+BALANCING!AIL16</f>
        <v/>
      </c>
      <c r="AIM29" s="110">
        <f>AIL29+BALANCING!AIM16</f>
        <v/>
      </c>
      <c r="AIN29" s="110">
        <f>AIM29+BALANCING!AIN16</f>
        <v/>
      </c>
      <c r="AIO29" s="110">
        <f>AIN29+BALANCING!AIO16</f>
        <v/>
      </c>
      <c r="AIP29" s="110">
        <f>AIO29+BALANCING!AIP16</f>
        <v/>
      </c>
      <c r="AIQ29" s="110">
        <f>AIP29+BALANCING!AIQ16</f>
        <v/>
      </c>
      <c r="AIR29" s="110">
        <f>AIQ29+BALANCING!AIR16</f>
        <v/>
      </c>
      <c r="AIS29" s="110">
        <f>AIR29+BALANCING!AIS16</f>
        <v/>
      </c>
      <c r="AIT29" s="110">
        <f>AIS29+BALANCING!AIT16</f>
        <v/>
      </c>
      <c r="AIU29" s="110">
        <f>AIT29+BALANCING!AIU16</f>
        <v/>
      </c>
      <c r="AIV29" s="110">
        <f>AIU29+BALANCING!AIV16</f>
        <v/>
      </c>
      <c r="AIW29" s="110">
        <f>AIV29+BALANCING!AIW16</f>
        <v/>
      </c>
      <c r="AIX29" s="110">
        <f>AIW29+BALANCING!AIX16</f>
        <v/>
      </c>
      <c r="AIY29" s="110">
        <f>AIX29+BALANCING!AIY16</f>
        <v/>
      </c>
      <c r="AIZ29" s="110">
        <f>AIY29+BALANCING!AIZ16</f>
        <v/>
      </c>
      <c r="AJA29" s="110">
        <f>AIZ29+BALANCING!AJA16</f>
        <v/>
      </c>
      <c r="AJB29" s="110">
        <f>AJA29+BALANCING!AJB16</f>
        <v/>
      </c>
      <c r="AJC29" s="110">
        <f>AJB29+BALANCING!AJC16</f>
        <v/>
      </c>
      <c r="AJD29" s="110">
        <f>AJC29+BALANCING!AJD16</f>
        <v/>
      </c>
      <c r="AJE29" s="110">
        <f>AJD29+BALANCING!AJE16</f>
        <v/>
      </c>
      <c r="AJF29" s="110">
        <f>AJE29+BALANCING!AJF16</f>
        <v/>
      </c>
      <c r="AJG29" s="110">
        <f>AJF29+BALANCING!AJG16</f>
        <v/>
      </c>
      <c r="AJH29" s="110">
        <f>AJG29+BALANCING!AJH16</f>
        <v/>
      </c>
      <c r="AJI29" s="110">
        <f>AJH29+BALANCING!AJI16</f>
        <v/>
      </c>
      <c r="AJJ29" s="110">
        <f>AJI29+BALANCING!AJJ16</f>
        <v/>
      </c>
      <c r="AJK29" s="145" t="n"/>
      <c r="AJL29" s="110">
        <f>AJK29+BALANCING!AJL16</f>
        <v/>
      </c>
      <c r="AJM29" s="110">
        <f>AJL29+BALANCING!AJM16</f>
        <v/>
      </c>
      <c r="AJN29" s="110">
        <f>AJM29+BALANCING!AJN16</f>
        <v/>
      </c>
      <c r="AJO29" s="110">
        <f>AJN29+BALANCING!AJO16</f>
        <v/>
      </c>
      <c r="AJP29" s="110">
        <f>AJO29+BALANCING!AJP16</f>
        <v/>
      </c>
      <c r="AJQ29" s="110">
        <f>AJP29+BALANCING!AJQ16</f>
        <v/>
      </c>
      <c r="AJR29" s="110">
        <f>AJQ29+BALANCING!AJR16</f>
        <v/>
      </c>
      <c r="AJS29" s="110">
        <f>AJR29+BALANCING!AJS16</f>
        <v/>
      </c>
      <c r="AJT29" s="110">
        <f>AJS29+BALANCING!AJT16</f>
        <v/>
      </c>
      <c r="AJU29" s="110">
        <f>AJT29+BALANCING!AJU16</f>
        <v/>
      </c>
      <c r="AJV29" s="110">
        <f>AJU29+BALANCING!AJV16</f>
        <v/>
      </c>
      <c r="AJW29" s="110">
        <f>AJV29+BALANCING!AJW16</f>
        <v/>
      </c>
      <c r="AJX29" s="110">
        <f>AJW29+BALANCING!AJX16</f>
        <v/>
      </c>
      <c r="AJY29" s="110">
        <f>AJX29+BALANCING!AJY16</f>
        <v/>
      </c>
      <c r="AJZ29" s="110">
        <f>AJY29+BALANCING!AJZ16</f>
        <v/>
      </c>
      <c r="AKA29" s="110">
        <f>AJZ29+BALANCING!AKA16</f>
        <v/>
      </c>
      <c r="AKB29" s="110">
        <f>AKA29+BALANCING!AKB16</f>
        <v/>
      </c>
      <c r="AKC29" s="110">
        <f>AKB29+BALANCING!AKC16</f>
        <v/>
      </c>
      <c r="AKD29" s="110">
        <f>AKC29+BALANCING!AKD16</f>
        <v/>
      </c>
      <c r="AKE29" s="110">
        <f>AKD29+BALANCING!AKE16</f>
        <v/>
      </c>
      <c r="AKF29" s="110">
        <f>AKE29+BALANCING!AKF16</f>
        <v/>
      </c>
      <c r="AKG29" s="110">
        <f>AKF29+BALANCING!AKG16</f>
        <v/>
      </c>
      <c r="AKH29" s="110">
        <f>AKG29+BALANCING!AKH16</f>
        <v/>
      </c>
      <c r="AKI29" s="110">
        <f>AKH29+BALANCING!AKI16</f>
        <v/>
      </c>
      <c r="AKJ29" s="110">
        <f>AKI29+BALANCING!AKJ16</f>
        <v/>
      </c>
      <c r="AKK29" s="110">
        <f>AKJ29+BALANCING!AKK16</f>
        <v/>
      </c>
      <c r="AKL29" s="110">
        <f>AKK29+BALANCING!AKL16</f>
        <v/>
      </c>
      <c r="AKM29" s="110">
        <f>AKL29+BALANCING!AKM16</f>
        <v/>
      </c>
      <c r="AKN29" s="112" t="n"/>
      <c r="AKO29" s="110">
        <f>AKN29+BALANCING!AKO16</f>
        <v/>
      </c>
      <c r="AKP29" s="110">
        <f>AKO29+BALANCING!AKP16</f>
        <v/>
      </c>
      <c r="AKQ29" s="110">
        <f>AKP29+BALANCING!AKQ16</f>
        <v/>
      </c>
      <c r="AKR29" s="110">
        <f>AKQ29+BALANCING!AKR16</f>
        <v/>
      </c>
      <c r="AKS29" s="110">
        <f>AKR29+BALANCING!AKS16</f>
        <v/>
      </c>
      <c r="AKT29" s="110">
        <f>AKS29+BALANCING!AKT16</f>
        <v/>
      </c>
      <c r="AKU29" s="110">
        <f>AKT29+BALANCING!AKU16</f>
        <v/>
      </c>
      <c r="AKV29" s="110">
        <f>AKU29+BALANCING!AKV16</f>
        <v/>
      </c>
      <c r="AKW29" s="110">
        <f>AKV29+BALANCING!AKW16</f>
        <v/>
      </c>
      <c r="AKX29" s="110">
        <f>AKW29+BALANCING!AKX16</f>
        <v/>
      </c>
      <c r="AKY29" s="110">
        <f>AKX29+BALANCING!AKY16</f>
        <v/>
      </c>
      <c r="AKZ29" s="110">
        <f>AKY29+BALANCING!AKZ16</f>
        <v/>
      </c>
      <c r="ALA29" s="110">
        <f>AKZ29+BALANCING!ALA16</f>
        <v/>
      </c>
      <c r="ALB29" s="110">
        <f>ALA29+BALANCING!ALB16</f>
        <v/>
      </c>
      <c r="ALC29" s="110">
        <f>ALB29+BALANCING!ALC16</f>
        <v/>
      </c>
      <c r="ALD29" s="110">
        <f>ALC29+BALANCING!ALD16</f>
        <v/>
      </c>
      <c r="ALE29" s="110">
        <f>ALD29+BALANCING!ALE16</f>
        <v/>
      </c>
      <c r="ALF29" s="110">
        <f>ALE29+BALANCING!ALF16</f>
        <v/>
      </c>
      <c r="ALG29" s="110">
        <f>ALF29+BALANCING!ALG16</f>
        <v/>
      </c>
      <c r="ALH29" s="110">
        <f>ALG29+BALANCING!ALH16</f>
        <v/>
      </c>
      <c r="ALI29" s="110">
        <f>ALH29+BALANCING!ALI16</f>
        <v/>
      </c>
      <c r="ALJ29" s="110">
        <f>ALI29+BALANCING!ALJ16</f>
        <v/>
      </c>
      <c r="ALK29" s="110">
        <f>ALJ29+BALANCING!ALK16</f>
        <v/>
      </c>
      <c r="ALL29" s="110">
        <f>ALK29+BALANCING!ALL16</f>
        <v/>
      </c>
      <c r="ALM29" s="110">
        <f>ALL29+BALANCING!ALM16</f>
        <v/>
      </c>
      <c r="ALN29" s="110">
        <f>ALM29+BALANCING!ALN16</f>
        <v/>
      </c>
      <c r="ALO29" s="110">
        <f>ALN29+BALANCING!ALO16</f>
        <v/>
      </c>
      <c r="ALP29" s="110">
        <f>ALO29+BALANCING!ALP16</f>
        <v/>
      </c>
      <c r="ALQ29" s="110">
        <f>ALP29+BALANCING!ALQ16</f>
        <v/>
      </c>
      <c r="ALR29" s="110">
        <f>ALQ29+BALANCING!ALR16</f>
        <v/>
      </c>
      <c r="ALS29" s="110">
        <f>ALR29+BALANCING!ALS16</f>
        <v/>
      </c>
      <c r="ALT29" s="130" t="n"/>
      <c r="ALU29" s="110">
        <f>ALT29+BALANCING!ALU16</f>
        <v/>
      </c>
      <c r="ALV29" s="110">
        <f>ALU29+BALANCING!ALV16</f>
        <v/>
      </c>
      <c r="ALW29" s="110">
        <f>ALV29+BALANCING!ALW16</f>
        <v/>
      </c>
      <c r="ALX29" s="110">
        <f>ALW29+BALANCING!ALX16</f>
        <v/>
      </c>
      <c r="ALY29" s="110">
        <f>ALX29+BALANCING!ALY16</f>
        <v/>
      </c>
      <c r="ALZ29" s="110">
        <f>ALY29+BALANCING!ALZ16</f>
        <v/>
      </c>
      <c r="AMA29" s="110">
        <f>ALZ29+BALANCING!AMA16</f>
        <v/>
      </c>
      <c r="AMB29" s="110">
        <f>AMA29+BALANCING!AMB16</f>
        <v/>
      </c>
      <c r="AMC29" s="110">
        <f>AMB29+BALANCING!AMC16</f>
        <v/>
      </c>
      <c r="AMD29" s="110">
        <f>AMC29+BALANCING!AMD16</f>
        <v/>
      </c>
      <c r="AME29" s="110">
        <f>AMD29+BALANCING!AME16</f>
        <v/>
      </c>
      <c r="AMF29" s="110">
        <f>AME29+BALANCING!AMF16</f>
        <v/>
      </c>
      <c r="AMG29" s="110">
        <f>AMF29+BALANCING!AMG16</f>
        <v/>
      </c>
      <c r="AMH29" s="110">
        <f>AMG29+BALANCING!AMH16</f>
        <v/>
      </c>
      <c r="AMI29" s="110">
        <f>AMH29+BALANCING!AMI16</f>
        <v/>
      </c>
      <c r="AMJ29" s="110">
        <f>AMI29+BALANCING!AMJ16</f>
        <v/>
      </c>
      <c r="AMK29" s="110">
        <f>AMJ29+BALANCING!AMK16</f>
        <v/>
      </c>
      <c r="AML29" s="110">
        <f>AMK29+BALANCING!AML16</f>
        <v/>
      </c>
      <c r="AMM29" s="110">
        <f>AML29+BALANCING!AMM16</f>
        <v/>
      </c>
      <c r="AMN29" s="110">
        <f>AMM29+BALANCING!AMN16</f>
        <v/>
      </c>
      <c r="AMO29" s="110">
        <f>AMN29+BALANCING!AMO16</f>
        <v/>
      </c>
      <c r="AMP29" s="110">
        <f>AMO29+BALANCING!AMP16</f>
        <v/>
      </c>
      <c r="AMQ29" s="110">
        <f>AMP29+BALANCING!AMQ16</f>
        <v/>
      </c>
      <c r="AMR29" s="110">
        <f>AMQ29+BALANCING!AMR16</f>
        <v/>
      </c>
      <c r="AMS29" s="110">
        <f>AMR29+BALANCING!AMS16</f>
        <v/>
      </c>
      <c r="AMT29" s="110">
        <f>AMS29+BALANCING!AMT16</f>
        <v/>
      </c>
      <c r="AMU29" s="110">
        <f>AMT29+BALANCING!AMU16</f>
        <v/>
      </c>
      <c r="AMV29" s="110">
        <f>AMU29+BALANCING!AMV16</f>
        <v/>
      </c>
      <c r="AMW29" s="110">
        <f>AMV29+BALANCING!AMW16</f>
        <v/>
      </c>
      <c r="AMX29" s="110">
        <f>AMW29+BALANCING!AMX16</f>
        <v/>
      </c>
      <c r="AMY29" s="130" t="n"/>
      <c r="AMZ29" s="110">
        <f>AMY29+BALANCING!AMZ16</f>
        <v/>
      </c>
      <c r="ANA29" s="110">
        <f>AMZ29+BALANCING!ANA16</f>
        <v/>
      </c>
      <c r="ANB29" s="110">
        <f>ANA29+BALANCING!ANB16</f>
        <v/>
      </c>
      <c r="ANC29" s="110">
        <f>ANB29+BALANCING!ANC16</f>
        <v/>
      </c>
      <c r="AND29" s="110">
        <f>ANC29+BALANCING!AND16</f>
        <v/>
      </c>
      <c r="ANE29" s="110">
        <f>AND29+BALANCING!ANE16</f>
        <v/>
      </c>
      <c r="ANF29" s="110">
        <f>ANE29+BALANCING!ANF16</f>
        <v/>
      </c>
      <c r="ANG29" s="110">
        <f>ANF29+BALANCING!ANG16</f>
        <v/>
      </c>
      <c r="ANH29" s="110">
        <f>ANG29+BALANCING!ANH16</f>
        <v/>
      </c>
      <c r="ANI29" s="110">
        <f>ANH29+BALANCING!ANI16</f>
        <v/>
      </c>
      <c r="ANJ29" s="110">
        <f>ANI29+BALANCING!ANJ16</f>
        <v/>
      </c>
      <c r="ANK29" s="110">
        <f>ANJ29+BALANCING!ANK16</f>
        <v/>
      </c>
      <c r="ANL29" s="110">
        <f>ANK29+BALANCING!ANL16</f>
        <v/>
      </c>
      <c r="ANM29" s="110">
        <f>ANL29+BALANCING!ANM16</f>
        <v/>
      </c>
      <c r="ANN29" s="110">
        <f>ANM29+BALANCING!ANN16</f>
        <v/>
      </c>
      <c r="ANO29" s="110">
        <f>ANN29+BALANCING!ANO16</f>
        <v/>
      </c>
      <c r="ANP29" s="110">
        <f>ANO29+BALANCING!ANP16</f>
        <v/>
      </c>
      <c r="ANQ29" s="110">
        <f>ANP29+BALANCING!ANQ16</f>
        <v/>
      </c>
      <c r="ANR29" s="110">
        <f>ANQ29+BALANCING!ANR16</f>
        <v/>
      </c>
      <c r="ANS29" s="110">
        <f>ANR29+BALANCING!ANS16</f>
        <v/>
      </c>
      <c r="ANT29" s="110">
        <f>ANS29+BALANCING!ANT16</f>
        <v/>
      </c>
      <c r="ANU29" s="110">
        <f>ANT29+BALANCING!ANU16</f>
        <v/>
      </c>
      <c r="ANV29" s="110">
        <f>ANU29+BALANCING!ANV16</f>
        <v/>
      </c>
      <c r="ANW29" s="110">
        <f>ANV29+BALANCING!ANW16</f>
        <v/>
      </c>
      <c r="ANX29" s="110">
        <f>ANW29+BALANCING!ANX16</f>
        <v/>
      </c>
      <c r="ANY29" s="110">
        <f>ANX29+BALANCING!ANY16</f>
        <v/>
      </c>
      <c r="ANZ29" s="110">
        <f>ANY29+BALANCING!ANZ16</f>
        <v/>
      </c>
      <c r="AOA29" s="110">
        <f>ANZ29+BALANCING!AOA16</f>
        <v/>
      </c>
      <c r="AOB29" s="110">
        <f>AOA29+BALANCING!AOB16</f>
        <v/>
      </c>
      <c r="AOC29" s="110">
        <f>AOB29+BALANCING!AOC16</f>
        <v/>
      </c>
    </row>
    <row r="30">
      <c r="B30" t="inlineStr">
        <is>
          <t>Rubis App</t>
        </is>
      </c>
      <c r="C30" s="52">
        <f>BALANCING!C17</f>
        <v/>
      </c>
      <c r="D30" s="52">
        <f>BALANCING!D17</f>
        <v/>
      </c>
      <c r="E30" s="52">
        <f>D30+BALANCING!E17</f>
        <v/>
      </c>
      <c r="F30" s="52">
        <f>E30+BALANCING!F17</f>
        <v/>
      </c>
      <c r="G30" s="52">
        <f>F30+BALANCING!G17</f>
        <v/>
      </c>
      <c r="H30" s="52">
        <f>G30+BALANCING!H17</f>
        <v/>
      </c>
      <c r="I30" s="52">
        <f>H30+BALANCING!I17</f>
        <v/>
      </c>
      <c r="J30" s="52">
        <f>I30+BALANCING!J17</f>
        <v/>
      </c>
      <c r="K30" s="52">
        <f>J30+BALANCING!K17</f>
        <v/>
      </c>
      <c r="L30" s="52">
        <f>K30+BALANCING!L17</f>
        <v/>
      </c>
      <c r="M30" s="52">
        <f>L30+BALANCING!M17</f>
        <v/>
      </c>
      <c r="N30" s="52">
        <f>M30+BALANCING!N17</f>
        <v/>
      </c>
      <c r="O30" s="52">
        <f>N30+BALANCING!O17</f>
        <v/>
      </c>
      <c r="P30" s="52">
        <f>O30+BALANCING!P17</f>
        <v/>
      </c>
      <c r="Q30" s="52">
        <f>P30+BALANCING!Q17</f>
        <v/>
      </c>
      <c r="R30" s="52">
        <f>Q30+BALANCING!R17</f>
        <v/>
      </c>
      <c r="S30" s="52">
        <f>R30+BALANCING!S17</f>
        <v/>
      </c>
      <c r="T30" s="52">
        <f>S30+BALANCING!T17</f>
        <v/>
      </c>
      <c r="U30" s="52">
        <f>T30+BALANCING!U17</f>
        <v/>
      </c>
      <c r="V30" s="52">
        <f>U30+BALANCING!V17</f>
        <v/>
      </c>
      <c r="W30" s="52">
        <f>V30+BALANCING!W17</f>
        <v/>
      </c>
      <c r="X30" s="52">
        <f>W30+BALANCING!X17</f>
        <v/>
      </c>
      <c r="Y30" s="52">
        <f>X30+BALANCING!Y17</f>
        <v/>
      </c>
      <c r="Z30" s="52">
        <f>Y30+BALANCING!Z17</f>
        <v/>
      </c>
      <c r="AA30" s="52">
        <f>Z30+BALANCING!AA17</f>
        <v/>
      </c>
      <c r="AB30" s="52">
        <f>AA30+BALANCING!AB17</f>
        <v/>
      </c>
      <c r="AC30" s="52">
        <f>AB30+BALANCING!AC17</f>
        <v/>
      </c>
      <c r="AD30" s="52">
        <f>AC30+BALANCING!AD17</f>
        <v/>
      </c>
      <c r="AE30" s="52">
        <f>AD30+BALANCING!AE17</f>
        <v/>
      </c>
      <c r="AF30" s="52">
        <f>AE30+BALANCING!AF17</f>
        <v/>
      </c>
      <c r="AG30" s="52">
        <f>AF30+BALANCING!AG17</f>
        <v/>
      </c>
      <c r="AH30" s="98">
        <f>AG30</f>
        <v/>
      </c>
      <c r="AI30" s="82">
        <f>BALANCING!AI17</f>
        <v/>
      </c>
      <c r="AJ30" s="82">
        <f>AI30+BALANCING!AJ17</f>
        <v/>
      </c>
      <c r="AK30" s="82">
        <f>AJ30+BALANCING!AK17</f>
        <v/>
      </c>
      <c r="AL30" s="82">
        <f>AK30+BALANCING!AL17</f>
        <v/>
      </c>
      <c r="AM30" s="82">
        <f>AL30+BALANCING!AM17</f>
        <v/>
      </c>
      <c r="AN30" s="82">
        <f>AM30+BALANCING!AN17</f>
        <v/>
      </c>
      <c r="AO30" s="82">
        <f>AN30+BALANCING!AO17</f>
        <v/>
      </c>
      <c r="AP30" s="82">
        <f>AO30+BALANCING!AP17</f>
        <v/>
      </c>
      <c r="AQ30" s="82">
        <f>AP30+BALANCING!AQ17</f>
        <v/>
      </c>
      <c r="AR30" s="82">
        <f>AQ30+BALANCING!AR17</f>
        <v/>
      </c>
      <c r="AS30" s="82">
        <f>AR30+BALANCING!AS17</f>
        <v/>
      </c>
      <c r="AT30" s="82">
        <f>AS30+BALANCING!AT17</f>
        <v/>
      </c>
      <c r="AU30" s="82">
        <f>AT30+BALANCING!AU17</f>
        <v/>
      </c>
      <c r="AV30" s="82">
        <f>AU30+BALANCING!AV17</f>
        <v/>
      </c>
      <c r="AW30" s="82">
        <f>AV30+BALANCING!AW17</f>
        <v/>
      </c>
      <c r="AX30" s="82">
        <f>AW30+BALANCING!AX17</f>
        <v/>
      </c>
      <c r="AY30" s="82">
        <f>AX30+BALANCING!AY17</f>
        <v/>
      </c>
      <c r="AZ30" s="82">
        <f>AY30+BALANCING!AZ17</f>
        <v/>
      </c>
      <c r="BA30" s="82">
        <f>AZ30+BALANCING!BA17</f>
        <v/>
      </c>
      <c r="BB30" s="82">
        <f>BA30+BALANCING!BB17</f>
        <v/>
      </c>
      <c r="BC30" s="82">
        <f>BB30+BALANCING!BC17</f>
        <v/>
      </c>
      <c r="BD30" s="82">
        <f>BC30+BALANCING!BD17</f>
        <v/>
      </c>
      <c r="BE30" s="82">
        <f>BD30+BALANCING!BE17</f>
        <v/>
      </c>
      <c r="BF30" s="82">
        <f>BE30+BALANCING!BF17</f>
        <v/>
      </c>
      <c r="BG30" s="82">
        <f>BF30+BALANCING!BG17</f>
        <v/>
      </c>
      <c r="BH30" s="82">
        <f>BG30+BALANCING!BH17</f>
        <v/>
      </c>
      <c r="BI30" s="82">
        <f>BH30+BALANCING!BI17</f>
        <v/>
      </c>
      <c r="BJ30" s="82">
        <f>BI30+BALANCING!BJ17</f>
        <v/>
      </c>
      <c r="BK30" s="82">
        <f>BJ30+BALANCING!BK17</f>
        <v/>
      </c>
      <c r="BL30" s="82">
        <f>BK30+BALANCING!BL17</f>
        <v/>
      </c>
      <c r="BM30" s="106" t="n">
        <v>0</v>
      </c>
      <c r="BN30" s="82">
        <f>BM30+BALANCING!BN17</f>
        <v/>
      </c>
      <c r="BO30" s="82">
        <f>BN30+BALANCING!BO17</f>
        <v/>
      </c>
      <c r="BP30" s="82">
        <f>BO30+BALANCING!BP17</f>
        <v/>
      </c>
      <c r="BQ30" s="82">
        <f>BP30+BALANCING!BQ17</f>
        <v/>
      </c>
      <c r="BR30" s="82">
        <f>BQ30+BALANCING!BR17</f>
        <v/>
      </c>
      <c r="BS30" s="82">
        <f>BR30+BALANCING!BS17</f>
        <v/>
      </c>
      <c r="BT30" s="82">
        <f>BS30+BALANCING!BT17</f>
        <v/>
      </c>
      <c r="BU30" s="82">
        <f>BT30+BALANCING!BU17</f>
        <v/>
      </c>
      <c r="BV30" s="82">
        <f>BU30+BALANCING!BV17</f>
        <v/>
      </c>
      <c r="BW30" s="82">
        <f>BV30+BALANCING!BW17</f>
        <v/>
      </c>
      <c r="BX30" s="82">
        <f>BW30+BALANCING!BX17</f>
        <v/>
      </c>
      <c r="BY30" s="82">
        <f>BX30+BALANCING!BY17</f>
        <v/>
      </c>
      <c r="BZ30" s="82">
        <f>BY30+BALANCING!BZ17</f>
        <v/>
      </c>
      <c r="CA30" s="82">
        <f>BZ30+BALANCING!CA17</f>
        <v/>
      </c>
      <c r="CB30" s="82">
        <f>CA30+BALANCING!CB17</f>
        <v/>
      </c>
      <c r="CC30" s="82">
        <f>CB30+BALANCING!CC17</f>
        <v/>
      </c>
      <c r="CD30" s="82">
        <f>CC30+BALANCING!CD17</f>
        <v/>
      </c>
      <c r="CE30" s="82">
        <f>CD30+BALANCING!CE17</f>
        <v/>
      </c>
      <c r="CF30" s="82">
        <f>CE30+BALANCING!CF17</f>
        <v/>
      </c>
      <c r="CG30" s="82">
        <f>CF30+BALANCING!CG17</f>
        <v/>
      </c>
      <c r="CH30" s="82">
        <f>CG30+BALANCING!CH17</f>
        <v/>
      </c>
      <c r="CI30" s="82">
        <f>CH30+BALANCING!CI17</f>
        <v/>
      </c>
      <c r="CJ30" s="82">
        <f>CI30+BALANCING!CJ17</f>
        <v/>
      </c>
      <c r="CK30" s="82">
        <f>CJ30+BALANCING!CK17</f>
        <v/>
      </c>
      <c r="CL30" s="82">
        <f>CK30+BALANCING!CL17</f>
        <v/>
      </c>
      <c r="CM30" s="82">
        <f>CL30+BALANCING!CM17</f>
        <v/>
      </c>
      <c r="CN30" s="82">
        <f>CM30+BALANCING!CN17</f>
        <v/>
      </c>
      <c r="CO30" s="82">
        <f>CN30+BALANCING!CO17</f>
        <v/>
      </c>
      <c r="CP30" s="82">
        <f>CO30+BALANCING!CP17</f>
        <v/>
      </c>
      <c r="CQ30" s="82">
        <f>CP30+BALANCING!CQ17</f>
        <v/>
      </c>
      <c r="CR30" s="82">
        <f>CQ30+BALANCING!CR17</f>
        <v/>
      </c>
      <c r="CT30" s="82">
        <f>CS30+BALANCING!CT17</f>
        <v/>
      </c>
      <c r="CU30" s="82">
        <f>CT30+BALANCING!CU17</f>
        <v/>
      </c>
      <c r="CV30" s="82">
        <f>CU30+BALANCING!CV17</f>
        <v/>
      </c>
      <c r="CW30" s="82">
        <f>CV30+BALANCING!CW17</f>
        <v/>
      </c>
      <c r="CX30" s="82">
        <f>CW30</f>
        <v/>
      </c>
      <c r="CY30" s="82">
        <f>CX30+BALANCING!CY17</f>
        <v/>
      </c>
      <c r="CZ30" s="82">
        <f>CY30+BALANCING!CZ17</f>
        <v/>
      </c>
      <c r="DA30" s="82">
        <f>CZ30+BALANCING!DA17</f>
        <v/>
      </c>
      <c r="DB30" s="82">
        <f>DA30+BALANCING!DB17</f>
        <v/>
      </c>
      <c r="DC30" s="82">
        <f>DB30+BALANCING!DC17</f>
        <v/>
      </c>
      <c r="DD30" s="82">
        <f>DC30+BALANCING!DD17</f>
        <v/>
      </c>
      <c r="DE30" s="82">
        <f>DD30+BALANCING!DE17</f>
        <v/>
      </c>
      <c r="DF30" s="82">
        <f>DE30+BALANCING!DF17</f>
        <v/>
      </c>
      <c r="DG30" s="82">
        <f>DF30+BALANCING!DG17</f>
        <v/>
      </c>
      <c r="DH30" s="82">
        <f>DG30+BALANCING!DH17</f>
        <v/>
      </c>
      <c r="DI30" s="82">
        <f>DH30+BALANCING!DI17</f>
        <v/>
      </c>
      <c r="DJ30" s="82">
        <f>DI30+BALANCING!DJ17</f>
        <v/>
      </c>
      <c r="DK30" s="82">
        <f>DJ30+BALANCING!DK17</f>
        <v/>
      </c>
      <c r="DL30" s="82">
        <f>DK30+BALANCING!DL17</f>
        <v/>
      </c>
      <c r="DM30" s="82">
        <f>DL30+BALANCING!DM17</f>
        <v/>
      </c>
      <c r="DN30" s="82">
        <f>DM30+BALANCING!DN17</f>
        <v/>
      </c>
      <c r="DO30" s="82">
        <f>DN30+BALANCING!DO17</f>
        <v/>
      </c>
      <c r="DP30" s="82">
        <f>DO30+BALANCING!DP17</f>
        <v/>
      </c>
      <c r="DQ30" s="82">
        <f>DP30+BALANCING!DQ17</f>
        <v/>
      </c>
      <c r="DR30" s="82">
        <f>DQ30+BALANCING!DR17</f>
        <v/>
      </c>
      <c r="DS30" s="82">
        <f>DR30+BALANCING!DS17</f>
        <v/>
      </c>
      <c r="DT30" s="82">
        <f>DS30+BALANCING!DT17</f>
        <v/>
      </c>
      <c r="DU30" s="82">
        <f>DT30+BALANCING!DU17</f>
        <v/>
      </c>
      <c r="DV30" s="82">
        <f>DU30+BALANCING!DV17</f>
        <v/>
      </c>
      <c r="DW30" s="82">
        <f>DV30+BALANCING!DW17</f>
        <v/>
      </c>
      <c r="DX30" s="117" t="n"/>
      <c r="DY30" s="82">
        <f>DX30+BALANCING!DY17</f>
        <v/>
      </c>
      <c r="DZ30" s="82">
        <f>DY30+BALANCING!DZ17</f>
        <v/>
      </c>
      <c r="EA30" s="82">
        <f>DZ30+BALANCING!EA17</f>
        <v/>
      </c>
      <c r="EB30" s="82">
        <f>EA30+BALANCING!EB17</f>
        <v/>
      </c>
      <c r="EC30" s="82">
        <f>EB30+BALANCING!EC17</f>
        <v/>
      </c>
      <c r="ED30" s="82">
        <f>EC30+BALANCING!ED17</f>
        <v/>
      </c>
      <c r="EE30" s="82">
        <f>ED30+BALANCING!EE17</f>
        <v/>
      </c>
      <c r="EF30" s="82">
        <f>EE30+BALANCING!EF17</f>
        <v/>
      </c>
      <c r="EG30" s="82">
        <f>EF30+BALANCING!EG17</f>
        <v/>
      </c>
      <c r="EH30" s="82">
        <f>EG30+BALANCING!EH17</f>
        <v/>
      </c>
      <c r="EI30" s="82">
        <f>EH30+BALANCING!EI17</f>
        <v/>
      </c>
      <c r="EJ30" s="82">
        <f>EI30+BALANCING!EJ17</f>
        <v/>
      </c>
      <c r="EK30" s="82">
        <f>EJ30+BALANCING!EK17</f>
        <v/>
      </c>
      <c r="EL30" s="82">
        <f>EK30+BALANCING!EL17</f>
        <v/>
      </c>
      <c r="EM30" s="82">
        <f>EL30+BALANCING!EM17</f>
        <v/>
      </c>
      <c r="EN30" s="82">
        <f>EM30+BALANCING!EN17</f>
        <v/>
      </c>
      <c r="EO30" s="82">
        <f>EN30+BALANCING!EO17</f>
        <v/>
      </c>
      <c r="EP30" s="82">
        <f>EO30+BALANCING!EP17</f>
        <v/>
      </c>
      <c r="EQ30" s="82">
        <f>EP30+BALANCING!EQ17</f>
        <v/>
      </c>
      <c r="ER30" s="82">
        <f>EQ30+BALANCING!ER17</f>
        <v/>
      </c>
      <c r="ES30" s="82">
        <f>ER30+BALANCING!ES17</f>
        <v/>
      </c>
      <c r="ET30" s="82">
        <f>ES30+BALANCING!ET17</f>
        <v/>
      </c>
      <c r="EU30" s="82">
        <f>ET30+BALANCING!EU17</f>
        <v/>
      </c>
      <c r="EV30" s="82">
        <f>EU30+BALANCING!EV17</f>
        <v/>
      </c>
      <c r="EW30" s="82">
        <f>EV30+BALANCING!EW17</f>
        <v/>
      </c>
      <c r="EX30" s="82">
        <f>EW30+BALANCING!EX17</f>
        <v/>
      </c>
      <c r="EY30" s="82">
        <f>EX30+BALANCING!EY17</f>
        <v/>
      </c>
      <c r="EZ30" s="82">
        <f>EY30+BALANCING!EZ17</f>
        <v/>
      </c>
      <c r="FA30" s="82">
        <f>EZ30+BALANCING!FA17</f>
        <v/>
      </c>
      <c r="FB30" s="82">
        <f>FA30+BALANCING!FB17</f>
        <v/>
      </c>
      <c r="FC30" s="82">
        <f>FB30+BALANCING!FC17</f>
        <v/>
      </c>
      <c r="FD30" s="126" t="n"/>
      <c r="FE30" s="82">
        <f>FD30+BALANCING!FE17</f>
        <v/>
      </c>
      <c r="FF30" s="82">
        <f>FE30+BALANCING!FF17</f>
        <v/>
      </c>
      <c r="FG30" s="82">
        <f>FF30+BALANCING!FG17</f>
        <v/>
      </c>
      <c r="FH30" s="82">
        <f>FG30+BALANCING!FH17</f>
        <v/>
      </c>
      <c r="FI30" s="82">
        <f>FH30+BALANCING!FI17</f>
        <v/>
      </c>
      <c r="FJ30" s="82">
        <f>FI30+BALANCING!FJ17</f>
        <v/>
      </c>
      <c r="FK30" s="82">
        <f>FJ30+BALANCING!FK17</f>
        <v/>
      </c>
      <c r="FL30" s="82">
        <f>FK30+BALANCING!FL17</f>
        <v/>
      </c>
      <c r="FM30" s="82">
        <f>FL30+BALANCING!FM17</f>
        <v/>
      </c>
      <c r="FN30" s="82">
        <f>FM30+BALANCING!FN17</f>
        <v/>
      </c>
      <c r="FO30" s="82">
        <f>FN30+BALANCING!FO17</f>
        <v/>
      </c>
      <c r="FP30" s="82">
        <f>FO30+BALANCING!FP17</f>
        <v/>
      </c>
      <c r="FQ30" s="82">
        <f>FP30+BALANCING!FQ17</f>
        <v/>
      </c>
      <c r="FR30" s="82">
        <f>FQ30+BALANCING!FR17</f>
        <v/>
      </c>
      <c r="FS30" s="82">
        <f>FR30+BALANCING!FS17</f>
        <v/>
      </c>
      <c r="FT30" s="82">
        <f>FS30+BALANCING!FT17</f>
        <v/>
      </c>
      <c r="FU30" s="82">
        <f>FT30+BALANCING!FU17</f>
        <v/>
      </c>
      <c r="FV30" s="82">
        <f>FU30+BALANCING!FV17</f>
        <v/>
      </c>
      <c r="FW30" s="82">
        <f>FV30+BALANCING!FW17</f>
        <v/>
      </c>
      <c r="FX30" s="82">
        <f>FW30+BALANCING!FX17</f>
        <v/>
      </c>
      <c r="FY30" s="82">
        <f>FX30+BALANCING!FY17</f>
        <v/>
      </c>
      <c r="FZ30" s="82">
        <f>FY30+BALANCING!FZ17</f>
        <v/>
      </c>
      <c r="GA30" s="82">
        <f>FZ30+BALANCING!GA17</f>
        <v/>
      </c>
      <c r="GB30" s="82">
        <f>GA30+BALANCING!GB17</f>
        <v/>
      </c>
      <c r="GC30" s="82">
        <f>GB30+BALANCING!GC17</f>
        <v/>
      </c>
      <c r="GD30" s="82">
        <f>GC30+BALANCING!GD17</f>
        <v/>
      </c>
      <c r="GE30" s="82">
        <f>GD30+BALANCING!GE17</f>
        <v/>
      </c>
      <c r="GF30" s="82">
        <f>GE30+BALANCING!GF17</f>
        <v/>
      </c>
      <c r="GG30" s="82">
        <f>GF30+BALANCING!GG17</f>
        <v/>
      </c>
      <c r="GH30" s="82">
        <f>GG30+BALANCING!GH17</f>
        <v/>
      </c>
      <c r="GI30" s="82">
        <f>GH30+BALANCING!GI17</f>
        <v/>
      </c>
      <c r="GJ30" s="130" t="n"/>
      <c r="HF30" s="110">
        <f>HE30+BALANCING!HF17</f>
        <v/>
      </c>
      <c r="HG30" s="110">
        <f>HF30+BALANCING!HG17</f>
        <v/>
      </c>
      <c r="HH30" s="110">
        <f>HG30+BALANCING!HH17</f>
        <v/>
      </c>
      <c r="HI30" s="110">
        <f>HH30+BALANCING!HI17</f>
        <v/>
      </c>
      <c r="HJ30" s="110">
        <f>HI30+BALANCING!HJ17</f>
        <v/>
      </c>
      <c r="HK30" s="110">
        <f>HJ30+BALANCING!HK17</f>
        <v/>
      </c>
      <c r="HL30" s="110">
        <f>HK30+BALANCING!HL17</f>
        <v/>
      </c>
      <c r="HM30" s="110">
        <f>HL30+BALANCING!HM17</f>
        <v/>
      </c>
      <c r="HN30" s="130" t="n"/>
      <c r="HO30" s="110">
        <f>HN30+BALANCING!HO17</f>
        <v/>
      </c>
      <c r="HP30" s="110">
        <f>HO30+BALANCING!HP17</f>
        <v/>
      </c>
      <c r="HQ30" s="110">
        <f>HP30+BALANCING!HQ17</f>
        <v/>
      </c>
      <c r="HR30" s="110">
        <f>HQ30+BALANCING!HR17</f>
        <v/>
      </c>
      <c r="HS30" s="110">
        <f>HR30+BALANCING!HS17</f>
        <v/>
      </c>
      <c r="HT30" s="110">
        <f>HS30+BALANCING!HT17</f>
        <v/>
      </c>
      <c r="HU30" s="110">
        <f>HT30+BALANCING!HU17</f>
        <v/>
      </c>
      <c r="HV30" s="110">
        <f>HU30+BALANCING!HV17</f>
        <v/>
      </c>
      <c r="HW30" s="110">
        <f>HV30+BALANCING!HW17</f>
        <v/>
      </c>
      <c r="HX30" s="110">
        <f>HW30+BALANCING!HX17</f>
        <v/>
      </c>
      <c r="HY30" s="110">
        <f>HX30+BALANCING!HY17</f>
        <v/>
      </c>
      <c r="HZ30" s="110">
        <f>HY30+BALANCING!HZ17</f>
        <v/>
      </c>
      <c r="IA30" s="110">
        <f>HZ30+BALANCING!IA17</f>
        <v/>
      </c>
      <c r="IB30" s="110">
        <f>IA30+BALANCING!IB17</f>
        <v/>
      </c>
      <c r="IC30" s="110">
        <f>IB30+BALANCING!IC17</f>
        <v/>
      </c>
      <c r="ID30" s="110">
        <f>IC30+BALANCING!ID17</f>
        <v/>
      </c>
      <c r="IE30" s="110">
        <f>ID30+BALANCING!IE17</f>
        <v/>
      </c>
      <c r="IF30" s="110">
        <f>IE30+BALANCING!IF17</f>
        <v/>
      </c>
      <c r="IG30" s="110">
        <f>IF30+BALANCING!IG17</f>
        <v/>
      </c>
      <c r="IH30" s="110">
        <f>IG30+BALANCING!IH17</f>
        <v/>
      </c>
      <c r="II30" s="110">
        <f>IH30+BALANCING!II17</f>
        <v/>
      </c>
      <c r="IJ30" s="110">
        <f>II30+BALANCING!IJ17</f>
        <v/>
      </c>
      <c r="IK30" s="110">
        <f>IJ30+BALANCING!IK17</f>
        <v/>
      </c>
      <c r="IL30" s="110">
        <f>IK30+BALANCING!IL17</f>
        <v/>
      </c>
      <c r="IM30" s="110">
        <f>IL30+BALANCING!IM17</f>
        <v/>
      </c>
      <c r="IN30" s="110">
        <f>IM30+BALANCING!IN17</f>
        <v/>
      </c>
      <c r="IO30" s="110">
        <f>IN30+BALANCING!IO17</f>
        <v/>
      </c>
      <c r="IP30" s="110">
        <f>IO30+BALANCING!IP17</f>
        <v/>
      </c>
      <c r="IQ30" s="110">
        <f>IP30+BALANCING!IQ17</f>
        <v/>
      </c>
      <c r="IR30" s="110">
        <f>IQ30+BALANCING!IR17</f>
        <v/>
      </c>
      <c r="IS30" s="110">
        <f>IR30+BALANCING!IS17</f>
        <v/>
      </c>
      <c r="IT30" s="130" t="n"/>
      <c r="IU30" s="110">
        <f>IT30+BALANCING!IU17</f>
        <v/>
      </c>
      <c r="IV30" s="110">
        <f>IU30+BALANCING!IV17</f>
        <v/>
      </c>
      <c r="IW30" s="110">
        <f>IV30+BALANCING!IW17</f>
        <v/>
      </c>
      <c r="IX30" s="110">
        <f>IW30+BALANCING!IX17</f>
        <v/>
      </c>
      <c r="IY30" s="110">
        <f>IX30+BALANCING!IY17</f>
        <v/>
      </c>
      <c r="IZ30" s="110">
        <f>IY30+BALANCING!IZ17</f>
        <v/>
      </c>
      <c r="JA30" s="110">
        <f>IZ30+BALANCING!JA17</f>
        <v/>
      </c>
      <c r="JB30" s="110">
        <f>JA30+BALANCING!JB17</f>
        <v/>
      </c>
      <c r="JC30" s="110">
        <f>JB30+BALANCING!JC17</f>
        <v/>
      </c>
      <c r="JD30" s="110">
        <f>JC30+BALANCING!JD17</f>
        <v/>
      </c>
      <c r="JE30" s="110">
        <f>JD30+BALANCING!JE17</f>
        <v/>
      </c>
      <c r="JF30" s="110">
        <f>JE30+BALANCING!JF17</f>
        <v/>
      </c>
      <c r="JG30" s="110">
        <f>JF30+BALANCING!JG17</f>
        <v/>
      </c>
      <c r="JH30" s="110">
        <f>JG30+BALANCING!JH17</f>
        <v/>
      </c>
      <c r="JI30" s="110">
        <f>JH30+BALANCING!JI17</f>
        <v/>
      </c>
      <c r="JJ30" s="110">
        <f>JI30+BALANCING!JJ17</f>
        <v/>
      </c>
      <c r="JK30" s="110">
        <f>JJ30+BALANCING!JK17</f>
        <v/>
      </c>
      <c r="JL30" s="110">
        <f>JK30+BALANCING!JL17</f>
        <v/>
      </c>
      <c r="JM30" s="110">
        <f>JL30+BALANCING!JM17</f>
        <v/>
      </c>
      <c r="JN30" s="110">
        <f>JM30+BALANCING!JN17</f>
        <v/>
      </c>
      <c r="JO30" s="110">
        <f>JN30+BALANCING!JO17</f>
        <v/>
      </c>
      <c r="JP30" s="110">
        <f>JO30+BALANCING!JP17</f>
        <v/>
      </c>
      <c r="JQ30" s="110">
        <f>JP30+BALANCING!JQ17</f>
        <v/>
      </c>
      <c r="JR30" s="110">
        <f>JQ30+BALANCING!JR17</f>
        <v/>
      </c>
      <c r="JS30" s="110">
        <f>JR30+BALANCING!JS17</f>
        <v/>
      </c>
      <c r="JT30" s="110">
        <f>JS30+BALANCING!JT17</f>
        <v/>
      </c>
      <c r="JU30" s="110">
        <f>JT30+BALANCING!JU17</f>
        <v/>
      </c>
      <c r="JV30" s="110">
        <f>JU30+BALANCING!JV17</f>
        <v/>
      </c>
      <c r="JW30" s="110">
        <f>JV30+BALANCING!JW17</f>
        <v/>
      </c>
      <c r="JX30" s="110">
        <f>JW30+BALANCING!JX17</f>
        <v/>
      </c>
      <c r="JY30" s="133" t="n"/>
      <c r="JZ30" s="110">
        <f>JY30+BALANCING!JZ17</f>
        <v/>
      </c>
      <c r="KA30" s="110">
        <f>JZ30+BALANCING!KA17</f>
        <v/>
      </c>
      <c r="KB30" s="110">
        <f>KA30+BALANCING!KB17</f>
        <v/>
      </c>
      <c r="KC30" s="110">
        <f>KB30+BALANCING!KC17</f>
        <v/>
      </c>
      <c r="KD30" s="110">
        <f>KC30+BALANCING!KD17</f>
        <v/>
      </c>
      <c r="KE30" s="110">
        <f>KD30+BALANCING!KE17</f>
        <v/>
      </c>
      <c r="KF30" s="110">
        <f>KE30+BALANCING!KF17</f>
        <v/>
      </c>
      <c r="KG30" s="110">
        <f>KF30+BALANCING!KG17</f>
        <v/>
      </c>
      <c r="KH30" s="110">
        <f>KG30+BALANCING!KH17</f>
        <v/>
      </c>
      <c r="KI30" s="110">
        <f>KH30+BALANCING!KI17</f>
        <v/>
      </c>
      <c r="KJ30" s="110">
        <f>KI30+BALANCING!KJ17</f>
        <v/>
      </c>
      <c r="KK30" s="110">
        <f>KJ30+BALANCING!KK17</f>
        <v/>
      </c>
      <c r="KL30" s="110">
        <f>KK30+BALANCING!KL17</f>
        <v/>
      </c>
      <c r="KM30" s="110">
        <f>KL30+BALANCING!KM17</f>
        <v/>
      </c>
      <c r="KN30" s="110">
        <f>KM30+BALANCING!KN17</f>
        <v/>
      </c>
      <c r="KO30" s="110">
        <f>KN30+BALANCING!KO17</f>
        <v/>
      </c>
      <c r="KP30" s="110">
        <f>KO30+BALANCING!KP17</f>
        <v/>
      </c>
      <c r="KQ30" s="110">
        <f>KP30+BALANCING!KQ17</f>
        <v/>
      </c>
      <c r="KR30" s="110">
        <f>KQ30+BALANCING!KR17</f>
        <v/>
      </c>
      <c r="KS30" s="110">
        <f>KR30+BALANCING!KS17</f>
        <v/>
      </c>
      <c r="KT30" s="110">
        <f>KS30+BALANCING!KT17</f>
        <v/>
      </c>
      <c r="KU30" s="110">
        <f>KT30+BALANCING!KU17</f>
        <v/>
      </c>
      <c r="KV30" s="110">
        <f>KU30+BALANCING!KV17</f>
        <v/>
      </c>
      <c r="KW30" s="110">
        <f>KV30+BALANCING!KW17</f>
        <v/>
      </c>
      <c r="KX30" s="110">
        <f>KW30+BALANCING!KX17</f>
        <v/>
      </c>
      <c r="KY30" s="110">
        <f>KX30+BALANCING!KY17</f>
        <v/>
      </c>
      <c r="KZ30" s="110">
        <f>KY30+BALANCING!KZ17</f>
        <v/>
      </c>
      <c r="LA30" s="110">
        <f>KZ30+BALANCING!LA17</f>
        <v/>
      </c>
      <c r="LB30" s="110">
        <f>LA30+BALANCING!LB17</f>
        <v/>
      </c>
      <c r="LC30" s="110">
        <f>LB30+BALANCING!LC17</f>
        <v/>
      </c>
      <c r="LD30" s="110">
        <f>LC30+BALANCING!LD17</f>
        <v/>
      </c>
      <c r="LE30" s="130" t="n"/>
      <c r="LF30" s="110">
        <f>LE30+BALANCING!LF17</f>
        <v/>
      </c>
      <c r="LG30" s="110">
        <f>LF30+BALANCING!LG17</f>
        <v/>
      </c>
      <c r="LH30" s="110">
        <f>LG30+BALANCING!LH17</f>
        <v/>
      </c>
      <c r="LI30" s="110">
        <f>LH30+BALANCING!LI17</f>
        <v/>
      </c>
      <c r="LJ30" s="110">
        <f>LI30+BALANCING!LJ17</f>
        <v/>
      </c>
      <c r="LK30" s="110">
        <f>LJ30+BALANCING!LK17</f>
        <v/>
      </c>
      <c r="LL30" s="110">
        <f>LK30+BALANCING!LL17</f>
        <v/>
      </c>
      <c r="LM30" s="110">
        <f>LL30+BALANCING!LM17</f>
        <v/>
      </c>
      <c r="LN30" s="110">
        <f>LM30+BALANCING!LN17</f>
        <v/>
      </c>
      <c r="LO30" s="110">
        <f>LN30+BALANCING!LO17</f>
        <v/>
      </c>
      <c r="LP30" s="110">
        <f>LO30+BALANCING!LP17</f>
        <v/>
      </c>
      <c r="LQ30" s="110">
        <f>LP30+BALANCING!LQ17</f>
        <v/>
      </c>
      <c r="LR30" s="110">
        <f>LQ30+BALANCING!LR17</f>
        <v/>
      </c>
      <c r="LS30" s="110">
        <f>LR30+BALANCING!LS17</f>
        <v/>
      </c>
      <c r="LT30" s="110">
        <f>LS30+BALANCING!LT17</f>
        <v/>
      </c>
      <c r="LU30" s="110">
        <f>LT30+BALANCING!LU17</f>
        <v/>
      </c>
      <c r="LV30" s="110">
        <f>LU30+BALANCING!LV17</f>
        <v/>
      </c>
      <c r="LW30" s="110">
        <f>LV30+BALANCING!LW17</f>
        <v/>
      </c>
      <c r="LX30" s="110">
        <f>LW30+BALANCING!LX17</f>
        <v/>
      </c>
      <c r="LY30" s="110">
        <f>LX30+BALANCING!LY17</f>
        <v/>
      </c>
      <c r="LZ30" s="110">
        <f>LY30+BALANCING!LZ17</f>
        <v/>
      </c>
      <c r="MA30" s="110">
        <f>LZ30+BALANCING!MA17</f>
        <v/>
      </c>
      <c r="MB30" s="110">
        <f>MA30+BALANCING!MB17</f>
        <v/>
      </c>
      <c r="MC30" s="110">
        <f>MB30+BALANCING!MC17</f>
        <v/>
      </c>
      <c r="MD30" s="110">
        <f>MC30+BALANCING!MD17</f>
        <v/>
      </c>
      <c r="ME30" s="110">
        <f>MD30+BALANCING!ME17</f>
        <v/>
      </c>
      <c r="MF30" s="110">
        <f>ME30+BALANCING!MF17</f>
        <v/>
      </c>
      <c r="MG30" s="110">
        <f>MF30+BALANCING!MG17</f>
        <v/>
      </c>
      <c r="MH30" s="110">
        <f>MG30+BALANCING!MH17</f>
        <v/>
      </c>
      <c r="MI30" s="110">
        <f>MH30+BALANCING!MI17</f>
        <v/>
      </c>
      <c r="MJ30" s="133" t="n"/>
      <c r="MK30" s="110">
        <f>MJ30+BALANCING!MK17</f>
        <v/>
      </c>
      <c r="ML30" s="110">
        <f>MK30+BALANCING!ML17</f>
        <v/>
      </c>
      <c r="MM30" s="110">
        <f>ML30+BALANCING!MM17</f>
        <v/>
      </c>
      <c r="MN30" s="110">
        <f>MM30+BALANCING!MN17</f>
        <v/>
      </c>
      <c r="MO30" s="110">
        <f>MN30+BALANCING!MO17</f>
        <v/>
      </c>
      <c r="MP30" s="110">
        <f>MO30+BALANCING!MP17</f>
        <v/>
      </c>
      <c r="MQ30" s="110">
        <f>MP30+BALANCING!MQ17</f>
        <v/>
      </c>
      <c r="MR30" s="110">
        <f>MQ30+BALANCING!MR17</f>
        <v/>
      </c>
      <c r="MS30" s="110">
        <f>MR30+BALANCING!MS17</f>
        <v/>
      </c>
      <c r="MT30" s="110">
        <f>MS30+BALANCING!MT17</f>
        <v/>
      </c>
      <c r="MU30" s="110">
        <f>MT30+BALANCING!MU17</f>
        <v/>
      </c>
      <c r="MV30" s="110">
        <f>MU30+BALANCING!MV17</f>
        <v/>
      </c>
      <c r="MW30" s="110">
        <f>MV30+BALANCING!MW17</f>
        <v/>
      </c>
      <c r="MX30" s="110">
        <f>MW30+BALANCING!MX17</f>
        <v/>
      </c>
      <c r="MY30" s="110">
        <f>MX30+BALANCING!MY17</f>
        <v/>
      </c>
      <c r="MZ30" s="110">
        <f>MY30+BALANCING!MZ17</f>
        <v/>
      </c>
      <c r="NA30" s="110">
        <f>MZ30+BALANCING!NA17</f>
        <v/>
      </c>
      <c r="NB30" s="110">
        <f>NA30+BALANCING!NB17</f>
        <v/>
      </c>
      <c r="NC30" s="110">
        <f>NB30+BALANCING!NC17</f>
        <v/>
      </c>
      <c r="ND30" s="110">
        <f>NC30+BALANCING!ND17</f>
        <v/>
      </c>
      <c r="NE30" s="110">
        <f>ND30+BALANCING!NE17</f>
        <v/>
      </c>
      <c r="NF30" s="110">
        <f>NE30+BALANCING!NF17</f>
        <v/>
      </c>
      <c r="NG30" s="110">
        <f>NF30+BALANCING!NG17</f>
        <v/>
      </c>
      <c r="NH30" s="110">
        <f>NG30+BALANCING!NH17</f>
        <v/>
      </c>
      <c r="NI30" s="110">
        <f>NH30+BALANCING!NI17</f>
        <v/>
      </c>
      <c r="NJ30" s="110">
        <f>NI30+BALANCING!NJ17</f>
        <v/>
      </c>
      <c r="NK30" s="110">
        <f>NJ30+BALANCING!NK17</f>
        <v/>
      </c>
      <c r="NL30" s="110">
        <f>NK30+BALANCING!NL17</f>
        <v/>
      </c>
      <c r="NM30" s="110">
        <f>NL30+BALANCING!NM17</f>
        <v/>
      </c>
      <c r="NN30" s="110">
        <f>NM30+BALANCING!NN17</f>
        <v/>
      </c>
      <c r="NO30" s="110">
        <f>NN30+BALANCING!NO17</f>
        <v/>
      </c>
      <c r="NP30" s="133" t="n"/>
      <c r="NQ30" s="110">
        <f>NP30+BALANCING!NQ17</f>
        <v/>
      </c>
      <c r="NR30" s="110">
        <f>NQ30+BALANCING!NR17</f>
        <v/>
      </c>
      <c r="NS30" s="110">
        <f>NR30+BALANCING!NS17</f>
        <v/>
      </c>
      <c r="NT30" s="110">
        <f>NS30+BALANCING!NT17</f>
        <v/>
      </c>
      <c r="NU30" s="110">
        <f>NT30+BALANCING!NU17</f>
        <v/>
      </c>
      <c r="NV30" s="110">
        <f>NU30+BALANCING!NV17</f>
        <v/>
      </c>
      <c r="NW30" s="110">
        <f>NV30+BALANCING!NW17</f>
        <v/>
      </c>
      <c r="NX30" s="110">
        <f>NW30+BALANCING!NX17</f>
        <v/>
      </c>
      <c r="NY30" s="110">
        <f>NX30+BALANCING!NY17</f>
        <v/>
      </c>
      <c r="NZ30" s="110">
        <f>NY30+BALANCING!NZ17</f>
        <v/>
      </c>
      <c r="OA30" s="110">
        <f>NZ30+BALANCING!OA17</f>
        <v/>
      </c>
      <c r="OB30" s="110">
        <f>OA30+BALANCING!OB17</f>
        <v/>
      </c>
      <c r="OC30" s="110">
        <f>OB30+BALANCING!OC17</f>
        <v/>
      </c>
      <c r="OD30" s="110">
        <f>OC30+BALANCING!OD17</f>
        <v/>
      </c>
      <c r="OE30" s="110">
        <f>OD30+BALANCING!OE17</f>
        <v/>
      </c>
      <c r="OF30" s="110">
        <f>OE30+BALANCING!OF17</f>
        <v/>
      </c>
      <c r="OG30" s="110">
        <f>OF30+BALANCING!OG17</f>
        <v/>
      </c>
      <c r="OH30" s="110">
        <f>OG30+BALANCING!OH17</f>
        <v/>
      </c>
      <c r="OI30" s="110">
        <f>OH30+BALANCING!OI17</f>
        <v/>
      </c>
      <c r="OJ30" s="110">
        <f>OI30+BALANCING!OJ17</f>
        <v/>
      </c>
      <c r="OK30" s="110">
        <f>OJ30+BALANCING!OK17</f>
        <v/>
      </c>
      <c r="OL30" s="110">
        <f>OK30+BALANCING!OL17</f>
        <v/>
      </c>
      <c r="OM30" s="110">
        <f>OL30+BALANCING!OM17</f>
        <v/>
      </c>
      <c r="ON30" s="110">
        <f>OM30+BALANCING!ON17</f>
        <v/>
      </c>
      <c r="OO30" s="110">
        <f>ON30+BALANCING!OO17</f>
        <v/>
      </c>
      <c r="OP30" s="110">
        <f>OO30+BALANCING!OP17</f>
        <v/>
      </c>
      <c r="OQ30" s="110">
        <f>OP30+BALANCING!OQ17</f>
        <v/>
      </c>
      <c r="OR30" s="110">
        <f>OQ30+BALANCING!OR17</f>
        <v/>
      </c>
      <c r="OS30" s="110">
        <f>OR30+BALANCING!OS17</f>
        <v/>
      </c>
      <c r="OT30" s="110">
        <f>OS30+BALANCING!OT17</f>
        <v/>
      </c>
      <c r="OU30" s="110">
        <f>OT30+BALANCING!OU17</f>
        <v/>
      </c>
      <c r="OV30" s="130" t="n"/>
      <c r="OW30" s="110">
        <f>OV30+BALANCING!OW17</f>
        <v/>
      </c>
      <c r="OX30" s="110">
        <f>OW30+BALANCING!OX17</f>
        <v/>
      </c>
      <c r="OY30" s="110">
        <f>OX30+BALANCING!OY17</f>
        <v/>
      </c>
      <c r="OZ30" s="110">
        <f>OY30+BALANCING!OZ17</f>
        <v/>
      </c>
      <c r="PA30" s="110">
        <f>OZ30+BALANCING!PA17</f>
        <v/>
      </c>
      <c r="PB30" s="110">
        <f>PA30+BALANCING!PB17</f>
        <v/>
      </c>
      <c r="PC30" s="110">
        <f>PB30+BALANCING!PC17</f>
        <v/>
      </c>
      <c r="PD30" s="110">
        <f>PC30+BALANCING!PD17</f>
        <v/>
      </c>
      <c r="PE30" s="110">
        <f>PD30+BALANCING!PE17</f>
        <v/>
      </c>
      <c r="PF30" s="110">
        <f>PE30+BALANCING!PF17</f>
        <v/>
      </c>
      <c r="PG30" s="110">
        <f>PF30+BALANCING!PG17</f>
        <v/>
      </c>
      <c r="PH30" s="110">
        <f>PG30+BALANCING!PH17</f>
        <v/>
      </c>
      <c r="PI30" s="110">
        <f>PH30+BALANCING!PI17</f>
        <v/>
      </c>
      <c r="PJ30" s="110">
        <f>PI30+BALANCING!PJ17</f>
        <v/>
      </c>
      <c r="PK30" s="110">
        <f>PJ30+BALANCING!PK17</f>
        <v/>
      </c>
      <c r="PL30" s="110">
        <f>PK30+BALANCING!PL17</f>
        <v/>
      </c>
      <c r="PM30" s="110">
        <f>PL30+BALANCING!PM17</f>
        <v/>
      </c>
      <c r="PN30" s="110">
        <f>PM30+BALANCING!PN17</f>
        <v/>
      </c>
      <c r="PO30" s="110">
        <f>PN30+BALANCING!PO17</f>
        <v/>
      </c>
      <c r="PP30" s="110">
        <f>PO30+BALANCING!PP17</f>
        <v/>
      </c>
      <c r="PQ30" s="110">
        <f>PP30+BALANCING!PQ17</f>
        <v/>
      </c>
      <c r="PR30" s="110">
        <f>PQ30+BALANCING!PR17</f>
        <v/>
      </c>
      <c r="PS30" s="110">
        <f>PR30+BALANCING!PS17</f>
        <v/>
      </c>
      <c r="PT30" s="110">
        <f>PS30+BALANCING!PT17</f>
        <v/>
      </c>
      <c r="PU30" s="110">
        <f>PT30+BALANCING!PU17</f>
        <v/>
      </c>
      <c r="PV30" s="110">
        <f>PU30+BALANCING!PV17</f>
        <v/>
      </c>
      <c r="PW30" s="110">
        <f>PV30+BALANCING!PW17</f>
        <v/>
      </c>
      <c r="PX30" s="110">
        <f>PW30+BALANCING!PX17</f>
        <v/>
      </c>
      <c r="PY30" s="110">
        <f>PX30+BALANCING!PY17</f>
        <v/>
      </c>
      <c r="PZ30" s="110">
        <f>PY30+BALANCING!PZ17</f>
        <v/>
      </c>
      <c r="QA30" s="130" t="n"/>
      <c r="QB30" s="110">
        <f>QA30+BALANCING!QB17</f>
        <v/>
      </c>
      <c r="QC30" s="110">
        <f>QB30+BALANCING!QC17</f>
        <v/>
      </c>
      <c r="QD30" s="110">
        <f>QC30+BALANCING!QD17</f>
        <v/>
      </c>
      <c r="QE30" s="110">
        <f>QD30+BALANCING!QE17</f>
        <v/>
      </c>
      <c r="QF30" s="110">
        <f>QE30+BALANCING!QF17</f>
        <v/>
      </c>
      <c r="QG30" s="110">
        <f>QF30+BALANCING!QG17</f>
        <v/>
      </c>
      <c r="QH30" s="110">
        <f>QG30+BALANCING!QH17</f>
        <v/>
      </c>
      <c r="QI30" s="110">
        <f>QH30+BALANCING!QI17</f>
        <v/>
      </c>
      <c r="QJ30" s="110">
        <f>QI30+BALANCING!QJ17</f>
        <v/>
      </c>
      <c r="QK30" s="110">
        <f>QJ30+BALANCING!QK17</f>
        <v/>
      </c>
      <c r="QL30" s="110">
        <f>QK30+BALANCING!QL17</f>
        <v/>
      </c>
      <c r="QM30" s="110">
        <f>QL30+BALANCING!QM17</f>
        <v/>
      </c>
      <c r="QN30" s="110">
        <f>QM30+BALANCING!QN17</f>
        <v/>
      </c>
      <c r="QO30" s="110">
        <f>QN30+BALANCING!QO17</f>
        <v/>
      </c>
      <c r="QP30" s="110">
        <f>QO30+BALANCING!QP17</f>
        <v/>
      </c>
      <c r="QQ30" s="110">
        <f>QP30+BALANCING!QQ17</f>
        <v/>
      </c>
      <c r="QR30" s="110">
        <f>QQ30+BALANCING!QR17</f>
        <v/>
      </c>
      <c r="QS30" s="110">
        <f>QR30+BALANCING!QS17</f>
        <v/>
      </c>
      <c r="QT30" s="110">
        <f>QS30+BALANCING!QT17</f>
        <v/>
      </c>
      <c r="QU30" s="110">
        <f>QT30+BALANCING!QU17</f>
        <v/>
      </c>
      <c r="QV30" s="110">
        <f>QU30+BALANCING!QV17</f>
        <v/>
      </c>
      <c r="QW30" s="110">
        <f>QV30+BALANCING!QW17</f>
        <v/>
      </c>
      <c r="QX30" s="110">
        <f>QW30+BALANCING!QX17</f>
        <v/>
      </c>
      <c r="QY30" s="110">
        <f>QX30+BALANCING!QY17</f>
        <v/>
      </c>
      <c r="QZ30" s="110">
        <f>QY30+BALANCING!QZ17</f>
        <v/>
      </c>
      <c r="RA30" s="110">
        <f>QZ30+BALANCING!RA17</f>
        <v/>
      </c>
      <c r="RB30" s="110">
        <f>RA30+BALANCING!RB17</f>
        <v/>
      </c>
      <c r="RC30" s="110">
        <f>RB30+BALANCING!RC17</f>
        <v/>
      </c>
      <c r="RD30" s="110">
        <f>RC30+BALANCING!RD17</f>
        <v/>
      </c>
      <c r="RE30" s="110">
        <f>RD30+BALANCING!RE17</f>
        <v/>
      </c>
      <c r="RF30" s="110">
        <f>RE30+BALANCING!RF17</f>
        <v/>
      </c>
      <c r="RG30" s="130" t="n"/>
      <c r="RH30" s="110">
        <f>RG30+BALANCING!RH17</f>
        <v/>
      </c>
      <c r="RI30" s="110">
        <f>RH30+BALANCING!RI17</f>
        <v/>
      </c>
      <c r="RJ30" s="110">
        <f>RI30+BALANCING!RJ17</f>
        <v/>
      </c>
      <c r="RK30" s="110">
        <f>RJ30+BALANCING!RK17</f>
        <v/>
      </c>
      <c r="RL30" s="110">
        <f>RK30+BALANCING!RL17</f>
        <v/>
      </c>
      <c r="RM30" s="110">
        <f>RL30+BALANCING!RM17</f>
        <v/>
      </c>
      <c r="RN30" s="110">
        <f>RM30+BALANCING!RN17</f>
        <v/>
      </c>
      <c r="RO30" s="110">
        <f>RN30+BALANCING!RO17</f>
        <v/>
      </c>
      <c r="RP30" s="110">
        <f>RO30+BALANCING!RP17</f>
        <v/>
      </c>
      <c r="RQ30" s="110">
        <f>RP30+BALANCING!RQ17</f>
        <v/>
      </c>
      <c r="RR30" s="110">
        <f>RQ30+BALANCING!RR17</f>
        <v/>
      </c>
      <c r="RS30" s="110">
        <f>RR30+BALANCING!RS17</f>
        <v/>
      </c>
      <c r="RT30" s="110">
        <f>RS30+BALANCING!RT17</f>
        <v/>
      </c>
      <c r="RU30" s="110">
        <f>RT30+BALANCING!RU17</f>
        <v/>
      </c>
      <c r="RV30" s="110">
        <f>RU30+BALANCING!RV17</f>
        <v/>
      </c>
      <c r="RW30" s="110">
        <f>RV30+BALANCING!RW17</f>
        <v/>
      </c>
      <c r="RX30" s="110">
        <f>RW30+BALANCING!RX17</f>
        <v/>
      </c>
      <c r="RY30" s="110">
        <f>RX30+BALANCING!RY17</f>
        <v/>
      </c>
      <c r="RZ30" s="110">
        <f>RY30+BALANCING!RZ17</f>
        <v/>
      </c>
      <c r="SA30" s="110">
        <f>RZ30+BALANCING!SA17</f>
        <v/>
      </c>
      <c r="SB30" s="110">
        <f>SA30+BALANCING!SB17</f>
        <v/>
      </c>
      <c r="SC30" s="110">
        <f>SB30+BALANCING!SC17</f>
        <v/>
      </c>
      <c r="SD30" s="110">
        <f>SC30+BALANCING!SD17</f>
        <v/>
      </c>
      <c r="SE30" s="110">
        <f>SD30+BALANCING!SE17</f>
        <v/>
      </c>
      <c r="SF30" s="110">
        <f>SE30+BALANCING!SF17</f>
        <v/>
      </c>
      <c r="SG30" s="110">
        <f>SF30+BALANCING!SG17</f>
        <v/>
      </c>
      <c r="SH30" s="110">
        <f>SG30+BALANCING!SH17</f>
        <v/>
      </c>
      <c r="SI30" s="110">
        <f>SH30+BALANCING!SI17</f>
        <v/>
      </c>
      <c r="SJ30" s="110">
        <f>SI30+BALANCING!SJ17</f>
        <v/>
      </c>
      <c r="SK30" s="110">
        <f>SJ30+BALANCING!SK17</f>
        <v/>
      </c>
      <c r="SL30" s="130" t="n"/>
      <c r="SM30" s="110">
        <f>SL30+BALANCING!SM17</f>
        <v/>
      </c>
      <c r="SN30" s="110">
        <f>SM30+BALANCING!SN17</f>
        <v/>
      </c>
      <c r="SO30" s="110">
        <f>SN30+BALANCING!SO17</f>
        <v/>
      </c>
      <c r="SP30" s="110">
        <f>SO30+BALANCING!SP17</f>
        <v/>
      </c>
      <c r="SQ30" s="110">
        <f>SP30+BALANCING!SQ17</f>
        <v/>
      </c>
      <c r="SR30" s="110">
        <f>SQ30+BALANCING!SR17</f>
        <v/>
      </c>
      <c r="SS30" s="110">
        <f>SR30+BALANCING!SS17</f>
        <v/>
      </c>
      <c r="ST30" s="110">
        <f>SS30+BALANCING!ST17</f>
        <v/>
      </c>
      <c r="SU30" s="110">
        <f>ST30+BALANCING!SU17</f>
        <v/>
      </c>
      <c r="SV30" s="110">
        <f>SU30+BALANCING!SV17</f>
        <v/>
      </c>
      <c r="SW30" s="110">
        <f>SV30+BALANCING!SW17</f>
        <v/>
      </c>
      <c r="SX30" s="110">
        <f>SW30+BALANCING!SX17</f>
        <v/>
      </c>
      <c r="SY30" s="110">
        <f>SX30+BALANCING!SY17</f>
        <v/>
      </c>
      <c r="SZ30" s="110">
        <f>SY30+BALANCING!SZ17</f>
        <v/>
      </c>
      <c r="TA30" s="110">
        <f>SZ30+BALANCING!TA17</f>
        <v/>
      </c>
      <c r="TB30" s="110">
        <f>TA30+BALANCING!TB17</f>
        <v/>
      </c>
      <c r="TC30" s="110">
        <f>TB30+BALANCING!TC17</f>
        <v/>
      </c>
      <c r="TD30" s="110">
        <f>TC30+BALANCING!TD17</f>
        <v/>
      </c>
      <c r="TE30" s="110">
        <f>TD30+BALANCING!TE17</f>
        <v/>
      </c>
      <c r="TF30" s="110">
        <f>TE30+BALANCING!TF17</f>
        <v/>
      </c>
      <c r="TG30" s="110">
        <f>TF30+BALANCING!TG17</f>
        <v/>
      </c>
      <c r="TH30" s="110">
        <f>TG30+BALANCING!TH17</f>
        <v/>
      </c>
      <c r="TI30" s="110">
        <f>TH30+BALANCING!TI17</f>
        <v/>
      </c>
      <c r="TJ30" s="110">
        <f>TI30+BALANCING!TJ17</f>
        <v/>
      </c>
      <c r="TK30" s="110">
        <f>TJ30+BALANCING!TK17</f>
        <v/>
      </c>
      <c r="TL30" s="110">
        <f>TK30+BALANCING!TL17</f>
        <v/>
      </c>
      <c r="TM30" s="110">
        <f>TL30+BALANCING!TM17</f>
        <v/>
      </c>
      <c r="TN30" s="110">
        <f>TM30+BALANCING!TN17</f>
        <v/>
      </c>
      <c r="TO30" s="110">
        <f>TN30+BALANCING!TO17</f>
        <v/>
      </c>
      <c r="TP30" s="110">
        <f>TO30+BALANCING!TP17</f>
        <v/>
      </c>
      <c r="TQ30" s="110">
        <f>TP30+BALANCING!TQ17</f>
        <v/>
      </c>
      <c r="TR30" s="130" t="n"/>
      <c r="TS30" s="110">
        <f>TR30+BALANCING!TS17</f>
        <v/>
      </c>
      <c r="TT30" s="110">
        <f>TS30+BALANCING!TT17</f>
        <v/>
      </c>
      <c r="TU30" s="110">
        <f>TT30+BALANCING!TU17</f>
        <v/>
      </c>
      <c r="TV30" s="110">
        <f>TU30+BALANCING!TV17</f>
        <v/>
      </c>
      <c r="TW30" s="110">
        <f>TV30</f>
        <v/>
      </c>
      <c r="TX30" s="110">
        <f>TW30+BALANCING!TX17</f>
        <v/>
      </c>
      <c r="TY30" s="110">
        <f>TX30+BALANCING!TY17</f>
        <v/>
      </c>
      <c r="TZ30" s="110">
        <f>TY30+BALANCING!TZ17</f>
        <v/>
      </c>
      <c r="UA30" s="110">
        <f>TZ30+BALANCING!UA17</f>
        <v/>
      </c>
      <c r="UB30" s="110">
        <f>UA30+BALANCING!UB17</f>
        <v/>
      </c>
      <c r="UC30" s="110">
        <f>UB30+BALANCING!UC17</f>
        <v/>
      </c>
      <c r="UD30" s="110">
        <f>UC30+BALANCING!UD17</f>
        <v/>
      </c>
      <c r="UE30" s="110">
        <f>UD30+BALANCING!UE17</f>
        <v/>
      </c>
      <c r="UF30" s="110">
        <f>UE30+BALANCING!UF17</f>
        <v/>
      </c>
      <c r="UG30" s="110">
        <f>UF30+BALANCING!UG17</f>
        <v/>
      </c>
      <c r="UH30" s="110">
        <f>UG30+BALANCING!UH17</f>
        <v/>
      </c>
      <c r="UI30" s="110">
        <f>UH30+BALANCING!UI17</f>
        <v/>
      </c>
      <c r="UJ30" s="110">
        <f>UI30+BALANCING!UJ17</f>
        <v/>
      </c>
      <c r="UK30" s="110">
        <f>UJ30+BALANCING!UK17</f>
        <v/>
      </c>
      <c r="UL30" s="110">
        <f>UK30+BALANCING!UL17</f>
        <v/>
      </c>
      <c r="UM30" s="110">
        <f>UL30+BALANCING!UM17</f>
        <v/>
      </c>
      <c r="UN30" s="110">
        <f>UM30+BALANCING!UN17</f>
        <v/>
      </c>
      <c r="UO30" s="110">
        <f>UN30+BALANCING!UO17</f>
        <v/>
      </c>
      <c r="UP30" s="110">
        <f>UO30+BALANCING!UP17</f>
        <v/>
      </c>
      <c r="UQ30" s="110">
        <f>UP30+BALANCING!UQ17</f>
        <v/>
      </c>
      <c r="UR30" s="110">
        <f>UQ30+BALANCING!UR17</f>
        <v/>
      </c>
      <c r="US30" s="110">
        <f>UR30+BALANCING!US17</f>
        <v/>
      </c>
      <c r="UT30" s="110">
        <f>US30+BALANCING!UT17</f>
        <v/>
      </c>
      <c r="UU30" s="110">
        <f>UT30+BALANCING!UU17</f>
        <v/>
      </c>
      <c r="UV30" s="110">
        <f>UU30+BALANCING!UV17</f>
        <v/>
      </c>
      <c r="UW30" s="110">
        <f>UV30+BALANCING!UW17</f>
        <v/>
      </c>
      <c r="UX30" s="130" t="n"/>
      <c r="UY30" s="110">
        <f>UX30+BALANCING!UY17</f>
        <v/>
      </c>
      <c r="UZ30" s="110">
        <f>UY30+BALANCING!UZ17</f>
        <v/>
      </c>
      <c r="VA30" s="110">
        <f>UZ30+BALANCING!VA17</f>
        <v/>
      </c>
      <c r="VB30" s="110">
        <f>VA30+BALANCING!VB17</f>
        <v/>
      </c>
      <c r="VC30" s="110">
        <f>VB30+BALANCING!VC17</f>
        <v/>
      </c>
      <c r="VD30" s="110">
        <f>VC30+BALANCING!VD17</f>
        <v/>
      </c>
      <c r="VE30" s="110">
        <f>VD30+BALANCING!VE17</f>
        <v/>
      </c>
      <c r="VF30" s="110">
        <f>VE30+BALANCING!VF17</f>
        <v/>
      </c>
      <c r="VG30" s="110">
        <f>VF30+BALANCING!VG17</f>
        <v/>
      </c>
      <c r="VH30" s="110">
        <f>VG30+BALANCING!VH17</f>
        <v/>
      </c>
      <c r="VI30" s="110">
        <f>VH30+BALANCING!VI17</f>
        <v/>
      </c>
      <c r="VJ30" s="110">
        <f>VI30+BALANCING!VJ17</f>
        <v/>
      </c>
      <c r="VK30" s="110">
        <f>VJ30+BALANCING!VK17</f>
        <v/>
      </c>
      <c r="VL30" s="110">
        <f>VK30+BALANCING!VL17</f>
        <v/>
      </c>
      <c r="VM30" s="110">
        <f>VL30+BALANCING!VM17</f>
        <v/>
      </c>
      <c r="VN30" s="110">
        <f>VM30+BALANCING!VN17</f>
        <v/>
      </c>
      <c r="VO30" s="110">
        <f>VN30+BALANCING!VO17</f>
        <v/>
      </c>
      <c r="VP30" s="110">
        <f>VO30+BALANCING!VP17</f>
        <v/>
      </c>
      <c r="VQ30" s="110">
        <f>VP30+BALANCING!VQ17</f>
        <v/>
      </c>
      <c r="VR30" s="110">
        <f>VQ30+BALANCING!VR17</f>
        <v/>
      </c>
      <c r="VS30" s="110">
        <f>VR30+BALANCING!VS17</f>
        <v/>
      </c>
      <c r="VT30" s="110">
        <f>VS30+BALANCING!VT17</f>
        <v/>
      </c>
      <c r="VU30" s="110">
        <f>VT30+BALANCING!VU17</f>
        <v/>
      </c>
      <c r="VV30" s="110">
        <f>VU30+BALANCING!VV17</f>
        <v/>
      </c>
      <c r="VW30" s="110">
        <f>VV30+BALANCING!VW17</f>
        <v/>
      </c>
      <c r="VX30" s="110">
        <f>VW30+BALANCING!VX17</f>
        <v/>
      </c>
      <c r="VY30" s="110">
        <f>VX30+BALANCING!VY17</f>
        <v/>
      </c>
      <c r="VZ30" s="110">
        <f>VY30+BALANCING!VZ17</f>
        <v/>
      </c>
      <c r="WA30" s="133" t="n"/>
      <c r="WB30" s="110">
        <f>WA30+BALANCING!WB17</f>
        <v/>
      </c>
      <c r="WC30" s="110">
        <f>WB30+BALANCING!WC17</f>
        <v/>
      </c>
      <c r="WD30" s="110">
        <f>WC30+BALANCING!WD17</f>
        <v/>
      </c>
      <c r="WE30" s="110">
        <f>WD30+BALANCING!WE17</f>
        <v/>
      </c>
      <c r="WF30" s="110">
        <f>WE30+BALANCING!WF17</f>
        <v/>
      </c>
      <c r="WG30" s="110">
        <f>WF30+BALANCING!WG17</f>
        <v/>
      </c>
      <c r="WH30" s="110">
        <f>WG30+BALANCING!WH17</f>
        <v/>
      </c>
      <c r="WI30" s="110">
        <f>WH30+BALANCING!WI17</f>
        <v/>
      </c>
      <c r="WJ30" s="110">
        <f>WI30+BALANCING!WJ17</f>
        <v/>
      </c>
      <c r="WK30" s="110">
        <f>WJ30+BALANCING!WK17</f>
        <v/>
      </c>
      <c r="WL30" s="110">
        <f>WK30+BALANCING!WL17</f>
        <v/>
      </c>
      <c r="WM30" s="110">
        <f>WL30+BALANCING!WM17</f>
        <v/>
      </c>
      <c r="WN30" s="110">
        <f>WM30+BALANCING!WN17</f>
        <v/>
      </c>
      <c r="WO30" s="110">
        <f>WN30+BALANCING!WO17</f>
        <v/>
      </c>
      <c r="WP30" s="110">
        <f>WO30+BALANCING!WP17</f>
        <v/>
      </c>
      <c r="WQ30" s="110">
        <f>WP30+BALANCING!WQ17</f>
        <v/>
      </c>
      <c r="WR30" s="110">
        <f>WQ30+BALANCING!WR17</f>
        <v/>
      </c>
      <c r="WS30" s="110">
        <f>WR30+BALANCING!WS17</f>
        <v/>
      </c>
      <c r="WT30" s="110">
        <f>WS30+BALANCING!WT17</f>
        <v/>
      </c>
      <c r="WU30" s="110">
        <f>WT30+BALANCING!WU17</f>
        <v/>
      </c>
      <c r="WV30" s="110">
        <f>WU30+BALANCING!WV17</f>
        <v/>
      </c>
      <c r="WW30" s="110">
        <f>WV30+BALANCING!WW17</f>
        <v/>
      </c>
      <c r="WX30" s="110">
        <f>WW30+BALANCING!WX17</f>
        <v/>
      </c>
      <c r="WY30" s="110">
        <f>WX30+BALANCING!WY17</f>
        <v/>
      </c>
      <c r="WZ30" s="110">
        <f>WY30+BALANCING!WZ17</f>
        <v/>
      </c>
      <c r="XA30" s="110">
        <f>WZ30+BALANCING!XA17</f>
        <v/>
      </c>
      <c r="XB30" s="110">
        <f>XA30+BALANCING!XB17</f>
        <v/>
      </c>
      <c r="XC30" s="110">
        <f>XB30+BALANCING!XC17</f>
        <v/>
      </c>
      <c r="XD30" s="110">
        <f>XC30+BALANCING!XD17</f>
        <v/>
      </c>
      <c r="XE30" s="110">
        <f>XD30+BALANCING!XE17</f>
        <v/>
      </c>
      <c r="XF30" s="110">
        <f>XE30+BALANCING!XF17</f>
        <v/>
      </c>
      <c r="XG30" s="133" t="n"/>
      <c r="XH30" s="110">
        <f>XG30+BALANCING!XH17</f>
        <v/>
      </c>
      <c r="XI30" s="110">
        <f>XH30+BALANCING!XI17</f>
        <v/>
      </c>
      <c r="XJ30" s="110">
        <f>XI30+BALANCING!XJ17</f>
        <v/>
      </c>
      <c r="XK30" s="110">
        <f>XJ30+BALANCING!XK17</f>
        <v/>
      </c>
      <c r="XL30" s="110">
        <f>XK30+BALANCING!XL17</f>
        <v/>
      </c>
      <c r="XM30" s="110">
        <f>XL30+BALANCING!XM17</f>
        <v/>
      </c>
      <c r="XN30" s="110">
        <f>XM30+BALANCING!XN17</f>
        <v/>
      </c>
      <c r="XO30" s="110">
        <f>XN30+BALANCING!XO17</f>
        <v/>
      </c>
      <c r="XP30" s="110">
        <f>XO30+BALANCING!XP17</f>
        <v/>
      </c>
      <c r="XQ30" s="110">
        <f>XP30+BALANCING!XQ17</f>
        <v/>
      </c>
      <c r="XR30" s="110">
        <f>XQ30+BALANCING!XR17</f>
        <v/>
      </c>
      <c r="XS30" s="110">
        <f>XR30+BALANCING!XS17</f>
        <v/>
      </c>
      <c r="XT30" s="110">
        <f>XS30+BALANCING!XT17</f>
        <v/>
      </c>
      <c r="XU30" s="110">
        <f>XT30+BALANCING!XU17</f>
        <v/>
      </c>
      <c r="XV30" s="110">
        <f>XU30+BALANCING!XV17</f>
        <v/>
      </c>
      <c r="XW30" s="110">
        <f>XV30+BALANCING!XW17</f>
        <v/>
      </c>
      <c r="XX30" s="110">
        <f>XW30+BALANCING!XX17</f>
        <v/>
      </c>
      <c r="XY30" s="110">
        <f>XX30+BALANCING!XY17</f>
        <v/>
      </c>
      <c r="XZ30" s="110">
        <f>XY30+BALANCING!XZ17</f>
        <v/>
      </c>
      <c r="YA30" s="110">
        <f>XZ30+BALANCING!YA17</f>
        <v/>
      </c>
      <c r="YB30" s="110">
        <f>YA30+BALANCING!YB17</f>
        <v/>
      </c>
      <c r="YC30" s="110">
        <f>YB30+BALANCING!YC17</f>
        <v/>
      </c>
      <c r="YD30" s="110">
        <f>YC30+BALANCING!YD17</f>
        <v/>
      </c>
      <c r="YE30" s="110">
        <f>YD30+BALANCING!YE17</f>
        <v/>
      </c>
      <c r="YF30" s="110">
        <f>YE30+BALANCING!YF17</f>
        <v/>
      </c>
      <c r="YG30" s="110">
        <f>YF30+BALANCING!YG17</f>
        <v/>
      </c>
      <c r="YH30" s="110">
        <f>YG30+BALANCING!YH17</f>
        <v/>
      </c>
      <c r="YI30" s="110">
        <f>YH30+BALANCING!YI17</f>
        <v/>
      </c>
      <c r="YJ30" s="110">
        <f>YI30+BALANCING!YJ17</f>
        <v/>
      </c>
      <c r="YK30" s="110">
        <f>YJ30+BALANCING!YK17</f>
        <v/>
      </c>
      <c r="YL30" s="130" t="n"/>
      <c r="YM30" s="110">
        <f>YL30+BALANCING!YM17</f>
        <v/>
      </c>
      <c r="YN30" s="110">
        <f>YM30+BALANCING!YN17</f>
        <v/>
      </c>
      <c r="YO30" s="110">
        <f>YN30+BALANCING!YO17</f>
        <v/>
      </c>
      <c r="YP30" s="110">
        <f>YO30+BALANCING!YP17</f>
        <v/>
      </c>
      <c r="YQ30" s="110">
        <f>YP30+BALANCING!YQ17</f>
        <v/>
      </c>
      <c r="YR30" s="110">
        <f>YQ30+BALANCING!YR17</f>
        <v/>
      </c>
      <c r="YS30" s="110">
        <f>YR30+BALANCING!YS17</f>
        <v/>
      </c>
      <c r="YT30" s="110">
        <f>YS30+BALANCING!YT17</f>
        <v/>
      </c>
      <c r="YU30" s="110">
        <f>YT30+BALANCING!YU17</f>
        <v/>
      </c>
      <c r="YV30" s="110">
        <f>YU30+BALANCING!YV17</f>
        <v/>
      </c>
      <c r="YW30" s="110">
        <f>YV30+BALANCING!YW17</f>
        <v/>
      </c>
      <c r="YX30" s="110">
        <f>YW30+BALANCING!YX17</f>
        <v/>
      </c>
      <c r="YY30" s="110">
        <f>YX30+BALANCING!YY17</f>
        <v/>
      </c>
      <c r="YZ30" s="110">
        <f>YY30+BALANCING!YZ17</f>
        <v/>
      </c>
      <c r="ZA30" s="110">
        <f>YZ30+BALANCING!ZA17</f>
        <v/>
      </c>
      <c r="ZB30" s="110">
        <f>ZA30+BALANCING!ZB17</f>
        <v/>
      </c>
      <c r="ZC30" s="110">
        <f>ZB30+BALANCING!ZC17</f>
        <v/>
      </c>
      <c r="ZD30" s="110">
        <f>ZC30+BALANCING!ZD17</f>
        <v/>
      </c>
      <c r="ZE30" s="110">
        <f>ZD30+BALANCING!ZE17</f>
        <v/>
      </c>
      <c r="ZF30" s="110">
        <f>ZE30+BALANCING!ZF17</f>
        <v/>
      </c>
      <c r="ZG30" s="110">
        <f>ZF30+BALANCING!ZG17</f>
        <v/>
      </c>
      <c r="ZH30" s="110">
        <f>ZG30+BALANCING!ZH17</f>
        <v/>
      </c>
      <c r="ZI30" s="110">
        <f>ZH30+BALANCING!ZI17</f>
        <v/>
      </c>
      <c r="ZJ30" s="110">
        <f>ZI30+BALANCING!ZJ17</f>
        <v/>
      </c>
      <c r="ZK30" s="110">
        <f>ZJ30+BALANCING!ZK17</f>
        <v/>
      </c>
      <c r="ZL30" s="110">
        <f>ZK30+BALANCING!ZL17</f>
        <v/>
      </c>
      <c r="ZM30" s="110">
        <f>ZL30+BALANCING!ZM17</f>
        <v/>
      </c>
      <c r="ZN30" s="110">
        <f>ZM30+BALANCING!ZN17</f>
        <v/>
      </c>
      <c r="ZO30" s="110">
        <f>ZN30+BALANCING!ZO17</f>
        <v/>
      </c>
      <c r="ZP30" s="110">
        <f>ZO30+BALANCING!ZP17</f>
        <v/>
      </c>
      <c r="ZQ30" s="110">
        <f>ZP30+BALANCING!ZQ17</f>
        <v/>
      </c>
      <c r="ZR30" s="130" t="n"/>
      <c r="ZS30" s="110">
        <f>ZR30+BALANCING!ZS17</f>
        <v/>
      </c>
      <c r="ZT30" s="110">
        <f>ZS30+BALANCING!ZT17</f>
        <v/>
      </c>
      <c r="ZU30" s="110">
        <f>ZT30+BALANCING!ZU17</f>
        <v/>
      </c>
      <c r="ZV30" s="110">
        <f>ZU30+BALANCING!ZV17</f>
        <v/>
      </c>
      <c r="ZW30" s="110">
        <f>ZV30+BALANCING!ZW17</f>
        <v/>
      </c>
      <c r="ZX30" s="110">
        <f>ZW30+BALANCING!ZX17</f>
        <v/>
      </c>
      <c r="ZY30" s="110">
        <f>ZX30+BALANCING!ZY17</f>
        <v/>
      </c>
      <c r="ZZ30" s="110">
        <f>ZY30+BALANCING!ZZ17</f>
        <v/>
      </c>
      <c r="AAA30" s="110">
        <f>ZZ30+BALANCING!AAA17</f>
        <v/>
      </c>
      <c r="AAB30" s="110">
        <f>AAA30+BALANCING!AAB17</f>
        <v/>
      </c>
      <c r="AAC30" s="110">
        <f>AAB30+BALANCING!AAC17</f>
        <v/>
      </c>
      <c r="AAD30" s="110">
        <f>AAC30+BALANCING!AAD17</f>
        <v/>
      </c>
      <c r="AAE30" s="110">
        <f>AAD30+BALANCING!AAE17</f>
        <v/>
      </c>
      <c r="AAF30" s="110">
        <f>AAE30+BALANCING!AAF17</f>
        <v/>
      </c>
      <c r="AAG30" s="110">
        <f>AAF30+BALANCING!AAG17</f>
        <v/>
      </c>
      <c r="AAH30" s="110">
        <f>AAG30+BALANCING!AAH17</f>
        <v/>
      </c>
      <c r="AAI30" s="110">
        <f>AAH30+BALANCING!AAI17</f>
        <v/>
      </c>
      <c r="AAJ30" s="110">
        <f>AAI30+BALANCING!AAJ17</f>
        <v/>
      </c>
      <c r="AAK30" s="110">
        <f>AAJ30+BALANCING!AAK17</f>
        <v/>
      </c>
      <c r="AAL30" s="110">
        <f>AAK30+BALANCING!AAL17</f>
        <v/>
      </c>
      <c r="AAM30" s="110">
        <f>AAL30+BALANCING!AAM17</f>
        <v/>
      </c>
      <c r="AAN30" s="110">
        <f>AAM30+BALANCING!AAN17</f>
        <v/>
      </c>
      <c r="AAO30" s="110">
        <f>AAN30+BALANCING!AAO17</f>
        <v/>
      </c>
      <c r="AAP30" s="110">
        <f>AAO30+BALANCING!AAP17</f>
        <v/>
      </c>
      <c r="AAQ30" s="110">
        <f>AAP30+BALANCING!AAQ17</f>
        <v/>
      </c>
      <c r="AAR30" s="110">
        <f>AAQ30+BALANCING!AAR17</f>
        <v/>
      </c>
      <c r="AAS30" s="110">
        <f>AAR30+BALANCING!AAS17</f>
        <v/>
      </c>
      <c r="AAT30" s="110">
        <f>AAS30+BALANCING!AAT17</f>
        <v/>
      </c>
      <c r="AAU30" s="110">
        <f>AAT30+BALANCING!AAU17</f>
        <v/>
      </c>
      <c r="AAV30" s="110">
        <f>AAU30+BALANCING!AAV17</f>
        <v/>
      </c>
      <c r="AAW30" s="130" t="n"/>
      <c r="AAX30" s="110">
        <f>AAW30+BALANCING!AAX17</f>
        <v/>
      </c>
      <c r="AAY30" s="110">
        <f>AAX30+BALANCING!AAY17</f>
        <v/>
      </c>
      <c r="AAZ30" s="110">
        <f>AAY30+BALANCING!AAZ17</f>
        <v/>
      </c>
      <c r="ABA30" s="110">
        <f>AAZ30+BALANCING!ABA17</f>
        <v/>
      </c>
      <c r="ABB30" s="110">
        <f>ABA30+BALANCING!ABB17</f>
        <v/>
      </c>
      <c r="ABC30" s="110">
        <f>ABB30+BALANCING!ABC17</f>
        <v/>
      </c>
      <c r="ABD30" s="110">
        <f>ABC30+BALANCING!ABD17</f>
        <v/>
      </c>
      <c r="ABE30" s="110">
        <f>ABD30+BALANCING!ABE17</f>
        <v/>
      </c>
      <c r="ABF30" s="110">
        <f>ABE30+BALANCING!ABF17</f>
        <v/>
      </c>
      <c r="ABG30" s="110">
        <f>ABF30+BALANCING!ABG17</f>
        <v/>
      </c>
      <c r="ABH30" s="110">
        <f>ABG30+BALANCING!ABH17</f>
        <v/>
      </c>
      <c r="ABI30" s="110">
        <f>ABH30+BALANCING!ABI17</f>
        <v/>
      </c>
      <c r="ABJ30" s="110">
        <f>ABI30+BALANCING!ABJ17</f>
        <v/>
      </c>
      <c r="ABK30" s="110">
        <f>ABJ30+BALANCING!ABK17</f>
        <v/>
      </c>
      <c r="ABL30" s="110">
        <f>ABK30+BALANCING!ABL17</f>
        <v/>
      </c>
      <c r="ABM30" s="110">
        <f>ABL30+BALANCING!ABM17</f>
        <v/>
      </c>
      <c r="ABN30" s="110">
        <f>ABM30+BALANCING!ABN17</f>
        <v/>
      </c>
      <c r="ABO30" s="110">
        <f>ABN30+BALANCING!ABO17</f>
        <v/>
      </c>
      <c r="ABP30" s="110">
        <f>ABO30+BALANCING!ABP17</f>
        <v/>
      </c>
      <c r="ABQ30" s="110">
        <f>ABP30+BALANCING!ABQ17</f>
        <v/>
      </c>
      <c r="ABR30" s="110">
        <f>ABQ30+BALANCING!ABR17</f>
        <v/>
      </c>
      <c r="ABS30" s="110">
        <f>ABR30+BALANCING!ABS17</f>
        <v/>
      </c>
      <c r="ABT30" s="110">
        <f>ABS30+BALANCING!ABT17</f>
        <v/>
      </c>
      <c r="ABU30" s="110">
        <f>ABT30+BALANCING!ABU17</f>
        <v/>
      </c>
      <c r="ABV30" s="110">
        <f>ABU30+BALANCING!ABV17</f>
        <v/>
      </c>
      <c r="ABW30" s="110">
        <f>ABV30+BALANCING!ABW17</f>
        <v/>
      </c>
      <c r="ABX30" s="110">
        <f>ABW30+BALANCING!ABX17</f>
        <v/>
      </c>
      <c r="ABY30" s="110">
        <f>ABX30+BALANCING!ABY17</f>
        <v/>
      </c>
      <c r="ABZ30" s="110">
        <f>ABY30+BALANCING!ABZ17</f>
        <v/>
      </c>
      <c r="ACA30" s="110">
        <f>ABZ30+BALANCING!ACA17</f>
        <v/>
      </c>
      <c r="ACB30" s="110">
        <f>ACA30+BALANCING!ACB17</f>
        <v/>
      </c>
      <c r="ACC30" s="130" t="n"/>
      <c r="ACD30" s="110">
        <f>ACC30+BALANCING!ACD17</f>
        <v/>
      </c>
      <c r="ACE30" s="110">
        <f>ACD30+BALANCING!ACE17</f>
        <v/>
      </c>
      <c r="ACF30" s="110">
        <f>ACE30+BALANCING!ACF17</f>
        <v/>
      </c>
      <c r="ACG30" s="110">
        <f>ACF30+BALANCING!ACG17</f>
        <v/>
      </c>
      <c r="ACH30" s="110">
        <f>ACG30+BALANCING!ACH17</f>
        <v/>
      </c>
      <c r="ACI30" s="110">
        <f>ACH30+BALANCING!ACI17</f>
        <v/>
      </c>
      <c r="ACJ30" s="110">
        <f>ACI30+BALANCING!ACJ17</f>
        <v/>
      </c>
      <c r="ACK30" s="110">
        <f>ACJ30+BALANCING!ACK17</f>
        <v/>
      </c>
      <c r="ACL30" s="110">
        <f>ACK30+BALANCING!ACL17</f>
        <v/>
      </c>
      <c r="ACM30" s="110">
        <f>ACL30+BALANCING!ACM17</f>
        <v/>
      </c>
      <c r="ACN30" s="110">
        <f>ACM30+BALANCING!ACN17</f>
        <v/>
      </c>
      <c r="ACO30" s="110">
        <f>ACN30+BALANCING!ACO17</f>
        <v/>
      </c>
      <c r="ACP30" s="110">
        <f>ACO30+BALANCING!ACP17</f>
        <v/>
      </c>
      <c r="ACQ30" s="110">
        <f>ACP30+BALANCING!ACQ17</f>
        <v/>
      </c>
      <c r="ACR30" s="110">
        <f>ACQ30+BALANCING!ACR17</f>
        <v/>
      </c>
      <c r="ACS30" s="110">
        <f>ACR30+BALANCING!ACS17</f>
        <v/>
      </c>
      <c r="ACT30" s="110">
        <f>ACS30+BALANCING!ACT17</f>
        <v/>
      </c>
      <c r="ACU30" s="110">
        <f>ACT30+BALANCING!ACU17</f>
        <v/>
      </c>
      <c r="ACV30" s="110">
        <f>ACU30+BALANCING!ACV17</f>
        <v/>
      </c>
      <c r="ACW30" s="110">
        <f>ACV30+BALANCING!ACW17</f>
        <v/>
      </c>
      <c r="ACX30" s="110">
        <f>ACW30+BALANCING!ACX17</f>
        <v/>
      </c>
      <c r="ACY30" s="110">
        <f>ACX30+BALANCING!ACY17</f>
        <v/>
      </c>
      <c r="ACZ30" s="110">
        <f>ACY30+BALANCING!ACZ17</f>
        <v/>
      </c>
      <c r="ADA30" s="110">
        <f>ACZ30+BALANCING!ADA17</f>
        <v/>
      </c>
      <c r="ADB30" s="110">
        <f>ADA30+BALANCING!ADB17</f>
        <v/>
      </c>
      <c r="ADC30" s="110">
        <f>ADB30+BALANCING!ADC17</f>
        <v/>
      </c>
      <c r="ADD30" s="110">
        <f>ADC30+BALANCING!ADD17</f>
        <v/>
      </c>
      <c r="ADE30" s="110">
        <f>ADD30+BALANCING!ADE17</f>
        <v/>
      </c>
      <c r="ADF30" s="110">
        <f>ADE30+BALANCING!ADF17</f>
        <v/>
      </c>
      <c r="ADG30" s="110">
        <f>ADF30+BALANCING!ADG17</f>
        <v/>
      </c>
      <c r="ADH30" s="110">
        <f>ADG30+BALANCING!ADH17</f>
        <v/>
      </c>
      <c r="ADI30" s="130" t="n"/>
      <c r="ADJ30" s="110">
        <f>ADI30+BALANCING!ADJ17</f>
        <v/>
      </c>
      <c r="ADK30" s="110">
        <f>ADJ30+BALANCING!ADK17</f>
        <v/>
      </c>
      <c r="ADL30" s="110">
        <f>ADK30+BALANCING!ADL17</f>
        <v/>
      </c>
      <c r="ADM30" s="110">
        <f>ADL30+BALANCING!ADM17</f>
        <v/>
      </c>
      <c r="ADN30" s="110">
        <f>ADM30+BALANCING!ADN17</f>
        <v/>
      </c>
      <c r="ADO30" s="110">
        <f>ADN30+BALANCING!ADO17</f>
        <v/>
      </c>
      <c r="ADP30" s="110">
        <f>ADO30+BALANCING!ADP17</f>
        <v/>
      </c>
      <c r="ADQ30" s="110">
        <f>ADP30+BALANCING!ADQ17</f>
        <v/>
      </c>
      <c r="ADR30" s="110">
        <f>ADQ30+BALANCING!ADR17</f>
        <v/>
      </c>
      <c r="ADS30" s="110">
        <f>ADR30+BALANCING!ADS17</f>
        <v/>
      </c>
      <c r="ADT30" s="110">
        <f>ADS30+BALANCING!ADT17</f>
        <v/>
      </c>
      <c r="ADU30" s="110">
        <f>ADT30+BALANCING!ADU17</f>
        <v/>
      </c>
      <c r="ADV30" s="110">
        <f>ADU30+BALANCING!ADV17</f>
        <v/>
      </c>
      <c r="ADW30" s="110">
        <f>ADV30+BALANCING!ADW17</f>
        <v/>
      </c>
      <c r="ADX30" s="110">
        <f>ADW30+BALANCING!ADX17</f>
        <v/>
      </c>
      <c r="ADY30" s="110">
        <f>ADX30+BALANCING!ADY17</f>
        <v/>
      </c>
      <c r="ADZ30" s="110">
        <f>ADY30+BALANCING!ADZ17</f>
        <v/>
      </c>
      <c r="AEA30" s="110">
        <f>ADZ30+BALANCING!AEA17</f>
        <v/>
      </c>
      <c r="AEB30" s="110">
        <f>AEA30+BALANCING!AEB17</f>
        <v/>
      </c>
      <c r="AEC30" s="110">
        <f>AEB30+BALANCING!AEC17</f>
        <v/>
      </c>
      <c r="AED30" s="110">
        <f>AEC30+BALANCING!AED17</f>
        <v/>
      </c>
      <c r="AEE30" s="110">
        <f>AED30+BALANCING!AEE17</f>
        <v/>
      </c>
      <c r="AEF30" s="110">
        <f>AEE30+BALANCING!AEF17</f>
        <v/>
      </c>
      <c r="AEG30" s="110">
        <f>AEF30+BALANCING!AEG17</f>
        <v/>
      </c>
      <c r="AEH30" s="110">
        <f>AEG30+BALANCING!AEH17</f>
        <v/>
      </c>
      <c r="AEI30" s="110">
        <f>AEH30+BALANCING!AEI17</f>
        <v/>
      </c>
      <c r="AEJ30" s="110">
        <f>AEI30+BALANCING!AEJ17</f>
        <v/>
      </c>
      <c r="AEK30" s="110">
        <f>AEJ30+BALANCING!AEK17</f>
        <v/>
      </c>
      <c r="AEL30" s="110">
        <f>AEK30+BALANCING!AEL17</f>
        <v/>
      </c>
      <c r="AEM30" s="110">
        <f>AEL30+BALANCING!AEM17</f>
        <v/>
      </c>
      <c r="AEN30" s="130" t="n"/>
      <c r="AEO30" s="110">
        <f>AEN30+BALANCING!AEO17</f>
        <v/>
      </c>
      <c r="AEP30" s="110">
        <f>AEO30+BALANCING!AEP17</f>
        <v/>
      </c>
      <c r="AEQ30" s="110">
        <f>AEP30+BALANCING!AEQ17</f>
        <v/>
      </c>
      <c r="AER30" s="110">
        <f>AEQ30+BALANCING!AER17</f>
        <v/>
      </c>
      <c r="AES30" s="110">
        <f>AER30+BALANCING!AES17</f>
        <v/>
      </c>
      <c r="AET30" s="110">
        <f>AES30+BALANCING!AET17</f>
        <v/>
      </c>
      <c r="AEU30" s="110">
        <f>AET30+BALANCING!AEU17</f>
        <v/>
      </c>
      <c r="AEV30" s="110">
        <f>AEU30+BALANCING!AEV17</f>
        <v/>
      </c>
      <c r="AEW30" s="110">
        <f>AEV30+BALANCING!AEW17</f>
        <v/>
      </c>
      <c r="AEX30" s="110">
        <f>AEW30+BALANCING!AEX17</f>
        <v/>
      </c>
      <c r="AEY30" s="110">
        <f>AEX30+BALANCING!AEY17</f>
        <v/>
      </c>
      <c r="AEZ30" s="110">
        <f>AEY30+BALANCING!AEZ17</f>
        <v/>
      </c>
      <c r="AFA30" s="110">
        <f>AEZ30+BALANCING!AFA17</f>
        <v/>
      </c>
      <c r="AFB30" s="110">
        <f>AFA30+BALANCING!AFB17</f>
        <v/>
      </c>
      <c r="AFC30" s="110">
        <f>AFB30+BALANCING!AFC17</f>
        <v/>
      </c>
      <c r="AFD30" s="110">
        <f>AFC30+BALANCING!AFD17</f>
        <v/>
      </c>
      <c r="AFE30" s="110">
        <f>AFD30+BALANCING!AFE17</f>
        <v/>
      </c>
      <c r="AFF30" s="110">
        <f>AFE30+BALANCING!AFF17</f>
        <v/>
      </c>
      <c r="AFG30" s="110">
        <f>AFF30+BALANCING!AFG17</f>
        <v/>
      </c>
      <c r="AFH30" s="110">
        <f>AFG30+BALANCING!AFH17</f>
        <v/>
      </c>
      <c r="AFI30" s="110">
        <f>AFH30+BALANCING!AFI17</f>
        <v/>
      </c>
      <c r="AFJ30" s="110">
        <f>AFI30+BALANCING!AFJ17</f>
        <v/>
      </c>
      <c r="AFK30" s="110">
        <f>AFJ30+BALANCING!AFK17</f>
        <v/>
      </c>
      <c r="AFL30" s="110">
        <f>AFK30+BALANCING!AFL17</f>
        <v/>
      </c>
      <c r="AFM30" s="110">
        <f>AFL30+BALANCING!AFM17</f>
        <v/>
      </c>
      <c r="AFN30" s="110">
        <f>AFM30+BALANCING!AFN17</f>
        <v/>
      </c>
      <c r="AFO30" s="110">
        <f>AFN30+BALANCING!AFO17</f>
        <v/>
      </c>
      <c r="AFP30" s="110">
        <f>AFO30+BALANCING!AFP17</f>
        <v/>
      </c>
      <c r="AFQ30" s="110">
        <f>AFP30+BALANCING!AFQ17</f>
        <v/>
      </c>
      <c r="AFR30" s="110">
        <f>AFQ30+BALANCING!AFR17</f>
        <v/>
      </c>
      <c r="AFS30" s="110">
        <f>AFR30+BALANCING!AFS17</f>
        <v/>
      </c>
      <c r="AFT30" s="130" t="n"/>
      <c r="AFU30" s="110">
        <f>AFT30+BALANCING!AFU17</f>
        <v/>
      </c>
      <c r="AFV30" s="110">
        <f>AFU30+BALANCING!AFV17</f>
        <v/>
      </c>
      <c r="AFW30" s="110">
        <f>AFV30+BALANCING!AFW17</f>
        <v/>
      </c>
      <c r="AFX30" s="110">
        <f>AFW30+BALANCING!AFX17</f>
        <v/>
      </c>
      <c r="AFY30" s="110">
        <f>AFX30+BALANCING!AFY17</f>
        <v/>
      </c>
      <c r="AFZ30" s="110">
        <f>AFY30+BALANCING!AFZ17</f>
        <v/>
      </c>
      <c r="AGA30" s="110">
        <f>AFZ30+BALANCING!AGA17</f>
        <v/>
      </c>
      <c r="AGB30" s="110">
        <f>AGA30+BALANCING!AGB17</f>
        <v/>
      </c>
      <c r="AGC30" s="110">
        <f>AGB30+BALANCING!AGC17</f>
        <v/>
      </c>
      <c r="AGD30" s="110">
        <f>AGC30+BALANCING!AGD17</f>
        <v/>
      </c>
      <c r="AGE30" s="110">
        <f>AGD30+BALANCING!AGE17</f>
        <v/>
      </c>
      <c r="AGF30" s="110">
        <f>AGE30+BALANCING!AGF17</f>
        <v/>
      </c>
      <c r="AGG30" s="110">
        <f>AGF30+BALANCING!AGG17</f>
        <v/>
      </c>
      <c r="AGH30" s="110">
        <f>AGG30+BALANCING!AGH17</f>
        <v/>
      </c>
      <c r="AGI30" s="110">
        <f>AGH30+BALANCING!AGI17</f>
        <v/>
      </c>
      <c r="AGJ30" s="110">
        <f>AGI30+BALANCING!AGJ17</f>
        <v/>
      </c>
      <c r="AGK30" s="110">
        <f>AGJ30+BALANCING!AGK17</f>
        <v/>
      </c>
      <c r="AGL30" s="110">
        <f>AGK30+BALANCING!AGL17</f>
        <v/>
      </c>
      <c r="AGM30" s="110">
        <f>AGL30+BALANCING!AGM17</f>
        <v/>
      </c>
      <c r="AGN30" s="110">
        <f>AGM30+BALANCING!AGN17</f>
        <v/>
      </c>
      <c r="AGO30" s="110">
        <f>AGN30+BALANCING!AGO17</f>
        <v/>
      </c>
      <c r="AGP30" s="110">
        <f>AGO30+BALANCING!AGP17</f>
        <v/>
      </c>
      <c r="AGQ30" s="110">
        <f>AGP30+BALANCING!AGQ17</f>
        <v/>
      </c>
      <c r="AGR30" s="110">
        <f>AGQ30+BALANCING!AGR17</f>
        <v/>
      </c>
      <c r="AGS30" s="110">
        <f>AGR30+BALANCING!AGS17</f>
        <v/>
      </c>
      <c r="AGT30" s="110">
        <f>AGS30+BALANCING!AGT17</f>
        <v/>
      </c>
      <c r="AGU30" s="110">
        <f>AGT30+BALANCING!AGU17</f>
        <v/>
      </c>
      <c r="AGV30" s="110">
        <f>AGU30+BALANCING!AGV17</f>
        <v/>
      </c>
      <c r="AGW30" s="110">
        <f>AGV30+BALANCING!AGW17</f>
        <v/>
      </c>
      <c r="AGX30" s="110">
        <f>AGW30+BALANCING!AGX17</f>
        <v/>
      </c>
      <c r="AGY30" s="133" t="n"/>
      <c r="AGZ30" s="110">
        <f>AGY30+BALANCING!AGZ17</f>
        <v/>
      </c>
      <c r="AHA30" s="110">
        <f>AGZ30+BALANCING!AHA17</f>
        <v/>
      </c>
      <c r="AHB30" s="110">
        <f>AHA30+BALANCING!AHB17</f>
        <v/>
      </c>
      <c r="AHC30" s="110">
        <f>AHB30+BALANCING!AHC17</f>
        <v/>
      </c>
      <c r="AHD30" s="110">
        <f>AHC30+BALANCING!AHD17</f>
        <v/>
      </c>
      <c r="AHE30" s="110">
        <f>AHD30+BALANCING!AHE17</f>
        <v/>
      </c>
      <c r="AHF30" s="110">
        <f>AHE30+BALANCING!AHF17</f>
        <v/>
      </c>
      <c r="AHG30" s="110">
        <f>AHF30+BALANCING!AHG17</f>
        <v/>
      </c>
      <c r="AHH30" s="110">
        <f>AHG30+BALANCING!AHH17</f>
        <v/>
      </c>
      <c r="AHI30" s="110">
        <f>AHH30+BALANCING!AHI17</f>
        <v/>
      </c>
      <c r="AHJ30" s="110">
        <f>AHI30+BALANCING!AHJ17</f>
        <v/>
      </c>
      <c r="AHK30" s="110">
        <f>AHJ30+BALANCING!AHK17</f>
        <v/>
      </c>
      <c r="AHL30" s="110">
        <f>AHK30+BALANCING!AHL17</f>
        <v/>
      </c>
      <c r="AHM30" s="110">
        <f>AHL30+BALANCING!AHM17</f>
        <v/>
      </c>
      <c r="AHN30" s="110">
        <f>AHM30+BALANCING!AHN17</f>
        <v/>
      </c>
      <c r="AHO30" s="110">
        <f>AHN30+BALANCING!AHO17</f>
        <v/>
      </c>
      <c r="AHP30" s="110">
        <f>AHO30+BALANCING!AHP17</f>
        <v/>
      </c>
      <c r="AHQ30" s="110">
        <f>AHP30+BALANCING!AHQ17</f>
        <v/>
      </c>
      <c r="AHR30" s="110">
        <f>AHQ30+BALANCING!AHR17</f>
        <v/>
      </c>
      <c r="AHS30" s="110">
        <f>AHR30+BALANCING!AHS17</f>
        <v/>
      </c>
      <c r="AHT30" s="110">
        <f>AHS30+BALANCING!AHT17</f>
        <v/>
      </c>
      <c r="AHU30" s="110">
        <f>AHT30+BALANCING!AHU17</f>
        <v/>
      </c>
      <c r="AHV30" s="110">
        <f>AHU30+BALANCING!AHV17</f>
        <v/>
      </c>
      <c r="AHW30" s="110">
        <f>AHV30+BALANCING!AHW17</f>
        <v/>
      </c>
      <c r="AHX30" s="110">
        <f>AHW30+BALANCING!AHX17</f>
        <v/>
      </c>
      <c r="AHY30" s="110">
        <f>AHX30+BALANCING!AHY17</f>
        <v/>
      </c>
      <c r="AHZ30" s="110">
        <f>AHY30+BALANCING!AHZ17</f>
        <v/>
      </c>
      <c r="AIA30" s="110">
        <f>AHZ30+BALANCING!AIA17</f>
        <v/>
      </c>
      <c r="AIB30" s="110">
        <f>AIA30+BALANCING!AIB17</f>
        <v/>
      </c>
      <c r="AIC30" s="110">
        <f>AIB30+BALANCING!AIC17</f>
        <v/>
      </c>
      <c r="AID30" s="110">
        <f>AIC30+BALANCING!AID17</f>
        <v/>
      </c>
      <c r="AIE30" s="130" t="n"/>
      <c r="AIF30" s="110">
        <f>AIE30+BALANCING!AIF17</f>
        <v/>
      </c>
      <c r="AIG30" s="110">
        <f>AIF30+BALANCING!AIG17</f>
        <v/>
      </c>
      <c r="AIH30" s="110">
        <f>AIG30+BALANCING!AIH17</f>
        <v/>
      </c>
      <c r="AII30" s="110">
        <f>AIH30+BALANCING!AII17</f>
        <v/>
      </c>
      <c r="AIJ30" s="110">
        <f>AII30+BALANCING!AIJ17</f>
        <v/>
      </c>
      <c r="AIK30" s="110">
        <f>AIJ30+BALANCING!AIK17</f>
        <v/>
      </c>
      <c r="AIL30" s="110">
        <f>AIK30+BALANCING!AIL17</f>
        <v/>
      </c>
      <c r="AIM30" s="110">
        <f>AIL30+BALANCING!AIM17</f>
        <v/>
      </c>
      <c r="AIN30" s="110">
        <f>AIM30+BALANCING!AIN17</f>
        <v/>
      </c>
      <c r="AIO30" s="110">
        <f>AIN30+BALANCING!AIO17</f>
        <v/>
      </c>
      <c r="AIP30" s="110">
        <f>AIO30+BALANCING!AIP17</f>
        <v/>
      </c>
      <c r="AIQ30" s="110">
        <f>AIP30+BALANCING!AIQ17</f>
        <v/>
      </c>
      <c r="AIR30" s="110">
        <f>AIQ30+BALANCING!AIR17</f>
        <v/>
      </c>
      <c r="AIS30" s="110">
        <f>AIR30+BALANCING!AIS17</f>
        <v/>
      </c>
      <c r="AIT30" s="110">
        <f>AIS30+BALANCING!AIT17</f>
        <v/>
      </c>
      <c r="AIU30" s="110">
        <f>AIT30+BALANCING!AIU17</f>
        <v/>
      </c>
      <c r="AIV30" s="110">
        <f>AIU30+BALANCING!AIV17</f>
        <v/>
      </c>
      <c r="AIW30" s="110">
        <f>AIV30+BALANCING!AIW17</f>
        <v/>
      </c>
      <c r="AIX30" s="110">
        <f>AIW30+BALANCING!AIX17</f>
        <v/>
      </c>
      <c r="AIY30" s="110">
        <f>AIX30+BALANCING!AIY17</f>
        <v/>
      </c>
      <c r="AIZ30" s="110">
        <f>AIY30+BALANCING!AIZ17</f>
        <v/>
      </c>
      <c r="AJA30" s="110">
        <f>AIZ30+BALANCING!AJA17</f>
        <v/>
      </c>
      <c r="AJB30" s="110">
        <f>AJA30+BALANCING!AJB17</f>
        <v/>
      </c>
      <c r="AJC30" s="110">
        <f>AJB30+BALANCING!AJC17</f>
        <v/>
      </c>
      <c r="AJD30" s="110">
        <f>AJC30+BALANCING!AJD17</f>
        <v/>
      </c>
      <c r="AJE30" s="110">
        <f>AJD30+BALANCING!AJE17</f>
        <v/>
      </c>
      <c r="AJF30" s="110">
        <f>AJE30+BALANCING!AJF17</f>
        <v/>
      </c>
      <c r="AJG30" s="110">
        <f>AJF30+BALANCING!AJG17</f>
        <v/>
      </c>
      <c r="AJH30" s="110">
        <f>AJG30+BALANCING!AJH17</f>
        <v/>
      </c>
      <c r="AJI30" s="110">
        <f>AJH30+BALANCING!AJI17</f>
        <v/>
      </c>
      <c r="AJJ30" s="110">
        <f>AJI30+BALANCING!AJJ17</f>
        <v/>
      </c>
      <c r="AJK30" s="145" t="n"/>
      <c r="AJL30" s="110">
        <f>AJK30+BALANCING!AJL17</f>
        <v/>
      </c>
      <c r="AJM30" s="110">
        <f>AJL30+BALANCING!AJM17</f>
        <v/>
      </c>
      <c r="AJN30" s="110">
        <f>AJM30+BALANCING!AJN17</f>
        <v/>
      </c>
      <c r="AJO30" s="110">
        <f>AJN30+BALANCING!AJO17</f>
        <v/>
      </c>
      <c r="AJP30" s="110">
        <f>AJO30+BALANCING!AJP17</f>
        <v/>
      </c>
      <c r="AJQ30" s="110">
        <f>AJP30+BALANCING!AJQ17</f>
        <v/>
      </c>
      <c r="AJR30" s="110">
        <f>AJQ30+BALANCING!AJR17</f>
        <v/>
      </c>
      <c r="AJS30" s="110">
        <f>AJR30+BALANCING!AJS17</f>
        <v/>
      </c>
      <c r="AJT30" s="110">
        <f>AJS30+BALANCING!AJT17</f>
        <v/>
      </c>
      <c r="AJU30" s="110">
        <f>AJT30+BALANCING!AJU17</f>
        <v/>
      </c>
      <c r="AJV30" s="110">
        <f>AJU30+BALANCING!AJV17</f>
        <v/>
      </c>
      <c r="AJW30" s="110">
        <f>AJV30+BALANCING!AJW17</f>
        <v/>
      </c>
      <c r="AJX30" s="110">
        <f>AJW30+BALANCING!AJX17</f>
        <v/>
      </c>
      <c r="AJY30" s="110">
        <f>AJX30+BALANCING!AJY17</f>
        <v/>
      </c>
      <c r="AJZ30" s="110">
        <f>AJY30+BALANCING!AJZ17</f>
        <v/>
      </c>
      <c r="AKA30" s="110">
        <f>AJZ30+BALANCING!AKA17</f>
        <v/>
      </c>
      <c r="AKB30" s="110">
        <f>AKA30+BALANCING!AKB17</f>
        <v/>
      </c>
      <c r="AKC30" s="110">
        <f>AKB30+BALANCING!AKC17</f>
        <v/>
      </c>
      <c r="AKD30" s="110">
        <f>AKC30+BALANCING!AKD17</f>
        <v/>
      </c>
      <c r="AKE30" s="110">
        <f>AKD30+BALANCING!AKE17</f>
        <v/>
      </c>
      <c r="AKF30" s="110">
        <f>AKE30+BALANCING!AKF17</f>
        <v/>
      </c>
      <c r="AKG30" s="110">
        <f>AKF30+BALANCING!AKG17</f>
        <v/>
      </c>
      <c r="AKH30" s="110">
        <f>AKG30+BALANCING!AKH17</f>
        <v/>
      </c>
      <c r="AKI30" s="110">
        <f>AKH30+BALANCING!AKI17</f>
        <v/>
      </c>
      <c r="AKJ30" s="110">
        <f>AKI30+BALANCING!AKJ17</f>
        <v/>
      </c>
      <c r="AKK30" s="110">
        <f>AKJ30+BALANCING!AKK17</f>
        <v/>
      </c>
      <c r="AKL30" s="110">
        <f>AKK30+BALANCING!AKL17</f>
        <v/>
      </c>
      <c r="AKM30" s="110">
        <f>AKL30+BALANCING!AKM17</f>
        <v/>
      </c>
      <c r="AKN30" s="112" t="n"/>
      <c r="AKO30" s="110">
        <f>AKN30+BALANCING!AKO17</f>
        <v/>
      </c>
      <c r="AKP30" s="110">
        <f>AKO30+BALANCING!AKP17</f>
        <v/>
      </c>
      <c r="AKQ30" s="110">
        <f>AKP30+BALANCING!AKQ17</f>
        <v/>
      </c>
      <c r="AKR30" s="110">
        <f>AKQ30+BALANCING!AKR17</f>
        <v/>
      </c>
      <c r="AKS30" s="110">
        <f>AKR30+BALANCING!AKS17</f>
        <v/>
      </c>
      <c r="AKT30" s="110">
        <f>AKS30+BALANCING!AKT17</f>
        <v/>
      </c>
      <c r="AKU30" s="110">
        <f>AKT30+BALANCING!AKU17</f>
        <v/>
      </c>
      <c r="AKV30" s="110">
        <f>AKU30+BALANCING!AKV17</f>
        <v/>
      </c>
      <c r="AKW30" s="110">
        <f>AKV30+BALANCING!AKW17</f>
        <v/>
      </c>
      <c r="AKX30" s="110">
        <f>AKW30+BALANCING!AKX17</f>
        <v/>
      </c>
      <c r="AKY30" s="110">
        <f>AKX30+BALANCING!AKY17</f>
        <v/>
      </c>
      <c r="AKZ30" s="110">
        <f>AKY30+BALANCING!AKZ17</f>
        <v/>
      </c>
      <c r="ALA30" s="110">
        <f>AKZ30+BALANCING!ALA17</f>
        <v/>
      </c>
      <c r="ALB30" s="110">
        <f>ALA30+BALANCING!ALB17</f>
        <v/>
      </c>
      <c r="ALC30" s="110">
        <f>ALB30+BALANCING!ALC17</f>
        <v/>
      </c>
      <c r="ALD30" s="110">
        <f>ALC30+BALANCING!ALD17</f>
        <v/>
      </c>
      <c r="ALE30" s="110">
        <f>ALD30+BALANCING!ALE17</f>
        <v/>
      </c>
      <c r="ALF30" s="110">
        <f>ALE30+BALANCING!ALF17</f>
        <v/>
      </c>
      <c r="ALG30" s="110">
        <f>ALF30+BALANCING!ALG17</f>
        <v/>
      </c>
      <c r="ALH30" s="110">
        <f>ALG30+BALANCING!ALH17</f>
        <v/>
      </c>
      <c r="ALI30" s="110">
        <f>ALH30+BALANCING!ALI17</f>
        <v/>
      </c>
      <c r="ALJ30" s="110">
        <f>ALI30+BALANCING!ALJ17</f>
        <v/>
      </c>
      <c r="ALK30" s="110">
        <f>ALJ30+BALANCING!ALK17</f>
        <v/>
      </c>
      <c r="ALL30" s="110">
        <f>ALK30+BALANCING!ALL17</f>
        <v/>
      </c>
      <c r="ALM30" s="110">
        <f>ALL30+BALANCING!ALM17</f>
        <v/>
      </c>
      <c r="ALN30" s="110">
        <f>ALM30+BALANCING!ALN17</f>
        <v/>
      </c>
      <c r="ALO30" s="110">
        <f>ALN30+BALANCING!ALO17</f>
        <v/>
      </c>
      <c r="ALP30" s="110">
        <f>ALO30+BALANCING!ALP17</f>
        <v/>
      </c>
      <c r="ALQ30" s="110">
        <f>ALP30+BALANCING!ALQ17</f>
        <v/>
      </c>
      <c r="ALR30" s="110">
        <f>ALQ30+BALANCING!ALR17</f>
        <v/>
      </c>
      <c r="ALS30" s="110">
        <f>ALR30+BALANCING!ALS17</f>
        <v/>
      </c>
      <c r="ALT30" s="130" t="n"/>
      <c r="ALU30" s="110">
        <f>ALT30+BALANCING!ALU17</f>
        <v/>
      </c>
      <c r="ALV30" s="110">
        <f>ALU30+BALANCING!ALV17</f>
        <v/>
      </c>
      <c r="ALW30" s="110">
        <f>ALV30+BALANCING!ALW17</f>
        <v/>
      </c>
      <c r="ALX30" s="110">
        <f>ALW30+BALANCING!ALX17</f>
        <v/>
      </c>
      <c r="ALY30" s="110">
        <f>ALX30+BALANCING!ALY17</f>
        <v/>
      </c>
      <c r="ALZ30" s="110">
        <f>ALY30+BALANCING!ALZ17</f>
        <v/>
      </c>
      <c r="AMA30" s="110">
        <f>ALZ30+BALANCING!AMA17</f>
        <v/>
      </c>
      <c r="AMB30" s="110">
        <f>AMA30+BALANCING!AMB17</f>
        <v/>
      </c>
      <c r="AMC30" s="110">
        <f>AMB30+BALANCING!AMC17</f>
        <v/>
      </c>
      <c r="AMD30" s="110">
        <f>AMC30+BALANCING!AMD17</f>
        <v/>
      </c>
      <c r="AME30" s="110">
        <f>AMD30+BALANCING!AME17</f>
        <v/>
      </c>
      <c r="AMF30" s="110">
        <f>AME30+BALANCING!AMF17</f>
        <v/>
      </c>
      <c r="AMG30" s="110">
        <f>AMF30+BALANCING!AMG17</f>
        <v/>
      </c>
      <c r="AMH30" s="110">
        <f>AMG30+BALANCING!AMH17</f>
        <v/>
      </c>
      <c r="AMI30" s="110">
        <f>AMH30+BALANCING!AMI17</f>
        <v/>
      </c>
      <c r="AMJ30" s="110">
        <f>AMI30+BALANCING!AMJ17</f>
        <v/>
      </c>
      <c r="AMK30" s="110">
        <f>AMJ30+BALANCING!AMK17</f>
        <v/>
      </c>
      <c r="AML30" s="110">
        <f>AMK30+BALANCING!AML17</f>
        <v/>
      </c>
      <c r="AMM30" s="110">
        <f>AML30+BALANCING!AMM17</f>
        <v/>
      </c>
      <c r="AMN30" s="110">
        <f>AMM30+BALANCING!AMN17</f>
        <v/>
      </c>
      <c r="AMO30" s="110">
        <f>AMN30+BALANCING!AMO17</f>
        <v/>
      </c>
      <c r="AMP30" s="110">
        <f>AMO30+BALANCING!AMP17</f>
        <v/>
      </c>
      <c r="AMQ30" s="110">
        <f>AMP30+BALANCING!AMQ17</f>
        <v/>
      </c>
      <c r="AMR30" s="110">
        <f>AMQ30+BALANCING!AMR17</f>
        <v/>
      </c>
      <c r="AMS30" s="110">
        <f>AMR30+BALANCING!AMS17</f>
        <v/>
      </c>
      <c r="AMT30" s="110">
        <f>AMS30+BALANCING!AMT17</f>
        <v/>
      </c>
      <c r="AMU30" s="110">
        <f>AMT30+BALANCING!AMU17</f>
        <v/>
      </c>
      <c r="AMV30" s="110">
        <f>AMU30+BALANCING!AMV17</f>
        <v/>
      </c>
      <c r="AMW30" s="110">
        <f>AMV30+BALANCING!AMW17</f>
        <v/>
      </c>
      <c r="AMX30" s="110">
        <f>AMW30+BALANCING!AMX17</f>
        <v/>
      </c>
      <c r="AMY30" s="130" t="n"/>
      <c r="AMZ30" s="110">
        <f>AMY30+BALANCING!AMZ17</f>
        <v/>
      </c>
      <c r="ANA30" s="110">
        <f>AMZ30+BALANCING!ANA17</f>
        <v/>
      </c>
      <c r="ANB30" s="110">
        <f>ANA30+BALANCING!ANB17</f>
        <v/>
      </c>
      <c r="ANC30" s="110">
        <f>ANB30+BALANCING!ANC17</f>
        <v/>
      </c>
      <c r="AND30" s="110">
        <f>ANC30+BALANCING!AND17</f>
        <v/>
      </c>
      <c r="ANE30" s="110">
        <f>AND30+BALANCING!ANE17</f>
        <v/>
      </c>
      <c r="ANF30" s="110">
        <f>ANE30+BALANCING!ANF17</f>
        <v/>
      </c>
      <c r="ANG30" s="110">
        <f>ANF30+BALANCING!ANG17</f>
        <v/>
      </c>
      <c r="ANH30" s="110">
        <f>ANG30+BALANCING!ANH17</f>
        <v/>
      </c>
      <c r="ANI30" s="110">
        <f>ANH30+BALANCING!ANI17</f>
        <v/>
      </c>
      <c r="ANJ30" s="110">
        <f>ANI30+BALANCING!ANJ17</f>
        <v/>
      </c>
      <c r="ANK30" s="110">
        <f>ANJ30+BALANCING!ANK17</f>
        <v/>
      </c>
      <c r="ANL30" s="110">
        <f>ANK30+BALANCING!ANL17</f>
        <v/>
      </c>
      <c r="ANM30" s="110">
        <f>ANL30+BALANCING!ANM17</f>
        <v/>
      </c>
      <c r="ANN30" s="110">
        <f>ANM30+BALANCING!ANN17</f>
        <v/>
      </c>
      <c r="ANO30" s="110">
        <f>ANN30+BALANCING!ANO17</f>
        <v/>
      </c>
      <c r="ANP30" s="110">
        <f>ANO30+BALANCING!ANP17</f>
        <v/>
      </c>
      <c r="ANQ30" s="110">
        <f>ANP30+BALANCING!ANQ17</f>
        <v/>
      </c>
      <c r="ANR30" s="110">
        <f>ANQ30+BALANCING!ANR17</f>
        <v/>
      </c>
      <c r="ANS30" s="110">
        <f>ANR30+BALANCING!ANS17</f>
        <v/>
      </c>
      <c r="ANT30" s="110">
        <f>ANS30+BALANCING!ANT17</f>
        <v/>
      </c>
      <c r="ANU30" s="110">
        <f>ANT30+BALANCING!ANU17</f>
        <v/>
      </c>
      <c r="ANV30" s="110">
        <f>ANU30+BALANCING!ANV17</f>
        <v/>
      </c>
      <c r="ANW30" s="110">
        <f>ANV30+BALANCING!ANW17</f>
        <v/>
      </c>
      <c r="ANX30" s="110">
        <f>ANW30+BALANCING!ANX17</f>
        <v/>
      </c>
      <c r="ANY30" s="110">
        <f>ANX30+BALANCING!ANY17</f>
        <v/>
      </c>
      <c r="ANZ30" s="110">
        <f>ANY30+BALANCING!ANZ17</f>
        <v/>
      </c>
      <c r="AOA30" s="110">
        <f>ANZ30+BALANCING!AOA17</f>
        <v/>
      </c>
      <c r="AOB30" s="110">
        <f>AOA30+BALANCING!AOB17</f>
        <v/>
      </c>
      <c r="AOC30" s="110">
        <f>AOB30+BALANCING!AOC17</f>
        <v/>
      </c>
    </row>
    <row r="31">
      <c r="B31" t="inlineStr">
        <is>
          <t>yusuf umor</t>
        </is>
      </c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98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  <c r="BC31" s="82" t="n"/>
      <c r="BD31" s="82" t="n"/>
      <c r="BE31" s="82" t="n"/>
      <c r="BF31" s="82" t="n"/>
      <c r="BG31" s="82" t="n"/>
      <c r="BH31" s="82" t="n"/>
      <c r="BI31" s="82" t="n"/>
      <c r="BJ31" s="82" t="n"/>
      <c r="BK31" s="82" t="n"/>
      <c r="BL31" s="82" t="n"/>
      <c r="BM31" s="106" t="n"/>
      <c r="BN31" s="82" t="n"/>
      <c r="BO31" s="82" t="n"/>
      <c r="BP31" s="82" t="n"/>
      <c r="BQ31" s="82" t="n"/>
      <c r="BR31" s="82" t="n"/>
      <c r="BS31" s="82" t="n"/>
      <c r="BT31" s="82" t="n"/>
      <c r="BU31" s="82" t="n"/>
      <c r="BV31" s="82" t="n"/>
      <c r="BW31" s="82" t="n"/>
      <c r="BX31" s="82" t="n"/>
      <c r="BY31" s="82" t="n"/>
      <c r="BZ31" s="82" t="n"/>
      <c r="CA31" s="82" t="n"/>
      <c r="CB31" s="82" t="n"/>
      <c r="CC31" s="82" t="n"/>
      <c r="CD31" s="82" t="n"/>
      <c r="CE31" s="82" t="n"/>
      <c r="CF31" s="82" t="n"/>
      <c r="CG31" s="82" t="n"/>
      <c r="CH31" s="82" t="n"/>
      <c r="CI31" s="82" t="n"/>
      <c r="CJ31" s="82" t="n"/>
      <c r="CK31" s="82" t="n"/>
      <c r="CL31" s="82" t="n"/>
      <c r="CM31" s="82" t="n"/>
      <c r="CN31" s="82" t="n"/>
      <c r="CO31" s="82" t="n"/>
      <c r="CP31" s="82" t="n"/>
      <c r="CQ31" s="82" t="n"/>
      <c r="CR31" s="82" t="n"/>
      <c r="CT31" s="82" t="n"/>
      <c r="CU31" s="82" t="n"/>
      <c r="CV31" s="82" t="n"/>
      <c r="CW31" s="82" t="n"/>
      <c r="CX31" s="82" t="n"/>
      <c r="CY31" s="82" t="n"/>
      <c r="CZ31" s="82" t="n"/>
      <c r="DA31" s="82" t="n"/>
      <c r="DB31" s="82" t="n"/>
      <c r="DC31" s="82" t="n"/>
      <c r="DD31" s="82" t="n"/>
      <c r="DE31" s="82" t="n"/>
      <c r="DF31" s="82" t="n"/>
      <c r="DG31" s="82" t="n"/>
      <c r="DH31" s="82" t="n"/>
      <c r="DI31" s="82" t="n"/>
      <c r="DJ31" s="82" t="n"/>
      <c r="DK31" s="82" t="n"/>
      <c r="DL31" s="82" t="n"/>
      <c r="DM31" s="82" t="n"/>
      <c r="DN31" s="82" t="n"/>
      <c r="DO31" s="82" t="n"/>
      <c r="DP31" s="82" t="n"/>
      <c r="DQ31" s="82" t="n"/>
      <c r="DR31" s="82" t="n"/>
      <c r="DS31" s="82" t="n"/>
      <c r="DT31" s="82" t="n"/>
      <c r="DU31" s="82" t="n"/>
      <c r="DV31" s="82" t="n"/>
      <c r="DW31" s="82" t="n"/>
      <c r="DX31" s="117" t="n"/>
      <c r="DY31" s="82" t="n"/>
      <c r="DZ31" s="82" t="n"/>
      <c r="EA31" s="82" t="n"/>
      <c r="EB31" s="82" t="n"/>
      <c r="EC31" s="82" t="n"/>
      <c r="ED31" s="82" t="n"/>
      <c r="EE31" s="82" t="n"/>
      <c r="EF31" s="82" t="n"/>
      <c r="EG31" s="82" t="n">
        <v>372334</v>
      </c>
      <c r="EH31" s="82">
        <f>EG31</f>
        <v/>
      </c>
      <c r="EI31" s="82">
        <f>EH31+224000</f>
        <v/>
      </c>
      <c r="EJ31" s="82">
        <f>EI31</f>
        <v/>
      </c>
      <c r="EK31" s="82">
        <f>EJ31</f>
        <v/>
      </c>
      <c r="EL31" s="82">
        <f>EK31-372350+267235</f>
        <v/>
      </c>
      <c r="EM31" s="82">
        <f>EL31</f>
        <v/>
      </c>
      <c r="EN31" s="82">
        <f>EM31</f>
        <v/>
      </c>
      <c r="EO31" s="82">
        <f>EN31</f>
        <v/>
      </c>
      <c r="EP31" s="82">
        <f>EO31+182942</f>
        <v/>
      </c>
      <c r="EQ31" s="82">
        <f>EP31</f>
        <v/>
      </c>
      <c r="ER31" s="82">
        <f>EQ31</f>
        <v/>
      </c>
      <c r="ES31" s="82">
        <f>ER31</f>
        <v/>
      </c>
      <c r="ET31" s="82">
        <f>ES31</f>
        <v/>
      </c>
      <c r="EU31" s="82">
        <f>ET31-450000+397021</f>
        <v/>
      </c>
      <c r="EV31" s="82">
        <f>EU31</f>
        <v/>
      </c>
      <c r="EW31" s="82">
        <f>EV31</f>
        <v/>
      </c>
      <c r="EX31" s="82">
        <f>EW31</f>
        <v/>
      </c>
      <c r="EY31" s="82">
        <f>EX31</f>
        <v/>
      </c>
      <c r="EZ31" s="82">
        <f>EY31</f>
        <v/>
      </c>
      <c r="FA31" s="82">
        <f>EZ31</f>
        <v/>
      </c>
      <c r="FB31" s="82">
        <f>FA31-397000</f>
        <v/>
      </c>
      <c r="FC31" s="82">
        <f>FB31+238572</f>
        <v/>
      </c>
      <c r="FD31" s="126" t="n"/>
      <c r="FE31" s="82">
        <f>FD31+238572</f>
        <v/>
      </c>
      <c r="FF31" s="82">
        <f>FE31</f>
        <v/>
      </c>
      <c r="FG31" s="82">
        <f>FF31</f>
        <v/>
      </c>
      <c r="FH31" s="82">
        <f>FG31</f>
        <v/>
      </c>
      <c r="FI31" s="82">
        <f>FH31-238000</f>
        <v/>
      </c>
      <c r="FJ31" s="82">
        <f>FI31+112000+363265</f>
        <v/>
      </c>
      <c r="FK31" s="82">
        <f>FJ31</f>
        <v/>
      </c>
      <c r="FL31" s="82">
        <f>FK31</f>
        <v/>
      </c>
      <c r="FM31" s="82">
        <f>FL31</f>
        <v/>
      </c>
      <c r="FN31" s="82">
        <f>FM31</f>
        <v/>
      </c>
      <c r="FO31" s="82">
        <f>FN31</f>
        <v/>
      </c>
      <c r="FP31" s="82">
        <f>FO31</f>
        <v/>
      </c>
      <c r="FQ31" s="82">
        <f>FP31</f>
        <v/>
      </c>
      <c r="FR31" s="82">
        <f>FQ31</f>
        <v/>
      </c>
      <c r="FS31" s="82">
        <f>FR31</f>
        <v/>
      </c>
      <c r="FT31" s="82">
        <f>FS31</f>
        <v/>
      </c>
      <c r="FU31" s="82">
        <f>FT31</f>
        <v/>
      </c>
      <c r="FV31" s="82">
        <f>FU31+314474</f>
        <v/>
      </c>
      <c r="FW31" s="82">
        <f>FV31-789739</f>
        <v/>
      </c>
      <c r="FX31" s="82">
        <f>FW31</f>
        <v/>
      </c>
      <c r="FY31" s="82">
        <f>FX31+151000</f>
        <v/>
      </c>
      <c r="FZ31" s="82">
        <f>FY31</f>
        <v/>
      </c>
      <c r="GA31" s="82">
        <f>FZ31+232000</f>
        <v/>
      </c>
      <c r="GB31" s="82">
        <f>GA31</f>
        <v/>
      </c>
      <c r="GC31" s="82">
        <f>GB31</f>
        <v/>
      </c>
      <c r="GD31" s="82">
        <f>GC31+250000</f>
        <v/>
      </c>
      <c r="GE31" s="82">
        <f>GD31+22000</f>
        <v/>
      </c>
      <c r="GF31" s="82">
        <f>GE31</f>
        <v/>
      </c>
      <c r="GG31" s="82">
        <f>GF31</f>
        <v/>
      </c>
      <c r="GH31" s="82">
        <f>GG31</f>
        <v/>
      </c>
      <c r="GI31" s="82">
        <f>GH31</f>
        <v/>
      </c>
      <c r="GJ31" s="130" t="n"/>
      <c r="GK31" s="82">
        <f>GI31</f>
        <v/>
      </c>
      <c r="GL31" s="82">
        <f>GK31</f>
        <v/>
      </c>
      <c r="GM31" s="82">
        <f>GK31</f>
        <v/>
      </c>
      <c r="GN31" s="82">
        <f>GL31</f>
        <v/>
      </c>
      <c r="GO31" s="82">
        <f>GM31</f>
        <v/>
      </c>
      <c r="GP31" s="82">
        <f>GN31</f>
        <v/>
      </c>
      <c r="GQ31" s="82">
        <f>GO31</f>
        <v/>
      </c>
      <c r="GR31" s="82">
        <f>GP31</f>
        <v/>
      </c>
      <c r="GS31" s="82">
        <f>GQ31</f>
        <v/>
      </c>
      <c r="GT31" s="82">
        <f>GR31</f>
        <v/>
      </c>
      <c r="GU31" s="82">
        <f>GS31</f>
        <v/>
      </c>
      <c r="GV31" s="82">
        <f>GT31</f>
        <v/>
      </c>
      <c r="GW31" s="82">
        <f>GU31</f>
        <v/>
      </c>
      <c r="GX31" s="82">
        <f>GV31</f>
        <v/>
      </c>
      <c r="GY31" s="82">
        <f>GW31</f>
        <v/>
      </c>
      <c r="GZ31" s="82">
        <f>GX31-600000</f>
        <v/>
      </c>
      <c r="HA31" s="82">
        <f>GZ31</f>
        <v/>
      </c>
      <c r="HB31" s="82">
        <f>GZ31-55000</f>
        <v/>
      </c>
      <c r="HC31" s="82">
        <f>HB31</f>
        <v/>
      </c>
      <c r="HD31" s="82">
        <f>HB31+392026</f>
        <v/>
      </c>
      <c r="HE31" s="82">
        <f>HD31</f>
        <v/>
      </c>
      <c r="HF31" s="82">
        <f>HD31</f>
        <v/>
      </c>
      <c r="HG31" s="82">
        <f>HE31+50000+388291-440000</f>
        <v/>
      </c>
      <c r="HH31" s="82">
        <f>HF31</f>
        <v/>
      </c>
      <c r="HI31" s="82">
        <f>HG31</f>
        <v/>
      </c>
      <c r="HJ31" s="82">
        <f>HH31</f>
        <v/>
      </c>
      <c r="HK31" s="82">
        <f>HI31</f>
        <v/>
      </c>
      <c r="HL31" s="82">
        <f>HJ31</f>
        <v/>
      </c>
      <c r="HM31" s="82">
        <f>HK31</f>
        <v/>
      </c>
      <c r="HN31" s="130" t="n"/>
      <c r="HO31" s="82">
        <f>HM31+50000</f>
        <v/>
      </c>
      <c r="HP31" s="82">
        <f>HO31</f>
        <v/>
      </c>
      <c r="HQ31" s="82">
        <f>HP31-183000+224000+69000</f>
        <v/>
      </c>
      <c r="HR31" s="82">
        <f>HQ31-500300+630000</f>
        <v/>
      </c>
      <c r="HS31" s="82">
        <f>HR31</f>
        <v/>
      </c>
      <c r="HT31" s="82">
        <f>HS31</f>
        <v/>
      </c>
      <c r="HU31" s="82">
        <f>HT31</f>
        <v/>
      </c>
      <c r="HV31" s="82">
        <f>HU31</f>
        <v/>
      </c>
      <c r="HW31" s="82">
        <f>HV31</f>
        <v/>
      </c>
      <c r="HX31" s="82">
        <f>HW31</f>
        <v/>
      </c>
      <c r="HY31" s="82">
        <f>HX31</f>
        <v/>
      </c>
      <c r="HZ31" s="82">
        <f>HY31</f>
        <v/>
      </c>
      <c r="IA31" s="82">
        <f>HZ31</f>
        <v/>
      </c>
      <c r="IB31" s="82">
        <f>IA31</f>
        <v/>
      </c>
      <c r="IC31" s="82">
        <f>IB31</f>
        <v/>
      </c>
      <c r="ID31" s="82">
        <f>IC31</f>
        <v/>
      </c>
      <c r="IE31" s="82">
        <f>ID31</f>
        <v/>
      </c>
      <c r="IF31" s="82">
        <f>IE31</f>
        <v/>
      </c>
      <c r="IG31" s="82">
        <f>IF31</f>
        <v/>
      </c>
      <c r="IH31" s="82">
        <f>IG31</f>
        <v/>
      </c>
      <c r="II31" s="82">
        <f>IH31</f>
        <v/>
      </c>
      <c r="IJ31" s="82">
        <f>II31-250000+200000</f>
        <v/>
      </c>
      <c r="IK31" s="82">
        <f>IJ31</f>
        <v/>
      </c>
      <c r="IL31" s="82">
        <f>IK31</f>
        <v/>
      </c>
      <c r="IM31" s="82">
        <f>IL31-150000</f>
        <v/>
      </c>
      <c r="IN31" s="82">
        <f>IM31</f>
        <v/>
      </c>
      <c r="IO31" s="82">
        <f>IN31</f>
        <v/>
      </c>
      <c r="IP31" s="82">
        <f>IO31</f>
        <v/>
      </c>
      <c r="IQ31" s="82">
        <f>IP31</f>
        <v/>
      </c>
      <c r="IR31" s="82">
        <f>IQ31</f>
        <v/>
      </c>
      <c r="IS31" s="82">
        <f>IR31</f>
        <v/>
      </c>
      <c r="IT31" s="130" t="n"/>
      <c r="IU31" s="82">
        <f>IS31+40000+95000</f>
        <v/>
      </c>
      <c r="IV31" s="82">
        <f>IU31+20000+398051-500000</f>
        <v/>
      </c>
      <c r="IW31" s="82">
        <f>IV31</f>
        <v/>
      </c>
      <c r="IX31" s="82">
        <f>IW31</f>
        <v/>
      </c>
      <c r="IY31" s="82">
        <f>IX31</f>
        <v/>
      </c>
      <c r="IZ31" s="82">
        <f>IY31-60880</f>
        <v/>
      </c>
      <c r="JA31" s="82">
        <f>IZ31+140000+22000</f>
        <v/>
      </c>
      <c r="JB31" s="82">
        <f>JA31</f>
        <v/>
      </c>
      <c r="JC31" s="82">
        <f>JB31</f>
        <v/>
      </c>
      <c r="JD31" s="82">
        <f>JC31</f>
        <v/>
      </c>
      <c r="JE31" s="82">
        <f>JD31</f>
        <v/>
      </c>
      <c r="JF31" s="82">
        <f>JE31</f>
        <v/>
      </c>
      <c r="JG31" s="82">
        <f>JF31+300000-450000</f>
        <v/>
      </c>
      <c r="JH31" s="82">
        <f>JG31</f>
        <v/>
      </c>
      <c r="JI31" s="82">
        <f>JH31</f>
        <v/>
      </c>
      <c r="JJ31" s="82">
        <f>JI31</f>
        <v/>
      </c>
      <c r="JK31" s="82">
        <f>JJ31</f>
        <v/>
      </c>
      <c r="JL31" s="82">
        <f>JK31</f>
        <v/>
      </c>
      <c r="JM31" s="82">
        <f>JL31</f>
        <v/>
      </c>
      <c r="JN31" s="82">
        <f>JM31</f>
        <v/>
      </c>
      <c r="JO31" s="82">
        <f>JN31+385000</f>
        <v/>
      </c>
      <c r="JP31" s="82">
        <f>JO31</f>
        <v/>
      </c>
      <c r="JQ31" s="82">
        <f>JP31</f>
        <v/>
      </c>
      <c r="JR31" s="82">
        <f>JQ31</f>
        <v/>
      </c>
      <c r="JS31" s="82">
        <f>JR31</f>
        <v/>
      </c>
      <c r="JT31" s="82">
        <f>JS31</f>
        <v/>
      </c>
      <c r="JU31" s="82">
        <f>JT31</f>
        <v/>
      </c>
      <c r="JV31" s="82">
        <f>JU31</f>
        <v/>
      </c>
      <c r="JW31" s="82">
        <f>JV31</f>
        <v/>
      </c>
      <c r="JX31" s="82">
        <f>JW31</f>
        <v/>
      </c>
      <c r="JY31" s="133" t="n"/>
      <c r="JZ31" s="82">
        <f>JX31</f>
        <v/>
      </c>
      <c r="KA31" s="82">
        <f>JZ31</f>
        <v/>
      </c>
      <c r="KB31" s="82">
        <f>JZ31</f>
        <v/>
      </c>
      <c r="KC31" s="82">
        <f>KA31</f>
        <v/>
      </c>
      <c r="KD31" s="82">
        <f>KB31</f>
        <v/>
      </c>
      <c r="KE31" s="82">
        <f>KC31</f>
        <v/>
      </c>
      <c r="KF31" s="82">
        <f>KD31-600000+365136</f>
        <v/>
      </c>
      <c r="KG31" s="82">
        <f>KF31</f>
        <v/>
      </c>
      <c r="KH31" s="82">
        <f>KF31</f>
        <v/>
      </c>
      <c r="KI31" s="82">
        <f>KG31+106000</f>
        <v/>
      </c>
      <c r="KJ31" s="82">
        <f>KI31</f>
        <v/>
      </c>
      <c r="KK31" s="82">
        <f>KI31</f>
        <v/>
      </c>
      <c r="KL31" s="82">
        <f>KJ31-350000</f>
        <v/>
      </c>
      <c r="KM31" s="82">
        <f>KL31+337654</f>
        <v/>
      </c>
      <c r="KN31" s="82">
        <f>KM31+181000</f>
        <v/>
      </c>
      <c r="KO31" s="82">
        <f>KN31</f>
        <v/>
      </c>
      <c r="KP31" s="82">
        <f>KN31</f>
        <v/>
      </c>
      <c r="KQ31" s="82">
        <f>KO31</f>
        <v/>
      </c>
      <c r="KR31" s="82">
        <f>KP31</f>
        <v/>
      </c>
      <c r="KS31" s="82">
        <f>KQ31</f>
        <v/>
      </c>
      <c r="KT31" s="82">
        <f>KR31-695000</f>
        <v/>
      </c>
      <c r="KU31" s="82">
        <f>KT31+274818</f>
        <v/>
      </c>
      <c r="KV31" s="82">
        <f>KU31</f>
        <v/>
      </c>
      <c r="KW31" s="82">
        <f>KU31</f>
        <v/>
      </c>
      <c r="KX31" s="82">
        <f>KV31+293000</f>
        <v/>
      </c>
      <c r="KY31" s="82">
        <f>KX31</f>
        <v/>
      </c>
      <c r="KZ31" s="82">
        <f>KX31</f>
        <v/>
      </c>
      <c r="LA31" s="82">
        <f>KY31</f>
        <v/>
      </c>
      <c r="LB31" s="82">
        <f>KZ31</f>
        <v/>
      </c>
      <c r="LC31" s="82">
        <f>LA31</f>
        <v/>
      </c>
      <c r="LD31" s="82">
        <f>LB31</f>
        <v/>
      </c>
      <c r="LE31" s="130" t="n"/>
      <c r="LF31" s="82">
        <f>LD31</f>
        <v/>
      </c>
      <c r="LG31" s="82">
        <f>LF31</f>
        <v/>
      </c>
      <c r="LH31" s="82">
        <f>LG31</f>
        <v/>
      </c>
      <c r="LI31" s="82">
        <f>LH31</f>
        <v/>
      </c>
      <c r="LJ31" s="82">
        <f>LI31+107000+44000</f>
        <v/>
      </c>
      <c r="LK31" s="82">
        <f>LJ31+44000</f>
        <v/>
      </c>
      <c r="LL31" s="82">
        <f>LK31</f>
        <v/>
      </c>
      <c r="LM31" s="82">
        <f>LL31</f>
        <v/>
      </c>
      <c r="LN31" s="82">
        <f>LM31</f>
        <v/>
      </c>
      <c r="LO31" s="82">
        <f>LN31</f>
        <v/>
      </c>
      <c r="LP31" s="82">
        <f>LO31</f>
        <v/>
      </c>
      <c r="LQ31" s="82">
        <f>LP31</f>
        <v/>
      </c>
      <c r="LR31" s="82">
        <f>LQ31</f>
        <v/>
      </c>
      <c r="LS31" s="82">
        <f>LR31-700000+410000</f>
        <v/>
      </c>
      <c r="LT31" s="82">
        <f>LS31</f>
        <v/>
      </c>
      <c r="LU31" s="82">
        <f>LT31</f>
        <v/>
      </c>
      <c r="LV31" s="82">
        <f>LU31+336000+179014-400000</f>
        <v/>
      </c>
      <c r="LW31" s="82">
        <f>LV31</f>
        <v/>
      </c>
      <c r="LX31" s="82">
        <f>LW31</f>
        <v/>
      </c>
      <c r="LY31" s="82">
        <f>LX31-350000+181000</f>
        <v/>
      </c>
      <c r="LZ31" s="82">
        <f>LY31</f>
        <v/>
      </c>
      <c r="MA31" s="82">
        <f>LZ31</f>
        <v/>
      </c>
      <c r="MB31" s="82">
        <f>MA31</f>
        <v/>
      </c>
      <c r="MC31" s="82">
        <f>MB31</f>
        <v/>
      </c>
      <c r="MD31" s="82">
        <f>MC31-350000</f>
        <v/>
      </c>
      <c r="ME31" s="82">
        <f>MD31+397793</f>
        <v/>
      </c>
      <c r="MF31" s="82">
        <f>ME31</f>
        <v/>
      </c>
      <c r="MG31" s="82">
        <f>MF31+215000-400000</f>
        <v/>
      </c>
      <c r="MH31" s="82">
        <f>MG31+151000</f>
        <v/>
      </c>
      <c r="MI31" s="82">
        <f>MH31</f>
        <v/>
      </c>
      <c r="MJ31" s="133" t="n"/>
      <c r="MK31" s="82">
        <f>MI31</f>
        <v/>
      </c>
      <c r="ML31" s="82">
        <f>MK31</f>
        <v/>
      </c>
      <c r="MM31" s="82">
        <f>MK31</f>
        <v/>
      </c>
      <c r="MN31" s="82">
        <f>ML31</f>
        <v/>
      </c>
      <c r="MO31" s="82">
        <f>MM31</f>
        <v/>
      </c>
      <c r="MP31" s="82">
        <f>MN31</f>
        <v/>
      </c>
      <c r="MQ31" s="82">
        <f>MO31</f>
        <v/>
      </c>
      <c r="MR31" s="82">
        <f>MP31</f>
        <v/>
      </c>
      <c r="MS31" s="82">
        <f>MQ31</f>
        <v/>
      </c>
      <c r="MT31" s="82">
        <f>MR31</f>
        <v/>
      </c>
      <c r="MU31" s="82">
        <f>MS31+296626-400000</f>
        <v/>
      </c>
      <c r="MV31" s="82">
        <f>MU31</f>
        <v/>
      </c>
      <c r="MW31" s="82">
        <f>MU31+50000</f>
        <v/>
      </c>
      <c r="MX31" s="82">
        <f>MW31</f>
        <v/>
      </c>
      <c r="MY31" s="82">
        <f>MW31</f>
        <v/>
      </c>
      <c r="MZ31" s="82">
        <f>MX31+100000</f>
        <v/>
      </c>
      <c r="NA31" s="82">
        <f>MZ31</f>
        <v/>
      </c>
      <c r="NB31" s="82">
        <f>MZ31-400000+305504</f>
        <v/>
      </c>
      <c r="NC31" s="82">
        <f>NB31</f>
        <v/>
      </c>
      <c r="ND31" s="82">
        <f>NB31</f>
        <v/>
      </c>
      <c r="NE31" s="82">
        <f>NC31</f>
        <v/>
      </c>
      <c r="NF31" s="82">
        <f>ND31</f>
        <v/>
      </c>
      <c r="NG31" s="82">
        <f>NE31+22000</f>
        <v/>
      </c>
      <c r="NH31" s="82">
        <f>NG31</f>
        <v/>
      </c>
      <c r="NI31" s="82">
        <f>NG31</f>
        <v/>
      </c>
      <c r="NJ31" s="82">
        <f>NH31</f>
        <v/>
      </c>
      <c r="NK31" s="82">
        <f>NI31</f>
        <v/>
      </c>
      <c r="NL31" s="82">
        <f>NJ31+151000</f>
        <v/>
      </c>
      <c r="NM31" s="82">
        <f>NL31</f>
        <v/>
      </c>
      <c r="NN31" s="82">
        <f>NL31</f>
        <v/>
      </c>
      <c r="NO31" s="82">
        <f>NM31</f>
        <v/>
      </c>
      <c r="NP31" s="133" t="n"/>
      <c r="NQ31" s="82">
        <f>NO31</f>
        <v/>
      </c>
      <c r="NR31" s="82">
        <f>NQ31</f>
        <v/>
      </c>
      <c r="NS31" s="82">
        <f>NQ31</f>
        <v/>
      </c>
      <c r="NT31" s="82">
        <f>NR31</f>
        <v/>
      </c>
      <c r="NU31" s="82">
        <f>NS31+200000</f>
        <v/>
      </c>
      <c r="NV31" s="82">
        <f>NU31</f>
        <v/>
      </c>
      <c r="NW31" s="82">
        <f>NU31</f>
        <v/>
      </c>
      <c r="NX31" s="82">
        <f>NV31-500000</f>
        <v/>
      </c>
      <c r="NY31" s="82">
        <f>NX31</f>
        <v/>
      </c>
      <c r="NZ31" s="82">
        <f>NX31</f>
        <v/>
      </c>
      <c r="OA31" s="82">
        <f>NY31+376263</f>
        <v/>
      </c>
      <c r="OB31" s="82">
        <f>OA31</f>
        <v/>
      </c>
      <c r="OC31" s="82">
        <f>OA31</f>
        <v/>
      </c>
      <c r="OD31" s="82">
        <f>OB31</f>
        <v/>
      </c>
      <c r="OE31" s="82">
        <f>OC31</f>
        <v/>
      </c>
      <c r="OF31" s="82">
        <f>OD31</f>
        <v/>
      </c>
      <c r="OG31" s="82">
        <f>OE31</f>
        <v/>
      </c>
      <c r="OH31" s="82">
        <f>OF31-500000</f>
        <v/>
      </c>
      <c r="OI31" s="82">
        <f>OH31+112000+69000+388516</f>
        <v/>
      </c>
      <c r="OJ31" s="82">
        <f>OI31</f>
        <v/>
      </c>
      <c r="OK31" s="82">
        <f>OI31</f>
        <v/>
      </c>
      <c r="OL31" s="82">
        <f>OJ31</f>
        <v/>
      </c>
      <c r="OM31" s="82">
        <f>OK31</f>
        <v/>
      </c>
      <c r="ON31" s="82">
        <f>OL31</f>
        <v/>
      </c>
      <c r="OO31" s="82">
        <f>OM31</f>
        <v/>
      </c>
      <c r="OP31" s="82">
        <f>ON31</f>
        <v/>
      </c>
      <c r="OQ31" s="82">
        <f>OO31</f>
        <v/>
      </c>
      <c r="OR31" s="82">
        <f>OP31</f>
        <v/>
      </c>
      <c r="OS31" s="82">
        <f>OQ31</f>
        <v/>
      </c>
      <c r="OT31" s="82">
        <f>OR31</f>
        <v/>
      </c>
      <c r="OU31" s="82">
        <f>OS31</f>
        <v/>
      </c>
      <c r="OV31" s="130" t="n"/>
      <c r="OW31" s="82">
        <f>OU31</f>
        <v/>
      </c>
      <c r="OX31" s="82">
        <f>OW31-506495+448000</f>
        <v/>
      </c>
      <c r="OY31" s="82">
        <f>OX31-430000+400000</f>
        <v/>
      </c>
      <c r="OZ31" s="82">
        <f>OY31</f>
        <v/>
      </c>
      <c r="PA31" s="82">
        <f>OY31</f>
        <v/>
      </c>
      <c r="PB31" s="82">
        <f>OZ31</f>
        <v/>
      </c>
      <c r="PC31" s="82">
        <f>PA31+100000</f>
        <v/>
      </c>
      <c r="PD31" s="82">
        <f>PC31+107000+44000</f>
        <v/>
      </c>
      <c r="PE31" s="82">
        <f>PD31</f>
        <v/>
      </c>
      <c r="PF31" s="82">
        <f>PD31</f>
        <v/>
      </c>
      <c r="PG31" s="82">
        <f>PE31</f>
        <v/>
      </c>
      <c r="PH31" s="82">
        <f>PF31</f>
        <v/>
      </c>
      <c r="PI31" s="82">
        <f>PG31</f>
        <v/>
      </c>
      <c r="PJ31" s="82">
        <f>PH31</f>
        <v/>
      </c>
      <c r="PK31" s="82">
        <f>PI31</f>
        <v/>
      </c>
      <c r="PL31" s="82">
        <f>PJ31</f>
        <v/>
      </c>
      <c r="PM31" s="82">
        <f>PK31</f>
        <v/>
      </c>
      <c r="PN31" s="82">
        <f>PL31</f>
        <v/>
      </c>
      <c r="PO31" s="82">
        <f>PM31</f>
        <v/>
      </c>
      <c r="PP31" s="82">
        <f>PN31</f>
        <v/>
      </c>
      <c r="PQ31" s="82">
        <f>PO31+112000</f>
        <v/>
      </c>
      <c r="PR31" s="82">
        <f>PQ31</f>
        <v/>
      </c>
      <c r="PS31" s="82">
        <f>PQ31-900000</f>
        <v/>
      </c>
      <c r="PT31" s="82">
        <f>PS31+374400</f>
        <v/>
      </c>
      <c r="PU31" s="82">
        <f>PT31</f>
        <v/>
      </c>
      <c r="PV31" s="82">
        <f>PT31+107000+44000</f>
        <v/>
      </c>
      <c r="PW31" s="82">
        <f>PV31</f>
        <v/>
      </c>
      <c r="PX31" s="82">
        <f>PV31+199648</f>
        <v/>
      </c>
      <c r="PY31" s="82">
        <f>PX31</f>
        <v/>
      </c>
      <c r="PZ31" s="82">
        <f>PX31</f>
        <v/>
      </c>
      <c r="QA31" s="130" t="n"/>
      <c r="QB31" s="82">
        <f>PZ31</f>
        <v/>
      </c>
      <c r="QC31" s="82">
        <f>QB31</f>
        <v/>
      </c>
      <c r="QD31" s="82">
        <f>QC31</f>
        <v/>
      </c>
      <c r="QE31" s="82">
        <f>QD31</f>
        <v/>
      </c>
      <c r="QF31" s="82">
        <f>QE31</f>
        <v/>
      </c>
      <c r="QG31" s="82">
        <f>QF31</f>
        <v/>
      </c>
      <c r="QH31" s="82">
        <f>QG31</f>
        <v/>
      </c>
      <c r="QI31" s="82">
        <f>QH31</f>
        <v/>
      </c>
      <c r="QJ31" s="82">
        <f>QI31</f>
        <v/>
      </c>
      <c r="QK31" s="82">
        <f>QJ31</f>
        <v/>
      </c>
      <c r="QL31" s="82">
        <f>QK31</f>
        <v/>
      </c>
      <c r="QM31" s="82">
        <f>QL31</f>
        <v/>
      </c>
      <c r="QN31" s="82">
        <f>QM31</f>
        <v/>
      </c>
      <c r="QO31" s="82">
        <f>QN31-500000+100000</f>
        <v/>
      </c>
      <c r="QP31" s="82">
        <f>QO31</f>
        <v/>
      </c>
      <c r="QQ31" s="82">
        <f>QP31</f>
        <v/>
      </c>
      <c r="QR31" s="82">
        <f>QQ31</f>
        <v/>
      </c>
      <c r="QS31" s="82">
        <f>QR31</f>
        <v/>
      </c>
      <c r="QT31" s="82">
        <f>QS31</f>
        <v/>
      </c>
      <c r="QU31" s="82">
        <f>QT31</f>
        <v/>
      </c>
      <c r="QV31" s="82">
        <f>QU31</f>
        <v/>
      </c>
      <c r="QW31" s="82">
        <f>QV31</f>
        <v/>
      </c>
      <c r="QX31" s="82">
        <f>QW31</f>
        <v/>
      </c>
      <c r="QY31" s="82">
        <f>QX31</f>
        <v/>
      </c>
      <c r="QZ31" s="82">
        <f>QY31</f>
        <v/>
      </c>
      <c r="RA31" s="82">
        <f>QZ31</f>
        <v/>
      </c>
      <c r="RB31" s="82">
        <f>RA31+200000</f>
        <v/>
      </c>
      <c r="RC31" s="82">
        <f>RB31</f>
        <v/>
      </c>
      <c r="RD31" s="82">
        <f>RC31</f>
        <v/>
      </c>
      <c r="RE31" s="82">
        <f>RD31-450000</f>
        <v/>
      </c>
      <c r="RF31" s="82">
        <f>RE31</f>
        <v/>
      </c>
      <c r="RG31" s="130" t="n"/>
      <c r="RH31" s="82">
        <f>RF31+18000</f>
        <v/>
      </c>
      <c r="RI31" s="82">
        <f>RH31+110000+23000</f>
        <v/>
      </c>
      <c r="RJ31" s="82">
        <f>RI31+44000+107000</f>
        <v/>
      </c>
      <c r="RK31" s="82">
        <f>RJ31</f>
        <v/>
      </c>
      <c r="RL31" s="82">
        <f>RK31+336141</f>
        <v/>
      </c>
      <c r="RM31" s="82">
        <f>RL31</f>
        <v/>
      </c>
      <c r="RN31" s="82">
        <f>RM31</f>
        <v/>
      </c>
      <c r="RO31" s="82">
        <f>RN31</f>
        <v/>
      </c>
      <c r="RP31" s="82">
        <f>RO31</f>
        <v/>
      </c>
      <c r="RQ31" s="82">
        <f>RP31</f>
        <v/>
      </c>
      <c r="RR31" s="82">
        <f>RQ31</f>
        <v/>
      </c>
      <c r="RS31" s="82">
        <f>RR31</f>
        <v/>
      </c>
      <c r="RT31" s="82">
        <f>RS31</f>
        <v/>
      </c>
      <c r="RU31" s="82">
        <f>RT31</f>
        <v/>
      </c>
      <c r="RV31" s="82">
        <f>RU31</f>
        <v/>
      </c>
      <c r="RW31" s="82">
        <f>RV31</f>
        <v/>
      </c>
      <c r="RX31" s="82">
        <f>RW31</f>
        <v/>
      </c>
      <c r="RY31" s="82">
        <f>RX31</f>
        <v/>
      </c>
      <c r="RZ31" s="82">
        <f>RY31</f>
        <v/>
      </c>
      <c r="SA31" s="82">
        <f>RZ31</f>
        <v/>
      </c>
      <c r="SB31" s="82">
        <f>SA31</f>
        <v/>
      </c>
      <c r="SC31" s="82">
        <f>SB31</f>
        <v/>
      </c>
      <c r="SD31" s="82">
        <f>SC31</f>
        <v/>
      </c>
      <c r="SE31" s="82">
        <f>SD31</f>
        <v/>
      </c>
      <c r="SF31" s="82">
        <f>SE31</f>
        <v/>
      </c>
      <c r="SG31" s="82">
        <f>SF31</f>
        <v/>
      </c>
      <c r="SH31" s="82">
        <f>SG31</f>
        <v/>
      </c>
      <c r="SI31" s="82">
        <f>SH31</f>
        <v/>
      </c>
      <c r="SJ31" s="82">
        <f>SI31</f>
        <v/>
      </c>
      <c r="SK31" s="82">
        <f>SJ31</f>
        <v/>
      </c>
      <c r="SL31" s="130" t="n"/>
      <c r="SM31" s="82">
        <f>SK31</f>
        <v/>
      </c>
      <c r="SN31" s="82">
        <f>SM31</f>
        <v/>
      </c>
      <c r="SO31" s="82">
        <f>SN31</f>
        <v/>
      </c>
      <c r="SP31" s="82">
        <f>SO31</f>
        <v/>
      </c>
      <c r="SQ31" s="82">
        <f>SP31</f>
        <v/>
      </c>
      <c r="SR31" s="82">
        <f>SQ31</f>
        <v/>
      </c>
      <c r="SS31" s="82">
        <f>SR31</f>
        <v/>
      </c>
      <c r="ST31" s="82">
        <f>SS31</f>
        <v/>
      </c>
      <c r="SU31" s="82">
        <f>ST31</f>
        <v/>
      </c>
      <c r="SV31" s="82">
        <f>SU31</f>
        <v/>
      </c>
      <c r="SW31" s="82">
        <f>SV31</f>
        <v/>
      </c>
      <c r="SX31" s="82">
        <f>SW31</f>
        <v/>
      </c>
      <c r="SY31" s="82">
        <f>SX31</f>
        <v/>
      </c>
      <c r="SZ31" s="82">
        <f>SY31</f>
        <v/>
      </c>
      <c r="TA31" s="82">
        <f>SZ31</f>
        <v/>
      </c>
      <c r="TB31" s="82">
        <f>TA31</f>
        <v/>
      </c>
      <c r="TC31" s="82">
        <f>TB31</f>
        <v/>
      </c>
      <c r="TD31" s="82">
        <f>TC31</f>
        <v/>
      </c>
      <c r="TE31" s="82">
        <f>TD31</f>
        <v/>
      </c>
      <c r="TF31" s="82">
        <f>TE31</f>
        <v/>
      </c>
      <c r="TG31" s="82">
        <f>TF31</f>
        <v/>
      </c>
      <c r="TH31" s="82">
        <f>TG31</f>
        <v/>
      </c>
      <c r="TI31" s="82">
        <f>TH31</f>
        <v/>
      </c>
      <c r="TJ31" s="82">
        <f>TI31</f>
        <v/>
      </c>
      <c r="TK31" s="82">
        <f>TJ31</f>
        <v/>
      </c>
      <c r="TL31" s="82">
        <f>TK31</f>
        <v/>
      </c>
      <c r="TM31" s="82">
        <f>TL31</f>
        <v/>
      </c>
      <c r="TN31" s="82">
        <f>TM31</f>
        <v/>
      </c>
      <c r="TO31" s="82">
        <f>TN31</f>
        <v/>
      </c>
      <c r="TP31" s="82">
        <f>TO31</f>
        <v/>
      </c>
      <c r="TQ31" s="82">
        <f>TP31</f>
        <v/>
      </c>
      <c r="TR31" s="130" t="n"/>
      <c r="TS31" s="82">
        <f>TQ31</f>
        <v/>
      </c>
      <c r="TT31" s="82">
        <f>TS31</f>
        <v/>
      </c>
      <c r="TU31" s="82">
        <f>TT31</f>
        <v/>
      </c>
      <c r="TV31" s="82">
        <f>TU31</f>
        <v/>
      </c>
      <c r="TW31" s="82">
        <f>TV31</f>
        <v/>
      </c>
      <c r="TX31" s="82">
        <f>TW31</f>
        <v/>
      </c>
      <c r="TY31" s="82">
        <f>TX31</f>
        <v/>
      </c>
      <c r="TZ31" s="82">
        <f>TY31</f>
        <v/>
      </c>
      <c r="UA31" s="82">
        <f>TZ31</f>
        <v/>
      </c>
      <c r="UB31" s="82">
        <f>UA31</f>
        <v/>
      </c>
      <c r="UC31" s="82">
        <f>UB31</f>
        <v/>
      </c>
      <c r="UD31" s="82">
        <f>UC31</f>
        <v/>
      </c>
      <c r="UE31" s="82">
        <f>UD31</f>
        <v/>
      </c>
      <c r="UF31" s="82">
        <f>UE31</f>
        <v/>
      </c>
      <c r="UG31" s="82">
        <f>UF31</f>
        <v/>
      </c>
      <c r="UH31" s="82">
        <f>UG31</f>
        <v/>
      </c>
      <c r="UI31" s="82">
        <f>UH31</f>
        <v/>
      </c>
      <c r="UJ31" s="82">
        <f>UI31</f>
        <v/>
      </c>
      <c r="UK31" s="82">
        <f>UJ31</f>
        <v/>
      </c>
      <c r="UL31" s="82">
        <f>UK31</f>
        <v/>
      </c>
      <c r="UM31" s="82">
        <f>UL31</f>
        <v/>
      </c>
      <c r="UN31" s="82">
        <f>UM31</f>
        <v/>
      </c>
      <c r="UO31" s="82">
        <f>UN31</f>
        <v/>
      </c>
      <c r="UP31" s="82">
        <f>UO31</f>
        <v/>
      </c>
      <c r="UQ31" s="82">
        <f>UP31</f>
        <v/>
      </c>
      <c r="UR31" s="82">
        <f>UQ31</f>
        <v/>
      </c>
      <c r="US31" s="82">
        <f>UR31</f>
        <v/>
      </c>
      <c r="UT31" s="82">
        <f>US31</f>
        <v/>
      </c>
      <c r="UU31" s="82">
        <f>UT31</f>
        <v/>
      </c>
      <c r="UV31" s="82">
        <f>UU31</f>
        <v/>
      </c>
      <c r="UW31" s="82">
        <f>UV31</f>
        <v/>
      </c>
      <c r="UX31" s="130" t="n"/>
      <c r="UY31" s="82">
        <f>UW31</f>
        <v/>
      </c>
      <c r="UZ31" s="82">
        <f>UY31</f>
        <v/>
      </c>
      <c r="VA31" s="82">
        <f>UY31</f>
        <v/>
      </c>
      <c r="VB31" s="82">
        <f>UZ31</f>
        <v/>
      </c>
      <c r="VC31" s="82">
        <f>VA31</f>
        <v/>
      </c>
      <c r="VD31" s="82">
        <f>VB31</f>
        <v/>
      </c>
      <c r="VE31" s="82">
        <f>VC31</f>
        <v/>
      </c>
      <c r="VF31" s="82">
        <f>VD31</f>
        <v/>
      </c>
      <c r="VG31" s="82">
        <f>VE31</f>
        <v/>
      </c>
      <c r="VH31" s="82">
        <f>VF31</f>
        <v/>
      </c>
      <c r="VI31" s="82">
        <f>VG31</f>
        <v/>
      </c>
      <c r="VJ31" s="82">
        <f>VH31</f>
        <v/>
      </c>
      <c r="VK31" s="82">
        <f>VI31</f>
        <v/>
      </c>
      <c r="VL31" s="82">
        <f>VJ31</f>
        <v/>
      </c>
      <c r="VM31" s="82">
        <f>VK31</f>
        <v/>
      </c>
      <c r="VN31" s="82">
        <f>VL31</f>
        <v/>
      </c>
      <c r="VO31" s="82">
        <f>VM31</f>
        <v/>
      </c>
      <c r="VP31" s="82">
        <f>VN31</f>
        <v/>
      </c>
      <c r="VQ31" s="82">
        <f>VO31</f>
        <v/>
      </c>
      <c r="VR31" s="82">
        <f>VP31</f>
        <v/>
      </c>
      <c r="VS31" s="82">
        <f>VQ31</f>
        <v/>
      </c>
      <c r="VT31" s="82">
        <f>VR31</f>
        <v/>
      </c>
      <c r="VU31" s="82">
        <f>VS31</f>
        <v/>
      </c>
      <c r="VV31" s="82">
        <f>VT31</f>
        <v/>
      </c>
      <c r="VW31" s="82">
        <f>VU31</f>
        <v/>
      </c>
      <c r="VX31" s="82">
        <f>VV31</f>
        <v/>
      </c>
      <c r="VY31" s="82">
        <f>VW31</f>
        <v/>
      </c>
      <c r="VZ31" s="82">
        <f>VX31</f>
        <v/>
      </c>
      <c r="WA31" s="133" t="n"/>
      <c r="WB31" s="82">
        <f>VZ31</f>
        <v/>
      </c>
      <c r="WC31" s="82">
        <f>WB31</f>
        <v/>
      </c>
      <c r="WD31" s="82">
        <f>WB31</f>
        <v/>
      </c>
      <c r="WE31" s="82">
        <f>WC31</f>
        <v/>
      </c>
      <c r="WF31" s="82">
        <f>WD31</f>
        <v/>
      </c>
      <c r="WG31" s="82">
        <f>WE31</f>
        <v/>
      </c>
      <c r="WH31" s="82">
        <f>WF31</f>
        <v/>
      </c>
      <c r="WI31" s="82">
        <f>WG31</f>
        <v/>
      </c>
      <c r="WJ31" s="82">
        <f>WH31</f>
        <v/>
      </c>
      <c r="WK31" s="82">
        <f>WI31</f>
        <v/>
      </c>
      <c r="WL31" s="82">
        <f>WJ31</f>
        <v/>
      </c>
      <c r="WM31" s="82">
        <f>WK31</f>
        <v/>
      </c>
      <c r="WN31" s="82">
        <f>WL31</f>
        <v/>
      </c>
      <c r="WO31" s="82">
        <f>WM31</f>
        <v/>
      </c>
      <c r="WP31" s="82">
        <f>WN31</f>
        <v/>
      </c>
      <c r="WQ31" s="82">
        <f>WO31</f>
        <v/>
      </c>
      <c r="WR31" s="82">
        <f>WP31</f>
        <v/>
      </c>
      <c r="WS31" s="82">
        <f>WQ31</f>
        <v/>
      </c>
      <c r="WT31" s="82">
        <f>WR31</f>
        <v/>
      </c>
      <c r="WU31" s="82">
        <f>WS31</f>
        <v/>
      </c>
      <c r="WV31" s="82">
        <f>WT31</f>
        <v/>
      </c>
      <c r="WW31" s="82">
        <f>WU31</f>
        <v/>
      </c>
      <c r="WX31" s="82">
        <f>WV31</f>
        <v/>
      </c>
      <c r="WY31" s="82">
        <f>WW31</f>
        <v/>
      </c>
      <c r="WZ31" s="82">
        <f>WX31</f>
        <v/>
      </c>
      <c r="XA31" s="82">
        <f>WY31</f>
        <v/>
      </c>
      <c r="XB31" s="82">
        <f>WZ31-600000</f>
        <v/>
      </c>
      <c r="XC31" s="82">
        <f>XB31</f>
        <v/>
      </c>
      <c r="XD31" s="82">
        <f>XB31</f>
        <v/>
      </c>
      <c r="XE31" s="82">
        <f>XC31</f>
        <v/>
      </c>
      <c r="XF31" s="82">
        <f>XD31</f>
        <v/>
      </c>
      <c r="XG31" s="133" t="n"/>
      <c r="XH31" s="82">
        <f>XF31</f>
        <v/>
      </c>
      <c r="XI31" s="82">
        <f>XH31</f>
        <v/>
      </c>
      <c r="XJ31" s="82">
        <f>XI31</f>
        <v/>
      </c>
      <c r="XK31" s="82">
        <f>XJ31</f>
        <v/>
      </c>
      <c r="XL31" s="82">
        <f>XK31</f>
        <v/>
      </c>
      <c r="XM31" s="82">
        <f>XL31</f>
        <v/>
      </c>
      <c r="XN31" s="82">
        <f>XM31</f>
        <v/>
      </c>
      <c r="XO31" s="82">
        <f>XN31</f>
        <v/>
      </c>
      <c r="XP31" s="82">
        <f>XO31</f>
        <v/>
      </c>
      <c r="XQ31" s="82">
        <f>XP31</f>
        <v/>
      </c>
      <c r="XR31" s="82">
        <f>XQ31</f>
        <v/>
      </c>
      <c r="XS31" s="82">
        <f>XR31</f>
        <v/>
      </c>
      <c r="XT31" s="82">
        <f>XS31</f>
        <v/>
      </c>
      <c r="XU31" s="82">
        <f>XT31</f>
        <v/>
      </c>
      <c r="XV31" s="82">
        <f>XU31</f>
        <v/>
      </c>
      <c r="XW31" s="82">
        <f>XV31</f>
        <v/>
      </c>
      <c r="XX31" s="82">
        <f>XW31</f>
        <v/>
      </c>
      <c r="XY31" s="82">
        <f>XX31</f>
        <v/>
      </c>
      <c r="XZ31" s="82">
        <f>XY31</f>
        <v/>
      </c>
      <c r="YA31" s="82">
        <f>XZ31</f>
        <v/>
      </c>
      <c r="YB31" s="82">
        <f>YA31</f>
        <v/>
      </c>
      <c r="YC31" s="82">
        <f>YB31</f>
        <v/>
      </c>
      <c r="YD31" s="82">
        <f>YC31</f>
        <v/>
      </c>
      <c r="YE31" s="82">
        <f>YD31</f>
        <v/>
      </c>
      <c r="YF31" s="82">
        <f>YE31</f>
        <v/>
      </c>
      <c r="YG31" s="82">
        <f>YF31</f>
        <v/>
      </c>
      <c r="YH31" s="82">
        <f>YG31</f>
        <v/>
      </c>
      <c r="YI31" s="82">
        <f>YH31</f>
        <v/>
      </c>
      <c r="YJ31" s="82">
        <f>YI31</f>
        <v/>
      </c>
      <c r="YK31" s="82">
        <f>YJ31</f>
        <v/>
      </c>
      <c r="YL31" s="130" t="n"/>
      <c r="YM31" s="82">
        <f>YK31</f>
        <v/>
      </c>
      <c r="YN31" s="82">
        <f>YM31</f>
        <v/>
      </c>
      <c r="YO31" s="82">
        <f>YN31</f>
        <v/>
      </c>
      <c r="YP31" s="82">
        <f>YO31</f>
        <v/>
      </c>
      <c r="YQ31" s="82">
        <f>YP31</f>
        <v/>
      </c>
      <c r="YR31" s="82">
        <f>YQ31</f>
        <v/>
      </c>
      <c r="YS31" s="82">
        <f>YR31</f>
        <v/>
      </c>
      <c r="YT31" s="82">
        <f>YS31</f>
        <v/>
      </c>
      <c r="YU31" s="82">
        <f>YT31</f>
        <v/>
      </c>
      <c r="YV31" s="82">
        <f>YU31</f>
        <v/>
      </c>
      <c r="YW31" s="82">
        <f>YV31</f>
        <v/>
      </c>
      <c r="YX31" s="82">
        <f>YW31</f>
        <v/>
      </c>
      <c r="YY31" s="82">
        <f>YX31</f>
        <v/>
      </c>
      <c r="YZ31" s="82">
        <f>YY31</f>
        <v/>
      </c>
      <c r="ZA31" s="82">
        <f>YZ31</f>
        <v/>
      </c>
      <c r="ZB31" s="82">
        <f>ZA31</f>
        <v/>
      </c>
      <c r="ZC31" s="82">
        <f>ZB31</f>
        <v/>
      </c>
      <c r="ZD31" s="82">
        <f>ZC31</f>
        <v/>
      </c>
      <c r="ZE31" s="82">
        <f>ZD31</f>
        <v/>
      </c>
      <c r="ZF31" s="82">
        <f>ZE31</f>
        <v/>
      </c>
      <c r="ZG31" s="82">
        <f>ZF31</f>
        <v/>
      </c>
      <c r="ZH31" s="82">
        <f>ZG31</f>
        <v/>
      </c>
      <c r="ZI31" s="82">
        <f>ZH31</f>
        <v/>
      </c>
      <c r="ZJ31" s="82">
        <f>ZI31</f>
        <v/>
      </c>
      <c r="ZK31" s="82">
        <f>ZJ31</f>
        <v/>
      </c>
      <c r="ZL31" s="82">
        <f>ZK31</f>
        <v/>
      </c>
      <c r="ZM31" s="82">
        <f>ZL31</f>
        <v/>
      </c>
      <c r="ZN31" s="82">
        <f>ZM31</f>
        <v/>
      </c>
      <c r="ZO31" s="82">
        <f>ZN31</f>
        <v/>
      </c>
      <c r="ZP31" s="82">
        <f>ZO31</f>
        <v/>
      </c>
      <c r="ZQ31" s="82">
        <f>ZP31</f>
        <v/>
      </c>
      <c r="ZR31" s="130" t="n"/>
      <c r="ZS31" s="82">
        <f>ZQ31</f>
        <v/>
      </c>
      <c r="ZT31" s="82">
        <f>ZS31</f>
        <v/>
      </c>
      <c r="ZU31" s="82">
        <f>ZT31</f>
        <v/>
      </c>
      <c r="ZV31" s="82">
        <f>ZU31</f>
        <v/>
      </c>
      <c r="ZW31" s="82">
        <f>ZV31</f>
        <v/>
      </c>
      <c r="ZX31" s="82">
        <f>ZW31</f>
        <v/>
      </c>
      <c r="ZY31" s="82">
        <f>ZX31</f>
        <v/>
      </c>
      <c r="ZZ31" s="82">
        <f>ZY31</f>
        <v/>
      </c>
      <c r="AAA31" s="82">
        <f>ZZ31</f>
        <v/>
      </c>
      <c r="AAB31" s="82">
        <f>AAA31</f>
        <v/>
      </c>
      <c r="AAC31" s="82">
        <f>AAB31</f>
        <v/>
      </c>
      <c r="AAD31" s="82">
        <f>AAC31</f>
        <v/>
      </c>
      <c r="AAE31" s="82">
        <f>AAD31</f>
        <v/>
      </c>
      <c r="AAF31" s="82">
        <f>AAE31</f>
        <v/>
      </c>
      <c r="AAG31" s="82">
        <f>AAF31</f>
        <v/>
      </c>
      <c r="AAH31" s="82">
        <f>AAG31</f>
        <v/>
      </c>
      <c r="AAI31" s="82">
        <f>AAH31</f>
        <v/>
      </c>
      <c r="AAJ31" s="82">
        <f>AAI31</f>
        <v/>
      </c>
      <c r="AAK31" s="82">
        <f>AAJ31</f>
        <v/>
      </c>
      <c r="AAL31" s="82">
        <f>AAK31</f>
        <v/>
      </c>
      <c r="AAM31" s="82">
        <f>AAL31</f>
        <v/>
      </c>
      <c r="AAN31" s="82">
        <f>AAM31</f>
        <v/>
      </c>
      <c r="AAO31" s="82">
        <f>AAN31</f>
        <v/>
      </c>
      <c r="AAP31" s="82" t="n">
        <v>0</v>
      </c>
      <c r="AAQ31" s="82">
        <f>AAP31</f>
        <v/>
      </c>
      <c r="AAR31" s="82">
        <f>AAQ31</f>
        <v/>
      </c>
      <c r="AAS31" s="82">
        <f>AAR31</f>
        <v/>
      </c>
      <c r="AAT31" s="82">
        <f>AAS31</f>
        <v/>
      </c>
      <c r="AAU31" s="82">
        <f>AAT31</f>
        <v/>
      </c>
      <c r="AAV31" s="82">
        <f>AAU31</f>
        <v/>
      </c>
      <c r="AAW31" s="130" t="n"/>
      <c r="AAX31" s="82">
        <f>AAW31</f>
        <v/>
      </c>
      <c r="AAY31" s="82">
        <f>AAX31</f>
        <v/>
      </c>
      <c r="AAZ31" s="82">
        <f>AAY31</f>
        <v/>
      </c>
      <c r="ABA31" s="82">
        <f>AAZ31</f>
        <v/>
      </c>
      <c r="ABB31" s="82">
        <f>ABA31</f>
        <v/>
      </c>
      <c r="ABC31" s="82">
        <f>ABB31</f>
        <v/>
      </c>
      <c r="ABD31" s="82">
        <f>ABC31</f>
        <v/>
      </c>
      <c r="ABE31" s="82">
        <f>ABD31</f>
        <v/>
      </c>
      <c r="ABF31" s="82">
        <f>ABE31</f>
        <v/>
      </c>
      <c r="ABG31" s="82">
        <f>ABF31</f>
        <v/>
      </c>
      <c r="ABH31" s="82">
        <f>ABG31</f>
        <v/>
      </c>
      <c r="ABI31" s="82">
        <f>ABH31</f>
        <v/>
      </c>
      <c r="ABJ31" s="82">
        <f>ABI31</f>
        <v/>
      </c>
      <c r="ABK31" s="82">
        <f>ABJ31</f>
        <v/>
      </c>
      <c r="ABL31" s="82">
        <f>ABK31</f>
        <v/>
      </c>
      <c r="ABM31" s="82">
        <f>ABL31</f>
        <v/>
      </c>
      <c r="ABN31" s="82">
        <f>ABM31</f>
        <v/>
      </c>
      <c r="ABO31" s="82">
        <f>ABN31</f>
        <v/>
      </c>
      <c r="ABP31" s="82">
        <f>ABO31</f>
        <v/>
      </c>
      <c r="ABQ31" s="82">
        <f>ABP31</f>
        <v/>
      </c>
      <c r="ABR31" s="82">
        <f>ABQ31</f>
        <v/>
      </c>
      <c r="ABS31" s="82">
        <f>ABR31</f>
        <v/>
      </c>
      <c r="ABT31" s="82">
        <f>ABS31</f>
        <v/>
      </c>
      <c r="ABU31" s="82">
        <f>ABT31</f>
        <v/>
      </c>
      <c r="ABV31" s="82">
        <f>ABU31</f>
        <v/>
      </c>
      <c r="ABW31" s="82">
        <f>ABV31</f>
        <v/>
      </c>
      <c r="ABX31" s="82">
        <f>ABW31</f>
        <v/>
      </c>
      <c r="ABY31" s="82">
        <f>ABX31</f>
        <v/>
      </c>
      <c r="ABZ31" s="82">
        <f>ABY31</f>
        <v/>
      </c>
      <c r="ACA31" s="82">
        <f>ABZ31</f>
        <v/>
      </c>
      <c r="ACB31" s="82">
        <f>ACA31</f>
        <v/>
      </c>
      <c r="ACC31" s="130" t="n"/>
      <c r="ACD31" s="82">
        <f>ACC31</f>
        <v/>
      </c>
      <c r="ACE31" s="82">
        <f>ACD31</f>
        <v/>
      </c>
      <c r="ACF31" s="82">
        <f>ACE31</f>
        <v/>
      </c>
      <c r="ACG31" s="82">
        <f>ACF31</f>
        <v/>
      </c>
      <c r="ACH31" s="82">
        <f>ACG31</f>
        <v/>
      </c>
      <c r="ACI31" s="82">
        <f>ACH31</f>
        <v/>
      </c>
      <c r="ACJ31" s="82">
        <f>ACI31</f>
        <v/>
      </c>
      <c r="ACK31" s="82">
        <f>ACJ31</f>
        <v/>
      </c>
      <c r="ACL31" s="82">
        <f>ACK31</f>
        <v/>
      </c>
      <c r="ACM31" s="82">
        <f>ACL31</f>
        <v/>
      </c>
      <c r="ACN31" s="82">
        <f>ACM31</f>
        <v/>
      </c>
      <c r="ACO31" s="82">
        <f>ACN31</f>
        <v/>
      </c>
      <c r="ACP31" s="82">
        <f>ACO31</f>
        <v/>
      </c>
      <c r="ACQ31" s="82">
        <f>ACP31</f>
        <v/>
      </c>
      <c r="ACR31" s="82">
        <f>ACQ31</f>
        <v/>
      </c>
      <c r="ACS31" s="82">
        <f>ACR31</f>
        <v/>
      </c>
      <c r="ACT31" s="82">
        <f>ACS31</f>
        <v/>
      </c>
      <c r="ACU31" s="82">
        <f>ACT31</f>
        <v/>
      </c>
      <c r="ACV31" s="82">
        <f>ACU31</f>
        <v/>
      </c>
      <c r="ACW31" s="82">
        <f>ACV31</f>
        <v/>
      </c>
      <c r="ACX31" s="82">
        <f>ACW31</f>
        <v/>
      </c>
      <c r="ACY31" s="82">
        <f>ACX31</f>
        <v/>
      </c>
      <c r="ACZ31" s="82">
        <f>ACY31</f>
        <v/>
      </c>
      <c r="ADA31" s="82">
        <f>ACZ31</f>
        <v/>
      </c>
      <c r="ADB31" s="82">
        <f>ADA31</f>
        <v/>
      </c>
      <c r="ADC31" s="82">
        <f>ADB31</f>
        <v/>
      </c>
      <c r="ADD31" s="82">
        <f>ADC31</f>
        <v/>
      </c>
      <c r="ADE31" s="82">
        <f>ADD31</f>
        <v/>
      </c>
      <c r="ADF31" s="82">
        <f>ADE31</f>
        <v/>
      </c>
      <c r="ADG31" s="82">
        <f>ADF31</f>
        <v/>
      </c>
      <c r="ADH31" s="82">
        <f>ADG31</f>
        <v/>
      </c>
      <c r="ADI31" s="130" t="n"/>
      <c r="ADJ31" s="82">
        <f>ADI31</f>
        <v/>
      </c>
      <c r="ADK31" s="82">
        <f>ADJ31</f>
        <v/>
      </c>
      <c r="ADL31" s="82">
        <f>ADK31</f>
        <v/>
      </c>
      <c r="ADM31" s="82">
        <f>ADL31</f>
        <v/>
      </c>
      <c r="ADN31" s="82">
        <f>ADM31</f>
        <v/>
      </c>
      <c r="ADO31" s="82">
        <f>ADN31</f>
        <v/>
      </c>
      <c r="ADP31" s="82">
        <f>ADO31</f>
        <v/>
      </c>
      <c r="ADQ31" s="82">
        <f>ADP31</f>
        <v/>
      </c>
      <c r="ADR31" s="82">
        <f>ADQ31</f>
        <v/>
      </c>
      <c r="ADS31" s="82">
        <f>ADR31</f>
        <v/>
      </c>
      <c r="ADT31" s="82">
        <f>ADS31</f>
        <v/>
      </c>
      <c r="ADU31" s="82">
        <f>ADT31</f>
        <v/>
      </c>
      <c r="ADV31" s="82">
        <f>ADU31</f>
        <v/>
      </c>
      <c r="ADW31" s="82">
        <f>ADV31</f>
        <v/>
      </c>
      <c r="ADX31" s="82">
        <f>ADW31</f>
        <v/>
      </c>
      <c r="ADY31" s="82">
        <f>ADX31</f>
        <v/>
      </c>
      <c r="ADZ31" s="82">
        <f>ADY31</f>
        <v/>
      </c>
      <c r="AEA31" s="82">
        <f>ADZ31</f>
        <v/>
      </c>
      <c r="AEB31" s="82">
        <f>AEA31</f>
        <v/>
      </c>
      <c r="AEC31" s="82">
        <f>AEB31</f>
        <v/>
      </c>
      <c r="AED31" s="82">
        <f>AEC31</f>
        <v/>
      </c>
      <c r="AEE31" s="82">
        <f>AED31</f>
        <v/>
      </c>
      <c r="AEF31" s="82">
        <f>AEE31</f>
        <v/>
      </c>
      <c r="AEG31" s="82">
        <f>AEF31</f>
        <v/>
      </c>
      <c r="AEH31" s="82">
        <f>AEG31</f>
        <v/>
      </c>
      <c r="AEI31" s="82">
        <f>AEH31</f>
        <v/>
      </c>
      <c r="AEJ31" s="82">
        <f>AEI31</f>
        <v/>
      </c>
      <c r="AEK31" s="82">
        <f>AEJ31</f>
        <v/>
      </c>
      <c r="AEL31" s="82">
        <f>AEK31</f>
        <v/>
      </c>
      <c r="AEM31" s="82">
        <f>AEL31</f>
        <v/>
      </c>
      <c r="AEN31" s="130" t="n"/>
      <c r="AEO31" s="82">
        <f>AEN31</f>
        <v/>
      </c>
      <c r="AEP31" s="82">
        <f>AEO31</f>
        <v/>
      </c>
      <c r="AEQ31" s="82">
        <f>AEP31</f>
        <v/>
      </c>
      <c r="AER31" s="82">
        <f>AEQ31</f>
        <v/>
      </c>
      <c r="AES31" s="82">
        <f>AER31</f>
        <v/>
      </c>
      <c r="AET31" s="82">
        <f>AES31</f>
        <v/>
      </c>
      <c r="AEU31" s="82">
        <f>AET31</f>
        <v/>
      </c>
      <c r="AEV31" s="82">
        <f>AEU31</f>
        <v/>
      </c>
      <c r="AEW31" s="82">
        <f>AEV31</f>
        <v/>
      </c>
      <c r="AEX31" s="82">
        <f>AEW31</f>
        <v/>
      </c>
      <c r="AEY31" s="82">
        <f>AEX31</f>
        <v/>
      </c>
      <c r="AEZ31" s="82">
        <f>AEY31</f>
        <v/>
      </c>
      <c r="AFA31" s="82">
        <f>AEZ31</f>
        <v/>
      </c>
      <c r="AFB31" s="82">
        <f>AFA31</f>
        <v/>
      </c>
      <c r="AFC31" s="82">
        <f>AFB31</f>
        <v/>
      </c>
      <c r="AFD31" s="82">
        <f>AFC31</f>
        <v/>
      </c>
      <c r="AFE31" s="82">
        <f>AFD31</f>
        <v/>
      </c>
      <c r="AFF31" s="82">
        <f>AFE31</f>
        <v/>
      </c>
      <c r="AFG31" s="82">
        <f>AFF31</f>
        <v/>
      </c>
      <c r="AFH31" s="82">
        <f>AFG31</f>
        <v/>
      </c>
      <c r="AFI31" s="82">
        <f>AFH31</f>
        <v/>
      </c>
      <c r="AFJ31" s="82">
        <f>AFI31</f>
        <v/>
      </c>
      <c r="AFK31" s="82">
        <f>AFJ31</f>
        <v/>
      </c>
      <c r="AFL31" s="82">
        <f>AFK31</f>
        <v/>
      </c>
      <c r="AFM31" s="82">
        <f>AFL31</f>
        <v/>
      </c>
      <c r="AFN31" s="82">
        <f>AFM31</f>
        <v/>
      </c>
      <c r="AFO31" s="82">
        <f>AFN31</f>
        <v/>
      </c>
      <c r="AFP31" s="82">
        <f>AFO31</f>
        <v/>
      </c>
      <c r="AFQ31" s="82">
        <f>AFP31</f>
        <v/>
      </c>
      <c r="AFR31" s="82">
        <f>AFQ31</f>
        <v/>
      </c>
      <c r="AFS31" s="82">
        <f>AFR31</f>
        <v/>
      </c>
      <c r="AFT31" s="130" t="n"/>
      <c r="AFU31" s="82">
        <f>AFT31</f>
        <v/>
      </c>
      <c r="AFV31" s="82">
        <f>AFU31</f>
        <v/>
      </c>
      <c r="AFW31" s="82">
        <f>AFV31</f>
        <v/>
      </c>
      <c r="AFX31" s="82">
        <f>AFW31</f>
        <v/>
      </c>
      <c r="AFY31" s="82">
        <f>AFX31</f>
        <v/>
      </c>
      <c r="AFZ31" s="82">
        <f>AFY31</f>
        <v/>
      </c>
      <c r="AGA31" s="82">
        <f>AFZ31</f>
        <v/>
      </c>
      <c r="AGB31" s="82">
        <f>AGA31</f>
        <v/>
      </c>
      <c r="AGC31" s="82">
        <f>AGB31</f>
        <v/>
      </c>
      <c r="AGD31" s="82">
        <f>AGC31</f>
        <v/>
      </c>
      <c r="AGE31" s="82">
        <f>AGD31</f>
        <v/>
      </c>
      <c r="AGF31" s="82">
        <f>AGE31</f>
        <v/>
      </c>
      <c r="AGG31" s="82">
        <f>AGF31</f>
        <v/>
      </c>
      <c r="AGH31" s="82">
        <f>AGG31</f>
        <v/>
      </c>
      <c r="AGI31" s="82">
        <f>AGH31</f>
        <v/>
      </c>
      <c r="AGJ31" s="82">
        <f>AGI31</f>
        <v/>
      </c>
      <c r="AGK31" s="82">
        <f>AGJ31</f>
        <v/>
      </c>
      <c r="AGL31" s="82">
        <f>AGK31</f>
        <v/>
      </c>
      <c r="AGM31" s="82">
        <f>AGL31</f>
        <v/>
      </c>
      <c r="AGN31" s="82">
        <f>AGM31</f>
        <v/>
      </c>
      <c r="AGO31" s="82">
        <f>AGN31</f>
        <v/>
      </c>
      <c r="AGP31" s="82">
        <f>AGO31</f>
        <v/>
      </c>
      <c r="AGQ31" s="82">
        <f>AGP31</f>
        <v/>
      </c>
      <c r="AGR31" s="82">
        <f>AGQ31</f>
        <v/>
      </c>
      <c r="AGS31" s="82">
        <f>AGR31</f>
        <v/>
      </c>
      <c r="AGT31" s="82">
        <f>AGS31</f>
        <v/>
      </c>
      <c r="AGU31" s="82">
        <f>AGT31</f>
        <v/>
      </c>
      <c r="AGV31" s="82">
        <f>AGU31</f>
        <v/>
      </c>
      <c r="AGW31" s="82">
        <f>AGV31</f>
        <v/>
      </c>
      <c r="AGX31" s="82">
        <f>AGW31</f>
        <v/>
      </c>
      <c r="AGY31" s="133" t="n"/>
      <c r="AGZ31" s="82">
        <f>AGY31</f>
        <v/>
      </c>
      <c r="AHA31" s="82">
        <f>AGZ31</f>
        <v/>
      </c>
      <c r="AHB31" s="82">
        <f>AHA31</f>
        <v/>
      </c>
      <c r="AHC31" s="82">
        <f>AHB31</f>
        <v/>
      </c>
      <c r="AHD31" s="82">
        <f>AHC31</f>
        <v/>
      </c>
      <c r="AHE31" s="82">
        <f>AHD31</f>
        <v/>
      </c>
      <c r="AHF31" s="82">
        <f>AHE31</f>
        <v/>
      </c>
      <c r="AHG31" s="82">
        <f>AHF31</f>
        <v/>
      </c>
      <c r="AHH31" s="82">
        <f>AHG31</f>
        <v/>
      </c>
      <c r="AHI31" s="82">
        <f>AHH31</f>
        <v/>
      </c>
      <c r="AHJ31" s="82">
        <f>AHI31</f>
        <v/>
      </c>
      <c r="AHK31" s="82">
        <f>AHJ31</f>
        <v/>
      </c>
      <c r="AHL31" s="82">
        <f>AHK31</f>
        <v/>
      </c>
      <c r="AHM31" s="82">
        <f>AHL31</f>
        <v/>
      </c>
      <c r="AHN31" s="82">
        <f>AHM31</f>
        <v/>
      </c>
      <c r="AHO31" s="82">
        <f>AHN31</f>
        <v/>
      </c>
      <c r="AHP31" s="82">
        <f>AHO31</f>
        <v/>
      </c>
      <c r="AHQ31" s="82">
        <f>AHP31</f>
        <v/>
      </c>
      <c r="AHR31" s="82">
        <f>AHQ31</f>
        <v/>
      </c>
      <c r="AHS31" s="82">
        <f>AHR31</f>
        <v/>
      </c>
      <c r="AHT31" s="82">
        <f>AHS31</f>
        <v/>
      </c>
      <c r="AHU31" s="82">
        <f>AHT31</f>
        <v/>
      </c>
      <c r="AHV31" s="82">
        <f>AHU31</f>
        <v/>
      </c>
      <c r="AHW31" s="82">
        <f>AHV31</f>
        <v/>
      </c>
      <c r="AHX31" s="82">
        <f>AHW31</f>
        <v/>
      </c>
      <c r="AHY31" s="82">
        <f>AHX31</f>
        <v/>
      </c>
      <c r="AHZ31" s="82">
        <f>AHY31</f>
        <v/>
      </c>
      <c r="AIA31" s="82">
        <f>AHZ31</f>
        <v/>
      </c>
      <c r="AIB31" s="82">
        <f>AIA31</f>
        <v/>
      </c>
      <c r="AIC31" s="82">
        <f>AIB31</f>
        <v/>
      </c>
      <c r="AID31" s="82">
        <f>AIC31</f>
        <v/>
      </c>
      <c r="AIE31" s="130" t="n"/>
      <c r="AIF31" s="82">
        <f>AIE31</f>
        <v/>
      </c>
      <c r="AIG31" s="82">
        <f>AIF31</f>
        <v/>
      </c>
      <c r="AIH31" s="82">
        <f>AIG31</f>
        <v/>
      </c>
      <c r="AII31" s="82">
        <f>AIH31</f>
        <v/>
      </c>
      <c r="AIJ31" s="82">
        <f>AII31</f>
        <v/>
      </c>
      <c r="AIK31" s="82">
        <f>AIJ31</f>
        <v/>
      </c>
      <c r="AIL31" s="82">
        <f>AIK31</f>
        <v/>
      </c>
      <c r="AIM31" s="82">
        <f>AIL31</f>
        <v/>
      </c>
      <c r="AIN31" s="82">
        <f>AIM31</f>
        <v/>
      </c>
      <c r="AIO31" s="82">
        <f>AIN31</f>
        <v/>
      </c>
      <c r="AIP31" s="82">
        <f>AIO31</f>
        <v/>
      </c>
      <c r="AIQ31" s="82">
        <f>AIP31</f>
        <v/>
      </c>
      <c r="AIR31" s="82">
        <f>AIQ31</f>
        <v/>
      </c>
      <c r="AIS31" s="82">
        <f>AIR31</f>
        <v/>
      </c>
      <c r="AIT31" s="82">
        <f>AIS31</f>
        <v/>
      </c>
      <c r="AIU31" s="82">
        <f>AIT31</f>
        <v/>
      </c>
      <c r="AIV31" s="82">
        <f>AIU31</f>
        <v/>
      </c>
      <c r="AIW31" s="82">
        <f>AIV31</f>
        <v/>
      </c>
      <c r="AIX31" s="82">
        <f>AIW31</f>
        <v/>
      </c>
      <c r="AIY31" s="82">
        <f>AIX31</f>
        <v/>
      </c>
      <c r="AIZ31" s="82">
        <f>AIY31</f>
        <v/>
      </c>
      <c r="AJA31" s="82">
        <f>AIZ31</f>
        <v/>
      </c>
      <c r="AJB31" s="82">
        <f>AJA31</f>
        <v/>
      </c>
      <c r="AJC31" s="82">
        <f>AJB31</f>
        <v/>
      </c>
      <c r="AJD31" s="82">
        <f>AJC31</f>
        <v/>
      </c>
      <c r="AJE31" s="82">
        <f>AJD31</f>
        <v/>
      </c>
      <c r="AJF31" s="82">
        <f>AJE31</f>
        <v/>
      </c>
      <c r="AJG31" s="82">
        <f>AJF31</f>
        <v/>
      </c>
      <c r="AJH31" s="82">
        <f>AJG31</f>
        <v/>
      </c>
      <c r="AJI31" s="82">
        <f>AJH31</f>
        <v/>
      </c>
      <c r="AJJ31" s="82">
        <f>AJI31</f>
        <v/>
      </c>
      <c r="AJK31" s="145" t="n"/>
      <c r="AJL31" s="82">
        <f>AJK31</f>
        <v/>
      </c>
      <c r="AJM31" s="82">
        <f>AJL31</f>
        <v/>
      </c>
      <c r="AJN31" s="82">
        <f>AJM31</f>
        <v/>
      </c>
      <c r="AJO31" s="82">
        <f>AJN31</f>
        <v/>
      </c>
      <c r="AJP31" s="82">
        <f>AJO31</f>
        <v/>
      </c>
      <c r="AJQ31" s="82">
        <f>AJP31</f>
        <v/>
      </c>
      <c r="AJR31" s="82">
        <f>AJQ31</f>
        <v/>
      </c>
      <c r="AJS31" s="82">
        <f>AJR31</f>
        <v/>
      </c>
      <c r="AJT31" s="82">
        <f>AJS31</f>
        <v/>
      </c>
      <c r="AJU31" s="82">
        <f>AJT31</f>
        <v/>
      </c>
      <c r="AJV31" s="82">
        <f>AJU31</f>
        <v/>
      </c>
      <c r="AJW31" s="82">
        <f>AJV31</f>
        <v/>
      </c>
      <c r="AJX31" s="82">
        <f>AJW31</f>
        <v/>
      </c>
      <c r="AJY31" s="82">
        <f>AJX31</f>
        <v/>
      </c>
      <c r="AJZ31" s="82">
        <f>AJY31</f>
        <v/>
      </c>
      <c r="AKA31" s="82">
        <f>AJZ31</f>
        <v/>
      </c>
      <c r="AKB31" s="82">
        <f>AKA31</f>
        <v/>
      </c>
      <c r="AKC31" s="82">
        <f>AKB31</f>
        <v/>
      </c>
      <c r="AKD31" s="82">
        <f>AKC31</f>
        <v/>
      </c>
      <c r="AKE31" s="82">
        <f>AKD31</f>
        <v/>
      </c>
      <c r="AKF31" s="82">
        <f>AKE31</f>
        <v/>
      </c>
      <c r="AKG31" s="82">
        <f>AKF31</f>
        <v/>
      </c>
      <c r="AKH31" s="82">
        <f>AKG31</f>
        <v/>
      </c>
      <c r="AKI31" s="82">
        <f>AKH31</f>
        <v/>
      </c>
      <c r="AKJ31" s="82">
        <f>AKI31</f>
        <v/>
      </c>
      <c r="AKK31" s="82">
        <f>AKJ31</f>
        <v/>
      </c>
      <c r="AKL31" s="82">
        <f>AKK31</f>
        <v/>
      </c>
      <c r="AKM31" s="82">
        <f>AKL31</f>
        <v/>
      </c>
      <c r="AKN31" s="112" t="n"/>
      <c r="AKO31" s="82">
        <f>AKN31</f>
        <v/>
      </c>
      <c r="AKP31" s="82">
        <f>AKO31</f>
        <v/>
      </c>
      <c r="AKQ31" s="82">
        <f>AKP31</f>
        <v/>
      </c>
      <c r="AKR31" s="82">
        <f>AKQ31</f>
        <v/>
      </c>
      <c r="AKS31" s="82">
        <f>AKR31</f>
        <v/>
      </c>
      <c r="AKT31" s="82">
        <f>AKS31</f>
        <v/>
      </c>
      <c r="AKU31" s="82">
        <f>AKT31</f>
        <v/>
      </c>
      <c r="AKV31" s="82">
        <f>AKU31</f>
        <v/>
      </c>
      <c r="AKW31" s="82">
        <f>AKV31</f>
        <v/>
      </c>
      <c r="AKX31" s="82">
        <f>AKW31</f>
        <v/>
      </c>
      <c r="AKY31" s="82">
        <f>AKX31</f>
        <v/>
      </c>
      <c r="AKZ31" s="82">
        <f>AKY31</f>
        <v/>
      </c>
      <c r="ALA31" s="82">
        <f>AKZ31</f>
        <v/>
      </c>
      <c r="ALB31" s="82">
        <f>ALA31</f>
        <v/>
      </c>
      <c r="ALC31" s="82">
        <f>ALB31</f>
        <v/>
      </c>
      <c r="ALD31" s="82">
        <f>ALC31</f>
        <v/>
      </c>
      <c r="ALE31" s="82">
        <f>ALD31</f>
        <v/>
      </c>
      <c r="ALF31" s="82">
        <f>ALE31</f>
        <v/>
      </c>
      <c r="ALG31" s="82">
        <f>ALF31</f>
        <v/>
      </c>
      <c r="ALH31" s="82">
        <f>ALG31</f>
        <v/>
      </c>
      <c r="ALI31" s="82">
        <f>ALH31</f>
        <v/>
      </c>
      <c r="ALJ31" s="82">
        <f>ALI31</f>
        <v/>
      </c>
      <c r="ALK31" s="82">
        <f>ALJ31</f>
        <v/>
      </c>
      <c r="ALL31" s="82">
        <f>ALK31</f>
        <v/>
      </c>
      <c r="ALM31" s="82">
        <f>ALL31</f>
        <v/>
      </c>
      <c r="ALN31" s="82">
        <f>ALM31</f>
        <v/>
      </c>
      <c r="ALO31" s="82">
        <f>ALN31</f>
        <v/>
      </c>
      <c r="ALP31" s="82">
        <f>ALO31</f>
        <v/>
      </c>
      <c r="ALQ31" s="82">
        <f>ALP31</f>
        <v/>
      </c>
      <c r="ALR31" s="82">
        <f>ALQ31</f>
        <v/>
      </c>
      <c r="ALS31" s="82">
        <f>ALR31</f>
        <v/>
      </c>
      <c r="ALT31" s="130" t="n"/>
      <c r="ALU31" s="82">
        <f>ALT31</f>
        <v/>
      </c>
      <c r="ALV31" s="82">
        <f>ALU31</f>
        <v/>
      </c>
      <c r="ALW31" s="82">
        <f>ALV31</f>
        <v/>
      </c>
      <c r="ALX31" s="82">
        <f>ALW31</f>
        <v/>
      </c>
      <c r="ALY31" s="82">
        <f>ALX31</f>
        <v/>
      </c>
      <c r="ALZ31" s="82">
        <f>ALY31</f>
        <v/>
      </c>
      <c r="AMA31" s="82">
        <f>ALZ31</f>
        <v/>
      </c>
      <c r="AMB31" s="82">
        <f>AMA31</f>
        <v/>
      </c>
      <c r="AMC31" s="82">
        <f>AMB31</f>
        <v/>
      </c>
      <c r="AMD31" s="82">
        <f>AMC31</f>
        <v/>
      </c>
      <c r="AME31" s="82">
        <f>AMD31</f>
        <v/>
      </c>
      <c r="AMF31" s="82">
        <f>AME31</f>
        <v/>
      </c>
      <c r="AMG31" s="82">
        <f>AMF31</f>
        <v/>
      </c>
      <c r="AMH31" s="82">
        <f>AMG31</f>
        <v/>
      </c>
      <c r="AMI31" s="82">
        <f>AMH31</f>
        <v/>
      </c>
      <c r="AMJ31" s="82">
        <f>AMI31</f>
        <v/>
      </c>
      <c r="AMK31" s="82">
        <f>AMJ31</f>
        <v/>
      </c>
      <c r="AML31" s="82">
        <f>AMK31</f>
        <v/>
      </c>
      <c r="AMM31" s="82">
        <f>AML31</f>
        <v/>
      </c>
      <c r="AMN31" s="82">
        <f>AMM31</f>
        <v/>
      </c>
      <c r="AMO31" s="82">
        <f>AMN31</f>
        <v/>
      </c>
      <c r="AMP31" s="82">
        <f>AMO31</f>
        <v/>
      </c>
      <c r="AMQ31" s="82">
        <f>AMP31</f>
        <v/>
      </c>
      <c r="AMR31" s="82">
        <f>AMQ31</f>
        <v/>
      </c>
      <c r="AMS31" s="82">
        <f>AMR31</f>
        <v/>
      </c>
      <c r="AMT31" s="82">
        <f>AMS31</f>
        <v/>
      </c>
      <c r="AMU31" s="82">
        <f>AMT31</f>
        <v/>
      </c>
      <c r="AMV31" s="82">
        <f>AMU31</f>
        <v/>
      </c>
      <c r="AMW31" s="82">
        <f>AMV31</f>
        <v/>
      </c>
      <c r="AMX31" s="82">
        <f>AMW31</f>
        <v/>
      </c>
      <c r="AMY31" s="130" t="n"/>
      <c r="AMZ31" s="82">
        <f>AMY31</f>
        <v/>
      </c>
      <c r="ANA31" s="82">
        <f>AMZ31</f>
        <v/>
      </c>
      <c r="ANB31" s="82">
        <f>ANA31</f>
        <v/>
      </c>
      <c r="ANC31" s="82">
        <f>ANB31</f>
        <v/>
      </c>
      <c r="AND31" s="82">
        <f>ANC31</f>
        <v/>
      </c>
      <c r="ANE31" s="82">
        <f>AND31</f>
        <v/>
      </c>
      <c r="ANF31" s="82">
        <f>ANE31</f>
        <v/>
      </c>
      <c r="ANG31" s="82">
        <f>ANF31</f>
        <v/>
      </c>
      <c r="ANH31" s="82">
        <f>ANG31</f>
        <v/>
      </c>
      <c r="ANI31" s="82">
        <f>ANH31</f>
        <v/>
      </c>
      <c r="ANJ31" s="82">
        <f>ANI31</f>
        <v/>
      </c>
      <c r="ANK31" s="82">
        <f>ANJ31</f>
        <v/>
      </c>
      <c r="ANL31" s="82">
        <f>ANK31</f>
        <v/>
      </c>
      <c r="ANM31" s="82">
        <f>ANL31</f>
        <v/>
      </c>
      <c r="ANN31" s="82">
        <f>ANM31</f>
        <v/>
      </c>
      <c r="ANO31" s="82">
        <f>ANN31</f>
        <v/>
      </c>
      <c r="ANP31" s="82">
        <f>ANO31</f>
        <v/>
      </c>
      <c r="ANQ31" s="82">
        <f>ANP31</f>
        <v/>
      </c>
      <c r="ANR31" s="82">
        <f>ANQ31</f>
        <v/>
      </c>
      <c r="ANS31" s="82">
        <f>ANR31</f>
        <v/>
      </c>
      <c r="ANT31" s="82">
        <f>ANS31</f>
        <v/>
      </c>
      <c r="ANU31" s="82">
        <f>ANT31</f>
        <v/>
      </c>
      <c r="ANV31" s="82">
        <f>ANU31</f>
        <v/>
      </c>
      <c r="ANW31" s="82">
        <f>ANV31</f>
        <v/>
      </c>
      <c r="ANX31" s="82">
        <f>ANW31</f>
        <v/>
      </c>
      <c r="ANY31" s="82">
        <f>ANX31</f>
        <v/>
      </c>
      <c r="ANZ31" s="82">
        <f>ANY31</f>
        <v/>
      </c>
      <c r="AOA31" s="82">
        <f>ANZ31</f>
        <v/>
      </c>
      <c r="AOB31" s="82">
        <f>AOA31</f>
        <v/>
      </c>
      <c r="AOC31" s="82">
        <f>AOB31</f>
        <v/>
      </c>
    </row>
    <row r="32">
      <c r="B32" t="inlineStr">
        <is>
          <t>Zion investment</t>
        </is>
      </c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98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  <c r="BC32" s="82" t="n"/>
      <c r="BD32" s="82" t="n"/>
      <c r="BE32" s="82" t="n"/>
      <c r="BF32" s="82" t="n"/>
      <c r="BG32" s="82" t="n"/>
      <c r="BH32" s="82" t="n"/>
      <c r="BI32" s="82" t="n"/>
      <c r="BJ32" s="82" t="n"/>
      <c r="BK32" s="82" t="n"/>
      <c r="BL32" s="82" t="n"/>
      <c r="BM32" s="106" t="n"/>
      <c r="BN32" s="82" t="n"/>
      <c r="BO32" s="82" t="n"/>
      <c r="BP32" s="82" t="n"/>
      <c r="BQ32" s="82" t="n"/>
      <c r="BR32" s="82" t="n"/>
      <c r="BS32" s="82" t="n"/>
      <c r="BT32" s="82" t="n"/>
      <c r="BU32" s="82" t="n"/>
      <c r="BV32" s="82" t="n"/>
      <c r="BW32" s="82" t="n"/>
      <c r="BX32" s="82" t="n"/>
      <c r="BY32" s="82" t="n"/>
      <c r="BZ32" s="82" t="n"/>
      <c r="CA32" s="82" t="n"/>
      <c r="CB32" s="82" t="n"/>
      <c r="CC32" s="82" t="n"/>
      <c r="CD32" s="82" t="n"/>
      <c r="CE32" s="82" t="n"/>
      <c r="CF32" s="82" t="n"/>
      <c r="CG32" s="82" t="n"/>
      <c r="CH32" s="82" t="n"/>
      <c r="CI32" s="82" t="n"/>
      <c r="CJ32" s="82" t="n"/>
      <c r="CK32" s="82" t="n"/>
      <c r="CL32" s="82" t="n"/>
      <c r="CM32" s="82" t="n"/>
      <c r="CN32" s="82" t="n"/>
      <c r="CO32" s="82" t="n"/>
      <c r="CP32" s="82" t="n"/>
      <c r="CQ32" s="82" t="n"/>
      <c r="CR32" s="82" t="n"/>
      <c r="CT32" s="82" t="n"/>
      <c r="CU32" s="82" t="n"/>
      <c r="CV32" s="82" t="n"/>
      <c r="CW32" s="82" t="n"/>
      <c r="CX32" s="82" t="n"/>
      <c r="CY32" s="82" t="n"/>
      <c r="CZ32" s="82" t="n"/>
      <c r="DA32" s="82" t="n"/>
      <c r="DB32" s="82" t="n"/>
      <c r="DC32" s="82" t="n"/>
      <c r="DD32" s="82" t="n"/>
      <c r="DE32" s="82" t="n"/>
      <c r="DF32" s="82" t="n"/>
      <c r="DG32" s="82" t="n"/>
      <c r="DH32" s="82" t="n"/>
      <c r="DI32" s="82" t="n"/>
      <c r="DJ32" s="82" t="n"/>
      <c r="DK32" s="82" t="n"/>
      <c r="DL32" s="82" t="n"/>
      <c r="DM32" s="82" t="n"/>
      <c r="DN32" s="82" t="n"/>
      <c r="DO32" s="82" t="n"/>
      <c r="DP32" s="82" t="n"/>
      <c r="DQ32" s="82" t="n"/>
      <c r="DR32" s="82" t="n"/>
      <c r="DS32" s="82" t="n"/>
      <c r="DT32" s="82" t="n"/>
      <c r="DU32" s="82" t="n"/>
      <c r="DV32" s="82" t="n"/>
      <c r="DW32" s="82" t="n"/>
      <c r="DX32" s="117" t="n"/>
      <c r="DY32" s="82" t="n"/>
      <c r="DZ32" s="82" t="n"/>
      <c r="EA32" s="82" t="n"/>
      <c r="EB32" s="82" t="n"/>
      <c r="EC32" s="82" t="n"/>
      <c r="ED32" s="82" t="n"/>
      <c r="EE32" s="82" t="n"/>
      <c r="EF32" s="82" t="n"/>
      <c r="EG32" s="82" t="n"/>
      <c r="EH32" s="82" t="n"/>
      <c r="EI32" s="82" t="n"/>
      <c r="EJ32" s="82" t="n"/>
      <c r="EK32" s="82" t="n"/>
      <c r="EL32" s="82" t="n"/>
      <c r="EM32" s="82" t="n"/>
      <c r="EN32" s="82" t="n"/>
      <c r="EO32" s="82" t="n"/>
      <c r="EP32" s="82" t="n"/>
      <c r="EQ32" s="82" t="n"/>
      <c r="ER32" s="82" t="n"/>
      <c r="ES32" s="82" t="n"/>
      <c r="ET32" s="82" t="n"/>
      <c r="EU32" s="82" t="n"/>
      <c r="EV32" s="82" t="n"/>
      <c r="EW32" s="82" t="n"/>
      <c r="EX32" s="82" t="n"/>
      <c r="EY32" s="82" t="n"/>
      <c r="EZ32" s="82" t="n"/>
      <c r="FA32" s="82" t="n"/>
      <c r="FB32" s="82" t="n"/>
      <c r="FC32" s="82" t="n"/>
      <c r="FD32" s="126" t="n"/>
      <c r="FE32" s="82" t="n">
        <v>224000</v>
      </c>
      <c r="FF32" s="82" t="n">
        <v>224000</v>
      </c>
      <c r="FG32" s="82" t="n">
        <v>224000</v>
      </c>
      <c r="FH32" s="82" t="n">
        <v>224000</v>
      </c>
      <c r="FI32" s="82" t="n">
        <v>224000</v>
      </c>
      <c r="FJ32" s="82" t="n">
        <v>224000</v>
      </c>
      <c r="FK32" s="82" t="n">
        <v>224000</v>
      </c>
      <c r="FL32" s="82" t="n">
        <v>224000</v>
      </c>
      <c r="FM32" s="82" t="n">
        <v>224000</v>
      </c>
      <c r="FN32" s="82" t="n">
        <v>224000</v>
      </c>
      <c r="FO32" s="82" t="n">
        <v>224000</v>
      </c>
      <c r="FP32" s="82" t="n">
        <v>224000</v>
      </c>
      <c r="FQ32" s="82" t="n">
        <v>0</v>
      </c>
      <c r="FR32" s="82" t="n">
        <v>0</v>
      </c>
      <c r="FS32" s="82" t="n">
        <v>0</v>
      </c>
      <c r="FT32" s="82" t="n">
        <v>0</v>
      </c>
      <c r="FU32" s="82" t="n">
        <v>0</v>
      </c>
      <c r="FV32" s="82" t="n">
        <v>0</v>
      </c>
      <c r="FW32" s="82" t="n">
        <v>0</v>
      </c>
      <c r="FX32" s="82" t="n">
        <v>0</v>
      </c>
      <c r="FY32" s="82" t="n">
        <v>0</v>
      </c>
      <c r="FZ32" s="82" t="n">
        <v>0</v>
      </c>
      <c r="GA32" s="82" t="n">
        <v>0</v>
      </c>
      <c r="GB32" s="82" t="n">
        <v>0</v>
      </c>
      <c r="GC32" s="82" t="n">
        <v>0</v>
      </c>
      <c r="GD32" s="82" t="n">
        <v>0</v>
      </c>
      <c r="GE32" s="82" t="n">
        <v>0</v>
      </c>
      <c r="GF32" s="82" t="n">
        <v>0</v>
      </c>
      <c r="GG32" s="82" t="n">
        <v>600000</v>
      </c>
      <c r="GH32" s="82" t="n">
        <v>0</v>
      </c>
      <c r="GI32" s="82" t="n">
        <v>0</v>
      </c>
      <c r="GJ32" s="130" t="n"/>
      <c r="HL32" t="n">
        <v>52900</v>
      </c>
      <c r="HM32">
        <f>HL32+100000</f>
        <v/>
      </c>
      <c r="HN32" s="130" t="n"/>
      <c r="HO32">
        <f>HM32</f>
        <v/>
      </c>
      <c r="HP32">
        <f>HO32</f>
        <v/>
      </c>
      <c r="HQ32">
        <f>HO32</f>
        <v/>
      </c>
      <c r="HR32">
        <f>HQ32-152900</f>
        <v/>
      </c>
      <c r="HS32" t="n">
        <v>0</v>
      </c>
      <c r="HT32">
        <f>HR32</f>
        <v/>
      </c>
      <c r="HU32">
        <f>HS32</f>
        <v/>
      </c>
      <c r="HV32">
        <f>HT32</f>
        <v/>
      </c>
      <c r="HW32">
        <f>HU32</f>
        <v/>
      </c>
      <c r="HX32">
        <f>HV32</f>
        <v/>
      </c>
      <c r="HY32">
        <f>HW32</f>
        <v/>
      </c>
      <c r="HZ32">
        <f>HX32</f>
        <v/>
      </c>
      <c r="IA32">
        <f>HY32</f>
        <v/>
      </c>
      <c r="IB32">
        <f>HZ32</f>
        <v/>
      </c>
      <c r="IC32">
        <f>IA32</f>
        <v/>
      </c>
      <c r="ID32">
        <f>IB32</f>
        <v/>
      </c>
      <c r="IE32">
        <f>IC32</f>
        <v/>
      </c>
      <c r="IF32">
        <f>ID32</f>
        <v/>
      </c>
      <c r="IG32">
        <f>IE32</f>
        <v/>
      </c>
      <c r="IH32">
        <f>IF32</f>
        <v/>
      </c>
      <c r="II32">
        <f>IG32</f>
        <v/>
      </c>
      <c r="IJ32">
        <f>IH32</f>
        <v/>
      </c>
      <c r="IK32">
        <f>II32</f>
        <v/>
      </c>
      <c r="IL32">
        <f>IJ32</f>
        <v/>
      </c>
      <c r="IM32">
        <f>IK32</f>
        <v/>
      </c>
      <c r="IN32">
        <f>IL32</f>
        <v/>
      </c>
      <c r="IO32">
        <f>IM32</f>
        <v/>
      </c>
      <c r="IP32">
        <f>IN32</f>
        <v/>
      </c>
      <c r="IQ32">
        <f>IO32</f>
        <v/>
      </c>
      <c r="IR32">
        <f>IP32</f>
        <v/>
      </c>
      <c r="IS32">
        <f>IQ32</f>
        <v/>
      </c>
      <c r="IT32" s="130" t="n"/>
      <c r="IU32">
        <f>IS32</f>
        <v/>
      </c>
      <c r="IV32">
        <f>IU32</f>
        <v/>
      </c>
      <c r="IW32">
        <f>IV32</f>
        <v/>
      </c>
      <c r="IX32">
        <f>IW32</f>
        <v/>
      </c>
      <c r="IY32">
        <f>IX32</f>
        <v/>
      </c>
      <c r="IZ32">
        <f>IY32</f>
        <v/>
      </c>
      <c r="JA32">
        <f>IZ32</f>
        <v/>
      </c>
      <c r="JB32">
        <f>JA32</f>
        <v/>
      </c>
      <c r="JC32">
        <f>JB32</f>
        <v/>
      </c>
      <c r="JD32">
        <f>JC32</f>
        <v/>
      </c>
      <c r="JE32">
        <f>JD32</f>
        <v/>
      </c>
      <c r="JF32">
        <f>JE32</f>
        <v/>
      </c>
      <c r="JG32">
        <f>JF32</f>
        <v/>
      </c>
      <c r="JH32">
        <f>JG32</f>
        <v/>
      </c>
      <c r="JI32">
        <f>JH32</f>
        <v/>
      </c>
      <c r="JJ32">
        <f>JI32</f>
        <v/>
      </c>
      <c r="JK32">
        <f>JJ32</f>
        <v/>
      </c>
      <c r="JL32">
        <f>JK32</f>
        <v/>
      </c>
      <c r="JM32">
        <f>JL32</f>
        <v/>
      </c>
      <c r="JN32">
        <f>JM32</f>
        <v/>
      </c>
      <c r="JO32">
        <f>JN32</f>
        <v/>
      </c>
      <c r="JP32">
        <f>JO32</f>
        <v/>
      </c>
      <c r="JQ32">
        <f>JP32</f>
        <v/>
      </c>
      <c r="JR32">
        <f>JQ32</f>
        <v/>
      </c>
      <c r="JS32">
        <f>JR32</f>
        <v/>
      </c>
      <c r="JT32">
        <f>JS32</f>
        <v/>
      </c>
      <c r="JU32">
        <f>JT32</f>
        <v/>
      </c>
      <c r="JV32">
        <f>JU32</f>
        <v/>
      </c>
      <c r="JW32">
        <f>JV32</f>
        <v/>
      </c>
      <c r="JX32" t="n">
        <v>26750</v>
      </c>
      <c r="JY32" s="130" t="n"/>
      <c r="JZ32" t="n">
        <v>26750</v>
      </c>
      <c r="KA32" t="n">
        <v>26750</v>
      </c>
      <c r="KB32" t="n">
        <v>0</v>
      </c>
      <c r="KC32" t="n">
        <v>0</v>
      </c>
      <c r="KD32" t="n">
        <v>0</v>
      </c>
      <c r="KE32" t="n">
        <v>760000</v>
      </c>
      <c r="KF32">
        <f>KE32</f>
        <v/>
      </c>
      <c r="KG32">
        <f>KF32+760000+530000</f>
        <v/>
      </c>
      <c r="KH32">
        <f>KG32</f>
        <v/>
      </c>
      <c r="KI32">
        <f>KH32-2050000+1086000</f>
        <v/>
      </c>
      <c r="KJ32">
        <f>KI32</f>
        <v/>
      </c>
      <c r="KK32">
        <f>KJ32</f>
        <v/>
      </c>
      <c r="KL32">
        <f>KK32</f>
        <v/>
      </c>
      <c r="KM32">
        <f>KL32+106000</f>
        <v/>
      </c>
      <c r="KN32">
        <f>KM32</f>
        <v/>
      </c>
      <c r="KO32">
        <f>KN32</f>
        <v/>
      </c>
      <c r="KP32">
        <f>KO32+807000+6000</f>
        <v/>
      </c>
      <c r="KQ32">
        <f>KP32</f>
        <v/>
      </c>
      <c r="KR32">
        <f>KQ32</f>
        <v/>
      </c>
      <c r="KS32">
        <f>KR32</f>
        <v/>
      </c>
      <c r="KT32">
        <f>KS32-96000</f>
        <v/>
      </c>
      <c r="KU32">
        <f>KT32</f>
        <v/>
      </c>
      <c r="KV32">
        <f>KU32</f>
        <v/>
      </c>
      <c r="KW32">
        <f>KV32+485000</f>
        <v/>
      </c>
      <c r="KX32">
        <f>KW32</f>
        <v/>
      </c>
      <c r="KY32">
        <f>KX32</f>
        <v/>
      </c>
      <c r="KZ32">
        <f>KY32</f>
        <v/>
      </c>
      <c r="LA32">
        <f>KZ32</f>
        <v/>
      </c>
      <c r="LB32">
        <f>LA32</f>
        <v/>
      </c>
      <c r="LC32" t="n">
        <v>492000</v>
      </c>
      <c r="LD32">
        <f>LC32</f>
        <v/>
      </c>
      <c r="LE32" s="130" t="n"/>
      <c r="LF32">
        <f>LD32</f>
        <v/>
      </c>
      <c r="LG32">
        <f>LF32</f>
        <v/>
      </c>
      <c r="LH32">
        <f>LG32</f>
        <v/>
      </c>
      <c r="LI32">
        <f>LH32</f>
        <v/>
      </c>
      <c r="LJ32">
        <f>LI32</f>
        <v/>
      </c>
      <c r="LK32">
        <f>LJ32</f>
        <v/>
      </c>
      <c r="LL32">
        <f>LK32</f>
        <v/>
      </c>
      <c r="LM32">
        <f>LL32</f>
        <v/>
      </c>
      <c r="LN32">
        <f>LM32</f>
        <v/>
      </c>
      <c r="LO32">
        <f>LN32</f>
        <v/>
      </c>
      <c r="LP32">
        <f>LO32</f>
        <v/>
      </c>
      <c r="LQ32">
        <f>LP32</f>
        <v/>
      </c>
      <c r="LR32">
        <f>LQ32</f>
        <v/>
      </c>
      <c r="LS32">
        <f>LR32+1083000</f>
        <v/>
      </c>
      <c r="LT32">
        <f>LS32</f>
        <v/>
      </c>
      <c r="LU32">
        <f>LT32</f>
        <v/>
      </c>
      <c r="LV32">
        <f>LU32</f>
        <v/>
      </c>
      <c r="LW32">
        <f>LV32</f>
        <v/>
      </c>
      <c r="LX32">
        <f>LW32</f>
        <v/>
      </c>
      <c r="LY32">
        <f>LX32</f>
        <v/>
      </c>
      <c r="LZ32">
        <f>LY32</f>
        <v/>
      </c>
      <c r="MA32">
        <f>LZ32</f>
        <v/>
      </c>
      <c r="MB32">
        <f>MA32</f>
        <v/>
      </c>
      <c r="MC32">
        <f>MB32-1815000</f>
        <v/>
      </c>
      <c r="MD32">
        <f>MC32</f>
        <v/>
      </c>
      <c r="ME32" t="n">
        <v>0</v>
      </c>
      <c r="MF32">
        <f>ME32</f>
        <v/>
      </c>
      <c r="MG32">
        <f>MF32</f>
        <v/>
      </c>
      <c r="MH32">
        <f>MG32</f>
        <v/>
      </c>
      <c r="MI32">
        <f>MH32</f>
        <v/>
      </c>
      <c r="MJ32" s="130" t="n"/>
      <c r="MK32">
        <f>856000+210000+6000</f>
        <v/>
      </c>
      <c r="ML32">
        <f>856000+210000+6000</f>
        <v/>
      </c>
      <c r="MM32">
        <f>856000+210000+6000</f>
        <v/>
      </c>
      <c r="MN32">
        <f>856000+210000+6000</f>
        <v/>
      </c>
      <c r="MO32">
        <f>856000+210000+6000</f>
        <v/>
      </c>
      <c r="MP32">
        <f>856000+210000+6000</f>
        <v/>
      </c>
      <c r="MQ32">
        <f>856000+210000+6000</f>
        <v/>
      </c>
      <c r="MR32">
        <f>856000+210000+6000+1112000</f>
        <v/>
      </c>
      <c r="MS32">
        <f>MR32</f>
        <v/>
      </c>
      <c r="MT32">
        <f>MS32</f>
        <v/>
      </c>
      <c r="MU32">
        <f>MT32</f>
        <v/>
      </c>
      <c r="MV32">
        <f>MU32</f>
        <v/>
      </c>
      <c r="MW32">
        <f>MV32</f>
        <v/>
      </c>
      <c r="MX32">
        <f>MW32</f>
        <v/>
      </c>
      <c r="MY32">
        <f>MX32</f>
        <v/>
      </c>
      <c r="MZ32">
        <f>MY32</f>
        <v/>
      </c>
      <c r="NA32">
        <f>MZ32+1276000</f>
        <v/>
      </c>
      <c r="NB32">
        <f>NA32</f>
        <v/>
      </c>
      <c r="NC32">
        <f>NB32</f>
        <v/>
      </c>
      <c r="ND32">
        <f>NC32</f>
        <v/>
      </c>
      <c r="NE32">
        <f>ND32</f>
        <v/>
      </c>
      <c r="NF32">
        <f>NE32</f>
        <v/>
      </c>
      <c r="NG32">
        <f>NF32</f>
        <v/>
      </c>
      <c r="NH32">
        <f>NG32+26000</f>
        <v/>
      </c>
      <c r="NI32">
        <f>NH32</f>
        <v/>
      </c>
      <c r="NJ32">
        <f>NI32</f>
        <v/>
      </c>
      <c r="NK32">
        <f>NJ32</f>
        <v/>
      </c>
      <c r="NL32">
        <f>NK32</f>
        <v/>
      </c>
      <c r="NM32">
        <f>NL32</f>
        <v/>
      </c>
      <c r="NN32">
        <f>NM32+1101000</f>
        <v/>
      </c>
      <c r="NO32">
        <f>NN32</f>
        <v/>
      </c>
      <c r="NP32" s="130" t="n"/>
      <c r="NQ32">
        <f>NO32</f>
        <v/>
      </c>
      <c r="NR32">
        <f>NQ32</f>
        <v/>
      </c>
      <c r="NS32">
        <f>NQ32</f>
        <v/>
      </c>
      <c r="NT32">
        <f>NR32-3460000-773000</f>
        <v/>
      </c>
      <c r="NU32">
        <f>NT32</f>
        <v/>
      </c>
      <c r="NV32">
        <f>NT32</f>
        <v/>
      </c>
      <c r="NW32">
        <f>NU32</f>
        <v/>
      </c>
      <c r="NX32">
        <f>NV32</f>
        <v/>
      </c>
      <c r="NY32">
        <f>NW32+773000</f>
        <v/>
      </c>
      <c r="NZ32">
        <f>NY32</f>
        <v/>
      </c>
      <c r="OA32">
        <f>NY32</f>
        <v/>
      </c>
      <c r="OB32">
        <f>NZ32</f>
        <v/>
      </c>
      <c r="OC32">
        <f>OA32</f>
        <v/>
      </c>
      <c r="OD32">
        <f>OB32</f>
        <v/>
      </c>
      <c r="OE32">
        <f>OC32</f>
        <v/>
      </c>
      <c r="OF32">
        <f>OD32</f>
        <v/>
      </c>
      <c r="OG32">
        <f>OE32</f>
        <v/>
      </c>
      <c r="OH32">
        <f>OF32</f>
        <v/>
      </c>
      <c r="OI32">
        <f>OG32</f>
        <v/>
      </c>
      <c r="OJ32">
        <f>OH32</f>
        <v/>
      </c>
      <c r="OK32">
        <f>OI32</f>
        <v/>
      </c>
      <c r="OL32">
        <f>OJ32</f>
        <v/>
      </c>
      <c r="OM32">
        <f>OK32+385000</f>
        <v/>
      </c>
      <c r="ON32">
        <f>OM32</f>
        <v/>
      </c>
      <c r="OO32">
        <f>OM32</f>
        <v/>
      </c>
      <c r="OP32">
        <f>ON32</f>
        <v/>
      </c>
      <c r="OQ32">
        <f>OO32+862000</f>
        <v/>
      </c>
      <c r="OR32">
        <f>OQ32</f>
        <v/>
      </c>
      <c r="OS32">
        <f>OQ32</f>
        <v/>
      </c>
      <c r="OT32">
        <f>OR32+868000</f>
        <v/>
      </c>
      <c r="OU32">
        <f>OT32</f>
        <v/>
      </c>
      <c r="OV32" s="130" t="n"/>
      <c r="OW32">
        <f>OU32</f>
        <v/>
      </c>
      <c r="OX32">
        <f>OW32</f>
        <v/>
      </c>
      <c r="OY32">
        <f>OW32</f>
        <v/>
      </c>
      <c r="OZ32">
        <f>OX32</f>
        <v/>
      </c>
      <c r="PA32">
        <f>OY32</f>
        <v/>
      </c>
      <c r="PB32">
        <f>OZ32+1189000</f>
        <v/>
      </c>
      <c r="PC32">
        <f>PB32</f>
        <v/>
      </c>
      <c r="PD32">
        <f>PC32</f>
        <v/>
      </c>
      <c r="PE32">
        <f>PC32+324500</f>
        <v/>
      </c>
      <c r="PF32">
        <f>PE32+856000</f>
        <v/>
      </c>
      <c r="PG32">
        <f>PF32</f>
        <v/>
      </c>
      <c r="PH32">
        <f>PF32</f>
        <v/>
      </c>
      <c r="PI32">
        <f>PG32</f>
        <v/>
      </c>
      <c r="PJ32">
        <f>PH32</f>
        <v/>
      </c>
      <c r="PK32">
        <f>PI32</f>
        <v/>
      </c>
      <c r="PL32">
        <f>PJ32</f>
        <v/>
      </c>
      <c r="PM32">
        <f>PK32</f>
        <v/>
      </c>
      <c r="PN32">
        <f>PL32</f>
        <v/>
      </c>
      <c r="PO32">
        <f>PM32-3242000</f>
        <v/>
      </c>
      <c r="PP32">
        <f>PO32</f>
        <v/>
      </c>
      <c r="PQ32">
        <f>PO32</f>
        <v/>
      </c>
      <c r="PR32">
        <f>PP32</f>
        <v/>
      </c>
      <c r="PS32">
        <f>PQ32</f>
        <v/>
      </c>
      <c r="PT32">
        <f>PR32</f>
        <v/>
      </c>
      <c r="PU32">
        <f>PS32</f>
        <v/>
      </c>
      <c r="PV32">
        <f>PT32</f>
        <v/>
      </c>
      <c r="PW32">
        <f>PU32</f>
        <v/>
      </c>
      <c r="PX32">
        <f>PV32</f>
        <v/>
      </c>
      <c r="PY32">
        <f>PW32</f>
        <v/>
      </c>
      <c r="PZ32">
        <f>PX32</f>
        <v/>
      </c>
      <c r="QA32" s="130" t="n"/>
      <c r="QB32">
        <f>PZ32</f>
        <v/>
      </c>
      <c r="QC32">
        <f>QB32</f>
        <v/>
      </c>
      <c r="QD32">
        <f>QC32</f>
        <v/>
      </c>
      <c r="QE32">
        <f>QD32</f>
        <v/>
      </c>
      <c r="QF32">
        <f>QE32</f>
        <v/>
      </c>
      <c r="QG32">
        <f>QF32</f>
        <v/>
      </c>
      <c r="QH32">
        <f>QG32</f>
        <v/>
      </c>
      <c r="QI32">
        <f>QH32</f>
        <v/>
      </c>
      <c r="QJ32">
        <f>QI32</f>
        <v/>
      </c>
      <c r="QK32">
        <f>QJ32</f>
        <v/>
      </c>
      <c r="QL32">
        <f>QK32</f>
        <v/>
      </c>
      <c r="QM32">
        <f>QL32</f>
        <v/>
      </c>
      <c r="QN32">
        <f>QM32</f>
        <v/>
      </c>
      <c r="QO32">
        <f>QN32</f>
        <v/>
      </c>
      <c r="QP32">
        <f>QO32</f>
        <v/>
      </c>
      <c r="QQ32">
        <f>QP32</f>
        <v/>
      </c>
      <c r="QR32">
        <f>QQ32</f>
        <v/>
      </c>
      <c r="QS32">
        <f>QR32-2000000</f>
        <v/>
      </c>
      <c r="QT32">
        <f>QS32</f>
        <v/>
      </c>
      <c r="QU32">
        <f>QT32</f>
        <v/>
      </c>
      <c r="QV32">
        <f>QU32</f>
        <v/>
      </c>
      <c r="QW32">
        <f>QV32</f>
        <v/>
      </c>
      <c r="QX32">
        <f>QW32</f>
        <v/>
      </c>
      <c r="QY32">
        <f>QX32</f>
        <v/>
      </c>
      <c r="QZ32">
        <f>QY32</f>
        <v/>
      </c>
      <c r="RA32">
        <f>QZ32</f>
        <v/>
      </c>
      <c r="RB32">
        <f>RA32</f>
        <v/>
      </c>
      <c r="RC32">
        <f>RB32</f>
        <v/>
      </c>
      <c r="RD32">
        <f>RC32-300000</f>
        <v/>
      </c>
      <c r="RE32">
        <f>RD32</f>
        <v/>
      </c>
      <c r="RF32">
        <f>RE32</f>
        <v/>
      </c>
      <c r="RG32" s="130" t="n"/>
      <c r="RH32">
        <f>RF32</f>
        <v/>
      </c>
      <c r="RI32">
        <f>RH32</f>
        <v/>
      </c>
      <c r="RJ32">
        <f>RI32</f>
        <v/>
      </c>
      <c r="RK32">
        <f>RJ32</f>
        <v/>
      </c>
      <c r="RL32">
        <f>RK32</f>
        <v/>
      </c>
      <c r="RM32">
        <f>RL32</f>
        <v/>
      </c>
      <c r="RN32">
        <f>RM32</f>
        <v/>
      </c>
      <c r="RO32">
        <f>RN32</f>
        <v/>
      </c>
      <c r="RP32">
        <f>RO32</f>
        <v/>
      </c>
      <c r="RQ32">
        <f>RP32</f>
        <v/>
      </c>
      <c r="RR32">
        <f>RQ32</f>
        <v/>
      </c>
      <c r="RS32">
        <f>RR32</f>
        <v/>
      </c>
      <c r="RT32">
        <f>RS32</f>
        <v/>
      </c>
      <c r="RU32">
        <f>RT32</f>
        <v/>
      </c>
      <c r="RV32">
        <f>RU32</f>
        <v/>
      </c>
      <c r="RW32">
        <f>RV32</f>
        <v/>
      </c>
      <c r="RX32">
        <f>RW32</f>
        <v/>
      </c>
      <c r="RY32">
        <f>RX32</f>
        <v/>
      </c>
      <c r="RZ32">
        <f>RY32</f>
        <v/>
      </c>
      <c r="SA32">
        <f>RZ32</f>
        <v/>
      </c>
      <c r="SB32">
        <f>SA32</f>
        <v/>
      </c>
      <c r="SC32">
        <f>SB32</f>
        <v/>
      </c>
      <c r="SD32">
        <f>SC32</f>
        <v/>
      </c>
      <c r="SE32">
        <f>SD32</f>
        <v/>
      </c>
      <c r="SF32">
        <f>SE32</f>
        <v/>
      </c>
      <c r="SG32">
        <f>SF32</f>
        <v/>
      </c>
      <c r="SH32">
        <f>SG32</f>
        <v/>
      </c>
      <c r="SI32">
        <f>SH32</f>
        <v/>
      </c>
      <c r="SJ32">
        <f>SI32</f>
        <v/>
      </c>
      <c r="SK32">
        <f>SJ32</f>
        <v/>
      </c>
      <c r="SL32" s="130" t="n"/>
      <c r="SM32">
        <f>SK32</f>
        <v/>
      </c>
      <c r="SN32">
        <f>SM32</f>
        <v/>
      </c>
      <c r="SO32">
        <f>SN32</f>
        <v/>
      </c>
      <c r="SP32">
        <f>SO32</f>
        <v/>
      </c>
      <c r="SQ32">
        <f>SP32</f>
        <v/>
      </c>
      <c r="SR32">
        <f>SQ32</f>
        <v/>
      </c>
      <c r="SS32">
        <f>SR32</f>
        <v/>
      </c>
      <c r="ST32">
        <f>SS32</f>
        <v/>
      </c>
      <c r="SU32">
        <f>ST32</f>
        <v/>
      </c>
      <c r="SV32">
        <f>SU32</f>
        <v/>
      </c>
      <c r="SW32">
        <f>SV32</f>
        <v/>
      </c>
      <c r="SX32">
        <f>SW32</f>
        <v/>
      </c>
      <c r="SY32">
        <f>SX32</f>
        <v/>
      </c>
      <c r="SZ32">
        <f>SY32</f>
        <v/>
      </c>
      <c r="TA32">
        <f>SZ32</f>
        <v/>
      </c>
      <c r="TB32">
        <f>TA32</f>
        <v/>
      </c>
      <c r="TC32">
        <f>TB32</f>
        <v/>
      </c>
      <c r="TD32">
        <f>TC32</f>
        <v/>
      </c>
      <c r="TE32">
        <f>TD32</f>
        <v/>
      </c>
      <c r="TF32">
        <f>TE32</f>
        <v/>
      </c>
      <c r="TG32">
        <f>TF32</f>
        <v/>
      </c>
      <c r="TH32">
        <f>TG32</f>
        <v/>
      </c>
      <c r="TI32">
        <f>TH32</f>
        <v/>
      </c>
      <c r="TJ32">
        <f>TI32</f>
        <v/>
      </c>
      <c r="TK32">
        <f>TJ32</f>
        <v/>
      </c>
      <c r="TL32">
        <f>TK32</f>
        <v/>
      </c>
      <c r="TM32">
        <f>TL32</f>
        <v/>
      </c>
      <c r="TN32">
        <f>TM32</f>
        <v/>
      </c>
      <c r="TO32">
        <f>TN32</f>
        <v/>
      </c>
      <c r="TP32">
        <f>TO32</f>
        <v/>
      </c>
      <c r="TQ32">
        <f>TP32</f>
        <v/>
      </c>
      <c r="TR32" s="130" t="n"/>
      <c r="TS32">
        <f>TQ32</f>
        <v/>
      </c>
      <c r="TT32">
        <f>TS32</f>
        <v/>
      </c>
      <c r="TU32">
        <f>TT32</f>
        <v/>
      </c>
      <c r="TV32">
        <f>TU32</f>
        <v/>
      </c>
      <c r="TW32">
        <f>TV32</f>
        <v/>
      </c>
      <c r="TX32">
        <f>TW32</f>
        <v/>
      </c>
      <c r="TY32">
        <f>TX32</f>
        <v/>
      </c>
      <c r="TZ32">
        <f>TY32</f>
        <v/>
      </c>
      <c r="UA32">
        <f>TZ32</f>
        <v/>
      </c>
      <c r="UB32">
        <f>UA32</f>
        <v/>
      </c>
      <c r="UC32">
        <f>UB32</f>
        <v/>
      </c>
      <c r="UD32">
        <f>UC32</f>
        <v/>
      </c>
      <c r="UE32">
        <f>UD32</f>
        <v/>
      </c>
      <c r="UF32">
        <f>UE32</f>
        <v/>
      </c>
      <c r="UG32">
        <f>UF32</f>
        <v/>
      </c>
      <c r="UH32">
        <f>UG32</f>
        <v/>
      </c>
      <c r="UI32">
        <f>UH32</f>
        <v/>
      </c>
      <c r="UJ32">
        <f>UI32</f>
        <v/>
      </c>
      <c r="UK32">
        <f>UJ32</f>
        <v/>
      </c>
      <c r="UL32">
        <f>UK32</f>
        <v/>
      </c>
      <c r="UM32">
        <f>UL32</f>
        <v/>
      </c>
      <c r="UN32">
        <f>UM32</f>
        <v/>
      </c>
      <c r="UO32">
        <f>UN32</f>
        <v/>
      </c>
      <c r="UP32">
        <f>UO32</f>
        <v/>
      </c>
      <c r="UQ32">
        <f>UP32</f>
        <v/>
      </c>
      <c r="UR32">
        <f>UQ32</f>
        <v/>
      </c>
      <c r="US32">
        <f>UR32</f>
        <v/>
      </c>
      <c r="UT32">
        <f>US32</f>
        <v/>
      </c>
      <c r="UU32">
        <f>UT32</f>
        <v/>
      </c>
      <c r="UV32">
        <f>UU32</f>
        <v/>
      </c>
      <c r="UW32">
        <f>UV32</f>
        <v/>
      </c>
      <c r="UX32" s="130" t="n"/>
      <c r="UY32">
        <f>UW32</f>
        <v/>
      </c>
      <c r="UZ32">
        <f>UY32</f>
        <v/>
      </c>
      <c r="VA32">
        <f>UY32</f>
        <v/>
      </c>
      <c r="VB32">
        <f>UZ32</f>
        <v/>
      </c>
      <c r="VC32">
        <f>VA32</f>
        <v/>
      </c>
      <c r="VD32">
        <f>VB32</f>
        <v/>
      </c>
      <c r="VE32">
        <f>VC32</f>
        <v/>
      </c>
      <c r="VF32">
        <f>VD32</f>
        <v/>
      </c>
      <c r="VG32">
        <f>VE32</f>
        <v/>
      </c>
      <c r="VH32">
        <f>VF32</f>
        <v/>
      </c>
      <c r="VI32">
        <f>VG32</f>
        <v/>
      </c>
      <c r="VJ32">
        <f>VH32</f>
        <v/>
      </c>
      <c r="VK32">
        <f>VI32</f>
        <v/>
      </c>
      <c r="VL32">
        <f>VJ32</f>
        <v/>
      </c>
      <c r="VM32">
        <f>VK32</f>
        <v/>
      </c>
      <c r="VN32">
        <f>VL32</f>
        <v/>
      </c>
      <c r="VO32">
        <f>VM32</f>
        <v/>
      </c>
      <c r="VP32">
        <f>VN32</f>
        <v/>
      </c>
      <c r="VQ32">
        <f>VO32</f>
        <v/>
      </c>
      <c r="VR32">
        <f>VP32</f>
        <v/>
      </c>
      <c r="VS32">
        <f>VQ32</f>
        <v/>
      </c>
      <c r="VT32">
        <f>VR32</f>
        <v/>
      </c>
      <c r="VU32">
        <f>VS32</f>
        <v/>
      </c>
      <c r="VV32">
        <f>VT32</f>
        <v/>
      </c>
      <c r="VW32">
        <f>VU32</f>
        <v/>
      </c>
      <c r="VX32">
        <f>VV32</f>
        <v/>
      </c>
      <c r="VY32">
        <f>VW32</f>
        <v/>
      </c>
      <c r="VZ32">
        <f>VX32</f>
        <v/>
      </c>
      <c r="WA32" s="130" t="n"/>
      <c r="WB32">
        <f>VZ32</f>
        <v/>
      </c>
      <c r="WC32">
        <f>WB32</f>
        <v/>
      </c>
      <c r="WD32">
        <f>WB32</f>
        <v/>
      </c>
      <c r="WE32">
        <f>WC32</f>
        <v/>
      </c>
      <c r="WF32">
        <f>WD32</f>
        <v/>
      </c>
      <c r="WG32">
        <f>WE32</f>
        <v/>
      </c>
      <c r="WH32">
        <f>WF32</f>
        <v/>
      </c>
      <c r="WI32">
        <f>WG32</f>
        <v/>
      </c>
      <c r="WJ32">
        <f>WH32</f>
        <v/>
      </c>
      <c r="WK32">
        <f>WI32</f>
        <v/>
      </c>
      <c r="WL32">
        <f>WJ32</f>
        <v/>
      </c>
      <c r="WM32">
        <f>WK32</f>
        <v/>
      </c>
      <c r="WN32">
        <f>WL32</f>
        <v/>
      </c>
      <c r="WO32">
        <f>WM32</f>
        <v/>
      </c>
      <c r="WP32">
        <f>WN32</f>
        <v/>
      </c>
      <c r="WQ32">
        <f>WO32</f>
        <v/>
      </c>
      <c r="WR32">
        <f>WP32</f>
        <v/>
      </c>
      <c r="WS32">
        <f>WQ32</f>
        <v/>
      </c>
      <c r="WT32">
        <f>WR32</f>
        <v/>
      </c>
      <c r="WU32">
        <f>WS32</f>
        <v/>
      </c>
      <c r="WV32">
        <f>WT32</f>
        <v/>
      </c>
      <c r="WW32">
        <f>WU32</f>
        <v/>
      </c>
      <c r="WX32">
        <f>WV32</f>
        <v/>
      </c>
      <c r="WY32">
        <f>WW32</f>
        <v/>
      </c>
      <c r="WZ32">
        <f>WX32</f>
        <v/>
      </c>
      <c r="XA32">
        <f>WY32</f>
        <v/>
      </c>
      <c r="XB32">
        <f>WZ32</f>
        <v/>
      </c>
      <c r="XC32">
        <f>XA32</f>
        <v/>
      </c>
      <c r="XD32">
        <f>XB32</f>
        <v/>
      </c>
      <c r="XE32">
        <f>XC32</f>
        <v/>
      </c>
      <c r="XF32">
        <f>XD32</f>
        <v/>
      </c>
      <c r="XG32" s="130" t="n"/>
      <c r="XH32">
        <f>XF32</f>
        <v/>
      </c>
      <c r="XI32">
        <f>XH32</f>
        <v/>
      </c>
      <c r="XJ32">
        <f>XI32</f>
        <v/>
      </c>
      <c r="XK32">
        <f>XJ32</f>
        <v/>
      </c>
      <c r="XL32">
        <f>XK32</f>
        <v/>
      </c>
      <c r="XM32">
        <f>XL32</f>
        <v/>
      </c>
      <c r="XN32">
        <f>XM32</f>
        <v/>
      </c>
      <c r="XO32">
        <f>XN32</f>
        <v/>
      </c>
      <c r="XP32">
        <f>XO32</f>
        <v/>
      </c>
      <c r="XQ32">
        <f>XP32</f>
        <v/>
      </c>
      <c r="XR32">
        <f>XQ32</f>
        <v/>
      </c>
      <c r="XS32">
        <f>XR32</f>
        <v/>
      </c>
      <c r="XT32">
        <f>XS32</f>
        <v/>
      </c>
      <c r="XU32">
        <f>XT32</f>
        <v/>
      </c>
      <c r="XV32">
        <f>XU32</f>
        <v/>
      </c>
      <c r="XW32">
        <f>XV32</f>
        <v/>
      </c>
      <c r="XX32">
        <f>XW32</f>
        <v/>
      </c>
      <c r="XY32">
        <f>XX32</f>
        <v/>
      </c>
      <c r="XZ32">
        <f>XY32</f>
        <v/>
      </c>
      <c r="YA32">
        <f>XZ32</f>
        <v/>
      </c>
      <c r="YB32">
        <f>YA32</f>
        <v/>
      </c>
      <c r="YC32">
        <f>YB32</f>
        <v/>
      </c>
      <c r="YD32">
        <f>YC32</f>
        <v/>
      </c>
      <c r="YE32">
        <f>YD32</f>
        <v/>
      </c>
      <c r="YF32">
        <f>YE32</f>
        <v/>
      </c>
      <c r="YG32">
        <f>YF32</f>
        <v/>
      </c>
      <c r="YH32">
        <f>YG32</f>
        <v/>
      </c>
      <c r="YI32">
        <f>YH32</f>
        <v/>
      </c>
      <c r="YJ32">
        <f>YI32</f>
        <v/>
      </c>
      <c r="YK32">
        <f>YJ32</f>
        <v/>
      </c>
      <c r="YL32" s="130" t="n"/>
      <c r="YM32">
        <f>YK32</f>
        <v/>
      </c>
      <c r="YN32">
        <f>YM32</f>
        <v/>
      </c>
      <c r="YO32">
        <f>YN32</f>
        <v/>
      </c>
      <c r="YP32">
        <f>YO32</f>
        <v/>
      </c>
      <c r="YQ32">
        <f>YP32</f>
        <v/>
      </c>
      <c r="YR32">
        <f>YQ32</f>
        <v/>
      </c>
      <c r="YS32">
        <f>YR32</f>
        <v/>
      </c>
      <c r="YT32">
        <f>YS32</f>
        <v/>
      </c>
      <c r="YU32">
        <f>YT32</f>
        <v/>
      </c>
      <c r="YV32">
        <f>YU32</f>
        <v/>
      </c>
      <c r="YW32">
        <f>YV32</f>
        <v/>
      </c>
      <c r="YX32">
        <f>YW32</f>
        <v/>
      </c>
      <c r="YY32">
        <f>YX32</f>
        <v/>
      </c>
      <c r="YZ32">
        <f>YY32</f>
        <v/>
      </c>
      <c r="ZA32">
        <f>YZ32</f>
        <v/>
      </c>
      <c r="ZB32">
        <f>ZA32</f>
        <v/>
      </c>
      <c r="ZC32">
        <f>ZB32</f>
        <v/>
      </c>
      <c r="ZD32">
        <f>ZC32</f>
        <v/>
      </c>
      <c r="ZE32">
        <f>ZD32</f>
        <v/>
      </c>
      <c r="ZF32">
        <f>ZE32</f>
        <v/>
      </c>
      <c r="ZG32">
        <f>ZF32</f>
        <v/>
      </c>
      <c r="ZH32">
        <f>ZG32</f>
        <v/>
      </c>
      <c r="ZI32">
        <f>ZH32</f>
        <v/>
      </c>
      <c r="ZJ32">
        <f>ZI32</f>
        <v/>
      </c>
      <c r="ZK32">
        <f>ZJ32</f>
        <v/>
      </c>
      <c r="ZL32">
        <f>ZK32</f>
        <v/>
      </c>
      <c r="ZM32">
        <f>ZL32</f>
        <v/>
      </c>
      <c r="ZN32">
        <f>ZM32</f>
        <v/>
      </c>
      <c r="ZO32">
        <f>ZN32</f>
        <v/>
      </c>
      <c r="ZP32">
        <f>ZO32</f>
        <v/>
      </c>
      <c r="ZQ32">
        <f>ZP32</f>
        <v/>
      </c>
      <c r="ZR32" s="130" t="n"/>
      <c r="ZS32">
        <f>ZQ32</f>
        <v/>
      </c>
      <c r="ZT32">
        <f>ZS32</f>
        <v/>
      </c>
      <c r="ZU32">
        <f>ZT32</f>
        <v/>
      </c>
      <c r="ZV32">
        <f>ZU32</f>
        <v/>
      </c>
      <c r="ZW32">
        <f>ZV32</f>
        <v/>
      </c>
      <c r="ZX32">
        <f>ZW32</f>
        <v/>
      </c>
      <c r="ZY32">
        <f>ZX32</f>
        <v/>
      </c>
      <c r="ZZ32">
        <f>ZY32</f>
        <v/>
      </c>
      <c r="AAA32">
        <f>ZZ32</f>
        <v/>
      </c>
      <c r="AAB32">
        <f>AAA32</f>
        <v/>
      </c>
      <c r="AAC32">
        <f>AAB32</f>
        <v/>
      </c>
      <c r="AAD32">
        <f>AAC32</f>
        <v/>
      </c>
      <c r="AAE32">
        <f>AAD32</f>
        <v/>
      </c>
      <c r="AAF32">
        <f>AAE32</f>
        <v/>
      </c>
      <c r="AAG32">
        <f>AAF32</f>
        <v/>
      </c>
      <c r="AAH32">
        <f>AAG32</f>
        <v/>
      </c>
      <c r="AAI32">
        <f>AAH32</f>
        <v/>
      </c>
      <c r="AAJ32">
        <f>AAI32</f>
        <v/>
      </c>
      <c r="AAK32">
        <f>AAJ32</f>
        <v/>
      </c>
      <c r="AAL32">
        <f>AAK32</f>
        <v/>
      </c>
      <c r="AAM32">
        <f>AAL32</f>
        <v/>
      </c>
      <c r="AAN32">
        <f>AAM32</f>
        <v/>
      </c>
      <c r="AAO32">
        <f>AAN32</f>
        <v/>
      </c>
      <c r="AAP32">
        <f>AAO32</f>
        <v/>
      </c>
      <c r="AAQ32">
        <f>AAP32</f>
        <v/>
      </c>
      <c r="AAR32">
        <f>AAQ32</f>
        <v/>
      </c>
      <c r="AAS32">
        <f>AAR32</f>
        <v/>
      </c>
      <c r="AAT32">
        <f>AAS32</f>
        <v/>
      </c>
      <c r="AAU32">
        <f>AAT32</f>
        <v/>
      </c>
      <c r="AAV32">
        <f>AAU32</f>
        <v/>
      </c>
      <c r="AAW32" s="130" t="n"/>
      <c r="AAX32">
        <f>AAV32</f>
        <v/>
      </c>
      <c r="AAY32">
        <f>AAX32</f>
        <v/>
      </c>
      <c r="AAZ32">
        <f>AAY32</f>
        <v/>
      </c>
      <c r="ABA32">
        <f>AAZ32</f>
        <v/>
      </c>
      <c r="ABB32">
        <f>ABA32</f>
        <v/>
      </c>
      <c r="ABC32">
        <f>ABB32</f>
        <v/>
      </c>
      <c r="ABD32">
        <f>ABC32</f>
        <v/>
      </c>
      <c r="ABE32">
        <f>ABD32</f>
        <v/>
      </c>
      <c r="ABF32">
        <f>ABE32</f>
        <v/>
      </c>
      <c r="ABG32">
        <f>ABF32</f>
        <v/>
      </c>
      <c r="ABH32">
        <f>ABG32</f>
        <v/>
      </c>
      <c r="ABI32">
        <f>ABH32</f>
        <v/>
      </c>
      <c r="ABJ32">
        <f>ABI32</f>
        <v/>
      </c>
      <c r="ABK32">
        <f>ABJ32</f>
        <v/>
      </c>
      <c r="ABL32">
        <f>ABK32</f>
        <v/>
      </c>
      <c r="ABM32">
        <f>ABL32</f>
        <v/>
      </c>
      <c r="ABN32">
        <f>ABM32</f>
        <v/>
      </c>
      <c r="ABO32">
        <f>ABN32</f>
        <v/>
      </c>
      <c r="ABP32">
        <f>ABO32</f>
        <v/>
      </c>
      <c r="ABQ32">
        <f>ABP32</f>
        <v/>
      </c>
      <c r="ABR32">
        <f>ABQ32</f>
        <v/>
      </c>
      <c r="ABS32">
        <f>ABR32</f>
        <v/>
      </c>
      <c r="ABT32">
        <f>ABS32</f>
        <v/>
      </c>
      <c r="ABU32">
        <f>ABT32</f>
        <v/>
      </c>
      <c r="ABV32">
        <f>ABU32</f>
        <v/>
      </c>
      <c r="ABW32">
        <f>ABV32</f>
        <v/>
      </c>
      <c r="ABX32">
        <f>ABW32</f>
        <v/>
      </c>
      <c r="ABY32">
        <f>ABX32</f>
        <v/>
      </c>
      <c r="ABZ32">
        <f>ABY32</f>
        <v/>
      </c>
      <c r="ACA32">
        <f>ABZ32</f>
        <v/>
      </c>
      <c r="ACB32">
        <f>ACA32</f>
        <v/>
      </c>
      <c r="ACC32" s="130" t="n"/>
      <c r="ACD32">
        <f>ACB32</f>
        <v/>
      </c>
      <c r="ACE32">
        <f>ACD32</f>
        <v/>
      </c>
      <c r="ACF32">
        <f>ACE32</f>
        <v/>
      </c>
      <c r="ACG32">
        <f>ACF32</f>
        <v/>
      </c>
      <c r="ACH32">
        <f>ACG32</f>
        <v/>
      </c>
      <c r="ACI32">
        <f>ACH32</f>
        <v/>
      </c>
      <c r="ACJ32">
        <f>ACI32</f>
        <v/>
      </c>
      <c r="ACK32">
        <f>ACJ32</f>
        <v/>
      </c>
      <c r="ACL32">
        <f>ACK32</f>
        <v/>
      </c>
      <c r="ACM32">
        <f>ACL32</f>
        <v/>
      </c>
      <c r="ACN32">
        <f>ACM32</f>
        <v/>
      </c>
      <c r="ACO32">
        <f>ACN32</f>
        <v/>
      </c>
      <c r="ACP32">
        <f>ACO32</f>
        <v/>
      </c>
      <c r="ACQ32">
        <f>ACP32</f>
        <v/>
      </c>
      <c r="ACR32">
        <f>ACQ32</f>
        <v/>
      </c>
      <c r="ACS32">
        <f>ACR32</f>
        <v/>
      </c>
      <c r="ACT32">
        <f>ACS32</f>
        <v/>
      </c>
      <c r="ACU32">
        <f>ACT32</f>
        <v/>
      </c>
      <c r="ACV32">
        <f>ACU32</f>
        <v/>
      </c>
      <c r="ACW32">
        <f>ACV32</f>
        <v/>
      </c>
      <c r="ACX32">
        <f>ACW32</f>
        <v/>
      </c>
      <c r="ACY32">
        <f>ACX32</f>
        <v/>
      </c>
      <c r="ACZ32">
        <f>ACY32</f>
        <v/>
      </c>
      <c r="ADA32">
        <f>ACZ32</f>
        <v/>
      </c>
      <c r="ADB32">
        <f>ADA32</f>
        <v/>
      </c>
      <c r="ADC32">
        <f>ADB32</f>
        <v/>
      </c>
      <c r="ADD32">
        <f>ADC32</f>
        <v/>
      </c>
      <c r="ADE32">
        <f>ADD32</f>
        <v/>
      </c>
      <c r="ADF32">
        <f>ADE32</f>
        <v/>
      </c>
      <c r="ADG32">
        <f>ADF32</f>
        <v/>
      </c>
      <c r="ADH32">
        <f>ADG32</f>
        <v/>
      </c>
      <c r="ADI32" s="130" t="n"/>
      <c r="ADJ32">
        <f>ADH32</f>
        <v/>
      </c>
      <c r="ADK32">
        <f>ADJ32</f>
        <v/>
      </c>
      <c r="ADL32">
        <f>ADK32</f>
        <v/>
      </c>
      <c r="ADM32">
        <f>ADL32</f>
        <v/>
      </c>
      <c r="ADN32">
        <f>ADM32</f>
        <v/>
      </c>
      <c r="ADO32">
        <f>ADN32</f>
        <v/>
      </c>
      <c r="ADP32">
        <f>ADO32</f>
        <v/>
      </c>
      <c r="ADQ32">
        <f>ADP32</f>
        <v/>
      </c>
      <c r="ADR32">
        <f>ADQ32</f>
        <v/>
      </c>
      <c r="ADS32">
        <f>ADR32</f>
        <v/>
      </c>
      <c r="ADT32">
        <f>ADS32</f>
        <v/>
      </c>
      <c r="ADU32">
        <f>ADT32</f>
        <v/>
      </c>
      <c r="ADV32">
        <f>ADU32</f>
        <v/>
      </c>
      <c r="ADW32">
        <f>ADV32</f>
        <v/>
      </c>
      <c r="ADX32">
        <f>ADW32</f>
        <v/>
      </c>
      <c r="ADY32">
        <f>ADX32</f>
        <v/>
      </c>
      <c r="ADZ32">
        <f>ADY32</f>
        <v/>
      </c>
      <c r="AEA32">
        <f>ADZ32</f>
        <v/>
      </c>
      <c r="AEB32">
        <f>AEA32</f>
        <v/>
      </c>
      <c r="AEC32">
        <f>AEB32</f>
        <v/>
      </c>
      <c r="AED32">
        <f>AEC32</f>
        <v/>
      </c>
      <c r="AEE32">
        <f>AED32</f>
        <v/>
      </c>
      <c r="AEF32">
        <f>AEE32</f>
        <v/>
      </c>
      <c r="AEG32">
        <f>AEF32</f>
        <v/>
      </c>
      <c r="AEH32">
        <f>AEG32</f>
        <v/>
      </c>
      <c r="AEI32">
        <f>AEH32</f>
        <v/>
      </c>
      <c r="AEJ32">
        <f>AEI32</f>
        <v/>
      </c>
      <c r="AEK32">
        <f>AEJ32</f>
        <v/>
      </c>
      <c r="AEL32">
        <f>AEK32</f>
        <v/>
      </c>
      <c r="AEM32">
        <f>AEL32</f>
        <v/>
      </c>
      <c r="AEN32" s="130" t="n"/>
      <c r="AEO32">
        <f>AEM32</f>
        <v/>
      </c>
      <c r="AEP32">
        <f>AEO32</f>
        <v/>
      </c>
      <c r="AEQ32">
        <f>AEP32</f>
        <v/>
      </c>
      <c r="AER32">
        <f>AEQ32</f>
        <v/>
      </c>
      <c r="AES32">
        <f>AER32</f>
        <v/>
      </c>
      <c r="AET32">
        <f>AES32</f>
        <v/>
      </c>
      <c r="AEU32">
        <f>AET32</f>
        <v/>
      </c>
      <c r="AEV32">
        <f>AEU32</f>
        <v/>
      </c>
      <c r="AEW32">
        <f>AEV32</f>
        <v/>
      </c>
      <c r="AEX32">
        <f>AEW32</f>
        <v/>
      </c>
      <c r="AEY32">
        <f>AEX32</f>
        <v/>
      </c>
      <c r="AEZ32">
        <f>AEY32</f>
        <v/>
      </c>
      <c r="AFA32">
        <f>AEZ32</f>
        <v/>
      </c>
      <c r="AFB32">
        <f>AFA32</f>
        <v/>
      </c>
      <c r="AFC32">
        <f>AFB32</f>
        <v/>
      </c>
      <c r="AFD32">
        <f>AFC32</f>
        <v/>
      </c>
      <c r="AFE32">
        <f>AFD32</f>
        <v/>
      </c>
      <c r="AFF32">
        <f>AFE32</f>
        <v/>
      </c>
      <c r="AFG32">
        <f>AFF32</f>
        <v/>
      </c>
      <c r="AFH32">
        <f>AFG32</f>
        <v/>
      </c>
      <c r="AFI32">
        <f>AFH32</f>
        <v/>
      </c>
      <c r="AFJ32">
        <f>AFI32</f>
        <v/>
      </c>
      <c r="AFK32">
        <f>AFJ32</f>
        <v/>
      </c>
      <c r="AFL32">
        <f>AFK32</f>
        <v/>
      </c>
      <c r="AFM32">
        <f>AFL32</f>
        <v/>
      </c>
      <c r="AFN32">
        <f>AFM32</f>
        <v/>
      </c>
      <c r="AFO32">
        <f>AFN32</f>
        <v/>
      </c>
      <c r="AFP32">
        <f>AFO32</f>
        <v/>
      </c>
      <c r="AFQ32">
        <f>AFP32</f>
        <v/>
      </c>
      <c r="AFR32">
        <f>AFQ32</f>
        <v/>
      </c>
      <c r="AFS32">
        <f>AFR32</f>
        <v/>
      </c>
      <c r="AFT32" s="130" t="n"/>
      <c r="AFU32">
        <f>AFS32</f>
        <v/>
      </c>
      <c r="AFV32">
        <f>AFU32</f>
        <v/>
      </c>
      <c r="AFW32">
        <f>AFV32</f>
        <v/>
      </c>
      <c r="AFX32">
        <f>AFW32</f>
        <v/>
      </c>
      <c r="AFY32">
        <f>AFX32</f>
        <v/>
      </c>
      <c r="AFZ32">
        <f>AFY32</f>
        <v/>
      </c>
      <c r="AGA32">
        <f>AFZ32</f>
        <v/>
      </c>
      <c r="AGB32">
        <f>AGA32</f>
        <v/>
      </c>
      <c r="AGC32">
        <f>AGB32</f>
        <v/>
      </c>
      <c r="AGD32">
        <f>AGC32</f>
        <v/>
      </c>
      <c r="AGE32">
        <f>AGD32</f>
        <v/>
      </c>
      <c r="AGF32">
        <f>AGE32</f>
        <v/>
      </c>
      <c r="AGG32">
        <f>AGF32</f>
        <v/>
      </c>
      <c r="AGH32">
        <f>AGG32</f>
        <v/>
      </c>
      <c r="AGI32">
        <f>AGH32</f>
        <v/>
      </c>
      <c r="AGJ32">
        <f>AGI32</f>
        <v/>
      </c>
      <c r="AGK32">
        <f>AGJ32</f>
        <v/>
      </c>
      <c r="AGL32">
        <f>AGK32</f>
        <v/>
      </c>
      <c r="AGM32">
        <f>AGL32</f>
        <v/>
      </c>
      <c r="AGN32">
        <f>AGM32</f>
        <v/>
      </c>
      <c r="AGO32">
        <f>AGN32</f>
        <v/>
      </c>
      <c r="AGP32">
        <f>AGO32</f>
        <v/>
      </c>
      <c r="AGQ32">
        <f>AGP32</f>
        <v/>
      </c>
      <c r="AGR32">
        <f>AGQ32</f>
        <v/>
      </c>
      <c r="AGS32">
        <f>AGR32</f>
        <v/>
      </c>
      <c r="AGT32">
        <f>AGS32</f>
        <v/>
      </c>
      <c r="AGU32">
        <f>AGT32</f>
        <v/>
      </c>
      <c r="AGV32">
        <f>AGU32</f>
        <v/>
      </c>
      <c r="AGW32">
        <f>AGV32</f>
        <v/>
      </c>
      <c r="AGX32">
        <f>AGW32</f>
        <v/>
      </c>
      <c r="AGY32" s="130" t="n"/>
      <c r="AGZ32">
        <f>AGX32</f>
        <v/>
      </c>
      <c r="AHA32">
        <f>AGZ32</f>
        <v/>
      </c>
      <c r="AHB32">
        <f>AHA32</f>
        <v/>
      </c>
      <c r="AHC32">
        <f>AHB32</f>
        <v/>
      </c>
      <c r="AHD32">
        <f>AHC32</f>
        <v/>
      </c>
      <c r="AHE32">
        <f>AHD32</f>
        <v/>
      </c>
      <c r="AHF32">
        <f>AHE32</f>
        <v/>
      </c>
      <c r="AHG32">
        <f>AHF32</f>
        <v/>
      </c>
      <c r="AHH32">
        <f>AHG32</f>
        <v/>
      </c>
      <c r="AHI32">
        <f>AHH32</f>
        <v/>
      </c>
      <c r="AHJ32">
        <f>AHI32</f>
        <v/>
      </c>
      <c r="AHK32">
        <f>AHJ32</f>
        <v/>
      </c>
      <c r="AHL32">
        <f>AHK32</f>
        <v/>
      </c>
      <c r="AHM32">
        <f>AHL32</f>
        <v/>
      </c>
      <c r="AHN32">
        <f>AHM32</f>
        <v/>
      </c>
      <c r="AHO32">
        <f>AHN32</f>
        <v/>
      </c>
      <c r="AHP32">
        <f>AHO32</f>
        <v/>
      </c>
      <c r="AHQ32">
        <f>AHP32</f>
        <v/>
      </c>
      <c r="AHR32">
        <f>AHQ32</f>
        <v/>
      </c>
      <c r="AHS32">
        <f>AHR32</f>
        <v/>
      </c>
      <c r="AHT32">
        <f>AHS32</f>
        <v/>
      </c>
      <c r="AHU32">
        <f>AHT32</f>
        <v/>
      </c>
      <c r="AHV32">
        <f>AHU32</f>
        <v/>
      </c>
      <c r="AHW32">
        <f>AHV32</f>
        <v/>
      </c>
      <c r="AHX32">
        <f>AHW32</f>
        <v/>
      </c>
      <c r="AHY32">
        <f>AHX32</f>
        <v/>
      </c>
      <c r="AHZ32">
        <f>AHY32</f>
        <v/>
      </c>
      <c r="AIA32">
        <f>AHZ32</f>
        <v/>
      </c>
      <c r="AIB32">
        <f>AIA32</f>
        <v/>
      </c>
      <c r="AIC32">
        <f>AIB32</f>
        <v/>
      </c>
      <c r="AID32">
        <f>AIC32</f>
        <v/>
      </c>
      <c r="AIE32" s="130" t="n"/>
      <c r="AIF32">
        <f>AID32</f>
        <v/>
      </c>
      <c r="AIG32">
        <f>AIF32</f>
        <v/>
      </c>
      <c r="AIH32">
        <f>AIG32</f>
        <v/>
      </c>
      <c r="AII32">
        <f>AIH32</f>
        <v/>
      </c>
      <c r="AIJ32">
        <f>AII32</f>
        <v/>
      </c>
      <c r="AIK32">
        <f>AIJ32</f>
        <v/>
      </c>
      <c r="AIL32">
        <f>AIK32</f>
        <v/>
      </c>
      <c r="AIM32">
        <f>AIL32</f>
        <v/>
      </c>
      <c r="AIN32">
        <f>AIM32</f>
        <v/>
      </c>
      <c r="AIO32">
        <f>AIN32</f>
        <v/>
      </c>
      <c r="AIP32">
        <f>AIO32</f>
        <v/>
      </c>
      <c r="AIQ32">
        <f>AIP32</f>
        <v/>
      </c>
      <c r="AIR32">
        <f>AIQ32</f>
        <v/>
      </c>
      <c r="AIS32">
        <f>AIR32</f>
        <v/>
      </c>
      <c r="AIT32">
        <f>AIS32</f>
        <v/>
      </c>
      <c r="AIU32">
        <f>AIT32</f>
        <v/>
      </c>
      <c r="AIV32">
        <f>AIU32</f>
        <v/>
      </c>
      <c r="AIW32">
        <f>AIV32</f>
        <v/>
      </c>
      <c r="AIX32">
        <f>AIW32</f>
        <v/>
      </c>
      <c r="AIY32">
        <f>AIX32</f>
        <v/>
      </c>
      <c r="AIZ32">
        <f>AIY32</f>
        <v/>
      </c>
      <c r="AJA32">
        <f>AIZ32</f>
        <v/>
      </c>
      <c r="AJB32">
        <f>AJA32</f>
        <v/>
      </c>
      <c r="AJC32">
        <f>AJB32</f>
        <v/>
      </c>
      <c r="AJD32">
        <f>AJC32</f>
        <v/>
      </c>
      <c r="AJE32">
        <f>AJD32</f>
        <v/>
      </c>
      <c r="AJF32">
        <f>AJE32</f>
        <v/>
      </c>
      <c r="AJG32">
        <f>AJF32</f>
        <v/>
      </c>
      <c r="AJH32">
        <f>AJG32</f>
        <v/>
      </c>
      <c r="AJI32">
        <f>AJH32</f>
        <v/>
      </c>
      <c r="AJJ32">
        <f>AJI32</f>
        <v/>
      </c>
      <c r="AJK32" s="145" t="n"/>
      <c r="AJL32">
        <f>AJJ32</f>
        <v/>
      </c>
      <c r="AJM32">
        <f>AJL32</f>
        <v/>
      </c>
      <c r="AJN32">
        <f>AJM32</f>
        <v/>
      </c>
      <c r="AJO32">
        <f>AJN32</f>
        <v/>
      </c>
      <c r="AJP32">
        <f>AJO32</f>
        <v/>
      </c>
      <c r="AJQ32">
        <f>AJP32</f>
        <v/>
      </c>
      <c r="AJR32">
        <f>AJQ32</f>
        <v/>
      </c>
      <c r="AJS32">
        <f>AJR32</f>
        <v/>
      </c>
      <c r="AJT32">
        <f>AJS32</f>
        <v/>
      </c>
      <c r="AJU32">
        <f>AJT32</f>
        <v/>
      </c>
      <c r="AJV32">
        <f>AJU32</f>
        <v/>
      </c>
      <c r="AJW32">
        <f>AJV32</f>
        <v/>
      </c>
      <c r="AJX32">
        <f>AJW32</f>
        <v/>
      </c>
      <c r="AJY32">
        <f>AJX32</f>
        <v/>
      </c>
      <c r="AJZ32">
        <f>AJY32</f>
        <v/>
      </c>
      <c r="AKA32">
        <f>AJZ32</f>
        <v/>
      </c>
      <c r="AKB32">
        <f>AKA32</f>
        <v/>
      </c>
      <c r="AKC32">
        <f>AKB32</f>
        <v/>
      </c>
      <c r="AKD32">
        <f>AKC32</f>
        <v/>
      </c>
      <c r="AKE32">
        <f>AKD32</f>
        <v/>
      </c>
      <c r="AKF32">
        <f>AKE32</f>
        <v/>
      </c>
      <c r="AKG32">
        <f>AKF32</f>
        <v/>
      </c>
      <c r="AKH32">
        <f>AKG32</f>
        <v/>
      </c>
      <c r="AKI32">
        <f>AKH32</f>
        <v/>
      </c>
      <c r="AKJ32">
        <f>AKI32</f>
        <v/>
      </c>
      <c r="AKK32">
        <f>AKJ32</f>
        <v/>
      </c>
      <c r="AKL32">
        <f>AKK32</f>
        <v/>
      </c>
      <c r="AKM32">
        <f>AKL32</f>
        <v/>
      </c>
      <c r="AKN32" s="145" t="n"/>
      <c r="AKO32">
        <f>AKM32</f>
        <v/>
      </c>
      <c r="AKP32">
        <f>AKO32</f>
        <v/>
      </c>
      <c r="AKQ32">
        <f>AKP32</f>
        <v/>
      </c>
      <c r="AKR32">
        <f>AKQ32</f>
        <v/>
      </c>
      <c r="AKS32">
        <f>AKR32</f>
        <v/>
      </c>
      <c r="AKT32">
        <f>AKS32</f>
        <v/>
      </c>
      <c r="AKU32">
        <f>AKT32</f>
        <v/>
      </c>
      <c r="AKV32">
        <f>AKU32</f>
        <v/>
      </c>
      <c r="AKW32">
        <f>AKV32</f>
        <v/>
      </c>
      <c r="AKX32">
        <f>AKW32</f>
        <v/>
      </c>
      <c r="AKY32">
        <f>AKX32</f>
        <v/>
      </c>
      <c r="AKZ32">
        <f>AKY32</f>
        <v/>
      </c>
      <c r="ALA32">
        <f>AKZ32</f>
        <v/>
      </c>
      <c r="ALB32">
        <f>ALA32</f>
        <v/>
      </c>
      <c r="ALC32">
        <f>ALB32</f>
        <v/>
      </c>
      <c r="ALD32">
        <f>ALC32</f>
        <v/>
      </c>
      <c r="ALE32">
        <f>ALD32</f>
        <v/>
      </c>
      <c r="ALF32">
        <f>ALE32</f>
        <v/>
      </c>
      <c r="ALG32">
        <f>ALF32</f>
        <v/>
      </c>
      <c r="ALH32">
        <f>ALG32</f>
        <v/>
      </c>
      <c r="ALI32">
        <f>ALH32</f>
        <v/>
      </c>
      <c r="ALJ32">
        <f>ALI32</f>
        <v/>
      </c>
      <c r="ALK32">
        <f>ALJ32</f>
        <v/>
      </c>
      <c r="ALL32">
        <f>ALK32</f>
        <v/>
      </c>
      <c r="ALM32">
        <f>ALL32</f>
        <v/>
      </c>
      <c r="ALN32">
        <f>ALM32</f>
        <v/>
      </c>
      <c r="ALO32">
        <f>ALN32</f>
        <v/>
      </c>
      <c r="ALP32">
        <f>ALO32</f>
        <v/>
      </c>
      <c r="ALQ32">
        <f>ALP32</f>
        <v/>
      </c>
      <c r="ALR32">
        <f>ALQ32</f>
        <v/>
      </c>
      <c r="ALS32">
        <f>ALR32</f>
        <v/>
      </c>
      <c r="ALT32" s="130" t="n"/>
      <c r="ALU32">
        <f>ALS32</f>
        <v/>
      </c>
      <c r="ALV32">
        <f>ALU32</f>
        <v/>
      </c>
      <c r="ALW32">
        <f>ALV32</f>
        <v/>
      </c>
      <c r="ALX32">
        <f>ALW32</f>
        <v/>
      </c>
      <c r="ALY32">
        <f>ALX32</f>
        <v/>
      </c>
      <c r="ALZ32">
        <f>ALY32</f>
        <v/>
      </c>
      <c r="AMA32">
        <f>ALZ32</f>
        <v/>
      </c>
      <c r="AMB32">
        <f>AMA32</f>
        <v/>
      </c>
      <c r="AMC32">
        <f>AMB32</f>
        <v/>
      </c>
      <c r="AMD32">
        <f>AMC32</f>
        <v/>
      </c>
      <c r="AME32">
        <f>AMD32</f>
        <v/>
      </c>
      <c r="AMF32">
        <f>AME32</f>
        <v/>
      </c>
      <c r="AMG32">
        <f>AMF32</f>
        <v/>
      </c>
      <c r="AMH32">
        <f>AMG32</f>
        <v/>
      </c>
      <c r="AMI32">
        <f>AMH32</f>
        <v/>
      </c>
      <c r="AMJ32">
        <f>AMI32</f>
        <v/>
      </c>
      <c r="AMK32">
        <f>AMJ32</f>
        <v/>
      </c>
      <c r="AML32">
        <f>AMK32</f>
        <v/>
      </c>
      <c r="AMM32">
        <f>AML32</f>
        <v/>
      </c>
      <c r="AMN32">
        <f>AMM32</f>
        <v/>
      </c>
      <c r="AMO32">
        <f>AMN32</f>
        <v/>
      </c>
      <c r="AMP32">
        <f>AMO32</f>
        <v/>
      </c>
      <c r="AMQ32">
        <f>AMP32</f>
        <v/>
      </c>
      <c r="AMR32">
        <f>AMQ32</f>
        <v/>
      </c>
      <c r="AMS32">
        <f>AMR32</f>
        <v/>
      </c>
      <c r="AMT32">
        <f>AMS32</f>
        <v/>
      </c>
      <c r="AMU32">
        <f>AMT32</f>
        <v/>
      </c>
      <c r="AMV32">
        <f>AMU32</f>
        <v/>
      </c>
      <c r="AMW32">
        <f>AMV32</f>
        <v/>
      </c>
      <c r="AMX32">
        <f>AMW32</f>
        <v/>
      </c>
      <c r="AMY32" s="130" t="n"/>
      <c r="AMZ32">
        <f>AMX32</f>
        <v/>
      </c>
      <c r="ANA32">
        <f>AMZ32</f>
        <v/>
      </c>
      <c r="ANB32">
        <f>ANA32</f>
        <v/>
      </c>
      <c r="ANC32">
        <f>ANB32</f>
        <v/>
      </c>
      <c r="AND32">
        <f>ANC32</f>
        <v/>
      </c>
      <c r="ANE32">
        <f>AND32</f>
        <v/>
      </c>
      <c r="ANF32">
        <f>ANE32</f>
        <v/>
      </c>
      <c r="ANG32">
        <f>ANF32</f>
        <v/>
      </c>
      <c r="ANH32">
        <f>ANG32</f>
        <v/>
      </c>
      <c r="ANI32">
        <f>ANH32</f>
        <v/>
      </c>
      <c r="ANJ32">
        <f>ANI32</f>
        <v/>
      </c>
      <c r="ANK32">
        <f>ANJ32</f>
        <v/>
      </c>
      <c r="ANL32">
        <f>ANK32</f>
        <v/>
      </c>
      <c r="ANM32">
        <f>ANL32</f>
        <v/>
      </c>
      <c r="ANN32">
        <f>ANM32</f>
        <v/>
      </c>
      <c r="ANO32">
        <f>ANN32</f>
        <v/>
      </c>
      <c r="ANP32">
        <f>ANO32</f>
        <v/>
      </c>
      <c r="ANQ32">
        <f>ANP32</f>
        <v/>
      </c>
      <c r="ANR32">
        <f>ANQ32</f>
        <v/>
      </c>
      <c r="ANS32">
        <f>ANR32</f>
        <v/>
      </c>
      <c r="ANT32">
        <f>ANS32</f>
        <v/>
      </c>
      <c r="ANU32">
        <f>ANT32</f>
        <v/>
      </c>
      <c r="ANV32">
        <f>ANU32</f>
        <v/>
      </c>
      <c r="ANW32">
        <f>ANV32</f>
        <v/>
      </c>
      <c r="ANX32">
        <f>ANW32</f>
        <v/>
      </c>
      <c r="ANY32">
        <f>ANX32</f>
        <v/>
      </c>
      <c r="ANZ32">
        <f>ANY32</f>
        <v/>
      </c>
      <c r="AOA32">
        <f>ANZ32</f>
        <v/>
      </c>
      <c r="AOB32">
        <f>AOA32</f>
        <v/>
      </c>
      <c r="AOC32">
        <f>AOB32</f>
        <v/>
      </c>
    </row>
    <row r="33">
      <c r="B33" t="inlineStr">
        <is>
          <t>Debit note+reversal</t>
        </is>
      </c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98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  <c r="BC33" s="82" t="n"/>
      <c r="BD33" s="82" t="n"/>
      <c r="BE33" s="82" t="n"/>
      <c r="BF33" s="82" t="n"/>
      <c r="BG33" s="82" t="n"/>
      <c r="BH33" s="82" t="n"/>
      <c r="BI33" s="82" t="n"/>
      <c r="BJ33" s="82" t="n"/>
      <c r="BK33" s="82" t="n"/>
      <c r="BL33" s="82" t="n"/>
      <c r="BM33" s="106" t="n"/>
      <c r="BN33" s="82" t="n"/>
      <c r="BO33" s="82" t="n"/>
      <c r="BP33" s="82" t="n"/>
      <c r="BQ33" s="82" t="n"/>
      <c r="BR33" s="82" t="n"/>
      <c r="BS33" s="82" t="n"/>
      <c r="BT33" s="82" t="n"/>
      <c r="BU33" s="82" t="n"/>
      <c r="BV33" s="82" t="n"/>
      <c r="BW33" s="82" t="n"/>
      <c r="BX33" s="82" t="n"/>
      <c r="BY33" s="82" t="n"/>
      <c r="BZ33" s="82" t="n"/>
      <c r="CA33" s="82" t="n"/>
      <c r="CB33" s="82" t="n"/>
      <c r="CC33" s="82" t="n"/>
      <c r="CD33" s="82" t="n"/>
      <c r="CE33" s="82" t="n"/>
      <c r="CF33" s="82" t="n"/>
      <c r="CG33" s="82" t="n"/>
      <c r="CH33" s="82" t="n"/>
      <c r="CI33" s="82" t="n"/>
      <c r="CJ33" s="82" t="n"/>
      <c r="CK33" s="82" t="n"/>
      <c r="CL33" s="82" t="n"/>
      <c r="CM33" s="82" t="n"/>
      <c r="CN33" s="82" t="n"/>
      <c r="CO33" s="82" t="n"/>
      <c r="CP33" s="82" t="n"/>
      <c r="CQ33" s="82" t="n"/>
      <c r="CR33" s="82" t="n"/>
      <c r="CT33" s="82" t="n"/>
      <c r="CU33" s="82" t="n"/>
      <c r="CV33" s="82" t="n"/>
      <c r="CW33" s="82" t="n"/>
      <c r="CX33" s="82" t="n"/>
      <c r="CY33" s="82" t="n"/>
      <c r="CZ33" s="82" t="n"/>
      <c r="DA33" s="82" t="n"/>
      <c r="DB33" s="82" t="n"/>
      <c r="DC33" s="82" t="n"/>
      <c r="DD33" s="82" t="n"/>
      <c r="DE33" s="82" t="n"/>
      <c r="DF33" s="82" t="n"/>
      <c r="DG33" s="82" t="n"/>
      <c r="DH33" s="82" t="n"/>
      <c r="DI33" s="82" t="n"/>
      <c r="DJ33" s="82" t="n"/>
      <c r="DK33" s="82" t="n"/>
      <c r="DL33" s="82" t="n"/>
      <c r="DM33" s="82" t="n"/>
      <c r="DN33" s="82" t="n"/>
      <c r="DO33" s="82" t="n"/>
      <c r="DP33" s="82" t="n"/>
      <c r="DQ33" s="82" t="n"/>
      <c r="DR33" s="82" t="n"/>
      <c r="DS33" s="82" t="n"/>
      <c r="DT33" s="82" t="n"/>
      <c r="DU33" s="82" t="n"/>
      <c r="DV33" s="82" t="n"/>
      <c r="DW33" s="82" t="n"/>
      <c r="DX33" s="117" t="n"/>
      <c r="DY33" s="82" t="n"/>
      <c r="DZ33" s="82" t="n"/>
      <c r="EA33" s="82" t="n"/>
      <c r="EB33" s="82" t="n"/>
      <c r="EC33" s="82" t="n"/>
      <c r="ED33" s="82" t="n"/>
      <c r="EE33" s="82" t="n"/>
      <c r="EF33" s="82" t="n"/>
      <c r="EG33" s="82" t="n"/>
      <c r="EH33" s="82" t="n"/>
      <c r="EI33" s="82" t="n"/>
      <c r="EJ33" s="82" t="n"/>
      <c r="EK33" s="82" t="n"/>
      <c r="EL33" s="82" t="n"/>
      <c r="EM33" s="82" t="n"/>
      <c r="EN33" s="82" t="n"/>
      <c r="EO33" s="82" t="n"/>
      <c r="EP33" s="82" t="n"/>
      <c r="EQ33" s="82" t="n"/>
      <c r="ER33" s="82" t="n"/>
      <c r="ES33" s="82" t="n"/>
      <c r="ET33" s="82" t="n"/>
      <c r="EU33" s="82" t="n"/>
      <c r="EV33" s="82" t="n"/>
      <c r="EW33" s="82" t="n"/>
      <c r="EX33" s="82" t="n"/>
      <c r="EY33" s="82" t="n"/>
      <c r="EZ33" s="82" t="n"/>
      <c r="FA33" s="82" t="n"/>
      <c r="FB33" s="82" t="n"/>
      <c r="FC33" s="82" t="n"/>
      <c r="FD33" s="126" t="n"/>
      <c r="FE33" s="82" t="n"/>
      <c r="FF33" s="82" t="n"/>
      <c r="FG33" s="82" t="n"/>
      <c r="FH33" s="82" t="n"/>
      <c r="FI33" s="82" t="n"/>
      <c r="FJ33" s="82" t="n"/>
      <c r="FK33" s="82" t="n"/>
      <c r="FL33" s="82" t="n"/>
      <c r="FM33" s="82" t="n"/>
      <c r="FN33" s="82" t="n"/>
      <c r="FO33" s="82" t="n"/>
      <c r="FP33" s="82" t="n"/>
      <c r="FQ33" s="82" t="n"/>
      <c r="FR33" s="82" t="n"/>
      <c r="FS33" s="82" t="n"/>
      <c r="FT33" s="82" t="n"/>
      <c r="FU33" s="82" t="n"/>
      <c r="FV33" s="82" t="n"/>
      <c r="FW33" s="82" t="n"/>
      <c r="FX33" s="82" t="n"/>
      <c r="FY33" s="82" t="n"/>
      <c r="FZ33" s="82" t="n"/>
      <c r="GA33" s="82" t="n"/>
      <c r="GB33" s="82" t="n"/>
      <c r="GC33" s="82" t="n"/>
      <c r="GD33" s="82" t="n"/>
      <c r="GE33" s="82" t="n"/>
      <c r="GF33" s="82" t="n"/>
      <c r="GG33" s="82" t="n"/>
      <c r="GH33" s="82" t="n"/>
      <c r="GI33" s="82" t="n"/>
      <c r="GJ33" s="130" t="n"/>
      <c r="GU33" t="n">
        <v>2206191</v>
      </c>
      <c r="GV33">
        <f>GU33</f>
        <v/>
      </c>
      <c r="GW33">
        <f>GV33</f>
        <v/>
      </c>
      <c r="GX33">
        <f>GW33</f>
        <v/>
      </c>
      <c r="GY33">
        <f>GX33</f>
        <v/>
      </c>
      <c r="GZ33">
        <f>GY33</f>
        <v/>
      </c>
      <c r="HA33">
        <f>GZ33</f>
        <v/>
      </c>
      <c r="HB33">
        <f>HA33</f>
        <v/>
      </c>
      <c r="HC33">
        <f>HB33</f>
        <v/>
      </c>
      <c r="HD33">
        <f>HC33</f>
        <v/>
      </c>
      <c r="HE33">
        <f>HD33</f>
        <v/>
      </c>
      <c r="HF33">
        <f>HE33</f>
        <v/>
      </c>
      <c r="HG33">
        <f>HF33</f>
        <v/>
      </c>
      <c r="HH33">
        <f>HG33</f>
        <v/>
      </c>
      <c r="HI33">
        <f>HH33</f>
        <v/>
      </c>
      <c r="HJ33">
        <f>HI33</f>
        <v/>
      </c>
      <c r="HK33">
        <f>HJ33</f>
        <v/>
      </c>
      <c r="HL33">
        <f>HK33</f>
        <v/>
      </c>
      <c r="HM33">
        <f>HL33</f>
        <v/>
      </c>
      <c r="HN33" s="130" t="n"/>
      <c r="HO33">
        <f>HM33</f>
        <v/>
      </c>
      <c r="HP33">
        <f>HO33</f>
        <v/>
      </c>
      <c r="HQ33">
        <f>HO33</f>
        <v/>
      </c>
      <c r="HR33">
        <f>HP33</f>
        <v/>
      </c>
      <c r="HS33">
        <f>HQ33</f>
        <v/>
      </c>
      <c r="HT33">
        <f>HR33</f>
        <v/>
      </c>
      <c r="HU33" t="n">
        <v>0</v>
      </c>
      <c r="HV33" t="n">
        <v>0</v>
      </c>
      <c r="HW33">
        <f>HU33</f>
        <v/>
      </c>
      <c r="HX33">
        <f>HV33</f>
        <v/>
      </c>
      <c r="HY33">
        <f>HW33</f>
        <v/>
      </c>
      <c r="HZ33">
        <f>HX33</f>
        <v/>
      </c>
      <c r="IA33">
        <f>HY33</f>
        <v/>
      </c>
      <c r="IB33">
        <f>HZ33</f>
        <v/>
      </c>
      <c r="IC33">
        <f>IA33</f>
        <v/>
      </c>
      <c r="ID33">
        <f>IB33</f>
        <v/>
      </c>
      <c r="IE33">
        <f>IC33</f>
        <v/>
      </c>
      <c r="IF33">
        <f>ID33</f>
        <v/>
      </c>
      <c r="IG33">
        <f>IE33</f>
        <v/>
      </c>
      <c r="IH33">
        <f>IF33</f>
        <v/>
      </c>
      <c r="II33">
        <f>IG33</f>
        <v/>
      </c>
      <c r="IJ33">
        <f>IH33</f>
        <v/>
      </c>
      <c r="IK33">
        <f>II33</f>
        <v/>
      </c>
      <c r="IL33">
        <f>IJ33</f>
        <v/>
      </c>
      <c r="IM33">
        <f>IK33</f>
        <v/>
      </c>
      <c r="IN33">
        <f>IL33</f>
        <v/>
      </c>
      <c r="IO33">
        <f>IM33</f>
        <v/>
      </c>
      <c r="IP33">
        <f>IN33</f>
        <v/>
      </c>
      <c r="IQ33">
        <f>IO33</f>
        <v/>
      </c>
      <c r="IR33">
        <f>IP33</f>
        <v/>
      </c>
      <c r="IS33">
        <f>IQ33</f>
        <v/>
      </c>
      <c r="IT33" s="130" t="n"/>
      <c r="IU33">
        <f>IS33</f>
        <v/>
      </c>
      <c r="IV33">
        <f>IU33</f>
        <v/>
      </c>
      <c r="IW33">
        <f>IV33</f>
        <v/>
      </c>
      <c r="IX33">
        <f>IW33</f>
        <v/>
      </c>
      <c r="IY33">
        <f>IX33</f>
        <v/>
      </c>
      <c r="IZ33">
        <f>IY33</f>
        <v/>
      </c>
      <c r="JA33">
        <f>IZ33</f>
        <v/>
      </c>
      <c r="JB33">
        <f>JA33</f>
        <v/>
      </c>
      <c r="JC33">
        <f>JB33</f>
        <v/>
      </c>
      <c r="JD33">
        <f>JC33</f>
        <v/>
      </c>
      <c r="JE33">
        <f>JD33</f>
        <v/>
      </c>
      <c r="JF33">
        <f>JE33</f>
        <v/>
      </c>
      <c r="JG33">
        <f>JF33</f>
        <v/>
      </c>
      <c r="JH33">
        <f>JG33</f>
        <v/>
      </c>
      <c r="JI33">
        <f>JH33</f>
        <v/>
      </c>
      <c r="JJ33">
        <f>JI33</f>
        <v/>
      </c>
      <c r="JK33">
        <f>JJ33</f>
        <v/>
      </c>
      <c r="JL33">
        <f>JK33</f>
        <v/>
      </c>
      <c r="JM33">
        <f>JL33</f>
        <v/>
      </c>
      <c r="JN33">
        <f>JM33</f>
        <v/>
      </c>
      <c r="JO33">
        <f>JN33</f>
        <v/>
      </c>
      <c r="JP33">
        <f>JO33</f>
        <v/>
      </c>
      <c r="JQ33">
        <f>JP33</f>
        <v/>
      </c>
      <c r="JR33">
        <f>JQ33</f>
        <v/>
      </c>
      <c r="JS33">
        <f>JR33</f>
        <v/>
      </c>
      <c r="JT33">
        <f>JS33</f>
        <v/>
      </c>
      <c r="JU33">
        <f>JT33</f>
        <v/>
      </c>
      <c r="JV33">
        <f>JU33</f>
        <v/>
      </c>
      <c r="JW33">
        <f>JV33</f>
        <v/>
      </c>
      <c r="JX33">
        <f>JW33</f>
        <v/>
      </c>
      <c r="JY33" s="130" t="n"/>
      <c r="JZ33">
        <f>JY33</f>
        <v/>
      </c>
      <c r="KA33">
        <f>JZ33</f>
        <v/>
      </c>
      <c r="KB33">
        <f>KA33</f>
        <v/>
      </c>
      <c r="KC33">
        <f>KB33</f>
        <v/>
      </c>
      <c r="KD33">
        <f>KC33</f>
        <v/>
      </c>
      <c r="KE33">
        <f>KD33</f>
        <v/>
      </c>
      <c r="KF33">
        <f>KE33</f>
        <v/>
      </c>
      <c r="KG33">
        <f>KF33</f>
        <v/>
      </c>
      <c r="KI33">
        <f>KH33</f>
        <v/>
      </c>
      <c r="KJ33">
        <f>KI33</f>
        <v/>
      </c>
      <c r="KK33">
        <f>KJ33</f>
        <v/>
      </c>
      <c r="KL33">
        <f>KK33</f>
        <v/>
      </c>
      <c r="KM33">
        <f>KL33</f>
        <v/>
      </c>
      <c r="KN33">
        <f>KM33</f>
        <v/>
      </c>
      <c r="KO33">
        <f>KN33</f>
        <v/>
      </c>
      <c r="KP33">
        <f>KO33</f>
        <v/>
      </c>
      <c r="KQ33">
        <f>KP33</f>
        <v/>
      </c>
      <c r="KR33">
        <f>KQ33</f>
        <v/>
      </c>
      <c r="KS33">
        <f>KR33</f>
        <v/>
      </c>
      <c r="KT33">
        <f>KS33</f>
        <v/>
      </c>
      <c r="KU33" s="105" t="n">
        <v>1760400</v>
      </c>
      <c r="KV33" s="105">
        <f>KU33+1000*4890</f>
        <v/>
      </c>
      <c r="KW33">
        <f>KV33</f>
        <v/>
      </c>
      <c r="KX33">
        <f>KW33</f>
        <v/>
      </c>
      <c r="KY33">
        <f>KX33</f>
        <v/>
      </c>
      <c r="KZ33">
        <f>KY33</f>
        <v/>
      </c>
      <c r="LA33">
        <f>KZ33</f>
        <v/>
      </c>
      <c r="LB33">
        <f>LA33</f>
        <v/>
      </c>
      <c r="LC33">
        <f>LB33</f>
        <v/>
      </c>
      <c r="LD33">
        <f>LC33</f>
        <v/>
      </c>
      <c r="LE33" s="130" t="n"/>
      <c r="LF33">
        <f>LD33</f>
        <v/>
      </c>
      <c r="LG33">
        <f>LF33</f>
        <v/>
      </c>
      <c r="LH33">
        <f>LG33</f>
        <v/>
      </c>
      <c r="LI33">
        <f>LH33</f>
        <v/>
      </c>
      <c r="LJ33">
        <f>LI33</f>
        <v/>
      </c>
      <c r="LK33">
        <f>LJ33</f>
        <v/>
      </c>
      <c r="LL33" t="n">
        <v>0</v>
      </c>
      <c r="LM33">
        <f>LL33</f>
        <v/>
      </c>
      <c r="LN33">
        <f>LM33</f>
        <v/>
      </c>
      <c r="LO33">
        <f>LN33</f>
        <v/>
      </c>
      <c r="LP33">
        <f>LO33</f>
        <v/>
      </c>
      <c r="LQ33">
        <f>LP33</f>
        <v/>
      </c>
      <c r="LR33">
        <f>LQ33</f>
        <v/>
      </c>
      <c r="LS33">
        <f>LR33</f>
        <v/>
      </c>
      <c r="LT33">
        <f>LS33</f>
        <v/>
      </c>
      <c r="LU33">
        <f>LT33</f>
        <v/>
      </c>
      <c r="LV33">
        <f>LU33</f>
        <v/>
      </c>
      <c r="LW33">
        <f>LV33</f>
        <v/>
      </c>
      <c r="LX33">
        <f>LW33</f>
        <v/>
      </c>
      <c r="LY33">
        <f>LX33</f>
        <v/>
      </c>
      <c r="LZ33">
        <f>LY33</f>
        <v/>
      </c>
      <c r="MA33">
        <f>LZ33</f>
        <v/>
      </c>
      <c r="MB33">
        <f>MA33</f>
        <v/>
      </c>
      <c r="MC33">
        <f>MB33</f>
        <v/>
      </c>
      <c r="MD33">
        <f>MC33</f>
        <v/>
      </c>
      <c r="ME33">
        <f>MD33</f>
        <v/>
      </c>
      <c r="MF33">
        <f>ME33</f>
        <v/>
      </c>
      <c r="MG33">
        <f>MF33</f>
        <v/>
      </c>
      <c r="MH33">
        <f>MG33</f>
        <v/>
      </c>
      <c r="MI33">
        <f>MH33</f>
        <v/>
      </c>
      <c r="MJ33" s="130" t="n"/>
      <c r="MK33">
        <f>MJ33</f>
        <v/>
      </c>
      <c r="ML33">
        <f>MK33</f>
        <v/>
      </c>
      <c r="MM33">
        <f>ML33</f>
        <v/>
      </c>
      <c r="MN33">
        <f>MM33</f>
        <v/>
      </c>
      <c r="MO33">
        <f>MN33</f>
        <v/>
      </c>
      <c r="MP33">
        <f>MO33</f>
        <v/>
      </c>
      <c r="MQ33">
        <f>MP33</f>
        <v/>
      </c>
      <c r="MR33">
        <f>MQ33</f>
        <v/>
      </c>
      <c r="MS33">
        <f>MR33</f>
        <v/>
      </c>
      <c r="MT33">
        <f>MS33</f>
        <v/>
      </c>
      <c r="MU33">
        <f>MT33</f>
        <v/>
      </c>
      <c r="MV33">
        <f>MU33</f>
        <v/>
      </c>
      <c r="MW33">
        <f>MV33</f>
        <v/>
      </c>
      <c r="MX33">
        <f>MW33</f>
        <v/>
      </c>
      <c r="MY33">
        <f>MX33</f>
        <v/>
      </c>
      <c r="MZ33">
        <f>MY33</f>
        <v/>
      </c>
      <c r="NA33">
        <f>MZ33</f>
        <v/>
      </c>
      <c r="NB33">
        <f>NA33</f>
        <v/>
      </c>
      <c r="NC33">
        <f>NB33</f>
        <v/>
      </c>
      <c r="ND33">
        <f>NC33</f>
        <v/>
      </c>
      <c r="NE33">
        <f>ND33</f>
        <v/>
      </c>
      <c r="NF33">
        <f>NE33</f>
        <v/>
      </c>
      <c r="NG33">
        <f>NF33</f>
        <v/>
      </c>
      <c r="NH33">
        <f>NG33</f>
        <v/>
      </c>
      <c r="NI33">
        <f>NH33</f>
        <v/>
      </c>
      <c r="NJ33">
        <f>NI33</f>
        <v/>
      </c>
      <c r="NK33">
        <f>NJ33</f>
        <v/>
      </c>
      <c r="NL33">
        <f>NK33</f>
        <v/>
      </c>
      <c r="NM33">
        <f>NL33</f>
        <v/>
      </c>
      <c r="NN33">
        <f>NM33</f>
        <v/>
      </c>
      <c r="NO33">
        <f>NN33</f>
        <v/>
      </c>
      <c r="NP33" s="130" t="n"/>
      <c r="NQ33">
        <f>NP33</f>
        <v/>
      </c>
      <c r="NR33">
        <f>NQ33</f>
        <v/>
      </c>
      <c r="NS33">
        <f>NR33</f>
        <v/>
      </c>
      <c r="NT33">
        <f>NS33</f>
        <v/>
      </c>
      <c r="NU33">
        <f>NT33</f>
        <v/>
      </c>
      <c r="NV33">
        <f>NU33</f>
        <v/>
      </c>
      <c r="NW33">
        <f>NV33</f>
        <v/>
      </c>
      <c r="NX33">
        <f>NW33</f>
        <v/>
      </c>
      <c r="NY33">
        <f>NX33</f>
        <v/>
      </c>
      <c r="NZ33">
        <f>NY33</f>
        <v/>
      </c>
      <c r="OA33">
        <f>NZ33</f>
        <v/>
      </c>
      <c r="OB33">
        <f>OA33</f>
        <v/>
      </c>
      <c r="OC33">
        <f>OB33</f>
        <v/>
      </c>
      <c r="OD33">
        <f>OC33</f>
        <v/>
      </c>
      <c r="OE33">
        <f>OD33</f>
        <v/>
      </c>
      <c r="OF33">
        <f>OE33</f>
        <v/>
      </c>
      <c r="OG33">
        <f>OF33</f>
        <v/>
      </c>
      <c r="OH33">
        <f>OG33</f>
        <v/>
      </c>
      <c r="OI33">
        <f>OH33</f>
        <v/>
      </c>
      <c r="OJ33">
        <f>OI33</f>
        <v/>
      </c>
      <c r="OK33">
        <f>OJ33</f>
        <v/>
      </c>
      <c r="OL33">
        <f>OK33</f>
        <v/>
      </c>
      <c r="OM33">
        <f>OL33</f>
        <v/>
      </c>
      <c r="ON33">
        <f>OM33</f>
        <v/>
      </c>
      <c r="OO33">
        <f>ON33</f>
        <v/>
      </c>
      <c r="OP33">
        <f>OO33</f>
        <v/>
      </c>
      <c r="OQ33">
        <f>OP33</f>
        <v/>
      </c>
      <c r="OR33">
        <f>OQ33</f>
        <v/>
      </c>
      <c r="OS33">
        <f>OR33</f>
        <v/>
      </c>
      <c r="OT33">
        <f>OS33</f>
        <v/>
      </c>
      <c r="OU33">
        <f>OT33</f>
        <v/>
      </c>
      <c r="OV33" s="130" t="n"/>
      <c r="OW33">
        <f>OV33</f>
        <v/>
      </c>
      <c r="OX33">
        <f>OW33</f>
        <v/>
      </c>
      <c r="OY33">
        <f>OX33</f>
        <v/>
      </c>
      <c r="OZ33">
        <f>OY33</f>
        <v/>
      </c>
      <c r="PA33">
        <f>OZ33</f>
        <v/>
      </c>
      <c r="PB33">
        <f>PA33</f>
        <v/>
      </c>
      <c r="PC33">
        <f>PB33</f>
        <v/>
      </c>
      <c r="PD33">
        <f>PC33</f>
        <v/>
      </c>
      <c r="PE33">
        <f>PD33</f>
        <v/>
      </c>
      <c r="PF33">
        <f>PE33</f>
        <v/>
      </c>
      <c r="PG33">
        <f>PF33</f>
        <v/>
      </c>
      <c r="PH33">
        <f>PG33</f>
        <v/>
      </c>
      <c r="PI33">
        <f>PH33</f>
        <v/>
      </c>
      <c r="PJ33">
        <f>PI33</f>
        <v/>
      </c>
      <c r="PK33">
        <f>PJ33</f>
        <v/>
      </c>
      <c r="PL33">
        <f>PK33</f>
        <v/>
      </c>
      <c r="PM33">
        <f>PL33</f>
        <v/>
      </c>
      <c r="PN33">
        <f>PM33</f>
        <v/>
      </c>
      <c r="PO33">
        <f>PN33</f>
        <v/>
      </c>
      <c r="PP33">
        <f>PO33</f>
        <v/>
      </c>
      <c r="PQ33">
        <f>PP33</f>
        <v/>
      </c>
      <c r="PR33">
        <f>PQ33</f>
        <v/>
      </c>
      <c r="PS33">
        <f>PR33</f>
        <v/>
      </c>
      <c r="PT33">
        <f>PS33</f>
        <v/>
      </c>
      <c r="PU33">
        <f>PT33</f>
        <v/>
      </c>
      <c r="PV33">
        <f>PU33</f>
        <v/>
      </c>
      <c r="PW33">
        <f>PV33</f>
        <v/>
      </c>
      <c r="PX33">
        <f>PW33</f>
        <v/>
      </c>
      <c r="PY33">
        <f>PX33</f>
        <v/>
      </c>
      <c r="PZ33">
        <f>PY33</f>
        <v/>
      </c>
      <c r="QA33" s="130" t="n"/>
      <c r="QB33">
        <f>QA33</f>
        <v/>
      </c>
      <c r="QC33">
        <f>QB33</f>
        <v/>
      </c>
      <c r="QD33">
        <f>QC33</f>
        <v/>
      </c>
      <c r="QE33">
        <f>QD33</f>
        <v/>
      </c>
      <c r="QF33">
        <f>QE33</f>
        <v/>
      </c>
      <c r="QG33">
        <f>QF33</f>
        <v/>
      </c>
      <c r="QH33">
        <f>QG33</f>
        <v/>
      </c>
      <c r="QI33">
        <f>QH33</f>
        <v/>
      </c>
      <c r="QJ33">
        <f>QI33</f>
        <v/>
      </c>
      <c r="QK33">
        <f>QJ33</f>
        <v/>
      </c>
      <c r="QL33">
        <f>QK33</f>
        <v/>
      </c>
      <c r="QM33">
        <f>QL33</f>
        <v/>
      </c>
      <c r="QN33">
        <f>QM33</f>
        <v/>
      </c>
      <c r="QO33">
        <f>QN33</f>
        <v/>
      </c>
      <c r="QP33">
        <f>QO33</f>
        <v/>
      </c>
      <c r="QQ33">
        <f>QP33</f>
        <v/>
      </c>
      <c r="QR33">
        <f>QQ33</f>
        <v/>
      </c>
      <c r="QS33">
        <f>QR33</f>
        <v/>
      </c>
      <c r="QT33">
        <f>QS33</f>
        <v/>
      </c>
      <c r="QU33">
        <f>QT33</f>
        <v/>
      </c>
      <c r="QV33">
        <f>QU33</f>
        <v/>
      </c>
      <c r="QW33">
        <f>QV33</f>
        <v/>
      </c>
      <c r="QX33">
        <f>QW33</f>
        <v/>
      </c>
      <c r="QY33">
        <f>QX33</f>
        <v/>
      </c>
      <c r="QZ33">
        <f>QY33</f>
        <v/>
      </c>
      <c r="RA33">
        <f>QZ33</f>
        <v/>
      </c>
      <c r="RB33">
        <f>RA33</f>
        <v/>
      </c>
      <c r="RC33">
        <f>RB33</f>
        <v/>
      </c>
      <c r="RD33">
        <f>RC33</f>
        <v/>
      </c>
      <c r="RE33">
        <f>RD33</f>
        <v/>
      </c>
      <c r="RF33">
        <f>RE33</f>
        <v/>
      </c>
      <c r="RG33" s="130" t="n"/>
      <c r="RH33">
        <f>RG33</f>
        <v/>
      </c>
      <c r="RI33">
        <f>RH33</f>
        <v/>
      </c>
      <c r="RJ33">
        <f>RI33</f>
        <v/>
      </c>
      <c r="RK33">
        <f>RJ33</f>
        <v/>
      </c>
      <c r="RL33">
        <f>RK33</f>
        <v/>
      </c>
      <c r="RM33">
        <f>RL33</f>
        <v/>
      </c>
      <c r="RN33">
        <f>RM33</f>
        <v/>
      </c>
      <c r="RO33">
        <f>RN33</f>
        <v/>
      </c>
      <c r="RP33">
        <f>RO33</f>
        <v/>
      </c>
      <c r="RQ33">
        <f>RP33</f>
        <v/>
      </c>
      <c r="RR33">
        <f>RQ33</f>
        <v/>
      </c>
      <c r="RS33">
        <f>RR33</f>
        <v/>
      </c>
      <c r="RT33">
        <f>RS33</f>
        <v/>
      </c>
      <c r="RU33">
        <f>RT33</f>
        <v/>
      </c>
      <c r="RV33">
        <f>RU33</f>
        <v/>
      </c>
      <c r="RW33">
        <f>RV33</f>
        <v/>
      </c>
      <c r="RX33">
        <f>RW33</f>
        <v/>
      </c>
      <c r="RY33">
        <f>RX33</f>
        <v/>
      </c>
      <c r="RZ33">
        <f>RY33</f>
        <v/>
      </c>
      <c r="SA33">
        <f>RZ33</f>
        <v/>
      </c>
      <c r="SB33">
        <f>SA33</f>
        <v/>
      </c>
      <c r="SC33">
        <f>SB33</f>
        <v/>
      </c>
      <c r="SD33">
        <f>SC33</f>
        <v/>
      </c>
      <c r="SE33">
        <f>SD33</f>
        <v/>
      </c>
      <c r="SF33">
        <f>SE33</f>
        <v/>
      </c>
      <c r="SG33">
        <f>SF33</f>
        <v/>
      </c>
      <c r="SH33">
        <f>SG33</f>
        <v/>
      </c>
      <c r="SI33">
        <f>SH33</f>
        <v/>
      </c>
      <c r="SJ33">
        <f>SI33</f>
        <v/>
      </c>
      <c r="SK33">
        <f>SJ33</f>
        <v/>
      </c>
      <c r="SL33" s="130" t="n"/>
      <c r="SM33">
        <f>SL33</f>
        <v/>
      </c>
      <c r="SN33">
        <f>SM33</f>
        <v/>
      </c>
      <c r="SO33">
        <f>SN33</f>
        <v/>
      </c>
      <c r="SP33">
        <f>SO33</f>
        <v/>
      </c>
      <c r="SQ33">
        <f>SP33</f>
        <v/>
      </c>
      <c r="SR33">
        <f>SQ33</f>
        <v/>
      </c>
      <c r="SS33">
        <f>SR33</f>
        <v/>
      </c>
      <c r="ST33">
        <f>SS33</f>
        <v/>
      </c>
      <c r="SU33">
        <f>ST33</f>
        <v/>
      </c>
      <c r="SV33">
        <f>SU33</f>
        <v/>
      </c>
      <c r="SW33">
        <f>SV33</f>
        <v/>
      </c>
      <c r="SX33">
        <f>SW33</f>
        <v/>
      </c>
      <c r="SY33">
        <f>SX33</f>
        <v/>
      </c>
      <c r="SZ33">
        <f>SY33</f>
        <v/>
      </c>
      <c r="TA33">
        <f>SZ33</f>
        <v/>
      </c>
      <c r="TB33">
        <f>TA33</f>
        <v/>
      </c>
      <c r="TC33">
        <f>TB33</f>
        <v/>
      </c>
      <c r="TD33">
        <f>TC33</f>
        <v/>
      </c>
      <c r="TE33">
        <f>TD33</f>
        <v/>
      </c>
      <c r="TF33">
        <f>TE33</f>
        <v/>
      </c>
      <c r="TG33">
        <f>TF33</f>
        <v/>
      </c>
      <c r="TH33">
        <f>TG33</f>
        <v/>
      </c>
      <c r="TI33">
        <f>TH33</f>
        <v/>
      </c>
      <c r="TJ33">
        <f>TI33</f>
        <v/>
      </c>
      <c r="TK33">
        <f>TJ33</f>
        <v/>
      </c>
      <c r="TL33">
        <f>TK33</f>
        <v/>
      </c>
      <c r="TM33">
        <f>TL33</f>
        <v/>
      </c>
      <c r="TN33">
        <f>TM33</f>
        <v/>
      </c>
      <c r="TO33">
        <f>TN33</f>
        <v/>
      </c>
      <c r="TP33">
        <f>TO33</f>
        <v/>
      </c>
      <c r="TQ33">
        <f>TP33</f>
        <v/>
      </c>
      <c r="TR33" s="130" t="n"/>
      <c r="TS33">
        <f>TR33</f>
        <v/>
      </c>
      <c r="TT33">
        <f>TS33</f>
        <v/>
      </c>
      <c r="TU33">
        <f>TT33</f>
        <v/>
      </c>
      <c r="TV33">
        <f>TU33</f>
        <v/>
      </c>
      <c r="TW33">
        <f>TV33</f>
        <v/>
      </c>
      <c r="TX33">
        <f>TW33</f>
        <v/>
      </c>
      <c r="TY33">
        <f>TX33</f>
        <v/>
      </c>
      <c r="TZ33">
        <f>TY33</f>
        <v/>
      </c>
      <c r="UA33">
        <f>TZ33</f>
        <v/>
      </c>
      <c r="UB33">
        <f>UA33</f>
        <v/>
      </c>
      <c r="UC33">
        <f>UB33</f>
        <v/>
      </c>
      <c r="UD33">
        <f>UC33</f>
        <v/>
      </c>
      <c r="UE33">
        <f>UD33</f>
        <v/>
      </c>
      <c r="UF33">
        <f>UE33</f>
        <v/>
      </c>
      <c r="UG33">
        <f>UF33</f>
        <v/>
      </c>
      <c r="UH33">
        <f>UG33</f>
        <v/>
      </c>
      <c r="UI33">
        <f>UH33</f>
        <v/>
      </c>
      <c r="UJ33">
        <f>UI33</f>
        <v/>
      </c>
      <c r="UK33">
        <f>UJ33</f>
        <v/>
      </c>
      <c r="UL33">
        <f>UK33</f>
        <v/>
      </c>
      <c r="UM33">
        <f>UL33</f>
        <v/>
      </c>
      <c r="UN33">
        <f>UM33</f>
        <v/>
      </c>
      <c r="UO33">
        <f>UN33</f>
        <v/>
      </c>
      <c r="UP33">
        <f>UO33</f>
        <v/>
      </c>
      <c r="UQ33">
        <f>UP33</f>
        <v/>
      </c>
      <c r="UR33">
        <f>UQ33</f>
        <v/>
      </c>
      <c r="US33">
        <f>UR33</f>
        <v/>
      </c>
      <c r="UT33">
        <f>US33</f>
        <v/>
      </c>
      <c r="UU33">
        <f>UT33</f>
        <v/>
      </c>
      <c r="UV33">
        <f>UU33</f>
        <v/>
      </c>
      <c r="UW33">
        <f>UV33</f>
        <v/>
      </c>
      <c r="UX33" s="130" t="n"/>
      <c r="UY33">
        <f>UX33</f>
        <v/>
      </c>
      <c r="UZ33">
        <f>UY33</f>
        <v/>
      </c>
      <c r="VA33">
        <f>UZ33</f>
        <v/>
      </c>
      <c r="VB33">
        <f>VA33</f>
        <v/>
      </c>
      <c r="VC33">
        <f>VB33</f>
        <v/>
      </c>
      <c r="VD33">
        <f>VC33</f>
        <v/>
      </c>
      <c r="VE33">
        <f>VD33</f>
        <v/>
      </c>
      <c r="VF33">
        <f>VE33</f>
        <v/>
      </c>
      <c r="VG33">
        <f>VF33</f>
        <v/>
      </c>
      <c r="VH33">
        <f>VG33</f>
        <v/>
      </c>
      <c r="VI33">
        <f>VH33</f>
        <v/>
      </c>
      <c r="VJ33">
        <f>VI33</f>
        <v/>
      </c>
      <c r="VK33">
        <f>VJ33</f>
        <v/>
      </c>
      <c r="VL33">
        <f>VK33</f>
        <v/>
      </c>
      <c r="VM33">
        <f>VL33</f>
        <v/>
      </c>
      <c r="VN33">
        <f>VM33</f>
        <v/>
      </c>
      <c r="VO33">
        <f>VN33</f>
        <v/>
      </c>
      <c r="VP33">
        <f>VO33</f>
        <v/>
      </c>
      <c r="VQ33">
        <f>VP33</f>
        <v/>
      </c>
      <c r="VR33">
        <f>VQ33</f>
        <v/>
      </c>
      <c r="VS33">
        <f>VR33</f>
        <v/>
      </c>
      <c r="VT33">
        <f>VS33</f>
        <v/>
      </c>
      <c r="VU33">
        <f>VT33</f>
        <v/>
      </c>
      <c r="VV33">
        <f>VU33</f>
        <v/>
      </c>
      <c r="VW33">
        <f>VV33</f>
        <v/>
      </c>
      <c r="VX33">
        <f>VW33</f>
        <v/>
      </c>
      <c r="VY33">
        <f>VX33</f>
        <v/>
      </c>
      <c r="VZ33">
        <f>VY33</f>
        <v/>
      </c>
      <c r="WA33" s="130" t="n"/>
      <c r="WB33">
        <f>WA33</f>
        <v/>
      </c>
      <c r="WC33">
        <f>WB33</f>
        <v/>
      </c>
      <c r="WD33">
        <f>WC33</f>
        <v/>
      </c>
      <c r="WE33">
        <f>WD33</f>
        <v/>
      </c>
      <c r="WF33">
        <f>WE33</f>
        <v/>
      </c>
      <c r="WG33">
        <f>WF33</f>
        <v/>
      </c>
      <c r="WH33">
        <f>WG33</f>
        <v/>
      </c>
      <c r="WI33">
        <f>WH33</f>
        <v/>
      </c>
      <c r="WJ33">
        <f>WI33</f>
        <v/>
      </c>
      <c r="WK33">
        <f>WJ33</f>
        <v/>
      </c>
      <c r="WL33">
        <f>WK33</f>
        <v/>
      </c>
      <c r="WM33">
        <f>WL33</f>
        <v/>
      </c>
      <c r="WN33">
        <f>WM33</f>
        <v/>
      </c>
      <c r="WO33">
        <f>WN33</f>
        <v/>
      </c>
      <c r="WP33">
        <f>WO33</f>
        <v/>
      </c>
      <c r="WQ33">
        <f>WP33</f>
        <v/>
      </c>
      <c r="WR33">
        <f>WQ33</f>
        <v/>
      </c>
      <c r="WS33">
        <f>WR33</f>
        <v/>
      </c>
      <c r="WT33">
        <f>WS33</f>
        <v/>
      </c>
      <c r="WU33">
        <f>WT33</f>
        <v/>
      </c>
      <c r="WV33">
        <f>WU33</f>
        <v/>
      </c>
      <c r="WW33">
        <f>WV33</f>
        <v/>
      </c>
      <c r="WX33">
        <f>WW33</f>
        <v/>
      </c>
      <c r="WY33">
        <f>WX33</f>
        <v/>
      </c>
      <c r="WZ33">
        <f>WY33</f>
        <v/>
      </c>
      <c r="XA33">
        <f>WZ33</f>
        <v/>
      </c>
      <c r="XB33">
        <f>XA33</f>
        <v/>
      </c>
      <c r="XC33">
        <f>XB33</f>
        <v/>
      </c>
      <c r="XD33">
        <f>XC33</f>
        <v/>
      </c>
      <c r="XE33">
        <f>XD33</f>
        <v/>
      </c>
      <c r="XF33">
        <f>XE33</f>
        <v/>
      </c>
      <c r="XG33" s="130" t="n"/>
      <c r="XH33">
        <f>XG33</f>
        <v/>
      </c>
      <c r="XI33">
        <f>XH33</f>
        <v/>
      </c>
      <c r="XJ33">
        <f>XI33</f>
        <v/>
      </c>
      <c r="XK33">
        <f>XJ33</f>
        <v/>
      </c>
      <c r="XL33">
        <f>XK33</f>
        <v/>
      </c>
      <c r="XM33">
        <f>XL33</f>
        <v/>
      </c>
      <c r="XN33">
        <f>XM33</f>
        <v/>
      </c>
      <c r="XO33">
        <f>XN33</f>
        <v/>
      </c>
      <c r="XP33">
        <f>XO33</f>
        <v/>
      </c>
      <c r="XQ33">
        <f>XP33</f>
        <v/>
      </c>
      <c r="XR33">
        <f>XQ33</f>
        <v/>
      </c>
      <c r="XS33">
        <f>XR33</f>
        <v/>
      </c>
      <c r="XT33">
        <f>XS33</f>
        <v/>
      </c>
      <c r="XU33">
        <f>XT33</f>
        <v/>
      </c>
      <c r="XV33">
        <f>XU33</f>
        <v/>
      </c>
      <c r="XW33">
        <f>XV33</f>
        <v/>
      </c>
      <c r="XX33">
        <f>XW33</f>
        <v/>
      </c>
      <c r="XY33">
        <f>XX33</f>
        <v/>
      </c>
      <c r="XZ33">
        <f>XY33</f>
        <v/>
      </c>
      <c r="YA33">
        <f>XZ33</f>
        <v/>
      </c>
      <c r="YB33">
        <f>YA33</f>
        <v/>
      </c>
      <c r="YC33">
        <f>YB33</f>
        <v/>
      </c>
      <c r="YD33">
        <f>YC33</f>
        <v/>
      </c>
      <c r="YE33">
        <f>YD33</f>
        <v/>
      </c>
      <c r="YF33">
        <f>YE33</f>
        <v/>
      </c>
      <c r="YG33">
        <f>YF33</f>
        <v/>
      </c>
      <c r="YH33">
        <f>YG33</f>
        <v/>
      </c>
      <c r="YI33">
        <f>YH33</f>
        <v/>
      </c>
      <c r="YJ33">
        <f>YI33</f>
        <v/>
      </c>
      <c r="YK33">
        <f>YJ33</f>
        <v/>
      </c>
      <c r="YL33" s="130" t="n"/>
      <c r="YM33">
        <f>YL33</f>
        <v/>
      </c>
      <c r="YN33">
        <f>YM33</f>
        <v/>
      </c>
      <c r="YO33">
        <f>YN33</f>
        <v/>
      </c>
      <c r="YP33">
        <f>YO33</f>
        <v/>
      </c>
      <c r="YQ33">
        <f>YP33</f>
        <v/>
      </c>
      <c r="YR33">
        <f>YQ33</f>
        <v/>
      </c>
      <c r="YS33">
        <f>YR33</f>
        <v/>
      </c>
      <c r="YT33">
        <f>YS33</f>
        <v/>
      </c>
      <c r="YU33">
        <f>YT33</f>
        <v/>
      </c>
      <c r="YV33">
        <f>YU33</f>
        <v/>
      </c>
      <c r="YW33">
        <f>YV33</f>
        <v/>
      </c>
      <c r="YX33">
        <f>YW33</f>
        <v/>
      </c>
      <c r="YY33">
        <f>YX33</f>
        <v/>
      </c>
      <c r="YZ33">
        <f>YY33</f>
        <v/>
      </c>
      <c r="ZA33">
        <f>YZ33</f>
        <v/>
      </c>
      <c r="ZB33">
        <f>ZA33</f>
        <v/>
      </c>
      <c r="ZC33">
        <f>ZB33</f>
        <v/>
      </c>
      <c r="ZD33">
        <f>ZC33</f>
        <v/>
      </c>
      <c r="ZE33">
        <f>ZD33</f>
        <v/>
      </c>
      <c r="ZF33">
        <f>ZE33</f>
        <v/>
      </c>
      <c r="ZG33">
        <f>ZF33</f>
        <v/>
      </c>
      <c r="ZH33">
        <f>ZG33</f>
        <v/>
      </c>
      <c r="ZI33">
        <f>ZH33</f>
        <v/>
      </c>
      <c r="ZJ33">
        <f>ZI33</f>
        <v/>
      </c>
      <c r="ZK33">
        <f>ZJ33</f>
        <v/>
      </c>
      <c r="ZL33">
        <f>ZK33</f>
        <v/>
      </c>
      <c r="ZM33">
        <f>ZL33</f>
        <v/>
      </c>
      <c r="ZN33">
        <f>ZM33</f>
        <v/>
      </c>
      <c r="ZO33">
        <f>ZN33</f>
        <v/>
      </c>
      <c r="ZP33">
        <f>ZO33</f>
        <v/>
      </c>
      <c r="ZQ33">
        <f>ZP33</f>
        <v/>
      </c>
      <c r="ZR33" s="130" t="n"/>
      <c r="ZS33">
        <f>ZR33</f>
        <v/>
      </c>
      <c r="ZT33">
        <f>ZS33</f>
        <v/>
      </c>
      <c r="ZU33">
        <f>ZT33</f>
        <v/>
      </c>
      <c r="ZV33">
        <f>ZU33</f>
        <v/>
      </c>
      <c r="ZW33">
        <f>ZV33</f>
        <v/>
      </c>
      <c r="ZX33">
        <f>ZW33</f>
        <v/>
      </c>
      <c r="ZY33">
        <f>ZX33</f>
        <v/>
      </c>
      <c r="ZZ33">
        <f>ZY33</f>
        <v/>
      </c>
      <c r="AAA33">
        <f>ZZ33</f>
        <v/>
      </c>
      <c r="AAB33">
        <f>AAA33</f>
        <v/>
      </c>
      <c r="AAC33">
        <f>AAB33</f>
        <v/>
      </c>
      <c r="AAD33">
        <f>AAC33</f>
        <v/>
      </c>
      <c r="AAE33">
        <f>AAD33</f>
        <v/>
      </c>
      <c r="AAF33">
        <f>AAE33</f>
        <v/>
      </c>
      <c r="AAG33">
        <f>AAF33</f>
        <v/>
      </c>
      <c r="AAH33">
        <f>AAG33</f>
        <v/>
      </c>
      <c r="AAI33">
        <f>AAH33</f>
        <v/>
      </c>
      <c r="AAJ33">
        <f>AAI33</f>
        <v/>
      </c>
      <c r="AAK33">
        <f>AAJ33</f>
        <v/>
      </c>
      <c r="AAL33">
        <f>AAK33</f>
        <v/>
      </c>
      <c r="AAM33">
        <f>AAL33</f>
        <v/>
      </c>
      <c r="AAN33">
        <f>AAM33</f>
        <v/>
      </c>
      <c r="AAO33">
        <f>AAN33</f>
        <v/>
      </c>
      <c r="AAP33">
        <f>AAO33</f>
        <v/>
      </c>
      <c r="AAQ33">
        <f>AAP33</f>
        <v/>
      </c>
      <c r="AAR33">
        <f>AAQ33</f>
        <v/>
      </c>
      <c r="AAS33">
        <f>AAR33</f>
        <v/>
      </c>
      <c r="AAT33">
        <f>AAS33</f>
        <v/>
      </c>
      <c r="AAU33">
        <f>AAT33</f>
        <v/>
      </c>
      <c r="AAV33">
        <f>AAU33</f>
        <v/>
      </c>
      <c r="AAW33" s="130" t="n"/>
      <c r="AAX33">
        <f>AAW33</f>
        <v/>
      </c>
      <c r="AAY33">
        <f>AAX33</f>
        <v/>
      </c>
      <c r="AAZ33">
        <f>AAY33</f>
        <v/>
      </c>
      <c r="ABA33">
        <f>AAZ33</f>
        <v/>
      </c>
      <c r="ABB33">
        <f>ABA33</f>
        <v/>
      </c>
      <c r="ABC33">
        <f>ABB33</f>
        <v/>
      </c>
      <c r="ABD33">
        <f>ABC33</f>
        <v/>
      </c>
      <c r="ABE33">
        <f>ABD33</f>
        <v/>
      </c>
      <c r="ABF33">
        <f>ABE33</f>
        <v/>
      </c>
      <c r="ABG33">
        <f>ABF33</f>
        <v/>
      </c>
      <c r="ABH33">
        <f>ABG33</f>
        <v/>
      </c>
      <c r="ABI33">
        <f>ABH33</f>
        <v/>
      </c>
      <c r="ABJ33">
        <f>ABI33</f>
        <v/>
      </c>
      <c r="ABK33">
        <f>ABJ33</f>
        <v/>
      </c>
      <c r="ABL33">
        <f>ABK33</f>
        <v/>
      </c>
      <c r="ABM33">
        <f>ABL33</f>
        <v/>
      </c>
      <c r="ABN33">
        <f>ABM33</f>
        <v/>
      </c>
      <c r="ABO33">
        <f>ABN33</f>
        <v/>
      </c>
      <c r="ABP33">
        <f>ABO33</f>
        <v/>
      </c>
      <c r="ABQ33">
        <f>ABP33</f>
        <v/>
      </c>
      <c r="ABR33">
        <f>ABQ33</f>
        <v/>
      </c>
      <c r="ABS33">
        <f>ABR33</f>
        <v/>
      </c>
      <c r="ABT33">
        <f>ABS33</f>
        <v/>
      </c>
      <c r="ABU33">
        <f>ABT33</f>
        <v/>
      </c>
      <c r="ABV33">
        <f>ABU33</f>
        <v/>
      </c>
      <c r="ABW33">
        <f>ABV33</f>
        <v/>
      </c>
      <c r="ABX33">
        <f>ABW33</f>
        <v/>
      </c>
      <c r="ABY33">
        <f>ABX33</f>
        <v/>
      </c>
      <c r="ABZ33">
        <f>ABY33</f>
        <v/>
      </c>
      <c r="ACA33">
        <f>ABZ33</f>
        <v/>
      </c>
      <c r="ACB33">
        <f>ACA33</f>
        <v/>
      </c>
      <c r="ACC33" s="130" t="n"/>
      <c r="ACD33">
        <f>ACC33</f>
        <v/>
      </c>
      <c r="ACE33">
        <f>ACD33</f>
        <v/>
      </c>
      <c r="ACF33">
        <f>ACE33</f>
        <v/>
      </c>
      <c r="ACG33">
        <f>ACF33</f>
        <v/>
      </c>
      <c r="ACH33">
        <f>ACG33</f>
        <v/>
      </c>
      <c r="ACI33">
        <f>ACH33</f>
        <v/>
      </c>
      <c r="ACJ33">
        <f>ACI33</f>
        <v/>
      </c>
      <c r="ACK33">
        <f>ACJ33</f>
        <v/>
      </c>
      <c r="ACL33">
        <f>ACK33</f>
        <v/>
      </c>
      <c r="ACM33">
        <f>ACL33</f>
        <v/>
      </c>
      <c r="ACN33">
        <f>ACM33</f>
        <v/>
      </c>
      <c r="ACO33">
        <f>ACN33</f>
        <v/>
      </c>
      <c r="ACP33">
        <f>ACO33</f>
        <v/>
      </c>
      <c r="ACQ33">
        <f>ACP33</f>
        <v/>
      </c>
      <c r="ACR33">
        <f>ACQ33</f>
        <v/>
      </c>
      <c r="ACS33">
        <f>ACR33</f>
        <v/>
      </c>
      <c r="ACT33">
        <f>ACS33</f>
        <v/>
      </c>
      <c r="ACU33">
        <f>ACT33</f>
        <v/>
      </c>
      <c r="ACV33">
        <f>ACU33</f>
        <v/>
      </c>
      <c r="ACW33">
        <f>ACV33</f>
        <v/>
      </c>
      <c r="ACX33">
        <f>ACW33</f>
        <v/>
      </c>
      <c r="ACY33">
        <f>ACX33</f>
        <v/>
      </c>
      <c r="ACZ33">
        <f>ACY33</f>
        <v/>
      </c>
      <c r="ADA33">
        <f>ACZ33</f>
        <v/>
      </c>
      <c r="ADB33">
        <f>ADA33</f>
        <v/>
      </c>
      <c r="ADC33">
        <f>ADB33</f>
        <v/>
      </c>
      <c r="ADD33">
        <f>ADC33</f>
        <v/>
      </c>
      <c r="ADE33">
        <f>ADD33</f>
        <v/>
      </c>
      <c r="ADF33">
        <f>ADE33</f>
        <v/>
      </c>
      <c r="ADG33">
        <f>ADF33</f>
        <v/>
      </c>
      <c r="ADH33">
        <f>ADG33</f>
        <v/>
      </c>
      <c r="ADI33" s="130" t="n"/>
      <c r="ADJ33">
        <f>ADI33</f>
        <v/>
      </c>
      <c r="ADK33">
        <f>ADJ33</f>
        <v/>
      </c>
      <c r="ADL33">
        <f>ADK33</f>
        <v/>
      </c>
      <c r="ADM33">
        <f>ADL33</f>
        <v/>
      </c>
      <c r="ADN33">
        <f>ADM33</f>
        <v/>
      </c>
      <c r="ADO33">
        <f>ADN33</f>
        <v/>
      </c>
      <c r="ADP33">
        <f>ADO33</f>
        <v/>
      </c>
      <c r="ADQ33">
        <f>ADP33</f>
        <v/>
      </c>
      <c r="ADR33">
        <f>ADQ33</f>
        <v/>
      </c>
      <c r="ADS33">
        <f>ADR33</f>
        <v/>
      </c>
      <c r="ADT33">
        <f>ADS33</f>
        <v/>
      </c>
      <c r="ADU33">
        <f>ADT33</f>
        <v/>
      </c>
      <c r="ADV33">
        <f>ADU33</f>
        <v/>
      </c>
      <c r="ADW33">
        <f>ADV33</f>
        <v/>
      </c>
      <c r="ADX33">
        <f>ADW33</f>
        <v/>
      </c>
      <c r="ADY33">
        <f>ADX33</f>
        <v/>
      </c>
      <c r="ADZ33">
        <f>ADY33</f>
        <v/>
      </c>
      <c r="AEA33">
        <f>ADZ33</f>
        <v/>
      </c>
      <c r="AEB33">
        <f>AEA33</f>
        <v/>
      </c>
      <c r="AEC33">
        <f>AEB33</f>
        <v/>
      </c>
      <c r="AED33">
        <f>AEC33</f>
        <v/>
      </c>
      <c r="AEE33">
        <f>AED33</f>
        <v/>
      </c>
      <c r="AEF33">
        <f>AEE33</f>
        <v/>
      </c>
      <c r="AEG33">
        <f>AEF33</f>
        <v/>
      </c>
      <c r="AEH33">
        <f>AEG33</f>
        <v/>
      </c>
      <c r="AEI33">
        <f>AEH33</f>
        <v/>
      </c>
      <c r="AEJ33">
        <f>AEI33</f>
        <v/>
      </c>
      <c r="AEK33">
        <f>AEJ33</f>
        <v/>
      </c>
      <c r="AEL33">
        <f>AEK33</f>
        <v/>
      </c>
      <c r="AEM33">
        <f>AEL33</f>
        <v/>
      </c>
      <c r="AEN33" s="130" t="n"/>
      <c r="AEO33">
        <f>AEN33</f>
        <v/>
      </c>
      <c r="AEP33">
        <f>AEO33</f>
        <v/>
      </c>
      <c r="AEQ33">
        <f>AEP33</f>
        <v/>
      </c>
      <c r="AER33">
        <f>AEQ33</f>
        <v/>
      </c>
      <c r="AES33">
        <f>AER33</f>
        <v/>
      </c>
      <c r="AET33">
        <f>AES33</f>
        <v/>
      </c>
      <c r="AEU33">
        <f>AET33</f>
        <v/>
      </c>
      <c r="AEV33">
        <f>AEU33</f>
        <v/>
      </c>
      <c r="AEW33">
        <f>AEV33</f>
        <v/>
      </c>
      <c r="AEX33">
        <f>AEW33</f>
        <v/>
      </c>
      <c r="AEY33">
        <f>AEX33</f>
        <v/>
      </c>
      <c r="AEZ33">
        <f>AEY33</f>
        <v/>
      </c>
      <c r="AFA33">
        <f>AEZ33</f>
        <v/>
      </c>
      <c r="AFB33">
        <f>AFA33</f>
        <v/>
      </c>
      <c r="AFC33">
        <f>AFB33</f>
        <v/>
      </c>
      <c r="AFD33">
        <f>AFC33</f>
        <v/>
      </c>
      <c r="AFE33">
        <f>AFD33</f>
        <v/>
      </c>
      <c r="AFF33">
        <f>AFE33</f>
        <v/>
      </c>
      <c r="AFG33">
        <f>AFF33</f>
        <v/>
      </c>
      <c r="AFH33">
        <f>AFG33</f>
        <v/>
      </c>
      <c r="AFI33">
        <f>AFH33</f>
        <v/>
      </c>
      <c r="AFJ33">
        <f>AFI33</f>
        <v/>
      </c>
      <c r="AFK33">
        <f>AFJ33</f>
        <v/>
      </c>
      <c r="AFL33">
        <f>AFK33</f>
        <v/>
      </c>
      <c r="AFM33">
        <f>AFL33</f>
        <v/>
      </c>
      <c r="AFN33">
        <f>AFM33</f>
        <v/>
      </c>
      <c r="AFO33">
        <f>AFN33</f>
        <v/>
      </c>
      <c r="AFP33">
        <f>AFO33</f>
        <v/>
      </c>
      <c r="AFQ33">
        <f>AFP33</f>
        <v/>
      </c>
      <c r="AFR33">
        <f>AFQ33</f>
        <v/>
      </c>
      <c r="AFS33">
        <f>AFR33</f>
        <v/>
      </c>
      <c r="AFT33" s="130" t="n"/>
      <c r="AFU33">
        <f>AFT33</f>
        <v/>
      </c>
      <c r="AFV33">
        <f>AFU33</f>
        <v/>
      </c>
      <c r="AFW33">
        <f>AFV33</f>
        <v/>
      </c>
      <c r="AFX33">
        <f>AFW33</f>
        <v/>
      </c>
      <c r="AFY33">
        <f>AFX33</f>
        <v/>
      </c>
      <c r="AFZ33">
        <f>AFY33</f>
        <v/>
      </c>
      <c r="AGA33">
        <f>AFZ33</f>
        <v/>
      </c>
      <c r="AGB33">
        <f>AGA33</f>
        <v/>
      </c>
      <c r="AGC33">
        <f>AGB33</f>
        <v/>
      </c>
      <c r="AGD33">
        <f>AGC33</f>
        <v/>
      </c>
      <c r="AGE33">
        <f>AGD33</f>
        <v/>
      </c>
      <c r="AGF33">
        <f>AGE33</f>
        <v/>
      </c>
      <c r="AGG33">
        <f>AGF33</f>
        <v/>
      </c>
      <c r="AGH33">
        <f>AGG33</f>
        <v/>
      </c>
      <c r="AGI33">
        <f>AGH33</f>
        <v/>
      </c>
      <c r="AGJ33">
        <f>AGI33</f>
        <v/>
      </c>
      <c r="AGK33">
        <f>AGJ33</f>
        <v/>
      </c>
      <c r="AGL33">
        <f>AGK33</f>
        <v/>
      </c>
      <c r="AGM33">
        <f>AGL33</f>
        <v/>
      </c>
      <c r="AGN33">
        <f>AGM33</f>
        <v/>
      </c>
      <c r="AGO33">
        <f>AGN33</f>
        <v/>
      </c>
      <c r="AGP33">
        <f>AGO33</f>
        <v/>
      </c>
      <c r="AGQ33">
        <f>AGP33</f>
        <v/>
      </c>
      <c r="AGR33">
        <f>AGQ33</f>
        <v/>
      </c>
      <c r="AGS33">
        <f>AGR33</f>
        <v/>
      </c>
      <c r="AGT33">
        <f>AGS33</f>
        <v/>
      </c>
      <c r="AGU33">
        <f>AGT33</f>
        <v/>
      </c>
      <c r="AGV33">
        <f>AGU33</f>
        <v/>
      </c>
      <c r="AGW33">
        <f>AGV33</f>
        <v/>
      </c>
      <c r="AGX33">
        <f>AGW33</f>
        <v/>
      </c>
      <c r="AGY33" s="130" t="n"/>
      <c r="AGZ33">
        <f>AGY33</f>
        <v/>
      </c>
      <c r="AHA33">
        <f>AGZ33</f>
        <v/>
      </c>
      <c r="AHB33">
        <f>AHA33</f>
        <v/>
      </c>
      <c r="AHC33">
        <f>AHB33</f>
        <v/>
      </c>
      <c r="AHD33">
        <f>AHC33</f>
        <v/>
      </c>
      <c r="AHE33">
        <f>AHD33</f>
        <v/>
      </c>
      <c r="AHF33">
        <f>AHE33</f>
        <v/>
      </c>
      <c r="AHG33">
        <f>AHF33</f>
        <v/>
      </c>
      <c r="AHH33">
        <f>AHG33</f>
        <v/>
      </c>
      <c r="AHI33">
        <f>AHH33</f>
        <v/>
      </c>
      <c r="AHJ33">
        <f>AHI33</f>
        <v/>
      </c>
      <c r="AHK33">
        <f>AHJ33</f>
        <v/>
      </c>
      <c r="AHL33">
        <f>AHK33</f>
        <v/>
      </c>
      <c r="AHM33">
        <f>AHL33</f>
        <v/>
      </c>
      <c r="AHN33">
        <f>AHM33</f>
        <v/>
      </c>
      <c r="AHO33">
        <f>AHN33</f>
        <v/>
      </c>
      <c r="AHP33">
        <f>AHO33</f>
        <v/>
      </c>
      <c r="AHQ33">
        <f>AHP33</f>
        <v/>
      </c>
      <c r="AHR33">
        <f>AHQ33</f>
        <v/>
      </c>
      <c r="AHS33">
        <f>AHR33</f>
        <v/>
      </c>
      <c r="AHT33">
        <f>AHS33</f>
        <v/>
      </c>
      <c r="AHU33">
        <f>AHT33</f>
        <v/>
      </c>
      <c r="AHV33">
        <f>AHU33</f>
        <v/>
      </c>
      <c r="AHW33">
        <f>AHV33</f>
        <v/>
      </c>
      <c r="AHX33">
        <f>AHW33</f>
        <v/>
      </c>
      <c r="AHY33">
        <f>AHX33</f>
        <v/>
      </c>
      <c r="AHZ33">
        <f>AHY33</f>
        <v/>
      </c>
      <c r="AIA33">
        <f>AHZ33</f>
        <v/>
      </c>
      <c r="AIB33">
        <f>AIA33</f>
        <v/>
      </c>
      <c r="AIC33">
        <f>AIB33</f>
        <v/>
      </c>
      <c r="AID33">
        <f>AIC33</f>
        <v/>
      </c>
      <c r="AIE33" s="130" t="n"/>
      <c r="AIF33">
        <f>AIE33</f>
        <v/>
      </c>
      <c r="AIG33">
        <f>AIF33</f>
        <v/>
      </c>
      <c r="AIH33">
        <f>AIG33</f>
        <v/>
      </c>
      <c r="AII33">
        <f>AIH33</f>
        <v/>
      </c>
      <c r="AIJ33">
        <f>AII33</f>
        <v/>
      </c>
      <c r="AIK33">
        <f>AIJ33</f>
        <v/>
      </c>
      <c r="AIL33">
        <f>AIK33</f>
        <v/>
      </c>
      <c r="AIM33">
        <f>AIL33</f>
        <v/>
      </c>
      <c r="AIN33">
        <f>AIM33</f>
        <v/>
      </c>
      <c r="AIO33">
        <f>AIN33</f>
        <v/>
      </c>
      <c r="AIP33">
        <f>AIO33</f>
        <v/>
      </c>
      <c r="AIQ33">
        <f>AIP33</f>
        <v/>
      </c>
      <c r="AIR33">
        <f>AIQ33</f>
        <v/>
      </c>
      <c r="AIS33">
        <f>AIR33</f>
        <v/>
      </c>
      <c r="AIT33">
        <f>AIS33</f>
        <v/>
      </c>
      <c r="AIU33">
        <f>AIT33</f>
        <v/>
      </c>
      <c r="AIV33">
        <f>AIU33</f>
        <v/>
      </c>
      <c r="AIW33">
        <f>AIV33</f>
        <v/>
      </c>
      <c r="AIX33">
        <f>AIW33</f>
        <v/>
      </c>
      <c r="AIY33">
        <f>AIX33</f>
        <v/>
      </c>
      <c r="AIZ33">
        <f>AIY33</f>
        <v/>
      </c>
      <c r="AJA33">
        <f>AIZ33</f>
        <v/>
      </c>
      <c r="AJB33">
        <f>AJA33</f>
        <v/>
      </c>
      <c r="AJC33">
        <f>AJB33</f>
        <v/>
      </c>
      <c r="AJD33">
        <f>AJC33</f>
        <v/>
      </c>
      <c r="AJE33">
        <f>AJD33</f>
        <v/>
      </c>
      <c r="AJF33">
        <f>AJE33</f>
        <v/>
      </c>
      <c r="AJG33">
        <f>AJF33</f>
        <v/>
      </c>
      <c r="AJH33">
        <f>AJG33</f>
        <v/>
      </c>
      <c r="AJI33">
        <f>AJH33</f>
        <v/>
      </c>
      <c r="AJJ33">
        <f>AJI33</f>
        <v/>
      </c>
      <c r="AJK33" s="145" t="n"/>
      <c r="AJL33">
        <f>AJK33</f>
        <v/>
      </c>
      <c r="AJM33">
        <f>AJL33</f>
        <v/>
      </c>
      <c r="AJN33">
        <f>AJM33</f>
        <v/>
      </c>
      <c r="AJO33">
        <f>AJN33</f>
        <v/>
      </c>
      <c r="AJP33">
        <f>AJO33</f>
        <v/>
      </c>
      <c r="AJQ33">
        <f>AJP33</f>
        <v/>
      </c>
      <c r="AJR33">
        <f>AJQ33</f>
        <v/>
      </c>
      <c r="AJS33">
        <f>AJR33</f>
        <v/>
      </c>
      <c r="AJT33">
        <f>AJS33</f>
        <v/>
      </c>
      <c r="AJU33">
        <f>AJT33</f>
        <v/>
      </c>
      <c r="AJV33">
        <f>AJU33</f>
        <v/>
      </c>
      <c r="AJW33">
        <f>AJV33</f>
        <v/>
      </c>
      <c r="AJX33">
        <f>AJW33</f>
        <v/>
      </c>
      <c r="AJY33">
        <f>AJX33</f>
        <v/>
      </c>
      <c r="AJZ33">
        <f>AJY33</f>
        <v/>
      </c>
      <c r="AKA33">
        <f>AJZ33</f>
        <v/>
      </c>
      <c r="AKB33">
        <f>AKA33</f>
        <v/>
      </c>
      <c r="AKC33">
        <f>AKB33</f>
        <v/>
      </c>
      <c r="AKD33">
        <f>AKC33</f>
        <v/>
      </c>
      <c r="AKE33">
        <f>AKD33</f>
        <v/>
      </c>
      <c r="AKF33">
        <f>AKE33</f>
        <v/>
      </c>
      <c r="AKG33">
        <f>AKF33</f>
        <v/>
      </c>
      <c r="AKH33">
        <f>AKG33</f>
        <v/>
      </c>
      <c r="AKI33">
        <f>AKH33</f>
        <v/>
      </c>
      <c r="AKJ33">
        <f>AKI33</f>
        <v/>
      </c>
      <c r="AKK33">
        <f>AKJ33</f>
        <v/>
      </c>
      <c r="AKL33">
        <f>AKK33</f>
        <v/>
      </c>
      <c r="AKM33">
        <f>AKL33</f>
        <v/>
      </c>
      <c r="AKN33" s="145" t="n"/>
      <c r="AKO33">
        <f>AKN33</f>
        <v/>
      </c>
      <c r="AKP33">
        <f>AKO33</f>
        <v/>
      </c>
      <c r="AKQ33">
        <f>AKP33</f>
        <v/>
      </c>
      <c r="AKR33">
        <f>AKQ33</f>
        <v/>
      </c>
      <c r="AKS33">
        <f>AKR33</f>
        <v/>
      </c>
      <c r="AKT33">
        <f>AKS33</f>
        <v/>
      </c>
      <c r="AKU33">
        <f>AKT33</f>
        <v/>
      </c>
      <c r="AKV33">
        <f>AKU33</f>
        <v/>
      </c>
      <c r="AKW33">
        <f>AKV33</f>
        <v/>
      </c>
      <c r="AKX33">
        <f>AKW33</f>
        <v/>
      </c>
      <c r="AKY33">
        <f>AKX33</f>
        <v/>
      </c>
      <c r="AKZ33">
        <f>AKY33</f>
        <v/>
      </c>
      <c r="ALA33">
        <f>AKZ33</f>
        <v/>
      </c>
      <c r="ALB33">
        <f>ALA33</f>
        <v/>
      </c>
      <c r="ALC33">
        <f>ALB33</f>
        <v/>
      </c>
      <c r="ALD33">
        <f>ALC33</f>
        <v/>
      </c>
      <c r="ALE33">
        <f>ALD33</f>
        <v/>
      </c>
      <c r="ALF33">
        <f>ALE33</f>
        <v/>
      </c>
      <c r="ALG33">
        <f>ALF33</f>
        <v/>
      </c>
      <c r="ALH33">
        <f>ALG33</f>
        <v/>
      </c>
      <c r="ALI33">
        <f>ALH33</f>
        <v/>
      </c>
      <c r="ALJ33">
        <f>ALI33</f>
        <v/>
      </c>
      <c r="ALK33">
        <f>ALJ33</f>
        <v/>
      </c>
      <c r="ALL33">
        <f>ALK33</f>
        <v/>
      </c>
      <c r="ALM33">
        <f>ALL33</f>
        <v/>
      </c>
      <c r="ALN33">
        <f>ALM33</f>
        <v/>
      </c>
      <c r="ALO33">
        <f>ALN33</f>
        <v/>
      </c>
      <c r="ALP33">
        <f>ALO33</f>
        <v/>
      </c>
      <c r="ALQ33">
        <f>ALP33</f>
        <v/>
      </c>
      <c r="ALR33">
        <f>ALQ33</f>
        <v/>
      </c>
      <c r="ALS33">
        <f>ALR33</f>
        <v/>
      </c>
      <c r="ALT33" s="130" t="n"/>
      <c r="ALU33">
        <f>ALT33</f>
        <v/>
      </c>
      <c r="ALV33">
        <f>ALU33</f>
        <v/>
      </c>
      <c r="ALW33">
        <f>ALV33</f>
        <v/>
      </c>
      <c r="ALX33">
        <f>ALW33</f>
        <v/>
      </c>
      <c r="ALY33">
        <f>ALX33</f>
        <v/>
      </c>
      <c r="ALZ33">
        <f>ALY33</f>
        <v/>
      </c>
      <c r="AMA33">
        <f>ALZ33</f>
        <v/>
      </c>
      <c r="AMB33">
        <f>AMA33</f>
        <v/>
      </c>
      <c r="AMC33">
        <f>AMB33</f>
        <v/>
      </c>
      <c r="AMD33">
        <f>AMC33</f>
        <v/>
      </c>
      <c r="AME33">
        <f>AMD33</f>
        <v/>
      </c>
      <c r="AMF33">
        <f>AME33</f>
        <v/>
      </c>
      <c r="AMG33">
        <f>AMF33</f>
        <v/>
      </c>
      <c r="AMH33">
        <f>AMG33</f>
        <v/>
      </c>
      <c r="AMI33">
        <f>AMH33</f>
        <v/>
      </c>
      <c r="AMJ33">
        <f>AMI33</f>
        <v/>
      </c>
      <c r="AMK33">
        <f>AMJ33</f>
        <v/>
      </c>
      <c r="AML33">
        <f>AMK33</f>
        <v/>
      </c>
      <c r="AMM33">
        <f>AML33</f>
        <v/>
      </c>
      <c r="AMN33">
        <f>AMM33</f>
        <v/>
      </c>
      <c r="AMO33">
        <f>AMN33</f>
        <v/>
      </c>
      <c r="AMP33">
        <f>AMO33</f>
        <v/>
      </c>
      <c r="AMQ33">
        <f>AMP33</f>
        <v/>
      </c>
      <c r="AMR33">
        <f>AMQ33</f>
        <v/>
      </c>
      <c r="AMS33">
        <f>AMR33</f>
        <v/>
      </c>
      <c r="AMT33">
        <f>AMS33</f>
        <v/>
      </c>
      <c r="AMU33">
        <f>AMT33</f>
        <v/>
      </c>
      <c r="AMV33">
        <f>AMU33</f>
        <v/>
      </c>
      <c r="AMW33">
        <f>AMV33</f>
        <v/>
      </c>
      <c r="AMX33">
        <f>AMW33</f>
        <v/>
      </c>
      <c r="AMY33" s="130" t="n"/>
      <c r="AMZ33">
        <f>AMY33</f>
        <v/>
      </c>
      <c r="ANA33">
        <f>AMZ33</f>
        <v/>
      </c>
      <c r="ANB33">
        <f>ANA33</f>
        <v/>
      </c>
      <c r="ANC33">
        <f>ANB33</f>
        <v/>
      </c>
      <c r="AND33">
        <f>ANC33</f>
        <v/>
      </c>
      <c r="ANE33">
        <f>AND33</f>
        <v/>
      </c>
      <c r="ANF33">
        <f>ANE33</f>
        <v/>
      </c>
      <c r="ANG33">
        <f>ANF33</f>
        <v/>
      </c>
      <c r="ANH33">
        <f>ANG33</f>
        <v/>
      </c>
      <c r="ANI33">
        <f>ANH33</f>
        <v/>
      </c>
      <c r="ANJ33">
        <f>ANI33</f>
        <v/>
      </c>
      <c r="ANK33">
        <f>ANJ33</f>
        <v/>
      </c>
      <c r="ANL33">
        <f>ANK33</f>
        <v/>
      </c>
      <c r="ANM33">
        <f>ANL33</f>
        <v/>
      </c>
      <c r="ANN33">
        <f>ANM33</f>
        <v/>
      </c>
      <c r="ANO33">
        <f>ANN33</f>
        <v/>
      </c>
      <c r="ANP33">
        <f>ANO33</f>
        <v/>
      </c>
      <c r="ANQ33">
        <f>ANP33</f>
        <v/>
      </c>
      <c r="ANR33">
        <f>ANQ33</f>
        <v/>
      </c>
      <c r="ANS33">
        <f>ANR33</f>
        <v/>
      </c>
      <c r="ANT33">
        <f>ANS33</f>
        <v/>
      </c>
      <c r="ANU33">
        <f>ANT33</f>
        <v/>
      </c>
      <c r="ANV33">
        <f>ANU33</f>
        <v/>
      </c>
      <c r="ANW33">
        <f>ANV33</f>
        <v/>
      </c>
      <c r="ANX33">
        <f>ANW33</f>
        <v/>
      </c>
      <c r="ANY33">
        <f>ANX33</f>
        <v/>
      </c>
      <c r="ANZ33">
        <f>ANY33</f>
        <v/>
      </c>
      <c r="AOA33">
        <f>ANZ33</f>
        <v/>
      </c>
      <c r="AOB33">
        <f>AOA33</f>
        <v/>
      </c>
      <c r="AOC33">
        <f>AOB33</f>
        <v/>
      </c>
    </row>
    <row r="34">
      <c r="B34" t="inlineStr">
        <is>
          <t>megnum</t>
        </is>
      </c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98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  <c r="BC34" s="82" t="n"/>
      <c r="BD34" s="82" t="n"/>
      <c r="BE34" s="82" t="n"/>
      <c r="BF34" s="82" t="n"/>
      <c r="BG34" s="82" t="n"/>
      <c r="BH34" s="82" t="n"/>
      <c r="BI34" s="82" t="n"/>
      <c r="BJ34" s="82" t="n"/>
      <c r="BK34" s="82" t="n"/>
      <c r="BL34" s="82" t="n"/>
      <c r="BM34" s="106" t="n"/>
      <c r="BN34" s="82" t="n"/>
      <c r="BO34" s="82" t="n"/>
      <c r="BP34" s="82" t="n"/>
      <c r="BQ34" s="82" t="n"/>
      <c r="BR34" s="82" t="n"/>
      <c r="BS34" s="82" t="n"/>
      <c r="BT34" s="82" t="n"/>
      <c r="BU34" s="82" t="n"/>
      <c r="BV34" s="82" t="n"/>
      <c r="BW34" s="82" t="n"/>
      <c r="BX34" s="82" t="n"/>
      <c r="BY34" s="82" t="n"/>
      <c r="BZ34" s="82" t="n"/>
      <c r="CA34" s="82" t="n"/>
      <c r="CB34" s="82" t="n"/>
      <c r="CC34" s="82" t="n"/>
      <c r="CD34" s="82" t="n"/>
      <c r="CE34" s="82" t="n"/>
      <c r="CF34" s="82" t="n"/>
      <c r="CG34" s="82" t="n"/>
      <c r="CH34" s="82" t="n"/>
      <c r="CI34" s="82" t="n"/>
      <c r="CJ34" s="82" t="n"/>
      <c r="CK34" s="82" t="n"/>
      <c r="CL34" s="82" t="n"/>
      <c r="CM34" s="82" t="n"/>
      <c r="CN34" s="82" t="n"/>
      <c r="CO34" s="82" t="n"/>
      <c r="CP34" s="82" t="n"/>
      <c r="CQ34" s="82" t="n"/>
      <c r="CR34" s="82" t="n"/>
      <c r="CT34" s="82" t="n"/>
      <c r="CU34" s="82" t="n"/>
      <c r="CV34" s="82" t="n"/>
      <c r="CW34" s="82" t="n"/>
      <c r="CX34" s="82" t="n"/>
      <c r="CY34" s="82" t="n"/>
      <c r="CZ34" s="82" t="n"/>
      <c r="DA34" s="82" t="n"/>
      <c r="DB34" s="82" t="n"/>
      <c r="DC34" s="82" t="n"/>
      <c r="DD34" s="82" t="n"/>
      <c r="DE34" s="82" t="n"/>
      <c r="DF34" s="82" t="n"/>
      <c r="DG34" s="82" t="n"/>
      <c r="DH34" s="82" t="n"/>
      <c r="DI34" s="82" t="n"/>
      <c r="DJ34" s="82" t="n"/>
      <c r="DK34" s="82" t="n"/>
      <c r="DL34" s="82" t="n"/>
      <c r="DM34" s="82" t="n"/>
      <c r="DN34" s="82" t="n"/>
      <c r="DO34" s="82" t="n"/>
      <c r="DP34" s="82" t="n"/>
      <c r="DQ34" s="82" t="n"/>
      <c r="DR34" s="82" t="n"/>
      <c r="DS34" s="82" t="n"/>
      <c r="DT34" s="82" t="n"/>
      <c r="DU34" s="82" t="n"/>
      <c r="DV34" s="82" t="n"/>
      <c r="DW34" s="82" t="n"/>
      <c r="DX34" s="117" t="n"/>
      <c r="DY34" s="82" t="n"/>
      <c r="DZ34" s="82" t="n"/>
      <c r="EA34" s="82" t="n"/>
      <c r="EB34" s="82" t="n"/>
      <c r="EC34" s="82" t="n"/>
      <c r="ED34" s="82" t="n"/>
      <c r="EE34" s="82" t="n"/>
      <c r="EF34" s="82" t="n"/>
      <c r="EG34" s="82" t="n"/>
      <c r="EH34" s="82" t="n"/>
      <c r="EI34" s="82" t="n"/>
      <c r="EJ34" s="82" t="n"/>
      <c r="EK34" s="82" t="n"/>
      <c r="EL34" s="82" t="n"/>
      <c r="EM34" s="82" t="n"/>
      <c r="EN34" s="82" t="n"/>
      <c r="EO34" s="82" t="n"/>
      <c r="EP34" s="82" t="n"/>
      <c r="EQ34" s="82" t="n"/>
      <c r="ER34" s="82" t="n"/>
      <c r="ES34" s="82" t="n"/>
      <c r="ET34" s="82" t="n"/>
      <c r="EU34" s="82" t="n"/>
      <c r="EV34" s="82" t="n"/>
      <c r="EW34" s="82" t="n"/>
      <c r="EX34" s="82" t="n"/>
      <c r="EY34" s="82" t="n"/>
      <c r="EZ34" s="82" t="n"/>
      <c r="FA34" s="82" t="n"/>
      <c r="FB34" s="82" t="n"/>
      <c r="FC34" s="82" t="n"/>
      <c r="FD34" s="126" t="n"/>
      <c r="FE34" s="82" t="n"/>
      <c r="FF34" s="82" t="n"/>
      <c r="FG34" s="82" t="n"/>
      <c r="FH34" s="82" t="n"/>
      <c r="FI34" s="82" t="n"/>
      <c r="FJ34" s="82" t="n"/>
      <c r="FK34" s="82" t="n"/>
      <c r="FL34" s="82" t="n"/>
      <c r="FM34" s="82" t="n"/>
      <c r="FN34" s="82" t="n"/>
      <c r="FO34" s="82" t="n"/>
      <c r="FP34" s="82" t="n"/>
      <c r="FQ34" s="82" t="n"/>
      <c r="FR34" s="82" t="n"/>
      <c r="FS34" s="82" t="n"/>
      <c r="FT34" s="82" t="n"/>
      <c r="FU34" s="82" t="n"/>
      <c r="FV34" s="82" t="n"/>
      <c r="FW34" s="82" t="n"/>
      <c r="FX34" s="82" t="n"/>
      <c r="FY34" s="82" t="n"/>
      <c r="FZ34" s="82" t="n"/>
      <c r="GA34" s="82" t="n"/>
      <c r="GB34" s="82" t="n"/>
      <c r="GC34" s="82" t="n"/>
      <c r="GD34" s="82" t="n"/>
      <c r="GE34" s="82" t="n"/>
      <c r="GF34" s="82" t="n"/>
      <c r="GG34" s="82" t="n"/>
      <c r="GH34" s="82" t="n"/>
      <c r="GI34" s="82" t="n"/>
      <c r="GJ34" s="130" t="n"/>
      <c r="HD34" t="n">
        <v>1200000</v>
      </c>
      <c r="HE34">
        <f>HD34</f>
        <v/>
      </c>
      <c r="HF34">
        <f>HE34</f>
        <v/>
      </c>
      <c r="HG34">
        <f>HF34</f>
        <v/>
      </c>
      <c r="HH34">
        <f>HG34+400000</f>
        <v/>
      </c>
      <c r="HI34">
        <f>HH34</f>
        <v/>
      </c>
      <c r="HJ34">
        <f>HI34</f>
        <v/>
      </c>
      <c r="HK34">
        <f>HJ34</f>
        <v/>
      </c>
      <c r="HL34">
        <f>HK34</f>
        <v/>
      </c>
      <c r="HM34">
        <f>HL34</f>
        <v/>
      </c>
      <c r="HN34" s="130" t="n"/>
      <c r="HO34">
        <f>HM34</f>
        <v/>
      </c>
      <c r="HP34">
        <f>HO34+100000</f>
        <v/>
      </c>
      <c r="HQ34">
        <f>HP34</f>
        <v/>
      </c>
      <c r="HR34">
        <f>HP34</f>
        <v/>
      </c>
      <c r="HS34">
        <f>HQ34</f>
        <v/>
      </c>
      <c r="HT34">
        <f>HR34</f>
        <v/>
      </c>
      <c r="HU34">
        <f>HS34</f>
        <v/>
      </c>
      <c r="HV34">
        <f>HT34</f>
        <v/>
      </c>
      <c r="HW34">
        <f>HU34</f>
        <v/>
      </c>
      <c r="HX34">
        <f>HV34</f>
        <v/>
      </c>
      <c r="HY34">
        <f>HW34</f>
        <v/>
      </c>
      <c r="HZ34">
        <f>HX34</f>
        <v/>
      </c>
      <c r="IA34">
        <f>HY34</f>
        <v/>
      </c>
      <c r="IB34">
        <f>HZ34</f>
        <v/>
      </c>
      <c r="IC34">
        <f>IA34</f>
        <v/>
      </c>
      <c r="ID34">
        <f>IB34+200000</f>
        <v/>
      </c>
      <c r="IE34">
        <f>ID34</f>
        <v/>
      </c>
      <c r="IF34">
        <f>ID34</f>
        <v/>
      </c>
      <c r="IG34">
        <f>IE34</f>
        <v/>
      </c>
      <c r="IH34">
        <f>IF34</f>
        <v/>
      </c>
      <c r="II34">
        <f>IG34</f>
        <v/>
      </c>
      <c r="IJ34">
        <f>IH34</f>
        <v/>
      </c>
      <c r="IK34">
        <f>II34</f>
        <v/>
      </c>
      <c r="IL34">
        <f>IJ34</f>
        <v/>
      </c>
      <c r="IM34">
        <f>IK34</f>
        <v/>
      </c>
      <c r="IN34">
        <f>IL34</f>
        <v/>
      </c>
      <c r="IO34">
        <f>IM34</f>
        <v/>
      </c>
      <c r="IP34">
        <f>IN34</f>
        <v/>
      </c>
      <c r="IQ34">
        <f>IO34</f>
        <v/>
      </c>
      <c r="IR34">
        <f>IP34</f>
        <v/>
      </c>
      <c r="IS34">
        <f>IQ34</f>
        <v/>
      </c>
      <c r="IT34" s="130" t="n"/>
      <c r="IU34">
        <f>IS34</f>
        <v/>
      </c>
      <c r="IV34">
        <f>IU34</f>
        <v/>
      </c>
      <c r="IW34">
        <f>IV34</f>
        <v/>
      </c>
      <c r="IX34">
        <f>IW34</f>
        <v/>
      </c>
      <c r="IY34">
        <f>IX34</f>
        <v/>
      </c>
      <c r="IZ34">
        <f>IY34</f>
        <v/>
      </c>
      <c r="JA34">
        <f>IZ34</f>
        <v/>
      </c>
      <c r="JB34">
        <f>JA34</f>
        <v/>
      </c>
      <c r="JC34">
        <f>JB34</f>
        <v/>
      </c>
      <c r="JD34">
        <f>JC34</f>
        <v/>
      </c>
      <c r="JE34">
        <f>JD34</f>
        <v/>
      </c>
      <c r="JF34">
        <f>JE34</f>
        <v/>
      </c>
      <c r="JG34">
        <f>JF34</f>
        <v/>
      </c>
      <c r="JH34">
        <f>JG34</f>
        <v/>
      </c>
      <c r="JI34">
        <f>JH34</f>
        <v/>
      </c>
      <c r="JJ34">
        <f>JI34</f>
        <v/>
      </c>
      <c r="JK34">
        <f>JJ34</f>
        <v/>
      </c>
      <c r="JL34">
        <f>JK34</f>
        <v/>
      </c>
      <c r="JM34">
        <f>JL34</f>
        <v/>
      </c>
      <c r="JN34">
        <f>JM34</f>
        <v/>
      </c>
      <c r="JO34">
        <f>JN34</f>
        <v/>
      </c>
      <c r="JP34">
        <f>JO34</f>
        <v/>
      </c>
      <c r="JQ34">
        <f>JP34</f>
        <v/>
      </c>
      <c r="JR34">
        <f>JQ34</f>
        <v/>
      </c>
      <c r="JS34">
        <f>JR34</f>
        <v/>
      </c>
      <c r="JT34">
        <f>JS34</f>
        <v/>
      </c>
      <c r="JU34">
        <f>JT34</f>
        <v/>
      </c>
      <c r="JV34">
        <f>JU34</f>
        <v/>
      </c>
      <c r="JW34">
        <f>JV34</f>
        <v/>
      </c>
      <c r="JX34">
        <f>JW34</f>
        <v/>
      </c>
      <c r="JY34" s="130" t="n"/>
      <c r="JZ34">
        <f>JX34</f>
        <v/>
      </c>
      <c r="KA34">
        <f>JZ34</f>
        <v/>
      </c>
      <c r="KB34">
        <f>JZ34</f>
        <v/>
      </c>
      <c r="KC34">
        <f>KA34</f>
        <v/>
      </c>
      <c r="KD34">
        <f>KB34</f>
        <v/>
      </c>
      <c r="KE34">
        <f>KC34</f>
        <v/>
      </c>
      <c r="KF34">
        <f>KD34</f>
        <v/>
      </c>
      <c r="KG34">
        <f>KE34</f>
        <v/>
      </c>
      <c r="KH34">
        <f>KF34</f>
        <v/>
      </c>
      <c r="KI34">
        <f>KG34</f>
        <v/>
      </c>
      <c r="KJ34">
        <f>KH34</f>
        <v/>
      </c>
      <c r="KK34">
        <f>KI34</f>
        <v/>
      </c>
      <c r="KL34">
        <f>KJ34</f>
        <v/>
      </c>
      <c r="KM34">
        <f>KK34</f>
        <v/>
      </c>
      <c r="KN34">
        <f>KL34</f>
        <v/>
      </c>
      <c r="KO34">
        <f>KM34</f>
        <v/>
      </c>
      <c r="KP34">
        <f>KN34</f>
        <v/>
      </c>
      <c r="KQ34">
        <f>KO34</f>
        <v/>
      </c>
      <c r="KR34">
        <f>KP34</f>
        <v/>
      </c>
      <c r="KS34">
        <f>KQ34</f>
        <v/>
      </c>
      <c r="KT34">
        <f>KR34</f>
        <v/>
      </c>
      <c r="KU34">
        <f>KS34</f>
        <v/>
      </c>
      <c r="KV34">
        <f>KT34</f>
        <v/>
      </c>
      <c r="KW34">
        <f>KU34</f>
        <v/>
      </c>
      <c r="KX34">
        <f>KV34</f>
        <v/>
      </c>
      <c r="KY34">
        <f>KW34</f>
        <v/>
      </c>
      <c r="KZ34">
        <f>KX34</f>
        <v/>
      </c>
      <c r="LA34" t="n">
        <v>0</v>
      </c>
      <c r="LB34" t="n">
        <v>0</v>
      </c>
      <c r="LC34">
        <f>LA34</f>
        <v/>
      </c>
      <c r="LD34">
        <f>LB34</f>
        <v/>
      </c>
      <c r="LE34" s="130" t="n"/>
      <c r="LF34">
        <f>LD34</f>
        <v/>
      </c>
      <c r="LG34">
        <f>LE34</f>
        <v/>
      </c>
      <c r="LH34">
        <f>LF34</f>
        <v/>
      </c>
      <c r="LI34">
        <f>LG34</f>
        <v/>
      </c>
      <c r="LJ34">
        <f>LH34</f>
        <v/>
      </c>
      <c r="LK34">
        <f>LI34</f>
        <v/>
      </c>
      <c r="LL34">
        <f>LJ34</f>
        <v/>
      </c>
      <c r="LM34">
        <f>LK34</f>
        <v/>
      </c>
      <c r="LN34">
        <f>LL34</f>
        <v/>
      </c>
      <c r="LO34">
        <f>LM34</f>
        <v/>
      </c>
      <c r="LP34">
        <f>LN34</f>
        <v/>
      </c>
      <c r="LQ34">
        <f>LO34</f>
        <v/>
      </c>
      <c r="LR34">
        <f>LP34</f>
        <v/>
      </c>
      <c r="LS34">
        <f>LQ34</f>
        <v/>
      </c>
      <c r="LT34">
        <f>LR34</f>
        <v/>
      </c>
      <c r="LU34">
        <f>LS34</f>
        <v/>
      </c>
      <c r="LV34">
        <f>LT34</f>
        <v/>
      </c>
      <c r="LW34">
        <f>LU34</f>
        <v/>
      </c>
      <c r="LX34">
        <f>LV34</f>
        <v/>
      </c>
      <c r="LY34">
        <f>LW34</f>
        <v/>
      </c>
      <c r="LZ34">
        <f>LX34</f>
        <v/>
      </c>
      <c r="MA34">
        <f>LY34</f>
        <v/>
      </c>
      <c r="MB34">
        <f>LZ34</f>
        <v/>
      </c>
      <c r="MC34">
        <f>MA34</f>
        <v/>
      </c>
      <c r="MD34">
        <f>MB34</f>
        <v/>
      </c>
      <c r="ME34">
        <f>MC34</f>
        <v/>
      </c>
      <c r="MF34">
        <f>MD34</f>
        <v/>
      </c>
      <c r="MG34">
        <f>ME34</f>
        <v/>
      </c>
      <c r="MH34">
        <f>MF34</f>
        <v/>
      </c>
      <c r="MI34">
        <f>MG34</f>
        <v/>
      </c>
      <c r="MJ34" s="130" t="n"/>
      <c r="MK34">
        <f>MI34</f>
        <v/>
      </c>
      <c r="ML34">
        <f>MJ34</f>
        <v/>
      </c>
      <c r="MM34">
        <f>MK34</f>
        <v/>
      </c>
      <c r="MN34">
        <f>ML34</f>
        <v/>
      </c>
      <c r="MO34">
        <f>MM34</f>
        <v/>
      </c>
      <c r="MP34">
        <f>MN34</f>
        <v/>
      </c>
      <c r="MQ34">
        <f>MO34</f>
        <v/>
      </c>
      <c r="MR34">
        <f>MP34</f>
        <v/>
      </c>
      <c r="MS34">
        <f>MQ34</f>
        <v/>
      </c>
      <c r="MT34">
        <f>MR34</f>
        <v/>
      </c>
      <c r="MU34">
        <f>MS34</f>
        <v/>
      </c>
      <c r="MV34">
        <f>MT34</f>
        <v/>
      </c>
      <c r="MW34">
        <f>MU34</f>
        <v/>
      </c>
      <c r="MX34">
        <f>MV34</f>
        <v/>
      </c>
      <c r="MY34">
        <f>MW34</f>
        <v/>
      </c>
      <c r="MZ34">
        <f>MX34</f>
        <v/>
      </c>
      <c r="NA34">
        <f>MY34</f>
        <v/>
      </c>
      <c r="NB34">
        <f>MZ34</f>
        <v/>
      </c>
      <c r="NC34">
        <f>NA34</f>
        <v/>
      </c>
      <c r="ND34">
        <f>NB34</f>
        <v/>
      </c>
      <c r="NE34">
        <f>NC34</f>
        <v/>
      </c>
      <c r="NF34">
        <f>ND34</f>
        <v/>
      </c>
      <c r="NG34">
        <f>NE34</f>
        <v/>
      </c>
      <c r="NH34">
        <f>NF34</f>
        <v/>
      </c>
      <c r="NI34">
        <f>NG34</f>
        <v/>
      </c>
      <c r="NJ34">
        <f>NH34</f>
        <v/>
      </c>
      <c r="NK34">
        <f>NI34</f>
        <v/>
      </c>
      <c r="NL34">
        <f>NJ34</f>
        <v/>
      </c>
      <c r="NM34">
        <f>NK34</f>
        <v/>
      </c>
      <c r="NN34">
        <f>NL34</f>
        <v/>
      </c>
      <c r="NO34">
        <f>NM34</f>
        <v/>
      </c>
      <c r="NP34" s="130" t="n"/>
      <c r="NQ34">
        <f>NO34</f>
        <v/>
      </c>
      <c r="NR34">
        <f>NP34</f>
        <v/>
      </c>
      <c r="NS34">
        <f>NQ34</f>
        <v/>
      </c>
      <c r="NT34">
        <f>NR34</f>
        <v/>
      </c>
      <c r="NU34">
        <f>NS34</f>
        <v/>
      </c>
      <c r="NV34">
        <f>NT34</f>
        <v/>
      </c>
      <c r="NW34">
        <f>NU34</f>
        <v/>
      </c>
      <c r="NX34">
        <f>NV34</f>
        <v/>
      </c>
      <c r="NY34">
        <f>NW34</f>
        <v/>
      </c>
      <c r="NZ34">
        <f>NX34</f>
        <v/>
      </c>
      <c r="OA34">
        <f>NY34</f>
        <v/>
      </c>
      <c r="OB34">
        <f>NZ34</f>
        <v/>
      </c>
      <c r="OC34">
        <f>OA34</f>
        <v/>
      </c>
      <c r="OD34">
        <f>OB34</f>
        <v/>
      </c>
      <c r="OE34">
        <f>OC34</f>
        <v/>
      </c>
      <c r="OF34">
        <f>OD34</f>
        <v/>
      </c>
      <c r="OG34">
        <f>OE34</f>
        <v/>
      </c>
      <c r="OH34">
        <f>OF34</f>
        <v/>
      </c>
      <c r="OI34">
        <f>OG34</f>
        <v/>
      </c>
      <c r="OJ34">
        <f>OH34</f>
        <v/>
      </c>
      <c r="OK34">
        <f>OI34</f>
        <v/>
      </c>
      <c r="OL34">
        <f>OJ34</f>
        <v/>
      </c>
      <c r="OM34">
        <f>OK34</f>
        <v/>
      </c>
      <c r="ON34">
        <f>OL34</f>
        <v/>
      </c>
      <c r="OO34">
        <f>OM34</f>
        <v/>
      </c>
      <c r="OP34">
        <f>ON34</f>
        <v/>
      </c>
      <c r="OQ34">
        <f>OO34</f>
        <v/>
      </c>
      <c r="OR34">
        <f>OP34</f>
        <v/>
      </c>
      <c r="OS34">
        <f>OQ34</f>
        <v/>
      </c>
      <c r="OT34">
        <f>OR34</f>
        <v/>
      </c>
      <c r="OU34">
        <f>OS34</f>
        <v/>
      </c>
      <c r="OV34" s="130" t="n"/>
      <c r="OW34">
        <f>OU34</f>
        <v/>
      </c>
      <c r="OX34">
        <f>OV34</f>
        <v/>
      </c>
      <c r="OY34">
        <f>OW34</f>
        <v/>
      </c>
      <c r="OZ34" t="n">
        <v>294117</v>
      </c>
      <c r="PA34">
        <f>OZ34</f>
        <v/>
      </c>
      <c r="PB34">
        <f>OZ34</f>
        <v/>
      </c>
      <c r="PC34" t="n">
        <v>0</v>
      </c>
      <c r="PD34" t="n">
        <v>0</v>
      </c>
      <c r="PE34">
        <f>PC34</f>
        <v/>
      </c>
      <c r="PF34">
        <f>PD34</f>
        <v/>
      </c>
      <c r="PG34">
        <f>PE34</f>
        <v/>
      </c>
      <c r="PH34">
        <f>PF34</f>
        <v/>
      </c>
      <c r="PI34">
        <f>PG34</f>
        <v/>
      </c>
      <c r="PJ34">
        <f>PH34</f>
        <v/>
      </c>
      <c r="PK34">
        <f>PI34</f>
        <v/>
      </c>
      <c r="PL34">
        <f>PJ34</f>
        <v/>
      </c>
      <c r="PM34">
        <f>PK34</f>
        <v/>
      </c>
      <c r="PN34">
        <f>PL34</f>
        <v/>
      </c>
      <c r="PO34">
        <f>PM34</f>
        <v/>
      </c>
      <c r="PP34">
        <f>PN34</f>
        <v/>
      </c>
      <c r="PQ34">
        <f>PO34</f>
        <v/>
      </c>
      <c r="PR34">
        <f>PP34</f>
        <v/>
      </c>
      <c r="PS34">
        <f>PQ34</f>
        <v/>
      </c>
      <c r="PT34">
        <f>PR34</f>
        <v/>
      </c>
      <c r="PU34">
        <f>PS34</f>
        <v/>
      </c>
      <c r="PV34">
        <f>PT34</f>
        <v/>
      </c>
      <c r="PW34">
        <f>PU34</f>
        <v/>
      </c>
      <c r="PX34">
        <f>PV34</f>
        <v/>
      </c>
      <c r="PY34">
        <f>PW34</f>
        <v/>
      </c>
      <c r="PZ34">
        <f>PX34</f>
        <v/>
      </c>
      <c r="QA34" s="130" t="n"/>
      <c r="QB34">
        <f>PZ34</f>
        <v/>
      </c>
      <c r="QC34">
        <f>QA34</f>
        <v/>
      </c>
      <c r="QD34">
        <f>QB34</f>
        <v/>
      </c>
      <c r="QE34">
        <f>QC34</f>
        <v/>
      </c>
      <c r="QF34">
        <f>QD34</f>
        <v/>
      </c>
      <c r="QG34">
        <f>QE34</f>
        <v/>
      </c>
      <c r="QH34">
        <f>QF34</f>
        <v/>
      </c>
      <c r="QI34">
        <f>QG34</f>
        <v/>
      </c>
      <c r="QJ34">
        <f>QH34</f>
        <v/>
      </c>
      <c r="QK34">
        <f>QI34</f>
        <v/>
      </c>
      <c r="QL34">
        <f>QJ34</f>
        <v/>
      </c>
      <c r="QM34">
        <f>QK34</f>
        <v/>
      </c>
      <c r="QN34">
        <f>QL34</f>
        <v/>
      </c>
      <c r="QO34">
        <f>QM34</f>
        <v/>
      </c>
      <c r="QP34">
        <f>QN34</f>
        <v/>
      </c>
      <c r="QQ34">
        <f>QO34</f>
        <v/>
      </c>
      <c r="QR34">
        <f>QP34</f>
        <v/>
      </c>
      <c r="QS34">
        <f>QQ34</f>
        <v/>
      </c>
      <c r="QT34">
        <f>QR34</f>
        <v/>
      </c>
      <c r="QU34">
        <f>QS34</f>
        <v/>
      </c>
      <c r="QV34">
        <f>QT34</f>
        <v/>
      </c>
      <c r="QW34">
        <f>QU34</f>
        <v/>
      </c>
      <c r="QX34">
        <f>QV34</f>
        <v/>
      </c>
      <c r="QY34">
        <f>QW34</f>
        <v/>
      </c>
      <c r="QZ34">
        <f>QX34</f>
        <v/>
      </c>
      <c r="RA34">
        <f>QY34</f>
        <v/>
      </c>
      <c r="RB34">
        <f>QZ34</f>
        <v/>
      </c>
      <c r="RC34">
        <f>RA34</f>
        <v/>
      </c>
      <c r="RD34">
        <f>RB34</f>
        <v/>
      </c>
      <c r="RE34">
        <f>RC34</f>
        <v/>
      </c>
      <c r="RF34">
        <f>RD34</f>
        <v/>
      </c>
      <c r="RG34" s="130" t="n"/>
      <c r="RH34">
        <f>RF34</f>
        <v/>
      </c>
      <c r="RI34">
        <f>RG34</f>
        <v/>
      </c>
      <c r="RJ34">
        <f>RH34</f>
        <v/>
      </c>
      <c r="RK34">
        <f>RI34</f>
        <v/>
      </c>
      <c r="RL34">
        <f>RJ34</f>
        <v/>
      </c>
      <c r="RM34">
        <f>RK34</f>
        <v/>
      </c>
      <c r="RN34">
        <f>RL34</f>
        <v/>
      </c>
      <c r="RO34">
        <f>RM34</f>
        <v/>
      </c>
      <c r="RP34">
        <f>RN34</f>
        <v/>
      </c>
      <c r="RQ34">
        <f>RO34</f>
        <v/>
      </c>
      <c r="RR34">
        <f>RP34</f>
        <v/>
      </c>
      <c r="RS34">
        <f>RQ34</f>
        <v/>
      </c>
      <c r="RT34">
        <f>RR34</f>
        <v/>
      </c>
      <c r="RU34">
        <f>RS34</f>
        <v/>
      </c>
      <c r="RV34">
        <f>RT34</f>
        <v/>
      </c>
      <c r="RW34">
        <f>RU34</f>
        <v/>
      </c>
      <c r="RX34">
        <f>RV34</f>
        <v/>
      </c>
      <c r="RY34">
        <f>RW34</f>
        <v/>
      </c>
      <c r="RZ34">
        <f>RX34</f>
        <v/>
      </c>
      <c r="SA34">
        <f>RY34</f>
        <v/>
      </c>
      <c r="SB34">
        <f>RZ34</f>
        <v/>
      </c>
      <c r="SC34">
        <f>SA34</f>
        <v/>
      </c>
      <c r="SD34">
        <f>SB34</f>
        <v/>
      </c>
      <c r="SE34">
        <f>SC34</f>
        <v/>
      </c>
      <c r="SF34" t="n">
        <v>1356540</v>
      </c>
      <c r="SG34">
        <f>SF34</f>
        <v/>
      </c>
      <c r="SH34">
        <f>SF34</f>
        <v/>
      </c>
      <c r="SI34">
        <f>SG34</f>
        <v/>
      </c>
      <c r="SJ34">
        <f>SH34</f>
        <v/>
      </c>
      <c r="SK34">
        <f>SI34</f>
        <v/>
      </c>
      <c r="SL34" s="130" t="n"/>
      <c r="SM34">
        <f>SK34</f>
        <v/>
      </c>
      <c r="SN34">
        <f>SM34</f>
        <v/>
      </c>
      <c r="SO34">
        <f>SN34</f>
        <v/>
      </c>
      <c r="SP34">
        <f>SO34</f>
        <v/>
      </c>
      <c r="SQ34">
        <f>SP34</f>
        <v/>
      </c>
      <c r="SR34">
        <f>SQ34</f>
        <v/>
      </c>
      <c r="SS34">
        <f>SR34</f>
        <v/>
      </c>
      <c r="ST34">
        <f>SS34</f>
        <v/>
      </c>
      <c r="SU34">
        <f>ST34</f>
        <v/>
      </c>
      <c r="SV34">
        <f>SU34</f>
        <v/>
      </c>
      <c r="SW34">
        <f>SV34</f>
        <v/>
      </c>
      <c r="SX34">
        <f>SW34</f>
        <v/>
      </c>
      <c r="SY34">
        <f>SX34</f>
        <v/>
      </c>
      <c r="SZ34">
        <f>SY34</f>
        <v/>
      </c>
      <c r="TA34">
        <f>SZ34</f>
        <v/>
      </c>
      <c r="TB34">
        <f>TA34</f>
        <v/>
      </c>
      <c r="TC34">
        <f>TB34</f>
        <v/>
      </c>
      <c r="TD34">
        <f>TC34</f>
        <v/>
      </c>
      <c r="TE34">
        <f>TD34</f>
        <v/>
      </c>
      <c r="TF34">
        <f>TE34</f>
        <v/>
      </c>
      <c r="TG34">
        <f>TF34</f>
        <v/>
      </c>
      <c r="TH34">
        <f>TG34</f>
        <v/>
      </c>
      <c r="TI34">
        <f>TH34</f>
        <v/>
      </c>
      <c r="TJ34">
        <f>TI34</f>
        <v/>
      </c>
      <c r="TK34">
        <f>TJ34</f>
        <v/>
      </c>
      <c r="TL34">
        <f>TK34</f>
        <v/>
      </c>
      <c r="TM34">
        <f>TL34</f>
        <v/>
      </c>
      <c r="TN34">
        <f>TM34</f>
        <v/>
      </c>
      <c r="TO34">
        <f>TN34</f>
        <v/>
      </c>
      <c r="TP34">
        <f>TO34</f>
        <v/>
      </c>
      <c r="TQ34">
        <f>TP34</f>
        <v/>
      </c>
      <c r="TR34" s="130" t="n"/>
      <c r="TS34">
        <f>TQ34</f>
        <v/>
      </c>
      <c r="TT34">
        <f>TS34</f>
        <v/>
      </c>
      <c r="TU34">
        <f>TT34</f>
        <v/>
      </c>
      <c r="TV34">
        <f>TU34</f>
        <v/>
      </c>
      <c r="TW34">
        <f>TV34</f>
        <v/>
      </c>
      <c r="TX34">
        <f>TW34</f>
        <v/>
      </c>
      <c r="TY34" t="n">
        <v>0</v>
      </c>
      <c r="TZ34">
        <f>TY34</f>
        <v/>
      </c>
      <c r="UA34">
        <f>TZ34</f>
        <v/>
      </c>
      <c r="UB34">
        <f>UA34</f>
        <v/>
      </c>
      <c r="UC34">
        <f>UB34</f>
        <v/>
      </c>
      <c r="UD34">
        <f>UC34</f>
        <v/>
      </c>
      <c r="UE34">
        <f>UD34</f>
        <v/>
      </c>
      <c r="UF34">
        <f>UE34</f>
        <v/>
      </c>
      <c r="UG34">
        <f>UF34</f>
        <v/>
      </c>
      <c r="UH34">
        <f>UG34</f>
        <v/>
      </c>
      <c r="UI34">
        <f>UH34</f>
        <v/>
      </c>
      <c r="UJ34">
        <f>UI34</f>
        <v/>
      </c>
      <c r="UK34">
        <f>UJ34</f>
        <v/>
      </c>
      <c r="UL34">
        <f>UK34</f>
        <v/>
      </c>
      <c r="UM34">
        <f>UL34</f>
        <v/>
      </c>
      <c r="UN34">
        <f>UM34</f>
        <v/>
      </c>
      <c r="UO34">
        <f>UN34</f>
        <v/>
      </c>
      <c r="UP34">
        <f>UO34</f>
        <v/>
      </c>
      <c r="UQ34">
        <f>UP34</f>
        <v/>
      </c>
      <c r="UR34">
        <f>UQ34</f>
        <v/>
      </c>
      <c r="US34">
        <f>UR34</f>
        <v/>
      </c>
      <c r="UT34">
        <f>US34</f>
        <v/>
      </c>
      <c r="UU34">
        <f>UT34</f>
        <v/>
      </c>
      <c r="UV34">
        <f>UU34</f>
        <v/>
      </c>
      <c r="UW34">
        <f>UV34</f>
        <v/>
      </c>
      <c r="UX34" s="130" t="n"/>
      <c r="UY34">
        <f>UX34</f>
        <v/>
      </c>
      <c r="UZ34">
        <f>UY34</f>
        <v/>
      </c>
      <c r="VA34">
        <f>UZ34</f>
        <v/>
      </c>
      <c r="VB34">
        <f>VA34</f>
        <v/>
      </c>
      <c r="VC34">
        <f>VB34</f>
        <v/>
      </c>
      <c r="VD34">
        <f>VC34</f>
        <v/>
      </c>
      <c r="VE34">
        <f>VD34</f>
        <v/>
      </c>
      <c r="VF34">
        <f>VE34</f>
        <v/>
      </c>
      <c r="VG34">
        <f>VF34</f>
        <v/>
      </c>
      <c r="VH34">
        <f>VG34</f>
        <v/>
      </c>
      <c r="VI34">
        <f>VH34</f>
        <v/>
      </c>
      <c r="VJ34">
        <f>VI34</f>
        <v/>
      </c>
      <c r="VK34">
        <f>VJ34</f>
        <v/>
      </c>
      <c r="VL34">
        <f>VK34</f>
        <v/>
      </c>
      <c r="VM34">
        <f>VL34</f>
        <v/>
      </c>
      <c r="VN34">
        <f>VM34</f>
        <v/>
      </c>
      <c r="VO34">
        <f>VN34</f>
        <v/>
      </c>
      <c r="VP34">
        <f>VO34</f>
        <v/>
      </c>
      <c r="VQ34">
        <f>VP34</f>
        <v/>
      </c>
      <c r="VR34">
        <f>VQ34</f>
        <v/>
      </c>
      <c r="VS34">
        <f>VR34</f>
        <v/>
      </c>
      <c r="VT34">
        <f>VS34</f>
        <v/>
      </c>
      <c r="VU34">
        <f>VT34</f>
        <v/>
      </c>
      <c r="VV34">
        <f>VU34</f>
        <v/>
      </c>
      <c r="VW34">
        <f>VV34</f>
        <v/>
      </c>
      <c r="VX34">
        <f>VW34</f>
        <v/>
      </c>
      <c r="VY34">
        <f>VX34</f>
        <v/>
      </c>
      <c r="VZ34">
        <f>VY34</f>
        <v/>
      </c>
      <c r="WA34" s="130" t="n"/>
      <c r="WB34">
        <f>WA34</f>
        <v/>
      </c>
      <c r="WC34">
        <f>WB34</f>
        <v/>
      </c>
      <c r="WD34">
        <f>WC34</f>
        <v/>
      </c>
      <c r="WE34">
        <f>WD34</f>
        <v/>
      </c>
      <c r="WF34">
        <f>WE34</f>
        <v/>
      </c>
      <c r="WG34">
        <f>WF34</f>
        <v/>
      </c>
      <c r="WH34">
        <f>WG34</f>
        <v/>
      </c>
      <c r="WI34">
        <f>WH34</f>
        <v/>
      </c>
      <c r="WJ34">
        <f>WI34</f>
        <v/>
      </c>
      <c r="WK34">
        <f>WJ34</f>
        <v/>
      </c>
      <c r="WL34">
        <f>WK34</f>
        <v/>
      </c>
      <c r="WM34">
        <f>WL34</f>
        <v/>
      </c>
      <c r="WN34">
        <f>WM34</f>
        <v/>
      </c>
      <c r="WO34">
        <f>WN34</f>
        <v/>
      </c>
      <c r="WP34">
        <f>WO34</f>
        <v/>
      </c>
      <c r="WQ34">
        <f>WP34</f>
        <v/>
      </c>
      <c r="WR34">
        <f>WQ34</f>
        <v/>
      </c>
      <c r="WS34">
        <f>WR34</f>
        <v/>
      </c>
      <c r="WT34">
        <f>WS34</f>
        <v/>
      </c>
      <c r="WU34">
        <f>WT34</f>
        <v/>
      </c>
      <c r="WV34">
        <f>WU34</f>
        <v/>
      </c>
      <c r="WW34">
        <f>WV34</f>
        <v/>
      </c>
      <c r="WX34">
        <f>WW34</f>
        <v/>
      </c>
      <c r="WY34">
        <f>WX34</f>
        <v/>
      </c>
      <c r="WZ34">
        <f>WY34</f>
        <v/>
      </c>
      <c r="XA34">
        <f>WZ34</f>
        <v/>
      </c>
      <c r="XB34">
        <f>XA34</f>
        <v/>
      </c>
      <c r="XC34">
        <f>XB34</f>
        <v/>
      </c>
      <c r="XD34">
        <f>XC34</f>
        <v/>
      </c>
      <c r="XE34">
        <f>XD34</f>
        <v/>
      </c>
      <c r="XF34">
        <f>XE34</f>
        <v/>
      </c>
      <c r="XG34" s="130" t="n"/>
      <c r="XH34">
        <f>XG34</f>
        <v/>
      </c>
      <c r="XI34">
        <f>XH34</f>
        <v/>
      </c>
      <c r="XJ34">
        <f>XI34</f>
        <v/>
      </c>
      <c r="XK34">
        <f>XJ34</f>
        <v/>
      </c>
      <c r="XL34">
        <f>XK34</f>
        <v/>
      </c>
      <c r="XM34">
        <f>XL34</f>
        <v/>
      </c>
      <c r="XN34">
        <f>XM34</f>
        <v/>
      </c>
      <c r="XO34">
        <f>XN34</f>
        <v/>
      </c>
      <c r="XP34">
        <f>XO34</f>
        <v/>
      </c>
      <c r="XQ34">
        <f>XP34</f>
        <v/>
      </c>
      <c r="XR34">
        <f>XQ34</f>
        <v/>
      </c>
      <c r="XS34">
        <f>XR34</f>
        <v/>
      </c>
      <c r="XT34">
        <f>XS34</f>
        <v/>
      </c>
      <c r="XU34">
        <f>XT34</f>
        <v/>
      </c>
      <c r="XV34">
        <f>XU34</f>
        <v/>
      </c>
      <c r="XW34">
        <f>XV34</f>
        <v/>
      </c>
      <c r="XX34">
        <f>XW34</f>
        <v/>
      </c>
      <c r="XY34">
        <f>XX34</f>
        <v/>
      </c>
      <c r="XZ34">
        <f>XY34</f>
        <v/>
      </c>
      <c r="YA34">
        <f>XZ34</f>
        <v/>
      </c>
      <c r="YB34">
        <f>YA34</f>
        <v/>
      </c>
      <c r="YC34">
        <f>YB34</f>
        <v/>
      </c>
      <c r="YD34">
        <f>YC34</f>
        <v/>
      </c>
      <c r="YE34">
        <f>YD34</f>
        <v/>
      </c>
      <c r="YF34">
        <f>YE34</f>
        <v/>
      </c>
      <c r="YG34">
        <f>YF34</f>
        <v/>
      </c>
      <c r="YH34">
        <f>YG34</f>
        <v/>
      </c>
      <c r="YI34">
        <f>YH34</f>
        <v/>
      </c>
      <c r="YJ34">
        <f>YI34</f>
        <v/>
      </c>
      <c r="YK34">
        <f>YJ34</f>
        <v/>
      </c>
      <c r="YL34" s="130" t="n"/>
      <c r="YM34">
        <f>YL34</f>
        <v/>
      </c>
      <c r="YN34">
        <f>YM34</f>
        <v/>
      </c>
      <c r="YO34">
        <f>YN34</f>
        <v/>
      </c>
      <c r="YP34">
        <f>YO34</f>
        <v/>
      </c>
      <c r="YQ34">
        <f>YP34</f>
        <v/>
      </c>
      <c r="YR34">
        <f>YQ34</f>
        <v/>
      </c>
      <c r="YS34">
        <f>YR34</f>
        <v/>
      </c>
      <c r="YT34">
        <f>YS34</f>
        <v/>
      </c>
      <c r="YU34">
        <f>YT34</f>
        <v/>
      </c>
      <c r="YV34">
        <f>YU34</f>
        <v/>
      </c>
      <c r="YW34">
        <f>YV34</f>
        <v/>
      </c>
      <c r="YX34">
        <f>YW34</f>
        <v/>
      </c>
      <c r="YY34">
        <f>YX34</f>
        <v/>
      </c>
      <c r="YZ34">
        <f>YY34</f>
        <v/>
      </c>
      <c r="ZA34">
        <f>YZ34</f>
        <v/>
      </c>
      <c r="ZB34">
        <f>ZA34</f>
        <v/>
      </c>
      <c r="ZC34">
        <f>ZB34</f>
        <v/>
      </c>
      <c r="ZD34">
        <f>ZC34</f>
        <v/>
      </c>
      <c r="ZE34">
        <f>ZD34</f>
        <v/>
      </c>
      <c r="ZF34">
        <f>ZE34</f>
        <v/>
      </c>
      <c r="ZG34">
        <f>ZF34</f>
        <v/>
      </c>
      <c r="ZH34">
        <f>ZG34</f>
        <v/>
      </c>
      <c r="ZI34">
        <f>ZH34</f>
        <v/>
      </c>
      <c r="ZJ34">
        <f>ZI34</f>
        <v/>
      </c>
      <c r="ZK34">
        <f>ZJ34</f>
        <v/>
      </c>
      <c r="ZL34">
        <f>ZK34</f>
        <v/>
      </c>
      <c r="ZM34">
        <f>ZL34</f>
        <v/>
      </c>
      <c r="ZN34">
        <f>ZM34</f>
        <v/>
      </c>
      <c r="ZO34">
        <f>ZN34</f>
        <v/>
      </c>
      <c r="ZP34">
        <f>ZO34</f>
        <v/>
      </c>
      <c r="ZQ34">
        <f>ZP34</f>
        <v/>
      </c>
      <c r="ZR34" s="130" t="n"/>
      <c r="ZS34">
        <f>ZR34</f>
        <v/>
      </c>
      <c r="ZT34">
        <f>ZS34</f>
        <v/>
      </c>
      <c r="ZU34">
        <f>ZT34</f>
        <v/>
      </c>
      <c r="ZV34">
        <f>ZU34</f>
        <v/>
      </c>
      <c r="ZW34">
        <f>ZV34</f>
        <v/>
      </c>
      <c r="ZX34">
        <f>ZW34</f>
        <v/>
      </c>
      <c r="ZY34">
        <f>ZX34</f>
        <v/>
      </c>
      <c r="ZZ34">
        <f>ZY34</f>
        <v/>
      </c>
      <c r="AAA34">
        <f>ZZ34</f>
        <v/>
      </c>
      <c r="AAB34">
        <f>AAA34</f>
        <v/>
      </c>
      <c r="AAC34">
        <f>AAB34</f>
        <v/>
      </c>
      <c r="AAD34">
        <f>AAC34</f>
        <v/>
      </c>
      <c r="AAE34">
        <f>AAD34</f>
        <v/>
      </c>
      <c r="AAF34">
        <f>AAE34</f>
        <v/>
      </c>
      <c r="AAG34">
        <f>AAF34</f>
        <v/>
      </c>
      <c r="AAH34">
        <f>AAG34</f>
        <v/>
      </c>
      <c r="AAI34">
        <f>AAH34</f>
        <v/>
      </c>
      <c r="AAJ34">
        <f>AAI34</f>
        <v/>
      </c>
      <c r="AAK34">
        <f>AAJ34</f>
        <v/>
      </c>
      <c r="AAL34">
        <f>AAK34</f>
        <v/>
      </c>
      <c r="AAM34">
        <f>AAL34</f>
        <v/>
      </c>
      <c r="AAN34">
        <f>AAM34</f>
        <v/>
      </c>
      <c r="AAO34">
        <f>AAN34</f>
        <v/>
      </c>
      <c r="AAP34">
        <f>AAO34</f>
        <v/>
      </c>
      <c r="AAQ34">
        <f>AAP34</f>
        <v/>
      </c>
      <c r="AAR34">
        <f>AAQ34</f>
        <v/>
      </c>
      <c r="AAS34">
        <f>AAR34</f>
        <v/>
      </c>
      <c r="AAT34">
        <f>AAS34</f>
        <v/>
      </c>
      <c r="AAU34">
        <f>AAT34</f>
        <v/>
      </c>
      <c r="AAV34">
        <f>AAU34</f>
        <v/>
      </c>
      <c r="AAW34" s="130" t="n"/>
      <c r="AAX34">
        <f>AAW34</f>
        <v/>
      </c>
      <c r="AAY34">
        <f>AAX34</f>
        <v/>
      </c>
      <c r="AAZ34">
        <f>AAY34</f>
        <v/>
      </c>
      <c r="ABA34">
        <f>AAZ34</f>
        <v/>
      </c>
      <c r="ABB34">
        <f>ABA34</f>
        <v/>
      </c>
      <c r="ABC34">
        <f>ABB34</f>
        <v/>
      </c>
      <c r="ABD34">
        <f>ABC34</f>
        <v/>
      </c>
      <c r="ABE34">
        <f>ABD34</f>
        <v/>
      </c>
      <c r="ABF34">
        <f>ABE34</f>
        <v/>
      </c>
      <c r="ABG34">
        <f>ABF34</f>
        <v/>
      </c>
      <c r="ABH34">
        <f>ABG34</f>
        <v/>
      </c>
      <c r="ABI34">
        <f>ABH34</f>
        <v/>
      </c>
      <c r="ABJ34">
        <f>ABI34</f>
        <v/>
      </c>
      <c r="ABK34">
        <f>ABJ34</f>
        <v/>
      </c>
      <c r="ABL34">
        <f>ABK34</f>
        <v/>
      </c>
      <c r="ABM34">
        <f>ABL34</f>
        <v/>
      </c>
      <c r="ABN34">
        <f>ABM34</f>
        <v/>
      </c>
      <c r="ABO34">
        <f>ABN34</f>
        <v/>
      </c>
      <c r="ABP34">
        <f>ABO34</f>
        <v/>
      </c>
      <c r="ABQ34">
        <f>ABP34</f>
        <v/>
      </c>
      <c r="ABR34">
        <f>ABQ34</f>
        <v/>
      </c>
      <c r="ABS34">
        <f>ABR34</f>
        <v/>
      </c>
      <c r="ABT34">
        <f>ABS34</f>
        <v/>
      </c>
      <c r="ABU34">
        <f>ABT34</f>
        <v/>
      </c>
      <c r="ABV34">
        <f>ABU34</f>
        <v/>
      </c>
      <c r="ABW34">
        <f>ABV34</f>
        <v/>
      </c>
      <c r="ABX34">
        <f>ABW34</f>
        <v/>
      </c>
      <c r="ABY34">
        <f>ABX34</f>
        <v/>
      </c>
      <c r="ABZ34">
        <f>ABY34</f>
        <v/>
      </c>
      <c r="ACA34">
        <f>ABZ34</f>
        <v/>
      </c>
      <c r="ACB34">
        <f>ACA34</f>
        <v/>
      </c>
      <c r="ACC34" s="130" t="n"/>
      <c r="ACD34">
        <f>ACC34</f>
        <v/>
      </c>
      <c r="ACE34">
        <f>ACD34</f>
        <v/>
      </c>
      <c r="ACF34">
        <f>ACE34</f>
        <v/>
      </c>
      <c r="ACG34">
        <f>ACF34</f>
        <v/>
      </c>
      <c r="ACH34">
        <f>ACG34</f>
        <v/>
      </c>
      <c r="ACI34">
        <f>ACH34</f>
        <v/>
      </c>
      <c r="ACJ34">
        <f>ACI34</f>
        <v/>
      </c>
      <c r="ACK34">
        <f>ACJ34</f>
        <v/>
      </c>
      <c r="ACL34">
        <f>ACK34</f>
        <v/>
      </c>
      <c r="ACM34">
        <f>ACL34</f>
        <v/>
      </c>
      <c r="ACN34">
        <f>ACM34</f>
        <v/>
      </c>
      <c r="ACO34">
        <f>ACN34</f>
        <v/>
      </c>
      <c r="ACP34">
        <f>ACO34</f>
        <v/>
      </c>
      <c r="ACQ34">
        <f>ACP34</f>
        <v/>
      </c>
      <c r="ACR34">
        <f>ACQ34</f>
        <v/>
      </c>
      <c r="ACS34">
        <f>ACR34</f>
        <v/>
      </c>
      <c r="ACT34">
        <f>ACS34</f>
        <v/>
      </c>
      <c r="ACU34">
        <f>ACT34</f>
        <v/>
      </c>
      <c r="ACV34">
        <f>ACU34</f>
        <v/>
      </c>
      <c r="ACW34">
        <f>ACV34</f>
        <v/>
      </c>
      <c r="ACX34">
        <f>ACW34</f>
        <v/>
      </c>
      <c r="ACY34">
        <f>ACX34</f>
        <v/>
      </c>
      <c r="ACZ34">
        <f>ACY34</f>
        <v/>
      </c>
      <c r="ADA34">
        <f>ACZ34</f>
        <v/>
      </c>
      <c r="ADB34">
        <f>ADA34</f>
        <v/>
      </c>
      <c r="ADC34">
        <f>ADB34</f>
        <v/>
      </c>
      <c r="ADD34">
        <f>ADC34</f>
        <v/>
      </c>
      <c r="ADE34">
        <f>ADD34</f>
        <v/>
      </c>
      <c r="ADF34">
        <f>ADE34</f>
        <v/>
      </c>
      <c r="ADG34">
        <f>ADF34</f>
        <v/>
      </c>
      <c r="ADH34">
        <f>ADG34</f>
        <v/>
      </c>
      <c r="ADI34" s="130" t="n"/>
      <c r="ADJ34">
        <f>ADI34</f>
        <v/>
      </c>
      <c r="ADK34">
        <f>ADJ34</f>
        <v/>
      </c>
      <c r="ADL34">
        <f>ADK34</f>
        <v/>
      </c>
      <c r="ADM34">
        <f>ADL34</f>
        <v/>
      </c>
      <c r="ADN34">
        <f>ADM34</f>
        <v/>
      </c>
      <c r="ADO34">
        <f>ADN34</f>
        <v/>
      </c>
      <c r="ADP34">
        <f>ADO34</f>
        <v/>
      </c>
      <c r="ADQ34">
        <f>ADP34</f>
        <v/>
      </c>
      <c r="ADR34">
        <f>ADQ34</f>
        <v/>
      </c>
      <c r="ADS34">
        <f>ADR34</f>
        <v/>
      </c>
      <c r="ADT34">
        <f>ADS34</f>
        <v/>
      </c>
      <c r="ADU34">
        <f>ADT34</f>
        <v/>
      </c>
      <c r="ADV34">
        <f>ADU34</f>
        <v/>
      </c>
      <c r="ADW34">
        <f>ADV34</f>
        <v/>
      </c>
      <c r="ADX34">
        <f>ADW34</f>
        <v/>
      </c>
      <c r="ADY34">
        <f>ADX34</f>
        <v/>
      </c>
      <c r="ADZ34">
        <f>ADY34</f>
        <v/>
      </c>
      <c r="AEA34">
        <f>ADZ34</f>
        <v/>
      </c>
      <c r="AEB34">
        <f>AEA34</f>
        <v/>
      </c>
      <c r="AEC34">
        <f>AEB34</f>
        <v/>
      </c>
      <c r="AED34">
        <f>AEC34</f>
        <v/>
      </c>
      <c r="AEE34">
        <f>AED34</f>
        <v/>
      </c>
      <c r="AEF34">
        <f>AEE34</f>
        <v/>
      </c>
      <c r="AEG34">
        <f>AEF34</f>
        <v/>
      </c>
      <c r="AEH34">
        <f>AEG34</f>
        <v/>
      </c>
      <c r="AEI34">
        <f>AEH34</f>
        <v/>
      </c>
      <c r="AEJ34">
        <f>AEI34</f>
        <v/>
      </c>
      <c r="AEK34">
        <f>AEJ34</f>
        <v/>
      </c>
      <c r="AEL34">
        <f>AEK34</f>
        <v/>
      </c>
      <c r="AEM34">
        <f>AEL34</f>
        <v/>
      </c>
      <c r="AEN34" s="130" t="n"/>
      <c r="AEO34">
        <f>AEN34</f>
        <v/>
      </c>
      <c r="AEP34">
        <f>AEO34</f>
        <v/>
      </c>
      <c r="AEQ34">
        <f>AEP34</f>
        <v/>
      </c>
      <c r="AER34">
        <f>AEQ34</f>
        <v/>
      </c>
      <c r="AES34">
        <f>AER34</f>
        <v/>
      </c>
      <c r="AET34">
        <f>AES34</f>
        <v/>
      </c>
      <c r="AEU34">
        <f>AET34</f>
        <v/>
      </c>
      <c r="AEV34">
        <f>AEU34</f>
        <v/>
      </c>
      <c r="AEW34">
        <f>AEV34</f>
        <v/>
      </c>
      <c r="AEX34">
        <f>AEW34</f>
        <v/>
      </c>
      <c r="AEY34">
        <f>AEX34</f>
        <v/>
      </c>
      <c r="AEZ34">
        <f>AEY34</f>
        <v/>
      </c>
      <c r="AFA34">
        <f>AEZ34</f>
        <v/>
      </c>
      <c r="AFB34">
        <f>AFA34</f>
        <v/>
      </c>
      <c r="AFC34">
        <f>AFB34</f>
        <v/>
      </c>
      <c r="AFD34">
        <f>AFC34</f>
        <v/>
      </c>
      <c r="AFE34">
        <f>AFD34</f>
        <v/>
      </c>
      <c r="AFF34">
        <f>AFE34</f>
        <v/>
      </c>
      <c r="AFG34">
        <f>AFF34</f>
        <v/>
      </c>
      <c r="AFH34">
        <f>AFG34</f>
        <v/>
      </c>
      <c r="AFI34">
        <f>AFH34</f>
        <v/>
      </c>
      <c r="AFJ34">
        <f>AFI34</f>
        <v/>
      </c>
      <c r="AFK34">
        <f>AFJ34</f>
        <v/>
      </c>
      <c r="AFL34">
        <f>AFK34</f>
        <v/>
      </c>
      <c r="AFM34">
        <f>AFL34</f>
        <v/>
      </c>
      <c r="AFN34">
        <f>AFM34</f>
        <v/>
      </c>
      <c r="AFO34">
        <f>AFN34</f>
        <v/>
      </c>
      <c r="AFP34">
        <f>AFO34</f>
        <v/>
      </c>
      <c r="AFQ34">
        <f>AFP34</f>
        <v/>
      </c>
      <c r="AFR34">
        <f>AFQ34</f>
        <v/>
      </c>
      <c r="AFS34">
        <f>AFR34</f>
        <v/>
      </c>
      <c r="AFT34" s="130" t="n"/>
      <c r="AFU34">
        <f>AFT34</f>
        <v/>
      </c>
      <c r="AFV34">
        <f>AFU34</f>
        <v/>
      </c>
      <c r="AFW34">
        <f>AFV34</f>
        <v/>
      </c>
      <c r="AFX34">
        <f>AFW34</f>
        <v/>
      </c>
      <c r="AFY34">
        <f>AFX34</f>
        <v/>
      </c>
      <c r="AFZ34">
        <f>AFY34</f>
        <v/>
      </c>
      <c r="AGA34">
        <f>AFZ34</f>
        <v/>
      </c>
      <c r="AGB34">
        <f>AGA34</f>
        <v/>
      </c>
      <c r="AGC34">
        <f>AGB34</f>
        <v/>
      </c>
      <c r="AGD34">
        <f>AGC34</f>
        <v/>
      </c>
      <c r="AGE34">
        <f>AGD34</f>
        <v/>
      </c>
      <c r="AGF34">
        <f>AGE34</f>
        <v/>
      </c>
      <c r="AGG34">
        <f>AGF34</f>
        <v/>
      </c>
      <c r="AGH34">
        <f>AGG34</f>
        <v/>
      </c>
      <c r="AGI34">
        <f>AGH34</f>
        <v/>
      </c>
      <c r="AGJ34">
        <f>AGI34</f>
        <v/>
      </c>
      <c r="AGK34">
        <f>AGJ34</f>
        <v/>
      </c>
      <c r="AGL34">
        <f>AGK34</f>
        <v/>
      </c>
      <c r="AGM34">
        <f>AGL34</f>
        <v/>
      </c>
      <c r="AGN34">
        <f>AGM34</f>
        <v/>
      </c>
      <c r="AGO34">
        <f>AGN34</f>
        <v/>
      </c>
      <c r="AGP34">
        <f>AGO34</f>
        <v/>
      </c>
      <c r="AGQ34">
        <f>AGP34</f>
        <v/>
      </c>
      <c r="AGR34">
        <f>AGQ34</f>
        <v/>
      </c>
      <c r="AGS34">
        <f>AGR34</f>
        <v/>
      </c>
      <c r="AGT34">
        <f>AGS34</f>
        <v/>
      </c>
      <c r="AGU34">
        <f>AGT34</f>
        <v/>
      </c>
      <c r="AGV34">
        <f>AGU34</f>
        <v/>
      </c>
      <c r="AGW34">
        <f>AGV34</f>
        <v/>
      </c>
      <c r="AGX34">
        <f>AGW34</f>
        <v/>
      </c>
      <c r="AGY34" s="130" t="n"/>
      <c r="AGZ34">
        <f>AGY34</f>
        <v/>
      </c>
      <c r="AHA34">
        <f>AGZ34</f>
        <v/>
      </c>
      <c r="AHB34">
        <f>AHA34</f>
        <v/>
      </c>
      <c r="AHC34">
        <f>AHB34</f>
        <v/>
      </c>
      <c r="AHD34">
        <f>AHC34</f>
        <v/>
      </c>
      <c r="AHE34">
        <f>AHD34</f>
        <v/>
      </c>
      <c r="AHF34">
        <f>AHE34</f>
        <v/>
      </c>
      <c r="AHG34">
        <f>AHF34</f>
        <v/>
      </c>
      <c r="AHH34">
        <f>AHG34</f>
        <v/>
      </c>
      <c r="AHI34">
        <f>AHH34</f>
        <v/>
      </c>
      <c r="AHJ34">
        <f>AHI34</f>
        <v/>
      </c>
      <c r="AHK34">
        <f>AHJ34</f>
        <v/>
      </c>
      <c r="AHL34">
        <f>AHK34</f>
        <v/>
      </c>
      <c r="AHM34">
        <f>AHL34</f>
        <v/>
      </c>
      <c r="AHN34">
        <f>AHM34</f>
        <v/>
      </c>
      <c r="AHO34">
        <f>AHN34</f>
        <v/>
      </c>
      <c r="AHP34">
        <f>AHO34</f>
        <v/>
      </c>
      <c r="AHQ34">
        <f>AHP34</f>
        <v/>
      </c>
      <c r="AHR34">
        <f>AHQ34</f>
        <v/>
      </c>
      <c r="AHS34">
        <f>AHR34</f>
        <v/>
      </c>
      <c r="AHT34">
        <f>AHS34</f>
        <v/>
      </c>
      <c r="AHU34">
        <f>AHT34</f>
        <v/>
      </c>
      <c r="AHV34">
        <f>AHU34</f>
        <v/>
      </c>
      <c r="AHW34">
        <f>AHV34</f>
        <v/>
      </c>
      <c r="AHX34">
        <f>AHW34</f>
        <v/>
      </c>
      <c r="AHY34">
        <f>AHX34</f>
        <v/>
      </c>
      <c r="AHZ34">
        <f>AHY34</f>
        <v/>
      </c>
      <c r="AIA34">
        <f>AHZ34</f>
        <v/>
      </c>
      <c r="AIB34">
        <f>AIA34</f>
        <v/>
      </c>
      <c r="AIC34">
        <f>AIB34</f>
        <v/>
      </c>
      <c r="AID34">
        <f>AIC34</f>
        <v/>
      </c>
      <c r="AIE34" s="130" t="n"/>
      <c r="AIF34">
        <f>AIE34</f>
        <v/>
      </c>
      <c r="AIG34">
        <f>AIF34</f>
        <v/>
      </c>
      <c r="AIH34">
        <f>AIG34</f>
        <v/>
      </c>
      <c r="AII34">
        <f>AIH34</f>
        <v/>
      </c>
      <c r="AIJ34">
        <f>AII34</f>
        <v/>
      </c>
      <c r="AIK34">
        <f>AIJ34</f>
        <v/>
      </c>
      <c r="AIL34">
        <f>AIK34</f>
        <v/>
      </c>
      <c r="AIM34">
        <f>AIL34</f>
        <v/>
      </c>
      <c r="AIN34">
        <f>AIM34</f>
        <v/>
      </c>
      <c r="AIO34">
        <f>AIN34</f>
        <v/>
      </c>
      <c r="AIP34">
        <f>AIO34</f>
        <v/>
      </c>
      <c r="AIQ34">
        <f>AIP34</f>
        <v/>
      </c>
      <c r="AIR34">
        <f>AIQ34</f>
        <v/>
      </c>
      <c r="AIS34">
        <f>AIR34</f>
        <v/>
      </c>
      <c r="AIT34">
        <f>AIS34</f>
        <v/>
      </c>
      <c r="AIU34">
        <f>AIT34</f>
        <v/>
      </c>
      <c r="AIV34">
        <f>AIU34</f>
        <v/>
      </c>
      <c r="AIW34">
        <f>AIV34</f>
        <v/>
      </c>
      <c r="AIX34">
        <f>AIW34</f>
        <v/>
      </c>
      <c r="AIY34">
        <f>AIX34</f>
        <v/>
      </c>
      <c r="AIZ34">
        <f>AIY34</f>
        <v/>
      </c>
      <c r="AJA34">
        <f>AIZ34</f>
        <v/>
      </c>
      <c r="AJB34">
        <f>AJA34</f>
        <v/>
      </c>
      <c r="AJC34">
        <f>AJB34</f>
        <v/>
      </c>
      <c r="AJD34">
        <f>AJC34</f>
        <v/>
      </c>
      <c r="AJE34">
        <f>AJD34</f>
        <v/>
      </c>
      <c r="AJF34">
        <f>AJE34</f>
        <v/>
      </c>
      <c r="AJG34">
        <f>AJF34</f>
        <v/>
      </c>
      <c r="AJH34">
        <f>AJG34</f>
        <v/>
      </c>
      <c r="AJI34">
        <f>AJH34</f>
        <v/>
      </c>
      <c r="AJJ34">
        <f>AJI34</f>
        <v/>
      </c>
      <c r="AJK34" s="145" t="n"/>
      <c r="AJL34">
        <f>AJK34</f>
        <v/>
      </c>
      <c r="AJM34">
        <f>AJL34</f>
        <v/>
      </c>
      <c r="AJN34">
        <f>AJM34</f>
        <v/>
      </c>
      <c r="AJO34">
        <f>AJN34</f>
        <v/>
      </c>
      <c r="AJP34">
        <f>AJO34</f>
        <v/>
      </c>
      <c r="AJQ34">
        <f>AJP34</f>
        <v/>
      </c>
      <c r="AJR34">
        <f>AJQ34</f>
        <v/>
      </c>
      <c r="AJS34">
        <f>AJR34</f>
        <v/>
      </c>
      <c r="AJT34">
        <f>AJS34</f>
        <v/>
      </c>
      <c r="AJU34">
        <f>AJT34</f>
        <v/>
      </c>
      <c r="AJV34">
        <f>AJU34</f>
        <v/>
      </c>
      <c r="AJW34">
        <f>AJV34</f>
        <v/>
      </c>
      <c r="AJX34">
        <f>AJW34</f>
        <v/>
      </c>
      <c r="AJY34">
        <f>AJX34</f>
        <v/>
      </c>
      <c r="AJZ34">
        <f>AJY34</f>
        <v/>
      </c>
      <c r="AKA34">
        <f>AJZ34</f>
        <v/>
      </c>
      <c r="AKB34">
        <f>AKA34</f>
        <v/>
      </c>
      <c r="AKC34">
        <f>AKB34</f>
        <v/>
      </c>
      <c r="AKD34">
        <f>AKC34</f>
        <v/>
      </c>
      <c r="AKE34">
        <f>AKD34</f>
        <v/>
      </c>
      <c r="AKF34">
        <f>AKE34</f>
        <v/>
      </c>
      <c r="AKG34">
        <f>AKF34</f>
        <v/>
      </c>
      <c r="AKH34">
        <f>AKG34</f>
        <v/>
      </c>
      <c r="AKI34">
        <f>AKH34</f>
        <v/>
      </c>
      <c r="AKJ34">
        <f>AKI34</f>
        <v/>
      </c>
      <c r="AKK34">
        <f>AKJ34</f>
        <v/>
      </c>
      <c r="AKL34">
        <f>AKK34</f>
        <v/>
      </c>
      <c r="AKM34">
        <f>AKL34</f>
        <v/>
      </c>
      <c r="AKN34" s="145" t="n"/>
      <c r="AKO34">
        <f>AKN34</f>
        <v/>
      </c>
      <c r="AKP34">
        <f>AKO34</f>
        <v/>
      </c>
      <c r="AKQ34">
        <f>AKP34</f>
        <v/>
      </c>
      <c r="AKR34">
        <f>AKQ34</f>
        <v/>
      </c>
      <c r="AKS34">
        <f>AKR34</f>
        <v/>
      </c>
      <c r="AKT34">
        <f>AKS34</f>
        <v/>
      </c>
      <c r="AKU34">
        <f>AKT34</f>
        <v/>
      </c>
      <c r="AKV34">
        <f>AKU34</f>
        <v/>
      </c>
      <c r="AKW34">
        <f>AKV34</f>
        <v/>
      </c>
      <c r="AKX34">
        <f>AKW34</f>
        <v/>
      </c>
      <c r="AKY34">
        <f>AKX34</f>
        <v/>
      </c>
      <c r="AKZ34">
        <f>AKY34</f>
        <v/>
      </c>
      <c r="ALA34">
        <f>AKZ34</f>
        <v/>
      </c>
      <c r="ALB34">
        <f>ALA34</f>
        <v/>
      </c>
      <c r="ALC34">
        <f>ALB34</f>
        <v/>
      </c>
      <c r="ALD34">
        <f>ALC34</f>
        <v/>
      </c>
      <c r="ALE34">
        <f>ALD34</f>
        <v/>
      </c>
      <c r="ALF34">
        <f>ALE34</f>
        <v/>
      </c>
      <c r="ALG34">
        <f>ALF34</f>
        <v/>
      </c>
      <c r="ALH34">
        <f>ALG34</f>
        <v/>
      </c>
      <c r="ALI34">
        <f>ALH34</f>
        <v/>
      </c>
      <c r="ALJ34">
        <f>ALI34</f>
        <v/>
      </c>
      <c r="ALK34">
        <f>ALJ34</f>
        <v/>
      </c>
      <c r="ALL34">
        <f>ALK34</f>
        <v/>
      </c>
      <c r="ALM34">
        <f>ALL34</f>
        <v/>
      </c>
      <c r="ALN34">
        <f>ALM34</f>
        <v/>
      </c>
      <c r="ALO34">
        <f>ALN34</f>
        <v/>
      </c>
      <c r="ALP34">
        <f>ALO34</f>
        <v/>
      </c>
      <c r="ALQ34">
        <f>ALP34</f>
        <v/>
      </c>
      <c r="ALR34">
        <f>ALQ34</f>
        <v/>
      </c>
      <c r="ALS34">
        <f>ALR34</f>
        <v/>
      </c>
      <c r="ALT34" s="130" t="n"/>
      <c r="ALU34">
        <f>ALT34</f>
        <v/>
      </c>
      <c r="ALV34">
        <f>ALU34</f>
        <v/>
      </c>
      <c r="ALW34">
        <f>ALV34</f>
        <v/>
      </c>
      <c r="ALX34">
        <f>ALW34</f>
        <v/>
      </c>
      <c r="ALY34">
        <f>ALX34</f>
        <v/>
      </c>
      <c r="ALZ34">
        <f>ALY34</f>
        <v/>
      </c>
      <c r="AMA34">
        <f>ALZ34</f>
        <v/>
      </c>
      <c r="AMB34">
        <f>AMA34</f>
        <v/>
      </c>
      <c r="AMC34">
        <f>AMB34</f>
        <v/>
      </c>
      <c r="AMD34">
        <f>AMC34</f>
        <v/>
      </c>
      <c r="AME34">
        <f>AMD34</f>
        <v/>
      </c>
      <c r="AMF34">
        <f>AME34</f>
        <v/>
      </c>
      <c r="AMG34">
        <f>AMF34</f>
        <v/>
      </c>
      <c r="AMH34">
        <f>AMG34</f>
        <v/>
      </c>
      <c r="AMI34">
        <f>AMH34</f>
        <v/>
      </c>
      <c r="AMJ34">
        <f>AMI34</f>
        <v/>
      </c>
      <c r="AMK34">
        <f>AMJ34</f>
        <v/>
      </c>
      <c r="AML34">
        <f>AMK34</f>
        <v/>
      </c>
      <c r="AMM34">
        <f>AML34</f>
        <v/>
      </c>
      <c r="AMN34">
        <f>AMM34</f>
        <v/>
      </c>
      <c r="AMO34">
        <f>AMN34</f>
        <v/>
      </c>
      <c r="AMP34">
        <f>AMO34</f>
        <v/>
      </c>
      <c r="AMQ34">
        <f>AMP34</f>
        <v/>
      </c>
      <c r="AMR34">
        <f>AMQ34</f>
        <v/>
      </c>
      <c r="AMS34">
        <f>AMR34</f>
        <v/>
      </c>
      <c r="AMT34">
        <f>AMS34</f>
        <v/>
      </c>
      <c r="AMU34">
        <f>AMT34</f>
        <v/>
      </c>
      <c r="AMV34">
        <f>AMU34</f>
        <v/>
      </c>
      <c r="AMW34">
        <f>AMV34</f>
        <v/>
      </c>
      <c r="AMX34">
        <f>AMW34</f>
        <v/>
      </c>
      <c r="AMY34" s="130" t="n"/>
      <c r="AMZ34">
        <f>AMY34</f>
        <v/>
      </c>
      <c r="ANA34">
        <f>AMZ34</f>
        <v/>
      </c>
      <c r="ANB34">
        <f>ANA34</f>
        <v/>
      </c>
      <c r="ANC34">
        <f>ANB34</f>
        <v/>
      </c>
      <c r="AND34">
        <f>ANC34</f>
        <v/>
      </c>
      <c r="ANE34">
        <f>AND34</f>
        <v/>
      </c>
      <c r="ANF34">
        <f>ANE34</f>
        <v/>
      </c>
      <c r="ANG34">
        <f>ANF34</f>
        <v/>
      </c>
      <c r="ANH34">
        <f>ANG34</f>
        <v/>
      </c>
      <c r="ANI34">
        <f>ANH34</f>
        <v/>
      </c>
      <c r="ANJ34">
        <f>ANI34</f>
        <v/>
      </c>
      <c r="ANK34">
        <f>ANJ34</f>
        <v/>
      </c>
      <c r="ANL34">
        <f>ANK34</f>
        <v/>
      </c>
      <c r="ANM34">
        <f>ANL34</f>
        <v/>
      </c>
      <c r="ANN34">
        <f>ANM34</f>
        <v/>
      </c>
      <c r="ANO34">
        <f>ANN34</f>
        <v/>
      </c>
      <c r="ANP34">
        <f>ANO34</f>
        <v/>
      </c>
      <c r="ANQ34">
        <f>ANP34</f>
        <v/>
      </c>
      <c r="ANR34">
        <f>ANQ34</f>
        <v/>
      </c>
      <c r="ANS34">
        <f>ANR34</f>
        <v/>
      </c>
      <c r="ANT34">
        <f>ANS34</f>
        <v/>
      </c>
      <c r="ANU34">
        <f>ANT34</f>
        <v/>
      </c>
      <c r="ANV34">
        <f>ANU34</f>
        <v/>
      </c>
      <c r="ANW34">
        <f>ANV34</f>
        <v/>
      </c>
      <c r="ANX34">
        <f>ANW34</f>
        <v/>
      </c>
      <c r="ANY34">
        <f>ANX34</f>
        <v/>
      </c>
      <c r="ANZ34">
        <f>ANY34</f>
        <v/>
      </c>
      <c r="AOA34">
        <f>ANZ34</f>
        <v/>
      </c>
      <c r="AOB34">
        <f>AOA34</f>
        <v/>
      </c>
      <c r="AOC34">
        <f>AOB34</f>
        <v/>
      </c>
    </row>
    <row r="35">
      <c r="B35" t="inlineStr">
        <is>
          <t>pms invoice more litter</t>
        </is>
      </c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98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  <c r="BC35" s="82" t="n"/>
      <c r="BD35" s="82" t="n"/>
      <c r="BE35" s="82" t="n"/>
      <c r="BF35" s="82" t="n"/>
      <c r="BG35" s="82" t="n"/>
      <c r="BH35" s="82" t="n"/>
      <c r="BI35" s="82" t="n"/>
      <c r="BJ35" s="82" t="n"/>
      <c r="BK35" s="82" t="n"/>
      <c r="BL35" s="82" t="n"/>
      <c r="BM35" s="106" t="n"/>
      <c r="BN35" s="82" t="n"/>
      <c r="BO35" s="82" t="n"/>
      <c r="BP35" s="82" t="n"/>
      <c r="BQ35" s="82" t="n"/>
      <c r="BR35" s="82" t="n"/>
      <c r="BS35" s="82" t="n"/>
      <c r="BT35" s="82" t="n"/>
      <c r="BU35" s="82" t="n"/>
      <c r="BV35" s="82" t="n"/>
      <c r="BW35" s="82" t="n"/>
      <c r="BX35" s="82" t="n"/>
      <c r="BY35" s="82" t="n"/>
      <c r="BZ35" s="82" t="n"/>
      <c r="CA35" s="82" t="n"/>
      <c r="CB35" s="82" t="n"/>
      <c r="CC35" s="82" t="n"/>
      <c r="CD35" s="82" t="n"/>
      <c r="CE35" s="82" t="n"/>
      <c r="CF35" s="82" t="n"/>
      <c r="CG35" s="82" t="n"/>
      <c r="CH35" s="82" t="n"/>
      <c r="CI35" s="82" t="n"/>
      <c r="CJ35" s="82" t="n"/>
      <c r="CK35" s="82" t="n"/>
      <c r="CL35" s="82" t="n"/>
      <c r="CM35" s="82" t="n"/>
      <c r="CN35" s="82" t="n"/>
      <c r="CO35" s="82" t="n"/>
      <c r="CP35" s="82" t="n"/>
      <c r="CQ35" s="82" t="n"/>
      <c r="CR35" s="82" t="n"/>
      <c r="CT35" s="82" t="n"/>
      <c r="CU35" s="82" t="n"/>
      <c r="CV35" s="82" t="n"/>
      <c r="CW35" s="82" t="n"/>
      <c r="CX35" s="82" t="n"/>
      <c r="CY35" s="82" t="n"/>
      <c r="CZ35" s="82" t="n"/>
      <c r="DA35" s="82" t="n"/>
      <c r="DB35" s="82" t="n"/>
      <c r="DC35" s="82" t="n"/>
      <c r="DD35" s="82" t="n"/>
      <c r="DE35" s="82" t="n"/>
      <c r="DF35" s="82" t="n"/>
      <c r="DG35" s="82" t="n"/>
      <c r="DH35" s="82" t="n"/>
      <c r="DI35" s="82" t="n"/>
      <c r="DJ35" s="82" t="n"/>
      <c r="DK35" s="82" t="n"/>
      <c r="DL35" s="82" t="n"/>
      <c r="DM35" s="82" t="n"/>
      <c r="DN35" s="82" t="n"/>
      <c r="DO35" s="82" t="n"/>
      <c r="DP35" s="82" t="n"/>
      <c r="DQ35" s="82" t="n"/>
      <c r="DR35" s="82" t="n"/>
      <c r="DS35" s="82" t="n"/>
      <c r="DT35" s="82" t="n"/>
      <c r="DU35" s="82" t="n"/>
      <c r="DV35" s="82" t="n"/>
      <c r="DW35" s="82" t="n"/>
      <c r="DX35" s="117" t="n"/>
      <c r="DY35" s="82" t="n"/>
      <c r="DZ35" s="82" t="n"/>
      <c r="EA35" s="82" t="n"/>
      <c r="EB35" s="82" t="n"/>
      <c r="EC35" s="82" t="n"/>
      <c r="ED35" s="82" t="n"/>
      <c r="EE35" s="82" t="n"/>
      <c r="EF35" s="82" t="n"/>
      <c r="EG35" s="82" t="n"/>
      <c r="EH35" s="82" t="n"/>
      <c r="EI35" s="82" t="n"/>
      <c r="EJ35" s="82" t="n"/>
      <c r="EK35" s="82" t="n"/>
      <c r="EL35" s="82" t="n"/>
      <c r="EM35" s="82" t="n"/>
      <c r="EN35" s="82" t="n"/>
      <c r="EO35" s="82" t="n"/>
      <c r="EP35" s="82" t="n"/>
      <c r="EQ35" s="82" t="n"/>
      <c r="ER35" s="82" t="n"/>
      <c r="ES35" s="82" t="n"/>
      <c r="ET35" s="82" t="n"/>
      <c r="EU35" s="82" t="n"/>
      <c r="EV35" s="82" t="n"/>
      <c r="EW35" s="82" t="n"/>
      <c r="EX35" s="82" t="n"/>
      <c r="EY35" s="82" t="n"/>
      <c r="EZ35" s="82" t="n"/>
      <c r="FA35" s="82" t="n"/>
      <c r="FB35" s="82" t="n"/>
      <c r="FC35" s="82" t="n"/>
      <c r="FD35" s="126" t="n"/>
      <c r="FE35" s="82" t="n"/>
      <c r="FF35" s="82" t="n"/>
      <c r="FG35" s="82" t="n"/>
      <c r="FH35" s="82" t="n"/>
      <c r="FI35" s="82" t="n"/>
      <c r="FJ35" s="82" t="n"/>
      <c r="FK35" s="82" t="n"/>
      <c r="FL35" s="82" t="n"/>
      <c r="FM35" s="82" t="n"/>
      <c r="FN35" s="82" t="n"/>
      <c r="FO35" s="82" t="n"/>
      <c r="FP35" s="82" t="n"/>
      <c r="FQ35" s="82" t="n"/>
      <c r="FR35" s="82" t="n"/>
      <c r="FS35" s="82" t="n"/>
      <c r="FT35" s="82" t="n"/>
      <c r="FU35" s="82" t="n"/>
      <c r="FV35" s="82" t="n"/>
      <c r="FW35" s="82" t="n"/>
      <c r="FX35" s="82" t="n"/>
      <c r="FY35" s="82" t="n"/>
      <c r="FZ35" s="82" t="n"/>
      <c r="GA35" s="82" t="n"/>
      <c r="GB35" s="82" t="n"/>
      <c r="GC35" s="82" t="n"/>
      <c r="GD35" s="82" t="n"/>
      <c r="GE35" s="82" t="n"/>
      <c r="GF35" s="82" t="n"/>
      <c r="GG35" s="82" t="n"/>
      <c r="GH35" s="82" t="n"/>
      <c r="GI35" s="82" t="n"/>
      <c r="GJ35" s="130" t="n"/>
      <c r="HD35" t="n">
        <v>9506000</v>
      </c>
      <c r="HE35">
        <f>HD35+378300</f>
        <v/>
      </c>
      <c r="HF35">
        <f>HE35</f>
        <v/>
      </c>
      <c r="HG35">
        <f>HF35</f>
        <v/>
      </c>
      <c r="HH35">
        <f>HG35</f>
        <v/>
      </c>
      <c r="HI35">
        <f>HH35</f>
        <v/>
      </c>
      <c r="HJ35">
        <f>HI35</f>
        <v/>
      </c>
      <c r="HK35">
        <f>HJ35</f>
        <v/>
      </c>
      <c r="HL35">
        <f>HK35+266750</f>
        <v/>
      </c>
      <c r="HM35">
        <f>HL35+428110</f>
        <v/>
      </c>
      <c r="HN35" s="130" t="n"/>
      <c r="HO35">
        <f>HM35</f>
        <v/>
      </c>
      <c r="HP35">
        <f>HO35+126100</f>
        <v/>
      </c>
      <c r="HQ35">
        <f>HP35</f>
        <v/>
      </c>
      <c r="HR35">
        <f>HP35</f>
        <v/>
      </c>
      <c r="HS35">
        <f>HQ35+285977+344350</f>
        <v/>
      </c>
      <c r="HT35">
        <f>HS35</f>
        <v/>
      </c>
      <c r="HU35">
        <f>HS35+50*4850</f>
        <v/>
      </c>
      <c r="HV35">
        <f>HU35</f>
        <v/>
      </c>
      <c r="HW35">
        <f>HU35+45*5290</f>
        <v/>
      </c>
      <c r="HX35">
        <f>HW35</f>
        <v/>
      </c>
      <c r="HY35">
        <f>HW35+30*4850</f>
        <v/>
      </c>
      <c r="HZ35">
        <f>HY35</f>
        <v/>
      </c>
      <c r="IA35">
        <f>HY35</f>
        <v/>
      </c>
      <c r="IB35">
        <f>HZ35</f>
        <v/>
      </c>
      <c r="IC35">
        <f>IA35</f>
        <v/>
      </c>
      <c r="ID35">
        <f>IB35</f>
        <v/>
      </c>
      <c r="IE35">
        <f>IC35</f>
        <v/>
      </c>
      <c r="IF35">
        <f>ID35</f>
        <v/>
      </c>
      <c r="IG35">
        <f>IE35+198000</f>
        <v/>
      </c>
      <c r="IH35">
        <f>IG35</f>
        <v/>
      </c>
      <c r="II35">
        <f>IG35</f>
        <v/>
      </c>
      <c r="IJ35">
        <f>IH35</f>
        <v/>
      </c>
      <c r="IK35">
        <f>II35+30*4950</f>
        <v/>
      </c>
      <c r="IL35">
        <f>IK35</f>
        <v/>
      </c>
      <c r="IM35">
        <f>IK35</f>
        <v/>
      </c>
      <c r="IN35">
        <f>IL35</f>
        <v/>
      </c>
      <c r="IO35">
        <f>IM35</f>
        <v/>
      </c>
      <c r="IP35">
        <f>IN35</f>
        <v/>
      </c>
      <c r="IQ35">
        <f>IO35</f>
        <v/>
      </c>
      <c r="IR35">
        <f>IP35</f>
        <v/>
      </c>
      <c r="IS35">
        <f>IQ35</f>
        <v/>
      </c>
      <c r="IT35" s="130" t="n"/>
      <c r="IU35">
        <f>IS35</f>
        <v/>
      </c>
      <c r="IV35">
        <f>IU35</f>
        <v/>
      </c>
      <c r="IW35">
        <f>IV35</f>
        <v/>
      </c>
      <c r="IX35">
        <f>IW35+50.4*4950</f>
        <v/>
      </c>
      <c r="IY35">
        <f>IX35</f>
        <v/>
      </c>
      <c r="IZ35">
        <f>IY35</f>
        <v/>
      </c>
      <c r="JA35">
        <f>IZ35</f>
        <v/>
      </c>
      <c r="JB35">
        <f>JA35</f>
        <v/>
      </c>
      <c r="JC35">
        <f>JB35</f>
        <v/>
      </c>
      <c r="JD35">
        <f>JC35</f>
        <v/>
      </c>
      <c r="JE35">
        <f>JD35</f>
        <v/>
      </c>
      <c r="JF35">
        <f>JE35</f>
        <v/>
      </c>
      <c r="JG35">
        <f>JF35</f>
        <v/>
      </c>
      <c r="JH35">
        <f>JG35</f>
        <v/>
      </c>
      <c r="JI35">
        <f>JH35</f>
        <v/>
      </c>
      <c r="JJ35">
        <f>JI35</f>
        <v/>
      </c>
      <c r="JK35">
        <f>JJ35</f>
        <v/>
      </c>
      <c r="JL35">
        <f>JK35</f>
        <v/>
      </c>
      <c r="JM35">
        <f>JL35</f>
        <v/>
      </c>
      <c r="JN35">
        <f>JM35</f>
        <v/>
      </c>
      <c r="JO35">
        <f>JN35</f>
        <v/>
      </c>
      <c r="JP35">
        <f>JO35</f>
        <v/>
      </c>
      <c r="JQ35">
        <f>JP35</f>
        <v/>
      </c>
      <c r="JR35">
        <f>JQ35</f>
        <v/>
      </c>
      <c r="JS35">
        <f>JR35</f>
        <v/>
      </c>
      <c r="JT35">
        <f>JS35</f>
        <v/>
      </c>
      <c r="JU35">
        <f>JT35</f>
        <v/>
      </c>
      <c r="JV35">
        <f>JU35</f>
        <v/>
      </c>
      <c r="JW35">
        <f>JV35</f>
        <v/>
      </c>
      <c r="JX35">
        <f>JW35</f>
        <v/>
      </c>
      <c r="JY35" s="130" t="n"/>
      <c r="JZ35">
        <f>JX35</f>
        <v/>
      </c>
      <c r="KA35">
        <f>JZ35</f>
        <v/>
      </c>
      <c r="KB35">
        <f>JZ35</f>
        <v/>
      </c>
      <c r="KC35">
        <f>KA35</f>
        <v/>
      </c>
      <c r="KD35">
        <f>KB35</f>
        <v/>
      </c>
      <c r="KE35">
        <f>KC35</f>
        <v/>
      </c>
      <c r="KF35">
        <f>KD35</f>
        <v/>
      </c>
      <c r="KG35">
        <f>KE35</f>
        <v/>
      </c>
      <c r="KH35">
        <f>KF35</f>
        <v/>
      </c>
      <c r="KI35">
        <f>KG35</f>
        <v/>
      </c>
      <c r="KJ35">
        <f>KH35</f>
        <v/>
      </c>
      <c r="KK35">
        <f>KI35</f>
        <v/>
      </c>
      <c r="KL35">
        <f>KJ35</f>
        <v/>
      </c>
      <c r="KM35">
        <f>KK35</f>
        <v/>
      </c>
      <c r="KN35">
        <f>KL35</f>
        <v/>
      </c>
      <c r="KO35">
        <f>KM35+1000*4890</f>
        <v/>
      </c>
      <c r="KP35">
        <f>KO35</f>
        <v/>
      </c>
      <c r="KQ35">
        <f>KO35+120*4890</f>
        <v/>
      </c>
      <c r="KR35">
        <f>KQ35</f>
        <v/>
      </c>
      <c r="KS35">
        <f>KQ35</f>
        <v/>
      </c>
      <c r="KT35">
        <f>KR35+433*4890</f>
        <v/>
      </c>
      <c r="KU35">
        <f>KT35</f>
        <v/>
      </c>
      <c r="KV35">
        <f>KT35</f>
        <v/>
      </c>
      <c r="KW35">
        <f>KU35</f>
        <v/>
      </c>
      <c r="KX35">
        <f>KV35</f>
        <v/>
      </c>
      <c r="KY35">
        <f>KW35</f>
        <v/>
      </c>
      <c r="KZ35">
        <f>KX35</f>
        <v/>
      </c>
      <c r="LA35" t="n">
        <v>0</v>
      </c>
      <c r="LB35" t="n">
        <v>0</v>
      </c>
      <c r="LC35">
        <f>LA35</f>
        <v/>
      </c>
      <c r="LD35">
        <f>LB35</f>
        <v/>
      </c>
      <c r="LE35" s="130" t="n"/>
      <c r="LF35">
        <f>LD35</f>
        <v/>
      </c>
      <c r="LG35">
        <f>LE35</f>
        <v/>
      </c>
      <c r="LH35">
        <f>LF35</f>
        <v/>
      </c>
      <c r="LI35">
        <f>LG35</f>
        <v/>
      </c>
      <c r="LJ35">
        <f>LH35</f>
        <v/>
      </c>
      <c r="LK35">
        <f>LI35</f>
        <v/>
      </c>
      <c r="LL35">
        <f>LJ35</f>
        <v/>
      </c>
      <c r="LM35">
        <f>LK35</f>
        <v/>
      </c>
      <c r="LN35">
        <f>LL35</f>
        <v/>
      </c>
      <c r="LO35">
        <f>LM35</f>
        <v/>
      </c>
      <c r="LP35">
        <f>LN35</f>
        <v/>
      </c>
      <c r="LQ35">
        <f>LO35</f>
        <v/>
      </c>
      <c r="LR35">
        <f>LP35</f>
        <v/>
      </c>
      <c r="LS35">
        <f>LQ35</f>
        <v/>
      </c>
      <c r="LT35">
        <f>LR35</f>
        <v/>
      </c>
      <c r="LU35">
        <f>LS35</f>
        <v/>
      </c>
      <c r="LV35">
        <f>LT35</f>
        <v/>
      </c>
      <c r="LW35">
        <f>LU35</f>
        <v/>
      </c>
      <c r="LX35">
        <f>LV35</f>
        <v/>
      </c>
      <c r="LY35">
        <f>LW35</f>
        <v/>
      </c>
      <c r="LZ35">
        <f>LX35</f>
        <v/>
      </c>
      <c r="MA35">
        <f>LY35</f>
        <v/>
      </c>
      <c r="MB35">
        <f>LZ35</f>
        <v/>
      </c>
      <c r="MC35">
        <f>MA35</f>
        <v/>
      </c>
      <c r="MD35">
        <f>MB35</f>
        <v/>
      </c>
      <c r="ME35">
        <f>MC35</f>
        <v/>
      </c>
      <c r="MF35">
        <f>MD35</f>
        <v/>
      </c>
      <c r="MG35">
        <f>ME35</f>
        <v/>
      </c>
      <c r="MH35">
        <f>MF35</f>
        <v/>
      </c>
      <c r="MI35">
        <f>MG35</f>
        <v/>
      </c>
      <c r="MJ35" s="130" t="n"/>
      <c r="MK35">
        <f>MI35</f>
        <v/>
      </c>
      <c r="ML35">
        <f>MJ35</f>
        <v/>
      </c>
      <c r="MM35">
        <f>MK35</f>
        <v/>
      </c>
      <c r="MN35">
        <f>ML35</f>
        <v/>
      </c>
      <c r="MO35">
        <f>MM35</f>
        <v/>
      </c>
      <c r="MP35">
        <f>MN35</f>
        <v/>
      </c>
      <c r="MQ35">
        <f>MO35</f>
        <v/>
      </c>
      <c r="MR35">
        <f>MP35</f>
        <v/>
      </c>
      <c r="MS35">
        <f>MQ35</f>
        <v/>
      </c>
      <c r="MT35">
        <f>MR35</f>
        <v/>
      </c>
      <c r="MU35">
        <f>MS35</f>
        <v/>
      </c>
      <c r="MV35">
        <f>MT35</f>
        <v/>
      </c>
      <c r="MW35">
        <f>MU35</f>
        <v/>
      </c>
      <c r="MX35">
        <f>MV35</f>
        <v/>
      </c>
      <c r="MY35">
        <f>MW35</f>
        <v/>
      </c>
      <c r="MZ35">
        <f>MX35</f>
        <v/>
      </c>
      <c r="NA35">
        <f>MY35</f>
        <v/>
      </c>
      <c r="NB35">
        <f>MZ35</f>
        <v/>
      </c>
      <c r="NC35">
        <f>NA35</f>
        <v/>
      </c>
      <c r="ND35">
        <f>NB35</f>
        <v/>
      </c>
      <c r="NE35">
        <f>NC35</f>
        <v/>
      </c>
      <c r="NF35">
        <f>ND35</f>
        <v/>
      </c>
      <c r="NG35">
        <f>NE35</f>
        <v/>
      </c>
      <c r="NH35">
        <f>NF35</f>
        <v/>
      </c>
      <c r="NI35">
        <f>NG35</f>
        <v/>
      </c>
      <c r="NJ35">
        <f>NH35</f>
        <v/>
      </c>
      <c r="NK35">
        <f>NI35</f>
        <v/>
      </c>
      <c r="NL35">
        <f>NJ35</f>
        <v/>
      </c>
      <c r="NM35">
        <f>NK35</f>
        <v/>
      </c>
      <c r="NN35">
        <f>NL35</f>
        <v/>
      </c>
      <c r="NO35">
        <f>NM35</f>
        <v/>
      </c>
      <c r="NP35" s="130" t="n"/>
      <c r="NQ35">
        <f>NO35</f>
        <v/>
      </c>
      <c r="NR35">
        <f>NP35</f>
        <v/>
      </c>
      <c r="NS35">
        <f>NQ35</f>
        <v/>
      </c>
      <c r="NT35">
        <f>NR35</f>
        <v/>
      </c>
      <c r="NU35">
        <f>NS35</f>
        <v/>
      </c>
      <c r="NV35">
        <f>NT35</f>
        <v/>
      </c>
      <c r="NW35">
        <f>NU35</f>
        <v/>
      </c>
      <c r="NX35">
        <f>NV35</f>
        <v/>
      </c>
      <c r="NY35">
        <f>NW35</f>
        <v/>
      </c>
      <c r="NZ35">
        <f>NX35</f>
        <v/>
      </c>
      <c r="OA35">
        <f>NY35</f>
        <v/>
      </c>
      <c r="OB35">
        <f>NZ35</f>
        <v/>
      </c>
      <c r="OC35">
        <f>OA35</f>
        <v/>
      </c>
      <c r="OD35">
        <f>OB35</f>
        <v/>
      </c>
      <c r="OE35">
        <f>OC35</f>
        <v/>
      </c>
      <c r="OF35">
        <f>OD35</f>
        <v/>
      </c>
      <c r="OG35">
        <f>OE35</f>
        <v/>
      </c>
      <c r="OH35">
        <f>OF35</f>
        <v/>
      </c>
      <c r="OI35">
        <f>OG35</f>
        <v/>
      </c>
      <c r="OJ35">
        <f>OH35</f>
        <v/>
      </c>
      <c r="OK35">
        <f>OI35</f>
        <v/>
      </c>
      <c r="OL35">
        <f>OJ35</f>
        <v/>
      </c>
      <c r="OM35">
        <f>OK35</f>
        <v/>
      </c>
      <c r="ON35">
        <f>OL35</f>
        <v/>
      </c>
      <c r="OO35">
        <f>OM35</f>
        <v/>
      </c>
      <c r="OP35">
        <f>ON35</f>
        <v/>
      </c>
      <c r="OQ35">
        <f>OO35</f>
        <v/>
      </c>
      <c r="OR35">
        <f>OP35</f>
        <v/>
      </c>
      <c r="OS35">
        <f>OQ35</f>
        <v/>
      </c>
      <c r="OT35">
        <f>OR35</f>
        <v/>
      </c>
      <c r="OU35">
        <f>OS35</f>
        <v/>
      </c>
      <c r="OV35" s="130" t="n"/>
      <c r="OW35">
        <f>OU35</f>
        <v/>
      </c>
      <c r="OX35">
        <f>OV35</f>
        <v/>
      </c>
      <c r="OY35">
        <f>OW35</f>
        <v/>
      </c>
      <c r="OZ35">
        <f>OX35</f>
        <v/>
      </c>
      <c r="PA35">
        <f>OY35</f>
        <v/>
      </c>
      <c r="PB35">
        <f>OZ35</f>
        <v/>
      </c>
      <c r="PC35">
        <f>PA35</f>
        <v/>
      </c>
      <c r="PD35">
        <f>PB35</f>
        <v/>
      </c>
      <c r="PE35">
        <f>PC35</f>
        <v/>
      </c>
      <c r="PF35">
        <f>PD35</f>
        <v/>
      </c>
      <c r="PG35">
        <f>PE35</f>
        <v/>
      </c>
      <c r="PH35">
        <f>PF35</f>
        <v/>
      </c>
      <c r="PI35">
        <f>PG35</f>
        <v/>
      </c>
      <c r="PJ35">
        <f>PH35</f>
        <v/>
      </c>
      <c r="PK35">
        <f>PI35</f>
        <v/>
      </c>
      <c r="PL35">
        <f>PJ35</f>
        <v/>
      </c>
      <c r="PM35">
        <f>PK35</f>
        <v/>
      </c>
      <c r="PN35">
        <f>PL35</f>
        <v/>
      </c>
      <c r="PO35">
        <f>PM35</f>
        <v/>
      </c>
      <c r="PP35">
        <f>PN35</f>
        <v/>
      </c>
      <c r="PQ35">
        <f>PO35</f>
        <v/>
      </c>
      <c r="PR35">
        <f>PP35</f>
        <v/>
      </c>
      <c r="PS35">
        <f>PQ35</f>
        <v/>
      </c>
      <c r="PT35">
        <f>PR35</f>
        <v/>
      </c>
      <c r="PU35">
        <f>PS35</f>
        <v/>
      </c>
      <c r="PV35">
        <f>PT35</f>
        <v/>
      </c>
      <c r="PW35">
        <f>PU35</f>
        <v/>
      </c>
      <c r="PX35">
        <f>PV35</f>
        <v/>
      </c>
      <c r="PY35">
        <f>PW35</f>
        <v/>
      </c>
      <c r="PZ35">
        <f>PX35</f>
        <v/>
      </c>
      <c r="QA35" s="130" t="n"/>
      <c r="QB35">
        <f>PZ35</f>
        <v/>
      </c>
      <c r="QC35">
        <f>QA35</f>
        <v/>
      </c>
      <c r="QD35">
        <f>QB35</f>
        <v/>
      </c>
      <c r="QE35">
        <f>QC35</f>
        <v/>
      </c>
      <c r="QF35">
        <f>QD35</f>
        <v/>
      </c>
      <c r="QG35">
        <f>QE35</f>
        <v/>
      </c>
      <c r="QH35">
        <f>QF35</f>
        <v/>
      </c>
      <c r="QI35">
        <f>QG35</f>
        <v/>
      </c>
      <c r="QJ35">
        <f>QH35</f>
        <v/>
      </c>
      <c r="QK35">
        <f>QI35</f>
        <v/>
      </c>
      <c r="QL35">
        <f>QJ35</f>
        <v/>
      </c>
      <c r="QM35">
        <f>QK35</f>
        <v/>
      </c>
      <c r="QN35">
        <f>QL35</f>
        <v/>
      </c>
      <c r="QO35">
        <f>QM35</f>
        <v/>
      </c>
      <c r="QP35">
        <f>QN35</f>
        <v/>
      </c>
      <c r="QQ35">
        <f>QO35</f>
        <v/>
      </c>
      <c r="QR35">
        <f>QP35</f>
        <v/>
      </c>
      <c r="QS35">
        <f>QQ35</f>
        <v/>
      </c>
      <c r="QT35">
        <f>QR35</f>
        <v/>
      </c>
      <c r="QU35">
        <f>QS35</f>
        <v/>
      </c>
      <c r="QV35">
        <f>QT35</f>
        <v/>
      </c>
      <c r="QW35">
        <f>QU35</f>
        <v/>
      </c>
      <c r="QX35">
        <f>QV35</f>
        <v/>
      </c>
      <c r="QY35">
        <f>QW35</f>
        <v/>
      </c>
      <c r="QZ35">
        <f>QX35</f>
        <v/>
      </c>
      <c r="RA35">
        <f>QY35</f>
        <v/>
      </c>
      <c r="RB35">
        <f>QZ35</f>
        <v/>
      </c>
      <c r="RC35">
        <f>RA35</f>
        <v/>
      </c>
      <c r="RD35">
        <f>RB35</f>
        <v/>
      </c>
      <c r="RE35">
        <f>RC35</f>
        <v/>
      </c>
      <c r="RF35">
        <f>RD35</f>
        <v/>
      </c>
      <c r="RG35" s="130" t="n"/>
      <c r="RH35">
        <f>RF35</f>
        <v/>
      </c>
      <c r="RI35">
        <f>RG35</f>
        <v/>
      </c>
      <c r="RJ35">
        <f>RH35</f>
        <v/>
      </c>
      <c r="RK35">
        <f>RI35</f>
        <v/>
      </c>
      <c r="RL35">
        <f>RJ35</f>
        <v/>
      </c>
      <c r="RM35">
        <f>RK35</f>
        <v/>
      </c>
      <c r="RN35">
        <f>RL35</f>
        <v/>
      </c>
      <c r="RO35">
        <f>RM35</f>
        <v/>
      </c>
      <c r="RP35">
        <f>RN35</f>
        <v/>
      </c>
      <c r="RQ35">
        <f>RO35</f>
        <v/>
      </c>
      <c r="RR35">
        <f>RP35</f>
        <v/>
      </c>
      <c r="RS35">
        <f>RQ35</f>
        <v/>
      </c>
      <c r="RT35">
        <f>RR35</f>
        <v/>
      </c>
      <c r="RU35">
        <f>RS35</f>
        <v/>
      </c>
      <c r="RV35">
        <f>RT35</f>
        <v/>
      </c>
      <c r="RW35">
        <f>RU35</f>
        <v/>
      </c>
      <c r="RX35">
        <f>RV35</f>
        <v/>
      </c>
      <c r="RY35">
        <f>RW35</f>
        <v/>
      </c>
      <c r="RZ35">
        <f>RX35</f>
        <v/>
      </c>
      <c r="SA35">
        <f>RY35</f>
        <v/>
      </c>
      <c r="SB35">
        <f>RZ35</f>
        <v/>
      </c>
      <c r="SC35">
        <f>SA35</f>
        <v/>
      </c>
      <c r="SD35">
        <f>SB35</f>
        <v/>
      </c>
      <c r="SE35">
        <f>SC35</f>
        <v/>
      </c>
      <c r="SF35">
        <f>SD35</f>
        <v/>
      </c>
      <c r="SG35">
        <f>SE35</f>
        <v/>
      </c>
      <c r="SH35">
        <f>SF35</f>
        <v/>
      </c>
      <c r="SI35">
        <f>SG35</f>
        <v/>
      </c>
      <c r="SJ35">
        <f>SH35</f>
        <v/>
      </c>
      <c r="SK35">
        <f>SI35</f>
        <v/>
      </c>
      <c r="SL35" s="130" t="n"/>
      <c r="SM35">
        <f>SK35</f>
        <v/>
      </c>
      <c r="SN35" t="n">
        <v>983400</v>
      </c>
      <c r="SO35">
        <f>983400+8805900</f>
        <v/>
      </c>
      <c r="SP35">
        <f>SO35</f>
        <v/>
      </c>
      <c r="SQ35">
        <f>SP35</f>
        <v/>
      </c>
      <c r="SR35">
        <f>SQ35</f>
        <v/>
      </c>
      <c r="SS35">
        <f>SR35</f>
        <v/>
      </c>
      <c r="ST35">
        <f>SS35</f>
        <v/>
      </c>
      <c r="SU35">
        <f>ST35</f>
        <v/>
      </c>
      <c r="SV35">
        <f>SU35</f>
        <v/>
      </c>
      <c r="SW35">
        <f>SV35</f>
        <v/>
      </c>
      <c r="SX35">
        <f>SW35</f>
        <v/>
      </c>
      <c r="SY35">
        <f>SX35</f>
        <v/>
      </c>
      <c r="SZ35">
        <f>SY35</f>
        <v/>
      </c>
      <c r="TA35">
        <f>SZ35</f>
        <v/>
      </c>
      <c r="TB35">
        <f>TA35</f>
        <v/>
      </c>
      <c r="TC35">
        <f>TB35</f>
        <v/>
      </c>
      <c r="TD35">
        <f>TC35</f>
        <v/>
      </c>
      <c r="TE35">
        <f>TD35</f>
        <v/>
      </c>
      <c r="TF35">
        <f>TE35</f>
        <v/>
      </c>
      <c r="TG35">
        <f>TF35</f>
        <v/>
      </c>
      <c r="TH35">
        <f>TG35</f>
        <v/>
      </c>
      <c r="TI35">
        <f>TH35</f>
        <v/>
      </c>
      <c r="TJ35">
        <f>TI35</f>
        <v/>
      </c>
      <c r="TK35">
        <f>TJ35</f>
        <v/>
      </c>
      <c r="TL35">
        <f>TK35</f>
        <v/>
      </c>
      <c r="TM35">
        <f>TL35</f>
        <v/>
      </c>
      <c r="TN35">
        <f>TM35</f>
        <v/>
      </c>
      <c r="TO35">
        <f>TN35</f>
        <v/>
      </c>
      <c r="TP35">
        <f>TO35</f>
        <v/>
      </c>
      <c r="TQ35">
        <f>TP35</f>
        <v/>
      </c>
      <c r="TR35" s="130" t="n"/>
      <c r="TS35">
        <f>TR35</f>
        <v/>
      </c>
      <c r="TT35">
        <f>TS35</f>
        <v/>
      </c>
      <c r="TU35">
        <f>TT35</f>
        <v/>
      </c>
      <c r="TV35">
        <f>TU35</f>
        <v/>
      </c>
      <c r="TW35">
        <f>TV35</f>
        <v/>
      </c>
      <c r="TX35">
        <f>TW35</f>
        <v/>
      </c>
      <c r="TY35">
        <f>TX35</f>
        <v/>
      </c>
      <c r="TZ35">
        <f>TY35</f>
        <v/>
      </c>
      <c r="UA35">
        <f>TZ35</f>
        <v/>
      </c>
      <c r="UB35">
        <f>UA35</f>
        <v/>
      </c>
      <c r="UC35">
        <f>UB35</f>
        <v/>
      </c>
      <c r="UD35">
        <f>UC35</f>
        <v/>
      </c>
      <c r="UE35">
        <f>UD35</f>
        <v/>
      </c>
      <c r="UF35">
        <f>UE35</f>
        <v/>
      </c>
      <c r="UG35">
        <f>UF35</f>
        <v/>
      </c>
      <c r="UH35">
        <f>UG35</f>
        <v/>
      </c>
      <c r="UI35">
        <f>UH35</f>
        <v/>
      </c>
      <c r="UJ35">
        <f>UI35</f>
        <v/>
      </c>
      <c r="UK35">
        <f>UJ35</f>
        <v/>
      </c>
      <c r="UL35">
        <f>UK35</f>
        <v/>
      </c>
      <c r="UM35">
        <f>UL35</f>
        <v/>
      </c>
      <c r="UN35">
        <f>UM35</f>
        <v/>
      </c>
      <c r="UO35">
        <f>UN35</f>
        <v/>
      </c>
      <c r="UP35">
        <f>UO35</f>
        <v/>
      </c>
      <c r="UQ35">
        <f>UP35</f>
        <v/>
      </c>
      <c r="UR35">
        <f>UQ35</f>
        <v/>
      </c>
      <c r="US35">
        <f>UR35</f>
        <v/>
      </c>
      <c r="UT35">
        <f>US35</f>
        <v/>
      </c>
      <c r="UU35">
        <f>UT35</f>
        <v/>
      </c>
      <c r="UV35">
        <f>UU35</f>
        <v/>
      </c>
      <c r="UW35">
        <f>UV35</f>
        <v/>
      </c>
      <c r="UX35" s="130" t="n"/>
      <c r="UY35">
        <f>UX35</f>
        <v/>
      </c>
      <c r="UZ35">
        <f>UY35</f>
        <v/>
      </c>
      <c r="VA35">
        <f>UZ35</f>
        <v/>
      </c>
      <c r="VB35">
        <f>VA35</f>
        <v/>
      </c>
      <c r="VC35">
        <f>VB35</f>
        <v/>
      </c>
      <c r="VD35">
        <f>VC35</f>
        <v/>
      </c>
      <c r="VE35">
        <f>VD35</f>
        <v/>
      </c>
      <c r="VF35">
        <f>VE35</f>
        <v/>
      </c>
      <c r="VG35">
        <f>VF35</f>
        <v/>
      </c>
      <c r="VH35">
        <f>VG35</f>
        <v/>
      </c>
      <c r="VI35">
        <f>VH35</f>
        <v/>
      </c>
      <c r="VJ35">
        <f>VI35</f>
        <v/>
      </c>
      <c r="VK35">
        <f>VJ35</f>
        <v/>
      </c>
      <c r="VL35">
        <f>VK35</f>
        <v/>
      </c>
      <c r="VM35">
        <f>VL35</f>
        <v/>
      </c>
      <c r="VN35">
        <f>VM35</f>
        <v/>
      </c>
      <c r="VO35">
        <f>VN35</f>
        <v/>
      </c>
      <c r="VP35">
        <f>VO35</f>
        <v/>
      </c>
      <c r="VQ35">
        <f>VP35</f>
        <v/>
      </c>
      <c r="VR35">
        <f>VQ35</f>
        <v/>
      </c>
      <c r="VS35">
        <f>VR35</f>
        <v/>
      </c>
      <c r="VT35">
        <f>VS35</f>
        <v/>
      </c>
      <c r="VU35">
        <f>VT35</f>
        <v/>
      </c>
      <c r="VV35">
        <f>VU35</f>
        <v/>
      </c>
      <c r="VW35">
        <f>VV35</f>
        <v/>
      </c>
      <c r="VX35">
        <f>VW35</f>
        <v/>
      </c>
      <c r="VY35">
        <f>VX35</f>
        <v/>
      </c>
      <c r="VZ35">
        <f>VY35</f>
        <v/>
      </c>
      <c r="WA35" s="130" t="n"/>
      <c r="WB35">
        <f>WA35</f>
        <v/>
      </c>
      <c r="WC35">
        <f>WB35</f>
        <v/>
      </c>
      <c r="WD35">
        <f>WC35</f>
        <v/>
      </c>
      <c r="WE35">
        <f>WD35</f>
        <v/>
      </c>
      <c r="WF35">
        <f>WE35</f>
        <v/>
      </c>
      <c r="WG35">
        <f>WF35</f>
        <v/>
      </c>
      <c r="WH35">
        <f>WG35</f>
        <v/>
      </c>
      <c r="WI35">
        <f>WH35</f>
        <v/>
      </c>
      <c r="WJ35">
        <f>WI35</f>
        <v/>
      </c>
      <c r="WK35">
        <f>WJ35</f>
        <v/>
      </c>
      <c r="WL35">
        <f>WK35</f>
        <v/>
      </c>
      <c r="WM35">
        <f>WL35</f>
        <v/>
      </c>
      <c r="WN35">
        <f>WM35</f>
        <v/>
      </c>
      <c r="WO35">
        <f>WN35</f>
        <v/>
      </c>
      <c r="WP35">
        <f>WO35</f>
        <v/>
      </c>
      <c r="WQ35">
        <f>WP35</f>
        <v/>
      </c>
      <c r="WR35">
        <f>WQ35</f>
        <v/>
      </c>
      <c r="WS35">
        <f>WR35</f>
        <v/>
      </c>
      <c r="WT35">
        <f>WS35</f>
        <v/>
      </c>
      <c r="WU35">
        <f>WT35</f>
        <v/>
      </c>
      <c r="WV35">
        <f>WU35</f>
        <v/>
      </c>
      <c r="WW35">
        <f>WV35</f>
        <v/>
      </c>
      <c r="WX35">
        <f>WW35</f>
        <v/>
      </c>
      <c r="WY35">
        <f>WX35</f>
        <v/>
      </c>
      <c r="WZ35" t="n">
        <v>598507</v>
      </c>
      <c r="XA35">
        <f>WZ35</f>
        <v/>
      </c>
      <c r="XB35">
        <f>XA35</f>
        <v/>
      </c>
      <c r="XC35">
        <f>XB35</f>
        <v/>
      </c>
      <c r="XD35">
        <f>XC35</f>
        <v/>
      </c>
      <c r="XE35">
        <f>XD35</f>
        <v/>
      </c>
      <c r="XF35">
        <f>XE35</f>
        <v/>
      </c>
      <c r="XG35" s="130" t="n"/>
      <c r="XH35" t="n">
        <v>598507</v>
      </c>
      <c r="XI35" t="n">
        <v>598507</v>
      </c>
      <c r="XJ35" t="n">
        <v>598507</v>
      </c>
      <c r="XK35" t="n">
        <v>598507</v>
      </c>
      <c r="XL35" t="n">
        <v>598507</v>
      </c>
      <c r="XM35" t="n">
        <v>598507</v>
      </c>
      <c r="XN35" t="n">
        <v>598507</v>
      </c>
      <c r="XO35" t="n">
        <v>598507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510000</v>
      </c>
      <c r="YI35" t="n">
        <v>510000</v>
      </c>
      <c r="YJ35" t="n">
        <v>510000</v>
      </c>
      <c r="YK35" t="n">
        <v>510000</v>
      </c>
      <c r="YL35" s="130" t="n"/>
      <c r="YM35" t="n">
        <v>510000</v>
      </c>
      <c r="YN35" t="n">
        <v>510000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s="130" t="n"/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s="130" t="n"/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s="130" t="n"/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s="130" t="n"/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s="130" t="n"/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s="130" t="n"/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s="130" t="n"/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s="130" t="n"/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s="145" t="n"/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s="145" t="n"/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s="130" t="n"/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>
        <f>500*5169</f>
        <v/>
      </c>
      <c r="AMI35">
        <f>AMH35</f>
        <v/>
      </c>
      <c r="AMJ35">
        <f>AMI35</f>
        <v/>
      </c>
      <c r="AMK35">
        <f>AMJ35</f>
        <v/>
      </c>
      <c r="AML35">
        <f>AMK35</f>
        <v/>
      </c>
      <c r="AMM35">
        <f>AML35</f>
        <v/>
      </c>
      <c r="AMN35">
        <f>AMM35</f>
        <v/>
      </c>
      <c r="AMO35">
        <f>AMN35</f>
        <v/>
      </c>
      <c r="AMP35">
        <f>AMO35</f>
        <v/>
      </c>
      <c r="AMQ35">
        <f>AMP35</f>
        <v/>
      </c>
      <c r="AMR35">
        <f>AMQ35</f>
        <v/>
      </c>
      <c r="AMS35">
        <f>AMR35</f>
        <v/>
      </c>
      <c r="AMT35">
        <f>AMS35</f>
        <v/>
      </c>
      <c r="AMU35">
        <f>AMT35</f>
        <v/>
      </c>
      <c r="AMV35">
        <f>AMU35</f>
        <v/>
      </c>
      <c r="AMW35">
        <f>AMV35</f>
        <v/>
      </c>
      <c r="AMX35">
        <f>AMW35</f>
        <v/>
      </c>
      <c r="AMY35" s="130" t="n"/>
      <c r="AMZ35">
        <f>AMX35</f>
        <v/>
      </c>
      <c r="ANA35">
        <f>AMZ35</f>
        <v/>
      </c>
      <c r="ANB35">
        <f>ANA35</f>
        <v/>
      </c>
      <c r="ANC35">
        <f>ANB35</f>
        <v/>
      </c>
      <c r="AND35">
        <f>ANC35</f>
        <v/>
      </c>
      <c r="ANE35">
        <f>AND35</f>
        <v/>
      </c>
      <c r="ANF35">
        <f>ANE35</f>
        <v/>
      </c>
      <c r="ANG35">
        <f>ANF35</f>
        <v/>
      </c>
      <c r="ANH35">
        <f>ANG35</f>
        <v/>
      </c>
      <c r="ANI35">
        <f>ANH35</f>
        <v/>
      </c>
      <c r="ANJ35">
        <f>ANI35</f>
        <v/>
      </c>
      <c r="ANK35">
        <f>ANJ35</f>
        <v/>
      </c>
      <c r="ANL35" t="n">
        <v>0</v>
      </c>
      <c r="ANM35">
        <f>ANL35</f>
        <v/>
      </c>
      <c r="ANN35">
        <f>ANM35</f>
        <v/>
      </c>
      <c r="ANO35">
        <f>ANN35</f>
        <v/>
      </c>
      <c r="ANP35">
        <f>ANO35</f>
        <v/>
      </c>
      <c r="ANQ35">
        <f>ANP35</f>
        <v/>
      </c>
      <c r="ANR35">
        <f>ANQ35</f>
        <v/>
      </c>
      <c r="ANS35">
        <f>ANR35</f>
        <v/>
      </c>
      <c r="ANT35">
        <f>ANS35</f>
        <v/>
      </c>
      <c r="ANU35">
        <f>ANT35</f>
        <v/>
      </c>
      <c r="ANV35">
        <f>ANU35</f>
        <v/>
      </c>
      <c r="ANW35">
        <f>ANV35</f>
        <v/>
      </c>
      <c r="ANX35">
        <f>ANW35</f>
        <v/>
      </c>
      <c r="ANY35">
        <f>ANX35</f>
        <v/>
      </c>
      <c r="ANZ35">
        <f>ANY35</f>
        <v/>
      </c>
      <c r="AOA35">
        <f>ANZ35</f>
        <v/>
      </c>
      <c r="AOB35">
        <f>AOA35</f>
        <v/>
      </c>
      <c r="AOC35">
        <f>AOB35</f>
        <v/>
      </c>
    </row>
    <row r="36">
      <c r="B36" t="inlineStr">
        <is>
          <t>Umer +prime</t>
        </is>
      </c>
      <c r="C36" s="52" t="n"/>
      <c r="D36" s="52" t="n"/>
      <c r="E36" s="52" t="n">
        <v>6000000</v>
      </c>
      <c r="F36" s="52">
        <f>E36</f>
        <v/>
      </c>
      <c r="G36" s="52">
        <f>F36</f>
        <v/>
      </c>
      <c r="H36" s="52">
        <f>G36</f>
        <v/>
      </c>
      <c r="I36" s="52">
        <f>H36</f>
        <v/>
      </c>
      <c r="J36" s="52">
        <f>I36</f>
        <v/>
      </c>
      <c r="K36" s="52">
        <f>J36</f>
        <v/>
      </c>
      <c r="L36" s="52">
        <f>K36</f>
        <v/>
      </c>
      <c r="M36" s="52">
        <f>L36</f>
        <v/>
      </c>
      <c r="N36" s="52">
        <f>M36</f>
        <v/>
      </c>
      <c r="O36" s="52">
        <f>N36</f>
        <v/>
      </c>
      <c r="P36" s="52">
        <f>O36</f>
        <v/>
      </c>
      <c r="Q36" s="52">
        <f>P36</f>
        <v/>
      </c>
      <c r="R36" s="52" t="n">
        <v>6000000</v>
      </c>
      <c r="S36" s="52">
        <f>R36</f>
        <v/>
      </c>
      <c r="T36" s="52">
        <f>S36</f>
        <v/>
      </c>
      <c r="U36" s="52">
        <f>T36</f>
        <v/>
      </c>
      <c r="V36" s="52">
        <f>U36</f>
        <v/>
      </c>
      <c r="W36" s="52">
        <f>V36</f>
        <v/>
      </c>
      <c r="X36" s="52">
        <f>W36</f>
        <v/>
      </c>
      <c r="Y36" s="52">
        <f>X36</f>
        <v/>
      </c>
      <c r="Z36" s="52">
        <f>Y36</f>
        <v/>
      </c>
      <c r="AA36" s="52">
        <f>Z36</f>
        <v/>
      </c>
      <c r="AB36" s="52">
        <f>AA36</f>
        <v/>
      </c>
      <c r="AC36" s="52">
        <f>AB36</f>
        <v/>
      </c>
      <c r="AD36" s="52">
        <f>AC36</f>
        <v/>
      </c>
      <c r="AE36" s="52">
        <f>AD36</f>
        <v/>
      </c>
      <c r="AF36" s="52">
        <f>AE36</f>
        <v/>
      </c>
      <c r="AG36" s="52">
        <f>AF36</f>
        <v/>
      </c>
      <c r="AH36" s="98">
        <f>AG36</f>
        <v/>
      </c>
      <c r="AI36" s="82">
        <f>AG36</f>
        <v/>
      </c>
      <c r="AJ36" s="82">
        <f>AH36</f>
        <v/>
      </c>
      <c r="AK36" s="82">
        <f>AI36</f>
        <v/>
      </c>
      <c r="AL36" s="82">
        <f>AJ36</f>
        <v/>
      </c>
      <c r="AM36" s="82">
        <f>AK36</f>
        <v/>
      </c>
      <c r="AN36" s="82">
        <f>AL36</f>
        <v/>
      </c>
      <c r="AO36" s="82">
        <f>AM36+51900000</f>
        <v/>
      </c>
      <c r="AP36" s="82">
        <f>AO36</f>
        <v/>
      </c>
      <c r="AQ36" s="82">
        <f>AO36</f>
        <v/>
      </c>
      <c r="AR36" s="82">
        <f>AP36</f>
        <v/>
      </c>
      <c r="AS36" s="82">
        <f>AQ36</f>
        <v/>
      </c>
      <c r="AT36" s="82">
        <f>AR36</f>
        <v/>
      </c>
      <c r="AU36" s="82">
        <f>AS36+10000*5350</f>
        <v/>
      </c>
      <c r="AV36" s="82">
        <f>AU36</f>
        <v/>
      </c>
      <c r="AW36" s="82">
        <f>AU36</f>
        <v/>
      </c>
      <c r="AX36" s="82">
        <f>AV36</f>
        <v/>
      </c>
      <c r="AY36" s="82">
        <f>AW36</f>
        <v/>
      </c>
      <c r="AZ36" s="82">
        <f>AY36</f>
        <v/>
      </c>
      <c r="BA36" s="82">
        <f>AY36</f>
        <v/>
      </c>
      <c r="BB36" s="82">
        <f>AZ36</f>
        <v/>
      </c>
      <c r="BC36" s="82">
        <f>BA36</f>
        <v/>
      </c>
      <c r="BD36" s="82">
        <f>BB36</f>
        <v/>
      </c>
      <c r="BE36" s="82">
        <f>BC36</f>
        <v/>
      </c>
      <c r="BF36" s="82">
        <f>BD36</f>
        <v/>
      </c>
      <c r="BG36" s="82">
        <f>BE36</f>
        <v/>
      </c>
      <c r="BH36" s="82">
        <f>BF36</f>
        <v/>
      </c>
      <c r="BI36" s="82">
        <f>BG36</f>
        <v/>
      </c>
      <c r="BJ36" s="82">
        <f>BH36</f>
        <v/>
      </c>
      <c r="BK36" s="82">
        <f>BI36</f>
        <v/>
      </c>
      <c r="BL36" s="82">
        <f>BJ36</f>
        <v/>
      </c>
      <c r="BM36" s="106">
        <f>BL36</f>
        <v/>
      </c>
      <c r="BN36" s="82">
        <f>BL36</f>
        <v/>
      </c>
      <c r="BO36" s="82">
        <f>BM36</f>
        <v/>
      </c>
      <c r="BP36" s="82">
        <f>BN36</f>
        <v/>
      </c>
      <c r="BQ36" s="82">
        <f>BO36</f>
        <v/>
      </c>
      <c r="BR36" s="82">
        <f>BP36</f>
        <v/>
      </c>
      <c r="BS36" s="82">
        <f>BQ36</f>
        <v/>
      </c>
      <c r="BT36" s="82">
        <f>BR36</f>
        <v/>
      </c>
      <c r="BU36" s="82">
        <f>BS36</f>
        <v/>
      </c>
      <c r="BV36" s="82">
        <f>BT36</f>
        <v/>
      </c>
      <c r="BW36" s="82">
        <f>BU36</f>
        <v/>
      </c>
      <c r="BX36" s="82">
        <f>BV36</f>
        <v/>
      </c>
      <c r="BY36" s="82">
        <f>BW36</f>
        <v/>
      </c>
      <c r="BZ36" s="82">
        <f>BX36</f>
        <v/>
      </c>
      <c r="CA36" s="82">
        <f>BY36-99000000</f>
        <v/>
      </c>
      <c r="CB36" s="82">
        <f>CA36</f>
        <v/>
      </c>
      <c r="CC36" s="82">
        <f>CA36</f>
        <v/>
      </c>
      <c r="CD36" s="82">
        <f>CB36</f>
        <v/>
      </c>
      <c r="CE36" s="82">
        <f>CC36</f>
        <v/>
      </c>
      <c r="CF36" s="82">
        <f>CD36</f>
        <v/>
      </c>
      <c r="CG36" s="82">
        <f>CE36</f>
        <v/>
      </c>
      <c r="CH36" s="82">
        <f>CF36</f>
        <v/>
      </c>
      <c r="CI36" s="82">
        <f>CG36</f>
        <v/>
      </c>
      <c r="CJ36" s="82">
        <f>CH36</f>
        <v/>
      </c>
      <c r="CK36" s="82">
        <f>CI36</f>
        <v/>
      </c>
      <c r="CL36" s="82">
        <f>CJ36</f>
        <v/>
      </c>
      <c r="CM36" s="82">
        <f>CK36</f>
        <v/>
      </c>
      <c r="CN36" s="82">
        <f>CL36</f>
        <v/>
      </c>
      <c r="CO36" s="82">
        <f>CM36</f>
        <v/>
      </c>
      <c r="CP36" s="82">
        <f>CN36</f>
        <v/>
      </c>
      <c r="CQ36" s="82">
        <f>CO36</f>
        <v/>
      </c>
      <c r="CR36" s="82">
        <f>CP36</f>
        <v/>
      </c>
      <c r="CT36" s="82">
        <f>CR36</f>
        <v/>
      </c>
      <c r="CU36" s="82">
        <f>CT36</f>
        <v/>
      </c>
      <c r="CV36" s="82">
        <f>CT36</f>
        <v/>
      </c>
      <c r="CW36" s="82">
        <f>CU36</f>
        <v/>
      </c>
      <c r="CX36" s="82">
        <f>CV36</f>
        <v/>
      </c>
      <c r="CY36" s="82">
        <f>CW36</f>
        <v/>
      </c>
      <c r="CZ36" s="82">
        <f>CX36</f>
        <v/>
      </c>
      <c r="DA36" s="82">
        <f>CY36</f>
        <v/>
      </c>
      <c r="DB36" s="82">
        <f>CZ36</f>
        <v/>
      </c>
      <c r="DC36" s="82">
        <f>DA36</f>
        <v/>
      </c>
      <c r="DD36" s="82">
        <f>DB36</f>
        <v/>
      </c>
      <c r="DE36" s="82">
        <f>DC36</f>
        <v/>
      </c>
      <c r="DF36" s="82">
        <f>DD36</f>
        <v/>
      </c>
      <c r="DG36" s="82">
        <f>DE36</f>
        <v/>
      </c>
      <c r="DH36" s="82">
        <f>DF36</f>
        <v/>
      </c>
      <c r="DI36" s="82">
        <f>DG36</f>
        <v/>
      </c>
      <c r="DJ36" s="82">
        <f>DH36</f>
        <v/>
      </c>
      <c r="DK36" s="82">
        <f>DI36</f>
        <v/>
      </c>
      <c r="DL36" s="82">
        <f>DJ36</f>
        <v/>
      </c>
      <c r="DM36" s="82">
        <f>DK36</f>
        <v/>
      </c>
      <c r="DN36" s="82">
        <f>DL36</f>
        <v/>
      </c>
      <c r="DO36" s="82">
        <f>DM36</f>
        <v/>
      </c>
      <c r="DP36" s="82">
        <f>DN36</f>
        <v/>
      </c>
      <c r="DQ36" s="82">
        <f>DO36</f>
        <v/>
      </c>
      <c r="DR36" s="82">
        <f>DP36</f>
        <v/>
      </c>
      <c r="DS36" s="82">
        <f>DQ36</f>
        <v/>
      </c>
      <c r="DT36" s="82">
        <f>DR36</f>
        <v/>
      </c>
      <c r="DU36" s="82">
        <f>DS36</f>
        <v/>
      </c>
      <c r="DV36" s="82">
        <f>DT36</f>
        <v/>
      </c>
      <c r="DW36" s="82">
        <f>DU36</f>
        <v/>
      </c>
      <c r="DX36" s="117" t="n"/>
      <c r="DY36" s="82">
        <f>DW36</f>
        <v/>
      </c>
      <c r="DZ36" s="82">
        <f>DY36</f>
        <v/>
      </c>
      <c r="EA36" s="82">
        <f>DY36</f>
        <v/>
      </c>
      <c r="EB36" s="82">
        <f>DZ36</f>
        <v/>
      </c>
      <c r="EC36" s="82">
        <f>EA36</f>
        <v/>
      </c>
      <c r="ED36" s="82">
        <f>EB36</f>
        <v/>
      </c>
      <c r="EE36" s="82">
        <f>EC36</f>
        <v/>
      </c>
      <c r="EF36" s="82">
        <f>ED36</f>
        <v/>
      </c>
      <c r="EG36" s="82">
        <f>EE36</f>
        <v/>
      </c>
      <c r="EH36" s="82">
        <f>EF36</f>
        <v/>
      </c>
      <c r="EI36" s="82">
        <f>EG36</f>
        <v/>
      </c>
      <c r="EJ36" s="82">
        <f>EH36</f>
        <v/>
      </c>
      <c r="EK36" s="82">
        <f>EI36</f>
        <v/>
      </c>
      <c r="EL36" s="82">
        <f>EJ36</f>
        <v/>
      </c>
      <c r="EM36" s="82">
        <f>EK36</f>
        <v/>
      </c>
      <c r="EN36" s="82">
        <f>EL36</f>
        <v/>
      </c>
      <c r="EO36" s="82">
        <f>EM36</f>
        <v/>
      </c>
      <c r="EP36" s="82">
        <f>EN36</f>
        <v/>
      </c>
      <c r="EQ36" s="82">
        <f>EO36</f>
        <v/>
      </c>
      <c r="ER36" s="82">
        <f>EP36</f>
        <v/>
      </c>
      <c r="ES36" s="82">
        <f>EQ36</f>
        <v/>
      </c>
      <c r="ET36" s="82">
        <f>ER36</f>
        <v/>
      </c>
      <c r="EU36" s="82">
        <f>ES36</f>
        <v/>
      </c>
      <c r="EV36" s="82">
        <f>ET36</f>
        <v/>
      </c>
      <c r="EW36" s="82">
        <f>EU36</f>
        <v/>
      </c>
      <c r="EX36" s="82">
        <f>EV36</f>
        <v/>
      </c>
      <c r="EY36" s="82">
        <f>EW36</f>
        <v/>
      </c>
      <c r="EZ36" s="82">
        <f>EX36</f>
        <v/>
      </c>
      <c r="FA36" s="82">
        <f>EY36</f>
        <v/>
      </c>
      <c r="FB36" s="82">
        <f>EZ36</f>
        <v/>
      </c>
      <c r="FC36" s="82">
        <f>FA36</f>
        <v/>
      </c>
      <c r="FD36" s="126" t="n"/>
      <c r="FE36" s="82">
        <f>FC36</f>
        <v/>
      </c>
      <c r="FF36" s="82">
        <f>FE36</f>
        <v/>
      </c>
      <c r="FG36" s="82">
        <f>FE36</f>
        <v/>
      </c>
      <c r="FH36" s="82">
        <f>FF36</f>
        <v/>
      </c>
      <c r="FI36" s="82">
        <f>FG36</f>
        <v/>
      </c>
      <c r="FJ36" s="82">
        <f>FH36</f>
        <v/>
      </c>
      <c r="FK36" s="82">
        <f>FI36</f>
        <v/>
      </c>
      <c r="FL36" s="82">
        <f>FJ36</f>
        <v/>
      </c>
      <c r="FM36" s="82">
        <f>FK36</f>
        <v/>
      </c>
      <c r="FN36" s="82">
        <f>FL36</f>
        <v/>
      </c>
      <c r="FO36" s="82">
        <f>FM36</f>
        <v/>
      </c>
      <c r="FP36" s="82">
        <f>FN36</f>
        <v/>
      </c>
      <c r="FQ36" s="82">
        <f>FO36</f>
        <v/>
      </c>
      <c r="FR36" s="82">
        <f>FP36</f>
        <v/>
      </c>
      <c r="FS36" s="82">
        <f>FQ36</f>
        <v/>
      </c>
      <c r="FT36" s="82">
        <f>FR36</f>
        <v/>
      </c>
      <c r="FU36" s="82">
        <f>FS36</f>
        <v/>
      </c>
      <c r="FV36" s="82">
        <f>FT36</f>
        <v/>
      </c>
      <c r="FW36" s="82">
        <f>FU36</f>
        <v/>
      </c>
      <c r="FX36" s="82">
        <f>FV36</f>
        <v/>
      </c>
      <c r="FY36" s="82">
        <f>FW36</f>
        <v/>
      </c>
      <c r="FZ36" s="82">
        <f>FX36</f>
        <v/>
      </c>
      <c r="GA36" s="82">
        <f>FY36</f>
        <v/>
      </c>
      <c r="GB36" s="82">
        <f>FZ36</f>
        <v/>
      </c>
      <c r="GC36" s="82">
        <f>GA36</f>
        <v/>
      </c>
      <c r="GD36" s="82">
        <f>GB36</f>
        <v/>
      </c>
      <c r="GE36" s="82">
        <f>GC36</f>
        <v/>
      </c>
      <c r="GF36" s="82">
        <f>GD36</f>
        <v/>
      </c>
      <c r="GG36" s="82">
        <f>GE36</f>
        <v/>
      </c>
      <c r="GH36" s="82">
        <f>GF36</f>
        <v/>
      </c>
      <c r="GI36" s="82">
        <f>GG36</f>
        <v/>
      </c>
      <c r="GJ36" s="130" t="n"/>
      <c r="GK36" s="82">
        <f>GI36</f>
        <v/>
      </c>
      <c r="GL36" s="82">
        <f>GK36</f>
        <v/>
      </c>
      <c r="GM36" s="82">
        <f>GK36</f>
        <v/>
      </c>
      <c r="GN36" s="82">
        <f>GL36</f>
        <v/>
      </c>
      <c r="GO36" s="82">
        <f>GM36</f>
        <v/>
      </c>
      <c r="GP36" s="82">
        <f>GN36</f>
        <v/>
      </c>
      <c r="GQ36" s="82">
        <f>GO36</f>
        <v/>
      </c>
      <c r="GR36" s="82">
        <f>GP36</f>
        <v/>
      </c>
      <c r="GS36" s="82">
        <f>GQ36</f>
        <v/>
      </c>
      <c r="GT36" s="82">
        <f>GR36</f>
        <v/>
      </c>
      <c r="GU36" s="82">
        <f>GS36</f>
        <v/>
      </c>
      <c r="GV36" s="82">
        <f>GT36</f>
        <v/>
      </c>
      <c r="GW36" s="82">
        <f>GU36</f>
        <v/>
      </c>
      <c r="GX36" s="82">
        <f>GV36</f>
        <v/>
      </c>
      <c r="GY36" s="82">
        <f>GW36</f>
        <v/>
      </c>
      <c r="GZ36" s="82">
        <f>GX36</f>
        <v/>
      </c>
      <c r="HA36" s="82">
        <f>GY36</f>
        <v/>
      </c>
      <c r="HB36" s="82">
        <f>GZ36</f>
        <v/>
      </c>
      <c r="HC36" s="82">
        <f>HA36</f>
        <v/>
      </c>
      <c r="HD36" s="82">
        <f>HB36</f>
        <v/>
      </c>
      <c r="HE36" s="82">
        <f>HC36</f>
        <v/>
      </c>
      <c r="HF36" s="82">
        <f>HD36</f>
        <v/>
      </c>
      <c r="HG36" s="82">
        <f>HE36</f>
        <v/>
      </c>
      <c r="HH36" s="82">
        <f>HF36</f>
        <v/>
      </c>
      <c r="HI36" s="82">
        <f>HG36</f>
        <v/>
      </c>
      <c r="HJ36" s="82">
        <f>HH36</f>
        <v/>
      </c>
      <c r="HK36" s="82">
        <f>HI36</f>
        <v/>
      </c>
      <c r="HL36" s="82">
        <f>HJ36</f>
        <v/>
      </c>
      <c r="HM36" s="82">
        <f>HK36</f>
        <v/>
      </c>
      <c r="HN36" s="130" t="n"/>
      <c r="HO36" s="82">
        <f>HM36</f>
        <v/>
      </c>
      <c r="HP36" s="82">
        <f>HO36</f>
        <v/>
      </c>
      <c r="HQ36" s="82">
        <f>HO36</f>
        <v/>
      </c>
      <c r="HR36" s="82">
        <f>HP36</f>
        <v/>
      </c>
      <c r="HS36" s="82">
        <f>HQ36</f>
        <v/>
      </c>
      <c r="HT36" s="82">
        <f>HR36</f>
        <v/>
      </c>
      <c r="HU36" s="82">
        <f>HS36</f>
        <v/>
      </c>
      <c r="HV36" s="82">
        <f>HT36</f>
        <v/>
      </c>
      <c r="HW36" s="82">
        <f>HU36</f>
        <v/>
      </c>
      <c r="HX36" s="82">
        <f>HV36</f>
        <v/>
      </c>
      <c r="HY36" s="82">
        <f>HW36</f>
        <v/>
      </c>
      <c r="HZ36" s="82">
        <f>HX36</f>
        <v/>
      </c>
      <c r="IA36" s="82">
        <f>HY36</f>
        <v/>
      </c>
      <c r="IB36" s="82">
        <f>HZ36</f>
        <v/>
      </c>
      <c r="IC36" s="82">
        <f>IA36</f>
        <v/>
      </c>
      <c r="ID36" s="82">
        <f>IB36</f>
        <v/>
      </c>
      <c r="IE36" s="82">
        <f>IC36</f>
        <v/>
      </c>
      <c r="IF36" s="82">
        <f>ID36</f>
        <v/>
      </c>
      <c r="IG36" s="82">
        <f>IE36</f>
        <v/>
      </c>
      <c r="IH36" s="82">
        <f>IF36</f>
        <v/>
      </c>
      <c r="II36" s="82">
        <f>IG36</f>
        <v/>
      </c>
      <c r="IJ36" s="82">
        <f>IH36</f>
        <v/>
      </c>
      <c r="IK36" s="82">
        <f>II36</f>
        <v/>
      </c>
      <c r="IL36" s="82">
        <f>IJ36</f>
        <v/>
      </c>
      <c r="IM36" s="82">
        <f>IK36</f>
        <v/>
      </c>
      <c r="IN36" s="82">
        <f>IL36</f>
        <v/>
      </c>
      <c r="IO36" s="82">
        <f>IM36</f>
        <v/>
      </c>
      <c r="IP36" s="82">
        <f>IN36</f>
        <v/>
      </c>
      <c r="IQ36" s="82">
        <f>IO36</f>
        <v/>
      </c>
      <c r="IR36" s="82">
        <f>IP36</f>
        <v/>
      </c>
      <c r="IS36" s="82">
        <f>IQ36</f>
        <v/>
      </c>
      <c r="IT36" s="130" t="n"/>
      <c r="IU36" s="82">
        <f>IS36</f>
        <v/>
      </c>
      <c r="IV36" s="82">
        <f>IU36</f>
        <v/>
      </c>
      <c r="IW36" s="82">
        <f>IV36</f>
        <v/>
      </c>
      <c r="IX36" s="82">
        <f>IW36</f>
        <v/>
      </c>
      <c r="IY36" s="82">
        <f>IX36</f>
        <v/>
      </c>
      <c r="IZ36" s="82">
        <f>IY36</f>
        <v/>
      </c>
      <c r="JA36" s="82">
        <f>IZ36</f>
        <v/>
      </c>
      <c r="JB36" s="82">
        <f>JA36</f>
        <v/>
      </c>
      <c r="JC36" s="82">
        <f>JB36</f>
        <v/>
      </c>
      <c r="JD36" s="82">
        <f>JC36</f>
        <v/>
      </c>
      <c r="JE36" s="82">
        <f>JD36</f>
        <v/>
      </c>
      <c r="JF36" s="82">
        <f>JE36</f>
        <v/>
      </c>
      <c r="JG36" s="82">
        <f>JF36</f>
        <v/>
      </c>
      <c r="JH36" s="82">
        <f>JG36</f>
        <v/>
      </c>
      <c r="JI36" s="82">
        <f>JH36</f>
        <v/>
      </c>
      <c r="JJ36" s="82">
        <f>JI36</f>
        <v/>
      </c>
      <c r="JK36" s="82">
        <f>JJ36</f>
        <v/>
      </c>
      <c r="JL36" s="82">
        <f>JK36</f>
        <v/>
      </c>
      <c r="JM36" s="82">
        <f>JL36</f>
        <v/>
      </c>
      <c r="JN36" s="82">
        <f>JM36</f>
        <v/>
      </c>
      <c r="JO36" s="82">
        <f>JN36</f>
        <v/>
      </c>
      <c r="JP36" s="82">
        <f>JO36</f>
        <v/>
      </c>
      <c r="JQ36" s="82">
        <f>JP36</f>
        <v/>
      </c>
      <c r="JR36" s="82">
        <f>JQ36</f>
        <v/>
      </c>
      <c r="JS36" s="82">
        <f>JR36</f>
        <v/>
      </c>
      <c r="JT36" s="82">
        <f>JS36</f>
        <v/>
      </c>
      <c r="JU36" s="82">
        <f>JT36</f>
        <v/>
      </c>
      <c r="JV36" s="82">
        <f>JU36</f>
        <v/>
      </c>
      <c r="JW36" s="82">
        <f>JV36</f>
        <v/>
      </c>
      <c r="JX36" s="82">
        <f>JW36</f>
        <v/>
      </c>
      <c r="JY36" s="133" t="n"/>
      <c r="JZ36" s="82">
        <f>JX36</f>
        <v/>
      </c>
      <c r="KA36" s="82">
        <f>JZ36</f>
        <v/>
      </c>
      <c r="KB36" s="82">
        <f>JZ36</f>
        <v/>
      </c>
      <c r="KC36" s="82">
        <f>KA36</f>
        <v/>
      </c>
      <c r="KD36" s="82">
        <f>KB36</f>
        <v/>
      </c>
      <c r="KE36" s="82">
        <f>KC36</f>
        <v/>
      </c>
      <c r="KF36" s="82">
        <f>KD36</f>
        <v/>
      </c>
      <c r="KG36" s="82">
        <f>KE36-6000000</f>
        <v/>
      </c>
      <c r="KH36" s="82">
        <f>KG36</f>
        <v/>
      </c>
      <c r="KI36" s="82">
        <f>KG36</f>
        <v/>
      </c>
      <c r="KJ36" s="82">
        <f>KH36</f>
        <v/>
      </c>
      <c r="KK36" s="82">
        <f>KI36</f>
        <v/>
      </c>
      <c r="KL36" s="82">
        <f>KJ36</f>
        <v/>
      </c>
      <c r="KM36" s="82">
        <f>KK36</f>
        <v/>
      </c>
      <c r="KN36" s="82">
        <f>KL36</f>
        <v/>
      </c>
      <c r="KO36" s="82">
        <f>KM36</f>
        <v/>
      </c>
      <c r="KP36" s="82">
        <f>KN36</f>
        <v/>
      </c>
      <c r="KQ36" s="82">
        <f>KO36</f>
        <v/>
      </c>
      <c r="KR36" s="82">
        <f>KP36</f>
        <v/>
      </c>
      <c r="KS36" s="82">
        <f>KQ36</f>
        <v/>
      </c>
      <c r="KT36" s="82">
        <f>KR36</f>
        <v/>
      </c>
      <c r="KU36" s="82">
        <f>KS36</f>
        <v/>
      </c>
      <c r="KV36" s="82">
        <f>KT36</f>
        <v/>
      </c>
      <c r="KW36" s="82">
        <f>KU36</f>
        <v/>
      </c>
      <c r="KX36" s="82">
        <f>KV36</f>
        <v/>
      </c>
      <c r="KY36" s="82">
        <f>KW36</f>
        <v/>
      </c>
      <c r="KZ36" s="82">
        <f>KX36</f>
        <v/>
      </c>
      <c r="LA36" s="82">
        <f>KY36</f>
        <v/>
      </c>
      <c r="LB36" s="82">
        <f>KZ36</f>
        <v/>
      </c>
      <c r="LC36" s="82">
        <f>LA36</f>
        <v/>
      </c>
      <c r="LD36" s="82">
        <f>LB36</f>
        <v/>
      </c>
      <c r="LE36" s="130" t="n"/>
      <c r="LF36" s="82">
        <f>LD36</f>
        <v/>
      </c>
      <c r="LG36" s="82">
        <f>LF36</f>
        <v/>
      </c>
      <c r="LH36" s="82">
        <f>LG36</f>
        <v/>
      </c>
      <c r="LI36" s="82">
        <f>LH36</f>
        <v/>
      </c>
      <c r="LJ36" s="82">
        <f>LI36</f>
        <v/>
      </c>
      <c r="LK36" s="82">
        <f>LJ36</f>
        <v/>
      </c>
      <c r="LL36" s="82">
        <f>LK36</f>
        <v/>
      </c>
      <c r="LM36" s="82">
        <f>LL36</f>
        <v/>
      </c>
      <c r="LN36" s="82">
        <f>LM36</f>
        <v/>
      </c>
      <c r="LO36" s="82">
        <f>LN36</f>
        <v/>
      </c>
      <c r="LP36" s="82">
        <f>LO36</f>
        <v/>
      </c>
      <c r="LQ36" s="82">
        <f>LP36</f>
        <v/>
      </c>
      <c r="LR36" s="82">
        <f>LQ36</f>
        <v/>
      </c>
      <c r="LS36" s="82">
        <f>LR36</f>
        <v/>
      </c>
      <c r="LT36" s="82">
        <f>LS36</f>
        <v/>
      </c>
      <c r="LU36" s="82">
        <f>LT36</f>
        <v/>
      </c>
      <c r="LV36" s="82">
        <f>LU36</f>
        <v/>
      </c>
      <c r="LW36" s="82">
        <f>LV36</f>
        <v/>
      </c>
      <c r="LX36" s="82">
        <f>LW36</f>
        <v/>
      </c>
      <c r="LY36" s="82">
        <f>LX36</f>
        <v/>
      </c>
      <c r="LZ36" s="82">
        <f>LY36</f>
        <v/>
      </c>
      <c r="MA36" s="82">
        <f>LZ36</f>
        <v/>
      </c>
      <c r="MB36" s="82">
        <f>MA36</f>
        <v/>
      </c>
      <c r="MC36" s="82">
        <f>MB36</f>
        <v/>
      </c>
      <c r="MD36" s="82">
        <f>MC36</f>
        <v/>
      </c>
      <c r="ME36" s="82">
        <f>MD36</f>
        <v/>
      </c>
      <c r="MF36" s="82">
        <f>ME36</f>
        <v/>
      </c>
      <c r="MG36" s="82">
        <f>MF36</f>
        <v/>
      </c>
      <c r="MH36" s="82">
        <f>MG36</f>
        <v/>
      </c>
      <c r="MI36" s="82">
        <f>MH36</f>
        <v/>
      </c>
      <c r="MJ36" s="133" t="n"/>
      <c r="MK36" s="82">
        <f>MI36</f>
        <v/>
      </c>
      <c r="ML36" s="82">
        <f>MK36</f>
        <v/>
      </c>
      <c r="MM36" s="82">
        <f>MK36</f>
        <v/>
      </c>
      <c r="MN36" s="82">
        <f>ML36</f>
        <v/>
      </c>
      <c r="MO36" s="82">
        <f>MM36</f>
        <v/>
      </c>
      <c r="MP36" s="82">
        <f>MN36</f>
        <v/>
      </c>
      <c r="MQ36" s="82">
        <f>MO36</f>
        <v/>
      </c>
      <c r="MR36" s="82">
        <f>MP36</f>
        <v/>
      </c>
      <c r="MS36" s="82">
        <f>MQ36</f>
        <v/>
      </c>
      <c r="MT36" s="82">
        <f>MR36</f>
        <v/>
      </c>
      <c r="MU36" s="82">
        <f>MS36</f>
        <v/>
      </c>
      <c r="MV36" s="82">
        <f>MT36</f>
        <v/>
      </c>
      <c r="MW36" s="82">
        <f>MU36</f>
        <v/>
      </c>
      <c r="MX36" s="82">
        <f>MV36</f>
        <v/>
      </c>
      <c r="MY36" s="82">
        <f>MW36</f>
        <v/>
      </c>
      <c r="MZ36" s="82">
        <f>MX36</f>
        <v/>
      </c>
      <c r="NA36" s="82">
        <f>MY36</f>
        <v/>
      </c>
      <c r="NB36" s="82">
        <f>MZ36</f>
        <v/>
      </c>
      <c r="NC36" s="82">
        <f>NA36</f>
        <v/>
      </c>
      <c r="ND36" s="82">
        <f>NB36</f>
        <v/>
      </c>
      <c r="NE36" s="82">
        <f>NC36</f>
        <v/>
      </c>
      <c r="NF36" s="82">
        <f>ND36</f>
        <v/>
      </c>
      <c r="NG36" s="82">
        <f>NE36</f>
        <v/>
      </c>
      <c r="NH36" s="82">
        <f>NF36</f>
        <v/>
      </c>
      <c r="NI36" s="82">
        <f>NG36</f>
        <v/>
      </c>
      <c r="NJ36" s="82">
        <f>NH36</f>
        <v/>
      </c>
      <c r="NK36" s="82">
        <f>NI36</f>
        <v/>
      </c>
      <c r="NL36" s="82">
        <f>NJ36</f>
        <v/>
      </c>
      <c r="NM36" s="82">
        <f>NK36</f>
        <v/>
      </c>
      <c r="NN36" s="82">
        <f>NL36</f>
        <v/>
      </c>
      <c r="NO36" s="82">
        <f>NM36</f>
        <v/>
      </c>
      <c r="NP36" s="133" t="n"/>
      <c r="NQ36" s="82">
        <f>NO36</f>
        <v/>
      </c>
      <c r="NR36" s="82">
        <f>NQ36</f>
        <v/>
      </c>
      <c r="NS36" s="82">
        <f>NQ36</f>
        <v/>
      </c>
      <c r="NT36" s="82">
        <f>NR36</f>
        <v/>
      </c>
      <c r="NU36" s="82">
        <f>NS36</f>
        <v/>
      </c>
      <c r="NV36" s="82">
        <f>NT36</f>
        <v/>
      </c>
      <c r="NW36" s="82">
        <f>NU36</f>
        <v/>
      </c>
      <c r="NX36" s="82">
        <f>NV36</f>
        <v/>
      </c>
      <c r="NY36" s="82">
        <f>NW36</f>
        <v/>
      </c>
      <c r="NZ36" s="82">
        <f>NX36</f>
        <v/>
      </c>
      <c r="OA36" s="82">
        <f>NY36</f>
        <v/>
      </c>
      <c r="OB36" s="82">
        <f>NZ36</f>
        <v/>
      </c>
      <c r="OC36" s="82">
        <f>OA36</f>
        <v/>
      </c>
      <c r="OD36" s="82">
        <f>OB36</f>
        <v/>
      </c>
      <c r="OE36" s="82">
        <f>OC36</f>
        <v/>
      </c>
      <c r="OF36" s="82">
        <f>OD36</f>
        <v/>
      </c>
      <c r="OG36" s="82">
        <f>OE36</f>
        <v/>
      </c>
      <c r="OH36" s="82">
        <f>OF36</f>
        <v/>
      </c>
      <c r="OI36" s="82">
        <f>OG36</f>
        <v/>
      </c>
      <c r="OJ36" s="82">
        <f>OH36</f>
        <v/>
      </c>
      <c r="OK36" s="82">
        <f>OI36</f>
        <v/>
      </c>
      <c r="OL36" s="82">
        <f>OJ36</f>
        <v/>
      </c>
      <c r="OM36" s="82">
        <f>OK36</f>
        <v/>
      </c>
      <c r="ON36" s="82">
        <f>OL36</f>
        <v/>
      </c>
      <c r="OO36" s="82">
        <f>OM36</f>
        <v/>
      </c>
      <c r="OP36" s="82">
        <f>ON36</f>
        <v/>
      </c>
      <c r="OQ36" s="82">
        <f>OO36</f>
        <v/>
      </c>
      <c r="OR36" s="82">
        <f>OP36</f>
        <v/>
      </c>
      <c r="OS36" s="82">
        <f>OQ36</f>
        <v/>
      </c>
      <c r="OT36" s="82">
        <f>OR36</f>
        <v/>
      </c>
      <c r="OU36" s="82">
        <f>OS36</f>
        <v/>
      </c>
      <c r="OV36" s="130" t="n"/>
      <c r="OW36" s="82">
        <f>OU36</f>
        <v/>
      </c>
      <c r="OX36" s="82">
        <f>OW36</f>
        <v/>
      </c>
      <c r="OY36" s="82">
        <f>OW36</f>
        <v/>
      </c>
      <c r="OZ36" s="82">
        <f>OX36</f>
        <v/>
      </c>
      <c r="PA36" s="82">
        <f>OY36</f>
        <v/>
      </c>
      <c r="PB36" s="82">
        <f>OZ36</f>
        <v/>
      </c>
      <c r="PC36" s="82">
        <f>PA36</f>
        <v/>
      </c>
      <c r="PD36" s="82">
        <f>PB36</f>
        <v/>
      </c>
      <c r="PE36" s="82">
        <f>PC36</f>
        <v/>
      </c>
      <c r="PF36" s="82">
        <f>PD36</f>
        <v/>
      </c>
      <c r="PG36" s="82">
        <f>PE36</f>
        <v/>
      </c>
      <c r="PH36" s="82">
        <f>PF36</f>
        <v/>
      </c>
      <c r="PI36" s="82">
        <f>PG36</f>
        <v/>
      </c>
      <c r="PJ36" s="82">
        <f>PH36</f>
        <v/>
      </c>
      <c r="PK36" s="82">
        <f>PI36</f>
        <v/>
      </c>
      <c r="PL36" s="82">
        <f>PJ36</f>
        <v/>
      </c>
      <c r="PM36" s="82">
        <f>PK36</f>
        <v/>
      </c>
      <c r="PN36" s="82">
        <f>PL36</f>
        <v/>
      </c>
      <c r="PO36" s="82">
        <f>PM36</f>
        <v/>
      </c>
      <c r="PP36" s="82">
        <f>PN36</f>
        <v/>
      </c>
      <c r="PQ36" s="82">
        <f>PO36</f>
        <v/>
      </c>
      <c r="PR36" s="82">
        <f>PP36</f>
        <v/>
      </c>
      <c r="PS36" s="82">
        <f>PQ36</f>
        <v/>
      </c>
      <c r="PT36" s="82">
        <f>PR36</f>
        <v/>
      </c>
      <c r="PU36" s="82">
        <f>PS36</f>
        <v/>
      </c>
      <c r="PV36" s="82">
        <f>PT36</f>
        <v/>
      </c>
      <c r="PW36" s="82">
        <f>PU36</f>
        <v/>
      </c>
      <c r="PX36" s="82">
        <f>PV36</f>
        <v/>
      </c>
      <c r="PY36" s="82">
        <f>PW36</f>
        <v/>
      </c>
      <c r="PZ36" s="82">
        <f>PX36</f>
        <v/>
      </c>
      <c r="QA36" s="130" t="n"/>
      <c r="QB36" s="82">
        <f>PZ36</f>
        <v/>
      </c>
      <c r="QC36" s="82">
        <f>QB36</f>
        <v/>
      </c>
      <c r="QD36" s="82">
        <f>QC36</f>
        <v/>
      </c>
      <c r="QE36" s="82">
        <f>QD36</f>
        <v/>
      </c>
      <c r="QF36" s="82">
        <f>QE36</f>
        <v/>
      </c>
      <c r="QG36" s="82">
        <f>QF36</f>
        <v/>
      </c>
      <c r="QH36" s="82">
        <f>QG36</f>
        <v/>
      </c>
      <c r="QI36" s="82">
        <f>QH36</f>
        <v/>
      </c>
      <c r="QJ36" s="82">
        <f>QI36</f>
        <v/>
      </c>
      <c r="QK36" s="82">
        <f>QJ36</f>
        <v/>
      </c>
      <c r="QL36" s="82">
        <f>QK36</f>
        <v/>
      </c>
      <c r="QM36" s="82">
        <f>QL36</f>
        <v/>
      </c>
      <c r="QN36" s="82">
        <f>QM36</f>
        <v/>
      </c>
      <c r="QO36" s="82">
        <f>QN36</f>
        <v/>
      </c>
      <c r="QP36" s="82">
        <f>QO36</f>
        <v/>
      </c>
      <c r="QQ36" s="82">
        <f>QP36</f>
        <v/>
      </c>
      <c r="QR36" s="82">
        <f>QQ36</f>
        <v/>
      </c>
      <c r="QS36" s="82">
        <f>QR36</f>
        <v/>
      </c>
      <c r="QT36" s="82">
        <f>QS36</f>
        <v/>
      </c>
      <c r="QU36" s="82">
        <f>QT36</f>
        <v/>
      </c>
      <c r="QV36" s="82">
        <f>QU36</f>
        <v/>
      </c>
      <c r="QW36" s="82">
        <f>QV36</f>
        <v/>
      </c>
      <c r="QX36" s="82">
        <f>QW36</f>
        <v/>
      </c>
      <c r="QY36" s="82">
        <f>QX36</f>
        <v/>
      </c>
      <c r="QZ36" s="82">
        <f>QY36</f>
        <v/>
      </c>
      <c r="RA36" s="82">
        <f>QZ36</f>
        <v/>
      </c>
      <c r="RB36" s="82">
        <f>RA36</f>
        <v/>
      </c>
      <c r="RC36" s="82">
        <f>RB36</f>
        <v/>
      </c>
      <c r="RD36" s="82">
        <f>RC36</f>
        <v/>
      </c>
      <c r="RE36" s="82">
        <f>RD36</f>
        <v/>
      </c>
      <c r="RF36" s="82">
        <f>RE36</f>
        <v/>
      </c>
      <c r="RG36" s="130" t="n"/>
      <c r="RH36" s="82">
        <f>RF36</f>
        <v/>
      </c>
      <c r="RI36" s="82">
        <f>RH36</f>
        <v/>
      </c>
      <c r="RJ36" s="82">
        <f>RI36</f>
        <v/>
      </c>
      <c r="RK36" s="82">
        <f>RJ36</f>
        <v/>
      </c>
      <c r="RL36" s="82">
        <f>RK36</f>
        <v/>
      </c>
      <c r="RM36" s="82">
        <f>RL36</f>
        <v/>
      </c>
      <c r="RN36" s="82">
        <f>RM36</f>
        <v/>
      </c>
      <c r="RO36" s="82">
        <f>RN36</f>
        <v/>
      </c>
      <c r="RP36" s="82">
        <f>RO36</f>
        <v/>
      </c>
      <c r="RQ36" s="82">
        <f>RP36</f>
        <v/>
      </c>
      <c r="RR36" s="82">
        <f>RQ36</f>
        <v/>
      </c>
      <c r="RS36" s="82">
        <f>RR36</f>
        <v/>
      </c>
      <c r="RT36" s="82">
        <f>RS36</f>
        <v/>
      </c>
      <c r="RU36" s="82">
        <f>RT36</f>
        <v/>
      </c>
      <c r="RV36" s="82">
        <f>RU36</f>
        <v/>
      </c>
      <c r="RW36" s="82">
        <f>RV36</f>
        <v/>
      </c>
      <c r="RX36" s="82">
        <f>RW36</f>
        <v/>
      </c>
      <c r="RY36" s="82">
        <f>RX36</f>
        <v/>
      </c>
      <c r="RZ36" s="82">
        <f>RY36</f>
        <v/>
      </c>
      <c r="SA36" s="82">
        <f>RZ36</f>
        <v/>
      </c>
      <c r="SB36" s="82">
        <f>SA36</f>
        <v/>
      </c>
      <c r="SC36" s="82">
        <f>SB36</f>
        <v/>
      </c>
      <c r="SD36" s="82">
        <f>SC36</f>
        <v/>
      </c>
      <c r="SE36" s="82">
        <f>SD36</f>
        <v/>
      </c>
      <c r="SF36" s="82">
        <f>SE36</f>
        <v/>
      </c>
      <c r="SG36" s="82">
        <f>SF36</f>
        <v/>
      </c>
      <c r="SH36" s="82">
        <f>SG36</f>
        <v/>
      </c>
      <c r="SI36" s="82">
        <f>SH36</f>
        <v/>
      </c>
      <c r="SJ36" s="82">
        <f>SI36</f>
        <v/>
      </c>
      <c r="SK36" s="82">
        <f>SJ36</f>
        <v/>
      </c>
      <c r="SL36" s="130" t="n"/>
      <c r="SM36" s="82">
        <f>SK36</f>
        <v/>
      </c>
      <c r="SN36" s="82">
        <f>SM36</f>
        <v/>
      </c>
      <c r="SO36" s="82">
        <f>SN36</f>
        <v/>
      </c>
      <c r="SP36" s="82">
        <f>SO36</f>
        <v/>
      </c>
      <c r="SQ36" s="82">
        <f>SP36</f>
        <v/>
      </c>
      <c r="SR36" s="82">
        <f>SQ36</f>
        <v/>
      </c>
      <c r="SS36" s="82">
        <f>SR36</f>
        <v/>
      </c>
      <c r="ST36" s="82">
        <f>SS36</f>
        <v/>
      </c>
      <c r="SU36" s="82">
        <f>ST36</f>
        <v/>
      </c>
      <c r="SV36" s="82">
        <f>SU36</f>
        <v/>
      </c>
      <c r="SW36" s="82">
        <f>SV36</f>
        <v/>
      </c>
      <c r="SX36" s="82">
        <f>SW36</f>
        <v/>
      </c>
      <c r="SY36" s="82">
        <f>SX36</f>
        <v/>
      </c>
      <c r="SZ36" s="82">
        <f>SY36</f>
        <v/>
      </c>
      <c r="TA36" s="82">
        <f>SZ36</f>
        <v/>
      </c>
      <c r="TB36" s="82">
        <f>TA36</f>
        <v/>
      </c>
      <c r="TC36" s="82">
        <f>TB36</f>
        <v/>
      </c>
      <c r="TD36" s="82">
        <f>TC36</f>
        <v/>
      </c>
      <c r="TE36" s="82">
        <f>TD36</f>
        <v/>
      </c>
      <c r="TF36" s="82">
        <f>TE36</f>
        <v/>
      </c>
      <c r="TG36" s="82">
        <f>TF36</f>
        <v/>
      </c>
      <c r="TH36" s="82">
        <f>TG36</f>
        <v/>
      </c>
      <c r="TI36" s="82">
        <f>TH36</f>
        <v/>
      </c>
      <c r="TJ36" s="82">
        <f>TI36</f>
        <v/>
      </c>
      <c r="TK36" s="82">
        <f>TJ36</f>
        <v/>
      </c>
      <c r="TL36" s="82">
        <f>TK36</f>
        <v/>
      </c>
      <c r="TM36" s="82">
        <f>TL36</f>
        <v/>
      </c>
      <c r="TN36" s="82">
        <f>TM36</f>
        <v/>
      </c>
      <c r="TO36" s="82">
        <f>TN36</f>
        <v/>
      </c>
      <c r="TP36" s="82">
        <f>TO36</f>
        <v/>
      </c>
      <c r="TQ36" s="82">
        <f>TP36</f>
        <v/>
      </c>
      <c r="TR36" s="130" t="n"/>
      <c r="TS36" s="82">
        <f>TQ36</f>
        <v/>
      </c>
      <c r="TT36" s="82">
        <f>TS36</f>
        <v/>
      </c>
      <c r="TU36" s="82">
        <f>TT36</f>
        <v/>
      </c>
      <c r="TV36" s="82">
        <f>TU36</f>
        <v/>
      </c>
      <c r="TW36" s="82">
        <f>TV36</f>
        <v/>
      </c>
      <c r="TX36" s="82">
        <f>TW36</f>
        <v/>
      </c>
      <c r="TY36" s="82">
        <f>TX36</f>
        <v/>
      </c>
      <c r="TZ36" s="82">
        <f>TY36</f>
        <v/>
      </c>
      <c r="UA36" s="82">
        <f>TZ36</f>
        <v/>
      </c>
      <c r="UB36" s="82">
        <f>UA36</f>
        <v/>
      </c>
      <c r="UC36" s="82">
        <f>UB36</f>
        <v/>
      </c>
      <c r="UD36" s="82">
        <f>UC36</f>
        <v/>
      </c>
      <c r="UE36" s="82">
        <f>UD36</f>
        <v/>
      </c>
      <c r="UF36" s="82">
        <f>UE36</f>
        <v/>
      </c>
      <c r="UG36" s="82">
        <f>UF36</f>
        <v/>
      </c>
      <c r="UH36" s="82">
        <f>UG36</f>
        <v/>
      </c>
      <c r="UI36" s="82">
        <f>UH36</f>
        <v/>
      </c>
      <c r="UJ36" s="82">
        <f>UI36</f>
        <v/>
      </c>
      <c r="UK36" s="82">
        <f>UJ36</f>
        <v/>
      </c>
      <c r="UL36" s="82">
        <f>UK36</f>
        <v/>
      </c>
      <c r="UM36" s="82">
        <f>UL36</f>
        <v/>
      </c>
      <c r="UN36" s="82">
        <f>UM36</f>
        <v/>
      </c>
      <c r="UO36" s="82">
        <f>UN36</f>
        <v/>
      </c>
      <c r="UP36" s="82">
        <f>UO36</f>
        <v/>
      </c>
      <c r="UQ36" s="82">
        <f>UP36</f>
        <v/>
      </c>
      <c r="UR36" s="82">
        <f>UQ36</f>
        <v/>
      </c>
      <c r="US36" s="82">
        <f>UR36</f>
        <v/>
      </c>
      <c r="UT36" s="82">
        <f>US36</f>
        <v/>
      </c>
      <c r="UU36" s="82">
        <f>UT36</f>
        <v/>
      </c>
      <c r="UV36" s="82">
        <f>UU36</f>
        <v/>
      </c>
      <c r="UW36" s="82">
        <f>UV36</f>
        <v/>
      </c>
      <c r="UX36" s="130" t="n"/>
      <c r="UY36" s="82">
        <f>UW36</f>
        <v/>
      </c>
      <c r="UZ36" s="82">
        <f>UY36</f>
        <v/>
      </c>
      <c r="VA36" s="82">
        <f>UY36</f>
        <v/>
      </c>
      <c r="VB36" s="82">
        <f>UZ36</f>
        <v/>
      </c>
      <c r="VC36" s="82">
        <f>VA36</f>
        <v/>
      </c>
      <c r="VD36" s="82">
        <f>VB36</f>
        <v/>
      </c>
      <c r="VE36" s="82" t="n">
        <v>0</v>
      </c>
      <c r="VF36" s="82" t="n">
        <v>0</v>
      </c>
      <c r="VG36" s="82">
        <f>VE36</f>
        <v/>
      </c>
      <c r="VH36" s="82">
        <f>VF36</f>
        <v/>
      </c>
      <c r="VI36" s="82">
        <f>VG36</f>
        <v/>
      </c>
      <c r="VJ36" s="82">
        <f>VH36</f>
        <v/>
      </c>
      <c r="VK36" s="82">
        <f>VI36</f>
        <v/>
      </c>
      <c r="VL36" s="82">
        <f>VJ36</f>
        <v/>
      </c>
      <c r="VM36" s="82">
        <f>VK36</f>
        <v/>
      </c>
      <c r="VN36" s="82">
        <f>VL36</f>
        <v/>
      </c>
      <c r="VO36" s="82">
        <f>VM36</f>
        <v/>
      </c>
      <c r="VP36" s="82">
        <f>VN36</f>
        <v/>
      </c>
      <c r="VQ36" s="82">
        <f>VO36</f>
        <v/>
      </c>
      <c r="VR36" s="82">
        <f>VP36</f>
        <v/>
      </c>
      <c r="VS36" s="82">
        <f>VQ36</f>
        <v/>
      </c>
      <c r="VT36" s="82">
        <f>VR36</f>
        <v/>
      </c>
      <c r="VU36" s="82">
        <f>VS36</f>
        <v/>
      </c>
      <c r="VV36" s="82">
        <f>VT36</f>
        <v/>
      </c>
      <c r="VW36" s="82">
        <f>VU36</f>
        <v/>
      </c>
      <c r="VX36" s="82">
        <f>VV36</f>
        <v/>
      </c>
      <c r="VY36" s="82">
        <f>VW36</f>
        <v/>
      </c>
      <c r="VZ36" s="82">
        <f>VX36</f>
        <v/>
      </c>
      <c r="WA36" s="133" t="n"/>
      <c r="WB36" s="82">
        <f>VZ36</f>
        <v/>
      </c>
      <c r="WC36" s="82">
        <f>WA36</f>
        <v/>
      </c>
      <c r="WD36" s="82">
        <f>WB36</f>
        <v/>
      </c>
      <c r="WE36" s="82">
        <f>WC36</f>
        <v/>
      </c>
      <c r="WF36" s="82">
        <f>WD36</f>
        <v/>
      </c>
      <c r="WG36" s="82">
        <f>WE36</f>
        <v/>
      </c>
      <c r="WH36" s="82">
        <f>WF36</f>
        <v/>
      </c>
      <c r="WI36" s="82">
        <f>WG36</f>
        <v/>
      </c>
      <c r="WJ36" s="82">
        <f>WH36</f>
        <v/>
      </c>
      <c r="WK36" s="82">
        <f>WI36</f>
        <v/>
      </c>
      <c r="WL36" s="82">
        <f>WJ36</f>
        <v/>
      </c>
      <c r="WM36" s="82">
        <f>WK36</f>
        <v/>
      </c>
      <c r="WN36" s="82">
        <f>WL36</f>
        <v/>
      </c>
      <c r="WO36" s="82">
        <f>WM36</f>
        <v/>
      </c>
      <c r="WP36" s="82">
        <f>WN36</f>
        <v/>
      </c>
      <c r="WQ36" s="82">
        <f>WO36</f>
        <v/>
      </c>
      <c r="WR36" s="82">
        <f>WP36</f>
        <v/>
      </c>
      <c r="WS36" s="82">
        <f>WQ36</f>
        <v/>
      </c>
      <c r="WT36" s="82">
        <f>WR36</f>
        <v/>
      </c>
      <c r="WU36" s="82">
        <f>WS36</f>
        <v/>
      </c>
      <c r="WV36" s="82">
        <f>WT36</f>
        <v/>
      </c>
      <c r="WW36" s="82">
        <f>WU36</f>
        <v/>
      </c>
      <c r="WX36" s="82">
        <f>WV36</f>
        <v/>
      </c>
      <c r="WY36" s="82">
        <f>WW36</f>
        <v/>
      </c>
      <c r="WZ36" s="82">
        <f>WX36</f>
        <v/>
      </c>
      <c r="XA36" s="82">
        <f>WY36</f>
        <v/>
      </c>
      <c r="XB36" s="82">
        <f>WZ36</f>
        <v/>
      </c>
      <c r="XC36" s="82">
        <f>XA36</f>
        <v/>
      </c>
      <c r="XD36" s="82">
        <f>XB36</f>
        <v/>
      </c>
      <c r="XE36" s="82">
        <f>XC36</f>
        <v/>
      </c>
      <c r="XF36" s="82">
        <f>XD36</f>
        <v/>
      </c>
      <c r="XG36" s="133" t="n"/>
      <c r="XH36" s="82">
        <f>XF36</f>
        <v/>
      </c>
      <c r="XI36" s="82">
        <f>XG36</f>
        <v/>
      </c>
      <c r="XJ36" s="82">
        <f>XH36</f>
        <v/>
      </c>
      <c r="XK36" s="82">
        <f>XI36</f>
        <v/>
      </c>
      <c r="XL36" s="82">
        <f>XJ36</f>
        <v/>
      </c>
      <c r="XM36" s="82">
        <f>XK36</f>
        <v/>
      </c>
      <c r="XN36" s="82">
        <f>XL36</f>
        <v/>
      </c>
      <c r="XO36" s="82">
        <f>XM36</f>
        <v/>
      </c>
      <c r="XP36" s="82">
        <f>XN36</f>
        <v/>
      </c>
      <c r="XQ36" s="82">
        <f>XO36</f>
        <v/>
      </c>
      <c r="XR36" s="82">
        <f>XP36</f>
        <v/>
      </c>
      <c r="XS36" s="82">
        <f>XQ36</f>
        <v/>
      </c>
      <c r="XT36" s="82">
        <f>XR36</f>
        <v/>
      </c>
      <c r="XU36" s="82">
        <f>XS36</f>
        <v/>
      </c>
      <c r="XV36" s="82">
        <f>XT36</f>
        <v/>
      </c>
      <c r="XW36" s="82">
        <f>XU36</f>
        <v/>
      </c>
      <c r="XX36" s="82">
        <f>XV36</f>
        <v/>
      </c>
      <c r="XY36" s="82">
        <f>XW36</f>
        <v/>
      </c>
      <c r="XZ36" s="82">
        <f>XX36</f>
        <v/>
      </c>
      <c r="YA36" s="82">
        <f>XY36</f>
        <v/>
      </c>
      <c r="YB36" s="82">
        <f>XZ36</f>
        <v/>
      </c>
      <c r="YC36" s="82">
        <f>YA36</f>
        <v/>
      </c>
      <c r="YD36" s="82">
        <f>YB36</f>
        <v/>
      </c>
      <c r="YE36" s="82">
        <f>YC36</f>
        <v/>
      </c>
      <c r="YF36" s="82">
        <f>YD36</f>
        <v/>
      </c>
      <c r="YG36" s="82">
        <f>YE36</f>
        <v/>
      </c>
      <c r="YH36" s="82">
        <f>YF36</f>
        <v/>
      </c>
      <c r="YI36" s="82">
        <f>YG36</f>
        <v/>
      </c>
      <c r="YJ36" s="82">
        <f>YH36</f>
        <v/>
      </c>
      <c r="YK36" s="82">
        <f>YI36</f>
        <v/>
      </c>
      <c r="YL36" s="130" t="n"/>
      <c r="YM36" s="82">
        <f>YK36</f>
        <v/>
      </c>
      <c r="YN36" s="82">
        <f>YL36</f>
        <v/>
      </c>
      <c r="YO36" s="82">
        <f>YM36</f>
        <v/>
      </c>
      <c r="YP36" s="82">
        <f>YN36</f>
        <v/>
      </c>
      <c r="YQ36" s="82">
        <f>YO36</f>
        <v/>
      </c>
      <c r="YR36" s="82">
        <f>YP36</f>
        <v/>
      </c>
      <c r="YS36" s="82">
        <f>YQ36</f>
        <v/>
      </c>
      <c r="YT36" s="82">
        <f>YR36</f>
        <v/>
      </c>
      <c r="YU36" s="82">
        <f>YS36</f>
        <v/>
      </c>
      <c r="YV36" s="82">
        <f>YT36</f>
        <v/>
      </c>
      <c r="YW36" s="82">
        <f>YU36</f>
        <v/>
      </c>
      <c r="YX36" s="82">
        <f>YV36</f>
        <v/>
      </c>
      <c r="YY36" s="82">
        <f>YW36</f>
        <v/>
      </c>
      <c r="YZ36" s="82">
        <f>YX36</f>
        <v/>
      </c>
      <c r="ZA36" s="82">
        <f>YY36</f>
        <v/>
      </c>
      <c r="ZB36" s="82">
        <f>YZ36</f>
        <v/>
      </c>
      <c r="ZC36" s="82">
        <f>ZA36</f>
        <v/>
      </c>
      <c r="ZD36" s="82">
        <f>ZB36</f>
        <v/>
      </c>
      <c r="ZE36" s="82">
        <f>ZC36</f>
        <v/>
      </c>
      <c r="ZF36" s="82">
        <f>ZD36</f>
        <v/>
      </c>
      <c r="ZG36" s="82">
        <f>ZE36</f>
        <v/>
      </c>
      <c r="ZH36" s="82">
        <f>ZF36</f>
        <v/>
      </c>
      <c r="ZI36" s="82">
        <f>ZG36</f>
        <v/>
      </c>
      <c r="ZJ36" s="82">
        <f>ZH36</f>
        <v/>
      </c>
      <c r="ZK36" s="82">
        <f>ZI36</f>
        <v/>
      </c>
      <c r="ZL36" s="82">
        <f>ZJ36</f>
        <v/>
      </c>
      <c r="ZM36" s="82">
        <f>ZK36</f>
        <v/>
      </c>
      <c r="ZN36" s="82">
        <f>ZL36</f>
        <v/>
      </c>
      <c r="ZO36" s="82">
        <f>ZM36</f>
        <v/>
      </c>
      <c r="ZP36" s="82">
        <f>ZN36</f>
        <v/>
      </c>
      <c r="ZQ36" s="82">
        <f>ZO36</f>
        <v/>
      </c>
      <c r="ZR36" s="130" t="n"/>
      <c r="ZS36" s="82">
        <f>ZQ36</f>
        <v/>
      </c>
      <c r="ZT36" s="82">
        <f>ZR36</f>
        <v/>
      </c>
      <c r="ZU36" s="82">
        <f>ZS36</f>
        <v/>
      </c>
      <c r="ZV36" s="82">
        <f>ZT36</f>
        <v/>
      </c>
      <c r="ZW36" s="82">
        <f>ZU36</f>
        <v/>
      </c>
      <c r="ZX36" s="82">
        <f>ZV36</f>
        <v/>
      </c>
      <c r="ZY36" s="82">
        <f>ZW36</f>
        <v/>
      </c>
      <c r="ZZ36" s="82">
        <f>ZX36</f>
        <v/>
      </c>
      <c r="AAA36" s="82">
        <f>ZY36</f>
        <v/>
      </c>
      <c r="AAB36" s="82">
        <f>ZZ36</f>
        <v/>
      </c>
      <c r="AAC36" s="82">
        <f>AAA36</f>
        <v/>
      </c>
      <c r="AAD36" s="82">
        <f>AAB36</f>
        <v/>
      </c>
      <c r="AAE36" s="82">
        <f>AAC36</f>
        <v/>
      </c>
      <c r="AAF36" s="82">
        <f>AAD36</f>
        <v/>
      </c>
      <c r="AAG36" s="82">
        <f>AAE36</f>
        <v/>
      </c>
      <c r="AAH36" s="82">
        <f>AAF36</f>
        <v/>
      </c>
      <c r="AAI36" s="82">
        <f>AAG36</f>
        <v/>
      </c>
      <c r="AAJ36" s="82">
        <f>AAH36</f>
        <v/>
      </c>
      <c r="AAK36" s="82">
        <f>AAI36</f>
        <v/>
      </c>
      <c r="AAL36" s="82">
        <f>AAJ36</f>
        <v/>
      </c>
      <c r="AAM36" s="82">
        <f>AAK36</f>
        <v/>
      </c>
      <c r="AAN36" s="82">
        <f>AAL36</f>
        <v/>
      </c>
      <c r="AAO36" s="82">
        <f>AAM36</f>
        <v/>
      </c>
      <c r="AAP36" s="82">
        <f>AAN36</f>
        <v/>
      </c>
      <c r="AAQ36" s="82">
        <f>AAO36</f>
        <v/>
      </c>
      <c r="AAR36" s="82">
        <f>AAP36</f>
        <v/>
      </c>
      <c r="AAS36" s="82">
        <f>AAQ36</f>
        <v/>
      </c>
      <c r="AAT36" s="82">
        <f>AAR36</f>
        <v/>
      </c>
      <c r="AAU36" s="82">
        <f>AAS36</f>
        <v/>
      </c>
      <c r="AAV36" s="82">
        <f>AAT36</f>
        <v/>
      </c>
      <c r="AAW36" s="130" t="n"/>
      <c r="AAX36" s="82">
        <f>AAV36</f>
        <v/>
      </c>
      <c r="AAY36" s="82">
        <f>AAW36</f>
        <v/>
      </c>
      <c r="AAZ36" s="82">
        <f>AAX36</f>
        <v/>
      </c>
      <c r="ABA36" s="82">
        <f>AAY36</f>
        <v/>
      </c>
      <c r="ABB36" s="82">
        <f>AAZ36</f>
        <v/>
      </c>
      <c r="ABC36" s="82">
        <f>ABA36</f>
        <v/>
      </c>
      <c r="ABD36" s="82">
        <f>ABB36</f>
        <v/>
      </c>
      <c r="ABE36" s="82">
        <f>ABC36</f>
        <v/>
      </c>
      <c r="ABF36" s="82">
        <f>ABD36</f>
        <v/>
      </c>
      <c r="ABG36" s="82">
        <f>ABE36</f>
        <v/>
      </c>
      <c r="ABH36" s="82">
        <f>ABF36</f>
        <v/>
      </c>
      <c r="ABI36" s="82">
        <f>ABG36</f>
        <v/>
      </c>
      <c r="ABJ36" s="82">
        <f>ABH36</f>
        <v/>
      </c>
      <c r="ABK36" s="82">
        <f>ABI36</f>
        <v/>
      </c>
      <c r="ABL36" s="82">
        <f>ABJ36</f>
        <v/>
      </c>
      <c r="ABM36" s="82">
        <f>ABK36</f>
        <v/>
      </c>
      <c r="ABN36" s="82">
        <f>ABL36</f>
        <v/>
      </c>
      <c r="ABO36" s="82">
        <f>ABM36</f>
        <v/>
      </c>
      <c r="ABP36" s="82">
        <f>ABN36</f>
        <v/>
      </c>
      <c r="ABQ36" s="82">
        <f>ABO36</f>
        <v/>
      </c>
      <c r="ABR36" s="82">
        <f>ABP36</f>
        <v/>
      </c>
      <c r="ABS36" s="82">
        <f>ABQ36</f>
        <v/>
      </c>
      <c r="ABT36" s="82">
        <f>ABR36</f>
        <v/>
      </c>
      <c r="ABU36" s="82">
        <f>ABS36</f>
        <v/>
      </c>
      <c r="ABV36" s="82">
        <f>ABT36</f>
        <v/>
      </c>
      <c r="ABW36" s="82">
        <f>ABU36</f>
        <v/>
      </c>
      <c r="ABX36" s="82">
        <f>ABV36</f>
        <v/>
      </c>
      <c r="ABY36" s="82">
        <f>ABW36</f>
        <v/>
      </c>
      <c r="ABZ36" s="82">
        <f>ABX36</f>
        <v/>
      </c>
      <c r="ACA36" s="82">
        <f>ABY36</f>
        <v/>
      </c>
      <c r="ACB36" s="82">
        <f>ABZ36</f>
        <v/>
      </c>
      <c r="ACC36" s="130" t="n"/>
      <c r="ACD36" s="82">
        <f>ACB36</f>
        <v/>
      </c>
      <c r="ACE36" s="82">
        <f>ACC36</f>
        <v/>
      </c>
      <c r="ACF36" s="82">
        <f>ACD36</f>
        <v/>
      </c>
      <c r="ACG36" s="82">
        <f>ACE36</f>
        <v/>
      </c>
      <c r="ACH36" s="82">
        <f>ACF36</f>
        <v/>
      </c>
      <c r="ACI36" s="82">
        <f>ACG36</f>
        <v/>
      </c>
      <c r="ACJ36" s="82">
        <f>ACH36</f>
        <v/>
      </c>
      <c r="ACK36" s="82">
        <f>ACI36</f>
        <v/>
      </c>
      <c r="ACL36" s="82">
        <f>ACJ36</f>
        <v/>
      </c>
      <c r="ACM36" s="82">
        <f>ACK36</f>
        <v/>
      </c>
      <c r="ACN36" s="82">
        <f>ACL36</f>
        <v/>
      </c>
      <c r="ACO36" s="82">
        <f>ACM36</f>
        <v/>
      </c>
      <c r="ACP36" s="82">
        <f>ACN36</f>
        <v/>
      </c>
      <c r="ACQ36" s="82">
        <f>ACO36</f>
        <v/>
      </c>
      <c r="ACR36" s="82">
        <f>ACP36</f>
        <v/>
      </c>
      <c r="ACS36" s="82">
        <f>ACQ36</f>
        <v/>
      </c>
      <c r="ACT36" s="82">
        <f>ACR36</f>
        <v/>
      </c>
      <c r="ACU36" s="82">
        <f>ACS36</f>
        <v/>
      </c>
      <c r="ACV36" s="82">
        <f>ACT36</f>
        <v/>
      </c>
      <c r="ACW36" s="82">
        <f>ACU36</f>
        <v/>
      </c>
      <c r="ACX36" s="82">
        <f>ACV36</f>
        <v/>
      </c>
      <c r="ACY36" s="82">
        <f>ACW36</f>
        <v/>
      </c>
      <c r="ACZ36" s="82">
        <f>ACX36</f>
        <v/>
      </c>
      <c r="ADA36" s="82">
        <f>ACY36</f>
        <v/>
      </c>
      <c r="ADB36" s="82">
        <f>ACZ36</f>
        <v/>
      </c>
      <c r="ADC36" s="82">
        <f>ADA36</f>
        <v/>
      </c>
      <c r="ADD36" s="82">
        <f>ADB36</f>
        <v/>
      </c>
      <c r="ADE36" s="82">
        <f>ADC36</f>
        <v/>
      </c>
      <c r="ADF36" s="82">
        <f>ADD36</f>
        <v/>
      </c>
      <c r="ADG36" s="82">
        <f>ADE36</f>
        <v/>
      </c>
      <c r="ADH36" s="82">
        <f>ADF36</f>
        <v/>
      </c>
      <c r="ADI36" s="130" t="n"/>
      <c r="ADJ36" s="82">
        <f>ADH36</f>
        <v/>
      </c>
      <c r="ADK36" s="82">
        <f>ADI36</f>
        <v/>
      </c>
      <c r="ADL36" s="82">
        <f>ADJ36</f>
        <v/>
      </c>
      <c r="ADM36" s="82">
        <f>ADK36</f>
        <v/>
      </c>
      <c r="ADN36" s="82">
        <f>ADL36</f>
        <v/>
      </c>
      <c r="ADO36" s="82">
        <f>ADM36</f>
        <v/>
      </c>
      <c r="ADP36" s="82">
        <f>ADN36</f>
        <v/>
      </c>
      <c r="ADQ36" s="82">
        <f>ADO36</f>
        <v/>
      </c>
      <c r="ADR36" s="82">
        <f>ADP36</f>
        <v/>
      </c>
      <c r="ADS36" s="82">
        <f>ADQ36</f>
        <v/>
      </c>
      <c r="ADT36" s="82">
        <f>ADR36</f>
        <v/>
      </c>
      <c r="ADU36" s="82">
        <f>ADS36</f>
        <v/>
      </c>
      <c r="ADV36" s="82">
        <f>ADT36</f>
        <v/>
      </c>
      <c r="ADW36" s="82">
        <f>ADU36</f>
        <v/>
      </c>
      <c r="ADX36" s="82">
        <f>ADV36</f>
        <v/>
      </c>
      <c r="ADY36" s="82">
        <f>ADW36</f>
        <v/>
      </c>
      <c r="ADZ36" s="82">
        <f>ADX36</f>
        <v/>
      </c>
      <c r="AEA36" s="82">
        <f>ADY36</f>
        <v/>
      </c>
      <c r="AEB36" s="82">
        <f>ADZ36</f>
        <v/>
      </c>
      <c r="AEC36" s="82">
        <f>AEA36</f>
        <v/>
      </c>
      <c r="AED36" s="82">
        <f>AEB36</f>
        <v/>
      </c>
      <c r="AEE36" s="82">
        <f>AEC36</f>
        <v/>
      </c>
      <c r="AEF36" s="82">
        <f>AED36</f>
        <v/>
      </c>
      <c r="AEG36" s="82">
        <f>AEE36</f>
        <v/>
      </c>
      <c r="AEH36" s="82">
        <f>AEF36</f>
        <v/>
      </c>
      <c r="AEI36" s="82">
        <f>AEG36</f>
        <v/>
      </c>
      <c r="AEJ36" s="82">
        <f>AEH36</f>
        <v/>
      </c>
      <c r="AEK36" s="82">
        <f>AEI36</f>
        <v/>
      </c>
      <c r="AEL36" s="82">
        <f>AEJ36</f>
        <v/>
      </c>
      <c r="AEM36" s="82">
        <f>AEK36</f>
        <v/>
      </c>
      <c r="AEN36" s="130" t="n"/>
      <c r="AEO36" s="82">
        <f>AEM36</f>
        <v/>
      </c>
      <c r="AEP36" s="82">
        <f>AEN36</f>
        <v/>
      </c>
      <c r="AEQ36" s="82">
        <f>AEO36</f>
        <v/>
      </c>
      <c r="AER36" s="82">
        <f>AEP36</f>
        <v/>
      </c>
      <c r="AES36" s="82">
        <f>AEQ36</f>
        <v/>
      </c>
      <c r="AET36" s="82">
        <f>AER36</f>
        <v/>
      </c>
      <c r="AEU36" s="82">
        <f>AES36</f>
        <v/>
      </c>
      <c r="AEV36" s="82">
        <f>AET36</f>
        <v/>
      </c>
      <c r="AEW36" s="82">
        <f>AEU36</f>
        <v/>
      </c>
      <c r="AEX36" s="82">
        <f>AEV36</f>
        <v/>
      </c>
      <c r="AEY36" s="82">
        <f>AEW36</f>
        <v/>
      </c>
      <c r="AEZ36" s="82">
        <f>AEX36</f>
        <v/>
      </c>
      <c r="AFA36" s="82">
        <f>AEY36</f>
        <v/>
      </c>
      <c r="AFB36" s="82">
        <f>AEZ36</f>
        <v/>
      </c>
      <c r="AFC36" s="82">
        <f>AFA36</f>
        <v/>
      </c>
      <c r="AFD36" s="82">
        <f>AFB36</f>
        <v/>
      </c>
      <c r="AFE36" s="82">
        <f>AFC36</f>
        <v/>
      </c>
      <c r="AFF36" s="82">
        <f>AFD36</f>
        <v/>
      </c>
      <c r="AFG36" s="82">
        <f>AFE36</f>
        <v/>
      </c>
      <c r="AFH36" s="82">
        <f>AFF36</f>
        <v/>
      </c>
      <c r="AFI36" s="82">
        <f>AFG36</f>
        <v/>
      </c>
      <c r="AFJ36" s="82">
        <f>AFH36</f>
        <v/>
      </c>
      <c r="AFK36" s="82">
        <f>AFI36</f>
        <v/>
      </c>
      <c r="AFL36" s="82">
        <f>AFJ36</f>
        <v/>
      </c>
      <c r="AFM36" s="82">
        <f>AFK36</f>
        <v/>
      </c>
      <c r="AFN36" s="82">
        <f>AFL36</f>
        <v/>
      </c>
      <c r="AFO36" s="82">
        <f>AFM36</f>
        <v/>
      </c>
      <c r="AFP36" s="82">
        <f>AFN36</f>
        <v/>
      </c>
      <c r="AFQ36" s="82">
        <f>AFO36</f>
        <v/>
      </c>
      <c r="AFR36" s="82">
        <f>AFP36</f>
        <v/>
      </c>
      <c r="AFS36" s="82">
        <f>AFQ36</f>
        <v/>
      </c>
      <c r="AFT36" s="130" t="n"/>
      <c r="AFU36" s="82">
        <f>AFS36</f>
        <v/>
      </c>
      <c r="AFV36" s="82">
        <f>AFT36</f>
        <v/>
      </c>
      <c r="AFW36" s="82">
        <f>AFU36</f>
        <v/>
      </c>
      <c r="AFX36" s="82">
        <f>AFV36</f>
        <v/>
      </c>
      <c r="AFY36" s="82">
        <f>AFW36</f>
        <v/>
      </c>
      <c r="AFZ36" s="82">
        <f>AFX36</f>
        <v/>
      </c>
      <c r="AGA36" s="82">
        <f>AFY36</f>
        <v/>
      </c>
      <c r="AGB36" s="82">
        <f>AFZ36</f>
        <v/>
      </c>
      <c r="AGC36" s="82">
        <f>AGA36</f>
        <v/>
      </c>
      <c r="AGD36" s="82">
        <f>AGB36</f>
        <v/>
      </c>
      <c r="AGE36" s="82">
        <f>AGC36</f>
        <v/>
      </c>
      <c r="AGF36" s="82">
        <f>AGD36</f>
        <v/>
      </c>
      <c r="AGG36" s="82">
        <f>AGE36</f>
        <v/>
      </c>
      <c r="AGH36" s="82">
        <f>AGF36</f>
        <v/>
      </c>
      <c r="AGI36" s="82">
        <f>AGG36</f>
        <v/>
      </c>
      <c r="AGJ36" s="82">
        <f>AGH36</f>
        <v/>
      </c>
      <c r="AGK36" s="82">
        <f>AGI36</f>
        <v/>
      </c>
      <c r="AGL36" s="82">
        <f>AGJ36</f>
        <v/>
      </c>
      <c r="AGM36" s="82">
        <f>AGK36</f>
        <v/>
      </c>
      <c r="AGN36" s="82">
        <f>AGL36</f>
        <v/>
      </c>
      <c r="AGO36" s="82">
        <f>AGM36</f>
        <v/>
      </c>
      <c r="AGP36" s="82">
        <f>AGN36</f>
        <v/>
      </c>
      <c r="AGQ36" s="82">
        <f>AGO36</f>
        <v/>
      </c>
      <c r="AGR36" s="82">
        <f>AGP36</f>
        <v/>
      </c>
      <c r="AGS36" s="82">
        <f>AGQ36</f>
        <v/>
      </c>
      <c r="AGT36" s="82">
        <f>AGR36</f>
        <v/>
      </c>
      <c r="AGU36" s="82">
        <f>AGS36</f>
        <v/>
      </c>
      <c r="AGV36" s="82">
        <f>AGT36</f>
        <v/>
      </c>
      <c r="AGW36" s="82">
        <f>AGU36</f>
        <v/>
      </c>
      <c r="AGX36" s="82">
        <f>AGV36</f>
        <v/>
      </c>
      <c r="AGY36" s="133" t="n"/>
      <c r="AGZ36" s="82">
        <f>AGX36</f>
        <v/>
      </c>
      <c r="AHA36" s="82">
        <f>AGY36</f>
        <v/>
      </c>
      <c r="AHB36" s="82">
        <f>AGZ36</f>
        <v/>
      </c>
      <c r="AHC36" s="82">
        <f>AHA36</f>
        <v/>
      </c>
      <c r="AHD36" s="82">
        <f>AHB36</f>
        <v/>
      </c>
      <c r="AHE36" s="82">
        <f>AHC36</f>
        <v/>
      </c>
      <c r="AHF36" s="82">
        <f>AHD36</f>
        <v/>
      </c>
      <c r="AHG36" s="82">
        <f>AHE36</f>
        <v/>
      </c>
      <c r="AHH36" s="82">
        <f>AHF36</f>
        <v/>
      </c>
      <c r="AHI36" s="82">
        <f>AHG36</f>
        <v/>
      </c>
      <c r="AHJ36" s="82">
        <f>AHH36</f>
        <v/>
      </c>
      <c r="AHK36" s="82">
        <f>AHI36</f>
        <v/>
      </c>
      <c r="AHL36" s="82">
        <f>AHJ36</f>
        <v/>
      </c>
      <c r="AHM36" s="82">
        <f>AHK36</f>
        <v/>
      </c>
      <c r="AHN36" s="82">
        <f>AHL36</f>
        <v/>
      </c>
      <c r="AHO36" s="82">
        <f>AHM36</f>
        <v/>
      </c>
      <c r="AHP36" s="82">
        <f>AHN36</f>
        <v/>
      </c>
      <c r="AHQ36" s="82">
        <f>AHO36</f>
        <v/>
      </c>
      <c r="AHR36" s="82">
        <f>AHP36</f>
        <v/>
      </c>
      <c r="AHS36" s="82">
        <f>AHQ36</f>
        <v/>
      </c>
      <c r="AHT36" s="82">
        <f>AHR36</f>
        <v/>
      </c>
      <c r="AHU36" s="82">
        <f>AHS36</f>
        <v/>
      </c>
      <c r="AHV36" s="82">
        <f>AHT36</f>
        <v/>
      </c>
      <c r="AHW36" s="82">
        <f>AHU36</f>
        <v/>
      </c>
      <c r="AHX36" s="82">
        <f>AHV36</f>
        <v/>
      </c>
      <c r="AHY36" s="82">
        <f>AHW36</f>
        <v/>
      </c>
      <c r="AHZ36" s="82">
        <f>AHX36</f>
        <v/>
      </c>
      <c r="AIA36" s="82">
        <f>AHY36</f>
        <v/>
      </c>
      <c r="AIB36" s="82">
        <f>AHZ36</f>
        <v/>
      </c>
      <c r="AIC36" s="82">
        <f>AIA36</f>
        <v/>
      </c>
      <c r="AID36" s="82">
        <f>AIB36</f>
        <v/>
      </c>
      <c r="AIE36" s="130" t="n"/>
      <c r="AIF36" s="82">
        <f>AID36</f>
        <v/>
      </c>
      <c r="AIG36" s="82">
        <f>AIE36</f>
        <v/>
      </c>
      <c r="AIH36" s="82">
        <f>AIF36</f>
        <v/>
      </c>
      <c r="AII36" s="82">
        <f>AIG36</f>
        <v/>
      </c>
      <c r="AIJ36" s="82">
        <f>AIH36</f>
        <v/>
      </c>
      <c r="AIK36" s="82">
        <f>AII36</f>
        <v/>
      </c>
      <c r="AIL36" s="82">
        <f>AIJ36</f>
        <v/>
      </c>
      <c r="AIM36" s="82">
        <f>AIK36</f>
        <v/>
      </c>
      <c r="AIN36" s="82">
        <f>AIL36</f>
        <v/>
      </c>
      <c r="AIO36" s="82">
        <f>AIM36</f>
        <v/>
      </c>
      <c r="AIP36" s="82">
        <f>AIN36</f>
        <v/>
      </c>
      <c r="AIQ36" s="82">
        <f>AIO36</f>
        <v/>
      </c>
      <c r="AIR36" s="82">
        <f>AIP36</f>
        <v/>
      </c>
      <c r="AIS36" s="82">
        <f>AIQ36</f>
        <v/>
      </c>
      <c r="AIT36" s="82">
        <f>AIR36</f>
        <v/>
      </c>
      <c r="AIU36" s="82">
        <f>AIS36</f>
        <v/>
      </c>
      <c r="AIV36" s="82">
        <f>AIT36</f>
        <v/>
      </c>
      <c r="AIW36" s="82">
        <f>AIU36</f>
        <v/>
      </c>
      <c r="AIX36" s="82">
        <f>AIV36</f>
        <v/>
      </c>
      <c r="AIY36" s="82">
        <f>AIW36</f>
        <v/>
      </c>
      <c r="AIZ36" s="82">
        <f>AIX36</f>
        <v/>
      </c>
      <c r="AJA36" s="82">
        <f>AIY36</f>
        <v/>
      </c>
      <c r="AJB36" s="82">
        <f>AIZ36</f>
        <v/>
      </c>
      <c r="AJC36" s="82">
        <f>AJA36</f>
        <v/>
      </c>
      <c r="AJD36" s="82">
        <f>AJB36</f>
        <v/>
      </c>
      <c r="AJE36" s="82">
        <f>AJC36</f>
        <v/>
      </c>
      <c r="AJF36" s="82">
        <f>AJD36</f>
        <v/>
      </c>
      <c r="AJG36" s="82">
        <f>AJE36</f>
        <v/>
      </c>
      <c r="AJH36" s="82">
        <f>AJF36</f>
        <v/>
      </c>
      <c r="AJI36" s="82">
        <f>AJG36</f>
        <v/>
      </c>
      <c r="AJJ36" s="82">
        <f>AJH36</f>
        <v/>
      </c>
      <c r="AJK36" s="145" t="n"/>
      <c r="AJL36" s="82">
        <f>AJJ36</f>
        <v/>
      </c>
      <c r="AJM36" s="82">
        <f>AJK36</f>
        <v/>
      </c>
      <c r="AJN36" s="82">
        <f>AJL36</f>
        <v/>
      </c>
      <c r="AJO36" s="82">
        <f>AJM36</f>
        <v/>
      </c>
      <c r="AJP36" s="82">
        <f>AJN36</f>
        <v/>
      </c>
      <c r="AJQ36" s="82">
        <f>AJO36</f>
        <v/>
      </c>
      <c r="AJR36" s="82">
        <f>AJP36</f>
        <v/>
      </c>
      <c r="AJS36" s="82">
        <f>AJQ36</f>
        <v/>
      </c>
      <c r="AJT36" s="82">
        <f>AJR36</f>
        <v/>
      </c>
      <c r="AJU36" s="82">
        <f>AJS36</f>
        <v/>
      </c>
      <c r="AJV36" s="82">
        <f>AJT36</f>
        <v/>
      </c>
      <c r="AJW36" s="82">
        <f>AJU36</f>
        <v/>
      </c>
      <c r="AJX36" s="82">
        <f>AJV36</f>
        <v/>
      </c>
      <c r="AJY36" s="82">
        <f>AJW36</f>
        <v/>
      </c>
      <c r="AJZ36" s="82">
        <f>AJX36</f>
        <v/>
      </c>
      <c r="AKA36" s="82">
        <f>AJY36</f>
        <v/>
      </c>
      <c r="AKB36" s="82">
        <f>AJZ36</f>
        <v/>
      </c>
      <c r="AKC36" s="82">
        <f>AKA36</f>
        <v/>
      </c>
      <c r="AKD36" s="82">
        <f>AKB36</f>
        <v/>
      </c>
      <c r="AKE36" s="82">
        <f>AKC36</f>
        <v/>
      </c>
      <c r="AKF36" s="82">
        <f>AKD36</f>
        <v/>
      </c>
      <c r="AKG36" s="82">
        <f>AKE36</f>
        <v/>
      </c>
      <c r="AKH36" s="82">
        <f>AKF36</f>
        <v/>
      </c>
      <c r="AKI36" s="82">
        <f>AKG36</f>
        <v/>
      </c>
      <c r="AKJ36" s="82">
        <f>AKH36</f>
        <v/>
      </c>
      <c r="AKK36" s="82">
        <f>AKI36</f>
        <v/>
      </c>
      <c r="AKL36" s="82">
        <f>AKJ36</f>
        <v/>
      </c>
      <c r="AKM36" s="82">
        <f>AKK36</f>
        <v/>
      </c>
      <c r="AKN36" s="112" t="n"/>
      <c r="AKO36" s="82">
        <f>AKM36</f>
        <v/>
      </c>
      <c r="AKP36" s="82">
        <f>AKN36</f>
        <v/>
      </c>
      <c r="AKQ36" s="82">
        <f>AKO36</f>
        <v/>
      </c>
      <c r="AKR36" s="82">
        <f>AKP36</f>
        <v/>
      </c>
      <c r="AKS36" s="82">
        <f>AKQ36</f>
        <v/>
      </c>
      <c r="AKT36" s="82">
        <f>AKR36</f>
        <v/>
      </c>
      <c r="AKU36" s="82">
        <f>AKS36</f>
        <v/>
      </c>
      <c r="AKV36" s="82">
        <f>AKT36</f>
        <v/>
      </c>
      <c r="AKW36" s="82">
        <f>AKU36</f>
        <v/>
      </c>
      <c r="AKX36" s="82">
        <f>AKV36</f>
        <v/>
      </c>
      <c r="AKY36" s="82">
        <f>AKW36</f>
        <v/>
      </c>
      <c r="AKZ36" s="82">
        <f>AKX36</f>
        <v/>
      </c>
      <c r="ALA36" s="82">
        <f>AKY36</f>
        <v/>
      </c>
      <c r="ALB36" s="82">
        <f>AKZ36</f>
        <v/>
      </c>
      <c r="ALC36" s="82">
        <f>ALA36</f>
        <v/>
      </c>
      <c r="ALD36" s="82">
        <f>ALB36</f>
        <v/>
      </c>
      <c r="ALE36" s="82">
        <f>ALC36</f>
        <v/>
      </c>
      <c r="ALF36" s="82">
        <f>ALD36</f>
        <v/>
      </c>
      <c r="ALG36" s="82">
        <f>ALE36</f>
        <v/>
      </c>
      <c r="ALH36" s="82">
        <f>ALF36</f>
        <v/>
      </c>
      <c r="ALI36" s="82">
        <f>ALG36</f>
        <v/>
      </c>
      <c r="ALJ36" s="82">
        <f>ALH36</f>
        <v/>
      </c>
      <c r="ALK36" s="82">
        <f>ALI36</f>
        <v/>
      </c>
      <c r="ALL36" s="82">
        <f>ALJ36</f>
        <v/>
      </c>
      <c r="ALM36" s="82">
        <f>ALK36</f>
        <v/>
      </c>
      <c r="ALN36" s="82">
        <f>ALL36</f>
        <v/>
      </c>
      <c r="ALO36" s="82">
        <f>ALM36</f>
        <v/>
      </c>
      <c r="ALP36" s="82">
        <f>ALN36</f>
        <v/>
      </c>
      <c r="ALQ36" s="82">
        <f>ALO36</f>
        <v/>
      </c>
      <c r="ALR36" s="82">
        <f>ALP36</f>
        <v/>
      </c>
      <c r="ALS36" s="82">
        <f>ALQ36</f>
        <v/>
      </c>
      <c r="ALT36" s="130" t="n"/>
      <c r="ALU36" s="82">
        <f>ALS36</f>
        <v/>
      </c>
      <c r="ALV36" s="82">
        <f>ALT36</f>
        <v/>
      </c>
      <c r="ALW36" s="82">
        <f>ALU36</f>
        <v/>
      </c>
      <c r="ALX36" s="82">
        <f>ALV36</f>
        <v/>
      </c>
      <c r="ALY36" s="82">
        <f>ALW36</f>
        <v/>
      </c>
      <c r="ALZ36" s="82">
        <f>ALX36</f>
        <v/>
      </c>
      <c r="AMA36" s="82">
        <f>ALY36</f>
        <v/>
      </c>
      <c r="AMB36" s="82">
        <f>ALZ36</f>
        <v/>
      </c>
      <c r="AMC36" s="82">
        <f>AMA36</f>
        <v/>
      </c>
      <c r="AMD36" s="82">
        <f>AMB36</f>
        <v/>
      </c>
      <c r="AME36" s="82">
        <f>AMC36</f>
        <v/>
      </c>
      <c r="AMF36" s="82">
        <f>AMD36</f>
        <v/>
      </c>
      <c r="AMG36" s="82">
        <f>AME36</f>
        <v/>
      </c>
      <c r="AMH36" s="82">
        <f>AMF36</f>
        <v/>
      </c>
      <c r="AMI36" s="82">
        <f>AMG36</f>
        <v/>
      </c>
      <c r="AMJ36" s="82">
        <f>AMH36</f>
        <v/>
      </c>
      <c r="AMK36" s="82">
        <f>AMI36</f>
        <v/>
      </c>
      <c r="AML36" s="82">
        <f>AMJ36</f>
        <v/>
      </c>
      <c r="AMM36" s="82">
        <f>AMK36</f>
        <v/>
      </c>
      <c r="AMN36" s="82">
        <f>AML36</f>
        <v/>
      </c>
      <c r="AMO36" s="82">
        <f>AMM36</f>
        <v/>
      </c>
      <c r="AMP36" s="82">
        <f>AMN36</f>
        <v/>
      </c>
      <c r="AMQ36" s="82">
        <f>AMO36</f>
        <v/>
      </c>
      <c r="AMR36" s="82">
        <f>AMP36</f>
        <v/>
      </c>
      <c r="AMS36" s="82">
        <f>AMQ36</f>
        <v/>
      </c>
      <c r="AMT36" s="82">
        <f>AMR36</f>
        <v/>
      </c>
      <c r="AMU36" s="82">
        <f>AMS36</f>
        <v/>
      </c>
      <c r="AMV36" s="82">
        <f>AMT36</f>
        <v/>
      </c>
      <c r="AMW36" s="82">
        <f>AMU36</f>
        <v/>
      </c>
      <c r="AMX36" s="82">
        <f>AMV36</f>
        <v/>
      </c>
      <c r="AMY36" s="130" t="n"/>
      <c r="AMZ36" s="82">
        <f>AMX36</f>
        <v/>
      </c>
      <c r="ANA36" s="82">
        <f>AMY36</f>
        <v/>
      </c>
      <c r="ANB36" s="82">
        <f>AMZ36</f>
        <v/>
      </c>
      <c r="ANC36" s="82">
        <f>ANA36</f>
        <v/>
      </c>
      <c r="AND36" s="82">
        <f>ANB36</f>
        <v/>
      </c>
      <c r="ANE36" s="82">
        <f>ANC36</f>
        <v/>
      </c>
      <c r="ANF36" s="82">
        <f>AND36</f>
        <v/>
      </c>
      <c r="ANG36" s="82">
        <f>ANE36</f>
        <v/>
      </c>
      <c r="ANH36" s="82">
        <f>ANF36</f>
        <v/>
      </c>
      <c r="ANI36" s="82">
        <f>ANG36</f>
        <v/>
      </c>
      <c r="ANJ36" s="82">
        <f>ANH36</f>
        <v/>
      </c>
      <c r="ANK36" s="82">
        <f>ANI36</f>
        <v/>
      </c>
      <c r="ANL36" s="82">
        <f>ANJ36</f>
        <v/>
      </c>
      <c r="ANM36" s="82">
        <f>ANK36</f>
        <v/>
      </c>
      <c r="ANN36" s="82">
        <f>ANL36</f>
        <v/>
      </c>
      <c r="ANO36" s="82">
        <f>ANM36</f>
        <v/>
      </c>
      <c r="ANP36" s="82">
        <f>ANN36</f>
        <v/>
      </c>
      <c r="ANQ36" s="82">
        <f>ANO36</f>
        <v/>
      </c>
      <c r="ANR36" s="82">
        <f>ANP36</f>
        <v/>
      </c>
      <c r="ANS36" s="82">
        <f>ANQ36</f>
        <v/>
      </c>
      <c r="ANT36" s="82">
        <f>ANR36</f>
        <v/>
      </c>
      <c r="ANU36" s="82">
        <f>ANS36</f>
        <v/>
      </c>
      <c r="ANV36" s="82">
        <f>ANT36</f>
        <v/>
      </c>
      <c r="ANW36" s="82">
        <f>ANU36</f>
        <v/>
      </c>
      <c r="ANX36" s="82">
        <f>ANV36</f>
        <v/>
      </c>
      <c r="ANY36" s="82">
        <f>ANW36</f>
        <v/>
      </c>
      <c r="ANZ36" s="82">
        <f>ANX36</f>
        <v/>
      </c>
      <c r="AOA36" s="82">
        <f>ANY36</f>
        <v/>
      </c>
      <c r="AOB36" s="82">
        <f>ANZ36</f>
        <v/>
      </c>
      <c r="AOC36" s="82">
        <f>AOA36</f>
        <v/>
      </c>
    </row>
    <row r="37">
      <c r="B37" s="64" t="inlineStr">
        <is>
          <t>TOTAL DEBTORS</t>
        </is>
      </c>
      <c r="C37" s="65">
        <f>SUM(C14:C36)</f>
        <v/>
      </c>
      <c r="D37" s="65">
        <f>SUM(D14:D36)</f>
        <v/>
      </c>
      <c r="E37" s="65">
        <f>SUM(E14:E36)</f>
        <v/>
      </c>
      <c r="F37" s="65">
        <f>SUM(F14:F36)</f>
        <v/>
      </c>
      <c r="G37" s="65">
        <f>SUM(G14:G36)</f>
        <v/>
      </c>
      <c r="H37" s="65">
        <f>SUM(H14:H36)</f>
        <v/>
      </c>
      <c r="I37" s="65">
        <f>SUM(I14:I36)</f>
        <v/>
      </c>
      <c r="J37" s="65">
        <f>SUM(J14:J36)</f>
        <v/>
      </c>
      <c r="K37" s="65">
        <f>SUM(K14:K36)</f>
        <v/>
      </c>
      <c r="L37" s="65">
        <f>SUM(L14:L36)</f>
        <v/>
      </c>
      <c r="M37" s="65">
        <f>SUM(M14:M36)</f>
        <v/>
      </c>
      <c r="N37" s="65">
        <f>SUM(N14:N36)</f>
        <v/>
      </c>
      <c r="O37" s="65">
        <f>SUM(O14:O36)</f>
        <v/>
      </c>
      <c r="P37" s="65">
        <f>SUM(P14:P36)</f>
        <v/>
      </c>
      <c r="Q37" s="65">
        <f>SUM(Q14:Q36)</f>
        <v/>
      </c>
      <c r="R37" s="65">
        <f>SUM(R14:R36)</f>
        <v/>
      </c>
      <c r="S37" s="65">
        <f>SUM(S14:S36)</f>
        <v/>
      </c>
      <c r="T37" s="65">
        <f>SUM(T14:T36)</f>
        <v/>
      </c>
      <c r="U37" s="65">
        <f>SUM(U14:U36)</f>
        <v/>
      </c>
      <c r="V37" s="65">
        <f>SUM(V14:V36)</f>
        <v/>
      </c>
      <c r="W37" s="65">
        <f>SUM(W14:W36)</f>
        <v/>
      </c>
      <c r="X37" s="65">
        <f>SUM(X14:X36)</f>
        <v/>
      </c>
      <c r="Y37" s="65">
        <f>SUM(Y14:Y36)</f>
        <v/>
      </c>
      <c r="Z37" s="65">
        <f>SUM(Z14:Z36)</f>
        <v/>
      </c>
      <c r="AA37" s="65">
        <f>SUM(AA14:AA36)</f>
        <v/>
      </c>
      <c r="AB37" s="65">
        <f>SUM(AB14:AB36)</f>
        <v/>
      </c>
      <c r="AC37" s="65">
        <f>SUM(AC14:AC36)</f>
        <v/>
      </c>
      <c r="AD37" s="65">
        <f>SUM(AD14:AD36)</f>
        <v/>
      </c>
      <c r="AE37" s="65">
        <f>SUM(AE14:AE36)</f>
        <v/>
      </c>
      <c r="AF37" s="65">
        <f>SUM(AF14:AF36)</f>
        <v/>
      </c>
      <c r="AG37" s="65">
        <f>SUM(AG14:AG36)</f>
        <v/>
      </c>
      <c r="AH37" s="67">
        <f>SUM(AH14:AH36)</f>
        <v/>
      </c>
      <c r="AI37" s="65">
        <f>SUM(AI14:AI36)</f>
        <v/>
      </c>
      <c r="AJ37" s="65">
        <f>SUM(AJ14:AJ36)</f>
        <v/>
      </c>
      <c r="AK37" s="65">
        <f>SUM(AK14:AK36)</f>
        <v/>
      </c>
      <c r="AL37" s="65">
        <f>SUM(AL14:AL36)</f>
        <v/>
      </c>
      <c r="AM37" s="65">
        <f>SUM(AM14:AM36)</f>
        <v/>
      </c>
      <c r="AN37" s="65">
        <f>SUM(AN14:AN36)</f>
        <v/>
      </c>
      <c r="AO37" s="65">
        <f>SUM(AO14:AO36)</f>
        <v/>
      </c>
      <c r="AP37" s="65">
        <f>SUM(AP14:AP36)</f>
        <v/>
      </c>
      <c r="AQ37" s="65">
        <f>SUM(AQ14:AQ36)</f>
        <v/>
      </c>
      <c r="AR37" s="65">
        <f>SUM(AR14:AR36)</f>
        <v/>
      </c>
      <c r="AS37" s="65">
        <f>SUM(AS14:AS36)</f>
        <v/>
      </c>
      <c r="AT37" s="65">
        <f>SUM(AT14:AT36)</f>
        <v/>
      </c>
      <c r="AU37" s="65">
        <f>SUM(AU14:AU36)</f>
        <v/>
      </c>
      <c r="AV37" s="65">
        <f>SUM(AV14:AV36)</f>
        <v/>
      </c>
      <c r="AW37" s="65">
        <f>SUM(AW14:AW36)</f>
        <v/>
      </c>
      <c r="AX37" s="65">
        <f>SUM(AX14:AX36)</f>
        <v/>
      </c>
      <c r="AY37" s="65">
        <f>SUM(AY14:AY36)</f>
        <v/>
      </c>
      <c r="AZ37" s="65">
        <f>SUM(AZ14:AZ36)</f>
        <v/>
      </c>
      <c r="BA37" s="65">
        <f>SUM(BA14:BA36)</f>
        <v/>
      </c>
      <c r="BB37" s="65">
        <f>SUM(BB14:BB36)</f>
        <v/>
      </c>
      <c r="BC37" s="65">
        <f>SUM(BC14:BC36)</f>
        <v/>
      </c>
      <c r="BD37" s="65">
        <f>SUM(BD14:BD36)</f>
        <v/>
      </c>
      <c r="BE37" s="65">
        <f>SUM(BE14:BE36)</f>
        <v/>
      </c>
      <c r="BF37" s="65">
        <f>SUM(BF14:BF36)</f>
        <v/>
      </c>
      <c r="BG37" s="65">
        <f>SUM(BG14:BG36)</f>
        <v/>
      </c>
      <c r="BH37" s="65">
        <f>SUM(BH14:BH36)</f>
        <v/>
      </c>
      <c r="BI37" s="65">
        <f>SUM(BI14:BI36)</f>
        <v/>
      </c>
      <c r="BJ37" s="65">
        <f>SUM(BJ14:BJ36)</f>
        <v/>
      </c>
      <c r="BK37" s="65">
        <f>SUM(BK14:BK36)</f>
        <v/>
      </c>
      <c r="BL37" s="65">
        <f>SUM(BL14:BL36)</f>
        <v/>
      </c>
      <c r="BM37" s="65">
        <f>SUM(BM14:BM36)</f>
        <v/>
      </c>
      <c r="BN37" s="65">
        <f>SUM(BN14:BN36)</f>
        <v/>
      </c>
      <c r="BO37" s="65">
        <f>SUM(BO14:BO36)</f>
        <v/>
      </c>
      <c r="BP37" s="65">
        <f>SUM(BP14:BP36)</f>
        <v/>
      </c>
      <c r="BQ37" s="65">
        <f>SUM(BQ14:BQ36)</f>
        <v/>
      </c>
      <c r="BR37" s="65">
        <f>SUM(BR14:BR36)</f>
        <v/>
      </c>
      <c r="BS37" s="65">
        <f>SUM(BS14:BS36)</f>
        <v/>
      </c>
      <c r="BT37" s="65">
        <f>SUM(BT14:BT36)</f>
        <v/>
      </c>
      <c r="BU37" s="65">
        <f>SUM(BU14:BU36)</f>
        <v/>
      </c>
      <c r="BV37" s="65">
        <f>SUM(BV14:BV36)</f>
        <v/>
      </c>
      <c r="BW37" s="65">
        <f>SUM(BW14:BW36)</f>
        <v/>
      </c>
      <c r="BX37" s="65">
        <f>SUM(BX14:BX36)</f>
        <v/>
      </c>
      <c r="BY37" s="65">
        <f>SUM(BY14:BY36)</f>
        <v/>
      </c>
      <c r="BZ37" s="65">
        <f>SUM(BZ14:BZ36)</f>
        <v/>
      </c>
      <c r="CA37" s="65">
        <f>SUM(CA14:CA36)</f>
        <v/>
      </c>
      <c r="CB37" s="65">
        <f>SUM(CB14:CB36)</f>
        <v/>
      </c>
      <c r="CC37" s="65">
        <f>SUM(CC14:CC36)</f>
        <v/>
      </c>
      <c r="CD37" s="65">
        <f>SUM(CD14:CD36)</f>
        <v/>
      </c>
      <c r="CE37" s="65">
        <f>SUM(CE14:CE36)</f>
        <v/>
      </c>
      <c r="CF37" s="65">
        <f>SUM(CF14:CF36)</f>
        <v/>
      </c>
      <c r="CG37" s="65">
        <f>SUM(CG14:CG36)</f>
        <v/>
      </c>
      <c r="CH37" s="65">
        <f>SUM(CH14:CH36)</f>
        <v/>
      </c>
      <c r="CI37" s="65">
        <f>SUM(CI14:CI36)</f>
        <v/>
      </c>
      <c r="CJ37" s="65">
        <f>SUM(CJ14:CJ36)</f>
        <v/>
      </c>
      <c r="CK37" s="65">
        <f>SUM(CK14:CK36)</f>
        <v/>
      </c>
      <c r="CL37" s="65">
        <f>SUM(CL14:CL36)</f>
        <v/>
      </c>
      <c r="CM37" s="65">
        <f>SUM(CM14:CM36)</f>
        <v/>
      </c>
      <c r="CN37" s="65">
        <f>SUM(CN14:CN36)</f>
        <v/>
      </c>
      <c r="CO37" s="65">
        <f>SUM(CO14:CO36)</f>
        <v/>
      </c>
      <c r="CP37" s="65">
        <f>SUM(CP14:CP36)</f>
        <v/>
      </c>
      <c r="CQ37" s="65">
        <f>SUM(CQ14:CQ36)</f>
        <v/>
      </c>
      <c r="CR37" s="65">
        <f>SUM(CR14:CR36)</f>
        <v/>
      </c>
      <c r="CS37" s="82">
        <f>SUM(BN37:CR37)</f>
        <v/>
      </c>
      <c r="CT37" s="65">
        <f>SUM(CT14:CT36)</f>
        <v/>
      </c>
      <c r="CU37" s="65">
        <f>SUM(CU14:CU36)</f>
        <v/>
      </c>
      <c r="CV37" s="65">
        <f>SUM(CV14:CV36)</f>
        <v/>
      </c>
      <c r="CW37" s="65">
        <f>SUM(CW14:CW36)</f>
        <v/>
      </c>
      <c r="CX37" s="65">
        <f>SUM(CX14:CX36)</f>
        <v/>
      </c>
      <c r="CY37" s="65">
        <f>SUM(CY14:CY36)</f>
        <v/>
      </c>
      <c r="CZ37" s="65">
        <f>SUM(CZ14:CZ36)</f>
        <v/>
      </c>
      <c r="DA37" s="65">
        <f>SUM(DA14:DA36)</f>
        <v/>
      </c>
      <c r="DB37" s="65">
        <f>SUM(DB14:DB36)</f>
        <v/>
      </c>
      <c r="DC37" s="65">
        <f>SUM(DC14:DC36)</f>
        <v/>
      </c>
      <c r="DD37" s="65">
        <f>SUM(DD14:DD36)</f>
        <v/>
      </c>
      <c r="DE37" s="65">
        <f>SUM(DE14:DE36)</f>
        <v/>
      </c>
      <c r="DF37" s="65">
        <f>SUM(DF14:DF36)</f>
        <v/>
      </c>
      <c r="DG37" s="65">
        <f>SUM(DG14:DG36)</f>
        <v/>
      </c>
      <c r="DH37" s="65">
        <f>SUM(DH14:DH36)</f>
        <v/>
      </c>
      <c r="DI37" s="65">
        <f>SUM(DI14:DI36)</f>
        <v/>
      </c>
      <c r="DJ37" s="65">
        <f>SUM(DJ14:DJ36)</f>
        <v/>
      </c>
      <c r="DK37" s="65">
        <f>SUM(DK14:DK36)</f>
        <v/>
      </c>
      <c r="DL37" s="65">
        <f>SUM(DL14:DL36)</f>
        <v/>
      </c>
      <c r="DM37" s="65">
        <f>SUM(DM14:DM36)</f>
        <v/>
      </c>
      <c r="DN37" s="65">
        <f>SUM(DN14:DN36)</f>
        <v/>
      </c>
      <c r="DO37" s="65">
        <f>SUM(DO14:DO36)</f>
        <v/>
      </c>
      <c r="DP37" s="65">
        <f>SUM(DP14:DP36)</f>
        <v/>
      </c>
      <c r="DQ37" s="65">
        <f>SUM(DQ14:DQ36)</f>
        <v/>
      </c>
      <c r="DR37" s="65">
        <f>SUM(DR14:DR36)</f>
        <v/>
      </c>
      <c r="DS37" s="65">
        <f>SUM(DS14:DS36)</f>
        <v/>
      </c>
      <c r="DT37" s="65">
        <f>SUM(DT14:DT36)</f>
        <v/>
      </c>
      <c r="DU37" s="65">
        <f>SUM(DU14:DU36)</f>
        <v/>
      </c>
      <c r="DV37" s="65">
        <f>SUM(DV14:DV36)</f>
        <v/>
      </c>
      <c r="DW37" s="123">
        <f>SUM(DW14:DW36)</f>
        <v/>
      </c>
      <c r="DX37" s="123">
        <f>DW37</f>
        <v/>
      </c>
      <c r="DY37" s="123">
        <f>SUM(DY14:DY36)</f>
        <v/>
      </c>
      <c r="DZ37" s="123">
        <f>SUM(DZ14:DZ36)</f>
        <v/>
      </c>
      <c r="EA37" s="123">
        <f>SUM(EA14:EA36)</f>
        <v/>
      </c>
      <c r="EB37" s="123">
        <f>SUM(EB14:EB36)</f>
        <v/>
      </c>
      <c r="EC37" s="123">
        <f>SUM(EC14:EC36)</f>
        <v/>
      </c>
      <c r="ED37" s="123">
        <f>SUM(ED14:ED36)</f>
        <v/>
      </c>
      <c r="EE37" s="123">
        <f>SUM(EE14:EE36)</f>
        <v/>
      </c>
      <c r="EF37" s="123">
        <f>SUM(EF14:EF36)</f>
        <v/>
      </c>
      <c r="EG37" s="123">
        <f>SUM(EG14:EG36)</f>
        <v/>
      </c>
      <c r="EH37" s="123">
        <f>SUM(EH14:EH36)</f>
        <v/>
      </c>
      <c r="EI37" s="123">
        <f>SUM(EI14:EI36)</f>
        <v/>
      </c>
      <c r="EJ37" s="123">
        <f>SUM(EJ14:EJ36)</f>
        <v/>
      </c>
      <c r="EK37" s="123">
        <f>SUM(EK14:EK36)</f>
        <v/>
      </c>
      <c r="EL37" s="123">
        <f>SUM(EL14:EL36)</f>
        <v/>
      </c>
      <c r="EM37" s="123">
        <f>SUM(EM14:EM36)</f>
        <v/>
      </c>
      <c r="EN37" s="123">
        <f>SUM(EN14:EN36)</f>
        <v/>
      </c>
      <c r="EO37" s="123">
        <f>SUM(EO14:EO36)</f>
        <v/>
      </c>
      <c r="EP37" s="123">
        <f>SUM(EP14:EP36)</f>
        <v/>
      </c>
      <c r="EQ37" s="123">
        <f>SUM(EQ14:EQ36)</f>
        <v/>
      </c>
      <c r="ER37" s="123">
        <f>SUM(ER14:ER36)</f>
        <v/>
      </c>
      <c r="ES37" s="123">
        <f>SUM(ES14:ES36)</f>
        <v/>
      </c>
      <c r="ET37" s="123">
        <f>SUM(ET14:ET36)</f>
        <v/>
      </c>
      <c r="EU37" s="123">
        <f>SUM(EU14:EU36)</f>
        <v/>
      </c>
      <c r="EV37" s="123">
        <f>SUM(EV14:EV36)</f>
        <v/>
      </c>
      <c r="EW37" s="123">
        <f>SUM(EW14:EW36)</f>
        <v/>
      </c>
      <c r="EX37" s="123">
        <f>SUM(EX14:EX36)</f>
        <v/>
      </c>
      <c r="EY37" s="123">
        <f>SUM(EY14:EY36)</f>
        <v/>
      </c>
      <c r="EZ37" s="123">
        <f>SUM(EZ14:EZ36)</f>
        <v/>
      </c>
      <c r="FA37" s="123">
        <f>SUM(FA14:FA36)</f>
        <v/>
      </c>
      <c r="FB37" s="123">
        <f>SUM(FB14:FB36)</f>
        <v/>
      </c>
      <c r="FC37" s="123">
        <f>SUM(FC14:FC36)</f>
        <v/>
      </c>
      <c r="FD37" s="126" t="n"/>
      <c r="FE37" s="123">
        <f>SUM(FE14:FE36)</f>
        <v/>
      </c>
      <c r="FF37" s="123">
        <f>SUM(FF14:FF36)</f>
        <v/>
      </c>
      <c r="FG37" s="123">
        <f>SUM(FG14:FG36)</f>
        <v/>
      </c>
      <c r="FH37" s="123">
        <f>SUM(FH14:FH36)</f>
        <v/>
      </c>
      <c r="FI37" s="123">
        <f>SUM(FI14:FI36)</f>
        <v/>
      </c>
      <c r="FJ37" s="123">
        <f>SUM(FJ14:FJ36)</f>
        <v/>
      </c>
      <c r="FK37" s="123">
        <f>SUM(FK14:FK36)</f>
        <v/>
      </c>
      <c r="FL37" s="123">
        <f>SUM(FL14:FL36)</f>
        <v/>
      </c>
      <c r="FM37" s="123">
        <f>SUM(FM14:FM36)</f>
        <v/>
      </c>
      <c r="FN37" s="123">
        <f>SUM(FN14:FN36)</f>
        <v/>
      </c>
      <c r="FO37" s="123">
        <f>SUM(FO14:FO36)</f>
        <v/>
      </c>
      <c r="FP37" s="123">
        <f>SUM(FP14:FP36)</f>
        <v/>
      </c>
      <c r="FQ37" s="123">
        <f>SUM(FQ14:FQ36)</f>
        <v/>
      </c>
      <c r="FR37" s="123">
        <f>SUM(FR14:FR36)</f>
        <v/>
      </c>
      <c r="FS37" s="123">
        <f>SUM(FS14:FS36)</f>
        <v/>
      </c>
      <c r="FT37" s="123">
        <f>SUM(FT14:FT36)</f>
        <v/>
      </c>
      <c r="FU37" s="123">
        <f>SUM(FU14:FU36)</f>
        <v/>
      </c>
      <c r="FV37" s="123">
        <f>SUM(FV14:FV36)</f>
        <v/>
      </c>
      <c r="FW37" s="123">
        <f>SUM(FW14:FW36)</f>
        <v/>
      </c>
      <c r="FX37" s="123">
        <f>SUM(FX14:FX36)</f>
        <v/>
      </c>
      <c r="FY37" s="123">
        <f>SUM(FY14:FY36)</f>
        <v/>
      </c>
      <c r="FZ37" s="123">
        <f>SUM(FZ14:FZ36)</f>
        <v/>
      </c>
      <c r="GA37" s="123">
        <f>SUM(GA14:GA36)</f>
        <v/>
      </c>
      <c r="GB37" s="123">
        <f>SUM(GB14:GB36)</f>
        <v/>
      </c>
      <c r="GC37" s="123">
        <f>SUM(GC14:GC36)</f>
        <v/>
      </c>
      <c r="GD37" s="123">
        <f>SUM(GD14:GD36)</f>
        <v/>
      </c>
      <c r="GE37" s="123">
        <f>SUM(GE14:GE36)</f>
        <v/>
      </c>
      <c r="GF37" s="123">
        <f>SUM(GF14:GF36)</f>
        <v/>
      </c>
      <c r="GG37" s="123">
        <f>SUM(GG14:GG36)</f>
        <v/>
      </c>
      <c r="GH37" s="123">
        <f>SUM(GH14:GH36)</f>
        <v/>
      </c>
      <c r="GI37" s="123">
        <f>SUM(GI14:GI36)</f>
        <v/>
      </c>
      <c r="GJ37" s="130" t="n"/>
      <c r="GK37" s="123">
        <f>SUM(GK14:GK36)</f>
        <v/>
      </c>
      <c r="GL37" s="123">
        <f>SUM(GL14:GL36)</f>
        <v/>
      </c>
      <c r="GM37" s="123">
        <f>SUM(GM14:GM36)</f>
        <v/>
      </c>
      <c r="GN37" s="123">
        <f>SUM(GN14:GN36)</f>
        <v/>
      </c>
      <c r="GO37" s="123">
        <f>SUM(GO14:GO36)</f>
        <v/>
      </c>
      <c r="GP37" s="123">
        <f>SUM(GP14:GP36)</f>
        <v/>
      </c>
      <c r="GQ37" s="123">
        <f>SUM(GQ14:GQ36)</f>
        <v/>
      </c>
      <c r="GR37" s="123">
        <f>SUM(GR14:GR36)</f>
        <v/>
      </c>
      <c r="GS37" s="123">
        <f>SUM(GS14:GS36)</f>
        <v/>
      </c>
      <c r="GT37" s="123">
        <f>SUM(GT14:GT36)</f>
        <v/>
      </c>
      <c r="GU37" s="123">
        <f>SUM(GU14:GU36)</f>
        <v/>
      </c>
      <c r="GV37" s="123">
        <f>SUM(GV14:GV36)</f>
        <v/>
      </c>
      <c r="GW37" s="123">
        <f>SUM(GW14:GW36)</f>
        <v/>
      </c>
      <c r="GX37" s="123">
        <f>SUM(GX14:GX36)</f>
        <v/>
      </c>
      <c r="GY37" s="123">
        <f>SUM(GY14:GY36)</f>
        <v/>
      </c>
      <c r="GZ37" s="123">
        <f>SUM(GZ14:GZ36)</f>
        <v/>
      </c>
      <c r="HA37" s="123">
        <f>SUM(HA14:HA36)</f>
        <v/>
      </c>
      <c r="HB37" s="123">
        <f>SUM(HB14:HB36)</f>
        <v/>
      </c>
      <c r="HC37" s="123">
        <f>SUM(HC14:HC36)</f>
        <v/>
      </c>
      <c r="HD37" s="123">
        <f>SUM(HD14:HD36)</f>
        <v/>
      </c>
      <c r="HE37" s="123">
        <f>SUM(HE14:HE36)</f>
        <v/>
      </c>
      <c r="HF37" s="123">
        <f>SUM(HF14:HF36)</f>
        <v/>
      </c>
      <c r="HG37" s="123">
        <f>SUM(HG14:HG36)</f>
        <v/>
      </c>
      <c r="HH37" s="123">
        <f>SUM(HH14:HH36)</f>
        <v/>
      </c>
      <c r="HI37" s="123">
        <f>SUM(HI14:HI36)</f>
        <v/>
      </c>
      <c r="HJ37" s="123">
        <f>SUM(HJ14:HJ36)</f>
        <v/>
      </c>
      <c r="HK37" s="123">
        <f>SUM(HK14:HK36)</f>
        <v/>
      </c>
      <c r="HL37" s="123">
        <f>SUM(HL14:HL36)</f>
        <v/>
      </c>
      <c r="HM37" s="123">
        <f>SUM(HM14:HM36)</f>
        <v/>
      </c>
      <c r="HN37" s="130" t="n"/>
      <c r="HO37" s="123">
        <f>SUM(HO14:HO36)</f>
        <v/>
      </c>
      <c r="HP37" s="123">
        <f>SUM(HP14:HP36)</f>
        <v/>
      </c>
      <c r="HQ37" s="123">
        <f>SUM(HQ14:HQ36)</f>
        <v/>
      </c>
      <c r="HR37" s="123">
        <f>SUM(HR14:HR36)</f>
        <v/>
      </c>
      <c r="HS37" s="123">
        <f>SUM(HS14:HS36)</f>
        <v/>
      </c>
      <c r="HT37" s="123">
        <f>SUM(HT14:HT36)</f>
        <v/>
      </c>
      <c r="HU37" s="123">
        <f>SUM(HU14:HU36)</f>
        <v/>
      </c>
      <c r="HV37" s="123">
        <f>SUM(HV14:HV36)</f>
        <v/>
      </c>
      <c r="HW37" s="123">
        <f>SUM(HW14:HW36)</f>
        <v/>
      </c>
      <c r="HX37" s="123">
        <f>SUM(HX14:HX36)</f>
        <v/>
      </c>
      <c r="HY37" s="123">
        <f>SUM(HY14:HY36)</f>
        <v/>
      </c>
      <c r="HZ37" s="123">
        <f>SUM(HZ14:HZ36)</f>
        <v/>
      </c>
      <c r="IA37" s="123">
        <f>SUM(IA14:IA36)</f>
        <v/>
      </c>
      <c r="IB37" s="123">
        <f>SUM(IB14:IB36)</f>
        <v/>
      </c>
      <c r="IC37" s="123">
        <f>SUM(IC14:IC36)</f>
        <v/>
      </c>
      <c r="ID37" s="123">
        <f>SUM(ID14:ID36)</f>
        <v/>
      </c>
      <c r="IE37" s="123">
        <f>SUM(IE14:IE36)</f>
        <v/>
      </c>
      <c r="IF37" s="123">
        <f>SUM(IF14:IF36)</f>
        <v/>
      </c>
      <c r="IG37" s="123">
        <f>SUM(IG14:IG36)</f>
        <v/>
      </c>
      <c r="IH37" s="123">
        <f>SUM(IH14:IH36)</f>
        <v/>
      </c>
      <c r="II37" s="123">
        <f>SUM(II14:II36)</f>
        <v/>
      </c>
      <c r="IJ37" s="123">
        <f>SUM(IJ14:IJ36)</f>
        <v/>
      </c>
      <c r="IK37" s="123">
        <f>SUM(IK14:IK36)</f>
        <v/>
      </c>
      <c r="IL37" s="123">
        <f>SUM(IL14:IL36)</f>
        <v/>
      </c>
      <c r="IM37" s="123">
        <f>SUM(IM14:IM36)</f>
        <v/>
      </c>
      <c r="IN37" s="123">
        <f>SUM(IN14:IN36)</f>
        <v/>
      </c>
      <c r="IO37" s="123">
        <f>SUM(IO14:IO36)</f>
        <v/>
      </c>
      <c r="IP37" s="123">
        <f>SUM(IP14:IP36)</f>
        <v/>
      </c>
      <c r="IQ37" s="123">
        <f>SUM(IQ14:IQ36)</f>
        <v/>
      </c>
      <c r="IR37" s="123">
        <f>SUM(IR14:IR36)</f>
        <v/>
      </c>
      <c r="IS37" s="123">
        <f>SUM(IS14:IS36)</f>
        <v/>
      </c>
      <c r="IT37" s="130" t="n"/>
      <c r="IU37" s="123">
        <f>SUM(IU14:IU36)</f>
        <v/>
      </c>
      <c r="IV37" s="123">
        <f>SUM(IV14:IV36)</f>
        <v/>
      </c>
      <c r="IW37" s="123">
        <f>SUM(IW14:IW36)</f>
        <v/>
      </c>
      <c r="IX37" s="123">
        <f>SUM(IX14:IX36)</f>
        <v/>
      </c>
      <c r="IY37" s="123">
        <f>SUM(IY14:IY36)</f>
        <v/>
      </c>
      <c r="IZ37" s="123">
        <f>SUM(IZ14:IZ36)</f>
        <v/>
      </c>
      <c r="JA37" s="123">
        <f>SUM(JA14:JA36)</f>
        <v/>
      </c>
      <c r="JB37" s="123">
        <f>SUM(JB14:JB36)</f>
        <v/>
      </c>
      <c r="JC37" s="123">
        <f>SUM(JC14:JC36)</f>
        <v/>
      </c>
      <c r="JD37" s="123">
        <f>SUM(JD14:JD36)</f>
        <v/>
      </c>
      <c r="JE37" s="123">
        <f>SUM(JE14:JE36)</f>
        <v/>
      </c>
      <c r="JF37" s="123">
        <f>SUM(JF14:JF36)</f>
        <v/>
      </c>
      <c r="JG37" s="123">
        <f>SUM(JG14:JG36)</f>
        <v/>
      </c>
      <c r="JH37" s="123">
        <f>SUM(JH14:JH36)</f>
        <v/>
      </c>
      <c r="JI37" s="123">
        <f>SUM(JI14:JI36)</f>
        <v/>
      </c>
      <c r="JJ37" s="123">
        <f>SUM(JJ14:JJ36)</f>
        <v/>
      </c>
      <c r="JK37" s="123">
        <f>SUM(JK14:JK36)</f>
        <v/>
      </c>
      <c r="JL37" s="123">
        <f>SUM(JL14:JL36)</f>
        <v/>
      </c>
      <c r="JM37" s="123">
        <f>SUM(JM14:JM36)</f>
        <v/>
      </c>
      <c r="JN37" s="123">
        <f>SUM(JN14:JN36)</f>
        <v/>
      </c>
      <c r="JO37" s="123">
        <f>SUM(JO14:JO36)</f>
        <v/>
      </c>
      <c r="JP37" s="123">
        <f>SUM(JP14:JP36)</f>
        <v/>
      </c>
      <c r="JQ37" s="123">
        <f>SUM(JQ14:JQ36)</f>
        <v/>
      </c>
      <c r="JR37" s="123">
        <f>SUM(JR14:JR36)</f>
        <v/>
      </c>
      <c r="JS37" s="123">
        <f>SUM(JS14:JS36)</f>
        <v/>
      </c>
      <c r="JT37" s="123">
        <f>SUM(JT14:JT36)</f>
        <v/>
      </c>
      <c r="JU37" s="123">
        <f>SUM(JU14:JU36)</f>
        <v/>
      </c>
      <c r="JV37" s="123">
        <f>SUM(JV14:JV36)</f>
        <v/>
      </c>
      <c r="JW37" s="123">
        <f>SUM(JW14:JW36)</f>
        <v/>
      </c>
      <c r="JX37" s="123">
        <f>SUM(JX14:JX36)</f>
        <v/>
      </c>
      <c r="JY37" s="142" t="n"/>
      <c r="JZ37" s="123">
        <f>SUM(JZ14:JZ36)</f>
        <v/>
      </c>
      <c r="KA37" s="123">
        <f>SUM(KA14:KA36)</f>
        <v/>
      </c>
      <c r="KB37" s="123">
        <f>SUM(KB14:KB36)</f>
        <v/>
      </c>
      <c r="KC37" s="123">
        <f>SUM(KC14:KC36)</f>
        <v/>
      </c>
      <c r="KD37" s="123">
        <f>SUM(KD14:KD36)</f>
        <v/>
      </c>
      <c r="KE37" s="123">
        <f>SUM(KE14:KE36)</f>
        <v/>
      </c>
      <c r="KF37" s="123">
        <f>SUM(KF14:KF36)</f>
        <v/>
      </c>
      <c r="KG37" s="123">
        <f>SUM(KG14:KG36)</f>
        <v/>
      </c>
      <c r="KH37" s="123">
        <f>SUM(KH14:KH36)</f>
        <v/>
      </c>
      <c r="KI37" s="123">
        <f>SUM(KI14:KI36)</f>
        <v/>
      </c>
      <c r="KJ37" s="123">
        <f>SUM(KJ14:KJ36)</f>
        <v/>
      </c>
      <c r="KK37" s="123">
        <f>SUM(KK14:KK36)</f>
        <v/>
      </c>
      <c r="KL37" s="123">
        <f>SUM(KL14:KL36)</f>
        <v/>
      </c>
      <c r="KM37" s="123">
        <f>SUM(KM14:KM36)</f>
        <v/>
      </c>
      <c r="KN37" s="123">
        <f>SUM(KN14:KN36)</f>
        <v/>
      </c>
      <c r="KO37" s="123">
        <f>SUM(KO14:KO36)</f>
        <v/>
      </c>
      <c r="KP37" s="123">
        <f>SUM(KP14:KP36)</f>
        <v/>
      </c>
      <c r="KQ37" s="123">
        <f>SUM(KQ14:KQ36)</f>
        <v/>
      </c>
      <c r="KR37" s="123">
        <f>SUM(KR14:KR36)</f>
        <v/>
      </c>
      <c r="KS37" s="123">
        <f>SUM(KS14:KS36)</f>
        <v/>
      </c>
      <c r="KT37" s="123">
        <f>SUM(KT14:KT36)</f>
        <v/>
      </c>
      <c r="KU37" s="123">
        <f>SUM(KU14:KU36)</f>
        <v/>
      </c>
      <c r="KV37" s="123">
        <f>SUM(KV14:KV36)</f>
        <v/>
      </c>
      <c r="KW37" s="123">
        <f>SUM(KW14:KW36)</f>
        <v/>
      </c>
      <c r="KX37" s="123">
        <f>SUM(KX14:KX36)</f>
        <v/>
      </c>
      <c r="KY37" s="123">
        <f>SUM(KY14:KY36)</f>
        <v/>
      </c>
      <c r="KZ37" s="123">
        <f>SUM(KZ14:KZ36)</f>
        <v/>
      </c>
      <c r="LA37" s="123">
        <f>SUM(LA14:LA36)</f>
        <v/>
      </c>
      <c r="LB37" s="123">
        <f>SUM(LB14:LB36)</f>
        <v/>
      </c>
      <c r="LC37" s="123">
        <f>SUM(LC14:LC36)</f>
        <v/>
      </c>
      <c r="LD37" s="123">
        <f>SUM(LD14:LD36)</f>
        <v/>
      </c>
      <c r="LE37" s="130" t="n"/>
      <c r="LF37" s="123">
        <f>SUM(LF14:LF36)</f>
        <v/>
      </c>
      <c r="LG37" s="123">
        <f>SUM(LG14:LG36)</f>
        <v/>
      </c>
      <c r="LH37" s="123">
        <f>SUM(LH14:LH36)</f>
        <v/>
      </c>
      <c r="LI37" s="123">
        <f>SUM(LI14:LI36)</f>
        <v/>
      </c>
      <c r="LJ37" s="123">
        <f>SUM(LJ14:LJ36)</f>
        <v/>
      </c>
      <c r="LK37" s="123">
        <f>SUM(LK14:LK36)</f>
        <v/>
      </c>
      <c r="LL37" s="123">
        <f>SUM(LL14:LL36)</f>
        <v/>
      </c>
      <c r="LM37" s="123">
        <f>SUM(LM14:LM36)</f>
        <v/>
      </c>
      <c r="LN37" s="123">
        <f>SUM(LN14:LN36)</f>
        <v/>
      </c>
      <c r="LO37" s="123">
        <f>SUM(LO14:LO36)</f>
        <v/>
      </c>
      <c r="LP37" s="123">
        <f>SUM(LP14:LP36)</f>
        <v/>
      </c>
      <c r="LQ37" s="123">
        <f>SUM(LQ14:LQ36)</f>
        <v/>
      </c>
      <c r="LR37" s="123">
        <f>SUM(LR14:LR36)</f>
        <v/>
      </c>
      <c r="LS37" s="123">
        <f>SUM(LS14:LS36)</f>
        <v/>
      </c>
      <c r="LT37" s="123">
        <f>SUM(LT14:LT36)</f>
        <v/>
      </c>
      <c r="LU37" s="123">
        <f>SUM(LU14:LU36)</f>
        <v/>
      </c>
      <c r="LV37" s="123">
        <f>SUM(LV14:LV36)</f>
        <v/>
      </c>
      <c r="LW37" s="123">
        <f>SUM(LW14:LW36)</f>
        <v/>
      </c>
      <c r="LX37" s="123">
        <f>SUM(LX14:LX36)</f>
        <v/>
      </c>
      <c r="LY37" s="123">
        <f>SUM(LY14:LY36)</f>
        <v/>
      </c>
      <c r="LZ37" s="123">
        <f>SUM(LZ14:LZ36)</f>
        <v/>
      </c>
      <c r="MA37" s="123">
        <f>SUM(MA14:MA36)</f>
        <v/>
      </c>
      <c r="MB37" s="123">
        <f>SUM(MB14:MB36)</f>
        <v/>
      </c>
      <c r="MC37" s="123">
        <f>SUM(MC14:MC36)</f>
        <v/>
      </c>
      <c r="MD37" s="123">
        <f>SUM(MD14:MD36)</f>
        <v/>
      </c>
      <c r="ME37" s="123">
        <f>SUM(ME14:ME36)</f>
        <v/>
      </c>
      <c r="MF37" s="123">
        <f>SUM(MF14:MF36)</f>
        <v/>
      </c>
      <c r="MG37" s="123">
        <f>SUM(MG14:MG36)</f>
        <v/>
      </c>
      <c r="MH37" s="123">
        <f>SUM(MH14:MH36)</f>
        <v/>
      </c>
      <c r="MI37" s="123">
        <f>SUM(MI14:MI36)</f>
        <v/>
      </c>
      <c r="MJ37" s="142" t="n"/>
      <c r="MK37" s="123">
        <f>SUM(MK14:MK36)</f>
        <v/>
      </c>
      <c r="ML37" s="123">
        <f>SUM(ML14:ML36)</f>
        <v/>
      </c>
      <c r="MM37" s="123">
        <f>SUM(MM14:MM36)</f>
        <v/>
      </c>
      <c r="MN37" s="123">
        <f>SUM(MN14:MN36)</f>
        <v/>
      </c>
      <c r="MO37" s="123">
        <f>SUM(MO14:MO36)</f>
        <v/>
      </c>
      <c r="MP37" s="123">
        <f>SUM(MP14:MP36)</f>
        <v/>
      </c>
      <c r="MQ37" s="123">
        <f>SUM(MQ14:MQ36)</f>
        <v/>
      </c>
      <c r="MR37" s="123">
        <f>SUM(MR14:MR36)</f>
        <v/>
      </c>
      <c r="MS37" s="123">
        <f>SUM(MS14:MS36)</f>
        <v/>
      </c>
      <c r="MT37" s="123">
        <f>SUM(MT14:MT36)</f>
        <v/>
      </c>
      <c r="MU37" s="123">
        <f>SUM(MU14:MU36)</f>
        <v/>
      </c>
      <c r="MV37" s="123">
        <f>SUM(MV14:MV36)</f>
        <v/>
      </c>
      <c r="MW37" s="123">
        <f>SUM(MW14:MW36)</f>
        <v/>
      </c>
      <c r="MX37" s="123">
        <f>SUM(MX14:MX36)</f>
        <v/>
      </c>
      <c r="MY37" s="123">
        <f>SUM(MY14:MY36)</f>
        <v/>
      </c>
      <c r="MZ37" s="123">
        <f>SUM(MZ14:MZ36)</f>
        <v/>
      </c>
      <c r="NA37" s="123">
        <f>SUM(NA14:NA36)</f>
        <v/>
      </c>
      <c r="NB37" s="123">
        <f>SUM(NB14:NB36)</f>
        <v/>
      </c>
      <c r="NC37" s="123">
        <f>SUM(NC14:NC36)</f>
        <v/>
      </c>
      <c r="ND37" s="123">
        <f>SUM(ND14:ND36)</f>
        <v/>
      </c>
      <c r="NE37" s="123">
        <f>SUM(NE14:NE36)</f>
        <v/>
      </c>
      <c r="NF37" s="123">
        <f>SUM(NF14:NF36)</f>
        <v/>
      </c>
      <c r="NG37" s="123">
        <f>SUM(NG14:NG36)</f>
        <v/>
      </c>
      <c r="NH37" s="123">
        <f>SUM(NH14:NH36)</f>
        <v/>
      </c>
      <c r="NI37" s="123">
        <f>SUM(NI14:NI36)</f>
        <v/>
      </c>
      <c r="NJ37" s="123">
        <f>SUM(NJ14:NJ36)</f>
        <v/>
      </c>
      <c r="NK37" s="123">
        <f>SUM(NK14:NK36)</f>
        <v/>
      </c>
      <c r="NL37" s="123">
        <f>SUM(NL14:NL36)</f>
        <v/>
      </c>
      <c r="NM37" s="123">
        <f>SUM(NM14:NM36)</f>
        <v/>
      </c>
      <c r="NN37" s="123">
        <f>SUM(NN14:NN36)</f>
        <v/>
      </c>
      <c r="NO37" s="123">
        <f>SUM(NO14:NO36)</f>
        <v/>
      </c>
      <c r="NP37" s="142" t="n"/>
      <c r="NQ37" s="123">
        <f>SUM(NQ14:NQ36)</f>
        <v/>
      </c>
      <c r="NR37" s="123">
        <f>SUM(NR14:NR36)</f>
        <v/>
      </c>
      <c r="NS37" s="123">
        <f>SUM(NS14:NS36)</f>
        <v/>
      </c>
      <c r="NT37" s="123">
        <f>SUM(NT14:NT36)</f>
        <v/>
      </c>
      <c r="NU37" s="123">
        <f>SUM(NU14:NU36)</f>
        <v/>
      </c>
      <c r="NV37" s="123">
        <f>SUM(NV14:NV36)</f>
        <v/>
      </c>
      <c r="NW37" s="123">
        <f>SUM(NW14:NW36)</f>
        <v/>
      </c>
      <c r="NX37" s="123">
        <f>SUM(NX14:NX36)</f>
        <v/>
      </c>
      <c r="NY37" s="123">
        <f>SUM(NY14:NY36)</f>
        <v/>
      </c>
      <c r="NZ37" s="123">
        <f>SUM(NZ14:NZ36)</f>
        <v/>
      </c>
      <c r="OA37" s="123">
        <f>SUM(OA14:OA36)</f>
        <v/>
      </c>
      <c r="OB37" s="123">
        <f>SUM(OB14:OB36)</f>
        <v/>
      </c>
      <c r="OC37" s="123">
        <f>SUM(OC14:OC36)</f>
        <v/>
      </c>
      <c r="OD37" s="123">
        <f>SUM(OD14:OD36)</f>
        <v/>
      </c>
      <c r="OE37" s="123">
        <f>SUM(OE14:OE36)</f>
        <v/>
      </c>
      <c r="OF37" s="123">
        <f>SUM(OF14:OF36)</f>
        <v/>
      </c>
      <c r="OG37" s="123">
        <f>SUM(OG14:OG36)</f>
        <v/>
      </c>
      <c r="OH37" s="123">
        <f>SUM(OH14:OH36)</f>
        <v/>
      </c>
      <c r="OI37" s="123">
        <f>SUM(OI14:OI36)</f>
        <v/>
      </c>
      <c r="OJ37" s="123">
        <f>SUM(OJ14:OJ36)</f>
        <v/>
      </c>
      <c r="OK37" s="123">
        <f>SUM(OK14:OK36)</f>
        <v/>
      </c>
      <c r="OL37" s="123">
        <f>SUM(OL14:OL36)</f>
        <v/>
      </c>
      <c r="OM37" s="123">
        <f>SUM(OM14:OM36)</f>
        <v/>
      </c>
      <c r="ON37" s="123">
        <f>SUM(ON14:ON36)</f>
        <v/>
      </c>
      <c r="OO37" s="123">
        <f>SUM(OO14:OO36)</f>
        <v/>
      </c>
      <c r="OP37" s="123">
        <f>SUM(OP14:OP36)</f>
        <v/>
      </c>
      <c r="OQ37" s="123">
        <f>SUM(OQ14:OQ36)</f>
        <v/>
      </c>
      <c r="OR37" s="123">
        <f>SUM(OR14:OR36)</f>
        <v/>
      </c>
      <c r="OS37" s="123">
        <f>SUM(OS14:OS36)</f>
        <v/>
      </c>
      <c r="OT37" s="123">
        <f>SUM(OT14:OT36)</f>
        <v/>
      </c>
      <c r="OU37" s="123">
        <f>SUM(OU14:OU36)</f>
        <v/>
      </c>
      <c r="OV37" s="130" t="n"/>
      <c r="OW37" s="123">
        <f>SUM(OW14:OW36)</f>
        <v/>
      </c>
      <c r="OX37" s="123">
        <f>SUM(OX14:OX36)</f>
        <v/>
      </c>
      <c r="OY37" s="123">
        <f>SUM(OY14:OY36)</f>
        <v/>
      </c>
      <c r="OZ37" s="123">
        <f>SUM(OZ14:OZ36)</f>
        <v/>
      </c>
      <c r="PA37" s="123">
        <f>SUM(PA14:PA36)</f>
        <v/>
      </c>
      <c r="PB37" s="123">
        <f>SUM(PB14:PB36)</f>
        <v/>
      </c>
      <c r="PC37" s="123">
        <f>SUM(PC14:PC36)</f>
        <v/>
      </c>
      <c r="PD37" s="123">
        <f>SUM(PD14:PD36)</f>
        <v/>
      </c>
      <c r="PE37" s="123">
        <f>SUM(PE14:PE36)</f>
        <v/>
      </c>
      <c r="PF37" s="123">
        <f>SUM(PF14:PF36)</f>
        <v/>
      </c>
      <c r="PG37" s="123">
        <f>SUM(PG14:PG36)</f>
        <v/>
      </c>
      <c r="PH37" s="123">
        <f>SUM(PH14:PH36)</f>
        <v/>
      </c>
      <c r="PI37" s="123">
        <f>SUM(PI14:PI36)</f>
        <v/>
      </c>
      <c r="PJ37" s="123">
        <f>SUM(PJ14:PJ36)</f>
        <v/>
      </c>
      <c r="PK37" s="123">
        <f>SUM(PK14:PK36)</f>
        <v/>
      </c>
      <c r="PL37" s="123">
        <f>SUM(PL14:PL36)</f>
        <v/>
      </c>
      <c r="PM37" s="123">
        <f>SUM(PM14:PM36)</f>
        <v/>
      </c>
      <c r="PN37" s="123">
        <f>SUM(PN14:PN36)</f>
        <v/>
      </c>
      <c r="PO37" s="123">
        <f>SUM(PO14:PO36)</f>
        <v/>
      </c>
      <c r="PP37" s="123">
        <f>SUM(PP14:PP36)</f>
        <v/>
      </c>
      <c r="PQ37" s="123">
        <f>SUM(PQ14:PQ36)</f>
        <v/>
      </c>
      <c r="PR37" s="123">
        <f>SUM(PR14:PR36)</f>
        <v/>
      </c>
      <c r="PS37" s="123">
        <f>SUM(PS14:PS36)</f>
        <v/>
      </c>
      <c r="PT37" s="123">
        <f>SUM(PT14:PT36)</f>
        <v/>
      </c>
      <c r="PU37" s="123">
        <f>SUM(PU14:PU36)</f>
        <v/>
      </c>
      <c r="PV37" s="123">
        <f>SUM(PV14:PV36)</f>
        <v/>
      </c>
      <c r="PW37" s="123">
        <f>SUM(PW14:PW36)</f>
        <v/>
      </c>
      <c r="PX37" s="123">
        <f>SUM(PX14:PX36)</f>
        <v/>
      </c>
      <c r="PY37" s="123">
        <f>SUM(PY14:PY36)</f>
        <v/>
      </c>
      <c r="PZ37" s="123">
        <f>SUM(PZ14:PZ36)</f>
        <v/>
      </c>
      <c r="QA37" s="130" t="n"/>
      <c r="QB37" s="123">
        <f>SUM(QB14:QB36)</f>
        <v/>
      </c>
      <c r="QC37" s="123">
        <f>SUM(QC14:QC36)</f>
        <v/>
      </c>
      <c r="QD37" s="123">
        <f>SUM(QD14:QD36)</f>
        <v/>
      </c>
      <c r="QE37" s="123">
        <f>SUM(QE14:QE36)</f>
        <v/>
      </c>
      <c r="QF37" s="123">
        <f>SUM(QF14:QF36)</f>
        <v/>
      </c>
      <c r="QG37" s="123">
        <f>SUM(QG14:QG36)</f>
        <v/>
      </c>
      <c r="QH37" s="123">
        <f>SUM(QH14:QH36)</f>
        <v/>
      </c>
      <c r="QI37" s="123">
        <f>SUM(QI14:QI36)</f>
        <v/>
      </c>
      <c r="QJ37" s="123">
        <f>SUM(QJ14:QJ36)</f>
        <v/>
      </c>
      <c r="QK37" s="123">
        <f>SUM(QK14:QK36)</f>
        <v/>
      </c>
      <c r="QL37" s="123">
        <f>SUM(QL14:QL36)</f>
        <v/>
      </c>
      <c r="QM37" s="123">
        <f>SUM(QM14:QM36)</f>
        <v/>
      </c>
      <c r="QN37" s="123">
        <f>SUM(QN14:QN36)</f>
        <v/>
      </c>
      <c r="QO37" s="123">
        <f>SUM(QO14:QO36)</f>
        <v/>
      </c>
      <c r="QP37" s="123">
        <f>SUM(QP14:QP36)</f>
        <v/>
      </c>
      <c r="QQ37" s="123">
        <f>SUM(QQ14:QQ36)</f>
        <v/>
      </c>
      <c r="QR37" s="123">
        <f>SUM(QR14:QR36)</f>
        <v/>
      </c>
      <c r="QS37" s="123">
        <f>SUM(QS14:QS36)</f>
        <v/>
      </c>
      <c r="QT37" s="123">
        <f>SUM(QT14:QT36)</f>
        <v/>
      </c>
      <c r="QU37" s="123">
        <f>SUM(QU14:QU36)</f>
        <v/>
      </c>
      <c r="QV37" s="123">
        <f>SUM(QV14:QV36)</f>
        <v/>
      </c>
      <c r="QW37" s="123">
        <f>SUM(QW14:QW36)</f>
        <v/>
      </c>
      <c r="QX37" s="123">
        <f>SUM(QX14:QX36)</f>
        <v/>
      </c>
      <c r="QY37" s="123">
        <f>SUM(QY14:QY36)</f>
        <v/>
      </c>
      <c r="QZ37" s="123">
        <f>SUM(QZ14:QZ36)</f>
        <v/>
      </c>
      <c r="RA37" s="123">
        <f>SUM(RA14:RA36)</f>
        <v/>
      </c>
      <c r="RB37" s="123">
        <f>SUM(RB14:RB36)</f>
        <v/>
      </c>
      <c r="RC37" s="123">
        <f>SUM(RC14:RC36)</f>
        <v/>
      </c>
      <c r="RD37" s="123">
        <f>SUM(RD14:RD36)</f>
        <v/>
      </c>
      <c r="RE37" s="123">
        <f>SUM(RE14:RE36)</f>
        <v/>
      </c>
      <c r="RF37" s="123">
        <f>SUM(RF14:RF36)</f>
        <v/>
      </c>
      <c r="RG37" s="130" t="n"/>
      <c r="RH37" s="123">
        <f>SUM(RH14:RH36)</f>
        <v/>
      </c>
      <c r="RI37" s="123">
        <f>SUM(RI14:RI36)</f>
        <v/>
      </c>
      <c r="RJ37" s="123">
        <f>SUM(RJ14:RJ36)</f>
        <v/>
      </c>
      <c r="RK37" s="123">
        <f>SUM(RK14:RK36)</f>
        <v/>
      </c>
      <c r="RL37" s="123">
        <f>SUM(RL14:RL36)</f>
        <v/>
      </c>
      <c r="RM37" s="123">
        <f>SUM(RM14:RM36)</f>
        <v/>
      </c>
      <c r="RN37" s="123">
        <f>SUM(RN14:RN36)</f>
        <v/>
      </c>
      <c r="RO37" s="123">
        <f>SUM(RO14:RO36)</f>
        <v/>
      </c>
      <c r="RP37" s="123">
        <f>SUM(RP14:RP36)</f>
        <v/>
      </c>
      <c r="RQ37" s="123">
        <f>SUM(RQ14:RQ36)</f>
        <v/>
      </c>
      <c r="RR37" s="123">
        <f>SUM(RR14:RR36)</f>
        <v/>
      </c>
      <c r="RS37" s="123">
        <f>SUM(RS14:RS36)</f>
        <v/>
      </c>
      <c r="RT37" s="123">
        <f>SUM(RT14:RT36)</f>
        <v/>
      </c>
      <c r="RU37" s="123">
        <f>SUM(RU14:RU36)</f>
        <v/>
      </c>
      <c r="RV37" s="123">
        <f>SUM(RV14:RV36)</f>
        <v/>
      </c>
      <c r="RW37" s="123">
        <f>SUM(RW14:RW36)</f>
        <v/>
      </c>
      <c r="RX37" s="123">
        <f>SUM(RX14:RX36)</f>
        <v/>
      </c>
      <c r="RY37" s="123">
        <f>SUM(RY14:RY36)</f>
        <v/>
      </c>
      <c r="RZ37" s="123">
        <f>SUM(RZ14:RZ36)</f>
        <v/>
      </c>
      <c r="SA37" s="123">
        <f>SUM(SA14:SA36)</f>
        <v/>
      </c>
      <c r="SB37" s="123">
        <f>SUM(SB14:SB36)</f>
        <v/>
      </c>
      <c r="SC37" s="123">
        <f>SUM(SC14:SC36)</f>
        <v/>
      </c>
      <c r="SD37" s="123">
        <f>SUM(SD14:SD36)</f>
        <v/>
      </c>
      <c r="SE37" s="123">
        <f>SUM(SE14:SE36)</f>
        <v/>
      </c>
      <c r="SF37" s="123">
        <f>SUM(SF14:SF36)</f>
        <v/>
      </c>
      <c r="SG37" s="123">
        <f>SUM(SG14:SG36)</f>
        <v/>
      </c>
      <c r="SH37" s="123">
        <f>SUM(SH14:SH36)</f>
        <v/>
      </c>
      <c r="SI37" s="123">
        <f>SUM(SI14:SI36)</f>
        <v/>
      </c>
      <c r="SJ37" s="123">
        <f>SUM(SJ14:SJ36)</f>
        <v/>
      </c>
      <c r="SK37" s="123">
        <f>SUM(SK14:SK36)</f>
        <v/>
      </c>
      <c r="SL37" s="130" t="n"/>
      <c r="SM37" s="123">
        <f>SUM(SM14:SM36)</f>
        <v/>
      </c>
      <c r="SN37" s="123">
        <f>SUM(SN14:SN36)</f>
        <v/>
      </c>
      <c r="SO37" s="123">
        <f>SUM(SO14:SO36)</f>
        <v/>
      </c>
      <c r="SP37" s="123">
        <f>SUM(SP14:SP36)</f>
        <v/>
      </c>
      <c r="SQ37" s="123">
        <f>SUM(SQ14:SQ36)</f>
        <v/>
      </c>
      <c r="SR37" s="123">
        <f>SUM(SR14:SR36)</f>
        <v/>
      </c>
      <c r="SS37" s="123">
        <f>SUM(SS14:SS36)</f>
        <v/>
      </c>
      <c r="ST37" s="123">
        <f>SUM(ST14:ST36)</f>
        <v/>
      </c>
      <c r="SU37" s="123">
        <f>SUM(SU14:SU36)</f>
        <v/>
      </c>
      <c r="SV37" s="123">
        <f>SUM(SV14:SV36)</f>
        <v/>
      </c>
      <c r="SW37" s="123">
        <f>SUM(SW14:SW36)</f>
        <v/>
      </c>
      <c r="SX37" s="123">
        <f>SUM(SX14:SX36)</f>
        <v/>
      </c>
      <c r="SY37" s="123">
        <f>SUM(SY14:SY36)</f>
        <v/>
      </c>
      <c r="SZ37" s="123">
        <f>SUM(SZ14:SZ36)</f>
        <v/>
      </c>
      <c r="TA37" s="123">
        <f>SUM(TA14:TA36)</f>
        <v/>
      </c>
      <c r="TB37" s="123">
        <f>SUM(TB14:TB36)</f>
        <v/>
      </c>
      <c r="TC37" s="123">
        <f>SUM(TC14:TC36)</f>
        <v/>
      </c>
      <c r="TD37" s="123">
        <f>SUM(TD14:TD36)</f>
        <v/>
      </c>
      <c r="TE37" s="123">
        <f>SUM(TE14:TE36)</f>
        <v/>
      </c>
      <c r="TF37" s="123">
        <f>SUM(TF14:TF36)</f>
        <v/>
      </c>
      <c r="TG37" s="123">
        <f>SUM(TG14:TG36)</f>
        <v/>
      </c>
      <c r="TH37" s="123">
        <f>SUM(TH14:TH36)</f>
        <v/>
      </c>
      <c r="TI37" s="123">
        <f>SUM(TI14:TI36)</f>
        <v/>
      </c>
      <c r="TJ37" s="123">
        <f>SUM(TJ14:TJ36)</f>
        <v/>
      </c>
      <c r="TK37" s="123">
        <f>SUM(TK14:TK36)</f>
        <v/>
      </c>
      <c r="TL37" s="123">
        <f>SUM(TL14:TL36)</f>
        <v/>
      </c>
      <c r="TM37" s="123">
        <f>SUM(TM14:TM36)</f>
        <v/>
      </c>
      <c r="TN37" s="123">
        <f>SUM(TN14:TN36)</f>
        <v/>
      </c>
      <c r="TO37" s="123">
        <f>SUM(TO14:TO36)</f>
        <v/>
      </c>
      <c r="TP37" s="123">
        <f>SUM(TP14:TP36)</f>
        <v/>
      </c>
      <c r="TQ37" s="123">
        <f>SUM(TQ14:TQ36)</f>
        <v/>
      </c>
      <c r="TR37" s="130" t="n"/>
      <c r="TS37" s="123">
        <f>SUM(TS14:TS36)</f>
        <v/>
      </c>
      <c r="TT37" s="123">
        <f>SUM(TT14:TT36)</f>
        <v/>
      </c>
      <c r="TU37" s="123">
        <f>SUM(TU14:TU36)</f>
        <v/>
      </c>
      <c r="TV37" s="123">
        <f>SUM(TV14:TV36)</f>
        <v/>
      </c>
      <c r="TW37" s="123">
        <f>SUM(TW14:TW36)</f>
        <v/>
      </c>
      <c r="TX37" s="123">
        <f>SUM(TX14:TX36)</f>
        <v/>
      </c>
      <c r="TY37" s="123">
        <f>SUM(TY14:TY36)</f>
        <v/>
      </c>
      <c r="TZ37" s="123">
        <f>SUM(TZ14:TZ36)</f>
        <v/>
      </c>
      <c r="UA37" s="123">
        <f>SUM(UA14:UA36)</f>
        <v/>
      </c>
      <c r="UB37" s="123">
        <f>SUM(UB14:UB36)</f>
        <v/>
      </c>
      <c r="UC37" s="123">
        <f>SUM(UC14:UC36)</f>
        <v/>
      </c>
      <c r="UD37" s="123">
        <f>SUM(UD14:UD36)</f>
        <v/>
      </c>
      <c r="UE37" s="123">
        <f>SUM(UE14:UE36)</f>
        <v/>
      </c>
      <c r="UF37" s="123">
        <f>SUM(UF14:UF36)</f>
        <v/>
      </c>
      <c r="UG37" s="123">
        <f>SUM(UG14:UG36)</f>
        <v/>
      </c>
      <c r="UH37" s="123">
        <f>SUM(UH14:UH36)</f>
        <v/>
      </c>
      <c r="UI37" s="123">
        <f>SUM(UI14:UI36)</f>
        <v/>
      </c>
      <c r="UJ37" s="123">
        <f>SUM(UJ14:UJ36)</f>
        <v/>
      </c>
      <c r="UK37" s="123">
        <f>SUM(UK14:UK36)</f>
        <v/>
      </c>
      <c r="UL37" s="123">
        <f>SUM(UL14:UL36)</f>
        <v/>
      </c>
      <c r="UM37" s="123">
        <f>SUM(UM14:UM36)</f>
        <v/>
      </c>
      <c r="UN37" s="123">
        <f>SUM(UN14:UN36)</f>
        <v/>
      </c>
      <c r="UO37" s="123">
        <f>SUM(UO14:UO36)</f>
        <v/>
      </c>
      <c r="UP37" s="123">
        <f>SUM(UP14:UP36)</f>
        <v/>
      </c>
      <c r="UQ37" s="123">
        <f>SUM(UQ14:UQ36)</f>
        <v/>
      </c>
      <c r="UR37" s="123">
        <f>SUM(UR14:UR36)</f>
        <v/>
      </c>
      <c r="US37" s="123">
        <f>SUM(US14:US36)</f>
        <v/>
      </c>
      <c r="UT37" s="123">
        <f>SUM(UT14:UT36)</f>
        <v/>
      </c>
      <c r="UU37" s="123">
        <f>SUM(UU14:UU36)</f>
        <v/>
      </c>
      <c r="UV37" s="123">
        <f>SUM(UV14:UV36)</f>
        <v/>
      </c>
      <c r="UW37" s="123">
        <f>SUM(UW14:UW36)</f>
        <v/>
      </c>
      <c r="UX37" s="130" t="n"/>
      <c r="UY37" s="123">
        <f>SUM(UY14:UY36)</f>
        <v/>
      </c>
      <c r="UZ37" s="123">
        <f>SUM(UZ14:UZ36)</f>
        <v/>
      </c>
      <c r="VA37" s="123">
        <f>SUM(VA14:VA36)</f>
        <v/>
      </c>
      <c r="VB37" s="123">
        <f>SUM(VB14:VB36)</f>
        <v/>
      </c>
      <c r="VC37" s="123">
        <f>SUM(VC14:VC36)</f>
        <v/>
      </c>
      <c r="VD37" s="123">
        <f>SUM(VD14:VD36)</f>
        <v/>
      </c>
      <c r="VE37" s="123">
        <f>SUM(VE14:VE36)</f>
        <v/>
      </c>
      <c r="VF37" s="123">
        <f>SUM(VF14:VF36)</f>
        <v/>
      </c>
      <c r="VG37" s="123">
        <f>SUM(VG14:VG36)</f>
        <v/>
      </c>
      <c r="VH37" s="123">
        <f>SUM(VH14:VH36)</f>
        <v/>
      </c>
      <c r="VI37" s="123">
        <f>SUM(VI14:VI36)</f>
        <v/>
      </c>
      <c r="VJ37" s="123">
        <f>SUM(VJ14:VJ36)</f>
        <v/>
      </c>
      <c r="VK37" s="123">
        <f>SUM(VK14:VK36)</f>
        <v/>
      </c>
      <c r="VL37" s="123">
        <f>SUM(VL14:VL36)</f>
        <v/>
      </c>
      <c r="VM37" s="123">
        <f>SUM(VM14:VM36)</f>
        <v/>
      </c>
      <c r="VN37" s="123">
        <f>SUM(VN14:VN36)</f>
        <v/>
      </c>
      <c r="VO37" s="123">
        <f>SUM(VO14:VO36)</f>
        <v/>
      </c>
      <c r="VP37" s="123">
        <f>SUM(VP14:VP36)</f>
        <v/>
      </c>
      <c r="VQ37" s="123">
        <f>SUM(VQ14:VQ36)</f>
        <v/>
      </c>
      <c r="VR37" s="123">
        <f>SUM(VR14:VR36)</f>
        <v/>
      </c>
      <c r="VS37" s="123">
        <f>SUM(VS14:VS36)</f>
        <v/>
      </c>
      <c r="VT37" s="123">
        <f>SUM(VT14:VT36)</f>
        <v/>
      </c>
      <c r="VU37" s="123">
        <f>SUM(VU14:VU36)</f>
        <v/>
      </c>
      <c r="VV37" s="123">
        <f>SUM(VV14:VV36)</f>
        <v/>
      </c>
      <c r="VW37" s="123">
        <f>SUM(VW14:VW36)</f>
        <v/>
      </c>
      <c r="VX37" s="123">
        <f>SUM(VX14:VX36)</f>
        <v/>
      </c>
      <c r="VY37" s="123">
        <f>SUM(VY14:VY36)</f>
        <v/>
      </c>
      <c r="VZ37" s="123">
        <f>SUM(VZ14:VZ36)</f>
        <v/>
      </c>
      <c r="WA37" s="142" t="n"/>
      <c r="WB37" s="123">
        <f>SUM(WB14:WB36)</f>
        <v/>
      </c>
      <c r="WC37" s="123">
        <f>SUM(WC14:WC36)</f>
        <v/>
      </c>
      <c r="WD37" s="123">
        <f>SUM(WD14:WD36)</f>
        <v/>
      </c>
      <c r="WE37" s="123">
        <f>SUM(WE14:WE36)</f>
        <v/>
      </c>
      <c r="WF37" s="123">
        <f>SUM(WF14:WF36)</f>
        <v/>
      </c>
      <c r="WG37" s="123">
        <f>SUM(WG14:WG36)</f>
        <v/>
      </c>
      <c r="WH37" s="123">
        <f>SUM(WH14:WH36)</f>
        <v/>
      </c>
      <c r="WI37" s="123">
        <f>SUM(WI14:WI36)</f>
        <v/>
      </c>
      <c r="WJ37" s="123">
        <f>SUM(WJ14:WJ36)</f>
        <v/>
      </c>
      <c r="WK37" s="123">
        <f>SUM(WK14:WK36)</f>
        <v/>
      </c>
      <c r="WL37" s="123">
        <f>SUM(WL14:WL36)</f>
        <v/>
      </c>
      <c r="WM37" s="123">
        <f>SUM(WM14:WM36)</f>
        <v/>
      </c>
      <c r="WN37" s="123">
        <f>SUM(WN14:WN36)</f>
        <v/>
      </c>
      <c r="WO37" s="123">
        <f>SUM(WO14:WO36)</f>
        <v/>
      </c>
      <c r="WP37" s="123">
        <f>SUM(WP14:WP36)</f>
        <v/>
      </c>
      <c r="WQ37" s="123">
        <f>SUM(WQ14:WQ36)</f>
        <v/>
      </c>
      <c r="WR37" s="123">
        <f>SUM(WR14:WR36)</f>
        <v/>
      </c>
      <c r="WS37" s="123">
        <f>SUM(WS14:WS36)</f>
        <v/>
      </c>
      <c r="WT37" s="123">
        <f>SUM(WT14:WT36)</f>
        <v/>
      </c>
      <c r="WU37" s="123">
        <f>SUM(WU14:WU36)</f>
        <v/>
      </c>
      <c r="WV37" s="123">
        <f>SUM(WV14:WV36)</f>
        <v/>
      </c>
      <c r="WW37" s="123">
        <f>SUM(WW14:WW36)</f>
        <v/>
      </c>
      <c r="WX37" s="123">
        <f>SUM(WX14:WX36)</f>
        <v/>
      </c>
      <c r="WY37" s="123">
        <f>SUM(WY14:WY36)</f>
        <v/>
      </c>
      <c r="WZ37" s="123">
        <f>SUM(WZ14:WZ36)</f>
        <v/>
      </c>
      <c r="XA37" s="123">
        <f>SUM(XA14:XA36)</f>
        <v/>
      </c>
      <c r="XB37" s="123">
        <f>SUM(XB14:XB36)</f>
        <v/>
      </c>
      <c r="XC37" s="123">
        <f>SUM(XC14:XC36)</f>
        <v/>
      </c>
      <c r="XD37" s="123">
        <f>SUM(XD14:XD36)</f>
        <v/>
      </c>
      <c r="XE37" s="123">
        <f>SUM(XE14:XE36)</f>
        <v/>
      </c>
      <c r="XF37" s="123">
        <f>SUM(XF14:XF36)</f>
        <v/>
      </c>
      <c r="XG37" s="142" t="n"/>
      <c r="XH37" s="123">
        <f>SUM(XH14:XH36)</f>
        <v/>
      </c>
      <c r="XI37" s="123">
        <f>SUM(XI14:XI36)</f>
        <v/>
      </c>
      <c r="XJ37" s="123">
        <f>SUM(XJ14:XJ36)</f>
        <v/>
      </c>
      <c r="XK37" s="123">
        <f>SUM(XK14:XK36)</f>
        <v/>
      </c>
      <c r="XL37" s="123">
        <f>SUM(XL14:XL36)</f>
        <v/>
      </c>
      <c r="XM37" s="123">
        <f>SUM(XM14:XM36)</f>
        <v/>
      </c>
      <c r="XN37" s="123">
        <f>SUM(XN14:XN36)</f>
        <v/>
      </c>
      <c r="XO37" s="123">
        <f>SUM(XO14:XO36)</f>
        <v/>
      </c>
      <c r="XP37" s="123">
        <f>SUM(XP14:XP36)</f>
        <v/>
      </c>
      <c r="XQ37" s="123">
        <f>SUM(XQ14:XQ36)</f>
        <v/>
      </c>
      <c r="XR37" s="123">
        <f>SUM(XR14:XR36)</f>
        <v/>
      </c>
      <c r="XS37" s="123">
        <f>SUM(XS14:XS36)</f>
        <v/>
      </c>
      <c r="XT37" s="123">
        <f>SUM(XT14:XT36)</f>
        <v/>
      </c>
      <c r="XU37" s="123">
        <f>SUM(XU14:XU36)</f>
        <v/>
      </c>
      <c r="XV37" s="123">
        <f>SUM(XV14:XV36)</f>
        <v/>
      </c>
      <c r="XW37" s="123">
        <f>SUM(XW14:XW36)</f>
        <v/>
      </c>
      <c r="XX37" s="123">
        <f>SUM(XX14:XX36)</f>
        <v/>
      </c>
      <c r="XY37" s="123">
        <f>SUM(XY14:XY36)</f>
        <v/>
      </c>
      <c r="XZ37" s="123">
        <f>SUM(XZ14:XZ36)</f>
        <v/>
      </c>
      <c r="YA37" s="123">
        <f>SUM(YA14:YA36)</f>
        <v/>
      </c>
      <c r="YB37" s="123">
        <f>SUM(YB14:YB36)</f>
        <v/>
      </c>
      <c r="YC37" s="123">
        <f>SUM(YC14:YC36)</f>
        <v/>
      </c>
      <c r="YD37" s="123">
        <f>SUM(YD14:YD36)</f>
        <v/>
      </c>
      <c r="YE37" s="123">
        <f>SUM(YE14:YE36)</f>
        <v/>
      </c>
      <c r="YF37" s="123">
        <f>SUM(YF14:YF36)</f>
        <v/>
      </c>
      <c r="YG37" s="123">
        <f>SUM(YG14:YG36)</f>
        <v/>
      </c>
      <c r="YH37" s="123">
        <f>SUM(YH14:YH36)</f>
        <v/>
      </c>
      <c r="YI37" s="123">
        <f>SUM(YI14:YI36)</f>
        <v/>
      </c>
      <c r="YJ37" s="123">
        <f>SUM(YJ14:YJ36)</f>
        <v/>
      </c>
      <c r="YK37" s="123">
        <f>SUM(YK14:YK36)</f>
        <v/>
      </c>
      <c r="YL37" s="130" t="n"/>
      <c r="YM37" s="123">
        <f>SUM(YM14:YM36)</f>
        <v/>
      </c>
      <c r="YN37" s="123">
        <f>SUM(YN14:YN36)</f>
        <v/>
      </c>
      <c r="YO37" s="123">
        <f>SUM(YO14:YO36)</f>
        <v/>
      </c>
      <c r="YP37" s="123">
        <f>SUM(YP14:YP36)</f>
        <v/>
      </c>
      <c r="YQ37" s="123">
        <f>SUM(YQ14:YQ36)</f>
        <v/>
      </c>
      <c r="YR37" s="123">
        <f>SUM(YR14:YR36)</f>
        <v/>
      </c>
      <c r="YS37" s="123">
        <f>SUM(YS14:YS36)</f>
        <v/>
      </c>
      <c r="YT37" s="123">
        <f>SUM(YT14:YT36)</f>
        <v/>
      </c>
      <c r="YU37" s="123">
        <f>SUM(YU14:YU36)</f>
        <v/>
      </c>
      <c r="YV37" s="123">
        <f>SUM(YV14:YV36)</f>
        <v/>
      </c>
      <c r="YW37" s="123">
        <f>SUM(YW14:YW36)</f>
        <v/>
      </c>
      <c r="YX37" s="123">
        <f>SUM(YX14:YX36)</f>
        <v/>
      </c>
      <c r="YY37" s="123">
        <f>SUM(YY14:YY36)</f>
        <v/>
      </c>
      <c r="YZ37" s="123">
        <f>SUM(YZ14:YZ36)</f>
        <v/>
      </c>
      <c r="ZA37" s="123">
        <f>SUM(ZA14:ZA36)</f>
        <v/>
      </c>
      <c r="ZB37" s="123">
        <f>SUM(ZB14:ZB36)</f>
        <v/>
      </c>
      <c r="ZC37" s="123">
        <f>SUM(ZC14:ZC36)</f>
        <v/>
      </c>
      <c r="ZD37" s="123">
        <f>SUM(ZD14:ZD36)</f>
        <v/>
      </c>
      <c r="ZE37" s="123">
        <f>SUM(ZE14:ZE36)</f>
        <v/>
      </c>
      <c r="ZF37" s="123">
        <f>SUM(ZF14:ZF36)</f>
        <v/>
      </c>
      <c r="ZG37" s="123">
        <f>SUM(ZG14:ZG36)</f>
        <v/>
      </c>
      <c r="ZH37" s="123">
        <f>SUM(ZH14:ZH36)</f>
        <v/>
      </c>
      <c r="ZI37" s="123">
        <f>SUM(ZI14:ZI36)</f>
        <v/>
      </c>
      <c r="ZJ37" s="123">
        <f>SUM(ZJ14:ZJ36)</f>
        <v/>
      </c>
      <c r="ZK37" s="123">
        <f>SUM(ZK14:ZK36)</f>
        <v/>
      </c>
      <c r="ZL37" s="123">
        <f>SUM(ZL14:ZL36)</f>
        <v/>
      </c>
      <c r="ZM37" s="123">
        <f>SUM(ZM14:ZM36)</f>
        <v/>
      </c>
      <c r="ZN37" s="123">
        <f>SUM(ZN14:ZN36)</f>
        <v/>
      </c>
      <c r="ZO37" s="123">
        <f>SUM(ZO14:ZO36)</f>
        <v/>
      </c>
      <c r="ZP37" s="123">
        <f>SUM(ZP14:ZP36)</f>
        <v/>
      </c>
      <c r="ZQ37" s="123">
        <f>SUM(ZQ14:ZQ36)</f>
        <v/>
      </c>
      <c r="ZR37" s="130" t="n"/>
      <c r="ZS37" s="123">
        <f>SUM(ZS14:ZS36)</f>
        <v/>
      </c>
      <c r="ZT37" s="123">
        <f>SUM(ZT14:ZT36)</f>
        <v/>
      </c>
      <c r="ZU37" s="123">
        <f>SUM(ZU14:ZU36)</f>
        <v/>
      </c>
      <c r="ZV37" s="123">
        <f>SUM(ZV14:ZV36)</f>
        <v/>
      </c>
      <c r="ZW37" s="123">
        <f>SUM(ZW14:ZW36)</f>
        <v/>
      </c>
      <c r="ZX37" s="123">
        <f>SUM(ZX14:ZX36)</f>
        <v/>
      </c>
      <c r="ZY37" s="123">
        <f>SUM(ZY14:ZY36)</f>
        <v/>
      </c>
      <c r="ZZ37" s="123">
        <f>SUM(ZZ14:ZZ36)</f>
        <v/>
      </c>
      <c r="AAA37" s="123">
        <f>SUM(AAA14:AAA36)</f>
        <v/>
      </c>
      <c r="AAB37" s="123">
        <f>SUM(AAB14:AAB36)</f>
        <v/>
      </c>
      <c r="AAC37" s="123">
        <f>SUM(AAC14:AAC36)</f>
        <v/>
      </c>
      <c r="AAD37" s="123">
        <f>SUM(AAD14:AAD36)</f>
        <v/>
      </c>
      <c r="AAE37" s="123">
        <f>SUM(AAE14:AAE36)</f>
        <v/>
      </c>
      <c r="AAF37" s="123">
        <f>SUM(AAF14:AAF36)</f>
        <v/>
      </c>
      <c r="AAG37" s="123">
        <f>SUM(AAG14:AAG36)</f>
        <v/>
      </c>
      <c r="AAH37" s="123">
        <f>SUM(AAH14:AAH36)</f>
        <v/>
      </c>
      <c r="AAI37" s="123">
        <f>SUM(AAI14:AAI36)</f>
        <v/>
      </c>
      <c r="AAJ37" s="123">
        <f>SUM(AAJ14:AAJ36)</f>
        <v/>
      </c>
      <c r="AAK37" s="123">
        <f>SUM(AAK14:AAK36)</f>
        <v/>
      </c>
      <c r="AAL37" s="123">
        <f>SUM(AAL14:AAL36)</f>
        <v/>
      </c>
      <c r="AAM37" s="123">
        <f>SUM(AAM14:AAM36)</f>
        <v/>
      </c>
      <c r="AAN37" s="123">
        <f>SUM(AAN14:AAN36)</f>
        <v/>
      </c>
      <c r="AAO37" s="123">
        <f>SUM(AAO14:AAO36)</f>
        <v/>
      </c>
      <c r="AAP37" s="123">
        <f>SUM(AAP14:AAP36)</f>
        <v/>
      </c>
      <c r="AAQ37" s="123">
        <f>SUM(AAQ14:AAQ36)</f>
        <v/>
      </c>
      <c r="AAR37" s="123">
        <f>SUM(AAR14:AAR36)</f>
        <v/>
      </c>
      <c r="AAS37" s="123">
        <f>SUM(AAS14:AAS36)</f>
        <v/>
      </c>
      <c r="AAT37" s="123">
        <f>SUM(AAT14:AAT36)</f>
        <v/>
      </c>
      <c r="AAU37" s="123">
        <f>SUM(AAU14:AAU36)</f>
        <v/>
      </c>
      <c r="AAV37" s="123">
        <f>SUM(AAV14:AAV36)</f>
        <v/>
      </c>
      <c r="AAW37" s="130" t="n"/>
      <c r="AAX37" s="123">
        <f>SUM(AAX14:AAX36)</f>
        <v/>
      </c>
      <c r="AAY37" s="123">
        <f>SUM(AAY14:AAY36)</f>
        <v/>
      </c>
      <c r="AAZ37" s="123">
        <f>SUM(AAZ14:AAZ36)</f>
        <v/>
      </c>
      <c r="ABA37" s="123">
        <f>SUM(ABA14:ABA36)</f>
        <v/>
      </c>
      <c r="ABB37" s="123">
        <f>SUM(ABB14:ABB36)</f>
        <v/>
      </c>
      <c r="ABC37" s="123">
        <f>SUM(ABC14:ABC36)</f>
        <v/>
      </c>
      <c r="ABD37" s="123">
        <f>SUM(ABD14:ABD36)</f>
        <v/>
      </c>
      <c r="ABE37" s="123">
        <f>SUM(ABE14:ABE36)</f>
        <v/>
      </c>
      <c r="ABF37" s="123">
        <f>SUM(ABF14:ABF36)</f>
        <v/>
      </c>
      <c r="ABG37" s="123">
        <f>SUM(ABG14:ABG36)</f>
        <v/>
      </c>
      <c r="ABH37" s="123">
        <f>SUM(ABH14:ABH36)</f>
        <v/>
      </c>
      <c r="ABI37" s="123">
        <f>SUM(ABI14:ABI36)</f>
        <v/>
      </c>
      <c r="ABJ37" s="123">
        <f>SUM(ABJ14:ABJ36)</f>
        <v/>
      </c>
      <c r="ABK37" s="123">
        <f>SUM(ABK14:ABK36)</f>
        <v/>
      </c>
      <c r="ABL37" s="123">
        <f>SUM(ABL14:ABL36)</f>
        <v/>
      </c>
      <c r="ABM37" s="123">
        <f>SUM(ABM14:ABM36)</f>
        <v/>
      </c>
      <c r="ABN37" s="123">
        <f>SUM(ABN14:ABN36)</f>
        <v/>
      </c>
      <c r="ABO37" s="123">
        <f>SUM(ABO14:ABO36)</f>
        <v/>
      </c>
      <c r="ABP37" s="123">
        <f>SUM(ABP14:ABP36)</f>
        <v/>
      </c>
      <c r="ABQ37" s="123">
        <f>SUM(ABQ14:ABQ36)</f>
        <v/>
      </c>
      <c r="ABR37" s="123">
        <f>SUM(ABR14:ABR36)</f>
        <v/>
      </c>
      <c r="ABS37" s="123">
        <f>SUM(ABS14:ABS36)</f>
        <v/>
      </c>
      <c r="ABT37" s="123">
        <f>SUM(ABT14:ABT36)</f>
        <v/>
      </c>
      <c r="ABU37" s="123">
        <f>SUM(ABU14:ABU36)</f>
        <v/>
      </c>
      <c r="ABV37" s="123">
        <f>SUM(ABV14:ABV36)</f>
        <v/>
      </c>
      <c r="ABW37" s="123">
        <f>SUM(ABW14:ABW36)</f>
        <v/>
      </c>
      <c r="ABX37" s="123">
        <f>SUM(ABX14:ABX36)</f>
        <v/>
      </c>
      <c r="ABY37" s="123">
        <f>SUM(ABY14:ABY36)</f>
        <v/>
      </c>
      <c r="ABZ37" s="123">
        <f>SUM(ABZ14:ABZ36)</f>
        <v/>
      </c>
      <c r="ACA37" s="123">
        <f>SUM(ACA14:ACA36)</f>
        <v/>
      </c>
      <c r="ACB37" s="123">
        <f>SUM(ACB14:ACB36)</f>
        <v/>
      </c>
      <c r="ACC37" s="130" t="n"/>
      <c r="ACD37" s="123">
        <f>SUM(ACD14:ACD36)</f>
        <v/>
      </c>
      <c r="ACE37" s="123">
        <f>SUM(ACE14:ACE36)</f>
        <v/>
      </c>
      <c r="ACF37" s="123">
        <f>SUM(ACF14:ACF36)</f>
        <v/>
      </c>
      <c r="ACG37" s="123">
        <f>SUM(ACG14:ACG36)</f>
        <v/>
      </c>
      <c r="ACH37" s="123">
        <f>SUM(ACH14:ACH36)</f>
        <v/>
      </c>
      <c r="ACI37" s="123">
        <f>SUM(ACI14:ACI36)</f>
        <v/>
      </c>
      <c r="ACJ37" s="123">
        <f>SUM(ACJ14:ACJ36)</f>
        <v/>
      </c>
      <c r="ACK37" s="123">
        <f>SUM(ACK14:ACK36)</f>
        <v/>
      </c>
      <c r="ACL37" s="123">
        <f>SUM(ACL14:ACL36)</f>
        <v/>
      </c>
      <c r="ACM37" s="123">
        <f>SUM(ACM14:ACM36)</f>
        <v/>
      </c>
      <c r="ACN37" s="123">
        <f>SUM(ACN14:ACN36)</f>
        <v/>
      </c>
      <c r="ACO37" s="123">
        <f>SUM(ACO14:ACO36)</f>
        <v/>
      </c>
      <c r="ACP37" s="123">
        <f>SUM(ACP14:ACP36)</f>
        <v/>
      </c>
      <c r="ACQ37" s="123">
        <f>SUM(ACQ14:ACQ36)</f>
        <v/>
      </c>
      <c r="ACR37" s="123">
        <f>SUM(ACR14:ACR36)</f>
        <v/>
      </c>
      <c r="ACS37" s="123">
        <f>SUM(ACS14:ACS36)</f>
        <v/>
      </c>
      <c r="ACT37" s="123">
        <f>SUM(ACT14:ACT36)</f>
        <v/>
      </c>
      <c r="ACU37" s="123">
        <f>SUM(ACU14:ACU36)</f>
        <v/>
      </c>
      <c r="ACV37" s="123">
        <f>SUM(ACV14:ACV36)</f>
        <v/>
      </c>
      <c r="ACW37" s="123">
        <f>SUM(ACW14:ACW36)</f>
        <v/>
      </c>
      <c r="ACX37" s="123">
        <f>SUM(ACX14:ACX36)</f>
        <v/>
      </c>
      <c r="ACY37" s="123">
        <f>SUM(ACY14:ACY36)</f>
        <v/>
      </c>
      <c r="ACZ37" s="123">
        <f>SUM(ACZ14:ACZ36)</f>
        <v/>
      </c>
      <c r="ADA37" s="123">
        <f>SUM(ADA14:ADA36)</f>
        <v/>
      </c>
      <c r="ADB37" s="123">
        <f>SUM(ADB14:ADB36)</f>
        <v/>
      </c>
      <c r="ADC37" s="123">
        <f>SUM(ADC14:ADC36)</f>
        <v/>
      </c>
      <c r="ADD37" s="123">
        <f>SUM(ADD14:ADD36)</f>
        <v/>
      </c>
      <c r="ADE37" s="123">
        <f>SUM(ADE14:ADE36)</f>
        <v/>
      </c>
      <c r="ADF37" s="123">
        <f>SUM(ADF14:ADF36)</f>
        <v/>
      </c>
      <c r="ADG37" s="123">
        <f>SUM(ADG14:ADG36)</f>
        <v/>
      </c>
      <c r="ADH37" s="123">
        <f>SUM(ADH14:ADH36)</f>
        <v/>
      </c>
      <c r="ADI37" s="130" t="n"/>
      <c r="ADJ37" s="123">
        <f>SUM(ADJ14:ADJ36)</f>
        <v/>
      </c>
      <c r="ADK37" s="123">
        <f>SUM(ADK14:ADK36)</f>
        <v/>
      </c>
      <c r="ADL37" s="123">
        <f>SUM(ADL14:ADL36)</f>
        <v/>
      </c>
      <c r="ADM37" s="123">
        <f>SUM(ADM14:ADM36)</f>
        <v/>
      </c>
      <c r="ADN37" s="123">
        <f>SUM(ADN14:ADN36)</f>
        <v/>
      </c>
      <c r="ADO37" s="123">
        <f>SUM(ADO14:ADO36)</f>
        <v/>
      </c>
      <c r="ADP37" s="123">
        <f>SUM(ADP14:ADP36)</f>
        <v/>
      </c>
      <c r="ADQ37" s="123">
        <f>SUM(ADQ14:ADQ36)</f>
        <v/>
      </c>
      <c r="ADR37" s="123">
        <f>SUM(ADR14:ADR36)</f>
        <v/>
      </c>
      <c r="ADS37" s="123">
        <f>SUM(ADS14:ADS36)</f>
        <v/>
      </c>
      <c r="ADT37" s="123">
        <f>SUM(ADT14:ADT36)</f>
        <v/>
      </c>
      <c r="ADU37" s="123">
        <f>SUM(ADU14:ADU36)</f>
        <v/>
      </c>
      <c r="ADV37" s="123">
        <f>SUM(ADV14:ADV36)</f>
        <v/>
      </c>
      <c r="ADW37" s="123">
        <f>SUM(ADW14:ADW36)</f>
        <v/>
      </c>
      <c r="ADX37" s="123">
        <f>SUM(ADX14:ADX36)</f>
        <v/>
      </c>
      <c r="ADY37" s="123">
        <f>SUM(ADY14:ADY36)</f>
        <v/>
      </c>
      <c r="ADZ37" s="123">
        <f>SUM(ADZ14:ADZ36)</f>
        <v/>
      </c>
      <c r="AEA37" s="123">
        <f>SUM(AEA14:AEA36)</f>
        <v/>
      </c>
      <c r="AEB37" s="123">
        <f>SUM(AEB14:AEB36)</f>
        <v/>
      </c>
      <c r="AEC37" s="123">
        <f>SUM(AEC14:AEC36)</f>
        <v/>
      </c>
      <c r="AED37" s="123">
        <f>SUM(AED14:AED36)</f>
        <v/>
      </c>
      <c r="AEE37" s="123">
        <f>SUM(AEE14:AEE36)</f>
        <v/>
      </c>
      <c r="AEF37" s="123">
        <f>SUM(AEF14:AEF36)</f>
        <v/>
      </c>
      <c r="AEG37" s="123">
        <f>SUM(AEG14:AEG36)</f>
        <v/>
      </c>
      <c r="AEH37" s="123">
        <f>SUM(AEH14:AEH36)</f>
        <v/>
      </c>
      <c r="AEI37" s="123">
        <f>SUM(AEI14:AEI36)</f>
        <v/>
      </c>
      <c r="AEJ37" s="123">
        <f>SUM(AEJ14:AEJ36)</f>
        <v/>
      </c>
      <c r="AEK37" s="123">
        <f>SUM(AEK14:AEK36)</f>
        <v/>
      </c>
      <c r="AEL37" s="123">
        <f>SUM(AEL14:AEL36)</f>
        <v/>
      </c>
      <c r="AEM37" s="123">
        <f>SUM(AEM14:AEM36)</f>
        <v/>
      </c>
      <c r="AEN37" s="130" t="n"/>
      <c r="AEO37" s="123">
        <f>SUM(AEO14:AEO36)</f>
        <v/>
      </c>
      <c r="AEP37" s="123">
        <f>SUM(AEP14:AEP36)</f>
        <v/>
      </c>
      <c r="AEQ37" s="123">
        <f>SUM(AEQ14:AEQ36)</f>
        <v/>
      </c>
      <c r="AER37" s="123">
        <f>SUM(AER14:AER36)</f>
        <v/>
      </c>
      <c r="AES37" s="123">
        <f>SUM(AES14:AES36)</f>
        <v/>
      </c>
      <c r="AET37" s="123">
        <f>SUM(AET14:AET36)</f>
        <v/>
      </c>
      <c r="AEU37" s="123">
        <f>SUM(AEU14:AEU36)</f>
        <v/>
      </c>
      <c r="AEV37" s="123">
        <f>SUM(AEV14:AEV36)</f>
        <v/>
      </c>
      <c r="AEW37" s="123">
        <f>SUM(AEW14:AEW36)</f>
        <v/>
      </c>
      <c r="AEX37" s="123">
        <f>SUM(AEX14:AEX36)</f>
        <v/>
      </c>
      <c r="AEY37" s="123">
        <f>SUM(AEY14:AEY36)</f>
        <v/>
      </c>
      <c r="AEZ37" s="123">
        <f>SUM(AEZ14:AEZ36)</f>
        <v/>
      </c>
      <c r="AFA37" s="123">
        <f>SUM(AFA14:AFA36)</f>
        <v/>
      </c>
      <c r="AFB37" s="123">
        <f>SUM(AFB14:AFB36)</f>
        <v/>
      </c>
      <c r="AFC37" s="123">
        <f>SUM(AFC14:AFC36)</f>
        <v/>
      </c>
      <c r="AFD37" s="123">
        <f>SUM(AFD14:AFD36)</f>
        <v/>
      </c>
      <c r="AFE37" s="123">
        <f>SUM(AFE14:AFE36)</f>
        <v/>
      </c>
      <c r="AFF37" s="123">
        <f>SUM(AFF14:AFF36)</f>
        <v/>
      </c>
      <c r="AFG37" s="123">
        <f>SUM(AFG14:AFG36)</f>
        <v/>
      </c>
      <c r="AFH37" s="123">
        <f>SUM(AFH14:AFH36)</f>
        <v/>
      </c>
      <c r="AFI37" s="123">
        <f>SUM(AFI14:AFI36)</f>
        <v/>
      </c>
      <c r="AFJ37" s="123">
        <f>SUM(AFJ14:AFJ36)</f>
        <v/>
      </c>
      <c r="AFK37" s="123">
        <f>SUM(AFK14:AFK36)</f>
        <v/>
      </c>
      <c r="AFL37" s="123">
        <f>SUM(AFL14:AFL36)</f>
        <v/>
      </c>
      <c r="AFM37" s="123">
        <f>SUM(AFM14:AFM36)</f>
        <v/>
      </c>
      <c r="AFN37" s="123">
        <f>SUM(AFN14:AFN36)</f>
        <v/>
      </c>
      <c r="AFO37" s="123">
        <f>SUM(AFO14:AFO36)</f>
        <v/>
      </c>
      <c r="AFP37" s="123">
        <f>SUM(AFP14:AFP36)</f>
        <v/>
      </c>
      <c r="AFQ37" s="123">
        <f>SUM(AFQ14:AFQ36)</f>
        <v/>
      </c>
      <c r="AFR37" s="123">
        <f>SUM(AFR14:AFR36)</f>
        <v/>
      </c>
      <c r="AFS37" s="123">
        <f>SUM(AFS14:AFS36)</f>
        <v/>
      </c>
      <c r="AFT37" s="130" t="n"/>
      <c r="AFU37" s="123">
        <f>SUM(AFU14:AFU36)</f>
        <v/>
      </c>
      <c r="AFV37" s="123">
        <f>SUM(AFV14:AFV36)</f>
        <v/>
      </c>
      <c r="AFW37" s="123">
        <f>SUM(AFW14:AFW36)</f>
        <v/>
      </c>
      <c r="AFX37" s="123">
        <f>SUM(AFX14:AFX36)</f>
        <v/>
      </c>
      <c r="AFY37" s="123">
        <f>SUM(AFY14:AFY36)</f>
        <v/>
      </c>
      <c r="AFZ37" s="123">
        <f>SUM(AFZ14:AFZ36)</f>
        <v/>
      </c>
      <c r="AGA37" s="123">
        <f>SUM(AGA14:AGA36)</f>
        <v/>
      </c>
      <c r="AGB37" s="123">
        <f>SUM(AGB14:AGB36)</f>
        <v/>
      </c>
      <c r="AGC37" s="123">
        <f>SUM(AGC14:AGC36)</f>
        <v/>
      </c>
      <c r="AGD37" s="123">
        <f>SUM(AGD14:AGD36)</f>
        <v/>
      </c>
      <c r="AGE37" s="123">
        <f>SUM(AGE14:AGE36)</f>
        <v/>
      </c>
      <c r="AGF37" s="123">
        <f>SUM(AGF14:AGF36)</f>
        <v/>
      </c>
      <c r="AGG37" s="123">
        <f>SUM(AGG14:AGG36)</f>
        <v/>
      </c>
      <c r="AGH37" s="123">
        <f>SUM(AGH14:AGH36)</f>
        <v/>
      </c>
      <c r="AGI37" s="123">
        <f>SUM(AGI14:AGI36)</f>
        <v/>
      </c>
      <c r="AGJ37" s="123">
        <f>SUM(AGJ14:AGJ36)</f>
        <v/>
      </c>
      <c r="AGK37" s="123">
        <f>SUM(AGK14:AGK36)</f>
        <v/>
      </c>
      <c r="AGL37" s="123">
        <f>SUM(AGL14:AGL36)</f>
        <v/>
      </c>
      <c r="AGM37" s="123">
        <f>SUM(AGM14:AGM36)</f>
        <v/>
      </c>
      <c r="AGN37" s="123">
        <f>SUM(AGN14:AGN36)</f>
        <v/>
      </c>
      <c r="AGO37" s="123">
        <f>SUM(AGO14:AGO36)</f>
        <v/>
      </c>
      <c r="AGP37" s="123">
        <f>SUM(AGP14:AGP36)</f>
        <v/>
      </c>
      <c r="AGQ37" s="123">
        <f>SUM(AGQ14:AGQ36)</f>
        <v/>
      </c>
      <c r="AGR37" s="123">
        <f>SUM(AGR14:AGR36)</f>
        <v/>
      </c>
      <c r="AGS37" s="123">
        <f>SUM(AGS14:AGS36)</f>
        <v/>
      </c>
      <c r="AGT37" s="123">
        <f>SUM(AGT14:AGT36)</f>
        <v/>
      </c>
      <c r="AGU37" s="123">
        <f>SUM(AGU14:AGU36)</f>
        <v/>
      </c>
      <c r="AGV37" s="123">
        <f>SUM(AGV14:AGV36)</f>
        <v/>
      </c>
      <c r="AGW37" s="123">
        <f>SUM(AGW14:AGW36)</f>
        <v/>
      </c>
      <c r="AGX37" s="123">
        <f>SUM(AGX14:AGX36)</f>
        <v/>
      </c>
      <c r="AGY37" s="142" t="n"/>
      <c r="AGZ37" s="123">
        <f>SUM(AGZ14:AGZ36)</f>
        <v/>
      </c>
      <c r="AHA37" s="123">
        <f>SUM(AHA14:AHA36)</f>
        <v/>
      </c>
      <c r="AHB37" s="123">
        <f>SUM(AHB14:AHB36)</f>
        <v/>
      </c>
      <c r="AHC37" s="123">
        <f>SUM(AHC14:AHC36)</f>
        <v/>
      </c>
      <c r="AHD37" s="123">
        <f>SUM(AHD14:AHD36)</f>
        <v/>
      </c>
      <c r="AHE37" s="123">
        <f>SUM(AHE14:AHE36)</f>
        <v/>
      </c>
      <c r="AHF37" s="123">
        <f>SUM(AHF14:AHF36)</f>
        <v/>
      </c>
      <c r="AHG37" s="123">
        <f>SUM(AHG14:AHG36)</f>
        <v/>
      </c>
      <c r="AHH37" s="123">
        <f>SUM(AHH14:AHH36)</f>
        <v/>
      </c>
      <c r="AHI37" s="123">
        <f>SUM(AHI14:AHI36)</f>
        <v/>
      </c>
      <c r="AHJ37" s="123">
        <f>SUM(AHJ14:AHJ36)</f>
        <v/>
      </c>
      <c r="AHK37" s="123">
        <f>SUM(AHK14:AHK36)</f>
        <v/>
      </c>
      <c r="AHL37" s="123">
        <f>SUM(AHL14:AHL36)</f>
        <v/>
      </c>
      <c r="AHM37" s="123">
        <f>SUM(AHM14:AHM36)</f>
        <v/>
      </c>
      <c r="AHN37" s="123">
        <f>SUM(AHN14:AHN36)</f>
        <v/>
      </c>
      <c r="AHO37" s="123">
        <f>SUM(AHO14:AHO36)</f>
        <v/>
      </c>
      <c r="AHP37" s="123">
        <f>SUM(AHP14:AHP36)</f>
        <v/>
      </c>
      <c r="AHQ37" s="123">
        <f>SUM(AHQ14:AHQ36)</f>
        <v/>
      </c>
      <c r="AHR37" s="123">
        <f>SUM(AHR14:AHR36)</f>
        <v/>
      </c>
      <c r="AHS37" s="123">
        <f>SUM(AHS14:AHS36)</f>
        <v/>
      </c>
      <c r="AHT37" s="123">
        <f>SUM(AHT14:AHT36)</f>
        <v/>
      </c>
      <c r="AHU37" s="123">
        <f>SUM(AHU14:AHU36)</f>
        <v/>
      </c>
      <c r="AHV37" s="123">
        <f>SUM(AHV14:AHV36)</f>
        <v/>
      </c>
      <c r="AHW37" s="123">
        <f>SUM(AHW14:AHW36)</f>
        <v/>
      </c>
      <c r="AHX37" s="123">
        <f>SUM(AHX14:AHX36)</f>
        <v/>
      </c>
      <c r="AHY37" s="123">
        <f>SUM(AHY14:AHY36)</f>
        <v/>
      </c>
      <c r="AHZ37" s="123">
        <f>SUM(AHZ14:AHZ36)</f>
        <v/>
      </c>
      <c r="AIA37" s="123">
        <f>SUM(AIA14:AIA36)</f>
        <v/>
      </c>
      <c r="AIB37" s="123">
        <f>SUM(AIB14:AIB36)</f>
        <v/>
      </c>
      <c r="AIC37" s="123">
        <f>SUM(AIC14:AIC36)</f>
        <v/>
      </c>
      <c r="AID37" s="123">
        <f>SUM(AID14:AID36)</f>
        <v/>
      </c>
      <c r="AIE37" s="130" t="n"/>
      <c r="AIF37" s="123">
        <f>SUM(AIF14:AIF36)</f>
        <v/>
      </c>
      <c r="AIG37" s="123">
        <f>SUM(AIG14:AIG36)</f>
        <v/>
      </c>
      <c r="AIH37" s="123">
        <f>SUM(AIH14:AIH36)</f>
        <v/>
      </c>
      <c r="AII37" s="123">
        <f>SUM(AII14:AII36)</f>
        <v/>
      </c>
      <c r="AIJ37" s="123">
        <f>SUM(AIJ14:AIJ36)</f>
        <v/>
      </c>
      <c r="AIK37" s="123">
        <f>SUM(AIK14:AIK36)</f>
        <v/>
      </c>
      <c r="AIL37" s="123">
        <f>SUM(AIL14:AIL36)</f>
        <v/>
      </c>
      <c r="AIM37" s="123">
        <f>SUM(AIM14:AIM36)</f>
        <v/>
      </c>
      <c r="AIN37" s="123">
        <f>SUM(AIN14:AIN36)</f>
        <v/>
      </c>
      <c r="AIO37" s="123">
        <f>SUM(AIO14:AIO36)</f>
        <v/>
      </c>
      <c r="AIP37" s="123">
        <f>SUM(AIP14:AIP36)</f>
        <v/>
      </c>
      <c r="AIQ37" s="123">
        <f>SUM(AIQ14:AIQ36)</f>
        <v/>
      </c>
      <c r="AIR37" s="123">
        <f>SUM(AIR14:AIR36)</f>
        <v/>
      </c>
      <c r="AIS37" s="123">
        <f>SUM(AIS14:AIS36)</f>
        <v/>
      </c>
      <c r="AIT37" s="123">
        <f>SUM(AIT14:AIT36)</f>
        <v/>
      </c>
      <c r="AIU37" s="123">
        <f>SUM(AIU14:AIU36)</f>
        <v/>
      </c>
      <c r="AIV37" s="123">
        <f>SUM(AIV14:AIV36)</f>
        <v/>
      </c>
      <c r="AIW37" s="123">
        <f>SUM(AIW14:AIW36)</f>
        <v/>
      </c>
      <c r="AIX37" s="123">
        <f>SUM(AIX14:AIX36)</f>
        <v/>
      </c>
      <c r="AIY37" s="123">
        <f>SUM(AIY14:AIY36)</f>
        <v/>
      </c>
      <c r="AIZ37" s="123">
        <f>SUM(AIZ14:AIZ36)</f>
        <v/>
      </c>
      <c r="AJA37" s="123">
        <f>SUM(AJA14:AJA36)</f>
        <v/>
      </c>
      <c r="AJB37" s="123">
        <f>SUM(AJB14:AJB36)</f>
        <v/>
      </c>
      <c r="AJC37" s="123">
        <f>SUM(AJC14:AJC36)</f>
        <v/>
      </c>
      <c r="AJD37" s="123">
        <f>SUM(AJD14:AJD36)</f>
        <v/>
      </c>
      <c r="AJE37" s="123">
        <f>SUM(AJE14:AJE36)</f>
        <v/>
      </c>
      <c r="AJF37" s="123">
        <f>SUM(AJF14:AJF36)</f>
        <v/>
      </c>
      <c r="AJG37" s="123">
        <f>SUM(AJG14:AJG36)</f>
        <v/>
      </c>
      <c r="AJH37" s="123">
        <f>SUM(AJH14:AJH36)</f>
        <v/>
      </c>
      <c r="AJI37" s="123">
        <f>SUM(AJI14:AJI36)</f>
        <v/>
      </c>
      <c r="AJJ37" s="123">
        <f>SUM(AJJ14:AJJ36)</f>
        <v/>
      </c>
      <c r="AJK37" s="145" t="n"/>
      <c r="AJL37" s="123">
        <f>SUM(AJL14:AJL36)</f>
        <v/>
      </c>
      <c r="AJM37" s="123">
        <f>SUM(AJM14:AJM36)</f>
        <v/>
      </c>
      <c r="AJN37" s="123">
        <f>SUM(AJN14:AJN36)</f>
        <v/>
      </c>
      <c r="AJO37" s="123">
        <f>SUM(AJO14:AJO36)</f>
        <v/>
      </c>
      <c r="AJP37" s="123">
        <f>SUM(AJP14:AJP36)</f>
        <v/>
      </c>
      <c r="AJQ37" s="123">
        <f>SUM(AJQ14:AJQ36)</f>
        <v/>
      </c>
      <c r="AJR37" s="123">
        <f>SUM(AJR14:AJR36)</f>
        <v/>
      </c>
      <c r="AJS37" s="123">
        <f>SUM(AJS14:AJS36)</f>
        <v/>
      </c>
      <c r="AJT37" s="123">
        <f>SUM(AJT14:AJT36)</f>
        <v/>
      </c>
      <c r="AJU37" s="123">
        <f>SUM(AJU14:AJU36)</f>
        <v/>
      </c>
      <c r="AJV37" s="123">
        <f>SUM(AJV14:AJV36)</f>
        <v/>
      </c>
      <c r="AJW37" s="123">
        <f>SUM(AJW14:AJW36)</f>
        <v/>
      </c>
      <c r="AJX37" s="123">
        <f>SUM(AJX14:AJX36)</f>
        <v/>
      </c>
      <c r="AJY37" s="123">
        <f>SUM(AJY14:AJY36)</f>
        <v/>
      </c>
      <c r="AJZ37" s="123">
        <f>SUM(AJZ14:AJZ36)</f>
        <v/>
      </c>
      <c r="AKA37" s="123">
        <f>SUM(AKA14:AKA36)</f>
        <v/>
      </c>
      <c r="AKB37" s="123">
        <f>SUM(AKB14:AKB36)</f>
        <v/>
      </c>
      <c r="AKC37" s="123">
        <f>SUM(AKC14:AKC36)</f>
        <v/>
      </c>
      <c r="AKD37" s="123">
        <f>SUM(AKD14:AKD36)</f>
        <v/>
      </c>
      <c r="AKE37" s="123">
        <f>SUM(AKE14:AKE36)</f>
        <v/>
      </c>
      <c r="AKF37" s="123">
        <f>SUM(AKF14:AKF36)</f>
        <v/>
      </c>
      <c r="AKG37" s="123">
        <f>SUM(AKG14:AKG36)</f>
        <v/>
      </c>
      <c r="AKH37" s="123">
        <f>SUM(AKH14:AKH36)</f>
        <v/>
      </c>
      <c r="AKI37" s="123">
        <f>SUM(AKI14:AKI36)</f>
        <v/>
      </c>
      <c r="AKJ37" s="123">
        <f>SUM(AKJ14:AKJ36)</f>
        <v/>
      </c>
      <c r="AKK37" s="123">
        <f>SUM(AKK14:AKK36)</f>
        <v/>
      </c>
      <c r="AKL37" s="123">
        <f>SUM(AKL14:AKL36)</f>
        <v/>
      </c>
      <c r="AKM37" s="123">
        <f>SUM(AKM14:AKM36)</f>
        <v/>
      </c>
      <c r="AKN37" s="153" t="n"/>
      <c r="AKO37" s="123">
        <f>SUM(AKO14:AKO36)</f>
        <v/>
      </c>
      <c r="AKP37" s="123">
        <f>SUM(AKP14:AKP36)</f>
        <v/>
      </c>
      <c r="AKQ37" s="123">
        <f>SUM(AKQ14:AKQ36)</f>
        <v/>
      </c>
      <c r="AKR37" s="123">
        <f>SUM(AKR14:AKR36)</f>
        <v/>
      </c>
      <c r="AKS37" s="123">
        <f>SUM(AKS14:AKS36)</f>
        <v/>
      </c>
      <c r="AKT37" s="123">
        <f>SUM(AKT14:AKT36)</f>
        <v/>
      </c>
      <c r="AKU37" s="123">
        <f>SUM(AKU14:AKU36)</f>
        <v/>
      </c>
      <c r="AKV37" s="123">
        <f>SUM(AKV14:AKV36)</f>
        <v/>
      </c>
      <c r="AKW37" s="123">
        <f>SUM(AKW14:AKW36)</f>
        <v/>
      </c>
      <c r="AKX37" s="123">
        <f>SUM(AKX14:AKX36)</f>
        <v/>
      </c>
      <c r="AKY37" s="123">
        <f>SUM(AKY14:AKY36)</f>
        <v/>
      </c>
      <c r="AKZ37" s="123">
        <f>SUM(AKZ14:AKZ36)</f>
        <v/>
      </c>
      <c r="ALA37" s="123">
        <f>SUM(ALA14:ALA36)</f>
        <v/>
      </c>
      <c r="ALB37" s="123">
        <f>SUM(ALB14:ALB36)</f>
        <v/>
      </c>
      <c r="ALC37" s="123">
        <f>SUM(ALC14:ALC36)</f>
        <v/>
      </c>
      <c r="ALD37" s="123">
        <f>SUM(ALD14:ALD36)</f>
        <v/>
      </c>
      <c r="ALE37" s="123">
        <f>SUM(ALE14:ALE36)</f>
        <v/>
      </c>
      <c r="ALF37" s="123">
        <f>SUM(ALF14:ALF36)</f>
        <v/>
      </c>
      <c r="ALG37" s="123">
        <f>SUM(ALG14:ALG36)</f>
        <v/>
      </c>
      <c r="ALH37" s="123">
        <f>SUM(ALH14:ALH36)</f>
        <v/>
      </c>
      <c r="ALI37" s="123">
        <f>SUM(ALI14:ALI36)</f>
        <v/>
      </c>
      <c r="ALJ37" s="123">
        <f>SUM(ALJ14:ALJ36)</f>
        <v/>
      </c>
      <c r="ALK37" s="123">
        <f>SUM(ALK14:ALK36)</f>
        <v/>
      </c>
      <c r="ALL37" s="123">
        <f>SUM(ALL14:ALL36)</f>
        <v/>
      </c>
      <c r="ALM37" s="123">
        <f>SUM(ALM14:ALM36)</f>
        <v/>
      </c>
      <c r="ALN37" s="123">
        <f>SUM(ALN14:ALN36)</f>
        <v/>
      </c>
      <c r="ALO37" s="123">
        <f>SUM(ALO14:ALO36)</f>
        <v/>
      </c>
      <c r="ALP37" s="123">
        <f>SUM(ALP14:ALP36)</f>
        <v/>
      </c>
      <c r="ALQ37" s="123">
        <f>SUM(ALQ14:ALQ36)</f>
        <v/>
      </c>
      <c r="ALR37" s="123">
        <f>SUM(ALR14:ALR36)</f>
        <v/>
      </c>
      <c r="ALS37" s="123">
        <f>SUM(ALS14:ALS36)</f>
        <v/>
      </c>
      <c r="ALT37" s="130" t="n"/>
      <c r="ALU37" s="123">
        <f>SUM(ALU14:ALU36)</f>
        <v/>
      </c>
      <c r="ALV37" s="123">
        <f>SUM(ALV14:ALV36)</f>
        <v/>
      </c>
      <c r="ALW37" s="123">
        <f>SUM(ALW14:ALW36)</f>
        <v/>
      </c>
      <c r="ALX37" s="123">
        <f>SUM(ALX14:ALX36)</f>
        <v/>
      </c>
      <c r="ALY37" s="123">
        <f>SUM(ALY14:ALY36)</f>
        <v/>
      </c>
      <c r="ALZ37" s="123">
        <f>SUM(ALZ14:ALZ36)</f>
        <v/>
      </c>
      <c r="AMA37" s="123">
        <f>SUM(AMA14:AMA36)</f>
        <v/>
      </c>
      <c r="AMB37" s="123">
        <f>SUM(AMB14:AMB36)</f>
        <v/>
      </c>
      <c r="AMC37" s="123">
        <f>SUM(AMC14:AMC36)</f>
        <v/>
      </c>
      <c r="AMD37" s="123">
        <f>SUM(AMD14:AMD36)</f>
        <v/>
      </c>
      <c r="AME37" s="123">
        <f>SUM(AME14:AME36)</f>
        <v/>
      </c>
      <c r="AMF37" s="123">
        <f>SUM(AMF14:AMF36)</f>
        <v/>
      </c>
      <c r="AMG37" s="123">
        <f>SUM(AMG14:AMG36)</f>
        <v/>
      </c>
      <c r="AMH37" s="123">
        <f>SUM(AMH14:AMH36)</f>
        <v/>
      </c>
      <c r="AMI37" s="123">
        <f>SUM(AMI14:AMI36)</f>
        <v/>
      </c>
      <c r="AMJ37" s="123">
        <f>SUM(AMJ14:AMJ36)</f>
        <v/>
      </c>
      <c r="AMK37" s="123">
        <f>SUM(AMK14:AMK36)</f>
        <v/>
      </c>
      <c r="AML37" s="123">
        <f>SUM(AML14:AML36)</f>
        <v/>
      </c>
      <c r="AMM37" s="123">
        <f>SUM(AMM14:AMM36)</f>
        <v/>
      </c>
      <c r="AMN37" s="123">
        <f>SUM(AMN14:AMN36)</f>
        <v/>
      </c>
      <c r="AMO37" s="123">
        <f>SUM(AMO14:AMO36)</f>
        <v/>
      </c>
      <c r="AMP37" s="123">
        <f>SUM(AMP14:AMP36)</f>
        <v/>
      </c>
      <c r="AMQ37" s="123">
        <f>SUM(AMQ14:AMQ36)</f>
        <v/>
      </c>
      <c r="AMR37" s="123">
        <f>SUM(AMR14:AMR36)</f>
        <v/>
      </c>
      <c r="AMS37" s="123">
        <f>SUM(AMS14:AMS36)</f>
        <v/>
      </c>
      <c r="AMT37" s="123">
        <f>SUM(AMT14:AMT36)</f>
        <v/>
      </c>
      <c r="AMU37" s="123">
        <f>SUM(AMU14:AMU36)</f>
        <v/>
      </c>
      <c r="AMV37" s="123">
        <f>SUM(AMV14:AMV36)</f>
        <v/>
      </c>
      <c r="AMW37" s="123">
        <f>SUM(AMW14:AMW36)</f>
        <v/>
      </c>
      <c r="AMX37" s="123">
        <f>SUM(AMX14:AMX36)</f>
        <v/>
      </c>
      <c r="AMY37" s="130" t="n"/>
      <c r="AMZ37" s="123">
        <f>SUM(AMZ14:AMZ36)</f>
        <v/>
      </c>
      <c r="ANA37" s="123">
        <f>SUM(ANA14:ANA36)</f>
        <v/>
      </c>
      <c r="ANB37" s="123">
        <f>SUM(ANB14:ANB36)</f>
        <v/>
      </c>
      <c r="ANC37" s="123">
        <f>SUM(ANC14:ANC36)</f>
        <v/>
      </c>
      <c r="AND37" s="123">
        <f>SUM(AND14:AND36)</f>
        <v/>
      </c>
      <c r="ANE37" s="123">
        <f>SUM(ANE14:ANE36)</f>
        <v/>
      </c>
      <c r="ANF37" s="123">
        <f>SUM(ANF14:ANF36)</f>
        <v/>
      </c>
      <c r="ANG37" s="123">
        <f>SUM(ANG14:ANG36)</f>
        <v/>
      </c>
      <c r="ANH37" s="123">
        <f>SUM(ANH14:ANH36)</f>
        <v/>
      </c>
      <c r="ANI37" s="123">
        <f>SUM(ANI14:ANI36)</f>
        <v/>
      </c>
      <c r="ANJ37" s="123">
        <f>SUM(ANJ14:ANJ36)</f>
        <v/>
      </c>
      <c r="ANK37" s="123">
        <f>SUM(ANK14:ANK36)</f>
        <v/>
      </c>
      <c r="ANL37" s="123">
        <f>SUM(ANL14:ANL36)</f>
        <v/>
      </c>
      <c r="ANM37" s="123">
        <f>SUM(ANM14:ANM36)</f>
        <v/>
      </c>
      <c r="ANN37" s="123">
        <f>SUM(ANN14:ANN36)</f>
        <v/>
      </c>
      <c r="ANO37" s="123">
        <f>SUM(ANO14:ANO36)</f>
        <v/>
      </c>
      <c r="ANP37" s="123">
        <f>SUM(ANP14:ANP36)</f>
        <v/>
      </c>
      <c r="ANQ37" s="123">
        <f>SUM(ANQ14:ANQ36)</f>
        <v/>
      </c>
      <c r="ANR37" s="123">
        <f>SUM(ANR14:ANR36)</f>
        <v/>
      </c>
      <c r="ANS37" s="123">
        <f>SUM(ANS14:ANS36)</f>
        <v/>
      </c>
      <c r="ANT37" s="123">
        <f>SUM(ANT14:ANT36)</f>
        <v/>
      </c>
      <c r="ANU37" s="123">
        <f>SUM(ANU14:ANU36)</f>
        <v/>
      </c>
      <c r="ANV37" s="123">
        <f>SUM(ANV14:ANV36)</f>
        <v/>
      </c>
      <c r="ANW37" s="123">
        <f>SUM(ANW14:ANW36)</f>
        <v/>
      </c>
      <c r="ANX37" s="123">
        <f>SUM(ANX14:ANX36)</f>
        <v/>
      </c>
      <c r="ANY37" s="123">
        <f>SUM(ANY14:ANY36)</f>
        <v/>
      </c>
      <c r="ANZ37" s="123">
        <f>SUM(ANZ14:ANZ36)</f>
        <v/>
      </c>
      <c r="AOA37" s="123">
        <f>SUM(AOA14:AOA36)</f>
        <v/>
      </c>
      <c r="AOB37" s="123">
        <f>SUM(AOB14:AOB36)</f>
        <v/>
      </c>
      <c r="AOC37" s="123">
        <f>SUM(AOC14:AOC36)</f>
        <v/>
      </c>
    </row>
    <row r="38">
      <c r="A38" s="172" t="inlineStr">
        <is>
          <t>CREDITORS</t>
        </is>
      </c>
      <c r="B38" s="13" t="inlineStr">
        <is>
          <t>Rubis</t>
        </is>
      </c>
      <c r="C38" s="52" t="n">
        <v>216873928</v>
      </c>
      <c r="D38" s="52">
        <f>C38</f>
        <v/>
      </c>
      <c r="E38" s="52">
        <f>30527464+10000*4650</f>
        <v/>
      </c>
      <c r="F38" s="52">
        <f>30527464+10000*4650</f>
        <v/>
      </c>
      <c r="G38" s="52">
        <f>F38+(4650*7902)+764000-31000000-37000000</f>
        <v/>
      </c>
      <c r="H38" s="52">
        <f>G38</f>
        <v/>
      </c>
      <c r="I38" s="52">
        <f>H38</f>
        <v/>
      </c>
      <c r="J38" s="52">
        <f>I38+1435135+215930</f>
        <v/>
      </c>
      <c r="K38" s="52">
        <f>J38+14000*4790</f>
        <v/>
      </c>
      <c r="L38" s="52">
        <f>K38+495000</f>
        <v/>
      </c>
      <c r="M38" s="52">
        <f>L38-25000000-40000000-50000000+12968*4550+4810282</f>
        <v/>
      </c>
      <c r="N38" s="52">
        <f>M38</f>
        <v/>
      </c>
      <c r="O38" s="52">
        <f>N38</f>
        <v/>
      </c>
      <c r="P38" s="52">
        <f>O38-55000000</f>
        <v/>
      </c>
      <c r="Q38" s="52">
        <f>P38+332000+12953*4790</f>
        <v/>
      </c>
      <c r="R38" s="52">
        <f>Q38</f>
        <v/>
      </c>
      <c r="S38" s="52">
        <f>R38</f>
        <v/>
      </c>
      <c r="T38" s="52">
        <f>S38-20000000-46000000</f>
        <v/>
      </c>
      <c r="U38" s="52">
        <f>T38</f>
        <v/>
      </c>
      <c r="V38" s="52">
        <f>U38</f>
        <v/>
      </c>
      <c r="W38" s="52">
        <f>V38+16811*4790+465000</f>
        <v/>
      </c>
      <c r="X38" s="52">
        <f>W38</f>
        <v/>
      </c>
      <c r="Y38" s="52">
        <f>X38-45000000</f>
        <v/>
      </c>
      <c r="Z38" s="52">
        <f>Y38</f>
        <v/>
      </c>
      <c r="AA38" s="52">
        <f>Z38+9956*4550</f>
        <v/>
      </c>
      <c r="AB38" s="52">
        <f>AA38+9939*4870</f>
        <v/>
      </c>
      <c r="AC38" s="52">
        <f>AB38</f>
        <v/>
      </c>
      <c r="AD38" s="52">
        <f>AC38</f>
        <v/>
      </c>
      <c r="AE38" s="52">
        <f>AD38-76000000</f>
        <v/>
      </c>
      <c r="AF38" s="52">
        <f>AE38+3914327</f>
        <v/>
      </c>
      <c r="AG38" s="52">
        <f>AF38+1351000+1270456-42000000</f>
        <v/>
      </c>
      <c r="AH38" s="67">
        <f>AG38</f>
        <v/>
      </c>
      <c r="AI38" s="82">
        <f>AG38+9961*4590</f>
        <v/>
      </c>
      <c r="AJ38" s="82">
        <f>AI38+12849*5000</f>
        <v/>
      </c>
      <c r="AK38" s="82">
        <f>AJ38</f>
        <v/>
      </c>
      <c r="AL38" s="82">
        <f>AJ38</f>
        <v/>
      </c>
      <c r="AM38" s="82">
        <f>AK38+798559+331055+827638-50000000</f>
        <v/>
      </c>
      <c r="AN38" s="82">
        <f>AM38+11942*5090</f>
        <v/>
      </c>
      <c r="AO38" s="82">
        <f>AN38+9000*5090</f>
        <v/>
      </c>
      <c r="AP38" s="82">
        <f>AO38-44000000</f>
        <v/>
      </c>
      <c r="AQ38" s="82">
        <f>AP38+10000*4750-45000000</f>
        <v/>
      </c>
      <c r="AR38" s="82">
        <f>AQ38</f>
        <v/>
      </c>
      <c r="AS38" s="82">
        <f>AQ38-81777135-22613081-16873232-1787900+472719+532840+2229228+310000+49700-70938</f>
        <v/>
      </c>
      <c r="AT38" s="82">
        <f>AS38+9978*5190</f>
        <v/>
      </c>
      <c r="AU38" s="82">
        <f>AT38+10965*5250</f>
        <v/>
      </c>
      <c r="AV38" s="82">
        <f>AU38+7985*5250+4000*5250-50000000</f>
        <v/>
      </c>
      <c r="AW38" s="82">
        <f>AV38</f>
        <v/>
      </c>
      <c r="AX38" s="82">
        <f>AV38</f>
        <v/>
      </c>
      <c r="AY38" s="82">
        <f>AW38</f>
        <v/>
      </c>
      <c r="AZ38" s="82">
        <f>AX38-22000000-45000000</f>
        <v/>
      </c>
      <c r="BA38" s="82">
        <f>AZ38</f>
        <v/>
      </c>
      <c r="BB38" s="82">
        <f>AZ38+12971*4800+8977*5250+1499000</f>
        <v/>
      </c>
      <c r="BC38" s="82">
        <f>BB38-45000000</f>
        <v/>
      </c>
      <c r="BD38" s="82">
        <f>BC38</f>
        <v/>
      </c>
      <c r="BE38" s="82">
        <f>BC38</f>
        <v/>
      </c>
      <c r="BF38" s="82">
        <f>BD38</f>
        <v/>
      </c>
      <c r="BG38" s="82">
        <f>BE38</f>
        <v/>
      </c>
      <c r="BH38" s="82">
        <f>BF38-30000000+15818*5290-45000000</f>
        <v/>
      </c>
      <c r="BI38" s="82">
        <f>BH38</f>
        <v/>
      </c>
      <c r="BJ38" s="82">
        <f>BH38-17000000</f>
        <v/>
      </c>
      <c r="BK38" s="82">
        <f>BJ38</f>
        <v/>
      </c>
      <c r="BL38" s="82">
        <f>BJ38+11884*4850</f>
        <v/>
      </c>
      <c r="BM38" s="106">
        <f>BL38</f>
        <v/>
      </c>
      <c r="BN38" s="82">
        <f>BM38+8899*5290</f>
        <v/>
      </c>
      <c r="BO38" s="82">
        <f>BN38</f>
        <v/>
      </c>
      <c r="BP38" s="82">
        <f>BO38</f>
        <v/>
      </c>
      <c r="BQ38" s="82">
        <f>BP38+857000</f>
        <v/>
      </c>
      <c r="BR38" s="82">
        <f>BQ38-70000000</f>
        <v/>
      </c>
      <c r="BS38" s="82">
        <f>BR38</f>
        <v/>
      </c>
      <c r="BT38" s="82">
        <f>BS38+9961*5290</f>
        <v/>
      </c>
      <c r="BU38" s="82">
        <f>BT38</f>
        <v/>
      </c>
      <c r="BV38" s="82">
        <f>BU38</f>
        <v/>
      </c>
      <c r="BW38" s="82">
        <f>BV38</f>
        <v/>
      </c>
      <c r="BX38" s="82">
        <f>BW38</f>
        <v/>
      </c>
      <c r="BY38" s="82">
        <f>BX38-57000000</f>
        <v/>
      </c>
      <c r="BZ38" s="82">
        <f>BY38+16085283+8244937+13614688</f>
        <v/>
      </c>
      <c r="CA38" s="82">
        <f>BZ38+10000*5290+5000*4850-99000000-70640518-16455739-12288008+2325849-20927</f>
        <v/>
      </c>
      <c r="CB38" s="82">
        <f>CA38</f>
        <v/>
      </c>
      <c r="CC38" s="82">
        <f>CB38-40000000-30000000</f>
        <v/>
      </c>
      <c r="CD38" s="82">
        <f>CC38</f>
        <v/>
      </c>
      <c r="CE38" s="82">
        <f>CD38+6000*5290+8908*4850</f>
        <v/>
      </c>
      <c r="CF38" s="82">
        <f>CE38+4255998+1729000</f>
        <v/>
      </c>
      <c r="CG38" s="82">
        <f>CF38-45000000</f>
        <v/>
      </c>
      <c r="CH38" s="82">
        <f>CG38+12842*5290</f>
        <v/>
      </c>
      <c r="CI38" s="82">
        <f>CH38</f>
        <v/>
      </c>
      <c r="CJ38" s="82">
        <f>CI38</f>
        <v/>
      </c>
      <c r="CK38" s="82">
        <f>CJ38</f>
        <v/>
      </c>
      <c r="CL38" s="82">
        <f>CK38-30000000-40000000+9964*4850</f>
        <v/>
      </c>
      <c r="CM38" s="82">
        <f>CL38</f>
        <v/>
      </c>
      <c r="CN38" s="82">
        <f>CM38</f>
        <v/>
      </c>
      <c r="CO38" s="82">
        <f>CN38+8000*5290</f>
        <v/>
      </c>
      <c r="CP38" s="82">
        <f>CO38</f>
        <v/>
      </c>
      <c r="CQ38" s="82">
        <f>CP38</f>
        <v/>
      </c>
      <c r="CR38" s="82">
        <f>CQ38</f>
        <v/>
      </c>
      <c r="CT38" s="82">
        <f>CR38-60000000+1600000</f>
        <v/>
      </c>
      <c r="CU38" s="82">
        <f>CT38+11954*5339</f>
        <v/>
      </c>
      <c r="CV38" s="82">
        <f>CU38</f>
        <v/>
      </c>
      <c r="CW38" s="82">
        <f>CU38-64716399-18967905-16019124-334534+(1342825+100000)</f>
        <v/>
      </c>
      <c r="CX38" s="82">
        <f>CW38-60000000</f>
        <v/>
      </c>
      <c r="CY38" s="82">
        <f>CX38</f>
        <v/>
      </c>
      <c r="CZ38" s="82">
        <f>CX38+8924*5339+10000*4850</f>
        <v/>
      </c>
      <c r="DA38" s="82">
        <f>CZ38</f>
        <v/>
      </c>
      <c r="DB38" s="82">
        <f>CZ38</f>
        <v/>
      </c>
      <c r="DC38" s="82">
        <f>DA38-58000000+1464000</f>
        <v/>
      </c>
      <c r="DD38" s="82">
        <f>DC38+10957*5339</f>
        <v/>
      </c>
      <c r="DE38" s="82">
        <f>DD38</f>
        <v/>
      </c>
      <c r="DF38" s="82">
        <f>DD38-80000000</f>
        <v/>
      </c>
      <c r="DG38" s="82">
        <f>DF38+2553479+692000</f>
        <v/>
      </c>
      <c r="DH38" s="82">
        <f>DG38+8981*4890</f>
        <v/>
      </c>
      <c r="DI38" s="82">
        <f>DH38+12890*5450</f>
        <v/>
      </c>
      <c r="DJ38" s="82">
        <f>DI38-30000000</f>
        <v/>
      </c>
      <c r="DK38" s="82">
        <f>DJ38</f>
        <v/>
      </c>
      <c r="DL38" s="82">
        <f>DJ38</f>
        <v/>
      </c>
      <c r="DM38" s="82">
        <f>DK38</f>
        <v/>
      </c>
      <c r="DN38" s="82">
        <f>DL38</f>
        <v/>
      </c>
      <c r="DO38" s="82">
        <f>DM38</f>
        <v/>
      </c>
      <c r="DP38" s="82">
        <f>DN38+622000+803000</f>
        <v/>
      </c>
      <c r="DQ38" s="82">
        <f>DP38-50000000-30000000+8920*5450</f>
        <v/>
      </c>
      <c r="DR38" s="82">
        <f>DQ38+8953*4890</f>
        <v/>
      </c>
      <c r="DS38" s="82">
        <f>DR38</f>
        <v/>
      </c>
      <c r="DT38" s="82">
        <f>DR38</f>
        <v/>
      </c>
      <c r="DU38" s="82">
        <f>DS38+578000-48000000</f>
        <v/>
      </c>
      <c r="DV38" s="82">
        <f>DU38</f>
        <v/>
      </c>
      <c r="DW38" s="82">
        <f>DU38</f>
        <v/>
      </c>
      <c r="DX38" s="117" t="n"/>
      <c r="DY38" s="82">
        <f>DW38</f>
        <v/>
      </c>
      <c r="DZ38" s="82">
        <f>DY38</f>
        <v/>
      </c>
      <c r="EA38" s="82">
        <f>DY38+9833*5450</f>
        <v/>
      </c>
      <c r="EB38" s="82">
        <f>EA38</f>
        <v/>
      </c>
      <c r="EC38" s="82">
        <f>EA38</f>
        <v/>
      </c>
      <c r="ED38" s="82">
        <f>EB38</f>
        <v/>
      </c>
      <c r="EE38" s="82">
        <f>EC38+7000*5290+7000*4750</f>
        <v/>
      </c>
      <c r="EF38" s="82">
        <f>EE38</f>
        <v/>
      </c>
      <c r="EG38" s="82">
        <f>EE38-45000000-50000000</f>
        <v/>
      </c>
      <c r="EH38" s="82">
        <f>EG38</f>
        <v/>
      </c>
      <c r="EI38" s="82">
        <f>EG38+11965*5290-40000000-74002359-10570378-23442670+780000+1738373+219000+60000-400</f>
        <v/>
      </c>
      <c r="EJ38" s="82">
        <f>EI38</f>
        <v/>
      </c>
      <c r="EK38" s="82">
        <f>EI38+1171000</f>
        <v/>
      </c>
      <c r="EL38" s="82">
        <f>EK38+10000*4750-50000000</f>
        <v/>
      </c>
      <c r="EM38" s="82">
        <f>EL38+8979*5290</f>
        <v/>
      </c>
      <c r="EN38" s="82">
        <f>EM38</f>
        <v/>
      </c>
      <c r="EO38" s="82">
        <f>EM38</f>
        <v/>
      </c>
      <c r="EP38" s="82">
        <f>EN38-30000000-52000000</f>
        <v/>
      </c>
      <c r="EQ38" s="82">
        <f>EP38+10874*5290</f>
        <v/>
      </c>
      <c r="ER38" s="82">
        <f>EQ38+12941*4750</f>
        <v/>
      </c>
      <c r="ES38" s="82">
        <f>ER38+4286718</f>
        <v/>
      </c>
      <c r="ET38" s="82">
        <f>ES38</f>
        <v/>
      </c>
      <c r="EU38" s="82">
        <f>ES38+9863*5290+813000</f>
        <v/>
      </c>
      <c r="EV38" s="82">
        <f>EU38</f>
        <v/>
      </c>
      <c r="EW38" s="82">
        <f>EU38</f>
        <v/>
      </c>
      <c r="EX38" s="82">
        <f>EV38</f>
        <v/>
      </c>
      <c r="EY38" s="82">
        <f>EW38</f>
        <v/>
      </c>
      <c r="EZ38" s="82">
        <f>EX38+10850*5290</f>
        <v/>
      </c>
      <c r="FA38" s="82">
        <f>EZ38+10000*4750</f>
        <v/>
      </c>
      <c r="FB38" s="82">
        <f>FA38+1127000</f>
        <v/>
      </c>
      <c r="FC38" s="82">
        <f>FB38-23000000-80000000</f>
        <v/>
      </c>
      <c r="FD38" s="126" t="n"/>
      <c r="FE38" s="82">
        <f>FC38</f>
        <v/>
      </c>
      <c r="FF38" s="82">
        <f>FE38+813000+1116000+343000-52000000</f>
        <v/>
      </c>
      <c r="FG38" s="82">
        <f>FF38</f>
        <v/>
      </c>
      <c r="FH38" s="82">
        <f>FF38+2473000-81047055-17569816-15741172+3494800+150000+1889769-859320-1171000-364800</f>
        <v/>
      </c>
      <c r="FI38" s="82">
        <f>FH38</f>
        <v/>
      </c>
      <c r="FJ38" s="82">
        <f>FH38+13943*5290</f>
        <v/>
      </c>
      <c r="FK38" s="82">
        <f>FJ38</f>
        <v/>
      </c>
      <c r="FL38" s="82">
        <f>FJ38-85000000</f>
        <v/>
      </c>
      <c r="FM38" s="82">
        <f>FL38</f>
        <v/>
      </c>
      <c r="FN38" s="82">
        <f>FL38+1790752</f>
        <v/>
      </c>
      <c r="FO38" s="82">
        <f>FN38+11867*5290+6941*4750+911000</f>
        <v/>
      </c>
      <c r="FP38" s="82">
        <f>FO38</f>
        <v/>
      </c>
      <c r="FQ38" s="82">
        <f>FO38+2932199</f>
        <v/>
      </c>
      <c r="FR38" s="82">
        <f>FQ38</f>
        <v/>
      </c>
      <c r="FS38" s="82">
        <f>FQ38-90000000</f>
        <v/>
      </c>
      <c r="FT38" s="82">
        <f>FS38</f>
        <v/>
      </c>
      <c r="FU38" s="82">
        <f>FS38+10907*5290</f>
        <v/>
      </c>
      <c r="FV38" s="82">
        <f>FU38+7944*4750+733000</f>
        <v/>
      </c>
      <c r="FW38" s="82">
        <f>FV38</f>
        <v/>
      </c>
      <c r="FX38" s="82">
        <f>FV38</f>
        <v/>
      </c>
      <c r="FY38" s="82">
        <f>FW38</f>
        <v/>
      </c>
      <c r="FZ38" s="82">
        <f>FX38</f>
        <v/>
      </c>
      <c r="GA38" s="82">
        <f>FY38+751000+16377804</f>
        <v/>
      </c>
      <c r="GB38" s="82">
        <f>GA38+11854*5290+7944*4750-100000000</f>
        <v/>
      </c>
      <c r="GC38" s="82">
        <f>GB38</f>
        <v/>
      </c>
      <c r="GD38" s="82">
        <f>GB38</f>
        <v/>
      </c>
      <c r="GE38" s="82">
        <f>GC38</f>
        <v/>
      </c>
      <c r="GF38" s="82">
        <f>GD38</f>
        <v/>
      </c>
      <c r="GG38" s="82">
        <f>GE38-52000000-38000000</f>
        <v/>
      </c>
      <c r="GH38" s="82">
        <f>GG38</f>
        <v/>
      </c>
      <c r="GI38" s="82">
        <f>GG38+10851*5190</f>
        <v/>
      </c>
      <c r="GJ38" s="130" t="n"/>
      <c r="GK38" s="82">
        <f>GI38+8000*4750</f>
        <v/>
      </c>
      <c r="GL38" s="82">
        <f>GK38</f>
        <v/>
      </c>
      <c r="GM38" s="82">
        <f>GL38</f>
        <v/>
      </c>
      <c r="GN38" s="82">
        <f>GM38</f>
        <v/>
      </c>
      <c r="GO38" s="82">
        <f>GN38+2230079+813000-90000000</f>
        <v/>
      </c>
      <c r="GP38" s="82">
        <f>GO38+9920*5190+8000*4750</f>
        <v/>
      </c>
      <c r="GQ38" s="82">
        <f>GP38</f>
        <v/>
      </c>
      <c r="GR38" s="82">
        <f>GQ38</f>
        <v/>
      </c>
      <c r="GS38" s="82">
        <f>GR38-52000000</f>
        <v/>
      </c>
      <c r="GT38" s="82">
        <f>GS38+11869*5190</f>
        <v/>
      </c>
      <c r="GU38" s="82">
        <f>GT38+2759997+1967000-103957018</f>
        <v/>
      </c>
      <c r="GV38" s="82">
        <f>GU38</f>
        <v/>
      </c>
      <c r="GW38" s="82">
        <f>GV38-38000000</f>
        <v/>
      </c>
      <c r="GX38" s="82">
        <f>GW38+8000*4750</f>
        <v/>
      </c>
      <c r="GY38" s="82">
        <f>GW38+8000*4750-20000000</f>
        <v/>
      </c>
      <c r="GZ38" s="82">
        <f>GY38+8500705+12848*5190</f>
        <v/>
      </c>
      <c r="HA38" s="82">
        <f>GZ38</f>
        <v/>
      </c>
      <c r="HB38" s="82">
        <f>HA38</f>
        <v/>
      </c>
      <c r="HC38" s="82">
        <f>HB38-38000000</f>
        <v/>
      </c>
      <c r="HD38" s="82">
        <f>HC38+8000*4750</f>
        <v/>
      </c>
      <c r="HE38" s="82">
        <f>HC38+8000*4750+294000</f>
        <v/>
      </c>
      <c r="HF38" s="82">
        <f>HE38</f>
        <v/>
      </c>
      <c r="HG38" s="82">
        <f>HF38+12841*5190+3065438</f>
        <v/>
      </c>
      <c r="HH38" s="82">
        <f>HG38</f>
        <v/>
      </c>
      <c r="HI38" s="82">
        <f>HH38-60000000</f>
        <v/>
      </c>
      <c r="HJ38" s="82">
        <f>HI38</f>
        <v/>
      </c>
      <c r="HK38" s="82">
        <f>HJ38</f>
        <v/>
      </c>
      <c r="HL38" s="82">
        <f>HK38+9892*5190+12876*4750-14000000-66000000</f>
        <v/>
      </c>
      <c r="HM38" s="82">
        <f>HL38+1262000</f>
        <v/>
      </c>
      <c r="HN38" s="130" t="n"/>
      <c r="HO38" s="82">
        <f>HM38</f>
        <v/>
      </c>
      <c r="HP38" s="82">
        <f>HO38</f>
        <v/>
      </c>
      <c r="HQ38" s="82">
        <f>HO38+3590319</f>
        <v/>
      </c>
      <c r="HR38" s="82">
        <f>HQ38</f>
        <v/>
      </c>
      <c r="HS38" s="82">
        <f>HQ38+7000*4690+11853*5190-90000000+1118720</f>
        <v/>
      </c>
      <c r="HT38" s="82">
        <f>HS38</f>
        <v/>
      </c>
      <c r="HU38" s="82">
        <f>HS38-101320206</f>
        <v/>
      </c>
      <c r="HV38" s="82">
        <f>HU38</f>
        <v/>
      </c>
      <c r="HW38" s="82">
        <f>HU38-50000000</f>
        <v/>
      </c>
      <c r="HX38" s="82">
        <f>HW38</f>
        <v/>
      </c>
      <c r="HY38" s="82">
        <f>HW38+11853*5190</f>
        <v/>
      </c>
      <c r="HZ38" s="82">
        <f>HY38</f>
        <v/>
      </c>
      <c r="IA38" s="82">
        <f>HY38+2205000</f>
        <v/>
      </c>
      <c r="IB38" s="82">
        <f>IA38</f>
        <v/>
      </c>
      <c r="IC38" s="82">
        <f>IA38-90000000</f>
        <v/>
      </c>
      <c r="ID38" s="82">
        <f>IC38+11847*5250+8913*4850</f>
        <v/>
      </c>
      <c r="IE38" s="82">
        <f>ID38</f>
        <v/>
      </c>
      <c r="IF38" s="82">
        <f>ID38</f>
        <v/>
      </c>
      <c r="IG38" s="82">
        <f>IE38</f>
        <v/>
      </c>
      <c r="IH38" s="82">
        <f>IF38</f>
        <v/>
      </c>
      <c r="II38" s="82">
        <f>IG38+821000+392352+4255680+2318399+3808799-57000000</f>
        <v/>
      </c>
      <c r="IJ38" s="82">
        <f>II38</f>
        <v/>
      </c>
      <c r="IK38" s="82">
        <f>II38+9881*5250</f>
        <v/>
      </c>
      <c r="IL38" s="82">
        <f>IK38</f>
        <v/>
      </c>
      <c r="IM38" s="82">
        <f>IK38-50000000</f>
        <v/>
      </c>
      <c r="IN38" s="82">
        <f>IM38</f>
        <v/>
      </c>
      <c r="IO38" s="82">
        <f>IM38+10888*4890</f>
        <v/>
      </c>
      <c r="IP38" s="82">
        <f>IO38</f>
        <v/>
      </c>
      <c r="IQ38" s="82">
        <f>IO38+12850*5250-60000000</f>
        <v/>
      </c>
      <c r="IR38" s="82">
        <f>IQ38</f>
        <v/>
      </c>
      <c r="IS38" s="82">
        <f>IQ38</f>
        <v/>
      </c>
      <c r="IT38" s="130" t="n"/>
      <c r="IU38" s="82">
        <f>IS38</f>
        <v/>
      </c>
      <c r="IV38" s="82">
        <f>IU38</f>
        <v/>
      </c>
      <c r="IW38" s="82">
        <f>IV38+937000+2530862-117039241+67403-40000000</f>
        <v/>
      </c>
      <c r="IX38" s="82">
        <f>IW38</f>
        <v/>
      </c>
      <c r="IY38" s="82">
        <f>IX38+8000*4890</f>
        <v/>
      </c>
      <c r="IZ38" s="82">
        <f>IY38</f>
        <v/>
      </c>
      <c r="JA38" s="82">
        <f>IZ38+11853*5250+761000</f>
        <v/>
      </c>
      <c r="JB38" s="82">
        <f>JA38</f>
        <v/>
      </c>
      <c r="JC38" s="82">
        <f>JB38+2000*4890</f>
        <v/>
      </c>
      <c r="JD38" s="82">
        <f>JC38</f>
        <v/>
      </c>
      <c r="JE38" s="82">
        <f>JD38</f>
        <v/>
      </c>
      <c r="JF38" s="82">
        <f>JE38</f>
        <v/>
      </c>
      <c r="JG38" s="82">
        <f>JF38+11893*4890+7200844-100000000+516000</f>
        <v/>
      </c>
      <c r="JH38" s="82">
        <f>JG38+11851*5250</f>
        <v/>
      </c>
      <c r="JI38" s="82">
        <f>JH38</f>
        <v/>
      </c>
      <c r="JJ38" s="82">
        <f>JI38</f>
        <v/>
      </c>
      <c r="JK38" s="82">
        <f>JJ38</f>
        <v/>
      </c>
      <c r="JL38" s="82">
        <f>JK38+196000+456000</f>
        <v/>
      </c>
      <c r="JM38" s="82">
        <f>JL38</f>
        <v/>
      </c>
      <c r="JN38" s="82">
        <f>JM38+12892*5250-55000000</f>
        <v/>
      </c>
      <c r="JO38" s="82">
        <f>JN38</f>
        <v/>
      </c>
      <c r="JP38" s="82">
        <f>JO38</f>
        <v/>
      </c>
      <c r="JQ38" s="82">
        <f>JP38</f>
        <v/>
      </c>
      <c r="JR38" s="82">
        <f>JQ38</f>
        <v/>
      </c>
      <c r="JS38" s="82">
        <f>JR38</f>
        <v/>
      </c>
      <c r="JT38" s="82">
        <f>JS38-55000000-45000000</f>
        <v/>
      </c>
      <c r="JU38" s="82">
        <f>JT38+9908*4770</f>
        <v/>
      </c>
      <c r="JV38" s="82">
        <f>JU38+10866*5230</f>
        <v/>
      </c>
      <c r="JW38" s="82">
        <f>JV38</f>
        <v/>
      </c>
      <c r="JX38" s="82">
        <f>JW38</f>
        <v/>
      </c>
      <c r="JY38" s="133" t="n"/>
      <c r="JZ38" s="82">
        <f>JX38</f>
        <v/>
      </c>
      <c r="KA38" s="82">
        <f>JZ38-60000000+2021000</f>
        <v/>
      </c>
      <c r="KB38" s="82">
        <f>KA38+9902*4770</f>
        <v/>
      </c>
      <c r="KC38" s="82">
        <f>KB38+9879*5230</f>
        <v/>
      </c>
      <c r="KD38" s="82">
        <f>KC38</f>
        <v/>
      </c>
      <c r="KE38" s="82">
        <f>KC38</f>
        <v/>
      </c>
      <c r="KF38" s="82">
        <f>KD38+14216918+318000</f>
        <v/>
      </c>
      <c r="KG38" s="82">
        <f>KF38-119749531</f>
        <v/>
      </c>
      <c r="KH38" s="82">
        <f>KG38-60000000</f>
        <v/>
      </c>
      <c r="KI38" s="82">
        <f>KH38+14823*5230</f>
        <v/>
      </c>
      <c r="KJ38" s="82">
        <f>KI38</f>
        <v/>
      </c>
      <c r="KK38" s="82">
        <f>KI38+2214359+12313559</f>
        <v/>
      </c>
      <c r="KL38" s="82">
        <f>KK38-40000000</f>
        <v/>
      </c>
      <c r="KM38" s="82">
        <f>KL38-40000000+1181280</f>
        <v/>
      </c>
      <c r="KN38" s="82">
        <f>KM38</f>
        <v/>
      </c>
      <c r="KO38" s="82">
        <f>KM38+10000*4770</f>
        <v/>
      </c>
      <c r="KP38" s="82">
        <f>KO38+4237000</f>
        <v/>
      </c>
      <c r="KQ38" s="82">
        <f>KP38+588528</f>
        <v/>
      </c>
      <c r="KR38" s="82">
        <f>KQ38+10000*5230</f>
        <v/>
      </c>
      <c r="KS38" s="82">
        <f>KR38</f>
        <v/>
      </c>
      <c r="KT38" s="82">
        <f>KR38+3000*5230-80000000</f>
        <v/>
      </c>
      <c r="KU38" s="82">
        <f>KT38+6000*4770+6000*5230+1616240</f>
        <v/>
      </c>
      <c r="KV38" s="82">
        <f>KU38</f>
        <v/>
      </c>
      <c r="KW38" s="82">
        <f>KU38-26000000</f>
        <v/>
      </c>
      <c r="KX38" s="82">
        <f>KW38+7902*5170+7927*4730</f>
        <v/>
      </c>
      <c r="KY38" s="82">
        <f>KX38</f>
        <v/>
      </c>
      <c r="KZ38" s="82">
        <f>KX38+759000</f>
        <v/>
      </c>
      <c r="LA38" s="82">
        <f>KZ38-46000000</f>
        <v/>
      </c>
      <c r="LB38" s="82">
        <f>LA38</f>
        <v/>
      </c>
      <c r="LC38" s="82">
        <f>LA38-37000000+4966*4730+8962*5170</f>
        <v/>
      </c>
      <c r="LD38" s="82">
        <f>LC38+5000*4730</f>
        <v/>
      </c>
      <c r="LE38" s="130" t="n"/>
      <c r="LF38" s="82">
        <f>LD38</f>
        <v/>
      </c>
      <c r="LG38" s="82">
        <f>LF38</f>
        <v/>
      </c>
      <c r="LH38" s="82">
        <f>LG38+2392000+728641+362000</f>
        <v/>
      </c>
      <c r="LI38" s="82">
        <f>LH38</f>
        <v/>
      </c>
      <c r="LJ38" s="82">
        <f>LI38</f>
        <v/>
      </c>
      <c r="LK38" s="82">
        <f>LJ38-50000000-35000000+11851*5170</f>
        <v/>
      </c>
      <c r="LL38" s="82">
        <f>LK38+10000*4730</f>
        <v/>
      </c>
      <c r="LM38" s="82">
        <f>LL38+2483687+713784+4915092</f>
        <v/>
      </c>
      <c r="LN38" s="82">
        <f>LM38</f>
        <v/>
      </c>
      <c r="LO38" s="82">
        <f>LN38-35000000</f>
        <v/>
      </c>
      <c r="LP38" s="82">
        <f>LO38+9898*5170</f>
        <v/>
      </c>
      <c r="LQ38" s="82">
        <f>LP38</f>
        <v/>
      </c>
      <c r="LR38" s="82">
        <f>LQ38-25000000-33000000-146436348</f>
        <v/>
      </c>
      <c r="LS38" s="82">
        <f>LR38+7917*5170+6939*4730</f>
        <v/>
      </c>
      <c r="LT38" s="82">
        <f>LS38</f>
        <v/>
      </c>
      <c r="LU38" s="82">
        <f>LT38</f>
        <v/>
      </c>
      <c r="LV38" s="82">
        <f>LU38</f>
        <v/>
      </c>
      <c r="LW38" s="82">
        <f>LV38-65000000</f>
        <v/>
      </c>
      <c r="LX38" s="82">
        <f>LW38+2281599+724000+1307000</f>
        <v/>
      </c>
      <c r="LY38" s="82">
        <f>LX38+8000*4730</f>
        <v/>
      </c>
      <c r="LZ38" s="82">
        <f>LY38+10898*5170</f>
        <v/>
      </c>
      <c r="MA38" s="82">
        <f>LZ38</f>
        <v/>
      </c>
      <c r="MB38" s="82">
        <f>MA38</f>
        <v/>
      </c>
      <c r="MC38" s="82">
        <f>MB38</f>
        <v/>
      </c>
      <c r="MD38" s="82">
        <f>MC38+1318000</f>
        <v/>
      </c>
      <c r="ME38" s="82">
        <f>MD38+7000*4730-86000000</f>
        <v/>
      </c>
      <c r="MF38" s="82">
        <f>ME38+12827*5170</f>
        <v/>
      </c>
      <c r="MG38" s="82">
        <f>MF38</f>
        <v/>
      </c>
      <c r="MH38" s="82">
        <f>MG38</f>
        <v/>
      </c>
      <c r="MI38" s="82">
        <f>MH38+8911*5170</f>
        <v/>
      </c>
      <c r="MJ38" s="133" t="n"/>
      <c r="MK38" s="82">
        <f>MI38</f>
        <v/>
      </c>
      <c r="ML38" s="82">
        <f>MK38-32000000</f>
        <v/>
      </c>
      <c r="MM38" s="82">
        <f>ML38+5000*4730</f>
        <v/>
      </c>
      <c r="MN38" s="82">
        <f>MM38</f>
        <v/>
      </c>
      <c r="MO38" s="82">
        <f>MM38+8689599</f>
        <v/>
      </c>
      <c r="MP38" s="82">
        <f>MO38-70000000+7909*5170+7926*4679</f>
        <v/>
      </c>
      <c r="MQ38" s="82">
        <f>MP38+2000*5170</f>
        <v/>
      </c>
      <c r="MR38" s="82">
        <f>MQ38</f>
        <v/>
      </c>
      <c r="MS38" s="82">
        <f>MQ38</f>
        <v/>
      </c>
      <c r="MT38" s="82">
        <f>MR38</f>
        <v/>
      </c>
      <c r="MU38" s="82">
        <f>MS38-80000000</f>
        <v/>
      </c>
      <c r="MV38" s="82">
        <f>MU38+14000*5080+5000*4679+448000+4171838</f>
        <v/>
      </c>
      <c r="MW38" s="82">
        <f>MV38</f>
        <v/>
      </c>
      <c r="MX38" s="82">
        <f>MV38</f>
        <v/>
      </c>
      <c r="MY38" s="82">
        <f>MW38</f>
        <v/>
      </c>
      <c r="MZ38" s="82">
        <f>MX38</f>
        <v/>
      </c>
      <c r="NA38" s="82">
        <f>MY38</f>
        <v/>
      </c>
      <c r="NB38" s="82">
        <f>MZ38-64000000</f>
        <v/>
      </c>
      <c r="NC38" s="82">
        <f>NB38+8000*4679</f>
        <v/>
      </c>
      <c r="ND38" s="82">
        <f>NC38</f>
        <v/>
      </c>
      <c r="NE38" s="82">
        <f>NC38+9975*5170+322000</f>
        <v/>
      </c>
      <c r="NF38" s="82">
        <f>NE38-78000000</f>
        <v/>
      </c>
      <c r="NG38" s="82">
        <f>NF38+3308322+135000+1485000+612000</f>
        <v/>
      </c>
      <c r="NH38" s="82">
        <f>NG38-132037961</f>
        <v/>
      </c>
      <c r="NI38" s="82">
        <f>NH38+10898*4629+11876*5030</f>
        <v/>
      </c>
      <c r="NJ38" s="82">
        <f>NI38+2702000+2019173</f>
        <v/>
      </c>
      <c r="NK38" s="82">
        <f>NJ38</f>
        <v/>
      </c>
      <c r="NL38" s="82">
        <f>NJ38</f>
        <v/>
      </c>
      <c r="NM38" s="82">
        <f>NK38-60000000</f>
        <v/>
      </c>
      <c r="NN38" s="82">
        <f>NM38</f>
        <v/>
      </c>
      <c r="NO38" s="82">
        <f>NN38+9902*5080+993601+1398400+589000</f>
        <v/>
      </c>
      <c r="NP38" s="133" t="n"/>
      <c r="NQ38" s="82">
        <f>NO38</f>
        <v/>
      </c>
      <c r="NR38" s="82">
        <f>NQ38</f>
        <v/>
      </c>
      <c r="NS38" s="82">
        <f>NQ38+7967*4629</f>
        <v/>
      </c>
      <c r="NT38" s="82">
        <f>NS38-30000000-495100</f>
        <v/>
      </c>
      <c r="NU38" s="82">
        <f>NT38-49000000</f>
        <v/>
      </c>
      <c r="NV38" s="82">
        <f>NU38-129555278</f>
        <v/>
      </c>
      <c r="NW38" s="82">
        <f>NV38+10000*5030</f>
        <v/>
      </c>
      <c r="NX38" s="82">
        <f>NW38</f>
        <v/>
      </c>
      <c r="NY38" s="82">
        <f>NW38</f>
        <v/>
      </c>
      <c r="NZ38" s="82">
        <f>NX38+4000*4629</f>
        <v/>
      </c>
      <c r="OA38" s="82">
        <f>NZ38+9900*5030</f>
        <v/>
      </c>
      <c r="OB38" s="82">
        <f>OA38-43000000</f>
        <v/>
      </c>
      <c r="OC38" s="82">
        <f>OB38+1017000-40000000</f>
        <v/>
      </c>
      <c r="OD38" s="82">
        <f>OC38</f>
        <v/>
      </c>
      <c r="OE38" s="82">
        <f>OC38+6939*4629</f>
        <v/>
      </c>
      <c r="OF38" s="82">
        <f>OE38+8934*5030</f>
        <v/>
      </c>
      <c r="OG38" s="82">
        <f>OF38+5405319</f>
        <v/>
      </c>
      <c r="OH38" s="82">
        <f>OG38-40000000+1085286</f>
        <v/>
      </c>
      <c r="OI38" s="82">
        <f>OH38-40000000</f>
        <v/>
      </c>
      <c r="OJ38" s="82">
        <f>OI38</f>
        <v/>
      </c>
      <c r="OK38" s="82">
        <f>OI38+11933*5030+10000*4629</f>
        <v/>
      </c>
      <c r="OL38" s="82">
        <f>OK38+319000</f>
        <v/>
      </c>
      <c r="OM38" s="82">
        <f>OL38</f>
        <v/>
      </c>
      <c r="ON38" s="82">
        <f>OL38+773000</f>
        <v/>
      </c>
      <c r="OO38" s="82">
        <f>ON38</f>
        <v/>
      </c>
      <c r="OP38" s="82">
        <f>ON38</f>
        <v/>
      </c>
      <c r="OQ38" s="82">
        <f>OO38</f>
        <v/>
      </c>
      <c r="OR38" s="82">
        <f>OP38+755000-102000000+3756958</f>
        <v/>
      </c>
      <c r="OS38" s="82">
        <f>OR38</f>
        <v/>
      </c>
      <c r="OT38" s="82">
        <f>OR38+11946*5070+12443*4629</f>
        <v/>
      </c>
      <c r="OU38" s="82">
        <f>OT38</f>
        <v/>
      </c>
      <c r="OV38" s="130" t="n"/>
      <c r="OW38" s="82">
        <f>OU38+181000+4191520</f>
        <v/>
      </c>
      <c r="OX38" s="82">
        <f>OW38</f>
        <v/>
      </c>
      <c r="OY38" s="82">
        <f>OX38-42000000-6000000</f>
        <v/>
      </c>
      <c r="OZ38" s="82">
        <f>OY38+12868*5070</f>
        <v/>
      </c>
      <c r="PA38" s="82">
        <f>OZ38</f>
        <v/>
      </c>
      <c r="PB38" s="82">
        <f>PA38+9000*4629+3668964</f>
        <v/>
      </c>
      <c r="PC38" s="82">
        <f>PB38</f>
        <v/>
      </c>
      <c r="PD38" s="82">
        <f>PC38-40000000</f>
        <v/>
      </c>
      <c r="PE38" s="82">
        <f>PD38-35000000</f>
        <v/>
      </c>
      <c r="PF38" s="82">
        <f>PE38+905000+362000</f>
        <v/>
      </c>
      <c r="PG38" s="82">
        <f>PF38-50000000+6000*5070+3400931+588799</f>
        <v/>
      </c>
      <c r="PH38" s="82">
        <f>PG38-113256760</f>
        <v/>
      </c>
      <c r="PI38" s="82">
        <f>PH38</f>
        <v/>
      </c>
      <c r="PJ38" s="82">
        <f>PI38+11871*5070</f>
        <v/>
      </c>
      <c r="PK38" s="82">
        <f>PJ38-36000000-15000000</f>
        <v/>
      </c>
      <c r="PL38" s="82">
        <f>PK38</f>
        <v/>
      </c>
      <c r="PM38" s="82">
        <f>PL38</f>
        <v/>
      </c>
      <c r="PN38" s="82">
        <f>PM38+8000*4629+655000+2374399</f>
        <v/>
      </c>
      <c r="PO38" s="82">
        <f>PN38</f>
        <v/>
      </c>
      <c r="PP38" s="82">
        <f>PO38</f>
        <v/>
      </c>
      <c r="PQ38" s="82">
        <f>PP38+11864*5070-33000000</f>
        <v/>
      </c>
      <c r="PR38" s="82">
        <f>PQ38</f>
        <v/>
      </c>
      <c r="PS38" s="82">
        <f>PR38-20000000</f>
        <v/>
      </c>
      <c r="PT38" s="82">
        <f>PS38</f>
        <v/>
      </c>
      <c r="PU38" s="82">
        <f>PT38+945000+10000*4629</f>
        <v/>
      </c>
      <c r="PV38" s="82">
        <f>PU38-50000000</f>
        <v/>
      </c>
      <c r="PW38" s="82">
        <f>PV38</f>
        <v/>
      </c>
      <c r="PX38" s="82">
        <f>PW38+9882*5070</f>
        <v/>
      </c>
      <c r="PY38" s="82">
        <f>PX38+2499394+273000</f>
        <v/>
      </c>
      <c r="PZ38" s="82">
        <f>PY38</f>
        <v/>
      </c>
      <c r="QA38" s="130" t="n"/>
      <c r="QB38" s="82">
        <f>PZ38</f>
        <v/>
      </c>
      <c r="QC38" s="82">
        <f>QB38-50000000</f>
        <v/>
      </c>
      <c r="QD38" s="82">
        <f>QC38+1085286+8987*4880-1877580</f>
        <v/>
      </c>
      <c r="QE38" s="82">
        <f>QD38+9977*4629+184000+551999</f>
        <v/>
      </c>
      <c r="QF38" s="82">
        <f>QE38</f>
        <v/>
      </c>
      <c r="QG38" s="82">
        <f>QF38</f>
        <v/>
      </c>
      <c r="QH38" s="82">
        <f>QG38-109062435</f>
        <v/>
      </c>
      <c r="QI38" s="82">
        <f>QH38+1795840-40000000</f>
        <v/>
      </c>
      <c r="QJ38" s="82">
        <f>QI38+9971*4479+2501821</f>
        <v/>
      </c>
      <c r="QK38" s="82">
        <f>QJ38</f>
        <v/>
      </c>
      <c r="QL38" s="82">
        <f>QK38-38000000</f>
        <v/>
      </c>
      <c r="QM38" s="82">
        <f>QL38+3352477+405000+10000*4479</f>
        <v/>
      </c>
      <c r="QN38" s="82">
        <f>QM38</f>
        <v/>
      </c>
      <c r="QO38" s="82">
        <f>QN38+2483687+534000-55000000</f>
        <v/>
      </c>
      <c r="QP38" s="82">
        <f>QO38+494000</f>
        <v/>
      </c>
      <c r="QQ38" s="82">
        <f>QP38+12975*4880</f>
        <v/>
      </c>
      <c r="QR38" s="82">
        <f>QQ38</f>
        <v/>
      </c>
      <c r="QS38" s="82">
        <f>QR38</f>
        <v/>
      </c>
      <c r="QT38" s="82">
        <f>QS38+6973*4479-30000000</f>
        <v/>
      </c>
      <c r="QU38" s="82">
        <f>QT38+681000</f>
        <v/>
      </c>
      <c r="QV38" s="82">
        <f>QU38-52000000</f>
        <v/>
      </c>
      <c r="QW38" s="82">
        <f>QV38</f>
        <v/>
      </c>
      <c r="QX38" s="82">
        <f>QW38</f>
        <v/>
      </c>
      <c r="QY38" s="82">
        <f>QX38+11971*4869-31000000</f>
        <v/>
      </c>
      <c r="QZ38" s="82">
        <f>QY38</f>
        <v/>
      </c>
      <c r="RA38" s="82">
        <f>QZ38+8976*4479</f>
        <v/>
      </c>
      <c r="RB38" s="82">
        <f>RA38</f>
        <v/>
      </c>
      <c r="RC38" s="82">
        <f>RB38+3048640+543000</f>
        <v/>
      </c>
      <c r="RD38" s="82">
        <f>RC38+195000-41000000</f>
        <v/>
      </c>
      <c r="RE38" s="82">
        <f>RD38+12862*4869+451000</f>
        <v/>
      </c>
      <c r="RF38" s="82">
        <f>RE38</f>
        <v/>
      </c>
      <c r="RG38" s="130" t="n"/>
      <c r="RH38" s="82">
        <f>RF38</f>
        <v/>
      </c>
      <c r="RI38" s="82">
        <f>RH38</f>
        <v/>
      </c>
      <c r="RJ38" s="82">
        <f>RI38</f>
        <v/>
      </c>
      <c r="RK38" s="82">
        <f>RJ38</f>
        <v/>
      </c>
      <c r="RL38" s="82">
        <f>RK38+1678080+273000+2067520-85000000</f>
        <v/>
      </c>
      <c r="RM38" s="82">
        <f>RL38+8000*4350</f>
        <v/>
      </c>
      <c r="RN38" s="82">
        <f>RM38+11940*4770</f>
        <v/>
      </c>
      <c r="RO38" s="82">
        <f>RN38</f>
        <v/>
      </c>
      <c r="RP38" s="82">
        <f>RO38</f>
        <v/>
      </c>
      <c r="RQ38" s="82">
        <f>RP38+2847318+1149000</f>
        <v/>
      </c>
      <c r="RR38" s="82">
        <f>RQ38-113865397</f>
        <v/>
      </c>
      <c r="RS38" s="82">
        <f>RR38+9887*4770-40000000-40000000</f>
        <v/>
      </c>
      <c r="RT38" s="82">
        <f>RS38</f>
        <v/>
      </c>
      <c r="RU38" s="82">
        <f>RT38+10000*4350</f>
        <v/>
      </c>
      <c r="RV38" s="82">
        <f>RU38</f>
        <v/>
      </c>
      <c r="RW38" s="82">
        <f>RV38+655000+1302718</f>
        <v/>
      </c>
      <c r="RX38" s="82">
        <f>RW38</f>
        <v/>
      </c>
      <c r="RY38" s="82">
        <f>RX38</f>
        <v/>
      </c>
      <c r="RZ38" s="82">
        <f>RY38</f>
        <v/>
      </c>
      <c r="SA38" s="82">
        <f>RZ38+10864*4770-47000000-30000000</f>
        <v/>
      </c>
      <c r="SB38" s="82">
        <f>SA38</f>
        <v/>
      </c>
      <c r="SC38" s="82">
        <f>SB38+10000*4350</f>
        <v/>
      </c>
      <c r="SD38" s="82">
        <f>SC38</f>
        <v/>
      </c>
      <c r="SE38" s="82">
        <f>SD38+7904*4770+2796800+623000</f>
        <v/>
      </c>
      <c r="SF38" s="82">
        <f>SE38</f>
        <v/>
      </c>
      <c r="SG38" s="82">
        <f>SF38</f>
        <v/>
      </c>
      <c r="SH38" s="82">
        <f>SG38</f>
        <v/>
      </c>
      <c r="SI38" s="82">
        <f>SH38</f>
        <v/>
      </c>
      <c r="SJ38" s="82">
        <f>SI38</f>
        <v/>
      </c>
      <c r="SK38" s="82">
        <f>SJ38-70000000+8000*4350+5705759</f>
        <v/>
      </c>
      <c r="SL38" s="130" t="n"/>
      <c r="SM38" s="82">
        <f>SK38+12863*4770</f>
        <v/>
      </c>
      <c r="SN38" s="82">
        <f>SM38</f>
        <v/>
      </c>
      <c r="SO38" s="82">
        <f>SN38</f>
        <v/>
      </c>
      <c r="SP38" s="82">
        <f>SO38-56000000+1152000</f>
        <v/>
      </c>
      <c r="SQ38" s="82">
        <f>SP38</f>
        <v/>
      </c>
      <c r="SR38" s="82">
        <f>SQ38+8906*4770-101332587</f>
        <v/>
      </c>
      <c r="SS38" s="82">
        <f>SR38+5000*4350</f>
        <v/>
      </c>
      <c r="ST38" s="82">
        <f>SS38+397440</f>
        <v/>
      </c>
      <c r="SU38" s="82">
        <f>ST38</f>
        <v/>
      </c>
      <c r="SV38" s="82">
        <f>SU38-73000000+546000+130000+1600800+16654398</f>
        <v/>
      </c>
      <c r="SW38" s="82">
        <f>SV38+12386*4350</f>
        <v/>
      </c>
      <c r="SX38" s="82">
        <f>SW38+7916*4770</f>
        <v/>
      </c>
      <c r="SY38" s="82">
        <f>SX38</f>
        <v/>
      </c>
      <c r="SZ38" s="82">
        <f>SY38</f>
        <v/>
      </c>
      <c r="TA38" s="82">
        <f>SZ38+1037000</f>
        <v/>
      </c>
      <c r="TB38" s="82">
        <f>TA38</f>
        <v/>
      </c>
      <c r="TC38" s="82">
        <f>TB38-45000000</f>
        <v/>
      </c>
      <c r="TD38" s="82">
        <f>TC38</f>
        <v/>
      </c>
      <c r="TE38" s="82">
        <f>TD38+10882*4770</f>
        <v/>
      </c>
      <c r="TF38" s="82">
        <f>TE38+11886*4350-40000000-25000000</f>
        <v/>
      </c>
      <c r="TG38" s="82">
        <f>TF38</f>
        <v/>
      </c>
      <c r="TH38" s="82">
        <f>TG38</f>
        <v/>
      </c>
      <c r="TI38" s="82">
        <f>TH38</f>
        <v/>
      </c>
      <c r="TJ38" s="82">
        <f>TI38+14802*4770-25000000</f>
        <v/>
      </c>
      <c r="TK38" s="82">
        <f>TJ38</f>
        <v/>
      </c>
      <c r="TL38" s="82">
        <f>TK38</f>
        <v/>
      </c>
      <c r="TM38" s="82">
        <f>TL38</f>
        <v/>
      </c>
      <c r="TN38" s="82">
        <f>TM38+4342398</f>
        <v/>
      </c>
      <c r="TO38" s="82">
        <f>TN38</f>
        <v/>
      </c>
      <c r="TP38" s="82">
        <f>TO38-75000000</f>
        <v/>
      </c>
      <c r="TQ38" s="82">
        <f>TP38+7000*4350</f>
        <v/>
      </c>
      <c r="TR38" s="130" t="n"/>
      <c r="TS38" s="82">
        <f>TQ38+10907*4770</f>
        <v/>
      </c>
      <c r="TT38" s="82">
        <f>TS38</f>
        <v/>
      </c>
      <c r="TU38" s="82">
        <f>TT38+1469996</f>
        <v/>
      </c>
      <c r="TV38" s="82">
        <f>TU38</f>
        <v/>
      </c>
      <c r="TW38" s="82">
        <f>TV38+8871*4770</f>
        <v/>
      </c>
      <c r="TX38" s="82">
        <f>TW38</f>
        <v/>
      </c>
      <c r="TY38" s="82">
        <f>TX38-122814793</f>
        <v/>
      </c>
      <c r="TZ38" s="82">
        <f>TY38+10900*4350</f>
        <v/>
      </c>
      <c r="UA38" s="82">
        <f>TZ38-22000000-30000000</f>
        <v/>
      </c>
      <c r="UB38" s="82">
        <f>UA38+3522000+4536798</f>
        <v/>
      </c>
      <c r="UC38" s="82">
        <f>UB38</f>
        <v/>
      </c>
      <c r="UD38" s="82">
        <f>UC38+8882*4770-21000000</f>
        <v/>
      </c>
      <c r="UE38" s="82">
        <f>UD38</f>
        <v/>
      </c>
      <c r="UF38" s="82">
        <f>UE38</f>
        <v/>
      </c>
      <c r="UG38" s="82">
        <f>UF38</f>
        <v/>
      </c>
      <c r="UH38" s="82">
        <f>UG38</f>
        <v/>
      </c>
      <c r="UI38" s="82">
        <f>UH38-75000000</f>
        <v/>
      </c>
      <c r="UJ38" s="82">
        <f>UI38+9908*4370</f>
        <v/>
      </c>
      <c r="UK38" s="82">
        <f>UJ38</f>
        <v/>
      </c>
      <c r="UL38" s="82">
        <f>UK38+9885*4770</f>
        <v/>
      </c>
      <c r="UM38" s="82">
        <f>UL38</f>
        <v/>
      </c>
      <c r="UN38" s="82">
        <f>UM38+1531000</f>
        <v/>
      </c>
      <c r="UO38" s="82">
        <f>UN38</f>
        <v/>
      </c>
      <c r="UP38" s="82">
        <f>UO38+7913*4770-37000000</f>
        <v/>
      </c>
      <c r="UQ38" s="82">
        <f>UP38</f>
        <v/>
      </c>
      <c r="UR38" s="82">
        <f>UQ38-65000000</f>
        <v/>
      </c>
      <c r="US38" s="82">
        <f>UR38</f>
        <v/>
      </c>
      <c r="UT38" s="82">
        <f>US38+1825000+10906002+3553596</f>
        <v/>
      </c>
      <c r="UU38" s="82">
        <f>UT38+10864*4770</f>
        <v/>
      </c>
      <c r="UV38" s="82">
        <f>UU38+10000*4350</f>
        <v/>
      </c>
      <c r="UW38" s="82">
        <f>UV38</f>
        <v/>
      </c>
      <c r="UX38" s="130" t="n"/>
      <c r="UY38" s="82">
        <f>UW38+3192000+2796800+520000</f>
        <v/>
      </c>
      <c r="UZ38" s="82">
        <f>UY38</f>
        <v/>
      </c>
      <c r="VA38" s="82">
        <f>UZ38</f>
        <v/>
      </c>
      <c r="VB38" s="82">
        <f>VA38+2979*4370+12977*4770</f>
        <v/>
      </c>
      <c r="VC38" s="82">
        <f>VB38</f>
        <v/>
      </c>
      <c r="VD38" s="82">
        <f>VC38-75000000+4964*4370</f>
        <v/>
      </c>
      <c r="VE38" s="82">
        <f>VD38-118494494</f>
        <v/>
      </c>
      <c r="VF38" s="82">
        <f>VE38</f>
        <v/>
      </c>
      <c r="VG38" s="82">
        <f>VF38+4040638+1080000</f>
        <v/>
      </c>
      <c r="VH38" s="82">
        <f>VG38-70000000</f>
        <v/>
      </c>
      <c r="VI38" s="82">
        <f>VH38+12854*4770+4976*4430+2986*4430+411000</f>
        <v/>
      </c>
      <c r="VJ38" s="82">
        <f>VI38</f>
        <v/>
      </c>
      <c r="VK38" s="82">
        <f>VJ38+3838241</f>
        <v/>
      </c>
      <c r="VL38" s="82">
        <f>VK38</f>
        <v/>
      </c>
      <c r="VM38" s="82">
        <f>VL38+7907*4779-35000000</f>
        <v/>
      </c>
      <c r="VN38" s="82">
        <f>VM38</f>
        <v/>
      </c>
      <c r="VO38" s="82">
        <f>VN38</f>
        <v/>
      </c>
      <c r="VP38" s="82">
        <f>VO38</f>
        <v/>
      </c>
      <c r="VQ38" s="82">
        <f>VP38+6926*4765+7944*4430-30000000-25000000</f>
        <v/>
      </c>
      <c r="VR38" s="82">
        <f>VQ38</f>
        <v/>
      </c>
      <c r="VS38" s="82">
        <f>VR38-20000000</f>
        <v/>
      </c>
      <c r="VT38" s="82">
        <f>VS38+6926*4430</f>
        <v/>
      </c>
      <c r="VU38" s="82">
        <f>VT38</f>
        <v/>
      </c>
      <c r="VV38" s="82">
        <f>VU38</f>
        <v/>
      </c>
      <c r="VW38" s="82">
        <f>VV38+4376322+801000+704000</f>
        <v/>
      </c>
      <c r="VX38" s="82">
        <f>VW38</f>
        <v/>
      </c>
      <c r="VY38" s="82">
        <f>VX38+11856*4765</f>
        <v/>
      </c>
      <c r="VZ38" s="82">
        <f>VY38</f>
        <v/>
      </c>
      <c r="WA38" s="133" t="n"/>
      <c r="WB38" s="82">
        <f>VZ38+365000-50000000</f>
        <v/>
      </c>
      <c r="WC38" s="82">
        <f>WB38</f>
        <v/>
      </c>
      <c r="WD38" s="82">
        <f>WC38+2796800-30000000</f>
        <v/>
      </c>
      <c r="WE38" s="82">
        <f>WD38</f>
        <v/>
      </c>
      <c r="WF38" s="82">
        <f>WE38</f>
        <v/>
      </c>
      <c r="WG38" s="82">
        <f>WF38</f>
        <v/>
      </c>
      <c r="WH38" s="82">
        <f>WG38+3970*4430+3971*4430+15787*4765-65000000</f>
        <v/>
      </c>
      <c r="WI38" s="82">
        <f>WH38</f>
        <v/>
      </c>
      <c r="WJ38" s="82">
        <f>WI38+2093917-108340718</f>
        <v/>
      </c>
      <c r="WK38" s="82">
        <f>WJ38</f>
        <v/>
      </c>
      <c r="WL38" s="82">
        <f>WK38+7947*4430+1514000+1236479-23000000</f>
        <v/>
      </c>
      <c r="WM38" s="82">
        <f>WL38</f>
        <v/>
      </c>
      <c r="WN38" s="82">
        <f>WM38</f>
        <v/>
      </c>
      <c r="WO38" s="82">
        <f>WN38+503000+1103998</f>
        <v/>
      </c>
      <c r="WP38" s="82">
        <f>WO38</f>
        <v/>
      </c>
      <c r="WQ38" s="82">
        <f>WP38+14838*4765</f>
        <v/>
      </c>
      <c r="WR38" s="82">
        <f>WQ38-63000000</f>
        <v/>
      </c>
      <c r="WS38" s="82">
        <f>WR38</f>
        <v/>
      </c>
      <c r="WT38" s="82">
        <f>WS38</f>
        <v/>
      </c>
      <c r="WU38" s="82">
        <f>WT38+6643198</f>
        <v/>
      </c>
      <c r="WV38" s="82">
        <f>WU38+8000*4430</f>
        <v/>
      </c>
      <c r="WW38" s="82">
        <f>WV38</f>
        <v/>
      </c>
      <c r="WX38" s="82">
        <f>WW38</f>
        <v/>
      </c>
      <c r="WY38" s="82">
        <f>WX38</f>
        <v/>
      </c>
      <c r="WZ38" s="82">
        <f>WY38+8000*4430</f>
        <v/>
      </c>
      <c r="XA38" s="82">
        <f>WZ38+11873*4765+454000</f>
        <v/>
      </c>
      <c r="XB38" s="82">
        <f>XA38</f>
        <v/>
      </c>
      <c r="XC38" s="82">
        <f>XB38-55000000-66000000</f>
        <v/>
      </c>
      <c r="XD38" s="82">
        <f>XC38+4656160+2207997</f>
        <v/>
      </c>
      <c r="XE38" s="82">
        <f>XD38-37000000</f>
        <v/>
      </c>
      <c r="XF38" s="82">
        <f>XE38+13867*4765</f>
        <v/>
      </c>
      <c r="XG38" s="133" t="n"/>
      <c r="XH38" s="82">
        <f>XF38+7998*4470</f>
        <v/>
      </c>
      <c r="XI38" s="82">
        <f>XH38</f>
        <v/>
      </c>
      <c r="XJ38" s="82">
        <f>XI38+741000</f>
        <v/>
      </c>
      <c r="XK38" s="82">
        <f>XJ38+2796800</f>
        <v/>
      </c>
      <c r="XL38" s="82">
        <f>XK38</f>
        <v/>
      </c>
      <c r="XM38" s="82">
        <f>XL38+906500</f>
        <v/>
      </c>
      <c r="XN38" s="82">
        <f>XM38</f>
        <v/>
      </c>
      <c r="XO38" s="82">
        <f>XN38</f>
        <v/>
      </c>
      <c r="XP38" s="82">
        <f>XO38+14000*4765-47000000-21000000-111698876</f>
        <v/>
      </c>
      <c r="XQ38" s="82">
        <f>XP38</f>
        <v/>
      </c>
      <c r="XR38" s="82">
        <f>XQ38+7000*4470</f>
        <v/>
      </c>
      <c r="XS38" s="82">
        <f>XR38+1087500</f>
        <v/>
      </c>
      <c r="XT38" s="82">
        <f>XS38</f>
        <v/>
      </c>
      <c r="XU38" s="82">
        <f>XT38</f>
        <v/>
      </c>
      <c r="XV38" s="82">
        <f>XU38+7904*4765</f>
        <v/>
      </c>
      <c r="XW38" s="82">
        <f>XV38-70000000</f>
        <v/>
      </c>
      <c r="XX38" s="82">
        <f>XW38-35000000</f>
        <v/>
      </c>
      <c r="XY38" s="82">
        <f>XX38+7899*4830</f>
        <v/>
      </c>
      <c r="XZ38" s="82">
        <f>XY38+7000*4530</f>
        <v/>
      </c>
      <c r="YA38" s="82">
        <f>XZ38</f>
        <v/>
      </c>
      <c r="YB38" s="82">
        <f>YA38</f>
        <v/>
      </c>
      <c r="YC38" s="82">
        <f>YB38+6478436</f>
        <v/>
      </c>
      <c r="YD38" s="82">
        <f>YC38+7910*4830-30000000-23000000</f>
        <v/>
      </c>
      <c r="YE38" s="82">
        <f>YD38+593500</f>
        <v/>
      </c>
      <c r="YF38" s="82">
        <f>YE38+9942*4530</f>
        <v/>
      </c>
      <c r="YG38" s="82">
        <f>YF38+5365397+405000</f>
        <v/>
      </c>
      <c r="YH38" s="82">
        <f>YG38</f>
        <v/>
      </c>
      <c r="YI38" s="82">
        <f>YH38</f>
        <v/>
      </c>
      <c r="YJ38" s="82">
        <f>YI38+8957*4830</f>
        <v/>
      </c>
      <c r="YK38" s="82">
        <f>YJ38-38000000-40000000</f>
        <v/>
      </c>
      <c r="YL38" s="130" t="n"/>
      <c r="YM38" s="82">
        <f>YK38</f>
        <v/>
      </c>
      <c r="YN38" s="82">
        <f>YM38</f>
        <v/>
      </c>
      <c r="YO38" s="82">
        <f>YN38</f>
        <v/>
      </c>
      <c r="YP38" s="82">
        <f>YO38</f>
        <v/>
      </c>
      <c r="YQ38" s="82">
        <f>YP38+765000</f>
        <v/>
      </c>
      <c r="YR38" s="82">
        <f>YQ38</f>
        <v/>
      </c>
      <c r="YS38" s="82">
        <f>YR38</f>
        <v/>
      </c>
      <c r="YT38" s="82">
        <f>YS38</f>
        <v/>
      </c>
      <c r="YU38" s="82">
        <f>YT38+7000*4530+8000*4830</f>
        <v/>
      </c>
      <c r="YV38" s="82">
        <f>YU38</f>
        <v/>
      </c>
      <c r="YW38" s="82">
        <f>YV38+7000*4830+2649595+2024000+369500-92490307</f>
        <v/>
      </c>
      <c r="YX38" s="82">
        <f>YW38+9914*4530</f>
        <v/>
      </c>
      <c r="YY38" s="82">
        <f>YX38</f>
        <v/>
      </c>
      <c r="YZ38" s="82">
        <f>YY38</f>
        <v/>
      </c>
      <c r="ZA38" s="82">
        <f>YZ38</f>
        <v/>
      </c>
      <c r="ZB38" s="82">
        <f>ZA38+12881*4830-85000000-45000000+2097603</f>
        <v/>
      </c>
      <c r="ZC38" s="82">
        <f>ZB38+184000+496800</f>
        <v/>
      </c>
      <c r="ZD38" s="82">
        <f>ZC38</f>
        <v/>
      </c>
      <c r="ZE38" s="82">
        <f>ZD38</f>
        <v/>
      </c>
      <c r="ZF38" s="82">
        <f>ZE38-30000000</f>
        <v/>
      </c>
      <c r="ZG38" s="82">
        <f>ZF38</f>
        <v/>
      </c>
      <c r="ZH38" s="82">
        <f>ZG38+6938*4830+4229400</f>
        <v/>
      </c>
      <c r="ZI38" s="82">
        <f>ZH38+6000*4530</f>
        <v/>
      </c>
      <c r="ZJ38" s="82">
        <f>ZI38+2649595</f>
        <v/>
      </c>
      <c r="ZK38" s="82">
        <f>ZJ38</f>
        <v/>
      </c>
      <c r="ZL38" s="82">
        <f>ZK38+1269596+920001+411000</f>
        <v/>
      </c>
      <c r="ZM38" s="82">
        <f>ZL38+12894*4870-30000000-90000000</f>
        <v/>
      </c>
      <c r="ZN38" s="82">
        <f>ZM38+9500*4530</f>
        <v/>
      </c>
      <c r="ZO38" s="82">
        <f>ZN38+7921*4870</f>
        <v/>
      </c>
      <c r="ZP38" s="82">
        <f>ZO38</f>
        <v/>
      </c>
      <c r="ZQ38" s="82">
        <f>ZP38</f>
        <v/>
      </c>
      <c r="ZR38" s="130" t="n"/>
      <c r="ZS38" s="82">
        <f>ZQ38</f>
        <v/>
      </c>
      <c r="ZT38" s="82">
        <f>ZS38</f>
        <v/>
      </c>
      <c r="ZU38" s="82">
        <f>ZT38+1368000+5299197-107276290</f>
        <v/>
      </c>
      <c r="ZV38" s="82">
        <f>ZU38</f>
        <v/>
      </c>
      <c r="ZW38" s="82">
        <f>ZV38+10000*4530</f>
        <v/>
      </c>
      <c r="ZX38" s="82">
        <f>ZW38+12855*4870</f>
        <v/>
      </c>
      <c r="ZY38" s="82">
        <f>ZX38</f>
        <v/>
      </c>
      <c r="ZZ38" s="82">
        <f>ZY38+853000-92000000-55000000</f>
        <v/>
      </c>
      <c r="AAA38" s="82">
        <f>ZZ38</f>
        <v/>
      </c>
      <c r="AAB38" s="82">
        <f>AAA38</f>
        <v/>
      </c>
      <c r="AAC38" s="82">
        <f>AAB38+11730099</f>
        <v/>
      </c>
      <c r="AAD38" s="82">
        <f>AAC38+12877*4870-30000000</f>
        <v/>
      </c>
      <c r="AAE38" s="82">
        <f>AAD38</f>
        <v/>
      </c>
      <c r="AAF38" s="82">
        <f>AAE38</f>
        <v/>
      </c>
      <c r="AAG38" s="82">
        <f>AAF38</f>
        <v/>
      </c>
      <c r="AAH38" s="82">
        <f>AAG38+1341494</f>
        <v/>
      </c>
      <c r="AAI38" s="82">
        <f>AAH38+9941*4530-60000000</f>
        <v/>
      </c>
      <c r="AAJ38" s="82">
        <f>AAI38+11933*4870</f>
        <v/>
      </c>
      <c r="AAK38" s="82">
        <f>AAJ38</f>
        <v/>
      </c>
      <c r="AAL38" s="82">
        <f>AAK38</f>
        <v/>
      </c>
      <c r="AAM38" s="82">
        <f>AAL38</f>
        <v/>
      </c>
      <c r="AAN38" s="82">
        <f>AAM38</f>
        <v/>
      </c>
      <c r="AAO38" s="82">
        <f>AAN38+543000</f>
        <v/>
      </c>
      <c r="AAP38" s="82">
        <f>AAO38+12882*4870-55000000-25000000</f>
        <v/>
      </c>
      <c r="AAQ38" s="82">
        <f>AAP38</f>
        <v/>
      </c>
      <c r="AAR38" s="82">
        <f>AAQ38+9932*4530</f>
        <v/>
      </c>
      <c r="AAS38" s="82">
        <f>AAR38</f>
        <v/>
      </c>
      <c r="AAT38" s="82">
        <f>AAS38</f>
        <v/>
      </c>
      <c r="AAU38" s="82">
        <f>AAT38-48000000+12143999</f>
        <v/>
      </c>
      <c r="AAV38" s="82">
        <f>AAU38</f>
        <v/>
      </c>
      <c r="AAW38" s="130" t="n"/>
      <c r="AAX38" s="82">
        <f>AAV38+12408*4870</f>
        <v/>
      </c>
      <c r="AAY38" s="82">
        <f>AAX38</f>
        <v/>
      </c>
      <c r="AAZ38" s="82">
        <f>AAY38</f>
        <v/>
      </c>
      <c r="ABA38" s="82">
        <f>AAZ38-30000000</f>
        <v/>
      </c>
      <c r="ABB38" s="82">
        <f>ABA38+8000*4530+860500</f>
        <v/>
      </c>
      <c r="ABC38" s="82">
        <f>ABB38</f>
        <v/>
      </c>
      <c r="ABD38" s="82">
        <f>ABC38</f>
        <v/>
      </c>
      <c r="ABE38" s="82">
        <f>ABD38+11887*4870-53000000-28000000</f>
        <v/>
      </c>
      <c r="ABF38" s="82">
        <f>ABE38</f>
        <v/>
      </c>
      <c r="ABG38" s="82">
        <f>ABF38+6000*4530</f>
        <v/>
      </c>
      <c r="ABH38" s="82">
        <f>ABG38</f>
        <v/>
      </c>
      <c r="ABI38" s="82">
        <f>ABH38</f>
        <v/>
      </c>
      <c r="ABJ38" s="82">
        <f>ABI38+774900+2696502</f>
        <v/>
      </c>
      <c r="ABK38" s="82">
        <f>ABJ38-50000000</f>
        <v/>
      </c>
      <c r="ABL38" s="82">
        <f>ABK38</f>
        <v/>
      </c>
      <c r="ABM38" s="82">
        <f>ABL38+14901*4870</f>
        <v/>
      </c>
      <c r="ABN38" s="82">
        <f>ABM38+3974393-114950595</f>
        <v/>
      </c>
      <c r="ABO38" s="82">
        <f>ABN38+589000</f>
        <v/>
      </c>
      <c r="ABP38" s="82">
        <f>ABO38+8000*4870</f>
        <v/>
      </c>
      <c r="ABQ38" s="82">
        <f>ABP38+8000*4530+1963*4530</f>
        <v/>
      </c>
      <c r="ABR38" s="82">
        <f>ABQ38-58000000-45000000</f>
        <v/>
      </c>
      <c r="ABS38" s="82">
        <f>ABR38</f>
        <v/>
      </c>
      <c r="ABT38" s="82">
        <f>ABS38</f>
        <v/>
      </c>
      <c r="ABU38" s="82">
        <f>ABT38</f>
        <v/>
      </c>
      <c r="ABV38" s="82">
        <f>ABU38+12350*4870</f>
        <v/>
      </c>
      <c r="ABW38" s="82">
        <f>ABV38</f>
        <v/>
      </c>
      <c r="ABX38" s="82">
        <f>ABW38</f>
        <v/>
      </c>
      <c r="ABY38" s="82">
        <f>ABX38+856000</f>
        <v/>
      </c>
      <c r="ABZ38" s="82">
        <f>ABY38+7933*4870</f>
        <v/>
      </c>
      <c r="ACA38" s="82">
        <f>ABZ38+11904*4530</f>
        <v/>
      </c>
      <c r="ACB38" s="82">
        <f>ACA38</f>
        <v/>
      </c>
      <c r="ACC38" s="130" t="n"/>
      <c r="ACD38" s="82">
        <f>ACB38+11564895+732500</f>
        <v/>
      </c>
      <c r="ACE38" s="82">
        <f>ACD38</f>
        <v/>
      </c>
      <c r="ACF38" s="82">
        <f>ACE38</f>
        <v/>
      </c>
      <c r="ACG38" s="82">
        <f>ACF38-69000000-57000000</f>
        <v/>
      </c>
      <c r="ACH38" s="82">
        <f>ACG38</f>
        <v/>
      </c>
      <c r="ACI38" s="82">
        <f>ACH38+12983*4870-112322813</f>
        <v/>
      </c>
      <c r="ACJ38" s="82">
        <f>ACI38-30000000</f>
        <v/>
      </c>
      <c r="ACK38" s="82">
        <f>ACJ38+497000</f>
        <v/>
      </c>
      <c r="ACL38" s="82">
        <f>ACK38+7943*4530</f>
        <v/>
      </c>
      <c r="ACM38" s="82">
        <f>ACL38</f>
        <v/>
      </c>
      <c r="ACN38" s="82">
        <f>ACM38</f>
        <v/>
      </c>
      <c r="ACO38" s="82">
        <f>ACN38</f>
        <v/>
      </c>
      <c r="ACP38" s="82">
        <f>ACO38+16978*4899+8508157</f>
        <v/>
      </c>
      <c r="ACQ38" s="82">
        <f>ACP38-66000000</f>
        <v/>
      </c>
      <c r="ACR38" s="82">
        <f>ACQ38</f>
        <v/>
      </c>
      <c r="ACS38" s="82">
        <f>ACR38</f>
        <v/>
      </c>
      <c r="ACT38" s="82">
        <f>ACS38-67000000</f>
        <v/>
      </c>
      <c r="ACU38" s="82">
        <f>ACT38+1682992</f>
        <v/>
      </c>
      <c r="ACV38" s="82">
        <f>ACU38+10380*4899</f>
        <v/>
      </c>
      <c r="ACW38" s="82">
        <f>ACV38</f>
        <v/>
      </c>
      <c r="ACX38" s="82">
        <f>ACW38+593500</f>
        <v/>
      </c>
      <c r="ACY38" s="82">
        <f>ACX38+9927*4530</f>
        <v/>
      </c>
      <c r="ACZ38" s="82">
        <f>ACY38-75000000</f>
        <v/>
      </c>
      <c r="ADA38" s="82">
        <f>ACZ38</f>
        <v/>
      </c>
      <c r="ADB38" s="82">
        <f>ADA38+8946*4899</f>
        <v/>
      </c>
      <c r="ADC38" s="82">
        <f>ADB38+9931*4530+6881597</f>
        <v/>
      </c>
      <c r="ADD38" s="82">
        <f>ADC38</f>
        <v/>
      </c>
      <c r="ADE38" s="82">
        <f>ADD38</f>
        <v/>
      </c>
      <c r="ADF38" s="82">
        <f>ADE38-35000000</f>
        <v/>
      </c>
      <c r="ADG38" s="82">
        <f>ADF38+7910*4899</f>
        <v/>
      </c>
      <c r="ADH38" s="82">
        <f>ADG38</f>
        <v/>
      </c>
      <c r="ADI38" s="130" t="n"/>
      <c r="ADJ38" s="82">
        <f>ADH38+1666994</f>
        <v/>
      </c>
      <c r="ADK38" s="82">
        <f>ADJ38-50000000</f>
        <v/>
      </c>
      <c r="ADL38" s="82">
        <f>ADK38-50000000</f>
        <v/>
      </c>
      <c r="ADM38" s="82">
        <f>ADL38-50000000</f>
        <v/>
      </c>
      <c r="ADN38" s="82">
        <f>ADM38-50000000+11865*4899</f>
        <v/>
      </c>
      <c r="ADO38" s="82">
        <f>ADN38-50000000+8000*4530</f>
        <v/>
      </c>
      <c r="ADP38" s="82">
        <f>ADO38-50000000-32000000-40000000+722497+9032853</f>
        <v/>
      </c>
      <c r="ADQ38" s="82">
        <f>ADP38</f>
        <v/>
      </c>
      <c r="ADR38" s="82">
        <f>ADQ38</f>
        <v/>
      </c>
      <c r="ADS38" s="82">
        <f>ADR38</f>
        <v/>
      </c>
      <c r="ADT38" s="82">
        <f>ADS38</f>
        <v/>
      </c>
      <c r="ADU38" s="82">
        <f>ADT38+12870*4899</f>
        <v/>
      </c>
      <c r="ADV38" s="82">
        <f>ADU38</f>
        <v/>
      </c>
      <c r="ADW38" s="82">
        <f>ADV38-50000000+269000006-107313378</f>
        <v/>
      </c>
      <c r="ADX38" s="82">
        <f>ADW38+408000</f>
        <v/>
      </c>
      <c r="ADY38" s="82">
        <f>ADX38+7968*4530+5453753</f>
        <v/>
      </c>
      <c r="ADZ38" s="82">
        <f>ADY38</f>
        <v/>
      </c>
      <c r="AEA38" s="82">
        <f>ADZ38</f>
        <v/>
      </c>
      <c r="AEB38" s="82">
        <f>AEA38-50000000</f>
        <v/>
      </c>
      <c r="AEC38" s="82">
        <f>AEB38+10908*4899+6542401+783500</f>
        <v/>
      </c>
      <c r="AED38" s="82">
        <f>AEC38</f>
        <v/>
      </c>
      <c r="AEE38" s="82">
        <f>AED38</f>
        <v/>
      </c>
      <c r="AEF38" s="82">
        <f>AEE38</f>
        <v/>
      </c>
      <c r="AEG38" s="82">
        <f>AEF38</f>
        <v/>
      </c>
      <c r="AEH38" s="82">
        <f>AEG38-70000000</f>
        <v/>
      </c>
      <c r="AEI38" s="82">
        <f>AEH38+8000*4530</f>
        <v/>
      </c>
      <c r="AEJ38" s="82">
        <f>AEI38+7973*4879</f>
        <v/>
      </c>
      <c r="AEK38" s="82">
        <f>AEJ38</f>
        <v/>
      </c>
      <c r="AEL38" s="82">
        <f>AEK38</f>
        <v/>
      </c>
      <c r="AEM38" s="82">
        <f>AEL38+8914*4879</f>
        <v/>
      </c>
      <c r="AEN38" s="130" t="n"/>
      <c r="AEO38" s="82">
        <f>AEM38-40000000</f>
        <v/>
      </c>
      <c r="AEP38" s="82">
        <f>AEO38</f>
        <v/>
      </c>
      <c r="AEQ38" s="82">
        <f>AEP38+316000+4973*4530</f>
        <v/>
      </c>
      <c r="AER38" s="82">
        <f>AEQ38+12278573</f>
        <v/>
      </c>
      <c r="AES38" s="82">
        <f>AER38-25000000-32000000</f>
        <v/>
      </c>
      <c r="AET38" s="82">
        <f>AES38</f>
        <v/>
      </c>
      <c r="AEU38" s="82">
        <f>AET38-32000000-99857032+19199</f>
        <v/>
      </c>
      <c r="AEV38" s="82">
        <f>AEU38+7896*4879</f>
        <v/>
      </c>
      <c r="AEW38" s="82">
        <f>AEV38</f>
        <v/>
      </c>
      <c r="AEX38" s="82">
        <f>AEW38</f>
        <v/>
      </c>
      <c r="AEY38" s="82">
        <f>AEX38+7950*4530</f>
        <v/>
      </c>
      <c r="AEZ38" s="82">
        <f>AEY38</f>
        <v/>
      </c>
      <c r="AFA38" s="82">
        <f>AEZ38+857000</f>
        <v/>
      </c>
      <c r="AFB38" s="82">
        <f>AFA38+12891*4879-47000000</f>
        <v/>
      </c>
      <c r="AFC38" s="82">
        <f>AFB38</f>
        <v/>
      </c>
      <c r="AFD38" s="82">
        <f>AFC38</f>
        <v/>
      </c>
      <c r="AFE38" s="82">
        <f>AFD38+7954*4530</f>
        <v/>
      </c>
      <c r="AFF38" s="82">
        <f>AFE38+7914*4879</f>
        <v/>
      </c>
      <c r="AFG38" s="82">
        <f>AFF38+4640482+685500-44000000</f>
        <v/>
      </c>
      <c r="AFH38" s="82">
        <f>AFG38</f>
        <v/>
      </c>
      <c r="AFI38" s="82">
        <f>AFH38</f>
        <v/>
      </c>
      <c r="AFJ38" s="82">
        <f>AFI38</f>
        <v/>
      </c>
      <c r="AFK38" s="82">
        <f>AFJ38</f>
        <v/>
      </c>
      <c r="AFL38" s="82">
        <f>AFK38+8000*4879-34000000</f>
        <v/>
      </c>
      <c r="AFM38" s="82">
        <f>AFL38</f>
        <v/>
      </c>
      <c r="AFN38" s="82">
        <f>AFM38</f>
        <v/>
      </c>
      <c r="AFO38" s="82">
        <f>AFN38</f>
        <v/>
      </c>
      <c r="AFP38" s="82">
        <f>AFO38</f>
        <v/>
      </c>
      <c r="AFQ38" s="82">
        <f>AFP38-75000000-15000000+319000</f>
        <v/>
      </c>
      <c r="AFR38" s="82">
        <f>AFQ38+8419394</f>
        <v/>
      </c>
      <c r="AFS38" s="82">
        <f>AFR38</f>
        <v/>
      </c>
      <c r="AFT38" s="130" t="n"/>
      <c r="AFU38" s="82">
        <f>AFS38+11846*4829+12932*4530+988000</f>
        <v/>
      </c>
      <c r="AFV38" s="82">
        <f>AFU38</f>
        <v/>
      </c>
      <c r="AFW38" s="82">
        <f>AFV38</f>
        <v/>
      </c>
      <c r="AFX38" s="82">
        <f>AFW38</f>
        <v/>
      </c>
      <c r="AFY38" s="82">
        <f>AFX38</f>
        <v/>
      </c>
      <c r="AFZ38" s="82">
        <f>AFY38+9915*4829</f>
        <v/>
      </c>
      <c r="AGA38" s="82">
        <f>AFZ38+5041597+457000-55000000</f>
        <v/>
      </c>
      <c r="AGB38" s="82">
        <f>AGA38</f>
        <v/>
      </c>
      <c r="AGC38" s="82">
        <f>AGB38</f>
        <v/>
      </c>
      <c r="AGD38" s="82">
        <f>AGC38-98253100</f>
        <v/>
      </c>
      <c r="AGE38" s="82">
        <f>AGD38</f>
        <v/>
      </c>
      <c r="AGF38" s="82">
        <f>AGE38+12839*4829-52000000-25000000</f>
        <v/>
      </c>
      <c r="AGG38" s="82">
        <f>AGF38</f>
        <v/>
      </c>
      <c r="AGH38" s="82">
        <f>AGG38+7943*4429</f>
        <v/>
      </c>
      <c r="AGI38" s="82">
        <f>AGH38</f>
        <v/>
      </c>
      <c r="AGJ38" s="82">
        <f>AGI38</f>
        <v/>
      </c>
      <c r="AGK38" s="82">
        <f>AGJ38+497000</f>
        <v/>
      </c>
      <c r="AGL38" s="82">
        <f>AGK38</f>
        <v/>
      </c>
      <c r="AGM38" s="82">
        <f>AGL38</f>
        <v/>
      </c>
      <c r="AGN38" s="82">
        <f>AGM38+6372817-61000000</f>
        <v/>
      </c>
      <c r="AGO38" s="82">
        <f>AGN38+12802*4829</f>
        <v/>
      </c>
      <c r="AGP38" s="82">
        <f>AGO38</f>
        <v/>
      </c>
      <c r="AGQ38" s="82">
        <f>AGP38+4966*4429</f>
        <v/>
      </c>
      <c r="AGR38" s="82">
        <f>AGQ38-42000000-20000000+5457436</f>
        <v/>
      </c>
      <c r="AGS38" s="82">
        <f>AGR38</f>
        <v/>
      </c>
      <c r="AGT38" s="82">
        <f>AGS38+8852*4829</f>
        <v/>
      </c>
      <c r="AGU38" s="82">
        <f>AGT38</f>
        <v/>
      </c>
      <c r="AGV38" s="82">
        <f>AGU38</f>
        <v/>
      </c>
      <c r="AGW38" s="82">
        <f>AGV38+6952*4429-24000000</f>
        <v/>
      </c>
      <c r="AGX38" s="82">
        <f>AGW38+632000-60000000</f>
        <v/>
      </c>
      <c r="AGY38" s="133" t="n"/>
      <c r="AGZ38" s="82">
        <f>AGX38+3613761</f>
        <v/>
      </c>
      <c r="AHA38" s="82">
        <f>AGZ38</f>
        <v/>
      </c>
      <c r="AHB38" s="82">
        <f>AHA38+12798*4829</f>
        <v/>
      </c>
      <c r="AHC38" s="82">
        <f>AHB38</f>
        <v/>
      </c>
      <c r="AHD38" s="82">
        <f>AHC38-31000000</f>
        <v/>
      </c>
      <c r="AHE38" s="82">
        <f>AHD38+7941*4469+1482000</f>
        <v/>
      </c>
      <c r="AHF38" s="82">
        <f>AHE38</f>
        <v/>
      </c>
      <c r="AHG38" s="82">
        <f>AHF38</f>
        <v/>
      </c>
      <c r="AHH38" s="82">
        <f>AHG38+6516637</f>
        <v/>
      </c>
      <c r="AHI38" s="82">
        <f>AHH38</f>
        <v/>
      </c>
      <c r="AHJ38" s="82">
        <f>AHI38+12802*4829+8000*4469</f>
        <v/>
      </c>
      <c r="AHK38" s="82">
        <f>AHJ38-126174221</f>
        <v/>
      </c>
      <c r="AHL38" s="82">
        <f>AHK38</f>
        <v/>
      </c>
      <c r="AHM38" s="82">
        <f>AHL38</f>
        <v/>
      </c>
      <c r="AHN38" s="82">
        <f>AHM38-62000000</f>
        <v/>
      </c>
      <c r="AHO38" s="82">
        <f>AHN38</f>
        <v/>
      </c>
      <c r="AHP38" s="82">
        <f>AHO38+13926*4829+405000</f>
        <v/>
      </c>
      <c r="AHQ38" s="82">
        <f>AHP38</f>
        <v/>
      </c>
      <c r="AHR38" s="82">
        <f>AHQ38</f>
        <v/>
      </c>
      <c r="AHS38" s="82">
        <f>AHR38-550000</f>
        <v/>
      </c>
      <c r="AHT38" s="82">
        <f>AHS38</f>
        <v/>
      </c>
      <c r="AHU38" s="82">
        <f>AHT38+10644832+1324797</f>
        <v/>
      </c>
      <c r="AHV38" s="82">
        <f>AHU38</f>
        <v/>
      </c>
      <c r="AHW38" s="82">
        <f>AHV38+7951*4469+13843*4829+2393239-95000000-2400000</f>
        <v/>
      </c>
      <c r="AHX38" s="82">
        <f>AHW38</f>
        <v/>
      </c>
      <c r="AHY38" s="82">
        <f>AHX38</f>
        <v/>
      </c>
      <c r="AHZ38" s="82">
        <f>AHY38</f>
        <v/>
      </c>
      <c r="AIA38" s="82">
        <f>AHZ38</f>
        <v/>
      </c>
      <c r="AIB38" s="82">
        <f>AIA38</f>
        <v/>
      </c>
      <c r="AIC38" s="82">
        <f>AIB38</f>
        <v/>
      </c>
      <c r="AID38" s="82">
        <f>AIC38+2988*4469+4973*4829+4984*4829</f>
        <v/>
      </c>
      <c r="AIE38" s="130" t="n"/>
      <c r="AIF38" s="82">
        <f>AID38-75000000</f>
        <v/>
      </c>
      <c r="AIG38" s="82">
        <f>AIF38</f>
        <v/>
      </c>
      <c r="AIH38" s="82">
        <f>AIG38</f>
        <v/>
      </c>
      <c r="AII38" s="82">
        <f>AIH38+2982*4469</f>
        <v/>
      </c>
      <c r="AIJ38" s="82">
        <f>AII38+1455410+10183120+1378500-45000000</f>
        <v/>
      </c>
      <c r="AIK38" s="82">
        <f>AIJ38+9927*4829-41000000</f>
        <v/>
      </c>
      <c r="AIL38" s="82">
        <f>AIK38</f>
        <v/>
      </c>
      <c r="AIM38" s="82">
        <f>AIL38</f>
        <v/>
      </c>
      <c r="AIN38" s="82">
        <f>AIM38+8420*4829</f>
        <v/>
      </c>
      <c r="AIO38" s="82">
        <f>AIN38</f>
        <v/>
      </c>
      <c r="AIP38" s="82">
        <f>AIO38</f>
        <v/>
      </c>
      <c r="AIQ38" s="82">
        <f>AIP38</f>
        <v/>
      </c>
      <c r="AIR38" s="82">
        <f>AIQ38+4969*4469+823500-43000000</f>
        <v/>
      </c>
      <c r="AIS38" s="82">
        <f>AIR38</f>
        <v/>
      </c>
      <c r="AIT38" s="82">
        <f>AIS38</f>
        <v/>
      </c>
      <c r="AIU38" s="82">
        <f>AIT38</f>
        <v/>
      </c>
      <c r="AIV38" s="82">
        <f>AIU38</f>
        <v/>
      </c>
      <c r="AIW38" s="82">
        <f>AIV38</f>
        <v/>
      </c>
      <c r="AIX38" s="82">
        <f>AIW38+4942*4879-51000000-18909176</f>
        <v/>
      </c>
      <c r="AIY38" s="82">
        <f>AIX38+1272500</f>
        <v/>
      </c>
      <c r="AIZ38" s="82">
        <f>AIY38</f>
        <v/>
      </c>
      <c r="AJA38" s="82">
        <f>AIZ38+10864*4879</f>
        <v/>
      </c>
      <c r="AJB38" s="82">
        <f>AJA38+9927*4479</f>
        <v/>
      </c>
      <c r="AJC38" s="82">
        <f>AJB38+7834916</f>
        <v/>
      </c>
      <c r="AJD38" s="82">
        <f>AJC38+5000*4879</f>
        <v/>
      </c>
      <c r="AJE38" s="82">
        <f>AJD38</f>
        <v/>
      </c>
      <c r="AJF38" s="82">
        <f>AJE38</f>
        <v/>
      </c>
      <c r="AJG38" s="82">
        <f>AJF38</f>
        <v/>
      </c>
      <c r="AJH38" s="82">
        <f>AJG38</f>
        <v/>
      </c>
      <c r="AJI38" s="82">
        <f>AJH38+6933*4479+9395*4929-42000000-30000000-22000000</f>
        <v/>
      </c>
      <c r="AJJ38" s="82">
        <f>AJI38</f>
        <v/>
      </c>
      <c r="AJK38" s="145" t="n"/>
      <c r="AJL38" s="82">
        <f>AJJ38-42000000-15500000</f>
        <v/>
      </c>
      <c r="AJM38" s="82">
        <f>AJL38+720500+3853318</f>
        <v/>
      </c>
      <c r="AJN38" s="82">
        <f>AJM38</f>
        <v/>
      </c>
      <c r="AJO38" s="82">
        <f>AJN38+546000</f>
        <v/>
      </c>
      <c r="AJP38" s="82">
        <f>AJO38</f>
        <v/>
      </c>
      <c r="AJQ38" s="82">
        <f>AJP38+8913*4929+142500</f>
        <v/>
      </c>
      <c r="AJR38" s="82">
        <f>AJQ38+7969*4929</f>
        <v/>
      </c>
      <c r="AJS38" s="82">
        <f>AJR38</f>
        <v/>
      </c>
      <c r="AJT38" s="82">
        <f>AJS38</f>
        <v/>
      </c>
      <c r="AJU38" s="82">
        <f>AJT38</f>
        <v/>
      </c>
      <c r="AJV38" s="82">
        <f>AJU38</f>
        <v/>
      </c>
      <c r="AJW38" s="82">
        <f>AJV38+4974*4479</f>
        <v/>
      </c>
      <c r="AJX38" s="82">
        <f>AJW38</f>
        <v/>
      </c>
      <c r="AJY38" s="82">
        <f>AJX38+11924*4929+10452823</f>
        <v/>
      </c>
      <c r="AJZ38" s="82">
        <f>AJY38</f>
        <v/>
      </c>
      <c r="AKA38" s="82">
        <f>AJZ38+8558099+500000</f>
        <v/>
      </c>
      <c r="AKB38" s="82">
        <f>AKA38</f>
        <v/>
      </c>
      <c r="AKC38" s="82">
        <f>AKB38</f>
        <v/>
      </c>
      <c r="AKD38" s="82">
        <f>AKC38+7907*4929+7459*4479</f>
        <v/>
      </c>
      <c r="AKE38" s="82">
        <f>AKD38</f>
        <v/>
      </c>
      <c r="AKF38" s="82">
        <f>AKE38+902000</f>
        <v/>
      </c>
      <c r="AKG38" s="82">
        <f>AKF38</f>
        <v/>
      </c>
      <c r="AKH38" s="82">
        <f>AKG38-232000000</f>
        <v/>
      </c>
      <c r="AKI38" s="82">
        <f>AKH38</f>
        <v/>
      </c>
      <c r="AKJ38" s="82">
        <f>AKI38</f>
        <v/>
      </c>
      <c r="AKK38" s="82">
        <f>AKJ38+4977*4479</f>
        <v/>
      </c>
      <c r="AKL38" s="82">
        <f>AKK38-80000000-17972292</f>
        <v/>
      </c>
      <c r="AKM38" s="82">
        <f>AKL38+12868*4929</f>
        <v/>
      </c>
      <c r="AKN38" s="112" t="n"/>
      <c r="AKO38" s="82">
        <f>AKM38</f>
        <v/>
      </c>
      <c r="AKP38" s="82">
        <f>AKO38+9647656+647000</f>
        <v/>
      </c>
      <c r="AKQ38" s="82">
        <f>AKP38-83000000</f>
        <v/>
      </c>
      <c r="AKR38" s="82">
        <f>AKQ38</f>
        <v/>
      </c>
      <c r="AKS38" s="82">
        <f>AKR38</f>
        <v/>
      </c>
      <c r="AKT38" s="82">
        <f>AKS38</f>
        <v/>
      </c>
      <c r="AKU38" s="82">
        <f>AKT38+10962*4929+5980*4479</f>
        <v/>
      </c>
      <c r="AKV38" s="82">
        <f>AKU38</f>
        <v/>
      </c>
      <c r="AKW38" s="82">
        <f>AKV38-94000000</f>
        <v/>
      </c>
      <c r="AKX38" s="82">
        <f>AKW38+9958*4479</f>
        <v/>
      </c>
      <c r="AKY38" s="82">
        <f>AKX38-17186834</f>
        <v/>
      </c>
      <c r="AKZ38" s="82">
        <f>AKY38+7577968</f>
        <v/>
      </c>
      <c r="ALA38" s="82">
        <f>AKZ38+9842*4979</f>
        <v/>
      </c>
      <c r="ALB38" s="82">
        <f>ALA38+2627522</f>
        <v/>
      </c>
      <c r="ALC38" s="82">
        <f>ALB38</f>
        <v/>
      </c>
      <c r="ALD38" s="82">
        <f>ALC38</f>
        <v/>
      </c>
      <c r="ALE38" s="82">
        <f>ALD38</f>
        <v/>
      </c>
      <c r="ALF38" s="82">
        <f>ALE38-3700000-65000000-15000000+1705600+636000</f>
        <v/>
      </c>
      <c r="ALG38" s="82">
        <f>ALF38+4970*4579</f>
        <v/>
      </c>
      <c r="ALH38" s="82">
        <f>ALG38+12898*5029</f>
        <v/>
      </c>
      <c r="ALI38" s="82">
        <f>ALH38</f>
        <v/>
      </c>
      <c r="ALJ38" s="82">
        <f>ALI38</f>
        <v/>
      </c>
      <c r="ALK38" s="82">
        <f>ALJ38</f>
        <v/>
      </c>
      <c r="ALL38" s="82">
        <f>ALK38+794878+3377948-122000000-2000000</f>
        <v/>
      </c>
      <c r="ALM38" s="82">
        <f>ALL38</f>
        <v/>
      </c>
      <c r="ALN38" s="82">
        <f>ALM38+11945*4880+7946*5079</f>
        <v/>
      </c>
      <c r="ALO38" s="82">
        <f>ALN38</f>
        <v/>
      </c>
      <c r="ALP38" s="82">
        <f>ALO38+7446*5079</f>
        <v/>
      </c>
      <c r="ALQ38" s="82">
        <f>ALP38+6458403</f>
        <v/>
      </c>
      <c r="ALR38" s="82">
        <f>ALQ38-30000000-74000000</f>
        <v/>
      </c>
      <c r="ALS38" s="82">
        <f>ALR38</f>
        <v/>
      </c>
      <c r="ALT38" s="130" t="n"/>
      <c r="ALU38" s="82">
        <f>ALS38-19000000</f>
        <v/>
      </c>
      <c r="ALV38" s="82">
        <f>ALU38+7457*4929+7415*5169+6955400+404175</f>
        <v/>
      </c>
      <c r="ALW38" s="82">
        <f>ALV38+5000*5169</f>
        <v/>
      </c>
      <c r="ALX38" s="82">
        <f>ALW38</f>
        <v/>
      </c>
      <c r="ALY38" s="82">
        <f>ALX38</f>
        <v/>
      </c>
      <c r="ALZ38" s="82">
        <f>ALY38+863500+2177062</f>
        <v/>
      </c>
      <c r="AMA38" s="82">
        <f>ALZ38</f>
        <v/>
      </c>
      <c r="AMB38" s="82">
        <f>AMA38-77000000</f>
        <v/>
      </c>
      <c r="AMC38" s="82">
        <f>AMB38+1909000+443382</f>
        <v/>
      </c>
      <c r="AMD38" s="82">
        <f>AMC38+4971*5029</f>
        <v/>
      </c>
      <c r="AME38" s="82">
        <f>AMD38</f>
        <v/>
      </c>
      <c r="AMF38" s="82">
        <f>AME38+9910*5169</f>
        <v/>
      </c>
      <c r="AMG38" s="82">
        <f>AMF38-35000000-931500</f>
        <v/>
      </c>
      <c r="AMH38" s="82">
        <f>AMG38+7870*5169-20870689-57000000</f>
        <v/>
      </c>
      <c r="AMI38" s="82">
        <f>AMH38+7888099</f>
        <v/>
      </c>
      <c r="AMJ38" s="82">
        <f>AMI38</f>
        <v/>
      </c>
      <c r="AMK38" s="82">
        <f>AMJ38+7945*5269</f>
        <v/>
      </c>
      <c r="AML38" s="82">
        <f>AMK38</f>
        <v/>
      </c>
      <c r="AMM38" s="82">
        <f>AML38</f>
        <v/>
      </c>
      <c r="AMN38" s="82">
        <f>AMM38-91000000</f>
        <v/>
      </c>
      <c r="AMO38" s="82">
        <f>AMN38+8834*5269+7961*5129</f>
        <v/>
      </c>
      <c r="AMP38" s="82">
        <f>AMO38</f>
        <v/>
      </c>
      <c r="AMQ38" s="82">
        <f>AMP38-63000000-38000000-54000000-2000000+318000+198000</f>
        <v/>
      </c>
      <c r="AMR38" s="82">
        <f>AMQ38+12852*5379+1064000</f>
        <v/>
      </c>
      <c r="AMS38" s="82">
        <f>AMR38+7964*5129+3540100+6200832</f>
        <v/>
      </c>
      <c r="AMT38" s="82">
        <f>AMS38</f>
        <v/>
      </c>
      <c r="AMU38" s="82">
        <f>AMT38</f>
        <v/>
      </c>
      <c r="AMV38" s="82">
        <f>AMU38+7940*5379</f>
        <v/>
      </c>
      <c r="AMW38" s="82">
        <f>AMV38-50000000-69000000</f>
        <v/>
      </c>
      <c r="AMX38" s="82">
        <f>AMW38+9850*5379+6811672+159000</f>
        <v/>
      </c>
      <c r="AMY38" s="130" t="n"/>
      <c r="AMZ38" s="82">
        <f>AMX38+7974*5379</f>
        <v/>
      </c>
      <c r="ANA38" s="82">
        <f>AMZ38</f>
        <v/>
      </c>
      <c r="ANB38" s="82">
        <f>ANA38</f>
        <v/>
      </c>
      <c r="ANC38" s="82">
        <f>ANB38</f>
        <v/>
      </c>
      <c r="AND38" s="82">
        <f>ANC38+7930*5579+3905303</f>
        <v/>
      </c>
      <c r="ANE38" s="82">
        <f>AND38+4970*5509</f>
        <v/>
      </c>
      <c r="ANF38" s="82">
        <f>ANE38</f>
        <v/>
      </c>
      <c r="ANG38" s="82">
        <f>ANF38+6933*5579</f>
        <v/>
      </c>
      <c r="ANH38" s="82">
        <f>ANG38</f>
        <v/>
      </c>
      <c r="ANI38" s="82">
        <f>ANH38-44000000-44000000</f>
        <v/>
      </c>
      <c r="ANJ38" s="82">
        <f>ANI38+2449700</f>
        <v/>
      </c>
      <c r="ANK38" s="82">
        <f>ANJ38</f>
        <v/>
      </c>
      <c r="ANL38" s="82">
        <f>ANK38+880000-119216208</f>
        <v/>
      </c>
      <c r="ANM38" s="82">
        <f>ANL38+65914163</f>
        <v/>
      </c>
      <c r="ANN38" s="82">
        <f>ANM38</f>
        <v/>
      </c>
      <c r="ANO38" s="82">
        <f>ANN38+6568796</f>
        <v/>
      </c>
      <c r="ANP38" s="82">
        <f>ANO38+4913*5579</f>
        <v/>
      </c>
      <c r="ANQ38" s="82">
        <f>ANP38</f>
        <v/>
      </c>
      <c r="ANR38" s="82">
        <f>ANQ38</f>
        <v/>
      </c>
      <c r="ANS38" s="82">
        <f>ANR38+419500+9836*6130</f>
        <v/>
      </c>
      <c r="ANT38" s="82">
        <f>ANS38</f>
        <v/>
      </c>
      <c r="ANU38" s="82">
        <f>ANT38+4974*5780</f>
        <v/>
      </c>
      <c r="ANV38" s="82">
        <f>ANU38</f>
        <v/>
      </c>
      <c r="ANW38" s="82">
        <f>ANV38</f>
        <v/>
      </c>
      <c r="ANX38" s="82">
        <f>ANW38</f>
        <v/>
      </c>
      <c r="ANY38" s="82">
        <f>ANX38</f>
        <v/>
      </c>
      <c r="ANZ38" s="82">
        <f>ANY38+8846*6130-55000000</f>
        <v/>
      </c>
      <c r="AOA38" s="82">
        <f>ANZ38</f>
        <v/>
      </c>
      <c r="AOB38" s="82">
        <f>AOA38</f>
        <v/>
      </c>
      <c r="AOC38" s="82">
        <f>AOB38+7961*6370+2950*6270+3934*6270</f>
        <v/>
      </c>
    </row>
    <row r="39">
      <c r="B39" s="13" t="inlineStr">
        <is>
          <t>Top Up Cash</t>
        </is>
      </c>
      <c r="C39" s="52" t="n">
        <v>200000</v>
      </c>
      <c r="D39" s="52">
        <f>C39</f>
        <v/>
      </c>
      <c r="E39" s="52" t="n">
        <v>0</v>
      </c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>
        <v>210000</v>
      </c>
      <c r="T39" s="52">
        <f>S39</f>
        <v/>
      </c>
      <c r="U39" s="52">
        <f>T39</f>
        <v/>
      </c>
      <c r="V39" s="52">
        <f>U39</f>
        <v/>
      </c>
      <c r="W39" s="52">
        <f>V39</f>
        <v/>
      </c>
      <c r="X39" s="52">
        <f>W39</f>
        <v/>
      </c>
      <c r="Y39" s="52">
        <f>X39</f>
        <v/>
      </c>
      <c r="Z39" s="52">
        <f>Y39</f>
        <v/>
      </c>
      <c r="AA39" s="52">
        <f>Z39</f>
        <v/>
      </c>
      <c r="AB39" s="52">
        <f>AA39</f>
        <v/>
      </c>
      <c r="AC39" s="52">
        <f>AB39</f>
        <v/>
      </c>
      <c r="AD39" s="52">
        <f>AC39</f>
        <v/>
      </c>
      <c r="AE39" s="52">
        <f>AD39</f>
        <v/>
      </c>
      <c r="AF39" s="52">
        <f>AE39</f>
        <v/>
      </c>
      <c r="AG39" s="52">
        <f>AF39</f>
        <v/>
      </c>
      <c r="AH39" s="67">
        <f>AG39</f>
        <v/>
      </c>
      <c r="AI39" s="82">
        <f>AG39</f>
        <v/>
      </c>
      <c r="AJ39" s="82">
        <f>AI39</f>
        <v/>
      </c>
      <c r="AK39" s="82">
        <f>AI39</f>
        <v/>
      </c>
      <c r="AL39" s="82">
        <f>AJ39</f>
        <v/>
      </c>
      <c r="AM39" s="82">
        <f>AK39</f>
        <v/>
      </c>
      <c r="AN39" s="82">
        <f>AL39</f>
        <v/>
      </c>
      <c r="AO39" s="82">
        <f>AM39</f>
        <v/>
      </c>
      <c r="AP39" s="82">
        <f>AN39</f>
        <v/>
      </c>
      <c r="AQ39" s="82">
        <f>AO39</f>
        <v/>
      </c>
      <c r="AR39" s="82">
        <f>AP39</f>
        <v/>
      </c>
      <c r="AS39" s="82" t="n">
        <v>0</v>
      </c>
      <c r="AT39" s="82" t="n">
        <v>0</v>
      </c>
      <c r="AU39" s="82">
        <f>AS39</f>
        <v/>
      </c>
      <c r="AV39" s="82">
        <f>AT39</f>
        <v/>
      </c>
      <c r="AW39" s="82">
        <f>AU39</f>
        <v/>
      </c>
      <c r="AX39" s="82">
        <f>AV39</f>
        <v/>
      </c>
      <c r="AY39" s="82">
        <f>AW39</f>
        <v/>
      </c>
      <c r="AZ39" s="82">
        <f>AX39</f>
        <v/>
      </c>
      <c r="BA39" s="82">
        <f>AY39</f>
        <v/>
      </c>
      <c r="BB39" s="82">
        <f>AZ39</f>
        <v/>
      </c>
      <c r="BC39" s="82">
        <f>BA39</f>
        <v/>
      </c>
      <c r="BD39" s="82">
        <f>BB39</f>
        <v/>
      </c>
      <c r="BE39" s="82">
        <f>BC39</f>
        <v/>
      </c>
      <c r="BF39" s="82">
        <f>BD39</f>
        <v/>
      </c>
      <c r="BG39" s="82">
        <f>BE39</f>
        <v/>
      </c>
      <c r="BH39" s="82">
        <f>BF39</f>
        <v/>
      </c>
      <c r="BI39" s="82">
        <f>BG39</f>
        <v/>
      </c>
      <c r="BJ39" s="82">
        <f>BH39</f>
        <v/>
      </c>
      <c r="BK39" s="82">
        <f>BI39</f>
        <v/>
      </c>
      <c r="BL39" s="82">
        <f>BJ39</f>
        <v/>
      </c>
      <c r="BM39" s="105" t="n"/>
      <c r="BN39" s="82">
        <f>BL39</f>
        <v/>
      </c>
      <c r="BO39" s="82">
        <f>BM39</f>
        <v/>
      </c>
      <c r="BP39" s="82">
        <f>BN39</f>
        <v/>
      </c>
      <c r="BQ39" s="82" t="n">
        <v>100000</v>
      </c>
      <c r="BR39" s="82">
        <f>BQ39</f>
        <v/>
      </c>
      <c r="BS39" s="82">
        <f>BQ39</f>
        <v/>
      </c>
      <c r="BT39" s="82">
        <f>BR39</f>
        <v/>
      </c>
      <c r="BU39" s="82">
        <f>BS39</f>
        <v/>
      </c>
      <c r="BV39" s="82">
        <f>BT39</f>
        <v/>
      </c>
      <c r="BW39" s="82">
        <f>BU39</f>
        <v/>
      </c>
      <c r="BX39" s="82">
        <f>BV39</f>
        <v/>
      </c>
      <c r="BY39" s="82">
        <f>BW39</f>
        <v/>
      </c>
      <c r="BZ39" s="82">
        <f>BX39</f>
        <v/>
      </c>
      <c r="CA39" s="82">
        <f>BY39</f>
        <v/>
      </c>
      <c r="CB39" s="82">
        <f>BZ39</f>
        <v/>
      </c>
      <c r="CC39" s="82">
        <f>CA39</f>
        <v/>
      </c>
      <c r="CD39" s="82">
        <f>CB39</f>
        <v/>
      </c>
      <c r="CE39" s="82">
        <f>CC39</f>
        <v/>
      </c>
      <c r="CF39" s="82">
        <f>CD39</f>
        <v/>
      </c>
      <c r="CG39" s="82">
        <f>CE39</f>
        <v/>
      </c>
      <c r="CH39" s="82">
        <f>CF39</f>
        <v/>
      </c>
      <c r="CI39" s="82">
        <f>CG39</f>
        <v/>
      </c>
      <c r="CJ39" s="82">
        <f>CH39</f>
        <v/>
      </c>
      <c r="CK39" s="82">
        <f>CI39</f>
        <v/>
      </c>
      <c r="CL39" s="82">
        <f>CJ39</f>
        <v/>
      </c>
      <c r="CM39" s="82">
        <f>CK39</f>
        <v/>
      </c>
      <c r="CN39" s="82">
        <f>CL39</f>
        <v/>
      </c>
      <c r="CO39" s="82">
        <f>CM39</f>
        <v/>
      </c>
      <c r="CP39" s="82">
        <f>CN39</f>
        <v/>
      </c>
      <c r="CQ39" s="82">
        <f>CO39</f>
        <v/>
      </c>
      <c r="CR39" s="82">
        <f>CP39</f>
        <v/>
      </c>
      <c r="CT39" s="82">
        <f>CR39</f>
        <v/>
      </c>
      <c r="CU39" s="82">
        <f>CT39</f>
        <v/>
      </c>
      <c r="CV39" s="82">
        <f>CT39</f>
        <v/>
      </c>
      <c r="CW39" s="82" t="n">
        <v>0</v>
      </c>
      <c r="CX39" s="82" t="n">
        <v>0</v>
      </c>
      <c r="CY39" s="82" t="n">
        <v>0</v>
      </c>
      <c r="CZ39" s="82" t="n">
        <v>0</v>
      </c>
      <c r="DA39" s="82" t="n">
        <v>570000</v>
      </c>
      <c r="DB39" s="82">
        <f>DA39</f>
        <v/>
      </c>
      <c r="DC39" s="82">
        <f>DA39</f>
        <v/>
      </c>
      <c r="DD39" s="82">
        <f>DB39+210000</f>
        <v/>
      </c>
      <c r="DE39" s="82">
        <f>DD39</f>
        <v/>
      </c>
      <c r="DF39" s="82">
        <f>DD39</f>
        <v/>
      </c>
      <c r="DG39" s="82">
        <f>DE39</f>
        <v/>
      </c>
      <c r="DH39" s="82">
        <f>DF39</f>
        <v/>
      </c>
      <c r="DI39" s="82">
        <f>DG39</f>
        <v/>
      </c>
      <c r="DJ39" s="82">
        <f>DH39</f>
        <v/>
      </c>
      <c r="DK39" s="82">
        <f>DI39</f>
        <v/>
      </c>
      <c r="DL39" s="82">
        <f>DJ39</f>
        <v/>
      </c>
      <c r="DM39" s="82">
        <f>DK39</f>
        <v/>
      </c>
      <c r="DN39" s="82">
        <f>DL39</f>
        <v/>
      </c>
      <c r="DO39" s="82">
        <f>DM39</f>
        <v/>
      </c>
      <c r="DP39" s="82">
        <f>DN39</f>
        <v/>
      </c>
      <c r="DQ39" s="82">
        <f>DO39</f>
        <v/>
      </c>
      <c r="DR39" s="82">
        <f>DP39</f>
        <v/>
      </c>
      <c r="DS39" s="82">
        <f>DQ39</f>
        <v/>
      </c>
      <c r="DT39" s="82">
        <f>DR39</f>
        <v/>
      </c>
      <c r="DU39" s="82">
        <f>DS39</f>
        <v/>
      </c>
      <c r="DV39" s="82">
        <f>DT39+3145000</f>
        <v/>
      </c>
      <c r="DW39" s="82">
        <f>DV39</f>
        <v/>
      </c>
      <c r="DX39" s="117" t="n"/>
      <c r="DY39" s="82">
        <f>DW39</f>
        <v/>
      </c>
      <c r="DZ39" s="82">
        <f>DY39</f>
        <v/>
      </c>
      <c r="EA39" s="82">
        <f>DY39</f>
        <v/>
      </c>
      <c r="EB39" s="82">
        <f>DZ39</f>
        <v/>
      </c>
      <c r="EC39" s="82">
        <f>EA39</f>
        <v/>
      </c>
      <c r="ED39" s="82">
        <f>EB39</f>
        <v/>
      </c>
      <c r="EE39" s="82">
        <f>EC39</f>
        <v/>
      </c>
      <c r="EF39" s="82">
        <f>ED39</f>
        <v/>
      </c>
      <c r="EG39" s="82">
        <f>EE39</f>
        <v/>
      </c>
      <c r="EH39" s="82">
        <f>EF39</f>
        <v/>
      </c>
      <c r="EI39" s="82">
        <f>EG39-780000</f>
        <v/>
      </c>
      <c r="EJ39" s="82">
        <f>EI39</f>
        <v/>
      </c>
      <c r="EK39" s="82">
        <f>EI39</f>
        <v/>
      </c>
      <c r="EL39" s="82">
        <f>EJ39</f>
        <v/>
      </c>
      <c r="EM39" s="82">
        <f>EK39</f>
        <v/>
      </c>
      <c r="EN39" s="82">
        <f>EL39+150000</f>
        <v/>
      </c>
      <c r="EO39" s="82">
        <f>EN39</f>
        <v/>
      </c>
      <c r="EP39" s="82">
        <f>EN39</f>
        <v/>
      </c>
      <c r="EQ39" s="82">
        <f>EO39</f>
        <v/>
      </c>
      <c r="ER39" s="82">
        <f>EP39</f>
        <v/>
      </c>
      <c r="ES39" s="82">
        <f>EQ39</f>
        <v/>
      </c>
      <c r="ET39" s="82">
        <f>ER39</f>
        <v/>
      </c>
      <c r="EU39" s="82">
        <f>ES39</f>
        <v/>
      </c>
      <c r="EV39" s="82">
        <f>ET39</f>
        <v/>
      </c>
      <c r="EW39" s="82">
        <f>EU39</f>
        <v/>
      </c>
      <c r="EX39" s="82">
        <f>EV39</f>
        <v/>
      </c>
      <c r="EY39" s="82">
        <f>EW39</f>
        <v/>
      </c>
      <c r="EZ39" s="82">
        <f>EX39</f>
        <v/>
      </c>
      <c r="FA39" s="82">
        <f>EY39</f>
        <v/>
      </c>
      <c r="FB39" s="82">
        <f>EZ39</f>
        <v/>
      </c>
      <c r="FC39" s="82">
        <f>FA39</f>
        <v/>
      </c>
      <c r="FD39" s="126" t="n"/>
      <c r="FE39" s="82">
        <f>FC39</f>
        <v/>
      </c>
      <c r="FF39" s="82">
        <f>FE39</f>
        <v/>
      </c>
      <c r="FG39" s="82">
        <f>FE39</f>
        <v/>
      </c>
      <c r="FH39" s="82" t="n">
        <v>0</v>
      </c>
      <c r="FI39" s="82" t="n">
        <v>0</v>
      </c>
      <c r="FJ39" s="82">
        <f>FH39</f>
        <v/>
      </c>
      <c r="FK39" s="82">
        <f>FI39</f>
        <v/>
      </c>
      <c r="FL39" s="82">
        <f>FJ39</f>
        <v/>
      </c>
      <c r="FM39" s="82">
        <f>FK39</f>
        <v/>
      </c>
      <c r="FN39" s="82">
        <f>FL39</f>
        <v/>
      </c>
      <c r="FO39" s="82">
        <f>FM39</f>
        <v/>
      </c>
      <c r="FP39" s="82">
        <f>FN39</f>
        <v/>
      </c>
      <c r="FQ39" s="82">
        <f>FO39</f>
        <v/>
      </c>
      <c r="FR39" s="82">
        <f>FP39</f>
        <v/>
      </c>
      <c r="FS39" s="82">
        <f>FQ39</f>
        <v/>
      </c>
      <c r="FT39" s="82">
        <f>FR39</f>
        <v/>
      </c>
      <c r="FU39" s="82">
        <f>FS39</f>
        <v/>
      </c>
      <c r="FV39" s="82">
        <f>FT39</f>
        <v/>
      </c>
      <c r="FW39" s="82">
        <f>FU39</f>
        <v/>
      </c>
      <c r="FX39" s="82">
        <f>FV39</f>
        <v/>
      </c>
      <c r="FY39" s="82">
        <f>FW39</f>
        <v/>
      </c>
      <c r="FZ39" s="82">
        <f>FX39</f>
        <v/>
      </c>
      <c r="GA39" s="82">
        <f>FY39</f>
        <v/>
      </c>
      <c r="GB39" s="82">
        <f>FZ39</f>
        <v/>
      </c>
      <c r="GC39" s="82">
        <f>GA39</f>
        <v/>
      </c>
      <c r="GD39" s="82">
        <f>GB39</f>
        <v/>
      </c>
      <c r="GE39" s="82">
        <f>GC39</f>
        <v/>
      </c>
      <c r="GF39" s="82">
        <f>GD39</f>
        <v/>
      </c>
      <c r="GG39" s="82">
        <f>GE39</f>
        <v/>
      </c>
      <c r="GH39" s="82">
        <f>GF39</f>
        <v/>
      </c>
      <c r="GI39" s="82">
        <f>GG39</f>
        <v/>
      </c>
      <c r="GJ39" s="130" t="n"/>
      <c r="GK39" s="82">
        <f>GI39</f>
        <v/>
      </c>
      <c r="GL39" s="82">
        <f>GJ39</f>
        <v/>
      </c>
      <c r="GM39" s="82">
        <f>GK39</f>
        <v/>
      </c>
      <c r="GN39" s="82">
        <f>GL39</f>
        <v/>
      </c>
      <c r="GO39" s="82">
        <f>GM39</f>
        <v/>
      </c>
      <c r="GP39" s="82">
        <f>GN39</f>
        <v/>
      </c>
      <c r="GQ39" s="82" t="n">
        <v>200000</v>
      </c>
      <c r="GR39" s="82">
        <f>GQ39</f>
        <v/>
      </c>
      <c r="GS39" s="82">
        <f>GQ39</f>
        <v/>
      </c>
      <c r="GT39" s="82">
        <f>GR39</f>
        <v/>
      </c>
      <c r="GU39" s="82">
        <f>GS39</f>
        <v/>
      </c>
      <c r="GV39" s="82">
        <f>GT39</f>
        <v/>
      </c>
      <c r="GW39" s="82">
        <f>GU39</f>
        <v/>
      </c>
      <c r="GX39" s="82">
        <f>GV39</f>
        <v/>
      </c>
      <c r="GY39" s="82">
        <f>GW39</f>
        <v/>
      </c>
      <c r="GZ39" s="82">
        <f>GX39</f>
        <v/>
      </c>
      <c r="HA39" s="82">
        <f>GY39+200000</f>
        <v/>
      </c>
      <c r="HB39" s="82">
        <f>HA39</f>
        <v/>
      </c>
      <c r="HC39" s="82">
        <f>HA39</f>
        <v/>
      </c>
      <c r="HD39" s="82">
        <f>HB39</f>
        <v/>
      </c>
      <c r="HE39" s="82">
        <f>HC39</f>
        <v/>
      </c>
      <c r="HF39" s="82">
        <f>HD39</f>
        <v/>
      </c>
      <c r="HG39" s="82">
        <f>HE39</f>
        <v/>
      </c>
      <c r="HH39" s="82">
        <f>HF39</f>
        <v/>
      </c>
      <c r="HI39" s="82">
        <f>HG39+169400000-22850000</f>
        <v/>
      </c>
      <c r="HJ39" s="82">
        <f>HI39</f>
        <v/>
      </c>
      <c r="HK39" s="82">
        <f>HI39</f>
        <v/>
      </c>
      <c r="HL39" s="82">
        <f>HJ39</f>
        <v/>
      </c>
      <c r="HM39" s="82">
        <f>HK39+500000</f>
        <v/>
      </c>
      <c r="HN39" s="130" t="n"/>
      <c r="HO39" s="82">
        <f>HM39</f>
        <v/>
      </c>
      <c r="HP39" s="82">
        <f>HO39</f>
        <v/>
      </c>
      <c r="HQ39" s="82">
        <f>HO39</f>
        <v/>
      </c>
      <c r="HR39" s="82">
        <f>HP39</f>
        <v/>
      </c>
      <c r="HS39" s="82">
        <f>HQ39</f>
        <v/>
      </c>
      <c r="HT39" s="82">
        <f>HR39</f>
        <v/>
      </c>
      <c r="HU39" s="82">
        <f>HS39-900000</f>
        <v/>
      </c>
      <c r="HV39" s="82">
        <f>HU39+270000</f>
        <v/>
      </c>
      <c r="HW39" s="82">
        <f>HV39</f>
        <v/>
      </c>
      <c r="HX39" s="82">
        <f>HV39</f>
        <v/>
      </c>
      <c r="HY39" s="82">
        <f>HW39</f>
        <v/>
      </c>
      <c r="HZ39" s="82">
        <f>HX39</f>
        <v/>
      </c>
      <c r="IA39" s="82">
        <f>HY39</f>
        <v/>
      </c>
      <c r="IB39" s="82">
        <f>HZ39+150000-23750000</f>
        <v/>
      </c>
      <c r="IC39" s="82">
        <f>IB39</f>
        <v/>
      </c>
      <c r="ID39" s="82">
        <f>IB39</f>
        <v/>
      </c>
      <c r="IE39" s="82">
        <f>IC39</f>
        <v/>
      </c>
      <c r="IF39" s="82">
        <f>ID39</f>
        <v/>
      </c>
      <c r="IG39" s="82">
        <f>IE39</f>
        <v/>
      </c>
      <c r="IH39" s="82">
        <f>IF39-24000000</f>
        <v/>
      </c>
      <c r="II39" s="82">
        <f>IH39</f>
        <v/>
      </c>
      <c r="IJ39" s="82">
        <f>IH39</f>
        <v/>
      </c>
      <c r="IK39" s="82">
        <f>II39</f>
        <v/>
      </c>
      <c r="IL39" s="82">
        <f>IJ39</f>
        <v/>
      </c>
      <c r="IM39" s="82">
        <f>IK39+150000</f>
        <v/>
      </c>
      <c r="IN39" s="82">
        <f>IM39-24000000</f>
        <v/>
      </c>
      <c r="IO39" s="82">
        <f>IN39</f>
        <v/>
      </c>
      <c r="IP39" s="82">
        <f>IN39</f>
        <v/>
      </c>
      <c r="IQ39" s="82">
        <f>IO39</f>
        <v/>
      </c>
      <c r="IR39" s="82">
        <f>IP39</f>
        <v/>
      </c>
      <c r="IS39" s="82">
        <f>IQ39</f>
        <v/>
      </c>
      <c r="IT39" s="130" t="n"/>
      <c r="IU39" s="82">
        <f>IS39</f>
        <v/>
      </c>
      <c r="IV39" s="82">
        <f>IU39+500000</f>
        <v/>
      </c>
      <c r="IW39" s="82">
        <f>IV39-570000</f>
        <v/>
      </c>
      <c r="IX39" s="82">
        <f>IW39</f>
        <v/>
      </c>
      <c r="IY39" s="82">
        <f>IX39</f>
        <v/>
      </c>
      <c r="IZ39" s="82">
        <f>IY39</f>
        <v/>
      </c>
      <c r="JA39" s="82">
        <f>IZ39</f>
        <v/>
      </c>
      <c r="JB39" s="82">
        <f>JA39</f>
        <v/>
      </c>
      <c r="JC39" s="82">
        <f>JB39</f>
        <v/>
      </c>
      <c r="JD39" s="82">
        <f>JC39</f>
        <v/>
      </c>
      <c r="JE39" s="82">
        <f>JD39</f>
        <v/>
      </c>
      <c r="JF39" s="82">
        <f>JE39</f>
        <v/>
      </c>
      <c r="JG39" s="82">
        <f>JF39</f>
        <v/>
      </c>
      <c r="JH39" s="82">
        <f>JG39</f>
        <v/>
      </c>
      <c r="JI39" s="82">
        <f>JH39</f>
        <v/>
      </c>
      <c r="JJ39" s="82">
        <f>JI39</f>
        <v/>
      </c>
      <c r="JK39" s="82">
        <f>JJ39</f>
        <v/>
      </c>
      <c r="JL39" s="82">
        <f>JK39</f>
        <v/>
      </c>
      <c r="JM39" s="82">
        <f>JL39</f>
        <v/>
      </c>
      <c r="JN39" s="82">
        <f>JM39</f>
        <v/>
      </c>
      <c r="JO39" s="82">
        <f>JN39</f>
        <v/>
      </c>
      <c r="JP39" s="82">
        <f>JO39</f>
        <v/>
      </c>
      <c r="JQ39" s="82">
        <f>JP39</f>
        <v/>
      </c>
      <c r="JR39" s="82">
        <f>JQ39</f>
        <v/>
      </c>
      <c r="JS39" s="82">
        <f>JR39</f>
        <v/>
      </c>
      <c r="JT39" s="82">
        <f>JS39-23250000</f>
        <v/>
      </c>
      <c r="JU39" s="82">
        <f>JT39</f>
        <v/>
      </c>
      <c r="JV39" s="82">
        <f>JU39</f>
        <v/>
      </c>
      <c r="JW39" s="82">
        <f>JV39</f>
        <v/>
      </c>
      <c r="JX39" s="82">
        <f>JW39</f>
        <v/>
      </c>
      <c r="JY39" s="133" t="n"/>
      <c r="JZ39" s="82">
        <f>JX39</f>
        <v/>
      </c>
      <c r="KA39" s="82">
        <f>JZ39</f>
        <v/>
      </c>
      <c r="KB39" s="82">
        <f>JZ39</f>
        <v/>
      </c>
      <c r="KC39" s="82">
        <f>KA39-13800000</f>
        <v/>
      </c>
      <c r="KD39" s="82">
        <f>KC39</f>
        <v/>
      </c>
      <c r="KE39" s="82">
        <f>KC39</f>
        <v/>
      </c>
      <c r="KF39" s="82">
        <f>KD39</f>
        <v/>
      </c>
      <c r="KG39" s="82">
        <f>KE39+500000-500000</f>
        <v/>
      </c>
      <c r="KH39" s="82">
        <f>KF39</f>
        <v/>
      </c>
      <c r="KI39" s="82">
        <f>KG39</f>
        <v/>
      </c>
      <c r="KJ39" s="82">
        <f>KH39</f>
        <v/>
      </c>
      <c r="KK39" s="82">
        <f>KI39</f>
        <v/>
      </c>
      <c r="KL39" s="82">
        <f>KJ39</f>
        <v/>
      </c>
      <c r="KM39" s="82">
        <f>KK39</f>
        <v/>
      </c>
      <c r="KN39" s="82">
        <f>KL39</f>
        <v/>
      </c>
      <c r="KO39" s="82">
        <f>KM39</f>
        <v/>
      </c>
      <c r="KP39" s="82">
        <f>KN39</f>
        <v/>
      </c>
      <c r="KQ39" s="82">
        <f>KO39</f>
        <v/>
      </c>
      <c r="KR39" s="82">
        <f>KP39</f>
        <v/>
      </c>
      <c r="KS39" s="82">
        <f>KQ39</f>
        <v/>
      </c>
      <c r="KT39" s="82">
        <f>KR39</f>
        <v/>
      </c>
      <c r="KU39" s="82">
        <f>KS39</f>
        <v/>
      </c>
      <c r="KV39" s="82">
        <f>KT39</f>
        <v/>
      </c>
      <c r="KW39" s="82">
        <f>KU39</f>
        <v/>
      </c>
      <c r="KX39" s="82">
        <f>KV39</f>
        <v/>
      </c>
      <c r="KY39" s="82">
        <f>KW39</f>
        <v/>
      </c>
      <c r="KZ39" s="82">
        <f>KX39</f>
        <v/>
      </c>
      <c r="LA39" s="82">
        <f>KY39-37750000</f>
        <v/>
      </c>
      <c r="LB39" s="82">
        <f>LA39</f>
        <v/>
      </c>
      <c r="LC39" s="82">
        <f>LA39</f>
        <v/>
      </c>
      <c r="LD39" s="82">
        <f>LB39</f>
        <v/>
      </c>
      <c r="LE39" s="130" t="n"/>
      <c r="LF39" s="82">
        <f>LD39</f>
        <v/>
      </c>
      <c r="LG39" s="82">
        <f>LF39</f>
        <v/>
      </c>
      <c r="LH39" s="82">
        <f>LG39</f>
        <v/>
      </c>
      <c r="LI39" s="82">
        <f>LH39</f>
        <v/>
      </c>
      <c r="LJ39" s="82">
        <f>LI39</f>
        <v/>
      </c>
      <c r="LK39" s="82">
        <f>LJ39</f>
        <v/>
      </c>
      <c r="LL39" s="82">
        <f>LK39</f>
        <v/>
      </c>
      <c r="LM39" s="82">
        <f>LL39</f>
        <v/>
      </c>
      <c r="LN39" s="82">
        <f>LM39</f>
        <v/>
      </c>
      <c r="LO39" s="82">
        <f>LN39</f>
        <v/>
      </c>
      <c r="LP39" s="82">
        <f>LO39</f>
        <v/>
      </c>
      <c r="LQ39" s="82">
        <f>LP39</f>
        <v/>
      </c>
      <c r="LR39" s="82" t="n">
        <v>0</v>
      </c>
      <c r="LS39" s="82">
        <f>LR39</f>
        <v/>
      </c>
      <c r="LT39" s="82">
        <f>LS39</f>
        <v/>
      </c>
      <c r="LU39" s="82">
        <f>LT39</f>
        <v/>
      </c>
      <c r="LV39" s="82">
        <f>LU39</f>
        <v/>
      </c>
      <c r="LW39" s="82">
        <f>LV39</f>
        <v/>
      </c>
      <c r="LX39" s="82">
        <f>LW39</f>
        <v/>
      </c>
      <c r="LY39" s="82">
        <f>LX39</f>
        <v/>
      </c>
      <c r="LZ39" s="82">
        <f>LY39</f>
        <v/>
      </c>
      <c r="MA39" s="82">
        <f>LZ39</f>
        <v/>
      </c>
      <c r="MB39" s="82">
        <f>MA39</f>
        <v/>
      </c>
      <c r="MC39" s="82">
        <f>MB39</f>
        <v/>
      </c>
      <c r="MD39" s="82">
        <f>MC39</f>
        <v/>
      </c>
      <c r="ME39" s="82">
        <f>MD39</f>
        <v/>
      </c>
      <c r="MF39" s="82">
        <f>ME39</f>
        <v/>
      </c>
      <c r="MG39" s="82">
        <f>MF39</f>
        <v/>
      </c>
      <c r="MH39" s="82">
        <f>MG39</f>
        <v/>
      </c>
      <c r="MI39" s="82">
        <f>MH39</f>
        <v/>
      </c>
      <c r="MJ39" s="133" t="n"/>
      <c r="MK39" s="82">
        <f>MJ39</f>
        <v/>
      </c>
      <c r="ML39" s="82">
        <f>MK39</f>
        <v/>
      </c>
      <c r="MM39" s="82">
        <f>ML39</f>
        <v/>
      </c>
      <c r="MN39" s="82">
        <f>MM39</f>
        <v/>
      </c>
      <c r="MO39" s="82">
        <f>MN39</f>
        <v/>
      </c>
      <c r="MP39" s="82">
        <f>MO39</f>
        <v/>
      </c>
      <c r="MQ39" s="82">
        <f>MP39</f>
        <v/>
      </c>
      <c r="MR39" s="82">
        <f>MQ39</f>
        <v/>
      </c>
      <c r="MS39" s="82">
        <f>MR39</f>
        <v/>
      </c>
      <c r="MT39" s="82">
        <f>MS39</f>
        <v/>
      </c>
      <c r="MU39" s="82">
        <f>MT39</f>
        <v/>
      </c>
      <c r="MV39" s="82">
        <f>MU39</f>
        <v/>
      </c>
      <c r="MW39" s="82">
        <f>MV39</f>
        <v/>
      </c>
      <c r="MX39" s="82">
        <f>MW39</f>
        <v/>
      </c>
      <c r="MY39" s="82">
        <f>MX39</f>
        <v/>
      </c>
      <c r="MZ39" s="82">
        <f>MY39</f>
        <v/>
      </c>
      <c r="NA39" s="82">
        <f>MZ39</f>
        <v/>
      </c>
      <c r="NB39" s="82">
        <f>NA39</f>
        <v/>
      </c>
      <c r="NC39" s="82">
        <f>NB39</f>
        <v/>
      </c>
      <c r="ND39" s="82">
        <f>NC39</f>
        <v/>
      </c>
      <c r="NE39" s="82">
        <f>ND39</f>
        <v/>
      </c>
      <c r="NF39" s="82">
        <f>NE39</f>
        <v/>
      </c>
      <c r="NG39" s="82">
        <f>NF39</f>
        <v/>
      </c>
      <c r="NH39" s="82">
        <f>NG39</f>
        <v/>
      </c>
      <c r="NI39" s="82">
        <f>NH39</f>
        <v/>
      </c>
      <c r="NJ39" s="82">
        <f>NI39</f>
        <v/>
      </c>
      <c r="NK39" s="82">
        <f>NJ39</f>
        <v/>
      </c>
      <c r="NL39" s="82">
        <f>NK39</f>
        <v/>
      </c>
      <c r="NM39" s="82">
        <f>NL39</f>
        <v/>
      </c>
      <c r="NN39" s="82">
        <f>NM39</f>
        <v/>
      </c>
      <c r="NO39" s="82">
        <f>NN39</f>
        <v/>
      </c>
      <c r="NP39" s="133" t="n"/>
      <c r="NQ39" s="82">
        <f>NP39</f>
        <v/>
      </c>
      <c r="NR39" s="82">
        <f>NQ39</f>
        <v/>
      </c>
      <c r="NS39" s="82">
        <f>NR39</f>
        <v/>
      </c>
      <c r="NT39" s="82">
        <f>NS39</f>
        <v/>
      </c>
      <c r="NU39" s="82">
        <f>NT39</f>
        <v/>
      </c>
      <c r="NV39" s="82">
        <f>NU39</f>
        <v/>
      </c>
      <c r="NW39" s="82">
        <f>NV39</f>
        <v/>
      </c>
      <c r="NX39" s="82">
        <f>NW39</f>
        <v/>
      </c>
      <c r="NY39" s="82">
        <f>NX39</f>
        <v/>
      </c>
      <c r="NZ39" s="82">
        <f>NY39</f>
        <v/>
      </c>
      <c r="OA39" s="82">
        <f>NZ39</f>
        <v/>
      </c>
      <c r="OB39" s="82">
        <f>OA39</f>
        <v/>
      </c>
      <c r="OC39" s="82">
        <f>OB39</f>
        <v/>
      </c>
      <c r="OD39" s="82">
        <f>OC39</f>
        <v/>
      </c>
      <c r="OE39" s="82">
        <f>OD39</f>
        <v/>
      </c>
      <c r="OF39" s="82">
        <f>OE39</f>
        <v/>
      </c>
      <c r="OG39" s="82">
        <f>OF39</f>
        <v/>
      </c>
      <c r="OH39" s="82">
        <f>OG39</f>
        <v/>
      </c>
      <c r="OI39" s="82">
        <f>OH39</f>
        <v/>
      </c>
      <c r="OJ39" s="82">
        <f>OI39</f>
        <v/>
      </c>
      <c r="OK39" s="82">
        <f>OJ39</f>
        <v/>
      </c>
      <c r="OL39" s="82">
        <f>OK39</f>
        <v/>
      </c>
      <c r="OM39" s="82">
        <f>OL39</f>
        <v/>
      </c>
      <c r="ON39" s="82">
        <f>OM39</f>
        <v/>
      </c>
      <c r="OO39" s="82">
        <f>ON39</f>
        <v/>
      </c>
      <c r="OP39" s="82">
        <f>OO39</f>
        <v/>
      </c>
      <c r="OQ39" s="82">
        <f>OP39</f>
        <v/>
      </c>
      <c r="OR39" s="82">
        <f>OQ39</f>
        <v/>
      </c>
      <c r="OS39" s="82">
        <f>OR39</f>
        <v/>
      </c>
      <c r="OT39" s="82">
        <f>OS39</f>
        <v/>
      </c>
      <c r="OU39" s="82">
        <f>OT39</f>
        <v/>
      </c>
      <c r="OV39" s="130" t="n"/>
      <c r="OW39" s="82">
        <f>OV39</f>
        <v/>
      </c>
      <c r="OX39" s="82">
        <f>OW39</f>
        <v/>
      </c>
      <c r="OY39" s="82">
        <f>OX39</f>
        <v/>
      </c>
      <c r="OZ39" s="82">
        <f>OY39</f>
        <v/>
      </c>
      <c r="PA39" s="82">
        <f>OZ39</f>
        <v/>
      </c>
      <c r="PB39" s="82">
        <f>PA39</f>
        <v/>
      </c>
      <c r="PC39" s="82">
        <f>PB39</f>
        <v/>
      </c>
      <c r="PD39" s="82">
        <f>PC39</f>
        <v/>
      </c>
      <c r="PE39" s="82">
        <f>PD39</f>
        <v/>
      </c>
      <c r="PF39" s="82">
        <f>PE39</f>
        <v/>
      </c>
      <c r="PG39" s="82">
        <f>PF39</f>
        <v/>
      </c>
      <c r="PH39" s="82">
        <f>PG39</f>
        <v/>
      </c>
      <c r="PI39" s="82">
        <f>PH39</f>
        <v/>
      </c>
      <c r="PJ39" s="82">
        <f>PI39</f>
        <v/>
      </c>
      <c r="PK39" s="82">
        <f>PJ39</f>
        <v/>
      </c>
      <c r="PL39" s="82">
        <f>PK39</f>
        <v/>
      </c>
      <c r="PM39" s="82">
        <f>PL39</f>
        <v/>
      </c>
      <c r="PN39" s="82">
        <f>PM39</f>
        <v/>
      </c>
      <c r="PO39" s="82">
        <f>PN39</f>
        <v/>
      </c>
      <c r="PP39" s="82">
        <f>PO39</f>
        <v/>
      </c>
      <c r="PQ39" s="82">
        <f>PP39</f>
        <v/>
      </c>
      <c r="PR39" s="82">
        <f>PQ39</f>
        <v/>
      </c>
      <c r="PS39" s="82">
        <f>PR39</f>
        <v/>
      </c>
      <c r="PT39" s="82">
        <f>PS39</f>
        <v/>
      </c>
      <c r="PU39" s="82">
        <f>PT39</f>
        <v/>
      </c>
      <c r="PV39" s="82">
        <f>PU39</f>
        <v/>
      </c>
      <c r="PW39" s="82">
        <f>PV39</f>
        <v/>
      </c>
      <c r="PX39" s="82">
        <f>PW39</f>
        <v/>
      </c>
      <c r="PY39" s="82">
        <f>PX39</f>
        <v/>
      </c>
      <c r="PZ39" s="82">
        <f>PY39</f>
        <v/>
      </c>
      <c r="QA39" s="130" t="n"/>
      <c r="QB39" s="82">
        <f>QA39</f>
        <v/>
      </c>
      <c r="QC39" s="82">
        <f>QB39</f>
        <v/>
      </c>
      <c r="QD39" s="82">
        <f>QC39</f>
        <v/>
      </c>
      <c r="QE39" s="82">
        <f>QD39</f>
        <v/>
      </c>
      <c r="QF39" s="82">
        <f>QE39</f>
        <v/>
      </c>
      <c r="QG39" s="82">
        <f>QF39</f>
        <v/>
      </c>
      <c r="QH39" s="82">
        <f>QG39</f>
        <v/>
      </c>
      <c r="QI39" s="82">
        <f>QH39</f>
        <v/>
      </c>
      <c r="QJ39" s="82">
        <f>QI39</f>
        <v/>
      </c>
      <c r="QK39" s="82">
        <f>QJ39</f>
        <v/>
      </c>
      <c r="QL39" s="82">
        <f>QK39</f>
        <v/>
      </c>
      <c r="QM39" s="82">
        <f>QL39</f>
        <v/>
      </c>
      <c r="QN39" s="82">
        <f>QM39</f>
        <v/>
      </c>
      <c r="QO39" s="82">
        <f>QN39</f>
        <v/>
      </c>
      <c r="QP39" s="82">
        <f>QO39</f>
        <v/>
      </c>
      <c r="QQ39" s="82">
        <f>QP39</f>
        <v/>
      </c>
      <c r="QR39" s="82">
        <f>QQ39</f>
        <v/>
      </c>
      <c r="QS39" s="82">
        <f>QR39</f>
        <v/>
      </c>
      <c r="QT39" s="82">
        <f>QS39</f>
        <v/>
      </c>
      <c r="QU39" s="82">
        <f>QT39</f>
        <v/>
      </c>
      <c r="QV39" s="82">
        <f>QU39</f>
        <v/>
      </c>
      <c r="QW39" s="82">
        <f>QV39</f>
        <v/>
      </c>
      <c r="QX39" s="82">
        <f>QW39</f>
        <v/>
      </c>
      <c r="QY39" s="82">
        <f>QX39</f>
        <v/>
      </c>
      <c r="QZ39" s="82">
        <f>QY39</f>
        <v/>
      </c>
      <c r="RA39" s="82">
        <f>QZ39</f>
        <v/>
      </c>
      <c r="RB39" s="82">
        <f>RA39</f>
        <v/>
      </c>
      <c r="RC39" s="82">
        <f>RB39</f>
        <v/>
      </c>
      <c r="RD39" s="82">
        <f>RC39</f>
        <v/>
      </c>
      <c r="RE39" s="82">
        <f>RD39</f>
        <v/>
      </c>
      <c r="RF39" s="82">
        <f>RE39</f>
        <v/>
      </c>
      <c r="RG39" s="130" t="n"/>
      <c r="RH39" s="82">
        <f>RG39</f>
        <v/>
      </c>
      <c r="RI39" s="82">
        <f>RH39</f>
        <v/>
      </c>
      <c r="RJ39" s="82">
        <f>RI39</f>
        <v/>
      </c>
      <c r="RK39" s="82">
        <f>RJ39</f>
        <v/>
      </c>
      <c r="RL39" s="82">
        <f>RK39</f>
        <v/>
      </c>
      <c r="RM39" s="82">
        <f>RL39</f>
        <v/>
      </c>
      <c r="RN39" s="82">
        <f>RM39</f>
        <v/>
      </c>
      <c r="RO39" s="82">
        <f>RN39</f>
        <v/>
      </c>
      <c r="RP39" s="82">
        <f>RO39</f>
        <v/>
      </c>
      <c r="RQ39" s="82">
        <f>RP39</f>
        <v/>
      </c>
      <c r="RR39" s="82">
        <f>RQ39</f>
        <v/>
      </c>
      <c r="RS39" s="82">
        <f>RR39</f>
        <v/>
      </c>
      <c r="RT39" s="82">
        <f>RS39</f>
        <v/>
      </c>
      <c r="RU39" s="82">
        <f>RT39</f>
        <v/>
      </c>
      <c r="RV39" s="82">
        <f>RU39</f>
        <v/>
      </c>
      <c r="RW39" s="82">
        <f>RV39</f>
        <v/>
      </c>
      <c r="RX39" s="82">
        <f>RW39</f>
        <v/>
      </c>
      <c r="RY39" s="82">
        <f>RX39</f>
        <v/>
      </c>
      <c r="RZ39" s="82">
        <f>RY39</f>
        <v/>
      </c>
      <c r="SA39" s="82">
        <f>RZ39</f>
        <v/>
      </c>
      <c r="SB39" s="82">
        <f>SA39</f>
        <v/>
      </c>
      <c r="SC39" s="82">
        <f>SB39</f>
        <v/>
      </c>
      <c r="SD39" s="82">
        <f>SC39</f>
        <v/>
      </c>
      <c r="SE39" s="82">
        <f>SD39</f>
        <v/>
      </c>
      <c r="SF39" s="82">
        <f>SE39</f>
        <v/>
      </c>
      <c r="SG39" s="82">
        <f>SF39</f>
        <v/>
      </c>
      <c r="SH39" s="82">
        <f>SG39</f>
        <v/>
      </c>
      <c r="SI39" s="82">
        <f>SH39</f>
        <v/>
      </c>
      <c r="SJ39" s="82">
        <f>SI39</f>
        <v/>
      </c>
      <c r="SK39" s="82">
        <f>SJ39</f>
        <v/>
      </c>
      <c r="SL39" s="130" t="n"/>
      <c r="SM39" s="82">
        <f>SL39</f>
        <v/>
      </c>
      <c r="SN39" s="82">
        <f>SM39</f>
        <v/>
      </c>
      <c r="SO39" s="82">
        <f>SN39</f>
        <v/>
      </c>
      <c r="SP39" s="82">
        <f>SO39</f>
        <v/>
      </c>
      <c r="SQ39" s="82">
        <f>SP39</f>
        <v/>
      </c>
      <c r="SR39" s="82">
        <f>SQ39</f>
        <v/>
      </c>
      <c r="SS39" s="82">
        <f>SR39</f>
        <v/>
      </c>
      <c r="ST39" s="82">
        <f>SS39</f>
        <v/>
      </c>
      <c r="SU39" s="82">
        <f>ST39</f>
        <v/>
      </c>
      <c r="SV39" s="82">
        <f>SU39</f>
        <v/>
      </c>
      <c r="SW39" s="82">
        <f>SV39</f>
        <v/>
      </c>
      <c r="SX39" s="82">
        <f>SW39</f>
        <v/>
      </c>
      <c r="SY39" s="82">
        <f>SX39</f>
        <v/>
      </c>
      <c r="SZ39" s="82">
        <f>SY39</f>
        <v/>
      </c>
      <c r="TA39" s="82">
        <f>SZ39</f>
        <v/>
      </c>
      <c r="TB39" s="82">
        <f>TA39</f>
        <v/>
      </c>
      <c r="TC39" s="82">
        <f>TB39</f>
        <v/>
      </c>
      <c r="TD39" s="82">
        <f>TC39</f>
        <v/>
      </c>
      <c r="TE39" s="82">
        <f>TD39</f>
        <v/>
      </c>
      <c r="TF39" s="82">
        <f>TE39</f>
        <v/>
      </c>
      <c r="TG39" s="82">
        <f>TF39</f>
        <v/>
      </c>
      <c r="TH39" s="82">
        <f>TG39</f>
        <v/>
      </c>
      <c r="TI39" s="82">
        <f>TH39</f>
        <v/>
      </c>
      <c r="TJ39" s="82">
        <f>TI39</f>
        <v/>
      </c>
      <c r="TK39" s="82">
        <f>TJ39</f>
        <v/>
      </c>
      <c r="TL39" s="82">
        <f>TK39</f>
        <v/>
      </c>
      <c r="TM39" s="82">
        <f>TL39</f>
        <v/>
      </c>
      <c r="TN39" s="82">
        <f>TM39</f>
        <v/>
      </c>
      <c r="TO39" s="82">
        <f>TN39</f>
        <v/>
      </c>
      <c r="TP39" s="82">
        <f>TO39</f>
        <v/>
      </c>
      <c r="TQ39" s="82">
        <f>TP39</f>
        <v/>
      </c>
      <c r="TR39" s="130" t="n"/>
      <c r="TS39" s="82">
        <f>TR39</f>
        <v/>
      </c>
      <c r="TT39" s="82">
        <f>TS39</f>
        <v/>
      </c>
      <c r="TU39" s="82">
        <f>TT39</f>
        <v/>
      </c>
      <c r="TV39" s="82">
        <f>TU39</f>
        <v/>
      </c>
      <c r="TW39" s="82">
        <f>TV39</f>
        <v/>
      </c>
      <c r="TX39" s="82">
        <f>TW39</f>
        <v/>
      </c>
      <c r="TY39" s="82">
        <f>TX39</f>
        <v/>
      </c>
      <c r="TZ39" s="82">
        <f>TY39</f>
        <v/>
      </c>
      <c r="UA39" s="82">
        <f>TZ39</f>
        <v/>
      </c>
      <c r="UB39" s="82">
        <f>UA39</f>
        <v/>
      </c>
      <c r="UC39" s="82">
        <f>UB39</f>
        <v/>
      </c>
      <c r="UD39" s="82">
        <f>UC39</f>
        <v/>
      </c>
      <c r="UE39" s="82">
        <f>UD39</f>
        <v/>
      </c>
      <c r="UF39" s="82">
        <f>UE39</f>
        <v/>
      </c>
      <c r="UG39" s="82">
        <f>UF39</f>
        <v/>
      </c>
      <c r="UH39" s="82">
        <f>UG39</f>
        <v/>
      </c>
      <c r="UI39" s="82">
        <f>UH39</f>
        <v/>
      </c>
      <c r="UJ39" s="82">
        <f>UI39</f>
        <v/>
      </c>
      <c r="UK39" s="82">
        <f>UJ39</f>
        <v/>
      </c>
      <c r="UL39" s="82">
        <f>UK39</f>
        <v/>
      </c>
      <c r="UM39" s="82">
        <f>UL39</f>
        <v/>
      </c>
      <c r="UN39" s="82">
        <f>UM39</f>
        <v/>
      </c>
      <c r="UO39" s="82">
        <f>UN39</f>
        <v/>
      </c>
      <c r="UP39" s="82">
        <f>UO39</f>
        <v/>
      </c>
      <c r="UQ39" s="82">
        <f>UP39</f>
        <v/>
      </c>
      <c r="UR39" s="82">
        <f>UQ39</f>
        <v/>
      </c>
      <c r="US39" s="82">
        <f>UR39</f>
        <v/>
      </c>
      <c r="UT39" s="82">
        <f>US39</f>
        <v/>
      </c>
      <c r="UU39" s="82">
        <f>UT39</f>
        <v/>
      </c>
      <c r="UV39" s="82">
        <f>UU39</f>
        <v/>
      </c>
      <c r="UW39" s="82">
        <f>UV39</f>
        <v/>
      </c>
      <c r="UX39" s="130" t="n"/>
      <c r="UY39" s="82">
        <f>UX39</f>
        <v/>
      </c>
      <c r="UZ39" s="82">
        <f>UY39</f>
        <v/>
      </c>
      <c r="VA39" s="82">
        <f>UZ39</f>
        <v/>
      </c>
      <c r="VB39" s="82">
        <f>VA39</f>
        <v/>
      </c>
      <c r="VC39" s="82">
        <f>VB39</f>
        <v/>
      </c>
      <c r="VD39" s="82">
        <f>VC39</f>
        <v/>
      </c>
      <c r="VE39" s="82">
        <f>VD39</f>
        <v/>
      </c>
      <c r="VF39" s="82">
        <f>VE39</f>
        <v/>
      </c>
      <c r="VG39" s="82">
        <f>VF39</f>
        <v/>
      </c>
      <c r="VH39" s="82">
        <f>VG39</f>
        <v/>
      </c>
      <c r="VI39" s="82">
        <f>VH39</f>
        <v/>
      </c>
      <c r="VJ39" s="82">
        <f>VI39</f>
        <v/>
      </c>
      <c r="VK39" s="82">
        <f>VJ39</f>
        <v/>
      </c>
      <c r="VL39" s="82">
        <f>VK39</f>
        <v/>
      </c>
      <c r="VM39" s="82">
        <f>VL39</f>
        <v/>
      </c>
      <c r="VN39" s="82">
        <f>VM39</f>
        <v/>
      </c>
      <c r="VO39" s="82">
        <f>VN39</f>
        <v/>
      </c>
      <c r="VP39" s="82">
        <f>VO39</f>
        <v/>
      </c>
      <c r="VQ39" s="82">
        <f>VP39</f>
        <v/>
      </c>
      <c r="VR39" s="82">
        <f>VQ39</f>
        <v/>
      </c>
      <c r="VS39" s="82">
        <f>VR39</f>
        <v/>
      </c>
      <c r="VT39" s="82">
        <f>VS39</f>
        <v/>
      </c>
      <c r="VU39" s="82">
        <f>VT39</f>
        <v/>
      </c>
      <c r="VV39" s="82">
        <f>VU39</f>
        <v/>
      </c>
      <c r="VW39" s="82">
        <f>VV39</f>
        <v/>
      </c>
      <c r="VX39" s="82">
        <f>VW39</f>
        <v/>
      </c>
      <c r="VY39" s="82">
        <f>VX39</f>
        <v/>
      </c>
      <c r="VZ39" s="82">
        <f>VY39</f>
        <v/>
      </c>
      <c r="WA39" s="133" t="n"/>
      <c r="WB39" s="82">
        <f>WA39</f>
        <v/>
      </c>
      <c r="WC39" s="82">
        <f>WB39</f>
        <v/>
      </c>
      <c r="WD39" s="82">
        <f>WC39</f>
        <v/>
      </c>
      <c r="WE39" s="82">
        <f>WD39</f>
        <v/>
      </c>
      <c r="WF39" s="82">
        <f>WE39</f>
        <v/>
      </c>
      <c r="WG39" s="82">
        <f>WF39</f>
        <v/>
      </c>
      <c r="WH39" s="82">
        <f>WG39</f>
        <v/>
      </c>
      <c r="WI39" s="82">
        <f>WH39</f>
        <v/>
      </c>
      <c r="WJ39" s="82">
        <f>WI39</f>
        <v/>
      </c>
      <c r="WK39" s="82">
        <f>WJ39</f>
        <v/>
      </c>
      <c r="WL39" s="82">
        <f>WK39</f>
        <v/>
      </c>
      <c r="WM39" s="82">
        <f>WL39</f>
        <v/>
      </c>
      <c r="WN39" s="82">
        <f>WM39</f>
        <v/>
      </c>
      <c r="WO39" s="82">
        <f>WN39</f>
        <v/>
      </c>
      <c r="WP39" s="82">
        <f>WO39</f>
        <v/>
      </c>
      <c r="WQ39" s="82">
        <f>WP39</f>
        <v/>
      </c>
      <c r="WR39" s="82" t="n">
        <v>500000</v>
      </c>
      <c r="WS39" s="82">
        <f>WR39</f>
        <v/>
      </c>
      <c r="WT39" s="82">
        <f>WS39</f>
        <v/>
      </c>
      <c r="WU39" s="82">
        <f>WT39</f>
        <v/>
      </c>
      <c r="WV39" s="82">
        <f>WU39</f>
        <v/>
      </c>
      <c r="WW39" s="82">
        <f>WV39</f>
        <v/>
      </c>
      <c r="WX39" s="82">
        <f>WW39</f>
        <v/>
      </c>
      <c r="WY39" s="82">
        <f>WX39</f>
        <v/>
      </c>
      <c r="WZ39" s="82">
        <f>WY39</f>
        <v/>
      </c>
      <c r="XA39" s="82">
        <f>WZ39</f>
        <v/>
      </c>
      <c r="XB39" s="82">
        <f>XA39</f>
        <v/>
      </c>
      <c r="XC39" s="82">
        <f>XB39</f>
        <v/>
      </c>
      <c r="XD39" s="82">
        <f>XC39</f>
        <v/>
      </c>
      <c r="XE39" s="82">
        <f>XD39</f>
        <v/>
      </c>
      <c r="XF39" s="82">
        <f>XE39</f>
        <v/>
      </c>
      <c r="XG39" s="133" t="n"/>
      <c r="XH39" s="82">
        <f>XF39</f>
        <v/>
      </c>
      <c r="XI39" s="82">
        <f>XH39</f>
        <v/>
      </c>
      <c r="XJ39" s="82">
        <f>XI39</f>
        <v/>
      </c>
      <c r="XK39" s="82">
        <f>XJ39</f>
        <v/>
      </c>
      <c r="XL39" s="82">
        <f>XK39</f>
        <v/>
      </c>
      <c r="XM39" s="82">
        <f>XL39</f>
        <v/>
      </c>
      <c r="XN39" s="82">
        <f>XM39</f>
        <v/>
      </c>
      <c r="XO39" s="82">
        <f>XN39</f>
        <v/>
      </c>
      <c r="XP39" s="82" t="n">
        <v>0</v>
      </c>
      <c r="XQ39" s="82">
        <f>XP39</f>
        <v/>
      </c>
      <c r="XR39" s="82">
        <f>XQ39</f>
        <v/>
      </c>
      <c r="XS39" s="82">
        <f>XR39</f>
        <v/>
      </c>
      <c r="XT39" s="82">
        <f>XS39</f>
        <v/>
      </c>
      <c r="XU39" s="82">
        <f>XT39</f>
        <v/>
      </c>
      <c r="XV39" s="82">
        <f>XU39</f>
        <v/>
      </c>
      <c r="XW39" s="82">
        <f>XV39</f>
        <v/>
      </c>
      <c r="XX39" s="82">
        <f>XW39</f>
        <v/>
      </c>
      <c r="XY39" s="82">
        <f>XX39</f>
        <v/>
      </c>
      <c r="XZ39" s="82">
        <f>XY39</f>
        <v/>
      </c>
      <c r="YA39" s="82">
        <f>XZ39</f>
        <v/>
      </c>
      <c r="YB39" s="82">
        <f>YA39</f>
        <v/>
      </c>
      <c r="YC39" s="82">
        <f>YB39</f>
        <v/>
      </c>
      <c r="YD39" s="82">
        <f>YC39</f>
        <v/>
      </c>
      <c r="YE39" s="82">
        <f>YD39</f>
        <v/>
      </c>
      <c r="YF39" s="82">
        <f>YE39</f>
        <v/>
      </c>
      <c r="YG39" s="82">
        <f>YF39</f>
        <v/>
      </c>
      <c r="YH39" s="82">
        <f>YG39</f>
        <v/>
      </c>
      <c r="YI39" s="82">
        <f>YH39</f>
        <v/>
      </c>
      <c r="YJ39" s="82">
        <f>YI39</f>
        <v/>
      </c>
      <c r="YK39" s="82">
        <f>YJ39</f>
        <v/>
      </c>
      <c r="YL39" s="130" t="n"/>
      <c r="YM39" s="82">
        <f>YL39</f>
        <v/>
      </c>
      <c r="YN39" s="82">
        <f>YM39</f>
        <v/>
      </c>
      <c r="YO39" s="82">
        <f>YN39</f>
        <v/>
      </c>
      <c r="YP39" s="82" t="n">
        <v>877000</v>
      </c>
      <c r="YQ39" s="82">
        <f>YP39</f>
        <v/>
      </c>
      <c r="YR39" s="82">
        <f>YQ39</f>
        <v/>
      </c>
      <c r="YS39" s="82">
        <f>YR39+878000</f>
        <v/>
      </c>
      <c r="YT39" s="82">
        <f>YS39</f>
        <v/>
      </c>
      <c r="YU39" s="82">
        <f>YT39</f>
        <v/>
      </c>
      <c r="YV39" s="82">
        <f>YU39+987000</f>
        <v/>
      </c>
      <c r="YW39" s="82">
        <f>YV39</f>
        <v/>
      </c>
      <c r="YX39" s="82">
        <f>YW39+876400</f>
        <v/>
      </c>
      <c r="YY39" s="82">
        <f>YX39</f>
        <v/>
      </c>
      <c r="YZ39" s="82">
        <f>YY39</f>
        <v/>
      </c>
      <c r="ZA39" s="82">
        <f>YZ39</f>
        <v/>
      </c>
      <c r="ZB39" s="82">
        <f>ZA39</f>
        <v/>
      </c>
      <c r="ZC39" s="82">
        <f>ZB39</f>
        <v/>
      </c>
      <c r="ZD39" s="82">
        <f>ZC39</f>
        <v/>
      </c>
      <c r="ZE39" s="82">
        <f>ZD39</f>
        <v/>
      </c>
      <c r="ZF39" s="82">
        <f>ZE39</f>
        <v/>
      </c>
      <c r="ZG39" s="82">
        <f>ZF39</f>
        <v/>
      </c>
      <c r="ZH39" s="82">
        <f>ZG39</f>
        <v/>
      </c>
      <c r="ZI39" s="82">
        <f>ZH39</f>
        <v/>
      </c>
      <c r="ZJ39" s="82">
        <f>ZI39</f>
        <v/>
      </c>
      <c r="ZK39" s="82">
        <f>ZJ39</f>
        <v/>
      </c>
      <c r="ZL39" s="82">
        <f>ZK39</f>
        <v/>
      </c>
      <c r="ZM39" s="82">
        <f>ZL39</f>
        <v/>
      </c>
      <c r="ZN39" s="82">
        <f>ZM39</f>
        <v/>
      </c>
      <c r="ZO39" s="82">
        <f>ZN39</f>
        <v/>
      </c>
      <c r="ZP39" s="82">
        <f>ZO39</f>
        <v/>
      </c>
      <c r="ZQ39" s="82">
        <f>ZP39</f>
        <v/>
      </c>
      <c r="ZR39" s="130" t="n"/>
      <c r="ZS39" s="82">
        <f>ZQ39</f>
        <v/>
      </c>
      <c r="ZT39" s="82">
        <f>ZS39</f>
        <v/>
      </c>
      <c r="ZU39" s="82" t="n">
        <v>0</v>
      </c>
      <c r="ZV39" s="82">
        <f>ZU39</f>
        <v/>
      </c>
      <c r="ZW39" s="82">
        <f>ZV39</f>
        <v/>
      </c>
      <c r="ZX39" s="82">
        <f>ZW39</f>
        <v/>
      </c>
      <c r="ZY39" s="82">
        <f>ZX39</f>
        <v/>
      </c>
      <c r="ZZ39" s="82">
        <f>ZY39</f>
        <v/>
      </c>
      <c r="AAA39" s="82">
        <f>ZZ39</f>
        <v/>
      </c>
      <c r="AAB39" s="82">
        <f>AAA39</f>
        <v/>
      </c>
      <c r="AAC39" s="82">
        <f>AAB39</f>
        <v/>
      </c>
      <c r="AAD39" s="82">
        <f>AAC39</f>
        <v/>
      </c>
      <c r="AAE39" s="82">
        <f>AAD39</f>
        <v/>
      </c>
      <c r="AAF39" s="82">
        <f>AAE39</f>
        <v/>
      </c>
      <c r="AAG39" s="82">
        <f>AAF39</f>
        <v/>
      </c>
      <c r="AAH39" s="82">
        <f>AAG39</f>
        <v/>
      </c>
      <c r="AAI39" s="82">
        <f>AAH39</f>
        <v/>
      </c>
      <c r="AAJ39" s="82">
        <f>AAI39</f>
        <v/>
      </c>
      <c r="AAK39" s="82">
        <f>AAJ39</f>
        <v/>
      </c>
      <c r="AAL39" s="82">
        <f>AAK39</f>
        <v/>
      </c>
      <c r="AAM39" s="82">
        <f>AAL39</f>
        <v/>
      </c>
      <c r="AAN39" s="82">
        <f>AAM39</f>
        <v/>
      </c>
      <c r="AAO39" s="82">
        <f>AAN39</f>
        <v/>
      </c>
      <c r="AAP39" s="82">
        <f>AAO39</f>
        <v/>
      </c>
      <c r="AAQ39" s="82">
        <f>AAP39</f>
        <v/>
      </c>
      <c r="AAR39" s="82">
        <f>AAQ39</f>
        <v/>
      </c>
      <c r="AAS39" s="82">
        <f>AAR39</f>
        <v/>
      </c>
      <c r="AAT39" s="82">
        <f>AAS39</f>
        <v/>
      </c>
      <c r="AAU39" s="82">
        <f>AAT39</f>
        <v/>
      </c>
      <c r="AAV39" s="82">
        <f>AAU39</f>
        <v/>
      </c>
      <c r="AAW39" s="130" t="n"/>
      <c r="AAX39" s="82">
        <f>AAW39</f>
        <v/>
      </c>
      <c r="AAY39" s="82">
        <f>AAX39</f>
        <v/>
      </c>
      <c r="AAZ39" s="82">
        <f>AAY39</f>
        <v/>
      </c>
      <c r="ABA39" s="82">
        <f>AAZ39</f>
        <v/>
      </c>
      <c r="ABB39" s="82">
        <f>ABA39</f>
        <v/>
      </c>
      <c r="ABC39" s="82">
        <f>ABB39</f>
        <v/>
      </c>
      <c r="ABD39" s="82">
        <f>ABC39</f>
        <v/>
      </c>
      <c r="ABE39" s="82">
        <f>ABD39</f>
        <v/>
      </c>
      <c r="ABF39" s="82">
        <f>ABE39</f>
        <v/>
      </c>
      <c r="ABG39" s="82">
        <f>ABF39</f>
        <v/>
      </c>
      <c r="ABH39" s="82">
        <f>ABG39</f>
        <v/>
      </c>
      <c r="ABI39" s="82">
        <f>ABH39</f>
        <v/>
      </c>
      <c r="ABJ39" s="82">
        <f>ABI39</f>
        <v/>
      </c>
      <c r="ABK39" s="82">
        <f>ABJ39</f>
        <v/>
      </c>
      <c r="ABL39" s="82">
        <f>ABK39</f>
        <v/>
      </c>
      <c r="ABM39" s="82">
        <f>ABL39</f>
        <v/>
      </c>
      <c r="ABN39" s="82">
        <f>ABM39</f>
        <v/>
      </c>
      <c r="ABO39" s="82">
        <f>ABN39</f>
        <v/>
      </c>
      <c r="ABP39" s="82">
        <f>ABO39</f>
        <v/>
      </c>
      <c r="ABQ39" s="82">
        <f>ABP39</f>
        <v/>
      </c>
      <c r="ABR39" s="82">
        <f>ABQ39</f>
        <v/>
      </c>
      <c r="ABS39" s="82">
        <f>ABR39</f>
        <v/>
      </c>
      <c r="ABT39" s="82">
        <f>ABS39</f>
        <v/>
      </c>
      <c r="ABU39" s="82">
        <f>ABT39</f>
        <v/>
      </c>
      <c r="ABV39" s="82">
        <f>ABU39</f>
        <v/>
      </c>
      <c r="ABW39" s="82">
        <f>ABV39</f>
        <v/>
      </c>
      <c r="ABX39" s="82">
        <f>ABW39</f>
        <v/>
      </c>
      <c r="ABY39" s="82">
        <f>ABX39</f>
        <v/>
      </c>
      <c r="ABZ39" s="82">
        <f>ABY39</f>
        <v/>
      </c>
      <c r="ACA39" s="82">
        <f>ABZ39</f>
        <v/>
      </c>
      <c r="ACB39" s="82">
        <f>ACA39</f>
        <v/>
      </c>
      <c r="ACC39" s="130" t="n"/>
      <c r="ACD39" s="82">
        <f>ACC39</f>
        <v/>
      </c>
      <c r="ACE39" s="82">
        <f>ACD39</f>
        <v/>
      </c>
      <c r="ACF39" s="82">
        <f>ACE39</f>
        <v/>
      </c>
      <c r="ACG39" s="82">
        <f>ACF39</f>
        <v/>
      </c>
      <c r="ACH39" s="82">
        <f>ACG39</f>
        <v/>
      </c>
      <c r="ACI39" s="82">
        <f>ACH39</f>
        <v/>
      </c>
      <c r="ACJ39" s="82">
        <f>ACI39</f>
        <v/>
      </c>
      <c r="ACK39" s="82">
        <f>ACJ39</f>
        <v/>
      </c>
      <c r="ACL39" s="82">
        <f>ACK39</f>
        <v/>
      </c>
      <c r="ACM39" s="82">
        <f>ACL39</f>
        <v/>
      </c>
      <c r="ACN39" s="82">
        <f>ACM39</f>
        <v/>
      </c>
      <c r="ACO39" s="82">
        <f>ACN39</f>
        <v/>
      </c>
      <c r="ACP39" s="82">
        <f>ACO39</f>
        <v/>
      </c>
      <c r="ACQ39" s="82">
        <f>ACP39</f>
        <v/>
      </c>
      <c r="ACR39" s="82">
        <f>ACQ39</f>
        <v/>
      </c>
      <c r="ACS39" s="82">
        <f>ACR39</f>
        <v/>
      </c>
      <c r="ACT39" s="82">
        <f>ACS39</f>
        <v/>
      </c>
      <c r="ACU39" s="82">
        <f>ACT39</f>
        <v/>
      </c>
      <c r="ACV39" s="82">
        <f>ACU39</f>
        <v/>
      </c>
      <c r="ACW39" s="82">
        <f>ACV39</f>
        <v/>
      </c>
      <c r="ACX39" s="82">
        <f>ACW39</f>
        <v/>
      </c>
      <c r="ACY39" s="82">
        <f>ACX39</f>
        <v/>
      </c>
      <c r="ACZ39" s="82">
        <f>ACY39</f>
        <v/>
      </c>
      <c r="ADA39" s="82">
        <f>ACZ39</f>
        <v/>
      </c>
      <c r="ADB39" s="82">
        <f>ADA39</f>
        <v/>
      </c>
      <c r="ADC39" s="82">
        <f>ADB39</f>
        <v/>
      </c>
      <c r="ADD39" s="82">
        <f>ADC39</f>
        <v/>
      </c>
      <c r="ADE39" s="82">
        <f>ADD39</f>
        <v/>
      </c>
      <c r="ADF39" s="82">
        <f>ADE39</f>
        <v/>
      </c>
      <c r="ADG39" s="82">
        <f>ADF39</f>
        <v/>
      </c>
      <c r="ADH39" s="82">
        <f>ADG39</f>
        <v/>
      </c>
      <c r="ADI39" s="130" t="n"/>
      <c r="ADJ39" s="82">
        <f>ADI39</f>
        <v/>
      </c>
      <c r="ADK39" s="82">
        <f>ADJ39</f>
        <v/>
      </c>
      <c r="ADL39" s="82">
        <f>ADK39</f>
        <v/>
      </c>
      <c r="ADM39" s="82">
        <f>ADL39</f>
        <v/>
      </c>
      <c r="ADN39" s="82">
        <f>ADM39</f>
        <v/>
      </c>
      <c r="ADO39" s="82">
        <f>ADN39</f>
        <v/>
      </c>
      <c r="ADP39" s="82">
        <f>ADO39</f>
        <v/>
      </c>
      <c r="ADQ39" s="82">
        <f>ADP39</f>
        <v/>
      </c>
      <c r="ADR39" s="82">
        <f>ADQ39</f>
        <v/>
      </c>
      <c r="ADS39" s="82">
        <f>ADR39</f>
        <v/>
      </c>
      <c r="ADT39" s="82">
        <f>ADS39</f>
        <v/>
      </c>
      <c r="ADU39" s="82">
        <f>ADT39</f>
        <v/>
      </c>
      <c r="ADV39" s="82">
        <f>ADU39</f>
        <v/>
      </c>
      <c r="ADW39" s="82">
        <f>ADV39</f>
        <v/>
      </c>
      <c r="ADX39" s="82">
        <f>ADW39</f>
        <v/>
      </c>
      <c r="ADY39" s="82">
        <f>ADX39</f>
        <v/>
      </c>
      <c r="ADZ39" s="82">
        <f>ADY39</f>
        <v/>
      </c>
      <c r="AEA39" s="82">
        <f>ADZ39</f>
        <v/>
      </c>
      <c r="AEB39" s="82">
        <f>AEA39</f>
        <v/>
      </c>
      <c r="AEC39" s="82">
        <f>AEB39</f>
        <v/>
      </c>
      <c r="AED39" s="82">
        <f>AEC39</f>
        <v/>
      </c>
      <c r="AEE39" s="82">
        <f>AED39</f>
        <v/>
      </c>
      <c r="AEF39" s="82">
        <f>AEE39</f>
        <v/>
      </c>
      <c r="AEG39" s="82">
        <f>AEF39</f>
        <v/>
      </c>
      <c r="AEH39" s="82">
        <f>AEG39</f>
        <v/>
      </c>
      <c r="AEI39" s="82">
        <f>AEH39</f>
        <v/>
      </c>
      <c r="AEJ39" s="82">
        <f>AEI39</f>
        <v/>
      </c>
      <c r="AEK39" s="82">
        <f>AEJ39</f>
        <v/>
      </c>
      <c r="AEL39" s="82">
        <f>AEK39</f>
        <v/>
      </c>
      <c r="AEM39" s="82">
        <f>AEL39</f>
        <v/>
      </c>
      <c r="AEN39" s="130" t="n"/>
      <c r="AEO39" s="82">
        <f>AEN39</f>
        <v/>
      </c>
      <c r="AEP39" s="82">
        <f>AEO39</f>
        <v/>
      </c>
      <c r="AEQ39" s="82">
        <f>AEP39</f>
        <v/>
      </c>
      <c r="AER39" s="82">
        <f>AEQ39</f>
        <v/>
      </c>
      <c r="AES39" s="82">
        <f>AER39</f>
        <v/>
      </c>
      <c r="AET39" s="82">
        <f>AES39</f>
        <v/>
      </c>
      <c r="AEU39" s="82">
        <f>AET39</f>
        <v/>
      </c>
      <c r="AEV39" s="82">
        <f>AEU39</f>
        <v/>
      </c>
      <c r="AEW39" s="82">
        <f>AEV39</f>
        <v/>
      </c>
      <c r="AEX39" s="82">
        <f>AEW39</f>
        <v/>
      </c>
      <c r="AEY39" s="82">
        <f>AEX39</f>
        <v/>
      </c>
      <c r="AEZ39" s="82">
        <f>AEY39</f>
        <v/>
      </c>
      <c r="AFA39" s="82">
        <f>AEZ39</f>
        <v/>
      </c>
      <c r="AFB39" s="82">
        <f>AFA39</f>
        <v/>
      </c>
      <c r="AFC39" s="82">
        <f>AFB39</f>
        <v/>
      </c>
      <c r="AFD39" s="82">
        <f>AFC39</f>
        <v/>
      </c>
      <c r="AFE39" s="82">
        <f>AFD39</f>
        <v/>
      </c>
      <c r="AFF39" s="82">
        <f>AFE39</f>
        <v/>
      </c>
      <c r="AFG39" s="82">
        <f>AFF39</f>
        <v/>
      </c>
      <c r="AFH39" s="82">
        <f>AFG39</f>
        <v/>
      </c>
      <c r="AFI39" s="82">
        <f>AFH39</f>
        <v/>
      </c>
      <c r="AFJ39" s="82">
        <f>AFI39</f>
        <v/>
      </c>
      <c r="AFK39" s="82">
        <f>AFJ39</f>
        <v/>
      </c>
      <c r="AFL39" s="82">
        <f>AFK39</f>
        <v/>
      </c>
      <c r="AFM39" s="82">
        <f>AFL39</f>
        <v/>
      </c>
      <c r="AFN39" s="82">
        <f>AFM39</f>
        <v/>
      </c>
      <c r="AFO39" s="82">
        <f>AFN39</f>
        <v/>
      </c>
      <c r="AFP39" s="82">
        <f>AFO39</f>
        <v/>
      </c>
      <c r="AFQ39" s="82">
        <f>AFP39</f>
        <v/>
      </c>
      <c r="AFR39" s="82">
        <f>AFQ39</f>
        <v/>
      </c>
      <c r="AFS39" s="82">
        <f>AFR39</f>
        <v/>
      </c>
      <c r="AFT39" s="130" t="n"/>
      <c r="AFU39" s="82">
        <f>AFT39</f>
        <v/>
      </c>
      <c r="AFV39" s="82">
        <f>AFU39</f>
        <v/>
      </c>
      <c r="AFW39" s="82">
        <f>AFV39</f>
        <v/>
      </c>
      <c r="AFX39" s="82">
        <f>AFW39</f>
        <v/>
      </c>
      <c r="AFY39" s="82">
        <f>AFX39</f>
        <v/>
      </c>
      <c r="AFZ39" s="82">
        <f>AFY39</f>
        <v/>
      </c>
      <c r="AGA39" s="82">
        <f>AFZ39</f>
        <v/>
      </c>
      <c r="AGB39" s="82">
        <f>AGA39</f>
        <v/>
      </c>
      <c r="AGC39" s="82">
        <f>AGB39</f>
        <v/>
      </c>
      <c r="AGD39" s="82">
        <f>AGC39</f>
        <v/>
      </c>
      <c r="AGE39" s="82">
        <f>AGD39</f>
        <v/>
      </c>
      <c r="AGF39" s="82">
        <f>AGE39</f>
        <v/>
      </c>
      <c r="AGG39" s="82">
        <f>AGF39</f>
        <v/>
      </c>
      <c r="AGH39" s="82">
        <f>AGG39</f>
        <v/>
      </c>
      <c r="AGI39" s="82">
        <f>AGH39</f>
        <v/>
      </c>
      <c r="AGJ39" s="82">
        <f>AGI39</f>
        <v/>
      </c>
      <c r="AGK39" s="82">
        <f>AGJ39</f>
        <v/>
      </c>
      <c r="AGL39" s="82">
        <f>AGK39</f>
        <v/>
      </c>
      <c r="AGM39" s="82">
        <f>AGL39</f>
        <v/>
      </c>
      <c r="AGN39" s="82">
        <f>AGM39</f>
        <v/>
      </c>
      <c r="AGO39" s="82">
        <f>AGN39</f>
        <v/>
      </c>
      <c r="AGP39" s="82">
        <f>AGO39</f>
        <v/>
      </c>
      <c r="AGQ39" s="82">
        <f>AGP39</f>
        <v/>
      </c>
      <c r="AGR39" s="82">
        <f>AGQ39</f>
        <v/>
      </c>
      <c r="AGS39" s="82">
        <f>AGR39</f>
        <v/>
      </c>
      <c r="AGT39" s="82">
        <f>AGS39</f>
        <v/>
      </c>
      <c r="AGU39" s="82">
        <f>AGT39</f>
        <v/>
      </c>
      <c r="AGV39" s="82">
        <f>AGU39</f>
        <v/>
      </c>
      <c r="AGW39" s="82">
        <f>AGV39</f>
        <v/>
      </c>
      <c r="AGX39" s="82">
        <f>AGW39</f>
        <v/>
      </c>
      <c r="AGY39" s="133" t="n"/>
      <c r="AGZ39" s="82">
        <f>AGY39</f>
        <v/>
      </c>
      <c r="AHA39" s="82">
        <f>AGZ39</f>
        <v/>
      </c>
      <c r="AHB39" s="82">
        <f>AHA39</f>
        <v/>
      </c>
      <c r="AHC39" s="82">
        <f>AHB39</f>
        <v/>
      </c>
      <c r="AHD39" s="82">
        <f>AHC39</f>
        <v/>
      </c>
      <c r="AHE39" s="82">
        <f>AHD39</f>
        <v/>
      </c>
      <c r="AHF39" s="82">
        <f>AHE39</f>
        <v/>
      </c>
      <c r="AHG39" s="82">
        <f>AHF39</f>
        <v/>
      </c>
      <c r="AHH39" s="82">
        <f>AHG39</f>
        <v/>
      </c>
      <c r="AHI39" s="82">
        <f>AHH39</f>
        <v/>
      </c>
      <c r="AHJ39" s="82">
        <f>AHI39</f>
        <v/>
      </c>
      <c r="AHK39" s="82">
        <f>AHJ39</f>
        <v/>
      </c>
      <c r="AHL39" s="82">
        <f>AHK39</f>
        <v/>
      </c>
      <c r="AHM39" s="82">
        <f>AHL39</f>
        <v/>
      </c>
      <c r="AHN39" s="82">
        <f>AHM39</f>
        <v/>
      </c>
      <c r="AHO39" s="82">
        <f>AHN39</f>
        <v/>
      </c>
      <c r="AHP39" s="82">
        <f>AHO39</f>
        <v/>
      </c>
      <c r="AHQ39" s="82" t="n">
        <v>320000</v>
      </c>
      <c r="AHR39" s="82">
        <f>AHQ39</f>
        <v/>
      </c>
      <c r="AHS39" s="82">
        <f>AHR39</f>
        <v/>
      </c>
      <c r="AHT39" s="82">
        <f>AHS39</f>
        <v/>
      </c>
      <c r="AHU39" s="82">
        <f>AHT39</f>
        <v/>
      </c>
      <c r="AHV39" s="82">
        <f>AHU39</f>
        <v/>
      </c>
      <c r="AHW39" s="82">
        <f>AHV39</f>
        <v/>
      </c>
      <c r="AHX39" s="82">
        <f>AHW39</f>
        <v/>
      </c>
      <c r="AHY39" s="82">
        <f>AHX39</f>
        <v/>
      </c>
      <c r="AHZ39" s="82">
        <f>AHY39</f>
        <v/>
      </c>
      <c r="AIA39" s="82">
        <f>AHZ39</f>
        <v/>
      </c>
      <c r="AIB39" s="82">
        <f>AIA39</f>
        <v/>
      </c>
      <c r="AIC39" s="82">
        <f>AIB39</f>
        <v/>
      </c>
      <c r="AID39" s="82">
        <f>AIC39</f>
        <v/>
      </c>
      <c r="AIE39" s="130" t="n"/>
      <c r="AIF39" s="82">
        <f>AID39</f>
        <v/>
      </c>
      <c r="AIG39" s="82">
        <f>AIF39</f>
        <v/>
      </c>
      <c r="AIH39" s="82">
        <f>AIG39</f>
        <v/>
      </c>
      <c r="AII39" s="82">
        <f>AIH39</f>
        <v/>
      </c>
      <c r="AIJ39" s="82">
        <f>AII39</f>
        <v/>
      </c>
      <c r="AIK39" s="82">
        <f>AIJ39</f>
        <v/>
      </c>
      <c r="AIL39" s="82">
        <f>AIK39</f>
        <v/>
      </c>
      <c r="AIM39" s="82">
        <f>AIL39</f>
        <v/>
      </c>
      <c r="AIN39" s="82">
        <f>AIM39</f>
        <v/>
      </c>
      <c r="AIO39" s="82">
        <f>AIN39</f>
        <v/>
      </c>
      <c r="AIP39" s="82">
        <f>AIO39</f>
        <v/>
      </c>
      <c r="AIQ39" s="82">
        <f>AIP39</f>
        <v/>
      </c>
      <c r="AIR39" s="82">
        <f>AIQ39</f>
        <v/>
      </c>
      <c r="AIS39" s="82">
        <f>AIR39</f>
        <v/>
      </c>
      <c r="AIT39" s="82">
        <f>AIS39</f>
        <v/>
      </c>
      <c r="AIU39" s="82">
        <f>AIT39</f>
        <v/>
      </c>
      <c r="AIV39" s="82">
        <f>AIU39</f>
        <v/>
      </c>
      <c r="AIW39" s="82">
        <f>AIV39</f>
        <v/>
      </c>
      <c r="AIX39" s="82" t="n">
        <v>0</v>
      </c>
      <c r="AIY39" s="82">
        <f>AIX39</f>
        <v/>
      </c>
      <c r="AIZ39" s="82">
        <f>AIY39</f>
        <v/>
      </c>
      <c r="AJA39" s="82">
        <f>AIZ39</f>
        <v/>
      </c>
      <c r="AJB39" s="82">
        <f>AJA39</f>
        <v/>
      </c>
      <c r="AJC39" s="82">
        <f>AJB39</f>
        <v/>
      </c>
      <c r="AJD39" s="82">
        <f>AJC39</f>
        <v/>
      </c>
      <c r="AJE39" s="82">
        <f>AJD39</f>
        <v/>
      </c>
      <c r="AJF39" s="82">
        <f>AJE39</f>
        <v/>
      </c>
      <c r="AJG39" s="82">
        <f>AJF39</f>
        <v/>
      </c>
      <c r="AJH39" s="82">
        <f>AJG39</f>
        <v/>
      </c>
      <c r="AJI39" s="82">
        <f>AJH39</f>
        <v/>
      </c>
      <c r="AJJ39" s="82">
        <f>AJI39</f>
        <v/>
      </c>
      <c r="AJK39" s="145" t="n"/>
      <c r="AJL39" s="82">
        <f>AJK39</f>
        <v/>
      </c>
      <c r="AJM39" s="82">
        <f>AJL39</f>
        <v/>
      </c>
      <c r="AJN39" s="82">
        <f>AJM39</f>
        <v/>
      </c>
      <c r="AJO39" s="82">
        <f>AJN39</f>
        <v/>
      </c>
      <c r="AJP39" s="82">
        <f>AJO39</f>
        <v/>
      </c>
      <c r="AJQ39" s="82">
        <f>AJP39</f>
        <v/>
      </c>
      <c r="AJR39" s="82">
        <f>AJQ39</f>
        <v/>
      </c>
      <c r="AJS39" s="82">
        <f>AJR39</f>
        <v/>
      </c>
      <c r="AJT39" s="82">
        <f>AJS39</f>
        <v/>
      </c>
      <c r="AJU39" s="82">
        <f>AJT39</f>
        <v/>
      </c>
      <c r="AJV39" s="82">
        <f>AJU39</f>
        <v/>
      </c>
      <c r="AJW39" s="82">
        <f>AJV39</f>
        <v/>
      </c>
      <c r="AJX39" s="82">
        <f>AJW39</f>
        <v/>
      </c>
      <c r="AJY39" s="82">
        <f>AJX39</f>
        <v/>
      </c>
      <c r="AJZ39" s="82">
        <f>AJY39</f>
        <v/>
      </c>
      <c r="AKA39" s="82">
        <f>AJZ39</f>
        <v/>
      </c>
      <c r="AKB39" s="82">
        <f>AKA39</f>
        <v/>
      </c>
      <c r="AKC39" s="82">
        <f>AKB39</f>
        <v/>
      </c>
      <c r="AKD39" s="82">
        <f>AKC39</f>
        <v/>
      </c>
      <c r="AKE39" s="82">
        <f>AKD39</f>
        <v/>
      </c>
      <c r="AKF39" s="82">
        <f>AKE39</f>
        <v/>
      </c>
      <c r="AKG39" s="82">
        <f>AKF39</f>
        <v/>
      </c>
      <c r="AKH39" s="82">
        <f>AKG39</f>
        <v/>
      </c>
      <c r="AKI39" s="82">
        <f>AKH39</f>
        <v/>
      </c>
      <c r="AKJ39" s="82">
        <f>AKI39</f>
        <v/>
      </c>
      <c r="AKK39" s="82">
        <f>AKJ39</f>
        <v/>
      </c>
      <c r="AKL39" s="82">
        <f>AKK39</f>
        <v/>
      </c>
      <c r="AKM39" s="82">
        <f>AKL39</f>
        <v/>
      </c>
      <c r="AKN39" s="112" t="n"/>
      <c r="AKO39" s="82">
        <f>AKN39</f>
        <v/>
      </c>
      <c r="AKP39" s="82">
        <f>AKO39</f>
        <v/>
      </c>
      <c r="AKQ39" s="82">
        <f>AKP39</f>
        <v/>
      </c>
      <c r="AKR39" s="82">
        <f>AKQ39</f>
        <v/>
      </c>
      <c r="AKS39" s="82">
        <f>AKR39</f>
        <v/>
      </c>
      <c r="AKT39" s="82">
        <f>AKS39</f>
        <v/>
      </c>
      <c r="AKU39" s="82">
        <f>AKT39</f>
        <v/>
      </c>
      <c r="AKV39" s="82">
        <f>AKU39</f>
        <v/>
      </c>
      <c r="AKW39" s="82">
        <f>AKV39</f>
        <v/>
      </c>
      <c r="AKX39" s="82">
        <f>AKW39</f>
        <v/>
      </c>
      <c r="AKY39" s="82">
        <f>AKX39</f>
        <v/>
      </c>
      <c r="AKZ39" s="82">
        <f>AKY39</f>
        <v/>
      </c>
      <c r="ALA39" s="82">
        <f>AKZ39</f>
        <v/>
      </c>
      <c r="ALB39" s="82">
        <f>ALA39</f>
        <v/>
      </c>
      <c r="ALC39" s="82">
        <f>ALB39</f>
        <v/>
      </c>
      <c r="ALD39" s="82">
        <f>ALC39</f>
        <v/>
      </c>
      <c r="ALE39" s="82">
        <f>ALD39</f>
        <v/>
      </c>
      <c r="ALF39" s="82">
        <f>ALE39</f>
        <v/>
      </c>
      <c r="ALG39" s="82">
        <f>ALF39</f>
        <v/>
      </c>
      <c r="ALH39" s="82">
        <f>ALG39</f>
        <v/>
      </c>
      <c r="ALI39" s="82">
        <f>ALH39</f>
        <v/>
      </c>
      <c r="ALJ39" s="82">
        <f>ALI39</f>
        <v/>
      </c>
      <c r="ALK39" s="82">
        <f>ALJ39</f>
        <v/>
      </c>
      <c r="ALL39" s="82">
        <f>ALK39</f>
        <v/>
      </c>
      <c r="ALM39" s="82">
        <f>ALL39</f>
        <v/>
      </c>
      <c r="ALN39" s="82">
        <f>ALM39</f>
        <v/>
      </c>
      <c r="ALO39" s="82">
        <f>ALN39</f>
        <v/>
      </c>
      <c r="ALP39" s="82">
        <f>ALO39</f>
        <v/>
      </c>
      <c r="ALQ39" s="82">
        <f>ALP39</f>
        <v/>
      </c>
      <c r="ALR39" s="82">
        <f>ALQ39</f>
        <v/>
      </c>
      <c r="ALS39" s="82">
        <f>ALR39</f>
        <v/>
      </c>
      <c r="ALT39" s="130" t="n"/>
      <c r="ALU39" s="82">
        <f>ALT39</f>
        <v/>
      </c>
      <c r="ALV39" s="82">
        <f>ALU39</f>
        <v/>
      </c>
      <c r="ALW39" s="82">
        <f>ALV39</f>
        <v/>
      </c>
      <c r="ALX39" s="82">
        <f>ALW39</f>
        <v/>
      </c>
      <c r="ALY39" s="82">
        <f>ALX39</f>
        <v/>
      </c>
      <c r="ALZ39" s="82">
        <f>ALY39</f>
        <v/>
      </c>
      <c r="AMA39" s="82">
        <f>ALZ39</f>
        <v/>
      </c>
      <c r="AMB39" s="82">
        <f>AMA39</f>
        <v/>
      </c>
      <c r="AMC39" s="82">
        <f>AMB39</f>
        <v/>
      </c>
      <c r="AMD39" s="82">
        <f>AMC39</f>
        <v/>
      </c>
      <c r="AME39" s="82">
        <f>AMD39</f>
        <v/>
      </c>
      <c r="AMF39" s="82">
        <f>AME39</f>
        <v/>
      </c>
      <c r="AMG39" s="82">
        <f>AMF39</f>
        <v/>
      </c>
      <c r="AMH39" s="82">
        <f>AMG39</f>
        <v/>
      </c>
      <c r="AMI39" s="82">
        <f>AMH39</f>
        <v/>
      </c>
      <c r="AMJ39" s="82">
        <f>AMI39</f>
        <v/>
      </c>
      <c r="AMK39" s="82">
        <f>AMJ39</f>
        <v/>
      </c>
      <c r="AML39" s="82">
        <f>AMK39</f>
        <v/>
      </c>
      <c r="AMM39" s="82">
        <f>AML39</f>
        <v/>
      </c>
      <c r="AMN39" s="82">
        <f>AMM39</f>
        <v/>
      </c>
      <c r="AMO39" s="82">
        <f>AMN39</f>
        <v/>
      </c>
      <c r="AMP39" s="82">
        <f>AMO39</f>
        <v/>
      </c>
      <c r="AMQ39" s="82">
        <f>AMP39</f>
        <v/>
      </c>
      <c r="AMR39" s="82">
        <f>AMQ39</f>
        <v/>
      </c>
      <c r="AMS39" s="82">
        <f>AMR39</f>
        <v/>
      </c>
      <c r="AMT39" s="82">
        <f>AMS39</f>
        <v/>
      </c>
      <c r="AMU39" s="82">
        <f>AMT39</f>
        <v/>
      </c>
      <c r="AMV39" s="82">
        <f>AMU39</f>
        <v/>
      </c>
      <c r="AMW39" s="82">
        <f>AMV39</f>
        <v/>
      </c>
      <c r="AMX39" s="82">
        <f>AMW39</f>
        <v/>
      </c>
      <c r="AMY39" s="130" t="n"/>
      <c r="AMZ39" s="82">
        <f>AMY39</f>
        <v/>
      </c>
      <c r="ANA39" s="82">
        <f>AMZ39</f>
        <v/>
      </c>
      <c r="ANB39" s="82">
        <f>ANA39</f>
        <v/>
      </c>
      <c r="ANC39" s="82">
        <f>ANB39</f>
        <v/>
      </c>
      <c r="AND39" s="82">
        <f>ANC39</f>
        <v/>
      </c>
      <c r="ANE39" s="82">
        <f>AND39</f>
        <v/>
      </c>
      <c r="ANF39" s="82">
        <f>ANE39</f>
        <v/>
      </c>
      <c r="ANG39" s="82">
        <f>ANF39</f>
        <v/>
      </c>
      <c r="ANH39" s="82">
        <f>ANG39</f>
        <v/>
      </c>
      <c r="ANI39" s="82">
        <f>ANH39</f>
        <v/>
      </c>
      <c r="ANJ39" s="82">
        <f>ANI39</f>
        <v/>
      </c>
      <c r="ANK39" s="82">
        <f>ANJ39</f>
        <v/>
      </c>
      <c r="ANL39" s="82">
        <f>ANK39</f>
        <v/>
      </c>
      <c r="ANM39" s="82">
        <f>ANL39</f>
        <v/>
      </c>
      <c r="ANN39" s="82">
        <f>ANM39</f>
        <v/>
      </c>
      <c r="ANO39" s="82">
        <f>ANN39</f>
        <v/>
      </c>
      <c r="ANP39" s="82">
        <f>ANO39</f>
        <v/>
      </c>
      <c r="ANQ39" s="82">
        <f>ANP39</f>
        <v/>
      </c>
      <c r="ANR39" s="82">
        <f>ANQ39</f>
        <v/>
      </c>
      <c r="ANS39" s="82">
        <f>ANR39</f>
        <v/>
      </c>
      <c r="ANT39" s="82">
        <f>ANS39</f>
        <v/>
      </c>
      <c r="ANU39" s="82">
        <f>ANT39</f>
        <v/>
      </c>
      <c r="ANV39" s="82">
        <f>ANU39</f>
        <v/>
      </c>
      <c r="ANW39" s="82">
        <f>ANV39</f>
        <v/>
      </c>
      <c r="ANX39" s="82">
        <f>ANW39</f>
        <v/>
      </c>
      <c r="ANY39" s="82">
        <f>ANX39</f>
        <v/>
      </c>
      <c r="ANZ39" s="82">
        <f>ANY39</f>
        <v/>
      </c>
      <c r="AOA39" s="82">
        <f>ANZ39</f>
        <v/>
      </c>
      <c r="AOB39" s="82">
        <f>AOA39</f>
        <v/>
      </c>
      <c r="AOC39" s="82">
        <f>AOB39</f>
        <v/>
      </c>
    </row>
    <row r="40">
      <c r="B40" s="13" t="inlineStr">
        <is>
          <t>Received money from others</t>
        </is>
      </c>
      <c r="C40" s="52" t="n">
        <v>40000000</v>
      </c>
      <c r="D40" s="52">
        <f>C40</f>
        <v/>
      </c>
      <c r="E40" s="52">
        <f>D40</f>
        <v/>
      </c>
      <c r="F40" s="52">
        <f>E40</f>
        <v/>
      </c>
      <c r="G40" s="52">
        <f>F40</f>
        <v/>
      </c>
      <c r="H40" s="52">
        <f>G40</f>
        <v/>
      </c>
      <c r="I40" s="52">
        <f>H40</f>
        <v/>
      </c>
      <c r="J40" s="52">
        <f>I40</f>
        <v/>
      </c>
      <c r="K40" s="52">
        <f>J40</f>
        <v/>
      </c>
      <c r="L40" s="52">
        <f>K40</f>
        <v/>
      </c>
      <c r="M40" s="52">
        <f>L40</f>
        <v/>
      </c>
      <c r="N40" s="52">
        <f>M40</f>
        <v/>
      </c>
      <c r="O40" s="52">
        <f>N40</f>
        <v/>
      </c>
      <c r="P40" s="52">
        <f>O40</f>
        <v/>
      </c>
      <c r="Q40" s="52">
        <f>P40</f>
        <v/>
      </c>
      <c r="R40" s="52">
        <f>Q40</f>
        <v/>
      </c>
      <c r="S40" s="52">
        <f>R40</f>
        <v/>
      </c>
      <c r="T40" s="52">
        <f>S40</f>
        <v/>
      </c>
      <c r="U40" s="52">
        <f>T40</f>
        <v/>
      </c>
      <c r="V40" s="52">
        <f>U40</f>
        <v/>
      </c>
      <c r="W40" s="52">
        <f>V40</f>
        <v/>
      </c>
      <c r="X40" s="52">
        <f>W40</f>
        <v/>
      </c>
      <c r="Y40" s="52">
        <f>X40</f>
        <v/>
      </c>
      <c r="Z40" s="52">
        <f>Y40</f>
        <v/>
      </c>
      <c r="AA40" s="52">
        <f>Z40</f>
        <v/>
      </c>
      <c r="AB40" s="52">
        <f>AA40</f>
        <v/>
      </c>
      <c r="AC40" s="52">
        <f>AB40</f>
        <v/>
      </c>
      <c r="AD40" s="52">
        <f>AC40</f>
        <v/>
      </c>
      <c r="AE40" s="52">
        <f>AD40</f>
        <v/>
      </c>
      <c r="AF40" s="52">
        <f>AE40</f>
        <v/>
      </c>
      <c r="AG40" s="52">
        <f>AF40</f>
        <v/>
      </c>
      <c r="AH40" s="67">
        <f>AG40</f>
        <v/>
      </c>
      <c r="AI40" s="82">
        <f>AG40</f>
        <v/>
      </c>
      <c r="AJ40" s="82">
        <f>AI40</f>
        <v/>
      </c>
      <c r="AK40" s="82">
        <f>AI40</f>
        <v/>
      </c>
      <c r="AL40" s="82">
        <f>AJ40</f>
        <v/>
      </c>
      <c r="AM40" s="82">
        <f>AK40</f>
        <v/>
      </c>
      <c r="AN40" s="82">
        <f>AL40</f>
        <v/>
      </c>
      <c r="AO40" s="82">
        <f>AM40</f>
        <v/>
      </c>
      <c r="AP40" s="82">
        <f>AN40</f>
        <v/>
      </c>
      <c r="AQ40" s="82">
        <f>AO40</f>
        <v/>
      </c>
      <c r="AR40" s="82">
        <f>AP40</f>
        <v/>
      </c>
      <c r="AS40" s="82">
        <f>AQ40</f>
        <v/>
      </c>
      <c r="AT40" s="82">
        <f>AR40</f>
        <v/>
      </c>
      <c r="AU40" s="82">
        <f>AS40</f>
        <v/>
      </c>
      <c r="AV40" s="82">
        <f>AT40</f>
        <v/>
      </c>
      <c r="AW40" s="82">
        <f>AU40</f>
        <v/>
      </c>
      <c r="AX40" s="82">
        <f>AV40</f>
        <v/>
      </c>
      <c r="AY40" s="82">
        <f>AW40</f>
        <v/>
      </c>
      <c r="AZ40" s="82">
        <f>AX40</f>
        <v/>
      </c>
      <c r="BA40" s="82">
        <f>AY40</f>
        <v/>
      </c>
      <c r="BB40" s="82">
        <f>AZ40</f>
        <v/>
      </c>
      <c r="BC40" s="82">
        <f>BA40</f>
        <v/>
      </c>
      <c r="BD40" s="82">
        <f>BB40</f>
        <v/>
      </c>
      <c r="BE40" s="82">
        <f>BC40</f>
        <v/>
      </c>
      <c r="BF40" s="82">
        <f>BD40</f>
        <v/>
      </c>
      <c r="BG40" s="82">
        <f>BE40</f>
        <v/>
      </c>
      <c r="BH40" s="82">
        <f>BF40</f>
        <v/>
      </c>
      <c r="BI40" s="82">
        <f>BG40</f>
        <v/>
      </c>
      <c r="BJ40" s="82">
        <f>BH40</f>
        <v/>
      </c>
      <c r="BK40" s="82">
        <f>BI40</f>
        <v/>
      </c>
      <c r="BL40" s="82">
        <f>BJ40</f>
        <v/>
      </c>
      <c r="BM40" s="106">
        <f>BL40</f>
        <v/>
      </c>
      <c r="BN40" s="82">
        <f>BL40</f>
        <v/>
      </c>
      <c r="BO40" s="82">
        <f>BM40</f>
        <v/>
      </c>
      <c r="BP40" s="82">
        <f>BN40</f>
        <v/>
      </c>
      <c r="BQ40" s="82">
        <f>BO40</f>
        <v/>
      </c>
      <c r="BR40" s="82">
        <f>BP40</f>
        <v/>
      </c>
      <c r="BS40" s="82">
        <f>BQ40</f>
        <v/>
      </c>
      <c r="BT40" s="82">
        <f>BR40</f>
        <v/>
      </c>
      <c r="BU40" s="82">
        <f>BS40</f>
        <v/>
      </c>
      <c r="BV40" s="82">
        <f>BT40</f>
        <v/>
      </c>
      <c r="BW40" s="82">
        <f>BU40</f>
        <v/>
      </c>
      <c r="BX40" s="82">
        <f>BV40</f>
        <v/>
      </c>
      <c r="BY40" s="82">
        <f>BW40</f>
        <v/>
      </c>
      <c r="BZ40" s="82">
        <f>BX40</f>
        <v/>
      </c>
      <c r="CA40" s="82">
        <f>BY40</f>
        <v/>
      </c>
      <c r="CB40" s="82">
        <f>BZ40</f>
        <v/>
      </c>
      <c r="CC40" s="82">
        <f>CA40</f>
        <v/>
      </c>
      <c r="CD40" s="82">
        <f>CB40</f>
        <v/>
      </c>
      <c r="CE40" s="82">
        <f>CC40</f>
        <v/>
      </c>
      <c r="CF40" s="82">
        <f>CD40</f>
        <v/>
      </c>
      <c r="CG40" s="82">
        <f>CE40</f>
        <v/>
      </c>
      <c r="CH40" s="82">
        <f>CF40</f>
        <v/>
      </c>
      <c r="CI40" s="82">
        <f>CG40</f>
        <v/>
      </c>
      <c r="CJ40" s="82">
        <f>CH40</f>
        <v/>
      </c>
      <c r="CK40" s="82">
        <f>CI40</f>
        <v/>
      </c>
      <c r="CL40" s="82">
        <f>CJ40</f>
        <v/>
      </c>
      <c r="CM40" s="82">
        <f>CK40</f>
        <v/>
      </c>
      <c r="CN40" s="82">
        <f>CL40</f>
        <v/>
      </c>
      <c r="CO40" s="82">
        <f>CM40</f>
        <v/>
      </c>
      <c r="CP40" s="82">
        <f>CN40</f>
        <v/>
      </c>
      <c r="CQ40" s="82">
        <f>CO40</f>
        <v/>
      </c>
      <c r="CR40" s="82">
        <f>CP40</f>
        <v/>
      </c>
      <c r="CT40" s="82">
        <f>CR40</f>
        <v/>
      </c>
      <c r="CU40" s="82">
        <f>CT40</f>
        <v/>
      </c>
      <c r="CV40" s="82">
        <f>CT40</f>
        <v/>
      </c>
      <c r="CW40" s="82">
        <f>CU40</f>
        <v/>
      </c>
      <c r="CX40" s="82">
        <f>CV40</f>
        <v/>
      </c>
      <c r="CY40" s="82">
        <f>CW40</f>
        <v/>
      </c>
      <c r="CZ40" s="82">
        <f>CX40</f>
        <v/>
      </c>
      <c r="DA40" s="82">
        <f>CY40</f>
        <v/>
      </c>
      <c r="DB40" s="82">
        <f>CZ40</f>
        <v/>
      </c>
      <c r="DC40" s="82">
        <f>DA40</f>
        <v/>
      </c>
      <c r="DD40" s="82">
        <f>DB40</f>
        <v/>
      </c>
      <c r="DE40" s="82">
        <f>DC40</f>
        <v/>
      </c>
      <c r="DF40" s="82">
        <f>DD40</f>
        <v/>
      </c>
      <c r="DG40" s="82">
        <f>DE40</f>
        <v/>
      </c>
      <c r="DH40" s="82">
        <f>DF40</f>
        <v/>
      </c>
      <c r="DI40" s="82">
        <f>DG40</f>
        <v/>
      </c>
      <c r="DJ40" s="82">
        <f>DH40</f>
        <v/>
      </c>
      <c r="DK40" s="82">
        <f>DI40</f>
        <v/>
      </c>
      <c r="DL40" s="82">
        <f>DJ40</f>
        <v/>
      </c>
      <c r="DM40" s="82">
        <f>DK40</f>
        <v/>
      </c>
      <c r="DN40" s="82">
        <f>DL40</f>
        <v/>
      </c>
      <c r="DO40" s="82">
        <f>DM40</f>
        <v/>
      </c>
      <c r="DP40" s="82">
        <f>DN40</f>
        <v/>
      </c>
      <c r="DQ40" s="82">
        <f>DO40</f>
        <v/>
      </c>
      <c r="DR40" s="82">
        <f>DP40</f>
        <v/>
      </c>
      <c r="DS40" s="82">
        <f>DQ40</f>
        <v/>
      </c>
      <c r="DT40" s="82">
        <f>DR40</f>
        <v/>
      </c>
      <c r="DU40" s="82">
        <f>DS40</f>
        <v/>
      </c>
      <c r="DV40" s="82">
        <f>DT40</f>
        <v/>
      </c>
      <c r="DW40" s="82">
        <f>DU40</f>
        <v/>
      </c>
      <c r="DX40" s="117" t="n"/>
      <c r="DY40" s="82">
        <f>DW40</f>
        <v/>
      </c>
      <c r="DZ40" s="82">
        <f>DY40</f>
        <v/>
      </c>
      <c r="EA40" s="82">
        <f>DY40</f>
        <v/>
      </c>
      <c r="EB40" s="82">
        <f>DZ40</f>
        <v/>
      </c>
      <c r="EC40" s="82">
        <f>EA40</f>
        <v/>
      </c>
      <c r="ED40" s="82">
        <f>EB40</f>
        <v/>
      </c>
      <c r="EE40" s="82">
        <f>EC40</f>
        <v/>
      </c>
      <c r="EF40" s="82">
        <f>ED40</f>
        <v/>
      </c>
      <c r="EG40" s="82">
        <f>EE40</f>
        <v/>
      </c>
      <c r="EH40" s="82">
        <f>EF40</f>
        <v/>
      </c>
      <c r="EI40" s="82">
        <f>EG40</f>
        <v/>
      </c>
      <c r="EJ40" s="82">
        <f>EH40</f>
        <v/>
      </c>
      <c r="EK40" s="82">
        <f>EI40</f>
        <v/>
      </c>
      <c r="EL40" s="82">
        <f>EJ40</f>
        <v/>
      </c>
      <c r="EM40" s="82">
        <f>EK40</f>
        <v/>
      </c>
      <c r="EN40" s="82">
        <f>EL40</f>
        <v/>
      </c>
      <c r="EO40" s="82">
        <f>EM40</f>
        <v/>
      </c>
      <c r="EP40" s="82">
        <f>EN40</f>
        <v/>
      </c>
      <c r="EQ40" s="82">
        <f>EO40</f>
        <v/>
      </c>
      <c r="ER40" s="82">
        <f>EP40</f>
        <v/>
      </c>
      <c r="ES40" s="82">
        <f>EQ40</f>
        <v/>
      </c>
      <c r="ET40" s="82">
        <f>ER40</f>
        <v/>
      </c>
      <c r="EU40" s="82">
        <f>ES40</f>
        <v/>
      </c>
      <c r="EV40" s="82">
        <f>ET40</f>
        <v/>
      </c>
      <c r="EW40" s="82">
        <f>EU40</f>
        <v/>
      </c>
      <c r="EX40" s="82">
        <f>EV40</f>
        <v/>
      </c>
      <c r="EY40" s="82">
        <f>EW40</f>
        <v/>
      </c>
      <c r="EZ40" s="82">
        <f>EX40</f>
        <v/>
      </c>
      <c r="FA40" s="82">
        <f>EY40</f>
        <v/>
      </c>
      <c r="FB40" s="82">
        <f>EZ40</f>
        <v/>
      </c>
      <c r="FC40" s="82">
        <f>FA40</f>
        <v/>
      </c>
      <c r="FD40" s="126" t="n"/>
      <c r="FE40" s="82">
        <f>FC40</f>
        <v/>
      </c>
      <c r="FF40" s="82">
        <f>FE40</f>
        <v/>
      </c>
      <c r="FG40" s="82">
        <f>FE40</f>
        <v/>
      </c>
      <c r="FH40" s="82">
        <f>FF40</f>
        <v/>
      </c>
      <c r="FI40" s="82">
        <f>FG40</f>
        <v/>
      </c>
      <c r="FJ40" s="82">
        <f>FH40</f>
        <v/>
      </c>
      <c r="FK40" s="82">
        <f>FI40</f>
        <v/>
      </c>
      <c r="FL40" s="82">
        <f>FJ40</f>
        <v/>
      </c>
      <c r="FM40" s="82">
        <f>FK40</f>
        <v/>
      </c>
      <c r="FN40" s="82">
        <f>FL40</f>
        <v/>
      </c>
      <c r="FO40" s="82">
        <f>FM40</f>
        <v/>
      </c>
      <c r="FP40" s="82">
        <f>FN40</f>
        <v/>
      </c>
      <c r="FQ40" s="82">
        <f>FO40</f>
        <v/>
      </c>
      <c r="FR40" s="82">
        <f>FP40</f>
        <v/>
      </c>
      <c r="FS40" s="82">
        <f>FQ40</f>
        <v/>
      </c>
      <c r="FT40" s="82">
        <f>FR40</f>
        <v/>
      </c>
      <c r="FU40" s="82">
        <f>FS40</f>
        <v/>
      </c>
      <c r="FV40" s="82">
        <f>FT40</f>
        <v/>
      </c>
      <c r="FW40" s="82">
        <f>FU40</f>
        <v/>
      </c>
      <c r="FX40" s="82">
        <f>FV40</f>
        <v/>
      </c>
      <c r="FY40" s="82">
        <f>FW40</f>
        <v/>
      </c>
      <c r="FZ40" s="82">
        <f>FX40</f>
        <v/>
      </c>
      <c r="GA40" s="82">
        <f>FY40</f>
        <v/>
      </c>
      <c r="GB40" s="82">
        <f>FZ40</f>
        <v/>
      </c>
      <c r="GC40" s="82">
        <f>GA40</f>
        <v/>
      </c>
      <c r="GD40" s="82">
        <f>GB40</f>
        <v/>
      </c>
      <c r="GE40" s="82">
        <f>GC40</f>
        <v/>
      </c>
      <c r="GF40" s="82">
        <f>GD40</f>
        <v/>
      </c>
      <c r="GG40" s="82">
        <f>GE40</f>
        <v/>
      </c>
      <c r="GH40" s="82">
        <f>GF40</f>
        <v/>
      </c>
      <c r="GI40" s="82">
        <f>GG40</f>
        <v/>
      </c>
      <c r="GJ40" s="130" t="n"/>
      <c r="GK40" s="82">
        <f>GI40</f>
        <v/>
      </c>
      <c r="GL40" s="82">
        <f>GK40</f>
        <v/>
      </c>
      <c r="GM40" s="82">
        <f>GK40</f>
        <v/>
      </c>
      <c r="GN40" s="82">
        <f>GL40</f>
        <v/>
      </c>
      <c r="GO40" s="82">
        <f>GM40</f>
        <v/>
      </c>
      <c r="GP40" s="82">
        <f>GN40</f>
        <v/>
      </c>
      <c r="GQ40" s="82">
        <f>GO40</f>
        <v/>
      </c>
      <c r="GR40" s="82">
        <f>GP40</f>
        <v/>
      </c>
      <c r="GS40" s="82">
        <f>GQ40</f>
        <v/>
      </c>
      <c r="GT40" s="82">
        <f>GR40</f>
        <v/>
      </c>
      <c r="GU40" s="82">
        <f>GS40</f>
        <v/>
      </c>
      <c r="GV40" s="82">
        <f>GT40</f>
        <v/>
      </c>
      <c r="GW40" s="82">
        <f>GU40</f>
        <v/>
      </c>
      <c r="GX40" s="82">
        <f>GV40</f>
        <v/>
      </c>
      <c r="GY40" s="82">
        <f>GW40</f>
        <v/>
      </c>
      <c r="GZ40" s="82">
        <f>GX40</f>
        <v/>
      </c>
      <c r="HA40" s="82">
        <f>GY40</f>
        <v/>
      </c>
      <c r="HB40" s="82">
        <f>GZ40</f>
        <v/>
      </c>
      <c r="HC40" s="82">
        <f>HA40</f>
        <v/>
      </c>
      <c r="HD40" s="82">
        <f>HB40</f>
        <v/>
      </c>
      <c r="HE40" s="82">
        <f>HC40</f>
        <v/>
      </c>
      <c r="HF40" s="82">
        <f>HD40</f>
        <v/>
      </c>
      <c r="HG40" s="82">
        <f>HE40</f>
        <v/>
      </c>
      <c r="HH40" s="82">
        <f>HF40</f>
        <v/>
      </c>
      <c r="HI40" s="82">
        <f>HG40</f>
        <v/>
      </c>
      <c r="HJ40" s="82">
        <f>HH40</f>
        <v/>
      </c>
      <c r="HK40" s="82">
        <f>HI40</f>
        <v/>
      </c>
      <c r="HL40" s="82">
        <f>HJ40</f>
        <v/>
      </c>
      <c r="HM40" s="82">
        <f>HK40</f>
        <v/>
      </c>
      <c r="HN40" s="130" t="n"/>
      <c r="HO40" s="82">
        <f>HM40</f>
        <v/>
      </c>
      <c r="HP40" s="82">
        <f>HO40</f>
        <v/>
      </c>
      <c r="HQ40" s="82">
        <f>HO40</f>
        <v/>
      </c>
      <c r="HR40" s="82">
        <f>HP40</f>
        <v/>
      </c>
      <c r="HS40" s="82">
        <f>HQ40</f>
        <v/>
      </c>
      <c r="HT40" s="82">
        <f>HR40</f>
        <v/>
      </c>
      <c r="HU40" s="82">
        <f>HS40</f>
        <v/>
      </c>
      <c r="HV40" s="82">
        <f>HT40</f>
        <v/>
      </c>
      <c r="HW40" s="82">
        <f>HU40</f>
        <v/>
      </c>
      <c r="HX40" s="82">
        <f>HV40</f>
        <v/>
      </c>
      <c r="HY40" s="82">
        <f>HW40</f>
        <v/>
      </c>
      <c r="HZ40" s="82">
        <f>HX40</f>
        <v/>
      </c>
      <c r="IA40" s="82">
        <f>HY40</f>
        <v/>
      </c>
      <c r="IB40" s="82">
        <f>HZ40</f>
        <v/>
      </c>
      <c r="IC40" s="82">
        <f>IA40</f>
        <v/>
      </c>
      <c r="ID40" s="82">
        <f>IB40</f>
        <v/>
      </c>
      <c r="IE40" s="82">
        <f>IC40</f>
        <v/>
      </c>
      <c r="IF40" s="82">
        <f>ID40</f>
        <v/>
      </c>
      <c r="IG40" s="82">
        <f>IE40</f>
        <v/>
      </c>
      <c r="IH40" s="82">
        <f>IF40</f>
        <v/>
      </c>
      <c r="II40" s="82">
        <f>IG40</f>
        <v/>
      </c>
      <c r="IJ40" s="82">
        <f>IH40</f>
        <v/>
      </c>
      <c r="IK40" s="82">
        <f>II40</f>
        <v/>
      </c>
      <c r="IL40" s="82">
        <f>IJ40</f>
        <v/>
      </c>
      <c r="IM40" s="82">
        <f>IK40</f>
        <v/>
      </c>
      <c r="IN40" s="82">
        <f>IL40</f>
        <v/>
      </c>
      <c r="IO40" s="82">
        <f>IM40</f>
        <v/>
      </c>
      <c r="IP40" s="82">
        <f>IN40</f>
        <v/>
      </c>
      <c r="IQ40" s="82">
        <f>IO40</f>
        <v/>
      </c>
      <c r="IR40" s="82">
        <f>IP40</f>
        <v/>
      </c>
      <c r="IS40" s="82">
        <f>IQ40</f>
        <v/>
      </c>
      <c r="IT40" s="130" t="n"/>
      <c r="IU40" s="82">
        <f>IS40</f>
        <v/>
      </c>
      <c r="IV40" s="82">
        <f>IU40</f>
        <v/>
      </c>
      <c r="IW40" s="82">
        <f>IV40</f>
        <v/>
      </c>
      <c r="IX40" s="82">
        <f>IW40</f>
        <v/>
      </c>
      <c r="IY40" s="82">
        <f>IX40</f>
        <v/>
      </c>
      <c r="IZ40" s="82">
        <f>IY40</f>
        <v/>
      </c>
      <c r="JA40" s="82">
        <f>IZ40</f>
        <v/>
      </c>
      <c r="JB40" s="82">
        <f>JA40</f>
        <v/>
      </c>
      <c r="JC40" s="82">
        <f>JB40</f>
        <v/>
      </c>
      <c r="JD40" s="82">
        <f>JC40</f>
        <v/>
      </c>
      <c r="JE40" s="82">
        <f>JD40</f>
        <v/>
      </c>
      <c r="JF40" s="82">
        <f>JE40</f>
        <v/>
      </c>
      <c r="JG40" s="82">
        <f>JF40</f>
        <v/>
      </c>
      <c r="JH40" s="82">
        <f>JG40</f>
        <v/>
      </c>
      <c r="JI40" s="82">
        <f>JH40</f>
        <v/>
      </c>
      <c r="JJ40" s="82">
        <f>JI40</f>
        <v/>
      </c>
      <c r="JK40" s="82">
        <f>JJ40</f>
        <v/>
      </c>
      <c r="JL40" s="82">
        <f>JK40</f>
        <v/>
      </c>
      <c r="JM40" s="82">
        <f>JL40</f>
        <v/>
      </c>
      <c r="JN40" s="82">
        <f>JM40</f>
        <v/>
      </c>
      <c r="JO40" s="82">
        <f>JN40</f>
        <v/>
      </c>
      <c r="JP40" s="82">
        <f>JO40</f>
        <v/>
      </c>
      <c r="JQ40" s="82">
        <f>JP40</f>
        <v/>
      </c>
      <c r="JR40" s="82">
        <f>JQ40</f>
        <v/>
      </c>
      <c r="JS40" s="82">
        <f>JR40</f>
        <v/>
      </c>
      <c r="JT40" s="82">
        <f>JS40</f>
        <v/>
      </c>
      <c r="JU40" s="82">
        <f>JT40</f>
        <v/>
      </c>
      <c r="JV40" s="82">
        <f>JU40</f>
        <v/>
      </c>
      <c r="JW40" s="82">
        <f>JV40</f>
        <v/>
      </c>
      <c r="JX40" s="82">
        <f>JW40</f>
        <v/>
      </c>
      <c r="JY40" s="133" t="n"/>
      <c r="JZ40" s="82">
        <f>JX40</f>
        <v/>
      </c>
      <c r="KA40" s="82">
        <f>JZ40</f>
        <v/>
      </c>
      <c r="KB40" s="82">
        <f>JZ40</f>
        <v/>
      </c>
      <c r="KC40" s="82">
        <f>KA40</f>
        <v/>
      </c>
      <c r="KD40" s="82">
        <f>KB40</f>
        <v/>
      </c>
      <c r="KE40" s="82">
        <f>KC40</f>
        <v/>
      </c>
      <c r="KF40" s="82">
        <f>KD40</f>
        <v/>
      </c>
      <c r="KG40" s="82">
        <f>KE40</f>
        <v/>
      </c>
      <c r="KH40" s="82">
        <f>KF40</f>
        <v/>
      </c>
      <c r="KI40" s="82">
        <f>KG40</f>
        <v/>
      </c>
      <c r="KJ40" s="82">
        <f>KH40</f>
        <v/>
      </c>
      <c r="KK40" s="82">
        <f>KI40</f>
        <v/>
      </c>
      <c r="KL40" s="82">
        <f>KJ40</f>
        <v/>
      </c>
      <c r="KM40" s="82">
        <f>KK40</f>
        <v/>
      </c>
      <c r="KN40" s="82">
        <f>KL40</f>
        <v/>
      </c>
      <c r="KO40" s="82">
        <f>KM40</f>
        <v/>
      </c>
      <c r="KP40" s="82">
        <f>KN40</f>
        <v/>
      </c>
      <c r="KQ40" s="82">
        <f>KO40</f>
        <v/>
      </c>
      <c r="KR40" s="82">
        <f>KP40</f>
        <v/>
      </c>
      <c r="KS40" s="82">
        <f>KQ40</f>
        <v/>
      </c>
      <c r="KT40" s="82">
        <f>KR40</f>
        <v/>
      </c>
      <c r="KU40" s="82">
        <f>KS40</f>
        <v/>
      </c>
      <c r="KV40" s="82">
        <f>KT40</f>
        <v/>
      </c>
      <c r="KW40" s="82">
        <f>KU40</f>
        <v/>
      </c>
      <c r="KX40" s="82">
        <f>KV40</f>
        <v/>
      </c>
      <c r="KY40" s="82">
        <f>KW40</f>
        <v/>
      </c>
      <c r="KZ40" s="82">
        <f>KX40</f>
        <v/>
      </c>
      <c r="LA40" s="82">
        <f>KY40</f>
        <v/>
      </c>
      <c r="LB40" s="82">
        <f>KZ40</f>
        <v/>
      </c>
      <c r="LC40" s="82">
        <f>LA40</f>
        <v/>
      </c>
      <c r="LD40" s="82">
        <f>LB40</f>
        <v/>
      </c>
      <c r="LE40" s="130" t="n"/>
      <c r="LF40" s="82">
        <f>LD40</f>
        <v/>
      </c>
      <c r="LG40" s="82">
        <f>LF40</f>
        <v/>
      </c>
      <c r="LH40" s="82">
        <f>LG40</f>
        <v/>
      </c>
      <c r="LI40" s="82">
        <f>LH40</f>
        <v/>
      </c>
      <c r="LJ40" s="82">
        <f>LI40</f>
        <v/>
      </c>
      <c r="LK40" s="82">
        <f>LJ40</f>
        <v/>
      </c>
      <c r="LL40" s="82">
        <f>LK40</f>
        <v/>
      </c>
      <c r="LM40" s="82">
        <f>LL40</f>
        <v/>
      </c>
      <c r="LN40" s="82">
        <f>LM40</f>
        <v/>
      </c>
      <c r="LO40" s="82">
        <f>LN40</f>
        <v/>
      </c>
      <c r="LP40" s="82">
        <f>LO40</f>
        <v/>
      </c>
      <c r="LQ40" s="82">
        <f>LP40</f>
        <v/>
      </c>
      <c r="LR40" s="82">
        <f>LQ40</f>
        <v/>
      </c>
      <c r="LS40" s="82">
        <f>LR40</f>
        <v/>
      </c>
      <c r="LT40" s="82">
        <f>LS40</f>
        <v/>
      </c>
      <c r="LU40" s="82">
        <f>LT40</f>
        <v/>
      </c>
      <c r="LV40" s="82">
        <f>LU40</f>
        <v/>
      </c>
      <c r="LW40" s="82">
        <f>LV40</f>
        <v/>
      </c>
      <c r="LX40" s="82">
        <f>LW40</f>
        <v/>
      </c>
      <c r="LY40" s="82">
        <f>LX40</f>
        <v/>
      </c>
      <c r="LZ40" s="82">
        <f>LY40</f>
        <v/>
      </c>
      <c r="MA40" s="82">
        <f>LZ40</f>
        <v/>
      </c>
      <c r="MB40" s="82">
        <f>MA40</f>
        <v/>
      </c>
      <c r="MC40" s="82">
        <f>MB40</f>
        <v/>
      </c>
      <c r="MD40" s="82">
        <f>MC40</f>
        <v/>
      </c>
      <c r="ME40" s="82">
        <f>MD40</f>
        <v/>
      </c>
      <c r="MF40" s="82">
        <f>ME40</f>
        <v/>
      </c>
      <c r="MG40" s="82">
        <f>MF40</f>
        <v/>
      </c>
      <c r="MH40" s="82">
        <f>MG40</f>
        <v/>
      </c>
      <c r="MI40" s="82">
        <f>MH40</f>
        <v/>
      </c>
      <c r="MJ40" s="133" t="n"/>
      <c r="MK40" s="82">
        <f>MI40</f>
        <v/>
      </c>
      <c r="ML40" s="82">
        <f>MK40</f>
        <v/>
      </c>
      <c r="MM40" s="82">
        <f>MK40</f>
        <v/>
      </c>
      <c r="MN40" s="82">
        <f>ML40</f>
        <v/>
      </c>
      <c r="MO40" s="82">
        <f>MM40</f>
        <v/>
      </c>
      <c r="MP40" s="82">
        <f>MN40</f>
        <v/>
      </c>
      <c r="MQ40" s="82">
        <f>MO40</f>
        <v/>
      </c>
      <c r="MR40" s="82">
        <f>MP40</f>
        <v/>
      </c>
      <c r="MS40" s="82">
        <f>MQ40</f>
        <v/>
      </c>
      <c r="MT40" s="82">
        <f>MR40</f>
        <v/>
      </c>
      <c r="MU40" s="82">
        <f>MS40</f>
        <v/>
      </c>
      <c r="MV40" s="82">
        <f>MT40</f>
        <v/>
      </c>
      <c r="MW40" s="82">
        <f>MU40</f>
        <v/>
      </c>
      <c r="MX40" s="82">
        <f>MV40</f>
        <v/>
      </c>
      <c r="MY40" s="82">
        <f>MW40</f>
        <v/>
      </c>
      <c r="MZ40" s="82">
        <f>MX40</f>
        <v/>
      </c>
      <c r="NA40" s="82">
        <f>MY40</f>
        <v/>
      </c>
      <c r="NB40" s="82">
        <f>MZ40</f>
        <v/>
      </c>
      <c r="NC40" s="82">
        <f>NA40</f>
        <v/>
      </c>
      <c r="ND40" s="82">
        <f>NB40</f>
        <v/>
      </c>
      <c r="NE40" s="82">
        <f>NC40</f>
        <v/>
      </c>
      <c r="NF40" s="82">
        <f>ND40</f>
        <v/>
      </c>
      <c r="NG40" s="82">
        <f>NE40</f>
        <v/>
      </c>
      <c r="NH40" s="82">
        <f>NF40</f>
        <v/>
      </c>
      <c r="NI40" s="82">
        <f>NG40</f>
        <v/>
      </c>
      <c r="NJ40" s="82">
        <f>NH40</f>
        <v/>
      </c>
      <c r="NK40" s="82">
        <f>NI40</f>
        <v/>
      </c>
      <c r="NL40" s="82">
        <f>NJ40</f>
        <v/>
      </c>
      <c r="NM40" s="82">
        <f>NK40</f>
        <v/>
      </c>
      <c r="NN40" s="82">
        <f>NL40</f>
        <v/>
      </c>
      <c r="NO40" s="82">
        <f>NM40</f>
        <v/>
      </c>
      <c r="NP40" s="133" t="n"/>
      <c r="NQ40" s="82">
        <f>NO40</f>
        <v/>
      </c>
      <c r="NR40" s="82">
        <f>NQ40</f>
        <v/>
      </c>
      <c r="NS40" s="82">
        <f>NQ40</f>
        <v/>
      </c>
      <c r="NT40" s="82">
        <f>NR40</f>
        <v/>
      </c>
      <c r="NU40" s="82">
        <f>NS40</f>
        <v/>
      </c>
      <c r="NV40" s="82">
        <f>NT40</f>
        <v/>
      </c>
      <c r="NW40" s="82">
        <f>NU40</f>
        <v/>
      </c>
      <c r="NX40" s="82">
        <f>NV40</f>
        <v/>
      </c>
      <c r="NY40" s="82">
        <f>NW40</f>
        <v/>
      </c>
      <c r="NZ40" s="82">
        <f>NX40</f>
        <v/>
      </c>
      <c r="OA40" s="82">
        <f>NY40</f>
        <v/>
      </c>
      <c r="OB40" s="82">
        <f>NZ40</f>
        <v/>
      </c>
      <c r="OC40" s="82">
        <f>OA40</f>
        <v/>
      </c>
      <c r="OD40" s="82">
        <f>OB40</f>
        <v/>
      </c>
      <c r="OE40" s="82">
        <f>OC40</f>
        <v/>
      </c>
      <c r="OF40" s="82">
        <f>OD40</f>
        <v/>
      </c>
      <c r="OG40" s="82">
        <f>OE40</f>
        <v/>
      </c>
      <c r="OH40" s="82">
        <f>OF40</f>
        <v/>
      </c>
      <c r="OI40" s="82">
        <f>OG40</f>
        <v/>
      </c>
      <c r="OJ40" s="82">
        <f>OH40</f>
        <v/>
      </c>
      <c r="OK40" s="82">
        <f>OI40</f>
        <v/>
      </c>
      <c r="OL40" s="82">
        <f>OJ40</f>
        <v/>
      </c>
      <c r="OM40" s="82">
        <f>OK40</f>
        <v/>
      </c>
      <c r="ON40" s="82">
        <f>OL40</f>
        <v/>
      </c>
      <c r="OO40" s="82">
        <f>OM40</f>
        <v/>
      </c>
      <c r="OP40" s="82">
        <f>ON40</f>
        <v/>
      </c>
      <c r="OQ40" s="82">
        <f>OO40</f>
        <v/>
      </c>
      <c r="OR40" s="82">
        <f>OP40</f>
        <v/>
      </c>
      <c r="OS40" s="82">
        <f>OQ40</f>
        <v/>
      </c>
      <c r="OT40" s="82">
        <f>OR40</f>
        <v/>
      </c>
      <c r="OU40" s="82">
        <f>OS40</f>
        <v/>
      </c>
      <c r="OV40" s="130" t="n"/>
      <c r="OW40" s="82">
        <f>OU40</f>
        <v/>
      </c>
      <c r="OX40" s="82">
        <f>OW40</f>
        <v/>
      </c>
      <c r="OY40" s="82">
        <f>OW40</f>
        <v/>
      </c>
      <c r="OZ40" s="82">
        <f>OX40</f>
        <v/>
      </c>
      <c r="PA40" s="82">
        <f>OY40</f>
        <v/>
      </c>
      <c r="PB40" s="82">
        <f>OZ40</f>
        <v/>
      </c>
      <c r="PC40" s="82">
        <f>PA40</f>
        <v/>
      </c>
      <c r="PD40" s="82">
        <f>PB40</f>
        <v/>
      </c>
      <c r="PE40" s="82">
        <f>PC40</f>
        <v/>
      </c>
      <c r="PF40" s="82">
        <f>PD40</f>
        <v/>
      </c>
      <c r="PG40" s="82">
        <f>PE40</f>
        <v/>
      </c>
      <c r="PH40" s="82">
        <f>PF40</f>
        <v/>
      </c>
      <c r="PI40" s="82">
        <f>PG40</f>
        <v/>
      </c>
      <c r="PJ40" s="82">
        <f>PH40</f>
        <v/>
      </c>
      <c r="PK40" s="82">
        <f>PI40</f>
        <v/>
      </c>
      <c r="PL40" s="82">
        <f>PJ40</f>
        <v/>
      </c>
      <c r="PM40" s="82">
        <f>PK40</f>
        <v/>
      </c>
      <c r="PN40" s="82">
        <f>PL40</f>
        <v/>
      </c>
      <c r="PO40" s="82">
        <f>PM40</f>
        <v/>
      </c>
      <c r="PP40" s="82">
        <f>PN40</f>
        <v/>
      </c>
      <c r="PQ40" s="82">
        <f>PO40</f>
        <v/>
      </c>
      <c r="PR40" s="82">
        <f>PP40</f>
        <v/>
      </c>
      <c r="PS40" s="82">
        <f>PQ40</f>
        <v/>
      </c>
      <c r="PT40" s="82">
        <f>PR40</f>
        <v/>
      </c>
      <c r="PU40" s="82">
        <f>PS40</f>
        <v/>
      </c>
      <c r="PV40" s="82">
        <f>PT40</f>
        <v/>
      </c>
      <c r="PW40" s="82">
        <f>PU40</f>
        <v/>
      </c>
      <c r="PX40" s="82">
        <f>PV40</f>
        <v/>
      </c>
      <c r="PY40" s="82">
        <f>PW40</f>
        <v/>
      </c>
      <c r="PZ40" s="82">
        <f>PX40</f>
        <v/>
      </c>
      <c r="QA40" s="130" t="n"/>
      <c r="QB40" s="82">
        <f>PZ40</f>
        <v/>
      </c>
      <c r="QC40" s="82">
        <f>QB40</f>
        <v/>
      </c>
      <c r="QD40" s="82">
        <f>QC40</f>
        <v/>
      </c>
      <c r="QE40" s="82">
        <f>QD40</f>
        <v/>
      </c>
      <c r="QF40" s="82">
        <f>QE40</f>
        <v/>
      </c>
      <c r="QG40" s="82">
        <f>QF40</f>
        <v/>
      </c>
      <c r="QH40" s="82">
        <f>QG40</f>
        <v/>
      </c>
      <c r="QI40" s="82">
        <f>QH40</f>
        <v/>
      </c>
      <c r="QJ40" s="82">
        <f>QI40</f>
        <v/>
      </c>
      <c r="QK40" s="82">
        <f>QJ40</f>
        <v/>
      </c>
      <c r="QL40" s="82">
        <f>QK40</f>
        <v/>
      </c>
      <c r="QM40" s="82">
        <f>QL40</f>
        <v/>
      </c>
      <c r="QN40" s="82">
        <f>QM40</f>
        <v/>
      </c>
      <c r="QO40" s="82">
        <f>QN40</f>
        <v/>
      </c>
      <c r="QP40" s="82">
        <f>QO40</f>
        <v/>
      </c>
      <c r="QQ40" s="82">
        <f>QP40</f>
        <v/>
      </c>
      <c r="QR40" s="82">
        <f>QQ40</f>
        <v/>
      </c>
      <c r="QS40" s="82">
        <f>QR40</f>
        <v/>
      </c>
      <c r="QT40" s="82">
        <f>QS40</f>
        <v/>
      </c>
      <c r="QU40" s="82">
        <f>QT40</f>
        <v/>
      </c>
      <c r="QV40" s="82">
        <f>QU40</f>
        <v/>
      </c>
      <c r="QW40" s="82">
        <f>QV40</f>
        <v/>
      </c>
      <c r="QX40" s="82">
        <f>QW40</f>
        <v/>
      </c>
      <c r="QY40" s="82">
        <f>QX40</f>
        <v/>
      </c>
      <c r="QZ40" s="82">
        <f>QY40</f>
        <v/>
      </c>
      <c r="RA40" s="82">
        <f>QZ40</f>
        <v/>
      </c>
      <c r="RB40" s="82">
        <f>RA40</f>
        <v/>
      </c>
      <c r="RC40" s="82">
        <f>RB40</f>
        <v/>
      </c>
      <c r="RD40" s="82">
        <f>RC40</f>
        <v/>
      </c>
      <c r="RE40" s="82">
        <f>RD40</f>
        <v/>
      </c>
      <c r="RF40" s="82">
        <f>RE40</f>
        <v/>
      </c>
      <c r="RG40" s="130" t="n"/>
      <c r="RH40" s="82">
        <f>RF40</f>
        <v/>
      </c>
      <c r="RI40" s="82">
        <f>RH40</f>
        <v/>
      </c>
      <c r="RJ40" s="82">
        <f>RI40</f>
        <v/>
      </c>
      <c r="RK40" s="82">
        <f>RJ40</f>
        <v/>
      </c>
      <c r="RL40" s="82">
        <f>RK40</f>
        <v/>
      </c>
      <c r="RM40" s="82">
        <f>RL40</f>
        <v/>
      </c>
      <c r="RN40" s="82">
        <f>RM40</f>
        <v/>
      </c>
      <c r="RO40" s="82">
        <f>RN40</f>
        <v/>
      </c>
      <c r="RP40" s="82">
        <f>RO40</f>
        <v/>
      </c>
      <c r="RQ40" s="82">
        <f>RP40</f>
        <v/>
      </c>
      <c r="RR40" s="82">
        <f>RQ40</f>
        <v/>
      </c>
      <c r="RS40" s="82">
        <f>RR40</f>
        <v/>
      </c>
      <c r="RT40" s="82">
        <f>RS40</f>
        <v/>
      </c>
      <c r="RU40" s="82">
        <f>RT40</f>
        <v/>
      </c>
      <c r="RV40" s="82">
        <f>RU40</f>
        <v/>
      </c>
      <c r="RW40" s="82">
        <f>RV40</f>
        <v/>
      </c>
      <c r="RX40" s="82">
        <f>RW40</f>
        <v/>
      </c>
      <c r="RY40" s="82">
        <f>RX40</f>
        <v/>
      </c>
      <c r="RZ40" s="82">
        <f>RY40</f>
        <v/>
      </c>
      <c r="SA40" s="82">
        <f>RZ40</f>
        <v/>
      </c>
      <c r="SB40" s="82">
        <f>SA40</f>
        <v/>
      </c>
      <c r="SC40" s="82">
        <f>SB40</f>
        <v/>
      </c>
      <c r="SD40" s="82">
        <f>SC40</f>
        <v/>
      </c>
      <c r="SE40" s="82">
        <f>SD40</f>
        <v/>
      </c>
      <c r="SF40" s="82">
        <f>SE40</f>
        <v/>
      </c>
      <c r="SG40" s="82">
        <f>SF40</f>
        <v/>
      </c>
      <c r="SH40" s="82">
        <f>SG40</f>
        <v/>
      </c>
      <c r="SI40" s="82">
        <f>SH40</f>
        <v/>
      </c>
      <c r="SJ40" s="82">
        <f>SI40</f>
        <v/>
      </c>
      <c r="SK40" s="82">
        <f>SJ40</f>
        <v/>
      </c>
      <c r="SL40" s="130" t="n"/>
      <c r="SM40" s="82">
        <f>SK40</f>
        <v/>
      </c>
      <c r="SN40" s="82">
        <f>SM40</f>
        <v/>
      </c>
      <c r="SO40" s="82">
        <f>SN40</f>
        <v/>
      </c>
      <c r="SP40" s="82">
        <f>SO40</f>
        <v/>
      </c>
      <c r="SQ40" s="82">
        <f>SP40</f>
        <v/>
      </c>
      <c r="SR40" s="82">
        <f>SQ40</f>
        <v/>
      </c>
      <c r="SS40" s="82">
        <f>SR40</f>
        <v/>
      </c>
      <c r="ST40" s="82">
        <f>SS40</f>
        <v/>
      </c>
      <c r="SU40" s="82">
        <f>ST40</f>
        <v/>
      </c>
      <c r="SV40" s="82">
        <f>SU40</f>
        <v/>
      </c>
      <c r="SW40" s="82">
        <f>SV40</f>
        <v/>
      </c>
      <c r="SX40" s="82">
        <f>SW40</f>
        <v/>
      </c>
      <c r="SY40" s="82">
        <f>SX40</f>
        <v/>
      </c>
      <c r="SZ40" s="82">
        <f>SY40</f>
        <v/>
      </c>
      <c r="TA40" s="82">
        <f>SZ40</f>
        <v/>
      </c>
      <c r="TB40" s="82">
        <f>TA40</f>
        <v/>
      </c>
      <c r="TC40" s="82">
        <f>TB40</f>
        <v/>
      </c>
      <c r="TD40" s="82">
        <f>TC40</f>
        <v/>
      </c>
      <c r="TE40" s="82">
        <f>TD40</f>
        <v/>
      </c>
      <c r="TF40" s="82">
        <f>TE40</f>
        <v/>
      </c>
      <c r="TG40" s="82">
        <f>TF40</f>
        <v/>
      </c>
      <c r="TH40" s="82">
        <f>TG40</f>
        <v/>
      </c>
      <c r="TI40" s="82">
        <f>TH40</f>
        <v/>
      </c>
      <c r="TJ40" s="82">
        <f>TI40</f>
        <v/>
      </c>
      <c r="TK40" s="82">
        <f>TJ40</f>
        <v/>
      </c>
      <c r="TL40" s="82">
        <f>TK40</f>
        <v/>
      </c>
      <c r="TM40" s="82">
        <f>TL40</f>
        <v/>
      </c>
      <c r="TN40" s="82">
        <f>TM40</f>
        <v/>
      </c>
      <c r="TO40" s="82">
        <f>TN40</f>
        <v/>
      </c>
      <c r="TP40" s="82">
        <f>TO40</f>
        <v/>
      </c>
      <c r="TQ40" s="82">
        <f>TP40</f>
        <v/>
      </c>
      <c r="TR40" s="130" t="n"/>
      <c r="TS40" s="82">
        <f>TQ40</f>
        <v/>
      </c>
      <c r="TT40" s="82">
        <f>TS40</f>
        <v/>
      </c>
      <c r="TU40" s="82">
        <f>TT40</f>
        <v/>
      </c>
      <c r="TV40" s="82">
        <f>TU40</f>
        <v/>
      </c>
      <c r="TW40" s="82">
        <f>TV40</f>
        <v/>
      </c>
      <c r="TX40" s="82">
        <f>TW40</f>
        <v/>
      </c>
      <c r="TY40" s="82">
        <f>TX40</f>
        <v/>
      </c>
      <c r="TZ40" s="82">
        <f>TY40</f>
        <v/>
      </c>
      <c r="UA40" s="82">
        <f>TZ40</f>
        <v/>
      </c>
      <c r="UB40" s="82">
        <f>UA40</f>
        <v/>
      </c>
      <c r="UC40" s="82">
        <f>UB40</f>
        <v/>
      </c>
      <c r="UD40" s="82">
        <f>UC40</f>
        <v/>
      </c>
      <c r="UE40" s="82">
        <f>UD40</f>
        <v/>
      </c>
      <c r="UF40" s="82">
        <f>UE40</f>
        <v/>
      </c>
      <c r="UG40" s="82">
        <f>UF40</f>
        <v/>
      </c>
      <c r="UH40" s="82">
        <f>UG40</f>
        <v/>
      </c>
      <c r="UI40" s="82">
        <f>UH40</f>
        <v/>
      </c>
      <c r="UJ40" s="82">
        <f>UI40</f>
        <v/>
      </c>
      <c r="UK40" s="82">
        <f>UJ40</f>
        <v/>
      </c>
      <c r="UL40" s="82">
        <f>UK40</f>
        <v/>
      </c>
      <c r="UM40" s="82">
        <f>UL40</f>
        <v/>
      </c>
      <c r="UN40" s="82">
        <f>UM40</f>
        <v/>
      </c>
      <c r="UO40" s="82">
        <f>UN40</f>
        <v/>
      </c>
      <c r="UP40" s="82">
        <f>UO40</f>
        <v/>
      </c>
      <c r="UQ40" s="82">
        <f>UP40</f>
        <v/>
      </c>
      <c r="UR40" s="82">
        <f>UQ40</f>
        <v/>
      </c>
      <c r="US40" s="82">
        <f>UR40</f>
        <v/>
      </c>
      <c r="UT40" s="82">
        <f>US40</f>
        <v/>
      </c>
      <c r="UU40" s="82">
        <f>UT40</f>
        <v/>
      </c>
      <c r="UV40" s="82">
        <f>UU40</f>
        <v/>
      </c>
      <c r="UW40" s="82">
        <f>UV40</f>
        <v/>
      </c>
      <c r="UX40" s="130" t="n"/>
      <c r="UY40" s="82">
        <f>UW40</f>
        <v/>
      </c>
      <c r="UZ40" s="82">
        <f>UY40</f>
        <v/>
      </c>
      <c r="VA40" s="82">
        <f>UY40</f>
        <v/>
      </c>
      <c r="VB40" s="82">
        <f>UZ40</f>
        <v/>
      </c>
      <c r="VC40" s="82">
        <f>VA40</f>
        <v/>
      </c>
      <c r="VD40" s="82">
        <f>VB40</f>
        <v/>
      </c>
      <c r="VE40" s="82">
        <f>VC40</f>
        <v/>
      </c>
      <c r="VF40" s="82">
        <f>VD40</f>
        <v/>
      </c>
      <c r="VG40" s="82">
        <f>VE40</f>
        <v/>
      </c>
      <c r="VH40" s="82">
        <f>VF40</f>
        <v/>
      </c>
      <c r="VI40" s="82">
        <f>VG40</f>
        <v/>
      </c>
      <c r="VJ40" s="82">
        <f>VH40</f>
        <v/>
      </c>
      <c r="VK40" s="82">
        <f>VI40</f>
        <v/>
      </c>
      <c r="VL40" s="82">
        <f>VJ40</f>
        <v/>
      </c>
      <c r="VM40" s="82">
        <f>VK40</f>
        <v/>
      </c>
      <c r="VN40" s="82">
        <f>VL40</f>
        <v/>
      </c>
      <c r="VO40" s="82">
        <f>VM40</f>
        <v/>
      </c>
      <c r="VP40" s="82">
        <f>VN40</f>
        <v/>
      </c>
      <c r="VQ40" s="82">
        <f>VO40</f>
        <v/>
      </c>
      <c r="VR40" s="82">
        <f>VP40</f>
        <v/>
      </c>
      <c r="VS40" s="82">
        <f>VQ40</f>
        <v/>
      </c>
      <c r="VT40" s="82">
        <f>VR40</f>
        <v/>
      </c>
      <c r="VU40" s="82">
        <f>VS40</f>
        <v/>
      </c>
      <c r="VV40" s="82">
        <f>VT40</f>
        <v/>
      </c>
      <c r="VW40" s="82">
        <f>VU40</f>
        <v/>
      </c>
      <c r="VX40" s="82">
        <f>VV40</f>
        <v/>
      </c>
      <c r="VY40" s="82">
        <f>VW40</f>
        <v/>
      </c>
      <c r="VZ40" s="82">
        <f>VX40</f>
        <v/>
      </c>
      <c r="WA40" s="133" t="n"/>
      <c r="WB40" s="82">
        <f>VZ40</f>
        <v/>
      </c>
      <c r="WC40" s="82">
        <f>WB40</f>
        <v/>
      </c>
      <c r="WD40" s="82">
        <f>WB40</f>
        <v/>
      </c>
      <c r="WE40" s="82">
        <f>WC40</f>
        <v/>
      </c>
      <c r="WF40" s="82">
        <f>WD40</f>
        <v/>
      </c>
      <c r="WG40" s="82">
        <f>WE40</f>
        <v/>
      </c>
      <c r="WH40" s="82">
        <f>WF40</f>
        <v/>
      </c>
      <c r="WI40" s="82">
        <f>WG40</f>
        <v/>
      </c>
      <c r="WJ40" s="82">
        <f>WH40</f>
        <v/>
      </c>
      <c r="WK40" s="82">
        <f>WI40</f>
        <v/>
      </c>
      <c r="WL40" s="82">
        <f>WJ40</f>
        <v/>
      </c>
      <c r="WM40" s="82">
        <f>WK40</f>
        <v/>
      </c>
      <c r="WN40" s="82">
        <f>WL40</f>
        <v/>
      </c>
      <c r="WO40" s="82">
        <f>WM40</f>
        <v/>
      </c>
      <c r="WP40" s="82">
        <f>WN40</f>
        <v/>
      </c>
      <c r="WQ40" s="82">
        <f>WO40</f>
        <v/>
      </c>
      <c r="WR40" s="82">
        <f>WP40</f>
        <v/>
      </c>
      <c r="WS40" s="82">
        <f>WQ40</f>
        <v/>
      </c>
      <c r="WT40" s="82">
        <f>WR40</f>
        <v/>
      </c>
      <c r="WU40" s="82">
        <f>WS40</f>
        <v/>
      </c>
      <c r="WV40" s="82">
        <f>WT40</f>
        <v/>
      </c>
      <c r="WW40" s="82">
        <f>WU40</f>
        <v/>
      </c>
      <c r="WX40" s="82">
        <f>WV40</f>
        <v/>
      </c>
      <c r="WY40" s="82">
        <f>WW40</f>
        <v/>
      </c>
      <c r="WZ40" s="82">
        <f>WX40</f>
        <v/>
      </c>
      <c r="XA40" s="82">
        <f>WY40</f>
        <v/>
      </c>
      <c r="XB40" s="82">
        <f>WZ40</f>
        <v/>
      </c>
      <c r="XC40" s="82">
        <f>XA40</f>
        <v/>
      </c>
      <c r="XD40" s="82">
        <f>XB40</f>
        <v/>
      </c>
      <c r="XE40" s="82">
        <f>XC40</f>
        <v/>
      </c>
      <c r="XF40" s="82">
        <f>XD40</f>
        <v/>
      </c>
      <c r="XG40" s="133" t="n"/>
      <c r="XH40" s="82">
        <f>XF40</f>
        <v/>
      </c>
      <c r="XI40" s="82">
        <f>XH40</f>
        <v/>
      </c>
      <c r="XJ40" s="82">
        <f>XI40</f>
        <v/>
      </c>
      <c r="XK40" s="82">
        <f>XJ40</f>
        <v/>
      </c>
      <c r="XL40" s="82">
        <f>XK40</f>
        <v/>
      </c>
      <c r="XM40" s="82">
        <f>XL40</f>
        <v/>
      </c>
      <c r="XN40" s="82">
        <f>XM40</f>
        <v/>
      </c>
      <c r="XO40" s="82">
        <f>XN40</f>
        <v/>
      </c>
      <c r="XP40" s="82">
        <f>XO40</f>
        <v/>
      </c>
      <c r="XQ40" s="82">
        <f>XP40</f>
        <v/>
      </c>
      <c r="XR40" s="82">
        <f>XQ40</f>
        <v/>
      </c>
      <c r="XS40" s="82">
        <f>XR40</f>
        <v/>
      </c>
      <c r="XT40" s="82">
        <f>XS40</f>
        <v/>
      </c>
      <c r="XU40" s="82">
        <f>XT40</f>
        <v/>
      </c>
      <c r="XV40" s="82">
        <f>XU40</f>
        <v/>
      </c>
      <c r="XW40" s="82">
        <f>XV40</f>
        <v/>
      </c>
      <c r="XX40" s="82">
        <f>XW40</f>
        <v/>
      </c>
      <c r="XY40" s="82">
        <f>XX40</f>
        <v/>
      </c>
      <c r="XZ40" s="82">
        <f>XY40</f>
        <v/>
      </c>
      <c r="YA40" s="82">
        <f>XZ40</f>
        <v/>
      </c>
      <c r="YB40" s="82">
        <f>YA40</f>
        <v/>
      </c>
      <c r="YC40" s="82">
        <f>YB40</f>
        <v/>
      </c>
      <c r="YD40" s="82">
        <f>YC40</f>
        <v/>
      </c>
      <c r="YE40" s="82">
        <f>YD40</f>
        <v/>
      </c>
      <c r="YF40" s="82">
        <f>YE40</f>
        <v/>
      </c>
      <c r="YG40" s="82">
        <f>YF40</f>
        <v/>
      </c>
      <c r="YH40" s="82">
        <f>YG40</f>
        <v/>
      </c>
      <c r="YI40" s="82">
        <f>YH40</f>
        <v/>
      </c>
      <c r="YJ40" s="82">
        <f>YI40</f>
        <v/>
      </c>
      <c r="YK40" s="82">
        <f>YJ40</f>
        <v/>
      </c>
      <c r="YL40" s="130" t="n"/>
      <c r="YM40" s="82">
        <f>YK40</f>
        <v/>
      </c>
      <c r="YN40" s="82">
        <f>YM40</f>
        <v/>
      </c>
      <c r="YO40" s="82">
        <f>YN40</f>
        <v/>
      </c>
      <c r="YP40" s="82">
        <f>YO40</f>
        <v/>
      </c>
      <c r="YQ40" s="82">
        <f>YP40</f>
        <v/>
      </c>
      <c r="YR40" s="82">
        <f>YQ40</f>
        <v/>
      </c>
      <c r="YS40" s="82">
        <f>YR40</f>
        <v/>
      </c>
      <c r="YT40" s="82">
        <f>YS40</f>
        <v/>
      </c>
      <c r="YU40" s="82">
        <f>YT40</f>
        <v/>
      </c>
      <c r="YV40" s="82">
        <f>YU40</f>
        <v/>
      </c>
      <c r="YW40" s="82">
        <f>YV40</f>
        <v/>
      </c>
      <c r="YX40" s="82">
        <f>YW40</f>
        <v/>
      </c>
      <c r="YY40" s="82">
        <f>YX40</f>
        <v/>
      </c>
      <c r="YZ40" s="82">
        <f>YY40</f>
        <v/>
      </c>
      <c r="ZA40" s="82">
        <f>YZ40</f>
        <v/>
      </c>
      <c r="ZB40" s="82">
        <f>ZA40</f>
        <v/>
      </c>
      <c r="ZC40" s="82">
        <f>ZB40</f>
        <v/>
      </c>
      <c r="ZD40" s="82">
        <f>ZC40</f>
        <v/>
      </c>
      <c r="ZE40" s="82">
        <f>ZD40</f>
        <v/>
      </c>
      <c r="ZF40" s="82">
        <f>ZE40</f>
        <v/>
      </c>
      <c r="ZG40" s="82">
        <f>ZF40</f>
        <v/>
      </c>
      <c r="ZH40" s="82">
        <f>ZG40</f>
        <v/>
      </c>
      <c r="ZI40" s="82">
        <f>ZH40</f>
        <v/>
      </c>
      <c r="ZJ40" s="82">
        <f>ZI40</f>
        <v/>
      </c>
      <c r="ZK40" s="82">
        <f>ZJ40</f>
        <v/>
      </c>
      <c r="ZL40" s="82">
        <f>ZK40</f>
        <v/>
      </c>
      <c r="ZM40" s="82">
        <f>ZL40</f>
        <v/>
      </c>
      <c r="ZN40" s="82">
        <f>ZM40</f>
        <v/>
      </c>
      <c r="ZO40" s="82">
        <f>ZN40</f>
        <v/>
      </c>
      <c r="ZP40" s="82">
        <f>ZO40</f>
        <v/>
      </c>
      <c r="ZQ40" s="82">
        <f>ZP40</f>
        <v/>
      </c>
      <c r="ZR40" s="130" t="n"/>
      <c r="ZS40" s="82">
        <f>ZQ40</f>
        <v/>
      </c>
      <c r="ZT40" s="82">
        <f>ZS40</f>
        <v/>
      </c>
      <c r="ZU40" s="82">
        <f>ZT40</f>
        <v/>
      </c>
      <c r="ZV40" s="82">
        <f>ZU40</f>
        <v/>
      </c>
      <c r="ZW40" s="82">
        <f>ZV40</f>
        <v/>
      </c>
      <c r="ZX40" s="82">
        <f>ZW40</f>
        <v/>
      </c>
      <c r="ZY40" s="82">
        <f>ZX40</f>
        <v/>
      </c>
      <c r="ZZ40" s="82">
        <f>ZY40</f>
        <v/>
      </c>
      <c r="AAA40" s="82">
        <f>ZZ40</f>
        <v/>
      </c>
      <c r="AAB40" s="82">
        <f>AAA40</f>
        <v/>
      </c>
      <c r="AAC40" s="82">
        <f>AAB40</f>
        <v/>
      </c>
      <c r="AAD40" s="82">
        <f>AAC40</f>
        <v/>
      </c>
      <c r="AAE40" s="82">
        <f>AAD40</f>
        <v/>
      </c>
      <c r="AAF40" s="82">
        <f>AAE40</f>
        <v/>
      </c>
      <c r="AAG40" s="82">
        <f>AAF40</f>
        <v/>
      </c>
      <c r="AAH40" s="82">
        <f>AAG40</f>
        <v/>
      </c>
      <c r="AAI40" s="82">
        <f>AAH40</f>
        <v/>
      </c>
      <c r="AAJ40" s="82">
        <f>AAI40</f>
        <v/>
      </c>
      <c r="AAK40" s="82">
        <f>AAJ40</f>
        <v/>
      </c>
      <c r="AAL40" s="82">
        <f>AAK40</f>
        <v/>
      </c>
      <c r="AAM40" s="82">
        <f>AAL40</f>
        <v/>
      </c>
      <c r="AAN40" s="82">
        <f>AAM40</f>
        <v/>
      </c>
      <c r="AAO40" s="82">
        <f>AAN40</f>
        <v/>
      </c>
      <c r="AAP40" s="82">
        <f>AAO40</f>
        <v/>
      </c>
      <c r="AAQ40" s="82">
        <f>AAP40</f>
        <v/>
      </c>
      <c r="AAR40" s="82">
        <f>AAQ40</f>
        <v/>
      </c>
      <c r="AAS40" s="82">
        <f>AAR40</f>
        <v/>
      </c>
      <c r="AAT40" s="82">
        <f>AAS40</f>
        <v/>
      </c>
      <c r="AAU40" s="82">
        <f>AAT40</f>
        <v/>
      </c>
      <c r="AAV40" s="82">
        <f>AAU40</f>
        <v/>
      </c>
      <c r="AAW40" s="130" t="n"/>
      <c r="AAX40" s="82">
        <f>AAV40</f>
        <v/>
      </c>
      <c r="AAY40" s="82">
        <f>AAX40</f>
        <v/>
      </c>
      <c r="AAZ40" s="82">
        <f>AAY40</f>
        <v/>
      </c>
      <c r="ABA40" s="82">
        <f>AAZ40</f>
        <v/>
      </c>
      <c r="ABB40" s="82">
        <f>ABA40</f>
        <v/>
      </c>
      <c r="ABC40" s="82">
        <f>ABB40</f>
        <v/>
      </c>
      <c r="ABD40" s="82">
        <f>ABC40</f>
        <v/>
      </c>
      <c r="ABE40" s="82">
        <f>ABD40</f>
        <v/>
      </c>
      <c r="ABF40" s="82">
        <f>ABE40</f>
        <v/>
      </c>
      <c r="ABG40" s="82">
        <f>ABF40</f>
        <v/>
      </c>
      <c r="ABH40" s="82">
        <f>ABG40</f>
        <v/>
      </c>
      <c r="ABI40" s="82">
        <f>ABH40</f>
        <v/>
      </c>
      <c r="ABJ40" s="82">
        <f>ABI40</f>
        <v/>
      </c>
      <c r="ABK40" s="82">
        <f>ABJ40</f>
        <v/>
      </c>
      <c r="ABL40" s="82">
        <f>ABK40</f>
        <v/>
      </c>
      <c r="ABM40" s="82">
        <f>ABL40</f>
        <v/>
      </c>
      <c r="ABN40" s="82">
        <f>ABM40</f>
        <v/>
      </c>
      <c r="ABO40" s="82">
        <f>ABN40</f>
        <v/>
      </c>
      <c r="ABP40" s="82">
        <f>ABO40</f>
        <v/>
      </c>
      <c r="ABQ40" s="82">
        <f>ABP40</f>
        <v/>
      </c>
      <c r="ABR40" s="82">
        <f>ABQ40</f>
        <v/>
      </c>
      <c r="ABS40" s="82">
        <f>ABR40</f>
        <v/>
      </c>
      <c r="ABT40" s="82">
        <f>ABS40</f>
        <v/>
      </c>
      <c r="ABU40" s="82">
        <f>ABT40</f>
        <v/>
      </c>
      <c r="ABV40" s="82">
        <f>ABU40</f>
        <v/>
      </c>
      <c r="ABW40" s="82">
        <f>ABV40</f>
        <v/>
      </c>
      <c r="ABX40" s="82">
        <f>ABW40</f>
        <v/>
      </c>
      <c r="ABY40" s="82">
        <f>ABX40</f>
        <v/>
      </c>
      <c r="ABZ40" s="82">
        <f>ABY40</f>
        <v/>
      </c>
      <c r="ACA40" s="82">
        <f>ABZ40</f>
        <v/>
      </c>
      <c r="ACB40" s="82">
        <f>ACA40</f>
        <v/>
      </c>
      <c r="ACC40" s="130" t="n"/>
      <c r="ACD40" s="82">
        <f>ACB40</f>
        <v/>
      </c>
      <c r="ACE40" s="82">
        <f>ACD40</f>
        <v/>
      </c>
      <c r="ACF40" s="82">
        <f>ACE40</f>
        <v/>
      </c>
      <c r="ACG40" s="82">
        <f>ACF40</f>
        <v/>
      </c>
      <c r="ACH40" s="82">
        <f>ACG40</f>
        <v/>
      </c>
      <c r="ACI40" s="82">
        <f>ACH40</f>
        <v/>
      </c>
      <c r="ACJ40" s="82">
        <f>ACI40</f>
        <v/>
      </c>
      <c r="ACK40" s="82">
        <f>ACJ40</f>
        <v/>
      </c>
      <c r="ACL40" s="82">
        <f>ACK40</f>
        <v/>
      </c>
      <c r="ACM40" s="82">
        <f>ACL40</f>
        <v/>
      </c>
      <c r="ACN40" s="82">
        <f>ACM40</f>
        <v/>
      </c>
      <c r="ACO40" s="82">
        <f>ACN40</f>
        <v/>
      </c>
      <c r="ACP40" s="82">
        <f>ACO40</f>
        <v/>
      </c>
      <c r="ACQ40" s="82">
        <f>ACP40</f>
        <v/>
      </c>
      <c r="ACR40" s="82">
        <f>ACQ40</f>
        <v/>
      </c>
      <c r="ACS40" s="82">
        <f>ACR40</f>
        <v/>
      </c>
      <c r="ACT40" s="82">
        <f>ACS40</f>
        <v/>
      </c>
      <c r="ACU40" s="82">
        <f>ACT40</f>
        <v/>
      </c>
      <c r="ACV40" s="82">
        <f>ACU40</f>
        <v/>
      </c>
      <c r="ACW40" s="82">
        <f>ACV40</f>
        <v/>
      </c>
      <c r="ACX40" s="82">
        <f>ACW40</f>
        <v/>
      </c>
      <c r="ACY40" s="82">
        <f>ACX40</f>
        <v/>
      </c>
      <c r="ACZ40" s="82">
        <f>ACY40</f>
        <v/>
      </c>
      <c r="ADA40" s="82">
        <f>ACZ40</f>
        <v/>
      </c>
      <c r="ADB40" s="82">
        <f>ADA40</f>
        <v/>
      </c>
      <c r="ADC40" s="82">
        <f>ADB40</f>
        <v/>
      </c>
      <c r="ADD40" s="82">
        <f>ADC40</f>
        <v/>
      </c>
      <c r="ADE40" s="82">
        <f>ADD40</f>
        <v/>
      </c>
      <c r="ADF40" s="82">
        <f>ADE40</f>
        <v/>
      </c>
      <c r="ADG40" s="82">
        <f>ADF40</f>
        <v/>
      </c>
      <c r="ADH40" s="82">
        <f>ADG40</f>
        <v/>
      </c>
      <c r="ADI40" s="130" t="n"/>
      <c r="ADJ40" s="82">
        <f>ADH40</f>
        <v/>
      </c>
      <c r="ADK40" s="82">
        <f>ADJ40</f>
        <v/>
      </c>
      <c r="ADL40" s="82">
        <f>ADK40</f>
        <v/>
      </c>
      <c r="ADM40" s="82">
        <f>ADL40</f>
        <v/>
      </c>
      <c r="ADN40" s="82">
        <f>ADM40</f>
        <v/>
      </c>
      <c r="ADO40" s="82">
        <f>ADN40</f>
        <v/>
      </c>
      <c r="ADP40" s="82">
        <f>ADO40</f>
        <v/>
      </c>
      <c r="ADQ40" s="82">
        <f>ADP40</f>
        <v/>
      </c>
      <c r="ADR40" s="82">
        <f>ADQ40</f>
        <v/>
      </c>
      <c r="ADS40" s="82">
        <f>ADR40</f>
        <v/>
      </c>
      <c r="ADT40" s="82">
        <f>ADS40</f>
        <v/>
      </c>
      <c r="ADU40" s="82">
        <f>ADT40</f>
        <v/>
      </c>
      <c r="ADV40" s="82">
        <f>ADU40</f>
        <v/>
      </c>
      <c r="ADW40" s="82">
        <f>ADV40</f>
        <v/>
      </c>
      <c r="ADX40" s="82">
        <f>ADW40</f>
        <v/>
      </c>
      <c r="ADY40" s="82">
        <f>ADX40</f>
        <v/>
      </c>
      <c r="ADZ40" s="82">
        <f>ADY40</f>
        <v/>
      </c>
      <c r="AEA40" s="82">
        <f>ADZ40</f>
        <v/>
      </c>
      <c r="AEB40" s="82">
        <f>AEA40</f>
        <v/>
      </c>
      <c r="AEC40" s="82">
        <f>AEB40</f>
        <v/>
      </c>
      <c r="AED40" s="82">
        <f>AEC40</f>
        <v/>
      </c>
      <c r="AEE40" s="82">
        <f>AED40</f>
        <v/>
      </c>
      <c r="AEF40" s="82">
        <f>AEE40</f>
        <v/>
      </c>
      <c r="AEG40" s="82">
        <f>AEF40</f>
        <v/>
      </c>
      <c r="AEH40" s="82">
        <f>AEG40</f>
        <v/>
      </c>
      <c r="AEI40" s="82">
        <f>AEH40</f>
        <v/>
      </c>
      <c r="AEJ40" s="82">
        <f>AEI40</f>
        <v/>
      </c>
      <c r="AEK40" s="82">
        <f>AEJ40</f>
        <v/>
      </c>
      <c r="AEL40" s="82">
        <f>AEK40</f>
        <v/>
      </c>
      <c r="AEM40" s="82">
        <f>AEL40</f>
        <v/>
      </c>
      <c r="AEN40" s="130" t="n"/>
      <c r="AEO40" s="82">
        <f>AEM40</f>
        <v/>
      </c>
      <c r="AEP40" s="82">
        <f>AEO40</f>
        <v/>
      </c>
      <c r="AEQ40" s="82">
        <f>AEP40</f>
        <v/>
      </c>
      <c r="AER40" s="82">
        <f>AEQ40</f>
        <v/>
      </c>
      <c r="AES40" s="82">
        <f>AER40</f>
        <v/>
      </c>
      <c r="AET40" s="82">
        <f>AES40</f>
        <v/>
      </c>
      <c r="AEU40" s="82">
        <f>AET40</f>
        <v/>
      </c>
      <c r="AEV40" s="82">
        <f>AEU40</f>
        <v/>
      </c>
      <c r="AEW40" s="82">
        <f>AEV40</f>
        <v/>
      </c>
      <c r="AEX40" s="82">
        <f>AEW40</f>
        <v/>
      </c>
      <c r="AEY40" s="82">
        <f>AEX40</f>
        <v/>
      </c>
      <c r="AEZ40" s="82">
        <f>AEY40</f>
        <v/>
      </c>
      <c r="AFA40" s="82">
        <f>AEZ40</f>
        <v/>
      </c>
      <c r="AFB40" s="82">
        <f>AFA40</f>
        <v/>
      </c>
      <c r="AFC40" s="82">
        <f>AFB40</f>
        <v/>
      </c>
      <c r="AFD40" s="82">
        <f>AFC40</f>
        <v/>
      </c>
      <c r="AFE40" s="82">
        <f>AFD40</f>
        <v/>
      </c>
      <c r="AFF40" s="82">
        <f>AFE40</f>
        <v/>
      </c>
      <c r="AFG40" s="82">
        <f>AFF40</f>
        <v/>
      </c>
      <c r="AFH40" s="82">
        <f>AFG40</f>
        <v/>
      </c>
      <c r="AFI40" s="82">
        <f>AFH40</f>
        <v/>
      </c>
      <c r="AFJ40" s="82">
        <f>AFI40</f>
        <v/>
      </c>
      <c r="AFK40" s="82">
        <f>AFJ40</f>
        <v/>
      </c>
      <c r="AFL40" s="82">
        <f>AFK40</f>
        <v/>
      </c>
      <c r="AFM40" s="82">
        <f>AFL40</f>
        <v/>
      </c>
      <c r="AFN40" s="82">
        <f>AFM40</f>
        <v/>
      </c>
      <c r="AFO40" s="82">
        <f>AFN40</f>
        <v/>
      </c>
      <c r="AFP40" s="82">
        <f>AFO40</f>
        <v/>
      </c>
      <c r="AFQ40" s="82">
        <f>AFP40</f>
        <v/>
      </c>
      <c r="AFR40" s="82">
        <f>AFQ40</f>
        <v/>
      </c>
      <c r="AFS40" s="82">
        <f>AFR40</f>
        <v/>
      </c>
      <c r="AFT40" s="130" t="n"/>
      <c r="AFU40" s="82">
        <f>AFS40</f>
        <v/>
      </c>
      <c r="AFV40" s="82">
        <f>AFU40</f>
        <v/>
      </c>
      <c r="AFW40" s="82">
        <f>AFV40</f>
        <v/>
      </c>
      <c r="AFX40" s="82">
        <f>AFW40</f>
        <v/>
      </c>
      <c r="AFY40" s="82">
        <f>AFX40</f>
        <v/>
      </c>
      <c r="AFZ40" s="82">
        <f>AFY40</f>
        <v/>
      </c>
      <c r="AGA40" s="82">
        <f>AFZ40</f>
        <v/>
      </c>
      <c r="AGB40" s="82">
        <f>AGA40</f>
        <v/>
      </c>
      <c r="AGC40" s="82">
        <f>AGB40</f>
        <v/>
      </c>
      <c r="AGD40" s="82">
        <f>AGC40</f>
        <v/>
      </c>
      <c r="AGE40" s="82">
        <f>AGD40</f>
        <v/>
      </c>
      <c r="AGF40" s="82">
        <f>AGE40</f>
        <v/>
      </c>
      <c r="AGG40" s="82">
        <f>AGF40</f>
        <v/>
      </c>
      <c r="AGH40" s="82">
        <f>AGG40</f>
        <v/>
      </c>
      <c r="AGI40" s="82">
        <f>AGH40</f>
        <v/>
      </c>
      <c r="AGJ40" s="82">
        <f>AGI40</f>
        <v/>
      </c>
      <c r="AGK40" s="82">
        <f>AGJ40</f>
        <v/>
      </c>
      <c r="AGL40" s="82">
        <f>AGK40</f>
        <v/>
      </c>
      <c r="AGM40" s="82">
        <f>AGL40</f>
        <v/>
      </c>
      <c r="AGN40" s="82">
        <f>AGM40</f>
        <v/>
      </c>
      <c r="AGO40" s="82">
        <f>AGN40</f>
        <v/>
      </c>
      <c r="AGP40" s="82">
        <f>AGO40</f>
        <v/>
      </c>
      <c r="AGQ40" s="82">
        <f>AGP40</f>
        <v/>
      </c>
      <c r="AGR40" s="82">
        <f>AGQ40</f>
        <v/>
      </c>
      <c r="AGS40" s="82">
        <f>AGR40</f>
        <v/>
      </c>
      <c r="AGT40" s="82">
        <f>AGS40</f>
        <v/>
      </c>
      <c r="AGU40" s="82">
        <f>AGT40</f>
        <v/>
      </c>
      <c r="AGV40" s="82">
        <f>AGU40</f>
        <v/>
      </c>
      <c r="AGW40" s="82">
        <f>AGV40</f>
        <v/>
      </c>
      <c r="AGX40" s="82">
        <f>AGW40</f>
        <v/>
      </c>
      <c r="AGY40" s="133" t="n"/>
      <c r="AGZ40" s="82">
        <f>AGX40</f>
        <v/>
      </c>
      <c r="AHA40" s="82">
        <f>AGZ40</f>
        <v/>
      </c>
      <c r="AHB40" s="82">
        <f>AHA40</f>
        <v/>
      </c>
      <c r="AHC40" s="82">
        <f>AHB40</f>
        <v/>
      </c>
      <c r="AHD40" s="82">
        <f>AHC40</f>
        <v/>
      </c>
      <c r="AHE40" s="82">
        <f>AHD40</f>
        <v/>
      </c>
      <c r="AHF40" s="82">
        <f>AHE40</f>
        <v/>
      </c>
      <c r="AHG40" s="82">
        <f>AHF40</f>
        <v/>
      </c>
      <c r="AHH40" s="82">
        <f>AHG40</f>
        <v/>
      </c>
      <c r="AHI40" s="82">
        <f>AHH40</f>
        <v/>
      </c>
      <c r="AHJ40" s="82">
        <f>AHI40</f>
        <v/>
      </c>
      <c r="AHK40" s="82">
        <f>AHJ40</f>
        <v/>
      </c>
      <c r="AHL40" s="82">
        <f>AHK40</f>
        <v/>
      </c>
      <c r="AHM40" s="82">
        <f>AHL40</f>
        <v/>
      </c>
      <c r="AHN40" s="82">
        <f>AHM40</f>
        <v/>
      </c>
      <c r="AHO40" s="82">
        <f>AHN40</f>
        <v/>
      </c>
      <c r="AHP40" s="82">
        <f>AHO40</f>
        <v/>
      </c>
      <c r="AHQ40" s="82">
        <f>AHP40</f>
        <v/>
      </c>
      <c r="AHR40" s="82">
        <f>AHQ40</f>
        <v/>
      </c>
      <c r="AHS40" s="82">
        <f>AHR40</f>
        <v/>
      </c>
      <c r="AHT40" s="82">
        <f>AHS40</f>
        <v/>
      </c>
      <c r="AHU40" s="82">
        <f>AHT40</f>
        <v/>
      </c>
      <c r="AHV40" s="82">
        <f>AHU40</f>
        <v/>
      </c>
      <c r="AHW40" s="82">
        <f>AHV40</f>
        <v/>
      </c>
      <c r="AHX40" s="82">
        <f>AHW40</f>
        <v/>
      </c>
      <c r="AHY40" s="82">
        <f>AHX40</f>
        <v/>
      </c>
      <c r="AHZ40" s="82">
        <f>AHY40</f>
        <v/>
      </c>
      <c r="AIA40" s="82">
        <f>AHZ40</f>
        <v/>
      </c>
      <c r="AIB40" s="82">
        <f>AIA40</f>
        <v/>
      </c>
      <c r="AIC40" s="82">
        <f>AIB40</f>
        <v/>
      </c>
      <c r="AID40" s="82">
        <f>AIC40</f>
        <v/>
      </c>
      <c r="AIE40" s="130" t="n"/>
      <c r="AIF40" s="82">
        <f>AID40</f>
        <v/>
      </c>
      <c r="AIG40" s="82">
        <f>AIF40</f>
        <v/>
      </c>
      <c r="AIH40" s="82">
        <f>AIG40</f>
        <v/>
      </c>
      <c r="AII40" s="82">
        <f>AIH40</f>
        <v/>
      </c>
      <c r="AIJ40" s="82">
        <f>AII40</f>
        <v/>
      </c>
      <c r="AIK40" s="82">
        <f>AIJ40</f>
        <v/>
      </c>
      <c r="AIL40" s="82">
        <f>AIK40</f>
        <v/>
      </c>
      <c r="AIM40" s="82">
        <f>AIL40</f>
        <v/>
      </c>
      <c r="AIN40" s="82">
        <f>AIM40</f>
        <v/>
      </c>
      <c r="AIO40" s="82">
        <f>AIN40</f>
        <v/>
      </c>
      <c r="AIP40" s="82">
        <f>AIO40</f>
        <v/>
      </c>
      <c r="AIQ40" s="82">
        <f>AIP40</f>
        <v/>
      </c>
      <c r="AIR40" s="82">
        <f>AIQ40</f>
        <v/>
      </c>
      <c r="AIS40" s="82">
        <f>AIR40</f>
        <v/>
      </c>
      <c r="AIT40" s="82">
        <f>AIS40</f>
        <v/>
      </c>
      <c r="AIU40" s="82">
        <f>AIT40</f>
        <v/>
      </c>
      <c r="AIV40" s="82">
        <f>AIU40</f>
        <v/>
      </c>
      <c r="AIW40" s="82">
        <f>AIV40</f>
        <v/>
      </c>
      <c r="AIX40" s="82">
        <f>AIW40</f>
        <v/>
      </c>
      <c r="AIY40" s="82">
        <f>AIX40</f>
        <v/>
      </c>
      <c r="AIZ40" s="82">
        <f>AIY40</f>
        <v/>
      </c>
      <c r="AJA40" s="82">
        <f>AIZ40</f>
        <v/>
      </c>
      <c r="AJB40" s="82">
        <f>AJA40</f>
        <v/>
      </c>
      <c r="AJC40" s="82">
        <f>AJB40</f>
        <v/>
      </c>
      <c r="AJD40" s="82">
        <f>AJC40</f>
        <v/>
      </c>
      <c r="AJE40" s="82">
        <f>AJD40</f>
        <v/>
      </c>
      <c r="AJF40" s="82">
        <f>AJE40</f>
        <v/>
      </c>
      <c r="AJG40" s="82">
        <f>AJF40</f>
        <v/>
      </c>
      <c r="AJH40" s="82">
        <f>AJG40</f>
        <v/>
      </c>
      <c r="AJI40" s="82">
        <f>AJH40</f>
        <v/>
      </c>
      <c r="AJJ40" s="82">
        <f>AJI40</f>
        <v/>
      </c>
      <c r="AJK40" s="145" t="n"/>
      <c r="AJL40" s="82">
        <f>AJJ40</f>
        <v/>
      </c>
      <c r="AJM40" s="82">
        <f>AJL40</f>
        <v/>
      </c>
      <c r="AJN40" s="82">
        <f>AJM40</f>
        <v/>
      </c>
      <c r="AJO40" s="82">
        <f>AJN40</f>
        <v/>
      </c>
      <c r="AJP40" s="82">
        <f>AJO40</f>
        <v/>
      </c>
      <c r="AJQ40" s="82">
        <f>AJP40</f>
        <v/>
      </c>
      <c r="AJR40" s="82">
        <f>AJQ40</f>
        <v/>
      </c>
      <c r="AJS40" s="82">
        <f>AJR40</f>
        <v/>
      </c>
      <c r="AJT40" s="82">
        <f>AJS40</f>
        <v/>
      </c>
      <c r="AJU40" s="82">
        <f>AJT40</f>
        <v/>
      </c>
      <c r="AJV40" s="82">
        <f>AJU40</f>
        <v/>
      </c>
      <c r="AJW40" s="82">
        <f>AJV40</f>
        <v/>
      </c>
      <c r="AJX40" s="82">
        <f>AJW40</f>
        <v/>
      </c>
      <c r="AJY40" s="82">
        <f>AJX40</f>
        <v/>
      </c>
      <c r="AJZ40" s="82">
        <f>AJY40</f>
        <v/>
      </c>
      <c r="AKA40" s="82">
        <f>AJZ40</f>
        <v/>
      </c>
      <c r="AKB40" s="82">
        <f>AKA40</f>
        <v/>
      </c>
      <c r="AKC40" s="82">
        <f>AKB40</f>
        <v/>
      </c>
      <c r="AKD40" s="82">
        <f>AKC40</f>
        <v/>
      </c>
      <c r="AKE40" s="82">
        <f>AKD40</f>
        <v/>
      </c>
      <c r="AKF40" s="82">
        <f>AKE40</f>
        <v/>
      </c>
      <c r="AKG40" s="82">
        <f>AKF40</f>
        <v/>
      </c>
      <c r="AKH40" s="82">
        <f>AKG40</f>
        <v/>
      </c>
      <c r="AKI40" s="82">
        <f>AKH40</f>
        <v/>
      </c>
      <c r="AKJ40" s="82">
        <f>AKI40</f>
        <v/>
      </c>
      <c r="AKK40" s="82">
        <f>AKJ40</f>
        <v/>
      </c>
      <c r="AKL40" s="82">
        <f>AKK40</f>
        <v/>
      </c>
      <c r="AKM40" s="82">
        <f>AKL40</f>
        <v/>
      </c>
      <c r="AKN40" s="112" t="n"/>
      <c r="AKO40" s="82">
        <f>AKM40</f>
        <v/>
      </c>
      <c r="AKP40" s="82">
        <f>AKO40</f>
        <v/>
      </c>
      <c r="AKQ40" s="82">
        <f>AKP40</f>
        <v/>
      </c>
      <c r="AKR40" s="82">
        <f>AKQ40</f>
        <v/>
      </c>
      <c r="AKS40" s="82">
        <f>AKR40</f>
        <v/>
      </c>
      <c r="AKT40" s="82">
        <f>AKS40</f>
        <v/>
      </c>
      <c r="AKU40" s="82">
        <f>AKT40</f>
        <v/>
      </c>
      <c r="AKV40" s="82">
        <f>AKU40</f>
        <v/>
      </c>
      <c r="AKW40" s="82">
        <f>AKV40</f>
        <v/>
      </c>
      <c r="AKX40" s="82">
        <f>AKW40</f>
        <v/>
      </c>
      <c r="AKY40" s="82">
        <f>AKX40</f>
        <v/>
      </c>
      <c r="AKZ40" s="82">
        <f>AKY40</f>
        <v/>
      </c>
      <c r="ALA40" s="82">
        <f>AKZ40</f>
        <v/>
      </c>
      <c r="ALB40" s="82">
        <f>ALA40</f>
        <v/>
      </c>
      <c r="ALC40" s="82">
        <f>ALB40</f>
        <v/>
      </c>
      <c r="ALD40" s="82">
        <f>ALC40</f>
        <v/>
      </c>
      <c r="ALE40" s="82">
        <f>ALD40</f>
        <v/>
      </c>
      <c r="ALF40" s="82">
        <f>ALE40</f>
        <v/>
      </c>
      <c r="ALG40" s="82">
        <f>ALF40</f>
        <v/>
      </c>
      <c r="ALH40" s="82">
        <f>ALG40</f>
        <v/>
      </c>
      <c r="ALI40" s="82">
        <f>ALH40</f>
        <v/>
      </c>
      <c r="ALJ40" s="82">
        <f>ALI40</f>
        <v/>
      </c>
      <c r="ALK40" s="82">
        <f>ALJ40</f>
        <v/>
      </c>
      <c r="ALL40" s="82">
        <f>ALK40</f>
        <v/>
      </c>
      <c r="ALM40" s="82">
        <f>ALL40</f>
        <v/>
      </c>
      <c r="ALN40" s="82">
        <f>ALM40</f>
        <v/>
      </c>
      <c r="ALO40" s="82">
        <f>ALN40</f>
        <v/>
      </c>
      <c r="ALP40" s="82">
        <f>ALO40</f>
        <v/>
      </c>
      <c r="ALQ40" s="82">
        <f>ALP40</f>
        <v/>
      </c>
      <c r="ALR40" s="82">
        <f>ALQ40</f>
        <v/>
      </c>
      <c r="ALS40" s="82">
        <f>ALR40</f>
        <v/>
      </c>
      <c r="ALT40" s="130" t="n"/>
      <c r="ALU40" s="82">
        <f>ALS40</f>
        <v/>
      </c>
      <c r="ALV40" s="82">
        <f>ALU40</f>
        <v/>
      </c>
      <c r="ALW40" s="82">
        <f>ALV40</f>
        <v/>
      </c>
      <c r="ALX40" s="82">
        <f>ALW40</f>
        <v/>
      </c>
      <c r="ALY40" s="82">
        <f>ALX40</f>
        <v/>
      </c>
      <c r="ALZ40" s="82">
        <f>ALY40</f>
        <v/>
      </c>
      <c r="AMA40" s="82">
        <f>ALZ40</f>
        <v/>
      </c>
      <c r="AMB40" s="82">
        <f>AMA40</f>
        <v/>
      </c>
      <c r="AMC40" s="82">
        <f>AMB40</f>
        <v/>
      </c>
      <c r="AMD40" s="82">
        <f>AMC40</f>
        <v/>
      </c>
      <c r="AME40" s="82">
        <f>AMD40</f>
        <v/>
      </c>
      <c r="AMF40" s="82">
        <f>AME40</f>
        <v/>
      </c>
      <c r="AMG40" s="82">
        <f>AMF40</f>
        <v/>
      </c>
      <c r="AMH40" s="82">
        <f>AMG40</f>
        <v/>
      </c>
      <c r="AMI40" s="82">
        <f>AMH40</f>
        <v/>
      </c>
      <c r="AMJ40" s="82">
        <f>AMI40</f>
        <v/>
      </c>
      <c r="AMK40" s="82">
        <f>AMJ40</f>
        <v/>
      </c>
      <c r="AML40" s="82">
        <f>AMK40</f>
        <v/>
      </c>
      <c r="AMM40" s="82">
        <f>AML40</f>
        <v/>
      </c>
      <c r="AMN40" s="82">
        <f>AMM40</f>
        <v/>
      </c>
      <c r="AMO40" s="82">
        <f>AMN40</f>
        <v/>
      </c>
      <c r="AMP40" s="82">
        <f>AMO40</f>
        <v/>
      </c>
      <c r="AMQ40" s="82">
        <f>AMP40</f>
        <v/>
      </c>
      <c r="AMR40" s="82">
        <f>AMQ40</f>
        <v/>
      </c>
      <c r="AMS40" s="82">
        <f>AMR40</f>
        <v/>
      </c>
      <c r="AMT40" s="82">
        <f>AMS40</f>
        <v/>
      </c>
      <c r="AMU40" s="82">
        <f>AMT40</f>
        <v/>
      </c>
      <c r="AMV40" s="82">
        <f>AMU40</f>
        <v/>
      </c>
      <c r="AMW40" s="82">
        <f>AMV40</f>
        <v/>
      </c>
      <c r="AMX40" s="82">
        <f>AMW40</f>
        <v/>
      </c>
      <c r="AMY40" s="130" t="n"/>
      <c r="AMZ40" s="82">
        <f>AMX40</f>
        <v/>
      </c>
      <c r="ANA40" s="82">
        <f>AMZ40</f>
        <v/>
      </c>
      <c r="ANB40" s="82">
        <f>ANA40</f>
        <v/>
      </c>
      <c r="ANC40" s="82">
        <f>ANB40</f>
        <v/>
      </c>
      <c r="AND40" s="82">
        <f>ANC40</f>
        <v/>
      </c>
      <c r="ANE40" s="82">
        <f>AND40</f>
        <v/>
      </c>
      <c r="ANF40" s="82">
        <f>ANE40</f>
        <v/>
      </c>
      <c r="ANG40" s="82">
        <f>ANF40</f>
        <v/>
      </c>
      <c r="ANH40" s="82">
        <f>ANG40</f>
        <v/>
      </c>
      <c r="ANI40" s="82">
        <f>ANH40</f>
        <v/>
      </c>
      <c r="ANJ40" s="82">
        <f>ANI40</f>
        <v/>
      </c>
      <c r="ANK40" s="82">
        <f>ANJ40</f>
        <v/>
      </c>
      <c r="ANL40" s="82">
        <f>ANK40</f>
        <v/>
      </c>
      <c r="ANM40" s="82">
        <f>ANL40</f>
        <v/>
      </c>
      <c r="ANN40" s="82">
        <f>ANM40</f>
        <v/>
      </c>
      <c r="ANO40" s="82">
        <f>ANN40</f>
        <v/>
      </c>
      <c r="ANP40" s="82">
        <f>ANO40</f>
        <v/>
      </c>
      <c r="ANQ40" s="82">
        <f>ANP40</f>
        <v/>
      </c>
      <c r="ANR40" s="82">
        <f>ANQ40</f>
        <v/>
      </c>
      <c r="ANS40" s="82">
        <f>ANR40</f>
        <v/>
      </c>
      <c r="ANT40" s="82">
        <f>ANS40</f>
        <v/>
      </c>
      <c r="ANU40" s="82">
        <f>ANT40</f>
        <v/>
      </c>
      <c r="ANV40" s="82">
        <f>ANU40</f>
        <v/>
      </c>
      <c r="ANW40" s="82">
        <f>ANV40</f>
        <v/>
      </c>
      <c r="ANX40" s="82">
        <f>ANW40</f>
        <v/>
      </c>
      <c r="ANY40" s="82">
        <f>ANX40</f>
        <v/>
      </c>
      <c r="ANZ40" s="82">
        <f>ANY40</f>
        <v/>
      </c>
      <c r="AOA40" s="82">
        <f>ANZ40</f>
        <v/>
      </c>
      <c r="AOB40" s="82">
        <f>AOA40</f>
        <v/>
      </c>
      <c r="AOC40" s="82">
        <f>AOB40</f>
        <v/>
      </c>
    </row>
    <row r="41">
      <c r="B41" s="13" t="inlineStr">
        <is>
          <t>Monthly profit capitalized</t>
        </is>
      </c>
      <c r="C41" s="52" t="n">
        <v>72003607</v>
      </c>
      <c r="D41" s="52">
        <f>C41</f>
        <v/>
      </c>
      <c r="E41" s="52">
        <f>D41</f>
        <v/>
      </c>
      <c r="F41" s="52">
        <f>E41</f>
        <v/>
      </c>
      <c r="G41" s="52">
        <f>F41</f>
        <v/>
      </c>
      <c r="H41" s="52">
        <f>G41</f>
        <v/>
      </c>
      <c r="I41" s="52">
        <f>H41</f>
        <v/>
      </c>
      <c r="J41" s="52">
        <f>I41+1400000</f>
        <v/>
      </c>
      <c r="K41" s="52">
        <f>J41</f>
        <v/>
      </c>
      <c r="L41" s="52">
        <f>K41</f>
        <v/>
      </c>
      <c r="M41" s="52">
        <f>L41</f>
        <v/>
      </c>
      <c r="N41" s="52">
        <f>M41</f>
        <v/>
      </c>
      <c r="O41" s="52">
        <f>N41</f>
        <v/>
      </c>
      <c r="P41" s="52">
        <f>O41</f>
        <v/>
      </c>
      <c r="Q41" s="52">
        <f>P41</f>
        <v/>
      </c>
      <c r="R41" s="52">
        <f>Q41</f>
        <v/>
      </c>
      <c r="S41" s="52">
        <f>R41</f>
        <v/>
      </c>
      <c r="T41" s="52">
        <f>S41</f>
        <v/>
      </c>
      <c r="U41" s="52">
        <f>T41+278000-11000000</f>
        <v/>
      </c>
      <c r="V41" s="52">
        <f>U41</f>
        <v/>
      </c>
      <c r="W41" s="52">
        <f>V41</f>
        <v/>
      </c>
      <c r="X41" s="52">
        <f>W41+1391280</f>
        <v/>
      </c>
      <c r="Y41" s="52">
        <f>X41</f>
        <v/>
      </c>
      <c r="Z41" s="52">
        <f>Y41</f>
        <v/>
      </c>
      <c r="AA41" s="52">
        <f>Z41</f>
        <v/>
      </c>
      <c r="AB41" s="52">
        <f>AA41</f>
        <v/>
      </c>
      <c r="AC41" s="52">
        <f>AB41</f>
        <v/>
      </c>
      <c r="AD41" s="52">
        <f>AC41</f>
        <v/>
      </c>
      <c r="AE41" s="52">
        <f>AD41+412000</f>
        <v/>
      </c>
      <c r="AF41" s="52">
        <f>AE41+796000</f>
        <v/>
      </c>
      <c r="AG41" s="52">
        <f>AF41</f>
        <v/>
      </c>
      <c r="AH41" s="98">
        <f>AG41</f>
        <v/>
      </c>
      <c r="AI41" s="82">
        <f>AG41+4776000</f>
        <v/>
      </c>
      <c r="AJ41" s="82">
        <f>AI41</f>
        <v/>
      </c>
      <c r="AK41" s="82">
        <f>AI41</f>
        <v/>
      </c>
      <c r="AL41" s="82">
        <f>AJ41</f>
        <v/>
      </c>
      <c r="AM41" s="82">
        <f>AK41+529000</f>
        <v/>
      </c>
      <c r="AN41" s="82">
        <f>AL41+529000</f>
        <v/>
      </c>
      <c r="AO41" s="82">
        <f>AM41</f>
        <v/>
      </c>
      <c r="AP41" s="82">
        <f>AN41</f>
        <v/>
      </c>
      <c r="AQ41" s="82">
        <f>AO41+1600000</f>
        <v/>
      </c>
      <c r="AR41" s="82">
        <f>AQ41</f>
        <v/>
      </c>
      <c r="AS41" s="82">
        <f>AQ41</f>
        <v/>
      </c>
      <c r="AT41" s="82">
        <f>AR41+525000</f>
        <v/>
      </c>
      <c r="AU41" s="82">
        <f>AT41</f>
        <v/>
      </c>
      <c r="AV41" s="82">
        <f>AT41+483000</f>
        <v/>
      </c>
      <c r="AW41" s="82">
        <f>AV41</f>
        <v/>
      </c>
      <c r="AX41" s="82">
        <f>AV41</f>
        <v/>
      </c>
      <c r="AY41" s="82">
        <f>AW41</f>
        <v/>
      </c>
      <c r="AZ41" s="82">
        <f>AX41</f>
        <v/>
      </c>
      <c r="BA41" s="82">
        <f>AY41</f>
        <v/>
      </c>
      <c r="BB41" s="82">
        <f>AZ41</f>
        <v/>
      </c>
      <c r="BC41" s="82">
        <f>BA41</f>
        <v/>
      </c>
      <c r="BD41" s="82">
        <f>BB41</f>
        <v/>
      </c>
      <c r="BE41" s="82">
        <f>BC41</f>
        <v/>
      </c>
      <c r="BF41" s="82">
        <f>BD41</f>
        <v/>
      </c>
      <c r="BG41" s="82">
        <f>BE41</f>
        <v/>
      </c>
      <c r="BH41" s="82">
        <f>BF41</f>
        <v/>
      </c>
      <c r="BI41" s="82">
        <f>BG41</f>
        <v/>
      </c>
      <c r="BJ41" s="82">
        <f>BH41+352000</f>
        <v/>
      </c>
      <c r="BK41" s="82">
        <f>BJ41</f>
        <v/>
      </c>
      <c r="BL41" s="82">
        <f>BJ41</f>
        <v/>
      </c>
      <c r="BM41" s="106">
        <f>BL41</f>
        <v/>
      </c>
      <c r="BN41" s="82">
        <f>BL41+4373000</f>
        <v/>
      </c>
      <c r="BO41" s="82">
        <f>BN41</f>
        <v/>
      </c>
      <c r="BP41" s="82">
        <f>BN41</f>
        <v/>
      </c>
      <c r="BQ41" s="82">
        <f>BO41</f>
        <v/>
      </c>
      <c r="BR41" s="82">
        <f>BP41</f>
        <v/>
      </c>
      <c r="BS41" s="82">
        <f>BQ41</f>
        <v/>
      </c>
      <c r="BT41" s="82">
        <f>BR41</f>
        <v/>
      </c>
      <c r="BU41" s="82">
        <f>BS41</f>
        <v/>
      </c>
      <c r="BV41" s="82">
        <f>BT41</f>
        <v/>
      </c>
      <c r="BW41" s="82">
        <f>BU41</f>
        <v/>
      </c>
      <c r="BX41" s="82">
        <f>BV41</f>
        <v/>
      </c>
      <c r="BY41" s="82">
        <f>BW41</f>
        <v/>
      </c>
      <c r="BZ41" s="82">
        <f>BX41</f>
        <v/>
      </c>
      <c r="CA41" s="82">
        <f>BY41</f>
        <v/>
      </c>
      <c r="CB41" s="82">
        <f>BZ41</f>
        <v/>
      </c>
      <c r="CC41" s="82">
        <f>CA41</f>
        <v/>
      </c>
      <c r="CD41" s="82">
        <f>CB41</f>
        <v/>
      </c>
      <c r="CE41" s="82">
        <f>CC41</f>
        <v/>
      </c>
      <c r="CF41" s="82">
        <f>CD41</f>
        <v/>
      </c>
      <c r="CG41" s="82">
        <f>CE41</f>
        <v/>
      </c>
      <c r="CH41" s="82">
        <f>CF41</f>
        <v/>
      </c>
      <c r="CI41" s="82">
        <f>CG41</f>
        <v/>
      </c>
      <c r="CJ41" s="82">
        <f>CH41</f>
        <v/>
      </c>
      <c r="CK41" s="82">
        <f>CI41</f>
        <v/>
      </c>
      <c r="CL41" s="82">
        <f>CJ41</f>
        <v/>
      </c>
      <c r="CM41" s="82">
        <f>CK41</f>
        <v/>
      </c>
      <c r="CN41" s="82">
        <f>CL41</f>
        <v/>
      </c>
      <c r="CO41" s="82">
        <f>CM41</f>
        <v/>
      </c>
      <c r="CP41" s="82">
        <f>CN41</f>
        <v/>
      </c>
      <c r="CQ41" s="82">
        <f>CO41</f>
        <v/>
      </c>
      <c r="CR41" s="82">
        <f>CP41+288000</f>
        <v/>
      </c>
      <c r="CT41" s="82">
        <f>CR41+2346000</f>
        <v/>
      </c>
      <c r="CU41" s="82">
        <f>CT41</f>
        <v/>
      </c>
      <c r="CV41" s="82">
        <f>CT41</f>
        <v/>
      </c>
      <c r="CW41" s="82">
        <f>CU41</f>
        <v/>
      </c>
      <c r="CX41" s="82">
        <f>CV41</f>
        <v/>
      </c>
      <c r="CY41" s="82">
        <f>CW41</f>
        <v/>
      </c>
      <c r="CZ41" s="82">
        <f>CX41</f>
        <v/>
      </c>
      <c r="DA41" s="82">
        <f>CY41</f>
        <v/>
      </c>
      <c r="DB41" s="82">
        <f>CZ41</f>
        <v/>
      </c>
      <c r="DC41" s="82">
        <f>DA41</f>
        <v/>
      </c>
      <c r="DD41" s="82">
        <f>DB41</f>
        <v/>
      </c>
      <c r="DE41" s="82">
        <f>DC41</f>
        <v/>
      </c>
      <c r="DF41" s="82">
        <f>DD41</f>
        <v/>
      </c>
      <c r="DG41" s="82">
        <f>DE41</f>
        <v/>
      </c>
      <c r="DH41" s="82">
        <f>DF41+1184000</f>
        <v/>
      </c>
      <c r="DI41" s="82">
        <f>DH41</f>
        <v/>
      </c>
      <c r="DJ41" s="82">
        <f>DH41</f>
        <v/>
      </c>
      <c r="DK41" s="82">
        <f>DI41</f>
        <v/>
      </c>
      <c r="DL41" s="82">
        <f>DJ41</f>
        <v/>
      </c>
      <c r="DM41" s="82">
        <f>DK41</f>
        <v/>
      </c>
      <c r="DN41" s="82">
        <f>DL41</f>
        <v/>
      </c>
      <c r="DO41" s="82">
        <f>DM41</f>
        <v/>
      </c>
      <c r="DP41" s="82">
        <f>DN41</f>
        <v/>
      </c>
      <c r="DQ41" s="82">
        <f>DO41</f>
        <v/>
      </c>
      <c r="DR41" s="82">
        <f>DP41</f>
        <v/>
      </c>
      <c r="DS41" s="82">
        <f>DQ41</f>
        <v/>
      </c>
      <c r="DT41" s="82">
        <f>DR41</f>
        <v/>
      </c>
      <c r="DU41" s="82">
        <f>DS41</f>
        <v/>
      </c>
      <c r="DV41" s="82">
        <f>DT41</f>
        <v/>
      </c>
      <c r="DW41" s="82">
        <f>DU41</f>
        <v/>
      </c>
      <c r="DX41" s="117" t="n"/>
      <c r="DY41" s="82">
        <f>DW41+1158000</f>
        <v/>
      </c>
      <c r="DZ41" s="82">
        <f>DY41</f>
        <v/>
      </c>
      <c r="EA41" s="82">
        <f>DZ41</f>
        <v/>
      </c>
      <c r="EB41" s="82">
        <f>EA41</f>
        <v/>
      </c>
      <c r="EC41" s="82">
        <f>EB41</f>
        <v/>
      </c>
      <c r="ED41" s="82">
        <f>EC41</f>
        <v/>
      </c>
      <c r="EE41" s="82">
        <f>ED41</f>
        <v/>
      </c>
      <c r="EF41" s="82">
        <f>EE41</f>
        <v/>
      </c>
      <c r="EG41" s="82">
        <f>EF41</f>
        <v/>
      </c>
      <c r="EH41" s="82">
        <f>EG41</f>
        <v/>
      </c>
      <c r="EI41" s="82">
        <f>EH41</f>
        <v/>
      </c>
      <c r="EJ41" s="82">
        <f>EI41</f>
        <v/>
      </c>
      <c r="EK41" s="82">
        <f>EJ41</f>
        <v/>
      </c>
      <c r="EL41" s="82">
        <f>EK41</f>
        <v/>
      </c>
      <c r="EM41" s="82">
        <f>EL41</f>
        <v/>
      </c>
      <c r="EN41" s="82">
        <f>EM41</f>
        <v/>
      </c>
      <c r="EO41" s="82">
        <f>EN41</f>
        <v/>
      </c>
      <c r="EP41" s="82">
        <f>EO41</f>
        <v/>
      </c>
      <c r="EQ41" s="82">
        <f>EP41</f>
        <v/>
      </c>
      <c r="ER41" s="82">
        <f>EQ41</f>
        <v/>
      </c>
      <c r="ES41" s="82">
        <f>ER41</f>
        <v/>
      </c>
      <c r="ET41" s="82">
        <f>ES41</f>
        <v/>
      </c>
      <c r="EU41" s="82">
        <f>ET41</f>
        <v/>
      </c>
      <c r="EV41" s="82">
        <f>EU41</f>
        <v/>
      </c>
      <c r="EW41" s="82">
        <f>EV41</f>
        <v/>
      </c>
      <c r="EX41" s="82">
        <f>EW41</f>
        <v/>
      </c>
      <c r="EY41" s="82">
        <f>EX41</f>
        <v/>
      </c>
      <c r="EZ41" s="82">
        <f>EY41</f>
        <v/>
      </c>
      <c r="FA41" s="82">
        <f>EZ41</f>
        <v/>
      </c>
      <c r="FB41" s="82">
        <f>FA41</f>
        <v/>
      </c>
      <c r="FC41" s="82">
        <f>FB41</f>
        <v/>
      </c>
      <c r="FD41" s="126" t="n"/>
      <c r="FE41" s="82">
        <f>FC41</f>
        <v/>
      </c>
      <c r="FF41" s="82">
        <f>FE41</f>
        <v/>
      </c>
      <c r="FG41" s="82">
        <f>FE41</f>
        <v/>
      </c>
      <c r="FH41" s="82">
        <f>FF41</f>
        <v/>
      </c>
      <c r="FI41" s="82">
        <f>FG41</f>
        <v/>
      </c>
      <c r="FJ41" s="82">
        <f>FH41</f>
        <v/>
      </c>
      <c r="FK41" s="82">
        <f>FI41</f>
        <v/>
      </c>
      <c r="FL41" s="82">
        <f>FJ41</f>
        <v/>
      </c>
      <c r="FM41" s="82">
        <f>FK41</f>
        <v/>
      </c>
      <c r="FN41" s="82">
        <f>FL41</f>
        <v/>
      </c>
      <c r="FO41" s="82">
        <f>FM41</f>
        <v/>
      </c>
      <c r="FP41" s="82">
        <f>FN41</f>
        <v/>
      </c>
      <c r="FQ41" s="82">
        <f>FO41</f>
        <v/>
      </c>
      <c r="FR41" s="82">
        <f>FP41</f>
        <v/>
      </c>
      <c r="FS41" s="82">
        <f>FQ41</f>
        <v/>
      </c>
      <c r="FT41" s="82">
        <f>FR41</f>
        <v/>
      </c>
      <c r="FU41" s="82">
        <f>FS41</f>
        <v/>
      </c>
      <c r="FV41" s="82">
        <f>FT41</f>
        <v/>
      </c>
      <c r="FW41" s="82">
        <f>FU41</f>
        <v/>
      </c>
      <c r="FX41" s="82">
        <f>FV41</f>
        <v/>
      </c>
      <c r="FY41" s="82">
        <f>FW41</f>
        <v/>
      </c>
      <c r="FZ41" s="82">
        <f>FX41</f>
        <v/>
      </c>
      <c r="GA41" s="82">
        <f>FY41</f>
        <v/>
      </c>
      <c r="GB41" s="82">
        <f>FZ41</f>
        <v/>
      </c>
      <c r="GC41" s="82">
        <f>GA41</f>
        <v/>
      </c>
      <c r="GD41" s="82">
        <f>GB41</f>
        <v/>
      </c>
      <c r="GE41" s="82">
        <f>GC41</f>
        <v/>
      </c>
      <c r="GF41" s="82">
        <f>GD41</f>
        <v/>
      </c>
      <c r="GG41" s="82">
        <f>GE41</f>
        <v/>
      </c>
      <c r="GH41" s="82">
        <f>GF41</f>
        <v/>
      </c>
      <c r="GI41" s="82">
        <f>GG41</f>
        <v/>
      </c>
      <c r="GJ41" s="130" t="n"/>
      <c r="GK41" s="82">
        <f>GI41+2343000</f>
        <v/>
      </c>
      <c r="GL41" s="82">
        <f>GK41</f>
        <v/>
      </c>
      <c r="GM41" s="82">
        <f>GL41</f>
        <v/>
      </c>
      <c r="GN41" s="82">
        <f>GM41</f>
        <v/>
      </c>
      <c r="GO41" s="82">
        <f>GN41</f>
        <v/>
      </c>
      <c r="GP41" s="82">
        <f>GO41</f>
        <v/>
      </c>
      <c r="GQ41" s="82">
        <f>GP41</f>
        <v/>
      </c>
      <c r="GR41" s="82">
        <f>GQ41</f>
        <v/>
      </c>
      <c r="GS41" s="82">
        <f>GR41</f>
        <v/>
      </c>
      <c r="GT41" s="82">
        <f>GS41</f>
        <v/>
      </c>
      <c r="GU41" s="82">
        <f>GT41</f>
        <v/>
      </c>
      <c r="GV41" s="82">
        <f>GU41</f>
        <v/>
      </c>
      <c r="GW41" s="82">
        <f>GV41</f>
        <v/>
      </c>
      <c r="GX41" s="82">
        <f>GW41</f>
        <v/>
      </c>
      <c r="GY41" s="82">
        <f>GX41</f>
        <v/>
      </c>
      <c r="GZ41" s="82">
        <f>GY41</f>
        <v/>
      </c>
      <c r="HA41" s="82">
        <f>GZ41</f>
        <v/>
      </c>
      <c r="HB41" s="82">
        <f>HA41</f>
        <v/>
      </c>
      <c r="HC41" s="82">
        <f>HB41</f>
        <v/>
      </c>
      <c r="HD41" s="82">
        <f>HC41</f>
        <v/>
      </c>
      <c r="HE41" s="82">
        <f>HD41</f>
        <v/>
      </c>
      <c r="HF41" s="82">
        <f>HE41</f>
        <v/>
      </c>
      <c r="HG41" s="82">
        <f>HF41</f>
        <v/>
      </c>
      <c r="HH41" s="82">
        <f>HG41</f>
        <v/>
      </c>
      <c r="HI41" s="82">
        <f>HH41</f>
        <v/>
      </c>
      <c r="HJ41" s="82">
        <f>HI41</f>
        <v/>
      </c>
      <c r="HK41" s="82">
        <f>HJ41</f>
        <v/>
      </c>
      <c r="HL41" s="82">
        <f>HK41</f>
        <v/>
      </c>
      <c r="HM41" s="82">
        <f>HL41</f>
        <v/>
      </c>
      <c r="HN41" s="130" t="n"/>
      <c r="HO41" s="82">
        <f>HM41+588000</f>
        <v/>
      </c>
      <c r="HP41" s="82">
        <f>HO41</f>
        <v/>
      </c>
      <c r="HQ41" s="82">
        <f>HP41</f>
        <v/>
      </c>
      <c r="HR41" s="82">
        <f>HQ41</f>
        <v/>
      </c>
      <c r="HS41" s="82">
        <f>HR41</f>
        <v/>
      </c>
      <c r="HT41" s="82">
        <f>HS41</f>
        <v/>
      </c>
      <c r="HU41" s="82">
        <f>HT41</f>
        <v/>
      </c>
      <c r="HV41" s="82">
        <f>HU41+1261852</f>
        <v/>
      </c>
      <c r="HW41" s="82">
        <f>HV41</f>
        <v/>
      </c>
      <c r="HX41" s="82">
        <f>HW41</f>
        <v/>
      </c>
      <c r="HY41" s="82">
        <f>HX41</f>
        <v/>
      </c>
      <c r="HZ41" s="82">
        <f>HY41+2220000</f>
        <v/>
      </c>
      <c r="IA41" s="82">
        <f>HZ41</f>
        <v/>
      </c>
      <c r="IB41" s="82">
        <f>IA41</f>
        <v/>
      </c>
      <c r="IC41" s="82">
        <f>IB41</f>
        <v/>
      </c>
      <c r="ID41" s="82">
        <f>IC41</f>
        <v/>
      </c>
      <c r="IE41" s="82">
        <f>ID41</f>
        <v/>
      </c>
      <c r="IF41" s="82">
        <f>IE41</f>
        <v/>
      </c>
      <c r="IG41" s="82">
        <f>IF41</f>
        <v/>
      </c>
      <c r="IH41" s="82">
        <f>IG41-2500</f>
        <v/>
      </c>
      <c r="II41" s="82">
        <f>IH41</f>
        <v/>
      </c>
      <c r="IJ41" s="82">
        <f>II41</f>
        <v/>
      </c>
      <c r="IK41" s="82">
        <f>IJ41</f>
        <v/>
      </c>
      <c r="IL41" s="82">
        <f>IK41</f>
        <v/>
      </c>
      <c r="IM41" s="82">
        <f>IL41</f>
        <v/>
      </c>
      <c r="IN41" s="82">
        <f>IM41</f>
        <v/>
      </c>
      <c r="IO41" s="82">
        <f>IN41</f>
        <v/>
      </c>
      <c r="IP41" s="82">
        <f>IO41</f>
        <v/>
      </c>
      <c r="IQ41" s="82">
        <f>IP41</f>
        <v/>
      </c>
      <c r="IR41" s="82">
        <f>IQ41</f>
        <v/>
      </c>
      <c r="IS41" s="82">
        <f>IR41</f>
        <v/>
      </c>
      <c r="IT41" s="130" t="n"/>
      <c r="IU41" s="82">
        <f>IS41+3520000</f>
        <v/>
      </c>
      <c r="IV41" s="82">
        <f>IU41</f>
        <v/>
      </c>
      <c r="IW41" s="82">
        <f>IV41</f>
        <v/>
      </c>
      <c r="IX41" s="82">
        <f>IW41</f>
        <v/>
      </c>
      <c r="IY41" s="82">
        <f>IX41</f>
        <v/>
      </c>
      <c r="IZ41" s="82">
        <f>IY41</f>
        <v/>
      </c>
      <c r="JA41" s="82">
        <f>IZ41</f>
        <v/>
      </c>
      <c r="JB41" s="82">
        <f>JA41</f>
        <v/>
      </c>
      <c r="JC41" s="82">
        <f>JB41</f>
        <v/>
      </c>
      <c r="JD41" s="82">
        <f>JC41</f>
        <v/>
      </c>
      <c r="JE41" s="82">
        <f>JD41</f>
        <v/>
      </c>
      <c r="JF41" s="82">
        <f>JE41</f>
        <v/>
      </c>
      <c r="JG41" s="82">
        <f>JF41</f>
        <v/>
      </c>
      <c r="JH41" s="82">
        <f>JG41</f>
        <v/>
      </c>
      <c r="JI41" s="82">
        <f>JH41</f>
        <v/>
      </c>
      <c r="JJ41" s="82">
        <f>JI41-16051000</f>
        <v/>
      </c>
      <c r="JK41" s="82">
        <f>JJ41</f>
        <v/>
      </c>
      <c r="JL41" s="82">
        <f>JK41</f>
        <v/>
      </c>
      <c r="JM41" s="82">
        <f>JL41</f>
        <v/>
      </c>
      <c r="JN41" s="82">
        <f>JM41</f>
        <v/>
      </c>
      <c r="JO41" s="82">
        <f>JN41</f>
        <v/>
      </c>
      <c r="JP41" s="82">
        <f>JO41</f>
        <v/>
      </c>
      <c r="JQ41" s="82">
        <f>JP41</f>
        <v/>
      </c>
      <c r="JR41" s="82">
        <f>JQ41</f>
        <v/>
      </c>
      <c r="JS41" s="82">
        <f>JR41</f>
        <v/>
      </c>
      <c r="JT41" s="82">
        <f>JS41</f>
        <v/>
      </c>
      <c r="JU41" s="82">
        <f>JT41</f>
        <v/>
      </c>
      <c r="JV41" s="82">
        <f>JU41</f>
        <v/>
      </c>
      <c r="JW41" s="82">
        <f>JV41</f>
        <v/>
      </c>
      <c r="JX41" s="82">
        <f>JW41</f>
        <v/>
      </c>
      <c r="JY41" s="133" t="n"/>
      <c r="JZ41" s="82">
        <f>JX41+1648000</f>
        <v/>
      </c>
      <c r="KA41" s="82">
        <f>JZ41</f>
        <v/>
      </c>
      <c r="KB41" s="82">
        <f>KA41</f>
        <v/>
      </c>
      <c r="KC41" s="82">
        <f>KB41</f>
        <v/>
      </c>
      <c r="KD41" s="82">
        <f>KC41</f>
        <v/>
      </c>
      <c r="KE41" s="82">
        <f>KD41</f>
        <v/>
      </c>
      <c r="KF41" s="82">
        <f>KE41</f>
        <v/>
      </c>
      <c r="KG41" s="82">
        <f>KF41</f>
        <v/>
      </c>
      <c r="KH41" s="82">
        <f>KG41</f>
        <v/>
      </c>
      <c r="KI41" s="82">
        <f>KH41</f>
        <v/>
      </c>
      <c r="KJ41" s="82">
        <f>KI41</f>
        <v/>
      </c>
      <c r="KK41" s="82">
        <f>KJ41</f>
        <v/>
      </c>
      <c r="KL41" s="82">
        <f>KK41</f>
        <v/>
      </c>
      <c r="KM41" s="82">
        <f>KL41</f>
        <v/>
      </c>
      <c r="KN41" s="82">
        <f>KM41</f>
        <v/>
      </c>
      <c r="KO41" s="82">
        <f>KN41</f>
        <v/>
      </c>
      <c r="KP41" s="82">
        <f>KO41</f>
        <v/>
      </c>
      <c r="KQ41" s="82">
        <f>KP41</f>
        <v/>
      </c>
      <c r="KR41" s="82">
        <f>KQ41</f>
        <v/>
      </c>
      <c r="KS41" s="82">
        <f>KR41</f>
        <v/>
      </c>
      <c r="KT41" s="82">
        <f>KS41</f>
        <v/>
      </c>
      <c r="KU41" s="82">
        <f>KT41</f>
        <v/>
      </c>
      <c r="KV41" s="82">
        <f>KU41</f>
        <v/>
      </c>
      <c r="KW41" s="82">
        <f>KV41</f>
        <v/>
      </c>
      <c r="KX41" s="82">
        <f>KW41</f>
        <v/>
      </c>
      <c r="KY41" s="82">
        <f>KX41</f>
        <v/>
      </c>
      <c r="KZ41" s="82">
        <f>KY41</f>
        <v/>
      </c>
      <c r="LA41" s="82">
        <f>KZ41+15190000</f>
        <v/>
      </c>
      <c r="LB41" s="82">
        <f>LA41</f>
        <v/>
      </c>
      <c r="LC41" s="82">
        <f>LB41</f>
        <v/>
      </c>
      <c r="LD41" s="82">
        <f>LC41</f>
        <v/>
      </c>
      <c r="LE41" s="130" t="n"/>
      <c r="LF41" s="82">
        <f>LD41+9032000</f>
        <v/>
      </c>
      <c r="LG41" s="82">
        <f>LF41</f>
        <v/>
      </c>
      <c r="LH41" s="82">
        <f>LG41</f>
        <v/>
      </c>
      <c r="LI41" s="82">
        <f>LH41</f>
        <v/>
      </c>
      <c r="LJ41" s="82">
        <f>LI41</f>
        <v/>
      </c>
      <c r="LK41" s="82">
        <f>LJ41</f>
        <v/>
      </c>
      <c r="LL41" s="82">
        <f>LK41-26685000</f>
        <v/>
      </c>
      <c r="LM41" s="82">
        <f>LL41</f>
        <v/>
      </c>
      <c r="LN41" s="82">
        <f>LM41</f>
        <v/>
      </c>
      <c r="LO41" s="82">
        <f>LN41</f>
        <v/>
      </c>
      <c r="LP41" s="82">
        <f>LO41</f>
        <v/>
      </c>
      <c r="LQ41" s="82">
        <f>LP41</f>
        <v/>
      </c>
      <c r="LR41" s="82">
        <f>LQ41</f>
        <v/>
      </c>
      <c r="LS41" s="82">
        <f>LR41</f>
        <v/>
      </c>
      <c r="LT41" s="82">
        <f>LS41</f>
        <v/>
      </c>
      <c r="LU41" s="82">
        <f>LT41</f>
        <v/>
      </c>
      <c r="LV41" s="82">
        <f>LU41</f>
        <v/>
      </c>
      <c r="LW41" s="82">
        <f>LV41</f>
        <v/>
      </c>
      <c r="LX41" s="82">
        <f>LW41</f>
        <v/>
      </c>
      <c r="LY41" s="82">
        <f>LX41</f>
        <v/>
      </c>
      <c r="LZ41" s="82">
        <f>LY41</f>
        <v/>
      </c>
      <c r="MA41" s="82">
        <f>LZ41</f>
        <v/>
      </c>
      <c r="MB41" s="82">
        <f>MA41</f>
        <v/>
      </c>
      <c r="MC41" s="82">
        <f>MB41</f>
        <v/>
      </c>
      <c r="MD41" s="82">
        <f>MC41</f>
        <v/>
      </c>
      <c r="ME41" s="82">
        <f>MD41</f>
        <v/>
      </c>
      <c r="MF41" s="82">
        <f>ME41</f>
        <v/>
      </c>
      <c r="MG41" s="82">
        <f>MF41</f>
        <v/>
      </c>
      <c r="MH41" s="82">
        <f>MG41</f>
        <v/>
      </c>
      <c r="MI41" s="82">
        <f>MH41</f>
        <v/>
      </c>
      <c r="MJ41" s="133" t="n"/>
      <c r="MK41" s="82">
        <f>MI41+596000</f>
        <v/>
      </c>
      <c r="ML41" s="82">
        <f>MK41</f>
        <v/>
      </c>
      <c r="MM41" s="82">
        <f>ML41</f>
        <v/>
      </c>
      <c r="MN41" s="82">
        <f>MM41</f>
        <v/>
      </c>
      <c r="MO41" s="82">
        <f>MN41</f>
        <v/>
      </c>
      <c r="MP41" s="82">
        <f>MO41</f>
        <v/>
      </c>
      <c r="MQ41" s="82">
        <f>MP41</f>
        <v/>
      </c>
      <c r="MR41" s="82">
        <f>MQ41</f>
        <v/>
      </c>
      <c r="MS41" s="82">
        <f>MR41</f>
        <v/>
      </c>
      <c r="MT41" s="82">
        <f>MS41</f>
        <v/>
      </c>
      <c r="MU41" s="82">
        <f>MT41</f>
        <v/>
      </c>
      <c r="MV41" s="82">
        <f>MU41</f>
        <v/>
      </c>
      <c r="MW41" s="82">
        <f>MV41</f>
        <v/>
      </c>
      <c r="MX41" s="82">
        <f>MW41</f>
        <v/>
      </c>
      <c r="MY41" s="82">
        <f>MX41</f>
        <v/>
      </c>
      <c r="MZ41" s="82">
        <f>MY41</f>
        <v/>
      </c>
      <c r="NA41" s="82">
        <f>MZ41</f>
        <v/>
      </c>
      <c r="NB41" s="82">
        <f>NA41</f>
        <v/>
      </c>
      <c r="NC41" s="82">
        <f>NB41</f>
        <v/>
      </c>
      <c r="ND41" s="82">
        <f>NC41</f>
        <v/>
      </c>
      <c r="NE41" s="82">
        <f>ND41</f>
        <v/>
      </c>
      <c r="NF41" s="82">
        <f>NE41</f>
        <v/>
      </c>
      <c r="NG41" s="82">
        <f>NF41</f>
        <v/>
      </c>
      <c r="NH41" s="82">
        <f>NG41</f>
        <v/>
      </c>
      <c r="NI41" s="82">
        <f>NH41</f>
        <v/>
      </c>
      <c r="NJ41" s="82">
        <f>NI41</f>
        <v/>
      </c>
      <c r="NK41" s="82">
        <f>NJ41</f>
        <v/>
      </c>
      <c r="NL41" s="82">
        <f>NK41</f>
        <v/>
      </c>
      <c r="NM41" s="82">
        <f>NL41</f>
        <v/>
      </c>
      <c r="NN41" s="82">
        <f>NM41</f>
        <v/>
      </c>
      <c r="NO41" s="82">
        <f>NN41</f>
        <v/>
      </c>
      <c r="NP41" s="133" t="n"/>
      <c r="NQ41" s="82">
        <f>NO41+5100000</f>
        <v/>
      </c>
      <c r="NR41" s="82">
        <f>NQ41</f>
        <v/>
      </c>
      <c r="NS41" s="82">
        <f>NR41</f>
        <v/>
      </c>
      <c r="NT41" s="82">
        <f>NS41</f>
        <v/>
      </c>
      <c r="NU41" s="82">
        <f>NT41</f>
        <v/>
      </c>
      <c r="NV41" s="82">
        <f>NU41</f>
        <v/>
      </c>
      <c r="NW41" s="82">
        <f>NV41</f>
        <v/>
      </c>
      <c r="NX41" s="82">
        <f>NW41</f>
        <v/>
      </c>
      <c r="NY41" s="82">
        <f>NX41</f>
        <v/>
      </c>
      <c r="NZ41" s="82">
        <f>NY41</f>
        <v/>
      </c>
      <c r="OA41" s="82">
        <f>NZ41</f>
        <v/>
      </c>
      <c r="OB41" s="82">
        <f>OA41</f>
        <v/>
      </c>
      <c r="OC41" s="82">
        <f>OB41</f>
        <v/>
      </c>
      <c r="OD41" s="82">
        <f>OC41</f>
        <v/>
      </c>
      <c r="OE41" s="82">
        <f>OD41</f>
        <v/>
      </c>
      <c r="OF41" s="82">
        <f>OE41</f>
        <v/>
      </c>
      <c r="OG41" s="82">
        <f>OF41</f>
        <v/>
      </c>
      <c r="OH41" s="82">
        <f>OG41</f>
        <v/>
      </c>
      <c r="OI41" s="82">
        <f>OH41</f>
        <v/>
      </c>
      <c r="OJ41" s="82">
        <f>OI41</f>
        <v/>
      </c>
      <c r="OK41" s="82">
        <f>OJ41+660000</f>
        <v/>
      </c>
      <c r="OL41" s="82">
        <f>OK41</f>
        <v/>
      </c>
      <c r="OM41" s="82">
        <f>OL41</f>
        <v/>
      </c>
      <c r="ON41" s="82">
        <f>OM41</f>
        <v/>
      </c>
      <c r="OO41" s="82">
        <f>ON41</f>
        <v/>
      </c>
      <c r="OP41" s="82">
        <f>OO41</f>
        <v/>
      </c>
      <c r="OQ41" s="82">
        <f>OP41</f>
        <v/>
      </c>
      <c r="OR41" s="82">
        <f>OQ41</f>
        <v/>
      </c>
      <c r="OS41" s="82">
        <f>OR41</f>
        <v/>
      </c>
      <c r="OT41" s="82">
        <f>OS41</f>
        <v/>
      </c>
      <c r="OU41" s="82">
        <f>OT41-10000000</f>
        <v/>
      </c>
      <c r="OV41" s="130" t="n"/>
      <c r="OW41" s="82">
        <f>OU41-16400000+6382000</f>
        <v/>
      </c>
      <c r="OX41" s="82">
        <f>OW41</f>
        <v/>
      </c>
      <c r="OY41" s="82">
        <f>OX41</f>
        <v/>
      </c>
      <c r="OZ41" s="82">
        <f>OY41</f>
        <v/>
      </c>
      <c r="PA41" s="82">
        <f>OZ41</f>
        <v/>
      </c>
      <c r="PB41" s="82">
        <f>PA41</f>
        <v/>
      </c>
      <c r="PC41" s="82">
        <f>PB41</f>
        <v/>
      </c>
      <c r="PD41" s="82">
        <f>PC41</f>
        <v/>
      </c>
      <c r="PE41" s="82">
        <f>PD41</f>
        <v/>
      </c>
      <c r="PF41" s="82">
        <f>PE41</f>
        <v/>
      </c>
      <c r="PG41" s="82">
        <f>PF41</f>
        <v/>
      </c>
      <c r="PH41" s="82">
        <f>PG41</f>
        <v/>
      </c>
      <c r="PI41" s="82">
        <f>PH41</f>
        <v/>
      </c>
      <c r="PJ41" s="82">
        <f>PI41</f>
        <v/>
      </c>
      <c r="PK41" s="82">
        <f>PJ41</f>
        <v/>
      </c>
      <c r="PL41" s="82">
        <f>PK41</f>
        <v/>
      </c>
      <c r="PM41" s="82">
        <f>PL41</f>
        <v/>
      </c>
      <c r="PN41" s="82">
        <f>PM41</f>
        <v/>
      </c>
      <c r="PO41" s="82">
        <f>PN41</f>
        <v/>
      </c>
      <c r="PP41" s="82">
        <f>PO41</f>
        <v/>
      </c>
      <c r="PQ41" s="82">
        <f>PP41</f>
        <v/>
      </c>
      <c r="PR41" s="82">
        <f>PQ41</f>
        <v/>
      </c>
      <c r="PS41" s="82">
        <f>PR41</f>
        <v/>
      </c>
      <c r="PT41" s="82">
        <f>PS41</f>
        <v/>
      </c>
      <c r="PU41" s="82">
        <f>PT41</f>
        <v/>
      </c>
      <c r="PV41" s="82">
        <f>PU41</f>
        <v/>
      </c>
      <c r="PW41" s="82">
        <f>PV41</f>
        <v/>
      </c>
      <c r="PX41" s="82">
        <f>PW41</f>
        <v/>
      </c>
      <c r="PY41" s="82">
        <f>PX41</f>
        <v/>
      </c>
      <c r="PZ41" s="82">
        <f>PY41</f>
        <v/>
      </c>
      <c r="QA41" s="130" t="n"/>
      <c r="QB41" s="82">
        <f>PZ41+1362000</f>
        <v/>
      </c>
      <c r="QC41" s="82">
        <f>QB41</f>
        <v/>
      </c>
      <c r="QD41" s="82">
        <f>QC41</f>
        <v/>
      </c>
      <c r="QE41" s="82">
        <f>QD41</f>
        <v/>
      </c>
      <c r="QF41" s="82">
        <f>QE41</f>
        <v/>
      </c>
      <c r="QG41" s="82">
        <f>QF41</f>
        <v/>
      </c>
      <c r="QH41" s="82">
        <f>QG41</f>
        <v/>
      </c>
      <c r="QI41" s="82">
        <f>QH41</f>
        <v/>
      </c>
      <c r="QJ41" s="82">
        <f>QI41</f>
        <v/>
      </c>
      <c r="QK41" s="82">
        <f>QJ41</f>
        <v/>
      </c>
      <c r="QL41" s="82">
        <f>QK41</f>
        <v/>
      </c>
      <c r="QM41" s="82">
        <f>QL41</f>
        <v/>
      </c>
      <c r="QN41" s="82">
        <f>QM41</f>
        <v/>
      </c>
      <c r="QO41" s="82">
        <f>QN41</f>
        <v/>
      </c>
      <c r="QP41" s="82">
        <f>QO41</f>
        <v/>
      </c>
      <c r="QQ41" s="82">
        <f>QP41</f>
        <v/>
      </c>
      <c r="QR41" s="82">
        <f>QQ41</f>
        <v/>
      </c>
      <c r="QS41" s="82">
        <f>QR41</f>
        <v/>
      </c>
      <c r="QT41" s="82">
        <f>QS41</f>
        <v/>
      </c>
      <c r="QU41" s="82">
        <f>QT41</f>
        <v/>
      </c>
      <c r="QV41" s="82">
        <f>QU41</f>
        <v/>
      </c>
      <c r="QW41" s="82">
        <f>QV41</f>
        <v/>
      </c>
      <c r="QX41" s="82">
        <f>QW41</f>
        <v/>
      </c>
      <c r="QY41" s="82">
        <f>QX41</f>
        <v/>
      </c>
      <c r="QZ41" s="82">
        <f>QY41</f>
        <v/>
      </c>
      <c r="RA41" s="82">
        <f>QZ41</f>
        <v/>
      </c>
      <c r="RB41" s="82">
        <f>RA41</f>
        <v/>
      </c>
      <c r="RC41" s="82">
        <f>RB41</f>
        <v/>
      </c>
      <c r="RD41" s="82">
        <f>RC41</f>
        <v/>
      </c>
      <c r="RE41" s="82">
        <f>RD41</f>
        <v/>
      </c>
      <c r="RF41" s="82">
        <f>RE41</f>
        <v/>
      </c>
      <c r="RG41" s="130" t="n"/>
      <c r="RH41" s="82">
        <f>RF41+5458000</f>
        <v/>
      </c>
      <c r="RI41" s="82">
        <f>RH41</f>
        <v/>
      </c>
      <c r="RJ41" s="82">
        <f>RI41</f>
        <v/>
      </c>
      <c r="RK41" s="82">
        <f>RJ41</f>
        <v/>
      </c>
      <c r="RL41" s="82">
        <f>RK41</f>
        <v/>
      </c>
      <c r="RM41" s="82">
        <f>RL41</f>
        <v/>
      </c>
      <c r="RN41" s="82">
        <f>RM41</f>
        <v/>
      </c>
      <c r="RO41" s="82">
        <f>RN41</f>
        <v/>
      </c>
      <c r="RP41" s="82">
        <f>RO41</f>
        <v/>
      </c>
      <c r="RQ41" s="82">
        <f>RP41</f>
        <v/>
      </c>
      <c r="RR41" s="82">
        <f>RQ41</f>
        <v/>
      </c>
      <c r="RS41" s="82">
        <f>RR41+2400000</f>
        <v/>
      </c>
      <c r="RT41" s="82">
        <f>RS41</f>
        <v/>
      </c>
      <c r="RU41" s="82">
        <f>RT41</f>
        <v/>
      </c>
      <c r="RV41" s="82">
        <f>RU41</f>
        <v/>
      </c>
      <c r="RW41" s="82">
        <f>RV41</f>
        <v/>
      </c>
      <c r="RX41" s="82">
        <f>RW41</f>
        <v/>
      </c>
      <c r="RY41" s="82">
        <f>RX41</f>
        <v/>
      </c>
      <c r="RZ41" s="82">
        <f>RY41</f>
        <v/>
      </c>
      <c r="SA41" s="82">
        <f>RZ41</f>
        <v/>
      </c>
      <c r="SB41" s="82">
        <f>SA41</f>
        <v/>
      </c>
      <c r="SC41" s="82">
        <f>SB41</f>
        <v/>
      </c>
      <c r="SD41" s="82">
        <f>SC41</f>
        <v/>
      </c>
      <c r="SE41" s="82">
        <f>SD41</f>
        <v/>
      </c>
      <c r="SF41" s="82">
        <f>SE41</f>
        <v/>
      </c>
      <c r="SG41" s="82">
        <f>SF41</f>
        <v/>
      </c>
      <c r="SH41" s="82">
        <f>SG41</f>
        <v/>
      </c>
      <c r="SI41" s="82">
        <f>SH41</f>
        <v/>
      </c>
      <c r="SJ41" s="82">
        <f>SI41</f>
        <v/>
      </c>
      <c r="SK41" s="82">
        <f>SJ41</f>
        <v/>
      </c>
      <c r="SL41" s="130" t="n"/>
      <c r="SM41" s="82">
        <f>SK41+3337000</f>
        <v/>
      </c>
      <c r="SN41" s="82">
        <f>SM41</f>
        <v/>
      </c>
      <c r="SO41" s="82">
        <f>SN41</f>
        <v/>
      </c>
      <c r="SP41" s="82">
        <f>SO41</f>
        <v/>
      </c>
      <c r="SQ41" s="82">
        <f>SP41</f>
        <v/>
      </c>
      <c r="SR41" s="82">
        <f>SQ41</f>
        <v/>
      </c>
      <c r="SS41" s="82">
        <f>SR41</f>
        <v/>
      </c>
      <c r="ST41" s="82">
        <f>SS41</f>
        <v/>
      </c>
      <c r="SU41" s="82">
        <f>ST41</f>
        <v/>
      </c>
      <c r="SV41" s="82">
        <f>SU41</f>
        <v/>
      </c>
      <c r="SW41" s="82">
        <f>SV41+3000-500</f>
        <v/>
      </c>
      <c r="SX41" s="82">
        <f>SW41</f>
        <v/>
      </c>
      <c r="SY41" s="82">
        <f>SX41</f>
        <v/>
      </c>
      <c r="SZ41" s="82">
        <f>SY41</f>
        <v/>
      </c>
      <c r="TA41" s="82">
        <f>SZ41</f>
        <v/>
      </c>
      <c r="TB41" s="82">
        <f>TA41</f>
        <v/>
      </c>
      <c r="TC41" s="82">
        <f>TB41</f>
        <v/>
      </c>
      <c r="TD41" s="82">
        <f>TC41</f>
        <v/>
      </c>
      <c r="TE41" s="82">
        <f>TD41</f>
        <v/>
      </c>
      <c r="TF41" s="82">
        <f>TE41</f>
        <v/>
      </c>
      <c r="TG41" s="82">
        <f>TF41</f>
        <v/>
      </c>
      <c r="TH41" s="82">
        <f>TG41</f>
        <v/>
      </c>
      <c r="TI41" s="82">
        <f>TH41</f>
        <v/>
      </c>
      <c r="TJ41" s="82">
        <f>TI41</f>
        <v/>
      </c>
      <c r="TK41" s="82">
        <f>TJ41</f>
        <v/>
      </c>
      <c r="TL41" s="82">
        <f>TK41</f>
        <v/>
      </c>
      <c r="TM41" s="82">
        <f>TL41</f>
        <v/>
      </c>
      <c r="TN41" s="82">
        <f>TM41</f>
        <v/>
      </c>
      <c r="TO41" s="82">
        <f>TN41</f>
        <v/>
      </c>
      <c r="TP41" s="82">
        <f>TO41</f>
        <v/>
      </c>
      <c r="TQ41" s="82">
        <f>TP41</f>
        <v/>
      </c>
      <c r="TR41" s="130" t="n"/>
      <c r="TS41" s="82">
        <f>TQ41-5000000-9789300</f>
        <v/>
      </c>
      <c r="TT41" s="82">
        <f>TS41</f>
        <v/>
      </c>
      <c r="TU41" s="82">
        <f>TT41</f>
        <v/>
      </c>
      <c r="TV41" s="82">
        <f>TU41</f>
        <v/>
      </c>
      <c r="TW41" s="82">
        <f>TV41</f>
        <v/>
      </c>
      <c r="TX41" s="82">
        <f>TW41</f>
        <v/>
      </c>
      <c r="TY41" s="82">
        <f>TX41</f>
        <v/>
      </c>
      <c r="TZ41" s="82">
        <f>TY41</f>
        <v/>
      </c>
      <c r="UA41" s="82">
        <f>TZ41</f>
        <v/>
      </c>
      <c r="UB41" s="82">
        <f>UA41</f>
        <v/>
      </c>
      <c r="UC41" s="82">
        <f>UB41</f>
        <v/>
      </c>
      <c r="UD41" s="82">
        <f>UC41</f>
        <v/>
      </c>
      <c r="UE41" s="82">
        <f>UD41</f>
        <v/>
      </c>
      <c r="UF41" s="82">
        <f>UE41</f>
        <v/>
      </c>
      <c r="UG41" s="82">
        <f>UF41</f>
        <v/>
      </c>
      <c r="UH41" s="82">
        <f>UG41</f>
        <v/>
      </c>
      <c r="UI41" s="82">
        <f>UH41</f>
        <v/>
      </c>
      <c r="UJ41" s="82">
        <f>UI41</f>
        <v/>
      </c>
      <c r="UK41" s="82">
        <f>UJ41</f>
        <v/>
      </c>
      <c r="UL41" s="82">
        <f>UK41</f>
        <v/>
      </c>
      <c r="UM41" s="82">
        <f>UL41</f>
        <v/>
      </c>
      <c r="UN41" s="82">
        <f>UM41</f>
        <v/>
      </c>
      <c r="UO41" s="82">
        <f>UN41</f>
        <v/>
      </c>
      <c r="UP41" s="82">
        <f>UO41</f>
        <v/>
      </c>
      <c r="UQ41" s="82">
        <f>UP41</f>
        <v/>
      </c>
      <c r="UR41" s="82">
        <f>UQ41</f>
        <v/>
      </c>
      <c r="US41" s="82">
        <f>UR41</f>
        <v/>
      </c>
      <c r="UT41" s="82">
        <f>US41</f>
        <v/>
      </c>
      <c r="UU41" s="82">
        <f>UT41</f>
        <v/>
      </c>
      <c r="UV41" s="82">
        <f>UU41</f>
        <v/>
      </c>
      <c r="UW41" s="82">
        <f>UV41</f>
        <v/>
      </c>
      <c r="UX41" s="130" t="n"/>
      <c r="UY41" s="82">
        <f>UW41+4200000</f>
        <v/>
      </c>
      <c r="UZ41" s="82">
        <f>UY41</f>
        <v/>
      </c>
      <c r="VA41" s="82">
        <f>UZ41</f>
        <v/>
      </c>
      <c r="VB41" s="82">
        <f>VA41</f>
        <v/>
      </c>
      <c r="VC41" s="82">
        <f>VB41</f>
        <v/>
      </c>
      <c r="VD41" s="82">
        <f>VC41</f>
        <v/>
      </c>
      <c r="VE41" s="82">
        <f>VD41</f>
        <v/>
      </c>
      <c r="VF41" s="82">
        <f>VE41</f>
        <v/>
      </c>
      <c r="VG41" s="82">
        <f>VF41</f>
        <v/>
      </c>
      <c r="VH41" s="82">
        <f>VG41</f>
        <v/>
      </c>
      <c r="VI41" s="82">
        <f>VH41</f>
        <v/>
      </c>
      <c r="VJ41" s="82">
        <f>VI41</f>
        <v/>
      </c>
      <c r="VK41" s="82">
        <f>VJ41</f>
        <v/>
      </c>
      <c r="VL41" s="82">
        <f>VK41</f>
        <v/>
      </c>
      <c r="VM41" s="82">
        <f>VL41</f>
        <v/>
      </c>
      <c r="VN41" s="82">
        <f>VM41</f>
        <v/>
      </c>
      <c r="VO41" s="82">
        <f>VN41</f>
        <v/>
      </c>
      <c r="VP41" s="82">
        <f>VO41</f>
        <v/>
      </c>
      <c r="VQ41" s="82">
        <f>VP41</f>
        <v/>
      </c>
      <c r="VR41" s="82">
        <f>VQ41</f>
        <v/>
      </c>
      <c r="VS41" s="82">
        <f>VR41</f>
        <v/>
      </c>
      <c r="VT41" s="82">
        <f>VS41</f>
        <v/>
      </c>
      <c r="VU41" s="82">
        <f>VT41</f>
        <v/>
      </c>
      <c r="VV41" s="82">
        <f>VU41</f>
        <v/>
      </c>
      <c r="VW41" s="82">
        <f>VV41</f>
        <v/>
      </c>
      <c r="VX41" s="82">
        <f>VW41</f>
        <v/>
      </c>
      <c r="VY41" s="82">
        <f>VX41</f>
        <v/>
      </c>
      <c r="VZ41" s="82">
        <f>VY41</f>
        <v/>
      </c>
      <c r="WA41" s="133" t="n"/>
      <c r="WB41" s="82">
        <f>VZ41+5048000</f>
        <v/>
      </c>
      <c r="WC41" s="82">
        <f>WB41</f>
        <v/>
      </c>
      <c r="WD41" s="82">
        <f>WC41</f>
        <v/>
      </c>
      <c r="WE41" s="82">
        <f>WD41</f>
        <v/>
      </c>
      <c r="WF41" s="82">
        <f>WE41</f>
        <v/>
      </c>
      <c r="WG41" s="82">
        <f>WF41</f>
        <v/>
      </c>
      <c r="WH41" s="82">
        <f>WG41</f>
        <v/>
      </c>
      <c r="WI41" s="82">
        <f>WH41</f>
        <v/>
      </c>
      <c r="WJ41" s="82">
        <f>WI41</f>
        <v/>
      </c>
      <c r="WK41" s="82">
        <f>WJ41</f>
        <v/>
      </c>
      <c r="WL41" s="82">
        <f>WK41</f>
        <v/>
      </c>
      <c r="WM41" s="82">
        <f>WL41</f>
        <v/>
      </c>
      <c r="WN41" s="82">
        <f>WM41</f>
        <v/>
      </c>
      <c r="WO41" s="82">
        <f>WN41</f>
        <v/>
      </c>
      <c r="WP41" s="82">
        <f>WO41</f>
        <v/>
      </c>
      <c r="WQ41" s="82">
        <f>WP41</f>
        <v/>
      </c>
      <c r="WR41" s="82">
        <f>WQ41</f>
        <v/>
      </c>
      <c r="WS41" s="82">
        <f>WR41</f>
        <v/>
      </c>
      <c r="WT41" s="82">
        <f>WS41</f>
        <v/>
      </c>
      <c r="WU41" s="82">
        <f>WT41</f>
        <v/>
      </c>
      <c r="WV41" s="82">
        <f>WU41</f>
        <v/>
      </c>
      <c r="WW41" s="82">
        <f>WV41</f>
        <v/>
      </c>
      <c r="WX41" s="82">
        <f>WW41</f>
        <v/>
      </c>
      <c r="WY41" s="82">
        <f>WX41</f>
        <v/>
      </c>
      <c r="WZ41" s="82">
        <f>WY41</f>
        <v/>
      </c>
      <c r="XA41" s="82">
        <f>WZ41</f>
        <v/>
      </c>
      <c r="XB41" s="82">
        <f>XA41</f>
        <v/>
      </c>
      <c r="XC41" s="82">
        <f>XB41</f>
        <v/>
      </c>
      <c r="XD41" s="82">
        <f>XC41</f>
        <v/>
      </c>
      <c r="XE41" s="82">
        <f>XD41</f>
        <v/>
      </c>
      <c r="XF41" s="82">
        <f>XE41</f>
        <v/>
      </c>
      <c r="XG41" s="133" t="n"/>
      <c r="XH41" s="82">
        <f>XF41+1537000</f>
        <v/>
      </c>
      <c r="XI41" s="82">
        <f>XH41</f>
        <v/>
      </c>
      <c r="XJ41" s="82">
        <f>XI41</f>
        <v/>
      </c>
      <c r="XK41" s="82">
        <f>XJ41</f>
        <v/>
      </c>
      <c r="XL41" s="82">
        <f>XK41</f>
        <v/>
      </c>
      <c r="XM41" s="82">
        <f>XL41</f>
        <v/>
      </c>
      <c r="XN41" s="82">
        <f>XM41</f>
        <v/>
      </c>
      <c r="XO41" s="82">
        <f>XN41</f>
        <v/>
      </c>
      <c r="XP41" s="82">
        <f>XO41</f>
        <v/>
      </c>
      <c r="XQ41" s="82">
        <f>XP41</f>
        <v/>
      </c>
      <c r="XR41" s="82">
        <f>XQ41</f>
        <v/>
      </c>
      <c r="XS41" s="82">
        <f>XR41</f>
        <v/>
      </c>
      <c r="XT41" s="82">
        <f>XS41</f>
        <v/>
      </c>
      <c r="XU41" s="82">
        <f>XT41</f>
        <v/>
      </c>
      <c r="XV41" s="82">
        <f>XU41</f>
        <v/>
      </c>
      <c r="XW41" s="82">
        <f>XV41</f>
        <v/>
      </c>
      <c r="XX41" s="82">
        <f>XW41+1000000</f>
        <v/>
      </c>
      <c r="XY41" s="82">
        <f>XX41</f>
        <v/>
      </c>
      <c r="XZ41" s="82">
        <f>XY41</f>
        <v/>
      </c>
      <c r="YA41" s="82">
        <f>XZ41</f>
        <v/>
      </c>
      <c r="YB41" s="82">
        <f>YA41</f>
        <v/>
      </c>
      <c r="YC41" s="82">
        <f>YB41</f>
        <v/>
      </c>
      <c r="YD41" s="82">
        <f>YC41</f>
        <v/>
      </c>
      <c r="YE41" s="82">
        <f>YD41</f>
        <v/>
      </c>
      <c r="YF41" s="82">
        <f>YE41</f>
        <v/>
      </c>
      <c r="YG41" s="82">
        <f>YF41</f>
        <v/>
      </c>
      <c r="YH41" s="82">
        <f>YG41</f>
        <v/>
      </c>
      <c r="YI41" s="82">
        <f>YH41</f>
        <v/>
      </c>
      <c r="YJ41" s="82">
        <f>YI41</f>
        <v/>
      </c>
      <c r="YK41" s="82">
        <f>YJ41-8268960</f>
        <v/>
      </c>
      <c r="YL41" s="130" t="n"/>
      <c r="YM41" s="82">
        <f>YK41+2788000</f>
        <v/>
      </c>
      <c r="YN41" s="82">
        <f>YM41</f>
        <v/>
      </c>
      <c r="YO41" s="82">
        <f>YN41</f>
        <v/>
      </c>
      <c r="YP41" s="82">
        <f>YO41+1289000</f>
        <v/>
      </c>
      <c r="YQ41" s="82">
        <f>YP41</f>
        <v/>
      </c>
      <c r="YR41" s="82">
        <f>YQ41</f>
        <v/>
      </c>
      <c r="YS41" s="82">
        <f>YR41</f>
        <v/>
      </c>
      <c r="YT41" s="82">
        <f>YS41</f>
        <v/>
      </c>
      <c r="YU41" s="82">
        <f>YT41</f>
        <v/>
      </c>
      <c r="YV41" s="82">
        <f>YU41</f>
        <v/>
      </c>
      <c r="YW41" s="82">
        <f>YV41</f>
        <v/>
      </c>
      <c r="YX41" s="82">
        <f>YW41</f>
        <v/>
      </c>
      <c r="YY41" s="82">
        <f>YX41</f>
        <v/>
      </c>
      <c r="YZ41" s="82">
        <f>YY41</f>
        <v/>
      </c>
      <c r="ZA41" s="82">
        <f>YZ41</f>
        <v/>
      </c>
      <c r="ZB41" s="82">
        <f>ZA41</f>
        <v/>
      </c>
      <c r="ZC41" s="82">
        <f>ZB41</f>
        <v/>
      </c>
      <c r="ZD41" s="82">
        <f>ZC41</f>
        <v/>
      </c>
      <c r="ZE41" s="82">
        <f>ZD41</f>
        <v/>
      </c>
      <c r="ZF41" s="82">
        <f>ZE41</f>
        <v/>
      </c>
      <c r="ZG41" s="82">
        <f>ZF41</f>
        <v/>
      </c>
      <c r="ZH41" s="82">
        <f>ZG41</f>
        <v/>
      </c>
      <c r="ZI41" s="82">
        <f>ZH41</f>
        <v/>
      </c>
      <c r="ZJ41" s="82">
        <f>ZI41</f>
        <v/>
      </c>
      <c r="ZK41" s="82">
        <f>ZJ41</f>
        <v/>
      </c>
      <c r="ZL41" s="82">
        <f>ZK41</f>
        <v/>
      </c>
      <c r="ZM41" s="82">
        <f>ZL41</f>
        <v/>
      </c>
      <c r="ZN41" s="82">
        <f>ZM41</f>
        <v/>
      </c>
      <c r="ZO41" s="82">
        <f>ZN41</f>
        <v/>
      </c>
      <c r="ZP41" s="82">
        <f>ZO41</f>
        <v/>
      </c>
      <c r="ZQ41" s="82">
        <f>ZP41</f>
        <v/>
      </c>
      <c r="ZR41" s="130" t="n"/>
      <c r="ZS41" s="82">
        <f>ZQ41+3599000</f>
        <v/>
      </c>
      <c r="ZT41" s="82">
        <f>ZS41</f>
        <v/>
      </c>
      <c r="ZU41" s="82">
        <f>ZT41</f>
        <v/>
      </c>
      <c r="ZV41" s="82">
        <f>ZU41</f>
        <v/>
      </c>
      <c r="ZW41" s="82">
        <f>ZV41</f>
        <v/>
      </c>
      <c r="ZX41" s="82">
        <f>ZW41</f>
        <v/>
      </c>
      <c r="ZY41" s="82">
        <f>ZX41</f>
        <v/>
      </c>
      <c r="ZZ41" s="82">
        <f>ZY41</f>
        <v/>
      </c>
      <c r="AAA41" s="82">
        <f>ZZ41</f>
        <v/>
      </c>
      <c r="AAB41" s="82">
        <f>AAA41</f>
        <v/>
      </c>
      <c r="AAC41" s="82">
        <f>AAB41</f>
        <v/>
      </c>
      <c r="AAD41" s="82">
        <f>AAC41</f>
        <v/>
      </c>
      <c r="AAE41" s="82">
        <f>AAD41</f>
        <v/>
      </c>
      <c r="AAF41" s="82">
        <f>AAE41</f>
        <v/>
      </c>
      <c r="AAG41" s="82">
        <f>AAF41</f>
        <v/>
      </c>
      <c r="AAH41" s="82">
        <f>AAG41</f>
        <v/>
      </c>
      <c r="AAI41" s="82">
        <f>AAH41</f>
        <v/>
      </c>
      <c r="AAJ41" s="82">
        <f>AAI41</f>
        <v/>
      </c>
      <c r="AAK41" s="82">
        <f>AAJ41</f>
        <v/>
      </c>
      <c r="AAL41" s="82">
        <f>AAK41</f>
        <v/>
      </c>
      <c r="AAM41" s="82">
        <f>AAL41</f>
        <v/>
      </c>
      <c r="AAN41" s="82">
        <f>AAM41</f>
        <v/>
      </c>
      <c r="AAO41" s="82">
        <f>AAN41</f>
        <v/>
      </c>
      <c r="AAP41" s="82">
        <f>AAO41</f>
        <v/>
      </c>
      <c r="AAQ41" s="82">
        <f>AAP41</f>
        <v/>
      </c>
      <c r="AAR41" s="82">
        <f>AAQ41</f>
        <v/>
      </c>
      <c r="AAS41" s="82">
        <f>AAR41</f>
        <v/>
      </c>
      <c r="AAT41" s="82">
        <f>AAS41</f>
        <v/>
      </c>
      <c r="AAU41" s="82">
        <f>AAT41</f>
        <v/>
      </c>
      <c r="AAV41" s="82">
        <f>AAU41</f>
        <v/>
      </c>
      <c r="AAW41" s="130" t="n"/>
      <c r="AAX41" s="82">
        <f>AAV41+6000000</f>
        <v/>
      </c>
      <c r="AAY41" s="82">
        <f>AAX41</f>
        <v/>
      </c>
      <c r="AAZ41" s="82">
        <f>AAY41</f>
        <v/>
      </c>
      <c r="ABA41" s="82">
        <f>AAZ41</f>
        <v/>
      </c>
      <c r="ABB41" s="82">
        <f>ABA41</f>
        <v/>
      </c>
      <c r="ABC41" s="82">
        <f>ABB41</f>
        <v/>
      </c>
      <c r="ABD41" s="82">
        <f>ABC41</f>
        <v/>
      </c>
      <c r="ABE41" s="82">
        <f>ABD41</f>
        <v/>
      </c>
      <c r="ABF41" s="82">
        <f>ABE41</f>
        <v/>
      </c>
      <c r="ABG41" s="82">
        <f>ABF41</f>
        <v/>
      </c>
      <c r="ABH41" s="82">
        <f>ABG41</f>
        <v/>
      </c>
      <c r="ABI41" s="82">
        <f>ABH41</f>
        <v/>
      </c>
      <c r="ABJ41" s="82">
        <f>ABI41</f>
        <v/>
      </c>
      <c r="ABK41" s="82">
        <f>ABJ41</f>
        <v/>
      </c>
      <c r="ABL41" s="82">
        <f>ABK41</f>
        <v/>
      </c>
      <c r="ABM41" s="82">
        <f>ABL41</f>
        <v/>
      </c>
      <c r="ABN41" s="82">
        <f>ABM41</f>
        <v/>
      </c>
      <c r="ABO41" s="82">
        <f>ABN41</f>
        <v/>
      </c>
      <c r="ABP41" s="82">
        <f>ABO41</f>
        <v/>
      </c>
      <c r="ABQ41" s="82">
        <f>ABP41</f>
        <v/>
      </c>
      <c r="ABR41" s="82">
        <f>ABQ41</f>
        <v/>
      </c>
      <c r="ABS41" s="82">
        <f>ABR41</f>
        <v/>
      </c>
      <c r="ABT41" s="82">
        <f>ABS41</f>
        <v/>
      </c>
      <c r="ABU41" s="82">
        <f>ABT41</f>
        <v/>
      </c>
      <c r="ABV41" s="82">
        <f>ABU41</f>
        <v/>
      </c>
      <c r="ABW41" s="82">
        <f>ABV41</f>
        <v/>
      </c>
      <c r="ABX41" s="82">
        <f>ABW41</f>
        <v/>
      </c>
      <c r="ABY41" s="82">
        <f>ABX41</f>
        <v/>
      </c>
      <c r="ABZ41" s="82">
        <f>ABY41</f>
        <v/>
      </c>
      <c r="ACA41" s="82">
        <f>ABZ41</f>
        <v/>
      </c>
      <c r="ACB41" s="82">
        <f>ACA41</f>
        <v/>
      </c>
      <c r="ACC41" s="130" t="n"/>
      <c r="ACD41" s="82">
        <f>ACB41-3487000</f>
        <v/>
      </c>
      <c r="ACE41" s="82">
        <f>ACD41</f>
        <v/>
      </c>
      <c r="ACF41" s="82">
        <f>ACE41</f>
        <v/>
      </c>
      <c r="ACG41" s="82">
        <f>ACF41</f>
        <v/>
      </c>
      <c r="ACH41" s="82">
        <f>ACG41</f>
        <v/>
      </c>
      <c r="ACI41" s="82">
        <f>ACH41</f>
        <v/>
      </c>
      <c r="ACJ41" s="82">
        <f>ACI41</f>
        <v/>
      </c>
      <c r="ACK41" s="82">
        <f>ACJ41</f>
        <v/>
      </c>
      <c r="ACL41" s="82">
        <f>ACK41</f>
        <v/>
      </c>
      <c r="ACM41" s="82">
        <f>ACL41</f>
        <v/>
      </c>
      <c r="ACN41" s="82">
        <f>ACM41</f>
        <v/>
      </c>
      <c r="ACO41" s="82">
        <f>ACN41</f>
        <v/>
      </c>
      <c r="ACP41" s="82">
        <f>ACO41</f>
        <v/>
      </c>
      <c r="ACQ41" s="82">
        <f>ACP41</f>
        <v/>
      </c>
      <c r="ACR41" s="82">
        <f>ACQ41</f>
        <v/>
      </c>
      <c r="ACS41" s="82">
        <f>ACR41</f>
        <v/>
      </c>
      <c r="ACT41" s="82">
        <f>ACS41</f>
        <v/>
      </c>
      <c r="ACU41" s="82">
        <f>ACT41</f>
        <v/>
      </c>
      <c r="ACV41" s="82">
        <f>ACU41</f>
        <v/>
      </c>
      <c r="ACW41" s="82">
        <f>ACV41</f>
        <v/>
      </c>
      <c r="ACX41" s="82">
        <f>ACW41</f>
        <v/>
      </c>
      <c r="ACY41" s="82">
        <f>ACX41</f>
        <v/>
      </c>
      <c r="ACZ41" s="82">
        <f>ACY41</f>
        <v/>
      </c>
      <c r="ADA41" s="82">
        <f>ACZ41</f>
        <v/>
      </c>
      <c r="ADB41" s="82">
        <f>ADA41</f>
        <v/>
      </c>
      <c r="ADC41" s="82">
        <f>ADB41</f>
        <v/>
      </c>
      <c r="ADD41" s="82">
        <f>ADC41</f>
        <v/>
      </c>
      <c r="ADE41" s="82">
        <f>ADD41</f>
        <v/>
      </c>
      <c r="ADF41" s="82">
        <f>ADE41</f>
        <v/>
      </c>
      <c r="ADG41" s="82">
        <f>ADF41</f>
        <v/>
      </c>
      <c r="ADH41" s="82">
        <f>ADG41</f>
        <v/>
      </c>
      <c r="ADI41" s="130" t="n"/>
      <c r="ADJ41" s="82">
        <f>ADH41+4048000</f>
        <v/>
      </c>
      <c r="ADK41" s="82">
        <f>ADJ41</f>
        <v/>
      </c>
      <c r="ADL41" s="82">
        <f>ADK41</f>
        <v/>
      </c>
      <c r="ADM41" s="82">
        <f>ADL41</f>
        <v/>
      </c>
      <c r="ADN41" s="82">
        <f>ADM41</f>
        <v/>
      </c>
      <c r="ADO41" s="82">
        <f>ADN41</f>
        <v/>
      </c>
      <c r="ADP41" s="82">
        <f>ADO41</f>
        <v/>
      </c>
      <c r="ADQ41" s="82">
        <f>ADP41</f>
        <v/>
      </c>
      <c r="ADR41" s="82">
        <f>ADQ41</f>
        <v/>
      </c>
      <c r="ADS41" s="82">
        <f>ADR41</f>
        <v/>
      </c>
      <c r="ADT41" s="82">
        <f>ADS41</f>
        <v/>
      </c>
      <c r="ADU41" s="82">
        <f>ADT41</f>
        <v/>
      </c>
      <c r="ADV41" s="82">
        <f>ADU41</f>
        <v/>
      </c>
      <c r="ADW41" s="82">
        <f>ADV41</f>
        <v/>
      </c>
      <c r="ADX41" s="82">
        <f>ADW41</f>
        <v/>
      </c>
      <c r="ADY41" s="82">
        <f>ADX41</f>
        <v/>
      </c>
      <c r="ADZ41" s="82">
        <f>ADY41</f>
        <v/>
      </c>
      <c r="AEA41" s="82">
        <f>ADZ41</f>
        <v/>
      </c>
      <c r="AEB41" s="82">
        <f>AEA41</f>
        <v/>
      </c>
      <c r="AEC41" s="82">
        <f>AEB41</f>
        <v/>
      </c>
      <c r="AED41" s="82">
        <f>AEC41</f>
        <v/>
      </c>
      <c r="AEE41" s="82">
        <f>AED41</f>
        <v/>
      </c>
      <c r="AEF41" s="82">
        <f>AEE41</f>
        <v/>
      </c>
      <c r="AEG41" s="82">
        <f>AEF41</f>
        <v/>
      </c>
      <c r="AEH41" s="82">
        <f>AEG41</f>
        <v/>
      </c>
      <c r="AEI41" s="82">
        <f>AEH41</f>
        <v/>
      </c>
      <c r="AEJ41" s="82">
        <f>AEI41</f>
        <v/>
      </c>
      <c r="AEK41" s="82">
        <f>AEJ41</f>
        <v/>
      </c>
      <c r="AEL41" s="82">
        <f>AEK41</f>
        <v/>
      </c>
      <c r="AEM41" s="82">
        <f>AEL41</f>
        <v/>
      </c>
      <c r="AEN41" s="130" t="n"/>
      <c r="AEO41" s="82">
        <f>AEM41+5865000</f>
        <v/>
      </c>
      <c r="AEP41" s="82">
        <f>AEO41</f>
        <v/>
      </c>
      <c r="AEQ41" s="82">
        <f>AEP41</f>
        <v/>
      </c>
      <c r="AER41" s="82">
        <f>AEQ41</f>
        <v/>
      </c>
      <c r="AES41" s="82">
        <f>AER41</f>
        <v/>
      </c>
      <c r="AET41" s="82">
        <f>AES41</f>
        <v/>
      </c>
      <c r="AEU41" s="82">
        <f>AET41</f>
        <v/>
      </c>
      <c r="AEV41" s="82">
        <f>AEU41</f>
        <v/>
      </c>
      <c r="AEW41" s="82">
        <f>AEV41</f>
        <v/>
      </c>
      <c r="AEX41" s="82">
        <f>AEW41</f>
        <v/>
      </c>
      <c r="AEY41" s="82">
        <f>AEX41</f>
        <v/>
      </c>
      <c r="AEZ41" s="82">
        <f>AEY41</f>
        <v/>
      </c>
      <c r="AFA41" s="82">
        <f>AEZ41</f>
        <v/>
      </c>
      <c r="AFB41" s="82">
        <f>AFA41</f>
        <v/>
      </c>
      <c r="AFC41" s="82">
        <f>AFB41</f>
        <v/>
      </c>
      <c r="AFD41" s="82">
        <f>AFC41</f>
        <v/>
      </c>
      <c r="AFE41" s="82">
        <f>AFD41</f>
        <v/>
      </c>
      <c r="AFF41" s="82">
        <f>AFE41</f>
        <v/>
      </c>
      <c r="AFG41" s="82">
        <f>AFF41</f>
        <v/>
      </c>
      <c r="AFH41" s="82">
        <f>AFG41</f>
        <v/>
      </c>
      <c r="AFI41" s="82">
        <f>AFH41</f>
        <v/>
      </c>
      <c r="AFJ41" s="82">
        <f>AFI41</f>
        <v/>
      </c>
      <c r="AFK41" s="82">
        <f>AFJ41</f>
        <v/>
      </c>
      <c r="AFL41" s="82">
        <f>AFK41</f>
        <v/>
      </c>
      <c r="AFM41" s="82">
        <f>AFL41</f>
        <v/>
      </c>
      <c r="AFN41" s="82">
        <f>AFM41</f>
        <v/>
      </c>
      <c r="AFO41" s="82">
        <f>AFN41</f>
        <v/>
      </c>
      <c r="AFP41" s="82">
        <f>AFO41</f>
        <v/>
      </c>
      <c r="AFQ41" s="82">
        <f>AFP41</f>
        <v/>
      </c>
      <c r="AFR41" s="82">
        <f>AFQ41</f>
        <v/>
      </c>
      <c r="AFS41" s="82">
        <f>AFR41</f>
        <v/>
      </c>
      <c r="AFT41" s="130" t="n"/>
      <c r="AFU41" s="82">
        <f>AFS41+2800000</f>
        <v/>
      </c>
      <c r="AFV41" s="82">
        <f>AFU41</f>
        <v/>
      </c>
      <c r="AFW41" s="82">
        <f>AFV41</f>
        <v/>
      </c>
      <c r="AFX41" s="82">
        <f>AFW41</f>
        <v/>
      </c>
      <c r="AFY41" s="82">
        <f>AFX41</f>
        <v/>
      </c>
      <c r="AFZ41" s="82">
        <f>AFY41</f>
        <v/>
      </c>
      <c r="AGA41" s="82">
        <f>AFZ41</f>
        <v/>
      </c>
      <c r="AGB41" s="82">
        <f>AGA41</f>
        <v/>
      </c>
      <c r="AGC41" s="82">
        <f>AGB41</f>
        <v/>
      </c>
      <c r="AGD41" s="82">
        <f>AGC41</f>
        <v/>
      </c>
      <c r="AGE41" s="82">
        <f>AGD41</f>
        <v/>
      </c>
      <c r="AGF41" s="82">
        <f>AGE41</f>
        <v/>
      </c>
      <c r="AGG41" s="82">
        <f>AGF41</f>
        <v/>
      </c>
      <c r="AGH41" s="82">
        <f>AGG41</f>
        <v/>
      </c>
      <c r="AGI41" s="82">
        <f>AGH41</f>
        <v/>
      </c>
      <c r="AGJ41" s="82">
        <f>AGI41</f>
        <v/>
      </c>
      <c r="AGK41" s="82">
        <f>AGJ41</f>
        <v/>
      </c>
      <c r="AGL41" s="82">
        <f>AGK41</f>
        <v/>
      </c>
      <c r="AGM41" s="82">
        <f>AGL41</f>
        <v/>
      </c>
      <c r="AGN41" s="82">
        <f>AGM41</f>
        <v/>
      </c>
      <c r="AGO41" s="82">
        <f>AGN41</f>
        <v/>
      </c>
      <c r="AGP41" s="82">
        <f>AGO41</f>
        <v/>
      </c>
      <c r="AGQ41" s="82">
        <f>AGP41</f>
        <v/>
      </c>
      <c r="AGR41" s="82">
        <f>AGQ41</f>
        <v/>
      </c>
      <c r="AGS41" s="82">
        <f>AGR41</f>
        <v/>
      </c>
      <c r="AGT41" s="82">
        <f>AGS41</f>
        <v/>
      </c>
      <c r="AGU41" s="82">
        <f>AGT41</f>
        <v/>
      </c>
      <c r="AGV41" s="82">
        <f>AGU41</f>
        <v/>
      </c>
      <c r="AGW41" s="82">
        <f>AGV41</f>
        <v/>
      </c>
      <c r="AGX41" s="82">
        <f>AGW41</f>
        <v/>
      </c>
      <c r="AGY41" s="133" t="n"/>
      <c r="AGZ41" s="82">
        <f>AGX41+5000000</f>
        <v/>
      </c>
      <c r="AHA41" s="82">
        <f>AGZ41</f>
        <v/>
      </c>
      <c r="AHB41" s="82">
        <f>AHA41</f>
        <v/>
      </c>
      <c r="AHC41" s="82">
        <f>AHB41</f>
        <v/>
      </c>
      <c r="AHD41" s="82">
        <f>AHC41</f>
        <v/>
      </c>
      <c r="AHE41" s="82">
        <f>AHD41</f>
        <v/>
      </c>
      <c r="AHF41" s="82">
        <f>AHE41</f>
        <v/>
      </c>
      <c r="AHG41" s="82">
        <f>AHF41</f>
        <v/>
      </c>
      <c r="AHH41" s="82">
        <f>AHG41</f>
        <v/>
      </c>
      <c r="AHI41" s="82">
        <f>AHH41</f>
        <v/>
      </c>
      <c r="AHJ41" s="82">
        <f>AHI41</f>
        <v/>
      </c>
      <c r="AHK41" s="82">
        <f>AHJ41</f>
        <v/>
      </c>
      <c r="AHL41" s="82">
        <f>AHK41</f>
        <v/>
      </c>
      <c r="AHM41" s="82">
        <f>AHL41</f>
        <v/>
      </c>
      <c r="AHN41" s="82">
        <f>AHM41</f>
        <v/>
      </c>
      <c r="AHO41" s="82">
        <f>AHN41</f>
        <v/>
      </c>
      <c r="AHP41" s="82">
        <f>AHO41</f>
        <v/>
      </c>
      <c r="AHQ41" s="82">
        <f>AHP41</f>
        <v/>
      </c>
      <c r="AHR41" s="82">
        <f>AHQ41</f>
        <v/>
      </c>
      <c r="AHS41" s="82">
        <f>AHR41</f>
        <v/>
      </c>
      <c r="AHT41" s="82">
        <f>AHS41</f>
        <v/>
      </c>
      <c r="AHU41" s="82">
        <f>AHT41</f>
        <v/>
      </c>
      <c r="AHV41" s="82">
        <f>AHU41</f>
        <v/>
      </c>
      <c r="AHW41" s="82">
        <f>AHV41</f>
        <v/>
      </c>
      <c r="AHX41" s="82">
        <f>AHW41</f>
        <v/>
      </c>
      <c r="AHY41" s="82">
        <f>AHX41</f>
        <v/>
      </c>
      <c r="AHZ41" s="82">
        <f>AHY41</f>
        <v/>
      </c>
      <c r="AIA41" s="82">
        <f>AHZ41-10000000</f>
        <v/>
      </c>
      <c r="AIB41" s="82">
        <f>AIA41</f>
        <v/>
      </c>
      <c r="AIC41" s="82">
        <f>AIB41</f>
        <v/>
      </c>
      <c r="AID41" s="82">
        <f>AIC41</f>
        <v/>
      </c>
      <c r="AIE41" s="130" t="n"/>
      <c r="AIF41" s="82">
        <f>AID41+6653000</f>
        <v/>
      </c>
      <c r="AIG41" s="82">
        <f>AIF41</f>
        <v/>
      </c>
      <c r="AIH41" s="82">
        <f>AIG41</f>
        <v/>
      </c>
      <c r="AII41" s="82">
        <f>AIH41</f>
        <v/>
      </c>
      <c r="AIJ41" s="82">
        <f>AII41</f>
        <v/>
      </c>
      <c r="AIK41" s="82">
        <f>AIJ41</f>
        <v/>
      </c>
      <c r="AIL41" s="82">
        <f>AIK41</f>
        <v/>
      </c>
      <c r="AIM41" s="82">
        <f>AIL41-8262000-3600000</f>
        <v/>
      </c>
      <c r="AIN41" s="82">
        <f>AIM41</f>
        <v/>
      </c>
      <c r="AIO41" s="82">
        <f>AIN41</f>
        <v/>
      </c>
      <c r="AIP41" s="82">
        <f>AIO41</f>
        <v/>
      </c>
      <c r="AIQ41" s="82">
        <f>AIP41</f>
        <v/>
      </c>
      <c r="AIR41" s="82">
        <f>AIQ41-6500000</f>
        <v/>
      </c>
      <c r="AIS41" s="82">
        <f>AIR41</f>
        <v/>
      </c>
      <c r="AIT41" s="82">
        <f>AIS41</f>
        <v/>
      </c>
      <c r="AIU41" s="82">
        <f>AIT41</f>
        <v/>
      </c>
      <c r="AIV41" s="82">
        <f>AIU41</f>
        <v/>
      </c>
      <c r="AIW41" s="82">
        <f>AIV41</f>
        <v/>
      </c>
      <c r="AIX41" s="82">
        <f>AIW41</f>
        <v/>
      </c>
      <c r="AIY41" s="82">
        <f>AIX41</f>
        <v/>
      </c>
      <c r="AIZ41" s="82">
        <f>AIY41</f>
        <v/>
      </c>
      <c r="AJA41" s="82">
        <f>AIZ41</f>
        <v/>
      </c>
      <c r="AJB41" s="82">
        <f>AJA41</f>
        <v/>
      </c>
      <c r="AJC41" s="82">
        <f>AJB41</f>
        <v/>
      </c>
      <c r="AJD41" s="82">
        <f>AJC41</f>
        <v/>
      </c>
      <c r="AJE41" s="82">
        <f>AJD41</f>
        <v/>
      </c>
      <c r="AJF41" s="82">
        <f>AJE41</f>
        <v/>
      </c>
      <c r="AJG41" s="82">
        <f>AJF41</f>
        <v/>
      </c>
      <c r="AJH41" s="82">
        <f>AJG41</f>
        <v/>
      </c>
      <c r="AJI41" s="82">
        <f>AJH41</f>
        <v/>
      </c>
      <c r="AJJ41" s="82">
        <f>AJI41</f>
        <v/>
      </c>
      <c r="AJK41" s="145" t="n"/>
      <c r="AJL41" s="82">
        <f>AJJ41+7400000</f>
        <v/>
      </c>
      <c r="AJM41" s="82">
        <f>AJL41</f>
        <v/>
      </c>
      <c r="AJN41" s="82">
        <f>AJM41</f>
        <v/>
      </c>
      <c r="AJO41" s="82">
        <f>AJN41</f>
        <v/>
      </c>
      <c r="AJP41" s="82">
        <f>AJO41</f>
        <v/>
      </c>
      <c r="AJQ41" s="82">
        <f>AJP41</f>
        <v/>
      </c>
      <c r="AJR41" s="82">
        <f>AJQ41</f>
        <v/>
      </c>
      <c r="AJS41" s="82">
        <f>AJR41</f>
        <v/>
      </c>
      <c r="AJT41" s="82">
        <f>AJS41</f>
        <v/>
      </c>
      <c r="AJU41" s="82">
        <f>AJT41</f>
        <v/>
      </c>
      <c r="AJV41" s="82">
        <f>AJU41</f>
        <v/>
      </c>
      <c r="AJW41" s="82">
        <f>AJV41</f>
        <v/>
      </c>
      <c r="AJX41" s="82">
        <f>AJW41</f>
        <v/>
      </c>
      <c r="AJY41" s="82">
        <f>AJX41</f>
        <v/>
      </c>
      <c r="AJZ41" s="82">
        <f>AJY41</f>
        <v/>
      </c>
      <c r="AKA41" s="82">
        <f>AJZ41</f>
        <v/>
      </c>
      <c r="AKB41" s="82">
        <f>AKA41</f>
        <v/>
      </c>
      <c r="AKC41" s="82">
        <f>AKB41</f>
        <v/>
      </c>
      <c r="AKD41" s="82">
        <f>AKC41</f>
        <v/>
      </c>
      <c r="AKE41" s="82">
        <f>AKD41</f>
        <v/>
      </c>
      <c r="AKF41" s="82">
        <f>AKE41</f>
        <v/>
      </c>
      <c r="AKG41" s="82">
        <f>AKF41</f>
        <v/>
      </c>
      <c r="AKH41" s="82">
        <f>AKG41</f>
        <v/>
      </c>
      <c r="AKI41" s="82">
        <f>AKH41</f>
        <v/>
      </c>
      <c r="AKJ41" s="82">
        <f>AKI41</f>
        <v/>
      </c>
      <c r="AKK41" s="82">
        <f>AKJ41</f>
        <v/>
      </c>
      <c r="AKL41" s="82">
        <f>AKK41</f>
        <v/>
      </c>
      <c r="AKM41" s="82">
        <f>AKL41</f>
        <v/>
      </c>
      <c r="AKN41" s="112" t="n"/>
      <c r="AKO41" s="82">
        <f>AKM41+2378000-5000000</f>
        <v/>
      </c>
      <c r="AKP41" s="82">
        <f>AKO41</f>
        <v/>
      </c>
      <c r="AKQ41" s="82">
        <f>AKP41</f>
        <v/>
      </c>
      <c r="AKR41" s="82">
        <f>AKQ41</f>
        <v/>
      </c>
      <c r="AKS41" s="82">
        <f>AKR41</f>
        <v/>
      </c>
      <c r="AKT41" s="82">
        <f>AKS41</f>
        <v/>
      </c>
      <c r="AKU41" s="82">
        <f>AKT41</f>
        <v/>
      </c>
      <c r="AKV41" s="82">
        <f>AKU41</f>
        <v/>
      </c>
      <c r="AKW41" s="82">
        <f>AKV41</f>
        <v/>
      </c>
      <c r="AKX41" s="82">
        <f>AKW41</f>
        <v/>
      </c>
      <c r="AKY41" s="82">
        <f>AKX41+1162000</f>
        <v/>
      </c>
      <c r="AKZ41" s="82">
        <f>AKY41</f>
        <v/>
      </c>
      <c r="ALA41" s="82">
        <f>AKZ41</f>
        <v/>
      </c>
      <c r="ALB41" s="82">
        <f>ALA41</f>
        <v/>
      </c>
      <c r="ALC41" s="82">
        <f>ALB41</f>
        <v/>
      </c>
      <c r="ALD41" s="82">
        <f>ALC41</f>
        <v/>
      </c>
      <c r="ALE41" s="82">
        <f>ALD41</f>
        <v/>
      </c>
      <c r="ALF41" s="82">
        <f>ALE41</f>
        <v/>
      </c>
      <c r="ALG41" s="82">
        <f>ALF41</f>
        <v/>
      </c>
      <c r="ALH41" s="82">
        <f>ALG41</f>
        <v/>
      </c>
      <c r="ALI41" s="82">
        <f>ALH41</f>
        <v/>
      </c>
      <c r="ALJ41" s="82">
        <f>ALI41</f>
        <v/>
      </c>
      <c r="ALK41" s="82">
        <f>ALJ41</f>
        <v/>
      </c>
      <c r="ALL41" s="82">
        <f>ALK41+1500000</f>
        <v/>
      </c>
      <c r="ALM41" s="82">
        <f>ALL41</f>
        <v/>
      </c>
      <c r="ALN41" s="82">
        <f>ALM41</f>
        <v/>
      </c>
      <c r="ALO41" s="82">
        <f>ALN41</f>
        <v/>
      </c>
      <c r="ALP41" s="82">
        <f>ALO41</f>
        <v/>
      </c>
      <c r="ALQ41" s="82">
        <f>ALP41</f>
        <v/>
      </c>
      <c r="ALR41" s="82">
        <f>ALQ41</f>
        <v/>
      </c>
      <c r="ALS41" s="82">
        <f>ALR41+1338000</f>
        <v/>
      </c>
      <c r="ALT41" s="130" t="n"/>
      <c r="ALU41" s="82">
        <f>ALS41-11828000+1000000+3555000</f>
        <v/>
      </c>
      <c r="ALV41" s="82">
        <f>ALU41</f>
        <v/>
      </c>
      <c r="ALW41" s="82">
        <f>ALV41+1544000</f>
        <v/>
      </c>
      <c r="ALX41" s="82">
        <f>ALW41</f>
        <v/>
      </c>
      <c r="ALY41" s="82">
        <f>ALX41</f>
        <v/>
      </c>
      <c r="ALZ41" s="82">
        <f>ALY41</f>
        <v/>
      </c>
      <c r="AMA41" s="82">
        <f>ALZ41</f>
        <v/>
      </c>
      <c r="AMB41" s="82">
        <f>AMA41</f>
        <v/>
      </c>
      <c r="AMC41" s="82">
        <f>AMB41</f>
        <v/>
      </c>
      <c r="AMD41" s="82">
        <f>AMC41</f>
        <v/>
      </c>
      <c r="AME41" s="82">
        <f>AMD41</f>
        <v/>
      </c>
      <c r="AMF41" s="82">
        <f>AME41</f>
        <v/>
      </c>
      <c r="AMG41" s="82">
        <f>AMF41</f>
        <v/>
      </c>
      <c r="AMH41" s="82">
        <f>AMG41</f>
        <v/>
      </c>
      <c r="AMI41" s="82">
        <f>AMH41+1544000</f>
        <v/>
      </c>
      <c r="AMJ41" s="82">
        <f>AMI41</f>
        <v/>
      </c>
      <c r="AMK41" s="82">
        <f>AMJ41+359000</f>
        <v/>
      </c>
      <c r="AML41" s="82">
        <f>AMK41</f>
        <v/>
      </c>
      <c r="AMM41" s="82">
        <f>AML41</f>
        <v/>
      </c>
      <c r="AMN41" s="82">
        <f>AMM41</f>
        <v/>
      </c>
      <c r="AMO41" s="82">
        <f>AMN41</f>
        <v/>
      </c>
      <c r="AMP41" s="82">
        <f>AMO41+1189000</f>
        <v/>
      </c>
      <c r="AMQ41" s="82">
        <f>AMP41</f>
        <v/>
      </c>
      <c r="AMR41" s="82">
        <f>AMQ41+715000</f>
        <v/>
      </c>
      <c r="AMS41" s="82">
        <f>AMR41</f>
        <v/>
      </c>
      <c r="AMT41" s="82">
        <f>AMS41</f>
        <v/>
      </c>
      <c r="AMU41" s="82">
        <f>AMT41</f>
        <v/>
      </c>
      <c r="AMV41" s="82">
        <f>AMU41</f>
        <v/>
      </c>
      <c r="AMW41" s="82">
        <f>AMV41+941000</f>
        <v/>
      </c>
      <c r="AMX41" s="82">
        <f>AMW41</f>
        <v/>
      </c>
      <c r="AMY41" s="130" t="n"/>
      <c r="AMZ41" s="82">
        <f>AMX41+8400000+6188000</f>
        <v/>
      </c>
      <c r="ANA41" s="82">
        <f>AMZ41</f>
        <v/>
      </c>
      <c r="ANB41" s="82">
        <f>ANA41</f>
        <v/>
      </c>
      <c r="ANC41" s="82">
        <f>ANB41</f>
        <v/>
      </c>
      <c r="AND41" s="82">
        <f>ANC41</f>
        <v/>
      </c>
      <c r="ANE41" s="82">
        <f>AND41</f>
        <v/>
      </c>
      <c r="ANF41" s="82">
        <f>ANE41</f>
        <v/>
      </c>
      <c r="ANG41" s="82">
        <f>ANF41</f>
        <v/>
      </c>
      <c r="ANH41" s="82">
        <f>ANG41</f>
        <v/>
      </c>
      <c r="ANI41" s="82">
        <f>ANH41</f>
        <v/>
      </c>
      <c r="ANJ41" s="82">
        <f>ANI41</f>
        <v/>
      </c>
      <c r="ANK41" s="82">
        <f>ANJ41</f>
        <v/>
      </c>
      <c r="ANL41" s="82">
        <f>ANK41</f>
        <v/>
      </c>
      <c r="ANM41" s="82">
        <f>ANL41</f>
        <v/>
      </c>
      <c r="ANN41" s="82">
        <f>ANM41</f>
        <v/>
      </c>
      <c r="ANO41" s="82">
        <f>ANN41+6700000</f>
        <v/>
      </c>
      <c r="ANP41" s="82">
        <f>ANO41+2700000</f>
        <v/>
      </c>
      <c r="ANQ41" s="82">
        <f>ANP41</f>
        <v/>
      </c>
      <c r="ANR41" s="82">
        <f>ANQ41</f>
        <v/>
      </c>
      <c r="ANS41" s="82">
        <f>ANR41</f>
        <v/>
      </c>
      <c r="ANT41" s="82">
        <f>ANS41</f>
        <v/>
      </c>
      <c r="ANU41" s="82">
        <f>ANT41</f>
        <v/>
      </c>
      <c r="ANV41" s="82">
        <f>ANU41+6000000</f>
        <v/>
      </c>
      <c r="ANW41" s="82">
        <f>ANV41</f>
        <v/>
      </c>
      <c r="ANX41" s="82">
        <f>ANW41</f>
        <v/>
      </c>
      <c r="ANY41" s="82">
        <f>ANX41</f>
        <v/>
      </c>
      <c r="ANZ41" s="82">
        <f>ANY41</f>
        <v/>
      </c>
      <c r="AOA41" s="82">
        <f>ANZ41</f>
        <v/>
      </c>
      <c r="AOB41" s="82">
        <f>AOA41+1900000</f>
        <v/>
      </c>
      <c r="AOC41" s="82">
        <f>AOB41</f>
        <v/>
      </c>
    </row>
    <row r="42">
      <c r="B42" s="13" t="inlineStr">
        <is>
          <t>Dealer Lisence</t>
        </is>
      </c>
      <c r="C42" s="52" t="n">
        <v>2381726</v>
      </c>
      <c r="D42" s="52">
        <f>C42</f>
        <v/>
      </c>
      <c r="E42" s="52">
        <f>10000*19</f>
        <v/>
      </c>
      <c r="F42" s="52">
        <f>E42</f>
        <v/>
      </c>
      <c r="G42" s="52">
        <f>F42+7902*19</f>
        <v/>
      </c>
      <c r="H42" s="52">
        <f>G42</f>
        <v/>
      </c>
      <c r="I42" s="52">
        <f>H42</f>
        <v/>
      </c>
      <c r="J42" s="52">
        <f>I42</f>
        <v/>
      </c>
      <c r="K42" s="52">
        <f>J42+14000*19</f>
        <v/>
      </c>
      <c r="L42" s="52">
        <f>K42</f>
        <v/>
      </c>
      <c r="M42" s="52">
        <f>L42+12968*19</f>
        <v/>
      </c>
      <c r="N42" s="52">
        <f>M42</f>
        <v/>
      </c>
      <c r="O42" s="52">
        <f>N42</f>
        <v/>
      </c>
      <c r="P42" s="52">
        <f>O42</f>
        <v/>
      </c>
      <c r="Q42" s="52">
        <f>P42+12953*19</f>
        <v/>
      </c>
      <c r="R42" s="52">
        <f>Q42</f>
        <v/>
      </c>
      <c r="S42" s="52">
        <f>R42</f>
        <v/>
      </c>
      <c r="T42" s="52">
        <f>S42</f>
        <v/>
      </c>
      <c r="U42" s="52">
        <f>T42</f>
        <v/>
      </c>
      <c r="V42" s="52">
        <f>U42</f>
        <v/>
      </c>
      <c r="W42" s="52">
        <f>V42+319409</f>
        <v/>
      </c>
      <c r="X42" s="52">
        <f>W42</f>
        <v/>
      </c>
      <c r="Y42" s="52">
        <f>X42</f>
        <v/>
      </c>
      <c r="Z42" s="52">
        <f>Y42</f>
        <v/>
      </c>
      <c r="AA42" s="52">
        <f>Z42+9956*19</f>
        <v/>
      </c>
      <c r="AB42" s="52">
        <f>AA42+9939*19</f>
        <v/>
      </c>
      <c r="AC42" s="52">
        <f>AB42</f>
        <v/>
      </c>
      <c r="AD42" s="52">
        <f>AC42</f>
        <v/>
      </c>
      <c r="AE42" s="52">
        <f>AD42</f>
        <v/>
      </c>
      <c r="AF42" s="52">
        <f>AE42</f>
        <v/>
      </c>
      <c r="AG42" s="52">
        <f>AF42</f>
        <v/>
      </c>
      <c r="AH42" s="98">
        <f>AG42</f>
        <v/>
      </c>
      <c r="AI42" s="82">
        <f>AG42+9961*19</f>
        <v/>
      </c>
      <c r="AJ42" s="82">
        <f>AI42+12849*19</f>
        <v/>
      </c>
      <c r="AK42" s="82">
        <f>AJ42</f>
        <v/>
      </c>
      <c r="AL42" s="82">
        <f>AJ42</f>
        <v/>
      </c>
      <c r="AM42" s="82">
        <f>AK42</f>
        <v/>
      </c>
      <c r="AN42" s="82">
        <f>AL42+11942*19</f>
        <v/>
      </c>
      <c r="AO42" s="82">
        <f>AN42+9000*19</f>
        <v/>
      </c>
      <c r="AP42" s="82">
        <f>AO42</f>
        <v/>
      </c>
      <c r="AQ42" s="82">
        <f>AO42+10000*19</f>
        <v/>
      </c>
      <c r="AR42" s="82">
        <f>AQ42</f>
        <v/>
      </c>
      <c r="AS42" s="82">
        <f>AQ42-2229228</f>
        <v/>
      </c>
      <c r="AT42" s="82">
        <f>AS42+9978*19</f>
        <v/>
      </c>
      <c r="AU42" s="82">
        <f>AT42+10965*19</f>
        <v/>
      </c>
      <c r="AV42" s="82">
        <f>AU42+4000*19+7985*19</f>
        <v/>
      </c>
      <c r="AW42" s="82">
        <f>AV42</f>
        <v/>
      </c>
      <c r="AX42" s="82">
        <f>AV42</f>
        <v/>
      </c>
      <c r="AY42" s="82">
        <f>AW42</f>
        <v/>
      </c>
      <c r="AZ42" s="82">
        <f>AX42</f>
        <v/>
      </c>
      <c r="BA42" s="82">
        <f>AY42</f>
        <v/>
      </c>
      <c r="BB42" s="82">
        <f>AZ42+8977*19+12971*19</f>
        <v/>
      </c>
      <c r="BC42" s="82">
        <f>BB42</f>
        <v/>
      </c>
      <c r="BD42" s="82">
        <f>BB42</f>
        <v/>
      </c>
      <c r="BE42" s="82">
        <f>BC42</f>
        <v/>
      </c>
      <c r="BF42" s="82">
        <f>BD42</f>
        <v/>
      </c>
      <c r="BG42" s="82">
        <f>BE42</f>
        <v/>
      </c>
      <c r="BH42" s="82">
        <f>BF42+15818*19</f>
        <v/>
      </c>
      <c r="BI42" s="82">
        <f>BH42</f>
        <v/>
      </c>
      <c r="BJ42" s="82">
        <f>BH42</f>
        <v/>
      </c>
      <c r="BK42" s="82" t="n"/>
      <c r="BL42" s="82">
        <f>BJ42+11884*19</f>
        <v/>
      </c>
      <c r="BM42" s="106">
        <f>BL42</f>
        <v/>
      </c>
      <c r="BN42" s="82">
        <f>BM42+8899*19</f>
        <v/>
      </c>
      <c r="BO42" s="82">
        <f>BN42</f>
        <v/>
      </c>
      <c r="BP42" s="82">
        <f>BO42</f>
        <v/>
      </c>
      <c r="BQ42" s="82">
        <f>BP42</f>
        <v/>
      </c>
      <c r="BR42" s="82">
        <f>BQ42</f>
        <v/>
      </c>
      <c r="BS42" s="82">
        <f>BR42</f>
        <v/>
      </c>
      <c r="BT42" s="82">
        <f>BS42+9961*19</f>
        <v/>
      </c>
      <c r="BU42" s="82">
        <f>BT42</f>
        <v/>
      </c>
      <c r="BV42" s="82">
        <f>BU42</f>
        <v/>
      </c>
      <c r="BW42" s="82">
        <f>BV42</f>
        <v/>
      </c>
      <c r="BX42" s="82">
        <f>BW42</f>
        <v/>
      </c>
      <c r="BY42" s="82">
        <f>BX42</f>
        <v/>
      </c>
      <c r="BZ42" s="82">
        <f>BY42</f>
        <v/>
      </c>
      <c r="CA42" s="82">
        <f>BZ42+10000*19+5000*19-2325849</f>
        <v/>
      </c>
      <c r="CB42" s="82">
        <f>CA42</f>
        <v/>
      </c>
      <c r="CC42" s="82">
        <f>CB42</f>
        <v/>
      </c>
      <c r="CD42" s="82">
        <f>CC42</f>
        <v/>
      </c>
      <c r="CE42" s="82">
        <f>CD42+6000*19+8908*19</f>
        <v/>
      </c>
      <c r="CF42" s="82">
        <f>CE42</f>
        <v/>
      </c>
      <c r="CG42" s="82">
        <f>CF42</f>
        <v/>
      </c>
      <c r="CH42" s="82">
        <f>CG42+12842*19</f>
        <v/>
      </c>
      <c r="CI42" s="82">
        <f>CH42</f>
        <v/>
      </c>
      <c r="CJ42" s="82">
        <f>CI42</f>
        <v/>
      </c>
      <c r="CK42" s="82">
        <f>CJ42</f>
        <v/>
      </c>
      <c r="CL42" s="82">
        <f>CK42+9964*19</f>
        <v/>
      </c>
      <c r="CM42" s="82">
        <f>CL42</f>
        <v/>
      </c>
      <c r="CN42" s="82">
        <f>CM42</f>
        <v/>
      </c>
      <c r="CO42" s="82">
        <f>CN42+8000*19</f>
        <v/>
      </c>
      <c r="CP42" s="82">
        <f>CO42</f>
        <v/>
      </c>
      <c r="CQ42" s="82">
        <f>CP42</f>
        <v/>
      </c>
      <c r="CR42" s="82">
        <f>CQ42</f>
        <v/>
      </c>
      <c r="CT42" s="82">
        <f>CR42</f>
        <v/>
      </c>
      <c r="CU42" s="82">
        <f>CT42+12000*19</f>
        <v/>
      </c>
      <c r="CV42" s="82">
        <f>CU42</f>
        <v/>
      </c>
      <c r="CW42" s="82">
        <f>CU42-1342825</f>
        <v/>
      </c>
      <c r="CX42" s="82">
        <f>CW42</f>
        <v/>
      </c>
      <c r="CY42" s="82">
        <f>CW42</f>
        <v/>
      </c>
      <c r="CZ42" s="82">
        <f>CX42</f>
        <v/>
      </c>
      <c r="DA42" s="82">
        <f>CY42+10000*19+8924*19</f>
        <v/>
      </c>
      <c r="DB42" s="82">
        <f>DA42</f>
        <v/>
      </c>
      <c r="DC42" s="82">
        <f>DA42</f>
        <v/>
      </c>
      <c r="DD42" s="82">
        <f>DB42+10957*19</f>
        <v/>
      </c>
      <c r="DE42" s="82">
        <f>DD42</f>
        <v/>
      </c>
      <c r="DF42" s="82">
        <f>DD42</f>
        <v/>
      </c>
      <c r="DG42" s="82">
        <f>DE42</f>
        <v/>
      </c>
      <c r="DH42" s="82">
        <f>DF42+8981*19</f>
        <v/>
      </c>
      <c r="DI42" s="82">
        <f>DH42+12890*19</f>
        <v/>
      </c>
      <c r="DJ42" s="82">
        <f>DI42</f>
        <v/>
      </c>
      <c r="DK42" s="82">
        <f>DI42</f>
        <v/>
      </c>
      <c r="DL42" s="82">
        <f>DJ42</f>
        <v/>
      </c>
      <c r="DM42" s="82">
        <f>DK42</f>
        <v/>
      </c>
      <c r="DN42" s="82">
        <f>DL42</f>
        <v/>
      </c>
      <c r="DO42" s="82">
        <f>DM42</f>
        <v/>
      </c>
      <c r="DP42" s="82">
        <f>DN42</f>
        <v/>
      </c>
      <c r="DQ42" s="82">
        <f>DO42+8920*19</f>
        <v/>
      </c>
      <c r="DR42" s="82">
        <f>DQ42+8953*19</f>
        <v/>
      </c>
      <c r="DS42" s="82">
        <f>DR42</f>
        <v/>
      </c>
      <c r="DT42" s="82">
        <f>DR42</f>
        <v/>
      </c>
      <c r="DU42" s="82">
        <f>DS42</f>
        <v/>
      </c>
      <c r="DV42" s="82">
        <f>DT42</f>
        <v/>
      </c>
      <c r="DW42" s="82">
        <f>DU42</f>
        <v/>
      </c>
      <c r="DX42" s="117" t="n"/>
      <c r="DY42" s="82">
        <f>DW42</f>
        <v/>
      </c>
      <c r="DZ42" s="82">
        <f>DY42</f>
        <v/>
      </c>
      <c r="EA42" s="82">
        <f>DY42+9924*19</f>
        <v/>
      </c>
      <c r="EB42" s="82">
        <f>EA42</f>
        <v/>
      </c>
      <c r="EC42" s="82">
        <f>EA42</f>
        <v/>
      </c>
      <c r="ED42" s="82">
        <f>EB42</f>
        <v/>
      </c>
      <c r="EE42" s="82">
        <f>EC42+7000*19+7000*19</f>
        <v/>
      </c>
      <c r="EF42" s="82">
        <f>EE42</f>
        <v/>
      </c>
      <c r="EG42" s="82">
        <f>EE42</f>
        <v/>
      </c>
      <c r="EH42" s="82">
        <f>EF42</f>
        <v/>
      </c>
      <c r="EI42" s="82">
        <f>EG42+11965*19-1738373</f>
        <v/>
      </c>
      <c r="EJ42" s="82">
        <f>EI42</f>
        <v/>
      </c>
      <c r="EK42" s="82">
        <f>EI42</f>
        <v/>
      </c>
      <c r="EL42" s="82">
        <f>EJ42+10000*19</f>
        <v/>
      </c>
      <c r="EM42" s="82">
        <f>EL42+8979*19</f>
        <v/>
      </c>
      <c r="EN42" s="82">
        <f>EM42</f>
        <v/>
      </c>
      <c r="EO42" s="82">
        <f>EM42</f>
        <v/>
      </c>
      <c r="EP42" s="82">
        <f>EN42</f>
        <v/>
      </c>
      <c r="EQ42" s="82">
        <f>EO42+10874*19</f>
        <v/>
      </c>
      <c r="ER42" s="82">
        <f>EQ42+12941*19</f>
        <v/>
      </c>
      <c r="ES42" s="82">
        <f>ER42</f>
        <v/>
      </c>
      <c r="ET42" s="82">
        <f>ER42</f>
        <v/>
      </c>
      <c r="EU42" s="82">
        <f>ES42+9863*19</f>
        <v/>
      </c>
      <c r="EV42" s="82">
        <f>EU42</f>
        <v/>
      </c>
      <c r="EW42" s="82">
        <f>EU42</f>
        <v/>
      </c>
      <c r="EX42" s="82">
        <f>EV42</f>
        <v/>
      </c>
      <c r="EY42" s="82">
        <f>EW42</f>
        <v/>
      </c>
      <c r="EZ42" s="82">
        <f>EX42+10840*19</f>
        <v/>
      </c>
      <c r="FA42" s="82">
        <f>EZ42+10000*19</f>
        <v/>
      </c>
      <c r="FB42" s="82">
        <f>FA42</f>
        <v/>
      </c>
      <c r="FC42" s="82">
        <f>FA42</f>
        <v/>
      </c>
      <c r="FD42" s="126" t="n"/>
      <c r="FE42" s="82">
        <f>FC42</f>
        <v/>
      </c>
      <c r="FF42" s="82">
        <f>FE42</f>
        <v/>
      </c>
      <c r="FG42" s="82">
        <f>FE42</f>
        <v/>
      </c>
      <c r="FH42" s="82" t="n">
        <v>0</v>
      </c>
      <c r="FI42" s="82" t="n">
        <v>0</v>
      </c>
      <c r="FJ42" s="82">
        <f>13943*19</f>
        <v/>
      </c>
      <c r="FK42" s="82">
        <f>FJ42</f>
        <v/>
      </c>
      <c r="FL42" s="82">
        <f>FJ42</f>
        <v/>
      </c>
      <c r="FM42" s="82">
        <f>FK42</f>
        <v/>
      </c>
      <c r="FN42" s="82">
        <f>FL42</f>
        <v/>
      </c>
      <c r="FO42" s="82">
        <f>FM42+11867*19+6941*19</f>
        <v/>
      </c>
      <c r="FP42" s="82">
        <f>FO42</f>
        <v/>
      </c>
      <c r="FQ42" s="82">
        <f>FO42</f>
        <v/>
      </c>
      <c r="FR42" s="82">
        <f>FP42</f>
        <v/>
      </c>
      <c r="FS42" s="82">
        <f>FQ42</f>
        <v/>
      </c>
      <c r="FT42" s="82">
        <f>FR42</f>
        <v/>
      </c>
      <c r="FU42" s="82">
        <f>FS42+10907*19</f>
        <v/>
      </c>
      <c r="FV42" s="82">
        <f>FU42+7944*19</f>
        <v/>
      </c>
      <c r="FW42" s="82">
        <f>FV42</f>
        <v/>
      </c>
      <c r="FX42" s="82">
        <f>FV42</f>
        <v/>
      </c>
      <c r="FY42" s="82">
        <f>FW42</f>
        <v/>
      </c>
      <c r="FZ42" s="82">
        <f>FX42</f>
        <v/>
      </c>
      <c r="GA42" s="82">
        <f>FY42</f>
        <v/>
      </c>
      <c r="GB42" s="82">
        <f>FZ42+11854*19+7944*19</f>
        <v/>
      </c>
      <c r="GC42" s="82">
        <f>GB42</f>
        <v/>
      </c>
      <c r="GD42" s="82">
        <f>GB42</f>
        <v/>
      </c>
      <c r="GE42" s="82">
        <f>GC42</f>
        <v/>
      </c>
      <c r="GF42" s="82">
        <f>GD42</f>
        <v/>
      </c>
      <c r="GG42" s="82">
        <f>GE42</f>
        <v/>
      </c>
      <c r="GH42" s="82">
        <f>GF42</f>
        <v/>
      </c>
      <c r="GI42" s="82">
        <f>GG42+10851*19</f>
        <v/>
      </c>
      <c r="GJ42" s="130" t="n"/>
      <c r="GK42" s="82">
        <f>GI42+8000*19</f>
        <v/>
      </c>
      <c r="GL42" s="82">
        <f>GK42</f>
        <v/>
      </c>
      <c r="GM42" s="82">
        <f>GL42</f>
        <v/>
      </c>
      <c r="GN42" s="82">
        <f>GM42</f>
        <v/>
      </c>
      <c r="GO42" s="82">
        <f>GN42</f>
        <v/>
      </c>
      <c r="GP42" s="82">
        <f>GO42+8000*19+9920*19</f>
        <v/>
      </c>
      <c r="GQ42" s="82">
        <f>GP42</f>
        <v/>
      </c>
      <c r="GR42" s="82">
        <f>GQ42</f>
        <v/>
      </c>
      <c r="GS42" s="82">
        <f>GR42</f>
        <v/>
      </c>
      <c r="GT42" s="82">
        <f>GS42+11869*19</f>
        <v/>
      </c>
      <c r="GU42" s="82">
        <f>GT42-1714769</f>
        <v/>
      </c>
      <c r="GV42" s="82">
        <f>GU42</f>
        <v/>
      </c>
      <c r="GW42" s="82">
        <f>GV42</f>
        <v/>
      </c>
      <c r="GX42" s="82">
        <f>GW42+8000*19</f>
        <v/>
      </c>
      <c r="GY42" s="82">
        <f>GW42+8000*19</f>
        <v/>
      </c>
      <c r="GZ42" s="82">
        <f>GY42+12848*19</f>
        <v/>
      </c>
      <c r="HA42" s="82">
        <f>GZ42</f>
        <v/>
      </c>
      <c r="HB42" s="82">
        <f>HA42</f>
        <v/>
      </c>
      <c r="HC42" s="82">
        <f>HB42</f>
        <v/>
      </c>
      <c r="HD42" s="82">
        <f>HC42+8000*19</f>
        <v/>
      </c>
      <c r="HE42" s="82">
        <f>HC42+8000*19</f>
        <v/>
      </c>
      <c r="HF42" s="82">
        <f>HE42</f>
        <v/>
      </c>
      <c r="HG42" s="82">
        <f>HF42+12841*19</f>
        <v/>
      </c>
      <c r="HH42" s="82">
        <f>HG42</f>
        <v/>
      </c>
      <c r="HI42" s="82">
        <f>HH42</f>
        <v/>
      </c>
      <c r="HJ42" s="82">
        <f>HI42</f>
        <v/>
      </c>
      <c r="HK42" s="82">
        <f>HJ42</f>
        <v/>
      </c>
      <c r="HL42" s="82">
        <f>HK42+9892*19+12876*19</f>
        <v/>
      </c>
      <c r="HM42" s="82">
        <f>HL42</f>
        <v/>
      </c>
      <c r="HN42" s="130" t="n"/>
      <c r="HO42" s="82">
        <f>HM42</f>
        <v/>
      </c>
      <c r="HP42" s="82">
        <f>HO42</f>
        <v/>
      </c>
      <c r="HQ42" s="82">
        <f>HO42</f>
        <v/>
      </c>
      <c r="HR42" s="82">
        <f>HP42</f>
        <v/>
      </c>
      <c r="HS42" s="82">
        <f>HQ42+7000*19+11853*19</f>
        <v/>
      </c>
      <c r="HT42" s="82">
        <f>HS42</f>
        <v/>
      </c>
      <c r="HU42" s="82">
        <f>HS42-1790674</f>
        <v/>
      </c>
      <c r="HV42" s="82">
        <f>HU42</f>
        <v/>
      </c>
      <c r="HW42" s="82">
        <f>HU42</f>
        <v/>
      </c>
      <c r="HX42" s="82">
        <f>HV42</f>
        <v/>
      </c>
      <c r="HY42" s="82">
        <f>HW42+11866*19</f>
        <v/>
      </c>
      <c r="HZ42" s="82">
        <f>HY42</f>
        <v/>
      </c>
      <c r="IA42" s="82">
        <f>HY42</f>
        <v/>
      </c>
      <c r="IB42" s="82">
        <f>HZ42</f>
        <v/>
      </c>
      <c r="IC42" s="82">
        <f>IA42</f>
        <v/>
      </c>
      <c r="ID42" s="82">
        <f>IB42+8913*19+11847*19</f>
        <v/>
      </c>
      <c r="IE42" s="82">
        <f>ID42</f>
        <v/>
      </c>
      <c r="IF42" s="82">
        <f>ID42</f>
        <v/>
      </c>
      <c r="IG42" s="82">
        <f>IE42</f>
        <v/>
      </c>
      <c r="IH42" s="82">
        <f>IF42</f>
        <v/>
      </c>
      <c r="II42" s="82">
        <f>IG42</f>
        <v/>
      </c>
      <c r="IJ42" s="82">
        <f>IH42</f>
        <v/>
      </c>
      <c r="IK42" s="82">
        <f>II42+9881*19</f>
        <v/>
      </c>
      <c r="IL42" s="82">
        <f>IK42</f>
        <v/>
      </c>
      <c r="IM42" s="82">
        <f>IK42</f>
        <v/>
      </c>
      <c r="IN42" s="82">
        <f>IL42</f>
        <v/>
      </c>
      <c r="IO42" s="82">
        <f>IM42+10888*19</f>
        <v/>
      </c>
      <c r="IP42" s="82">
        <f>IO42</f>
        <v/>
      </c>
      <c r="IQ42" s="82">
        <f>IO42+12850*19</f>
        <v/>
      </c>
      <c r="IR42" s="82">
        <f>IQ42</f>
        <v/>
      </c>
      <c r="IS42" s="82">
        <f>IQ42</f>
        <v/>
      </c>
      <c r="IT42" s="130" t="n"/>
      <c r="IU42" s="82">
        <f>IS42</f>
        <v/>
      </c>
      <c r="IV42" s="82">
        <f>IU42</f>
        <v/>
      </c>
      <c r="IW42" s="82" t="n">
        <v>0</v>
      </c>
      <c r="IX42" s="82">
        <f>IW42</f>
        <v/>
      </c>
      <c r="IY42" s="82">
        <f>8000*19</f>
        <v/>
      </c>
      <c r="IZ42" s="82">
        <f>IY42</f>
        <v/>
      </c>
      <c r="JA42" s="82">
        <f>IZ42+11853*19</f>
        <v/>
      </c>
      <c r="JB42" s="82">
        <f>JA42</f>
        <v/>
      </c>
      <c r="JC42" s="82">
        <f>JB42+2000*19</f>
        <v/>
      </c>
      <c r="JD42" s="82">
        <f>JC42</f>
        <v/>
      </c>
      <c r="JE42" s="82">
        <f>JD42</f>
        <v/>
      </c>
      <c r="JF42" s="82">
        <f>JE42</f>
        <v/>
      </c>
      <c r="JG42" s="82">
        <f>JF42+11893*19</f>
        <v/>
      </c>
      <c r="JH42" s="82">
        <f>JG42+11851*19</f>
        <v/>
      </c>
      <c r="JI42" s="82">
        <f>JH42</f>
        <v/>
      </c>
      <c r="JJ42" s="82">
        <f>JI42</f>
        <v/>
      </c>
      <c r="JK42" s="82">
        <f>JJ42</f>
        <v/>
      </c>
      <c r="JL42" s="82">
        <f>JK42</f>
        <v/>
      </c>
      <c r="JM42" s="82">
        <f>JL42</f>
        <v/>
      </c>
      <c r="JN42" s="82">
        <f>JM42+12892*19</f>
        <v/>
      </c>
      <c r="JO42" s="82">
        <f>JN42</f>
        <v/>
      </c>
      <c r="JP42" s="82">
        <f>JO42</f>
        <v/>
      </c>
      <c r="JQ42" s="82">
        <f>JP42</f>
        <v/>
      </c>
      <c r="JR42" s="82">
        <f>JQ42</f>
        <v/>
      </c>
      <c r="JS42" s="82">
        <f>JR42</f>
        <v/>
      </c>
      <c r="JT42" s="82">
        <f>JS42</f>
        <v/>
      </c>
      <c r="JU42" s="82">
        <f>JT42+9908*19</f>
        <v/>
      </c>
      <c r="JV42" s="82">
        <f>JU42+10866*19</f>
        <v/>
      </c>
      <c r="JW42" s="82">
        <f>JV42</f>
        <v/>
      </c>
      <c r="JX42" s="82">
        <f>JW42</f>
        <v/>
      </c>
      <c r="JY42" s="133" t="n"/>
      <c r="JZ42" s="82">
        <f>JX42</f>
        <v/>
      </c>
      <c r="KA42" s="82">
        <f>JZ42</f>
        <v/>
      </c>
      <c r="KB42" s="82">
        <f>JZ42+9902*19</f>
        <v/>
      </c>
      <c r="KC42" s="82">
        <f>KB42</f>
        <v/>
      </c>
      <c r="KD42" s="82">
        <f>KB42</f>
        <v/>
      </c>
      <c r="KE42" s="82">
        <f>KC42</f>
        <v/>
      </c>
      <c r="KF42" s="82">
        <f>KD42</f>
        <v/>
      </c>
      <c r="KG42" s="82">
        <f>KE42-1318296</f>
        <v/>
      </c>
      <c r="KH42" s="82">
        <f>KG42</f>
        <v/>
      </c>
      <c r="KI42" s="82">
        <f>KG42+14823*19</f>
        <v/>
      </c>
      <c r="KJ42" s="82">
        <f>KI42</f>
        <v/>
      </c>
      <c r="KK42" s="82">
        <f>KI42</f>
        <v/>
      </c>
      <c r="KL42" s="82">
        <f>KJ42</f>
        <v/>
      </c>
      <c r="KM42" s="82">
        <f>KK42</f>
        <v/>
      </c>
      <c r="KN42" s="82">
        <f>KL42</f>
        <v/>
      </c>
      <c r="KO42" s="82">
        <f>KM42+10000*19</f>
        <v/>
      </c>
      <c r="KP42" s="82">
        <f>KO42</f>
        <v/>
      </c>
      <c r="KQ42" s="82">
        <f>KO42</f>
        <v/>
      </c>
      <c r="KR42" s="82">
        <f>KP42+10000*19</f>
        <v/>
      </c>
      <c r="KS42" s="82">
        <f>KR42</f>
        <v/>
      </c>
      <c r="KT42" s="82">
        <f>KR42+3000*19</f>
        <v/>
      </c>
      <c r="KU42" s="82">
        <f>KT42+6000*19+6000*19</f>
        <v/>
      </c>
      <c r="KV42" s="82">
        <f>KU42</f>
        <v/>
      </c>
      <c r="KW42" s="82">
        <f>KU42</f>
        <v/>
      </c>
      <c r="KX42" s="82">
        <f>KV42+7927*19+7902*19</f>
        <v/>
      </c>
      <c r="KY42" s="82">
        <f>KX42</f>
        <v/>
      </c>
      <c r="KZ42" s="82">
        <f>KX42</f>
        <v/>
      </c>
      <c r="LA42" s="82">
        <f>KY42</f>
        <v/>
      </c>
      <c r="LB42" s="82">
        <f>KZ42</f>
        <v/>
      </c>
      <c r="LC42" s="82">
        <f>LA42+4966*19+8962*19</f>
        <v/>
      </c>
      <c r="LD42" s="82">
        <f>LC42+5000*19</f>
        <v/>
      </c>
      <c r="LE42" s="130" t="n"/>
      <c r="LF42" s="82">
        <f>LD42</f>
        <v/>
      </c>
      <c r="LG42" s="82">
        <f>LF42</f>
        <v/>
      </c>
      <c r="LH42" s="82">
        <f>LG42</f>
        <v/>
      </c>
      <c r="LI42" s="82">
        <f>LH42</f>
        <v/>
      </c>
      <c r="LJ42" s="82">
        <f>LI42</f>
        <v/>
      </c>
      <c r="LK42" s="82">
        <f>LJ42+11841*19</f>
        <v/>
      </c>
      <c r="LL42" s="82">
        <f>LK42+10000*19</f>
        <v/>
      </c>
      <c r="LM42" s="82">
        <f>LL42</f>
        <v/>
      </c>
      <c r="LN42" s="82">
        <f>LM42</f>
        <v/>
      </c>
      <c r="LO42" s="82">
        <f>LN42</f>
        <v/>
      </c>
      <c r="LP42" s="82">
        <f>LO42</f>
        <v/>
      </c>
      <c r="LQ42" s="82">
        <f>LP42</f>
        <v/>
      </c>
      <c r="LR42" s="82">
        <f>LQ42-1982669</f>
        <v/>
      </c>
      <c r="LS42" s="82">
        <f>LR42+6939*19+7917*19</f>
        <v/>
      </c>
      <c r="LT42" s="82">
        <f>LS42</f>
        <v/>
      </c>
      <c r="LU42" s="82">
        <f>LT42</f>
        <v/>
      </c>
      <c r="LV42" s="82">
        <f>LU42</f>
        <v/>
      </c>
      <c r="LW42" s="82">
        <f>LV42</f>
        <v/>
      </c>
      <c r="LX42" s="82">
        <f>LW42</f>
        <v/>
      </c>
      <c r="LY42" s="82">
        <f>LX42+8000*19</f>
        <v/>
      </c>
      <c r="LZ42" s="82">
        <f>LY42+10898*19</f>
        <v/>
      </c>
      <c r="MA42" s="82">
        <f>LZ42</f>
        <v/>
      </c>
      <c r="MB42" s="82">
        <f>MA42</f>
        <v/>
      </c>
      <c r="MC42" s="82">
        <f>MB42</f>
        <v/>
      </c>
      <c r="MD42" s="82">
        <f>MC42</f>
        <v/>
      </c>
      <c r="ME42" s="82">
        <f>MD42+7000*19</f>
        <v/>
      </c>
      <c r="MF42" s="82">
        <f>ME42+12827*19</f>
        <v/>
      </c>
      <c r="MG42" s="82">
        <f>MF42</f>
        <v/>
      </c>
      <c r="MH42" s="82">
        <f>MG42</f>
        <v/>
      </c>
      <c r="MI42" s="82">
        <f>MH42+8911*19</f>
        <v/>
      </c>
      <c r="MJ42" s="133" t="n"/>
      <c r="MK42" s="82">
        <f>MI42</f>
        <v/>
      </c>
      <c r="ML42" s="82">
        <f>MK42</f>
        <v/>
      </c>
      <c r="MM42" s="82">
        <f>MK42+5000*19</f>
        <v/>
      </c>
      <c r="MN42" s="82">
        <f>MM42</f>
        <v/>
      </c>
      <c r="MO42" s="82">
        <f>MM42</f>
        <v/>
      </c>
      <c r="MP42" s="82">
        <f>MN42+7926*19+7909*19</f>
        <v/>
      </c>
      <c r="MQ42" s="82">
        <f>MP42+2000*19</f>
        <v/>
      </c>
      <c r="MR42" s="82">
        <f>MQ42</f>
        <v/>
      </c>
      <c r="MS42" s="82">
        <f>MQ42</f>
        <v/>
      </c>
      <c r="MT42" s="82">
        <f>MR42</f>
        <v/>
      </c>
      <c r="MU42" s="82">
        <f>MS42</f>
        <v/>
      </c>
      <c r="MV42" s="82">
        <f>MT42+14000*19+5000*19</f>
        <v/>
      </c>
      <c r="MW42" s="82">
        <f>MV42</f>
        <v/>
      </c>
      <c r="MX42" s="82">
        <f>MV42</f>
        <v/>
      </c>
      <c r="MY42" s="82">
        <f>MW42</f>
        <v/>
      </c>
      <c r="MZ42" s="82">
        <f>MX42</f>
        <v/>
      </c>
      <c r="NA42" s="82">
        <f>MY42</f>
        <v/>
      </c>
      <c r="NB42" s="82">
        <f>MZ42</f>
        <v/>
      </c>
      <c r="NC42" s="82">
        <f>NA42+8000*19</f>
        <v/>
      </c>
      <c r="ND42" s="82">
        <f>NC42</f>
        <v/>
      </c>
      <c r="NE42" s="82">
        <f>NC42+9975*19</f>
        <v/>
      </c>
      <c r="NF42" s="82">
        <f>NE42</f>
        <v/>
      </c>
      <c r="NG42" s="82">
        <f>NE42</f>
        <v/>
      </c>
      <c r="NH42" s="82">
        <f>NF42-1602517</f>
        <v/>
      </c>
      <c r="NI42" s="82">
        <f>NH42+11876*19+10898*19</f>
        <v/>
      </c>
      <c r="NJ42" s="82">
        <f>NI42</f>
        <v/>
      </c>
      <c r="NK42" s="82">
        <f>NI42</f>
        <v/>
      </c>
      <c r="NL42" s="82">
        <f>NJ42</f>
        <v/>
      </c>
      <c r="NM42" s="82">
        <f>NK42</f>
        <v/>
      </c>
      <c r="NN42" s="82">
        <f>NL42</f>
        <v/>
      </c>
      <c r="NO42" s="82">
        <f>NM42+9902*19</f>
        <v/>
      </c>
      <c r="NP42" s="133" t="n"/>
      <c r="NQ42" s="82">
        <f>NO42</f>
        <v/>
      </c>
      <c r="NR42" s="82">
        <f>NQ42</f>
        <v/>
      </c>
      <c r="NS42" s="82">
        <f>NQ42+7967*19</f>
        <v/>
      </c>
      <c r="NT42" s="82">
        <f>NS42</f>
        <v/>
      </c>
      <c r="NU42" s="82">
        <f>NS42</f>
        <v/>
      </c>
      <c r="NV42" s="82">
        <f>NT42-1757234</f>
        <v/>
      </c>
      <c r="NW42" s="82">
        <f>NV42+10000*19</f>
        <v/>
      </c>
      <c r="NX42" s="82">
        <f>NW42</f>
        <v/>
      </c>
      <c r="NY42" s="82">
        <f>NW42</f>
        <v/>
      </c>
      <c r="NZ42" s="82">
        <f>NX42+4000*19</f>
        <v/>
      </c>
      <c r="OA42" s="82">
        <f>NZ42+9900*19</f>
        <v/>
      </c>
      <c r="OB42" s="82">
        <f>OA42</f>
        <v/>
      </c>
      <c r="OC42" s="82">
        <f>OA42</f>
        <v/>
      </c>
      <c r="OD42" s="82">
        <f>OB42</f>
        <v/>
      </c>
      <c r="OE42" s="82">
        <f>OC42+6939*19</f>
        <v/>
      </c>
      <c r="OF42" s="82">
        <f>OE42+8934*19</f>
        <v/>
      </c>
      <c r="OG42" s="82">
        <f>OF42</f>
        <v/>
      </c>
      <c r="OH42" s="82">
        <f>OF42</f>
        <v/>
      </c>
      <c r="OI42" s="82">
        <f>OG42</f>
        <v/>
      </c>
      <c r="OJ42" s="82">
        <f>OH42</f>
        <v/>
      </c>
      <c r="OK42" s="82">
        <f>OI42+11933*19+10000*19</f>
        <v/>
      </c>
      <c r="OL42" s="82">
        <f>OK42</f>
        <v/>
      </c>
      <c r="OM42" s="82">
        <f>OK42</f>
        <v/>
      </c>
      <c r="ON42" s="82">
        <f>OL42</f>
        <v/>
      </c>
      <c r="OO42" s="82">
        <f>OM42</f>
        <v/>
      </c>
      <c r="OP42" s="82">
        <f>ON42</f>
        <v/>
      </c>
      <c r="OQ42" s="82">
        <f>OO42</f>
        <v/>
      </c>
      <c r="OR42" s="82">
        <f>OP42</f>
        <v/>
      </c>
      <c r="OS42" s="82">
        <f>OQ42</f>
        <v/>
      </c>
      <c r="OT42" s="82">
        <f>OR42+11946*19+12443*19</f>
        <v/>
      </c>
      <c r="OU42" s="82">
        <f>OT42</f>
        <v/>
      </c>
      <c r="OV42" s="130" t="n"/>
      <c r="OW42" s="82">
        <f>OU42</f>
        <v/>
      </c>
      <c r="OX42" s="82">
        <f>OW42</f>
        <v/>
      </c>
      <c r="OY42" s="82">
        <f>OW42</f>
        <v/>
      </c>
      <c r="OZ42" s="82">
        <f>OX42+12868*19</f>
        <v/>
      </c>
      <c r="PA42" s="82">
        <f>OZ42</f>
        <v/>
      </c>
      <c r="PB42" s="82">
        <f>OZ42+9000*19</f>
        <v/>
      </c>
      <c r="PC42" s="82">
        <f>PB42</f>
        <v/>
      </c>
      <c r="PD42" s="82">
        <f>PB42</f>
        <v/>
      </c>
      <c r="PE42" s="82">
        <f>PC42</f>
        <v/>
      </c>
      <c r="PF42" s="82">
        <f>PD42</f>
        <v/>
      </c>
      <c r="PG42" s="82">
        <f>PE42+6000*19</f>
        <v/>
      </c>
      <c r="PH42" s="82">
        <f>PG42-1787178</f>
        <v/>
      </c>
      <c r="PI42" s="82">
        <f>PH42</f>
        <v/>
      </c>
      <c r="PJ42" s="82">
        <f>PH42+11871*19</f>
        <v/>
      </c>
      <c r="PK42" s="82">
        <f>PJ42</f>
        <v/>
      </c>
      <c r="PL42" s="82">
        <f>PJ42</f>
        <v/>
      </c>
      <c r="PM42" s="82">
        <f>PK42</f>
        <v/>
      </c>
      <c r="PN42" s="82">
        <f>PL42+8000*19</f>
        <v/>
      </c>
      <c r="PO42" s="82">
        <f>PN42</f>
        <v/>
      </c>
      <c r="PP42" s="82">
        <f>PN42</f>
        <v/>
      </c>
      <c r="PQ42" s="82">
        <f>PO42+11864*19</f>
        <v/>
      </c>
      <c r="PR42" s="82">
        <f>PQ42</f>
        <v/>
      </c>
      <c r="PS42" s="82">
        <f>PQ42</f>
        <v/>
      </c>
      <c r="PT42" s="82">
        <f>PR42</f>
        <v/>
      </c>
      <c r="PU42" s="82">
        <f>PS42+10000*19</f>
        <v/>
      </c>
      <c r="PV42" s="82">
        <f>PU42</f>
        <v/>
      </c>
      <c r="PW42" s="82">
        <f>PU42</f>
        <v/>
      </c>
      <c r="PX42" s="82">
        <f>PV42+9882*19</f>
        <v/>
      </c>
      <c r="PY42" s="82">
        <f>PX42</f>
        <v/>
      </c>
      <c r="PZ42" s="82">
        <f>PX42</f>
        <v/>
      </c>
      <c r="QA42" s="130" t="n"/>
      <c r="QB42" s="82">
        <f>PZ42</f>
        <v/>
      </c>
      <c r="QC42" s="82">
        <f>QB42</f>
        <v/>
      </c>
      <c r="QD42" s="82">
        <f>QC42+8987*19</f>
        <v/>
      </c>
      <c r="QE42" s="82">
        <f>QD42+9977*19</f>
        <v/>
      </c>
      <c r="QF42" s="82">
        <f>QE42</f>
        <v/>
      </c>
      <c r="QG42" s="82">
        <f>QF42</f>
        <v/>
      </c>
      <c r="QH42" s="82">
        <f>QG42-1510056</f>
        <v/>
      </c>
      <c r="QI42" s="82">
        <f>QH42</f>
        <v/>
      </c>
      <c r="QJ42" s="82">
        <f>QI42+9971*19</f>
        <v/>
      </c>
      <c r="QK42" s="82">
        <f>QJ42</f>
        <v/>
      </c>
      <c r="QL42" s="82">
        <f>QK42</f>
        <v/>
      </c>
      <c r="QM42" s="82">
        <f>QL42+10000*19</f>
        <v/>
      </c>
      <c r="QN42" s="82">
        <f>QM42</f>
        <v/>
      </c>
      <c r="QO42" s="82">
        <f>QN42</f>
        <v/>
      </c>
      <c r="QP42" s="82">
        <f>QO42</f>
        <v/>
      </c>
      <c r="QQ42" s="82">
        <f>QP42</f>
        <v/>
      </c>
      <c r="QR42" s="82">
        <f>QQ42</f>
        <v/>
      </c>
      <c r="QS42" s="82">
        <f>QR42</f>
        <v/>
      </c>
      <c r="QT42" s="82">
        <f>QS42+6973*19</f>
        <v/>
      </c>
      <c r="QU42" s="82">
        <f>QT42</f>
        <v/>
      </c>
      <c r="QV42" s="82">
        <f>QU42</f>
        <v/>
      </c>
      <c r="QW42" s="82">
        <f>QV42</f>
        <v/>
      </c>
      <c r="QX42" s="82">
        <f>QW42</f>
        <v/>
      </c>
      <c r="QY42" s="82">
        <f>QX42+11971*19</f>
        <v/>
      </c>
      <c r="QZ42" s="82">
        <f>QY42</f>
        <v/>
      </c>
      <c r="RA42" s="82">
        <f>QZ42+8976*19</f>
        <v/>
      </c>
      <c r="RB42" s="82">
        <f>RA42</f>
        <v/>
      </c>
      <c r="RC42" s="82">
        <f>RB42</f>
        <v/>
      </c>
      <c r="RD42" s="82">
        <f>RC42</f>
        <v/>
      </c>
      <c r="RE42" s="82">
        <f>RD42+12862*19</f>
        <v/>
      </c>
      <c r="RF42" s="82">
        <f>RE42</f>
        <v/>
      </c>
      <c r="RG42" s="130" t="n"/>
      <c r="RH42" s="82">
        <f>RF42</f>
        <v/>
      </c>
      <c r="RI42" s="82">
        <f>RH42</f>
        <v/>
      </c>
      <c r="RJ42" s="82">
        <f>RI42</f>
        <v/>
      </c>
      <c r="RK42" s="82">
        <f>RJ42</f>
        <v/>
      </c>
      <c r="RL42" s="82">
        <f>RK42</f>
        <v/>
      </c>
      <c r="RM42" s="82">
        <f>RL42+8000*19</f>
        <v/>
      </c>
      <c r="RN42" s="82">
        <f>RM42+11940*19</f>
        <v/>
      </c>
      <c r="RO42" s="82">
        <f>RN42</f>
        <v/>
      </c>
      <c r="RP42" s="82">
        <f>RO42</f>
        <v/>
      </c>
      <c r="RQ42" s="82">
        <f>RP42</f>
        <v/>
      </c>
      <c r="RR42" s="82">
        <f>RQ42-1514782</f>
        <v/>
      </c>
      <c r="RS42" s="82">
        <f>RR42+9887*19</f>
        <v/>
      </c>
      <c r="RT42" s="82">
        <f>RS42</f>
        <v/>
      </c>
      <c r="RU42" s="82">
        <f>RT42+10000*19</f>
        <v/>
      </c>
      <c r="RV42" s="82">
        <f>RU42</f>
        <v/>
      </c>
      <c r="RW42" s="82">
        <f>RV42</f>
        <v/>
      </c>
      <c r="RX42" s="82">
        <f>RW42</f>
        <v/>
      </c>
      <c r="RY42" s="82">
        <f>RX42</f>
        <v/>
      </c>
      <c r="RZ42" s="82">
        <f>RY42</f>
        <v/>
      </c>
      <c r="SA42" s="82">
        <f>RZ42+10864*19</f>
        <v/>
      </c>
      <c r="SB42" s="82">
        <f>SA42</f>
        <v/>
      </c>
      <c r="SC42" s="82">
        <f>SB42+10000*19</f>
        <v/>
      </c>
      <c r="SD42" s="82">
        <f>SC42</f>
        <v/>
      </c>
      <c r="SE42" s="82">
        <f>SD42+7904*19</f>
        <v/>
      </c>
      <c r="SF42" s="82">
        <f>SE42</f>
        <v/>
      </c>
      <c r="SG42" s="82">
        <f>SF42</f>
        <v/>
      </c>
      <c r="SH42" s="82">
        <f>SG42</f>
        <v/>
      </c>
      <c r="SI42" s="82">
        <f>SH42</f>
        <v/>
      </c>
      <c r="SJ42" s="82">
        <f>SI42</f>
        <v/>
      </c>
      <c r="SK42" s="82">
        <f>SJ42+8000*19</f>
        <v/>
      </c>
      <c r="SL42" s="130" t="n"/>
      <c r="SM42" s="82">
        <f>SK42+12863*19</f>
        <v/>
      </c>
      <c r="SN42" s="82">
        <f>SM42</f>
        <v/>
      </c>
      <c r="SO42" s="82">
        <f>SN42</f>
        <v/>
      </c>
      <c r="SP42" s="82">
        <f>SO42</f>
        <v/>
      </c>
      <c r="SQ42" s="82">
        <f>SP42</f>
        <v/>
      </c>
      <c r="SR42" s="82">
        <f>SQ42+8906*19-1699702</f>
        <v/>
      </c>
      <c r="SS42" s="82">
        <f>SR42+5000*19</f>
        <v/>
      </c>
      <c r="ST42" s="82">
        <f>SS42</f>
        <v/>
      </c>
      <c r="SU42" s="82">
        <f>ST42</f>
        <v/>
      </c>
      <c r="SV42" s="82">
        <f>SU42</f>
        <v/>
      </c>
      <c r="SW42" s="82">
        <f>SV42+12386*19</f>
        <v/>
      </c>
      <c r="SX42" s="82">
        <f>SW42+7916*19</f>
        <v/>
      </c>
      <c r="SY42" s="82">
        <f>SX42</f>
        <v/>
      </c>
      <c r="SZ42" s="82">
        <f>SY42</f>
        <v/>
      </c>
      <c r="TA42" s="82">
        <f>SZ42</f>
        <v/>
      </c>
      <c r="TB42" s="82">
        <f>TA42</f>
        <v/>
      </c>
      <c r="TC42" s="82">
        <f>TB42</f>
        <v/>
      </c>
      <c r="TD42" s="82">
        <f>TC42</f>
        <v/>
      </c>
      <c r="TE42" s="82">
        <f>TD42+10882*19</f>
        <v/>
      </c>
      <c r="TF42" s="82">
        <f>TE42+11886*19</f>
        <v/>
      </c>
      <c r="TG42" s="82">
        <f>TF42</f>
        <v/>
      </c>
      <c r="TH42" s="82">
        <f>TG42</f>
        <v/>
      </c>
      <c r="TI42" s="82">
        <f>TH42</f>
        <v/>
      </c>
      <c r="TJ42" s="82">
        <f>TI42+14802*19</f>
        <v/>
      </c>
      <c r="TK42" s="82">
        <f>TJ42</f>
        <v/>
      </c>
      <c r="TL42" s="82">
        <f>TK42</f>
        <v/>
      </c>
      <c r="TM42" s="82">
        <f>TL42</f>
        <v/>
      </c>
      <c r="TN42" s="82">
        <f>TM42</f>
        <v/>
      </c>
      <c r="TO42" s="82">
        <f>TN42</f>
        <v/>
      </c>
      <c r="TP42" s="82">
        <f>TO42</f>
        <v/>
      </c>
      <c r="TQ42" s="82">
        <f>TP42</f>
        <v/>
      </c>
      <c r="TR42" s="130" t="n"/>
      <c r="TS42" s="82">
        <f>TQ42+10907*19</f>
        <v/>
      </c>
      <c r="TT42" s="82">
        <f>TS42</f>
        <v/>
      </c>
      <c r="TU42" s="82">
        <f>TT42</f>
        <v/>
      </c>
      <c r="TV42" s="82">
        <f>TU42</f>
        <v/>
      </c>
      <c r="TW42" s="82">
        <f>TV42+8871*19</f>
        <v/>
      </c>
      <c r="TX42" s="82">
        <f>TW42</f>
        <v/>
      </c>
      <c r="TY42" s="82">
        <f>TX42-1571015</f>
        <v/>
      </c>
      <c r="TZ42" s="82">
        <f>TY42+10900*19</f>
        <v/>
      </c>
      <c r="UA42" s="82">
        <f>TZ42</f>
        <v/>
      </c>
      <c r="UB42" s="82">
        <f>UA42</f>
        <v/>
      </c>
      <c r="UC42" s="82">
        <f>UB42</f>
        <v/>
      </c>
      <c r="UD42" s="82">
        <f>UC42+8882*19</f>
        <v/>
      </c>
      <c r="UE42" s="82">
        <f>UD42</f>
        <v/>
      </c>
      <c r="UF42" s="82">
        <f>UE42</f>
        <v/>
      </c>
      <c r="UG42" s="82">
        <f>UF42</f>
        <v/>
      </c>
      <c r="UH42" s="82">
        <f>UG42</f>
        <v/>
      </c>
      <c r="UI42" s="82">
        <f>UH42</f>
        <v/>
      </c>
      <c r="UJ42" s="82">
        <f>UI42+9908*19</f>
        <v/>
      </c>
      <c r="UK42" s="82">
        <f>UJ42</f>
        <v/>
      </c>
      <c r="UL42" s="82">
        <f>UK42+9885*19</f>
        <v/>
      </c>
      <c r="UM42" s="82">
        <f>UL42</f>
        <v/>
      </c>
      <c r="UN42" s="82">
        <f>UM42</f>
        <v/>
      </c>
      <c r="UO42" s="82">
        <f>UN42</f>
        <v/>
      </c>
      <c r="UP42" s="82">
        <f>UO42+7913*19</f>
        <v/>
      </c>
      <c r="UQ42" s="82">
        <f>UP42</f>
        <v/>
      </c>
      <c r="UR42" s="82">
        <f>UQ42</f>
        <v/>
      </c>
      <c r="US42" s="82">
        <f>UR42</f>
        <v/>
      </c>
      <c r="UT42" s="82">
        <f>US42</f>
        <v/>
      </c>
      <c r="UU42" s="82">
        <f>UT42+10864*19</f>
        <v/>
      </c>
      <c r="UV42" s="82">
        <f>UU42+10000*19</f>
        <v/>
      </c>
      <c r="UW42" s="82">
        <f>UV42</f>
        <v/>
      </c>
      <c r="UX42" s="130" t="n"/>
      <c r="UY42" s="82">
        <f>UW42</f>
        <v/>
      </c>
      <c r="UZ42" s="82">
        <f>UY42</f>
        <v/>
      </c>
      <c r="VA42" s="82">
        <f>UY42</f>
        <v/>
      </c>
      <c r="VB42" s="82">
        <f>UZ42+2979*19+12977*19</f>
        <v/>
      </c>
      <c r="VC42" s="82">
        <f>VB42</f>
        <v/>
      </c>
      <c r="VD42" s="82">
        <f>VB42+4964*19</f>
        <v/>
      </c>
      <c r="VE42" s="82">
        <f>VD42-1467237</f>
        <v/>
      </c>
      <c r="VF42" s="82">
        <f>VE42</f>
        <v/>
      </c>
      <c r="VG42" s="82">
        <f>VE42</f>
        <v/>
      </c>
      <c r="VH42" s="82">
        <f>VF42</f>
        <v/>
      </c>
      <c r="VI42" s="82">
        <f>VG42+12854*19+4976*19+2986*19</f>
        <v/>
      </c>
      <c r="VJ42" s="82">
        <f>VI42</f>
        <v/>
      </c>
      <c r="VK42" s="82">
        <f>VI42</f>
        <v/>
      </c>
      <c r="VL42" s="82">
        <f>VJ42</f>
        <v/>
      </c>
      <c r="VM42" s="82">
        <f>VK42+7907*19</f>
        <v/>
      </c>
      <c r="VN42" s="82">
        <f>VM42</f>
        <v/>
      </c>
      <c r="VO42" s="82">
        <f>VM42</f>
        <v/>
      </c>
      <c r="VP42" s="82">
        <f>VN42</f>
        <v/>
      </c>
      <c r="VQ42" s="82">
        <f>VO42+6926*19+7944*19</f>
        <v/>
      </c>
      <c r="VR42" s="82">
        <f>VQ42</f>
        <v/>
      </c>
      <c r="VS42" s="82">
        <f>VQ42</f>
        <v/>
      </c>
      <c r="VT42" s="82">
        <f>VR42+6926*19</f>
        <v/>
      </c>
      <c r="VU42" s="82">
        <f>VT42</f>
        <v/>
      </c>
      <c r="VV42" s="82">
        <f>VT42</f>
        <v/>
      </c>
      <c r="VW42" s="82">
        <f>VU42</f>
        <v/>
      </c>
      <c r="VX42" s="82">
        <f>VV42</f>
        <v/>
      </c>
      <c r="VY42" s="82">
        <f>VW42+11856*19</f>
        <v/>
      </c>
      <c r="VZ42" s="82">
        <f>VY42</f>
        <v/>
      </c>
      <c r="WA42" s="133" t="n"/>
      <c r="WB42" s="82">
        <f>VZ42</f>
        <v/>
      </c>
      <c r="WC42" s="82">
        <f>WB42</f>
        <v/>
      </c>
      <c r="WD42" s="82">
        <f>WB42</f>
        <v/>
      </c>
      <c r="WE42" s="82">
        <f>WC42</f>
        <v/>
      </c>
      <c r="WF42" s="82">
        <f>WD42</f>
        <v/>
      </c>
      <c r="WG42" s="82">
        <f>WE42</f>
        <v/>
      </c>
      <c r="WH42" s="82">
        <f>WF42+15787*19+3970*19+3971*19</f>
        <v/>
      </c>
      <c r="WI42" s="82">
        <f>WH42</f>
        <v/>
      </c>
      <c r="WJ42" s="82">
        <f>WH42-1582605</f>
        <v/>
      </c>
      <c r="WK42" s="82">
        <f>WJ42</f>
        <v/>
      </c>
      <c r="WL42" s="82">
        <f>WJ42+7947*19</f>
        <v/>
      </c>
      <c r="WM42" s="82">
        <f>WL42</f>
        <v/>
      </c>
      <c r="WN42" s="82">
        <f>WL42</f>
        <v/>
      </c>
      <c r="WO42" s="82">
        <f>WM42</f>
        <v/>
      </c>
      <c r="WP42" s="82">
        <f>WN42</f>
        <v/>
      </c>
      <c r="WQ42" s="82">
        <f>WO42+14838*19</f>
        <v/>
      </c>
      <c r="WR42" s="82">
        <f>WQ42</f>
        <v/>
      </c>
      <c r="WS42" s="82">
        <f>WQ42</f>
        <v/>
      </c>
      <c r="WT42" s="82">
        <f>WR42</f>
        <v/>
      </c>
      <c r="WU42" s="82">
        <f>WS42</f>
        <v/>
      </c>
      <c r="WV42" s="82">
        <f>WT42+8000*19</f>
        <v/>
      </c>
      <c r="WW42" s="82">
        <f>WV42</f>
        <v/>
      </c>
      <c r="WX42" s="82">
        <f>WV42</f>
        <v/>
      </c>
      <c r="WY42" s="82">
        <f>WW42</f>
        <v/>
      </c>
      <c r="WZ42" s="82">
        <f>WX42+8000*19</f>
        <v/>
      </c>
      <c r="XA42" s="82">
        <f>WZ42+11873*19</f>
        <v/>
      </c>
      <c r="XB42" s="82">
        <f>XA42</f>
        <v/>
      </c>
      <c r="XC42" s="82">
        <f>XA42</f>
        <v/>
      </c>
      <c r="XD42" s="82">
        <f>XB42</f>
        <v/>
      </c>
      <c r="XE42" s="82">
        <f>XC42</f>
        <v/>
      </c>
      <c r="XF42" s="82">
        <f>XD42+13867*19</f>
        <v/>
      </c>
      <c r="XG42" s="133" t="n"/>
      <c r="XH42" s="82">
        <f>XF42+7998*19</f>
        <v/>
      </c>
      <c r="XI42" s="82">
        <f>XH42</f>
        <v/>
      </c>
      <c r="XJ42" s="82">
        <f>XI42</f>
        <v/>
      </c>
      <c r="XK42" s="82">
        <f>XJ42</f>
        <v/>
      </c>
      <c r="XL42" s="82">
        <f>XK42</f>
        <v/>
      </c>
      <c r="XM42" s="82">
        <f>XL42</f>
        <v/>
      </c>
      <c r="XN42" s="82">
        <f>XM42</f>
        <v/>
      </c>
      <c r="XO42" s="82">
        <f>XN42</f>
        <v/>
      </c>
      <c r="XP42" s="82">
        <f>XO42+14000*19-1828700</f>
        <v/>
      </c>
      <c r="XQ42" s="82">
        <f>XP42</f>
        <v/>
      </c>
      <c r="XR42" s="82">
        <f>XQ42+7000*19</f>
        <v/>
      </c>
      <c r="XS42" s="82">
        <f>XR42</f>
        <v/>
      </c>
      <c r="XT42" s="82">
        <f>XS42</f>
        <v/>
      </c>
      <c r="XU42" s="82">
        <f>XT42</f>
        <v/>
      </c>
      <c r="XV42" s="82">
        <f>XU42+7904*19</f>
        <v/>
      </c>
      <c r="XW42" s="82">
        <f>XV42</f>
        <v/>
      </c>
      <c r="XX42" s="82">
        <f>XW42</f>
        <v/>
      </c>
      <c r="XY42" s="82">
        <f>XX42+7899*19</f>
        <v/>
      </c>
      <c r="XZ42" s="82">
        <f>XY42+7000*19</f>
        <v/>
      </c>
      <c r="YA42" s="82">
        <f>XZ42</f>
        <v/>
      </c>
      <c r="YB42" s="82">
        <f>YA42</f>
        <v/>
      </c>
      <c r="YC42" s="82">
        <f>YB42</f>
        <v/>
      </c>
      <c r="YD42" s="82">
        <f>YC42+7910*19</f>
        <v/>
      </c>
      <c r="YE42" s="82">
        <f>YD42</f>
        <v/>
      </c>
      <c r="YF42" s="82">
        <f>YE42+9942*19</f>
        <v/>
      </c>
      <c r="YG42" s="82">
        <f>YF42</f>
        <v/>
      </c>
      <c r="YH42" s="82">
        <f>YG42</f>
        <v/>
      </c>
      <c r="YI42" s="82">
        <f>YH42</f>
        <v/>
      </c>
      <c r="YJ42" s="82">
        <f>YI42+8957*19</f>
        <v/>
      </c>
      <c r="YK42" s="82">
        <f>YJ42</f>
        <v/>
      </c>
      <c r="YL42" s="130" t="n"/>
      <c r="YM42" s="82">
        <f>YK42</f>
        <v/>
      </c>
      <c r="YN42" s="82">
        <f>YM42</f>
        <v/>
      </c>
      <c r="YO42" s="82">
        <f>YN42</f>
        <v/>
      </c>
      <c r="YP42" s="82">
        <f>YO42</f>
        <v/>
      </c>
      <c r="YQ42" s="82">
        <f>YP42</f>
        <v/>
      </c>
      <c r="YR42" s="82">
        <f>YQ42</f>
        <v/>
      </c>
      <c r="YS42" s="82">
        <f>YR42</f>
        <v/>
      </c>
      <c r="YT42" s="82">
        <f>YS42</f>
        <v/>
      </c>
      <c r="YU42" s="82">
        <f>YT42+7000*19+8000*19</f>
        <v/>
      </c>
      <c r="YV42" s="82">
        <f>YU42</f>
        <v/>
      </c>
      <c r="YW42" s="82">
        <f>YV42+7000*19-1341697</f>
        <v/>
      </c>
      <c r="YX42" s="82">
        <f>YW42+9914*19</f>
        <v/>
      </c>
      <c r="YY42" s="82">
        <f>YX42</f>
        <v/>
      </c>
      <c r="YZ42" s="82">
        <f>YY42</f>
        <v/>
      </c>
      <c r="ZA42" s="82">
        <f>YZ42</f>
        <v/>
      </c>
      <c r="ZB42" s="82">
        <f>ZA42+12881*19</f>
        <v/>
      </c>
      <c r="ZC42" s="82">
        <f>ZB42</f>
        <v/>
      </c>
      <c r="ZD42" s="82">
        <f>ZC42</f>
        <v/>
      </c>
      <c r="ZE42" s="82">
        <f>ZD42</f>
        <v/>
      </c>
      <c r="ZF42" s="82">
        <f>ZE42</f>
        <v/>
      </c>
      <c r="ZG42" s="82">
        <f>ZF42</f>
        <v/>
      </c>
      <c r="ZH42" s="82">
        <f>ZG42+6938*19</f>
        <v/>
      </c>
      <c r="ZI42" s="82">
        <f>ZH42+6000*19</f>
        <v/>
      </c>
      <c r="ZJ42" s="82">
        <f>ZI42</f>
        <v/>
      </c>
      <c r="ZK42" s="82">
        <f>ZJ42</f>
        <v/>
      </c>
      <c r="ZL42" s="82">
        <f>ZK42</f>
        <v/>
      </c>
      <c r="ZM42" s="82">
        <f>ZL42+12894*19</f>
        <v/>
      </c>
      <c r="ZN42" s="82">
        <f>ZM42+9500*19</f>
        <v/>
      </c>
      <c r="ZO42" s="82">
        <f>ZN42+7921*19</f>
        <v/>
      </c>
      <c r="ZP42" s="82">
        <f>ZO42</f>
        <v/>
      </c>
      <c r="ZQ42" s="82">
        <f>ZP42</f>
        <v/>
      </c>
      <c r="ZR42" s="130" t="n"/>
      <c r="ZS42" s="82">
        <f>ZQ42</f>
        <v/>
      </c>
      <c r="ZT42" s="82">
        <f>ZS42</f>
        <v/>
      </c>
      <c r="ZU42" s="82" t="n">
        <v>0</v>
      </c>
      <c r="ZV42" s="82">
        <f>ZU42</f>
        <v/>
      </c>
      <c r="ZW42" s="82">
        <f>10000*19</f>
        <v/>
      </c>
      <c r="ZX42" s="82">
        <f>ZW42+12855*19</f>
        <v/>
      </c>
      <c r="ZY42" s="82">
        <f>ZX42</f>
        <v/>
      </c>
      <c r="ZZ42" s="82">
        <f>ZY42</f>
        <v/>
      </c>
      <c r="AAA42" s="82">
        <f>ZZ42</f>
        <v/>
      </c>
      <c r="AAB42" s="82">
        <f>AAA42</f>
        <v/>
      </c>
      <c r="AAC42" s="82">
        <f>AAB42</f>
        <v/>
      </c>
      <c r="AAD42" s="82">
        <f>AAC42+12877*19</f>
        <v/>
      </c>
      <c r="AAE42" s="82">
        <f>AAD42</f>
        <v/>
      </c>
      <c r="AAF42" s="82">
        <f>AAE42</f>
        <v/>
      </c>
      <c r="AAG42" s="82">
        <f>AAF42</f>
        <v/>
      </c>
      <c r="AAH42" s="82">
        <f>AAG42</f>
        <v/>
      </c>
      <c r="AAI42" s="82">
        <f>AAH42+9941*19</f>
        <v/>
      </c>
      <c r="AAJ42" s="82">
        <f>AAI42+11933*19</f>
        <v/>
      </c>
      <c r="AAK42" s="82">
        <f>AAJ42</f>
        <v/>
      </c>
      <c r="AAL42" s="82">
        <f>AAK42</f>
        <v/>
      </c>
      <c r="AAM42" s="82">
        <f>AAL42</f>
        <v/>
      </c>
      <c r="AAN42" s="82">
        <f>AAM42</f>
        <v/>
      </c>
      <c r="AAO42" s="82">
        <f>AAN42</f>
        <v/>
      </c>
      <c r="AAP42" s="82">
        <f>AAO42+12882*19</f>
        <v/>
      </c>
      <c r="AAQ42" s="82">
        <f>AAP42</f>
        <v/>
      </c>
      <c r="AAR42" s="82">
        <f>AAQ42+9932*19</f>
        <v/>
      </c>
      <c r="AAS42" s="82">
        <f>AAR42</f>
        <v/>
      </c>
      <c r="AAT42" s="82">
        <f>AAS42</f>
        <v/>
      </c>
      <c r="AAU42" s="82">
        <f>AAT42</f>
        <v/>
      </c>
      <c r="AAV42" s="82">
        <f>AAU42</f>
        <v/>
      </c>
      <c r="AAW42" s="130" t="n"/>
      <c r="AAX42" s="82">
        <f>AAV42+12408*19</f>
        <v/>
      </c>
      <c r="AAY42" s="82">
        <f>AAX42</f>
        <v/>
      </c>
      <c r="AAZ42" s="82">
        <f>AAY42</f>
        <v/>
      </c>
      <c r="ABA42" s="82">
        <f>AAZ42</f>
        <v/>
      </c>
      <c r="ABB42" s="82">
        <f>ABA42+8000*19</f>
        <v/>
      </c>
      <c r="ABC42" s="82">
        <f>ABB42</f>
        <v/>
      </c>
      <c r="ABD42" s="82">
        <f>ABC42</f>
        <v/>
      </c>
      <c r="ABE42" s="82">
        <f>ABD42+11887*19</f>
        <v/>
      </c>
      <c r="ABF42" s="82">
        <f>ABE42</f>
        <v/>
      </c>
      <c r="ABG42" s="82">
        <f>ABF42+6000*19</f>
        <v/>
      </c>
      <c r="ABH42" s="82">
        <f>ABG42</f>
        <v/>
      </c>
      <c r="ABI42" s="82">
        <f>ABH42</f>
        <v/>
      </c>
      <c r="ABJ42" s="82">
        <f>ABI42</f>
        <v/>
      </c>
      <c r="ABK42" s="82">
        <f>ABJ42</f>
        <v/>
      </c>
      <c r="ABL42" s="82">
        <f>ABK42</f>
        <v/>
      </c>
      <c r="ABM42" s="82">
        <f>ABL42+14901*19</f>
        <v/>
      </c>
      <c r="ABN42" s="82">
        <f>ABM42-1763732</f>
        <v/>
      </c>
      <c r="ABO42" s="82">
        <f>ABN42</f>
        <v/>
      </c>
      <c r="ABP42" s="82">
        <f>ABO42+8000*19</f>
        <v/>
      </c>
      <c r="ABQ42" s="82">
        <f>ABP42+8000*19+1963*19</f>
        <v/>
      </c>
      <c r="ABR42" s="82">
        <f>ABQ42</f>
        <v/>
      </c>
      <c r="ABS42" s="82">
        <f>ABR42</f>
        <v/>
      </c>
      <c r="ABT42" s="82">
        <f>ABS42</f>
        <v/>
      </c>
      <c r="ABU42" s="82">
        <f>ABT42</f>
        <v/>
      </c>
      <c r="ABV42" s="82">
        <f>ABU42+12350*19</f>
        <v/>
      </c>
      <c r="ABW42" s="82">
        <f>ABV42</f>
        <v/>
      </c>
      <c r="ABX42" s="82">
        <f>ABW42</f>
        <v/>
      </c>
      <c r="ABY42" s="82">
        <f>ABX42</f>
        <v/>
      </c>
      <c r="ABZ42" s="82">
        <f>ABY42+7933*19</f>
        <v/>
      </c>
      <c r="ACA42" s="82">
        <f>ABZ42+11904*19</f>
        <v/>
      </c>
      <c r="ACB42" s="82">
        <f>ACA42</f>
        <v/>
      </c>
      <c r="ACC42" s="130" t="n"/>
      <c r="ACD42" s="82">
        <f>ACB42</f>
        <v/>
      </c>
      <c r="ACE42" s="82">
        <f>ACD42</f>
        <v/>
      </c>
      <c r="ACF42" s="82">
        <f>ACE42</f>
        <v/>
      </c>
      <c r="ACG42" s="82">
        <f>ACF42</f>
        <v/>
      </c>
      <c r="ACH42" s="82">
        <f>ACG42</f>
        <v/>
      </c>
      <c r="ACI42" s="82">
        <f>ACH42+12983*19-1727822</f>
        <v/>
      </c>
      <c r="ACJ42" s="82">
        <f>ACI42</f>
        <v/>
      </c>
      <c r="ACK42" s="82">
        <f>ACJ42</f>
        <v/>
      </c>
      <c r="ACL42" s="82">
        <f>ACK42+7943*19</f>
        <v/>
      </c>
      <c r="ACM42" s="82">
        <f>ACL42</f>
        <v/>
      </c>
      <c r="ACN42" s="82">
        <f>ACM42</f>
        <v/>
      </c>
      <c r="ACO42" s="82">
        <f>ACN42</f>
        <v/>
      </c>
      <c r="ACP42" s="82">
        <f>ACO42+16978*19</f>
        <v/>
      </c>
      <c r="ACQ42" s="82">
        <f>ACP42</f>
        <v/>
      </c>
      <c r="ACR42" s="82">
        <f>ACQ42</f>
        <v/>
      </c>
      <c r="ACS42" s="82">
        <f>ACR42</f>
        <v/>
      </c>
      <c r="ACT42" s="82">
        <f>ACS42</f>
        <v/>
      </c>
      <c r="ACU42" s="82">
        <f>ACT42</f>
        <v/>
      </c>
      <c r="ACV42" s="82">
        <f>ACU42+10380*19</f>
        <v/>
      </c>
      <c r="ACW42" s="82">
        <f>ACV42</f>
        <v/>
      </c>
      <c r="ACX42" s="82">
        <f>ACW42</f>
        <v/>
      </c>
      <c r="ACY42" s="82">
        <f>ACX42+9927*19</f>
        <v/>
      </c>
      <c r="ACZ42" s="82">
        <f>ACY42</f>
        <v/>
      </c>
      <c r="ADA42" s="82">
        <f>ACZ42</f>
        <v/>
      </c>
      <c r="ADB42" s="82">
        <f>ADA42+8946*19</f>
        <v/>
      </c>
      <c r="ADC42" s="82">
        <f>ADB42+9931*19</f>
        <v/>
      </c>
      <c r="ADD42" s="82">
        <f>ADC42</f>
        <v/>
      </c>
      <c r="ADE42" s="82">
        <f>ADD42</f>
        <v/>
      </c>
      <c r="ADF42" s="82">
        <f>ADE42</f>
        <v/>
      </c>
      <c r="ADG42" s="82">
        <f>ADF42+7910*19</f>
        <v/>
      </c>
      <c r="ADH42" s="82">
        <f>ADG42</f>
        <v/>
      </c>
      <c r="ADI42" s="130" t="n"/>
      <c r="ADJ42" s="82">
        <f>ADH42</f>
        <v/>
      </c>
      <c r="ADK42" s="82">
        <f>ADJ42</f>
        <v/>
      </c>
      <c r="ADL42" s="82">
        <f>ADK42</f>
        <v/>
      </c>
      <c r="ADM42" s="82">
        <f>ADL42</f>
        <v/>
      </c>
      <c r="ADN42" s="82">
        <f>ADM42+11865*19</f>
        <v/>
      </c>
      <c r="ADO42" s="82">
        <f>ADN42+8000*19</f>
        <v/>
      </c>
      <c r="ADP42" s="82">
        <f>ADO42</f>
        <v/>
      </c>
      <c r="ADQ42" s="82">
        <f>ADP42</f>
        <v/>
      </c>
      <c r="ADR42" s="82">
        <f>ADQ42</f>
        <v/>
      </c>
      <c r="ADS42" s="82">
        <f>ADR42</f>
        <v/>
      </c>
      <c r="ADT42" s="82">
        <f>ADS42</f>
        <v/>
      </c>
      <c r="ADU42" s="82">
        <f>ADT42+12870*19</f>
        <v/>
      </c>
      <c r="ADV42" s="82">
        <f>ADU42</f>
        <v/>
      </c>
      <c r="ADW42" s="82">
        <f>ADV42-1614962</f>
        <v/>
      </c>
      <c r="ADX42" s="82">
        <f>ADW42</f>
        <v/>
      </c>
      <c r="ADY42" s="82">
        <f>ADX42+7968*19</f>
        <v/>
      </c>
      <c r="ADZ42" s="82">
        <f>ADY42</f>
        <v/>
      </c>
      <c r="AEA42" s="82">
        <f>ADZ42</f>
        <v/>
      </c>
      <c r="AEB42" s="82">
        <f>AEA42</f>
        <v/>
      </c>
      <c r="AEC42" s="82">
        <f>AEB42+10908*19</f>
        <v/>
      </c>
      <c r="AED42" s="82">
        <f>AEC42</f>
        <v/>
      </c>
      <c r="AEE42" s="82">
        <f>AED42</f>
        <v/>
      </c>
      <c r="AEF42" s="82">
        <f>AEE42</f>
        <v/>
      </c>
      <c r="AEG42" s="82">
        <f>AEF42</f>
        <v/>
      </c>
      <c r="AEH42" s="82">
        <f>AEG42</f>
        <v/>
      </c>
      <c r="AEI42" s="82">
        <f>AEH42+8000*19</f>
        <v/>
      </c>
      <c r="AEJ42" s="82">
        <f>AEI42+7973*19</f>
        <v/>
      </c>
      <c r="AEK42" s="82">
        <f>AEJ42</f>
        <v/>
      </c>
      <c r="AEL42" s="82">
        <f>AEK42</f>
        <v/>
      </c>
      <c r="AEM42" s="82">
        <f>AEL42+8914*19</f>
        <v/>
      </c>
      <c r="AEN42" s="130" t="n"/>
      <c r="AEO42" s="82">
        <f>AEM42</f>
        <v/>
      </c>
      <c r="AEP42" s="82">
        <f>AEO42</f>
        <v/>
      </c>
      <c r="AEQ42" s="82">
        <f>AEP42+4973*19</f>
        <v/>
      </c>
      <c r="AER42" s="82">
        <f>AEQ42</f>
        <v/>
      </c>
      <c r="AES42" s="82">
        <f>AER42</f>
        <v/>
      </c>
      <c r="AET42" s="82">
        <f>AES42</f>
        <v/>
      </c>
      <c r="AEU42" s="82">
        <f>AET42-1453462</f>
        <v/>
      </c>
      <c r="AEV42" s="82">
        <f>AEU42+7896*19</f>
        <v/>
      </c>
      <c r="AEW42" s="82">
        <f>AEV42</f>
        <v/>
      </c>
      <c r="AEX42" s="82">
        <f>AEW42</f>
        <v/>
      </c>
      <c r="AEY42" s="82">
        <f>AEX42+7950*19</f>
        <v/>
      </c>
      <c r="AEZ42" s="82">
        <f>AEY42</f>
        <v/>
      </c>
      <c r="AFA42" s="82">
        <f>AEZ42</f>
        <v/>
      </c>
      <c r="AFB42" s="82">
        <f>AFA42+12891*19</f>
        <v/>
      </c>
      <c r="AFC42" s="82">
        <f>AFB42</f>
        <v/>
      </c>
      <c r="AFD42" s="82">
        <f>AFC42</f>
        <v/>
      </c>
      <c r="AFE42" s="82">
        <f>AFD42+7954*19</f>
        <v/>
      </c>
      <c r="AFF42" s="82">
        <f>AFE42+7914*19</f>
        <v/>
      </c>
      <c r="AFG42" s="82">
        <f>AFF42</f>
        <v/>
      </c>
      <c r="AFH42" s="82">
        <f>AFG42</f>
        <v/>
      </c>
      <c r="AFI42" s="82">
        <f>AFH42</f>
        <v/>
      </c>
      <c r="AFJ42" s="82">
        <f>AFI42</f>
        <v/>
      </c>
      <c r="AFK42" s="82">
        <f>AFJ42</f>
        <v/>
      </c>
      <c r="AFL42" s="82">
        <f>AFK42+8000*19</f>
        <v/>
      </c>
      <c r="AFM42" s="82">
        <f>AFL42</f>
        <v/>
      </c>
      <c r="AFN42" s="82">
        <f>AFM42</f>
        <v/>
      </c>
      <c r="AFO42" s="82">
        <f>AFN42</f>
        <v/>
      </c>
      <c r="AFP42" s="82">
        <f>AFO42</f>
        <v/>
      </c>
      <c r="AFQ42" s="82">
        <f>AFP42</f>
        <v/>
      </c>
      <c r="AFR42" s="82">
        <f>AFQ42</f>
        <v/>
      </c>
      <c r="AFS42" s="82">
        <f>AFR42</f>
        <v/>
      </c>
      <c r="AFT42" s="130" t="n"/>
      <c r="AFU42" s="82">
        <f>AFS42+12932*19+11846*19</f>
        <v/>
      </c>
      <c r="AFV42" s="82">
        <f>AFU42</f>
        <v/>
      </c>
      <c r="AFW42" s="82">
        <f>AFV42</f>
        <v/>
      </c>
      <c r="AFX42" s="82">
        <f>AFW42</f>
        <v/>
      </c>
      <c r="AFY42" s="82">
        <f>AFX42</f>
        <v/>
      </c>
      <c r="AFZ42" s="82">
        <f>AFY42+9915*19</f>
        <v/>
      </c>
      <c r="AGA42" s="82">
        <f>AFZ42</f>
        <v/>
      </c>
      <c r="AGB42" s="82">
        <f>AGA42</f>
        <v/>
      </c>
      <c r="AGC42" s="82">
        <f>AGB42</f>
        <v/>
      </c>
      <c r="AGD42" s="82">
        <f>9915*19</f>
        <v/>
      </c>
      <c r="AGE42" s="82">
        <f>AGD42</f>
        <v/>
      </c>
      <c r="AGF42" s="82">
        <f>AGE42+12839*19</f>
        <v/>
      </c>
      <c r="AGG42" s="82">
        <f>AGF42</f>
        <v/>
      </c>
      <c r="AGH42" s="82">
        <f>AGG42+7943*19</f>
        <v/>
      </c>
      <c r="AGI42" s="82">
        <f>AGH42</f>
        <v/>
      </c>
      <c r="AGJ42" s="82">
        <f>AGI42</f>
        <v/>
      </c>
      <c r="AGK42" s="82">
        <f>AGJ42</f>
        <v/>
      </c>
      <c r="AGL42" s="82">
        <f>AGK42</f>
        <v/>
      </c>
      <c r="AGM42" s="82">
        <f>AGL42</f>
        <v/>
      </c>
      <c r="AGN42" s="82">
        <f>AGM42</f>
        <v/>
      </c>
      <c r="AGO42" s="82">
        <f>AGN42+12802*19</f>
        <v/>
      </c>
      <c r="AGP42" s="82">
        <f>AGO42</f>
        <v/>
      </c>
      <c r="AGQ42" s="82">
        <f>AGP42+4966*19</f>
        <v/>
      </c>
      <c r="AGR42" s="82">
        <f>AGQ42</f>
        <v/>
      </c>
      <c r="AGS42" s="82">
        <f>AGR42</f>
        <v/>
      </c>
      <c r="AGT42" s="82">
        <f>AGS42+8852*19</f>
        <v/>
      </c>
      <c r="AGU42" s="82">
        <f>AGT42</f>
        <v/>
      </c>
      <c r="AGV42" s="82">
        <f>AGU42</f>
        <v/>
      </c>
      <c r="AGW42" s="82">
        <f>AGV42+6952*19</f>
        <v/>
      </c>
      <c r="AGX42" s="82">
        <f>AGW42</f>
        <v/>
      </c>
      <c r="AGY42" s="133" t="n"/>
      <c r="AGZ42" s="82">
        <f>AGX42</f>
        <v/>
      </c>
      <c r="AHA42" s="82">
        <f>AGZ42</f>
        <v/>
      </c>
      <c r="AHB42" s="82">
        <f>AHA42+12798*19</f>
        <v/>
      </c>
      <c r="AHC42" s="82">
        <f>AHB42</f>
        <v/>
      </c>
      <c r="AHD42" s="82">
        <f>AHC42</f>
        <v/>
      </c>
      <c r="AHE42" s="82">
        <f>AHD42+7941*19</f>
        <v/>
      </c>
      <c r="AHF42" s="82">
        <f>AHE42</f>
        <v/>
      </c>
      <c r="AHG42" s="82">
        <f>AHF42</f>
        <v/>
      </c>
      <c r="AHH42" s="82">
        <f>AHG42</f>
        <v/>
      </c>
      <c r="AHI42" s="82">
        <f>AHH42</f>
        <v/>
      </c>
      <c r="AHJ42" s="82">
        <f>AHI42+8000*19+12802*19</f>
        <v/>
      </c>
      <c r="AHK42" s="82">
        <f>AHJ42-1221111</f>
        <v/>
      </c>
      <c r="AHL42" s="82">
        <f>AHK42</f>
        <v/>
      </c>
      <c r="AHM42" s="82">
        <f>AHL42</f>
        <v/>
      </c>
      <c r="AHN42" s="82">
        <f>AHM42</f>
        <v/>
      </c>
      <c r="AHO42" s="82">
        <f>AHN42</f>
        <v/>
      </c>
      <c r="AHP42" s="82">
        <f>AHO42+13926*19</f>
        <v/>
      </c>
      <c r="AHQ42" s="82">
        <f>AHP42</f>
        <v/>
      </c>
      <c r="AHR42" s="82">
        <f>AHQ42</f>
        <v/>
      </c>
      <c r="AHS42" s="82">
        <f>AHR42</f>
        <v/>
      </c>
      <c r="AHT42" s="82">
        <f>AHS42</f>
        <v/>
      </c>
      <c r="AHU42" s="82">
        <f>AHT42</f>
        <v/>
      </c>
      <c r="AHV42" s="82">
        <f>AHU42</f>
        <v/>
      </c>
      <c r="AHW42" s="82">
        <f>AHV42+7951*19+13843*19</f>
        <v/>
      </c>
      <c r="AHX42" s="82">
        <f>AHW42</f>
        <v/>
      </c>
      <c r="AHY42" s="82">
        <f>AHX42</f>
        <v/>
      </c>
      <c r="AHZ42" s="82">
        <f>AHY42</f>
        <v/>
      </c>
      <c r="AIA42" s="82">
        <f>AHZ42</f>
        <v/>
      </c>
      <c r="AIB42" s="82">
        <f>AIA42</f>
        <v/>
      </c>
      <c r="AIC42" s="82">
        <f>AIB42</f>
        <v/>
      </c>
      <c r="AID42" s="82">
        <f>AIC42+4984*19+2988*19+4973*19</f>
        <v/>
      </c>
      <c r="AIE42" s="130" t="n"/>
      <c r="AIF42" s="82">
        <f>AID42</f>
        <v/>
      </c>
      <c r="AIG42" s="82">
        <f>AIF42</f>
        <v/>
      </c>
      <c r="AIH42" s="82">
        <f>AIG42</f>
        <v/>
      </c>
      <c r="AII42" s="82">
        <f>AIH42+2982*19</f>
        <v/>
      </c>
      <c r="AIJ42" s="82">
        <f>AII42</f>
        <v/>
      </c>
      <c r="AIK42" s="82">
        <f>AIJ42+9927*19</f>
        <v/>
      </c>
      <c r="AIL42" s="82">
        <f>AIK42</f>
        <v/>
      </c>
      <c r="AIM42" s="82">
        <f>AIL42</f>
        <v/>
      </c>
      <c r="AIN42" s="82">
        <f>AIM42+8420*19</f>
        <v/>
      </c>
      <c r="AIO42" s="82">
        <f>AIN42</f>
        <v/>
      </c>
      <c r="AIP42" s="82">
        <f>AIO42</f>
        <v/>
      </c>
      <c r="AIQ42" s="82">
        <f>AIP42</f>
        <v/>
      </c>
      <c r="AIR42" s="82">
        <f>AIQ42+4969*19</f>
        <v/>
      </c>
      <c r="AIS42" s="82">
        <f>AIR42</f>
        <v/>
      </c>
      <c r="AIT42" s="82">
        <f>AIS42</f>
        <v/>
      </c>
      <c r="AIU42" s="82">
        <f>AIT42</f>
        <v/>
      </c>
      <c r="AIV42" s="82">
        <f>AIU42</f>
        <v/>
      </c>
      <c r="AIW42" s="82">
        <f>AIV42</f>
        <v/>
      </c>
      <c r="AIX42" s="82">
        <f>AIW42+4942*19-1713914</f>
        <v/>
      </c>
      <c r="AIY42" s="82">
        <f>AIX42</f>
        <v/>
      </c>
      <c r="AIZ42" s="82">
        <f>AIY42</f>
        <v/>
      </c>
      <c r="AJA42" s="82">
        <f>AIZ42+10864*19</f>
        <v/>
      </c>
      <c r="AJB42" s="82">
        <f>AJA42+9927*19</f>
        <v/>
      </c>
      <c r="AJC42" s="82">
        <f>AJB42</f>
        <v/>
      </c>
      <c r="AJD42" s="82">
        <f>AJC42+5000*19</f>
        <v/>
      </c>
      <c r="AJE42" s="82">
        <f>AJD42</f>
        <v/>
      </c>
      <c r="AJF42" s="82">
        <f>AJE42</f>
        <v/>
      </c>
      <c r="AJG42" s="82">
        <f>AJF42</f>
        <v/>
      </c>
      <c r="AJH42" s="82">
        <f>AJG42</f>
        <v/>
      </c>
      <c r="AJI42" s="82">
        <f>AJH42+6933*19+9395*19</f>
        <v/>
      </c>
      <c r="AJJ42" s="82">
        <f>AJI42</f>
        <v/>
      </c>
      <c r="AJK42" s="145" t="n"/>
      <c r="AJL42" s="82">
        <f>AJJ42</f>
        <v/>
      </c>
      <c r="AJM42" s="82">
        <f>AJL42</f>
        <v/>
      </c>
      <c r="AJN42" s="82">
        <f>AJM42</f>
        <v/>
      </c>
      <c r="AJO42" s="82">
        <f>AJN42</f>
        <v/>
      </c>
      <c r="AJP42" s="82">
        <f>AJO42</f>
        <v/>
      </c>
      <c r="AJQ42" s="82">
        <f>AJP42+8913*19</f>
        <v/>
      </c>
      <c r="AJR42" s="82">
        <f>AJQ42+7969*19</f>
        <v/>
      </c>
      <c r="AJS42" s="82">
        <f>AJR42</f>
        <v/>
      </c>
      <c r="AJT42" s="82">
        <f>AJS42</f>
        <v/>
      </c>
      <c r="AJU42" s="82">
        <f>AJT42</f>
        <v/>
      </c>
      <c r="AJV42" s="82">
        <f>AJU42</f>
        <v/>
      </c>
      <c r="AJW42" s="82">
        <f>AJV42+4974*19</f>
        <v/>
      </c>
      <c r="AJX42" s="82">
        <f>AJW42</f>
        <v/>
      </c>
      <c r="AJY42" s="82">
        <f>AJX42+11924*19</f>
        <v/>
      </c>
      <c r="AJZ42" s="82">
        <f>AJY42</f>
        <v/>
      </c>
      <c r="AKA42" s="82">
        <f>AJZ42</f>
        <v/>
      </c>
      <c r="AKB42" s="82">
        <f>AKA42</f>
        <v/>
      </c>
      <c r="AKC42" s="82">
        <f>AKB42</f>
        <v/>
      </c>
      <c r="AKD42" s="82">
        <f>AKC42+7459*19+7907*19</f>
        <v/>
      </c>
      <c r="AKE42" s="82">
        <f>AKD42</f>
        <v/>
      </c>
      <c r="AKF42" s="82">
        <f>AKE42</f>
        <v/>
      </c>
      <c r="AKG42" s="82">
        <f>AKF42</f>
        <v/>
      </c>
      <c r="AKH42" s="82">
        <f>AKG42</f>
        <v/>
      </c>
      <c r="AKI42" s="82">
        <f>AKH42</f>
        <v/>
      </c>
      <c r="AKJ42" s="82">
        <f>AKI42</f>
        <v/>
      </c>
      <c r="AKK42" s="82">
        <f>AKJ42+4977*19</f>
        <v/>
      </c>
      <c r="AKL42" s="82">
        <f>AKK42-1393821</f>
        <v/>
      </c>
      <c r="AKM42" s="82">
        <f>AKL42+12868*19</f>
        <v/>
      </c>
      <c r="AKN42" s="112" t="n"/>
      <c r="AKO42" s="82">
        <f>AKM42</f>
        <v/>
      </c>
      <c r="AKP42" s="82">
        <f>AKO42</f>
        <v/>
      </c>
      <c r="AKQ42" s="82">
        <f>AKP42</f>
        <v/>
      </c>
      <c r="AKR42" s="82">
        <f>AKQ42</f>
        <v/>
      </c>
      <c r="AKS42" s="82">
        <f>AKR42</f>
        <v/>
      </c>
      <c r="AKT42" s="82">
        <f>AKS42</f>
        <v/>
      </c>
      <c r="AKU42" s="82">
        <f>AKT42+5980*19+10962*19</f>
        <v/>
      </c>
      <c r="AKV42" s="82">
        <f>AKU42</f>
        <v/>
      </c>
      <c r="AKW42" s="82">
        <f>AKV42</f>
        <v/>
      </c>
      <c r="AKX42" s="82">
        <f>AKW42+9958*19</f>
        <v/>
      </c>
      <c r="AKY42" s="82">
        <f>AKX42-1272829</f>
        <v/>
      </c>
      <c r="AKZ42" s="82">
        <f>AKY42</f>
        <v/>
      </c>
      <c r="ALA42" s="82">
        <f>AKZ42+9842*19</f>
        <v/>
      </c>
      <c r="ALB42" s="82">
        <f>ALA42</f>
        <v/>
      </c>
      <c r="ALC42" s="82">
        <f>ALB42</f>
        <v/>
      </c>
      <c r="ALD42" s="82">
        <f>ALC42</f>
        <v/>
      </c>
      <c r="ALE42" s="82">
        <f>ALD42</f>
        <v/>
      </c>
      <c r="ALF42" s="82">
        <f>ALE42</f>
        <v/>
      </c>
      <c r="ALG42" s="82">
        <f>ALF42+4970*19</f>
        <v/>
      </c>
      <c r="ALH42" s="82">
        <f>ALG42+12898*19</f>
        <v/>
      </c>
      <c r="ALI42" s="82">
        <f>ALH42</f>
        <v/>
      </c>
      <c r="ALJ42" s="82">
        <f>ALI42</f>
        <v/>
      </c>
      <c r="ALK42" s="82">
        <f>ALJ42</f>
        <v/>
      </c>
      <c r="ALL42" s="82">
        <f>ALK42</f>
        <v/>
      </c>
      <c r="ALM42" s="82">
        <f>ALL42</f>
        <v/>
      </c>
      <c r="ALN42" s="82">
        <f>ALM42+7946*19+11945*19</f>
        <v/>
      </c>
      <c r="ALO42" s="82">
        <f>ALN42</f>
        <v/>
      </c>
      <c r="ALP42" s="82">
        <f>ALO42+7446*19</f>
        <v/>
      </c>
      <c r="ALQ42" s="82">
        <f>ALP42</f>
        <v/>
      </c>
      <c r="ALR42" s="82">
        <f>ALQ42</f>
        <v/>
      </c>
      <c r="ALS42" s="82">
        <f>ALR42</f>
        <v/>
      </c>
      <c r="ALT42" s="130" t="n"/>
      <c r="ALU42" s="82">
        <f>ALS42</f>
        <v/>
      </c>
      <c r="ALV42" s="82">
        <f>ALU42+7457*19+7415*19</f>
        <v/>
      </c>
      <c r="ALW42" s="82">
        <f>ALV42+5000*19</f>
        <v/>
      </c>
      <c r="ALX42" s="82">
        <f>ALW42</f>
        <v/>
      </c>
      <c r="ALY42" s="82">
        <f>ALX42</f>
        <v/>
      </c>
      <c r="ALZ42" s="82">
        <f>ALY42</f>
        <v/>
      </c>
      <c r="AMA42" s="82">
        <f>ALZ42</f>
        <v/>
      </c>
      <c r="AMB42" s="82">
        <f>AMA42</f>
        <v/>
      </c>
      <c r="AMC42" s="82">
        <f>AMB42</f>
        <v/>
      </c>
      <c r="AMD42" s="82">
        <f>AMC42+4971*19</f>
        <v/>
      </c>
      <c r="AME42" s="82">
        <f>AMD42</f>
        <v/>
      </c>
      <c r="AMF42" s="82">
        <f>AME42+9910*19</f>
        <v/>
      </c>
      <c r="AMG42" s="82">
        <f>AMF42</f>
        <v/>
      </c>
      <c r="AMH42" s="82">
        <f>AMG42+7870*19-1839561</f>
        <v/>
      </c>
      <c r="AMI42" s="82">
        <f>AMH42</f>
        <v/>
      </c>
      <c r="AMJ42" s="82">
        <f>AMI42</f>
        <v/>
      </c>
      <c r="AMK42" s="82">
        <f>AMJ42+7945*19</f>
        <v/>
      </c>
      <c r="AML42" s="82">
        <f>AMK42</f>
        <v/>
      </c>
      <c r="AMM42" s="82">
        <f>AML42</f>
        <v/>
      </c>
      <c r="AMN42" s="82">
        <f>AMM42</f>
        <v/>
      </c>
      <c r="AMO42" s="82">
        <f>AMN42+8834*19+7961*19</f>
        <v/>
      </c>
      <c r="AMP42" s="82">
        <f>AMO42</f>
        <v/>
      </c>
      <c r="AMQ42" s="82">
        <f>AMP42</f>
        <v/>
      </c>
      <c r="AMR42" s="82">
        <f>AMQ42+12852*19</f>
        <v/>
      </c>
      <c r="AMS42" s="82">
        <f>AMR42+7964*19</f>
        <v/>
      </c>
      <c r="AMT42" s="82">
        <f>AMS42</f>
        <v/>
      </c>
      <c r="AMU42" s="82">
        <f>AMT42</f>
        <v/>
      </c>
      <c r="AMV42" s="82">
        <f>AMU42+7940*19</f>
        <v/>
      </c>
      <c r="AMW42" s="82">
        <f>AMV42</f>
        <v/>
      </c>
      <c r="AMX42" s="82">
        <f>AMW42+9850*19</f>
        <v/>
      </c>
      <c r="AMY42" s="130" t="n"/>
      <c r="AMZ42" s="82">
        <f>AMX42+7974*19</f>
        <v/>
      </c>
      <c r="ANA42" s="82">
        <f>AMZ42</f>
        <v/>
      </c>
      <c r="ANB42" s="82">
        <f>ANA42</f>
        <v/>
      </c>
      <c r="ANC42" s="82">
        <f>ANB42</f>
        <v/>
      </c>
      <c r="AND42" s="82">
        <f>ANC42+7930*19</f>
        <v/>
      </c>
      <c r="ANE42" s="82">
        <f>AND42</f>
        <v/>
      </c>
      <c r="ANF42" s="82">
        <f>ANE42</f>
        <v/>
      </c>
      <c r="ANG42" s="82">
        <f>ANF42+6933*19</f>
        <v/>
      </c>
      <c r="ANH42" s="82">
        <f>ANG42</f>
        <v/>
      </c>
      <c r="ANI42" s="82" t="n">
        <v>2259175</v>
      </c>
      <c r="ANJ42" s="82">
        <f>ANI42</f>
        <v/>
      </c>
      <c r="ANK42" s="82">
        <f>ANJ42</f>
        <v/>
      </c>
      <c r="ANL42" s="82">
        <f>ANK42-1882348</f>
        <v/>
      </c>
      <c r="ANM42" s="82">
        <f>ANL42+4966*19+6911*19</f>
        <v/>
      </c>
      <c r="ANN42" s="82">
        <f>ANM42</f>
        <v/>
      </c>
      <c r="ANO42" s="82">
        <f>ANN42</f>
        <v/>
      </c>
      <c r="ANP42" s="82">
        <f>ANO42+4913*19</f>
        <v/>
      </c>
      <c r="ANQ42" s="82">
        <f>ANP42</f>
        <v/>
      </c>
      <c r="ANR42" s="82">
        <f>ANQ42</f>
        <v/>
      </c>
      <c r="ANS42" s="82">
        <f>ANR42+9836*19</f>
        <v/>
      </c>
      <c r="ANT42" s="82">
        <f>ANS42</f>
        <v/>
      </c>
      <c r="ANU42" s="82">
        <f>ANT42+4974*19</f>
        <v/>
      </c>
      <c r="ANV42" s="82">
        <f>ANU42</f>
        <v/>
      </c>
      <c r="ANW42" s="82">
        <f>ANV42</f>
        <v/>
      </c>
      <c r="ANX42" s="82">
        <f>ANW42</f>
        <v/>
      </c>
      <c r="ANY42" s="82">
        <f>ANX42</f>
        <v/>
      </c>
      <c r="ANZ42" s="82">
        <f>ANY42+8846*19</f>
        <v/>
      </c>
      <c r="AOA42" s="82">
        <f>ANZ42</f>
        <v/>
      </c>
      <c r="AOB42" s="82">
        <f>AOA42</f>
        <v/>
      </c>
      <c r="AOC42" s="82">
        <f>AOB42+3934*19+7961*19+2950*19</f>
        <v/>
      </c>
    </row>
    <row r="43">
      <c r="B43" s="13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98" t="n"/>
      <c r="BM43" s="105" t="n"/>
      <c r="DX43" s="117" t="n"/>
      <c r="FD43" s="126" t="n"/>
      <c r="GJ43" s="130" t="n"/>
      <c r="HN43" s="130" t="n"/>
      <c r="IT43" s="130" t="n"/>
      <c r="JY43" s="130" t="n"/>
      <c r="LE43" s="130" t="n"/>
      <c r="MJ43" s="130" t="n"/>
      <c r="NP43" s="130" t="n"/>
      <c r="OV43" s="130" t="n"/>
      <c r="QA43" s="130" t="n"/>
      <c r="RG43" s="130" t="n"/>
      <c r="SL43" s="130" t="n"/>
      <c r="TR43" s="130" t="n"/>
      <c r="UX43" s="130" t="n"/>
      <c r="WA43" s="130" t="n"/>
      <c r="XG43" s="130" t="n"/>
      <c r="YL43" s="130" t="n"/>
      <c r="ZR43" s="130" t="n"/>
      <c r="AAW43" s="130" t="n"/>
      <c r="ACC43" s="130" t="n"/>
      <c r="ADI43" s="130" t="n"/>
      <c r="AEN43" s="130" t="n"/>
      <c r="AFT43" s="130" t="n"/>
      <c r="AGY43" s="130" t="n"/>
      <c r="AIE43" s="130" t="n"/>
      <c r="AJK43" s="145" t="n"/>
      <c r="AKN43" s="145" t="n"/>
      <c r="ALT43" s="130" t="n"/>
      <c r="AMY43" s="130" t="n"/>
    </row>
    <row r="44">
      <c r="B44" s="66" t="inlineStr">
        <is>
          <t>TOTAL CREDITORS</t>
        </is>
      </c>
      <c r="C44" s="67">
        <f>SUM(C38:C43)</f>
        <v/>
      </c>
      <c r="D44" s="67">
        <f>SUM(D38:D43)</f>
        <v/>
      </c>
      <c r="E44" s="67">
        <f>SUM(E38:E43)</f>
        <v/>
      </c>
      <c r="F44" s="67">
        <f>SUM(F38:F43)</f>
        <v/>
      </c>
      <c r="G44" s="67">
        <f>SUM(G38:G43)</f>
        <v/>
      </c>
      <c r="H44" s="67">
        <f>SUM(H38:H43)</f>
        <v/>
      </c>
      <c r="I44" s="67">
        <f>SUM(I38:I43)</f>
        <v/>
      </c>
      <c r="J44" s="67">
        <f>SUM(J38:J43)</f>
        <v/>
      </c>
      <c r="K44" s="67">
        <f>SUM(K38:K43)</f>
        <v/>
      </c>
      <c r="L44" s="67">
        <f>SUM(L38:L43)</f>
        <v/>
      </c>
      <c r="M44" s="67">
        <f>SUM(M38:M43)</f>
        <v/>
      </c>
      <c r="N44" s="67">
        <f>SUM(N38:N43)</f>
        <v/>
      </c>
      <c r="O44" s="67">
        <f>SUM(O38:O43)</f>
        <v/>
      </c>
      <c r="P44" s="67">
        <f>SUM(P38:P43)</f>
        <v/>
      </c>
      <c r="Q44" s="67">
        <f>SUM(Q38:Q43)</f>
        <v/>
      </c>
      <c r="R44" s="67">
        <f>SUM(R38:R43)</f>
        <v/>
      </c>
      <c r="S44" s="67">
        <f>SUM(S38:S43)</f>
        <v/>
      </c>
      <c r="T44" s="67">
        <f>SUM(T38:T43)</f>
        <v/>
      </c>
      <c r="U44" s="67">
        <f>SUM(U38:U43)</f>
        <v/>
      </c>
      <c r="V44" s="67">
        <f>SUM(V38:V43)</f>
        <v/>
      </c>
      <c r="W44" s="67">
        <f>SUM(W38:W43)</f>
        <v/>
      </c>
      <c r="X44" s="67">
        <f>SUM(X38:X43)</f>
        <v/>
      </c>
      <c r="Y44" s="67">
        <f>SUM(Y38:Y43)</f>
        <v/>
      </c>
      <c r="Z44" s="67">
        <f>SUM(Z38:Z43)</f>
        <v/>
      </c>
      <c r="AA44" s="67">
        <f>SUM(AA38:AA43)</f>
        <v/>
      </c>
      <c r="AB44" s="67">
        <f>SUM(AB38:AB43)</f>
        <v/>
      </c>
      <c r="AC44" s="67">
        <f>SUM(AC38:AC43)</f>
        <v/>
      </c>
      <c r="AD44" s="67">
        <f>SUM(AD38:AD43)</f>
        <v/>
      </c>
      <c r="AE44" s="67">
        <f>SUM(AE38:AE43)</f>
        <v/>
      </c>
      <c r="AF44" s="67">
        <f>SUM(AF38:AF43)</f>
        <v/>
      </c>
      <c r="AG44" s="67">
        <f>SUM(AG38:AG43)</f>
        <v/>
      </c>
      <c r="AH44" s="67">
        <f>SUM(AH38:AH43)</f>
        <v/>
      </c>
      <c r="AI44" s="67">
        <f>SUM(AI38:AI43)</f>
        <v/>
      </c>
      <c r="AJ44" s="67">
        <f>SUM(AJ38:AJ43)</f>
        <v/>
      </c>
      <c r="AK44" s="67">
        <f>SUM(AK38:AK43)</f>
        <v/>
      </c>
      <c r="AL44" s="67">
        <f>SUM(AL38:AL43)</f>
        <v/>
      </c>
      <c r="AM44" s="67">
        <f>SUM(AM38:AM43)</f>
        <v/>
      </c>
      <c r="AN44" s="67">
        <f>SUM(AN38:AN43)</f>
        <v/>
      </c>
      <c r="AO44" s="67">
        <f>SUM(AO38:AO43)</f>
        <v/>
      </c>
      <c r="AP44" s="67">
        <f>SUM(AP38:AP43)</f>
        <v/>
      </c>
      <c r="AQ44" s="67">
        <f>SUM(AQ38:AQ43)</f>
        <v/>
      </c>
      <c r="AR44" s="67">
        <f>SUM(AR38:AR43)</f>
        <v/>
      </c>
      <c r="AS44" s="67">
        <f>SUM(AS38:AS43)</f>
        <v/>
      </c>
      <c r="AT44" s="67">
        <f>SUM(AT38:AT43)</f>
        <v/>
      </c>
      <c r="AU44" s="67">
        <f>SUM(AU38:AU43)</f>
        <v/>
      </c>
      <c r="AV44" s="67">
        <f>SUM(AV38:AV43)</f>
        <v/>
      </c>
      <c r="AW44" s="67">
        <f>SUM(AW38:AW43)</f>
        <v/>
      </c>
      <c r="AX44" s="67">
        <f>SUM(AX38:AX43)</f>
        <v/>
      </c>
      <c r="AY44" s="67">
        <f>SUM(AY38:AY43)</f>
        <v/>
      </c>
      <c r="AZ44" s="67">
        <f>SUM(AZ38:AZ43)</f>
        <v/>
      </c>
      <c r="BA44" s="67">
        <f>SUM(BA38:BA43)</f>
        <v/>
      </c>
      <c r="BB44" s="67">
        <f>SUM(BB38:BB43)</f>
        <v/>
      </c>
      <c r="BC44" s="67">
        <f>SUM(BC38:BC43)</f>
        <v/>
      </c>
      <c r="BD44" s="67">
        <f>SUM(BD38:BD43)</f>
        <v/>
      </c>
      <c r="BE44" s="67">
        <f>SUM(BE38:BE43)</f>
        <v/>
      </c>
      <c r="BF44" s="67">
        <f>SUM(BF38:BF43)</f>
        <v/>
      </c>
      <c r="BG44" s="67">
        <f>SUM(BG38:BG43)</f>
        <v/>
      </c>
      <c r="BH44" s="67">
        <f>SUM(BH38:BH43)</f>
        <v/>
      </c>
      <c r="BI44" s="67">
        <f>SUM(BI38:BI43)</f>
        <v/>
      </c>
      <c r="BJ44" s="67">
        <f>SUM(BJ38:BJ43)</f>
        <v/>
      </c>
      <c r="BK44" s="67">
        <f>SUM(BK38:BK43)</f>
        <v/>
      </c>
      <c r="BL44" s="67">
        <f>SUM(BL38:BL43)</f>
        <v/>
      </c>
      <c r="BM44" s="67">
        <f>SUM(BM38:BM43)</f>
        <v/>
      </c>
      <c r="BN44" s="67">
        <f>SUM(BN38:BN43)</f>
        <v/>
      </c>
      <c r="BO44" s="67">
        <f>SUM(BO38:BO43)</f>
        <v/>
      </c>
      <c r="BP44" s="67">
        <f>SUM(BP38:BP43)</f>
        <v/>
      </c>
      <c r="BQ44" s="67">
        <f>SUM(BQ38:BQ43)</f>
        <v/>
      </c>
      <c r="BR44" s="67">
        <f>SUM(BR38:BR43)</f>
        <v/>
      </c>
      <c r="BS44" s="67">
        <f>SUM(BS38:BS43)</f>
        <v/>
      </c>
      <c r="BT44" s="67">
        <f>SUM(BT38:BT43)</f>
        <v/>
      </c>
      <c r="BU44" s="67">
        <f>SUM(BU38:BU43)</f>
        <v/>
      </c>
      <c r="BV44" s="67">
        <f>SUM(BV38:BV43)</f>
        <v/>
      </c>
      <c r="BW44" s="67">
        <f>SUM(BW38:BW43)</f>
        <v/>
      </c>
      <c r="BX44" s="67">
        <f>SUM(BX38:BX43)</f>
        <v/>
      </c>
      <c r="BY44" s="67">
        <f>SUM(BY38:BY43)</f>
        <v/>
      </c>
      <c r="BZ44" s="67">
        <f>SUM(BZ38:BZ43)</f>
        <v/>
      </c>
      <c r="CA44" s="67">
        <f>SUM(CA38:CA43)</f>
        <v/>
      </c>
      <c r="CB44" s="67">
        <f>SUM(CB38:CB43)</f>
        <v/>
      </c>
      <c r="CC44" s="67">
        <f>SUM(CC38:CC43)</f>
        <v/>
      </c>
      <c r="CD44" s="67">
        <f>SUM(CD38:CD43)</f>
        <v/>
      </c>
      <c r="CE44" s="67">
        <f>SUM(CE38:CE43)</f>
        <v/>
      </c>
      <c r="CF44" s="67">
        <f>SUM(CF38:CF43)</f>
        <v/>
      </c>
      <c r="CG44" s="67">
        <f>SUM(CG38:CG43)</f>
        <v/>
      </c>
      <c r="CH44" s="67">
        <f>SUM(CH38:CH43)</f>
        <v/>
      </c>
      <c r="CI44" s="67">
        <f>SUM(CI38:CI43)</f>
        <v/>
      </c>
      <c r="CJ44" s="67">
        <f>SUM(CJ38:CJ43)</f>
        <v/>
      </c>
      <c r="CK44" s="67">
        <f>SUM(CK38:CK43)</f>
        <v/>
      </c>
      <c r="CL44" s="67">
        <f>SUM(CL38:CL43)</f>
        <v/>
      </c>
      <c r="CM44" s="67">
        <f>SUM(CM38:CM43)</f>
        <v/>
      </c>
      <c r="CN44" s="67">
        <f>SUM(CN38:CN43)</f>
        <v/>
      </c>
      <c r="CO44" s="67">
        <f>SUM(CO38:CO43)</f>
        <v/>
      </c>
      <c r="CP44" s="67">
        <f>SUM(CP38:CP43)</f>
        <v/>
      </c>
      <c r="CQ44" s="67">
        <f>SUM(CQ38:CQ43)</f>
        <v/>
      </c>
      <c r="CR44" s="67">
        <f>SUM(CR38:CR43)</f>
        <v/>
      </c>
      <c r="CS44" s="82">
        <f>SUM(BN44:CR44)</f>
        <v/>
      </c>
      <c r="CT44" s="67">
        <f>SUM(CT38:CT43)</f>
        <v/>
      </c>
      <c r="CU44" s="67">
        <f>SUM(CU38:CU43)</f>
        <v/>
      </c>
      <c r="CV44" s="67">
        <f>SUM(CV38:CV43)</f>
        <v/>
      </c>
      <c r="CW44" s="67">
        <f>SUM(CW38:CW43)</f>
        <v/>
      </c>
      <c r="CX44" s="67">
        <f>SUM(CX38:CX43)</f>
        <v/>
      </c>
      <c r="CY44" s="67">
        <f>SUM(CY38:CY43)</f>
        <v/>
      </c>
      <c r="CZ44" s="67">
        <f>SUM(CZ38:CZ43)</f>
        <v/>
      </c>
      <c r="DA44" s="67">
        <f>SUM(DA38:DA43)</f>
        <v/>
      </c>
      <c r="DB44" s="67">
        <f>SUM(DB38:DB43)</f>
        <v/>
      </c>
      <c r="DC44" s="67">
        <f>SUM(DC38:DC43)</f>
        <v/>
      </c>
      <c r="DD44" s="67">
        <f>SUM(DD38:DD43)</f>
        <v/>
      </c>
      <c r="DE44" s="67">
        <f>SUM(DE38:DE43)</f>
        <v/>
      </c>
      <c r="DF44" s="67">
        <f>SUM(DF38:DF43)</f>
        <v/>
      </c>
      <c r="DG44" s="67">
        <f>SUM(DG38:DG43)</f>
        <v/>
      </c>
      <c r="DH44" s="67">
        <f>SUM(DH38:DH43)</f>
        <v/>
      </c>
      <c r="DI44" s="67">
        <f>SUM(DI38:DI43)</f>
        <v/>
      </c>
      <c r="DJ44" s="67">
        <f>SUM(DJ38:DJ43)</f>
        <v/>
      </c>
      <c r="DK44" s="67">
        <f>SUM(DK38:DK43)</f>
        <v/>
      </c>
      <c r="DL44" s="67">
        <f>SUM(DL38:DL43)</f>
        <v/>
      </c>
      <c r="DM44" s="67">
        <f>SUM(DM38:DM43)</f>
        <v/>
      </c>
      <c r="DN44" s="67">
        <f>SUM(DN38:DN43)</f>
        <v/>
      </c>
      <c r="DO44" s="67">
        <f>SUM(DO38:DO43)</f>
        <v/>
      </c>
      <c r="DP44" s="67">
        <f>SUM(DP38:DP43)</f>
        <v/>
      </c>
      <c r="DQ44" s="67">
        <f>SUM(DQ38:DQ43)</f>
        <v/>
      </c>
      <c r="DR44" s="67">
        <f>SUM(DR38:DR43)</f>
        <v/>
      </c>
      <c r="DS44" s="67">
        <f>SUM(DS38:DS43)</f>
        <v/>
      </c>
      <c r="DT44" s="67">
        <f>SUM(DT38:DT43)</f>
        <v/>
      </c>
      <c r="DU44" s="67">
        <f>SUM(DU38:DU43)</f>
        <v/>
      </c>
      <c r="DV44" s="67">
        <f>SUM(DV38:DV43)</f>
        <v/>
      </c>
      <c r="DW44" s="67">
        <f>SUM(DW38:DW43)</f>
        <v/>
      </c>
      <c r="DX44" s="67">
        <f>DW44</f>
        <v/>
      </c>
      <c r="DY44" s="67">
        <f>SUM(DY38:DY43)</f>
        <v/>
      </c>
      <c r="DZ44" s="67">
        <f>SUM(DZ38:DZ43)</f>
        <v/>
      </c>
      <c r="EA44" s="67">
        <f>SUM(EA38:EA43)</f>
        <v/>
      </c>
      <c r="EB44" s="67">
        <f>SUM(EB38:EB43)</f>
        <v/>
      </c>
      <c r="EC44" s="67">
        <f>SUM(EC38:EC43)</f>
        <v/>
      </c>
      <c r="ED44" s="67">
        <f>SUM(ED38:ED43)</f>
        <v/>
      </c>
      <c r="EE44" s="67">
        <f>SUM(EE38:EE43)</f>
        <v/>
      </c>
      <c r="EF44" s="67">
        <f>SUM(EF38:EF43)</f>
        <v/>
      </c>
      <c r="EG44" s="67">
        <f>SUM(EG38:EG43)</f>
        <v/>
      </c>
      <c r="EH44" s="67">
        <f>SUM(EH38:EH43)</f>
        <v/>
      </c>
      <c r="EI44" s="67">
        <f>SUM(EI38:EI43)</f>
        <v/>
      </c>
      <c r="EJ44" s="67">
        <f>SUM(EJ38:EJ43)</f>
        <v/>
      </c>
      <c r="EK44" s="67">
        <f>SUM(EK38:EK43)</f>
        <v/>
      </c>
      <c r="EL44" s="67">
        <f>SUM(EL38:EL43)</f>
        <v/>
      </c>
      <c r="EM44" s="67">
        <f>SUM(EM38:EM43)</f>
        <v/>
      </c>
      <c r="EN44" s="67">
        <f>SUM(EN38:EN43)</f>
        <v/>
      </c>
      <c r="EO44" s="67">
        <f>SUM(EO38:EO43)</f>
        <v/>
      </c>
      <c r="EP44" s="67">
        <f>SUM(EP38:EP43)</f>
        <v/>
      </c>
      <c r="EQ44" s="67">
        <f>SUM(EQ38:EQ43)</f>
        <v/>
      </c>
      <c r="ER44" s="67">
        <f>SUM(ER38:ER43)</f>
        <v/>
      </c>
      <c r="ES44" s="67">
        <f>SUM(ES38:ES43)</f>
        <v/>
      </c>
      <c r="ET44" s="67">
        <f>SUM(ET38:ET43)</f>
        <v/>
      </c>
      <c r="EU44" s="67">
        <f>SUM(EU38:EU43)</f>
        <v/>
      </c>
      <c r="EV44" s="67">
        <f>SUM(EV38:EV43)</f>
        <v/>
      </c>
      <c r="EW44" s="67">
        <f>SUM(EW38:EW43)</f>
        <v/>
      </c>
      <c r="EX44" s="67">
        <f>SUM(EX38:EX43)</f>
        <v/>
      </c>
      <c r="EY44" s="67">
        <f>SUM(EY38:EY43)</f>
        <v/>
      </c>
      <c r="EZ44" s="67">
        <f>SUM(EZ38:EZ43)</f>
        <v/>
      </c>
      <c r="FA44" s="67">
        <f>SUM(FA38:FA43)</f>
        <v/>
      </c>
      <c r="FB44" s="67">
        <f>SUM(FB38:FB43)</f>
        <v/>
      </c>
      <c r="FC44" s="67">
        <f>SUM(FC38:FC43)</f>
        <v/>
      </c>
      <c r="FD44" s="126" t="n"/>
      <c r="FE44" s="67">
        <f>SUM(FE38:FE43)</f>
        <v/>
      </c>
      <c r="FF44" s="67">
        <f>SUM(FF38:FF43)</f>
        <v/>
      </c>
      <c r="FG44" s="67">
        <f>SUM(FG38:FG43)</f>
        <v/>
      </c>
      <c r="FH44" s="67">
        <f>SUM(FH38:FH43)</f>
        <v/>
      </c>
      <c r="FI44" s="67">
        <f>SUM(FI38:FI43)</f>
        <v/>
      </c>
      <c r="FJ44" s="67">
        <f>SUM(FJ38:FJ43)</f>
        <v/>
      </c>
      <c r="FK44" s="67">
        <f>SUM(FK38:FK43)</f>
        <v/>
      </c>
      <c r="FL44" s="67">
        <f>SUM(FL38:FL43)</f>
        <v/>
      </c>
      <c r="FM44" s="67">
        <f>SUM(FM38:FM43)</f>
        <v/>
      </c>
      <c r="FN44" s="67">
        <f>SUM(FN38:FN43)</f>
        <v/>
      </c>
      <c r="FO44" s="67">
        <f>SUM(FO38:FO43)</f>
        <v/>
      </c>
      <c r="FP44" s="67">
        <f>SUM(FP38:FP43)</f>
        <v/>
      </c>
      <c r="FQ44" s="67">
        <f>SUM(FQ38:FQ43)</f>
        <v/>
      </c>
      <c r="FR44" s="67">
        <f>SUM(FR38:FR43)</f>
        <v/>
      </c>
      <c r="FS44" s="67">
        <f>SUM(FS38:FS43)</f>
        <v/>
      </c>
      <c r="FT44" s="67">
        <f>SUM(FT38:FT43)</f>
        <v/>
      </c>
      <c r="FU44" s="67">
        <f>SUM(FU38:FU43)</f>
        <v/>
      </c>
      <c r="FV44" s="67">
        <f>SUM(FV38:FV43)</f>
        <v/>
      </c>
      <c r="FW44" s="67">
        <f>SUM(FW38:FW43)</f>
        <v/>
      </c>
      <c r="FX44" s="67">
        <f>SUM(FX38:FX43)</f>
        <v/>
      </c>
      <c r="FY44" s="67">
        <f>SUM(FY38:FY43)</f>
        <v/>
      </c>
      <c r="FZ44" s="67">
        <f>SUM(FZ38:FZ43)</f>
        <v/>
      </c>
      <c r="GA44" s="67">
        <f>SUM(GA38:GA43)</f>
        <v/>
      </c>
      <c r="GB44" s="67">
        <f>SUM(GB38:GB43)</f>
        <v/>
      </c>
      <c r="GC44" s="67">
        <f>SUM(GC38:GC43)</f>
        <v/>
      </c>
      <c r="GD44" s="67">
        <f>SUM(GD38:GD43)</f>
        <v/>
      </c>
      <c r="GE44" s="67">
        <f>SUM(GE38:GE43)</f>
        <v/>
      </c>
      <c r="GF44" s="67">
        <f>SUM(GF38:GF43)</f>
        <v/>
      </c>
      <c r="GG44" s="67">
        <f>SUM(GG38:GG43)</f>
        <v/>
      </c>
      <c r="GH44" s="67">
        <f>SUM(GH38:GH43)</f>
        <v/>
      </c>
      <c r="GI44" s="67">
        <f>SUM(GI38:GI43)</f>
        <v/>
      </c>
      <c r="GJ44" s="130" t="n"/>
      <c r="GK44" s="67">
        <f>SUM(GK38:GK43)</f>
        <v/>
      </c>
      <c r="GL44" s="67">
        <f>SUM(GL38:GL43)</f>
        <v/>
      </c>
      <c r="GM44" s="67">
        <f>SUM(GM38:GM43)</f>
        <v/>
      </c>
      <c r="GN44" s="67">
        <f>SUM(GN38:GN43)</f>
        <v/>
      </c>
      <c r="GO44" s="67">
        <f>SUM(GO38:GO43)</f>
        <v/>
      </c>
      <c r="GP44" s="67">
        <f>SUM(GP38:GP43)</f>
        <v/>
      </c>
      <c r="GQ44" s="67">
        <f>SUM(GQ38:GQ43)</f>
        <v/>
      </c>
      <c r="GR44" s="67">
        <f>SUM(GR38:GR43)</f>
        <v/>
      </c>
      <c r="GS44" s="67">
        <f>SUM(GS38:GS43)</f>
        <v/>
      </c>
      <c r="GT44" s="67">
        <f>SUM(GT38:GT43)</f>
        <v/>
      </c>
      <c r="GU44" s="67">
        <f>SUM(GU38:GU43)</f>
        <v/>
      </c>
      <c r="GV44" s="67">
        <f>SUM(GV38:GV43)</f>
        <v/>
      </c>
      <c r="GW44" s="67">
        <f>SUM(GW38:GW43)</f>
        <v/>
      </c>
      <c r="GX44" s="67">
        <f>SUM(GX38:GX43)</f>
        <v/>
      </c>
      <c r="GY44" s="67">
        <f>SUM(GY38:GY43)</f>
        <v/>
      </c>
      <c r="GZ44" s="67">
        <f>SUM(GZ38:GZ43)</f>
        <v/>
      </c>
      <c r="HA44" s="67">
        <f>SUM(HA38:HA43)</f>
        <v/>
      </c>
      <c r="HB44" s="67">
        <f>SUM(HB38:HB43)</f>
        <v/>
      </c>
      <c r="HC44" s="67">
        <f>SUM(HC38:HC43)</f>
        <v/>
      </c>
      <c r="HD44" s="67">
        <f>SUM(HD38:HD43)</f>
        <v/>
      </c>
      <c r="HE44" s="67">
        <f>SUM(HE38:HE43)</f>
        <v/>
      </c>
      <c r="HF44" s="67">
        <f>SUM(HF38:HF43)</f>
        <v/>
      </c>
      <c r="HG44" s="67">
        <f>SUM(HG38:HG43)</f>
        <v/>
      </c>
      <c r="HH44" s="67">
        <f>SUM(HH38:HH43)</f>
        <v/>
      </c>
      <c r="HI44" s="67">
        <f>SUM(HI38:HI43)</f>
        <v/>
      </c>
      <c r="HJ44" s="67">
        <f>SUM(HJ38:HJ43)</f>
        <v/>
      </c>
      <c r="HK44" s="67">
        <f>SUM(HK38:HK43)</f>
        <v/>
      </c>
      <c r="HL44" s="67">
        <f>SUM(HL38:HL43)</f>
        <v/>
      </c>
      <c r="HM44" s="67">
        <f>SUM(HM38:HM43)</f>
        <v/>
      </c>
      <c r="HN44" s="130" t="n"/>
      <c r="HO44" s="67">
        <f>SUM(HO38:HO43)</f>
        <v/>
      </c>
      <c r="HP44" s="67">
        <f>SUM(HP38:HP43)</f>
        <v/>
      </c>
      <c r="HQ44" s="67">
        <f>SUM(HQ38:HQ43)</f>
        <v/>
      </c>
      <c r="HR44" s="67">
        <f>SUM(HR38:HR43)</f>
        <v/>
      </c>
      <c r="HS44" s="67">
        <f>SUM(HS38:HS43)</f>
        <v/>
      </c>
      <c r="HT44" s="67">
        <f>SUM(HT38:HT43)</f>
        <v/>
      </c>
      <c r="HU44" s="67">
        <f>SUM(HU38:HU43)</f>
        <v/>
      </c>
      <c r="HV44" s="67">
        <f>SUM(HV38:HV43)</f>
        <v/>
      </c>
      <c r="HW44" s="67">
        <f>SUM(HW38:HW43)</f>
        <v/>
      </c>
      <c r="HX44" s="67">
        <f>SUM(HX38:HX43)</f>
        <v/>
      </c>
      <c r="HY44" s="67">
        <f>SUM(HY38:HY43)</f>
        <v/>
      </c>
      <c r="HZ44" s="67">
        <f>SUM(HZ38:HZ43)</f>
        <v/>
      </c>
      <c r="IA44" s="67">
        <f>SUM(IA38:IA43)</f>
        <v/>
      </c>
      <c r="IB44" s="67">
        <f>SUM(IB38:IB43)</f>
        <v/>
      </c>
      <c r="IC44" s="67">
        <f>SUM(IC38:IC43)</f>
        <v/>
      </c>
      <c r="ID44" s="67">
        <f>SUM(ID38:ID43)</f>
        <v/>
      </c>
      <c r="IE44" s="67">
        <f>SUM(IE38:IE43)</f>
        <v/>
      </c>
      <c r="IF44" s="67">
        <f>SUM(IF38:IF43)</f>
        <v/>
      </c>
      <c r="IG44" s="67">
        <f>SUM(IG38:IG43)</f>
        <v/>
      </c>
      <c r="IH44" s="67">
        <f>SUM(IH38:IH43)</f>
        <v/>
      </c>
      <c r="II44" s="67">
        <f>SUM(II38:II43)</f>
        <v/>
      </c>
      <c r="IJ44" s="67">
        <f>SUM(IJ38:IJ43)</f>
        <v/>
      </c>
      <c r="IK44" s="67">
        <f>SUM(IK38:IK43)</f>
        <v/>
      </c>
      <c r="IL44" s="67">
        <f>SUM(IL38:IL43)</f>
        <v/>
      </c>
      <c r="IM44" s="67">
        <f>SUM(IM38:IM43)</f>
        <v/>
      </c>
      <c r="IN44" s="67">
        <f>SUM(IN38:IN43)</f>
        <v/>
      </c>
      <c r="IO44" s="67">
        <f>SUM(IO38:IO43)</f>
        <v/>
      </c>
      <c r="IP44" s="67">
        <f>SUM(IP38:IP43)</f>
        <v/>
      </c>
      <c r="IQ44" s="67">
        <f>SUM(IQ38:IQ43)</f>
        <v/>
      </c>
      <c r="IR44" s="67">
        <f>SUM(IR38:IR43)</f>
        <v/>
      </c>
      <c r="IS44" s="67">
        <f>SUM(IS38:IS43)</f>
        <v/>
      </c>
      <c r="IT44" s="130" t="n"/>
      <c r="IU44" s="67">
        <f>SUM(IU38:IU43)</f>
        <v/>
      </c>
      <c r="IV44" s="67">
        <f>SUM(IV38:IV43)</f>
        <v/>
      </c>
      <c r="IW44" s="67">
        <f>SUM(IW38:IW43)</f>
        <v/>
      </c>
      <c r="IX44" s="67">
        <f>SUM(IX38:IX43)</f>
        <v/>
      </c>
      <c r="IY44" s="67">
        <f>SUM(IY38:IY43)</f>
        <v/>
      </c>
      <c r="IZ44" s="67">
        <f>SUM(IZ38:IZ43)</f>
        <v/>
      </c>
      <c r="JA44" s="67">
        <f>SUM(JA38:JA43)</f>
        <v/>
      </c>
      <c r="JB44" s="67">
        <f>SUM(JB38:JB43)</f>
        <v/>
      </c>
      <c r="JC44" s="67">
        <f>SUM(JC38:JC43)</f>
        <v/>
      </c>
      <c r="JD44" s="67">
        <f>SUM(JD38:JD43)</f>
        <v/>
      </c>
      <c r="JE44" s="67">
        <f>SUM(JE38:JE43)</f>
        <v/>
      </c>
      <c r="JF44" s="67">
        <f>SUM(JF38:JF43)</f>
        <v/>
      </c>
      <c r="JG44" s="67">
        <f>SUM(JG38:JG43)</f>
        <v/>
      </c>
      <c r="JH44" s="67">
        <f>SUM(JH38:JH43)</f>
        <v/>
      </c>
      <c r="JI44" s="67">
        <f>SUM(JI38:JI43)</f>
        <v/>
      </c>
      <c r="JJ44" s="67">
        <f>SUM(JJ38:JJ43)</f>
        <v/>
      </c>
      <c r="JK44" s="67">
        <f>SUM(JK38:JK43)</f>
        <v/>
      </c>
      <c r="JL44" s="67">
        <f>SUM(JL38:JL43)</f>
        <v/>
      </c>
      <c r="JM44" s="67">
        <f>SUM(JM38:JM43)</f>
        <v/>
      </c>
      <c r="JN44" s="67">
        <f>SUM(JN38:JN43)</f>
        <v/>
      </c>
      <c r="JO44" s="67">
        <f>SUM(JO38:JO43)</f>
        <v/>
      </c>
      <c r="JP44" s="67">
        <f>SUM(JP38:JP43)</f>
        <v/>
      </c>
      <c r="JQ44" s="67">
        <f>SUM(JQ38:JQ43)</f>
        <v/>
      </c>
      <c r="JR44" s="67">
        <f>SUM(JR38:JR43)</f>
        <v/>
      </c>
      <c r="JS44" s="67">
        <f>SUM(JS38:JS43)</f>
        <v/>
      </c>
      <c r="JT44" s="67">
        <f>SUM(JT38:JT43)</f>
        <v/>
      </c>
      <c r="JU44" s="67">
        <f>SUM(JU38:JU43)</f>
        <v/>
      </c>
      <c r="JV44" s="67">
        <f>SUM(JV38:JV43)</f>
        <v/>
      </c>
      <c r="JW44" s="67">
        <f>SUM(JW38:JW43)</f>
        <v/>
      </c>
      <c r="JX44" s="67">
        <f>SUM(JX38:JX43)</f>
        <v/>
      </c>
      <c r="JY44" s="140" t="n"/>
      <c r="JZ44" s="67">
        <f>SUM(JZ38:JZ43)</f>
        <v/>
      </c>
      <c r="KA44" s="67">
        <f>SUM(KA38:KA43)</f>
        <v/>
      </c>
      <c r="KB44" s="67">
        <f>SUM(KB38:KB43)</f>
        <v/>
      </c>
      <c r="KC44" s="67">
        <f>SUM(KC38:KC43)</f>
        <v/>
      </c>
      <c r="KD44" s="67">
        <f>SUM(KD38:KD43)</f>
        <v/>
      </c>
      <c r="KE44" s="67">
        <f>SUM(KE38:KE43)</f>
        <v/>
      </c>
      <c r="KF44" s="67">
        <f>SUM(KF38:KF43)</f>
        <v/>
      </c>
      <c r="KG44" s="67">
        <f>SUM(KG38:KG43)</f>
        <v/>
      </c>
      <c r="KH44" s="67">
        <f>SUM(KH38:KH43)</f>
        <v/>
      </c>
      <c r="KI44" s="67">
        <f>SUM(KI38:KI43)</f>
        <v/>
      </c>
      <c r="KJ44" s="67">
        <f>SUM(KJ38:KJ43)</f>
        <v/>
      </c>
      <c r="KK44" s="67">
        <f>SUM(KK38:KK43)</f>
        <v/>
      </c>
      <c r="KL44" s="67">
        <f>SUM(KL38:KL43)</f>
        <v/>
      </c>
      <c r="KM44" s="67">
        <f>SUM(KM38:KM43)</f>
        <v/>
      </c>
      <c r="KN44" s="67">
        <f>SUM(KN38:KN43)</f>
        <v/>
      </c>
      <c r="KO44" s="67">
        <f>SUM(KO38:KO43)</f>
        <v/>
      </c>
      <c r="KP44" s="67">
        <f>SUM(KP38:KP43)</f>
        <v/>
      </c>
      <c r="KQ44" s="67">
        <f>SUM(KQ38:KQ43)</f>
        <v/>
      </c>
      <c r="KR44" s="67">
        <f>SUM(KR38:KR43)</f>
        <v/>
      </c>
      <c r="KS44" s="67">
        <f>SUM(KS38:KS43)</f>
        <v/>
      </c>
      <c r="KT44" s="67">
        <f>SUM(KT38:KT43)</f>
        <v/>
      </c>
      <c r="KU44" s="67">
        <f>SUM(KU38:KU43)</f>
        <v/>
      </c>
      <c r="KV44" s="67">
        <f>SUM(KV38:KV43)</f>
        <v/>
      </c>
      <c r="KW44" s="67">
        <f>SUM(KW38:KW43)</f>
        <v/>
      </c>
      <c r="KX44" s="67">
        <f>SUM(KX38:KX43)</f>
        <v/>
      </c>
      <c r="KY44" s="67">
        <f>SUM(KY38:KY43)</f>
        <v/>
      </c>
      <c r="KZ44" s="67">
        <f>SUM(KZ38:KZ43)</f>
        <v/>
      </c>
      <c r="LA44" s="67">
        <f>SUM(LA38:LA43)</f>
        <v/>
      </c>
      <c r="LB44" s="67">
        <f>SUM(LB38:LB43)</f>
        <v/>
      </c>
      <c r="LC44" s="67">
        <f>SUM(LC38:LC43)</f>
        <v/>
      </c>
      <c r="LD44" s="67">
        <f>SUM(LD38:LD43)</f>
        <v/>
      </c>
      <c r="LE44" s="130" t="n"/>
      <c r="LF44" s="67">
        <f>SUM(LF38:LF43)</f>
        <v/>
      </c>
      <c r="LG44" s="67">
        <f>SUM(LG38:LG43)</f>
        <v/>
      </c>
      <c r="LH44" s="67">
        <f>SUM(LH38:LH43)</f>
        <v/>
      </c>
      <c r="LI44" s="67">
        <f>SUM(LI38:LI43)</f>
        <v/>
      </c>
      <c r="LJ44" s="67">
        <f>SUM(LJ38:LJ43)</f>
        <v/>
      </c>
      <c r="LK44" s="67">
        <f>SUM(LK38:LK43)</f>
        <v/>
      </c>
      <c r="LL44" s="67">
        <f>SUM(LL38:LL43)</f>
        <v/>
      </c>
      <c r="LM44" s="67">
        <f>SUM(LM38:LM43)</f>
        <v/>
      </c>
      <c r="LN44" s="67">
        <f>SUM(LN38:LN43)</f>
        <v/>
      </c>
      <c r="LO44" s="67">
        <f>SUM(LO38:LO43)</f>
        <v/>
      </c>
      <c r="LP44" s="67">
        <f>SUM(LP38:LP43)</f>
        <v/>
      </c>
      <c r="LQ44" s="67">
        <f>SUM(LQ38:LQ43)</f>
        <v/>
      </c>
      <c r="LR44" s="67">
        <f>SUM(LR38:LR43)</f>
        <v/>
      </c>
      <c r="LS44" s="67">
        <f>SUM(LS38:LS43)</f>
        <v/>
      </c>
      <c r="LT44" s="67">
        <f>SUM(LT38:LT43)</f>
        <v/>
      </c>
      <c r="LU44" s="67">
        <f>SUM(LU38:LU43)</f>
        <v/>
      </c>
      <c r="LV44" s="67">
        <f>SUM(LV38:LV43)</f>
        <v/>
      </c>
      <c r="LW44" s="67">
        <f>SUM(LW38:LW43)</f>
        <v/>
      </c>
      <c r="LX44" s="67">
        <f>SUM(LX38:LX43)</f>
        <v/>
      </c>
      <c r="LY44" s="67">
        <f>SUM(LY38:LY43)</f>
        <v/>
      </c>
      <c r="LZ44" s="67">
        <f>SUM(LZ38:LZ43)</f>
        <v/>
      </c>
      <c r="MA44" s="67">
        <f>SUM(MA38:MA43)</f>
        <v/>
      </c>
      <c r="MB44" s="67">
        <f>SUM(MB38:MB43)</f>
        <v/>
      </c>
      <c r="MC44" s="67">
        <f>SUM(MC38:MC43)</f>
        <v/>
      </c>
      <c r="MD44" s="67">
        <f>SUM(MD38:MD43)</f>
        <v/>
      </c>
      <c r="ME44" s="67">
        <f>SUM(ME38:ME43)</f>
        <v/>
      </c>
      <c r="MF44" s="67">
        <f>SUM(MF38:MF43)</f>
        <v/>
      </c>
      <c r="MG44" s="67">
        <f>SUM(MG38:MG43)</f>
        <v/>
      </c>
      <c r="MH44" s="67">
        <f>SUM(MH38:MH43)</f>
        <v/>
      </c>
      <c r="MI44" s="67">
        <f>SUM(MI38:MI43)</f>
        <v/>
      </c>
      <c r="MJ44" s="140" t="n"/>
      <c r="MK44" s="67">
        <f>SUM(MK38:MK43)</f>
        <v/>
      </c>
      <c r="ML44" s="67">
        <f>SUM(ML38:ML43)</f>
        <v/>
      </c>
      <c r="MM44" s="67">
        <f>SUM(MM38:MM43)</f>
        <v/>
      </c>
      <c r="MN44" s="67">
        <f>SUM(MN38:MN43)</f>
        <v/>
      </c>
      <c r="MO44" s="67">
        <f>SUM(MO38:MO43)</f>
        <v/>
      </c>
      <c r="MP44" s="67">
        <f>SUM(MP38:MP43)</f>
        <v/>
      </c>
      <c r="MQ44" s="67">
        <f>SUM(MQ38:MQ43)</f>
        <v/>
      </c>
      <c r="MR44" s="67">
        <f>SUM(MR38:MR43)</f>
        <v/>
      </c>
      <c r="MS44" s="67">
        <f>SUM(MS38:MS43)</f>
        <v/>
      </c>
      <c r="MT44" s="67">
        <f>SUM(MT38:MT43)</f>
        <v/>
      </c>
      <c r="MU44" s="67">
        <f>SUM(MU38:MU43)</f>
        <v/>
      </c>
      <c r="MV44" s="67">
        <f>SUM(MV38:MV43)</f>
        <v/>
      </c>
      <c r="MW44" s="67">
        <f>SUM(MW38:MW43)</f>
        <v/>
      </c>
      <c r="MX44" s="67">
        <f>SUM(MX38:MX43)</f>
        <v/>
      </c>
      <c r="MY44" s="67">
        <f>SUM(MY38:MY43)</f>
        <v/>
      </c>
      <c r="MZ44" s="67">
        <f>SUM(MZ38:MZ43)</f>
        <v/>
      </c>
      <c r="NA44" s="67">
        <f>SUM(NA38:NA43)</f>
        <v/>
      </c>
      <c r="NB44" s="67">
        <f>SUM(NB38:NB43)</f>
        <v/>
      </c>
      <c r="NC44" s="67">
        <f>SUM(NC38:NC43)</f>
        <v/>
      </c>
      <c r="ND44" s="67">
        <f>SUM(ND38:ND43)</f>
        <v/>
      </c>
      <c r="NE44" s="67">
        <f>SUM(NE38:NE43)</f>
        <v/>
      </c>
      <c r="NF44" s="67">
        <f>SUM(NF38:NF43)</f>
        <v/>
      </c>
      <c r="NG44" s="67">
        <f>SUM(NG38:NG43)</f>
        <v/>
      </c>
      <c r="NH44" s="67">
        <f>SUM(NH38:NH43)</f>
        <v/>
      </c>
      <c r="NI44" s="67">
        <f>SUM(NI38:NI43)</f>
        <v/>
      </c>
      <c r="NJ44" s="67">
        <f>SUM(NJ38:NJ43)</f>
        <v/>
      </c>
      <c r="NK44" s="67">
        <f>SUM(NK38:NK43)</f>
        <v/>
      </c>
      <c r="NL44" s="67">
        <f>SUM(NL38:NL43)</f>
        <v/>
      </c>
      <c r="NM44" s="67">
        <f>SUM(NM38:NM43)</f>
        <v/>
      </c>
      <c r="NN44" s="67">
        <f>SUM(NN38:NN43)</f>
        <v/>
      </c>
      <c r="NO44" s="67">
        <f>SUM(NO38:NO43)</f>
        <v/>
      </c>
      <c r="NP44" s="140" t="n"/>
      <c r="NQ44" s="67">
        <f>SUM(NQ38:NQ43)</f>
        <v/>
      </c>
      <c r="NR44" s="67">
        <f>SUM(NR38:NR43)</f>
        <v/>
      </c>
      <c r="NS44" s="67">
        <f>SUM(NS38:NS43)</f>
        <v/>
      </c>
      <c r="NT44" s="67">
        <f>SUM(NT38:NT43)</f>
        <v/>
      </c>
      <c r="NU44" s="67">
        <f>SUM(NU38:NU43)</f>
        <v/>
      </c>
      <c r="NV44" s="67">
        <f>SUM(NV38:NV43)</f>
        <v/>
      </c>
      <c r="NW44" s="67">
        <f>SUM(NW38:NW43)</f>
        <v/>
      </c>
      <c r="NX44" s="67">
        <f>SUM(NX38:NX43)</f>
        <v/>
      </c>
      <c r="NY44" s="67">
        <f>SUM(NY38:NY43)</f>
        <v/>
      </c>
      <c r="NZ44" s="67">
        <f>SUM(NZ38:NZ43)</f>
        <v/>
      </c>
      <c r="OA44" s="67">
        <f>SUM(OA38:OA43)</f>
        <v/>
      </c>
      <c r="OB44" s="67">
        <f>SUM(OB38:OB43)</f>
        <v/>
      </c>
      <c r="OC44" s="67">
        <f>SUM(OC38:OC43)</f>
        <v/>
      </c>
      <c r="OD44" s="67">
        <f>SUM(OD38:OD43)</f>
        <v/>
      </c>
      <c r="OE44" s="67">
        <f>SUM(OE38:OE43)</f>
        <v/>
      </c>
      <c r="OF44" s="67">
        <f>SUM(OF38:OF43)</f>
        <v/>
      </c>
      <c r="OG44" s="67">
        <f>SUM(OG38:OG43)</f>
        <v/>
      </c>
      <c r="OH44" s="67">
        <f>SUM(OH38:OH43)</f>
        <v/>
      </c>
      <c r="OI44" s="67">
        <f>SUM(OI38:OI43)</f>
        <v/>
      </c>
      <c r="OJ44" s="67">
        <f>SUM(OJ38:OJ43)</f>
        <v/>
      </c>
      <c r="OK44" s="67">
        <f>SUM(OK38:OK43)</f>
        <v/>
      </c>
      <c r="OL44" s="67">
        <f>SUM(OL38:OL43)</f>
        <v/>
      </c>
      <c r="OM44" s="67">
        <f>SUM(OM38:OM43)</f>
        <v/>
      </c>
      <c r="ON44" s="67">
        <f>SUM(ON38:ON43)</f>
        <v/>
      </c>
      <c r="OO44" s="67">
        <f>SUM(OO38:OO43)</f>
        <v/>
      </c>
      <c r="OP44" s="67">
        <f>SUM(OP38:OP43)</f>
        <v/>
      </c>
      <c r="OQ44" s="67">
        <f>SUM(OQ38:OQ43)</f>
        <v/>
      </c>
      <c r="OR44" s="67">
        <f>SUM(OR38:OR43)</f>
        <v/>
      </c>
      <c r="OS44" s="67">
        <f>SUM(OS38:OS43)</f>
        <v/>
      </c>
      <c r="OT44" s="67">
        <f>SUM(OT38:OT43)</f>
        <v/>
      </c>
      <c r="OU44" s="67">
        <f>SUM(OU38:OU43)</f>
        <v/>
      </c>
      <c r="OV44" s="130" t="n"/>
      <c r="OW44" s="67">
        <f>SUM(OW38:OW43)</f>
        <v/>
      </c>
      <c r="OX44" s="67">
        <f>SUM(OX38:OX43)</f>
        <v/>
      </c>
      <c r="OY44" s="67">
        <f>SUM(OY38:OY43)</f>
        <v/>
      </c>
      <c r="OZ44" s="67">
        <f>SUM(OZ38:OZ43)</f>
        <v/>
      </c>
      <c r="PA44" s="67">
        <f>SUM(PA38:PA43)</f>
        <v/>
      </c>
      <c r="PB44" s="67">
        <f>SUM(PB38:PB43)</f>
        <v/>
      </c>
      <c r="PC44" s="67">
        <f>SUM(PC38:PC43)</f>
        <v/>
      </c>
      <c r="PD44" s="67">
        <f>SUM(PD38:PD43)</f>
        <v/>
      </c>
      <c r="PE44" s="67">
        <f>SUM(PE38:PE43)</f>
        <v/>
      </c>
      <c r="PF44" s="67">
        <f>SUM(PF38:PF43)</f>
        <v/>
      </c>
      <c r="PG44" s="67">
        <f>SUM(PG38:PG43)</f>
        <v/>
      </c>
      <c r="PH44" s="67">
        <f>SUM(PH38:PH43)</f>
        <v/>
      </c>
      <c r="PI44" s="67">
        <f>SUM(PI38:PI43)</f>
        <v/>
      </c>
      <c r="PJ44" s="67">
        <f>SUM(PJ38:PJ43)</f>
        <v/>
      </c>
      <c r="PK44" s="67">
        <f>SUM(PK38:PK43)</f>
        <v/>
      </c>
      <c r="PL44" s="67">
        <f>SUM(PL38:PL43)</f>
        <v/>
      </c>
      <c r="PM44" s="67">
        <f>SUM(PM38:PM43)</f>
        <v/>
      </c>
      <c r="PN44" s="67">
        <f>SUM(PN38:PN43)</f>
        <v/>
      </c>
      <c r="PO44" s="67">
        <f>SUM(PO38:PO43)</f>
        <v/>
      </c>
      <c r="PP44" s="67">
        <f>SUM(PP38:PP43)</f>
        <v/>
      </c>
      <c r="PQ44" s="67">
        <f>SUM(PQ38:PQ43)</f>
        <v/>
      </c>
      <c r="PR44" s="67">
        <f>SUM(PR38:PR43)</f>
        <v/>
      </c>
      <c r="PS44" s="67">
        <f>SUM(PS38:PS43)</f>
        <v/>
      </c>
      <c r="PT44" s="67">
        <f>SUM(PT38:PT43)</f>
        <v/>
      </c>
      <c r="PU44" s="67">
        <f>SUM(PU38:PU43)</f>
        <v/>
      </c>
      <c r="PV44" s="67">
        <f>SUM(PV38:PV43)</f>
        <v/>
      </c>
      <c r="PW44" s="67">
        <f>SUM(PW38:PW43)</f>
        <v/>
      </c>
      <c r="PX44" s="67">
        <f>SUM(PX38:PX43)</f>
        <v/>
      </c>
      <c r="PY44" s="67">
        <f>SUM(PY38:PY43)</f>
        <v/>
      </c>
      <c r="PZ44" s="67">
        <f>SUM(PZ38:PZ43)</f>
        <v/>
      </c>
      <c r="QA44" s="130" t="n"/>
      <c r="QB44" s="67">
        <f>SUM(QB38:QB43)</f>
        <v/>
      </c>
      <c r="QC44" s="67">
        <f>SUM(QC38:QC43)</f>
        <v/>
      </c>
      <c r="QD44" s="67">
        <f>SUM(QD38:QD43)</f>
        <v/>
      </c>
      <c r="QE44" s="67">
        <f>SUM(QE38:QE43)</f>
        <v/>
      </c>
      <c r="QF44" s="67">
        <f>SUM(QF38:QF43)</f>
        <v/>
      </c>
      <c r="QG44" s="67">
        <f>SUM(QG38:QG43)</f>
        <v/>
      </c>
      <c r="QH44" s="67">
        <f>SUM(QH38:QH43)</f>
        <v/>
      </c>
      <c r="QI44" s="67">
        <f>SUM(QI38:QI43)</f>
        <v/>
      </c>
      <c r="QJ44" s="67">
        <f>SUM(QJ38:QJ43)</f>
        <v/>
      </c>
      <c r="QK44" s="67">
        <f>SUM(QK38:QK43)</f>
        <v/>
      </c>
      <c r="QL44" s="67">
        <f>SUM(QL38:QL43)</f>
        <v/>
      </c>
      <c r="QM44" s="67">
        <f>SUM(QM38:QM43)</f>
        <v/>
      </c>
      <c r="QN44" s="67">
        <f>SUM(QN38:QN43)</f>
        <v/>
      </c>
      <c r="QO44" s="67">
        <f>SUM(QO38:QO43)</f>
        <v/>
      </c>
      <c r="QP44" s="67">
        <f>SUM(QP38:QP43)</f>
        <v/>
      </c>
      <c r="QQ44" s="67">
        <f>SUM(QQ38:QQ43)</f>
        <v/>
      </c>
      <c r="QR44" s="67">
        <f>SUM(QR38:QR43)</f>
        <v/>
      </c>
      <c r="QS44" s="67">
        <f>SUM(QS38:QS43)</f>
        <v/>
      </c>
      <c r="QT44" s="67">
        <f>SUM(QT38:QT43)</f>
        <v/>
      </c>
      <c r="QU44" s="67">
        <f>SUM(QU38:QU43)</f>
        <v/>
      </c>
      <c r="QV44" s="67">
        <f>SUM(QV38:QV43)</f>
        <v/>
      </c>
      <c r="QW44" s="67">
        <f>SUM(QW38:QW43)</f>
        <v/>
      </c>
      <c r="QX44" s="67">
        <f>SUM(QX38:QX43)</f>
        <v/>
      </c>
      <c r="QY44" s="67">
        <f>SUM(QY38:QY43)</f>
        <v/>
      </c>
      <c r="QZ44" s="67">
        <f>SUM(QZ38:QZ43)</f>
        <v/>
      </c>
      <c r="RA44" s="67">
        <f>SUM(RA38:RA43)</f>
        <v/>
      </c>
      <c r="RB44" s="67">
        <f>SUM(RB38:RB43)</f>
        <v/>
      </c>
      <c r="RC44" s="67">
        <f>SUM(RC38:RC43)</f>
        <v/>
      </c>
      <c r="RD44" s="67">
        <f>SUM(RD38:RD43)</f>
        <v/>
      </c>
      <c r="RE44" s="67">
        <f>SUM(RE38:RE43)</f>
        <v/>
      </c>
      <c r="RF44" s="67">
        <f>SUM(RF38:RF43)</f>
        <v/>
      </c>
      <c r="RG44" s="130" t="n"/>
      <c r="RH44" s="67">
        <f>SUM(RH38:RH43)</f>
        <v/>
      </c>
      <c r="RI44" s="67">
        <f>SUM(RI38:RI43)</f>
        <v/>
      </c>
      <c r="RJ44" s="67">
        <f>SUM(RJ38:RJ43)</f>
        <v/>
      </c>
      <c r="RK44" s="67">
        <f>SUM(RK38:RK43)</f>
        <v/>
      </c>
      <c r="RL44" s="67">
        <f>SUM(RL38:RL43)</f>
        <v/>
      </c>
      <c r="RM44" s="67">
        <f>SUM(RM38:RM43)</f>
        <v/>
      </c>
      <c r="RN44" s="67">
        <f>SUM(RN38:RN43)</f>
        <v/>
      </c>
      <c r="RO44" s="67">
        <f>SUM(RO38:RO43)</f>
        <v/>
      </c>
      <c r="RP44" s="67">
        <f>SUM(RP38:RP43)</f>
        <v/>
      </c>
      <c r="RQ44" s="67">
        <f>SUM(RQ38:RQ43)</f>
        <v/>
      </c>
      <c r="RR44" s="67">
        <f>SUM(RR38:RR43)</f>
        <v/>
      </c>
      <c r="RS44" s="67">
        <f>SUM(RS38:RS43)</f>
        <v/>
      </c>
      <c r="RT44" s="67">
        <f>SUM(RT38:RT43)</f>
        <v/>
      </c>
      <c r="RU44" s="67">
        <f>SUM(RU38:RU43)</f>
        <v/>
      </c>
      <c r="RV44" s="67">
        <f>SUM(RV38:RV43)</f>
        <v/>
      </c>
      <c r="RW44" s="67">
        <f>SUM(RW38:RW43)</f>
        <v/>
      </c>
      <c r="RX44" s="67">
        <f>SUM(RX38:RX43)</f>
        <v/>
      </c>
      <c r="RY44" s="67">
        <f>SUM(RY38:RY43)</f>
        <v/>
      </c>
      <c r="RZ44" s="67">
        <f>SUM(RZ38:RZ43)</f>
        <v/>
      </c>
      <c r="SA44" s="67">
        <f>SUM(SA38:SA43)</f>
        <v/>
      </c>
      <c r="SB44" s="67">
        <f>SUM(SB38:SB43)</f>
        <v/>
      </c>
      <c r="SC44" s="67">
        <f>SUM(SC38:SC43)</f>
        <v/>
      </c>
      <c r="SD44" s="67">
        <f>SUM(SD38:SD43)</f>
        <v/>
      </c>
      <c r="SE44" s="67">
        <f>SUM(SE38:SE43)</f>
        <v/>
      </c>
      <c r="SF44" s="67">
        <f>SUM(SF38:SF43)</f>
        <v/>
      </c>
      <c r="SG44" s="67">
        <f>SUM(SG38:SG43)</f>
        <v/>
      </c>
      <c r="SH44" s="67">
        <f>SUM(SH38:SH43)</f>
        <v/>
      </c>
      <c r="SI44" s="67">
        <f>SUM(SI38:SI43)</f>
        <v/>
      </c>
      <c r="SJ44" s="67">
        <f>SUM(SJ38:SJ43)</f>
        <v/>
      </c>
      <c r="SK44" s="67">
        <f>SUM(SK38:SK43)</f>
        <v/>
      </c>
      <c r="SL44" s="130" t="n"/>
      <c r="SM44" s="67">
        <f>SUM(SM38:SM43)</f>
        <v/>
      </c>
      <c r="SN44" s="67">
        <f>SUM(SN38:SN43)</f>
        <v/>
      </c>
      <c r="SO44" s="67">
        <f>SUM(SO38:SO43)</f>
        <v/>
      </c>
      <c r="SP44" s="67">
        <f>SUM(SP38:SP43)</f>
        <v/>
      </c>
      <c r="SQ44" s="67">
        <f>SUM(SQ38:SQ43)</f>
        <v/>
      </c>
      <c r="SR44" s="67">
        <f>SUM(SR38:SR43)</f>
        <v/>
      </c>
      <c r="SS44" s="67">
        <f>SUM(SS38:SS43)</f>
        <v/>
      </c>
      <c r="ST44" s="67">
        <f>SUM(ST38:ST43)</f>
        <v/>
      </c>
      <c r="SU44" s="67">
        <f>SUM(SU38:SU43)</f>
        <v/>
      </c>
      <c r="SV44" s="67">
        <f>SUM(SV38:SV43)</f>
        <v/>
      </c>
      <c r="SW44" s="67">
        <f>SUM(SW38:SW43)</f>
        <v/>
      </c>
      <c r="SX44" s="67">
        <f>SUM(SX38:SX43)</f>
        <v/>
      </c>
      <c r="SY44" s="67">
        <f>SUM(SY38:SY43)</f>
        <v/>
      </c>
      <c r="SZ44" s="67">
        <f>SUM(SZ38:SZ43)</f>
        <v/>
      </c>
      <c r="TA44" s="67">
        <f>SUM(TA38:TA43)</f>
        <v/>
      </c>
      <c r="TB44" s="67">
        <f>SUM(TB38:TB43)</f>
        <v/>
      </c>
      <c r="TC44" s="67">
        <f>SUM(TC38:TC43)</f>
        <v/>
      </c>
      <c r="TD44" s="67">
        <f>SUM(TD38:TD43)</f>
        <v/>
      </c>
      <c r="TE44" s="67">
        <f>SUM(TE38:TE43)</f>
        <v/>
      </c>
      <c r="TF44" s="67">
        <f>SUM(TF38:TF43)</f>
        <v/>
      </c>
      <c r="TG44" s="67">
        <f>SUM(TG38:TG43)</f>
        <v/>
      </c>
      <c r="TH44" s="67">
        <f>SUM(TH38:TH43)</f>
        <v/>
      </c>
      <c r="TI44" s="67">
        <f>SUM(TI38:TI43)</f>
        <v/>
      </c>
      <c r="TJ44" s="67">
        <f>SUM(TJ38:TJ43)</f>
        <v/>
      </c>
      <c r="TK44" s="67">
        <f>SUM(TK38:TK43)</f>
        <v/>
      </c>
      <c r="TL44" s="67">
        <f>SUM(TL38:TL43)</f>
        <v/>
      </c>
      <c r="TM44" s="67">
        <f>SUM(TM38:TM43)</f>
        <v/>
      </c>
      <c r="TN44" s="67">
        <f>SUM(TN38:TN43)</f>
        <v/>
      </c>
      <c r="TO44" s="67">
        <f>SUM(TO38:TO43)</f>
        <v/>
      </c>
      <c r="TP44" s="67">
        <f>SUM(TP38:TP43)</f>
        <v/>
      </c>
      <c r="TQ44" s="67">
        <f>SUM(TQ38:TQ43)</f>
        <v/>
      </c>
      <c r="TR44" s="130" t="n"/>
      <c r="TS44" s="67">
        <f>SUM(TS38:TS43)</f>
        <v/>
      </c>
      <c r="TT44" s="67">
        <f>SUM(TT38:TT43)</f>
        <v/>
      </c>
      <c r="TU44" s="67">
        <f>SUM(TU38:TU43)</f>
        <v/>
      </c>
      <c r="TV44" s="67">
        <f>SUM(TV38:TV43)</f>
        <v/>
      </c>
      <c r="TW44" s="67">
        <f>SUM(TW38:TW43)</f>
        <v/>
      </c>
      <c r="TX44" s="67">
        <f>SUM(TX38:TX43)</f>
        <v/>
      </c>
      <c r="TY44" s="67">
        <f>SUM(TY38:TY43)</f>
        <v/>
      </c>
      <c r="TZ44" s="67">
        <f>SUM(TZ38:TZ43)</f>
        <v/>
      </c>
      <c r="UA44" s="67">
        <f>SUM(UA38:UA43)</f>
        <v/>
      </c>
      <c r="UB44" s="67">
        <f>SUM(UB38:UB43)</f>
        <v/>
      </c>
      <c r="UC44" s="67">
        <f>SUM(UC38:UC43)</f>
        <v/>
      </c>
      <c r="UD44" s="67">
        <f>SUM(UD38:UD43)</f>
        <v/>
      </c>
      <c r="UE44" s="67">
        <f>SUM(UE38:UE43)</f>
        <v/>
      </c>
      <c r="UF44" s="67">
        <f>SUM(UF38:UF43)</f>
        <v/>
      </c>
      <c r="UG44" s="67">
        <f>SUM(UG38:UG43)</f>
        <v/>
      </c>
      <c r="UH44" s="67">
        <f>SUM(UH38:UH43)</f>
        <v/>
      </c>
      <c r="UI44" s="67">
        <f>SUM(UI38:UI43)</f>
        <v/>
      </c>
      <c r="UJ44" s="67">
        <f>SUM(UJ38:UJ43)</f>
        <v/>
      </c>
      <c r="UK44" s="67">
        <f>SUM(UK38:UK43)</f>
        <v/>
      </c>
      <c r="UL44" s="67">
        <f>SUM(UL38:UL43)</f>
        <v/>
      </c>
      <c r="UM44" s="67">
        <f>SUM(UM38:UM43)</f>
        <v/>
      </c>
      <c r="UN44" s="67">
        <f>SUM(UN38:UN43)</f>
        <v/>
      </c>
      <c r="UO44" s="67">
        <f>SUM(UO38:UO43)</f>
        <v/>
      </c>
      <c r="UP44" s="67">
        <f>SUM(UP38:UP43)</f>
        <v/>
      </c>
      <c r="UQ44" s="67">
        <f>SUM(UQ38:UQ43)</f>
        <v/>
      </c>
      <c r="UR44" s="67">
        <f>SUM(UR38:UR43)</f>
        <v/>
      </c>
      <c r="US44" s="67">
        <f>SUM(US38:US43)</f>
        <v/>
      </c>
      <c r="UT44" s="67">
        <f>SUM(UT38:UT43)</f>
        <v/>
      </c>
      <c r="UU44" s="67">
        <f>SUM(UU38:UU43)</f>
        <v/>
      </c>
      <c r="UV44" s="67">
        <f>SUM(UV38:UV43)</f>
        <v/>
      </c>
      <c r="UW44" s="67">
        <f>SUM(UW38:UW43)</f>
        <v/>
      </c>
      <c r="UX44" s="130" t="n"/>
      <c r="UY44" s="67">
        <f>SUM(UY38:UY43)</f>
        <v/>
      </c>
      <c r="UZ44" s="67">
        <f>SUM(UZ38:UZ43)</f>
        <v/>
      </c>
      <c r="VA44" s="67">
        <f>SUM(VA38:VA43)</f>
        <v/>
      </c>
      <c r="VB44" s="67">
        <f>SUM(VB38:VB43)</f>
        <v/>
      </c>
      <c r="VC44" s="67">
        <f>SUM(VC38:VC43)</f>
        <v/>
      </c>
      <c r="VD44" s="67">
        <f>SUM(VD38:VD43)</f>
        <v/>
      </c>
      <c r="VE44" s="67">
        <f>SUM(VE38:VE43)</f>
        <v/>
      </c>
      <c r="VF44" s="67">
        <f>SUM(VF38:VF43)</f>
        <v/>
      </c>
      <c r="VG44" s="67">
        <f>SUM(VG38:VG43)</f>
        <v/>
      </c>
      <c r="VH44" s="67">
        <f>SUM(VH38:VH43)</f>
        <v/>
      </c>
      <c r="VI44" s="67">
        <f>SUM(VI38:VI43)</f>
        <v/>
      </c>
      <c r="VJ44" s="67">
        <f>SUM(VJ38:VJ43)</f>
        <v/>
      </c>
      <c r="VK44" s="67">
        <f>SUM(VK38:VK43)</f>
        <v/>
      </c>
      <c r="VL44" s="67">
        <f>SUM(VL38:VL43)</f>
        <v/>
      </c>
      <c r="VM44" s="67">
        <f>SUM(VM38:VM43)</f>
        <v/>
      </c>
      <c r="VN44" s="67">
        <f>SUM(VN38:VN43)</f>
        <v/>
      </c>
      <c r="VO44" s="67">
        <f>SUM(VO38:VO43)</f>
        <v/>
      </c>
      <c r="VP44" s="67">
        <f>SUM(VP38:VP43)</f>
        <v/>
      </c>
      <c r="VQ44" s="67">
        <f>SUM(VQ38:VQ43)</f>
        <v/>
      </c>
      <c r="VR44" s="67">
        <f>SUM(VR38:VR43)</f>
        <v/>
      </c>
      <c r="VS44" s="67">
        <f>SUM(VS38:VS43)</f>
        <v/>
      </c>
      <c r="VT44" s="67">
        <f>SUM(VT38:VT43)</f>
        <v/>
      </c>
      <c r="VU44" s="67">
        <f>SUM(VU38:VU43)</f>
        <v/>
      </c>
      <c r="VV44" s="67">
        <f>SUM(VV38:VV43)</f>
        <v/>
      </c>
      <c r="VW44" s="67">
        <f>SUM(VW38:VW43)</f>
        <v/>
      </c>
      <c r="VX44" s="67">
        <f>SUM(VX38:VX43)</f>
        <v/>
      </c>
      <c r="VY44" s="67">
        <f>SUM(VY38:VY43)</f>
        <v/>
      </c>
      <c r="VZ44" s="67">
        <f>SUM(VZ38:VZ43)</f>
        <v/>
      </c>
      <c r="WA44" s="140" t="n"/>
      <c r="WB44" s="67">
        <f>SUM(WB38:WB43)</f>
        <v/>
      </c>
      <c r="WC44" s="67">
        <f>SUM(WC38:WC43)</f>
        <v/>
      </c>
      <c r="WD44" s="67">
        <f>SUM(WD38:WD43)</f>
        <v/>
      </c>
      <c r="WE44" s="67">
        <f>SUM(WE38:WE43)</f>
        <v/>
      </c>
      <c r="WF44" s="67">
        <f>SUM(WF38:WF43)</f>
        <v/>
      </c>
      <c r="WG44" s="67">
        <f>SUM(WG38:WG43)</f>
        <v/>
      </c>
      <c r="WH44" s="67">
        <f>SUM(WH38:WH43)</f>
        <v/>
      </c>
      <c r="WI44" s="67">
        <f>SUM(WI38:WI43)</f>
        <v/>
      </c>
      <c r="WJ44" s="67">
        <f>SUM(WJ38:WJ43)</f>
        <v/>
      </c>
      <c r="WK44" s="67">
        <f>SUM(WK38:WK43)</f>
        <v/>
      </c>
      <c r="WL44" s="67">
        <f>SUM(WL38:WL43)</f>
        <v/>
      </c>
      <c r="WM44" s="67">
        <f>SUM(WM38:WM43)</f>
        <v/>
      </c>
      <c r="WN44" s="67">
        <f>SUM(WN38:WN43)</f>
        <v/>
      </c>
      <c r="WO44" s="67">
        <f>SUM(WO38:WO43)</f>
        <v/>
      </c>
      <c r="WP44" s="67">
        <f>SUM(WP38:WP43)</f>
        <v/>
      </c>
      <c r="WQ44" s="67">
        <f>SUM(WQ38:WQ43)</f>
        <v/>
      </c>
      <c r="WR44" s="67">
        <f>SUM(WR38:WR43)</f>
        <v/>
      </c>
      <c r="WS44" s="67">
        <f>SUM(WS38:WS43)</f>
        <v/>
      </c>
      <c r="WT44" s="67">
        <f>SUM(WT38:WT43)</f>
        <v/>
      </c>
      <c r="WU44" s="67">
        <f>SUM(WU38:WU43)</f>
        <v/>
      </c>
      <c r="WV44" s="67">
        <f>SUM(WV38:WV43)</f>
        <v/>
      </c>
      <c r="WW44" s="67">
        <f>SUM(WW38:WW43)</f>
        <v/>
      </c>
      <c r="WX44" s="67">
        <f>SUM(WX38:WX43)</f>
        <v/>
      </c>
      <c r="WY44" s="67">
        <f>SUM(WY38:WY43)</f>
        <v/>
      </c>
      <c r="WZ44" s="67">
        <f>SUM(WZ38:WZ43)</f>
        <v/>
      </c>
      <c r="XA44" s="67">
        <f>SUM(XA38:XA43)</f>
        <v/>
      </c>
      <c r="XB44" s="67">
        <f>SUM(XB38:XB43)</f>
        <v/>
      </c>
      <c r="XC44" s="67">
        <f>SUM(XC38:XC43)</f>
        <v/>
      </c>
      <c r="XD44" s="67">
        <f>SUM(XD38:XD43)</f>
        <v/>
      </c>
      <c r="XE44" s="67">
        <f>SUM(XE38:XE43)</f>
        <v/>
      </c>
      <c r="XF44" s="67">
        <f>SUM(XF38:XF43)</f>
        <v/>
      </c>
      <c r="XG44" s="140" t="n"/>
      <c r="XH44" s="67">
        <f>SUM(XH38:XH43)</f>
        <v/>
      </c>
      <c r="XI44" s="67">
        <f>SUM(XI38:XI43)</f>
        <v/>
      </c>
      <c r="XJ44" s="67">
        <f>SUM(XJ38:XJ43)</f>
        <v/>
      </c>
      <c r="XK44" s="67">
        <f>SUM(XK38:XK43)</f>
        <v/>
      </c>
      <c r="XL44" s="67">
        <f>SUM(XL38:XL43)</f>
        <v/>
      </c>
      <c r="XM44" s="67">
        <f>SUM(XM38:XM43)</f>
        <v/>
      </c>
      <c r="XN44" s="67">
        <f>SUM(XN38:XN43)</f>
        <v/>
      </c>
      <c r="XO44" s="67">
        <f>SUM(XO38:XO43)</f>
        <v/>
      </c>
      <c r="XP44" s="67">
        <f>SUM(XP38:XP43)</f>
        <v/>
      </c>
      <c r="XQ44" s="67">
        <f>SUM(XQ38:XQ43)</f>
        <v/>
      </c>
      <c r="XR44" s="67">
        <f>SUM(XR38:XR43)</f>
        <v/>
      </c>
      <c r="XS44" s="67">
        <f>SUM(XS38:XS43)</f>
        <v/>
      </c>
      <c r="XT44" s="67">
        <f>SUM(XT38:XT43)</f>
        <v/>
      </c>
      <c r="XU44" s="67">
        <f>SUM(XU38:XU43)</f>
        <v/>
      </c>
      <c r="XV44" s="67">
        <f>SUM(XV38:XV43)</f>
        <v/>
      </c>
      <c r="XW44" s="67">
        <f>SUM(XW38:XW43)</f>
        <v/>
      </c>
      <c r="XX44" s="67">
        <f>SUM(XX38:XX43)</f>
        <v/>
      </c>
      <c r="XY44" s="67">
        <f>SUM(XY38:XY43)</f>
        <v/>
      </c>
      <c r="XZ44" s="67">
        <f>SUM(XZ38:XZ43)</f>
        <v/>
      </c>
      <c r="YA44" s="67">
        <f>SUM(YA38:YA43)</f>
        <v/>
      </c>
      <c r="YB44" s="67">
        <f>SUM(YB38:YB43)</f>
        <v/>
      </c>
      <c r="YC44" s="67">
        <f>SUM(YC38:YC43)</f>
        <v/>
      </c>
      <c r="YD44" s="67">
        <f>SUM(YD38:YD43)</f>
        <v/>
      </c>
      <c r="YE44" s="67">
        <f>SUM(YE38:YE43)</f>
        <v/>
      </c>
      <c r="YF44" s="67">
        <f>SUM(YF38:YF43)</f>
        <v/>
      </c>
      <c r="YG44" s="67">
        <f>SUM(YG38:YG43)</f>
        <v/>
      </c>
      <c r="YH44" s="67">
        <f>SUM(YH38:YH43)</f>
        <v/>
      </c>
      <c r="YI44" s="67">
        <f>SUM(YI38:YI43)</f>
        <v/>
      </c>
      <c r="YJ44" s="67">
        <f>SUM(YJ38:YJ43)</f>
        <v/>
      </c>
      <c r="YK44" s="67">
        <f>SUM(YK38:YK43)</f>
        <v/>
      </c>
      <c r="YL44" s="130" t="n"/>
      <c r="YM44" s="67">
        <f>SUM(YM38:YM43)</f>
        <v/>
      </c>
      <c r="YN44" s="67">
        <f>SUM(YN38:YN43)</f>
        <v/>
      </c>
      <c r="YO44" s="67">
        <f>SUM(YO38:YO43)</f>
        <v/>
      </c>
      <c r="YP44" s="67">
        <f>SUM(YP38:YP43)</f>
        <v/>
      </c>
      <c r="YQ44" s="67">
        <f>SUM(YQ38:YQ43)</f>
        <v/>
      </c>
      <c r="YR44" s="67">
        <f>SUM(YR38:YR43)</f>
        <v/>
      </c>
      <c r="YS44" s="67">
        <f>SUM(YS38:YS43)</f>
        <v/>
      </c>
      <c r="YT44" s="67">
        <f>SUM(YT38:YT43)</f>
        <v/>
      </c>
      <c r="YU44" s="67">
        <f>SUM(YU38:YU43)</f>
        <v/>
      </c>
      <c r="YV44" s="67">
        <f>SUM(YV38:YV43)</f>
        <v/>
      </c>
      <c r="YW44" s="67">
        <f>SUM(YW38:YW43)</f>
        <v/>
      </c>
      <c r="YX44" s="67">
        <f>SUM(YX38:YX43)</f>
        <v/>
      </c>
      <c r="YY44" s="67">
        <f>SUM(YY38:YY43)</f>
        <v/>
      </c>
      <c r="YZ44" s="67">
        <f>SUM(YZ38:YZ43)</f>
        <v/>
      </c>
      <c r="ZA44" s="67">
        <f>SUM(ZA38:ZA43)</f>
        <v/>
      </c>
      <c r="ZB44" s="67">
        <f>SUM(ZB38:ZB43)</f>
        <v/>
      </c>
      <c r="ZC44" s="67">
        <f>SUM(ZC38:ZC43)</f>
        <v/>
      </c>
      <c r="ZD44" s="67">
        <f>SUM(ZD38:ZD43)</f>
        <v/>
      </c>
      <c r="ZE44" s="67">
        <f>SUM(ZE38:ZE43)</f>
        <v/>
      </c>
      <c r="ZF44" s="67">
        <f>SUM(ZF38:ZF43)</f>
        <v/>
      </c>
      <c r="ZG44" s="67">
        <f>SUM(ZG38:ZG43)</f>
        <v/>
      </c>
      <c r="ZH44" s="67">
        <f>SUM(ZH38:ZH43)</f>
        <v/>
      </c>
      <c r="ZI44" s="67">
        <f>SUM(ZI38:ZI43)</f>
        <v/>
      </c>
      <c r="ZJ44" s="67">
        <f>SUM(ZJ38:ZJ43)</f>
        <v/>
      </c>
      <c r="ZK44" s="67">
        <f>SUM(ZK38:ZK43)</f>
        <v/>
      </c>
      <c r="ZL44" s="67">
        <f>SUM(ZL38:ZL43)</f>
        <v/>
      </c>
      <c r="ZM44" s="67">
        <f>SUM(ZM38:ZM43)</f>
        <v/>
      </c>
      <c r="ZN44" s="67">
        <f>SUM(ZN38:ZN43)</f>
        <v/>
      </c>
      <c r="ZO44" s="67">
        <f>SUM(ZO38:ZO43)</f>
        <v/>
      </c>
      <c r="ZP44" s="67">
        <f>SUM(ZP38:ZP43)</f>
        <v/>
      </c>
      <c r="ZQ44" s="67">
        <f>SUM(ZQ38:ZQ43)</f>
        <v/>
      </c>
      <c r="ZR44" s="130" t="n"/>
      <c r="ZS44" s="67">
        <f>SUM(ZS38:ZS43)</f>
        <v/>
      </c>
      <c r="ZT44" s="67">
        <f>SUM(ZT38:ZT43)</f>
        <v/>
      </c>
      <c r="ZU44" s="67">
        <f>SUM(ZU38:ZU43)</f>
        <v/>
      </c>
      <c r="ZV44" s="67">
        <f>SUM(ZV38:ZV43)</f>
        <v/>
      </c>
      <c r="ZW44" s="67">
        <f>SUM(ZW38:ZW43)</f>
        <v/>
      </c>
      <c r="ZX44" s="67">
        <f>SUM(ZX38:ZX43)</f>
        <v/>
      </c>
      <c r="ZY44" s="67">
        <f>SUM(ZY38:ZY43)</f>
        <v/>
      </c>
      <c r="ZZ44" s="67">
        <f>SUM(ZZ38:ZZ43)</f>
        <v/>
      </c>
      <c r="AAA44" s="67">
        <f>SUM(AAA38:AAA43)</f>
        <v/>
      </c>
      <c r="AAB44" s="67">
        <f>SUM(AAB38:AAB43)</f>
        <v/>
      </c>
      <c r="AAC44" s="67">
        <f>SUM(AAC38:AAC43)</f>
        <v/>
      </c>
      <c r="AAD44" s="67">
        <f>SUM(AAD38:AAD43)</f>
        <v/>
      </c>
      <c r="AAE44" s="67">
        <f>SUM(AAE38:AAE43)</f>
        <v/>
      </c>
      <c r="AAF44" s="67">
        <f>SUM(AAF38:AAF43)</f>
        <v/>
      </c>
      <c r="AAG44" s="67">
        <f>SUM(AAG38:AAG43)</f>
        <v/>
      </c>
      <c r="AAH44" s="67">
        <f>SUM(AAH38:AAH43)</f>
        <v/>
      </c>
      <c r="AAI44" s="67">
        <f>SUM(AAI38:AAI43)</f>
        <v/>
      </c>
      <c r="AAJ44" s="67">
        <f>SUM(AAJ38:AAJ43)</f>
        <v/>
      </c>
      <c r="AAK44" s="67">
        <f>SUM(AAK38:AAK43)</f>
        <v/>
      </c>
      <c r="AAL44" s="67">
        <f>SUM(AAL38:AAL43)</f>
        <v/>
      </c>
      <c r="AAM44" s="67">
        <f>SUM(AAM38:AAM43)</f>
        <v/>
      </c>
      <c r="AAN44" s="67">
        <f>SUM(AAN38:AAN43)</f>
        <v/>
      </c>
      <c r="AAO44" s="67">
        <f>SUM(AAO38:AAO43)</f>
        <v/>
      </c>
      <c r="AAP44" s="67">
        <f>SUM(AAP38:AAP43)</f>
        <v/>
      </c>
      <c r="AAQ44" s="67">
        <f>SUM(AAQ38:AAQ43)</f>
        <v/>
      </c>
      <c r="AAR44" s="67">
        <f>SUM(AAR38:AAR43)</f>
        <v/>
      </c>
      <c r="AAS44" s="67">
        <f>SUM(AAS38:AAS43)</f>
        <v/>
      </c>
      <c r="AAT44" s="67">
        <f>SUM(AAT38:AAT43)</f>
        <v/>
      </c>
      <c r="AAU44" s="67">
        <f>SUM(AAU38:AAU43)</f>
        <v/>
      </c>
      <c r="AAV44" s="67">
        <f>SUM(AAV38:AAV43)</f>
        <v/>
      </c>
      <c r="AAW44" s="130" t="n"/>
      <c r="AAX44" s="67">
        <f>SUM(AAX38:AAX43)</f>
        <v/>
      </c>
      <c r="AAY44" s="67">
        <f>SUM(AAY38:AAY43)</f>
        <v/>
      </c>
      <c r="AAZ44" s="67">
        <f>SUM(AAZ38:AAZ43)</f>
        <v/>
      </c>
      <c r="ABA44" s="67">
        <f>SUM(ABA38:ABA43)</f>
        <v/>
      </c>
      <c r="ABB44" s="67">
        <f>SUM(ABB38:ABB43)</f>
        <v/>
      </c>
      <c r="ABC44" s="67">
        <f>SUM(ABC38:ABC43)</f>
        <v/>
      </c>
      <c r="ABD44" s="67">
        <f>SUM(ABD38:ABD43)</f>
        <v/>
      </c>
      <c r="ABE44" s="67">
        <f>SUM(ABE38:ABE43)</f>
        <v/>
      </c>
      <c r="ABF44" s="67">
        <f>SUM(ABF38:ABF43)</f>
        <v/>
      </c>
      <c r="ABG44" s="67">
        <f>SUM(ABG38:ABG43)</f>
        <v/>
      </c>
      <c r="ABH44" s="67">
        <f>SUM(ABH38:ABH43)</f>
        <v/>
      </c>
      <c r="ABI44" s="67">
        <f>SUM(ABI38:ABI43)</f>
        <v/>
      </c>
      <c r="ABJ44" s="67">
        <f>SUM(ABJ38:ABJ43)</f>
        <v/>
      </c>
      <c r="ABK44" s="67">
        <f>SUM(ABK38:ABK43)</f>
        <v/>
      </c>
      <c r="ABL44" s="67">
        <f>SUM(ABL38:ABL43)</f>
        <v/>
      </c>
      <c r="ABM44" s="67">
        <f>SUM(ABM38:ABM43)</f>
        <v/>
      </c>
      <c r="ABN44" s="67">
        <f>SUM(ABN38:ABN43)</f>
        <v/>
      </c>
      <c r="ABO44" s="67">
        <f>SUM(ABO38:ABO43)</f>
        <v/>
      </c>
      <c r="ABP44" s="67">
        <f>SUM(ABP38:ABP43)</f>
        <v/>
      </c>
      <c r="ABQ44" s="67">
        <f>SUM(ABQ38:ABQ43)</f>
        <v/>
      </c>
      <c r="ABR44" s="67">
        <f>SUM(ABR38:ABR43)</f>
        <v/>
      </c>
      <c r="ABS44" s="67">
        <f>SUM(ABS38:ABS43)</f>
        <v/>
      </c>
      <c r="ABT44" s="67">
        <f>SUM(ABT38:ABT43)</f>
        <v/>
      </c>
      <c r="ABU44" s="67">
        <f>SUM(ABU38:ABU43)</f>
        <v/>
      </c>
      <c r="ABV44" s="67">
        <f>SUM(ABV38:ABV43)</f>
        <v/>
      </c>
      <c r="ABW44" s="67">
        <f>SUM(ABW38:ABW43)</f>
        <v/>
      </c>
      <c r="ABX44" s="67">
        <f>SUM(ABX38:ABX43)</f>
        <v/>
      </c>
      <c r="ABY44" s="67">
        <f>SUM(ABY38:ABY43)</f>
        <v/>
      </c>
      <c r="ABZ44" s="67">
        <f>SUM(ABZ38:ABZ43)</f>
        <v/>
      </c>
      <c r="ACA44" s="67">
        <f>SUM(ACA38:ACA43)</f>
        <v/>
      </c>
      <c r="ACB44" s="67">
        <f>SUM(ACB38:ACB43)</f>
        <v/>
      </c>
      <c r="ACC44" s="130" t="n"/>
      <c r="ACD44" s="67">
        <f>SUM(ACD38:ACD43)</f>
        <v/>
      </c>
      <c r="ACE44" s="67">
        <f>SUM(ACE38:ACE43)</f>
        <v/>
      </c>
      <c r="ACF44" s="67">
        <f>SUM(ACF38:ACF43)</f>
        <v/>
      </c>
      <c r="ACG44" s="67">
        <f>SUM(ACG38:ACG43)</f>
        <v/>
      </c>
      <c r="ACH44" s="67">
        <f>SUM(ACH38:ACH43)</f>
        <v/>
      </c>
      <c r="ACI44" s="67">
        <f>SUM(ACI38:ACI43)</f>
        <v/>
      </c>
      <c r="ACJ44" s="67">
        <f>SUM(ACJ38:ACJ43)</f>
        <v/>
      </c>
      <c r="ACK44" s="67">
        <f>SUM(ACK38:ACK43)</f>
        <v/>
      </c>
      <c r="ACL44" s="67">
        <f>SUM(ACL38:ACL43)</f>
        <v/>
      </c>
      <c r="ACM44" s="67">
        <f>SUM(ACM38:ACM43)</f>
        <v/>
      </c>
      <c r="ACN44" s="67">
        <f>SUM(ACN38:ACN43)</f>
        <v/>
      </c>
      <c r="ACO44" s="67">
        <f>SUM(ACO38:ACO43)</f>
        <v/>
      </c>
      <c r="ACP44" s="67">
        <f>SUM(ACP38:ACP43)</f>
        <v/>
      </c>
      <c r="ACQ44" s="67">
        <f>SUM(ACQ38:ACQ43)</f>
        <v/>
      </c>
      <c r="ACR44" s="67">
        <f>SUM(ACR38:ACR43)</f>
        <v/>
      </c>
      <c r="ACS44" s="67">
        <f>SUM(ACS38:ACS43)</f>
        <v/>
      </c>
      <c r="ACT44" s="67">
        <f>SUM(ACT38:ACT43)</f>
        <v/>
      </c>
      <c r="ACU44" s="67">
        <f>SUM(ACU38:ACU43)</f>
        <v/>
      </c>
      <c r="ACV44" s="67">
        <f>SUM(ACV38:ACV43)</f>
        <v/>
      </c>
      <c r="ACW44" s="67">
        <f>SUM(ACW38:ACW43)</f>
        <v/>
      </c>
      <c r="ACX44" s="67">
        <f>SUM(ACX38:ACX43)</f>
        <v/>
      </c>
      <c r="ACY44" s="67">
        <f>SUM(ACY38:ACY43)</f>
        <v/>
      </c>
      <c r="ACZ44" s="67">
        <f>SUM(ACZ38:ACZ43)</f>
        <v/>
      </c>
      <c r="ADA44" s="67">
        <f>SUM(ADA38:ADA43)</f>
        <v/>
      </c>
      <c r="ADB44" s="67">
        <f>SUM(ADB38:ADB43)</f>
        <v/>
      </c>
      <c r="ADC44" s="67">
        <f>SUM(ADC38:ADC43)</f>
        <v/>
      </c>
      <c r="ADD44" s="67">
        <f>SUM(ADD38:ADD43)</f>
        <v/>
      </c>
      <c r="ADE44" s="67">
        <f>SUM(ADE38:ADE43)</f>
        <v/>
      </c>
      <c r="ADF44" s="67">
        <f>SUM(ADF38:ADF43)</f>
        <v/>
      </c>
      <c r="ADG44" s="67">
        <f>SUM(ADG38:ADG43)</f>
        <v/>
      </c>
      <c r="ADH44" s="67">
        <f>SUM(ADH38:ADH43)</f>
        <v/>
      </c>
      <c r="ADI44" s="130" t="n"/>
      <c r="ADJ44" s="67">
        <f>SUM(ADJ38:ADJ43)</f>
        <v/>
      </c>
      <c r="ADK44" s="67">
        <f>SUM(ADK38:ADK43)</f>
        <v/>
      </c>
      <c r="ADL44" s="67">
        <f>SUM(ADL38:ADL43)</f>
        <v/>
      </c>
      <c r="ADM44" s="67">
        <f>SUM(ADM38:ADM43)</f>
        <v/>
      </c>
      <c r="ADN44" s="67">
        <f>SUM(ADN38:ADN43)</f>
        <v/>
      </c>
      <c r="ADO44" s="67">
        <f>SUM(ADO38:ADO43)</f>
        <v/>
      </c>
      <c r="ADP44" s="67">
        <f>SUM(ADP38:ADP43)</f>
        <v/>
      </c>
      <c r="ADQ44" s="67">
        <f>SUM(ADQ38:ADQ43)</f>
        <v/>
      </c>
      <c r="ADR44" s="67">
        <f>SUM(ADR38:ADR43)</f>
        <v/>
      </c>
      <c r="ADS44" s="67">
        <f>SUM(ADS38:ADS43)</f>
        <v/>
      </c>
      <c r="ADT44" s="67">
        <f>SUM(ADT38:ADT43)</f>
        <v/>
      </c>
      <c r="ADU44" s="67">
        <f>SUM(ADU38:ADU43)</f>
        <v/>
      </c>
      <c r="ADV44" s="67">
        <f>SUM(ADV38:ADV43)</f>
        <v/>
      </c>
      <c r="ADW44" s="67">
        <f>SUM(ADW38:ADW43)</f>
        <v/>
      </c>
      <c r="ADX44" s="67">
        <f>SUM(ADX38:ADX43)</f>
        <v/>
      </c>
      <c r="ADY44" s="67">
        <f>SUM(ADY38:ADY43)</f>
        <v/>
      </c>
      <c r="ADZ44" s="67">
        <f>SUM(ADZ38:ADZ43)</f>
        <v/>
      </c>
      <c r="AEA44" s="67">
        <f>SUM(AEA38:AEA43)</f>
        <v/>
      </c>
      <c r="AEB44" s="67">
        <f>SUM(AEB38:AEB43)</f>
        <v/>
      </c>
      <c r="AEC44" s="67">
        <f>SUM(AEC38:AEC43)</f>
        <v/>
      </c>
      <c r="AED44" s="67">
        <f>SUM(AED38:AED43)</f>
        <v/>
      </c>
      <c r="AEE44" s="67">
        <f>SUM(AEE38:AEE43)</f>
        <v/>
      </c>
      <c r="AEF44" s="67">
        <f>SUM(AEF38:AEF43)</f>
        <v/>
      </c>
      <c r="AEG44" s="67">
        <f>SUM(AEG38:AEG43)</f>
        <v/>
      </c>
      <c r="AEH44" s="67">
        <f>SUM(AEH38:AEH43)</f>
        <v/>
      </c>
      <c r="AEI44" s="67">
        <f>SUM(AEI38:AEI43)</f>
        <v/>
      </c>
      <c r="AEJ44" s="67">
        <f>SUM(AEJ38:AEJ43)</f>
        <v/>
      </c>
      <c r="AEK44" s="67">
        <f>SUM(AEK38:AEK43)</f>
        <v/>
      </c>
      <c r="AEL44" s="67">
        <f>SUM(AEL38:AEL43)</f>
        <v/>
      </c>
      <c r="AEM44" s="67">
        <f>SUM(AEM38:AEM43)</f>
        <v/>
      </c>
      <c r="AEN44" s="130" t="n"/>
      <c r="AEO44" s="67">
        <f>SUM(AEO38:AEO43)</f>
        <v/>
      </c>
      <c r="AEP44" s="67">
        <f>SUM(AEP38:AEP43)</f>
        <v/>
      </c>
      <c r="AEQ44" s="67">
        <f>SUM(AEQ38:AEQ43)</f>
        <v/>
      </c>
      <c r="AER44" s="67">
        <f>SUM(AER38:AER43)</f>
        <v/>
      </c>
      <c r="AES44" s="67">
        <f>SUM(AES38:AES43)</f>
        <v/>
      </c>
      <c r="AET44" s="67">
        <f>SUM(AET38:AET43)</f>
        <v/>
      </c>
      <c r="AEU44" s="67">
        <f>SUM(AEU38:AEU43)</f>
        <v/>
      </c>
      <c r="AEV44" s="67">
        <f>SUM(AEV38:AEV43)</f>
        <v/>
      </c>
      <c r="AEW44" s="67">
        <f>SUM(AEW38:AEW43)</f>
        <v/>
      </c>
      <c r="AEX44" s="67">
        <f>SUM(AEX38:AEX43)</f>
        <v/>
      </c>
      <c r="AEY44" s="67">
        <f>SUM(AEY38:AEY43)</f>
        <v/>
      </c>
      <c r="AEZ44" s="67">
        <f>SUM(AEZ38:AEZ43)</f>
        <v/>
      </c>
      <c r="AFA44" s="67">
        <f>SUM(AFA38:AFA43)</f>
        <v/>
      </c>
      <c r="AFB44" s="67">
        <f>SUM(AFB38:AFB43)</f>
        <v/>
      </c>
      <c r="AFC44" s="67">
        <f>SUM(AFC38:AFC43)</f>
        <v/>
      </c>
      <c r="AFD44" s="67">
        <f>SUM(AFD38:AFD43)</f>
        <v/>
      </c>
      <c r="AFE44" s="67">
        <f>SUM(AFE38:AFE43)</f>
        <v/>
      </c>
      <c r="AFF44" s="67">
        <f>SUM(AFF38:AFF43)</f>
        <v/>
      </c>
      <c r="AFG44" s="67">
        <f>SUM(AFG38:AFG43)</f>
        <v/>
      </c>
      <c r="AFH44" s="67">
        <f>SUM(AFH38:AFH43)</f>
        <v/>
      </c>
      <c r="AFI44" s="67">
        <f>SUM(AFI38:AFI43)</f>
        <v/>
      </c>
      <c r="AFJ44" s="67">
        <f>SUM(AFJ38:AFJ43)</f>
        <v/>
      </c>
      <c r="AFK44" s="67">
        <f>SUM(AFK38:AFK43)</f>
        <v/>
      </c>
      <c r="AFL44" s="67">
        <f>SUM(AFL38:AFL43)</f>
        <v/>
      </c>
      <c r="AFM44" s="67">
        <f>SUM(AFM38:AFM43)</f>
        <v/>
      </c>
      <c r="AFN44" s="67">
        <f>SUM(AFN38:AFN43)</f>
        <v/>
      </c>
      <c r="AFO44" s="67">
        <f>SUM(AFO38:AFO43)</f>
        <v/>
      </c>
      <c r="AFP44" s="67">
        <f>SUM(AFP38:AFP43)</f>
        <v/>
      </c>
      <c r="AFQ44" s="67">
        <f>SUM(AFQ38:AFQ43)</f>
        <v/>
      </c>
      <c r="AFR44" s="67">
        <f>SUM(AFR38:AFR43)</f>
        <v/>
      </c>
      <c r="AFS44" s="67">
        <f>SUM(AFS38:AFS43)</f>
        <v/>
      </c>
      <c r="AFT44" s="130" t="n"/>
      <c r="AFU44" s="67">
        <f>SUM(AFU38:AFU43)</f>
        <v/>
      </c>
      <c r="AFV44" s="67">
        <f>SUM(AFV38:AFV43)</f>
        <v/>
      </c>
      <c r="AFW44" s="67">
        <f>SUM(AFW38:AFW43)</f>
        <v/>
      </c>
      <c r="AFX44" s="67">
        <f>SUM(AFX38:AFX43)</f>
        <v/>
      </c>
      <c r="AFY44" s="67">
        <f>SUM(AFY38:AFY43)</f>
        <v/>
      </c>
      <c r="AFZ44" s="67">
        <f>SUM(AFZ38:AFZ43)</f>
        <v/>
      </c>
      <c r="AGA44" s="67">
        <f>SUM(AGA38:AGA43)</f>
        <v/>
      </c>
      <c r="AGB44" s="67">
        <f>SUM(AGB38:AGB43)</f>
        <v/>
      </c>
      <c r="AGC44" s="67">
        <f>SUM(AGC38:AGC43)</f>
        <v/>
      </c>
      <c r="AGD44" s="67">
        <f>SUM(AGD38:AGD43)</f>
        <v/>
      </c>
      <c r="AGE44" s="67">
        <f>SUM(AGE38:AGE43)</f>
        <v/>
      </c>
      <c r="AGF44" s="67">
        <f>SUM(AGF38:AGF43)</f>
        <v/>
      </c>
      <c r="AGG44" s="67">
        <f>SUM(AGG38:AGG43)</f>
        <v/>
      </c>
      <c r="AGH44" s="67">
        <f>SUM(AGH38:AGH43)</f>
        <v/>
      </c>
      <c r="AGI44" s="67">
        <f>SUM(AGI38:AGI43)</f>
        <v/>
      </c>
      <c r="AGJ44" s="67">
        <f>SUM(AGJ38:AGJ43)</f>
        <v/>
      </c>
      <c r="AGK44" s="67">
        <f>SUM(AGK38:AGK43)</f>
        <v/>
      </c>
      <c r="AGL44" s="67">
        <f>SUM(AGL38:AGL43)</f>
        <v/>
      </c>
      <c r="AGM44" s="67">
        <f>SUM(AGM38:AGM43)</f>
        <v/>
      </c>
      <c r="AGN44" s="67">
        <f>SUM(AGN38:AGN43)</f>
        <v/>
      </c>
      <c r="AGO44" s="67">
        <f>SUM(AGO38:AGO43)</f>
        <v/>
      </c>
      <c r="AGP44" s="67">
        <f>SUM(AGP38:AGP43)</f>
        <v/>
      </c>
      <c r="AGQ44" s="67">
        <f>SUM(AGQ38:AGQ43)</f>
        <v/>
      </c>
      <c r="AGR44" s="67">
        <f>SUM(AGR38:AGR43)</f>
        <v/>
      </c>
      <c r="AGS44" s="67">
        <f>SUM(AGS38:AGS43)</f>
        <v/>
      </c>
      <c r="AGT44" s="67">
        <f>SUM(AGT38:AGT43)</f>
        <v/>
      </c>
      <c r="AGU44" s="67">
        <f>SUM(AGU38:AGU43)</f>
        <v/>
      </c>
      <c r="AGV44" s="67">
        <f>SUM(AGV38:AGV43)</f>
        <v/>
      </c>
      <c r="AGW44" s="67">
        <f>SUM(AGW38:AGW43)</f>
        <v/>
      </c>
      <c r="AGX44" s="67">
        <f>SUM(AGX38:AGX43)</f>
        <v/>
      </c>
      <c r="AGY44" s="140" t="n"/>
      <c r="AGZ44" s="67">
        <f>SUM(AGZ38:AGZ43)</f>
        <v/>
      </c>
      <c r="AHA44" s="67">
        <f>SUM(AHA38:AHA43)</f>
        <v/>
      </c>
      <c r="AHB44" s="67">
        <f>SUM(AHB38:AHB43)</f>
        <v/>
      </c>
      <c r="AHC44" s="67">
        <f>SUM(AHC38:AHC43)</f>
        <v/>
      </c>
      <c r="AHD44" s="67">
        <f>SUM(AHD38:AHD43)</f>
        <v/>
      </c>
      <c r="AHE44" s="67">
        <f>SUM(AHE38:AHE43)</f>
        <v/>
      </c>
      <c r="AHF44" s="67">
        <f>SUM(AHF38:AHF43)</f>
        <v/>
      </c>
      <c r="AHG44" s="67">
        <f>SUM(AHG38:AHG43)</f>
        <v/>
      </c>
      <c r="AHH44" s="67">
        <f>SUM(AHH38:AHH43)</f>
        <v/>
      </c>
      <c r="AHI44" s="67">
        <f>SUM(AHI38:AHI43)</f>
        <v/>
      </c>
      <c r="AHJ44" s="67">
        <f>SUM(AHJ38:AHJ43)</f>
        <v/>
      </c>
      <c r="AHK44" s="67">
        <f>SUM(AHK38:AHK43)</f>
        <v/>
      </c>
      <c r="AHL44" s="67">
        <f>SUM(AHL38:AHL43)</f>
        <v/>
      </c>
      <c r="AHM44" s="67">
        <f>SUM(AHM38:AHM43)</f>
        <v/>
      </c>
      <c r="AHN44" s="67">
        <f>SUM(AHN38:AHN43)</f>
        <v/>
      </c>
      <c r="AHO44" s="67">
        <f>SUM(AHO38:AHO43)</f>
        <v/>
      </c>
      <c r="AHP44" s="67">
        <f>SUM(AHP38:AHP43)</f>
        <v/>
      </c>
      <c r="AHQ44" s="67">
        <f>SUM(AHQ38:AHQ43)</f>
        <v/>
      </c>
      <c r="AHR44" s="67">
        <f>SUM(AHR38:AHR43)</f>
        <v/>
      </c>
      <c r="AHS44" s="67">
        <f>SUM(AHS38:AHS43)</f>
        <v/>
      </c>
      <c r="AHT44" s="67">
        <f>SUM(AHT38:AHT43)</f>
        <v/>
      </c>
      <c r="AHU44" s="67">
        <f>SUM(AHU38:AHU43)</f>
        <v/>
      </c>
      <c r="AHV44" s="67">
        <f>SUM(AHV38:AHV43)</f>
        <v/>
      </c>
      <c r="AHW44" s="67">
        <f>SUM(AHW38:AHW43)</f>
        <v/>
      </c>
      <c r="AHX44" s="67">
        <f>SUM(AHX38:AHX43)</f>
        <v/>
      </c>
      <c r="AHY44" s="67">
        <f>SUM(AHY38:AHY43)</f>
        <v/>
      </c>
      <c r="AHZ44" s="67">
        <f>SUM(AHZ38:AHZ43)</f>
        <v/>
      </c>
      <c r="AIA44" s="67">
        <f>SUM(AIA38:AIA43)</f>
        <v/>
      </c>
      <c r="AIB44" s="67">
        <f>SUM(AIB38:AIB43)</f>
        <v/>
      </c>
      <c r="AIC44" s="67">
        <f>SUM(AIC38:AIC43)</f>
        <v/>
      </c>
      <c r="AID44" s="67">
        <f>SUM(AID38:AID43)</f>
        <v/>
      </c>
      <c r="AIE44" s="130" t="n"/>
      <c r="AIF44" s="67">
        <f>SUM(AIF38:AIF43)</f>
        <v/>
      </c>
      <c r="AIG44" s="67">
        <f>SUM(AIG38:AIG43)</f>
        <v/>
      </c>
      <c r="AIH44" s="67">
        <f>SUM(AIH38:AIH43)</f>
        <v/>
      </c>
      <c r="AII44" s="67">
        <f>SUM(AII38:AII43)</f>
        <v/>
      </c>
      <c r="AIJ44" s="67">
        <f>SUM(AIJ38:AIJ43)</f>
        <v/>
      </c>
      <c r="AIK44" s="67">
        <f>SUM(AIK38:AIK43)</f>
        <v/>
      </c>
      <c r="AIL44" s="67">
        <f>SUM(AIL38:AIL43)</f>
        <v/>
      </c>
      <c r="AIM44" s="67">
        <f>SUM(AIM38:AIM43)</f>
        <v/>
      </c>
      <c r="AIN44" s="67">
        <f>SUM(AIN38:AIN43)</f>
        <v/>
      </c>
      <c r="AIO44" s="67">
        <f>SUM(AIO38:AIO43)</f>
        <v/>
      </c>
      <c r="AIP44" s="67">
        <f>SUM(AIP38:AIP43)</f>
        <v/>
      </c>
      <c r="AIQ44" s="67">
        <f>SUM(AIQ38:AIQ43)</f>
        <v/>
      </c>
      <c r="AIR44" s="67">
        <f>SUM(AIR38:AIR43)</f>
        <v/>
      </c>
      <c r="AIS44" s="67">
        <f>SUM(AIS38:AIS43)</f>
        <v/>
      </c>
      <c r="AIT44" s="67">
        <f>SUM(AIT38:AIT43)</f>
        <v/>
      </c>
      <c r="AIU44" s="67">
        <f>SUM(AIU38:AIU43)</f>
        <v/>
      </c>
      <c r="AIV44" s="67">
        <f>SUM(AIV38:AIV43)</f>
        <v/>
      </c>
      <c r="AIW44" s="67">
        <f>SUM(AIW38:AIW43)</f>
        <v/>
      </c>
      <c r="AIX44" s="67">
        <f>SUM(AIX38:AIX43)</f>
        <v/>
      </c>
      <c r="AIY44" s="67">
        <f>SUM(AIY38:AIY43)</f>
        <v/>
      </c>
      <c r="AIZ44" s="67">
        <f>SUM(AIZ38:AIZ43)</f>
        <v/>
      </c>
      <c r="AJA44" s="67">
        <f>SUM(AJA38:AJA43)</f>
        <v/>
      </c>
      <c r="AJB44" s="67">
        <f>SUM(AJB38:AJB43)</f>
        <v/>
      </c>
      <c r="AJC44" s="67">
        <f>SUM(AJC38:AJC43)</f>
        <v/>
      </c>
      <c r="AJD44" s="67">
        <f>SUM(AJD38:AJD43)</f>
        <v/>
      </c>
      <c r="AJE44" s="67">
        <f>SUM(AJE38:AJE43)</f>
        <v/>
      </c>
      <c r="AJF44" s="67">
        <f>SUM(AJF38:AJF43)</f>
        <v/>
      </c>
      <c r="AJG44" s="67">
        <f>SUM(AJG38:AJG43)</f>
        <v/>
      </c>
      <c r="AJH44" s="67">
        <f>SUM(AJH38:AJH43)</f>
        <v/>
      </c>
      <c r="AJI44" s="67">
        <f>SUM(AJI38:AJI43)</f>
        <v/>
      </c>
      <c r="AJJ44" s="67">
        <f>SUM(AJJ38:AJJ43)</f>
        <v/>
      </c>
      <c r="AJK44" s="145" t="n"/>
      <c r="AJL44" s="67">
        <f>SUM(AJL38:AJL43)</f>
        <v/>
      </c>
      <c r="AJM44" s="67">
        <f>SUM(AJM38:AJM43)</f>
        <v/>
      </c>
      <c r="AJN44" s="67">
        <f>SUM(AJN38:AJN43)</f>
        <v/>
      </c>
      <c r="AJO44" s="67">
        <f>SUM(AJO38:AJO43)</f>
        <v/>
      </c>
      <c r="AJP44" s="67">
        <f>SUM(AJP38:AJP43)</f>
        <v/>
      </c>
      <c r="AJQ44" s="67">
        <f>SUM(AJQ38:AJQ43)</f>
        <v/>
      </c>
      <c r="AJR44" s="67">
        <f>SUM(AJR38:AJR43)</f>
        <v/>
      </c>
      <c r="AJS44" s="67">
        <f>SUM(AJS38:AJS43)</f>
        <v/>
      </c>
      <c r="AJT44" s="67">
        <f>SUM(AJT38:AJT43)</f>
        <v/>
      </c>
      <c r="AJU44" s="67">
        <f>SUM(AJU38:AJU43)</f>
        <v/>
      </c>
      <c r="AJV44" s="67">
        <f>SUM(AJV38:AJV43)</f>
        <v/>
      </c>
      <c r="AJW44" s="67">
        <f>SUM(AJW38:AJW43)</f>
        <v/>
      </c>
      <c r="AJX44" s="67">
        <f>SUM(AJX38:AJX43)</f>
        <v/>
      </c>
      <c r="AJY44" s="67">
        <f>SUM(AJY38:AJY43)</f>
        <v/>
      </c>
      <c r="AJZ44" s="67">
        <f>SUM(AJZ38:AJZ43)</f>
        <v/>
      </c>
      <c r="AKA44" s="67">
        <f>SUM(AKA38:AKA43)</f>
        <v/>
      </c>
      <c r="AKB44" s="67">
        <f>SUM(AKB38:AKB43)</f>
        <v/>
      </c>
      <c r="AKC44" s="67">
        <f>SUM(AKC38:AKC43)</f>
        <v/>
      </c>
      <c r="AKD44" s="67">
        <f>SUM(AKD38:AKD43)</f>
        <v/>
      </c>
      <c r="AKE44" s="67">
        <f>SUM(AKE38:AKE43)</f>
        <v/>
      </c>
      <c r="AKF44" s="67">
        <f>SUM(AKF38:AKF43)</f>
        <v/>
      </c>
      <c r="AKG44" s="67">
        <f>SUM(AKG38:AKG43)</f>
        <v/>
      </c>
      <c r="AKH44" s="67">
        <f>SUM(AKH38:AKH43)</f>
        <v/>
      </c>
      <c r="AKI44" s="67">
        <f>SUM(AKI38:AKI43)</f>
        <v/>
      </c>
      <c r="AKJ44" s="67">
        <f>SUM(AKJ38:AKJ43)</f>
        <v/>
      </c>
      <c r="AKK44" s="67">
        <f>SUM(AKK38:AKK43)</f>
        <v/>
      </c>
      <c r="AKL44" s="67">
        <f>SUM(AKL38:AKL43)</f>
        <v/>
      </c>
      <c r="AKM44" s="67">
        <f>SUM(AKM38:AKM43)</f>
        <v/>
      </c>
      <c r="AKN44" s="53" t="n"/>
      <c r="AKO44" s="67">
        <f>SUM(AKO38:AKO43)</f>
        <v/>
      </c>
      <c r="AKP44" s="67">
        <f>SUM(AKP38:AKP43)</f>
        <v/>
      </c>
      <c r="AKQ44" s="67">
        <f>SUM(AKQ38:AKQ43)</f>
        <v/>
      </c>
      <c r="AKR44" s="67">
        <f>SUM(AKR38:AKR43)</f>
        <v/>
      </c>
      <c r="AKS44" s="67">
        <f>SUM(AKS38:AKS43)</f>
        <v/>
      </c>
      <c r="AKT44" s="67">
        <f>SUM(AKT38:AKT43)</f>
        <v/>
      </c>
      <c r="AKU44" s="67">
        <f>SUM(AKU38:AKU43)</f>
        <v/>
      </c>
      <c r="AKV44" s="67">
        <f>SUM(AKV38:AKV43)</f>
        <v/>
      </c>
      <c r="AKW44" s="67">
        <f>SUM(AKW38:AKW43)</f>
        <v/>
      </c>
      <c r="AKX44" s="67">
        <f>SUM(AKX38:AKX43)</f>
        <v/>
      </c>
      <c r="AKY44" s="67">
        <f>SUM(AKY38:AKY43)</f>
        <v/>
      </c>
      <c r="AKZ44" s="67">
        <f>SUM(AKZ38:AKZ43)</f>
        <v/>
      </c>
      <c r="ALA44" s="67">
        <f>SUM(ALA38:ALA43)</f>
        <v/>
      </c>
      <c r="ALB44" s="67">
        <f>SUM(ALB38:ALB43)</f>
        <v/>
      </c>
      <c r="ALC44" s="67">
        <f>SUM(ALC38:ALC43)</f>
        <v/>
      </c>
      <c r="ALD44" s="67">
        <f>SUM(ALD38:ALD43)</f>
        <v/>
      </c>
      <c r="ALE44" s="67">
        <f>SUM(ALE38:ALE43)</f>
        <v/>
      </c>
      <c r="ALF44" s="67">
        <f>SUM(ALF38:ALF43)</f>
        <v/>
      </c>
      <c r="ALG44" s="67">
        <f>SUM(ALG38:ALG43)</f>
        <v/>
      </c>
      <c r="ALH44" s="67">
        <f>SUM(ALH38:ALH43)</f>
        <v/>
      </c>
      <c r="ALI44" s="67">
        <f>SUM(ALI38:ALI43)</f>
        <v/>
      </c>
      <c r="ALJ44" s="67">
        <f>SUM(ALJ38:ALJ43)</f>
        <v/>
      </c>
      <c r="ALK44" s="67">
        <f>SUM(ALK38:ALK43)</f>
        <v/>
      </c>
      <c r="ALL44" s="67">
        <f>SUM(ALL38:ALL43)</f>
        <v/>
      </c>
      <c r="ALM44" s="67">
        <f>SUM(ALM38:ALM43)</f>
        <v/>
      </c>
      <c r="ALN44" s="67">
        <f>SUM(ALN38:ALN43)</f>
        <v/>
      </c>
      <c r="ALO44" s="67">
        <f>SUM(ALO38:ALO43)</f>
        <v/>
      </c>
      <c r="ALP44" s="67">
        <f>SUM(ALP38:ALP43)</f>
        <v/>
      </c>
      <c r="ALQ44" s="67">
        <f>SUM(ALQ38:ALQ43)</f>
        <v/>
      </c>
      <c r="ALR44" s="67">
        <f>SUM(ALR38:ALR43)</f>
        <v/>
      </c>
      <c r="ALS44" s="67">
        <f>SUM(ALS38:ALS43)</f>
        <v/>
      </c>
      <c r="ALT44" s="130" t="n"/>
      <c r="ALU44" s="67">
        <f>SUM(ALU38:ALU43)</f>
        <v/>
      </c>
      <c r="ALV44" s="67">
        <f>SUM(ALV38:ALV43)</f>
        <v/>
      </c>
      <c r="ALW44" s="67">
        <f>SUM(ALW38:ALW43)</f>
        <v/>
      </c>
      <c r="ALX44" s="67">
        <f>SUM(ALX38:ALX43)</f>
        <v/>
      </c>
      <c r="ALY44" s="67">
        <f>SUM(ALY38:ALY43)</f>
        <v/>
      </c>
      <c r="ALZ44" s="67">
        <f>SUM(ALZ38:ALZ43)</f>
        <v/>
      </c>
      <c r="AMA44" s="67">
        <f>SUM(AMA38:AMA43)</f>
        <v/>
      </c>
      <c r="AMB44" s="67">
        <f>SUM(AMB38:AMB43)</f>
        <v/>
      </c>
      <c r="AMC44" s="67">
        <f>SUM(AMC38:AMC43)</f>
        <v/>
      </c>
      <c r="AMD44" s="67">
        <f>SUM(AMD38:AMD43)</f>
        <v/>
      </c>
      <c r="AME44" s="67">
        <f>SUM(AME38:AME43)</f>
        <v/>
      </c>
      <c r="AMF44" s="67">
        <f>SUM(AMF38:AMF43)</f>
        <v/>
      </c>
      <c r="AMG44" s="67">
        <f>SUM(AMG38:AMG43)</f>
        <v/>
      </c>
      <c r="AMH44" s="67">
        <f>SUM(AMH38:AMH43)</f>
        <v/>
      </c>
      <c r="AMI44" s="67">
        <f>SUM(AMI38:AMI43)</f>
        <v/>
      </c>
      <c r="AMJ44" s="67">
        <f>SUM(AMJ38:AMJ43)</f>
        <v/>
      </c>
      <c r="AMK44" s="67">
        <f>SUM(AMK38:AMK43)</f>
        <v/>
      </c>
      <c r="AML44" s="67">
        <f>SUM(AML38:AML43)</f>
        <v/>
      </c>
      <c r="AMM44" s="67">
        <f>SUM(AMM38:AMM43)</f>
        <v/>
      </c>
      <c r="AMN44" s="67">
        <f>SUM(AMN38:AMN43)</f>
        <v/>
      </c>
      <c r="AMO44" s="67">
        <f>SUM(AMO38:AMO43)</f>
        <v/>
      </c>
      <c r="AMP44" s="67">
        <f>SUM(AMP38:AMP43)</f>
        <v/>
      </c>
      <c r="AMQ44" s="67">
        <f>SUM(AMQ38:AMQ43)</f>
        <v/>
      </c>
      <c r="AMR44" s="67">
        <f>SUM(AMR38:AMR43)</f>
        <v/>
      </c>
      <c r="AMS44" s="67">
        <f>SUM(AMS38:AMS43)</f>
        <v/>
      </c>
      <c r="AMT44" s="67">
        <f>SUM(AMT38:AMT43)</f>
        <v/>
      </c>
      <c r="AMU44" s="67">
        <f>SUM(AMU38:AMU43)</f>
        <v/>
      </c>
      <c r="AMV44" s="67">
        <f>SUM(AMV38:AMV43)</f>
        <v/>
      </c>
      <c r="AMW44" s="67">
        <f>SUM(AMW38:AMW43)</f>
        <v/>
      </c>
      <c r="AMX44" s="67">
        <f>SUM(AMX38:AMX43)</f>
        <v/>
      </c>
      <c r="AMY44" s="130" t="n"/>
      <c r="AMZ44" s="67">
        <f>SUM(AMZ38:AMZ43)</f>
        <v/>
      </c>
      <c r="ANA44" s="67">
        <f>SUM(ANA38:ANA43)</f>
        <v/>
      </c>
      <c r="ANB44" s="67">
        <f>SUM(ANB38:ANB43)</f>
        <v/>
      </c>
      <c r="ANC44" s="67">
        <f>SUM(ANC38:ANC43)</f>
        <v/>
      </c>
      <c r="AND44" s="67">
        <f>SUM(AND38:AND43)</f>
        <v/>
      </c>
      <c r="ANE44" s="67">
        <f>SUM(ANE38:ANE43)</f>
        <v/>
      </c>
      <c r="ANF44" s="67">
        <f>SUM(ANF38:ANF43)</f>
        <v/>
      </c>
      <c r="ANG44" s="67">
        <f>SUM(ANG38:ANG43)</f>
        <v/>
      </c>
      <c r="ANH44" s="67">
        <f>SUM(ANH38:ANH43)</f>
        <v/>
      </c>
      <c r="ANI44" s="67">
        <f>SUM(ANI38:ANI43)</f>
        <v/>
      </c>
      <c r="ANJ44" s="67">
        <f>SUM(ANJ38:ANJ43)</f>
        <v/>
      </c>
      <c r="ANK44" s="67">
        <f>SUM(ANK38:ANK43)</f>
        <v/>
      </c>
      <c r="ANL44" s="67">
        <f>SUM(ANL38:ANL43)</f>
        <v/>
      </c>
      <c r="ANM44" s="67">
        <f>SUM(ANM38:ANM43)</f>
        <v/>
      </c>
      <c r="ANN44" s="67">
        <f>SUM(ANN38:ANN43)</f>
        <v/>
      </c>
      <c r="ANO44" s="67">
        <f>SUM(ANO38:ANO43)</f>
        <v/>
      </c>
      <c r="ANP44" s="67">
        <f>SUM(ANP38:ANP43)</f>
        <v/>
      </c>
      <c r="ANQ44" s="67">
        <f>SUM(ANQ38:ANQ43)</f>
        <v/>
      </c>
      <c r="ANR44" s="67">
        <f>SUM(ANR38:ANR43)</f>
        <v/>
      </c>
      <c r="ANS44" s="67">
        <f>SUM(ANS38:ANS43)</f>
        <v/>
      </c>
      <c r="ANT44" s="67">
        <f>SUM(ANT38:ANT43)</f>
        <v/>
      </c>
      <c r="ANU44" s="67">
        <f>SUM(ANU38:ANU43)</f>
        <v/>
      </c>
      <c r="ANV44" s="67">
        <f>SUM(ANV38:ANV43)</f>
        <v/>
      </c>
      <c r="ANW44" s="67">
        <f>SUM(ANW38:ANW43)</f>
        <v/>
      </c>
      <c r="ANX44" s="67">
        <f>SUM(ANX38:ANX43)</f>
        <v/>
      </c>
      <c r="ANY44" s="67">
        <f>SUM(ANY38:ANY43)</f>
        <v/>
      </c>
      <c r="ANZ44" s="67">
        <f>SUM(ANZ38:ANZ43)</f>
        <v/>
      </c>
      <c r="AOA44" s="67">
        <f>SUM(AOA38:AOA43)</f>
        <v/>
      </c>
      <c r="AOB44" s="67">
        <f>SUM(AOB38:AOB43)</f>
        <v/>
      </c>
      <c r="AOC44" s="67">
        <f>SUM(AOC38:AOC43)</f>
        <v/>
      </c>
    </row>
    <row r="45">
      <c r="A45" s="56" t="n"/>
      <c r="B45" s="68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  <c r="AF45" s="59" t="n"/>
      <c r="AG45" s="59" t="n"/>
      <c r="AH45" s="67" t="n"/>
      <c r="BM45" s="105" t="n"/>
      <c r="DX45" s="117" t="n"/>
      <c r="FD45" s="126" t="n"/>
      <c r="GJ45" s="130" t="n"/>
      <c r="HN45" s="130" t="n"/>
      <c r="IT45" s="130" t="n"/>
      <c r="JY45" s="130" t="n"/>
      <c r="LE45" s="130" t="n"/>
      <c r="MJ45" s="130" t="n"/>
      <c r="NP45" s="130" t="n"/>
      <c r="OI45" s="52">
        <f>OV46+BALANCING!OW29-10000000</f>
        <v/>
      </c>
      <c r="OV45" s="130" t="n"/>
      <c r="QA45" s="130" t="n"/>
      <c r="RG45" s="130" t="n"/>
      <c r="SL45" s="130" t="n"/>
      <c r="TR45" s="130" t="n"/>
      <c r="UX45" s="130" t="n"/>
      <c r="WA45" s="130" t="n"/>
      <c r="XG45" s="130" t="n"/>
      <c r="YL45" s="130" t="n"/>
      <c r="ZR45" s="130" t="n"/>
      <c r="AAW45" s="130" t="n"/>
      <c r="ACC45" s="130" t="n"/>
      <c r="ADI45" s="130" t="n"/>
      <c r="AEN45" s="130" t="n"/>
      <c r="AFT45" s="130" t="n"/>
      <c r="AGY45" s="130" t="n"/>
      <c r="AIE45" s="130" t="n"/>
      <c r="AJK45" s="145" t="n"/>
      <c r="AKN45" s="145" t="n"/>
      <c r="ALT45" s="130" t="n"/>
      <c r="AMY45" s="130" t="n"/>
    </row>
    <row r="46">
      <c r="A46" s="171" t="inlineStr">
        <is>
          <t>CASH AT HAND</t>
        </is>
      </c>
      <c r="B46" t="inlineStr">
        <is>
          <t>STANBIC</t>
        </is>
      </c>
      <c r="C46" s="52" t="n">
        <v>119181755</v>
      </c>
      <c r="D46" s="52">
        <f>C46+BALANCING!D28</f>
        <v/>
      </c>
      <c r="E46" s="52">
        <f>D46+BALANCING!E28</f>
        <v/>
      </c>
      <c r="F46" s="52">
        <f>E46+BALANCING!F28</f>
        <v/>
      </c>
      <c r="G46" s="52">
        <f>F46+BALANCING!G28-31000000-37000000</f>
        <v/>
      </c>
      <c r="H46" s="52">
        <f>G46+BALANCING!H29</f>
        <v/>
      </c>
      <c r="I46" s="52">
        <f>H46+BALANCING!I29</f>
        <v/>
      </c>
      <c r="J46" s="52">
        <f>I46+BALANCING!J29</f>
        <v/>
      </c>
      <c r="K46" s="52">
        <f>J46+BALANCING!K29</f>
        <v/>
      </c>
      <c r="L46" s="52">
        <f>K46+BALANCING!L29</f>
        <v/>
      </c>
      <c r="M46" s="52">
        <f>L46+BALANCING!M29-25000000-40000000-50000000</f>
        <v/>
      </c>
      <c r="N46" s="52">
        <f>M46+BALANCING!N29</f>
        <v/>
      </c>
      <c r="O46" s="52">
        <f>N46+BALANCING!O29-52000</f>
        <v/>
      </c>
      <c r="P46" s="52">
        <f>O46+BALANCING!P29-55000000+3360934-3425638</f>
        <v/>
      </c>
      <c r="Q46" s="52">
        <f>P46+BALANCING!Q29</f>
        <v/>
      </c>
      <c r="R46" s="52">
        <f>Q46+BALANCING!R29</f>
        <v/>
      </c>
      <c r="S46" s="52">
        <f>R46+BALANCING!S29</f>
        <v/>
      </c>
      <c r="T46" s="52">
        <f>S46+BALANCING!T29-20000000-46000000</f>
        <v/>
      </c>
      <c r="U46" s="52">
        <f>T46+BALANCING!U29-11000000</f>
        <v/>
      </c>
      <c r="V46" s="52">
        <f>U46+BALANCING!V29</f>
        <v/>
      </c>
      <c r="W46" s="52">
        <f>V46+BALANCING!W29</f>
        <v/>
      </c>
      <c r="X46" s="52">
        <f>W46+BALANCING!X29</f>
        <v/>
      </c>
      <c r="Y46" s="52">
        <f>X46+BALANCING!Y29-45000000</f>
        <v/>
      </c>
      <c r="Z46" s="52">
        <f>Y46+BALANCING!Z29-36800</f>
        <v/>
      </c>
      <c r="AA46" s="52">
        <f>Z46+BALANCING!AA29</f>
        <v/>
      </c>
      <c r="AB46" s="52">
        <f>AA46+BALANCING!AB29</f>
        <v/>
      </c>
      <c r="AC46" s="52">
        <f>AB46+BALANCING!AC29</f>
        <v/>
      </c>
      <c r="AD46" s="52">
        <f>AC46+BALANCING!AD29</f>
        <v/>
      </c>
      <c r="AE46" s="52">
        <f>AD46+BALANCING!AE29-76000000</f>
        <v/>
      </c>
      <c r="AF46" s="52">
        <f>AE46+BALANCING!AF29</f>
        <v/>
      </c>
      <c r="AG46" s="52">
        <f>AF46+BALANCING!AG29-42000000</f>
        <v/>
      </c>
      <c r="AH46" s="67">
        <f>AG46</f>
        <v/>
      </c>
      <c r="AI46" s="52">
        <f>AG46+BALANCING!AI29</f>
        <v/>
      </c>
      <c r="AJ46" s="52">
        <f>AI46+BALANCING!AJ29</f>
        <v/>
      </c>
      <c r="AK46" s="52">
        <f>AJ46+BALANCING!AK29</f>
        <v/>
      </c>
      <c r="AL46" s="52">
        <f>AK46+BALANCING!AL29</f>
        <v/>
      </c>
      <c r="AM46" s="52">
        <f>AL46+BALANCING!AM29-50000000</f>
        <v/>
      </c>
      <c r="AN46" s="52">
        <f>AM46+BALANCING!AN29</f>
        <v/>
      </c>
      <c r="AO46" s="52">
        <f>AN46+BALANCING!AO29</f>
        <v/>
      </c>
      <c r="AP46" s="52">
        <f>AO46+BALANCING!AP29-44000000</f>
        <v/>
      </c>
      <c r="AQ46" s="52">
        <f>AP46+BALANCING!AQ29-45000000</f>
        <v/>
      </c>
      <c r="AR46" s="52">
        <f>AQ46+BALANCING!AR29</f>
        <v/>
      </c>
      <c r="AS46" s="52">
        <f>AR46+BALANCING!AS29</f>
        <v/>
      </c>
      <c r="AT46" s="52">
        <f>AS46+BALANCING!AT29</f>
        <v/>
      </c>
      <c r="AU46" s="52">
        <f>AT46+BALANCING!AU29</f>
        <v/>
      </c>
      <c r="AV46" s="52">
        <f>AU46+BALANCING!AV29-52000-3583536+3131988-50000000</f>
        <v/>
      </c>
      <c r="AW46" s="52">
        <f>AV46+BALANCING!AW29</f>
        <v/>
      </c>
      <c r="AX46" s="52">
        <f>AW46+BALANCING!AX29</f>
        <v/>
      </c>
      <c r="AY46" s="52">
        <f>AX46+BALANCING!AY29</f>
        <v/>
      </c>
      <c r="AZ46" s="52">
        <f>AY46+BALANCING!AZ29-22000000-45000000</f>
        <v/>
      </c>
      <c r="BA46" s="52">
        <f>AZ46+BALANCING!BA29</f>
        <v/>
      </c>
      <c r="BB46" s="52">
        <f>BA46+BALANCING!BB29</f>
        <v/>
      </c>
      <c r="BC46" s="52">
        <f>BB46+BALANCING!BC29+114000-45000000</f>
        <v/>
      </c>
      <c r="BD46" s="52">
        <f>BC46+BALANCING!BD29</f>
        <v/>
      </c>
      <c r="BE46" s="52">
        <f>BD46+BALANCING!BE29</f>
        <v/>
      </c>
      <c r="BF46" s="52">
        <f>BE46+BALANCING!BF29-36800</f>
        <v/>
      </c>
      <c r="BG46" s="52">
        <f>BF46+BALANCING!BG29</f>
        <v/>
      </c>
      <c r="BH46" s="52">
        <f>BG46+BALANCING!BH29-30000000-45000000</f>
        <v/>
      </c>
      <c r="BI46" s="52">
        <f>BH46+BALANCING!BI29</f>
        <v/>
      </c>
      <c r="BJ46" s="52">
        <f>BI46+BALANCING!BJ29-17000000</f>
        <v/>
      </c>
      <c r="BK46" s="52">
        <f>BJ46+BALANCING!BK29</f>
        <v/>
      </c>
      <c r="BL46" s="52">
        <f>BK46+BALANCING!BL29</f>
        <v/>
      </c>
      <c r="BM46" s="106">
        <f>BL46</f>
        <v/>
      </c>
      <c r="BN46" s="52">
        <f>BM46+BALANCING!BN29</f>
        <v/>
      </c>
      <c r="BO46" s="52">
        <f>BN46+BALANCING!BO29</f>
        <v/>
      </c>
      <c r="BP46" s="52">
        <f>BO46+BALANCING!BP29</f>
        <v/>
      </c>
      <c r="BQ46" s="52">
        <f>BP46+BALANCING!BQ29</f>
        <v/>
      </c>
      <c r="BR46" s="52">
        <f>BQ46+BALANCING!BR29-70000000</f>
        <v/>
      </c>
      <c r="BS46" s="52">
        <f>BR46+BALANCING!BS29</f>
        <v/>
      </c>
      <c r="BT46" s="52">
        <f>BS46+BALANCING!BT29</f>
        <v/>
      </c>
      <c r="BU46" s="52">
        <f>BT46+BALANCING!BU29</f>
        <v/>
      </c>
      <c r="BV46" s="52">
        <f>BU46+BALANCING!BV29</f>
        <v/>
      </c>
      <c r="BW46" s="52">
        <f>BV46+BALANCING!BW29</f>
        <v/>
      </c>
      <c r="BX46" s="52">
        <f>BW46+BALANCING!BX29</f>
        <v/>
      </c>
      <c r="BY46" s="52">
        <f>BX46+BALANCING!BY29-57000000-400000</f>
        <v/>
      </c>
      <c r="BZ46" s="52">
        <f>BY46+BALANCING!BZ29</f>
        <v/>
      </c>
      <c r="CA46" s="52">
        <f>BZ46+BALANCING!CA29-3369776-52000+2981299</f>
        <v/>
      </c>
      <c r="CB46" s="52">
        <f>CA46+BALANCING!CB29</f>
        <v/>
      </c>
      <c r="CC46" s="52">
        <f>CB46+BALANCING!CC29-40000000-30000000</f>
        <v/>
      </c>
      <c r="CD46" s="52">
        <f>CC46+BALANCING!CD29</f>
        <v/>
      </c>
      <c r="CE46" s="52">
        <f>CD46+BALANCING!CE29</f>
        <v/>
      </c>
      <c r="CF46" s="52">
        <f>CE46+BALANCING!CF29</f>
        <v/>
      </c>
      <c r="CG46" s="52">
        <f>CF46+BALANCING!CG29-45000000</f>
        <v/>
      </c>
      <c r="CH46" s="52">
        <f>CG46+BALANCING!CH29</f>
        <v/>
      </c>
      <c r="CI46" s="52">
        <f>CH46+BALANCING!CI29</f>
        <v/>
      </c>
      <c r="CJ46" s="52">
        <f>CI46+BALANCING!CJ29</f>
        <v/>
      </c>
      <c r="CK46" s="52">
        <f>CJ46+BALANCING!CK29</f>
        <v/>
      </c>
      <c r="CL46" s="52">
        <f>CK46+BALANCING!CL29-30000000-40000000</f>
        <v/>
      </c>
      <c r="CM46" s="52">
        <f>CL46+BALANCING!CM29</f>
        <v/>
      </c>
      <c r="CN46" s="52">
        <f>CM46+BALANCING!CN29</f>
        <v/>
      </c>
      <c r="CO46" s="52">
        <f>CN46+BALANCING!CO29</f>
        <v/>
      </c>
      <c r="CP46" s="52">
        <f>CO46+BALANCING!CP29</f>
        <v/>
      </c>
      <c r="CQ46" s="52">
        <f>CP46+BALANCING!CQ29</f>
        <v/>
      </c>
      <c r="CR46" s="52">
        <f>CQ46+BALANCING!CR29</f>
        <v/>
      </c>
      <c r="CT46" s="52">
        <f>CR46+BALANCING!CT29-60000000-36800</f>
        <v/>
      </c>
      <c r="CU46" s="52">
        <f>CT46+BALANCING!CU29</f>
        <v/>
      </c>
      <c r="CV46" s="52">
        <f>CU46+BALANCING!CV29</f>
        <v/>
      </c>
      <c r="CW46" s="52">
        <f>CV46+BALANCING!CW29</f>
        <v/>
      </c>
      <c r="CX46" s="52">
        <f>CW46+BALANCING!CX29-60000000</f>
        <v/>
      </c>
      <c r="CY46" s="52">
        <f>CX46+BALANCING!CY29</f>
        <v/>
      </c>
      <c r="CZ46" s="52">
        <f>CY46+BALANCING!CZ29</f>
        <v/>
      </c>
      <c r="DA46" s="52">
        <f>CZ46+BALANCING!DA29</f>
        <v/>
      </c>
      <c r="DB46" s="52">
        <f>DA46+BALANCING!DB29</f>
        <v/>
      </c>
      <c r="DC46" s="52">
        <f>DB46+BALANCING!DC29-58000000</f>
        <v/>
      </c>
      <c r="DD46" s="52">
        <f>DC46+BALANCING!DD29</f>
        <v/>
      </c>
      <c r="DE46" s="52">
        <f>DD46+BALANCING!DE29</f>
        <v/>
      </c>
      <c r="DF46" s="52">
        <f>DE46+BALANCING!DF29-80000000-52000</f>
        <v/>
      </c>
      <c r="DG46" s="52">
        <f>DF46+BALANCING!DG29</f>
        <v/>
      </c>
      <c r="DH46" s="52">
        <f>DG46+BALANCING!DH29</f>
        <v/>
      </c>
      <c r="DI46" s="52">
        <f>DH46+BALANCING!DI29</f>
        <v/>
      </c>
      <c r="DJ46" s="52">
        <f>DI46+BALANCING!DJ29+3290084-3681005-30000000</f>
        <v/>
      </c>
      <c r="DK46" s="52">
        <f>DJ46+BALANCING!DK29</f>
        <v/>
      </c>
      <c r="DL46" s="52">
        <f>DK46+BALANCING!DL29</f>
        <v/>
      </c>
      <c r="DM46" s="52">
        <f>DL46+BALANCING!DM29</f>
        <v/>
      </c>
      <c r="DN46" s="52">
        <f>DM46+BALANCING!DN29</f>
        <v/>
      </c>
      <c r="DO46" s="52">
        <f>DN46+BALANCING!DO29</f>
        <v/>
      </c>
      <c r="DP46" s="52">
        <f>DO46+BALANCING!DP29</f>
        <v/>
      </c>
      <c r="DQ46" s="52">
        <f>DP46+BALANCING!DQ29-50000000-30000000-36500</f>
        <v/>
      </c>
      <c r="DR46" s="52">
        <f>DQ46+BALANCING!DR29</f>
        <v/>
      </c>
      <c r="DS46" s="52">
        <f>DR46+BALANCING!DS29</f>
        <v/>
      </c>
      <c r="DT46" s="52">
        <f>DS46+BALANCING!DT29</f>
        <v/>
      </c>
      <c r="DU46" s="52">
        <f>DT46+BALANCING!DU29-48000000</f>
        <v/>
      </c>
      <c r="DV46" s="52">
        <f>DU46+BALANCING!DV29+3145000</f>
        <v/>
      </c>
      <c r="DW46" s="52">
        <f>DV46+BALANCING!DW29</f>
        <v/>
      </c>
      <c r="DX46" s="117" t="n"/>
      <c r="DY46" s="52">
        <f>DW46+BALANCING!DY29</f>
        <v/>
      </c>
      <c r="DZ46" s="52">
        <f>DY46+BALANCING!DZ29</f>
        <v/>
      </c>
      <c r="EA46" s="52">
        <f>DZ46+BALANCING!EA29</f>
        <v/>
      </c>
      <c r="EB46" s="52">
        <f>EA46+BALANCING!EB29</f>
        <v/>
      </c>
      <c r="EC46" s="52">
        <f>EB46+BALANCING!EC29</f>
        <v/>
      </c>
      <c r="ED46" s="52">
        <f>EC46+BALANCING!ED29</f>
        <v/>
      </c>
      <c r="EE46" s="52">
        <f>ED46+BALANCING!EE29</f>
        <v/>
      </c>
      <c r="EF46" s="52">
        <f>EE46+BALANCING!EF29</f>
        <v/>
      </c>
      <c r="EG46" s="52">
        <f>EF46+BALANCING!EG29-45000000-50000000</f>
        <v/>
      </c>
      <c r="EH46" s="52">
        <f>EG46+BALANCING!EH29</f>
        <v/>
      </c>
      <c r="EI46" s="52">
        <f>EH46+BALANCING!EI29+3853803-3736447-1234988-40000000</f>
        <v/>
      </c>
      <c r="EJ46" s="52">
        <f>EI46+BALANCING!EJ29</f>
        <v/>
      </c>
      <c r="EK46" s="52">
        <f>EJ46+BALANCING!EK29</f>
        <v/>
      </c>
      <c r="EL46" s="52">
        <f>EK46+BALANCING!EL29-50000000-52000</f>
        <v/>
      </c>
      <c r="EM46" s="52">
        <f>EL46+BALANCING!EM29</f>
        <v/>
      </c>
      <c r="EN46" s="52">
        <f>EM46+BALANCING!EN29</f>
        <v/>
      </c>
      <c r="EO46" s="52">
        <f>EN46+BALANCING!EO29</f>
        <v/>
      </c>
      <c r="EP46" s="52">
        <f>EO46+BALANCING!EP29-30000000-52000000-1000000-1481000</f>
        <v/>
      </c>
      <c r="EQ46" s="52">
        <f>EP46+BALANCING!EQ29</f>
        <v/>
      </c>
      <c r="ER46" s="52">
        <f>EQ46+BALANCING!ER29</f>
        <v/>
      </c>
      <c r="ES46" s="52">
        <f>ER46+BALANCING!ES29</f>
        <v/>
      </c>
      <c r="ET46" s="52">
        <f>ES46+BALANCING!ET29</f>
        <v/>
      </c>
      <c r="EU46" s="52">
        <f>ET46+BALANCING!EU29</f>
        <v/>
      </c>
      <c r="EV46" s="52">
        <f>EU46+BALANCING!EV29</f>
        <v/>
      </c>
      <c r="EW46" s="52">
        <f>EV46+BALANCING!EW29</f>
        <v/>
      </c>
      <c r="EX46" s="52">
        <f>EW46+BALANCING!EX29</f>
        <v/>
      </c>
      <c r="EY46" s="52">
        <f>EX46+BALANCING!EY29</f>
        <v/>
      </c>
      <c r="EZ46" s="52">
        <f>EY46+BALANCING!EZ29</f>
        <v/>
      </c>
      <c r="FA46" s="52">
        <f>EZ46+BALANCING!FA29</f>
        <v/>
      </c>
      <c r="FB46" s="52">
        <f>FA46+BALANCING!FB29</f>
        <v/>
      </c>
      <c r="FC46" s="52">
        <f>FB46+BALANCING!FC29-23000000-80000000-2574000+4982018+200000-32000-4800-4000-600-300-2000-300+1480662</f>
        <v/>
      </c>
      <c r="FD46" s="126" t="n"/>
      <c r="FE46" s="52">
        <f>FC46+BALANCING!FE29</f>
        <v/>
      </c>
      <c r="FF46" s="52">
        <f>FE46+BALANCING!FF29-52000000</f>
        <v/>
      </c>
      <c r="FG46" s="52">
        <f>FF46+BALANCING!FG29</f>
        <v/>
      </c>
      <c r="FH46" s="52">
        <f>FG46+BALANCING!FH29</f>
        <v/>
      </c>
      <c r="FI46" s="52">
        <f>FH46+BALANCING!FI29</f>
        <v/>
      </c>
      <c r="FJ46" s="52">
        <f>FI46+BALANCING!FJ29</f>
        <v/>
      </c>
      <c r="FK46" s="52">
        <f>FJ46+BALANCING!FK29</f>
        <v/>
      </c>
      <c r="FL46" s="52">
        <f>FK46+BALANCING!FL29-85000000</f>
        <v/>
      </c>
      <c r="FM46" s="52">
        <f>FL46+BALANCING!FM29</f>
        <v/>
      </c>
      <c r="FN46" s="52">
        <f>FM46+BALANCING!FN29</f>
        <v/>
      </c>
      <c r="FO46" s="52">
        <f>FN46+BALANCING!FO29</f>
        <v/>
      </c>
      <c r="FP46" s="52">
        <f>FO46+BALANCING!FP29</f>
        <v/>
      </c>
      <c r="FQ46" s="52">
        <f>FP46+BALANCING!FQ29</f>
        <v/>
      </c>
      <c r="FR46" s="52">
        <f>FQ46+BALANCING!FR29</f>
        <v/>
      </c>
      <c r="FS46" s="52">
        <f>FR46+BALANCING!FS29-90000000-52000</f>
        <v/>
      </c>
      <c r="FT46" s="52">
        <f>FS46+BALANCING!FT29</f>
        <v/>
      </c>
      <c r="FU46" s="52">
        <f>FT46+BALANCING!FU29</f>
        <v/>
      </c>
      <c r="FV46" s="52">
        <f>FU46+BALANCING!FV29</f>
        <v/>
      </c>
      <c r="FW46" s="52">
        <f>FV46+BALANCING!FW29</f>
        <v/>
      </c>
      <c r="FX46" s="52">
        <f>FW46+BALANCING!FX29-3860617+3639512</f>
        <v/>
      </c>
      <c r="FY46" s="52">
        <f>FX46+BALANCING!FY29</f>
        <v/>
      </c>
      <c r="FZ46" s="52">
        <f>FY46+BALANCING!FZ29</f>
        <v/>
      </c>
      <c r="GA46" s="52">
        <f>FZ46+BALANCING!GA29</f>
        <v/>
      </c>
      <c r="GB46" s="52">
        <f>GA46+BALANCING!GB29-100000000-36800</f>
        <v/>
      </c>
      <c r="GC46" s="52">
        <f>GB46+BALANCING!GC29</f>
        <v/>
      </c>
      <c r="GD46" s="52">
        <f>GC46+BALANCING!GD29</f>
        <v/>
      </c>
      <c r="GE46" s="52">
        <f>GD46+BALANCING!GE29</f>
        <v/>
      </c>
      <c r="GF46" s="52">
        <f>GE46+BALANCING!GF29</f>
        <v/>
      </c>
      <c r="GG46" s="52">
        <f>GF46+BALANCING!GG29-52000000-38000000</f>
        <v/>
      </c>
      <c r="GH46" s="52">
        <f>GG46+BALANCING!GH29</f>
        <v/>
      </c>
      <c r="GI46" s="52">
        <f>GH46+BALANCING!GI29</f>
        <v/>
      </c>
      <c r="GJ46" s="130" t="n"/>
      <c r="GK46" s="52">
        <f>GI46+BALANCING!GK29</f>
        <v/>
      </c>
      <c r="GL46" s="52">
        <f>GK46+BALANCING!GL29</f>
        <v/>
      </c>
      <c r="GM46" s="52">
        <f>GL46+BALANCING!GM29</f>
        <v/>
      </c>
      <c r="GN46" s="52">
        <f>GM46+BALANCING!GN29</f>
        <v/>
      </c>
      <c r="GO46" s="52">
        <f>GN46+BALANCING!GO29-90000000</f>
        <v/>
      </c>
      <c r="GP46" s="52">
        <f>GO46+BALANCING!GP29</f>
        <v/>
      </c>
      <c r="GQ46" s="52">
        <f>GP46+BALANCING!GQ29</f>
        <v/>
      </c>
      <c r="GR46" s="52">
        <f>GQ46+BALANCING!GR29</f>
        <v/>
      </c>
      <c r="GS46" s="52">
        <f>GR46+BALANCING!GS29-52000000</f>
        <v/>
      </c>
      <c r="GT46" s="52">
        <f>GS46+BALANCING!GT29</f>
        <v/>
      </c>
      <c r="GU46" s="52">
        <f>GT46+BALANCING!GU29</f>
        <v/>
      </c>
      <c r="GV46" s="52">
        <f>GU46+BALANCING!GV29</f>
        <v/>
      </c>
      <c r="GW46" s="52">
        <f>GV46+BALANCING!GW29-38000000</f>
        <v/>
      </c>
      <c r="GX46" s="52">
        <f>GW46+BALANCING!GX29</f>
        <v/>
      </c>
      <c r="GY46" s="52">
        <f>GX46+BALANCING!GY29-20000000</f>
        <v/>
      </c>
      <c r="GZ46" s="52">
        <f>GY46+BALANCING!GZ29</f>
        <v/>
      </c>
      <c r="HA46" s="52">
        <f>GZ46+BALANCING!HA29</f>
        <v/>
      </c>
      <c r="HB46" s="52">
        <f>HA46+BALANCING!HB29</f>
        <v/>
      </c>
      <c r="HC46" s="52">
        <f>HB46+BALANCING!HC29-38000000-52000-3952390+3484619+64400</f>
        <v/>
      </c>
      <c r="HD46" s="52">
        <f>HC46+BALANCING!HD29</f>
        <v/>
      </c>
      <c r="HE46" s="52">
        <f>HD46+BALANCING!HE29</f>
        <v/>
      </c>
      <c r="HF46" s="52">
        <f>HE46+BALANCING!HF29</f>
        <v/>
      </c>
      <c r="HG46" s="52">
        <f>HF46+BALANCING!HG29</f>
        <v/>
      </c>
      <c r="HH46" s="52">
        <f>HG46+BALANCING!HH29</f>
        <v/>
      </c>
      <c r="HI46" s="52">
        <f>HH46+BALANCING!HI29+169400000-22850000-2875-60000000</f>
        <v/>
      </c>
      <c r="HJ46" s="52">
        <f>HI46+BALANCING!HJ29</f>
        <v/>
      </c>
      <c r="HK46" s="52">
        <f>HJ46+BALANCING!HK29</f>
        <v/>
      </c>
      <c r="HL46" s="52">
        <f>HK46+BALANCING!HL29-14000000-66000000</f>
        <v/>
      </c>
      <c r="HM46" s="52">
        <f>HL46+BALANCING!HM29</f>
        <v/>
      </c>
      <c r="HN46" s="130" t="n"/>
      <c r="HO46" s="52">
        <f>HM46+BALANCING!HO29-36800</f>
        <v/>
      </c>
      <c r="HP46" s="52">
        <f>HO46+BALANCING!HP29</f>
        <v/>
      </c>
      <c r="HQ46" s="52">
        <f>HP46+BALANCING!HQ29</f>
        <v/>
      </c>
      <c r="HR46" s="52">
        <f>HQ46+BALANCING!HR29</f>
        <v/>
      </c>
      <c r="HS46" s="52">
        <f>HR46+BALANCING!HS29-90000000</f>
        <v/>
      </c>
      <c r="HT46" s="52">
        <f>HS46+BALANCING!HT29</f>
        <v/>
      </c>
      <c r="HU46" s="52">
        <f>HT46+BALANCING!HU29</f>
        <v/>
      </c>
      <c r="HV46" s="52">
        <f>HU46+BALANCING!HV29</f>
        <v/>
      </c>
      <c r="HW46" s="52">
        <f>HV46+BALANCING!HW29-50000000</f>
        <v/>
      </c>
      <c r="HX46" s="52">
        <f>HW46+BALANCING!HX29</f>
        <v/>
      </c>
      <c r="HY46" s="52">
        <f>HX46+BALANCING!HY29</f>
        <v/>
      </c>
      <c r="HZ46" s="52">
        <f>HY46+BALANCING!HZ29</f>
        <v/>
      </c>
      <c r="IA46" s="52">
        <f>HZ46+BALANCING!IA29</f>
        <v/>
      </c>
      <c r="IB46" s="52">
        <f>IA46+BALANCING!IB29-23750000</f>
        <v/>
      </c>
      <c r="IC46" s="52">
        <f>IB46+BALANCING!IC29-90000000+3554219-2875-3952369-52000</f>
        <v/>
      </c>
      <c r="ID46" s="52">
        <f>IC46+BALANCING!ID29</f>
        <v/>
      </c>
      <c r="IE46" s="52">
        <f>ID46+BALANCING!IE29</f>
        <v/>
      </c>
      <c r="IF46" s="52">
        <f>IE46+BALANCING!IF29</f>
        <v/>
      </c>
      <c r="IG46" s="52">
        <f>IF46+BALANCING!IG29</f>
        <v/>
      </c>
      <c r="IH46" s="52">
        <f>IG46+BALANCING!IH29-24000000</f>
        <v/>
      </c>
      <c r="II46" s="52">
        <f>IH46+BALANCING!II29-57000000</f>
        <v/>
      </c>
      <c r="IJ46" s="52">
        <f>II46+BALANCING!IJ29</f>
        <v/>
      </c>
      <c r="IK46" s="52">
        <f>IJ46+BALANCING!IK29</f>
        <v/>
      </c>
      <c r="IL46" s="52">
        <f>IK46+BALANCING!IL29</f>
        <v/>
      </c>
      <c r="IM46" s="52">
        <f>IL46+BALANCING!IM29-50000000-10000</f>
        <v/>
      </c>
      <c r="IN46" s="52">
        <f>IM46+BALANCING!IN29-24000000</f>
        <v/>
      </c>
      <c r="IO46" s="52">
        <f>IN46+BALANCING!IO29</f>
        <v/>
      </c>
      <c r="IP46" s="52">
        <f>IO46+BALANCING!IP29</f>
        <v/>
      </c>
      <c r="IQ46" s="52">
        <f>IP46+BALANCING!IQ29-60000000</f>
        <v/>
      </c>
      <c r="IR46" s="52">
        <f>IQ46+BALANCING!IR29</f>
        <v/>
      </c>
      <c r="IS46" s="52">
        <f>IR46+BALANCING!IS29</f>
        <v/>
      </c>
      <c r="IT46" s="130" t="n"/>
      <c r="IU46" s="52">
        <f>IS46+BALANCING!IU29+24690</f>
        <v/>
      </c>
      <c r="IV46" s="52">
        <f>IU46+BALANCING!IV29</f>
        <v/>
      </c>
      <c r="IW46" s="52">
        <f>IV46+BALANCING!IW29-40000000</f>
        <v/>
      </c>
      <c r="IX46" s="52">
        <f>IW46+BALANCING!IX29</f>
        <v/>
      </c>
      <c r="IY46" s="52">
        <f>IX46+BALANCING!IY29</f>
        <v/>
      </c>
      <c r="IZ46" s="52">
        <f>IY46+BALANCING!IZ29</f>
        <v/>
      </c>
      <c r="JA46" s="52">
        <f>IZ46+BALANCING!JA29</f>
        <v/>
      </c>
      <c r="JB46" s="52">
        <f>JA46+BALANCING!JB29</f>
        <v/>
      </c>
      <c r="JC46" s="52">
        <f>JB46+BALANCING!JC29</f>
        <v/>
      </c>
      <c r="JD46" s="52">
        <f>JC46+BALANCING!JD29</f>
        <v/>
      </c>
      <c r="JE46" s="52">
        <f>JD46+BALANCING!JE29</f>
        <v/>
      </c>
      <c r="JF46" s="52">
        <f>JE46+BALANCING!JF29</f>
        <v/>
      </c>
      <c r="JG46" s="52">
        <f>JF46+BALANCING!JG29-100000000</f>
        <v/>
      </c>
      <c r="JH46" s="52">
        <f>JG46+BALANCING!JH29</f>
        <v/>
      </c>
      <c r="JI46" s="52">
        <f>JH46+BALANCING!JI29</f>
        <v/>
      </c>
      <c r="JJ46" s="52">
        <f>JI46+BALANCING!JJ29+3752388-4226679-52000-15681000</f>
        <v/>
      </c>
      <c r="JK46" s="52">
        <f>JJ46+BALANCING!JK29</f>
        <v/>
      </c>
      <c r="JL46" s="52">
        <f>JK46+BALANCING!JL29</f>
        <v/>
      </c>
      <c r="JM46" s="52">
        <f>JL46+BALANCING!JM29</f>
        <v/>
      </c>
      <c r="JN46" s="52">
        <f>JM46+BALANCING!JN29-55000000-369940</f>
        <v/>
      </c>
      <c r="JO46" s="52">
        <f>JN46+BALANCING!JO29</f>
        <v/>
      </c>
      <c r="JP46" s="52">
        <f>JO46+BALANCING!JP29</f>
        <v/>
      </c>
      <c r="JQ46" s="52">
        <f>JP46+BALANCING!JQ29</f>
        <v/>
      </c>
      <c r="JR46" s="52">
        <f>JQ46+BALANCING!JR29</f>
        <v/>
      </c>
      <c r="JS46" s="52">
        <f>JR46+BALANCING!JS29</f>
        <v/>
      </c>
      <c r="JT46" s="52">
        <f>JS46+BALANCING!JT29-23250000-55000000-45000000</f>
        <v/>
      </c>
      <c r="JU46" s="52">
        <f>JT46+BALANCING!JU29</f>
        <v/>
      </c>
      <c r="JV46" s="52">
        <f>JU46+BALANCING!JV29-29675</f>
        <v/>
      </c>
      <c r="JW46" s="52">
        <f>JV46+BALANCING!JW29</f>
        <v/>
      </c>
      <c r="JX46" s="52">
        <f>JW46+BALANCING!JX29</f>
        <v/>
      </c>
      <c r="JY46" s="139" t="n"/>
      <c r="JZ46" s="52">
        <f>JX46+BALANCING!JZ29</f>
        <v/>
      </c>
      <c r="KA46" s="52">
        <f>JZ46+BALANCING!KA29-60000000</f>
        <v/>
      </c>
      <c r="KB46" s="52">
        <f>KA46+BALANCING!KB29</f>
        <v/>
      </c>
      <c r="KC46" s="52">
        <f>KB46+BALANCING!KC29-13800000</f>
        <v/>
      </c>
      <c r="KD46" s="52">
        <f>KC46+BALANCING!KD29</f>
        <v/>
      </c>
      <c r="KE46" s="52">
        <f>KD46+BALANCING!KE29</f>
        <v/>
      </c>
      <c r="KF46" s="52">
        <f>KE46+BALANCING!KF29</f>
        <v/>
      </c>
      <c r="KG46" s="52">
        <f>KF46+BALANCING!KG29</f>
        <v/>
      </c>
      <c r="KH46" s="52">
        <f>KG46+BALANCING!KH29-60000000</f>
        <v/>
      </c>
      <c r="KI46" s="52">
        <f>KH46+BALANCING!KI29+2050000</f>
        <v/>
      </c>
      <c r="KJ46" s="52">
        <f>KI46+BALANCING!KJ29</f>
        <v/>
      </c>
      <c r="KK46" s="52">
        <f>KJ46+BALANCING!KK29</f>
        <v/>
      </c>
      <c r="KL46" s="52">
        <f>KK46+BALANCING!KL29-40000000</f>
        <v/>
      </c>
      <c r="KM46" s="52">
        <f>KL46+BALANCING!KM29-40000000</f>
        <v/>
      </c>
      <c r="KN46" s="52">
        <f>KM46+BALANCING!KN29-535271</f>
        <v/>
      </c>
      <c r="KO46" s="52">
        <f>KN46+BALANCING!KO29</f>
        <v/>
      </c>
      <c r="KP46" s="52">
        <f>KO46+BALANCING!KP29</f>
        <v/>
      </c>
      <c r="KQ46" s="52">
        <f>KP46+BALANCING!KQ29</f>
        <v/>
      </c>
      <c r="KR46" s="52">
        <f>KQ46+BALANCING!KR29</f>
        <v/>
      </c>
      <c r="KS46" s="52">
        <f>KR46+BALANCING!KS29</f>
        <v/>
      </c>
      <c r="KT46" s="52">
        <f>KS46+BALANCING!KT29-80000000</f>
        <v/>
      </c>
      <c r="KU46" s="52">
        <f>KT46+BALANCING!KU29</f>
        <v/>
      </c>
      <c r="KV46" s="52">
        <f>KU46+BALANCING!KV29</f>
        <v/>
      </c>
      <c r="KW46" s="52">
        <f>KV46+BALANCING!KW29-26000000</f>
        <v/>
      </c>
      <c r="KX46" s="52">
        <f>KW46+BALANCING!KX29</f>
        <v/>
      </c>
      <c r="KY46" s="52">
        <f>KX46+BALANCING!KY29</f>
        <v/>
      </c>
      <c r="KZ46" s="52">
        <f>KY46+BALANCING!KZ29</f>
        <v/>
      </c>
      <c r="LA46" s="52">
        <f>KZ46+BALANCING!LA29-46000000</f>
        <v/>
      </c>
      <c r="LB46" s="52">
        <f>LA46+BALANCING!LB29</f>
        <v/>
      </c>
      <c r="LC46" s="52">
        <f>LB46+BALANCING!LC29-37000000+2524000</f>
        <v/>
      </c>
      <c r="LD46" s="52">
        <f>LC46+BALANCING!LD29</f>
        <v/>
      </c>
      <c r="LE46" s="130" t="n"/>
      <c r="LF46" s="52">
        <f>LD46+BALANCING!LF29-43900</f>
        <v/>
      </c>
      <c r="LG46" s="52">
        <f>LF46+BALANCING!LG29</f>
        <v/>
      </c>
      <c r="LH46" s="52">
        <f>LG46+BALANCING!LH29</f>
        <v/>
      </c>
      <c r="LI46" s="52">
        <f>LH46+BALANCING!LI29</f>
        <v/>
      </c>
      <c r="LJ46" s="52">
        <f>LI46+BALANCING!LJ29</f>
        <v/>
      </c>
      <c r="LK46" s="52">
        <f>LJ46+BALANCING!LK29-50000000-35000000</f>
        <v/>
      </c>
      <c r="LL46" s="52">
        <f>LK46+BALANCING!LL29-20035000</f>
        <v/>
      </c>
      <c r="LM46" s="52">
        <f>LL46+BALANCING!LM29</f>
        <v/>
      </c>
      <c r="LN46" s="52">
        <f>LM46+BALANCING!LN29</f>
        <v/>
      </c>
      <c r="LO46" s="52">
        <f>LN46+BALANCING!LO29-35000000</f>
        <v/>
      </c>
      <c r="LP46" s="52">
        <f>LO46+BALANCING!LP29</f>
        <v/>
      </c>
      <c r="LQ46" s="52">
        <f>LP46+BALANCING!LQ29</f>
        <v/>
      </c>
      <c r="LR46" s="52">
        <f>LQ46+BALANCING!LR29-25000000-33000000</f>
        <v/>
      </c>
      <c r="LS46" s="52">
        <f>LR46+BALANCING!LS29</f>
        <v/>
      </c>
      <c r="LT46" s="52">
        <f>LS46+BALANCING!LT29</f>
        <v/>
      </c>
      <c r="LU46" s="52">
        <f>LT46+BALANCING!LU29</f>
        <v/>
      </c>
      <c r="LV46" s="52">
        <f>LU46+BALANCING!LV29</f>
        <v/>
      </c>
      <c r="LW46" s="52">
        <f>LV46+BALANCING!LW29-65000000-310000-52000-4266751+3631645</f>
        <v/>
      </c>
      <c r="LX46" s="52">
        <f>LW46+BALANCING!LX29</f>
        <v/>
      </c>
      <c r="LY46" s="52">
        <f>LX46+BALANCING!LY29</f>
        <v/>
      </c>
      <c r="LZ46" s="52">
        <f>LY46+BALANCING!LZ29</f>
        <v/>
      </c>
      <c r="MA46" s="52">
        <f>LZ46+BALANCING!MA29</f>
        <v/>
      </c>
      <c r="MB46" s="52">
        <f>MA46+BALANCING!MB29</f>
        <v/>
      </c>
      <c r="MC46" s="52">
        <f>MB46+BALANCING!MC29+1815000</f>
        <v/>
      </c>
      <c r="MD46" s="52">
        <f>MC46+BALANCING!MD29</f>
        <v/>
      </c>
      <c r="ME46" s="52">
        <f>MD46+BALANCING!ME29-1821362-86000000</f>
        <v/>
      </c>
      <c r="MF46" s="52">
        <f>ME46+BALANCING!MF29</f>
        <v/>
      </c>
      <c r="MG46" s="52">
        <f>MF46+BALANCING!MG29</f>
        <v/>
      </c>
      <c r="MH46" s="52">
        <f>MG46+BALANCING!MH29</f>
        <v/>
      </c>
      <c r="MI46" s="52">
        <f>MH46+BALANCING!MI29</f>
        <v/>
      </c>
      <c r="MJ46" s="139" t="n"/>
      <c r="MK46" s="52">
        <f>MI46+BALANCING!MK29</f>
        <v/>
      </c>
      <c r="ML46" s="52">
        <f>MK46+BALANCING!ML29-32000000-43700</f>
        <v/>
      </c>
      <c r="MM46" s="52">
        <f>ML46+BALANCING!MM29</f>
        <v/>
      </c>
      <c r="MN46" s="52">
        <f>MM46+BALANCING!MN29</f>
        <v/>
      </c>
      <c r="MO46" s="52">
        <f>MN46+BALANCING!MO29</f>
        <v/>
      </c>
      <c r="MP46" s="52">
        <f>MO46+BALANCING!MP29-70000000+160000+100000</f>
        <v/>
      </c>
      <c r="MQ46" s="52">
        <f>MP46+BALANCING!MQ29</f>
        <v/>
      </c>
      <c r="MR46" s="52">
        <f>MQ46+BALANCING!MR29</f>
        <v/>
      </c>
      <c r="MS46" s="52">
        <f>MR46+BALANCING!MS29</f>
        <v/>
      </c>
      <c r="MT46" s="52">
        <f>MS46+BALANCING!MT29</f>
        <v/>
      </c>
      <c r="MU46" s="52">
        <f>MT46+BALANCING!MU29-80000000</f>
        <v/>
      </c>
      <c r="MV46" s="52">
        <f>MU46+BALANCING!MV29</f>
        <v/>
      </c>
      <c r="MW46" s="52">
        <f>MV46+BALANCING!MW29</f>
        <v/>
      </c>
      <c r="MX46" s="52">
        <f>MW46+BALANCING!MX29</f>
        <v/>
      </c>
      <c r="MY46" s="52">
        <f>MX46+BALANCING!MY29-4196557+3900000+100000+120000</f>
        <v/>
      </c>
      <c r="MZ46" s="52">
        <f>MY46+BALANCING!MZ29</f>
        <v/>
      </c>
      <c r="NA46" s="52">
        <f>MZ46+BALANCING!NA29</f>
        <v/>
      </c>
      <c r="NB46" s="52">
        <f>NA46+BALANCING!NB29-64000000</f>
        <v/>
      </c>
      <c r="NC46" s="52">
        <f>NB46+BALANCING!NC29</f>
        <v/>
      </c>
      <c r="ND46" s="52">
        <f>NC46+BALANCING!ND29</f>
        <v/>
      </c>
      <c r="NE46" s="52">
        <f>ND46+BALANCING!NE29</f>
        <v/>
      </c>
      <c r="NF46" s="52">
        <f>NE46+BALANCING!NF29-78000000</f>
        <v/>
      </c>
      <c r="NG46" s="52">
        <f>NF46+BALANCING!NG29</f>
        <v/>
      </c>
      <c r="NH46" s="52">
        <f>NG46+BALANCING!NH29-13250</f>
        <v/>
      </c>
      <c r="NI46" s="52">
        <f>NH46+BALANCING!NI29</f>
        <v/>
      </c>
      <c r="NJ46" s="52">
        <f>NI46+BALANCING!NJ29</f>
        <v/>
      </c>
      <c r="NK46" s="52">
        <f>NJ46+BALANCING!NK29</f>
        <v/>
      </c>
      <c r="NL46" s="52">
        <f>NK46+BALANCING!NL29</f>
        <v/>
      </c>
      <c r="NM46" s="52">
        <f>NL46+BALANCING!NM29-60000000</f>
        <v/>
      </c>
      <c r="NN46" s="52">
        <f>NM46+BALANCING!NN29</f>
        <v/>
      </c>
      <c r="NO46" s="52">
        <f>NN46+BALANCING!NO29-52000-25000</f>
        <v/>
      </c>
      <c r="NP46" s="139" t="n"/>
      <c r="NQ46" s="52">
        <f>NO46+BALANCING!NQ29</f>
        <v/>
      </c>
      <c r="NR46" s="52">
        <f>NQ46+BALANCING!NR29</f>
        <v/>
      </c>
      <c r="NS46" s="52">
        <f>NR46+BALANCING!NS29</f>
        <v/>
      </c>
      <c r="NT46" s="52">
        <f>NS46+BALANCING!NT29-30000000+1347000+1327000+1559000-13800</f>
        <v/>
      </c>
      <c r="NU46" s="52">
        <f>NT46+BALANCING!NU29-49000000-330000</f>
        <v/>
      </c>
      <c r="NV46" s="52">
        <f>NU46+BALANCING!NV29</f>
        <v/>
      </c>
      <c r="NW46" s="52">
        <f>NV46+BALANCING!NW29</f>
        <v/>
      </c>
      <c r="NX46" s="52">
        <f>NW46+BALANCING!NX29</f>
        <v/>
      </c>
      <c r="NY46" s="52">
        <f>NX46+BALANCING!NY29</f>
        <v/>
      </c>
      <c r="NZ46" s="52">
        <f>NY46+BALANCING!NZ29</f>
        <v/>
      </c>
      <c r="OA46" s="52">
        <f>NZ46+BALANCING!OA29</f>
        <v/>
      </c>
      <c r="OB46" s="52">
        <f>OA46+BALANCING!OB29-43000000</f>
        <v/>
      </c>
      <c r="OC46" s="52">
        <f>OB46+BALANCING!OC29-40000000</f>
        <v/>
      </c>
      <c r="OD46" s="52">
        <f>OC46+BALANCING!OD29</f>
        <v/>
      </c>
      <c r="OE46" s="52">
        <f>OD46+BALANCING!OE29</f>
        <v/>
      </c>
      <c r="OF46" s="52">
        <f>OE46+BALANCING!OF29</f>
        <v/>
      </c>
      <c r="OG46" s="52">
        <f>OF46+BALANCING!OG29</f>
        <v/>
      </c>
      <c r="OH46" s="52">
        <f>OG46+BALANCING!OH29-40000000</f>
        <v/>
      </c>
      <c r="OI46" s="52">
        <f>OH46+BALANCING!OI29-40000000</f>
        <v/>
      </c>
      <c r="OJ46" s="52">
        <f>OI46+BALANCING!OJ29-52000-3401812+3265092</f>
        <v/>
      </c>
      <c r="OK46" s="52">
        <f>OJ46+BALANCING!OK29</f>
        <v/>
      </c>
      <c r="OL46" s="52">
        <f>OK46+BALANCING!OL29-5550</f>
        <v/>
      </c>
      <c r="OM46" s="52">
        <f>OL46+BALANCING!OM29</f>
        <v/>
      </c>
      <c r="ON46" s="52">
        <f>OM46+BALANCING!ON29</f>
        <v/>
      </c>
      <c r="OO46" s="52">
        <f>ON46+BALANCING!OO29</f>
        <v/>
      </c>
      <c r="OP46" s="52">
        <f>OO46+BALANCING!OP29</f>
        <v/>
      </c>
      <c r="OQ46" s="52">
        <f>OP46+BALANCING!OQ29</f>
        <v/>
      </c>
      <c r="OR46" s="52">
        <f>OQ46+BALANCING!OR29-102000000</f>
        <v/>
      </c>
      <c r="OS46" s="52">
        <f>OR46+BALANCING!OS29</f>
        <v/>
      </c>
      <c r="OT46" s="52">
        <f>OS46+BALANCING!OT29</f>
        <v/>
      </c>
      <c r="OU46" s="52">
        <f>OT46+BALANCING!OU29-10000000</f>
        <v/>
      </c>
      <c r="OV46" s="130" t="n"/>
      <c r="OW46" s="52">
        <f>OU46+BALANCING!OW29</f>
        <v/>
      </c>
      <c r="OX46" s="52">
        <f>OW46+BALANCING!OX29</f>
        <v/>
      </c>
      <c r="OY46" s="52">
        <f>OX46+BALANCING!OY29-42000000-6000000</f>
        <v/>
      </c>
      <c r="OZ46" s="52">
        <f>OY46+BALANCING!OZ29</f>
        <v/>
      </c>
      <c r="PA46" s="52">
        <f>OZ46+BALANCING!PA29</f>
        <v/>
      </c>
      <c r="PB46" s="52">
        <f>PA46+BALANCING!PB29</f>
        <v/>
      </c>
      <c r="PC46" s="52">
        <f>PB46+BALANCING!PC29</f>
        <v/>
      </c>
      <c r="PD46" s="52">
        <f>PC46+BALANCING!PD29-40000000-36800</f>
        <v/>
      </c>
      <c r="PE46" s="52">
        <f>PD46+BALANCING!PE29-35000000-81500</f>
        <v/>
      </c>
      <c r="PF46" s="52">
        <f>PE46+BALANCING!PF29</f>
        <v/>
      </c>
      <c r="PG46" s="52">
        <f>PF46+BALANCING!PG29-50000000</f>
        <v/>
      </c>
      <c r="PH46" s="52">
        <f>PG46+BALANCING!PH29</f>
        <v/>
      </c>
      <c r="PI46" s="52">
        <f>PH46+BALANCING!PI29</f>
        <v/>
      </c>
      <c r="PJ46" s="52">
        <f>PI46+BALANCING!PJ29</f>
        <v/>
      </c>
      <c r="PK46" s="52">
        <f>PJ46+BALANCING!PK29-36000000-15000000-3655999+3339105</f>
        <v/>
      </c>
      <c r="PL46" s="52">
        <f>PK46+BALANCING!PL29</f>
        <v/>
      </c>
      <c r="PM46" s="52">
        <f>PL46+BALANCING!PM29</f>
        <v/>
      </c>
      <c r="PN46" s="52">
        <f>PM46+BALANCING!PN29</f>
        <v/>
      </c>
      <c r="PO46" s="52">
        <f>PN46+BALANCING!PO29+2000000</f>
        <v/>
      </c>
      <c r="PP46" s="52">
        <f>PO46+BALANCING!PP29</f>
        <v/>
      </c>
      <c r="PQ46" s="52">
        <f>PP46+BALANCING!PQ29-13800-33000000</f>
        <v/>
      </c>
      <c r="PR46" s="52">
        <f>PQ46+BALANCING!PR29</f>
        <v/>
      </c>
      <c r="PS46" s="52">
        <f>PR46+BALANCING!PS29-20000000</f>
        <v/>
      </c>
      <c r="PT46" s="52">
        <f>PS46+BALANCING!PT29-36800</f>
        <v/>
      </c>
      <c r="PU46" s="52">
        <f>PT46+BALANCING!PU29</f>
        <v/>
      </c>
      <c r="PV46" s="52">
        <f>PU46+BALANCING!PV29-50000000</f>
        <v/>
      </c>
      <c r="PW46" s="52">
        <f>PV46+BALANCING!PW29</f>
        <v/>
      </c>
      <c r="PX46" s="52">
        <f>PW46+BALANCING!PX29</f>
        <v/>
      </c>
      <c r="PY46" s="52">
        <f>PX46+BALANCING!PY29</f>
        <v/>
      </c>
      <c r="PZ46" s="52">
        <f>PY46+BALANCING!PZ29</f>
        <v/>
      </c>
      <c r="QA46" s="130" t="n"/>
      <c r="QB46" s="52">
        <f>PZ46+BALANCING!QB29</f>
        <v/>
      </c>
      <c r="QC46" s="52">
        <f>QB46+BALANCING!QC29-50000000</f>
        <v/>
      </c>
      <c r="QD46" s="52">
        <f>QC46+BALANCING!QD29</f>
        <v/>
      </c>
      <c r="QE46" s="52">
        <f>QD46+BALANCING!QE29</f>
        <v/>
      </c>
      <c r="QF46" s="52">
        <f>QE46+BALANCING!QF29</f>
        <v/>
      </c>
      <c r="QG46" s="52">
        <f>QF46+BALANCING!QG29</f>
        <v/>
      </c>
      <c r="QH46" s="52">
        <f>QG46+BALANCING!QH29</f>
        <v/>
      </c>
      <c r="QI46" s="52">
        <f>QH46+BALANCING!QI29-40000000</f>
        <v/>
      </c>
      <c r="QJ46" s="52">
        <f>QI46+BALANCING!QJ29</f>
        <v/>
      </c>
      <c r="QK46" s="52">
        <f>QJ46+BALANCING!QK29</f>
        <v/>
      </c>
      <c r="QL46" s="52">
        <f>QK46+BALANCING!QL29-38000000</f>
        <v/>
      </c>
      <c r="QM46" s="52">
        <f>QL46+BALANCING!QM29</f>
        <v/>
      </c>
      <c r="QN46" s="52">
        <f>QM46+BALANCING!QN29</f>
        <v/>
      </c>
      <c r="QO46" s="52">
        <f>QN46+BALANCING!QO29-55000000</f>
        <v/>
      </c>
      <c r="QP46" s="52">
        <f>QO46+BALANCING!QP29</f>
        <v/>
      </c>
      <c r="QQ46" s="52">
        <f>QP46+BALANCING!QQ29+3034798-3225735-81500</f>
        <v/>
      </c>
      <c r="QR46" s="52">
        <f>QQ46+BALANCING!QR29</f>
        <v/>
      </c>
      <c r="QS46" s="52">
        <f>QR46+BALANCING!QS29</f>
        <v/>
      </c>
      <c r="QT46" s="52">
        <f>QS46+BALANCING!QT29-30000000</f>
        <v/>
      </c>
      <c r="QU46" s="52">
        <f>QT46+BALANCING!QU29</f>
        <v/>
      </c>
      <c r="QV46" s="52">
        <f>QU46+BALANCING!QV29-52000000</f>
        <v/>
      </c>
      <c r="QW46" s="52">
        <f>QV46+BALANCING!QW29</f>
        <v/>
      </c>
      <c r="QX46" s="52">
        <f>QW46+BALANCING!QX29</f>
        <v/>
      </c>
      <c r="QY46" s="52">
        <f>QX46+BALANCING!QY29-31000000</f>
        <v/>
      </c>
      <c r="QZ46" s="52">
        <f>QY46+BALANCING!QZ29</f>
        <v/>
      </c>
      <c r="RA46" s="52">
        <f>QZ46+BALANCING!RA29</f>
        <v/>
      </c>
      <c r="RB46" s="52">
        <f>RA46+BALANCING!RB29</f>
        <v/>
      </c>
      <c r="RC46" s="52">
        <f>RB46+BALANCING!RC29</f>
        <v/>
      </c>
      <c r="RD46" s="52">
        <f>RC46+BALANCING!RD29-41000000</f>
        <v/>
      </c>
      <c r="RE46" s="52">
        <f>RD46+BALANCING!RE29</f>
        <v/>
      </c>
      <c r="RF46" s="52">
        <f>RE46+BALANCING!RF29</f>
        <v/>
      </c>
      <c r="RG46" s="130" t="n"/>
      <c r="RH46" s="52">
        <f>RF46+BALANCING!RH29</f>
        <v/>
      </c>
      <c r="RI46" s="52">
        <f>RH46+BALANCING!RI29</f>
        <v/>
      </c>
      <c r="RJ46" s="52">
        <f>RI46+BALANCING!RJ29</f>
        <v/>
      </c>
      <c r="RK46" s="52">
        <f>RJ46+BALANCING!RK29</f>
        <v/>
      </c>
      <c r="RL46" s="52">
        <f>RK46+BALANCING!RL29-85000000</f>
        <v/>
      </c>
      <c r="RM46" s="52">
        <f>RL46+BALANCING!RM29</f>
        <v/>
      </c>
      <c r="RN46" s="52">
        <f>RM46+BALANCING!RN29</f>
        <v/>
      </c>
      <c r="RO46" s="52">
        <f>RN46+BALANCING!RO29</f>
        <v/>
      </c>
      <c r="RP46" s="52">
        <f>RO46+BALANCING!RP29</f>
        <v/>
      </c>
      <c r="RQ46" s="52">
        <f>RP46+BALANCING!RQ29</f>
        <v/>
      </c>
      <c r="RR46" s="52">
        <f>RQ46+BALANCING!RR29</f>
        <v/>
      </c>
      <c r="RS46" s="52">
        <f>RR46+BALANCING!RS29-40000000-40000000</f>
        <v/>
      </c>
      <c r="RT46" s="52">
        <f>RS46+BALANCING!RT29</f>
        <v/>
      </c>
      <c r="RU46" s="52">
        <f>RT46+BALANCING!RU29</f>
        <v/>
      </c>
      <c r="RV46" s="52">
        <f>RU46+BALANCING!RV29-36200</f>
        <v/>
      </c>
      <c r="RW46" s="52">
        <f>RV46+BALANCING!RW29</f>
        <v/>
      </c>
      <c r="RX46" s="52">
        <f>RW46+BALANCING!RX29</f>
        <v/>
      </c>
      <c r="RY46" s="52">
        <f>RX46+BALANCING!RY29</f>
        <v/>
      </c>
      <c r="RZ46" s="52">
        <f>RY46+BALANCING!RZ29</f>
        <v/>
      </c>
      <c r="SA46" s="52">
        <f>RZ46+BALANCING!SA29-47000000-30000000-81500-3150527+3121349</f>
        <v/>
      </c>
      <c r="SB46" s="52">
        <f>SA46+BALANCING!SB29+1129800</f>
        <v/>
      </c>
      <c r="SC46" s="52">
        <f>SB46+BALANCING!SC29</f>
        <v/>
      </c>
      <c r="SD46" s="52">
        <f>SC46+BALANCING!SD29</f>
        <v/>
      </c>
      <c r="SE46" s="52">
        <f>SD46+BALANCING!SE29</f>
        <v/>
      </c>
      <c r="SF46" s="52">
        <f>SE46+BALANCING!SF29</f>
        <v/>
      </c>
      <c r="SG46" s="52">
        <f>SF46+BALANCING!SG29</f>
        <v/>
      </c>
      <c r="SH46" s="52">
        <f>SG46+BALANCING!SH29</f>
        <v/>
      </c>
      <c r="SI46" s="52">
        <f>SH46+BALANCING!SI29</f>
        <v/>
      </c>
      <c r="SJ46" s="52">
        <f>SI46+BALANCING!SJ29</f>
        <v/>
      </c>
      <c r="SK46" s="52">
        <f>SJ46+BALANCING!SK29-36800-70000000</f>
        <v/>
      </c>
      <c r="SL46" s="130" t="n"/>
      <c r="SM46" s="52">
        <f>SK46+BALANCING!SM29</f>
        <v/>
      </c>
      <c r="SN46" s="52">
        <f>SM46+BALANCING!SN29</f>
        <v/>
      </c>
      <c r="SO46" s="52">
        <f>SN46+BALANCING!SO29</f>
        <v/>
      </c>
      <c r="SP46" s="52">
        <f>SO46+BALANCING!SP29-56000000</f>
        <v/>
      </c>
      <c r="SQ46" s="52">
        <f>SP46+BALANCING!SQ29</f>
        <v/>
      </c>
      <c r="SR46" s="52">
        <f>SQ46+BALANCING!SR29</f>
        <v/>
      </c>
      <c r="SS46" s="52">
        <f>SR46+BALANCING!SS29</f>
        <v/>
      </c>
      <c r="ST46" s="52">
        <f>SS46+BALANCING!ST29</f>
        <v/>
      </c>
      <c r="SU46" s="52">
        <f>ST46+BALANCING!SU29</f>
        <v/>
      </c>
      <c r="SV46" s="52">
        <f>SU46+BALANCING!SV29-73000000</f>
        <v/>
      </c>
      <c r="SW46" s="52">
        <f>SV46+BALANCING!SW29</f>
        <v/>
      </c>
      <c r="SX46" s="52">
        <f>SW46+BALANCING!SX29</f>
        <v/>
      </c>
      <c r="SY46" s="52">
        <f>SX46+BALANCING!SY29</f>
        <v/>
      </c>
      <c r="SZ46" s="52">
        <f>SY46+BALANCING!SZ29</f>
        <v/>
      </c>
      <c r="TA46" s="52">
        <f>SZ46+BALANCING!TA29-81500</f>
        <v/>
      </c>
      <c r="TB46" s="52">
        <f>TA46+BALANCING!TB29</f>
        <v/>
      </c>
      <c r="TC46" s="52">
        <f>TB46+BALANCING!TC29-45000000+3000000-3226904+681295</f>
        <v/>
      </c>
      <c r="TD46" s="52">
        <f>TC46+BALANCING!TD29</f>
        <v/>
      </c>
      <c r="TE46" s="52">
        <f>TD46+BALANCING!TE29</f>
        <v/>
      </c>
      <c r="TF46" s="52">
        <f>TE46+BALANCING!TF29-40000000-25000000</f>
        <v/>
      </c>
      <c r="TG46" s="52">
        <f>TF46+BALANCING!TG29</f>
        <v/>
      </c>
      <c r="TH46" s="52">
        <f>TG46+BALANCING!TH29</f>
        <v/>
      </c>
      <c r="TI46" s="52">
        <f>TH46+BALANCING!TI29</f>
        <v/>
      </c>
      <c r="TJ46" s="52">
        <f>TI46+BALANCING!TJ29-25000000-1812000-788124</f>
        <v/>
      </c>
      <c r="TK46" s="52">
        <f>TJ46+BALANCING!TK29</f>
        <v/>
      </c>
      <c r="TL46" s="52">
        <f>TK46+BALANCING!TL29</f>
        <v/>
      </c>
      <c r="TM46" s="52">
        <f>TL46+BALANCING!TM29</f>
        <v/>
      </c>
      <c r="TN46" s="52">
        <f>TM46+BALANCING!TN29</f>
        <v/>
      </c>
      <c r="TO46" s="52">
        <f>TN46+BALANCING!TO29</f>
        <v/>
      </c>
      <c r="TP46" s="52">
        <f>TO46+BALANCING!TP29-75000000</f>
        <v/>
      </c>
      <c r="TQ46" s="52">
        <f>TP46+BALANCING!TQ29-1500000</f>
        <v/>
      </c>
      <c r="TR46" s="130" t="n"/>
      <c r="TS46" s="52">
        <f>TQ46+BALANCING!TS29-36800</f>
        <v/>
      </c>
      <c r="TT46" s="52">
        <f>TS46+BALANCING!TT29</f>
        <v/>
      </c>
      <c r="TU46" s="52">
        <f>TT46+BALANCING!TU29</f>
        <v/>
      </c>
      <c r="TV46" s="52">
        <f>TU46+BALANCING!TV29</f>
        <v/>
      </c>
      <c r="TW46" s="52">
        <f>TV46+BALANCING!TW29</f>
        <v/>
      </c>
      <c r="TX46" s="52">
        <f>TW46+BALANCING!TX29</f>
        <v/>
      </c>
      <c r="TY46" s="52">
        <f>TX46+BALANCING!TY29</f>
        <v/>
      </c>
      <c r="TZ46" s="52">
        <f>TY46+BALANCING!TZ29</f>
        <v/>
      </c>
      <c r="UA46" s="52">
        <f>TZ46+BALANCING!UA29-22000000-30000000</f>
        <v/>
      </c>
      <c r="UB46" s="52">
        <f>UA46+BALANCING!UB29</f>
        <v/>
      </c>
      <c r="UC46" s="52">
        <f>UB46+BALANCING!UC29</f>
        <v/>
      </c>
      <c r="UD46" s="52">
        <f>UC46+BALANCING!UD29-21000000</f>
        <v/>
      </c>
      <c r="UE46" s="52">
        <f>UD46+BALANCING!UE29</f>
        <v/>
      </c>
      <c r="UF46" s="52">
        <f>UE46+BALANCING!UF29</f>
        <v/>
      </c>
      <c r="UG46" s="52">
        <f>UF46+BALANCING!UG29</f>
        <v/>
      </c>
      <c r="UH46" s="52">
        <f>UG46+BALANCING!UH29</f>
        <v/>
      </c>
      <c r="UI46" s="52">
        <f>UH46+BALANCING!UI29-75000000-81500-3389893+3122392</f>
        <v/>
      </c>
      <c r="UJ46" s="52">
        <f>UI46+BALANCING!UJ29</f>
        <v/>
      </c>
      <c r="UK46" s="52">
        <f>UJ46+BALANCING!UK29</f>
        <v/>
      </c>
      <c r="UL46" s="52">
        <f>UK46+BALANCING!UL29</f>
        <v/>
      </c>
      <c r="UM46" s="52">
        <f>UL46+BALANCING!UM29</f>
        <v/>
      </c>
      <c r="UN46" s="52">
        <f>UM46+BALANCING!UN29</f>
        <v/>
      </c>
      <c r="UO46" s="52">
        <f>UN46+BALANCING!UO29</f>
        <v/>
      </c>
      <c r="UP46" s="52">
        <f>UO46+BALANCING!UP29-37000000</f>
        <v/>
      </c>
      <c r="UQ46" s="52">
        <f>UP46+BALANCING!UQ29</f>
        <v/>
      </c>
      <c r="UR46" s="52">
        <f>UQ46+BALANCING!UR29-65000000</f>
        <v/>
      </c>
      <c r="US46" s="52">
        <f>UR46+BALANCING!US29</f>
        <v/>
      </c>
      <c r="UT46" s="52">
        <f>US46+BALANCING!UT29</f>
        <v/>
      </c>
      <c r="UU46" s="52">
        <f>UT46+BALANCING!UU29</f>
        <v/>
      </c>
      <c r="UV46" s="52">
        <f>UU46+BALANCING!UV29</f>
        <v/>
      </c>
      <c r="UW46" s="52">
        <f>UV46+BALANCING!UW29</f>
        <v/>
      </c>
      <c r="UX46" s="130" t="n"/>
      <c r="UY46" s="52">
        <f>UW46+BALANCING!UY29</f>
        <v/>
      </c>
      <c r="UZ46" s="52">
        <f>UY46+BALANCING!UZ29</f>
        <v/>
      </c>
      <c r="VA46" s="52">
        <f>UZ46+BALANCING!VA29</f>
        <v/>
      </c>
      <c r="VB46" s="52">
        <f>VA46+BALANCING!VB29</f>
        <v/>
      </c>
      <c r="VC46" s="52">
        <f>VB46+BALANCING!VC29</f>
        <v/>
      </c>
      <c r="VD46" s="52">
        <f>VC46+BALANCING!VD29-75000000</f>
        <v/>
      </c>
      <c r="VE46" s="52">
        <f>VD46+BALANCING!VE29</f>
        <v/>
      </c>
      <c r="VF46" s="52">
        <f>VE46+BALANCING!VF29</f>
        <v/>
      </c>
      <c r="VG46" s="52">
        <f>VF46+BALANCING!VG29</f>
        <v/>
      </c>
      <c r="VH46" s="52">
        <f>VG46+BALANCING!VH29-70000000</f>
        <v/>
      </c>
      <c r="VI46" s="52">
        <f>VH46+BALANCING!VI29</f>
        <v/>
      </c>
      <c r="VJ46" s="52">
        <f>VI46+BALANCING!VJ29</f>
        <v/>
      </c>
      <c r="VK46" s="52">
        <f>VJ46+BALANCING!VK29</f>
        <v/>
      </c>
      <c r="VL46" s="52">
        <f>VK46+BALANCING!VL29</f>
        <v/>
      </c>
      <c r="VM46" s="52">
        <f>VL46+BALANCING!VM29-35000000-37800</f>
        <v/>
      </c>
      <c r="VN46" s="52">
        <f>VM46+BALANCING!VN29</f>
        <v/>
      </c>
      <c r="VO46" s="52">
        <f>VN46+BALANCING!VO29</f>
        <v/>
      </c>
      <c r="VP46" s="52">
        <f>VO46+BALANCING!VP29</f>
        <v/>
      </c>
      <c r="VQ46" s="52">
        <f>VP46+BALANCING!VQ29-30000000-25000000</f>
        <v/>
      </c>
      <c r="VR46" s="52">
        <f>VQ46+BALANCING!VR29-3041425+2866699</f>
        <v/>
      </c>
      <c r="VS46" s="52">
        <f>VR46+BALANCING!VS29-20000000-158750</f>
        <v/>
      </c>
      <c r="VT46" s="52">
        <f>VS46+BALANCING!VT29</f>
        <v/>
      </c>
      <c r="VU46" s="52">
        <f>VT46+BALANCING!VU29</f>
        <v/>
      </c>
      <c r="VV46" s="52">
        <f>VU46+BALANCING!VV29</f>
        <v/>
      </c>
      <c r="VW46" s="52">
        <f>VV46+BALANCING!VW29</f>
        <v/>
      </c>
      <c r="VX46" s="52">
        <f>VW46+BALANCING!VX29</f>
        <v/>
      </c>
      <c r="VY46" s="52">
        <f>VX46+BALANCING!VY29</f>
        <v/>
      </c>
      <c r="VZ46" s="52">
        <f>VY46+BALANCING!VZ29</f>
        <v/>
      </c>
      <c r="WA46" s="139" t="n"/>
      <c r="WB46" s="52">
        <f>VZ46+BALANCING!WB29-50000000-4800</f>
        <v/>
      </c>
      <c r="WC46" s="52">
        <f>WB46+BALANCING!WC29</f>
        <v/>
      </c>
      <c r="WD46" s="52">
        <f>WC46+BALANCING!WD29-30000000</f>
        <v/>
      </c>
      <c r="WE46" s="52">
        <f>WD46+BALANCING!WE29</f>
        <v/>
      </c>
      <c r="WF46" s="52">
        <f>WE46+BALANCING!WF29</f>
        <v/>
      </c>
      <c r="WG46" s="52">
        <f>WF46+BALANCING!WG29</f>
        <v/>
      </c>
      <c r="WH46" s="52">
        <f>WG46+BALANCING!WH29-65000000</f>
        <v/>
      </c>
      <c r="WI46" s="52">
        <f>WH46+BALANCING!WI29</f>
        <v/>
      </c>
      <c r="WJ46" s="52">
        <f>WI46+BALANCING!WJ29</f>
        <v/>
      </c>
      <c r="WK46" s="52">
        <f>WJ46+BALANCING!WK29</f>
        <v/>
      </c>
      <c r="WL46" s="52">
        <f>WK46+BALANCING!WL29-23000000</f>
        <v/>
      </c>
      <c r="WM46" s="52">
        <f>WL46+BALANCING!WM29</f>
        <v/>
      </c>
      <c r="WN46" s="52">
        <f>WM46+BALANCING!WN29</f>
        <v/>
      </c>
      <c r="WO46" s="52">
        <f>WN46+BALANCING!WO29</f>
        <v/>
      </c>
      <c r="WP46" s="52">
        <f>WO46+BALANCING!WP29</f>
        <v/>
      </c>
      <c r="WQ46" s="52">
        <f>WP46+BALANCING!WQ29</f>
        <v/>
      </c>
      <c r="WR46" s="52">
        <f>WQ46+BALANCING!WR29-63000000+418247</f>
        <v/>
      </c>
      <c r="WS46" s="52">
        <f>WR46+BALANCING!WS29</f>
        <v/>
      </c>
      <c r="WT46" s="52">
        <f>WS46+BALANCING!WT29</f>
        <v/>
      </c>
      <c r="WU46" s="52">
        <f>WT46+BALANCING!WU29</f>
        <v/>
      </c>
      <c r="WV46" s="52">
        <f>WU46+BALANCING!WV29</f>
        <v/>
      </c>
      <c r="WW46" s="52">
        <f>WV46+BALANCING!WW29</f>
        <v/>
      </c>
      <c r="WX46" s="52">
        <f>WW46+BALANCING!WX29</f>
        <v/>
      </c>
      <c r="WY46" s="52">
        <f>WX46+BALANCING!WY29</f>
        <v/>
      </c>
      <c r="WZ46" s="52">
        <f>WY46+BALANCING!WZ29</f>
        <v/>
      </c>
      <c r="XA46" s="52">
        <f>WZ46+BALANCING!XA29</f>
        <v/>
      </c>
      <c r="XB46" s="52">
        <f>XA46+BALANCING!XB29</f>
        <v/>
      </c>
      <c r="XC46" s="52">
        <f>XB46+BALANCING!XC29-55000000-66000000</f>
        <v/>
      </c>
      <c r="XD46" s="52">
        <f>XC46+BALANCING!XD29</f>
        <v/>
      </c>
      <c r="XE46" s="52">
        <f>XD46+BALANCING!XE29-37000000</f>
        <v/>
      </c>
      <c r="XF46" s="52">
        <f>XE46+BALANCING!XF29</f>
        <v/>
      </c>
      <c r="XG46" s="139" t="n"/>
      <c r="XH46" s="52">
        <f>XF46+BALANCING!XH29</f>
        <v/>
      </c>
      <c r="XI46" s="52">
        <f>XH46+BALANCING!XI29</f>
        <v/>
      </c>
      <c r="XJ46" s="52">
        <f>XI46+BALANCING!XJ29</f>
        <v/>
      </c>
      <c r="XK46" s="52">
        <f>XJ46+BALANCING!XK29</f>
        <v/>
      </c>
      <c r="XL46" s="52">
        <f>XK46+BALANCING!XL29</f>
        <v/>
      </c>
      <c r="XM46" s="52">
        <f>XL46+BALANCING!XM29</f>
        <v/>
      </c>
      <c r="XN46" s="52">
        <f>XM46+BALANCING!XN29</f>
        <v/>
      </c>
      <c r="XO46" s="52">
        <f>XN46+BALANCING!XO29</f>
        <v/>
      </c>
      <c r="XP46" s="52">
        <f>XO46+BALANCING!XP29-47000000-21000000</f>
        <v/>
      </c>
      <c r="XQ46" s="52">
        <f>XP46+BALANCING!XQ29</f>
        <v/>
      </c>
      <c r="XR46" s="52">
        <f>XQ46+BALANCING!XR29</f>
        <v/>
      </c>
      <c r="XS46" s="52">
        <f>XR46+BALANCING!XS29-41791</f>
        <v/>
      </c>
      <c r="XT46" s="52">
        <f>XS46+BALANCING!XT29</f>
        <v/>
      </c>
      <c r="XU46" s="52">
        <f>XT46+BALANCING!XU29</f>
        <v/>
      </c>
      <c r="XV46" s="52">
        <f>XU46+BALANCING!XV29</f>
        <v/>
      </c>
      <c r="XW46" s="52">
        <f>XV46+BALANCING!XW29-70000000</f>
        <v/>
      </c>
      <c r="XX46" s="52">
        <f>XW46+BALANCING!XX29+3971978-2745803-81500-1332600-35000000</f>
        <v/>
      </c>
      <c r="XY46" s="52">
        <f>XX46+BALANCING!XY29</f>
        <v/>
      </c>
      <c r="XZ46" s="52">
        <f>XY46+BALANCING!XZ29</f>
        <v/>
      </c>
      <c r="YA46" s="52">
        <f>XZ46+BALANCING!YA29</f>
        <v/>
      </c>
      <c r="YB46" s="52">
        <f>YA46+BALANCING!YB29</f>
        <v/>
      </c>
      <c r="YC46" s="52">
        <f>YB46+BALANCING!YC29</f>
        <v/>
      </c>
      <c r="YD46" s="52">
        <f>YC46+BALANCING!YD29-30000000-23000000</f>
        <v/>
      </c>
      <c r="YE46" s="52">
        <f>YD46+BALANCING!YE29</f>
        <v/>
      </c>
      <c r="YF46" s="52">
        <f>YE46+BALANCING!YF29</f>
        <v/>
      </c>
      <c r="YG46" s="52">
        <f>YF46+BALANCING!YG29</f>
        <v/>
      </c>
      <c r="YH46" s="52">
        <f>YG46+BALANCING!YH29</f>
        <v/>
      </c>
      <c r="YI46" s="52">
        <f>YH46+BALANCING!YI29</f>
        <v/>
      </c>
      <c r="YJ46" s="52">
        <f>YI46+BALANCING!YJ29</f>
        <v/>
      </c>
      <c r="YK46" s="52">
        <f>YJ46+BALANCING!YK29-40000000-38000000-6936360-1332600</f>
        <v/>
      </c>
      <c r="YL46" s="130" t="n"/>
      <c r="YM46" s="52">
        <f>YK46+BALANCING!YM29</f>
        <v/>
      </c>
      <c r="YN46" s="52">
        <f>YM46+BALANCING!YN29</f>
        <v/>
      </c>
      <c r="YO46" s="52">
        <f>YN46+BALANCING!YO29</f>
        <v/>
      </c>
      <c r="YP46" s="52">
        <f>YO46+BALANCING!YP29+1289800</f>
        <v/>
      </c>
      <c r="YQ46" s="52">
        <f>YP46+BALANCING!YQ29</f>
        <v/>
      </c>
      <c r="YR46" s="52">
        <f>YQ46+BALANCING!YR29</f>
        <v/>
      </c>
      <c r="YS46" s="52">
        <f>YR46+BALANCING!YS29</f>
        <v/>
      </c>
      <c r="YT46" s="52">
        <f>YS46+BALANCING!YT29</f>
        <v/>
      </c>
      <c r="YU46" s="52">
        <f>YT46+BALANCING!YU29</f>
        <v/>
      </c>
      <c r="YV46" s="52">
        <f>YU46+BALANCING!YV29</f>
        <v/>
      </c>
      <c r="YW46" s="52">
        <f>YV46+BALANCING!YW29</f>
        <v/>
      </c>
      <c r="YX46" s="52">
        <f>YW46+BALANCING!YX29</f>
        <v/>
      </c>
      <c r="YY46" s="52">
        <f>YX46+BALANCING!YY29</f>
        <v/>
      </c>
      <c r="YZ46" s="52">
        <f>YY46+BALANCING!YZ29</f>
        <v/>
      </c>
      <c r="ZA46" s="52">
        <f>YZ46+BALANCING!ZA29</f>
        <v/>
      </c>
      <c r="ZB46" s="52">
        <f>ZA46+BALANCING!ZB29-85000000-45000000</f>
        <v/>
      </c>
      <c r="ZC46" s="52">
        <f>ZB46+BALANCING!ZC29</f>
        <v/>
      </c>
      <c r="ZD46" s="52">
        <f>ZC46+BALANCING!ZD29</f>
        <v/>
      </c>
      <c r="ZE46" s="52">
        <f>ZD46+BALANCING!ZE29</f>
        <v/>
      </c>
      <c r="ZF46" s="52">
        <f>ZE46+BALANCING!ZF29-30000000-81500+3001251-3074427</f>
        <v/>
      </c>
      <c r="ZG46" s="52">
        <f>ZF46+BALANCING!ZG29</f>
        <v/>
      </c>
      <c r="ZH46" s="52">
        <f>ZG46+BALANCING!ZH29</f>
        <v/>
      </c>
      <c r="ZI46" s="52">
        <f>ZH46+BALANCING!ZI29</f>
        <v/>
      </c>
      <c r="ZJ46" s="52">
        <f>ZI46+BALANCING!ZJ29</f>
        <v/>
      </c>
      <c r="ZK46" s="52">
        <f>ZJ46+BALANCING!ZK29</f>
        <v/>
      </c>
      <c r="ZL46" s="52">
        <f>ZK46+BALANCING!ZL29</f>
        <v/>
      </c>
      <c r="ZM46" s="52">
        <f>ZL46+BALANCING!ZM29-90000000-30000000</f>
        <v/>
      </c>
      <c r="ZN46" s="52">
        <f>ZM46+BALANCING!ZN29</f>
        <v/>
      </c>
      <c r="ZO46" s="52">
        <f>ZN46+BALANCING!ZO29</f>
        <v/>
      </c>
      <c r="ZP46" s="52">
        <f>ZO46+BALANCING!ZP29</f>
        <v/>
      </c>
      <c r="ZQ46" s="52">
        <f>ZP46+BALANCING!ZQ29</f>
        <v/>
      </c>
      <c r="ZR46" s="130" t="n"/>
      <c r="ZS46" s="52">
        <f>ZQ46+BALANCING!ZS29-36800</f>
        <v/>
      </c>
      <c r="ZT46" s="52">
        <f>ZS46+BALANCING!ZT29</f>
        <v/>
      </c>
      <c r="ZU46" s="52">
        <f>ZT46+BALANCING!ZU29</f>
        <v/>
      </c>
      <c r="ZV46" s="52">
        <f>ZU46+BALANCING!ZV29</f>
        <v/>
      </c>
      <c r="ZW46" s="52">
        <f>ZV46+BALANCING!ZW29</f>
        <v/>
      </c>
      <c r="ZX46" s="52">
        <f>ZW46+BALANCING!ZX29</f>
        <v/>
      </c>
      <c r="ZY46" s="52">
        <f>ZX46+BALANCING!ZY29</f>
        <v/>
      </c>
      <c r="ZZ46" s="52">
        <f>ZY46+BALANCING!ZZ29-92000000-55000000</f>
        <v/>
      </c>
      <c r="AAA46" s="52">
        <f>ZZ46+BALANCING!AAA29</f>
        <v/>
      </c>
      <c r="AAB46" s="52">
        <f>AAA46+BALANCING!AAB29</f>
        <v/>
      </c>
      <c r="AAC46" s="52">
        <f>AAB46+BALANCING!AAC29</f>
        <v/>
      </c>
      <c r="AAD46" s="52">
        <f>AAC46+BALANCING!AAD29-30000000</f>
        <v/>
      </c>
      <c r="AAE46" s="52">
        <f>AAD46+BALANCING!AAE29</f>
        <v/>
      </c>
      <c r="AAF46" s="52">
        <f>AAE46+BALANCING!AAF29+3036695-2943369</f>
        <v/>
      </c>
      <c r="AAG46" s="52">
        <f>AAF46+BALANCING!AAG29</f>
        <v/>
      </c>
      <c r="AAH46" s="52">
        <f>AAG46+BALANCING!AAH29</f>
        <v/>
      </c>
      <c r="AAI46" s="52">
        <f>AAH46+BALANCING!AAI29-60000000</f>
        <v/>
      </c>
      <c r="AAJ46" s="52">
        <f>AAI46+BALANCING!AAJ29</f>
        <v/>
      </c>
      <c r="AAK46" s="52">
        <f>AAJ46+BALANCING!AAK29</f>
        <v/>
      </c>
      <c r="AAL46" s="52">
        <f>AAK46+BALANCING!AAL29</f>
        <v/>
      </c>
      <c r="AAM46" s="52">
        <f>AAL46+BALANCING!AAM29</f>
        <v/>
      </c>
      <c r="AAN46" s="52">
        <f>AAM46+BALANCING!AAN29</f>
        <v/>
      </c>
      <c r="AAO46" s="52">
        <f>AAN46+BALANCING!AAO29</f>
        <v/>
      </c>
      <c r="AAP46" s="52">
        <f>AAO46+BALANCING!AAP29-55000000-25000000-81500</f>
        <v/>
      </c>
      <c r="AAQ46" s="52">
        <f>AAP46+BALANCING!AAQ29</f>
        <v/>
      </c>
      <c r="AAR46" s="52">
        <f>AAQ46+BALANCING!AAR29</f>
        <v/>
      </c>
      <c r="AAS46" s="52">
        <f>AAR46+BALANCING!AAS29</f>
        <v/>
      </c>
      <c r="AAT46" s="52">
        <f>AAS46+BALANCING!AAT29-1812000</f>
        <v/>
      </c>
      <c r="AAU46" s="52">
        <f>AAT46+BALANCING!AAU29-48000000</f>
        <v/>
      </c>
      <c r="AAV46" s="52">
        <f>AAU46+BALANCING!AAV29</f>
        <v/>
      </c>
      <c r="AAW46" s="130" t="n"/>
      <c r="AAX46" s="52">
        <f>AAV46+BALANCING!AAX29-32800</f>
        <v/>
      </c>
      <c r="AAY46" s="52">
        <f>AAX46+BALANCING!AAY29</f>
        <v/>
      </c>
      <c r="AAZ46" s="52">
        <f>AAY46+BALANCING!AAZ29</f>
        <v/>
      </c>
      <c r="ABA46" s="52">
        <f>AAZ46+BALANCING!ABA29-30000000</f>
        <v/>
      </c>
      <c r="ABB46" s="52">
        <f>ABA46+BALANCING!ABB29</f>
        <v/>
      </c>
      <c r="ABC46" s="52">
        <f>ABB46+BALANCING!ABC29</f>
        <v/>
      </c>
      <c r="ABD46" s="52">
        <f>ABC46+BALANCING!ABD29</f>
        <v/>
      </c>
      <c r="ABE46" s="52">
        <f>ABD46+BALANCING!ABE29-53000000-28000000</f>
        <v/>
      </c>
      <c r="ABF46" s="52">
        <f>ABE46+BALANCING!ABF29</f>
        <v/>
      </c>
      <c r="ABG46" s="52">
        <f>ABF46+BALANCING!ABG29</f>
        <v/>
      </c>
      <c r="ABH46" s="52">
        <f>ABG46+BALANCING!ABH29</f>
        <v/>
      </c>
      <c r="ABI46" s="52">
        <f>ABH46+BALANCING!ABI29</f>
        <v/>
      </c>
      <c r="ABJ46" s="52">
        <f>ABI46+BALANCING!ABJ29</f>
        <v/>
      </c>
      <c r="ABK46" s="52">
        <f>ABJ46+BALANCING!ABK29-50000000</f>
        <v/>
      </c>
      <c r="ABL46" s="52">
        <f>ABK46+BALANCING!ABL29</f>
        <v/>
      </c>
      <c r="ABM46" s="52">
        <f>ABL46+BALANCING!ABM29</f>
        <v/>
      </c>
      <c r="ABN46" s="52">
        <f>ABM46+BALANCING!ABN29</f>
        <v/>
      </c>
      <c r="ABO46" s="52">
        <f>ABN46+BALANCING!ABO29</f>
        <v/>
      </c>
      <c r="ABP46" s="52">
        <f>ABO46+BALANCING!ABP29</f>
        <v/>
      </c>
      <c r="ABQ46" s="52">
        <f>ABP46+BALANCING!ABQ29</f>
        <v/>
      </c>
      <c r="ABR46" s="52">
        <f>ABQ46+BALANCING!ABR29-58000000-45000000</f>
        <v/>
      </c>
      <c r="ABS46" s="52">
        <f>ABR46+BALANCING!ABS29</f>
        <v/>
      </c>
      <c r="ABT46" s="52">
        <f>ABS46+BALANCING!ABT29</f>
        <v/>
      </c>
      <c r="ABU46" s="52">
        <f>ABT46+BALANCING!ABU29</f>
        <v/>
      </c>
      <c r="ABV46" s="52">
        <f>ABU46+BALANCING!ABV29</f>
        <v/>
      </c>
      <c r="ABW46" s="52">
        <f>ABV46+BALANCING!ABW29</f>
        <v/>
      </c>
      <c r="ABX46" s="52">
        <f>ABW46+BALANCING!ABX29</f>
        <v/>
      </c>
      <c r="ABY46" s="52">
        <f>ABX46+BALANCING!ABY29</f>
        <v/>
      </c>
      <c r="ABZ46" s="52">
        <f>ABY46+BALANCING!ABZ29</f>
        <v/>
      </c>
      <c r="ACA46" s="52">
        <f>ABZ46+BALANCING!ACA29</f>
        <v/>
      </c>
      <c r="ACB46" s="52">
        <f>ACA46+BALANCING!ACB29-2644344</f>
        <v/>
      </c>
      <c r="ACC46" s="130" t="n"/>
      <c r="ACD46" s="52">
        <f>ACB46+BALANCING!ACD29</f>
        <v/>
      </c>
      <c r="ACE46" s="52">
        <f>ACD46+BALANCING!ACE29</f>
        <v/>
      </c>
      <c r="ACF46" s="52">
        <f>ACE46+BALANCING!ACF29</f>
        <v/>
      </c>
      <c r="ACG46" s="52">
        <f>ACF46+BALANCING!ACG29-69000000-57000000-81500</f>
        <v/>
      </c>
      <c r="ACH46" s="52">
        <f>ACG46+BALANCING!ACH29</f>
        <v/>
      </c>
      <c r="ACI46" s="52">
        <f>ACH46+BALANCING!ACI29</f>
        <v/>
      </c>
      <c r="ACJ46" s="52">
        <f>ACI46+BALANCING!ACJ29-30000000-2794642-38800</f>
        <v/>
      </c>
      <c r="ACK46" s="52">
        <f>ACJ46+BALANCING!ACK29</f>
        <v/>
      </c>
      <c r="ACL46" s="52">
        <f>ACK46+BALANCING!ACL29</f>
        <v/>
      </c>
      <c r="ACM46" s="52">
        <f>ACL46+BALANCING!ACM29</f>
        <v/>
      </c>
      <c r="ACN46" s="52">
        <f>ACM46+BALANCING!ACN29</f>
        <v/>
      </c>
      <c r="ACO46" s="52">
        <f>ACN46+BALANCING!ACO29</f>
        <v/>
      </c>
      <c r="ACP46" s="52">
        <f>ACO46+BALANCING!ACP29</f>
        <v/>
      </c>
      <c r="ACQ46" s="52">
        <f>ACP46+BALANCING!ACQ29-66000000-1200000</f>
        <v/>
      </c>
      <c r="ACR46" s="52">
        <f>ACQ46+BALANCING!ACR29</f>
        <v/>
      </c>
      <c r="ACS46" s="52">
        <f>ACR46+BALANCING!ACS29</f>
        <v/>
      </c>
      <c r="ACT46" s="52">
        <f>ACS46+BALANCING!ACT29-67000000+500000</f>
        <v/>
      </c>
      <c r="ACU46" s="52">
        <f>ACT46+BALANCING!ACU29</f>
        <v/>
      </c>
      <c r="ACV46" s="52">
        <f>ACU46+BALANCING!ACV29</f>
        <v/>
      </c>
      <c r="ACW46" s="52">
        <f>ACV46+BALANCING!ACW29</f>
        <v/>
      </c>
      <c r="ACX46" s="52">
        <f>ACW46+BALANCING!ACX29+1000000+1236606</f>
        <v/>
      </c>
      <c r="ACY46" s="52">
        <f>ACX46+BALANCING!ACY29</f>
        <v/>
      </c>
      <c r="ACZ46" s="52">
        <f>ACY46+BALANCING!ACZ29-75000000</f>
        <v/>
      </c>
      <c r="ADA46" s="52">
        <f>ACZ46+BALANCING!ADA29</f>
        <v/>
      </c>
      <c r="ADB46" s="52">
        <f>ADA46+BALANCING!ADB29</f>
        <v/>
      </c>
      <c r="ADC46" s="52">
        <f>ADB46+BALANCING!ADC29</f>
        <v/>
      </c>
      <c r="ADD46" s="52">
        <f>ADC46+BALANCING!ADD29</f>
        <v/>
      </c>
      <c r="ADE46" s="52">
        <f>ADD46+BALANCING!ADE29</f>
        <v/>
      </c>
      <c r="ADF46" s="52">
        <f>ADE46+BALANCING!ADF29-35000000</f>
        <v/>
      </c>
      <c r="ADG46" s="52">
        <f>ADF46+BALANCING!ADG29</f>
        <v/>
      </c>
      <c r="ADH46" s="52">
        <f>ADG46+BALANCING!ADH29</f>
        <v/>
      </c>
      <c r="ADI46" s="130" t="n"/>
      <c r="ADJ46" s="52">
        <f>ADH46+BALANCING!ADJ29</f>
        <v/>
      </c>
      <c r="ADK46" s="52">
        <f>ADJ46+BALANCING!ADK29-50000000</f>
        <v/>
      </c>
      <c r="ADL46" s="52">
        <f>ADK46+BALANCING!ADL29-50000000</f>
        <v/>
      </c>
      <c r="ADM46" s="52">
        <f>ADL46+BALANCING!ADM29-50000000</f>
        <v/>
      </c>
      <c r="ADN46" s="52">
        <f>ADM46+BALANCING!ADN29-50000000</f>
        <v/>
      </c>
      <c r="ADO46" s="52">
        <f>ADN46+BALANCING!ADO29-50000000</f>
        <v/>
      </c>
      <c r="ADP46" s="52">
        <f>ADO46+BALANCING!ADP29-50000000-32000000-40000000</f>
        <v/>
      </c>
      <c r="ADQ46" s="52">
        <f>ADP46+BALANCING!ADQ29</f>
        <v/>
      </c>
      <c r="ADR46" s="52">
        <f>ADQ46+BALANCING!ADR29</f>
        <v/>
      </c>
      <c r="ADS46" s="52">
        <f>ADR46+BALANCING!ADS29</f>
        <v/>
      </c>
      <c r="ADT46" s="52">
        <f>ADS46+BALANCING!ADT29</f>
        <v/>
      </c>
      <c r="ADU46" s="52">
        <f>ADT46+BALANCING!ADU29</f>
        <v/>
      </c>
      <c r="ADV46" s="52">
        <f>ADU46+BALANCING!ADV29</f>
        <v/>
      </c>
      <c r="ADW46" s="52">
        <f>ADV46+BALANCING!ADW29-50000000+266092527</f>
        <v/>
      </c>
      <c r="ADX46" s="52">
        <f>ADW46+BALANCING!ADX29</f>
        <v/>
      </c>
      <c r="ADY46" s="52">
        <f>ADX46+BALANCING!ADY29</f>
        <v/>
      </c>
      <c r="ADZ46" s="52">
        <f>ADY46+BALANCING!ADZ29</f>
        <v/>
      </c>
      <c r="AEA46" s="52">
        <f>ADZ46+BALANCING!AEA29</f>
        <v/>
      </c>
      <c r="AEB46" s="52">
        <f>AEA46+BALANCING!AEB29-50000000+1000000+1000000+297500</f>
        <v/>
      </c>
      <c r="AEC46" s="52">
        <f>AEB46+BALANCING!AEC29</f>
        <v/>
      </c>
      <c r="AED46" s="52">
        <f>AEC46+BALANCING!AED29</f>
        <v/>
      </c>
      <c r="AEE46" s="52">
        <f>AED46+BALANCING!AEE29</f>
        <v/>
      </c>
      <c r="AEF46" s="52">
        <f>AEE46+BALANCING!AEF29</f>
        <v/>
      </c>
      <c r="AEG46" s="52">
        <f>AEF46+BALANCING!AEG29</f>
        <v/>
      </c>
      <c r="AEH46" s="52">
        <f>AEG46+BALANCING!AEH29-70000000</f>
        <v/>
      </c>
      <c r="AEI46" s="52">
        <f>AEH46+BALANCING!AEI29</f>
        <v/>
      </c>
      <c r="AEJ46" s="52">
        <f>AEI46+BALANCING!AEJ29</f>
        <v/>
      </c>
      <c r="AEK46" s="52">
        <f>AEJ46+BALANCING!AEK29</f>
        <v/>
      </c>
      <c r="AEL46" s="52">
        <f>AEK46+BALANCING!AEL29</f>
        <v/>
      </c>
      <c r="AEM46" s="52">
        <f>AEL46+BALANCING!AEM29</f>
        <v/>
      </c>
      <c r="AEN46" s="130" t="n"/>
      <c r="AEO46" s="52">
        <f>AEM46+BALANCING!AEO29-40000000-39100</f>
        <v/>
      </c>
      <c r="AEP46" s="52">
        <f>AEO46+BALANCING!AEP29</f>
        <v/>
      </c>
      <c r="AEQ46" s="52">
        <f>AEP46+BALANCING!AEQ29</f>
        <v/>
      </c>
      <c r="AER46" s="52">
        <f>AEQ46+BALANCING!AER29</f>
        <v/>
      </c>
      <c r="AES46" s="52">
        <f>AER46+BALANCING!AES29-25000000-32000000</f>
        <v/>
      </c>
      <c r="AET46" s="52">
        <f>AES46+BALANCING!AET29</f>
        <v/>
      </c>
      <c r="AEU46" s="52">
        <f>AET46+BALANCING!AEU29-32000000-355000</f>
        <v/>
      </c>
      <c r="AEV46" s="52">
        <f>AEU46+BALANCING!AEV29</f>
        <v/>
      </c>
      <c r="AEW46" s="52">
        <f>AEV46+BALANCING!AEW29</f>
        <v/>
      </c>
      <c r="AEX46" s="52">
        <f>AEW46+BALANCING!AEX29</f>
        <v/>
      </c>
      <c r="AEY46" s="52">
        <f>AEX46+BALANCING!AEY29</f>
        <v/>
      </c>
      <c r="AEZ46" s="52">
        <f>AEY46+BALANCING!AEZ29</f>
        <v/>
      </c>
      <c r="AFA46" s="52">
        <f>AEZ46+BALANCING!AFA29</f>
        <v/>
      </c>
      <c r="AFB46" s="52">
        <f>AFA46+BALANCING!AFB29-47000000-1200000-81500</f>
        <v/>
      </c>
      <c r="AFC46" s="52">
        <f>AFB46+BALANCING!AFC29</f>
        <v/>
      </c>
      <c r="AFD46" s="52">
        <f>AFC46+BALANCING!AFD29</f>
        <v/>
      </c>
      <c r="AFE46" s="52">
        <f>AFD46+BALANCING!AFE29</f>
        <v/>
      </c>
      <c r="AFF46" s="52">
        <f>AFE46+BALANCING!AFF29</f>
        <v/>
      </c>
      <c r="AFG46" s="52">
        <f>AFF46+BALANCING!AFG29-44000000</f>
        <v/>
      </c>
      <c r="AFH46" s="52">
        <f>AFG46+BALANCING!AFH29</f>
        <v/>
      </c>
      <c r="AFI46" s="52">
        <f>AFH46+BALANCING!AFI29</f>
        <v/>
      </c>
      <c r="AFJ46" s="52">
        <f>AFI46+BALANCING!AFJ29</f>
        <v/>
      </c>
      <c r="AFK46" s="52">
        <f>AFJ46+BALANCING!AFK29</f>
        <v/>
      </c>
      <c r="AFL46" s="52">
        <f>AFK46+BALANCING!AFL29+2674900-2706179-34000000</f>
        <v/>
      </c>
      <c r="AFM46" s="52">
        <f>AFL46+BALANCING!AFM29</f>
        <v/>
      </c>
      <c r="AFN46" s="52">
        <f>AFM46+BALANCING!AFN29</f>
        <v/>
      </c>
      <c r="AFO46" s="52">
        <f>AFN46+BALANCING!AFO29</f>
        <v/>
      </c>
      <c r="AFP46" s="52">
        <f>AFO46+BALANCING!AFP29</f>
        <v/>
      </c>
      <c r="AFQ46" s="52">
        <f>AFP46+BALANCING!AFQ29-75000000-15000000</f>
        <v/>
      </c>
      <c r="AFR46" s="52">
        <f>AFQ46+BALANCING!AFR29</f>
        <v/>
      </c>
      <c r="AFS46" s="52">
        <f>AFR46+BALANCING!AFS29</f>
        <v/>
      </c>
      <c r="AFT46" s="130" t="n"/>
      <c r="AFU46" s="52">
        <f>AFS46+BALANCING!AFU29-39100</f>
        <v/>
      </c>
      <c r="AFV46" s="52">
        <f>AFU46+BALANCING!AFV29</f>
        <v/>
      </c>
      <c r="AFW46" s="52">
        <f>AFV46+BALANCING!AFW29</f>
        <v/>
      </c>
      <c r="AFX46" s="52">
        <f>AFW46+BALANCING!AFX29</f>
        <v/>
      </c>
      <c r="AFY46" s="52">
        <f>AFX46+BALANCING!AFY29</f>
        <v/>
      </c>
      <c r="AFZ46" s="52">
        <f>AFY46+BALANCING!AFZ29</f>
        <v/>
      </c>
      <c r="AGA46" s="52">
        <f>AFZ46+BALANCING!AGA29-55000000</f>
        <v/>
      </c>
      <c r="AGB46" s="52">
        <f>AGA46+BALANCING!AGB29</f>
        <v/>
      </c>
      <c r="AGC46" s="52">
        <f>AGB46+BALANCING!AGC29</f>
        <v/>
      </c>
      <c r="AGD46" s="52">
        <f>AGC46+BALANCING!AGD29</f>
        <v/>
      </c>
      <c r="AGE46" s="52">
        <f>AGD46+BALANCING!AGE29</f>
        <v/>
      </c>
      <c r="AGF46" s="52">
        <f>AGE46+BALANCING!AGF29-52000000-25000000-81500</f>
        <v/>
      </c>
      <c r="AGG46" s="52">
        <f>AGF46+BALANCING!AGG29</f>
        <v/>
      </c>
      <c r="AGH46" s="52">
        <f>AGG46+BALANCING!AGH29</f>
        <v/>
      </c>
      <c r="AGI46" s="52">
        <f>AGH46+BALANCING!AGI29</f>
        <v/>
      </c>
      <c r="AGJ46" s="52">
        <f>AGI46+BALANCING!AGJ29</f>
        <v/>
      </c>
      <c r="AGK46" s="52">
        <f>AGJ46+BALANCING!AGK29</f>
        <v/>
      </c>
      <c r="AGL46" s="52">
        <f>AGK46+BALANCING!AGL29</f>
        <v/>
      </c>
      <c r="AGM46" s="52">
        <f>AGL46+BALANCING!AGM29</f>
        <v/>
      </c>
      <c r="AGN46" s="52">
        <f>AGM46+BALANCING!AGN29-61000000+2833465-2778474-1200000</f>
        <v/>
      </c>
      <c r="AGO46" s="52">
        <f>AGN46+BALANCING!AGO29</f>
        <v/>
      </c>
      <c r="AGP46" s="52">
        <f>AGO46+BALANCING!AGP29</f>
        <v/>
      </c>
      <c r="AGQ46" s="52">
        <f>AGP46+BALANCING!AGQ29</f>
        <v/>
      </c>
      <c r="AGR46" s="52">
        <f>AGQ46+BALANCING!AGR29-42000000-20000000</f>
        <v/>
      </c>
      <c r="AGS46" s="52">
        <f>AGR46+BALANCING!AGS29</f>
        <v/>
      </c>
      <c r="AGT46" s="52">
        <f>AGS46+BALANCING!AGT29</f>
        <v/>
      </c>
      <c r="AGU46" s="52">
        <f>AGT46+BALANCING!AGU29</f>
        <v/>
      </c>
      <c r="AGV46" s="52">
        <f>AGU46+BALANCING!AGV29</f>
        <v/>
      </c>
      <c r="AGW46" s="52">
        <f>AGV46+BALANCING!AGW29-24000000</f>
        <v/>
      </c>
      <c r="AGX46" s="52">
        <f>AGW46+BALANCING!AGX29-60000000</f>
        <v/>
      </c>
      <c r="AGY46" s="139" t="n"/>
      <c r="AGZ46" s="52">
        <f>AGX46+BALANCING!AGZ29</f>
        <v/>
      </c>
      <c r="AHA46" s="52">
        <f>AGZ46+BALANCING!AHA29</f>
        <v/>
      </c>
      <c r="AHB46" s="52">
        <f>AHA46+BALANCING!AHB29</f>
        <v/>
      </c>
      <c r="AHC46" s="52">
        <f>AHB46+BALANCING!AHC29</f>
        <v/>
      </c>
      <c r="AHD46" s="52">
        <f>AHC46+BALANCING!AHD29-31000000</f>
        <v/>
      </c>
      <c r="AHE46" s="52">
        <f>AHD46+BALANCING!AHE29-142100</f>
        <v/>
      </c>
      <c r="AHF46" s="52">
        <f>AHE46+BALANCING!AHF29</f>
        <v/>
      </c>
      <c r="AHG46" s="52">
        <f>AHF46+BALANCING!AHG29</f>
        <v/>
      </c>
      <c r="AHH46" s="52">
        <f>AHG46+BALANCING!AHH29</f>
        <v/>
      </c>
      <c r="AHI46" s="52">
        <f>AHH46+BALANCING!AHI29</f>
        <v/>
      </c>
      <c r="AHJ46" s="52">
        <f>AHI46+BALANCING!AHJ29</f>
        <v/>
      </c>
      <c r="AHK46" s="52">
        <f>AHJ46+BALANCING!AHK29-60000000-31000000-2000</f>
        <v/>
      </c>
      <c r="AHL46" s="52">
        <f>AHK46+BALANCING!AHL29+1939000-3076686-81500-1200000</f>
        <v/>
      </c>
      <c r="AHM46" s="52">
        <f>AHL46+BALANCING!AHM29</f>
        <v/>
      </c>
      <c r="AHN46" s="52">
        <f>AHM46+BALANCING!AHN29-62000000</f>
        <v/>
      </c>
      <c r="AHO46" s="52">
        <f>AHN46+BALANCING!AHO29</f>
        <v/>
      </c>
      <c r="AHP46" s="52">
        <f>AHO46+BALANCING!AHP29</f>
        <v/>
      </c>
      <c r="AHQ46" s="52">
        <f>AHP46+BALANCING!AHQ29</f>
        <v/>
      </c>
      <c r="AHR46" s="52">
        <f>AHQ46+BALANCING!AHR29</f>
        <v/>
      </c>
      <c r="AHS46" s="52">
        <f>AHR46+BALANCING!AHS29-550000+872518</f>
        <v/>
      </c>
      <c r="AHT46" s="52">
        <f>AHS46+BALANCING!AHT29</f>
        <v/>
      </c>
      <c r="AHU46" s="52">
        <f>AHT46+BALANCING!AHU29</f>
        <v/>
      </c>
      <c r="AHV46" s="52">
        <f>AHU46+BALANCING!AHV29</f>
        <v/>
      </c>
      <c r="AHW46" s="52">
        <f>AHV46+BALANCING!AHW29-95000000-2400000</f>
        <v/>
      </c>
      <c r="AHX46" s="52">
        <f>AHW46+BALANCING!AHX29</f>
        <v/>
      </c>
      <c r="AHY46" s="52">
        <f>AHX46+BALANCING!AHY29</f>
        <v/>
      </c>
      <c r="AHZ46" s="52">
        <f>AHY46+BALANCING!AHZ29</f>
        <v/>
      </c>
      <c r="AIA46" s="52">
        <f>AHZ46+BALANCING!AIA29-10000000-19000</f>
        <v/>
      </c>
      <c r="AIB46" s="52">
        <f>AIA46+BALANCING!AIB29</f>
        <v/>
      </c>
      <c r="AIC46" s="52">
        <f>AIB46+BALANCING!AIC29</f>
        <v/>
      </c>
      <c r="AID46" s="52">
        <f>AIC46+BALANCING!AID29</f>
        <v/>
      </c>
      <c r="AIE46" s="130" t="n"/>
      <c r="AIF46" s="52">
        <f>AID46+BALANCING!AIF29-75000000</f>
        <v/>
      </c>
      <c r="AIG46" s="52">
        <f>AIF46+BALANCING!AIG29</f>
        <v/>
      </c>
      <c r="AIH46" s="52">
        <f>AIG46+BALANCING!AIH29</f>
        <v/>
      </c>
      <c r="AII46" s="52">
        <f>AIH46+BALANCING!AII29</f>
        <v/>
      </c>
      <c r="AIJ46" s="52">
        <f>AII46+BALANCING!AIJ29-45000000</f>
        <v/>
      </c>
      <c r="AIK46" s="52">
        <f>AIJ46+BALANCING!AIK29-41000000</f>
        <v/>
      </c>
      <c r="AIL46" s="52">
        <f>AIK46+BALANCING!AIL29</f>
        <v/>
      </c>
      <c r="AIM46" s="52">
        <f>AIL46+BALANCING!AIM29-8262000</f>
        <v/>
      </c>
      <c r="AIN46" s="52">
        <f>AIM46+BALANCING!AIN29</f>
        <v/>
      </c>
      <c r="AIO46" s="52">
        <f>AIN46+BALANCING!AIO29</f>
        <v/>
      </c>
      <c r="AIP46" s="52">
        <f>AIO46+BALANCING!AIP29+32000</f>
        <v/>
      </c>
      <c r="AIQ46" s="52">
        <f>AIP46+BALANCING!AIQ29</f>
        <v/>
      </c>
      <c r="AIR46" s="52">
        <f>AIQ46+BALANCING!AIR29-43000000-1200000-81500-3596776+3132242</f>
        <v/>
      </c>
      <c r="AIS46" s="52">
        <f>AIR46+BALANCING!AIS29</f>
        <v/>
      </c>
      <c r="AIT46" s="52">
        <f>AIS46+BALANCING!AIT29</f>
        <v/>
      </c>
      <c r="AIU46" s="52">
        <f>AIT46+BALANCING!AIU29</f>
        <v/>
      </c>
      <c r="AIV46" s="52">
        <f>AIU46+BALANCING!AIV29</f>
        <v/>
      </c>
      <c r="AIW46" s="52">
        <f>AIV46+BALANCING!AIW29</f>
        <v/>
      </c>
      <c r="AIX46" s="52">
        <f>AIW46+BALANCING!AIX29-51000000-7000</f>
        <v/>
      </c>
      <c r="AIY46" s="52">
        <f>AIX46+BALANCING!AIY29</f>
        <v/>
      </c>
      <c r="AIZ46" s="52">
        <f>AIY46+BALANCING!AIZ29</f>
        <v/>
      </c>
      <c r="AJA46" s="52">
        <f>AIZ46+BALANCING!AJA29</f>
        <v/>
      </c>
      <c r="AJB46" s="52">
        <f>AJA46+BALANCING!AJB29</f>
        <v/>
      </c>
      <c r="AJC46" s="52">
        <f>AJB46+BALANCING!AJC29</f>
        <v/>
      </c>
      <c r="AJD46" s="52">
        <f>AJC46+BALANCING!AJD29</f>
        <v/>
      </c>
      <c r="AJE46" s="52">
        <f>AJD46+BALANCING!AJE29</f>
        <v/>
      </c>
      <c r="AJF46" s="52">
        <f>AJE46+BALANCING!AJF29</f>
        <v/>
      </c>
      <c r="AJG46" s="52">
        <f>AJF46+BALANCING!AJG29</f>
        <v/>
      </c>
      <c r="AJH46" s="52">
        <f>AJG46+BALANCING!AJH29</f>
        <v/>
      </c>
      <c r="AJI46" s="52">
        <f>AJH46+BALANCING!AJI29-42000000-30000000-22000000</f>
        <v/>
      </c>
      <c r="AJJ46" s="52">
        <f>AJI46+BALANCING!AJJ29</f>
        <v/>
      </c>
      <c r="AJK46" s="145" t="n"/>
      <c r="AJL46" s="52">
        <f>AJJ46+BALANCING!AJL29-42000000-15500000</f>
        <v/>
      </c>
      <c r="AJM46" s="52">
        <f>AJL46+BALANCING!AJM29</f>
        <v/>
      </c>
      <c r="AJN46" s="52">
        <f>AJM46+BALANCING!AJN29</f>
        <v/>
      </c>
      <c r="AJO46" s="52">
        <f>AJN46+BALANCING!AJO29</f>
        <v/>
      </c>
      <c r="AJP46" s="52">
        <f>AJO46+BALANCING!AJP29</f>
        <v/>
      </c>
      <c r="AJQ46" s="52">
        <f>AJP46+BALANCING!AJQ29</f>
        <v/>
      </c>
      <c r="AJR46" s="52">
        <f>AJQ46+BALANCING!AJR29</f>
        <v/>
      </c>
      <c r="AJS46" s="52">
        <f>AJR46+BALANCING!AJS29</f>
        <v/>
      </c>
      <c r="AJT46" s="52">
        <f>AJS46+BALANCING!AJT29</f>
        <v/>
      </c>
      <c r="AJU46" s="52">
        <f>AJT46+BALANCING!AJU29</f>
        <v/>
      </c>
      <c r="AJV46" s="52">
        <f>AJU46+BALANCING!AJV29</f>
        <v/>
      </c>
      <c r="AJW46" s="52">
        <f>AJV46+BALANCING!AJW29</f>
        <v/>
      </c>
      <c r="AJX46" s="52">
        <f>AJW46+BALANCING!AJX29</f>
        <v/>
      </c>
      <c r="AJY46" s="52">
        <f>AJX46+BALANCING!AJY29</f>
        <v/>
      </c>
      <c r="AJZ46" s="52">
        <f>AJY46+BALANCING!AJZ29</f>
        <v/>
      </c>
      <c r="AKA46" s="52">
        <f>AJZ46+BALANCING!AKA29</f>
        <v/>
      </c>
      <c r="AKB46" s="52">
        <f>AKA46+BALANCING!AKB29</f>
        <v/>
      </c>
      <c r="AKC46" s="52">
        <f>AKB46+BALANCING!AKC29</f>
        <v/>
      </c>
      <c r="AKD46" s="52">
        <f>AKC46+BALANCING!AKD29</f>
        <v/>
      </c>
      <c r="AKE46" s="52">
        <f>AKD46+BALANCING!AKE29</f>
        <v/>
      </c>
      <c r="AKF46" s="52">
        <f>AKE46+BALANCING!AKF29</f>
        <v/>
      </c>
      <c r="AKG46" s="52">
        <f>AKF46+BALANCING!AKG29</f>
        <v/>
      </c>
      <c r="AKH46" s="52">
        <f>AKG46+BALANCING!AKH29-235335291</f>
        <v/>
      </c>
      <c r="AKI46" s="52">
        <f>AKH46+BALANCING!AKI29</f>
        <v/>
      </c>
      <c r="AKJ46" s="52">
        <f>AKI46+BALANCING!AKJ29</f>
        <v/>
      </c>
      <c r="AKK46" s="52">
        <f>AKJ46+BALANCING!AKK29</f>
        <v/>
      </c>
      <c r="AKL46" s="52">
        <f>AKK46+BALANCING!AKL29-80000000</f>
        <v/>
      </c>
      <c r="AKM46" s="52">
        <f>AKL46+BALANCING!AKM29</f>
        <v/>
      </c>
      <c r="AKN46" s="151" t="n"/>
      <c r="AKO46" s="52">
        <f>AKM46+BALANCING!AKO29</f>
        <v/>
      </c>
      <c r="AKP46" s="52">
        <f>AKO46+BALANCING!AKP29</f>
        <v/>
      </c>
      <c r="AKQ46" s="52">
        <f>AKP46+BALANCING!AKQ29-83000000</f>
        <v/>
      </c>
      <c r="AKR46" s="52">
        <f>AKQ46+BALANCING!AKR29</f>
        <v/>
      </c>
      <c r="AKS46" s="52">
        <f>AKR46+BALANCING!AKS29</f>
        <v/>
      </c>
      <c r="AKT46" s="52">
        <f>AKS46+BALANCING!AKT29</f>
        <v/>
      </c>
      <c r="AKU46" s="52">
        <f>AKT46+BALANCING!AKU29</f>
        <v/>
      </c>
      <c r="AKV46" s="52">
        <f>AKU46+BALANCING!AKV29</f>
        <v/>
      </c>
      <c r="AKW46" s="52">
        <f>AKV46+BALANCING!AKW29-94000000-1200000</f>
        <v/>
      </c>
      <c r="AKX46" s="52">
        <f>AKW46+BALANCING!AKX29</f>
        <v/>
      </c>
      <c r="AKY46" s="52">
        <f>AKX46+BALANCING!AKY29</f>
        <v/>
      </c>
      <c r="AKZ46" s="52">
        <f>AKY46+BALANCING!AKZ29</f>
        <v/>
      </c>
      <c r="ALA46" s="52">
        <f>AKZ46+BALANCING!ALA29</f>
        <v/>
      </c>
      <c r="ALB46" s="52">
        <f>ALA46+BALANCING!ALB29</f>
        <v/>
      </c>
      <c r="ALC46" s="52">
        <f>ALB46+BALANCING!ALC29</f>
        <v/>
      </c>
      <c r="ALD46" s="52">
        <f>ALC46+BALANCING!ALD29</f>
        <v/>
      </c>
      <c r="ALE46" s="52">
        <f>ALD46+BALANCING!ALE29</f>
        <v/>
      </c>
      <c r="ALF46" s="52">
        <f>ALE46+BALANCING!ALF29+3279682-3799320-3700000-81500-65000000-15000000</f>
        <v/>
      </c>
      <c r="ALG46" s="52">
        <f>ALF46+BALANCING!ALG29</f>
        <v/>
      </c>
      <c r="ALH46" s="52">
        <f>ALG46+BALANCING!ALH29</f>
        <v/>
      </c>
      <c r="ALI46" s="52">
        <f>ALH46+BALANCING!ALI29</f>
        <v/>
      </c>
      <c r="ALJ46" s="52">
        <f>ALI46+BALANCING!ALJ29</f>
        <v/>
      </c>
      <c r="ALK46" s="52">
        <f>ALJ46+BALANCING!ALK29</f>
        <v/>
      </c>
      <c r="ALL46" s="52">
        <f>ALK46+BALANCING!ALL29-122000000-2000000</f>
        <v/>
      </c>
      <c r="ALM46" s="52">
        <f>ALL46+BALANCING!ALM29</f>
        <v/>
      </c>
      <c r="ALN46" s="52">
        <f>ALM46+BALANCING!ALN29</f>
        <v/>
      </c>
      <c r="ALO46" s="52">
        <f>ALN46+BALANCING!ALO29</f>
        <v/>
      </c>
      <c r="ALP46" s="52">
        <f>ALO46+BALANCING!ALP29</f>
        <v/>
      </c>
      <c r="ALQ46" s="52">
        <f>ALP46+BALANCING!ALQ29</f>
        <v/>
      </c>
      <c r="ALR46" s="52">
        <f>ALQ46+BALANCING!ALR29-30000000-74000000</f>
        <v/>
      </c>
      <c r="ALS46" s="52">
        <f>ALR46+BALANCING!ALS29</f>
        <v/>
      </c>
      <c r="ALT46" s="130" t="n"/>
      <c r="ALU46" s="52">
        <f>ALS46+BALANCING!ALU29-11828000-19000000+1000000</f>
        <v/>
      </c>
      <c r="ALV46" s="52">
        <f>ALU46+BALANCING!ALV29+41927</f>
        <v/>
      </c>
      <c r="ALW46" s="52">
        <f>ALV46+BALANCING!ALW29</f>
        <v/>
      </c>
      <c r="ALX46" s="52">
        <f>ALW46+BALANCING!ALX29</f>
        <v/>
      </c>
      <c r="ALY46" s="52">
        <f>ALX46+BALANCING!ALY29</f>
        <v/>
      </c>
      <c r="ALZ46" s="52">
        <f>ALY46+BALANCING!ALZ29</f>
        <v/>
      </c>
      <c r="AMA46" s="52">
        <f>ALZ46+BALANCING!AMA29</f>
        <v/>
      </c>
      <c r="AMB46" s="52">
        <f>AMA46+BALANCING!AMB29-77000000</f>
        <v/>
      </c>
      <c r="AMC46" s="52">
        <f>AMB46+BALANCING!AMC29</f>
        <v/>
      </c>
      <c r="AMD46" s="52">
        <f>AMC46+BALANCING!AMD29</f>
        <v/>
      </c>
      <c r="AME46" s="52">
        <f>AMD46+BALANCING!AME29</f>
        <v/>
      </c>
      <c r="AMF46" s="52">
        <f>AME46+BALANCING!AMF29</f>
        <v/>
      </c>
      <c r="AMG46" s="52">
        <f>AMF46+BALANCING!AMG29-35000000-1200000-81500</f>
        <v/>
      </c>
      <c r="AMH46" s="52">
        <f>AMG46+BALANCING!AMH29-57000000+3661910+3440082-5848919-8050</f>
        <v/>
      </c>
      <c r="AMI46" s="52">
        <f>AMH46+BALANCING!AMI29</f>
        <v/>
      </c>
      <c r="AMJ46" s="52">
        <f>AMI46+BALANCING!AMJ29</f>
        <v/>
      </c>
      <c r="AMK46" s="52">
        <f>AMJ46+BALANCING!AMK29</f>
        <v/>
      </c>
      <c r="AML46" s="52">
        <f>AMK46+BALANCING!AML29</f>
        <v/>
      </c>
      <c r="AMM46" s="52">
        <f>AML46+BALANCING!AMM29</f>
        <v/>
      </c>
      <c r="AMN46" s="52">
        <f>AMM46+BALANCING!AMN29-91000000</f>
        <v/>
      </c>
      <c r="AMO46" s="52">
        <f>AMN46+BALANCING!AMO29</f>
        <v/>
      </c>
      <c r="AMP46" s="52">
        <f>AMO46+BALANCING!AMP29</f>
        <v/>
      </c>
      <c r="AMQ46" s="52">
        <f>AMP46+BALANCING!AMQ29-63000000-38000000-54000000-2000000</f>
        <v/>
      </c>
      <c r="AMR46" s="52">
        <f>AMQ46+BALANCING!AMR29</f>
        <v/>
      </c>
      <c r="AMS46" s="52">
        <f>AMR46+BALANCING!AMS29</f>
        <v/>
      </c>
      <c r="AMT46" s="52">
        <f>AMS46+BALANCING!AMT29</f>
        <v/>
      </c>
      <c r="AMU46" s="52">
        <f>AMT46+BALANCING!AMU29</f>
        <v/>
      </c>
      <c r="AMV46" s="52">
        <f>AMU46+BALANCING!AMV29</f>
        <v/>
      </c>
      <c r="AMW46" s="52">
        <f>AMV46+BALANCING!AMW29-50000000-69000000</f>
        <v/>
      </c>
      <c r="AMX46" s="52">
        <f>AMW46+BALANCING!AMX29</f>
        <v/>
      </c>
      <c r="AMY46" s="130" t="n"/>
      <c r="AMZ46" s="52">
        <f>AMX46+BALANCING!AMZ29</f>
        <v/>
      </c>
      <c r="ANA46" s="52">
        <f>AMZ46+BALANCING!ANA29</f>
        <v/>
      </c>
      <c r="ANB46" s="52">
        <f>ANA46+BALANCING!ANB29</f>
        <v/>
      </c>
      <c r="ANC46" s="52">
        <f>ANB46+BALANCING!ANC29</f>
        <v/>
      </c>
      <c r="AND46" s="52">
        <f>ANC46+BALANCING!AND29</f>
        <v/>
      </c>
      <c r="ANE46" s="52">
        <f>AND46+BALANCING!ANE29</f>
        <v/>
      </c>
      <c r="ANF46" s="52">
        <f>ANE46+BALANCING!ANF29</f>
        <v/>
      </c>
      <c r="ANG46" s="52">
        <f>ANF46+BALANCING!ANG29</f>
        <v/>
      </c>
      <c r="ANH46" s="52">
        <f>ANG46+BALANCING!ANH29</f>
        <v/>
      </c>
      <c r="ANI46" s="52">
        <f>ANH46+BALANCING!ANI29-44000000-44000000</f>
        <v/>
      </c>
      <c r="ANJ46" s="52">
        <f>ANI46+BALANCING!ANJ29</f>
        <v/>
      </c>
      <c r="ANK46" s="52">
        <f>ANJ46+BALANCING!ANK29</f>
        <v/>
      </c>
      <c r="ANL46" s="52">
        <f>ANK46+BALANCING!ANL29-93686731</f>
        <v/>
      </c>
      <c r="ANM46" s="52">
        <f>ANL46+BALANCING!ANM29</f>
        <v/>
      </c>
      <c r="ANN46" s="52">
        <f>ANM46+BALANCING!ANN29</f>
        <v/>
      </c>
      <c r="ANO46" s="52">
        <f>ANN46+BALANCING!ANO29</f>
        <v/>
      </c>
      <c r="ANP46" s="52">
        <f>ANO46+BALANCING!ANP29</f>
        <v/>
      </c>
      <c r="ANQ46" s="52">
        <f>ANP46+BALANCING!ANQ29</f>
        <v/>
      </c>
      <c r="ANR46" s="52">
        <f>ANQ46+BALANCING!ANR29</f>
        <v/>
      </c>
      <c r="ANS46" s="52">
        <f>ANR46+BALANCING!ANS29</f>
        <v/>
      </c>
      <c r="ANT46" s="52">
        <f>ANS46+BALANCING!ANT29</f>
        <v/>
      </c>
      <c r="ANU46" s="52">
        <f>ANT46+BALANCING!ANU29</f>
        <v/>
      </c>
      <c r="ANV46" s="52">
        <f>ANU46+BALANCING!ANV29</f>
        <v/>
      </c>
      <c r="ANW46" s="52">
        <f>ANV46+BALANCING!ANW29</f>
        <v/>
      </c>
      <c r="ANX46" s="52">
        <f>ANW46+BALANCING!ANX29</f>
        <v/>
      </c>
      <c r="ANY46" s="52">
        <f>ANX46+BALANCING!ANY29</f>
        <v/>
      </c>
      <c r="ANZ46" s="52">
        <f>ANY46+BALANCING!ANZ29-55000000</f>
        <v/>
      </c>
      <c r="AOA46" s="52">
        <f>ANZ46+BALANCING!AOA29</f>
        <v/>
      </c>
      <c r="AOB46" s="52">
        <f>AOA46+BALANCING!AOB29</f>
        <v/>
      </c>
      <c r="AOC46" s="52">
        <f>AOB46+BALANCING!AOC29</f>
        <v/>
      </c>
    </row>
    <row r="47">
      <c r="B47" t="inlineStr">
        <is>
          <t>DTB</t>
        </is>
      </c>
      <c r="C47" s="52" t="n">
        <v>0</v>
      </c>
      <c r="D47" s="52" t="n">
        <v>0</v>
      </c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67">
        <f>SUM(C47:AE47)</f>
        <v/>
      </c>
      <c r="BM47" s="105" t="n"/>
      <c r="DX47" s="117" t="n"/>
      <c r="FD47" s="126" t="n"/>
      <c r="GJ47" s="130" t="n"/>
      <c r="HN47" s="130" t="n"/>
      <c r="IT47" s="130" t="n"/>
      <c r="JY47" s="130" t="n"/>
      <c r="LE47" s="130" t="n"/>
      <c r="MJ47" s="130" t="n"/>
      <c r="NP47" s="130" t="n"/>
      <c r="OV47" s="130" t="n"/>
      <c r="QA47" s="130" t="n"/>
      <c r="RG47" s="130" t="n"/>
      <c r="SL47" s="130" t="n"/>
      <c r="TR47" s="130" t="n"/>
      <c r="UX47" s="130" t="n"/>
      <c r="WA47" s="130" t="n"/>
      <c r="XG47" s="130" t="n"/>
      <c r="YL47" s="130" t="n"/>
      <c r="ZR47" s="130" t="n"/>
      <c r="AAW47" s="130" t="n"/>
      <c r="ACC47" s="130" t="n"/>
      <c r="ADI47" s="130" t="n"/>
      <c r="AEN47" s="130" t="n"/>
      <c r="AFT47" s="130" t="n"/>
      <c r="AGY47" s="130" t="n"/>
      <c r="AIE47" s="130" t="n"/>
      <c r="AJK47" s="145" t="n"/>
      <c r="AKN47" s="145" t="n"/>
      <c r="ALT47" s="130" t="n"/>
      <c r="AMY47" s="130" t="n"/>
    </row>
    <row r="48">
      <c r="B48" t="inlineStr">
        <is>
          <t>SECURITY DEPOSIT WITH RUBIS</t>
        </is>
      </c>
      <c r="C48" s="52" t="n">
        <v>20000000</v>
      </c>
      <c r="D48" s="52">
        <f>C48</f>
        <v/>
      </c>
      <c r="E48" s="52">
        <f>D48</f>
        <v/>
      </c>
      <c r="F48" s="52">
        <f>E48</f>
        <v/>
      </c>
      <c r="G48" s="52">
        <f>F48</f>
        <v/>
      </c>
      <c r="H48" s="52">
        <f>G48</f>
        <v/>
      </c>
      <c r="I48" s="52">
        <f>H48</f>
        <v/>
      </c>
      <c r="J48" s="52">
        <f>I48</f>
        <v/>
      </c>
      <c r="K48" s="52">
        <f>J48</f>
        <v/>
      </c>
      <c r="L48" s="52">
        <f>K48</f>
        <v/>
      </c>
      <c r="M48" s="52">
        <f>L48</f>
        <v/>
      </c>
      <c r="N48" s="52">
        <f>M48</f>
        <v/>
      </c>
      <c r="O48" s="52">
        <f>N48</f>
        <v/>
      </c>
      <c r="P48" s="52">
        <f>O48</f>
        <v/>
      </c>
      <c r="Q48" s="52">
        <f>P48</f>
        <v/>
      </c>
      <c r="R48" s="52">
        <f>Q48</f>
        <v/>
      </c>
      <c r="S48" s="52">
        <f>R48</f>
        <v/>
      </c>
      <c r="T48" s="52">
        <f>S48</f>
        <v/>
      </c>
      <c r="U48" s="52">
        <f>T48</f>
        <v/>
      </c>
      <c r="V48" s="52">
        <f>U48</f>
        <v/>
      </c>
      <c r="W48" s="52">
        <f>V48</f>
        <v/>
      </c>
      <c r="X48" s="52">
        <f>W48</f>
        <v/>
      </c>
      <c r="Y48" s="52">
        <f>X48</f>
        <v/>
      </c>
      <c r="Z48" s="52">
        <f>Y48</f>
        <v/>
      </c>
      <c r="AA48" s="52">
        <f>Z48</f>
        <v/>
      </c>
      <c r="AB48" s="52">
        <f>AA48</f>
        <v/>
      </c>
      <c r="AC48" s="52">
        <f>AB48</f>
        <v/>
      </c>
      <c r="AD48" s="52">
        <f>AC48</f>
        <v/>
      </c>
      <c r="AE48" s="52">
        <f>AD48</f>
        <v/>
      </c>
      <c r="AF48" s="52">
        <f>AE48</f>
        <v/>
      </c>
      <c r="AG48" s="52">
        <f>AF48</f>
        <v/>
      </c>
      <c r="AH48" s="98">
        <f>AG48</f>
        <v/>
      </c>
      <c r="AI48" s="82">
        <f>AG48</f>
        <v/>
      </c>
      <c r="AJ48" s="82">
        <f>AH48</f>
        <v/>
      </c>
      <c r="AK48" s="82">
        <f>AI48</f>
        <v/>
      </c>
      <c r="AL48" s="82">
        <f>AJ48</f>
        <v/>
      </c>
      <c r="AM48" s="82">
        <f>AK48</f>
        <v/>
      </c>
      <c r="AN48" s="82">
        <f>AL48</f>
        <v/>
      </c>
      <c r="AO48" s="82">
        <f>AM48</f>
        <v/>
      </c>
      <c r="AP48" s="82">
        <f>AN48</f>
        <v/>
      </c>
      <c r="AQ48" s="82">
        <f>AO48</f>
        <v/>
      </c>
      <c r="AR48" s="82">
        <f>AP48</f>
        <v/>
      </c>
      <c r="AS48" s="82">
        <f>AQ48</f>
        <v/>
      </c>
      <c r="AT48" s="82">
        <f>AR48</f>
        <v/>
      </c>
      <c r="AU48" s="82">
        <f>AS48</f>
        <v/>
      </c>
      <c r="AV48" s="82">
        <f>AT48</f>
        <v/>
      </c>
      <c r="AW48" s="82">
        <f>AU48</f>
        <v/>
      </c>
      <c r="AX48" s="82">
        <f>AV48</f>
        <v/>
      </c>
      <c r="AY48" s="82">
        <f>AW48</f>
        <v/>
      </c>
      <c r="AZ48" s="82">
        <f>AX48</f>
        <v/>
      </c>
      <c r="BA48" s="82">
        <f>AY48</f>
        <v/>
      </c>
      <c r="BB48" s="82">
        <f>AZ48</f>
        <v/>
      </c>
      <c r="BC48" s="82">
        <f>BA48</f>
        <v/>
      </c>
      <c r="BD48" s="82">
        <f>BB48</f>
        <v/>
      </c>
      <c r="BE48" s="82">
        <f>BC48</f>
        <v/>
      </c>
      <c r="BF48" s="82">
        <f>BD48</f>
        <v/>
      </c>
      <c r="BG48" s="82">
        <f>BE48</f>
        <v/>
      </c>
      <c r="BH48" s="82">
        <f>BF48</f>
        <v/>
      </c>
      <c r="BI48" s="82">
        <f>BG48</f>
        <v/>
      </c>
      <c r="BJ48" s="82">
        <f>BH48</f>
        <v/>
      </c>
      <c r="BK48" s="82">
        <f>BI48</f>
        <v/>
      </c>
      <c r="BL48" s="82">
        <f>BJ48</f>
        <v/>
      </c>
      <c r="BM48" s="106">
        <f>BL48</f>
        <v/>
      </c>
      <c r="BN48" s="82">
        <f>BL48</f>
        <v/>
      </c>
      <c r="BO48" s="82">
        <f>BM48</f>
        <v/>
      </c>
      <c r="BP48" s="82">
        <f>BN48</f>
        <v/>
      </c>
      <c r="BQ48" s="82">
        <f>BO48</f>
        <v/>
      </c>
      <c r="BR48" s="82">
        <f>BP48</f>
        <v/>
      </c>
      <c r="BS48" s="82">
        <f>BQ48</f>
        <v/>
      </c>
      <c r="BT48" s="82">
        <f>BR48</f>
        <v/>
      </c>
      <c r="BU48" s="82">
        <f>BS48</f>
        <v/>
      </c>
      <c r="BV48" s="82">
        <f>BT48</f>
        <v/>
      </c>
      <c r="BW48" s="82">
        <f>BU48</f>
        <v/>
      </c>
      <c r="BX48" s="82">
        <f>BV48</f>
        <v/>
      </c>
      <c r="BY48" s="82">
        <f>BW48</f>
        <v/>
      </c>
      <c r="BZ48" s="82">
        <f>BX48</f>
        <v/>
      </c>
      <c r="CA48" s="82">
        <f>BY48</f>
        <v/>
      </c>
      <c r="CB48" s="82">
        <f>BZ48</f>
        <v/>
      </c>
      <c r="CC48" s="82">
        <f>CA48</f>
        <v/>
      </c>
      <c r="CD48" s="82">
        <f>CB48</f>
        <v/>
      </c>
      <c r="CE48" s="82">
        <f>CC48</f>
        <v/>
      </c>
      <c r="CF48" s="82">
        <f>CD48</f>
        <v/>
      </c>
      <c r="CG48" s="82">
        <f>CE48</f>
        <v/>
      </c>
      <c r="CH48" s="82">
        <f>CF48</f>
        <v/>
      </c>
      <c r="CI48" s="82">
        <f>CG48</f>
        <v/>
      </c>
      <c r="CJ48" s="82">
        <f>CH48</f>
        <v/>
      </c>
      <c r="CK48" s="82">
        <f>CI48</f>
        <v/>
      </c>
      <c r="CL48" s="82">
        <f>CJ48</f>
        <v/>
      </c>
      <c r="CM48" s="82">
        <f>CK48</f>
        <v/>
      </c>
      <c r="CN48" s="82">
        <f>CL48</f>
        <v/>
      </c>
      <c r="CO48" s="82">
        <f>CM48</f>
        <v/>
      </c>
      <c r="CP48" s="82">
        <f>CN48</f>
        <v/>
      </c>
      <c r="CQ48" s="82">
        <f>CO48</f>
        <v/>
      </c>
      <c r="CR48" s="82">
        <f>CP48</f>
        <v/>
      </c>
      <c r="CT48" s="82">
        <f>CR48</f>
        <v/>
      </c>
      <c r="CU48" s="82">
        <f>CT48</f>
        <v/>
      </c>
      <c r="CV48" s="82">
        <f>CT48</f>
        <v/>
      </c>
      <c r="CW48" s="82">
        <f>CU48</f>
        <v/>
      </c>
      <c r="CX48" s="82">
        <f>CV48</f>
        <v/>
      </c>
      <c r="CY48" s="82">
        <f>CW48</f>
        <v/>
      </c>
      <c r="CZ48" s="82">
        <f>CX48</f>
        <v/>
      </c>
      <c r="DA48" s="82">
        <f>CY48</f>
        <v/>
      </c>
      <c r="DB48" s="82">
        <f>CZ48</f>
        <v/>
      </c>
      <c r="DC48" s="82">
        <f>DA48</f>
        <v/>
      </c>
      <c r="DD48" s="82">
        <f>DB48</f>
        <v/>
      </c>
      <c r="DE48" s="82">
        <f>DC48</f>
        <v/>
      </c>
      <c r="DF48" s="82">
        <f>DD48</f>
        <v/>
      </c>
      <c r="DG48" s="82">
        <f>DE48</f>
        <v/>
      </c>
      <c r="DH48" s="82">
        <f>DF48</f>
        <v/>
      </c>
      <c r="DI48" s="82">
        <f>DG48</f>
        <v/>
      </c>
      <c r="DJ48" s="82">
        <f>DH48</f>
        <v/>
      </c>
      <c r="DK48" s="82">
        <f>DI48</f>
        <v/>
      </c>
      <c r="DL48" s="82">
        <f>DJ48</f>
        <v/>
      </c>
      <c r="DM48" s="82">
        <f>DK48</f>
        <v/>
      </c>
      <c r="DN48" s="82">
        <f>DL48</f>
        <v/>
      </c>
      <c r="DO48" s="82">
        <f>DM48</f>
        <v/>
      </c>
      <c r="DP48" s="82">
        <f>DN48</f>
        <v/>
      </c>
      <c r="DQ48" s="82">
        <f>DO48</f>
        <v/>
      </c>
      <c r="DR48" s="82">
        <f>DP48</f>
        <v/>
      </c>
      <c r="DS48" s="82">
        <f>DQ48</f>
        <v/>
      </c>
      <c r="DT48" s="82">
        <f>DR48</f>
        <v/>
      </c>
      <c r="DU48" s="82">
        <f>DS48</f>
        <v/>
      </c>
      <c r="DV48" s="82">
        <f>DT48</f>
        <v/>
      </c>
      <c r="DW48" s="82">
        <f>DU48</f>
        <v/>
      </c>
      <c r="DX48" s="117" t="n"/>
      <c r="DY48" s="82">
        <f>DW48</f>
        <v/>
      </c>
      <c r="DZ48" s="82">
        <f>DY48</f>
        <v/>
      </c>
      <c r="EA48" s="82">
        <f>DY48</f>
        <v/>
      </c>
      <c r="EB48" s="82">
        <f>DZ48</f>
        <v/>
      </c>
      <c r="EC48" s="82">
        <f>EA48</f>
        <v/>
      </c>
      <c r="ED48" s="82">
        <f>EB48</f>
        <v/>
      </c>
      <c r="EE48" s="82">
        <f>EC48</f>
        <v/>
      </c>
      <c r="EF48" s="82">
        <f>ED48</f>
        <v/>
      </c>
      <c r="EG48" s="82">
        <f>EE48</f>
        <v/>
      </c>
      <c r="EH48" s="82">
        <f>EF48</f>
        <v/>
      </c>
      <c r="EI48" s="82">
        <f>EG48</f>
        <v/>
      </c>
      <c r="EJ48" s="82">
        <f>EH48</f>
        <v/>
      </c>
      <c r="EK48" s="82">
        <f>EI48</f>
        <v/>
      </c>
      <c r="EL48" s="82">
        <f>EJ48</f>
        <v/>
      </c>
      <c r="EM48" s="82">
        <f>EK48</f>
        <v/>
      </c>
      <c r="EN48" s="82">
        <f>EL48</f>
        <v/>
      </c>
      <c r="EO48" s="82">
        <f>EM48</f>
        <v/>
      </c>
      <c r="EP48" s="82">
        <f>EN48</f>
        <v/>
      </c>
      <c r="EQ48" s="82">
        <f>EO48</f>
        <v/>
      </c>
      <c r="ER48" s="82">
        <f>EP48</f>
        <v/>
      </c>
      <c r="ES48" s="82">
        <f>EQ48</f>
        <v/>
      </c>
      <c r="ET48" s="82">
        <f>ER48</f>
        <v/>
      </c>
      <c r="EU48" s="82">
        <f>ES48</f>
        <v/>
      </c>
      <c r="EV48" s="82">
        <f>ET48</f>
        <v/>
      </c>
      <c r="EW48" s="82">
        <f>EU48</f>
        <v/>
      </c>
      <c r="EX48" s="82">
        <f>EV48</f>
        <v/>
      </c>
      <c r="EY48" s="82">
        <f>EW48</f>
        <v/>
      </c>
      <c r="EZ48" s="82">
        <f>EX48</f>
        <v/>
      </c>
      <c r="FA48" s="82">
        <f>EY48</f>
        <v/>
      </c>
      <c r="FB48" s="82">
        <f>EZ48</f>
        <v/>
      </c>
      <c r="FC48" s="82">
        <f>FA48</f>
        <v/>
      </c>
      <c r="FD48" s="126" t="n"/>
      <c r="FE48" s="82">
        <f>FC48</f>
        <v/>
      </c>
      <c r="FF48" s="82">
        <f>FE48</f>
        <v/>
      </c>
      <c r="FG48" s="82">
        <f>FE48</f>
        <v/>
      </c>
      <c r="FH48" s="82">
        <f>FF48</f>
        <v/>
      </c>
      <c r="FI48" s="82">
        <f>FG48</f>
        <v/>
      </c>
      <c r="FJ48" s="82">
        <f>FH48</f>
        <v/>
      </c>
      <c r="FK48" s="82">
        <f>FI48</f>
        <v/>
      </c>
      <c r="FL48" s="82">
        <f>FJ48</f>
        <v/>
      </c>
      <c r="FM48" s="82">
        <f>FK48</f>
        <v/>
      </c>
      <c r="FN48" s="82">
        <f>FL48</f>
        <v/>
      </c>
      <c r="FO48" s="82">
        <f>FM48</f>
        <v/>
      </c>
      <c r="FP48" s="82">
        <f>FN48</f>
        <v/>
      </c>
      <c r="FQ48" s="82">
        <f>FO48</f>
        <v/>
      </c>
      <c r="FR48" s="82">
        <f>FP48</f>
        <v/>
      </c>
      <c r="FS48" s="82">
        <f>FQ48</f>
        <v/>
      </c>
      <c r="FT48" s="82">
        <f>FR48</f>
        <v/>
      </c>
      <c r="FU48" s="82">
        <f>FS48</f>
        <v/>
      </c>
      <c r="FV48" s="82">
        <f>FT48</f>
        <v/>
      </c>
      <c r="FW48" s="82">
        <f>FU48</f>
        <v/>
      </c>
      <c r="FX48" s="82">
        <f>FV48</f>
        <v/>
      </c>
      <c r="FY48" s="82">
        <f>FW48</f>
        <v/>
      </c>
      <c r="FZ48" s="82">
        <f>FX48</f>
        <v/>
      </c>
      <c r="GA48" s="82">
        <f>FY48</f>
        <v/>
      </c>
      <c r="GB48" s="82">
        <f>FZ48</f>
        <v/>
      </c>
      <c r="GC48" s="82">
        <f>GA48</f>
        <v/>
      </c>
      <c r="GD48" s="82">
        <f>GB48</f>
        <v/>
      </c>
      <c r="GE48" s="82">
        <f>GC48</f>
        <v/>
      </c>
      <c r="GF48" s="82">
        <f>GD48</f>
        <v/>
      </c>
      <c r="GG48" s="82">
        <f>GE48</f>
        <v/>
      </c>
      <c r="GH48" s="82">
        <f>GF48</f>
        <v/>
      </c>
      <c r="GI48" s="82">
        <f>GG48</f>
        <v/>
      </c>
      <c r="GJ48" s="130" t="n"/>
      <c r="GK48" s="82">
        <f>GI48</f>
        <v/>
      </c>
      <c r="GL48" s="82">
        <f>GK48</f>
        <v/>
      </c>
      <c r="GM48" s="82">
        <f>GK48</f>
        <v/>
      </c>
      <c r="GN48" s="82">
        <f>GL48</f>
        <v/>
      </c>
      <c r="GO48" s="82">
        <f>GM48</f>
        <v/>
      </c>
      <c r="GP48" s="82">
        <f>GN48</f>
        <v/>
      </c>
      <c r="GQ48" s="82">
        <f>GO48</f>
        <v/>
      </c>
      <c r="GR48" s="82">
        <f>GP48</f>
        <v/>
      </c>
      <c r="GS48" s="82">
        <f>GQ48</f>
        <v/>
      </c>
      <c r="GT48" s="82">
        <f>GR48</f>
        <v/>
      </c>
      <c r="GU48" s="82">
        <f>GS48</f>
        <v/>
      </c>
      <c r="GV48" s="82">
        <f>GT48</f>
        <v/>
      </c>
      <c r="GW48" s="82">
        <f>GU48</f>
        <v/>
      </c>
      <c r="GX48" s="82">
        <f>GV48</f>
        <v/>
      </c>
      <c r="GY48" s="82">
        <f>GW48</f>
        <v/>
      </c>
      <c r="GZ48" s="82">
        <f>GX48</f>
        <v/>
      </c>
      <c r="HA48" s="82">
        <f>GY48</f>
        <v/>
      </c>
      <c r="HB48" s="82">
        <f>GZ48</f>
        <v/>
      </c>
      <c r="HC48" s="82">
        <f>HA48</f>
        <v/>
      </c>
      <c r="HD48" s="82">
        <f>HB48</f>
        <v/>
      </c>
      <c r="HE48" s="82">
        <f>HC48</f>
        <v/>
      </c>
      <c r="HF48" s="82">
        <f>HD48</f>
        <v/>
      </c>
      <c r="HG48" s="82">
        <f>HE48</f>
        <v/>
      </c>
      <c r="HH48" s="82">
        <f>HF48</f>
        <v/>
      </c>
      <c r="HI48" s="82">
        <f>HG48</f>
        <v/>
      </c>
      <c r="HJ48" s="82">
        <f>HH48</f>
        <v/>
      </c>
      <c r="HK48" s="82">
        <f>HI48</f>
        <v/>
      </c>
      <c r="HL48" s="82">
        <f>HJ48</f>
        <v/>
      </c>
      <c r="HM48" s="82">
        <f>HK48</f>
        <v/>
      </c>
      <c r="HN48" s="130" t="n"/>
      <c r="HO48" s="82">
        <f>HM48</f>
        <v/>
      </c>
      <c r="HP48" s="82">
        <f>HO48</f>
        <v/>
      </c>
      <c r="HQ48" s="82">
        <f>HO48</f>
        <v/>
      </c>
      <c r="HR48" s="82">
        <f>HP48</f>
        <v/>
      </c>
      <c r="HS48" s="82">
        <f>HQ48</f>
        <v/>
      </c>
      <c r="HT48" s="82">
        <f>HR48</f>
        <v/>
      </c>
      <c r="HU48" s="82">
        <f>HS48</f>
        <v/>
      </c>
      <c r="HV48" s="82">
        <f>HT48</f>
        <v/>
      </c>
      <c r="HW48" s="82">
        <f>HU48</f>
        <v/>
      </c>
      <c r="HX48" s="82">
        <f>HV48</f>
        <v/>
      </c>
      <c r="HY48" s="82">
        <f>HW48</f>
        <v/>
      </c>
      <c r="HZ48" s="82">
        <f>HX48</f>
        <v/>
      </c>
      <c r="IA48" s="82">
        <f>HY48</f>
        <v/>
      </c>
      <c r="IB48" s="82">
        <f>HZ48</f>
        <v/>
      </c>
      <c r="IC48" s="82">
        <f>IA48</f>
        <v/>
      </c>
      <c r="ID48" s="82">
        <f>IB48</f>
        <v/>
      </c>
      <c r="IE48" s="82">
        <f>IC48</f>
        <v/>
      </c>
      <c r="IF48" s="82">
        <f>ID48</f>
        <v/>
      </c>
      <c r="IG48" s="82">
        <f>IE48</f>
        <v/>
      </c>
      <c r="IH48" s="82">
        <f>IF48</f>
        <v/>
      </c>
      <c r="II48" s="82">
        <f>IG48</f>
        <v/>
      </c>
      <c r="IJ48" s="82">
        <f>IH48</f>
        <v/>
      </c>
      <c r="IK48" s="82">
        <f>II48</f>
        <v/>
      </c>
      <c r="IL48" s="82">
        <f>IJ48</f>
        <v/>
      </c>
      <c r="IM48" s="82">
        <f>IK48</f>
        <v/>
      </c>
      <c r="IN48" s="82">
        <f>IL48</f>
        <v/>
      </c>
      <c r="IO48" s="82">
        <f>IM48</f>
        <v/>
      </c>
      <c r="IP48" s="82">
        <f>IN48</f>
        <v/>
      </c>
      <c r="IQ48" s="82">
        <f>IO48</f>
        <v/>
      </c>
      <c r="IR48" s="82">
        <f>IP48</f>
        <v/>
      </c>
      <c r="IS48" s="82">
        <f>IQ48</f>
        <v/>
      </c>
      <c r="IT48" s="130" t="n"/>
      <c r="IU48" s="82">
        <f>IS48</f>
        <v/>
      </c>
      <c r="IV48" s="82">
        <f>IU48</f>
        <v/>
      </c>
      <c r="IW48" s="82">
        <f>IV48</f>
        <v/>
      </c>
      <c r="IX48" s="82">
        <f>IW48</f>
        <v/>
      </c>
      <c r="IY48" s="82">
        <f>IX48</f>
        <v/>
      </c>
      <c r="IZ48" s="82">
        <f>IY48</f>
        <v/>
      </c>
      <c r="JA48" s="82">
        <f>IZ48</f>
        <v/>
      </c>
      <c r="JB48" s="82">
        <f>JA48</f>
        <v/>
      </c>
      <c r="JC48" s="82">
        <f>JB48</f>
        <v/>
      </c>
      <c r="JD48" s="82">
        <f>JC48</f>
        <v/>
      </c>
      <c r="JE48" s="82">
        <f>JD48</f>
        <v/>
      </c>
      <c r="JF48" s="82">
        <f>JE48</f>
        <v/>
      </c>
      <c r="JG48" s="82">
        <f>JF48</f>
        <v/>
      </c>
      <c r="JH48" s="82">
        <f>JG48</f>
        <v/>
      </c>
      <c r="JI48" s="82">
        <f>JH48</f>
        <v/>
      </c>
      <c r="JJ48" s="82">
        <f>JI48</f>
        <v/>
      </c>
      <c r="JK48" s="82">
        <f>JJ48</f>
        <v/>
      </c>
      <c r="JL48" s="82">
        <f>JK48</f>
        <v/>
      </c>
      <c r="JM48" s="82">
        <f>JL48</f>
        <v/>
      </c>
      <c r="JN48" s="82">
        <f>JM48</f>
        <v/>
      </c>
      <c r="JO48" s="82">
        <f>JN48</f>
        <v/>
      </c>
      <c r="JP48" s="82">
        <f>JO48</f>
        <v/>
      </c>
      <c r="JQ48" s="82">
        <f>JP48</f>
        <v/>
      </c>
      <c r="JR48" s="82">
        <f>JQ48</f>
        <v/>
      </c>
      <c r="JS48" s="82">
        <f>JR48</f>
        <v/>
      </c>
      <c r="JT48" s="82">
        <f>JS48</f>
        <v/>
      </c>
      <c r="JU48" s="82">
        <f>JT48</f>
        <v/>
      </c>
      <c r="JV48" s="82">
        <f>JU48</f>
        <v/>
      </c>
      <c r="JW48" s="82">
        <f>JV48</f>
        <v/>
      </c>
      <c r="JX48" s="82">
        <f>JW48</f>
        <v/>
      </c>
      <c r="JY48" s="133" t="n"/>
      <c r="JZ48" s="82">
        <f>JX48</f>
        <v/>
      </c>
      <c r="KA48" s="82">
        <f>JZ48</f>
        <v/>
      </c>
      <c r="KB48" s="82">
        <f>JZ48</f>
        <v/>
      </c>
      <c r="KC48" s="82">
        <f>KA48</f>
        <v/>
      </c>
      <c r="KD48" s="82">
        <f>KB48</f>
        <v/>
      </c>
      <c r="KE48" s="82">
        <f>KC48</f>
        <v/>
      </c>
      <c r="KF48" s="82">
        <f>KD48</f>
        <v/>
      </c>
      <c r="KG48" s="82">
        <f>KE48</f>
        <v/>
      </c>
      <c r="KH48" s="82">
        <f>KF48</f>
        <v/>
      </c>
      <c r="KI48" s="82">
        <f>KG48</f>
        <v/>
      </c>
      <c r="KJ48" s="82">
        <f>KH48</f>
        <v/>
      </c>
      <c r="KK48" s="82">
        <f>KI48</f>
        <v/>
      </c>
      <c r="KL48" s="82">
        <f>KJ48</f>
        <v/>
      </c>
      <c r="KM48" s="82">
        <f>KK48</f>
        <v/>
      </c>
      <c r="KN48" s="82">
        <f>KL48</f>
        <v/>
      </c>
      <c r="KO48" s="82">
        <f>KM48</f>
        <v/>
      </c>
      <c r="KP48" s="82">
        <f>KN48</f>
        <v/>
      </c>
      <c r="KQ48" s="82">
        <f>KO48</f>
        <v/>
      </c>
      <c r="KR48" s="82">
        <f>KP48</f>
        <v/>
      </c>
      <c r="KS48" s="82">
        <f>KQ48</f>
        <v/>
      </c>
      <c r="KT48" s="82">
        <f>KR48</f>
        <v/>
      </c>
      <c r="KU48" s="82">
        <f>KS48</f>
        <v/>
      </c>
      <c r="KV48" s="82">
        <f>KT48</f>
        <v/>
      </c>
      <c r="KW48" s="82">
        <f>KU48</f>
        <v/>
      </c>
      <c r="KX48" s="82">
        <f>KV48</f>
        <v/>
      </c>
      <c r="KY48" s="82">
        <f>KW48</f>
        <v/>
      </c>
      <c r="KZ48" s="82">
        <f>KX48</f>
        <v/>
      </c>
      <c r="LA48" s="82">
        <f>KY48</f>
        <v/>
      </c>
      <c r="LB48" s="82">
        <f>KZ48</f>
        <v/>
      </c>
      <c r="LC48" s="82">
        <f>LA48</f>
        <v/>
      </c>
      <c r="LD48" s="82">
        <f>LB48</f>
        <v/>
      </c>
      <c r="LE48" s="130" t="n"/>
      <c r="LF48" s="82">
        <f>LD48</f>
        <v/>
      </c>
      <c r="LG48" s="82">
        <f>LF48</f>
        <v/>
      </c>
      <c r="LH48" s="82">
        <f>LG48</f>
        <v/>
      </c>
      <c r="LI48" s="82">
        <f>LH48</f>
        <v/>
      </c>
      <c r="LJ48" s="82">
        <f>LI48</f>
        <v/>
      </c>
      <c r="LK48" s="82">
        <f>LJ48</f>
        <v/>
      </c>
      <c r="LL48" s="82">
        <f>LK48</f>
        <v/>
      </c>
      <c r="LM48" s="82">
        <f>LL48</f>
        <v/>
      </c>
      <c r="LN48" s="82">
        <f>LM48</f>
        <v/>
      </c>
      <c r="LO48" s="82">
        <f>LN48</f>
        <v/>
      </c>
      <c r="LP48" s="82">
        <f>LO48</f>
        <v/>
      </c>
      <c r="LQ48" s="82">
        <f>LP48</f>
        <v/>
      </c>
      <c r="LR48" s="82">
        <f>LQ48</f>
        <v/>
      </c>
      <c r="LS48" s="82">
        <f>LR48</f>
        <v/>
      </c>
      <c r="LT48" s="82">
        <f>LS48</f>
        <v/>
      </c>
      <c r="LU48" s="82">
        <f>LT48</f>
        <v/>
      </c>
      <c r="LV48" s="82">
        <f>LU48</f>
        <v/>
      </c>
      <c r="LW48" s="82">
        <f>LV48</f>
        <v/>
      </c>
      <c r="LX48" s="82">
        <f>LW48</f>
        <v/>
      </c>
      <c r="LY48" s="82">
        <f>LX48</f>
        <v/>
      </c>
      <c r="LZ48" s="82">
        <f>LY48</f>
        <v/>
      </c>
      <c r="MA48" s="82">
        <f>LZ48</f>
        <v/>
      </c>
      <c r="MB48" s="82">
        <f>MA48</f>
        <v/>
      </c>
      <c r="MC48" s="82">
        <f>MB48</f>
        <v/>
      </c>
      <c r="MD48" s="82">
        <f>MC48</f>
        <v/>
      </c>
      <c r="ME48" s="82">
        <f>MD48</f>
        <v/>
      </c>
      <c r="MF48" s="82">
        <f>ME48</f>
        <v/>
      </c>
      <c r="MG48" s="82">
        <f>MF48</f>
        <v/>
      </c>
      <c r="MH48" s="82">
        <f>MG48</f>
        <v/>
      </c>
      <c r="MI48" s="82">
        <f>MH48</f>
        <v/>
      </c>
      <c r="MJ48" s="133" t="n"/>
      <c r="MK48" s="82">
        <f>MI48</f>
        <v/>
      </c>
      <c r="ML48" s="82">
        <f>MK48</f>
        <v/>
      </c>
      <c r="MM48" s="82">
        <f>MK48</f>
        <v/>
      </c>
      <c r="MN48" s="82">
        <f>ML48</f>
        <v/>
      </c>
      <c r="MO48" s="82">
        <f>MM48</f>
        <v/>
      </c>
      <c r="MP48" s="82">
        <f>MN48</f>
        <v/>
      </c>
      <c r="MQ48" s="82">
        <f>MO48</f>
        <v/>
      </c>
      <c r="MR48" s="82">
        <f>MP48</f>
        <v/>
      </c>
      <c r="MS48" s="82">
        <f>MQ48</f>
        <v/>
      </c>
      <c r="MT48" s="82">
        <f>MR48</f>
        <v/>
      </c>
      <c r="MU48" s="82">
        <f>MS48</f>
        <v/>
      </c>
      <c r="MV48" s="82">
        <f>MT48</f>
        <v/>
      </c>
      <c r="MW48" s="82">
        <f>MU48</f>
        <v/>
      </c>
      <c r="MX48" s="82">
        <f>MV48</f>
        <v/>
      </c>
      <c r="MY48" s="82">
        <f>MW48</f>
        <v/>
      </c>
      <c r="MZ48" s="82">
        <f>MX48</f>
        <v/>
      </c>
      <c r="NA48" s="82">
        <f>MY48</f>
        <v/>
      </c>
      <c r="NB48" s="82">
        <f>MZ48</f>
        <v/>
      </c>
      <c r="NC48" s="82">
        <f>NA48</f>
        <v/>
      </c>
      <c r="ND48" s="82">
        <f>NB48</f>
        <v/>
      </c>
      <c r="NE48" s="82">
        <f>NC48</f>
        <v/>
      </c>
      <c r="NF48" s="82">
        <f>ND48</f>
        <v/>
      </c>
      <c r="NG48" s="82">
        <f>NE48</f>
        <v/>
      </c>
      <c r="NH48" s="82">
        <f>NF48</f>
        <v/>
      </c>
      <c r="NI48" s="82">
        <f>NG48</f>
        <v/>
      </c>
      <c r="NJ48" s="82">
        <f>NH48</f>
        <v/>
      </c>
      <c r="NK48" s="82">
        <f>NI48</f>
        <v/>
      </c>
      <c r="NL48" s="82">
        <f>NJ48</f>
        <v/>
      </c>
      <c r="NM48" s="82">
        <f>NK48</f>
        <v/>
      </c>
      <c r="NN48" s="82">
        <f>NL48</f>
        <v/>
      </c>
      <c r="NO48" s="82">
        <f>NM48</f>
        <v/>
      </c>
      <c r="NP48" s="133" t="n"/>
      <c r="NQ48" s="82">
        <f>NO48</f>
        <v/>
      </c>
      <c r="NR48" s="82">
        <f>NQ48</f>
        <v/>
      </c>
      <c r="NS48" s="82">
        <f>NQ48</f>
        <v/>
      </c>
      <c r="NT48" s="82">
        <f>NR48</f>
        <v/>
      </c>
      <c r="NU48" s="82">
        <f>NS48</f>
        <v/>
      </c>
      <c r="NV48" s="82">
        <f>NT48</f>
        <v/>
      </c>
      <c r="NW48" s="82">
        <f>NU48</f>
        <v/>
      </c>
      <c r="NX48" s="82">
        <f>NV48</f>
        <v/>
      </c>
      <c r="NY48" s="82">
        <f>NW48</f>
        <v/>
      </c>
      <c r="NZ48" s="82">
        <f>NX48</f>
        <v/>
      </c>
      <c r="OA48" s="82">
        <f>NY48</f>
        <v/>
      </c>
      <c r="OB48" s="82">
        <f>NZ48</f>
        <v/>
      </c>
      <c r="OC48" s="82">
        <f>OA48</f>
        <v/>
      </c>
      <c r="OD48" s="82">
        <f>OB48</f>
        <v/>
      </c>
      <c r="OE48" s="82">
        <f>OC48</f>
        <v/>
      </c>
      <c r="OF48" s="82">
        <f>OD48</f>
        <v/>
      </c>
      <c r="OG48" s="82">
        <f>OE48</f>
        <v/>
      </c>
      <c r="OH48" s="82">
        <f>OF48</f>
        <v/>
      </c>
      <c r="OI48" s="82">
        <f>OG48</f>
        <v/>
      </c>
      <c r="OJ48" s="82">
        <f>OH48</f>
        <v/>
      </c>
      <c r="OK48" s="82">
        <f>OI48</f>
        <v/>
      </c>
      <c r="OL48" s="82">
        <f>OJ48</f>
        <v/>
      </c>
      <c r="OM48" s="82">
        <f>OK48</f>
        <v/>
      </c>
      <c r="ON48" s="82">
        <f>OL48</f>
        <v/>
      </c>
      <c r="OO48" s="82">
        <f>OM48</f>
        <v/>
      </c>
      <c r="OP48" s="82">
        <f>ON48</f>
        <v/>
      </c>
      <c r="OQ48" s="82">
        <f>OO48</f>
        <v/>
      </c>
      <c r="OR48" s="82">
        <f>OP48</f>
        <v/>
      </c>
      <c r="OS48" s="82">
        <f>OQ48</f>
        <v/>
      </c>
      <c r="OT48" s="82">
        <f>OR48</f>
        <v/>
      </c>
      <c r="OU48" s="82">
        <f>OS48</f>
        <v/>
      </c>
      <c r="OV48" s="130" t="n"/>
      <c r="OW48" s="82">
        <f>OU48</f>
        <v/>
      </c>
      <c r="OX48" s="82">
        <f>OW48</f>
        <v/>
      </c>
      <c r="OY48" s="82">
        <f>OW48</f>
        <v/>
      </c>
      <c r="OZ48" s="82">
        <f>OX48</f>
        <v/>
      </c>
      <c r="PA48" s="82">
        <f>OY48</f>
        <v/>
      </c>
      <c r="PB48" s="82">
        <f>OZ48</f>
        <v/>
      </c>
      <c r="PC48" s="82">
        <f>PA48</f>
        <v/>
      </c>
      <c r="PD48" s="82">
        <f>PB48</f>
        <v/>
      </c>
      <c r="PE48" s="82">
        <f>PC48</f>
        <v/>
      </c>
      <c r="PF48" s="82">
        <f>PD48</f>
        <v/>
      </c>
      <c r="PG48" s="82">
        <f>PE48</f>
        <v/>
      </c>
      <c r="PH48" s="82">
        <f>PF48</f>
        <v/>
      </c>
      <c r="PI48" s="82">
        <f>PG48</f>
        <v/>
      </c>
      <c r="PJ48" s="82">
        <f>PH48</f>
        <v/>
      </c>
      <c r="PK48" s="82">
        <f>PI48</f>
        <v/>
      </c>
      <c r="PL48" s="82">
        <f>PJ48</f>
        <v/>
      </c>
      <c r="PM48" s="82">
        <f>PK48</f>
        <v/>
      </c>
      <c r="PN48" s="82">
        <f>PL48</f>
        <v/>
      </c>
      <c r="PO48" s="82">
        <f>PM48</f>
        <v/>
      </c>
      <c r="PP48" s="82">
        <f>PN48</f>
        <v/>
      </c>
      <c r="PQ48" s="82">
        <f>PO48</f>
        <v/>
      </c>
      <c r="PR48" s="82">
        <f>PP48</f>
        <v/>
      </c>
      <c r="PS48" s="82">
        <f>PQ48</f>
        <v/>
      </c>
      <c r="PT48" s="82">
        <f>PR48</f>
        <v/>
      </c>
      <c r="PU48" s="82">
        <f>PS48</f>
        <v/>
      </c>
      <c r="PV48" s="82">
        <f>PT48</f>
        <v/>
      </c>
      <c r="PW48" s="82">
        <f>PU48</f>
        <v/>
      </c>
      <c r="PX48" s="82">
        <f>PV48</f>
        <v/>
      </c>
      <c r="PY48" s="82">
        <f>PW48</f>
        <v/>
      </c>
      <c r="PZ48" s="82">
        <f>PX48</f>
        <v/>
      </c>
      <c r="QA48" s="130" t="n"/>
      <c r="QB48" s="82">
        <f>PZ48</f>
        <v/>
      </c>
      <c r="QC48" s="82">
        <f>QB48</f>
        <v/>
      </c>
      <c r="QD48" s="82">
        <f>QC48</f>
        <v/>
      </c>
      <c r="QE48" s="82">
        <f>QD48</f>
        <v/>
      </c>
      <c r="QF48" s="82">
        <f>QE48</f>
        <v/>
      </c>
      <c r="QG48" s="82">
        <f>QF48</f>
        <v/>
      </c>
      <c r="QH48" s="82">
        <f>QG48</f>
        <v/>
      </c>
      <c r="QI48" s="82">
        <f>QH48</f>
        <v/>
      </c>
      <c r="QJ48" s="82">
        <f>QI48</f>
        <v/>
      </c>
      <c r="QK48" s="82">
        <f>QJ48</f>
        <v/>
      </c>
      <c r="QL48" s="82">
        <f>QK48</f>
        <v/>
      </c>
      <c r="QM48" s="82">
        <f>QL48</f>
        <v/>
      </c>
      <c r="QN48" s="82">
        <f>QM48</f>
        <v/>
      </c>
      <c r="QO48" s="82">
        <f>QN48</f>
        <v/>
      </c>
      <c r="QP48" s="82">
        <f>QO48</f>
        <v/>
      </c>
      <c r="QQ48" s="82">
        <f>QP48</f>
        <v/>
      </c>
      <c r="QR48" s="82">
        <f>QQ48</f>
        <v/>
      </c>
      <c r="QS48" s="82">
        <f>QR48</f>
        <v/>
      </c>
      <c r="QT48" s="82">
        <f>QS48</f>
        <v/>
      </c>
      <c r="QU48" s="82">
        <f>QT48</f>
        <v/>
      </c>
      <c r="QV48" s="82">
        <f>QU48</f>
        <v/>
      </c>
      <c r="QW48" s="82">
        <f>QV48</f>
        <v/>
      </c>
      <c r="QX48" s="82">
        <f>QW48</f>
        <v/>
      </c>
      <c r="QY48" s="82">
        <f>QX48</f>
        <v/>
      </c>
      <c r="QZ48" s="82">
        <f>QY48</f>
        <v/>
      </c>
      <c r="RA48" s="82">
        <f>QZ48</f>
        <v/>
      </c>
      <c r="RB48" s="82">
        <f>RA48</f>
        <v/>
      </c>
      <c r="RC48" s="82">
        <f>RB48</f>
        <v/>
      </c>
      <c r="RD48" s="82">
        <f>RC48</f>
        <v/>
      </c>
      <c r="RE48" s="82">
        <f>RD48</f>
        <v/>
      </c>
      <c r="RF48" s="82">
        <f>RE48</f>
        <v/>
      </c>
      <c r="RG48" s="130" t="n"/>
      <c r="RH48" s="82">
        <f>RF48</f>
        <v/>
      </c>
      <c r="RI48" s="82">
        <f>RH48</f>
        <v/>
      </c>
      <c r="RJ48" s="82">
        <f>RI48</f>
        <v/>
      </c>
      <c r="RK48" s="82">
        <f>RJ48</f>
        <v/>
      </c>
      <c r="RL48" s="82">
        <f>RK48</f>
        <v/>
      </c>
      <c r="RM48" s="82">
        <f>RL48</f>
        <v/>
      </c>
      <c r="RN48" s="82">
        <f>RM48</f>
        <v/>
      </c>
      <c r="RO48" s="82">
        <f>RN48</f>
        <v/>
      </c>
      <c r="RP48" s="82">
        <f>RO48</f>
        <v/>
      </c>
      <c r="RQ48" s="82">
        <f>RP48</f>
        <v/>
      </c>
      <c r="RR48" s="82">
        <f>RQ48</f>
        <v/>
      </c>
      <c r="RS48" s="82">
        <f>RR48</f>
        <v/>
      </c>
      <c r="RT48" s="82">
        <f>RS48</f>
        <v/>
      </c>
      <c r="RU48" s="82">
        <f>RT48</f>
        <v/>
      </c>
      <c r="RV48" s="82">
        <f>RU48</f>
        <v/>
      </c>
      <c r="RW48" s="82">
        <f>RV48</f>
        <v/>
      </c>
      <c r="RX48" s="82">
        <f>RW48</f>
        <v/>
      </c>
      <c r="RY48" s="82">
        <f>RX48</f>
        <v/>
      </c>
      <c r="RZ48" s="82">
        <f>RY48</f>
        <v/>
      </c>
      <c r="SA48" s="82">
        <f>RZ48</f>
        <v/>
      </c>
      <c r="SB48" s="82">
        <f>SA48</f>
        <v/>
      </c>
      <c r="SC48" s="82">
        <f>SB48</f>
        <v/>
      </c>
      <c r="SD48" s="82">
        <f>SC48</f>
        <v/>
      </c>
      <c r="SE48" s="82">
        <f>SD48</f>
        <v/>
      </c>
      <c r="SF48" s="82">
        <f>SE48</f>
        <v/>
      </c>
      <c r="SG48" s="82">
        <f>SF48</f>
        <v/>
      </c>
      <c r="SH48" s="82">
        <f>SG48</f>
        <v/>
      </c>
      <c r="SI48" s="82">
        <f>SH48</f>
        <v/>
      </c>
      <c r="SJ48" s="82">
        <f>SI48</f>
        <v/>
      </c>
      <c r="SK48" s="82">
        <f>SJ48</f>
        <v/>
      </c>
      <c r="SL48" s="130" t="n"/>
      <c r="SM48" s="82">
        <f>SK48</f>
        <v/>
      </c>
      <c r="SN48" s="82">
        <f>SM48</f>
        <v/>
      </c>
      <c r="SO48" s="82">
        <f>SN48</f>
        <v/>
      </c>
      <c r="SP48" s="82">
        <f>SO48</f>
        <v/>
      </c>
      <c r="SQ48" s="82">
        <f>SP48</f>
        <v/>
      </c>
      <c r="SR48" s="82">
        <f>SQ48</f>
        <v/>
      </c>
      <c r="SS48" s="82">
        <f>SR48</f>
        <v/>
      </c>
      <c r="ST48" s="82">
        <f>SS48</f>
        <v/>
      </c>
      <c r="SU48" s="82">
        <f>ST48</f>
        <v/>
      </c>
      <c r="SV48" s="82">
        <f>SU48</f>
        <v/>
      </c>
      <c r="SW48" s="82">
        <f>SV48</f>
        <v/>
      </c>
      <c r="SX48" s="82">
        <f>SW48</f>
        <v/>
      </c>
      <c r="SY48" s="82">
        <f>SX48</f>
        <v/>
      </c>
      <c r="SZ48" s="82">
        <f>SY48</f>
        <v/>
      </c>
      <c r="TA48" s="82">
        <f>SZ48</f>
        <v/>
      </c>
      <c r="TB48" s="82">
        <f>TA48</f>
        <v/>
      </c>
      <c r="TC48" s="82">
        <f>TB48</f>
        <v/>
      </c>
      <c r="TD48" s="82">
        <f>TC48</f>
        <v/>
      </c>
      <c r="TE48" s="82">
        <f>TD48</f>
        <v/>
      </c>
      <c r="TF48" s="82">
        <f>TE48</f>
        <v/>
      </c>
      <c r="TG48" s="82">
        <f>TF48</f>
        <v/>
      </c>
      <c r="TH48" s="82">
        <f>TG48</f>
        <v/>
      </c>
      <c r="TI48" s="82">
        <f>TH48</f>
        <v/>
      </c>
      <c r="TJ48" s="82">
        <f>TI48</f>
        <v/>
      </c>
      <c r="TK48" s="82">
        <f>TJ48</f>
        <v/>
      </c>
      <c r="TL48" s="82">
        <f>TK48</f>
        <v/>
      </c>
      <c r="TM48" s="82">
        <f>TL48</f>
        <v/>
      </c>
      <c r="TN48" s="82">
        <f>TM48</f>
        <v/>
      </c>
      <c r="TO48" s="82">
        <f>TN48</f>
        <v/>
      </c>
      <c r="TP48" s="82">
        <f>TO48</f>
        <v/>
      </c>
      <c r="TQ48" s="82">
        <f>TP48</f>
        <v/>
      </c>
      <c r="TR48" s="130" t="n"/>
      <c r="TS48" s="82">
        <f>TQ48</f>
        <v/>
      </c>
      <c r="TT48" s="82">
        <f>TS48</f>
        <v/>
      </c>
      <c r="TU48" s="82">
        <f>TT48</f>
        <v/>
      </c>
      <c r="TV48" s="82">
        <f>TU48</f>
        <v/>
      </c>
      <c r="TW48" s="82">
        <f>TV48</f>
        <v/>
      </c>
      <c r="TX48" s="82">
        <f>TW48</f>
        <v/>
      </c>
      <c r="TY48" s="82">
        <f>TX48</f>
        <v/>
      </c>
      <c r="TZ48" s="82">
        <f>TY48</f>
        <v/>
      </c>
      <c r="UA48" s="82">
        <f>TZ48</f>
        <v/>
      </c>
      <c r="UB48" s="82">
        <f>UA48</f>
        <v/>
      </c>
      <c r="UC48" s="82">
        <f>UB48</f>
        <v/>
      </c>
      <c r="UD48" s="82">
        <f>UC48</f>
        <v/>
      </c>
      <c r="UE48" s="82">
        <f>UD48</f>
        <v/>
      </c>
      <c r="UF48" s="82">
        <f>UE48</f>
        <v/>
      </c>
      <c r="UG48" s="82">
        <f>UF48</f>
        <v/>
      </c>
      <c r="UH48" s="82">
        <f>UG48</f>
        <v/>
      </c>
      <c r="UI48" s="82">
        <f>UH48</f>
        <v/>
      </c>
      <c r="UJ48" s="82">
        <f>UI48</f>
        <v/>
      </c>
      <c r="UK48" s="82">
        <f>UJ48</f>
        <v/>
      </c>
      <c r="UL48" s="82">
        <f>UK48</f>
        <v/>
      </c>
      <c r="UM48" s="82">
        <f>UL48</f>
        <v/>
      </c>
      <c r="UN48" s="82">
        <f>UM48</f>
        <v/>
      </c>
      <c r="UO48" s="82">
        <f>UN48</f>
        <v/>
      </c>
      <c r="UP48" s="82">
        <f>UO48</f>
        <v/>
      </c>
      <c r="UQ48" s="82">
        <f>UP48</f>
        <v/>
      </c>
      <c r="UR48" s="82">
        <f>UQ48</f>
        <v/>
      </c>
      <c r="US48" s="82">
        <f>UR48</f>
        <v/>
      </c>
      <c r="UT48" s="82">
        <f>US48</f>
        <v/>
      </c>
      <c r="UU48" s="82">
        <f>UT48</f>
        <v/>
      </c>
      <c r="UV48" s="82">
        <f>UU48</f>
        <v/>
      </c>
      <c r="UW48" s="82">
        <f>UV48</f>
        <v/>
      </c>
      <c r="UX48" s="130" t="n"/>
      <c r="UY48" s="82">
        <f>UW48</f>
        <v/>
      </c>
      <c r="UZ48" s="82">
        <f>UY48</f>
        <v/>
      </c>
      <c r="VA48" s="82">
        <f>UY48</f>
        <v/>
      </c>
      <c r="VB48" s="82">
        <f>UZ48</f>
        <v/>
      </c>
      <c r="VC48" s="82">
        <f>VA48</f>
        <v/>
      </c>
      <c r="VD48" s="82">
        <f>VB48</f>
        <v/>
      </c>
      <c r="VE48" s="82">
        <f>VC48</f>
        <v/>
      </c>
      <c r="VF48" s="82">
        <f>VD48</f>
        <v/>
      </c>
      <c r="VG48" s="82">
        <f>VE48</f>
        <v/>
      </c>
      <c r="VH48" s="82">
        <f>VF48</f>
        <v/>
      </c>
      <c r="VI48" s="82">
        <f>VG48</f>
        <v/>
      </c>
      <c r="VJ48" s="82">
        <f>VH48</f>
        <v/>
      </c>
      <c r="VK48" s="82">
        <f>VI48</f>
        <v/>
      </c>
      <c r="VL48" s="82">
        <f>VJ48</f>
        <v/>
      </c>
      <c r="VM48" s="82">
        <f>VK48</f>
        <v/>
      </c>
      <c r="VN48" s="82">
        <f>VL48</f>
        <v/>
      </c>
      <c r="VO48" s="82">
        <f>VM48</f>
        <v/>
      </c>
      <c r="VP48" s="82">
        <f>VN48</f>
        <v/>
      </c>
      <c r="VQ48" s="82">
        <f>VO48</f>
        <v/>
      </c>
      <c r="VR48" s="82">
        <f>VP48</f>
        <v/>
      </c>
      <c r="VS48" s="82">
        <f>VQ48</f>
        <v/>
      </c>
      <c r="VT48" s="82">
        <f>VR48</f>
        <v/>
      </c>
      <c r="VU48" s="82">
        <f>VS48</f>
        <v/>
      </c>
      <c r="VV48" s="82">
        <f>VT48</f>
        <v/>
      </c>
      <c r="VW48" s="82">
        <f>VU48</f>
        <v/>
      </c>
      <c r="VX48" s="82">
        <f>VV48</f>
        <v/>
      </c>
      <c r="VY48" s="82">
        <f>VW48</f>
        <v/>
      </c>
      <c r="VZ48" s="82">
        <f>VX48</f>
        <v/>
      </c>
      <c r="WA48" s="133" t="n"/>
      <c r="WB48" s="82">
        <f>VZ48</f>
        <v/>
      </c>
      <c r="WC48" s="82">
        <f>WB48</f>
        <v/>
      </c>
      <c r="WD48" s="82">
        <f>WB48</f>
        <v/>
      </c>
      <c r="WE48" s="82">
        <f>WC48</f>
        <v/>
      </c>
      <c r="WF48" s="82">
        <f>WD48</f>
        <v/>
      </c>
      <c r="WG48" s="82">
        <f>WE48</f>
        <v/>
      </c>
      <c r="WH48" s="82">
        <f>WF48</f>
        <v/>
      </c>
      <c r="WI48" s="82">
        <f>WG48</f>
        <v/>
      </c>
      <c r="WJ48" s="82">
        <f>WH48</f>
        <v/>
      </c>
      <c r="WK48" s="82">
        <f>WI48</f>
        <v/>
      </c>
      <c r="WL48" s="82">
        <f>WJ48</f>
        <v/>
      </c>
      <c r="WM48" s="82">
        <f>WK48</f>
        <v/>
      </c>
      <c r="WN48" s="82">
        <f>WL48</f>
        <v/>
      </c>
      <c r="WO48" s="82">
        <f>WM48</f>
        <v/>
      </c>
      <c r="WP48" s="82">
        <f>WN48</f>
        <v/>
      </c>
      <c r="WQ48" s="82">
        <f>WO48</f>
        <v/>
      </c>
      <c r="WR48" s="82">
        <f>WP48</f>
        <v/>
      </c>
      <c r="WS48" s="82">
        <f>WQ48</f>
        <v/>
      </c>
      <c r="WT48" s="82">
        <f>WR48</f>
        <v/>
      </c>
      <c r="WU48" s="82">
        <f>WS48</f>
        <v/>
      </c>
      <c r="WV48" s="82">
        <f>WT48</f>
        <v/>
      </c>
      <c r="WW48" s="82">
        <f>WU48</f>
        <v/>
      </c>
      <c r="WX48" s="82">
        <f>WV48</f>
        <v/>
      </c>
      <c r="WY48" s="82">
        <f>WW48</f>
        <v/>
      </c>
      <c r="WZ48" s="82">
        <f>WX48</f>
        <v/>
      </c>
      <c r="XA48" s="82">
        <f>WY48</f>
        <v/>
      </c>
      <c r="XB48" s="82">
        <f>WZ48</f>
        <v/>
      </c>
      <c r="XC48" s="82">
        <f>XA48</f>
        <v/>
      </c>
      <c r="XD48" s="82">
        <f>XB48</f>
        <v/>
      </c>
      <c r="XE48" s="82">
        <f>XC48</f>
        <v/>
      </c>
      <c r="XF48" s="82">
        <f>XD48</f>
        <v/>
      </c>
      <c r="XG48" s="133" t="n"/>
      <c r="XH48" s="82">
        <f>XF48</f>
        <v/>
      </c>
      <c r="XI48" s="82">
        <f>XH48</f>
        <v/>
      </c>
      <c r="XJ48" s="82">
        <f>XI48</f>
        <v/>
      </c>
      <c r="XK48" s="82">
        <f>XJ48</f>
        <v/>
      </c>
      <c r="XL48" s="82">
        <f>XK48</f>
        <v/>
      </c>
      <c r="XM48" s="82">
        <f>XL48</f>
        <v/>
      </c>
      <c r="XN48" s="82">
        <f>XM48</f>
        <v/>
      </c>
      <c r="XO48" s="82">
        <f>XN48</f>
        <v/>
      </c>
      <c r="XP48" s="82">
        <f>XO48</f>
        <v/>
      </c>
      <c r="XQ48" s="82">
        <f>XP48</f>
        <v/>
      </c>
      <c r="XR48" s="82">
        <f>XQ48</f>
        <v/>
      </c>
      <c r="XS48" s="82">
        <f>XR48</f>
        <v/>
      </c>
      <c r="XT48" s="82">
        <f>XS48</f>
        <v/>
      </c>
      <c r="XU48" s="82">
        <f>XT48</f>
        <v/>
      </c>
      <c r="XV48" s="82">
        <f>XU48</f>
        <v/>
      </c>
      <c r="XW48" s="82">
        <f>XV48</f>
        <v/>
      </c>
      <c r="XX48" s="82">
        <f>XW48</f>
        <v/>
      </c>
      <c r="XY48" s="82">
        <f>XX48</f>
        <v/>
      </c>
      <c r="XZ48" s="82">
        <f>XY48</f>
        <v/>
      </c>
      <c r="YA48" s="82">
        <f>XZ48</f>
        <v/>
      </c>
      <c r="YB48" s="82">
        <f>YA48</f>
        <v/>
      </c>
      <c r="YC48" s="82">
        <f>YB48</f>
        <v/>
      </c>
      <c r="YD48" s="82">
        <f>YC48</f>
        <v/>
      </c>
      <c r="YE48" s="82">
        <f>YD48</f>
        <v/>
      </c>
      <c r="YF48" s="82">
        <f>YE48</f>
        <v/>
      </c>
      <c r="YG48" s="82">
        <f>YF48</f>
        <v/>
      </c>
      <c r="YH48" s="82">
        <f>YG48</f>
        <v/>
      </c>
      <c r="YI48" s="82">
        <f>YH48</f>
        <v/>
      </c>
      <c r="YJ48" s="82">
        <f>YI48</f>
        <v/>
      </c>
      <c r="YK48" s="82">
        <f>YJ48</f>
        <v/>
      </c>
      <c r="YL48" s="130" t="n"/>
      <c r="YM48" s="82">
        <f>YK48</f>
        <v/>
      </c>
      <c r="YN48" s="82">
        <f>YM48</f>
        <v/>
      </c>
      <c r="YO48" s="82">
        <f>YN48</f>
        <v/>
      </c>
      <c r="YP48" s="82">
        <f>YO48</f>
        <v/>
      </c>
      <c r="YQ48" s="82">
        <f>YP48</f>
        <v/>
      </c>
      <c r="YR48" s="82">
        <f>YQ48</f>
        <v/>
      </c>
      <c r="YS48" s="82">
        <f>YR48</f>
        <v/>
      </c>
      <c r="YT48" s="82">
        <f>YS48</f>
        <v/>
      </c>
      <c r="YU48" s="82">
        <f>YT48</f>
        <v/>
      </c>
      <c r="YV48" s="82">
        <f>YU48</f>
        <v/>
      </c>
      <c r="YW48" s="82">
        <f>YV48</f>
        <v/>
      </c>
      <c r="YX48" s="82">
        <f>YW48</f>
        <v/>
      </c>
      <c r="YY48" s="82">
        <f>YX48</f>
        <v/>
      </c>
      <c r="YZ48" s="82">
        <f>YY48</f>
        <v/>
      </c>
      <c r="ZA48" s="82">
        <f>YZ48</f>
        <v/>
      </c>
      <c r="ZB48" s="82">
        <f>ZA48</f>
        <v/>
      </c>
      <c r="ZC48" s="82">
        <f>ZB48</f>
        <v/>
      </c>
      <c r="ZD48" s="82">
        <f>ZC48</f>
        <v/>
      </c>
      <c r="ZE48" s="82">
        <f>ZD48</f>
        <v/>
      </c>
      <c r="ZF48" s="82">
        <f>ZE48</f>
        <v/>
      </c>
      <c r="ZG48" s="82">
        <f>ZF48</f>
        <v/>
      </c>
      <c r="ZH48" s="82">
        <f>ZG48</f>
        <v/>
      </c>
      <c r="ZI48" s="82">
        <f>ZH48</f>
        <v/>
      </c>
      <c r="ZJ48" s="82">
        <f>ZI48</f>
        <v/>
      </c>
      <c r="ZK48" s="82">
        <f>ZJ48</f>
        <v/>
      </c>
      <c r="ZL48" s="82">
        <f>ZK48</f>
        <v/>
      </c>
      <c r="ZM48" s="82">
        <f>ZL48</f>
        <v/>
      </c>
      <c r="ZN48" s="82">
        <f>ZM48</f>
        <v/>
      </c>
      <c r="ZO48" s="82">
        <f>ZN48</f>
        <v/>
      </c>
      <c r="ZP48" s="82">
        <f>ZO48</f>
        <v/>
      </c>
      <c r="ZQ48" s="82">
        <f>ZP48</f>
        <v/>
      </c>
      <c r="ZR48" s="130" t="n"/>
      <c r="ZS48" s="82">
        <f>ZQ48</f>
        <v/>
      </c>
      <c r="ZT48" s="82">
        <f>ZS48</f>
        <v/>
      </c>
      <c r="ZU48" s="82">
        <f>ZT48</f>
        <v/>
      </c>
      <c r="ZV48" s="82">
        <f>ZU48</f>
        <v/>
      </c>
      <c r="ZW48" s="82">
        <f>ZV48</f>
        <v/>
      </c>
      <c r="ZX48" s="82">
        <f>ZW48</f>
        <v/>
      </c>
      <c r="ZY48" s="82">
        <f>ZX48</f>
        <v/>
      </c>
      <c r="ZZ48" s="82">
        <f>ZY48</f>
        <v/>
      </c>
      <c r="AAA48" s="82">
        <f>ZZ48</f>
        <v/>
      </c>
      <c r="AAB48" s="82">
        <f>AAA48</f>
        <v/>
      </c>
      <c r="AAC48" s="82">
        <f>AAB48</f>
        <v/>
      </c>
      <c r="AAD48" s="82">
        <f>AAC48</f>
        <v/>
      </c>
      <c r="AAE48" s="82">
        <f>AAD48</f>
        <v/>
      </c>
      <c r="AAF48" s="82">
        <f>AAE48</f>
        <v/>
      </c>
      <c r="AAG48" s="82">
        <f>AAF48</f>
        <v/>
      </c>
      <c r="AAH48" s="82">
        <f>AAG48</f>
        <v/>
      </c>
      <c r="AAI48" s="82">
        <f>AAH48</f>
        <v/>
      </c>
      <c r="AAJ48" s="82">
        <f>AAI48</f>
        <v/>
      </c>
      <c r="AAK48" s="82">
        <f>AAJ48</f>
        <v/>
      </c>
      <c r="AAL48" s="82">
        <f>AAK48</f>
        <v/>
      </c>
      <c r="AAM48" s="82">
        <f>AAL48</f>
        <v/>
      </c>
      <c r="AAN48" s="82">
        <f>AAM48</f>
        <v/>
      </c>
      <c r="AAO48" s="82">
        <f>AAN48</f>
        <v/>
      </c>
      <c r="AAP48" s="82">
        <f>AAO48</f>
        <v/>
      </c>
      <c r="AAQ48" s="82">
        <f>AAP48</f>
        <v/>
      </c>
      <c r="AAR48" s="82">
        <f>AAQ48</f>
        <v/>
      </c>
      <c r="AAS48" s="82">
        <f>AAR48</f>
        <v/>
      </c>
      <c r="AAT48" s="82">
        <f>AAS48</f>
        <v/>
      </c>
      <c r="AAU48" s="82">
        <f>AAT48</f>
        <v/>
      </c>
      <c r="AAV48" s="82">
        <f>AAU48</f>
        <v/>
      </c>
      <c r="AAW48" s="130" t="n"/>
      <c r="AAX48" s="82">
        <f>AAV48</f>
        <v/>
      </c>
      <c r="AAY48" s="82">
        <f>AAX48</f>
        <v/>
      </c>
      <c r="AAZ48" s="82">
        <f>AAY48</f>
        <v/>
      </c>
      <c r="ABA48" s="82">
        <f>AAZ48</f>
        <v/>
      </c>
      <c r="ABB48" s="82">
        <f>ABA48</f>
        <v/>
      </c>
      <c r="ABC48" s="82">
        <f>ABB48</f>
        <v/>
      </c>
      <c r="ABD48" s="82">
        <f>ABC48</f>
        <v/>
      </c>
      <c r="ABE48" s="82">
        <f>ABD48</f>
        <v/>
      </c>
      <c r="ABF48" s="82">
        <f>ABE48</f>
        <v/>
      </c>
      <c r="ABG48" s="82">
        <f>ABF48</f>
        <v/>
      </c>
      <c r="ABH48" s="82">
        <f>ABG48</f>
        <v/>
      </c>
      <c r="ABI48" s="82">
        <f>ABH48</f>
        <v/>
      </c>
      <c r="ABJ48" s="82">
        <f>ABI48</f>
        <v/>
      </c>
      <c r="ABK48" s="82">
        <f>ABJ48</f>
        <v/>
      </c>
      <c r="ABL48" s="82">
        <f>ABK48</f>
        <v/>
      </c>
      <c r="ABM48" s="82">
        <f>ABL48</f>
        <v/>
      </c>
      <c r="ABN48" s="82">
        <f>ABM48</f>
        <v/>
      </c>
      <c r="ABO48" s="82">
        <f>ABN48</f>
        <v/>
      </c>
      <c r="ABP48" s="82">
        <f>ABO48</f>
        <v/>
      </c>
      <c r="ABQ48" s="82">
        <f>ABP48</f>
        <v/>
      </c>
      <c r="ABR48" s="82">
        <f>ABQ48</f>
        <v/>
      </c>
      <c r="ABS48" s="82">
        <f>ABR48</f>
        <v/>
      </c>
      <c r="ABT48" s="82">
        <f>ABS48</f>
        <v/>
      </c>
      <c r="ABU48" s="82">
        <f>ABT48</f>
        <v/>
      </c>
      <c r="ABV48" s="82">
        <f>ABU48</f>
        <v/>
      </c>
      <c r="ABW48" s="82">
        <f>ABV48</f>
        <v/>
      </c>
      <c r="ABX48" s="82">
        <f>ABW48</f>
        <v/>
      </c>
      <c r="ABY48" s="82">
        <f>ABX48</f>
        <v/>
      </c>
      <c r="ABZ48" s="82">
        <f>ABY48</f>
        <v/>
      </c>
      <c r="ACA48" s="82">
        <f>ABZ48</f>
        <v/>
      </c>
      <c r="ACB48" s="82">
        <f>ACA48</f>
        <v/>
      </c>
      <c r="ACC48" s="130" t="n"/>
      <c r="ACD48" s="82">
        <f>ACB48</f>
        <v/>
      </c>
      <c r="ACE48" s="82">
        <f>ACD48</f>
        <v/>
      </c>
      <c r="ACF48" s="82">
        <f>ACE48</f>
        <v/>
      </c>
      <c r="ACG48" s="82">
        <f>ACF48</f>
        <v/>
      </c>
      <c r="ACH48" s="82">
        <f>ACG48</f>
        <v/>
      </c>
      <c r="ACI48" s="82">
        <f>ACH48</f>
        <v/>
      </c>
      <c r="ACJ48" s="82">
        <f>ACI48</f>
        <v/>
      </c>
      <c r="ACK48" s="82">
        <f>ACJ48</f>
        <v/>
      </c>
      <c r="ACL48" s="82">
        <f>ACK48</f>
        <v/>
      </c>
      <c r="ACM48" s="82">
        <f>ACL48</f>
        <v/>
      </c>
      <c r="ACN48" s="82">
        <f>ACM48</f>
        <v/>
      </c>
      <c r="ACO48" s="82">
        <f>ACN48</f>
        <v/>
      </c>
      <c r="ACP48" s="82">
        <f>ACO48</f>
        <v/>
      </c>
      <c r="ACQ48" s="82">
        <f>ACP48</f>
        <v/>
      </c>
      <c r="ACR48" s="82">
        <f>ACQ48</f>
        <v/>
      </c>
      <c r="ACS48" s="82">
        <f>ACR48</f>
        <v/>
      </c>
      <c r="ACT48" s="82">
        <f>ACS48</f>
        <v/>
      </c>
      <c r="ACU48" s="82">
        <f>ACT48</f>
        <v/>
      </c>
      <c r="ACV48" s="82">
        <f>ACU48</f>
        <v/>
      </c>
      <c r="ACW48" s="82">
        <f>ACV48</f>
        <v/>
      </c>
      <c r="ACX48" s="82">
        <f>ACW48</f>
        <v/>
      </c>
      <c r="ACY48" s="82">
        <f>ACX48</f>
        <v/>
      </c>
      <c r="ACZ48" s="82">
        <f>ACY48</f>
        <v/>
      </c>
      <c r="ADA48" s="82">
        <f>ACZ48</f>
        <v/>
      </c>
      <c r="ADB48" s="82">
        <f>ADA48</f>
        <v/>
      </c>
      <c r="ADC48" s="82">
        <f>ADB48</f>
        <v/>
      </c>
      <c r="ADD48" s="82">
        <f>ADC48</f>
        <v/>
      </c>
      <c r="ADE48" s="82">
        <f>ADD48</f>
        <v/>
      </c>
      <c r="ADF48" s="82">
        <f>ADE48</f>
        <v/>
      </c>
      <c r="ADG48" s="82">
        <f>ADF48</f>
        <v/>
      </c>
      <c r="ADH48" s="82">
        <f>ADG48</f>
        <v/>
      </c>
      <c r="ADI48" s="130" t="n"/>
      <c r="ADJ48" s="82">
        <f>ADH48</f>
        <v/>
      </c>
      <c r="ADK48" s="82">
        <f>ADJ48</f>
        <v/>
      </c>
      <c r="ADL48" s="82">
        <f>ADK48</f>
        <v/>
      </c>
      <c r="ADM48" s="82">
        <f>ADL48</f>
        <v/>
      </c>
      <c r="ADN48" s="82">
        <f>ADM48</f>
        <v/>
      </c>
      <c r="ADO48" s="82">
        <f>ADN48</f>
        <v/>
      </c>
      <c r="ADP48" s="82">
        <f>ADO48</f>
        <v/>
      </c>
      <c r="ADQ48" s="82">
        <f>ADP48</f>
        <v/>
      </c>
      <c r="ADR48" s="82">
        <f>ADQ48</f>
        <v/>
      </c>
      <c r="ADS48" s="82">
        <f>ADR48</f>
        <v/>
      </c>
      <c r="ADT48" s="82">
        <f>ADS48</f>
        <v/>
      </c>
      <c r="ADU48" s="82">
        <f>ADT48</f>
        <v/>
      </c>
      <c r="ADV48" s="82">
        <f>ADU48</f>
        <v/>
      </c>
      <c r="ADW48" s="82">
        <f>ADV48</f>
        <v/>
      </c>
      <c r="ADX48" s="82">
        <f>ADW48</f>
        <v/>
      </c>
      <c r="ADY48" s="82">
        <f>ADX48</f>
        <v/>
      </c>
      <c r="ADZ48" s="82">
        <f>ADY48</f>
        <v/>
      </c>
      <c r="AEA48" s="82">
        <f>ADZ48</f>
        <v/>
      </c>
      <c r="AEB48" s="82">
        <f>AEA48</f>
        <v/>
      </c>
      <c r="AEC48" s="82">
        <f>AEB48</f>
        <v/>
      </c>
      <c r="AED48" s="82">
        <f>AEC48</f>
        <v/>
      </c>
      <c r="AEE48" s="82">
        <f>AED48</f>
        <v/>
      </c>
      <c r="AEF48" s="82">
        <f>AEE48</f>
        <v/>
      </c>
      <c r="AEG48" s="82">
        <f>AEF48</f>
        <v/>
      </c>
      <c r="AEH48" s="82">
        <f>AEG48</f>
        <v/>
      </c>
      <c r="AEI48" s="82">
        <f>AEH48</f>
        <v/>
      </c>
      <c r="AEJ48" s="82">
        <f>AEI48</f>
        <v/>
      </c>
      <c r="AEK48" s="82">
        <f>AEJ48</f>
        <v/>
      </c>
      <c r="AEL48" s="82">
        <f>AEK48</f>
        <v/>
      </c>
      <c r="AEM48" s="82">
        <f>AEL48</f>
        <v/>
      </c>
      <c r="AEN48" s="130" t="n"/>
      <c r="AEO48" s="82">
        <f>AEM48</f>
        <v/>
      </c>
      <c r="AEP48" s="82">
        <f>AEO48</f>
        <v/>
      </c>
      <c r="AEQ48" s="82">
        <f>AEP48</f>
        <v/>
      </c>
      <c r="AER48" s="82">
        <f>AEQ48</f>
        <v/>
      </c>
      <c r="AES48" s="82">
        <f>AER48</f>
        <v/>
      </c>
      <c r="AET48" s="82">
        <f>AES48</f>
        <v/>
      </c>
      <c r="AEU48" s="82">
        <f>AET48</f>
        <v/>
      </c>
      <c r="AEV48" s="82">
        <f>AEU48</f>
        <v/>
      </c>
      <c r="AEW48" s="82">
        <f>AEV48</f>
        <v/>
      </c>
      <c r="AEX48" s="82">
        <f>AEW48</f>
        <v/>
      </c>
      <c r="AEY48" s="82">
        <f>AEX48</f>
        <v/>
      </c>
      <c r="AEZ48" s="82">
        <f>AEY48</f>
        <v/>
      </c>
      <c r="AFA48" s="82">
        <f>AEZ48</f>
        <v/>
      </c>
      <c r="AFB48" s="82">
        <f>AFA48</f>
        <v/>
      </c>
      <c r="AFC48" s="82">
        <f>AFB48</f>
        <v/>
      </c>
      <c r="AFD48" s="82">
        <f>AFC48</f>
        <v/>
      </c>
      <c r="AFE48" s="82">
        <f>AFD48</f>
        <v/>
      </c>
      <c r="AFF48" s="82">
        <f>AFE48</f>
        <v/>
      </c>
      <c r="AFG48" s="82">
        <f>AFF48</f>
        <v/>
      </c>
      <c r="AFH48" s="82">
        <f>AFG48</f>
        <v/>
      </c>
      <c r="AFI48" s="82">
        <f>AFH48</f>
        <v/>
      </c>
      <c r="AFJ48" s="82">
        <f>AFI48</f>
        <v/>
      </c>
      <c r="AFK48" s="82">
        <f>AFJ48</f>
        <v/>
      </c>
      <c r="AFL48" s="82">
        <f>AFK48</f>
        <v/>
      </c>
      <c r="AFM48" s="82">
        <f>AFL48</f>
        <v/>
      </c>
      <c r="AFN48" s="82">
        <f>AFM48</f>
        <v/>
      </c>
      <c r="AFO48" s="82">
        <f>AFN48</f>
        <v/>
      </c>
      <c r="AFP48" s="82">
        <f>AFO48</f>
        <v/>
      </c>
      <c r="AFQ48" s="82">
        <f>AFP48</f>
        <v/>
      </c>
      <c r="AFR48" s="82">
        <f>AFQ48</f>
        <v/>
      </c>
      <c r="AFS48" s="82">
        <f>AFR48</f>
        <v/>
      </c>
      <c r="AFT48" s="130" t="n"/>
      <c r="AFU48" s="82">
        <f>AFS48</f>
        <v/>
      </c>
      <c r="AFV48" s="82">
        <f>AFU48</f>
        <v/>
      </c>
      <c r="AFW48" s="82">
        <f>AFV48</f>
        <v/>
      </c>
      <c r="AFX48" s="82">
        <f>AFW48</f>
        <v/>
      </c>
      <c r="AFY48" s="82">
        <f>AFX48</f>
        <v/>
      </c>
      <c r="AFZ48" s="82">
        <f>AFY48</f>
        <v/>
      </c>
      <c r="AGA48" s="82">
        <f>AFZ48</f>
        <v/>
      </c>
      <c r="AGB48" s="82">
        <f>AGA48</f>
        <v/>
      </c>
      <c r="AGC48" s="82">
        <f>AGB48</f>
        <v/>
      </c>
      <c r="AGD48" s="82">
        <f>AGC48</f>
        <v/>
      </c>
      <c r="AGE48" s="82">
        <f>AGD48</f>
        <v/>
      </c>
      <c r="AGF48" s="82">
        <f>AGE48</f>
        <v/>
      </c>
      <c r="AGG48" s="82">
        <f>AGF48</f>
        <v/>
      </c>
      <c r="AGH48" s="82">
        <f>AGG48</f>
        <v/>
      </c>
      <c r="AGI48" s="82">
        <f>AGH48</f>
        <v/>
      </c>
      <c r="AGJ48" s="82">
        <f>AGI48</f>
        <v/>
      </c>
      <c r="AGK48" s="82">
        <f>AGJ48</f>
        <v/>
      </c>
      <c r="AGL48" s="82">
        <f>AGK48</f>
        <v/>
      </c>
      <c r="AGM48" s="82">
        <f>AGL48</f>
        <v/>
      </c>
      <c r="AGN48" s="82">
        <f>AGM48</f>
        <v/>
      </c>
      <c r="AGO48" s="82">
        <f>AGN48</f>
        <v/>
      </c>
      <c r="AGP48" s="82">
        <f>AGO48</f>
        <v/>
      </c>
      <c r="AGQ48" s="82">
        <f>AGP48</f>
        <v/>
      </c>
      <c r="AGR48" s="82">
        <f>AGQ48</f>
        <v/>
      </c>
      <c r="AGS48" s="82">
        <f>AGR48</f>
        <v/>
      </c>
      <c r="AGT48" s="82">
        <f>AGS48</f>
        <v/>
      </c>
      <c r="AGU48" s="82">
        <f>AGT48</f>
        <v/>
      </c>
      <c r="AGV48" s="82">
        <f>AGU48</f>
        <v/>
      </c>
      <c r="AGW48" s="82">
        <f>AGV48</f>
        <v/>
      </c>
      <c r="AGX48" s="82">
        <f>AGW48</f>
        <v/>
      </c>
      <c r="AGY48" s="133" t="n"/>
      <c r="AGZ48" s="82">
        <f>AGX48</f>
        <v/>
      </c>
      <c r="AHA48" s="82">
        <f>AGZ48</f>
        <v/>
      </c>
      <c r="AHB48" s="82">
        <f>AHA48</f>
        <v/>
      </c>
      <c r="AHC48" s="82">
        <f>AHB48</f>
        <v/>
      </c>
      <c r="AHD48" s="82">
        <f>AHC48</f>
        <v/>
      </c>
      <c r="AHE48" s="82">
        <f>AHD48</f>
        <v/>
      </c>
      <c r="AHF48" s="82">
        <f>AHE48</f>
        <v/>
      </c>
      <c r="AHG48" s="82">
        <f>AHF48</f>
        <v/>
      </c>
      <c r="AHH48" s="82">
        <f>AHG48</f>
        <v/>
      </c>
      <c r="AHI48" s="82">
        <f>AHH48</f>
        <v/>
      </c>
      <c r="AHJ48" s="82">
        <f>AHI48</f>
        <v/>
      </c>
      <c r="AHK48" s="82">
        <f>AHJ48</f>
        <v/>
      </c>
      <c r="AHL48" s="82">
        <f>AHK48</f>
        <v/>
      </c>
      <c r="AHM48" s="82">
        <f>AHL48</f>
        <v/>
      </c>
      <c r="AHN48" s="82">
        <f>AHM48</f>
        <v/>
      </c>
      <c r="AHO48" s="82">
        <f>AHN48</f>
        <v/>
      </c>
      <c r="AHP48" s="82">
        <f>AHO48</f>
        <v/>
      </c>
      <c r="AHQ48" s="82">
        <f>AHP48</f>
        <v/>
      </c>
      <c r="AHR48" s="82">
        <f>AHQ48</f>
        <v/>
      </c>
      <c r="AHS48" s="82">
        <f>AHR48</f>
        <v/>
      </c>
      <c r="AHT48" s="82">
        <f>AHS48</f>
        <v/>
      </c>
      <c r="AHU48" s="82">
        <f>AHT48</f>
        <v/>
      </c>
      <c r="AHV48" s="82">
        <f>AHU48</f>
        <v/>
      </c>
      <c r="AHW48" s="82">
        <f>AHV48</f>
        <v/>
      </c>
      <c r="AHX48" s="82">
        <f>AHW48</f>
        <v/>
      </c>
      <c r="AHY48" s="82">
        <f>AHX48</f>
        <v/>
      </c>
      <c r="AHZ48" s="82">
        <f>AHY48</f>
        <v/>
      </c>
      <c r="AIA48" s="82">
        <f>AHZ48</f>
        <v/>
      </c>
      <c r="AIB48" s="82">
        <f>AIA48</f>
        <v/>
      </c>
      <c r="AIC48" s="82">
        <f>AIB48</f>
        <v/>
      </c>
      <c r="AID48" s="82">
        <f>AIC48</f>
        <v/>
      </c>
      <c r="AIE48" s="130" t="n"/>
      <c r="AIF48" s="82">
        <f>AID48</f>
        <v/>
      </c>
      <c r="AIG48" s="82">
        <f>AIF48</f>
        <v/>
      </c>
      <c r="AIH48" s="82">
        <f>AIG48</f>
        <v/>
      </c>
      <c r="AII48" s="82">
        <f>AIH48</f>
        <v/>
      </c>
      <c r="AIJ48" s="82">
        <f>AII48</f>
        <v/>
      </c>
      <c r="AIK48" s="82">
        <f>AIJ48</f>
        <v/>
      </c>
      <c r="AIL48" s="82">
        <f>AIK48</f>
        <v/>
      </c>
      <c r="AIM48" s="82">
        <f>AIL48</f>
        <v/>
      </c>
      <c r="AIN48" s="82">
        <f>AIM48</f>
        <v/>
      </c>
      <c r="AIO48" s="82">
        <f>AIN48</f>
        <v/>
      </c>
      <c r="AIP48" s="82">
        <f>AIO48</f>
        <v/>
      </c>
      <c r="AIQ48" s="82">
        <f>AIP48</f>
        <v/>
      </c>
      <c r="AIR48" s="82">
        <f>AIQ48</f>
        <v/>
      </c>
      <c r="AIS48" s="82">
        <f>AIR48</f>
        <v/>
      </c>
      <c r="AIT48" s="82">
        <f>AIS48</f>
        <v/>
      </c>
      <c r="AIU48" s="82">
        <f>AIT48</f>
        <v/>
      </c>
      <c r="AIV48" s="82">
        <f>AIU48</f>
        <v/>
      </c>
      <c r="AIW48" s="82">
        <f>AIV48</f>
        <v/>
      </c>
      <c r="AIX48" s="82">
        <f>AIW48</f>
        <v/>
      </c>
      <c r="AIY48" s="82">
        <f>AIX48</f>
        <v/>
      </c>
      <c r="AIZ48" s="82">
        <f>AIY48</f>
        <v/>
      </c>
      <c r="AJA48" s="82">
        <f>AIZ48</f>
        <v/>
      </c>
      <c r="AJB48" s="82">
        <f>AJA48</f>
        <v/>
      </c>
      <c r="AJC48" s="82">
        <f>AJB48</f>
        <v/>
      </c>
      <c r="AJD48" s="82">
        <f>AJC48</f>
        <v/>
      </c>
      <c r="AJE48" s="82">
        <f>AJD48</f>
        <v/>
      </c>
      <c r="AJF48" s="82">
        <f>AJE48</f>
        <v/>
      </c>
      <c r="AJG48" s="82">
        <f>AJF48</f>
        <v/>
      </c>
      <c r="AJH48" s="82">
        <f>AJG48</f>
        <v/>
      </c>
      <c r="AJI48" s="82">
        <f>AJH48</f>
        <v/>
      </c>
      <c r="AJJ48" s="82">
        <f>AJI48</f>
        <v/>
      </c>
      <c r="AJK48" s="145" t="n"/>
      <c r="AJL48" s="82">
        <f>AJJ48</f>
        <v/>
      </c>
      <c r="AJM48" s="82">
        <f>AJL48</f>
        <v/>
      </c>
      <c r="AJN48" s="82">
        <f>AJM48</f>
        <v/>
      </c>
      <c r="AJO48" s="82">
        <f>AJN48</f>
        <v/>
      </c>
      <c r="AJP48" s="82">
        <f>AJO48</f>
        <v/>
      </c>
      <c r="AJQ48" s="82">
        <f>AJP48</f>
        <v/>
      </c>
      <c r="AJR48" s="82">
        <f>AJQ48</f>
        <v/>
      </c>
      <c r="AJS48" s="82">
        <f>AJR48</f>
        <v/>
      </c>
      <c r="AJT48" s="82">
        <f>AJS48</f>
        <v/>
      </c>
      <c r="AJU48" s="82">
        <f>AJT48</f>
        <v/>
      </c>
      <c r="AJV48" s="82">
        <f>AJU48</f>
        <v/>
      </c>
      <c r="AJW48" s="82">
        <f>AJV48</f>
        <v/>
      </c>
      <c r="AJX48" s="82">
        <f>AJW48</f>
        <v/>
      </c>
      <c r="AJY48" s="82">
        <f>AJX48</f>
        <v/>
      </c>
      <c r="AJZ48" s="82">
        <f>AJY48</f>
        <v/>
      </c>
      <c r="AKA48" s="82">
        <f>AJZ48</f>
        <v/>
      </c>
      <c r="AKB48" s="82">
        <f>AKA48</f>
        <v/>
      </c>
      <c r="AKC48" s="82">
        <f>AKB48</f>
        <v/>
      </c>
      <c r="AKD48" s="82">
        <f>AKC48</f>
        <v/>
      </c>
      <c r="AKE48" s="82">
        <f>AKD48</f>
        <v/>
      </c>
      <c r="AKF48" s="82">
        <f>AKE48</f>
        <v/>
      </c>
      <c r="AKG48" s="82">
        <f>AKF48</f>
        <v/>
      </c>
      <c r="AKH48" s="82">
        <f>AKG48</f>
        <v/>
      </c>
      <c r="AKI48" s="82">
        <f>AKH48</f>
        <v/>
      </c>
      <c r="AKJ48" s="82">
        <f>AKI48</f>
        <v/>
      </c>
      <c r="AKK48" s="82">
        <f>AKJ48</f>
        <v/>
      </c>
      <c r="AKL48" s="82">
        <f>AKK48</f>
        <v/>
      </c>
      <c r="AKM48" s="82">
        <f>AKL48</f>
        <v/>
      </c>
      <c r="AKN48" s="112" t="n"/>
      <c r="AKO48" s="82">
        <f>AKM48</f>
        <v/>
      </c>
      <c r="AKP48" s="82">
        <f>AKO48</f>
        <v/>
      </c>
      <c r="AKQ48" s="82">
        <f>AKP48</f>
        <v/>
      </c>
      <c r="AKR48" s="82">
        <f>AKQ48</f>
        <v/>
      </c>
      <c r="AKS48" s="82">
        <f>AKR48</f>
        <v/>
      </c>
      <c r="AKT48" s="82">
        <f>AKS48</f>
        <v/>
      </c>
      <c r="AKU48" s="82">
        <f>AKT48</f>
        <v/>
      </c>
      <c r="AKV48" s="82">
        <f>AKU48</f>
        <v/>
      </c>
      <c r="AKW48" s="82">
        <f>AKV48</f>
        <v/>
      </c>
      <c r="AKX48" s="82">
        <f>AKW48</f>
        <v/>
      </c>
      <c r="AKY48" s="82">
        <f>AKX48</f>
        <v/>
      </c>
      <c r="AKZ48" s="82">
        <f>AKY48</f>
        <v/>
      </c>
      <c r="ALA48" s="82">
        <f>AKZ48</f>
        <v/>
      </c>
      <c r="ALB48" s="82">
        <f>ALA48</f>
        <v/>
      </c>
      <c r="ALC48" s="82">
        <f>ALB48</f>
        <v/>
      </c>
      <c r="ALD48" s="82">
        <f>ALC48</f>
        <v/>
      </c>
      <c r="ALE48" s="82">
        <f>ALD48</f>
        <v/>
      </c>
      <c r="ALF48" s="82">
        <f>ALE48</f>
        <v/>
      </c>
      <c r="ALG48" s="82">
        <f>ALF48</f>
        <v/>
      </c>
      <c r="ALH48" s="82">
        <f>ALG48</f>
        <v/>
      </c>
      <c r="ALI48" s="82">
        <f>ALH48</f>
        <v/>
      </c>
      <c r="ALJ48" s="82">
        <f>ALI48</f>
        <v/>
      </c>
      <c r="ALK48" s="82">
        <f>ALJ48</f>
        <v/>
      </c>
      <c r="ALL48" s="82">
        <f>ALK48</f>
        <v/>
      </c>
      <c r="ALM48" s="82">
        <f>ALL48</f>
        <v/>
      </c>
      <c r="ALN48" s="82">
        <f>ALM48</f>
        <v/>
      </c>
      <c r="ALO48" s="82">
        <f>ALN48</f>
        <v/>
      </c>
      <c r="ALP48" s="82">
        <f>ALO48</f>
        <v/>
      </c>
      <c r="ALQ48" s="82">
        <f>ALP48</f>
        <v/>
      </c>
      <c r="ALR48" s="82">
        <f>ALQ48</f>
        <v/>
      </c>
      <c r="ALS48" s="82">
        <f>ALR48</f>
        <v/>
      </c>
      <c r="ALT48" s="130" t="n"/>
      <c r="ALU48" s="82">
        <f>ALS48</f>
        <v/>
      </c>
      <c r="ALV48" s="82">
        <f>ALU48</f>
        <v/>
      </c>
      <c r="ALW48" s="82">
        <f>ALV48</f>
        <v/>
      </c>
      <c r="ALX48" s="82">
        <f>ALW48</f>
        <v/>
      </c>
      <c r="ALY48" s="82">
        <f>ALX48</f>
        <v/>
      </c>
      <c r="ALZ48" s="82">
        <f>ALY48</f>
        <v/>
      </c>
      <c r="AMA48" s="82">
        <f>ALZ48</f>
        <v/>
      </c>
      <c r="AMB48" s="82">
        <f>AMA48</f>
        <v/>
      </c>
      <c r="AMC48" s="82">
        <f>AMB48</f>
        <v/>
      </c>
      <c r="AMD48" s="82">
        <f>AMC48</f>
        <v/>
      </c>
      <c r="AME48" s="82">
        <f>AMD48</f>
        <v/>
      </c>
      <c r="AMF48" s="82">
        <f>AME48</f>
        <v/>
      </c>
      <c r="AMG48" s="82">
        <f>AMF48</f>
        <v/>
      </c>
      <c r="AMH48" s="82">
        <f>AMG48</f>
        <v/>
      </c>
      <c r="AMI48" s="82">
        <f>AMH48</f>
        <v/>
      </c>
      <c r="AMJ48" s="82">
        <f>AMI48</f>
        <v/>
      </c>
      <c r="AMK48" s="82">
        <f>AMJ48</f>
        <v/>
      </c>
      <c r="AML48" s="82">
        <f>AMK48</f>
        <v/>
      </c>
      <c r="AMM48" s="82">
        <f>AML48</f>
        <v/>
      </c>
      <c r="AMN48" s="82">
        <f>AMM48</f>
        <v/>
      </c>
      <c r="AMO48" s="82">
        <f>AMN48</f>
        <v/>
      </c>
      <c r="AMP48" s="82">
        <f>AMO48</f>
        <v/>
      </c>
      <c r="AMQ48" s="82">
        <f>AMP48</f>
        <v/>
      </c>
      <c r="AMR48" s="82">
        <f>AMQ48</f>
        <v/>
      </c>
      <c r="AMS48" s="82">
        <f>AMR48</f>
        <v/>
      </c>
      <c r="AMT48" s="82">
        <f>AMS48</f>
        <v/>
      </c>
      <c r="AMU48" s="82">
        <f>AMT48</f>
        <v/>
      </c>
      <c r="AMV48" s="82">
        <f>AMU48</f>
        <v/>
      </c>
      <c r="AMW48" s="82">
        <f>AMV48</f>
        <v/>
      </c>
      <c r="AMX48" s="82">
        <f>AMW48</f>
        <v/>
      </c>
      <c r="AMY48" s="130" t="n"/>
      <c r="AMZ48" s="82">
        <f>AMX48</f>
        <v/>
      </c>
      <c r="ANA48" s="82">
        <f>AMZ48</f>
        <v/>
      </c>
      <c r="ANB48" s="82">
        <f>ANA48</f>
        <v/>
      </c>
      <c r="ANC48" s="82">
        <f>ANB48</f>
        <v/>
      </c>
      <c r="AND48" s="82">
        <f>ANC48</f>
        <v/>
      </c>
      <c r="ANE48" s="82">
        <f>AND48</f>
        <v/>
      </c>
      <c r="ANF48" s="82">
        <f>ANE48</f>
        <v/>
      </c>
      <c r="ANG48" s="82">
        <f>ANF48</f>
        <v/>
      </c>
      <c r="ANH48" s="82">
        <f>ANG48</f>
        <v/>
      </c>
      <c r="ANI48" s="82">
        <f>ANH48</f>
        <v/>
      </c>
      <c r="ANJ48" s="82">
        <f>ANI48</f>
        <v/>
      </c>
      <c r="ANK48" s="82">
        <f>ANJ48</f>
        <v/>
      </c>
      <c r="ANL48" s="82">
        <f>ANK48</f>
        <v/>
      </c>
      <c r="ANM48" s="82">
        <f>ANL48</f>
        <v/>
      </c>
      <c r="ANN48" s="82">
        <f>ANM48</f>
        <v/>
      </c>
      <c r="ANO48" s="82">
        <f>ANN48</f>
        <v/>
      </c>
      <c r="ANP48" s="82">
        <f>ANO48</f>
        <v/>
      </c>
      <c r="ANQ48" s="82">
        <f>ANP48</f>
        <v/>
      </c>
      <c r="ANR48" s="82">
        <f>ANQ48</f>
        <v/>
      </c>
      <c r="ANS48" s="82">
        <f>ANR48</f>
        <v/>
      </c>
      <c r="ANT48" s="82">
        <f>ANS48</f>
        <v/>
      </c>
      <c r="ANU48" s="82">
        <f>ANT48</f>
        <v/>
      </c>
      <c r="ANV48" s="82">
        <f>ANU48</f>
        <v/>
      </c>
      <c r="ANW48" s="82">
        <f>ANV48</f>
        <v/>
      </c>
      <c r="ANX48" s="82">
        <f>ANW48</f>
        <v/>
      </c>
      <c r="ANY48" s="82">
        <f>ANX48</f>
        <v/>
      </c>
      <c r="ANZ48" s="82">
        <f>ANY48</f>
        <v/>
      </c>
      <c r="AOA48" s="82">
        <f>ANZ48</f>
        <v/>
      </c>
      <c r="AOB48" s="82">
        <f>AOA48</f>
        <v/>
      </c>
      <c r="AOC48" s="82">
        <f>AOB48</f>
        <v/>
      </c>
    </row>
    <row r="49">
      <c r="B49" s="69" t="inlineStr">
        <is>
          <t>TOTAL CASH AT HAND</t>
        </is>
      </c>
      <c r="C49" s="53">
        <f>C48+C47+C46</f>
        <v/>
      </c>
      <c r="D49" s="53">
        <f>D48+D47+D46</f>
        <v/>
      </c>
      <c r="E49" s="53">
        <f>E48+E47+E46</f>
        <v/>
      </c>
      <c r="F49" s="53">
        <f>F48+F47+F46</f>
        <v/>
      </c>
      <c r="G49" s="53">
        <f>G48+G47+G46</f>
        <v/>
      </c>
      <c r="H49" s="53">
        <f>H48+H47+H46</f>
        <v/>
      </c>
      <c r="I49" s="53">
        <f>I48+I47+I46</f>
        <v/>
      </c>
      <c r="J49" s="53">
        <f>J48+J47+J46</f>
        <v/>
      </c>
      <c r="K49" s="53">
        <f>K48+K47+K46</f>
        <v/>
      </c>
      <c r="L49" s="53">
        <f>L48+L47+L46</f>
        <v/>
      </c>
      <c r="M49" s="53">
        <f>M48+M47+M46</f>
        <v/>
      </c>
      <c r="N49" s="53">
        <f>N48+N47+N46</f>
        <v/>
      </c>
      <c r="O49" s="53">
        <f>O48+O47+O46</f>
        <v/>
      </c>
      <c r="P49" s="53">
        <f>P48+P47+P46</f>
        <v/>
      </c>
      <c r="Q49" s="53">
        <f>Q48+Q47+Q46</f>
        <v/>
      </c>
      <c r="R49" s="53">
        <f>R48+R47+R46</f>
        <v/>
      </c>
      <c r="S49" s="53">
        <f>S48+S47+S46</f>
        <v/>
      </c>
      <c r="T49" s="53">
        <f>T48+T47+T46</f>
        <v/>
      </c>
      <c r="U49" s="53">
        <f>U48+U47+U46</f>
        <v/>
      </c>
      <c r="V49" s="53">
        <f>V48+V47+V46</f>
        <v/>
      </c>
      <c r="W49" s="53">
        <f>W48+W47+W46</f>
        <v/>
      </c>
      <c r="X49" s="53">
        <f>X48+X47+X46</f>
        <v/>
      </c>
      <c r="Y49" s="53">
        <f>Y48+Y47+Y46</f>
        <v/>
      </c>
      <c r="Z49" s="53">
        <f>Z48+Z47+Z46</f>
        <v/>
      </c>
      <c r="AA49" s="53">
        <f>AA48+AA47+AA46</f>
        <v/>
      </c>
      <c r="AB49" s="53">
        <f>AB48+AB47+AB46</f>
        <v/>
      </c>
      <c r="AC49" s="53">
        <f>AC48+AC47+AC46</f>
        <v/>
      </c>
      <c r="AD49" s="53">
        <f>AD48+AD47+AD46</f>
        <v/>
      </c>
      <c r="AE49" s="53">
        <f>AE48+AE47+AE46</f>
        <v/>
      </c>
      <c r="AF49" s="53">
        <f>AF48+AF47+AF46</f>
        <v/>
      </c>
      <c r="AG49" s="53">
        <f>AG48+AG47+AG46</f>
        <v/>
      </c>
      <c r="AH49" s="67">
        <f>AH48+AH47+AH46</f>
        <v/>
      </c>
      <c r="AI49" s="53">
        <f>AI48+AI47+AI46</f>
        <v/>
      </c>
      <c r="AJ49" s="53">
        <f>AJ48+AJ47+AJ46</f>
        <v/>
      </c>
      <c r="AK49" s="53">
        <f>AK48+AK47+AK46</f>
        <v/>
      </c>
      <c r="AL49" s="53">
        <f>AL48+AL47+AL46</f>
        <v/>
      </c>
      <c r="AM49" s="53">
        <f>AM48+AM47+AM46</f>
        <v/>
      </c>
      <c r="AN49" s="53">
        <f>AN48+AN47+AN46</f>
        <v/>
      </c>
      <c r="AO49" s="53">
        <f>AO48+AO47+AO46</f>
        <v/>
      </c>
      <c r="AP49" s="53">
        <f>AP48+AP47+AP46</f>
        <v/>
      </c>
      <c r="AQ49" s="53">
        <f>AQ48+AQ47+AQ46</f>
        <v/>
      </c>
      <c r="AR49" s="53">
        <f>AR48+AR47+AR46</f>
        <v/>
      </c>
      <c r="AS49" s="53">
        <f>AS48+AS47+AS46</f>
        <v/>
      </c>
      <c r="AT49" s="53">
        <f>AT48+AT47+AT46</f>
        <v/>
      </c>
      <c r="AU49" s="53">
        <f>AU48+AU47+AU46</f>
        <v/>
      </c>
      <c r="AV49" s="53">
        <f>AV48+AV47+AV46</f>
        <v/>
      </c>
      <c r="AW49" s="53">
        <f>AW48+AW47+AW46</f>
        <v/>
      </c>
      <c r="AX49" s="53">
        <f>AX48+AX47+AX46</f>
        <v/>
      </c>
      <c r="AY49" s="53">
        <f>AY48+AY47+AY46</f>
        <v/>
      </c>
      <c r="AZ49" s="53">
        <f>AZ48+AZ47+AZ46</f>
        <v/>
      </c>
      <c r="BA49" s="53">
        <f>BA48+BA47+BA46</f>
        <v/>
      </c>
      <c r="BB49" s="53">
        <f>BB48+BB47+BB46</f>
        <v/>
      </c>
      <c r="BC49" s="53">
        <f>BC48+BC47+BC46</f>
        <v/>
      </c>
      <c r="BD49" s="53">
        <f>BD48+BD47+BD46</f>
        <v/>
      </c>
      <c r="BE49" s="53">
        <f>BE48+BE47+BE46</f>
        <v/>
      </c>
      <c r="BF49" s="53">
        <f>BF48+BF47+BF46</f>
        <v/>
      </c>
      <c r="BG49" s="53">
        <f>BG48+BG47+BG46</f>
        <v/>
      </c>
      <c r="BH49" s="53">
        <f>BH48+BH47+BH46</f>
        <v/>
      </c>
      <c r="BI49" s="53">
        <f>BI48+BI47+BI46</f>
        <v/>
      </c>
      <c r="BJ49" s="53">
        <f>BJ48+BJ47+BJ46</f>
        <v/>
      </c>
      <c r="BK49" s="53">
        <f>BK48+BK47+BK46</f>
        <v/>
      </c>
      <c r="BL49" s="53">
        <f>BL48+BL47+BL46</f>
        <v/>
      </c>
      <c r="BM49" s="53">
        <f>BM48+BM47+BM46</f>
        <v/>
      </c>
      <c r="BN49" s="53">
        <f>BN48+BN47+BN46</f>
        <v/>
      </c>
      <c r="BO49" s="53">
        <f>BO48+BO47+BO46</f>
        <v/>
      </c>
      <c r="BP49" s="53">
        <f>BP48+BP47+BP46</f>
        <v/>
      </c>
      <c r="BQ49" s="53">
        <f>BQ48+BQ47+BQ46</f>
        <v/>
      </c>
      <c r="BR49" s="53">
        <f>BR48+BR47+BR46</f>
        <v/>
      </c>
      <c r="BS49" s="53">
        <f>BS48+BS47+BS46</f>
        <v/>
      </c>
      <c r="BT49" s="53">
        <f>BT48+BT47+BT46</f>
        <v/>
      </c>
      <c r="BU49" s="53">
        <f>BU48+BU47+BU46</f>
        <v/>
      </c>
      <c r="BV49" s="53">
        <f>BV48+BV47+BV46</f>
        <v/>
      </c>
      <c r="BW49" s="53">
        <f>BW48+BW47+BW46</f>
        <v/>
      </c>
      <c r="BX49" s="53">
        <f>BX48+BX47+BX46</f>
        <v/>
      </c>
      <c r="BY49" s="53">
        <f>BY48+BY47+BY46</f>
        <v/>
      </c>
      <c r="BZ49" s="53">
        <f>BZ48+BZ47+BZ46</f>
        <v/>
      </c>
      <c r="CA49" s="53">
        <f>CA48+CA47+CA46</f>
        <v/>
      </c>
      <c r="CB49" s="53">
        <f>CB48+CB47+CB46</f>
        <v/>
      </c>
      <c r="CC49" s="53">
        <f>CC48+CC47+CC46</f>
        <v/>
      </c>
      <c r="CD49" s="53">
        <f>CD48+CD47+CD46</f>
        <v/>
      </c>
      <c r="CE49" s="53">
        <f>CE48+CE47+CE46</f>
        <v/>
      </c>
      <c r="CF49" s="53">
        <f>CF48+CF47+CF46</f>
        <v/>
      </c>
      <c r="CG49" s="53">
        <f>CG48+CG47+CG46</f>
        <v/>
      </c>
      <c r="CH49" s="53">
        <f>CH48+CH47+CH46</f>
        <v/>
      </c>
      <c r="CI49" s="53">
        <f>CI48+CI47+CI46</f>
        <v/>
      </c>
      <c r="CJ49" s="53">
        <f>CJ48+CJ47+CJ46</f>
        <v/>
      </c>
      <c r="CK49" s="53">
        <f>CK48+CK47+CK46</f>
        <v/>
      </c>
      <c r="CL49" s="53">
        <f>CL48+CL47+CL46</f>
        <v/>
      </c>
      <c r="CM49" s="53">
        <f>CM48+CM47+CM46</f>
        <v/>
      </c>
      <c r="CN49" s="53">
        <f>CN48+CN47+CN46</f>
        <v/>
      </c>
      <c r="CO49" s="53">
        <f>CO48+CO47+CO46</f>
        <v/>
      </c>
      <c r="CP49" s="53">
        <f>CP48+CP47+CP46</f>
        <v/>
      </c>
      <c r="CQ49" s="53">
        <f>CQ48+CQ47+CQ46</f>
        <v/>
      </c>
      <c r="CR49" s="53">
        <f>CR48+CR47+CR46</f>
        <v/>
      </c>
      <c r="CS49" s="82">
        <f>SUM(BN49:CR49)</f>
        <v/>
      </c>
      <c r="CT49" s="53">
        <f>CT48+CT47+CT46</f>
        <v/>
      </c>
      <c r="CU49" s="53">
        <f>CU48+CU47+CU46</f>
        <v/>
      </c>
      <c r="CV49" s="53">
        <f>CV48+CV47+CV46</f>
        <v/>
      </c>
      <c r="CW49" s="53">
        <f>CW48+CW47+CW46</f>
        <v/>
      </c>
      <c r="CX49" s="53">
        <f>CX48+CX47+CX46</f>
        <v/>
      </c>
      <c r="CY49" s="53">
        <f>CY48+CY47+CY46</f>
        <v/>
      </c>
      <c r="CZ49" s="53">
        <f>CZ48+CZ47+CZ46</f>
        <v/>
      </c>
      <c r="DA49" s="53">
        <f>DA48+DA47+DA46</f>
        <v/>
      </c>
      <c r="DB49" s="53">
        <f>DB48+DB47+DB46</f>
        <v/>
      </c>
      <c r="DC49" s="53">
        <f>DC48+DC47+DC46</f>
        <v/>
      </c>
      <c r="DD49" s="53">
        <f>DD48+DD47+DD46</f>
        <v/>
      </c>
      <c r="DE49" s="53">
        <f>DE48+DE47+DE46</f>
        <v/>
      </c>
      <c r="DF49" s="53">
        <f>DF48+DF47+DF46</f>
        <v/>
      </c>
      <c r="DG49" s="53">
        <f>DG48+DG47+DG46</f>
        <v/>
      </c>
      <c r="DH49" s="53">
        <f>DH48+DH47+DH46</f>
        <v/>
      </c>
      <c r="DI49" s="53">
        <f>DI48+DI47+DI46</f>
        <v/>
      </c>
      <c r="DJ49" s="53">
        <f>DJ48+DJ47+DJ46</f>
        <v/>
      </c>
      <c r="DK49" s="53">
        <f>DK48+DK47+DK46</f>
        <v/>
      </c>
      <c r="DL49" s="53">
        <f>DL48+DL47+DL46</f>
        <v/>
      </c>
      <c r="DM49" s="53">
        <f>DM48+DM47+DM46</f>
        <v/>
      </c>
      <c r="DN49" s="53">
        <f>DN48+DN47+DN46</f>
        <v/>
      </c>
      <c r="DO49" s="53">
        <f>DO48+DO47+DO46</f>
        <v/>
      </c>
      <c r="DP49" s="53">
        <f>DP48+DP47+DP46</f>
        <v/>
      </c>
      <c r="DQ49" s="53">
        <f>DQ48+DQ47+DQ46</f>
        <v/>
      </c>
      <c r="DR49" s="53">
        <f>DR48+DR47+DR46</f>
        <v/>
      </c>
      <c r="DS49" s="53">
        <f>DS48+DS47+DS46</f>
        <v/>
      </c>
      <c r="DT49" s="53">
        <f>DT48+DT47+DT46</f>
        <v/>
      </c>
      <c r="DU49" s="53">
        <f>DU48+DU47+DU46</f>
        <v/>
      </c>
      <c r="DV49" s="53">
        <f>DV48+DV47+DV46</f>
        <v/>
      </c>
      <c r="DW49" s="53">
        <f>DW48+DW47+DW46</f>
        <v/>
      </c>
      <c r="DX49" s="53">
        <f>DW49</f>
        <v/>
      </c>
      <c r="DY49" s="53">
        <f>DY48+DY47+DY46</f>
        <v/>
      </c>
      <c r="DZ49" s="53">
        <f>DZ48+DZ47+DZ46</f>
        <v/>
      </c>
      <c r="EA49" s="53">
        <f>EA48+EA47+EA46</f>
        <v/>
      </c>
      <c r="EB49" s="53">
        <f>EB48+EB47+EB46</f>
        <v/>
      </c>
      <c r="EC49" s="53">
        <f>EC48+EC47+EC46</f>
        <v/>
      </c>
      <c r="ED49" s="53">
        <f>ED48+ED47+ED46</f>
        <v/>
      </c>
      <c r="EE49" s="53">
        <f>EE48+EE47+EE46</f>
        <v/>
      </c>
      <c r="EF49" s="53">
        <f>EF48+EF47+EF46</f>
        <v/>
      </c>
      <c r="EG49" s="53">
        <f>EG48+EG47+EG46</f>
        <v/>
      </c>
      <c r="EH49" s="53">
        <f>EH48+EH47+EH46</f>
        <v/>
      </c>
      <c r="EI49" s="53">
        <f>EI48+EI47+EI46</f>
        <v/>
      </c>
      <c r="EJ49" s="53">
        <f>EJ48+EJ47+EJ46</f>
        <v/>
      </c>
      <c r="EK49" s="53">
        <f>EK48+EK47+EK46</f>
        <v/>
      </c>
      <c r="EL49" s="53">
        <f>EL48+EL47+EL46</f>
        <v/>
      </c>
      <c r="EM49" s="53">
        <f>EM48+EM47+EM46</f>
        <v/>
      </c>
      <c r="EN49" s="53">
        <f>EN48+EN47+EN46</f>
        <v/>
      </c>
      <c r="EO49" s="53">
        <f>EO48+EO47+EO46</f>
        <v/>
      </c>
      <c r="EP49" s="53">
        <f>EP48+EP47+EP46</f>
        <v/>
      </c>
      <c r="EQ49" s="53">
        <f>EQ48+EQ47+EQ46</f>
        <v/>
      </c>
      <c r="ER49" s="53">
        <f>ER48+ER47+ER46</f>
        <v/>
      </c>
      <c r="ES49" s="53">
        <f>ES48+ES47+ES46</f>
        <v/>
      </c>
      <c r="ET49" s="53">
        <f>ET48+ET47+ET46</f>
        <v/>
      </c>
      <c r="EU49" s="53">
        <f>EU48+EU47+EU46</f>
        <v/>
      </c>
      <c r="EV49" s="53">
        <f>EV48+EV47+EV46</f>
        <v/>
      </c>
      <c r="EW49" s="53">
        <f>EW48+EW47+EW46</f>
        <v/>
      </c>
      <c r="EX49" s="53">
        <f>EX48+EX47+EX46</f>
        <v/>
      </c>
      <c r="EY49" s="53">
        <f>EY48+EY47+EY46</f>
        <v/>
      </c>
      <c r="EZ49" s="53">
        <f>EZ48+EZ47+EZ46</f>
        <v/>
      </c>
      <c r="FA49" s="53">
        <f>FA48+FA47+FA46</f>
        <v/>
      </c>
      <c r="FB49" s="53">
        <f>FB48+FB47+FB46</f>
        <v/>
      </c>
      <c r="FC49" s="53">
        <f>FC48+FC47+FC46</f>
        <v/>
      </c>
      <c r="FD49" s="126" t="n"/>
      <c r="FE49" s="53">
        <f>FE48+FE47+FE46</f>
        <v/>
      </c>
      <c r="FF49" s="53">
        <f>FF48+FF47+FF46</f>
        <v/>
      </c>
      <c r="FG49" s="53">
        <f>FG48+FG47+FG46</f>
        <v/>
      </c>
      <c r="FH49" s="53">
        <f>FH48+FH47+FH46</f>
        <v/>
      </c>
      <c r="FI49" s="53">
        <f>FI48+FI47+FI46</f>
        <v/>
      </c>
      <c r="FJ49" s="53">
        <f>FJ48+FJ47+FJ46</f>
        <v/>
      </c>
      <c r="FK49" s="53">
        <f>FK48+FK47+FK46</f>
        <v/>
      </c>
      <c r="FL49" s="53">
        <f>FL48+FL47+FL46</f>
        <v/>
      </c>
      <c r="FM49" s="53">
        <f>FM48+FM47+FM46</f>
        <v/>
      </c>
      <c r="FN49" s="53">
        <f>FN48+FN47+FN46</f>
        <v/>
      </c>
      <c r="FO49" s="53">
        <f>FO48+FO47+FO46</f>
        <v/>
      </c>
      <c r="FP49" s="53">
        <f>FP48+FP47+FP46</f>
        <v/>
      </c>
      <c r="FQ49" s="53">
        <f>FQ48+FQ47+FQ46</f>
        <v/>
      </c>
      <c r="FR49" s="53">
        <f>FR48+FR47+FR46</f>
        <v/>
      </c>
      <c r="FS49" s="53">
        <f>FS48+FS47+FS46</f>
        <v/>
      </c>
      <c r="FT49" s="53">
        <f>FT48+FT47+FT46</f>
        <v/>
      </c>
      <c r="FU49" s="53">
        <f>FU48+FU47+FU46</f>
        <v/>
      </c>
      <c r="FV49" s="53">
        <f>FV48+FV47+FV46</f>
        <v/>
      </c>
      <c r="FW49" s="53">
        <f>FW48+FW47+FW46</f>
        <v/>
      </c>
      <c r="FX49" s="53">
        <f>FX48+FX47+FX46</f>
        <v/>
      </c>
      <c r="FY49" s="53">
        <f>FY48+FY47+FY46</f>
        <v/>
      </c>
      <c r="FZ49" s="53">
        <f>FZ48+FZ47+FZ46</f>
        <v/>
      </c>
      <c r="GA49" s="53">
        <f>GA48+GA47+GA46</f>
        <v/>
      </c>
      <c r="GB49" s="53">
        <f>GB48+GB47+GB46</f>
        <v/>
      </c>
      <c r="GC49" s="53">
        <f>GC48+GC47+GC46</f>
        <v/>
      </c>
      <c r="GD49" s="53">
        <f>GD48+GD47+GD46</f>
        <v/>
      </c>
      <c r="GE49" s="53">
        <f>GE48+GE47+GE46</f>
        <v/>
      </c>
      <c r="GF49" s="53">
        <f>GF48+GF47+GF46</f>
        <v/>
      </c>
      <c r="GG49" s="53">
        <f>GG48+GG47+GG46</f>
        <v/>
      </c>
      <c r="GH49" s="53">
        <f>GH48+GH47+GH46</f>
        <v/>
      </c>
      <c r="GI49" s="53">
        <f>GI48+GI47+GI46</f>
        <v/>
      </c>
      <c r="GJ49" s="130" t="n"/>
      <c r="GK49" s="53">
        <f>GK48+GK47+GK46</f>
        <v/>
      </c>
      <c r="GL49" s="53">
        <f>GL48+GL47+GL46</f>
        <v/>
      </c>
      <c r="GM49" s="53">
        <f>GM48+GM47+GM46</f>
        <v/>
      </c>
      <c r="GN49" s="53">
        <f>GN48+GN47+GN46</f>
        <v/>
      </c>
      <c r="GO49" s="53">
        <f>GO48+GO47+GO46</f>
        <v/>
      </c>
      <c r="GP49" s="53">
        <f>GP48+GP47+GP46</f>
        <v/>
      </c>
      <c r="GQ49" s="53">
        <f>GQ48+GQ47+GQ46</f>
        <v/>
      </c>
      <c r="GR49" s="53">
        <f>GR48+GR47+GR46</f>
        <v/>
      </c>
      <c r="GS49" s="53">
        <f>GS48+GS47+GS46</f>
        <v/>
      </c>
      <c r="GT49" s="53">
        <f>GT48+GT47+GT46</f>
        <v/>
      </c>
      <c r="GU49" s="53">
        <f>GU48+GU47+GU46</f>
        <v/>
      </c>
      <c r="GV49" s="53">
        <f>GV48+GV47+GV46</f>
        <v/>
      </c>
      <c r="GW49" s="53">
        <f>GW48+GW47+GW46</f>
        <v/>
      </c>
      <c r="GX49" s="53">
        <f>GX48+GX47+GX46</f>
        <v/>
      </c>
      <c r="GY49" s="53">
        <f>GY48+GY47+GY46</f>
        <v/>
      </c>
      <c r="GZ49" s="53">
        <f>GZ48+GZ47+GZ46</f>
        <v/>
      </c>
      <c r="HA49" s="53">
        <f>HA48+HA47+HA46</f>
        <v/>
      </c>
      <c r="HB49" s="53">
        <f>HB48+HB47+HB46</f>
        <v/>
      </c>
      <c r="HC49" s="53">
        <f>HC48+HC47+HC46</f>
        <v/>
      </c>
      <c r="HD49" s="53">
        <f>HD48+HD47+HD46</f>
        <v/>
      </c>
      <c r="HE49" s="53">
        <f>HE48+HE47+HE46</f>
        <v/>
      </c>
      <c r="HF49" s="53">
        <f>HF48+HF47+HF46</f>
        <v/>
      </c>
      <c r="HG49" s="53">
        <f>HG48+HG47+HG46</f>
        <v/>
      </c>
      <c r="HH49" s="53">
        <f>HH48+HH47+HH46</f>
        <v/>
      </c>
      <c r="HI49" s="53">
        <f>HI48+HI47+HI46</f>
        <v/>
      </c>
      <c r="HJ49" s="53">
        <f>HJ48+HJ47+HJ46</f>
        <v/>
      </c>
      <c r="HK49" s="53">
        <f>HK48+HK47+HK46</f>
        <v/>
      </c>
      <c r="HL49" s="53">
        <f>HL48+HL47+HL46</f>
        <v/>
      </c>
      <c r="HM49" s="53">
        <f>HM48+HM47+HM46</f>
        <v/>
      </c>
      <c r="HN49" s="130" t="n"/>
      <c r="HO49" s="53">
        <f>HO48+HO47+HO46</f>
        <v/>
      </c>
      <c r="HP49" s="53">
        <f>HP48+HP47+HP46</f>
        <v/>
      </c>
      <c r="HQ49" s="53">
        <f>HQ48+HQ47+HQ46</f>
        <v/>
      </c>
      <c r="HR49" s="53">
        <f>HR48+HR47+HR46</f>
        <v/>
      </c>
      <c r="HS49" s="53">
        <f>HS48+HS47+HS46</f>
        <v/>
      </c>
      <c r="HT49" s="53">
        <f>HT48+HT47+HT46</f>
        <v/>
      </c>
      <c r="HU49" s="53">
        <f>HU48+HU47+HU46</f>
        <v/>
      </c>
      <c r="HV49" s="53">
        <f>HV48+HV47+HV46</f>
        <v/>
      </c>
      <c r="HW49" s="53">
        <f>HW48+HW47+HW46</f>
        <v/>
      </c>
      <c r="HX49" s="53">
        <f>HX48+HX47+HX46</f>
        <v/>
      </c>
      <c r="HY49" s="53">
        <f>HY48+HY47+HY46</f>
        <v/>
      </c>
      <c r="HZ49" s="53">
        <f>HZ48+HZ47+HZ46</f>
        <v/>
      </c>
      <c r="IA49" s="53">
        <f>IA48+IA47+IA46</f>
        <v/>
      </c>
      <c r="IB49" s="53">
        <f>IB48+IB47+IB46</f>
        <v/>
      </c>
      <c r="IC49" s="53">
        <f>IC48+IC47+IC46</f>
        <v/>
      </c>
      <c r="ID49" s="53">
        <f>ID48+ID47+ID46</f>
        <v/>
      </c>
      <c r="IE49" s="53">
        <f>IE48+IE47+IE46</f>
        <v/>
      </c>
      <c r="IF49" s="53">
        <f>IF48+IF47+IF46</f>
        <v/>
      </c>
      <c r="IG49" s="53">
        <f>IG48+IG47+IG46</f>
        <v/>
      </c>
      <c r="IH49" s="53">
        <f>IH48+IH47+IH46</f>
        <v/>
      </c>
      <c r="II49" s="53">
        <f>II48+II47+II46</f>
        <v/>
      </c>
      <c r="IJ49" s="53">
        <f>IJ48+IJ47+IJ46</f>
        <v/>
      </c>
      <c r="IK49" s="53">
        <f>IK48+IK47+IK46</f>
        <v/>
      </c>
      <c r="IL49" s="53">
        <f>IL48+IL47+IL46</f>
        <v/>
      </c>
      <c r="IM49" s="53">
        <f>IM48+IM47+IM46</f>
        <v/>
      </c>
      <c r="IN49" s="53">
        <f>IN48+IN47+IN46</f>
        <v/>
      </c>
      <c r="IO49" s="53">
        <f>IO48+IO47+IO46</f>
        <v/>
      </c>
      <c r="IP49" s="53">
        <f>IP48+IP47+IP46</f>
        <v/>
      </c>
      <c r="IQ49" s="53">
        <f>IQ48+IQ47+IQ46</f>
        <v/>
      </c>
      <c r="IR49" s="53">
        <f>IR48+IR47+IR46</f>
        <v/>
      </c>
      <c r="IS49" s="53">
        <f>IS48+IS47+IS46</f>
        <v/>
      </c>
      <c r="IT49" s="130" t="n"/>
      <c r="IU49" s="53">
        <f>IU48+IU47+IU46</f>
        <v/>
      </c>
      <c r="IV49" s="53">
        <f>IV48+IV47+IV46</f>
        <v/>
      </c>
      <c r="IW49" s="53">
        <f>IW48+IW47+IW46</f>
        <v/>
      </c>
      <c r="IX49" s="53">
        <f>IX48+IX47+IX46</f>
        <v/>
      </c>
      <c r="IY49" s="53">
        <f>IY48+IY47+IY46</f>
        <v/>
      </c>
      <c r="IZ49" s="53">
        <f>IZ48+IZ47+IZ46</f>
        <v/>
      </c>
      <c r="JA49" s="53">
        <f>JA48+JA47+JA46</f>
        <v/>
      </c>
      <c r="JB49" s="53">
        <f>JB48+JB47+JB46</f>
        <v/>
      </c>
      <c r="JC49" s="53">
        <f>JC48+JC47+JC46</f>
        <v/>
      </c>
      <c r="JD49" s="53">
        <f>JD48+JD47+JD46</f>
        <v/>
      </c>
      <c r="JE49" s="53">
        <f>JE48+JE47+JE46</f>
        <v/>
      </c>
      <c r="JF49" s="53">
        <f>JF48+JF47+JF46</f>
        <v/>
      </c>
      <c r="JG49" s="53">
        <f>JG48+JG47+JG46</f>
        <v/>
      </c>
      <c r="JH49" s="53">
        <f>JH48+JH47+JH46</f>
        <v/>
      </c>
      <c r="JI49" s="53">
        <f>JI48+JI47+JI46</f>
        <v/>
      </c>
      <c r="JJ49" s="53">
        <f>JJ48+JJ47+JJ46</f>
        <v/>
      </c>
      <c r="JK49" s="53">
        <f>JK48+JK47+JK46</f>
        <v/>
      </c>
      <c r="JL49" s="53">
        <f>JL48+JL47+JL46</f>
        <v/>
      </c>
      <c r="JM49" s="53">
        <f>JM48+JM47+JM46</f>
        <v/>
      </c>
      <c r="JN49" s="53">
        <f>JN48+JN47+JN46</f>
        <v/>
      </c>
      <c r="JO49" s="53">
        <f>JO48+JO47+JO46</f>
        <v/>
      </c>
      <c r="JP49" s="53">
        <f>JP48+JP47+JP46</f>
        <v/>
      </c>
      <c r="JQ49" s="53">
        <f>JQ48+JQ47+JQ46</f>
        <v/>
      </c>
      <c r="JR49" s="53">
        <f>JR48+JR47+JR46</f>
        <v/>
      </c>
      <c r="JS49" s="53">
        <f>JS48+JS47+JS46</f>
        <v/>
      </c>
      <c r="JT49" s="53">
        <f>JT48+JT47+JT46</f>
        <v/>
      </c>
      <c r="JU49" s="53">
        <f>JU48+JU47+JU46</f>
        <v/>
      </c>
      <c r="JV49" s="53">
        <f>JV48+JV47+JV46</f>
        <v/>
      </c>
      <c r="JW49" s="53">
        <f>JW48+JW47+JW46</f>
        <v/>
      </c>
      <c r="JX49" s="53">
        <f>JX48+JX47+JX46</f>
        <v/>
      </c>
      <c r="JY49" s="140" t="n"/>
      <c r="JZ49" s="53">
        <f>JZ48+JZ47+JZ46</f>
        <v/>
      </c>
      <c r="KA49" s="53">
        <f>KA48+KA47+KA46</f>
        <v/>
      </c>
      <c r="KB49" s="53">
        <f>KB48+KB47+KB46</f>
        <v/>
      </c>
      <c r="KC49" s="53">
        <f>KC48+KC47+KC46</f>
        <v/>
      </c>
      <c r="KD49" s="53">
        <f>KD48+KD47+KD46</f>
        <v/>
      </c>
      <c r="KE49" s="53">
        <f>KE48+KE47+KE46</f>
        <v/>
      </c>
      <c r="KF49" s="53">
        <f>KF48+KF47+KF46</f>
        <v/>
      </c>
      <c r="KG49" s="53">
        <f>KG48+KG47+KG46</f>
        <v/>
      </c>
      <c r="KH49" s="53">
        <f>KH48+KH47+KH46</f>
        <v/>
      </c>
      <c r="KI49" s="53">
        <f>KI48+KI47+KI46</f>
        <v/>
      </c>
      <c r="KJ49" s="53">
        <f>KJ48+KJ47+KJ46</f>
        <v/>
      </c>
      <c r="KK49" s="53">
        <f>KK48+KK47+KK46</f>
        <v/>
      </c>
      <c r="KL49" s="53">
        <f>KL48+KL47+KL46</f>
        <v/>
      </c>
      <c r="KM49" s="53">
        <f>KM48+KM47+KM46</f>
        <v/>
      </c>
      <c r="KN49" s="53">
        <f>KN48+KN47+KN46</f>
        <v/>
      </c>
      <c r="KO49" s="53">
        <f>KO48+KO47+KO46</f>
        <v/>
      </c>
      <c r="KP49" s="53">
        <f>KP48+KP47+KP46</f>
        <v/>
      </c>
      <c r="KQ49" s="53">
        <f>KQ48+KQ47+KQ46</f>
        <v/>
      </c>
      <c r="KR49" s="53">
        <f>KR48+KR47+KR46</f>
        <v/>
      </c>
      <c r="KS49" s="53">
        <f>KS48+KS47+KS46</f>
        <v/>
      </c>
      <c r="KT49" s="53">
        <f>KT48+KT47+KT46</f>
        <v/>
      </c>
      <c r="KU49" s="53">
        <f>KU48+KU47+KU46</f>
        <v/>
      </c>
      <c r="KV49" s="53">
        <f>KV48+KV47+KV46</f>
        <v/>
      </c>
      <c r="KW49" s="53">
        <f>KW48+KW47+KW46</f>
        <v/>
      </c>
      <c r="KX49" s="53">
        <f>KX48+KX47+KX46</f>
        <v/>
      </c>
      <c r="KY49" s="53">
        <f>KY48+KY47+KY46</f>
        <v/>
      </c>
      <c r="KZ49" s="53">
        <f>KZ48+KZ47+KZ46</f>
        <v/>
      </c>
      <c r="LA49" s="53">
        <f>LA48+LA47+LA46</f>
        <v/>
      </c>
      <c r="LB49" s="53">
        <f>LB48+LB47+LB46</f>
        <v/>
      </c>
      <c r="LC49" s="53">
        <f>LC48+LC47+LC46</f>
        <v/>
      </c>
      <c r="LD49" s="53">
        <f>LD48+LD47+LD46</f>
        <v/>
      </c>
      <c r="LE49" s="130" t="n"/>
      <c r="LF49" s="53">
        <f>LF48+LF47+LF46</f>
        <v/>
      </c>
      <c r="LG49" s="53">
        <f>LG48+LG47+LG46</f>
        <v/>
      </c>
      <c r="LH49" s="53">
        <f>LH48+LH47+LH46</f>
        <v/>
      </c>
      <c r="LI49" s="53">
        <f>LI48+LI47+LI46</f>
        <v/>
      </c>
      <c r="LJ49" s="53">
        <f>LJ48+LJ47+LJ46</f>
        <v/>
      </c>
      <c r="LK49" s="53">
        <f>LK48+LK47+LK46</f>
        <v/>
      </c>
      <c r="LL49" s="53">
        <f>LL48+LL47+LL46</f>
        <v/>
      </c>
      <c r="LM49" s="53">
        <f>LM48+LM47+LM46</f>
        <v/>
      </c>
      <c r="LN49" s="53">
        <f>LN48+LN47+LN46</f>
        <v/>
      </c>
      <c r="LO49" s="53">
        <f>LO48+LO47+LO46</f>
        <v/>
      </c>
      <c r="LP49" s="53">
        <f>LP48+LP47+LP46</f>
        <v/>
      </c>
      <c r="LQ49" s="53">
        <f>LQ48+LQ47+LQ46</f>
        <v/>
      </c>
      <c r="LR49" s="53">
        <f>LR48+LR47+LR46</f>
        <v/>
      </c>
      <c r="LS49" s="53">
        <f>LS48+LS47+LS46</f>
        <v/>
      </c>
      <c r="LT49" s="53">
        <f>LT48+LT47+LT46</f>
        <v/>
      </c>
      <c r="LU49" s="53">
        <f>LU48+LU47+LU46</f>
        <v/>
      </c>
      <c r="LV49" s="53">
        <f>LV48+LV47+LV46</f>
        <v/>
      </c>
      <c r="LW49" s="53">
        <f>LW48+LW47+LW46</f>
        <v/>
      </c>
      <c r="LX49" s="53">
        <f>LX48+LX47+LX46</f>
        <v/>
      </c>
      <c r="LY49" s="53">
        <f>LY48+LY47+LY46</f>
        <v/>
      </c>
      <c r="LZ49" s="53">
        <f>LZ48+LZ47+LZ46</f>
        <v/>
      </c>
      <c r="MA49" s="53">
        <f>MA48+MA47+MA46</f>
        <v/>
      </c>
      <c r="MB49" s="53">
        <f>MB48+MB47+MB46</f>
        <v/>
      </c>
      <c r="MC49" s="53">
        <f>MC48+MC47+MC46</f>
        <v/>
      </c>
      <c r="MD49" s="53">
        <f>MD48+MD47+MD46</f>
        <v/>
      </c>
      <c r="ME49" s="53">
        <f>ME48+ME47+ME46</f>
        <v/>
      </c>
      <c r="MF49" s="53">
        <f>MF48+MF47+MF46</f>
        <v/>
      </c>
      <c r="MG49" s="53">
        <f>MG48+MG47+MG46</f>
        <v/>
      </c>
      <c r="MH49" s="53">
        <f>MH48+MH47+MH46</f>
        <v/>
      </c>
      <c r="MI49" s="53">
        <f>MI48+MI47+MI46</f>
        <v/>
      </c>
      <c r="MJ49" s="140" t="n"/>
      <c r="MK49" s="53">
        <f>MK48+MK47+MK46</f>
        <v/>
      </c>
      <c r="ML49" s="53">
        <f>ML48+ML47+ML46</f>
        <v/>
      </c>
      <c r="MM49" s="53">
        <f>MM48+MM47+MM46</f>
        <v/>
      </c>
      <c r="MN49" s="53">
        <f>MN48+MN47+MN46</f>
        <v/>
      </c>
      <c r="MO49" s="53">
        <f>MO48+MO47+MO46</f>
        <v/>
      </c>
      <c r="MP49" s="53">
        <f>MP48+MP47+MP46</f>
        <v/>
      </c>
      <c r="MQ49" s="53">
        <f>MQ48+MQ47+MQ46</f>
        <v/>
      </c>
      <c r="MR49" s="53">
        <f>MR48+MR47+MR46</f>
        <v/>
      </c>
      <c r="MS49" s="53">
        <f>MS48+MS47+MS46</f>
        <v/>
      </c>
      <c r="MT49" s="53">
        <f>MT48+MT47+MT46</f>
        <v/>
      </c>
      <c r="MU49" s="53">
        <f>MU48+MU47+MU46</f>
        <v/>
      </c>
      <c r="MV49" s="53">
        <f>MV48+MV47+MV46</f>
        <v/>
      </c>
      <c r="MW49" s="53">
        <f>MW48+MW47+MW46</f>
        <v/>
      </c>
      <c r="MX49" s="53">
        <f>MX48+MX47+MX46</f>
        <v/>
      </c>
      <c r="MY49" s="53">
        <f>MY48+MY47+MY46</f>
        <v/>
      </c>
      <c r="MZ49" s="53">
        <f>MZ48+MZ47+MZ46</f>
        <v/>
      </c>
      <c r="NA49" s="53">
        <f>NA48+NA47+NA46</f>
        <v/>
      </c>
      <c r="NB49" s="53">
        <f>NB48+NB47+NB46</f>
        <v/>
      </c>
      <c r="NC49" s="53">
        <f>NC48+NC47+NC46</f>
        <v/>
      </c>
      <c r="ND49" s="53">
        <f>ND48+ND47+ND46</f>
        <v/>
      </c>
      <c r="NE49" s="53">
        <f>NE48+NE47+NE46</f>
        <v/>
      </c>
      <c r="NF49" s="53">
        <f>NF48+NF47+NF46</f>
        <v/>
      </c>
      <c r="NG49" s="53">
        <f>NG48+NG47+NG46</f>
        <v/>
      </c>
      <c r="NH49" s="53">
        <f>NH48+NH47+NH46</f>
        <v/>
      </c>
      <c r="NI49" s="53">
        <f>NI48+NI47+NI46</f>
        <v/>
      </c>
      <c r="NJ49" s="53">
        <f>NJ48+NJ47+NJ46</f>
        <v/>
      </c>
      <c r="NK49" s="53">
        <f>NK48+NK47+NK46</f>
        <v/>
      </c>
      <c r="NL49" s="53">
        <f>NL48+NL47+NL46</f>
        <v/>
      </c>
      <c r="NM49" s="53">
        <f>NM48+NM47+NM46</f>
        <v/>
      </c>
      <c r="NN49" s="53">
        <f>NN48+NN47+NN46</f>
        <v/>
      </c>
      <c r="NO49" s="53">
        <f>NO48+NO47+NO46</f>
        <v/>
      </c>
      <c r="NP49" s="140" t="n"/>
      <c r="NQ49" s="53">
        <f>NQ48+NQ47+NQ46</f>
        <v/>
      </c>
      <c r="NR49" s="53">
        <f>NR48+NR47+NR46</f>
        <v/>
      </c>
      <c r="NS49" s="53">
        <f>NS48+NS47+NS46</f>
        <v/>
      </c>
      <c r="NT49" s="53">
        <f>NT48+NT47+NT46</f>
        <v/>
      </c>
      <c r="NU49" s="53">
        <f>NU48+NU47+NU46</f>
        <v/>
      </c>
      <c r="NV49" s="53">
        <f>NV48+NV47+NV46</f>
        <v/>
      </c>
      <c r="NW49" s="53">
        <f>NW48+NW47+NW46</f>
        <v/>
      </c>
      <c r="NX49" s="53">
        <f>NX48+NX47+NX46</f>
        <v/>
      </c>
      <c r="NY49" s="53">
        <f>NY48+NY47+NY46</f>
        <v/>
      </c>
      <c r="NZ49" s="53">
        <f>NZ48+NZ47+NZ46</f>
        <v/>
      </c>
      <c r="OA49" s="53">
        <f>OA48+OA47+OA46</f>
        <v/>
      </c>
      <c r="OB49" s="53">
        <f>OB48+OB47+OB46</f>
        <v/>
      </c>
      <c r="OC49" s="53">
        <f>OC48+OC47+OC46</f>
        <v/>
      </c>
      <c r="OD49" s="53">
        <f>OD48+OD47+OD46</f>
        <v/>
      </c>
      <c r="OE49" s="53">
        <f>OE48+OE47+OE46</f>
        <v/>
      </c>
      <c r="OF49" s="53">
        <f>OF48+OF47+OF46</f>
        <v/>
      </c>
      <c r="OG49" s="53">
        <f>OG48+OG47+OG46</f>
        <v/>
      </c>
      <c r="OH49" s="53">
        <f>OH48+OH47+OH46</f>
        <v/>
      </c>
      <c r="OI49" s="53">
        <f>OI48+OI47+OI46</f>
        <v/>
      </c>
      <c r="OJ49" s="53">
        <f>OJ48+OJ47+OJ46</f>
        <v/>
      </c>
      <c r="OK49" s="53">
        <f>OK48+OK47+OK46</f>
        <v/>
      </c>
      <c r="OL49" s="53">
        <f>OL48+OL47+OL46</f>
        <v/>
      </c>
      <c r="OM49" s="53">
        <f>OM48+OM47+OM46</f>
        <v/>
      </c>
      <c r="ON49" s="53">
        <f>ON48+ON47+ON46</f>
        <v/>
      </c>
      <c r="OO49" s="53">
        <f>OO48+OO47+OO46</f>
        <v/>
      </c>
      <c r="OP49" s="53">
        <f>OP48+OP47+OP46</f>
        <v/>
      </c>
      <c r="OQ49" s="53">
        <f>OQ48+OQ47+OQ46</f>
        <v/>
      </c>
      <c r="OR49" s="53">
        <f>OR48+OR47+OR46</f>
        <v/>
      </c>
      <c r="OS49" s="53">
        <f>OS48+OS47+OS46</f>
        <v/>
      </c>
      <c r="OT49" s="53">
        <f>OT48+OT47+OT46</f>
        <v/>
      </c>
      <c r="OU49" s="53">
        <f>OU48+OU47+OU46</f>
        <v/>
      </c>
      <c r="OV49" s="130" t="n"/>
      <c r="OW49" s="53">
        <f>OW48+OW47+OW46</f>
        <v/>
      </c>
      <c r="OX49" s="53">
        <f>OX48+OX47+OX46</f>
        <v/>
      </c>
      <c r="OY49" s="53">
        <f>OY48+OY47+OY46</f>
        <v/>
      </c>
      <c r="OZ49" s="53">
        <f>OZ48+OZ47+OZ46</f>
        <v/>
      </c>
      <c r="PA49" s="53">
        <f>PA48+PA47+PA46</f>
        <v/>
      </c>
      <c r="PB49" s="53">
        <f>PB48+PB47+PB46</f>
        <v/>
      </c>
      <c r="PC49" s="53">
        <f>PC48+PC47+PC46</f>
        <v/>
      </c>
      <c r="PD49" s="53">
        <f>PD48+PD47+PD46</f>
        <v/>
      </c>
      <c r="PE49" s="53">
        <f>PE48+PE47+PE46</f>
        <v/>
      </c>
      <c r="PF49" s="53">
        <f>PF48+PF47+PF46</f>
        <v/>
      </c>
      <c r="PG49" s="53">
        <f>PG48+PG47+PG46</f>
        <v/>
      </c>
      <c r="PH49" s="53">
        <f>PH48+PH47+PH46</f>
        <v/>
      </c>
      <c r="PI49" s="53">
        <f>PI48+PI47+PI46</f>
        <v/>
      </c>
      <c r="PJ49" s="53">
        <f>PJ48+PJ47+PJ46</f>
        <v/>
      </c>
      <c r="PK49" s="53">
        <f>PK48+PK47+PK46</f>
        <v/>
      </c>
      <c r="PL49" s="53">
        <f>PL48+PL47+PL46</f>
        <v/>
      </c>
      <c r="PM49" s="53">
        <f>PM48+PM47+PM46</f>
        <v/>
      </c>
      <c r="PN49" s="53">
        <f>PN48+PN47+PN46</f>
        <v/>
      </c>
      <c r="PO49" s="53">
        <f>PO48+PO47+PO46</f>
        <v/>
      </c>
      <c r="PP49" s="53">
        <f>PP48+PP47+PP46</f>
        <v/>
      </c>
      <c r="PQ49" s="53">
        <f>PQ48+PQ47+PQ46</f>
        <v/>
      </c>
      <c r="PR49" s="53">
        <f>PR48+PR47+PR46</f>
        <v/>
      </c>
      <c r="PS49" s="53">
        <f>PS48+PS47+PS46</f>
        <v/>
      </c>
      <c r="PT49" s="53">
        <f>PT48+PT47+PT46</f>
        <v/>
      </c>
      <c r="PU49" s="53">
        <f>PU48+PU47+PU46</f>
        <v/>
      </c>
      <c r="PV49" s="53">
        <f>PV48+PV47+PV46</f>
        <v/>
      </c>
      <c r="PW49" s="53">
        <f>PW48+PW47+PW46</f>
        <v/>
      </c>
      <c r="PX49" s="53">
        <f>PX48+PX47+PX46</f>
        <v/>
      </c>
      <c r="PY49" s="53">
        <f>PY48+PY47+PY46</f>
        <v/>
      </c>
      <c r="PZ49" s="53">
        <f>PZ48+PZ47+PZ46</f>
        <v/>
      </c>
      <c r="QA49" s="130" t="n"/>
      <c r="QB49" s="53">
        <f>QB48+QB47+QB46</f>
        <v/>
      </c>
      <c r="QC49" s="53">
        <f>QC48+QC47+QC46</f>
        <v/>
      </c>
      <c r="QD49" s="53">
        <f>QD48+QD47+QD46</f>
        <v/>
      </c>
      <c r="QE49" s="53">
        <f>QE48+QE47+QE46</f>
        <v/>
      </c>
      <c r="QF49" s="53">
        <f>QF48+QF47+QF46</f>
        <v/>
      </c>
      <c r="QG49" s="53">
        <f>QG48+QG47+QG46</f>
        <v/>
      </c>
      <c r="QH49" s="53">
        <f>QH48+QH47+QH46</f>
        <v/>
      </c>
      <c r="QI49" s="53">
        <f>QI48+QI47+QI46</f>
        <v/>
      </c>
      <c r="QJ49" s="53">
        <f>QJ48+QJ47+QJ46</f>
        <v/>
      </c>
      <c r="QK49" s="53">
        <f>QK48+QK47+QK46</f>
        <v/>
      </c>
      <c r="QL49" s="53">
        <f>QL48+QL47+QL46</f>
        <v/>
      </c>
      <c r="QM49" s="53">
        <f>QM48+QM47+QM46</f>
        <v/>
      </c>
      <c r="QN49" s="53">
        <f>QN48+QN47+QN46</f>
        <v/>
      </c>
      <c r="QO49" s="53">
        <f>QO48+QO47+QO46</f>
        <v/>
      </c>
      <c r="QP49" s="53">
        <f>QP48+QP47+QP46</f>
        <v/>
      </c>
      <c r="QQ49" s="53">
        <f>QQ48+QQ47+QQ46</f>
        <v/>
      </c>
      <c r="QR49" s="53">
        <f>QR48+QR47+QR46</f>
        <v/>
      </c>
      <c r="QS49" s="53">
        <f>QS48+QS47+QS46</f>
        <v/>
      </c>
      <c r="QT49" s="53">
        <f>QT48+QT47+QT46</f>
        <v/>
      </c>
      <c r="QU49" s="53">
        <f>QU48+QU47+QU46</f>
        <v/>
      </c>
      <c r="QV49" s="53">
        <f>QV48+QV47+QV46</f>
        <v/>
      </c>
      <c r="QW49" s="53">
        <f>QW48+QW47+QW46</f>
        <v/>
      </c>
      <c r="QX49" s="53">
        <f>QX48+QX47+QX46</f>
        <v/>
      </c>
      <c r="QY49" s="53">
        <f>QY48+QY47+QY46</f>
        <v/>
      </c>
      <c r="QZ49" s="53">
        <f>QZ48+QZ47+QZ46</f>
        <v/>
      </c>
      <c r="RA49" s="53">
        <f>RA48+RA47+RA46</f>
        <v/>
      </c>
      <c r="RB49" s="53">
        <f>RB48+RB47+RB46</f>
        <v/>
      </c>
      <c r="RC49" s="53">
        <f>RC48+RC47+RC46</f>
        <v/>
      </c>
      <c r="RD49" s="53">
        <f>RD48+RD47+RD46</f>
        <v/>
      </c>
      <c r="RE49" s="53">
        <f>RE48+RE47+RE46</f>
        <v/>
      </c>
      <c r="RF49" s="53">
        <f>RF48+RF47+RF46</f>
        <v/>
      </c>
      <c r="RG49" s="130" t="n"/>
      <c r="RH49" s="53">
        <f>RH48+RH47+RH46</f>
        <v/>
      </c>
      <c r="RI49" s="53">
        <f>RI48+RI47+RI46</f>
        <v/>
      </c>
      <c r="RJ49" s="53">
        <f>RJ48+RJ47+RJ46</f>
        <v/>
      </c>
      <c r="RK49" s="53">
        <f>RK48+RK47+RK46</f>
        <v/>
      </c>
      <c r="RL49" s="53">
        <f>RL48+RL47+RL46</f>
        <v/>
      </c>
      <c r="RM49" s="53">
        <f>RM48+RM47+RM46</f>
        <v/>
      </c>
      <c r="RN49" s="53">
        <f>RN48+RN47+RN46</f>
        <v/>
      </c>
      <c r="RO49" s="53">
        <f>RO48+RO47+RO46</f>
        <v/>
      </c>
      <c r="RP49" s="53">
        <f>RP48+RP47+RP46</f>
        <v/>
      </c>
      <c r="RQ49" s="53">
        <f>RQ48+RQ47+RQ46</f>
        <v/>
      </c>
      <c r="RR49" s="53">
        <f>RR48+RR47+RR46</f>
        <v/>
      </c>
      <c r="RS49" s="53">
        <f>RS48+RS47+RS46</f>
        <v/>
      </c>
      <c r="RT49" s="53">
        <f>RT48+RT47+RT46</f>
        <v/>
      </c>
      <c r="RU49" s="53">
        <f>RU48+RU47+RU46</f>
        <v/>
      </c>
      <c r="RV49" s="53">
        <f>RV48+RV47+RV46</f>
        <v/>
      </c>
      <c r="RW49" s="53">
        <f>RW48+RW47+RW46</f>
        <v/>
      </c>
      <c r="RX49" s="53">
        <f>RX48+RX47+RX46</f>
        <v/>
      </c>
      <c r="RY49" s="53">
        <f>RY48+RY47+RY46</f>
        <v/>
      </c>
      <c r="RZ49" s="53">
        <f>RZ48+RZ47+RZ46</f>
        <v/>
      </c>
      <c r="SA49" s="53">
        <f>SA48+SA47+SA46</f>
        <v/>
      </c>
      <c r="SB49" s="53">
        <f>SB48+SB47+SB46</f>
        <v/>
      </c>
      <c r="SC49" s="53">
        <f>SC48+SC47+SC46</f>
        <v/>
      </c>
      <c r="SD49" s="53">
        <f>SD48+SD47+SD46</f>
        <v/>
      </c>
      <c r="SE49" s="53">
        <f>SE48+SE47+SE46</f>
        <v/>
      </c>
      <c r="SF49" s="53">
        <f>SF48+SF47+SF46</f>
        <v/>
      </c>
      <c r="SG49" s="53">
        <f>SG48+SG47+SG46</f>
        <v/>
      </c>
      <c r="SH49" s="53">
        <f>SH48+SH47+SH46</f>
        <v/>
      </c>
      <c r="SI49" s="53">
        <f>SI48+SI47+SI46</f>
        <v/>
      </c>
      <c r="SJ49" s="53">
        <f>SJ48+SJ47+SJ46</f>
        <v/>
      </c>
      <c r="SK49" s="53">
        <f>SK48+SK47+SK46</f>
        <v/>
      </c>
      <c r="SL49" s="130" t="n"/>
      <c r="SM49" s="53">
        <f>SM48+SM47+SM46</f>
        <v/>
      </c>
      <c r="SN49" s="53">
        <f>SN48+SN47+SN46</f>
        <v/>
      </c>
      <c r="SO49" s="53">
        <f>SO48+SO47+SO46</f>
        <v/>
      </c>
      <c r="SP49" s="53">
        <f>SP48+SP47+SP46</f>
        <v/>
      </c>
      <c r="SQ49" s="53">
        <f>SQ48+SQ47+SQ46</f>
        <v/>
      </c>
      <c r="SR49" s="53">
        <f>SR48+SR47+SR46</f>
        <v/>
      </c>
      <c r="SS49" s="53">
        <f>SS48+SS47+SS46</f>
        <v/>
      </c>
      <c r="ST49" s="53">
        <f>ST48+ST47+ST46</f>
        <v/>
      </c>
      <c r="SU49" s="53">
        <f>SU48+SU47+SU46</f>
        <v/>
      </c>
      <c r="SV49" s="53">
        <f>SV48+SV47+SV46</f>
        <v/>
      </c>
      <c r="SW49" s="53">
        <f>SW48+SW47+SW46</f>
        <v/>
      </c>
      <c r="SX49" s="53">
        <f>SX48+SX47+SX46</f>
        <v/>
      </c>
      <c r="SY49" s="53">
        <f>SY48+SY47+SY46</f>
        <v/>
      </c>
      <c r="SZ49" s="53">
        <f>SZ48+SZ47+SZ46</f>
        <v/>
      </c>
      <c r="TA49" s="53">
        <f>TA48+TA47+TA46</f>
        <v/>
      </c>
      <c r="TB49" s="53">
        <f>TB48+TB47+TB46</f>
        <v/>
      </c>
      <c r="TC49" s="53">
        <f>TC48+TC47+TC46</f>
        <v/>
      </c>
      <c r="TD49" s="53">
        <f>TD48+TD47+TD46</f>
        <v/>
      </c>
      <c r="TE49" s="53">
        <f>TE48+TE47+TE46</f>
        <v/>
      </c>
      <c r="TF49" s="53">
        <f>TF48+TF47+TF46</f>
        <v/>
      </c>
      <c r="TG49" s="53">
        <f>TG48+TG47+TG46</f>
        <v/>
      </c>
      <c r="TH49" s="53">
        <f>TH48+TH47+TH46</f>
        <v/>
      </c>
      <c r="TI49" s="53">
        <f>TI48+TI47+TI46</f>
        <v/>
      </c>
      <c r="TJ49" s="53">
        <f>TJ48+TJ47+TJ46</f>
        <v/>
      </c>
      <c r="TK49" s="53">
        <f>TK48+TK47+TK46</f>
        <v/>
      </c>
      <c r="TL49" s="53">
        <f>TL48+TL47+TL46</f>
        <v/>
      </c>
      <c r="TM49" s="53">
        <f>TM48+TM47+TM46</f>
        <v/>
      </c>
      <c r="TN49" s="53">
        <f>TN48+TN47+TN46</f>
        <v/>
      </c>
      <c r="TO49" s="53">
        <f>TO48+TO47+TO46</f>
        <v/>
      </c>
      <c r="TP49" s="53">
        <f>TP48+TP47+TP46</f>
        <v/>
      </c>
      <c r="TQ49" s="53">
        <f>TQ48+TQ47+TQ46</f>
        <v/>
      </c>
      <c r="TR49" s="130" t="n"/>
      <c r="TS49" s="53">
        <f>TS48+TS47+TS46</f>
        <v/>
      </c>
      <c r="TT49" s="53">
        <f>TT48+TT47+TT46</f>
        <v/>
      </c>
      <c r="TU49" s="53">
        <f>TU48+TU47+TU46</f>
        <v/>
      </c>
      <c r="TV49" s="53">
        <f>TV48+TV47+TV46</f>
        <v/>
      </c>
      <c r="TW49" s="53">
        <f>TW48+TW47+TW46</f>
        <v/>
      </c>
      <c r="TX49" s="53">
        <f>TX48+TX47+TX46</f>
        <v/>
      </c>
      <c r="TY49" s="53">
        <f>TY48+TY47+TY46</f>
        <v/>
      </c>
      <c r="TZ49" s="53">
        <f>TZ48+TZ47+TZ46</f>
        <v/>
      </c>
      <c r="UA49" s="53">
        <f>UA48+UA47+UA46</f>
        <v/>
      </c>
      <c r="UB49" s="53">
        <f>UB48+UB47+UB46</f>
        <v/>
      </c>
      <c r="UC49" s="53">
        <f>UC48+UC47+UC46</f>
        <v/>
      </c>
      <c r="UD49" s="53">
        <f>UD48+UD47+UD46</f>
        <v/>
      </c>
      <c r="UE49" s="53">
        <f>UE48+UE47+UE46</f>
        <v/>
      </c>
      <c r="UF49" s="53">
        <f>UF48+UF47+UF46</f>
        <v/>
      </c>
      <c r="UG49" s="53">
        <f>UG48+UG47+UG46</f>
        <v/>
      </c>
      <c r="UH49" s="53">
        <f>UH48+UH47+UH46</f>
        <v/>
      </c>
      <c r="UI49" s="53">
        <f>UI48+UI47+UI46</f>
        <v/>
      </c>
      <c r="UJ49" s="53">
        <f>UJ48+UJ47+UJ46</f>
        <v/>
      </c>
      <c r="UK49" s="53">
        <f>UK48+UK47+UK46</f>
        <v/>
      </c>
      <c r="UL49" s="53">
        <f>UL48+UL47+UL46</f>
        <v/>
      </c>
      <c r="UM49" s="53">
        <f>UM48+UM47+UM46</f>
        <v/>
      </c>
      <c r="UN49" s="53">
        <f>UN48+UN47+UN46</f>
        <v/>
      </c>
      <c r="UO49" s="53">
        <f>UO48+UO47+UO46</f>
        <v/>
      </c>
      <c r="UP49" s="53">
        <f>UP48+UP47+UP46</f>
        <v/>
      </c>
      <c r="UQ49" s="53">
        <f>UQ48+UQ47+UQ46</f>
        <v/>
      </c>
      <c r="UR49" s="53">
        <f>UR48+UR47+UR46</f>
        <v/>
      </c>
      <c r="US49" s="53">
        <f>US48+US47+US46</f>
        <v/>
      </c>
      <c r="UT49" s="53">
        <f>UT48+UT47+UT46</f>
        <v/>
      </c>
      <c r="UU49" s="53">
        <f>UU48+UU47+UU46</f>
        <v/>
      </c>
      <c r="UV49" s="53">
        <f>UV48+UV47+UV46</f>
        <v/>
      </c>
      <c r="UW49" s="53">
        <f>UW48+UW47+UW46</f>
        <v/>
      </c>
      <c r="UX49" s="130" t="n"/>
      <c r="UY49" s="53">
        <f>UY48+UY47+UY46</f>
        <v/>
      </c>
      <c r="UZ49" s="53">
        <f>UZ48+UZ47+UZ46</f>
        <v/>
      </c>
      <c r="VA49" s="53">
        <f>VA48+VA47+VA46</f>
        <v/>
      </c>
      <c r="VB49" s="53">
        <f>VB48+VB47+VB46</f>
        <v/>
      </c>
      <c r="VC49" s="53">
        <f>VC48+VC47+VC46</f>
        <v/>
      </c>
      <c r="VD49" s="53">
        <f>VD48+VD47+VD46</f>
        <v/>
      </c>
      <c r="VE49" s="53">
        <f>VE48+VE47+VE46</f>
        <v/>
      </c>
      <c r="VF49" s="53">
        <f>VF48+VF47+VF46</f>
        <v/>
      </c>
      <c r="VG49" s="53">
        <f>VG48+VG47+VG46</f>
        <v/>
      </c>
      <c r="VH49" s="53">
        <f>VH48+VH47+VH46</f>
        <v/>
      </c>
      <c r="VI49" s="53">
        <f>VI48+VI47+VI46</f>
        <v/>
      </c>
      <c r="VJ49" s="53">
        <f>VJ48+VJ47+VJ46</f>
        <v/>
      </c>
      <c r="VK49" s="53">
        <f>VK48+VK47+VK46</f>
        <v/>
      </c>
      <c r="VL49" s="53">
        <f>VL48+VL47+VL46</f>
        <v/>
      </c>
      <c r="VM49" s="53">
        <f>VM48+VM47+VM46</f>
        <v/>
      </c>
      <c r="VN49" s="53">
        <f>VN48+VN47+VN46</f>
        <v/>
      </c>
      <c r="VO49" s="53">
        <f>VO48+VO47+VO46</f>
        <v/>
      </c>
      <c r="VP49" s="53">
        <f>VP48+VP47+VP46</f>
        <v/>
      </c>
      <c r="VQ49" s="53">
        <f>VQ48+VQ47+VQ46</f>
        <v/>
      </c>
      <c r="VR49" s="53">
        <f>VR48+VR47+VR46</f>
        <v/>
      </c>
      <c r="VS49" s="53">
        <f>VS48+VS47+VS46</f>
        <v/>
      </c>
      <c r="VT49" s="53">
        <f>VT48+VT47+VT46</f>
        <v/>
      </c>
      <c r="VU49" s="53">
        <f>VU48+VU47+VU46</f>
        <v/>
      </c>
      <c r="VV49" s="53">
        <f>VV48+VV47+VV46</f>
        <v/>
      </c>
      <c r="VW49" s="53">
        <f>VW48+VW47+VW46</f>
        <v/>
      </c>
      <c r="VX49" s="53">
        <f>VX48+VX47+VX46</f>
        <v/>
      </c>
      <c r="VY49" s="53">
        <f>VY48+VY47+VY46</f>
        <v/>
      </c>
      <c r="VZ49" s="53">
        <f>VZ48+VZ47+VZ46</f>
        <v/>
      </c>
      <c r="WA49" s="140" t="n"/>
      <c r="WB49" s="53">
        <f>WB48+WB47+WB46</f>
        <v/>
      </c>
      <c r="WC49" s="53">
        <f>WC48+WC47+WC46</f>
        <v/>
      </c>
      <c r="WD49" s="53">
        <f>WD48+WD47+WD46</f>
        <v/>
      </c>
      <c r="WE49" s="53">
        <f>WE48+WE47+WE46</f>
        <v/>
      </c>
      <c r="WF49" s="53">
        <f>WF48+WF47+WF46</f>
        <v/>
      </c>
      <c r="WG49" s="53">
        <f>WG48+WG47+WG46</f>
        <v/>
      </c>
      <c r="WH49" s="53">
        <f>WH48+WH47+WH46</f>
        <v/>
      </c>
      <c r="WI49" s="53">
        <f>WI48+WI47+WI46</f>
        <v/>
      </c>
      <c r="WJ49" s="53">
        <f>WJ48+WJ47+WJ46</f>
        <v/>
      </c>
      <c r="WK49" s="53">
        <f>WK48+WK47+WK46</f>
        <v/>
      </c>
      <c r="WL49" s="53">
        <f>WL48+WL47+WL46</f>
        <v/>
      </c>
      <c r="WM49" s="53">
        <f>WM48+WM47+WM46</f>
        <v/>
      </c>
      <c r="WN49" s="53">
        <f>WN48+WN47+WN46</f>
        <v/>
      </c>
      <c r="WO49" s="53">
        <f>WO48+WO47+WO46</f>
        <v/>
      </c>
      <c r="WP49" s="53">
        <f>WP48+WP47+WP46</f>
        <v/>
      </c>
      <c r="WQ49" s="53">
        <f>WQ48+WQ47+WQ46</f>
        <v/>
      </c>
      <c r="WR49" s="53">
        <f>WR48+WR47+WR46</f>
        <v/>
      </c>
      <c r="WS49" s="53">
        <f>WS48+WS47+WS46</f>
        <v/>
      </c>
      <c r="WT49" s="53">
        <f>WT48+WT47+WT46</f>
        <v/>
      </c>
      <c r="WU49" s="53">
        <f>WU48+WU47+WU46</f>
        <v/>
      </c>
      <c r="WV49" s="53">
        <f>WV48+WV47+WV46</f>
        <v/>
      </c>
      <c r="WW49" s="53">
        <f>WW48+WW47+WW46</f>
        <v/>
      </c>
      <c r="WX49" s="53">
        <f>WX48+WX47+WX46</f>
        <v/>
      </c>
      <c r="WY49" s="53">
        <f>WY48+WY47+WY46</f>
        <v/>
      </c>
      <c r="WZ49" s="53">
        <f>WZ48+WZ47+WZ46</f>
        <v/>
      </c>
      <c r="XA49" s="53">
        <f>XA48+XA47+XA46</f>
        <v/>
      </c>
      <c r="XB49" s="53">
        <f>XB48+XB47+XB46</f>
        <v/>
      </c>
      <c r="XC49" s="53">
        <f>XC48+XC47+XC46</f>
        <v/>
      </c>
      <c r="XD49" s="53">
        <f>XD48+XD47+XD46</f>
        <v/>
      </c>
      <c r="XE49" s="53">
        <f>XE48+XE47+XE46</f>
        <v/>
      </c>
      <c r="XF49" s="53">
        <f>XF48+XF47+XF46</f>
        <v/>
      </c>
      <c r="XG49" s="140" t="n"/>
      <c r="XH49" s="53">
        <f>XH48+XH47+XH46</f>
        <v/>
      </c>
      <c r="XI49" s="53">
        <f>XI48+XI47+XI46</f>
        <v/>
      </c>
      <c r="XJ49" s="53">
        <f>XJ48+XJ47+XJ46</f>
        <v/>
      </c>
      <c r="XK49" s="53">
        <f>XK48+XK47+XK46</f>
        <v/>
      </c>
      <c r="XL49" s="53">
        <f>XL48+XL47+XL46</f>
        <v/>
      </c>
      <c r="XM49" s="53">
        <f>XM48+XM47+XM46</f>
        <v/>
      </c>
      <c r="XN49" s="53">
        <f>XN48+XN47+XN46</f>
        <v/>
      </c>
      <c r="XO49" s="53">
        <f>XO48+XO47+XO46</f>
        <v/>
      </c>
      <c r="XP49" s="53">
        <f>XP48+XP47+XP46</f>
        <v/>
      </c>
      <c r="XQ49" s="53">
        <f>XQ48+XQ47+XQ46</f>
        <v/>
      </c>
      <c r="XR49" s="53">
        <f>XR48+XR47+XR46</f>
        <v/>
      </c>
      <c r="XS49" s="53">
        <f>XS48+XS47+XS46</f>
        <v/>
      </c>
      <c r="XT49" s="53">
        <f>XT48+XT47+XT46</f>
        <v/>
      </c>
      <c r="XU49" s="53">
        <f>XU48+XU47+XU46</f>
        <v/>
      </c>
      <c r="XV49" s="53">
        <f>XV48+XV47+XV46</f>
        <v/>
      </c>
      <c r="XW49" s="53">
        <f>XW48+XW47+XW46</f>
        <v/>
      </c>
      <c r="XX49" s="53">
        <f>XX48+XX47+XX46</f>
        <v/>
      </c>
      <c r="XY49" s="53">
        <f>XY48+XY47+XY46</f>
        <v/>
      </c>
      <c r="XZ49" s="53">
        <f>XZ48+XZ47+XZ46</f>
        <v/>
      </c>
      <c r="YA49" s="53">
        <f>YA48+YA47+YA46</f>
        <v/>
      </c>
      <c r="YB49" s="53">
        <f>YB48+YB47+YB46</f>
        <v/>
      </c>
      <c r="YC49" s="53">
        <f>YC48+YC47+YC46</f>
        <v/>
      </c>
      <c r="YD49" s="53">
        <f>YD48+YD47+YD46</f>
        <v/>
      </c>
      <c r="YE49" s="53">
        <f>YE48+YE47+YE46</f>
        <v/>
      </c>
      <c r="YF49" s="53">
        <f>YF48+YF47+YF46</f>
        <v/>
      </c>
      <c r="YG49" s="53">
        <f>YG48+YG47+YG46</f>
        <v/>
      </c>
      <c r="YH49" s="53">
        <f>YH48+YH47+YH46</f>
        <v/>
      </c>
      <c r="YI49" s="53">
        <f>YI48+YI47+YI46</f>
        <v/>
      </c>
      <c r="YJ49" s="53">
        <f>YJ48+YJ47+YJ46</f>
        <v/>
      </c>
      <c r="YK49" s="53">
        <f>YK48+YK47+YK46</f>
        <v/>
      </c>
      <c r="YL49" s="130" t="n"/>
      <c r="YM49" s="53">
        <f>YM48+YM47+YM46</f>
        <v/>
      </c>
      <c r="YN49" s="53">
        <f>YN48+YN47+YN46</f>
        <v/>
      </c>
      <c r="YO49" s="53">
        <f>YO48+YO47+YO46</f>
        <v/>
      </c>
      <c r="YP49" s="53">
        <f>YP48+YP47+YP46</f>
        <v/>
      </c>
      <c r="YQ49" s="53">
        <f>YQ48+YQ47+YQ46</f>
        <v/>
      </c>
      <c r="YR49" s="53">
        <f>YR48+YR47+YR46</f>
        <v/>
      </c>
      <c r="YS49" s="53">
        <f>YS48+YS47+YS46</f>
        <v/>
      </c>
      <c r="YT49" s="53">
        <f>YT48+YT47+YT46</f>
        <v/>
      </c>
      <c r="YU49" s="53">
        <f>YU48+YU47+YU46</f>
        <v/>
      </c>
      <c r="YV49" s="53">
        <f>YV48+YV47+YV46</f>
        <v/>
      </c>
      <c r="YW49" s="53">
        <f>YW48+YW47+YW46</f>
        <v/>
      </c>
      <c r="YX49" s="53">
        <f>YX48+YX47+YX46</f>
        <v/>
      </c>
      <c r="YY49" s="53">
        <f>YY48+YY47+YY46</f>
        <v/>
      </c>
      <c r="YZ49" s="53">
        <f>YZ48+YZ47+YZ46</f>
        <v/>
      </c>
      <c r="ZA49" s="53">
        <f>ZA48+ZA47+ZA46</f>
        <v/>
      </c>
      <c r="ZB49" s="53">
        <f>ZB48+ZB47+ZB46</f>
        <v/>
      </c>
      <c r="ZC49" s="53">
        <f>ZC48+ZC47+ZC46</f>
        <v/>
      </c>
      <c r="ZD49" s="53">
        <f>ZD48+ZD47+ZD46</f>
        <v/>
      </c>
      <c r="ZE49" s="53">
        <f>ZE48+ZE47+ZE46</f>
        <v/>
      </c>
      <c r="ZF49" s="53">
        <f>ZF48+ZF47+ZF46</f>
        <v/>
      </c>
      <c r="ZG49" s="53">
        <f>ZG48+ZG47+ZG46</f>
        <v/>
      </c>
      <c r="ZH49" s="53">
        <f>ZH48+ZH47+ZH46</f>
        <v/>
      </c>
      <c r="ZI49" s="53">
        <f>ZI48+ZI47+ZI46</f>
        <v/>
      </c>
      <c r="ZJ49" s="53">
        <f>ZJ48+ZJ47+ZJ46</f>
        <v/>
      </c>
      <c r="ZK49" s="53">
        <f>ZK48+ZK47+ZK46</f>
        <v/>
      </c>
      <c r="ZL49" s="53">
        <f>ZL48+ZL47+ZL46</f>
        <v/>
      </c>
      <c r="ZM49" s="53">
        <f>ZM48+ZM47+ZM46</f>
        <v/>
      </c>
      <c r="ZN49" s="53">
        <f>ZN48+ZN47+ZN46</f>
        <v/>
      </c>
      <c r="ZO49" s="53">
        <f>ZO48+ZO47+ZO46</f>
        <v/>
      </c>
      <c r="ZP49" s="53">
        <f>ZP48+ZP47+ZP46</f>
        <v/>
      </c>
      <c r="ZQ49" s="53">
        <f>ZQ48+ZQ47+ZQ46</f>
        <v/>
      </c>
      <c r="ZR49" s="130" t="n"/>
      <c r="ZS49" s="53">
        <f>ZS48+ZS47+ZS46</f>
        <v/>
      </c>
      <c r="ZT49" s="53">
        <f>ZT48+ZT47+ZT46</f>
        <v/>
      </c>
      <c r="ZU49" s="53">
        <f>ZU48+ZU47+ZU46</f>
        <v/>
      </c>
      <c r="ZV49" s="53">
        <f>ZV48+ZV47+ZV46</f>
        <v/>
      </c>
      <c r="ZW49" s="53">
        <f>ZW48+ZW47+ZW46</f>
        <v/>
      </c>
      <c r="ZX49" s="53">
        <f>ZX48+ZX47+ZX46</f>
        <v/>
      </c>
      <c r="ZY49" s="53">
        <f>ZY48+ZY47+ZY46</f>
        <v/>
      </c>
      <c r="ZZ49" s="53">
        <f>ZZ48+ZZ47+ZZ46</f>
        <v/>
      </c>
      <c r="AAA49" s="53">
        <f>AAA48+AAA47+AAA46</f>
        <v/>
      </c>
      <c r="AAB49" s="53">
        <f>AAB48+AAB47+AAB46</f>
        <v/>
      </c>
      <c r="AAC49" s="53">
        <f>AAC48+AAC47+AAC46</f>
        <v/>
      </c>
      <c r="AAD49" s="53">
        <f>AAD48+AAD47+AAD46</f>
        <v/>
      </c>
      <c r="AAE49" s="53">
        <f>AAE48+AAE47+AAE46</f>
        <v/>
      </c>
      <c r="AAF49" s="53">
        <f>AAF48+AAF47+AAF46</f>
        <v/>
      </c>
      <c r="AAG49" s="53">
        <f>AAG48+AAG47+AAG46</f>
        <v/>
      </c>
      <c r="AAH49" s="53">
        <f>AAH48+AAH47+AAH46</f>
        <v/>
      </c>
      <c r="AAI49" s="53">
        <f>AAI48+AAI47+AAI46</f>
        <v/>
      </c>
      <c r="AAJ49" s="53">
        <f>AAJ48+AAJ47+AAJ46</f>
        <v/>
      </c>
      <c r="AAK49" s="53">
        <f>AAK48+AAK47+AAK46</f>
        <v/>
      </c>
      <c r="AAL49" s="53">
        <f>AAL48+AAL47+AAL46</f>
        <v/>
      </c>
      <c r="AAM49" s="53">
        <f>AAM48+AAM47+AAM46</f>
        <v/>
      </c>
      <c r="AAN49" s="53">
        <f>AAN48+AAN47+AAN46</f>
        <v/>
      </c>
      <c r="AAO49" s="53">
        <f>AAO48+AAO47+AAO46</f>
        <v/>
      </c>
      <c r="AAP49" s="53">
        <f>AAP48+AAP47+AAP46</f>
        <v/>
      </c>
      <c r="AAQ49" s="53">
        <f>AAQ48+AAQ47+AAQ46</f>
        <v/>
      </c>
      <c r="AAR49" s="53">
        <f>AAR48+AAR47+AAR46</f>
        <v/>
      </c>
      <c r="AAS49" s="53">
        <f>AAS48+AAS47+AAS46</f>
        <v/>
      </c>
      <c r="AAT49" s="53">
        <f>AAT48+AAT47+AAT46</f>
        <v/>
      </c>
      <c r="AAU49" s="53">
        <f>AAU48+AAU47+AAU46</f>
        <v/>
      </c>
      <c r="AAV49" s="53">
        <f>AAV48+AAV47+AAV46</f>
        <v/>
      </c>
      <c r="AAW49" s="130" t="n"/>
      <c r="AAX49" s="53">
        <f>AAX48+AAX47+AAX46</f>
        <v/>
      </c>
      <c r="AAY49" s="53">
        <f>AAY48+AAY47+AAY46</f>
        <v/>
      </c>
      <c r="AAZ49" s="53">
        <f>AAZ48+AAZ47+AAZ46</f>
        <v/>
      </c>
      <c r="ABA49" s="53">
        <f>ABA48+ABA47+ABA46</f>
        <v/>
      </c>
      <c r="ABB49" s="53">
        <f>ABB48+ABB47+ABB46</f>
        <v/>
      </c>
      <c r="ABC49" s="53">
        <f>ABC48+ABC47+ABC46</f>
        <v/>
      </c>
      <c r="ABD49" s="53">
        <f>ABD48+ABD47+ABD46</f>
        <v/>
      </c>
      <c r="ABE49" s="53">
        <f>ABE48+ABE47+ABE46</f>
        <v/>
      </c>
      <c r="ABF49" s="53">
        <f>ABF48+ABF47+ABF46</f>
        <v/>
      </c>
      <c r="ABG49" s="53">
        <f>ABG48+ABG47+ABG46</f>
        <v/>
      </c>
      <c r="ABH49" s="53">
        <f>ABH48+ABH47+ABH46</f>
        <v/>
      </c>
      <c r="ABI49" s="53">
        <f>ABI48+ABI47+ABI46</f>
        <v/>
      </c>
      <c r="ABJ49" s="53">
        <f>ABJ48+ABJ47+ABJ46</f>
        <v/>
      </c>
      <c r="ABK49" s="53">
        <f>ABK48+ABK47+ABK46</f>
        <v/>
      </c>
      <c r="ABL49" s="53">
        <f>ABL48+ABL47+ABL46</f>
        <v/>
      </c>
      <c r="ABM49" s="53">
        <f>ABM48+ABM47+ABM46</f>
        <v/>
      </c>
      <c r="ABN49" s="53">
        <f>ABN48+ABN47+ABN46</f>
        <v/>
      </c>
      <c r="ABO49" s="53">
        <f>ABO48+ABO47+ABO46</f>
        <v/>
      </c>
      <c r="ABP49" s="53">
        <f>ABP48+ABP47+ABP46</f>
        <v/>
      </c>
      <c r="ABQ49" s="53">
        <f>ABQ48+ABQ47+ABQ46</f>
        <v/>
      </c>
      <c r="ABR49" s="53">
        <f>ABR48+ABR47+ABR46</f>
        <v/>
      </c>
      <c r="ABS49" s="53">
        <f>ABS48+ABS47+ABS46</f>
        <v/>
      </c>
      <c r="ABT49" s="53">
        <f>ABT48+ABT47+ABT46</f>
        <v/>
      </c>
      <c r="ABU49" s="53">
        <f>ABU48+ABU47+ABU46</f>
        <v/>
      </c>
      <c r="ABV49" s="53">
        <f>ABV48+ABV47+ABV46</f>
        <v/>
      </c>
      <c r="ABW49" s="53">
        <f>ABW48+ABW47+ABW46</f>
        <v/>
      </c>
      <c r="ABX49" s="53">
        <f>ABX48+ABX47+ABX46</f>
        <v/>
      </c>
      <c r="ABY49" s="53">
        <f>ABY48+ABY47+ABY46</f>
        <v/>
      </c>
      <c r="ABZ49" s="53">
        <f>ABZ48+ABZ47+ABZ46</f>
        <v/>
      </c>
      <c r="ACA49" s="53">
        <f>ACA48+ACA47+ACA46</f>
        <v/>
      </c>
      <c r="ACB49" s="53">
        <f>ACB48+ACB47+ACB46</f>
        <v/>
      </c>
      <c r="ACC49" s="130" t="n"/>
      <c r="ACD49" s="53">
        <f>ACD48+ACD47+ACD46</f>
        <v/>
      </c>
      <c r="ACE49" s="53">
        <f>ACE48+ACE47+ACE46</f>
        <v/>
      </c>
      <c r="ACF49" s="53">
        <f>ACF48+ACF47+ACF46</f>
        <v/>
      </c>
      <c r="ACG49" s="53">
        <f>ACG48+ACG47+ACG46</f>
        <v/>
      </c>
      <c r="ACH49" s="53">
        <f>ACH48+ACH47+ACH46</f>
        <v/>
      </c>
      <c r="ACI49" s="53">
        <f>ACI48+ACI47+ACI46</f>
        <v/>
      </c>
      <c r="ACJ49" s="53">
        <f>ACJ48+ACJ47+ACJ46</f>
        <v/>
      </c>
      <c r="ACK49" s="53">
        <f>ACK48+ACK47+ACK46</f>
        <v/>
      </c>
      <c r="ACL49" s="53">
        <f>ACL48+ACL47+ACL46</f>
        <v/>
      </c>
      <c r="ACM49" s="53">
        <f>ACM48+ACM47+ACM46</f>
        <v/>
      </c>
      <c r="ACN49" s="53">
        <f>ACN48+ACN47+ACN46</f>
        <v/>
      </c>
      <c r="ACO49" s="53">
        <f>ACO48+ACO47+ACO46</f>
        <v/>
      </c>
      <c r="ACP49" s="53">
        <f>ACP48+ACP47+ACP46</f>
        <v/>
      </c>
      <c r="ACQ49" s="53">
        <f>ACQ48+ACQ47+ACQ46</f>
        <v/>
      </c>
      <c r="ACR49" s="53">
        <f>ACR48+ACR47+ACR46</f>
        <v/>
      </c>
      <c r="ACS49" s="53">
        <f>ACS48+ACS47+ACS46</f>
        <v/>
      </c>
      <c r="ACT49" s="53">
        <f>ACT48+ACT47+ACT46</f>
        <v/>
      </c>
      <c r="ACU49" s="53">
        <f>ACU48+ACU47+ACU46</f>
        <v/>
      </c>
      <c r="ACV49" s="53">
        <f>ACV48+ACV47+ACV46</f>
        <v/>
      </c>
      <c r="ACW49" s="53">
        <f>ACW48+ACW47+ACW46</f>
        <v/>
      </c>
      <c r="ACX49" s="53">
        <f>ACX48+ACX47+ACX46</f>
        <v/>
      </c>
      <c r="ACY49" s="53">
        <f>ACY48+ACY47+ACY46</f>
        <v/>
      </c>
      <c r="ACZ49" s="53">
        <f>ACZ48+ACZ47+ACZ46</f>
        <v/>
      </c>
      <c r="ADA49" s="53">
        <f>ADA48+ADA47+ADA46</f>
        <v/>
      </c>
      <c r="ADB49" s="53">
        <f>ADB48+ADB47+ADB46</f>
        <v/>
      </c>
      <c r="ADC49" s="53">
        <f>ADC48+ADC47+ADC46</f>
        <v/>
      </c>
      <c r="ADD49" s="53">
        <f>ADD48+ADD47+ADD46</f>
        <v/>
      </c>
      <c r="ADE49" s="53">
        <f>ADE48+ADE47+ADE46</f>
        <v/>
      </c>
      <c r="ADF49" s="53">
        <f>ADF48+ADF47+ADF46</f>
        <v/>
      </c>
      <c r="ADG49" s="53">
        <f>ADG48+ADG47+ADG46</f>
        <v/>
      </c>
      <c r="ADH49" s="53">
        <f>ADH48+ADH47+ADH46</f>
        <v/>
      </c>
      <c r="ADI49" s="130" t="n"/>
      <c r="ADJ49" s="53">
        <f>ADJ48+ADJ47+ADJ46</f>
        <v/>
      </c>
      <c r="ADK49" s="53">
        <f>ADK48+ADK47+ADK46</f>
        <v/>
      </c>
      <c r="ADL49" s="53">
        <f>ADL48+ADL47+ADL46</f>
        <v/>
      </c>
      <c r="ADM49" s="53">
        <f>ADM48+ADM47+ADM46</f>
        <v/>
      </c>
      <c r="ADN49" s="53">
        <f>ADN48+ADN47+ADN46</f>
        <v/>
      </c>
      <c r="ADO49" s="53">
        <f>ADO48+ADO47+ADO46</f>
        <v/>
      </c>
      <c r="ADP49" s="53">
        <f>ADP48+ADP47+ADP46</f>
        <v/>
      </c>
      <c r="ADQ49" s="53">
        <f>ADQ48+ADQ47+ADQ46</f>
        <v/>
      </c>
      <c r="ADR49" s="53">
        <f>ADR48+ADR47+ADR46</f>
        <v/>
      </c>
      <c r="ADS49" s="53">
        <f>ADS48+ADS47+ADS46</f>
        <v/>
      </c>
      <c r="ADT49" s="53">
        <f>ADT48+ADT47+ADT46</f>
        <v/>
      </c>
      <c r="ADU49" s="53">
        <f>ADU48+ADU47+ADU46</f>
        <v/>
      </c>
      <c r="ADV49" s="53">
        <f>ADV48+ADV47+ADV46</f>
        <v/>
      </c>
      <c r="ADW49" s="53">
        <f>ADW48+ADW47+ADW46</f>
        <v/>
      </c>
      <c r="ADX49" s="53">
        <f>ADX48+ADX47+ADX46</f>
        <v/>
      </c>
      <c r="ADY49" s="53">
        <f>ADY48+ADY47+ADY46</f>
        <v/>
      </c>
      <c r="ADZ49" s="53">
        <f>ADZ48+ADZ47+ADZ46</f>
        <v/>
      </c>
      <c r="AEA49" s="53">
        <f>AEA48+AEA47+AEA46</f>
        <v/>
      </c>
      <c r="AEB49" s="53">
        <f>AEB48+AEB47+AEB46</f>
        <v/>
      </c>
      <c r="AEC49" s="53">
        <f>AEC48+AEC47+AEC46</f>
        <v/>
      </c>
      <c r="AED49" s="53">
        <f>AED48+AED47+AED46</f>
        <v/>
      </c>
      <c r="AEE49" s="53">
        <f>AEE48+AEE47+AEE46</f>
        <v/>
      </c>
      <c r="AEF49" s="53">
        <f>AEF48+AEF47+AEF46</f>
        <v/>
      </c>
      <c r="AEG49" s="53">
        <f>AEG48+AEG47+AEG46</f>
        <v/>
      </c>
      <c r="AEH49" s="53">
        <f>AEH48+AEH47+AEH46</f>
        <v/>
      </c>
      <c r="AEI49" s="53">
        <f>AEI48+AEI47+AEI46</f>
        <v/>
      </c>
      <c r="AEJ49" s="53">
        <f>AEJ48+AEJ47+AEJ46</f>
        <v/>
      </c>
      <c r="AEK49" s="53">
        <f>AEK48+AEK47+AEK46</f>
        <v/>
      </c>
      <c r="AEL49" s="53">
        <f>AEL48+AEL47+AEL46</f>
        <v/>
      </c>
      <c r="AEM49" s="53">
        <f>AEM48+AEM47+AEM46</f>
        <v/>
      </c>
      <c r="AEN49" s="130" t="n"/>
      <c r="AEO49" s="53">
        <f>AEO48+AEO47+AEO46</f>
        <v/>
      </c>
      <c r="AEP49" s="53">
        <f>AEP48+AEP47+AEP46</f>
        <v/>
      </c>
      <c r="AEQ49" s="53">
        <f>AEQ48+AEQ47+AEQ46</f>
        <v/>
      </c>
      <c r="AER49" s="53">
        <f>AER48+AER47+AER46</f>
        <v/>
      </c>
      <c r="AES49" s="53">
        <f>AES48+AES47+AES46</f>
        <v/>
      </c>
      <c r="AET49" s="53">
        <f>AET48+AET47+AET46</f>
        <v/>
      </c>
      <c r="AEU49" s="53">
        <f>AEU48+AEU47+AEU46</f>
        <v/>
      </c>
      <c r="AEV49" s="53">
        <f>AEV48+AEV47+AEV46</f>
        <v/>
      </c>
      <c r="AEW49" s="53">
        <f>AEW48+AEW47+AEW46</f>
        <v/>
      </c>
      <c r="AEX49" s="53">
        <f>AEX48+AEX47+AEX46</f>
        <v/>
      </c>
      <c r="AEY49" s="53">
        <f>AEY48+AEY47+AEY46</f>
        <v/>
      </c>
      <c r="AEZ49" s="53">
        <f>AEZ48+AEZ47+AEZ46</f>
        <v/>
      </c>
      <c r="AFA49" s="53">
        <f>AFA48+AFA47+AFA46</f>
        <v/>
      </c>
      <c r="AFB49" s="53">
        <f>AFB48+AFB47+AFB46</f>
        <v/>
      </c>
      <c r="AFC49" s="53">
        <f>AFC48+AFC47+AFC46</f>
        <v/>
      </c>
      <c r="AFD49" s="53">
        <f>AFD48+AFD47+AFD46</f>
        <v/>
      </c>
      <c r="AFE49" s="53">
        <f>AFE48+AFE47+AFE46</f>
        <v/>
      </c>
      <c r="AFF49" s="53">
        <f>AFF48+AFF47+AFF46</f>
        <v/>
      </c>
      <c r="AFG49" s="53">
        <f>AFG48+AFG47+AFG46</f>
        <v/>
      </c>
      <c r="AFH49" s="53">
        <f>AFH48+AFH47+AFH46</f>
        <v/>
      </c>
      <c r="AFI49" s="53">
        <f>AFI48+AFI47+AFI46</f>
        <v/>
      </c>
      <c r="AFJ49" s="53">
        <f>AFJ48+AFJ47+AFJ46</f>
        <v/>
      </c>
      <c r="AFK49" s="53">
        <f>AFK48+AFK47+AFK46</f>
        <v/>
      </c>
      <c r="AFL49" s="53">
        <f>AFL48+AFL47+AFL46</f>
        <v/>
      </c>
      <c r="AFM49" s="53">
        <f>AFM48+AFM47+AFM46</f>
        <v/>
      </c>
      <c r="AFN49" s="53">
        <f>AFN48+AFN47+AFN46</f>
        <v/>
      </c>
      <c r="AFO49" s="53">
        <f>AFO48+AFO47+AFO46</f>
        <v/>
      </c>
      <c r="AFP49" s="53">
        <f>AFP48+AFP47+AFP46</f>
        <v/>
      </c>
      <c r="AFQ49" s="53">
        <f>AFQ48+AFQ47+AFQ46</f>
        <v/>
      </c>
      <c r="AFR49" s="53">
        <f>AFR48+AFR47+AFR46</f>
        <v/>
      </c>
      <c r="AFS49" s="53">
        <f>AFS48+AFS47+AFS46</f>
        <v/>
      </c>
      <c r="AFT49" s="130" t="n"/>
      <c r="AFU49" s="53">
        <f>AFU48+AFU47+AFU46</f>
        <v/>
      </c>
      <c r="AFV49" s="53">
        <f>AFV48+AFV47+AFV46</f>
        <v/>
      </c>
      <c r="AFW49" s="53">
        <f>AFW48+AFW47+AFW46</f>
        <v/>
      </c>
      <c r="AFX49" s="53">
        <f>AFX48+AFX47+AFX46</f>
        <v/>
      </c>
      <c r="AFY49" s="53">
        <f>AFY48+AFY47+AFY46</f>
        <v/>
      </c>
      <c r="AFZ49" s="53">
        <f>AFZ48+AFZ47+AFZ46</f>
        <v/>
      </c>
      <c r="AGA49" s="53">
        <f>AGA48+AGA47+AGA46</f>
        <v/>
      </c>
      <c r="AGB49" s="53">
        <f>AGB48+AGB47+AGB46</f>
        <v/>
      </c>
      <c r="AGC49" s="53">
        <f>AGC48+AGC47+AGC46</f>
        <v/>
      </c>
      <c r="AGD49" s="53">
        <f>AGD48+AGD47+AGD46</f>
        <v/>
      </c>
      <c r="AGE49" s="53">
        <f>AGE48+AGE47+AGE46</f>
        <v/>
      </c>
      <c r="AGF49" s="53">
        <f>AGF48+AGF47+AGF46</f>
        <v/>
      </c>
      <c r="AGG49" s="53">
        <f>AGG48+AGG47+AGG46</f>
        <v/>
      </c>
      <c r="AGH49" s="53">
        <f>AGH48+AGH47+AGH46</f>
        <v/>
      </c>
      <c r="AGI49" s="53">
        <f>AGI48+AGI47+AGI46</f>
        <v/>
      </c>
      <c r="AGJ49" s="53">
        <f>AGJ48+AGJ47+AGJ46</f>
        <v/>
      </c>
      <c r="AGK49" s="53">
        <f>AGK48+AGK47+AGK46</f>
        <v/>
      </c>
      <c r="AGL49" s="53">
        <f>AGL48+AGL47+AGL46</f>
        <v/>
      </c>
      <c r="AGM49" s="53">
        <f>AGM48+AGM47+AGM46</f>
        <v/>
      </c>
      <c r="AGN49" s="53">
        <f>AGN48+AGN47+AGN46</f>
        <v/>
      </c>
      <c r="AGO49" s="53">
        <f>AGO48+AGO47+AGO46</f>
        <v/>
      </c>
      <c r="AGP49" s="53">
        <f>AGP48+AGP47+AGP46</f>
        <v/>
      </c>
      <c r="AGQ49" s="53">
        <f>AGQ48+AGQ47+AGQ46</f>
        <v/>
      </c>
      <c r="AGR49" s="53">
        <f>AGR48+AGR47+AGR46</f>
        <v/>
      </c>
      <c r="AGS49" s="53">
        <f>AGS48+AGS47+AGS46</f>
        <v/>
      </c>
      <c r="AGT49" s="53">
        <f>AGT48+AGT47+AGT46</f>
        <v/>
      </c>
      <c r="AGU49" s="53">
        <f>AGU48+AGU47+AGU46</f>
        <v/>
      </c>
      <c r="AGV49" s="53">
        <f>AGV48+AGV47+AGV46</f>
        <v/>
      </c>
      <c r="AGW49" s="53">
        <f>AGW48+AGW47+AGW46</f>
        <v/>
      </c>
      <c r="AGX49" s="53">
        <f>AGX48+AGX47+AGX46</f>
        <v/>
      </c>
      <c r="AGY49" s="140" t="n"/>
      <c r="AGZ49" s="53">
        <f>AGZ48+AGZ47+AGZ46</f>
        <v/>
      </c>
      <c r="AHA49" s="53">
        <f>AHA48+AHA47+AHA46</f>
        <v/>
      </c>
      <c r="AHB49" s="53">
        <f>AHB48+AHB47+AHB46</f>
        <v/>
      </c>
      <c r="AHC49" s="53">
        <f>AHC48+AHC47+AHC46</f>
        <v/>
      </c>
      <c r="AHD49" s="53">
        <f>AHD48+AHD47+AHD46</f>
        <v/>
      </c>
      <c r="AHE49" s="53">
        <f>AHE48+AHE47+AHE46</f>
        <v/>
      </c>
      <c r="AHF49" s="53">
        <f>AHF48+AHF47+AHF46</f>
        <v/>
      </c>
      <c r="AHG49" s="53">
        <f>AHG48+AHG47+AHG46</f>
        <v/>
      </c>
      <c r="AHH49" s="53">
        <f>AHH48+AHH47+AHH46</f>
        <v/>
      </c>
      <c r="AHI49" s="53">
        <f>AHI48+AHI47+AHI46</f>
        <v/>
      </c>
      <c r="AHJ49" s="53">
        <f>AHJ48+AHJ47+AHJ46</f>
        <v/>
      </c>
      <c r="AHK49" s="53">
        <f>AHK48+AHK47+AHK46</f>
        <v/>
      </c>
      <c r="AHL49" s="53">
        <f>AHL48+AHL47+AHL46</f>
        <v/>
      </c>
      <c r="AHM49" s="53">
        <f>AHM48+AHM47+AHM46</f>
        <v/>
      </c>
      <c r="AHN49" s="53">
        <f>AHN48+AHN47+AHN46</f>
        <v/>
      </c>
      <c r="AHO49" s="53">
        <f>AHO48+AHO47+AHO46</f>
        <v/>
      </c>
      <c r="AHP49" s="53">
        <f>AHP48+AHP47+AHP46</f>
        <v/>
      </c>
      <c r="AHQ49" s="53">
        <f>AHQ48+AHQ47+AHQ46</f>
        <v/>
      </c>
      <c r="AHR49" s="53">
        <f>AHR48+AHR47+AHR46</f>
        <v/>
      </c>
      <c r="AHS49" s="53">
        <f>AHS48+AHS47+AHS46</f>
        <v/>
      </c>
      <c r="AHT49" s="53">
        <f>AHT48+AHT47+AHT46</f>
        <v/>
      </c>
      <c r="AHU49" s="53">
        <f>AHU48+AHU47+AHU46</f>
        <v/>
      </c>
      <c r="AHV49" s="53">
        <f>AHV48+AHV47+AHV46</f>
        <v/>
      </c>
      <c r="AHW49" s="53">
        <f>AHW48+AHW47+AHW46</f>
        <v/>
      </c>
      <c r="AHX49" s="53">
        <f>AHX48+AHX47+AHX46</f>
        <v/>
      </c>
      <c r="AHY49" s="53">
        <f>AHY48+AHY47+AHY46</f>
        <v/>
      </c>
      <c r="AHZ49" s="53">
        <f>AHZ48+AHZ47+AHZ46</f>
        <v/>
      </c>
      <c r="AIA49" s="53">
        <f>AIA48+AIA47+AIA46</f>
        <v/>
      </c>
      <c r="AIB49" s="53">
        <f>AIB48+AIB47+AIB46</f>
        <v/>
      </c>
      <c r="AIC49" s="53">
        <f>AIC48+AIC47+AIC46</f>
        <v/>
      </c>
      <c r="AID49" s="53">
        <f>AID48+AID47+AID46</f>
        <v/>
      </c>
      <c r="AIE49" s="130" t="n"/>
      <c r="AIF49" s="53">
        <f>AIF48+AIF47+AIF46</f>
        <v/>
      </c>
      <c r="AIG49" s="53">
        <f>AIG48+AIG47+AIG46</f>
        <v/>
      </c>
      <c r="AIH49" s="53">
        <f>AIH48+AIH47+AIH46</f>
        <v/>
      </c>
      <c r="AII49" s="53">
        <f>AII48+AII47+AII46</f>
        <v/>
      </c>
      <c r="AIJ49" s="53">
        <f>AIJ48+AIJ47+AIJ46</f>
        <v/>
      </c>
      <c r="AIK49" s="53">
        <f>AIK48+AIK47+AIK46</f>
        <v/>
      </c>
      <c r="AIL49" s="53">
        <f>AIL48+AIL47+AIL46</f>
        <v/>
      </c>
      <c r="AIM49" s="53">
        <f>AIM48+AIM47+AIM46</f>
        <v/>
      </c>
      <c r="AIN49" s="53">
        <f>AIN48+AIN47+AIN46</f>
        <v/>
      </c>
      <c r="AIO49" s="53">
        <f>AIO48+AIO47+AIO46</f>
        <v/>
      </c>
      <c r="AIP49" s="53">
        <f>AIP48+AIP47+AIP46</f>
        <v/>
      </c>
      <c r="AIQ49" s="53">
        <f>AIQ48+AIQ47+AIQ46</f>
        <v/>
      </c>
      <c r="AIR49" s="53">
        <f>AIR48+AIR47+AIR46</f>
        <v/>
      </c>
      <c r="AIS49" s="53">
        <f>AIS48+AIS47+AIS46</f>
        <v/>
      </c>
      <c r="AIT49" s="53">
        <f>AIT48+AIT47+AIT46</f>
        <v/>
      </c>
      <c r="AIU49" s="53">
        <f>AIU48+AIU47+AIU46</f>
        <v/>
      </c>
      <c r="AIV49" s="53">
        <f>AIV48+AIV47+AIV46</f>
        <v/>
      </c>
      <c r="AIW49" s="53">
        <f>AIW48+AIW47+AIW46</f>
        <v/>
      </c>
      <c r="AIX49" s="53">
        <f>AIX48+AIX47+AIX46</f>
        <v/>
      </c>
      <c r="AIY49" s="53">
        <f>AIY48+AIY47+AIY46</f>
        <v/>
      </c>
      <c r="AIZ49" s="53">
        <f>AIZ48+AIZ47+AIZ46</f>
        <v/>
      </c>
      <c r="AJA49" s="53">
        <f>AJA48+AJA47+AJA46</f>
        <v/>
      </c>
      <c r="AJB49" s="53">
        <f>AJB48+AJB47+AJB46</f>
        <v/>
      </c>
      <c r="AJC49" s="53">
        <f>AJC48+AJC47+AJC46</f>
        <v/>
      </c>
      <c r="AJD49" s="53">
        <f>AJD48+AJD47+AJD46</f>
        <v/>
      </c>
      <c r="AJE49" s="53">
        <f>AJE48+AJE47+AJE46</f>
        <v/>
      </c>
      <c r="AJF49" s="53">
        <f>AJF48+AJF47+AJF46</f>
        <v/>
      </c>
      <c r="AJG49" s="53">
        <f>AJG48+AJG47+AJG46</f>
        <v/>
      </c>
      <c r="AJH49" s="53">
        <f>AJH48+AJH47+AJH46</f>
        <v/>
      </c>
      <c r="AJI49" s="53">
        <f>AJI48+AJI47+AJI46</f>
        <v/>
      </c>
      <c r="AJJ49" s="53">
        <f>AJJ48+AJJ47+AJJ46</f>
        <v/>
      </c>
      <c r="AJK49" s="145" t="n"/>
      <c r="AJL49" s="53">
        <f>AJL48+AJL47+AJL46</f>
        <v/>
      </c>
      <c r="AJM49" s="53">
        <f>AJM48+AJM47+AJM46</f>
        <v/>
      </c>
      <c r="AJN49" s="53">
        <f>AJN48+AJN47+AJN46</f>
        <v/>
      </c>
      <c r="AJO49" s="53">
        <f>AJO48+AJO47+AJO46</f>
        <v/>
      </c>
      <c r="AJP49" s="53">
        <f>AJP48+AJP47+AJP46</f>
        <v/>
      </c>
      <c r="AJQ49" s="53">
        <f>AJQ48+AJQ47+AJQ46</f>
        <v/>
      </c>
      <c r="AJR49" s="53">
        <f>AJR48+AJR47+AJR46</f>
        <v/>
      </c>
      <c r="AJS49" s="53">
        <f>AJS48+AJS47+AJS46</f>
        <v/>
      </c>
      <c r="AJT49" s="53">
        <f>AJT48+AJT47+AJT46</f>
        <v/>
      </c>
      <c r="AJU49" s="53">
        <f>AJU48+AJU47+AJU46</f>
        <v/>
      </c>
      <c r="AJV49" s="53">
        <f>AJV48+AJV47+AJV46</f>
        <v/>
      </c>
      <c r="AJW49" s="53">
        <f>AJW48+AJW47+AJW46</f>
        <v/>
      </c>
      <c r="AJX49" s="53">
        <f>AJX48+AJX47+AJX46</f>
        <v/>
      </c>
      <c r="AJY49" s="53">
        <f>AJY48+AJY47+AJY46</f>
        <v/>
      </c>
      <c r="AJZ49" s="53">
        <f>AJZ48+AJZ47+AJZ46</f>
        <v/>
      </c>
      <c r="AKA49" s="53">
        <f>AKA48+AKA47+AKA46</f>
        <v/>
      </c>
      <c r="AKB49" s="53">
        <f>AKB48+AKB47+AKB46</f>
        <v/>
      </c>
      <c r="AKC49" s="53">
        <f>AKC48+AKC47+AKC46</f>
        <v/>
      </c>
      <c r="AKD49" s="53">
        <f>AKD48+AKD47+AKD46</f>
        <v/>
      </c>
      <c r="AKE49" s="53">
        <f>AKE48+AKE47+AKE46</f>
        <v/>
      </c>
      <c r="AKF49" s="53">
        <f>AKF48+AKF47+AKF46</f>
        <v/>
      </c>
      <c r="AKG49" s="53">
        <f>AKG48+AKG47+AKG46</f>
        <v/>
      </c>
      <c r="AKH49" s="53">
        <f>AKH48+AKH47+AKH46</f>
        <v/>
      </c>
      <c r="AKI49" s="53">
        <f>AKI48+AKI47+AKI46</f>
        <v/>
      </c>
      <c r="AKJ49" s="53">
        <f>AKJ48+AKJ47+AKJ46</f>
        <v/>
      </c>
      <c r="AKK49" s="53">
        <f>AKK48+AKK47+AKK46</f>
        <v/>
      </c>
      <c r="AKL49" s="53">
        <f>AKL48+AKL47+AKL46</f>
        <v/>
      </c>
      <c r="AKM49" s="53">
        <f>AKM48+AKM47+AKM46</f>
        <v/>
      </c>
      <c r="AKN49" s="53" t="n"/>
      <c r="AKO49" s="53">
        <f>AKO48+AKO47+AKO46</f>
        <v/>
      </c>
      <c r="AKP49" s="53">
        <f>AKP48+AKP47+AKP46</f>
        <v/>
      </c>
      <c r="AKQ49" s="53">
        <f>AKQ48+AKQ47+AKQ46</f>
        <v/>
      </c>
      <c r="AKR49" s="53">
        <f>AKR48+AKR47+AKR46</f>
        <v/>
      </c>
      <c r="AKS49" s="53">
        <f>AKS48+AKS47+AKS46</f>
        <v/>
      </c>
      <c r="AKT49" s="53">
        <f>AKT48+AKT47+AKT46</f>
        <v/>
      </c>
      <c r="AKU49" s="53">
        <f>AKU48+AKU47+AKU46</f>
        <v/>
      </c>
      <c r="AKV49" s="53">
        <f>AKV48+AKV47+AKV46</f>
        <v/>
      </c>
      <c r="AKW49" s="53">
        <f>AKW48+AKW47+AKW46</f>
        <v/>
      </c>
      <c r="AKX49" s="53">
        <f>AKX48+AKX47+AKX46</f>
        <v/>
      </c>
      <c r="AKY49" s="53">
        <f>AKY48+AKY47+AKY46</f>
        <v/>
      </c>
      <c r="AKZ49" s="53">
        <f>AKZ48+AKZ47+AKZ46</f>
        <v/>
      </c>
      <c r="ALA49" s="53">
        <f>ALA48+ALA47+ALA46</f>
        <v/>
      </c>
      <c r="ALB49" s="53">
        <f>ALB48+ALB47+ALB46</f>
        <v/>
      </c>
      <c r="ALC49" s="53">
        <f>ALC48+ALC47+ALC46</f>
        <v/>
      </c>
      <c r="ALD49" s="53">
        <f>ALD48+ALD47+ALD46</f>
        <v/>
      </c>
      <c r="ALE49" s="53">
        <f>ALE48+ALE47+ALE46</f>
        <v/>
      </c>
      <c r="ALF49" s="53">
        <f>ALF48+ALF47+ALF46</f>
        <v/>
      </c>
      <c r="ALG49" s="53">
        <f>ALG48+ALG47+ALG46</f>
        <v/>
      </c>
      <c r="ALH49" s="53">
        <f>ALH48+ALH47+ALH46</f>
        <v/>
      </c>
      <c r="ALI49" s="53">
        <f>ALI48+ALI47+ALI46</f>
        <v/>
      </c>
      <c r="ALJ49" s="53">
        <f>ALJ48+ALJ47+ALJ46</f>
        <v/>
      </c>
      <c r="ALK49" s="53">
        <f>ALK48+ALK47+ALK46</f>
        <v/>
      </c>
      <c r="ALL49" s="53">
        <f>ALL48+ALL47+ALL46</f>
        <v/>
      </c>
      <c r="ALM49" s="53">
        <f>ALM48+ALM47+ALM46</f>
        <v/>
      </c>
      <c r="ALN49" s="53">
        <f>ALN48+ALN47+ALN46</f>
        <v/>
      </c>
      <c r="ALO49" s="53">
        <f>ALO48+ALO47+ALO46</f>
        <v/>
      </c>
      <c r="ALP49" s="53">
        <f>ALP48+ALP47+ALP46</f>
        <v/>
      </c>
      <c r="ALQ49" s="53">
        <f>ALQ48+ALQ47+ALQ46</f>
        <v/>
      </c>
      <c r="ALR49" s="53">
        <f>ALR48+ALR47+ALR46</f>
        <v/>
      </c>
      <c r="ALS49" s="53">
        <f>ALS48+ALS47+ALS46</f>
        <v/>
      </c>
      <c r="ALT49" s="130" t="n"/>
      <c r="ALU49" s="53">
        <f>ALU48+ALU47+ALU46</f>
        <v/>
      </c>
      <c r="ALV49" s="53">
        <f>ALV48+ALV47+ALV46</f>
        <v/>
      </c>
      <c r="ALW49" s="53">
        <f>ALW48+ALW47+ALW46</f>
        <v/>
      </c>
      <c r="ALX49" s="53">
        <f>ALX48+ALX47+ALX46</f>
        <v/>
      </c>
      <c r="ALY49" s="53">
        <f>ALY48+ALY47+ALY46</f>
        <v/>
      </c>
      <c r="ALZ49" s="53">
        <f>ALZ48+ALZ47+ALZ46</f>
        <v/>
      </c>
      <c r="AMA49" s="53">
        <f>AMA48+AMA47+AMA46</f>
        <v/>
      </c>
      <c r="AMB49" s="53">
        <f>AMB48+AMB47+AMB46</f>
        <v/>
      </c>
      <c r="AMC49" s="53">
        <f>AMC48+AMC47+AMC46</f>
        <v/>
      </c>
      <c r="AMD49" s="53">
        <f>AMD48+AMD47+AMD46</f>
        <v/>
      </c>
      <c r="AME49" s="53">
        <f>AME48+AME47+AME46</f>
        <v/>
      </c>
      <c r="AMF49" s="53">
        <f>AMF48+AMF47+AMF46</f>
        <v/>
      </c>
      <c r="AMG49" s="53">
        <f>AMG48+AMG47+AMG46</f>
        <v/>
      </c>
      <c r="AMH49" s="53">
        <f>AMH48+AMH47+AMH46</f>
        <v/>
      </c>
      <c r="AMI49" s="53">
        <f>AMI48+AMI47+AMI46</f>
        <v/>
      </c>
      <c r="AMJ49" s="53">
        <f>AMJ48+AMJ47+AMJ46</f>
        <v/>
      </c>
      <c r="AMK49" s="53">
        <f>AMK48+AMK47+AMK46</f>
        <v/>
      </c>
      <c r="AML49" s="53">
        <f>AML48+AML47+AML46</f>
        <v/>
      </c>
      <c r="AMM49" s="53">
        <f>AMM48+AMM47+AMM46</f>
        <v/>
      </c>
      <c r="AMN49" s="53">
        <f>AMN48+AMN47+AMN46</f>
        <v/>
      </c>
      <c r="AMO49" s="53">
        <f>AMO48+AMO47+AMO46</f>
        <v/>
      </c>
      <c r="AMP49" s="53">
        <f>AMP48+AMP47+AMP46</f>
        <v/>
      </c>
      <c r="AMQ49" s="53">
        <f>AMQ48+AMQ47+AMQ46</f>
        <v/>
      </c>
      <c r="AMR49" s="53">
        <f>AMR48+AMR47+AMR46</f>
        <v/>
      </c>
      <c r="AMS49" s="53">
        <f>AMS48+AMS47+AMS46</f>
        <v/>
      </c>
      <c r="AMT49" s="53">
        <f>AMT48+AMT47+AMT46</f>
        <v/>
      </c>
      <c r="AMU49" s="53">
        <f>AMU48+AMU47+AMU46</f>
        <v/>
      </c>
      <c r="AMV49" s="53">
        <f>AMV48+AMV47+AMV46</f>
        <v/>
      </c>
      <c r="AMW49" s="53">
        <f>AMW48+AMW47+AMW46</f>
        <v/>
      </c>
      <c r="AMX49" s="53">
        <f>AMX48+AMX47+AMX46</f>
        <v/>
      </c>
      <c r="AMY49" s="130" t="n"/>
      <c r="AMZ49" s="53">
        <f>AMZ48+AMZ47+AMZ46</f>
        <v/>
      </c>
      <c r="ANA49" s="53">
        <f>ANA48+ANA47+ANA46</f>
        <v/>
      </c>
      <c r="ANB49" s="53">
        <f>ANB48+ANB47+ANB46</f>
        <v/>
      </c>
      <c r="ANC49" s="53">
        <f>ANC48+ANC47+ANC46</f>
        <v/>
      </c>
      <c r="AND49" s="53">
        <f>AND48+AND47+AND46</f>
        <v/>
      </c>
      <c r="ANE49" s="53">
        <f>ANE48+ANE47+ANE46</f>
        <v/>
      </c>
      <c r="ANF49" s="53">
        <f>ANF48+ANF47+ANF46</f>
        <v/>
      </c>
      <c r="ANG49" s="53">
        <f>ANG48+ANG47+ANG46</f>
        <v/>
      </c>
      <c r="ANH49" s="53">
        <f>ANH48+ANH47+ANH46</f>
        <v/>
      </c>
      <c r="ANI49" s="53">
        <f>ANI48+ANI47+ANI46</f>
        <v/>
      </c>
      <c r="ANJ49" s="53">
        <f>ANJ48+ANJ47+ANJ46</f>
        <v/>
      </c>
      <c r="ANK49" s="53">
        <f>ANK48+ANK47+ANK46</f>
        <v/>
      </c>
      <c r="ANL49" s="53">
        <f>ANL48+ANL47+ANL46</f>
        <v/>
      </c>
      <c r="ANM49" s="53">
        <f>ANM48+ANM47+ANM46</f>
        <v/>
      </c>
      <c r="ANN49" s="53">
        <f>ANN48+ANN47+ANN46</f>
        <v/>
      </c>
      <c r="ANO49" s="53">
        <f>ANO48+ANO47+ANO46</f>
        <v/>
      </c>
      <c r="ANP49" s="53">
        <f>ANP48+ANP47+ANP46</f>
        <v/>
      </c>
      <c r="ANQ49" s="53">
        <f>ANQ48+ANQ47+ANQ46</f>
        <v/>
      </c>
      <c r="ANR49" s="53">
        <f>ANR48+ANR47+ANR46</f>
        <v/>
      </c>
      <c r="ANS49" s="53">
        <f>ANS48+ANS47+ANS46</f>
        <v/>
      </c>
      <c r="ANT49" s="53">
        <f>ANT48+ANT47+ANT46</f>
        <v/>
      </c>
      <c r="ANU49" s="53">
        <f>ANU48+ANU47+ANU46</f>
        <v/>
      </c>
      <c r="ANV49" s="53">
        <f>ANV48+ANV47+ANV46</f>
        <v/>
      </c>
      <c r="ANW49" s="53">
        <f>ANW48+ANW47+ANW46</f>
        <v/>
      </c>
      <c r="ANX49" s="53">
        <f>ANX48+ANX47+ANX46</f>
        <v/>
      </c>
      <c r="ANY49" s="53">
        <f>ANY48+ANY47+ANY46</f>
        <v/>
      </c>
      <c r="ANZ49" s="53">
        <f>ANZ48+ANZ47+ANZ46</f>
        <v/>
      </c>
      <c r="AOA49" s="53">
        <f>AOA48+AOA47+AOA46</f>
        <v/>
      </c>
      <c r="AOB49" s="53">
        <f>AOB48+AOB47+AOB46</f>
        <v/>
      </c>
      <c r="AOC49" s="53">
        <f>AOC48+AOC47+AOC46</f>
        <v/>
      </c>
    </row>
    <row r="50">
      <c r="A50" s="70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98" t="n"/>
      <c r="BM50" s="105" t="n"/>
      <c r="DX50" s="117" t="n"/>
      <c r="FD50" s="126" t="n"/>
      <c r="GJ50" s="130" t="n"/>
      <c r="HN50" s="130" t="n"/>
      <c r="IT50" s="130" t="n"/>
      <c r="JY50" s="130" t="n"/>
      <c r="LE50" s="130" t="n"/>
      <c r="MJ50" s="130" t="n"/>
      <c r="NP50" s="130" t="n"/>
      <c r="OV50" s="130" t="n"/>
      <c r="QA50" s="130" t="n"/>
      <c r="RG50" s="130" t="n"/>
      <c r="SL50" s="130" t="n"/>
      <c r="TR50" s="130" t="n"/>
      <c r="UX50" s="130" t="n"/>
      <c r="WA50" s="130" t="n"/>
      <c r="XG50" s="130" t="n"/>
      <c r="YL50" s="130" t="n"/>
      <c r="ZR50" s="130" t="n"/>
      <c r="AAW50" s="130" t="n"/>
      <c r="ACC50" s="130" t="n"/>
      <c r="ADI50" s="130" t="n"/>
      <c r="AEN50" s="130" t="n"/>
      <c r="AFT50" s="130" t="n"/>
      <c r="AGY50" s="130" t="n"/>
      <c r="AIE50" s="130" t="n"/>
      <c r="AJK50" s="145" t="n"/>
      <c r="AKN50" s="145" t="n"/>
      <c r="ALT50" s="130" t="n"/>
      <c r="AMY50" s="130" t="n"/>
    </row>
    <row r="51">
      <c r="B51" s="70" t="inlineStr">
        <is>
          <t>TOTAL CAPITAL AT HAND</t>
        </is>
      </c>
      <c r="C51" s="71">
        <f>C13+C37+C49-C44</f>
        <v/>
      </c>
      <c r="D51" s="71">
        <f>D13+D37+D49-D44</f>
        <v/>
      </c>
      <c r="E51" s="71">
        <f>E13+E37+E49-E44</f>
        <v/>
      </c>
      <c r="F51" s="71">
        <f>F13+F37+F49-F44</f>
        <v/>
      </c>
      <c r="G51" s="71">
        <f>G13+G37+G49-G44</f>
        <v/>
      </c>
      <c r="H51" s="71">
        <f>H13+H37+H49-H44</f>
        <v/>
      </c>
      <c r="I51" s="71">
        <f>I13+I37+I49-I44</f>
        <v/>
      </c>
      <c r="J51" s="71">
        <f>J13+J37+J49-J44</f>
        <v/>
      </c>
      <c r="K51" s="71">
        <f>K13+K37+K49-K44</f>
        <v/>
      </c>
      <c r="L51" s="71">
        <f>L13+L37+L49-L44</f>
        <v/>
      </c>
      <c r="M51" s="71">
        <f>M13+M37+M49-M44</f>
        <v/>
      </c>
      <c r="N51" s="71">
        <f>N13+N37+N49-N44</f>
        <v/>
      </c>
      <c r="O51" s="71">
        <f>O13+O37+O49-O44</f>
        <v/>
      </c>
      <c r="P51" s="71">
        <f>P13+P37+P49-P44</f>
        <v/>
      </c>
      <c r="Q51" s="71">
        <f>Q13+Q37+Q49-Q44</f>
        <v/>
      </c>
      <c r="R51" s="71">
        <f>R13+R37+R49-R44</f>
        <v/>
      </c>
      <c r="S51" s="71">
        <f>S13+S37+S49-S44</f>
        <v/>
      </c>
      <c r="T51" s="71">
        <f>T13+T37+T49-T44</f>
        <v/>
      </c>
      <c r="U51" s="71">
        <f>U13+U37+U49-U44</f>
        <v/>
      </c>
      <c r="V51" s="71">
        <f>V13+V37+V49-V44</f>
        <v/>
      </c>
      <c r="W51" s="71">
        <f>W13+W37+W49-W44</f>
        <v/>
      </c>
      <c r="X51" s="71">
        <f>X13+X37+X49-X44</f>
        <v/>
      </c>
      <c r="Y51" s="71">
        <f>Y13+Y37+Y49-Y44</f>
        <v/>
      </c>
      <c r="Z51" s="71">
        <f>Z13+Z37+Z49-Z44</f>
        <v/>
      </c>
      <c r="AA51" s="71">
        <f>AA13+AA37+AA49-AA44</f>
        <v/>
      </c>
      <c r="AB51" s="71">
        <f>AB13+AB37+AB49-AB44</f>
        <v/>
      </c>
      <c r="AC51" s="71">
        <f>AC13+AC37+AC49-AC44</f>
        <v/>
      </c>
      <c r="AD51" s="71">
        <f>AD13+AD37+AD49-AD44</f>
        <v/>
      </c>
      <c r="AE51" s="71">
        <f>AE13+AE37+AE49-AE44</f>
        <v/>
      </c>
      <c r="AF51" s="71">
        <f>AF13+AF37+AF49-AF44</f>
        <v/>
      </c>
      <c r="AG51" s="71">
        <f>AG13+AG37+AG49-AG44</f>
        <v/>
      </c>
      <c r="AH51" s="67">
        <f>AG51</f>
        <v/>
      </c>
      <c r="AI51" s="71">
        <f>AI13+AI37+AI49-AI44</f>
        <v/>
      </c>
      <c r="AJ51" s="71">
        <f>AJ13+AJ37+AJ49-AJ44</f>
        <v/>
      </c>
      <c r="AK51" s="71">
        <f>AK13+AK37+AK49-AK44</f>
        <v/>
      </c>
      <c r="AL51" s="71">
        <f>AL13+AL37+AL49-AL44</f>
        <v/>
      </c>
      <c r="AM51" s="71">
        <f>AM13+AM37+AM49-AM44</f>
        <v/>
      </c>
      <c r="AN51" s="71">
        <f>AN13+AN37+AN49-AN44</f>
        <v/>
      </c>
      <c r="AO51" s="71">
        <f>AO13+AO37+AO49-AO44</f>
        <v/>
      </c>
      <c r="AP51" s="71">
        <f>AP13+AP37+AP49-AP44</f>
        <v/>
      </c>
      <c r="AQ51" s="71">
        <f>AQ13+AQ37+AQ49-AQ44</f>
        <v/>
      </c>
      <c r="AR51" s="71">
        <f>AR13+AR37+AR49-AR44</f>
        <v/>
      </c>
      <c r="AS51" s="71">
        <f>AS13+AS37+AS49-AS44</f>
        <v/>
      </c>
      <c r="AT51" s="71">
        <f>AT13+AT37+AT49-AT44</f>
        <v/>
      </c>
      <c r="AU51" s="71">
        <f>AU13+AU37+AU49-AU44</f>
        <v/>
      </c>
      <c r="AV51" s="71">
        <f>AV13+AV37+AV49-AV44</f>
        <v/>
      </c>
      <c r="AW51" s="71">
        <f>AW13+AW37+AW49-AW44</f>
        <v/>
      </c>
      <c r="AX51" s="71">
        <f>AX13+AX37+AX49-AX44</f>
        <v/>
      </c>
      <c r="AY51" s="71">
        <f>AY13+AY37+AY49-AY44</f>
        <v/>
      </c>
      <c r="AZ51" s="71">
        <f>AZ13+AZ37+AZ49-AZ44</f>
        <v/>
      </c>
      <c r="BA51" s="71">
        <f>BA13+BA37+BA49-BA44</f>
        <v/>
      </c>
      <c r="BB51" s="71">
        <f>BB13+BB37+BB49-BB44</f>
        <v/>
      </c>
      <c r="BC51" s="71">
        <f>BC13+BC37+BC49-BC44</f>
        <v/>
      </c>
      <c r="BD51" s="71">
        <f>BD13+BD37+BD49-BD44</f>
        <v/>
      </c>
      <c r="BE51" s="71">
        <f>BE13+BE37+BE49-BE44</f>
        <v/>
      </c>
      <c r="BF51" s="71">
        <f>BF13+BF37+BF49-BF44</f>
        <v/>
      </c>
      <c r="BG51" s="71">
        <f>BG13+BG37+BG49-BG44</f>
        <v/>
      </c>
      <c r="BH51" s="71">
        <f>BH13+BH37+BH49-BH44</f>
        <v/>
      </c>
      <c r="BI51" s="71">
        <f>BI13+BI37+BI49-BI44</f>
        <v/>
      </c>
      <c r="BJ51" s="71">
        <f>BJ13+BJ37+BJ49-BJ44</f>
        <v/>
      </c>
      <c r="BK51" s="71">
        <f>BK13+BK37+BK49-BK44</f>
        <v/>
      </c>
      <c r="BL51" s="71">
        <f>BL13+BL37+BL49-BL44</f>
        <v/>
      </c>
      <c r="BM51" s="106">
        <f>BL51</f>
        <v/>
      </c>
      <c r="BN51" s="71">
        <f>BN13+BN37+BN49-BN44</f>
        <v/>
      </c>
      <c r="BO51" s="71">
        <f>BO13+BO37+BO49-BO44</f>
        <v/>
      </c>
      <c r="BP51" s="71">
        <f>BP13+BP37+BP49-BP44</f>
        <v/>
      </c>
      <c r="BQ51" s="71">
        <f>BQ13+BQ37+BQ49-BQ44</f>
        <v/>
      </c>
      <c r="BR51" s="71">
        <f>BR13+BR37+BR49-BR44</f>
        <v/>
      </c>
      <c r="BS51" s="71">
        <f>BS13+BS37+BS49-BS44</f>
        <v/>
      </c>
      <c r="BT51" s="71">
        <f>BT13+BT37+BT49-BT44</f>
        <v/>
      </c>
      <c r="BU51" s="71">
        <f>BU13+BU37+BU49-BU44</f>
        <v/>
      </c>
      <c r="BV51" s="71">
        <f>BV13+BV37+BV49-BV44</f>
        <v/>
      </c>
      <c r="BW51" s="71">
        <f>BW13+BW37+BW49-BW44</f>
        <v/>
      </c>
      <c r="BX51" s="71">
        <f>BX13+BX37+BX49-BX44</f>
        <v/>
      </c>
      <c r="BY51" s="71">
        <f>BY13+BY37+BY49-BY44</f>
        <v/>
      </c>
      <c r="BZ51" s="71">
        <f>BZ13+BZ37+BZ49-BZ44</f>
        <v/>
      </c>
      <c r="CA51" s="71">
        <f>CA13+CA37+CA49-CA44</f>
        <v/>
      </c>
      <c r="CB51" s="71">
        <f>CB13+CB37+CB49-CB44</f>
        <v/>
      </c>
      <c r="CC51" s="71">
        <f>CC13+CC37+CC49-CC44</f>
        <v/>
      </c>
      <c r="CD51" s="71">
        <f>CD13+CD37+CD49-CD44</f>
        <v/>
      </c>
      <c r="CE51" s="71">
        <f>CE13+CE37+CE49-CE44</f>
        <v/>
      </c>
      <c r="CF51" s="71">
        <f>CF13+CF37+CF49-CF44</f>
        <v/>
      </c>
      <c r="CG51" s="71">
        <f>CG13+CG37+CG49-CG44</f>
        <v/>
      </c>
      <c r="CH51" s="71">
        <f>CH13+CH37+CH49-CH44</f>
        <v/>
      </c>
      <c r="CI51" s="71">
        <f>CI13+CI37+CI49-CI44</f>
        <v/>
      </c>
      <c r="CJ51" s="71">
        <f>CJ13+CJ37+CJ49-CJ44</f>
        <v/>
      </c>
      <c r="CK51" s="71">
        <f>CK13+CK37+CK49-CK44</f>
        <v/>
      </c>
      <c r="CL51" s="71">
        <f>CL13+CL37+CL49-CL44</f>
        <v/>
      </c>
      <c r="CM51" s="71">
        <f>CM13+CM37+CM49-CM44</f>
        <v/>
      </c>
      <c r="CN51" s="71">
        <f>CN13+CN37+CN49-CN44</f>
        <v/>
      </c>
      <c r="CO51" s="71">
        <f>CO13+CO37+CO49-CO44</f>
        <v/>
      </c>
      <c r="CP51" s="71">
        <f>CP13+CP37+CP49-CP44</f>
        <v/>
      </c>
      <c r="CQ51" s="71">
        <f>CQ13+CQ37+CQ49-CQ44</f>
        <v/>
      </c>
      <c r="CR51" s="71">
        <f>CR13+CR37+CR49-CR44</f>
        <v/>
      </c>
      <c r="CS51" s="82">
        <f>SUM(BN51:CR51)</f>
        <v/>
      </c>
      <c r="CT51" s="71">
        <f>CT13+CT37+CT49-CT44</f>
        <v/>
      </c>
      <c r="CU51" s="71">
        <f>CU13+CU37+CU49-CU44</f>
        <v/>
      </c>
      <c r="CV51" s="71">
        <f>CV13+CV37+CV49-CV44</f>
        <v/>
      </c>
      <c r="CW51" s="71">
        <f>CW13+CW37+CW49-CW44</f>
        <v/>
      </c>
      <c r="CX51" s="71">
        <f>CX13+CX37+CX49-CX44</f>
        <v/>
      </c>
      <c r="CY51" s="71">
        <f>CY13+CY37+CY49-CY44</f>
        <v/>
      </c>
      <c r="CZ51" s="71">
        <f>CZ13+CZ37+CZ49-CZ44</f>
        <v/>
      </c>
      <c r="DA51" s="71">
        <f>DA13+DA37+DA49-DA44</f>
        <v/>
      </c>
      <c r="DB51" s="71">
        <f>DB13+DB37+DB49-DB44</f>
        <v/>
      </c>
      <c r="DC51" s="71">
        <f>DC13+DC37+DC49-DC44</f>
        <v/>
      </c>
      <c r="DD51" s="71">
        <f>DD13+DD37+DD49-DD44</f>
        <v/>
      </c>
      <c r="DE51" s="71">
        <f>DE13+DE37+DE49-DE44</f>
        <v/>
      </c>
      <c r="DF51" s="71">
        <f>DF13+DF37+DF49-DF44</f>
        <v/>
      </c>
      <c r="DG51" s="71">
        <f>DG13+DG37+DG49-DG44</f>
        <v/>
      </c>
      <c r="DH51" s="71">
        <f>DH13+DH37+DH49-DH44</f>
        <v/>
      </c>
      <c r="DI51" s="71">
        <f>DI13+DI37+DI49-DI44</f>
        <v/>
      </c>
      <c r="DJ51" s="71">
        <f>DJ13+DJ37+DJ49-DJ44</f>
        <v/>
      </c>
      <c r="DK51" s="71">
        <f>DK13+DK37+DK49-DK44</f>
        <v/>
      </c>
      <c r="DL51" s="71">
        <f>DL13+DL37+DL49-DL44</f>
        <v/>
      </c>
      <c r="DM51" s="71">
        <f>DM13+DM37+DM49-DM44</f>
        <v/>
      </c>
      <c r="DN51" s="71">
        <f>DN13+DN37+DN49-DN44</f>
        <v/>
      </c>
      <c r="DO51" s="71">
        <f>DO13+DO37+DO49-DO44</f>
        <v/>
      </c>
      <c r="DP51" s="71">
        <f>DP13+DP37+DP49-DP44</f>
        <v/>
      </c>
      <c r="DQ51" s="71">
        <f>DQ13+DQ37+DQ49-DQ44</f>
        <v/>
      </c>
      <c r="DR51" s="71">
        <f>DR13+DR37+DR49-DR44</f>
        <v/>
      </c>
      <c r="DS51" s="71">
        <f>DS13+DS37+DS49-DS44</f>
        <v/>
      </c>
      <c r="DT51" s="71">
        <f>DT13+DT37+DT49-DT44</f>
        <v/>
      </c>
      <c r="DU51" s="71">
        <f>DU13+DU37+DU49-DU44</f>
        <v/>
      </c>
      <c r="DV51" s="71">
        <f>DV13+DV37+DV49-DV44</f>
        <v/>
      </c>
      <c r="DW51" s="71">
        <f>DW13+DW37+DW49-DW44</f>
        <v/>
      </c>
      <c r="DX51" s="71">
        <f>DX13+DX37+DX49-DX44</f>
        <v/>
      </c>
      <c r="DY51" s="71">
        <f>DY13+DY37+DY49-DY44</f>
        <v/>
      </c>
      <c r="DZ51" s="71">
        <f>DZ13+DZ37+DZ49-DZ44</f>
        <v/>
      </c>
      <c r="EA51" s="71">
        <f>EA13+EA37+EA49-EA44</f>
        <v/>
      </c>
      <c r="EB51" s="71">
        <f>EB13+EB37+EB49-EB44</f>
        <v/>
      </c>
      <c r="EC51" s="71">
        <f>EC13+EC37+EC49-EC44</f>
        <v/>
      </c>
      <c r="ED51" s="71">
        <f>ED13+ED37+ED49-ED44</f>
        <v/>
      </c>
      <c r="EE51" s="71">
        <f>EE13+EE37+EE49-EE44</f>
        <v/>
      </c>
      <c r="EF51" s="71">
        <f>EF13+EF37+EF49-EF44</f>
        <v/>
      </c>
      <c r="EG51" s="71">
        <f>EG13+EG37+EG49-EG44</f>
        <v/>
      </c>
      <c r="EH51" s="71">
        <f>EH13+EH37+EH49-EH44</f>
        <v/>
      </c>
      <c r="EI51" s="71">
        <f>EI13+EI37+EI49-EI44</f>
        <v/>
      </c>
      <c r="EJ51" s="71">
        <f>EJ13+EJ37+EJ49-EJ44</f>
        <v/>
      </c>
      <c r="EK51" s="71">
        <f>EK13+EK37+EK49-EK44</f>
        <v/>
      </c>
      <c r="EL51" s="71">
        <f>EL13+EL37+EL49-EL44</f>
        <v/>
      </c>
      <c r="EM51" s="71">
        <f>EM13+EM37+EM49-EM44</f>
        <v/>
      </c>
      <c r="EN51" s="71">
        <f>EN13+EN37+EN49-EN44</f>
        <v/>
      </c>
      <c r="EO51" s="71">
        <f>EO13+EO37+EO49-EO44</f>
        <v/>
      </c>
      <c r="EP51" s="71">
        <f>EP13+EP37+EP49-EP44</f>
        <v/>
      </c>
      <c r="EQ51" s="71">
        <f>EQ13+EQ37+EQ49-EQ44</f>
        <v/>
      </c>
      <c r="ER51" s="71">
        <f>ER13+ER37+ER49-ER44</f>
        <v/>
      </c>
      <c r="ES51" s="71">
        <f>ES13+ES37+ES49-ES44</f>
        <v/>
      </c>
      <c r="ET51" s="71">
        <f>ET13+ET37+ET49-ET44</f>
        <v/>
      </c>
      <c r="EU51" s="71">
        <f>EU13+EU37+EU49-EU44</f>
        <v/>
      </c>
      <c r="EV51" s="71">
        <f>EV13+EV37+EV49-EV44</f>
        <v/>
      </c>
      <c r="EW51" s="71">
        <f>EW13+EW37+EW49-EW44</f>
        <v/>
      </c>
      <c r="EX51" s="71">
        <f>EX13+EX37+EX49-EX44</f>
        <v/>
      </c>
      <c r="EY51" s="71">
        <f>EY13+EY37+EY49-EY44</f>
        <v/>
      </c>
      <c r="EZ51" s="71">
        <f>EZ13+EZ37+EZ49-EZ44</f>
        <v/>
      </c>
      <c r="FA51" s="71">
        <f>FA13+FA37+FA49-FA44</f>
        <v/>
      </c>
      <c r="FB51" s="71">
        <f>FB13+FB37+FB49-FB44</f>
        <v/>
      </c>
      <c r="FC51" s="71">
        <f>FC13+FC37+FC49-FC44</f>
        <v/>
      </c>
      <c r="FD51" s="126" t="n"/>
      <c r="FE51" s="71">
        <f>FE13+FE37+FE49-FE44</f>
        <v/>
      </c>
      <c r="FF51" s="71">
        <f>FF13+FF37+FF49-FF44</f>
        <v/>
      </c>
      <c r="FG51" s="71">
        <f>FG13+FG37+FG49-FG44</f>
        <v/>
      </c>
      <c r="FH51" s="71">
        <f>FH13+FH37+FH49-FH44</f>
        <v/>
      </c>
      <c r="FI51" s="71">
        <f>FI13+FI37+FI49-FI44</f>
        <v/>
      </c>
      <c r="FJ51" s="71">
        <f>FJ13+FJ37+FJ49-FJ44</f>
        <v/>
      </c>
      <c r="FK51" s="71">
        <f>FK13+FK37+FK49-FK44</f>
        <v/>
      </c>
      <c r="FL51" s="71">
        <f>FL13+FL37+FL49-FL44</f>
        <v/>
      </c>
      <c r="FM51" s="71">
        <f>FM13+FM37+FM49-FM44</f>
        <v/>
      </c>
      <c r="FN51" s="71">
        <f>FN13+FN37+FN49-FN44</f>
        <v/>
      </c>
      <c r="FO51" s="71">
        <f>FO13+FO37+FO49-FO44</f>
        <v/>
      </c>
      <c r="FP51" s="71">
        <f>FP13+FP37+FP49-FP44</f>
        <v/>
      </c>
      <c r="FQ51" s="71">
        <f>FQ13+FQ37+FQ49-FQ44</f>
        <v/>
      </c>
      <c r="FR51" s="71">
        <f>FR13+FR37+FR49-FR44</f>
        <v/>
      </c>
      <c r="FS51" s="71">
        <f>FS13+FS37+FS49-FS44</f>
        <v/>
      </c>
      <c r="FT51" s="71">
        <f>FT13+FT37+FT49-FT44</f>
        <v/>
      </c>
      <c r="FU51" s="71">
        <f>FU13+FU37+FU49-FU44</f>
        <v/>
      </c>
      <c r="FV51" s="71">
        <f>FV13+FV37+FV49-FV44</f>
        <v/>
      </c>
      <c r="FW51" s="71">
        <f>FW13+FW37+FW49-FW44</f>
        <v/>
      </c>
      <c r="FX51" s="71">
        <f>FX13+FX37+FX49-FX44</f>
        <v/>
      </c>
      <c r="FY51" s="71">
        <f>FY13+FY37+FY49-FY44</f>
        <v/>
      </c>
      <c r="FZ51" s="71">
        <f>FZ13+FZ37+FZ49-FZ44</f>
        <v/>
      </c>
      <c r="GA51" s="71">
        <f>GA13+GA37+GA49-GA44</f>
        <v/>
      </c>
      <c r="GB51" s="71">
        <f>GB13+GB37+GB49-GB44</f>
        <v/>
      </c>
      <c r="GC51" s="71">
        <f>GC13+GC37+GC49-GC44</f>
        <v/>
      </c>
      <c r="GD51" s="71">
        <f>GD13+GD37+GD49-GD44</f>
        <v/>
      </c>
      <c r="GE51" s="71">
        <f>GE13+GE37+GE49-GE44</f>
        <v/>
      </c>
      <c r="GF51" s="71">
        <f>GF13+GF37+GF49-GF44</f>
        <v/>
      </c>
      <c r="GG51" s="71">
        <f>GG13+GG37+GG49-GG44</f>
        <v/>
      </c>
      <c r="GH51" s="71">
        <f>GH13+GH37+GH49-GH44</f>
        <v/>
      </c>
      <c r="GI51" s="71">
        <f>GI13+GI37+GI49-GI44</f>
        <v/>
      </c>
      <c r="GJ51" s="130" t="n"/>
      <c r="GK51" s="71">
        <f>GK13+GK37+GK49-GK44</f>
        <v/>
      </c>
      <c r="GL51" s="71">
        <f>GL13+GL37+GL49-GL44</f>
        <v/>
      </c>
      <c r="GM51" s="71">
        <f>GM13+GM37+GM49-GM44</f>
        <v/>
      </c>
      <c r="GN51" s="71">
        <f>GN13+GN37+GN49-GN44</f>
        <v/>
      </c>
      <c r="GO51" s="71">
        <f>GO13+GO37+GO49-GO44</f>
        <v/>
      </c>
      <c r="GP51" s="71">
        <f>GP13+GP37+GP49-GP44</f>
        <v/>
      </c>
      <c r="GQ51" s="71">
        <f>GQ13+GQ37+GQ49-GQ44</f>
        <v/>
      </c>
      <c r="GR51" s="71">
        <f>GR13+GR37+GR49-GR44</f>
        <v/>
      </c>
      <c r="GS51" s="71">
        <f>GS13+GS37+GS49-GS44</f>
        <v/>
      </c>
      <c r="GT51" s="71">
        <f>GT13+GT37+GT49-GT44</f>
        <v/>
      </c>
      <c r="GU51" s="71">
        <f>GU13+GU37+GU49-GU44</f>
        <v/>
      </c>
      <c r="GV51" s="71">
        <f>GV13+GV37+GV49-GV44</f>
        <v/>
      </c>
      <c r="GW51" s="71">
        <f>GW13+GW37+GW49-GW44</f>
        <v/>
      </c>
      <c r="GX51" s="71">
        <f>GX13+GX37+GX49-GX44</f>
        <v/>
      </c>
      <c r="GY51" s="71">
        <f>GY13+GY37+GY49-GY44</f>
        <v/>
      </c>
      <c r="GZ51" s="71">
        <f>GZ13+GZ37+GZ49-GZ44</f>
        <v/>
      </c>
      <c r="HA51" s="71">
        <f>HA13+HA37+HA49-HA44</f>
        <v/>
      </c>
      <c r="HB51" s="71">
        <f>HB13+HB37+HB49-HB44</f>
        <v/>
      </c>
      <c r="HC51" s="71">
        <f>HC13+HC37+HC49-HC44</f>
        <v/>
      </c>
      <c r="HD51" s="71">
        <f>HD13+HD37+HD49-HD44</f>
        <v/>
      </c>
      <c r="HE51" s="71">
        <f>HE13+HE37+HE49-HE44</f>
        <v/>
      </c>
      <c r="HF51" s="71">
        <f>HF13+HF37+HF49-HF44</f>
        <v/>
      </c>
      <c r="HG51" s="71">
        <f>HG13+HG37+HG49-HG44</f>
        <v/>
      </c>
      <c r="HH51" s="71">
        <f>HH13+HH37+HH49-HH44</f>
        <v/>
      </c>
      <c r="HI51" s="71">
        <f>HI13+HI37+HI49-HI44</f>
        <v/>
      </c>
      <c r="HJ51" s="71">
        <f>HJ13+HJ37+HJ49-HJ44</f>
        <v/>
      </c>
      <c r="HK51" s="71">
        <f>HK13+HK37+HK49-HK44</f>
        <v/>
      </c>
      <c r="HL51" s="71">
        <f>HL13+HL37+HL49-HL44</f>
        <v/>
      </c>
      <c r="HM51" s="71">
        <f>HM13+HM37+HM49-HM44</f>
        <v/>
      </c>
      <c r="HN51" s="130" t="n"/>
      <c r="HO51" s="71">
        <f>HO13+HO37+HO49-HO44</f>
        <v/>
      </c>
      <c r="HP51" s="71">
        <f>HP13+HP37+HP49-HP44</f>
        <v/>
      </c>
      <c r="HQ51" s="71">
        <f>HQ13+HQ37+HQ49-HQ44</f>
        <v/>
      </c>
      <c r="HR51" s="71">
        <f>HR13+HR37+HR49-HR44</f>
        <v/>
      </c>
      <c r="HS51" s="71">
        <f>HS13+HS37+HS49-HS44</f>
        <v/>
      </c>
      <c r="HT51" s="71">
        <f>HT13+HT37+HT49-HT44</f>
        <v/>
      </c>
      <c r="HU51" s="71">
        <f>HU13+HU37+HU49-HU44</f>
        <v/>
      </c>
      <c r="HV51" s="71">
        <f>HV13+HV37+HV49-HV44</f>
        <v/>
      </c>
      <c r="HW51" s="71">
        <f>HW13+HW37+HW49-HW44</f>
        <v/>
      </c>
      <c r="HX51" s="71">
        <f>HX13+HX37+HX49-HX44</f>
        <v/>
      </c>
      <c r="HY51" s="71">
        <f>HY13+HY37+HY49-HY44</f>
        <v/>
      </c>
      <c r="HZ51" s="71">
        <f>HZ13+HZ37+HZ49-HZ44</f>
        <v/>
      </c>
      <c r="IA51" s="71">
        <f>IA13+IA37+IA49-IA44</f>
        <v/>
      </c>
      <c r="IB51" s="71">
        <f>IB13+IB37+IB49-IB44</f>
        <v/>
      </c>
      <c r="IC51" s="71">
        <f>IC13+IC37+IC49-IC44</f>
        <v/>
      </c>
      <c r="ID51" s="71">
        <f>ID13+ID37+ID49-ID44</f>
        <v/>
      </c>
      <c r="IE51" s="71">
        <f>IE13+IE37+IE49-IE44</f>
        <v/>
      </c>
      <c r="IF51" s="71">
        <f>IF13+IF37+IF49-IF44</f>
        <v/>
      </c>
      <c r="IG51" s="71">
        <f>IG13+IG37+IG49-IG44</f>
        <v/>
      </c>
      <c r="IH51" s="71">
        <f>IH13+IH37+IH49-IH44</f>
        <v/>
      </c>
      <c r="II51" s="71">
        <f>II13+II37+II49-II44</f>
        <v/>
      </c>
      <c r="IJ51" s="71">
        <f>IJ13+IJ37+IJ49-IJ44</f>
        <v/>
      </c>
      <c r="IK51" s="71">
        <f>IK13+IK37+IK49-IK44</f>
        <v/>
      </c>
      <c r="IL51" s="71">
        <f>IL13+IL37+IL49-IL44</f>
        <v/>
      </c>
      <c r="IM51" s="71">
        <f>IM13+IM37+IM49-IM44</f>
        <v/>
      </c>
      <c r="IN51" s="71">
        <f>IN13+IN37+IN49-IN44</f>
        <v/>
      </c>
      <c r="IO51" s="71">
        <f>IO13+IO37+IO49-IO44</f>
        <v/>
      </c>
      <c r="IP51" s="71">
        <f>IP13+IP37+IP49-IP44</f>
        <v/>
      </c>
      <c r="IQ51" s="71">
        <f>IQ13+IQ37+IQ49-IQ44</f>
        <v/>
      </c>
      <c r="IR51" s="71">
        <f>IR13+IR37+IR49-IR44</f>
        <v/>
      </c>
      <c r="IS51" s="71">
        <f>IS13+IS37+IS49-IS44</f>
        <v/>
      </c>
      <c r="IT51" s="130" t="n"/>
      <c r="IU51" s="71">
        <f>IU13+IU37+IU49-IU44</f>
        <v/>
      </c>
      <c r="IV51" s="71">
        <f>IV13+IV37+IV49-IV44</f>
        <v/>
      </c>
      <c r="IW51" s="71">
        <f>IW13+IW37+IW49-IW44</f>
        <v/>
      </c>
      <c r="IX51" s="71">
        <f>IX13+IX37+IX49-IX44</f>
        <v/>
      </c>
      <c r="IY51" s="71">
        <f>IY13+IY37+IY49-IY44</f>
        <v/>
      </c>
      <c r="IZ51" s="71">
        <f>IZ13+IZ37+IZ49-IZ44</f>
        <v/>
      </c>
      <c r="JA51" s="71">
        <f>JA13+JA37+JA49-JA44</f>
        <v/>
      </c>
      <c r="JB51" s="71">
        <f>JB13+JB37+JB49-JB44</f>
        <v/>
      </c>
      <c r="JC51" s="71">
        <f>JC13+JC37+JC49-JC44</f>
        <v/>
      </c>
      <c r="JD51" s="71">
        <f>JD13+JD37+JD49-JD44</f>
        <v/>
      </c>
      <c r="JE51" s="71">
        <f>JE13+JE37+JE49-JE44</f>
        <v/>
      </c>
      <c r="JF51" s="71">
        <f>JF13+JF37+JF49-JF44</f>
        <v/>
      </c>
      <c r="JG51" s="71">
        <f>JG13+JG37+JG49-JG44</f>
        <v/>
      </c>
      <c r="JH51" s="71">
        <f>JH13+JH37+JH49-JH44</f>
        <v/>
      </c>
      <c r="JI51" s="71">
        <f>JI13+JI37+JI49-JI44</f>
        <v/>
      </c>
      <c r="JJ51" s="71">
        <f>JJ13+JJ37+JJ49-JJ44</f>
        <v/>
      </c>
      <c r="JK51" s="71">
        <f>JK13+JK37+JK49-JK44</f>
        <v/>
      </c>
      <c r="JL51" s="71">
        <f>JL13+JL37+JL49-JL44</f>
        <v/>
      </c>
      <c r="JM51" s="71">
        <f>JM13+JM37+JM49-JM44</f>
        <v/>
      </c>
      <c r="JN51" s="71">
        <f>JN13+JN37+JN49-JN44</f>
        <v/>
      </c>
      <c r="JO51" s="71">
        <f>JO13+JO37+JO49-JO44</f>
        <v/>
      </c>
      <c r="JP51" s="71">
        <f>JP13+JP37+JP49-JP44</f>
        <v/>
      </c>
      <c r="JQ51" s="71">
        <f>JQ13+JQ37+JQ49-JQ44</f>
        <v/>
      </c>
      <c r="JR51" s="71">
        <f>JR13+JR37+JR49-JR44</f>
        <v/>
      </c>
      <c r="JS51" s="71">
        <f>JS13+JS37+JS49-JS44</f>
        <v/>
      </c>
      <c r="JT51" s="71">
        <f>JT13+JT37+JT49-JT44</f>
        <v/>
      </c>
      <c r="JU51" s="71">
        <f>JU13+JU37+JU49-JU44</f>
        <v/>
      </c>
      <c r="JV51" s="71">
        <f>JV13+JV37+JV49-JV44</f>
        <v/>
      </c>
      <c r="JW51" s="71">
        <f>JW13+JW37+JW49-JW44</f>
        <v/>
      </c>
      <c r="JX51" s="71">
        <f>JX13+JX37+JX49-JX44</f>
        <v/>
      </c>
      <c r="JY51" s="128" t="n"/>
      <c r="JZ51" s="71">
        <f>JZ13+JZ37+JZ49-JZ44</f>
        <v/>
      </c>
      <c r="KA51" s="71">
        <f>KA13+KA37+KA49-KA44</f>
        <v/>
      </c>
      <c r="KB51" s="71">
        <f>KB13+KB37+KB49-KB44</f>
        <v/>
      </c>
      <c r="KC51" s="71">
        <f>KC13+KC37+KC49-KC44</f>
        <v/>
      </c>
      <c r="KD51" s="71">
        <f>KD13+KD37+KD49-KD44</f>
        <v/>
      </c>
      <c r="KE51" s="71">
        <f>KE13+KE37+KE49-KE44</f>
        <v/>
      </c>
      <c r="KF51" s="71">
        <f>KF13+KF37+KF49-KF44</f>
        <v/>
      </c>
      <c r="KG51" s="71">
        <f>KG13+KG37+KG49-KG44</f>
        <v/>
      </c>
      <c r="KH51" s="71">
        <f>KH13+KH37+KH49-KH44</f>
        <v/>
      </c>
      <c r="KI51" s="71">
        <f>KI13+KI37+KI49-KI44</f>
        <v/>
      </c>
      <c r="KJ51" s="71">
        <f>KJ13+KJ37+KJ49-KJ44</f>
        <v/>
      </c>
      <c r="KK51" s="71">
        <f>KK13+KK37+KK49-KK44</f>
        <v/>
      </c>
      <c r="KL51" s="71">
        <f>KL13+KL37+KL49-KL44</f>
        <v/>
      </c>
      <c r="KM51" s="71">
        <f>KM13+KM37+KM49-KM44</f>
        <v/>
      </c>
      <c r="KN51" s="71">
        <f>KN13+KN37+KN49-KN44</f>
        <v/>
      </c>
      <c r="KO51" s="71">
        <f>KO13+KO37+KO49-KO44</f>
        <v/>
      </c>
      <c r="KP51" s="71">
        <f>KP13+KP37+KP49-KP44</f>
        <v/>
      </c>
      <c r="KQ51" s="71">
        <f>KQ13+KQ37+KQ49-KQ44</f>
        <v/>
      </c>
      <c r="KR51" s="71">
        <f>KR13+KR37+KR49-KR44</f>
        <v/>
      </c>
      <c r="KS51" s="71">
        <f>KS13+KS37+KS49-KS44</f>
        <v/>
      </c>
      <c r="KT51" s="71">
        <f>KT13+KT37+KT49-KT44</f>
        <v/>
      </c>
      <c r="KU51" s="71">
        <f>KU13+KU37+KU49-KU44</f>
        <v/>
      </c>
      <c r="KV51" s="71">
        <f>KV13+KV37+KV49-KV44</f>
        <v/>
      </c>
      <c r="KW51" s="71">
        <f>KW13+KW37+KW49-KW44</f>
        <v/>
      </c>
      <c r="KX51" s="71">
        <f>KX13+KX37+KX49-KX44</f>
        <v/>
      </c>
      <c r="KY51" s="71">
        <f>KY13+KY37+KY49-KY44</f>
        <v/>
      </c>
      <c r="KZ51" s="71">
        <f>KZ13+KZ37+KZ49-KZ44</f>
        <v/>
      </c>
      <c r="LA51" s="71">
        <f>LA13+LA37+LA49-LA44</f>
        <v/>
      </c>
      <c r="LB51" s="71">
        <f>LB13+LB37+LB49-LB44</f>
        <v/>
      </c>
      <c r="LC51" s="71">
        <f>LC13+LC37+LC49-LC44</f>
        <v/>
      </c>
      <c r="LD51" s="71">
        <f>LD13+LD37+LD49-LD44</f>
        <v/>
      </c>
      <c r="LE51" s="130" t="n"/>
      <c r="LF51" s="71">
        <f>LF13+LF37+LF49-LF44</f>
        <v/>
      </c>
      <c r="LG51" s="71">
        <f>LG13+LG37+LG49-LG44</f>
        <v/>
      </c>
      <c r="LH51" s="71">
        <f>LH13+LH37+LH49-LH44</f>
        <v/>
      </c>
      <c r="LI51" s="71">
        <f>LI13+LI37+LI49-LI44</f>
        <v/>
      </c>
      <c r="LJ51" s="71">
        <f>LJ13+LJ37+LJ49-LJ44</f>
        <v/>
      </c>
      <c r="LK51" s="71">
        <f>LK13+LK37+LK49-LK44</f>
        <v/>
      </c>
      <c r="LL51" s="71">
        <f>LL13+LL37+LL49-LL44</f>
        <v/>
      </c>
      <c r="LM51" s="71">
        <f>LM13+LM37+LM49-LM44</f>
        <v/>
      </c>
      <c r="LN51" s="71">
        <f>LN13+LN37+LN49-LN44</f>
        <v/>
      </c>
      <c r="LO51" s="71">
        <f>LO13+LO37+LO49-LO44</f>
        <v/>
      </c>
      <c r="LP51" s="71">
        <f>LP13+LP37+LP49-LP44</f>
        <v/>
      </c>
      <c r="LQ51" s="71">
        <f>LQ13+LQ37+LQ49-LQ44</f>
        <v/>
      </c>
      <c r="LR51" s="71">
        <f>LR13+LR37+LR49-LR44</f>
        <v/>
      </c>
      <c r="LS51" s="71">
        <f>LS13+LS37+LS49-LS44</f>
        <v/>
      </c>
      <c r="LT51" s="71">
        <f>LT13+LT37+LT49-LT44</f>
        <v/>
      </c>
      <c r="LU51" s="71">
        <f>LU13+LU37+LU49-LU44</f>
        <v/>
      </c>
      <c r="LV51" s="71">
        <f>LV13+LV37+LV49-LV44</f>
        <v/>
      </c>
      <c r="LW51" s="71">
        <f>LW13+LW37+LW49-LW44</f>
        <v/>
      </c>
      <c r="LX51" s="71">
        <f>LX13+LX37+LX49-LX44</f>
        <v/>
      </c>
      <c r="LY51" s="71">
        <f>LY13+LY37+LY49-LY44</f>
        <v/>
      </c>
      <c r="LZ51" s="71">
        <f>LZ13+LZ37+LZ49-LZ44</f>
        <v/>
      </c>
      <c r="MA51" s="71">
        <f>MA13+MA37+MA49-MA44</f>
        <v/>
      </c>
      <c r="MB51" s="71">
        <f>MB13+MB37+MB49-MB44</f>
        <v/>
      </c>
      <c r="MC51" s="71">
        <f>MC13+MC37+MC49-MC44</f>
        <v/>
      </c>
      <c r="MD51" s="71">
        <f>MD13+MD37+MD49-MD44</f>
        <v/>
      </c>
      <c r="ME51" s="71">
        <f>ME13+ME37+ME49-ME44</f>
        <v/>
      </c>
      <c r="MF51" s="71">
        <f>MF13+MF37+MF49-MF44</f>
        <v/>
      </c>
      <c r="MG51" s="71">
        <f>MG13+MG37+MG49-MG44</f>
        <v/>
      </c>
      <c r="MH51" s="71">
        <f>MH13+MH37+MH49-MH44</f>
        <v/>
      </c>
      <c r="MI51" s="71">
        <f>MI13+MI37+MI49-MI44</f>
        <v/>
      </c>
      <c r="MJ51" s="128" t="n"/>
      <c r="MK51" s="71">
        <f>MK13+MK37+MK49-MK44</f>
        <v/>
      </c>
      <c r="ML51" s="71">
        <f>ML13+ML37+ML49-ML44</f>
        <v/>
      </c>
      <c r="MM51" s="71">
        <f>MM13+MM37+MM49-MM44</f>
        <v/>
      </c>
      <c r="MN51" s="71">
        <f>MN13+MN37+MN49-MN44</f>
        <v/>
      </c>
      <c r="MO51" s="71">
        <f>MO13+MO37+MO49-MO44</f>
        <v/>
      </c>
      <c r="MP51" s="71">
        <f>MP13+MP37+MP49-MP44</f>
        <v/>
      </c>
      <c r="MQ51" s="71">
        <f>MQ13+MQ37+MQ49-MQ44</f>
        <v/>
      </c>
      <c r="MR51" s="71">
        <f>MR13+MR37+MR49-MR44</f>
        <v/>
      </c>
      <c r="MS51" s="71">
        <f>MS13+MS37+MS49-MS44</f>
        <v/>
      </c>
      <c r="MT51" s="71">
        <f>MT13+MT37+MT49-MT44</f>
        <v/>
      </c>
      <c r="MU51" s="71">
        <f>MU13+MU37+MU49-MU44</f>
        <v/>
      </c>
      <c r="MV51" s="71">
        <f>MV13+MV37+MV49-MV44</f>
        <v/>
      </c>
      <c r="MW51" s="71">
        <f>MW13+MW37+MW49-MW44</f>
        <v/>
      </c>
      <c r="MX51" s="71">
        <f>MX13+MX37+MX49-MX44</f>
        <v/>
      </c>
      <c r="MY51" s="71">
        <f>MY13+MY37+MY49-MY44</f>
        <v/>
      </c>
      <c r="MZ51" s="71">
        <f>MZ13+MZ37+MZ49-MZ44</f>
        <v/>
      </c>
      <c r="NA51" s="71">
        <f>NA13+NA37+NA49-NA44</f>
        <v/>
      </c>
      <c r="NB51" s="71">
        <f>NB13+NB37+NB49-NB44</f>
        <v/>
      </c>
      <c r="NC51" s="71">
        <f>NC13+NC37+NC49-NC44</f>
        <v/>
      </c>
      <c r="ND51" s="71">
        <f>ND13+ND37+ND49-ND44</f>
        <v/>
      </c>
      <c r="NE51" s="71">
        <f>NE13+NE37+NE49-NE44</f>
        <v/>
      </c>
      <c r="NF51" s="71">
        <f>NF13+NF37+NF49-NF44</f>
        <v/>
      </c>
      <c r="NG51" s="71">
        <f>NG13+NG37+NG49-NG44</f>
        <v/>
      </c>
      <c r="NH51" s="71">
        <f>NH13+NH37+NH49-NH44</f>
        <v/>
      </c>
      <c r="NI51" s="71">
        <f>NI13+NI37+NI49-NI44</f>
        <v/>
      </c>
      <c r="NJ51" s="71">
        <f>NJ13+NJ37+NJ49-NJ44</f>
        <v/>
      </c>
      <c r="NK51" s="71">
        <f>NK13+NK37+NK49-NK44</f>
        <v/>
      </c>
      <c r="NL51" s="71">
        <f>NL13+NL37+NL49-NL44</f>
        <v/>
      </c>
      <c r="NM51" s="71">
        <f>NM13+NM37+NM49-NM44</f>
        <v/>
      </c>
      <c r="NN51" s="71">
        <f>NN13+NN37+NN49-NN44</f>
        <v/>
      </c>
      <c r="NO51" s="71">
        <f>NO13+NO37+NO49-NO44</f>
        <v/>
      </c>
      <c r="NP51" s="128" t="n"/>
      <c r="NQ51" s="71">
        <f>NQ13+NQ37+NQ49-NQ44</f>
        <v/>
      </c>
      <c r="NR51" s="71">
        <f>NR13+NR37+NR49-NR44</f>
        <v/>
      </c>
      <c r="NS51" s="71">
        <f>NS13+NS37+NS49-NS44</f>
        <v/>
      </c>
      <c r="NT51" s="71">
        <f>NT13+NT37+NT49-NT44</f>
        <v/>
      </c>
      <c r="NU51" s="71">
        <f>NU13+NU37+NU49-NU44</f>
        <v/>
      </c>
      <c r="NV51" s="71">
        <f>NV13+NV37+NV49-NV44</f>
        <v/>
      </c>
      <c r="NW51" s="71">
        <f>NW13+NW37+NW49-NW44</f>
        <v/>
      </c>
      <c r="NX51" s="71">
        <f>NX13+NX37+NX49-NX44</f>
        <v/>
      </c>
      <c r="NY51" s="71">
        <f>NY13+NY37+NY49-NY44</f>
        <v/>
      </c>
      <c r="NZ51" s="71">
        <f>NZ13+NZ37+NZ49-NZ44</f>
        <v/>
      </c>
      <c r="OA51" s="71">
        <f>OA13+OA37+OA49-OA44</f>
        <v/>
      </c>
      <c r="OB51" s="71">
        <f>OB13+OB37+OB49-OB44</f>
        <v/>
      </c>
      <c r="OC51" s="71">
        <f>OC13+OC37+OC49-OC44</f>
        <v/>
      </c>
      <c r="OD51" s="71">
        <f>OD13+OD37+OD49-OD44</f>
        <v/>
      </c>
      <c r="OE51" s="71">
        <f>OE13+OE37+OE49-OE44</f>
        <v/>
      </c>
      <c r="OF51" s="71">
        <f>OF13+OF37+OF49-OF44</f>
        <v/>
      </c>
      <c r="OG51" s="71">
        <f>OG13+OG37+OG49-OG44</f>
        <v/>
      </c>
      <c r="OH51" s="71">
        <f>OH13+OH37+OH49-OH44</f>
        <v/>
      </c>
      <c r="OI51" s="71">
        <f>OI13+OI37+OI49-OI44</f>
        <v/>
      </c>
      <c r="OJ51" s="71">
        <f>OJ13+OJ37+OJ49-OJ44</f>
        <v/>
      </c>
      <c r="OK51" s="71">
        <f>OK13+OK37+OK49-OK44</f>
        <v/>
      </c>
      <c r="OL51" s="71">
        <f>OL13+OL37+OL49-OL44</f>
        <v/>
      </c>
      <c r="OM51" s="71">
        <f>OM13+OM37+OM49-OM44</f>
        <v/>
      </c>
      <c r="ON51" s="71">
        <f>ON13+ON37+ON49-ON44</f>
        <v/>
      </c>
      <c r="OO51" s="71">
        <f>OO13+OO37+OO49-OO44</f>
        <v/>
      </c>
      <c r="OP51" s="71">
        <f>OP13+OP37+OP49-OP44</f>
        <v/>
      </c>
      <c r="OQ51" s="71">
        <f>OQ13+OQ37+OQ49-OQ44</f>
        <v/>
      </c>
      <c r="OR51" s="71">
        <f>OR13+OR37+OR49-OR44</f>
        <v/>
      </c>
      <c r="OS51" s="71">
        <f>OS13+OS37+OS49-OS44</f>
        <v/>
      </c>
      <c r="OT51" s="71">
        <f>OT13+OT37+OT49-OT44</f>
        <v/>
      </c>
      <c r="OU51" s="71">
        <f>OU13+OU37+OU49-OU44</f>
        <v/>
      </c>
      <c r="OV51" s="130" t="n"/>
      <c r="OW51" s="71">
        <f>OW13+OW37+OW49-OW44</f>
        <v/>
      </c>
      <c r="OX51" s="71">
        <f>OX13+OX37+OX49-OX44</f>
        <v/>
      </c>
      <c r="OY51" s="71">
        <f>OY13+OY37+OY49-OY44</f>
        <v/>
      </c>
      <c r="OZ51" s="71">
        <f>OZ13+OZ37+OZ49-OZ44</f>
        <v/>
      </c>
      <c r="PA51" s="71">
        <f>PA13+PA37+PA49-PA44</f>
        <v/>
      </c>
      <c r="PB51" s="71">
        <f>PB13+PB37+PB49-PB44</f>
        <v/>
      </c>
      <c r="PC51" s="71">
        <f>PC13+PC37+PC49-PC44</f>
        <v/>
      </c>
      <c r="PD51" s="71">
        <f>PD13+PD37+PD49-PD44</f>
        <v/>
      </c>
      <c r="PE51" s="71">
        <f>PE13+PE37+PE49-PE44</f>
        <v/>
      </c>
      <c r="PF51" s="71">
        <f>PF13+PF37+PF49-PF44</f>
        <v/>
      </c>
      <c r="PG51" s="71">
        <f>PG13+PG37+PG49-PG44</f>
        <v/>
      </c>
      <c r="PH51" s="71">
        <f>PH13+PH37+PH49-PH44</f>
        <v/>
      </c>
      <c r="PI51" s="71">
        <f>PI13+PI37+PI49-PI44</f>
        <v/>
      </c>
      <c r="PJ51" s="71">
        <f>PJ13+PJ37+PJ49-PJ44</f>
        <v/>
      </c>
      <c r="PK51" s="71">
        <f>PK13+PK37+PK49-PK44</f>
        <v/>
      </c>
      <c r="PL51" s="71">
        <f>PL13+PL37+PL49-PL44</f>
        <v/>
      </c>
      <c r="PM51" s="71">
        <f>PM13+PM37+PM49-PM44</f>
        <v/>
      </c>
      <c r="PN51" s="71">
        <f>PN13+PN37+PN49-PN44</f>
        <v/>
      </c>
      <c r="PO51" s="71">
        <f>PO13+PO37+PO49-PO44</f>
        <v/>
      </c>
      <c r="PP51" s="71">
        <f>PP13+PP37+PP49-PP44</f>
        <v/>
      </c>
      <c r="PQ51" s="71">
        <f>PQ13+PQ37+PQ49-PQ44</f>
        <v/>
      </c>
      <c r="PR51" s="71">
        <f>PR13+PR37+PR49-PR44</f>
        <v/>
      </c>
      <c r="PS51" s="71">
        <f>PS13+PS37+PS49-PS44</f>
        <v/>
      </c>
      <c r="PT51" s="71">
        <f>PT13+PT37+PT49-PT44</f>
        <v/>
      </c>
      <c r="PU51" s="71">
        <f>PU13+PU37+PU49-PU44</f>
        <v/>
      </c>
      <c r="PV51" s="71">
        <f>PV13+PV37+PV49-PV44</f>
        <v/>
      </c>
      <c r="PW51" s="71">
        <f>PW13+PW37+PW49-PW44</f>
        <v/>
      </c>
      <c r="PX51" s="71">
        <f>PX13+PX37+PX49-PX44</f>
        <v/>
      </c>
      <c r="PY51" s="71">
        <f>PY13+PY37+PY49-PY44</f>
        <v/>
      </c>
      <c r="PZ51" s="71">
        <f>PZ13+PZ37+PZ49-PZ44</f>
        <v/>
      </c>
      <c r="QA51" s="130" t="n"/>
      <c r="QB51" s="71">
        <f>QB13+QB37+QB49-QB44</f>
        <v/>
      </c>
      <c r="QC51" s="71">
        <f>QC13+QC37+QC49-QC44</f>
        <v/>
      </c>
      <c r="QD51" s="71">
        <f>QD13+QD37+QD49-QD44</f>
        <v/>
      </c>
      <c r="QE51" s="71">
        <f>QE13+QE37+QE49-QE44</f>
        <v/>
      </c>
      <c r="QF51" s="71">
        <f>QF13+QF37+QF49-QF44</f>
        <v/>
      </c>
      <c r="QG51" s="71">
        <f>QG13+QG37+QG49-QG44</f>
        <v/>
      </c>
      <c r="QH51" s="71">
        <f>QH13+QH37+QH49-QH44</f>
        <v/>
      </c>
      <c r="QI51" s="71">
        <f>QI13+QI37+QI49-QI44</f>
        <v/>
      </c>
      <c r="QJ51" s="71">
        <f>QJ13+QJ37+QJ49-QJ44</f>
        <v/>
      </c>
      <c r="QK51" s="71">
        <f>QK13+QK37+QK49-QK44</f>
        <v/>
      </c>
      <c r="QL51" s="71">
        <f>QL13+QL37+QL49-QL44</f>
        <v/>
      </c>
      <c r="QM51" s="71">
        <f>QM13+QM37+QM49-QM44</f>
        <v/>
      </c>
      <c r="QN51" s="71">
        <f>QN13+QN37+QN49-QN44</f>
        <v/>
      </c>
      <c r="QO51" s="71">
        <f>QO13+QO37+QO49-QO44</f>
        <v/>
      </c>
      <c r="QP51" s="71">
        <f>QP13+QP37+QP49-QP44</f>
        <v/>
      </c>
      <c r="QQ51" s="71">
        <f>QQ13+QQ37+QQ49-QQ44</f>
        <v/>
      </c>
      <c r="QR51" s="71">
        <f>QR13+QR37+QR49-QR44</f>
        <v/>
      </c>
      <c r="QS51" s="71">
        <f>QS13+QS37+QS49-QS44</f>
        <v/>
      </c>
      <c r="QT51" s="71">
        <f>QT13+QT37+QT49-QT44</f>
        <v/>
      </c>
      <c r="QU51" s="71">
        <f>QU13+QU37+QU49-QU44</f>
        <v/>
      </c>
      <c r="QV51" s="71">
        <f>QV13+QV37+QV49-QV44</f>
        <v/>
      </c>
      <c r="QW51" s="71">
        <f>QW13+QW37+QW49-QW44</f>
        <v/>
      </c>
      <c r="QX51" s="71">
        <f>QX13+QX37+QX49-QX44</f>
        <v/>
      </c>
      <c r="QY51" s="71">
        <f>QY13+QY37+QY49-QY44</f>
        <v/>
      </c>
      <c r="QZ51" s="71">
        <f>QZ13+QZ37+QZ49-QZ44</f>
        <v/>
      </c>
      <c r="RA51" s="71">
        <f>RA13+RA37+RA49-RA44</f>
        <v/>
      </c>
      <c r="RB51" s="71">
        <f>RB13+RB37+RB49-RB44</f>
        <v/>
      </c>
      <c r="RC51" s="71">
        <f>RC13+RC37+RC49-RC44</f>
        <v/>
      </c>
      <c r="RD51" s="71">
        <f>RD13+RD37+RD49-RD44</f>
        <v/>
      </c>
      <c r="RE51" s="71">
        <f>RE13+RE37+RE49-RE44</f>
        <v/>
      </c>
      <c r="RF51" s="71">
        <f>RF13+RF37+RF49-RF44</f>
        <v/>
      </c>
      <c r="RG51" s="130" t="n"/>
      <c r="RH51" s="71">
        <f>RH13+RH37+RH49-RH44</f>
        <v/>
      </c>
      <c r="RI51" s="71">
        <f>RI13+RI37+RI49-RI44</f>
        <v/>
      </c>
      <c r="RJ51" s="71">
        <f>RJ13+RJ37+RJ49-RJ44</f>
        <v/>
      </c>
      <c r="RK51" s="71">
        <f>RK13+RK37+RK49-RK44</f>
        <v/>
      </c>
      <c r="RL51" s="71">
        <f>RL13+RL37+RL49-RL44</f>
        <v/>
      </c>
      <c r="RM51" s="71">
        <f>RM13+RM37+RM49-RM44</f>
        <v/>
      </c>
      <c r="RN51" s="71">
        <f>RN13+RN37+RN49-RN44</f>
        <v/>
      </c>
      <c r="RO51" s="71">
        <f>RO13+RO37+RO49-RO44</f>
        <v/>
      </c>
      <c r="RP51" s="71">
        <f>RP13+RP37+RP49-RP44</f>
        <v/>
      </c>
      <c r="RQ51" s="71">
        <f>RQ13+RQ37+RQ49-RQ44</f>
        <v/>
      </c>
      <c r="RR51" s="71">
        <f>RR13+RR37+RR49-RR44</f>
        <v/>
      </c>
      <c r="RS51" s="71">
        <f>RS13+RS37+RS49-RS44</f>
        <v/>
      </c>
      <c r="RT51" s="71">
        <f>RT13+RT37+RT49-RT44</f>
        <v/>
      </c>
      <c r="RU51" s="71">
        <f>RU13+RU37+RU49-RU44</f>
        <v/>
      </c>
      <c r="RV51" s="71">
        <f>RV13+RV37+RV49-RV44</f>
        <v/>
      </c>
      <c r="RW51" s="71">
        <f>RW13+RW37+RW49-RW44</f>
        <v/>
      </c>
      <c r="RX51" s="71">
        <f>RX13+RX37+RX49-RX44</f>
        <v/>
      </c>
      <c r="RY51" s="71">
        <f>RY13+RY37+RY49-RY44</f>
        <v/>
      </c>
      <c r="RZ51" s="71">
        <f>RZ13+RZ37+RZ49-RZ44</f>
        <v/>
      </c>
      <c r="SA51" s="71">
        <f>SA13+SA37+SA49-SA44</f>
        <v/>
      </c>
      <c r="SB51" s="71">
        <f>SB13+SB37+SB49-SB44</f>
        <v/>
      </c>
      <c r="SC51" s="71">
        <f>SC13+SC37+SC49-SC44</f>
        <v/>
      </c>
      <c r="SD51" s="71">
        <f>SD13+SD37+SD49-SD44</f>
        <v/>
      </c>
      <c r="SE51" s="71">
        <f>SE13+SE37+SE49-SE44</f>
        <v/>
      </c>
      <c r="SF51" s="71">
        <f>SF13+SF37+SF49-SF44</f>
        <v/>
      </c>
      <c r="SG51" s="71">
        <f>SG13+SG37+SG49-SG44</f>
        <v/>
      </c>
      <c r="SH51" s="71">
        <f>SH13+SH37+SH49-SH44</f>
        <v/>
      </c>
      <c r="SI51" s="71">
        <f>SI13+SI37+SI49-SI44</f>
        <v/>
      </c>
      <c r="SJ51" s="71">
        <f>SJ13+SJ37+SJ49-SJ44</f>
        <v/>
      </c>
      <c r="SK51" s="71">
        <f>SK13+SK37+SK49-SK44</f>
        <v/>
      </c>
      <c r="SL51" s="130" t="n"/>
      <c r="SM51" s="71">
        <f>SM13+SM37+SM49-SM44</f>
        <v/>
      </c>
      <c r="SN51" s="71">
        <f>SN13+SN37+SN49-SN44</f>
        <v/>
      </c>
      <c r="SO51" s="71">
        <f>SO13+SO37+SO49-SO44</f>
        <v/>
      </c>
      <c r="SP51" s="71">
        <f>SP13+SP37+SP49-SP44</f>
        <v/>
      </c>
      <c r="SQ51" s="71">
        <f>SQ13+SQ37+SQ49-SQ44</f>
        <v/>
      </c>
      <c r="SR51" s="71">
        <f>SR13+SR37+SR49-SR44</f>
        <v/>
      </c>
      <c r="SS51" s="71">
        <f>SS13+SS37+SS49-SS44</f>
        <v/>
      </c>
      <c r="ST51" s="71">
        <f>ST13+ST37+ST49-ST44</f>
        <v/>
      </c>
      <c r="SU51" s="71">
        <f>SU13+SU37+SU49-SU44</f>
        <v/>
      </c>
      <c r="SV51" s="71">
        <f>SV13+SV37+SV49-SV44</f>
        <v/>
      </c>
      <c r="SW51" s="71">
        <f>SW13+SW37+SW49-SW44</f>
        <v/>
      </c>
      <c r="SX51" s="71">
        <f>SX13+SX37+SX49-SX44</f>
        <v/>
      </c>
      <c r="SY51" s="71">
        <f>SY13+SY37+SY49-SY44</f>
        <v/>
      </c>
      <c r="SZ51" s="71">
        <f>SZ13+SZ37+SZ49-SZ44</f>
        <v/>
      </c>
      <c r="TA51" s="71">
        <f>TA13+TA37+TA49-TA44</f>
        <v/>
      </c>
      <c r="TB51" s="71">
        <f>TB13+TB37+TB49-TB44</f>
        <v/>
      </c>
      <c r="TC51" s="71">
        <f>TC13+TC37+TC49-TC44</f>
        <v/>
      </c>
      <c r="TD51" s="71">
        <f>TD13+TD37+TD49-TD44</f>
        <v/>
      </c>
      <c r="TE51" s="71">
        <f>TE13+TE37+TE49-TE44</f>
        <v/>
      </c>
      <c r="TF51" s="71">
        <f>TF13+TF37+TF49-TF44</f>
        <v/>
      </c>
      <c r="TG51" s="71">
        <f>TG13+TG37+TG49-TG44</f>
        <v/>
      </c>
      <c r="TH51" s="71">
        <f>TH13+TH37+TH49-TH44</f>
        <v/>
      </c>
      <c r="TI51" s="71">
        <f>TI13+TI37+TI49-TI44</f>
        <v/>
      </c>
      <c r="TJ51" s="71">
        <f>TJ13+TJ37+TJ49-TJ44</f>
        <v/>
      </c>
      <c r="TK51" s="71">
        <f>TK13+TK37+TK49-TK44</f>
        <v/>
      </c>
      <c r="TL51" s="71">
        <f>TL13+TL37+TL49-TL44</f>
        <v/>
      </c>
      <c r="TM51" s="71">
        <f>TM13+TM37+TM49-TM44</f>
        <v/>
      </c>
      <c r="TN51" s="71">
        <f>TN13+TN37+TN49-TN44</f>
        <v/>
      </c>
      <c r="TO51" s="71">
        <f>TO13+TO37+TO49-TO44</f>
        <v/>
      </c>
      <c r="TP51" s="71">
        <f>TP13+TP37+TP49-TP44</f>
        <v/>
      </c>
      <c r="TQ51" s="71">
        <f>TQ13+TQ37+TQ49-TQ44</f>
        <v/>
      </c>
      <c r="TR51" s="130" t="n"/>
      <c r="TS51" s="71">
        <f>TS13+TS37+TS49-TS44</f>
        <v/>
      </c>
      <c r="TT51" s="71">
        <f>TT13+TT37+TT49-TT44</f>
        <v/>
      </c>
      <c r="TU51" s="71">
        <f>TU13+TU37+TU49-TU44</f>
        <v/>
      </c>
      <c r="TV51" s="71">
        <f>TV13+TV37+TV49-TV44</f>
        <v/>
      </c>
      <c r="TW51" s="71">
        <f>TW13+TW37+TW49-TW44</f>
        <v/>
      </c>
      <c r="TX51" s="71">
        <f>TX13+TX37+TX49-TX44</f>
        <v/>
      </c>
      <c r="TY51" s="71">
        <f>TY13+TY37+TY49-TY44</f>
        <v/>
      </c>
      <c r="TZ51" s="71">
        <f>TZ13+TZ37+TZ49-TZ44</f>
        <v/>
      </c>
      <c r="UA51" s="71">
        <f>UA13+UA37+UA49-UA44</f>
        <v/>
      </c>
      <c r="UB51" s="71">
        <f>UB13+UB37+UB49-UB44</f>
        <v/>
      </c>
      <c r="UC51" s="71">
        <f>UC13+UC37+UC49-UC44</f>
        <v/>
      </c>
      <c r="UD51" s="71">
        <f>UD13+UD37+UD49-UD44</f>
        <v/>
      </c>
      <c r="UE51" s="71">
        <f>UE13+UE37+UE49-UE44</f>
        <v/>
      </c>
      <c r="UF51" s="71">
        <f>UF13+UF37+UF49-UF44</f>
        <v/>
      </c>
      <c r="UG51" s="71">
        <f>UG13+UG37+UG49-UG44</f>
        <v/>
      </c>
      <c r="UH51" s="71">
        <f>UH13+UH37+UH49-UH44</f>
        <v/>
      </c>
      <c r="UI51" s="71">
        <f>UI13+UI37+UI49-UI44</f>
        <v/>
      </c>
      <c r="UJ51" s="71">
        <f>UJ13+UJ37+UJ49-UJ44</f>
        <v/>
      </c>
      <c r="UK51" s="71">
        <f>UK13+UK37+UK49-UK44</f>
        <v/>
      </c>
      <c r="UL51" s="71">
        <f>UL13+UL37+UL49-UL44</f>
        <v/>
      </c>
      <c r="UM51" s="71">
        <f>UM13+UM37+UM49-UM44</f>
        <v/>
      </c>
      <c r="UN51" s="71">
        <f>UN13+UN37+UN49-UN44</f>
        <v/>
      </c>
      <c r="UO51" s="71">
        <f>UO13+UO37+UO49-UO44</f>
        <v/>
      </c>
      <c r="UP51" s="71">
        <f>UP13+UP37+UP49-UP44</f>
        <v/>
      </c>
      <c r="UQ51" s="71">
        <f>UQ13+UQ37+UQ49-UQ44</f>
        <v/>
      </c>
      <c r="UR51" s="71">
        <f>UR13+UR37+UR49-UR44</f>
        <v/>
      </c>
      <c r="US51" s="71">
        <f>US13+US37+US49-US44</f>
        <v/>
      </c>
      <c r="UT51" s="71">
        <f>UT13+UT37+UT49-UT44</f>
        <v/>
      </c>
      <c r="UU51" s="71">
        <f>UU13+UU37+UU49-UU44</f>
        <v/>
      </c>
      <c r="UV51" s="71">
        <f>UV13+UV37+UV49-UV44</f>
        <v/>
      </c>
      <c r="UW51" s="71">
        <f>UW13+UW37+UW49-UW44</f>
        <v/>
      </c>
      <c r="UX51" s="130" t="n"/>
      <c r="UY51" s="71">
        <f>UY13+UY37+UY49-UY44</f>
        <v/>
      </c>
      <c r="UZ51" s="71">
        <f>UZ13+UZ37+UZ49-UZ44</f>
        <v/>
      </c>
      <c r="VA51" s="71">
        <f>VA13+VA37+VA49-VA44</f>
        <v/>
      </c>
      <c r="VB51" s="71">
        <f>VB13+VB37+VB49-VB44</f>
        <v/>
      </c>
      <c r="VC51" s="71">
        <f>VC13+VC37+VC49-VC44</f>
        <v/>
      </c>
      <c r="VD51" s="71">
        <f>VD13+VD37+VD49-VD44</f>
        <v/>
      </c>
      <c r="VE51" s="71">
        <f>VE13+VE37+VE49-VE44</f>
        <v/>
      </c>
      <c r="VF51" s="71">
        <f>VF13+VF37+VF49-VF44</f>
        <v/>
      </c>
      <c r="VG51" s="71">
        <f>VG13+VG37+VG49-VG44</f>
        <v/>
      </c>
      <c r="VH51" s="71">
        <f>VH13+VH37+VH49-VH44</f>
        <v/>
      </c>
      <c r="VI51" s="71">
        <f>VI13+VI37+VI49-VI44</f>
        <v/>
      </c>
      <c r="VJ51" s="71">
        <f>VJ13+VJ37+VJ49-VJ44</f>
        <v/>
      </c>
      <c r="VK51" s="71">
        <f>VK13+VK37+VK49-VK44</f>
        <v/>
      </c>
      <c r="VL51" s="71">
        <f>VL13+VL37+VL49-VL44</f>
        <v/>
      </c>
      <c r="VM51" s="71">
        <f>VM13+VM37+VM49-VM44</f>
        <v/>
      </c>
      <c r="VN51" s="71">
        <f>VN13+VN37+VN49-VN44</f>
        <v/>
      </c>
      <c r="VO51" s="71">
        <f>VO13+VO37+VO49-VO44</f>
        <v/>
      </c>
      <c r="VP51" s="71">
        <f>VP13+VP37+VP49-VP44</f>
        <v/>
      </c>
      <c r="VQ51" s="71">
        <f>VQ13+VQ37+VQ49-VQ44</f>
        <v/>
      </c>
      <c r="VR51" s="71">
        <f>VR13+VR37+VR49-VR44</f>
        <v/>
      </c>
      <c r="VS51" s="71">
        <f>VS13+VS37+VS49-VS44</f>
        <v/>
      </c>
      <c r="VT51" s="71">
        <f>VT13+VT37+VT49-VT44</f>
        <v/>
      </c>
      <c r="VU51" s="71">
        <f>VU13+VU37+VU49-VU44</f>
        <v/>
      </c>
      <c r="VV51" s="71">
        <f>VV13+VV37+VV49-VV44</f>
        <v/>
      </c>
      <c r="VW51" s="71">
        <f>VW13+VW37+VW49-VW44</f>
        <v/>
      </c>
      <c r="VX51" s="71">
        <f>VX13+VX37+VX49-VX44</f>
        <v/>
      </c>
      <c r="VY51" s="71">
        <f>VY13+VY37+VY49-VY44</f>
        <v/>
      </c>
      <c r="VZ51" s="71">
        <f>VZ13+VZ37+VZ49-VZ44</f>
        <v/>
      </c>
      <c r="WA51" s="128" t="n"/>
      <c r="WB51" s="71">
        <f>WB13+WB37+WB49-WB44</f>
        <v/>
      </c>
      <c r="WC51" s="71">
        <f>WC13+WC37+WC49-WC44</f>
        <v/>
      </c>
      <c r="WD51" s="71">
        <f>WD13+WD37+WD49-WD44</f>
        <v/>
      </c>
      <c r="WE51" s="71">
        <f>WE13+WE37+WE49-WE44</f>
        <v/>
      </c>
      <c r="WF51" s="71">
        <f>WF13+WF37+WF49-WF44</f>
        <v/>
      </c>
      <c r="WG51" s="71">
        <f>WG13+WG37+WG49-WG44</f>
        <v/>
      </c>
      <c r="WH51" s="71">
        <f>WH13+WH37+WH49-WH44</f>
        <v/>
      </c>
      <c r="WI51" s="71">
        <f>WI13+WI37+WI49-WI44</f>
        <v/>
      </c>
      <c r="WJ51" s="71">
        <f>WJ13+WJ37+WJ49-WJ44</f>
        <v/>
      </c>
      <c r="WK51" s="71">
        <f>WK13+WK37+WK49-WK44</f>
        <v/>
      </c>
      <c r="WL51" s="71">
        <f>WL13+WL37+WL49-WL44</f>
        <v/>
      </c>
      <c r="WM51" s="71">
        <f>WM13+WM37+WM49-WM44</f>
        <v/>
      </c>
      <c r="WN51" s="71">
        <f>WN13+WN37+WN49-WN44</f>
        <v/>
      </c>
      <c r="WO51" s="71">
        <f>WO13+WO37+WO49-WO44</f>
        <v/>
      </c>
      <c r="WP51" s="71">
        <f>WP13+WP37+WP49-WP44</f>
        <v/>
      </c>
      <c r="WQ51" s="71">
        <f>WQ13+WQ37+WQ49-WQ44</f>
        <v/>
      </c>
      <c r="WR51" s="71">
        <f>WR13+WR37+WR49-WR44</f>
        <v/>
      </c>
      <c r="WS51" s="71">
        <f>WS13+WS37+WS49-WS44</f>
        <v/>
      </c>
      <c r="WT51" s="71">
        <f>WT13+WT37+WT49-WT44</f>
        <v/>
      </c>
      <c r="WU51" s="71">
        <f>WU13+WU37+WU49-WU44</f>
        <v/>
      </c>
      <c r="WV51" s="71">
        <f>WV13+WV37+WV49-WV44</f>
        <v/>
      </c>
      <c r="WW51" s="71">
        <f>WW13+WW37+WW49-WW44</f>
        <v/>
      </c>
      <c r="WX51" s="71">
        <f>WX13+WX37+WX49-WX44</f>
        <v/>
      </c>
      <c r="WY51" s="71">
        <f>WY13+WY37+WY49-WY44</f>
        <v/>
      </c>
      <c r="WZ51" s="71">
        <f>WZ13+WZ37+WZ49-WZ44</f>
        <v/>
      </c>
      <c r="XA51" s="71">
        <f>XA13+XA37+XA49-XA44</f>
        <v/>
      </c>
      <c r="XB51" s="71">
        <f>XB13+XB37+XB49-XB44</f>
        <v/>
      </c>
      <c r="XC51" s="71">
        <f>XC13+XC37+XC49-XC44</f>
        <v/>
      </c>
      <c r="XD51" s="71">
        <f>XD13+XD37+XD49-XD44</f>
        <v/>
      </c>
      <c r="XE51" s="71">
        <f>XE13+XE37+XE49-XE44</f>
        <v/>
      </c>
      <c r="XF51" s="71">
        <f>XF13+XF37+XF49-XF44</f>
        <v/>
      </c>
      <c r="XG51" s="128" t="n"/>
      <c r="XH51" s="71">
        <f>XH13+XH37+XH49-XH44</f>
        <v/>
      </c>
      <c r="XI51" s="71">
        <f>XI13+XI37+XI49-XI44</f>
        <v/>
      </c>
      <c r="XJ51" s="71">
        <f>XJ13+XJ37+XJ49-XJ44</f>
        <v/>
      </c>
      <c r="XK51" s="71">
        <f>XK13+XK37+XK49-XK44</f>
        <v/>
      </c>
      <c r="XL51" s="71">
        <f>XL13+XL37+XL49-XL44</f>
        <v/>
      </c>
      <c r="XM51" s="71">
        <f>XM13+XM37+XM49-XM44</f>
        <v/>
      </c>
      <c r="XN51" s="71">
        <f>XN13+XN37+XN49-XN44</f>
        <v/>
      </c>
      <c r="XO51" s="71">
        <f>XO13+XO37+XO49-XO44</f>
        <v/>
      </c>
      <c r="XP51" s="71">
        <f>XP13+XP37+XP49-XP44</f>
        <v/>
      </c>
      <c r="XQ51" s="71">
        <f>XQ13+XQ37+XQ49-XQ44</f>
        <v/>
      </c>
      <c r="XR51" s="71">
        <f>XR13+XR37+XR49-XR44</f>
        <v/>
      </c>
      <c r="XS51" s="71">
        <f>XS13+XS37+XS49-XS44</f>
        <v/>
      </c>
      <c r="XT51" s="71">
        <f>XT13+XT37+XT49-XT44</f>
        <v/>
      </c>
      <c r="XU51" s="71">
        <f>XU13+XU37+XU49-XU44</f>
        <v/>
      </c>
      <c r="XV51" s="71">
        <f>XV13+XV37+XV49-XV44</f>
        <v/>
      </c>
      <c r="XW51" s="71">
        <f>XW13+XW37+XW49-XW44</f>
        <v/>
      </c>
      <c r="XX51" s="71">
        <f>XX13+XX37+XX49-XX44</f>
        <v/>
      </c>
      <c r="XY51" s="71">
        <f>XY13+XY37+XY49-XY44</f>
        <v/>
      </c>
      <c r="XZ51" s="71">
        <f>XZ13+XZ37+XZ49-XZ44</f>
        <v/>
      </c>
      <c r="YA51" s="71">
        <f>YA13+YA37+YA49-YA44</f>
        <v/>
      </c>
      <c r="YB51" s="71">
        <f>YB13+YB37+YB49-YB44</f>
        <v/>
      </c>
      <c r="YC51" s="71">
        <f>YC13+YC37+YC49-YC44</f>
        <v/>
      </c>
      <c r="YD51" s="71">
        <f>YD13+YD37+YD49-YD44</f>
        <v/>
      </c>
      <c r="YE51" s="71">
        <f>YE13+YE37+YE49-YE44</f>
        <v/>
      </c>
      <c r="YF51" s="71">
        <f>YF13+YF37+YF49-YF44</f>
        <v/>
      </c>
      <c r="YG51" s="71">
        <f>YG13+YG37+YG49-YG44</f>
        <v/>
      </c>
      <c r="YH51" s="71">
        <f>YH13+YH37+YH49-YH44</f>
        <v/>
      </c>
      <c r="YI51" s="71">
        <f>YI13+YI37+YI49-YI44</f>
        <v/>
      </c>
      <c r="YJ51" s="71">
        <f>YJ13+YJ37+YJ49-YJ44</f>
        <v/>
      </c>
      <c r="YK51" s="71">
        <f>YK13+YK37+YK49-YK44</f>
        <v/>
      </c>
      <c r="YL51" s="130" t="n"/>
      <c r="YM51" s="71">
        <f>YM13+YM37+YM49-YM44</f>
        <v/>
      </c>
      <c r="YN51" s="71">
        <f>YN13+YN37+YN49-YN44</f>
        <v/>
      </c>
      <c r="YO51" s="71">
        <f>YO13+YO37+YO49-YO44</f>
        <v/>
      </c>
      <c r="YP51" s="71">
        <f>YP13+YP37+YP49-YP44</f>
        <v/>
      </c>
      <c r="YQ51" s="71">
        <f>YQ13+YQ37+YQ49-YQ44</f>
        <v/>
      </c>
      <c r="YR51" s="71">
        <f>YR13+YR37+YR49-YR44</f>
        <v/>
      </c>
      <c r="YS51" s="71">
        <f>YS13+YS37+YS49-YS44</f>
        <v/>
      </c>
      <c r="YT51" s="71">
        <f>YT13+YT37+YT49-YT44</f>
        <v/>
      </c>
      <c r="YU51" s="71">
        <f>YU13+YU37+YU49-YU44</f>
        <v/>
      </c>
      <c r="YV51" s="71">
        <f>YV13+YV37+YV49-YV44</f>
        <v/>
      </c>
      <c r="YW51" s="71">
        <f>YW13+YW37+YW49-YW44</f>
        <v/>
      </c>
      <c r="YX51" s="71">
        <f>YX13+YX37+YX49-YX44</f>
        <v/>
      </c>
      <c r="YY51" s="71">
        <f>YY13+YY37+YY49-YY44</f>
        <v/>
      </c>
      <c r="YZ51" s="71">
        <f>YZ13+YZ37+YZ49-YZ44</f>
        <v/>
      </c>
      <c r="ZA51" s="71">
        <f>ZA13+ZA37+ZA49-ZA44</f>
        <v/>
      </c>
      <c r="ZB51" s="71">
        <f>ZB13+ZB37+ZB49-ZB44</f>
        <v/>
      </c>
      <c r="ZC51" s="71">
        <f>ZC13+ZC37+ZC49-ZC44</f>
        <v/>
      </c>
      <c r="ZD51" s="71">
        <f>ZD13+ZD37+ZD49-ZD44</f>
        <v/>
      </c>
      <c r="ZE51" s="71">
        <f>ZE13+ZE37+ZE49-ZE44</f>
        <v/>
      </c>
      <c r="ZF51" s="71">
        <f>ZF13+ZF37+ZF49-ZF44</f>
        <v/>
      </c>
      <c r="ZG51" s="71">
        <f>ZG13+ZG37+ZG49-ZG44</f>
        <v/>
      </c>
      <c r="ZH51" s="71">
        <f>ZH13+ZH37+ZH49-ZH44</f>
        <v/>
      </c>
      <c r="ZI51" s="71">
        <f>ZI13+ZI37+ZI49-ZI44</f>
        <v/>
      </c>
      <c r="ZJ51" s="71">
        <f>ZJ13+ZJ37+ZJ49-ZJ44</f>
        <v/>
      </c>
      <c r="ZK51" s="71">
        <f>ZK13+ZK37+ZK49-ZK44</f>
        <v/>
      </c>
      <c r="ZL51" s="71">
        <f>ZL13+ZL37+ZL49-ZL44</f>
        <v/>
      </c>
      <c r="ZM51" s="71">
        <f>ZM13+ZM37+ZM49-ZM44</f>
        <v/>
      </c>
      <c r="ZN51" s="71">
        <f>ZN13+ZN37+ZN49-ZN44</f>
        <v/>
      </c>
      <c r="ZO51" s="71">
        <f>ZO13+ZO37+ZO49-ZO44</f>
        <v/>
      </c>
      <c r="ZP51" s="71">
        <f>ZP13+ZP37+ZP49-ZP44</f>
        <v/>
      </c>
      <c r="ZQ51" s="71">
        <f>ZQ13+ZQ37+ZQ49-ZQ44</f>
        <v/>
      </c>
      <c r="ZR51" s="130" t="n"/>
      <c r="ZS51" s="71">
        <f>ZS13+ZS37+ZS49-ZS44</f>
        <v/>
      </c>
      <c r="ZT51" s="71">
        <f>ZT13+ZT37+ZT49-ZT44</f>
        <v/>
      </c>
      <c r="ZU51" s="71">
        <f>ZU13+ZU37+ZU49-ZU44</f>
        <v/>
      </c>
      <c r="ZV51" s="71">
        <f>ZV13+ZV37+ZV49-ZV44</f>
        <v/>
      </c>
      <c r="ZW51" s="71">
        <f>ZW13+ZW37+ZW49-ZW44</f>
        <v/>
      </c>
      <c r="ZX51" s="71">
        <f>ZX13+ZX37+ZX49-ZX44</f>
        <v/>
      </c>
      <c r="ZY51" s="71">
        <f>ZY13+ZY37+ZY49-ZY44</f>
        <v/>
      </c>
      <c r="ZZ51" s="71">
        <f>ZZ13+ZZ37+ZZ49-ZZ44</f>
        <v/>
      </c>
      <c r="AAA51" s="71">
        <f>AAA13+AAA37+AAA49-AAA44</f>
        <v/>
      </c>
      <c r="AAB51" s="71">
        <f>AAB13+AAB37+AAB49-AAB44</f>
        <v/>
      </c>
      <c r="AAC51" s="71">
        <f>AAC13+AAC37+AAC49-AAC44</f>
        <v/>
      </c>
      <c r="AAD51" s="71">
        <f>AAD13+AAD37+AAD49-AAD44</f>
        <v/>
      </c>
      <c r="AAE51" s="71">
        <f>AAE13+AAE37+AAE49-AAE44</f>
        <v/>
      </c>
      <c r="AAF51" s="71">
        <f>AAF13+AAF37+AAF49-AAF44</f>
        <v/>
      </c>
      <c r="AAG51" s="71">
        <f>AAG13+AAG37+AAG49-AAG44</f>
        <v/>
      </c>
      <c r="AAH51" s="71">
        <f>AAH13+AAH37+AAH49-AAH44</f>
        <v/>
      </c>
      <c r="AAI51" s="71">
        <f>AAI13+AAI37+AAI49-AAI44</f>
        <v/>
      </c>
      <c r="AAJ51" s="71">
        <f>AAJ13+AAJ37+AAJ49-AAJ44</f>
        <v/>
      </c>
      <c r="AAK51" s="71">
        <f>AAK13+AAK37+AAK49-AAK44</f>
        <v/>
      </c>
      <c r="AAL51" s="71">
        <f>AAL13+AAL37+AAL49-AAL44</f>
        <v/>
      </c>
      <c r="AAM51" s="71">
        <f>AAM13+AAM37+AAM49-AAM44</f>
        <v/>
      </c>
      <c r="AAN51" s="71">
        <f>AAN13+AAN37+AAN49-AAN44</f>
        <v/>
      </c>
      <c r="AAO51" s="71">
        <f>AAO13+AAO37+AAO49-AAO44</f>
        <v/>
      </c>
      <c r="AAP51" s="71">
        <f>AAP13+AAP37+AAP49-AAP44</f>
        <v/>
      </c>
      <c r="AAQ51" s="71">
        <f>AAQ13+AAQ37+AAQ49-AAQ44</f>
        <v/>
      </c>
      <c r="AAR51" s="71">
        <f>AAR13+AAR37+AAR49-AAR44</f>
        <v/>
      </c>
      <c r="AAS51" s="71">
        <f>AAS13+AAS37+AAS49-AAS44</f>
        <v/>
      </c>
      <c r="AAT51" s="71">
        <f>AAT13+AAT37+AAT49-AAT44</f>
        <v/>
      </c>
      <c r="AAU51" s="71">
        <f>AAU13+AAU37+AAU49-AAU44</f>
        <v/>
      </c>
      <c r="AAV51" s="71">
        <f>AAV13+AAV37+AAV49-AAV44</f>
        <v/>
      </c>
      <c r="AAW51" s="130" t="n"/>
      <c r="AAX51" s="71">
        <f>AAX13+AAX37+AAX49-AAX44</f>
        <v/>
      </c>
      <c r="AAY51" s="71">
        <f>AAY13+AAY37+AAY49-AAY44</f>
        <v/>
      </c>
      <c r="AAZ51" s="71">
        <f>AAZ13+AAZ37+AAZ49-AAZ44</f>
        <v/>
      </c>
      <c r="ABA51" s="71">
        <f>ABA13+ABA37+ABA49-ABA44</f>
        <v/>
      </c>
      <c r="ABB51" s="71">
        <f>ABB13+ABB37+ABB49-ABB44</f>
        <v/>
      </c>
      <c r="ABC51" s="71">
        <f>ABC13+ABC37+ABC49-ABC44</f>
        <v/>
      </c>
      <c r="ABD51" s="71">
        <f>ABD13+ABD37+ABD49-ABD44</f>
        <v/>
      </c>
      <c r="ABE51" s="71">
        <f>ABE13+ABE37+ABE49-ABE44</f>
        <v/>
      </c>
      <c r="ABF51" s="71">
        <f>ABF13+ABF37+ABF49-ABF44</f>
        <v/>
      </c>
      <c r="ABG51" s="71">
        <f>ABG13+ABG37+ABG49-ABG44</f>
        <v/>
      </c>
      <c r="ABH51" s="71">
        <f>ABH13+ABH37+ABH49-ABH44</f>
        <v/>
      </c>
      <c r="ABI51" s="71">
        <f>ABI13+ABI37+ABI49-ABI44</f>
        <v/>
      </c>
      <c r="ABJ51" s="71">
        <f>ABJ13+ABJ37+ABJ49-ABJ44</f>
        <v/>
      </c>
      <c r="ABK51" s="71">
        <f>ABK13+ABK37+ABK49-ABK44</f>
        <v/>
      </c>
      <c r="ABL51" s="71">
        <f>ABL13+ABL37+ABL49-ABL44</f>
        <v/>
      </c>
      <c r="ABM51" s="71">
        <f>ABM13+ABM37+ABM49-ABM44</f>
        <v/>
      </c>
      <c r="ABN51" s="71">
        <f>ABN13+ABN37+ABN49-ABN44</f>
        <v/>
      </c>
      <c r="ABO51" s="71">
        <f>ABO13+ABO37+ABO49-ABO44</f>
        <v/>
      </c>
      <c r="ABP51" s="71">
        <f>ABP13+ABP37+ABP49-ABP44</f>
        <v/>
      </c>
      <c r="ABQ51" s="71">
        <f>ABQ13+ABQ37+ABQ49-ABQ44</f>
        <v/>
      </c>
      <c r="ABR51" s="71">
        <f>ABR13+ABR37+ABR49-ABR44</f>
        <v/>
      </c>
      <c r="ABS51" s="71">
        <f>ABS13+ABS37+ABS49-ABS44</f>
        <v/>
      </c>
      <c r="ABT51" s="71">
        <f>ABT13+ABT37+ABT49-ABT44</f>
        <v/>
      </c>
      <c r="ABU51" s="71">
        <f>ABU13+ABU37+ABU49-ABU44</f>
        <v/>
      </c>
      <c r="ABV51" s="71">
        <f>ABV13+ABV37+ABV49-ABV44</f>
        <v/>
      </c>
      <c r="ABW51" s="71">
        <f>ABW13+ABW37+ABW49-ABW44</f>
        <v/>
      </c>
      <c r="ABX51" s="71">
        <f>ABX13+ABX37+ABX49-ABX44</f>
        <v/>
      </c>
      <c r="ABY51" s="71">
        <f>ABY13+ABY37+ABY49-ABY44</f>
        <v/>
      </c>
      <c r="ABZ51" s="71">
        <f>ABZ13+ABZ37+ABZ49-ABZ44</f>
        <v/>
      </c>
      <c r="ACA51" s="71">
        <f>ACA13+ACA37+ACA49-ACA44</f>
        <v/>
      </c>
      <c r="ACB51" s="71">
        <f>ACB13+ACB37+ACB49-ACB44</f>
        <v/>
      </c>
      <c r="ACC51" s="130" t="n"/>
      <c r="ACD51" s="71">
        <f>ACD13+ACD37+ACD49-ACD44</f>
        <v/>
      </c>
      <c r="ACE51" s="71">
        <f>ACE13+ACE37+ACE49-ACE44</f>
        <v/>
      </c>
      <c r="ACF51" s="71">
        <f>ACF13+ACF37+ACF49-ACF44</f>
        <v/>
      </c>
      <c r="ACG51" s="71">
        <f>ACG13+ACG37+ACG49-ACG44</f>
        <v/>
      </c>
      <c r="ACH51" s="71">
        <f>ACH13+ACH37+ACH49-ACH44</f>
        <v/>
      </c>
      <c r="ACI51" s="71">
        <f>ACI13+ACI37+ACI49-ACI44</f>
        <v/>
      </c>
      <c r="ACJ51" s="71">
        <f>ACJ13+ACJ37+ACJ49-ACJ44</f>
        <v/>
      </c>
      <c r="ACK51" s="71">
        <f>ACK13+ACK37+ACK49-ACK44</f>
        <v/>
      </c>
      <c r="ACL51" s="71">
        <f>ACL13+ACL37+ACL49-ACL44</f>
        <v/>
      </c>
      <c r="ACM51" s="71">
        <f>ACM13+ACM37+ACM49-ACM44</f>
        <v/>
      </c>
      <c r="ACN51" s="71">
        <f>ACN13+ACN37+ACN49-ACN44</f>
        <v/>
      </c>
      <c r="ACO51" s="71">
        <f>ACO13+ACO37+ACO49-ACO44</f>
        <v/>
      </c>
      <c r="ACP51" s="71">
        <f>ACP13+ACP37+ACP49-ACP44</f>
        <v/>
      </c>
      <c r="ACQ51" s="71">
        <f>ACQ13+ACQ37+ACQ49-ACQ44</f>
        <v/>
      </c>
      <c r="ACR51" s="71">
        <f>ACR13+ACR37+ACR49-ACR44</f>
        <v/>
      </c>
      <c r="ACS51" s="71">
        <f>ACS13+ACS37+ACS49-ACS44</f>
        <v/>
      </c>
      <c r="ACT51" s="71">
        <f>ACT13+ACT37+ACT49-ACT44</f>
        <v/>
      </c>
      <c r="ACU51" s="71">
        <f>ACU13+ACU37+ACU49-ACU44</f>
        <v/>
      </c>
      <c r="ACV51" s="71">
        <f>ACV13+ACV37+ACV49-ACV44</f>
        <v/>
      </c>
      <c r="ACW51" s="71">
        <f>ACW13+ACW37+ACW49-ACW44</f>
        <v/>
      </c>
      <c r="ACX51" s="71">
        <f>ACX13+ACX37+ACX49-ACX44</f>
        <v/>
      </c>
      <c r="ACY51" s="71">
        <f>ACY13+ACY37+ACY49-ACY44</f>
        <v/>
      </c>
      <c r="ACZ51" s="71">
        <f>ACZ13+ACZ37+ACZ49-ACZ44</f>
        <v/>
      </c>
      <c r="ADA51" s="71">
        <f>ADA13+ADA37+ADA49-ADA44</f>
        <v/>
      </c>
      <c r="ADB51" s="71">
        <f>ADB13+ADB37+ADB49-ADB44</f>
        <v/>
      </c>
      <c r="ADC51" s="71">
        <f>ADC13+ADC37+ADC49-ADC44</f>
        <v/>
      </c>
      <c r="ADD51" s="71">
        <f>ADD13+ADD37+ADD49-ADD44</f>
        <v/>
      </c>
      <c r="ADE51" s="71">
        <f>ADE13+ADE37+ADE49-ADE44</f>
        <v/>
      </c>
      <c r="ADF51" s="71">
        <f>ADF13+ADF37+ADF49-ADF44</f>
        <v/>
      </c>
      <c r="ADG51" s="71">
        <f>ADG13+ADG37+ADG49-ADG44</f>
        <v/>
      </c>
      <c r="ADH51" s="71">
        <f>ADH13+ADH37+ADH49-ADH44</f>
        <v/>
      </c>
      <c r="ADI51" s="130" t="n"/>
      <c r="ADJ51" s="71">
        <f>ADJ13+ADJ37+ADJ49-ADJ44</f>
        <v/>
      </c>
      <c r="ADK51" s="71">
        <f>ADK13+ADK37+ADK49-ADK44</f>
        <v/>
      </c>
      <c r="ADL51" s="71">
        <f>ADL13+ADL37+ADL49-ADL44</f>
        <v/>
      </c>
      <c r="ADM51" s="71">
        <f>ADM13+ADM37+ADM49-ADM44</f>
        <v/>
      </c>
      <c r="ADN51" s="71">
        <f>ADN13+ADN37+ADN49-ADN44</f>
        <v/>
      </c>
      <c r="ADO51" s="71">
        <f>ADO13+ADO37+ADO49-ADO44</f>
        <v/>
      </c>
      <c r="ADP51" s="71">
        <f>ADP13+ADP37+ADP49-ADP44</f>
        <v/>
      </c>
      <c r="ADQ51" s="71">
        <f>ADQ13+ADQ37+ADQ49-ADQ44</f>
        <v/>
      </c>
      <c r="ADR51" s="71">
        <f>ADR13+ADR37+ADR49-ADR44</f>
        <v/>
      </c>
      <c r="ADS51" s="71">
        <f>ADS13+ADS37+ADS49-ADS44</f>
        <v/>
      </c>
      <c r="ADT51" s="71">
        <f>ADT13+ADT37+ADT49-ADT44</f>
        <v/>
      </c>
      <c r="ADU51" s="71">
        <f>ADU13+ADU37+ADU49-ADU44</f>
        <v/>
      </c>
      <c r="ADV51" s="71">
        <f>ADV13+ADV37+ADV49-ADV44</f>
        <v/>
      </c>
      <c r="ADW51" s="71">
        <f>ADW13+ADW37+ADW49-ADW44</f>
        <v/>
      </c>
      <c r="ADX51" s="71">
        <f>ADX13+ADX37+ADX49-ADX44</f>
        <v/>
      </c>
      <c r="ADY51" s="71">
        <f>ADY13+ADY37+ADY49-ADY44</f>
        <v/>
      </c>
      <c r="ADZ51" s="71">
        <f>ADZ13+ADZ37+ADZ49-ADZ44</f>
        <v/>
      </c>
      <c r="AEA51" s="71">
        <f>AEA13+AEA37+AEA49-AEA44</f>
        <v/>
      </c>
      <c r="AEB51" s="71">
        <f>AEB13+AEB37+AEB49-AEB44</f>
        <v/>
      </c>
      <c r="AEC51" s="71">
        <f>AEC13+AEC37+AEC49-AEC44</f>
        <v/>
      </c>
      <c r="AED51" s="71">
        <f>AED13+AED37+AED49-AED44</f>
        <v/>
      </c>
      <c r="AEE51" s="71">
        <f>AEE13+AEE37+AEE49-AEE44</f>
        <v/>
      </c>
      <c r="AEF51" s="71">
        <f>AEF13+AEF37+AEF49-AEF44</f>
        <v/>
      </c>
      <c r="AEG51" s="71">
        <f>AEG13+AEG37+AEG49-AEG44</f>
        <v/>
      </c>
      <c r="AEH51" s="71">
        <f>AEH13+AEH37+AEH49-AEH44</f>
        <v/>
      </c>
      <c r="AEI51" s="71">
        <f>AEI13+AEI37+AEI49-AEI44</f>
        <v/>
      </c>
      <c r="AEJ51" s="71">
        <f>AEJ13+AEJ37+AEJ49-AEJ44</f>
        <v/>
      </c>
      <c r="AEK51" s="71">
        <f>AEK13+AEK37+AEK49-AEK44</f>
        <v/>
      </c>
      <c r="AEL51" s="71">
        <f>AEL13+AEL37+AEL49-AEL44</f>
        <v/>
      </c>
      <c r="AEM51" s="71">
        <f>AEM13+AEM37+AEM49-AEM44</f>
        <v/>
      </c>
      <c r="AEN51" s="130" t="n"/>
      <c r="AEO51" s="71">
        <f>AEO13+AEO37+AEO49-AEO44</f>
        <v/>
      </c>
      <c r="AEP51" s="71">
        <f>AEP13+AEP37+AEP49-AEP44</f>
        <v/>
      </c>
      <c r="AEQ51" s="71">
        <f>AEQ13+AEQ37+AEQ49-AEQ44</f>
        <v/>
      </c>
      <c r="AER51" s="71">
        <f>AER13+AER37+AER49-AER44</f>
        <v/>
      </c>
      <c r="AES51" s="71">
        <f>AES13+AES37+AES49-AES44</f>
        <v/>
      </c>
      <c r="AET51" s="71">
        <f>AET13+AET37+AET49-AET44</f>
        <v/>
      </c>
      <c r="AEU51" s="71">
        <f>AEU13+AEU37+AEU49-AEU44</f>
        <v/>
      </c>
      <c r="AEV51" s="71">
        <f>AEV13+AEV37+AEV49-AEV44</f>
        <v/>
      </c>
      <c r="AEW51" s="71">
        <f>AEW13+AEW37+AEW49-AEW44</f>
        <v/>
      </c>
      <c r="AEX51" s="71">
        <f>AEX13+AEX37+AEX49-AEX44</f>
        <v/>
      </c>
      <c r="AEY51" s="71">
        <f>AEY13+AEY37+AEY49-AEY44</f>
        <v/>
      </c>
      <c r="AEZ51" s="71">
        <f>AEZ13+AEZ37+AEZ49-AEZ44</f>
        <v/>
      </c>
      <c r="AFA51" s="71">
        <f>AFA13+AFA37+AFA49-AFA44</f>
        <v/>
      </c>
      <c r="AFB51" s="71">
        <f>AFB13+AFB37+AFB49-AFB44</f>
        <v/>
      </c>
      <c r="AFC51" s="71">
        <f>AFC13+AFC37+AFC49-AFC44</f>
        <v/>
      </c>
      <c r="AFD51" s="71">
        <f>AFD13+AFD37+AFD49-AFD44</f>
        <v/>
      </c>
      <c r="AFE51" s="71">
        <f>AFE13+AFE37+AFE49-AFE44</f>
        <v/>
      </c>
      <c r="AFF51" s="71">
        <f>AFF13+AFF37+AFF49-AFF44</f>
        <v/>
      </c>
      <c r="AFG51" s="71">
        <f>AFG13+AFG37+AFG49-AFG44</f>
        <v/>
      </c>
      <c r="AFH51" s="71">
        <f>AFH13+AFH37+AFH49-AFH44</f>
        <v/>
      </c>
      <c r="AFI51" s="71">
        <f>AFI13+AFI37+AFI49-AFI44</f>
        <v/>
      </c>
      <c r="AFJ51" s="71">
        <f>AFJ13+AFJ37+AFJ49-AFJ44</f>
        <v/>
      </c>
      <c r="AFK51" s="71">
        <f>AFK13+AFK37+AFK49-AFK44</f>
        <v/>
      </c>
      <c r="AFL51" s="71">
        <f>AFL13+AFL37+AFL49-AFL44</f>
        <v/>
      </c>
      <c r="AFM51" s="71">
        <f>AFM13+AFM37+AFM49-AFM44</f>
        <v/>
      </c>
      <c r="AFN51" s="71">
        <f>AFN13+AFN37+AFN49-AFN44</f>
        <v/>
      </c>
      <c r="AFO51" s="71">
        <f>AFO13+AFO37+AFO49-AFO44</f>
        <v/>
      </c>
      <c r="AFP51" s="71">
        <f>AFP13+AFP37+AFP49-AFP44</f>
        <v/>
      </c>
      <c r="AFQ51" s="71">
        <f>AFQ13+AFQ37+AFQ49-AFQ44</f>
        <v/>
      </c>
      <c r="AFR51" s="71">
        <f>AFR13+AFR37+AFR49-AFR44</f>
        <v/>
      </c>
      <c r="AFS51" s="71">
        <f>AFS13+AFS37+AFS49-AFS44</f>
        <v/>
      </c>
      <c r="AFT51" s="130" t="n"/>
      <c r="AFU51" s="71">
        <f>AFU13+AFU37+AFU49-AFU44</f>
        <v/>
      </c>
      <c r="AFV51" s="71">
        <f>AFV13+AFV37+AFV49-AFV44</f>
        <v/>
      </c>
      <c r="AFW51" s="71">
        <f>AFW13+AFW37+AFW49-AFW44</f>
        <v/>
      </c>
      <c r="AFX51" s="71">
        <f>AFX13+AFX37+AFX49-AFX44</f>
        <v/>
      </c>
      <c r="AFY51" s="71">
        <f>AFY13+AFY37+AFY49-AFY44</f>
        <v/>
      </c>
      <c r="AFZ51" s="71">
        <f>AFZ13+AFZ37+AFZ49-AFZ44</f>
        <v/>
      </c>
      <c r="AGA51" s="71">
        <f>AGA13+AGA37+AGA49-AGA44</f>
        <v/>
      </c>
      <c r="AGB51" s="71">
        <f>AGB13+AGB37+AGB49-AGB44</f>
        <v/>
      </c>
      <c r="AGC51" s="71">
        <f>AGC13+AGC37+AGC49-AGC44</f>
        <v/>
      </c>
      <c r="AGD51" s="71">
        <f>AGD13+AGD37+AGD49-AGD44</f>
        <v/>
      </c>
      <c r="AGE51" s="71">
        <f>AGE13+AGE37+AGE49-AGE44</f>
        <v/>
      </c>
      <c r="AGF51" s="71">
        <f>AGF13+AGF37+AGF49-AGF44</f>
        <v/>
      </c>
      <c r="AGG51" s="71">
        <f>AGG13+AGG37+AGG49-AGG44</f>
        <v/>
      </c>
      <c r="AGH51" s="71">
        <f>AGH13+AGH37+AGH49-AGH44</f>
        <v/>
      </c>
      <c r="AGI51" s="71">
        <f>AGI13+AGI37+AGI49-AGI44</f>
        <v/>
      </c>
      <c r="AGJ51" s="71">
        <f>AGJ13+AGJ37+AGJ49-AGJ44</f>
        <v/>
      </c>
      <c r="AGK51" s="71">
        <f>AGK13+AGK37+AGK49-AGK44</f>
        <v/>
      </c>
      <c r="AGL51" s="71">
        <f>AGL13+AGL37+AGL49-AGL44</f>
        <v/>
      </c>
      <c r="AGM51" s="71">
        <f>AGM13+AGM37+AGM49-AGM44</f>
        <v/>
      </c>
      <c r="AGN51" s="71">
        <f>AGN13+AGN37+AGN49-AGN44</f>
        <v/>
      </c>
      <c r="AGO51" s="71">
        <f>AGO13+AGO37+AGO49-AGO44</f>
        <v/>
      </c>
      <c r="AGP51" s="71">
        <f>AGP13+AGP37+AGP49-AGP44</f>
        <v/>
      </c>
      <c r="AGQ51" s="71">
        <f>AGQ13+AGQ37+AGQ49-AGQ44</f>
        <v/>
      </c>
      <c r="AGR51" s="71">
        <f>AGR13+AGR37+AGR49-AGR44</f>
        <v/>
      </c>
      <c r="AGS51" s="71">
        <f>AGS13+AGS37+AGS49-AGS44</f>
        <v/>
      </c>
      <c r="AGT51" s="71">
        <f>AGT13+AGT37+AGT49-AGT44</f>
        <v/>
      </c>
      <c r="AGU51" s="71">
        <f>AGU13+AGU37+AGU49-AGU44</f>
        <v/>
      </c>
      <c r="AGV51" s="71">
        <f>AGV13+AGV37+AGV49-AGV44</f>
        <v/>
      </c>
      <c r="AGW51" s="71">
        <f>AGW13+AGW37+AGW49-AGW44</f>
        <v/>
      </c>
      <c r="AGX51" s="71">
        <f>AGX13+AGX37+AGX49-AGX44</f>
        <v/>
      </c>
      <c r="AGY51" s="128" t="n"/>
      <c r="AGZ51" s="71">
        <f>AGZ13+AGZ37+AGZ49-AGZ44</f>
        <v/>
      </c>
      <c r="AHA51" s="71">
        <f>AHA13+AHA37+AHA49-AHA44</f>
        <v/>
      </c>
      <c r="AHB51" s="71">
        <f>AHB13+AHB37+AHB49-AHB44</f>
        <v/>
      </c>
      <c r="AHC51" s="71">
        <f>AHC13+AHC37+AHC49-AHC44</f>
        <v/>
      </c>
      <c r="AHD51" s="71">
        <f>AHD13+AHD37+AHD49-AHD44</f>
        <v/>
      </c>
      <c r="AHE51" s="71">
        <f>AHE13+AHE37+AHE49-AHE44</f>
        <v/>
      </c>
      <c r="AHF51" s="71">
        <f>AHF13+AHF37+AHF49-AHF44</f>
        <v/>
      </c>
      <c r="AHG51" s="71">
        <f>AHG13+AHG37+AHG49-AHG44</f>
        <v/>
      </c>
      <c r="AHH51" s="71">
        <f>AHH13+AHH37+AHH49-AHH44</f>
        <v/>
      </c>
      <c r="AHI51" s="71">
        <f>AHI13+AHI37+AHI49-AHI44</f>
        <v/>
      </c>
      <c r="AHJ51" s="71">
        <f>AHJ13+AHJ37+AHJ49-AHJ44</f>
        <v/>
      </c>
      <c r="AHK51" s="71">
        <f>AHK13+AHK37+AHK49-AHK44</f>
        <v/>
      </c>
      <c r="AHL51" s="71">
        <f>AHL13+AHL37+AHL49-AHL44</f>
        <v/>
      </c>
      <c r="AHM51" s="71">
        <f>AHM13+AHM37+AHM49-AHM44</f>
        <v/>
      </c>
      <c r="AHN51" s="71">
        <f>AHN13+AHN37+AHN49-AHN44</f>
        <v/>
      </c>
      <c r="AHO51" s="71">
        <f>AHO13+AHO37+AHO49-AHO44</f>
        <v/>
      </c>
      <c r="AHP51" s="71">
        <f>AHP13+AHP37+AHP49-AHP44</f>
        <v/>
      </c>
      <c r="AHQ51" s="71">
        <f>AHQ13+AHQ37+AHQ49-AHQ44</f>
        <v/>
      </c>
      <c r="AHR51" s="71">
        <f>AHR13+AHR37+AHR49-AHR44</f>
        <v/>
      </c>
      <c r="AHS51" s="71">
        <f>AHS13+AHS37+AHS49-AHS44</f>
        <v/>
      </c>
      <c r="AHT51" s="71">
        <f>AHT13+AHT37+AHT49-AHT44</f>
        <v/>
      </c>
      <c r="AHU51" s="71">
        <f>AHU13+AHU37+AHU49-AHU44</f>
        <v/>
      </c>
      <c r="AHV51" s="71">
        <f>AHV13+AHV37+AHV49-AHV44</f>
        <v/>
      </c>
      <c r="AHW51" s="71">
        <f>AHW13+AHW37+AHW49-AHW44</f>
        <v/>
      </c>
      <c r="AHX51" s="71">
        <f>AHX13+AHX37+AHX49-AHX44</f>
        <v/>
      </c>
      <c r="AHY51" s="71">
        <f>AHY13+AHY37+AHY49-AHY44</f>
        <v/>
      </c>
      <c r="AHZ51" s="71">
        <f>AHZ13+AHZ37+AHZ49-AHZ44</f>
        <v/>
      </c>
      <c r="AIA51" s="71">
        <f>AIA13+AIA37+AIA49-AIA44</f>
        <v/>
      </c>
      <c r="AIB51" s="71">
        <f>AIB13+AIB37+AIB49-AIB44</f>
        <v/>
      </c>
      <c r="AIC51" s="71">
        <f>AIC13+AIC37+AIC49-AIC44</f>
        <v/>
      </c>
      <c r="AID51" s="71">
        <f>AID13+AID37+AID49-AID44</f>
        <v/>
      </c>
      <c r="AIE51" s="130" t="n"/>
      <c r="AIF51" s="71">
        <f>AIF13+AIF37+AIF49-AIF44</f>
        <v/>
      </c>
      <c r="AIG51" s="71">
        <f>AIG13+AIG37+AIG49-AIG44</f>
        <v/>
      </c>
      <c r="AIH51" s="71">
        <f>AIH13+AIH37+AIH49-AIH44</f>
        <v/>
      </c>
      <c r="AII51" s="71">
        <f>AII13+AII37+AII49-AII44</f>
        <v/>
      </c>
      <c r="AIJ51" s="71">
        <f>AIJ13+AIJ37+AIJ49-AIJ44</f>
        <v/>
      </c>
      <c r="AIK51" s="71">
        <f>AIK13+AIK37+AIK49-AIK44</f>
        <v/>
      </c>
      <c r="AIL51" s="71">
        <f>AIL13+AIL37+AIL49-AIL44</f>
        <v/>
      </c>
      <c r="AIM51" s="71">
        <f>AIM13+AIM37+AIM49-AIM44</f>
        <v/>
      </c>
      <c r="AIN51" s="71">
        <f>AIN13+AIN37+AIN49-AIN44</f>
        <v/>
      </c>
      <c r="AIO51" s="71">
        <f>AIO13+AIO37+AIO49-AIO44</f>
        <v/>
      </c>
      <c r="AIP51" s="71">
        <f>AIP13+AIP37+AIP49-AIP44</f>
        <v/>
      </c>
      <c r="AIQ51" s="71">
        <f>AIQ13+AIQ37+AIQ49-AIQ44</f>
        <v/>
      </c>
      <c r="AIR51" s="71">
        <f>AIR13+AIR37+AIR49-AIR44</f>
        <v/>
      </c>
      <c r="AIS51" s="71">
        <f>AIS13+AIS37+AIS49-AIS44</f>
        <v/>
      </c>
      <c r="AIT51" s="71">
        <f>AIT13+AIT37+AIT49-AIT44</f>
        <v/>
      </c>
      <c r="AIU51" s="71">
        <f>AIU13+AIU37+AIU49-AIU44</f>
        <v/>
      </c>
      <c r="AIV51" s="71">
        <f>AIV13+AIV37+AIV49-AIV44</f>
        <v/>
      </c>
      <c r="AIW51" s="71">
        <f>AIW13+AIW37+AIW49-AIW44</f>
        <v/>
      </c>
      <c r="AIX51" s="71">
        <f>AIX13+AIX37+AIX49-AIX44</f>
        <v/>
      </c>
      <c r="AIY51" s="71">
        <f>AIY13+AIY37+AIY49-AIY44</f>
        <v/>
      </c>
      <c r="AIZ51" s="71">
        <f>AIZ13+AIZ37+AIZ49-AIZ44</f>
        <v/>
      </c>
      <c r="AJA51" s="71">
        <f>AJA13+AJA37+AJA49-AJA44</f>
        <v/>
      </c>
      <c r="AJB51" s="71">
        <f>AJB13+AJB37+AJB49-AJB44</f>
        <v/>
      </c>
      <c r="AJC51" s="71">
        <f>AJC13+AJC37+AJC49-AJC44</f>
        <v/>
      </c>
      <c r="AJD51" s="71">
        <f>AJD13+AJD37+AJD49-AJD44</f>
        <v/>
      </c>
      <c r="AJE51" s="71">
        <f>AJE13+AJE37+AJE49-AJE44</f>
        <v/>
      </c>
      <c r="AJF51" s="71">
        <f>AJF13+AJF37+AJF49-AJF44</f>
        <v/>
      </c>
      <c r="AJG51" s="71">
        <f>AJG13+AJG37+AJG49-AJG44</f>
        <v/>
      </c>
      <c r="AJH51" s="71">
        <f>AJH13+AJH37+AJH49-AJH44</f>
        <v/>
      </c>
      <c r="AJI51" s="71">
        <f>AJI13+AJI37+AJI49-AJI44</f>
        <v/>
      </c>
      <c r="AJJ51" s="71">
        <f>AJJ13+AJJ37+AJJ49-AJJ44</f>
        <v/>
      </c>
      <c r="AJK51" s="145" t="n"/>
      <c r="AJL51" s="71">
        <f>AJL13+AJL37+AJL49-AJL44</f>
        <v/>
      </c>
      <c r="AJM51" s="71">
        <f>AJM13+AJM37+AJM49-AJM44</f>
        <v/>
      </c>
      <c r="AJN51" s="71">
        <f>AJN13+AJN37+AJN49-AJN44</f>
        <v/>
      </c>
      <c r="AJO51" s="71">
        <f>AJO13+AJO37+AJO49-AJO44</f>
        <v/>
      </c>
      <c r="AJP51" s="71">
        <f>AJP13+AJP37+AJP49-AJP44</f>
        <v/>
      </c>
      <c r="AJQ51" s="71">
        <f>AJQ13+AJQ37+AJQ49-AJQ44</f>
        <v/>
      </c>
      <c r="AJR51" s="71">
        <f>AJR13+AJR37+AJR49-AJR44</f>
        <v/>
      </c>
      <c r="AJS51" s="71">
        <f>AJS13+AJS37+AJS49-AJS44</f>
        <v/>
      </c>
      <c r="AJT51" s="71">
        <f>AJT13+AJT37+AJT49-AJT44</f>
        <v/>
      </c>
      <c r="AJU51" s="71">
        <f>AJU13+AJU37+AJU49-AJU44</f>
        <v/>
      </c>
      <c r="AJV51" s="71">
        <f>AJV13+AJV37+AJV49-AJV44</f>
        <v/>
      </c>
      <c r="AJW51" s="71">
        <f>AJW13+AJW37+AJW49-AJW44</f>
        <v/>
      </c>
      <c r="AJX51" s="71">
        <f>AJX13+AJX37+AJX49-AJX44</f>
        <v/>
      </c>
      <c r="AJY51" s="71">
        <f>AJY13+AJY37+AJY49-AJY44</f>
        <v/>
      </c>
      <c r="AJZ51" s="71">
        <f>AJZ13+AJZ37+AJZ49-AJZ44</f>
        <v/>
      </c>
      <c r="AKA51" s="71">
        <f>AKA13+AKA37+AKA49-AKA44</f>
        <v/>
      </c>
      <c r="AKB51" s="71">
        <f>AKB13+AKB37+AKB49-AKB44</f>
        <v/>
      </c>
      <c r="AKC51" s="71">
        <f>AKC13+AKC37+AKC49-AKC44</f>
        <v/>
      </c>
      <c r="AKD51" s="71">
        <f>AKD13+AKD37+AKD49-AKD44</f>
        <v/>
      </c>
      <c r="AKE51" s="71">
        <f>AKE13+AKE37+AKE49-AKE44</f>
        <v/>
      </c>
      <c r="AKF51" s="71">
        <f>AKF13+AKF37+AKF49-AKF44</f>
        <v/>
      </c>
      <c r="AKG51" s="71">
        <f>AKG13+AKG37+AKG49-AKG44</f>
        <v/>
      </c>
      <c r="AKH51" s="71">
        <f>AKH13+AKH37+AKH49-AKH44</f>
        <v/>
      </c>
      <c r="AKI51" s="71">
        <f>AKI13+AKI37+AKI49-AKI44</f>
        <v/>
      </c>
      <c r="AKJ51" s="71">
        <f>AKJ13+AKJ37+AKJ49-AKJ44</f>
        <v/>
      </c>
      <c r="AKK51" s="71">
        <f>AKK13+AKK37+AKK49-AKK44</f>
        <v/>
      </c>
      <c r="AKL51" s="71">
        <f>AKL13+AKL37+AKL49-AKL44</f>
        <v/>
      </c>
      <c r="AKM51" s="71">
        <f>AKM13+AKM37+AKM49-AKM44</f>
        <v/>
      </c>
      <c r="AKN51" s="154" t="n"/>
      <c r="AKO51" s="71">
        <f>AKO13+AKO37+AKO49-AKO44</f>
        <v/>
      </c>
      <c r="AKP51" s="71">
        <f>AKP13+AKP37+AKP49-AKP44</f>
        <v/>
      </c>
      <c r="AKQ51" s="71">
        <f>AKQ13+AKQ37+AKQ49-AKQ44</f>
        <v/>
      </c>
      <c r="AKR51" s="71">
        <f>AKR13+AKR37+AKR49-AKR44</f>
        <v/>
      </c>
      <c r="AKS51" s="71">
        <f>AKS13+AKS37+AKS49-AKS44</f>
        <v/>
      </c>
      <c r="AKT51" s="71">
        <f>AKT13+AKT37+AKT49-AKT44</f>
        <v/>
      </c>
      <c r="AKU51" s="71">
        <f>AKU13+AKU37+AKU49-AKU44</f>
        <v/>
      </c>
      <c r="AKV51" s="71">
        <f>AKV13+AKV37+AKV49-AKV44</f>
        <v/>
      </c>
      <c r="AKW51" s="71">
        <f>AKW13+AKW37+AKW49-AKW44</f>
        <v/>
      </c>
      <c r="AKX51" s="71">
        <f>AKX13+AKX37+AKX49-AKX44</f>
        <v/>
      </c>
      <c r="AKY51" s="71">
        <f>AKY13+AKY37+AKY49-AKY44</f>
        <v/>
      </c>
      <c r="AKZ51" s="71">
        <f>AKZ13+AKZ37+AKZ49-AKZ44</f>
        <v/>
      </c>
      <c r="ALA51" s="71">
        <f>ALA13+ALA37+ALA49-ALA44</f>
        <v/>
      </c>
      <c r="ALB51" s="71">
        <f>ALB13+ALB37+ALB49-ALB44</f>
        <v/>
      </c>
      <c r="ALC51" s="71">
        <f>ALC13+ALC37+ALC49-ALC44</f>
        <v/>
      </c>
      <c r="ALD51" s="71">
        <f>ALD13+ALD37+ALD49-ALD44</f>
        <v/>
      </c>
      <c r="ALE51" s="71">
        <f>ALE13+ALE37+ALE49-ALE44</f>
        <v/>
      </c>
      <c r="ALF51" s="71">
        <f>ALF13+ALF37+ALF49-ALF44</f>
        <v/>
      </c>
      <c r="ALG51" s="71">
        <f>ALG13+ALG37+ALG49-ALG44</f>
        <v/>
      </c>
      <c r="ALH51" s="71">
        <f>ALH13+ALH37+ALH49-ALH44</f>
        <v/>
      </c>
      <c r="ALI51" s="71">
        <f>ALI13+ALI37+ALI49-ALI44</f>
        <v/>
      </c>
      <c r="ALJ51" s="71">
        <f>ALJ13+ALJ37+ALJ49-ALJ44</f>
        <v/>
      </c>
      <c r="ALK51" s="71">
        <f>ALK13+ALK37+ALK49-ALK44</f>
        <v/>
      </c>
      <c r="ALL51" s="71">
        <f>ALL13+ALL37+ALL49-ALL44</f>
        <v/>
      </c>
      <c r="ALM51" s="71">
        <f>ALM13+ALM37+ALM49-ALM44</f>
        <v/>
      </c>
      <c r="ALN51" s="71">
        <f>ALN13+ALN37+ALN49-ALN44</f>
        <v/>
      </c>
      <c r="ALO51" s="71">
        <f>ALO13+ALO37+ALO49-ALO44</f>
        <v/>
      </c>
      <c r="ALP51" s="71">
        <f>ALP13+ALP37+ALP49-ALP44</f>
        <v/>
      </c>
      <c r="ALQ51" s="71">
        <f>ALQ13+ALQ37+ALQ49-ALQ44</f>
        <v/>
      </c>
      <c r="ALR51" s="71">
        <f>ALR13+ALR37+ALR49-ALR44</f>
        <v/>
      </c>
      <c r="ALS51" s="71">
        <f>ALS13+ALS37+ALS49-ALS44</f>
        <v/>
      </c>
      <c r="ALT51" s="130" t="n"/>
      <c r="ALU51" s="71">
        <f>ALU13+ALU37+ALU49-ALU44</f>
        <v/>
      </c>
      <c r="ALV51" s="71">
        <f>ALV13+ALV37+ALV49-ALV44</f>
        <v/>
      </c>
      <c r="ALW51" s="71">
        <f>ALW13+ALW37+ALW49-ALW44</f>
        <v/>
      </c>
      <c r="ALX51" s="71">
        <f>ALX13+ALX37+ALX49-ALX44</f>
        <v/>
      </c>
      <c r="ALY51" s="71">
        <f>ALY13+ALY37+ALY49-ALY44</f>
        <v/>
      </c>
      <c r="ALZ51" s="71">
        <f>ALZ13+ALZ37+ALZ49-ALZ44</f>
        <v/>
      </c>
      <c r="AMA51" s="71">
        <f>AMA13+AMA37+AMA49-AMA44</f>
        <v/>
      </c>
      <c r="AMB51" s="71">
        <f>AMB13+AMB37+AMB49-AMB44</f>
        <v/>
      </c>
      <c r="AMC51" s="71">
        <f>AMC13+AMC37+AMC49-AMC44</f>
        <v/>
      </c>
      <c r="AMD51" s="71">
        <f>AMD13+AMD37+AMD49-AMD44</f>
        <v/>
      </c>
      <c r="AME51" s="71">
        <f>AME13+AME37+AME49-AME44</f>
        <v/>
      </c>
      <c r="AMF51" s="71">
        <f>AMF13+AMF37+AMF49-AMF44</f>
        <v/>
      </c>
      <c r="AMG51" s="71">
        <f>AMG13+AMG37+AMG49-AMG44</f>
        <v/>
      </c>
      <c r="AMH51" s="71">
        <f>AMH13+AMH37+AMH49-AMH44</f>
        <v/>
      </c>
      <c r="AMI51" s="71">
        <f>AMI13+AMI37+AMI49-AMI44</f>
        <v/>
      </c>
      <c r="AMJ51" s="71">
        <f>AMJ13+AMJ37+AMJ49-AMJ44</f>
        <v/>
      </c>
      <c r="AMK51" s="71">
        <f>AMK13+AMK37+AMK49-AMK44</f>
        <v/>
      </c>
      <c r="AML51" s="71">
        <f>AML13+AML37+AML49-AML44</f>
        <v/>
      </c>
      <c r="AMM51" s="71">
        <f>AMM13+AMM37+AMM49-AMM44</f>
        <v/>
      </c>
      <c r="AMN51" s="71">
        <f>AMN13+AMN37+AMN49-AMN44</f>
        <v/>
      </c>
      <c r="AMO51" s="71">
        <f>AMO13+AMO37+AMO49-AMO44</f>
        <v/>
      </c>
      <c r="AMP51" s="71">
        <f>AMP13+AMP37+AMP49-AMP44</f>
        <v/>
      </c>
      <c r="AMQ51" s="71">
        <f>AMQ13+AMQ37+AMQ49-AMQ44</f>
        <v/>
      </c>
      <c r="AMR51" s="71">
        <f>AMR13+AMR37+AMR49-AMR44</f>
        <v/>
      </c>
      <c r="AMS51" s="71">
        <f>AMS13+AMS37+AMS49-AMS44</f>
        <v/>
      </c>
      <c r="AMT51" s="71">
        <f>AMT13+AMT37+AMT49-AMT44</f>
        <v/>
      </c>
      <c r="AMU51" s="71">
        <f>AMU13+AMU37+AMU49-AMU44</f>
        <v/>
      </c>
      <c r="AMV51" s="71">
        <f>AMV13+AMV37+AMV49-AMV44</f>
        <v/>
      </c>
      <c r="AMW51" s="71">
        <f>AMW13+AMW37+AMW49-AMW44</f>
        <v/>
      </c>
      <c r="AMX51" s="71">
        <f>AMX13+AMX37+AMX49-AMX44</f>
        <v/>
      </c>
      <c r="AMY51" s="130" t="n"/>
      <c r="AMZ51" s="71">
        <f>AMZ13+AMZ37+AMZ49-AMZ44</f>
        <v/>
      </c>
      <c r="ANA51" s="71">
        <f>ANA13+ANA37+ANA49-ANA44</f>
        <v/>
      </c>
      <c r="ANB51" s="71">
        <f>ANB13+ANB37+ANB49-ANB44</f>
        <v/>
      </c>
      <c r="ANC51" s="71">
        <f>ANC13+ANC37+ANC49-ANC44</f>
        <v/>
      </c>
      <c r="AND51" s="71">
        <f>AND13+AND37+AND49-AND44</f>
        <v/>
      </c>
      <c r="ANE51" s="71">
        <f>ANE13+ANE37+ANE49-ANE44</f>
        <v/>
      </c>
      <c r="ANF51" s="71">
        <f>ANF13+ANF37+ANF49-ANF44</f>
        <v/>
      </c>
      <c r="ANG51" s="71">
        <f>ANG13+ANG37+ANG49-ANG44</f>
        <v/>
      </c>
      <c r="ANH51" s="71">
        <f>ANH13+ANH37+ANH49-ANH44</f>
        <v/>
      </c>
      <c r="ANI51" s="71">
        <f>ANI13+ANI37+ANI49-ANI44</f>
        <v/>
      </c>
      <c r="ANJ51" s="71">
        <f>ANJ13+ANJ37+ANJ49-ANJ44</f>
        <v/>
      </c>
      <c r="ANK51" s="71">
        <f>ANK13+ANK37+ANK49-ANK44</f>
        <v/>
      </c>
      <c r="ANL51" s="71">
        <f>ANL13+ANL37+ANL49-ANL44</f>
        <v/>
      </c>
      <c r="ANM51" s="71">
        <f>ANM13+ANM37+ANM49-ANM44</f>
        <v/>
      </c>
      <c r="ANN51" s="71">
        <f>ANN13+ANN37+ANN49-ANN44</f>
        <v/>
      </c>
      <c r="ANO51" s="71">
        <f>ANO13+ANO37+ANO49-ANO44</f>
        <v/>
      </c>
      <c r="ANP51" s="71">
        <f>ANP13+ANP37+ANP49-ANP44</f>
        <v/>
      </c>
      <c r="ANQ51" s="71">
        <f>ANQ13+ANQ37+ANQ49-ANQ44</f>
        <v/>
      </c>
      <c r="ANR51" s="71">
        <f>ANR13+ANR37+ANR49-ANR44</f>
        <v/>
      </c>
      <c r="ANS51" s="71">
        <f>ANS13+ANS37+ANS49-ANS44</f>
        <v/>
      </c>
      <c r="ANT51" s="71">
        <f>ANT13+ANT37+ANT49-ANT44</f>
        <v/>
      </c>
      <c r="ANU51" s="71">
        <f>ANU13+ANU37+ANU49-ANU44</f>
        <v/>
      </c>
      <c r="ANV51" s="71">
        <f>ANV13+ANV37+ANV49-ANV44</f>
        <v/>
      </c>
      <c r="ANW51" s="71">
        <f>ANW13+ANW37+ANW49-ANW44</f>
        <v/>
      </c>
      <c r="ANX51" s="71">
        <f>ANX13+ANX37+ANX49-ANX44</f>
        <v/>
      </c>
      <c r="ANY51" s="71">
        <f>ANY13+ANY37+ANY49-ANY44</f>
        <v/>
      </c>
      <c r="ANZ51" s="71">
        <f>ANZ13+ANZ37+ANZ49-ANZ44</f>
        <v/>
      </c>
      <c r="AOA51" s="71">
        <f>AOA13+AOA37+AOA49-AOA44</f>
        <v/>
      </c>
      <c r="AOB51" s="71">
        <f>AOB13+AOB37+AOB49-AOB44</f>
        <v/>
      </c>
      <c r="AOC51" s="71">
        <f>AOC13+AOC37+AOC49-AOC44</f>
        <v/>
      </c>
    </row>
    <row r="52">
      <c r="B52" s="72" t="inlineStr">
        <is>
          <t>INITIAL CAPITAL INVESTMENT</t>
        </is>
      </c>
      <c r="C52" s="73" t="n">
        <v>130000000</v>
      </c>
      <c r="D52" s="74">
        <f>C52</f>
        <v/>
      </c>
      <c r="E52" s="74">
        <f>D52</f>
        <v/>
      </c>
      <c r="F52" s="74">
        <f>E52</f>
        <v/>
      </c>
      <c r="G52" s="74">
        <f>F52</f>
        <v/>
      </c>
      <c r="H52" s="74">
        <f>G52</f>
        <v/>
      </c>
      <c r="I52" s="74">
        <f>H52</f>
        <v/>
      </c>
      <c r="J52" s="74">
        <f>I52</f>
        <v/>
      </c>
      <c r="K52" s="74">
        <f>J52</f>
        <v/>
      </c>
      <c r="L52" s="74">
        <f>K52</f>
        <v/>
      </c>
      <c r="M52" s="74">
        <f>L52</f>
        <v/>
      </c>
      <c r="N52" s="74">
        <f>M52</f>
        <v/>
      </c>
      <c r="O52" s="74">
        <f>N52</f>
        <v/>
      </c>
      <c r="P52" s="74">
        <f>O52</f>
        <v/>
      </c>
      <c r="Q52" s="74">
        <f>P52</f>
        <v/>
      </c>
      <c r="R52" s="74">
        <f>Q52</f>
        <v/>
      </c>
      <c r="S52" s="74">
        <f>R52</f>
        <v/>
      </c>
      <c r="T52" s="74">
        <f>S52</f>
        <v/>
      </c>
      <c r="U52" s="74">
        <f>T52</f>
        <v/>
      </c>
      <c r="V52" s="74">
        <f>U52</f>
        <v/>
      </c>
      <c r="W52" s="74">
        <f>V52</f>
        <v/>
      </c>
      <c r="X52" s="74">
        <f>W52</f>
        <v/>
      </c>
      <c r="Y52" s="74">
        <f>X52</f>
        <v/>
      </c>
      <c r="Z52" s="74">
        <f>Y52</f>
        <v/>
      </c>
      <c r="AA52" s="74">
        <f>Z52</f>
        <v/>
      </c>
      <c r="AB52" s="74">
        <f>AA52</f>
        <v/>
      </c>
      <c r="AC52" s="74">
        <f>AB52</f>
        <v/>
      </c>
      <c r="AD52" s="74">
        <f>AC52</f>
        <v/>
      </c>
      <c r="AE52" s="74">
        <f>AD52</f>
        <v/>
      </c>
      <c r="AF52" s="74">
        <f>AE52</f>
        <v/>
      </c>
      <c r="AG52" s="74">
        <f>AF52</f>
        <v/>
      </c>
      <c r="AH52" s="67">
        <f>AG52</f>
        <v/>
      </c>
      <c r="AI52" s="74">
        <f>AH52</f>
        <v/>
      </c>
      <c r="AJ52" s="74">
        <f>AI52</f>
        <v/>
      </c>
      <c r="AK52" s="74">
        <f>AJ52</f>
        <v/>
      </c>
      <c r="AL52" s="74">
        <f>AK52</f>
        <v/>
      </c>
      <c r="AM52" s="74">
        <f>AL52</f>
        <v/>
      </c>
      <c r="AN52" s="74">
        <f>AM52</f>
        <v/>
      </c>
      <c r="AO52" s="74">
        <f>AN52</f>
        <v/>
      </c>
      <c r="AP52" s="74">
        <f>AO52</f>
        <v/>
      </c>
      <c r="AQ52" s="74">
        <f>AP52</f>
        <v/>
      </c>
      <c r="AR52" s="74">
        <f>AQ52</f>
        <v/>
      </c>
      <c r="AS52" s="74">
        <f>AR52</f>
        <v/>
      </c>
      <c r="AT52" s="74">
        <f>AS52</f>
        <v/>
      </c>
      <c r="AU52" s="74">
        <f>AT52</f>
        <v/>
      </c>
      <c r="AV52" s="74">
        <f>AU52</f>
        <v/>
      </c>
      <c r="AW52" s="74">
        <f>AV52</f>
        <v/>
      </c>
      <c r="AX52" s="74">
        <f>AW52</f>
        <v/>
      </c>
      <c r="AY52" s="74">
        <f>AX52</f>
        <v/>
      </c>
      <c r="AZ52" s="74">
        <f>AY52</f>
        <v/>
      </c>
      <c r="BA52" s="74">
        <f>AZ52</f>
        <v/>
      </c>
      <c r="BB52" s="74">
        <f>BA52</f>
        <v/>
      </c>
      <c r="BC52" s="74">
        <f>BB52</f>
        <v/>
      </c>
      <c r="BD52" s="74">
        <f>BC52</f>
        <v/>
      </c>
      <c r="BE52" s="74">
        <f>BD52</f>
        <v/>
      </c>
      <c r="BF52" s="74">
        <f>BE52</f>
        <v/>
      </c>
      <c r="BG52" s="74">
        <f>BF52</f>
        <v/>
      </c>
      <c r="BH52" s="74">
        <f>BG52</f>
        <v/>
      </c>
      <c r="BI52" s="74">
        <f>BH52</f>
        <v/>
      </c>
      <c r="BJ52" s="74">
        <f>BI52</f>
        <v/>
      </c>
      <c r="BK52" s="74">
        <f>BJ52</f>
        <v/>
      </c>
      <c r="BL52" s="74">
        <f>BK52</f>
        <v/>
      </c>
      <c r="BM52" s="106">
        <f>BL52</f>
        <v/>
      </c>
      <c r="BN52" s="74">
        <f>BM52</f>
        <v/>
      </c>
      <c r="BO52" s="74">
        <f>BN52</f>
        <v/>
      </c>
      <c r="BP52" s="74">
        <f>BO52</f>
        <v/>
      </c>
      <c r="BQ52" s="74">
        <f>BP52</f>
        <v/>
      </c>
      <c r="BR52" s="74">
        <f>BQ52</f>
        <v/>
      </c>
      <c r="BS52" s="74">
        <f>BR52</f>
        <v/>
      </c>
      <c r="BT52" s="74">
        <f>BS52</f>
        <v/>
      </c>
      <c r="BU52" s="74">
        <f>BT52</f>
        <v/>
      </c>
      <c r="BV52" s="74">
        <f>BU52</f>
        <v/>
      </c>
      <c r="BW52" s="74">
        <f>BV52</f>
        <v/>
      </c>
      <c r="BX52" s="74">
        <f>BW52</f>
        <v/>
      </c>
      <c r="BY52" s="74">
        <f>BX52</f>
        <v/>
      </c>
      <c r="BZ52" s="74">
        <f>BY52</f>
        <v/>
      </c>
      <c r="CA52" s="74">
        <f>BZ52</f>
        <v/>
      </c>
      <c r="CB52" s="74">
        <f>CA52</f>
        <v/>
      </c>
      <c r="CC52" s="74">
        <f>CB52</f>
        <v/>
      </c>
      <c r="CD52" s="74">
        <f>CC52</f>
        <v/>
      </c>
      <c r="CE52" s="74">
        <f>CD52</f>
        <v/>
      </c>
      <c r="CF52" s="74">
        <f>CE52</f>
        <v/>
      </c>
      <c r="CG52" s="74">
        <f>CF52</f>
        <v/>
      </c>
      <c r="CH52" s="74">
        <f>CG52</f>
        <v/>
      </c>
      <c r="CI52" s="74">
        <f>CH52</f>
        <v/>
      </c>
      <c r="CJ52" s="74">
        <f>CI52</f>
        <v/>
      </c>
      <c r="CK52" s="74">
        <f>CJ52</f>
        <v/>
      </c>
      <c r="CL52" s="74">
        <f>CK52</f>
        <v/>
      </c>
      <c r="CM52" s="74">
        <f>CL52</f>
        <v/>
      </c>
      <c r="CN52" s="74">
        <f>CM52</f>
        <v/>
      </c>
      <c r="CO52" s="74">
        <f>CN52</f>
        <v/>
      </c>
      <c r="CP52" s="74">
        <f>CO52</f>
        <v/>
      </c>
      <c r="CQ52" s="74">
        <f>CP52</f>
        <v/>
      </c>
      <c r="CR52" s="74">
        <f>CQ52</f>
        <v/>
      </c>
      <c r="CT52" s="82">
        <f>CR52</f>
        <v/>
      </c>
      <c r="CU52" s="82">
        <f>CT52</f>
        <v/>
      </c>
      <c r="CV52" s="82">
        <f>CT52</f>
        <v/>
      </c>
      <c r="CW52" s="82">
        <f>CU52</f>
        <v/>
      </c>
      <c r="CX52" s="82">
        <f>CV52</f>
        <v/>
      </c>
      <c r="CY52" s="82">
        <f>CW52</f>
        <v/>
      </c>
      <c r="CZ52" s="82">
        <f>CX52</f>
        <v/>
      </c>
      <c r="DA52" s="82">
        <f>CY52</f>
        <v/>
      </c>
      <c r="DB52" s="82">
        <f>CZ52</f>
        <v/>
      </c>
      <c r="DC52" s="82">
        <f>DA52</f>
        <v/>
      </c>
      <c r="DD52" s="82">
        <f>DB52</f>
        <v/>
      </c>
      <c r="DE52" s="82">
        <f>DC52</f>
        <v/>
      </c>
      <c r="DF52" s="82">
        <f>DD52</f>
        <v/>
      </c>
      <c r="DG52" s="82">
        <f>DE52</f>
        <v/>
      </c>
      <c r="DH52" s="82">
        <f>DF52</f>
        <v/>
      </c>
      <c r="DI52" s="82">
        <f>DG52</f>
        <v/>
      </c>
      <c r="DJ52" s="82">
        <f>DH52</f>
        <v/>
      </c>
      <c r="DK52" s="82">
        <f>DI52</f>
        <v/>
      </c>
      <c r="DL52" s="82">
        <f>DJ52</f>
        <v/>
      </c>
      <c r="DM52" s="82">
        <f>DK52</f>
        <v/>
      </c>
      <c r="DN52" s="82">
        <f>DL52</f>
        <v/>
      </c>
      <c r="DO52" s="82">
        <f>DM52</f>
        <v/>
      </c>
      <c r="DP52" s="82">
        <f>DN52</f>
        <v/>
      </c>
      <c r="DQ52" s="82">
        <f>DO52</f>
        <v/>
      </c>
      <c r="DR52" s="82">
        <f>DP52</f>
        <v/>
      </c>
      <c r="DS52" s="82">
        <f>DQ52</f>
        <v/>
      </c>
      <c r="DT52" s="82">
        <f>DR52</f>
        <v/>
      </c>
      <c r="DU52" s="82">
        <f>DS52</f>
        <v/>
      </c>
      <c r="DV52" s="82">
        <f>DT52</f>
        <v/>
      </c>
      <c r="DW52" s="82">
        <f>DU52</f>
        <v/>
      </c>
      <c r="DX52" s="117" t="n"/>
      <c r="DY52" s="82">
        <f>DW52</f>
        <v/>
      </c>
      <c r="DZ52" s="82">
        <f>DY52</f>
        <v/>
      </c>
      <c r="EA52" s="82">
        <f>DY52</f>
        <v/>
      </c>
      <c r="EB52" s="82">
        <f>DZ52</f>
        <v/>
      </c>
      <c r="EC52" s="82">
        <f>EA52</f>
        <v/>
      </c>
      <c r="ED52" s="82">
        <f>EB52</f>
        <v/>
      </c>
      <c r="EE52" s="82">
        <f>EC52</f>
        <v/>
      </c>
      <c r="EF52" s="82">
        <f>ED52</f>
        <v/>
      </c>
      <c r="EG52" s="82">
        <f>EE52</f>
        <v/>
      </c>
      <c r="EH52" s="82">
        <f>EF52</f>
        <v/>
      </c>
      <c r="EI52" s="82">
        <f>EG52</f>
        <v/>
      </c>
      <c r="EJ52" s="82">
        <f>EH52</f>
        <v/>
      </c>
      <c r="EK52" s="82">
        <f>EI52</f>
        <v/>
      </c>
      <c r="EL52" s="82">
        <f>EJ52</f>
        <v/>
      </c>
      <c r="EM52" s="82">
        <f>EK52</f>
        <v/>
      </c>
      <c r="EN52" s="82">
        <f>EL52</f>
        <v/>
      </c>
      <c r="EO52" s="82">
        <f>EM52</f>
        <v/>
      </c>
      <c r="EP52" s="82">
        <f>EN52</f>
        <v/>
      </c>
      <c r="EQ52" s="82">
        <f>EO52</f>
        <v/>
      </c>
      <c r="ER52" s="82">
        <f>EP52</f>
        <v/>
      </c>
      <c r="ES52" s="82">
        <f>EQ52</f>
        <v/>
      </c>
      <c r="ET52" s="82">
        <f>ER52</f>
        <v/>
      </c>
      <c r="EU52" s="82">
        <f>ES52</f>
        <v/>
      </c>
      <c r="EV52" s="82">
        <f>ET52</f>
        <v/>
      </c>
      <c r="EW52" s="82">
        <f>EU52</f>
        <v/>
      </c>
      <c r="EX52" s="82">
        <f>EV52</f>
        <v/>
      </c>
      <c r="EY52" s="82">
        <f>EW52</f>
        <v/>
      </c>
      <c r="EZ52" s="82">
        <f>EX52</f>
        <v/>
      </c>
      <c r="FA52" s="82">
        <f>EY52</f>
        <v/>
      </c>
      <c r="FB52" s="82">
        <f>EZ52</f>
        <v/>
      </c>
      <c r="FC52" s="82">
        <f>FA52</f>
        <v/>
      </c>
      <c r="FD52" s="126" t="n"/>
      <c r="FE52" s="82">
        <f>FC52</f>
        <v/>
      </c>
      <c r="FF52" s="82">
        <f>FE52</f>
        <v/>
      </c>
      <c r="FG52" s="82">
        <f>FE52</f>
        <v/>
      </c>
      <c r="FH52" s="82">
        <f>FF52</f>
        <v/>
      </c>
      <c r="FI52" s="82">
        <f>FG52</f>
        <v/>
      </c>
      <c r="FJ52" s="82">
        <f>FH52</f>
        <v/>
      </c>
      <c r="FK52" s="82">
        <f>FI52</f>
        <v/>
      </c>
      <c r="FL52" s="82">
        <f>FJ52</f>
        <v/>
      </c>
      <c r="FM52" s="82">
        <f>FK52</f>
        <v/>
      </c>
      <c r="FN52" s="82">
        <f>FL52</f>
        <v/>
      </c>
      <c r="FO52" s="82">
        <f>FM52</f>
        <v/>
      </c>
      <c r="FP52" s="82">
        <f>FN52</f>
        <v/>
      </c>
      <c r="FQ52" s="82">
        <f>FO52</f>
        <v/>
      </c>
      <c r="FR52" s="82">
        <f>FP52</f>
        <v/>
      </c>
      <c r="FS52" s="82">
        <f>FQ52</f>
        <v/>
      </c>
      <c r="FT52" s="82">
        <f>FR52</f>
        <v/>
      </c>
      <c r="FU52" s="82">
        <f>FS52</f>
        <v/>
      </c>
      <c r="FV52" s="82">
        <f>FT52</f>
        <v/>
      </c>
      <c r="FW52" s="82">
        <f>FU52</f>
        <v/>
      </c>
      <c r="FX52" s="82">
        <f>FV52</f>
        <v/>
      </c>
      <c r="FY52" s="82">
        <f>FW52</f>
        <v/>
      </c>
      <c r="FZ52" s="82">
        <f>FX52</f>
        <v/>
      </c>
      <c r="GA52" s="82">
        <f>FY52</f>
        <v/>
      </c>
      <c r="GB52" s="82">
        <f>FZ52</f>
        <v/>
      </c>
      <c r="GC52" s="82">
        <f>GA52</f>
        <v/>
      </c>
      <c r="GD52" s="82">
        <f>GB52</f>
        <v/>
      </c>
      <c r="GE52" s="82">
        <f>GC52</f>
        <v/>
      </c>
      <c r="GF52" s="82">
        <f>GD52</f>
        <v/>
      </c>
      <c r="GG52" s="82">
        <f>GE52</f>
        <v/>
      </c>
      <c r="GH52" s="82">
        <f>GF52</f>
        <v/>
      </c>
      <c r="GI52" s="82">
        <f>GG52</f>
        <v/>
      </c>
      <c r="GJ52" s="130" t="n"/>
      <c r="GK52" s="82">
        <f>GI52</f>
        <v/>
      </c>
      <c r="GL52" s="82">
        <f>GK52</f>
        <v/>
      </c>
      <c r="GM52" s="82">
        <f>GK52</f>
        <v/>
      </c>
      <c r="GN52" s="82">
        <f>GL52</f>
        <v/>
      </c>
      <c r="GO52" s="82">
        <f>GM52</f>
        <v/>
      </c>
      <c r="GP52" s="82">
        <f>GN52</f>
        <v/>
      </c>
      <c r="GQ52" s="82">
        <f>GO52</f>
        <v/>
      </c>
      <c r="GR52" s="82">
        <f>GP52</f>
        <v/>
      </c>
      <c r="GS52" s="82">
        <f>GQ52</f>
        <v/>
      </c>
      <c r="GT52" s="82">
        <f>GR52</f>
        <v/>
      </c>
      <c r="GU52" s="82">
        <f>GS52</f>
        <v/>
      </c>
      <c r="GV52" s="82">
        <f>GT52</f>
        <v/>
      </c>
      <c r="GW52" s="82">
        <f>GU52</f>
        <v/>
      </c>
      <c r="GX52" s="82">
        <f>GV52</f>
        <v/>
      </c>
      <c r="GY52" s="82">
        <f>GW52</f>
        <v/>
      </c>
      <c r="GZ52" s="82">
        <f>GX52</f>
        <v/>
      </c>
      <c r="HA52" s="82">
        <f>GY52</f>
        <v/>
      </c>
      <c r="HB52" s="82">
        <f>GZ52</f>
        <v/>
      </c>
      <c r="HC52" s="82">
        <f>HA52</f>
        <v/>
      </c>
      <c r="HD52" s="82">
        <f>HB52</f>
        <v/>
      </c>
      <c r="HE52" s="82">
        <f>HC52</f>
        <v/>
      </c>
      <c r="HF52" s="82">
        <f>HD52</f>
        <v/>
      </c>
      <c r="HG52" s="82">
        <f>HE52</f>
        <v/>
      </c>
      <c r="HH52" s="82">
        <f>HF52</f>
        <v/>
      </c>
      <c r="HI52" s="82">
        <f>HG52</f>
        <v/>
      </c>
      <c r="HJ52" s="82">
        <f>HH52</f>
        <v/>
      </c>
      <c r="HK52" s="82">
        <f>HI52</f>
        <v/>
      </c>
      <c r="HL52" s="82">
        <f>HJ52</f>
        <v/>
      </c>
      <c r="HM52" s="82">
        <f>HK52</f>
        <v/>
      </c>
      <c r="HN52" s="130" t="n"/>
      <c r="HO52" s="82">
        <f>HM52</f>
        <v/>
      </c>
      <c r="HP52" s="82">
        <f>HO52</f>
        <v/>
      </c>
      <c r="HQ52" s="82">
        <f>HP52</f>
        <v/>
      </c>
      <c r="HR52" s="82">
        <f>HQ52</f>
        <v/>
      </c>
      <c r="HS52" s="82">
        <f>HR52</f>
        <v/>
      </c>
      <c r="HT52" s="82">
        <f>HS52</f>
        <v/>
      </c>
      <c r="HU52" s="82">
        <f>HT52</f>
        <v/>
      </c>
      <c r="HV52" s="82">
        <f>HU52</f>
        <v/>
      </c>
      <c r="HW52" s="82">
        <f>HV52</f>
        <v/>
      </c>
      <c r="HX52" s="82">
        <f>HW52</f>
        <v/>
      </c>
      <c r="HY52" s="82">
        <f>HX52</f>
        <v/>
      </c>
      <c r="HZ52" s="82">
        <f>HY52</f>
        <v/>
      </c>
      <c r="IA52" s="82">
        <f>HZ52</f>
        <v/>
      </c>
      <c r="IB52" s="82">
        <f>IA52</f>
        <v/>
      </c>
      <c r="IC52" s="82">
        <f>IB52</f>
        <v/>
      </c>
      <c r="ID52" s="82">
        <f>IC52</f>
        <v/>
      </c>
      <c r="IE52" s="82">
        <f>ID52</f>
        <v/>
      </c>
      <c r="IF52" s="82">
        <f>IE52</f>
        <v/>
      </c>
      <c r="IG52" s="82">
        <f>IF52</f>
        <v/>
      </c>
      <c r="IH52" s="82">
        <f>IG52</f>
        <v/>
      </c>
      <c r="II52" s="82">
        <f>IH52</f>
        <v/>
      </c>
      <c r="IJ52" s="82">
        <f>II52</f>
        <v/>
      </c>
      <c r="IK52" s="82">
        <f>IJ52</f>
        <v/>
      </c>
      <c r="IL52" s="82">
        <f>IK52</f>
        <v/>
      </c>
      <c r="IM52" s="82">
        <f>IL52</f>
        <v/>
      </c>
      <c r="IN52" s="82">
        <f>IM52</f>
        <v/>
      </c>
      <c r="IO52" s="82">
        <f>IN52</f>
        <v/>
      </c>
      <c r="IP52" s="82">
        <f>IO52</f>
        <v/>
      </c>
      <c r="IQ52" s="82">
        <f>IP52</f>
        <v/>
      </c>
      <c r="IR52" s="82">
        <f>IQ52</f>
        <v/>
      </c>
      <c r="IS52" s="82">
        <f>IR52</f>
        <v/>
      </c>
      <c r="IT52" s="130" t="n"/>
      <c r="IU52" s="82">
        <f>IS52</f>
        <v/>
      </c>
      <c r="IV52" s="82">
        <f>IU52</f>
        <v/>
      </c>
      <c r="IW52" s="82">
        <f>IV52</f>
        <v/>
      </c>
      <c r="IX52" s="82">
        <f>IW52</f>
        <v/>
      </c>
      <c r="IY52" s="82">
        <f>IX52</f>
        <v/>
      </c>
      <c r="IZ52" s="82">
        <f>IY52</f>
        <v/>
      </c>
      <c r="JA52" s="82">
        <f>IZ52</f>
        <v/>
      </c>
      <c r="JB52" s="82">
        <f>JA52</f>
        <v/>
      </c>
      <c r="JC52" s="82">
        <f>JB52</f>
        <v/>
      </c>
      <c r="JD52" s="82">
        <f>JC52</f>
        <v/>
      </c>
      <c r="JE52" s="82">
        <f>JD52</f>
        <v/>
      </c>
      <c r="JF52" s="82">
        <f>JE52</f>
        <v/>
      </c>
      <c r="JG52" s="82">
        <f>JF52</f>
        <v/>
      </c>
      <c r="JH52" s="82">
        <f>JG52</f>
        <v/>
      </c>
      <c r="JI52" s="82">
        <f>JH52</f>
        <v/>
      </c>
      <c r="JJ52" s="82">
        <f>JI52</f>
        <v/>
      </c>
      <c r="JK52" s="82">
        <f>JJ52</f>
        <v/>
      </c>
      <c r="JL52" s="82">
        <f>JK52</f>
        <v/>
      </c>
      <c r="JM52" s="82">
        <f>JL52</f>
        <v/>
      </c>
      <c r="JN52" s="82">
        <f>JM52</f>
        <v/>
      </c>
      <c r="JO52" s="82">
        <f>JN52</f>
        <v/>
      </c>
      <c r="JP52" s="82">
        <f>JO52</f>
        <v/>
      </c>
      <c r="JQ52" s="82">
        <f>JP52</f>
        <v/>
      </c>
      <c r="JR52" s="82">
        <f>JQ52</f>
        <v/>
      </c>
      <c r="JS52" s="82">
        <f>JR52</f>
        <v/>
      </c>
      <c r="JT52" s="82">
        <f>JS52</f>
        <v/>
      </c>
      <c r="JU52" s="82">
        <f>JT52</f>
        <v/>
      </c>
      <c r="JV52" s="82">
        <f>JU52</f>
        <v/>
      </c>
      <c r="JW52" s="82">
        <f>JV52</f>
        <v/>
      </c>
      <c r="JX52" s="82">
        <f>JW52</f>
        <v/>
      </c>
      <c r="JY52" s="133" t="n"/>
      <c r="JZ52" s="82">
        <f>JX52</f>
        <v/>
      </c>
      <c r="KA52" s="82">
        <f>JZ52</f>
        <v/>
      </c>
      <c r="KB52" s="82">
        <f>JZ52</f>
        <v/>
      </c>
      <c r="KC52" s="82">
        <f>KA52</f>
        <v/>
      </c>
      <c r="KD52" s="82">
        <f>KB52</f>
        <v/>
      </c>
      <c r="KE52" s="82">
        <f>KC52</f>
        <v/>
      </c>
      <c r="KF52" s="82">
        <f>KD52</f>
        <v/>
      </c>
      <c r="KG52" s="82">
        <f>KE52</f>
        <v/>
      </c>
      <c r="KH52" s="82">
        <f>KF52</f>
        <v/>
      </c>
      <c r="KI52" s="82">
        <f>KG52</f>
        <v/>
      </c>
      <c r="KJ52" s="82">
        <f>KH52</f>
        <v/>
      </c>
      <c r="KK52" s="82">
        <f>KI52</f>
        <v/>
      </c>
      <c r="KL52" s="82">
        <f>KJ52</f>
        <v/>
      </c>
      <c r="KM52" s="82">
        <f>KK52</f>
        <v/>
      </c>
      <c r="KN52" s="82">
        <f>KL52</f>
        <v/>
      </c>
      <c r="KO52" s="82">
        <f>KM52</f>
        <v/>
      </c>
      <c r="KP52" s="82">
        <f>KN52</f>
        <v/>
      </c>
      <c r="KQ52" s="82">
        <f>KO52</f>
        <v/>
      </c>
      <c r="KR52" s="82">
        <f>KP52</f>
        <v/>
      </c>
      <c r="KS52" s="82">
        <f>KQ52</f>
        <v/>
      </c>
      <c r="KT52" s="82">
        <f>KR52</f>
        <v/>
      </c>
      <c r="KU52" s="82">
        <f>KS52</f>
        <v/>
      </c>
      <c r="KV52" s="82">
        <f>KT52</f>
        <v/>
      </c>
      <c r="KW52" s="82">
        <f>KU52</f>
        <v/>
      </c>
      <c r="KX52" s="82">
        <f>KV52</f>
        <v/>
      </c>
      <c r="KY52" s="82">
        <f>KW52</f>
        <v/>
      </c>
      <c r="KZ52" s="82">
        <f>KX52</f>
        <v/>
      </c>
      <c r="LA52" s="82">
        <f>KY52</f>
        <v/>
      </c>
      <c r="LB52" s="82">
        <f>KZ52</f>
        <v/>
      </c>
      <c r="LC52" s="82">
        <f>LA52</f>
        <v/>
      </c>
      <c r="LD52" s="82">
        <f>LB52</f>
        <v/>
      </c>
      <c r="LE52" s="130" t="n"/>
      <c r="LF52" s="82">
        <f>LD52</f>
        <v/>
      </c>
      <c r="LG52" s="82">
        <f>LF52</f>
        <v/>
      </c>
      <c r="LH52" s="82">
        <f>LG52</f>
        <v/>
      </c>
      <c r="LI52" s="82">
        <f>LH52</f>
        <v/>
      </c>
      <c r="LJ52" s="82">
        <f>LI52</f>
        <v/>
      </c>
      <c r="LK52" s="82">
        <f>LJ52</f>
        <v/>
      </c>
      <c r="LL52" s="82">
        <f>LK52</f>
        <v/>
      </c>
      <c r="LM52" s="82">
        <f>LL52</f>
        <v/>
      </c>
      <c r="LN52" s="82">
        <f>LM52</f>
        <v/>
      </c>
      <c r="LO52" s="82">
        <f>LN52</f>
        <v/>
      </c>
      <c r="LP52" s="82">
        <f>LO52</f>
        <v/>
      </c>
      <c r="LQ52" s="82">
        <f>LP52</f>
        <v/>
      </c>
      <c r="LR52" s="82">
        <f>LQ52</f>
        <v/>
      </c>
      <c r="LS52" s="82">
        <f>LR52</f>
        <v/>
      </c>
      <c r="LT52" s="82">
        <f>LS52</f>
        <v/>
      </c>
      <c r="LU52" s="82">
        <f>LT52</f>
        <v/>
      </c>
      <c r="LV52" s="82">
        <f>LU52</f>
        <v/>
      </c>
      <c r="LW52" s="82">
        <f>LV52</f>
        <v/>
      </c>
      <c r="LX52" s="82">
        <f>LW52</f>
        <v/>
      </c>
      <c r="LY52" s="82">
        <f>LX52</f>
        <v/>
      </c>
      <c r="LZ52" s="82">
        <f>LY52</f>
        <v/>
      </c>
      <c r="MA52" s="82">
        <f>LZ52</f>
        <v/>
      </c>
      <c r="MB52" s="82">
        <f>MA52</f>
        <v/>
      </c>
      <c r="MC52" s="82">
        <f>MB52</f>
        <v/>
      </c>
      <c r="MD52" s="82">
        <f>MC52</f>
        <v/>
      </c>
      <c r="ME52" s="82">
        <f>MD52</f>
        <v/>
      </c>
      <c r="MF52" s="82">
        <f>ME52</f>
        <v/>
      </c>
      <c r="MG52" s="82">
        <f>MF52</f>
        <v/>
      </c>
      <c r="MH52" s="82">
        <f>MG52</f>
        <v/>
      </c>
      <c r="MI52" s="82">
        <f>MH52</f>
        <v/>
      </c>
      <c r="MJ52" s="133" t="n"/>
      <c r="MK52" s="82" t="n">
        <v>130000000</v>
      </c>
      <c r="ML52" s="82" t="n">
        <v>130000000</v>
      </c>
      <c r="MM52" s="82" t="n">
        <v>130000000</v>
      </c>
      <c r="MN52" s="82" t="n">
        <v>130000000</v>
      </c>
      <c r="MO52" s="82" t="n">
        <v>130000000</v>
      </c>
      <c r="MP52" s="82" t="n">
        <v>130000000</v>
      </c>
      <c r="MQ52" s="82" t="n">
        <v>130000000</v>
      </c>
      <c r="MR52" s="82" t="n">
        <v>130000000</v>
      </c>
      <c r="MS52" s="82" t="n">
        <v>130000000</v>
      </c>
      <c r="MT52" s="82" t="n">
        <v>130000000</v>
      </c>
      <c r="MU52" s="82" t="n">
        <v>130000000</v>
      </c>
      <c r="MV52" s="82" t="n">
        <v>130000000</v>
      </c>
      <c r="MW52" s="82" t="n">
        <v>130000000</v>
      </c>
      <c r="MX52" s="82" t="n">
        <v>130000000</v>
      </c>
      <c r="MY52" s="82" t="n">
        <v>130000000</v>
      </c>
      <c r="MZ52" s="82" t="n">
        <v>130000000</v>
      </c>
      <c r="NA52" s="82" t="n">
        <v>130000000</v>
      </c>
      <c r="NB52" s="82" t="n">
        <v>130000000</v>
      </c>
      <c r="NC52" s="82" t="n">
        <v>130000000</v>
      </c>
      <c r="ND52" s="82" t="n">
        <v>130000000</v>
      </c>
      <c r="NE52" s="82" t="n">
        <v>130000000</v>
      </c>
      <c r="NF52" s="82" t="n">
        <v>130000000</v>
      </c>
      <c r="NG52" s="82" t="n">
        <v>130000000</v>
      </c>
      <c r="NH52" s="82" t="n">
        <v>130000000</v>
      </c>
      <c r="NI52" s="82" t="n">
        <v>130000000</v>
      </c>
      <c r="NJ52" s="82" t="n">
        <v>130000000</v>
      </c>
      <c r="NK52" s="82" t="n">
        <v>130000000</v>
      </c>
      <c r="NL52" s="82" t="n">
        <v>130000000</v>
      </c>
      <c r="NM52" s="82" t="n">
        <v>130000000</v>
      </c>
      <c r="NN52" s="82" t="n">
        <v>130000000</v>
      </c>
      <c r="NO52" s="82" t="n">
        <v>130000000</v>
      </c>
      <c r="NP52" s="133" t="n"/>
      <c r="NQ52" s="82" t="n">
        <v>130000000</v>
      </c>
      <c r="NR52" s="82" t="n">
        <v>130000000</v>
      </c>
      <c r="NS52" s="82" t="n">
        <v>130000000</v>
      </c>
      <c r="NT52" s="82" t="n">
        <v>130000000</v>
      </c>
      <c r="NU52" s="82" t="n">
        <v>130000000</v>
      </c>
      <c r="NV52" s="82" t="n">
        <v>130000000</v>
      </c>
      <c r="NW52" s="82" t="n">
        <v>130000000</v>
      </c>
      <c r="NX52" s="82" t="n">
        <v>130000000</v>
      </c>
      <c r="NY52" s="82" t="n">
        <v>130000000</v>
      </c>
      <c r="NZ52" s="82" t="n">
        <v>130000000</v>
      </c>
      <c r="OA52" s="82" t="n">
        <v>130000000</v>
      </c>
      <c r="OB52" s="82" t="n">
        <v>130000000</v>
      </c>
      <c r="OC52" s="82" t="n">
        <v>130000000</v>
      </c>
      <c r="OD52" s="82" t="n">
        <v>130000000</v>
      </c>
      <c r="OE52" s="82" t="n">
        <v>130000000</v>
      </c>
      <c r="OF52" s="82" t="n">
        <v>130000000</v>
      </c>
      <c r="OG52" s="82" t="n">
        <v>130000000</v>
      </c>
      <c r="OH52" s="82" t="n">
        <v>130000000</v>
      </c>
      <c r="OI52" s="82" t="n">
        <v>130000000</v>
      </c>
      <c r="OJ52" s="82" t="n">
        <v>130000000</v>
      </c>
      <c r="OK52" s="82" t="n">
        <v>130000000</v>
      </c>
      <c r="OL52" s="82" t="n">
        <v>130000000</v>
      </c>
      <c r="OM52" s="82" t="n">
        <v>130000000</v>
      </c>
      <c r="ON52" s="82" t="n">
        <v>130000000</v>
      </c>
      <c r="OO52" s="82" t="n">
        <v>130000000</v>
      </c>
      <c r="OP52" s="82" t="n">
        <v>130000000</v>
      </c>
      <c r="OQ52" s="82" t="n">
        <v>130000000</v>
      </c>
      <c r="OR52" s="82" t="n">
        <v>130000000</v>
      </c>
      <c r="OS52" s="82" t="n">
        <v>130000000</v>
      </c>
      <c r="OT52" s="82" t="n">
        <v>130000000</v>
      </c>
      <c r="OU52" s="82" t="n">
        <v>130000000</v>
      </c>
      <c r="OV52" s="130" t="n"/>
      <c r="OW52" s="82" t="n">
        <v>130000000</v>
      </c>
      <c r="OX52" s="82" t="n">
        <v>130000000</v>
      </c>
      <c r="OY52" s="82" t="n">
        <v>130000000</v>
      </c>
      <c r="OZ52" s="82" t="n">
        <v>130000000</v>
      </c>
      <c r="PA52" s="82" t="n">
        <v>130000000</v>
      </c>
      <c r="PB52" s="82" t="n">
        <v>130000000</v>
      </c>
      <c r="PC52" s="82" t="n">
        <v>130000000</v>
      </c>
      <c r="PD52" s="82" t="n">
        <v>130000000</v>
      </c>
      <c r="PE52" s="82" t="n">
        <v>130000000</v>
      </c>
      <c r="PF52" s="82" t="n">
        <v>130000000</v>
      </c>
      <c r="PG52" s="82" t="n">
        <v>130000000</v>
      </c>
      <c r="PH52" s="82" t="n">
        <v>130000000</v>
      </c>
      <c r="PI52" s="82" t="n">
        <v>130000000</v>
      </c>
      <c r="PJ52" s="82" t="n">
        <v>130000000</v>
      </c>
      <c r="PK52" s="82" t="n">
        <v>130000000</v>
      </c>
      <c r="PL52" s="82" t="n">
        <v>130000000</v>
      </c>
      <c r="PM52" s="82" t="n">
        <v>130000000</v>
      </c>
      <c r="PN52" s="82" t="n">
        <v>130000000</v>
      </c>
      <c r="PO52" s="82" t="n">
        <v>130000000</v>
      </c>
      <c r="PP52" s="82" t="n">
        <v>130000000</v>
      </c>
      <c r="PQ52" s="82" t="n">
        <v>130000000</v>
      </c>
      <c r="PR52" s="82" t="n">
        <v>130000000</v>
      </c>
      <c r="PS52" s="82" t="n">
        <v>130000000</v>
      </c>
      <c r="PT52" s="82" t="n">
        <v>130000000</v>
      </c>
      <c r="PU52" s="82" t="n">
        <v>130000000</v>
      </c>
      <c r="PV52" s="82" t="n">
        <v>130000000</v>
      </c>
      <c r="PW52" s="82" t="n">
        <v>130000000</v>
      </c>
      <c r="PX52" s="82" t="n">
        <v>130000000</v>
      </c>
      <c r="PY52" s="82" t="n">
        <v>130000000</v>
      </c>
      <c r="PZ52" s="82" t="n">
        <v>130000000</v>
      </c>
      <c r="QA52" s="130" t="n"/>
      <c r="QB52" s="82" t="n">
        <v>130000000</v>
      </c>
      <c r="QC52" s="82" t="n">
        <v>130000000</v>
      </c>
      <c r="QD52" s="82" t="n">
        <v>130000000</v>
      </c>
      <c r="QE52" s="82" t="n">
        <v>130000000</v>
      </c>
      <c r="QF52" s="82" t="n">
        <v>130000000</v>
      </c>
      <c r="QG52" s="82" t="n">
        <v>130000000</v>
      </c>
      <c r="QH52" s="82" t="n">
        <v>130000000</v>
      </c>
      <c r="QI52" s="82" t="n">
        <v>130000000</v>
      </c>
      <c r="QJ52" s="82" t="n">
        <v>130000000</v>
      </c>
      <c r="QK52" s="82" t="n">
        <v>130000000</v>
      </c>
      <c r="QL52" s="82" t="n">
        <v>130000000</v>
      </c>
      <c r="QM52" s="82" t="n">
        <v>130000000</v>
      </c>
      <c r="QN52" s="82" t="n">
        <v>130000000</v>
      </c>
      <c r="QO52" s="82" t="n">
        <v>130000000</v>
      </c>
      <c r="QP52" s="82" t="n">
        <v>130000000</v>
      </c>
      <c r="QQ52" s="82" t="n">
        <v>130000000</v>
      </c>
      <c r="QR52" s="82" t="n">
        <v>130000000</v>
      </c>
      <c r="QS52" s="82" t="n">
        <v>130000000</v>
      </c>
      <c r="QT52" s="82" t="n">
        <v>130000000</v>
      </c>
      <c r="QU52" s="82" t="n">
        <v>130000000</v>
      </c>
      <c r="QV52" s="82" t="n">
        <v>130000000</v>
      </c>
      <c r="QW52" s="82" t="n">
        <v>130000000</v>
      </c>
      <c r="QX52" s="82" t="n">
        <v>130000000</v>
      </c>
      <c r="QY52" s="82" t="n">
        <v>130000000</v>
      </c>
      <c r="QZ52" s="82" t="n">
        <v>130000000</v>
      </c>
      <c r="RA52" s="82" t="n">
        <v>130000000</v>
      </c>
      <c r="RB52" s="82" t="n">
        <v>130000000</v>
      </c>
      <c r="RC52" s="82" t="n">
        <v>130000000</v>
      </c>
      <c r="RD52" s="82" t="n">
        <v>130000000</v>
      </c>
      <c r="RE52" s="82" t="n">
        <v>130000000</v>
      </c>
      <c r="RF52" s="82" t="n">
        <v>130000000</v>
      </c>
      <c r="RG52" s="130" t="n"/>
      <c r="RH52" s="82" t="n">
        <v>130000000</v>
      </c>
      <c r="RI52" s="82" t="n">
        <v>130000000</v>
      </c>
      <c r="RJ52" s="82" t="n">
        <v>130000000</v>
      </c>
      <c r="RK52" s="82" t="n">
        <v>130000000</v>
      </c>
      <c r="RL52" s="82" t="n">
        <v>130000000</v>
      </c>
      <c r="RM52" s="82" t="n">
        <v>130000000</v>
      </c>
      <c r="RN52" s="82" t="n">
        <v>130000000</v>
      </c>
      <c r="RO52" s="82" t="n">
        <v>130000000</v>
      </c>
      <c r="RP52" s="82" t="n">
        <v>130000000</v>
      </c>
      <c r="RQ52" s="82" t="n">
        <v>130000000</v>
      </c>
      <c r="RR52" s="82" t="n">
        <v>130000000</v>
      </c>
      <c r="RS52" s="82" t="n">
        <v>130000000</v>
      </c>
      <c r="RT52" s="82" t="n">
        <v>130000000</v>
      </c>
      <c r="RU52" s="82" t="n">
        <v>130000000</v>
      </c>
      <c r="RV52" s="82" t="n">
        <v>130000000</v>
      </c>
      <c r="RW52" s="82" t="n">
        <v>130000000</v>
      </c>
      <c r="RX52" s="82" t="n">
        <v>130000000</v>
      </c>
      <c r="RY52" s="82" t="n">
        <v>130000000</v>
      </c>
      <c r="RZ52" s="82" t="n">
        <v>130000000</v>
      </c>
      <c r="SA52" s="82" t="n">
        <v>130000000</v>
      </c>
      <c r="SB52" s="82" t="n">
        <v>130000000</v>
      </c>
      <c r="SC52" s="82" t="n">
        <v>130000000</v>
      </c>
      <c r="SD52" s="82" t="n">
        <v>130000000</v>
      </c>
      <c r="SE52" s="82" t="n">
        <v>130000000</v>
      </c>
      <c r="SF52" s="82" t="n">
        <v>130000000</v>
      </c>
      <c r="SG52" s="82" t="n">
        <v>130000000</v>
      </c>
      <c r="SH52" s="82" t="n">
        <v>130000000</v>
      </c>
      <c r="SI52" s="82" t="n">
        <v>130000000</v>
      </c>
      <c r="SJ52" s="82" t="n">
        <v>130000000</v>
      </c>
      <c r="SK52" s="82" t="n">
        <v>130000000</v>
      </c>
      <c r="SL52" s="130" t="n"/>
      <c r="SM52" s="82" t="n">
        <v>130000000</v>
      </c>
      <c r="SN52" s="82" t="n">
        <v>130000000</v>
      </c>
      <c r="SO52" s="82" t="n">
        <v>130000000</v>
      </c>
      <c r="SP52" s="82" t="n">
        <v>130000000</v>
      </c>
      <c r="SQ52" s="82" t="n">
        <v>130000000</v>
      </c>
      <c r="SR52" s="82" t="n">
        <v>130000000</v>
      </c>
      <c r="SS52" s="82" t="n">
        <v>130000000</v>
      </c>
      <c r="ST52" s="82" t="n">
        <v>130000000</v>
      </c>
      <c r="SU52" s="82" t="n">
        <v>130000000</v>
      </c>
      <c r="SV52" s="82" t="n">
        <v>130000000</v>
      </c>
      <c r="SW52" s="82" t="n">
        <v>130000000</v>
      </c>
      <c r="SX52" s="82" t="n">
        <v>130000000</v>
      </c>
      <c r="SY52" s="82" t="n">
        <v>130000000</v>
      </c>
      <c r="SZ52" s="82" t="n">
        <v>130000000</v>
      </c>
      <c r="TA52" s="82" t="n">
        <v>130000000</v>
      </c>
      <c r="TB52" s="82" t="n">
        <v>130000000</v>
      </c>
      <c r="TC52" s="82" t="n">
        <v>130000000</v>
      </c>
      <c r="TD52" s="82" t="n">
        <v>130000000</v>
      </c>
      <c r="TE52" s="82" t="n">
        <v>130000000</v>
      </c>
      <c r="TF52" s="82" t="n">
        <v>130000000</v>
      </c>
      <c r="TG52" s="82" t="n">
        <v>130000000</v>
      </c>
      <c r="TH52" s="82" t="n">
        <v>130000000</v>
      </c>
      <c r="TI52" s="82" t="n">
        <v>130000000</v>
      </c>
      <c r="TJ52" s="82" t="n">
        <v>130000000</v>
      </c>
      <c r="TK52" s="82" t="n">
        <v>130000000</v>
      </c>
      <c r="TL52" s="82" t="n">
        <v>130000000</v>
      </c>
      <c r="TM52" s="82" t="n">
        <v>130000000</v>
      </c>
      <c r="TN52" s="82" t="n">
        <v>130000000</v>
      </c>
      <c r="TO52" s="82" t="n">
        <v>130000000</v>
      </c>
      <c r="TP52" s="82" t="n">
        <v>130000000</v>
      </c>
      <c r="TQ52" s="82" t="n">
        <v>130000000</v>
      </c>
      <c r="TR52" s="130" t="n"/>
      <c r="TS52" s="82" t="n">
        <v>130000000</v>
      </c>
      <c r="TT52" s="82" t="n">
        <v>130000000</v>
      </c>
      <c r="TU52" s="82" t="n">
        <v>130000000</v>
      </c>
      <c r="TV52" s="82" t="n">
        <v>130000000</v>
      </c>
      <c r="TW52" s="82" t="n">
        <v>130000000</v>
      </c>
      <c r="TX52" s="82" t="n">
        <v>130000000</v>
      </c>
      <c r="TY52" s="82" t="n">
        <v>130000000</v>
      </c>
      <c r="TZ52" s="82" t="n">
        <v>130000000</v>
      </c>
      <c r="UA52" s="82" t="n">
        <v>130000000</v>
      </c>
      <c r="UB52" s="82" t="n">
        <v>130000000</v>
      </c>
      <c r="UC52" s="82" t="n">
        <v>130000000</v>
      </c>
      <c r="UD52" s="82" t="n">
        <v>130000000</v>
      </c>
      <c r="UE52" s="82" t="n">
        <v>130000000</v>
      </c>
      <c r="UF52" s="82" t="n">
        <v>130000000</v>
      </c>
      <c r="UG52" s="82" t="n">
        <v>130000000</v>
      </c>
      <c r="UH52" s="82" t="n">
        <v>130000000</v>
      </c>
      <c r="UI52" s="82" t="n">
        <v>130000000</v>
      </c>
      <c r="UJ52" s="82" t="n">
        <v>130000000</v>
      </c>
      <c r="UK52" s="82" t="n">
        <v>130000000</v>
      </c>
      <c r="UL52" s="82" t="n">
        <v>130000000</v>
      </c>
      <c r="UM52" s="82" t="n">
        <v>130000000</v>
      </c>
      <c r="UN52" s="82" t="n">
        <v>130000000</v>
      </c>
      <c r="UO52" s="82" t="n">
        <v>130000000</v>
      </c>
      <c r="UP52" s="82" t="n">
        <v>130000000</v>
      </c>
      <c r="UQ52" s="82" t="n">
        <v>130000000</v>
      </c>
      <c r="UR52" s="82" t="n">
        <v>130000000</v>
      </c>
      <c r="US52" s="82" t="n">
        <v>130000000</v>
      </c>
      <c r="UT52" s="82" t="n">
        <v>130000000</v>
      </c>
      <c r="UU52" s="82" t="n">
        <v>130000000</v>
      </c>
      <c r="UV52" s="82" t="n">
        <v>130000000</v>
      </c>
      <c r="UW52" s="82" t="n">
        <v>130000000</v>
      </c>
      <c r="UX52" s="130" t="n"/>
      <c r="UY52" s="82" t="n">
        <v>130000000</v>
      </c>
      <c r="UZ52" s="82" t="n">
        <v>130000000</v>
      </c>
      <c r="VA52" s="82" t="n">
        <v>130000000</v>
      </c>
      <c r="VB52" s="82" t="n">
        <v>130000000</v>
      </c>
      <c r="VC52" s="82" t="n">
        <v>130000000</v>
      </c>
      <c r="VD52" s="82" t="n">
        <v>130000000</v>
      </c>
      <c r="VE52" s="82" t="n">
        <v>130000000</v>
      </c>
      <c r="VF52" s="82" t="n">
        <v>130000000</v>
      </c>
      <c r="VG52" s="82" t="n">
        <v>130000000</v>
      </c>
      <c r="VH52" s="82" t="n">
        <v>130000000</v>
      </c>
      <c r="VI52" s="82" t="n">
        <v>130000000</v>
      </c>
      <c r="VJ52" s="82" t="n">
        <v>130000000</v>
      </c>
      <c r="VK52" s="82" t="n">
        <v>130000000</v>
      </c>
      <c r="VL52" s="82" t="n">
        <v>130000000</v>
      </c>
      <c r="VM52" s="82" t="n">
        <v>130000000</v>
      </c>
      <c r="VN52" s="82" t="n">
        <v>130000000</v>
      </c>
      <c r="VO52" s="82" t="n">
        <v>130000000</v>
      </c>
      <c r="VP52" s="82" t="n">
        <v>130000000</v>
      </c>
      <c r="VQ52" s="82" t="n">
        <v>130000000</v>
      </c>
      <c r="VR52" s="82" t="n">
        <v>130000000</v>
      </c>
      <c r="VS52" s="82" t="n">
        <v>130000000</v>
      </c>
      <c r="VT52" s="82" t="n">
        <v>130000000</v>
      </c>
      <c r="VU52" s="82" t="n">
        <v>130000000</v>
      </c>
      <c r="VV52" s="82" t="n">
        <v>130000000</v>
      </c>
      <c r="VW52" s="82" t="n">
        <v>130000000</v>
      </c>
      <c r="VX52" s="82" t="n">
        <v>130000000</v>
      </c>
      <c r="VY52" s="82" t="n">
        <v>130000000</v>
      </c>
      <c r="VZ52" s="82" t="n">
        <v>130000000</v>
      </c>
      <c r="WA52" s="133" t="n"/>
      <c r="WB52" s="82" t="n">
        <v>130000000</v>
      </c>
      <c r="WC52" s="82" t="n">
        <v>130000000</v>
      </c>
      <c r="WD52" s="82" t="n">
        <v>130000000</v>
      </c>
      <c r="WE52" s="82" t="n">
        <v>130000000</v>
      </c>
      <c r="WF52" s="82" t="n">
        <v>130000000</v>
      </c>
      <c r="WG52" s="82" t="n">
        <v>130000000</v>
      </c>
      <c r="WH52" s="82" t="n">
        <v>130000000</v>
      </c>
      <c r="WI52" s="82" t="n">
        <v>130000000</v>
      </c>
      <c r="WJ52" s="82" t="n">
        <v>130000000</v>
      </c>
      <c r="WK52" s="82" t="n">
        <v>130000000</v>
      </c>
      <c r="WL52" s="82" t="n">
        <v>130000000</v>
      </c>
      <c r="WM52" s="82" t="n">
        <v>130000000</v>
      </c>
      <c r="WN52" s="82" t="n">
        <v>130000000</v>
      </c>
      <c r="WO52" s="82" t="n">
        <v>130000000</v>
      </c>
      <c r="WP52" s="82" t="n">
        <v>130000000</v>
      </c>
      <c r="WQ52" s="82" t="n">
        <v>130000000</v>
      </c>
      <c r="WR52" s="82" t="n">
        <v>130000000</v>
      </c>
      <c r="WS52" s="82" t="n">
        <v>130000000</v>
      </c>
      <c r="WT52" s="82" t="n">
        <v>130000000</v>
      </c>
      <c r="WU52" s="82" t="n">
        <v>130000000</v>
      </c>
      <c r="WV52" s="82" t="n">
        <v>130000000</v>
      </c>
      <c r="WW52" s="82" t="n">
        <v>130000000</v>
      </c>
      <c r="WX52" s="82" t="n">
        <v>130000000</v>
      </c>
      <c r="WY52" s="82" t="n">
        <v>130000000</v>
      </c>
      <c r="WZ52" s="82" t="n">
        <v>130000000</v>
      </c>
      <c r="XA52" s="82" t="n">
        <v>130000000</v>
      </c>
      <c r="XB52" s="82" t="n">
        <v>130000000</v>
      </c>
      <c r="XC52" s="82" t="n">
        <v>130000000</v>
      </c>
      <c r="XD52" s="82" t="n">
        <v>130000000</v>
      </c>
      <c r="XE52" s="82" t="n">
        <v>130000000</v>
      </c>
      <c r="XF52" s="82" t="n">
        <v>130000000</v>
      </c>
      <c r="XG52" s="133" t="n"/>
      <c r="XH52" s="82" t="n">
        <v>130000000</v>
      </c>
      <c r="XI52" s="82" t="n">
        <v>130000000</v>
      </c>
      <c r="XJ52" s="82" t="n">
        <v>130000000</v>
      </c>
      <c r="XK52" s="82" t="n">
        <v>130000000</v>
      </c>
      <c r="XL52" s="82" t="n">
        <v>130000000</v>
      </c>
      <c r="XM52" s="82" t="n">
        <v>130000000</v>
      </c>
      <c r="XN52" s="82" t="n">
        <v>130000000</v>
      </c>
      <c r="XO52" s="82" t="n">
        <v>130000000</v>
      </c>
      <c r="XP52" s="82" t="n">
        <v>130000000</v>
      </c>
      <c r="XQ52" s="82" t="n">
        <v>130000000</v>
      </c>
      <c r="XR52" s="82" t="n">
        <v>130000000</v>
      </c>
      <c r="XS52" s="82" t="n">
        <v>130000000</v>
      </c>
      <c r="XT52" s="82" t="n">
        <v>130000000</v>
      </c>
      <c r="XU52" s="82" t="n">
        <v>130000000</v>
      </c>
      <c r="XV52" s="82" t="n">
        <v>130000000</v>
      </c>
      <c r="XW52" s="82" t="n">
        <v>130000000</v>
      </c>
      <c r="XX52" s="82" t="n">
        <v>130000000</v>
      </c>
      <c r="XY52" s="82" t="n">
        <v>130000000</v>
      </c>
      <c r="XZ52" s="82" t="n">
        <v>130000000</v>
      </c>
      <c r="YA52" s="82" t="n">
        <v>130000000</v>
      </c>
      <c r="YB52" s="82" t="n">
        <v>130000000</v>
      </c>
      <c r="YC52" s="82" t="n">
        <v>130000000</v>
      </c>
      <c r="YD52" s="82" t="n">
        <v>130000000</v>
      </c>
      <c r="YE52" s="82" t="n">
        <v>130000000</v>
      </c>
      <c r="YF52" s="82" t="n">
        <v>130000000</v>
      </c>
      <c r="YG52" s="82" t="n">
        <v>130000000</v>
      </c>
      <c r="YH52" s="82" t="n">
        <v>130000000</v>
      </c>
      <c r="YI52" s="82" t="n">
        <v>130000000</v>
      </c>
      <c r="YJ52" s="82" t="n">
        <v>130000000</v>
      </c>
      <c r="YK52" s="82" t="n">
        <v>130000000</v>
      </c>
      <c r="YL52" s="130" t="n"/>
      <c r="YM52" s="82" t="n">
        <v>130000000</v>
      </c>
      <c r="YN52" s="82" t="n">
        <v>130000000</v>
      </c>
      <c r="YO52" s="82" t="n">
        <v>130000000</v>
      </c>
      <c r="YP52" s="82" t="n">
        <v>130000000</v>
      </c>
      <c r="YQ52" s="82" t="n">
        <v>130000000</v>
      </c>
      <c r="YR52" s="82" t="n">
        <v>130000000</v>
      </c>
      <c r="YS52" s="82" t="n">
        <v>130000000</v>
      </c>
      <c r="YT52" s="82" t="n">
        <v>130000000</v>
      </c>
      <c r="YU52" s="82" t="n">
        <v>130000000</v>
      </c>
      <c r="YV52" s="82" t="n">
        <v>130000000</v>
      </c>
      <c r="YW52" s="82" t="n">
        <v>130000000</v>
      </c>
      <c r="YX52" s="82" t="n">
        <v>130000000</v>
      </c>
      <c r="YY52" s="82" t="n">
        <v>130000000</v>
      </c>
      <c r="YZ52" s="82" t="n">
        <v>130000000</v>
      </c>
      <c r="ZA52" s="82" t="n">
        <v>130000000</v>
      </c>
      <c r="ZB52" s="82" t="n">
        <v>130000000</v>
      </c>
      <c r="ZC52" s="82" t="n">
        <v>130000000</v>
      </c>
      <c r="ZD52" s="82" t="n">
        <v>130000000</v>
      </c>
      <c r="ZE52" s="82" t="n">
        <v>130000000</v>
      </c>
      <c r="ZF52" s="82" t="n">
        <v>130000000</v>
      </c>
      <c r="ZG52" s="82" t="n">
        <v>130000000</v>
      </c>
      <c r="ZH52" s="82" t="n">
        <v>130000000</v>
      </c>
      <c r="ZI52" s="82" t="n">
        <v>130000000</v>
      </c>
      <c r="ZJ52" s="82" t="n">
        <v>130000000</v>
      </c>
      <c r="ZK52" s="82" t="n">
        <v>130000000</v>
      </c>
      <c r="ZL52" s="82" t="n">
        <v>130000000</v>
      </c>
      <c r="ZM52" s="82" t="n">
        <v>130000000</v>
      </c>
      <c r="ZN52" s="82" t="n">
        <v>130000000</v>
      </c>
      <c r="ZO52" s="82" t="n">
        <v>130000000</v>
      </c>
      <c r="ZP52" s="82" t="n">
        <v>130000000</v>
      </c>
      <c r="ZQ52" s="82" t="n">
        <v>130000000</v>
      </c>
      <c r="ZR52" s="130" t="n"/>
      <c r="ZS52" s="82" t="n">
        <v>130000000</v>
      </c>
      <c r="ZT52" s="82" t="n">
        <v>130000000</v>
      </c>
      <c r="ZU52" s="82" t="n">
        <v>130000000</v>
      </c>
      <c r="ZV52" s="82" t="n">
        <v>130000000</v>
      </c>
      <c r="ZW52" s="82" t="n">
        <v>130000000</v>
      </c>
      <c r="ZX52" s="82" t="n">
        <v>130000000</v>
      </c>
      <c r="ZY52" s="82" t="n">
        <v>130000000</v>
      </c>
      <c r="ZZ52" s="82" t="n">
        <v>130000000</v>
      </c>
      <c r="AAA52" s="82" t="n">
        <v>130000000</v>
      </c>
      <c r="AAB52" s="82" t="n">
        <v>130000000</v>
      </c>
      <c r="AAC52" s="82" t="n">
        <v>130000000</v>
      </c>
      <c r="AAD52" s="82" t="n">
        <v>130000000</v>
      </c>
      <c r="AAE52" s="82" t="n">
        <v>130000000</v>
      </c>
      <c r="AAF52" s="82" t="n">
        <v>130000000</v>
      </c>
      <c r="AAG52" s="82" t="n">
        <v>130000000</v>
      </c>
      <c r="AAH52" s="82" t="n">
        <v>130000000</v>
      </c>
      <c r="AAI52" s="82" t="n">
        <v>130000000</v>
      </c>
      <c r="AAJ52" s="82" t="n">
        <v>130000000</v>
      </c>
      <c r="AAK52" s="82" t="n">
        <v>130000000</v>
      </c>
      <c r="AAL52" s="82" t="n">
        <v>130000000</v>
      </c>
      <c r="AAM52" s="82" t="n">
        <v>130000000</v>
      </c>
      <c r="AAN52" s="82" t="n">
        <v>130000000</v>
      </c>
      <c r="AAO52" s="82" t="n">
        <v>130000000</v>
      </c>
      <c r="AAP52" s="82" t="n">
        <v>130000000</v>
      </c>
      <c r="AAQ52" s="82" t="n">
        <v>130000000</v>
      </c>
      <c r="AAR52" s="82" t="n">
        <v>130000000</v>
      </c>
      <c r="AAS52" s="82" t="n">
        <v>130000000</v>
      </c>
      <c r="AAT52" s="82" t="n">
        <v>130000000</v>
      </c>
      <c r="AAU52" s="82" t="n">
        <v>130000000</v>
      </c>
      <c r="AAV52" s="82" t="n">
        <v>130000000</v>
      </c>
      <c r="AAW52" s="130" t="n"/>
      <c r="AAX52" s="82" t="n">
        <v>130000000</v>
      </c>
      <c r="AAY52" s="82" t="n">
        <v>130000000</v>
      </c>
      <c r="AAZ52" s="82" t="n">
        <v>130000000</v>
      </c>
      <c r="ABA52" s="82" t="n">
        <v>130000000</v>
      </c>
      <c r="ABB52" s="82" t="n">
        <v>130000000</v>
      </c>
      <c r="ABC52" s="82" t="n">
        <v>130000000</v>
      </c>
      <c r="ABD52" s="82" t="n">
        <v>130000000</v>
      </c>
      <c r="ABE52" s="82" t="n">
        <v>130000000</v>
      </c>
      <c r="ABF52" s="82" t="n">
        <v>130000000</v>
      </c>
      <c r="ABG52" s="82" t="n">
        <v>130000000</v>
      </c>
      <c r="ABH52" s="82" t="n">
        <v>130000000</v>
      </c>
      <c r="ABI52" s="82" t="n">
        <v>130000000</v>
      </c>
      <c r="ABJ52" s="82" t="n">
        <v>130000000</v>
      </c>
      <c r="ABK52" s="82" t="n">
        <v>130000000</v>
      </c>
      <c r="ABL52" s="82" t="n">
        <v>130000000</v>
      </c>
      <c r="ABM52" s="82" t="n">
        <v>130000000</v>
      </c>
      <c r="ABN52" s="82" t="n">
        <v>130000000</v>
      </c>
      <c r="ABO52" s="82" t="n">
        <v>130000000</v>
      </c>
      <c r="ABP52" s="82" t="n">
        <v>130000000</v>
      </c>
      <c r="ABQ52" s="82" t="n">
        <v>130000000</v>
      </c>
      <c r="ABR52" s="82" t="n">
        <v>130000000</v>
      </c>
      <c r="ABS52" s="82" t="n">
        <v>130000000</v>
      </c>
      <c r="ABT52" s="82" t="n">
        <v>130000000</v>
      </c>
      <c r="ABU52" s="82" t="n">
        <v>130000000</v>
      </c>
      <c r="ABV52" s="82" t="n">
        <v>130000000</v>
      </c>
      <c r="ABW52" s="82" t="n">
        <v>130000000</v>
      </c>
      <c r="ABX52" s="82" t="n">
        <v>130000000</v>
      </c>
      <c r="ABY52" s="82" t="n">
        <v>130000000</v>
      </c>
      <c r="ABZ52" s="82" t="n">
        <v>130000000</v>
      </c>
      <c r="ACA52" s="82" t="n">
        <v>130000000</v>
      </c>
      <c r="ACB52" s="82" t="n">
        <v>130000000</v>
      </c>
      <c r="ACC52" s="130" t="n"/>
      <c r="ACD52" s="82" t="n">
        <v>130000000</v>
      </c>
      <c r="ACE52" s="82" t="n">
        <v>130000000</v>
      </c>
      <c r="ACF52" s="82" t="n">
        <v>130000000</v>
      </c>
      <c r="ACG52" s="82" t="n">
        <v>130000000</v>
      </c>
      <c r="ACH52" s="82" t="n">
        <v>130000000</v>
      </c>
      <c r="ACI52" s="82" t="n">
        <v>130000000</v>
      </c>
      <c r="ACJ52" s="82" t="n">
        <v>130000000</v>
      </c>
      <c r="ACK52" s="82" t="n">
        <v>130000000</v>
      </c>
      <c r="ACL52" s="82" t="n">
        <v>130000000</v>
      </c>
      <c r="ACM52" s="82" t="n">
        <v>130000000</v>
      </c>
      <c r="ACN52" s="82" t="n">
        <v>130000000</v>
      </c>
      <c r="ACO52" s="82" t="n">
        <v>130000000</v>
      </c>
      <c r="ACP52" s="82" t="n">
        <v>130000000</v>
      </c>
      <c r="ACQ52" s="82" t="n">
        <v>130000000</v>
      </c>
      <c r="ACR52" s="82" t="n">
        <v>130000000</v>
      </c>
      <c r="ACS52" s="82" t="n">
        <v>130000000</v>
      </c>
      <c r="ACT52" s="82" t="n">
        <v>130000000</v>
      </c>
      <c r="ACU52" s="82" t="n">
        <v>130000000</v>
      </c>
      <c r="ACV52" s="82" t="n">
        <v>130000000</v>
      </c>
      <c r="ACW52" s="82" t="n">
        <v>130000000</v>
      </c>
      <c r="ACX52" s="82" t="n">
        <v>130000000</v>
      </c>
      <c r="ACY52" s="82" t="n">
        <v>130000000</v>
      </c>
      <c r="ACZ52" s="82" t="n">
        <v>130000000</v>
      </c>
      <c r="ADA52" s="82" t="n">
        <v>130000000</v>
      </c>
      <c r="ADB52" s="82" t="n">
        <v>130000000</v>
      </c>
      <c r="ADC52" s="82" t="n">
        <v>130000000</v>
      </c>
      <c r="ADD52" s="82" t="n">
        <v>130000000</v>
      </c>
      <c r="ADE52" s="82" t="n">
        <v>130000000</v>
      </c>
      <c r="ADF52" s="82" t="n">
        <v>130000000</v>
      </c>
      <c r="ADG52" s="82" t="n">
        <v>130000000</v>
      </c>
      <c r="ADH52" s="82" t="n">
        <v>130000000</v>
      </c>
      <c r="ADI52" s="130" t="n"/>
      <c r="ADJ52" s="82" t="n">
        <v>130000000</v>
      </c>
      <c r="ADK52" s="82" t="n">
        <v>130000000</v>
      </c>
      <c r="ADL52" s="82" t="n">
        <v>130000000</v>
      </c>
      <c r="ADM52" s="82" t="n">
        <v>130000000</v>
      </c>
      <c r="ADN52" s="82" t="n">
        <v>130000000</v>
      </c>
      <c r="ADO52" s="82" t="n">
        <v>130000000</v>
      </c>
      <c r="ADP52" s="82" t="n">
        <v>130000000</v>
      </c>
      <c r="ADQ52" s="82" t="n">
        <v>130000000</v>
      </c>
      <c r="ADR52" s="82" t="n">
        <v>130000000</v>
      </c>
      <c r="ADS52" s="82" t="n">
        <v>130000000</v>
      </c>
      <c r="ADT52" s="82" t="n">
        <v>130000000</v>
      </c>
      <c r="ADU52" s="82" t="n">
        <v>130000000</v>
      </c>
      <c r="ADV52" s="82" t="n">
        <v>130000000</v>
      </c>
      <c r="ADW52" s="82" t="n">
        <v>130000000</v>
      </c>
      <c r="ADX52" s="82" t="n">
        <v>130000000</v>
      </c>
      <c r="ADY52" s="82" t="n">
        <v>130000000</v>
      </c>
      <c r="ADZ52" s="82" t="n">
        <v>130000000</v>
      </c>
      <c r="AEA52" s="82" t="n">
        <v>130000000</v>
      </c>
      <c r="AEB52" s="82" t="n">
        <v>130000000</v>
      </c>
      <c r="AEC52" s="82" t="n">
        <v>130000000</v>
      </c>
      <c r="AED52" s="82" t="n">
        <v>130000000</v>
      </c>
      <c r="AEE52" s="82" t="n">
        <v>130000000</v>
      </c>
      <c r="AEF52" s="82" t="n">
        <v>130000000</v>
      </c>
      <c r="AEG52" s="82" t="n">
        <v>130000000</v>
      </c>
      <c r="AEH52" s="82" t="n">
        <v>130000000</v>
      </c>
      <c r="AEI52" s="82" t="n">
        <v>130000000</v>
      </c>
      <c r="AEJ52" s="82" t="n">
        <v>130000000</v>
      </c>
      <c r="AEK52" s="82" t="n">
        <v>130000000</v>
      </c>
      <c r="AEL52" s="82" t="n">
        <v>130000000</v>
      </c>
      <c r="AEM52" s="82" t="n">
        <v>130000000</v>
      </c>
      <c r="AEN52" s="130" t="n"/>
      <c r="AEO52" s="82" t="n">
        <v>130000000</v>
      </c>
      <c r="AEP52" s="82" t="n">
        <v>130000000</v>
      </c>
      <c r="AEQ52" s="82" t="n">
        <v>130000000</v>
      </c>
      <c r="AER52" s="82" t="n">
        <v>130000000</v>
      </c>
      <c r="AES52" s="82" t="n">
        <v>130000000</v>
      </c>
      <c r="AET52" s="82" t="n">
        <v>130000000</v>
      </c>
      <c r="AEU52" s="82" t="n">
        <v>130000000</v>
      </c>
      <c r="AEV52" s="82" t="n">
        <v>130000000</v>
      </c>
      <c r="AEW52" s="82" t="n">
        <v>130000000</v>
      </c>
      <c r="AEX52" s="82" t="n">
        <v>130000000</v>
      </c>
      <c r="AEY52" s="82" t="n">
        <v>130000000</v>
      </c>
      <c r="AEZ52" s="82" t="n">
        <v>130000000</v>
      </c>
      <c r="AFA52" s="82" t="n">
        <v>130000000</v>
      </c>
      <c r="AFB52" s="82" t="n">
        <v>130000000</v>
      </c>
      <c r="AFC52" s="82" t="n">
        <v>130000000</v>
      </c>
      <c r="AFD52" s="82" t="n">
        <v>130000000</v>
      </c>
      <c r="AFE52" s="82" t="n">
        <v>130000000</v>
      </c>
      <c r="AFF52" s="82" t="n">
        <v>130000000</v>
      </c>
      <c r="AFG52" s="82" t="n">
        <v>130000000</v>
      </c>
      <c r="AFH52" s="82" t="n">
        <v>130000000</v>
      </c>
      <c r="AFI52" s="82" t="n">
        <v>130000000</v>
      </c>
      <c r="AFJ52" s="82" t="n">
        <v>130000000</v>
      </c>
      <c r="AFK52" s="82" t="n">
        <v>130000000</v>
      </c>
      <c r="AFL52" s="82" t="n">
        <v>130000000</v>
      </c>
      <c r="AFM52" s="82" t="n">
        <v>130000000</v>
      </c>
      <c r="AFN52" s="82" t="n">
        <v>130000000</v>
      </c>
      <c r="AFO52" s="82" t="n">
        <v>130000000</v>
      </c>
      <c r="AFP52" s="82" t="n">
        <v>130000000</v>
      </c>
      <c r="AFQ52" s="82" t="n">
        <v>130000000</v>
      </c>
      <c r="AFR52" s="82" t="n">
        <v>130000000</v>
      </c>
      <c r="AFS52" s="82" t="n">
        <v>130000000</v>
      </c>
      <c r="AFT52" s="130" t="n"/>
      <c r="AFU52" s="82" t="n">
        <v>130000000</v>
      </c>
      <c r="AFV52" s="82" t="n">
        <v>130000000</v>
      </c>
      <c r="AFW52" s="82" t="n">
        <v>130000000</v>
      </c>
      <c r="AFX52" s="82" t="n">
        <v>130000000</v>
      </c>
      <c r="AFY52" s="82" t="n">
        <v>130000000</v>
      </c>
      <c r="AFZ52" s="82" t="n">
        <v>130000000</v>
      </c>
      <c r="AGA52" s="82" t="n">
        <v>130000000</v>
      </c>
      <c r="AGB52" s="82" t="n">
        <v>130000000</v>
      </c>
      <c r="AGC52" s="82" t="n">
        <v>130000000</v>
      </c>
      <c r="AGD52" s="82" t="n">
        <v>130000000</v>
      </c>
      <c r="AGE52" s="82" t="n">
        <v>130000000</v>
      </c>
      <c r="AGF52" s="82" t="n">
        <v>130000000</v>
      </c>
      <c r="AGG52" s="82" t="n">
        <v>130000000</v>
      </c>
      <c r="AGH52" s="82" t="n">
        <v>130000000</v>
      </c>
      <c r="AGI52" s="82" t="n">
        <v>130000000</v>
      </c>
      <c r="AGJ52" s="82" t="n">
        <v>130000000</v>
      </c>
      <c r="AGK52" s="82" t="n">
        <v>130000000</v>
      </c>
      <c r="AGL52" s="82" t="n">
        <v>130000000</v>
      </c>
      <c r="AGM52" s="82" t="n">
        <v>130000000</v>
      </c>
      <c r="AGN52" s="82" t="n">
        <v>130000000</v>
      </c>
      <c r="AGO52" s="82" t="n">
        <v>130000000</v>
      </c>
      <c r="AGP52" s="82" t="n">
        <v>130000000</v>
      </c>
      <c r="AGQ52" s="82" t="n">
        <v>130000000</v>
      </c>
      <c r="AGR52" s="82" t="n">
        <v>130000000</v>
      </c>
      <c r="AGS52" s="82" t="n">
        <v>130000000</v>
      </c>
      <c r="AGT52" s="82" t="n">
        <v>130000000</v>
      </c>
      <c r="AGU52" s="82" t="n">
        <v>130000000</v>
      </c>
      <c r="AGV52" s="82" t="n">
        <v>130000000</v>
      </c>
      <c r="AGW52" s="82" t="n">
        <v>130000000</v>
      </c>
      <c r="AGX52" s="82" t="n">
        <v>130000000</v>
      </c>
      <c r="AGY52" s="133" t="n"/>
      <c r="AGZ52" s="82" t="n">
        <v>130000000</v>
      </c>
      <c r="AHA52" s="82" t="n">
        <v>130000000</v>
      </c>
      <c r="AHB52" s="82" t="n">
        <v>130000000</v>
      </c>
      <c r="AHC52" s="82" t="n">
        <v>130000000</v>
      </c>
      <c r="AHD52" s="82" t="n">
        <v>130000000</v>
      </c>
      <c r="AHE52" s="82" t="n">
        <v>130000000</v>
      </c>
      <c r="AHF52" s="82" t="n">
        <v>130000000</v>
      </c>
      <c r="AHG52" s="82" t="n">
        <v>130000000</v>
      </c>
      <c r="AHH52" s="82" t="n">
        <v>130000000</v>
      </c>
      <c r="AHI52" s="82" t="n">
        <v>130000000</v>
      </c>
      <c r="AHJ52" s="82" t="n">
        <v>130000000</v>
      </c>
      <c r="AHK52" s="82" t="n">
        <v>130000000</v>
      </c>
      <c r="AHL52" s="82" t="n">
        <v>130000000</v>
      </c>
      <c r="AHM52" s="82" t="n">
        <v>130000000</v>
      </c>
      <c r="AHN52" s="82" t="n">
        <v>130000000</v>
      </c>
      <c r="AHO52" s="82" t="n">
        <v>130000000</v>
      </c>
      <c r="AHP52" s="82" t="n">
        <v>130000000</v>
      </c>
      <c r="AHQ52" s="82" t="n">
        <v>130000000</v>
      </c>
      <c r="AHR52" s="82" t="n">
        <v>130000000</v>
      </c>
      <c r="AHS52" s="82" t="n">
        <v>130000000</v>
      </c>
      <c r="AHT52" s="82" t="n">
        <v>130000000</v>
      </c>
      <c r="AHU52" s="82" t="n">
        <v>130000000</v>
      </c>
      <c r="AHV52" s="82" t="n">
        <v>130000000</v>
      </c>
      <c r="AHW52" s="82" t="n">
        <v>130000000</v>
      </c>
      <c r="AHX52" s="82" t="n">
        <v>130000000</v>
      </c>
      <c r="AHY52" s="82" t="n">
        <v>130000000</v>
      </c>
      <c r="AHZ52" s="82" t="n">
        <v>130000000</v>
      </c>
      <c r="AIA52" s="82" t="n">
        <v>130000000</v>
      </c>
      <c r="AIB52" s="82" t="n">
        <v>130000000</v>
      </c>
      <c r="AIC52" s="82" t="n">
        <v>130000000</v>
      </c>
      <c r="AID52" s="82" t="n">
        <v>130000000</v>
      </c>
      <c r="AIE52" s="130" t="n"/>
      <c r="AIF52" s="82" t="n">
        <v>130000000</v>
      </c>
      <c r="AIG52" s="82" t="n">
        <v>130000000</v>
      </c>
      <c r="AIH52" s="82" t="n">
        <v>130000000</v>
      </c>
      <c r="AII52" s="82" t="n">
        <v>130000000</v>
      </c>
      <c r="AIJ52" s="82" t="n">
        <v>130000000</v>
      </c>
      <c r="AIK52" s="82" t="n">
        <v>130000000</v>
      </c>
      <c r="AIL52" s="82" t="n">
        <v>130000000</v>
      </c>
      <c r="AIM52" s="82" t="n">
        <v>130000000</v>
      </c>
      <c r="AIN52" s="82" t="n">
        <v>130000000</v>
      </c>
      <c r="AIO52" s="82" t="n">
        <v>130000000</v>
      </c>
      <c r="AIP52" s="82" t="n">
        <v>130000000</v>
      </c>
      <c r="AIQ52" s="82" t="n">
        <v>130000000</v>
      </c>
      <c r="AIR52" s="82" t="n">
        <v>130000000</v>
      </c>
      <c r="AIS52" s="82" t="n">
        <v>130000000</v>
      </c>
      <c r="AIT52" s="82" t="n">
        <v>130000000</v>
      </c>
      <c r="AIU52" s="82" t="n">
        <v>130000000</v>
      </c>
      <c r="AIV52" s="82" t="n">
        <v>130000000</v>
      </c>
      <c r="AIW52" s="82" t="n">
        <v>130000000</v>
      </c>
      <c r="AIX52" s="82" t="n">
        <v>130000000</v>
      </c>
      <c r="AIY52" s="82" t="n">
        <v>130000000</v>
      </c>
      <c r="AIZ52" s="82" t="n">
        <v>130000000</v>
      </c>
      <c r="AJA52" s="82" t="n">
        <v>130000000</v>
      </c>
      <c r="AJB52" s="82" t="n">
        <v>130000000</v>
      </c>
      <c r="AJC52" s="82" t="n">
        <v>130000000</v>
      </c>
      <c r="AJD52" s="82" t="n">
        <v>130000000</v>
      </c>
      <c r="AJE52" s="82" t="n">
        <v>130000000</v>
      </c>
      <c r="AJF52" s="82" t="n">
        <v>130000000</v>
      </c>
      <c r="AJG52" s="82" t="n">
        <v>130000000</v>
      </c>
      <c r="AJH52" s="82" t="n">
        <v>130000000</v>
      </c>
      <c r="AJI52" s="82" t="n">
        <v>130000000</v>
      </c>
      <c r="AJJ52" s="82" t="n">
        <v>130000000</v>
      </c>
      <c r="AJK52" s="145" t="n"/>
      <c r="AJL52" s="82" t="n">
        <v>130000000</v>
      </c>
      <c r="AJM52" s="82" t="n">
        <v>130000000</v>
      </c>
      <c r="AJN52" s="82" t="n">
        <v>130000000</v>
      </c>
      <c r="AJO52" s="82" t="n">
        <v>130000000</v>
      </c>
      <c r="AJP52" s="82" t="n">
        <v>130000000</v>
      </c>
      <c r="AJQ52" s="82" t="n">
        <v>130000000</v>
      </c>
      <c r="AJR52" s="82" t="n">
        <v>130000000</v>
      </c>
      <c r="AJS52" s="82" t="n">
        <v>130000000</v>
      </c>
      <c r="AJT52" s="82" t="n">
        <v>130000000</v>
      </c>
      <c r="AJU52" s="82" t="n">
        <v>130000000</v>
      </c>
      <c r="AJV52" s="82" t="n">
        <v>130000000</v>
      </c>
      <c r="AJW52" s="82" t="n">
        <v>130000000</v>
      </c>
      <c r="AJX52" s="82" t="n">
        <v>130000000</v>
      </c>
      <c r="AJY52" s="82" t="n">
        <v>130000000</v>
      </c>
      <c r="AJZ52" s="82" t="n">
        <v>130000000</v>
      </c>
      <c r="AKA52" s="82" t="n">
        <v>130000000</v>
      </c>
      <c r="AKB52" s="82" t="n">
        <v>130000000</v>
      </c>
      <c r="AKC52" s="82" t="n">
        <v>130000000</v>
      </c>
      <c r="AKD52" s="82" t="n">
        <v>130000000</v>
      </c>
      <c r="AKE52" s="82" t="n">
        <v>130000000</v>
      </c>
      <c r="AKF52" s="82" t="n">
        <v>130000000</v>
      </c>
      <c r="AKG52" s="82" t="n">
        <v>130000000</v>
      </c>
      <c r="AKH52" s="82" t="n">
        <v>130000000</v>
      </c>
      <c r="AKI52" s="82" t="n">
        <v>130000000</v>
      </c>
      <c r="AKJ52" s="82" t="n">
        <v>130000000</v>
      </c>
      <c r="AKK52" s="82" t="n">
        <v>130000000</v>
      </c>
      <c r="AKL52" s="82" t="n">
        <v>130000000</v>
      </c>
      <c r="AKM52" s="82" t="n">
        <v>130000000</v>
      </c>
      <c r="AKN52" s="112" t="n"/>
      <c r="AKO52" s="82" t="n">
        <v>130000000</v>
      </c>
      <c r="AKP52" s="82" t="n">
        <v>130000000</v>
      </c>
      <c r="AKQ52" s="82" t="n">
        <v>130000000</v>
      </c>
      <c r="AKR52" s="82" t="n">
        <v>130000000</v>
      </c>
      <c r="AKS52" s="82" t="n">
        <v>130000000</v>
      </c>
      <c r="AKT52" s="82" t="n">
        <v>130000000</v>
      </c>
      <c r="AKU52" s="82" t="n">
        <v>130000000</v>
      </c>
      <c r="AKV52" s="82" t="n">
        <v>130000000</v>
      </c>
      <c r="AKW52" s="82" t="n">
        <v>130000000</v>
      </c>
      <c r="AKX52" s="82" t="n">
        <v>130000000</v>
      </c>
      <c r="AKY52" s="82" t="n">
        <v>130000000</v>
      </c>
      <c r="AKZ52" s="82" t="n">
        <v>130000000</v>
      </c>
      <c r="ALA52" s="82" t="n">
        <v>130000000</v>
      </c>
      <c r="ALB52" s="82" t="n">
        <v>130000000</v>
      </c>
      <c r="ALC52" s="82" t="n">
        <v>130000000</v>
      </c>
      <c r="ALD52" s="82" t="n">
        <v>130000000</v>
      </c>
      <c r="ALE52" s="82" t="n">
        <v>130000000</v>
      </c>
      <c r="ALF52" s="82" t="n">
        <v>130000000</v>
      </c>
      <c r="ALG52" s="82" t="n">
        <v>130000000</v>
      </c>
      <c r="ALH52" s="82" t="n">
        <v>130000000</v>
      </c>
      <c r="ALI52" s="82" t="n">
        <v>130000000</v>
      </c>
      <c r="ALJ52" s="82" t="n">
        <v>130000000</v>
      </c>
      <c r="ALK52" s="82" t="n">
        <v>130000000</v>
      </c>
      <c r="ALL52" s="82" t="n">
        <v>130000000</v>
      </c>
      <c r="ALM52" s="82" t="n">
        <v>130000000</v>
      </c>
      <c r="ALN52" s="82" t="n">
        <v>130000000</v>
      </c>
      <c r="ALO52" s="82" t="n">
        <v>130000000</v>
      </c>
      <c r="ALP52" s="82" t="n">
        <v>130000000</v>
      </c>
      <c r="ALQ52" s="82" t="n">
        <v>130000000</v>
      </c>
      <c r="ALR52" s="82" t="n">
        <v>130000000</v>
      </c>
      <c r="ALS52" s="82" t="n">
        <v>130000000</v>
      </c>
      <c r="ALT52" s="130" t="n"/>
      <c r="ALU52" s="82" t="n">
        <v>130000000</v>
      </c>
      <c r="ALV52" s="82" t="n">
        <v>130000000</v>
      </c>
      <c r="ALW52" s="82" t="n">
        <v>130000000</v>
      </c>
      <c r="ALX52" s="82" t="n">
        <v>130000000</v>
      </c>
      <c r="ALY52" s="82" t="n">
        <v>130000000</v>
      </c>
      <c r="ALZ52" s="82" t="n">
        <v>130000000</v>
      </c>
      <c r="AMA52" s="82" t="n">
        <v>130000000</v>
      </c>
      <c r="AMB52" s="82" t="n">
        <v>130000000</v>
      </c>
      <c r="AMC52" s="82" t="n">
        <v>130000000</v>
      </c>
      <c r="AMD52" s="82" t="n">
        <v>130000000</v>
      </c>
      <c r="AME52" s="82" t="n">
        <v>130000000</v>
      </c>
      <c r="AMF52" s="82" t="n">
        <v>130000000</v>
      </c>
      <c r="AMG52" s="82" t="n">
        <v>130000000</v>
      </c>
      <c r="AMH52" s="82" t="n">
        <v>130000000</v>
      </c>
      <c r="AMI52" s="82" t="n">
        <v>130000000</v>
      </c>
      <c r="AMJ52" s="82" t="n">
        <v>130000000</v>
      </c>
      <c r="AMK52" s="82" t="n">
        <v>130000000</v>
      </c>
      <c r="AML52" s="82" t="n">
        <v>130000000</v>
      </c>
      <c r="AMM52" s="82" t="n">
        <v>130000000</v>
      </c>
      <c r="AMN52" s="82" t="n">
        <v>130000000</v>
      </c>
      <c r="AMO52" s="82" t="n">
        <v>130000000</v>
      </c>
      <c r="AMP52" s="82" t="n">
        <v>130000000</v>
      </c>
      <c r="AMQ52" s="82" t="n">
        <v>130000000</v>
      </c>
      <c r="AMR52" s="82" t="n">
        <v>130000000</v>
      </c>
      <c r="AMS52" s="82" t="n">
        <v>130000000</v>
      </c>
      <c r="AMT52" s="82" t="n">
        <v>130000000</v>
      </c>
      <c r="AMU52" s="82" t="n">
        <v>130000000</v>
      </c>
      <c r="AMV52" s="82" t="n">
        <v>130000000</v>
      </c>
      <c r="AMW52" s="82" t="n">
        <v>130000000</v>
      </c>
      <c r="AMX52" s="82" t="n">
        <v>130000000</v>
      </c>
      <c r="AMY52" s="130" t="n"/>
      <c r="AMZ52" s="82" t="n">
        <v>130000000</v>
      </c>
      <c r="ANA52" s="82" t="n">
        <v>130000000</v>
      </c>
      <c r="ANB52" s="82" t="n">
        <v>130000000</v>
      </c>
      <c r="ANC52" s="82" t="n">
        <v>130000000</v>
      </c>
      <c r="AND52" s="82" t="n">
        <v>130000000</v>
      </c>
      <c r="ANE52" s="82" t="n">
        <v>130000000</v>
      </c>
      <c r="ANF52" s="82" t="n">
        <v>130000000</v>
      </c>
      <c r="ANG52" s="82" t="n">
        <v>130000000</v>
      </c>
      <c r="ANH52" s="82" t="n">
        <v>130000000</v>
      </c>
      <c r="ANI52" s="82" t="n">
        <v>130000000</v>
      </c>
      <c r="ANJ52" s="82" t="n">
        <v>130000000</v>
      </c>
      <c r="ANK52" s="82" t="n">
        <v>130000000</v>
      </c>
      <c r="ANL52" s="82" t="n">
        <v>130000000</v>
      </c>
      <c r="ANM52" s="82" t="n">
        <v>130000000</v>
      </c>
      <c r="ANN52" s="82" t="n">
        <v>130000000</v>
      </c>
      <c r="ANO52" s="82" t="n">
        <v>130000000</v>
      </c>
      <c r="ANP52" s="82" t="n">
        <v>130000000</v>
      </c>
      <c r="ANQ52" s="82" t="n">
        <v>130000000</v>
      </c>
      <c r="ANR52" s="82" t="n">
        <v>130000000</v>
      </c>
      <c r="ANS52" s="82" t="n">
        <v>130000000</v>
      </c>
      <c r="ANT52" s="82" t="n">
        <v>130000000</v>
      </c>
      <c r="ANU52" s="82" t="n">
        <v>130000000</v>
      </c>
      <c r="ANV52" s="82" t="n">
        <v>130000000</v>
      </c>
      <c r="ANW52" s="82" t="n">
        <v>130000000</v>
      </c>
      <c r="ANX52" s="82" t="n">
        <v>130000000</v>
      </c>
      <c r="ANY52" s="82" t="n">
        <v>130000000</v>
      </c>
      <c r="ANZ52" s="82" t="n">
        <v>130000000</v>
      </c>
      <c r="AOA52" s="82" t="n">
        <v>130000000</v>
      </c>
      <c r="AOB52" s="82" t="n">
        <v>130000000</v>
      </c>
      <c r="AOC52" s="82" t="n">
        <v>130000000</v>
      </c>
    </row>
    <row r="53">
      <c r="B53" s="4" t="inlineStr">
        <is>
          <t>NET PROFIT</t>
        </is>
      </c>
      <c r="C53" s="75">
        <f>C51-C52</f>
        <v/>
      </c>
      <c r="D53" s="75">
        <f>D51-D52</f>
        <v/>
      </c>
      <c r="E53" s="75">
        <f>E51-E52</f>
        <v/>
      </c>
      <c r="F53" s="75">
        <f>F51-F52</f>
        <v/>
      </c>
      <c r="G53" s="75">
        <f>G51-G52</f>
        <v/>
      </c>
      <c r="H53" s="75">
        <f>H51-H52</f>
        <v/>
      </c>
      <c r="I53" s="75">
        <f>I51-I52</f>
        <v/>
      </c>
      <c r="J53" s="75">
        <f>J51-J52</f>
        <v/>
      </c>
      <c r="K53" s="75">
        <f>K51-K52</f>
        <v/>
      </c>
      <c r="L53" s="75">
        <f>L51-L52</f>
        <v/>
      </c>
      <c r="M53" s="75">
        <f>M51-M52</f>
        <v/>
      </c>
      <c r="N53" s="75">
        <f>N51-N52</f>
        <v/>
      </c>
      <c r="O53" s="75">
        <f>O51-O52</f>
        <v/>
      </c>
      <c r="P53" s="75">
        <f>P51-P52</f>
        <v/>
      </c>
      <c r="Q53" s="75">
        <f>Q51-Q52</f>
        <v/>
      </c>
      <c r="R53" s="75">
        <f>R51-R52</f>
        <v/>
      </c>
      <c r="S53" s="75">
        <f>S51-S52</f>
        <v/>
      </c>
      <c r="T53" s="75">
        <f>T51-T52</f>
        <v/>
      </c>
      <c r="U53" s="75">
        <f>U51-U52</f>
        <v/>
      </c>
      <c r="V53" s="75">
        <f>V51-V52</f>
        <v/>
      </c>
      <c r="W53" s="75">
        <f>W51-W52</f>
        <v/>
      </c>
      <c r="X53" s="75">
        <f>X51-X52</f>
        <v/>
      </c>
      <c r="Y53" s="75">
        <f>Y51-Y52</f>
        <v/>
      </c>
      <c r="Z53" s="75">
        <f>Z51-Z52</f>
        <v/>
      </c>
      <c r="AA53" s="75">
        <f>AA51-AA52</f>
        <v/>
      </c>
      <c r="AB53" s="75">
        <f>AB51-AB52</f>
        <v/>
      </c>
      <c r="AC53" s="75">
        <f>AC51-AC52</f>
        <v/>
      </c>
      <c r="AD53" s="75">
        <f>AD51-AD52</f>
        <v/>
      </c>
      <c r="AE53" s="75">
        <f>AE51-AE52</f>
        <v/>
      </c>
      <c r="AF53" s="75">
        <f>AF51-AF52</f>
        <v/>
      </c>
      <c r="AG53" s="75">
        <f>AG51-AG52</f>
        <v/>
      </c>
      <c r="AH53" s="99">
        <f>AH51-AH52</f>
        <v/>
      </c>
      <c r="AI53" s="75">
        <f>AI51-AI52</f>
        <v/>
      </c>
      <c r="AJ53" s="75">
        <f>AJ51-AJ52</f>
        <v/>
      </c>
      <c r="AK53" s="75">
        <f>AK51-AK52</f>
        <v/>
      </c>
      <c r="AL53" s="75">
        <f>AL51-AL52</f>
        <v/>
      </c>
      <c r="AM53" s="75">
        <f>AM51-AM52</f>
        <v/>
      </c>
      <c r="AN53" s="75">
        <f>AN51-AN52</f>
        <v/>
      </c>
      <c r="AO53" s="75">
        <f>AO51-AO52</f>
        <v/>
      </c>
      <c r="AP53" s="75">
        <f>AP51-AP52</f>
        <v/>
      </c>
      <c r="AQ53" s="75">
        <f>AQ51-AQ52</f>
        <v/>
      </c>
      <c r="AR53" s="75">
        <f>AR51-AR52</f>
        <v/>
      </c>
      <c r="AS53" s="75">
        <f>AS51-AS52</f>
        <v/>
      </c>
      <c r="AT53" s="75">
        <f>AT51-AT52</f>
        <v/>
      </c>
      <c r="AU53" s="75">
        <f>AU51-AU52</f>
        <v/>
      </c>
      <c r="AV53" s="75">
        <f>AV51-AV52</f>
        <v/>
      </c>
      <c r="AW53" s="75">
        <f>AW51-AW52</f>
        <v/>
      </c>
      <c r="AX53" s="75">
        <f>AX51-AX52</f>
        <v/>
      </c>
      <c r="AY53" s="75">
        <f>AY51-AY52</f>
        <v/>
      </c>
      <c r="AZ53" s="75">
        <f>AZ51-AZ52</f>
        <v/>
      </c>
      <c r="BA53" s="75">
        <f>BA51-BA52</f>
        <v/>
      </c>
      <c r="BB53" s="75">
        <f>BB51-BB52</f>
        <v/>
      </c>
      <c r="BC53" s="75">
        <f>BC51-BC52</f>
        <v/>
      </c>
      <c r="BD53" s="75">
        <f>BD51-BD52</f>
        <v/>
      </c>
      <c r="BE53" s="75">
        <f>BE51-BE52</f>
        <v/>
      </c>
      <c r="BF53" s="75">
        <f>BF51-BF52</f>
        <v/>
      </c>
      <c r="BG53" s="75">
        <f>BG51-BG52</f>
        <v/>
      </c>
      <c r="BH53" s="75">
        <f>BH51-BH52</f>
        <v/>
      </c>
      <c r="BI53" s="75">
        <f>BI51-BI52</f>
        <v/>
      </c>
      <c r="BJ53" s="75">
        <f>BJ51-BJ52</f>
        <v/>
      </c>
      <c r="BK53" s="75">
        <f>BK51-BK52</f>
        <v/>
      </c>
      <c r="BL53" s="75">
        <f>BL51-BL52</f>
        <v/>
      </c>
      <c r="BM53" s="75">
        <f>BM51-BM52</f>
        <v/>
      </c>
      <c r="BN53" s="75">
        <f>BN51-BN52</f>
        <v/>
      </c>
      <c r="BO53" s="75">
        <f>BO51-BO52</f>
        <v/>
      </c>
      <c r="BP53" s="75">
        <f>BP51-BP52</f>
        <v/>
      </c>
      <c r="BQ53" s="75">
        <f>BQ51-BQ52</f>
        <v/>
      </c>
      <c r="BR53" s="75">
        <f>BR51-BR52</f>
        <v/>
      </c>
      <c r="BS53" s="75">
        <f>BS51-BS52</f>
        <v/>
      </c>
      <c r="BT53" s="75">
        <f>BT51-BT52</f>
        <v/>
      </c>
      <c r="BU53" s="75">
        <f>BU51-BU52</f>
        <v/>
      </c>
      <c r="BV53" s="75">
        <f>BV51-BV52</f>
        <v/>
      </c>
      <c r="BW53" s="75">
        <f>BW51-BW52</f>
        <v/>
      </c>
      <c r="BX53" s="75">
        <f>BX51-BX52</f>
        <v/>
      </c>
      <c r="BY53" s="75">
        <f>BY51-BY52</f>
        <v/>
      </c>
      <c r="BZ53" s="75">
        <f>BZ51-BZ52</f>
        <v/>
      </c>
      <c r="CA53" s="75">
        <f>CA51-CA52</f>
        <v/>
      </c>
      <c r="CB53" s="75">
        <f>CB51-CB52</f>
        <v/>
      </c>
      <c r="CC53" s="75">
        <f>CC51-CC52</f>
        <v/>
      </c>
      <c r="CD53" s="75">
        <f>CD51-CD52</f>
        <v/>
      </c>
      <c r="CE53" s="75">
        <f>CE51-CE52</f>
        <v/>
      </c>
      <c r="CF53" s="75">
        <f>CF51-CF52</f>
        <v/>
      </c>
      <c r="CG53" s="75">
        <f>CG51-CG52</f>
        <v/>
      </c>
      <c r="CH53" s="75">
        <f>CH51-CH52</f>
        <v/>
      </c>
      <c r="CI53" s="75">
        <f>CI51-CI52</f>
        <v/>
      </c>
      <c r="CJ53" s="75">
        <f>CJ51-CJ52</f>
        <v/>
      </c>
      <c r="CK53" s="75">
        <f>CK51-CK52</f>
        <v/>
      </c>
      <c r="CL53" s="75">
        <f>CL51-CL52</f>
        <v/>
      </c>
      <c r="CM53" s="75">
        <f>CM51-CM52</f>
        <v/>
      </c>
      <c r="CN53" s="75">
        <f>CN51-CN52</f>
        <v/>
      </c>
      <c r="CO53" s="75">
        <f>CO51-CO52</f>
        <v/>
      </c>
      <c r="CP53" s="75">
        <f>CP51-CP52</f>
        <v/>
      </c>
      <c r="CQ53" s="75">
        <f>CQ51-CQ52</f>
        <v/>
      </c>
      <c r="CR53" s="75">
        <f>CR51-CR52</f>
        <v/>
      </c>
      <c r="CT53" s="75">
        <f>CT51-CT52</f>
        <v/>
      </c>
      <c r="CU53" s="75">
        <f>CU51-CU52</f>
        <v/>
      </c>
      <c r="CV53" s="75">
        <f>CV51-CV52</f>
        <v/>
      </c>
      <c r="CW53" s="75">
        <f>CW51-CW52</f>
        <v/>
      </c>
      <c r="CX53" s="75">
        <f>CX51-CX52</f>
        <v/>
      </c>
      <c r="CY53" s="75">
        <f>CY51-CY52</f>
        <v/>
      </c>
      <c r="CZ53" s="75">
        <f>CZ51-CZ52</f>
        <v/>
      </c>
      <c r="DA53" s="75">
        <f>DA51-DA52</f>
        <v/>
      </c>
      <c r="DB53" s="75">
        <f>DB51-DB52</f>
        <v/>
      </c>
      <c r="DC53" s="75">
        <f>DC51-DC52</f>
        <v/>
      </c>
      <c r="DD53" s="75">
        <f>DD51-DD52</f>
        <v/>
      </c>
      <c r="DE53" s="75">
        <f>DE51-DE52</f>
        <v/>
      </c>
      <c r="DF53" s="75">
        <f>DF51-DF52</f>
        <v/>
      </c>
      <c r="DG53" s="75">
        <f>DG51-DG52</f>
        <v/>
      </c>
      <c r="DH53" s="75">
        <f>DH51-DH52</f>
        <v/>
      </c>
      <c r="DI53" s="75">
        <f>DI51-DI52</f>
        <v/>
      </c>
      <c r="DJ53" s="75">
        <f>DJ51-DJ52</f>
        <v/>
      </c>
      <c r="DK53" s="75">
        <f>DK51-DK52</f>
        <v/>
      </c>
      <c r="DL53" s="75">
        <f>DL51-DL52</f>
        <v/>
      </c>
      <c r="DM53" s="75">
        <f>DM51-DM52</f>
        <v/>
      </c>
      <c r="DN53" s="75">
        <f>DN51-DN52</f>
        <v/>
      </c>
      <c r="DO53" s="75">
        <f>DO51-DO52</f>
        <v/>
      </c>
      <c r="DP53" s="75">
        <f>DP51-DP52</f>
        <v/>
      </c>
      <c r="DQ53" s="75">
        <f>DQ51-DQ52</f>
        <v/>
      </c>
      <c r="DR53" s="75">
        <f>DR51-DR52</f>
        <v/>
      </c>
      <c r="DS53" s="75">
        <f>DS51-DS52</f>
        <v/>
      </c>
      <c r="DT53" s="75">
        <f>DT51-DT52</f>
        <v/>
      </c>
      <c r="DU53" s="75">
        <f>DU51-DU52</f>
        <v/>
      </c>
      <c r="DV53" s="75">
        <f>DV51-DV52</f>
        <v/>
      </c>
      <c r="DW53" s="75">
        <f>DW51-DW52</f>
        <v/>
      </c>
      <c r="DX53" s="75">
        <f>DX51-DX52</f>
        <v/>
      </c>
      <c r="DY53" s="75">
        <f>DY51-DY52</f>
        <v/>
      </c>
      <c r="DZ53" s="75">
        <f>DZ51-DZ52</f>
        <v/>
      </c>
      <c r="EA53" s="75">
        <f>EA51-EA52</f>
        <v/>
      </c>
      <c r="EB53" s="75">
        <f>EB51-EB52</f>
        <v/>
      </c>
      <c r="EC53" s="75">
        <f>EC51-EC52</f>
        <v/>
      </c>
      <c r="ED53" s="75">
        <f>ED51-ED52</f>
        <v/>
      </c>
      <c r="EE53" s="75">
        <f>EE51-EE52</f>
        <v/>
      </c>
      <c r="EF53" s="75">
        <f>EF51-EF52</f>
        <v/>
      </c>
      <c r="EG53" s="75">
        <f>EG51-EG52</f>
        <v/>
      </c>
      <c r="EH53" s="75">
        <f>EH51-EH52</f>
        <v/>
      </c>
      <c r="EI53" s="75">
        <f>EI51-EI52</f>
        <v/>
      </c>
      <c r="EJ53" s="75">
        <f>EJ51-EJ52</f>
        <v/>
      </c>
      <c r="EK53" s="75">
        <f>EK51-EK52</f>
        <v/>
      </c>
      <c r="EL53" s="75">
        <f>EL51-EL52</f>
        <v/>
      </c>
      <c r="EM53" s="75">
        <f>EM51-EM52</f>
        <v/>
      </c>
      <c r="EN53" s="75">
        <f>EN51-EN52</f>
        <v/>
      </c>
      <c r="EO53" s="75">
        <f>EO51-EO52</f>
        <v/>
      </c>
      <c r="EP53" s="75">
        <f>EP51-EP52</f>
        <v/>
      </c>
      <c r="EQ53" s="75">
        <f>EQ51-EQ52</f>
        <v/>
      </c>
      <c r="ER53" s="75">
        <f>ER51-ER52</f>
        <v/>
      </c>
      <c r="ES53" s="75">
        <f>ES51-ES52</f>
        <v/>
      </c>
      <c r="ET53" s="75">
        <f>ET51-ET52</f>
        <v/>
      </c>
      <c r="EU53" s="75">
        <f>EU51-EU52</f>
        <v/>
      </c>
      <c r="EV53" s="75">
        <f>EV51-EV52</f>
        <v/>
      </c>
      <c r="EW53" s="75">
        <f>EW51-EW52</f>
        <v/>
      </c>
      <c r="EX53" s="75">
        <f>EX51-EX52</f>
        <v/>
      </c>
      <c r="EY53" s="75">
        <f>EY51-EY52</f>
        <v/>
      </c>
      <c r="EZ53" s="75">
        <f>EZ51-EZ52</f>
        <v/>
      </c>
      <c r="FA53" s="75">
        <f>FA51-FA52</f>
        <v/>
      </c>
      <c r="FB53" s="75">
        <f>FB51-FB52</f>
        <v/>
      </c>
      <c r="FC53" s="75">
        <f>FC51-FC52</f>
        <v/>
      </c>
      <c r="FD53" s="126" t="n"/>
      <c r="FE53" s="75">
        <f>FE51-FE52</f>
        <v/>
      </c>
      <c r="FF53" s="75">
        <f>FF51-FF52</f>
        <v/>
      </c>
      <c r="FG53" s="75">
        <f>FG51-FG52</f>
        <v/>
      </c>
      <c r="FH53" s="75">
        <f>FH51-FH52</f>
        <v/>
      </c>
      <c r="FI53" s="75">
        <f>FI51-FI52</f>
        <v/>
      </c>
      <c r="FJ53" s="75">
        <f>FJ51-FJ52</f>
        <v/>
      </c>
      <c r="FK53" s="75">
        <f>FK51-FK52</f>
        <v/>
      </c>
      <c r="FL53" s="75">
        <f>FL51-FL52</f>
        <v/>
      </c>
      <c r="FM53" s="75">
        <f>FM51-FM52</f>
        <v/>
      </c>
      <c r="FN53" s="75">
        <f>FN51-FN52</f>
        <v/>
      </c>
      <c r="FO53" s="75">
        <f>FO51-FO52</f>
        <v/>
      </c>
      <c r="FP53" s="75">
        <f>FP51-FP52</f>
        <v/>
      </c>
      <c r="FQ53" s="75">
        <f>FQ51-FQ52</f>
        <v/>
      </c>
      <c r="FR53" s="75">
        <f>FR51-FR52</f>
        <v/>
      </c>
      <c r="FS53" s="75">
        <f>FS51-FS52</f>
        <v/>
      </c>
      <c r="FT53" s="75">
        <f>FT51-FT52</f>
        <v/>
      </c>
      <c r="FU53" s="75">
        <f>FU51-FU52</f>
        <v/>
      </c>
      <c r="FV53" s="75">
        <f>FV51-FV52</f>
        <v/>
      </c>
      <c r="FW53" s="75">
        <f>FW51-FW52</f>
        <v/>
      </c>
      <c r="FX53" s="75">
        <f>FX51-FX52</f>
        <v/>
      </c>
      <c r="FY53" s="75">
        <f>FY51-FY52</f>
        <v/>
      </c>
      <c r="FZ53" s="75">
        <f>FZ51-FZ52</f>
        <v/>
      </c>
      <c r="GA53" s="75">
        <f>GA51-GA52</f>
        <v/>
      </c>
      <c r="GB53" s="75">
        <f>GB51-GB52</f>
        <v/>
      </c>
      <c r="GC53" s="75">
        <f>GC51-GC52</f>
        <v/>
      </c>
      <c r="GD53" s="75">
        <f>GD51-GD52</f>
        <v/>
      </c>
      <c r="GE53" s="75">
        <f>GE51-GE52</f>
        <v/>
      </c>
      <c r="GF53" s="75">
        <f>GF51-GF52</f>
        <v/>
      </c>
      <c r="GG53" s="75">
        <f>GG51-GG52</f>
        <v/>
      </c>
      <c r="GH53" s="75">
        <f>GH51-GH52</f>
        <v/>
      </c>
      <c r="GI53" s="75">
        <f>GI51-GI52</f>
        <v/>
      </c>
      <c r="GJ53" s="130" t="n"/>
      <c r="GK53" s="75">
        <f>GK51-GK52</f>
        <v/>
      </c>
      <c r="GL53" s="75">
        <f>GL51-GL52</f>
        <v/>
      </c>
      <c r="GM53" s="75">
        <f>GM51-GM52</f>
        <v/>
      </c>
      <c r="GN53" s="75">
        <f>GN51-GN52</f>
        <v/>
      </c>
      <c r="GO53" s="75">
        <f>GO51-GO52</f>
        <v/>
      </c>
      <c r="GP53" s="75">
        <f>GP51-GP52</f>
        <v/>
      </c>
      <c r="GQ53" s="75">
        <f>GQ51-GQ52</f>
        <v/>
      </c>
      <c r="GR53" s="75">
        <f>GR51-GR52</f>
        <v/>
      </c>
      <c r="GS53" s="75">
        <f>GS51-GS52</f>
        <v/>
      </c>
      <c r="GT53" s="75">
        <f>GT51-GT52</f>
        <v/>
      </c>
      <c r="GU53" s="75">
        <f>GU51-GU52</f>
        <v/>
      </c>
      <c r="GV53" s="75">
        <f>GV51-GV52</f>
        <v/>
      </c>
      <c r="GW53" s="75">
        <f>GW51-GW52</f>
        <v/>
      </c>
      <c r="GX53" s="75">
        <f>GX51-GX52</f>
        <v/>
      </c>
      <c r="GY53" s="75">
        <f>GY51-GY52</f>
        <v/>
      </c>
      <c r="GZ53" s="75">
        <f>GZ51-GZ52</f>
        <v/>
      </c>
      <c r="HA53" s="75">
        <f>HA51-HA52</f>
        <v/>
      </c>
      <c r="HB53" s="75">
        <f>HB51-HB52</f>
        <v/>
      </c>
      <c r="HC53" s="75">
        <f>HC51-HC52</f>
        <v/>
      </c>
      <c r="HD53" s="75">
        <f>HD51-HD52</f>
        <v/>
      </c>
      <c r="HE53" s="75">
        <f>HE51-HE52</f>
        <v/>
      </c>
      <c r="HF53" s="75">
        <f>HF51-HF52</f>
        <v/>
      </c>
      <c r="HG53" s="75">
        <f>HG51-HG52</f>
        <v/>
      </c>
      <c r="HH53" s="75">
        <f>HH51-HH52</f>
        <v/>
      </c>
      <c r="HI53" s="75">
        <f>HI51-HI52</f>
        <v/>
      </c>
      <c r="HJ53" s="75">
        <f>HJ51-HJ52</f>
        <v/>
      </c>
      <c r="HK53" s="75">
        <f>HK51-HK52</f>
        <v/>
      </c>
      <c r="HL53" s="75">
        <f>HL51-HL52</f>
        <v/>
      </c>
      <c r="HM53" s="75">
        <f>HM51-HM52</f>
        <v/>
      </c>
      <c r="HN53" s="130" t="n"/>
      <c r="HO53" s="75">
        <f>HO51-HO52</f>
        <v/>
      </c>
      <c r="HP53" s="75">
        <f>HP51-HP52</f>
        <v/>
      </c>
      <c r="HQ53" s="75">
        <f>HQ51-HQ52</f>
        <v/>
      </c>
      <c r="HR53" s="75">
        <f>HR51-HR52</f>
        <v/>
      </c>
      <c r="HS53" s="75">
        <f>HS51-HS52</f>
        <v/>
      </c>
      <c r="HT53" s="75">
        <f>HT51-HT52</f>
        <v/>
      </c>
      <c r="HU53" s="75">
        <f>HU51-HU52</f>
        <v/>
      </c>
      <c r="HV53" s="75">
        <f>HV51-HV52</f>
        <v/>
      </c>
      <c r="HW53" s="75">
        <f>HW51-HW52</f>
        <v/>
      </c>
      <c r="HX53" s="75">
        <f>HX51-HX52</f>
        <v/>
      </c>
      <c r="HY53" s="75">
        <f>HY51-HY52</f>
        <v/>
      </c>
      <c r="HZ53" s="75">
        <f>HZ51-HZ52</f>
        <v/>
      </c>
      <c r="IA53" s="75">
        <f>IA51-IA52</f>
        <v/>
      </c>
      <c r="IB53" s="75">
        <f>IB51-IB52</f>
        <v/>
      </c>
      <c r="IC53" s="75">
        <f>IC51-IC52</f>
        <v/>
      </c>
      <c r="ID53" s="75">
        <f>ID51-ID52</f>
        <v/>
      </c>
      <c r="IE53" s="75">
        <f>IE51-IE52</f>
        <v/>
      </c>
      <c r="IF53" s="75">
        <f>IF51-IF52</f>
        <v/>
      </c>
      <c r="IG53" s="75">
        <f>IG51-IG52</f>
        <v/>
      </c>
      <c r="IH53" s="75">
        <f>IH51-IH52</f>
        <v/>
      </c>
      <c r="II53" s="75">
        <f>II51-II52</f>
        <v/>
      </c>
      <c r="IJ53" s="75">
        <f>IJ51-IJ52</f>
        <v/>
      </c>
      <c r="IK53" s="75">
        <f>IK51-IK52</f>
        <v/>
      </c>
      <c r="IL53" s="75">
        <f>IL51-IL52</f>
        <v/>
      </c>
      <c r="IM53" s="75">
        <f>IM51-IM52</f>
        <v/>
      </c>
      <c r="IN53" s="75">
        <f>IN51-IN52</f>
        <v/>
      </c>
      <c r="IO53" s="75">
        <f>IO51-IO52</f>
        <v/>
      </c>
      <c r="IP53" s="75">
        <f>IP51-IP52</f>
        <v/>
      </c>
      <c r="IQ53" s="75">
        <f>IQ51-IQ52</f>
        <v/>
      </c>
      <c r="IR53" s="75">
        <f>IR51-IR52</f>
        <v/>
      </c>
      <c r="IS53" s="75">
        <f>IS51-IS52</f>
        <v/>
      </c>
      <c r="IT53" s="130" t="n"/>
      <c r="IU53" s="75">
        <f>IU51-IU52</f>
        <v/>
      </c>
      <c r="IV53" s="75">
        <f>IV51-IV52</f>
        <v/>
      </c>
      <c r="IW53" s="75">
        <f>IW51-IW52</f>
        <v/>
      </c>
      <c r="IX53" s="75">
        <f>IX51-IX52</f>
        <v/>
      </c>
      <c r="IY53" s="75">
        <f>IY51-IY52</f>
        <v/>
      </c>
      <c r="IZ53" s="75">
        <f>IZ51-IZ52</f>
        <v/>
      </c>
      <c r="JA53" s="75">
        <f>JA51-JA52</f>
        <v/>
      </c>
      <c r="JB53" s="75">
        <f>JB51-JB52</f>
        <v/>
      </c>
      <c r="JC53" s="75">
        <f>JC51-JC52</f>
        <v/>
      </c>
      <c r="JD53" s="75">
        <f>JD51-JD52</f>
        <v/>
      </c>
      <c r="JE53" s="75">
        <f>JE51-JE52</f>
        <v/>
      </c>
      <c r="JF53" s="75">
        <f>JF51-JF52</f>
        <v/>
      </c>
      <c r="JG53" s="75">
        <f>JG51-JG52</f>
        <v/>
      </c>
      <c r="JH53" s="75">
        <f>JH51-JH52</f>
        <v/>
      </c>
      <c r="JI53" s="75">
        <f>JI51-JI52</f>
        <v/>
      </c>
      <c r="JJ53" s="75">
        <f>JJ51-JJ52</f>
        <v/>
      </c>
      <c r="JK53" s="75">
        <f>JK51-JK52</f>
        <v/>
      </c>
      <c r="JL53" s="75">
        <f>JL51-JL52</f>
        <v/>
      </c>
      <c r="JM53" s="75">
        <f>JM51-JM52</f>
        <v/>
      </c>
      <c r="JN53" s="75">
        <f>JN51-JN52</f>
        <v/>
      </c>
      <c r="JO53" s="75">
        <f>JO51-JO52</f>
        <v/>
      </c>
      <c r="JP53" s="75">
        <f>JP51-JP52</f>
        <v/>
      </c>
      <c r="JQ53" s="75">
        <f>JQ51-JQ52</f>
        <v/>
      </c>
      <c r="JR53" s="75">
        <f>JR51-JR52</f>
        <v/>
      </c>
      <c r="JS53" s="75">
        <f>JS51-JS52</f>
        <v/>
      </c>
      <c r="JT53" s="75">
        <f>JT51-JT52</f>
        <v/>
      </c>
      <c r="JU53" s="75">
        <f>JU51-JU52</f>
        <v/>
      </c>
      <c r="JV53" s="75">
        <f>JV51-JV52</f>
        <v/>
      </c>
      <c r="JW53" s="75">
        <f>JW51-JW52</f>
        <v/>
      </c>
      <c r="JX53" s="75">
        <f>JX51-JX52</f>
        <v/>
      </c>
      <c r="JY53" s="143" t="n"/>
      <c r="JZ53" s="75">
        <f>JZ51-JZ52</f>
        <v/>
      </c>
      <c r="KA53" s="75">
        <f>KA51-KA52</f>
        <v/>
      </c>
      <c r="KB53" s="75">
        <f>KB51-KB52</f>
        <v/>
      </c>
      <c r="KC53" s="75">
        <f>KC51-KC52</f>
        <v/>
      </c>
      <c r="KD53" s="75">
        <f>KD51-KD52</f>
        <v/>
      </c>
      <c r="KE53" s="75">
        <f>KE51-KE52</f>
        <v/>
      </c>
      <c r="KF53" s="75">
        <f>KF51-KF52</f>
        <v/>
      </c>
      <c r="KG53" s="75">
        <f>KG51-KG52</f>
        <v/>
      </c>
      <c r="KH53" s="75">
        <f>KH51-KH52</f>
        <v/>
      </c>
      <c r="KI53" s="75">
        <f>KI51-KI52</f>
        <v/>
      </c>
      <c r="KJ53" s="75">
        <f>KJ51-KJ52</f>
        <v/>
      </c>
      <c r="KK53" s="75">
        <f>KK51-KK52</f>
        <v/>
      </c>
      <c r="KL53" s="75">
        <f>KL51-KL52</f>
        <v/>
      </c>
      <c r="KM53" s="75">
        <f>KM51-KM52</f>
        <v/>
      </c>
      <c r="KN53" s="75">
        <f>KN51-KN52</f>
        <v/>
      </c>
      <c r="KO53" s="75">
        <f>KO51-KO52</f>
        <v/>
      </c>
      <c r="KP53" s="75">
        <f>KP51-KP52</f>
        <v/>
      </c>
      <c r="KQ53" s="75">
        <f>KQ51-KQ52</f>
        <v/>
      </c>
      <c r="KR53" s="75">
        <f>KR51-KR52</f>
        <v/>
      </c>
      <c r="KS53" s="75">
        <f>KS51-KS52</f>
        <v/>
      </c>
      <c r="KT53" s="75">
        <f>KT51-KT52</f>
        <v/>
      </c>
      <c r="KU53" s="75">
        <f>KU51-KU52</f>
        <v/>
      </c>
      <c r="KV53" s="75">
        <f>KV51-KV52</f>
        <v/>
      </c>
      <c r="KW53" s="75">
        <f>KW51-KW52</f>
        <v/>
      </c>
      <c r="KX53" s="75">
        <f>KX51-KX52</f>
        <v/>
      </c>
      <c r="KY53" s="75">
        <f>KY51-KY52</f>
        <v/>
      </c>
      <c r="KZ53" s="75">
        <f>KZ51-KZ52</f>
        <v/>
      </c>
      <c r="LA53" s="75">
        <f>LA51-LA52</f>
        <v/>
      </c>
      <c r="LB53" s="75">
        <f>LB51-LB52</f>
        <v/>
      </c>
      <c r="LC53" s="75">
        <f>LC51-LC52</f>
        <v/>
      </c>
      <c r="LD53" s="75">
        <f>LD51-LD52</f>
        <v/>
      </c>
      <c r="LE53" s="130" t="n"/>
      <c r="LF53" s="75">
        <f>LF51-LF52</f>
        <v/>
      </c>
      <c r="LG53" s="75">
        <f>LG51-LG52</f>
        <v/>
      </c>
      <c r="LH53" s="75">
        <f>LH51-LH52</f>
        <v/>
      </c>
      <c r="LI53" s="75">
        <f>LI51-LI52</f>
        <v/>
      </c>
      <c r="LJ53" s="75">
        <f>LJ51-LJ52</f>
        <v/>
      </c>
      <c r="LK53" s="75">
        <f>LK51-LK52</f>
        <v/>
      </c>
      <c r="LL53" s="75">
        <f>LL51-LL52</f>
        <v/>
      </c>
      <c r="LM53" s="75">
        <f>LM51-LM52</f>
        <v/>
      </c>
      <c r="LN53" s="75">
        <f>LN51-LN52</f>
        <v/>
      </c>
      <c r="LO53" s="75">
        <f>LO51-LO52</f>
        <v/>
      </c>
      <c r="LP53" s="75">
        <f>LP51-LP52</f>
        <v/>
      </c>
      <c r="LQ53" s="75">
        <f>LQ51-LQ52</f>
        <v/>
      </c>
      <c r="LR53" s="75">
        <f>LR51-LR52</f>
        <v/>
      </c>
      <c r="LS53" s="75">
        <f>LS51-LS52</f>
        <v/>
      </c>
      <c r="LT53" s="75">
        <f>LT51-LT52</f>
        <v/>
      </c>
      <c r="LU53" s="75">
        <f>LU51-LU52</f>
        <v/>
      </c>
      <c r="LV53" s="75">
        <f>LV51-LV52</f>
        <v/>
      </c>
      <c r="LW53" s="75">
        <f>LW51-LW52</f>
        <v/>
      </c>
      <c r="LX53" s="75">
        <f>LX51-LX52</f>
        <v/>
      </c>
      <c r="LY53" s="75">
        <f>LY51-LY52</f>
        <v/>
      </c>
      <c r="LZ53" s="75">
        <f>LZ51-LZ52</f>
        <v/>
      </c>
      <c r="MA53" s="75">
        <f>MA51-MA52</f>
        <v/>
      </c>
      <c r="MB53" s="75">
        <f>MB51-MB52</f>
        <v/>
      </c>
      <c r="MC53" s="75">
        <f>MC51-MC52</f>
        <v/>
      </c>
      <c r="MD53" s="75">
        <f>MD51-MD52</f>
        <v/>
      </c>
      <c r="ME53" s="75">
        <f>ME51-ME52</f>
        <v/>
      </c>
      <c r="MF53" s="75">
        <f>MF51-MF52</f>
        <v/>
      </c>
      <c r="MG53" s="75">
        <f>MG51-MG52</f>
        <v/>
      </c>
      <c r="MH53" s="75">
        <f>MH51-MH52</f>
        <v/>
      </c>
      <c r="MI53" s="75">
        <f>MI51-MI52</f>
        <v/>
      </c>
      <c r="MJ53" s="143" t="n"/>
      <c r="MK53" s="75">
        <f>MK51-MK52</f>
        <v/>
      </c>
      <c r="ML53" s="75">
        <f>ML51-ML52</f>
        <v/>
      </c>
      <c r="MM53" s="75">
        <f>MM51-MM52</f>
        <v/>
      </c>
      <c r="MN53" s="75">
        <f>MN51-MN52</f>
        <v/>
      </c>
      <c r="MO53" s="75">
        <f>MO51-MO52</f>
        <v/>
      </c>
      <c r="MP53" s="75">
        <f>MP51-MP52</f>
        <v/>
      </c>
      <c r="MQ53" s="75">
        <f>MQ51-MQ52</f>
        <v/>
      </c>
      <c r="MR53" s="75">
        <f>MR51-MR52</f>
        <v/>
      </c>
      <c r="MS53" s="75">
        <f>MS51-MS52</f>
        <v/>
      </c>
      <c r="MT53" s="75">
        <f>MT51-MT52</f>
        <v/>
      </c>
      <c r="MU53" s="75">
        <f>MU51-MU52</f>
        <v/>
      </c>
      <c r="MV53" s="75">
        <f>MV51-MV52</f>
        <v/>
      </c>
      <c r="MW53" s="75">
        <f>MW51-MW52</f>
        <v/>
      </c>
      <c r="MX53" s="75">
        <f>MX51-MX52</f>
        <v/>
      </c>
      <c r="MY53" s="75">
        <f>MY51-MY52</f>
        <v/>
      </c>
      <c r="MZ53" s="75">
        <f>MZ51-MZ52</f>
        <v/>
      </c>
      <c r="NA53" s="75">
        <f>NA51-NA52</f>
        <v/>
      </c>
      <c r="NB53" s="75">
        <f>NB51-NB52</f>
        <v/>
      </c>
      <c r="NC53" s="75">
        <f>NC51-NC52</f>
        <v/>
      </c>
      <c r="ND53" s="75">
        <f>ND51-ND52</f>
        <v/>
      </c>
      <c r="NE53" s="75">
        <f>NE51-NE52</f>
        <v/>
      </c>
      <c r="NF53" s="75">
        <f>NF51-NF52</f>
        <v/>
      </c>
      <c r="NG53" s="75">
        <f>NG51-NG52</f>
        <v/>
      </c>
      <c r="NH53" s="75">
        <f>NH51-NH52</f>
        <v/>
      </c>
      <c r="NI53" s="75">
        <f>NI51-NI52</f>
        <v/>
      </c>
      <c r="NJ53" s="75">
        <f>NJ51-NJ52</f>
        <v/>
      </c>
      <c r="NK53" s="75">
        <f>NK51-NK52</f>
        <v/>
      </c>
      <c r="NL53" s="75">
        <f>NL51-NL52</f>
        <v/>
      </c>
      <c r="NM53" s="75">
        <f>NM51-NM52</f>
        <v/>
      </c>
      <c r="NN53" s="75">
        <f>NN51-NN52</f>
        <v/>
      </c>
      <c r="NO53" s="75">
        <f>NO51-NO52</f>
        <v/>
      </c>
      <c r="NP53" s="143" t="n"/>
      <c r="NQ53" s="75">
        <f>NQ51-NQ52</f>
        <v/>
      </c>
      <c r="NR53" s="75">
        <f>NR51-NR52</f>
        <v/>
      </c>
      <c r="NS53" s="75">
        <f>NS51-NS52</f>
        <v/>
      </c>
      <c r="NT53" s="75">
        <f>NT51-NT52</f>
        <v/>
      </c>
      <c r="NU53" s="75">
        <f>NU51-NU52</f>
        <v/>
      </c>
      <c r="NV53" s="75">
        <f>NV51-NV52</f>
        <v/>
      </c>
      <c r="NW53" s="75">
        <f>NW51-NW52</f>
        <v/>
      </c>
      <c r="NX53" s="75">
        <f>NX51-NX52</f>
        <v/>
      </c>
      <c r="NY53" s="75">
        <f>NY51-NY52</f>
        <v/>
      </c>
      <c r="NZ53" s="75">
        <f>NZ51-NZ52</f>
        <v/>
      </c>
      <c r="OA53" s="75">
        <f>OA51-OA52</f>
        <v/>
      </c>
      <c r="OB53" s="75">
        <f>OB51-OB52</f>
        <v/>
      </c>
      <c r="OC53" s="75">
        <f>OC51-OC52</f>
        <v/>
      </c>
      <c r="OD53" s="75">
        <f>OD51-OD52</f>
        <v/>
      </c>
      <c r="OE53" s="75">
        <f>OE51-OE52</f>
        <v/>
      </c>
      <c r="OF53" s="75">
        <f>OF51-OF52</f>
        <v/>
      </c>
      <c r="OG53" s="75">
        <f>OG51-OG52</f>
        <v/>
      </c>
      <c r="OH53" s="75">
        <f>OH51-OH52</f>
        <v/>
      </c>
      <c r="OI53" s="75">
        <f>OI51-OI52</f>
        <v/>
      </c>
      <c r="OJ53" s="75">
        <f>OJ51-OJ52</f>
        <v/>
      </c>
      <c r="OK53" s="75">
        <f>OK51-OK52</f>
        <v/>
      </c>
      <c r="OL53" s="75">
        <f>OL51-OL52</f>
        <v/>
      </c>
      <c r="OM53" s="75">
        <f>OM51-OM52</f>
        <v/>
      </c>
      <c r="ON53" s="75">
        <f>ON51-ON52</f>
        <v/>
      </c>
      <c r="OO53" s="75">
        <f>OO51-OO52</f>
        <v/>
      </c>
      <c r="OP53" s="75">
        <f>OP51-OP52</f>
        <v/>
      </c>
      <c r="OQ53" s="75">
        <f>OQ51-OQ52</f>
        <v/>
      </c>
      <c r="OR53" s="75">
        <f>OR51-OR52</f>
        <v/>
      </c>
      <c r="OS53" s="75">
        <f>OS51-OS52</f>
        <v/>
      </c>
      <c r="OT53" s="75">
        <f>OT51-OT52</f>
        <v/>
      </c>
      <c r="OU53" s="75">
        <f>OU51-OU52</f>
        <v/>
      </c>
      <c r="OV53" s="130" t="n"/>
      <c r="OW53" s="75">
        <f>OW51-OW52</f>
        <v/>
      </c>
      <c r="OX53" s="75">
        <f>OX51-OX52</f>
        <v/>
      </c>
      <c r="OY53" s="75">
        <f>OY51-OY52</f>
        <v/>
      </c>
      <c r="OZ53" s="75">
        <f>OZ51-OZ52</f>
        <v/>
      </c>
      <c r="PA53" s="75">
        <f>PA51-PA52</f>
        <v/>
      </c>
      <c r="PB53" s="75">
        <f>PB51-PB52</f>
        <v/>
      </c>
      <c r="PC53" s="75">
        <f>PC51-PC52</f>
        <v/>
      </c>
      <c r="PD53" s="75">
        <f>PD51-PD52</f>
        <v/>
      </c>
      <c r="PE53" s="75">
        <f>PE51-PE52</f>
        <v/>
      </c>
      <c r="PF53" s="75">
        <f>PF51-PF52</f>
        <v/>
      </c>
      <c r="PG53" s="75">
        <f>PG51-PG52</f>
        <v/>
      </c>
      <c r="PH53" s="75">
        <f>PH51-PH52</f>
        <v/>
      </c>
      <c r="PI53" s="75">
        <f>PI51-PI52</f>
        <v/>
      </c>
      <c r="PJ53" s="75">
        <f>PJ51-PJ52</f>
        <v/>
      </c>
      <c r="PK53" s="75">
        <f>PK51-PK52</f>
        <v/>
      </c>
      <c r="PL53" s="75">
        <f>PL51-PL52</f>
        <v/>
      </c>
      <c r="PM53" s="75">
        <f>PM51-PM52</f>
        <v/>
      </c>
      <c r="PN53" s="75">
        <f>PN51-PN52</f>
        <v/>
      </c>
      <c r="PO53" s="75">
        <f>PO51-PO52</f>
        <v/>
      </c>
      <c r="PP53" s="75">
        <f>PP51-PP52</f>
        <v/>
      </c>
      <c r="PQ53" s="75">
        <f>PQ51-PQ52</f>
        <v/>
      </c>
      <c r="PR53" s="75">
        <f>PR51-PR52</f>
        <v/>
      </c>
      <c r="PS53" s="75">
        <f>PS51-PS52</f>
        <v/>
      </c>
      <c r="PT53" s="75">
        <f>PT51-PT52</f>
        <v/>
      </c>
      <c r="PU53" s="75">
        <f>PU51-PU52</f>
        <v/>
      </c>
      <c r="PV53" s="75">
        <f>PV51-PV52</f>
        <v/>
      </c>
      <c r="PW53" s="75">
        <f>PW51-PW52</f>
        <v/>
      </c>
      <c r="PX53" s="75">
        <f>PX51-PX52</f>
        <v/>
      </c>
      <c r="PY53" s="75">
        <f>PY51-PY52</f>
        <v/>
      </c>
      <c r="PZ53" s="75">
        <f>PZ51-PZ52</f>
        <v/>
      </c>
      <c r="QA53" s="130" t="n"/>
      <c r="QB53" s="75">
        <f>QB51-QB52</f>
        <v/>
      </c>
      <c r="QC53" s="75">
        <f>QC51-QC52</f>
        <v/>
      </c>
      <c r="QD53" s="75">
        <f>QD51-QD52</f>
        <v/>
      </c>
      <c r="QE53" s="75">
        <f>QE51-QE52</f>
        <v/>
      </c>
      <c r="QF53" s="75">
        <f>QF51-QF52</f>
        <v/>
      </c>
      <c r="QG53" s="75">
        <f>QG51-QG52</f>
        <v/>
      </c>
      <c r="QH53" s="75">
        <f>QH51-QH52</f>
        <v/>
      </c>
      <c r="QI53" s="75">
        <f>QI51-QI52</f>
        <v/>
      </c>
      <c r="QJ53" s="75">
        <f>QJ51-QJ52</f>
        <v/>
      </c>
      <c r="QK53" s="75">
        <f>QK51-QK52</f>
        <v/>
      </c>
      <c r="QL53" s="75">
        <f>QL51-QL52</f>
        <v/>
      </c>
      <c r="QM53" s="75">
        <f>QM51-QM52</f>
        <v/>
      </c>
      <c r="QN53" s="75">
        <f>QN51-QN52</f>
        <v/>
      </c>
      <c r="QO53" s="75">
        <f>QO51-QO52</f>
        <v/>
      </c>
      <c r="QP53" s="75">
        <f>QP51-QP52</f>
        <v/>
      </c>
      <c r="QQ53" s="75">
        <f>QQ51-QQ52</f>
        <v/>
      </c>
      <c r="QR53" s="75">
        <f>QR51-QR52</f>
        <v/>
      </c>
      <c r="QS53" s="75">
        <f>QS51-QS52</f>
        <v/>
      </c>
      <c r="QT53" s="75">
        <f>QT51-QT52</f>
        <v/>
      </c>
      <c r="QU53" s="75">
        <f>QU51-QU52</f>
        <v/>
      </c>
      <c r="QV53" s="75">
        <f>QV51-QV52</f>
        <v/>
      </c>
      <c r="QW53" s="75">
        <f>QW51-QW52</f>
        <v/>
      </c>
      <c r="QX53" s="75">
        <f>QX51-QX52</f>
        <v/>
      </c>
      <c r="QY53" s="75">
        <f>QY51-QY52</f>
        <v/>
      </c>
      <c r="QZ53" s="75">
        <f>QZ51-QZ52</f>
        <v/>
      </c>
      <c r="RA53" s="75">
        <f>RA51-RA52</f>
        <v/>
      </c>
      <c r="RB53" s="75">
        <f>RB51-RB52</f>
        <v/>
      </c>
      <c r="RC53" s="75">
        <f>RC51-RC52</f>
        <v/>
      </c>
      <c r="RD53" s="75">
        <f>RD51-RD52</f>
        <v/>
      </c>
      <c r="RE53" s="75">
        <f>RE51-RE52</f>
        <v/>
      </c>
      <c r="RF53" s="75">
        <f>RF51-RF52</f>
        <v/>
      </c>
      <c r="RG53" s="130" t="n"/>
      <c r="RH53" s="75">
        <f>RH51-RH52</f>
        <v/>
      </c>
      <c r="RI53" s="75">
        <f>RI51-RI52</f>
        <v/>
      </c>
      <c r="RJ53" s="75">
        <f>RJ51-RJ52</f>
        <v/>
      </c>
      <c r="RK53" s="75">
        <f>RK51-RK52</f>
        <v/>
      </c>
      <c r="RL53" s="75">
        <f>RL51-RL52</f>
        <v/>
      </c>
      <c r="RM53" s="75">
        <f>RM51-RM52</f>
        <v/>
      </c>
      <c r="RN53" s="75">
        <f>RN51-RN52</f>
        <v/>
      </c>
      <c r="RO53" s="75">
        <f>RO51-RO52</f>
        <v/>
      </c>
      <c r="RP53" s="75">
        <f>RP51-RP52</f>
        <v/>
      </c>
      <c r="RQ53" s="75">
        <f>RQ51-RQ52</f>
        <v/>
      </c>
      <c r="RR53" s="75">
        <f>RR51-RR52</f>
        <v/>
      </c>
      <c r="RS53" s="75">
        <f>RS51-RS52</f>
        <v/>
      </c>
      <c r="RT53" s="75">
        <f>RT51-RT52</f>
        <v/>
      </c>
      <c r="RU53" s="75">
        <f>RU51-RU52</f>
        <v/>
      </c>
      <c r="RV53" s="75">
        <f>RV51-RV52</f>
        <v/>
      </c>
      <c r="RW53" s="75">
        <f>RW51-RW52</f>
        <v/>
      </c>
      <c r="RX53" s="75">
        <f>RX51-RX52</f>
        <v/>
      </c>
      <c r="RY53" s="75">
        <f>RY51-RY52</f>
        <v/>
      </c>
      <c r="RZ53" s="75">
        <f>RZ51-RZ52</f>
        <v/>
      </c>
      <c r="SA53" s="75">
        <f>SA51-SA52</f>
        <v/>
      </c>
      <c r="SB53" s="75">
        <f>SB51-SB52</f>
        <v/>
      </c>
      <c r="SC53" s="75">
        <f>SC51-SC52</f>
        <v/>
      </c>
      <c r="SD53" s="75">
        <f>SD51-SD52</f>
        <v/>
      </c>
      <c r="SE53" s="75">
        <f>SE51-SE52</f>
        <v/>
      </c>
      <c r="SF53" s="75">
        <f>SF51-SF52</f>
        <v/>
      </c>
      <c r="SG53" s="75">
        <f>SG51-SG52</f>
        <v/>
      </c>
      <c r="SH53" s="75">
        <f>SH51-SH52</f>
        <v/>
      </c>
      <c r="SI53" s="75">
        <f>SI51-SI52</f>
        <v/>
      </c>
      <c r="SJ53" s="75">
        <f>SJ51-SJ52</f>
        <v/>
      </c>
      <c r="SK53" s="75">
        <f>SK51-SK52</f>
        <v/>
      </c>
      <c r="SL53" s="130" t="n"/>
      <c r="SM53" s="75">
        <f>SM51-SM52</f>
        <v/>
      </c>
      <c r="SN53" s="75">
        <f>SN51-SN52</f>
        <v/>
      </c>
      <c r="SO53" s="75">
        <f>SO51-SO52</f>
        <v/>
      </c>
      <c r="SP53" s="75">
        <f>SP51-SP52</f>
        <v/>
      </c>
      <c r="SQ53" s="75">
        <f>SQ51-SQ52</f>
        <v/>
      </c>
      <c r="SR53" s="75">
        <f>SR51-SR52</f>
        <v/>
      </c>
      <c r="SS53" s="75">
        <f>SS51-SS52</f>
        <v/>
      </c>
      <c r="ST53" s="75">
        <f>ST51-ST52</f>
        <v/>
      </c>
      <c r="SU53" s="75">
        <f>SU51-SU52</f>
        <v/>
      </c>
      <c r="SV53" s="75">
        <f>SV51-SV52</f>
        <v/>
      </c>
      <c r="SW53" s="75">
        <f>SW51-SW52</f>
        <v/>
      </c>
      <c r="SX53" s="75">
        <f>SX51-SX52</f>
        <v/>
      </c>
      <c r="SY53" s="75">
        <f>SY51-SY52</f>
        <v/>
      </c>
      <c r="SZ53" s="75">
        <f>SZ51-SZ52</f>
        <v/>
      </c>
      <c r="TA53" s="75">
        <f>TA51-TA52</f>
        <v/>
      </c>
      <c r="TB53" s="75">
        <f>TB51-TB52</f>
        <v/>
      </c>
      <c r="TC53" s="75">
        <f>TC51-TC52</f>
        <v/>
      </c>
      <c r="TD53" s="75">
        <f>TD51-TD52</f>
        <v/>
      </c>
      <c r="TE53" s="75">
        <f>TE51-TE52</f>
        <v/>
      </c>
      <c r="TF53" s="75">
        <f>TF51-TF52</f>
        <v/>
      </c>
      <c r="TG53" s="75">
        <f>TG51-TG52</f>
        <v/>
      </c>
      <c r="TH53" s="75">
        <f>TH51-TH52</f>
        <v/>
      </c>
      <c r="TI53" s="75">
        <f>TI51-TI52</f>
        <v/>
      </c>
      <c r="TJ53" s="75">
        <f>TJ51-TJ52</f>
        <v/>
      </c>
      <c r="TK53" s="75">
        <f>TK51-TK52</f>
        <v/>
      </c>
      <c r="TL53" s="75">
        <f>TL51-TL52</f>
        <v/>
      </c>
      <c r="TM53" s="75">
        <f>TM51-TM52</f>
        <v/>
      </c>
      <c r="TN53" s="75">
        <f>TN51-TN52</f>
        <v/>
      </c>
      <c r="TO53" s="75">
        <f>TO51-TO52</f>
        <v/>
      </c>
      <c r="TP53" s="75">
        <f>TP51-TP52</f>
        <v/>
      </c>
      <c r="TQ53" s="75">
        <f>TQ51-TQ52</f>
        <v/>
      </c>
      <c r="TR53" s="130" t="n"/>
      <c r="TS53" s="75">
        <f>TS51-TS52</f>
        <v/>
      </c>
      <c r="TT53" s="75">
        <f>TT51-TT52</f>
        <v/>
      </c>
      <c r="TU53" s="75">
        <f>TU51-TU52</f>
        <v/>
      </c>
      <c r="TV53" s="75">
        <f>TV51-TV52</f>
        <v/>
      </c>
      <c r="TW53" s="75">
        <f>TW51-TW52</f>
        <v/>
      </c>
      <c r="TX53" s="75">
        <f>TX51-TX52</f>
        <v/>
      </c>
      <c r="TY53" s="75">
        <f>TY51-TY52</f>
        <v/>
      </c>
      <c r="TZ53" s="75">
        <f>TZ51-TZ52</f>
        <v/>
      </c>
      <c r="UA53" s="75">
        <f>UA51-UA52</f>
        <v/>
      </c>
      <c r="UB53" s="75">
        <f>UB51-UB52</f>
        <v/>
      </c>
      <c r="UC53" s="75">
        <f>UC51-UC52</f>
        <v/>
      </c>
      <c r="UD53" s="75">
        <f>UD51-UD52</f>
        <v/>
      </c>
      <c r="UE53" s="75">
        <f>UE51-UE52</f>
        <v/>
      </c>
      <c r="UF53" s="75">
        <f>UF51-UF52</f>
        <v/>
      </c>
      <c r="UG53" s="75">
        <f>UG51-UG52</f>
        <v/>
      </c>
      <c r="UH53" s="75">
        <f>UH51-UH52</f>
        <v/>
      </c>
      <c r="UI53" s="75">
        <f>UI51-UI52</f>
        <v/>
      </c>
      <c r="UJ53" s="75">
        <f>UJ51-UJ52</f>
        <v/>
      </c>
      <c r="UK53" s="75">
        <f>UK51-UK52</f>
        <v/>
      </c>
      <c r="UL53" s="75">
        <f>UL51-UL52</f>
        <v/>
      </c>
      <c r="UM53" s="75">
        <f>UM51-UM52</f>
        <v/>
      </c>
      <c r="UN53" s="75">
        <f>UN51-UN52</f>
        <v/>
      </c>
      <c r="UO53" s="75">
        <f>UO51-UO52</f>
        <v/>
      </c>
      <c r="UP53" s="75">
        <f>UP51-UP52</f>
        <v/>
      </c>
      <c r="UQ53" s="75">
        <f>UQ51-UQ52</f>
        <v/>
      </c>
      <c r="UR53" s="75">
        <f>UR51-UR52</f>
        <v/>
      </c>
      <c r="US53" s="75">
        <f>US51-US52</f>
        <v/>
      </c>
      <c r="UT53" s="75">
        <f>UT51-UT52</f>
        <v/>
      </c>
      <c r="UU53" s="75">
        <f>UU51-UU52</f>
        <v/>
      </c>
      <c r="UV53" s="75">
        <f>UV51-UV52</f>
        <v/>
      </c>
      <c r="UW53" s="75">
        <f>UW51-UW52</f>
        <v/>
      </c>
      <c r="UX53" s="130" t="n"/>
      <c r="UY53" s="75">
        <f>UY51-UY52</f>
        <v/>
      </c>
      <c r="UZ53" s="75">
        <f>UZ51-UZ52</f>
        <v/>
      </c>
      <c r="VA53" s="75">
        <f>VA51-VA52</f>
        <v/>
      </c>
      <c r="VB53" s="75">
        <f>VB51-VB52</f>
        <v/>
      </c>
      <c r="VC53" s="75">
        <f>VC51-VC52</f>
        <v/>
      </c>
      <c r="VD53" s="75">
        <f>VD51-VD52</f>
        <v/>
      </c>
      <c r="VE53" s="75">
        <f>VE51-VE52</f>
        <v/>
      </c>
      <c r="VF53" s="75">
        <f>VF51-VF52</f>
        <v/>
      </c>
      <c r="VG53" s="75">
        <f>VG51-VG52</f>
        <v/>
      </c>
      <c r="VH53" s="75">
        <f>VH51-VH52</f>
        <v/>
      </c>
      <c r="VI53" s="75">
        <f>VI51-VI52</f>
        <v/>
      </c>
      <c r="VJ53" s="75">
        <f>VJ51-VJ52</f>
        <v/>
      </c>
      <c r="VK53" s="75">
        <f>VK51-VK52</f>
        <v/>
      </c>
      <c r="VL53" s="75">
        <f>VL51-VL52</f>
        <v/>
      </c>
      <c r="VM53" s="75">
        <f>VM51-VM52</f>
        <v/>
      </c>
      <c r="VN53" s="75">
        <f>VN51-VN52</f>
        <v/>
      </c>
      <c r="VO53" s="75">
        <f>VO51-VO52</f>
        <v/>
      </c>
      <c r="VP53" s="75">
        <f>VP51-VP52</f>
        <v/>
      </c>
      <c r="VQ53" s="75">
        <f>VQ51-VQ52</f>
        <v/>
      </c>
      <c r="VR53" s="75">
        <f>VR51-VR52</f>
        <v/>
      </c>
      <c r="VS53" s="75">
        <f>VS51-VS52</f>
        <v/>
      </c>
      <c r="VT53" s="75">
        <f>VT51-VT52</f>
        <v/>
      </c>
      <c r="VU53" s="75">
        <f>VU51-VU52</f>
        <v/>
      </c>
      <c r="VV53" s="75">
        <f>VV51-VV52</f>
        <v/>
      </c>
      <c r="VW53" s="75">
        <f>VW51-VW52</f>
        <v/>
      </c>
      <c r="VX53" s="75">
        <f>VX51-VX52</f>
        <v/>
      </c>
      <c r="VY53" s="75">
        <f>VY51-VY52</f>
        <v/>
      </c>
      <c r="VZ53" s="75">
        <f>VZ51-VZ52</f>
        <v/>
      </c>
      <c r="WA53" s="143" t="n"/>
      <c r="WB53" s="75">
        <f>WB51-WB52</f>
        <v/>
      </c>
      <c r="WC53" s="75">
        <f>WC51-WC52</f>
        <v/>
      </c>
      <c r="WD53" s="75">
        <f>WD51-WD52</f>
        <v/>
      </c>
      <c r="WE53" s="75">
        <f>WE51-WE52</f>
        <v/>
      </c>
      <c r="WF53" s="75">
        <f>WF51-WF52</f>
        <v/>
      </c>
      <c r="WG53" s="75">
        <f>WG51-WG52</f>
        <v/>
      </c>
      <c r="WH53" s="75">
        <f>WH51-WH52</f>
        <v/>
      </c>
      <c r="WI53" s="75">
        <f>WI51-WI52</f>
        <v/>
      </c>
      <c r="WJ53" s="75">
        <f>WJ51-WJ52</f>
        <v/>
      </c>
      <c r="WK53" s="75">
        <f>WK51-WK52</f>
        <v/>
      </c>
      <c r="WL53" s="75">
        <f>WL51-WL52</f>
        <v/>
      </c>
      <c r="WM53" s="75">
        <f>WM51-WM52</f>
        <v/>
      </c>
      <c r="WN53" s="75">
        <f>WN51-WN52</f>
        <v/>
      </c>
      <c r="WO53" s="75">
        <f>WO51-WO52</f>
        <v/>
      </c>
      <c r="WP53" s="75">
        <f>WP51-WP52</f>
        <v/>
      </c>
      <c r="WQ53" s="75">
        <f>WQ51-WQ52</f>
        <v/>
      </c>
      <c r="WR53" s="75">
        <f>WR51-WR52</f>
        <v/>
      </c>
      <c r="WS53" s="75">
        <f>WS51-WS52</f>
        <v/>
      </c>
      <c r="WT53" s="75">
        <f>WT51-WT52</f>
        <v/>
      </c>
      <c r="WU53" s="75">
        <f>WU51-WU52</f>
        <v/>
      </c>
      <c r="WV53" s="75">
        <f>WV51-WV52</f>
        <v/>
      </c>
      <c r="WW53" s="75">
        <f>WW51-WW52</f>
        <v/>
      </c>
      <c r="WX53" s="75">
        <f>WX51-WX52</f>
        <v/>
      </c>
      <c r="WY53" s="75">
        <f>WY51-WY52</f>
        <v/>
      </c>
      <c r="WZ53" s="75">
        <f>WZ51-WZ52</f>
        <v/>
      </c>
      <c r="XA53" s="75">
        <f>XA51-XA52</f>
        <v/>
      </c>
      <c r="XB53" s="75">
        <f>XB51-XB52</f>
        <v/>
      </c>
      <c r="XC53" s="75">
        <f>XC51-XC52</f>
        <v/>
      </c>
      <c r="XD53" s="75">
        <f>XD51-XD52</f>
        <v/>
      </c>
      <c r="XE53" s="75">
        <f>XE51-XE52</f>
        <v/>
      </c>
      <c r="XF53" s="75">
        <f>XF51-XF52</f>
        <v/>
      </c>
      <c r="XG53" s="143" t="n"/>
      <c r="XH53" s="75">
        <f>XH51-XH52</f>
        <v/>
      </c>
      <c r="XI53" s="75">
        <f>XI51-XI52</f>
        <v/>
      </c>
      <c r="XJ53" s="75">
        <f>XJ51-XJ52</f>
        <v/>
      </c>
      <c r="XK53" s="75">
        <f>XK51-XK52</f>
        <v/>
      </c>
      <c r="XL53" s="75">
        <f>XL51-XL52</f>
        <v/>
      </c>
      <c r="XM53" s="75">
        <f>XM51-XM52</f>
        <v/>
      </c>
      <c r="XN53" s="75">
        <f>XN51-XN52</f>
        <v/>
      </c>
      <c r="XO53" s="75">
        <f>XO51-XO52</f>
        <v/>
      </c>
      <c r="XP53" s="75">
        <f>XP51-XP52</f>
        <v/>
      </c>
      <c r="XQ53" s="75">
        <f>XQ51-XQ52</f>
        <v/>
      </c>
      <c r="XR53" s="75">
        <f>XR51-XR52</f>
        <v/>
      </c>
      <c r="XS53" s="75">
        <f>XS51-XS52</f>
        <v/>
      </c>
      <c r="XT53" s="75">
        <f>XT51-XT52</f>
        <v/>
      </c>
      <c r="XU53" s="75">
        <f>XU51-XU52</f>
        <v/>
      </c>
      <c r="XV53" s="75">
        <f>XV51-XV52</f>
        <v/>
      </c>
      <c r="XW53" s="75">
        <f>XW51-XW52</f>
        <v/>
      </c>
      <c r="XX53" s="75">
        <f>XX51-XX52</f>
        <v/>
      </c>
      <c r="XY53" s="75">
        <f>XY51-XY52</f>
        <v/>
      </c>
      <c r="XZ53" s="75">
        <f>XZ51-XZ52</f>
        <v/>
      </c>
      <c r="YA53" s="75">
        <f>YA51-YA52</f>
        <v/>
      </c>
      <c r="YB53" s="75">
        <f>YB51-YB52</f>
        <v/>
      </c>
      <c r="YC53" s="75">
        <f>YC51-YC52</f>
        <v/>
      </c>
      <c r="YD53" s="75">
        <f>YD51-YD52</f>
        <v/>
      </c>
      <c r="YE53" s="75">
        <f>YE51-YE52</f>
        <v/>
      </c>
      <c r="YF53" s="75">
        <f>YF51-YF52</f>
        <v/>
      </c>
      <c r="YG53" s="75">
        <f>YG51-YG52</f>
        <v/>
      </c>
      <c r="YH53" s="75">
        <f>YH51-YH52</f>
        <v/>
      </c>
      <c r="YI53" s="75">
        <f>YI51-YI52</f>
        <v/>
      </c>
      <c r="YJ53" s="75">
        <f>YJ51-YJ52</f>
        <v/>
      </c>
      <c r="YK53" s="75">
        <f>YK51-YK52</f>
        <v/>
      </c>
      <c r="YL53" s="130" t="n"/>
      <c r="YM53" s="75">
        <f>YM51-YM52</f>
        <v/>
      </c>
      <c r="YN53" s="75">
        <f>YN51-YN52</f>
        <v/>
      </c>
      <c r="YO53" s="75">
        <f>YO51-YO52</f>
        <v/>
      </c>
      <c r="YP53" s="75">
        <f>YP51-YP52</f>
        <v/>
      </c>
      <c r="YQ53" s="75">
        <f>YQ51-YQ52</f>
        <v/>
      </c>
      <c r="YR53" s="75">
        <f>YR51-YR52</f>
        <v/>
      </c>
      <c r="YS53" s="75">
        <f>YS51-YS52</f>
        <v/>
      </c>
      <c r="YT53" s="75">
        <f>YT51-YT52</f>
        <v/>
      </c>
      <c r="YU53" s="75">
        <f>YU51-YU52</f>
        <v/>
      </c>
      <c r="YV53" s="75">
        <f>YV51-YV52</f>
        <v/>
      </c>
      <c r="YW53" s="75">
        <f>YW51-YW52</f>
        <v/>
      </c>
      <c r="YX53" s="75">
        <f>YX51-YX52</f>
        <v/>
      </c>
      <c r="YY53" s="75">
        <f>YY51-YY52</f>
        <v/>
      </c>
      <c r="YZ53" s="75">
        <f>YZ51-YZ52</f>
        <v/>
      </c>
      <c r="ZA53" s="75">
        <f>ZA51-ZA52</f>
        <v/>
      </c>
      <c r="ZB53" s="75">
        <f>ZB51-ZB52</f>
        <v/>
      </c>
      <c r="ZC53" s="75">
        <f>ZC51-ZC52</f>
        <v/>
      </c>
      <c r="ZD53" s="75">
        <f>ZD51-ZD52</f>
        <v/>
      </c>
      <c r="ZE53" s="75">
        <f>ZE51-ZE52</f>
        <v/>
      </c>
      <c r="ZF53" s="75">
        <f>ZF51-ZF52</f>
        <v/>
      </c>
      <c r="ZG53" s="75">
        <f>ZG51-ZG52</f>
        <v/>
      </c>
      <c r="ZH53" s="75">
        <f>ZH51-ZH52</f>
        <v/>
      </c>
      <c r="ZI53" s="75">
        <f>ZI51-ZI52</f>
        <v/>
      </c>
      <c r="ZJ53" s="75">
        <f>ZJ51-ZJ52</f>
        <v/>
      </c>
      <c r="ZK53" s="75">
        <f>ZK51-ZK52</f>
        <v/>
      </c>
      <c r="ZL53" s="75">
        <f>ZL51-ZL52</f>
        <v/>
      </c>
      <c r="ZM53" s="75">
        <f>ZM51-ZM52</f>
        <v/>
      </c>
      <c r="ZN53" s="75">
        <f>ZN51-ZN52</f>
        <v/>
      </c>
      <c r="ZO53" s="75">
        <f>ZO51-ZO52</f>
        <v/>
      </c>
      <c r="ZP53" s="75">
        <f>ZP51-ZP52</f>
        <v/>
      </c>
      <c r="ZQ53" s="75">
        <f>ZQ51-ZQ52</f>
        <v/>
      </c>
      <c r="ZR53" s="130" t="n"/>
      <c r="ZS53" s="75">
        <f>ZS51-ZS52</f>
        <v/>
      </c>
      <c r="ZT53" s="75">
        <f>ZT51-ZT52</f>
        <v/>
      </c>
      <c r="ZU53" s="75">
        <f>ZU51-ZU52</f>
        <v/>
      </c>
      <c r="ZV53" s="75">
        <f>ZV51-ZV52</f>
        <v/>
      </c>
      <c r="ZW53" s="75">
        <f>ZW51-ZW52</f>
        <v/>
      </c>
      <c r="ZX53" s="75">
        <f>ZX51-ZX52</f>
        <v/>
      </c>
      <c r="ZY53" s="75">
        <f>ZY51-ZY52</f>
        <v/>
      </c>
      <c r="ZZ53" s="75">
        <f>ZZ51-ZZ52</f>
        <v/>
      </c>
      <c r="AAA53" s="75">
        <f>AAA51-AAA52</f>
        <v/>
      </c>
      <c r="AAB53" s="75">
        <f>AAB51-AAB52</f>
        <v/>
      </c>
      <c r="AAC53" s="75">
        <f>AAC51-AAC52</f>
        <v/>
      </c>
      <c r="AAD53" s="75">
        <f>AAD51-AAD52</f>
        <v/>
      </c>
      <c r="AAE53" s="75">
        <f>AAE51-AAE52</f>
        <v/>
      </c>
      <c r="AAF53" s="75">
        <f>AAF51-AAF52</f>
        <v/>
      </c>
      <c r="AAG53" s="75">
        <f>AAG51-AAG52</f>
        <v/>
      </c>
      <c r="AAH53" s="75">
        <f>AAH51-AAH52</f>
        <v/>
      </c>
      <c r="AAI53" s="75">
        <f>AAI51-AAI52</f>
        <v/>
      </c>
      <c r="AAJ53" s="75">
        <f>AAJ51-AAJ52</f>
        <v/>
      </c>
      <c r="AAK53" s="75">
        <f>AAK51-AAK52</f>
        <v/>
      </c>
      <c r="AAL53" s="75">
        <f>AAL51-AAL52</f>
        <v/>
      </c>
      <c r="AAM53" s="75">
        <f>AAM51-AAM52</f>
        <v/>
      </c>
      <c r="AAN53" s="75">
        <f>AAN51-AAN52</f>
        <v/>
      </c>
      <c r="AAO53" s="75">
        <f>AAO51-AAO52</f>
        <v/>
      </c>
      <c r="AAP53" s="75">
        <f>AAP51-AAP52</f>
        <v/>
      </c>
      <c r="AAQ53" s="75">
        <f>AAQ51-AAQ52</f>
        <v/>
      </c>
      <c r="AAR53" s="75">
        <f>AAR51-AAR52</f>
        <v/>
      </c>
      <c r="AAS53" s="75">
        <f>AAS51-AAS52</f>
        <v/>
      </c>
      <c r="AAT53" s="75">
        <f>AAT51-AAT52</f>
        <v/>
      </c>
      <c r="AAU53" s="75">
        <f>AAU51-AAU52</f>
        <v/>
      </c>
      <c r="AAV53" s="75">
        <f>AAV51-AAV52</f>
        <v/>
      </c>
      <c r="AAW53" s="130" t="n"/>
      <c r="AAX53" s="75">
        <f>AAX51-AAX52</f>
        <v/>
      </c>
      <c r="AAY53" s="75">
        <f>AAY51-AAY52</f>
        <v/>
      </c>
      <c r="AAZ53" s="75">
        <f>AAZ51-AAZ52</f>
        <v/>
      </c>
      <c r="ABA53" s="75">
        <f>ABA51-ABA52</f>
        <v/>
      </c>
      <c r="ABB53" s="75">
        <f>ABB51-ABB52</f>
        <v/>
      </c>
      <c r="ABC53" s="75">
        <f>ABC51-ABC52</f>
        <v/>
      </c>
      <c r="ABD53" s="75">
        <f>ABD51-ABD52</f>
        <v/>
      </c>
      <c r="ABE53" s="75">
        <f>ABE51-ABE52</f>
        <v/>
      </c>
      <c r="ABF53" s="75">
        <f>ABF51-ABF52</f>
        <v/>
      </c>
      <c r="ABG53" s="75">
        <f>ABG51-ABG52</f>
        <v/>
      </c>
      <c r="ABH53" s="75">
        <f>ABH51-ABH52</f>
        <v/>
      </c>
      <c r="ABI53" s="75">
        <f>ABI51-ABI52</f>
        <v/>
      </c>
      <c r="ABJ53" s="75">
        <f>ABJ51-ABJ52</f>
        <v/>
      </c>
      <c r="ABK53" s="75">
        <f>ABK51-ABK52</f>
        <v/>
      </c>
      <c r="ABL53" s="75">
        <f>ABL51-ABL52</f>
        <v/>
      </c>
      <c r="ABM53" s="75">
        <f>ABM51-ABM52</f>
        <v/>
      </c>
      <c r="ABN53" s="75">
        <f>ABN51-ABN52</f>
        <v/>
      </c>
      <c r="ABO53" s="75">
        <f>ABO51-ABO52</f>
        <v/>
      </c>
      <c r="ABP53" s="75">
        <f>ABP51-ABP52</f>
        <v/>
      </c>
      <c r="ABQ53" s="75">
        <f>ABQ51-ABQ52</f>
        <v/>
      </c>
      <c r="ABR53" s="75">
        <f>ABR51-ABR52</f>
        <v/>
      </c>
      <c r="ABS53" s="75">
        <f>ABS51-ABS52</f>
        <v/>
      </c>
      <c r="ABT53" s="75">
        <f>ABT51-ABT52</f>
        <v/>
      </c>
      <c r="ABU53" s="75">
        <f>ABU51-ABU52</f>
        <v/>
      </c>
      <c r="ABV53" s="75">
        <f>ABV51-ABV52</f>
        <v/>
      </c>
      <c r="ABW53" s="75">
        <f>ABW51-ABW52</f>
        <v/>
      </c>
      <c r="ABX53" s="75">
        <f>ABX51-ABX52</f>
        <v/>
      </c>
      <c r="ABY53" s="75">
        <f>ABY51-ABY52</f>
        <v/>
      </c>
      <c r="ABZ53" s="75">
        <f>ABZ51-ABZ52</f>
        <v/>
      </c>
      <c r="ACA53" s="75">
        <f>ACA51-ACA52</f>
        <v/>
      </c>
      <c r="ACB53" s="75">
        <f>ACB51-ACB52</f>
        <v/>
      </c>
      <c r="ACC53" s="130" t="n"/>
      <c r="ACD53" s="75">
        <f>ACD51-ACD52</f>
        <v/>
      </c>
      <c r="ACE53" s="75">
        <f>ACE51-ACE52</f>
        <v/>
      </c>
      <c r="ACF53" s="75">
        <f>ACF51-ACF52</f>
        <v/>
      </c>
      <c r="ACG53" s="75">
        <f>ACG51-ACG52</f>
        <v/>
      </c>
      <c r="ACH53" s="75">
        <f>ACH51-ACH52</f>
        <v/>
      </c>
      <c r="ACI53" s="75">
        <f>ACI51-ACI52</f>
        <v/>
      </c>
      <c r="ACJ53" s="75">
        <f>ACJ51-ACJ52</f>
        <v/>
      </c>
      <c r="ACK53" s="75">
        <f>ACK51-ACK52</f>
        <v/>
      </c>
      <c r="ACL53" s="75">
        <f>ACL51-ACL52</f>
        <v/>
      </c>
      <c r="ACM53" s="75">
        <f>ACM51-ACM52</f>
        <v/>
      </c>
      <c r="ACN53" s="75">
        <f>ACN51-ACN52</f>
        <v/>
      </c>
      <c r="ACO53" s="75">
        <f>ACO51-ACO52</f>
        <v/>
      </c>
      <c r="ACP53" s="75">
        <f>ACP51-ACP52</f>
        <v/>
      </c>
      <c r="ACQ53" s="75">
        <f>ACQ51-ACQ52</f>
        <v/>
      </c>
      <c r="ACR53" s="75">
        <f>ACR51-ACR52</f>
        <v/>
      </c>
      <c r="ACS53" s="75">
        <f>ACS51-ACS52</f>
        <v/>
      </c>
      <c r="ACT53" s="75">
        <f>ACT51-ACT52</f>
        <v/>
      </c>
      <c r="ACU53" s="75">
        <f>ACU51-ACU52</f>
        <v/>
      </c>
      <c r="ACV53" s="75">
        <f>ACV51-ACV52</f>
        <v/>
      </c>
      <c r="ACW53" s="75">
        <f>ACW51-ACW52</f>
        <v/>
      </c>
      <c r="ACX53" s="75">
        <f>ACX51-ACX52</f>
        <v/>
      </c>
      <c r="ACY53" s="75">
        <f>ACY51-ACY52</f>
        <v/>
      </c>
      <c r="ACZ53" s="75">
        <f>ACZ51-ACZ52</f>
        <v/>
      </c>
      <c r="ADA53" s="75">
        <f>ADA51-ADA52</f>
        <v/>
      </c>
      <c r="ADB53" s="75">
        <f>ADB51-ADB52</f>
        <v/>
      </c>
      <c r="ADC53" s="75">
        <f>ADC51-ADC52</f>
        <v/>
      </c>
      <c r="ADD53" s="75">
        <f>ADD51-ADD52</f>
        <v/>
      </c>
      <c r="ADE53" s="75">
        <f>ADE51-ADE52</f>
        <v/>
      </c>
      <c r="ADF53" s="75">
        <f>ADF51-ADF52</f>
        <v/>
      </c>
      <c r="ADG53" s="75">
        <f>ADG51-ADG52</f>
        <v/>
      </c>
      <c r="ADH53" s="75">
        <f>ADH51-ADH52</f>
        <v/>
      </c>
      <c r="ADI53" s="130" t="n"/>
      <c r="ADJ53" s="75">
        <f>ADJ51-ADJ52</f>
        <v/>
      </c>
      <c r="ADK53" s="75">
        <f>ADK51-ADK52</f>
        <v/>
      </c>
      <c r="ADL53" s="75">
        <f>ADL51-ADL52</f>
        <v/>
      </c>
      <c r="ADM53" s="75">
        <f>ADM51-ADM52</f>
        <v/>
      </c>
      <c r="ADN53" s="75">
        <f>ADN51-ADN52</f>
        <v/>
      </c>
      <c r="ADO53" s="75">
        <f>ADO51-ADO52</f>
        <v/>
      </c>
      <c r="ADP53" s="75">
        <f>ADP51-ADP52</f>
        <v/>
      </c>
      <c r="ADQ53" s="75">
        <f>ADQ51-ADQ52</f>
        <v/>
      </c>
      <c r="ADR53" s="75">
        <f>ADR51-ADR52</f>
        <v/>
      </c>
      <c r="ADS53" s="75">
        <f>ADS51-ADS52</f>
        <v/>
      </c>
      <c r="ADT53" s="75">
        <f>ADT51-ADT52</f>
        <v/>
      </c>
      <c r="ADU53" s="75">
        <f>ADU51-ADU52</f>
        <v/>
      </c>
      <c r="ADV53" s="75">
        <f>ADV51-ADV52</f>
        <v/>
      </c>
      <c r="ADW53" s="75">
        <f>ADW51-ADW52</f>
        <v/>
      </c>
      <c r="ADX53" s="75">
        <f>ADX51-ADX52</f>
        <v/>
      </c>
      <c r="ADY53" s="75">
        <f>ADY51-ADY52</f>
        <v/>
      </c>
      <c r="ADZ53" s="75">
        <f>ADZ51-ADZ52</f>
        <v/>
      </c>
      <c r="AEA53" s="75">
        <f>AEA51-AEA52</f>
        <v/>
      </c>
      <c r="AEB53" s="75">
        <f>AEB51-AEB52</f>
        <v/>
      </c>
      <c r="AEC53" s="75">
        <f>AEC51-AEC52</f>
        <v/>
      </c>
      <c r="AED53" s="75">
        <f>AED51-AED52</f>
        <v/>
      </c>
      <c r="AEE53" s="75">
        <f>AEE51-AEE52</f>
        <v/>
      </c>
      <c r="AEF53" s="75">
        <f>AEF51-AEF52</f>
        <v/>
      </c>
      <c r="AEG53" s="75">
        <f>AEG51-AEG52</f>
        <v/>
      </c>
      <c r="AEH53" s="75">
        <f>AEH51-AEH52</f>
        <v/>
      </c>
      <c r="AEI53" s="75">
        <f>AEI51-AEI52</f>
        <v/>
      </c>
      <c r="AEJ53" s="75">
        <f>AEJ51-AEJ52</f>
        <v/>
      </c>
      <c r="AEK53" s="75">
        <f>AEK51-AEK52</f>
        <v/>
      </c>
      <c r="AEL53" s="75">
        <f>AEL51-AEL52</f>
        <v/>
      </c>
      <c r="AEM53" s="75">
        <f>AEM51-AEM52</f>
        <v/>
      </c>
      <c r="AEN53" s="130" t="n"/>
      <c r="AEO53" s="75">
        <f>AEO51-AEO52</f>
        <v/>
      </c>
      <c r="AEP53" s="75">
        <f>AEP51-AEP52</f>
        <v/>
      </c>
      <c r="AEQ53" s="75">
        <f>AEQ51-AEQ52</f>
        <v/>
      </c>
      <c r="AER53" s="75">
        <f>AER51-AER52</f>
        <v/>
      </c>
      <c r="AES53" s="75">
        <f>AES51-AES52</f>
        <v/>
      </c>
      <c r="AET53" s="75">
        <f>AET51-AET52</f>
        <v/>
      </c>
      <c r="AEU53" s="75">
        <f>AEU51-AEU52</f>
        <v/>
      </c>
      <c r="AEV53" s="75">
        <f>AEV51-AEV52</f>
        <v/>
      </c>
      <c r="AEW53" s="75">
        <f>AEW51-AEW52</f>
        <v/>
      </c>
      <c r="AEX53" s="75">
        <f>AEX51-AEX52</f>
        <v/>
      </c>
      <c r="AEY53" s="75">
        <f>AEY51-AEY52</f>
        <v/>
      </c>
      <c r="AEZ53" s="75">
        <f>AEZ51-AEZ52</f>
        <v/>
      </c>
      <c r="AFA53" s="75">
        <f>AFA51-AFA52</f>
        <v/>
      </c>
      <c r="AFB53" s="75">
        <f>AFB51-AFB52</f>
        <v/>
      </c>
      <c r="AFC53" s="75">
        <f>AFC51-AFC52</f>
        <v/>
      </c>
      <c r="AFD53" s="75">
        <f>AFD51-AFD52</f>
        <v/>
      </c>
      <c r="AFE53" s="75">
        <f>AFE51-AFE52</f>
        <v/>
      </c>
      <c r="AFF53" s="75">
        <f>AFF51-AFF52</f>
        <v/>
      </c>
      <c r="AFG53" s="75">
        <f>AFG51-AFG52</f>
        <v/>
      </c>
      <c r="AFH53" s="75">
        <f>AFH51-AFH52</f>
        <v/>
      </c>
      <c r="AFI53" s="75">
        <f>AFI51-AFI52</f>
        <v/>
      </c>
      <c r="AFJ53" s="75">
        <f>AFJ51-AFJ52</f>
        <v/>
      </c>
      <c r="AFK53" s="75">
        <f>AFK51-AFK52</f>
        <v/>
      </c>
      <c r="AFL53" s="75">
        <f>AFL51-AFL52</f>
        <v/>
      </c>
      <c r="AFM53" s="75">
        <f>AFM51-AFM52</f>
        <v/>
      </c>
      <c r="AFN53" s="75">
        <f>AFN51-AFN52</f>
        <v/>
      </c>
      <c r="AFO53" s="75">
        <f>AFO51-AFO52</f>
        <v/>
      </c>
      <c r="AFP53" s="75">
        <f>AFP51-AFP52</f>
        <v/>
      </c>
      <c r="AFQ53" s="75">
        <f>AFQ51-AFQ52</f>
        <v/>
      </c>
      <c r="AFR53" s="75">
        <f>AFR51-AFR52</f>
        <v/>
      </c>
      <c r="AFS53" s="75">
        <f>AFS51-AFS52</f>
        <v/>
      </c>
      <c r="AFT53" s="130" t="n"/>
      <c r="AFU53" s="75">
        <f>AFU51-AFU52</f>
        <v/>
      </c>
      <c r="AFV53" s="75">
        <f>AFV51-AFV52</f>
        <v/>
      </c>
      <c r="AFW53" s="75">
        <f>AFW51-AFW52</f>
        <v/>
      </c>
      <c r="AFX53" s="75">
        <f>AFX51-AFX52</f>
        <v/>
      </c>
      <c r="AFY53" s="75">
        <f>AFY51-AFY52</f>
        <v/>
      </c>
      <c r="AFZ53" s="75">
        <f>AFZ51-AFZ52</f>
        <v/>
      </c>
      <c r="AGA53" s="75">
        <f>AGA51-AGA52</f>
        <v/>
      </c>
      <c r="AGB53" s="75">
        <f>AGB51-AGB52</f>
        <v/>
      </c>
      <c r="AGC53" s="75">
        <f>AGC51-AGC52</f>
        <v/>
      </c>
      <c r="AGD53" s="75">
        <f>AGD51-AGD52</f>
        <v/>
      </c>
      <c r="AGE53" s="75">
        <f>AGE51-AGE52</f>
        <v/>
      </c>
      <c r="AGF53" s="75">
        <f>AGF51-AGF52</f>
        <v/>
      </c>
      <c r="AGG53" s="75">
        <f>AGG51-AGG52</f>
        <v/>
      </c>
      <c r="AGH53" s="75">
        <f>AGH51-AGH52</f>
        <v/>
      </c>
      <c r="AGI53" s="75">
        <f>AGI51-AGI52</f>
        <v/>
      </c>
      <c r="AGJ53" s="75">
        <f>AGJ51-AGJ52</f>
        <v/>
      </c>
      <c r="AGK53" s="75">
        <f>AGK51-AGK52</f>
        <v/>
      </c>
      <c r="AGL53" s="75">
        <f>AGL51-AGL52</f>
        <v/>
      </c>
      <c r="AGM53" s="75">
        <f>AGM51-AGM52</f>
        <v/>
      </c>
      <c r="AGN53" s="75">
        <f>AGN51-AGN52</f>
        <v/>
      </c>
      <c r="AGO53" s="75">
        <f>AGO51-AGO52</f>
        <v/>
      </c>
      <c r="AGP53" s="75">
        <f>AGP51-AGP52</f>
        <v/>
      </c>
      <c r="AGQ53" s="75">
        <f>AGQ51-AGQ52</f>
        <v/>
      </c>
      <c r="AGR53" s="75">
        <f>AGR51-AGR52</f>
        <v/>
      </c>
      <c r="AGS53" s="75">
        <f>AGS51-AGS52</f>
        <v/>
      </c>
      <c r="AGT53" s="75">
        <f>AGT51-AGT52</f>
        <v/>
      </c>
      <c r="AGU53" s="75">
        <f>AGU51-AGU52</f>
        <v/>
      </c>
      <c r="AGV53" s="75">
        <f>AGV51-AGV52</f>
        <v/>
      </c>
      <c r="AGW53" s="75">
        <f>AGW51-AGW52</f>
        <v/>
      </c>
      <c r="AGX53" s="75">
        <f>AGX51-AGX52</f>
        <v/>
      </c>
      <c r="AGY53" s="143" t="n"/>
      <c r="AGZ53" s="75">
        <f>AGZ51-AGZ52</f>
        <v/>
      </c>
      <c r="AHA53" s="75">
        <f>AHA51-AHA52</f>
        <v/>
      </c>
      <c r="AHB53" s="75">
        <f>AHB51-AHB52</f>
        <v/>
      </c>
      <c r="AHC53" s="75">
        <f>AHC51-AHC52</f>
        <v/>
      </c>
      <c r="AHD53" s="75">
        <f>AHD51-AHD52</f>
        <v/>
      </c>
      <c r="AHE53" s="75">
        <f>AHE51-AHE52</f>
        <v/>
      </c>
      <c r="AHF53" s="75">
        <f>AHF51-AHF52</f>
        <v/>
      </c>
      <c r="AHG53" s="75">
        <f>AHG51-AHG52</f>
        <v/>
      </c>
      <c r="AHH53" s="75">
        <f>AHH51-AHH52</f>
        <v/>
      </c>
      <c r="AHI53" s="75">
        <f>AHI51-AHI52</f>
        <v/>
      </c>
      <c r="AHJ53" s="75">
        <f>AHJ51-AHJ52</f>
        <v/>
      </c>
      <c r="AHK53" s="75">
        <f>AHK51-AHK52</f>
        <v/>
      </c>
      <c r="AHL53" s="75">
        <f>AHL51-AHL52</f>
        <v/>
      </c>
      <c r="AHM53" s="75">
        <f>AHM51-AHM52</f>
        <v/>
      </c>
      <c r="AHN53" s="75">
        <f>AHN51-AHN52</f>
        <v/>
      </c>
      <c r="AHO53" s="75">
        <f>AHO51-AHO52</f>
        <v/>
      </c>
      <c r="AHP53" s="75">
        <f>AHP51-AHP52</f>
        <v/>
      </c>
      <c r="AHQ53" s="75">
        <f>AHQ51-AHQ52</f>
        <v/>
      </c>
      <c r="AHR53" s="75">
        <f>AHR51-AHR52</f>
        <v/>
      </c>
      <c r="AHS53" s="75">
        <f>AHS51-AHS52</f>
        <v/>
      </c>
      <c r="AHT53" s="75">
        <f>AHT51-AHT52</f>
        <v/>
      </c>
      <c r="AHU53" s="75">
        <f>AHU51-AHU52</f>
        <v/>
      </c>
      <c r="AHV53" s="75">
        <f>AHV51-AHV52</f>
        <v/>
      </c>
      <c r="AHW53" s="75">
        <f>AHW51-AHW52</f>
        <v/>
      </c>
      <c r="AHX53" s="75">
        <f>AHX51-AHX52</f>
        <v/>
      </c>
      <c r="AHY53" s="75">
        <f>AHY51-AHY52</f>
        <v/>
      </c>
      <c r="AHZ53" s="75">
        <f>AHZ51-AHZ52</f>
        <v/>
      </c>
      <c r="AIA53" s="75">
        <f>AIA51-AIA52</f>
        <v/>
      </c>
      <c r="AIB53" s="75">
        <f>AIB51-AIB52</f>
        <v/>
      </c>
      <c r="AIC53" s="75">
        <f>AIC51-AIC52</f>
        <v/>
      </c>
      <c r="AID53" s="75">
        <f>AID51-AID52</f>
        <v/>
      </c>
      <c r="AIE53" s="130" t="n"/>
      <c r="AIF53" s="75">
        <f>AIF51-AIF52</f>
        <v/>
      </c>
      <c r="AIG53" s="75">
        <f>AIG51-AIG52</f>
        <v/>
      </c>
      <c r="AIH53" s="75">
        <f>AIH51-AIH52</f>
        <v/>
      </c>
      <c r="AII53" s="75">
        <f>AII51-AII52</f>
        <v/>
      </c>
      <c r="AIJ53" s="75">
        <f>AIJ51-AIJ52</f>
        <v/>
      </c>
      <c r="AIK53" s="75">
        <f>AIK51-AIK52</f>
        <v/>
      </c>
      <c r="AIL53" s="75">
        <f>AIL51-AIL52</f>
        <v/>
      </c>
      <c r="AIM53" s="75">
        <f>AIM51-AIM52</f>
        <v/>
      </c>
      <c r="AIN53" s="75">
        <f>AIN51-AIN52</f>
        <v/>
      </c>
      <c r="AIO53" s="75">
        <f>AIO51-AIO52</f>
        <v/>
      </c>
      <c r="AIP53" s="75">
        <f>AIP51-AIP52</f>
        <v/>
      </c>
      <c r="AIQ53" s="75">
        <f>AIQ51-AIQ52</f>
        <v/>
      </c>
      <c r="AIR53" s="75">
        <f>AIR51-AIR52</f>
        <v/>
      </c>
      <c r="AIS53" s="75">
        <f>AIS51-AIS52</f>
        <v/>
      </c>
      <c r="AIT53" s="75">
        <f>AIT51-AIT52</f>
        <v/>
      </c>
      <c r="AIU53" s="75">
        <f>AIU51-AIU52</f>
        <v/>
      </c>
      <c r="AIV53" s="75">
        <f>AIV51-AIV52</f>
        <v/>
      </c>
      <c r="AIW53" s="75">
        <f>AIW51-AIW52</f>
        <v/>
      </c>
      <c r="AIX53" s="75">
        <f>AIX51-AIX52</f>
        <v/>
      </c>
      <c r="AIY53" s="75">
        <f>AIY51-AIY52</f>
        <v/>
      </c>
      <c r="AIZ53" s="75">
        <f>AIZ51-AIZ52</f>
        <v/>
      </c>
      <c r="AJA53" s="75">
        <f>AJA51-AJA52</f>
        <v/>
      </c>
      <c r="AJB53" s="75">
        <f>AJB51-AJB52</f>
        <v/>
      </c>
      <c r="AJC53" s="75">
        <f>AJC51-AJC52</f>
        <v/>
      </c>
      <c r="AJD53" s="75">
        <f>AJD51-AJD52</f>
        <v/>
      </c>
      <c r="AJE53" s="75">
        <f>AJE51-AJE52</f>
        <v/>
      </c>
      <c r="AJF53" s="75">
        <f>AJF51-AJF52</f>
        <v/>
      </c>
      <c r="AJG53" s="75">
        <f>AJG51-AJG52</f>
        <v/>
      </c>
      <c r="AJH53" s="75">
        <f>AJH51-AJH52</f>
        <v/>
      </c>
      <c r="AJI53" s="75">
        <f>AJI51-AJI52</f>
        <v/>
      </c>
      <c r="AJJ53" s="75">
        <f>AJJ51-AJJ52</f>
        <v/>
      </c>
      <c r="AJK53" s="145" t="n"/>
      <c r="AJL53" s="75">
        <f>AJL51-AJL52</f>
        <v/>
      </c>
      <c r="AJM53" s="75">
        <f>AJM51-AJM52</f>
        <v/>
      </c>
      <c r="AJN53" s="75">
        <f>AJN51-AJN52</f>
        <v/>
      </c>
      <c r="AJO53" s="75">
        <f>AJO51-AJO52</f>
        <v/>
      </c>
      <c r="AJP53" s="75">
        <f>AJP51-AJP52</f>
        <v/>
      </c>
      <c r="AJQ53" s="75">
        <f>AJQ51-AJQ52</f>
        <v/>
      </c>
      <c r="AJR53" s="75">
        <f>AJR51-AJR52</f>
        <v/>
      </c>
      <c r="AJS53" s="75">
        <f>AJS51-AJS52</f>
        <v/>
      </c>
      <c r="AJT53" s="75">
        <f>AJT51-AJT52</f>
        <v/>
      </c>
      <c r="AJU53" s="75">
        <f>AJU51-AJU52</f>
        <v/>
      </c>
      <c r="AJV53" s="75">
        <f>AJV51-AJV52</f>
        <v/>
      </c>
      <c r="AJW53" s="75">
        <f>AJW51-AJW52</f>
        <v/>
      </c>
      <c r="AJX53" s="75">
        <f>AJX51-AJX52</f>
        <v/>
      </c>
      <c r="AJY53" s="75">
        <f>AJY51-AJY52</f>
        <v/>
      </c>
      <c r="AJZ53" s="75">
        <f>AJZ51-AJZ52</f>
        <v/>
      </c>
      <c r="AKA53" s="75">
        <f>AKA51-AKA52</f>
        <v/>
      </c>
      <c r="AKB53" s="75">
        <f>AKB51-AKB52</f>
        <v/>
      </c>
      <c r="AKC53" s="75">
        <f>AKC51-AKC52</f>
        <v/>
      </c>
      <c r="AKD53" s="75">
        <f>AKD51-AKD52</f>
        <v/>
      </c>
      <c r="AKE53" s="75">
        <f>AKE51-AKE52</f>
        <v/>
      </c>
      <c r="AKF53" s="75">
        <f>AKF51-AKF52</f>
        <v/>
      </c>
      <c r="AKG53" s="75">
        <f>AKG51-AKG52</f>
        <v/>
      </c>
      <c r="AKH53" s="75">
        <f>AKH51-AKH52</f>
        <v/>
      </c>
      <c r="AKI53" s="75">
        <f>AKI51-AKI52</f>
        <v/>
      </c>
      <c r="AKJ53" s="75">
        <f>AKJ51-AKJ52</f>
        <v/>
      </c>
      <c r="AKK53" s="75">
        <f>AKK51-AKK52</f>
        <v/>
      </c>
      <c r="AKL53" s="75">
        <f>AKL51-AKL52</f>
        <v/>
      </c>
      <c r="AKM53" s="75">
        <f>AKM51-AKM52</f>
        <v/>
      </c>
      <c r="AKN53" s="155" t="n"/>
      <c r="AKO53" s="75">
        <f>AKO51-AKO52</f>
        <v/>
      </c>
      <c r="AKP53" s="75">
        <f>AKP51-AKP52</f>
        <v/>
      </c>
      <c r="AKQ53" s="75">
        <f>AKQ51-AKQ52</f>
        <v/>
      </c>
      <c r="AKR53" s="75">
        <f>AKR51-AKR52</f>
        <v/>
      </c>
      <c r="AKS53" s="75">
        <f>AKS51-AKS52</f>
        <v/>
      </c>
      <c r="AKT53" s="75">
        <f>AKT51-AKT52</f>
        <v/>
      </c>
      <c r="AKU53" s="75">
        <f>AKU51-AKU52</f>
        <v/>
      </c>
      <c r="AKV53" s="75">
        <f>AKV51-AKV52</f>
        <v/>
      </c>
      <c r="AKW53" s="75">
        <f>AKW51-AKW52</f>
        <v/>
      </c>
      <c r="AKX53" s="75">
        <f>AKX51-AKX52</f>
        <v/>
      </c>
      <c r="AKY53" s="75">
        <f>AKY51-AKY52</f>
        <v/>
      </c>
      <c r="AKZ53" s="75">
        <f>AKZ51-AKZ52</f>
        <v/>
      </c>
      <c r="ALA53" s="75">
        <f>ALA51-ALA52</f>
        <v/>
      </c>
      <c r="ALB53" s="75">
        <f>ALB51-ALB52</f>
        <v/>
      </c>
      <c r="ALC53" s="75">
        <f>ALC51-ALC52</f>
        <v/>
      </c>
      <c r="ALD53" s="75">
        <f>ALD51-ALD52</f>
        <v/>
      </c>
      <c r="ALE53" s="75">
        <f>ALE51-ALE52</f>
        <v/>
      </c>
      <c r="ALF53" s="75">
        <f>ALF51-ALF52</f>
        <v/>
      </c>
      <c r="ALG53" s="75">
        <f>ALG51-ALG52</f>
        <v/>
      </c>
      <c r="ALH53" s="75">
        <f>ALH51-ALH52</f>
        <v/>
      </c>
      <c r="ALI53" s="75">
        <f>ALI51-ALI52</f>
        <v/>
      </c>
      <c r="ALJ53" s="75">
        <f>ALJ51-ALJ52</f>
        <v/>
      </c>
      <c r="ALK53" s="75">
        <f>ALK51-ALK52</f>
        <v/>
      </c>
      <c r="ALL53" s="75">
        <f>ALL51-ALL52</f>
        <v/>
      </c>
      <c r="ALM53" s="75">
        <f>ALM51-ALM52</f>
        <v/>
      </c>
      <c r="ALN53" s="75">
        <f>ALN51-ALN52</f>
        <v/>
      </c>
      <c r="ALO53" s="75">
        <f>ALO51-ALO52</f>
        <v/>
      </c>
      <c r="ALP53" s="75">
        <f>ALP51-ALP52</f>
        <v/>
      </c>
      <c r="ALQ53" s="75">
        <f>ALQ51-ALQ52</f>
        <v/>
      </c>
      <c r="ALR53" s="75">
        <f>ALR51-ALR52</f>
        <v/>
      </c>
      <c r="ALS53" s="75">
        <f>ALS51-ALS52</f>
        <v/>
      </c>
      <c r="ALT53" s="130" t="n"/>
      <c r="ALU53" s="75">
        <f>ALU51-ALU52</f>
        <v/>
      </c>
      <c r="ALV53" s="75">
        <f>ALV51-ALV52</f>
        <v/>
      </c>
      <c r="ALW53" s="75">
        <f>ALW51-ALW52</f>
        <v/>
      </c>
      <c r="ALX53" s="75">
        <f>ALX51-ALX52</f>
        <v/>
      </c>
      <c r="ALY53" s="75">
        <f>ALY51-ALY52</f>
        <v/>
      </c>
      <c r="ALZ53" s="75">
        <f>ALZ51-ALZ52</f>
        <v/>
      </c>
      <c r="AMA53" s="75">
        <f>AMA51-AMA52</f>
        <v/>
      </c>
      <c r="AMB53" s="75">
        <f>AMB51-AMB52</f>
        <v/>
      </c>
      <c r="AMC53" s="75">
        <f>AMC51-AMC52</f>
        <v/>
      </c>
      <c r="AMD53" s="75">
        <f>AMD51-AMD52</f>
        <v/>
      </c>
      <c r="AME53" s="75">
        <f>AME51-AME52</f>
        <v/>
      </c>
      <c r="AMF53" s="75">
        <f>AMF51-AMF52</f>
        <v/>
      </c>
      <c r="AMG53" s="75">
        <f>AMG51-AMG52</f>
        <v/>
      </c>
      <c r="AMH53" s="75">
        <f>AMH51-AMH52</f>
        <v/>
      </c>
      <c r="AMI53" s="75">
        <f>AMI51-AMI52</f>
        <v/>
      </c>
      <c r="AMJ53" s="75">
        <f>AMJ51-AMJ52</f>
        <v/>
      </c>
      <c r="AMK53" s="75">
        <f>AMK51-AMK52</f>
        <v/>
      </c>
      <c r="AML53" s="75">
        <f>AML51-AML52</f>
        <v/>
      </c>
      <c r="AMM53" s="75">
        <f>AMM51-AMM52</f>
        <v/>
      </c>
      <c r="AMN53" s="75">
        <f>AMN51-AMN52</f>
        <v/>
      </c>
      <c r="AMO53" s="75">
        <f>AMO51-AMO52</f>
        <v/>
      </c>
      <c r="AMP53" s="75">
        <f>AMP51-AMP52</f>
        <v/>
      </c>
      <c r="AMQ53" s="75">
        <f>AMQ51-AMQ52</f>
        <v/>
      </c>
      <c r="AMR53" s="75">
        <f>AMR51-AMR52</f>
        <v/>
      </c>
      <c r="AMS53" s="75">
        <f>AMS51-AMS52</f>
        <v/>
      </c>
      <c r="AMT53" s="75">
        <f>AMT51-AMT52</f>
        <v/>
      </c>
      <c r="AMU53" s="75">
        <f>AMU51-AMU52</f>
        <v/>
      </c>
      <c r="AMV53" s="75">
        <f>AMV51-AMV52</f>
        <v/>
      </c>
      <c r="AMW53" s="75">
        <f>AMW51-AMW52</f>
        <v/>
      </c>
      <c r="AMX53" s="75">
        <f>AMX51-AMX52</f>
        <v/>
      </c>
      <c r="AMY53" s="130" t="n"/>
      <c r="AMZ53" s="75">
        <f>AMZ51-AMZ52</f>
        <v/>
      </c>
      <c r="ANA53" s="75">
        <f>ANA51-ANA52</f>
        <v/>
      </c>
      <c r="ANB53" s="75">
        <f>ANB51-ANB52</f>
        <v/>
      </c>
      <c r="ANC53" s="75">
        <f>ANC51-ANC52</f>
        <v/>
      </c>
      <c r="AND53" s="75">
        <f>AND51-AND52</f>
        <v/>
      </c>
      <c r="ANE53" s="75">
        <f>ANE51-ANE52</f>
        <v/>
      </c>
      <c r="ANF53" s="75">
        <f>ANF51-ANF52</f>
        <v/>
      </c>
      <c r="ANG53" s="75">
        <f>ANG51-ANG52</f>
        <v/>
      </c>
      <c r="ANH53" s="75">
        <f>ANH51-ANH52</f>
        <v/>
      </c>
      <c r="ANI53" s="75">
        <f>ANI51-ANI52</f>
        <v/>
      </c>
      <c r="ANJ53" s="75">
        <f>ANJ51-ANJ52</f>
        <v/>
      </c>
      <c r="ANK53" s="75">
        <f>ANK51-ANK52</f>
        <v/>
      </c>
      <c r="ANL53" s="75">
        <f>ANL51-ANL52</f>
        <v/>
      </c>
      <c r="ANM53" s="75">
        <f>ANM51-ANM52</f>
        <v/>
      </c>
      <c r="ANN53" s="75">
        <f>ANN51-ANN52</f>
        <v/>
      </c>
      <c r="ANO53" s="75">
        <f>ANO51-ANO52</f>
        <v/>
      </c>
      <c r="ANP53" s="75">
        <f>ANP51-ANP52</f>
        <v/>
      </c>
      <c r="ANQ53" s="75">
        <f>ANQ51-ANQ52</f>
        <v/>
      </c>
      <c r="ANR53" s="75">
        <f>ANR51-ANR52</f>
        <v/>
      </c>
      <c r="ANS53" s="75">
        <f>ANS51-ANS52</f>
        <v/>
      </c>
      <c r="ANT53" s="75">
        <f>ANT51-ANT52</f>
        <v/>
      </c>
      <c r="ANU53" s="75">
        <f>ANU51-ANU52</f>
        <v/>
      </c>
      <c r="ANV53" s="75">
        <f>ANV51-ANV52</f>
        <v/>
      </c>
      <c r="ANW53" s="75">
        <f>ANW51-ANW52</f>
        <v/>
      </c>
      <c r="ANX53" s="75">
        <f>ANX51-ANX52</f>
        <v/>
      </c>
      <c r="ANY53" s="75">
        <f>ANY51-ANY52</f>
        <v/>
      </c>
      <c r="ANZ53" s="75">
        <f>ANZ51-ANZ52</f>
        <v/>
      </c>
      <c r="AOA53" s="75">
        <f>AOA51-AOA52</f>
        <v/>
      </c>
      <c r="AOB53" s="75">
        <f>AOB51-AOB52</f>
        <v/>
      </c>
      <c r="AOC53" s="75">
        <f>AOC51-AOC52</f>
        <v/>
      </c>
    </row>
    <row r="54">
      <c r="FD54" s="126" t="n"/>
      <c r="IW54" t="n">
        <v>1182118</v>
      </c>
      <c r="PH54" t="n">
        <v>994928</v>
      </c>
      <c r="QZ54" t="n">
        <v>3604213</v>
      </c>
    </row>
    <row r="55">
      <c r="AJ55" t="n">
        <v>675066</v>
      </c>
      <c r="BQ55" t="n">
        <v>3415821</v>
      </c>
      <c r="CW55" t="n">
        <v>-2365960</v>
      </c>
      <c r="FD55" s="126" t="n"/>
      <c r="KG55" t="n">
        <v>-1242501</v>
      </c>
      <c r="QZ55" s="82">
        <f>QZ54-QZ53</f>
        <v/>
      </c>
    </row>
    <row r="56">
      <c r="BQ56" t="n">
        <v>3416052</v>
      </c>
      <c r="CA56" t="n">
        <v>-1546534</v>
      </c>
      <c r="FD56" s="126" t="n"/>
    </row>
    <row r="57">
      <c r="BQ57">
        <f>BQ56-BQ55</f>
        <v/>
      </c>
      <c r="FD57" s="126" t="n"/>
      <c r="KK57" t="n">
        <v>856000</v>
      </c>
    </row>
    <row r="58">
      <c r="BO58" t="n">
        <v>41789</v>
      </c>
      <c r="KK58" t="n">
        <v>218000</v>
      </c>
      <c r="NO58" t="n">
        <v>5126362</v>
      </c>
    </row>
    <row r="59">
      <c r="BO59" t="n">
        <v>42020</v>
      </c>
      <c r="LF59" t="n">
        <v>52200929</v>
      </c>
      <c r="NO59" t="n">
        <v>5148362</v>
      </c>
      <c r="NY59" t="inlineStr">
        <is>
          <t>patient</t>
        </is>
      </c>
    </row>
    <row r="60">
      <c r="BO60">
        <f>BO59-BO58</f>
        <v/>
      </c>
      <c r="LF60" t="n">
        <v>52244829</v>
      </c>
      <c r="NO60">
        <f>NO59-NO58</f>
        <v/>
      </c>
    </row>
    <row r="61">
      <c r="EI61" t="n">
        <v>14971585</v>
      </c>
      <c r="LF61">
        <f>LF60-LF59</f>
        <v/>
      </c>
    </row>
    <row r="62">
      <c r="EH62" t="n">
        <v>3456075</v>
      </c>
      <c r="EI62" t="n">
        <v>15247019</v>
      </c>
    </row>
    <row r="63">
      <c r="EH63" t="n">
        <v>3179596</v>
      </c>
      <c r="EI63">
        <f>EI62-EI61</f>
        <v/>
      </c>
    </row>
    <row r="64">
      <c r="EH64">
        <f>EH62-EH63</f>
        <v/>
      </c>
    </row>
  </sheetData>
  <mergeCells count="5">
    <mergeCell ref="A4:A10"/>
    <mergeCell ref="A46:A49"/>
    <mergeCell ref="A38:A44"/>
    <mergeCell ref="A14:A37"/>
    <mergeCell ref="A11:A1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2023-08-02T12:39:13Z</dcterms:created>
  <dcterms:modified xsi:type="dcterms:W3CDTF">2026-08-28T09:38:09Z</dcterms:modified>
  <cp:lastModifiedBy>tsamin@student.ubc.ca</cp:lastModifiedBy>
  <cp:lastPrinted>2023-11-02T10:20:06Z</cp:lastPrinted>
</cp:coreProperties>
</file>